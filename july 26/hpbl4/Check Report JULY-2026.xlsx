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Negi\Desktop\Ebidata\EBIDTA PIL-VI 2019-20\103-EBIDTA HPBL-IV JULY-26\"/>
    </mc:Choice>
  </mc:AlternateContent>
  <bookViews>
    <workbookView xWindow="0" yWindow="0" windowWidth="20490" windowHeight="7755" tabRatio="743" activeTab="2"/>
  </bookViews>
  <sheets>
    <sheet name="JOB OUT" sheetId="70" r:id="rId1"/>
    <sheet name="JOB-IN" sheetId="71" r:id="rId2"/>
    <sheet name="Provision &amp; Prepaid Exp" sheetId="39" r:id="rId3"/>
    <sheet name="Sheet7" sheetId="63" state="hidden" r:id="rId4"/>
    <sheet name="Rate Diference" sheetId="44" r:id="rId5"/>
    <sheet name="Purchase Register" sheetId="1" r:id="rId6"/>
    <sheet name="Sales Register" sheetId="57" r:id="rId7"/>
    <sheet name="Trail Balance-JULY26" sheetId="20" r:id="rId8"/>
    <sheet name="Inward Summary" sheetId="10" r:id="rId9"/>
    <sheet name="Inward Register" sheetId="9" r:id="rId10"/>
    <sheet name="Inward-Webbing" sheetId="6" r:id="rId11"/>
    <sheet name="Inward-Lam-Unlam-Fabric" sheetId="12" r:id="rId12"/>
    <sheet name="Sheet8" sheetId="31" state="hidden" r:id="rId13"/>
    <sheet name="Job Stk Bal May25-KPW" sheetId="36" state="hidden" r:id="rId14"/>
    <sheet name="Sheet5" sheetId="41" state="hidden" r:id="rId15"/>
    <sheet name="Sheet6" sheetId="42" state="hidden" r:id="rId16"/>
    <sheet name="Job Stk Bal May25-PPL" sheetId="15" state="hidden" r:id="rId17"/>
    <sheet name="Job Stk Bal May25-Aaradhya" sheetId="34" state="hidden" r:id="rId18"/>
    <sheet name="Job Stk Bal May25-Saru" sheetId="17" state="hidden" r:id="rId19"/>
    <sheet name="Job Stk Bal Apr25-Parsva " sheetId="16" state="hidden" r:id="rId20"/>
    <sheet name="JOB STOCK-Jan24" sheetId="58" state="hidden" r:id="rId21"/>
    <sheet name="Reco." sheetId="23" state="hidden" r:id="rId22"/>
    <sheet name="Sheet1" sheetId="37" state="hidden" r:id="rId23"/>
    <sheet name="Sheet3" sheetId="24" state="hidden" r:id="rId24"/>
    <sheet name="Sheet1 (2)" sheetId="38" state="hidden" r:id="rId25"/>
    <sheet name="RECO.." sheetId="43" state="hidden" r:id="rId26"/>
    <sheet name="Sheet4" sheetId="55" state="hidden" r:id="rId27"/>
    <sheet name="Sheet2" sheetId="54" state="hidden" r:id="rId28"/>
    <sheet name="Sheet9" sheetId="56" state="hidden" r:id="rId29"/>
    <sheet name="Sheet12" sheetId="50" state="hidden" r:id="rId30"/>
    <sheet name="Reco.Apr24" sheetId="60" state="hidden" r:id="rId31"/>
    <sheet name="RECO JULY-24" sheetId="64" state="hidden" r:id="rId32"/>
    <sheet name="JOB Work Summary" sheetId="62" r:id="rId33"/>
    <sheet name="Sheet15" sheetId="69" r:id="rId34"/>
    <sheet name="Sheet1 (3)" sheetId="72" r:id="rId35"/>
  </sheets>
  <externalReferences>
    <externalReference r:id="rId36"/>
  </externalReferences>
  <definedNames>
    <definedName name="__xlnm._FilterDatabase">#REF!</definedName>
    <definedName name="__xlnm._FilterDatabase_1">#REF!</definedName>
    <definedName name="__xlnm._FilterDatabase_2">#REF!</definedName>
    <definedName name="__xlnm.Print_Titles">#REF!</definedName>
    <definedName name="__xlnm.Print_Titles_1">#REF!</definedName>
    <definedName name="_xlnm._FilterDatabase" localSheetId="9" hidden="1">'Inward Register'!$B$1:$BP$330</definedName>
    <definedName name="_xlnm._FilterDatabase" localSheetId="8" hidden="1">'Inward Summary'!$B$3:$E$31</definedName>
    <definedName name="_xlnm._FilterDatabase" localSheetId="11" hidden="1">'Inward-Lam-Unlam-Fabric'!$B$1:$V$1394</definedName>
    <definedName name="_xlnm._FilterDatabase" localSheetId="10" hidden="1">'Inward-Webbing'!$B$1:$V$891</definedName>
    <definedName name="_xlnm._FilterDatabase" localSheetId="0" hidden="1">'JOB OUT'!$E$11:$X$11</definedName>
    <definedName name="_xlnm._FilterDatabase" localSheetId="1" hidden="1">'JOB-IN'!$G$2:$BU$17</definedName>
    <definedName name="_xlnm._FilterDatabase" localSheetId="5" hidden="1">'Purchase Register'!$H$23:$AL$679</definedName>
    <definedName name="_xlnm._FilterDatabase" localSheetId="6" hidden="1">'Sales Register'!$H$16:$AL$151</definedName>
    <definedName name="_xlnm._FilterDatabase" localSheetId="15" hidden="1">Sheet6!$B$1:$I$98</definedName>
    <definedName name="Excel_BuiltIn__FilterDatabase">[1]Debtors!$A$30:$G$221</definedName>
  </definedNames>
  <calcPr calcId="152511"/>
  <pivotCaches>
    <pivotCache cacheId="116" r:id="rId37"/>
    <pivotCache cacheId="117" r:id="rId38"/>
    <pivotCache cacheId="118" r:id="rId39"/>
    <pivotCache cacheId="119" r:id="rId40"/>
    <pivotCache cacheId="120" r:id="rId41"/>
    <pivotCache cacheId="121" r:id="rId4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7" i="39" l="1"/>
  <c r="B17" i="39"/>
  <c r="B34" i="39"/>
  <c r="C24" i="57"/>
  <c r="C23" i="57"/>
  <c r="C22" i="57"/>
  <c r="C21" i="57"/>
  <c r="C20" i="57"/>
  <c r="C19" i="57"/>
  <c r="C18" i="57"/>
  <c r="C17" i="57"/>
  <c r="C28" i="1"/>
  <c r="C27" i="1"/>
  <c r="C26" i="1"/>
  <c r="C25" i="1"/>
  <c r="C24" i="1"/>
  <c r="D24" i="57"/>
  <c r="D23" i="57"/>
  <c r="D22" i="57"/>
  <c r="D21" i="57"/>
  <c r="D20" i="57"/>
  <c r="D19" i="57"/>
  <c r="D18" i="57"/>
  <c r="D17" i="57"/>
  <c r="D28" i="1"/>
  <c r="T34" i="44" l="1"/>
  <c r="U34" i="44" s="1"/>
  <c r="V34" i="44"/>
  <c r="W34" i="44"/>
  <c r="X34" i="44" s="1"/>
  <c r="Y34" i="44"/>
  <c r="AA34" i="44"/>
  <c r="AB34" i="44"/>
  <c r="X14" i="44"/>
  <c r="Z14" i="44"/>
  <c r="U14" i="44"/>
  <c r="T14" i="44"/>
  <c r="V14" i="44"/>
  <c r="W14" i="44"/>
  <c r="AA14" i="44"/>
  <c r="T28" i="44"/>
  <c r="V28" i="44"/>
  <c r="U28" i="44" s="1"/>
  <c r="W28" i="44"/>
  <c r="AA28" i="44"/>
  <c r="Y14" i="44"/>
  <c r="Y28" i="44"/>
  <c r="X28" i="44" s="1"/>
  <c r="Z28" i="44" s="1"/>
  <c r="AB28" i="44"/>
  <c r="AB14" i="44"/>
  <c r="Z34" i="44" l="1"/>
  <c r="X33" i="44" l="1"/>
  <c r="U33" i="44"/>
  <c r="X32" i="44"/>
  <c r="U32" i="44"/>
  <c r="X31" i="44"/>
  <c r="U31" i="44"/>
  <c r="Z33" i="44" l="1"/>
  <c r="Z31" i="44"/>
  <c r="Z32" i="44"/>
  <c r="J1394" i="12" l="1"/>
  <c r="P9" i="44" l="1"/>
  <c r="N9" i="44"/>
  <c r="M9" i="44"/>
  <c r="K9" i="44"/>
  <c r="O8" i="44"/>
  <c r="L8" i="44"/>
  <c r="Q8" i="44" l="1"/>
  <c r="G83" i="72" l="1"/>
  <c r="G79" i="72"/>
  <c r="D9" i="57"/>
  <c r="D8" i="57"/>
  <c r="D7" i="57"/>
  <c r="D6" i="57"/>
  <c r="D14" i="1"/>
  <c r="G93" i="72" l="1"/>
  <c r="G47" i="72"/>
  <c r="G51" i="72" s="1"/>
  <c r="G71" i="72"/>
  <c r="G61" i="72"/>
  <c r="E61" i="72"/>
  <c r="E62" i="72" s="1"/>
  <c r="F61" i="72"/>
  <c r="D61" i="72"/>
  <c r="D57" i="72"/>
  <c r="D62" i="72" s="1"/>
  <c r="G57" i="72"/>
  <c r="G62" i="72" s="1"/>
  <c r="G94" i="72" l="1"/>
  <c r="E42" i="72"/>
  <c r="E41" i="72"/>
  <c r="D31" i="72"/>
  <c r="E27" i="72"/>
  <c r="F31" i="72" s="1"/>
  <c r="G19" i="72"/>
  <c r="F15" i="72"/>
  <c r="E15" i="72"/>
  <c r="G9" i="72"/>
  <c r="G10" i="72" s="1"/>
  <c r="D9" i="72"/>
  <c r="G4" i="72"/>
  <c r="D26" i="1"/>
  <c r="E10" i="1"/>
  <c r="E9" i="1"/>
  <c r="J1543" i="6" l="1"/>
  <c r="F28" i="44" l="1"/>
  <c r="F30" i="44" s="1"/>
  <c r="E28" i="44"/>
  <c r="E30" i="44" s="1"/>
  <c r="D28" i="44"/>
  <c r="D30" i="44" s="1"/>
  <c r="C28" i="44"/>
  <c r="D5" i="57"/>
  <c r="D2" i="57"/>
  <c r="D12" i="1"/>
  <c r="D8" i="1"/>
  <c r="D4" i="1"/>
  <c r="D6" i="1"/>
  <c r="D11" i="1"/>
  <c r="D7" i="1"/>
  <c r="D10" i="1"/>
  <c r="D13" i="1"/>
  <c r="D9" i="1"/>
  <c r="D5" i="1"/>
  <c r="O7" i="44" l="1"/>
  <c r="L7" i="44"/>
  <c r="Q7" i="44" l="1"/>
  <c r="X30" i="44" l="1"/>
  <c r="U30" i="44"/>
  <c r="Z30" i="44" l="1"/>
  <c r="O6" i="44"/>
  <c r="L6" i="44"/>
  <c r="Q6" i="44" l="1"/>
  <c r="D3" i="57"/>
  <c r="D4" i="57"/>
  <c r="B19" i="1"/>
  <c r="D27" i="1"/>
  <c r="C19" i="1"/>
  <c r="D19" i="1" l="1"/>
  <c r="I5" i="1"/>
  <c r="J5" i="1"/>
  <c r="C30" i="44" l="1"/>
  <c r="F32" i="44" s="1"/>
  <c r="G27" i="44"/>
  <c r="G26" i="44"/>
  <c r="G25" i="44"/>
  <c r="G24" i="44"/>
  <c r="G23" i="44"/>
  <c r="G22" i="44"/>
  <c r="G21" i="44"/>
  <c r="G20" i="44"/>
  <c r="G19" i="44"/>
  <c r="G18" i="44"/>
  <c r="U6" i="44"/>
  <c r="X6" i="44"/>
  <c r="E7" i="44"/>
  <c r="U7" i="44"/>
  <c r="X7" i="44"/>
  <c r="U8" i="44"/>
  <c r="X8" i="44"/>
  <c r="Z8" i="44" s="1"/>
  <c r="U9" i="44"/>
  <c r="X9" i="44"/>
  <c r="U10" i="44"/>
  <c r="X10" i="44"/>
  <c r="Z10" i="44" s="1"/>
  <c r="U11" i="44"/>
  <c r="X11" i="44"/>
  <c r="U12" i="44"/>
  <c r="X12" i="44"/>
  <c r="U13" i="44"/>
  <c r="X13" i="44"/>
  <c r="U16" i="44"/>
  <c r="X16" i="44"/>
  <c r="Z16" i="44" s="1"/>
  <c r="U17" i="44"/>
  <c r="X17" i="44"/>
  <c r="J10" i="1"/>
  <c r="I10" i="1"/>
  <c r="G28" i="44" l="1"/>
  <c r="G30" i="44" s="1"/>
  <c r="G31" i="44" s="1"/>
  <c r="Z12" i="44"/>
  <c r="Z17" i="44"/>
  <c r="Z11" i="44"/>
  <c r="Z13" i="44"/>
  <c r="Z9" i="44"/>
  <c r="Z6" i="44"/>
  <c r="Z7" i="44"/>
  <c r="X27" i="44" l="1"/>
  <c r="U27" i="44"/>
  <c r="X26" i="44"/>
  <c r="U26" i="44"/>
  <c r="Z27" i="44" l="1"/>
  <c r="Z26" i="44"/>
  <c r="D25" i="1"/>
  <c r="B18" i="1"/>
  <c r="C18" i="1"/>
  <c r="D24" i="1"/>
  <c r="X25" i="44" l="1"/>
  <c r="U25" i="44"/>
  <c r="X24" i="44"/>
  <c r="U24" i="44"/>
  <c r="Z25" i="44" l="1"/>
  <c r="Z24" i="44"/>
  <c r="J7" i="1"/>
  <c r="I7" i="1"/>
  <c r="X23" i="44" l="1"/>
  <c r="U23" i="44"/>
  <c r="X22" i="44"/>
  <c r="U22" i="44"/>
  <c r="X21" i="44"/>
  <c r="U21" i="44"/>
  <c r="X20" i="44"/>
  <c r="U20" i="44"/>
  <c r="X19" i="44"/>
  <c r="U19" i="44"/>
  <c r="X18" i="44"/>
  <c r="U18" i="44"/>
  <c r="Z19" i="44" l="1"/>
  <c r="Z18" i="44"/>
  <c r="Z22" i="44"/>
  <c r="Z21" i="44"/>
  <c r="Z23" i="44"/>
  <c r="Z20" i="44"/>
  <c r="M4" i="39" l="1"/>
  <c r="M8" i="39"/>
  <c r="J11" i="1"/>
  <c r="I11" i="1"/>
  <c r="K11" i="1" l="1"/>
  <c r="F5" i="57"/>
  <c r="G80" i="69" l="1"/>
  <c r="D78" i="69"/>
  <c r="D77" i="69"/>
  <c r="D72" i="69"/>
  <c r="G77" i="69"/>
  <c r="G72" i="69"/>
  <c r="G78" i="69" s="1"/>
  <c r="D18" i="1" l="1"/>
  <c r="G33" i="69" l="1"/>
  <c r="G34" i="69" s="1"/>
  <c r="G27" i="69"/>
  <c r="D27" i="69"/>
  <c r="F21" i="69"/>
  <c r="G21" i="69" s="1"/>
  <c r="D21" i="69"/>
  <c r="F9" i="69"/>
  <c r="E9" i="69"/>
  <c r="F3" i="62" l="1"/>
  <c r="J3" i="62" s="1"/>
  <c r="F2" i="62"/>
  <c r="J2" i="62" s="1"/>
  <c r="L9" i="44" l="1"/>
  <c r="L5" i="44" l="1"/>
  <c r="O5" i="44"/>
  <c r="Q5" i="44" l="1"/>
  <c r="Q5" i="17"/>
  <c r="F10" i="1" l="1"/>
  <c r="C4" i="62"/>
  <c r="D4" i="62"/>
  <c r="E4" i="62"/>
  <c r="I15" i="1"/>
  <c r="F4" i="62" l="1"/>
  <c r="E5" i="1"/>
  <c r="E6" i="1"/>
  <c r="F6" i="1" l="1"/>
  <c r="I9" i="1"/>
  <c r="J9" i="1"/>
  <c r="J6" i="1"/>
  <c r="J8" i="1"/>
  <c r="I6" i="1"/>
  <c r="I8" i="1"/>
  <c r="I12" i="1" l="1"/>
  <c r="K9" i="1" l="1"/>
  <c r="K6" i="1"/>
  <c r="F55" i="64" l="1"/>
  <c r="F43" i="64"/>
  <c r="E11" i="64"/>
  <c r="Y5" i="44" l="1"/>
  <c r="W5" i="44"/>
  <c r="X5" i="44" l="1"/>
  <c r="U5" i="44"/>
  <c r="Z5" i="44" l="1"/>
  <c r="F84" i="64" l="1"/>
  <c r="E84" i="64"/>
  <c r="G72" i="64"/>
  <c r="F72" i="64"/>
  <c r="E72" i="64"/>
  <c r="F23" i="64"/>
  <c r="E23" i="64"/>
  <c r="F22" i="64"/>
  <c r="E22" i="64"/>
  <c r="F11" i="64"/>
  <c r="X4" i="44" l="1"/>
  <c r="U4" i="44"/>
  <c r="Z4" i="44" l="1"/>
  <c r="E4" i="44" l="1"/>
  <c r="D8" i="44" s="1"/>
  <c r="D11" i="44" s="1"/>
  <c r="X3" i="44"/>
  <c r="U3" i="44"/>
  <c r="Z3" i="44" l="1"/>
  <c r="X2" i="44" l="1"/>
  <c r="U2" i="44"/>
  <c r="Z2" i="44" l="1"/>
  <c r="F138" i="60" l="1"/>
  <c r="F137" i="60"/>
  <c r="E137" i="60"/>
  <c r="G138" i="60" s="1"/>
  <c r="D130" i="60"/>
  <c r="G121" i="60"/>
  <c r="G112" i="60"/>
  <c r="G122" i="60" s="1"/>
  <c r="G93" i="60"/>
  <c r="G88" i="60"/>
  <c r="G79" i="60"/>
  <c r="E79" i="60"/>
  <c r="G73" i="60"/>
  <c r="E65" i="60"/>
  <c r="D65" i="60"/>
  <c r="D59" i="60"/>
  <c r="D53" i="60"/>
  <c r="F49" i="60"/>
  <c r="D49" i="60"/>
  <c r="G41" i="60"/>
  <c r="D41" i="60"/>
  <c r="G31" i="60"/>
  <c r="D31" i="60"/>
  <c r="L30" i="60"/>
  <c r="G27" i="60"/>
  <c r="D27" i="60"/>
  <c r="D32" i="60" s="1"/>
  <c r="G19" i="60"/>
  <c r="G15" i="60"/>
  <c r="G9" i="60"/>
  <c r="F9" i="60"/>
  <c r="E9" i="60"/>
  <c r="D9" i="60"/>
  <c r="G4" i="60"/>
  <c r="G10" i="60" s="1"/>
  <c r="D4" i="60"/>
  <c r="D10" i="60" l="1"/>
  <c r="G32" i="60"/>
  <c r="G94" i="60"/>
  <c r="D54" i="60"/>
  <c r="D66" i="60"/>
  <c r="G80" i="60"/>
  <c r="F10" i="60"/>
  <c r="G20" i="60"/>
  <c r="K10" i="1"/>
  <c r="K8" i="1"/>
  <c r="K7" i="1"/>
  <c r="K5" i="1"/>
  <c r="H29" i="63" l="1"/>
  <c r="F29" i="63"/>
  <c r="E29" i="63"/>
  <c r="C29" i="63"/>
  <c r="G27" i="63"/>
  <c r="D27" i="63"/>
  <c r="G26" i="63"/>
  <c r="D26" i="63"/>
  <c r="G25" i="63"/>
  <c r="D25" i="63"/>
  <c r="G24" i="63"/>
  <c r="D24" i="63"/>
  <c r="E17" i="63"/>
  <c r="D17" i="63"/>
  <c r="F16" i="63"/>
  <c r="F15" i="63"/>
  <c r="F14" i="63"/>
  <c r="F13" i="63"/>
  <c r="F12" i="63"/>
  <c r="F11" i="63"/>
  <c r="F10" i="63"/>
  <c r="F6" i="63"/>
  <c r="J12" i="1"/>
  <c r="F17" i="63" l="1"/>
  <c r="I27" i="63"/>
  <c r="F19" i="63"/>
  <c r="K12" i="1"/>
  <c r="G29" i="63"/>
  <c r="I24" i="63"/>
  <c r="I26" i="63"/>
  <c r="D29" i="63"/>
  <c r="I25" i="63"/>
  <c r="I29" i="63" l="1"/>
  <c r="G117" i="54" l="1"/>
  <c r="G112" i="54"/>
  <c r="G118" i="54" s="1"/>
  <c r="G99" i="54"/>
  <c r="G105" i="54"/>
  <c r="D92" i="54"/>
  <c r="D86" i="54"/>
  <c r="D93" i="54" s="1"/>
  <c r="F92" i="54"/>
  <c r="G92" i="54"/>
  <c r="G86" i="54"/>
  <c r="G51" i="54"/>
  <c r="G46" i="54"/>
  <c r="G39" i="54"/>
  <c r="G33" i="54"/>
  <c r="G25" i="54"/>
  <c r="G19" i="54"/>
  <c r="G10" i="54"/>
  <c r="G93" i="54" l="1"/>
  <c r="E94" i="54" s="1"/>
  <c r="G106" i="54"/>
  <c r="G79" i="54"/>
  <c r="G65" i="54"/>
  <c r="G60" i="54"/>
  <c r="D65" i="54"/>
  <c r="D60" i="54"/>
  <c r="D66" i="54" s="1"/>
  <c r="F46" i="54"/>
  <c r="D51" i="54"/>
  <c r="D46" i="54"/>
  <c r="G52" i="54"/>
  <c r="D40" i="54"/>
  <c r="D33" i="54"/>
  <c r="D39" i="54"/>
  <c r="S79" i="55"/>
  <c r="P11" i="55"/>
  <c r="P38" i="55"/>
  <c r="P37" i="55"/>
  <c r="P36" i="55"/>
  <c r="P35" i="55"/>
  <c r="P34" i="55"/>
  <c r="P33" i="55"/>
  <c r="P44" i="55"/>
  <c r="P45" i="55"/>
  <c r="P47" i="55"/>
  <c r="P55" i="55"/>
  <c r="P53" i="55"/>
  <c r="P56" i="55"/>
  <c r="P54" i="55"/>
  <c r="P52" i="55"/>
  <c r="P51" i="55"/>
  <c r="P50" i="55"/>
  <c r="P49" i="55"/>
  <c r="P48" i="55"/>
  <c r="P57" i="55"/>
  <c r="P58" i="55"/>
  <c r="P59" i="55"/>
  <c r="P60" i="55"/>
  <c r="P61" i="55"/>
  <c r="P62" i="55"/>
  <c r="P68" i="55"/>
  <c r="P67" i="55"/>
  <c r="P66" i="55"/>
  <c r="P65" i="55"/>
  <c r="P64" i="55"/>
  <c r="P63" i="55"/>
  <c r="P69" i="55"/>
  <c r="P70" i="55"/>
  <c r="P71" i="55"/>
  <c r="P72" i="55"/>
  <c r="P73" i="55"/>
  <c r="P74" i="55"/>
  <c r="P75" i="55"/>
  <c r="P76" i="55"/>
  <c r="P10" i="55"/>
  <c r="P9" i="55"/>
  <c r="P8" i="55"/>
  <c r="P7" i="55"/>
  <c r="P6" i="55"/>
  <c r="P5" i="55"/>
  <c r="P4" i="55"/>
  <c r="P3" i="55"/>
  <c r="P2" i="55"/>
  <c r="P77" i="55" s="1"/>
  <c r="N78" i="55"/>
  <c r="I124" i="55"/>
  <c r="C124" i="55"/>
  <c r="D124" i="55"/>
  <c r="D125" i="55" s="1"/>
  <c r="K31" i="43"/>
  <c r="K30" i="43"/>
  <c r="K29" i="43"/>
  <c r="G40" i="54"/>
  <c r="G26" i="54"/>
  <c r="G4" i="54"/>
  <c r="G11" i="54" s="1"/>
  <c r="G66" i="54" l="1"/>
  <c r="S80" i="55"/>
  <c r="E52" i="54"/>
  <c r="I125" i="55"/>
  <c r="D52" i="54"/>
  <c r="E67" i="54"/>
  <c r="F59" i="43"/>
  <c r="E47" i="43" l="1"/>
  <c r="F35" i="43"/>
  <c r="E30" i="43"/>
  <c r="G35" i="43" s="1"/>
  <c r="F29" i="43"/>
  <c r="E29" i="43"/>
  <c r="E23" i="43"/>
  <c r="F10" i="43"/>
  <c r="E10" i="43"/>
  <c r="F4" i="43"/>
  <c r="F5" i="43" l="1"/>
  <c r="S233" i="50"/>
  <c r="S232" i="50"/>
  <c r="S230" i="50"/>
  <c r="S228" i="50"/>
  <c r="S226" i="50"/>
  <c r="S225" i="50"/>
  <c r="S229" i="50"/>
  <c r="S234" i="50"/>
  <c r="S231" i="50"/>
  <c r="S227" i="50"/>
  <c r="N220" i="50" l="1"/>
  <c r="N214" i="50"/>
  <c r="O220" i="50"/>
  <c r="P221" i="50"/>
  <c r="P220" i="50"/>
  <c r="N186" i="50"/>
  <c r="M180" i="50"/>
  <c r="M185" i="50"/>
  <c r="O185" i="50"/>
  <c r="P172" i="50"/>
  <c r="P166" i="50"/>
  <c r="N172" i="50"/>
  <c r="N173" i="50" s="1"/>
  <c r="M172" i="50"/>
  <c r="M166" i="50"/>
  <c r="O173" i="50"/>
  <c r="M186" i="50" l="1"/>
  <c r="M173" i="50"/>
  <c r="N221" i="50"/>
  <c r="N222" i="50" s="1"/>
  <c r="P173" i="50"/>
  <c r="F9" i="38" l="1"/>
  <c r="E20" i="38"/>
  <c r="F20" i="38"/>
  <c r="E21" i="38"/>
  <c r="E31" i="38"/>
  <c r="F31" i="38"/>
  <c r="D43" i="38"/>
  <c r="F34" i="37" l="1"/>
  <c r="O231" i="37" l="1"/>
  <c r="O232" i="37"/>
  <c r="O233" i="37"/>
  <c r="O234" i="37"/>
  <c r="O235" i="37"/>
  <c r="O236" i="37"/>
  <c r="G208" i="37"/>
  <c r="G212" i="37"/>
  <c r="O245" i="37"/>
  <c r="O230" i="37"/>
  <c r="O229" i="37"/>
  <c r="O228" i="37"/>
  <c r="O227" i="37"/>
  <c r="O226" i="37"/>
  <c r="O225" i="37"/>
  <c r="O224" i="37"/>
  <c r="O223" i="37"/>
  <c r="O222" i="37"/>
  <c r="O221" i="37"/>
  <c r="O220" i="37"/>
  <c r="O217" i="37"/>
  <c r="O216" i="37"/>
  <c r="O215" i="37"/>
  <c r="O214" i="37"/>
  <c r="O211" i="37"/>
  <c r="O210" i="37"/>
  <c r="O209" i="37"/>
  <c r="O208" i="37"/>
  <c r="O207" i="37"/>
  <c r="O206" i="37"/>
  <c r="O205" i="37"/>
  <c r="O204" i="37"/>
  <c r="O203" i="37"/>
  <c r="O194" i="37"/>
  <c r="O193" i="37"/>
  <c r="O192" i="37"/>
  <c r="O178" i="37"/>
  <c r="O175" i="37"/>
  <c r="O174" i="37"/>
  <c r="O173" i="37"/>
  <c r="O171" i="37"/>
  <c r="O172" i="37"/>
  <c r="O167" i="37"/>
  <c r="O166" i="37"/>
  <c r="O165" i="37"/>
  <c r="O164" i="37"/>
  <c r="D190" i="37"/>
  <c r="D185" i="37"/>
  <c r="G190" i="37"/>
  <c r="G185" i="37"/>
  <c r="E179" i="37"/>
  <c r="F179" i="37"/>
  <c r="D179" i="37"/>
  <c r="D174" i="37"/>
  <c r="G179" i="37"/>
  <c r="G174" i="37"/>
  <c r="H12" i="23"/>
  <c r="G10" i="37"/>
  <c r="F10" i="37"/>
  <c r="F161" i="37"/>
  <c r="D161" i="37"/>
  <c r="G143" i="37"/>
  <c r="G137" i="37"/>
  <c r="G127" i="37"/>
  <c r="G118" i="37"/>
  <c r="G113" i="37"/>
  <c r="J92" i="37"/>
  <c r="G82" i="37"/>
  <c r="E82" i="37"/>
  <c r="D82" i="37"/>
  <c r="G77" i="37"/>
  <c r="D77" i="37"/>
  <c r="G68" i="37"/>
  <c r="F67" i="37"/>
  <c r="E67" i="37"/>
  <c r="D67" i="37"/>
  <c r="G56" i="37"/>
  <c r="G51" i="37"/>
  <c r="G45" i="37"/>
  <c r="G40" i="37"/>
  <c r="G34" i="37"/>
  <c r="G29" i="37"/>
  <c r="G22" i="37"/>
  <c r="G17" i="37"/>
  <c r="D11" i="37"/>
  <c r="D10" i="37"/>
  <c r="G4" i="37"/>
  <c r="G180" i="37" l="1"/>
  <c r="G11" i="37"/>
  <c r="F162" i="37"/>
  <c r="G191" i="37"/>
  <c r="D191" i="37"/>
  <c r="G119" i="37"/>
  <c r="D12" i="37"/>
  <c r="D83" i="37"/>
  <c r="G57" i="37"/>
  <c r="I57" i="37" s="1"/>
  <c r="G144" i="37"/>
  <c r="G46" i="37"/>
  <c r="E68" i="37"/>
  <c r="G83" i="37"/>
  <c r="I83" i="37" s="1"/>
  <c r="G35" i="37"/>
  <c r="G23" i="37"/>
  <c r="G113" i="23" l="1"/>
  <c r="G118" i="23"/>
  <c r="G119" i="23" s="1"/>
  <c r="G127" i="23"/>
  <c r="G143" i="23"/>
  <c r="G137" i="23"/>
  <c r="F161" i="23"/>
  <c r="D161" i="23"/>
  <c r="D67" i="23"/>
  <c r="E67" i="23"/>
  <c r="F67" i="23"/>
  <c r="D82" i="23"/>
  <c r="D77" i="23"/>
  <c r="E82" i="23"/>
  <c r="G82" i="23"/>
  <c r="G77" i="23"/>
  <c r="D11" i="23"/>
  <c r="D10" i="23"/>
  <c r="F10" i="23"/>
  <c r="G83" i="23" l="1"/>
  <c r="F162" i="23"/>
  <c r="D12" i="23"/>
  <c r="E68" i="23"/>
  <c r="G144" i="23"/>
  <c r="D83" i="23"/>
  <c r="G45" i="23"/>
  <c r="G40" i="23"/>
  <c r="G56" i="23"/>
  <c r="G51" i="23"/>
  <c r="P4" i="34" l="1"/>
  <c r="U18" i="31" l="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J92" i="23" l="1"/>
  <c r="I83" i="23" s="1"/>
  <c r="G68" i="23"/>
  <c r="G57" i="23"/>
  <c r="I57" i="23" s="1"/>
  <c r="J37" i="24"/>
  <c r="J36" i="24"/>
  <c r="J35" i="24"/>
  <c r="J31" i="24"/>
  <c r="J30" i="24"/>
  <c r="J29" i="24"/>
  <c r="J28" i="24"/>
  <c r="J27" i="24"/>
  <c r="J26" i="24"/>
  <c r="J25" i="24"/>
  <c r="J24" i="24"/>
  <c r="J15" i="24"/>
  <c r="J14" i="24"/>
  <c r="J13" i="24"/>
  <c r="J11" i="24"/>
  <c r="J10" i="24"/>
  <c r="J9" i="24"/>
  <c r="G46" i="23"/>
  <c r="G34" i="23"/>
  <c r="G29" i="23"/>
  <c r="G22" i="23"/>
  <c r="G17" i="23"/>
  <c r="G10" i="23"/>
  <c r="G4" i="23"/>
  <c r="G35" i="23" l="1"/>
  <c r="G23" i="23"/>
  <c r="G11" i="23"/>
  <c r="O9" i="44"/>
  <c r="Q9" i="44" l="1"/>
</calcChain>
</file>

<file path=xl/comments1.xml><?xml version="1.0" encoding="utf-8"?>
<comments xmlns="http://schemas.openxmlformats.org/spreadsheetml/2006/main">
  <authors>
    <author>Audit</author>
  </authors>
  <commentList>
    <comment ref="D8" authorId="0" shapeId="0">
      <text>
        <r>
          <rPr>
            <b/>
            <sz val="9"/>
            <color indexed="81"/>
            <rFont val="Tahoma"/>
            <family val="2"/>
          </rPr>
          <t>This figure shows Excess  amount charged by HPBL-IV.</t>
        </r>
      </text>
    </comment>
  </commentList>
</comments>
</file>

<file path=xl/sharedStrings.xml><?xml version="1.0" encoding="utf-8"?>
<sst xmlns="http://schemas.openxmlformats.org/spreadsheetml/2006/main" count="68754" uniqueCount="10026">
  <si>
    <t>Unit</t>
  </si>
  <si>
    <t>Pcs</t>
  </si>
  <si>
    <t>Stores/Spares</t>
  </si>
  <si>
    <t>KGS</t>
  </si>
  <si>
    <t>Packing Material</t>
  </si>
  <si>
    <t>Consumables</t>
  </si>
  <si>
    <t>LTR</t>
  </si>
  <si>
    <t>PCS</t>
  </si>
  <si>
    <t>RM Consumables</t>
  </si>
  <si>
    <t>Polymer Stereo</t>
  </si>
  <si>
    <t>CMS</t>
  </si>
  <si>
    <t>Kgs</t>
  </si>
  <si>
    <t>LDPE/LLDPE Film</t>
  </si>
  <si>
    <t>SF</t>
  </si>
  <si>
    <t>FIBC Bags With UV With Liner</t>
  </si>
  <si>
    <t>FG</t>
  </si>
  <si>
    <t>FIBC Bags With UV Without Liner</t>
  </si>
  <si>
    <t>LDPE/LLDPE Bags/Liner</t>
  </si>
  <si>
    <t>WIP00023</t>
  </si>
  <si>
    <t>PP UL Fabric With UV</t>
  </si>
  <si>
    <t>WIP00025</t>
  </si>
  <si>
    <t>PP Lam Fabric With UV</t>
  </si>
  <si>
    <t>PP/HD Wastage/Scrap</t>
  </si>
  <si>
    <t>WIP00032</t>
  </si>
  <si>
    <t>Webbing</t>
  </si>
  <si>
    <t>Date</t>
  </si>
  <si>
    <t>Particular</t>
  </si>
  <si>
    <t>Voucher Type</t>
  </si>
  <si>
    <t>Voucher No</t>
  </si>
  <si>
    <t>Type</t>
  </si>
  <si>
    <t>Invoice No</t>
  </si>
  <si>
    <t>Invoice Date</t>
  </si>
  <si>
    <t>Main Grp</t>
  </si>
  <si>
    <t>Group Name</t>
  </si>
  <si>
    <t>Sub Grup</t>
  </si>
  <si>
    <t>sales Group Name</t>
  </si>
  <si>
    <t>Item Name</t>
  </si>
  <si>
    <t>Quantity</t>
  </si>
  <si>
    <t>Amount</t>
  </si>
  <si>
    <t>Item Desc</t>
  </si>
  <si>
    <t>Bill Amount</t>
  </si>
  <si>
    <t>CGST Rate</t>
  </si>
  <si>
    <t>CGST Amt</t>
  </si>
  <si>
    <t>SGST Rate</t>
  </si>
  <si>
    <t>SGST Amt</t>
  </si>
  <si>
    <t>IGST Rate</t>
  </si>
  <si>
    <t>IGST Amt</t>
  </si>
  <si>
    <t>Freight GST</t>
  </si>
  <si>
    <t>Total GST</t>
  </si>
  <si>
    <t>TCS</t>
  </si>
  <si>
    <t>GST-IN</t>
  </si>
  <si>
    <t>HSN Code</t>
  </si>
  <si>
    <t>Currencty</t>
  </si>
  <si>
    <t>Exc.Rate</t>
  </si>
  <si>
    <t>Net Wt</t>
  </si>
  <si>
    <t>K.P. Woven Pvt Ltd - Unit 2 -Sales</t>
  </si>
  <si>
    <t>Sales</t>
  </si>
  <si>
    <t>FIBC Bags</t>
  </si>
  <si>
    <t>JUMBO BAG</t>
  </si>
  <si>
    <t>24AAECK6307M1ZF</t>
  </si>
  <si>
    <t>Rs.</t>
  </si>
  <si>
    <t>Plastene India ltd - Unit 1-Sales</t>
  </si>
  <si>
    <t>PP/PE Fabric</t>
  </si>
  <si>
    <t>PP UL Fabric</t>
  </si>
  <si>
    <t>PP Woven Fabric</t>
  </si>
  <si>
    <t>24AAACO3087C1ZT</t>
  </si>
  <si>
    <t>K.P. Woven Pvt Ltd - Unit 3 -Sales</t>
  </si>
  <si>
    <t>MS Structure Items</t>
  </si>
  <si>
    <t>Spares &amp; Stores</t>
  </si>
  <si>
    <t>Stores &amp; Consumables</t>
  </si>
  <si>
    <t>MS Pipe 4  C Class</t>
  </si>
  <si>
    <t>Wastage/Scrap</t>
  </si>
  <si>
    <t>HDPE/PP Plastik Waste</t>
  </si>
  <si>
    <t>Plastene Polyfilms Ltd-Sales</t>
  </si>
  <si>
    <t>24AAFCP2956A1ZR</t>
  </si>
  <si>
    <t>Sales - Within State - Traded Goods</t>
  </si>
  <si>
    <t>PP Lam Fabric</t>
  </si>
  <si>
    <t>PP Laminated Woven Fabric</t>
  </si>
  <si>
    <t>K.P. Woven Pvt Ltd-Sales</t>
  </si>
  <si>
    <t>PP Webbing</t>
  </si>
  <si>
    <t>Liners</t>
  </si>
  <si>
    <t>LDPE/LLDPE Bags</t>
  </si>
  <si>
    <t>LLDPE Bags</t>
  </si>
  <si>
    <t>Row Labels</t>
  </si>
  <si>
    <t>Grand Total</t>
  </si>
  <si>
    <t>Sum of Quantity</t>
  </si>
  <si>
    <t>purchase Group Name</t>
  </si>
  <si>
    <t>Plastene India ltd - Unit 1-Purchase</t>
  </si>
  <si>
    <t>Branch Transfer In</t>
  </si>
  <si>
    <t>Plastene India ltd - Unit 2-Purchase</t>
  </si>
  <si>
    <t>K.P. Woven Pvt Ltd - Unit 2 -Purchase</t>
  </si>
  <si>
    <t>R.M.P.</t>
  </si>
  <si>
    <t>KPW2/D/60</t>
  </si>
  <si>
    <t>K.P. Woven Pvt Ltd-Purchase</t>
  </si>
  <si>
    <t>Plastene Polyfilms Ltd-Purchase</t>
  </si>
  <si>
    <t>Oswal Extrusion Ltd- KASEZ-Purchase</t>
  </si>
  <si>
    <t>General Purchase</t>
  </si>
  <si>
    <t>Purchase Withinstate- Stores, Spares &amp; Consumable</t>
  </si>
  <si>
    <t>Purchase Withinstate - Raw Material</t>
  </si>
  <si>
    <t>Yarn All</t>
  </si>
  <si>
    <t>PP Yarn</t>
  </si>
  <si>
    <t>PP Filament Yarn</t>
  </si>
  <si>
    <t>KPW2/D/65</t>
  </si>
  <si>
    <t>HCP Plastene Bulkpack Limited - Purchase</t>
  </si>
  <si>
    <t>24AABCG1282C2Z6</t>
  </si>
  <si>
    <t>Brahmani Graphics</t>
  </si>
  <si>
    <t>Rubber/Polymer Stereo</t>
  </si>
  <si>
    <t>Gayatri Petroleums</t>
  </si>
  <si>
    <t>Oil &amp; Greases</t>
  </si>
  <si>
    <t>Vyankatesh Udyog (I) Pvt Ltd - Purchase</t>
  </si>
  <si>
    <t>Ink</t>
  </si>
  <si>
    <t>Housekeeping Material</t>
  </si>
  <si>
    <t>Hardware Items</t>
  </si>
  <si>
    <t>Purchase</t>
  </si>
  <si>
    <t>Purchase Withinstate- Packing Material</t>
  </si>
  <si>
    <t>Pallets</t>
  </si>
  <si>
    <t>Rajgor Stationery &amp; Computer</t>
  </si>
  <si>
    <t>Shiv Shakti Enterprise</t>
  </si>
  <si>
    <t>KPW2/D/67</t>
  </si>
  <si>
    <t>KPW2/D/68</t>
  </si>
  <si>
    <t>KPW2/D/71</t>
  </si>
  <si>
    <t>KPW2/D/69</t>
  </si>
  <si>
    <t>KPW2/D/70</t>
  </si>
  <si>
    <t>PE Film</t>
  </si>
  <si>
    <t>KPW2/D/72</t>
  </si>
  <si>
    <t>KPW2/D/73</t>
  </si>
  <si>
    <t>KPW2/D/74</t>
  </si>
  <si>
    <t>TransferDate</t>
  </si>
  <si>
    <t>ProductionDate</t>
  </si>
  <si>
    <t>RollNo</t>
  </si>
  <si>
    <t>PartyRollNo</t>
  </si>
  <si>
    <t>PartyName</t>
  </si>
  <si>
    <t>Quality</t>
  </si>
  <si>
    <t>ReqGSM</t>
  </si>
  <si>
    <t>PendingWt</t>
  </si>
  <si>
    <t>NetWt</t>
  </si>
  <si>
    <t>Size</t>
  </si>
  <si>
    <t>Metre</t>
  </si>
  <si>
    <t>FromGodown</t>
  </si>
  <si>
    <t>ToGodown</t>
  </si>
  <si>
    <t>status</t>
  </si>
  <si>
    <t>Category</t>
  </si>
  <si>
    <t>RollType</t>
  </si>
  <si>
    <t>Remarks</t>
  </si>
  <si>
    <t>TransferUnit</t>
  </si>
  <si>
    <t>Invno</t>
  </si>
  <si>
    <t>ApprovalStatus</t>
  </si>
  <si>
    <t>ITEMCODE</t>
  </si>
  <si>
    <t>NeedleLoom Godown</t>
  </si>
  <si>
    <t>Roll Material Godown</t>
  </si>
  <si>
    <t>NeedleLoom</t>
  </si>
  <si>
    <t>OUT</t>
  </si>
  <si>
    <t>Approved</t>
  </si>
  <si>
    <t>Loom Godown</t>
  </si>
  <si>
    <t>Loom</t>
  </si>
  <si>
    <t>UnLaminated</t>
  </si>
  <si>
    <t>Laminated</t>
  </si>
  <si>
    <t>Company Name</t>
  </si>
  <si>
    <t>Bill Date</t>
  </si>
  <si>
    <t>Plastene India Limited (Unit-VI)</t>
  </si>
  <si>
    <t>WIP00013</t>
  </si>
  <si>
    <t>CompanyName</t>
  </si>
  <si>
    <t>Deptt</t>
  </si>
  <si>
    <t>GroupName</t>
  </si>
  <si>
    <t>SubGroupName</t>
  </si>
  <si>
    <t>srno</t>
  </si>
  <si>
    <t>Itemcode</t>
  </si>
  <si>
    <t>Itemname</t>
  </si>
  <si>
    <t>PoNO</t>
  </si>
  <si>
    <t>OrderQty</t>
  </si>
  <si>
    <t>Challanqty</t>
  </si>
  <si>
    <t>Recdqty</t>
  </si>
  <si>
    <t>PendingQty</t>
  </si>
  <si>
    <t>Acceptedqty</t>
  </si>
  <si>
    <t>Vehicalno</t>
  </si>
  <si>
    <t>Partyname</t>
  </si>
  <si>
    <t>Suppliername</t>
  </si>
  <si>
    <t>ChallanNo</t>
  </si>
  <si>
    <t>Challan Date</t>
  </si>
  <si>
    <t>category</t>
  </si>
  <si>
    <t>subcategory</t>
  </si>
  <si>
    <t>MRno</t>
  </si>
  <si>
    <t>Rate</t>
  </si>
  <si>
    <t>BillNo</t>
  </si>
  <si>
    <t>Transportname</t>
  </si>
  <si>
    <t>Lrnodate</t>
  </si>
  <si>
    <t>Billamount</t>
  </si>
  <si>
    <t>Deptt Po Indent</t>
  </si>
  <si>
    <t>LoginName</t>
  </si>
  <si>
    <t>servicetax</t>
  </si>
  <si>
    <t>Basic Amount</t>
  </si>
  <si>
    <t>GateInwardNo</t>
  </si>
  <si>
    <t>GateInwardDate</t>
  </si>
  <si>
    <t>VendorGST</t>
  </si>
  <si>
    <t>MRN User</t>
  </si>
  <si>
    <t>POUserName</t>
  </si>
  <si>
    <t>CGSTPer</t>
  </si>
  <si>
    <t>CGSTAmount</t>
  </si>
  <si>
    <t>SGSTPer</t>
  </si>
  <si>
    <t>SGSTAmount</t>
  </si>
  <si>
    <t>IGSTPer</t>
  </si>
  <si>
    <t>IGSTAmount</t>
  </si>
  <si>
    <t>RBIllmount</t>
  </si>
  <si>
    <t>EWayNo</t>
  </si>
  <si>
    <t>EWayDt</t>
  </si>
  <si>
    <t>netwt</t>
  </si>
  <si>
    <t>RAW MATERIAL</t>
  </si>
  <si>
    <t>INDIGENOUS</t>
  </si>
  <si>
    <t>RM</t>
  </si>
  <si>
    <t>erp</t>
  </si>
  <si>
    <t>storepil6</t>
  </si>
  <si>
    <t>WIP00004</t>
  </si>
  <si>
    <t>-</t>
  </si>
  <si>
    <t>OWN VEHICLE</t>
  </si>
  <si>
    <t>RAW05124</t>
  </si>
  <si>
    <t>Sum of Recdqty</t>
  </si>
  <si>
    <t>Ledger Name</t>
  </si>
  <si>
    <t>Opening</t>
  </si>
  <si>
    <t>Debit</t>
  </si>
  <si>
    <t>Credit</t>
  </si>
  <si>
    <t>Closing</t>
  </si>
  <si>
    <t>Plastene India ltd - Unit 6-Purchase</t>
  </si>
  <si>
    <t>Plastene India ltd - Unit 6-Sales</t>
  </si>
  <si>
    <t>CR</t>
  </si>
  <si>
    <t>DR</t>
  </si>
  <si>
    <t>0.00 Dr</t>
  </si>
  <si>
    <t>Plastene India ltd - Unit 2-Sales</t>
  </si>
  <si>
    <t>Plastene India Limited (Unit -II)</t>
  </si>
  <si>
    <t>Difference</t>
  </si>
  <si>
    <t>K.P. Woven Pvt Ltd - Unit 3 -Purchase</t>
  </si>
  <si>
    <t>K.P. WOVEN PRIVATE LIMITED (UNIT-III)</t>
  </si>
  <si>
    <t xml:space="preserve"> </t>
  </si>
  <si>
    <t>Oswal Extrusion Ltd- KASEZ-Sales</t>
  </si>
  <si>
    <t>Oswal Extrusion Limited</t>
  </si>
  <si>
    <t>JUMBO BAGS</t>
  </si>
  <si>
    <t>YARN</t>
  </si>
  <si>
    <t>LAMINATED FABRIC</t>
  </si>
  <si>
    <t>UNLAMINATED FABRIC</t>
  </si>
  <si>
    <t>WEBBING</t>
  </si>
  <si>
    <t>Sum of Amount</t>
  </si>
  <si>
    <t>LLDPE BAGS/LINNER/DOC</t>
  </si>
  <si>
    <t>SysDate</t>
  </si>
  <si>
    <t>DescGoods</t>
  </si>
  <si>
    <t>Identification</t>
  </si>
  <si>
    <t>QtyDesc</t>
  </si>
  <si>
    <t>value</t>
  </si>
  <si>
    <t>TariffClasss</t>
  </si>
  <si>
    <t>ItemCode</t>
  </si>
  <si>
    <t>ItemName</t>
  </si>
  <si>
    <t>ItemQty</t>
  </si>
  <si>
    <t>Parsva Trading</t>
  </si>
  <si>
    <t>LD/LLDPE  FILM,</t>
  </si>
  <si>
    <t>Saru Plastics</t>
  </si>
  <si>
    <t>Total</t>
  </si>
  <si>
    <t>Perticulars</t>
  </si>
  <si>
    <t>Transaction</t>
  </si>
  <si>
    <t>Plastene India Ltd - Ho-For Gst Balance Only</t>
  </si>
  <si>
    <t>Security deposit- Rent</t>
  </si>
  <si>
    <t>Pravin Chauhan Imprest A/c</t>
  </si>
  <si>
    <t>Gopala Polyplast Limited - Sales</t>
  </si>
  <si>
    <t>Plastene India ltd - HO-Sales</t>
  </si>
  <si>
    <t>CGST Output A/c</t>
  </si>
  <si>
    <t>SGST Output A/c</t>
  </si>
  <si>
    <t>TDS -194C (Contractor)</t>
  </si>
  <si>
    <t>TDS -194I (Rent)</t>
  </si>
  <si>
    <t>TDS -194J (Professional)</t>
  </si>
  <si>
    <t>TDS -194Q (Goods)</t>
  </si>
  <si>
    <t>Dharamveer Kumar Paswan</t>
  </si>
  <si>
    <t>HCP Enterprise Ltd-Purchase</t>
  </si>
  <si>
    <t>Lili Mani Chhual Singh</t>
  </si>
  <si>
    <t>Perfect Electrical Works</t>
  </si>
  <si>
    <t>Quality Prepress Pvt Ltd</t>
  </si>
  <si>
    <t>Vishwas Enterprise - Gandhidham 24HJZPS2918Q1ZW</t>
  </si>
  <si>
    <t>Gopala Polyplast Limited - Purchase</t>
  </si>
  <si>
    <t>HCP Plastene Bulkpack Ltd (Unit-III) - Purchase</t>
  </si>
  <si>
    <t>Bhabesh Chhual Singh</t>
  </si>
  <si>
    <t>Mittal Trade Netlinks - Creditors</t>
  </si>
  <si>
    <t>Paschim Gujarat Vij Company Limited</t>
  </si>
  <si>
    <t>Rasidul Mondal</t>
  </si>
  <si>
    <t>Sahdevsinh Fatehsinh Jadeja</t>
  </si>
  <si>
    <t>Shree Shyam Weigh Bridge</t>
  </si>
  <si>
    <t>Sudhanshu Barman</t>
  </si>
  <si>
    <t>Bank Cash Credit SBI 66000073295</t>
  </si>
  <si>
    <t>Plastene India ltd - HO-ICD</t>
  </si>
  <si>
    <t>Sales - Within State  Manufactured Goods</t>
  </si>
  <si>
    <t>Round Off - Purchases</t>
  </si>
  <si>
    <t>Freight Inward Expense (With GST)</t>
  </si>
  <si>
    <t>Electricity Exp (Staff Colony)</t>
  </si>
  <si>
    <t>Rent Expense - Factory</t>
  </si>
  <si>
    <t>Internal Transportation Expense / Reimbursement</t>
  </si>
  <si>
    <t>Job Charges</t>
  </si>
  <si>
    <t>Conveyance Expenses</t>
  </si>
  <si>
    <t>Petrol &amp; Diesel Expense - Other Vehicles</t>
  </si>
  <si>
    <t>Rent Expense - Office</t>
  </si>
  <si>
    <t>Round Off</t>
  </si>
  <si>
    <t>Staff Welfare Expense</t>
  </si>
  <si>
    <t>Freight Outward Expense (With GST)</t>
  </si>
  <si>
    <t>AS PER T/B</t>
  </si>
  <si>
    <t>DIFFERENCE</t>
  </si>
  <si>
    <t>Purchase value reco with Trail Balance Value</t>
  </si>
  <si>
    <t>Sales value reco with Trail Balance Value</t>
  </si>
  <si>
    <t>KPW2/D/84</t>
  </si>
  <si>
    <t>Plastene India Limited</t>
  </si>
  <si>
    <t>Plastene Polyfilms Limited</t>
  </si>
  <si>
    <t>K.P. WOVEN PRIVATE LIMITED</t>
  </si>
  <si>
    <t>Voucher Ref</t>
  </si>
  <si>
    <t>KPW2/D/4</t>
  </si>
  <si>
    <t>6,93,418.46</t>
  </si>
  <si>
    <t>KPW2/D/5</t>
  </si>
  <si>
    <t>1,99,478.51</t>
  </si>
  <si>
    <t>KPW2/D/3</t>
  </si>
  <si>
    <t>KPW2/D/12</t>
  </si>
  <si>
    <t>1,04,494.99</t>
  </si>
  <si>
    <t>KPW2/D/14</t>
  </si>
  <si>
    <t>KPW2/D/13</t>
  </si>
  <si>
    <t>KPW2/D/18</t>
  </si>
  <si>
    <t>36,51,185.29</t>
  </si>
  <si>
    <t>KPW2/D/19</t>
  </si>
  <si>
    <t>KPW2/D/20</t>
  </si>
  <si>
    <t>KPW2/D/25</t>
  </si>
  <si>
    <t>KPW2/D/27</t>
  </si>
  <si>
    <t>KPW2/D/26</t>
  </si>
  <si>
    <t>KPW2/D/28</t>
  </si>
  <si>
    <t>KPW2/D/29</t>
  </si>
  <si>
    <t>KPW2/D/35</t>
  </si>
  <si>
    <t>KPW2/D/34</t>
  </si>
  <si>
    <t>KPW2/D/37</t>
  </si>
  <si>
    <t>KPW2/D/38</t>
  </si>
  <si>
    <t>KPW2/D/39</t>
  </si>
  <si>
    <t>KPW2/D/40</t>
  </si>
  <si>
    <t>SBINR12022051183079229</t>
  </si>
  <si>
    <t>48,05,282.90</t>
  </si>
  <si>
    <t>SBINR12022051283375826</t>
  </si>
  <si>
    <t>18,79,525.50</t>
  </si>
  <si>
    <t>KPW2/D/45</t>
  </si>
  <si>
    <t>KPW2/D/46</t>
  </si>
  <si>
    <t>KPW2/D/57</t>
  </si>
  <si>
    <t>KPW2/D/58</t>
  </si>
  <si>
    <t>BANK ENTRY PENDING</t>
  </si>
  <si>
    <t>Particulars</t>
  </si>
  <si>
    <t>Agst Ref    PIL6/E/224/21-22            1089694.48</t>
  </si>
  <si>
    <t>Agst Ref    PIL6/E/231/21-22            1317244.40</t>
  </si>
  <si>
    <t>Agst Ref    PIL6/E/233/21-22            1633291.74</t>
  </si>
  <si>
    <t>Agst Ref    PIL6/E/233/21-22            1678767.32</t>
  </si>
  <si>
    <t>Agst Ref    PIL6/E/235/21-22            1202924.02</t>
  </si>
  <si>
    <t>Agst Ref    PIL6/E/241/21-22             195729.26</t>
  </si>
  <si>
    <t>Agst Ref    PIL6/E/223                  1604598.78</t>
  </si>
  <si>
    <t>Agst Ref    PIL6/E/224                  1089694.48</t>
  </si>
  <si>
    <t>Agst Ref    PIL6/E/231                  1317244.40</t>
  </si>
  <si>
    <t>Agst Ref    PIL6/E/233                  1708786.54</t>
  </si>
  <si>
    <t>Agst Ref    PIL6/E/235                  1202924.02</t>
  </si>
  <si>
    <t>Agst Ref    PIL6/E/241                   195729.26</t>
  </si>
  <si>
    <t>DIFFERENCE RS.1326</t>
  </si>
  <si>
    <t>2538FBS002528822</t>
  </si>
  <si>
    <t>2538FBS002531322</t>
  </si>
  <si>
    <t>2538FBS001761921</t>
  </si>
  <si>
    <t>2538FBS002533122</t>
  </si>
  <si>
    <t>0403822BS0000213</t>
  </si>
  <si>
    <t>0403822BS0000240</t>
  </si>
  <si>
    <t>0403822BS0000239</t>
  </si>
  <si>
    <t>0403822BS0000241</t>
  </si>
  <si>
    <t>PIL6/E/26</t>
  </si>
  <si>
    <t>PIL6/E/25</t>
  </si>
  <si>
    <t>0403822BS0000266</t>
  </si>
  <si>
    <t>0403822BS0000212</t>
  </si>
  <si>
    <t>HCP Plastene Bulkpack Limited - Sales</t>
  </si>
  <si>
    <t>HCP Plastene Bulkpack Ltd</t>
  </si>
  <si>
    <t>2,96,188.38 Cr</t>
  </si>
  <si>
    <t>23,03,052.13 Cr</t>
  </si>
  <si>
    <t>2,96,204.88 Dr</t>
  </si>
  <si>
    <t xml:space="preserve">tds Difference </t>
  </si>
  <si>
    <t>HCP ENTERPRISE LIMITED</t>
  </si>
  <si>
    <t>Bank Payment</t>
  </si>
  <si>
    <t>SBINR12021110950877652</t>
  </si>
  <si>
    <t>bank entry not showing in HCP books</t>
  </si>
  <si>
    <t>HCP to PIL-VI</t>
  </si>
  <si>
    <t>HCP Plastene Bulkpack Ltd (Unit-III) - Sales</t>
  </si>
  <si>
    <t>HCP Plastene Bulkpack Ltd (Unit - III)</t>
  </si>
  <si>
    <t>dr</t>
  </si>
  <si>
    <t>cr</t>
  </si>
  <si>
    <t>not difference</t>
  </si>
  <si>
    <t>PP Woven Sacks</t>
  </si>
  <si>
    <t>17-08-2022</t>
  </si>
  <si>
    <t>13926708.33 Dr</t>
  </si>
  <si>
    <t>29805569.62 Dr</t>
  </si>
  <si>
    <t>303415621.03 Dr</t>
  </si>
  <si>
    <t>1626039.52 Dr</t>
  </si>
  <si>
    <t>Jitendrasinh B. Zala</t>
  </si>
  <si>
    <t>34090380.05 Cr</t>
  </si>
  <si>
    <t>89813634.97 Cr</t>
  </si>
  <si>
    <t>82463308.58 Cr</t>
  </si>
  <si>
    <t>386668601.32 Cr</t>
  </si>
  <si>
    <t>RATAN CHANDRA SARKAR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</si>
  <si>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</si>
  <si>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</si>
  <si>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</si>
  <si>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</si>
  <si>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</si>
  <si>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</si>
  <si>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</si>
  <si>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</si>
  <si>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</si>
  <si>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</si>
  <si>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</si>
  <si>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</si>
  <si>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 Data</t>
  </si>
  <si>
    <t>Purchase Data</t>
  </si>
  <si>
    <t>FY-2021-22</t>
  </si>
  <si>
    <t>FY-2022-23</t>
  </si>
  <si>
    <t>TOTAL Details :-</t>
  </si>
  <si>
    <t>Aaradhya Printers</t>
  </si>
  <si>
    <t>Job Closing Stock Confirmation With Aaradhya Printers</t>
  </si>
  <si>
    <t>bank entry dt.30.08.22</t>
  </si>
  <si>
    <t>Debit note booking pending in KPW1</t>
  </si>
  <si>
    <t>opening differece</t>
  </si>
  <si>
    <t>(All)</t>
  </si>
  <si>
    <t>20-09-2022</t>
  </si>
  <si>
    <t>LLDPE Doc</t>
  </si>
  <si>
    <t>DOC Pouch</t>
  </si>
  <si>
    <t>28-09-2022</t>
  </si>
  <si>
    <t>Pest Relief India Private Limited</t>
  </si>
  <si>
    <t>PRI/MS/044/22-23</t>
  </si>
  <si>
    <t>WIP00221</t>
  </si>
  <si>
    <t>SMF00146</t>
  </si>
  <si>
    <t>K.P. WOVEN PRIVATE LIMITED (UNIT-II)</t>
  </si>
  <si>
    <t>1798105.32 Dr</t>
  </si>
  <si>
    <t>1223846496.54 Cr</t>
  </si>
  <si>
    <t>44792184.83 Cr</t>
  </si>
  <si>
    <t>374836538.38 Dr</t>
  </si>
  <si>
    <t>4608566.14 Dr</t>
  </si>
  <si>
    <t>481141625.17 Cr</t>
  </si>
  <si>
    <t>4374485.00 Cr</t>
  </si>
  <si>
    <t>1330150595.08 Dr</t>
  </si>
  <si>
    <t>44792184.84 Dr</t>
  </si>
  <si>
    <t>347011634.22 Cr</t>
  </si>
  <si>
    <t>1966529.54 Cr</t>
  </si>
  <si>
    <t>58858392.10 Dr</t>
  </si>
  <si>
    <t>7704932.13 Dr</t>
  </si>
  <si>
    <t>280448311.97 Dr</t>
  </si>
  <si>
    <t>1966529.54 Dr</t>
  </si>
  <si>
    <t>4313301.84 Cr</t>
  </si>
  <si>
    <t>2909862.87 Dr</t>
  </si>
  <si>
    <t>20364270.00 Cr</t>
  </si>
  <si>
    <t>308266735.22 Cr</t>
  </si>
  <si>
    <t>20379277.00 Dr</t>
  </si>
  <si>
    <t>2924870.10 Cr</t>
  </si>
  <si>
    <t>389841821.57 Dr</t>
  </si>
  <si>
    <t>4313740.37 Dr</t>
  </si>
  <si>
    <t>9785.70 Cr</t>
  </si>
  <si>
    <t>13926677.30 Cr</t>
  </si>
  <si>
    <t>34088516.46 Dr</t>
  </si>
  <si>
    <t>9785.70 Dr</t>
  </si>
  <si>
    <t>44458198.03 Dr</t>
  </si>
  <si>
    <t>11021311.57 Cr</t>
  </si>
  <si>
    <t>1128065.15 Dr</t>
  </si>
  <si>
    <t>13404080.64 Cr</t>
  </si>
  <si>
    <t>36085438.35 Cr</t>
  </si>
  <si>
    <t>13404080.64 Dr</t>
  </si>
  <si>
    <t>1128065.15 Cr</t>
  </si>
  <si>
    <t>89893537.93 Dr</t>
  </si>
  <si>
    <t>10998967.67 Dr</t>
  </si>
  <si>
    <t>44435854.03 Cr</t>
  </si>
  <si>
    <t>154957274.70 Dr</t>
  </si>
  <si>
    <t>13299667.15 Dr</t>
  </si>
  <si>
    <t>25851134.81 Cr</t>
  </si>
  <si>
    <t>155285813.84 Cr</t>
  </si>
  <si>
    <t>20612300.49 Dr</t>
  </si>
  <si>
    <t>13298063.73 Cr</t>
  </si>
  <si>
    <t>1798105.15 Cr</t>
  </si>
  <si>
    <t>48513605.59 Cr</t>
  </si>
  <si>
    <t>99793659.24 Dr</t>
  </si>
  <si>
    <t>45,99,978.92 Cr</t>
  </si>
  <si>
    <t>15,70,461.52 Cr</t>
  </si>
  <si>
    <t>61,70,440.44 Cr</t>
  </si>
  <si>
    <t>9,83,362.56 Dr</t>
  </si>
  <si>
    <t>9,83,362.56 Cr</t>
  </si>
  <si>
    <t>45,99,978.92 Dr</t>
  </si>
  <si>
    <t>15,70,461.52 Dr</t>
  </si>
  <si>
    <t>61,70,440.44 Dr</t>
  </si>
  <si>
    <t>3,64,34,027.99 Dr</t>
  </si>
  <si>
    <t>3,24,34,028.38 Cr</t>
  </si>
  <si>
    <t>Plastene India Ltd - Unit 6-For Gst Balance Only</t>
  </si>
  <si>
    <t>1,42,13,171.90 Dr</t>
  </si>
  <si>
    <t>37,65,094.01 Dr</t>
  </si>
  <si>
    <t>1,19,07,265.21 Cr</t>
  </si>
  <si>
    <t>37,65,095.11 Cr</t>
  </si>
  <si>
    <t>18-10-2022</t>
  </si>
  <si>
    <t>24AAACQ5321R1Z7</t>
  </si>
  <si>
    <t>28-10-2022</t>
  </si>
  <si>
    <t>29-10-2022</t>
  </si>
  <si>
    <t>GP/22-23/208955</t>
  </si>
  <si>
    <t>PIL6/D/98</t>
  </si>
  <si>
    <t>PIL6/D/104</t>
  </si>
  <si>
    <t>PIL6/D/105</t>
  </si>
  <si>
    <t>PIL6/D/110</t>
  </si>
  <si>
    <t>PIL6/D/113</t>
  </si>
  <si>
    <t>PIL6/D/115</t>
  </si>
  <si>
    <t>PIL6/D/117</t>
  </si>
  <si>
    <t>Rajesh Naran Zer</t>
  </si>
  <si>
    <t>1,26,89,93,642.90 Cr</t>
  </si>
  <si>
    <t>2,47,79,644.06 Cr</t>
  </si>
  <si>
    <t>37,94,45,104.52 Dr</t>
  </si>
  <si>
    <t>50,19,152.73 Dr</t>
  </si>
  <si>
    <t>48,55,16,110.17 Cr</t>
  </si>
  <si>
    <t>49,63,282.00 Cr</t>
  </si>
  <si>
    <t>1,37,52,97,741.45 Dr</t>
  </si>
  <si>
    <t>2,47,79,644.06 Dr</t>
  </si>
  <si>
    <t>1,18,67,16,918.26 Cr</t>
  </si>
  <si>
    <t>3,66,398.34 Dr</t>
  </si>
  <si>
    <t>10,74,22,767.03 Cr</t>
  </si>
  <si>
    <t>36,54,61,935.55 Dr</t>
  </si>
  <si>
    <t>1,97,21,629.80 Dr</t>
  </si>
  <si>
    <t>7,19,308.10 Cr</t>
  </si>
  <si>
    <t>47,17,66,043.17 Cr</t>
  </si>
  <si>
    <t>7,18,328.00 Dr</t>
  </si>
  <si>
    <t>1,94,31,677.00 Cr</t>
  </si>
  <si>
    <t>1,29,30,21,016.82 Dr</t>
  </si>
  <si>
    <t>10,74,22,767.02 Dr</t>
  </si>
  <si>
    <t>3,66,398.34 Cr</t>
  </si>
  <si>
    <t>1,22,38,46,496.54 Cr</t>
  </si>
  <si>
    <t>6,99,26,790.42 Cr</t>
  </si>
  <si>
    <t>37,48,36,538.38 Dr</t>
  </si>
  <si>
    <t>96,27,718.87 Dr</t>
  </si>
  <si>
    <t>48,11,41,625.17 Cr</t>
  </si>
  <si>
    <t>93,37,767.00 Cr</t>
  </si>
  <si>
    <t>1,33,01,50,595.08 Dr</t>
  </si>
  <si>
    <t>6,99,26,790.43 Dr</t>
  </si>
  <si>
    <t>entry booked pil1 in nov</t>
  </si>
  <si>
    <t>34,89,78,163.76 Cr</t>
  </si>
  <si>
    <t>25,11,452.74 Dr</t>
  </si>
  <si>
    <t>10,71,896.61 Cr</t>
  </si>
  <si>
    <t>5,88,58,392.10 Dr</t>
  </si>
  <si>
    <t>77,04,932.13 Dr</t>
  </si>
  <si>
    <t>28,04,48,311.97 Dr</t>
  </si>
  <si>
    <t>30,93,512.15 Dr</t>
  </si>
  <si>
    <t>25,11,452.74 Cr</t>
  </si>
  <si>
    <t>PIL2/DC/212</t>
  </si>
  <si>
    <t>PIL2/DC/213</t>
  </si>
  <si>
    <t>BOOKED IN NOV22</t>
  </si>
  <si>
    <t>39,09,81,903.16 Cr</t>
  </si>
  <si>
    <t>13,66,904.06 Cr</t>
  </si>
  <si>
    <t>28,59,61,213.90 Dr</t>
  </si>
  <si>
    <t>46,33,696.46 Dr</t>
  </si>
  <si>
    <t>29,08,12,328.32 Cr</t>
  </si>
  <si>
    <t>46,66,699.50 Cr</t>
  </si>
  <si>
    <t>39,41,55,561.94 Dr</t>
  </si>
  <si>
    <t>13,66,903.06 Dr</t>
  </si>
  <si>
    <t>Payment No</t>
  </si>
  <si>
    <t>Vendor Name</t>
  </si>
  <si>
    <t>Bill No</t>
  </si>
  <si>
    <t>MRN Date</t>
  </si>
  <si>
    <t>Overdue</t>
  </si>
  <si>
    <t>PaymentTerms</t>
  </si>
  <si>
    <t>Payment Amount</t>
  </si>
  <si>
    <t>Currency</t>
  </si>
  <si>
    <t>CurrencyRate</t>
  </si>
  <si>
    <t>TDS</t>
  </si>
  <si>
    <t>DebitNoteAmnt</t>
  </si>
  <si>
    <t>Payment Date</t>
  </si>
  <si>
    <t>Priority</t>
  </si>
  <si>
    <t>Approval Name</t>
  </si>
  <si>
    <t>Approval Status</t>
  </si>
  <si>
    <t>Approval Date</t>
  </si>
  <si>
    <t>Request By</t>
  </si>
  <si>
    <t>Comment</t>
  </si>
  <si>
    <t>Sysdate</t>
  </si>
  <si>
    <t>UTRNO</t>
  </si>
  <si>
    <t>Paid Date</t>
  </si>
  <si>
    <t>LedgerOutstanding</t>
  </si>
  <si>
    <t>BillOS</t>
  </si>
  <si>
    <t>PIL6/PRQ/22-23/1171</t>
  </si>
  <si>
    <t>30 Days from Invoice Date</t>
  </si>
  <si>
    <t>Low</t>
  </si>
  <si>
    <t>ratnesh</t>
  </si>
  <si>
    <t>pnegi</t>
  </si>
  <si>
    <t>PIL6/PRQ/22-23/1172</t>
  </si>
  <si>
    <t>PRIK/1576/22-23</t>
  </si>
  <si>
    <t>27-08-2022</t>
  </si>
  <si>
    <t>Others</t>
  </si>
  <si>
    <t>Rs</t>
  </si>
  <si>
    <t>PIL6/PRQ/22-23/1173</t>
  </si>
  <si>
    <t>PRIK/1883/22-23</t>
  </si>
  <si>
    <t>PIL6/PRQ/22-23/1174</t>
  </si>
  <si>
    <t>PIL6/PRQ/22-23/1179</t>
  </si>
  <si>
    <t>PIL-VI</t>
  </si>
  <si>
    <t>33,003.00 Dr</t>
  </si>
  <si>
    <t>PP MF Yarn Twisted 3000 Denier UV NW</t>
  </si>
  <si>
    <t>WIP00191</t>
  </si>
  <si>
    <t>PPL</t>
  </si>
  <si>
    <t>Diesel</t>
  </si>
  <si>
    <t>24ABJPV0976A1ZO</t>
  </si>
  <si>
    <t>OLD/USED FABRIC ROLL PIPE</t>
  </si>
  <si>
    <t>Indentsubcode</t>
  </si>
  <si>
    <t>ItemRemarks</t>
  </si>
  <si>
    <t>Note</t>
  </si>
  <si>
    <t>Discamt</t>
  </si>
  <si>
    <t>Discamt1</t>
  </si>
  <si>
    <t>ExciseAmount</t>
  </si>
  <si>
    <t>EducessAmount</t>
  </si>
  <si>
    <t>HiEducessamount</t>
  </si>
  <si>
    <t>InwardVatType</t>
  </si>
  <si>
    <t>Vatamount</t>
  </si>
  <si>
    <t>Addvatamount</t>
  </si>
  <si>
    <t>Frieght</t>
  </si>
  <si>
    <t>Pkgfwd</t>
  </si>
  <si>
    <t>Otherchg</t>
  </si>
  <si>
    <t>Spdutyname</t>
  </si>
  <si>
    <t>Spdutyamt</t>
  </si>
  <si>
    <t>Additionalduty</t>
  </si>
  <si>
    <t>VAT</t>
  </si>
  <si>
    <t>Laxman B. Bakutra</t>
  </si>
  <si>
    <t>12,92,35,000.30 Cr</t>
  </si>
  <si>
    <t>1,99,68,838.71 Cr</t>
  </si>
  <si>
    <t>3,18,19,453.14 Dr</t>
  </si>
  <si>
    <t>14,10,85,614.74 Cr</t>
  </si>
  <si>
    <t>13,94,02,456.69 Dr</t>
  </si>
  <si>
    <t>2,20,66,349.15 Cr</t>
  </si>
  <si>
    <t>1,99,68,839.28 Dr</t>
  </si>
  <si>
    <t>14,14,99,966.56 Dr</t>
  </si>
  <si>
    <t>3,88,58,106.60 Dr</t>
  </si>
  <si>
    <t>3,18,86,148.42 Cr</t>
  </si>
  <si>
    <t>1,13,66,526.96 Dr</t>
  </si>
  <si>
    <t>5,93,77,728.06 Dr</t>
  </si>
  <si>
    <t>56,34,570.47 Cr</t>
  </si>
  <si>
    <t>1,04,941.52 Dr</t>
  </si>
  <si>
    <t>7,50,239.78 Dr</t>
  </si>
  <si>
    <t>6,45,298.26 Cr</t>
  </si>
  <si>
    <t>5,09,02,673.41 Cr</t>
  </si>
  <si>
    <t>1,13,93,172.40 Cr</t>
  </si>
  <si>
    <t>2,78,56,975.15 Dr</t>
  </si>
  <si>
    <t>6,73,66,476.16 Cr</t>
  </si>
  <si>
    <t>41,52,96,187.60 Dr</t>
  </si>
  <si>
    <t>51,67,917.84 Dr</t>
  </si>
  <si>
    <t>41,01,28,269.76 Dr</t>
  </si>
  <si>
    <t>32,70,04,047.58 Cr</t>
  </si>
  <si>
    <t>48,89,371.54 Cr</t>
  </si>
  <si>
    <t>32,21,14,676.04 Cr</t>
  </si>
  <si>
    <t>32,22,57,060.19 Dr</t>
  </si>
  <si>
    <t>49,91,718.17 Dr</t>
  </si>
  <si>
    <t>31,72,65,342.02 Dr</t>
  </si>
  <si>
    <t>41,21,26,914.34 Cr</t>
  </si>
  <si>
    <t>51,72,636.02 Cr</t>
  </si>
  <si>
    <t>40,69,54,278.32 Cr</t>
  </si>
  <si>
    <t>1,52,67,00,317.57 Dr</t>
  </si>
  <si>
    <t>5,645.41 Cr</t>
  </si>
  <si>
    <t>3,14,68,390.37 Dr</t>
  </si>
  <si>
    <t>1,49,52,37,572.61 Dr</t>
  </si>
  <si>
    <t>51,89,36,987.92 Cr</t>
  </si>
  <si>
    <t>72,15,608.00 Cr</t>
  </si>
  <si>
    <t>51,17,21,379.92 Cr</t>
  </si>
  <si>
    <t>41,28,43,224.83 Dr</t>
  </si>
  <si>
    <t>72,21,252.74 Dr</t>
  </si>
  <si>
    <t>40,56,21,972.09 Dr</t>
  </si>
  <si>
    <t>1,42,06,06,565.58 Cr</t>
  </si>
  <si>
    <t>3,14,68,390.36 Cr</t>
  </si>
  <si>
    <t>1,38,91,38,175.22 Cr</t>
  </si>
  <si>
    <t>LLDPE FILM</t>
  </si>
  <si>
    <t>Purchase Interstate - Raw Material</t>
  </si>
  <si>
    <t>27AAECV8365Q1ZC</t>
  </si>
  <si>
    <t>FIBC Accessories</t>
  </si>
  <si>
    <t>K.P. Woven Pvt Ltd - Unit 2 (Nani Chirai) -Sales</t>
  </si>
  <si>
    <t>90+15</t>
  </si>
  <si>
    <t>HD UL Fabric</t>
  </si>
  <si>
    <t>Pine Wooden Pallet Design Code STD90110</t>
  </si>
  <si>
    <t>Freight outward Expenses (RCM_Withinstate)</t>
  </si>
  <si>
    <t>WIP00033</t>
  </si>
  <si>
    <t>SMF00247</t>
  </si>
  <si>
    <t>Subgroupname</t>
  </si>
  <si>
    <t>Buyername</t>
  </si>
  <si>
    <t>Send</t>
  </si>
  <si>
    <t>Recd</t>
  </si>
  <si>
    <t>PP Tapes</t>
  </si>
  <si>
    <t>N0t match</t>
  </si>
  <si>
    <t>match</t>
  </si>
  <si>
    <t>Challansubcode</t>
  </si>
  <si>
    <t>PIL6/20-21/JOBWORK/14/1</t>
  </si>
  <si>
    <t>RAW05951</t>
  </si>
  <si>
    <t>PIL6/20-21/JOBWORK/15/1</t>
  </si>
  <si>
    <t>PIL6/20-21/JOBWORK/19/1</t>
  </si>
  <si>
    <t>PIL6/20-21/JOBWORK/20/2</t>
  </si>
  <si>
    <t>PIL6/20-21/JOBWORK/20/3</t>
  </si>
  <si>
    <t>PIL6/20-21/JOBWORK/21/1</t>
  </si>
  <si>
    <t>PIL6/20-21/JOBWORK/22/1</t>
  </si>
  <si>
    <t>PIL6/20-21/JOBWORK/23/2</t>
  </si>
  <si>
    <t>PIL6/20-21/JOBWORK/23/3</t>
  </si>
  <si>
    <t>PIL6/20-21/JOBWORK/25/2</t>
  </si>
  <si>
    <t>PIL6/20-21/JOBWORK/26/4</t>
  </si>
  <si>
    <t>PIL6/20-21/JOBWORK/28/1</t>
  </si>
  <si>
    <t>PIL6/20-21/JOBWORK/29/1</t>
  </si>
  <si>
    <t>PIL6/20-21/JOBWORK/31/1</t>
  </si>
  <si>
    <t>PIL6/20-21/JOBWORK/39/1</t>
  </si>
  <si>
    <t>PIL6/20-21/JOBWORK/40/1</t>
  </si>
  <si>
    <t>PIL6/20-21/JOBWORK/41/1</t>
  </si>
  <si>
    <t>PIL6/20-21/JOBWORK/44/1</t>
  </si>
  <si>
    <t>PIL6/20-21/JOBWORK/44/2</t>
  </si>
  <si>
    <t>PIL6/20-21/JOBWORK/45/1</t>
  </si>
  <si>
    <t>PIL6/20-21/JOBWORK/45/2</t>
  </si>
  <si>
    <t>FIB02003</t>
  </si>
  <si>
    <t>PIL6/20-21/JOBWORK/46/2</t>
  </si>
  <si>
    <t>PIL6/20-21/JOBWORK/46/3</t>
  </si>
  <si>
    <t>PIL6/20-21/JOBWORK/47/1</t>
  </si>
  <si>
    <t>PIL6/20-21/JOBWORK/48/1</t>
  </si>
  <si>
    <t>PIL6/20-21/JOBWORK/7/1</t>
  </si>
  <si>
    <t>PIL6/20-21/JOBWORK/8/1</t>
  </si>
  <si>
    <t>PIL6/21-22/JOBWORK/13/1</t>
  </si>
  <si>
    <t>PIL6/21-22/JOBWORK/18/1</t>
  </si>
  <si>
    <t>PIL6/21-22/JOBWORK/2/1</t>
  </si>
  <si>
    <t>PIL6/21-22/JOBWORK/3/1</t>
  </si>
  <si>
    <t>PIL6/21-22/JOBWORK/3/2</t>
  </si>
  <si>
    <t>PIL6/21-22/JOBWORK/4/1</t>
  </si>
  <si>
    <t>PIL6/21-22/JOBWORK/4/2</t>
  </si>
  <si>
    <t>PIL6/21-22/JOBWORK/43/1</t>
  </si>
  <si>
    <t>FIB05026</t>
  </si>
  <si>
    <t>PIL6/21-22/JOBWORK/5/1</t>
  </si>
  <si>
    <t>PIL6/21-22/JOBWORK/6/1</t>
  </si>
  <si>
    <t>PIL6/22-23/JOBWORK/1/1</t>
  </si>
  <si>
    <t>PIL6/22-23/JOBWORK/12/1</t>
  </si>
  <si>
    <t>PIL6/22-23/JOBWORK/12/2</t>
  </si>
  <si>
    <t>PIL6/22-23/JOBWORK/13/1</t>
  </si>
  <si>
    <t>PIL6/22-23/JOBWORK/16/1</t>
  </si>
  <si>
    <t>PIL6/22-23/JOBWORK/22/1</t>
  </si>
  <si>
    <t>PIL6/22-23/JOBWORK/24/1</t>
  </si>
  <si>
    <t>PIL6/22-23/JOBWORK/24/2</t>
  </si>
  <si>
    <t>PIL6/22-23/JOBWORK/25/1</t>
  </si>
  <si>
    <t>PIL6/22-23/JOBWORK/25/2</t>
  </si>
  <si>
    <t>PIL6/22-23/JOBWORK/25/3</t>
  </si>
  <si>
    <t>PIL6/22-23/JOBWORK/26/1</t>
  </si>
  <si>
    <t>PIL6/22-23/JOBWORK/26/2</t>
  </si>
  <si>
    <t>PIL6/22-23/JOBWORK/26/3</t>
  </si>
  <si>
    <t>PIL6/22-23/JOBWORK/26/4</t>
  </si>
  <si>
    <t>PIL6/22-23/JOBWORK/27/1</t>
  </si>
  <si>
    <t>PIL6/22-23/JOBWORK/27/2</t>
  </si>
  <si>
    <t>PIL6/22-23/JOBWORK/30/1</t>
  </si>
  <si>
    <t>PIL6/22-23/JOBWORK/32/1</t>
  </si>
  <si>
    <t>PIL6/22-23/JOBWORK/34/1</t>
  </si>
  <si>
    <t>PIL6/22-23/JOBWORK/36/1</t>
  </si>
  <si>
    <t>PIL6/22-23/JOBWORK/36/2</t>
  </si>
  <si>
    <t>PIL6/22-23/JOBWORK/37/1</t>
  </si>
  <si>
    <t>PIL6/22-23/JOBWORK/37/2</t>
  </si>
  <si>
    <t>PIL6/22-23/JOBWORK/37/3</t>
  </si>
  <si>
    <t>PIL6/22-23/JOBWORK/37/4</t>
  </si>
  <si>
    <t>PIL6/22-23/JOBWORK/40/1</t>
  </si>
  <si>
    <t>PIL6/22-23/JOBWORK/40/2</t>
  </si>
  <si>
    <t>PIL6/22-23/JOBWORK/42/1</t>
  </si>
  <si>
    <t>PIL6/22-23/JOBWORK/42/2</t>
  </si>
  <si>
    <t>PIL6/22-23/JOBWORK/43/1</t>
  </si>
  <si>
    <t>PIL6/22-23/JOBWORK/43/2</t>
  </si>
  <si>
    <t>PIL6/22-23/JOBWORK/45/1</t>
  </si>
  <si>
    <t>PIL6/22-23/JOBWORK/47/1</t>
  </si>
  <si>
    <t>PIL6/22-23/JOBWORK/49/1</t>
  </si>
  <si>
    <t>PIL6/22-23/JOBWORK/49/2</t>
  </si>
  <si>
    <t>PIL6/22-23/JOBWORK/49/3</t>
  </si>
  <si>
    <t>PIL6/22-23/JOBWORK/49/4</t>
  </si>
  <si>
    <t>PIL6/22-23/JOBWORK/50/1</t>
  </si>
  <si>
    <t>PIL6/22-23/JOBWORK/50/2</t>
  </si>
  <si>
    <t>PIL6/22-23/JOBWORK/7/1</t>
  </si>
  <si>
    <t>PIL6/22-23/JOBWORK/7/2</t>
  </si>
  <si>
    <t>PIL6/22-23/JOBWORK/7/3</t>
  </si>
  <si>
    <t>PIL6/23-24/JOBWORK/1/1</t>
  </si>
  <si>
    <t>PIL6/23-24/JOBWORK/1/2</t>
  </si>
  <si>
    <t>PIL6/23-24/JOBWORK/1/3</t>
  </si>
  <si>
    <t>PIL6/23-24/JOBWORK/1/4</t>
  </si>
  <si>
    <t>PIL6/23-24/JOBWORK/1/5</t>
  </si>
  <si>
    <t>PIL6/23-24/JOBWORK/10/1</t>
  </si>
  <si>
    <t>PIL6/23-24/JOBWORK/12/1</t>
  </si>
  <si>
    <t>PIL6/23-24/JOBWORK/12/2</t>
  </si>
  <si>
    <t>PIL6/23-24/JOBWORK/12/3</t>
  </si>
  <si>
    <t>PIL6/23-24/JOBWORK/2/1</t>
  </si>
  <si>
    <t>PIL6/23-24/JOBWORK/4/1</t>
  </si>
  <si>
    <t>PIL6/23-24/JOBWORK/4/2</t>
  </si>
  <si>
    <t>PIL6/23-24/JOBWORK/6/1</t>
  </si>
  <si>
    <t>PIL6/23-24/JOBWORK/6/2</t>
  </si>
  <si>
    <t>PIL6/23-24/JOBWORK/9/1</t>
  </si>
  <si>
    <t>PIL6/23-24/JOBWORK/9/2</t>
  </si>
  <si>
    <t>Tritha Graphics</t>
  </si>
  <si>
    <t>P.F. Contribution - Employer</t>
  </si>
  <si>
    <t>Fumigation Charges</t>
  </si>
  <si>
    <t>PIL6/D/25</t>
  </si>
  <si>
    <t>Zip Lock Bags</t>
  </si>
  <si>
    <t>PIL6/D/26</t>
  </si>
  <si>
    <t>PIL6/D/27</t>
  </si>
  <si>
    <t>PIL6/D/28</t>
  </si>
  <si>
    <t>PIL6/D/29</t>
  </si>
  <si>
    <t>PIL6/D/30</t>
  </si>
  <si>
    <t>PIL6/D/31</t>
  </si>
  <si>
    <t>PIL6/D/32</t>
  </si>
  <si>
    <t>PIL6/D/33</t>
  </si>
  <si>
    <t>PIL1/DC/216</t>
  </si>
  <si>
    <t>PIL1/DC/215</t>
  </si>
  <si>
    <t>KPV/D/173</t>
  </si>
  <si>
    <t>PIL1/DC/218</t>
  </si>
  <si>
    <t>PIL1/DC/217</t>
  </si>
  <si>
    <t>PIL1/DC/222</t>
  </si>
  <si>
    <t>PIL1/DC/221</t>
  </si>
  <si>
    <t>PIL1/DC/225</t>
  </si>
  <si>
    <t>PIL1/DC/224</t>
  </si>
  <si>
    <t>KPV/D/180</t>
  </si>
  <si>
    <t>PIL1/DC/228</t>
  </si>
  <si>
    <t>PIL1/DC/226</t>
  </si>
  <si>
    <t>PIL1/DC/227</t>
  </si>
  <si>
    <t>Thinner</t>
  </si>
  <si>
    <t>Thinner Vyankatesh Thinner</t>
  </si>
  <si>
    <t>PIL1/DC/232</t>
  </si>
  <si>
    <t>PIL1/DC/231</t>
  </si>
  <si>
    <t>PIL1/DC/234</t>
  </si>
  <si>
    <t>PIL1/DC/233</t>
  </si>
  <si>
    <t>PIL1/DC/236</t>
  </si>
  <si>
    <t>PIL1/DC/235</t>
  </si>
  <si>
    <t>Wooden Pallet Flate Size 85X105Cm</t>
  </si>
  <si>
    <t>PIL1/DC/239</t>
  </si>
  <si>
    <t>PIL1/DC/237</t>
  </si>
  <si>
    <t>PIL1/DC/238</t>
  </si>
  <si>
    <t>KPV/D/196</t>
  </si>
  <si>
    <t>PIL1/DC/243</t>
  </si>
  <si>
    <t>PIL1/DC/248</t>
  </si>
  <si>
    <t>PIL1/DC/242</t>
  </si>
  <si>
    <t>PIL1/DC/244</t>
  </si>
  <si>
    <t>PIL1/DC/247</t>
  </si>
  <si>
    <t>PIL1/DC/250</t>
  </si>
  <si>
    <t>PIL1/DC/249</t>
  </si>
  <si>
    <t>PIL1/DC/253</t>
  </si>
  <si>
    <t>PIL1/DC/252</t>
  </si>
  <si>
    <t>PIL1/DC/256</t>
  </si>
  <si>
    <t>PIL1/DC/258</t>
  </si>
  <si>
    <t>PIL1/DC/255</t>
  </si>
  <si>
    <t>KPV/D/213</t>
  </si>
  <si>
    <t>PIL1/DC/260</t>
  </si>
  <si>
    <t>PIL1/DC/259</t>
  </si>
  <si>
    <t>PIL1/DC/262</t>
  </si>
  <si>
    <t>PIL1/DC/261</t>
  </si>
  <si>
    <t>KPV/D/225</t>
  </si>
  <si>
    <t>PIL1/DC/264</t>
  </si>
  <si>
    <t>PIL1/DC/263</t>
  </si>
  <si>
    <t>PIL1/DC/269</t>
  </si>
  <si>
    <t>PIL1/DC/268</t>
  </si>
  <si>
    <t>KPV/D/233</t>
  </si>
  <si>
    <t>PIL1/DC/272</t>
  </si>
  <si>
    <t>PIL1/DC/271</t>
  </si>
  <si>
    <t>PIL1/DC/275</t>
  </si>
  <si>
    <t>PIL1/DC/274</t>
  </si>
  <si>
    <t>PIL1/DC/273</t>
  </si>
  <si>
    <t>PIL1/DC/277</t>
  </si>
  <si>
    <t>PIL1/DC/276</t>
  </si>
  <si>
    <t>PIL1/DC/279</t>
  </si>
  <si>
    <t>PIL1/DC/281</t>
  </si>
  <si>
    <t>PIL1/DC/278</t>
  </si>
  <si>
    <t>PIL1/DC/280</t>
  </si>
  <si>
    <t>PIL1/DC/282</t>
  </si>
  <si>
    <t>PIL1/DC/285</t>
  </si>
  <si>
    <t>PIL1/DC/287</t>
  </si>
  <si>
    <t>PIL1/DC/289</t>
  </si>
  <si>
    <t>PIL1/DC/284</t>
  </si>
  <si>
    <t>PIL1/DC/286</t>
  </si>
  <si>
    <t>PIL1/DC/288</t>
  </si>
  <si>
    <t>RAW05764</t>
  </si>
  <si>
    <t>RAW05939</t>
  </si>
  <si>
    <t>ramesh.singhal</t>
  </si>
  <si>
    <t>THINNER</t>
  </si>
  <si>
    <t>PIL6/D/36</t>
  </si>
  <si>
    <t>PP 104 FLAT MW Folding</t>
  </si>
  <si>
    <t>PIL-1</t>
  </si>
  <si>
    <t>OEL-1</t>
  </si>
  <si>
    <t>PIL-VI TO PIL-1</t>
  </si>
  <si>
    <t>Gross Value</t>
  </si>
  <si>
    <t>CONTRACTOR SALARY</t>
  </si>
  <si>
    <t>Advocate Fees Exp.</t>
  </si>
  <si>
    <t>Staff Welfare Exp.</t>
  </si>
  <si>
    <t>TOTAL AMOUNT</t>
  </si>
  <si>
    <t>Expense Head</t>
  </si>
  <si>
    <t>W LINER (FG)</t>
  </si>
  <si>
    <t>W/O LINER (FG)</t>
  </si>
  <si>
    <t>RM DIFF (OEL)</t>
  </si>
  <si>
    <t>NET DIFF</t>
  </si>
  <si>
    <t>FG DIFF (KPW)</t>
  </si>
  <si>
    <t>DATE</t>
  </si>
  <si>
    <t>NO.1</t>
  </si>
  <si>
    <t>NO.2</t>
  </si>
  <si>
    <t>NO.3</t>
  </si>
  <si>
    <t>NO.4</t>
  </si>
  <si>
    <t>TOTAL</t>
  </si>
  <si>
    <t>Invoice</t>
  </si>
  <si>
    <t>Rate Difference To be consider</t>
  </si>
  <si>
    <t>Rate Difference to be consider</t>
  </si>
  <si>
    <t>KPV/D/246</t>
  </si>
  <si>
    <t>PIL1/DC/292</t>
  </si>
  <si>
    <t>PIL1/DC/294</t>
  </si>
  <si>
    <t>PIL1/DC/295</t>
  </si>
  <si>
    <t>PIL1/DC/296</t>
  </si>
  <si>
    <t>PIL1/DC/300</t>
  </si>
  <si>
    <t>PIL1/DC/302</t>
  </si>
  <si>
    <t>PIL1/DC/305</t>
  </si>
  <si>
    <t>PIL1/DC/309</t>
  </si>
  <si>
    <t>PIL1/DC/311</t>
  </si>
  <si>
    <t>PIL1/DC/315</t>
  </si>
  <si>
    <t>PIL1/DC/318</t>
  </si>
  <si>
    <t>PIL1/DC/320</t>
  </si>
  <si>
    <t>PIL1/DC/325</t>
  </si>
  <si>
    <t>PIL1/DC/327</t>
  </si>
  <si>
    <t>KPV/D/275</t>
  </si>
  <si>
    <t>PIL1/DC/331</t>
  </si>
  <si>
    <t>PIL1/DC/333</t>
  </si>
  <si>
    <t>PIL1/DC/335</t>
  </si>
  <si>
    <t>PIL1/DC/339</t>
  </si>
  <si>
    <t>PIL1/DC/341</t>
  </si>
  <si>
    <t>KPV/D/286</t>
  </si>
  <si>
    <t>PIL1/DC/344</t>
  </si>
  <si>
    <t>PIL1/DC/347</t>
  </si>
  <si>
    <t>PIL1/DC/354</t>
  </si>
  <si>
    <t>PIL1/DC/352</t>
  </si>
  <si>
    <t>PIL1/DC/357</t>
  </si>
  <si>
    <t>PIL1/DC/358</t>
  </si>
  <si>
    <t>PIL1/DC/359</t>
  </si>
  <si>
    <t>PIL1/DC/361</t>
  </si>
  <si>
    <t>PIL1/DC/363</t>
  </si>
  <si>
    <t>PIL1/DC/364</t>
  </si>
  <si>
    <t>PIL1/DC/367</t>
  </si>
  <si>
    <t>PIL1/DC/369</t>
  </si>
  <si>
    <t>PIL1/DC/371</t>
  </si>
  <si>
    <t>PIL1/DC/373</t>
  </si>
  <si>
    <t>PIL1/DC/376</t>
  </si>
  <si>
    <t>PIL1/DC/378</t>
  </si>
  <si>
    <t>PIL1/DC/380</t>
  </si>
  <si>
    <t>PIL1/DC/382</t>
  </si>
  <si>
    <t>PIL1/DC/386</t>
  </si>
  <si>
    <t>PIL1/DC/390</t>
  </si>
  <si>
    <t>PIL1/DC/392</t>
  </si>
  <si>
    <t>PIL1/DC/394</t>
  </si>
  <si>
    <t>KPV/D/330</t>
  </si>
  <si>
    <t>PIL1/DC/399</t>
  </si>
  <si>
    <t>PIL1/DC/404</t>
  </si>
  <si>
    <t>PIL1/DC/407</t>
  </si>
  <si>
    <t>PIL1/DC/409</t>
  </si>
  <si>
    <t>KPV/D/342</t>
  </si>
  <si>
    <t>PIL1/DC/410</t>
  </si>
  <si>
    <t>KPV/D/346</t>
  </si>
  <si>
    <t>PIL1/DC/412</t>
  </si>
  <si>
    <t>KPV/D/358</t>
  </si>
  <si>
    <t>PIL1/DC/415</t>
  </si>
  <si>
    <t>PIL1/DC/417</t>
  </si>
  <si>
    <t>PIL1/DC/422</t>
  </si>
  <si>
    <t>PIL1/DC/420</t>
  </si>
  <si>
    <t>KPV/D/351</t>
  </si>
  <si>
    <t>KPV/D/364</t>
  </si>
  <si>
    <t>PIL1/DC/426</t>
  </si>
  <si>
    <t>PIL1/DC/428</t>
  </si>
  <si>
    <t>PIL1/DC/265</t>
  </si>
  <si>
    <t>PIL1/DC/293</t>
  </si>
  <si>
    <t>PIL1/DC/297</t>
  </si>
  <si>
    <t>PIL1/DC/301</t>
  </si>
  <si>
    <t>PIL1/DC/303</t>
  </si>
  <si>
    <t>PIL1/DC/306</t>
  </si>
  <si>
    <t>PIL1/DC/310</t>
  </si>
  <si>
    <t>PIL1/DC/312</t>
  </si>
  <si>
    <t>PIL1/DC/316</t>
  </si>
  <si>
    <t>PIL1/DC/319</t>
  </si>
  <si>
    <t>PIL1/DC/321</t>
  </si>
  <si>
    <t>PIL1/DC/326</t>
  </si>
  <si>
    <t>PIL1/DC/328</t>
  </si>
  <si>
    <t>GNCN 230</t>
  </si>
  <si>
    <t>KPV/D/263</t>
  </si>
  <si>
    <t>KPV/D/281</t>
  </si>
  <si>
    <t>PIL1/DC/332</t>
  </si>
  <si>
    <t>PIL1/DC/336</t>
  </si>
  <si>
    <t>PIL1/DC/340</t>
  </si>
  <si>
    <t>PIL1/DC/342</t>
  </si>
  <si>
    <t>PIL1/DC/345</t>
  </si>
  <si>
    <t>PIL1/DC/348</t>
  </si>
  <si>
    <t>PIL1/DC/353</t>
  </si>
  <si>
    <t>PIL1/DC/360</t>
  </si>
  <si>
    <t>PIL1/DC/362</t>
  </si>
  <si>
    <t>PIL1/DC/368</t>
  </si>
  <si>
    <t>PIL1/DC/370</t>
  </si>
  <si>
    <t>PIL1/DC/372</t>
  </si>
  <si>
    <t>PIL1/DC/374</t>
  </si>
  <si>
    <t>PIL1/DC/377</t>
  </si>
  <si>
    <t>PIL1/DC/379</t>
  </si>
  <si>
    <t>PIL1/DC/381</t>
  </si>
  <si>
    <t>PIL1/DC/383</t>
  </si>
  <si>
    <t>PIL1/DC/384</t>
  </si>
  <si>
    <t>PIL1/DC/387</t>
  </si>
  <si>
    <t>PIL1/DC/391</t>
  </si>
  <si>
    <t>PIL1/DC/393</t>
  </si>
  <si>
    <t>PIL1/DC/395</t>
  </si>
  <si>
    <t>PIL1/DC/400</t>
  </si>
  <si>
    <t>PIL1/DC/405</t>
  </si>
  <si>
    <t>PIL1/DC/406</t>
  </si>
  <si>
    <t>PIL1/DC/411</t>
  </si>
  <si>
    <t>PIL1/DC/413</t>
  </si>
  <si>
    <t>PIL1/DC/416</t>
  </si>
  <si>
    <t>PIL1/DC/418</t>
  </si>
  <si>
    <t>PIL1/DC/423</t>
  </si>
  <si>
    <t>PIL1/DC/421</t>
  </si>
  <si>
    <t>PIL1/DC/427</t>
  </si>
  <si>
    <t>PIL6/D/34</t>
  </si>
  <si>
    <t>PIL6/D/35</t>
  </si>
  <si>
    <t>PIL6/D/37</t>
  </si>
  <si>
    <t>PIL6/D/38</t>
  </si>
  <si>
    <t>PIL6/D/39</t>
  </si>
  <si>
    <t>PIL6/D/40</t>
  </si>
  <si>
    <t>PIL6/D/41</t>
  </si>
  <si>
    <t>PIL6/D/42</t>
  </si>
  <si>
    <t>PIL6/D/43</t>
  </si>
  <si>
    <t>PIL6/D/44</t>
  </si>
  <si>
    <t>PIL6/D/45</t>
  </si>
  <si>
    <t>PIL6/D/48</t>
  </si>
  <si>
    <t>PIL6/D/49</t>
  </si>
  <si>
    <t>1,61,89,037.35 Dr</t>
  </si>
  <si>
    <t>1,61,89,035.00 Cr</t>
  </si>
  <si>
    <t>36,55,80,104.63 Cr</t>
  </si>
  <si>
    <t>6,26,75,223.92 Dr</t>
  </si>
  <si>
    <t>38,88,100.32 Dr</t>
  </si>
  <si>
    <t>29,90,11,409.52 Dr</t>
  </si>
  <si>
    <t>42,58,41,569.69 Cr</t>
  </si>
  <si>
    <t>37,58,50,693.88 Dr</t>
  </si>
  <si>
    <t>38,07,05,516.71 Cr</t>
  </si>
  <si>
    <t>42,90,50,497.68 Dr</t>
  </si>
  <si>
    <t>9,48,79,811.06 Cr</t>
  </si>
  <si>
    <t>1,71,60,573.95 Dr</t>
  </si>
  <si>
    <t>2,34,40,442.68 Cr</t>
  </si>
  <si>
    <t>8,68,97,287.35 Dr</t>
  </si>
  <si>
    <t>9,51,10,544.50 Cr</t>
  </si>
  <si>
    <t>36,12,744.10 Cr</t>
  </si>
  <si>
    <t>6,65,083.14 Dr</t>
  </si>
  <si>
    <t>6,65,083.14 Cr</t>
  </si>
  <si>
    <t>36,20,724.83 Dr</t>
  </si>
  <si>
    <t>SARU PLASTICS</t>
  </si>
  <si>
    <t>PIL6/23-24/JOBWORK/13/1</t>
  </si>
  <si>
    <t>PIL6/23-24/JOBWORK/13/2</t>
  </si>
  <si>
    <t>PIL6/23-24/JOBWORK/14/1</t>
  </si>
  <si>
    <t>PIL6/23-24/JOBWORK/14/2</t>
  </si>
  <si>
    <t>PIL6/23-24/JOBWORK/15/1</t>
  </si>
  <si>
    <t>PIL6/23-24/JOBWORK/16/1</t>
  </si>
  <si>
    <t>PIL6/23-24/JOBWORK/16/2</t>
  </si>
  <si>
    <t>PIL6/23-24/JOBWORK/16/3</t>
  </si>
  <si>
    <t>PIL6/23-24/JOBWORK/16/4</t>
  </si>
  <si>
    <t>PIL6/23-24/JOBWORK/19/1</t>
  </si>
  <si>
    <t>PIL6/23-24/JOBWORK/19/2</t>
  </si>
  <si>
    <t>PIL6/23-24/JOBWORK/20/1</t>
  </si>
  <si>
    <t>PIL6/23-24/JOBWORK/21/1</t>
  </si>
  <si>
    <t>PIL6/23-24/JOBWORK/21/2</t>
  </si>
  <si>
    <t>PIL6/23-24/JOBWORK/22/1</t>
  </si>
  <si>
    <t>PIL6/23-24/JOBWORK/22/2</t>
  </si>
  <si>
    <t>PIL6/23-24/JOBWORK/24/1</t>
  </si>
  <si>
    <t>PIL6/23-24/JOBWORK/25/1</t>
  </si>
  <si>
    <t>PIL6/23-24/JOBWORK/25/2</t>
  </si>
  <si>
    <t>PIL6/23-24/JOBWORK/25/3</t>
  </si>
  <si>
    <t>PIL6/23-24/JOBWORK/25/4</t>
  </si>
  <si>
    <t>PIL6/23-24/JOBWORK/25/5</t>
  </si>
  <si>
    <t>PIL6/23-24/JOBWORK/25/6</t>
  </si>
  <si>
    <t>PIL6/23-24/JOBWORK/26/1</t>
  </si>
  <si>
    <t>PIL6/23-24/JOBWORK/26/2</t>
  </si>
  <si>
    <t>PIL6/23-24/JOBWORK/26/3</t>
  </si>
  <si>
    <t>PIL6/23-24/JOBWORK/27/1</t>
  </si>
  <si>
    <t>PIL6/23-24/JOBWORK/27/2</t>
  </si>
  <si>
    <t>PIL6/23-24/JOBWORK/28/1</t>
  </si>
  <si>
    <t>PIL6/23-24/JOBWORK/28/2</t>
  </si>
  <si>
    <t>PIL6/23-24/JOBWORK/28/3</t>
  </si>
  <si>
    <t>PIL6/23-24/JOBWORK/28/4</t>
  </si>
  <si>
    <t>PIL6/23-24/JOBWORK/28/5</t>
  </si>
  <si>
    <t>PIL6/23-24/JOBWORK/28/6</t>
  </si>
  <si>
    <t>PIL6/23-24/JOBWORK/28/7</t>
  </si>
  <si>
    <t>PIL6/23-24/JOBWORK/30/1</t>
  </si>
  <si>
    <t>PIL6/23-24/JOBWORK/31/1</t>
  </si>
  <si>
    <t>PIL6/23-24/JOBWORK/17/1</t>
  </si>
  <si>
    <t>PIL1/DC/1</t>
  </si>
  <si>
    <t>PIL1/DC/2</t>
  </si>
  <si>
    <t>PIL1/DC/3</t>
  </si>
  <si>
    <t>PIL1/DC/4</t>
  </si>
  <si>
    <t>PIL1/DC/5</t>
  </si>
  <si>
    <t>PIL1/DC/8</t>
  </si>
  <si>
    <t>PIL1/DC/9</t>
  </si>
  <si>
    <t>PIL1/DC/11</t>
  </si>
  <si>
    <t>PIL1/DC/12</t>
  </si>
  <si>
    <t>PIL1/DC/14</t>
  </si>
  <si>
    <t>PIL1/DC/15</t>
  </si>
  <si>
    <t>PIL1/DC/16</t>
  </si>
  <si>
    <t>PIL1/DC/17</t>
  </si>
  <si>
    <t>PIL1/DC/18</t>
  </si>
  <si>
    <t>PIL1/DC/19</t>
  </si>
  <si>
    <t>PIL1/DC/20</t>
  </si>
  <si>
    <t>PIL1/DC/21</t>
  </si>
  <si>
    <t>PIL1/DC/22</t>
  </si>
  <si>
    <t>PIL1/DC/23</t>
  </si>
  <si>
    <t>PIL1/DC/24</t>
  </si>
  <si>
    <t>PIL1/DC/25</t>
  </si>
  <si>
    <t>PIL1/DC/27</t>
  </si>
  <si>
    <t>PIL1/DC/28</t>
  </si>
  <si>
    <t>PIL1/DC/29</t>
  </si>
  <si>
    <t>PIL1/DC/30</t>
  </si>
  <si>
    <t>PIL1/DC/31</t>
  </si>
  <si>
    <t>PIL1/DC/32</t>
  </si>
  <si>
    <t>PIL1/DC/36</t>
  </si>
  <si>
    <t>PIL1/DC/37</t>
  </si>
  <si>
    <t>PIL1/DC/38</t>
  </si>
  <si>
    <t>PIL1/DC/39</t>
  </si>
  <si>
    <t>PIL1/DC/40</t>
  </si>
  <si>
    <t>PIL1/DC/41</t>
  </si>
  <si>
    <t>PIL1/DC/42</t>
  </si>
  <si>
    <t>PIL1/DC/44</t>
  </si>
  <si>
    <t>PIL1/DC/45</t>
  </si>
  <si>
    <t>PIL1/DC/50</t>
  </si>
  <si>
    <t>PIL1/DC/51</t>
  </si>
  <si>
    <t>PIL1/DC/52</t>
  </si>
  <si>
    <t>PIL1/DC/53</t>
  </si>
  <si>
    <t>PIL1/DC/54</t>
  </si>
  <si>
    <t>PIL1/DC/55</t>
  </si>
  <si>
    <t>PIL1/DC/56</t>
  </si>
  <si>
    <t>PIL1/DC/59</t>
  </si>
  <si>
    <t>PIL1/DC/60</t>
  </si>
  <si>
    <t>PIL1/DC/61</t>
  </si>
  <si>
    <t>PIL1/DC/62</t>
  </si>
  <si>
    <t>PIL1/DC/63</t>
  </si>
  <si>
    <t>PIL1/DC/65</t>
  </si>
  <si>
    <t>PIL1/DC/66</t>
  </si>
  <si>
    <t>PIL1/DC/67</t>
  </si>
  <si>
    <t>PIL1/DC/68</t>
  </si>
  <si>
    <t>PIL1/DC/69</t>
  </si>
  <si>
    <t>PIL1/DC/70</t>
  </si>
  <si>
    <t>PIL1/DC/73</t>
  </si>
  <si>
    <t>PIL1/DC/74</t>
  </si>
  <si>
    <t>PIL1/DC/75</t>
  </si>
  <si>
    <t>PIL1/DC/76</t>
  </si>
  <si>
    <t>PIL1/DC/77</t>
  </si>
  <si>
    <t>PIL1/DC/78</t>
  </si>
  <si>
    <t>PIL1/DC/79</t>
  </si>
  <si>
    <t>PIL1/DC/80</t>
  </si>
  <si>
    <t>PIL1/DC/81</t>
  </si>
  <si>
    <t>PIL1/DC/83</t>
  </si>
  <si>
    <t>PIL1/DC/84</t>
  </si>
  <si>
    <t>PIL1/DC/85</t>
  </si>
  <si>
    <t>PIL1/DC/86</t>
  </si>
  <si>
    <t>PIL1/DC/87</t>
  </si>
  <si>
    <t>PIL1/DC/88</t>
  </si>
  <si>
    <t>PIL1/DC/89</t>
  </si>
  <si>
    <t>PIL1/DC/90</t>
  </si>
  <si>
    <t>PIL1/DC/91</t>
  </si>
  <si>
    <t>PIL1/DC/96</t>
  </si>
  <si>
    <t>PIL1/DC/97</t>
  </si>
  <si>
    <t>PIL1/DC/98</t>
  </si>
  <si>
    <t>PIL1/DC/102</t>
  </si>
  <si>
    <t>PIL1/DC/103</t>
  </si>
  <si>
    <t>PIL1/DC/104</t>
  </si>
  <si>
    <t>PIL1/DC/105</t>
  </si>
  <si>
    <t>PIL1/DC/106</t>
  </si>
  <si>
    <t>PIL1/DC/107</t>
  </si>
  <si>
    <t>PIL1/DC/108</t>
  </si>
  <si>
    <t>PIL1/DC/109</t>
  </si>
  <si>
    <t>PIL1/DC/110</t>
  </si>
  <si>
    <t>PIL1/DC/112</t>
  </si>
  <si>
    <t>PIL1/DC/113</t>
  </si>
  <si>
    <t>PIL1/DC/114</t>
  </si>
  <si>
    <t>PIL1/DC/115</t>
  </si>
  <si>
    <t>PIL1/DC/116</t>
  </si>
  <si>
    <t>PIL1/DC/117</t>
  </si>
  <si>
    <t>PIL1/DC/121</t>
  </si>
  <si>
    <t>PIL1/DC/122</t>
  </si>
  <si>
    <t>PIL1/DC/123</t>
  </si>
  <si>
    <t>PIL1/DC/125</t>
  </si>
  <si>
    <t>PIL1/DC/126</t>
  </si>
  <si>
    <t>PIL1/DC/131</t>
  </si>
  <si>
    <t>PIL1/DC/132</t>
  </si>
  <si>
    <t>PIL1/DC/133</t>
  </si>
  <si>
    <t>PIL1/DC/134</t>
  </si>
  <si>
    <t>PIL1/DC/135</t>
  </si>
  <si>
    <t>PIL1/DC/137</t>
  </si>
  <si>
    <t>PIL1/DC/138</t>
  </si>
  <si>
    <t>PIL1/DC/140</t>
  </si>
  <si>
    <t>PIL1/DC/141</t>
  </si>
  <si>
    <t>PIL1/DC/143</t>
  </si>
  <si>
    <t>PIL1/DC/144</t>
  </si>
  <si>
    <t>PIL1/DC/146</t>
  </si>
  <si>
    <t>PIL1/DC/147</t>
  </si>
  <si>
    <t>PIL1/DC/148</t>
  </si>
  <si>
    <t>PIL1/DC/152</t>
  </si>
  <si>
    <t>PIL1/DC/153</t>
  </si>
  <si>
    <t>PIL1/DC/154</t>
  </si>
  <si>
    <t>PIL1/DC/155</t>
  </si>
  <si>
    <t>PIL1/DC/157</t>
  </si>
  <si>
    <t>PIL1/DC/158</t>
  </si>
  <si>
    <t>PIL1/DC/161</t>
  </si>
  <si>
    <t>PIL1/DC/162</t>
  </si>
  <si>
    <t>PIL1/DC/164</t>
  </si>
  <si>
    <t>PIL1/DC/165</t>
  </si>
  <si>
    <t>PIL1/DC/166</t>
  </si>
  <si>
    <t>PIL1/DC/167</t>
  </si>
  <si>
    <t>PIL1/DC/171</t>
  </si>
  <si>
    <t>PIL1/DC/172</t>
  </si>
  <si>
    <t>PIL1/DC/173</t>
  </si>
  <si>
    <t>PIL1/DC/174</t>
  </si>
  <si>
    <t>PIL1/DC/175</t>
  </si>
  <si>
    <t>PIL1/DC/176</t>
  </si>
  <si>
    <t>PIL1/DC/179</t>
  </si>
  <si>
    <t>PIL1/DC/180</t>
  </si>
  <si>
    <t>PIL1/DC/181</t>
  </si>
  <si>
    <t>PIL1/DC/182</t>
  </si>
  <si>
    <t>PIL1/DC/183</t>
  </si>
  <si>
    <t>PIL1/DC/184</t>
  </si>
  <si>
    <t>PIL1/DC/185</t>
  </si>
  <si>
    <t>PIL1/DC/186</t>
  </si>
  <si>
    <t>PIL1/DC/187</t>
  </si>
  <si>
    <t>PIL1/DC/188</t>
  </si>
  <si>
    <t>PIL1/DC/189</t>
  </si>
  <si>
    <t>PIL1/DC/190</t>
  </si>
  <si>
    <t>PIL1/DC/191</t>
  </si>
  <si>
    <t>PIL1/DC/192</t>
  </si>
  <si>
    <t>PIL1/DC/193</t>
  </si>
  <si>
    <t>PIL1/DC/196</t>
  </si>
  <si>
    <t>PIL1/DC/197</t>
  </si>
  <si>
    <t>PIL1/DC/198</t>
  </si>
  <si>
    <t>PIL1/DC/199</t>
  </si>
  <si>
    <t>PIL1/DC/200</t>
  </si>
  <si>
    <t>PIL1/DC/201</t>
  </si>
  <si>
    <t>PIL1/DC/202</t>
  </si>
  <si>
    <t>PIL1/DC/203</t>
  </si>
  <si>
    <t>PIL1/DC/204</t>
  </si>
  <si>
    <t>PIL1/DC/206</t>
  </si>
  <si>
    <t>PIL1/DC/207</t>
  </si>
  <si>
    <t>PIL1/DC/208</t>
  </si>
  <si>
    <t>PIL1/DC/209</t>
  </si>
  <si>
    <t>PIL1/DC/212</t>
  </si>
  <si>
    <t>PIL1/DC/213</t>
  </si>
  <si>
    <t>PIL1/DC/334</t>
  </si>
  <si>
    <t>PIL1/DC/355</t>
  </si>
  <si>
    <t>PIL1/DC/408</t>
  </si>
  <si>
    <t>PIL/DC/73</t>
  </si>
  <si>
    <t>ENTRY TRANSFER</t>
  </si>
  <si>
    <t>Plastene India Limited-UNIT-VI</t>
  </si>
  <si>
    <t>35,34,74,306.07 Cr</t>
  </si>
  <si>
    <t>20,19,908.13 Dr</t>
  </si>
  <si>
    <t>1,41,25,706.69 Cr</t>
  </si>
  <si>
    <t>5,90,03,205.11 Dr</t>
  </si>
  <si>
    <t>36,72,018.81 Dr</t>
  </si>
  <si>
    <t>75,60,119.13 Dr</t>
  </si>
  <si>
    <t>36,72,018.81 Cr</t>
  </si>
  <si>
    <t>28,69,10,983.82 Dr</t>
  </si>
  <si>
    <t>1,41,25,706.69 Dr</t>
  </si>
  <si>
    <t>20,25,281.00 Cr</t>
  </si>
  <si>
    <t>33,97,48,831.27 Cr</t>
  </si>
  <si>
    <t>4,09,56,685.44 Cr</t>
  </si>
  <si>
    <t>41,75,42,803.38 Dr</t>
  </si>
  <si>
    <t>1,15,07,694.30 Dr</t>
  </si>
  <si>
    <t>41,43,34,001.92 Cr</t>
  </si>
  <si>
    <t>14,670.00 Dr</t>
  </si>
  <si>
    <t>1,15,22,237.77 Cr</t>
  </si>
  <si>
    <t>33,48,99,312.72 Dr</t>
  </si>
  <si>
    <t>4,09,51,393.64 Dr</t>
  </si>
  <si>
    <t>12.48 Cr</t>
  </si>
  <si>
    <t>PARTICULARS</t>
  </si>
  <si>
    <t xml:space="preserve">MT </t>
  </si>
  <si>
    <t>Avg. Rate</t>
  </si>
  <si>
    <t>BUDGETED / PLANNED</t>
  </si>
  <si>
    <t>PRODUCTION</t>
  </si>
  <si>
    <t>FIBC</t>
  </si>
  <si>
    <t>Fabric (Liner Mtr)</t>
  </si>
  <si>
    <t>DISPATCH</t>
  </si>
  <si>
    <t>Fabric</t>
  </si>
  <si>
    <t>PURCHASE</t>
  </si>
  <si>
    <t>PP Granules</t>
  </si>
  <si>
    <t>PIL6/D/13</t>
  </si>
  <si>
    <t>PIL6/D/18</t>
  </si>
  <si>
    <t>PIL6/D/1</t>
  </si>
  <si>
    <t>PIL6/D/2</t>
  </si>
  <si>
    <t>PIL6/D/3</t>
  </si>
  <si>
    <t>PIL6/D/5</t>
  </si>
  <si>
    <t>PIL6/D/4</t>
  </si>
  <si>
    <t>PIL6/D/6</t>
  </si>
  <si>
    <t>PIL6/D/7</t>
  </si>
  <si>
    <t>PIL6/D/11</t>
  </si>
  <si>
    <t>PIL6/D/12</t>
  </si>
  <si>
    <t>PIL6/D/14</t>
  </si>
  <si>
    <t>PIL6/D/15</t>
  </si>
  <si>
    <t>PIL6/D/16</t>
  </si>
  <si>
    <t>PIL6/D/17</t>
  </si>
  <si>
    <t>CAP 11</t>
  </si>
  <si>
    <t>PIL6/D/19</t>
  </si>
  <si>
    <t>PIL6/D/20</t>
  </si>
  <si>
    <t>PIL6/D/21</t>
  </si>
  <si>
    <t>PIL6/D/22</t>
  </si>
  <si>
    <t>PIL6//D/47</t>
  </si>
  <si>
    <t>KPV/D/102</t>
  </si>
  <si>
    <t>KPV/D/135</t>
  </si>
  <si>
    <t>KPV/D/136</t>
  </si>
  <si>
    <t>KPV/D/1334</t>
  </si>
  <si>
    <t>KPV/D/10</t>
  </si>
  <si>
    <t>KPV/D/21</t>
  </si>
  <si>
    <t>KPV/D/31</t>
  </si>
  <si>
    <t>KPV/D/36</t>
  </si>
  <si>
    <t>KPV/D/38</t>
  </si>
  <si>
    <t>KPV/D/52</t>
  </si>
  <si>
    <t>KPV/D/61</t>
  </si>
  <si>
    <t>KPV/D/169</t>
  </si>
  <si>
    <t>KPV/D/92</t>
  </si>
  <si>
    <t>JBIN-SE 16</t>
  </si>
  <si>
    <t>KPV/D/117</t>
  </si>
  <si>
    <t>KPV/D/123</t>
  </si>
  <si>
    <t>JBIN-SE 19</t>
  </si>
  <si>
    <t>KPV/D/144</t>
  </si>
  <si>
    <t>KPV/D/141</t>
  </si>
  <si>
    <t>KPV/D/149</t>
  </si>
  <si>
    <t>KPV/D/151</t>
  </si>
  <si>
    <t>KPV/D/150</t>
  </si>
  <si>
    <t>KPV/D/154</t>
  </si>
  <si>
    <t>KPV/D/370</t>
  </si>
  <si>
    <t>PP MF Yarn Twisted 3000 Denier UV Deep Blue</t>
  </si>
  <si>
    <t>PPL/D/280</t>
  </si>
  <si>
    <t>PPL/D/283</t>
  </si>
  <si>
    <t>PPL/D/282</t>
  </si>
  <si>
    <t>PPL/D/291</t>
  </si>
  <si>
    <t>PPL/D/292</t>
  </si>
  <si>
    <t>PPL/D/290</t>
  </si>
  <si>
    <t>KPV/D/392</t>
  </si>
  <si>
    <t>KPV/D/397</t>
  </si>
  <si>
    <t>PPL/D/299</t>
  </si>
  <si>
    <t>PPL/D/298</t>
  </si>
  <si>
    <t>PPL/D/306</t>
  </si>
  <si>
    <t>PPL/D/305</t>
  </si>
  <si>
    <t>KPV/D/419</t>
  </si>
  <si>
    <t>PPL/D/314</t>
  </si>
  <si>
    <t>PPL/D/313</t>
  </si>
  <si>
    <t>KPV/D/425</t>
  </si>
  <si>
    <t>PPL/D/320</t>
  </si>
  <si>
    <t>PPL/D/319</t>
  </si>
  <si>
    <t>PPL/D/329</t>
  </si>
  <si>
    <t>KPV/D/452</t>
  </si>
  <si>
    <t>PPL/D/346</t>
  </si>
  <si>
    <t>KPV/D/460</t>
  </si>
  <si>
    <t>PPL/D/352</t>
  </si>
  <si>
    <t>PPL/D/351</t>
  </si>
  <si>
    <t>PPL/D/345.</t>
  </si>
  <si>
    <t>PPL/D/357</t>
  </si>
  <si>
    <t>PPL/D/361</t>
  </si>
  <si>
    <t>PPL/D/360</t>
  </si>
  <si>
    <t>PIL6/D/52</t>
  </si>
  <si>
    <t>PIL6/D/54</t>
  </si>
  <si>
    <t>PIL6/D/55</t>
  </si>
  <si>
    <t>PIL6/D/56</t>
  </si>
  <si>
    <t>PIL6/D/57</t>
  </si>
  <si>
    <t>PIL6/D/58</t>
  </si>
  <si>
    <t>PIL6/D/59</t>
  </si>
  <si>
    <t>PIL6/D/60</t>
  </si>
  <si>
    <t>PIL6/D/61</t>
  </si>
  <si>
    <t>PIL6/D/62</t>
  </si>
  <si>
    <t>PIL6/D/63</t>
  </si>
  <si>
    <t>PIL6/D/66</t>
  </si>
  <si>
    <t>PIL6/D/67</t>
  </si>
  <si>
    <t>PIL6/D/68</t>
  </si>
  <si>
    <t>PIL6/D/69</t>
  </si>
  <si>
    <t>PIL6/D/70</t>
  </si>
  <si>
    <t>PIL6/D/71</t>
  </si>
  <si>
    <t>PIL6/D/72</t>
  </si>
  <si>
    <t>PIL6/D/73</t>
  </si>
  <si>
    <t>PIL6/D/74</t>
  </si>
  <si>
    <t>PIL6/D/75</t>
  </si>
  <si>
    <t>PIL6/D/76</t>
  </si>
  <si>
    <t>PIL6/D/77</t>
  </si>
  <si>
    <t>PIL6/D/78</t>
  </si>
  <si>
    <t>PIL6/D/79</t>
  </si>
  <si>
    <t>PIL6/DC/161</t>
  </si>
  <si>
    <t>PIL6/D/81</t>
  </si>
  <si>
    <t>WIP00193</t>
  </si>
  <si>
    <t>1,59,53,35,680.87 Cr</t>
  </si>
  <si>
    <t>5,16,68,392.64 Cr</t>
  </si>
  <si>
    <t>1,64,70,04,073.51 Cr</t>
  </si>
  <si>
    <t>47,03,40,886.89 Dr</t>
  </si>
  <si>
    <t>1,89,85,620.97 Dr</t>
  </si>
  <si>
    <t>25,180.00 Cr</t>
  </si>
  <si>
    <t>48,93,01,327.86 Dr</t>
  </si>
  <si>
    <t>57,63,82,892.34 Cr</t>
  </si>
  <si>
    <t>39,053.00 Dr</t>
  </si>
  <si>
    <t>1,85,52,868.00 Cr</t>
  </si>
  <si>
    <t>59,48,96,707.34 Cr</t>
  </si>
  <si>
    <t>1,70,13,77,677.25 Dr</t>
  </si>
  <si>
    <t>5,16,54,519.64 Dr</t>
  </si>
  <si>
    <t>1,75,30,32,196.89 Dr</t>
  </si>
  <si>
    <t>BOOKING PENDING IN PIL-1</t>
  </si>
  <si>
    <t>PIL-VI TO PIL-2</t>
  </si>
  <si>
    <t>23,41,621.85 Cr</t>
  </si>
  <si>
    <t>36,79,21,726.48 Cr</t>
  </si>
  <si>
    <t>24,51,299.90 Dr</t>
  </si>
  <si>
    <t>30,14,62,709.42 Dr</t>
  </si>
  <si>
    <t>PIL2/DC/90</t>
  </si>
  <si>
    <t>BOOKING NEXT MONTH BY PIL-6</t>
  </si>
  <si>
    <t>PIL-VI TO PPL</t>
  </si>
  <si>
    <t>533.00 Dr</t>
  </si>
  <si>
    <t>23,17,918.17 Cr</t>
  </si>
  <si>
    <t>42,81,58,954.86 Cr</t>
  </si>
  <si>
    <t>91,70,720.19 Dr</t>
  </si>
  <si>
    <t>38,50,21,414.07 Dr</t>
  </si>
  <si>
    <t>91,61,280.18 Cr</t>
  </si>
  <si>
    <t>38,98,66,796.89 Cr</t>
  </si>
  <si>
    <t>23,33,149.10 Dr</t>
  </si>
  <si>
    <t>25,216.60 Cr</t>
  </si>
  <si>
    <t>43,13,58,430.18 Dr</t>
  </si>
  <si>
    <t>PIL-VI TO KPW-1</t>
  </si>
  <si>
    <t>69,56,665.63 Cr</t>
  </si>
  <si>
    <t>10,18,36,476.69 Cr</t>
  </si>
  <si>
    <t>67,96,012.24 Dr</t>
  </si>
  <si>
    <t>3,73,990.28 Cr</t>
  </si>
  <si>
    <t>2,35,82,595.91 Dr</t>
  </si>
  <si>
    <t>3,73,990.29 Dr</t>
  </si>
  <si>
    <t>67,96,012.24 Cr</t>
  </si>
  <si>
    <t>2,98,62,464.63 Cr</t>
  </si>
  <si>
    <t>69,57,293.15 Dr</t>
  </si>
  <si>
    <t>9,38,54,580.50 Dr</t>
  </si>
  <si>
    <t>PIL-VI TO KPW-3</t>
  </si>
  <si>
    <t>9,69,03,129.53 Dr</t>
  </si>
  <si>
    <t>86,11,251.50 Cr</t>
  </si>
  <si>
    <t>9,47,35,744.23 Dr</t>
  </si>
  <si>
    <t>86,11,251.50 Dr</t>
  </si>
  <si>
    <t>64,43,089.14 Cr</t>
  </si>
  <si>
    <t>9,29,42,382.15 Cr</t>
  </si>
  <si>
    <t>PIL-VI TO OEL-1</t>
  </si>
  <si>
    <t>12,23,65,049.17 Cr</t>
  </si>
  <si>
    <t>53,22,101.55 Cr</t>
  </si>
  <si>
    <t>12,76,87,150.72 Cr</t>
  </si>
  <si>
    <t>18,29,195.98 Dr</t>
  </si>
  <si>
    <t>2,911.93 Dr</t>
  </si>
  <si>
    <t>18,32,107.91 Dr</t>
  </si>
  <si>
    <t>2,32,12,197.19 Cr</t>
  </si>
  <si>
    <t>2,912.09 Cr</t>
  </si>
  <si>
    <t>2,32,15,109.28 Cr</t>
  </si>
  <si>
    <t>13,56,60,399.89 Dr</t>
  </si>
  <si>
    <t>53,22,101.71 Dr</t>
  </si>
  <si>
    <t>14,09,82,501.60 Dr</t>
  </si>
  <si>
    <t>PIL-VI TO HPBL</t>
  </si>
  <si>
    <t>19,071.50 Cr</t>
  </si>
  <si>
    <t>36,31,815.60 Cr</t>
  </si>
  <si>
    <t>5,85,776.89 Dr</t>
  </si>
  <si>
    <t>12,50,860.03 Dr</t>
  </si>
  <si>
    <t>11,092.03 Dr</t>
  </si>
  <si>
    <t>36,31,816.86 Dr</t>
  </si>
  <si>
    <t xml:space="preserve">ENTRY BOOKING PENDING BY HCP PLASTENE </t>
  </si>
  <si>
    <t>C &amp; F Charges-Export</t>
  </si>
  <si>
    <t>PIL6/23-24/JOBWORK/32/1</t>
  </si>
  <si>
    <t>PIL6/23-24/JOBWORK/32/2</t>
  </si>
  <si>
    <t>PIL6/23-24/JOBWORK/32/3</t>
  </si>
  <si>
    <t>PIL6/23-24/JOBWORK/36/1</t>
  </si>
  <si>
    <t>PIL6/23-24/JOBWORK/36/2</t>
  </si>
  <si>
    <t>PIL6/23-24/JOBWORK/37/1</t>
  </si>
  <si>
    <t>PIL6/23-24/JOBWORK/37/2</t>
  </si>
  <si>
    <t>PIL6/23-24/JOBWORK/37/3</t>
  </si>
  <si>
    <t>PIL6/23-24/JOBWORK/33/1</t>
  </si>
  <si>
    <t>PIL6/23-24/JOBWORK/33/2</t>
  </si>
  <si>
    <t>Buyer name</t>
  </si>
  <si>
    <t>Item Code</t>
  </si>
  <si>
    <t>Party Name</t>
  </si>
  <si>
    <t>Challan Sub Code</t>
  </si>
  <si>
    <t>Sub Group Name</t>
  </si>
  <si>
    <t>64,43,088.83 Dr</t>
  </si>
  <si>
    <t>TDS Receivable 2023-24 difference in KPW-1 (DONE) AS PER MAIL</t>
  </si>
  <si>
    <t>Consumable/Store Spares</t>
  </si>
  <si>
    <t>PIL-1 PURCHASE</t>
  </si>
  <si>
    <t>PIL-1 SALES</t>
  </si>
  <si>
    <t>PIL-6 PURCHASE</t>
  </si>
  <si>
    <t>PIL-6 SALES</t>
  </si>
  <si>
    <t>BILL BOOKING PENDING IN PIL-1</t>
  </si>
  <si>
    <t>37,37,23,351.13 Cr</t>
  </si>
  <si>
    <t>30,71,54,656.02 Dr</t>
  </si>
  <si>
    <t>PIL-2</t>
  </si>
  <si>
    <t>PIL-2 PURCHASE</t>
  </si>
  <si>
    <t>PIL-2 SALES</t>
  </si>
  <si>
    <t>42,81,60,087.66 Cr</t>
  </si>
  <si>
    <t>42,96,54,269.99 Cr</t>
  </si>
  <si>
    <t>38,50,19,819.07 Dr</t>
  </si>
  <si>
    <t>38,57,87,400.89 Dr</t>
  </si>
  <si>
    <t>39,06,34,378.71 Cr</t>
  </si>
  <si>
    <t>43,13,23,620.68 Dr</t>
  </si>
  <si>
    <t>43,28,17,804.53 Dr</t>
  </si>
  <si>
    <t>PPL-PURCHASE</t>
  </si>
  <si>
    <t>PPL-SALES</t>
  </si>
  <si>
    <t>PPL/D/2</t>
  </si>
  <si>
    <t>PPL/D/3</t>
  </si>
  <si>
    <t>PPL/D/9</t>
  </si>
  <si>
    <t>PPL/D/7</t>
  </si>
  <si>
    <t>PPL/D/15</t>
  </si>
  <si>
    <t>PPL/D/19</t>
  </si>
  <si>
    <t>PPL/D/24</t>
  </si>
  <si>
    <t>PPL/D/25</t>
  </si>
  <si>
    <t>PPL/D/28</t>
  </si>
  <si>
    <t>PPL/D/35</t>
  </si>
  <si>
    <t>PPL/D/50</t>
  </si>
  <si>
    <t>PPL/D/49</t>
  </si>
  <si>
    <t>PPL/D/55</t>
  </si>
  <si>
    <t>PPL/D/56</t>
  </si>
  <si>
    <t>PPL/D/53</t>
  </si>
  <si>
    <t>PPL/D/124</t>
  </si>
  <si>
    <t>PPL/D/123</t>
  </si>
  <si>
    <t>PPL/D/126</t>
  </si>
  <si>
    <t>PPL/D/127</t>
  </si>
  <si>
    <t>PPL/D/136</t>
  </si>
  <si>
    <t>PPL/D/135</t>
  </si>
  <si>
    <t>PPL/D/134</t>
  </si>
  <si>
    <t>PPL/D/143</t>
  </si>
  <si>
    <t>PPL/D/144</t>
  </si>
  <si>
    <t>PPL/D/146</t>
  </si>
  <si>
    <t>PPL/D/147</t>
  </si>
  <si>
    <t>PPL/D/164</t>
  </si>
  <si>
    <t>PPL/D/165</t>
  </si>
  <si>
    <t>PPL/D/172</t>
  </si>
  <si>
    <t>PPL/D/174</t>
  </si>
  <si>
    <t>PPL/D/173</t>
  </si>
  <si>
    <t>PPL/D/171</t>
  </si>
  <si>
    <t>PPL/D/180</t>
  </si>
  <si>
    <t>PPL/D/181</t>
  </si>
  <si>
    <t>PPL/D/190</t>
  </si>
  <si>
    <t>PPL/D/191</t>
  </si>
  <si>
    <t>PPL/D/193</t>
  </si>
  <si>
    <t>PPL/D/199</t>
  </si>
  <si>
    <t>PPL/D/206</t>
  </si>
  <si>
    <t>PPL/D/192</t>
  </si>
  <si>
    <t>PPL/D/209</t>
  </si>
  <si>
    <t>PPL/D/210</t>
  </si>
  <si>
    <t>PPL/D/211</t>
  </si>
  <si>
    <t>PPL/D/205</t>
  </si>
  <si>
    <t>PPL/D/238</t>
  </si>
  <si>
    <t>PPL/D/239</t>
  </si>
  <si>
    <t>PPL/D/246</t>
  </si>
  <si>
    <t>PPL/D/248</t>
  </si>
  <si>
    <t>PPL/D/249</t>
  </si>
  <si>
    <t>PPL/D/250</t>
  </si>
  <si>
    <t>PPL/D/260</t>
  </si>
  <si>
    <t>PPL/D/260.</t>
  </si>
  <si>
    <t>PPL/D/261</t>
  </si>
  <si>
    <t>PPL/D/263</t>
  </si>
  <si>
    <t>PPL/D/270</t>
  </si>
  <si>
    <t>PPL/D/269</t>
  </si>
  <si>
    <t>PPL/D/273</t>
  </si>
  <si>
    <t>PPL/D/274</t>
  </si>
  <si>
    <t>PPL/D/365</t>
  </si>
  <si>
    <t>PPL/D/366</t>
  </si>
  <si>
    <t>PPL/D/374</t>
  </si>
  <si>
    <t>PPL/D/384</t>
  </si>
  <si>
    <t>PPL/D/396</t>
  </si>
  <si>
    <t>PPL/D/402</t>
  </si>
  <si>
    <t>PPL/D/403</t>
  </si>
  <si>
    <t>PPL/D/415</t>
  </si>
  <si>
    <t>PPL/D/416</t>
  </si>
  <si>
    <t>PPL/D/426</t>
  </si>
  <si>
    <t>PPL/D/427</t>
  </si>
  <si>
    <t>PPL/D/428</t>
  </si>
  <si>
    <t>PPL/D/432</t>
  </si>
  <si>
    <t>PPL/D/429</t>
  </si>
  <si>
    <t>JBIN-SE 7</t>
  </si>
  <si>
    <t>PPL/D/70</t>
  </si>
  <si>
    <t>PPL/D/69</t>
  </si>
  <si>
    <t>PPL/D/78</t>
  </si>
  <si>
    <t>PPL/D/80</t>
  </si>
  <si>
    <t>PPL/D/82</t>
  </si>
  <si>
    <t>PPL/D/90</t>
  </si>
  <si>
    <t>PPL/D/88</t>
  </si>
  <si>
    <t>PPL/D/89</t>
  </si>
  <si>
    <t>PPL/D/98</t>
  </si>
  <si>
    <t>PPL/D/99</t>
  </si>
  <si>
    <t>PPL/D/104</t>
  </si>
  <si>
    <t>PPL/D/106</t>
  </si>
  <si>
    <t>JBIN-SE 29</t>
  </si>
  <si>
    <t>JBIN-SE 30</t>
  </si>
  <si>
    <t>JBIN-SE 31</t>
  </si>
  <si>
    <t>JBIN-SE 42</t>
  </si>
  <si>
    <t>JBIN-SE 53</t>
  </si>
  <si>
    <t>JBIN-SE 60</t>
  </si>
  <si>
    <t>JBIN-SE 63</t>
  </si>
  <si>
    <t>PPL/D/36</t>
  </si>
  <si>
    <t>PPL/D/202</t>
  </si>
  <si>
    <t>PPL/D/204</t>
  </si>
  <si>
    <t>PPL/D/208</t>
  </si>
  <si>
    <t>PPL/D/276</t>
  </si>
  <si>
    <t>PPL/D/321</t>
  </si>
  <si>
    <t>PPL/CR/23-24/11</t>
  </si>
  <si>
    <t>PPL/D/375</t>
  </si>
  <si>
    <t>PPL/D/391</t>
  </si>
  <si>
    <t>PIL6/D/82</t>
  </si>
  <si>
    <t>PIL6/D/83</t>
  </si>
  <si>
    <t>PIL6/D/84</t>
  </si>
  <si>
    <t>PIL6/D/85</t>
  </si>
  <si>
    <t>PIL6/D/87</t>
  </si>
  <si>
    <t>PIL6/D/88</t>
  </si>
  <si>
    <t>PIL6/DB/23-24/8</t>
  </si>
  <si>
    <t>OPENING DIFFERENCE</t>
  </si>
  <si>
    <t>9,38,53,952.98 Dr</t>
  </si>
  <si>
    <t>78,860.06 Cr</t>
  </si>
  <si>
    <t>KPV/D/499</t>
  </si>
  <si>
    <t>KPV/D/501</t>
  </si>
  <si>
    <t>KPV/D/528</t>
  </si>
  <si>
    <t>KPV/D/535</t>
  </si>
  <si>
    <t>KPV/D/537</t>
  </si>
  <si>
    <t>KPV/D/577</t>
  </si>
  <si>
    <t>KPV/D/605</t>
  </si>
  <si>
    <t>JBIN-SE 64</t>
  </si>
  <si>
    <t>KPV/CR/23-24/16</t>
  </si>
  <si>
    <t>KPV/CR/23-24/17</t>
  </si>
  <si>
    <t>KPV/D/555</t>
  </si>
  <si>
    <t>30,571.12 Dr</t>
  </si>
  <si>
    <t>5,25,90,639.60 Cr</t>
  </si>
  <si>
    <t>1,80,45,853.84 Dr</t>
  </si>
  <si>
    <t>1,80,45,853.84 Cr</t>
  </si>
  <si>
    <t>5,10,60,077.53 Dr</t>
  </si>
  <si>
    <t>9,29,44,182.59 Dr</t>
  </si>
  <si>
    <t>1,27,20,772.67 Dr</t>
  </si>
  <si>
    <t>3,30,318.24 Cr</t>
  </si>
  <si>
    <t>10,53,34,637.02 Dr</t>
  </si>
  <si>
    <t>3,30,318.24 Dr</t>
  </si>
  <si>
    <t>1,27,20,772.35 Cr</t>
  </si>
  <si>
    <t>10,53,32,836.26 Cr</t>
  </si>
  <si>
    <t>opening difference</t>
  </si>
  <si>
    <t>9,99,85,129.22 Cr</t>
  </si>
  <si>
    <t>18,10,265.33 Dr</t>
  </si>
  <si>
    <t>2,31,93,247.19 Cr</t>
  </si>
  <si>
    <t>11,69,80,816.75 Dr</t>
  </si>
  <si>
    <t>43,65,326.24 Cr</t>
  </si>
  <si>
    <t>K.P. 3</t>
  </si>
  <si>
    <t>K.P.-1</t>
  </si>
  <si>
    <t>K.P. 1</t>
  </si>
  <si>
    <t>HPBL</t>
  </si>
  <si>
    <t>1,10,72,243.17 Dr</t>
  </si>
  <si>
    <t>1,10,72,243.19 Cr</t>
  </si>
  <si>
    <t>HPBL-3</t>
  </si>
  <si>
    <t>PP Fibrillated Tape Twisted 3200 Blue</t>
  </si>
  <si>
    <t>SMF00052</t>
  </si>
  <si>
    <t>Joshi Brothers</t>
  </si>
  <si>
    <t>BHABESH CHHUAL SINGH</t>
  </si>
  <si>
    <t>DHARAMVEER KUMAR PASWAN</t>
  </si>
  <si>
    <t>DHARAMVEER KUMAR PASWAN (LINE C)</t>
  </si>
  <si>
    <t>JITENDRASINH B. ZALA</t>
  </si>
  <si>
    <t>SUDHANSHU BARMAN</t>
  </si>
  <si>
    <t>RASIDUL MONDAL</t>
  </si>
  <si>
    <t>PIL6/23-24/JOBWORK/42/1</t>
  </si>
  <si>
    <t>PIL6/23-24/JOBWORK/38/1</t>
  </si>
  <si>
    <t>PIL6/23-24/JOBWORK/39/1</t>
  </si>
  <si>
    <t>PIL6/23-24/JOBWORK/43/1</t>
  </si>
  <si>
    <t>PIL6/23-24/JOBWORK/43/2</t>
  </si>
  <si>
    <t>PIL6/23-24/JOBWORK/44/1</t>
  </si>
  <si>
    <t>PIL6/23-24/JOBWORK/44/2</t>
  </si>
  <si>
    <t>PIL6/23-24/JOBWORK/44/3</t>
  </si>
  <si>
    <t>PIL6/23-24/JOBWORK/44/4</t>
  </si>
  <si>
    <t>PIL6/23-24/JOBWORK/45/1</t>
  </si>
  <si>
    <t>PIL6/23-24/JOBWORK/45/2</t>
  </si>
  <si>
    <t>PIL6/23-24/JOBWORK/45/3</t>
  </si>
  <si>
    <t>PIL6/23-24/JOBWORK/46/1</t>
  </si>
  <si>
    <t>PIL6/23-24/JOBWORK/46/2</t>
  </si>
  <si>
    <t>PIL6/23-24/JOBWORK/46/3</t>
  </si>
  <si>
    <t>1,68,83,08,489.28 Cr</t>
  </si>
  <si>
    <t>4,19,38,732.78 Cr</t>
  </si>
  <si>
    <t>50,88,24,869.27 Dr</t>
  </si>
  <si>
    <t>1,03,45,781.36 Dr</t>
  </si>
  <si>
    <t>61,47,94,548.53 Cr</t>
  </si>
  <si>
    <t>1,04,04,233.00 Cr</t>
  </si>
  <si>
    <t>1,79,43,36,612.66 Dr</t>
  </si>
  <si>
    <t>4,19,38,732.78 Dr</t>
  </si>
  <si>
    <t>33,07,018.87 Cr</t>
  </si>
  <si>
    <t>37,70,30,370.00 Cr</t>
  </si>
  <si>
    <t>6,23,97,247.87 Dr</t>
  </si>
  <si>
    <t>41,66,076.38 Dr</t>
  </si>
  <si>
    <t>33,07,018.87 Dr</t>
  </si>
  <si>
    <t>31,04,61,674.89 Dr</t>
  </si>
  <si>
    <t>13,371.00 Dr</t>
  </si>
  <si>
    <t>31,03,680.15 Cr</t>
  </si>
  <si>
    <t>43,27,44,579.14 Cr</t>
  </si>
  <si>
    <t>35,86,326.99 Dr</t>
  </si>
  <si>
    <t>38,93,73,727.88 Dr</t>
  </si>
  <si>
    <t>35,86,326.99 Cr</t>
  </si>
  <si>
    <t>39,42,20,705.70 Cr</t>
  </si>
  <si>
    <t>31,25,118.29 Dr</t>
  </si>
  <si>
    <t>34,809.49 Cr</t>
  </si>
  <si>
    <t>43,59,08,113.33 Dr</t>
  </si>
  <si>
    <t>5,62,93,603.44 Cr</t>
  </si>
  <si>
    <t>6,35,03,174.88 Cr</t>
  </si>
  <si>
    <t>11,97,66,207.20 Cr</t>
  </si>
  <si>
    <t>59,10,732.35 Dr</t>
  </si>
  <si>
    <t>1,21,90,601.08 Cr</t>
  </si>
  <si>
    <t>4,98,11,070.77 Dr</t>
  </si>
  <si>
    <t>6,19,72,612.81 Dr</t>
  </si>
  <si>
    <t>11,17,04,823.52 Dr</t>
  </si>
  <si>
    <t>OPENING DIFF.</t>
  </si>
  <si>
    <t>3,32,84,870.88 Cr</t>
  </si>
  <si>
    <t>13,29,39,681.86 Cr</t>
  </si>
  <si>
    <t>1,07,574.55 Dr</t>
  </si>
  <si>
    <t>19,17,839.88 Dr</t>
  </si>
  <si>
    <t>1,07,594.28 Cr</t>
  </si>
  <si>
    <t>2,33,00,841.47 Cr</t>
  </si>
  <si>
    <t>3,32,84,878.15 Dr</t>
  </si>
  <si>
    <t>14,59,00,368.66 Dr</t>
  </si>
  <si>
    <t>BANK ENTRY AND OPENING BALANCE</t>
  </si>
  <si>
    <t>33,64,389.74 Cr</t>
  </si>
  <si>
    <t>2,67,425.86 Cr</t>
  </si>
  <si>
    <t>12,81,101.45 Dr</t>
  </si>
  <si>
    <t>530.62 Cr</t>
  </si>
  <si>
    <t>530.62 Dr</t>
  </si>
  <si>
    <t>12,81,101.45 Cr</t>
  </si>
  <si>
    <t>33,64,391.00 Dr</t>
  </si>
  <si>
    <t>2,67,425.86 Dr</t>
  </si>
  <si>
    <t>DIFF.</t>
  </si>
  <si>
    <t>1,25,34,287.48 Cr</t>
  </si>
  <si>
    <t>67,84,851.85 Cr</t>
  </si>
  <si>
    <t>1,25,34,287.48 Dr</t>
  </si>
  <si>
    <t>67,85,242.56 Dr</t>
  </si>
  <si>
    <t>TDS ENTRY PENDING IN HPBL-3 BOOKS</t>
  </si>
  <si>
    <t>Stitching Spares</t>
  </si>
  <si>
    <t>Sales - Within State  Manufactured Goods</t>
  </si>
  <si>
    <t>12,80,570.83 Dr</t>
  </si>
  <si>
    <t>12,80,570.83 Cr</t>
  </si>
  <si>
    <t>Job Work Summary Party Wise November-2023</t>
  </si>
  <si>
    <t>PIL6/23-24/JOBWORK/49/1</t>
  </si>
  <si>
    <t>PIL6/23-24/JOBWORK/52/1</t>
  </si>
  <si>
    <t>PIL6/23-24/JOBWORK/48/1</t>
  </si>
  <si>
    <t>PIL6/23-24/JOBWORK/48/2</t>
  </si>
  <si>
    <t>PIL6/23-24/JOBWORK/50/1</t>
  </si>
  <si>
    <t>PIL6/23-24/JOBWORK/50/2</t>
  </si>
  <si>
    <t>PIL6/23-24/JOBWORK/51/1</t>
  </si>
  <si>
    <t>PIL6/23-24/JOBWORK/51/2</t>
  </si>
  <si>
    <t>PIL6/23-24/JOBWORK/51/3</t>
  </si>
  <si>
    <t>PIL6/23-24/JOBWORK/51/4</t>
  </si>
  <si>
    <t>WIP00024</t>
  </si>
  <si>
    <t>4/30 MW 30% RP/BLUE+ORANGE</t>
  </si>
  <si>
    <t>WIP00034</t>
  </si>
  <si>
    <t>PIL6/21-22/JOBWORK/32/1</t>
  </si>
  <si>
    <t>PIL6/21-22/JOBWORK/36/1</t>
  </si>
  <si>
    <t>PIL6/21-22/JOBWORK/37/1</t>
  </si>
  <si>
    <t>PIL6/21-22/JOBWORK/42/1</t>
  </si>
  <si>
    <t>PIL6/22-23/JOBWORK/18/1</t>
  </si>
  <si>
    <t>PIL6/22-23/JOBWORK/23/1</t>
  </si>
  <si>
    <t>PIL6/22-23/JOBWORK/23/2</t>
  </si>
  <si>
    <t>PIL6/22-23/JOBWORK/23/3</t>
  </si>
  <si>
    <t>PIL6/22-23/JOBWORK/23/4</t>
  </si>
  <si>
    <t>PIL6/22-23/JOBWORK/35/1</t>
  </si>
  <si>
    <t>PIL6/22-23/JOBWORK/35/2</t>
  </si>
  <si>
    <t>PIL6/22-23/JOBWORK/38/1</t>
  </si>
  <si>
    <t>PIL6/22-23/JOBWORK/38/2</t>
  </si>
  <si>
    <t>PIL6/22-23/JOBWORK/41/1</t>
  </si>
  <si>
    <t>PIL6/22-23/JOBWORK/41/2</t>
  </si>
  <si>
    <t>PIL6/23-24/JOBWORK/11/1</t>
  </si>
  <si>
    <t>PIL6/23-24/JOBWORK/11/2</t>
  </si>
  <si>
    <t>PIL6/23-24/JOBWORK/11/3</t>
  </si>
  <si>
    <t>PIL6/23-24/JOBWORK/5/1</t>
  </si>
  <si>
    <t>PIL6/23-24/JOBWORK/5/2</t>
  </si>
  <si>
    <t>PIL6/20-21/JOBWORK/3/1</t>
  </si>
  <si>
    <t>PIL6/22-23/JOBWORK/11/1</t>
  </si>
  <si>
    <t>PIL6/22-23/JOBWORK/19/1</t>
  </si>
  <si>
    <t>PIL6/22-23/JOBWORK/20/1</t>
  </si>
  <si>
    <t>PIL6/22-23/JOBWORK/28/1</t>
  </si>
  <si>
    <t>PIL6/22-23/JOBWORK/9/1</t>
  </si>
  <si>
    <t>PIL6/23-24/JOBWORK/7/1</t>
  </si>
  <si>
    <t>PIL6/20-21/JOBWORK/10/1</t>
  </si>
  <si>
    <t>PIL6/20-21/JOBWORK/12/1</t>
  </si>
  <si>
    <t>PIL6/20-21/JOBWORK/12/2</t>
  </si>
  <si>
    <t>PIL6/20-21/JOBWORK/12/3</t>
  </si>
  <si>
    <t>PIL6/20-21/JOBWORK/12/4</t>
  </si>
  <si>
    <t>PIL6/20-21/JOBWORK/13/1</t>
  </si>
  <si>
    <t>PIL6/20-21/JOBWORK/15/2</t>
  </si>
  <si>
    <t>PIL6/20-21/JOBWORK/15/3</t>
  </si>
  <si>
    <t>PIL6/20-21/JOBWORK/15/4</t>
  </si>
  <si>
    <t>PIL6/20-21/JOBWORK/16/1</t>
  </si>
  <si>
    <t>PIL6/20-21/JOBWORK/16/2</t>
  </si>
  <si>
    <t>PIL6/20-21/JOBWORK/18/1</t>
  </si>
  <si>
    <t>PIL6/20-21/JOBWORK/18/2</t>
  </si>
  <si>
    <t>PIL6/20-21/JOBWORK/20/1</t>
  </si>
  <si>
    <t>PIL6/20-21/JOBWORK/21/2</t>
  </si>
  <si>
    <t>PIL6/20-21/JOBWORK/21/3</t>
  </si>
  <si>
    <t>PIL6/20-21/JOBWORK/23/1</t>
  </si>
  <si>
    <t>PIL6/20-21/JOBWORK/25/1</t>
  </si>
  <si>
    <t>PIL6/20-21/JOBWORK/26/1</t>
  </si>
  <si>
    <t>PIL6/20-21/JOBWORK/26/2</t>
  </si>
  <si>
    <t>PIL6/20-21/JOBWORK/26/3</t>
  </si>
  <si>
    <t>PIL6/20-21/JOBWORK/27/1</t>
  </si>
  <si>
    <t>PIL6/20-21/JOBWORK/32/1</t>
  </si>
  <si>
    <t>PIL6/20-21/JOBWORK/33/1</t>
  </si>
  <si>
    <t>PIL6/20-21/JOBWORK/33/2</t>
  </si>
  <si>
    <t>PIL6/20-21/JOBWORK/34/1</t>
  </si>
  <si>
    <t>PIL6/20-21/JOBWORK/34/2</t>
  </si>
  <si>
    <t>PIL6/20-21/JOBWORK/35/1</t>
  </si>
  <si>
    <t>PIL6/20-21/JOBWORK/35/2</t>
  </si>
  <si>
    <t>PIL6/20-21/JOBWORK/37/1</t>
  </si>
  <si>
    <t>PIL6/20-21/JOBWORK/39/2</t>
  </si>
  <si>
    <t>PIL6/20-21/JOBWORK/39/3</t>
  </si>
  <si>
    <t>PIL6/20-21/JOBWORK/39/4</t>
  </si>
  <si>
    <t>PIL6/20-21/JOBWORK/39/5</t>
  </si>
  <si>
    <t>PIL6/20-21/JOBWORK/39/6</t>
  </si>
  <si>
    <t>PIL6/20-21/JOBWORK/39/7</t>
  </si>
  <si>
    <t>PIL6/20-21/JOBWORK/40/2</t>
  </si>
  <si>
    <t>PIL6/20-21/JOBWORK/40/3</t>
  </si>
  <si>
    <t>PIL6/20-21/JOBWORK/41/2</t>
  </si>
  <si>
    <t>PIL6/20-21/JOBWORK/41/3</t>
  </si>
  <si>
    <t>PIL6/20-21/JOBWORK/42/1</t>
  </si>
  <si>
    <t>PIL6/20-21/JOBWORK/44/3</t>
  </si>
  <si>
    <t>PIL6/20-21/JOBWORK/46/1</t>
  </si>
  <si>
    <t>PIL6/20-21/JOBWORK/48/2</t>
  </si>
  <si>
    <t>PIL6/20-21/JOBWORK/48/3</t>
  </si>
  <si>
    <t>PIL6/20-21/JOBWORK/48/4</t>
  </si>
  <si>
    <t>PIL6/20-21/JOBWORK/8/2</t>
  </si>
  <si>
    <t>PIL6/20-21/JOBWORK/9/1</t>
  </si>
  <si>
    <t>PIL6/21-22/JOBWORK/11/1</t>
  </si>
  <si>
    <t>PIL6/21-22/JOBWORK/14/1</t>
  </si>
  <si>
    <t>PIL6/21-22/JOBWORK/14/2</t>
  </si>
  <si>
    <t>PIL6/21-22/JOBWORK/21/1</t>
  </si>
  <si>
    <t>PIL6/21-22/JOBWORK/21/2</t>
  </si>
  <si>
    <t>PIL6/21-22/JOBWORK/22/1</t>
  </si>
  <si>
    <t>PIL6/21-22/JOBWORK/22/2</t>
  </si>
  <si>
    <t>PIL6/21-22/JOBWORK/23/1</t>
  </si>
  <si>
    <t>PIL6/21-22/JOBWORK/24/1</t>
  </si>
  <si>
    <t>PIL6/21-22/JOBWORK/26/1</t>
  </si>
  <si>
    <t>PIL6/21-22/JOBWORK/28/1</t>
  </si>
  <si>
    <t>PIL6/21-22/JOBWORK/29/1</t>
  </si>
  <si>
    <t>PIL6/21-22/JOBWORK/33/1</t>
  </si>
  <si>
    <t>PIL6/21-22/JOBWORK/34/1</t>
  </si>
  <si>
    <t>PIL6/21-22/JOBWORK/34/2</t>
  </si>
  <si>
    <t>PIL6/21-22/JOBWORK/35/1</t>
  </si>
  <si>
    <t>PIL6/21-22/JOBWORK/35/2</t>
  </si>
  <si>
    <t>PIL6/21-22/JOBWORK/35/3</t>
  </si>
  <si>
    <t>PIL6/21-22/JOBWORK/39/1</t>
  </si>
  <si>
    <t>PIL6/21-22/JOBWORK/39/2</t>
  </si>
  <si>
    <t>PIL6/21-22/JOBWORK/40/1</t>
  </si>
  <si>
    <t>PIL6/21-22/JOBWORK/45/1</t>
  </si>
  <si>
    <t>PIL6/21-22/JOBWORK/45/2</t>
  </si>
  <si>
    <t>PIL6/21-22/JOBWORK/45/3</t>
  </si>
  <si>
    <t>PIL6/21-22/JOBWORK/45/4</t>
  </si>
  <si>
    <t>PIL6/21-22/JOBWORK/46/1</t>
  </si>
  <si>
    <t>PIL6/21-22/JOBWORK/47/1</t>
  </si>
  <si>
    <t>PIL6/21-22/JOBWORK/47/2</t>
  </si>
  <si>
    <t>PIL6/21-22/JOBWORK/47/3</t>
  </si>
  <si>
    <t>PIL6/21-22/JOBWORK/49/1</t>
  </si>
  <si>
    <t>PIL6/21-22/JOBWORK/49/2</t>
  </si>
  <si>
    <t>PIL6/21-22/JOBWORK/5/2</t>
  </si>
  <si>
    <t>PIL6/21-22/JOBWORK/50/1</t>
  </si>
  <si>
    <t>PIL6/21-22/JOBWORK/50/2</t>
  </si>
  <si>
    <t>PIL6/21-22/JOBWORK/51/1</t>
  </si>
  <si>
    <t>PIL6/21-22/JOBWORK/53/1</t>
  </si>
  <si>
    <t>PIL6/21-22/JOBWORK/53/2</t>
  </si>
  <si>
    <t>PIL6/21-22/JOBWORK/54/1</t>
  </si>
  <si>
    <t>PIL6/21-22/JOBWORK/55/1</t>
  </si>
  <si>
    <t>PIL6/21-22/JOBWORK/57/1</t>
  </si>
  <si>
    <t>PIL6/21-22/JOBWORK/57/2</t>
  </si>
  <si>
    <t>PIL6/21-22/JOBWORK/57/3</t>
  </si>
  <si>
    <t>PIL6/21-22/JOBWORK/57/4</t>
  </si>
  <si>
    <t>PIL6/21-22/JOBWORK/58/1</t>
  </si>
  <si>
    <t>PIL6/21-22/JOBWORK/59/1</t>
  </si>
  <si>
    <t>PIL6/21-22/JOBWORK/6/2</t>
  </si>
  <si>
    <t>PIL6/21-22/JOBWORK/60/1</t>
  </si>
  <si>
    <t>PIL6/23-24/JOBWORK/53/1</t>
  </si>
  <si>
    <t>PIL6/23-24/JOBWORK/53/2</t>
  </si>
  <si>
    <t>PIL6/23-24/JOBWORK/54/1</t>
  </si>
  <si>
    <t>PIL6/23-24/JOBWORK/54/2</t>
  </si>
  <si>
    <t>PIL6/23-24/JOBWORK/55/1</t>
  </si>
  <si>
    <t>PIL6/23-24/JOBWORK/55/2</t>
  </si>
  <si>
    <t>PIL6/23-24/JOBWORK/55/3</t>
  </si>
  <si>
    <t>PIL6/23-24/JOBWORK/55/4</t>
  </si>
  <si>
    <t>PIL6/23-24/JOBWORK/55/5</t>
  </si>
  <si>
    <t>PIL6/23-24/JOBWORK/58/1</t>
  </si>
  <si>
    <t>PIL6/23-24/JOBWORK/58/2</t>
  </si>
  <si>
    <t>PIL6/23-24/JOBWORK/58/3</t>
  </si>
  <si>
    <t>PIL6/23-24/JOBWORK/58/4</t>
  </si>
  <si>
    <t>PIL6/23-24/JOBWORK/59/1</t>
  </si>
  <si>
    <t>PIL6/19-20/JOBWORK/1/1</t>
  </si>
  <si>
    <t>PIL6/19-20/JOBWORK/2/1</t>
  </si>
  <si>
    <t>PIL6/19-20/JOBWORK/2/2</t>
  </si>
  <si>
    <t>PIL6/19-20/JOBWORK/3/1</t>
  </si>
  <si>
    <t>PIL6/19-20/JOBWORK/3/2</t>
  </si>
  <si>
    <t>PIL6/19-20/JOBWORK/4/1</t>
  </si>
  <si>
    <t>PIL6/19-20/JOBWORK/5/1</t>
  </si>
  <si>
    <t>PIL6/19-20/JOBWORK/5/2</t>
  </si>
  <si>
    <t>PIL6/19-20/JOBWORK/6/1</t>
  </si>
  <si>
    <t>PIL6/19-20/JOBWORK/7/1</t>
  </si>
  <si>
    <t>PIL6/19-20/JOBWORK/8/1</t>
  </si>
  <si>
    <t>PIL6/19-20/JOBWORK/9/1</t>
  </si>
  <si>
    <t>PIL6/20-21/JOBWORK/1/1</t>
  </si>
  <si>
    <t>PIL6/20-21/JOBWORK/11/1</t>
  </si>
  <si>
    <t>PIL6/20-21/JOBWORK/17/1</t>
  </si>
  <si>
    <t>PIL6/20-21/JOBWORK/2/1</t>
  </si>
  <si>
    <t>PIL6/20-21/JOBWORK/2/2</t>
  </si>
  <si>
    <t>PIL6/20-21/JOBWORK/2/3</t>
  </si>
  <si>
    <t>PIL6/20-21/JOBWORK/2/4</t>
  </si>
  <si>
    <t>PIL6/20-21/JOBWORK/24/1</t>
  </si>
  <si>
    <t>PIL6/20-21/JOBWORK/30/1</t>
  </si>
  <si>
    <t>PIL6/20-21/JOBWORK/36/1</t>
  </si>
  <si>
    <t>PIL6/20-21/JOBWORK/38/1</t>
  </si>
  <si>
    <t>PIL6/20-21/JOBWORK/4/1</t>
  </si>
  <si>
    <t>PIL6/20-21/JOBWORK/43/1</t>
  </si>
  <si>
    <t>PIL6/20-21/JOBWORK/5/1</t>
  </si>
  <si>
    <t>PIL6/20-21/JOBWORK/6/1</t>
  </si>
  <si>
    <t>PIL6/21-22/JOBWORK/1/1</t>
  </si>
  <si>
    <t>PIL6/21-22/JOBWORK/10/1</t>
  </si>
  <si>
    <t>PIL6/21-22/JOBWORK/10/2</t>
  </si>
  <si>
    <t>PIL6/21-22/JOBWORK/12/1</t>
  </si>
  <si>
    <t>PIL6/21-22/JOBWORK/15/1</t>
  </si>
  <si>
    <t>PIL6/21-22/JOBWORK/16/1</t>
  </si>
  <si>
    <t>PIL6/21-22/JOBWORK/17/1</t>
  </si>
  <si>
    <t>PIL6/21-22/JOBWORK/19/1</t>
  </si>
  <si>
    <t>PIL6/21-22/JOBWORK/19/2</t>
  </si>
  <si>
    <t>PIL6/21-22/JOBWORK/20/1</t>
  </si>
  <si>
    <t>PIL6/21-22/JOBWORK/25/1</t>
  </si>
  <si>
    <t>PIL6/21-22/JOBWORK/27/1</t>
  </si>
  <si>
    <t>PIL6/21-22/JOBWORK/30/1</t>
  </si>
  <si>
    <t>PIL6/21-22/JOBWORK/31/1</t>
  </si>
  <si>
    <t>PIL6/21-22/JOBWORK/38/1</t>
  </si>
  <si>
    <t>PIL6/21-22/JOBWORK/41/1</t>
  </si>
  <si>
    <t>PIL6/21-22/JOBWORK/44/1</t>
  </si>
  <si>
    <t>PIL6/21-22/JOBWORK/48/1</t>
  </si>
  <si>
    <t>PIL6/21-22/JOBWORK/52/1</t>
  </si>
  <si>
    <t>PIL6/21-22/JOBWORK/56/1</t>
  </si>
  <si>
    <t>PIL6/21-22/JOBWORK/61/1</t>
  </si>
  <si>
    <t>PIL6/21-22/JOBWORK/7/1</t>
  </si>
  <si>
    <t>PIL6/21-22/JOBWORK/8/1</t>
  </si>
  <si>
    <t>PIL6/21-22/JOBWORK/9/1</t>
  </si>
  <si>
    <t>PIL6/21-22/JOBWORK/9/2</t>
  </si>
  <si>
    <t>PIL6/22-23/JOBWORK/10/1</t>
  </si>
  <si>
    <t>PIL6/22-23/JOBWORK/14/1</t>
  </si>
  <si>
    <t>PIL6/22-23/JOBWORK/15/1</t>
  </si>
  <si>
    <t>PIL6/22-23/JOBWORK/17/1</t>
  </si>
  <si>
    <t>PIL6/22-23/JOBWORK/2/1</t>
  </si>
  <si>
    <t>PIL6/22-23/JOBWORK/21/1</t>
  </si>
  <si>
    <t>PIL6/22-23/JOBWORK/21/2</t>
  </si>
  <si>
    <t>PIL6/22-23/JOBWORK/29/1</t>
  </si>
  <si>
    <t>PIL6/22-23/JOBWORK/3/1</t>
  </si>
  <si>
    <t>PIL6/22-23/JOBWORK/31/1</t>
  </si>
  <si>
    <t>PIL6/22-23/JOBWORK/33/1</t>
  </si>
  <si>
    <t>PIL6/22-23/JOBWORK/39/1</t>
  </si>
  <si>
    <t>PIL6/22-23/JOBWORK/4/1</t>
  </si>
  <si>
    <t>PIL6/22-23/JOBWORK/44/1</t>
  </si>
  <si>
    <t>PIL6/22-23/JOBWORK/46/1</t>
  </si>
  <si>
    <t>PIL6/22-23/JOBWORK/48/1</t>
  </si>
  <si>
    <t>PIL6/22-23/JOBWORK/5/1</t>
  </si>
  <si>
    <t>PIL6/22-23/JOBWORK/6/1</t>
  </si>
  <si>
    <t>PIL6/22-23/JOBWORK/8/1</t>
  </si>
  <si>
    <t>PIL6/23-24/JOBWORK/18/1</t>
  </si>
  <si>
    <t>PIL6/23-24/JOBWORK/23/1</t>
  </si>
  <si>
    <t>PIL6/23-24/JOBWORK/29/1</t>
  </si>
  <si>
    <t>PIL6/23-24/JOBWORK/29/2</t>
  </si>
  <si>
    <t>PIL6/23-24/JOBWORK/3/1</t>
  </si>
  <si>
    <t>PIL6/23-24/JOBWORK/34/1</t>
  </si>
  <si>
    <t>PIL6/23-24/JOBWORK/35/1</t>
  </si>
  <si>
    <t>PIL6/23-24/JOBWORK/40/1</t>
  </si>
  <si>
    <t>PIL6/23-24/JOBWORK/41/1</t>
  </si>
  <si>
    <t>PIL6/23-24/JOBWORK/47/1</t>
  </si>
  <si>
    <t>PIL6/23-24/JOBWORK/56/1</t>
  </si>
  <si>
    <t>PIL6/23-24/JOBWORK/56/2</t>
  </si>
  <si>
    <t>PIL6/23-24/JOBWORK/57/1</t>
  </si>
  <si>
    <t>PIL6/23-24/JOBWORK/8/1</t>
  </si>
  <si>
    <t>24 ROLLS</t>
  </si>
  <si>
    <t>2,40,66,688.04 Cr</t>
  </si>
  <si>
    <t>2,40,66,831.43 Dr</t>
  </si>
  <si>
    <t>Country</t>
  </si>
  <si>
    <t>India</t>
  </si>
  <si>
    <t>38,16,61,135.71 Cr</t>
  </si>
  <si>
    <t>6,03,20,097.84 Dr</t>
  </si>
  <si>
    <t>62,43,226.88 Dr</t>
  </si>
  <si>
    <t>31,50,97,813.46 Dr</t>
  </si>
  <si>
    <t>44,16,86,148.40 Cr</t>
  </si>
  <si>
    <t>39,83,84,827.20 Dr</t>
  </si>
  <si>
    <t>40,32,31,805.03 Cr</t>
  </si>
  <si>
    <t>44,48,49,684.47 Dr</t>
  </si>
  <si>
    <t>5,11,60,035.83 Cr</t>
  </si>
  <si>
    <t>15,67,41,683.13 Dr</t>
  </si>
  <si>
    <t>16,48,03,066.39 Cr</t>
  </si>
  <si>
    <t>4,48,80,167.11 Dr</t>
  </si>
  <si>
    <t>11,80,35,601.03 Dr</t>
  </si>
  <si>
    <t>11,80,33,798.97 Cr</t>
  </si>
  <si>
    <t>14,92,03,989.05 Cr</t>
  </si>
  <si>
    <t>19,35,023.07 Dr</t>
  </si>
  <si>
    <t>2,32,89,543.27 Cr</t>
  </si>
  <si>
    <t>16,61,96,145.62 Dr</t>
  </si>
  <si>
    <t>opening diff.</t>
  </si>
  <si>
    <t>3,90,93,646.59 Cr</t>
  </si>
  <si>
    <t>3,90,93,647.84 Dr</t>
  </si>
  <si>
    <t>73,81,529.91 Cr</t>
  </si>
  <si>
    <t>40,08,377.90 Dr</t>
  </si>
  <si>
    <t>Plastene India Limited - HO</t>
  </si>
  <si>
    <t>33,73,155.86 Dr</t>
  </si>
  <si>
    <t>3,41,04,292.25 Cr</t>
  </si>
  <si>
    <t>1,39,26,708.33 Dr</t>
  </si>
  <si>
    <t>K.P. WOVEN PRIVATE LIMITED (UNIT-II) NANICHIRAI</t>
  </si>
  <si>
    <t>1,39,73,233.59 Cr</t>
  </si>
  <si>
    <t>3,41,02,428.66 Dr</t>
  </si>
  <si>
    <t>2023-24</t>
  </si>
  <si>
    <t>RAW MATERIAL PURCHASE</t>
  </si>
  <si>
    <t>FINISHED FIBC SALES</t>
  </si>
  <si>
    <t>Delta</t>
  </si>
  <si>
    <t>Month</t>
  </si>
  <si>
    <t>QTY</t>
  </si>
  <si>
    <t>Conversion</t>
  </si>
  <si>
    <t>Nov.23</t>
  </si>
  <si>
    <t>Dec.23</t>
  </si>
  <si>
    <t>Jan.24</t>
  </si>
  <si>
    <t>Feb.24</t>
  </si>
  <si>
    <t>Mar.24</t>
  </si>
  <si>
    <t>Total/Av.</t>
  </si>
  <si>
    <t>Delta Conversion Rate for the M/o.Feb-2024</t>
  </si>
  <si>
    <t>A-SALES</t>
  </si>
  <si>
    <t>ITEM NAME</t>
  </si>
  <si>
    <t>QTY.</t>
  </si>
  <si>
    <t>AMOUNT</t>
  </si>
  <si>
    <t>RATE/KGS.</t>
  </si>
  <si>
    <t>SALES RATE</t>
  </si>
  <si>
    <t>B-PURCHASE</t>
  </si>
  <si>
    <t>LLDPE BAGS</t>
  </si>
  <si>
    <t>LLDPE DOC</t>
  </si>
  <si>
    <t>PP FILAMENT YARN</t>
  </si>
  <si>
    <t>PP LAMINATED WOVEN FABRIC</t>
  </si>
  <si>
    <t>PP WOVEN FABRIC</t>
  </si>
  <si>
    <t>PP WEBBING</t>
  </si>
  <si>
    <t>DIFFERENCE (A-B) DELTA</t>
  </si>
  <si>
    <t>PURCHASE RATE</t>
  </si>
  <si>
    <t>Month Wise Conversion Rate Sheet-PIL-VI</t>
  </si>
  <si>
    <t>1.5/6 MW/TIE</t>
  </si>
  <si>
    <t>4,07,90,460.65 Cr</t>
  </si>
  <si>
    <t>85,94,608.36 Dr</t>
  </si>
  <si>
    <t>88,01,533.00 Cr</t>
  </si>
  <si>
    <t>4,06,78,056.66 Dr</t>
  </si>
  <si>
    <t>30,78,191.88 Dr</t>
  </si>
  <si>
    <t>46,65,601.37 Cr</t>
  </si>
  <si>
    <t>6,59,420.22 Dr</t>
  </si>
  <si>
    <t>6,59,420.00 Cr</t>
  </si>
  <si>
    <t>46,65,601.36 Dr</t>
  </si>
  <si>
    <t>30,78,191.88 Cr</t>
  </si>
  <si>
    <t>30,674.00 Dr</t>
  </si>
  <si>
    <t>54,17,917.01 Cr</t>
  </si>
  <si>
    <t>20,18,667.36 Dr</t>
  </si>
  <si>
    <t>20,18,667.36 Cr</t>
  </si>
  <si>
    <t>53,87,241.94 Dr</t>
  </si>
  <si>
    <t>1,19,51,094.93 Dr</t>
  </si>
  <si>
    <t>12,99,86,695.96 Dr</t>
  </si>
  <si>
    <t>1,19,51,093.49 Cr</t>
  </si>
  <si>
    <t>12,99,84,892.46 Cr</t>
  </si>
  <si>
    <t>9,919.00 Dr</t>
  </si>
  <si>
    <t>54,01,458.68 Cr</t>
  </si>
  <si>
    <t>17,01,94,606.07 Cr</t>
  </si>
  <si>
    <t>1,26,04,621.45 Dr</t>
  </si>
  <si>
    <t>5,74,84,788.56 Dr</t>
  </si>
  <si>
    <t>1,26,04,621.45 Cr</t>
  </si>
  <si>
    <t>6,37,64,657.28 Cr</t>
  </si>
  <si>
    <t>53,91,539.78 Dr</t>
  </si>
  <si>
    <t>6,225.12 Cr</t>
  </si>
  <si>
    <t>16,21,26,997.79 Dr</t>
  </si>
  <si>
    <t>38,15,412.76 Cr</t>
  </si>
  <si>
    <t>15,30,19,401.81 Cr</t>
  </si>
  <si>
    <t>38,37,152.14 Dr</t>
  </si>
  <si>
    <t>17,00,33,297.76 Dr</t>
  </si>
  <si>
    <t>bill wrong booked by OEL-1</t>
  </si>
  <si>
    <t>2,48,21,053.35 Cr</t>
  </si>
  <si>
    <t>2,48,21,196.74 Dr</t>
  </si>
  <si>
    <t>diff. in transfer entry booked by HO.</t>
  </si>
  <si>
    <t>differ.</t>
  </si>
  <si>
    <t>9,82,07,343.06 Dr</t>
  </si>
  <si>
    <t>9,82,07,342.78 Cr</t>
  </si>
  <si>
    <t>2,48,11,942.04 Dr</t>
  </si>
  <si>
    <t>7,45,254.00 Cr</t>
  </si>
  <si>
    <t>1,10,72,243.17 Cr</t>
  </si>
  <si>
    <t>1,10,72,243.19 Dr</t>
  </si>
  <si>
    <t>7,45,920.00 Dr</t>
  </si>
  <si>
    <t>2,48,12,751.43 Cr</t>
  </si>
  <si>
    <t>14,934.39 Dr</t>
  </si>
  <si>
    <t>Opening Diff.</t>
  </si>
  <si>
    <t>2,240.10 Dr</t>
  </si>
  <si>
    <t>12,694.29 Dr</t>
  </si>
  <si>
    <t>1,39,58,297.30 Cr</t>
  </si>
  <si>
    <t>14,936.29 Cr</t>
  </si>
  <si>
    <t>1,39,58,297.30 Dr</t>
  </si>
  <si>
    <t>3,41,02,428.66 Cr</t>
  </si>
  <si>
    <t>Apr.24</t>
  </si>
  <si>
    <t>House Keeping Expense</t>
  </si>
  <si>
    <t>Monarch Info</t>
  </si>
  <si>
    <t>Mehjal Adhesive Tapes Pvt. Ltd.</t>
  </si>
  <si>
    <t>May.24</t>
  </si>
  <si>
    <t>Water Charges</t>
  </si>
  <si>
    <t>Repairs &amp; Maintenance Exp - Plant &amp; Machinery</t>
  </si>
  <si>
    <t>Printing &amp; Stationery Expense</t>
  </si>
  <si>
    <t>Repairs &amp; Maintenance Exp - Others</t>
  </si>
  <si>
    <t>Wastage Rate Diff.</t>
  </si>
  <si>
    <t>Total Rate Diff.</t>
  </si>
  <si>
    <t>June.24</t>
  </si>
  <si>
    <t>Agarwal Enterprise</t>
  </si>
  <si>
    <t>Pravinchandra Sagalchand Chandan</t>
  </si>
  <si>
    <t>2,02,12,28,322.96 Cr</t>
  </si>
  <si>
    <t>59,43,23,351.76 Dr</t>
  </si>
  <si>
    <t>69,04,90,930.92 Cr</t>
  </si>
  <si>
    <t>2,11,73,95,918.45 Dr</t>
  </si>
  <si>
    <t>1,89,57,78,908.05 Cr</t>
  </si>
  <si>
    <t>82,55,189.53 Dr</t>
  </si>
  <si>
    <t>13,37,04,604.44 Cr</t>
  </si>
  <si>
    <t>57,25,72,973.37 Dr</t>
  </si>
  <si>
    <t>2,19,78,659.63 Dr</t>
  </si>
  <si>
    <t>2,28,281.24 Cr</t>
  </si>
  <si>
    <t>66,87,40,554.40 Cr</t>
  </si>
  <si>
    <t>2,28,281.24 Dr</t>
  </si>
  <si>
    <t>2,19,78,657.76 Cr</t>
  </si>
  <si>
    <t>1,99,19,46,482.47 Dr</t>
  </si>
  <si>
    <t>13,37,04,604.43 Dr</t>
  </si>
  <si>
    <t>82,55,168.45 Cr</t>
  </si>
  <si>
    <t>38,64,28,524.45 Cr</t>
  </si>
  <si>
    <t>6,96,52,990.37 Dr</t>
  </si>
  <si>
    <t>30,89,666.12 Cr</t>
  </si>
  <si>
    <t>31,98,65,202.20 Dr</t>
  </si>
  <si>
    <t>45,90,93,523.60 Cr</t>
  </si>
  <si>
    <t>40,90,00,649.23 Dr</t>
  </si>
  <si>
    <t>41,38,48,494.89 Cr</t>
  </si>
  <si>
    <t>46,22,57,058.59 Dr</t>
  </si>
  <si>
    <t>22,60,82,002.57 Cr</t>
  </si>
  <si>
    <t>10,60,10,524.07 Dr</t>
  </si>
  <si>
    <t>11,22,90,392.80 Cr</t>
  </si>
  <si>
    <t>21,87,95,206.76 Dr</t>
  </si>
  <si>
    <t>12,84,80,652.96 Dr</t>
  </si>
  <si>
    <t>3,92,11,521.81 Dr</t>
  </si>
  <si>
    <t>1,62,80,000.00 Cr</t>
  </si>
  <si>
    <t>15,14,12,174.77 Dr</t>
  </si>
  <si>
    <t>12,84,78,849.46 Cr</t>
  </si>
  <si>
    <t>1,62,89,167.32 Dr</t>
  </si>
  <si>
    <t>3,92,20,692.47 Cr</t>
  </si>
  <si>
    <t>15,14,10,374.61 Cr</t>
  </si>
  <si>
    <t>1,431.95 Dr</t>
  </si>
  <si>
    <t>1,57,21,832.78 Cr</t>
  </si>
  <si>
    <t>16,87,39,802.64 Cr</t>
  </si>
  <si>
    <t>9,030.96 Dr</t>
  </si>
  <si>
    <t>19,44,054.03 Dr</t>
  </si>
  <si>
    <t>9,040.00 Cr</t>
  </si>
  <si>
    <t>2,32,98,583.27 Cr</t>
  </si>
  <si>
    <t>17,00,11,557.52 Dr</t>
  </si>
  <si>
    <t>1,57,20,400.35 Dr</t>
  </si>
  <si>
    <t>18,57,31,957.87 Dr</t>
  </si>
  <si>
    <t>24AHMPR2612N1Z1</t>
  </si>
  <si>
    <t>FIBC WIP</t>
  </si>
  <si>
    <t>July.24</t>
  </si>
  <si>
    <t>1.5/6 MIX/TIE</t>
  </si>
  <si>
    <t>PP 180 GZT MW</t>
  </si>
  <si>
    <t>179 X 90 MIC</t>
  </si>
  <si>
    <t>5,56,85,117.09 Cr</t>
  </si>
  <si>
    <t>2,07,69,13,440.05 Cr</t>
  </si>
  <si>
    <t>85,21,270.30 Dr</t>
  </si>
  <si>
    <t>60,28,44,622.06 Dr</t>
  </si>
  <si>
    <t>69,04,90,923.92 Cr</t>
  </si>
  <si>
    <t>85,21,269.00 Cr</t>
  </si>
  <si>
    <t>69,90,12,192.92 Cr</t>
  </si>
  <si>
    <t>5,56,32,053.49 Dr</t>
  </si>
  <si>
    <t>2,17,30,27,971.94 Dr</t>
  </si>
  <si>
    <t>33,85,229.23 Cr</t>
  </si>
  <si>
    <t>38,98,13,753.68 Cr</t>
  </si>
  <si>
    <t>33,22,499.85 Dr</t>
  </si>
  <si>
    <t>7,29,75,490.22 Dr</t>
  </si>
  <si>
    <t>33,22,499.00 Cr</t>
  </si>
  <si>
    <t>64,12,165.12 Cr</t>
  </si>
  <si>
    <t>33,85,229.23 Dr</t>
  </si>
  <si>
    <t>32,32,50,431.43 Dr</t>
  </si>
  <si>
    <t>9,185.00 Dr</t>
  </si>
  <si>
    <t>27,14,626.48 Cr</t>
  </si>
  <si>
    <t>46,17,98,965.08 Cr</t>
  </si>
  <si>
    <t>1,05,66,055.53 Dr</t>
  </si>
  <si>
    <t>41,95,66,704.76 Dr</t>
  </si>
  <si>
    <t>1,05,66,055.52 Cr</t>
  </si>
  <si>
    <t>42,44,14,550.41 Cr</t>
  </si>
  <si>
    <t>27,05,441.39 Dr</t>
  </si>
  <si>
    <t>46,49,62,499.98 Dr</t>
  </si>
  <si>
    <t>1,55,82,623.36 Cr</t>
  </si>
  <si>
    <t>12,78,73,016.16 Cr</t>
  </si>
  <si>
    <t>1,63,84,135.18 Dr</t>
  </si>
  <si>
    <t>23,51,79,341.94 Dr</t>
  </si>
  <si>
    <t>15,982.00 Dr</t>
  </si>
  <si>
    <t>1,71,80,934.80 Cr</t>
  </si>
  <si>
    <t>24,32,46,955.37 Cr</t>
  </si>
  <si>
    <t>1,55,82,623.36 Dr</t>
  </si>
  <si>
    <t>12,15,93,147.43 Dr</t>
  </si>
  <si>
    <t>FIBC BAGS</t>
  </si>
  <si>
    <t>COMPANY SALARY</t>
  </si>
  <si>
    <t>Sept.24</t>
  </si>
  <si>
    <t>LC Pack. Wastage</t>
  </si>
  <si>
    <t>OEL/KPW3/KPW-1</t>
  </si>
  <si>
    <t>Rahul Govindram</t>
  </si>
  <si>
    <t>DELTA</t>
  </si>
  <si>
    <t>Oct.24</t>
  </si>
  <si>
    <t>Dineshbhai Khumabhai Desai</t>
  </si>
  <si>
    <t>Nov.24</t>
  </si>
  <si>
    <t>LAXMAN B BAKUTRA</t>
  </si>
  <si>
    <t>DINESHBHAI KHUMABHAI DESAI</t>
  </si>
  <si>
    <t>Rfbl Flexi Pack Limited</t>
  </si>
  <si>
    <t>95X95X110</t>
  </si>
  <si>
    <t>Pine Wooden Pallet Design Code QP90110</t>
  </si>
  <si>
    <t>Dec.24</t>
  </si>
  <si>
    <t>TransportName</t>
  </si>
  <si>
    <t>LRNo</t>
  </si>
  <si>
    <t>VehicalNo</t>
  </si>
  <si>
    <t>TotalAmt</t>
  </si>
  <si>
    <t>ItemValue</t>
  </si>
  <si>
    <t>ItemUnit</t>
  </si>
  <si>
    <t>itemname</t>
  </si>
  <si>
    <t>itemcode</t>
  </si>
  <si>
    <t>DescriptionGoods</t>
  </si>
  <si>
    <t>NatureProc</t>
  </si>
  <si>
    <t>sysdate</t>
  </si>
  <si>
    <t>companyname</t>
  </si>
  <si>
    <t>Sum of ItemQty</t>
  </si>
  <si>
    <t>SELF</t>
  </si>
  <si>
    <t>JOB IN</t>
  </si>
  <si>
    <t>No PO</t>
  </si>
  <si>
    <t>No Subcode</t>
  </si>
  <si>
    <t>24ACHPM5973F1ZG</t>
  </si>
  <si>
    <t>SERVICES</t>
  </si>
  <si>
    <t>PE Labels (Kgs)</t>
  </si>
  <si>
    <t>SMF00147</t>
  </si>
  <si>
    <t>Advance Salary Paid</t>
  </si>
  <si>
    <t>Jan.25</t>
  </si>
  <si>
    <t>Shree Salareshwar Wood Packers Private Limited.</t>
  </si>
  <si>
    <t>24ABLCS6579H1ZR</t>
  </si>
  <si>
    <t>Films All (SF)</t>
  </si>
  <si>
    <t>Aug.24</t>
  </si>
  <si>
    <t>GJ09Z0572</t>
  </si>
  <si>
    <t>GJ12BY0479</t>
  </si>
  <si>
    <t>Sum of Acceptedqty</t>
  </si>
  <si>
    <t>GJ12BT2409</t>
  </si>
  <si>
    <t>GJ35T2925</t>
  </si>
  <si>
    <t xml:space="preserve">SAHDEVSINH FATEHSINH JADEJA </t>
  </si>
  <si>
    <t>Raw Material</t>
  </si>
  <si>
    <t>Feb.25</t>
  </si>
  <si>
    <t>Qty.</t>
  </si>
  <si>
    <t>Rate/Kgs.</t>
  </si>
  <si>
    <t xml:space="preserve">Total : </t>
  </si>
  <si>
    <t>Kumar Engineering</t>
  </si>
  <si>
    <t>FABRIC CUT PCS.</t>
  </si>
  <si>
    <t>Mar.25</t>
  </si>
  <si>
    <t>Rent Expense Colony With Gst</t>
  </si>
  <si>
    <t>Postage &amp; Courier Expense</t>
  </si>
  <si>
    <t>HCP Plastene Bulkpack Ltd (Unit - IV)</t>
  </si>
  <si>
    <t>HPBL4/25-26/JOBWORK/1</t>
  </si>
  <si>
    <t>229 mm x 90MIC</t>
  </si>
  <si>
    <t>56 ROLLS</t>
  </si>
  <si>
    <t>HPBL4/25-26/JOBWORK/2</t>
  </si>
  <si>
    <t>38 ROLLS</t>
  </si>
  <si>
    <t>HPBL4/25-26/JOBWORK/3</t>
  </si>
  <si>
    <t>180 MM X 90 MIC</t>
  </si>
  <si>
    <t>48 ROLLS</t>
  </si>
  <si>
    <t>HPBL4/25-26/JOBWORK/4</t>
  </si>
  <si>
    <t>180mm x 90mic</t>
  </si>
  <si>
    <t>HPBL-IV</t>
  </si>
  <si>
    <t>Apr.25</t>
  </si>
  <si>
    <t>RAW MATERIAL COST</t>
  </si>
  <si>
    <t>FABRIC COST</t>
  </si>
  <si>
    <t>Sales - Waste &amp; Scrape</t>
  </si>
  <si>
    <t>Tds Receivable 2025-26</t>
  </si>
  <si>
    <t>Repairs &amp; Maintenance Exp - Electric</t>
  </si>
  <si>
    <t>Bank Cash Credit BOM 60461173925</t>
  </si>
  <si>
    <t>Kgs,</t>
  </si>
  <si>
    <t>146922.732,</t>
  </si>
  <si>
    <t>70822.83,</t>
  </si>
  <si>
    <t>97086.99,</t>
  </si>
  <si>
    <t>48646.664,</t>
  </si>
  <si>
    <t>Production</t>
  </si>
  <si>
    <t>SS</t>
  </si>
  <si>
    <t>Export Sales</t>
  </si>
  <si>
    <t>$</t>
  </si>
  <si>
    <t>Aum Polypack</t>
  </si>
  <si>
    <t>Rubber Stereo</t>
  </si>
  <si>
    <t>Armstrong</t>
  </si>
  <si>
    <t>Kishan Traders - Gandhidham</t>
  </si>
  <si>
    <t>Shree Ganesh Stereo</t>
  </si>
  <si>
    <t>S.R.Sewing Tech</t>
  </si>
  <si>
    <t>Purchase Interstate- Stores, Spares &amp; Consumable</t>
  </si>
  <si>
    <t>19AORPR0945L1Z4</t>
  </si>
  <si>
    <t>May.25</t>
  </si>
  <si>
    <t>60+08</t>
  </si>
  <si>
    <t>PIL TO HPBL-IV</t>
  </si>
  <si>
    <t>HPBL-IV to KPW-3</t>
  </si>
  <si>
    <t>OEL to HPBL-IV</t>
  </si>
  <si>
    <t>KPW to HPBL-IV</t>
  </si>
  <si>
    <t>HCP Plastene Bulkpack Limited - For Gst Only</t>
  </si>
  <si>
    <t>Provident Fund On Behalf Of Contractors</t>
  </si>
  <si>
    <t>Advance for Travel &amp; Others</t>
  </si>
  <si>
    <t>DG Set</t>
  </si>
  <si>
    <t>Weighment Expense</t>
  </si>
  <si>
    <t>Incentive Expense - Production</t>
  </si>
  <si>
    <t>Bank Charges- Others</t>
  </si>
  <si>
    <t>Fees &amp; Taxes</t>
  </si>
  <si>
    <t>Professional Tax Liability A/c</t>
  </si>
  <si>
    <t>Bonus Payable</t>
  </si>
  <si>
    <t>Provident Fund Payable</t>
  </si>
  <si>
    <t>Salary &amp; Wages Payable</t>
  </si>
  <si>
    <t>Swastik Medicos</t>
  </si>
  <si>
    <t>Arvindbhai Chauhan</t>
  </si>
  <si>
    <t>Union Special Gmbh-Update Master</t>
  </si>
  <si>
    <t>Indian Security &amp; Allied Services 24CMYPM8660C2ZJ</t>
  </si>
  <si>
    <t>Joshi Brothers Associates</t>
  </si>
  <si>
    <t>Universal Pest Control &amp; Fumigation Services</t>
  </si>
  <si>
    <t>Profit And Loss Account</t>
  </si>
  <si>
    <t>LILI MANI CHHUAL SINGH (BKS)</t>
  </si>
  <si>
    <t>24AARFT4204A1ZK</t>
  </si>
  <si>
    <t>N.A.</t>
  </si>
  <si>
    <t>Lohia Corp Limited - 09AAKCK2932Q1ZU - UP</t>
  </si>
  <si>
    <t>Pnumatic Strapping Machine</t>
  </si>
  <si>
    <t>June.25</t>
  </si>
  <si>
    <t>2024-25</t>
  </si>
  <si>
    <t>Cc Icici Tarachand Purohit 8009</t>
  </si>
  <si>
    <t>Vaghela Sanjaysinh Jitubhai ( Giriraj Tempo Service)</t>
  </si>
  <si>
    <t>5,84,89,245.82 Cr</t>
  </si>
  <si>
    <t>1,02,82,898.74 Dr</t>
  </si>
  <si>
    <t>Hcp Plastene Bulkpack Ltd (Unit Iv) - Sales</t>
  </si>
  <si>
    <t>Hcp Plastene Bulkpack Ltd (Unit-Iv) - Purchase</t>
  </si>
  <si>
    <t>23,79,426.18 Cr</t>
  </si>
  <si>
    <t>31,26,363.18 Cr</t>
  </si>
  <si>
    <t>1,02,20,488.52 Cr</t>
  </si>
  <si>
    <t>4,16,65,701.60 Dr</t>
  </si>
  <si>
    <t>59,95,503.09 Dr</t>
  </si>
  <si>
    <t>59,95,503.54 Cr</t>
  </si>
  <si>
    <t>59,89,198.58 Cr</t>
  </si>
  <si>
    <t>72,97,858.61 Dr</t>
  </si>
  <si>
    <t>59,89,198.58 Dr</t>
  </si>
  <si>
    <t>72,98,621.27 Cr</t>
  </si>
  <si>
    <t>44,95,102.57 Cr</t>
  </si>
  <si>
    <t>4,77,38,378.42 Dr</t>
  </si>
  <si>
    <t>44,95,102.56 Dr</t>
  </si>
  <si>
    <t>4,77,38,378.42 Cr</t>
  </si>
  <si>
    <t>Bhagwati Sales Agencies</t>
  </si>
  <si>
    <t>Perfect Belts Private Limited (Gujarat)</t>
  </si>
  <si>
    <t>Rafia Industrial S.A.</t>
  </si>
  <si>
    <t>PP WOVEN BIG BAGS/SACKS WITH LINER</t>
  </si>
  <si>
    <t>SPAIN</t>
  </si>
  <si>
    <t>July.25</t>
  </si>
  <si>
    <t>PP 87 FLAT MW Folding</t>
  </si>
  <si>
    <t>Mobile &amp; Telephone Expense</t>
  </si>
  <si>
    <t>Power Expense</t>
  </si>
  <si>
    <t>Prepaid Insurance</t>
  </si>
  <si>
    <t>Computers &amp; Printers</t>
  </si>
  <si>
    <t>C &amp; F  Charges - Export</t>
  </si>
  <si>
    <t>Laxman Murjibhai Makwana</t>
  </si>
  <si>
    <t xml:space="preserve">Laxman B </t>
  </si>
  <si>
    <t>Approx</t>
  </si>
  <si>
    <t>Giriraj Tempo Service</t>
  </si>
  <si>
    <t>Vihaan Telecomunication</t>
  </si>
  <si>
    <t>Laxman Murjibhai Lakhwana</t>
  </si>
  <si>
    <t>5,84,89,241.24 Dr</t>
  </si>
  <si>
    <t>7,24,14,341.40 Dr</t>
  </si>
  <si>
    <t>16,62,240.00 Cr</t>
  </si>
  <si>
    <t>12,92,41,342.64 Dr</t>
  </si>
  <si>
    <t>1,02,82,898.74 Cr</t>
  </si>
  <si>
    <t>16,62,240.00 Dr</t>
  </si>
  <si>
    <t>3,95,28,683.79 Cr</t>
  </si>
  <si>
    <t>4,81,49,342.53 Cr</t>
  </si>
  <si>
    <t>7,23,66,880.17 Cr</t>
  </si>
  <si>
    <t>13,08,56,125.99 Cr</t>
  </si>
  <si>
    <t>3,99,71,408.61 Dr</t>
  </si>
  <si>
    <t>5,02,54,307.35 Dr</t>
  </si>
  <si>
    <t>BILL BOOKED NEXT MONTH PIL1 AND HPBL4</t>
  </si>
  <si>
    <t>34,57,581.85 Cr</t>
  </si>
  <si>
    <t>94,46,780.43 Cr</t>
  </si>
  <si>
    <t>13,59,616.42 Dr</t>
  </si>
  <si>
    <t>86,57,475.03 Dr</t>
  </si>
  <si>
    <t>34,57,581.83 Dr</t>
  </si>
  <si>
    <t>94,46,780.41 Dr</t>
  </si>
  <si>
    <t>13,58,853.76 Cr</t>
  </si>
  <si>
    <t>86,57,475.03 Cr</t>
  </si>
  <si>
    <t>40,61,730.69 Cr</t>
  </si>
  <si>
    <t>Cr</t>
  </si>
  <si>
    <t>77,08,465.04 Dr</t>
  </si>
  <si>
    <t>Dr</t>
  </si>
  <si>
    <t>1,02,78,714.43 Dr</t>
  </si>
  <si>
    <t>40,61,780.05 Dr</t>
  </si>
  <si>
    <t>58,274.30 Cr</t>
  </si>
  <si>
    <t>4,16,65,702.00 Cr</t>
  </si>
  <si>
    <t>77,08,465.04 Cr</t>
  </si>
  <si>
    <t>diff.</t>
  </si>
  <si>
    <t>10,54,449.29 Cr</t>
  </si>
  <si>
    <t>55,49,551.86 Cr</t>
  </si>
  <si>
    <t>4,84,07,198.42 Dr</t>
  </si>
  <si>
    <t>9,61,45,576.84 Dr</t>
  </si>
  <si>
    <t>10,54,449.29 Dr</t>
  </si>
  <si>
    <t>55,49,551.85 Dr</t>
  </si>
  <si>
    <t>4,84,07,198.42 Cr</t>
  </si>
  <si>
    <t>9,61,45,576.84 Cr</t>
  </si>
  <si>
    <t>4,15,162.27 Dr</t>
  </si>
  <si>
    <t>64,10,665.36 Dr</t>
  </si>
  <si>
    <t>4,15,162.98 Cr</t>
  </si>
  <si>
    <t>64,10,666.52 Cr</t>
  </si>
  <si>
    <t>23,78,684.91 Cr</t>
  </si>
  <si>
    <t>47,58,111.09 Cr</t>
  </si>
  <si>
    <t>23,79,426.16 Dr</t>
  </si>
  <si>
    <t>23,78,684.91 Dr</t>
  </si>
  <si>
    <t>47,58,111.07 Dr</t>
  </si>
  <si>
    <t>31,26,363.18 Dr</t>
  </si>
  <si>
    <t>Hydraulic Hand Pallet Truck</t>
  </si>
  <si>
    <t>Sales - Direct Export - Mfg - U/R</t>
  </si>
  <si>
    <t>Safesack Scandinavia Ab</t>
  </si>
  <si>
    <t>Sales - Merchant Export</t>
  </si>
  <si>
    <t>Aug.25</t>
  </si>
  <si>
    <t>.</t>
  </si>
  <si>
    <t>162+25</t>
  </si>
  <si>
    <t>IGST Refund Receivable Under Rebate</t>
  </si>
  <si>
    <t>Bank Charges -  Export Collection</t>
  </si>
  <si>
    <t>IGST Output A/c</t>
  </si>
  <si>
    <t>Savvy Inc.</t>
  </si>
  <si>
    <t>Sensation Pest Control Services</t>
  </si>
  <si>
    <t>Cc Hdfc Plastene India Limited 6042</t>
  </si>
  <si>
    <t>Bank Pcfc Usd Bom 60542916609</t>
  </si>
  <si>
    <t>7,02,65,830.25 Cr</t>
  </si>
  <si>
    <t>4,44,63,069.49 Dr</t>
  </si>
  <si>
    <t>7,02,18,357.76 Dr</t>
  </si>
  <si>
    <t>4,48,46,201.71 Cr</t>
  </si>
  <si>
    <t>Galaxy Enterprise</t>
  </si>
  <si>
    <t>90X90X90</t>
  </si>
  <si>
    <t>Rugo Bags Gmbh</t>
  </si>
  <si>
    <t>Agroszemek Kft</t>
  </si>
  <si>
    <t>Hungary</t>
  </si>
  <si>
    <t>Sept.25</t>
  </si>
  <si>
    <t>Harchanda Ram Imprest A/c</t>
  </si>
  <si>
    <t>Indian Institute Of Packaging - Ahmedabad</t>
  </si>
  <si>
    <t>Mantri  Industries</t>
  </si>
  <si>
    <t>Ahan Shipping Services-24AAZFA5323K1Z4</t>
  </si>
  <si>
    <t>Dsv Air &amp; Sea Private Limited</t>
  </si>
  <si>
    <t>P J Translifters</t>
  </si>
  <si>
    <t>V-Trans (India) Ltd. - Maharashtra</t>
  </si>
  <si>
    <t>Jay Jagannath Industries- 24GKEPP9703F1Z1</t>
  </si>
  <si>
    <t>24AHDPC2510M1ZU</t>
  </si>
  <si>
    <t>Ganesh Poly Graph</t>
  </si>
  <si>
    <t>Ginza Machinery Mfg.Co.</t>
  </si>
  <si>
    <t>Oct.25</t>
  </si>
  <si>
    <t>PP 125 TUBE MW GZT</t>
  </si>
  <si>
    <t>PP 134 GZT MW</t>
  </si>
  <si>
    <t>PP 97 FLAT MW Folding</t>
  </si>
  <si>
    <t>Bhagwati  Impex</t>
  </si>
  <si>
    <t>Arihant Roadlines</t>
  </si>
  <si>
    <t>Bank Pcfc Usd Bom 60536778745</t>
  </si>
  <si>
    <t>Aadhya Shakti Forklift</t>
  </si>
  <si>
    <t>Kamaldeep Xerox And Stationers</t>
  </si>
  <si>
    <t>Nov.25</t>
  </si>
  <si>
    <t>GJ24V1087</t>
  </si>
  <si>
    <t>Full &amp; Final Settlement Payable</t>
  </si>
  <si>
    <t>Ashapura Logistics Limited- 24AADCA4633M1ZP</t>
  </si>
  <si>
    <t>Bank Pcfc-Eur Bom 60536270459</t>
  </si>
  <si>
    <t>Bank Pcfc Eur Bom 60543110587</t>
  </si>
  <si>
    <t>Bank Pcfc-Usd Bom 60536400344</t>
  </si>
  <si>
    <t>BP Lubricants Pvt Ltd</t>
  </si>
  <si>
    <t>Gabbar Engineering Co.</t>
  </si>
  <si>
    <t>Dec.25</t>
  </si>
  <si>
    <t>PP 92 FLAT MW 30% RP Folding</t>
  </si>
  <si>
    <t>Krishna Enterprise-Yashodadham</t>
  </si>
  <si>
    <t>CC SCB Anil Goyal 2769</t>
  </si>
  <si>
    <t>Cc Hdfc Plastene Polyfilms Limited 9891</t>
  </si>
  <si>
    <t>Bank Pcfc Usd Bom 60540222646</t>
  </si>
  <si>
    <t>Bank Pcfc Usd Bom 60540932372</t>
  </si>
  <si>
    <t>Bank Pcfc Usd Bom 60541982551</t>
  </si>
  <si>
    <t>Bank Pcfc-Usd Bom 60536529834</t>
  </si>
  <si>
    <t>GJ12BU0544</t>
  </si>
  <si>
    <t>New Arm</t>
  </si>
  <si>
    <t>Chemline India Ltd</t>
  </si>
  <si>
    <t>Zipper Bags</t>
  </si>
  <si>
    <t>Kabra Electricals</t>
  </si>
  <si>
    <t>Rajratan Electricals Pvt Ltd</t>
  </si>
  <si>
    <t>Jan.26</t>
  </si>
  <si>
    <t>DEAD STOCK FABRIC RP PURPOSE</t>
  </si>
  <si>
    <t>SHREENA ROAD WAYS</t>
  </si>
  <si>
    <t>GJ12BY1595</t>
  </si>
  <si>
    <t>DIVYANSHU ENTERPRISES</t>
  </si>
  <si>
    <t>Krishna Enterprise</t>
  </si>
  <si>
    <t>VISHWAS ENTERPRISES</t>
  </si>
  <si>
    <t>Insurance Claim Receivable</t>
  </si>
  <si>
    <t>Sunrise Marine</t>
  </si>
  <si>
    <t>Bank Pcfc Usd Bom 60539624985</t>
  </si>
  <si>
    <t>Branch Transfer In - Raw Material</t>
  </si>
  <si>
    <t>Shri Nakoda Transmission &amp; Electric Co.</t>
  </si>
  <si>
    <t>Panchvati Tools Co.</t>
  </si>
  <si>
    <t>New Raj Fashion</t>
  </si>
  <si>
    <t>Jyot Sewing Machine Pvt Ltd</t>
  </si>
  <si>
    <t>Fibco Plastic Industry Llc</t>
  </si>
  <si>
    <t>24AMOPG6602J2Z0</t>
  </si>
  <si>
    <t>Feb.26</t>
  </si>
  <si>
    <t>FUMIGATION EXPENSES</t>
  </si>
  <si>
    <t>SENSATION PEST</t>
  </si>
  <si>
    <t>Testing Charges</t>
  </si>
  <si>
    <t>Medical Expense</t>
  </si>
  <si>
    <t>Exchange Rate Difference - Debtors</t>
  </si>
  <si>
    <t>Divyanshu Enterprises</t>
  </si>
  <si>
    <t>Nimavat Hospital</t>
  </si>
  <si>
    <t>Adani Ports And Special Economic Zone Limited</t>
  </si>
  <si>
    <t>Mark Express</t>
  </si>
  <si>
    <t>Bank Epc Bom 60558644998</t>
  </si>
  <si>
    <t>Bank Pcfc Usd Bom 60542421050</t>
  </si>
  <si>
    <t>Bank Pcfc Usd Bom 60545621329</t>
  </si>
  <si>
    <t>Bank Pcfc Usd Bom 60546106033</t>
  </si>
  <si>
    <t>Cc Bom Hpbl 5545</t>
  </si>
  <si>
    <t>Sales Bill Discounted Exports - Drip capital</t>
  </si>
  <si>
    <t>PP 95 FLAT MW</t>
  </si>
  <si>
    <t>Green Traders</t>
  </si>
  <si>
    <t>24ABAFA4683N1Z8</t>
  </si>
  <si>
    <t>Disha Trading</t>
  </si>
  <si>
    <t>Cotton Waste</t>
  </si>
  <si>
    <t>24AFUPA6072K1Z6</t>
  </si>
  <si>
    <t>Shiv Shakti Rubtech</t>
  </si>
  <si>
    <t>Akshay Trading Company</t>
  </si>
  <si>
    <t>Bearings</t>
  </si>
  <si>
    <t>Max Control</t>
  </si>
  <si>
    <t>Satyanarayan Rubber And Plastic Industries</t>
  </si>
  <si>
    <t>Safesack Finland Oy</t>
  </si>
  <si>
    <t>Mar.26</t>
  </si>
  <si>
    <t>4/30 BLACK 30% RP/BLUE+ORANGE</t>
  </si>
  <si>
    <t>5/40 BLUE-288C/RED</t>
  </si>
  <si>
    <t>GST Credit-Non Eligible</t>
  </si>
  <si>
    <t>Plant &amp; Machinery</t>
  </si>
  <si>
    <t>Packing Forwading &amp; Cartage Expense</t>
  </si>
  <si>
    <t>C &amp; F  Charges  - Import</t>
  </si>
  <si>
    <t>Custom Duty &amp; Charges</t>
  </si>
  <si>
    <t>Factoring Charges</t>
  </si>
  <si>
    <t>Interest Expense - Factoring</t>
  </si>
  <si>
    <t>Morbia Infotech</t>
  </si>
  <si>
    <t>CC ICICI Tarachand Purohit 4007</t>
  </si>
  <si>
    <t>G S Enterprise</t>
  </si>
  <si>
    <t>Blackstone Shipping Private Limited - Maharashtra</t>
  </si>
  <si>
    <t>Polytek Makina Dis Ticaret Limited Sirketi</t>
  </si>
  <si>
    <t>Bank Pcfc Bom 60550308907</t>
  </si>
  <si>
    <t>Bank Pcfc Usd Bom 60548726612</t>
  </si>
  <si>
    <t>Bank Pcfc Usd Bom 60559732259</t>
  </si>
  <si>
    <t>Provision For Expenses</t>
  </si>
  <si>
    <t>Branch Transfer In - Trading</t>
  </si>
  <si>
    <t>Airtech Engineers - Gandhidham</t>
  </si>
  <si>
    <t>24BDHPM7370Q1ZV</t>
  </si>
  <si>
    <t>Plus Logistics Ltd.</t>
  </si>
  <si>
    <t>23AAECS3438H1ZI</t>
  </si>
  <si>
    <t>Axle Steel &amp; Fasteners</t>
  </si>
  <si>
    <t>Capex</t>
  </si>
  <si>
    <t>Branch Transfer Out - Raw Material</t>
  </si>
  <si>
    <t>Branch Transfer Out - Packing Material</t>
  </si>
  <si>
    <t>Branch Transfer Out - Trading</t>
  </si>
  <si>
    <t>Apr.26</t>
  </si>
  <si>
    <t>2026-27</t>
  </si>
  <si>
    <t>PP 30 FLAT GREEN 348 C</t>
  </si>
  <si>
    <t>PP 130 GZT MW</t>
  </si>
  <si>
    <t>PP 125 TUBE MW TUBE</t>
  </si>
  <si>
    <t>PP 150 GZT MW</t>
  </si>
  <si>
    <t>FIG00001</t>
  </si>
  <si>
    <t>Office Expenses</t>
  </si>
  <si>
    <t>Repairs &amp; Maintenance Exp - Other Vehicles</t>
  </si>
  <si>
    <t>Legal Expense</t>
  </si>
  <si>
    <t>Export related Certification Charges</t>
  </si>
  <si>
    <t>Tcs On Sales 26-27</t>
  </si>
  <si>
    <t>Industrial Bag Packaging</t>
  </si>
  <si>
    <t>Seabox Shipping &amp; Logistics Pvt Ltd</t>
  </si>
  <si>
    <t>Cc Rbl Manish Banthia 3265</t>
  </si>
  <si>
    <t>Bank Epc Bom 60558645084</t>
  </si>
  <si>
    <t>SHREE SHYAM WEIGH BRIDGE</t>
  </si>
  <si>
    <t>VEHICLE HIRE CHARGES</t>
  </si>
  <si>
    <t>WEIGHMENT CHARGES</t>
  </si>
  <si>
    <t>SECURITY CHARGES</t>
  </si>
  <si>
    <t>INDIAN SECURITY</t>
  </si>
  <si>
    <t>ARVIND CHAUHAN</t>
  </si>
  <si>
    <t>NIMAVAT HOSPITAL</t>
  </si>
  <si>
    <t>24AGGPA8759C1ZL</t>
  </si>
  <si>
    <t>Drives Spares</t>
  </si>
  <si>
    <t>Drive Lever For Upper Spreader  81339</t>
  </si>
  <si>
    <t>Vir Bajarang Industries</t>
  </si>
  <si>
    <t>Purchase Withinstate - Traded Goods</t>
  </si>
  <si>
    <t>PP WOVEN BIG BAGS/SACKS</t>
  </si>
  <si>
    <t>SALES (FOREX)</t>
  </si>
  <si>
    <t>24AAACO7290H4ZB</t>
  </si>
  <si>
    <t>Qpac Ltd</t>
  </si>
  <si>
    <t>GBP</t>
  </si>
  <si>
    <t>United Kingdom</t>
  </si>
  <si>
    <t>Industria Sulfuria S.A.</t>
  </si>
  <si>
    <t>Uruguay</t>
  </si>
  <si>
    <t>PP Woven Big Bags,</t>
  </si>
  <si>
    <t>May.26</t>
  </si>
  <si>
    <t>V Trans India Ltd.</t>
  </si>
  <si>
    <t>5/40 MW/RED</t>
  </si>
  <si>
    <t>4/30 BLACK/BLUE</t>
  </si>
  <si>
    <t>PP 125 GZT MW</t>
  </si>
  <si>
    <t>PP 104 FLAT MW</t>
  </si>
  <si>
    <t>PP 30 FLAT MW</t>
  </si>
  <si>
    <t>PP 87 FLAT MW 30% RP Folding</t>
  </si>
  <si>
    <t>PP 98 FLAT MW Folding</t>
  </si>
  <si>
    <t>PP 82 FLAT MW</t>
  </si>
  <si>
    <t>PP 30 FLAT BLUE 288 C</t>
  </si>
  <si>
    <t>PP 67 FLAT MW Folding</t>
  </si>
  <si>
    <t>PP 97 FLAT YELLOW 116 C Folding</t>
  </si>
  <si>
    <t>PP 134 GZT M/W</t>
  </si>
  <si>
    <t>PP 96 FLAT MW Folding</t>
  </si>
  <si>
    <t>SHIPPING LINE</t>
  </si>
  <si>
    <t>June.26</t>
  </si>
  <si>
    <t>16-06-2026</t>
  </si>
  <si>
    <t>30-06-2026</t>
  </si>
  <si>
    <t>27-06-2026</t>
  </si>
  <si>
    <t>24APUPB7646G1ZN</t>
  </si>
  <si>
    <t>MTR</t>
  </si>
  <si>
    <t>Bhagwati  Impex</t>
  </si>
  <si>
    <t>24AXVPT0296P1ZD</t>
  </si>
  <si>
    <t>24AIEPG9602Q1ZZ</t>
  </si>
  <si>
    <t>Printing Inks</t>
  </si>
  <si>
    <t>Ink Vyankatesh Red 485c</t>
  </si>
  <si>
    <t>Ink Vyankatesh Poly Process Yellow VLX 671</t>
  </si>
  <si>
    <t>Ink Vyankatesh Poly Red Pantone 032C</t>
  </si>
  <si>
    <t>Ink Vyankatesh Poly Green 355C VLX 619</t>
  </si>
  <si>
    <t>Ink Vyankatesh Poly Opaque White OPEQUE WHITE VLX 624</t>
  </si>
  <si>
    <t>Feed Dog Lower  (41305 A)</t>
  </si>
  <si>
    <t>A B Online</t>
  </si>
  <si>
    <t>24AAYFA5084G1Z4</t>
  </si>
  <si>
    <t>Star Conveyors</t>
  </si>
  <si>
    <t>PP Fibrillated Tape Twisted 3200 MW</t>
  </si>
  <si>
    <t>Kan Power Rubber Industries</t>
  </si>
  <si>
    <t>PVC Fittings</t>
  </si>
  <si>
    <t>24AEHPN1023R1ZD</t>
  </si>
  <si>
    <t>Active Engineers</t>
  </si>
  <si>
    <t>Office Equipments</t>
  </si>
  <si>
    <t>Valley Textile</t>
  </si>
  <si>
    <t>Sonal Industries - Amraiwadi</t>
  </si>
  <si>
    <t>Printing &amp; Stationery</t>
  </si>
  <si>
    <t>Stationery Items</t>
  </si>
  <si>
    <t>Permanent Marker Pen</t>
  </si>
  <si>
    <t>Lower Looper 81311B</t>
  </si>
  <si>
    <t>Looper # 50275</t>
  </si>
  <si>
    <t>Feed Dog # 502J122</t>
  </si>
  <si>
    <t>Sunrise Sales And Service</t>
  </si>
  <si>
    <t>Alpha Electricals</t>
  </si>
  <si>
    <t>24HELPS8671K1ZJ</t>
  </si>
  <si>
    <t>Hotmelt  ( Glue )</t>
  </si>
  <si>
    <t>Shachi Hi-Tech Engineers</t>
  </si>
  <si>
    <t>26-06-2026</t>
  </si>
  <si>
    <t>28-06-2026</t>
  </si>
  <si>
    <t>Ink Vyankatesh Poly Black VLX 579</t>
  </si>
  <si>
    <t>Ink Vyankatesh Poly Process Blue VLX 643</t>
  </si>
  <si>
    <t>Ink Vyankatesh Poly Robbin Red VLX 876</t>
  </si>
  <si>
    <t>29-06-2026</t>
  </si>
  <si>
    <t>Tanmay Engitech</t>
  </si>
  <si>
    <t>75X80X95</t>
  </si>
  <si>
    <t>Sales - Kasez - Trading - U/B</t>
  </si>
  <si>
    <t>Sweden</t>
  </si>
  <si>
    <t>SO Bag</t>
  </si>
  <si>
    <t>France</t>
  </si>
  <si>
    <t>dead stock fabric rp purpose</t>
  </si>
  <si>
    <t>60X60X70</t>
  </si>
  <si>
    <t>RAW05724</t>
  </si>
  <si>
    <t>RAW05729</t>
  </si>
  <si>
    <t>RAW05755</t>
  </si>
  <si>
    <t>RAW05759</t>
  </si>
  <si>
    <t>SMF00054</t>
  </si>
  <si>
    <t>GJ39TB3534</t>
  </si>
  <si>
    <t>GJ24X8047</t>
  </si>
  <si>
    <t>HPBL4/RAW/26-27/287</t>
  </si>
  <si>
    <t>GJ12BT4781</t>
  </si>
  <si>
    <t>RAW05727</t>
  </si>
  <si>
    <t>RAW05728</t>
  </si>
  <si>
    <t>RAW05761</t>
  </si>
  <si>
    <t>RAW05731</t>
  </si>
  <si>
    <t>INK</t>
  </si>
  <si>
    <t>4/30 MW/BLUE</t>
  </si>
  <si>
    <t>5/40 BLACK/RED</t>
  </si>
  <si>
    <t>4/32 BLUE MF/MW</t>
  </si>
  <si>
    <t>1.5/6 RED M/F/TIE</t>
  </si>
  <si>
    <t>1.5/6 BLUE/TIE</t>
  </si>
  <si>
    <t>7/40 BLUE-288C/RED</t>
  </si>
  <si>
    <t>4/30 BLUE-288C/MW</t>
  </si>
  <si>
    <t>4/25 Green-Orange-Green/MW</t>
  </si>
  <si>
    <t>WEBBING INWARD</t>
  </si>
  <si>
    <t>PP 102 FLAT MW Folding</t>
  </si>
  <si>
    <t>PP 160 GZT MW</t>
  </si>
  <si>
    <t>PP 170 TUBE MW 30% RP</t>
  </si>
  <si>
    <t>PP 97 FLAT MW</t>
  </si>
  <si>
    <t>PP 102 FLAT MW</t>
  </si>
  <si>
    <t>PP 105 FLAT MW</t>
  </si>
  <si>
    <t>120+25</t>
  </si>
  <si>
    <t>PP 140 GZT MW</t>
  </si>
  <si>
    <t>PP 92 FLAT MW Folding</t>
  </si>
  <si>
    <t>PP 97 FLAT M/W 30% RP Folding</t>
  </si>
  <si>
    <t>PP 55 FLAT MW</t>
  </si>
  <si>
    <t>PP 88 FLAT YELLOW 116 C 30% RP Folding</t>
  </si>
  <si>
    <t>90+12</t>
  </si>
  <si>
    <t>PP 78 FLAT BLUE</t>
  </si>
  <si>
    <t>60+12</t>
  </si>
  <si>
    <t>PP 180 TUBE MW</t>
  </si>
  <si>
    <t>PP 190 GZT MW</t>
  </si>
  <si>
    <t>PP 130 GZT M/W</t>
  </si>
  <si>
    <t>PP 92 FLAT MW</t>
  </si>
  <si>
    <t>FABRIC INWARD</t>
  </si>
  <si>
    <t>INDIAN INSTITUE OF PACKAGING-AHMD</t>
  </si>
  <si>
    <t>Repair &amp; Maintance- Plant &amp; M/c</t>
  </si>
  <si>
    <t>Shree Krishnam Rubtech LLP</t>
  </si>
  <si>
    <t>Tds Receivable 2026-27</t>
  </si>
  <si>
    <t>Freight Inward Expense (RCM)</t>
  </si>
  <si>
    <t>Freight Inward Expense (Without Gst)</t>
  </si>
  <si>
    <t>Consumables, Tools &amp; Spare Expense</t>
  </si>
  <si>
    <t>Labour Charges</t>
  </si>
  <si>
    <t>Loading &amp; Unloading Expense</t>
  </si>
  <si>
    <t>Purchase - Import - Stores, Spares &amp; Consumable</t>
  </si>
  <si>
    <t>Penalty (Legal) - Expense</t>
  </si>
  <si>
    <t>Security Expenses</t>
  </si>
  <si>
    <t>Repairs &amp; Maintenance Exp - Building</t>
  </si>
  <si>
    <t>Repairs &amp; Maintenance Exp - Computer &amp; Printers</t>
  </si>
  <si>
    <t>Vehicle Hire Charges - RCM</t>
  </si>
  <si>
    <t>P.F. Admin. Charge</t>
  </si>
  <si>
    <t>Allowance - Canteen</t>
  </si>
  <si>
    <t>Allowance - House Rent</t>
  </si>
  <si>
    <t>Allowance - Other</t>
  </si>
  <si>
    <t>Allowance - Special</t>
  </si>
  <si>
    <t>Allowance - Washing</t>
  </si>
  <si>
    <t>Bonus Expense</t>
  </si>
  <si>
    <t>Incentive Expense - Attendence</t>
  </si>
  <si>
    <t>Leave Encashment</t>
  </si>
  <si>
    <t>Other Deduction</t>
  </si>
  <si>
    <t>Salaries Expense</t>
  </si>
  <si>
    <t>Salary - Over Time</t>
  </si>
  <si>
    <t>Interest Expense - Late Payment</t>
  </si>
  <si>
    <t>Advocate Fees Expense</t>
  </si>
  <si>
    <t>Professional &amp; Consultancy Fees</t>
  </si>
  <si>
    <t>C &amp; F Charges - Detention Outward</t>
  </si>
  <si>
    <t>Sales - Kasez - Mfg - U/B</t>
  </si>
  <si>
    <t>Sales - Direct Export - Mfg - U/B</t>
  </si>
  <si>
    <t>Employees Contribution to PF - Factory</t>
  </si>
  <si>
    <t>Chandan Electric Store</t>
  </si>
  <si>
    <t>Nishith Enterprise</t>
  </si>
  <si>
    <t>Nordson India Private Limited</t>
  </si>
  <si>
    <t>Shree Fire Engineers</t>
  </si>
  <si>
    <t>Vikram Glass</t>
  </si>
  <si>
    <t>Asian Metal Industries</t>
  </si>
  <si>
    <t>CC ICICI Manish Banthia 3009</t>
  </si>
  <si>
    <t>Shree Krishna Enterprise 24APUPH0380P1ZD</t>
  </si>
  <si>
    <t>Ashapura Transport</t>
  </si>
  <si>
    <t>Bravin Logistics LLP</t>
  </si>
  <si>
    <t>Kutch Highway Transport Co.</t>
  </si>
  <si>
    <t>Patel Transport - 24ABAFP1601P1ZD</t>
  </si>
  <si>
    <t>V-Trans (India) Ltd. - Gujarat</t>
  </si>
  <si>
    <t>Anvi Drinking Water</t>
  </si>
  <si>
    <t>B. J. Chauhan &amp; Associates - 24AQGPC4688L3ZH</t>
  </si>
  <si>
    <t>Gandhidham Jain Seva Samiti Medical Store - Purchase</t>
  </si>
  <si>
    <t>Bank Epc Bom 60561087420</t>
  </si>
  <si>
    <t>Bank Epc Bom 60567602561</t>
  </si>
  <si>
    <t>Bank Epc Bom 60570148687</t>
  </si>
  <si>
    <t>Bank Epc Bom 60573803350</t>
  </si>
  <si>
    <t>Bank Epc Bom 60577823420</t>
  </si>
  <si>
    <t>Bank PCFC BOM 60565542965</t>
  </si>
  <si>
    <t>36,17,01,822.48 Cr</t>
  </si>
  <si>
    <t>238.55 Dr</t>
  </si>
  <si>
    <t>diff</t>
  </si>
  <si>
    <t>tds receivable entry made by party</t>
  </si>
  <si>
    <t>22839280.28 Dr</t>
  </si>
  <si>
    <t>190816650.89 Dr</t>
  </si>
  <si>
    <t>4381072.96 Dr</t>
  </si>
  <si>
    <t>243790936.08 Dr</t>
  </si>
  <si>
    <t>248172009.04 Dr</t>
  </si>
  <si>
    <t>167967563.04 Dr</t>
  </si>
  <si>
    <t>95071666.27 Dr</t>
  </si>
  <si>
    <t>9989391.20 Dr</t>
  </si>
  <si>
    <t>8041518.90 Dr</t>
  </si>
  <si>
    <t>1949524.44 Dr</t>
  </si>
  <si>
    <t>18614228.20 Dr</t>
  </si>
  <si>
    <t>15365495.92 Dr</t>
  </si>
  <si>
    <t>1183805.12 Dr</t>
  </si>
  <si>
    <t>46344618.34 Dr</t>
  </si>
  <si>
    <t>3441802.97 Dr</t>
  </si>
  <si>
    <t>49783548.92 Dr</t>
  </si>
  <si>
    <t>1148287.23 Dr</t>
  </si>
  <si>
    <t>14219029.59 Dr</t>
  </si>
  <si>
    <t>15259071.40 Dr</t>
  </si>
  <si>
    <t>6977160.00 Dr</t>
  </si>
  <si>
    <t>5697700.18 Dr</t>
  </si>
  <si>
    <t>113701169.31 Dr</t>
  </si>
  <si>
    <t>27575656.08 Dr</t>
  </si>
  <si>
    <t>126653723.94 Dr</t>
  </si>
  <si>
    <t>1278893.76 Dr</t>
  </si>
  <si>
    <t>4688773.02 Dr</t>
  </si>
  <si>
    <t>2588640.90 Dr</t>
  </si>
  <si>
    <t>83383115.59 Dr</t>
  </si>
  <si>
    <t>20735.16 Dr</t>
  </si>
  <si>
    <t>83403850.75 Dr</t>
  </si>
  <si>
    <t>4688773.03 Dr</t>
  </si>
  <si>
    <t>round off</t>
  </si>
  <si>
    <t>edit</t>
  </si>
  <si>
    <t>82978055.01 Dr</t>
  </si>
  <si>
    <t>425795.74 Dr</t>
  </si>
  <si>
    <t>2,28,39,220.13 Dr</t>
  </si>
  <si>
    <t>GNCN 234</t>
  </si>
  <si>
    <t>PIL1/D/875</t>
  </si>
  <si>
    <t>RM 324</t>
  </si>
  <si>
    <t>PIL1/D/874</t>
  </si>
  <si>
    <t>RM 325</t>
  </si>
  <si>
    <t>PIL1/D/876</t>
  </si>
  <si>
    <t>GNCN 235</t>
  </si>
  <si>
    <t>PIL1/D/887</t>
  </si>
  <si>
    <t>RM 326</t>
  </si>
  <si>
    <t>PIL1/D/877</t>
  </si>
  <si>
    <t>RM 327</t>
  </si>
  <si>
    <t>PIL1/D/884</t>
  </si>
  <si>
    <t>RM 328</t>
  </si>
  <si>
    <t>PIL1/D/888</t>
  </si>
  <si>
    <t>RM 329</t>
  </si>
  <si>
    <t>PPL/D/303</t>
  </si>
  <si>
    <t>Accurate Rub Tech</t>
  </si>
  <si>
    <t>GNSP 110</t>
  </si>
  <si>
    <t>Lamination Plant Spares</t>
  </si>
  <si>
    <t>Coating Steel Roller</t>
  </si>
  <si>
    <t>24ABNFA9143N1ZY</t>
  </si>
  <si>
    <t>GNSP 108</t>
  </si>
  <si>
    <t>CES/26-27/776</t>
  </si>
  <si>
    <t>Pvc Flexible Pipe 25 mm</t>
  </si>
  <si>
    <t>24AAIPH7590J1ZE</t>
  </si>
  <si>
    <t>GNSP 109</t>
  </si>
  <si>
    <t>CES/26-27/777</t>
  </si>
  <si>
    <t>Capacitors</t>
  </si>
  <si>
    <t>Capacitor 2.5 Mfd</t>
  </si>
  <si>
    <t>GNCN 236</t>
  </si>
  <si>
    <t>PIL1/D/895</t>
  </si>
  <si>
    <t>RM 331</t>
  </si>
  <si>
    <t>PIL1/D/893</t>
  </si>
  <si>
    <t>RM 332</t>
  </si>
  <si>
    <t>PIL1/D/896</t>
  </si>
  <si>
    <t>RM 330</t>
  </si>
  <si>
    <t>PPL/D/304</t>
  </si>
  <si>
    <t>RM 333</t>
  </si>
  <si>
    <t>PIL1/D/907</t>
  </si>
  <si>
    <t>RM 335</t>
  </si>
  <si>
    <t>PIL1/D/898</t>
  </si>
  <si>
    <t>RM 336</t>
  </si>
  <si>
    <t>PIL1/D/905</t>
  </si>
  <si>
    <t>RM 337</t>
  </si>
  <si>
    <t>PIL1/D/906</t>
  </si>
  <si>
    <t>RM 334</t>
  </si>
  <si>
    <t>PPL/D/309</t>
  </si>
  <si>
    <t>GNCN 237</t>
  </si>
  <si>
    <t>SLZ/0035/26-27</t>
  </si>
  <si>
    <t>RM 341</t>
  </si>
  <si>
    <t>HPBL/DC/15</t>
  </si>
  <si>
    <t>RM 340</t>
  </si>
  <si>
    <t>KPV/D/404</t>
  </si>
  <si>
    <t>GNCN 238</t>
  </si>
  <si>
    <t>PIL1/D/919</t>
  </si>
  <si>
    <t>RM 338</t>
  </si>
  <si>
    <t>PIL1/D/908</t>
  </si>
  <si>
    <t>RM 339</t>
  </si>
  <si>
    <t>PIL1/D/928</t>
  </si>
  <si>
    <t>RM 342</t>
  </si>
  <si>
    <t>PIL1/D/926</t>
  </si>
  <si>
    <t>RM 343</t>
  </si>
  <si>
    <t>PIL1/D/918</t>
  </si>
  <si>
    <t>GNSP 112</t>
  </si>
  <si>
    <t>0521/26-27</t>
  </si>
  <si>
    <t>Hex Bolt 10X25 mm</t>
  </si>
  <si>
    <t>Hex Bolt 10X50 mm Full Thread</t>
  </si>
  <si>
    <t>Hex Bolt 10X20 mm</t>
  </si>
  <si>
    <t>Hex Bolt 08X20 mm Full Thread</t>
  </si>
  <si>
    <t>Hex Bolt 10X35 mm Full Thread</t>
  </si>
  <si>
    <t>Key Bar 6X6X300 mm</t>
  </si>
  <si>
    <t>Hex Bolt 08X30 mm Full Thread</t>
  </si>
  <si>
    <t>Hex Bolt 08X10 mm</t>
  </si>
  <si>
    <t>Key Bar 4X4X300 mm</t>
  </si>
  <si>
    <t>Key Bar 8X8X300 mm</t>
  </si>
  <si>
    <t>GNPK 64</t>
  </si>
  <si>
    <t>BI/26-27/059</t>
  </si>
  <si>
    <t>GNCN 239</t>
  </si>
  <si>
    <t>GNSP 111</t>
  </si>
  <si>
    <t>GST-098</t>
  </si>
  <si>
    <t>Sprocket</t>
  </si>
  <si>
    <t>Chain Sprocket 5/8"  24 Teeth Duplex Boss Size</t>
  </si>
  <si>
    <t>24GKEPP9703F1Z1</t>
  </si>
  <si>
    <t>GNCN 243</t>
  </si>
  <si>
    <t>PIL1/D/933</t>
  </si>
  <si>
    <t>RM 345</t>
  </si>
  <si>
    <t>PIL1/D/934</t>
  </si>
  <si>
    <t>RM 346</t>
  </si>
  <si>
    <t>PIL1/D/932</t>
  </si>
  <si>
    <t>GNCN 241</t>
  </si>
  <si>
    <t>PPL/D/312</t>
  </si>
  <si>
    <t>GNCN 242</t>
  </si>
  <si>
    <t>Oil 20W/40</t>
  </si>
  <si>
    <t>RM 344</t>
  </si>
  <si>
    <t>GNCN 240</t>
  </si>
  <si>
    <t>SLZ/003726-27</t>
  </si>
  <si>
    <t>GNPK 63</t>
  </si>
  <si>
    <t>SS/SL/26-27/194</t>
  </si>
  <si>
    <t>GNPK 65</t>
  </si>
  <si>
    <t>SS/SL/26-27/195</t>
  </si>
  <si>
    <t>Pine Wooden Pallet Design SP90110</t>
  </si>
  <si>
    <t>GNCN 245</t>
  </si>
  <si>
    <t>PIL1/D/951</t>
  </si>
  <si>
    <t>RM 348</t>
  </si>
  <si>
    <t>PIL1/D/953</t>
  </si>
  <si>
    <t>RM 349</t>
  </si>
  <si>
    <t>PIL1/D/948</t>
  </si>
  <si>
    <t>RM 350</t>
  </si>
  <si>
    <t>PIL1/D/935</t>
  </si>
  <si>
    <t>RM 351</t>
  </si>
  <si>
    <t>PIL1/D/954</t>
  </si>
  <si>
    <t>RM 352</t>
  </si>
  <si>
    <t>PIL1/D/945</t>
  </si>
  <si>
    <t>RM 353</t>
  </si>
  <si>
    <t>PIL1/D/950</t>
  </si>
  <si>
    <t>GNCN 244</t>
  </si>
  <si>
    <t>RM 347</t>
  </si>
  <si>
    <t>GNCN 247</t>
  </si>
  <si>
    <t>HPBL/DC/18</t>
  </si>
  <si>
    <t>RM 362</t>
  </si>
  <si>
    <t>HPBL/DC/13</t>
  </si>
  <si>
    <t>GNCN 248</t>
  </si>
  <si>
    <t>PIL1/D/965</t>
  </si>
  <si>
    <t>RM 355</t>
  </si>
  <si>
    <t>PIL1/D/976</t>
  </si>
  <si>
    <t>RM 357</t>
  </si>
  <si>
    <t>PIL1/D/966</t>
  </si>
  <si>
    <t>RM 358</t>
  </si>
  <si>
    <t>PIL1/D/968</t>
  </si>
  <si>
    <t>RM 359</t>
  </si>
  <si>
    <t>PIL1/D/962</t>
  </si>
  <si>
    <t>RM 360</t>
  </si>
  <si>
    <t>PIL1/D/967</t>
  </si>
  <si>
    <t>RM 361</t>
  </si>
  <si>
    <t>PIL1/D/964</t>
  </si>
  <si>
    <t>RM 354</t>
  </si>
  <si>
    <t>PIL2/D/344</t>
  </si>
  <si>
    <t>GNCN 249</t>
  </si>
  <si>
    <t>PPL/D/324</t>
  </si>
  <si>
    <t>RM 356</t>
  </si>
  <si>
    <t>PPL/D/325</t>
  </si>
  <si>
    <t>GNCN 246</t>
  </si>
  <si>
    <t>SLZ/0038/26-27</t>
  </si>
  <si>
    <t>GNSP 113</t>
  </si>
  <si>
    <t>SR/494/26-27</t>
  </si>
  <si>
    <t>Thread Hook 81310</t>
  </si>
  <si>
    <t>GNSP 114</t>
  </si>
  <si>
    <t>GST/26-27/2892</t>
  </si>
  <si>
    <t>Spreader Lever 81313 A</t>
  </si>
  <si>
    <t>GNSP 115</t>
  </si>
  <si>
    <t>GST/26-27/2891</t>
  </si>
  <si>
    <t>Coupling # 03020</t>
  </si>
  <si>
    <t>GNCN 250</t>
  </si>
  <si>
    <t>GP/26-27/68343</t>
  </si>
  <si>
    <t>GNCN 251</t>
  </si>
  <si>
    <t>GP/26-27/68344</t>
  </si>
  <si>
    <t>GNCN 252</t>
  </si>
  <si>
    <t>PIL1/D/980</t>
  </si>
  <si>
    <t>RM 363</t>
  </si>
  <si>
    <t>PIL1/D/986</t>
  </si>
  <si>
    <t>RM 364</t>
  </si>
  <si>
    <t>PIL1/D/977</t>
  </si>
  <si>
    <t>RM 365</t>
  </si>
  <si>
    <t>PIL1/D/981</t>
  </si>
  <si>
    <t>GNSP 116</t>
  </si>
  <si>
    <t>SR/485/26-27</t>
  </si>
  <si>
    <t>GNSP 117</t>
  </si>
  <si>
    <t>SR/481/26-27</t>
  </si>
  <si>
    <t>Ball Joint Assly. 81363 A</t>
  </si>
  <si>
    <t>G15442P        Boll Joint Assembly</t>
  </si>
  <si>
    <t>Set Screw 22575</t>
  </si>
  <si>
    <t>Ball Joint Assy. 81363</t>
  </si>
  <si>
    <t>Presser Foot Bottom  For Filler Cord  81330 Cu</t>
  </si>
  <si>
    <t>GNSP 118</t>
  </si>
  <si>
    <t>AE/0426/26-27</t>
  </si>
  <si>
    <t>Industrial Fans</t>
  </si>
  <si>
    <t>Fan Assly Part No. 008972040</t>
  </si>
  <si>
    <t>Khator Enterprises</t>
  </si>
  <si>
    <t>GNSP 119</t>
  </si>
  <si>
    <t>885/2026-27</t>
  </si>
  <si>
    <t>Bearing 6207 Zz Skf</t>
  </si>
  <si>
    <t>24ACFPK3378J1ZG</t>
  </si>
  <si>
    <t>RM 367</t>
  </si>
  <si>
    <t>PIL1/D/978</t>
  </si>
  <si>
    <t>RM 368</t>
  </si>
  <si>
    <t>PIL1/D/1000</t>
  </si>
  <si>
    <t>RM 369</t>
  </si>
  <si>
    <t>PIL1/D/993</t>
  </si>
  <si>
    <t>RM 370</t>
  </si>
  <si>
    <t>PIL1/D/997</t>
  </si>
  <si>
    <t>RM 371</t>
  </si>
  <si>
    <t>PIL1/D/999</t>
  </si>
  <si>
    <t>PP UL Fabric Without UV</t>
  </si>
  <si>
    <t>GNCN 255</t>
  </si>
  <si>
    <t>PPL/D/328</t>
  </si>
  <si>
    <t>RM 366</t>
  </si>
  <si>
    <t>PPL/D/327</t>
  </si>
  <si>
    <t>GNCN 253</t>
  </si>
  <si>
    <t>SLZ/0040/26-27</t>
  </si>
  <si>
    <t>GNCN 254</t>
  </si>
  <si>
    <t>SLZ/0041/26-27</t>
  </si>
  <si>
    <t>GNCN 262</t>
  </si>
  <si>
    <t>PIL1/D/998.</t>
  </si>
  <si>
    <t>GNCN 263</t>
  </si>
  <si>
    <t>PIL1/D/1006</t>
  </si>
  <si>
    <t>RM 372</t>
  </si>
  <si>
    <t>PIL1/D/1005</t>
  </si>
  <si>
    <t>RM 373</t>
  </si>
  <si>
    <t>PIL1/D/1012</t>
  </si>
  <si>
    <t>RM 374</t>
  </si>
  <si>
    <t>PIL1/D/1011</t>
  </si>
  <si>
    <t>RM 375</t>
  </si>
  <si>
    <t>PIL1/D/1007</t>
  </si>
  <si>
    <t>GNCN 260</t>
  </si>
  <si>
    <t>2211/2026-27</t>
  </si>
  <si>
    <t>GNCN 261</t>
  </si>
  <si>
    <t>2062/2026-27</t>
  </si>
  <si>
    <t>GNSP 120</t>
  </si>
  <si>
    <t>SR/512/26-27</t>
  </si>
  <si>
    <t>Looper For Double Locked Stitch  (41308 C)</t>
  </si>
  <si>
    <t>Spreader, Upper For Overedge Stitching  (81507)</t>
  </si>
  <si>
    <t>GNCN 256</t>
  </si>
  <si>
    <t>GNCN 257</t>
  </si>
  <si>
    <t>GNCN 258</t>
  </si>
  <si>
    <t>GNCN 259</t>
  </si>
  <si>
    <t>GNCN 264</t>
  </si>
  <si>
    <t>PIL1/D/1021</t>
  </si>
  <si>
    <t>RM 378</t>
  </si>
  <si>
    <t>PIL1/D/1020</t>
  </si>
  <si>
    <t>RM 379</t>
  </si>
  <si>
    <t>PIL1/D/1023</t>
  </si>
  <si>
    <t>RM 380</t>
  </si>
  <si>
    <t>PIL1/D/1024</t>
  </si>
  <si>
    <t>RM 376</t>
  </si>
  <si>
    <t>PIL2/D/361</t>
  </si>
  <si>
    <t>GNCN 265</t>
  </si>
  <si>
    <t>PPL/D/343</t>
  </si>
  <si>
    <t>RM 377</t>
  </si>
  <si>
    <t>PPL/D/342</t>
  </si>
  <si>
    <t>13-07-2026</t>
  </si>
  <si>
    <t>RM 383</t>
  </si>
  <si>
    <t>KPV/D/445</t>
  </si>
  <si>
    <t>RM 385</t>
  </si>
  <si>
    <t>KPV/D/442</t>
  </si>
  <si>
    <t>GNCN 266</t>
  </si>
  <si>
    <t>PIL1/D/1032</t>
  </si>
  <si>
    <t>RM 382</t>
  </si>
  <si>
    <t>PIL1/D/1033</t>
  </si>
  <si>
    <t>RM 387</t>
  </si>
  <si>
    <t>PIL1/D/1031</t>
  </si>
  <si>
    <t>GNCN 267</t>
  </si>
  <si>
    <t>PIL2/D/370.</t>
  </si>
  <si>
    <t>RM 381</t>
  </si>
  <si>
    <t>PIL2/D/369</t>
  </si>
  <si>
    <t>RM 388</t>
  </si>
  <si>
    <t>PPL/D/347</t>
  </si>
  <si>
    <t>14-07-2026</t>
  </si>
  <si>
    <t>GNCN 269</t>
  </si>
  <si>
    <t>PIL1/D/1046</t>
  </si>
  <si>
    <t>RM 390</t>
  </si>
  <si>
    <t>PIL1/D/1048</t>
  </si>
  <si>
    <t>RM 391</t>
  </si>
  <si>
    <t>PIL1/D/1047</t>
  </si>
  <si>
    <t>RM 392</t>
  </si>
  <si>
    <t>PIL1/D/1050</t>
  </si>
  <si>
    <t>RM 393</t>
  </si>
  <si>
    <t>PIL1/D/1044</t>
  </si>
  <si>
    <t>RM 394</t>
  </si>
  <si>
    <t>PIL1/D/1045</t>
  </si>
  <si>
    <t>GNCN 268</t>
  </si>
  <si>
    <t>PPL/D/354</t>
  </si>
  <si>
    <t>RM 389</t>
  </si>
  <si>
    <t>PPL/D/353</t>
  </si>
  <si>
    <t>16-07-2026</t>
  </si>
  <si>
    <t>GNCN 270</t>
  </si>
  <si>
    <t>PIL1/D/1060</t>
  </si>
  <si>
    <t>15-07-2026</t>
  </si>
  <si>
    <t>GNCN 272</t>
  </si>
  <si>
    <t>PIL1/D/1071</t>
  </si>
  <si>
    <t>RM 396</t>
  </si>
  <si>
    <t>PIL1/D/1061</t>
  </si>
  <si>
    <t>RM 397</t>
  </si>
  <si>
    <t>PIL1/D/1057</t>
  </si>
  <si>
    <t>RM 399</t>
  </si>
  <si>
    <t>PIL1/D/1070</t>
  </si>
  <si>
    <t>RM 400</t>
  </si>
  <si>
    <t>PIL1/D/1069</t>
  </si>
  <si>
    <t>RM 401</t>
  </si>
  <si>
    <t>PIL1/D/1063</t>
  </si>
  <si>
    <t>RM 402</t>
  </si>
  <si>
    <t>PIL1/D/1072</t>
  </si>
  <si>
    <t>RM 395</t>
  </si>
  <si>
    <t>PIL2/D/380</t>
  </si>
  <si>
    <t>GNCN 271</t>
  </si>
  <si>
    <t>RM 398</t>
  </si>
  <si>
    <t>17-07-2026</t>
  </si>
  <si>
    <t>RM 403</t>
  </si>
  <si>
    <t>HPBL/DC/21</t>
  </si>
  <si>
    <t>GNCN 273</t>
  </si>
  <si>
    <t>KPV/D/446.</t>
  </si>
  <si>
    <t>GNCN 274</t>
  </si>
  <si>
    <t>PIL1/D/1084</t>
  </si>
  <si>
    <t>RM 404</t>
  </si>
  <si>
    <t>PIL1/D/1079</t>
  </si>
  <si>
    <t>RM 405</t>
  </si>
  <si>
    <t>PIL1/D/1077</t>
  </si>
  <si>
    <t>RM 406</t>
  </si>
  <si>
    <t>PIL1/D/1085</t>
  </si>
  <si>
    <t>GNPK 68</t>
  </si>
  <si>
    <t>SSE/2026-27/0890</t>
  </si>
  <si>
    <t>GNPK 66</t>
  </si>
  <si>
    <t>SS/SL/26-27/211</t>
  </si>
  <si>
    <t>GNPK 67</t>
  </si>
  <si>
    <t>SS/SL/26-27/214</t>
  </si>
  <si>
    <t>18-07-2026</t>
  </si>
  <si>
    <t>GNSP 122</t>
  </si>
  <si>
    <t>Printing Machine Spares</t>
  </si>
  <si>
    <t>Anilox Roll Total Length- 1750 mm  Coating Length-1375 mm Final Dia-148 mm (Manual Printing Machine)</t>
  </si>
  <si>
    <t>GNCN 276</t>
  </si>
  <si>
    <t>Atc Plywood</t>
  </si>
  <si>
    <t>GNSP 121</t>
  </si>
  <si>
    <t>Door Closer Small</t>
  </si>
  <si>
    <t>24AJPPJ4557R1ZD</t>
  </si>
  <si>
    <t>GNPK 70</t>
  </si>
  <si>
    <t>BI/26-27/063</t>
  </si>
  <si>
    <t>GNCN 275</t>
  </si>
  <si>
    <t>GE-154</t>
  </si>
  <si>
    <t>B-Lock Natural Colour</t>
  </si>
  <si>
    <t>24AAVFG3033A1ZS</t>
  </si>
  <si>
    <t>GNSP 123</t>
  </si>
  <si>
    <t>GST/373</t>
  </si>
  <si>
    <t>Contactor</t>
  </si>
  <si>
    <t>Contactor LC1D09 25 A Coil -24 V.Ac</t>
  </si>
  <si>
    <t>24ANLPK2335A1ZJ</t>
  </si>
  <si>
    <t>Contactor LC1D09 40 A Coil -220 V.Ac</t>
  </si>
  <si>
    <t>M B And Sons- Supplier</t>
  </si>
  <si>
    <t>RM 407</t>
  </si>
  <si>
    <t>Jute Fabric</t>
  </si>
  <si>
    <t>24AZSPS3924Q1ZE</t>
  </si>
  <si>
    <t>Yard</t>
  </si>
  <si>
    <t>GNCN 277</t>
  </si>
  <si>
    <t>PIL1/D/1100</t>
  </si>
  <si>
    <t>RM 408</t>
  </si>
  <si>
    <t>PIL1/D/1098</t>
  </si>
  <si>
    <t>RM 409</t>
  </si>
  <si>
    <t>PIL1/D/1105</t>
  </si>
  <si>
    <t>RM 410</t>
  </si>
  <si>
    <t>PIL1/D/1107</t>
  </si>
  <si>
    <t>RM 411</t>
  </si>
  <si>
    <t>PIL1/D/1096</t>
  </si>
  <si>
    <t>RM 412</t>
  </si>
  <si>
    <t>PIL1/D/1101</t>
  </si>
  <si>
    <t>GNPK 69</t>
  </si>
  <si>
    <t>SS/SL/26-27/203</t>
  </si>
  <si>
    <t>19-07-2026</t>
  </si>
  <si>
    <t>GNCN 279</t>
  </si>
  <si>
    <t>GP/26-27/71552</t>
  </si>
  <si>
    <t>GNCN 280</t>
  </si>
  <si>
    <t>GP/26-27/71553</t>
  </si>
  <si>
    <t>GNCN 278</t>
  </si>
  <si>
    <t>PIL1/D/1112</t>
  </si>
  <si>
    <t>RM 414</t>
  </si>
  <si>
    <t>PIL1/D/1113</t>
  </si>
  <si>
    <t>RM 415</t>
  </si>
  <si>
    <t>PIL1/D/1111</t>
  </si>
  <si>
    <t>RM 413</t>
  </si>
  <si>
    <t>PIL2/D/390</t>
  </si>
  <si>
    <t>20-07-2026</t>
  </si>
  <si>
    <t>GNSP 124</t>
  </si>
  <si>
    <t>AE/2026-27/0100</t>
  </si>
  <si>
    <t>Pvc Tape Roll  Red "Steel Grip" Make</t>
  </si>
  <si>
    <t>Pvc Tape Roll  Yellow "Steel Grip" Make</t>
  </si>
  <si>
    <t>Pvc Tape Roll  Blue "Steel Grip" Make</t>
  </si>
  <si>
    <t>Pvc Tape Roll  Black "Steel Grip" Make</t>
  </si>
  <si>
    <t>Pvc Tape Green</t>
  </si>
  <si>
    <t>GNCN 285</t>
  </si>
  <si>
    <t>BG26-27/46</t>
  </si>
  <si>
    <t>24BGAPP5082Q1ZW</t>
  </si>
  <si>
    <t>GNSP 126</t>
  </si>
  <si>
    <t>JSS/1915/2026-27</t>
  </si>
  <si>
    <t>Needle Gb-200</t>
  </si>
  <si>
    <t>24AAECJ8001D1Z4</t>
  </si>
  <si>
    <t>GNSP 125</t>
  </si>
  <si>
    <t>MIG/277/26-27</t>
  </si>
  <si>
    <t>Ups Battary</t>
  </si>
  <si>
    <t>GNCN 286</t>
  </si>
  <si>
    <t>PIL1/D/1121</t>
  </si>
  <si>
    <t>RM 416</t>
  </si>
  <si>
    <t>PIL1/D/1118</t>
  </si>
  <si>
    <t>RM 417</t>
  </si>
  <si>
    <t>PIL1/D/1122</t>
  </si>
  <si>
    <t>GNCN 281</t>
  </si>
  <si>
    <t>GNCN 283</t>
  </si>
  <si>
    <t>GNPK 71</t>
  </si>
  <si>
    <t>SS/SL/26-27/223</t>
  </si>
  <si>
    <t>GNCN 284</t>
  </si>
  <si>
    <t>21-07-2026</t>
  </si>
  <si>
    <t>GNSP 127</t>
  </si>
  <si>
    <t>GST/26-27/3245</t>
  </si>
  <si>
    <t>GNSP 128</t>
  </si>
  <si>
    <t>GST/26-27/3339</t>
  </si>
  <si>
    <t>GNCN 287</t>
  </si>
  <si>
    <t>PIL1/D/1133</t>
  </si>
  <si>
    <t>RM 418</t>
  </si>
  <si>
    <t>PIL1/D/1130</t>
  </si>
  <si>
    <t>RM 419</t>
  </si>
  <si>
    <t>PIL1/D/1129</t>
  </si>
  <si>
    <t>RM 422</t>
  </si>
  <si>
    <t>PIL1/D/1134.</t>
  </si>
  <si>
    <t>RM 420</t>
  </si>
  <si>
    <t>22-07-2026</t>
  </si>
  <si>
    <t>Hcp Plastene Bulkpack Ltd Vadodara Purchase</t>
  </si>
  <si>
    <t>RM 423</t>
  </si>
  <si>
    <t>HPBLV/DC/7</t>
  </si>
  <si>
    <t>GNCN 288</t>
  </si>
  <si>
    <t>RM 427</t>
  </si>
  <si>
    <t>KPV/D/498</t>
  </si>
  <si>
    <t>GNSP 129</t>
  </si>
  <si>
    <t>2026-27/92</t>
  </si>
  <si>
    <t>Needles</t>
  </si>
  <si>
    <t>Needle No 28</t>
  </si>
  <si>
    <t>24ARUPP0806G1ZP</t>
  </si>
  <si>
    <t>GNCN 289</t>
  </si>
  <si>
    <t>PIL1/D/1148</t>
  </si>
  <si>
    <t>RM 428</t>
  </si>
  <si>
    <t>PIL1/D/1146</t>
  </si>
  <si>
    <t>RM 429</t>
  </si>
  <si>
    <t>PIL1/D/1149</t>
  </si>
  <si>
    <t>RM 430</t>
  </si>
  <si>
    <t>PIL1/D/1147</t>
  </si>
  <si>
    <t>GNSP 130</t>
  </si>
  <si>
    <t>SR/566/26-27</t>
  </si>
  <si>
    <t>Thread Retainer For Overedge Stitching   (81511)</t>
  </si>
  <si>
    <t>Connecting Rod 81362</t>
  </si>
  <si>
    <t>Screw 22580</t>
  </si>
  <si>
    <t>Ball Stud 81349</t>
  </si>
  <si>
    <t>Ha 23   Guide Plate</t>
  </si>
  <si>
    <t>Needle Guard 81325</t>
  </si>
  <si>
    <t>97 A Screw.</t>
  </si>
  <si>
    <t>Looper Thread Guide 81350D</t>
  </si>
  <si>
    <t>Guide Link # 80732</t>
  </si>
  <si>
    <t>GNPK 72</t>
  </si>
  <si>
    <t>SS/SL/26-27/226</t>
  </si>
  <si>
    <t>RM 424</t>
  </si>
  <si>
    <t>1101/26-27</t>
  </si>
  <si>
    <t>RM 425</t>
  </si>
  <si>
    <t>1155/26-27</t>
  </si>
  <si>
    <t>23-07-2026</t>
  </si>
  <si>
    <t>GNCN 290</t>
  </si>
  <si>
    <t>PIL1/D/1158</t>
  </si>
  <si>
    <t>RM 431</t>
  </si>
  <si>
    <t>PIL1/D/1157</t>
  </si>
  <si>
    <t>RM 432</t>
  </si>
  <si>
    <t>PIL1/D/1156</t>
  </si>
  <si>
    <t>RM 433</t>
  </si>
  <si>
    <t>PIL1/D/1155</t>
  </si>
  <si>
    <t>RM 434</t>
  </si>
  <si>
    <t>PIL1/D/1159</t>
  </si>
  <si>
    <t>GNCN 291</t>
  </si>
  <si>
    <t>PPL/D/400</t>
  </si>
  <si>
    <t>GNCN 292</t>
  </si>
  <si>
    <t>PPL/D/398</t>
  </si>
  <si>
    <t>GNSP 131</t>
  </si>
  <si>
    <t>PPL/D/397</t>
  </si>
  <si>
    <t>Needle No 34 UY 9853 GA 430/172</t>
  </si>
  <si>
    <t>RM 435</t>
  </si>
  <si>
    <t>PPL/D/399</t>
  </si>
  <si>
    <t>24-07-2026</t>
  </si>
  <si>
    <t>RM 436</t>
  </si>
  <si>
    <t>KPV/D/511</t>
  </si>
  <si>
    <t>GNCN 294</t>
  </si>
  <si>
    <t>PIL1/D/1168</t>
  </si>
  <si>
    <t>RM 438</t>
  </si>
  <si>
    <t>PIL1/D/1169</t>
  </si>
  <si>
    <t>RM 439</t>
  </si>
  <si>
    <t>PIL1/D/1167</t>
  </si>
  <si>
    <t>GNCN 293</t>
  </si>
  <si>
    <t>PPL/D/407</t>
  </si>
  <si>
    <t>RM 437</t>
  </si>
  <si>
    <t>PPL/D/406</t>
  </si>
  <si>
    <t>25-07-2026</t>
  </si>
  <si>
    <t>GNCN 295</t>
  </si>
  <si>
    <t>PIL1/D/1174</t>
  </si>
  <si>
    <t>RM 440</t>
  </si>
  <si>
    <t>PIL1/D/1175</t>
  </si>
  <si>
    <t>RM 441</t>
  </si>
  <si>
    <t>PIL1/D/1173</t>
  </si>
  <si>
    <t>GNPK 73</t>
  </si>
  <si>
    <t>SS/SL/26-27/235</t>
  </si>
  <si>
    <t>GNPK 74</t>
  </si>
  <si>
    <t>SS/SL/26-27/236</t>
  </si>
  <si>
    <t>26-07-2026</t>
  </si>
  <si>
    <t>GNCN 296</t>
  </si>
  <si>
    <t>PIL1/D/1182</t>
  </si>
  <si>
    <t>RM 442</t>
  </si>
  <si>
    <t>PIL1/D/1180</t>
  </si>
  <si>
    <t>RM 443</t>
  </si>
  <si>
    <t>PIL1/D/1186</t>
  </si>
  <si>
    <t>RM 444</t>
  </si>
  <si>
    <t>PIL1/D/1183</t>
  </si>
  <si>
    <t>27-07-2026</t>
  </si>
  <si>
    <t>GNCN 297</t>
  </si>
  <si>
    <t>PIL1/D/1190</t>
  </si>
  <si>
    <t>RM 445</t>
  </si>
  <si>
    <t>PIL1/D/1189</t>
  </si>
  <si>
    <t>RM 446</t>
  </si>
  <si>
    <t>PIL1/D/1191</t>
  </si>
  <si>
    <t>28-07-2026</t>
  </si>
  <si>
    <t>GNCN 298</t>
  </si>
  <si>
    <t>GP/26-27/77724</t>
  </si>
  <si>
    <t>GNCN 299</t>
  </si>
  <si>
    <t>GP/26-27/77725</t>
  </si>
  <si>
    <t>RM 453</t>
  </si>
  <si>
    <t>HPBL/DC/24</t>
  </si>
  <si>
    <t>GNSP 132</t>
  </si>
  <si>
    <t>1496/26-27</t>
  </si>
  <si>
    <t>Garden Pipe 1/2"</t>
  </si>
  <si>
    <t>GNSP 133</t>
  </si>
  <si>
    <t>Consumables Workshop</t>
  </si>
  <si>
    <t>Cutting Wheel 4 " X 1.2 mm</t>
  </si>
  <si>
    <t>24ABVPP9097Q1Z7</t>
  </si>
  <si>
    <t>GNCN 300</t>
  </si>
  <si>
    <t>PIL1/D/1203</t>
  </si>
  <si>
    <t>RM 448</t>
  </si>
  <si>
    <t>PIL1/D/1201</t>
  </si>
  <si>
    <t>RM 449</t>
  </si>
  <si>
    <t>PIL1/D/1200</t>
  </si>
  <si>
    <t>RM 450</t>
  </si>
  <si>
    <t>PIL1/D/1202</t>
  </si>
  <si>
    <t>RM 451</t>
  </si>
  <si>
    <t>PIL1/D/1204</t>
  </si>
  <si>
    <t>RM 447</t>
  </si>
  <si>
    <t>PPL/D/421</t>
  </si>
  <si>
    <t>RM 452</t>
  </si>
  <si>
    <t>PPL/D/422</t>
  </si>
  <si>
    <t>GNSP 134</t>
  </si>
  <si>
    <t>SR/620/26-27</t>
  </si>
  <si>
    <t>GNSP 135</t>
  </si>
  <si>
    <t>SR/614/26-27</t>
  </si>
  <si>
    <t>Bolt Stud 11354</t>
  </si>
  <si>
    <t>Screw 85 For Orsan M/C</t>
  </si>
  <si>
    <t>GNSP 136</t>
  </si>
  <si>
    <t>SR/613/26-27</t>
  </si>
  <si>
    <t>Screw 88 F</t>
  </si>
  <si>
    <t>Screw 93 A</t>
  </si>
  <si>
    <t>Looper Lower For Overedge Stitching  (81508)</t>
  </si>
  <si>
    <t>GNPK 75</t>
  </si>
  <si>
    <t>SSE/2026-27/0759</t>
  </si>
  <si>
    <t>Pine Wooden Pallet Design Code -CP1</t>
  </si>
  <si>
    <t>29-07-2026</t>
  </si>
  <si>
    <t>GNCN 301</t>
  </si>
  <si>
    <t>GNSP 137</t>
  </si>
  <si>
    <t>Wire Brush  05 Row</t>
  </si>
  <si>
    <t>GNCN 302</t>
  </si>
  <si>
    <t>PIL1/D/1209</t>
  </si>
  <si>
    <t>RM 454</t>
  </si>
  <si>
    <t>PIL1/D/1213</t>
  </si>
  <si>
    <t>RM 455</t>
  </si>
  <si>
    <t>PIL1/D/1217</t>
  </si>
  <si>
    <t>RM 456</t>
  </si>
  <si>
    <t>PIL1/D/1210</t>
  </si>
  <si>
    <t>RM 457</t>
  </si>
  <si>
    <t>PIL1/D/1208</t>
  </si>
  <si>
    <t>GNMS 13</t>
  </si>
  <si>
    <t>26-27/000343</t>
  </si>
  <si>
    <t>Pocha White Handel</t>
  </si>
  <si>
    <t>Pencil</t>
  </si>
  <si>
    <t>housekeeping Material</t>
  </si>
  <si>
    <t>Toilet Brush</t>
  </si>
  <si>
    <t>Soft Broom Flower</t>
  </si>
  <si>
    <t>Box File Big</t>
  </si>
  <si>
    <t>Register 03 Quir</t>
  </si>
  <si>
    <t>Spring File</t>
  </si>
  <si>
    <t>Xerox Paper A/4</t>
  </si>
  <si>
    <t>Pkt</t>
  </si>
  <si>
    <t>RooMSpray ( Air Freshner )</t>
  </si>
  <si>
    <t>Acid ( Cleaner )</t>
  </si>
  <si>
    <t>Glue Stick 15 Gm</t>
  </si>
  <si>
    <t>Other Spares</t>
  </si>
  <si>
    <t>Plastic Mug</t>
  </si>
  <si>
    <t>GNMS 14</t>
  </si>
  <si>
    <t>26-27/000347</t>
  </si>
  <si>
    <t>Cutter Blades</t>
  </si>
  <si>
    <t>Alfa Blade</t>
  </si>
  <si>
    <t>30-07-2026</t>
  </si>
  <si>
    <t>GNCN 304</t>
  </si>
  <si>
    <t>PIL1/D/1220</t>
  </si>
  <si>
    <t>RM 459</t>
  </si>
  <si>
    <t>PIL1/D/1227</t>
  </si>
  <si>
    <t>RM 460</t>
  </si>
  <si>
    <t>PIL1/D/1219</t>
  </si>
  <si>
    <t>RM 462</t>
  </si>
  <si>
    <t>PIL1/D/1221</t>
  </si>
  <si>
    <t>GNCN 303</t>
  </si>
  <si>
    <t>RM 458</t>
  </si>
  <si>
    <t>31-07-2026</t>
  </si>
  <si>
    <t>RM 466</t>
  </si>
  <si>
    <t>RM 463</t>
  </si>
  <si>
    <t>PIL1/D/1226.</t>
  </si>
  <si>
    <t>RM 464</t>
  </si>
  <si>
    <t>PIL1/D/1233</t>
  </si>
  <si>
    <t>RM 465</t>
  </si>
  <si>
    <t>PIL1/D/1230</t>
  </si>
  <si>
    <t>RM 467</t>
  </si>
  <si>
    <t>PIL1/D/1237</t>
  </si>
  <si>
    <t>GNCN 305</t>
  </si>
  <si>
    <t>GNCN 306</t>
  </si>
  <si>
    <t>GNCN 307</t>
  </si>
  <si>
    <t>GNCN 308</t>
  </si>
  <si>
    <t>GNCN 309</t>
  </si>
  <si>
    <t>GNCN 310</t>
  </si>
  <si>
    <t>GNCN 318</t>
  </si>
  <si>
    <t>HPBL4/D/137</t>
  </si>
  <si>
    <t>87x87x87</t>
  </si>
  <si>
    <t>85x85x85</t>
  </si>
  <si>
    <t>90x90x90</t>
  </si>
  <si>
    <t>HPBL4/D/138</t>
  </si>
  <si>
    <t>HPBL4/E/52/26-27</t>
  </si>
  <si>
    <t>HPBL4/E/53/26-27</t>
  </si>
  <si>
    <t>HPBL4/D/139</t>
  </si>
  <si>
    <t>HPBL4/D/140</t>
  </si>
  <si>
    <t>HPBL4/D/141</t>
  </si>
  <si>
    <t>MW 135 GSM</t>
  </si>
  <si>
    <t>HPBL4/D/142</t>
  </si>
  <si>
    <t>135X266X67 MIC M/W</t>
  </si>
  <si>
    <t>HPBL4/D/143</t>
  </si>
  <si>
    <t>86X86X108</t>
  </si>
  <si>
    <t>HPBL4/D/144</t>
  </si>
  <si>
    <t>85X85X90</t>
  </si>
  <si>
    <t>HPBL4/D/145</t>
  </si>
  <si>
    <t>HPBL4/D/146</t>
  </si>
  <si>
    <t>HPBL4/D/147</t>
  </si>
  <si>
    <t>91X91X100</t>
  </si>
  <si>
    <t>HPBL4/E/54/26-27</t>
  </si>
  <si>
    <t>HPBL4/D/148</t>
  </si>
  <si>
    <t>62.5X62.5X145</t>
  </si>
  <si>
    <t>62.5X62.5X170</t>
  </si>
  <si>
    <t>HPBL4/D/149</t>
  </si>
  <si>
    <t>HPBL4/D/150</t>
  </si>
  <si>
    <t>62.5X62.5X150</t>
  </si>
  <si>
    <t>HPBL4/D/151</t>
  </si>
  <si>
    <t>HPBL4/D/152</t>
  </si>
  <si>
    <t>HPBL4/D/153</t>
  </si>
  <si>
    <t>HPBL4/D/154</t>
  </si>
  <si>
    <t>HPBL4/D/155</t>
  </si>
  <si>
    <t>HPBL4/E/56/26-27</t>
  </si>
  <si>
    <t>Cesur France</t>
  </si>
  <si>
    <t>HPBL4/E/55/26-27</t>
  </si>
  <si>
    <t>HPBL4/E/57/26-27</t>
  </si>
  <si>
    <t>HOTMELT GLUE 100 KG</t>
  </si>
  <si>
    <t>HPBL4/D/156</t>
  </si>
  <si>
    <t>COLOUR WEBBING</t>
  </si>
  <si>
    <t>HPBL4/E/58/26-27</t>
  </si>
  <si>
    <t>HPBL4/E/59/26-27</t>
  </si>
  <si>
    <t>HPBL4/E/60/26-27</t>
  </si>
  <si>
    <t>HPBL4/E/61/26-27</t>
  </si>
  <si>
    <t>HPBL4/E/62/26-27</t>
  </si>
  <si>
    <t>HPBL4/E/63/26-27</t>
  </si>
  <si>
    <t>HPBL4/D/157</t>
  </si>
  <si>
    <t>HPBL4/D/158</t>
  </si>
  <si>
    <t>HPBL4/D/159</t>
  </si>
  <si>
    <t>OLD/USED FABRIC MS PIP</t>
  </si>
  <si>
    <t>HPBL4/D/160</t>
  </si>
  <si>
    <t>HPBL4/D/161</t>
  </si>
  <si>
    <t>90X90X150</t>
  </si>
  <si>
    <t>HPBL4/E/64/26-27</t>
  </si>
  <si>
    <t>HPBL4/E/66/26-27</t>
  </si>
  <si>
    <t>PP WOVEN BIG BAGS</t>
  </si>
  <si>
    <t>24AAECK6307M2ZE</t>
  </si>
  <si>
    <t>HPBL4/E/65/26-27</t>
  </si>
  <si>
    <t>HPBL4/D/162</t>
  </si>
  <si>
    <t>HPBL4/D/163</t>
  </si>
  <si>
    <t>HPBL4/D/164</t>
  </si>
  <si>
    <t>HPBL4/D/165</t>
  </si>
  <si>
    <t>HPBL4/D/166</t>
  </si>
  <si>
    <t>HPBL4/E/67/26-27</t>
  </si>
  <si>
    <t>PP WOVEN BIG BAGS/SACKS WITH LINERS</t>
  </si>
  <si>
    <t>HPBL4/D/167</t>
  </si>
  <si>
    <t>MW 90 GSM</t>
  </si>
  <si>
    <t>HPBL4/E/68/26-27</t>
  </si>
  <si>
    <t>HPBL4/D/168</t>
  </si>
  <si>
    <t>HPBL4/D/169</t>
  </si>
  <si>
    <t>HPBL4/E/69/26-27</t>
  </si>
  <si>
    <t>HPBL4/D/170</t>
  </si>
  <si>
    <t>HPBL4/D/171</t>
  </si>
  <si>
    <t>HPBL4/D/172</t>
  </si>
  <si>
    <t>HPBL4/D/173</t>
  </si>
  <si>
    <t>HPBL4/E/70/26-27</t>
  </si>
  <si>
    <t>HPBL4/D/174</t>
  </si>
  <si>
    <t>HPBL4/D/175</t>
  </si>
  <si>
    <t>HPBL4/D/176</t>
  </si>
  <si>
    <t>HPBL4/D/177</t>
  </si>
  <si>
    <t>91X91X180</t>
  </si>
  <si>
    <t>HPBL4/E/71/26-27</t>
  </si>
  <si>
    <t>HPBL4/D/178</t>
  </si>
  <si>
    <t>HPBL4/D/179</t>
  </si>
  <si>
    <t>HPBL4/D/180</t>
  </si>
  <si>
    <t>HPBL4/D/181</t>
  </si>
  <si>
    <t>HPBL4/D/182</t>
  </si>
  <si>
    <t>95X95X185</t>
  </si>
  <si>
    <t>HPBL4/E/72/26-27</t>
  </si>
  <si>
    <t>HPBL4/D/183</t>
  </si>
  <si>
    <t>HPBL4/D/185</t>
  </si>
  <si>
    <t>HPBL4/D/186</t>
  </si>
  <si>
    <t>HPBL4/D/187</t>
  </si>
  <si>
    <t>HPBL4/ME/10</t>
  </si>
  <si>
    <t>95X95X195</t>
  </si>
  <si>
    <t>79X79X91</t>
  </si>
  <si>
    <t>88X88X104</t>
  </si>
  <si>
    <t>80X80X90</t>
  </si>
  <si>
    <t>HPBL4/ME/9</t>
  </si>
  <si>
    <t>75X75X125</t>
  </si>
  <si>
    <t>HPBL4/E/73/26-27</t>
  </si>
  <si>
    <t>HPBL4/E/75/26-27</t>
  </si>
  <si>
    <t>HPBL4/D/188</t>
  </si>
  <si>
    <t>HPBL4/E/77/26-27</t>
  </si>
  <si>
    <t>HPBL4/E/76/26-27</t>
  </si>
  <si>
    <t>HPBL4/ME/11</t>
  </si>
  <si>
    <t>105X105X175</t>
  </si>
  <si>
    <t>HPBL4/D/189</t>
  </si>
  <si>
    <t>HPBL4/E/78/26-27</t>
  </si>
  <si>
    <t>RATE DIFF SHEET – JULY-26</t>
  </si>
  <si>
    <t>Wastage Rate Difference Sheet-JULY-2026</t>
  </si>
  <si>
    <t>WASTAGE SALE - JULY'26</t>
  </si>
  <si>
    <t>HPBL4/26-27/SII00901</t>
  </si>
  <si>
    <t>SARU52</t>
  </si>
  <si>
    <t>JBIN-SE 34</t>
  </si>
  <si>
    <t>OWN Vehical</t>
  </si>
  <si>
    <t>JW35</t>
  </si>
  <si>
    <t>HPBL4/26-27/SII00903</t>
  </si>
  <si>
    <t>JBIN-SE 35</t>
  </si>
  <si>
    <t>JW37</t>
  </si>
  <si>
    <t>HPBL4/26-27/SII00907</t>
  </si>
  <si>
    <t>SARU054</t>
  </si>
  <si>
    <t>JBIN-SE 36</t>
  </si>
  <si>
    <t>JW36</t>
  </si>
  <si>
    <t>HPBL4/26-27/SII00908</t>
  </si>
  <si>
    <t>SARU055</t>
  </si>
  <si>
    <t>JBIN-SE 37</t>
  </si>
  <si>
    <t>JW38</t>
  </si>
  <si>
    <t>HPBL4/26-27/SII00909</t>
  </si>
  <si>
    <t>SARU057</t>
  </si>
  <si>
    <t>JBIN-SE 38</t>
  </si>
  <si>
    <t>JW39</t>
  </si>
  <si>
    <t>HPBL4/26-27/SII00910</t>
  </si>
  <si>
    <t>SARU058</t>
  </si>
  <si>
    <t>JBIN-SE 39</t>
  </si>
  <si>
    <t>JW39.</t>
  </si>
  <si>
    <t>HPBL4/26-27/SII00911</t>
  </si>
  <si>
    <t>SARU060</t>
  </si>
  <si>
    <t>JBIN-SE 40</t>
  </si>
  <si>
    <t>JW40</t>
  </si>
  <si>
    <t>HPBL4/26-27/SII00936</t>
  </si>
  <si>
    <t>SARU061</t>
  </si>
  <si>
    <t>JBIN-SE 41</t>
  </si>
  <si>
    <t>HPBL4/26-27/SII00974</t>
  </si>
  <si>
    <t>SARU063</t>
  </si>
  <si>
    <t>HPBL4/26-27/SII00975</t>
  </si>
  <si>
    <t>SARU064</t>
  </si>
  <si>
    <t>JBIN-SE 43</t>
  </si>
  <si>
    <t>HPBL4/26-27/SII01032</t>
  </si>
  <si>
    <t>GJ12X5422</t>
  </si>
  <si>
    <t>SARU068</t>
  </si>
  <si>
    <t>JBIN-SE 44</t>
  </si>
  <si>
    <t>HPBL4/26-27/SII01058</t>
  </si>
  <si>
    <t>SARU072</t>
  </si>
  <si>
    <t>JBIN-SE 45</t>
  </si>
  <si>
    <t>HPBL4/26-27/SII01059</t>
  </si>
  <si>
    <t>SARU073</t>
  </si>
  <si>
    <t>JBIN-SE 46</t>
  </si>
  <si>
    <t>HPBL4/26-27/SII01060</t>
  </si>
  <si>
    <t>SARU074</t>
  </si>
  <si>
    <t>JBIN-SE 47</t>
  </si>
  <si>
    <t>HPBL4/26-27/SII01071</t>
  </si>
  <si>
    <t>gj24v1087</t>
  </si>
  <si>
    <t>JBIN-SE 48</t>
  </si>
  <si>
    <t>47..</t>
  </si>
  <si>
    <t>(blank)</t>
  </si>
  <si>
    <t>14/07/2026</t>
  </si>
  <si>
    <t>15/07/2026</t>
  </si>
  <si>
    <t>18/07/2026</t>
  </si>
  <si>
    <t>19/07/2026</t>
  </si>
  <si>
    <t>21/07/2026</t>
  </si>
  <si>
    <t>26/07/2026</t>
  </si>
  <si>
    <t>July.26</t>
  </si>
  <si>
    <t>HPBL4/26-27/SII00777</t>
  </si>
  <si>
    <t>171 DT 01/07/2026</t>
  </si>
  <si>
    <t>HPBL4/26-27/SII00779</t>
  </si>
  <si>
    <t>HPBL4/RAW/26-27/306</t>
  </si>
  <si>
    <t>HPBL4/26-27/SII00780</t>
  </si>
  <si>
    <t>HPBL4/RAW/26-27/307</t>
  </si>
  <si>
    <t>HPBL4/26-27/SII00781</t>
  </si>
  <si>
    <t>HPBL4/RAW/26-27/308</t>
  </si>
  <si>
    <t>HPBL4/26-27/SII00783</t>
  </si>
  <si>
    <t>HPBL4/RAW/26-27/309</t>
  </si>
  <si>
    <t>HPBL4/26-27/SII00784</t>
  </si>
  <si>
    <t>HPBL4/RAW/26-27/305</t>
  </si>
  <si>
    <t>GJ12DE3213</t>
  </si>
  <si>
    <t>HPBL4/26-27/SII00788</t>
  </si>
  <si>
    <t>HPBL4/RAW/26-27/310</t>
  </si>
  <si>
    <t>HPBL4/26-27/SII00790</t>
  </si>
  <si>
    <t>HPBL4/26-27/SII00791</t>
  </si>
  <si>
    <t>HPBL4/RAW/26-27/311</t>
  </si>
  <si>
    <t>HPBL4/26-27/SII00793</t>
  </si>
  <si>
    <t>HPBL4/RAW/26-27/313</t>
  </si>
  <si>
    <t>HPBL4/26-27/SII00794</t>
  </si>
  <si>
    <t>HPBL4/RAW/26-27/314</t>
  </si>
  <si>
    <t>HPBL4/26-27/SII00795</t>
  </si>
  <si>
    <t>HPBL4/RAW/26-27/315</t>
  </si>
  <si>
    <t>HPBL4/26-27/SII00796</t>
  </si>
  <si>
    <t>HPBL4/26-27/SII00797</t>
  </si>
  <si>
    <t>HPBL4/26-27/SII00798</t>
  </si>
  <si>
    <t>HPBL4/26-27/SII00800</t>
  </si>
  <si>
    <t>HPBL4/RAW/26-27/316</t>
  </si>
  <si>
    <t>HPBL4/26-27/SII00801</t>
  </si>
  <si>
    <t>HPBL4/RAW/26-27/317</t>
  </si>
  <si>
    <t>GJ39TA8608</t>
  </si>
  <si>
    <t>HPBL4/26-27/SII00802</t>
  </si>
  <si>
    <t>HPBL4/RAW/26-27/318</t>
  </si>
  <si>
    <t>HPBL4/26-27/SII00803</t>
  </si>
  <si>
    <t>HPBL4/RAW/26-27/319</t>
  </si>
  <si>
    <t>HPBL4/26-27/SII00804</t>
  </si>
  <si>
    <t>HPBL4/RAW/26-27/320</t>
  </si>
  <si>
    <t>HPBL4/26-27/SII00812</t>
  </si>
  <si>
    <t>HPBL4/RAW/26-27/321</t>
  </si>
  <si>
    <t>HPBL4/26-27/SII00814</t>
  </si>
  <si>
    <t>HPBL4/RAW/26-27/322</t>
  </si>
  <si>
    <t>HPBL4/26-27/SII00815</t>
  </si>
  <si>
    <t>HPBL4/RAW/26-27/323</t>
  </si>
  <si>
    <t>HPBL4/26-27/SII00818</t>
  </si>
  <si>
    <t>HPBL4/RAW/26-27/324</t>
  </si>
  <si>
    <t>HPBL4/26-27/SII00820</t>
  </si>
  <si>
    <t>HPBL4/RAW/26-27/327</t>
  </si>
  <si>
    <t>HPBL4/26-27/SII00822</t>
  </si>
  <si>
    <t>HPBL4/RAW/26-27/328</t>
  </si>
  <si>
    <t>HPBL4/26-27/SII00823</t>
  </si>
  <si>
    <t>HPBL4/RAW/26-27/329</t>
  </si>
  <si>
    <t>HPBL4/26-27/SII00824</t>
  </si>
  <si>
    <t>HPBL4/RAW/26-27/330</t>
  </si>
  <si>
    <t>HPBL4/26-27/SII00825</t>
  </si>
  <si>
    <t>HPBL4/RAW/26-27/331</t>
  </si>
  <si>
    <t>HPBL4/26-27/SII00826</t>
  </si>
  <si>
    <t>HPBL4/RAW/26-27/332</t>
  </si>
  <si>
    <t>HPBL4/26-27/SII00830</t>
  </si>
  <si>
    <t>HPBL4/RAW/26-27/334</t>
  </si>
  <si>
    <t>GJ24X2047</t>
  </si>
  <si>
    <t>HPBL4/26-27/SII00831</t>
  </si>
  <si>
    <t>HPBL4/RAW/26-27/335</t>
  </si>
  <si>
    <t>HPBL4/26-27/SII00834</t>
  </si>
  <si>
    <t>HPBL4/RAW/26-27/336</t>
  </si>
  <si>
    <t>HPBL4/26-27/SII00835</t>
  </si>
  <si>
    <t>HPBL4/RAW/26-27/337</t>
  </si>
  <si>
    <t>HPBL4/26-27/SII00836</t>
  </si>
  <si>
    <t>HPBL4/RAW/26-27/338</t>
  </si>
  <si>
    <t>HPBL4/26-27/SII00837</t>
  </si>
  <si>
    <t>HPBL4/RAW/26-27/339</t>
  </si>
  <si>
    <t>HPBL4/26-27/SII00838</t>
  </si>
  <si>
    <t>HPBL4/RAW/26-27/340</t>
  </si>
  <si>
    <t>HPBL4/26-27/SII00839</t>
  </si>
  <si>
    <t>HPBL4/RAW/26-27/341</t>
  </si>
  <si>
    <t>HPBL4/26-27/SII00840</t>
  </si>
  <si>
    <t>HPBL4/RAW/26-27/342</t>
  </si>
  <si>
    <t>GJ24X8795</t>
  </si>
  <si>
    <t>RECD LATE INVOICE....</t>
  </si>
  <si>
    <t>HPBL4/26-27/SII00847</t>
  </si>
  <si>
    <t>HPBL4/RAW/26-27/343</t>
  </si>
  <si>
    <t>HPBL4/26-27/SII00848</t>
  </si>
  <si>
    <t>HPBL4/26-27/SII00850</t>
  </si>
  <si>
    <t>HPBL4/RAW/26-27/344</t>
  </si>
  <si>
    <t>HPBL4/26-27/SII00856</t>
  </si>
  <si>
    <t>HPBL4/RAW/26-27/346</t>
  </si>
  <si>
    <t>HPBL4/26-27/SII00857</t>
  </si>
  <si>
    <t>HPBL4/RAW/26-27/347</t>
  </si>
  <si>
    <t>HPBL4/26-27/SII00858</t>
  </si>
  <si>
    <t>HPBL4/26-27/SII00859</t>
  </si>
  <si>
    <t>HPBL4/RAW/26-27/348</t>
  </si>
  <si>
    <t>HPBL4/26-27/SII00860</t>
  </si>
  <si>
    <t>HPBL4/RAW/26-27/349</t>
  </si>
  <si>
    <t>HPBL4/26-27/SII00861</t>
  </si>
  <si>
    <t>HPBL4/RAW/26-27/350</t>
  </si>
  <si>
    <t>HPBL4/26-27/SII00871</t>
  </si>
  <si>
    <t>HPBL4/RAW/26-27/352</t>
  </si>
  <si>
    <t>HPBL4/26-27/SII00872</t>
  </si>
  <si>
    <t>GJ39H2246</t>
  </si>
  <si>
    <t>HPBL4/26-27/SII00873</t>
  </si>
  <si>
    <t>HPBL4/RAW/26-27/351</t>
  </si>
  <si>
    <t>HPBL4/26-27/SII00874</t>
  </si>
  <si>
    <t>HPBL4/RAW/26-27/353</t>
  </si>
  <si>
    <t>HPBL4/26-27/SII00877</t>
  </si>
  <si>
    <t>HPBL4/RAW/26-27/355</t>
  </si>
  <si>
    <t>HPBL4/26-27/SII00878</t>
  </si>
  <si>
    <t>HPBL4/RAW/26-27/356</t>
  </si>
  <si>
    <t>HPBL4/26-27/SII00879</t>
  </si>
  <si>
    <t>HPBL4/RAW/26-27/357</t>
  </si>
  <si>
    <t>HPBL4/26-27/SII00880</t>
  </si>
  <si>
    <t>HPBL4/RAW/26-27/358</t>
  </si>
  <si>
    <t>HPBL4/26-27/SII00881</t>
  </si>
  <si>
    <t>HPBL4/RAW/26-27/359</t>
  </si>
  <si>
    <t>HPBL4/26-27/SII00882</t>
  </si>
  <si>
    <t>HPBL4/RAW/26-27/362</t>
  </si>
  <si>
    <t>GJ08AW4250</t>
  </si>
  <si>
    <t>HPBL4/26-27/SII00883</t>
  </si>
  <si>
    <t>HPBL4/RAW/26-27/363</t>
  </si>
  <si>
    <t>HPBL4/26-27/SII00885</t>
  </si>
  <si>
    <t>HPBL4/RAW/26-27/364</t>
  </si>
  <si>
    <t>GJ12BZ4679</t>
  </si>
  <si>
    <t>HPBL4/26-27/SII00887</t>
  </si>
  <si>
    <t>HPBL4/RAW/26-27/366</t>
  </si>
  <si>
    <t>HPBL4/26-27/SII00889</t>
  </si>
  <si>
    <t>HPBL4/RAW/26-27/368</t>
  </si>
  <si>
    <t>GJ12BY2409</t>
  </si>
  <si>
    <t>HPBL4/26-27/SII00891</t>
  </si>
  <si>
    <t>HPBL4/RAW/26-27/354</t>
  </si>
  <si>
    <t>GJ12BW0544</t>
  </si>
  <si>
    <t>HPBL4/26-27/SII00894</t>
  </si>
  <si>
    <t>HPBL4/RAW/26-27/361</t>
  </si>
  <si>
    <t>GJ39TB3634</t>
  </si>
  <si>
    <t>HPBL4/26-27/SII00895</t>
  </si>
  <si>
    <t>HPBL4/RAW/26-27/369</t>
  </si>
  <si>
    <t>HPBL4/26-27/SII00897</t>
  </si>
  <si>
    <t>HPBL4/RAW/26-27/370</t>
  </si>
  <si>
    <t>HPBL4/26-27/SII00898</t>
  </si>
  <si>
    <t>HPBL4/RAW/26-27/371</t>
  </si>
  <si>
    <t>HPBL4/26-27/SII00899</t>
  </si>
  <si>
    <t>HPBL4/RAW/26-27/372</t>
  </si>
  <si>
    <t>HPBL4/26-27/SII00900</t>
  </si>
  <si>
    <t>HPBL4/RAW/26-27/373</t>
  </si>
  <si>
    <t>HPBL4/26-27/SII00902</t>
  </si>
  <si>
    <t>HPBL4/RAW/26-27/374</t>
  </si>
  <si>
    <t>GJ39TA3045</t>
  </si>
  <si>
    <t>HPBL4/26-27/SII00905</t>
  </si>
  <si>
    <t>HPBL4/RAW/26-27/375</t>
  </si>
  <si>
    <t>HPBL4/26-27/SII00906</t>
  </si>
  <si>
    <t>HPBL4/RAW/26-27/376</t>
  </si>
  <si>
    <t>HPBL4/26-27/SII00913</t>
  </si>
  <si>
    <t>HPBL4/RAW/26-27/378</t>
  </si>
  <si>
    <t>HPBL4/26-27/SII00914</t>
  </si>
  <si>
    <t>HPBL4/RAW/26-27/380</t>
  </si>
  <si>
    <t>HPBL4/26-27/SII00915</t>
  </si>
  <si>
    <t>GJ39TD3634</t>
  </si>
  <si>
    <t>HPBL4/26-27/SII00916</t>
  </si>
  <si>
    <t>HPBL4/RAW/26-27/381</t>
  </si>
  <si>
    <t>HPBL4/26-27/SII00918</t>
  </si>
  <si>
    <t>HPBL4/RAW/26-27/382</t>
  </si>
  <si>
    <t>HPBL4/26-27/SII00920</t>
  </si>
  <si>
    <t>HPBL4/RAW/26-27/383</t>
  </si>
  <si>
    <t>HPBL4/26-27/SII00925</t>
  </si>
  <si>
    <t>HPBL4/RAW/26-27/385</t>
  </si>
  <si>
    <t>HPBL4/26-27/SII00926</t>
  </si>
  <si>
    <t>HPBL4/26-27/SII00927</t>
  </si>
  <si>
    <t>HPBL4/RAW/26-27/386</t>
  </si>
  <si>
    <t>HPBL4/26-27/SII00935</t>
  </si>
  <si>
    <t>SMF00256</t>
  </si>
  <si>
    <t>HPBL4/26-27/RWM00001/01</t>
  </si>
  <si>
    <t>HPBL4/RAW/26-27/360</t>
  </si>
  <si>
    <t>HARISH TRANSPORT CO</t>
  </si>
  <si>
    <t>4/10935</t>
  </si>
  <si>
    <t>GST 5%</t>
  </si>
  <si>
    <t>mani</t>
  </si>
  <si>
    <t>rmp2</t>
  </si>
  <si>
    <t>HPBL4/26-27/SII00937</t>
  </si>
  <si>
    <t>HPBL4/RAW/26-27/387</t>
  </si>
  <si>
    <t>HPBL4/26-27/SII00938</t>
  </si>
  <si>
    <t>HPBL4/26-27/SII00939</t>
  </si>
  <si>
    <t>HPBL4/26-27/SII00940</t>
  </si>
  <si>
    <t>GJ12BY0479/GJ12BU0544</t>
  </si>
  <si>
    <t>..</t>
  </si>
  <si>
    <t>HPBL4/26-27/SII00942</t>
  </si>
  <si>
    <t>HPBL4/RAW/26-27/388</t>
  </si>
  <si>
    <t>HPBL4/26-27/SII00944</t>
  </si>
  <si>
    <t>HPBL4/RAW/26-27/389</t>
  </si>
  <si>
    <t>HPBL4/26-27/SII00947</t>
  </si>
  <si>
    <t>HPBL4/RAW/26-27/390</t>
  </si>
  <si>
    <t>HPBL4/26-27/SII00948</t>
  </si>
  <si>
    <t>HPBL4/RAW/26-27/391</t>
  </si>
  <si>
    <t>HPBL4/26-27/SII00958</t>
  </si>
  <si>
    <t>HPBL4/RAW/26-27/392</t>
  </si>
  <si>
    <t>HPBL4/26-27/SII00960</t>
  </si>
  <si>
    <t>HPBL4/RAW/26-27/393</t>
  </si>
  <si>
    <t>HPBL4/26-27/SII00962</t>
  </si>
  <si>
    <t>HPBL4/RAW/26-27/395</t>
  </si>
  <si>
    <t>HPBL4/26-27/SII00963</t>
  </si>
  <si>
    <t>HPBL4/26-27/SII00964</t>
  </si>
  <si>
    <t>HPBL4/RAW/26-27/394</t>
  </si>
  <si>
    <t>HPBL4/26-27/SII00968</t>
  </si>
  <si>
    <t>HPBL4/RAW/26-27/397</t>
  </si>
  <si>
    <t>HPBL4/26-27/SII00969</t>
  </si>
  <si>
    <t>HPBL4/RAW/26-27/398</t>
  </si>
  <si>
    <t>GJ06XX6679</t>
  </si>
  <si>
    <t>HPBL4/26-27/SII00970</t>
  </si>
  <si>
    <t>HPBL4/26-27/RWM00003/01</t>
  </si>
  <si>
    <t>HPBL4/RAW/26-27/325</t>
  </si>
  <si>
    <t>storegrp</t>
  </si>
  <si>
    <t>HPBL4/26-27/SII00973</t>
  </si>
  <si>
    <t>HPBL4/26-27/RWM00004/02</t>
  </si>
  <si>
    <t>HPBL4/RAW/26-27/345</t>
  </si>
  <si>
    <t>HPBL4/26-27/RWM00004/04</t>
  </si>
  <si>
    <t>HPBL4/26-27/RWM00004/06</t>
  </si>
  <si>
    <t>HPBL4/26-27/RWM00004/08</t>
  </si>
  <si>
    <t>HPBL4/26-27/RWM00004/07</t>
  </si>
  <si>
    <t>HPBL4/26-27/RWM00004/05</t>
  </si>
  <si>
    <t>HPBL4/26-27/RWM00004/03</t>
  </si>
  <si>
    <t>HPBL4/26-27/RWM00004/01</t>
  </si>
  <si>
    <t>HPBL4/26-27/SII00979</t>
  </si>
  <si>
    <t>HPBL4/RAW/26-27/400</t>
  </si>
  <si>
    <t>GJ24X6976</t>
  </si>
  <si>
    <t>HPBL4/26-27/SII00981</t>
  </si>
  <si>
    <t>HPBL4/RAW/26-27/401</t>
  </si>
  <si>
    <t>HPBL4/26-27/SII00982</t>
  </si>
  <si>
    <t>HPBL4/26-27/SII00983</t>
  </si>
  <si>
    <t>HPBL4/RAW/26-27/402</t>
  </si>
  <si>
    <t>HPBL4/26-27/SII00984</t>
  </si>
  <si>
    <t>HPBL4/RAW/26-27/403</t>
  </si>
  <si>
    <t>HPBL4/26-27/SII00986</t>
  </si>
  <si>
    <t>HPBL4/RAW/26-27/404</t>
  </si>
  <si>
    <t>HPBL4/26-27/SII00987</t>
  </si>
  <si>
    <t>HPBL4/RAW/26-27/405</t>
  </si>
  <si>
    <t>HPBL4/26-27/SII00988</t>
  </si>
  <si>
    <t>HPBL4/RAW/26-27/406</t>
  </si>
  <si>
    <t>HPBL4/26-27/SII00989</t>
  </si>
  <si>
    <t>HPBL4/RAW/26-27/407</t>
  </si>
  <si>
    <t>GJ12U0544</t>
  </si>
  <si>
    <t>HPBL4/26-27/SII00993</t>
  </si>
  <si>
    <t>HPBL4/RAW/26-27/408</t>
  </si>
  <si>
    <t>gj12by5178</t>
  </si>
  <si>
    <t>HPBL4/26-27/SII00994</t>
  </si>
  <si>
    <t>HPBL4/RAW/26-27/409</t>
  </si>
  <si>
    <t>GJ33TB3534</t>
  </si>
  <si>
    <t>HPBL4/RAW/26-27/410</t>
  </si>
  <si>
    <t>HPBL4/26-27/SII00997</t>
  </si>
  <si>
    <t>HPBL4/RAW/26-27/411</t>
  </si>
  <si>
    <t>GJ12BT02409</t>
  </si>
  <si>
    <t>HPBL4/26-27/SII00998</t>
  </si>
  <si>
    <t>HPBL4/26-27/SII01003</t>
  </si>
  <si>
    <t>HPBL4/RAW/26-27/412</t>
  </si>
  <si>
    <t>HPBL4/26-27/SII01004</t>
  </si>
  <si>
    <t>HPBL4/26-27/SII01006</t>
  </si>
  <si>
    <t>HPBL4/RAW/26-27/413</t>
  </si>
  <si>
    <t>HPBL4/26-27/SII01007</t>
  </si>
  <si>
    <t>HPBL4/RAW/26-27/414</t>
  </si>
  <si>
    <t>HPBL4/26-27/SII01008</t>
  </si>
  <si>
    <t>HPBL4/RAW/26-27/416</t>
  </si>
  <si>
    <t>HPBL4/26-27/SII01009</t>
  </si>
  <si>
    <t>HPBL4/RAW/26-27/418</t>
  </si>
  <si>
    <t>HPBL4/26-27/SII01011</t>
  </si>
  <si>
    <t>HPBL4/RAW/26-27/419</t>
  </si>
  <si>
    <t>HPBL4/26-27/SII01012</t>
  </si>
  <si>
    <t>HPBL4/RAW/26-27/417</t>
  </si>
  <si>
    <t>HPBL4/26-27/SII01013</t>
  </si>
  <si>
    <t>HPBL4/RAW/26-27/420</t>
  </si>
  <si>
    <t>HPBL4/26-27/SII01014</t>
  </si>
  <si>
    <t>HPBL4/26-27/SII01015</t>
  </si>
  <si>
    <t>HPBL4/RAW/26-27/421</t>
  </si>
  <si>
    <t>HPBL4/26-27/SII01024</t>
  </si>
  <si>
    <t>HPBL4/RAW/26-27/422</t>
  </si>
  <si>
    <t>HPBL4/26-27/SII01025</t>
  </si>
  <si>
    <t>HPBL4/RAW/26-27/415</t>
  </si>
  <si>
    <t>HPBL4/26-27/SII01026</t>
  </si>
  <si>
    <t>HPBL4/RAW/26-27/423</t>
  </si>
  <si>
    <t>GJ24X4134</t>
  </si>
  <si>
    <t>14..</t>
  </si>
  <si>
    <t>HPBL4/26-27/SII01034</t>
  </si>
  <si>
    <t>HPBL4/RAW/26-27/424</t>
  </si>
  <si>
    <t>HPBL4/26-27/SII01035</t>
  </si>
  <si>
    <t>HPBL4/26-27/SII01036</t>
  </si>
  <si>
    <t>wip00013</t>
  </si>
  <si>
    <t>HPBL4/RAW/26-27/425</t>
  </si>
  <si>
    <t>HPBL4/26-27/SII01037</t>
  </si>
  <si>
    <t>HPBL4/RAW/26-27/426</t>
  </si>
  <si>
    <t>HPBL4/26-27/SII01039</t>
  </si>
  <si>
    <t>HPBL4/RAW/26-27/427</t>
  </si>
  <si>
    <t>HPBL4/26-27/SII01042</t>
  </si>
  <si>
    <t>HPBL4/RAW/26-27/429</t>
  </si>
  <si>
    <t>HPBL4/26-27/SII01043</t>
  </si>
  <si>
    <t>HPBL4/26-27/SII01045</t>
  </si>
  <si>
    <t>HPBL4/RAW/26-27/431</t>
  </si>
  <si>
    <t>HPBL4/26-27/SII01062</t>
  </si>
  <si>
    <t>HPBL4/RAW/26-27/432</t>
  </si>
  <si>
    <t>HPBL4/26-27/SII01064</t>
  </si>
  <si>
    <t>HPBL4/RAW/26-27/435</t>
  </si>
  <si>
    <t>HPBL4/26-27/SII01065</t>
  </si>
  <si>
    <t>HPBL4/RAW/26-27/434</t>
  </si>
  <si>
    <t>HPBL4/26-27/SII01067</t>
  </si>
  <si>
    <t>smf00052</t>
  </si>
  <si>
    <t>HPBL4/RAW/26-27/433</t>
  </si>
  <si>
    <t>GJ08AX2024</t>
  </si>
  <si>
    <t>smf00054</t>
  </si>
  <si>
    <t>HPBL4/26-27/SII01069</t>
  </si>
  <si>
    <t>HPBL4/RAW/26-27/436</t>
  </si>
  <si>
    <t>JUTE FABRIC</t>
  </si>
  <si>
    <t>ZIP LOCK BAGS</t>
  </si>
  <si>
    <t>HPBL4-NL-O26G-08172</t>
  </si>
  <si>
    <t>PIL-NL-I26F-19562</t>
  </si>
  <si>
    <t>HPBL4-NL-O26G-08173</t>
  </si>
  <si>
    <t>PIL-NL-I26F-19601</t>
  </si>
  <si>
    <t>HPBL4-NL-O26G-08174</t>
  </si>
  <si>
    <t>PIL-NL-I26F-19612</t>
  </si>
  <si>
    <t>HPBL4-NL-O26G-08175</t>
  </si>
  <si>
    <t>PIL-NL-I26F-19574</t>
  </si>
  <si>
    <t>HPBL4-NL-O26G-08176</t>
  </si>
  <si>
    <t>PIL-NL-I26F-19615</t>
  </si>
  <si>
    <t>HPBL4-NL-O26G-08177</t>
  </si>
  <si>
    <t>PIL-NL-I26F-19635</t>
  </si>
  <si>
    <t>HPBL4-NL-O26G-08178</t>
  </si>
  <si>
    <t>PIL-NL-I26F-19559</t>
  </si>
  <si>
    <t>HPBL4-NL-O26G-08179</t>
  </si>
  <si>
    <t>PIL-NL-I26F-19591</t>
  </si>
  <si>
    <t>HPBL4-NL-O26G-08180</t>
  </si>
  <si>
    <t>PIL-NL-I26F-19593</t>
  </si>
  <si>
    <t>5/40 RED 032 C/MW</t>
  </si>
  <si>
    <t>HPBL4-NL-O26G-08181</t>
  </si>
  <si>
    <t>PIL-NL-I26F-19598</t>
  </si>
  <si>
    <t>HPBL4-NL-O26G-08182</t>
  </si>
  <si>
    <t>PIL-NL-I26F-19600</t>
  </si>
  <si>
    <t>HPBL4-NL-O26G-08183</t>
  </si>
  <si>
    <t>PIL-NL-I26F-19629</t>
  </si>
  <si>
    <t>4/35 MW/NO</t>
  </si>
  <si>
    <t>HPBL4-NL-O26G-08184</t>
  </si>
  <si>
    <t>PIL-NL-I26F-19634</t>
  </si>
  <si>
    <t>HPBL4-NL-O26G-08185</t>
  </si>
  <si>
    <t>PIL-NL-I26F-19639</t>
  </si>
  <si>
    <t>HPBL4-NL-O26G-08186</t>
  </si>
  <si>
    <t>PIL-NL-I26F-19558</t>
  </si>
  <si>
    <t>HPBL4-NL-O26G-08187</t>
  </si>
  <si>
    <t>PIL-NL-I26F-19567</t>
  </si>
  <si>
    <t>HPBL4-NL-O26G-08188</t>
  </si>
  <si>
    <t>PIL-NL-I26F-19592</t>
  </si>
  <si>
    <t>HPBL4-NL-O26G-08189</t>
  </si>
  <si>
    <t>PIL-NL-I26F-19604</t>
  </si>
  <si>
    <t>HPBL4-NL-O26G-08190</t>
  </si>
  <si>
    <t>PIL-NL-I26F-19617</t>
  </si>
  <si>
    <t>HPBL4-NL-O26G-08191</t>
  </si>
  <si>
    <t>PIL-NL-I26F-19626</t>
  </si>
  <si>
    <t>HPBL4-NL-O26G-08192</t>
  </si>
  <si>
    <t>PIL-NL-I26F-19645</t>
  </si>
  <si>
    <t>HPBL4-NL-O26G-08193</t>
  </si>
  <si>
    <t>PIL-NL-I26F-19557</t>
  </si>
  <si>
    <t>HPBL4-NL-O26G-08194</t>
  </si>
  <si>
    <t>PIL-NL-I26F-19564</t>
  </si>
  <si>
    <t>HPBL4-NL-O26G-08195</t>
  </si>
  <si>
    <t>PIL-NL-I26F-19566</t>
  </si>
  <si>
    <t>HPBL4-NL-O26G-08196</t>
  </si>
  <si>
    <t>PIL-NL-I26F-19603</t>
  </si>
  <si>
    <t>HPBL4-NL-O26G-08197</t>
  </si>
  <si>
    <t>PIL-NL-I26F-19616</t>
  </si>
  <si>
    <t>HPBL4-NL-O26G-08198</t>
  </si>
  <si>
    <t>PIL-NL-I26F-19625</t>
  </si>
  <si>
    <t>HPBL4-NL-O26G-08199</t>
  </si>
  <si>
    <t>PIL-NL-I26F-19556</t>
  </si>
  <si>
    <t>HPBL4-NL-O26G-08200</t>
  </si>
  <si>
    <t>PIL-NL-I26F-19561</t>
  </si>
  <si>
    <t>HPBL4-NL-O26G-08201</t>
  </si>
  <si>
    <t>PIL-NL-I26F-19563</t>
  </si>
  <si>
    <t>HPBL4-NL-O26G-08202</t>
  </si>
  <si>
    <t>PIL-NL-I26F-19565</t>
  </si>
  <si>
    <t>HPBL4-NL-O26G-08203</t>
  </si>
  <si>
    <t>PIL-NL-I26F-19583</t>
  </si>
  <si>
    <t>HPBL4-NL-O26G-08204</t>
  </si>
  <si>
    <t>PIL-NL-I26F-19613</t>
  </si>
  <si>
    <t>HPBL4-NL-O26G-08205</t>
  </si>
  <si>
    <t>PIL-NL-I26F-19555</t>
  </si>
  <si>
    <t>HPBL4-NL-O26G-08206</t>
  </si>
  <si>
    <t>PIL-NL-I26F-19560</t>
  </si>
  <si>
    <t>HPBL4-NL-O26G-08207</t>
  </si>
  <si>
    <t>PIL-NL-I26F-19582</t>
  </si>
  <si>
    <t>HPBL4-NL-O26G-08208</t>
  </si>
  <si>
    <t>PIL-NL-I26F-19599</t>
  </si>
  <si>
    <t>HPBL4-NL-O26G-08209</t>
  </si>
  <si>
    <t>PIL-NL-I26F-19627</t>
  </si>
  <si>
    <t>HPBL4-NL-O26G-08210</t>
  </si>
  <si>
    <t>PIL-NL-I26F-19614</t>
  </si>
  <si>
    <t>HPBL4-NL-O26G-08211</t>
  </si>
  <si>
    <t>PIL-NL-I26F-19636</t>
  </si>
  <si>
    <t>HPBL4-NL-O26G-08212</t>
  </si>
  <si>
    <t>PIL-NL-I26G-19647</t>
  </si>
  <si>
    <t>HPBL4-NL-O26G-08213</t>
  </si>
  <si>
    <t>PIL-NL-I26G-19662</t>
  </si>
  <si>
    <t>4/25 BLUE-288C/GREEN</t>
  </si>
  <si>
    <t>HPBL4-NL-O26G-08214</t>
  </si>
  <si>
    <t>PIL-NL-I26G-19683</t>
  </si>
  <si>
    <t>HPBL4-NL-O26G-08215</t>
  </si>
  <si>
    <t>PIL-NL-I26G-19685</t>
  </si>
  <si>
    <t>HPBL4-NL-O26G-08216</t>
  </si>
  <si>
    <t>PIL-NL-I26G-19694</t>
  </si>
  <si>
    <t>HPBL4-NL-O26G-08217</t>
  </si>
  <si>
    <t>PIL-NL-I26G-19701</t>
  </si>
  <si>
    <t>HPBL4-NL-O26G-08218</t>
  </si>
  <si>
    <t>PIL-NL-I26G-19710</t>
  </si>
  <si>
    <t>HPBL4-NL-O26G-08219</t>
  </si>
  <si>
    <t>PIL-NL-I26G-19745</t>
  </si>
  <si>
    <t>HPBL4-NL-O26G-08220</t>
  </si>
  <si>
    <t>PIL-NL-I26F-19589</t>
  </si>
  <si>
    <t>HPBL4-NL-O26G-08221</t>
  </si>
  <si>
    <t>PIL-NL-I26F-19590</t>
  </si>
  <si>
    <t>HPBL4-NL-O26G-08222</t>
  </si>
  <si>
    <t>PIL-NL-I26G-19700</t>
  </si>
  <si>
    <t>HPBL4-NL-O26G-08223</t>
  </si>
  <si>
    <t>PIL-NL-I26F-19638</t>
  </si>
  <si>
    <t>HPBL4-NL-O26G-08224</t>
  </si>
  <si>
    <t>PIL-NL-I26G-19659</t>
  </si>
  <si>
    <t>HPBL4-NL-O26G-08225</t>
  </si>
  <si>
    <t>PIL-NL-I26G-19655</t>
  </si>
  <si>
    <t>HPBL4-NL-O26G-08226</t>
  </si>
  <si>
    <t>PIL-NL-I26G-19656</t>
  </si>
  <si>
    <t>HPBL4-NL-O26G-08227</t>
  </si>
  <si>
    <t>PIL-NL-I26G-19674</t>
  </si>
  <si>
    <t>HPBL4-NL-O26G-08228</t>
  </si>
  <si>
    <t>PIL-NL-I26G-19712</t>
  </si>
  <si>
    <t>HPBL4-NL-O26G-08229</t>
  </si>
  <si>
    <t>PIL-NL-I26G-19729</t>
  </si>
  <si>
    <t>HPBL4-NL-O26G-08230</t>
  </si>
  <si>
    <t>PIL-NL-I26G-19667</t>
  </si>
  <si>
    <t>HPBL4-NL-O26G-08231</t>
  </si>
  <si>
    <t>PIL-NL-I26G-19675</t>
  </si>
  <si>
    <t>HPBL4-NL-O26G-08232</t>
  </si>
  <si>
    <t>PIL-NL-I26G-19687</t>
  </si>
  <si>
    <t>HPBL4-NL-O26G-08233</t>
  </si>
  <si>
    <t>PIL-NL-I26G-19713</t>
  </si>
  <si>
    <t>HPBL4-NL-O26G-08234</t>
  </si>
  <si>
    <t>PIL-NL-I26G-19732</t>
  </si>
  <si>
    <t>HPBL4-NL-O26G-08235</t>
  </si>
  <si>
    <t>PIL-NL-I26G-19648</t>
  </si>
  <si>
    <t>HPBL4-NL-O26G-08236</t>
  </si>
  <si>
    <t>PIL-NL-I26G-19684</t>
  </si>
  <si>
    <t>HPBL4-NL-O26G-08237</t>
  </si>
  <si>
    <t>PIL-NL-I26G-19686</t>
  </si>
  <si>
    <t>HPBL4-NL-O26G-08238</t>
  </si>
  <si>
    <t>PIL-NL-I26G-19704</t>
  </si>
  <si>
    <t>HPBL4-NL-O26G-08239</t>
  </si>
  <si>
    <t>PIL-NL-I26G-19728</t>
  </si>
  <si>
    <t>HPBL4-NL-O26G-08240</t>
  </si>
  <si>
    <t>PIL-NL-I26G-19672</t>
  </si>
  <si>
    <t>HPBL4-NL-O26G-08241</t>
  </si>
  <si>
    <t>PIL-NL-I26G-19689</t>
  </si>
  <si>
    <t>HPBL4-NL-O26G-08242</t>
  </si>
  <si>
    <t>PIL-NL-I26G-19698</t>
  </si>
  <si>
    <t>HPBL4-NL-O26G-08243</t>
  </si>
  <si>
    <t>PIL-NL-I26G-19731</t>
  </si>
  <si>
    <t>HPBL4-NL-O26G-08244</t>
  </si>
  <si>
    <t>PIL-NL-I26F-19637</t>
  </si>
  <si>
    <t>HPBL4-NL-O26G-08245</t>
  </si>
  <si>
    <t>PIL-NL-I26G-19657</t>
  </si>
  <si>
    <t>HPBL4-NL-O26G-08246</t>
  </si>
  <si>
    <t>PIL-NL-I26G-19673</t>
  </si>
  <si>
    <t>HPBL4-NL-O26G-08247</t>
  </si>
  <si>
    <t>PIL-NL-I26G-19676</t>
  </si>
  <si>
    <t>HPBL4-NL-O26G-08248</t>
  </si>
  <si>
    <t>PIL-NL-I26G-19709</t>
  </si>
  <si>
    <t>HPBL4-NL-O26G-08249</t>
  </si>
  <si>
    <t>PIL-NL-I26G-19711</t>
  </si>
  <si>
    <t>HPBL4-NL-O26G-08250</t>
  </si>
  <si>
    <t>PIL-NL-I26G-19720</t>
  </si>
  <si>
    <t>HPBL4-NL-O26G-08251</t>
  </si>
  <si>
    <t>PIL-NL-I26G-19734</t>
  </si>
  <si>
    <t>HPBL4-NL-O26G-08252</t>
  </si>
  <si>
    <t>PIL-NL-I26G-19658</t>
  </si>
  <si>
    <t>HPBL4-NL-O26G-08253</t>
  </si>
  <si>
    <t>PIL-NL-I26G-19688</t>
  </si>
  <si>
    <t>HPBL4-NL-O26G-08254</t>
  </si>
  <si>
    <t>PIL-NL-I26G-19696</t>
  </si>
  <si>
    <t>HPBL4-NL-O26G-08255</t>
  </si>
  <si>
    <t>PIL-NL-I26G-19697</t>
  </si>
  <si>
    <t>HPBL4-NL-O26G-08256</t>
  </si>
  <si>
    <t>PIL-NL-I26G-19703</t>
  </si>
  <si>
    <t>HPBL4-NL-O26G-08257</t>
  </si>
  <si>
    <t>PIL-NL-I26G-19733</t>
  </si>
  <si>
    <t>HPBL4-NL-O26G-08258</t>
  </si>
  <si>
    <t>PIL-NL-I26G-19760</t>
  </si>
  <si>
    <t>HPBL4-NL-O26G-08259</t>
  </si>
  <si>
    <t>PIL-NL-I26G-19784</t>
  </si>
  <si>
    <t>HPBL4-NL-O26G-08260</t>
  </si>
  <si>
    <t>PIL-NL-I26G-19787</t>
  </si>
  <si>
    <t>HPBL4-NL-O26G-08261</t>
  </si>
  <si>
    <t>PIL-NL-I26G-19797</t>
  </si>
  <si>
    <t>HPBL4-NL-O26G-08262</t>
  </si>
  <si>
    <t>PIL-NL-I26G-19799</t>
  </si>
  <si>
    <t>HPBL4-NL-O26G-08263</t>
  </si>
  <si>
    <t>PIL-NL-I26G-19808</t>
  </si>
  <si>
    <t>HPBL4-NL-O26G-08264</t>
  </si>
  <si>
    <t>PIL-NL-I26G-19822</t>
  </si>
  <si>
    <t>HPBL4-NL-O26G-08265</t>
  </si>
  <si>
    <t>PIL-NL-I26F-19422</t>
  </si>
  <si>
    <t>HPBL4-NL-O26G-08266</t>
  </si>
  <si>
    <t>PIL-NL-I26F-19367</t>
  </si>
  <si>
    <t>HPBL4-NL-O26G-08267</t>
  </si>
  <si>
    <t>PIL-NL-I26G-19775</t>
  </si>
  <si>
    <t>HPBL4-NL-O26G-08268</t>
  </si>
  <si>
    <t>PIL-NL-I26G-19811</t>
  </si>
  <si>
    <t>HPBL4-NL-O26G-08269</t>
  </si>
  <si>
    <t>PIL-NL-I26G-19826</t>
  </si>
  <si>
    <t>HPBL4-NL-O26G-08270</t>
  </si>
  <si>
    <t>PIL-NL-I26G-19827</t>
  </si>
  <si>
    <t>HPBL4-NL-O26G-08271</t>
  </si>
  <si>
    <t>PIL-NL-I26F-19465</t>
  </si>
  <si>
    <t>HPBL4-NL-O26G-08272</t>
  </si>
  <si>
    <t>PIL-NL-I26G-19759</t>
  </si>
  <si>
    <t>HPBL4-NL-O26G-08273</t>
  </si>
  <si>
    <t>PIL-NL-I26G-19786</t>
  </si>
  <si>
    <t>HPBL4-NL-O26G-08274</t>
  </si>
  <si>
    <t>PIL-NL-I26G-19794</t>
  </si>
  <si>
    <t>HPBL4-NL-O26G-08275</t>
  </si>
  <si>
    <t>PIL-NL-I26G-19820</t>
  </si>
  <si>
    <t>HPBL4-NL-O26G-08276</t>
  </si>
  <si>
    <t>PIL-NL-I26F-19510</t>
  </si>
  <si>
    <t>HPBL4-NL-O26G-08277</t>
  </si>
  <si>
    <t>PIL-NL-I26G-19761</t>
  </si>
  <si>
    <t>HPBL4-NL-O26G-08278</t>
  </si>
  <si>
    <t>PIL-NL-I26G-19783</t>
  </si>
  <si>
    <t>HPBL4-NL-O26G-08279</t>
  </si>
  <si>
    <t>PIL-NL-I26G-19788</t>
  </si>
  <si>
    <t>HPBL4-NL-O26G-08280</t>
  </si>
  <si>
    <t>PIL-NL-I26G-19798</t>
  </si>
  <si>
    <t>HPBL4-NL-O26G-08281</t>
  </si>
  <si>
    <t>PIL-NL-I26G-19809</t>
  </si>
  <si>
    <t>HPBL4-NL-O26G-08282</t>
  </si>
  <si>
    <t>PIL-NL-I26G-19821</t>
  </si>
  <si>
    <t>HPBL4-NL-O26G-08283</t>
  </si>
  <si>
    <t>PIL-NL-I26F-19366</t>
  </si>
  <si>
    <t>HPBL4-NL-O26G-08284</t>
  </si>
  <si>
    <t>PIL-NL-I26F-19444</t>
  </si>
  <si>
    <t>HPBL4-NL-O26G-08285</t>
  </si>
  <si>
    <t>PIL-NL-I26G-19758</t>
  </si>
  <si>
    <t>HPBL4-NL-O26G-08286</t>
  </si>
  <si>
    <t>PIL-NL-I26G-19776</t>
  </si>
  <si>
    <t>HPBL4-NL-O26G-08287</t>
  </si>
  <si>
    <t>PIL-NL-I26G-19812</t>
  </si>
  <si>
    <t>HPBL4-NL-O26G-08288</t>
  </si>
  <si>
    <t>PIL-NL-I26G-19828</t>
  </si>
  <si>
    <t>HPBL4-NL-O26G-08289</t>
  </si>
  <si>
    <t>PIL-NL-I26G-19833</t>
  </si>
  <si>
    <t>HPBL4-NL-O26G-08290</t>
  </si>
  <si>
    <t>PIL-NL-I26F-19364</t>
  </si>
  <si>
    <t>HPBL4-NL-O26G-08291</t>
  </si>
  <si>
    <t>PIL-NL-I26G-19777</t>
  </si>
  <si>
    <t>HPBL4-NL-O26G-08292</t>
  </si>
  <si>
    <t>PIL-NL-I26G-19795</t>
  </si>
  <si>
    <t>HPBL4-NL-O26G-08293</t>
  </si>
  <si>
    <t>PIL-NL-I26G-19816</t>
  </si>
  <si>
    <t>HPBL4-NL-O26G-08294</t>
  </si>
  <si>
    <t>PIL-NL-I26F-19472</t>
  </si>
  <si>
    <t>HPBL4-NL-O26G-08295</t>
  </si>
  <si>
    <t>PIL-NL-I26F-19445</t>
  </si>
  <si>
    <t>HPBL4-NL-O26G-08296</t>
  </si>
  <si>
    <t>PIL-NL-I26F-19508</t>
  </si>
  <si>
    <t>HPBL4-NL-O26G-08297</t>
  </si>
  <si>
    <t>PIL-NL-I26F-19509</t>
  </si>
  <si>
    <t>HPBL4-NL-O26G-08298</t>
  </si>
  <si>
    <t>PIL-NL-I26G-19785</t>
  </si>
  <si>
    <t>HPBL4-NL-O26G-08299</t>
  </si>
  <si>
    <t>PIL-NL-I26G-19810</t>
  </si>
  <si>
    <t>HPBL4-NL-O26G-08300</t>
  </si>
  <si>
    <t>PIL-NL-I26G-19825</t>
  </si>
  <si>
    <t>HPBL4-NL-O26G-08301</t>
  </si>
  <si>
    <t>PIL-NL-I26F-19443</t>
  </si>
  <si>
    <t>HPBL4-NL-O26G-08302</t>
  </si>
  <si>
    <t>PIL-NL-I26G-19768</t>
  </si>
  <si>
    <t>HPBL4-NL-O26G-08303</t>
  </si>
  <si>
    <t>PIL-NL-I26G-19801</t>
  </si>
  <si>
    <t>HPBL4-NL-O26G-08304</t>
  </si>
  <si>
    <t>PIL-NL-I26G-19829</t>
  </si>
  <si>
    <t>HPBL4-NL-O26G-08305</t>
  </si>
  <si>
    <t>PIL-NL-I26F-19511</t>
  </si>
  <si>
    <t>HPBL4-NL-O26G-08306</t>
  </si>
  <si>
    <t>PIL-NL-I26F-19529</t>
  </si>
  <si>
    <t>HPBL4-NL-O26G-08307</t>
  </si>
  <si>
    <t>PIL-NL-I26F-19340</t>
  </si>
  <si>
    <t>HPBL4-NL-O26G-08308</t>
  </si>
  <si>
    <t>PIL-NL-I26F-17265</t>
  </si>
  <si>
    <t>HPBL4-NL-O26G-08309</t>
  </si>
  <si>
    <t>PIL-NL-I26G-19834</t>
  </si>
  <si>
    <t>HPBL4-NL-O26G-08310</t>
  </si>
  <si>
    <t>PIL-NL-I26G-19848</t>
  </si>
  <si>
    <t>HPBL4-NL-O26G-08311</t>
  </si>
  <si>
    <t>PIL-NL-I26G-19853</t>
  </si>
  <si>
    <t>HPBL4-NL-O26G-08312</t>
  </si>
  <si>
    <t>PIL-NL-I26G-19870</t>
  </si>
  <si>
    <t>HPBL4-NL-O26G-08313</t>
  </si>
  <si>
    <t>PIL-NL-I26G-19872</t>
  </si>
  <si>
    <t>HPBL4-NL-O26G-08314</t>
  </si>
  <si>
    <t>PIL-NL-I26G-19916</t>
  </si>
  <si>
    <t>HPBL4-NL-O26G-08315</t>
  </si>
  <si>
    <t>PIL-NL-I26F-19387</t>
  </si>
  <si>
    <t>HPBL4-NL-O26G-08316</t>
  </si>
  <si>
    <t>PIL-NL-I26F-19146</t>
  </si>
  <si>
    <t>HPBL4-NL-O26G-08317</t>
  </si>
  <si>
    <t>PIL-NL-I26G-19843</t>
  </si>
  <si>
    <t>HPBL4-NL-O26G-08318</t>
  </si>
  <si>
    <t>PIL-NL-I26G-19846</t>
  </si>
  <si>
    <t>HPBL4-NL-O26G-08319</t>
  </si>
  <si>
    <t>PIL-NL-I26G-19860</t>
  </si>
  <si>
    <t>HPBL4-NL-O26G-08320</t>
  </si>
  <si>
    <t>PIL-NL-I26G-19897</t>
  </si>
  <si>
    <t>HPBL4-NL-O26G-08321</t>
  </si>
  <si>
    <t>PIL-NL-I26G-19904</t>
  </si>
  <si>
    <t>HPBL4-NL-O26G-08322</t>
  </si>
  <si>
    <t>PIL-NL-I26G-19907</t>
  </si>
  <si>
    <t>HPBL4-NL-O26G-08323</t>
  </si>
  <si>
    <t>PIL-NL-I26G-19939</t>
  </si>
  <si>
    <t>HPBL4-NL-O26G-08324</t>
  </si>
  <si>
    <t>PIL-NL-I26G-19954</t>
  </si>
  <si>
    <t>HPBL4-NL-O26G-08325</t>
  </si>
  <si>
    <t>PIL-NL-I26F-19365</t>
  </si>
  <si>
    <t>HPBL4-NL-O26G-08326</t>
  </si>
  <si>
    <t>PIL-NL-I26G-19855</t>
  </si>
  <si>
    <t>HPBL4-NL-O26G-08327</t>
  </si>
  <si>
    <t>PIL-NL-I26G-19869</t>
  </si>
  <si>
    <t>HPBL4-NL-O26G-08328</t>
  </si>
  <si>
    <t>PIL-NL-I26G-19883</t>
  </si>
  <si>
    <t>HPBL4-NL-O26G-08329</t>
  </si>
  <si>
    <t>PIL-NL-I26G-19895</t>
  </si>
  <si>
    <t>HPBL4-NL-O26G-08330</t>
  </si>
  <si>
    <t>PIL-NL-I26G-19903</t>
  </si>
  <si>
    <t>HPBL4-NL-O26G-08331</t>
  </si>
  <si>
    <t>PIL-NL-I26G-19932</t>
  </si>
  <si>
    <t>HPBL4-NL-O26G-08332</t>
  </si>
  <si>
    <t>PIL-NL-I26G-19945</t>
  </si>
  <si>
    <t>HPBL4-NL-O26G-08333</t>
  </si>
  <si>
    <t>PIL-NL-I26G-19951</t>
  </si>
  <si>
    <t>HPBL4-NL-O26G-08334</t>
  </si>
  <si>
    <t>PIL-NL-I26F-17144</t>
  </si>
  <si>
    <t>HPBL4-NL-O26G-08335</t>
  </si>
  <si>
    <t>PIL-NL-I26F-17199</t>
  </si>
  <si>
    <t>HPBL4-NL-O26G-08336</t>
  </si>
  <si>
    <t>PIL-NL-I26G-19835</t>
  </si>
  <si>
    <t>HPBL4-NL-O26G-08337</t>
  </si>
  <si>
    <t>PIL-NL-I26G-19871</t>
  </si>
  <si>
    <t>HPBL4-NL-O26G-08338</t>
  </si>
  <si>
    <t>PIL-NL-I26G-19882</t>
  </si>
  <si>
    <t>HPBL4-NL-O26G-08339</t>
  </si>
  <si>
    <t>PIL-NL-I26G-19902</t>
  </si>
  <si>
    <t>HPBL4-NL-O26G-08340</t>
  </si>
  <si>
    <t>PIL-NL-I26G-19931</t>
  </si>
  <si>
    <t>HPBL4-NL-O26G-08341</t>
  </si>
  <si>
    <t>PIL-NL-I26G-19946</t>
  </si>
  <si>
    <t>HPBL4-NL-O26G-08342</t>
  </si>
  <si>
    <t>PIL-NL-I26G-19952</t>
  </si>
  <si>
    <t>HPBL4-NL-O26G-08343</t>
  </si>
  <si>
    <t>PIL-NL-I26F-17198</t>
  </si>
  <si>
    <t>HPBL4-NL-O26G-08344</t>
  </si>
  <si>
    <t>PIL-NL-I26G-19847</t>
  </si>
  <si>
    <t>HPBL4-NL-O26G-08345</t>
  </si>
  <si>
    <t>PIL-NL-I26G-19854</t>
  </si>
  <si>
    <t>HPBL4-NL-O26G-08346</t>
  </si>
  <si>
    <t>PIL-NL-I26G-19917</t>
  </si>
  <si>
    <t>HPBL4-NL-O26G-08347</t>
  </si>
  <si>
    <t>PIL-NL-I26G-19947</t>
  </si>
  <si>
    <t>HPBL4-NL-O26G-08348</t>
  </si>
  <si>
    <t>PIL-NL-I26G-19955</t>
  </si>
  <si>
    <t>HPBL4-NL-O26G-08349</t>
  </si>
  <si>
    <t>PIL-NL-I26G-19844</t>
  </si>
  <si>
    <t>HPBL4-NL-O26G-08350</t>
  </si>
  <si>
    <t>PIL-NL-I26G-19845</t>
  </si>
  <si>
    <t>HPBL4-NL-O26G-08351</t>
  </si>
  <si>
    <t>PIL-NL-I26G-19874</t>
  </si>
  <si>
    <t>HPBL4-NL-O26G-08352</t>
  </si>
  <si>
    <t>PIL-NL-I26G-19896</t>
  </si>
  <si>
    <t>HPBL4-NL-O26G-08353</t>
  </si>
  <si>
    <t>PIL-NL-I26G-19905</t>
  </si>
  <si>
    <t>HPBL4-NL-O26G-08354</t>
  </si>
  <si>
    <t>PIL-NL-I26G-19906</t>
  </si>
  <si>
    <t>HPBL4-NL-O26G-08355</t>
  </si>
  <si>
    <t>PIL-NL-I26G-19920</t>
  </si>
  <si>
    <t>HPBL4-NL-O26G-08356</t>
  </si>
  <si>
    <t>PIL-NL-I26G-19921</t>
  </si>
  <si>
    <t>HPBL4-NL-O26G-08357</t>
  </si>
  <si>
    <t>PIL-NL-I26G-19953</t>
  </si>
  <si>
    <t>HPBL4-NL-O26G-08358</t>
  </si>
  <si>
    <t>PIL-NL-I26F-19405</t>
  </si>
  <si>
    <t>HPBL4-NL-O26G-08359</t>
  </si>
  <si>
    <t>PIL-NL-I26F-19368</t>
  </si>
  <si>
    <t>HPBL4-NL-O26G-08360</t>
  </si>
  <si>
    <t>PIL-NL-I26F-19386</t>
  </si>
  <si>
    <t>HPBL4-NL-O26G-08361</t>
  </si>
  <si>
    <t>PIL-NL-I26F-19385</t>
  </si>
  <si>
    <t>HPBL4-NL-O26G-08362</t>
  </si>
  <si>
    <t>PIL-NL-I26G-19859</t>
  </si>
  <si>
    <t>HPBL4-NL-O26G-08363</t>
  </si>
  <si>
    <t>PIL-NL-I26G-19873</t>
  </si>
  <si>
    <t>HPBL4-NL-O26G-08364</t>
  </si>
  <si>
    <t>PIL-NL-I26G-19885</t>
  </si>
  <si>
    <t>HPBL4-NL-O26G-08365</t>
  </si>
  <si>
    <t>PIL-NL-I26G-19886</t>
  </si>
  <si>
    <t>HPBL4-NL-O26G-08366</t>
  </si>
  <si>
    <t>PIL-NL-I26G-19893</t>
  </si>
  <si>
    <t>HPBL4-NL-O26G-08367</t>
  </si>
  <si>
    <t>PIL-NL-I26G-19899</t>
  </si>
  <si>
    <t>HPBL4-NL-O26G-08368</t>
  </si>
  <si>
    <t>PIL-NL-I26G-19918</t>
  </si>
  <si>
    <t>HPBL4-NL-O26G-08369</t>
  </si>
  <si>
    <t>PIL-NL-I26G-19940</t>
  </si>
  <si>
    <t>HPBL4-NL-O26G-08370</t>
  </si>
  <si>
    <t>PIL-NL-I26G-19949</t>
  </si>
  <si>
    <t>HPBL4-NL-O26G-08371</t>
  </si>
  <si>
    <t>PIL-NL-I26G-19957</t>
  </si>
  <si>
    <t>HPBL4-NL-O26G-08372</t>
  </si>
  <si>
    <t>PIL-NL-I26F-17197</t>
  </si>
  <si>
    <t>HPBL4-NL-O26G-08373</t>
  </si>
  <si>
    <t>PIL-NL-I26G-19884</t>
  </si>
  <si>
    <t>HPBL4-NL-O26G-08374</t>
  </si>
  <si>
    <t>PIL-NL-I26G-19887</t>
  </si>
  <si>
    <t>HPBL4-NL-O26G-08375</t>
  </si>
  <si>
    <t>PIL-NL-I26G-19892</t>
  </si>
  <si>
    <t>HPBL4-NL-O26G-08376</t>
  </si>
  <si>
    <t>PIL-NL-I26G-19900</t>
  </si>
  <si>
    <t>HPBL4-NL-O26G-08377</t>
  </si>
  <si>
    <t>PIL-NL-I26G-19919</t>
  </si>
  <si>
    <t>HPBL4-NL-O26G-08378</t>
  </si>
  <si>
    <t>PIL-NL-I26G-19948</t>
  </si>
  <si>
    <t>HPBL4-NL-O26G-08379</t>
  </si>
  <si>
    <t>PIL-NL-I26G-19950</t>
  </si>
  <si>
    <t>HPBL4-NL-O26G-08380</t>
  </si>
  <si>
    <t>PIL-NL-I26G-19956</t>
  </si>
  <si>
    <t>HPBL4-NL-O26G-08381</t>
  </si>
  <si>
    <t>PIL-NL-I26G-19958</t>
  </si>
  <si>
    <t>HPBL4-NL-O26G-08382</t>
  </si>
  <si>
    <t>PIL-NL-I26F-17200</t>
  </si>
  <si>
    <t>HPBL4-NL-O26G-08383</t>
  </si>
  <si>
    <t>PIL-NL-I26F-19325</t>
  </si>
  <si>
    <t>HPBL4-NL-O26G-08384</t>
  </si>
  <si>
    <t>PIL-NL-I26G-19977</t>
  </si>
  <si>
    <t>HPBL4-NL-O26G-08385</t>
  </si>
  <si>
    <t>PIL-NL-I26G-19979</t>
  </si>
  <si>
    <t>HPBL4-NL-O26G-08386</t>
  </si>
  <si>
    <t>PIL-NL-I26G-19980</t>
  </si>
  <si>
    <t>HPBL4-NL-O26G-08387</t>
  </si>
  <si>
    <t>PIL-NL-I26G-19998</t>
  </si>
  <si>
    <t>HPBL4-NL-O26G-08388</t>
  </si>
  <si>
    <t>PIL-NL-I26G-20016</t>
  </si>
  <si>
    <t>HPBL4-NL-O26G-08389</t>
  </si>
  <si>
    <t>PIL-NL-I26G-20023</t>
  </si>
  <si>
    <t>HPBL4-NL-O26G-08390</t>
  </si>
  <si>
    <t>PIL-NL-I26G-20028</t>
  </si>
  <si>
    <t>HPBL4-NL-O26G-08391</t>
  </si>
  <si>
    <t>PIL-NL-I26G-20049</t>
  </si>
  <si>
    <t>HPBL4-NL-O26G-08392</t>
  </si>
  <si>
    <t>PIL-NL-I26G-20064</t>
  </si>
  <si>
    <t>HPBL4-NL-O26G-08393</t>
  </si>
  <si>
    <t>PIL-NL-I26G-19983</t>
  </si>
  <si>
    <t>5/42 MW/RED</t>
  </si>
  <si>
    <t>HPBL4-NL-O26G-08394</t>
  </si>
  <si>
    <t>PIL-NL-I26G-19984</t>
  </si>
  <si>
    <t>HPBL4-NL-O26G-08395</t>
  </si>
  <si>
    <t>PIL-NL-I26G-20001</t>
  </si>
  <si>
    <t>HPBL4-NL-O26G-08396</t>
  </si>
  <si>
    <t>PIL-NL-I26G-20055</t>
  </si>
  <si>
    <t>5/45 MW/RED+ORANGE</t>
  </si>
  <si>
    <t>HPBL4-NL-O26G-08397</t>
  </si>
  <si>
    <t>PIL-NL-I26G-20063</t>
  </si>
  <si>
    <t>HPBL4-NL-O26G-08398</t>
  </si>
  <si>
    <t>PIL-NL-I26G-20044</t>
  </si>
  <si>
    <t>HPBL4-NL-O26G-08399</t>
  </si>
  <si>
    <t>PIL-NL-I26G-20050</t>
  </si>
  <si>
    <t>HPBL4-NL-O26G-08400</t>
  </si>
  <si>
    <t>PIL-NL-I26G-20052</t>
  </si>
  <si>
    <t>HPBL4-NL-O26G-08401</t>
  </si>
  <si>
    <t>PIL-NL-I26G-20083</t>
  </si>
  <si>
    <t>HPBL4-NL-O26G-08402</t>
  </si>
  <si>
    <t>PIL-NL-I26G-20085</t>
  </si>
  <si>
    <t>HPBL4-NL-O26G-08403</t>
  </si>
  <si>
    <t>PIL-NL-I26G-19992</t>
  </si>
  <si>
    <t>HPBL4-NL-O26G-08404</t>
  </si>
  <si>
    <t>PIL-NL-I26G-20026</t>
  </si>
  <si>
    <t>HPBL4-NL-O26G-08405</t>
  </si>
  <si>
    <t>PIL-NL-I26G-20054</t>
  </si>
  <si>
    <t>HPBL4-NL-O26G-08406</t>
  </si>
  <si>
    <t>PIL-NL-I26G-20066</t>
  </si>
  <si>
    <t>HPBL4-NL-O26G-08407</t>
  </si>
  <si>
    <t>PIL-NL-I26G-20090</t>
  </si>
  <si>
    <t>HPBL4-NL-O26G-08408</t>
  </si>
  <si>
    <t>PIL-NL-I26G-19982</t>
  </si>
  <si>
    <t>HPBL4-NL-O26G-08409</t>
  </si>
  <si>
    <t>PIL-NL-I26G-20010</t>
  </si>
  <si>
    <t>HPBL4-NL-O26G-08410</t>
  </si>
  <si>
    <t>PIL-NL-I26G-20022</t>
  </si>
  <si>
    <t>HPBL4-NL-O26G-08411</t>
  </si>
  <si>
    <t>PIL-NL-I26G-20027</t>
  </si>
  <si>
    <t>HPBL4-NL-O26G-08412</t>
  </si>
  <si>
    <t>PIL-NL-I26G-20030</t>
  </si>
  <si>
    <t>HPBL4-NL-O26G-08413</t>
  </si>
  <si>
    <t>PIL-NL-I26G-20053</t>
  </si>
  <si>
    <t>HPBL4-NL-O26G-08414</t>
  </si>
  <si>
    <t>PIL-NL-I26G-20065</t>
  </si>
  <si>
    <t>HPBL4-NL-O26G-08415</t>
  </si>
  <si>
    <t>PIL-NL-I26G-20084</t>
  </si>
  <si>
    <t>HPBL4-NL-O26G-08416</t>
  </si>
  <si>
    <t>PIL-NL-I26G-19973</t>
  </si>
  <si>
    <t>HPBL4-NL-O26G-08417</t>
  </si>
  <si>
    <t>PIL-NL-I26G-19978</t>
  </si>
  <si>
    <t>HPBL4-NL-O26G-08418</t>
  </si>
  <si>
    <t>PIL-NL-I26G-19999</t>
  </si>
  <si>
    <t>HPBL4-NL-O26G-08419</t>
  </si>
  <si>
    <t>PIL-NL-I26G-20024</t>
  </si>
  <si>
    <t>HPBL4-NL-O26G-08420</t>
  </si>
  <si>
    <t>PIL-NL-I26G-20051</t>
  </si>
  <si>
    <t>HPBL4-NL-O26G-08421</t>
  </si>
  <si>
    <t>PIL-NL-I26G-20086</t>
  </si>
  <si>
    <t>HPBL4-NL-O26G-08422</t>
  </si>
  <si>
    <t>PIL-NL-I26G-19975</t>
  </si>
  <si>
    <t>HPBL4-NL-O26G-08423</t>
  </si>
  <si>
    <t>PIL-NL-I26G-19976</t>
  </si>
  <si>
    <t>HPBL4-NL-O26G-08424</t>
  </si>
  <si>
    <t>PIL-NL-I26G-20011</t>
  </si>
  <si>
    <t>HPBL4-NL-O26G-08425</t>
  </si>
  <si>
    <t>PIL-NL-I26G-20013</t>
  </si>
  <si>
    <t>HPBL4-NL-O26G-08426</t>
  </si>
  <si>
    <t>PIL-NL-I26G-20017</t>
  </si>
  <si>
    <t>HPBL4-NL-O26G-08427</t>
  </si>
  <si>
    <t>PIL-NL-I26G-20046</t>
  </si>
  <si>
    <t>HPBL4-NL-O26G-08428</t>
  </si>
  <si>
    <t>PIL-NL-I26G-20048</t>
  </si>
  <si>
    <t>HPBL4-NL-O26G-08429</t>
  </si>
  <si>
    <t>PIL-NL-I26G-20071</t>
  </si>
  <si>
    <t>HPBL4-NL-O26G-08430</t>
  </si>
  <si>
    <t>PIL-NL-I26G-20082</t>
  </si>
  <si>
    <t>HPBL4-NL-O26G-08431</t>
  </si>
  <si>
    <t>PIL-NL-I26G-19974</t>
  </si>
  <si>
    <t>HPBL4-NL-O26G-08432</t>
  </si>
  <si>
    <t>PIL-NL-I26G-20000</t>
  </si>
  <si>
    <t>HPBL4-NL-O26G-08433</t>
  </si>
  <si>
    <t>PIL-NL-I26G-20012</t>
  </si>
  <si>
    <t>HPBL4-NL-O26G-08434</t>
  </si>
  <si>
    <t>PIL-NL-I26G-20014</t>
  </si>
  <si>
    <t>HPBL4-NL-O26G-08435</t>
  </si>
  <si>
    <t>PIL-NL-I26G-20045</t>
  </si>
  <si>
    <t>HPBL4-NL-O26G-08436</t>
  </si>
  <si>
    <t>PIL-NL-I26G-20047</t>
  </si>
  <si>
    <t>HPBL4-NL-O26G-08437</t>
  </si>
  <si>
    <t>PIL-NL-I26G-20070</t>
  </si>
  <si>
    <t>HPBL4-NL-O26G-08438</t>
  </si>
  <si>
    <t>PIL-NL-I26G-20072</t>
  </si>
  <si>
    <t>HPBL4-NL-O26G-08439</t>
  </si>
  <si>
    <t>PIL-NL-I26G-20081</t>
  </si>
  <si>
    <t>HPBL4-NL-O26G-08440</t>
  </si>
  <si>
    <t>PIL-NL-I26G-20102</t>
  </si>
  <si>
    <t>HPBL4-NL-O26G-08441</t>
  </si>
  <si>
    <t>PIL-NL-I26G-20109</t>
  </si>
  <si>
    <t>HPBL4-NL-O26G-08442</t>
  </si>
  <si>
    <t>PIL-NL-I26G-20154</t>
  </si>
  <si>
    <t>HPBL4-NL-O26G-08443</t>
  </si>
  <si>
    <t>PIL-NL-I26G-20174</t>
  </si>
  <si>
    <t>HPBL4-NL-O26G-08444</t>
  </si>
  <si>
    <t>PIL-NL-I26G-20193</t>
  </si>
  <si>
    <t>HPBL4-NL-O26G-08445</t>
  </si>
  <si>
    <t>PIL-NL-I26G-20210</t>
  </si>
  <si>
    <t>HPBL4-NL-O26G-08446</t>
  </si>
  <si>
    <t>PIL-NL-I26G-20213</t>
  </si>
  <si>
    <t>HPBL4-NL-O26G-08447</t>
  </si>
  <si>
    <t>PIL-NL-I26G-20214</t>
  </si>
  <si>
    <t>HPBL4-NL-O26G-08448</t>
  </si>
  <si>
    <t>PIL-NL-I26G-20104</t>
  </si>
  <si>
    <t>HPBL4-NL-O26G-08449</t>
  </si>
  <si>
    <t>PIL-NL-I26G-20130</t>
  </si>
  <si>
    <t>HPBL4-NL-O26G-08450</t>
  </si>
  <si>
    <t>PIL-NL-I26G-20144</t>
  </si>
  <si>
    <t>HPBL4-NL-O26G-08451</t>
  </si>
  <si>
    <t>PIL-NL-I26G-20156</t>
  </si>
  <si>
    <t>HPBL4-NL-O26G-08452</t>
  </si>
  <si>
    <t>PIL-NL-I26G-20195</t>
  </si>
  <si>
    <t>HPBL4-NL-O26G-08453</t>
  </si>
  <si>
    <t>PIL-NL-I26G-20215</t>
  </si>
  <si>
    <t>HPBL4-NL-O26G-08454</t>
  </si>
  <si>
    <t>PIL-NL-I26G-20141</t>
  </si>
  <si>
    <t>HPBL4-NL-O26G-08455</t>
  </si>
  <si>
    <t>PIL-NL-I26G-20142</t>
  </si>
  <si>
    <t>HPBL4-NL-O26G-08456</t>
  </si>
  <si>
    <t>PIL-NL-I26G-20178</t>
  </si>
  <si>
    <t>HPBL4-NL-O26G-08457</t>
  </si>
  <si>
    <t>PIL-NL-I26G-20196</t>
  </si>
  <si>
    <t>HPBL4-NL-O26G-08458</t>
  </si>
  <si>
    <t>PIL-NL-I26G-20105</t>
  </si>
  <si>
    <t>HPBL4-NL-O26G-08459</t>
  </si>
  <si>
    <t>PIL-NL-I26G-20110</t>
  </si>
  <si>
    <t>HPBL4-NL-O26G-08460</t>
  </si>
  <si>
    <t>PIL-NL-I26G-20119</t>
  </si>
  <si>
    <t>HPBL4-NL-O26G-08461</t>
  </si>
  <si>
    <t>PIL-NL-I26G-20151</t>
  </si>
  <si>
    <t>HPBL4-NL-O26G-08462</t>
  </si>
  <si>
    <t>PIL-NL-I26G-20153</t>
  </si>
  <si>
    <t>HPBL4-NL-O26G-08463</t>
  </si>
  <si>
    <t>PIL-NL-I26G-20168</t>
  </si>
  <si>
    <t>HPBL4-NL-O26G-08464</t>
  </si>
  <si>
    <t>PIL-NL-I26G-20170</t>
  </si>
  <si>
    <t>HPBL4-NL-O26G-08465</t>
  </si>
  <si>
    <t>PIL-NL-I26G-20176</t>
  </si>
  <si>
    <t>HPBL4-NL-O26G-08466</t>
  </si>
  <si>
    <t>PIL-NL-I26G-20200</t>
  </si>
  <si>
    <t>HPBL4-NL-O26G-08467</t>
  </si>
  <si>
    <t>PIL-NL-I26G-20103</t>
  </si>
  <si>
    <t>HPBL4-NL-O26G-08468</t>
  </si>
  <si>
    <t>PIL-NL-I26G-20107</t>
  </si>
  <si>
    <t>HPBL4-NL-O26G-08469</t>
  </si>
  <si>
    <t>PIL-NL-I26G-20128</t>
  </si>
  <si>
    <t>HPBL4-NL-O26G-08470</t>
  </si>
  <si>
    <t>PIL-NL-I26G-20145</t>
  </si>
  <si>
    <t>HPBL4-NL-O26G-08471</t>
  </si>
  <si>
    <t>PIL-NL-I26G-20149</t>
  </si>
  <si>
    <t>HPBL4-NL-O26G-08472</t>
  </si>
  <si>
    <t>PIL-NL-I26G-20172</t>
  </si>
  <si>
    <t>HPBL4-NL-O26G-08473</t>
  </si>
  <si>
    <t>PIL-NL-I26G-20186</t>
  </si>
  <si>
    <t>HPBL4-NL-O26G-08474</t>
  </si>
  <si>
    <t>PIL-NL-I26G-20194</t>
  </si>
  <si>
    <t>HPBL4-NL-O26G-08475</t>
  </si>
  <si>
    <t>PIL-NL-I26G-20179</t>
  </si>
  <si>
    <t>HPBL4-NL-O26G-08476</t>
  </si>
  <si>
    <t>PIL-NL-I26G-20209</t>
  </si>
  <si>
    <t>HPBL4-NL-O26G-08477</t>
  </si>
  <si>
    <t>PIL-NL-I26G-20211</t>
  </si>
  <si>
    <t>HPBL4-NL-O26G-08478</t>
  </si>
  <si>
    <t>PIL-NL-I26G-20212</t>
  </si>
  <si>
    <t>HPBL4-NL-O26G-08479</t>
  </si>
  <si>
    <t>PIL-NL-I26G-20175</t>
  </si>
  <si>
    <t>HPBL4-NL-O26G-08480</t>
  </si>
  <si>
    <t>PIL-NL-I26G-20177</t>
  </si>
  <si>
    <t>HPBL4-NL-O26G-08481</t>
  </si>
  <si>
    <t>PIL-NL-I26G-20220</t>
  </si>
  <si>
    <t>HPBL4-NL-O26G-08482</t>
  </si>
  <si>
    <t>PIL-NL-I26G-20106</t>
  </si>
  <si>
    <t>HPBL4-NL-O26G-08483</t>
  </si>
  <si>
    <t>PIL-NL-I26G-20108</t>
  </si>
  <si>
    <t>HPBL4-NL-O26G-08484</t>
  </si>
  <si>
    <t>PIL-NL-I26G-20139</t>
  </si>
  <si>
    <t>HPBL4-NL-O26G-08485</t>
  </si>
  <si>
    <t>PIL-NL-I26G-20150</t>
  </si>
  <si>
    <t>HPBL4-NL-O26G-08486</t>
  </si>
  <si>
    <t>PIL-NL-I26G-20169</t>
  </si>
  <si>
    <t>HPBL4-NL-O26G-08487</t>
  </si>
  <si>
    <t>PIL-NL-I26G-20171</t>
  </si>
  <si>
    <t>HPBL4-NL-O26G-08488</t>
  </si>
  <si>
    <t>PIL-NL-I26G-20173</t>
  </si>
  <si>
    <t>HPBL4-NL-O26G-08489</t>
  </si>
  <si>
    <t>PIL-NL-I26G-20199</t>
  </si>
  <si>
    <t>HPBL4-NL-O26G-08490</t>
  </si>
  <si>
    <t>PIL-NL-I26G-20201</t>
  </si>
  <si>
    <t>HPBL4-NL-O26G-08491</t>
  </si>
  <si>
    <t>PIL-NL-I26G-20111</t>
  </si>
  <si>
    <t>HPBL4-NL-O26G-08492</t>
  </si>
  <si>
    <t>PIL-NL-I26G-20131</t>
  </si>
  <si>
    <t>HPBL4-NL-O26G-08493</t>
  </si>
  <si>
    <t>PIL-NL-I26G-20140</t>
  </si>
  <si>
    <t>HPBL4-NL-O26G-08494</t>
  </si>
  <si>
    <t>PIL-NL-I26G-20143</t>
  </si>
  <si>
    <t>HPBL4-NL-O26G-08495</t>
  </si>
  <si>
    <t>PIL-NL-I26G-20167</t>
  </si>
  <si>
    <t>5/55 BLACK/Yellow+ORANGE</t>
  </si>
  <si>
    <t>HPBL4-NL-O26G-08496</t>
  </si>
  <si>
    <t>PIL-NL-I26G-20233</t>
  </si>
  <si>
    <t>HPBL4-NL-O26G-08497</t>
  </si>
  <si>
    <t>PIL-NL-I26G-20235</t>
  </si>
  <si>
    <t>HPBL4-NL-O26G-08498</t>
  </si>
  <si>
    <t>PIL-NL-I26G-20270</t>
  </si>
  <si>
    <t>HPBL4-NL-O26G-08499</t>
  </si>
  <si>
    <t>PIL-NL-I26G-20296</t>
  </si>
  <si>
    <t>HPBL4-NL-O26G-08500</t>
  </si>
  <si>
    <t>PIL-NL-I26G-20298</t>
  </si>
  <si>
    <t>HPBL4-NL-O26G-08501</t>
  </si>
  <si>
    <t>PIL-NL-I26G-20331</t>
  </si>
  <si>
    <t>HPBL4-NL-O26G-08502</t>
  </si>
  <si>
    <t>PIL-NL-I26G-20231</t>
  </si>
  <si>
    <t>HPBL4-NL-O26G-08503</t>
  </si>
  <si>
    <t>PIL-NL-I26G-20236</t>
  </si>
  <si>
    <t>HPBL4-NL-O26G-08504</t>
  </si>
  <si>
    <t>PIL-NL-I26G-20238</t>
  </si>
  <si>
    <t>HPBL4-NL-O26G-08505</t>
  </si>
  <si>
    <t>PIL-NL-I26G-20240</t>
  </si>
  <si>
    <t>HPBL4-NL-O26G-08506</t>
  </si>
  <si>
    <t>PIL-NL-I26G-20295</t>
  </si>
  <si>
    <t>HPBL4-NL-O26G-08507</t>
  </si>
  <si>
    <t>PIL-NL-I26G-20297</t>
  </si>
  <si>
    <t>HPBL4-NL-O26G-08508</t>
  </si>
  <si>
    <t>PIL-NL-I26G-20259</t>
  </si>
  <si>
    <t>HPBL4-NL-O26G-08509</t>
  </si>
  <si>
    <t>PIL-NL-I26G-20281</t>
  </si>
  <si>
    <t>HPBL4-NL-O26G-08510</t>
  </si>
  <si>
    <t>PIL-NL-I26G-20300</t>
  </si>
  <si>
    <t>HPBL4-NL-O26G-08511</t>
  </si>
  <si>
    <t>PIL-NL-I26G-20341</t>
  </si>
  <si>
    <t>HPBL4-NL-O26G-08512</t>
  </si>
  <si>
    <t>PIL-NL-I26G-20243</t>
  </si>
  <si>
    <t>HPBL4-NL-O26G-08513</t>
  </si>
  <si>
    <t>PIL-NL-I26G-20241</t>
  </si>
  <si>
    <t>HPBL4-NL-O26G-08514</t>
  </si>
  <si>
    <t>PIL-NL-I26G-20276</t>
  </si>
  <si>
    <t>HPBL4-NL-O26G-08515</t>
  </si>
  <si>
    <t>PIL-NL-I26G-20315</t>
  </si>
  <si>
    <t>HPBL4-NL-O26G-08516</t>
  </si>
  <si>
    <t>PIL-NL-I26G-20326</t>
  </si>
  <si>
    <t>HPBL4-NL-O26G-08517</t>
  </si>
  <si>
    <t>PIL-NL-I26G-20328</t>
  </si>
  <si>
    <t>HPBL4-NL-O26G-08518</t>
  </si>
  <si>
    <t>PIL-NL-I26G-20340</t>
  </si>
  <si>
    <t>HPBL4-NL-O26G-08519</t>
  </si>
  <si>
    <t>PIL-NL-I26G-20232</t>
  </si>
  <si>
    <t>HPBL4-NL-O26G-08520</t>
  </si>
  <si>
    <t>PIL-NL-I26G-20234</t>
  </si>
  <si>
    <t>HPBL4-NL-O26G-08521</t>
  </si>
  <si>
    <t>PIL-NL-I26G-20239</t>
  </si>
  <si>
    <t>HPBL4-NL-O26G-08522</t>
  </si>
  <si>
    <t>PIL-NL-I26G-20275</t>
  </si>
  <si>
    <t>HPBL4-NL-O26G-08523</t>
  </si>
  <si>
    <t>PIL-NL-I26G-20294</t>
  </si>
  <si>
    <t>HPBL4-NL-O26G-08524</t>
  </si>
  <si>
    <t>PIL-NL-I26G-20336</t>
  </si>
  <si>
    <t>HPBL4-NL-O26G-08525</t>
  </si>
  <si>
    <t>PIL-NL-I26G-20237</t>
  </si>
  <si>
    <t>HPBL4-NL-O26G-08526</t>
  </si>
  <si>
    <t>PIL-NL-I26G-20242</t>
  </si>
  <si>
    <t>HPBL4-NL-O26G-08527</t>
  </si>
  <si>
    <t>PIL-NL-I26G-20267</t>
  </si>
  <si>
    <t>HPBL4-NL-O26G-08528</t>
  </si>
  <si>
    <t>PIL-NL-I26G-20277</t>
  </si>
  <si>
    <t>HPBL4-NL-O26G-08529</t>
  </si>
  <si>
    <t>PIL-NL-I26G-20299</t>
  </si>
  <si>
    <t>HPBL4-NL-O26G-08530</t>
  </si>
  <si>
    <t>PIL-NL-I26G-20327</t>
  </si>
  <si>
    <t>HPBL4-NL-O26G-08531</t>
  </si>
  <si>
    <t>PIL-NL-I26G-20257</t>
  </si>
  <si>
    <t>HPBL4-NL-O26G-08532</t>
  </si>
  <si>
    <t>PIL-NL-I26G-20265</t>
  </si>
  <si>
    <t>HPBL4-NL-O26G-08533</t>
  </si>
  <si>
    <t>PIL-NL-I26G-20266</t>
  </si>
  <si>
    <t>HPBL4-NL-O26G-08534</t>
  </si>
  <si>
    <t>PIL-NL-I26G-20283</t>
  </si>
  <si>
    <t>HPBL4-NL-O26G-08535</t>
  </si>
  <si>
    <t>PIL-NL-I26G-20316</t>
  </si>
  <si>
    <t>HPBL4-NL-O26G-08536</t>
  </si>
  <si>
    <t>PIL-NL-I26G-20317</t>
  </si>
  <si>
    <t>HPBL4-NL-O26G-08537</t>
  </si>
  <si>
    <t>PIL-NL-I26G-20339</t>
  </si>
  <si>
    <t>HPBL4-NL-O26G-08538</t>
  </si>
  <si>
    <t>PIL-NL-I26G-20360</t>
  </si>
  <si>
    <t>HPBL4-NL-O26G-08539</t>
  </si>
  <si>
    <t>PIL-NL-I26G-20384</t>
  </si>
  <si>
    <t>HPBL4-NL-O26G-08540</t>
  </si>
  <si>
    <t>PIL-NL-I26G-20453</t>
  </si>
  <si>
    <t>HPBL4-NL-O26G-08541</t>
  </si>
  <si>
    <t>PIL-NL-I26G-20455</t>
  </si>
  <si>
    <t>HPBL4-NL-O26G-08542</t>
  </si>
  <si>
    <t>PIL-NL-I26G-20461</t>
  </si>
  <si>
    <t>HPBL4-NL-O26G-08543</t>
  </si>
  <si>
    <t>PIL-NL-I26G-20488</t>
  </si>
  <si>
    <t>HPBL4-NL-O26G-08544</t>
  </si>
  <si>
    <t>PIL-NL-I26G-20312</t>
  </si>
  <si>
    <t>HPBL4-NL-O26G-08545</t>
  </si>
  <si>
    <t>PIL-NL-I26F-17373</t>
  </si>
  <si>
    <t>HPBL4-NL-O26G-08546</t>
  </si>
  <si>
    <t>PIL-NL-I26F-17374</t>
  </si>
  <si>
    <t>HPBL4-NL-O26G-08547</t>
  </si>
  <si>
    <t>PIL-NL-I26G-20352</t>
  </si>
  <si>
    <t>HPBL4-NL-O26G-08548</t>
  </si>
  <si>
    <t>PIL-NL-I26G-20357</t>
  </si>
  <si>
    <t>HPBL4-NL-O26G-08549</t>
  </si>
  <si>
    <t>PIL-NL-I26G-20359</t>
  </si>
  <si>
    <t>HPBL4-NL-O26G-08550</t>
  </si>
  <si>
    <t>PIL-NL-I26G-20435</t>
  </si>
  <si>
    <t>HPBL4-NL-O26G-08551</t>
  </si>
  <si>
    <t>PIL-NL-I26G-20468</t>
  </si>
  <si>
    <t>HPBL4-NL-O26G-08552</t>
  </si>
  <si>
    <t>PIL-NL-I26G-20477</t>
  </si>
  <si>
    <t>HPBL4-NL-O26G-08553</t>
  </si>
  <si>
    <t>PIL-NL-I26F-18125</t>
  </si>
  <si>
    <t>HPBL4-NL-O26G-08554</t>
  </si>
  <si>
    <t>PIL-NL-I26F-18127</t>
  </si>
  <si>
    <t>HPBL4-NL-O26G-08555</t>
  </si>
  <si>
    <t>PIL-NL-I26F-18124</t>
  </si>
  <si>
    <t>HPBL4-NL-O26G-08556</t>
  </si>
  <si>
    <t>PIL-NL-I26G-20353</t>
  </si>
  <si>
    <t>HPBL4-NL-O26G-08557</t>
  </si>
  <si>
    <t>PIL-NL-I26G-20355</t>
  </si>
  <si>
    <t>HPBL4-NL-O26G-08558</t>
  </si>
  <si>
    <t>PIL-NL-I26G-20381</t>
  </si>
  <si>
    <t>HPBL4-NL-O26G-08559</t>
  </si>
  <si>
    <t>PIL-NL-I26G-20383</t>
  </si>
  <si>
    <t>HPBL4-NL-O26G-08560</t>
  </si>
  <si>
    <t>PIL-NL-I26G-20433</t>
  </si>
  <si>
    <t>HPBL4-NL-O26G-08561</t>
  </si>
  <si>
    <t>PIL-NL-I26G-20491</t>
  </si>
  <si>
    <t>HPBL4-NL-O26G-08562</t>
  </si>
  <si>
    <t>PIL-NL-I26F-17424</t>
  </si>
  <si>
    <t>HPBL4-NL-O26G-08563</t>
  </si>
  <si>
    <t>PIL-NL-I26F-17425</t>
  </si>
  <si>
    <t>HPBL4-NL-O26G-08564</t>
  </si>
  <si>
    <t>PIL-NL-I26F-18184</t>
  </si>
  <si>
    <t>HPBL4-NL-O26G-08565</t>
  </si>
  <si>
    <t>PIL-NL-I26F-17371</t>
  </si>
  <si>
    <t>HPBL4-NL-O26G-08566</t>
  </si>
  <si>
    <t>PIL-NL-I26G-20354</t>
  </si>
  <si>
    <t>HPBL4-NL-O26G-08567</t>
  </si>
  <si>
    <t>PIL-NL-I26G-20358</t>
  </si>
  <si>
    <t>HPBL4-NL-O26G-08568</t>
  </si>
  <si>
    <t>PIL-NL-I26G-20361</t>
  </si>
  <si>
    <t>HPBL4-NL-O26G-08569</t>
  </si>
  <si>
    <t>PIL-NL-I26G-20390</t>
  </si>
  <si>
    <t>HPBL4-NL-O26G-08570</t>
  </si>
  <si>
    <t>PIL-NL-I26G-20424</t>
  </si>
  <si>
    <t>HPBL4-NL-O26G-08571</t>
  </si>
  <si>
    <t>PIL-NL-I26G-20434</t>
  </si>
  <si>
    <t>HPBL4-NL-O26G-08572</t>
  </si>
  <si>
    <t>PIL-NL-I26G-20460</t>
  </si>
  <si>
    <t>HPBL4-NL-O26G-08573</t>
  </si>
  <si>
    <t>PIL-NL-I26G-20478</t>
  </si>
  <si>
    <t>HPBL4-NL-O26G-08574</t>
  </si>
  <si>
    <t>PIL-NL-I26G-20492</t>
  </si>
  <si>
    <t>HPBL4-NL-O26G-08575</t>
  </si>
  <si>
    <t>PIL-NL-I26G-20318</t>
  </si>
  <si>
    <t>HPBL4-NL-O26G-08576</t>
  </si>
  <si>
    <t>PIL-NL-I26G-19994</t>
  </si>
  <si>
    <t>HPBL4-NL-O26G-08577</t>
  </si>
  <si>
    <t>PIL-NL-I26G-20311</t>
  </si>
  <si>
    <t>HPBL4-NL-O26G-08578</t>
  </si>
  <si>
    <t>PIL-NL-I26G-20363</t>
  </si>
  <si>
    <t>HPBL4-NL-O26G-08579</t>
  </si>
  <si>
    <t>PIL-NL-I26G-20364</t>
  </si>
  <si>
    <t>HPBL4-NL-O26G-08580</t>
  </si>
  <si>
    <t>PIL-NL-I26G-20426</t>
  </si>
  <si>
    <t>HPBL4-NL-O26G-08581</t>
  </si>
  <si>
    <t>PIL-NL-I26G-20427</t>
  </si>
  <si>
    <t>HPBL4-NL-O26G-08582</t>
  </si>
  <si>
    <t>PIL-NL-I26G-20431</t>
  </si>
  <si>
    <t>HPBL4-NL-O26G-08583</t>
  </si>
  <si>
    <t>PIL-NL-I26G-20432</t>
  </si>
  <si>
    <t>HPBL4-NL-O26G-08584</t>
  </si>
  <si>
    <t>PIL-NL-I26G-20454</t>
  </si>
  <si>
    <t>HPBL4-NL-O26G-08585</t>
  </si>
  <si>
    <t>PIL-NL-I26G-20465</t>
  </si>
  <si>
    <t>HPBL4-NL-O26G-08586</t>
  </si>
  <si>
    <t>PIL-NL-I26G-20466</t>
  </si>
  <si>
    <t>HPBL4-NL-O26G-08587</t>
  </si>
  <si>
    <t>PIL-NL-I26G-20255</t>
  </si>
  <si>
    <t>HPBL4-NL-O26G-08588</t>
  </si>
  <si>
    <t>PIL-NL-I26G-20256</t>
  </si>
  <si>
    <t>HPBL4-NL-O26G-08589</t>
  </si>
  <si>
    <t>PIL-NL-I26G-20356</t>
  </si>
  <si>
    <t>HPBL4-NL-O26G-08590</t>
  </si>
  <si>
    <t>PIL-NL-I26G-20362</t>
  </si>
  <si>
    <t>HPBL4-NL-O26G-08591</t>
  </si>
  <si>
    <t>PIL-NL-I26G-20378</t>
  </si>
  <si>
    <t>HPBL4-NL-O26G-08592</t>
  </si>
  <si>
    <t>PIL-NL-I26G-20380</t>
  </si>
  <si>
    <t>HPBL4-NL-O26G-08593</t>
  </si>
  <si>
    <t>PIL-NL-I26G-20401</t>
  </si>
  <si>
    <t>HPBL4-NL-O26G-08594</t>
  </si>
  <si>
    <t>PIL-NL-I26G-20457</t>
  </si>
  <si>
    <t>HPBL4-NL-O26G-08595</t>
  </si>
  <si>
    <t>PIL-NL-I26G-20459</t>
  </si>
  <si>
    <t>HPBL4-NL-O26G-08596</t>
  </si>
  <si>
    <t>PIL-NL-I26G-20490</t>
  </si>
  <si>
    <t>HPBL4-NL-O26G-08597</t>
  </si>
  <si>
    <t>PIL-NL-I26G-20314</t>
  </si>
  <si>
    <t>HPBL4-NL-O26G-08598</t>
  </si>
  <si>
    <t>PIL-NL-I26F-17372</t>
  </si>
  <si>
    <t>HPBL4-NL-O26G-08599</t>
  </si>
  <si>
    <t>PIL-NL-I26G-20436</t>
  </si>
  <si>
    <t>HPBL4-NL-O26G-08600</t>
  </si>
  <si>
    <t>PIL-NL-I26G-20437</t>
  </si>
  <si>
    <t>HPBL4-NL-O26G-08601</t>
  </si>
  <si>
    <t>PIL-NL-I26G-20456</t>
  </si>
  <si>
    <t>HPBL4-NL-O26G-08602</t>
  </si>
  <si>
    <t>PIL-NL-I26G-20462</t>
  </si>
  <si>
    <t>HPBL4-NL-O26G-08603</t>
  </si>
  <si>
    <t>PIL-NL-I26G-20489</t>
  </si>
  <si>
    <t>HPBL4-NL-O26G-08604</t>
  </si>
  <si>
    <t>PIL-NL-I26G-20313</t>
  </si>
  <si>
    <t>HPBL4-NL-O26G-08605</t>
  </si>
  <si>
    <t>PIL-NL-I26G-20254</t>
  </si>
  <si>
    <t>HPBL4-NL-O26G-08606</t>
  </si>
  <si>
    <t>PIL-NL-I26G-20377</t>
  </si>
  <si>
    <t>HPBL4-NL-O26G-08607</t>
  </si>
  <si>
    <t>PIL-NL-I26G-20423</t>
  </si>
  <si>
    <t>HPBL4-NL-O26G-08608</t>
  </si>
  <si>
    <t>PIL-NL-I26G-20428</t>
  </si>
  <si>
    <t>HPBL4-NL-O26G-08609</t>
  </si>
  <si>
    <t>PIL-NL-I26G-20429</t>
  </si>
  <si>
    <t>HPBL4-NL-O26G-08610</t>
  </si>
  <si>
    <t>PIL-NL-I26G-20430</t>
  </si>
  <si>
    <t>HPBL4-NL-O26G-08611</t>
  </si>
  <si>
    <t>PIL-NL-I26G-20463</t>
  </si>
  <si>
    <t>5/60 MW/ORANGE</t>
  </si>
  <si>
    <t>HPBL4-NL-O26G-08612</t>
  </si>
  <si>
    <t>PIL-NL-I26G-20464</t>
  </si>
  <si>
    <t>HPBL4-NL-O26G-08613</t>
  </si>
  <si>
    <t>PIL-NL-I26G-20480</t>
  </si>
  <si>
    <t>HPBL4-NL-O26G-08614</t>
  </si>
  <si>
    <t>PIL-NL-I26G-20515</t>
  </si>
  <si>
    <t>HPBL4-NL-O26G-08615</t>
  </si>
  <si>
    <t>PIL-NL-I26G-20529</t>
  </si>
  <si>
    <t>HPBL4-NL-O26G-08616</t>
  </si>
  <si>
    <t>PIL-NL-I26G-20542</t>
  </si>
  <si>
    <t>HPBL4-NL-O26G-08617</t>
  </si>
  <si>
    <t>PIL-NL-I26G-20564</t>
  </si>
  <si>
    <t>HPBL4-NL-O26G-08618</t>
  </si>
  <si>
    <t>PIL-NL-I26G-20566</t>
  </si>
  <si>
    <t>HPBL4-NL-O26G-08619</t>
  </si>
  <si>
    <t>PIL-NL-I26G-20575</t>
  </si>
  <si>
    <t>HPBL4-NL-O26G-08620</t>
  </si>
  <si>
    <t>PIL-NL-I26G-20594</t>
  </si>
  <si>
    <t>HPBL4-NL-O26G-08621</t>
  </si>
  <si>
    <t>PIL-NL-I26G-20596</t>
  </si>
  <si>
    <t>HPBL4-NL-O26G-08622</t>
  </si>
  <si>
    <t>PIL-NL-I26G-20607</t>
  </si>
  <si>
    <t>HPBL4-NL-O26G-08623</t>
  </si>
  <si>
    <t>PIL-NL-I26G-20609</t>
  </si>
  <si>
    <t>HPBL4-NL-O26G-08624</t>
  </si>
  <si>
    <t>PIL-NL-I26G-20514</t>
  </si>
  <si>
    <t>HPBL4-NL-O26G-08625</t>
  </si>
  <si>
    <t>PIL-NL-I26G-20528</t>
  </si>
  <si>
    <t>HPBL4-NL-O26G-08626</t>
  </si>
  <si>
    <t>PIL-NL-I26G-20565</t>
  </si>
  <si>
    <t>HPBL4-NL-O26G-08627</t>
  </si>
  <si>
    <t>PIL-NL-I26G-20572</t>
  </si>
  <si>
    <t>HPBL4-NL-O26G-08628</t>
  </si>
  <si>
    <t>PIL-NL-I26G-20595</t>
  </si>
  <si>
    <t>HPBL4-NL-O26G-08629</t>
  </si>
  <si>
    <t>PIL-NL-I26G-20597</t>
  </si>
  <si>
    <t>HPBL4-NL-O26G-08630</t>
  </si>
  <si>
    <t>PIL-NL-I26G-20606</t>
  </si>
  <si>
    <t>HPBL4-NL-O26G-08631</t>
  </si>
  <si>
    <t>PIL-NL-I26G-20608</t>
  </si>
  <si>
    <t>HPBL4-NL-O26G-08632</t>
  </si>
  <si>
    <t>PIL-NL-I26G-20503</t>
  </si>
  <si>
    <t>HPBL4-NL-O26G-08633</t>
  </si>
  <si>
    <t>PIL-NL-I26G-20527</t>
  </si>
  <si>
    <t>HPBL4-NL-O26G-08634</t>
  </si>
  <si>
    <t>PIL-NL-I26G-20532</t>
  </si>
  <si>
    <t>HPBL4-NL-O26G-08635</t>
  </si>
  <si>
    <t>PIL-NL-I26G-20552</t>
  </si>
  <si>
    <t>HPBL4-NL-O26G-08636</t>
  </si>
  <si>
    <t>PIL-NL-I26G-20557</t>
  </si>
  <si>
    <t>HPBL4-NL-O26G-08637</t>
  </si>
  <si>
    <t>PIL-NL-I26G-20569</t>
  </si>
  <si>
    <t>HPBL4-NL-O26G-08638</t>
  </si>
  <si>
    <t>PIL-NL-I26G-20573</t>
  </si>
  <si>
    <t>HPBL4-NL-O26G-08639</t>
  </si>
  <si>
    <t>PIL-NL-I26G-20589</t>
  </si>
  <si>
    <t>HPBL4-NL-O26G-08640</t>
  </si>
  <si>
    <t>PIL-NL-I26G-20593</t>
  </si>
  <si>
    <t>HPBL4-NL-O26G-08641</t>
  </si>
  <si>
    <t>PIL-NL-I26G-20598</t>
  </si>
  <si>
    <t>HPBL4-NL-O26G-08642</t>
  </si>
  <si>
    <t>PIL-NL-I26G-20618</t>
  </si>
  <si>
    <t>HPBL4-NL-O26G-08643</t>
  </si>
  <si>
    <t>PIL-NL-I26G-20626</t>
  </si>
  <si>
    <t>HPBL4-NL-O26G-08644</t>
  </si>
  <si>
    <t>PIL-NL-I26G-20506</t>
  </si>
  <si>
    <t>HPBL4-NL-O26G-08645</t>
  </si>
  <si>
    <t>PIL-NL-I26G-20507</t>
  </si>
  <si>
    <t>HPBL4-NL-O26G-08646</t>
  </si>
  <si>
    <t>PIL-NL-I26G-20543</t>
  </si>
  <si>
    <t>HPBL4-NL-O26G-08647</t>
  </si>
  <si>
    <t>PIL-NL-I26G-20620</t>
  </si>
  <si>
    <t>HPBL4-NL-O26G-08648</t>
  </si>
  <si>
    <t>PIL-NL-I26G-20505</t>
  </si>
  <si>
    <t>HPBL4-NL-O26G-08649</t>
  </si>
  <si>
    <t>PIL-NL-I26G-20511</t>
  </si>
  <si>
    <t>HPBL4-NL-O26G-08650</t>
  </si>
  <si>
    <t>PIL-NL-I26G-20512</t>
  </si>
  <si>
    <t>HPBL4-NL-O26G-08651</t>
  </si>
  <si>
    <t>PIL-NL-I26G-20530</t>
  </si>
  <si>
    <t>HPBL4-NL-O26G-08652</t>
  </si>
  <si>
    <t>PIL-NL-I26G-20567</t>
  </si>
  <si>
    <t>HPBL4-NL-O26G-08653</t>
  </si>
  <si>
    <t>PIL-NL-I26G-20576</t>
  </si>
  <si>
    <t>HPBL4-NL-O26G-08654</t>
  </si>
  <si>
    <t>PIL-NL-I26G-20591</t>
  </si>
  <si>
    <t>HPBL4-NL-O26G-08655</t>
  </si>
  <si>
    <t>PIL-NL-I26G-20611</t>
  </si>
  <si>
    <t>HPBL4-NL-O26G-08656</t>
  </si>
  <si>
    <t>PIL-NL-I26G-20624</t>
  </si>
  <si>
    <t>HPBL4-NL-O26G-08657</t>
  </si>
  <si>
    <t>PIL-NL-I26G-20508</t>
  </si>
  <si>
    <t>HPBL4-NL-O26G-08658</t>
  </si>
  <si>
    <t>PIL-NL-I26G-20516</t>
  </si>
  <si>
    <t>HPBL4-NL-O26G-08659</t>
  </si>
  <si>
    <t>PIL-NL-I26G-20533</t>
  </si>
  <si>
    <t>HPBL4-NL-O26G-08660</t>
  </si>
  <si>
    <t>PIL-NL-I26G-20534</t>
  </si>
  <si>
    <t>HPBL4-NL-O26G-08661</t>
  </si>
  <si>
    <t>PIL-NL-I26G-20553</t>
  </si>
  <si>
    <t>HPBL4-NL-O26G-08662</t>
  </si>
  <si>
    <t>PIL-NL-I26G-20554</t>
  </si>
  <si>
    <t>HPBL4-NL-O26G-08663</t>
  </si>
  <si>
    <t>PIL-NL-I26G-20621</t>
  </si>
  <si>
    <t>HPBL4-NL-O26G-08664</t>
  </si>
  <si>
    <t>PIL-NL-I26G-20622</t>
  </si>
  <si>
    <t>HPBL4-NL-O26G-08665</t>
  </si>
  <si>
    <t>PIL-NL-I26G-20509</t>
  </si>
  <si>
    <t>HPBL4-NL-O26G-08666</t>
  </si>
  <si>
    <t>PIL-NL-I26G-20510</t>
  </si>
  <si>
    <t>HPBL4-NL-O26G-08667</t>
  </si>
  <si>
    <t>PIL-NL-I26G-20526</t>
  </si>
  <si>
    <t>HPBL4-NL-O26G-08668</t>
  </si>
  <si>
    <t>PIL-NL-I26G-20546</t>
  </si>
  <si>
    <t>HPBL4-NL-O26G-08669</t>
  </si>
  <si>
    <t>PIL-NL-I26G-20556</t>
  </si>
  <si>
    <t>HPBL4-NL-O26G-08670</t>
  </si>
  <si>
    <t>PIL-NL-I26G-20570</t>
  </si>
  <si>
    <t>HPBL4-NL-O26G-08671</t>
  </si>
  <si>
    <t>PIL-NL-I26G-20610</t>
  </si>
  <si>
    <t>HPBL4-NL-O26G-08672</t>
  </si>
  <si>
    <t>PIL-NL-I26G-20504</t>
  </si>
  <si>
    <t>HPBL4-NL-O26G-08673</t>
  </si>
  <si>
    <t>PIL-NL-I26G-20513</t>
  </si>
  <si>
    <t>HPBL4-NL-O26G-08674</t>
  </si>
  <si>
    <t>PIL-NL-I26G-20551</t>
  </si>
  <si>
    <t>HPBL4-NL-O26G-08675</t>
  </si>
  <si>
    <t>PIL-NL-I26G-20568</t>
  </si>
  <si>
    <t>HPBL4-NL-O26G-08676</t>
  </si>
  <si>
    <t>PIL-NL-I26G-20590</t>
  </si>
  <si>
    <t>HPBL4-NL-O26G-08677</t>
  </si>
  <si>
    <t>PIL-NL-I26G-20592</t>
  </si>
  <si>
    <t>HPBL4-NL-O26G-08678</t>
  </si>
  <si>
    <t>PIL-NL-I26G-20619</t>
  </si>
  <si>
    <t>HPBL4-NL-O26G-08679</t>
  </si>
  <si>
    <t>PIL-NL-I26G-20623</t>
  </si>
  <si>
    <t>HPBL4-NL-O26G-08680</t>
  </si>
  <si>
    <t>PIL-NL-I26G-20625</t>
  </si>
  <si>
    <t>HPBL4-NL-O26G-08681</t>
  </si>
  <si>
    <t>PIL-NL-I26G-20642</t>
  </si>
  <si>
    <t>HPBL4-NL-O26G-08682</t>
  </si>
  <si>
    <t>PIL-NL-I26G-20667</t>
  </si>
  <si>
    <t>HPBL4-NL-O26G-08683</t>
  </si>
  <si>
    <t>PIL-NL-I26G-20680</t>
  </si>
  <si>
    <t>HPBL4-NL-O26G-08684</t>
  </si>
  <si>
    <t>PIL-NL-I26G-20695</t>
  </si>
  <si>
    <t>HPBL4-NL-O26G-08685</t>
  </si>
  <si>
    <t>PIL-NL-I26G-20697</t>
  </si>
  <si>
    <t>HPBL4-NL-O26G-08686</t>
  </si>
  <si>
    <t>PIL-NL-I26G-20641</t>
  </si>
  <si>
    <t>HPBL4-NL-O26G-08687</t>
  </si>
  <si>
    <t>PIL-NL-I26G-20681</t>
  </si>
  <si>
    <t>HPBL4-NL-O26G-08688</t>
  </si>
  <si>
    <t>PIL-NL-I26G-20692</t>
  </si>
  <si>
    <t>HPBL4-NL-O26G-08689</t>
  </si>
  <si>
    <t>PIL-NL-I26G-20639</t>
  </si>
  <si>
    <t>HPBL4-NL-O26G-08690</t>
  </si>
  <si>
    <t>PIL-NL-I26G-20643</t>
  </si>
  <si>
    <t>HPBL4-NL-O26G-08691</t>
  </si>
  <si>
    <t>PIL-NL-I26G-20664</t>
  </si>
  <si>
    <t>HPBL4-NL-O26G-08692</t>
  </si>
  <si>
    <t>PIL-NL-I26G-20665</t>
  </si>
  <si>
    <t>HPBL4-NL-O26G-08693</t>
  </si>
  <si>
    <t>PIL-NL-I26G-20685</t>
  </si>
  <si>
    <t>HPBL4-NL-O26G-08694</t>
  </si>
  <si>
    <t>PIL-NL-I26G-20714</t>
  </si>
  <si>
    <t>HPBL4-NL-O26G-08695</t>
  </si>
  <si>
    <t>PIL-NL-I26G-20715</t>
  </si>
  <si>
    <t>HPBL4-NL-O26G-08696</t>
  </si>
  <si>
    <t>PIL-NL-I26G-20721</t>
  </si>
  <si>
    <t>HPBL4-NL-O26G-08697</t>
  </si>
  <si>
    <t>PIL-NL-I26G-20722</t>
  </si>
  <si>
    <t>HPBL4-NL-O26G-08698</t>
  </si>
  <si>
    <t>PIL-NL-I26G-20744</t>
  </si>
  <si>
    <t>HPBL4-NL-O26G-08699</t>
  </si>
  <si>
    <t>PIL-NL-I26G-20749</t>
  </si>
  <si>
    <t>HPBL4-NL-O26G-08700</t>
  </si>
  <si>
    <t>PIL-NL-I26G-20751</t>
  </si>
  <si>
    <t>HPBL4-NL-O26G-08701</t>
  </si>
  <si>
    <t>PIL-NL-I26G-20762</t>
  </si>
  <si>
    <t>HPBL4-NL-O26G-08702</t>
  </si>
  <si>
    <t>PIL-NL-I26G-20763</t>
  </si>
  <si>
    <t>HPBL4-NL-O26G-08703</t>
  </si>
  <si>
    <t>PIL-NL-I26G-20636</t>
  </si>
  <si>
    <t>HPBL4-NL-O26G-08704</t>
  </si>
  <si>
    <t>PIL-NL-I26G-20645</t>
  </si>
  <si>
    <t>HPBL4-NL-O26G-08705</t>
  </si>
  <si>
    <t>PIL-NL-I26G-20683</t>
  </si>
  <si>
    <t>HPBL4-NL-O26G-08706</t>
  </si>
  <si>
    <t>PIL-NL-I26G-20693</t>
  </si>
  <si>
    <t>HPBL4-NL-O26G-08707</t>
  </si>
  <si>
    <t>PIL-NL-I26G-20698</t>
  </si>
  <si>
    <t>HPBL4-NL-O26G-08708</t>
  </si>
  <si>
    <t>PIL-NL-I26G-20713</t>
  </si>
  <si>
    <t>5/55 BLUE-288C/YELLOW+ORANGE</t>
  </si>
  <si>
    <t>HPBL4-NL-O26G-08709</t>
  </si>
  <si>
    <t>PIL-NL-I26G-20746</t>
  </si>
  <si>
    <t>HPBL4-NL-O26G-08710</t>
  </si>
  <si>
    <t>PIL-NL-I26G-20640</t>
  </si>
  <si>
    <t>HPBL4-NL-O26G-08711</t>
  </si>
  <si>
    <t>PIL-NL-I26G-20644</t>
  </si>
  <si>
    <t>HPBL4-NL-O26G-08712</t>
  </si>
  <si>
    <t>PIL-NL-I26G-20646</t>
  </si>
  <si>
    <t>HPBL4-NL-O26G-08713</t>
  </si>
  <si>
    <t>PIL-NL-I26G-20663</t>
  </si>
  <si>
    <t>HPBL4-NL-O26G-08714</t>
  </si>
  <si>
    <t>PIL-NL-I26G-20669</t>
  </si>
  <si>
    <t>HPBL4-NL-O26G-08715</t>
  </si>
  <si>
    <t>PIL-NL-I26G-20712</t>
  </si>
  <si>
    <t>HPBL4-NL-O26G-08716</t>
  </si>
  <si>
    <t>PIL-NL-I26G-20719</t>
  </si>
  <si>
    <t>HPBL4-NL-O26G-08717</t>
  </si>
  <si>
    <t>PIL-NL-I26G-20724</t>
  </si>
  <si>
    <t>HPBL4-NL-O26G-08718</t>
  </si>
  <si>
    <t>PIL-NL-I26G-20726</t>
  </si>
  <si>
    <t>HPBL4-NL-O26G-08719</t>
  </si>
  <si>
    <t>PIL-NL-I26G-20743</t>
  </si>
  <si>
    <t>HPBL4-NL-O26G-08720</t>
  </si>
  <si>
    <t>PIL-NL-I26G-20745</t>
  </si>
  <si>
    <t>HPBL4-NL-O26G-08721</t>
  </si>
  <si>
    <t>PIL-NL-I26G-20635</t>
  </si>
  <si>
    <t>HPBL4-NL-O26G-08722</t>
  </si>
  <si>
    <t>PIL-NL-I26G-20647</t>
  </si>
  <si>
    <t>HPBL4-NL-O26G-08723</t>
  </si>
  <si>
    <t>PIL-NL-I26G-20682</t>
  </si>
  <si>
    <t>HPBL4-NL-O26G-08724</t>
  </si>
  <si>
    <t>PIL-NL-I26G-20684</t>
  </si>
  <si>
    <t>HPBL4-NL-O26G-08725</t>
  </si>
  <si>
    <t>PIL-NL-I26G-20691</t>
  </si>
  <si>
    <t>HPBL4-NL-O26G-08726</t>
  </si>
  <si>
    <t>PIL-NL-I26G-20765</t>
  </si>
  <si>
    <t>HPBL4-NL-O26G-08727</t>
  </si>
  <si>
    <t>PIL-NL-I26G-20766</t>
  </si>
  <si>
    <t>HPBL4-NL-O26G-08728</t>
  </si>
  <si>
    <t>PIL-NL-I26G-20768</t>
  </si>
  <si>
    <t>HPBL4-NL-O26G-08729</t>
  </si>
  <si>
    <t>PIL-NL-I26G-20637</t>
  </si>
  <si>
    <t>HPBL4-NL-O26G-08730</t>
  </si>
  <si>
    <t>PIL-NL-I26G-20638</t>
  </si>
  <si>
    <t>HPBL4-NL-O26G-08731</t>
  </si>
  <si>
    <t>PIL-NL-I26G-20662</t>
  </si>
  <si>
    <t>HPBL4-NL-O26G-08732</t>
  </si>
  <si>
    <t>PIL-NL-I26G-20686</t>
  </si>
  <si>
    <t>HPBL4-NL-O26G-08733</t>
  </si>
  <si>
    <t>PIL-NL-I26G-20716</t>
  </si>
  <si>
    <t>HPBL4-NL-O26G-08734</t>
  </si>
  <si>
    <t>PIL-NL-I26G-20720</t>
  </si>
  <si>
    <t>HPBL4-NL-O26G-08735</t>
  </si>
  <si>
    <t>PIL-NL-I26G-20723</t>
  </si>
  <si>
    <t>HPBL4-NL-O26G-08736</t>
  </si>
  <si>
    <t>PIL-NL-I26G-20747</t>
  </si>
  <si>
    <t>HPBL4-NL-O26G-08737</t>
  </si>
  <si>
    <t>PIL-NL-I26G-20748</t>
  </si>
  <si>
    <t>HPBL4-NL-O26G-08738</t>
  </si>
  <si>
    <t>PIL-NL-I26G-20750</t>
  </si>
  <si>
    <t>HPBL4-NL-O26G-08739</t>
  </si>
  <si>
    <t>PIL-NL-I26G-20764</t>
  </si>
  <si>
    <t>HPBL4-NL-O26G-08740</t>
  </si>
  <si>
    <t>PIL-NL-I26G-20634</t>
  </si>
  <si>
    <t>HPBL4-NL-O26G-08741</t>
  </si>
  <si>
    <t>PIL-NL-I26G-20668</t>
  </si>
  <si>
    <t>HPBL4-NL-O26G-08742</t>
  </si>
  <si>
    <t>PIL-NL-I26G-20696</t>
  </si>
  <si>
    <t>HPBL4-NL-O26G-08743</t>
  </si>
  <si>
    <t>PIL-NL-I26G-20718</t>
  </si>
  <si>
    <t>HPBL4-NL-O26G-08744</t>
  </si>
  <si>
    <t>PIL-NL-I26G-20725</t>
  </si>
  <si>
    <t>HPBL4-NL-O26G-08745</t>
  </si>
  <si>
    <t>PIL-NL-I26G-20727</t>
  </si>
  <si>
    <t>HPBL4-NL-O26G-08746</t>
  </si>
  <si>
    <t>PIL-NL-I26G-20767</t>
  </si>
  <si>
    <t>HPBL4-NL-O26G-08747</t>
  </si>
  <si>
    <t>PIL-NL-I26G-20785</t>
  </si>
  <si>
    <t>HPBL4-NL-O26G-08748</t>
  </si>
  <si>
    <t>PIL-NL-I26G-20815</t>
  </si>
  <si>
    <t>HPBL4-NL-O26G-08749</t>
  </si>
  <si>
    <t>PIL-NL-I26G-20825</t>
  </si>
  <si>
    <t>HPBL4-NL-O26G-08750</t>
  </si>
  <si>
    <t>PIL-NL-I26G-20828</t>
  </si>
  <si>
    <t>HPBL4-NL-O26G-08751</t>
  </si>
  <si>
    <t>PIL-NL-I26G-20856</t>
  </si>
  <si>
    <t>HPBL4-NL-O26G-08752</t>
  </si>
  <si>
    <t>PIL-NL-I26G-20858</t>
  </si>
  <si>
    <t>HPBL4-NL-O26G-08753</t>
  </si>
  <si>
    <t>PIL-NL-I26G-20891</t>
  </si>
  <si>
    <t>HPBL4-NL-O26G-08754</t>
  </si>
  <si>
    <t>PIL-NL-I26G-20906</t>
  </si>
  <si>
    <t>HPBL4-NL-O26G-08755</t>
  </si>
  <si>
    <t>PIL-NL-I26G-20916</t>
  </si>
  <si>
    <t>HPBL4-NL-O26G-08756</t>
  </si>
  <si>
    <t>PIL-NL-I26G-20787</t>
  </si>
  <si>
    <t>HPBL4-NL-O26G-08757</t>
  </si>
  <si>
    <t>PIL-NL-I26G-20795</t>
  </si>
  <si>
    <t>HPBL4-NL-O26G-08758</t>
  </si>
  <si>
    <t>PIL-NL-I26G-20862</t>
  </si>
  <si>
    <t>HPBL4-NL-O26G-08759</t>
  </si>
  <si>
    <t>PIL-NL-I26G-20885</t>
  </si>
  <si>
    <t>HPBL4-NL-O26G-08760</t>
  </si>
  <si>
    <t>PIL-NL-I26G-20904</t>
  </si>
  <si>
    <t>HPBL4-NL-O26G-08761</t>
  </si>
  <si>
    <t>PIL-NL-I26G-20789</t>
  </si>
  <si>
    <t>HPBL4-NL-O26G-08762</t>
  </si>
  <si>
    <t>PIL-NL-I26G-20838</t>
  </si>
  <si>
    <t>HPBL4-NL-O26G-08763</t>
  </si>
  <si>
    <t>PIL-NL-I26G-20839</t>
  </si>
  <si>
    <t>HPBL4-NL-O26G-08764</t>
  </si>
  <si>
    <t>PIL-NL-I26G-20852</t>
  </si>
  <si>
    <t>HPBL4-NL-O26G-08765</t>
  </si>
  <si>
    <t>PIL-NL-I26G-20853</t>
  </si>
  <si>
    <t>HPBL4-NL-O26G-08766</t>
  </si>
  <si>
    <t>PIL-NL-I26G-20863</t>
  </si>
  <si>
    <t>HPBL4-NL-O26G-08767</t>
  </si>
  <si>
    <t>PIL-NL-I26G-20864</t>
  </si>
  <si>
    <t>HPBL4-NL-O26G-08768</t>
  </si>
  <si>
    <t>PIL-NL-I26G-20867</t>
  </si>
  <si>
    <t>HPBL4-NL-O26G-08769</t>
  </si>
  <si>
    <t>PIL-NL-I26G-20893</t>
  </si>
  <si>
    <t>HPBL4-NL-O26G-08770</t>
  </si>
  <si>
    <t>PIL-NL-I26G-20915</t>
  </si>
  <si>
    <t>HPBL4-NL-O26G-08771</t>
  </si>
  <si>
    <t>PIL-NL-I26G-20919</t>
  </si>
  <si>
    <t>HPBL4-NL-O26G-08772</t>
  </si>
  <si>
    <t>PIL-NL-I26G-20782</t>
  </si>
  <si>
    <t>HPBL4-NL-O26G-08773</t>
  </si>
  <si>
    <t>PIL-NL-I26G-20809</t>
  </si>
  <si>
    <t>HPBL4-NL-O26G-08774</t>
  </si>
  <si>
    <t>PIL-NL-I26G-20829</t>
  </si>
  <si>
    <t>HPBL4-NL-O26G-08775</t>
  </si>
  <si>
    <t>PIL-NL-I26G-20830</t>
  </si>
  <si>
    <t>HPBL4-NL-O26G-08776</t>
  </si>
  <si>
    <t>PIL-NL-I26G-20889</t>
  </si>
  <si>
    <t>HPBL4-NL-O26G-08777</t>
  </si>
  <si>
    <t>PIL-NL-I26G-20781</t>
  </si>
  <si>
    <t>HPBL4-NL-O26G-08778</t>
  </si>
  <si>
    <t>PIL-NL-I26G-20786</t>
  </si>
  <si>
    <t>HPBL4-NL-O26G-08779</t>
  </si>
  <si>
    <t>PIL-NL-I26G-20794</t>
  </si>
  <si>
    <t>HPBL4-NL-O26G-08780</t>
  </si>
  <si>
    <t>PIL-NL-I26G-20810</t>
  </si>
  <si>
    <t>HPBL4-NL-O26G-08781</t>
  </si>
  <si>
    <t>PIL-NL-I26G-20816</t>
  </si>
  <si>
    <t>HPBL4-NL-O26G-08782</t>
  </si>
  <si>
    <t>PIL-NL-I26G-20826</t>
  </si>
  <si>
    <t>HPBL4-NL-O26G-08783</t>
  </si>
  <si>
    <t>PIL-NL-I26G-20827</t>
  </si>
  <si>
    <t>HPBL4-NL-O26G-08784</t>
  </si>
  <si>
    <t>PIL-NL-I26G-20836</t>
  </si>
  <si>
    <t>HPBL4-NL-O26G-08785</t>
  </si>
  <si>
    <t>PIL-NL-I26G-20857</t>
  </si>
  <si>
    <t>HPBL4-NL-O26G-08786</t>
  </si>
  <si>
    <t>PIL-NL-I26G-20859</t>
  </si>
  <si>
    <t>HPBL4-NL-O26G-08787</t>
  </si>
  <si>
    <t>PIL-NL-I26G-20868</t>
  </si>
  <si>
    <t>HPBL4-NL-O26G-08788</t>
  </si>
  <si>
    <t>PIL-NL-I26G-20887</t>
  </si>
  <si>
    <t>HPBL4-NL-O26G-08789</t>
  </si>
  <si>
    <t>PIL-NL-I26G-20905</t>
  </si>
  <si>
    <t>HPBL4-NL-O26G-08790</t>
  </si>
  <si>
    <t>PIL-NL-I26G-20907</t>
  </si>
  <si>
    <t>HPBL4-NL-O26G-08791</t>
  </si>
  <si>
    <t>PIL-NL-I26G-20778</t>
  </si>
  <si>
    <t>HPBL4-NL-O26G-08792</t>
  </si>
  <si>
    <t>PIL-NL-I26G-20840</t>
  </si>
  <si>
    <t>HPBL4-NL-O26G-08793</t>
  </si>
  <si>
    <t>PIL-NL-I26G-20861</t>
  </si>
  <si>
    <t>HPBL4-NL-O26G-08794</t>
  </si>
  <si>
    <t>PIL-NL-I26G-20890</t>
  </si>
  <si>
    <t>HPBL4-NL-O26G-08795</t>
  </si>
  <si>
    <t>PIL-NL-I26G-20908</t>
  </si>
  <si>
    <t>HPBL4-NL-O26G-08796</t>
  </si>
  <si>
    <t>PIL-NL-I26G-20917</t>
  </si>
  <si>
    <t>HPBL4-NL-O26G-08797</t>
  </si>
  <si>
    <t>PIL-NL-I26G-20783</t>
  </si>
  <si>
    <t>HPBL4-NL-O26G-08798</t>
  </si>
  <si>
    <t>PIL-NL-I26G-20808</t>
  </si>
  <si>
    <t>HPBL4-NL-O26G-08799</t>
  </si>
  <si>
    <t>PIL-NL-I26G-20813</t>
  </si>
  <si>
    <t>HPBL4-NL-O26G-08800</t>
  </si>
  <si>
    <t>PIL-NL-I26G-20886</t>
  </si>
  <si>
    <t>HPBL4-NL-O26G-08801</t>
  </si>
  <si>
    <t>PIL-NL-I26G-20888</t>
  </si>
  <si>
    <t>HPBL4-NL-O26G-08802</t>
  </si>
  <si>
    <t>PIL-NL-I26G-20788</t>
  </si>
  <si>
    <t>HPBL4-NL-O26G-08803</t>
  </si>
  <si>
    <t>PIL-NL-I26G-20790</t>
  </si>
  <si>
    <t>HPBL4-NL-O26G-08804</t>
  </si>
  <si>
    <t>PIL-NL-I26G-20814</t>
  </si>
  <si>
    <t>HPBL4-NL-O26G-08805</t>
  </si>
  <si>
    <t>PIL-NL-I26G-20837</t>
  </si>
  <si>
    <t>HPBL4-NL-O26G-08806</t>
  </si>
  <si>
    <t>PIL-NL-I26G-20855</t>
  </si>
  <si>
    <t>HPBL4-NL-O26G-08807</t>
  </si>
  <si>
    <t>PIL-NL-I26G-20865</t>
  </si>
  <si>
    <t>HPBL4-NL-O26G-08808</t>
  </si>
  <si>
    <t>PIL-NL-I26G-20866</t>
  </si>
  <si>
    <t>HPBL4-NL-O26G-08809</t>
  </si>
  <si>
    <t>PIL-NL-I26G-20892</t>
  </si>
  <si>
    <t>HPBL4-NL-O26G-08810</t>
  </si>
  <si>
    <t>PIL-NL-I26G-20903</t>
  </si>
  <si>
    <t>HPBL4-NL-O26G-08811</t>
  </si>
  <si>
    <t>PIL-NL-I26G-20914</t>
  </si>
  <si>
    <t>HPBL4-NL-O26G-08812</t>
  </si>
  <si>
    <t>PIL-NL-I26G-20918</t>
  </si>
  <si>
    <t>HPBL4-NL-O26G-08813</t>
  </si>
  <si>
    <t>50/60 BLUE/</t>
  </si>
  <si>
    <t>PPL-NL-O26G-05454</t>
  </si>
  <si>
    <t>WEBBING  4 DT 12.07.26</t>
  </si>
  <si>
    <t>HPBL4-NL-O26G-08814</t>
  </si>
  <si>
    <t>PPL-NL-O26G-05455</t>
  </si>
  <si>
    <t>HPBL4-NL-O26G-08815</t>
  </si>
  <si>
    <t>PIL-NL-I26G-21069</t>
  </si>
  <si>
    <t>HPBL4-NL-O26G-08816</t>
  </si>
  <si>
    <t>PIL-NL-I26G-21064</t>
  </si>
  <si>
    <t>HPBL4-NL-O26G-08817</t>
  </si>
  <si>
    <t>PIL-NL-I26G-20986</t>
  </si>
  <si>
    <t>HPBL4-NL-O26G-08818</t>
  </si>
  <si>
    <t>PIL-NL-I26G-20988</t>
  </si>
  <si>
    <t>HPBL4-NL-O26G-08819</t>
  </si>
  <si>
    <t>PIL-NL-I26G-21066</t>
  </si>
  <si>
    <t>HPBL4-NL-O26G-08820</t>
  </si>
  <si>
    <t>PIL-NL-I26G-21068</t>
  </si>
  <si>
    <t>HPBL4-NL-O26G-08821</t>
  </si>
  <si>
    <t>PIL-NL-I26G-20985</t>
  </si>
  <si>
    <t>HPBL4-NL-O26G-08822</t>
  </si>
  <si>
    <t>PIL-NL-I26G-20987</t>
  </si>
  <si>
    <t>HPBL4-NL-O26G-08823</t>
  </si>
  <si>
    <t>PIL-NL-I26G-20990</t>
  </si>
  <si>
    <t>HPBL4-NL-O26G-08824</t>
  </si>
  <si>
    <t>PIL-NL-I26G-21065</t>
  </si>
  <si>
    <t>HPBL4-NL-O26G-08825</t>
  </si>
  <si>
    <t>PIL-NL-I26G-20930</t>
  </si>
  <si>
    <t>HPBL4-NL-O26G-08826</t>
  </si>
  <si>
    <t>PIL-NL-I26G-20932</t>
  </si>
  <si>
    <t>HPBL4-NL-O26G-08827</t>
  </si>
  <si>
    <t>PIL-NL-I26G-21007</t>
  </si>
  <si>
    <t>HPBL4-NL-O26G-08828</t>
  </si>
  <si>
    <t>PIL-NL-I26G-21006</t>
  </si>
  <si>
    <t>HPBL4-NL-O26G-08829</t>
  </si>
  <si>
    <t>PIL-NL-I26G-20933</t>
  </si>
  <si>
    <t>HPBL4-NL-O26G-08830</t>
  </si>
  <si>
    <t>PIL-NL-I26G-21005</t>
  </si>
  <si>
    <t>HPBL4-NL-O26G-08831</t>
  </si>
  <si>
    <t>PIL-NL-I26G-21008</t>
  </si>
  <si>
    <t>HPBL4-NL-O26G-08832</t>
  </si>
  <si>
    <t>PIL-NL-I26G-20934</t>
  </si>
  <si>
    <t>HPBL4-NL-O26G-08833</t>
  </si>
  <si>
    <t>PIL-NL-I26G-20931</t>
  </si>
  <si>
    <t>HPBL4-NL-O26G-08834</t>
  </si>
  <si>
    <t>PIL-NL-I26G-21004</t>
  </si>
  <si>
    <t>HPBL4-NL-O26G-08835</t>
  </si>
  <si>
    <t>PIL-NL-I26G-20944</t>
  </si>
  <si>
    <t>HPBL4-NL-O26G-08836</t>
  </si>
  <si>
    <t>PIL-NL-I26G-20960</t>
  </si>
  <si>
    <t>HPBL4-NL-O26G-08837</t>
  </si>
  <si>
    <t>PIL-NL-I26G-20963</t>
  </si>
  <si>
    <t>HPBL4-NL-O26G-08838</t>
  </si>
  <si>
    <t>PIL-NL-I26G-20974</t>
  </si>
  <si>
    <t>HPBL4-NL-O26G-08839</t>
  </si>
  <si>
    <t>PIL-NL-I26G-21011</t>
  </si>
  <si>
    <t>HPBL4-NL-O26G-08840</t>
  </si>
  <si>
    <t>PIL-NL-I26G-21002</t>
  </si>
  <si>
    <t>HPBL4-NL-O26G-08841</t>
  </si>
  <si>
    <t>PIL-NL-I26G-21039</t>
  </si>
  <si>
    <t>HPBL4-NL-O26G-08842</t>
  </si>
  <si>
    <t>PIL-NL-I26G-21058</t>
  </si>
  <si>
    <t>HPBL4-NL-O26G-08843</t>
  </si>
  <si>
    <t>PIL-NL-I26G-21059</t>
  </si>
  <si>
    <t>HPBL4-NL-O26G-08844</t>
  </si>
  <si>
    <t>PIL-NL-I26G-20937</t>
  </si>
  <si>
    <t>HPBL4-NL-O26G-08845</t>
  </si>
  <si>
    <t>PIL-NL-I26G-20945</t>
  </si>
  <si>
    <t>HPBL4-NL-O26G-08846</t>
  </si>
  <si>
    <t>PIL-NL-I26G-20957</t>
  </si>
  <si>
    <t>HPBL4-NL-O26G-08847</t>
  </si>
  <si>
    <t>PIL-NL-I26G-21036</t>
  </si>
  <si>
    <t>HPBL4-NL-O26G-08848</t>
  </si>
  <si>
    <t>PIL-NL-I26G-21038</t>
  </si>
  <si>
    <t>HPBL4-NL-O26G-08849</t>
  </si>
  <si>
    <t>PIL-NL-I26G-20958</t>
  </si>
  <si>
    <t>HPBL4-NL-O26G-08850</t>
  </si>
  <si>
    <t>PIL-NL-I26G-20977</t>
  </si>
  <si>
    <t>HPBL4-NL-O26G-08851</t>
  </si>
  <si>
    <t>PIL-NL-I26G-21013</t>
  </si>
  <si>
    <t>HPBL4-NL-O26G-08852</t>
  </si>
  <si>
    <t>PIL-NL-I26G-20926</t>
  </si>
  <si>
    <t>HPBL4-NL-O26G-08853</t>
  </si>
  <si>
    <t>PIL-NL-I26G-20936</t>
  </si>
  <si>
    <t>HPBL4-NL-O26G-08854</t>
  </si>
  <si>
    <t>PIL-NL-I26G-20976</t>
  </si>
  <si>
    <t>HPBL4-NL-O26G-08855</t>
  </si>
  <si>
    <t>PIL-NL-I26G-21014</t>
  </si>
  <si>
    <t>HPBL4-NL-O26G-08856</t>
  </si>
  <si>
    <t>PIL-NL-I26G-21016</t>
  </si>
  <si>
    <t>HPBL4-NL-O26G-08857</t>
  </si>
  <si>
    <t>PIL-NL-I26G-21042</t>
  </si>
  <si>
    <t>HPBL4-NL-O26G-08858</t>
  </si>
  <si>
    <t>PIL-NL-I26G-21056</t>
  </si>
  <si>
    <t>HPBL4-NL-O26G-08859</t>
  </si>
  <si>
    <t>PIL-NL-I26G-20943</t>
  </si>
  <si>
    <t>HPBL4-NL-O26G-08860</t>
  </si>
  <si>
    <t>PIL-NL-I26G-20959</t>
  </si>
  <si>
    <t>HPBL4-NL-O26G-08861</t>
  </si>
  <si>
    <t>PIL-NL-I26G-20962</t>
  </si>
  <si>
    <t>HPBL4-NL-O26G-08862</t>
  </si>
  <si>
    <t>PIL-NL-I26G-20973</t>
  </si>
  <si>
    <t>HPBL4-NL-O26G-08863</t>
  </si>
  <si>
    <t>PIL-NL-I26G-20975</t>
  </si>
  <si>
    <t>HPBL4-NL-O26G-08864</t>
  </si>
  <si>
    <t>PIL-NL-I26G-21010</t>
  </si>
  <si>
    <t>HPBL4-NL-O26G-08865</t>
  </si>
  <si>
    <t>PIL-NL-I26G-21012</t>
  </si>
  <si>
    <t>HPBL4-NL-O26G-08866</t>
  </si>
  <si>
    <t>PIL-NL-I26G-20939</t>
  </si>
  <si>
    <t>HPBL4-NL-O26G-08867</t>
  </si>
  <si>
    <t>PIL-NL-I26G-20956</t>
  </si>
  <si>
    <t>HPBL4-NL-O26G-08868</t>
  </si>
  <si>
    <t>PIL-NL-I26G-20984</t>
  </si>
  <si>
    <t>HPBL4-NL-O26G-08869</t>
  </si>
  <si>
    <t>PIL-NL-I26G-21017</t>
  </si>
  <si>
    <t>HPBL4-NL-O26G-08870</t>
  </si>
  <si>
    <t>PIL-NL-I26G-21018</t>
  </si>
  <si>
    <t>HPBL4-NL-O26G-08871</t>
  </si>
  <si>
    <t>PIL-NL-I26G-21037</t>
  </si>
  <si>
    <t>HPBL4-NL-O26G-08872</t>
  </si>
  <si>
    <t>PIL-NL-I26G-21040</t>
  </si>
  <si>
    <t>HPBL4-NL-O26G-08873</t>
  </si>
  <si>
    <t>PIL-NL-I26G-21041</t>
  </si>
  <si>
    <t>HPBL4-NL-O26G-08874</t>
  </si>
  <si>
    <t>PIL-NL-I26G-21043</t>
  </si>
  <si>
    <t>HPBL4-NL-O26G-08875</t>
  </si>
  <si>
    <t>PIL-NL-I26G-21057</t>
  </si>
  <si>
    <t>HPBL4-NL-O26G-08876</t>
  </si>
  <si>
    <t>PIL-NL-I26G-20938</t>
  </si>
  <si>
    <t>HPBL4-NL-O26G-08877</t>
  </si>
  <si>
    <t>PIL-NL-I26G-20961</t>
  </si>
  <si>
    <t>HPBL4-NL-O26G-08878</t>
  </si>
  <si>
    <t>PIL-NL-I26G-21023</t>
  </si>
  <si>
    <t>HPBL4-NL-O26G-08879</t>
  </si>
  <si>
    <t>PIL-NL-I26G-21055</t>
  </si>
  <si>
    <t>HPBL4-NL-O26G-08880</t>
  </si>
  <si>
    <t>PIL-NL-I26G-21126</t>
  </si>
  <si>
    <t>HPBL4-NL-O26G-08881</t>
  </si>
  <si>
    <t>PIL-NL-I26G-21128</t>
  </si>
  <si>
    <t>HPBL4-NL-O26G-08882</t>
  </si>
  <si>
    <t>PIL-NL-I26G-21156</t>
  </si>
  <si>
    <t>HPBL4-NL-O26G-08883</t>
  </si>
  <si>
    <t>PIL-NL-I26G-21164</t>
  </si>
  <si>
    <t>HPBL4-NL-O26G-08884</t>
  </si>
  <si>
    <t>PIL-NL-I26G-21189</t>
  </si>
  <si>
    <t>HPBL4-NL-O26G-08885</t>
  </si>
  <si>
    <t>PIL-NL-I26G-21192</t>
  </si>
  <si>
    <t>HPBL4-NL-O26G-08886</t>
  </si>
  <si>
    <t>PIL-NL-I26G-21194</t>
  </si>
  <si>
    <t>HPBL4-NL-O26G-08887</t>
  </si>
  <si>
    <t>PIL-NL-I26G-21138</t>
  </si>
  <si>
    <t>HPBL4-NL-O26G-08888</t>
  </si>
  <si>
    <t>PIL-NL-I26G-21167</t>
  </si>
  <si>
    <t>HPBL4-NL-O26G-08889</t>
  </si>
  <si>
    <t>PIL-NL-I26G-20408</t>
  </si>
  <si>
    <t>HPBL4-NL-O26G-08890</t>
  </si>
  <si>
    <t>PIL-NL-I26G-21078</t>
  </si>
  <si>
    <t>HPBL4-NL-O26G-08891</t>
  </si>
  <si>
    <t>PIL-NL-I26G-21083</t>
  </si>
  <si>
    <t>HPBL4-NL-O26G-08892</t>
  </si>
  <si>
    <t>PIL-NL-I26G-21086</t>
  </si>
  <si>
    <t>HPBL4-NL-O26G-08893</t>
  </si>
  <si>
    <t>PIL-NL-I26G-21105</t>
  </si>
  <si>
    <t>HPBL4-NL-O26G-08894</t>
  </si>
  <si>
    <t>PIL-NL-I26G-21109</t>
  </si>
  <si>
    <t>HPBL4-NL-O26G-08895</t>
  </si>
  <si>
    <t>PIL-NL-I26G-21161</t>
  </si>
  <si>
    <t>HPBL4-NL-O26G-08896</t>
  </si>
  <si>
    <t>PIL-NL-I26G-21166</t>
  </si>
  <si>
    <t>HPBL4-NL-O26G-08897</t>
  </si>
  <si>
    <t>PIL-NL-I26G-21168</t>
  </si>
  <si>
    <t>HPBL4-NL-O26G-08898</t>
  </si>
  <si>
    <t>PIL-NL-I26G-21171</t>
  </si>
  <si>
    <t>HPBL4-NL-O26G-08899</t>
  </si>
  <si>
    <t>PIL-NL-I26G-21190</t>
  </si>
  <si>
    <t>HPBL4-NL-O26G-08900</t>
  </si>
  <si>
    <t>PIL-NL-I26G-21202</t>
  </si>
  <si>
    <t>HPBL4-NL-O26G-08901</t>
  </si>
  <si>
    <t>PIL-NL-I26G-21205</t>
  </si>
  <si>
    <t>HPBL4-NL-O26G-08902</t>
  </si>
  <si>
    <t>PIL-NL-I26G-21207</t>
  </si>
  <si>
    <t>HPBL4-NL-O26G-08903</t>
  </si>
  <si>
    <t>PIL-NL-I26G-20411</t>
  </si>
  <si>
    <t>HPBL4-NL-O26G-08904</t>
  </si>
  <si>
    <t>PIL-NL-I26G-21087</t>
  </si>
  <si>
    <t>HPBL4-NL-O26G-08905</t>
  </si>
  <si>
    <t>PIL-NL-I26G-21088</t>
  </si>
  <si>
    <t>HPBL4-NL-O26G-08906</t>
  </si>
  <si>
    <t>PIL-NL-I26G-21090</t>
  </si>
  <si>
    <t>HPBL4-NL-O26G-08907</t>
  </si>
  <si>
    <t>PIL-NL-I26G-21106</t>
  </si>
  <si>
    <t>HPBL4-NL-O26G-08908</t>
  </si>
  <si>
    <t>PIL-NL-I26G-21120</t>
  </si>
  <si>
    <t>HPBL4-NL-O26G-08909</t>
  </si>
  <si>
    <t>PIL-NL-I26G-21137</t>
  </si>
  <si>
    <t>HPBL4-NL-O26G-08910</t>
  </si>
  <si>
    <t>PIL-NL-I26G-20627</t>
  </si>
  <si>
    <t>HPBL4-NL-O26G-08911</t>
  </si>
  <si>
    <t>PIL-NL-I26G-20577</t>
  </si>
  <si>
    <t>HPBL4-NL-O26G-08912</t>
  </si>
  <si>
    <t>PIL-NL-I26G-20579</t>
  </si>
  <si>
    <t>HPBL4-NL-O26G-08913</t>
  </si>
  <si>
    <t>PIL-NL-I26G-21142</t>
  </si>
  <si>
    <t>HPBL4-NL-O26G-08914</t>
  </si>
  <si>
    <t>PIL-NL-I26G-21159</t>
  </si>
  <si>
    <t>HPBL4-NL-O26G-08915</t>
  </si>
  <si>
    <t>PIL-NL-I26G-21081</t>
  </si>
  <si>
    <t>HPBL4-NL-O26G-08916</t>
  </si>
  <si>
    <t>PIL-NL-I26G-21082</t>
  </si>
  <si>
    <t>HPBL4-NL-O26G-08917</t>
  </si>
  <si>
    <t>PIL-NL-I26G-21135</t>
  </si>
  <si>
    <t>HPBL4-NL-O26G-08918</t>
  </si>
  <si>
    <t>PIL-NL-I26G-21136</t>
  </si>
  <si>
    <t>HPBL4-NL-O26G-08919</t>
  </si>
  <si>
    <t>PIL-NL-I26G-21203</t>
  </si>
  <si>
    <t>HPBL4-NL-O26G-08920</t>
  </si>
  <si>
    <t>PIL-NL-I26G-21206</t>
  </si>
  <si>
    <t>HPBL4-NL-O26G-08921</t>
  </si>
  <si>
    <t>PIL-NL-I26G-21079</t>
  </si>
  <si>
    <t>HPBL4-NL-O26G-08922</t>
  </si>
  <si>
    <t>PIL-NL-I26G-21085</t>
  </si>
  <si>
    <t>HPBL4-NL-O26G-08923</t>
  </si>
  <si>
    <t>PIL-NL-I26G-21089</t>
  </si>
  <si>
    <t>HPBL4-NL-O26G-08924</t>
  </si>
  <si>
    <t>PIL-NL-I26G-21111</t>
  </si>
  <si>
    <t>HPBL4-NL-O26G-08925</t>
  </si>
  <si>
    <t>PIL-NL-I26G-21122</t>
  </si>
  <si>
    <t>HPBL4-NL-O26G-08926</t>
  </si>
  <si>
    <t>PIL-NL-I26G-21158</t>
  </si>
  <si>
    <t>HPBL4-NL-O26G-08927</t>
  </si>
  <si>
    <t>PIL-NL-I26G-21160</t>
  </si>
  <si>
    <t>HPBL4-NL-O26G-08928</t>
  </si>
  <si>
    <t>PIL-NL-I26G-20494</t>
  </si>
  <si>
    <t>HPBL4-NL-O26G-08929</t>
  </si>
  <si>
    <t>PIL-NL-I26G-21080</t>
  </si>
  <si>
    <t>HPBL4-NL-O26G-08930</t>
  </si>
  <si>
    <t>PIL-NL-I26G-21204</t>
  </si>
  <si>
    <t>HPBL4-NL-O26G-08931</t>
  </si>
  <si>
    <t>PIL-NL-I26G-20493</t>
  </si>
  <si>
    <t>HPBL4-NL-O26G-08932</t>
  </si>
  <si>
    <t>PIL-NL-I26G-20628</t>
  </si>
  <si>
    <t>HPBL4-NL-O26G-08933</t>
  </si>
  <si>
    <t>PIL-NL-I26G-20701</t>
  </si>
  <si>
    <t>HPBL4-NL-O26G-08934</t>
  </si>
  <si>
    <t>PIL-NL-I26G-21108</t>
  </si>
  <si>
    <t>HPBL4-NL-O26G-08935</t>
  </si>
  <si>
    <t>PIL-NL-I26G-21110</t>
  </si>
  <si>
    <t>HPBL4-NL-O26G-08936</t>
  </si>
  <si>
    <t>PIL-NL-I26G-21123</t>
  </si>
  <si>
    <t>HPBL4-NL-O26G-08937</t>
  </si>
  <si>
    <t>PIL-NL-I26G-21125</t>
  </si>
  <si>
    <t>HPBL4-NL-O26G-08938</t>
  </si>
  <si>
    <t>PIL-NL-I26G-21127</t>
  </si>
  <si>
    <t>HPBL4-NL-O26G-08939</t>
  </si>
  <si>
    <t>PIL-NL-I26G-21155</t>
  </si>
  <si>
    <t>HPBL4-NL-O26G-08940</t>
  </si>
  <si>
    <t>PIL-NL-I26G-21157</t>
  </si>
  <si>
    <t>HPBL4-NL-O26G-08941</t>
  </si>
  <si>
    <t>PIL-NL-I26G-21165</t>
  </si>
  <si>
    <t>HPBL4-NL-O26G-08942</t>
  </si>
  <si>
    <t>PIL-NL-I26G-21191</t>
  </si>
  <si>
    <t>HPBL4-NL-O26G-08943</t>
  </si>
  <si>
    <t>PIL-NL-I26G-21193</t>
  </si>
  <si>
    <t>HPBL4-NL-O26G-08944</t>
  </si>
  <si>
    <t>PIL-NL-I26G-21208</t>
  </si>
  <si>
    <t>HPBL4-NL-O26G-08945</t>
  </si>
  <si>
    <t>PIL-NL-I26G-20670</t>
  </si>
  <si>
    <t>HPBL4-NL-O26G-08946</t>
  </si>
  <si>
    <t>PIL-NL-I26G-21215</t>
  </si>
  <si>
    <t>HPBL4-NL-O26G-08947</t>
  </si>
  <si>
    <t>PIL-NL-I26G-21256</t>
  </si>
  <si>
    <t>HPBL4-NL-O26G-08948</t>
  </si>
  <si>
    <t>PIL-NL-I26G-21271</t>
  </si>
  <si>
    <t>HPBL4-NL-O26G-08949</t>
  </si>
  <si>
    <t>PIL-NL-I26G-21305</t>
  </si>
  <si>
    <t>HPBL4-NL-O26G-08950</t>
  </si>
  <si>
    <t>PIL-NL-I26G-21307</t>
  </si>
  <si>
    <t>HPBL4-NL-O26G-08951</t>
  </si>
  <si>
    <t>PIL-NL-I26G-21328</t>
  </si>
  <si>
    <t>HPBL4-NL-O26G-08952</t>
  </si>
  <si>
    <t>PIL-NL-I26G-21233</t>
  </si>
  <si>
    <t>HPBL4-NL-O26G-08953</t>
  </si>
  <si>
    <t>PIL-NL-I26G-21234</t>
  </si>
  <si>
    <t>HPBL4-NL-O26G-08954</t>
  </si>
  <si>
    <t>PIL-NL-I26G-21302</t>
  </si>
  <si>
    <t>HPBL4-NL-O26G-08955</t>
  </si>
  <si>
    <t>PIL-NL-I26G-21362</t>
  </si>
  <si>
    <t>HPBL4-NL-O26G-08956</t>
  </si>
  <si>
    <t>PIL-NL-I26G-21229</t>
  </si>
  <si>
    <t>HPBL4-NL-O26G-08957</t>
  </si>
  <si>
    <t>PIL-NL-I26G-21284</t>
  </si>
  <si>
    <t>HPBL4-NL-O26G-08958</t>
  </si>
  <si>
    <t>PIL-NL-I26G-21299</t>
  </si>
  <si>
    <t>HPBL4-NL-O26G-08959</t>
  </si>
  <si>
    <t>PIL-NL-I26G-21304</t>
  </si>
  <si>
    <t>HPBL4-NL-O26G-08960</t>
  </si>
  <si>
    <t>PIL-NL-I26G-21306</t>
  </si>
  <si>
    <t>HPBL4-NL-O26G-08961</t>
  </si>
  <si>
    <t>PIL-NL-I26G-21329</t>
  </si>
  <si>
    <t>HPBL4-NL-O26G-08962</t>
  </si>
  <si>
    <t>PIL-NL-I26G-21235</t>
  </si>
  <si>
    <t>HPBL4-NL-O26G-08963</t>
  </si>
  <si>
    <t>PIL-NL-I26G-21236</t>
  </si>
  <si>
    <t>HPBL4-NL-O26G-08964</t>
  </si>
  <si>
    <t>PIL-NL-I26G-21276</t>
  </si>
  <si>
    <t>HPBL4-NL-O26G-08965</t>
  </si>
  <si>
    <t>PIL-NL-I26G-21286</t>
  </si>
  <si>
    <t>HPBL4-NL-O26G-08966</t>
  </si>
  <si>
    <t>PIL-NL-I26G-21344</t>
  </si>
  <si>
    <t>HPBL4-NL-O26G-08967</t>
  </si>
  <si>
    <t>PIL-NL-I26G-21258</t>
  </si>
  <si>
    <t>HPBL4-NL-O26G-08968</t>
  </si>
  <si>
    <t>PIL-NL-I26G-21326</t>
  </si>
  <si>
    <t>HPBL4-NL-O26G-08969</t>
  </si>
  <si>
    <t>PIL-NL-I26G-21346</t>
  </si>
  <si>
    <t>HPBL4-NL-O26G-08970</t>
  </si>
  <si>
    <t>PIL-NL-I26G-21348</t>
  </si>
  <si>
    <t>HPBL4-NL-O26G-08971</t>
  </si>
  <si>
    <t>PIL-NL-I26G-21228</t>
  </si>
  <si>
    <t>HPBL4-NL-O26G-08972</t>
  </si>
  <si>
    <t>PIL-NL-I26G-21257</t>
  </si>
  <si>
    <t>HPBL4-NL-O26G-08973</t>
  </si>
  <si>
    <t>PIL-NL-I26G-21308</t>
  </si>
  <si>
    <t>HPBL4-NL-O26G-08974</t>
  </si>
  <si>
    <t>PIL-NL-I26G-21327</t>
  </si>
  <si>
    <t>HPBL4-NL-O26G-08975</t>
  </si>
  <si>
    <t>PIL-NL-I26G-21330</t>
  </si>
  <si>
    <t>HPBL4-NL-O26G-08976</t>
  </si>
  <si>
    <t>PIL-NL-I26G-21345</t>
  </si>
  <si>
    <t>HPBL4-NL-O26G-08977</t>
  </si>
  <si>
    <t>PIL-NL-I26G-21349</t>
  </si>
  <si>
    <t>HPBL4-NL-O26G-08978</t>
  </si>
  <si>
    <t>PIL-NL-I26G-21300</t>
  </si>
  <si>
    <t>HPBL4-NL-O26G-08979</t>
  </si>
  <si>
    <t>PIL-NL-I26G-21356</t>
  </si>
  <si>
    <t>HPBL4-NL-O26G-08980</t>
  </si>
  <si>
    <t>PIL-NL-I26G-21358</t>
  </si>
  <si>
    <t>HPBL4-NL-O26G-08981</t>
  </si>
  <si>
    <t>PIL-NL-I26G-21225</t>
  </si>
  <si>
    <t>HPBL4-NL-O26G-08982</t>
  </si>
  <si>
    <t>PIL-NL-I26G-21227</t>
  </si>
  <si>
    <t>HPBL4-NL-O26G-08983</t>
  </si>
  <si>
    <t>PIL-NL-I26G-21231</t>
  </si>
  <si>
    <t>HPBL4-NL-O26G-08984</t>
  </si>
  <si>
    <t>PIL-NL-I26G-21273</t>
  </si>
  <si>
    <t>HPBL4-NL-O26G-08985</t>
  </si>
  <si>
    <t>PIL-NL-I26G-21226</t>
  </si>
  <si>
    <t>HPBL4-NL-O26G-08986</t>
  </si>
  <si>
    <t>PIL-NL-I26G-21232</t>
  </si>
  <si>
    <t>HPBL4-NL-O26G-08987</t>
  </si>
  <si>
    <t>PIL-NL-I26G-21255</t>
  </si>
  <si>
    <t>HPBL4-NL-O26G-08988</t>
  </si>
  <si>
    <t>PIL-NL-I26G-21272</t>
  </si>
  <si>
    <t>HPBL4-NL-O26G-08989</t>
  </si>
  <si>
    <t>PIL-NL-I26G-21283</t>
  </si>
  <si>
    <t>HPBL4-NL-O26G-08990</t>
  </si>
  <si>
    <t>PIL-NL-I26G-21301</t>
  </si>
  <si>
    <t>HPBL4-NL-O26G-08991</t>
  </si>
  <si>
    <t>PIL-NL-I26G-21347</t>
  </si>
  <si>
    <t>HPBL4-NL-O26G-08992</t>
  </si>
  <si>
    <t>PIL-NL-I26G-21357</t>
  </si>
  <si>
    <t>HPBL4-NL-O26G-08993</t>
  </si>
  <si>
    <t>PIL-NL-I26G-21360</t>
  </si>
  <si>
    <t>HPBL4-NL-O26G-08994</t>
  </si>
  <si>
    <t>PIL-NL-I26G-21224</t>
  </si>
  <si>
    <t>HPBL4-NL-O26G-08995</t>
  </si>
  <si>
    <t>PIL-NL-I26G-21298</t>
  </si>
  <si>
    <t>HPBL4-NL-O26G-08996</t>
  </si>
  <si>
    <t>PIL-NL-I26G-21423</t>
  </si>
  <si>
    <t>HPBL4-NL-O26G-08997</t>
  </si>
  <si>
    <t>PIL-NL-I26G-21446</t>
  </si>
  <si>
    <t>HPBL4-NL-O26G-08998</t>
  </si>
  <si>
    <t>PIL-NL-I26G-21422</t>
  </si>
  <si>
    <t>HPBL4-NL-O26G-08999</t>
  </si>
  <si>
    <t>PIL-NL-I26G-21445</t>
  </si>
  <si>
    <t>HPBL4-NL-O26G-09000</t>
  </si>
  <si>
    <t>PIL-NL-I26G-21449</t>
  </si>
  <si>
    <t>HPBL4-NL-O26G-09001</t>
  </si>
  <si>
    <t>PIL-NL-I26G-21452</t>
  </si>
  <si>
    <t>HPBL4-NL-O26G-09002</t>
  </si>
  <si>
    <t>PIL-NL-I26G-21474</t>
  </si>
  <si>
    <t>HPBL4-NL-O26G-09003</t>
  </si>
  <si>
    <t>PIL-NL-I26G-21378</t>
  </si>
  <si>
    <t>HPBL4-NL-O26G-09004</t>
  </si>
  <si>
    <t>PIL-NL-I26G-21379</t>
  </si>
  <si>
    <t>HPBL4-NL-O26G-09005</t>
  </si>
  <si>
    <t>PIL-NL-I26G-21401</t>
  </si>
  <si>
    <t>HPBL4-NL-O26G-09006</t>
  </si>
  <si>
    <t>PIL-NL-I26G-21404</t>
  </si>
  <si>
    <t>HPBL4-NL-O26G-09007</t>
  </si>
  <si>
    <t>PIL-NL-I26G-21453</t>
  </si>
  <si>
    <t>HPBL4-NL-O26G-09008</t>
  </si>
  <si>
    <t>PIL-NL-I26G-21476</t>
  </si>
  <si>
    <t>HPBL4-NL-O26G-09009</t>
  </si>
  <si>
    <t>PIL-NL-I26G-21488</t>
  </si>
  <si>
    <t>HPBL4-NL-O26G-09010</t>
  </si>
  <si>
    <t>PIL-NL-I26G-21489</t>
  </si>
  <si>
    <t>HPBL4-NL-O26G-09011</t>
  </si>
  <si>
    <t>PIL-NL-I26G-21383</t>
  </si>
  <si>
    <t>HPBL4-NL-O26G-09012</t>
  </si>
  <si>
    <t>PIL-NL-I26G-21419</t>
  </si>
  <si>
    <t>HPBL4-NL-O26G-09013</t>
  </si>
  <si>
    <t>PIL-NL-I26G-21421</t>
  </si>
  <si>
    <t>HPBL4-NL-O26G-09014</t>
  </si>
  <si>
    <t>PIL-NL-I26G-21442</t>
  </si>
  <si>
    <t>HPBL4-NL-O26G-09015</t>
  </si>
  <si>
    <t>PIL-NL-I26G-21444</t>
  </si>
  <si>
    <t>HPBL4-NL-O26G-09016</t>
  </si>
  <si>
    <t>PIL-NL-I26G-21471</t>
  </si>
  <si>
    <t>HPBL4-NL-O26G-09017</t>
  </si>
  <si>
    <t>PIL-NL-I26G-21490</t>
  </si>
  <si>
    <t>HPBL4-NL-O26G-09018</t>
  </si>
  <si>
    <t>PIL-NL-I26G-21375</t>
  </si>
  <si>
    <t>HPBL4-NL-O26G-09019</t>
  </si>
  <si>
    <t>PIL-NL-I26G-21417</t>
  </si>
  <si>
    <t>HPBL4-NL-O26G-09020</t>
  </si>
  <si>
    <t>PIL-NL-I26G-21447</t>
  </si>
  <si>
    <t>HPBL4-NL-O26G-09021</t>
  </si>
  <si>
    <t>PIL-NL-I26G-21450</t>
  </si>
  <si>
    <t>HPBL4-NL-O26G-09022</t>
  </si>
  <si>
    <t>PIL-NL-I26G-21472</t>
  </si>
  <si>
    <t>HPBL4-NL-O26G-09023</t>
  </si>
  <si>
    <t>PIL-NL-I26G-21492</t>
  </si>
  <si>
    <t>HPBL4-NL-O26G-09024</t>
  </si>
  <si>
    <t>PIL-NL-I26G-21376</t>
  </si>
  <si>
    <t>HPBL4-NL-O26G-09025</t>
  </si>
  <si>
    <t>PIL-NL-I26G-21377</t>
  </si>
  <si>
    <t>HPBL4-NL-O26G-09026</t>
  </si>
  <si>
    <t>PIL-NL-I26G-21380</t>
  </si>
  <si>
    <t>HPBL4-NL-O26G-09027</t>
  </si>
  <si>
    <t>PIL-NL-I26G-21381</t>
  </si>
  <si>
    <t>HPBL4-NL-O26G-09028</t>
  </si>
  <si>
    <t>PIL-NL-I26G-21402</t>
  </si>
  <si>
    <t>HPBL4-NL-O26G-09029</t>
  </si>
  <si>
    <t>PIL-NL-I26G-21403</t>
  </si>
  <si>
    <t>HPBL4-NL-O26G-09030</t>
  </si>
  <si>
    <t>PIL-NL-I26G-21429</t>
  </si>
  <si>
    <t>HPBL4-NL-O26G-09031</t>
  </si>
  <si>
    <t>PIL-NL-I26G-21431</t>
  </si>
  <si>
    <t>HPBL4-NL-O26G-09032</t>
  </si>
  <si>
    <t>PIL-NL-I26G-21432</t>
  </si>
  <si>
    <t>HPBL4-NL-O26G-09033</t>
  </si>
  <si>
    <t>PIL-NL-I26G-21487</t>
  </si>
  <si>
    <t>HPBL4-NL-O26G-09034</t>
  </si>
  <si>
    <t>PIL-NL-I26G-21498</t>
  </si>
  <si>
    <t>HPBL4-NL-O26G-09035</t>
  </si>
  <si>
    <t>PIL-NL-I26G-21382</t>
  </si>
  <si>
    <t>HPBL4-NL-O26G-09036</t>
  </si>
  <si>
    <t>PIL-NL-I26G-21384</t>
  </si>
  <si>
    <t>HPBL4-NL-O26G-09037</t>
  </si>
  <si>
    <t>PIL-NL-I26G-21418</t>
  </si>
  <si>
    <t>HPBL4-NL-O26G-09038</t>
  </si>
  <si>
    <t>PIL-NL-I26G-21420</t>
  </si>
  <si>
    <t>HPBL4-NL-O26G-09039</t>
  </si>
  <si>
    <t>PIL-NL-I26G-21443</t>
  </si>
  <si>
    <t>HPBL4-NL-O26G-09040</t>
  </si>
  <si>
    <t>PIL-NL-I26G-21473</t>
  </si>
  <si>
    <t>HPBL4-NL-O26G-09041</t>
  </si>
  <si>
    <t>PIL-NL-I26G-21491</t>
  </si>
  <si>
    <t>HPBL4-NL-O26G-09042</t>
  </si>
  <si>
    <t>PIL-NL-I26G-21372</t>
  </si>
  <si>
    <t>HPBL4-NL-O26G-09043</t>
  </si>
  <si>
    <t>PIL-NL-I26G-21374</t>
  </si>
  <si>
    <t>HPBL4-NL-O26G-09044</t>
  </si>
  <si>
    <t>PIL-NL-I26G-21400</t>
  </si>
  <si>
    <t>HPBL4-NL-O26G-09045</t>
  </si>
  <si>
    <t>PIL-NL-I26G-21416</t>
  </si>
  <si>
    <t>HPBL4-NL-O26G-09046</t>
  </si>
  <si>
    <t>PIL-NL-I26G-21428</t>
  </si>
  <si>
    <t>HPBL4-NL-O26G-09047</t>
  </si>
  <si>
    <t>PIL-NL-I26G-21451</t>
  </si>
  <si>
    <t>HPBL4-NL-O26G-09048</t>
  </si>
  <si>
    <t>PIL-NL-I26G-21475</t>
  </si>
  <si>
    <t>HPBL4-NL-O26G-09049</t>
  </si>
  <si>
    <t>PIL-NL-I26G-21477</t>
  </si>
  <si>
    <t>HPBL4-NL-O26G-09050</t>
  </si>
  <si>
    <t>PIL-NL-I26G-21504</t>
  </si>
  <si>
    <t>HPBL4-NL-O26G-09051</t>
  </si>
  <si>
    <t>PIL-NL-I26G-21510</t>
  </si>
  <si>
    <t>HPBL4-NL-O26G-09052</t>
  </si>
  <si>
    <t>PIL-NL-I26G-21523</t>
  </si>
  <si>
    <t>HPBL4-NL-O26G-09053</t>
  </si>
  <si>
    <t>PIL-NL-I26G-21524</t>
  </si>
  <si>
    <t>HPBL4-NL-O26G-09054</t>
  </si>
  <si>
    <t>PIL-NL-I26G-21530</t>
  </si>
  <si>
    <t>HPBL4-NL-O26G-09055</t>
  </si>
  <si>
    <t>PIL-NL-I26G-21567</t>
  </si>
  <si>
    <t>HPBL4-NL-O26G-09056</t>
  </si>
  <si>
    <t>PIL-NL-I26G-21577</t>
  </si>
  <si>
    <t>HPBL4-NL-O26G-09057</t>
  </si>
  <si>
    <t>PIL-NL-I26G-21582</t>
  </si>
  <si>
    <t>HPBL4-NL-O26G-09058</t>
  </si>
  <si>
    <t>PIL-NL-I26G-21634</t>
  </si>
  <si>
    <t>HPBL4-NL-O26G-09059</t>
  </si>
  <si>
    <t>PIL-NL-I26G-20876</t>
  </si>
  <si>
    <t>HPBL4-NL-O26G-09060</t>
  </si>
  <si>
    <t>PIL-NL-I26G-21502</t>
  </si>
  <si>
    <t>HPBL4-NL-O26G-09061</t>
  </si>
  <si>
    <t>PIL-NL-I26G-21516</t>
  </si>
  <si>
    <t>HPBL4-NL-O26G-09062</t>
  </si>
  <si>
    <t>PIL-NL-I26G-21519</t>
  </si>
  <si>
    <t>HPBL4-NL-O26G-09063</t>
  </si>
  <si>
    <t>PIL-NL-I26G-21542</t>
  </si>
  <si>
    <t>HPBL4-NL-O26G-09064</t>
  </si>
  <si>
    <t>PIL-NL-I26G-21549</t>
  </si>
  <si>
    <t>HPBL4-NL-O26G-09065</t>
  </si>
  <si>
    <t>PIL-NL-I26G-21594</t>
  </si>
  <si>
    <t>HPBL4-NL-O26G-09066</t>
  </si>
  <si>
    <t>PIL-NL-I26G-21597</t>
  </si>
  <si>
    <t>HPBL4-NL-O26G-09067</t>
  </si>
  <si>
    <t>PIL-NL-I26G-21604</t>
  </si>
  <si>
    <t>HPBL4-NL-O26G-09068</t>
  </si>
  <si>
    <t>PIL-NL-I26G-21512</t>
  </si>
  <si>
    <t>HPBL4-NL-O26G-09069</t>
  </si>
  <si>
    <t>PIL-NL-I26G-20584</t>
  </si>
  <si>
    <t>HPBL4-NL-O26G-09070</t>
  </si>
  <si>
    <t>PIL-NL-I26G-20877</t>
  </si>
  <si>
    <t>HPBL4-NL-O26G-09071</t>
  </si>
  <si>
    <t>PIL-NL-I26G-21500</t>
  </si>
  <si>
    <t>HPBL4-NL-O26G-09072</t>
  </si>
  <si>
    <t>PIL-NL-I26G-21515</t>
  </si>
  <si>
    <t>HPBL4-NL-O26G-09073</t>
  </si>
  <si>
    <t>PIL-NL-I26G-21525</t>
  </si>
  <si>
    <t>HPBL4-NL-O26G-09074</t>
  </si>
  <si>
    <t>PIL-NL-I26G-21569</t>
  </si>
  <si>
    <t>HPBL4-NL-O26G-09075</t>
  </si>
  <si>
    <t>PIL-NL-I26G-21570</t>
  </si>
  <si>
    <t>HPBL4-NL-O26G-09076</t>
  </si>
  <si>
    <t>PIL-NL-I26G-21593</t>
  </si>
  <si>
    <t>HPBL4-NL-O26G-09077</t>
  </si>
  <si>
    <t>PIL-NL-I26G-21599</t>
  </si>
  <si>
    <t>HPBL4-NL-O26G-09078</t>
  </si>
  <si>
    <t>PIL-NL-I26G-21614</t>
  </si>
  <si>
    <t>HPBL4-NL-O26G-09079</t>
  </si>
  <si>
    <t>PIL-NL-I26G-20524</t>
  </si>
  <si>
    <t>HPBL4-NL-O26G-09080</t>
  </si>
  <si>
    <t>PIL-NL-I26G-21499</t>
  </si>
  <si>
    <t>HPBL4-NL-O26G-09081</t>
  </si>
  <si>
    <t>PIL-NL-I26G-21511</t>
  </si>
  <si>
    <t>HPBL4-NL-O26G-09082</t>
  </si>
  <si>
    <t>PIL-NL-I26G-21517</t>
  </si>
  <si>
    <t>HPBL4-NL-O26G-09083</t>
  </si>
  <si>
    <t>PIL-NL-I26G-21541</t>
  </si>
  <si>
    <t>HPBL4-NL-O26G-09084</t>
  </si>
  <si>
    <t>PIL-NL-I26G-21543</t>
  </si>
  <si>
    <t>HPBL4-NL-O26G-09085</t>
  </si>
  <si>
    <t>PIL-NL-I26G-21595</t>
  </si>
  <si>
    <t>HPBL4-NL-O26G-09086</t>
  </si>
  <si>
    <t>PIL-NL-I26G-20800</t>
  </si>
  <si>
    <t>HPBL4-NL-O26G-09087</t>
  </si>
  <si>
    <t>PIL-NL-I26G-21509</t>
  </si>
  <si>
    <t>HPBL4-NL-O26G-09088</t>
  </si>
  <si>
    <t>PIL-NL-I26G-21590</t>
  </si>
  <si>
    <t>HPBL4-NL-O26G-09089</t>
  </si>
  <si>
    <t>PIL-NL-I26G-21630</t>
  </si>
  <si>
    <t>HPBL4-NL-O26G-09090</t>
  </si>
  <si>
    <t>PIL-NL-I26G-20801</t>
  </si>
  <si>
    <t>HPBL4-NL-O26G-09091</t>
  </si>
  <si>
    <t>PIL-NL-I26G-21513</t>
  </si>
  <si>
    <t>HPBL4-NL-O26G-09092</t>
  </si>
  <si>
    <t>PIL-NL-I26G-21561</t>
  </si>
  <si>
    <t>HPBL4-NL-O26G-09093</t>
  </si>
  <si>
    <t>PIL-NL-I26G-21578</t>
  </si>
  <si>
    <t>HPBL4-NL-O26G-09094</t>
  </si>
  <si>
    <t>PIL-NL-I26G-21579</t>
  </si>
  <si>
    <t>HPBL4-NL-O26G-09095</t>
  </si>
  <si>
    <t>PIL-NL-I26G-21589</t>
  </si>
  <si>
    <t>5/50 BLUE-288C/YELLOW</t>
  </si>
  <si>
    <t>HPBL4-NL-O26G-09096</t>
  </si>
  <si>
    <t>PIL-NL-I26G-21632</t>
  </si>
  <si>
    <t>HPBL4-NL-O26G-09097</t>
  </si>
  <si>
    <t>PIL-NL-I26G-21539</t>
  </si>
  <si>
    <t>HPBL4-NL-O26G-09098</t>
  </si>
  <si>
    <t>PIL-NL-I26G-21568</t>
  </si>
  <si>
    <t>HPBL4-NL-O26G-09099</t>
  </si>
  <si>
    <t>PIL-NL-I26G-21574</t>
  </si>
  <si>
    <t>HPBL4-NL-O26G-09100</t>
  </si>
  <si>
    <t>PIL-NL-I26G-21576</t>
  </si>
  <si>
    <t>HPBL4-NL-O26G-09101</t>
  </si>
  <si>
    <t>PIL-NL-I26G-21588</t>
  </si>
  <si>
    <t>HPBL4-NL-O26G-09102</t>
  </si>
  <si>
    <t>PIL-NL-I26G-21591</t>
  </si>
  <si>
    <t>HPBL4-NL-O26G-09103</t>
  </si>
  <si>
    <t>PIL-NL-I26G-21596</t>
  </si>
  <si>
    <t>HPBL4-NL-O26G-09104</t>
  </si>
  <si>
    <t>PIL-NL-I26G-21607</t>
  </si>
  <si>
    <t>HPBL4-NL-O26G-09105</t>
  </si>
  <si>
    <t>PIL-NL-I26G-21613</t>
  </si>
  <si>
    <t>HPBL4-NL-O26G-09106</t>
  </si>
  <si>
    <t>PIL-NL-I26G-21629</t>
  </si>
  <si>
    <t>HPBL4-NL-O26G-09107</t>
  </si>
  <si>
    <t>PIL-NL-I26G-21631</t>
  </si>
  <si>
    <t>HPBL4-NL-O26G-09108</t>
  </si>
  <si>
    <t>PIL-NL-I26G-21501</t>
  </si>
  <si>
    <t>HPBL4-NL-O26G-09109</t>
  </si>
  <si>
    <t>PIL-NL-I26G-21503</t>
  </si>
  <si>
    <t>HPBL4-NL-O26G-09110</t>
  </si>
  <si>
    <t>PIL-NL-I26G-21514</t>
  </si>
  <si>
    <t>HPBL4-NL-O26G-09111</t>
  </si>
  <si>
    <t>PIL-NL-I26G-21518</t>
  </si>
  <si>
    <t>HPBL4-NL-O26G-09112</t>
  </si>
  <si>
    <t>PIL-NL-I26G-21520</t>
  </si>
  <si>
    <t>HPBL4-NL-O26G-09113</t>
  </si>
  <si>
    <t>PIL-NL-I26G-21526</t>
  </si>
  <si>
    <t>HPBL4-NL-O26G-09114</t>
  </si>
  <si>
    <t>PIL-NL-I26G-21540</t>
  </si>
  <si>
    <t>HPBL4-NL-O26G-09115</t>
  </si>
  <si>
    <t>PIL-NL-I26G-21592</t>
  </si>
  <si>
    <t>HPBL4-NL-O26G-09116</t>
  </si>
  <si>
    <t>PIL-NL-I26G-21598</t>
  </si>
  <si>
    <t>HPBL4-NL-O26G-09117</t>
  </si>
  <si>
    <t>PIL-NL-I26G-21603</t>
  </si>
  <si>
    <t>HPBL4-NL-O26G-09118</t>
  </si>
  <si>
    <t>PIL-NL-I26G-21605</t>
  </si>
  <si>
    <t>HPBL4-NL-O26G-09119</t>
  </si>
  <si>
    <t>PIL-NL-I26G-21627</t>
  </si>
  <si>
    <t>HPBL4-NL-O26G-09120</t>
  </si>
  <si>
    <t>PIL-NL-I26G-21685</t>
  </si>
  <si>
    <t>HPBL4-NL-O26G-09121</t>
  </si>
  <si>
    <t>PIL-NL-I26G-21700</t>
  </si>
  <si>
    <t>HPBL4-NL-O26G-09122</t>
  </si>
  <si>
    <t>PIL-NL-I26G-21702</t>
  </si>
  <si>
    <t>HPBL4-NL-O26G-09123</t>
  </si>
  <si>
    <t>PIL-NL-I26G-21750</t>
  </si>
  <si>
    <t>HPBL4-NL-O26G-09124</t>
  </si>
  <si>
    <t>PIL-NL-I26G-21757</t>
  </si>
  <si>
    <t>HPBL4-NL-O26G-09125</t>
  </si>
  <si>
    <t>PIL-NL-I26G-21689</t>
  </si>
  <si>
    <t>HPBL4-NL-O26G-09126</t>
  </si>
  <si>
    <t>PIL-NL-I26G-21704</t>
  </si>
  <si>
    <t>HPBL4-NL-O26G-09127</t>
  </si>
  <si>
    <t>PIL-NL-I26G-21719</t>
  </si>
  <si>
    <t>HPBL4-NL-O26G-09128</t>
  </si>
  <si>
    <t>PIL-NL-I26G-21729</t>
  </si>
  <si>
    <t>HPBL4-NL-O26G-09129</t>
  </si>
  <si>
    <t>PIL-NL-I26G-21731</t>
  </si>
  <si>
    <t>HPBL4-NL-O26G-09130</t>
  </si>
  <si>
    <t>PIL-NL-I26G-21733</t>
  </si>
  <si>
    <t>HPBL4-NL-O26G-09131</t>
  </si>
  <si>
    <t>PIL-NL-I26G-21741</t>
  </si>
  <si>
    <t>HPBL4-NL-O26G-09132</t>
  </si>
  <si>
    <t>PIL-NL-I26G-21710</t>
  </si>
  <si>
    <t>HPBL4-NL-O26G-09133</t>
  </si>
  <si>
    <t>PIL-NL-I26G-21694</t>
  </si>
  <si>
    <t>HPBL4-NL-O26G-09134</t>
  </si>
  <si>
    <t>PIL-NL-I26G-21695</t>
  </si>
  <si>
    <t>HPBL4-NL-O26G-09135</t>
  </si>
  <si>
    <t>PIL-NL-I26G-21671</t>
  </si>
  <si>
    <t>HPBL4-NL-O26G-09136</t>
  </si>
  <si>
    <t>PIL-NL-I26G-21687</t>
  </si>
  <si>
    <t>HPBL4-NL-O26G-09137</t>
  </si>
  <si>
    <t>PIL-NL-I26G-21698</t>
  </si>
  <si>
    <t>HPBL4-NL-O26G-09138</t>
  </si>
  <si>
    <t>PIL-NL-I26G-21728</t>
  </si>
  <si>
    <t>HPBL4-NL-O26G-09139</t>
  </si>
  <si>
    <t>PIL-NL-I26G-21682</t>
  </si>
  <si>
    <t>HPBL4-NL-O26G-09140</t>
  </si>
  <si>
    <t>PIL-NL-I26G-21684</t>
  </si>
  <si>
    <t>HPBL4-NL-O26G-09141</t>
  </si>
  <si>
    <t>PIL-NL-I26G-21714</t>
  </si>
  <si>
    <t>HPBL4-NL-O26G-09142</t>
  </si>
  <si>
    <t>PIL-NL-I26G-21730</t>
  </si>
  <si>
    <t>HPBL4-NL-O26G-09143</t>
  </si>
  <si>
    <t>PIL-NL-I26G-21648</t>
  </si>
  <si>
    <t>HPBL4-NL-O26G-09144</t>
  </si>
  <si>
    <t>PIL-NL-I26G-21658</t>
  </si>
  <si>
    <t>HPBL4-NL-O26G-09145</t>
  </si>
  <si>
    <t>PIL-NL-I26G-21686</t>
  </si>
  <si>
    <t>HPBL4-NL-O26G-09146</t>
  </si>
  <si>
    <t>PIL-NL-I26G-21688</t>
  </si>
  <si>
    <t>HPBL4-NL-O26G-09147</t>
  </si>
  <si>
    <t>PIL-NL-I26G-21703</t>
  </si>
  <si>
    <t>HPBL4-NL-O26G-09148</t>
  </si>
  <si>
    <t>PIL-NL-I26G-21705</t>
  </si>
  <si>
    <t>HPBL4-NL-O26G-09149</t>
  </si>
  <si>
    <t>PIL-NL-I26G-21732</t>
  </si>
  <si>
    <t>HPBL4-NL-O26G-09150</t>
  </si>
  <si>
    <t>PIL-NL-I26G-21690</t>
  </si>
  <si>
    <t>HPBL4-NL-O26G-09151</t>
  </si>
  <si>
    <t>PIL-NL-I26G-21699</t>
  </si>
  <si>
    <t>HPBL4-NL-O26G-09152</t>
  </si>
  <si>
    <t>PIL-NL-I26G-21701</t>
  </si>
  <si>
    <t>HPBL4-NL-O26G-09153</t>
  </si>
  <si>
    <t>PIL-NL-I26G-21720</t>
  </si>
  <si>
    <t>HPBL4-NL-O26G-09154</t>
  </si>
  <si>
    <t>PIL-NL-I26G-21769</t>
  </si>
  <si>
    <t>HPBL4-NL-O26G-09155</t>
  </si>
  <si>
    <t>PIL-NL-I26G-21770</t>
  </si>
  <si>
    <t>HPBL4-NL-O26G-09156</t>
  </si>
  <si>
    <t>PIL-NL-I26G-21785</t>
  </si>
  <si>
    <t>HPBL4-NL-O26G-09157</t>
  </si>
  <si>
    <t>PIL-NL-I26G-21795</t>
  </si>
  <si>
    <t>HPBL4-NL-O26G-09158</t>
  </si>
  <si>
    <t>PIL-NL-I26G-21856</t>
  </si>
  <si>
    <t>HPBL4-NL-O26G-09159</t>
  </si>
  <si>
    <t>PIL-NL-I26G-21889</t>
  </si>
  <si>
    <t>HPBL4-NL-O26G-09160</t>
  </si>
  <si>
    <t>PIL-NL-I26G-21897</t>
  </si>
  <si>
    <t>HPBL4-NL-O26G-09161</t>
  </si>
  <si>
    <t>PIL-NL-I26G-21832</t>
  </si>
  <si>
    <t>HPBL4-NL-O26G-09162</t>
  </si>
  <si>
    <t>PIL-NL-I26G-21866</t>
  </si>
  <si>
    <t>HPBL4-NL-O26G-09163</t>
  </si>
  <si>
    <t>PIL-NL-I26G-21868</t>
  </si>
  <si>
    <t>HPBL4-NL-O26G-09164</t>
  </si>
  <si>
    <t>PIL-NL-I26G-21890</t>
  </si>
  <si>
    <t>HPBL4-NL-O26G-09165</t>
  </si>
  <si>
    <t>PIL-NL-I26G-21798</t>
  </si>
  <si>
    <t>HPBL4-NL-O26G-09166</t>
  </si>
  <si>
    <t>PIL-NL-I26G-21817</t>
  </si>
  <si>
    <t>HPBL4-NL-O26G-09167</t>
  </si>
  <si>
    <t>PIL-NL-I26G-21867</t>
  </si>
  <si>
    <t>HPBL4-NL-O26G-09168</t>
  </si>
  <si>
    <t>PIL-NL-I26G-21869</t>
  </si>
  <si>
    <t>HPBL4-NL-O26G-09169</t>
  </si>
  <si>
    <t>PIL-NL-I26G-21448</t>
  </si>
  <si>
    <t>HPBL4-NL-O26G-09170</t>
  </si>
  <si>
    <t>PIL-NL-I26G-21775</t>
  </si>
  <si>
    <t>HPBL4-NL-O26G-09171</t>
  </si>
  <si>
    <t>PIL-NL-I26G-21797</t>
  </si>
  <si>
    <t>HPBL4-NL-O26G-09172</t>
  </si>
  <si>
    <t>PIL-NL-I26G-21799</t>
  </si>
  <si>
    <t>HPBL4-NL-O26G-09173</t>
  </si>
  <si>
    <t>PIL-NL-I26G-21843</t>
  </si>
  <si>
    <t>HPBL4-NL-O26G-09174</t>
  </si>
  <si>
    <t>PIL-NL-I26G-21773</t>
  </si>
  <si>
    <t>HPBL4-NL-O26G-09175</t>
  </si>
  <si>
    <t>PIL-NL-I26G-21774</t>
  </si>
  <si>
    <t>HPBL4-NL-O26G-09176</t>
  </si>
  <si>
    <t>PIL-NL-I26G-21796</t>
  </si>
  <si>
    <t>HPBL4-NL-O26G-09177</t>
  </si>
  <si>
    <t>PIL-NL-I26G-21813</t>
  </si>
  <si>
    <t>HPBL4-NL-O26G-09178</t>
  </si>
  <si>
    <t>PIL-NL-I26G-21840</t>
  </si>
  <si>
    <t>HPBL4-NL-O26G-09179</t>
  </si>
  <si>
    <t>PIL-NL-I26G-21844</t>
  </si>
  <si>
    <t>HPBL4-NL-O26G-09180</t>
  </si>
  <si>
    <t>PIL-NL-I26G-21857</t>
  </si>
  <si>
    <t>HPBL4-NL-O26G-09181</t>
  </si>
  <si>
    <t>PIL-NL-I26G-21870</t>
  </si>
  <si>
    <t>HPBL4-NL-O26G-09182</t>
  </si>
  <si>
    <t>PIL-NL-I26G-21794</t>
  </si>
  <si>
    <t>HPBL4-NL-O26G-09183</t>
  </si>
  <si>
    <t>PIL-NL-I26G-21833</t>
  </si>
  <si>
    <t>HPBL4-NL-O26G-09184</t>
  </si>
  <si>
    <t>PIL-NL-I26G-21768</t>
  </si>
  <si>
    <t>HPBL4-NL-O26G-09185</t>
  </si>
  <si>
    <t>PIL-NL-I26G-21771</t>
  </si>
  <si>
    <t>HPBL4-NL-O26G-09186</t>
  </si>
  <si>
    <t>PIL-NL-I26G-21784</t>
  </si>
  <si>
    <t>HPBL4-NL-O26G-09187</t>
  </si>
  <si>
    <t>PIL-NL-I26G-21919</t>
  </si>
  <si>
    <t>HPBL4-NL-O26G-09188</t>
  </si>
  <si>
    <t>PIL-NL-I26G-21970</t>
  </si>
  <si>
    <t>HPBL4-NL-O26G-09189</t>
  </si>
  <si>
    <t>PIL-NL-I26G-21973</t>
  </si>
  <si>
    <t>HPBL4-NL-O26G-09190</t>
  </si>
  <si>
    <t>PIL-NL-I26G-21924</t>
  </si>
  <si>
    <t>HPBL4-NL-O26G-09191</t>
  </si>
  <si>
    <t>PIL-NL-I26G-21943</t>
  </si>
  <si>
    <t>HPBL4-NL-O26G-09192</t>
  </si>
  <si>
    <t>PIL-NL-I26G-21975</t>
  </si>
  <si>
    <t>HPBL4-NL-O26G-09193</t>
  </si>
  <si>
    <t>PIL-NL-I26G-21560</t>
  </si>
  <si>
    <t>HPBL4-NL-O26G-09194</t>
  </si>
  <si>
    <t>PIL-NL-I26G-21971</t>
  </si>
  <si>
    <t>HPBL4-NL-O26G-09195</t>
  </si>
  <si>
    <t>PIL-NL-I26G-21991</t>
  </si>
  <si>
    <t>HPBL4-NL-O26G-09196</t>
  </si>
  <si>
    <t>PIL-NL-I26G-21996</t>
  </si>
  <si>
    <t>HPBL4-NL-O26G-09197</t>
  </si>
  <si>
    <t>PIL-NL-I26G-21941</t>
  </si>
  <si>
    <t>HPBL4-NL-O26G-09198</t>
  </si>
  <si>
    <t>PIL-NL-I26G-21939</t>
  </si>
  <si>
    <t>HPBL4-NL-O26G-09199</t>
  </si>
  <si>
    <t>PIL-NL-I26G-21952</t>
  </si>
  <si>
    <t>HPBL4-NL-O26G-09200</t>
  </si>
  <si>
    <t>PIL-NL-I26G-21992</t>
  </si>
  <si>
    <t>HPBL4-NL-O26G-09201</t>
  </si>
  <si>
    <t>PIL-NL-I26G-21995</t>
  </si>
  <si>
    <t>HPBL4-NL-O26G-09202</t>
  </si>
  <si>
    <t>PIL-NL-I26G-21876</t>
  </si>
  <si>
    <t>HPBL4-NL-O26G-09203</t>
  </si>
  <si>
    <t>PIL-NL-I26G-21915</t>
  </si>
  <si>
    <t>HPBL4-NL-O26G-09204</t>
  </si>
  <si>
    <t>PIL-NL-I26G-21923</t>
  </si>
  <si>
    <t>HPBL4-NL-O26G-09205</t>
  </si>
  <si>
    <t>PIL-NL-I26G-21974</t>
  </si>
  <si>
    <t>HPBL4-NL-O26G-09206</t>
  </si>
  <si>
    <t>PIL-NL-I26G-21993</t>
  </si>
  <si>
    <t>HPBL4-NL-O26G-09207</t>
  </si>
  <si>
    <t>PIL-NL-I26G-21994</t>
  </si>
  <si>
    <t>HPBL4-NL-O26G-09208</t>
  </si>
  <si>
    <t>PIL-NL-I26G-21940</t>
  </si>
  <si>
    <t>HPBL4-NL-O26G-09209</t>
  </si>
  <si>
    <t>PIL-NL-I26G-21942</t>
  </si>
  <si>
    <t>HPBL4-NL-O26G-09210</t>
  </si>
  <si>
    <t>PIL-NL-I26G-22008</t>
  </si>
  <si>
    <t>HPBL4-NL-O26G-09211</t>
  </si>
  <si>
    <t>PIL-NL-I26G-22044</t>
  </si>
  <si>
    <t>HPBL4-NL-O26G-09212</t>
  </si>
  <si>
    <t>PIL-NL-I26G-22080</t>
  </si>
  <si>
    <t>HPBL4-NL-O26G-09213</t>
  </si>
  <si>
    <t>PIL-NL-I26G-22127</t>
  </si>
  <si>
    <t>HPBL4-NL-O26G-09214</t>
  </si>
  <si>
    <t>PIL-NL-I26G-22026</t>
  </si>
  <si>
    <t>HPBL4-NL-O26G-09215</t>
  </si>
  <si>
    <t>PIL-NL-I26G-22079</t>
  </si>
  <si>
    <t>HPBL4-NL-O26G-09216</t>
  </si>
  <si>
    <t>PIL-NL-I26G-22045</t>
  </si>
  <si>
    <t>HPBL4-NL-O26G-09217</t>
  </si>
  <si>
    <t>PIL-NL-I26G-22081</t>
  </si>
  <si>
    <t>HPBL4-NL-O26G-09218</t>
  </si>
  <si>
    <t>PIL-NL-I26G-22017</t>
  </si>
  <si>
    <t>HPBL4-NL-O26G-09219</t>
  </si>
  <si>
    <t>PIL-NL-I26G-22043</t>
  </si>
  <si>
    <t>HPBL4-NL-O26G-09220</t>
  </si>
  <si>
    <t>PIL-NL-I26G-22046</t>
  </si>
  <si>
    <t>HPBL4-NL-O26G-09221</t>
  </si>
  <si>
    <t>PIL-NL-I26G-22121</t>
  </si>
  <si>
    <t>HPBL4-NL-O26G-09222</t>
  </si>
  <si>
    <t>PIL-NL-I26G-22023</t>
  </si>
  <si>
    <t>HPBL4-NL-O26G-09223</t>
  </si>
  <si>
    <t>PIL-NL-I26G-22025</t>
  </si>
  <si>
    <t>HPBL4-NL-O26G-09224</t>
  </si>
  <si>
    <t>PIL-NL-I26G-22062</t>
  </si>
  <si>
    <t>HPBL4-NL-O26G-09225</t>
  </si>
  <si>
    <t>PIL-NL-I26G-22082</t>
  </si>
  <si>
    <t>HPBL4-NL-O26G-09226</t>
  </si>
  <si>
    <t>PIL-NL-I26G-22019</t>
  </si>
  <si>
    <t>PIL1/D/1134</t>
  </si>
  <si>
    <t>HPBL4-NL-O26G-09227</t>
  </si>
  <si>
    <t>PIL-NL-I26G-22020</t>
  </si>
  <si>
    <t>HPBL4-NL-O26G-09228</t>
  </si>
  <si>
    <t>PIL-NL-I26G-22018</t>
  </si>
  <si>
    <t>HPBL4-NL-O26G-09229</t>
  </si>
  <si>
    <t>PIL-NL-I26G-21835</t>
  </si>
  <si>
    <t>HPBL4-NL-O26G-09230</t>
  </si>
  <si>
    <t>PIL-NL-I26G-21837</t>
  </si>
  <si>
    <t>HPBL4-NL-O26G-09231</t>
  </si>
  <si>
    <t>PIL-NL-I26G-22225</t>
  </si>
  <si>
    <t>HPBL4-NL-O26G-09232</t>
  </si>
  <si>
    <t>PIL-NL-I26G-21916</t>
  </si>
  <si>
    <t>HPBL4-NL-O26G-09233</t>
  </si>
  <si>
    <t>PIL-NL-I26G-21918</t>
  </si>
  <si>
    <t>HPBL4-NL-O26G-09234</t>
  </si>
  <si>
    <t>PIL-NL-I26G-21917</t>
  </si>
  <si>
    <t>HPBL4-NL-O26G-09235</t>
  </si>
  <si>
    <t>PIL-NL-I26G-21834</t>
  </si>
  <si>
    <t>HPBL4-NL-O26G-09236</t>
  </si>
  <si>
    <t>PIL-NL-I26G-22147</t>
  </si>
  <si>
    <t>HPBL4-NL-O26G-09237</t>
  </si>
  <si>
    <t>PIL-NL-I26G-22203</t>
  </si>
  <si>
    <t>HPBL4-NL-O26G-09238</t>
  </si>
  <si>
    <t>PIL-NL-I26G-22226</t>
  </si>
  <si>
    <t>HPBL4-NL-O26G-09239</t>
  </si>
  <si>
    <t>PIL-NL-I26G-22145</t>
  </si>
  <si>
    <t>HPBL4-NL-O26G-09240</t>
  </si>
  <si>
    <t>PIL-NL-I26G-22224</t>
  </si>
  <si>
    <t>HPBL4-NL-O26G-09241</t>
  </si>
  <si>
    <t>PIL-NL-I26G-22240</t>
  </si>
  <si>
    <t>HPBL4-NL-O26G-09242</t>
  </si>
  <si>
    <t>PIL-NL-I26G-21836</t>
  </si>
  <si>
    <t>HPBL4-NL-O26G-09243</t>
  </si>
  <si>
    <t>PIL-NL-I26G-22140</t>
  </si>
  <si>
    <t>HPBL4-NL-O26G-09244</t>
  </si>
  <si>
    <t>PIL-NL-I26G-22173</t>
  </si>
  <si>
    <t>HPBL4-NL-O26G-09245</t>
  </si>
  <si>
    <t>PIL-NL-I26G-22222</t>
  </si>
  <si>
    <t>HPBL4-NL-O26G-09246</t>
  </si>
  <si>
    <t>PIL-NL-I26G-22148</t>
  </si>
  <si>
    <t>HPBL4-NL-O26G-09247</t>
  </si>
  <si>
    <t>PIL-NL-I26G-22174</t>
  </si>
  <si>
    <t>HPBL4-NL-O26G-09248</t>
  </si>
  <si>
    <t>PIL-NL-I26G-22198</t>
  </si>
  <si>
    <t>HPBL4-NL-O26G-09249</t>
  </si>
  <si>
    <t>PIL-NL-I26G-22139</t>
  </si>
  <si>
    <t>HPBL4-NL-O26G-09250</t>
  </si>
  <si>
    <t>PIL-NL-I26G-22141</t>
  </si>
  <si>
    <t>HPBL4-NL-O26G-09251</t>
  </si>
  <si>
    <t>PIL-NL-I26G-22146</t>
  </si>
  <si>
    <t>HPBL4-NL-O26G-09252</t>
  </si>
  <si>
    <t>PIL-NL-I26G-22197</t>
  </si>
  <si>
    <t>HPBL4-NL-O26G-09253</t>
  </si>
  <si>
    <t>PIL-NL-I26G-22199</t>
  </si>
  <si>
    <t>HPBL4-NL-O26G-09254</t>
  </si>
  <si>
    <t>PIL-NL-I26G-22204</t>
  </si>
  <si>
    <t>HPBL4-NL-O26G-09255</t>
  </si>
  <si>
    <t>PIL-NL-I26G-22205</t>
  </si>
  <si>
    <t>HPBL4-NL-O26G-09256</t>
  </si>
  <si>
    <t>PIL-NL-I26G-22278</t>
  </si>
  <si>
    <t>HPBL4-NL-O26G-09257</t>
  </si>
  <si>
    <t>PIL-NL-I26G-22283</t>
  </si>
  <si>
    <t>HPBL4-NL-O26G-09258</t>
  </si>
  <si>
    <t>PIL-NL-I26G-22307</t>
  </si>
  <si>
    <t>HPBL4-NL-O26G-09259</t>
  </si>
  <si>
    <t>PIL-NL-I26G-22323</t>
  </si>
  <si>
    <t>HPBL4-NL-O26G-09260</t>
  </si>
  <si>
    <t>PIL-NL-I26G-22355</t>
  </si>
  <si>
    <t>HPBL4-NL-O26G-09261</t>
  </si>
  <si>
    <t>PIL-NL-I26G-22379</t>
  </si>
  <si>
    <t>HPBL4-NL-O26G-09262</t>
  </si>
  <si>
    <t>PIL-NL-I26G-22284</t>
  </si>
  <si>
    <t>HPBL4-NL-O26G-09263</t>
  </si>
  <si>
    <t>PIL-NL-I26G-22324</t>
  </si>
  <si>
    <t>HPBL4-NL-O26G-09264</t>
  </si>
  <si>
    <t>PIL-NL-I26G-22350</t>
  </si>
  <si>
    <t>HPBL4-NL-O26G-09265</t>
  </si>
  <si>
    <t>PIL-NL-I26G-22354</t>
  </si>
  <si>
    <t>HPBL4-NL-O26G-09266</t>
  </si>
  <si>
    <t>PIL-NL-I26G-22356</t>
  </si>
  <si>
    <t>HPBL4-NL-O26G-09267</t>
  </si>
  <si>
    <t>PIL-NL-I26G-22358</t>
  </si>
  <si>
    <t>HPBL4-NL-O26G-09268</t>
  </si>
  <si>
    <t>PIL-NL-I26G-22264</t>
  </si>
  <si>
    <t>HPBL4-NL-O26G-09269</t>
  </si>
  <si>
    <t>PIL-NL-I26G-22282</t>
  </si>
  <si>
    <t>HPBL4-NL-O26G-09270</t>
  </si>
  <si>
    <t>PIL-NL-I26G-22299</t>
  </si>
  <si>
    <t>HPBL4-NL-O26G-09271</t>
  </si>
  <si>
    <t>PIL-NL-I26G-22322</t>
  </si>
  <si>
    <t>HPBL4-NL-O26G-09272</t>
  </si>
  <si>
    <t>PIL-NL-I26G-22328</t>
  </si>
  <si>
    <t>HPBL4-NL-O26G-09273</t>
  </si>
  <si>
    <t>PIL-NL-I26G-22352</t>
  </si>
  <si>
    <t>HPBL4-NL-O26G-09274</t>
  </si>
  <si>
    <t>PIL-NL-I26G-22142</t>
  </si>
  <si>
    <t>HPBL4-NL-O26G-09275</t>
  </si>
  <si>
    <t>PIL-NL-I26G-22261</t>
  </si>
  <si>
    <t>HPBL4-NL-O26G-09276</t>
  </si>
  <si>
    <t>PIL-NL-I26G-22263</t>
  </si>
  <si>
    <t>HPBL4-NL-O26G-09277</t>
  </si>
  <si>
    <t>PIL-NL-I26G-22281</t>
  </si>
  <si>
    <t>HPBL4-NL-O26G-09278</t>
  </si>
  <si>
    <t>PIL-NL-I26G-22325</t>
  </si>
  <si>
    <t>HPBL4-NL-O26G-09279</t>
  </si>
  <si>
    <t>PIL-NL-I26G-22330</t>
  </si>
  <si>
    <t>HPBL4-NL-O26G-09280</t>
  </si>
  <si>
    <t>PIL-NL-I26G-22196</t>
  </si>
  <si>
    <t>HPBL4-NL-O26G-09281</t>
  </si>
  <si>
    <t>PIL-NL-I26G-22305</t>
  </si>
  <si>
    <t>HPBL4-NL-O26G-09282</t>
  </si>
  <si>
    <t>PIL-NL-I26G-22357</t>
  </si>
  <si>
    <t>HPBL4-NL-O26G-09283</t>
  </si>
  <si>
    <t>PIL-NL-I26G-22279</t>
  </si>
  <si>
    <t>HPBL4-NL-O26G-09284</t>
  </si>
  <si>
    <t>PIL-NL-I26G-22331</t>
  </si>
  <si>
    <t>HPBL4-NL-O26G-09285</t>
  </si>
  <si>
    <t>PIL-NL-I26G-22321</t>
  </si>
  <si>
    <t>HPBL4-NL-O26G-09286</t>
  </si>
  <si>
    <t>PIL-NL-I26G-22351</t>
  </si>
  <si>
    <t>HPBL4-NL-O26G-09287</t>
  </si>
  <si>
    <t>PIL-NL-I26G-22353</t>
  </si>
  <si>
    <t>HPBL4-NL-O26G-09288</t>
  </si>
  <si>
    <t>PIL-NL-I26G-22396</t>
  </si>
  <si>
    <t>HPBL4-NL-O26G-09289</t>
  </si>
  <si>
    <t>PIL-NL-I26G-22402</t>
  </si>
  <si>
    <t>HPBL4-NL-O26G-09290</t>
  </si>
  <si>
    <t>PIL-NL-I26G-22446</t>
  </si>
  <si>
    <t>HPBL4-NL-O26G-09291</t>
  </si>
  <si>
    <t>PIL-NL-I26G-22471</t>
  </si>
  <si>
    <t>HPBL4-NL-O26G-09292</t>
  </si>
  <si>
    <t>PIL-NL-I26G-22473</t>
  </si>
  <si>
    <t>HPBL4-NL-O26G-09293</t>
  </si>
  <si>
    <t>PIL-NL-I26G-22394</t>
  </si>
  <si>
    <t>HPBL4-NL-O26G-09294</t>
  </si>
  <si>
    <t>PIL-NL-I26G-22425</t>
  </si>
  <si>
    <t>HPBL4-NL-O26G-09295</t>
  </si>
  <si>
    <t>PIL-NL-I26G-22433</t>
  </si>
  <si>
    <t>HPBL4-NL-O26G-09296</t>
  </si>
  <si>
    <t>PIL-NL-I26G-22395</t>
  </si>
  <si>
    <t>HPBL4-NL-O26G-09297</t>
  </si>
  <si>
    <t>PIL-NL-I26G-22403</t>
  </si>
  <si>
    <t>HPBL4-NL-O26G-09298</t>
  </si>
  <si>
    <t>PIL-NL-I26G-22447</t>
  </si>
  <si>
    <t>HPBL4-NL-O26G-09299</t>
  </si>
  <si>
    <t>PIL-NL-I26G-22470</t>
  </si>
  <si>
    <t>HPBL4-NL-O26G-09300</t>
  </si>
  <si>
    <t>PIL-NL-I26G-22472</t>
  </si>
  <si>
    <t>HPBL4-NL-O26G-09301</t>
  </si>
  <si>
    <t>PIL-NL-I26G-22480</t>
  </si>
  <si>
    <t>HPBL4-NL-O26G-09302</t>
  </si>
  <si>
    <t>PIL-NL-I26G-22499</t>
  </si>
  <si>
    <t>HPBL4-NL-O26G-09303</t>
  </si>
  <si>
    <t>PIL-NL-I26G-22522</t>
  </si>
  <si>
    <t>HPBL4-NL-O26G-09304</t>
  </si>
  <si>
    <t>PIL-NL-I26G-22397</t>
  </si>
  <si>
    <t>HPBL4-NL-O26G-09305</t>
  </si>
  <si>
    <t>PIL-NL-I26G-22479</t>
  </si>
  <si>
    <t>HPBL4-NL-O26G-09306</t>
  </si>
  <si>
    <t>PIL-NL-I26G-22494</t>
  </si>
  <si>
    <t>HPBL4-NL-O26G-09307</t>
  </si>
  <si>
    <t>PIL-NL-I26G-22495</t>
  </si>
  <si>
    <t>HPBL4-NL-O26G-09308</t>
  </si>
  <si>
    <t>PIL-NL-I26G-22502</t>
  </si>
  <si>
    <t>HPBL4-NL-O26G-09309</t>
  </si>
  <si>
    <t>PIL-NL-I26G-22478</t>
  </si>
  <si>
    <t>HPBL4-NL-O26G-09310</t>
  </si>
  <si>
    <t>PIL-NL-I26G-22496</t>
  </si>
  <si>
    <t>HPBL4-NL-O26G-09311</t>
  </si>
  <si>
    <t>PIL-NL-I26G-22500</t>
  </si>
  <si>
    <t>HPBL4-NL-O26G-09312</t>
  </si>
  <si>
    <t>PIL-NL-I26G-22501</t>
  </si>
  <si>
    <t>HPBL4-NL-O26G-09313</t>
  </si>
  <si>
    <t>PIL-NL-I26G-22503</t>
  </si>
  <si>
    <t>HPBL4-NL-O26G-09314</t>
  </si>
  <si>
    <t>PIL-NL-I26G-22426</t>
  </si>
  <si>
    <t>HPBL4-NL-O26G-09315</t>
  </si>
  <si>
    <t>PIL-NL-I26G-22498</t>
  </si>
  <si>
    <t>HPBL4-NL-O26G-09316</t>
  </si>
  <si>
    <t>PIL-NL-I26G-22424</t>
  </si>
  <si>
    <t>HPBL4-NL-O26G-09317</t>
  </si>
  <si>
    <t>PIL-NL-I26G-22469</t>
  </si>
  <si>
    <t>HPBL4-NL-O26G-09318</t>
  </si>
  <si>
    <t>PIL-NL-I26G-22497</t>
  </si>
  <si>
    <t>HPBL4-NL-O26G-09319</t>
  </si>
  <si>
    <t>PIL-NL-I26G-22504</t>
  </si>
  <si>
    <t>HPBL4-NL-O26G-09320</t>
  </si>
  <si>
    <t>PIL-NL-I26G-22512</t>
  </si>
  <si>
    <t>HPBL4-NL-O26G-09321</t>
  </si>
  <si>
    <t>PIL-NL-I26G-22576</t>
  </si>
  <si>
    <t>HPBL4-NL-O26G-09322</t>
  </si>
  <si>
    <t>PIL-NL-I26G-22604</t>
  </si>
  <si>
    <t>5/50 GREEN 368 C/YELLOW</t>
  </si>
  <si>
    <t>HPBL4-NL-O26G-09323</t>
  </si>
  <si>
    <t>PIL-NL-I26G-22606</t>
  </si>
  <si>
    <t>HPBL4-NL-O26G-09324</t>
  </si>
  <si>
    <t>PIL-NL-I26G-22624</t>
  </si>
  <si>
    <t>HPBL4-NL-O26G-09325</t>
  </si>
  <si>
    <t>PIL-NL-I26G-22542</t>
  </si>
  <si>
    <t>HPBL4-NL-O26G-09326</t>
  </si>
  <si>
    <t>PIL-NL-I26G-22620</t>
  </si>
  <si>
    <t>HPBL4-NL-O26G-09327</t>
  </si>
  <si>
    <t>PIL-NL-I26G-22623</t>
  </si>
  <si>
    <t>HPBL4-NL-O26G-09328</t>
  </si>
  <si>
    <t>PIL-NL-I26G-22543</t>
  </si>
  <si>
    <t>HPBL4-NL-O26G-09329</t>
  </si>
  <si>
    <t>PIL-NL-I26G-22600</t>
  </si>
  <si>
    <t>HPBL4-NL-O26G-09330</t>
  </si>
  <si>
    <t>PIL-NL-I26G-22621</t>
  </si>
  <si>
    <t>HPBL4-NL-O26G-09331</t>
  </si>
  <si>
    <t>PIL-NL-I26G-22622</t>
  </si>
  <si>
    <t>HPBL4-NL-O26G-09332</t>
  </si>
  <si>
    <t>PIL-NL-I26G-22638</t>
  </si>
  <si>
    <t>HPBL4-NL-O26G-09333</t>
  </si>
  <si>
    <t>PIL-NL-I26G-22540</t>
  </si>
  <si>
    <t>HPBL4-NL-O26G-09334</t>
  </si>
  <si>
    <t>PIL-NL-I26G-22586</t>
  </si>
  <si>
    <t>HPBL4-NL-O26G-09335</t>
  </si>
  <si>
    <t>PIL-NL-I26G-22601</t>
  </si>
  <si>
    <t>HPBL4-NL-O26G-09336</t>
  </si>
  <si>
    <t>PIL-NL-I26G-22541</t>
  </si>
  <si>
    <t>HPBL4-NL-O26G-09337</t>
  </si>
  <si>
    <t>PIL-NL-I26G-22562</t>
  </si>
  <si>
    <t>HPBL4-NL-O26G-09338</t>
  </si>
  <si>
    <t>PIL-NL-I26G-22564</t>
  </si>
  <si>
    <t>HPBL4-NL-O26G-09339</t>
  </si>
  <si>
    <t>PIL-NL-I26G-22560</t>
  </si>
  <si>
    <t>HPBL4-NL-O26G-09340</t>
  </si>
  <si>
    <t>PIL-NL-I26G-22588</t>
  </si>
  <si>
    <t>HPBL4-NL-O26G-09341</t>
  </si>
  <si>
    <t>PIL-NL-I26G-22605</t>
  </si>
  <si>
    <t>HPBL4-NL-O26G-09342</t>
  </si>
  <si>
    <t>PIL-NL-I26G-22607</t>
  </si>
  <si>
    <t>HPBL4-NL-O26G-09343</t>
  </si>
  <si>
    <t>PIL-NL-I26G-22625</t>
  </si>
  <si>
    <t>HPBL4-NL-O26G-09344</t>
  </si>
  <si>
    <t>PIL-NL-I26G-22563</t>
  </si>
  <si>
    <t>HPBL4-NL-O26G-09345</t>
  </si>
  <si>
    <t>PIL-NL-I26G-22561</t>
  </si>
  <si>
    <t>HPBL4-NL-O26G-09470</t>
  </si>
  <si>
    <t>PIL-NL-I26G-22688</t>
  </si>
  <si>
    <t>HPBL4-NL-O26G-09471</t>
  </si>
  <si>
    <t>PIL-NL-I26G-22711</t>
  </si>
  <si>
    <t>HPBL4-NL-O26G-09472</t>
  </si>
  <si>
    <t>PIL-NL-I26G-22723</t>
  </si>
  <si>
    <t>HPBL4-NL-O26G-09473</t>
  </si>
  <si>
    <t>PIL-NL-I26G-22684</t>
  </si>
  <si>
    <t>HPBL4-NL-O26G-09474</t>
  </si>
  <si>
    <t>PIL-NL-I26G-22689</t>
  </si>
  <si>
    <t>HPBL4-NL-O26G-09475</t>
  </si>
  <si>
    <t>PIL-NL-I26G-22712</t>
  </si>
  <si>
    <t>HPBL4-NL-O26G-09476</t>
  </si>
  <si>
    <t>PIL-NL-I26G-22715</t>
  </si>
  <si>
    <t>HPBL4-NL-O26G-09477</t>
  </si>
  <si>
    <t>PIL-NL-I26G-22720</t>
  </si>
  <si>
    <t>HPBL4-NL-O26G-09478</t>
  </si>
  <si>
    <t>PIL-NL-I26G-22740</t>
  </si>
  <si>
    <t>HPBL4-NL-O26G-09479</t>
  </si>
  <si>
    <t>PIL-NL-I26G-22749</t>
  </si>
  <si>
    <t>HPBL4-NL-O26G-09480</t>
  </si>
  <si>
    <t>PIL-NL-I26G-22756</t>
  </si>
  <si>
    <t>HPBL4-NL-O26G-09481</t>
  </si>
  <si>
    <t>PIL-NL-I26G-22651</t>
  </si>
  <si>
    <t>HPBL4-NL-O26G-09482</t>
  </si>
  <si>
    <t>PIL-NL-I26G-22660</t>
  </si>
  <si>
    <t>HPBL4-NL-O26G-09483</t>
  </si>
  <si>
    <t>PIL-NL-I26G-22653</t>
  </si>
  <si>
    <t>HPBL4-NL-O26G-09484</t>
  </si>
  <si>
    <t>PIL-NL-I26G-22675</t>
  </si>
  <si>
    <t>HPBL4-NL-O26G-09485</t>
  </si>
  <si>
    <t>PIL-NL-I26G-22690</t>
  </si>
  <si>
    <t>HPBL4-NL-O26G-09486</t>
  </si>
  <si>
    <t>PIL-NL-I26G-22724</t>
  </si>
  <si>
    <t>HPBL4-NL-O26G-09487</t>
  </si>
  <si>
    <t>PIL-NL-I26G-22738</t>
  </si>
  <si>
    <t>HPBL4-NL-O26G-09488</t>
  </si>
  <si>
    <t>PIL-NL-I26G-22743</t>
  </si>
  <si>
    <t>HPBL4-NL-O26G-09489</t>
  </si>
  <si>
    <t>PIL-NL-I26G-22745</t>
  </si>
  <si>
    <t>HPBL4-NL-O26G-09490</t>
  </si>
  <si>
    <t>PIL-NL-I26G-22752</t>
  </si>
  <si>
    <t>HPBL4-NL-O26G-09491</t>
  </si>
  <si>
    <t>PIL-NL-I26G-22666</t>
  </si>
  <si>
    <t>HPBL4-NL-O26G-09492</t>
  </si>
  <si>
    <t>PIL-NL-I26G-22681</t>
  </si>
  <si>
    <t>HPBL4-NL-O26G-09493</t>
  </si>
  <si>
    <t>PIL-NL-I26G-22694</t>
  </si>
  <si>
    <t>HPBL4-NL-O26G-09494</t>
  </si>
  <si>
    <t>PIL-NL-I26G-22700</t>
  </si>
  <si>
    <t>HPBL4-NL-O26G-09495</t>
  </si>
  <si>
    <t>PIL-NL-I26G-22702</t>
  </si>
  <si>
    <t>HPBL4-NL-O26G-09496</t>
  </si>
  <si>
    <t>PIL-NL-I26G-22728</t>
  </si>
  <si>
    <t>HPBL4-NL-O26G-09497</t>
  </si>
  <si>
    <t>PIL-NL-I26G-22741</t>
  </si>
  <si>
    <t>HPBL4-NL-O26G-09498</t>
  </si>
  <si>
    <t>PIL-NL-I26G-22729</t>
  </si>
  <si>
    <t>HPBL4-NL-O26G-09499</t>
  </si>
  <si>
    <t>PIL-NL-I26G-22737</t>
  </si>
  <si>
    <t>HPBL4-NL-O26G-09500</t>
  </si>
  <si>
    <t>PIL-NL-I26G-22739</t>
  </si>
  <si>
    <t>HPBL4-NL-O26G-09501</t>
  </si>
  <si>
    <t>PIL-NL-I26G-22742</t>
  </si>
  <si>
    <t>HPBL4-NL-O26G-09502</t>
  </si>
  <si>
    <t>PIL-NL-I26G-22744</t>
  </si>
  <si>
    <t>HPBL4-NL-O26G-09503</t>
  </si>
  <si>
    <t>PIL-NL-I26G-22677</t>
  </si>
  <si>
    <t>HPBL4-NL-O26G-09504</t>
  </si>
  <si>
    <t>PIL-NL-I26G-22682</t>
  </si>
  <si>
    <t>HPBL4-NL-O26G-09505</t>
  </si>
  <si>
    <t>PIL-NL-I26G-22687</t>
  </si>
  <si>
    <t>HPBL4-NL-O26G-09506</t>
  </si>
  <si>
    <t>PIL-NL-I26G-22701</t>
  </si>
  <si>
    <t>HPBL4-NL-O26G-09507</t>
  </si>
  <si>
    <t>PIL-NL-I26G-22710</t>
  </si>
  <si>
    <t>HPBL4-NL-O26G-09508</t>
  </si>
  <si>
    <t>PIL-NL-I26G-22726</t>
  </si>
  <si>
    <t>HPBL4-NL-O26G-09509</t>
  </si>
  <si>
    <t>PIL-NL-I26G-22747</t>
  </si>
  <si>
    <t>HPBL4-NL-O26G-09510</t>
  </si>
  <si>
    <t>PIL-NL-I26G-22754</t>
  </si>
  <si>
    <t>HPBL4-NL-O26G-09511</t>
  </si>
  <si>
    <t>PIL-NL-I26G-22658</t>
  </si>
  <si>
    <t>HPBL4-NL-O26G-09512</t>
  </si>
  <si>
    <t>PIL-NL-I26G-22664</t>
  </si>
  <si>
    <t>HPBL4-NL-O26G-09513</t>
  </si>
  <si>
    <t>PIL-NL-I26G-22683</t>
  </si>
  <si>
    <t>HPBL4-NL-O26G-09514</t>
  </si>
  <si>
    <t>PIL-NL-I26G-22686</t>
  </si>
  <si>
    <t>HPBL4-NL-O26G-09515</t>
  </si>
  <si>
    <t>PIL-NL-I26G-22714</t>
  </si>
  <si>
    <t>HPBL4-NL-O26G-09516</t>
  </si>
  <si>
    <t>PIL-NL-I26G-22722</t>
  </si>
  <si>
    <t>HPBL4-NL-O26G-09517</t>
  </si>
  <si>
    <t>PIL-NL-I26G-22755</t>
  </si>
  <si>
    <t>HPBL4-NL-O26G-09518</t>
  </si>
  <si>
    <t>PIL-NL-I26G-22652</t>
  </si>
  <si>
    <t>HPBL4-NL-O26G-09519</t>
  </si>
  <si>
    <t>PIL-NL-I26G-22654</t>
  </si>
  <si>
    <t>HPBL4-NL-O26G-09520</t>
  </si>
  <si>
    <t>PIL-NL-I26G-22659</t>
  </si>
  <si>
    <t>HPBL4-NL-O26G-09521</t>
  </si>
  <si>
    <t>PIL-NL-I26G-22678</t>
  </si>
  <si>
    <t>HPBL4-NL-O26G-09522</t>
  </si>
  <si>
    <t>PIL-NL-I26G-22713</t>
  </si>
  <si>
    <t>HPBL4-NL-O26G-09523</t>
  </si>
  <si>
    <t>PIL-NL-I26G-22721</t>
  </si>
  <si>
    <t>HPBL4-NL-O26G-09524</t>
  </si>
  <si>
    <t>PIL-NL-I26G-22725</t>
  </si>
  <si>
    <t>HPBL4-NL-O26G-09525</t>
  </si>
  <si>
    <t>PIL-NL-I26G-22727</t>
  </si>
  <si>
    <t>HPBL4-NL-O26G-09526</t>
  </si>
  <si>
    <t>PIL-NL-I26G-22746</t>
  </si>
  <si>
    <t>HPBL4-NL-O26G-09527</t>
  </si>
  <si>
    <t>PIL-NL-I26G-22748</t>
  </si>
  <si>
    <t>HPBL4-NL-O26G-09528</t>
  </si>
  <si>
    <t>PIL-NL-I26G-22751</t>
  </si>
  <si>
    <t>HPBL4-NL-O26G-09529</t>
  </si>
  <si>
    <t>PIL-NL-I26G-22753</t>
  </si>
  <si>
    <t>HPBL4-NL-O26G-09346</t>
  </si>
  <si>
    <t>PIL-NL-I26G-22781</t>
  </si>
  <si>
    <t>HPBL4-NL-O26G-09347</t>
  </si>
  <si>
    <t>PIL-NL-I26G-22787</t>
  </si>
  <si>
    <t>HPBL4-NL-O26G-09348</t>
  </si>
  <si>
    <t>PIL-NL-I26G-22801</t>
  </si>
  <si>
    <t>HPBL4-NL-O26G-09349</t>
  </si>
  <si>
    <t>PIL-NL-I26G-22830</t>
  </si>
  <si>
    <t>HPBL4-NL-O26G-09350</t>
  </si>
  <si>
    <t>PIL-NL-I26G-22839</t>
  </si>
  <si>
    <t>HPBL4-NL-O26G-09351</t>
  </si>
  <si>
    <t>PIL-NL-I26G-22862</t>
  </si>
  <si>
    <t>HPBL4-NL-O26G-09352</t>
  </si>
  <si>
    <t>PIL-NL-I26G-22864</t>
  </si>
  <si>
    <t>HPBL4-NL-O26G-09353</t>
  </si>
  <si>
    <t>PIL-NL-I26G-22872</t>
  </si>
  <si>
    <t>HPBL4-NL-O26G-09354</t>
  </si>
  <si>
    <t>PIL-NL-I26G-22889</t>
  </si>
  <si>
    <t>HPBL4-NL-O26G-09355</t>
  </si>
  <si>
    <t>PIL-NL-I26G-22892</t>
  </si>
  <si>
    <t>HPBL4-NL-O26G-09356</t>
  </si>
  <si>
    <t>PIL-NL-I26G-22906</t>
  </si>
  <si>
    <t>HPBL4-NL-O26G-09357</t>
  </si>
  <si>
    <t>PIL-NL-I26G-22775</t>
  </si>
  <si>
    <t>HPBL4-NL-O26G-09358</t>
  </si>
  <si>
    <t>PIL-NL-I26G-22780</t>
  </si>
  <si>
    <t>HPBL4-NL-O26G-09359</t>
  </si>
  <si>
    <t>PIL-NL-I26G-22800</t>
  </si>
  <si>
    <t>HPBL4-NL-O26G-09360</t>
  </si>
  <si>
    <t>PIL-NL-I26G-22806</t>
  </si>
  <si>
    <t>HPBL4-NL-O26G-09361</t>
  </si>
  <si>
    <t>PIL-NL-I26G-22837</t>
  </si>
  <si>
    <t>HPBL4-NL-O26G-09362</t>
  </si>
  <si>
    <t>PIL-NL-I26G-22858</t>
  </si>
  <si>
    <t>HPBL4-NL-O26G-09363</t>
  </si>
  <si>
    <t>PIL-NL-I26G-22859</t>
  </si>
  <si>
    <t>HPBL4-NL-O26G-09364</t>
  </si>
  <si>
    <t>PIL-NL-I26G-22916</t>
  </si>
  <si>
    <t>HPBL4-NL-O26G-09365</t>
  </si>
  <si>
    <t>PIL-NL-I26G-22810</t>
  </si>
  <si>
    <t>HPBL4-NL-O26G-09366</t>
  </si>
  <si>
    <t>PIL-NL-I26G-22816</t>
  </si>
  <si>
    <t>HPBL4-NL-O26G-09367</t>
  </si>
  <si>
    <t>PIL-NL-I26G-22824</t>
  </si>
  <si>
    <t>HPBL4-NL-O26G-09368</t>
  </si>
  <si>
    <t>PIL-NL-I26G-22882</t>
  </si>
  <si>
    <t>HPBL4-NL-O26G-09369</t>
  </si>
  <si>
    <t>PIL-NL-I26G-22884</t>
  </si>
  <si>
    <t>HPBL4-NL-O26G-09370</t>
  </si>
  <si>
    <t>PIL-NL-I26G-22888</t>
  </si>
  <si>
    <t>HPBL4-NL-O26G-09371</t>
  </si>
  <si>
    <t>PIL-NL-I26G-22891</t>
  </si>
  <si>
    <t>HPBL4-NL-O26G-09372</t>
  </si>
  <si>
    <t>PIL-NL-I26G-22896</t>
  </si>
  <si>
    <t>HPBL4-NL-O26G-09373</t>
  </si>
  <si>
    <t>PIL-NL-I26G-22898</t>
  </si>
  <si>
    <t>HPBL4-NL-O26G-09374</t>
  </si>
  <si>
    <t>PIL-NL-I26G-22909</t>
  </si>
  <si>
    <t>HPBL4-NL-O26G-09375</t>
  </si>
  <si>
    <t>PIL-NL-I26G-22786</t>
  </si>
  <si>
    <t>HPBL4-NL-O26G-09376</t>
  </si>
  <si>
    <t>PIL-NL-I26G-22808</t>
  </si>
  <si>
    <t>HPBL4-NL-O26G-09377</t>
  </si>
  <si>
    <t>PIL-NL-I26G-22854</t>
  </si>
  <si>
    <t>HPBL4-NL-O26G-09378</t>
  </si>
  <si>
    <t>PIL-NL-I26G-22867</t>
  </si>
  <si>
    <t>HPBL4-NL-O26G-09379</t>
  </si>
  <si>
    <t>PIL-NL-I26G-22869</t>
  </si>
  <si>
    <t>HPBL4-NL-O26G-09380</t>
  </si>
  <si>
    <t>PIL-NL-I26G-22893</t>
  </si>
  <si>
    <t>HPBL4-NL-O26G-09381</t>
  </si>
  <si>
    <t>PIL-NL-I26G-22895</t>
  </si>
  <si>
    <t>HPBL4-NL-O26G-09382</t>
  </si>
  <si>
    <t>PIL-NL-I26G-22905</t>
  </si>
  <si>
    <t>HPBL4-NL-O26G-09383</t>
  </si>
  <si>
    <t>PIL-NL-I26G-22907</t>
  </si>
  <si>
    <t>HPBL4-NL-O26G-09384</t>
  </si>
  <si>
    <t>PIL-NL-I26G-22918</t>
  </si>
  <si>
    <t>HPBL4-NL-O26G-09385</t>
  </si>
  <si>
    <t>PIL-NL-I26G-22785</t>
  </si>
  <si>
    <t>HPBL4-NL-O26G-09386</t>
  </si>
  <si>
    <t>PIL-NL-I26G-22807</t>
  </si>
  <si>
    <t>HPBL4-NL-O26G-09387</t>
  </si>
  <si>
    <t>PIL-NL-I26G-22811</t>
  </si>
  <si>
    <t>HPBL4-NL-O26G-09388</t>
  </si>
  <si>
    <t>PIL-NL-I26G-22881</t>
  </si>
  <si>
    <t>HPBL4-NL-O26G-09389</t>
  </si>
  <si>
    <t>PIL-NL-I26G-22894</t>
  </si>
  <si>
    <t>HPBL4-NL-O26G-09390</t>
  </si>
  <si>
    <t>PIL-NL-I26G-22919</t>
  </si>
  <si>
    <t>HPBL4-NL-O26G-09391</t>
  </si>
  <si>
    <t>PIL-NL-I26G-22779</t>
  </si>
  <si>
    <t>HPBL4-NL-O26G-09392</t>
  </si>
  <si>
    <t>PIL-NL-I26G-22784</t>
  </si>
  <si>
    <t>HPBL4-NL-O26G-09393</t>
  </si>
  <si>
    <t>PIL-NL-I26G-22788</t>
  </si>
  <si>
    <t>HPBL4-NL-O26G-09394</t>
  </si>
  <si>
    <t>PIL-NL-I26G-22817</t>
  </si>
  <si>
    <t>HPBL4-NL-O26G-09395</t>
  </si>
  <si>
    <t>PIL-NL-I26G-22838</t>
  </si>
  <si>
    <t>HPBL4-NL-O26G-09396</t>
  </si>
  <si>
    <t>PIL-NL-I26G-22855</t>
  </si>
  <si>
    <t>HPBL4-NL-O26G-09397</t>
  </si>
  <si>
    <t>PIL-NL-I26G-22861</t>
  </si>
  <si>
    <t>HPBL4-NL-O26G-09398</t>
  </si>
  <si>
    <t>PIL-NL-I26G-22871</t>
  </si>
  <si>
    <t>HPBL4-NL-O26G-09399</t>
  </si>
  <si>
    <t>PIL-NL-I26G-22802</t>
  </si>
  <si>
    <t>HPBL4-NL-O26G-09400</t>
  </si>
  <si>
    <t>PIL-NL-I26G-22809</t>
  </si>
  <si>
    <t>HPBL4-NL-O26G-09401</t>
  </si>
  <si>
    <t>PIL-NL-I26G-22836</t>
  </si>
  <si>
    <t>HPBL4-NL-O26G-09402</t>
  </si>
  <si>
    <t>PIL-NL-I26G-22843</t>
  </si>
  <si>
    <t>HPBL4-NL-O26G-09403</t>
  </si>
  <si>
    <t>PIL-NL-I26G-22863</t>
  </si>
  <si>
    <t>HPBL4-NL-O26G-09404</t>
  </si>
  <si>
    <t>PIL-NL-I26G-22870</t>
  </si>
  <si>
    <t>HPBL4-NL-O26G-09405</t>
  </si>
  <si>
    <t>PIL-NL-I26G-22883</t>
  </si>
  <si>
    <t>HPBL4-NL-O26G-09406</t>
  </si>
  <si>
    <t>PIL-NL-I26G-22890</t>
  </si>
  <si>
    <t>HPBL4-NL-O26G-09407</t>
  </si>
  <si>
    <t>PIL-NL-I26G-22908</t>
  </si>
  <si>
    <t>HPBL4-NL-O26G-09408</t>
  </si>
  <si>
    <t>PIL-NL-I26G-22776</t>
  </si>
  <si>
    <t>7/42 MW/RED</t>
  </si>
  <si>
    <t>HPBL4-NL-O26G-09409</t>
  </si>
  <si>
    <t>PIL-NL-I26G-22805</t>
  </si>
  <si>
    <t>HPBL4-NL-O26G-09410</t>
  </si>
  <si>
    <t>PIL-NL-I26G-22856</t>
  </si>
  <si>
    <t>HPBL4-NL-O26G-09411</t>
  </si>
  <si>
    <t>PIL-NL-I26G-22857</t>
  </si>
  <si>
    <t>HPBL4-NL-O26G-09412</t>
  </si>
  <si>
    <t>PIL-NL-I26G-22910</t>
  </si>
  <si>
    <t>HPBL4-NL-O26G-09413</t>
  </si>
  <si>
    <t>PIL-NL-I26G-22917</t>
  </si>
  <si>
    <t>HPBL4-NL-O26G-09414</t>
  </si>
  <si>
    <t>PIL-NL-I26G-22936</t>
  </si>
  <si>
    <t>HPBL4-NL-O26G-09415</t>
  </si>
  <si>
    <t>PIL-NL-I26G-22949</t>
  </si>
  <si>
    <t>HPBL4-NL-O26G-09416</t>
  </si>
  <si>
    <t>PIL-NL-I26G-22972</t>
  </si>
  <si>
    <t>HPBL4-NL-O26G-09417</t>
  </si>
  <si>
    <t>PIL-NL-I26G-22982</t>
  </si>
  <si>
    <t>HPBL4-NL-O26G-09418</t>
  </si>
  <si>
    <t>PIL-NL-I26G-22987</t>
  </si>
  <si>
    <t>HPBL4-NL-O26G-09419</t>
  </si>
  <si>
    <t>PIL-NL-I26G-23026</t>
  </si>
  <si>
    <t>HPBL4-NL-O26G-09420</t>
  </si>
  <si>
    <t>PIL-NL-I26G-22983</t>
  </si>
  <si>
    <t>HPBL4-NL-O26G-09421</t>
  </si>
  <si>
    <t>PIL-NL-I26G-23004</t>
  </si>
  <si>
    <t>HPBL4-NL-O26G-09422</t>
  </si>
  <si>
    <t>PIL-NL-I26G-23007</t>
  </si>
  <si>
    <t>HPBL4-NL-O26G-09423</t>
  </si>
  <si>
    <t>PIL-NL-I26G-23024</t>
  </si>
  <si>
    <t>HPBL4-NL-O26G-09424</t>
  </si>
  <si>
    <t>PIL-NL-I26G-23034</t>
  </si>
  <si>
    <t>HPBL4-NL-O26G-09425</t>
  </si>
  <si>
    <t>PIL-NL-I26G-22927</t>
  </si>
  <si>
    <t>HPBL4-NL-O26G-09426</t>
  </si>
  <si>
    <t>PIL-NL-I26G-22947</t>
  </si>
  <si>
    <t>HPBL4-NL-O26G-09427</t>
  </si>
  <si>
    <t>PIL-NL-I26G-22984</t>
  </si>
  <si>
    <t>HPBL4-NL-O26G-09428</t>
  </si>
  <si>
    <t>PIL-NL-I26G-23003</t>
  </si>
  <si>
    <t>HPBL4-NL-O26G-09429</t>
  </si>
  <si>
    <t>PIL-NL-I26G-23016</t>
  </si>
  <si>
    <t>HPBL4-NL-O26G-09430</t>
  </si>
  <si>
    <t>PIL-NL-I26G-23030</t>
  </si>
  <si>
    <t>HPBL4-NL-O26G-09431</t>
  </si>
  <si>
    <t>PIL-NL-I26G-23035</t>
  </si>
  <si>
    <t>HPBL4-NL-O26G-09432</t>
  </si>
  <si>
    <t>PIL-NL-I26G-22928</t>
  </si>
  <si>
    <t>HPBL4-NL-O26G-09433</t>
  </si>
  <si>
    <t>PIL-NL-I26G-22933</t>
  </si>
  <si>
    <t>HPBL4-NL-O26G-09434</t>
  </si>
  <si>
    <t>PIL-NL-I26G-22935</t>
  </si>
  <si>
    <t>HPBL4-NL-O26G-09435</t>
  </si>
  <si>
    <t>PIL-NL-I26G-22985</t>
  </si>
  <si>
    <t>HPBL4-NL-O26G-09436</t>
  </si>
  <si>
    <t>PIL-NL-I26G-23000</t>
  </si>
  <si>
    <t>HPBL4-NL-O26G-09437</t>
  </si>
  <si>
    <t>PIL-NL-I26G-23002</t>
  </si>
  <si>
    <t>HPBL4-NL-O26G-09438</t>
  </si>
  <si>
    <t>PIL-NL-I26G-23009</t>
  </si>
  <si>
    <t>HPBL4-NL-O26G-09439</t>
  </si>
  <si>
    <t>PIL-NL-I26G-22934</t>
  </si>
  <si>
    <t>HPBL4-NL-O26G-09440</t>
  </si>
  <si>
    <t>PIL-NL-I26G-22940</t>
  </si>
  <si>
    <t>HPBL4-NL-O26G-09441</t>
  </si>
  <si>
    <t>PIL-NL-I26G-22959</t>
  </si>
  <si>
    <t>HPBL4-NL-O26G-09442</t>
  </si>
  <si>
    <t>PIL-NL-I26G-22961</t>
  </si>
  <si>
    <t>HPBL4-NL-O26G-09443</t>
  </si>
  <si>
    <t>PIL-NL-I26G-22977</t>
  </si>
  <si>
    <t>HPBL4-NL-O26G-09444</t>
  </si>
  <si>
    <t>PIL-NL-I26G-22998</t>
  </si>
  <si>
    <t>HPBL4-NL-O26G-09445</t>
  </si>
  <si>
    <t>PIL-NL-I26G-23008</t>
  </si>
  <si>
    <t>HPBL4-NL-O26G-09446</t>
  </si>
  <si>
    <t>PIL-NL-I26G-23015</t>
  </si>
  <si>
    <t>HPBL4-NL-O26G-09447</t>
  </si>
  <si>
    <t>PIL-NL-I26G-22926</t>
  </si>
  <si>
    <t>HPBL4-NL-O26G-09448</t>
  </si>
  <si>
    <t>PIL-NL-I26G-22932</t>
  </si>
  <si>
    <t>HPBL4-NL-O26G-09449</t>
  </si>
  <si>
    <t>PIL-NL-I26G-22925</t>
  </si>
  <si>
    <t>HPBL4-NL-O26G-09450</t>
  </si>
  <si>
    <t>PIL-NL-I26G-22948</t>
  </si>
  <si>
    <t>HPBL4-NL-O26G-09451</t>
  </si>
  <si>
    <t>PIL-NL-I26G-22950</t>
  </si>
  <si>
    <t>HPBL4-NL-O26G-09452</t>
  </si>
  <si>
    <t>PIL-NL-I26G-23006</t>
  </si>
  <si>
    <t>HPBL4-NL-O26G-09453</t>
  </si>
  <si>
    <t>PIL-NL-I26G-23018</t>
  </si>
  <si>
    <t>HPBL4-NL-O26G-09454</t>
  </si>
  <si>
    <t>PIL-NL-I26G-23025</t>
  </si>
  <si>
    <t>HPBL4-NL-O26G-09455</t>
  </si>
  <si>
    <t>PIL-NL-I26G-22938</t>
  </si>
  <si>
    <t>HPBL4-NL-O26G-09456</t>
  </si>
  <si>
    <t>PIL-NL-I26G-22953</t>
  </si>
  <si>
    <t>HPBL4-NL-O26G-09457</t>
  </si>
  <si>
    <t>PIL-NL-I26G-22963</t>
  </si>
  <si>
    <t>HPBL4-NL-O26G-09458</t>
  </si>
  <si>
    <t>PIL-NL-I26G-22965</t>
  </si>
  <si>
    <t>HPBL4-NL-O26G-09459</t>
  </si>
  <si>
    <t>PIL-NL-I26G-22995</t>
  </si>
  <si>
    <t>HPBL4-NL-O26G-09460</t>
  </si>
  <si>
    <t>PIL-NL-I26G-22996</t>
  </si>
  <si>
    <t>HPBL4-NL-O26G-09461</t>
  </si>
  <si>
    <t>PIL-NL-I26G-23017</t>
  </si>
  <si>
    <t>HPBL4-NL-O26G-09462</t>
  </si>
  <si>
    <t>PIL-NL-I26G-23027</t>
  </si>
  <si>
    <t>HPBL4-NL-O26G-09463</t>
  </si>
  <si>
    <t>PIL-NL-I26G-23029</t>
  </si>
  <si>
    <t>HPBL4-NL-O26G-09464</t>
  </si>
  <si>
    <t>PIL-NL-I26G-22937</t>
  </si>
  <si>
    <t>HPBL4-NL-O26G-09465</t>
  </si>
  <si>
    <t>PIL-NL-I26G-22960</t>
  </si>
  <si>
    <t>HPBL4-NL-O26G-09466</t>
  </si>
  <si>
    <t>PIL-NL-I26G-22962</t>
  </si>
  <si>
    <t>HPBL4-NL-O26G-09467</t>
  </si>
  <si>
    <t>PIL-NL-I26G-22999</t>
  </si>
  <si>
    <t>HPBL4-NL-O26G-09468</t>
  </si>
  <si>
    <t>PIL-NL-I26G-23028</t>
  </si>
  <si>
    <t>HPBL4-NL-O26G-09469</t>
  </si>
  <si>
    <t>PIL-NL-I26G-23045</t>
  </si>
  <si>
    <t>HPBL4-NL-O26G-09530</t>
  </si>
  <si>
    <t>PIL-NL-I26G-23059</t>
  </si>
  <si>
    <t>HPBL4-NL-O26G-09531</t>
  </si>
  <si>
    <t>PIL-NL-I26G-23067</t>
  </si>
  <si>
    <t>HPBL4-NL-O26G-09532</t>
  </si>
  <si>
    <t>PIL-NL-I26G-23068</t>
  </si>
  <si>
    <t>HPBL4-NL-O26G-09533</t>
  </si>
  <si>
    <t>PIL-NL-I26G-23091</t>
  </si>
  <si>
    <t>HPBL4-NL-O26G-09534</t>
  </si>
  <si>
    <t>PIL-NL-I26G-23125</t>
  </si>
  <si>
    <t>HPBL4-NL-O26G-09535</t>
  </si>
  <si>
    <t>PIL-NL-I26G-23127</t>
  </si>
  <si>
    <t>HPBL4-NL-O26G-09536</t>
  </si>
  <si>
    <t>PIL-NL-I26G-23128</t>
  </si>
  <si>
    <t>HPBL4-NL-O26G-09537</t>
  </si>
  <si>
    <t>PIL-NL-I26G-23140</t>
  </si>
  <si>
    <t>HPBL4-NL-O26G-09538</t>
  </si>
  <si>
    <t>PIL-NL-I26G-23141</t>
  </si>
  <si>
    <t>HPBL4-NL-O26G-09539</t>
  </si>
  <si>
    <t>PIL-NL-I26G-23065</t>
  </si>
  <si>
    <t>HPBL4-NL-O26G-09540</t>
  </si>
  <si>
    <t>PIL-NL-I26G-23078</t>
  </si>
  <si>
    <t>HPBL4-NL-O26G-09541</t>
  </si>
  <si>
    <t>PIL-NL-I26G-23098</t>
  </si>
  <si>
    <t>HPBL4-NL-O26G-09542</t>
  </si>
  <si>
    <t>PIL-NL-I26G-23106</t>
  </si>
  <si>
    <t>HPBL4-NL-O26G-09543</t>
  </si>
  <si>
    <t>PIL-NL-I26G-23124</t>
  </si>
  <si>
    <t>HPBL4-NL-O26G-09544</t>
  </si>
  <si>
    <t>PIL-NL-I26G-23129</t>
  </si>
  <si>
    <t>HPBL4-NL-O26G-09545</t>
  </si>
  <si>
    <t>PIL-NL-I26G-23060</t>
  </si>
  <si>
    <t>HPBL4-NL-O26G-09546</t>
  </si>
  <si>
    <t>PIL-NL-I26G-23064</t>
  </si>
  <si>
    <t>HPBL4-NL-O26G-09547</t>
  </si>
  <si>
    <t>PIL-NL-I26G-23085</t>
  </si>
  <si>
    <t>HPBL4-NL-O26G-09548</t>
  </si>
  <si>
    <t>PIL-NL-I26G-23088</t>
  </si>
  <si>
    <t>HPBL4-NL-O26G-09549</t>
  </si>
  <si>
    <t>PIL-NL-I26G-23096</t>
  </si>
  <si>
    <t>HPBL4-NL-O26G-09550</t>
  </si>
  <si>
    <t>PIL-NL-I26G-23145</t>
  </si>
  <si>
    <t>HPBL4-NL-O26G-09551</t>
  </si>
  <si>
    <t>PIL-NL-I26G-23147</t>
  </si>
  <si>
    <t>HPBL4-NL-O26G-09552</t>
  </si>
  <si>
    <t>PIL-NL-I26G-23107</t>
  </si>
  <si>
    <t>HPBL4-NL-O26G-09553</t>
  </si>
  <si>
    <t>PIL-NL-I26G-23143</t>
  </si>
  <si>
    <t>HPBL4-NL-O26G-09554</t>
  </si>
  <si>
    <t>PIL-NL-I26G-23070</t>
  </si>
  <si>
    <t>HPBL4-NL-O26G-09555</t>
  </si>
  <si>
    <t>PIL-NL-I26G-23087</t>
  </si>
  <si>
    <t>HPBL4-NL-O26G-09556</t>
  </si>
  <si>
    <t>PIL-NL-I26G-23097</t>
  </si>
  <si>
    <t>HPBL4-NL-O26G-09557</t>
  </si>
  <si>
    <t>PIL-NL-I26G-23158</t>
  </si>
  <si>
    <t>HPBL4-NL-O26G-09558</t>
  </si>
  <si>
    <t>PIL-NL-I26G-23160</t>
  </si>
  <si>
    <t>HPBL4-NL-O26G-09559</t>
  </si>
  <si>
    <t>PIL-NL-I26G-23083</t>
  </si>
  <si>
    <t>HPBL4-NL-O26G-09560</t>
  </si>
  <si>
    <t>PIL-NL-I26G-23120</t>
  </si>
  <si>
    <t>HPBL4-NL-O26G-09561</t>
  </si>
  <si>
    <t>PIL-NL-I26G-23154</t>
  </si>
  <si>
    <t>HPBL4-NL-O26G-09562</t>
  </si>
  <si>
    <t>PIL-NL-I26G-23077</t>
  </si>
  <si>
    <t>HPBL4-NL-O26G-09563</t>
  </si>
  <si>
    <t>PIL-NL-I26G-23079</t>
  </si>
  <si>
    <t>HPBL4-NL-O26G-09564</t>
  </si>
  <si>
    <t>PIL-NL-I26G-23090</t>
  </si>
  <si>
    <t>HPBL4-NL-O26G-09565</t>
  </si>
  <si>
    <t>PIL-NL-I26G-23108</t>
  </si>
  <si>
    <t>HPBL4-NL-O26G-09566</t>
  </si>
  <si>
    <t>PIL-NL-I26G-23144</t>
  </si>
  <si>
    <t>HPBL4-NL-O26G-09567</t>
  </si>
  <si>
    <t>PIL-NL-I26G-23069</t>
  </si>
  <si>
    <t>HPBL4-NL-O26G-09568</t>
  </si>
  <si>
    <t>PIL-NL-I26G-23084</t>
  </si>
  <si>
    <t>HPBL4-NL-O26G-09569</t>
  </si>
  <si>
    <t>PIL-NL-I26G-23089</t>
  </si>
  <si>
    <t>HPBL4-NL-O26G-09570</t>
  </si>
  <si>
    <t>PIL-NL-I26G-23099</t>
  </si>
  <si>
    <t>HPBL4-NL-O26G-09571</t>
  </si>
  <si>
    <t>PIL-NL-I26G-23146</t>
  </si>
  <si>
    <t>HPBL4-NL-O26G-09572</t>
  </si>
  <si>
    <t>PIL-NL-I26G-23166</t>
  </si>
  <si>
    <t>HPBL4-NL-O26G-09573</t>
  </si>
  <si>
    <t>PIL-NL-I26G-23201</t>
  </si>
  <si>
    <t>HPBL4-NL-O26G-09574</t>
  </si>
  <si>
    <t>PIL-NL-I26G-23228</t>
  </si>
  <si>
    <t>HPBL4-NL-O26G-09575</t>
  </si>
  <si>
    <t>PIL-NL-I26G-23236</t>
  </si>
  <si>
    <t>HPBL4-NL-O26G-09576</t>
  </si>
  <si>
    <t>PIL-NL-I26G-23245</t>
  </si>
  <si>
    <t>HPBL4-NL-O26G-09577</t>
  </si>
  <si>
    <t>PIL-NL-I26G-23251</t>
  </si>
  <si>
    <t>HPBL4-NL-O26G-09578</t>
  </si>
  <si>
    <t>PIL-NL-I26G-23278</t>
  </si>
  <si>
    <t>HPBL4-NL-O26G-09579</t>
  </si>
  <si>
    <t>PIL-NL-I26G-23170</t>
  </si>
  <si>
    <t>HPBL4-NL-O26G-09580</t>
  </si>
  <si>
    <t>PIL-NL-I26G-23187</t>
  </si>
  <si>
    <t>HPBL4-NL-O26G-09581</t>
  </si>
  <si>
    <t>PIL-NL-I26G-23217</t>
  </si>
  <si>
    <t>HPBL4-NL-O26G-09582</t>
  </si>
  <si>
    <t>PIL-NL-I26G-23222</t>
  </si>
  <si>
    <t>HPBL4-NL-O26G-09583</t>
  </si>
  <si>
    <t>PIL-NL-I26G-23227</t>
  </si>
  <si>
    <t>HPBL4-NL-O26G-09584</t>
  </si>
  <si>
    <t>PIL-NL-I26G-23280</t>
  </si>
  <si>
    <t>HPBL4-NL-O26G-09585</t>
  </si>
  <si>
    <t>PIL-NL-I26G-23281</t>
  </si>
  <si>
    <t>HPBL4-NL-O26G-09586</t>
  </si>
  <si>
    <t>PIL-NL-I26G-23171</t>
  </si>
  <si>
    <t>HPBL4-NL-O26G-09587</t>
  </si>
  <si>
    <t>PIL-NL-I26G-23282</t>
  </si>
  <si>
    <t>HPBL4-NL-O26G-09588</t>
  </si>
  <si>
    <t>PIL-NL-I26G-23172</t>
  </si>
  <si>
    <t>HPBL4-NL-O26G-09589</t>
  </si>
  <si>
    <t>PIL-NL-I26G-23203</t>
  </si>
  <si>
    <t>HPBL4-NL-O26G-09590</t>
  </si>
  <si>
    <t>PIL-NL-I26G-23237</t>
  </si>
  <si>
    <t>HPBL4-NL-O26G-09591</t>
  </si>
  <si>
    <t>PIL-NL-I26G-23248</t>
  </si>
  <si>
    <t>HPBL4-NL-O26G-09592</t>
  </si>
  <si>
    <t>PIL-NL-I26G-23176</t>
  </si>
  <si>
    <t>HPBL4-NL-O26G-09593</t>
  </si>
  <si>
    <t>PIL-NL-I26G-23177</t>
  </si>
  <si>
    <t>HPBL4-NL-O26G-09594</t>
  </si>
  <si>
    <t>PIL-NL-I26G-23213</t>
  </si>
  <si>
    <t>HPBL4-NL-O26G-09595</t>
  </si>
  <si>
    <t>PIL-NL-I26G-23229</t>
  </si>
  <si>
    <t>HPBL4-NL-O26G-09596</t>
  </si>
  <si>
    <t>PIL-NL-I26G-23243</t>
  </si>
  <si>
    <t>HPBL4-NL-O26G-09597</t>
  </si>
  <si>
    <t>PIL-NL-I26G-23183</t>
  </si>
  <si>
    <t>HPBL4-NL-O26G-09598</t>
  </si>
  <si>
    <t>PIL-NL-I26G-23184</t>
  </si>
  <si>
    <t>HPBL4-NL-O26G-09599</t>
  </si>
  <si>
    <t>PIL-NL-I26G-23230</t>
  </si>
  <si>
    <t>HPBL4-NL-O26G-09600</t>
  </si>
  <si>
    <t>PIL-NL-I26G-23244</t>
  </si>
  <si>
    <t>HPBL4-NL-O26G-09601</t>
  </si>
  <si>
    <t>PIL-NL-I26G-23169</t>
  </si>
  <si>
    <t>HPBL4-NL-O26G-09602</t>
  </si>
  <si>
    <t>PIL-NL-I26G-23204</t>
  </si>
  <si>
    <t>HPBL4-NL-O26G-09603</t>
  </si>
  <si>
    <t>PIL-NL-I26G-23223</t>
  </si>
  <si>
    <t>HPBL4-NL-O26G-09604</t>
  </si>
  <si>
    <t>PIL-NL-I26G-23225</t>
  </si>
  <si>
    <t>HPBL4-NL-O26G-09605</t>
  </si>
  <si>
    <t>PIL-NL-I26G-23185</t>
  </si>
  <si>
    <t>HPBL4-NL-O26G-09606</t>
  </si>
  <si>
    <t>PIL-NL-I26G-23224</t>
  </si>
  <si>
    <t>HPBL4-NL-O26G-09607</t>
  </si>
  <si>
    <t>PIL-NL-I26G-23332</t>
  </si>
  <si>
    <t>HPBL4-NL-O26G-09608</t>
  </si>
  <si>
    <t>PIL-NL-I26G-23341</t>
  </si>
  <si>
    <t>HPBL4-NL-O26G-09609</t>
  </si>
  <si>
    <t>PIL-NL-I26G-23357</t>
  </si>
  <si>
    <t>1/6 MIX/TIE</t>
  </si>
  <si>
    <t>HPBL4-NL-O26G-09610</t>
  </si>
  <si>
    <t>PIL-NL-I26G-23365</t>
  </si>
  <si>
    <t>HPBL4-NL-O26G-09611</t>
  </si>
  <si>
    <t>PIL-NL-I26G-23385</t>
  </si>
  <si>
    <t>HPBL4-NL-O26G-09612</t>
  </si>
  <si>
    <t>PIL-NL-I26G-23321</t>
  </si>
  <si>
    <t>HPBL4-NL-O26G-09613</t>
  </si>
  <si>
    <t>PIL-NL-I26G-23334</t>
  </si>
  <si>
    <t>HPBL4-NL-O26G-09614</t>
  </si>
  <si>
    <t>PIL-NL-I26G-23343</t>
  </si>
  <si>
    <t>HPBL4-NL-O26G-09615</t>
  </si>
  <si>
    <t>PIL-NL-I26G-23395</t>
  </si>
  <si>
    <t>HPBL4-NL-O26G-09616</t>
  </si>
  <si>
    <t>PIL-NL-I26G-23401</t>
  </si>
  <si>
    <t>HPBL4-NL-O26G-09617</t>
  </si>
  <si>
    <t>PIL-NL-I26G-23426</t>
  </si>
  <si>
    <t>HPBL4-NL-O26G-09618</t>
  </si>
  <si>
    <t>PIL-NL-I26G-23289</t>
  </si>
  <si>
    <t>HPBL4-NL-O26G-09619</t>
  </si>
  <si>
    <t>PIL-NL-I26G-23291</t>
  </si>
  <si>
    <t>HPBL4-NL-O26G-09620</t>
  </si>
  <si>
    <t>PIL-NL-I26G-23293</t>
  </si>
  <si>
    <t>HPBL4-NL-O26G-09621</t>
  </si>
  <si>
    <t>PIL-NL-I26G-23333</t>
  </si>
  <si>
    <t>HPBL4-NL-O26G-09622</t>
  </si>
  <si>
    <t>PIL-NL-I26G-23342</t>
  </si>
  <si>
    <t>HPBL4-NL-O26G-09623</t>
  </si>
  <si>
    <t>PIL-NL-I26G-23344</t>
  </si>
  <si>
    <t>HPBL4-NL-O26G-09624</t>
  </si>
  <si>
    <t>PIL-NL-I26G-23398</t>
  </si>
  <si>
    <t>HPBL4-NL-O26G-09625</t>
  </si>
  <si>
    <t>PIL-NL-I26G-23402</t>
  </si>
  <si>
    <t>HPBL4-NL-O26G-09626</t>
  </si>
  <si>
    <t>PIL-NL-I26G-23302</t>
  </si>
  <si>
    <t>HPBL4-NL-O26G-09627</t>
  </si>
  <si>
    <t>PIL-NL-I26G-23304</t>
  </si>
  <si>
    <t>HPBL4-NL-O26G-09628</t>
  </si>
  <si>
    <t>PIL-NL-I26G-23312</t>
  </si>
  <si>
    <t>HPBL4-NL-O26G-09629</t>
  </si>
  <si>
    <t>PIL-NL-I26G-23319</t>
  </si>
  <si>
    <t>HPBL4-NL-O26G-09630</t>
  </si>
  <si>
    <t>PIL-NL-I26G-23320</t>
  </si>
  <si>
    <t>HPBL4-NL-O26G-09631</t>
  </si>
  <si>
    <t>PIL-NL-I26G-23326</t>
  </si>
  <si>
    <t>HPBL4-NL-O26G-09632</t>
  </si>
  <si>
    <t>PIL-NL-I26G-23360</t>
  </si>
  <si>
    <t>HPBL4-NL-O26G-09633</t>
  </si>
  <si>
    <t>PIL-NL-I26G-23379</t>
  </si>
  <si>
    <t>HPBL4-NL-O26G-09634</t>
  </si>
  <si>
    <t>PIL-NL-I26G-23394</t>
  </si>
  <si>
    <t>HPBL4-NL-O26G-09635</t>
  </si>
  <si>
    <t>PIL-NL-I26G-23400</t>
  </si>
  <si>
    <t>HPBL4-NL-O26G-09636</t>
  </si>
  <si>
    <t>PIL-NL-I26G-23407</t>
  </si>
  <si>
    <t>HPBL4-NL-O26G-09637</t>
  </si>
  <si>
    <t>PIL-NL-I26G-23324</t>
  </si>
  <si>
    <t>HPBL4-NL-O26G-09638</t>
  </si>
  <si>
    <t>PIL-NL-I26G-23364</t>
  </si>
  <si>
    <t>HPBL4-NL-O26G-09639</t>
  </si>
  <si>
    <t>PIL-NL-I26G-23383</t>
  </si>
  <si>
    <t>HPBL4-NL-O26G-09640</t>
  </si>
  <si>
    <t>PIL-NL-I26G-23303</t>
  </si>
  <si>
    <t>HPBL4-NL-O26G-09641</t>
  </si>
  <si>
    <t>PIL-NL-I26G-23325</t>
  </si>
  <si>
    <t>HPBL4-NL-O26G-09642</t>
  </si>
  <si>
    <t>PIL-NL-I26G-23331</t>
  </si>
  <si>
    <t>HPBL4-NL-O26G-09643</t>
  </si>
  <si>
    <t>PIL-NL-I26G-23356</t>
  </si>
  <si>
    <t>1/6 MW/TIE</t>
  </si>
  <si>
    <t>HPBL4-NL-O26G-09644</t>
  </si>
  <si>
    <t>PIL-NL-I26G-23393</t>
  </si>
  <si>
    <t>HPBL4-NL-O26G-09645</t>
  </si>
  <si>
    <t>PIL-NL-I26G-23406</t>
  </si>
  <si>
    <t>HPBL4-NL-O26G-09646</t>
  </si>
  <si>
    <t>PIL-NL-I26G-23408</t>
  </si>
  <si>
    <t>HPBL4-NL-O26G-09647</t>
  </si>
  <si>
    <t>PIL-NL-I26G-23327</t>
  </si>
  <si>
    <t>HPBL4-NL-O26G-09648</t>
  </si>
  <si>
    <t>PIL-NL-I26G-23330</t>
  </si>
  <si>
    <t>HPBL4-NL-O26G-09649</t>
  </si>
  <si>
    <t>PIL-NL-I26G-23359</t>
  </si>
  <si>
    <t>HPBL4-NL-O26G-09650</t>
  </si>
  <si>
    <t>PIL-NL-I26G-23380</t>
  </si>
  <si>
    <t>HPBL4-NL-O26G-09651</t>
  </si>
  <si>
    <t>PIL-NL-I26G-23399</t>
  </si>
  <si>
    <t>HPBL4-NL-O26G-09652</t>
  </si>
  <si>
    <t>PIL-NL-I26G-23290</t>
  </si>
  <si>
    <t>HPBL4-NL-O26G-09653</t>
  </si>
  <si>
    <t>PIL-NL-I26G-23358</t>
  </si>
  <si>
    <t>HPBL4-NL-O26G-09654</t>
  </si>
  <si>
    <t>PIL-NL-I26G-23361</t>
  </si>
  <si>
    <t>HPBL4-NL-O26G-09655</t>
  </si>
  <si>
    <t>PIL-NL-I26G-23378</t>
  </si>
  <si>
    <t>HPBL4-NL-O26G-09656</t>
  </si>
  <si>
    <t>PIL-NL-I26G-23416</t>
  </si>
  <si>
    <t>HPBL4-NL-O26G-09657</t>
  </si>
  <si>
    <t>PIL-NL-I26G-23475</t>
  </si>
  <si>
    <t>HPBL4-NL-O26G-09658</t>
  </si>
  <si>
    <t>PIL-NL-I26G-23516</t>
  </si>
  <si>
    <t>HPBL4-NL-O26G-09659</t>
  </si>
  <si>
    <t>PIL-NL-I26G-23536</t>
  </si>
  <si>
    <t>HPBL4-NL-O26G-09660</t>
  </si>
  <si>
    <t>PIL-NL-I26G-23535</t>
  </si>
  <si>
    <t>HPBL4-NL-O26G-09661</t>
  </si>
  <si>
    <t>PIL-NL-I26G-23560</t>
  </si>
  <si>
    <t>HPBL4-NL-O26G-09662</t>
  </si>
  <si>
    <t>PIL-NL-I26G-23562</t>
  </si>
  <si>
    <t>HPBL4-NL-O26G-09663</t>
  </si>
  <si>
    <t>PIL-NL-I26G-23427</t>
  </si>
  <si>
    <t>HPBL4-NL-O26G-09664</t>
  </si>
  <si>
    <t>PIL-NL-I26G-23464</t>
  </si>
  <si>
    <t>HPBL4-NL-O26G-09665</t>
  </si>
  <si>
    <t>PIL-NL-I26G-23483</t>
  </si>
  <si>
    <t>HPBL4-NL-O26G-09666</t>
  </si>
  <si>
    <t>PIL-NL-I26G-23485</t>
  </si>
  <si>
    <t>HPBL4-NL-O26G-09667</t>
  </si>
  <si>
    <t>PIL-NL-I26G-23510</t>
  </si>
  <si>
    <t>HPBL4-NL-O26G-09668</t>
  </si>
  <si>
    <t>PIL-NL-I26G-23428</t>
  </si>
  <si>
    <t>HPBL4-NL-O26G-09669</t>
  </si>
  <si>
    <t>PIL-NL-I26G-23442</t>
  </si>
  <si>
    <t>HPBL4-NL-O26G-09670</t>
  </si>
  <si>
    <t>PIL-NL-I26G-23447</t>
  </si>
  <si>
    <t>HPBL4-NL-O26G-09671</t>
  </si>
  <si>
    <t>PIL-NL-I26G-23482</t>
  </si>
  <si>
    <t>HPBL4-NL-O26G-09672</t>
  </si>
  <si>
    <t>PIL-NL-I26G-23493</t>
  </si>
  <si>
    <t>HPBL4-NL-O26G-09673</t>
  </si>
  <si>
    <t>PIL-NL-I26G-23532</t>
  </si>
  <si>
    <t>HPBL4-NL-O26G-09674</t>
  </si>
  <si>
    <t>PIL-NL-I26G-23456</t>
  </si>
  <si>
    <t>HPBL4-NL-O26G-09675</t>
  </si>
  <si>
    <t>PIL-NL-I26G-23474</t>
  </si>
  <si>
    <t>HPBL4-NL-O26G-09676</t>
  </si>
  <si>
    <t>PIL-NL-I26G-23490</t>
  </si>
  <si>
    <t>HPBL4-NL-O26G-09677</t>
  </si>
  <si>
    <t>PIL-NL-I26G-23491</t>
  </si>
  <si>
    <t>HPBL4-NL-O26G-09678</t>
  </si>
  <si>
    <t>PIL-NL-I26G-23537</t>
  </si>
  <si>
    <t>HPBL4-NL-O26G-09679</t>
  </si>
  <si>
    <t>PIL-NL-I26G-23542</t>
  </si>
  <si>
    <t>HPBL4-NL-O26G-09680</t>
  </si>
  <si>
    <t>PIL-NL-I26G-23563</t>
  </si>
  <si>
    <t>HPBL4-NL-O26G-09681</t>
  </si>
  <si>
    <t>PIL-NL-I26G-23463</t>
  </si>
  <si>
    <t>HPBL4-NL-O26G-09682</t>
  </si>
  <si>
    <t>PIL-NL-I26G-23465</t>
  </si>
  <si>
    <t>HPBL4-NL-O26G-09683</t>
  </si>
  <si>
    <t>PIL-NL-I26G-23466</t>
  </si>
  <si>
    <t>HPBL4-NL-O26G-09684</t>
  </si>
  <si>
    <t>PIL-NL-I26G-23484</t>
  </si>
  <si>
    <t>HPBL4-NL-O26G-09685</t>
  </si>
  <si>
    <t>PIL-NL-I26G-23486</t>
  </si>
  <si>
    <t>HPBL4-NL-O26G-09686</t>
  </si>
  <si>
    <t>PIL-NL-I26G-23511</t>
  </si>
  <si>
    <t>HPBL4-NL-O26G-09687</t>
  </si>
  <si>
    <t>PIL-NL-I26G-23534</t>
  </si>
  <si>
    <t>HPBL4-NL-O26G-09688</t>
  </si>
  <si>
    <t>PIL-NL-I26G-23561</t>
  </si>
  <si>
    <t>HPBL4-NL-O26G-09689</t>
  </si>
  <si>
    <t>PIL-NL-I26G-23460</t>
  </si>
  <si>
    <t>HPBL4-NL-O26G-09690</t>
  </si>
  <si>
    <t>PIL-NL-I26G-23462</t>
  </si>
  <si>
    <t>HPBL4-NL-O26G-09691</t>
  </si>
  <si>
    <t>PIL-NL-I26G-23467</t>
  </si>
  <si>
    <t>HPBL4-NL-O26G-09692</t>
  </si>
  <si>
    <t>PIL-NL-I26G-23469</t>
  </si>
  <si>
    <t>HPBL4-NL-O26G-09693</t>
  </si>
  <si>
    <t>PIL-NL-I26G-23487</t>
  </si>
  <si>
    <t>HPBL4-NL-O26G-09694</t>
  </si>
  <si>
    <t>PIL-NL-I26G-23526</t>
  </si>
  <si>
    <t>HPBL4-NL-O26G-09695</t>
  </si>
  <si>
    <t>PIL-NL-I26G-23528</t>
  </si>
  <si>
    <t>HPBL4-NL-O26G-09696</t>
  </si>
  <si>
    <t>PIL-NL-I26G-23538</t>
  </si>
  <si>
    <t>HPBL4-NL-O26G-09697</t>
  </si>
  <si>
    <t>PIL-NL-I26G-23541</t>
  </si>
  <si>
    <t>HPBL4-NL-O26G-09698</t>
  </si>
  <si>
    <t>PIL-NL-I26G-23468</t>
  </si>
  <si>
    <t>HPBL4-NL-O26G-09699</t>
  </si>
  <si>
    <t>PIL-NL-I26G-23473</t>
  </si>
  <si>
    <t>HPBL4-NL-O26G-09700</t>
  </si>
  <si>
    <t>PIL-NL-I26G-23527</t>
  </si>
  <si>
    <t>HPBL4-NL-O26G-09701</t>
  </si>
  <si>
    <t>PIL-NL-I26G-23429</t>
  </si>
  <si>
    <t>HPBL4-NL-O26G-09702</t>
  </si>
  <si>
    <t>PIL-NL-I26G-23446</t>
  </si>
  <si>
    <t>HPBL4-NL-O26G-09703</t>
  </si>
  <si>
    <t>PIL-NL-I26G-23457</t>
  </si>
  <si>
    <t>HPBL4-NL-O26G-09704</t>
  </si>
  <si>
    <t>PIL-NL-I26G-23461</t>
  </si>
  <si>
    <t>HPBL4-NL-O26G-09705</t>
  </si>
  <si>
    <t>PIL-NL-I26G-23492</t>
  </si>
  <si>
    <t>HPBL4-NL-O26G-09706</t>
  </si>
  <si>
    <t>PIL-NL-I26G-23533</t>
  </si>
  <si>
    <t>HPBL4-NL-O26G-09707</t>
  </si>
  <si>
    <t>PIL-NL-I26G-23564</t>
  </si>
  <si>
    <t>HPBL4-NL-O26G-09708</t>
  </si>
  <si>
    <t>PIL-NL-I26G-23512</t>
  </si>
  <si>
    <t>HPBL4-NL-O26G-09709</t>
  </si>
  <si>
    <t>PIL-NL-I26G-23441</t>
  </si>
  <si>
    <t>HPBL4-NL-O26G-09710</t>
  </si>
  <si>
    <t>PIL-NL-I26G-23316</t>
  </si>
  <si>
    <t>HPBL4-NL-O26G-09711</t>
  </si>
  <si>
    <t>PIL-NL-I26G-22673</t>
  </si>
  <si>
    <t>HPBL4-L-O26G-08159</t>
  </si>
  <si>
    <t>PIL-L-I26F-19193</t>
  </si>
  <si>
    <t>HPBL4-L-O26G-08160</t>
  </si>
  <si>
    <t>PIL-L-I26F-19201</t>
  </si>
  <si>
    <t>HPBL4-L-O26G-08161</t>
  </si>
  <si>
    <t>PIL-L-I26F-19224</t>
  </si>
  <si>
    <t>HPBL4-L-O26G-08162</t>
  </si>
  <si>
    <t>PIL-L-I26F-19243</t>
  </si>
  <si>
    <t>HPBL4-L-O26G-08163</t>
  </si>
  <si>
    <t>PIL-L-I26F-19194</t>
  </si>
  <si>
    <t>HPBL4-L-O26G-08164</t>
  </si>
  <si>
    <t>PIL-L-I26F-19199</t>
  </si>
  <si>
    <t>HPBL4-L-O26G-08165</t>
  </si>
  <si>
    <t>PIL-L-I26F-19204</t>
  </si>
  <si>
    <t>HPBL4-L-O26G-08166</t>
  </si>
  <si>
    <t>PIL-L-I26F-19220</t>
  </si>
  <si>
    <t>HPBL4-L-O26G-08167</t>
  </si>
  <si>
    <t>PIL-L-I26F-19195</t>
  </si>
  <si>
    <t>HPBL4-L-O26G-08168</t>
  </si>
  <si>
    <t>PIL-L-I26F-19196</t>
  </si>
  <si>
    <t>HPBL4-L-O26G-08169</t>
  </si>
  <si>
    <t>PIL-L-I26F-19226</t>
  </si>
  <si>
    <t>HPBL4-L-O26G-08170</t>
  </si>
  <si>
    <t>PP 89 FLAT MW Folding</t>
  </si>
  <si>
    <t>PIL-L-I26F-19236</t>
  </si>
  <si>
    <t>HPBL4-L-O26G-08171</t>
  </si>
  <si>
    <t>PIL-L-I26F-19240</t>
  </si>
  <si>
    <t>HPBL4-L-O26G-08172</t>
  </si>
  <si>
    <t>PIL-L-I26F-19242</t>
  </si>
  <si>
    <t>HPBL4-L-O26G-08173</t>
  </si>
  <si>
    <t>PIL-L-I26F-19210</t>
  </si>
  <si>
    <t>HPBL4-L-O26G-08174</t>
  </si>
  <si>
    <t>PIL-L-I26F-19214</t>
  </si>
  <si>
    <t>HPBL4-L-O26G-08175</t>
  </si>
  <si>
    <t>PIL-L-I26F-19203</t>
  </si>
  <si>
    <t>HPBL4-L-O26G-08176</t>
  </si>
  <si>
    <t>PIL-L-I26F-19205</t>
  </si>
  <si>
    <t>HPBL4-L-O26G-08177</t>
  </si>
  <si>
    <t>PIL-L-I26F-19206</t>
  </si>
  <si>
    <t>HPBL4-L-O26G-08178</t>
  </si>
  <si>
    <t>PIL-L-I26F-19215</t>
  </si>
  <si>
    <t>HPBL4-L-O26G-08179</t>
  </si>
  <si>
    <t>PIL-L-I26F-19216</t>
  </si>
  <si>
    <t>HPBL4-L-O26G-08180</t>
  </si>
  <si>
    <t>PIL-L-I26F-19219</t>
  </si>
  <si>
    <t>HPBL4-L-O26G-08181</t>
  </si>
  <si>
    <t>PIL-L-I26F-19241</t>
  </si>
  <si>
    <t>HPBL4-L-O26G-08182</t>
  </si>
  <si>
    <t>PIL-L-I26F-19197</t>
  </si>
  <si>
    <t>HPBL4-L-O26G-08183</t>
  </si>
  <si>
    <t>PIL-L-I26F-19223</t>
  </si>
  <si>
    <t>HPBL4-L-O26G-08184</t>
  </si>
  <si>
    <t>PIL-L-I26F-19225</t>
  </si>
  <si>
    <t>HPBL4-L-O26G-08185</t>
  </si>
  <si>
    <t>PIL-L-I26F-19237</t>
  </si>
  <si>
    <t>HPBL4-L-O26G-08186</t>
  </si>
  <si>
    <t>PIL-L-I26F-19198</t>
  </si>
  <si>
    <t>HPBL4-L-O26G-08187</t>
  </si>
  <si>
    <t>PIL-L-I26F-19209</t>
  </si>
  <si>
    <t>HPBL4-L-O26G-08188</t>
  </si>
  <si>
    <t>PIL-L-I26F-19217</t>
  </si>
  <si>
    <t>HPBL4-L-O26G-08189</t>
  </si>
  <si>
    <t>PIL-L-I26F-19218</t>
  </si>
  <si>
    <t>HPBL4-L-O26G-08190</t>
  </si>
  <si>
    <t>PIL-L-I26F-19227</t>
  </si>
  <si>
    <t>HPBL4-L-O26G-08191</t>
  </si>
  <si>
    <t>PIL-L-I26F-19233</t>
  </si>
  <si>
    <t>HPBL4-L-O26G-08192</t>
  </si>
  <si>
    <t>PIL-L-I26F-19254</t>
  </si>
  <si>
    <t>HPBL4-L-O26G-08193L</t>
  </si>
  <si>
    <t>PP 22 FLAT BLUE 288 C</t>
  </si>
  <si>
    <t>PIL-L-I26C-10818-1L</t>
  </si>
  <si>
    <t>HPBL4-L-O26G-08194L</t>
  </si>
  <si>
    <t>PIL-L-I26F-18158-1L</t>
  </si>
  <si>
    <t>HPBL4-L-O26G-08195L</t>
  </si>
  <si>
    <t>PP 78 FLAT BLUE 288 C</t>
  </si>
  <si>
    <t>PIL-L-I26F-18158L</t>
  </si>
  <si>
    <t>HPBL4-L-O26G-08196</t>
  </si>
  <si>
    <t>PIL-L-I26F-19202</t>
  </si>
  <si>
    <t>HPBL4-L-O26G-08197L</t>
  </si>
  <si>
    <t>PIL-L-I26C-10818L</t>
  </si>
  <si>
    <t>HPBL4-L-O26G-08198L</t>
  </si>
  <si>
    <t>PP 190 TUBE MW</t>
  </si>
  <si>
    <t>132+25</t>
  </si>
  <si>
    <t>PIL-L-I26F-19078L</t>
  </si>
  <si>
    <t>HPBL4-L-O26G-08199</t>
  </si>
  <si>
    <t>OEL-L-I26F-02976</t>
  </si>
  <si>
    <t>PIL-L-O26G-09679</t>
  </si>
  <si>
    <t>HPBL4-L-O26G-08200</t>
  </si>
  <si>
    <t>OEL-L-I26F-02958</t>
  </si>
  <si>
    <t>PIL-L-O26G-09683</t>
  </si>
  <si>
    <t>HPBL4-L-O26G-08201L</t>
  </si>
  <si>
    <t>PP 107 FLAT MW</t>
  </si>
  <si>
    <t>PIL-L-O26G-09685L</t>
  </si>
  <si>
    <t>HPBL4-L-O26G-08202</t>
  </si>
  <si>
    <t>PIL-L-I26G-19288</t>
  </si>
  <si>
    <t>HPBL4-L-O26G-08203</t>
  </si>
  <si>
    <t>PIL-L-I26F-19272</t>
  </si>
  <si>
    <t>HPBL4-L-O26G-08204</t>
  </si>
  <si>
    <t>PIL-L-I26G-19284</t>
  </si>
  <si>
    <t>HPBL4-L-O26G-08205</t>
  </si>
  <si>
    <t>PIL-L-I26F-19281</t>
  </si>
  <si>
    <t>HPBL4-L-O26G-08206</t>
  </si>
  <si>
    <t>PIL-L-I26G-19283</t>
  </si>
  <si>
    <t>HPBL4-L-O26G-08207</t>
  </si>
  <si>
    <t>PIL-L-I26G-19287</t>
  </si>
  <si>
    <t>HPBL4-L-O26G-08208</t>
  </si>
  <si>
    <t>PIL-L-I26G-19289</t>
  </si>
  <si>
    <t>HPBL4-L-O26G-08209</t>
  </si>
  <si>
    <t>PIL-L-I26G-19298</t>
  </si>
  <si>
    <t>HPBL4-L-O26G-08210</t>
  </si>
  <si>
    <t>PIL-L-I26G-19308</t>
  </si>
  <si>
    <t>HPBL4-L-O26G-08211</t>
  </si>
  <si>
    <t>PIL-L-I26F-19273</t>
  </si>
  <si>
    <t>HPBL4-L-O26G-08212</t>
  </si>
  <si>
    <t>PIL-L-I26G-19299</t>
  </si>
  <si>
    <t>HPBL4-L-O26G-08213</t>
  </si>
  <si>
    <t>PIL-L-I26G-19293</t>
  </si>
  <si>
    <t>HPBL4-L-O26G-08214</t>
  </si>
  <si>
    <t>PIL-L-I26G-19296</t>
  </si>
  <si>
    <t>HPBL4-L-O26G-08215</t>
  </si>
  <si>
    <t>PIL-L-I26G-19302</t>
  </si>
  <si>
    <t>HPBL4-L-O26G-08216</t>
  </si>
  <si>
    <t>PIL-L-I26F-19271</t>
  </si>
  <si>
    <t>HPBL4-L-O26G-08217</t>
  </si>
  <si>
    <t>PIL-L-I26G-19294</t>
  </si>
  <si>
    <t>HPBL4-L-O26G-08218</t>
  </si>
  <si>
    <t>PIL-L-I26G-19309</t>
  </si>
  <si>
    <t>HPBL4-L-O26G-08219</t>
  </si>
  <si>
    <t>PIL-L-I26F-19274</t>
  </si>
  <si>
    <t>HPBL4-L-O26G-08220</t>
  </si>
  <si>
    <t>PIL-L-I26G-19285</t>
  </si>
  <si>
    <t>HPBL4-L-O26G-08221</t>
  </si>
  <si>
    <t>PIL-L-I26G-19286</t>
  </si>
  <si>
    <t>HPBL4-L-O26G-08222</t>
  </si>
  <si>
    <t>PIL-L-I26G-19291</t>
  </si>
  <si>
    <t>HPBL4-L-O26G-08223</t>
  </si>
  <si>
    <t>PIL-L-I26G-19295</t>
  </si>
  <si>
    <t>HPBL4-L-O26G-08224</t>
  </si>
  <si>
    <t>PIL-L-I26G-19297</t>
  </si>
  <si>
    <t>HPBL4-L-O26G-08225</t>
  </si>
  <si>
    <t>PIL-L-I26G-19300</t>
  </si>
  <si>
    <t>HPBL4-L-O26G-08226</t>
  </si>
  <si>
    <t>PIL-L-I26G-19290</t>
  </si>
  <si>
    <t>HPBL4-L-O26G-08227L</t>
  </si>
  <si>
    <t>HPBL-L-I26F-09475</t>
  </si>
  <si>
    <t>PIL-L-O26F-09531L</t>
  </si>
  <si>
    <t>HPBL4-L-O26G-08228L</t>
  </si>
  <si>
    <t>HPBL-L-I26F-09330</t>
  </si>
  <si>
    <t>PIL-L-O26F-09386-1L</t>
  </si>
  <si>
    <t>HPBL4-L-O26G-08229L</t>
  </si>
  <si>
    <t>PIL-L-O26F-09386L</t>
  </si>
  <si>
    <t>HPBL4-L-O26G-08230L</t>
  </si>
  <si>
    <t>PIL-L-I26F-19253L</t>
  </si>
  <si>
    <t>HPBL4-L-O26G-08231L</t>
  </si>
  <si>
    <t>PIL-L-I26F-19153L</t>
  </si>
  <si>
    <t>HPBL4-L-O26G-08232L</t>
  </si>
  <si>
    <t>PP 110 FLAT MW</t>
  </si>
  <si>
    <t>PIL-L-I26E-16313L</t>
  </si>
  <si>
    <t>HPBL4-L-O26G-08233</t>
  </si>
  <si>
    <t>PIL-L-I26G-19337</t>
  </si>
  <si>
    <t>HPBL4-L-O26G-08234</t>
  </si>
  <si>
    <t>PIL-L-I26G-19346</t>
  </si>
  <si>
    <t>HPBL4-L-O26G-08235</t>
  </si>
  <si>
    <t>PIL-L-I26G-19359</t>
  </si>
  <si>
    <t>HPBL4-L-O26G-08236</t>
  </si>
  <si>
    <t>PIL-L-I26G-19326</t>
  </si>
  <si>
    <t>HPBL4-L-O26G-08237</t>
  </si>
  <si>
    <t>PIL-L-I26G-19362</t>
  </si>
  <si>
    <t>HPBL4-L-O26G-08238</t>
  </si>
  <si>
    <t>PIL-L-I26G-19367</t>
  </si>
  <si>
    <t>HPBL4-L-O26G-08239</t>
  </si>
  <si>
    <t>PIL-L-I26G-19347</t>
  </si>
  <si>
    <t>HPBL4-L-O26G-08240</t>
  </si>
  <si>
    <t>PIL-L-I26G-19366</t>
  </si>
  <si>
    <t>HPBL4-L-O26G-08241</t>
  </si>
  <si>
    <t>PIL-L-I26G-19369</t>
  </si>
  <si>
    <t>HPBL4-L-O26G-08242</t>
  </si>
  <si>
    <t>PIL-L-I26G-19336</t>
  </si>
  <si>
    <t>HPBL4-L-O26G-08243</t>
  </si>
  <si>
    <t>PIL-L-I26G-19340</t>
  </si>
  <si>
    <t>HPBL4-L-O26G-08244</t>
  </si>
  <si>
    <t>PIL-L-I26G-19349</t>
  </si>
  <si>
    <t>HPBL4-L-O26G-08245</t>
  </si>
  <si>
    <t>PIL-L-I26G-19361</t>
  </si>
  <si>
    <t>HPBL4-L-O26G-08246</t>
  </si>
  <si>
    <t>PP 190 GZT MW 30% RP</t>
  </si>
  <si>
    <t>PIL-L-I26G-19327</t>
  </si>
  <si>
    <t>HPBL4-L-O26G-08247</t>
  </si>
  <si>
    <t>PIL-L-I26G-19334</t>
  </si>
  <si>
    <t>HPBL4-L-O26G-08248</t>
  </si>
  <si>
    <t>PIL-L-I26G-19342</t>
  </si>
  <si>
    <t>HPBL4-L-O26G-08249</t>
  </si>
  <si>
    <t>PIL-L-I26G-19352</t>
  </si>
  <si>
    <t>HPBL4-L-O26G-08250</t>
  </si>
  <si>
    <t>PIL-L-I26G-19363</t>
  </si>
  <si>
    <t>HPBL4-L-O26G-08251</t>
  </si>
  <si>
    <t>PIL-L-I26G-19368</t>
  </si>
  <si>
    <t>HPBL4-L-O26G-08252</t>
  </si>
  <si>
    <t>PIL-L-I26G-19348</t>
  </si>
  <si>
    <t>HPBL4-L-O26G-08253</t>
  </si>
  <si>
    <t>PIL-L-I26G-19358</t>
  </si>
  <si>
    <t>HPBL4-L-O26G-08254</t>
  </si>
  <si>
    <t>PIL-L-I26G-19350</t>
  </si>
  <si>
    <t>HPBL4-L-O26G-08255</t>
  </si>
  <si>
    <t>PIL-L-I26G-19360</t>
  </si>
  <si>
    <t>HPBL4-L-O26G-08256</t>
  </si>
  <si>
    <t>PIL-L-I26G-19335</t>
  </si>
  <si>
    <t>HPBL4-L-O26G-08257</t>
  </si>
  <si>
    <t>PIL-L-I26G-19332</t>
  </si>
  <si>
    <t>HPBL4-L-O26G-08258</t>
  </si>
  <si>
    <t>PIL-L-I26G-19338</t>
  </si>
  <si>
    <t>HPBL4-L-O26G-08259</t>
  </si>
  <si>
    <t>PIL-L-I26G-19355</t>
  </si>
  <si>
    <t>HPBL4-L-O26G-08260</t>
  </si>
  <si>
    <t>PIL-L-I26G-19328</t>
  </si>
  <si>
    <t>HPBL4-L-O26G-08261</t>
  </si>
  <si>
    <t>PIL-L-I26G-19377</t>
  </si>
  <si>
    <t>HPBL4-L-O26G-08262</t>
  </si>
  <si>
    <t>PIL-L-I26F-18797</t>
  </si>
  <si>
    <t>HPBL4-L-O26G-08263</t>
  </si>
  <si>
    <t>PIL-L-I26G-19331</t>
  </si>
  <si>
    <t>HPBL4-L-O26G-08264</t>
  </si>
  <si>
    <t>PIL-L-I26F-19235</t>
  </si>
  <si>
    <t>HPBL4-L-O26G-08265</t>
  </si>
  <si>
    <t>PIL-L-I26G-19345</t>
  </si>
  <si>
    <t>HPBL4-L-O26G-08270L</t>
  </si>
  <si>
    <t>OEL-L-I26C-01701L</t>
  </si>
  <si>
    <t>PP 107 FLAT MW B.F. Marking</t>
  </si>
  <si>
    <t>PIL-L-O26G-09778L</t>
  </si>
  <si>
    <t>HPBL4-L-O26G-08271</t>
  </si>
  <si>
    <t>PIL-L-I26G-19399</t>
  </si>
  <si>
    <t>HPBL4-L-O26G-08272</t>
  </si>
  <si>
    <t>PIL-L-I26G-19413</t>
  </si>
  <si>
    <t>HPBL4-L-O26G-08273</t>
  </si>
  <si>
    <t>PIL-L-I26G-19407</t>
  </si>
  <si>
    <t>HPBL4-L-O26G-08274</t>
  </si>
  <si>
    <t>PIL-L-I26G-19415</t>
  </si>
  <si>
    <t>HPBL4-L-O26G-08275</t>
  </si>
  <si>
    <t>PIL-L-I26G-19433</t>
  </si>
  <si>
    <t>HPBL4-L-O26G-08276</t>
  </si>
  <si>
    <t>PIL-L-I26G-19436</t>
  </si>
  <si>
    <t>HPBL4-L-O26G-08277</t>
  </si>
  <si>
    <t>PIL-L-I26G-19430</t>
  </si>
  <si>
    <t>HPBL4-L-O26G-08278</t>
  </si>
  <si>
    <t>PIL-L-I26G-19437</t>
  </si>
  <si>
    <t>HPBL4-L-O26G-08279</t>
  </si>
  <si>
    <t>PIL-L-I26G-19404</t>
  </si>
  <si>
    <t>HPBL4-L-O26G-08280</t>
  </si>
  <si>
    <t>PIL-L-I26G-19434</t>
  </si>
  <si>
    <t>HPBL4-L-O26G-08281</t>
  </si>
  <si>
    <t>PIL-L-I26G-19444</t>
  </si>
  <si>
    <t>HPBL4-L-O26G-08282</t>
  </si>
  <si>
    <t>PP 150 GZT ORANGE-072C</t>
  </si>
  <si>
    <t>PIL-L-I26G-19449</t>
  </si>
  <si>
    <t>HPBL4-L-O26G-08283</t>
  </si>
  <si>
    <t>PP 176.5 TUBE MW</t>
  </si>
  <si>
    <t>PIL-L-I26F-18639</t>
  </si>
  <si>
    <t>HPBL4-L-O26G-08284</t>
  </si>
  <si>
    <t>PIL-L-I26G-19400</t>
  </si>
  <si>
    <t>HPBL4-L-O26G-08285</t>
  </si>
  <si>
    <t>PIL-L-I26G-19401</t>
  </si>
  <si>
    <t>HPBL4-L-O26G-08286</t>
  </si>
  <si>
    <t>PIL-L-I26G-19411</t>
  </si>
  <si>
    <t>HPBL4-L-O26G-08287</t>
  </si>
  <si>
    <t>PIL-L-I26G-19414</t>
  </si>
  <si>
    <t>HPBL4-L-O26G-08288</t>
  </si>
  <si>
    <t>PIL-L-I26G-19445</t>
  </si>
  <si>
    <t>HPBL4-L-O26G-08289</t>
  </si>
  <si>
    <t>PIL-L-I26G-19402</t>
  </si>
  <si>
    <t>HPBL4-L-O26G-08290</t>
  </si>
  <si>
    <t>PIL-L-I26G-19406</t>
  </si>
  <si>
    <t>HPBL4-L-O26G-08291</t>
  </si>
  <si>
    <t>PIL-L-I26G-19398</t>
  </si>
  <si>
    <t>HPBL4-L-O26G-08292</t>
  </si>
  <si>
    <t>PIL-L-I26G-19403</t>
  </si>
  <si>
    <t>HPBL4-L-O26G-08293</t>
  </si>
  <si>
    <t>PIL-L-I26G-19429</t>
  </si>
  <si>
    <t>HPBL4-L-O26G-08294</t>
  </si>
  <si>
    <t>PIL-L-I26G-19446</t>
  </si>
  <si>
    <t>HPBL4-L-O26G-08295</t>
  </si>
  <si>
    <t>PIL-L-I26G-19442</t>
  </si>
  <si>
    <t>HPBL4-L-O26G-08296</t>
  </si>
  <si>
    <t>PIL-L-I26G-19450</t>
  </si>
  <si>
    <t>HPBL4-L-O26G-08297</t>
  </si>
  <si>
    <t>PIL-L-I26G-19438</t>
  </si>
  <si>
    <t>HPBL4-L-O26G-08298</t>
  </si>
  <si>
    <t>PIL-L-I26G-19422</t>
  </si>
  <si>
    <t>HPBL4-L-O26G-08299L</t>
  </si>
  <si>
    <t>HPBL-L-I26G-09670</t>
  </si>
  <si>
    <t>PIL-L-O26G-09765L</t>
  </si>
  <si>
    <t>HPBL4-L-O26G-08300L</t>
  </si>
  <si>
    <t>HPBL-L-I26G-09687</t>
  </si>
  <si>
    <t>PP 80 FLAT MW</t>
  </si>
  <si>
    <t>90+20</t>
  </si>
  <si>
    <t>PIL-L-O26G-09767L</t>
  </si>
  <si>
    <t>HPBL4-L-O26G-08301L</t>
  </si>
  <si>
    <t>HPBL-L-I26F-09423</t>
  </si>
  <si>
    <t>PP 58 FLAT MW</t>
  </si>
  <si>
    <t>PIL-L-O26F-09547-1L</t>
  </si>
  <si>
    <t>HPBL4-L-O26G-08302</t>
  </si>
  <si>
    <t>OEL-L-I26G-03025</t>
  </si>
  <si>
    <t>PIL-L-O26G-09820</t>
  </si>
  <si>
    <t>HPBL4-L-O26G-08303</t>
  </si>
  <si>
    <t>OEL-L-I26G-03020</t>
  </si>
  <si>
    <t>PIL-L-O26G-09821</t>
  </si>
  <si>
    <t>HPBL4-L-O26G-08304</t>
  </si>
  <si>
    <t>OEL-L-I26G-03026</t>
  </si>
  <si>
    <t>PIL-L-O26G-09823</t>
  </si>
  <si>
    <t>HPBL4-L-O26G-08266</t>
  </si>
  <si>
    <t>OEL-L-I26F-02950</t>
  </si>
  <si>
    <t>PIL-L-O26G-09772</t>
  </si>
  <si>
    <t>HPBL4-L-O26G-08267</t>
  </si>
  <si>
    <t>OEL-L-I26G-03008</t>
  </si>
  <si>
    <t>PIL-L-O26G-09771</t>
  </si>
  <si>
    <t>HPBL4-L-O26G-08268</t>
  </si>
  <si>
    <t>OEL-L-I26G-03007</t>
  </si>
  <si>
    <t>PIL-L-O26G-09774</t>
  </si>
  <si>
    <t>HPBL4-L-O26G-08269</t>
  </si>
  <si>
    <t>OEL-L-I26F-02990</t>
  </si>
  <si>
    <t>PIL-L-O26G-09776</t>
  </si>
  <si>
    <t>HPBL4-L-O26G-08305</t>
  </si>
  <si>
    <t>PIL-L-I26G-19519</t>
  </si>
  <si>
    <t>HPBL4-L-O26G-08306</t>
  </si>
  <si>
    <t>PIL-L-I26G-19520</t>
  </si>
  <si>
    <t>HPBL4-L-O26G-08307L</t>
  </si>
  <si>
    <t>PP 107 FLAT M/W 30% RP</t>
  </si>
  <si>
    <t>142+25</t>
  </si>
  <si>
    <t>PIL-L-I26G-19518L</t>
  </si>
  <si>
    <t>HPBL4-L-O26G-08308</t>
  </si>
  <si>
    <t>PIL-L-I26G-19468</t>
  </si>
  <si>
    <t>HPBL4-L-O26G-08309</t>
  </si>
  <si>
    <t>PIL-L-I26G-19469</t>
  </si>
  <si>
    <t>HPBL4-L-O26G-08310</t>
  </si>
  <si>
    <t>PIL-L-I26G-19494</t>
  </si>
  <si>
    <t>HPBL4-L-O26G-08311</t>
  </si>
  <si>
    <t>PIL-L-I26G-19507</t>
  </si>
  <si>
    <t>HPBL4-L-O26G-08312</t>
  </si>
  <si>
    <t>PIL-L-I26G-19482</t>
  </si>
  <si>
    <t>HPBL4-L-O26G-08313</t>
  </si>
  <si>
    <t>PIL-L-I26G-19492</t>
  </si>
  <si>
    <t>HPBL4-L-O26G-08314</t>
  </si>
  <si>
    <t>PIL-L-I26G-19508</t>
  </si>
  <si>
    <t>HPBL4-L-O26G-08315</t>
  </si>
  <si>
    <t>PIL-L-I26G-19470</t>
  </si>
  <si>
    <t>HPBL4-L-O26G-08316</t>
  </si>
  <si>
    <t>PIL-L-I26G-19479</t>
  </si>
  <si>
    <t>HPBL4-L-O26G-08317</t>
  </si>
  <si>
    <t>PIL-L-I26G-19503</t>
  </si>
  <si>
    <t>HPBL4-L-O26G-08318</t>
  </si>
  <si>
    <t>PIL-L-I26G-19475</t>
  </si>
  <si>
    <t>HPBL4-L-O26G-08319</t>
  </si>
  <si>
    <t>PIL-L-I26G-19478</t>
  </si>
  <si>
    <t>HPBL4-L-O26G-08320</t>
  </si>
  <si>
    <t>PIL-L-I26G-19481</t>
  </si>
  <si>
    <t>HPBL4-L-O26G-08321</t>
  </si>
  <si>
    <t>PIL-L-I26G-19476</t>
  </si>
  <si>
    <t>HPBL4-L-O26G-08322</t>
  </si>
  <si>
    <t>PIL-L-I26G-19489</t>
  </si>
  <si>
    <t>HPBL4-L-O26G-08323</t>
  </si>
  <si>
    <t>PIL-L-I26G-19502</t>
  </si>
  <si>
    <t>HPBL4-L-O26G-08324</t>
  </si>
  <si>
    <t>PIL-L-I26G-19505</t>
  </si>
  <si>
    <t>HPBL4-L-O26G-08325</t>
  </si>
  <si>
    <t>PIL-L-I26G-19517</t>
  </si>
  <si>
    <t>HPBL4-L-O26G-08326</t>
  </si>
  <si>
    <t>PIL-L-I26G-19498</t>
  </si>
  <si>
    <t>HPBL4-L-O26G-08327</t>
  </si>
  <si>
    <t>PIL-L-I26G-19488</t>
  </si>
  <si>
    <t>HPBL4-L-O26G-08328</t>
  </si>
  <si>
    <t>PIL-L-I26G-19477</t>
  </si>
  <si>
    <t>HPBL4-L-O26G-08329</t>
  </si>
  <si>
    <t>PIL-L-I26G-19490</t>
  </si>
  <si>
    <t>HPBL4-L-O26G-08330</t>
  </si>
  <si>
    <t>PIL-L-I26G-19504</t>
  </si>
  <si>
    <t>HPBL4-L-O26G-08331</t>
  </si>
  <si>
    <t>PIL-L-I26G-19467</t>
  </si>
  <si>
    <t>HPBL4-L-O26G-08332</t>
  </si>
  <si>
    <t>PIL-L-I26G-19491</t>
  </si>
  <si>
    <t>HPBL4-L-O26G-08333</t>
  </si>
  <si>
    <t>PIL-L-I26G-19495</t>
  </si>
  <si>
    <t>HPBL4-L-O26G-08334</t>
  </si>
  <si>
    <t>PIL-L-I26G-19506</t>
  </si>
  <si>
    <t>HPBL4-L-O26G-08335L</t>
  </si>
  <si>
    <t>152+25</t>
  </si>
  <si>
    <t>PIL-L-I26G-19339L</t>
  </si>
  <si>
    <t>HPBL4-L-O26G-08336L</t>
  </si>
  <si>
    <t>PIL-L-I26F-19246L</t>
  </si>
  <si>
    <t>HPBL4-L-O26G-08337L</t>
  </si>
  <si>
    <t>PIL-L-I26G-19319L</t>
  </si>
  <si>
    <t>HPBL4-L-O26G-08338L</t>
  </si>
  <si>
    <t>PIL-L-I26G-19371L</t>
  </si>
  <si>
    <t>HPBL4-L-O26G-08339L</t>
  </si>
  <si>
    <t>PIL-L-I26G-19441L</t>
  </si>
  <si>
    <t>HPBL4-L-O26G-08340</t>
  </si>
  <si>
    <t>PIL-L-I26G-19483</t>
  </si>
  <si>
    <t>HPBL4-L-O26G-08341</t>
  </si>
  <si>
    <t>PIL-L-I26G-19521</t>
  </si>
  <si>
    <t>HPBL4-L-O26G-08342</t>
  </si>
  <si>
    <t>PIL-L-I26G-19561</t>
  </si>
  <si>
    <t>HPBL4-L-O26G-08343</t>
  </si>
  <si>
    <t>PIL-L-I26G-19539</t>
  </si>
  <si>
    <t>HPBL4-L-O26G-08344</t>
  </si>
  <si>
    <t>PIL-L-I26G-19549</t>
  </si>
  <si>
    <t>HPBL4-L-O26G-08345</t>
  </si>
  <si>
    <t>PIL-L-I26G-19551</t>
  </si>
  <si>
    <t>HPBL4-L-O26G-08346</t>
  </si>
  <si>
    <t>PIL-L-I26G-19562</t>
  </si>
  <si>
    <t>HPBL4-L-O26G-08347</t>
  </si>
  <si>
    <t>PIL-L-I26G-19563</t>
  </si>
  <si>
    <t>HPBL4-L-O26G-08348</t>
  </si>
  <si>
    <t>PIL-L-I26G-19546</t>
  </si>
  <si>
    <t>HPBL4-L-O26G-08349</t>
  </si>
  <si>
    <t>PIL-L-I26G-19547</t>
  </si>
  <si>
    <t>HPBL4-L-O26G-08350</t>
  </si>
  <si>
    <t>PIL-L-I26G-19548</t>
  </si>
  <si>
    <t>HPBL4-L-O26G-08351</t>
  </si>
  <si>
    <t>PIL-L-I26G-19557</t>
  </si>
  <si>
    <t>HPBL4-L-O26G-08352</t>
  </si>
  <si>
    <t>PIL-L-I26G-19565</t>
  </si>
  <si>
    <t>HPBL4-L-O26G-08353</t>
  </si>
  <si>
    <t>PIL-L-I26G-19567</t>
  </si>
  <si>
    <t>HPBL4-L-O26G-08354</t>
  </si>
  <si>
    <t>PIL-L-I26G-19550</t>
  </si>
  <si>
    <t>HPBL4-L-O26G-08355</t>
  </si>
  <si>
    <t>PIL-L-I26G-19538</t>
  </si>
  <si>
    <t>HPBL4-L-O26G-08356</t>
  </si>
  <si>
    <t>PIL-L-I26G-19560</t>
  </si>
  <si>
    <t>HPBL4-L-O26G-08357</t>
  </si>
  <si>
    <t>PIL-L-I26G-19566</t>
  </si>
  <si>
    <t>HPBL4-L-O26G-08358</t>
  </si>
  <si>
    <t>PIL-L-I26G-19537</t>
  </si>
  <si>
    <t>HPBL4-L-O26G-08359</t>
  </si>
  <si>
    <t>PIL-L-I26G-19544</t>
  </si>
  <si>
    <t>HPBL4-L-O26G-08360</t>
  </si>
  <si>
    <t>PIL-L-I26G-19545</t>
  </si>
  <si>
    <t>HPBL4-L-O26G-08361</t>
  </si>
  <si>
    <t>PIL-L-I26G-19556</t>
  </si>
  <si>
    <t>HPBL4-L-O26G-08362</t>
  </si>
  <si>
    <t>PIL-L-I26G-19533</t>
  </si>
  <si>
    <t>HPBL4-L-O26G-08363</t>
  </si>
  <si>
    <t>PIL-L-I26G-19540</t>
  </si>
  <si>
    <t>HPBL4-L-O26G-08364</t>
  </si>
  <si>
    <t>PIL-L-I26G-19534</t>
  </si>
  <si>
    <t>HPBL4-L-O26G-08365</t>
  </si>
  <si>
    <t>PIL-L-I26G-19535</t>
  </si>
  <si>
    <t>HPBL4-L-O26G-08366</t>
  </si>
  <si>
    <t>OEL-L-I26G-03055</t>
  </si>
  <si>
    <t>PIL-L-O26G-09965</t>
  </si>
  <si>
    <t>HPBL4-L-O26G-08367</t>
  </si>
  <si>
    <t>OEL-L-I26G-03038</t>
  </si>
  <si>
    <t>PIL-L-O26G-09969</t>
  </si>
  <si>
    <t>HPBL4-L-O26G-08368</t>
  </si>
  <si>
    <t>OEL-L-I26G-03039</t>
  </si>
  <si>
    <t>PIL-L-O26G-09964</t>
  </si>
  <si>
    <t>HPBL4-L-O26G-08369</t>
  </si>
  <si>
    <t>OEL-L-I26G-03064</t>
  </si>
  <si>
    <t>PIL-L-O26G-09970</t>
  </si>
  <si>
    <t>HPBL4-L-O26G-08370</t>
  </si>
  <si>
    <t>PP 105 FLAT MW 30% RP</t>
  </si>
  <si>
    <t>PIL-L-I26G-19592</t>
  </si>
  <si>
    <t>HPBL4-L-O26G-08371</t>
  </si>
  <si>
    <t>PIL-L-I26G-19591</t>
  </si>
  <si>
    <t>HPBL4-L-O26G-08372</t>
  </si>
  <si>
    <t>PIL-L-I26G-19601</t>
  </si>
  <si>
    <t>HPBL4-L-O26G-08373</t>
  </si>
  <si>
    <t>PIL-L-I26G-19602</t>
  </si>
  <si>
    <t>HPBL4-L-O26G-08374</t>
  </si>
  <si>
    <t>PIL-L-I26G-19590</t>
  </si>
  <si>
    <t>HPBL4-L-O26G-08375</t>
  </si>
  <si>
    <t>PIL-L-I26G-19589</t>
  </si>
  <si>
    <t>HPBL4-L-O26G-08376</t>
  </si>
  <si>
    <t>PIL-L-I26G-19588</t>
  </si>
  <si>
    <t>HPBL4-L-O26G-08377</t>
  </si>
  <si>
    <t>PIL-L-I26G-19622</t>
  </si>
  <si>
    <t>HPBL4-L-O26G-08378</t>
  </si>
  <si>
    <t>PIL-L-I26G-19623</t>
  </si>
  <si>
    <t>HPBL4-L-O26G-08379</t>
  </si>
  <si>
    <t>PIL-L-I26G-19633</t>
  </si>
  <si>
    <t>HPBL4-L-O26G-08380</t>
  </si>
  <si>
    <t>PIL-L-I26G-19607</t>
  </si>
  <si>
    <t>HPBL4-L-O26G-08381</t>
  </si>
  <si>
    <t>PIL-L-I26G-19612</t>
  </si>
  <si>
    <t>HPBL4-L-O26G-08382</t>
  </si>
  <si>
    <t>PIL-L-I26G-19621</t>
  </si>
  <si>
    <t>HPBL4-L-O26G-08383</t>
  </si>
  <si>
    <t>PIL-L-I26G-19609</t>
  </si>
  <si>
    <t>HPBL4-L-O26G-08384</t>
  </si>
  <si>
    <t>PIL-L-I26G-19611</t>
  </si>
  <si>
    <t>HPBL4-L-O26G-08385</t>
  </si>
  <si>
    <t>PIL-L-I26G-19630</t>
  </si>
  <si>
    <t>HPBL4-L-O26G-08386</t>
  </si>
  <si>
    <t>PIL-L-I26G-19613</t>
  </si>
  <si>
    <t>HPBL4-L-O26G-08387</t>
  </si>
  <si>
    <t>PIL-L-I26G-19603</t>
  </si>
  <si>
    <t>HPBL4-L-O26G-08388</t>
  </si>
  <si>
    <t>PIL-L-I26G-19606</t>
  </si>
  <si>
    <t>HPBL4-L-O26G-08389</t>
  </si>
  <si>
    <t>PIL-L-I26G-19620</t>
  </si>
  <si>
    <t>HPBL4-L-O26G-08390</t>
  </si>
  <si>
    <t>PIL-L-I26G-19635</t>
  </si>
  <si>
    <t>HPBL4-L-O26G-08391</t>
  </si>
  <si>
    <t>PIL-L-I26G-19610</t>
  </si>
  <si>
    <t>HPBL4-L-O26G-08392</t>
  </si>
  <si>
    <t>PIL-L-I26G-19614</t>
  </si>
  <si>
    <t>HPBL4-L-O26G-08393</t>
  </si>
  <si>
    <t>PIL-L-I26G-19618</t>
  </si>
  <si>
    <t>HPBL4-L-O26G-08394</t>
  </si>
  <si>
    <t>PIL-L-I26G-19619</t>
  </si>
  <si>
    <t>HPBL4-L-O26G-08395</t>
  </si>
  <si>
    <t>PIL-L-I26G-19637</t>
  </si>
  <si>
    <t>HPBL4-L-O26G-08396</t>
  </si>
  <si>
    <t>PIL-L-I26G-19624</t>
  </si>
  <si>
    <t>HPBL4-L-O26G-08397L</t>
  </si>
  <si>
    <t>PIL-L-I26G-19571L</t>
  </si>
  <si>
    <t>HPBL4-L-O26G-08398L</t>
  </si>
  <si>
    <t>PIL-L-I26F-19234L</t>
  </si>
  <si>
    <t>HPBL4-L-O26G-08399L</t>
  </si>
  <si>
    <t>PIL-L-I26G-19514L</t>
  </si>
  <si>
    <t>HPBL4-L-O26G-08400L</t>
  </si>
  <si>
    <t>PIL-L-I26G-19509L</t>
  </si>
  <si>
    <t>HPBL4-L-O26G-08402</t>
  </si>
  <si>
    <t>PPL-L-I26F-04594</t>
  </si>
  <si>
    <t>UL 07.07.26</t>
  </si>
  <si>
    <t>HPBL4-L-O26G-08403</t>
  </si>
  <si>
    <t>PPL-L-O26F-01963</t>
  </si>
  <si>
    <t>HPBL4-L-O26G-08404</t>
  </si>
  <si>
    <t>PPL-I  26 =D 3338</t>
  </si>
  <si>
    <t>PPL-L-O26G-02066</t>
  </si>
  <si>
    <t>HPBL4-L-O26G-08401</t>
  </si>
  <si>
    <t>PPL-L-I26F-04606</t>
  </si>
  <si>
    <t>HCP-4  06.07.26</t>
  </si>
  <si>
    <t>HPBL4-L-O26G-08405</t>
  </si>
  <si>
    <t>36F2617</t>
  </si>
  <si>
    <t>PIL2-L-O26G-03522</t>
  </si>
  <si>
    <t>HPBL4-L-O26G-08406</t>
  </si>
  <si>
    <t>37F2620</t>
  </si>
  <si>
    <t>PIL2-L-O26G-03530</t>
  </si>
  <si>
    <t>HPBL4-L-O26G-08407</t>
  </si>
  <si>
    <t>36F2625</t>
  </si>
  <si>
    <t>PIL2-L-O26G-03533</t>
  </si>
  <si>
    <t>HPBL4-L-O26G-08408</t>
  </si>
  <si>
    <t>37F2606</t>
  </si>
  <si>
    <t>PIL2-L-O26G-03537</t>
  </si>
  <si>
    <t>HPBL4-L-O26G-08409</t>
  </si>
  <si>
    <t>36G2605</t>
  </si>
  <si>
    <t>PIL2-L-O26G-03544</t>
  </si>
  <si>
    <t>HPBL4-L-O26G-08410</t>
  </si>
  <si>
    <t>37F2623</t>
  </si>
  <si>
    <t>PIL2-L-O26G-03511</t>
  </si>
  <si>
    <t>HPBL4-L-O26G-08411</t>
  </si>
  <si>
    <t>36F2613</t>
  </si>
  <si>
    <t>PIL2-L-O26G-03515</t>
  </si>
  <si>
    <t>HPBL4-L-O26G-08412</t>
  </si>
  <si>
    <t>36F2612</t>
  </si>
  <si>
    <t>PIL2-L-O26G-03513</t>
  </si>
  <si>
    <t>HPBL4-L-O26G-08413</t>
  </si>
  <si>
    <t>37F2611</t>
  </si>
  <si>
    <t>PIL2-L-O26G-03514</t>
  </si>
  <si>
    <t>HPBL4-L-O26G-08414</t>
  </si>
  <si>
    <t>36F2615</t>
  </si>
  <si>
    <t>PIL2-L-O26G-03519</t>
  </si>
  <si>
    <t>HPBL4-L-O26G-08415</t>
  </si>
  <si>
    <t>36F2618</t>
  </si>
  <si>
    <t>PIL2-L-O26G-03524</t>
  </si>
  <si>
    <t>HPBL4-L-O26G-08416</t>
  </si>
  <si>
    <t>36F2623</t>
  </si>
  <si>
    <t>PIL2-L-O26G-03531</t>
  </si>
  <si>
    <t>HPBL4-L-O26G-08417</t>
  </si>
  <si>
    <t>37F2622</t>
  </si>
  <si>
    <t>PIL2-L-O26G-03532</t>
  </si>
  <si>
    <t>HPBL4-L-O26G-08418</t>
  </si>
  <si>
    <t>37F2625</t>
  </si>
  <si>
    <t>PIL2-L-O26G-03536</t>
  </si>
  <si>
    <t>HPBL4-L-O26G-08419</t>
  </si>
  <si>
    <t>36F2601</t>
  </si>
  <si>
    <t>PIL2-L-O26G-03538</t>
  </si>
  <si>
    <t>HPBL4-L-O26G-08420</t>
  </si>
  <si>
    <t>37G2601</t>
  </si>
  <si>
    <t>PIL2-L-O26G-03541</t>
  </si>
  <si>
    <t>HPBL4-L-O26G-08421</t>
  </si>
  <si>
    <t>36F2616</t>
  </si>
  <si>
    <t>PIL2-L-O26G-03520</t>
  </si>
  <si>
    <t>HPBL4-L-O26G-08422</t>
  </si>
  <si>
    <t>36F2619</t>
  </si>
  <si>
    <t>PIL2-L-O26G-03526</t>
  </si>
  <si>
    <t>HPBL4-L-O26G-08423</t>
  </si>
  <si>
    <t>36F2621</t>
  </si>
  <si>
    <t>PIL2-L-O26G-03529</t>
  </si>
  <si>
    <t>HPBL4-L-O26G-08424</t>
  </si>
  <si>
    <t>36F2626</t>
  </si>
  <si>
    <t>PIL2-L-O26G-03534</t>
  </si>
  <si>
    <t>HPBL4-L-O26G-08425</t>
  </si>
  <si>
    <t>37G2602</t>
  </si>
  <si>
    <t>PIL2-L-O26G-03542</t>
  </si>
  <si>
    <t>HPBL4-L-O26G-08426</t>
  </si>
  <si>
    <t>36G2604</t>
  </si>
  <si>
    <t>PIL2-L-O26G-03543</t>
  </si>
  <si>
    <t>HPBL4-L-O26G-08427</t>
  </si>
  <si>
    <t>36E2622</t>
  </si>
  <si>
    <t>PIL2-L-O26G-03508</t>
  </si>
  <si>
    <t>HPBL4-L-O26G-08428</t>
  </si>
  <si>
    <t>37F2616</t>
  </si>
  <si>
    <t>PIL2-L-O26G-03523</t>
  </si>
  <si>
    <t>HPBL4-L-O26G-08429</t>
  </si>
  <si>
    <t>37F2618</t>
  </si>
  <si>
    <t>PIL2-L-O26G-03527</t>
  </si>
  <si>
    <t>HPBL4-L-O26G-08430</t>
  </si>
  <si>
    <t>37F2612</t>
  </si>
  <si>
    <t>PIL2-L-O26G-03516</t>
  </si>
  <si>
    <t>HPBL4-L-O26G-08431</t>
  </si>
  <si>
    <t>37F2614</t>
  </si>
  <si>
    <t>PIL2-L-O26G-03518</t>
  </si>
  <si>
    <t>HPBL4-L-O26G-08432</t>
  </si>
  <si>
    <t>37F2617</t>
  </si>
  <si>
    <t>PIL2-L-O26G-03525</t>
  </si>
  <si>
    <t>HPBL4-L-O26G-08433</t>
  </si>
  <si>
    <t>36F2620</t>
  </si>
  <si>
    <t>PIL2-L-O26G-03528</t>
  </si>
  <si>
    <t>HPBL4-L-O26G-08434</t>
  </si>
  <si>
    <t>37G2604</t>
  </si>
  <si>
    <t>PIL2-L-O26G-03546</t>
  </si>
  <si>
    <t>HPBL4-L-O26G-08435</t>
  </si>
  <si>
    <t>36G2603</t>
  </si>
  <si>
    <t>PIL2-L-O26G-03540</t>
  </si>
  <si>
    <t>HPBL4-L-O26G-08436</t>
  </si>
  <si>
    <t>37F2621</t>
  </si>
  <si>
    <t>PIL2-L-O26G-03509</t>
  </si>
  <si>
    <t>HPBL4-L-O26G-08437</t>
  </si>
  <si>
    <t>37F2624</t>
  </si>
  <si>
    <t>PIL2-L-O26G-03535</t>
  </si>
  <si>
    <t>HPBL4-L-O26G-08438</t>
  </si>
  <si>
    <t>36G2602</t>
  </si>
  <si>
    <t>PIL2-L-O26G-03539</t>
  </si>
  <si>
    <t>HPBL4-L-O26G-08439</t>
  </si>
  <si>
    <t>36F2624</t>
  </si>
  <si>
    <t>PIL2-L-O26G-03510</t>
  </si>
  <si>
    <t>HPBL4-L-O26G-08440</t>
  </si>
  <si>
    <t>36F2611</t>
  </si>
  <si>
    <t>PIL2-L-O26G-03512</t>
  </si>
  <si>
    <t>HPBL4-L-O26G-08441</t>
  </si>
  <si>
    <t>36F2614</t>
  </si>
  <si>
    <t>PIL2-L-O26G-03517</t>
  </si>
  <si>
    <t>HPBL4-L-O26G-08442</t>
  </si>
  <si>
    <t>37F2615</t>
  </si>
  <si>
    <t>PIL2-L-O26G-03521</t>
  </si>
  <si>
    <t>HPBL4-L-O26G-08443</t>
  </si>
  <si>
    <t>37G2603</t>
  </si>
  <si>
    <t>PIL2-L-O26G-03545</t>
  </si>
  <si>
    <t>HPBL4-L-O26G-08444</t>
  </si>
  <si>
    <t>PPL-I  26 =F 4478</t>
  </si>
  <si>
    <t>PPL-L-O26G-02072</t>
  </si>
  <si>
    <t>UL 08.07.26 HCP-4</t>
  </si>
  <si>
    <t>HPBL4-L-O26G-08445</t>
  </si>
  <si>
    <t>PPL-L-O26G-02073</t>
  </si>
  <si>
    <t>HPBL4-L-O26G-08446L</t>
  </si>
  <si>
    <t>PF-09</t>
  </si>
  <si>
    <t>PP 58 SPOUT MW</t>
  </si>
  <si>
    <t>PPL-L-O26G-02074L</t>
  </si>
  <si>
    <t>LAMINATED HCP-4  08.07.26</t>
  </si>
  <si>
    <t>HPBL4-L-O26G-08447</t>
  </si>
  <si>
    <t>PIL-L-I26G-19675</t>
  </si>
  <si>
    <t>HPBL4-L-O26G-08448</t>
  </si>
  <si>
    <t>PIL-L-I26G-19671</t>
  </si>
  <si>
    <t>HPBL4-L-O26G-08449</t>
  </si>
  <si>
    <t>PIL-L-I26G-19677</t>
  </si>
  <si>
    <t>HPBL4-L-O26G-08450</t>
  </si>
  <si>
    <t>PIL-L-I26G-19692</t>
  </si>
  <si>
    <t>HPBL4-L-O26G-08451</t>
  </si>
  <si>
    <t>PIL-L-I26G-19655</t>
  </si>
  <si>
    <t>HPBL4-L-O26G-08452</t>
  </si>
  <si>
    <t>PIL-L-I26G-19657</t>
  </si>
  <si>
    <t>HPBL4-L-O26G-08453</t>
  </si>
  <si>
    <t>PIL-L-I26G-19668</t>
  </si>
  <si>
    <t>HPBL4-L-O26G-08454</t>
  </si>
  <si>
    <t>PIL-L-I26G-19664</t>
  </si>
  <si>
    <t>HPBL4-L-O26G-08455</t>
  </si>
  <si>
    <t>PIL-L-I26G-19672</t>
  </si>
  <si>
    <t>HPBL4-L-O26G-08456</t>
  </si>
  <si>
    <t>PIL-L-I26G-19681</t>
  </si>
  <si>
    <t>HPBL4-L-O26G-08457</t>
  </si>
  <si>
    <t>PIL-L-I26G-19658</t>
  </si>
  <si>
    <t>HPBL4-L-O26G-08458</t>
  </si>
  <si>
    <t>PIL-L-I26G-19665</t>
  </si>
  <si>
    <t>HPBL4-L-O26G-08459</t>
  </si>
  <si>
    <t>PIL-L-I26G-19669</t>
  </si>
  <si>
    <t>HPBL4-L-O26G-08460</t>
  </si>
  <si>
    <t>PIL-L-I26G-19650</t>
  </si>
  <si>
    <t>HPBL4-L-O26G-08461</t>
  </si>
  <si>
    <t>PIL-L-I26G-19659</t>
  </si>
  <si>
    <t>HPBL4-L-O26G-08462</t>
  </si>
  <si>
    <t>PIL-L-I26G-19673</t>
  </si>
  <si>
    <t>HPBL4-L-O26G-08463</t>
  </si>
  <si>
    <t>PIL-L-I26G-19676</t>
  </si>
  <si>
    <t>HPBL4-L-O26G-08464</t>
  </si>
  <si>
    <t>PIL-L-I26G-19689</t>
  </si>
  <si>
    <t>HPBL4-L-O26G-08465</t>
  </si>
  <si>
    <t>PIL-L-I26G-19663</t>
  </si>
  <si>
    <t>HPBL4-L-O26G-08466</t>
  </si>
  <si>
    <t>PIL-L-I26G-19691</t>
  </si>
  <si>
    <t>HPBL4-L-O26G-08467</t>
  </si>
  <si>
    <t>PIL-L-I26G-19684</t>
  </si>
  <si>
    <t>HPBL4-L-O26G-08468</t>
  </si>
  <si>
    <t>PIL-L-I26G-19688</t>
  </si>
  <si>
    <t>HPBL4-L-O26G-08469</t>
  </si>
  <si>
    <t>PIL-L-I26G-19660</t>
  </si>
  <si>
    <t>HPBL4-L-O26G-08470</t>
  </si>
  <si>
    <t>PIL-L-I26G-19662</t>
  </si>
  <si>
    <t>HPBL4-L-O26G-08471</t>
  </si>
  <si>
    <t>PIL-L-I26G-19667</t>
  </si>
  <si>
    <t>HPBL4-L-O26G-08472</t>
  </si>
  <si>
    <t>PIL-L-I26G-19666</t>
  </si>
  <si>
    <t>HPBL4-L-O26G-08473</t>
  </si>
  <si>
    <t>PIL-L-I26G-19679</t>
  </si>
  <si>
    <t>HPBL4-L-O26G-08474</t>
  </si>
  <si>
    <t>PP 115 GZT MW</t>
  </si>
  <si>
    <t>PIL-L-I26G-19699</t>
  </si>
  <si>
    <t>HPBL4-L-O26G-08475</t>
  </si>
  <si>
    <t>PIL-L-I26G-19678</t>
  </si>
  <si>
    <t>HPBL4-L-O26G-08476</t>
  </si>
  <si>
    <t>PIL-L-I26G-19653</t>
  </si>
  <si>
    <t>HPBL4-L-O26G-08477</t>
  </si>
  <si>
    <t>PIL-L-I26G-19670</t>
  </si>
  <si>
    <t>HPBL4-L-O26G-08478L</t>
  </si>
  <si>
    <t>PIL-L-I26F-17732L</t>
  </si>
  <si>
    <t>HPBL4-L-O26G-08479</t>
  </si>
  <si>
    <t>PIL-L-I26G-19776</t>
  </si>
  <si>
    <t>HPBL4-L-O26G-08480</t>
  </si>
  <si>
    <t>PIL-L-I26G-19775</t>
  </si>
  <si>
    <t>HPBL4-L-O26G-08481</t>
  </si>
  <si>
    <t>PIL-L-I26G-19774</t>
  </si>
  <si>
    <t>HPBL4-L-O26G-08482</t>
  </si>
  <si>
    <t>PIL-L-I26G-19777</t>
  </si>
  <si>
    <t>HPBL4-L-O26G-08483</t>
  </si>
  <si>
    <t>PIL-L-I26G-19728</t>
  </si>
  <si>
    <t>HPBL4-L-O26G-08484</t>
  </si>
  <si>
    <t>PIL-L-I26G-19732</t>
  </si>
  <si>
    <t>HPBL4-L-O26G-08485</t>
  </si>
  <si>
    <t>PIL-L-I26G-19735</t>
  </si>
  <si>
    <t>HPBL4-L-O26G-08486</t>
  </si>
  <si>
    <t>PIL-L-I26G-19761</t>
  </si>
  <si>
    <t>HPBL4-L-O26G-08487</t>
  </si>
  <si>
    <t>PIL-L-I26G-19767</t>
  </si>
  <si>
    <t>HPBL4-L-O26G-08488</t>
  </si>
  <si>
    <t>PIL-L-I26G-19730</t>
  </si>
  <si>
    <t>HPBL4-L-O26G-08489</t>
  </si>
  <si>
    <t>PIL-L-I26G-19733</t>
  </si>
  <si>
    <t>HPBL4-L-O26G-08490</t>
  </si>
  <si>
    <t>PIL-L-I26G-19742</t>
  </si>
  <si>
    <t>HPBL4-L-O26G-08491</t>
  </si>
  <si>
    <t>PIL-L-I26G-19743</t>
  </si>
  <si>
    <t>HPBL4-L-O26G-08492</t>
  </si>
  <si>
    <t>PIL-L-I26G-19749</t>
  </si>
  <si>
    <t>HPBL4-L-O26G-08493</t>
  </si>
  <si>
    <t>PIL-L-I26G-19734</t>
  </si>
  <si>
    <t>HPBL4-L-O26G-08494</t>
  </si>
  <si>
    <t>PIL-L-I26G-19736</t>
  </si>
  <si>
    <t>HPBL4-L-O26G-08495</t>
  </si>
  <si>
    <t>PIL-L-I26G-19760</t>
  </si>
  <si>
    <t>HPBL4-L-O26G-08496</t>
  </si>
  <si>
    <t>PIL-L-I26G-19731</t>
  </si>
  <si>
    <t>HPBL4-L-O26G-08497</t>
  </si>
  <si>
    <t>PIL-L-I26G-19737</t>
  </si>
  <si>
    <t>HPBL4-L-O26G-08498</t>
  </si>
  <si>
    <t>PIL-L-I26G-19738</t>
  </si>
  <si>
    <t>HPBL4-L-O26G-08499</t>
  </si>
  <si>
    <t>PIL-L-I26G-19741</t>
  </si>
  <si>
    <t>HPBL4-L-O26G-08500</t>
  </si>
  <si>
    <t>PIL-L-I26G-19757</t>
  </si>
  <si>
    <t>HPBL4-L-O26G-08501</t>
  </si>
  <si>
    <t>PIL-L-I26G-19759</t>
  </si>
  <si>
    <t>HPBL4-L-O26G-08502</t>
  </si>
  <si>
    <t>PIL-L-I26G-19725</t>
  </si>
  <si>
    <t>HPBL4-L-O26G-08503</t>
  </si>
  <si>
    <t>PIL-L-I26G-19748</t>
  </si>
  <si>
    <t>HPBL4-L-O26G-08504</t>
  </si>
  <si>
    <t>PIL-L-I26G-19752</t>
  </si>
  <si>
    <t>HPBL4-L-O26G-08505</t>
  </si>
  <si>
    <t>PIL-L-I26G-19756</t>
  </si>
  <si>
    <t>HPBL4-L-O26G-08506</t>
  </si>
  <si>
    <t>PIL-L-I26G-19750</t>
  </si>
  <si>
    <t>HPBL4-L-O26G-08507</t>
  </si>
  <si>
    <t>PIL-L-I26G-19722</t>
  </si>
  <si>
    <t>HPBL4-L-O26G-08508</t>
  </si>
  <si>
    <t>PIL-L-I26G-19744</t>
  </si>
  <si>
    <t>HPBL4-L-O26G-08509</t>
  </si>
  <si>
    <t>PIL-L-I26G-19751</t>
  </si>
  <si>
    <t>HPBL4-L-O26G-08510</t>
  </si>
  <si>
    <t>PIL-L-I26G-19306</t>
  </si>
  <si>
    <t>HPBL4-L-O26G-08511</t>
  </si>
  <si>
    <t>PIL-L-I26F-17576</t>
  </si>
  <si>
    <t>HPBL4-L-O26G-08512</t>
  </si>
  <si>
    <t>PIL-L-I26F-19067</t>
  </si>
  <si>
    <t>HPBL4-L-O26G-08513</t>
  </si>
  <si>
    <t>PIL-L-I26G-19747</t>
  </si>
  <si>
    <t>HPBL4-L-O26G-08514</t>
  </si>
  <si>
    <t>PIL-L-I26F-17575</t>
  </si>
  <si>
    <t>HPBL4-L-O26G-08515</t>
  </si>
  <si>
    <t>PIL-L-I26F-19230</t>
  </si>
  <si>
    <t>HPBL4-L-O26G-08516</t>
  </si>
  <si>
    <t>PIL-L-I26G-19740</t>
  </si>
  <si>
    <t>HPBL4-L-O26G-08517L</t>
  </si>
  <si>
    <t>PIL-L-I26G-19641L</t>
  </si>
  <si>
    <t>HPBL4-L-O26G-08518</t>
  </si>
  <si>
    <t>OEL-L-I26G-03069</t>
  </si>
  <si>
    <t>PIL-L-O26G-10037</t>
  </si>
  <si>
    <t>HPBL4-L-O26G-08519</t>
  </si>
  <si>
    <t>OEL-L-I26G-03086</t>
  </si>
  <si>
    <t>PIL-L-O26G-10041</t>
  </si>
  <si>
    <t>HPBL4-L-O26G-08520</t>
  </si>
  <si>
    <t>OEL-L-I26G-03087</t>
  </si>
  <si>
    <t>PIL-L-O26G-10048</t>
  </si>
  <si>
    <t>HPBL4-L-O26G-08521</t>
  </si>
  <si>
    <t>OEL-L-I26G-03107</t>
  </si>
  <si>
    <t>PIL-L-O26G-10045</t>
  </si>
  <si>
    <t>HPBL4-L-O26G-08522</t>
  </si>
  <si>
    <t>OEL-L-I26G-03109</t>
  </si>
  <si>
    <t>PIL-L-O26G-10040</t>
  </si>
  <si>
    <t>HPBL4-L-O26G-08523</t>
  </si>
  <si>
    <t>OEL-L-I26G-03081</t>
  </si>
  <si>
    <t>PIL-L-O26G-10046</t>
  </si>
  <si>
    <t>HPBL4-L-O26G-08525</t>
  </si>
  <si>
    <t>PP 104 GZT MW</t>
  </si>
  <si>
    <t>PIL-L-I26G-19799</t>
  </si>
  <si>
    <t>HPBL4-L-O26G-08526</t>
  </si>
  <si>
    <t>PIL-L-I26G-19816</t>
  </si>
  <si>
    <t>HPBL4-L-O26G-08527</t>
  </si>
  <si>
    <t>PIL-L-I26G-19800</t>
  </si>
  <si>
    <t>HPBL4-L-O26G-08528</t>
  </si>
  <si>
    <t>PIL-L-I26G-19808</t>
  </si>
  <si>
    <t>HPBL4-L-O26G-08529</t>
  </si>
  <si>
    <t>PIL-L-I26G-19809</t>
  </si>
  <si>
    <t>HPBL4-L-O26G-08530</t>
  </si>
  <si>
    <t>PIL-L-I26G-19813</t>
  </si>
  <si>
    <t>HPBL4-L-O26G-08531</t>
  </si>
  <si>
    <t>PIL-L-I26G-19825</t>
  </si>
  <si>
    <t>HPBL4-L-O26G-08532</t>
  </si>
  <si>
    <t>PIL-L-I26G-19829</t>
  </si>
  <si>
    <t>HPBL4-L-O26G-08533</t>
  </si>
  <si>
    <t>PIL-L-I26G-19830</t>
  </si>
  <si>
    <t>HPBL4-L-O26G-08534</t>
  </si>
  <si>
    <t>PIL-L-I26G-19787</t>
  </si>
  <si>
    <t>HPBL4-L-O26G-08535</t>
  </si>
  <si>
    <t>PIL-L-I26G-19788</t>
  </si>
  <si>
    <t>HPBL4-L-O26G-08536</t>
  </si>
  <si>
    <t>PIL-L-I26G-19789</t>
  </si>
  <si>
    <t>HPBL4-L-O26G-08537</t>
  </si>
  <si>
    <t>PIL-L-I26G-19796</t>
  </si>
  <si>
    <t>HPBL4-L-O26G-08538</t>
  </si>
  <si>
    <t>PIL-L-I26G-19806</t>
  </si>
  <si>
    <t>HPBL4-L-O26G-08539</t>
  </si>
  <si>
    <t>PIL-L-I26G-19810</t>
  </si>
  <si>
    <t>HPBL4-L-O26G-08540</t>
  </si>
  <si>
    <t>PIL-L-I26G-19817</t>
  </si>
  <si>
    <t>HPBL4-L-O26G-08541</t>
  </si>
  <si>
    <t>PIL-L-I26G-19819</t>
  </si>
  <si>
    <t>HPBL4-L-O26G-08542</t>
  </si>
  <si>
    <t>PIL-L-I26G-19812</t>
  </si>
  <si>
    <t>HPBL4-L-O26G-08543</t>
  </si>
  <si>
    <t>PIL-L-I26G-19790</t>
  </si>
  <si>
    <t>HPBL4-L-O26G-08544</t>
  </si>
  <si>
    <t>PIL-L-I26G-19797</t>
  </si>
  <si>
    <t>HPBL4-L-O26G-08545</t>
  </si>
  <si>
    <t>PIL-L-I26G-19798</t>
  </si>
  <si>
    <t>HPBL4-L-O26G-08546</t>
  </si>
  <si>
    <t>PIL-L-I26G-19804</t>
  </si>
  <si>
    <t>HPBL4-L-O26G-08547</t>
  </si>
  <si>
    <t>PIL-L-I26G-19815</t>
  </si>
  <si>
    <t>HPBL4-L-O26G-08548</t>
  </si>
  <si>
    <t>PIL-L-I26G-19818</t>
  </si>
  <si>
    <t>HPBL4-L-O26G-08549</t>
  </si>
  <si>
    <t>PIL-L-I26G-19820</t>
  </si>
  <si>
    <t>HPBL4-L-O26G-08550L</t>
  </si>
  <si>
    <t>PIL-L-I26G-19766L</t>
  </si>
  <si>
    <t>HPBL4-L-O26G-08551L</t>
  </si>
  <si>
    <t>PIL-L-I26G-19694L</t>
  </si>
  <si>
    <t>HPBL4-L-O26G-08552</t>
  </si>
  <si>
    <t>PIL-L-I26G-19828</t>
  </si>
  <si>
    <t>PIL1/D/996</t>
  </si>
  <si>
    <t>HPBL4-L-O26G-08553</t>
  </si>
  <si>
    <t>PIL-L-I26G-19805</t>
  </si>
  <si>
    <t>HPBL4-L-O26G-08554</t>
  </si>
  <si>
    <t>PIL-L-I26G-19807</t>
  </si>
  <si>
    <t>HPBL4-L-O26G-08555</t>
  </si>
  <si>
    <t>PIL-L-I26G-19835</t>
  </si>
  <si>
    <t>HPBL4-L-O26G-08556</t>
  </si>
  <si>
    <t>PIL-L-I26G-19836</t>
  </si>
  <si>
    <t>HPBL4-L-O26G-08557</t>
  </si>
  <si>
    <t>PP 97 FLAT M/W Folding</t>
  </si>
  <si>
    <t>PIL-L-O26G-10056</t>
  </si>
  <si>
    <t>HPBL4-L-O26G-08558</t>
  </si>
  <si>
    <t>10072026FIBC CUT</t>
  </si>
  <si>
    <t>PP 97 FLAT MW  Folding</t>
  </si>
  <si>
    <t>PIL-L-O26G-10137</t>
  </si>
  <si>
    <t>HPBL4-L-O26G-08559</t>
  </si>
  <si>
    <t>PPL-L-I26G-04841</t>
  </si>
  <si>
    <t>UL FABRICS 09.07.26 HCP-4</t>
  </si>
  <si>
    <t>HPBL4-L-O26G-08560</t>
  </si>
  <si>
    <t>PPL-L-I26G-04840</t>
  </si>
  <si>
    <t>HPBL4-L-O26G-08524</t>
  </si>
  <si>
    <t>PIL-L-I26G-19801</t>
  </si>
  <si>
    <t>HPBL4-L-O26G-08561</t>
  </si>
  <si>
    <t>PIL-L-I26G-19914</t>
  </si>
  <si>
    <t>HPBL4-L-O26G-08562</t>
  </si>
  <si>
    <t>PIL-L-I26G-19891</t>
  </si>
  <si>
    <t>HPBL4-L-O26G-08563</t>
  </si>
  <si>
    <t>PIL-L-I26G-19892</t>
  </si>
  <si>
    <t>HPBL4-L-O26G-08564</t>
  </si>
  <si>
    <t>PIL-L-I26G-19900</t>
  </si>
  <si>
    <t>HPBL4-L-O26G-08565</t>
  </si>
  <si>
    <t>PIL-L-I26G-19905</t>
  </si>
  <si>
    <t>HPBL4-L-O26G-08566</t>
  </si>
  <si>
    <t>PIL-L-I26G-19908</t>
  </si>
  <si>
    <t>HPBL4-L-O26G-08567</t>
  </si>
  <si>
    <t>PIL-L-I26G-19874</t>
  </si>
  <si>
    <t>HPBL4-L-O26G-08568</t>
  </si>
  <si>
    <t>PIL-L-I26G-19884</t>
  </si>
  <si>
    <t>HPBL4-L-O26G-08569</t>
  </si>
  <si>
    <t>PIL-L-I26G-19890</t>
  </si>
  <si>
    <t>HPBL4-L-O26G-08570</t>
  </si>
  <si>
    <t>PIL-L-I26G-19909</t>
  </si>
  <si>
    <t>HPBL4-L-O26G-08571</t>
  </si>
  <si>
    <t>PIL-L-I26G-19915</t>
  </si>
  <si>
    <t>HPBL4-L-O26G-08572</t>
  </si>
  <si>
    <t>PP 100 FLAT MW</t>
  </si>
  <si>
    <t>PIL-L-I26G-19865</t>
  </si>
  <si>
    <t>HPBL4-L-O26G-08573</t>
  </si>
  <si>
    <t>PIL-L-I26G-19873</t>
  </si>
  <si>
    <t>HPBL4-L-O26G-08574</t>
  </si>
  <si>
    <t>PIL-L-I26G-19885</t>
  </si>
  <si>
    <t>HPBL4-L-O26G-08575</t>
  </si>
  <si>
    <t>PIL-L-I26G-19895</t>
  </si>
  <si>
    <t>HPBL4-L-O26G-08576</t>
  </si>
  <si>
    <t>PIL-L-I26G-19911</t>
  </si>
  <si>
    <t>HPBL4-L-O26G-08577</t>
  </si>
  <si>
    <t>PP 124 GZT MW</t>
  </si>
  <si>
    <t>PIL-L-I26G-19863</t>
  </si>
  <si>
    <t>HPBL4-L-O26G-08578</t>
  </si>
  <si>
    <t>PIL-L-I26G-19878</t>
  </si>
  <si>
    <t>HPBL4-L-O26G-08579</t>
  </si>
  <si>
    <t>PIL-L-I26G-19879</t>
  </si>
  <si>
    <t>HPBL4-L-O26G-08580</t>
  </si>
  <si>
    <t>PIL-L-I26G-19894</t>
  </si>
  <si>
    <t>HPBL4-L-O26G-08581</t>
  </si>
  <si>
    <t>PIL-L-I26G-19858</t>
  </si>
  <si>
    <t>HPBL4-L-O26G-08582</t>
  </si>
  <si>
    <t>PIL-L-I26G-19862</t>
  </si>
  <si>
    <t>HPBL4-L-O26G-08583</t>
  </si>
  <si>
    <t>PIL-L-I26G-19882</t>
  </si>
  <si>
    <t>HPBL4-L-O26G-08584</t>
  </si>
  <si>
    <t>PIL-L-I26G-19860</t>
  </si>
  <si>
    <t>HPBL4-L-O26G-08585</t>
  </si>
  <si>
    <t>PIL-L-I26G-19859</t>
  </si>
  <si>
    <t>HPBL4-L-O26G-08586</t>
  </si>
  <si>
    <t>PIL-L-I26G-19906</t>
  </si>
  <si>
    <t>HPBL4-L-O26G-08587</t>
  </si>
  <si>
    <t>PIL-L-I26G-19886</t>
  </si>
  <si>
    <t>HPBL4-L-O26G-08588</t>
  </si>
  <si>
    <t>PIL-L-I26G-19889</t>
  </si>
  <si>
    <t>HPBL4-L-O26G-08589</t>
  </si>
  <si>
    <t>PIL-L-I26G-19893</t>
  </si>
  <si>
    <t>HPBL4-L-O26G-08590</t>
  </si>
  <si>
    <t>PIL-L-I26G-19881</t>
  </si>
  <si>
    <t>HPBL4-L-O26G-08591</t>
  </si>
  <si>
    <t>PIL-L-I26G-19887</t>
  </si>
  <si>
    <t>HPBL4-L-O26G-08592L</t>
  </si>
  <si>
    <t>PIL-L-I26G-19856L</t>
  </si>
  <si>
    <t>HPBL4-L-O26G-08593L</t>
  </si>
  <si>
    <t>PIL-L-I26F-19034L</t>
  </si>
  <si>
    <t>HPBL4-L-O26G-08594</t>
  </si>
  <si>
    <t>PIL-L-I26G-19945</t>
  </si>
  <si>
    <t>HPBL4-L-O26G-08595</t>
  </si>
  <si>
    <t>PIL-L-I26G-19949</t>
  </si>
  <si>
    <t>HPBL4-L-O26G-08596</t>
  </si>
  <si>
    <t>PIL-L-I26G-19972</t>
  </si>
  <si>
    <t>HPBL4-L-O26G-08597</t>
  </si>
  <si>
    <t>PIL-L-I26G-19927</t>
  </si>
  <si>
    <t>HPBL4-L-O26G-08598</t>
  </si>
  <si>
    <t>PIL-L-I26G-19943</t>
  </si>
  <si>
    <t>HPBL4-L-O26G-08599</t>
  </si>
  <si>
    <t>PIL-L-I26G-19959</t>
  </si>
  <si>
    <t>HPBL4-L-O26G-08600</t>
  </si>
  <si>
    <t>PIL-L-I26G-19963</t>
  </si>
  <si>
    <t>HPBL4-L-O26G-08601</t>
  </si>
  <si>
    <t>PP 87 FLAT REFLEX BLUE C 30% RP Folding</t>
  </si>
  <si>
    <t>PIL-L-I26G-19975</t>
  </si>
  <si>
    <t>HPBL4-L-O26G-08602</t>
  </si>
  <si>
    <t>PIL-L-I26G-19951</t>
  </si>
  <si>
    <t>HPBL4-L-O26G-08603</t>
  </si>
  <si>
    <t>PIL-L-I26G-19958</t>
  </si>
  <si>
    <t>HPBL4-L-O26G-08604</t>
  </si>
  <si>
    <t>PIL-L-I26G-19946</t>
  </si>
  <si>
    <t>HPBL4-L-O26G-08605</t>
  </si>
  <si>
    <t>PIL-L-I26G-19947</t>
  </si>
  <si>
    <t>HPBL4-L-O26G-08606</t>
  </si>
  <si>
    <t>PIL-L-I26G-19976</t>
  </si>
  <si>
    <t>HPBL4-L-O26G-08607</t>
  </si>
  <si>
    <t>PIL-L-I26G-19955</t>
  </si>
  <si>
    <t>HPBL4-L-O26G-08608</t>
  </si>
  <si>
    <t>PIL-L-I26G-19971</t>
  </si>
  <si>
    <t>HPBL4-L-O26G-08609</t>
  </si>
  <si>
    <t>PIL-L-I26G-19973</t>
  </si>
  <si>
    <t>HPBL4-L-O26G-08610</t>
  </si>
  <si>
    <t>PIL-L-I26G-19952</t>
  </si>
  <si>
    <t>HPBL4-L-O26G-08611</t>
  </si>
  <si>
    <t>PIL-L-I26G-19926</t>
  </si>
  <si>
    <t>HPBL4-L-O26G-08612</t>
  </si>
  <si>
    <t>PIL-L-I26G-19954</t>
  </si>
  <si>
    <t>HPBL4-L-O26G-08613</t>
  </si>
  <si>
    <t>PIL-L-I26G-19962</t>
  </si>
  <si>
    <t>HPBL4-L-O26G-08614</t>
  </si>
  <si>
    <t>PIL-L-I26G-19956</t>
  </si>
  <si>
    <t>HPBL4-L-O26G-08615</t>
  </si>
  <si>
    <t>PIL-L-I26G-19964</t>
  </si>
  <si>
    <t>HPBL4-L-O26G-08616</t>
  </si>
  <si>
    <t>PIL-L-I26G-19970</t>
  </si>
  <si>
    <t>HPBL4-L-O26G-08617</t>
  </si>
  <si>
    <t>PIL-L-I26G-19974</t>
  </si>
  <si>
    <t>HPBL4-L-O26G-08618</t>
  </si>
  <si>
    <t>PIL-L-I26G-19979</t>
  </si>
  <si>
    <t>HPBL4-L-O26G-08619</t>
  </si>
  <si>
    <t>PIL-L-I26G-19960</t>
  </si>
  <si>
    <t>HPBL4-L-O26G-08620</t>
  </si>
  <si>
    <t>OEL-L-I26G-03154</t>
  </si>
  <si>
    <t>PIL-L-O26G-10267</t>
  </si>
  <si>
    <t>HPBL4-L-O26G-08621</t>
  </si>
  <si>
    <t>OEL-L-I26G-03120</t>
  </si>
  <si>
    <t>PIL-L-O26G-10271</t>
  </si>
  <si>
    <t>HPBL4-L-O26G-08622</t>
  </si>
  <si>
    <t>OEL-L-I26G-03155</t>
  </si>
  <si>
    <t>PIL-L-O26G-10270</t>
  </si>
  <si>
    <t>HPBL4-L-O26G-08623</t>
  </si>
  <si>
    <t>OEL-L-I26G-03121</t>
  </si>
  <si>
    <t>PIL-L-O26G-10276</t>
  </si>
  <si>
    <t>HPBL4-L-O26G-08624</t>
  </si>
  <si>
    <t>OEL-L-I26G-03135</t>
  </si>
  <si>
    <t>PIL-L-O26G-10266</t>
  </si>
  <si>
    <t>HPBL4-L-O26G-08625</t>
  </si>
  <si>
    <t>OEL-L-I26G-03176</t>
  </si>
  <si>
    <t>PIL-L-O26G-10273</t>
  </si>
  <si>
    <t>HPBL4-L-O26G-08626</t>
  </si>
  <si>
    <t>OEL-L-I26G-03167</t>
  </si>
  <si>
    <t>PIL-L-O26G-10274</t>
  </si>
  <si>
    <t>HPBL4-L-O26G-08627</t>
  </si>
  <si>
    <t>OEL-L-I26G-03168</t>
  </si>
  <si>
    <t>PIL-L-O26G-10275</t>
  </si>
  <si>
    <t>HPBL4-L-O26G-08628</t>
  </si>
  <si>
    <t>OEL-L-I26G-03134</t>
  </si>
  <si>
    <t>PIL-L-O26G-10268</t>
  </si>
  <si>
    <t>HPBL4-L-O26G-08629</t>
  </si>
  <si>
    <t>PPL-L-I26G-04922</t>
  </si>
  <si>
    <t>PP UL DT 12.07.26</t>
  </si>
  <si>
    <t>HPBL4-L-O26G-08630</t>
  </si>
  <si>
    <t>PPL-L-I26G-04923</t>
  </si>
  <si>
    <t>HPBL4-L-O26G-08631</t>
  </si>
  <si>
    <t>PIL-L-I26G-19948</t>
  </si>
  <si>
    <t>HPBL4-L-O26G-08632</t>
  </si>
  <si>
    <t>PIL-L-I26G-19992</t>
  </si>
  <si>
    <t>HPBL4-L-O26G-08633</t>
  </si>
  <si>
    <t>PIL-L-I26G-19901</t>
  </si>
  <si>
    <t>HPBL4-L-O26G-08634</t>
  </si>
  <si>
    <t>PIL-L-I26G-19967</t>
  </si>
  <si>
    <t>HPBL4-L-O26G-08635</t>
  </si>
  <si>
    <t>PIL-L-I26G-19990</t>
  </si>
  <si>
    <t>HPBL4-L-O26G-08636</t>
  </si>
  <si>
    <t>PIL-L-I26G-19993</t>
  </si>
  <si>
    <t>HPBL4-L-O26G-08637</t>
  </si>
  <si>
    <t>PIL-L-I26G-19950</t>
  </si>
  <si>
    <t>HPBL4-L-O26G-08638</t>
  </si>
  <si>
    <t>PIL-L-I26G-19991</t>
  </si>
  <si>
    <t>HPBL4-L-O26G-08639</t>
  </si>
  <si>
    <t>PIL-L-I26G-19977</t>
  </si>
  <si>
    <t>HPBL4-L-O26G-08640</t>
  </si>
  <si>
    <t>PIL-L-I26G-19861</t>
  </si>
  <si>
    <t>HPBL4-L-O26G-08641</t>
  </si>
  <si>
    <t>PIL-L-I26G-19978</t>
  </si>
  <si>
    <t>HPBL4-L-O26G-08642L</t>
  </si>
  <si>
    <t>PIL-L-I26G-19824L</t>
  </si>
  <si>
    <t>HPBL4-L-O26G-08643L</t>
  </si>
  <si>
    <t>PP 107 FLAT MW 30% RP</t>
  </si>
  <si>
    <t>PIL-L-I26G-19616L</t>
  </si>
  <si>
    <t>HPBL4-L-O26G-08644L</t>
  </si>
  <si>
    <t>PIL-L-I26G-19794L</t>
  </si>
  <si>
    <t>HPBL4-L-O26G-08645L</t>
  </si>
  <si>
    <t>PIL-L-I26G-19755L</t>
  </si>
  <si>
    <t>HPBL4-L-O26G-08646L</t>
  </si>
  <si>
    <t>PIL-L-I26G-19989L</t>
  </si>
  <si>
    <t>HPBL4-L-O26G-08647L</t>
  </si>
  <si>
    <t>PIL-L-I26G-19555L</t>
  </si>
  <si>
    <t>HPBL4-L-O26G-08648L</t>
  </si>
  <si>
    <t>PIL-L-I26G-19729L</t>
  </si>
  <si>
    <t>HPBL4-L-O26G-08649L</t>
  </si>
  <si>
    <t>PIL-L-I26G-19654L</t>
  </si>
  <si>
    <t>HPBL4-L-O26G-08650</t>
  </si>
  <si>
    <t>PIL-L-I26G-20023</t>
  </si>
  <si>
    <t>HPBL4-L-O26G-08651</t>
  </si>
  <si>
    <t>PIL-L-I26G-20044</t>
  </si>
  <si>
    <t>HPBL4-L-O26G-08652</t>
  </si>
  <si>
    <t>PIL-L-I26G-20053</t>
  </si>
  <si>
    <t>HPBL4-L-O26G-08653</t>
  </si>
  <si>
    <t>PIL-L-I26G-20054</t>
  </si>
  <si>
    <t>HPBL4-L-O26G-08654</t>
  </si>
  <si>
    <t>PIL-L-I26G-20056</t>
  </si>
  <si>
    <t>HPBL4-L-O26G-08655</t>
  </si>
  <si>
    <t>PIL-L-I26G-20012</t>
  </si>
  <si>
    <t>HPBL4-L-O26G-08656</t>
  </si>
  <si>
    <t>PIL-L-I26G-20016</t>
  </si>
  <si>
    <t>HPBL4-L-O26G-08657</t>
  </si>
  <si>
    <t>PIL-L-I26G-20019</t>
  </si>
  <si>
    <t>HPBL4-L-O26G-08658</t>
  </si>
  <si>
    <t>PIL-L-I26G-20032</t>
  </si>
  <si>
    <t>HPBL4-L-O26G-08659</t>
  </si>
  <si>
    <t>PIL-L-I26G-20034</t>
  </si>
  <si>
    <t>HPBL4-L-O26G-08660</t>
  </si>
  <si>
    <t>PIL-L-I26G-20037</t>
  </si>
  <si>
    <t>HPBL4-L-O26G-08661</t>
  </si>
  <si>
    <t>PIL-L-I26G-20041</t>
  </si>
  <si>
    <t>HPBL4-L-O26G-08662</t>
  </si>
  <si>
    <t>PIL-L-I26G-20035</t>
  </si>
  <si>
    <t>HPBL4-L-O26G-08663</t>
  </si>
  <si>
    <t>PIL-L-I26G-19968</t>
  </si>
  <si>
    <t>HPBL4-L-O26G-08664</t>
  </si>
  <si>
    <t>PIL-L-I26G-20039</t>
  </si>
  <si>
    <t>HPBL4-L-O26G-08665</t>
  </si>
  <si>
    <t>PIL-L-I26G-20052</t>
  </si>
  <si>
    <t>HPBL4-L-O26G-08666</t>
  </si>
  <si>
    <t>PIL-L-I26G-20055</t>
  </si>
  <si>
    <t>HPBL4-L-O26G-08667</t>
  </si>
  <si>
    <t>PIL-L-I26G-20033</t>
  </si>
  <si>
    <t>HPBL4-L-O26G-08668</t>
  </si>
  <si>
    <t>PIL-L-I26G-20036</t>
  </si>
  <si>
    <t>HPBL4-L-O26G-08669</t>
  </si>
  <si>
    <t>PIL-L-I26G-20058</t>
  </si>
  <si>
    <t>HPBL4-L-O26G-08670</t>
  </si>
  <si>
    <t>PIL-L-I26G-20014</t>
  </si>
  <si>
    <t>HPBL4-L-O26G-08671</t>
  </si>
  <si>
    <t>PIL-L-I26G-20015</t>
  </si>
  <si>
    <t>HPBL4-L-O26G-08672</t>
  </si>
  <si>
    <t>PIL-L-I26G-20021</t>
  </si>
  <si>
    <t>HPBL4-L-O26G-08673</t>
  </si>
  <si>
    <t>PIL-L-I26G-20031</t>
  </si>
  <si>
    <t>HPBL4-L-O26G-08674</t>
  </si>
  <si>
    <t>PIL-L-I26G-20043</t>
  </si>
  <si>
    <t>HPBL4-L-O26G-08675</t>
  </si>
  <si>
    <t>PIL-L-I26G-20051</t>
  </si>
  <si>
    <t>HPBL4-L-O26G-08676</t>
  </si>
  <si>
    <t>PIL-L-I26G-20057</t>
  </si>
  <si>
    <t>HPBL4-L-O26G-08677</t>
  </si>
  <si>
    <t>PIL-L-I26G-20042</t>
  </si>
  <si>
    <t>HPBL4-L-O26G-08678</t>
  </si>
  <si>
    <t>PIL-L-I26G-20049</t>
  </si>
  <si>
    <t>HPBL4-L-O26G-08679</t>
  </si>
  <si>
    <t>PIL-L-I26G-20018</t>
  </si>
  <si>
    <t>HPBL4-L-O26G-08680</t>
  </si>
  <si>
    <t>PIL-L-I26G-20022</t>
  </si>
  <si>
    <t>HPBL4-L-O26G-08681</t>
  </si>
  <si>
    <t>PIL-L-I26G-20040</t>
  </si>
  <si>
    <t>HPBL4-L-O26G-08682L</t>
  </si>
  <si>
    <t>HPBL-L-I26F-09334</t>
  </si>
  <si>
    <t>PIL-L-O26F-09390L</t>
  </si>
  <si>
    <t>HPBL4-L-O26G-08683L</t>
  </si>
  <si>
    <t>PIL-L-I26F-18829L</t>
  </si>
  <si>
    <t>HPBL4-L-O26G-08684</t>
  </si>
  <si>
    <t>PIL2-L-I26F-08043</t>
  </si>
  <si>
    <t>HPBL4-L-O26G-08685</t>
  </si>
  <si>
    <t>PIL2-L-I26F-07971</t>
  </si>
  <si>
    <t>HPBL4-L-O26G-08686</t>
  </si>
  <si>
    <t>PIL2-L-I26D-05762</t>
  </si>
  <si>
    <t>HPBL4-L-O26G-08687</t>
  </si>
  <si>
    <t>PIL2-L-I26D-05832</t>
  </si>
  <si>
    <t>HPBL4-L-O26G-08688</t>
  </si>
  <si>
    <t>PIL2-L-I26F-08255</t>
  </si>
  <si>
    <t>HPBL4-L-O26G-08689</t>
  </si>
  <si>
    <t>192276 (ICO-2606-190) HPBL-4</t>
  </si>
  <si>
    <t>PP 95 MW 26 VENT SULZER</t>
  </si>
  <si>
    <t>KPV-L-I26G-10606</t>
  </si>
  <si>
    <t>HPBL4-L-O26G-08690</t>
  </si>
  <si>
    <t>192277 (ICO-2606-190) HPBL-4</t>
  </si>
  <si>
    <t>KPV-L-I26G-10607</t>
  </si>
  <si>
    <t>HPBL4-L-O26G-08691</t>
  </si>
  <si>
    <t>192273 (ICO-2606-190) HPBL-4</t>
  </si>
  <si>
    <t>KPV-L-I26G-10426</t>
  </si>
  <si>
    <t>HPBL4-L-O26G-08692</t>
  </si>
  <si>
    <t>192278 (ICO-2606-190) HPBL-4</t>
  </si>
  <si>
    <t>KPV-L-I26G-10608</t>
  </si>
  <si>
    <t>HPBL4-L-O26G-08693</t>
  </si>
  <si>
    <t>192274 (ICO-2606-190) HPBL-4</t>
  </si>
  <si>
    <t>KPV-L-I26G-10427</t>
  </si>
  <si>
    <t>HPBL4-L-O26G-08694</t>
  </si>
  <si>
    <t>192275 (ICO-2606-190) HPBL-4</t>
  </si>
  <si>
    <t>KPV-L-I26G-10428</t>
  </si>
  <si>
    <t>HPBL4-L-O26G-08695L</t>
  </si>
  <si>
    <t>PIL-L-I26G-20062L</t>
  </si>
  <si>
    <t>HPBL4-L-O26G-08696L</t>
  </si>
  <si>
    <t>PIL-L-I26G-20127L</t>
  </si>
  <si>
    <t>HPBL4-L-O26G-08697</t>
  </si>
  <si>
    <t>OEL-L-I26G-03197</t>
  </si>
  <si>
    <t>PIL-L-O26G-10370</t>
  </si>
  <si>
    <t>HPBL4-L-O26G-08698</t>
  </si>
  <si>
    <t>OEL-L-I26G-03219</t>
  </si>
  <si>
    <t>PIL-L-O26G-10371</t>
  </si>
  <si>
    <t>HPBL4-L-O26G-08699</t>
  </si>
  <si>
    <t>OEL-L-I26G-03198</t>
  </si>
  <si>
    <t>PIL-L-O26G-10374</t>
  </si>
  <si>
    <t>HPBL4-L-O26G-08700</t>
  </si>
  <si>
    <t>OEL-L-I26G-03220</t>
  </si>
  <si>
    <t>PIL-L-O26G-10367</t>
  </si>
  <si>
    <t>HPBL4-L-O26G-08701</t>
  </si>
  <si>
    <t>OEL-L-I26G-03218</t>
  </si>
  <si>
    <t>PIL-L-O26G-10376</t>
  </si>
  <si>
    <t>HPBL4-L-O26G-08702</t>
  </si>
  <si>
    <t>OEL-L-I26G-03188</t>
  </si>
  <si>
    <t>PIL-L-O26G-10365</t>
  </si>
  <si>
    <t>HPBL4-L-O26G-08703</t>
  </si>
  <si>
    <t>OEL-L-I26G-03230</t>
  </si>
  <si>
    <t>PIL-L-O26G-10377</t>
  </si>
  <si>
    <t>HPBL4-L-O26G-08704</t>
  </si>
  <si>
    <t>PP 120 FLAT MW</t>
  </si>
  <si>
    <t>PIL-L-I26G-20086</t>
  </si>
  <si>
    <t>HPBL4-L-O26G-08705</t>
  </si>
  <si>
    <t>PIL-L-I26G-20111</t>
  </si>
  <si>
    <t>HPBL4-L-O26G-08706</t>
  </si>
  <si>
    <t>PIL-L-I26G-20121</t>
  </si>
  <si>
    <t>HPBL4-L-O26G-08707</t>
  </si>
  <si>
    <t>PIL-L-I26G-20125</t>
  </si>
  <si>
    <t>HPBL4-L-O26G-08708</t>
  </si>
  <si>
    <t>PIL-L-I26G-20097</t>
  </si>
  <si>
    <t>HPBL4-L-O26G-08709</t>
  </si>
  <si>
    <t>PIL-L-I26G-20124</t>
  </si>
  <si>
    <t>HPBL4-L-O26G-08710</t>
  </si>
  <si>
    <t>PIL-L-I26G-20070</t>
  </si>
  <si>
    <t>HPBL4-L-O26G-08711</t>
  </si>
  <si>
    <t>PIL-L-I26G-20074</t>
  </si>
  <si>
    <t>HPBL4-L-O26G-08712</t>
  </si>
  <si>
    <t>PIL-L-I26G-20118</t>
  </si>
  <si>
    <t>HPBL4-L-O26G-08713</t>
  </si>
  <si>
    <t>PIL-L-I26G-20122</t>
  </si>
  <si>
    <t>HPBL4-L-O26G-08714</t>
  </si>
  <si>
    <t>PIL-L-I26G-20105</t>
  </si>
  <si>
    <t>HPBL4-L-O26G-08715</t>
  </si>
  <si>
    <t>PIL-L-I26G-20112</t>
  </si>
  <si>
    <t>HPBL4-L-O26G-08716</t>
  </si>
  <si>
    <t>PIL-L-I26G-20113</t>
  </si>
  <si>
    <t>HPBL4-L-O26G-08717</t>
  </si>
  <si>
    <t>PIL-L-I26G-20081</t>
  </si>
  <si>
    <t>HPBL4-L-O26G-08718</t>
  </si>
  <si>
    <t>PIL-L-I26G-20102</t>
  </si>
  <si>
    <t>HPBL4-L-O26G-08719</t>
  </si>
  <si>
    <t>PIL-L-I26G-20117</t>
  </si>
  <si>
    <t>HPBL4-L-O26G-08720</t>
  </si>
  <si>
    <t>PIL-L-I26G-20091</t>
  </si>
  <si>
    <t>HPBL4-L-O26G-08721</t>
  </si>
  <si>
    <t>PIL-L-I26G-20104</t>
  </si>
  <si>
    <t>HPBL4-L-O26G-08722</t>
  </si>
  <si>
    <t>PIL-L-I26G-20094</t>
  </si>
  <si>
    <t>HPBL4-L-O26G-08723</t>
  </si>
  <si>
    <t>PIL-L-I26G-20078</t>
  </si>
  <si>
    <t>HPBL4-L-O26G-08724</t>
  </si>
  <si>
    <t>PIL-L-I26G-20079</t>
  </si>
  <si>
    <t>HPBL4-L-O26G-08725</t>
  </si>
  <si>
    <t>PIL-L-I26G-20088</t>
  </si>
  <si>
    <t>HPBL4-L-O26G-08726</t>
  </si>
  <si>
    <t>PIL-L-I26G-20072</t>
  </si>
  <si>
    <t>HPBL4-L-O26G-08727</t>
  </si>
  <si>
    <t>PIL-L-I26G-20073</t>
  </si>
  <si>
    <t>HPBL4-L-O26G-08728</t>
  </si>
  <si>
    <t>PIL-L-I26G-20087</t>
  </si>
  <si>
    <t>HPBL4-L-O26G-08729</t>
  </si>
  <si>
    <t>PIL-L-I26G-20082</t>
  </si>
  <si>
    <t>HPBL4-L-O26G-08730</t>
  </si>
  <si>
    <t>PPL-L-I26F-04541</t>
  </si>
  <si>
    <t>UL HCP-4 14.07.26</t>
  </si>
  <si>
    <t>HPBL4-L-O26G-08731</t>
  </si>
  <si>
    <t>PPL-L-I26F-04561</t>
  </si>
  <si>
    <t>HPBL4-L-O26G-08732</t>
  </si>
  <si>
    <t>PPL-L-I26G-04691</t>
  </si>
  <si>
    <t>HPBL4-L-O26G-08733</t>
  </si>
  <si>
    <t>PPL-L-I26G-04975</t>
  </si>
  <si>
    <t>HPBL4-L-O26G-08734</t>
  </si>
  <si>
    <t>PPL-L-I26F-04505</t>
  </si>
  <si>
    <t>HPBL4-L-O26G-08735</t>
  </si>
  <si>
    <t>PPL-L-I26G-04976</t>
  </si>
  <si>
    <t>HPBL4-L-O26G-08736</t>
  </si>
  <si>
    <t>PPL-L-I26F-04583</t>
  </si>
  <si>
    <t>HPBL4-L-O26G-08737</t>
  </si>
  <si>
    <t>PIL-L-I26G-20093</t>
  </si>
  <si>
    <t>HPBL4-L-O26G-08738</t>
  </si>
  <si>
    <t>PIL-L-I26G-20101</t>
  </si>
  <si>
    <t>HPBL4-L-O26G-08739</t>
  </si>
  <si>
    <t>PIL-L-I26F-18223</t>
  </si>
  <si>
    <t>HPBL4-L-O26G-08740</t>
  </si>
  <si>
    <t>PIL-L-I26G-20103</t>
  </si>
  <si>
    <t>HPBL4-L-O26G-08741</t>
  </si>
  <si>
    <t>PIL-L-I26G-20076</t>
  </si>
  <si>
    <t>HPBL4-L-O26G-08742</t>
  </si>
  <si>
    <t>PIL-L-I26G-20126</t>
  </si>
  <si>
    <t>HPBL4-L-O26G-08743</t>
  </si>
  <si>
    <t>PIL-L-I26F-18338</t>
  </si>
  <si>
    <t>HPBL4-L-O26G-08744</t>
  </si>
  <si>
    <t>PIL-L-I26E-17013</t>
  </si>
  <si>
    <t>HPBL4-L-O26G-08745</t>
  </si>
  <si>
    <t>PIL-L-I26F-18911</t>
  </si>
  <si>
    <t>HPBL4-L-O26G-08746</t>
  </si>
  <si>
    <t>PIL-L-I26G-20106</t>
  </si>
  <si>
    <t>HPBL4-L-O26G-08747</t>
  </si>
  <si>
    <t>PIL-L-I26E-17187</t>
  </si>
  <si>
    <t>HPBL4-L-O26G-08748</t>
  </si>
  <si>
    <t>PP 87 FLAT M/W 30% RP Folding</t>
  </si>
  <si>
    <t>PIL-L-I26E-17337</t>
  </si>
  <si>
    <t>HPBL4-L-O26G-08749</t>
  </si>
  <si>
    <t>PIL-L-I26G-20107</t>
  </si>
  <si>
    <t>HPBL4-L-O26G-08750</t>
  </si>
  <si>
    <t>PIL-L-I26G-20108</t>
  </si>
  <si>
    <t>HPBL4-L-O26G-08751</t>
  </si>
  <si>
    <t>PIL-L-I26F-18294</t>
  </si>
  <si>
    <t>HPBL4-L-O26G-08752</t>
  </si>
  <si>
    <t>919070fibc2</t>
  </si>
  <si>
    <t>PP 87 FLAT MW  Folding</t>
  </si>
  <si>
    <t>PIL-L-O26G-10336</t>
  </si>
  <si>
    <t>HPBL4-L-O26G-08753</t>
  </si>
  <si>
    <t>PIL-L-I26G-20080</t>
  </si>
  <si>
    <t>HPBL4-L-O26G-08754</t>
  </si>
  <si>
    <t>PIL-L-I26E-17239</t>
  </si>
  <si>
    <t>HPBL4-L-O26G-08755</t>
  </si>
  <si>
    <t>PIL-L-I26F-17408</t>
  </si>
  <si>
    <t>HPBL4-L-O26G-08756</t>
  </si>
  <si>
    <t>5919043fibc1</t>
  </si>
  <si>
    <t>PIL-L-O26G-10335</t>
  </si>
  <si>
    <t>HPBL4-L-O26G-08757</t>
  </si>
  <si>
    <t>918969fibc3</t>
  </si>
  <si>
    <t>PIL-L-O26G-10337</t>
  </si>
  <si>
    <t>HPBL4-L-O26G-08758</t>
  </si>
  <si>
    <t>511828FIBC</t>
  </si>
  <si>
    <t>PP 97 TUBE MW  Folding</t>
  </si>
  <si>
    <t>PIL-L-O26G-10338</t>
  </si>
  <si>
    <t>HPBL4-L-O26G-08759L</t>
  </si>
  <si>
    <t>PIL-L-I26C-11303L</t>
  </si>
  <si>
    <t>HPBL4-L-O26G-08760L</t>
  </si>
  <si>
    <t>HPBL-L-I26F-08565</t>
  </si>
  <si>
    <t>PP 93 FLAT MW</t>
  </si>
  <si>
    <t>PIL-L-O26F-08757L</t>
  </si>
  <si>
    <t>HPBL4-L-O26G-08761L</t>
  </si>
  <si>
    <t>HPBL-L-I26G-10191</t>
  </si>
  <si>
    <t>65+08</t>
  </si>
  <si>
    <t>PIL-L-O26G-10230L</t>
  </si>
  <si>
    <t>HPBL4-L-O26G-08762L</t>
  </si>
  <si>
    <t>HPBL-L-I26E-07710</t>
  </si>
  <si>
    <t>PIL-L-O26E-07882L</t>
  </si>
  <si>
    <t>HPBL4-L-O26G-08763</t>
  </si>
  <si>
    <t>PIL-L-I26G-20160</t>
  </si>
  <si>
    <t>HPBL4-L-O26G-08764</t>
  </si>
  <si>
    <t>PIL-L-I26G-20159</t>
  </si>
  <si>
    <t>HPBL4-L-O26G-08765</t>
  </si>
  <si>
    <t>PIL-L-I26G-20158</t>
  </si>
  <si>
    <t>HPBL4-L-O26G-08766</t>
  </si>
  <si>
    <t>PIL-L-I26G-20157</t>
  </si>
  <si>
    <t>HPBL4-L-O26G-08767</t>
  </si>
  <si>
    <t>PIL-L-I26G-20164</t>
  </si>
  <si>
    <t>HPBL4-L-O26G-08768</t>
  </si>
  <si>
    <t>PIL-L-I26G-20184</t>
  </si>
  <si>
    <t>HPBL4-L-O26G-08769</t>
  </si>
  <si>
    <t>PIL-L-I26G-20191</t>
  </si>
  <si>
    <t>HPBL4-L-O26G-08770</t>
  </si>
  <si>
    <t>PIL-L-I26G-20147</t>
  </si>
  <si>
    <t>HPBL4-L-O26G-08771</t>
  </si>
  <si>
    <t>PIL-L-I26G-20162</t>
  </si>
  <si>
    <t>HPBL4-L-O26G-08772</t>
  </si>
  <si>
    <t>PIL-L-I26G-20165</t>
  </si>
  <si>
    <t>HPBL4-L-O26G-08773</t>
  </si>
  <si>
    <t>PIL-L-I26G-20172</t>
  </si>
  <si>
    <t>HPBL4-L-O26G-08774</t>
  </si>
  <si>
    <t>PIL-L-I26G-20179</t>
  </si>
  <si>
    <t>HPBL4-L-O26G-08775</t>
  </si>
  <si>
    <t>PIL-L-I26G-20189</t>
  </si>
  <si>
    <t>HPBL4-L-O26G-08776</t>
  </si>
  <si>
    <t>PIL-L-I26G-20146</t>
  </si>
  <si>
    <t>HPBL4-L-O26G-08777</t>
  </si>
  <si>
    <t>PIL-L-I26G-20166</t>
  </si>
  <si>
    <t>HPBL4-L-O26G-08778</t>
  </si>
  <si>
    <t>PIL-L-I26G-20170</t>
  </si>
  <si>
    <t>HPBL4-L-O26G-08779</t>
  </si>
  <si>
    <t>PIL-L-I26G-20188</t>
  </si>
  <si>
    <t>HPBL4-L-O26G-08780</t>
  </si>
  <si>
    <t>PIL-L-I26G-20190</t>
  </si>
  <si>
    <t>HPBL4-L-O26G-08781</t>
  </si>
  <si>
    <t>PIL-L-I26G-20193</t>
  </si>
  <si>
    <t>HPBL4-L-O26G-08782</t>
  </si>
  <si>
    <t>PIL-L-I26G-20155</t>
  </si>
  <si>
    <t>HPBL4-L-O26G-08783</t>
  </si>
  <si>
    <t>PIL-L-I26G-20156</t>
  </si>
  <si>
    <t>HPBL4-L-O26G-08784</t>
  </si>
  <si>
    <t>PIL-L-I26G-20171</t>
  </si>
  <si>
    <t>HPBL4-L-O26G-08785</t>
  </si>
  <si>
    <t>PIL-L-I26G-20180</t>
  </si>
  <si>
    <t>HPBL4-L-O26G-08786</t>
  </si>
  <si>
    <t>PIL-L-I26G-20153</t>
  </si>
  <si>
    <t>HPBL4-L-O26G-08787</t>
  </si>
  <si>
    <t>PIL-L-I26G-20163</t>
  </si>
  <si>
    <t>HPBL4-L-O26G-08788</t>
  </si>
  <si>
    <t>PIL-L-I26G-20169</t>
  </si>
  <si>
    <t>HPBL4-L-O26G-08789</t>
  </si>
  <si>
    <t>PIL-L-I26G-20154</t>
  </si>
  <si>
    <t>HPBL4-L-O26G-08790</t>
  </si>
  <si>
    <t>PP 104 FLAT M/W Folding</t>
  </si>
  <si>
    <t>PIL-L-I26G-20178</t>
  </si>
  <si>
    <t>HPBL4-L-O26G-08791</t>
  </si>
  <si>
    <t>PIL-L-I26G-20181</t>
  </si>
  <si>
    <t>HPBL4-L-O26G-08792</t>
  </si>
  <si>
    <t>PP 104 FLAT MW FOLDING</t>
  </si>
  <si>
    <t>PIL-L-I26G-20186</t>
  </si>
  <si>
    <t>HPBL4-L-O26G-08793</t>
  </si>
  <si>
    <t>PP 104  FLAT MW FOLDING</t>
  </si>
  <si>
    <t>PIL-L-I26G-20187</t>
  </si>
  <si>
    <t>HPBL4-L-O26G-08794</t>
  </si>
  <si>
    <t>PIL-L-I26G-20182</t>
  </si>
  <si>
    <t>HPBL4-L-O26G-08795</t>
  </si>
  <si>
    <t>PIL-L-I26G-20183</t>
  </si>
  <si>
    <t>HPBL4-L-O26G-08796</t>
  </si>
  <si>
    <t>PIL-L-I26G-20185</t>
  </si>
  <si>
    <t>HPBL4-L-O26G-08797</t>
  </si>
  <si>
    <t>PIL-L-I26G-20194</t>
  </si>
  <si>
    <t>HPBL4-L-O26G-08798L</t>
  </si>
  <si>
    <t>PIL-L-I26G-20010L</t>
  </si>
  <si>
    <t>HPBL4-L-O26G-08799L</t>
  </si>
  <si>
    <t>PIL-L-I26G-20120L</t>
  </si>
  <si>
    <t>HPBL4-L-O26G-08800L</t>
  </si>
  <si>
    <t>HPBL-L-I26G-10306</t>
  </si>
  <si>
    <t>PIL-L-O26G-10343L</t>
  </si>
  <si>
    <t>HPBL4-L-O26G-08801</t>
  </si>
  <si>
    <t>PIL-L-I26G-20246</t>
  </si>
  <si>
    <t>HPBL4-L-O26G-08802</t>
  </si>
  <si>
    <t>PIL-L-I26G-20220</t>
  </si>
  <si>
    <t>HPBL4-L-O26G-08803</t>
  </si>
  <si>
    <t>PIL-L-I26G-20245</t>
  </si>
  <si>
    <t>HPBL4-L-O26G-08804</t>
  </si>
  <si>
    <t>PIL-L-I26G-20263</t>
  </si>
  <si>
    <t>HPBL4-L-O26G-08805</t>
  </si>
  <si>
    <t>PIL-L-I26G-20265</t>
  </si>
  <si>
    <t>HPBL4-L-O26G-08806</t>
  </si>
  <si>
    <t>PIL-L-I26G-20247</t>
  </si>
  <si>
    <t>HPBL4-L-O26G-08807</t>
  </si>
  <si>
    <t>PIL-L-I26G-20248</t>
  </si>
  <si>
    <t>HPBL4-L-O26G-08808</t>
  </si>
  <si>
    <t>PIL-L-I26G-20258</t>
  </si>
  <si>
    <t>HPBL4-L-O26G-08809</t>
  </si>
  <si>
    <t>PIL-L-I26G-20251</t>
  </si>
  <si>
    <t>HPBL4-L-O26G-08810</t>
  </si>
  <si>
    <t>PIL-L-I26G-20214</t>
  </si>
  <si>
    <t>HPBL4-L-O26G-08811</t>
  </si>
  <si>
    <t>PIL-L-I26G-20215</t>
  </si>
  <si>
    <t>HPBL4-L-O26G-08812</t>
  </si>
  <si>
    <t>PIL-L-I26G-20223</t>
  </si>
  <si>
    <t>HPBL4-L-O26G-08813</t>
  </si>
  <si>
    <t>PIL-L-I26G-20216</t>
  </si>
  <si>
    <t>HPBL4-L-O26G-08814</t>
  </si>
  <si>
    <t>PIL-L-I26G-20252</t>
  </si>
  <si>
    <t>HPBL4-L-O26G-08815</t>
  </si>
  <si>
    <t>PIL-L-I26G-20264</t>
  </si>
  <si>
    <t>HPBL4-L-O26G-08816</t>
  </si>
  <si>
    <t>PIL-L-I26G-20222</t>
  </si>
  <si>
    <t>HPBL4-L-O26G-08817</t>
  </si>
  <si>
    <t>PIL-L-I26G-20225</t>
  </si>
  <si>
    <t>HPBL4-L-O26G-08818</t>
  </si>
  <si>
    <t>PIL-L-I26G-20227</t>
  </si>
  <si>
    <t>HPBL4-L-O26G-08819</t>
  </si>
  <si>
    <t>PIL-L-I26G-20208</t>
  </si>
  <si>
    <t>HPBL4-L-O26G-08820</t>
  </si>
  <si>
    <t>PIL-L-I26G-20209</t>
  </si>
  <si>
    <t>HPBL4-L-O26G-08821</t>
  </si>
  <si>
    <t>PIL-L-I26G-20217</t>
  </si>
  <si>
    <t>HPBL4-L-O26G-08822</t>
  </si>
  <si>
    <t>PIL-L-I26G-20257</t>
  </si>
  <si>
    <t>HPBL4-L-O26G-08823</t>
  </si>
  <si>
    <t>PIL-L-I26G-20266</t>
  </si>
  <si>
    <t>HPBL4-L-O26G-08824</t>
  </si>
  <si>
    <t>PPL-L-I26G-05029</t>
  </si>
  <si>
    <t>UL HCP-4 16.07.26</t>
  </si>
  <si>
    <t>HPBL4-L-O26G-08825</t>
  </si>
  <si>
    <t>PPL-L-I26G-05030</t>
  </si>
  <si>
    <t>HPBL4-L-O26G-08826L</t>
  </si>
  <si>
    <t>PPL-L-I26G-04857-3L</t>
  </si>
  <si>
    <t>LAMINATED 16.07.26 HCP-4</t>
  </si>
  <si>
    <t>HPBL4-L-O26G-08827</t>
  </si>
  <si>
    <t>PIL-L-I26G-20241</t>
  </si>
  <si>
    <t>HPBL4-L-O26G-08828</t>
  </si>
  <si>
    <t>PIL-L-I26G-20244</t>
  </si>
  <si>
    <t>HPBL4-L-O26G-08829</t>
  </si>
  <si>
    <t>PIL-L-I26G-20253</t>
  </si>
  <si>
    <t>HPBL4-L-O26G-08830</t>
  </si>
  <si>
    <t>PIL-L-I26G-20221</t>
  </si>
  <si>
    <t>HPBL4-L-O26G-08831</t>
  </si>
  <si>
    <t>PIL-L-I26G-20243</t>
  </si>
  <si>
    <t>HPBL4-L-O26G-08832</t>
  </si>
  <si>
    <t>PIL-L-I26G-20242</t>
  </si>
  <si>
    <t>HPBL4-L-O26G-08839</t>
  </si>
  <si>
    <t>PIL-L-I26G-20256</t>
  </si>
  <si>
    <t>HPBL4-L-O26G-08840</t>
  </si>
  <si>
    <t>PIL-L-I26G-20224</t>
  </si>
  <si>
    <t>HPBL4-L-O26G-08841</t>
  </si>
  <si>
    <t>PIL-L-I26G-20230</t>
  </si>
  <si>
    <t>HPBL4-L-O26G-08842</t>
  </si>
  <si>
    <t>PIL-L-I26G-20219</t>
  </si>
  <si>
    <t>HPBL4-L-O26G-08843</t>
  </si>
  <si>
    <t>PIL-L-I26G-20226</t>
  </si>
  <si>
    <t>HPBL4-L-O26G-08844</t>
  </si>
  <si>
    <t>PIL-L-I26G-20218</t>
  </si>
  <si>
    <t>HPBL4-L-O26G-08845</t>
  </si>
  <si>
    <t>PIL-L-I26G-20267</t>
  </si>
  <si>
    <t>HPBL4-L-O26G-08846L</t>
  </si>
  <si>
    <t>HPBL-L-I26G-10460</t>
  </si>
  <si>
    <t>PIL-L-O26G-10488-1L</t>
  </si>
  <si>
    <t>HPBL4-L-O26G-08847L</t>
  </si>
  <si>
    <t>PIL-L-O26G-10488L</t>
  </si>
  <si>
    <t>HPBL4-L-O26G-08848L</t>
  </si>
  <si>
    <t>HPBL-L-I26G-10008</t>
  </si>
  <si>
    <t>PP 78 FLAT MW</t>
  </si>
  <si>
    <t>PIL-L-O26G-10090L</t>
  </si>
  <si>
    <t>HPBL4-L-O26G-08849L</t>
  </si>
  <si>
    <t>HPBL-L-I26F-09579</t>
  </si>
  <si>
    <t>PIL-L-O26G-09723L</t>
  </si>
  <si>
    <t>HPBL4-L-O26G-08833</t>
  </si>
  <si>
    <t>HPBL-L-I26G-10576</t>
  </si>
  <si>
    <t>PP 108 FLAT MW</t>
  </si>
  <si>
    <t>HPBL4-L-O26G-08834</t>
  </si>
  <si>
    <t>HPBL-L-I26G-10582</t>
  </si>
  <si>
    <t>PP 113 FLAT MW</t>
  </si>
  <si>
    <t>HPBL4-L-O26G-08835</t>
  </si>
  <si>
    <t>HPBL-L-I26G-10584</t>
  </si>
  <si>
    <t>HPBL4-L-O26G-08836</t>
  </si>
  <si>
    <t>HPBL-L-I26G-10580</t>
  </si>
  <si>
    <t>HPBL4-L-O26G-08837</t>
  </si>
  <si>
    <t>HPBL-L-I26G-10585</t>
  </si>
  <si>
    <t>HPBL4-L-O26G-08838</t>
  </si>
  <si>
    <t>HPBL-L-I26G-10586</t>
  </si>
  <si>
    <t>HPBL4-L-O26G-08850</t>
  </si>
  <si>
    <t>PIL-L-I26G-20323</t>
  </si>
  <si>
    <t>HPBL4-L-O26G-08851</t>
  </si>
  <si>
    <t>PIL-L-I26G-20337</t>
  </si>
  <si>
    <t>HPBL4-L-O26G-08852</t>
  </si>
  <si>
    <t>PIL-L-I26G-20293</t>
  </si>
  <si>
    <t>HPBL4-L-O26G-08853</t>
  </si>
  <si>
    <t>PIL-L-I26G-20294</t>
  </si>
  <si>
    <t>HPBL4-L-O26G-08854</t>
  </si>
  <si>
    <t>PIL-L-I26G-20296</t>
  </si>
  <si>
    <t>HPBL4-L-O26G-08855</t>
  </si>
  <si>
    <t>PIL-L-I26G-20308</t>
  </si>
  <si>
    <t>HPBL4-L-O26G-08856</t>
  </si>
  <si>
    <t>PIL-L-I26G-20327</t>
  </si>
  <si>
    <t>HPBL4-L-O26G-08857</t>
  </si>
  <si>
    <t>PIL-L-I26G-20328</t>
  </si>
  <si>
    <t>HPBL4-L-O26G-08858</t>
  </si>
  <si>
    <t>PIL-L-I26G-20288</t>
  </si>
  <si>
    <t>HPBL4-L-O26G-08859</t>
  </si>
  <si>
    <t>PIL-L-I26G-20302</t>
  </si>
  <si>
    <t>HPBL4-L-O26G-08860</t>
  </si>
  <si>
    <t>PIL-L-I26G-20290</t>
  </si>
  <si>
    <t>HPBL4-L-O26G-08861</t>
  </si>
  <si>
    <t>PIL-L-I26G-20325</t>
  </si>
  <si>
    <t>HPBL4-L-O26G-08862</t>
  </si>
  <si>
    <t>PIL-L-I26G-20333</t>
  </si>
  <si>
    <t>HPBL4-L-O26G-08863</t>
  </si>
  <si>
    <t>PIL-L-I26G-20329</t>
  </si>
  <si>
    <t>HPBL4-L-O26G-08864</t>
  </si>
  <si>
    <t>PIL-L-I26G-20322</t>
  </si>
  <si>
    <t>HPBL4-L-O26G-08865</t>
  </si>
  <si>
    <t>PIL-L-I26G-20344</t>
  </si>
  <si>
    <t>HPBL4-L-O26G-08866</t>
  </si>
  <si>
    <t>PIL-L-I26G-20342</t>
  </si>
  <si>
    <t>HPBL4-L-O26G-08867</t>
  </si>
  <si>
    <t>PIL-L-I26G-20343</t>
  </si>
  <si>
    <t>HPBL4-L-O26G-08868</t>
  </si>
  <si>
    <t>PIL-L-I26G-20299</t>
  </si>
  <si>
    <t>HPBL4-L-O26G-08869</t>
  </si>
  <si>
    <t>PIL-L-I26G-20304</t>
  </si>
  <si>
    <t>HPBL4-L-O26G-08870</t>
  </si>
  <si>
    <t>PIL-L-I26G-20291</t>
  </si>
  <si>
    <t>HPBL4-L-O26G-08871</t>
  </si>
  <si>
    <t>PIL-L-I26G-20292</t>
  </si>
  <si>
    <t>HPBL4-L-O26G-08872</t>
  </si>
  <si>
    <t>PIL-L-I26G-20334</t>
  </si>
  <si>
    <t>HPBL4-L-O26G-08873L</t>
  </si>
  <si>
    <t>132+30</t>
  </si>
  <si>
    <t>PIL-L-I26G-20271L</t>
  </si>
  <si>
    <t>HPBL4-L-O26G-08874L</t>
  </si>
  <si>
    <t>HPBL-L-I26G-10456</t>
  </si>
  <si>
    <t>60+8</t>
  </si>
  <si>
    <t>PIL-L-O26G-10480L</t>
  </si>
  <si>
    <t>HPBL4-L-O26G-08875</t>
  </si>
  <si>
    <t>PIL-L-I26G-20348</t>
  </si>
  <si>
    <t>HPBL4-L-O26G-08876</t>
  </si>
  <si>
    <t>PIL-L-I26G-20295</t>
  </si>
  <si>
    <t>HPBL4-L-O26G-08877</t>
  </si>
  <si>
    <t>PIL-L-I26G-20345</t>
  </si>
  <si>
    <t>HPBL4-L-O26G-08878</t>
  </si>
  <si>
    <t>PIL-L-I26G-20349</t>
  </si>
  <si>
    <t>HPBL4-L-O26G-08879</t>
  </si>
  <si>
    <t>PIL-L-I26G-20347</t>
  </si>
  <si>
    <t>HPBL4-L-O26G-08880</t>
  </si>
  <si>
    <t>PIL-L-I26G-20350</t>
  </si>
  <si>
    <t>HPBL4-L-O26G-08881</t>
  </si>
  <si>
    <t>PIL-L-I26G-20324</t>
  </si>
  <si>
    <t>HPBL4-L-O26G-08882</t>
  </si>
  <si>
    <t>PP 77 FLAT MW Folding</t>
  </si>
  <si>
    <t>PIL-L-I26G-20335</t>
  </si>
  <si>
    <t>HPBL4-L-O26G-08883</t>
  </si>
  <si>
    <t>PIL-L-I26G-20346</t>
  </si>
  <si>
    <t>HPBL4-L-O26G-08884L</t>
  </si>
  <si>
    <t>PIL-L-I26G-20313L</t>
  </si>
  <si>
    <t>HPBL4-L-O26G-08885</t>
  </si>
  <si>
    <t>PP 115 TUBE MW</t>
  </si>
  <si>
    <t>PIL-L-O26G-10527</t>
  </si>
  <si>
    <t>HPBL4-L-O26G-08886</t>
  </si>
  <si>
    <t>PIL-L-I26G-20301</t>
  </si>
  <si>
    <t>HPBL4-L-O26G-08887</t>
  </si>
  <si>
    <t>PIL-L-I26G-20427</t>
  </si>
  <si>
    <t>HPBL4-L-O26G-08888</t>
  </si>
  <si>
    <t>PIL-L-I26G-20430</t>
  </si>
  <si>
    <t>HPBL4-L-O26G-08889</t>
  </si>
  <si>
    <t>PIL-L-I26G-20418</t>
  </si>
  <si>
    <t>HPBL4-L-O26G-08890</t>
  </si>
  <si>
    <t>PIL-L-I26G-20421</t>
  </si>
  <si>
    <t>HPBL4-L-O26G-08891</t>
  </si>
  <si>
    <t>PIL-L-I26G-20424</t>
  </si>
  <si>
    <t>HPBL4-L-O26G-08892</t>
  </si>
  <si>
    <t>PIL-L-I26G-20448</t>
  </si>
  <si>
    <t>HPBL4-L-O26G-08893</t>
  </si>
  <si>
    <t>PIL-L-I26G-20450</t>
  </si>
  <si>
    <t>HPBL4-L-O26G-08894</t>
  </si>
  <si>
    <t>PIL-L-I26G-20452</t>
  </si>
  <si>
    <t>HPBL4-L-O26G-08895</t>
  </si>
  <si>
    <t>PIL-L-I26G-20408</t>
  </si>
  <si>
    <t>HPBL4-L-O26G-08896</t>
  </si>
  <si>
    <t>PIL-L-I26G-20411</t>
  </si>
  <si>
    <t>HPBL4-L-O26G-08897</t>
  </si>
  <si>
    <t>PIL-L-I26G-20412</t>
  </si>
  <si>
    <t>HPBL4-L-O26G-08898</t>
  </si>
  <si>
    <t>PIL-L-I26G-20428</t>
  </si>
  <si>
    <t>HPBL4-L-O26G-08899</t>
  </si>
  <si>
    <t>PIL-L-I26G-20429</t>
  </si>
  <si>
    <t>HPBL4-L-O26G-08900</t>
  </si>
  <si>
    <t>PIL-L-I26G-20445</t>
  </si>
  <si>
    <t>HPBL4-L-O26G-08901</t>
  </si>
  <si>
    <t>PIL-L-I26G-20433</t>
  </si>
  <si>
    <t>HPBL4-L-O26G-08902</t>
  </si>
  <si>
    <t>PIL-L-I26G-20425</t>
  </si>
  <si>
    <t>HPBL4-L-O26G-08903</t>
  </si>
  <si>
    <t>PIL-L-I26G-20447</t>
  </si>
  <si>
    <t>HPBL4-L-O26G-08904</t>
  </si>
  <si>
    <t>PIL-L-I26G-20439</t>
  </si>
  <si>
    <t>HPBL4-L-O26G-08905</t>
  </si>
  <si>
    <t>PIL-L-I26G-20451</t>
  </si>
  <si>
    <t>HPBL4-L-O26G-08906</t>
  </si>
  <si>
    <t>PIL-L-I26G-20417</t>
  </si>
  <si>
    <t>HPBL4-L-O26G-08907</t>
  </si>
  <si>
    <t>PIL-L-I26G-20426</t>
  </si>
  <si>
    <t>HPBL4-L-O26G-08908</t>
  </si>
  <si>
    <t>PIL-L-I26G-20432</t>
  </si>
  <si>
    <t>HPBL4-L-O26G-08909</t>
  </si>
  <si>
    <t>PIL-L-I26G-20441</t>
  </si>
  <si>
    <t>HPBL4-L-O26G-08910</t>
  </si>
  <si>
    <t>PIL-L-I26G-20399</t>
  </si>
  <si>
    <t>HPBL4-L-O26G-08911</t>
  </si>
  <si>
    <t>PIL-L-I26G-20409</t>
  </si>
  <si>
    <t>HPBL4-L-O26G-08912</t>
  </si>
  <si>
    <t>PIL-L-I26G-20434</t>
  </si>
  <si>
    <t>HPBL4-L-O26G-08913</t>
  </si>
  <si>
    <t>PIL-L-I26G-20435</t>
  </si>
  <si>
    <t>HPBL4-L-O26G-08914</t>
  </si>
  <si>
    <t>PIL-L-I26G-20437</t>
  </si>
  <si>
    <t>HPBL4-L-O26G-08915</t>
  </si>
  <si>
    <t>PIL-L-I26G-20446</t>
  </si>
  <si>
    <t>HPBL4-L-O26G-08916</t>
  </si>
  <si>
    <t>PIL-L-I26G-20444</t>
  </si>
  <si>
    <t>HPBL4-L-O26G-08917</t>
  </si>
  <si>
    <t>PIL-L-I26G-20479</t>
  </si>
  <si>
    <t>HPBL4-L-O26G-08918L</t>
  </si>
  <si>
    <t>HPBL-L-I26G-10430</t>
  </si>
  <si>
    <t>PP 57 FLAT MW</t>
  </si>
  <si>
    <t>PIL-L-O26G-10479-1L</t>
  </si>
  <si>
    <t>HPBL4-L-O26G-08919L</t>
  </si>
  <si>
    <t>PIL-L-O26G-10479L</t>
  </si>
  <si>
    <t>HPBL4-L-O26G-08920L</t>
  </si>
  <si>
    <t>HPBL-L-I26G-10634</t>
  </si>
  <si>
    <t>PIL-L-O26G-10770L</t>
  </si>
  <si>
    <t>HPBL4-L-O26G-08921L</t>
  </si>
  <si>
    <t>HPBL-L-I26G-10555</t>
  </si>
  <si>
    <t>PIL-L-O26G-10765L</t>
  </si>
  <si>
    <t>HPBL4-L-O26G-08922</t>
  </si>
  <si>
    <t>OEL-L-I26G-03254</t>
  </si>
  <si>
    <t>PIL-L-O26G-10741</t>
  </si>
  <si>
    <t>HPBL4-L-O26G-08923</t>
  </si>
  <si>
    <t>OEL-L-I26G-03255</t>
  </si>
  <si>
    <t>PIL-L-O26G-10730</t>
  </si>
  <si>
    <t>HPBL4-L-O26G-08924</t>
  </si>
  <si>
    <t>OEL-L-I26G-03267</t>
  </si>
  <si>
    <t>PIL-L-O26G-10744</t>
  </si>
  <si>
    <t>HPBL4-L-O26G-08925</t>
  </si>
  <si>
    <t>OEL-L-I26G-03238</t>
  </si>
  <si>
    <t>PIL-L-O26G-10735</t>
  </si>
  <si>
    <t>HPBL4-L-O26G-08926</t>
  </si>
  <si>
    <t>OEL-L-I26G-03286</t>
  </si>
  <si>
    <t>PIL-L-O26G-10729</t>
  </si>
  <si>
    <t>HPBL4-L-O26G-08927</t>
  </si>
  <si>
    <t>OEL-L-I26G-03270</t>
  </si>
  <si>
    <t>PIL-L-O26G-10731</t>
  </si>
  <si>
    <t>HPBL4-L-O26G-08928</t>
  </si>
  <si>
    <t>OEL-L-I26G-03289</t>
  </si>
  <si>
    <t>PIL-L-O26G-10732</t>
  </si>
  <si>
    <t>HPBL4-L-O26G-08929</t>
  </si>
  <si>
    <t>OEL-L-I26G-03239</t>
  </si>
  <si>
    <t>PIL-L-O26G-10740</t>
  </si>
  <si>
    <t>HPBL4-L-O26G-08930</t>
  </si>
  <si>
    <t>OEL-L-I26G-03296</t>
  </si>
  <si>
    <t>PIL-L-O26G-10733</t>
  </si>
  <si>
    <t>HPBL4-L-O26G-08931L</t>
  </si>
  <si>
    <t>HPBL-L-I26C-04096</t>
  </si>
  <si>
    <t>PIL-L-O26G-10745L</t>
  </si>
  <si>
    <t>HPBL4-L-O26G-08932</t>
  </si>
  <si>
    <t>PIL-L-I26G-20469</t>
  </si>
  <si>
    <t>HPBL4-L-O26G-08933</t>
  </si>
  <si>
    <t>PIL-L-I26G-20466</t>
  </si>
  <si>
    <t>HPBL4-L-O26G-08934</t>
  </si>
  <si>
    <t>PIL-L-I26G-20468</t>
  </si>
  <si>
    <t>HPBL4-L-O26G-08935</t>
  </si>
  <si>
    <t>PIL-L-I26G-20470</t>
  </si>
  <si>
    <t>HPBL4-L-O26G-08936</t>
  </si>
  <si>
    <t>PIL-L-I26G-20467</t>
  </si>
  <si>
    <t>HPBL4-L-O26G-08937</t>
  </si>
  <si>
    <t>PIL-L-I26G-20472</t>
  </si>
  <si>
    <t>HPBL4-L-O26G-08938</t>
  </si>
  <si>
    <t>PIL-L-I26G-20471</t>
  </si>
  <si>
    <t>HPBL4-L-O26G-08939</t>
  </si>
  <si>
    <t>PIL-L-I26G-20541</t>
  </si>
  <si>
    <t>HPBL4-L-O26G-08940</t>
  </si>
  <si>
    <t>PIL-L-I26G-20543</t>
  </si>
  <si>
    <t>HPBL4-L-O26G-08941</t>
  </si>
  <si>
    <t>PIL-L-I26G-20489</t>
  </si>
  <si>
    <t>HPBL4-L-O26G-08942</t>
  </si>
  <si>
    <t>PIL-L-I26G-20542</t>
  </si>
  <si>
    <t>HPBL4-L-O26G-08943</t>
  </si>
  <si>
    <t>PIL-L-I26G-20486</t>
  </si>
  <si>
    <t>HPBL4-L-O26G-08944</t>
  </si>
  <si>
    <t>PIL-L-I26G-20496</t>
  </si>
  <si>
    <t>HPBL4-L-O26G-08945</t>
  </si>
  <si>
    <t>PIL-L-I26G-20534</t>
  </si>
  <si>
    <t>HPBL4-L-O26G-08946L</t>
  </si>
  <si>
    <t>PIL-L-O26G-10760L</t>
  </si>
  <si>
    <t>HPBL4-L-O26G-08947</t>
  </si>
  <si>
    <t>PIL-L-I26G-20518</t>
  </si>
  <si>
    <t>HPBL4-L-O26G-08948</t>
  </si>
  <si>
    <t>PIL-L-I26G-20495</t>
  </si>
  <si>
    <t>HPBL4-L-O26G-08949</t>
  </si>
  <si>
    <t>PIL-L-I26G-20508</t>
  </si>
  <si>
    <t>HPBL4-L-O26G-08950</t>
  </si>
  <si>
    <t>PIL-L-I26G-20515</t>
  </si>
  <si>
    <t>HPBL4-L-O26G-08951</t>
  </si>
  <si>
    <t>PIL-L-I26G-20519</t>
  </si>
  <si>
    <t>HPBL4-L-O26G-08952</t>
  </si>
  <si>
    <t>PIL-L-I26G-20520</t>
  </si>
  <si>
    <t>HPBL4-L-O26G-08953</t>
  </si>
  <si>
    <t>PIL-L-I26G-20524</t>
  </si>
  <si>
    <t>HPBL4-L-O26G-08954</t>
  </si>
  <si>
    <t>PIL-L-I26G-20483</t>
  </si>
  <si>
    <t>HPBL4-L-O26G-08955</t>
  </si>
  <si>
    <t>PIL-L-I26G-20484</t>
  </si>
  <si>
    <t>HPBL4-L-O26G-08956</t>
  </si>
  <si>
    <t>PIL-L-I26G-20487</t>
  </si>
  <si>
    <t>HPBL4-L-O26G-08957</t>
  </si>
  <si>
    <t>PIL-L-I26G-20523</t>
  </si>
  <si>
    <t>HPBL4-L-O26G-08958</t>
  </si>
  <si>
    <t>PIL-L-I26G-20485</t>
  </si>
  <si>
    <t>HPBL4-L-O26G-08959</t>
  </si>
  <si>
    <t>PIL-L-I26G-20493</t>
  </si>
  <si>
    <t>HPBL4-L-O26G-08960</t>
  </si>
  <si>
    <t>PIL-L-I26G-20513</t>
  </si>
  <si>
    <t>HPBL4-L-O26G-08961</t>
  </si>
  <si>
    <t>PIL-L-I26G-20525</t>
  </si>
  <si>
    <t>HPBL4-L-O26G-08962</t>
  </si>
  <si>
    <t>PIL-L-I26G-20517</t>
  </si>
  <si>
    <t>HPBL4-L-O26G-08963</t>
  </si>
  <si>
    <t>PIL-L-I26G-20529</t>
  </si>
  <si>
    <t>HPBL4-L-O26G-08964</t>
  </si>
  <si>
    <t>PIL-L-I26G-20530</t>
  </si>
  <si>
    <t>HPBL4-L-O26G-08965</t>
  </si>
  <si>
    <t>PIL-L-I26G-20488</t>
  </si>
  <si>
    <t>HPBL4-L-O26G-08966</t>
  </si>
  <si>
    <t>PIL-L-I26G-20514</t>
  </si>
  <si>
    <t>HPBL4-L-O26G-08967</t>
  </si>
  <si>
    <t>PIL-L-I26G-20526</t>
  </si>
  <si>
    <t>HPBL4-L-O26G-08968</t>
  </si>
  <si>
    <t>PIL-L-I26G-20527</t>
  </si>
  <si>
    <t>HPBL4-L-O26G-08969</t>
  </si>
  <si>
    <t>PIL-L-I26G-20480</t>
  </si>
  <si>
    <t>HPBL4-L-O26G-08970</t>
  </si>
  <si>
    <t>PIL-L-I26G-20501</t>
  </si>
  <si>
    <t>HPBL4-L-O26G-08971</t>
  </si>
  <si>
    <t>PIL-L-I26G-20503</t>
  </si>
  <si>
    <t>HPBL4-L-O26G-08972</t>
  </si>
  <si>
    <t>PIL-L-I26G-20509</t>
  </si>
  <si>
    <t>HPBL4-L-O26G-08973</t>
  </si>
  <si>
    <t>PIL-L-I26G-20491</t>
  </si>
  <si>
    <t>HPBL4-L-O26G-08974</t>
  </si>
  <si>
    <t>PIL-L-I26G-20504</t>
  </si>
  <si>
    <t>HPBL4-L-O26G-08975</t>
  </si>
  <si>
    <t>PIL-L-I26G-20516</t>
  </si>
  <si>
    <t>HPBL4-L-O26G-08976</t>
  </si>
  <si>
    <t>PIL-L-I26G-20531</t>
  </si>
  <si>
    <t>HPBL4-L-O26G-08977L</t>
  </si>
  <si>
    <t>PIL-L-I26G-20406L</t>
  </si>
  <si>
    <t>HPBL4-L-O26G-08978L</t>
  </si>
  <si>
    <t>PIL-L-I26G-20455L</t>
  </si>
  <si>
    <t>HPBL4-L-O26G-08979</t>
  </si>
  <si>
    <t>PIL-L-I26G-20561</t>
  </si>
  <si>
    <t>HPBL4-L-O26G-08980</t>
  </si>
  <si>
    <t>PIL-L-I26G-20562</t>
  </si>
  <si>
    <t>HPBL4-L-O26G-08981</t>
  </si>
  <si>
    <t>PIL-L-I26G-20566</t>
  </si>
  <si>
    <t>HPBL4-L-O26G-08982</t>
  </si>
  <si>
    <t>PIL-L-I26G-20585</t>
  </si>
  <si>
    <t>HPBL4-L-O26G-08983</t>
  </si>
  <si>
    <t>PIL-L-I26G-20596</t>
  </si>
  <si>
    <t>HPBL4-L-O26G-08984</t>
  </si>
  <si>
    <t>PIL-L-I26G-20565</t>
  </si>
  <si>
    <t>HPBL4-L-O26G-08985</t>
  </si>
  <si>
    <t>PIL-L-I26G-20569</t>
  </si>
  <si>
    <t>HPBL4-L-O26G-08986</t>
  </si>
  <si>
    <t>PIL-L-I26G-20571</t>
  </si>
  <si>
    <t>HPBL4-L-O26G-08987</t>
  </si>
  <si>
    <t>PIL-L-I26G-20583</t>
  </si>
  <si>
    <t>HPBL4-L-O26G-08988</t>
  </si>
  <si>
    <t>PIL-L-I26G-20592</t>
  </si>
  <si>
    <t>HPBL4-L-O26G-08989</t>
  </si>
  <si>
    <t>PIL-L-I26G-20597</t>
  </si>
  <si>
    <t>HPBL4-L-O26G-08990</t>
  </si>
  <si>
    <t>PIL-L-I26G-20573</t>
  </si>
  <si>
    <t>HPBL4-L-O26G-08991</t>
  </si>
  <si>
    <t>PIL-L-I26G-20593</t>
  </si>
  <si>
    <t>HPBL4-L-O26G-08992</t>
  </si>
  <si>
    <t>PIL-L-I26G-20591</t>
  </si>
  <si>
    <t>HPBL4-L-O26G-08993</t>
  </si>
  <si>
    <t>PIL-L-I26G-20599</t>
  </si>
  <si>
    <t>HPBL4-L-O26G-08994</t>
  </si>
  <si>
    <t>PIL-L-I26G-20560</t>
  </si>
  <si>
    <t>HPBL4-L-O26G-08995</t>
  </si>
  <si>
    <t>PIL-L-I26G-20570</t>
  </si>
  <si>
    <t>HPBL4-L-O26G-08996</t>
  </si>
  <si>
    <t>PIL-L-I26G-20576</t>
  </si>
  <si>
    <t>HPBL4-L-O26G-08997</t>
  </si>
  <si>
    <t>PIL-L-I26G-20578</t>
  </si>
  <si>
    <t>HPBL4-L-O26G-08998</t>
  </si>
  <si>
    <t>PIL-L-I26G-20584</t>
  </si>
  <si>
    <t>HPBL4-L-O26G-08999</t>
  </si>
  <si>
    <t>PIL-L-I26G-20598</t>
  </si>
  <si>
    <t>HPBL4-L-O26G-09000</t>
  </si>
  <si>
    <t>PIL-L-I26G-20559</t>
  </si>
  <si>
    <t>HPBL4-L-O26G-09001</t>
  </si>
  <si>
    <t>PIL-L-I26G-20567</t>
  </si>
  <si>
    <t>HPBL4-L-O26G-09002</t>
  </si>
  <si>
    <t>PIL-L-I26G-20568</t>
  </si>
  <si>
    <t>HPBL4-L-O26G-09003</t>
  </si>
  <si>
    <t>PIL-L-I26G-20579</t>
  </si>
  <si>
    <t>HPBL4-L-O26G-09004</t>
  </si>
  <si>
    <t>PIL-L-I26G-20572</t>
  </si>
  <si>
    <t>HPBL4-L-O26G-09005</t>
  </si>
  <si>
    <t>PIL-L-I26G-20574</t>
  </si>
  <si>
    <t>HPBL4-L-O26G-09006</t>
  </si>
  <si>
    <t>PIL-L-I26G-20590</t>
  </si>
  <si>
    <t>HPBL4-L-O26G-09007</t>
  </si>
  <si>
    <t>PIL-L-I26G-20606</t>
  </si>
  <si>
    <t>HPBL4-L-O26G-09008</t>
  </si>
  <si>
    <t>PIL-L-I26G-20564</t>
  </si>
  <si>
    <t>HPBL4-L-O26G-09009</t>
  </si>
  <si>
    <t>PIL-L-I26G-20600</t>
  </si>
  <si>
    <t>HPBL4-L-O26G-09010</t>
  </si>
  <si>
    <t>PIL-L-I26G-20607</t>
  </si>
  <si>
    <t>HPBL4-L-O26G-09011</t>
  </si>
  <si>
    <t>PIL-L-I26G-20594</t>
  </si>
  <si>
    <t>HPBL4-L-O26G-09012</t>
  </si>
  <si>
    <t>PIL-L-I26G-20608</t>
  </si>
  <si>
    <t>HPBL4-L-O26G-09013</t>
  </si>
  <si>
    <t>PIL-L-I26G-20609</t>
  </si>
  <si>
    <t>HPBL4-L-O26G-09014</t>
  </si>
  <si>
    <t>PIL-L-I26G-20610</t>
  </si>
  <si>
    <t>HPBL4-L-O26G-09015L</t>
  </si>
  <si>
    <t>HPBL-L-I26G-10071</t>
  </si>
  <si>
    <t>PIL-L-O26G-10459L</t>
  </si>
  <si>
    <t>HPBL4-L-O26G-09016L</t>
  </si>
  <si>
    <t>PIL-L-O26G-10755L</t>
  </si>
  <si>
    <t>HPBL4-L-O26G-09017L</t>
  </si>
  <si>
    <t>PIL-L-O26G-10756-1L</t>
  </si>
  <si>
    <t>HPBL4-L-O26G-09018L</t>
  </si>
  <si>
    <t>PIL-L-O26G-10756L</t>
  </si>
  <si>
    <t>HPBL4-L-O26G-09019L</t>
  </si>
  <si>
    <t>PIL-L-O26G-10758-1L</t>
  </si>
  <si>
    <t>HPBL4-L-O26G-09020L</t>
  </si>
  <si>
    <t>PIL-L-O26G-10758L</t>
  </si>
  <si>
    <t>HPBL4-L-O26G-09021L</t>
  </si>
  <si>
    <t>PIL-L-O26G-10759L</t>
  </si>
  <si>
    <t>HPBL4-L-O26G-09022</t>
  </si>
  <si>
    <t>PIL-L-I26G-20083</t>
  </si>
  <si>
    <t>HPBL4-L-O26G-09023</t>
  </si>
  <si>
    <t>PIL-L-I26G-20657</t>
  </si>
  <si>
    <t>HPBL4-L-O26G-09024</t>
  </si>
  <si>
    <t>PIL-L-I26G-20658</t>
  </si>
  <si>
    <t>HPBL4-L-O26G-09025</t>
  </si>
  <si>
    <t>PIL-L-I26G-20677</t>
  </si>
  <si>
    <t>HPBL4-L-O26G-09026</t>
  </si>
  <si>
    <t>PIL-L-I26G-20685</t>
  </si>
  <si>
    <t>HPBL4-L-O26G-09027</t>
  </si>
  <si>
    <t>PIL-L-I26G-20701</t>
  </si>
  <si>
    <t>HPBL4-L-O26G-09028</t>
  </si>
  <si>
    <t>PIL-L-I26G-20704</t>
  </si>
  <si>
    <t>HPBL4-L-O26G-09029</t>
  </si>
  <si>
    <t>PIL-L-I26G-20660</t>
  </si>
  <si>
    <t>HPBL4-L-O26G-09030</t>
  </si>
  <si>
    <t>PIL-L-I26G-20663</t>
  </si>
  <si>
    <t>HPBL4-L-O26G-09031</t>
  </si>
  <si>
    <t>PIL-L-I26G-20666</t>
  </si>
  <si>
    <t>HPBL4-L-O26G-09032</t>
  </si>
  <si>
    <t>PIL-L-I26G-20683</t>
  </si>
  <si>
    <t>HPBL4-L-O26G-09033</t>
  </si>
  <si>
    <t>PIL-L-I26G-20684</t>
  </si>
  <si>
    <t>HPBL4-L-O26G-09034</t>
  </si>
  <si>
    <t>PIL-L-I26G-20693</t>
  </si>
  <si>
    <t>HPBL4-L-O26G-09035</t>
  </si>
  <si>
    <t>PIL-L-I26G-20702</t>
  </si>
  <si>
    <t>HPBL4-L-O26G-09036</t>
  </si>
  <si>
    <t>PIL-L-I26G-20706</t>
  </si>
  <si>
    <t>HPBL4-L-O26G-09037</t>
  </si>
  <si>
    <t>PIL-L-I26G-20707</t>
  </si>
  <si>
    <t>HPBL4-L-O26G-09038</t>
  </si>
  <si>
    <t>PIL-L-I26G-20689</t>
  </si>
  <si>
    <t>HPBL4-L-O26G-09039</t>
  </si>
  <si>
    <t>PIL-L-I26G-20692</t>
  </si>
  <si>
    <t>HPBL4-L-O26G-09040</t>
  </si>
  <si>
    <t>PIL-L-I26G-20696</t>
  </si>
  <si>
    <t>HPBL4-L-O26G-09041</t>
  </si>
  <si>
    <t>PP 102 FLAT YELLOW -C Folding</t>
  </si>
  <si>
    <t>PIL-L-I26G-20667</t>
  </si>
  <si>
    <t>HPBL4-L-O26G-09042</t>
  </si>
  <si>
    <t>PIL-L-I26G-20680</t>
  </si>
  <si>
    <t>HPBL4-L-O26G-09043</t>
  </si>
  <si>
    <t>PIL-L-I26G-20686</t>
  </si>
  <si>
    <t>HPBL4-L-O26G-09044</t>
  </si>
  <si>
    <t>PIL-L-I26G-20659</t>
  </si>
  <si>
    <t>HPBL4-L-O26G-09045</t>
  </si>
  <si>
    <t>PIL-L-I26G-20678</t>
  </si>
  <si>
    <t>HPBL4-L-O26G-09046</t>
  </si>
  <si>
    <t>PIL-L-I26G-20690</t>
  </si>
  <si>
    <t>HPBL4-L-O26G-09047</t>
  </si>
  <si>
    <t>PIL-L-I26G-20656</t>
  </si>
  <si>
    <t>HPBL4-L-O26G-09048</t>
  </si>
  <si>
    <t>PIL-L-I26G-20705</t>
  </si>
  <si>
    <t>HPBL4-L-O26G-09049</t>
  </si>
  <si>
    <t>PIL-L-I26G-20655</t>
  </si>
  <si>
    <t>HPBL4-L-O26G-09050</t>
  </si>
  <si>
    <t>PP 180 GZT MW 4%CC &amp; UV</t>
  </si>
  <si>
    <t>PIL-L-I26G-20672</t>
  </si>
  <si>
    <t>HPBL4-L-O26G-09051</t>
  </si>
  <si>
    <t>PIL-L-I26G-20682</t>
  </si>
  <si>
    <t>HPBL4-L-O26G-09052</t>
  </si>
  <si>
    <t>PIL-L-I26G-20708</t>
  </si>
  <si>
    <t>HPBL4-L-O26G-09053</t>
  </si>
  <si>
    <t>PIL-L-I26G-20718</t>
  </si>
  <si>
    <t>HPBL4-L-O26G-09054</t>
  </si>
  <si>
    <t>PIL-L-I26G-20715</t>
  </si>
  <si>
    <t>HPBL4-L-O26G-09055</t>
  </si>
  <si>
    <t>PIL-L-I26G-20714</t>
  </si>
  <si>
    <t>HPBL4-L-O26G-09056</t>
  </si>
  <si>
    <t>PIL-L-I26G-20717</t>
  </si>
  <si>
    <t>HPBL4-L-O26G-09057</t>
  </si>
  <si>
    <t>PIL-L-I26G-20719</t>
  </si>
  <si>
    <t>HPBL4-L-O26G-09058</t>
  </si>
  <si>
    <t>PIL-L-I26G-20720</t>
  </si>
  <si>
    <t>HPBL4-L-O26G-09059</t>
  </si>
  <si>
    <t>PIL-L-I26G-20716</t>
  </si>
  <si>
    <t>HPBL4-L-O26G-09060L</t>
  </si>
  <si>
    <t>HPBL-L-I26G-10708</t>
  </si>
  <si>
    <t>PIL-L-O26G-10834L</t>
  </si>
  <si>
    <t>HPBL4-L-O26G-09061L</t>
  </si>
  <si>
    <t>PIL-L-I26G-20712L</t>
  </si>
  <si>
    <t>HPBL4-L-O26G-09062L</t>
  </si>
  <si>
    <t>HPBL-L-I26G-10704</t>
  </si>
  <si>
    <t>PIL-L-O26G-10841L</t>
  </si>
  <si>
    <t>HPBL4-L-O26G-09063</t>
  </si>
  <si>
    <t>012291 (ICO-2606-268) HBPL-4</t>
  </si>
  <si>
    <t>PP 98 BLACK 13 VENT SULZER</t>
  </si>
  <si>
    <t>KPV-L-I26G-10974</t>
  </si>
  <si>
    <t>HPBL4-L-O26G-09064</t>
  </si>
  <si>
    <t>012290 (ICO-2606-268) HBPL-4</t>
  </si>
  <si>
    <t>KPV-L-I26G-10973</t>
  </si>
  <si>
    <t>HPBL4-L-O26G-09065</t>
  </si>
  <si>
    <t>012292 (ICO-2606-268) HBPL-4</t>
  </si>
  <si>
    <t>KPV-L-I26G-11084</t>
  </si>
  <si>
    <t>HPBL4-L-O26G-09066</t>
  </si>
  <si>
    <t>012293 (ICO-2606-268) HBPL-4</t>
  </si>
  <si>
    <t>KPV-L-I26G-11085</t>
  </si>
  <si>
    <t>HPBL4-L-O26G-09067</t>
  </si>
  <si>
    <t>012294 (ICO-2606-268) HBPL-4</t>
  </si>
  <si>
    <t>KPV-L-I26G-11086</t>
  </si>
  <si>
    <t>HPBL4-L-O26G-09068</t>
  </si>
  <si>
    <t>012289 (ICO-2606-268) HBPL-4</t>
  </si>
  <si>
    <t>KPV-L-I26G-10972</t>
  </si>
  <si>
    <t>HPBL4-L-O26G-09069</t>
  </si>
  <si>
    <t>PIL-L-I26G-20780</t>
  </si>
  <si>
    <t>HPBL4-L-O26G-09070</t>
  </si>
  <si>
    <t>PIL-L-I26G-20732</t>
  </si>
  <si>
    <t>HPBL4-L-O26G-09071</t>
  </si>
  <si>
    <t>HPBL4-L-O26G-09072</t>
  </si>
  <si>
    <t>PIL-L-I26G-20736</t>
  </si>
  <si>
    <t>HPBL4-L-O26G-09073</t>
  </si>
  <si>
    <t>PIL-L-I26G-20743</t>
  </si>
  <si>
    <t>HPBL4-L-O26G-09074</t>
  </si>
  <si>
    <t>PIL-L-I26G-20779</t>
  </si>
  <si>
    <t>HPBL4-L-O26G-09075</t>
  </si>
  <si>
    <t>PIL-L-I26G-20730</t>
  </si>
  <si>
    <t>HPBL4-L-O26G-09076</t>
  </si>
  <si>
    <t>PIL-L-I26G-20762</t>
  </si>
  <si>
    <t>HPBL4-L-O26G-09077</t>
  </si>
  <si>
    <t>PIL-L-I26G-20763</t>
  </si>
  <si>
    <t>HPBL4-L-O26G-09078</t>
  </si>
  <si>
    <t>PIL-L-I26G-20767</t>
  </si>
  <si>
    <t>HPBL4-L-O26G-09079</t>
  </si>
  <si>
    <t>PIL-L-I26G-20783</t>
  </si>
  <si>
    <t>HPBL4-L-O26G-09080</t>
  </si>
  <si>
    <t>PIL-L-I26G-20768</t>
  </si>
  <si>
    <t>HPBL4-L-O26G-09081</t>
  </si>
  <si>
    <t>PIL-L-I26G-20754</t>
  </si>
  <si>
    <t>HPBL4-L-O26G-09082</t>
  </si>
  <si>
    <t>PIL-L-I26G-20755</t>
  </si>
  <si>
    <t>HPBL4-L-O26G-09083</t>
  </si>
  <si>
    <t>PIL-L-I26G-20756</t>
  </si>
  <si>
    <t>HPBL4-L-O26G-09084</t>
  </si>
  <si>
    <t>PIL-L-I26G-20765</t>
  </si>
  <si>
    <t>HPBL4-L-O26G-09085</t>
  </si>
  <si>
    <t>PIL-L-I26G-20766</t>
  </si>
  <si>
    <t>HPBL4-L-O26G-09086</t>
  </si>
  <si>
    <t>PIL-L-I26G-20739</t>
  </si>
  <si>
    <t>HPBL4-L-O26G-09087</t>
  </si>
  <si>
    <t>PIL-L-I26G-20733</t>
  </si>
  <si>
    <t>HPBL4-L-O26G-09088</t>
  </si>
  <si>
    <t>PIL-L-I26G-20738</t>
  </si>
  <si>
    <t>HPBL4-L-O26G-09089</t>
  </si>
  <si>
    <t>PIL-L-I26G-20775</t>
  </si>
  <si>
    <t>HPBL4-L-O26G-09090</t>
  </si>
  <si>
    <t>PIL-L-I26G-20760</t>
  </si>
  <si>
    <t>HPBL4-L-O26G-09091L</t>
  </si>
  <si>
    <t>HPBL-L-I26G-10702</t>
  </si>
  <si>
    <t>PP 45 FLAT M/W</t>
  </si>
  <si>
    <t>PIL-L-O26G-10837-1L</t>
  </si>
  <si>
    <t>HPBL4-L-O26G-09092L</t>
  </si>
  <si>
    <t>PIL-L-O26G-10837L</t>
  </si>
  <si>
    <t>HPBL4-L-O26G-09093L</t>
  </si>
  <si>
    <t>PIL-L-I26G-20284L</t>
  </si>
  <si>
    <t>HPBL4-L-O26G-09094L</t>
  </si>
  <si>
    <t>PIL-L-I26G-20537L</t>
  </si>
  <si>
    <t>HPBL4-L-O26G-09095</t>
  </si>
  <si>
    <t>PIL-L-I26G-20795</t>
  </si>
  <si>
    <t>pil1/d/1149</t>
  </si>
  <si>
    <t>HPBL4-L-O26G-09096</t>
  </si>
  <si>
    <t>PIL-L-I26G-20796</t>
  </si>
  <si>
    <t>HPBL4-L-O26G-09097</t>
  </si>
  <si>
    <t>PIL-L-I26G-20794</t>
  </si>
  <si>
    <t>HPBL4-L-O26G-09098</t>
  </si>
  <si>
    <t>PIL-L-I26G-20798</t>
  </si>
  <si>
    <t>HPBL4-L-O26G-09099</t>
  </si>
  <si>
    <t>PIL-L-I26G-20797</t>
  </si>
  <si>
    <t>HPBL4-L-O26G-09100</t>
  </si>
  <si>
    <t>PIL-L-I26G-20785</t>
  </si>
  <si>
    <t>HPBL4-L-O26G-09101</t>
  </si>
  <si>
    <t>PIL-L-I26G-20781</t>
  </si>
  <si>
    <t>HPBL4-L-O26G-09102</t>
  </si>
  <si>
    <t>PIL-L-I26G-20784</t>
  </si>
  <si>
    <t>HPBL4-L-O26G-09103</t>
  </si>
  <si>
    <t>PIL-L-I26G-20776</t>
  </si>
  <si>
    <t>HPBL4-L-O26G-09104</t>
  </si>
  <si>
    <t>PIL-L-I26G-20734</t>
  </si>
  <si>
    <t>HPBL4-L-O26G-09105</t>
  </si>
  <si>
    <t>PIL-L-I26G-20774</t>
  </si>
  <si>
    <t>HPBL4-L-O26G-09106</t>
  </si>
  <si>
    <t>PIL-L-I26G-20745</t>
  </si>
  <si>
    <t>HPBL4-L-O26G-09107</t>
  </si>
  <si>
    <t>PIL-L-I26G-20744</t>
  </si>
  <si>
    <t>HPBL4-L-O26G-09108</t>
  </si>
  <si>
    <t>PIL-L-I26G-20746</t>
  </si>
  <si>
    <t>HPBL4-L-O26G-09109</t>
  </si>
  <si>
    <t>PIL-L-I26G-20782</t>
  </si>
  <si>
    <t>HPBL4-L-O26G-09110</t>
  </si>
  <si>
    <t>PIL-L-I26G-20731</t>
  </si>
  <si>
    <t>HPBL4-L-O26G-09111</t>
  </si>
  <si>
    <t>PIL-L-I26G-20737</t>
  </si>
  <si>
    <t>HPBL4-L-O26G-09112</t>
  </si>
  <si>
    <t>OEL-L-I26G-03369</t>
  </si>
  <si>
    <t>PIL-L-O26G-11023</t>
  </si>
  <si>
    <t>HPBL4-L-O26G-09113</t>
  </si>
  <si>
    <t>OEL-L-I26G-03318</t>
  </si>
  <si>
    <t>PIL-L-O26G-11027</t>
  </si>
  <si>
    <t>HPBL4-L-O26G-09114</t>
  </si>
  <si>
    <t>OEL-L-I26G-03297</t>
  </si>
  <si>
    <t>PIL-L-O26G-11018</t>
  </si>
  <si>
    <t>HPBL4-L-O26G-09115</t>
  </si>
  <si>
    <t>OEL-L-I26G-03335</t>
  </si>
  <si>
    <t>PIL-L-O26G-11019</t>
  </si>
  <si>
    <t>HPBL4-L-O26G-09116</t>
  </si>
  <si>
    <t>OEL-L-I26G-03346</t>
  </si>
  <si>
    <t>PIL-L-O26G-11031</t>
  </si>
  <si>
    <t>HPBL4-L-O26G-09117</t>
  </si>
  <si>
    <t>OEL-L-I26G-03374</t>
  </si>
  <si>
    <t>PIL-L-O26G-11033</t>
  </si>
  <si>
    <t>HPBL4-L-O26G-09118</t>
  </si>
  <si>
    <t>OEL-L-I26G-03382</t>
  </si>
  <si>
    <t>PIL-L-O26G-11035</t>
  </si>
  <si>
    <t>HPBL4-L-O26G-09119</t>
  </si>
  <si>
    <t>OEL-L-I26G-03319</t>
  </si>
  <si>
    <t>PIL-L-O26G-11028</t>
  </si>
  <si>
    <t>HPBL4-L-O26G-09120</t>
  </si>
  <si>
    <t>OEL-L-I26G-03353</t>
  </si>
  <si>
    <t>PIL-L-O26G-11029</t>
  </si>
  <si>
    <t>HPBL4-L-O26G-09121</t>
  </si>
  <si>
    <t>OEL-L-I26G-03357</t>
  </si>
  <si>
    <t>PIL-L-O26G-11030</t>
  </si>
  <si>
    <t>HPBL4-L-O26G-09122</t>
  </si>
  <si>
    <t>OEL-L-I26G-03338</t>
  </si>
  <si>
    <t>PIL-L-O26G-11032</t>
  </si>
  <si>
    <t>HPBL4-L-O26G-09123</t>
  </si>
  <si>
    <t>PIL-L-I26G-20810</t>
  </si>
  <si>
    <t>HPBL4-L-O26G-09124</t>
  </si>
  <si>
    <t>PIL-L-I26G-20843</t>
  </si>
  <si>
    <t>HPBL4-L-O26G-09125</t>
  </si>
  <si>
    <t>PIL-L-I26G-20847</t>
  </si>
  <si>
    <t>HPBL4-L-O26G-09126</t>
  </si>
  <si>
    <t>PIL-L-I26G-20814</t>
  </si>
  <si>
    <t>HPBL4-L-O26G-09127</t>
  </si>
  <si>
    <t>PIL-L-I26G-20813</t>
  </si>
  <si>
    <t>HPBL4-L-O26G-09128</t>
  </si>
  <si>
    <t>PIL-L-I26G-20854</t>
  </si>
  <si>
    <t>HPBL4-L-O26G-09129</t>
  </si>
  <si>
    <t>PIL-L-I26G-20859</t>
  </si>
  <si>
    <t>HPBL4-L-O26G-09130</t>
  </si>
  <si>
    <t>PIL-L-I26G-20824</t>
  </si>
  <si>
    <t>HPBL4-L-O26G-09131</t>
  </si>
  <si>
    <t>PIL-L-I26G-20836</t>
  </si>
  <si>
    <t>HPBL4-L-O26G-09132</t>
  </si>
  <si>
    <t>PIL-L-I26G-20848</t>
  </si>
  <si>
    <t>HPBL4-L-O26G-09133</t>
  </si>
  <si>
    <t>PIL-L-I26G-20850</t>
  </si>
  <si>
    <t>HPBL4-L-O26G-09134</t>
  </si>
  <si>
    <t>PIL-L-I26G-20858</t>
  </si>
  <si>
    <t>HPBL4-L-O26G-09135</t>
  </si>
  <si>
    <t>PIL-L-I26G-20860</t>
  </si>
  <si>
    <t>HPBL4-L-O26G-09136</t>
  </si>
  <si>
    <t>PIL-L-I26G-20823</t>
  </si>
  <si>
    <t>HPBL4-L-O26G-09137</t>
  </si>
  <si>
    <t>PIL-L-I26G-20842</t>
  </si>
  <si>
    <t>HPBL4-L-O26G-09138</t>
  </si>
  <si>
    <t>PIL-L-I26G-20851</t>
  </si>
  <si>
    <t>HPBL4-L-O26G-09139</t>
  </si>
  <si>
    <t>PIL-L-I26G-20853</t>
  </si>
  <si>
    <t>HPBL4-L-O26G-09140</t>
  </si>
  <si>
    <t>PIL-L-I26G-20825</t>
  </si>
  <si>
    <t>HPBL4-L-O26G-09141</t>
  </si>
  <si>
    <t>PIL-L-I26G-20832</t>
  </si>
  <si>
    <t>HPBL4-L-O26G-09142</t>
  </si>
  <si>
    <t>PIL-L-I26G-20844</t>
  </si>
  <si>
    <t>HPBL4-L-O26G-09143</t>
  </si>
  <si>
    <t>PIL-L-I26G-20857</t>
  </si>
  <si>
    <t>HPBL4-L-O26G-09144</t>
  </si>
  <si>
    <t>PIL-L-I26G-20821</t>
  </si>
  <si>
    <t>HPBL4-L-O26G-09145</t>
  </si>
  <si>
    <t>PIL-L-I26G-20852</t>
  </si>
  <si>
    <t>HPBL4-L-O26G-09146</t>
  </si>
  <si>
    <t>PIL-L-I26G-20855</t>
  </si>
  <si>
    <t>HPBL4-L-O26G-09147</t>
  </si>
  <si>
    <t>PIL-L-I26G-20809</t>
  </si>
  <si>
    <t>HPBL4-L-O26G-09148</t>
  </si>
  <si>
    <t>PIL-L-I26G-20811</t>
  </si>
  <si>
    <t>HPBL4-L-O26G-09149</t>
  </si>
  <si>
    <t>PIL-L-I26G-20849</t>
  </si>
  <si>
    <t>HPBL4-L-O26G-09150</t>
  </si>
  <si>
    <t>PIL-L-I26G-20819</t>
  </si>
  <si>
    <t>HPBL4-L-O26G-09151</t>
  </si>
  <si>
    <t>PIL-L-I26G-20870</t>
  </si>
  <si>
    <t>HPBL4-L-O26G-09152</t>
  </si>
  <si>
    <t>PIL-L-I26G-20867</t>
  </si>
  <si>
    <t>HPBL4-L-O26G-09153</t>
  </si>
  <si>
    <t>PIL-L-I26G-20869</t>
  </si>
  <si>
    <t>HPBL4-L-O26G-09154</t>
  </si>
  <si>
    <t>PIL-L-I26G-20868</t>
  </si>
  <si>
    <t>HPBL4-L-O26G-09155</t>
  </si>
  <si>
    <t>PIL-L-I26G-20871</t>
  </si>
  <si>
    <t>HPBL4-L-O26G-09156L</t>
  </si>
  <si>
    <t>HPBL-L-I26G-10683</t>
  </si>
  <si>
    <t>PP 108 FLAT MW Marking</t>
  </si>
  <si>
    <t>PIL-L-O26G-10838L</t>
  </si>
  <si>
    <t>HPBL4-L-O26G-09157L</t>
  </si>
  <si>
    <t>PG-492</t>
  </si>
  <si>
    <t>PP 114 SPOUT MW</t>
  </si>
  <si>
    <t>60+10</t>
  </si>
  <si>
    <t>PPL-L-O26G-02258L</t>
  </si>
  <si>
    <t>LAMINATED HCP-4 23.07.26</t>
  </si>
  <si>
    <t>HPBL4-L-O26G-09158L</t>
  </si>
  <si>
    <t>HPBL-L-I26F-09563</t>
  </si>
  <si>
    <t>PP 82 FLAT BLACK</t>
  </si>
  <si>
    <t>PPL-L-O26G-02203L</t>
  </si>
  <si>
    <t>HPBL4-L-O26G-09159</t>
  </si>
  <si>
    <t>PIL-L-O26F-08481</t>
  </si>
  <si>
    <t>HPBL4-L-O26G-09160</t>
  </si>
  <si>
    <t>PIL-L-I26G-20948</t>
  </si>
  <si>
    <t>HPBL4-L-O26G-09161</t>
  </si>
  <si>
    <t>PIL-L-I26G-20890</t>
  </si>
  <si>
    <t>HPBL4-L-O26G-09162</t>
  </si>
  <si>
    <t>PIL-L-I26G-20895</t>
  </si>
  <si>
    <t>HPBL4-L-O26G-09163</t>
  </si>
  <si>
    <t>PIL-L-I26G-20941</t>
  </si>
  <si>
    <t>HPBL4-L-O26G-09164</t>
  </si>
  <si>
    <t>PIL-L-I26G-20946</t>
  </si>
  <si>
    <t>HPBL4-L-O26G-09165</t>
  </si>
  <si>
    <t>PIL-L-I26G-20947</t>
  </si>
  <si>
    <t>HPBL4-L-O26G-09166</t>
  </si>
  <si>
    <t>PIL-L-I26G-20929</t>
  </si>
  <si>
    <t>HPBL4-L-O26G-09167</t>
  </si>
  <si>
    <t>PIL-L-I26G-20944</t>
  </si>
  <si>
    <t>HPBL4-L-O26G-09168</t>
  </si>
  <si>
    <t>PIL-L-I26G-20945</t>
  </si>
  <si>
    <t>HPBL4-L-O26G-09169</t>
  </si>
  <si>
    <t>PIL-L-I26G-20889</t>
  </si>
  <si>
    <t>HPBL4-L-O26G-09170</t>
  </si>
  <si>
    <t>PIL-L-I26G-20887</t>
  </si>
  <si>
    <t>HPBL4-L-O26G-09171</t>
  </si>
  <si>
    <t>PIL-L-I26G-20936</t>
  </si>
  <si>
    <t>HPBL4-L-O26G-09172</t>
  </si>
  <si>
    <t>PIL-L-I26G-20942</t>
  </si>
  <si>
    <t>HPBL4-L-O26G-09173</t>
  </si>
  <si>
    <t>PIL-L-I26G-20943</t>
  </si>
  <si>
    <t>HPBL4-L-O26G-09174</t>
  </si>
  <si>
    <t>PIL-L-I26G-20903</t>
  </si>
  <si>
    <t>HPBL4-L-O26G-09175</t>
  </si>
  <si>
    <t>PIL-L-I26G-20882</t>
  </si>
  <si>
    <t>HPBL4-L-O26G-09176</t>
  </si>
  <si>
    <t>PIL-L-I26G-20888</t>
  </si>
  <si>
    <t>HPBL4-L-O26G-09177L</t>
  </si>
  <si>
    <t>HPBL-L-I26G-10862</t>
  </si>
  <si>
    <t>PIL-L-O26G-11017L</t>
  </si>
  <si>
    <t>HPBL4-L-O26G-09178</t>
  </si>
  <si>
    <t>PIL-L-I26G-20924</t>
  </si>
  <si>
    <t>HPBL4-L-O26G-09179</t>
  </si>
  <si>
    <t>PIL-L-I26G-20932</t>
  </si>
  <si>
    <t>HPBL4-L-O26G-09180</t>
  </si>
  <si>
    <t>PIL-L-I26G-20940</t>
  </si>
  <si>
    <t>HPBL4-L-O26G-09181</t>
  </si>
  <si>
    <t>PIL-L-I26G-20897</t>
  </si>
  <si>
    <t>HPBL4-L-O26G-09182</t>
  </si>
  <si>
    <t>PIL-L-I26G-20919</t>
  </si>
  <si>
    <t>HPBL4-L-O26G-09183</t>
  </si>
  <si>
    <t>PIL-L-I26G-20922</t>
  </si>
  <si>
    <t>HPBL4-L-O26G-09184</t>
  </si>
  <si>
    <t>PIL-L-I26G-20879</t>
  </si>
  <si>
    <t>HPBL4-L-O26G-09185</t>
  </si>
  <si>
    <t>PIL-L-I26G-20886</t>
  </si>
  <si>
    <t>HPBL4-L-O26G-09186</t>
  </si>
  <si>
    <t>PIL-L-I26G-20913</t>
  </si>
  <si>
    <t>HPBL4-L-O26G-09187</t>
  </si>
  <si>
    <t>PIL-L-I26G-20884</t>
  </si>
  <si>
    <t>HPBL4-L-O26G-09188</t>
  </si>
  <si>
    <t>PIL-L-I26G-20920</t>
  </si>
  <si>
    <t>HPBL4-L-O26G-09189</t>
  </si>
  <si>
    <t>PIL-L-I26G-20928</t>
  </si>
  <si>
    <t>HPBL4-L-O26G-09190</t>
  </si>
  <si>
    <t>PIL-L-I26G-20930</t>
  </si>
  <si>
    <t>HPBL4-L-O26G-09191</t>
  </si>
  <si>
    <t>PIL-L-I26G-20881</t>
  </si>
  <si>
    <t>HPBL4-L-O26G-09192</t>
  </si>
  <si>
    <t>PIL-L-I26G-20916</t>
  </si>
  <si>
    <t>HPBL4-L-O26G-09193</t>
  </si>
  <si>
    <t>PIL-L-I26G-20921</t>
  </si>
  <si>
    <t>HPBL4-L-O26G-09194</t>
  </si>
  <si>
    <t>PIL-L-I26G-20933</t>
  </si>
  <si>
    <t>HPBL4-L-O26G-09195</t>
  </si>
  <si>
    <t>PIL-L-I26G-20934</t>
  </si>
  <si>
    <t>HPBL4-L-O26G-09196</t>
  </si>
  <si>
    <t>PIL-L-I26G-20935</t>
  </si>
  <si>
    <t>HPBL4-L-O26G-09197</t>
  </si>
  <si>
    <t>PIL-L-I26G-20912</t>
  </si>
  <si>
    <t>HPBL4-L-O26G-09198</t>
  </si>
  <si>
    <t>PIL-L-I26G-20885</t>
  </si>
  <si>
    <t>HPBL4-L-O26G-09199</t>
  </si>
  <si>
    <t>PIL-L-I26G-20925</t>
  </si>
  <si>
    <t>HPBL4-L-O26G-09200</t>
  </si>
  <si>
    <t>PIL-L-I26G-20939</t>
  </si>
  <si>
    <t>HPBL4-L-O26G-09201</t>
  </si>
  <si>
    <t>PIL-L-I26G-20880</t>
  </si>
  <si>
    <t>HPBL4-L-O26G-09202L</t>
  </si>
  <si>
    <t>PIL-L-I26G-20807L</t>
  </si>
  <si>
    <t>HPBL4-L-O26G-09203L</t>
  </si>
  <si>
    <t>PIL-L-I26G-20875L</t>
  </si>
  <si>
    <t>HPBL4-L-O26G-09204L</t>
  </si>
  <si>
    <t>PPL-L-O26G-02222L</t>
  </si>
  <si>
    <t>LAMINATED HCP-4  24.07.26</t>
  </si>
  <si>
    <t>HPBL4-L-O26G-09205L</t>
  </si>
  <si>
    <t>HPBL-L-I26G-10462</t>
  </si>
  <si>
    <t>PPL-L-O26G-02154L</t>
  </si>
  <si>
    <t>HPBL4-L-O26G-09276</t>
  </si>
  <si>
    <t>PIL-L-I26G-21024</t>
  </si>
  <si>
    <t>HPBL4-L-O26G-09277</t>
  </si>
  <si>
    <t>PIL-L-I26G-21023</t>
  </si>
  <si>
    <t>HPBL4-L-O26G-09278</t>
  </si>
  <si>
    <t>PIL-L-I26G-21025</t>
  </si>
  <si>
    <t>HPBL4-L-O26G-09279</t>
  </si>
  <si>
    <t>PIL-L-I26G-21026</t>
  </si>
  <si>
    <t>HPBL4-L-O26G-09280L</t>
  </si>
  <si>
    <t>PP 119 FLAT MW</t>
  </si>
  <si>
    <t>PIL-L-I26G-20673L</t>
  </si>
  <si>
    <t>HPBL4-L-O26G-09281</t>
  </si>
  <si>
    <t>PIL-L-I26G-20961</t>
  </si>
  <si>
    <t>HPBL4-L-O26G-09282</t>
  </si>
  <si>
    <t>PIL-L-I26G-20962</t>
  </si>
  <si>
    <t>HPBL4-L-O26G-09283</t>
  </si>
  <si>
    <t>PIL-L-I26G-20977</t>
  </si>
  <si>
    <t>HPBL4-L-O26G-09284</t>
  </si>
  <si>
    <t>PIL-L-I26G-20991</t>
  </si>
  <si>
    <t>HPBL4-L-O26G-09285</t>
  </si>
  <si>
    <t>PIL-L-I26G-21006</t>
  </si>
  <si>
    <t>HPBL4-L-O26G-09286</t>
  </si>
  <si>
    <t>PIL-L-I26G-21007</t>
  </si>
  <si>
    <t>HPBL4-L-O26G-09287</t>
  </si>
  <si>
    <t>PIL-L-I26G-20972</t>
  </si>
  <si>
    <t>HPBL4-L-O26G-09288</t>
  </si>
  <si>
    <t>PIL-L-I26G-20984</t>
  </si>
  <si>
    <t>HPBL4-L-O26G-09289</t>
  </si>
  <si>
    <t>PIL-L-I26G-20992</t>
  </si>
  <si>
    <t>HPBL4-L-O26G-09290</t>
  </si>
  <si>
    <t>PIL-L-I26G-21002</t>
  </si>
  <si>
    <t>HPBL4-L-O26G-09291</t>
  </si>
  <si>
    <t>PIL-L-I26G-21004</t>
  </si>
  <si>
    <t>HPBL4-L-O26G-09292</t>
  </si>
  <si>
    <t>PIL-L-I26G-20968</t>
  </si>
  <si>
    <t>HPBL4-L-O26G-09293</t>
  </si>
  <si>
    <t>PIL-L-I26G-20983</t>
  </si>
  <si>
    <t>HPBL4-L-O26G-09294</t>
  </si>
  <si>
    <t>PIL-L-I26G-20993</t>
  </si>
  <si>
    <t>HPBL4-L-O26G-09295</t>
  </si>
  <si>
    <t>PIL-L-I26G-21003</t>
  </si>
  <si>
    <t>HPBL4-L-O26G-09296</t>
  </si>
  <si>
    <t>PIL-L-I26G-21012</t>
  </si>
  <si>
    <t>HPBL4-L-O26G-09297</t>
  </si>
  <si>
    <t>PIL-L-I26G-21014</t>
  </si>
  <si>
    <t>HPBL4-L-O26G-09298</t>
  </si>
  <si>
    <t>PIL-L-I26G-20954</t>
  </si>
  <si>
    <t>HPBL4-L-O26G-09299</t>
  </si>
  <si>
    <t>PIL-L-I26G-20997</t>
  </si>
  <si>
    <t>HPBL4-L-O26G-09300</t>
  </si>
  <si>
    <t>PIL-L-I26G-21013</t>
  </si>
  <si>
    <t>HPBL4-L-O26G-09301</t>
  </si>
  <si>
    <t>PIL-L-I26G-20981</t>
  </si>
  <si>
    <t>HPBL4-L-O26G-09302</t>
  </si>
  <si>
    <t>PIL-L-I26G-20985</t>
  </si>
  <si>
    <t>HPBL4-L-O26G-09303</t>
  </si>
  <si>
    <t>PIL-L-I26G-20998</t>
  </si>
  <si>
    <t>HPBL4-L-O26G-09304</t>
  </si>
  <si>
    <t>PIL-L-I26G-21001</t>
  </si>
  <si>
    <t>HPBL4-L-O26G-09305</t>
  </si>
  <si>
    <t>PIL-L-I26G-21015</t>
  </si>
  <si>
    <t>HPBL4-L-O26G-09306</t>
  </si>
  <si>
    <t>PIL-L-I26G-20960</t>
  </si>
  <si>
    <t>HPBL4-L-O26G-09307</t>
  </si>
  <si>
    <t>PIL-L-I26G-20996</t>
  </si>
  <si>
    <t>HPBL4-L-O26G-09308</t>
  </si>
  <si>
    <t>PP 126 GZT MW</t>
  </si>
  <si>
    <t>PIL-L-I26G-21005</t>
  </si>
  <si>
    <t>HPBL4-L-O26G-09309</t>
  </si>
  <si>
    <t>PIL-L-I26G-21008</t>
  </si>
  <si>
    <t>HPBL4-L-O26G-09206</t>
  </si>
  <si>
    <t>PP 99 FLAT MW Folding</t>
  </si>
  <si>
    <t>PIL-L-I26G-21097</t>
  </si>
  <si>
    <t>HPBL4-L-O26G-09207</t>
  </si>
  <si>
    <t>PIL-L-I26G-21105</t>
  </si>
  <si>
    <t>HPBL4-L-O26G-09208</t>
  </si>
  <si>
    <t>PP 100 FLAT MW 4%CC &amp; UV</t>
  </si>
  <si>
    <t>PIL-L-I26G-21082</t>
  </si>
  <si>
    <t>HPBL4-L-O26G-09209</t>
  </si>
  <si>
    <t>PIL-L-I26G-21106</t>
  </si>
  <si>
    <t>HPBL4-L-O26G-09210</t>
  </si>
  <si>
    <t>PIL-L-I26G-21107</t>
  </si>
  <si>
    <t>HPBL4-L-O26G-09211L</t>
  </si>
  <si>
    <t>PIL-L-I26G-21029L</t>
  </si>
  <si>
    <t>HPBL4-L-O26G-09212L</t>
  </si>
  <si>
    <t>PIL-L-I26G-20969-10L</t>
  </si>
  <si>
    <t>HPBL4-L-O26G-09213L</t>
  </si>
  <si>
    <t>PIL-L-I26G-20969-11L</t>
  </si>
  <si>
    <t>HPBL4-L-O26G-09214L</t>
  </si>
  <si>
    <t>PIL-L-I26G-20969-12L</t>
  </si>
  <si>
    <t>HPBL4-L-O26G-09215L</t>
  </si>
  <si>
    <t>PIL-L-I26G-20969-13L</t>
  </si>
  <si>
    <t>HPBL4-L-O26G-09216L</t>
  </si>
  <si>
    <t>PIL-L-I26G-20969-14L</t>
  </si>
  <si>
    <t>HPBL4-L-O26G-09217L</t>
  </si>
  <si>
    <t>PIL-L-I26G-20969-15L</t>
  </si>
  <si>
    <t>HPBL4-L-O26G-09218L</t>
  </si>
  <si>
    <t>PIL-L-I26G-20969-16L</t>
  </si>
  <si>
    <t>HPBL4-L-O26G-09219L</t>
  </si>
  <si>
    <t>PIL-L-I26G-20969-17L</t>
  </si>
  <si>
    <t>HPBL4-L-O26G-09220L</t>
  </si>
  <si>
    <t>PIL-L-I26G-20908L</t>
  </si>
  <si>
    <t>HPBL4-L-O26G-09221L</t>
  </si>
  <si>
    <t>PIL-L-I26G-21028L</t>
  </si>
  <si>
    <t>HPBL4-L-O26G-09222L</t>
  </si>
  <si>
    <t>PIL-L-I26G-20969-18L</t>
  </si>
  <si>
    <t>HPBL4-L-O26G-09223L</t>
  </si>
  <si>
    <t>PIL-L-I26G-20969-19L</t>
  </si>
  <si>
    <t>HPBL4-L-O26G-09224L</t>
  </si>
  <si>
    <t>PIL-L-I26G-20969-1L</t>
  </si>
  <si>
    <t>HPBL4-L-O26G-09225L</t>
  </si>
  <si>
    <t>PIL-L-I26G-20969-2L</t>
  </si>
  <si>
    <t>HPBL4-L-O26G-09226L</t>
  </si>
  <si>
    <t>PIL-L-I26G-20969-3L</t>
  </si>
  <si>
    <t>HPBL4-L-O26G-09227L</t>
  </si>
  <si>
    <t>PIL-L-I26G-20969-4L</t>
  </si>
  <si>
    <t>HPBL4-L-O26G-09228L</t>
  </si>
  <si>
    <t>PIL-L-I26G-20969-5L</t>
  </si>
  <si>
    <t>HPBL4-L-O26G-09229L</t>
  </si>
  <si>
    <t>PIL-L-I26G-20969-6L</t>
  </si>
  <si>
    <t>HPBL4-L-O26G-09230L</t>
  </si>
  <si>
    <t>PIL-L-I26G-20969-7L</t>
  </si>
  <si>
    <t>HPBL4-L-O26G-09231L</t>
  </si>
  <si>
    <t>PIL-L-I26G-20969-8L</t>
  </si>
  <si>
    <t>HPBL4-L-O26G-09232L</t>
  </si>
  <si>
    <t>PIL-L-I26G-20969-9L</t>
  </si>
  <si>
    <t>HPBL4-L-O26G-09233L</t>
  </si>
  <si>
    <t>PIL-L-I26G-20969L</t>
  </si>
  <si>
    <t>HPBL4-L-O26G-09310</t>
  </si>
  <si>
    <t>PIL-L-I26G-21060</t>
  </si>
  <si>
    <t>HPBL4-L-O26G-09311</t>
  </si>
  <si>
    <t>PIL-L-I26G-21065</t>
  </si>
  <si>
    <t>HPBL4-L-O26G-09312</t>
  </si>
  <si>
    <t>PIL-L-I26G-21066</t>
  </si>
  <si>
    <t>HPBL4-L-O26G-09313</t>
  </si>
  <si>
    <t>PIL-L-I26G-21074</t>
  </si>
  <si>
    <t>HPBL4-L-O26G-09314</t>
  </si>
  <si>
    <t>PIL-L-I26G-21050</t>
  </si>
  <si>
    <t>HPBL4-L-O26G-09315</t>
  </si>
  <si>
    <t>PIL-L-I26G-21053</t>
  </si>
  <si>
    <t>HPBL4-L-O26G-09316</t>
  </si>
  <si>
    <t>PIL-L-I26G-21089</t>
  </si>
  <si>
    <t>HPBL4-L-O26G-09317</t>
  </si>
  <si>
    <t>PIL-L-I26G-21064</t>
  </si>
  <si>
    <t>HPBL4-L-O26G-09318</t>
  </si>
  <si>
    <t>PIL-L-I26G-21080</t>
  </si>
  <si>
    <t>HPBL4-L-O26G-09319</t>
  </si>
  <si>
    <t>PIL-L-I26G-21085</t>
  </si>
  <si>
    <t>HPBL4-L-O26G-09320</t>
  </si>
  <si>
    <t>PIL-L-I26G-21058</t>
  </si>
  <si>
    <t>HPBL4-L-O26G-09321</t>
  </si>
  <si>
    <t>PIL-L-I26G-21061</t>
  </si>
  <si>
    <t>HPBL4-L-O26G-09322</t>
  </si>
  <si>
    <t>PIL-L-I26G-21070</t>
  </si>
  <si>
    <t>HPBL4-L-O26G-09323</t>
  </si>
  <si>
    <t>PIL-L-I26G-21076</t>
  </si>
  <si>
    <t>HPBL4-L-O26G-09324</t>
  </si>
  <si>
    <t>PIL-L-I26G-21084</t>
  </si>
  <si>
    <t>HPBL4-L-O26G-09325</t>
  </si>
  <si>
    <t>PIL-L-I26G-21057</t>
  </si>
  <si>
    <t>HPBL4-L-O26G-09326</t>
  </si>
  <si>
    <t>PIL-L-I26G-21059</t>
  </si>
  <si>
    <t>HPBL4-L-O26G-09327</t>
  </si>
  <si>
    <t>PIL-L-I26G-21077</t>
  </si>
  <si>
    <t>HPBL4-L-O26G-09328</t>
  </si>
  <si>
    <t>PIL-L-I26G-21081</t>
  </si>
  <si>
    <t>HPBL4-L-O26G-09329</t>
  </si>
  <si>
    <t>PIL-L-I26G-21090</t>
  </si>
  <si>
    <t>HPBL4-L-O26G-09330</t>
  </si>
  <si>
    <t>PIL-L-I26G-21092</t>
  </si>
  <si>
    <t>HPBL4-L-O26G-09331</t>
  </si>
  <si>
    <t>PIL-L-I26G-21075</t>
  </si>
  <si>
    <t>HPBL4-L-O26G-09332</t>
  </si>
  <si>
    <t>PIL-L-I26G-21099</t>
  </si>
  <si>
    <t>HPBL4-L-O26G-09333</t>
  </si>
  <si>
    <t>PIL-L-I26G-21100</t>
  </si>
  <si>
    <t>HPBL4-L-O26G-09334</t>
  </si>
  <si>
    <t>PIL-L-I26G-21111</t>
  </si>
  <si>
    <t>HPBL4-L-O26G-09335</t>
  </si>
  <si>
    <t>PIL-L-I26G-21112</t>
  </si>
  <si>
    <t>HPBL4-L-O26G-09336</t>
  </si>
  <si>
    <t>PIL-L-I26G-21113</t>
  </si>
  <si>
    <t>HPBL4-L-O26G-09234</t>
  </si>
  <si>
    <t>PIL-L-I26G-21169</t>
  </si>
  <si>
    <t>HPBL4-L-O26G-09235</t>
  </si>
  <si>
    <t>PIL-L-I26G-21170</t>
  </si>
  <si>
    <t>HPBL4-L-O26G-09236</t>
  </si>
  <si>
    <t>PIL-L-I26G-21176</t>
  </si>
  <si>
    <t>HPBL4-L-O26G-09237</t>
  </si>
  <si>
    <t>PIL-L-I26G-21175</t>
  </si>
  <si>
    <t>HPBL4-L-O26G-09238</t>
  </si>
  <si>
    <t>PIL-L-I26G-21178</t>
  </si>
  <si>
    <t>HPBL4-L-O26G-09239</t>
  </si>
  <si>
    <t>PIL-L-I26G-21177</t>
  </si>
  <si>
    <t>HPBL4-L-O26G-09240</t>
  </si>
  <si>
    <t>PIL-L-I26G-21172</t>
  </si>
  <si>
    <t>HPBL4-L-O26G-09241</t>
  </si>
  <si>
    <t>PIL-L-I26G-21129</t>
  </si>
  <si>
    <t>HPBL4-L-O26G-09242</t>
  </si>
  <si>
    <t>PIL-L-I26G-21174</t>
  </si>
  <si>
    <t>HPBL4-L-O26G-09243</t>
  </si>
  <si>
    <t>PIL-L-I26G-21179</t>
  </si>
  <si>
    <t>HPBL4-L-O26G-09244</t>
  </si>
  <si>
    <t>PIL-L-I26G-21171</t>
  </si>
  <si>
    <t>HPBL4-L-O26G-09245L</t>
  </si>
  <si>
    <t>260106319053L</t>
  </si>
  <si>
    <t>PP 122 FLAT RED 032 C</t>
  </si>
  <si>
    <t>PIL-L-O26G-11226L</t>
  </si>
  <si>
    <t>HPBL4-L-O26G-09246L</t>
  </si>
  <si>
    <t>260106319053L1</t>
  </si>
  <si>
    <t>PIL-L-O26G-11227L</t>
  </si>
  <si>
    <t>HPBL4-L-O26G-09247L</t>
  </si>
  <si>
    <t>PIL-L-I26G-21116L</t>
  </si>
  <si>
    <t>HPBL4-L-O26G-09248L</t>
  </si>
  <si>
    <t>PIL-L-I26G-21101L</t>
  </si>
  <si>
    <t>HPBL4-L-O26G-09249L</t>
  </si>
  <si>
    <t>PIL-L-I26G-20899L</t>
  </si>
  <si>
    <t>HPBL4-L-O26G-09250L</t>
  </si>
  <si>
    <t>PIL-L-I26G-20995L</t>
  </si>
  <si>
    <t>HPBL4-L-O26G-09251L</t>
  </si>
  <si>
    <t>PIL-L-I26G-21088L</t>
  </si>
  <si>
    <t>HPBL4-L-O26G-09252</t>
  </si>
  <si>
    <t>PIL-L-I26G-21131</t>
  </si>
  <si>
    <t>HPBL4-L-O26G-09253</t>
  </si>
  <si>
    <t>PIL-L-I26G-21143</t>
  </si>
  <si>
    <t>HPBL4-L-O26G-09254</t>
  </si>
  <si>
    <t>PIL-L-I26G-21146</t>
  </si>
  <si>
    <t>HPBL4-L-O26G-09255</t>
  </si>
  <si>
    <t>PIL-L-I26G-21159</t>
  </si>
  <si>
    <t>HPBL4-L-O26G-09256</t>
  </si>
  <si>
    <t>PIL-L-I26G-21144</t>
  </si>
  <si>
    <t>HPBL4-L-O26G-09257</t>
  </si>
  <si>
    <t>PIL-L-I26G-21157</t>
  </si>
  <si>
    <t>HPBL4-L-O26G-09258</t>
  </si>
  <si>
    <t>PIL-L-I26G-21155</t>
  </si>
  <si>
    <t>HPBL4-L-O26G-09259</t>
  </si>
  <si>
    <t>PIL-L-I26G-21158</t>
  </si>
  <si>
    <t>HPBL4-L-O26G-09260</t>
  </si>
  <si>
    <t>PIL-L-I26G-21120</t>
  </si>
  <si>
    <t>HPBL4-L-O26G-09261</t>
  </si>
  <si>
    <t>PIL-L-I26G-21132</t>
  </si>
  <si>
    <t>HPBL4-L-O26G-09262</t>
  </si>
  <si>
    <t>PIL-L-I26G-21141</t>
  </si>
  <si>
    <t>HPBL4-L-O26G-09263</t>
  </si>
  <si>
    <t>PIL-L-I26G-21153</t>
  </si>
  <si>
    <t>HPBL4-L-O26G-09264</t>
  </si>
  <si>
    <t>PIL-L-I26G-21121</t>
  </si>
  <si>
    <t>HPBL4-L-O26G-09265</t>
  </si>
  <si>
    <t>PIL-L-I26G-21149</t>
  </si>
  <si>
    <t>HPBL4-L-O26G-09266</t>
  </si>
  <si>
    <t>PIL-L-I26G-21151</t>
  </si>
  <si>
    <t>HPBL4-L-O26G-09267</t>
  </si>
  <si>
    <t>PIL-L-I26G-21154</t>
  </si>
  <si>
    <t>HPBL4-L-O26G-09268</t>
  </si>
  <si>
    <t>PIL-L-I26G-21123</t>
  </si>
  <si>
    <t>HPBL4-L-O26G-09269</t>
  </si>
  <si>
    <t>PIL-L-I26G-21126</t>
  </si>
  <si>
    <t>HPBL4-L-O26G-09270</t>
  </si>
  <si>
    <t>PIL-L-I26G-21130</t>
  </si>
  <si>
    <t>HPBL4-L-O26G-09271</t>
  </si>
  <si>
    <t>PIL-L-I26G-21147</t>
  </si>
  <si>
    <t>HPBL4-L-O26G-09272</t>
  </si>
  <si>
    <t>PIL-L-I26G-21152</t>
  </si>
  <si>
    <t>HPBL4-L-O26G-09273</t>
  </si>
  <si>
    <t>PIL-L-I26G-21122</t>
  </si>
  <si>
    <t>HPBL4-L-O26G-09274</t>
  </si>
  <si>
    <t>PIL-L-I26G-21125</t>
  </si>
  <si>
    <t>HPBL4-L-O26G-09275</t>
  </si>
  <si>
    <t>PIL-L-I26G-21156</t>
  </si>
  <si>
    <t>HPBL4-L-O26G-09337</t>
  </si>
  <si>
    <t>PIL-L-I26G-21197</t>
  </si>
  <si>
    <t>HPBL4-L-O26G-09338</t>
  </si>
  <si>
    <t>PIL-L-I26G-21227</t>
  </si>
  <si>
    <t>HPBL4-L-O26G-09339</t>
  </si>
  <si>
    <t>PIL-L-I26G-21236</t>
  </si>
  <si>
    <t>HPBL4-L-O26G-09340</t>
  </si>
  <si>
    <t>PIL-L-I26G-21224</t>
  </si>
  <si>
    <t>HPBL4-L-O26G-09341</t>
  </si>
  <si>
    <t>PIL-L-I26G-21211</t>
  </si>
  <si>
    <t>HPBL4-L-O26G-09342</t>
  </si>
  <si>
    <t>PIL-L-I26G-21215</t>
  </si>
  <si>
    <t>HPBL4-L-O26G-09343</t>
  </si>
  <si>
    <t>PIL-L-I26G-21230</t>
  </si>
  <si>
    <t>HPBL4-L-O26G-09344</t>
  </si>
  <si>
    <t>PIL-L-I26G-21232</t>
  </si>
  <si>
    <t>HPBL4-L-O26G-09345</t>
  </si>
  <si>
    <t>PIL-L-I26G-21188</t>
  </si>
  <si>
    <t>HPBL4-L-O26G-09346</t>
  </si>
  <si>
    <t>PIL-L-I26G-21189</t>
  </si>
  <si>
    <t>HPBL4-L-O26G-09347</t>
  </si>
  <si>
    <t>PIL-L-I26G-21219</t>
  </si>
  <si>
    <t>HPBL4-L-O26G-09348</t>
  </si>
  <si>
    <t>PIL-L-I26G-21212</t>
  </si>
  <si>
    <t>HPBL4-L-O26G-09349</t>
  </si>
  <si>
    <t>PIL-L-I26G-21214</t>
  </si>
  <si>
    <t>HPBL4-L-O26G-09350</t>
  </si>
  <si>
    <t>PIL-L-I26G-21218</t>
  </si>
  <si>
    <t>HPBL4-L-O26G-09351</t>
  </si>
  <si>
    <t>PIL-L-I26G-21220</t>
  </si>
  <si>
    <t>HPBL4-L-O26G-09352</t>
  </si>
  <si>
    <t>PIL-L-I26G-21185</t>
  </si>
  <si>
    <t>HPBL4-L-O26G-09353</t>
  </si>
  <si>
    <t>PIL-L-I26G-21198</t>
  </si>
  <si>
    <t>HPBL4-L-O26G-09354</t>
  </si>
  <si>
    <t>PIL-L-I26G-21200</t>
  </si>
  <si>
    <t>HPBL4-L-O26G-09355</t>
  </si>
  <si>
    <t>PIL-L-I26G-21216</t>
  </si>
  <si>
    <t>HPBL4-L-O26G-09356</t>
  </si>
  <si>
    <t>PIL-L-I26G-21217</t>
  </si>
  <si>
    <t>HPBL4-L-O26G-09357</t>
  </si>
  <si>
    <t>PIL-L-I26G-21223</t>
  </si>
  <si>
    <t>HPBL4-L-O26G-09358</t>
  </si>
  <si>
    <t>PIL-L-I26G-21225</t>
  </si>
  <si>
    <t>HPBL4-L-O26G-09359</t>
  </si>
  <si>
    <t>PIL-L-I26G-21231</t>
  </si>
  <si>
    <t>HPBL4-L-O26G-09360</t>
  </si>
  <si>
    <t>PIL-L-I26G-21186</t>
  </si>
  <si>
    <t>HPBL4-L-O26G-09361</t>
  </si>
  <si>
    <t>PIL-L-I26G-21203</t>
  </si>
  <si>
    <t>HPBL4-L-O26G-09362</t>
  </si>
  <si>
    <t>PIL-L-I26G-21204</t>
  </si>
  <si>
    <t>HPBL4-L-O26G-09363</t>
  </si>
  <si>
    <t>PIL-L-I26G-21213</t>
  </si>
  <si>
    <t>HPBL4-L-O26G-09364</t>
  </si>
  <si>
    <t>PIL-L-I26G-21226</t>
  </si>
  <si>
    <t>HPBL4-L-O26G-09365</t>
  </si>
  <si>
    <t>PIL-L-I26G-21228</t>
  </si>
  <si>
    <t>HPBL4-L-O26G-09366</t>
  </si>
  <si>
    <t>PIL-L-I26G-21233</t>
  </si>
  <si>
    <t>HPBL4-L-O26G-09367</t>
  </si>
  <si>
    <t>PIL-L-I26G-21234</t>
  </si>
  <si>
    <t>HPBL4-L-O26G-09368</t>
  </si>
  <si>
    <t>PIL-L-I26G-21187</t>
  </si>
  <si>
    <t>HPBL4-L-O26G-09369</t>
  </si>
  <si>
    <t>OEL-L-I26G-03473</t>
  </si>
  <si>
    <t>PIL-L-O26G-11265</t>
  </si>
  <si>
    <t>HPBL4-L-O26G-09370L</t>
  </si>
  <si>
    <t>HPBL-L-I26G-10709</t>
  </si>
  <si>
    <t>PP 92 FLAT BLUE 288 C</t>
  </si>
  <si>
    <t>PIL-L-O26G-10832L</t>
  </si>
  <si>
    <t>HPBL4-L-O26G-09371L</t>
  </si>
  <si>
    <t>HPBL-L-I26G-10861</t>
  </si>
  <si>
    <t>PIL-L-O26G-11011L</t>
  </si>
  <si>
    <t>HPBL4-L-O26G-09372</t>
  </si>
  <si>
    <t>PIL-L-I26G-21248</t>
  </si>
  <si>
    <t>HPBL4-L-O26G-09373</t>
  </si>
  <si>
    <t>PIL-L-I26G-21173</t>
  </si>
  <si>
    <t>HPBL4-L-O26G-09374</t>
  </si>
  <si>
    <t>PIL-L-I26G-21246</t>
  </si>
  <si>
    <t>HPBL4-L-O26G-09375</t>
  </si>
  <si>
    <t>PIL-L-I26G-21247</t>
  </si>
  <si>
    <t>HPBL4-L-O26G-09376</t>
  </si>
  <si>
    <t>PIL-L-I26G-21249</t>
  </si>
  <si>
    <t>HPBL4-L-O26G-09377</t>
  </si>
  <si>
    <t>PIL-L-I26G-21196</t>
  </si>
  <si>
    <t>HPBL4-L-O26G-09378</t>
  </si>
  <si>
    <t>PIL-L-I26G-21245</t>
  </si>
  <si>
    <t>HPBL4-L-O26G-09379</t>
  </si>
  <si>
    <t>PIL-L-I26G-21195</t>
  </si>
  <si>
    <t>HPBL4-L-O26G-09380</t>
  </si>
  <si>
    <t>PIL-L-I26G-21338</t>
  </si>
  <si>
    <t>HPBL4-L-O26G-09381</t>
  </si>
  <si>
    <t>PIL-L-I26G-21340</t>
  </si>
  <si>
    <t>HPBL4-L-O26G-09382</t>
  </si>
  <si>
    <t>PIL-L-I26G-21342</t>
  </si>
  <si>
    <t>HPBL4-L-O26G-09383</t>
  </si>
  <si>
    <t>PIL-L-I26G-21339</t>
  </si>
  <si>
    <t>HPBL4-L-O26G-09384</t>
  </si>
  <si>
    <t>PIL-L-I26G-21341</t>
  </si>
  <si>
    <t>HPBL4-L-O26G-09385</t>
  </si>
  <si>
    <t>PIL-L-I26G-21337</t>
  </si>
  <si>
    <t>HPBL4-L-O26G-09386</t>
  </si>
  <si>
    <t>PIL-L-I26G-21345</t>
  </si>
  <si>
    <t>HPBL4-L-O26G-09387</t>
  </si>
  <si>
    <t>PIL-L-I26G-21344</t>
  </si>
  <si>
    <t>HPBL4-L-O26G-09388</t>
  </si>
  <si>
    <t>PIL-L-I26G-21298</t>
  </si>
  <si>
    <t>HPBL4-L-O26G-09389</t>
  </si>
  <si>
    <t>PIL-L-I26G-21346</t>
  </si>
  <si>
    <t>HPBL4-L-O26G-09390</t>
  </si>
  <si>
    <t>PIL-L-I26G-21295</t>
  </si>
  <si>
    <t>HPBL4-L-O26G-09391</t>
  </si>
  <si>
    <t>PIL-L-I26G-21282</t>
  </si>
  <si>
    <t>HPBL4-L-O26G-09392</t>
  </si>
  <si>
    <t>PIL-L-I26G-21288</t>
  </si>
  <si>
    <t>HPBL4-L-O26G-09393</t>
  </si>
  <si>
    <t>PIL-L-I26G-21289</t>
  </si>
  <si>
    <t>HPBL4-L-O26G-09394</t>
  </si>
  <si>
    <t>PIL-L-I26G-21281</t>
  </si>
  <si>
    <t>HPBL4-L-O26G-09395</t>
  </si>
  <si>
    <t>PIL-L-I26G-21283</t>
  </si>
  <si>
    <t>HPBL4-L-O26G-09396</t>
  </si>
  <si>
    <t>PIL-L-I26G-21292</t>
  </si>
  <si>
    <t>HPBL4-L-O26G-09397</t>
  </si>
  <si>
    <t>PIL-L-I26G-21284</t>
  </si>
  <si>
    <t>HPBL4-L-O26G-09398</t>
  </si>
  <si>
    <t>PIL-L-I26G-21263</t>
  </si>
  <si>
    <t>HPBL4-L-O26G-09399</t>
  </si>
  <si>
    <t>PIL-L-I26G-21276</t>
  </si>
  <si>
    <t>HPBL4-L-O26G-09400</t>
  </si>
  <si>
    <t>PIL-L-I26G-21304</t>
  </si>
  <si>
    <t>HPBL4-L-O26G-09401</t>
  </si>
  <si>
    <t>PIL-L-I26G-21261</t>
  </si>
  <si>
    <t>HPBL4-L-O26G-09402</t>
  </si>
  <si>
    <t>PP 116 FLAT MW Folding</t>
  </si>
  <si>
    <t>PIL-L-I26G-21266</t>
  </si>
  <si>
    <t>HPBL4-L-O26G-09403</t>
  </si>
  <si>
    <t>PIL-L-I26G-21290</t>
  </si>
  <si>
    <t>HPBL4-L-O26G-09404</t>
  </si>
  <si>
    <t>PIL-L-I26G-21296</t>
  </si>
  <si>
    <t>HPBL4-L-O26G-09405</t>
  </si>
  <si>
    <t>PIL-L-I26G-21299</t>
  </si>
  <si>
    <t>HPBL4-L-O26G-09406</t>
  </si>
  <si>
    <t>PIL-L-I26G-21305</t>
  </si>
  <si>
    <t>HPBL4-L-O26G-09407</t>
  </si>
  <si>
    <t>PIL-L-I26G-21314</t>
  </si>
  <si>
    <t>HPBL4-L-O26G-09408</t>
  </si>
  <si>
    <t>PIL-L-I26G-21318</t>
  </si>
  <si>
    <t>HPBL4-L-O26G-09409</t>
  </si>
  <si>
    <t>PIL-L-I26G-21279</t>
  </si>
  <si>
    <t>HPBL4-L-O26G-09410</t>
  </si>
  <si>
    <t>PIL-L-I26G-21300</t>
  </si>
  <si>
    <t>HPBL4-L-O26G-09411</t>
  </si>
  <si>
    <t>PIL-L-I26G-21303</t>
  </si>
  <si>
    <t>HPBL4-L-O26G-09412</t>
  </si>
  <si>
    <t>PIL-L-I26G-21307</t>
  </si>
  <si>
    <t>HPBL4-L-O26G-09413</t>
  </si>
  <si>
    <t>PIL-L-I26G-21312</t>
  </si>
  <si>
    <t>HPBL4-L-O26G-09414</t>
  </si>
  <si>
    <t>PIL-L-I26G-21315</t>
  </si>
  <si>
    <t>HPBL4-L-O26G-09415</t>
  </si>
  <si>
    <t>PIL-L-I26G-21319</t>
  </si>
  <si>
    <t>HPBL4-L-O26G-09416</t>
  </si>
  <si>
    <t>PIL-L-I26G-21313</t>
  </si>
  <si>
    <t>HPBL4-L-O26G-09417</t>
  </si>
  <si>
    <t>PIL-L-I26G-21316</t>
  </si>
  <si>
    <t>HPBL4-L-O26G-09418</t>
  </si>
  <si>
    <t>PIL-L-I26G-21317</t>
  </si>
  <si>
    <t>HPBL4-L-O26G-09419</t>
  </si>
  <si>
    <t>PIL-L-I26G-21262</t>
  </si>
  <si>
    <t>HPBL4-L-O26G-09420</t>
  </si>
  <si>
    <t>PIL-L-I26G-21306</t>
  </si>
  <si>
    <t>HPBL4-L-O26G-09421</t>
  </si>
  <si>
    <t>PIL-L-I26G-21311</t>
  </si>
  <si>
    <t>HPBL4-L-O26G-09422</t>
  </si>
  <si>
    <t>PIL-L-I26G-21320</t>
  </si>
  <si>
    <t>HPBL4-L-O26G-09423L</t>
  </si>
  <si>
    <t>PP 79 FLAT BLUE 288 C</t>
  </si>
  <si>
    <t>65+15</t>
  </si>
  <si>
    <t>PIL-L-O26G-10757L</t>
  </si>
  <si>
    <t>HPBL4-L-O26G-09424L</t>
  </si>
  <si>
    <t>HPBL-L-I26G-10797</t>
  </si>
  <si>
    <t>60+15</t>
  </si>
  <si>
    <t>PIL-L-O26G-11016L</t>
  </si>
  <si>
    <t>HPBL4-L-O26G-09425</t>
  </si>
  <si>
    <t>PIL-L-I26G-21429</t>
  </si>
  <si>
    <t>HPBL4-L-O26G-09426</t>
  </si>
  <si>
    <t>PIL-L-I26G-21430</t>
  </si>
  <si>
    <t>HPBL4-L-O26G-09427</t>
  </si>
  <si>
    <t>PIL-L-I26G-21265</t>
  </si>
  <si>
    <t>HPBL4-L-O26G-09428</t>
  </si>
  <si>
    <t>PIL-L-I26G-21280</t>
  </si>
  <si>
    <t>HPBL4-L-O26G-09429</t>
  </si>
  <si>
    <t>PIL-L-I26G-21431</t>
  </si>
  <si>
    <t>HPBL4-L-O26G-09430L</t>
  </si>
  <si>
    <t>HPBL-L-I26C-04049</t>
  </si>
  <si>
    <t>PP 80 FLAT BLACK</t>
  </si>
  <si>
    <t>PIL-L-O26C-04043L</t>
  </si>
  <si>
    <t>HPBL4-L-O26G-09431</t>
  </si>
  <si>
    <t>PIL-L-I26G-21374</t>
  </si>
  <si>
    <t>HPBL4-L-O26G-09432</t>
  </si>
  <si>
    <t>PIL-L-I26G-21392</t>
  </si>
  <si>
    <t>HPBL4-L-O26G-09433</t>
  </si>
  <si>
    <t>PIL-L-I26G-21398</t>
  </si>
  <si>
    <t>HPBL4-L-O26G-09434</t>
  </si>
  <si>
    <t>PIL-L-I26G-21399</t>
  </si>
  <si>
    <t>HPBL4-L-O26G-09435</t>
  </si>
  <si>
    <t>PIL-L-I26G-21405</t>
  </si>
  <si>
    <t>HPBL4-L-O26G-09436</t>
  </si>
  <si>
    <t>PIL-L-I26G-21363</t>
  </si>
  <si>
    <t>HPBL4-L-O26G-09437</t>
  </si>
  <si>
    <t>PIL-L-I26G-21395</t>
  </si>
  <si>
    <t>HPBL4-L-O26G-09438</t>
  </si>
  <si>
    <t>PIL-L-I26G-21358</t>
  </si>
  <si>
    <t>HPBL4-L-O26G-09439</t>
  </si>
  <si>
    <t>PIL-L-I26G-21378</t>
  </si>
  <si>
    <t>HPBL4-L-O26G-09440</t>
  </si>
  <si>
    <t>PIL-L-I26G-21388</t>
  </si>
  <si>
    <t>HPBL4-L-O26G-09441</t>
  </si>
  <si>
    <t>PIL-L-I26G-21394</t>
  </si>
  <si>
    <t>HPBL4-L-O26G-09442</t>
  </si>
  <si>
    <t>PIL-L-I26G-21404</t>
  </si>
  <si>
    <t>HPBL4-L-O26G-09443</t>
  </si>
  <si>
    <t>PIL-L-I26G-21359</t>
  </si>
  <si>
    <t>HPBL4-L-O26G-09444</t>
  </si>
  <si>
    <t>PIL-L-I26G-21365</t>
  </si>
  <si>
    <t>HPBL4-L-O26G-09445</t>
  </si>
  <si>
    <t>PIL-L-I26G-21376</t>
  </si>
  <si>
    <t>HPBL4-L-O26G-09446</t>
  </si>
  <si>
    <t>PIL-L-I26G-21343</t>
  </si>
  <si>
    <t>HPBL4-L-O26G-09447</t>
  </si>
  <si>
    <t>PIL-L-I26G-21396</t>
  </si>
  <si>
    <t>HPBL4-L-O26G-09448</t>
  </si>
  <si>
    <t>PIL-L-I26G-21366</t>
  </si>
  <si>
    <t>HPBL4-L-O26G-09449</t>
  </si>
  <si>
    <t>PIL-L-I26G-21393</t>
  </si>
  <si>
    <t>HPBL4-L-O26G-09450</t>
  </si>
  <si>
    <t>PIL-L-I26G-21400</t>
  </si>
  <si>
    <t>HPBL4-L-O26G-09451</t>
  </si>
  <si>
    <t>PIL-L-I26G-21401</t>
  </si>
  <si>
    <t>HPBL4-L-O26G-09452</t>
  </si>
  <si>
    <t>PIL-L-I26G-21352</t>
  </si>
  <si>
    <t>HPBL4-L-O26G-09453</t>
  </si>
  <si>
    <t>PIL-L-I26G-21384</t>
  </si>
  <si>
    <t>HPBL4-L-O26G-09454</t>
  </si>
  <si>
    <t>PIL-L-I26G-21397</t>
  </si>
  <si>
    <t>HPBL4-L-O26G-09455</t>
  </si>
  <si>
    <t>PIL-L-I26G-21353</t>
  </si>
  <si>
    <t>HPBL4-L-O26G-09456</t>
  </si>
  <si>
    <t>PIL-L-I26G-21360</t>
  </si>
  <si>
    <t>HPBL4-L-O26G-09457</t>
  </si>
  <si>
    <t>PIL-L-I26G-21403</t>
  </si>
  <si>
    <t>HPBL4-L-O26G-09458</t>
  </si>
  <si>
    <t>PIL-L-I26G-21386</t>
  </si>
  <si>
    <t>HPBL4-L-O26G-09459L</t>
  </si>
  <si>
    <t>260106319216L1</t>
  </si>
  <si>
    <t>PIL-L-O26G-11399L</t>
  </si>
  <si>
    <t>HPBL4-L-O26G-09460L</t>
  </si>
  <si>
    <t>260106319216L8</t>
  </si>
  <si>
    <t>PIL-L-O26G-11406L</t>
  </si>
  <si>
    <t>HPBL4-L-O26G-09461L</t>
  </si>
  <si>
    <t>260106319216L2</t>
  </si>
  <si>
    <t>PIL-L-O26G-11400L</t>
  </si>
  <si>
    <t>HPBL4-L-O26G-09462L</t>
  </si>
  <si>
    <t>260106319216L3</t>
  </si>
  <si>
    <t>PIL-L-O26G-11401L</t>
  </si>
  <si>
    <t>HPBL4-L-O26G-09463L</t>
  </si>
  <si>
    <t>260106319216L</t>
  </si>
  <si>
    <t>PIL-L-O26G-11398L</t>
  </si>
  <si>
    <t>HPBL4-L-O26G-09464L</t>
  </si>
  <si>
    <t>260106319216L6</t>
  </si>
  <si>
    <t>PIL-L-O26G-11404L</t>
  </si>
  <si>
    <t>HPBL4-L-O26G-09465L</t>
  </si>
  <si>
    <t>260106319216L7</t>
  </si>
  <si>
    <t>PIL-L-O26G-11405L</t>
  </si>
  <si>
    <t>HPBL4-L-O26G-09466L</t>
  </si>
  <si>
    <t>260106319216L9</t>
  </si>
  <si>
    <t>PIL-L-O26G-11407L</t>
  </si>
  <si>
    <t>HPBL4-L-O26G-09467L</t>
  </si>
  <si>
    <t>260106319216L12</t>
  </si>
  <si>
    <t>PIL-L-O26G-11410L</t>
  </si>
  <si>
    <t>HPBL4-L-O26G-09468L</t>
  </si>
  <si>
    <t>260106319216L5</t>
  </si>
  <si>
    <t>PIL-L-O26G-11403L</t>
  </si>
  <si>
    <t>HPBL4-L-O26G-09469L</t>
  </si>
  <si>
    <t>260106319216L11</t>
  </si>
  <si>
    <t>PIL-L-O26G-11409L</t>
  </si>
  <si>
    <t>HPBL4-L-O26G-09470L</t>
  </si>
  <si>
    <t>260106319216L4</t>
  </si>
  <si>
    <t>PIL-L-O26G-11402L</t>
  </si>
  <si>
    <t>HPBL4-L-O26G-09471L</t>
  </si>
  <si>
    <t>260106319216L13</t>
  </si>
  <si>
    <t>PIL-L-O26G-11411L</t>
  </si>
  <si>
    <t>HPBL4-L-O26G-09472L</t>
  </si>
  <si>
    <t>260106319216L14</t>
  </si>
  <si>
    <t>PIL-L-O26G-11412L</t>
  </si>
  <si>
    <t>HPBL4-L-O26G-09473L</t>
  </si>
  <si>
    <t>260106319216L10</t>
  </si>
  <si>
    <t>PIL-L-O26G-11408L</t>
  </si>
  <si>
    <t>HPBL4-L-O26G-09474L</t>
  </si>
  <si>
    <t>260106319216L15</t>
  </si>
  <si>
    <t>PIL-L-O26G-11413L</t>
  </si>
  <si>
    <t>HPBL4-L-O26G-09475</t>
  </si>
  <si>
    <t>PIL-L-I26G-21385</t>
  </si>
  <si>
    <t>HPBL4-L-O26G-09476</t>
  </si>
  <si>
    <t>PIL-L-I26G-21423</t>
  </si>
  <si>
    <t>HPBL4-L-O26G-09477</t>
  </si>
  <si>
    <t>PIL-L-I26G-21427</t>
  </si>
  <si>
    <t>HPBL4-L-O26G-09478</t>
  </si>
  <si>
    <t>PIL-L-I26G-21272</t>
  </si>
  <si>
    <t>HPBL4-L-O26G-09479</t>
  </si>
  <si>
    <t>PIL-L-I26G-21402</t>
  </si>
  <si>
    <t>HPBL4-L-O26G-09480</t>
  </si>
  <si>
    <t>PIL-L-I26G-21424</t>
  </si>
  <si>
    <t>HPBL4-L-O26G-09481L</t>
  </si>
  <si>
    <t>260106321178L5</t>
  </si>
  <si>
    <t>PIL-L-O26G-11387L</t>
  </si>
  <si>
    <t>HPBL4-L-O26G-09482L</t>
  </si>
  <si>
    <t>260106321178L14</t>
  </si>
  <si>
    <t>PIL-L-O26G-11396L</t>
  </si>
  <si>
    <t>HPBL4-L-O26G-09483L</t>
  </si>
  <si>
    <t>260106321178L12</t>
  </si>
  <si>
    <t>PIL-L-O26G-11394L</t>
  </si>
  <si>
    <t>HPBL4-L-O26G-09484L</t>
  </si>
  <si>
    <t>260106321178L3</t>
  </si>
  <si>
    <t>PIL-L-O26G-11385L</t>
  </si>
  <si>
    <t>HPBL4-L-O26G-09485L</t>
  </si>
  <si>
    <t>260106321178L13</t>
  </si>
  <si>
    <t>PIL-L-O26G-11395L</t>
  </si>
  <si>
    <t>HPBL4-L-O26G-09486L</t>
  </si>
  <si>
    <t>260106321178L11</t>
  </si>
  <si>
    <t>PIL-L-O26G-11393L</t>
  </si>
  <si>
    <t>HPBL4-L-O26G-09487L</t>
  </si>
  <si>
    <t>PP 23 FLAT BLUE 288 C</t>
  </si>
  <si>
    <t>PIL-L-O26G-10757-1L</t>
  </si>
  <si>
    <t>HPBL4-L-O26G-09488L</t>
  </si>
  <si>
    <t>260106321178L4</t>
  </si>
  <si>
    <t>PIL-L-O26G-11386L</t>
  </si>
  <si>
    <t>HPBL4-L-O26G-09489L</t>
  </si>
  <si>
    <t>260106321178L</t>
  </si>
  <si>
    <t>PIL-L-O26G-11382L</t>
  </si>
  <si>
    <t>HPBL4-L-O26G-09490L</t>
  </si>
  <si>
    <t>260106321178L6</t>
  </si>
  <si>
    <t>PIL-L-O26G-11388L</t>
  </si>
  <si>
    <t>HPBL4-L-O26G-09491L</t>
  </si>
  <si>
    <t>260106321178L9</t>
  </si>
  <si>
    <t>PIL-L-O26G-11391L</t>
  </si>
  <si>
    <t>HPBL4-L-O26G-09492L</t>
  </si>
  <si>
    <t>260106321178L1</t>
  </si>
  <si>
    <t>PIL-L-O26G-11383L</t>
  </si>
  <si>
    <t>HPBL4-L-O26G-09493L</t>
  </si>
  <si>
    <t>260106321178L7</t>
  </si>
  <si>
    <t>PIL-L-O26G-11389L</t>
  </si>
  <si>
    <t>HPBL4-L-O26G-09494L</t>
  </si>
  <si>
    <t>260106321178L2</t>
  </si>
  <si>
    <t>PIL-L-O26G-11384L</t>
  </si>
  <si>
    <t>HPBL4-L-O26G-09495L</t>
  </si>
  <si>
    <t>260106321178L8</t>
  </si>
  <si>
    <t>PIL-L-O26G-11390L</t>
  </si>
  <si>
    <t>HPBL4-L-O26G-09496L</t>
  </si>
  <si>
    <t>260106321178L10</t>
  </si>
  <si>
    <t>PIL-L-O26G-11392L</t>
  </si>
  <si>
    <t>HPBL4-L-O26G-09497L</t>
  </si>
  <si>
    <t>260106321178L15</t>
  </si>
  <si>
    <t>PIL-L-O26G-11397L</t>
  </si>
  <si>
    <t>HPBL4-L-O26G-09498</t>
  </si>
  <si>
    <t>PP 160 TUBE MW</t>
  </si>
  <si>
    <t>PPL-L-O26G-02342</t>
  </si>
  <si>
    <t>UL HCP-4 30.07.26</t>
  </si>
  <si>
    <t>HPBL4-L-O26G-09499</t>
  </si>
  <si>
    <t>PPL-L-I26G-05190</t>
  </si>
  <si>
    <t>HPBL4-L-O26G-09500L</t>
  </si>
  <si>
    <t>PP 78 spout BLUE</t>
  </si>
  <si>
    <t>PPL-L-O26G-02333L</t>
  </si>
  <si>
    <t>LAMINATED HCP-4 30.07.26</t>
  </si>
  <si>
    <t>HPBL4-L-O26G-09501L</t>
  </si>
  <si>
    <t>HPBL-L-I26G-10802</t>
  </si>
  <si>
    <t>PPL-L-O26G-02236L</t>
  </si>
  <si>
    <t>HPBL4-L-O26G-09502</t>
  </si>
  <si>
    <t>PIL-L-I26G-21507</t>
  </si>
  <si>
    <t>HPBL4-L-O26G-09503</t>
  </si>
  <si>
    <t>PIL-L-I26G-21508</t>
  </si>
  <si>
    <t>HPBL4-L-O26G-09504</t>
  </si>
  <si>
    <t>PP 140 GZT M/W</t>
  </si>
  <si>
    <t>PIL-L-I26G-21493</t>
  </si>
  <si>
    <t>HPBL4-L-O26G-09505</t>
  </si>
  <si>
    <t>PIL-L-I26G-21506</t>
  </si>
  <si>
    <t>HPBL4-L-O26G-09506</t>
  </si>
  <si>
    <t>PIL-L-I26G-21432</t>
  </si>
  <si>
    <t>HPBL4-L-O26G-09507L</t>
  </si>
  <si>
    <t>PIL-L-I26G-21229L</t>
  </si>
  <si>
    <t>HPBL4-L-O26G-09508L</t>
  </si>
  <si>
    <t>PIL-L-I26G-21418L</t>
  </si>
  <si>
    <t>HPBL4-L-O26G-09509L</t>
  </si>
  <si>
    <t>PIL-L-I26G-21257L</t>
  </si>
  <si>
    <t>HPBL4-L-O26G-09510L</t>
  </si>
  <si>
    <t>HPBL-L-I26G-11146</t>
  </si>
  <si>
    <t>PIL-L-O26G-11316L</t>
  </si>
  <si>
    <t>HPBL4-L-O26G-09511L</t>
  </si>
  <si>
    <t>HPBL-L-I26G-11156</t>
  </si>
  <si>
    <t>PIL-L-O26G-11319L</t>
  </si>
  <si>
    <t>HPBL4-L-O26G-09512L</t>
  </si>
  <si>
    <t>HPBL-L-I26G-11152</t>
  </si>
  <si>
    <t>PIL-L-O26G-11328L</t>
  </si>
  <si>
    <t>HPBL4-L-O26G-09513L</t>
  </si>
  <si>
    <t>PIL-L-I26G-21362L</t>
  </si>
  <si>
    <t>HPBL4-L-O26G-09514</t>
  </si>
  <si>
    <t>PIL-L-I26G-21449</t>
  </si>
  <si>
    <t>HPBL4-L-O26G-09515</t>
  </si>
  <si>
    <t>PIL-L-I26G-21482</t>
  </si>
  <si>
    <t>HPBL4-L-O26G-09516</t>
  </si>
  <si>
    <t>PIL-L-I26G-21483</t>
  </si>
  <si>
    <t>HPBL4-L-O26G-09517</t>
  </si>
  <si>
    <t>PIL-L-I26G-21485</t>
  </si>
  <si>
    <t>HPBL4-L-O26G-09518</t>
  </si>
  <si>
    <t>PIL-L-I26G-21447</t>
  </si>
  <si>
    <t>HPBL4-L-O26G-09519</t>
  </si>
  <si>
    <t>PIL-L-I26G-21450</t>
  </si>
  <si>
    <t>HPBL4-L-O26G-09520</t>
  </si>
  <si>
    <t>PIL-L-I26G-21472</t>
  </si>
  <si>
    <t>HPBL4-L-O26G-09521</t>
  </si>
  <si>
    <t>PIL-L-I26G-21480</t>
  </si>
  <si>
    <t>HPBL4-L-O26G-09522</t>
  </si>
  <si>
    <t>PIL-L-I26G-21488</t>
  </si>
  <si>
    <t>HPBL4-L-O26G-09523</t>
  </si>
  <si>
    <t>PIL-L-I26G-21499</t>
  </si>
  <si>
    <t>HPBL4-L-O26G-09524</t>
  </si>
  <si>
    <t>PIL-L-I26G-21458</t>
  </si>
  <si>
    <t>HPBL4-L-O26G-09525</t>
  </si>
  <si>
    <t>PIL-L-I26G-21461</t>
  </si>
  <si>
    <t>HPBL4-L-O26G-09526</t>
  </si>
  <si>
    <t>PIL-L-I26G-21479</t>
  </si>
  <si>
    <t>HPBL4-L-O26G-09527</t>
  </si>
  <si>
    <t>PIL-L-I26G-21459</t>
  </si>
  <si>
    <t>HPBL4-L-O26G-09528</t>
  </si>
  <si>
    <t>PIL-L-I26G-21484</t>
  </si>
  <si>
    <t>HPBL4-L-O26G-09529</t>
  </si>
  <si>
    <t>PIL-L-I26G-21494</t>
  </si>
  <si>
    <t>HPBL4-L-O26G-09530</t>
  </si>
  <si>
    <t>PIL-L-I26G-21470</t>
  </si>
  <si>
    <t>HPBL4-L-O26G-09531</t>
  </si>
  <si>
    <t>PIL-L-I26G-21490</t>
  </si>
  <si>
    <t>HPBL4-L-O26G-09532</t>
  </si>
  <si>
    <t>PIL-L-I26G-21491</t>
  </si>
  <si>
    <t>HPBL4-L-O26G-09533</t>
  </si>
  <si>
    <t>PIL-L-I26G-21460</t>
  </si>
  <si>
    <t>HPBL4-L-O26G-09534</t>
  </si>
  <si>
    <t>PIL-L-I26G-21469</t>
  </si>
  <si>
    <t>HPBL4-L-O26G-09535</t>
  </si>
  <si>
    <t>PIL-L-I26G-21471</t>
  </si>
  <si>
    <t>HPBL4-L-O26G-09536</t>
  </si>
  <si>
    <t>PIL-L-I26G-21481</t>
  </si>
  <si>
    <t>HPBL4-L-O26G-09537</t>
  </si>
  <si>
    <t>PIL-L-I26G-21500</t>
  </si>
  <si>
    <t>HPBL4-L-O26G-09538</t>
  </si>
  <si>
    <t>PIL-L-I26G-21448</t>
  </si>
  <si>
    <t>HPBL4-L-O26G-09539</t>
  </si>
  <si>
    <t>PIL-L-I26G-21489</t>
  </si>
  <si>
    <t>HPBL4-L-O26G-09540</t>
  </si>
  <si>
    <t>PIL-L-I26G-21512</t>
  </si>
  <si>
    <t>HPBL4-L-O26G-09541</t>
  </si>
  <si>
    <t>PIL-L-I26G-21510</t>
  </si>
  <si>
    <t>HPBL4-L-O26G-09542</t>
  </si>
  <si>
    <t>PIL-L-I26G-21514</t>
  </si>
  <si>
    <t>HPBL4-L-O26G-09543</t>
  </si>
  <si>
    <t>PIL-L-I26G-21515</t>
  </si>
  <si>
    <t>HPBL4-L-O26G-09544</t>
  </si>
  <si>
    <t>PIL-L-I26G-21509</t>
  </si>
  <si>
    <t>HPBL4-L-O26G-09545</t>
  </si>
  <si>
    <t>012295 (ICO-2606-268) HPBL-4</t>
  </si>
  <si>
    <t>KPV-L-I26G-11235</t>
  </si>
  <si>
    <t>HPBL4-L-O26G-09546</t>
  </si>
  <si>
    <t>012297 (ICO-2606-268) HPBL-4</t>
  </si>
  <si>
    <t>KPV-L-I26G-11237</t>
  </si>
  <si>
    <t>HPBL4-L-O26G-09547</t>
  </si>
  <si>
    <t>012298 (ICO-2606-268) HPBL-4</t>
  </si>
  <si>
    <t>KPV-L-I26G-11381</t>
  </si>
  <si>
    <t>HPBL4-L-O26G-09548</t>
  </si>
  <si>
    <t>012296 (ICO-2606-268) HPBL-4</t>
  </si>
  <si>
    <t>KPV-L-I26G-11236</t>
  </si>
  <si>
    <t>HPBL4-L-O26G-09549</t>
  </si>
  <si>
    <t>012300 (ICO-2606-268) HPBL-4</t>
  </si>
  <si>
    <t>KPV-L-I26G-11383</t>
  </si>
  <si>
    <t>HPBL4-L-O26G-09550</t>
  </si>
  <si>
    <t>012299 (ICO-2606-268) HPBL-4</t>
  </si>
  <si>
    <t>KPV-L-I26G-11382</t>
  </si>
  <si>
    <t>FIBC-Sales</t>
  </si>
  <si>
    <t>2025-26</t>
  </si>
  <si>
    <t>01-Jul-2026 31-Jul-2026</t>
  </si>
  <si>
    <t>CGST Input</t>
  </si>
  <si>
    <t>IGST Input</t>
  </si>
  <si>
    <t>SGST Input</t>
  </si>
  <si>
    <t>Hcp Plastene Bulkpack Ltd Vadodara-Sales</t>
  </si>
  <si>
    <t>Insurance Expenses - Plant</t>
  </si>
  <si>
    <t>Freight Outward Expense (RCM)</t>
  </si>
  <si>
    <t>Ground Rent Charges</t>
  </si>
  <si>
    <t>Satyam Impex-Gujarat</t>
  </si>
  <si>
    <t>Accuracy Shipping Limited</t>
  </si>
  <si>
    <t>B.K. Roadways</t>
  </si>
  <si>
    <t>Harish Transport Co. -Gim</t>
  </si>
  <si>
    <t>Msc Mediterranean Shipping Company S.A</t>
  </si>
  <si>
    <t>Parker Shipping</t>
  </si>
  <si>
    <t>Cargotrans Maritime Private Limited</t>
  </si>
  <si>
    <t>Magma General Insurance Limited</t>
  </si>
  <si>
    <t>Sunil Tulsibhai Solanki</t>
  </si>
  <si>
    <t>Vihaan Telecommunication Private Limited</t>
  </si>
  <si>
    <t>Vrl Logistics Ltd - 23AABCV3609C1ZV</t>
  </si>
  <si>
    <t>Bank Cash Credit Canara Bank A/C No-125009298350</t>
  </si>
  <si>
    <t>Pareshbhai Khumabhai Desai</t>
  </si>
  <si>
    <t>Month of July 2026</t>
  </si>
  <si>
    <t>July-2026 Salary and Expense Provision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</si>
</sst>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.00_ ;_ * \-#,##0.00_ ;_ * &quot;-&quot;??_ ;_ @_ "/>
    <numFmt numFmtId="165" formatCode="0.00\ &quot;Dr&quot;;0.00\ &quot;Cr&quot;"/>
  </numFmts>
  <fonts count="4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  <charset val="1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4"/>
      <color theme="1"/>
      <name val="Calibri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indexed="8"/>
      <name val="Calibri"/>
      <family val="2"/>
      <charset val="134"/>
    </font>
    <font>
      <sz val="12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FF"/>
      <name val="Calibri"/>
      <family val="2"/>
    </font>
    <font>
      <b/>
      <sz val="11"/>
      <color rgb="FF000000"/>
      <name val="Calibri"/>
      <family val="2"/>
    </font>
    <font>
      <i/>
      <sz val="10"/>
      <color theme="1"/>
      <name val="Calibri"/>
      <family val="2"/>
      <scheme val="minor"/>
    </font>
    <font>
      <sz val="9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sz val="11"/>
      <name val="Calibri"/>
      <family val="2"/>
    </font>
    <font>
      <b/>
      <sz val="11"/>
      <color indexed="52"/>
      <name val="Calibri"/>
      <family val="2"/>
    </font>
    <font>
      <i/>
      <sz val="11"/>
      <color indexed="23"/>
      <name val="Calibri"/>
      <family val="2"/>
    </font>
    <font>
      <b/>
      <sz val="18"/>
      <name val="Cambria"/>
      <family val="1"/>
    </font>
    <font>
      <b/>
      <sz val="11"/>
      <color theme="1"/>
      <name val="Calibri"/>
      <family val="2"/>
    </font>
  </fonts>
  <fills count="2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5" tint="0.399975585192419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80">
    <xf numFmtId="0" fontId="0" fillId="0" borderId="0"/>
    <xf numFmtId="0" fontId="10" fillId="0" borderId="0"/>
    <xf numFmtId="164" fontId="9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6" borderId="0" applyNumberFormat="0" applyBorder="0" applyAlignment="0" applyProtection="0"/>
    <xf numFmtId="0" fontId="38" fillId="16" borderId="0" applyNumberFormat="0" applyBorder="0" applyAlignment="0" applyProtection="0"/>
    <xf numFmtId="0" fontId="38" fillId="16" borderId="0" applyNumberFormat="0" applyBorder="0" applyAlignment="0" applyProtection="0"/>
    <xf numFmtId="0" fontId="38" fillId="16" borderId="0" applyNumberFormat="0" applyBorder="0" applyAlignment="0" applyProtection="0"/>
    <xf numFmtId="0" fontId="38" fillId="16" borderId="0" applyNumberFormat="0" applyBorder="0" applyAlignment="0" applyProtection="0"/>
    <xf numFmtId="0" fontId="38" fillId="16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7" borderId="0" applyNumberFormat="0" applyBorder="0" applyAlignment="0" applyProtection="0"/>
    <xf numFmtId="0" fontId="38" fillId="17" borderId="0" applyNumberFormat="0" applyBorder="0" applyAlignment="0" applyProtection="0"/>
    <xf numFmtId="0" fontId="38" fillId="17" borderId="0" applyNumberFormat="0" applyBorder="0" applyAlignment="0" applyProtection="0"/>
    <xf numFmtId="0" fontId="38" fillId="17" borderId="0" applyNumberFormat="0" applyBorder="0" applyAlignment="0" applyProtection="0"/>
    <xf numFmtId="0" fontId="38" fillId="17" borderId="0" applyNumberFormat="0" applyBorder="0" applyAlignment="0" applyProtection="0"/>
    <xf numFmtId="0" fontId="38" fillId="17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7" borderId="0" applyNumberFormat="0" applyBorder="0" applyAlignment="0" applyProtection="0"/>
    <xf numFmtId="0" fontId="38" fillId="17" borderId="0" applyNumberFormat="0" applyBorder="0" applyAlignment="0" applyProtection="0"/>
    <xf numFmtId="0" fontId="38" fillId="17" borderId="0" applyNumberFormat="0" applyBorder="0" applyAlignment="0" applyProtection="0"/>
    <xf numFmtId="0" fontId="38" fillId="17" borderId="0" applyNumberFormat="0" applyBorder="0" applyAlignment="0" applyProtection="0"/>
    <xf numFmtId="0" fontId="38" fillId="17" borderId="0" applyNumberFormat="0" applyBorder="0" applyAlignment="0" applyProtection="0"/>
    <xf numFmtId="0" fontId="38" fillId="17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4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5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3" borderId="0" applyNumberFormat="0" applyBorder="0" applyAlignment="0" applyProtection="0"/>
    <xf numFmtId="0" fontId="38" fillId="17" borderId="0" applyNumberFormat="0" applyBorder="0" applyAlignment="0" applyProtection="0"/>
    <xf numFmtId="0" fontId="38" fillId="17" borderId="0" applyNumberFormat="0" applyBorder="0" applyAlignment="0" applyProtection="0"/>
    <xf numFmtId="0" fontId="38" fillId="17" borderId="0" applyNumberFormat="0" applyBorder="0" applyAlignment="0" applyProtection="0"/>
    <xf numFmtId="0" fontId="38" fillId="17" borderId="0" applyNumberFormat="0" applyBorder="0" applyAlignment="0" applyProtection="0"/>
    <xf numFmtId="0" fontId="38" fillId="17" borderId="0" applyNumberFormat="0" applyBorder="0" applyAlignment="0" applyProtection="0"/>
    <xf numFmtId="0" fontId="38" fillId="17" borderId="0" applyNumberFormat="0" applyBorder="0" applyAlignment="0" applyProtection="0"/>
    <xf numFmtId="0" fontId="38" fillId="19" borderId="0" applyNumberFormat="0" applyBorder="0" applyAlignment="0" applyProtection="0"/>
    <xf numFmtId="0" fontId="38" fillId="19" borderId="0" applyNumberFormat="0" applyBorder="0" applyAlignment="0" applyProtection="0"/>
    <xf numFmtId="0" fontId="38" fillId="19" borderId="0" applyNumberFormat="0" applyBorder="0" applyAlignment="0" applyProtection="0"/>
    <xf numFmtId="0" fontId="38" fillId="19" borderId="0" applyNumberFormat="0" applyBorder="0" applyAlignment="0" applyProtection="0"/>
    <xf numFmtId="0" fontId="38" fillId="19" borderId="0" applyNumberFormat="0" applyBorder="0" applyAlignment="0" applyProtection="0"/>
    <xf numFmtId="0" fontId="38" fillId="19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0" borderId="0" applyNumberFormat="0" applyBorder="0" applyAlignment="0" applyProtection="0"/>
    <xf numFmtId="0" fontId="38" fillId="21" borderId="0" applyNumberFormat="0" applyBorder="0" applyAlignment="0" applyProtection="0"/>
    <xf numFmtId="0" fontId="38" fillId="21" borderId="0" applyNumberFormat="0" applyBorder="0" applyAlignment="0" applyProtection="0"/>
    <xf numFmtId="0" fontId="38" fillId="21" borderId="0" applyNumberFormat="0" applyBorder="0" applyAlignment="0" applyProtection="0"/>
    <xf numFmtId="0" fontId="38" fillId="21" borderId="0" applyNumberFormat="0" applyBorder="0" applyAlignment="0" applyProtection="0"/>
    <xf numFmtId="0" fontId="38" fillId="21" borderId="0" applyNumberFormat="0" applyBorder="0" applyAlignment="0" applyProtection="0"/>
    <xf numFmtId="0" fontId="38" fillId="21" borderId="0" applyNumberFormat="0" applyBorder="0" applyAlignment="0" applyProtection="0"/>
    <xf numFmtId="0" fontId="38" fillId="22" borderId="0" applyNumberFormat="0" applyBorder="0" applyAlignment="0" applyProtection="0"/>
    <xf numFmtId="0" fontId="38" fillId="22" borderId="0" applyNumberFormat="0" applyBorder="0" applyAlignment="0" applyProtection="0"/>
    <xf numFmtId="0" fontId="38" fillId="22" borderId="0" applyNumberFormat="0" applyBorder="0" applyAlignment="0" applyProtection="0"/>
    <xf numFmtId="0" fontId="38" fillId="22" borderId="0" applyNumberFormat="0" applyBorder="0" applyAlignment="0" applyProtection="0"/>
    <xf numFmtId="0" fontId="38" fillId="22" borderId="0" applyNumberFormat="0" applyBorder="0" applyAlignment="0" applyProtection="0"/>
    <xf numFmtId="0" fontId="38" fillId="22" borderId="0" applyNumberFormat="0" applyBorder="0" applyAlignment="0" applyProtection="0"/>
    <xf numFmtId="0" fontId="38" fillId="19" borderId="0" applyNumberFormat="0" applyBorder="0" applyAlignment="0" applyProtection="0"/>
    <xf numFmtId="0" fontId="38" fillId="19" borderId="0" applyNumberFormat="0" applyBorder="0" applyAlignment="0" applyProtection="0"/>
    <xf numFmtId="0" fontId="38" fillId="19" borderId="0" applyNumberFormat="0" applyBorder="0" applyAlignment="0" applyProtection="0"/>
    <xf numFmtId="0" fontId="38" fillId="19" borderId="0" applyNumberFormat="0" applyBorder="0" applyAlignment="0" applyProtection="0"/>
    <xf numFmtId="0" fontId="38" fillId="19" borderId="0" applyNumberFormat="0" applyBorder="0" applyAlignment="0" applyProtection="0"/>
    <xf numFmtId="0" fontId="38" fillId="19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38" fillId="24" borderId="0" applyNumberFormat="0" applyBorder="0" applyAlignment="0" applyProtection="0"/>
    <xf numFmtId="0" fontId="43" fillId="16" borderId="11" applyNumberFormat="0" applyAlignment="0" applyProtection="0"/>
    <xf numFmtId="0" fontId="43" fillId="16" borderId="11" applyNumberFormat="0" applyAlignment="0" applyProtection="0"/>
    <xf numFmtId="0" fontId="43" fillId="16" borderId="11" applyNumberFormat="0" applyAlignment="0" applyProtection="0"/>
    <xf numFmtId="0" fontId="43" fillId="16" borderId="11" applyNumberFormat="0" applyAlignment="0" applyProtection="0"/>
    <xf numFmtId="0" fontId="43" fillId="16" borderId="11" applyNumberFormat="0" applyAlignment="0" applyProtection="0"/>
    <xf numFmtId="0" fontId="43" fillId="16" borderId="11" applyNumberFormat="0" applyAlignment="0" applyProtection="0"/>
    <xf numFmtId="0" fontId="38" fillId="18" borderId="12" applyNumberFormat="0" applyAlignment="0" applyProtection="0"/>
    <xf numFmtId="0" fontId="38" fillId="18" borderId="12" applyNumberFormat="0" applyAlignment="0" applyProtection="0"/>
    <xf numFmtId="0" fontId="38" fillId="18" borderId="12" applyNumberFormat="0" applyAlignment="0" applyProtection="0"/>
    <xf numFmtId="0" fontId="38" fillId="18" borderId="12" applyNumberFormat="0" applyAlignment="0" applyProtection="0"/>
    <xf numFmtId="0" fontId="38" fillId="18" borderId="12" applyNumberFormat="0" applyAlignment="0" applyProtection="0"/>
    <xf numFmtId="0" fontId="38" fillId="18" borderId="12" applyNumberFormat="0" applyAlignment="0" applyProtection="0"/>
    <xf numFmtId="43" fontId="4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42" fillId="0" borderId="0"/>
    <xf numFmtId="0" fontId="41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9" fillId="0" borderId="0"/>
    <xf numFmtId="0" fontId="9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25" borderId="0" applyNumberFormat="0" applyBorder="0" applyAlignment="0" applyProtection="0"/>
    <xf numFmtId="0" fontId="38" fillId="25" borderId="0" applyNumberFormat="0" applyBorder="0" applyAlignment="0" applyProtection="0"/>
    <xf numFmtId="0" fontId="38" fillId="25" borderId="0" applyNumberFormat="0" applyBorder="0" applyAlignment="0" applyProtection="0"/>
    <xf numFmtId="0" fontId="38" fillId="25" borderId="0" applyNumberFormat="0" applyBorder="0" applyAlignment="0" applyProtection="0"/>
    <xf numFmtId="0" fontId="38" fillId="25" borderId="0" applyNumberFormat="0" applyBorder="0" applyAlignment="0" applyProtection="0"/>
    <xf numFmtId="0" fontId="38" fillId="25" borderId="0" applyNumberFormat="0" applyBorder="0" applyAlignment="0" applyProtection="0"/>
    <xf numFmtId="0" fontId="38" fillId="0" borderId="13" applyNumberFormat="0" applyFill="0" applyAlignment="0" applyProtection="0"/>
    <xf numFmtId="0" fontId="38" fillId="0" borderId="13" applyNumberFormat="0" applyFill="0" applyAlignment="0" applyProtection="0"/>
    <xf numFmtId="0" fontId="38" fillId="0" borderId="13" applyNumberFormat="0" applyFill="0" applyAlignment="0" applyProtection="0"/>
    <xf numFmtId="0" fontId="38" fillId="0" borderId="13" applyNumberFormat="0" applyFill="0" applyAlignment="0" applyProtection="0"/>
    <xf numFmtId="0" fontId="38" fillId="0" borderId="13" applyNumberFormat="0" applyFill="0" applyAlignment="0" applyProtection="0"/>
    <xf numFmtId="0" fontId="38" fillId="0" borderId="13" applyNumberFormat="0" applyFill="0" applyAlignment="0" applyProtection="0"/>
    <xf numFmtId="0" fontId="9" fillId="0" borderId="14" applyNumberFormat="0" applyFill="0" applyAlignment="0" applyProtection="0"/>
    <xf numFmtId="0" fontId="9" fillId="0" borderId="14" applyNumberFormat="0" applyFill="0" applyAlignment="0" applyProtection="0"/>
    <xf numFmtId="0" fontId="9" fillId="0" borderId="14" applyNumberFormat="0" applyFill="0" applyAlignment="0" applyProtection="0"/>
    <xf numFmtId="0" fontId="9" fillId="0" borderId="14" applyNumberFormat="0" applyFill="0" applyAlignment="0" applyProtection="0"/>
    <xf numFmtId="0" fontId="9" fillId="0" borderId="14" applyNumberFormat="0" applyFill="0" applyAlignment="0" applyProtection="0"/>
    <xf numFmtId="0" fontId="9" fillId="0" borderId="14" applyNumberFormat="0" applyFill="0" applyAlignment="0" applyProtection="0"/>
    <xf numFmtId="0" fontId="9" fillId="0" borderId="15" applyNumberFormat="0" applyFill="0" applyAlignment="0" applyProtection="0"/>
    <xf numFmtId="0" fontId="9" fillId="0" borderId="15" applyNumberFormat="0" applyFill="0" applyAlignment="0" applyProtection="0"/>
    <xf numFmtId="0" fontId="9" fillId="0" borderId="15" applyNumberFormat="0" applyFill="0" applyAlignment="0" applyProtection="0"/>
    <xf numFmtId="0" fontId="9" fillId="0" borderId="15" applyNumberFormat="0" applyFill="0" applyAlignment="0" applyProtection="0"/>
    <xf numFmtId="0" fontId="9" fillId="0" borderId="15" applyNumberFormat="0" applyFill="0" applyAlignment="0" applyProtection="0"/>
    <xf numFmtId="0" fontId="9" fillId="0" borderId="15" applyNumberFormat="0" applyFill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17" borderId="11" applyNumberFormat="0" applyAlignment="0" applyProtection="0"/>
    <xf numFmtId="0" fontId="9" fillId="17" borderId="11" applyNumberFormat="0" applyAlignment="0" applyProtection="0"/>
    <xf numFmtId="0" fontId="9" fillId="17" borderId="11" applyNumberFormat="0" applyAlignment="0" applyProtection="0"/>
    <xf numFmtId="0" fontId="9" fillId="17" borderId="11" applyNumberFormat="0" applyAlignment="0" applyProtection="0"/>
    <xf numFmtId="0" fontId="9" fillId="17" borderId="11" applyNumberFormat="0" applyAlignment="0" applyProtection="0"/>
    <xf numFmtId="0" fontId="9" fillId="17" borderId="11" applyNumberFormat="0" applyAlignment="0" applyProtection="0"/>
    <xf numFmtId="0" fontId="9" fillId="0" borderId="16" applyNumberFormat="0" applyFill="0" applyAlignment="0" applyProtection="0"/>
    <xf numFmtId="0" fontId="9" fillId="0" borderId="16" applyNumberFormat="0" applyFill="0" applyAlignment="0" applyProtection="0"/>
    <xf numFmtId="0" fontId="9" fillId="0" borderId="16" applyNumberFormat="0" applyFill="0" applyAlignment="0" applyProtection="0"/>
    <xf numFmtId="0" fontId="9" fillId="0" borderId="16" applyNumberFormat="0" applyFill="0" applyAlignment="0" applyProtection="0"/>
    <xf numFmtId="0" fontId="9" fillId="0" borderId="16" applyNumberFormat="0" applyFill="0" applyAlignment="0" applyProtection="0"/>
    <xf numFmtId="0" fontId="9" fillId="0" borderId="16" applyNumberFormat="0" applyFill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38" fillId="0" borderId="0"/>
    <xf numFmtId="0" fontId="38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11" fillId="0" borderId="0"/>
    <xf numFmtId="0" fontId="9" fillId="27" borderId="17" applyNumberFormat="0" applyFont="0" applyAlignment="0" applyProtection="0"/>
    <xf numFmtId="0" fontId="9" fillId="27" borderId="17" applyNumberFormat="0" applyFont="0" applyAlignment="0" applyProtection="0"/>
    <xf numFmtId="0" fontId="9" fillId="27" borderId="17" applyNumberFormat="0" applyFont="0" applyAlignment="0" applyProtection="0"/>
    <xf numFmtId="0" fontId="9" fillId="27" borderId="17" applyNumberFormat="0" applyFont="0" applyAlignment="0" applyProtection="0"/>
    <xf numFmtId="0" fontId="9" fillId="27" borderId="17" applyNumberFormat="0" applyFont="0" applyAlignment="0" applyProtection="0"/>
    <xf numFmtId="0" fontId="9" fillId="27" borderId="17" applyNumberFormat="0" applyFont="0" applyAlignment="0" applyProtection="0"/>
    <xf numFmtId="0" fontId="38" fillId="16" borderId="18" applyNumberFormat="0" applyAlignment="0" applyProtection="0"/>
    <xf numFmtId="0" fontId="38" fillId="16" borderId="18" applyNumberFormat="0" applyAlignment="0" applyProtection="0"/>
    <xf numFmtId="0" fontId="38" fillId="16" borderId="18" applyNumberFormat="0" applyAlignment="0" applyProtection="0"/>
    <xf numFmtId="0" fontId="38" fillId="16" borderId="18" applyNumberFormat="0" applyAlignment="0" applyProtection="0"/>
    <xf numFmtId="0" fontId="38" fillId="16" borderId="18" applyNumberFormat="0" applyAlignment="0" applyProtection="0"/>
    <xf numFmtId="0" fontId="38" fillId="16" borderId="18" applyNumberFormat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</cellStyleXfs>
  <cellXfs count="489">
    <xf numFmtId="0" fontId="0" fillId="0" borderId="0" xfId="0"/>
    <xf numFmtId="0" fontId="2" fillId="0" borderId="0" xfId="0" applyFont="1"/>
    <xf numFmtId="0" fontId="3" fillId="0" borderId="1" xfId="0" applyFont="1" applyBorder="1"/>
    <xf numFmtId="0" fontId="0" fillId="0" borderId="0" xfId="0" pivotButton="1"/>
    <xf numFmtId="2" fontId="0" fillId="0" borderId="0" xfId="0" applyNumberForma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4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/>
    <xf numFmtId="0" fontId="0" fillId="2" borderId="0" xfId="0" applyFill="1" applyAlignment="1">
      <alignment vertical="center" wrapText="1"/>
    </xf>
    <xf numFmtId="0" fontId="1" fillId="0" borderId="1" xfId="0" applyFont="1" applyBorder="1" applyAlignment="1">
      <alignment horizontal="center"/>
    </xf>
    <xf numFmtId="2" fontId="1" fillId="2" borderId="1" xfId="0" applyNumberFormat="1" applyFont="1" applyFill="1" applyBorder="1"/>
    <xf numFmtId="0" fontId="6" fillId="0" borderId="0" xfId="0" applyFont="1" applyAlignment="1">
      <alignment vertical="center"/>
    </xf>
    <xf numFmtId="0" fontId="6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2" fontId="2" fillId="0" borderId="1" xfId="0" applyNumberFormat="1" applyFont="1" applyBorder="1"/>
    <xf numFmtId="0" fontId="1" fillId="0" borderId="1" xfId="0" applyFont="1" applyBorder="1"/>
    <xf numFmtId="2" fontId="0" fillId="0" borderId="1" xfId="0" applyNumberFormat="1" applyBorder="1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4" fontId="0" fillId="0" borderId="0" xfId="0" applyNumberFormat="1" applyAlignment="1">
      <alignment horizontal="right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 vertical="center" wrapText="1"/>
    </xf>
    <xf numFmtId="4" fontId="0" fillId="0" borderId="0" xfId="0" applyNumberFormat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0" fillId="2" borderId="1" xfId="0" applyFill="1" applyBorder="1" applyAlignment="1">
      <alignment horizontal="right" vertical="center" wrapText="1"/>
    </xf>
    <xf numFmtId="0" fontId="0" fillId="2" borderId="1" xfId="0" applyFill="1" applyBorder="1" applyAlignment="1">
      <alignment horizontal="right" vertical="center"/>
    </xf>
    <xf numFmtId="0" fontId="1" fillId="0" borderId="0" xfId="0" applyFont="1" applyAlignment="1">
      <alignment horizontal="right" vertical="center" wrapText="1"/>
    </xf>
    <xf numFmtId="0" fontId="0" fillId="2" borderId="0" xfId="0" applyFill="1" applyAlignment="1">
      <alignment horizontal="right" vertical="center" wrapText="1"/>
    </xf>
    <xf numFmtId="4" fontId="0" fillId="2" borderId="0" xfId="0" applyNumberFormat="1" applyFill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4" fontId="4" fillId="0" borderId="0" xfId="0" applyNumberFormat="1" applyFont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/>
    <xf numFmtId="4" fontId="8" fillId="0" borderId="0" xfId="0" applyNumberFormat="1" applyFont="1"/>
    <xf numFmtId="0" fontId="4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1" fontId="0" fillId="0" borderId="1" xfId="0" applyNumberForma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4" fontId="4" fillId="0" borderId="1" xfId="0" applyNumberFormat="1" applyFont="1" applyBorder="1" applyAlignment="1">
      <alignment horizontal="right" vertical="center" wrapText="1"/>
    </xf>
    <xf numFmtId="4" fontId="0" fillId="2" borderId="1" xfId="0" applyNumberFormat="1" applyFill="1" applyBorder="1" applyAlignment="1">
      <alignment horizontal="right" vertical="center" wrapText="1"/>
    </xf>
    <xf numFmtId="4" fontId="0" fillId="2" borderId="1" xfId="0" applyNumberFormat="1" applyFill="1" applyBorder="1" applyAlignment="1">
      <alignment vertical="center" wrapText="1"/>
    </xf>
    <xf numFmtId="4" fontId="4" fillId="0" borderId="1" xfId="0" applyNumberFormat="1" applyFont="1" applyBorder="1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14" fontId="0" fillId="0" borderId="1" xfId="0" applyNumberFormat="1" applyBorder="1" applyAlignment="1">
      <alignment vertical="center" wrapText="1"/>
    </xf>
    <xf numFmtId="0" fontId="1" fillId="0" borderId="0" xfId="0" applyFont="1" applyAlignment="1">
      <alignment horizontal="right"/>
    </xf>
    <xf numFmtId="4" fontId="0" fillId="0" borderId="1" xfId="0" applyNumberFormat="1" applyBorder="1" applyAlignment="1">
      <alignment vertical="center" wrapText="1"/>
    </xf>
    <xf numFmtId="0" fontId="1" fillId="5" borderId="1" xfId="0" applyFont="1" applyFill="1" applyBorder="1" applyAlignment="1">
      <alignment horizontal="left"/>
    </xf>
    <xf numFmtId="2" fontId="1" fillId="5" borderId="1" xfId="0" applyNumberFormat="1" applyFont="1" applyFill="1" applyBorder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2" fillId="0" borderId="0" xfId="0" applyFont="1" applyAlignment="1"/>
    <xf numFmtId="0" fontId="1" fillId="5" borderId="1" xfId="0" applyFont="1" applyFill="1" applyBorder="1"/>
    <xf numFmtId="0" fontId="1" fillId="0" borderId="1" xfId="0" applyFont="1" applyFill="1" applyBorder="1" applyAlignment="1">
      <alignment horizontal="left"/>
    </xf>
    <xf numFmtId="2" fontId="1" fillId="0" borderId="1" xfId="0" applyNumberFormat="1" applyFont="1" applyBorder="1"/>
    <xf numFmtId="0" fontId="5" fillId="0" borderId="7" xfId="0" applyFont="1" applyBorder="1" applyAlignment="1">
      <alignment vertical="center"/>
    </xf>
    <xf numFmtId="0" fontId="0" fillId="0" borderId="4" xfId="0" applyFill="1" applyBorder="1" applyAlignment="1">
      <alignment horizontal="right" vertical="center"/>
    </xf>
    <xf numFmtId="0" fontId="0" fillId="0" borderId="0" xfId="0"/>
    <xf numFmtId="4" fontId="0" fillId="0" borderId="0" xfId="0" applyNumberForma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right" vertical="center" wrapText="1"/>
    </xf>
    <xf numFmtId="4" fontId="0" fillId="0" borderId="1" xfId="0" applyNumberFormat="1" applyBorder="1" applyAlignment="1">
      <alignment horizontal="right" vertical="center" wrapText="1"/>
    </xf>
    <xf numFmtId="0" fontId="0" fillId="2" borderId="1" xfId="0" applyFill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0" borderId="1" xfId="0" applyFill="1" applyBorder="1" applyAlignment="1">
      <alignment horizontal="right" vertical="center" wrapText="1"/>
    </xf>
    <xf numFmtId="0" fontId="0" fillId="0" borderId="1" xfId="0" applyFill="1" applyBorder="1" applyAlignment="1">
      <alignment vertical="center" wrapText="1"/>
    </xf>
    <xf numFmtId="4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/>
    </xf>
    <xf numFmtId="0" fontId="0" fillId="2" borderId="0" xfId="0" applyFill="1"/>
    <xf numFmtId="4" fontId="0" fillId="0" borderId="1" xfId="0" applyNumberFormat="1" applyBorder="1"/>
    <xf numFmtId="0" fontId="1" fillId="0" borderId="1" xfId="0" applyFont="1" applyBorder="1" applyAlignment="1">
      <alignment horizontal="center" vertical="center"/>
    </xf>
    <xf numFmtId="0" fontId="0" fillId="0" borderId="0" xfId="0"/>
    <xf numFmtId="0" fontId="6" fillId="0" borderId="0" xfId="0" applyFont="1" applyAlignment="1">
      <alignment horizontal="right"/>
    </xf>
    <xf numFmtId="0" fontId="2" fillId="0" borderId="1" xfId="0" applyFont="1" applyBorder="1" applyAlignment="1"/>
    <xf numFmtId="2" fontId="0" fillId="0" borderId="0" xfId="0" applyNumberFormat="1" applyFill="1"/>
    <xf numFmtId="0" fontId="1" fillId="0" borderId="0" xfId="0" applyFont="1"/>
    <xf numFmtId="4" fontId="0" fillId="0" borderId="0" xfId="0" applyNumberFormat="1" applyAlignment="1">
      <alignment vertical="center" wrapText="1"/>
    </xf>
    <xf numFmtId="4" fontId="4" fillId="0" borderId="0" xfId="0" applyNumberFormat="1" applyFont="1" applyAlignment="1">
      <alignment vertical="center" wrapText="1"/>
    </xf>
    <xf numFmtId="4" fontId="1" fillId="0" borderId="1" xfId="0" applyNumberFormat="1" applyFont="1" applyBorder="1"/>
    <xf numFmtId="4" fontId="0" fillId="2" borderId="0" xfId="0" applyNumberFormat="1" applyFill="1" applyAlignment="1">
      <alignment vertical="center" wrapText="1"/>
    </xf>
    <xf numFmtId="14" fontId="0" fillId="0" borderId="0" xfId="0" applyNumberFormat="1"/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3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14" fontId="6" fillId="0" borderId="0" xfId="0" applyNumberFormat="1" applyFont="1"/>
    <xf numFmtId="2" fontId="6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/>
    <xf numFmtId="0" fontId="0" fillId="0" borderId="0" xfId="0" applyAlignment="1">
      <alignment vertical="center"/>
    </xf>
    <xf numFmtId="0" fontId="5" fillId="0" borderId="0" xfId="0" applyFont="1"/>
    <xf numFmtId="0" fontId="0" fillId="0" borderId="0" xfId="0"/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/>
    <xf numFmtId="2" fontId="2" fillId="0" borderId="0" xfId="0" applyNumberFormat="1" applyFont="1"/>
    <xf numFmtId="4" fontId="0" fillId="0" borderId="0" xfId="0" applyNumberFormat="1" applyAlignment="1"/>
    <xf numFmtId="0" fontId="16" fillId="7" borderId="1" xfId="0" applyFont="1" applyFill="1" applyBorder="1" applyAlignment="1">
      <alignment vertical="center"/>
    </xf>
    <xf numFmtId="0" fontId="15" fillId="7" borderId="1" xfId="0" applyFont="1" applyFill="1" applyBorder="1" applyAlignment="1">
      <alignment vertical="center"/>
    </xf>
    <xf numFmtId="0" fontId="20" fillId="0" borderId="0" xfId="0" applyFont="1"/>
    <xf numFmtId="0" fontId="15" fillId="0" borderId="0" xfId="0" applyFont="1" applyAlignment="1">
      <alignment vertical="center"/>
    </xf>
    <xf numFmtId="0" fontId="16" fillId="0" borderId="1" xfId="0" applyFont="1" applyBorder="1" applyAlignment="1">
      <alignment vertical="center"/>
    </xf>
    <xf numFmtId="0" fontId="20" fillId="0" borderId="1" xfId="0" applyFont="1" applyBorder="1"/>
    <xf numFmtId="2" fontId="21" fillId="0" borderId="0" xfId="0" applyNumberFormat="1" applyFont="1"/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right" vertical="center"/>
    </xf>
    <xf numFmtId="14" fontId="23" fillId="0" borderId="1" xfId="0" applyNumberFormat="1" applyFont="1" applyBorder="1" applyAlignment="1">
      <alignment horizontal="center" vertical="center"/>
    </xf>
    <xf numFmtId="2" fontId="25" fillId="0" borderId="1" xfId="0" applyNumberFormat="1" applyFont="1" applyBorder="1" applyAlignment="1">
      <alignment horizontal="right" vertical="center"/>
    </xf>
    <xf numFmtId="0" fontId="26" fillId="0" borderId="1" xfId="0" applyFont="1" applyBorder="1" applyAlignment="1">
      <alignment horizontal="center" vertical="center"/>
    </xf>
    <xf numFmtId="0" fontId="23" fillId="9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right" vertical="center"/>
    </xf>
    <xf numFmtId="4" fontId="1" fillId="0" borderId="1" xfId="0" applyNumberFormat="1" applyFont="1" applyFill="1" applyBorder="1" applyAlignment="1"/>
    <xf numFmtId="0" fontId="1" fillId="0" borderId="1" xfId="0" applyFont="1" applyBorder="1" applyAlignment="1"/>
    <xf numFmtId="0" fontId="1" fillId="0" borderId="1" xfId="0" applyFont="1" applyFill="1" applyBorder="1" applyAlignment="1"/>
    <xf numFmtId="2" fontId="1" fillId="0" borderId="1" xfId="0" applyNumberFormat="1" applyFont="1" applyBorder="1" applyAlignment="1"/>
    <xf numFmtId="0" fontId="1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vertical="center"/>
    </xf>
    <xf numFmtId="0" fontId="1" fillId="2" borderId="1" xfId="0" applyFont="1" applyFill="1" applyBorder="1"/>
    <xf numFmtId="0" fontId="0" fillId="0" borderId="0" xfId="0"/>
    <xf numFmtId="0" fontId="16" fillId="0" borderId="0" xfId="0" applyFont="1" applyAlignment="1">
      <alignment vertical="center"/>
    </xf>
    <xf numFmtId="0" fontId="17" fillId="6" borderId="7" xfId="0" applyFont="1" applyFill="1" applyBorder="1" applyAlignment="1">
      <alignment horizontal="right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4" fontId="2" fillId="2" borderId="0" xfId="0" applyNumberFormat="1" applyFont="1" applyFill="1" applyAlignment="1">
      <alignment horizontal="right" vertical="center"/>
    </xf>
    <xf numFmtId="4" fontId="2" fillId="2" borderId="0" xfId="0" applyNumberFormat="1" applyFont="1" applyFill="1" applyAlignment="1">
      <alignment vertical="center"/>
    </xf>
    <xf numFmtId="2" fontId="0" fillId="0" borderId="0" xfId="0" applyNumberFormat="1" applyAlignment="1"/>
    <xf numFmtId="0" fontId="2" fillId="2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2" fontId="2" fillId="0" borderId="0" xfId="0" applyNumberFormat="1" applyFont="1" applyAlignment="1"/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vertical="center"/>
    </xf>
    <xf numFmtId="2" fontId="29" fillId="0" borderId="1" xfId="0" applyNumberFormat="1" applyFont="1" applyBorder="1" applyAlignment="1">
      <alignment vertical="center"/>
    </xf>
    <xf numFmtId="0" fontId="0" fillId="0" borderId="1" xfId="0" applyBorder="1" applyAlignment="1"/>
    <xf numFmtId="0" fontId="28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4" fontId="2" fillId="2" borderId="0" xfId="0" applyNumberFormat="1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0" borderId="8" xfId="0" applyFont="1" applyBorder="1" applyAlignment="1">
      <alignment horizontal="center" vertical="center"/>
    </xf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3" fillId="0" borderId="0" xfId="0" applyFont="1" applyAlignment="1"/>
    <xf numFmtId="0" fontId="2" fillId="2" borderId="1" xfId="0" applyFont="1" applyFill="1" applyBorder="1" applyAlignment="1">
      <alignment horizontal="right" vertical="center" wrapText="1"/>
    </xf>
    <xf numFmtId="0" fontId="2" fillId="0" borderId="8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1" fillId="0" borderId="1" xfId="0" applyFont="1" applyBorder="1" applyAlignment="1"/>
    <xf numFmtId="0" fontId="0" fillId="0" borderId="6" xfId="0" applyFill="1" applyBorder="1" applyAlignment="1">
      <alignment horizontal="right" vertical="center"/>
    </xf>
    <xf numFmtId="0" fontId="0" fillId="0" borderId="1" xfId="0" applyBorder="1" applyAlignment="1">
      <alignment horizontal="center" vertical="center" wrapText="1"/>
    </xf>
    <xf numFmtId="4" fontId="0" fillId="0" borderId="0" xfId="0" applyNumberFormat="1" applyAlignment="1">
      <alignment vertical="center"/>
    </xf>
    <xf numFmtId="4" fontId="0" fillId="2" borderId="0" xfId="0" applyNumberFormat="1" applyFill="1" applyAlignment="1">
      <alignment vertical="center"/>
    </xf>
    <xf numFmtId="0" fontId="0" fillId="2" borderId="0" xfId="0" applyFill="1" applyAlignment="1">
      <alignment vertical="center"/>
    </xf>
    <xf numFmtId="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0" fillId="0" borderId="2" xfId="0" applyBorder="1" applyAlignment="1"/>
    <xf numFmtId="0" fontId="0" fillId="0" borderId="6" xfId="0" applyBorder="1" applyAlignment="1"/>
    <xf numFmtId="0" fontId="0" fillId="0" borderId="7" xfId="0" applyBorder="1" applyAlignment="1"/>
    <xf numFmtId="2" fontId="0" fillId="2" borderId="0" xfId="0" applyNumberFormat="1" applyFill="1"/>
    <xf numFmtId="0" fontId="0" fillId="0" borderId="0" xfId="0" applyNumberFormat="1" applyFill="1"/>
    <xf numFmtId="0" fontId="0" fillId="0" borderId="0" xfId="0" applyFill="1" applyAlignment="1">
      <alignment horizontal="left"/>
    </xf>
    <xf numFmtId="0" fontId="0" fillId="0" borderId="0" xfId="0"/>
    <xf numFmtId="1" fontId="1" fillId="0" borderId="1" xfId="0" applyNumberFormat="1" applyFont="1" applyBorder="1" applyAlignment="1"/>
    <xf numFmtId="2" fontId="23" fillId="9" borderId="1" xfId="0" applyNumberFormat="1" applyFont="1" applyFill="1" applyBorder="1" applyAlignment="1">
      <alignment horizontal="right" vertical="center"/>
    </xf>
    <xf numFmtId="14" fontId="2" fillId="0" borderId="1" xfId="0" applyNumberFormat="1" applyFont="1" applyBorder="1" applyAlignment="1">
      <alignment vertical="center"/>
    </xf>
    <xf numFmtId="0" fontId="26" fillId="0" borderId="1" xfId="0" applyFont="1" applyBorder="1"/>
    <xf numFmtId="4" fontId="0" fillId="2" borderId="1" xfId="0" applyNumberFormat="1" applyFill="1" applyBorder="1" applyAlignment="1">
      <alignment horizontal="right" vertical="center"/>
    </xf>
    <xf numFmtId="0" fontId="0" fillId="0" borderId="0" xfId="0" applyFill="1" applyBorder="1" applyAlignment="1"/>
    <xf numFmtId="0" fontId="2" fillId="0" borderId="1" xfId="0" applyFont="1" applyBorder="1" applyAlignment="1">
      <alignment horizontal="right"/>
    </xf>
    <xf numFmtId="14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2" fontId="28" fillId="0" borderId="1" xfId="0" applyNumberFormat="1" applyFont="1" applyBorder="1" applyAlignment="1">
      <alignment vertical="center"/>
    </xf>
    <xf numFmtId="0" fontId="0" fillId="0" borderId="0" xfId="0"/>
    <xf numFmtId="0" fontId="0" fillId="0" borderId="9" xfId="0" pivotButton="1" applyBorder="1"/>
    <xf numFmtId="0" fontId="0" fillId="0" borderId="9" xfId="0" applyBorder="1"/>
    <xf numFmtId="2" fontId="23" fillId="2" borderId="1" xfId="0" applyNumberFormat="1" applyFont="1" applyFill="1" applyBorder="1" applyAlignment="1">
      <alignment horizontal="right" vertical="center"/>
    </xf>
    <xf numFmtId="0" fontId="0" fillId="0" borderId="1" xfId="0" applyFont="1" applyBorder="1"/>
    <xf numFmtId="2" fontId="27" fillId="2" borderId="1" xfId="0" applyNumberFormat="1" applyFont="1" applyFill="1" applyBorder="1" applyAlignment="1">
      <alignment horizontal="right" vertical="center"/>
    </xf>
    <xf numFmtId="0" fontId="0" fillId="0" borderId="0" xfId="0"/>
    <xf numFmtId="0" fontId="28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1" fillId="10" borderId="1" xfId="0" applyFont="1" applyFill="1" applyBorder="1" applyAlignment="1">
      <alignment horizontal="center"/>
    </xf>
    <xf numFmtId="0" fontId="35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2" fontId="33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right" vertical="center"/>
    </xf>
    <xf numFmtId="2" fontId="35" fillId="0" borderId="1" xfId="0" applyNumberFormat="1" applyFont="1" applyBorder="1" applyAlignment="1">
      <alignment horizontal="center" vertical="center"/>
    </xf>
    <xf numFmtId="2" fontId="0" fillId="0" borderId="8" xfId="0" applyNumberFormat="1" applyBorder="1"/>
    <xf numFmtId="0" fontId="0" fillId="0" borderId="5" xfId="0" applyBorder="1"/>
    <xf numFmtId="0" fontId="7" fillId="0" borderId="5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2" fontId="33" fillId="0" borderId="1" xfId="0" applyNumberFormat="1" applyFont="1" applyBorder="1" applyAlignment="1">
      <alignment horizontal="right" vertical="center"/>
    </xf>
    <xf numFmtId="2" fontId="0" fillId="0" borderId="1" xfId="0" applyNumberFormat="1" applyFont="1" applyFill="1" applyBorder="1"/>
    <xf numFmtId="0" fontId="27" fillId="2" borderId="1" xfId="0" applyFont="1" applyFill="1" applyBorder="1" applyAlignment="1">
      <alignment horizontal="center" vertical="center"/>
    </xf>
    <xf numFmtId="0" fontId="33" fillId="0" borderId="1" xfId="0" applyFont="1" applyBorder="1" applyAlignment="1">
      <alignment vertical="center"/>
    </xf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right"/>
    </xf>
    <xf numFmtId="0" fontId="2" fillId="2" borderId="0" xfId="0" applyFont="1" applyFill="1"/>
    <xf numFmtId="0" fontId="32" fillId="0" borderId="0" xfId="0" applyFont="1"/>
    <xf numFmtId="0" fontId="2" fillId="2" borderId="0" xfId="0" applyFont="1" applyFill="1" applyAlignment="1">
      <alignment horizontal="right"/>
    </xf>
    <xf numFmtId="14" fontId="2" fillId="0" borderId="1" xfId="0" applyNumberFormat="1" applyFont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0" fillId="0" borderId="0" xfId="0" applyFill="1" applyAlignment="1"/>
    <xf numFmtId="1" fontId="2" fillId="0" borderId="0" xfId="0" applyNumberFormat="1" applyFont="1"/>
    <xf numFmtId="0" fontId="0" fillId="0" borderId="0" xfId="0"/>
    <xf numFmtId="0" fontId="35" fillId="0" borderId="0" xfId="0" applyFont="1" applyBorder="1" applyAlignment="1">
      <alignment horizontal="center" vertical="center"/>
    </xf>
    <xf numFmtId="0" fontId="33" fillId="0" borderId="0" xfId="0" applyFont="1" applyBorder="1" applyAlignment="1">
      <alignment horizontal="center" vertical="center"/>
    </xf>
    <xf numFmtId="2" fontId="33" fillId="0" borderId="0" xfId="0" applyNumberFormat="1" applyFont="1" applyBorder="1" applyAlignment="1">
      <alignment horizontal="center" vertical="center"/>
    </xf>
    <xf numFmtId="0" fontId="33" fillId="0" borderId="0" xfId="0" applyFont="1" applyBorder="1" applyAlignment="1">
      <alignment horizontal="right" vertical="center"/>
    </xf>
    <xf numFmtId="2" fontId="35" fillId="0" borderId="0" xfId="0" applyNumberFormat="1" applyFont="1" applyBorder="1" applyAlignment="1">
      <alignment horizontal="center" vertical="center"/>
    </xf>
    <xf numFmtId="0" fontId="35" fillId="0" borderId="0" xfId="0" applyFont="1" applyBorder="1" applyAlignment="1">
      <alignment vertical="center"/>
    </xf>
    <xf numFmtId="0" fontId="35" fillId="0" borderId="0" xfId="0" applyFont="1" applyBorder="1" applyAlignment="1">
      <alignment horizontal="right" vertical="center"/>
    </xf>
    <xf numFmtId="2" fontId="35" fillId="0" borderId="0" xfId="0" applyNumberFormat="1" applyFont="1" applyBorder="1" applyAlignment="1">
      <alignment horizontal="right" vertical="center"/>
    </xf>
    <xf numFmtId="0" fontId="16" fillId="0" borderId="0" xfId="0" applyFont="1" applyFill="1" applyBorder="1" applyAlignment="1">
      <alignment vertical="center"/>
    </xf>
    <xf numFmtId="0" fontId="15" fillId="0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5" fillId="2" borderId="1" xfId="0" applyFont="1" applyFill="1" applyBorder="1" applyAlignment="1">
      <alignment horizontal="center" vertical="center"/>
    </xf>
    <xf numFmtId="0" fontId="0" fillId="0" borderId="0" xfId="0"/>
    <xf numFmtId="0" fontId="0" fillId="2" borderId="1" xfId="0" applyFill="1" applyBorder="1" applyAlignment="1">
      <alignment horizontal="right"/>
    </xf>
    <xf numFmtId="0" fontId="21" fillId="10" borderId="1" xfId="0" applyFont="1" applyFill="1" applyBorder="1" applyAlignment="1">
      <alignment horizontal="center" vertical="center"/>
    </xf>
    <xf numFmtId="2" fontId="33" fillId="0" borderId="0" xfId="0" applyNumberFormat="1" applyFont="1" applyBorder="1" applyAlignment="1">
      <alignment horizontal="right" vertical="center"/>
    </xf>
    <xf numFmtId="1" fontId="35" fillId="0" borderId="0" xfId="0" applyNumberFormat="1" applyFont="1" applyBorder="1" applyAlignment="1">
      <alignment horizontal="right" vertical="center"/>
    </xf>
    <xf numFmtId="0" fontId="35" fillId="11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26" fillId="0" borderId="1" xfId="0" applyFont="1" applyBorder="1" applyAlignment="1"/>
    <xf numFmtId="0" fontId="0" fillId="0" borderId="0" xfId="0"/>
    <xf numFmtId="0" fontId="16" fillId="0" borderId="1" xfId="0" applyFont="1" applyBorder="1" applyAlignment="1">
      <alignment horizontal="right" vertical="center"/>
    </xf>
    <xf numFmtId="0" fontId="17" fillId="0" borderId="1" xfId="0" applyFont="1" applyFill="1" applyBorder="1" applyAlignment="1">
      <alignment horizontal="right" vertical="center"/>
    </xf>
    <xf numFmtId="0" fontId="0" fillId="0" borderId="0" xfId="0"/>
    <xf numFmtId="0" fontId="27" fillId="2" borderId="1" xfId="0" applyFont="1" applyFill="1" applyBorder="1" applyAlignment="1">
      <alignment vertical="center"/>
    </xf>
    <xf numFmtId="2" fontId="33" fillId="0" borderId="1" xfId="0" applyNumberFormat="1" applyFont="1" applyFill="1" applyBorder="1" applyAlignment="1">
      <alignment horizontal="right" vertical="center"/>
    </xf>
    <xf numFmtId="0" fontId="0" fillId="0" borderId="0" xfId="0"/>
    <xf numFmtId="0" fontId="0" fillId="0" borderId="0" xfId="0"/>
    <xf numFmtId="2" fontId="0" fillId="2" borderId="0" xfId="0" applyNumberFormat="1" applyFont="1" applyFill="1"/>
    <xf numFmtId="2" fontId="33" fillId="0" borderId="1" xfId="0" applyNumberFormat="1" applyFont="1" applyBorder="1" applyAlignment="1">
      <alignment vertical="center"/>
    </xf>
    <xf numFmtId="3" fontId="17" fillId="6" borderId="1" xfId="0" applyNumberFormat="1" applyFont="1" applyFill="1" applyBorder="1" applyAlignment="1">
      <alignment vertical="center"/>
    </xf>
    <xf numFmtId="0" fontId="17" fillId="6" borderId="1" xfId="0" applyFont="1" applyFill="1" applyBorder="1" applyAlignment="1">
      <alignment vertical="center"/>
    </xf>
    <xf numFmtId="0" fontId="0" fillId="0" borderId="0" xfId="0"/>
    <xf numFmtId="0" fontId="0" fillId="0" borderId="0" xfId="0" applyAlignment="1">
      <alignment horizontal="left" indent="1"/>
    </xf>
    <xf numFmtId="2" fontId="33" fillId="0" borderId="1" xfId="0" applyNumberFormat="1" applyFont="1" applyFill="1" applyBorder="1" applyAlignment="1">
      <alignment horizontal="center" vertical="center"/>
    </xf>
    <xf numFmtId="2" fontId="33" fillId="0" borderId="1" xfId="0" applyNumberFormat="1" applyFont="1" applyFill="1" applyBorder="1" applyAlignment="1">
      <alignment vertical="center"/>
    </xf>
    <xf numFmtId="0" fontId="33" fillId="0" borderId="1" xfId="0" applyFont="1" applyFill="1" applyBorder="1" applyAlignment="1">
      <alignment horizontal="right" vertical="center"/>
    </xf>
    <xf numFmtId="1" fontId="2" fillId="0" borderId="1" xfId="0" applyNumberFormat="1" applyFont="1" applyBorder="1" applyAlignment="1">
      <alignment horizontal="center" vertical="center"/>
    </xf>
    <xf numFmtId="2" fontId="0" fillId="2" borderId="1" xfId="0" applyNumberFormat="1" applyFill="1" applyBorder="1"/>
    <xf numFmtId="0" fontId="0" fillId="0" borderId="1" xfId="0" applyNumberFormat="1" applyFill="1" applyBorder="1"/>
    <xf numFmtId="2" fontId="3" fillId="0" borderId="1" xfId="0" applyNumberFormat="1" applyFont="1" applyBorder="1"/>
    <xf numFmtId="0" fontId="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2" fontId="1" fillId="0" borderId="0" xfId="0" applyNumberFormat="1" applyFont="1"/>
    <xf numFmtId="0" fontId="3" fillId="0" borderId="1" xfId="0" applyFont="1" applyBorder="1" applyAlignment="1">
      <alignment vertical="center"/>
    </xf>
    <xf numFmtId="2" fontId="1" fillId="0" borderId="0" xfId="0" applyNumberFormat="1" applyFont="1" applyFill="1"/>
    <xf numFmtId="0" fontId="0" fillId="0" borderId="0" xfId="0"/>
    <xf numFmtId="0" fontId="1" fillId="0" borderId="0" xfId="0" applyFont="1" applyFill="1" applyBorder="1" applyAlignment="1">
      <alignment horizontal="left"/>
    </xf>
    <xf numFmtId="0" fontId="35" fillId="0" borderId="1" xfId="0" applyFont="1" applyFill="1" applyBorder="1" applyAlignment="1">
      <alignment horizontal="center" vertical="center"/>
    </xf>
    <xf numFmtId="2" fontId="35" fillId="0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2" fontId="0" fillId="0" borderId="1" xfId="0" applyNumberFormat="1" applyFont="1" applyBorder="1"/>
    <xf numFmtId="2" fontId="24" fillId="0" borderId="1" xfId="0" applyNumberFormat="1" applyFont="1" applyBorder="1" applyAlignment="1">
      <alignment horizontal="right" vertical="center"/>
    </xf>
    <xf numFmtId="0" fontId="25" fillId="0" borderId="0" xfId="0" applyFont="1" applyBorder="1" applyAlignment="1">
      <alignment horizontal="right" vertical="center"/>
    </xf>
    <xf numFmtId="4" fontId="1" fillId="0" borderId="0" xfId="0" applyNumberFormat="1" applyFont="1" applyAlignment="1"/>
    <xf numFmtId="2" fontId="1" fillId="0" borderId="0" xfId="0" applyNumberFormat="1" applyFont="1" applyAlignment="1"/>
    <xf numFmtId="22" fontId="2" fillId="0" borderId="1" xfId="0" applyNumberFormat="1" applyFont="1" applyBorder="1"/>
    <xf numFmtId="2" fontId="3" fillId="2" borderId="1" xfId="0" applyNumberFormat="1" applyFont="1" applyFill="1" applyBorder="1"/>
    <xf numFmtId="0" fontId="35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right" vertical="center"/>
    </xf>
    <xf numFmtId="0" fontId="0" fillId="0" borderId="0" xfId="0"/>
    <xf numFmtId="0" fontId="1" fillId="0" borderId="1" xfId="0" applyFont="1" applyBorder="1" applyAlignment="1">
      <alignment horizontal="center"/>
    </xf>
    <xf numFmtId="2" fontId="0" fillId="0" borderId="1" xfId="0" applyNumberFormat="1" applyBorder="1" applyAlignment="1">
      <alignment vertical="center"/>
    </xf>
    <xf numFmtId="2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2" borderId="1" xfId="0" applyFill="1" applyBorder="1"/>
    <xf numFmtId="0" fontId="3" fillId="0" borderId="1" xfId="0" applyFont="1" applyBorder="1" applyAlignment="1">
      <alignment horizontal="center" vertical="center"/>
    </xf>
    <xf numFmtId="1" fontId="17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0" fontId="32" fillId="2" borderId="1" xfId="0" applyFont="1" applyFill="1" applyBorder="1" applyAlignment="1">
      <alignment horizontal="right" vertical="center"/>
    </xf>
    <xf numFmtId="0" fontId="4" fillId="2" borderId="0" xfId="0" applyFont="1" applyFill="1" applyAlignment="1"/>
    <xf numFmtId="4" fontId="2" fillId="0" borderId="1" xfId="0" applyNumberFormat="1" applyFont="1" applyBorder="1" applyAlignment="1">
      <alignment horizontal="right" vertical="center"/>
    </xf>
    <xf numFmtId="0" fontId="2" fillId="0" borderId="6" xfId="0" applyFont="1" applyFill="1" applyBorder="1" applyAlignment="1">
      <alignment horizontal="right" vertical="center"/>
    </xf>
    <xf numFmtId="4" fontId="2" fillId="2" borderId="1" xfId="0" applyNumberFormat="1" applyFont="1" applyFill="1" applyBorder="1" applyAlignment="1">
      <alignment horizontal="right" vertical="center"/>
    </xf>
    <xf numFmtId="0" fontId="2" fillId="2" borderId="6" xfId="0" applyFont="1" applyFill="1" applyBorder="1" applyAlignment="1">
      <alignment horizontal="right" vertical="center"/>
    </xf>
    <xf numFmtId="4" fontId="2" fillId="0" borderId="1" xfId="0" applyNumberFormat="1" applyFont="1" applyBorder="1" applyAlignment="1">
      <alignment horizontal="right"/>
    </xf>
    <xf numFmtId="0" fontId="2" fillId="0" borderId="6" xfId="0" applyFont="1" applyFill="1" applyBorder="1" applyAlignment="1">
      <alignment horizontal="right"/>
    </xf>
    <xf numFmtId="4" fontId="2" fillId="2" borderId="1" xfId="0" applyNumberFormat="1" applyFont="1" applyFill="1" applyBorder="1" applyAlignment="1">
      <alignment horizontal="right"/>
    </xf>
    <xf numFmtId="0" fontId="2" fillId="2" borderId="6" xfId="0" applyFont="1" applyFill="1" applyBorder="1" applyAlignment="1">
      <alignment horizontal="right"/>
    </xf>
    <xf numFmtId="0" fontId="6" fillId="0" borderId="0" xfId="0" applyFont="1" applyFill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4" fontId="2" fillId="0" borderId="0" xfId="0" applyNumberFormat="1" applyFont="1" applyFill="1" applyAlignment="1">
      <alignment vertical="center"/>
    </xf>
    <xf numFmtId="1" fontId="17" fillId="2" borderId="6" xfId="0" applyNumberFormat="1" applyFont="1" applyFill="1" applyBorder="1" applyAlignment="1">
      <alignment horizontal="right" vertical="center"/>
    </xf>
    <xf numFmtId="0" fontId="0" fillId="0" borderId="0" xfId="0"/>
    <xf numFmtId="0" fontId="2" fillId="0" borderId="0" xfId="0" applyFont="1"/>
    <xf numFmtId="14" fontId="2" fillId="0" borderId="0" xfId="0" applyNumberFormat="1" applyFont="1" applyAlignment="1">
      <alignment horizontal="center" vertical="center"/>
    </xf>
    <xf numFmtId="1" fontId="17" fillId="6" borderId="1" xfId="0" applyNumberFormat="1" applyFont="1" applyFill="1" applyBorder="1" applyAlignment="1">
      <alignment vertical="center"/>
    </xf>
    <xf numFmtId="4" fontId="2" fillId="0" borderId="0" xfId="0" applyNumberFormat="1" applyFont="1"/>
    <xf numFmtId="0" fontId="1" fillId="0" borderId="0" xfId="0" applyFont="1" applyAlignment="1">
      <alignment vertical="center"/>
    </xf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5" fillId="0" borderId="1" xfId="0" applyFont="1" applyBorder="1"/>
    <xf numFmtId="0" fontId="0" fillId="0" borderId="0" xfId="0"/>
    <xf numFmtId="0" fontId="35" fillId="0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2" fontId="5" fillId="2" borderId="1" xfId="0" applyNumberFormat="1" applyFont="1" applyFill="1" applyBorder="1"/>
    <xf numFmtId="0" fontId="37" fillId="7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0" fillId="0" borderId="0" xfId="0" applyNumberFormat="1"/>
    <xf numFmtId="2" fontId="39" fillId="2" borderId="1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left"/>
    </xf>
    <xf numFmtId="2" fontId="44" fillId="0" borderId="1" xfId="0" applyNumberFormat="1" applyFont="1" applyFill="1" applyBorder="1" applyAlignment="1">
      <alignment horizontal="center" vertical="center"/>
    </xf>
    <xf numFmtId="22" fontId="2" fillId="0" borderId="1" xfId="0" applyNumberFormat="1" applyFont="1" applyBorder="1" applyAlignment="1">
      <alignment vertical="center"/>
    </xf>
    <xf numFmtId="1" fontId="33" fillId="0" borderId="0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" fontId="2" fillId="0" borderId="1" xfId="0" applyNumberFormat="1" applyFont="1" applyFill="1" applyBorder="1" applyAlignment="1">
      <alignment horizontal="center" vertical="center"/>
    </xf>
    <xf numFmtId="0" fontId="32" fillId="0" borderId="1" xfId="0" applyFont="1" applyFill="1" applyBorder="1" applyAlignment="1">
      <alignment horizontal="center" vertical="center"/>
    </xf>
    <xf numFmtId="1" fontId="0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2" fontId="2" fillId="0" borderId="1" xfId="0" applyNumberFormat="1" applyFont="1" applyFill="1" applyBorder="1" applyAlignment="1">
      <alignment horizontal="center"/>
    </xf>
    <xf numFmtId="4" fontId="2" fillId="0" borderId="1" xfId="0" applyNumberFormat="1" applyFont="1" applyFill="1" applyBorder="1" applyAlignment="1">
      <alignment horizontal="center"/>
    </xf>
    <xf numFmtId="2" fontId="3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/>
    </xf>
    <xf numFmtId="14" fontId="2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14" fontId="6" fillId="0" borderId="1" xfId="0" applyNumberFormat="1" applyFont="1" applyBorder="1"/>
    <xf numFmtId="2" fontId="7" fillId="2" borderId="1" xfId="0" applyNumberFormat="1" applyFont="1" applyFill="1" applyBorder="1"/>
    <xf numFmtId="2" fontId="3" fillId="2" borderId="1" xfId="0" applyNumberFormat="1" applyFont="1" applyFill="1" applyBorder="1" applyAlignment="1">
      <alignment vertical="center"/>
    </xf>
    <xf numFmtId="2" fontId="3" fillId="0" borderId="0" xfId="0" applyNumberFormat="1" applyFont="1" applyAlignment="1"/>
    <xf numFmtId="0" fontId="6" fillId="0" borderId="1" xfId="0" applyFont="1" applyBorder="1" applyAlignment="1">
      <alignment horizontal="right"/>
    </xf>
    <xf numFmtId="0" fontId="5" fillId="2" borderId="1" xfId="0" applyFont="1" applyFill="1" applyBorder="1"/>
    <xf numFmtId="11" fontId="2" fillId="0" borderId="1" xfId="0" applyNumberFormat="1" applyFont="1" applyBorder="1" applyAlignment="1">
      <alignment horizontal="center" vertical="center"/>
    </xf>
    <xf numFmtId="14" fontId="2" fillId="0" borderId="0" xfId="0" applyNumberFormat="1" applyFont="1"/>
    <xf numFmtId="0" fontId="1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0" fillId="0" borderId="1" xfId="0" applyFill="1" applyBorder="1"/>
    <xf numFmtId="0" fontId="36" fillId="0" borderId="1" xfId="0" applyFont="1" applyBorder="1" applyAlignment="1"/>
    <xf numFmtId="0" fontId="2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left"/>
    </xf>
    <xf numFmtId="2" fontId="0" fillId="0" borderId="21" xfId="0" applyNumberFormat="1" applyBorder="1"/>
    <xf numFmtId="2" fontId="0" fillId="0" borderId="9" xfId="0" applyNumberFormat="1" applyBorder="1"/>
    <xf numFmtId="2" fontId="0" fillId="0" borderId="22" xfId="0" applyNumberFormat="1" applyBorder="1"/>
    <xf numFmtId="0" fontId="0" fillId="0" borderId="10" xfId="0" pivotButton="1" applyBorder="1"/>
    <xf numFmtId="0" fontId="0" fillId="0" borderId="10" xfId="0" applyBorder="1"/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/>
    <xf numFmtId="14" fontId="2" fillId="0" borderId="0" xfId="0" applyNumberFormat="1" applyFont="1" applyAlignment="1"/>
    <xf numFmtId="4" fontId="2" fillId="0" borderId="0" xfId="0" applyNumberFormat="1" applyFont="1" applyAlignment="1"/>
    <xf numFmtId="4" fontId="3" fillId="0" borderId="0" xfId="0" applyNumberFormat="1" applyFont="1" applyAlignment="1"/>
    <xf numFmtId="0" fontId="32" fillId="0" borderId="0" xfId="0" applyFont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4" fontId="2" fillId="0" borderId="0" xfId="0" applyNumberFormat="1" applyFont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35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1" fontId="0" fillId="0" borderId="1" xfId="0" applyNumberFormat="1" applyBorder="1"/>
    <xf numFmtId="1" fontId="1" fillId="28" borderId="1" xfId="0" applyNumberFormat="1" applyFont="1" applyFill="1" applyBorder="1"/>
    <xf numFmtId="2" fontId="33" fillId="28" borderId="1" xfId="0" applyNumberFormat="1" applyFont="1" applyFill="1" applyBorder="1" applyAlignment="1">
      <alignment horizontal="center" vertical="center"/>
    </xf>
    <xf numFmtId="2" fontId="35" fillId="28" borderId="1" xfId="0" applyNumberFormat="1" applyFont="1" applyFill="1" applyBorder="1" applyAlignment="1">
      <alignment horizontal="center" vertical="center"/>
    </xf>
    <xf numFmtId="0" fontId="0" fillId="28" borderId="1" xfId="0" applyFill="1" applyBorder="1"/>
    <xf numFmtId="2" fontId="0" fillId="28" borderId="1" xfId="0" applyNumberFormat="1" applyFill="1" applyBorder="1"/>
    <xf numFmtId="0" fontId="1" fillId="28" borderId="1" xfId="0" applyFont="1" applyFill="1" applyBorder="1"/>
    <xf numFmtId="2" fontId="1" fillId="28" borderId="1" xfId="0" applyNumberFormat="1" applyFont="1" applyFill="1" applyBorder="1"/>
    <xf numFmtId="2" fontId="1" fillId="28" borderId="1" xfId="0" applyNumberFormat="1" applyFont="1" applyFill="1" applyBorder="1" applyAlignment="1">
      <alignment horizontal="center" vertical="center"/>
    </xf>
    <xf numFmtId="0" fontId="1" fillId="28" borderId="0" xfId="0" applyFont="1" applyFill="1" applyAlignment="1">
      <alignment horizontal="center"/>
    </xf>
    <xf numFmtId="0" fontId="2" fillId="0" borderId="4" xfId="0" applyFont="1" applyBorder="1"/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left" indent="2"/>
    </xf>
    <xf numFmtId="0" fontId="2" fillId="0" borderId="3" xfId="0" applyFont="1" applyBorder="1"/>
    <xf numFmtId="0" fontId="2" fillId="0" borderId="1" xfId="0" applyFont="1" applyBorder="1" applyAlignment="1">
      <alignment horizontal="center" vertical="center"/>
    </xf>
    <xf numFmtId="0" fontId="36" fillId="0" borderId="0" xfId="0" applyFont="1" applyAlignment="1"/>
    <xf numFmtId="165" fontId="36" fillId="0" borderId="0" xfId="0" applyNumberFormat="1" applyFont="1"/>
    <xf numFmtId="2" fontId="36" fillId="0" borderId="0" xfId="0" applyNumberFormat="1" applyFont="1"/>
    <xf numFmtId="0" fontId="3" fillId="0" borderId="5" xfId="0" applyFont="1" applyBorder="1" applyAlignment="1">
      <alignment horizontal="left" indent="2"/>
    </xf>
    <xf numFmtId="165" fontId="3" fillId="0" borderId="5" xfId="0" applyNumberFormat="1" applyFont="1" applyBorder="1"/>
    <xf numFmtId="2" fontId="3" fillId="0" borderId="5" xfId="0" applyNumberFormat="1" applyFont="1" applyBorder="1"/>
    <xf numFmtId="0" fontId="19" fillId="7" borderId="8" xfId="0" applyFont="1" applyFill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8" fillId="7" borderId="1" xfId="0" applyFont="1" applyFill="1" applyBorder="1" applyAlignment="1">
      <alignment vertical="center"/>
    </xf>
    <xf numFmtId="2" fontId="7" fillId="0" borderId="9" xfId="0" applyNumberFormat="1" applyFont="1" applyBorder="1" applyAlignment="1">
      <alignment vertical="center"/>
    </xf>
    <xf numFmtId="2" fontId="7" fillId="0" borderId="5" xfId="0" applyNumberFormat="1" applyFont="1" applyBorder="1" applyAlignment="1">
      <alignment vertical="center"/>
    </xf>
    <xf numFmtId="2" fontId="7" fillId="0" borderId="8" xfId="0" applyNumberFormat="1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4" fillId="8" borderId="9" xfId="0" applyFont="1" applyFill="1" applyBorder="1" applyAlignment="1">
      <alignment horizontal="center" vertical="center"/>
    </xf>
    <xf numFmtId="0" fontId="14" fillId="8" borderId="5" xfId="0" applyFont="1" applyFill="1" applyBorder="1" applyAlignment="1">
      <alignment horizontal="center" vertical="center"/>
    </xf>
    <xf numFmtId="0" fontId="14" fillId="8" borderId="8" xfId="0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2" fillId="12" borderId="9" xfId="0" applyFont="1" applyFill="1" applyBorder="1" applyAlignment="1">
      <alignment horizontal="center" vertical="center"/>
    </xf>
    <xf numFmtId="0" fontId="22" fillId="12" borderId="5" xfId="0" applyFont="1" applyFill="1" applyBorder="1" applyAlignment="1">
      <alignment horizontal="center" vertical="center"/>
    </xf>
    <xf numFmtId="0" fontId="22" fillId="12" borderId="8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/>
    </xf>
    <xf numFmtId="0" fontId="27" fillId="0" borderId="2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/>
    </xf>
    <xf numFmtId="0" fontId="2" fillId="0" borderId="0" xfId="0" applyFont="1" applyBorder="1" applyAlignment="1">
      <alignment horizontal="left"/>
    </xf>
  </cellXfs>
  <cellStyles count="280">
    <cellStyle name="20% - Accent1 2" xfId="6"/>
    <cellStyle name="20% - Accent1 3" xfId="7"/>
    <cellStyle name="20% - Accent1 4" xfId="8"/>
    <cellStyle name="20% - Accent1 5" xfId="9"/>
    <cellStyle name="20% - Accent1 6" xfId="10"/>
    <cellStyle name="20% - Accent1 7" xfId="11"/>
    <cellStyle name="20% - Accent2 2" xfId="12"/>
    <cellStyle name="20% - Accent2 3" xfId="13"/>
    <cellStyle name="20% - Accent2 4" xfId="14"/>
    <cellStyle name="20% - Accent2 5" xfId="15"/>
    <cellStyle name="20% - Accent2 6" xfId="16"/>
    <cellStyle name="20% - Accent2 7" xfId="17"/>
    <cellStyle name="20% - Accent3 2" xfId="18"/>
    <cellStyle name="20% - Accent3 3" xfId="19"/>
    <cellStyle name="20% - Accent3 4" xfId="20"/>
    <cellStyle name="20% - Accent3 5" xfId="21"/>
    <cellStyle name="20% - Accent3 6" xfId="22"/>
    <cellStyle name="20% - Accent3 7" xfId="23"/>
    <cellStyle name="20% - Accent4 2" xfId="24"/>
    <cellStyle name="20% - Accent4 3" xfId="25"/>
    <cellStyle name="20% - Accent4 4" xfId="26"/>
    <cellStyle name="20% - Accent4 5" xfId="27"/>
    <cellStyle name="20% - Accent4 6" xfId="28"/>
    <cellStyle name="20% - Accent4 7" xfId="29"/>
    <cellStyle name="20% - Accent5 2" xfId="30"/>
    <cellStyle name="20% - Accent5 3" xfId="31"/>
    <cellStyle name="20% - Accent5 4" xfId="32"/>
    <cellStyle name="20% - Accent5 5" xfId="33"/>
    <cellStyle name="20% - Accent5 6" xfId="34"/>
    <cellStyle name="20% - Accent5 7" xfId="35"/>
    <cellStyle name="20% - Accent6 2" xfId="36"/>
    <cellStyle name="20% - Accent6 3" xfId="37"/>
    <cellStyle name="20% - Accent6 4" xfId="38"/>
    <cellStyle name="20% - Accent6 5" xfId="39"/>
    <cellStyle name="20% - Accent6 6" xfId="40"/>
    <cellStyle name="20% - Accent6 7" xfId="41"/>
    <cellStyle name="40% - Accent1 2" xfId="42"/>
    <cellStyle name="40% - Accent1 3" xfId="43"/>
    <cellStyle name="40% - Accent1 4" xfId="44"/>
    <cellStyle name="40% - Accent1 5" xfId="45"/>
    <cellStyle name="40% - Accent1 6" xfId="46"/>
    <cellStyle name="40% - Accent1 7" xfId="47"/>
    <cellStyle name="40% - Accent2 2" xfId="48"/>
    <cellStyle name="40% - Accent2 3" xfId="49"/>
    <cellStyle name="40% - Accent2 4" xfId="50"/>
    <cellStyle name="40% - Accent2 5" xfId="51"/>
    <cellStyle name="40% - Accent2 6" xfId="52"/>
    <cellStyle name="40% - Accent2 7" xfId="53"/>
    <cellStyle name="40% - Accent3 2" xfId="54"/>
    <cellStyle name="40% - Accent3 3" xfId="55"/>
    <cellStyle name="40% - Accent3 4" xfId="56"/>
    <cellStyle name="40% - Accent3 5" xfId="57"/>
    <cellStyle name="40% - Accent3 6" xfId="58"/>
    <cellStyle name="40% - Accent3 7" xfId="59"/>
    <cellStyle name="40% - Accent4 2" xfId="60"/>
    <cellStyle name="40% - Accent4 3" xfId="61"/>
    <cellStyle name="40% - Accent4 4" xfId="62"/>
    <cellStyle name="40% - Accent4 5" xfId="63"/>
    <cellStyle name="40% - Accent4 6" xfId="64"/>
    <cellStyle name="40% - Accent4 7" xfId="65"/>
    <cellStyle name="40% - Accent5 2" xfId="66"/>
    <cellStyle name="40% - Accent5 3" xfId="67"/>
    <cellStyle name="40% - Accent5 4" xfId="68"/>
    <cellStyle name="40% - Accent5 5" xfId="69"/>
    <cellStyle name="40% - Accent5 6" xfId="70"/>
    <cellStyle name="40% - Accent5 7" xfId="71"/>
    <cellStyle name="40% - Accent6 2" xfId="72"/>
    <cellStyle name="40% - Accent6 3" xfId="73"/>
    <cellStyle name="40% - Accent6 4" xfId="74"/>
    <cellStyle name="40% - Accent6 5" xfId="75"/>
    <cellStyle name="40% - Accent6 6" xfId="76"/>
    <cellStyle name="40% - Accent6 7" xfId="77"/>
    <cellStyle name="60% - Accent1 2" xfId="78"/>
    <cellStyle name="60% - Accent1 3" xfId="79"/>
    <cellStyle name="60% - Accent1 4" xfId="80"/>
    <cellStyle name="60% - Accent1 5" xfId="81"/>
    <cellStyle name="60% - Accent1 6" xfId="82"/>
    <cellStyle name="60% - Accent1 7" xfId="83"/>
    <cellStyle name="60% - Accent2 2" xfId="84"/>
    <cellStyle name="60% - Accent2 3" xfId="85"/>
    <cellStyle name="60% - Accent2 4" xfId="86"/>
    <cellStyle name="60% - Accent2 5" xfId="87"/>
    <cellStyle name="60% - Accent2 6" xfId="88"/>
    <cellStyle name="60% - Accent2 7" xfId="89"/>
    <cellStyle name="60% - Accent3 2" xfId="90"/>
    <cellStyle name="60% - Accent3 3" xfId="91"/>
    <cellStyle name="60% - Accent3 4" xfId="92"/>
    <cellStyle name="60% - Accent3 5" xfId="93"/>
    <cellStyle name="60% - Accent3 6" xfId="94"/>
    <cellStyle name="60% - Accent3 7" xfId="95"/>
    <cellStyle name="60% - Accent4 2" xfId="96"/>
    <cellStyle name="60% - Accent4 3" xfId="97"/>
    <cellStyle name="60% - Accent4 4" xfId="98"/>
    <cellStyle name="60% - Accent4 5" xfId="99"/>
    <cellStyle name="60% - Accent4 6" xfId="100"/>
    <cellStyle name="60% - Accent4 7" xfId="101"/>
    <cellStyle name="60% - Accent5 2" xfId="102"/>
    <cellStyle name="60% - Accent5 3" xfId="103"/>
    <cellStyle name="60% - Accent5 4" xfId="104"/>
    <cellStyle name="60% - Accent5 5" xfId="105"/>
    <cellStyle name="60% - Accent5 6" xfId="106"/>
    <cellStyle name="60% - Accent5 7" xfId="107"/>
    <cellStyle name="60% - Accent6 2" xfId="108"/>
    <cellStyle name="60% - Accent6 3" xfId="109"/>
    <cellStyle name="60% - Accent6 4" xfId="110"/>
    <cellStyle name="60% - Accent6 5" xfId="111"/>
    <cellStyle name="60% - Accent6 6" xfId="112"/>
    <cellStyle name="60% - Accent6 7" xfId="113"/>
    <cellStyle name="Accent1 2" xfId="114"/>
    <cellStyle name="Accent1 3" xfId="115"/>
    <cellStyle name="Accent1 4" xfId="116"/>
    <cellStyle name="Accent1 5" xfId="117"/>
    <cellStyle name="Accent1 6" xfId="118"/>
    <cellStyle name="Accent1 7" xfId="119"/>
    <cellStyle name="Accent2 2" xfId="120"/>
    <cellStyle name="Accent2 3" xfId="121"/>
    <cellStyle name="Accent2 4" xfId="122"/>
    <cellStyle name="Accent2 5" xfId="123"/>
    <cellStyle name="Accent2 6" xfId="124"/>
    <cellStyle name="Accent2 7" xfId="125"/>
    <cellStyle name="Accent3 2" xfId="126"/>
    <cellStyle name="Accent3 3" xfId="127"/>
    <cellStyle name="Accent3 4" xfId="128"/>
    <cellStyle name="Accent3 5" xfId="129"/>
    <cellStyle name="Accent3 6" xfId="130"/>
    <cellStyle name="Accent3 7" xfId="131"/>
    <cellStyle name="Accent4 2" xfId="132"/>
    <cellStyle name="Accent4 3" xfId="133"/>
    <cellStyle name="Accent4 4" xfId="134"/>
    <cellStyle name="Accent4 5" xfId="135"/>
    <cellStyle name="Accent4 6" xfId="136"/>
    <cellStyle name="Accent4 7" xfId="137"/>
    <cellStyle name="Accent5 2" xfId="138"/>
    <cellStyle name="Accent5 3" xfId="139"/>
    <cellStyle name="Accent5 4" xfId="140"/>
    <cellStyle name="Accent5 5" xfId="141"/>
    <cellStyle name="Accent5 6" xfId="142"/>
    <cellStyle name="Accent5 7" xfId="143"/>
    <cellStyle name="Accent6 2" xfId="144"/>
    <cellStyle name="Accent6 3" xfId="145"/>
    <cellStyle name="Accent6 4" xfId="146"/>
    <cellStyle name="Accent6 5" xfId="147"/>
    <cellStyle name="Accent6 6" xfId="148"/>
    <cellStyle name="Accent6 7" xfId="149"/>
    <cellStyle name="Bad 2" xfId="150"/>
    <cellStyle name="Bad 3" xfId="151"/>
    <cellStyle name="Bad 4" xfId="152"/>
    <cellStyle name="Bad 5" xfId="153"/>
    <cellStyle name="Bad 6" xfId="154"/>
    <cellStyle name="Bad 7" xfId="155"/>
    <cellStyle name="Calculation 2" xfId="156"/>
    <cellStyle name="Calculation 3" xfId="157"/>
    <cellStyle name="Calculation 4" xfId="158"/>
    <cellStyle name="Calculation 5" xfId="159"/>
    <cellStyle name="Calculation 6" xfId="160"/>
    <cellStyle name="Calculation 7" xfId="161"/>
    <cellStyle name="Check Cell 2" xfId="162"/>
    <cellStyle name="Check Cell 3" xfId="163"/>
    <cellStyle name="Check Cell 4" xfId="164"/>
    <cellStyle name="Check Cell 5" xfId="165"/>
    <cellStyle name="Check Cell 6" xfId="166"/>
    <cellStyle name="Check Cell 7" xfId="167"/>
    <cellStyle name="Comma 2" xfId="2"/>
    <cellStyle name="Comma 2 2" xfId="168"/>
    <cellStyle name="Comma 3" xfId="3"/>
    <cellStyle name="Comma 3 2" xfId="170"/>
    <cellStyle name="Comma 3 2 2" xfId="171"/>
    <cellStyle name="Comma 3 3" xfId="169"/>
    <cellStyle name="Currency 2" xfId="4"/>
    <cellStyle name="Excel Built-in Normal" xfId="1"/>
    <cellStyle name="Excel Built-in Normal 10" xfId="172"/>
    <cellStyle name="Excel Built-in Normal 2" xfId="173"/>
    <cellStyle name="Excel Built-in Normal 2 2" xfId="174"/>
    <cellStyle name="Excel Built-in Normal 2 3" xfId="175"/>
    <cellStyle name="Excel Built-in Normal 2 4" xfId="176"/>
    <cellStyle name="Excel Built-in Normal 2 5" xfId="177"/>
    <cellStyle name="Excel Built-in Normal 2 6" xfId="178"/>
    <cellStyle name="Excel Built-in Normal 2 7" xfId="179"/>
    <cellStyle name="Excel Built-in Normal 2 8" xfId="180"/>
    <cellStyle name="Excel Built-in Normal 2 8 2" xfId="181"/>
    <cellStyle name="Excel Built-in Normal 3" xfId="182"/>
    <cellStyle name="Excel Built-in Normal 4" xfId="183"/>
    <cellStyle name="Excel Built-in Normal 5" xfId="184"/>
    <cellStyle name="Excel Built-in Normal 6" xfId="185"/>
    <cellStyle name="Excel Built-in Normal 7" xfId="186"/>
    <cellStyle name="Excel Built-in Normal 8" xfId="187"/>
    <cellStyle name="Excel Built-in Normal 9" xfId="188"/>
    <cellStyle name="Explanatory Text 2" xfId="189"/>
    <cellStyle name="Explanatory Text 3" xfId="190"/>
    <cellStyle name="Explanatory Text 4" xfId="191"/>
    <cellStyle name="Explanatory Text 5" xfId="192"/>
    <cellStyle name="Explanatory Text 6" xfId="193"/>
    <cellStyle name="Explanatory Text 7" xfId="194"/>
    <cellStyle name="Good 2" xfId="195"/>
    <cellStyle name="Good 3" xfId="196"/>
    <cellStyle name="Good 4" xfId="197"/>
    <cellStyle name="Good 5" xfId="198"/>
    <cellStyle name="Good 6" xfId="199"/>
    <cellStyle name="Good 7" xfId="200"/>
    <cellStyle name="Heading 1 2" xfId="201"/>
    <cellStyle name="Heading 1 3" xfId="202"/>
    <cellStyle name="Heading 1 4" xfId="203"/>
    <cellStyle name="Heading 1 5" xfId="204"/>
    <cellStyle name="Heading 1 6" xfId="205"/>
    <cellStyle name="Heading 1 7" xfId="206"/>
    <cellStyle name="Heading 2 2" xfId="207"/>
    <cellStyle name="Heading 2 3" xfId="208"/>
    <cellStyle name="Heading 2 4" xfId="209"/>
    <cellStyle name="Heading 2 5" xfId="210"/>
    <cellStyle name="Heading 2 6" xfId="211"/>
    <cellStyle name="Heading 2 7" xfId="212"/>
    <cellStyle name="Heading 3 2" xfId="213"/>
    <cellStyle name="Heading 3 3" xfId="214"/>
    <cellStyle name="Heading 3 4" xfId="215"/>
    <cellStyle name="Heading 3 5" xfId="216"/>
    <cellStyle name="Heading 3 6" xfId="217"/>
    <cellStyle name="Heading 3 7" xfId="218"/>
    <cellStyle name="Heading 4 2" xfId="219"/>
    <cellStyle name="Heading 4 3" xfId="220"/>
    <cellStyle name="Heading 4 4" xfId="221"/>
    <cellStyle name="Heading 4 5" xfId="222"/>
    <cellStyle name="Heading 4 6" xfId="223"/>
    <cellStyle name="Heading 4 7" xfId="224"/>
    <cellStyle name="Input 2" xfId="225"/>
    <cellStyle name="Input 3" xfId="226"/>
    <cellStyle name="Input 4" xfId="227"/>
    <cellStyle name="Input 5" xfId="228"/>
    <cellStyle name="Input 6" xfId="229"/>
    <cellStyle name="Input 7" xfId="230"/>
    <cellStyle name="Linked Cell 2" xfId="231"/>
    <cellStyle name="Linked Cell 3" xfId="232"/>
    <cellStyle name="Linked Cell 4" xfId="233"/>
    <cellStyle name="Linked Cell 5" xfId="234"/>
    <cellStyle name="Linked Cell 6" xfId="235"/>
    <cellStyle name="Linked Cell 7" xfId="236"/>
    <cellStyle name="Neutral 2" xfId="237"/>
    <cellStyle name="Neutral 3" xfId="238"/>
    <cellStyle name="Neutral 4" xfId="239"/>
    <cellStyle name="Neutral 5" xfId="240"/>
    <cellStyle name="Neutral 6" xfId="241"/>
    <cellStyle name="Neutral 7" xfId="242"/>
    <cellStyle name="Normal" xfId="0" builtinId="0"/>
    <cellStyle name="Normal 16" xfId="243"/>
    <cellStyle name="Normal 2" xfId="5"/>
    <cellStyle name="Normal 2 2" xfId="244"/>
    <cellStyle name="Normal 3" xfId="245"/>
    <cellStyle name="Normal 4" xfId="246"/>
    <cellStyle name="Normal 4 2" xfId="247"/>
    <cellStyle name="Normal 4 2 2" xfId="248"/>
    <cellStyle name="Normal 4 3" xfId="249"/>
    <cellStyle name="Note 2" xfId="250"/>
    <cellStyle name="Note 3" xfId="251"/>
    <cellStyle name="Note 4" xfId="252"/>
    <cellStyle name="Note 5" xfId="253"/>
    <cellStyle name="Note 6" xfId="254"/>
    <cellStyle name="Note 7" xfId="255"/>
    <cellStyle name="Output 2" xfId="256"/>
    <cellStyle name="Output 3" xfId="257"/>
    <cellStyle name="Output 4" xfId="258"/>
    <cellStyle name="Output 5" xfId="259"/>
    <cellStyle name="Output 6" xfId="260"/>
    <cellStyle name="Output 7" xfId="261"/>
    <cellStyle name="Title 2" xfId="262"/>
    <cellStyle name="Title 3" xfId="263"/>
    <cellStyle name="Title 4" xfId="264"/>
    <cellStyle name="Title 5" xfId="265"/>
    <cellStyle name="Title 6" xfId="266"/>
    <cellStyle name="Title 7" xfId="267"/>
    <cellStyle name="Total 2" xfId="268"/>
    <cellStyle name="Total 3" xfId="269"/>
    <cellStyle name="Total 4" xfId="270"/>
    <cellStyle name="Total 5" xfId="271"/>
    <cellStyle name="Total 6" xfId="272"/>
    <cellStyle name="Total 7" xfId="273"/>
    <cellStyle name="Warning Text 2" xfId="274"/>
    <cellStyle name="Warning Text 3" xfId="275"/>
    <cellStyle name="Warning Text 4" xfId="276"/>
    <cellStyle name="Warning Text 5" xfId="277"/>
    <cellStyle name="Warning Text 6" xfId="278"/>
    <cellStyle name="Warning Text 7" xfId="279"/>
  </cellStyles>
  <dxfs count="74">
    <dxf>
      <border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theme="1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</dxf>
    <dxf>
      <border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fill>
        <patternFill patternType="solid">
          <bgColor rgb="FFFFFF00"/>
        </patternFill>
      </fill>
    </dxf>
    <dxf>
      <font>
        <color theme="1"/>
      </font>
    </dxf>
    <dxf>
      <fill>
        <patternFill patternType="solid">
          <bgColor rgb="FFFFFF00"/>
        </patternFill>
      </fill>
    </dxf>
    <dxf>
      <font>
        <color rgb="FFFF0000"/>
      </font>
    </dxf>
    <dxf>
      <fill>
        <patternFill patternType="none">
          <bgColor auto="1"/>
        </patternFill>
      </fill>
    </dxf>
    <dxf>
      <font>
        <color theme="1"/>
      </font>
    </dxf>
    <dxf>
      <numFmt numFmtId="2" formatCode="0.00"/>
    </dxf>
    <dxf>
      <numFmt numFmtId="2" formatCode="0.00"/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2" formatCode="0.0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b val="0"/>
      </font>
    </dxf>
    <dxf>
      <font>
        <color theme="1"/>
      </font>
    </dxf>
    <dxf>
      <fill>
        <patternFill patternType="solid">
          <bgColor rgb="FFFFFF00"/>
        </patternFill>
      </fill>
    </dxf>
    <dxf>
      <font>
        <color rgb="FFFF0000"/>
      </font>
    </dxf>
    <dxf>
      <font>
        <b/>
      </font>
    </dxf>
    <dxf>
      <fill>
        <patternFill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" formatCode="0.00"/>
    </dxf>
    <dxf>
      <numFmt numFmtId="2" formatCode="0.00"/>
    </dxf>
    <dxf>
      <numFmt numFmtId="2" formatCode="0.00"/>
    </dxf>
    <dxf>
      <fill>
        <patternFill patternType="none">
          <bgColor auto="1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6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pivotCacheDefinition" Target="pivotCache/pivotCacheDefinition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pivotCacheDefinition" Target="pivotCache/pivotCacheDefinition2.xml"/><Relationship Id="rId46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pivotCacheDefinition" Target="pivotCache/pivotCacheDefinition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pivotCacheDefinition" Target="pivotCache/pivotCacheDefinition1.xml"/><Relationship Id="rId40" Type="http://schemas.openxmlformats.org/officeDocument/2006/relationships/pivotCacheDefinition" Target="pivotCache/pivotCacheDefinition4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aydeep\jaydeep\D%20data\backup\dektop\New%20Folder%20(2)\PIL%20Stock%20statement\April14\PIl%20dp%20statement%20as%20on%2030-apr-1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t A"/>
      <sheetName val="PIL1"/>
      <sheetName val="PIA-2"/>
      <sheetName val="Part B"/>
      <sheetName val="Part C"/>
      <sheetName val="DP"/>
      <sheetName val="SOD"/>
      <sheetName val="Decl"/>
      <sheetName val="Sum"/>
      <sheetName val="Debtors"/>
      <sheetName val="WS"/>
      <sheetName val="Sheet16"/>
      <sheetName val="Transit"/>
      <sheetName val="Creditor"/>
      <sheetName val="Sheet1"/>
      <sheetName val="Sheet2"/>
      <sheetName val="Sheet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egi" refreshedDate="46238.47067372685" createdVersion="5" refreshedVersion="5" minRefreshableVersion="3" recordCount="655">
  <cacheSource type="worksheet">
    <worksheetSource ref="H23:AL678" sheet="Purchase Register"/>
  </cacheSource>
  <cacheFields count="31">
    <cacheField name="Date" numFmtId="0">
      <sharedItems containsDate="1" containsBlank="1" containsMixedTypes="1" minDate="2026-01-07T00:00:00" maxDate="2026-12-08T00:00:00"/>
    </cacheField>
    <cacheField name="Particular" numFmtId="0">
      <sharedItems containsBlank="1"/>
    </cacheField>
    <cacheField name="Voucher Type" numFmtId="0">
      <sharedItems containsBlank="1"/>
    </cacheField>
    <cacheField name="Voucher No" numFmtId="0">
      <sharedItems containsBlank="1"/>
    </cacheField>
    <cacheField name="Type" numFmtId="0">
      <sharedItems containsBlank="1" count="9">
        <s v="Purchase Withinstate- Stores, Spares &amp; Consumable"/>
        <s v="Purchase Withinstate - Raw Material"/>
        <s v="Branch Transfer In - Raw Material"/>
        <s v="Purchase Withinstate- Packing Material"/>
        <s v="Purchase Interstate- Stores, Spares &amp; Consumable"/>
        <s v="Purchase Withinstate - Traded Goods"/>
        <s v="Branch Transfer In - Trading"/>
        <s v="Purchase Interstate - Raw Material"/>
        <m/>
      </sharedItems>
    </cacheField>
    <cacheField name="Invoice No" numFmtId="0">
      <sharedItems containsBlank="1" containsMixedTypes="1" containsNumber="1" containsInteger="1" minValue="240" maxValue="26270975"/>
    </cacheField>
    <cacheField name="Invoice Date" numFmtId="0">
      <sharedItems containsDate="1" containsBlank="1" containsMixedTypes="1" minDate="2026-01-07T00:00:00" maxDate="2026-12-08T00:00:00"/>
    </cacheField>
    <cacheField name="Main Grp" numFmtId="0">
      <sharedItems containsBlank="1"/>
    </cacheField>
    <cacheField name="Group Name" numFmtId="0">
      <sharedItems containsBlank="1"/>
    </cacheField>
    <cacheField name="Sub Grup" numFmtId="0">
      <sharedItems containsBlank="1"/>
    </cacheField>
    <cacheField name="purchase Group Name" numFmtId="0">
      <sharedItems containsBlank="1"/>
    </cacheField>
    <cacheField name="Item Name" numFmtId="0">
      <sharedItems containsBlank="1"/>
    </cacheField>
    <cacheField name="Quantity" numFmtId="0">
      <sharedItems containsString="0" containsBlank="1" containsNumber="1" minValue="1" maxValue="36270"/>
    </cacheField>
    <cacheField name="Amount" numFmtId="0">
      <sharedItems containsString="0" containsBlank="1" containsNumber="1" minValue="14" maxValue="1719870.24"/>
    </cacheField>
    <cacheField name="Item Desc" numFmtId="0">
      <sharedItems containsBlank="1"/>
    </cacheField>
    <cacheField name="Bill Amount" numFmtId="0">
      <sharedItems containsString="0" containsBlank="1" containsNumber="1" minValue="0" maxValue="2319417.4300000002"/>
    </cacheField>
    <cacheField name="CGST Rate" numFmtId="0">
      <sharedItems containsString="0" containsBlank="1" containsNumber="1" minValue="0" maxValue="9"/>
    </cacheField>
    <cacheField name="CGST Amt" numFmtId="0">
      <sharedItems containsString="0" containsBlank="1" containsNumber="1" minValue="0" maxValue="154788.32"/>
    </cacheField>
    <cacheField name="SGST Rate" numFmtId="0">
      <sharedItems containsString="0" containsBlank="1" containsNumber="1" minValue="0" maxValue="9"/>
    </cacheField>
    <cacheField name="SGST Amt" numFmtId="0">
      <sharedItems containsString="0" containsBlank="1" containsNumber="1" minValue="0" maxValue="154788.32"/>
    </cacheField>
    <cacheField name="IGST Rate" numFmtId="0">
      <sharedItems containsString="0" containsBlank="1" containsNumber="1" containsInteger="1" minValue="0" maxValue="18"/>
    </cacheField>
    <cacheField name="IGST Amt" numFmtId="0">
      <sharedItems containsString="0" containsBlank="1" containsNumber="1" minValue="0" maxValue="99144"/>
    </cacheField>
    <cacheField name="Freight GST" numFmtId="0">
      <sharedItems containsString="0" containsBlank="1" containsNumber="1" minValue="0" maxValue="100"/>
    </cacheField>
    <cacheField name="Total GST" numFmtId="0">
      <sharedItems containsString="0" containsBlank="1" containsNumber="1" minValue="0" maxValue="309576.64"/>
    </cacheField>
    <cacheField name="TCS" numFmtId="0">
      <sharedItems containsString="0" containsBlank="1" containsNumber="1" containsInteger="1" minValue="0" maxValue="0"/>
    </cacheField>
    <cacheField name="GST-IN" numFmtId="0">
      <sharedItems containsBlank="1"/>
    </cacheField>
    <cacheField name="Unit" numFmtId="0">
      <sharedItems containsBlank="1"/>
    </cacheField>
    <cacheField name="HSN Code" numFmtId="0">
      <sharedItems containsString="0" containsBlank="1" containsNumber="1" containsInteger="1" minValue="340290" maxValue="96161010"/>
    </cacheField>
    <cacheField name="Currencty" numFmtId="0">
      <sharedItems containsBlank="1"/>
    </cacheField>
    <cacheField name="Exc.Rate" numFmtId="0">
      <sharedItems containsString="0" containsBlank="1" containsNumber="1" containsInteger="1" minValue="1" maxValue="1"/>
    </cacheField>
    <cacheField name="Net Wt" numFmtId="0">
      <sharedItems containsString="0" containsBlank="1" containsNumber="1" minValue="0" maxValue="3627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Negi" refreshedDate="46238.482564699072" createdVersion="5" refreshedVersion="5" minRefreshableVersion="3" recordCount="135">
  <cacheSource type="worksheet">
    <worksheetSource ref="H16:AL151" sheet="Sales Register"/>
  </cacheSource>
  <cacheFields count="31">
    <cacheField name="Date" numFmtId="0">
      <sharedItems containsDate="1" containsBlank="1" containsMixedTypes="1" minDate="2026-01-07T00:00:00" maxDate="2026-11-08T00:00:00"/>
    </cacheField>
    <cacheField name="Particular" numFmtId="0">
      <sharedItems containsBlank="1"/>
    </cacheField>
    <cacheField name="Voucher Type" numFmtId="0">
      <sharedItems containsBlank="1"/>
    </cacheField>
    <cacheField name="Voucher No" numFmtId="0">
      <sharedItems containsBlank="1" containsMixedTypes="1" containsNumber="1" containsInteger="1" minValue="137" maxValue="189"/>
    </cacheField>
    <cacheField name="Type" numFmtId="0">
      <sharedItems containsBlank="1" count="9">
        <s v="Sales - Within State  Manufactured Goods"/>
        <s v="Sales - Within State - Traded Goods"/>
        <s v="Sales - Direct Export - Mfg - U/R"/>
        <s v="Sales - Waste &amp; Scrape"/>
        <s v="Sales - Direct Export - Mfg - U/B"/>
        <s v="Sales - Kasez - Trading - U/B"/>
        <s v="Sales - Kasez - Mfg - U/B"/>
        <s v="Sales - Merchant Export"/>
        <m/>
      </sharedItems>
    </cacheField>
    <cacheField name="Invoice No" numFmtId="0">
      <sharedItems containsBlank="1"/>
    </cacheField>
    <cacheField name="Invoice Date" numFmtId="0">
      <sharedItems containsDate="1" containsBlank="1" containsMixedTypes="1" minDate="2026-01-07T00:00:00" maxDate="2026-11-08T00:00:00"/>
    </cacheField>
    <cacheField name="Main Grp" numFmtId="0">
      <sharedItems containsBlank="1"/>
    </cacheField>
    <cacheField name="Group Name" numFmtId="0">
      <sharedItems containsBlank="1"/>
    </cacheField>
    <cacheField name="Sub Grup" numFmtId="0">
      <sharedItems containsBlank="1"/>
    </cacheField>
    <cacheField name="sales Group Name" numFmtId="0">
      <sharedItems containsBlank="1" count="11">
        <s v="JUMBO BAG"/>
        <s v="PP Filament Yarn"/>
        <s v="Stores &amp; Consumables"/>
        <s v="HDPE/PP Plastik Waste"/>
        <s v="PP Woven Fabric"/>
        <s v="LLDPE Bags"/>
        <s v="FIBC WIP"/>
        <s v="Thinner"/>
        <s v="PP Webbing"/>
        <m/>
        <s v="PP/HD Wastage/Scrap" u="1"/>
      </sharedItems>
    </cacheField>
    <cacheField name="Item Name" numFmtId="0">
      <sharedItems containsBlank="1"/>
    </cacheField>
    <cacheField name="Quantity" numFmtId="0">
      <sharedItems containsSemiMixedTypes="0" containsString="0" containsNumber="1" minValue="26" maxValue="645104.6"/>
    </cacheField>
    <cacheField name="Amount" numFmtId="0">
      <sharedItems containsSemiMixedTypes="0" containsString="0" containsNumber="1" minValue="4709.8999999999996" maxValue="137308486.03"/>
    </cacheField>
    <cacheField name="Item Desc" numFmtId="0">
      <sharedItems containsBlank="1"/>
    </cacheField>
    <cacheField name="Bill Amount" numFmtId="0">
      <sharedItems containsSemiMixedTypes="0" containsString="0" containsNumber="1" minValue="0" maxValue="150433692.93000001"/>
    </cacheField>
    <cacheField name="CGST Rate" numFmtId="0">
      <sharedItems containsString="0" containsBlank="1" containsNumber="1" minValue="0" maxValue="9"/>
    </cacheField>
    <cacheField name="CGST Amt" numFmtId="0">
      <sharedItems containsSemiMixedTypes="0" containsString="0" containsNumber="1" minValue="0" maxValue="2061230.4"/>
    </cacheField>
    <cacheField name="SGST Rate" numFmtId="0">
      <sharedItems containsString="0" containsBlank="1" containsNumber="1" minValue="0" maxValue="9"/>
    </cacheField>
    <cacheField name="SGST Amt" numFmtId="0">
      <sharedItems containsSemiMixedTypes="0" containsString="0" containsNumber="1" minValue="0" maxValue="2061230.4"/>
    </cacheField>
    <cacheField name="IGST Rate" numFmtId="0">
      <sharedItems containsString="0" containsBlank="1" containsNumber="1" containsInteger="1" minValue="0" maxValue="18"/>
    </cacheField>
    <cacheField name="IGST Amt" numFmtId="0">
      <sharedItems containsSemiMixedTypes="0" containsString="0" containsNumber="1" minValue="0" maxValue="8894188.3100000005"/>
    </cacheField>
    <cacheField name="Freight GST" numFmtId="0">
      <sharedItems containsSemiMixedTypes="0" containsString="0" containsNumber="1" containsInteger="1" minValue="0" maxValue="0"/>
    </cacheField>
    <cacheField name="Total GST" numFmtId="0">
      <sharedItems containsSemiMixedTypes="0" containsString="0" containsNumber="1" minValue="0" maxValue="13016649.109999999"/>
    </cacheField>
    <cacheField name="TCS" numFmtId="0">
      <sharedItems containsSemiMixedTypes="0" containsString="0" containsNumber="1" minValue="-28184.33" maxValue="1487.08"/>
    </cacheField>
    <cacheField name="GST-IN" numFmtId="0">
      <sharedItems containsBlank="1"/>
    </cacheField>
    <cacheField name="Unit" numFmtId="0">
      <sharedItems containsBlank="1"/>
    </cacheField>
    <cacheField name="HSN Code" numFmtId="0">
      <sharedItems containsString="0" containsBlank="1" containsNumber="1" containsInteger="1" minValue="35069999" maxValue="73063090"/>
    </cacheField>
    <cacheField name="Currencty" numFmtId="0">
      <sharedItems containsBlank="1"/>
    </cacheField>
    <cacheField name="Exc.Rate" numFmtId="0">
      <sharedItems containsString="0" containsBlank="1" containsNumber="1" minValue="1" maxValue="128.30000000000001"/>
    </cacheField>
    <cacheField name="Net Wt" numFmtId="0">
      <sharedItems containsString="0" containsBlank="1" containsNumber="1" minValue="26" maxValue="201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Negi" refreshedDate="46238.499108796299" createdVersion="5" refreshedVersion="5" minRefreshableVersion="3" recordCount="16">
  <cacheSource type="worksheet">
    <worksheetSource ref="G8:BU24" sheet="JOB-IN"/>
  </cacheSource>
  <cacheFields count="67">
    <cacheField name="CompanyName" numFmtId="0">
      <sharedItems containsBlank="1"/>
    </cacheField>
    <cacheField name="Date" numFmtId="0">
      <sharedItems containsBlank="1"/>
    </cacheField>
    <cacheField name="srno" numFmtId="0">
      <sharedItems containsBlank="1"/>
    </cacheField>
    <cacheField name="Itemcode" numFmtId="0">
      <sharedItems containsBlank="1"/>
    </cacheField>
    <cacheField name="Itemname" numFmtId="0">
      <sharedItems containsBlank="1"/>
    </cacheField>
    <cacheField name="Indentsubcode" numFmtId="0">
      <sharedItems containsBlank="1"/>
    </cacheField>
    <cacheField name="PoNO" numFmtId="0">
      <sharedItems containsBlank="1"/>
    </cacheField>
    <cacheField name="OrderQty" numFmtId="0">
      <sharedItems containsString="0" containsBlank="1" containsNumber="1" containsInteger="1" minValue="0" maxValue="0"/>
    </cacheField>
    <cacheField name="Challanqty" numFmtId="0">
      <sharedItems containsString="0" containsBlank="1" containsNumber="1" minValue="16" maxValue="145"/>
    </cacheField>
    <cacheField name="Unit" numFmtId="0">
      <sharedItems containsBlank="1"/>
    </cacheField>
    <cacheField name="Recdqty" numFmtId="0">
      <sharedItems containsString="0" containsBlank="1" containsNumber="1" minValue="16" maxValue="145"/>
    </cacheField>
    <cacheField name="PendingQty" numFmtId="0">
      <sharedItems containsString="0" containsBlank="1" containsNumber="1" containsInteger="1" minValue="0" maxValue="0"/>
    </cacheField>
    <cacheField name="Acceptedqty" numFmtId="0">
      <sharedItems containsString="0" containsBlank="1" containsNumber="1" minValue="16" maxValue="145"/>
    </cacheField>
    <cacheField name="Vehicalno" numFmtId="0">
      <sharedItems containsBlank="1"/>
    </cacheField>
    <cacheField name="Partyname" numFmtId="0">
      <sharedItems containsBlank="1" count="3">
        <s v="Saru Plastics"/>
        <s v="Parsva Trading"/>
        <m/>
      </sharedItems>
    </cacheField>
    <cacheField name="Suppliername" numFmtId="0">
      <sharedItems containsBlank="1"/>
    </cacheField>
    <cacheField name="ChallanNo" numFmtId="0">
      <sharedItems containsBlank="1" containsMixedTypes="1" containsNumber="1" containsInteger="1" minValue="20" maxValue="22"/>
    </cacheField>
    <cacheField name="Challan Date" numFmtId="0">
      <sharedItems containsDate="1" containsBlank="1" containsMixedTypes="1" minDate="2026-02-07T00:00:00" maxDate="2026-08-08T00:00:00"/>
    </cacheField>
    <cacheField name="category" numFmtId="0">
      <sharedItems containsBlank="1"/>
    </cacheField>
    <cacheField name="subcategory" numFmtId="0">
      <sharedItems containsBlank="1"/>
    </cacheField>
    <cacheField name="MRno" numFmtId="0">
      <sharedItems containsBlank="1"/>
    </cacheField>
    <cacheField name="Rate" numFmtId="0">
      <sharedItems containsString="0" containsBlank="1" containsNumber="1" containsInteger="1" minValue="0" maxValue="0"/>
    </cacheField>
    <cacheField name="Amount" numFmtId="0">
      <sharedItems containsString="0" containsBlank="1" containsNumber="1" containsInteger="1" minValue="0" maxValue="0"/>
    </cacheField>
    <cacheField name="BillNo" numFmtId="0">
      <sharedItems containsBlank="1" containsMixedTypes="1" containsNumber="1" containsInteger="1" minValue="20" maxValue="22"/>
    </cacheField>
    <cacheField name="Bill Date" numFmtId="0">
      <sharedItems containsDate="1" containsBlank="1" containsMixedTypes="1" minDate="2026-02-07T00:00:00" maxDate="2026-08-08T00:00:00"/>
    </cacheField>
    <cacheField name="ItemRemarks" numFmtId="0">
      <sharedItems containsString="0" containsBlank="1" containsNumber="1" containsInteger="1" minValue="0" maxValue="0"/>
    </cacheField>
    <cacheField name="Remarks" numFmtId="0">
      <sharedItems containsBlank="1"/>
    </cacheField>
    <cacheField name="Note" numFmtId="0">
      <sharedItems containsNonDate="0" containsString="0" containsBlank="1"/>
    </cacheField>
    <cacheField name="Transportname" numFmtId="0">
      <sharedItems containsBlank="1"/>
    </cacheField>
    <cacheField name="Lrnodate" numFmtId="0">
      <sharedItems containsBlank="1"/>
    </cacheField>
    <cacheField name="Discamt" numFmtId="0">
      <sharedItems containsString="0" containsBlank="1" containsNumber="1" containsInteger="1" minValue="0" maxValue="0"/>
    </cacheField>
    <cacheField name="Discamt1" numFmtId="0">
      <sharedItems containsString="0" containsBlank="1" containsNumber="1" containsInteger="1" minValue="0" maxValue="0"/>
    </cacheField>
    <cacheField name="ExciseAmount" numFmtId="0">
      <sharedItems containsString="0" containsBlank="1" containsNumber="1" containsInteger="1" minValue="0" maxValue="0"/>
    </cacheField>
    <cacheField name="EducessAmount" numFmtId="0">
      <sharedItems containsString="0" containsBlank="1" containsNumber="1" containsInteger="1" minValue="0" maxValue="0"/>
    </cacheField>
    <cacheField name="HiEducessamount" numFmtId="0">
      <sharedItems containsString="0" containsBlank="1" containsNumber="1" containsInteger="1" minValue="0" maxValue="0"/>
    </cacheField>
    <cacheField name="InwardVatType" numFmtId="0">
      <sharedItems containsBlank="1"/>
    </cacheField>
    <cacheField name="Vatamount" numFmtId="0">
      <sharedItems containsString="0" containsBlank="1" containsNumber="1" containsInteger="1" minValue="0" maxValue="0"/>
    </cacheField>
    <cacheField name="Addvatamount" numFmtId="0">
      <sharedItems containsString="0" containsBlank="1" containsNumber="1" containsInteger="1" minValue="0" maxValue="0"/>
    </cacheField>
    <cacheField name="Frieght" numFmtId="0">
      <sharedItems containsString="0" containsBlank="1" containsNumber="1" containsInteger="1" minValue="0" maxValue="0"/>
    </cacheField>
    <cacheField name="Pkgfwd" numFmtId="0">
      <sharedItems containsString="0" containsBlank="1" containsNumber="1" containsInteger="1" minValue="0" maxValue="0"/>
    </cacheField>
    <cacheField name="Otherchg" numFmtId="0">
      <sharedItems containsString="0" containsBlank="1" containsNumber="1" containsInteger="1" minValue="0" maxValue="0"/>
    </cacheField>
    <cacheField name="Spdutyname" numFmtId="0">
      <sharedItems containsNonDate="0" containsString="0" containsBlank="1"/>
    </cacheField>
    <cacheField name="Spdutyamt" numFmtId="0">
      <sharedItems containsString="0" containsBlank="1" containsNumber="1" containsInteger="1" minValue="0" maxValue="0"/>
    </cacheField>
    <cacheField name="Additionalduty" numFmtId="0">
      <sharedItems containsString="0" containsBlank="1" containsNumber="1" containsInteger="1" minValue="0" maxValue="0"/>
    </cacheField>
    <cacheField name="Billamount" numFmtId="0">
      <sharedItems containsString="0" containsBlank="1" containsNumber="1" containsInteger="1" minValue="0" maxValue="0"/>
    </cacheField>
    <cacheField name="Deptt" numFmtId="0">
      <sharedItems containsBlank="1"/>
    </cacheField>
    <cacheField name="GroupName" numFmtId="0">
      <sharedItems containsBlank="1"/>
    </cacheField>
    <cacheField name="SubGroupName" numFmtId="0">
      <sharedItems containsBlank="1"/>
    </cacheField>
    <cacheField name="Deptt Po Indent" numFmtId="0">
      <sharedItems containsBlank="1"/>
    </cacheField>
    <cacheField name="LoginName" numFmtId="0">
      <sharedItems containsBlank="1"/>
    </cacheField>
    <cacheField name="servicetax" numFmtId="0">
      <sharedItems containsString="0" containsBlank="1" containsNumber="1" containsInteger="1" minValue="0" maxValue="0"/>
    </cacheField>
    <cacheField name="Basic Amount" numFmtId="0">
      <sharedItems containsString="0" containsBlank="1" containsNumber="1" containsInteger="1" minValue="0" maxValue="0"/>
    </cacheField>
    <cacheField name="GateInwardNo" numFmtId="0">
      <sharedItems containsBlank="1" containsMixedTypes="1" containsNumber="1" containsInteger="1" minValue="41" maxValue="966"/>
    </cacheField>
    <cacheField name="GateInwardDate" numFmtId="0">
      <sharedItems containsDate="1" containsBlank="1" containsMixedTypes="1" minDate="2026-01-07T00:00:00" maxDate="2026-10-08T00:00:00"/>
    </cacheField>
    <cacheField name="VendorGST" numFmtId="0">
      <sharedItems containsBlank="1"/>
    </cacheField>
    <cacheField name="MRN User" numFmtId="0">
      <sharedItems containsBlank="1"/>
    </cacheField>
    <cacheField name="POUserName" numFmtId="0">
      <sharedItems containsNonDate="0" containsString="0" containsBlank="1"/>
    </cacheField>
    <cacheField name="CGSTPer" numFmtId="0">
      <sharedItems containsString="0" containsBlank="1" containsNumber="1" containsInteger="1" minValue="0" maxValue="0"/>
    </cacheField>
    <cacheField name="CGSTAmount" numFmtId="0">
      <sharedItems containsString="0" containsBlank="1" containsNumber="1" containsInteger="1" minValue="0" maxValue="0"/>
    </cacheField>
    <cacheField name="SGSTPer" numFmtId="0">
      <sharedItems containsString="0" containsBlank="1" containsNumber="1" containsInteger="1" minValue="0" maxValue="0"/>
    </cacheField>
    <cacheField name="SGSTAmount" numFmtId="0">
      <sharedItems containsString="0" containsBlank="1" containsNumber="1" containsInteger="1" minValue="0" maxValue="0"/>
    </cacheField>
    <cacheField name="IGSTPer" numFmtId="0">
      <sharedItems containsString="0" containsBlank="1" containsNumber="1" containsInteger="1" minValue="0" maxValue="0"/>
    </cacheField>
    <cacheField name="IGSTAmount" numFmtId="0">
      <sharedItems containsString="0" containsBlank="1" containsNumber="1" containsInteger="1" minValue="0" maxValue="0"/>
    </cacheField>
    <cacheField name="RBIllmount" numFmtId="0">
      <sharedItems containsString="0" containsBlank="1" containsNumber="1" containsInteger="1" minValue="0" maxValue="0"/>
    </cacheField>
    <cacheField name="EWayNo" numFmtId="0">
      <sharedItems containsBlank="1"/>
    </cacheField>
    <cacheField name="EWayDt" numFmtId="0">
      <sharedItems containsNonDate="0" containsDate="1" containsString="0" containsBlank="1" minDate="2026-07-15T16:21:00" maxDate="2026-07-31T14:32:00"/>
    </cacheField>
    <cacheField name="netwt" numFmtId="0">
      <sharedItems containsString="0" containsBlank="1" containsNumber="1" minValue="0" maxValue="1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Negi" refreshedDate="46238.600043634258" createdVersion="5" refreshedVersion="5" minRefreshableVersion="3" recordCount="2">
  <cacheSource type="worksheet">
    <worksheetSource ref="E11:X32" sheet="JOB OUT"/>
  </cacheSource>
  <cacheFields count="20">
    <cacheField name="companyname" numFmtId="0">
      <sharedItems containsNonDate="0" containsString="0" containsBlank="1"/>
    </cacheField>
    <cacheField name="ChallanNo" numFmtId="0">
      <sharedItems containsNonDate="0" containsString="0" containsBlank="1"/>
    </cacheField>
    <cacheField name="sysdate" numFmtId="0">
      <sharedItems containsNonDate="0" containsString="0" containsBlank="1"/>
    </cacheField>
    <cacheField name="Company Name" numFmtId="0">
      <sharedItems containsNonDate="0" containsString="0" containsBlank="1" count="1">
        <m/>
      </sharedItems>
    </cacheField>
    <cacheField name="NatureProc" numFmtId="0">
      <sharedItems containsNonDate="0" containsString="0" containsBlank="1"/>
    </cacheField>
    <cacheField name="DescriptionGoods" numFmtId="0">
      <sharedItems containsNonDate="0" containsString="0" containsBlank="1" count="1">
        <m/>
      </sharedItems>
    </cacheField>
    <cacheField name="Deptt" numFmtId="0">
      <sharedItems containsNonDate="0" containsString="0" containsBlank="1"/>
    </cacheField>
    <cacheField name="GroupName" numFmtId="0">
      <sharedItems containsNonDate="0" containsString="0" containsBlank="1"/>
    </cacheField>
    <cacheField name="SubGroupName" numFmtId="0">
      <sharedItems containsNonDate="0" containsString="0" containsBlank="1"/>
    </cacheField>
    <cacheField name="itemcode" numFmtId="0">
      <sharedItems containsNonDate="0" containsString="0" containsBlank="1"/>
    </cacheField>
    <cacheField name="itemname" numFmtId="0">
      <sharedItems containsNonDate="0" containsString="0" containsBlank="1"/>
    </cacheField>
    <cacheField name="Identification" numFmtId="0">
      <sharedItems containsNonDate="0" containsString="0" containsBlank="1"/>
    </cacheField>
    <cacheField name="QtyDesc" numFmtId="0">
      <sharedItems containsNonDate="0" containsString="0" containsBlank="1"/>
    </cacheField>
    <cacheField name="ItemUnit" numFmtId="0">
      <sharedItems containsNonDate="0" containsString="0" containsBlank="1"/>
    </cacheField>
    <cacheField name="ItemQty" numFmtId="0">
      <sharedItems containsNonDate="0" containsString="0" containsBlank="1"/>
    </cacheField>
    <cacheField name="ItemValue" numFmtId="0">
      <sharedItems containsNonDate="0" containsString="0" containsBlank="1"/>
    </cacheField>
    <cacheField name="TotalAmt" numFmtId="0">
      <sharedItems containsNonDate="0" containsString="0" containsBlank="1"/>
    </cacheField>
    <cacheField name="VehicalNo" numFmtId="0">
      <sharedItems containsNonDate="0" containsString="0" containsBlank="1"/>
    </cacheField>
    <cacheField name="LRNo" numFmtId="0">
      <sharedItems containsNonDate="0" containsString="0" containsBlank="1"/>
    </cacheField>
    <cacheField name="TransportNam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Negi" refreshedDate="46238.708948263891" createdVersion="5" refreshedVersion="5" minRefreshableVersion="3" recordCount="654">
  <cacheSource type="worksheet">
    <worksheetSource ref="H23:AL677" sheet="Purchase Register"/>
  </cacheSource>
  <cacheFields count="31">
    <cacheField name="Date" numFmtId="0">
      <sharedItems containsDate="1" containsMixedTypes="1" minDate="2026-01-07T00:00:00" maxDate="2026-12-08T00:00:00"/>
    </cacheField>
    <cacheField name="Particular" numFmtId="0">
      <sharedItems count="37">
        <s v="Plastene India ltd - Unit 1-Purchase"/>
        <s v="Plastene Polyfilms Ltd-Purchase"/>
        <s v="Accurate Rub Tech"/>
        <s v="Chandan Electric Store"/>
        <s v="Plus Logistics Ltd."/>
        <s v="HCP Plastene Bulkpack Limited - Purchase"/>
        <s v="K.P. Woven Pvt Ltd-Purchase"/>
        <s v="Axle Steel &amp; Fasteners"/>
        <s v="Bhagwati  Impex"/>
        <s v="Disha Trading"/>
        <s v="Jay Jagannath Industries- 24GKEPP9703F1Z1"/>
        <s v="Shree Salareshwar Wood Packers Private Limited."/>
        <s v="Plastene India ltd - Unit 2-Purchase"/>
        <s v="S.R.Sewing Tech"/>
        <s v="Armstrong"/>
        <s v="Gayatri Petroleums"/>
        <s v="Airtech Engineers - Gandhidham"/>
        <s v="Khator Enterprises"/>
        <s v="Quality Prepress Pvt Ltd"/>
        <s v="Shree Ganesh Stereo"/>
        <s v="Tritha Graphics"/>
        <s v="Shiv Shakti Enterprise"/>
        <s v="Agarwal Enterprise"/>
        <s v="Atc Plywood"/>
        <s v="Galaxy Enterprise"/>
        <s v="Kabra Electricals"/>
        <s v="M B And Sons- Supplier"/>
        <s v="Alpha Electricals"/>
        <s v="Brahmani Graphics"/>
        <s v="Jyot Sewing Machine Pvt Ltd"/>
        <s v="Monarch Info"/>
        <s v="Hcp Plastene Bulkpack Ltd Vadodara Purchase"/>
        <s v="New Arm"/>
        <s v="Vyankatesh Udyog (I) Pvt Ltd - Purchase"/>
        <s v="Kan Power Rubber Industries"/>
        <s v="Panchvati Tools Co."/>
        <s v="Rajgor Stationery &amp; Computer"/>
      </sharedItems>
    </cacheField>
    <cacheField name="Voucher Type" numFmtId="0">
      <sharedItems/>
    </cacheField>
    <cacheField name="Voucher No" numFmtId="0">
      <sharedItems/>
    </cacheField>
    <cacheField name="Type" numFmtId="0">
      <sharedItems/>
    </cacheField>
    <cacheField name="Invoice No" numFmtId="0">
      <sharedItems containsMixedTypes="1" containsNumber="1" containsInteger="1" minValue="240" maxValue="26270975"/>
    </cacheField>
    <cacheField name="Invoice Date" numFmtId="0">
      <sharedItems containsDate="1" containsMixedTypes="1" minDate="2026-01-07T00:00:00" maxDate="2026-12-08T00:00:00"/>
    </cacheField>
    <cacheField name="Main Grp" numFmtId="0">
      <sharedItems/>
    </cacheField>
    <cacheField name="Group Name" numFmtId="0">
      <sharedItems/>
    </cacheField>
    <cacheField name="Sub Grup" numFmtId="0">
      <sharedItems/>
    </cacheField>
    <cacheField name="purchase Group Name" numFmtId="0">
      <sharedItems count="13">
        <s v="Stores &amp; Consumables"/>
        <s v="PP Laminated Woven Fabric"/>
        <s v="PP Woven Fabric"/>
        <s v="LLDPE Bags"/>
        <s v="PP Webbing"/>
        <s v="FIBC WIP"/>
        <s v="LLDPE FILM"/>
        <s v="LLDPE Doc"/>
        <s v="PP Filament Yarn"/>
        <s v="Packing Material"/>
        <s v="Printing Inks"/>
        <s v="JUMBO BAG"/>
        <s v="Thinner"/>
      </sharedItems>
    </cacheField>
    <cacheField name="Item Name" numFmtId="0">
      <sharedItems/>
    </cacheField>
    <cacheField name="Quantity" numFmtId="0">
      <sharedItems containsSemiMixedTypes="0" containsString="0" containsNumber="1" minValue="1" maxValue="36270"/>
    </cacheField>
    <cacheField name="Amount" numFmtId="0">
      <sharedItems containsSemiMixedTypes="0" containsString="0" containsNumber="1" minValue="14" maxValue="1719870.24"/>
    </cacheField>
    <cacheField name="Item Desc" numFmtId="0">
      <sharedItems/>
    </cacheField>
    <cacheField name="Bill Amount" numFmtId="0">
      <sharedItems containsSemiMixedTypes="0" containsString="0" containsNumber="1" minValue="0" maxValue="2319417.4300000002"/>
    </cacheField>
    <cacheField name="CGST Rate" numFmtId="0">
      <sharedItems containsSemiMixedTypes="0" containsString="0" containsNumber="1" minValue="0" maxValue="9"/>
    </cacheField>
    <cacheField name="CGST Amt" numFmtId="0">
      <sharedItems containsSemiMixedTypes="0" containsString="0" containsNumber="1" minValue="0" maxValue="154788.32"/>
    </cacheField>
    <cacheField name="SGST Rate" numFmtId="0">
      <sharedItems containsSemiMixedTypes="0" containsString="0" containsNumber="1" minValue="0" maxValue="9"/>
    </cacheField>
    <cacheField name="SGST Amt" numFmtId="0">
      <sharedItems containsSemiMixedTypes="0" containsString="0" containsNumber="1" minValue="0" maxValue="154788.32"/>
    </cacheField>
    <cacheField name="IGST Rate" numFmtId="0">
      <sharedItems containsSemiMixedTypes="0" containsString="0" containsNumber="1" containsInteger="1" minValue="0" maxValue="18"/>
    </cacheField>
    <cacheField name="IGST Amt" numFmtId="0">
      <sharedItems containsSemiMixedTypes="0" containsString="0" containsNumber="1" minValue="0" maxValue="99144"/>
    </cacheField>
    <cacheField name="Freight GST" numFmtId="0">
      <sharedItems containsSemiMixedTypes="0" containsString="0" containsNumber="1" minValue="0" maxValue="100"/>
    </cacheField>
    <cacheField name="Total GST" numFmtId="0">
      <sharedItems containsSemiMixedTypes="0" containsString="0" containsNumber="1" minValue="0" maxValue="309576.64"/>
    </cacheField>
    <cacheField name="TCS" numFmtId="0">
      <sharedItems containsSemiMixedTypes="0" containsString="0" containsNumber="1" containsInteger="1" minValue="0" maxValue="0"/>
    </cacheField>
    <cacheField name="GST-IN" numFmtId="0">
      <sharedItems/>
    </cacheField>
    <cacheField name="Unit" numFmtId="0">
      <sharedItems/>
    </cacheField>
    <cacheField name="HSN Code" numFmtId="0">
      <sharedItems containsSemiMixedTypes="0" containsString="0" containsNumber="1" containsInteger="1" minValue="340290" maxValue="96161010"/>
    </cacheField>
    <cacheField name="Currencty" numFmtId="0">
      <sharedItems/>
    </cacheField>
    <cacheField name="Exc.Rate" numFmtId="0">
      <sharedItems containsSemiMixedTypes="0" containsString="0" containsNumber="1" containsInteger="1" minValue="1" maxValue="1"/>
    </cacheField>
    <cacheField name="Net Wt" numFmtId="0">
      <sharedItems containsSemiMixedTypes="0" containsString="0" containsNumber="1" minValue="0" maxValue="3627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Negi" refreshedDate="46240.545266898145" createdVersion="5" refreshedVersion="5" minRefreshableVersion="3" recordCount="449">
  <cacheSource type="worksheet">
    <worksheetSource ref="B1:BP450" sheet="Inward Register"/>
  </cacheSource>
  <cacheFields count="67">
    <cacheField name="CompanyName" numFmtId="0">
      <sharedItems/>
    </cacheField>
    <cacheField name="Date" numFmtId="0">
      <sharedItems containsDate="1" containsMixedTypes="1" minDate="2026-01-07T00:00:00" maxDate="2026-12-08T00:00:00"/>
    </cacheField>
    <cacheField name="srno" numFmtId="0">
      <sharedItems/>
    </cacheField>
    <cacheField name="Itemcode" numFmtId="0">
      <sharedItems/>
    </cacheField>
    <cacheField name="Itemname" numFmtId="0">
      <sharedItems count="24">
        <s v="PP UL Fabric With UV"/>
        <s v="PP Lam Fabric With UV"/>
        <s v="LDPE/LLDPE Bags/Liner"/>
        <s v="Webbing"/>
        <s v="FIBC WIP"/>
        <s v="Zip Lock Bags"/>
        <s v="LDPE/LLDPE Film"/>
        <s v="PP Fibrillated Tape Twisted 3200 Blue"/>
        <s v="PP Fibrillated Tape Twisted 3200 MW"/>
        <s v="DOC Pouch"/>
        <s v="PP MF Yarn Twisted 3000 Denier UV NW"/>
        <s v="PP UL Fabric Without UV"/>
        <s v="Ink Vyankatesh Poly Robbin Red VLX 876"/>
        <s v="FIBC Bags With UV Without Liner"/>
        <s v="Thinner Vyankatesh Thinner"/>
        <s v="Jute Fabric"/>
        <s v="PP MF Yarn Twisted 3000 Denier UV Deep Blue"/>
        <s v="Ink Vyankatesh Poly Opaque White OPEQUE WHITE VLX 624"/>
        <s v="Ink Vyankatesh Poly Process Blue VLX 643"/>
        <s v="Ink Vyankatesh Poly Process Yellow VLX 671"/>
        <s v="Ink Vyankatesh Poly Red Pantone 032C"/>
        <s v="Ink Vyankatesh Poly Green 355C VLX 619"/>
        <s v="Ink Vyankatesh Red 485c"/>
        <s v="Ink Vyankatesh Poly Black VLX 579"/>
      </sharedItems>
    </cacheField>
    <cacheField name="Indentsubcode" numFmtId="0">
      <sharedItems containsBlank="1"/>
    </cacheField>
    <cacheField name="PoNO" numFmtId="0">
      <sharedItems/>
    </cacheField>
    <cacheField name="OrderQty" numFmtId="0">
      <sharedItems containsSemiMixedTypes="0" containsString="0" containsNumber="1" minValue="5.5" maxValue="150000"/>
    </cacheField>
    <cacheField name="Challanqty" numFmtId="0">
      <sharedItems containsSemiMixedTypes="0" containsString="0" containsNumber="1" minValue="5.5" maxValue="22400"/>
    </cacheField>
    <cacheField name="Unit" numFmtId="0">
      <sharedItems/>
    </cacheField>
    <cacheField name="Recdqty" numFmtId="0">
      <sharedItems containsSemiMixedTypes="0" containsString="0" containsNumber="1" minValue="5.5" maxValue="22400"/>
    </cacheField>
    <cacheField name="PendingQty" numFmtId="0">
      <sharedItems containsSemiMixedTypes="0" containsString="0" containsNumber="1" minValue="0" maxValue="92868"/>
    </cacheField>
    <cacheField name="Acceptedqty" numFmtId="0">
      <sharedItems containsSemiMixedTypes="0" containsString="0" containsNumber="1" minValue="5.5" maxValue="22400"/>
    </cacheField>
    <cacheField name="Vehicalno" numFmtId="0">
      <sharedItems/>
    </cacheField>
    <cacheField name="Partyname" numFmtId="0">
      <sharedItems/>
    </cacheField>
    <cacheField name="Suppliername" numFmtId="0">
      <sharedItems/>
    </cacheField>
    <cacheField name="ChallanNo" numFmtId="0">
      <sharedItems containsMixedTypes="1" containsNumber="1" containsInteger="1" minValue="441" maxValue="441"/>
    </cacheField>
    <cacheField name="Challan Date" numFmtId="0">
      <sharedItems containsDate="1" containsMixedTypes="1" minDate="2026-01-07T00:00:00" maxDate="2026-12-08T00:00:00"/>
    </cacheField>
    <cacheField name="category" numFmtId="0">
      <sharedItems/>
    </cacheField>
    <cacheField name="subcategory" numFmtId="0">
      <sharedItems/>
    </cacheField>
    <cacheField name="MRno" numFmtId="0">
      <sharedItems/>
    </cacheField>
    <cacheField name="Rate" numFmtId="0">
      <sharedItems containsSemiMixedTypes="0" containsString="0" containsNumber="1" minValue="3.2387999999999999" maxValue="311"/>
    </cacheField>
    <cacheField name="Amount" numFmtId="0">
      <sharedItems containsSemiMixedTypes="0" containsString="0" containsNumber="1" minValue="3.2388029147979598" maxValue="319.08769112860199"/>
    </cacheField>
    <cacheField name="BillNo" numFmtId="0">
      <sharedItems containsMixedTypes="1" containsNumber="1" containsInteger="1" minValue="441" maxValue="441"/>
    </cacheField>
    <cacheField name="Bill Date" numFmtId="0">
      <sharedItems containsDate="1" containsMixedTypes="1" minDate="2026-01-07T00:00:00" maxDate="2026-12-08T00:00:00"/>
    </cacheField>
    <cacheField name="ItemRemarks" numFmtId="0">
      <sharedItems containsNonDate="0" containsString="0" containsBlank="1"/>
    </cacheField>
    <cacheField name="Remarks" numFmtId="0">
      <sharedItems/>
    </cacheField>
    <cacheField name="Note" numFmtId="0">
      <sharedItems containsNonDate="0" containsString="0" containsBlank="1"/>
    </cacheField>
    <cacheField name="Transportname" numFmtId="0">
      <sharedItems/>
    </cacheField>
    <cacheField name="Lrnodate" numFmtId="0">
      <sharedItems containsMixedTypes="1" containsNumber="1" containsInteger="1" minValue="4102516005" maxValue="4102516005"/>
    </cacheField>
    <cacheField name="Discamt" numFmtId="0">
      <sharedItems containsSemiMixedTypes="0" containsString="0" containsNumber="1" containsInteger="1" minValue="0" maxValue="0"/>
    </cacheField>
    <cacheField name="Discamt1" numFmtId="0">
      <sharedItems containsSemiMixedTypes="0" containsString="0" containsNumber="1" containsInteger="1" minValue="0" maxValue="0"/>
    </cacheField>
    <cacheField name="ExciseAmount" numFmtId="0">
      <sharedItems containsSemiMixedTypes="0" containsString="0" containsNumber="1" containsInteger="1" minValue="0" maxValue="0"/>
    </cacheField>
    <cacheField name="EducessAmount" numFmtId="0">
      <sharedItems containsSemiMixedTypes="0" containsString="0" containsNumber="1" containsInteger="1" minValue="0" maxValue="0"/>
    </cacheField>
    <cacheField name="HiEducessamount" numFmtId="0">
      <sharedItems containsSemiMixedTypes="0" containsString="0" containsNumber="1" containsInteger="1" minValue="0" maxValue="0"/>
    </cacheField>
    <cacheField name="InwardVatType" numFmtId="0">
      <sharedItems/>
    </cacheField>
    <cacheField name="Vatamount" numFmtId="0">
      <sharedItems containsSemiMixedTypes="0" containsString="0" containsNumber="1" containsInteger="1" minValue="0" maxValue="0"/>
    </cacheField>
    <cacheField name="Addvatamount" numFmtId="0">
      <sharedItems containsSemiMixedTypes="0" containsString="0" containsNumber="1" containsInteger="1" minValue="0" maxValue="0"/>
    </cacheField>
    <cacheField name="Frieght" numFmtId="0">
      <sharedItems containsSemiMixedTypes="0" containsString="0" containsNumber="1" containsInteger="1" minValue="0" maxValue="0"/>
    </cacheField>
    <cacheField name="Pkgfwd" numFmtId="0">
      <sharedItems containsSemiMixedTypes="0" containsString="0" containsNumber="1" containsInteger="1" minValue="0" maxValue="2000"/>
    </cacheField>
    <cacheField name="Otherchg" numFmtId="0">
      <sharedItems containsSemiMixedTypes="0" containsString="0" containsNumber="1" containsInteger="1" minValue="0" maxValue="0"/>
    </cacheField>
    <cacheField name="Spdutyname" numFmtId="0">
      <sharedItems containsBlank="1"/>
    </cacheField>
    <cacheField name="Spdutyamt" numFmtId="0">
      <sharedItems containsSemiMixedTypes="0" containsString="0" containsNumber="1" containsInteger="1" minValue="0" maxValue="100"/>
    </cacheField>
    <cacheField name="Additionalduty" numFmtId="0">
      <sharedItems containsSemiMixedTypes="0" containsString="0" containsNumber="1" containsInteger="1" minValue="0" maxValue="0"/>
    </cacheField>
    <cacheField name="Billamount" numFmtId="0">
      <sharedItems containsSemiMixedTypes="0" containsString="0" containsNumber="1" minValue="2074.3000000000002" maxValue="2321384.71"/>
    </cacheField>
    <cacheField name="Deptt" numFmtId="0">
      <sharedItems/>
    </cacheField>
    <cacheField name="GroupName" numFmtId="0">
      <sharedItems/>
    </cacheField>
    <cacheField name="SubGroupName" numFmtId="0">
      <sharedItems containsBlank="1"/>
    </cacheField>
    <cacheField name="Deptt Po Indent" numFmtId="0">
      <sharedItems/>
    </cacheField>
    <cacheField name="LoginName" numFmtId="0">
      <sharedItems containsBlank="1"/>
    </cacheField>
    <cacheField name="servicetax" numFmtId="0">
      <sharedItems containsSemiMixedTypes="0" containsString="0" containsNumber="1" containsInteger="1" minValue="0" maxValue="0"/>
    </cacheField>
    <cacheField name="Basic Amount" numFmtId="0">
      <sharedItems containsSemiMixedTypes="0" containsString="0" containsNumber="1" minValue="937.7" maxValue="1719871.48"/>
    </cacheField>
    <cacheField name="GateInwardNo" numFmtId="0">
      <sharedItems containsMixedTypes="1" containsNumber="1" containsInteger="1" minValue="9" maxValue="1537"/>
    </cacheField>
    <cacheField name="GateInwardDate" numFmtId="0">
      <sharedItems containsDate="1" containsMixedTypes="1" minDate="2026-01-07T00:00:00" maxDate="2026-12-08T00:00:00"/>
    </cacheField>
    <cacheField name="VendorGST" numFmtId="0">
      <sharedItems/>
    </cacheField>
    <cacheField name="MRN User" numFmtId="0">
      <sharedItems/>
    </cacheField>
    <cacheField name="POUserName" numFmtId="0">
      <sharedItems/>
    </cacheField>
    <cacheField name="CGSTPer" numFmtId="0">
      <sharedItems containsSemiMixedTypes="0" containsString="0" containsNumber="1" minValue="0" maxValue="9"/>
    </cacheField>
    <cacheField name="CGSTAmount" numFmtId="0">
      <sharedItems containsSemiMixedTypes="0" containsString="0" containsNumber="1" minValue="0" maxValue="154788.32"/>
    </cacheField>
    <cacheField name="SGSTPer" numFmtId="0">
      <sharedItems containsSemiMixedTypes="0" containsString="0" containsNumber="1" minValue="0" maxValue="9"/>
    </cacheField>
    <cacheField name="SGSTAmount" numFmtId="0">
      <sharedItems containsSemiMixedTypes="0" containsString="0" containsNumber="1" minValue="0" maxValue="154788.32"/>
    </cacheField>
    <cacheField name="IGSTPer" numFmtId="0">
      <sharedItems containsSemiMixedTypes="0" containsString="0" containsNumber="1" containsInteger="1" minValue="0" maxValue="18"/>
    </cacheField>
    <cacheField name="IGSTAmount" numFmtId="0">
      <sharedItems containsSemiMixedTypes="0" containsString="0" containsNumber="1" minValue="0" maxValue="99144"/>
    </cacheField>
    <cacheField name="RBIllmount" numFmtId="0">
      <sharedItems containsSemiMixedTypes="0" containsString="0" containsNumber="1" minValue="0" maxValue="2321384.71"/>
    </cacheField>
    <cacheField name="EWayNo" numFmtId="0">
      <sharedItems containsSemiMixedTypes="0" containsString="0" containsNumber="1" containsInteger="1" minValue="67213627380" maxValue="692153973119"/>
    </cacheField>
    <cacheField name="EWayDt" numFmtId="14">
      <sharedItems containsSemiMixedTypes="0" containsNonDate="0" containsDate="1" containsString="0" minDate="2026-06-27T00:00:00" maxDate="2026-08-01T00:00:00"/>
    </cacheField>
    <cacheField name="netwt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55">
  <r>
    <d v="2026-01-07T00:00:00"/>
    <s v="Plastene India ltd - Unit 1-Purchase"/>
    <s v="General Purchase"/>
    <s v="GNCN 234"/>
    <x v="0"/>
    <s v="PIL1/D/875"/>
    <d v="2026-01-07T00:00:00"/>
    <s v="Stores/Spares"/>
    <s v="MS Structure Items"/>
    <s v="Spares &amp; Stores"/>
    <s v="Stores &amp; Consumables"/>
    <s v="MS Pipe 4  C Class"/>
    <n v="354"/>
    <n v="16992"/>
    <s v="MS Pipe 4  C Class"/>
    <n v="20033.57"/>
    <n v="9"/>
    <n v="1529.28"/>
    <n v="9"/>
    <n v="1529.28"/>
    <n v="0"/>
    <n v="0"/>
    <n v="0"/>
    <n v="3058.56"/>
    <n v="0"/>
    <s v="24AAACO3087C1ZT"/>
    <s v="Kgs"/>
    <n v="73063090"/>
    <s v="Rs."/>
    <n v="1"/>
    <n v="0"/>
  </r>
  <r>
    <d v="2026-01-07T00:00:00"/>
    <s v="Plastene India ltd - Unit 1-Purchase"/>
    <s v="R.M.P."/>
    <s v="RM 324"/>
    <x v="1"/>
    <s v="PIL1/D/874"/>
    <d v="2026-01-07T00:00:00"/>
    <s v="SF"/>
    <s v="PP/PE Fabric"/>
    <s v="PP Lam Fabric"/>
    <s v="PP Laminated Woven Fabric"/>
    <s v="PP Lam Fabric With UV"/>
    <n v="289"/>
    <n v="44719.86"/>
    <s v="PP Lam Fabric With UV"/>
    <n v="1727090.3"/>
    <n v="9"/>
    <n v="4024.79"/>
    <n v="9"/>
    <n v="4024.79"/>
    <n v="0"/>
    <n v="0"/>
    <n v="0"/>
    <n v="8049.58"/>
    <n v="0"/>
    <s v="24AAACO3087C1ZT"/>
    <s v="Kgs"/>
    <n v="63053300"/>
    <s v="Rs."/>
    <n v="1"/>
    <n v="289"/>
  </r>
  <r>
    <d v="2026-01-07T00:00:00"/>
    <s v="Plastene India ltd - Unit 1-Purchase"/>
    <s v="R.M.P."/>
    <s v="RM 324"/>
    <x v="1"/>
    <s v="PIL1/D/874"/>
    <d v="2026-01-07T00:00:00"/>
    <s v="SF"/>
    <s v="PP/PE Fabric"/>
    <s v="PP UL Fabric"/>
    <s v="PP Woven Fabric"/>
    <s v="PP UL Fabric With UV"/>
    <n v="2836"/>
    <n v="424662.64"/>
    <s v="PP UL Fabric With UV"/>
    <n v="0"/>
    <n v="9"/>
    <n v="38219.64"/>
    <n v="9"/>
    <n v="38219.64"/>
    <n v="0"/>
    <n v="0"/>
    <n v="0"/>
    <n v="76439.28"/>
    <n v="0"/>
    <s v="24AAACO3087C1ZT"/>
    <s v="Kgs"/>
    <n v="39269080"/>
    <s v="Rs."/>
    <n v="1"/>
    <n v="2836"/>
  </r>
  <r>
    <d v="2026-01-07T00:00:00"/>
    <s v="Plastene India ltd - Unit 1-Purchase"/>
    <s v="R.M.P."/>
    <s v="RM 324"/>
    <x v="1"/>
    <s v="PIL1/D/874"/>
    <d v="2026-01-07T00:00:00"/>
    <s v="SF"/>
    <s v="PP/PE Fabric"/>
    <s v="PP UL Fabric"/>
    <s v="PP Woven Fabric"/>
    <s v="PP UL Fabric With UV"/>
    <n v="6027"/>
    <n v="890428.98"/>
    <s v="PP UL Fabric With UV"/>
    <n v="0"/>
    <n v="9"/>
    <n v="80138.61"/>
    <n v="9"/>
    <n v="80138.61"/>
    <n v="0"/>
    <n v="0"/>
    <n v="0"/>
    <n v="160277.22"/>
    <n v="0"/>
    <s v="24AAACO3087C1ZT"/>
    <s v="Kgs"/>
    <n v="39269080"/>
    <s v="Rs."/>
    <n v="1"/>
    <n v="6027"/>
  </r>
  <r>
    <d v="2026-01-07T00:00:00"/>
    <s v="Plastene India ltd - Unit 1-Purchase"/>
    <s v="R.M.P."/>
    <s v="RM 324"/>
    <x v="1"/>
    <s v="PIL1/D/874"/>
    <d v="2026-01-07T00:00:00"/>
    <s v="SF"/>
    <s v="PP/PE Fabric"/>
    <s v="PP UL Fabric"/>
    <s v="PP Woven Fabric"/>
    <s v="PP UL Fabric With UV"/>
    <n v="697"/>
    <n v="105065.78"/>
    <s v="PP UL Fabric With UV"/>
    <n v="0"/>
    <n v="9"/>
    <n v="9455.92"/>
    <n v="9"/>
    <n v="9455.92"/>
    <n v="0"/>
    <n v="0"/>
    <n v="0"/>
    <n v="18911.84"/>
    <n v="0"/>
    <s v="24AAACO3087C1ZT"/>
    <s v="Kgs"/>
    <n v="39269080"/>
    <s v="Rs."/>
    <n v="1"/>
    <n v="697"/>
  </r>
  <r>
    <d v="2026-01-07T00:00:00"/>
    <s v="Plastene India ltd - Unit 1-Purchase"/>
    <s v="R.M.P."/>
    <s v="RM 325"/>
    <x v="1"/>
    <s v="PIL1/D/876"/>
    <d v="2026-01-07T00:00:00"/>
    <s v="SF"/>
    <s v="Liners"/>
    <s v="LDPE/LLDPE Bags"/>
    <s v="LLDPE Bags"/>
    <s v="LDPE/LLDPE Bags/Liner"/>
    <n v="3917"/>
    <n v="709564.55"/>
    <s v="LDPE/LLDPE Bags/Liner"/>
    <n v="1322447.83"/>
    <n v="9"/>
    <n v="63860.81"/>
    <n v="9"/>
    <n v="63860.81"/>
    <n v="0"/>
    <n v="0"/>
    <n v="0"/>
    <n v="127721.62"/>
    <n v="0"/>
    <s v="24AAACO3087C1ZT"/>
    <s v="Kgs"/>
    <n v="39200000"/>
    <s v="Rs."/>
    <n v="1"/>
    <n v="3917"/>
  </r>
  <r>
    <d v="2026-01-07T00:00:00"/>
    <s v="Plastene India ltd - Unit 1-Purchase"/>
    <s v="R.M.P."/>
    <s v="RM 325"/>
    <x v="1"/>
    <s v="PIL1/D/876"/>
    <d v="2026-01-07T00:00:00"/>
    <s v="SF"/>
    <s v="PP/PE Fabric"/>
    <s v="PP Lam Fabric"/>
    <s v="PP Laminated Woven Fabric"/>
    <s v="PP Lam Fabric With UV"/>
    <n v="571"/>
    <n v="88356.54"/>
    <s v="PP Lam Fabric With UV"/>
    <n v="0"/>
    <n v="9"/>
    <n v="7952.09"/>
    <n v="9"/>
    <n v="7952.09"/>
    <n v="0"/>
    <n v="0"/>
    <n v="0"/>
    <n v="15904.18"/>
    <n v="0"/>
    <s v="24AAACO3087C1ZT"/>
    <s v="Kgs"/>
    <n v="63053300"/>
    <s v="Rs."/>
    <n v="1"/>
    <n v="571"/>
  </r>
  <r>
    <d v="2026-01-07T00:00:00"/>
    <s v="Plastene India ltd - Unit 1-Purchase"/>
    <s v="R.M.P."/>
    <s v="RM 325"/>
    <x v="1"/>
    <s v="PIL1/D/876"/>
    <d v="2026-01-07T00:00:00"/>
    <s v="SF"/>
    <s v="PP/PE Fabric"/>
    <s v="PP Lam Fabric"/>
    <s v="PP Laminated Woven Fabric"/>
    <s v="PP Lam Fabric With UV"/>
    <n v="400"/>
    <n v="61896"/>
    <s v="PP Lam Fabric With UV"/>
    <n v="0"/>
    <n v="9"/>
    <n v="5570.64"/>
    <n v="9"/>
    <n v="5570.64"/>
    <n v="0"/>
    <n v="0"/>
    <n v="0"/>
    <n v="11141.28"/>
    <n v="0"/>
    <s v="24AAACO3087C1ZT"/>
    <s v="Kgs"/>
    <n v="63053300"/>
    <s v="Rs."/>
    <n v="1"/>
    <n v="400"/>
  </r>
  <r>
    <d v="2026-01-07T00:00:00"/>
    <s v="Plastene India ltd - Unit 1-Purchase"/>
    <s v="R.M.P."/>
    <s v="RM 325"/>
    <x v="1"/>
    <s v="PIL1/D/876"/>
    <d v="2026-01-07T00:00:00"/>
    <s v="SF"/>
    <s v="Webbing"/>
    <s v="PP Webbing"/>
    <s v="PP Webbing"/>
    <s v="Webbing"/>
    <n v="236.8"/>
    <n v="35458.43"/>
    <s v="Webbing"/>
    <n v="0"/>
    <n v="9"/>
    <n v="3191.26"/>
    <n v="9"/>
    <n v="3191.26"/>
    <n v="0"/>
    <n v="0"/>
    <n v="0"/>
    <n v="6382.52"/>
    <n v="0"/>
    <s v="24AAACO3087C1ZT"/>
    <s v="Kgs"/>
    <n v="3926908"/>
    <s v="Rs."/>
    <n v="1"/>
    <n v="236.8"/>
  </r>
  <r>
    <d v="2026-01-07T00:00:00"/>
    <s v="Plastene India ltd - Unit 1-Purchase"/>
    <s v="R.M.P."/>
    <s v="RM 325"/>
    <x v="1"/>
    <s v="PIL1/D/876"/>
    <d v="2026-01-07T00:00:00"/>
    <s v="SF"/>
    <s v="Webbing"/>
    <s v="PP Webbing"/>
    <s v="PP Webbing"/>
    <s v="Webbing"/>
    <n v="1091.9000000000001"/>
    <n v="166776.81"/>
    <s v="Webbing"/>
    <n v="0"/>
    <n v="9"/>
    <n v="15009.91"/>
    <n v="9"/>
    <n v="15009.91"/>
    <n v="0"/>
    <n v="0"/>
    <n v="0"/>
    <n v="30019.82"/>
    <n v="0"/>
    <s v="24AAACO3087C1ZT"/>
    <s v="Kgs"/>
    <n v="3926908"/>
    <s v="Rs."/>
    <n v="1"/>
    <n v="1091.9000000000001"/>
  </r>
  <r>
    <d v="2026-01-07T00:00:00"/>
    <s v="Plastene India ltd - Unit 1-Purchase"/>
    <s v="R.M.P."/>
    <s v="RM 325"/>
    <x v="1"/>
    <s v="PIL1/D/876"/>
    <d v="2026-01-07T00:00:00"/>
    <s v="SF"/>
    <s v="Webbing"/>
    <s v="PP Webbing"/>
    <s v="PP Webbing"/>
    <s v="Webbing"/>
    <n v="9.8000000000000007"/>
    <n v="1702.65"/>
    <s v="Webbing"/>
    <n v="0"/>
    <n v="9"/>
    <n v="153.24"/>
    <n v="9"/>
    <n v="153.24"/>
    <n v="0"/>
    <n v="0"/>
    <n v="0"/>
    <n v="306.48"/>
    <n v="0"/>
    <s v="24AAACO3087C1ZT"/>
    <s v="Kgs"/>
    <n v="3926908"/>
    <s v="Rs."/>
    <n v="1"/>
    <n v="9.8000000000000007"/>
  </r>
  <r>
    <d v="2026-01-07T00:00:00"/>
    <s v="Plastene India ltd - Unit 1-Purchase"/>
    <s v="R.M.P."/>
    <s v="RM 325"/>
    <x v="1"/>
    <s v="PIL1/D/876"/>
    <d v="2026-01-07T00:00:00"/>
    <s v="SF"/>
    <s v="PP/PE Fabric"/>
    <s v="PP UL Fabric"/>
    <s v="PP Woven Fabric"/>
    <s v="PP UL Fabric With UV"/>
    <n v="392"/>
    <n v="57914.080000000002"/>
    <s v="PP UL Fabric With UV"/>
    <n v="0"/>
    <n v="9"/>
    <n v="5212.2700000000004"/>
    <n v="9"/>
    <n v="5212.2700000000004"/>
    <n v="0"/>
    <n v="0"/>
    <n v="0"/>
    <n v="10424.540000000001"/>
    <n v="0"/>
    <s v="24AAACO3087C1ZT"/>
    <s v="Kgs"/>
    <n v="39269080"/>
    <s v="Rs."/>
    <n v="1"/>
    <n v="392"/>
  </r>
  <r>
    <d v="2026-02-07T00:00:00"/>
    <s v="Plastene India ltd - Unit 1-Purchase"/>
    <s v="General Purchase"/>
    <s v="GNCN 235"/>
    <x v="0"/>
    <s v="PIL1/D/887"/>
    <d v="2026-02-07T00:00:00"/>
    <s v="Stores/Spares"/>
    <s v="MS Structure Items"/>
    <s v="Spares &amp; Stores"/>
    <s v="Stores &amp; Consumables"/>
    <s v="MS Pipe 4  C Class"/>
    <n v="194"/>
    <n v="9312"/>
    <s v="MS Pipe 4  C Class"/>
    <n v="10978.85"/>
    <n v="9"/>
    <n v="838.08"/>
    <n v="9"/>
    <n v="838.08"/>
    <n v="0"/>
    <n v="0"/>
    <n v="0"/>
    <n v="1676.16"/>
    <n v="0"/>
    <s v="24AAACO3087C1ZT"/>
    <s v="Kgs"/>
    <n v="73063090"/>
    <s v="Rs."/>
    <n v="1"/>
    <n v="0"/>
  </r>
  <r>
    <d v="2026-02-07T00:00:00"/>
    <s v="Plastene India ltd - Unit 1-Purchase"/>
    <s v="R.M.P."/>
    <s v="RM 326"/>
    <x v="1"/>
    <s v="PIL1/D/877"/>
    <d v="2026-01-07T00:00:00"/>
    <s v="SF"/>
    <s v="PP/PE Fabric"/>
    <s v="PP UL Fabric"/>
    <s v="PP Woven Fabric"/>
    <s v="PP UL Fabric With UV"/>
    <n v="491"/>
    <n v="73522.34"/>
    <s v="PP UL Fabric With UV"/>
    <n v="355449.38"/>
    <n v="9"/>
    <n v="6617.01"/>
    <n v="9"/>
    <n v="6617.01"/>
    <n v="0"/>
    <n v="0"/>
    <n v="0"/>
    <n v="13234.02"/>
    <n v="0"/>
    <s v="24AAACO3087C1ZT"/>
    <s v="Kgs"/>
    <n v="39269080"/>
    <s v="Rs."/>
    <n v="1"/>
    <n v="491"/>
  </r>
  <r>
    <d v="2026-02-07T00:00:00"/>
    <s v="Plastene India ltd - Unit 1-Purchase"/>
    <s v="R.M.P."/>
    <s v="RM 326"/>
    <x v="1"/>
    <s v="PIL1/D/877"/>
    <d v="2026-01-07T00:00:00"/>
    <s v="FG"/>
    <s v="FIBC WIP"/>
    <s v="FIBC WIP"/>
    <s v="FIBC WIP"/>
    <s v="PP Woven Fabric"/>
    <n v="500"/>
    <n v="78870"/>
    <s v="FIBC WIP"/>
    <n v="0"/>
    <n v="9"/>
    <n v="7098.3"/>
    <n v="9"/>
    <n v="7098.3"/>
    <n v="0"/>
    <n v="0"/>
    <n v="0"/>
    <n v="14196.6"/>
    <n v="0"/>
    <s v="24AAACO3087C1ZT"/>
    <s v="Kgs"/>
    <n v="39269080"/>
    <s v="Rs."/>
    <n v="1"/>
    <n v="500"/>
  </r>
  <r>
    <d v="2026-02-07T00:00:00"/>
    <s v="Plastene India ltd - Unit 1-Purchase"/>
    <s v="R.M.P."/>
    <s v="RM 326"/>
    <x v="1"/>
    <s v="PIL1/D/877"/>
    <d v="2026-01-07T00:00:00"/>
    <s v="FG"/>
    <s v="FIBC WIP"/>
    <s v="FIBC WIP"/>
    <s v="FIBC WIP"/>
    <s v="PP Woven Fabric"/>
    <n v="594"/>
    <n v="94885.56"/>
    <s v="FIBC WIP"/>
    <n v="0"/>
    <n v="9"/>
    <n v="8539.7000000000007"/>
    <n v="9"/>
    <n v="8539.7000000000007"/>
    <n v="0"/>
    <n v="0"/>
    <n v="0"/>
    <n v="17079.400000000001"/>
    <n v="0"/>
    <s v="24AAACO3087C1ZT"/>
    <s v="Kgs"/>
    <n v="39269080"/>
    <s v="Rs."/>
    <n v="1"/>
    <n v="594"/>
  </r>
  <r>
    <d v="2026-02-07T00:00:00"/>
    <s v="Plastene India ltd - Unit 1-Purchase"/>
    <s v="R.M.P."/>
    <s v="RM 326"/>
    <x v="1"/>
    <s v="PIL1/D/877"/>
    <d v="2026-01-07T00:00:00"/>
    <s v="SF"/>
    <s v="PP/PE Fabric"/>
    <s v="PP Lam Fabric"/>
    <s v="PP Laminated Woven Fabric"/>
    <s v="PP Lam Fabric With UV"/>
    <n v="362"/>
    <n v="54205.88"/>
    <s v="PP Lam Fabric With UV"/>
    <n v="0"/>
    <n v="9"/>
    <n v="4878.53"/>
    <n v="9"/>
    <n v="4878.53"/>
    <n v="0"/>
    <n v="0"/>
    <n v="0"/>
    <n v="9757.06"/>
    <n v="0"/>
    <s v="24AAACO3087C1ZT"/>
    <s v="Kgs"/>
    <n v="63053300"/>
    <s v="Rs."/>
    <n v="1"/>
    <n v="362"/>
  </r>
  <r>
    <d v="2026-02-07T00:00:00"/>
    <s v="Plastene India ltd - Unit 1-Purchase"/>
    <s v="R.M.P."/>
    <s v="RM 327"/>
    <x v="1"/>
    <s v="PIL1/D/884"/>
    <d v="2026-02-07T00:00:00"/>
    <s v="SF"/>
    <s v="Liners"/>
    <s v="LDPE/LLDPE Bags"/>
    <s v="LLDPE Bags"/>
    <s v="LDPE/LLDPE Bags/Liner"/>
    <n v="435"/>
    <n v="78800.25"/>
    <s v="LDPE/LLDPE Bags/Liner"/>
    <n v="1680960.96"/>
    <n v="9"/>
    <n v="7092.02"/>
    <n v="9"/>
    <n v="7092.02"/>
    <n v="0"/>
    <n v="0"/>
    <n v="0"/>
    <n v="14184.04"/>
    <n v="0"/>
    <s v="24AAACO3087C1ZT"/>
    <s v="Kgs"/>
    <n v="39200000"/>
    <s v="Rs."/>
    <n v="1"/>
    <n v="435"/>
  </r>
  <r>
    <d v="2026-02-07T00:00:00"/>
    <s v="Plastene India ltd - Unit 1-Purchase"/>
    <s v="R.M.P."/>
    <s v="RM 327"/>
    <x v="1"/>
    <s v="PIL1/D/884"/>
    <d v="2026-02-07T00:00:00"/>
    <s v="SF"/>
    <s v="PP/PE Fabric"/>
    <s v="PP UL Fabric"/>
    <s v="PP Woven Fabric"/>
    <s v="PP UL Fabric With UV"/>
    <n v="3302"/>
    <n v="487837.48"/>
    <s v="PP UL Fabric With UV"/>
    <n v="0"/>
    <n v="9"/>
    <n v="43905.37"/>
    <n v="9"/>
    <n v="43905.37"/>
    <n v="0"/>
    <n v="0"/>
    <n v="0"/>
    <n v="87810.74"/>
    <n v="0"/>
    <s v="24AAACO3087C1ZT"/>
    <s v="Kgs"/>
    <n v="39269080"/>
    <s v="Rs."/>
    <n v="1"/>
    <n v="3302"/>
  </r>
  <r>
    <d v="2026-02-07T00:00:00"/>
    <s v="Plastene India ltd - Unit 1-Purchase"/>
    <s v="R.M.P."/>
    <s v="RM 327"/>
    <x v="1"/>
    <s v="PIL1/D/884"/>
    <d v="2026-02-07T00:00:00"/>
    <s v="SF"/>
    <s v="PP/PE Fabric"/>
    <s v="PP UL Fabric"/>
    <s v="PP Woven Fabric"/>
    <s v="PP UL Fabric With UV"/>
    <n v="268"/>
    <n v="40398.32"/>
    <s v="PP UL Fabric With UV"/>
    <n v="0"/>
    <n v="9"/>
    <n v="3635.85"/>
    <n v="9"/>
    <n v="3635.85"/>
    <n v="0"/>
    <n v="0"/>
    <n v="0"/>
    <n v="7271.7"/>
    <n v="0"/>
    <s v="24AAACO3087C1ZT"/>
    <s v="Kgs"/>
    <n v="39269080"/>
    <s v="Rs."/>
    <n v="1"/>
    <n v="268"/>
  </r>
  <r>
    <d v="2026-02-07T00:00:00"/>
    <s v="Plastene India ltd - Unit 1-Purchase"/>
    <s v="R.M.P."/>
    <s v="RM 327"/>
    <x v="1"/>
    <s v="PIL1/D/884"/>
    <d v="2026-02-07T00:00:00"/>
    <s v="SF"/>
    <s v="PP/PE Fabric"/>
    <s v="PP UL Fabric"/>
    <s v="PP Woven Fabric"/>
    <s v="PP UL Fabric With UV"/>
    <n v="3266"/>
    <n v="489050.84"/>
    <s v="PP UL Fabric With UV"/>
    <n v="0"/>
    <n v="9"/>
    <n v="44014.58"/>
    <n v="9"/>
    <n v="44014.58"/>
    <n v="0"/>
    <n v="0"/>
    <n v="0"/>
    <n v="88029.16"/>
    <n v="0"/>
    <s v="24AAACO3087C1ZT"/>
    <s v="Kgs"/>
    <n v="39269080"/>
    <s v="Rs."/>
    <n v="1"/>
    <n v="3266"/>
  </r>
  <r>
    <d v="2026-02-07T00:00:00"/>
    <s v="Plastene India ltd - Unit 1-Purchase"/>
    <s v="R.M.P."/>
    <s v="RM 327"/>
    <x v="1"/>
    <s v="PIL1/D/884"/>
    <d v="2026-02-07T00:00:00"/>
    <s v="SF"/>
    <s v="PP/PE Fabric"/>
    <s v="PP Lam Fabric"/>
    <s v="PP Laminated Woven Fabric"/>
    <s v="PP Lam Fabric With UV"/>
    <n v="1268"/>
    <n v="196210.32"/>
    <s v="PP Lam Fabric With UV"/>
    <n v="0"/>
    <n v="9"/>
    <n v="17658.93"/>
    <n v="9"/>
    <n v="17658.93"/>
    <n v="0"/>
    <n v="0"/>
    <n v="0"/>
    <n v="35317.86"/>
    <n v="0"/>
    <s v="24AAACO3087C1ZT"/>
    <s v="Kgs"/>
    <n v="63053300"/>
    <s v="Rs."/>
    <n v="1"/>
    <n v="1268"/>
  </r>
  <r>
    <d v="2026-02-07T00:00:00"/>
    <s v="Plastene India ltd - Unit 1-Purchase"/>
    <s v="R.M.P."/>
    <s v="RM 327"/>
    <x v="1"/>
    <s v="PIL1/D/884"/>
    <d v="2026-02-07T00:00:00"/>
    <s v="SF"/>
    <s v="PP/PE Fabric"/>
    <s v="PP Lam Fabric"/>
    <s v="PP Laminated Woven Fabric"/>
    <s v="PP Lam Fabric With UV"/>
    <n v="341"/>
    <n v="51743.34"/>
    <s v="PP Lam Fabric With UV"/>
    <n v="0"/>
    <n v="9"/>
    <n v="4656.8999999999996"/>
    <n v="9"/>
    <n v="4656.8999999999996"/>
    <n v="0"/>
    <n v="0"/>
    <n v="0"/>
    <n v="9313.7999999999993"/>
    <n v="0"/>
    <s v="24AAACO3087C1ZT"/>
    <s v="Kgs"/>
    <n v="63053300"/>
    <s v="Rs."/>
    <n v="1"/>
    <n v="341"/>
  </r>
  <r>
    <d v="2026-02-07T00:00:00"/>
    <s v="Plastene India ltd - Unit 1-Purchase"/>
    <s v="R.M.P."/>
    <s v="RM 327"/>
    <x v="1"/>
    <s v="PIL1/D/884"/>
    <d v="2026-02-07T00:00:00"/>
    <s v="SF"/>
    <s v="PP/PE Fabric"/>
    <s v="PP Lam Fabric"/>
    <s v="PP Laminated Woven Fabric"/>
    <s v="PP Lam Fabric With UV"/>
    <n v="320"/>
    <n v="49516.800000000003"/>
    <s v="PP Lam Fabric With UV"/>
    <n v="0"/>
    <n v="9"/>
    <n v="4456.51"/>
    <n v="9"/>
    <n v="4456.51"/>
    <n v="0"/>
    <n v="0"/>
    <n v="0"/>
    <n v="8913.02"/>
    <n v="0"/>
    <s v="24AAACO3087C1ZT"/>
    <s v="Kgs"/>
    <n v="63053300"/>
    <s v="Rs."/>
    <n v="1"/>
    <n v="320"/>
  </r>
  <r>
    <d v="2026-02-07T00:00:00"/>
    <s v="Plastene India ltd - Unit 1-Purchase"/>
    <s v="R.M.P."/>
    <s v="RM 327"/>
    <x v="1"/>
    <s v="PIL1/D/884"/>
    <d v="2026-02-07T00:00:00"/>
    <s v="SF"/>
    <s v="PP/PE Fabric"/>
    <s v="PP Lam Fabric"/>
    <s v="PP Laminated Woven Fabric"/>
    <s v="PP Lam Fabric With UV"/>
    <n v="215"/>
    <n v="32194.1"/>
    <s v="PP Lam Fabric With UV"/>
    <n v="0"/>
    <n v="9"/>
    <n v="2897.47"/>
    <n v="9"/>
    <n v="2897.47"/>
    <n v="0"/>
    <n v="0"/>
    <n v="0"/>
    <n v="5794.94"/>
    <n v="0"/>
    <s v="24AAACO3087C1ZT"/>
    <s v="Kgs"/>
    <n v="63053300"/>
    <s v="Rs."/>
    <n v="1"/>
    <n v="215"/>
  </r>
  <r>
    <d v="2026-02-07T00:00:00"/>
    <s v="Plastene India ltd - Unit 1-Purchase"/>
    <s v="R.M.P."/>
    <s v="RM 328"/>
    <x v="1"/>
    <s v="PIL1/D/888"/>
    <d v="2026-02-07T00:00:00"/>
    <s v="RM Consumables"/>
    <s v="FIBC Accessories"/>
    <s v="FIBC Accessories"/>
    <s v="Stores &amp; Consumables"/>
    <s v="Zip Lock Bags"/>
    <n v="22400"/>
    <n v="72549.119999999995"/>
    <s v="Zip Lock Bags"/>
    <n v="1905132.32"/>
    <n v="9"/>
    <n v="6529.42"/>
    <n v="9"/>
    <n v="6529.42"/>
    <n v="0"/>
    <n v="0"/>
    <n v="0"/>
    <n v="13058.84"/>
    <n v="0"/>
    <s v="24AAACO3087C1ZT"/>
    <s v="Pcs"/>
    <n v="39232100"/>
    <s v="Rs."/>
    <n v="1"/>
    <n v="22400"/>
  </r>
  <r>
    <d v="2026-02-07T00:00:00"/>
    <s v="Plastene India ltd - Unit 1-Purchase"/>
    <s v="R.M.P."/>
    <s v="RM 328"/>
    <x v="1"/>
    <s v="PIL1/D/888"/>
    <d v="2026-02-07T00:00:00"/>
    <s v="SF"/>
    <s v="Liners"/>
    <s v="LDPE/LLDPE Bags"/>
    <s v="LLDPE Bags"/>
    <s v="LDPE/LLDPE Bags/Liner"/>
    <n v="7060"/>
    <n v="1307159"/>
    <s v="LDPE/LLDPE Bags/Liner"/>
    <n v="0"/>
    <n v="9"/>
    <n v="117644.31"/>
    <n v="9"/>
    <n v="117644.31"/>
    <n v="0"/>
    <n v="0"/>
    <n v="0"/>
    <n v="235288.62"/>
    <n v="0"/>
    <s v="24AAACO3087C1ZT"/>
    <s v="Kgs"/>
    <n v="39200000"/>
    <s v="Rs."/>
    <n v="1"/>
    <n v="7060"/>
  </r>
  <r>
    <d v="2026-02-07T00:00:00"/>
    <s v="Plastene India ltd - Unit 1-Purchase"/>
    <s v="R.M.P."/>
    <s v="RM 328"/>
    <x v="1"/>
    <s v="PIL1/D/888"/>
    <d v="2026-02-07T00:00:00"/>
    <s v="SF"/>
    <s v="Webbing"/>
    <s v="PP Webbing"/>
    <s v="PP Webbing"/>
    <s v="Webbing"/>
    <n v="1351.1"/>
    <n v="206367.01"/>
    <s v="Webbing"/>
    <n v="0"/>
    <n v="9"/>
    <n v="18573.03"/>
    <n v="9"/>
    <n v="18573.03"/>
    <n v="0"/>
    <n v="0"/>
    <n v="0"/>
    <n v="37146.06"/>
    <n v="0"/>
    <s v="24AAACO3087C1ZT"/>
    <s v="Kgs"/>
    <n v="3926908"/>
    <s v="Rs."/>
    <n v="1"/>
    <n v="1351.1"/>
  </r>
  <r>
    <d v="2026-02-07T00:00:00"/>
    <s v="Plastene India ltd - Unit 1-Purchase"/>
    <s v="R.M.P."/>
    <s v="RM 328"/>
    <x v="1"/>
    <s v="PIL1/D/888"/>
    <d v="2026-02-07T00:00:00"/>
    <s v="SF"/>
    <s v="Webbing"/>
    <s v="PP Webbing"/>
    <s v="PP Webbing"/>
    <s v="Webbing"/>
    <n v="6.8"/>
    <n v="1181.43"/>
    <s v="Webbing"/>
    <n v="0"/>
    <n v="9"/>
    <n v="106.33"/>
    <n v="9"/>
    <n v="106.33"/>
    <n v="0"/>
    <n v="0"/>
    <n v="0"/>
    <n v="212.66"/>
    <n v="0"/>
    <s v="24AAACO3087C1ZT"/>
    <s v="Kgs"/>
    <n v="3926908"/>
    <s v="Rs."/>
    <n v="1"/>
    <n v="6.8"/>
  </r>
  <r>
    <d v="2026-02-07T00:00:00"/>
    <s v="Plastene India ltd - Unit 1-Purchase"/>
    <s v="R.M.P."/>
    <s v="RM 328"/>
    <x v="1"/>
    <s v="PIL1/D/888"/>
    <d v="2026-02-07T00:00:00"/>
    <s v="SF"/>
    <s v="Webbing"/>
    <s v="PP Webbing"/>
    <s v="PP Webbing"/>
    <s v="Webbing"/>
    <n v="191.2"/>
    <n v="28630.29"/>
    <s v="Webbing"/>
    <n v="0"/>
    <n v="9"/>
    <n v="2576.73"/>
    <n v="9"/>
    <n v="2576.73"/>
    <n v="0"/>
    <n v="0"/>
    <n v="0"/>
    <n v="5153.46"/>
    <n v="0"/>
    <s v="24AAACO3087C1ZT"/>
    <s v="Kgs"/>
    <n v="3926908"/>
    <s v="Rs."/>
    <n v="1"/>
    <n v="191.2"/>
  </r>
  <r>
    <d v="2026-02-07T00:00:00"/>
    <s v="Plastene Polyfilms Ltd-Purchase"/>
    <s v="R.M.P."/>
    <s v="RM 329"/>
    <x v="1"/>
    <s v="PPL/D/303"/>
    <d v="2026-02-07T00:00:00"/>
    <s v="SF"/>
    <s v="Liners"/>
    <s v="LDPE/LLDPE Bags"/>
    <s v="LLDPE Bags"/>
    <s v="LDPE/LLDPE Bags/Liner"/>
    <n v="60"/>
    <n v="11580"/>
    <s v="LDPE/LLDPE Bags/Liner"/>
    <n v="13652.82"/>
    <n v="9"/>
    <n v="1042.2"/>
    <n v="9"/>
    <n v="1042.2"/>
    <n v="0"/>
    <n v="0"/>
    <n v="0"/>
    <n v="2084.4"/>
    <n v="0"/>
    <s v="24AAFCP2956A1ZR"/>
    <s v="Kgs"/>
    <n v="39200000"/>
    <s v="Rs."/>
    <n v="1"/>
    <n v="60"/>
  </r>
  <r>
    <d v="2026-03-07T00:00:00"/>
    <s v="Accurate Rub Tech"/>
    <s v="General Purchase"/>
    <s v="GNSP 110"/>
    <x v="0"/>
    <n v="240"/>
    <s v="26-06-2026"/>
    <s v="Stores/Spares"/>
    <s v="Lamination Plant Spares"/>
    <s v="Spares &amp; Stores"/>
    <s v="Stores &amp; Consumables"/>
    <s v="Coating Steel Roller"/>
    <n v="2"/>
    <n v="26200"/>
    <s v="Coating Steel Roller"/>
    <n v="30916"/>
    <n v="9"/>
    <n v="2358"/>
    <n v="9"/>
    <n v="2358"/>
    <n v="0"/>
    <n v="0"/>
    <n v="0"/>
    <n v="4716"/>
    <n v="0"/>
    <s v="24ABNFA9143N1ZY"/>
    <s v="Pcs"/>
    <n v="84779000"/>
    <s v="Rs."/>
    <n v="1"/>
    <n v="0"/>
  </r>
  <r>
    <d v="2026-03-07T00:00:00"/>
    <s v="Chandan Electric Store"/>
    <s v="General Purchase"/>
    <s v="GNSP 108"/>
    <x v="0"/>
    <s v="CES/26-27/776"/>
    <s v="30-06-2026"/>
    <s v="Stores/Spares"/>
    <s v="PVC Fittings"/>
    <s v="Spares &amp; Stores"/>
    <s v="Stores &amp; Consumables"/>
    <s v="Pvc Flexible Pipe 25 mm"/>
    <n v="200"/>
    <n v="2400"/>
    <s v="Pvc Flexible Pipe 25 mm"/>
    <n v="2832"/>
    <n v="9"/>
    <n v="216"/>
    <n v="9"/>
    <n v="216"/>
    <n v="0"/>
    <n v="0"/>
    <n v="0"/>
    <n v="432"/>
    <n v="0"/>
    <s v="24AAIPH7590J1ZE"/>
    <s v="MTR"/>
    <n v="391731"/>
    <s v="Rs."/>
    <n v="1"/>
    <n v="0"/>
  </r>
  <r>
    <d v="2026-03-07T00:00:00"/>
    <s v="Chandan Electric Store"/>
    <s v="General Purchase"/>
    <s v="GNSP 109"/>
    <x v="0"/>
    <s v="CES/26-27/777"/>
    <s v="30-06-2026"/>
    <s v="Stores/Spares"/>
    <s v="Capacitors"/>
    <s v="Spares &amp; Stores"/>
    <s v="Stores &amp; Consumables"/>
    <s v="Capacitor 2.5 Mfd"/>
    <n v="70"/>
    <n v="1680"/>
    <s v="Capacitor 2.5 Mfd"/>
    <n v="1982"/>
    <n v="9"/>
    <n v="151.19999999999999"/>
    <n v="9"/>
    <n v="151.19999999999999"/>
    <n v="0"/>
    <n v="0"/>
    <n v="0"/>
    <n v="302.39999999999998"/>
    <n v="0"/>
    <s v="24AAIPH7590J1ZE"/>
    <s v="Pcs"/>
    <n v="85322500"/>
    <s v="Rs."/>
    <n v="1"/>
    <n v="0"/>
  </r>
  <r>
    <d v="2026-03-07T00:00:00"/>
    <s v="Plastene India ltd - Unit 1-Purchase"/>
    <s v="General Purchase"/>
    <s v="GNCN 236"/>
    <x v="0"/>
    <s v="PIL1/D/895"/>
    <d v="2026-03-07T00:00:00"/>
    <s v="Stores/Spares"/>
    <s v="MS Structure Items"/>
    <s v="Spares &amp; Stores"/>
    <s v="Stores &amp; Consumables"/>
    <s v="MS Pipe 4  C Class"/>
    <n v="205"/>
    <n v="9840"/>
    <s v="MS Pipe 4  C Class"/>
    <n v="11601.36"/>
    <n v="9"/>
    <n v="885.6"/>
    <n v="9"/>
    <n v="885.6"/>
    <n v="0"/>
    <n v="0"/>
    <n v="0"/>
    <n v="1771.2"/>
    <n v="0"/>
    <s v="24AAACO3087C1ZT"/>
    <s v="Kgs"/>
    <n v="73063090"/>
    <s v="Rs."/>
    <n v="1"/>
    <n v="0"/>
  </r>
  <r>
    <d v="2026-03-07T00:00:00"/>
    <s v="Plastene India ltd - Unit 1-Purchase"/>
    <s v="R.M.P."/>
    <s v="RM 331"/>
    <x v="1"/>
    <s v="PIL1/D/893"/>
    <d v="2026-03-07T00:00:00"/>
    <s v="SF"/>
    <s v="PP/PE Fabric"/>
    <s v="PP UL Fabric"/>
    <s v="PP Woven Fabric"/>
    <s v="PP UL Fabric With UV"/>
    <n v="554"/>
    <n v="83509.960000000006"/>
    <s v="PP UL Fabric With UV"/>
    <n v="1308699.0900000001"/>
    <n v="9"/>
    <n v="7515.9"/>
    <n v="9"/>
    <n v="7515.9"/>
    <n v="0"/>
    <n v="0"/>
    <n v="0"/>
    <n v="15031.8"/>
    <n v="0"/>
    <s v="24AAACO3087C1ZT"/>
    <s v="Kgs"/>
    <n v="39269080"/>
    <s v="Rs."/>
    <n v="1"/>
    <n v="554"/>
  </r>
  <r>
    <d v="2026-03-07T00:00:00"/>
    <s v="Plastene India ltd - Unit 1-Purchase"/>
    <s v="R.M.P."/>
    <s v="RM 331"/>
    <x v="1"/>
    <s v="PIL1/D/893"/>
    <d v="2026-03-07T00:00:00"/>
    <s v="SF"/>
    <s v="PP/PE Fabric"/>
    <s v="PP UL Fabric"/>
    <s v="PP Woven Fabric"/>
    <s v="PP UL Fabric With UV"/>
    <n v="3472"/>
    <n v="519897.28"/>
    <s v="PP UL Fabric With UV"/>
    <n v="0"/>
    <n v="9"/>
    <n v="46790.76"/>
    <n v="9"/>
    <n v="46790.76"/>
    <n v="0"/>
    <n v="0"/>
    <n v="0"/>
    <n v="93581.52"/>
    <n v="0"/>
    <s v="24AAACO3087C1ZT"/>
    <s v="Kgs"/>
    <n v="39269080"/>
    <s v="Rs."/>
    <n v="1"/>
    <n v="3472"/>
  </r>
  <r>
    <d v="2026-03-07T00:00:00"/>
    <s v="Plastene India ltd - Unit 1-Purchase"/>
    <s v="R.M.P."/>
    <s v="RM 331"/>
    <x v="1"/>
    <s v="PIL1/D/893"/>
    <d v="2026-03-07T00:00:00"/>
    <s v="SF"/>
    <s v="PP/PE Fabric"/>
    <s v="PP UL Fabric"/>
    <s v="PP Woven Fabric"/>
    <s v="PP UL Fabric With UV"/>
    <n v="3429"/>
    <n v="506600.46"/>
    <s v="PP UL Fabric With UV"/>
    <n v="0"/>
    <n v="9"/>
    <n v="45594.04"/>
    <n v="9"/>
    <n v="45594.04"/>
    <n v="0"/>
    <n v="0"/>
    <n v="0"/>
    <n v="91188.08"/>
    <n v="0"/>
    <s v="24AAACO3087C1ZT"/>
    <s v="Kgs"/>
    <n v="39269080"/>
    <s v="Rs."/>
    <n v="1"/>
    <n v="3429"/>
  </r>
  <r>
    <d v="2026-03-07T00:00:00"/>
    <s v="Plastene India ltd - Unit 1-Purchase"/>
    <s v="R.M.P."/>
    <s v="RM 332"/>
    <x v="1"/>
    <s v="PIL1/D/896"/>
    <d v="2026-03-07T00:00:00"/>
    <s v="SF"/>
    <s v="Liners"/>
    <s v="LDPE/LLDPE Bags"/>
    <s v="LLDPE Bags"/>
    <s v="LDPE/LLDPE Bags/Liner"/>
    <n v="3398"/>
    <n v="615547.69999999995"/>
    <s v="LDPE/LLDPE Bags/Liner"/>
    <n v="1694395.92"/>
    <n v="9"/>
    <n v="55399.29"/>
    <n v="9"/>
    <n v="55399.29"/>
    <n v="0"/>
    <n v="0"/>
    <n v="0"/>
    <n v="110798.58"/>
    <n v="0"/>
    <s v="24AAACO3087C1ZT"/>
    <s v="Kgs"/>
    <n v="39200000"/>
    <s v="Rs."/>
    <n v="1"/>
    <n v="3398"/>
  </r>
  <r>
    <d v="2026-03-07T00:00:00"/>
    <s v="Plastene India ltd - Unit 1-Purchase"/>
    <s v="R.M.P."/>
    <s v="RM 332"/>
    <x v="1"/>
    <s v="PIL1/D/896"/>
    <d v="2026-03-07T00:00:00"/>
    <s v="SF"/>
    <s v="Liners"/>
    <s v="LDPE/LLDPE Bags"/>
    <s v="LLDPE Bags"/>
    <s v="LDPE/LLDPE Bags/Liner"/>
    <n v="1730"/>
    <n v="320309.5"/>
    <s v="LDPE/LLDPE Bags/Liner"/>
    <n v="0"/>
    <n v="9"/>
    <n v="28827.86"/>
    <n v="9"/>
    <n v="28827.86"/>
    <n v="0"/>
    <n v="0"/>
    <n v="0"/>
    <n v="57655.72"/>
    <n v="0"/>
    <s v="24AAACO3087C1ZT"/>
    <s v="Kgs"/>
    <n v="39200000"/>
    <s v="Rs."/>
    <n v="1"/>
    <n v="1730"/>
  </r>
  <r>
    <d v="2026-03-07T00:00:00"/>
    <s v="Plastene India ltd - Unit 1-Purchase"/>
    <s v="R.M.P."/>
    <s v="RM 332"/>
    <x v="1"/>
    <s v="PIL1/D/896"/>
    <d v="2026-03-07T00:00:00"/>
    <s v="SF"/>
    <s v="PP/PE Fabric"/>
    <s v="PP UL Fabric"/>
    <s v="PP Woven Fabric"/>
    <s v="PP UL Fabric With UV"/>
    <n v="1648"/>
    <n v="243475.52"/>
    <s v="PP UL Fabric With UV"/>
    <n v="0"/>
    <n v="9"/>
    <n v="21912.799999999999"/>
    <n v="9"/>
    <n v="21912.799999999999"/>
    <n v="0"/>
    <n v="0"/>
    <n v="0"/>
    <n v="43825.599999999999"/>
    <n v="0"/>
    <s v="24AAACO3087C1ZT"/>
    <s v="Kgs"/>
    <n v="39269080"/>
    <s v="Rs."/>
    <n v="1"/>
    <n v="1648"/>
  </r>
  <r>
    <d v="2026-03-07T00:00:00"/>
    <s v="Plastene India ltd - Unit 1-Purchase"/>
    <s v="R.M.P."/>
    <s v="RM 332"/>
    <x v="1"/>
    <s v="PIL1/D/896"/>
    <d v="2026-03-07T00:00:00"/>
    <s v="SF"/>
    <s v="Webbing"/>
    <s v="PP Webbing"/>
    <s v="PP Webbing"/>
    <s v="Webbing"/>
    <n v="192.1"/>
    <n v="28765.05"/>
    <s v="Webbing"/>
    <n v="0"/>
    <n v="9"/>
    <n v="2588.85"/>
    <n v="9"/>
    <n v="2588.85"/>
    <n v="0"/>
    <n v="0"/>
    <n v="0"/>
    <n v="5177.7"/>
    <n v="0"/>
    <s v="24AAACO3087C1ZT"/>
    <s v="Kgs"/>
    <n v="3926908"/>
    <s v="Rs."/>
    <n v="1"/>
    <n v="192.1"/>
  </r>
  <r>
    <d v="2026-03-07T00:00:00"/>
    <s v="Plastene India ltd - Unit 1-Purchase"/>
    <s v="R.M.P."/>
    <s v="RM 332"/>
    <x v="1"/>
    <s v="PIL1/D/896"/>
    <d v="2026-03-07T00:00:00"/>
    <s v="SF"/>
    <s v="Webbing"/>
    <s v="PP Webbing"/>
    <s v="PP Webbing"/>
    <s v="Webbing"/>
    <n v="1499.6"/>
    <n v="229048.9"/>
    <s v="Webbing"/>
    <n v="0"/>
    <n v="9"/>
    <n v="20614.400000000001"/>
    <n v="9"/>
    <n v="20614.400000000001"/>
    <n v="0"/>
    <n v="0"/>
    <n v="0"/>
    <n v="41228.800000000003"/>
    <n v="0"/>
    <s v="24AAACO3087C1ZT"/>
    <s v="Kgs"/>
    <n v="3926908"/>
    <s v="Rs."/>
    <n v="1"/>
    <n v="1499.6"/>
  </r>
  <r>
    <d v="2026-03-07T00:00:00"/>
    <s v="Plastene Polyfilms Ltd-Purchase"/>
    <s v="R.M.P."/>
    <s v="RM 330"/>
    <x v="1"/>
    <s v="PPL/D/304"/>
    <d v="2026-03-07T00:00:00"/>
    <s v="SF"/>
    <s v="Films All (SF)"/>
    <s v="PE Film"/>
    <s v="LLDPE FILM"/>
    <s v="LDPE/LLDPE Film"/>
    <n v="44.5"/>
    <n v="11036"/>
    <s v="LDPE/LLDPE Film"/>
    <n v="13011.44"/>
    <n v="9"/>
    <n v="993.24"/>
    <n v="9"/>
    <n v="993.24"/>
    <n v="0"/>
    <n v="0"/>
    <n v="0"/>
    <n v="1986.48"/>
    <n v="0"/>
    <s v="24AAFCP2956A1ZR"/>
    <s v="Kgs"/>
    <n v="3920101"/>
    <s v="Rs."/>
    <n v="1"/>
    <n v="44.5"/>
  </r>
  <r>
    <d v="2026-04-07T00:00:00"/>
    <s v="Plastene India ltd - Unit 1-Purchase"/>
    <s v="R.M.P."/>
    <s v="RM 333"/>
    <x v="1"/>
    <s v="PIL1/D/907"/>
    <d v="2026-04-07T00:00:00"/>
    <s v="SF"/>
    <s v="Liners"/>
    <s v="LDPE/LLDPE Bags"/>
    <s v="LLDPE Bags"/>
    <s v="LDPE/LLDPE Bags/Liner"/>
    <n v="6269"/>
    <n v="1135629.3500000001"/>
    <s v="LDPE/LLDPE Bags/Liner"/>
    <n v="1486253.99"/>
    <n v="9"/>
    <n v="102206.64"/>
    <n v="9"/>
    <n v="102206.64"/>
    <n v="0"/>
    <n v="0"/>
    <n v="0"/>
    <n v="204413.28"/>
    <n v="0"/>
    <s v="24AAACO3087C1ZT"/>
    <s v="Kgs"/>
    <n v="39200000"/>
    <s v="Rs."/>
    <n v="1"/>
    <n v="0"/>
  </r>
  <r>
    <d v="2026-04-07T00:00:00"/>
    <s v="Plastene India ltd - Unit 1-Purchase"/>
    <s v="R.M.P."/>
    <s v="RM 333"/>
    <x v="1"/>
    <s v="PIL1/D/907"/>
    <d v="2026-04-07T00:00:00"/>
    <s v="SF"/>
    <s v="Liners"/>
    <s v="LDPE/LLDPE Bags"/>
    <s v="LLDPE Bags"/>
    <s v="LDPE/LLDPE Bags/Liner"/>
    <n v="675"/>
    <n v="124976.25"/>
    <s v="LDPE/LLDPE Bags/Liner"/>
    <n v="0"/>
    <n v="9"/>
    <n v="11247.86"/>
    <n v="9"/>
    <n v="11247.86"/>
    <n v="0"/>
    <n v="0"/>
    <n v="0"/>
    <n v="22495.72"/>
    <n v="0"/>
    <s v="24AAACO3087C1ZT"/>
    <s v="Kgs"/>
    <n v="39200000"/>
    <s v="Rs."/>
    <n v="1"/>
    <n v="0"/>
  </r>
  <r>
    <d v="2026-04-07T00:00:00"/>
    <s v="Plastene India ltd - Unit 1-Purchase"/>
    <s v="R.M.P."/>
    <s v="RM 335"/>
    <x v="1"/>
    <s v="PIL1/D/898"/>
    <d v="2026-03-07T00:00:00"/>
    <s v="FG"/>
    <s v="FIBC WIP"/>
    <s v="FIBC WIP"/>
    <s v="FIBC WIP"/>
    <s v="PP Woven Fabric"/>
    <n v="250"/>
    <n v="39435"/>
    <s v="FIBC WIP"/>
    <n v="294575.25"/>
    <n v="9"/>
    <n v="3549.15"/>
    <n v="9"/>
    <n v="3549.15"/>
    <n v="0"/>
    <n v="0"/>
    <n v="0"/>
    <n v="7098.3"/>
    <n v="0"/>
    <s v="24AAACO3087C1ZT"/>
    <s v="Kgs"/>
    <n v="39269080"/>
    <s v="Rs."/>
    <n v="1"/>
    <n v="0"/>
  </r>
  <r>
    <d v="2026-04-07T00:00:00"/>
    <s v="Plastene India ltd - Unit 1-Purchase"/>
    <s v="R.M.P."/>
    <s v="RM 335"/>
    <x v="1"/>
    <s v="PIL1/D/898"/>
    <d v="2026-03-07T00:00:00"/>
    <s v="FG"/>
    <s v="FIBC WIP"/>
    <s v="FIBC WIP"/>
    <s v="FIBC WIP"/>
    <s v="PP Woven Fabric"/>
    <n v="123"/>
    <n v="19648.02"/>
    <s v="FIBC WIP"/>
    <n v="0"/>
    <n v="9"/>
    <n v="1768.32"/>
    <n v="9"/>
    <n v="1768.32"/>
    <n v="0"/>
    <n v="0"/>
    <n v="0"/>
    <n v="3536.64"/>
    <n v="0"/>
    <s v="24AAACO3087C1ZT"/>
    <s v="Kgs"/>
    <n v="39269080"/>
    <s v="Rs."/>
    <n v="1"/>
    <n v="0"/>
  </r>
  <r>
    <d v="2026-04-07T00:00:00"/>
    <s v="Plastene India ltd - Unit 1-Purchase"/>
    <s v="R.M.P."/>
    <s v="RM 335"/>
    <x v="1"/>
    <s v="PIL1/D/898"/>
    <d v="2026-03-07T00:00:00"/>
    <s v="SF"/>
    <s v="PP/PE Fabric"/>
    <s v="PP UL Fabric"/>
    <s v="PP Woven Fabric"/>
    <s v="PP UL Fabric With UV"/>
    <n v="992"/>
    <n v="148542.07999999999"/>
    <s v="PP UL Fabric With UV"/>
    <n v="0"/>
    <n v="9"/>
    <n v="13368.79"/>
    <n v="9"/>
    <n v="13368.79"/>
    <n v="0"/>
    <n v="0"/>
    <n v="0"/>
    <n v="26737.58"/>
    <n v="0"/>
    <s v="24AAACO3087C1ZT"/>
    <s v="Kgs"/>
    <n v="39269080"/>
    <s v="Rs."/>
    <n v="1"/>
    <n v="0"/>
  </r>
  <r>
    <d v="2026-04-07T00:00:00"/>
    <s v="Plastene India ltd - Unit 1-Purchase"/>
    <s v="R.M.P."/>
    <s v="RM 335"/>
    <x v="1"/>
    <s v="PIL1/D/898"/>
    <d v="2026-03-07T00:00:00"/>
    <s v="SF"/>
    <s v="PP/PE Fabric"/>
    <s v="PP Lam Fabric"/>
    <s v="PP Laminated Woven Fabric"/>
    <s v="PP Lam Fabric With UV"/>
    <n v="282"/>
    <n v="42226.68"/>
    <s v="PP Lam Fabric With UV"/>
    <n v="0"/>
    <n v="9"/>
    <n v="3800.4"/>
    <n v="9"/>
    <n v="3800.4"/>
    <n v="0"/>
    <n v="0"/>
    <n v="0"/>
    <n v="7600.8"/>
    <n v="0"/>
    <s v="24AAACO3087C1ZT"/>
    <s v="Kgs"/>
    <n v="63053300"/>
    <s v="Rs."/>
    <n v="1"/>
    <n v="0"/>
  </r>
  <r>
    <d v="2026-04-07T00:00:00"/>
    <s v="Plastene India ltd - Unit 1-Purchase"/>
    <s v="R.M.P."/>
    <s v="RM 336"/>
    <x v="1"/>
    <s v="PIL1/D/905"/>
    <d v="2026-04-07T00:00:00"/>
    <s v="SF"/>
    <s v="PP/PE Fabric"/>
    <s v="PP UL Fabric"/>
    <s v="PP Woven Fabric"/>
    <s v="PP UL Fabric With UV"/>
    <n v="2760"/>
    <n v="413282.4"/>
    <s v="PP UL Fabric With UV"/>
    <n v="1459553.2"/>
    <n v="9"/>
    <n v="37195.42"/>
    <n v="9"/>
    <n v="37195.42"/>
    <n v="0"/>
    <n v="0"/>
    <n v="0"/>
    <n v="74390.84"/>
    <n v="0"/>
    <s v="24AAACO3087C1ZT"/>
    <s v="Kgs"/>
    <n v="39269080"/>
    <s v="Rs."/>
    <n v="1"/>
    <n v="0"/>
  </r>
  <r>
    <d v="2026-04-07T00:00:00"/>
    <s v="Plastene India ltd - Unit 1-Purchase"/>
    <s v="R.M.P."/>
    <s v="RM 336"/>
    <x v="1"/>
    <s v="PIL1/D/905"/>
    <d v="2026-04-07T00:00:00"/>
    <s v="SF"/>
    <s v="PP/PE Fabric"/>
    <s v="PP UL Fabric"/>
    <s v="PP Woven Fabric"/>
    <s v="PP UL Fabric With UV"/>
    <n v="4252"/>
    <n v="628190.48"/>
    <s v="PP UL Fabric With UV"/>
    <n v="0"/>
    <n v="9"/>
    <n v="56537.14"/>
    <n v="9"/>
    <n v="56537.14"/>
    <n v="0"/>
    <n v="0"/>
    <n v="0"/>
    <n v="113074.28"/>
    <n v="0"/>
    <s v="24AAACO3087C1ZT"/>
    <s v="Kgs"/>
    <n v="39269080"/>
    <s v="Rs."/>
    <n v="1"/>
    <n v="0"/>
  </r>
  <r>
    <d v="2026-04-07T00:00:00"/>
    <s v="Plastene India ltd - Unit 1-Purchase"/>
    <s v="R.M.P."/>
    <s v="RM 336"/>
    <x v="1"/>
    <s v="PIL1/D/905"/>
    <d v="2026-04-07T00:00:00"/>
    <s v="SF"/>
    <s v="PP/PE Fabric"/>
    <s v="PP UL Fabric"/>
    <s v="PP Woven Fabric"/>
    <s v="PP UL Fabric With UV"/>
    <n v="928"/>
    <n v="139886.72"/>
    <s v="PP UL Fabric With UV"/>
    <n v="0"/>
    <n v="9"/>
    <n v="12589.8"/>
    <n v="9"/>
    <n v="12589.8"/>
    <n v="0"/>
    <n v="0"/>
    <n v="0"/>
    <n v="25179.599999999999"/>
    <n v="0"/>
    <s v="24AAACO3087C1ZT"/>
    <s v="Kgs"/>
    <n v="39269080"/>
    <s v="Rs."/>
    <n v="1"/>
    <n v="0"/>
  </r>
  <r>
    <d v="2026-04-07T00:00:00"/>
    <s v="Plastene India ltd - Unit 1-Purchase"/>
    <s v="R.M.P."/>
    <s v="RM 336"/>
    <x v="1"/>
    <s v="PIL1/D/905"/>
    <d v="2026-04-07T00:00:00"/>
    <s v="SF"/>
    <s v="PP/PE Fabric"/>
    <s v="PP Lam Fabric"/>
    <s v="PP Laminated Woven Fabric"/>
    <s v="PP Lam Fabric With UV"/>
    <n v="373"/>
    <n v="56599.02"/>
    <s v="PP Lam Fabric With UV"/>
    <n v="0"/>
    <n v="9"/>
    <n v="5093.91"/>
    <n v="9"/>
    <n v="5093.91"/>
    <n v="0"/>
    <n v="0"/>
    <n v="0"/>
    <n v="10187.82"/>
    <n v="0"/>
    <s v="24AAACO3087C1ZT"/>
    <s v="Kgs"/>
    <n v="63053300"/>
    <s v="Rs."/>
    <n v="1"/>
    <n v="0"/>
  </r>
  <r>
    <d v="2026-04-07T00:00:00"/>
    <s v="Plastene India ltd - Unit 1-Purchase"/>
    <s v="R.M.P."/>
    <s v="RM 337"/>
    <x v="1"/>
    <s v="PIL1/D/906"/>
    <d v="2026-04-07T00:00:00"/>
    <s v="SF"/>
    <s v="PP/PE Fabric"/>
    <s v="PP Lam Fabric"/>
    <s v="PP Laminated Woven Fabric"/>
    <s v="PP Lam Fabric With UV"/>
    <n v="508"/>
    <n v="77083.92"/>
    <s v="PP Lam Fabric With UV"/>
    <n v="526577.48"/>
    <n v="9"/>
    <n v="6937.55"/>
    <n v="9"/>
    <n v="6937.55"/>
    <n v="0"/>
    <n v="0"/>
    <n v="0"/>
    <n v="13875.1"/>
    <n v="0"/>
    <s v="24AAACO3087C1ZT"/>
    <s v="Kgs"/>
    <n v="63053300"/>
    <s v="Rs."/>
    <n v="1"/>
    <n v="0"/>
  </r>
  <r>
    <d v="2026-04-07T00:00:00"/>
    <s v="Plastene India ltd - Unit 1-Purchase"/>
    <s v="R.M.P."/>
    <s v="RM 337"/>
    <x v="1"/>
    <s v="PIL1/D/906"/>
    <d v="2026-04-07T00:00:00"/>
    <s v="SF"/>
    <s v="Webbing"/>
    <s v="PP Webbing"/>
    <s v="PP Webbing"/>
    <s v="Webbing"/>
    <n v="320.39999999999998"/>
    <n v="47976.7"/>
    <s v="Webbing"/>
    <n v="0"/>
    <n v="9"/>
    <n v="4317.8999999999996"/>
    <n v="9"/>
    <n v="4317.8999999999996"/>
    <n v="0"/>
    <n v="0"/>
    <n v="0"/>
    <n v="8635.7999999999993"/>
    <n v="0"/>
    <s v="24AAACO3087C1ZT"/>
    <s v="Kgs"/>
    <n v="3926908"/>
    <s v="Rs."/>
    <n v="1"/>
    <n v="0"/>
  </r>
  <r>
    <d v="2026-04-07T00:00:00"/>
    <s v="Plastene India ltd - Unit 1-Purchase"/>
    <s v="R.M.P."/>
    <s v="RM 337"/>
    <x v="1"/>
    <s v="PIL1/D/906"/>
    <d v="2026-04-07T00:00:00"/>
    <s v="SF"/>
    <s v="Webbing"/>
    <s v="PP Webbing"/>
    <s v="PP Webbing"/>
    <s v="Webbing"/>
    <n v="2090.1"/>
    <n v="319241.87"/>
    <s v="Webbing"/>
    <n v="0"/>
    <n v="9"/>
    <n v="28731.77"/>
    <n v="9"/>
    <n v="28731.77"/>
    <n v="0"/>
    <n v="0"/>
    <n v="0"/>
    <n v="57463.54"/>
    <n v="0"/>
    <s v="24AAACO3087C1ZT"/>
    <s v="Kgs"/>
    <n v="3926908"/>
    <s v="Rs."/>
    <n v="1"/>
    <n v="0"/>
  </r>
  <r>
    <d v="2026-04-07T00:00:00"/>
    <s v="Plastene India ltd - Unit 1-Purchase"/>
    <s v="R.M.P."/>
    <s v="RM 337"/>
    <x v="1"/>
    <s v="PIL1/D/906"/>
    <d v="2026-04-07T00:00:00"/>
    <s v="SF"/>
    <s v="Webbing"/>
    <s v="PP Webbing"/>
    <s v="PP Webbing"/>
    <s v="Webbing"/>
    <n v="13.4"/>
    <n v="2328.12"/>
    <s v="Webbing"/>
    <n v="0"/>
    <n v="9"/>
    <n v="209.53"/>
    <n v="9"/>
    <n v="209.53"/>
    <n v="0"/>
    <n v="0"/>
    <n v="0"/>
    <n v="419.06"/>
    <n v="0"/>
    <s v="24AAACO3087C1ZT"/>
    <s v="Kgs"/>
    <n v="3926908"/>
    <s v="Rs."/>
    <n v="1"/>
    <n v="0"/>
  </r>
  <r>
    <d v="2026-04-07T00:00:00"/>
    <s v="Plastene Polyfilms Ltd-Purchase"/>
    <s v="R.M.P."/>
    <s v="RM 334"/>
    <x v="1"/>
    <s v="PPL/D/309"/>
    <d v="2026-04-07T00:00:00"/>
    <s v="FG"/>
    <s v="FIBC WIP"/>
    <s v="FIBC WIP"/>
    <s v="FIBC WIP"/>
    <s v="PP Woven Fabric"/>
    <n v="560"/>
    <n v="83669.600000000006"/>
    <s v="FIBC WIP"/>
    <n v="98646.45"/>
    <n v="9"/>
    <n v="7530.26"/>
    <n v="9"/>
    <n v="7530.26"/>
    <n v="0"/>
    <n v="0"/>
    <n v="0"/>
    <n v="15060.52"/>
    <n v="0"/>
    <s v="24AAFCP2956A1ZR"/>
    <s v="Kgs"/>
    <n v="39269080"/>
    <s v="Rs."/>
    <n v="1"/>
    <n v="0"/>
  </r>
  <r>
    <d v="2026-04-07T00:00:00"/>
    <s v="Plus Logistics Ltd."/>
    <s v="General Purchase"/>
    <s v="GNCN 237"/>
    <x v="0"/>
    <s v="SLZ/0035/26-27"/>
    <s v="30-06-2026"/>
    <s v="RM Consumables"/>
    <s v="FIBC Accessories"/>
    <s v="FIBC Accessories"/>
    <s v="Stores &amp; Consumables"/>
    <s v="Zipper Bags"/>
    <n v="3500"/>
    <n v="7350"/>
    <s v="Zipper Bags"/>
    <n v="8673"/>
    <n v="0"/>
    <n v="0"/>
    <n v="0"/>
    <n v="0"/>
    <n v="18"/>
    <n v="1323"/>
    <n v="0"/>
    <n v="1323"/>
    <n v="0"/>
    <s v="23AAECS3438H1ZI"/>
    <s v="Pcs"/>
    <n v="39239090"/>
    <s v="Rs."/>
    <n v="1"/>
    <n v="3500"/>
  </r>
  <r>
    <d v="2026-05-07T00:00:00"/>
    <s v="HCP Plastene Bulkpack Limited - Purchase"/>
    <s v="Branch Transfer In"/>
    <s v="RM 341"/>
    <x v="2"/>
    <s v="HPBL/DC/15"/>
    <d v="2026-03-07T00:00:00"/>
    <s v="SF"/>
    <s v="Liners"/>
    <s v="LDPE/LLDPE Bags"/>
    <s v="LLDPE Doc"/>
    <s v="DOC Pouch"/>
    <n v="407"/>
    <n v="78546.929999999993"/>
    <s v="DOC Pouch"/>
    <n v="78546.929999999993"/>
    <n v="0"/>
    <n v="0"/>
    <n v="0"/>
    <n v="0"/>
    <n v="0"/>
    <n v="0"/>
    <n v="0"/>
    <n v="0"/>
    <n v="0"/>
    <s v="24AABCG1282C2Z6"/>
    <s v="Kgs"/>
    <n v="39232100"/>
    <s v="Rs."/>
    <n v="1"/>
    <n v="0"/>
  </r>
  <r>
    <d v="2026-05-07T00:00:00"/>
    <s v="K.P. Woven Pvt Ltd-Purchase"/>
    <s v="R.M.P."/>
    <s v="RM 340"/>
    <x v="1"/>
    <s v="KPV/D/404"/>
    <d v="2026-04-07T00:00:00"/>
    <s v="SF"/>
    <s v="Yarn All"/>
    <s v="PP Yarn"/>
    <s v="PP Filament Yarn"/>
    <s v="PP Fibrillated Tape Twisted 3200 Blue"/>
    <n v="1340"/>
    <n v="206561"/>
    <s v="PP Fibrillated Tape Twisted 3200 Blue"/>
    <n v="297546.21000000002"/>
    <n v="2.5"/>
    <n v="5164.0200000000004"/>
    <n v="2.5"/>
    <n v="5164.0200000000004"/>
    <n v="0"/>
    <n v="0"/>
    <n v="0"/>
    <n v="10328.040000000001"/>
    <n v="0"/>
    <s v="24AAECK6307M1ZF"/>
    <s v="Kgs"/>
    <n v="54026930"/>
    <s v="Rs."/>
    <n v="1"/>
    <n v="0"/>
  </r>
  <r>
    <d v="2026-05-07T00:00:00"/>
    <s v="K.P. Woven Pvt Ltd-Purchase"/>
    <s v="R.M.P."/>
    <s v="RM 340"/>
    <x v="1"/>
    <s v="KPV/D/404"/>
    <d v="2026-04-07T00:00:00"/>
    <s v="SF"/>
    <s v="Yarn All"/>
    <s v="PP Yarn"/>
    <s v="PP Filament Yarn"/>
    <s v="PP Fibrillated Tape Twisted 3200 MW"/>
    <n v="510"/>
    <n v="77086.5"/>
    <s v="PP Fibrillated Tape Twisted 3200 MW"/>
    <n v="0"/>
    <n v="2.5"/>
    <n v="1927.16"/>
    <n v="2.5"/>
    <n v="1927.16"/>
    <n v="0"/>
    <n v="0"/>
    <n v="0"/>
    <n v="3854.32"/>
    <n v="0"/>
    <s v="24AAECK6307M1ZF"/>
    <s v="Kgs"/>
    <n v="54026930"/>
    <s v="Rs."/>
    <n v="1"/>
    <n v="0"/>
  </r>
  <r>
    <d v="2026-05-07T00:00:00"/>
    <s v="Plastene India ltd - Unit 1-Purchase"/>
    <s v="General Purchase"/>
    <s v="GNCN 238"/>
    <x v="0"/>
    <s v="PIL1/D/919"/>
    <d v="2026-05-07T00:00:00"/>
    <s v="Stores/Spares"/>
    <s v="MS Structure Items"/>
    <s v="Spares &amp; Stores"/>
    <s v="Stores &amp; Consumables"/>
    <s v="MS Pipe 4  C Class"/>
    <n v="349"/>
    <n v="16752"/>
    <s v="MS Pipe 4  C Class"/>
    <n v="19750.61"/>
    <n v="9"/>
    <n v="1507.68"/>
    <n v="9"/>
    <n v="1507.68"/>
    <n v="0"/>
    <n v="0"/>
    <n v="0"/>
    <n v="3015.36"/>
    <n v="0"/>
    <s v="24AAACO3087C1ZT"/>
    <s v="Kgs"/>
    <n v="73063090"/>
    <s v="Rs."/>
    <n v="1"/>
    <n v="0"/>
  </r>
  <r>
    <d v="2026-05-07T00:00:00"/>
    <s v="Plastene India ltd - Unit 1-Purchase"/>
    <s v="R.M.P."/>
    <s v="RM 338"/>
    <x v="1"/>
    <s v="PIL1/D/908"/>
    <d v="2026-04-07T00:00:00"/>
    <s v="SF"/>
    <s v="PP/PE Fabric"/>
    <s v="PP UL Fabric"/>
    <s v="PP Woven Fabric"/>
    <s v="PP UL Fabric With UV"/>
    <n v="601"/>
    <n v="89993.74"/>
    <s v="PP UL Fabric With UV"/>
    <n v="106102.63"/>
    <n v="9"/>
    <n v="8099.44"/>
    <n v="9"/>
    <n v="8099.44"/>
    <n v="0"/>
    <n v="0"/>
    <n v="0"/>
    <n v="16198.88"/>
    <n v="0"/>
    <s v="24AAACO3087C1ZT"/>
    <s v="Kgs"/>
    <n v="39269080"/>
    <s v="Rs."/>
    <n v="1"/>
    <n v="0"/>
  </r>
  <r>
    <d v="2026-05-07T00:00:00"/>
    <s v="Plastene India ltd - Unit 1-Purchase"/>
    <s v="R.M.P."/>
    <s v="RM 339"/>
    <x v="1"/>
    <s v="PIL1/D/928"/>
    <d v="2026-05-07T00:00:00"/>
    <s v="SF"/>
    <s v="PP/PE Fabric"/>
    <s v="PP UL Fabric"/>
    <s v="PP Woven Fabric"/>
    <s v="PP UL Fabric With UV"/>
    <n v="433"/>
    <n v="62564.17"/>
    <s v="PP UL Fabric With UV"/>
    <n v="177018.32"/>
    <n v="9"/>
    <n v="5630.78"/>
    <n v="9"/>
    <n v="5630.78"/>
    <n v="0"/>
    <n v="0"/>
    <n v="0"/>
    <n v="11261.56"/>
    <n v="0"/>
    <s v="24AAACO3087C1ZT"/>
    <s v="Kgs"/>
    <n v="39269080"/>
    <s v="Rs."/>
    <n v="1"/>
    <n v="0"/>
  </r>
  <r>
    <d v="2026-05-07T00:00:00"/>
    <s v="Plastene India ltd - Unit 1-Purchase"/>
    <s v="R.M.P."/>
    <s v="RM 339"/>
    <x v="1"/>
    <s v="PIL1/D/928"/>
    <d v="2026-05-07T00:00:00"/>
    <s v="SF"/>
    <s v="PP/PE Fabric"/>
    <s v="PP UL Fabric"/>
    <s v="PP Woven Fabric"/>
    <s v="PP UL Fabric With UV"/>
    <n v="238"/>
    <n v="34864.620000000003"/>
    <s v="PP UL Fabric With UV"/>
    <n v="0"/>
    <n v="9"/>
    <n v="3137.82"/>
    <n v="9"/>
    <n v="3137.82"/>
    <n v="0"/>
    <n v="0"/>
    <n v="0"/>
    <n v="6275.64"/>
    <n v="0"/>
    <s v="24AAACO3087C1ZT"/>
    <s v="Kgs"/>
    <n v="39269080"/>
    <s v="Rs."/>
    <n v="1"/>
    <n v="0"/>
  </r>
  <r>
    <d v="2026-05-07T00:00:00"/>
    <s v="Plastene India ltd - Unit 1-Purchase"/>
    <s v="R.M.P."/>
    <s v="RM 339"/>
    <x v="1"/>
    <s v="PIL1/D/928"/>
    <d v="2026-05-07T00:00:00"/>
    <s v="SF"/>
    <s v="PP/PE Fabric"/>
    <s v="PP Lam Fabric"/>
    <s v="PP Laminated Woven Fabric"/>
    <s v="PP Lam Fabric With UV"/>
    <n v="355"/>
    <n v="52713.95"/>
    <s v="PP Lam Fabric With UV"/>
    <n v="0"/>
    <n v="9"/>
    <n v="4744.26"/>
    <n v="9"/>
    <n v="4744.26"/>
    <n v="0"/>
    <n v="0"/>
    <n v="0"/>
    <n v="9488.52"/>
    <n v="0"/>
    <s v="24AAACO3087C1ZT"/>
    <s v="Kgs"/>
    <n v="63053300"/>
    <s v="Rs."/>
    <n v="1"/>
    <n v="0"/>
  </r>
  <r>
    <d v="2026-05-07T00:00:00"/>
    <s v="Plastene India ltd - Unit 1-Purchase"/>
    <s v="R.M.P."/>
    <s v="RM 342"/>
    <x v="1"/>
    <s v="PIL1/D/926"/>
    <d v="2026-05-07T00:00:00"/>
    <s v="RM Consumables"/>
    <s v="FIBC Accessories"/>
    <s v="FIBC Accessories"/>
    <s v="Stores &amp; Consumables"/>
    <s v="Zip Lock Bags"/>
    <n v="10300"/>
    <n v="36554.699999999997"/>
    <s v="Zip Lock Bags"/>
    <n v="2137498.09"/>
    <n v="9"/>
    <n v="3289.92"/>
    <n v="9"/>
    <n v="3289.92"/>
    <n v="0"/>
    <n v="0"/>
    <n v="0"/>
    <n v="6579.84"/>
    <n v="0"/>
    <s v="24AAACO3087C1ZT"/>
    <s v="Pcs"/>
    <n v="39232100"/>
    <s v="Rs."/>
    <n v="1"/>
    <n v="10300"/>
  </r>
  <r>
    <d v="2026-05-07T00:00:00"/>
    <s v="Plastene India ltd - Unit 1-Purchase"/>
    <s v="R.M.P."/>
    <s v="RM 342"/>
    <x v="1"/>
    <s v="PIL1/D/926"/>
    <d v="2026-05-07T00:00:00"/>
    <s v="SF"/>
    <s v="Liners"/>
    <s v="LDPE/LLDPE Bags"/>
    <s v="LLDPE Bags"/>
    <s v="LDPE/LLDPE Bags/Liner"/>
    <n v="23"/>
    <n v="4456.9399999999996"/>
    <s v="LDPE/LLDPE Bags/Liner"/>
    <n v="0"/>
    <n v="9"/>
    <n v="401.12"/>
    <n v="9"/>
    <n v="401.12"/>
    <n v="0"/>
    <n v="0"/>
    <n v="0"/>
    <n v="802.24"/>
    <n v="0"/>
    <s v="24AAACO3087C1ZT"/>
    <s v="Kgs"/>
    <n v="39200000"/>
    <s v="Rs."/>
    <n v="1"/>
    <n v="23"/>
  </r>
  <r>
    <d v="2026-05-07T00:00:00"/>
    <s v="Plastene India ltd - Unit 1-Purchase"/>
    <s v="R.M.P."/>
    <s v="RM 342"/>
    <x v="1"/>
    <s v="PIL1/D/926"/>
    <d v="2026-05-07T00:00:00"/>
    <s v="SF"/>
    <s v="Liners"/>
    <s v="LDPE/LLDPE Bags"/>
    <s v="LLDPE Bags"/>
    <s v="LDPE/LLDPE Bags/Liner"/>
    <n v="9208"/>
    <n v="1719870.24"/>
    <s v="LDPE/LLDPE Bags/Liner"/>
    <n v="0"/>
    <n v="9"/>
    <n v="154788.32"/>
    <n v="9"/>
    <n v="154788.32"/>
    <n v="0"/>
    <n v="0"/>
    <n v="0"/>
    <n v="309576.64"/>
    <n v="0"/>
    <s v="24AAACO3087C1ZT"/>
    <s v="Kgs"/>
    <n v="39200000"/>
    <s v="Rs."/>
    <n v="1"/>
    <n v="9208"/>
  </r>
  <r>
    <d v="2026-05-07T00:00:00"/>
    <s v="Plastene India ltd - Unit 1-Purchase"/>
    <s v="R.M.P."/>
    <s v="RM 342"/>
    <x v="1"/>
    <s v="PIL1/D/926"/>
    <d v="2026-05-07T00:00:00"/>
    <s v="SF"/>
    <s v="Liners"/>
    <s v="LDPE/LLDPE Bags"/>
    <s v="LLDPE Bags"/>
    <s v="LDPE/LLDPE Bags/Liner"/>
    <n v="285"/>
    <n v="52092.3"/>
    <s v="LDPE/LLDPE Bags/Liner"/>
    <n v="0"/>
    <n v="9"/>
    <n v="4688.3100000000004"/>
    <n v="9"/>
    <n v="4688.3100000000004"/>
    <n v="0"/>
    <n v="0"/>
    <n v="0"/>
    <n v="9376.6200000000008"/>
    <n v="0"/>
    <s v="24AAACO3087C1ZT"/>
    <s v="Kgs"/>
    <n v="39200000"/>
    <s v="Rs."/>
    <n v="1"/>
    <n v="285"/>
  </r>
  <r>
    <d v="2026-05-07T00:00:00"/>
    <s v="Plastene India ltd - Unit 1-Purchase"/>
    <s v="R.M.P."/>
    <s v="RM 343"/>
    <x v="1"/>
    <s v="PIL1/D/918"/>
    <d v="2026-05-07T00:00:00"/>
    <s v="SF"/>
    <s v="Webbing"/>
    <s v="PP Webbing"/>
    <s v="PP Webbing"/>
    <s v="Webbing"/>
    <n v="5.5"/>
    <n v="937.7"/>
    <s v="Webbing"/>
    <n v="2112642.39"/>
    <n v="9"/>
    <n v="84.39"/>
    <n v="9"/>
    <n v="84.39"/>
    <n v="0"/>
    <n v="0"/>
    <n v="0"/>
    <n v="168.78"/>
    <n v="0"/>
    <s v="24AAACO3087C1ZT"/>
    <s v="Kgs"/>
    <n v="3926908"/>
    <s v="Rs."/>
    <n v="1"/>
    <n v="0"/>
  </r>
  <r>
    <d v="2026-05-07T00:00:00"/>
    <s v="Plastene India ltd - Unit 1-Purchase"/>
    <s v="R.M.P."/>
    <s v="RM 343"/>
    <x v="1"/>
    <s v="PIL1/D/918"/>
    <d v="2026-05-07T00:00:00"/>
    <s v="SF"/>
    <s v="Webbing"/>
    <s v="PP Webbing"/>
    <s v="PP Webbing"/>
    <s v="Webbing"/>
    <n v="1212.2"/>
    <n v="181211.78"/>
    <s v="Webbing"/>
    <n v="0"/>
    <n v="9"/>
    <n v="16309.06"/>
    <n v="9"/>
    <n v="16309.06"/>
    <n v="0"/>
    <n v="0"/>
    <n v="0"/>
    <n v="32618.12"/>
    <n v="0"/>
    <s v="24AAACO3087C1ZT"/>
    <s v="Kgs"/>
    <n v="3926908"/>
    <s v="Rs."/>
    <n v="1"/>
    <n v="0"/>
  </r>
  <r>
    <d v="2026-05-07T00:00:00"/>
    <s v="Plastene India ltd - Unit 1-Purchase"/>
    <s v="R.M.P."/>
    <s v="RM 343"/>
    <x v="1"/>
    <s v="PIL1/D/918"/>
    <d v="2026-05-07T00:00:00"/>
    <s v="SF"/>
    <s v="Webbing"/>
    <s v="PP Webbing"/>
    <s v="PP Webbing"/>
    <s v="Webbing"/>
    <n v="590.79999999999995"/>
    <n v="86546.29"/>
    <s v="Webbing"/>
    <n v="0"/>
    <n v="9"/>
    <n v="7789.17"/>
    <n v="9"/>
    <n v="7789.17"/>
    <n v="0"/>
    <n v="0"/>
    <n v="0"/>
    <n v="15578.34"/>
    <n v="0"/>
    <s v="24AAACO3087C1ZT"/>
    <s v="Kgs"/>
    <n v="3926908"/>
    <s v="Rs."/>
    <n v="1"/>
    <n v="0"/>
  </r>
  <r>
    <d v="2026-05-07T00:00:00"/>
    <s v="Plastene India ltd - Unit 1-Purchase"/>
    <s v="R.M.P."/>
    <s v="RM 343"/>
    <x v="1"/>
    <s v="PIL1/D/918"/>
    <d v="2026-05-07T00:00:00"/>
    <s v="SF"/>
    <s v="PP/PE Fabric"/>
    <s v="PP UL Fabric"/>
    <s v="PP Woven Fabric"/>
    <s v="PP UL Fabric With UV"/>
    <n v="2873"/>
    <n v="420865.77"/>
    <s v="PP UL Fabric With UV"/>
    <n v="0"/>
    <n v="9"/>
    <n v="37877.919999999998"/>
    <n v="9"/>
    <n v="37877.919999999998"/>
    <n v="0"/>
    <n v="0"/>
    <n v="0"/>
    <n v="75755.839999999997"/>
    <n v="0"/>
    <s v="24AAACO3087C1ZT"/>
    <s v="Kgs"/>
    <n v="39269080"/>
    <s v="Rs."/>
    <n v="1"/>
    <n v="0"/>
  </r>
  <r>
    <d v="2026-05-07T00:00:00"/>
    <s v="Plastene India ltd - Unit 1-Purchase"/>
    <s v="R.M.P."/>
    <s v="RM 343"/>
    <x v="1"/>
    <s v="PIL1/D/918"/>
    <d v="2026-05-07T00:00:00"/>
    <s v="SF"/>
    <s v="PP/PE Fabric"/>
    <s v="PP UL Fabric"/>
    <s v="PP Woven Fabric"/>
    <s v="PP UL Fabric With UV"/>
    <n v="1100"/>
    <n v="162239"/>
    <s v="PP UL Fabric With UV"/>
    <n v="0"/>
    <n v="9"/>
    <n v="14601.51"/>
    <n v="9"/>
    <n v="14601.51"/>
    <n v="0"/>
    <n v="0"/>
    <n v="0"/>
    <n v="29203.02"/>
    <n v="0"/>
    <s v="24AAACO3087C1ZT"/>
    <s v="Kgs"/>
    <n v="39269080"/>
    <s v="Rs."/>
    <n v="1"/>
    <n v="0"/>
  </r>
  <r>
    <d v="2026-05-07T00:00:00"/>
    <s v="Plastene India ltd - Unit 1-Purchase"/>
    <s v="R.M.P."/>
    <s v="RM 343"/>
    <x v="1"/>
    <s v="PIL1/D/918"/>
    <d v="2026-05-07T00:00:00"/>
    <s v="SF"/>
    <s v="PP/PE Fabric"/>
    <s v="PP UL Fabric"/>
    <s v="PP Woven Fabric"/>
    <s v="PP UL Fabric With UV"/>
    <n v="3785"/>
    <n v="546894.65"/>
    <s v="PP UL Fabric With UV"/>
    <n v="0"/>
    <n v="9"/>
    <n v="49220.52"/>
    <n v="9"/>
    <n v="49220.52"/>
    <n v="0"/>
    <n v="0"/>
    <n v="0"/>
    <n v="98441.04"/>
    <n v="0"/>
    <s v="24AAACO3087C1ZT"/>
    <s v="Kgs"/>
    <n v="39269080"/>
    <s v="Rs."/>
    <n v="1"/>
    <n v="0"/>
  </r>
  <r>
    <d v="2026-05-07T00:00:00"/>
    <s v="Plastene India ltd - Unit 1-Purchase"/>
    <s v="R.M.P."/>
    <s v="RM 343"/>
    <x v="1"/>
    <s v="PIL1/D/918"/>
    <d v="2026-05-07T00:00:00"/>
    <s v="SF"/>
    <s v="PP/PE Fabric"/>
    <s v="PP Lam Fabric"/>
    <s v="PP Laminated Woven Fabric"/>
    <s v="PP Lam Fabric With UV"/>
    <n v="1791"/>
    <n v="271318.59000000003"/>
    <s v="PP Lam Fabric With UV"/>
    <n v="0"/>
    <n v="9"/>
    <n v="24418.67"/>
    <n v="9"/>
    <n v="24418.67"/>
    <n v="0"/>
    <n v="0"/>
    <n v="0"/>
    <n v="48837.34"/>
    <n v="0"/>
    <s v="24AAACO3087C1ZT"/>
    <s v="Kgs"/>
    <n v="63053300"/>
    <s v="Rs."/>
    <n v="1"/>
    <n v="0"/>
  </r>
  <r>
    <d v="2026-05-07T00:00:00"/>
    <s v="Plastene India ltd - Unit 1-Purchase"/>
    <s v="R.M.P."/>
    <s v="RM 343"/>
    <x v="1"/>
    <s v="PIL1/D/918"/>
    <d v="2026-05-07T00:00:00"/>
    <s v="SF"/>
    <s v="PP/PE Fabric"/>
    <s v="PP Lam Fabric"/>
    <s v="PP Laminated Woven Fabric"/>
    <s v="PP Lam Fabric With UV"/>
    <n v="832"/>
    <n v="121879.67999999999"/>
    <s v="PP Lam Fabric With UV"/>
    <n v="0"/>
    <n v="9"/>
    <n v="10969.17"/>
    <n v="9"/>
    <n v="10969.17"/>
    <n v="0"/>
    <n v="0"/>
    <n v="0"/>
    <n v="21938.34"/>
    <n v="0"/>
    <s v="24AAACO3087C1ZT"/>
    <s v="Kgs"/>
    <n v="63053300"/>
    <s v="Rs."/>
    <n v="1"/>
    <n v="0"/>
  </r>
  <r>
    <d v="2026-06-07T00:00:00"/>
    <s v="Axle Steel &amp; Fasteners"/>
    <s v="General Purchase"/>
    <s v="GNSP 112"/>
    <x v="0"/>
    <s v="0521/26-27"/>
    <d v="2026-01-07T00:00:00"/>
    <s v="Stores/Spares"/>
    <s v="Hardware Items"/>
    <s v="Spares &amp; Stores"/>
    <s v="Stores &amp; Consumables"/>
    <s v="Hex Bolt 10X25 mm"/>
    <n v="30"/>
    <n v="170.35"/>
    <s v="Hex Bolt 10X25 mm"/>
    <n v="3093"/>
    <n v="9"/>
    <n v="15.3317"/>
    <n v="9"/>
    <n v="15.3317"/>
    <n v="0"/>
    <n v="0"/>
    <n v="14.4"/>
    <n v="45.063360000000003"/>
    <n v="0"/>
    <s v="24AAYFA5084G1Z4"/>
    <s v="Pcs"/>
    <n v="84821011"/>
    <s v="Rs."/>
    <n v="1"/>
    <n v="0"/>
  </r>
  <r>
    <d v="2026-06-07T00:00:00"/>
    <s v="Axle Steel &amp; Fasteners"/>
    <s v="General Purchase"/>
    <s v="GNSP 112"/>
    <x v="0"/>
    <s v="0521/26-27"/>
    <d v="2026-01-07T00:00:00"/>
    <s v="Stores/Spares"/>
    <s v="Hardware Items"/>
    <s v="Spares &amp; Stores"/>
    <s v="Stores &amp; Consumables"/>
    <s v="Hex Bolt 10X50 mm Full Thread"/>
    <n v="30"/>
    <n v="250.24"/>
    <s v="Hex Bolt 10X50 mm Full Thread"/>
    <n v="0"/>
    <n v="9"/>
    <n v="22.5212"/>
    <n v="9"/>
    <n v="22.5212"/>
    <n v="0"/>
    <n v="0"/>
    <n v="14.4"/>
    <n v="59.442480000000003"/>
    <n v="0"/>
    <s v="24AAYFA5084G1Z4"/>
    <s v="Pcs"/>
    <n v="96061010"/>
    <s v="Rs."/>
    <n v="1"/>
    <n v="0"/>
  </r>
  <r>
    <d v="2026-06-07T00:00:00"/>
    <s v="Axle Steel &amp; Fasteners"/>
    <s v="General Purchase"/>
    <s v="GNSP 112"/>
    <x v="0"/>
    <s v="0521/26-27"/>
    <d v="2026-01-07T00:00:00"/>
    <s v="Stores/Spares"/>
    <s v="Hardware Items"/>
    <s v="Spares &amp; Stores"/>
    <s v="Stores &amp; Consumables"/>
    <s v="Hex Bolt 10X20 mm"/>
    <n v="50"/>
    <n v="248.01"/>
    <s v="Hex Bolt 10X20 mm"/>
    <n v="0"/>
    <n v="9"/>
    <n v="22.320900000000002"/>
    <n v="9"/>
    <n v="22.320900000000002"/>
    <n v="0"/>
    <n v="0"/>
    <n v="14.4"/>
    <n v="59.041800000000002"/>
    <n v="0"/>
    <s v="24AAYFA5084G1Z4"/>
    <s v="Pcs"/>
    <n v="73181500"/>
    <s v="Rs."/>
    <n v="1"/>
    <n v="0"/>
  </r>
  <r>
    <d v="2026-06-07T00:00:00"/>
    <s v="Axle Steel &amp; Fasteners"/>
    <s v="General Purchase"/>
    <s v="GNSP 112"/>
    <x v="0"/>
    <s v="0521/26-27"/>
    <d v="2026-01-07T00:00:00"/>
    <s v="Stores/Spares"/>
    <s v="Hardware Items"/>
    <s v="Spares &amp; Stores"/>
    <s v="Stores &amp; Consumables"/>
    <s v="Hex Bolt 08X20 mm Full Thread"/>
    <n v="50"/>
    <n v="133.77000000000001"/>
    <s v="Hex Bolt 08X20 mm Full Thread"/>
    <n v="0"/>
    <n v="9"/>
    <n v="12.039300000000001"/>
    <n v="9"/>
    <n v="12.039300000000001"/>
    <n v="0"/>
    <n v="0"/>
    <n v="14.4"/>
    <n v="38.4786"/>
    <n v="0"/>
    <s v="24AAYFA5084G1Z4"/>
    <s v="Pcs"/>
    <n v="73181500"/>
    <s v="Rs."/>
    <n v="1"/>
    <n v="0"/>
  </r>
  <r>
    <d v="2026-06-07T00:00:00"/>
    <s v="Axle Steel &amp; Fasteners"/>
    <s v="General Purchase"/>
    <s v="GNSP 112"/>
    <x v="0"/>
    <s v="0521/26-27"/>
    <d v="2026-01-07T00:00:00"/>
    <s v="Stores/Spares"/>
    <s v="Hardware Items"/>
    <s v="Spares &amp; Stores"/>
    <s v="Stores &amp; Consumables"/>
    <s v="Hex Bolt 10X35 mm Full Thread"/>
    <n v="50"/>
    <n v="293.37"/>
    <s v="Hex Bolt 10X35 mm Full Thread"/>
    <n v="0"/>
    <n v="9"/>
    <n v="26.403300000000002"/>
    <n v="9"/>
    <n v="26.403300000000002"/>
    <n v="0"/>
    <n v="0"/>
    <n v="14.4"/>
    <n v="67.206599999999995"/>
    <n v="0"/>
    <s v="24AAYFA5084G1Z4"/>
    <s v="Pcs"/>
    <n v="73181500"/>
    <s v="Rs."/>
    <n v="1"/>
    <n v="0"/>
  </r>
  <r>
    <d v="2026-06-07T00:00:00"/>
    <s v="Axle Steel &amp; Fasteners"/>
    <s v="General Purchase"/>
    <s v="GNSP 112"/>
    <x v="0"/>
    <s v="0521/26-27"/>
    <d v="2026-01-07T00:00:00"/>
    <s v="Stores/Spares"/>
    <s v="Hardware Items"/>
    <s v="Spares &amp; Stores"/>
    <s v="Stores &amp; Consumables"/>
    <s v="Key Bar 6X6X300 mm"/>
    <n v="10"/>
    <n v="250"/>
    <s v="Key Bar 6X6X300 mm"/>
    <n v="0"/>
    <n v="9"/>
    <n v="22.5"/>
    <n v="9"/>
    <n v="22.5"/>
    <n v="0"/>
    <n v="0"/>
    <n v="14.4"/>
    <n v="59.4"/>
    <n v="0"/>
    <s v="24AAYFA5084G1Z4"/>
    <s v="Pcs"/>
    <n v="7318150"/>
    <s v="Rs."/>
    <n v="1"/>
    <n v="0"/>
  </r>
  <r>
    <d v="2026-06-07T00:00:00"/>
    <s v="Axle Steel &amp; Fasteners"/>
    <s v="General Purchase"/>
    <s v="GNSP 112"/>
    <x v="0"/>
    <s v="0521/26-27"/>
    <d v="2026-01-07T00:00:00"/>
    <s v="Stores/Spares"/>
    <s v="Hardware Items"/>
    <s v="Spares &amp; Stores"/>
    <s v="Stores &amp; Consumables"/>
    <s v="Hex Bolt 08X30 mm Full Thread"/>
    <n v="30"/>
    <n v="109.12"/>
    <s v="Hex Bolt 08X30 mm Full Thread"/>
    <n v="0"/>
    <n v="9"/>
    <n v="9.8203999999999994"/>
    <n v="9"/>
    <n v="9.8203999999999994"/>
    <n v="0"/>
    <n v="0"/>
    <n v="14.4"/>
    <n v="34.040880000000001"/>
    <n v="0"/>
    <s v="24AAYFA5084G1Z4"/>
    <s v="Pcs"/>
    <n v="73181500"/>
    <s v="Rs."/>
    <n v="1"/>
    <n v="0"/>
  </r>
  <r>
    <d v="2026-06-07T00:00:00"/>
    <s v="Axle Steel &amp; Fasteners"/>
    <s v="General Purchase"/>
    <s v="GNSP 112"/>
    <x v="0"/>
    <s v="0521/26-27"/>
    <d v="2026-01-07T00:00:00"/>
    <s v="Stores/Spares"/>
    <s v="Hardware Items"/>
    <s v="Spares &amp; Stores"/>
    <s v="Stores &amp; Consumables"/>
    <s v="Hex Bolt 08X10 mm"/>
    <n v="50"/>
    <n v="186.06"/>
    <s v="Hex Bolt 08X10 mm"/>
    <n v="0"/>
    <n v="9"/>
    <n v="16.7454"/>
    <n v="9"/>
    <n v="16.7454"/>
    <n v="0"/>
    <n v="0"/>
    <n v="14.4"/>
    <n v="47.890799999999999"/>
    <n v="0"/>
    <s v="24AAYFA5084G1Z4"/>
    <s v="Pcs"/>
    <n v="73181500"/>
    <s v="Rs."/>
    <n v="1"/>
    <n v="0"/>
  </r>
  <r>
    <d v="2026-06-07T00:00:00"/>
    <s v="Axle Steel &amp; Fasteners"/>
    <s v="General Purchase"/>
    <s v="GNSP 112"/>
    <x v="0"/>
    <s v="0521/26-27"/>
    <d v="2026-01-07T00:00:00"/>
    <s v="Stores/Spares"/>
    <s v="Hardware Items"/>
    <s v="Spares &amp; Stores"/>
    <s v="Stores &amp; Consumables"/>
    <s v="Key Bar 4X4X300 mm"/>
    <n v="10"/>
    <n v="200"/>
    <s v="Key Bar 4X4X300 mm"/>
    <n v="0"/>
    <n v="9"/>
    <n v="18"/>
    <n v="9"/>
    <n v="18"/>
    <n v="0"/>
    <n v="0"/>
    <n v="14.4"/>
    <n v="50.4"/>
    <n v="0"/>
    <s v="24AAYFA5084G1Z4"/>
    <s v="Pcs"/>
    <n v="84529099"/>
    <s v="Rs."/>
    <n v="1"/>
    <n v="0"/>
  </r>
  <r>
    <d v="2026-06-07T00:00:00"/>
    <s v="Axle Steel &amp; Fasteners"/>
    <s v="General Purchase"/>
    <s v="GNSP 112"/>
    <x v="0"/>
    <s v="0521/26-27"/>
    <d v="2026-01-07T00:00:00"/>
    <s v="Stores/Spares"/>
    <s v="Hardware Items"/>
    <s v="Spares &amp; Stores"/>
    <s v="Stores &amp; Consumables"/>
    <s v="Key Bar 8X8X300 mm"/>
    <n v="20"/>
    <n v="700"/>
    <s v="Key Bar 8X8X300 mm"/>
    <n v="0"/>
    <n v="9"/>
    <n v="63"/>
    <n v="9"/>
    <n v="63"/>
    <n v="0"/>
    <n v="0"/>
    <n v="14.4"/>
    <n v="140.4"/>
    <n v="0"/>
    <s v="24AAYFA5084G1Z4"/>
    <s v="Pcs"/>
    <n v="73181500"/>
    <s v="Rs."/>
    <n v="1"/>
    <n v="0"/>
  </r>
  <r>
    <d v="2026-06-07T00:00:00"/>
    <s v="Bhagwati  Impex"/>
    <s v="Purchase"/>
    <s v="GNPK 64"/>
    <x v="3"/>
    <s v="BI/26-27/059"/>
    <d v="2026-06-07T00:00:00"/>
    <s v="Packing Material"/>
    <s v="Pallets"/>
    <s v="Pallets"/>
    <s v="Packing Material"/>
    <s v="Pine Wooden Pallet Design Code STD90110"/>
    <n v="100"/>
    <n v="77500"/>
    <s v="Pine Wooden Pallet Design Code STD90110"/>
    <n v="81375"/>
    <n v="2.5"/>
    <n v="1937.5"/>
    <n v="2.5"/>
    <n v="1937.5"/>
    <n v="0"/>
    <n v="0"/>
    <n v="0"/>
    <n v="3875"/>
    <n v="0"/>
    <s v="24AXVPT0296P1ZD"/>
    <s v="Pcs"/>
    <n v="44152000"/>
    <s v="Rs."/>
    <n v="1"/>
    <n v="0"/>
  </r>
  <r>
    <d v="2026-06-07T00:00:00"/>
    <s v="Disha Trading"/>
    <s v="General Purchase"/>
    <s v="GNCN 239"/>
    <x v="0"/>
    <n v="869"/>
    <d v="2026-04-07T00:00:00"/>
    <s v="Consumables"/>
    <s v="Housekeeping Material"/>
    <s v="Spares &amp; Stores"/>
    <s v="Stores &amp; Consumables"/>
    <s v="Cotton Waste"/>
    <n v="600"/>
    <n v="9600"/>
    <s v="Cotton Waste"/>
    <n v="10080"/>
    <n v="2.5"/>
    <n v="240"/>
    <n v="2.5"/>
    <n v="240"/>
    <n v="0"/>
    <n v="0"/>
    <n v="0"/>
    <n v="480"/>
    <n v="0"/>
    <s v="24AFUPA6072K1Z6"/>
    <s v="Kgs"/>
    <n v="631090"/>
    <s v="Rs."/>
    <n v="1"/>
    <n v="0"/>
  </r>
  <r>
    <d v="2026-06-07T00:00:00"/>
    <s v="Jay Jagannath Industries- 24GKEPP9703F1Z1"/>
    <s v="General Purchase"/>
    <s v="GNSP 111"/>
    <x v="0"/>
    <s v="GST-098"/>
    <s v="16-06-2026"/>
    <s v="Stores/Spares"/>
    <s v="Sprocket"/>
    <s v="Spares &amp; Stores"/>
    <s v="Stores &amp; Consumables"/>
    <s v="Chain Sprocket 5/8&quot;  24 Teeth Duplex Boss Size"/>
    <n v="3"/>
    <n v="2460"/>
    <s v="Chain Sprocket 5/8&quot;  24 Teeth Duplex Boss Size"/>
    <n v="5587"/>
    <n v="9"/>
    <n v="221.4"/>
    <n v="9"/>
    <n v="221.4"/>
    <n v="0"/>
    <n v="0"/>
    <n v="0"/>
    <n v="442.8"/>
    <n v="0"/>
    <s v="24GKEPP9703F1Z1"/>
    <s v="Pcs"/>
    <n v="848382"/>
    <s v="Rs."/>
    <n v="1"/>
    <n v="0"/>
  </r>
  <r>
    <d v="2026-06-07T00:00:00"/>
    <s v="Jay Jagannath Industries- 24GKEPP9703F1Z1"/>
    <s v="General Purchase"/>
    <s v="GNSP 111"/>
    <x v="0"/>
    <s v="GST-098"/>
    <s v="16-06-2026"/>
    <s v="Stores/Spares"/>
    <s v="Sprocket"/>
    <s v="Spares &amp; Stores"/>
    <s v="Stores &amp; Consumables"/>
    <s v="Chain Sprocket 5/8&quot;  24 Teeth Duplex Boss Size"/>
    <n v="3"/>
    <n v="2190"/>
    <s v="Chain Sprocket 5/8&quot;  24 Teeth Duplex Boss Size"/>
    <n v="0"/>
    <n v="9"/>
    <n v="197.1"/>
    <n v="9"/>
    <n v="197.1"/>
    <n v="0"/>
    <n v="0"/>
    <n v="0"/>
    <n v="394.2"/>
    <n v="0"/>
    <s v="24GKEPP9703F1Z1"/>
    <s v="Pcs"/>
    <n v="848382"/>
    <s v="Rs."/>
    <n v="1"/>
    <n v="0"/>
  </r>
  <r>
    <d v="2026-06-07T00:00:00"/>
    <s v="Plastene India ltd - Unit 1-Purchase"/>
    <s v="General Purchase"/>
    <s v="GNCN 243"/>
    <x v="0"/>
    <s v="PIL1/D/933"/>
    <d v="2026-06-07T00:00:00"/>
    <s v="Stores/Spares"/>
    <s v="MS Structure Items"/>
    <s v="Spares &amp; Stores"/>
    <s v="Stores &amp; Consumables"/>
    <s v="MS Pipe 4  C Class"/>
    <n v="244"/>
    <n v="11712"/>
    <s v="MS Pipe 4  C Class"/>
    <n v="13808.45"/>
    <n v="9"/>
    <n v="1054.08"/>
    <n v="9"/>
    <n v="1054.08"/>
    <n v="0"/>
    <n v="0"/>
    <n v="0"/>
    <n v="2108.16"/>
    <n v="0"/>
    <s v="24AAACO3087C1ZT"/>
    <s v="Kgs"/>
    <n v="73063090"/>
    <s v="Rs."/>
    <n v="1"/>
    <n v="0"/>
  </r>
  <r>
    <d v="2026-06-07T00:00:00"/>
    <s v="Plastene India ltd - Unit 1-Purchase"/>
    <s v="R.M.P."/>
    <s v="RM 345"/>
    <x v="1"/>
    <s v="PIL1/D/934"/>
    <d v="2026-06-07T00:00:00"/>
    <s v="SF"/>
    <s v="Liners"/>
    <s v="LDPE/LLDPE Bags"/>
    <s v="LLDPE Bags"/>
    <s v="LDPE/LLDPE Bags/Liner"/>
    <n v="3556.1"/>
    <n v="649983.96"/>
    <s v="LDPE/LLDPE Bags/Liner"/>
    <n v="803808.91"/>
    <n v="9"/>
    <n v="58498.559999999998"/>
    <n v="9"/>
    <n v="58498.559999999998"/>
    <n v="0"/>
    <n v="0"/>
    <n v="0"/>
    <n v="116997.12"/>
    <n v="0"/>
    <s v="24AAACO3087C1ZT"/>
    <s v="Kgs"/>
    <n v="39200000"/>
    <s v="Rs."/>
    <n v="1"/>
    <n v="0"/>
  </r>
  <r>
    <d v="2026-06-07T00:00:00"/>
    <s v="Plastene India ltd - Unit 1-Purchase"/>
    <s v="R.M.P."/>
    <s v="RM 345"/>
    <x v="1"/>
    <s v="PIL1/D/934"/>
    <d v="2026-06-07T00:00:00"/>
    <s v="SF"/>
    <s v="PP/PE Fabric"/>
    <s v="PP UL Fabric"/>
    <s v="PP Woven Fabric"/>
    <s v="PP UL Fabric With UV"/>
    <n v="220"/>
    <n v="31787.8"/>
    <s v="PP UL Fabric With UV"/>
    <n v="0"/>
    <n v="9"/>
    <n v="2860.9"/>
    <n v="9"/>
    <n v="2860.9"/>
    <n v="0"/>
    <n v="0"/>
    <n v="0"/>
    <n v="5721.8"/>
    <n v="0"/>
    <s v="24AAACO3087C1ZT"/>
    <s v="Kgs"/>
    <n v="39269080"/>
    <s v="Rs."/>
    <n v="1"/>
    <n v="0"/>
  </r>
  <r>
    <d v="2026-06-07T00:00:00"/>
    <s v="Plastene India ltd - Unit 1-Purchase"/>
    <s v="R.M.P."/>
    <s v="RM 346"/>
    <x v="1"/>
    <s v="PIL1/D/932"/>
    <d v="2026-06-07T00:00:00"/>
    <s v="SF"/>
    <s v="PP/PE Fabric"/>
    <s v="PP UL Fabric"/>
    <s v="PP Woven Fabric"/>
    <s v="PP UL Fabric With UV"/>
    <n v="2826"/>
    <n v="413980.74"/>
    <s v="PP UL Fabric With UV"/>
    <n v="1567298.8"/>
    <n v="9"/>
    <n v="37258.269999999997"/>
    <n v="9"/>
    <n v="37258.269999999997"/>
    <n v="0"/>
    <n v="0"/>
    <n v="0"/>
    <n v="74516.539999999994"/>
    <n v="0"/>
    <s v="24AAACO3087C1ZT"/>
    <s v="Kgs"/>
    <n v="39269080"/>
    <s v="Rs."/>
    <n v="1"/>
    <n v="0"/>
  </r>
  <r>
    <d v="2026-06-07T00:00:00"/>
    <s v="Plastene India ltd - Unit 1-Purchase"/>
    <s v="R.M.P."/>
    <s v="RM 346"/>
    <x v="1"/>
    <s v="PIL1/D/932"/>
    <d v="2026-06-07T00:00:00"/>
    <s v="SF"/>
    <s v="Webbing"/>
    <s v="PP Webbing"/>
    <s v="PP Webbing"/>
    <s v="Webbing"/>
    <n v="5.8"/>
    <n v="988.84"/>
    <s v="Webbing"/>
    <n v="0"/>
    <n v="9"/>
    <n v="89"/>
    <n v="9"/>
    <n v="89"/>
    <n v="0"/>
    <n v="0"/>
    <n v="0"/>
    <n v="178"/>
    <n v="0"/>
    <s v="24AAACO3087C1ZT"/>
    <s v="Kgs"/>
    <n v="3926908"/>
    <s v="Rs."/>
    <n v="1"/>
    <n v="0"/>
  </r>
  <r>
    <d v="2026-06-07T00:00:00"/>
    <s v="Plastene India ltd - Unit 1-Purchase"/>
    <s v="R.M.P."/>
    <s v="RM 346"/>
    <x v="1"/>
    <s v="PIL1/D/932"/>
    <d v="2026-06-07T00:00:00"/>
    <s v="SF"/>
    <s v="Webbing"/>
    <s v="PP Webbing"/>
    <s v="PP Webbing"/>
    <s v="Webbing"/>
    <n v="706.1"/>
    <n v="103436.59"/>
    <s v="Webbing"/>
    <n v="0"/>
    <n v="9"/>
    <n v="9309.2900000000009"/>
    <n v="9"/>
    <n v="9309.2900000000009"/>
    <n v="0"/>
    <n v="0"/>
    <n v="0"/>
    <n v="18618.580000000002"/>
    <n v="0"/>
    <s v="24AAACO3087C1ZT"/>
    <s v="Kgs"/>
    <n v="3926908"/>
    <s v="Rs."/>
    <n v="1"/>
    <n v="0"/>
  </r>
  <r>
    <d v="2026-06-07T00:00:00"/>
    <s v="Plastene India ltd - Unit 1-Purchase"/>
    <s v="R.M.P."/>
    <s v="RM 346"/>
    <x v="1"/>
    <s v="PIL1/D/932"/>
    <d v="2026-06-07T00:00:00"/>
    <s v="SF"/>
    <s v="Webbing"/>
    <s v="PP Webbing"/>
    <s v="PP Webbing"/>
    <s v="Webbing"/>
    <n v="1181.5999999999999"/>
    <n v="176637.38"/>
    <s v="Webbing"/>
    <n v="0"/>
    <n v="9"/>
    <n v="15897.36"/>
    <n v="9"/>
    <n v="15897.36"/>
    <n v="0"/>
    <n v="0"/>
    <n v="0"/>
    <n v="31794.720000000001"/>
    <n v="0"/>
    <s v="24AAACO3087C1ZT"/>
    <s v="Kgs"/>
    <n v="3926908"/>
    <s v="Rs."/>
    <n v="1"/>
    <n v="0"/>
  </r>
  <r>
    <d v="2026-06-07T00:00:00"/>
    <s v="Plastene India ltd - Unit 1-Purchase"/>
    <s v="R.M.P."/>
    <s v="RM 346"/>
    <x v="1"/>
    <s v="PIL1/D/932"/>
    <d v="2026-06-07T00:00:00"/>
    <s v="SF"/>
    <s v="PP/PE Fabric"/>
    <s v="PP UL Fabric"/>
    <s v="PP Woven Fabric"/>
    <s v="PP UL Fabric With UV"/>
    <n v="3213"/>
    <n v="464246.37"/>
    <s v="PP UL Fabric With UV"/>
    <n v="0"/>
    <n v="9"/>
    <n v="41782.17"/>
    <n v="9"/>
    <n v="41782.17"/>
    <n v="0"/>
    <n v="0"/>
    <n v="0"/>
    <n v="83564.34"/>
    <n v="0"/>
    <s v="24AAACO3087C1ZT"/>
    <s v="Kgs"/>
    <n v="39269080"/>
    <s v="Rs."/>
    <n v="1"/>
    <n v="0"/>
  </r>
  <r>
    <d v="2026-06-07T00:00:00"/>
    <s v="Plastene India ltd - Unit 1-Purchase"/>
    <s v="R.M.P."/>
    <s v="RM 346"/>
    <x v="1"/>
    <s v="PIL1/D/932"/>
    <d v="2026-06-07T00:00:00"/>
    <s v="SF"/>
    <s v="PP/PE Fabric"/>
    <s v="PP UL Fabric"/>
    <s v="PP Woven Fabric"/>
    <s v="PP UL Fabric With UV"/>
    <n v="1153"/>
    <n v="170055.97"/>
    <s v="PP UL Fabric With UV"/>
    <n v="0"/>
    <n v="9"/>
    <n v="15305.04"/>
    <n v="9"/>
    <n v="15305.04"/>
    <n v="0"/>
    <n v="0"/>
    <n v="0"/>
    <n v="30610.080000000002"/>
    <n v="0"/>
    <s v="24AAACO3087C1ZT"/>
    <s v="Kgs"/>
    <n v="39269080"/>
    <s v="Rs."/>
    <n v="1"/>
    <n v="0"/>
  </r>
  <r>
    <d v="2026-06-07T00:00:00"/>
    <s v="Plastene Polyfilms Ltd-Purchase"/>
    <s v="General Purchase"/>
    <s v="GNCN 241"/>
    <x v="0"/>
    <s v="PPL/D/312"/>
    <d v="2026-06-07T00:00:00"/>
    <s v="Stores/Spares"/>
    <s v="MS Structure Items"/>
    <s v="Spares &amp; Stores"/>
    <s v="Stores &amp; Consumables"/>
    <s v="MS Pipe 4  C Class"/>
    <n v="12"/>
    <n v="576"/>
    <s v="MS Pipe 4  C Class"/>
    <n v="679.1"/>
    <n v="9"/>
    <n v="51.84"/>
    <n v="9"/>
    <n v="51.84"/>
    <n v="0"/>
    <n v="0"/>
    <n v="0"/>
    <n v="103.68"/>
    <n v="0"/>
    <s v="24AAFCP2956A1ZR"/>
    <s v="Kgs"/>
    <n v="73063090"/>
    <s v="Rs."/>
    <n v="1"/>
    <n v="0"/>
  </r>
  <r>
    <d v="2026-06-07T00:00:00"/>
    <s v="Plastene Polyfilms Ltd-Purchase"/>
    <s v="General Purchase"/>
    <s v="GNCN 242"/>
    <x v="0"/>
    <s v="PPL/D/313"/>
    <d v="2026-06-07T00:00:00"/>
    <s v="Consumables"/>
    <s v="Oil &amp; Greases"/>
    <s v="Spares &amp; Stores"/>
    <s v="Stores &amp; Consumables"/>
    <s v="Oil 20W/40"/>
    <n v="20"/>
    <n v="2760"/>
    <s v="Oil 20W/40"/>
    <n v="3254.04"/>
    <n v="9"/>
    <n v="248.4"/>
    <n v="9"/>
    <n v="248.4"/>
    <n v="0"/>
    <n v="0"/>
    <n v="0"/>
    <n v="496.8"/>
    <n v="0"/>
    <s v="24AAFCP2956A1ZR"/>
    <s v="LTR"/>
    <n v="27109900"/>
    <s v="Rs."/>
    <n v="1"/>
    <n v="0"/>
  </r>
  <r>
    <d v="2026-06-07T00:00:00"/>
    <s v="Plastene Polyfilms Ltd-Purchase"/>
    <s v="R.M.P."/>
    <s v="RM 344"/>
    <x v="1"/>
    <s v="PPL/D/314"/>
    <d v="2026-06-07T00:00:00"/>
    <s v="FG"/>
    <s v="FIBC WIP"/>
    <s v="FIBC WIP"/>
    <s v="FIBC WIP"/>
    <s v="PP Woven Fabric"/>
    <n v="411"/>
    <n v="63598.14"/>
    <s v="FIBC WIP"/>
    <n v="116943.05"/>
    <n v="9"/>
    <n v="5723.83"/>
    <n v="9"/>
    <n v="5723.83"/>
    <n v="0"/>
    <n v="0"/>
    <n v="0"/>
    <n v="11447.66"/>
    <n v="0"/>
    <s v="24AAFCP2956A1ZR"/>
    <s v="Kgs"/>
    <n v="39269080"/>
    <s v="Rs."/>
    <n v="1"/>
    <n v="0"/>
  </r>
  <r>
    <d v="2026-06-07T00:00:00"/>
    <s v="Plastene Polyfilms Ltd-Purchase"/>
    <s v="R.M.P."/>
    <s v="RM 344"/>
    <x v="1"/>
    <s v="PPL/D/314"/>
    <d v="2026-06-07T00:00:00"/>
    <s v="SF"/>
    <s v="PP/PE Fabric"/>
    <s v="PP UL Fabric"/>
    <s v="PP Woven Fabric"/>
    <s v="PP UL Fabric With UV"/>
    <n v="230"/>
    <n v="35590.199999999997"/>
    <s v="PP UL Fabric With UV"/>
    <n v="0"/>
    <n v="9"/>
    <n v="3203.12"/>
    <n v="9"/>
    <n v="3203.12"/>
    <n v="0"/>
    <n v="0"/>
    <n v="0"/>
    <n v="6406.24"/>
    <n v="0"/>
    <s v="24AAFCP2956A1ZR"/>
    <s v="Kgs"/>
    <n v="39269080"/>
    <s v="Rs."/>
    <n v="1"/>
    <n v="0"/>
  </r>
  <r>
    <d v="2026-06-07T00:00:00"/>
    <s v="Plus Logistics Ltd."/>
    <s v="General Purchase"/>
    <s v="GNCN 240"/>
    <x v="4"/>
    <s v="SLZ/003726-27"/>
    <d v="2026-03-07T00:00:00"/>
    <s v="RM Consumables"/>
    <s v="FIBC Accessories"/>
    <s v="FIBC Accessories"/>
    <s v="Stores &amp; Consumables"/>
    <s v="Zipper Bags"/>
    <n v="7000"/>
    <n v="14700"/>
    <s v="Zipper Bags"/>
    <n v="17346"/>
    <n v="0"/>
    <n v="0"/>
    <n v="0"/>
    <n v="0"/>
    <n v="18"/>
    <n v="2646"/>
    <n v="0"/>
    <n v="2646"/>
    <n v="0"/>
    <s v="23AAECS3438H1ZI"/>
    <s v="Pcs"/>
    <n v="39239090"/>
    <s v="Rs."/>
    <n v="1"/>
    <n v="7000"/>
  </r>
  <r>
    <d v="2026-06-07T00:00:00"/>
    <s v="Shree Salareshwar Wood Packers Private Limited."/>
    <s v="Purchase"/>
    <s v="GNPK 63"/>
    <x v="3"/>
    <s v="SS/SL/26-27/194"/>
    <d v="2026-06-07T00:00:00"/>
    <s v="Packing Material"/>
    <s v="Pallets"/>
    <s v="Pallets"/>
    <s v="Packing Material"/>
    <s v="Pine Wooden Pallet Design Code STD90110"/>
    <n v="100"/>
    <n v="80300"/>
    <s v="Pine Wooden Pallet Design Code STD90110"/>
    <n v="84315"/>
    <n v="2.5"/>
    <n v="2007.5"/>
    <n v="2.5"/>
    <n v="2007.5"/>
    <n v="0"/>
    <n v="0"/>
    <n v="0"/>
    <n v="4015"/>
    <n v="0"/>
    <s v="24ABLCS6579H1ZR"/>
    <s v="Pcs"/>
    <n v="44152000"/>
    <s v="Rs."/>
    <n v="1"/>
    <n v="0"/>
  </r>
  <r>
    <d v="2026-06-07T00:00:00"/>
    <s v="Shree Salareshwar Wood Packers Private Limited."/>
    <s v="Purchase"/>
    <s v="GNPK 65"/>
    <x v="3"/>
    <s v="SS/SL/26-27/195"/>
    <d v="2026-06-07T00:00:00"/>
    <s v="Packing Material"/>
    <s v="Pallets"/>
    <s v="Packing Material"/>
    <s v="Packing Material"/>
    <s v="Wooden Pallet Flate Size 85X105Cm"/>
    <n v="50"/>
    <n v="25700"/>
    <s v="Wooden Pallet Flate Size 85X105Cm"/>
    <n v="69930"/>
    <n v="2.5"/>
    <n v="642.5"/>
    <n v="2.5"/>
    <n v="642.5"/>
    <n v="0"/>
    <n v="0"/>
    <n v="0"/>
    <n v="1285"/>
    <n v="0"/>
    <s v="24ABLCS6579H1ZR"/>
    <s v="Pcs"/>
    <n v="44152000"/>
    <s v="Rs."/>
    <n v="1"/>
    <n v="0"/>
  </r>
  <r>
    <d v="2026-06-07T00:00:00"/>
    <s v="Shree Salareshwar Wood Packers Private Limited."/>
    <s v="Purchase"/>
    <s v="GNPK 65"/>
    <x v="3"/>
    <s v="SS/SL/26-27/195"/>
    <d v="2026-06-07T00:00:00"/>
    <s v="Packing Material"/>
    <s v="Pallets"/>
    <s v="Pallets"/>
    <s v="Packing Material"/>
    <s v="Pine Wooden Pallet Design SP90110"/>
    <n v="50"/>
    <n v="40900"/>
    <s v="Pine Wooden Pallet Design SP90110"/>
    <n v="0"/>
    <n v="2.5"/>
    <n v="1022.5"/>
    <n v="2.5"/>
    <n v="1022.5"/>
    <n v="0"/>
    <n v="0"/>
    <n v="0"/>
    <n v="2045"/>
    <n v="0"/>
    <s v="24ABLCS6579H1ZR"/>
    <s v="Pcs"/>
    <n v="44152000"/>
    <s v="Rs."/>
    <n v="1"/>
    <n v="0"/>
  </r>
  <r>
    <d v="2026-07-07T00:00:00"/>
    <s v="Plastene India ltd - Unit 1-Purchase"/>
    <s v="General Purchase"/>
    <s v="GNCN 245"/>
    <x v="0"/>
    <s v="PIL1/D/951"/>
    <d v="2026-07-07T00:00:00"/>
    <s v="Stores/Spares"/>
    <s v="MS Structure Items"/>
    <s v="Spares &amp; Stores"/>
    <s v="Stores &amp; Consumables"/>
    <s v="MS Pipe 4  C Class"/>
    <n v="277"/>
    <n v="13296"/>
    <s v="MS Pipe 4  C Class"/>
    <n v="15675.98"/>
    <n v="9"/>
    <n v="1196.6400000000001"/>
    <n v="9"/>
    <n v="1196.6400000000001"/>
    <n v="0"/>
    <n v="0"/>
    <n v="0"/>
    <n v="2393.2800000000002"/>
    <n v="0"/>
    <s v="24AAACO3087C1ZT"/>
    <s v="Kgs"/>
    <n v="73063090"/>
    <s v="Rs."/>
    <n v="1"/>
    <n v="0"/>
  </r>
  <r>
    <d v="2026-07-07T00:00:00"/>
    <s v="Plastene India ltd - Unit 1-Purchase"/>
    <s v="R.M.P."/>
    <s v="RM 348"/>
    <x v="1"/>
    <s v="PIL1/D/953"/>
    <d v="2026-07-07T00:00:00"/>
    <s v="SF"/>
    <s v="Liners"/>
    <s v="LDPE/LLDPE Bags"/>
    <s v="LLDPE Bags"/>
    <s v="LDPE/LLDPE Bags/Liner"/>
    <n v="193"/>
    <n v="35276.54"/>
    <s v="LDPE/LLDPE Bags/Liner"/>
    <n v="41591.040000000001"/>
    <n v="9"/>
    <n v="3174.89"/>
    <n v="9"/>
    <n v="3174.89"/>
    <n v="0"/>
    <n v="0"/>
    <n v="0"/>
    <n v="6349.78"/>
    <n v="0"/>
    <s v="24AAACO3087C1ZT"/>
    <s v="Kgs"/>
    <n v="39200000"/>
    <s v="Rs."/>
    <n v="1"/>
    <n v="0"/>
  </r>
  <r>
    <d v="2026-07-07T00:00:00"/>
    <s v="Plastene India ltd - Unit 1-Purchase"/>
    <s v="R.M.P."/>
    <s v="RM 349"/>
    <x v="1"/>
    <s v="PIL1/D/948"/>
    <d v="2026-07-07T00:00:00"/>
    <s v="SF"/>
    <s v="PP/PE Fabric"/>
    <s v="PP UL Fabric"/>
    <s v="PP Woven Fabric"/>
    <s v="PP UL Fabric With UV"/>
    <n v="1093"/>
    <n v="160113.57"/>
    <s v="PP UL Fabric With UV"/>
    <n v="188773.9"/>
    <n v="9"/>
    <n v="14410.22"/>
    <n v="9"/>
    <n v="14410.22"/>
    <n v="0"/>
    <n v="0"/>
    <n v="0"/>
    <n v="28820.44"/>
    <n v="0"/>
    <s v="24AAACO3087C1ZT"/>
    <s v="Kgs"/>
    <n v="39269080"/>
    <s v="Rs."/>
    <n v="1"/>
    <n v="0"/>
  </r>
  <r>
    <d v="2026-07-07T00:00:00"/>
    <s v="Plastene India ltd - Unit 1-Purchase"/>
    <s v="R.M.P."/>
    <s v="RM 350"/>
    <x v="1"/>
    <s v="PIL1/D/935"/>
    <d v="2026-06-07T00:00:00"/>
    <s v="SF"/>
    <s v="PP/PE Fabric"/>
    <s v="PP UL Fabric"/>
    <s v="PP Woven Fabric"/>
    <s v="PP UL Fabric With UV"/>
    <n v="410"/>
    <n v="59240.9"/>
    <s v="PP UL Fabric With UV"/>
    <n v="69845.02"/>
    <n v="9"/>
    <n v="5331.68"/>
    <n v="9"/>
    <n v="5331.68"/>
    <n v="0"/>
    <n v="0"/>
    <n v="0"/>
    <n v="10663.36"/>
    <n v="0"/>
    <s v="24AAACO3087C1ZT"/>
    <s v="Kgs"/>
    <n v="39269080"/>
    <s v="Rs."/>
    <n v="1"/>
    <n v="0"/>
  </r>
  <r>
    <d v="2026-07-07T00:00:00"/>
    <s v="Plastene India ltd - Unit 1-Purchase"/>
    <s v="R.M.P."/>
    <s v="RM 351"/>
    <x v="1"/>
    <s v="PIL1/D/954"/>
    <d v="2026-07-07T00:00:00"/>
    <s v="SF"/>
    <s v="Webbing"/>
    <s v="PP Webbing"/>
    <s v="PP Webbing"/>
    <s v="Webbing"/>
    <n v="480.4"/>
    <n v="70373.8"/>
    <s v="Webbing"/>
    <n v="461730.48"/>
    <n v="9"/>
    <n v="6333.64"/>
    <n v="9"/>
    <n v="6333.64"/>
    <n v="0"/>
    <n v="0"/>
    <n v="0"/>
    <n v="12667.28"/>
    <n v="0"/>
    <s v="24AAACO3087C1ZT"/>
    <s v="Kgs"/>
    <n v="3926908"/>
    <s v="Rs."/>
    <n v="1"/>
    <n v="0"/>
  </r>
  <r>
    <d v="2026-07-07T00:00:00"/>
    <s v="Plastene India ltd - Unit 1-Purchase"/>
    <s v="R.M.P."/>
    <s v="RM 351"/>
    <x v="1"/>
    <s v="PIL1/D/954"/>
    <d v="2026-07-07T00:00:00"/>
    <s v="SF"/>
    <s v="Webbing"/>
    <s v="PP Webbing"/>
    <s v="PP Webbing"/>
    <s v="Webbing"/>
    <n v="882.3"/>
    <n v="131895.03"/>
    <s v="Webbing"/>
    <n v="0"/>
    <n v="9"/>
    <n v="11870.55"/>
    <n v="9"/>
    <n v="11870.55"/>
    <n v="0"/>
    <n v="0"/>
    <n v="0"/>
    <n v="23741.1"/>
    <n v="0"/>
    <s v="24AAACO3087C1ZT"/>
    <s v="Kgs"/>
    <n v="3926908"/>
    <s v="Rs."/>
    <n v="1"/>
    <n v="0"/>
  </r>
  <r>
    <d v="2026-07-07T00:00:00"/>
    <s v="Plastene India ltd - Unit 1-Purchase"/>
    <s v="R.M.P."/>
    <s v="RM 351"/>
    <x v="1"/>
    <s v="PIL1/D/954"/>
    <d v="2026-07-07T00:00:00"/>
    <s v="SF"/>
    <s v="Liners"/>
    <s v="LDPE/LLDPE Bags"/>
    <s v="LLDPE Bags"/>
    <s v="LDPE/LLDPE Bags/Liner"/>
    <n v="1036"/>
    <n v="189360.08"/>
    <s v="LDPE/LLDPE Bags/Liner"/>
    <n v="0"/>
    <n v="9"/>
    <n v="17042.41"/>
    <n v="9"/>
    <n v="17042.41"/>
    <n v="0"/>
    <n v="0"/>
    <n v="0"/>
    <n v="34084.82"/>
    <n v="0"/>
    <s v="24AAACO3087C1ZT"/>
    <s v="Kgs"/>
    <n v="39200000"/>
    <s v="Rs."/>
    <n v="1"/>
    <n v="0"/>
  </r>
  <r>
    <d v="2026-07-07T00:00:00"/>
    <s v="Plastene India ltd - Unit 1-Purchase"/>
    <s v="R.M.P."/>
    <s v="RM 352"/>
    <x v="1"/>
    <s v="PIL1/D/945"/>
    <d v="2026-07-07T00:00:00"/>
    <s v="SF"/>
    <s v="PP/PE Fabric"/>
    <s v="PP UL Fabric"/>
    <s v="PP Woven Fabric"/>
    <s v="PP UL Fabric With UV"/>
    <n v="3931"/>
    <n v="575852.18999999994"/>
    <s v="PP UL Fabric With UV"/>
    <n v="1338728.78"/>
    <n v="9"/>
    <n v="51826.7"/>
    <n v="9"/>
    <n v="51826.7"/>
    <n v="0"/>
    <n v="0"/>
    <n v="0"/>
    <n v="103653.4"/>
    <n v="0"/>
    <s v="24AAACO3087C1ZT"/>
    <s v="Kgs"/>
    <n v="39269080"/>
    <s v="Rs."/>
    <n v="1"/>
    <n v="0"/>
  </r>
  <r>
    <d v="2026-07-07T00:00:00"/>
    <s v="Plastene India ltd - Unit 1-Purchase"/>
    <s v="R.M.P."/>
    <s v="RM 352"/>
    <x v="1"/>
    <s v="PIL1/D/945"/>
    <d v="2026-07-07T00:00:00"/>
    <s v="SF"/>
    <s v="PP/PE Fabric"/>
    <s v="PP UL Fabric"/>
    <s v="PP Woven Fabric"/>
    <s v="PP UL Fabric With UV"/>
    <n v="2786"/>
    <n v="402549.14"/>
    <s v="PP UL Fabric With UV"/>
    <n v="0"/>
    <n v="9"/>
    <n v="36229.42"/>
    <n v="9"/>
    <n v="36229.42"/>
    <n v="0"/>
    <n v="0"/>
    <n v="0"/>
    <n v="72458.84"/>
    <n v="0"/>
    <s v="24AAACO3087C1ZT"/>
    <s v="Kgs"/>
    <n v="39269080"/>
    <s v="Rs."/>
    <n v="1"/>
    <n v="0"/>
  </r>
  <r>
    <d v="2026-07-07T00:00:00"/>
    <s v="Plastene India ltd - Unit 1-Purchase"/>
    <s v="R.M.P."/>
    <s v="RM 352"/>
    <x v="1"/>
    <s v="PIL1/D/945"/>
    <d v="2026-07-07T00:00:00"/>
    <s v="SF"/>
    <s v="PP/PE Fabric"/>
    <s v="PP UL Fabric"/>
    <s v="PP Woven Fabric"/>
    <s v="PP UL Fabric With UV"/>
    <n v="1065"/>
    <n v="157076.85"/>
    <s v="PP UL Fabric With UV"/>
    <n v="0"/>
    <n v="9"/>
    <n v="14136.92"/>
    <n v="9"/>
    <n v="14136.92"/>
    <n v="0"/>
    <n v="0"/>
    <n v="0"/>
    <n v="28273.84"/>
    <n v="0"/>
    <s v="24AAACO3087C1ZT"/>
    <s v="Kgs"/>
    <n v="39269080"/>
    <s v="Rs."/>
    <n v="1"/>
    <n v="0"/>
  </r>
  <r>
    <d v="2026-07-07T00:00:00"/>
    <s v="Plastene India ltd - Unit 1-Purchase"/>
    <s v="R.M.P."/>
    <s v="RM 353"/>
    <x v="1"/>
    <s v="PIL1/D/950"/>
    <d v="2026-07-07T00:00:00"/>
    <s v="SF"/>
    <s v="PP/PE Fabric"/>
    <s v="PP Lam Fabric"/>
    <s v="PP Laminated Woven Fabric"/>
    <s v="PP Lam Fabric With UV"/>
    <n v="406"/>
    <n v="60692.94"/>
    <s v="PP Lam Fabric With UV"/>
    <n v="658637.49"/>
    <n v="9"/>
    <n v="5462.36"/>
    <n v="9"/>
    <n v="5462.36"/>
    <n v="0"/>
    <n v="0"/>
    <n v="0"/>
    <n v="10924.72"/>
    <n v="0"/>
    <s v="24AAACO3087C1ZT"/>
    <s v="Kgs"/>
    <n v="63053300"/>
    <s v="Rs."/>
    <n v="1"/>
    <n v="0"/>
  </r>
  <r>
    <d v="2026-07-07T00:00:00"/>
    <s v="Plastene India ltd - Unit 1-Purchase"/>
    <s v="R.M.P."/>
    <s v="RM 353"/>
    <x v="1"/>
    <s v="PIL1/D/950"/>
    <d v="2026-07-07T00:00:00"/>
    <s v="SF"/>
    <s v="PP/PE Fabric"/>
    <s v="PP Lam Fabric"/>
    <s v="PP Laminated Woven Fabric"/>
    <s v="PP Lam Fabric With UV"/>
    <n v="1739"/>
    <n v="263441.11"/>
    <s v="PP Lam Fabric With UV"/>
    <n v="0"/>
    <n v="9"/>
    <n v="23709.7"/>
    <n v="9"/>
    <n v="23709.7"/>
    <n v="0"/>
    <n v="0"/>
    <n v="0"/>
    <n v="47419.4"/>
    <n v="0"/>
    <s v="24AAACO3087C1ZT"/>
    <s v="Kgs"/>
    <n v="63053300"/>
    <s v="Rs."/>
    <n v="1"/>
    <n v="0"/>
  </r>
  <r>
    <d v="2026-07-07T00:00:00"/>
    <s v="Plastene India ltd - Unit 1-Purchase"/>
    <s v="R.M.P."/>
    <s v="RM 353"/>
    <x v="1"/>
    <s v="PIL1/D/950"/>
    <d v="2026-07-07T00:00:00"/>
    <s v="SF"/>
    <s v="Liners"/>
    <s v="LDPE/LLDPE Bags"/>
    <s v="LLDPE Bags"/>
    <s v="LDPE/LLDPE Bags/Liner"/>
    <n v="1283"/>
    <n v="234506.74"/>
    <s v="LDPE/LLDPE Bags/Liner"/>
    <n v="0"/>
    <n v="9"/>
    <n v="21105.61"/>
    <n v="9"/>
    <n v="21105.61"/>
    <n v="0"/>
    <n v="0"/>
    <n v="0"/>
    <n v="42211.22"/>
    <n v="0"/>
    <s v="24AAACO3087C1ZT"/>
    <s v="Kgs"/>
    <n v="39200000"/>
    <s v="Rs."/>
    <n v="1"/>
    <n v="0"/>
  </r>
  <r>
    <d v="2026-07-07T00:00:00"/>
    <s v="Plastene Polyfilms Ltd-Purchase"/>
    <s v="General Purchase"/>
    <s v="GNCN 244"/>
    <x v="0"/>
    <s v="PPL/D/319"/>
    <d v="2026-07-07T00:00:00"/>
    <s v="Stores/Spares"/>
    <s v="MS Structure Items"/>
    <s v="Spares &amp; Stores"/>
    <s v="Stores &amp; Consumables"/>
    <s v="MS Pipe 4  C Class"/>
    <n v="36"/>
    <n v="1728"/>
    <s v="MS Pipe 4  C Class"/>
    <n v="2037.31"/>
    <n v="9"/>
    <n v="155.52000000000001"/>
    <n v="9"/>
    <n v="155.52000000000001"/>
    <n v="0"/>
    <n v="0"/>
    <n v="0"/>
    <n v="311.04000000000002"/>
    <n v="0"/>
    <s v="24AAFCP2956A1ZR"/>
    <s v="Kgs"/>
    <n v="73063090"/>
    <s v="Rs."/>
    <n v="1"/>
    <n v="0"/>
  </r>
  <r>
    <d v="2026-07-07T00:00:00"/>
    <s v="Plastene Polyfilms Ltd-Purchase"/>
    <s v="R.M.P."/>
    <s v="RM 347"/>
    <x v="1"/>
    <s v="PPL/D/320"/>
    <d v="2026-07-07T00:00:00"/>
    <s v="SF"/>
    <s v="PP/PE Fabric"/>
    <s v="PP UL Fabric"/>
    <s v="PP Woven Fabric"/>
    <s v="PP UL Fabric With UV"/>
    <n v="762"/>
    <n v="117911.88"/>
    <s v="PP UL Fabric With UV"/>
    <n v="190283.31"/>
    <n v="9"/>
    <n v="10612.07"/>
    <n v="9"/>
    <n v="10612.07"/>
    <n v="0"/>
    <n v="0"/>
    <n v="0"/>
    <n v="21224.14"/>
    <n v="0"/>
    <s v="24AAFCP2956A1ZR"/>
    <s v="Kgs"/>
    <n v="39269080"/>
    <s v="Rs."/>
    <n v="1"/>
    <n v="0"/>
  </r>
  <r>
    <d v="2026-07-07T00:00:00"/>
    <s v="Plastene Polyfilms Ltd-Purchase"/>
    <s v="R.M.P."/>
    <s v="RM 347"/>
    <x v="1"/>
    <s v="PPL/D/320"/>
    <d v="2026-07-07T00:00:00"/>
    <s v="FG"/>
    <s v="FIBC WIP"/>
    <s v="FIBC WIP"/>
    <s v="FIBC WIP"/>
    <s v="PP Woven Fabric"/>
    <n v="281"/>
    <n v="43481.94"/>
    <s v="FIBC WIP"/>
    <n v="0"/>
    <n v="9"/>
    <n v="3913.37"/>
    <n v="9"/>
    <n v="3913.37"/>
    <n v="0"/>
    <n v="0"/>
    <n v="0"/>
    <n v="7826.74"/>
    <n v="0"/>
    <s v="24AAFCP2956A1ZR"/>
    <s v="Kgs"/>
    <n v="39269080"/>
    <s v="Rs."/>
    <n v="1"/>
    <n v="0"/>
  </r>
  <r>
    <d v="2026-08-07T00:00:00"/>
    <s v="HCP Plastene Bulkpack Limited - Purchase"/>
    <s v="Branch Transfer In"/>
    <s v="GNCN 247"/>
    <x v="2"/>
    <s v="HPBL/DC/18"/>
    <d v="2026-07-07T00:00:00"/>
    <s v="Consumables"/>
    <s v="Consumables"/>
    <s v="Consumables"/>
    <s v="Stores &amp; Consumables"/>
    <s v="Hotmelt  ( Glue )"/>
    <n v="200"/>
    <n v="64000"/>
    <s v="Hotmelt  ( Glue )"/>
    <n v="64000"/>
    <n v="0"/>
    <n v="0"/>
    <n v="0"/>
    <n v="0"/>
    <n v="0"/>
    <n v="0"/>
    <n v="0"/>
    <n v="0"/>
    <n v="0"/>
    <s v="24AABCG1282C2Z6"/>
    <s v="Kgs"/>
    <n v="35052000"/>
    <s v="Rs."/>
    <n v="1"/>
    <n v="0"/>
  </r>
  <r>
    <d v="2026-08-07T00:00:00"/>
    <s v="HCP Plastene Bulkpack Limited - Purchase"/>
    <s v="Branch Transfer In"/>
    <s v="RM 362"/>
    <x v="2"/>
    <s v="HPBL/DC/13"/>
    <s v="27-06-2026"/>
    <s v="SF"/>
    <s v="Liners"/>
    <s v="LDPE/LLDPE Bags"/>
    <s v="LLDPE Doc"/>
    <s v="DOC Pouch"/>
    <n v="930"/>
    <n v="179480.7"/>
    <s v="DOC Pouch"/>
    <n v="179480.7"/>
    <n v="0"/>
    <n v="0"/>
    <n v="0"/>
    <n v="0"/>
    <n v="0"/>
    <n v="0"/>
    <n v="0"/>
    <n v="0"/>
    <n v="0"/>
    <s v="24AABCG1282C2Z6"/>
    <s v="Kgs"/>
    <n v="39232100"/>
    <s v="Rs."/>
    <n v="1"/>
    <n v="0"/>
  </r>
  <r>
    <d v="2026-08-07T00:00:00"/>
    <s v="Plastene India ltd - Unit 1-Purchase"/>
    <s v="General Purchase"/>
    <s v="GNCN 248"/>
    <x v="0"/>
    <s v="PIL1/D/965"/>
    <d v="2026-08-07T00:00:00"/>
    <s v="Stores/Spares"/>
    <s v="MS Structure Items"/>
    <s v="Spares &amp; Stores"/>
    <s v="Stores &amp; Consumables"/>
    <s v="MS Pipe 4  C Class"/>
    <n v="222"/>
    <n v="10656"/>
    <s v="MS Pipe 4  C Class"/>
    <n v="12563.42"/>
    <n v="9"/>
    <n v="959.04"/>
    <n v="9"/>
    <n v="959.04"/>
    <n v="0"/>
    <n v="0"/>
    <n v="0"/>
    <n v="1918.08"/>
    <n v="0"/>
    <s v="24AAACO3087C1ZT"/>
    <s v="Kgs"/>
    <n v="73063090"/>
    <s v="Rs."/>
    <n v="1"/>
    <n v="0"/>
  </r>
  <r>
    <d v="2026-08-07T00:00:00"/>
    <s v="Plastene India ltd - Unit 1-Purchase"/>
    <s v="R.M.P."/>
    <s v="RM 355"/>
    <x v="1"/>
    <s v="PIL1/D/976"/>
    <d v="2026-08-07T00:00:00"/>
    <s v="SF"/>
    <s v="Liners"/>
    <s v="LDPE/LLDPE Bags"/>
    <s v="LLDPE Bags"/>
    <s v="LDPE/LLDPE Bags/Liner"/>
    <n v="1155"/>
    <n v="211110.9"/>
    <s v="LDPE/LLDPE Bags/Liner"/>
    <n v="248899.75"/>
    <n v="9"/>
    <n v="18999.98"/>
    <n v="9"/>
    <n v="18999.98"/>
    <n v="0"/>
    <n v="0"/>
    <n v="0"/>
    <n v="37999.96"/>
    <n v="0"/>
    <s v="24AAACO3087C1ZT"/>
    <s v="Kgs"/>
    <n v="39200000"/>
    <s v="Rs."/>
    <n v="1"/>
    <n v="0"/>
  </r>
  <r>
    <d v="2026-08-07T00:00:00"/>
    <s v="Plastene India ltd - Unit 1-Purchase"/>
    <s v="R.M.P."/>
    <s v="RM 357"/>
    <x v="1"/>
    <s v="PIL1/D/966"/>
    <d v="2026-08-07T00:00:00"/>
    <s v="SF"/>
    <s v="Liners"/>
    <s v="LDPE/LLDPE Bags"/>
    <s v="LLDPE Bags"/>
    <s v="LDPE/LLDPE Bags/Liner"/>
    <n v="2566"/>
    <n v="469013.48"/>
    <s v="LDPE/LLDPE Bags/Liner"/>
    <n v="552966.89"/>
    <n v="9"/>
    <n v="42211.21"/>
    <n v="9"/>
    <n v="42211.21"/>
    <n v="0"/>
    <n v="0"/>
    <n v="0"/>
    <n v="84422.42"/>
    <n v="0"/>
    <s v="24AAACO3087C1ZT"/>
    <s v="Kgs"/>
    <n v="39200000"/>
    <s v="Rs."/>
    <n v="1"/>
    <n v="0"/>
  </r>
  <r>
    <d v="2026-08-07T00:00:00"/>
    <s v="Plastene India ltd - Unit 1-Purchase"/>
    <s v="R.M.P."/>
    <s v="RM 358"/>
    <x v="1"/>
    <s v="PIL1/D/968"/>
    <d v="2026-08-07T00:00:00"/>
    <s v="SF"/>
    <s v="Liners"/>
    <s v="LDPE/LLDPE Bags"/>
    <s v="LLDPE Bags"/>
    <s v="LDPE/LLDPE Bags/Liner"/>
    <n v="745"/>
    <n v="136171.1"/>
    <s v="LDPE/LLDPE Bags/Liner"/>
    <n v="160545.73000000001"/>
    <n v="9"/>
    <n v="12255.4"/>
    <n v="9"/>
    <n v="12255.4"/>
    <n v="0"/>
    <n v="0"/>
    <n v="0"/>
    <n v="24510.799999999999"/>
    <n v="0"/>
    <s v="24AAACO3087C1ZT"/>
    <s v="Kgs"/>
    <n v="39200000"/>
    <s v="Rs."/>
    <n v="1"/>
    <n v="0"/>
  </r>
  <r>
    <d v="2026-08-07T00:00:00"/>
    <s v="Plastene India ltd - Unit 1-Purchase"/>
    <s v="R.M.P."/>
    <s v="RM 359"/>
    <x v="1"/>
    <s v="PIL1/D/962"/>
    <d v="2026-08-07T00:00:00"/>
    <s v="SF"/>
    <s v="PP/PE Fabric"/>
    <s v="PP UL Fabric"/>
    <s v="PP Woven Fabric"/>
    <s v="PP UL Fabric With UV"/>
    <n v="2569"/>
    <n v="376332.81"/>
    <s v="PP UL Fabric With UV"/>
    <n v="1232235.04"/>
    <n v="9"/>
    <n v="33869.949999999997"/>
    <n v="9"/>
    <n v="33869.949999999997"/>
    <n v="0"/>
    <n v="0"/>
    <n v="0"/>
    <n v="67739.899999999994"/>
    <n v="0"/>
    <s v="24AAACO3087C1ZT"/>
    <s v="Kgs"/>
    <n v="39269080"/>
    <s v="Rs."/>
    <n v="1"/>
    <n v="0"/>
  </r>
  <r>
    <d v="2026-08-07T00:00:00"/>
    <s v="Plastene India ltd - Unit 1-Purchase"/>
    <s v="R.M.P."/>
    <s v="RM 359"/>
    <x v="1"/>
    <s v="PIL1/D/962"/>
    <d v="2026-08-07T00:00:00"/>
    <s v="SF"/>
    <s v="PP/PE Fabric"/>
    <s v="PP UL Fabric"/>
    <s v="PP Woven Fabric"/>
    <s v="PP UL Fabric With UV"/>
    <n v="907"/>
    <n v="133773.43"/>
    <s v="PP UL Fabric With UV"/>
    <n v="0"/>
    <n v="9"/>
    <n v="12039.61"/>
    <n v="9"/>
    <n v="12039.61"/>
    <n v="0"/>
    <n v="0"/>
    <n v="0"/>
    <n v="24079.22"/>
    <n v="0"/>
    <s v="24AAACO3087C1ZT"/>
    <s v="Kgs"/>
    <n v="39269080"/>
    <s v="Rs."/>
    <n v="1"/>
    <n v="0"/>
  </r>
  <r>
    <d v="2026-08-07T00:00:00"/>
    <s v="Plastene India ltd - Unit 1-Purchase"/>
    <s v="R.M.P."/>
    <s v="RM 359"/>
    <x v="1"/>
    <s v="PIL1/D/962"/>
    <d v="2026-08-07T00:00:00"/>
    <s v="SF"/>
    <s v="PP/PE Fabric"/>
    <s v="PP UL Fabric"/>
    <s v="PP Woven Fabric"/>
    <s v="PP UL Fabric With UV"/>
    <n v="3703"/>
    <n v="535046.47"/>
    <s v="PP UL Fabric With UV"/>
    <n v="0"/>
    <n v="9"/>
    <n v="48154.18"/>
    <n v="9"/>
    <n v="48154.18"/>
    <n v="0"/>
    <n v="0"/>
    <n v="0"/>
    <n v="96308.36"/>
    <n v="0"/>
    <s v="24AAACO3087C1ZT"/>
    <s v="Kgs"/>
    <n v="39269080"/>
    <s v="Rs."/>
    <n v="1"/>
    <n v="0"/>
  </r>
  <r>
    <d v="2026-08-07T00:00:00"/>
    <s v="Plastene India ltd - Unit 1-Purchase"/>
    <s v="R.M.P."/>
    <s v="RM 360"/>
    <x v="1"/>
    <s v="PIL1/D/967"/>
    <d v="2026-08-07T00:00:00"/>
    <s v="SF"/>
    <s v="PP/PE Fabric"/>
    <s v="PP Lam Fabric"/>
    <s v="PP Laminated Woven Fabric"/>
    <s v="PP Lam Fabric With UV"/>
    <n v="320"/>
    <n v="46876.800000000003"/>
    <s v="PP Lam Fabric With UV"/>
    <n v="301290.55"/>
    <n v="9"/>
    <n v="4218.91"/>
    <n v="9"/>
    <n v="4218.91"/>
    <n v="0"/>
    <n v="0"/>
    <n v="0"/>
    <n v="8437.82"/>
    <n v="0"/>
    <s v="24AAACO3087C1ZT"/>
    <s v="Kgs"/>
    <n v="63053300"/>
    <s v="Rs."/>
    <n v="1"/>
    <n v="0"/>
  </r>
  <r>
    <d v="2026-08-07T00:00:00"/>
    <s v="Plastene India ltd - Unit 1-Purchase"/>
    <s v="R.M.P."/>
    <s v="RM 360"/>
    <x v="1"/>
    <s v="PIL1/D/967"/>
    <d v="2026-08-07T00:00:00"/>
    <s v="SF"/>
    <s v="PP/PE Fabric"/>
    <s v="PP UL Fabric"/>
    <s v="PP Woven Fabric"/>
    <s v="PP UL Fabric With UV"/>
    <n v="220"/>
    <n v="31787.8"/>
    <s v="PP UL Fabric With UV"/>
    <n v="0"/>
    <n v="9"/>
    <n v="2860.9"/>
    <n v="9"/>
    <n v="2860.9"/>
    <n v="0"/>
    <n v="0"/>
    <n v="0"/>
    <n v="5721.8"/>
    <n v="0"/>
    <s v="24AAACO3087C1ZT"/>
    <s v="Kgs"/>
    <n v="39269080"/>
    <s v="Rs."/>
    <n v="1"/>
    <n v="0"/>
  </r>
  <r>
    <d v="2026-08-07T00:00:00"/>
    <s v="Plastene India ltd - Unit 1-Purchase"/>
    <s v="R.M.P."/>
    <s v="RM 360"/>
    <x v="1"/>
    <s v="PIL1/D/967"/>
    <d v="2026-08-07T00:00:00"/>
    <s v="SF"/>
    <s v="PP/PE Fabric"/>
    <s v="PP UL Fabric"/>
    <s v="PP Woven Fabric"/>
    <s v="PP UL Fabric With UV"/>
    <n v="990"/>
    <n v="145025.1"/>
    <s v="PP UL Fabric With UV"/>
    <n v="0"/>
    <n v="9"/>
    <n v="13052.26"/>
    <n v="9"/>
    <n v="13052.26"/>
    <n v="0"/>
    <n v="0"/>
    <n v="0"/>
    <n v="26104.52"/>
    <n v="0"/>
    <s v="24AAACO3087C1ZT"/>
    <s v="Kgs"/>
    <n v="39269080"/>
    <s v="Rs."/>
    <n v="1"/>
    <n v="0"/>
  </r>
  <r>
    <d v="2026-08-07T00:00:00"/>
    <s v="Plastene India ltd - Unit 1-Purchase"/>
    <s v="R.M.P."/>
    <s v="RM 360"/>
    <x v="1"/>
    <s v="PIL1/D/967"/>
    <d v="2026-08-07T00:00:00"/>
    <s v="SF"/>
    <s v="PP/PE Fabric"/>
    <s v="PP UL Fabric"/>
    <s v="PP Woven Fabric"/>
    <s v="PP UL Fabric With UV"/>
    <n v="216"/>
    <n v="31857.84"/>
    <s v="PP UL Fabric With UV"/>
    <n v="0"/>
    <n v="9"/>
    <n v="2867.21"/>
    <n v="9"/>
    <n v="2867.21"/>
    <n v="0"/>
    <n v="0"/>
    <n v="0"/>
    <n v="5734.42"/>
    <n v="0"/>
    <s v="24AAACO3087C1ZT"/>
    <s v="Kgs"/>
    <n v="39269080"/>
    <s v="Rs."/>
    <n v="1"/>
    <n v="0"/>
  </r>
  <r>
    <d v="2026-08-07T00:00:00"/>
    <s v="Plastene India ltd - Unit 1-Purchase"/>
    <s v="R.M.P."/>
    <s v="RM 361"/>
    <x v="1"/>
    <s v="PIL1/D/964"/>
    <d v="2026-08-07T00:00:00"/>
    <s v="SF"/>
    <s v="Webbing"/>
    <s v="PP Webbing"/>
    <s v="PP Webbing"/>
    <s v="Webbing"/>
    <n v="1020.7"/>
    <n v="152584.44"/>
    <s v="Webbing"/>
    <n v="691478.36"/>
    <n v="9"/>
    <n v="13732.6"/>
    <n v="9"/>
    <n v="13732.6"/>
    <n v="0"/>
    <n v="0"/>
    <n v="0"/>
    <n v="27465.200000000001"/>
    <n v="0"/>
    <s v="24AAACO3087C1ZT"/>
    <s v="Kgs"/>
    <n v="3926908"/>
    <s v="Rs."/>
    <n v="1"/>
    <n v="0"/>
  </r>
  <r>
    <d v="2026-08-07T00:00:00"/>
    <s v="Plastene India ltd - Unit 1-Purchase"/>
    <s v="R.M.P."/>
    <s v="RM 361"/>
    <x v="1"/>
    <s v="PIL1/D/964"/>
    <d v="2026-08-07T00:00:00"/>
    <s v="SF"/>
    <s v="Webbing"/>
    <s v="PP Webbing"/>
    <s v="PP Webbing"/>
    <s v="Webbing"/>
    <n v="1332.3"/>
    <n v="195168.63"/>
    <s v="Webbing"/>
    <n v="0"/>
    <n v="9"/>
    <n v="17565.18"/>
    <n v="9"/>
    <n v="17565.18"/>
    <n v="0"/>
    <n v="0"/>
    <n v="0"/>
    <n v="35130.36"/>
    <n v="0"/>
    <s v="24AAACO3087C1ZT"/>
    <s v="Kgs"/>
    <n v="3926908"/>
    <s v="Rs."/>
    <n v="1"/>
    <n v="0"/>
  </r>
  <r>
    <d v="2026-08-07T00:00:00"/>
    <s v="Plastene India ltd - Unit 1-Purchase"/>
    <s v="R.M.P."/>
    <s v="RM 361"/>
    <x v="1"/>
    <s v="PIL1/D/964"/>
    <d v="2026-08-07T00:00:00"/>
    <s v="SF"/>
    <s v="Yarn All"/>
    <s v="PP Yarn"/>
    <s v="PP Filament Yarn"/>
    <s v="PP MF Yarn Twisted 3000 Denier UV NW"/>
    <n v="1274.8"/>
    <n v="199493.45"/>
    <s v="PP MF Yarn Twisted 3000 Denier UV NW"/>
    <n v="0"/>
    <n v="2.5"/>
    <n v="4987.34"/>
    <n v="2.5"/>
    <n v="4987.34"/>
    <n v="0"/>
    <n v="0"/>
    <n v="0"/>
    <n v="9974.68"/>
    <n v="0"/>
    <s v="24AAACO3087C1ZT"/>
    <s v="Kgs"/>
    <n v="540263"/>
    <s v="Rs."/>
    <n v="1"/>
    <n v="0"/>
  </r>
  <r>
    <d v="2026-08-07T00:00:00"/>
    <s v="Plastene India ltd - Unit 1-Purchase"/>
    <s v="R.M.P."/>
    <s v="RM 361"/>
    <x v="1"/>
    <s v="PIL1/D/964"/>
    <d v="2026-08-07T00:00:00"/>
    <s v="SF"/>
    <s v="Yarn All"/>
    <s v="PP Yarn"/>
    <s v="PP Filament Yarn"/>
    <s v="PP Fibrillated Tape Twisted 3200 Blue"/>
    <n v="431.6"/>
    <n v="68835.88"/>
    <s v="PP Fibrillated Tape Twisted 3200 Blue"/>
    <n v="0"/>
    <n v="2.5"/>
    <n v="1720.9"/>
    <n v="2.5"/>
    <n v="1720.9"/>
    <n v="0"/>
    <n v="0"/>
    <n v="0"/>
    <n v="3441.8"/>
    <n v="0"/>
    <s v="24AAACO3087C1ZT"/>
    <s v="Kgs"/>
    <n v="54026930"/>
    <s v="Rs."/>
    <n v="1"/>
    <n v="0"/>
  </r>
  <r>
    <d v="2026-08-07T00:00:00"/>
    <s v="Plastene India ltd - Unit 2-Purchase"/>
    <s v="R.M.P."/>
    <s v="RM 354"/>
    <x v="1"/>
    <s v="PIL2/D/344"/>
    <d v="2026-07-07T00:00:00"/>
    <s v="SF"/>
    <s v="PP/PE Fabric"/>
    <s v="PP UL Fabric"/>
    <s v="PP Woven Fabric"/>
    <s v="PP UL Fabric With UV"/>
    <n v="8789.9"/>
    <n v="980952.84"/>
    <s v="PP UL Fabric With UV"/>
    <n v="1156543.4099999999"/>
    <n v="9"/>
    <n v="88285.759999999995"/>
    <n v="9"/>
    <n v="88285.759999999995"/>
    <n v="0"/>
    <n v="0"/>
    <n v="0"/>
    <n v="176571.51999999999"/>
    <n v="0"/>
    <s v="24AAACO3087C1ZT"/>
    <s v="Kgs"/>
    <n v="39269080"/>
    <s v="Rs."/>
    <n v="1"/>
    <n v="0"/>
  </r>
  <r>
    <d v="2026-08-07T00:00:00"/>
    <s v="Plastene Polyfilms Ltd-Purchase"/>
    <s v="General Purchase"/>
    <s v="GNCN 249"/>
    <x v="0"/>
    <s v="PPL/D/324"/>
    <d v="2026-08-07T00:00:00"/>
    <s v="Stores/Spares"/>
    <s v="MS Structure Items"/>
    <s v="Spares &amp; Stores"/>
    <s v="Stores &amp; Consumables"/>
    <s v="MS Pipe 4  C Class"/>
    <n v="24"/>
    <n v="1152"/>
    <s v="MS Pipe 4  C Class"/>
    <n v="1358.21"/>
    <n v="9"/>
    <n v="103.68"/>
    <n v="9"/>
    <n v="103.68"/>
    <n v="0"/>
    <n v="0"/>
    <n v="0"/>
    <n v="207.36"/>
    <n v="0"/>
    <s v="24AAFCP2956A1ZR"/>
    <s v="Kgs"/>
    <n v="73063090"/>
    <s v="Rs."/>
    <n v="1"/>
    <n v="0"/>
  </r>
  <r>
    <d v="2026-08-07T00:00:00"/>
    <s v="Plastene Polyfilms Ltd-Purchase"/>
    <s v="R.M.P."/>
    <s v="RM 356"/>
    <x v="1"/>
    <s v="PPL/D/325"/>
    <d v="2026-08-07T00:00:00"/>
    <s v="SF"/>
    <s v="PP/PE Fabric"/>
    <s v="PP Lam Fabric"/>
    <s v="PP Laminated Woven Fabric"/>
    <s v="PP Lam Fabric With UV"/>
    <n v="215"/>
    <n v="34129.1"/>
    <s v="PP Lam Fabric With UV"/>
    <n v="156269.07999999999"/>
    <n v="9"/>
    <n v="3071.62"/>
    <n v="9"/>
    <n v="3071.62"/>
    <n v="0"/>
    <n v="0"/>
    <n v="0"/>
    <n v="6143.24"/>
    <n v="0"/>
    <s v="24AAFCP2956A1ZR"/>
    <s v="Kgs"/>
    <n v="63053300"/>
    <s v="Rs."/>
    <n v="1"/>
    <n v="0"/>
  </r>
  <r>
    <d v="2026-08-07T00:00:00"/>
    <s v="Plastene Polyfilms Ltd-Purchase"/>
    <s v="R.M.P."/>
    <s v="RM 356"/>
    <x v="1"/>
    <s v="PPL/D/325"/>
    <d v="2026-08-07T00:00:00"/>
    <s v="FG"/>
    <s v="FIBC WIP"/>
    <s v="FIBC WIP"/>
    <s v="FIBC WIP"/>
    <s v="PP Woven Fabric"/>
    <n v="295"/>
    <n v="45648.3"/>
    <s v="FIBC WIP"/>
    <n v="0"/>
    <n v="9"/>
    <n v="4108.3500000000004"/>
    <n v="9"/>
    <n v="4108.3500000000004"/>
    <n v="0"/>
    <n v="0"/>
    <n v="0"/>
    <n v="8216.7000000000007"/>
    <n v="0"/>
    <s v="24AAFCP2956A1ZR"/>
    <s v="Kgs"/>
    <n v="39269080"/>
    <s v="Rs."/>
    <n v="1"/>
    <n v="0"/>
  </r>
  <r>
    <d v="2026-08-07T00:00:00"/>
    <s v="Plastene Polyfilms Ltd-Purchase"/>
    <s v="R.M.P."/>
    <s v="RM 356"/>
    <x v="1"/>
    <s v="PPL/D/325"/>
    <d v="2026-08-07T00:00:00"/>
    <s v="SF"/>
    <s v="PP/PE Fabric"/>
    <s v="PP UL Fabric"/>
    <s v="PP Woven Fabric"/>
    <s v="PP UL Fabric With UV"/>
    <n v="341"/>
    <n v="52766.34"/>
    <s v="PP UL Fabric With UV"/>
    <n v="0"/>
    <n v="9"/>
    <n v="4748.97"/>
    <n v="9"/>
    <n v="4748.97"/>
    <n v="0"/>
    <n v="0"/>
    <n v="0"/>
    <n v="9497.94"/>
    <n v="0"/>
    <s v="24AAFCP2956A1ZR"/>
    <s v="Kgs"/>
    <n v="39269080"/>
    <s v="Rs."/>
    <n v="1"/>
    <n v="0"/>
  </r>
  <r>
    <d v="2026-08-07T00:00:00"/>
    <s v="Plus Logistics Ltd."/>
    <s v="General Purchase"/>
    <s v="GNCN 246"/>
    <x v="4"/>
    <s v="SLZ/0038/26-27"/>
    <d v="2026-04-07T00:00:00"/>
    <s v="RM Consumables"/>
    <s v="FIBC Accessories"/>
    <s v="FIBC Accessories"/>
    <s v="Stores &amp; Consumables"/>
    <s v="Zipper Bags"/>
    <n v="14000"/>
    <n v="29400"/>
    <s v="Zipper Bags"/>
    <n v="34692"/>
    <n v="0"/>
    <n v="0"/>
    <n v="0"/>
    <n v="0"/>
    <n v="18"/>
    <n v="5292"/>
    <n v="0"/>
    <n v="5292"/>
    <n v="0"/>
    <s v="23AAECS3438H1ZI"/>
    <s v="Pcs"/>
    <n v="39239090"/>
    <s v="Rs."/>
    <n v="1"/>
    <n v="14000"/>
  </r>
  <r>
    <d v="2026-08-07T00:00:00"/>
    <s v="S.R.Sewing Tech"/>
    <s v="General Purchase"/>
    <s v="GNSP 113"/>
    <x v="4"/>
    <s v="SR/494/26-27"/>
    <d v="2026-04-07T00:00:00"/>
    <s v="Stores/Spares"/>
    <s v="Stitching Spares"/>
    <s v="Spares &amp; Stores"/>
    <s v="Stores &amp; Consumables"/>
    <s v="Thread Hook 81310"/>
    <n v="20"/>
    <n v="5000"/>
    <s v="Thread Hook 81310"/>
    <n v="5324"/>
    <n v="0"/>
    <n v="0"/>
    <n v="0"/>
    <n v="0"/>
    <n v="5"/>
    <n v="250"/>
    <n v="3.5"/>
    <n v="253.5"/>
    <n v="0"/>
    <s v="19AORPR0945L1Z4"/>
    <s v="Pcs"/>
    <n v="84529099"/>
    <s v="Rs."/>
    <n v="1"/>
    <n v="0"/>
  </r>
  <r>
    <d v="2026-09-07T00:00:00"/>
    <s v="Armstrong"/>
    <s v="General Purchase"/>
    <s v="GNSP 114"/>
    <x v="0"/>
    <s v="GST/26-27/2892"/>
    <d v="2026-01-07T00:00:00"/>
    <s v="Stores/Spares"/>
    <s v="Stitching Spares"/>
    <s v="Spares &amp; Stores"/>
    <s v="Stores &amp; Consumables"/>
    <s v="Spreader Lever 81313 A"/>
    <n v="10"/>
    <n v="32320"/>
    <s v="Spreader Lever 81313 A"/>
    <n v="34031"/>
    <n v="2.5"/>
    <n v="808"/>
    <n v="2.5"/>
    <n v="808"/>
    <n v="0"/>
    <n v="0"/>
    <n v="4.5"/>
    <n v="1620.5"/>
    <n v="0"/>
    <s v="24ABAFA4683N1Z8"/>
    <s v="Pcs"/>
    <n v="84529099"/>
    <s v="Rs."/>
    <n v="1"/>
    <n v="0"/>
  </r>
  <r>
    <d v="2026-09-07T00:00:00"/>
    <s v="Armstrong"/>
    <s v="General Purchase"/>
    <s v="GNSP 115"/>
    <x v="0"/>
    <s v="GST/26-27/2891"/>
    <d v="2026-01-07T00:00:00"/>
    <s v="Stores/Spares"/>
    <s v="Stitching Spares"/>
    <s v="Spares &amp; Stores"/>
    <s v="Stores &amp; Consumables"/>
    <s v="Coupling # 03020"/>
    <n v="5"/>
    <n v="902"/>
    <s v="Coupling # 03020"/>
    <n v="947"/>
    <n v="2.5"/>
    <n v="22.55"/>
    <n v="2.5"/>
    <n v="22.55"/>
    <n v="0"/>
    <n v="0"/>
    <n v="0"/>
    <n v="45.1"/>
    <n v="0"/>
    <s v="24ABAFA4683N1Z8"/>
    <s v="Pcs"/>
    <n v="84529099"/>
    <s v="Rs."/>
    <n v="1"/>
    <n v="0"/>
  </r>
  <r>
    <d v="2026-09-07T00:00:00"/>
    <s v="Gayatri Petroleums"/>
    <s v="General Purchase"/>
    <s v="GNCN 250"/>
    <x v="0"/>
    <s v="GP/26-27/68343"/>
    <d v="2026-07-07T00:00:00"/>
    <s v="Consumables"/>
    <s v="Oil &amp; Greases"/>
    <s v="Spares &amp; Stores"/>
    <s v="Stores &amp; Consumables"/>
    <s v="Diesel"/>
    <n v="400"/>
    <n v="39116"/>
    <s v="Diesel"/>
    <n v="39116"/>
    <n v="0"/>
    <n v="0"/>
    <n v="0"/>
    <n v="0"/>
    <n v="0"/>
    <n v="0"/>
    <n v="0"/>
    <n v="0"/>
    <n v="0"/>
    <s v="24ABJPV0976A1ZO"/>
    <s v="LTR"/>
    <n v="27101930"/>
    <s v="Rs."/>
    <n v="1"/>
    <n v="0"/>
  </r>
  <r>
    <d v="2026-09-07T00:00:00"/>
    <s v="Gayatri Petroleums"/>
    <s v="General Purchase"/>
    <s v="GNCN 251"/>
    <x v="0"/>
    <s v="GP/26-27/68344"/>
    <d v="2026-07-07T00:00:00"/>
    <s v="Consumables"/>
    <s v="Oil &amp; Greases"/>
    <s v="Spares &amp; Stores"/>
    <s v="Stores &amp; Consumables"/>
    <s v="Diesel"/>
    <n v="200"/>
    <n v="19558"/>
    <s v="Diesel"/>
    <n v="19558"/>
    <n v="0"/>
    <n v="0"/>
    <n v="0"/>
    <n v="0"/>
    <n v="0"/>
    <n v="0"/>
    <n v="0"/>
    <n v="0"/>
    <n v="0"/>
    <s v="24ABJPV0976A1ZO"/>
    <s v="LTR"/>
    <n v="27101930"/>
    <s v="Rs."/>
    <n v="1"/>
    <n v="0"/>
  </r>
  <r>
    <d v="2026-09-07T00:00:00"/>
    <s v="Plastene India ltd - Unit 1-Purchase"/>
    <s v="General Purchase"/>
    <s v="GNCN 252"/>
    <x v="0"/>
    <s v="PIL1/D/980"/>
    <d v="2026-09-07T00:00:00"/>
    <s v="Stores/Spares"/>
    <s v="MS Structure Items"/>
    <s v="Spares &amp; Stores"/>
    <s v="Stores &amp; Consumables"/>
    <s v="MS Pipe 4  C Class"/>
    <n v="208"/>
    <n v="9984"/>
    <s v="MS Pipe 4  C Class"/>
    <n v="11771.14"/>
    <n v="9"/>
    <n v="898.56"/>
    <n v="9"/>
    <n v="898.56"/>
    <n v="0"/>
    <n v="0"/>
    <n v="0"/>
    <n v="1797.12"/>
    <n v="0"/>
    <s v="24AAACO3087C1ZT"/>
    <s v="Kgs"/>
    <n v="73063090"/>
    <s v="Rs."/>
    <n v="1"/>
    <n v="0"/>
  </r>
  <r>
    <d v="2026-09-07T00:00:00"/>
    <s v="Plastene India ltd - Unit 1-Purchase"/>
    <s v="R.M.P."/>
    <s v="RM 363"/>
    <x v="1"/>
    <s v="PIL1/D/986"/>
    <d v="2026-09-07T00:00:00"/>
    <s v="SF"/>
    <s v="PP/PE Fabric"/>
    <s v="PP UL Fabric"/>
    <s v="PP Woven Fabric"/>
    <s v="PP UL Fabric With UV"/>
    <n v="745"/>
    <n v="107645.05"/>
    <s v="PP UL Fabric With UV"/>
    <n v="126913.5"/>
    <n v="9"/>
    <n v="9688.0499999999993"/>
    <n v="9"/>
    <n v="9688.0499999999993"/>
    <n v="0"/>
    <n v="0"/>
    <n v="0"/>
    <n v="19376.099999999999"/>
    <n v="0"/>
    <s v="24AAACO3087C1ZT"/>
    <s v="Kgs"/>
    <n v="39269080"/>
    <s v="Rs."/>
    <n v="1"/>
    <n v="0"/>
  </r>
  <r>
    <d v="2026-09-07T00:00:00"/>
    <s v="Plastene India ltd - Unit 1-Purchase"/>
    <s v="R.M.P."/>
    <s v="RM 364"/>
    <x v="1"/>
    <s v="PIL1/D/977"/>
    <d v="2026-09-07T00:00:00"/>
    <s v="SF"/>
    <s v="PP/PE Fabric"/>
    <s v="PP UL Fabric"/>
    <s v="PP Woven Fabric"/>
    <s v="PP UL Fabric With UV"/>
    <n v="3885"/>
    <n v="569113.65"/>
    <s v="PP UL Fabric With UV"/>
    <n v="1273645.8899999999"/>
    <n v="9"/>
    <n v="51220.23"/>
    <n v="9"/>
    <n v="51220.23"/>
    <n v="0"/>
    <n v="0"/>
    <n v="0"/>
    <n v="102440.46"/>
    <n v="0"/>
    <s v="24AAACO3087C1ZT"/>
    <s v="Kgs"/>
    <n v="39269080"/>
    <s v="Rs."/>
    <n v="1"/>
    <n v="0"/>
  </r>
  <r>
    <d v="2026-09-07T00:00:00"/>
    <s v="Plastene India ltd - Unit 1-Purchase"/>
    <s v="R.M.P."/>
    <s v="RM 364"/>
    <x v="1"/>
    <s v="PIL1/D/977"/>
    <d v="2026-09-07T00:00:00"/>
    <s v="SF"/>
    <s v="PP/PE Fabric"/>
    <s v="PP UL Fabric"/>
    <s v="PP Woven Fabric"/>
    <s v="PP UL Fabric With UV"/>
    <n v="660"/>
    <n v="97343.4"/>
    <s v="PP UL Fabric With UV"/>
    <n v="0"/>
    <n v="9"/>
    <n v="8760.91"/>
    <n v="9"/>
    <n v="8760.91"/>
    <n v="0"/>
    <n v="0"/>
    <n v="0"/>
    <n v="17521.82"/>
    <n v="0"/>
    <s v="24AAACO3087C1ZT"/>
    <s v="Kgs"/>
    <n v="39269080"/>
    <s v="Rs."/>
    <n v="1"/>
    <n v="0"/>
  </r>
  <r>
    <d v="2026-09-07T00:00:00"/>
    <s v="Plastene India ltd - Unit 1-Purchase"/>
    <s v="R.M.P."/>
    <s v="RM 364"/>
    <x v="1"/>
    <s v="PIL1/D/977"/>
    <d v="2026-09-07T00:00:00"/>
    <s v="SF"/>
    <s v="PP/PE Fabric"/>
    <s v="PP UL Fabric"/>
    <s v="PP Woven Fabric"/>
    <s v="PP UL Fabric With UV"/>
    <n v="2864"/>
    <n v="413819.36"/>
    <s v="PP UL Fabric With UV"/>
    <n v="0"/>
    <n v="9"/>
    <n v="37243.74"/>
    <n v="9"/>
    <n v="37243.74"/>
    <n v="0"/>
    <n v="0"/>
    <n v="0"/>
    <n v="74487.48"/>
    <n v="0"/>
    <s v="24AAACO3087C1ZT"/>
    <s v="Kgs"/>
    <n v="39269080"/>
    <s v="Rs."/>
    <n v="1"/>
    <n v="0"/>
  </r>
  <r>
    <d v="2026-09-07T00:00:00"/>
    <s v="Plastene India ltd - Unit 1-Purchase"/>
    <s v="R.M.P."/>
    <s v="RM 365"/>
    <x v="1"/>
    <s v="PIL1/D/981"/>
    <d v="2026-09-07T00:00:00"/>
    <s v="SF"/>
    <s v="Liners"/>
    <s v="LDPE/LLDPE Bags"/>
    <s v="LLDPE Bags"/>
    <s v="LDPE/LLDPE Bags/Liner"/>
    <n v="3320"/>
    <n v="606829.6"/>
    <s v="LDPE/LLDPE Bags/Liner"/>
    <n v="1491435.71"/>
    <n v="9"/>
    <n v="54614.66"/>
    <n v="9"/>
    <n v="54614.66"/>
    <n v="0"/>
    <n v="0"/>
    <n v="0"/>
    <n v="109229.32"/>
    <n v="0"/>
    <s v="24AAACO3087C1ZT"/>
    <s v="Kgs"/>
    <n v="39200000"/>
    <s v="Rs."/>
    <n v="1"/>
    <n v="0"/>
  </r>
  <r>
    <d v="2026-09-07T00:00:00"/>
    <s v="Plastene India ltd - Unit 1-Purchase"/>
    <s v="R.M.P."/>
    <s v="RM 365"/>
    <x v="1"/>
    <s v="PIL1/D/981"/>
    <d v="2026-09-07T00:00:00"/>
    <s v="SF"/>
    <s v="PP/PE Fabric"/>
    <s v="PP UL Fabric"/>
    <s v="PP Woven Fabric"/>
    <s v="PP UL Fabric With UV"/>
    <n v="391"/>
    <n v="57277.59"/>
    <s v="PP UL Fabric With UV"/>
    <n v="0"/>
    <n v="9"/>
    <n v="5154.9799999999996"/>
    <n v="9"/>
    <n v="5154.9799999999996"/>
    <n v="0"/>
    <n v="0"/>
    <n v="0"/>
    <n v="10309.959999999999"/>
    <n v="0"/>
    <s v="24AAACO3087C1ZT"/>
    <s v="Kgs"/>
    <n v="39269080"/>
    <s v="Rs."/>
    <n v="1"/>
    <n v="0"/>
  </r>
  <r>
    <d v="2026-09-07T00:00:00"/>
    <s v="Plastene India ltd - Unit 1-Purchase"/>
    <s v="R.M.P."/>
    <s v="RM 365"/>
    <x v="1"/>
    <s v="PIL1/D/981"/>
    <d v="2026-09-07T00:00:00"/>
    <s v="SF"/>
    <s v="PP/PE Fabric"/>
    <s v="PP UL Fabric"/>
    <s v="PP Woven Fabric"/>
    <s v="PP UL Fabric With UV"/>
    <n v="1402"/>
    <n v="202574.98"/>
    <s v="PP UL Fabric With UV"/>
    <n v="0"/>
    <n v="9"/>
    <n v="18231.75"/>
    <n v="9"/>
    <n v="18231.75"/>
    <n v="0"/>
    <n v="0"/>
    <n v="0"/>
    <n v="36463.5"/>
    <n v="0"/>
    <s v="24AAACO3087C1ZT"/>
    <s v="Kgs"/>
    <n v="39269080"/>
    <s v="Rs."/>
    <n v="1"/>
    <n v="0"/>
  </r>
  <r>
    <d v="2026-09-07T00:00:00"/>
    <s v="Plastene India ltd - Unit 1-Purchase"/>
    <s v="R.M.P."/>
    <s v="RM 365"/>
    <x v="1"/>
    <s v="PIL1/D/981"/>
    <d v="2026-09-07T00:00:00"/>
    <s v="SF"/>
    <s v="PP/PE Fabric"/>
    <s v="PP Lam Fabric"/>
    <s v="PP Laminated Woven Fabric"/>
    <s v="PP Lam Fabric With UV"/>
    <n v="614"/>
    <n v="93014.86"/>
    <s v="PP Lam Fabric With UV"/>
    <n v="0"/>
    <n v="9"/>
    <n v="8371.34"/>
    <n v="9"/>
    <n v="8371.34"/>
    <n v="0"/>
    <n v="0"/>
    <n v="0"/>
    <n v="16742.68"/>
    <n v="0"/>
    <s v="24AAACO3087C1ZT"/>
    <s v="Kgs"/>
    <n v="63053300"/>
    <s v="Rs."/>
    <n v="1"/>
    <n v="0"/>
  </r>
  <r>
    <d v="2026-09-07T00:00:00"/>
    <s v="Plastene India ltd - Unit 1-Purchase"/>
    <s v="R.M.P."/>
    <s v="RM 365"/>
    <x v="1"/>
    <s v="PIL1/D/981"/>
    <d v="2026-09-07T00:00:00"/>
    <s v="SF"/>
    <s v="Webbing"/>
    <s v="PP Webbing"/>
    <s v="PP Webbing"/>
    <s v="Webbing"/>
    <n v="1109.7"/>
    <n v="165889.04999999999"/>
    <s v="Webbing"/>
    <n v="0"/>
    <n v="9"/>
    <n v="14930.01"/>
    <n v="9"/>
    <n v="14930.01"/>
    <n v="0"/>
    <n v="0"/>
    <n v="0"/>
    <n v="29860.02"/>
    <n v="0"/>
    <s v="24AAACO3087C1ZT"/>
    <s v="Kgs"/>
    <n v="3926908"/>
    <s v="Rs."/>
    <n v="1"/>
    <n v="0"/>
  </r>
  <r>
    <d v="2026-09-07T00:00:00"/>
    <s v="Plastene India ltd - Unit 1-Purchase"/>
    <s v="R.M.P."/>
    <s v="RM 365"/>
    <x v="1"/>
    <s v="PIL1/D/981"/>
    <d v="2026-09-07T00:00:00"/>
    <s v="SF"/>
    <s v="Webbing"/>
    <s v="PP Webbing"/>
    <s v="PP Webbing"/>
    <s v="Webbing"/>
    <n v="951.7"/>
    <n v="139414.53"/>
    <s v="Webbing"/>
    <n v="0"/>
    <n v="9"/>
    <n v="12547.31"/>
    <n v="9"/>
    <n v="12547.31"/>
    <n v="0"/>
    <n v="0"/>
    <n v="0"/>
    <n v="25094.62"/>
    <n v="0"/>
    <s v="24AAACO3087C1ZT"/>
    <s v="Kgs"/>
    <n v="3926908"/>
    <s v="Rs."/>
    <n v="1"/>
    <n v="0"/>
  </r>
  <r>
    <d v="2026-09-07T00:00:00"/>
    <s v="S.R.Sewing Tech"/>
    <s v="General Purchase"/>
    <s v="GNSP 116"/>
    <x v="4"/>
    <s v="SR/485/26-27"/>
    <d v="2026-02-07T00:00:00"/>
    <s v="Stores/Spares"/>
    <s v="Drives Spares"/>
    <s v="Spares &amp; Stores"/>
    <s v="Stores &amp; Consumables"/>
    <s v="Drive Lever For Upper Spreader  81339"/>
    <n v="7"/>
    <n v="6769"/>
    <s v="Drive Lever For Upper Spreader  81339"/>
    <n v="7265"/>
    <n v="0"/>
    <n v="0"/>
    <n v="0"/>
    <n v="0"/>
    <n v="5"/>
    <n v="338.45"/>
    <n v="7.5"/>
    <n v="345.95"/>
    <n v="0"/>
    <s v="19AORPR0945L1Z4"/>
    <s v="Pcs"/>
    <n v="84529099"/>
    <s v="Rs."/>
    <n v="1"/>
    <n v="0"/>
  </r>
  <r>
    <d v="2026-09-07T00:00:00"/>
    <s v="S.R.Sewing Tech"/>
    <s v="General Purchase"/>
    <s v="GNSP 117"/>
    <x v="4"/>
    <s v="SR/481/26-27"/>
    <d v="2026-02-07T00:00:00"/>
    <s v="Stores/Spares"/>
    <s v="Stitching Spares"/>
    <s v="Spares &amp; Stores"/>
    <s v="Stores &amp; Consumables"/>
    <s v="Ball Joint Assly. 81363 A"/>
    <n v="5"/>
    <n v="3250"/>
    <s v="Ball Joint Assly. 81363 A"/>
    <n v="52710"/>
    <n v="0"/>
    <n v="0"/>
    <n v="0"/>
    <n v="0"/>
    <n v="5"/>
    <n v="162.5"/>
    <n v="17.5"/>
    <n v="180"/>
    <n v="0"/>
    <s v="19AORPR0945L1Z4"/>
    <s v="Pcs"/>
    <n v="84529099"/>
    <s v="Rs."/>
    <n v="1"/>
    <n v="0"/>
  </r>
  <r>
    <d v="2026-09-07T00:00:00"/>
    <s v="S.R.Sewing Tech"/>
    <s v="General Purchase"/>
    <s v="GNSP 117"/>
    <x v="4"/>
    <s v="SR/481/26-27"/>
    <d v="2026-02-07T00:00:00"/>
    <s v="Stores/Spares"/>
    <s v="Stitching Spares"/>
    <s v="Spares &amp; Stores"/>
    <s v="Stores &amp; Consumables"/>
    <s v="G15442P        Boll Joint Assembly"/>
    <n v="10"/>
    <n v="18500"/>
    <s v="G15442P        Boll Joint Assembly"/>
    <n v="0"/>
    <n v="0"/>
    <n v="0"/>
    <n v="0"/>
    <n v="0"/>
    <n v="5"/>
    <n v="925"/>
    <n v="17.5"/>
    <n v="942.5"/>
    <n v="0"/>
    <s v="19AORPR0945L1Z4"/>
    <s v="Pcs"/>
    <n v="84529099"/>
    <s v="Rs."/>
    <n v="1"/>
    <n v="0"/>
  </r>
  <r>
    <d v="2026-09-07T00:00:00"/>
    <s v="S.R.Sewing Tech"/>
    <s v="General Purchase"/>
    <s v="GNSP 117"/>
    <x v="4"/>
    <s v="SR/481/26-27"/>
    <d v="2026-02-07T00:00:00"/>
    <s v="Stores/Spares"/>
    <s v="Stitching Spares"/>
    <s v="Spares &amp; Stores"/>
    <s v="Stores &amp; Consumables"/>
    <s v="Set Screw 22575"/>
    <n v="30"/>
    <n v="600"/>
    <s v="Set Screw 22575"/>
    <n v="0"/>
    <n v="0"/>
    <n v="0"/>
    <n v="0"/>
    <n v="0"/>
    <n v="5"/>
    <n v="30"/>
    <n v="17.5"/>
    <n v="47.5"/>
    <n v="0"/>
    <s v="19AORPR0945L1Z4"/>
    <s v="Pcs"/>
    <n v="731815"/>
    <s v="Rs."/>
    <n v="1"/>
    <n v="0"/>
  </r>
  <r>
    <d v="2026-09-07T00:00:00"/>
    <s v="S.R.Sewing Tech"/>
    <s v="General Purchase"/>
    <s v="GNSP 117"/>
    <x v="4"/>
    <s v="SR/481/26-27"/>
    <d v="2026-02-07T00:00:00"/>
    <s v="Stores/Spares"/>
    <s v="Stitching Spares"/>
    <s v="Spares &amp; Stores"/>
    <s v="Stores &amp; Consumables"/>
    <s v="Ball Joint Assy. 81363"/>
    <n v="5"/>
    <n v="3250"/>
    <s v="Ball Joint Assy. 81363"/>
    <n v="0"/>
    <n v="0"/>
    <n v="0"/>
    <n v="0"/>
    <n v="0"/>
    <n v="5"/>
    <n v="162.5"/>
    <n v="17.5"/>
    <n v="180"/>
    <n v="0"/>
    <s v="19AORPR0945L1Z4"/>
    <s v="Pcs"/>
    <n v="84529099"/>
    <s v="Rs."/>
    <n v="1"/>
    <n v="0"/>
  </r>
  <r>
    <d v="2026-09-07T00:00:00"/>
    <s v="S.R.Sewing Tech"/>
    <s v="General Purchase"/>
    <s v="GNSP 117"/>
    <x v="4"/>
    <s v="SR/481/26-27"/>
    <d v="2026-02-07T00:00:00"/>
    <s v="Stores/Spares"/>
    <s v="Stitching Spares"/>
    <s v="Spares &amp; Stores"/>
    <s v="Stores &amp; Consumables"/>
    <s v="Presser Foot Bottom  For Filler Cord  81330 Cu"/>
    <n v="5"/>
    <n v="24250"/>
    <s v="Presser Foot Bottom  For Filler Cord  81330 Cu"/>
    <n v="0"/>
    <n v="0"/>
    <n v="0"/>
    <n v="0"/>
    <n v="0"/>
    <n v="5"/>
    <n v="1212.5"/>
    <n v="17.5"/>
    <n v="1230"/>
    <n v="0"/>
    <s v="19AORPR0945L1Z4"/>
    <s v="Pcs"/>
    <n v="84529090"/>
    <s v="Rs."/>
    <n v="1"/>
    <n v="0"/>
  </r>
  <r>
    <d v="2026-10-07T00:00:00"/>
    <s v="Airtech Engineers - Gandhidham"/>
    <s v="General Purchase"/>
    <s v="GNSP 118"/>
    <x v="0"/>
    <s v="AE/0426/26-27"/>
    <d v="2026-06-07T00:00:00"/>
    <s v="Stores/Spares"/>
    <s v="Industrial Fans"/>
    <s v="Spares &amp; Stores"/>
    <s v="Stores &amp; Consumables"/>
    <s v="Fan Assly Part No. 008972040"/>
    <n v="1"/>
    <n v="31655"/>
    <s v="Fan Assly Part No. 008972040"/>
    <n v="37353"/>
    <n v="9"/>
    <n v="2848.95"/>
    <n v="9"/>
    <n v="2848.95"/>
    <n v="0"/>
    <n v="0"/>
    <n v="0"/>
    <n v="5697.9"/>
    <n v="0"/>
    <s v="24BDHPM7370Q1ZV"/>
    <s v="Pcs"/>
    <n v="845290"/>
    <s v="Rs."/>
    <n v="1"/>
    <n v="0"/>
  </r>
  <r>
    <d v="2026-10-07T00:00:00"/>
    <s v="Khator Enterprises"/>
    <s v="General Purchase"/>
    <s v="GNSP 119"/>
    <x v="0"/>
    <s v="885/2026-27"/>
    <d v="2026-07-07T00:00:00"/>
    <s v="Stores/Spares"/>
    <s v="Bearings"/>
    <s v="Spares &amp; Stores"/>
    <s v="Stores &amp; Consumables"/>
    <s v="Bearing 6207 Zz Skf"/>
    <n v="2"/>
    <n v="540"/>
    <s v="Bearing 6207 Zz Skf"/>
    <n v="637"/>
    <n v="9"/>
    <n v="48.6"/>
    <n v="9"/>
    <n v="48.6"/>
    <n v="0"/>
    <n v="0"/>
    <n v="0"/>
    <n v="97.2"/>
    <n v="0"/>
    <s v="24ACFPK3378J1ZG"/>
    <s v="Pcs"/>
    <n v="84821011"/>
    <s v="Rs."/>
    <n v="1"/>
    <n v="0"/>
  </r>
  <r>
    <d v="2026-10-07T00:00:00"/>
    <s v="Plastene India ltd - Unit 1-Purchase"/>
    <s v="R.M.P."/>
    <s v="RM 367"/>
    <x v="1"/>
    <s v="PIL1/D/978"/>
    <d v="2026-09-07T00:00:00"/>
    <s v="SF"/>
    <s v="PP/PE Fabric"/>
    <s v="PP UL Fabric"/>
    <s v="PP Woven Fabric"/>
    <s v="PP UL Fabric With UV"/>
    <n v="1353"/>
    <n v="198200.97"/>
    <s v="PP UL Fabric With UV"/>
    <n v="233678.95"/>
    <n v="9"/>
    <n v="17838.09"/>
    <n v="9"/>
    <n v="17838.09"/>
    <n v="0"/>
    <n v="0"/>
    <n v="0"/>
    <n v="35676.18"/>
    <n v="0"/>
    <s v="24AAACO3087C1ZT"/>
    <s v="Kgs"/>
    <n v="39269080"/>
    <s v="Rs."/>
    <n v="1"/>
    <n v="0"/>
  </r>
  <r>
    <d v="2026-10-07T00:00:00"/>
    <s v="Plastene India ltd - Unit 1-Purchase"/>
    <s v="R.M.P."/>
    <s v="RM 368"/>
    <x v="1"/>
    <s v="PIL1/D/1000"/>
    <d v="2026-10-07T00:00:00"/>
    <s v="SF"/>
    <s v="PP/PE Fabric"/>
    <s v="PP UL Fabric"/>
    <s v="PP Woven Fabric"/>
    <s v="PP UL Fabric With UV"/>
    <n v="247"/>
    <n v="36183.03"/>
    <s v="PP UL Fabric With UV"/>
    <n v="42659.79"/>
    <n v="9"/>
    <n v="3256.47"/>
    <n v="9"/>
    <n v="3256.47"/>
    <n v="0"/>
    <n v="0"/>
    <n v="0"/>
    <n v="6512.94"/>
    <n v="0"/>
    <s v="24AAACO3087C1ZT"/>
    <s v="Kgs"/>
    <n v="39269080"/>
    <s v="Rs."/>
    <n v="1"/>
    <n v="0"/>
  </r>
  <r>
    <d v="2026-10-07T00:00:00"/>
    <s v="Plastene India ltd - Unit 1-Purchase"/>
    <s v="R.M.P."/>
    <s v="RM 369"/>
    <x v="1"/>
    <s v="PIL1/D/993"/>
    <d v="2026-10-07T00:00:00"/>
    <s v="SF"/>
    <s v="PP/PE Fabric"/>
    <s v="PP Lam Fabric"/>
    <s v="PP Laminated Woven Fabric"/>
    <s v="PP Lam Fabric With UV"/>
    <n v="1304"/>
    <n v="197542.96"/>
    <s v="PP Lam Fabric With UV"/>
    <n v="1507457.33"/>
    <n v="9"/>
    <n v="17778.87"/>
    <n v="9"/>
    <n v="17778.87"/>
    <n v="0"/>
    <n v="0"/>
    <n v="0"/>
    <n v="35557.74"/>
    <n v="0"/>
    <s v="24AAACO3087C1ZT"/>
    <s v="Kgs"/>
    <n v="63053300"/>
    <s v="Rs."/>
    <n v="1"/>
    <n v="0"/>
  </r>
  <r>
    <d v="2026-10-07T00:00:00"/>
    <s v="Plastene India ltd - Unit 1-Purchase"/>
    <s v="R.M.P."/>
    <s v="RM 369"/>
    <x v="1"/>
    <s v="PIL1/D/993"/>
    <d v="2026-10-07T00:00:00"/>
    <s v="SF"/>
    <s v="PP/PE Fabric"/>
    <s v="PP UL Fabric"/>
    <s v="PP Woven Fabric"/>
    <s v="PP UL Fabric With UV"/>
    <n v="3402"/>
    <n v="491554.98"/>
    <s v="PP UL Fabric With UV"/>
    <n v="0"/>
    <n v="9"/>
    <n v="44239.95"/>
    <n v="9"/>
    <n v="44239.95"/>
    <n v="0"/>
    <n v="0"/>
    <n v="0"/>
    <n v="88479.9"/>
    <n v="0"/>
    <s v="24AAACO3087C1ZT"/>
    <s v="Kgs"/>
    <n v="39269080"/>
    <s v="Rs."/>
    <n v="1"/>
    <n v="0"/>
  </r>
  <r>
    <d v="2026-10-07T00:00:00"/>
    <s v="Plastene India ltd - Unit 1-Purchase"/>
    <s v="R.M.P."/>
    <s v="RM 369"/>
    <x v="1"/>
    <s v="PIL1/D/993"/>
    <d v="2026-10-07T00:00:00"/>
    <s v="SF"/>
    <s v="PP/PE Fabric"/>
    <s v="PP UL Fabric"/>
    <s v="PP Woven Fabric"/>
    <s v="PP UL Fabric With UV"/>
    <n v="895"/>
    <n v="132003.54999999999"/>
    <s v="PP UL Fabric With UV"/>
    <n v="0"/>
    <n v="9"/>
    <n v="11880.32"/>
    <n v="9"/>
    <n v="11880.32"/>
    <n v="0"/>
    <n v="0"/>
    <n v="0"/>
    <n v="23760.639999999999"/>
    <n v="0"/>
    <s v="24AAACO3087C1ZT"/>
    <s v="Kgs"/>
    <n v="39269080"/>
    <s v="Rs."/>
    <n v="1"/>
    <n v="0"/>
  </r>
  <r>
    <d v="2026-10-07T00:00:00"/>
    <s v="Plastene India ltd - Unit 1-Purchase"/>
    <s v="R.M.P."/>
    <s v="RM 369"/>
    <x v="1"/>
    <s v="PIL1/D/993"/>
    <d v="2026-10-07T00:00:00"/>
    <s v="SF"/>
    <s v="PP/PE Fabric"/>
    <s v="PP UL Fabric"/>
    <s v="PP Woven Fabric"/>
    <s v="PP UL Fabric With UV"/>
    <n v="3123"/>
    <n v="457488.27"/>
    <s v="PP UL Fabric With UV"/>
    <n v="0"/>
    <n v="9"/>
    <n v="41173.94"/>
    <n v="9"/>
    <n v="41173.94"/>
    <n v="0"/>
    <n v="0"/>
    <n v="0"/>
    <n v="82347.88"/>
    <n v="0"/>
    <s v="24AAACO3087C1ZT"/>
    <s v="Kgs"/>
    <n v="39269080"/>
    <s v="Rs."/>
    <n v="1"/>
    <n v="0"/>
  </r>
  <r>
    <d v="2026-10-07T00:00:00"/>
    <s v="Plastene India ltd - Unit 1-Purchase"/>
    <s v="R.M.P."/>
    <s v="RM 370"/>
    <x v="1"/>
    <s v="PIL1/D/997"/>
    <d v="2026-10-07T00:00:00"/>
    <s v="SF"/>
    <s v="Liners"/>
    <s v="LDPE/LLDPE Bags"/>
    <s v="LLDPE Bags"/>
    <s v="LDPE/LLDPE Bags/Liner"/>
    <n v="357"/>
    <n v="66680.460000000006"/>
    <s v="LDPE/LLDPE Bags/Liner"/>
    <n v="330040.71999999997"/>
    <n v="9"/>
    <n v="6001.24"/>
    <n v="9"/>
    <n v="6001.24"/>
    <n v="0"/>
    <n v="0"/>
    <n v="0"/>
    <n v="12002.48"/>
    <n v="0"/>
    <s v="24AAACO3087C1ZT"/>
    <s v="Kgs"/>
    <n v="39200000"/>
    <s v="Rs."/>
    <n v="1"/>
    <n v="0"/>
  </r>
  <r>
    <d v="2026-10-07T00:00:00"/>
    <s v="Plastene India ltd - Unit 1-Purchase"/>
    <s v="R.M.P."/>
    <s v="RM 370"/>
    <x v="1"/>
    <s v="PIL1/D/997"/>
    <d v="2026-10-07T00:00:00"/>
    <s v="SF"/>
    <s v="Liners"/>
    <s v="LDPE/LLDPE Bags"/>
    <s v="LLDPE Bags"/>
    <s v="LDPE/LLDPE Bags/Liner"/>
    <n v="692"/>
    <n v="126483.76"/>
    <s v="LDPE/LLDPE Bags/Liner"/>
    <n v="0"/>
    <n v="9"/>
    <n v="11383.54"/>
    <n v="9"/>
    <n v="11383.54"/>
    <n v="0"/>
    <n v="0"/>
    <n v="0"/>
    <n v="22767.08"/>
    <n v="0"/>
    <s v="24AAACO3087C1ZT"/>
    <s v="Kgs"/>
    <n v="39200000"/>
    <s v="Rs."/>
    <n v="1"/>
    <n v="0"/>
  </r>
  <r>
    <d v="2026-10-07T00:00:00"/>
    <s v="Plastene India ltd - Unit 1-Purchase"/>
    <s v="R.M.P."/>
    <s v="RM 370"/>
    <x v="1"/>
    <s v="PIL1/D/997"/>
    <d v="2026-10-07T00:00:00"/>
    <s v="SF"/>
    <s v="PP/PE Fabric"/>
    <s v="PP UL Fabric"/>
    <s v="PP Woven Fabric"/>
    <s v="PP UL Fabric With UV"/>
    <n v="254"/>
    <n v="37208.46"/>
    <s v="PP UL Fabric With UV"/>
    <n v="0"/>
    <n v="9"/>
    <n v="3348.76"/>
    <n v="9"/>
    <n v="3348.76"/>
    <n v="0"/>
    <n v="0"/>
    <n v="0"/>
    <n v="6697.52"/>
    <n v="0"/>
    <s v="24AAACO3087C1ZT"/>
    <s v="Kgs"/>
    <n v="39269080"/>
    <s v="Rs."/>
    <n v="1"/>
    <n v="0"/>
  </r>
  <r>
    <d v="2026-10-07T00:00:00"/>
    <s v="Plastene India ltd - Unit 1-Purchase"/>
    <s v="R.M.P."/>
    <s v="RM 370"/>
    <x v="1"/>
    <s v="PIL1/D/997"/>
    <d v="2026-10-07T00:00:00"/>
    <s v="SF"/>
    <s v="PP/PE Fabric"/>
    <s v="PP UL Fabric"/>
    <s v="PP Woven Fabric"/>
    <s v="PP UL Fabric With UV"/>
    <n v="343"/>
    <n v="49560.07"/>
    <s v="PP UL Fabric With UV"/>
    <n v="0"/>
    <n v="9"/>
    <n v="4460.41"/>
    <n v="9"/>
    <n v="4460.41"/>
    <n v="0"/>
    <n v="0"/>
    <n v="0"/>
    <n v="8920.82"/>
    <n v="0"/>
    <s v="24AAACO3087C1ZT"/>
    <s v="Kgs"/>
    <n v="39269080"/>
    <s v="Rs."/>
    <n v="1"/>
    <n v="0"/>
  </r>
  <r>
    <d v="2026-10-07T00:00:00"/>
    <s v="Plastene India ltd - Unit 1-Purchase"/>
    <s v="R.M.P."/>
    <s v="RM 371"/>
    <x v="1"/>
    <s v="PIL1/D/999"/>
    <d v="2026-10-07T00:00:00"/>
    <s v="SF"/>
    <s v="Webbing"/>
    <s v="PP Webbing"/>
    <s v="PP Webbing"/>
    <s v="Webbing"/>
    <n v="1357.8"/>
    <n v="202977.52"/>
    <s v="Webbing"/>
    <n v="550158.23"/>
    <n v="9"/>
    <n v="18267.98"/>
    <n v="9"/>
    <n v="18267.98"/>
    <n v="0"/>
    <n v="0"/>
    <n v="0"/>
    <n v="36535.96"/>
    <n v="0"/>
    <s v="24AAACO3087C1ZT"/>
    <s v="Kgs"/>
    <n v="3926908"/>
    <s v="Rs."/>
    <n v="1"/>
    <n v="0"/>
  </r>
  <r>
    <d v="2026-10-07T00:00:00"/>
    <s v="Plastene India ltd - Unit 1-Purchase"/>
    <s v="R.M.P."/>
    <s v="RM 371"/>
    <x v="1"/>
    <s v="PIL1/D/999"/>
    <d v="2026-10-07T00:00:00"/>
    <s v="SF"/>
    <s v="Webbing"/>
    <s v="PP Webbing"/>
    <s v="PP Webbing"/>
    <s v="Webbing"/>
    <n v="853.9"/>
    <n v="125087.81"/>
    <s v="Webbing"/>
    <n v="0"/>
    <n v="9"/>
    <n v="11257.9"/>
    <n v="9"/>
    <n v="11257.9"/>
    <n v="0"/>
    <n v="0"/>
    <n v="0"/>
    <n v="22515.8"/>
    <n v="0"/>
    <s v="24AAACO3087C1ZT"/>
    <s v="Kgs"/>
    <n v="3926908"/>
    <s v="Rs."/>
    <n v="1"/>
    <n v="0"/>
  </r>
  <r>
    <d v="2026-10-07T00:00:00"/>
    <s v="Plastene India ltd - Unit 1-Purchase"/>
    <s v="R.M.P."/>
    <s v="RM 371"/>
    <x v="1"/>
    <s v="PIL1/D/999"/>
    <d v="2026-10-07T00:00:00"/>
    <s v="SF"/>
    <s v="PP/PE Fabric"/>
    <s v="PP UL Fabric"/>
    <s v="PP Woven Fabric"/>
    <s v="PP UL Fabric Without UV"/>
    <n v="410"/>
    <n v="59240.9"/>
    <s v="PP UL Fabric Without UV"/>
    <n v="0"/>
    <n v="9"/>
    <n v="5331.68"/>
    <n v="9"/>
    <n v="5331.68"/>
    <n v="0"/>
    <n v="0"/>
    <n v="0"/>
    <n v="10663.36"/>
    <n v="0"/>
    <s v="24AAACO3087C1ZT"/>
    <s v="Kgs"/>
    <n v="39269080"/>
    <s v="Rs."/>
    <n v="1"/>
    <n v="0"/>
  </r>
  <r>
    <d v="2026-10-07T00:00:00"/>
    <s v="Plastene India ltd - Unit 1-Purchase"/>
    <s v="R.M.P."/>
    <s v="RM 371"/>
    <x v="1"/>
    <s v="PIL1/D/999"/>
    <d v="2026-10-07T00:00:00"/>
    <s v="SF"/>
    <s v="PP/PE Fabric"/>
    <s v="PP UL Fabric"/>
    <s v="PP Woven Fabric"/>
    <s v="PP UL Fabric With UV"/>
    <n v="549"/>
    <n v="79325.009999999995"/>
    <s v="PP UL Fabric With UV"/>
    <n v="0"/>
    <n v="9"/>
    <n v="7139.25"/>
    <n v="9"/>
    <n v="7139.25"/>
    <n v="0"/>
    <n v="0"/>
    <n v="0"/>
    <n v="14278.5"/>
    <n v="0"/>
    <s v="24AAACO3087C1ZT"/>
    <s v="Kgs"/>
    <n v="39269080"/>
    <s v="Rs."/>
    <n v="1"/>
    <n v="0"/>
  </r>
  <r>
    <d v="2026-10-07T00:00:00"/>
    <s v="Plastene Polyfilms Ltd-Purchase"/>
    <s v="General Purchase"/>
    <s v="GNCN 255"/>
    <x v="0"/>
    <s v="PPL/D/328"/>
    <d v="2026-09-07T00:00:00"/>
    <s v="Stores/Spares"/>
    <s v="MS Structure Items"/>
    <s v="Spares &amp; Stores"/>
    <s v="Stores &amp; Consumables"/>
    <s v="MS Pipe 4  C Class"/>
    <n v="25"/>
    <n v="1200"/>
    <s v="MS Pipe 4  C Class"/>
    <n v="1414.8"/>
    <n v="9"/>
    <n v="108"/>
    <n v="9"/>
    <n v="108"/>
    <n v="0"/>
    <n v="0"/>
    <n v="0"/>
    <n v="216"/>
    <n v="0"/>
    <s v="24AAFCP2956A1ZR"/>
    <s v="Kgs"/>
    <n v="73063090"/>
    <s v="Rs."/>
    <n v="1"/>
    <n v="0"/>
  </r>
  <r>
    <d v="2026-10-07T00:00:00"/>
    <s v="Plastene Polyfilms Ltd-Purchase"/>
    <s v="R.M.P."/>
    <s v="RM 366"/>
    <x v="1"/>
    <s v="PPL/D/327"/>
    <d v="2026-09-07T00:00:00"/>
    <s v="FG"/>
    <s v="FIBC WIP"/>
    <s v="FIBC WIP"/>
    <s v="FIBC WIP"/>
    <s v="PP Woven Fabric"/>
    <n v="604"/>
    <n v="93462.96"/>
    <s v="FIBC WIP"/>
    <n v="168792.06"/>
    <n v="9"/>
    <n v="8411.67"/>
    <n v="9"/>
    <n v="8411.67"/>
    <n v="0"/>
    <n v="0"/>
    <n v="0"/>
    <n v="16823.34"/>
    <n v="0"/>
    <s v="24AAFCP2956A1ZR"/>
    <s v="Kgs"/>
    <n v="39269080"/>
    <s v="Rs."/>
    <n v="1"/>
    <n v="0"/>
  </r>
  <r>
    <d v="2026-10-07T00:00:00"/>
    <s v="Plastene Polyfilms Ltd-Purchase"/>
    <s v="R.M.P."/>
    <s v="RM 366"/>
    <x v="1"/>
    <s v="PPL/D/327"/>
    <d v="2026-09-07T00:00:00"/>
    <s v="SF"/>
    <s v="PP/PE Fabric"/>
    <s v="PP UL Fabric"/>
    <s v="PP Woven Fabric"/>
    <s v="PP UL Fabric With UV"/>
    <n v="321.2"/>
    <n v="49702.49"/>
    <s v="PP UL Fabric With UV"/>
    <n v="0"/>
    <n v="9"/>
    <n v="4473.22"/>
    <n v="9"/>
    <n v="4473.22"/>
    <n v="0"/>
    <n v="0"/>
    <n v="0"/>
    <n v="8946.44"/>
    <n v="0"/>
    <s v="24AAFCP2956A1ZR"/>
    <s v="Kgs"/>
    <n v="39269080"/>
    <s v="Rs."/>
    <n v="1"/>
    <n v="0"/>
  </r>
  <r>
    <d v="2026-10-07T00:00:00"/>
    <s v="Plus Logistics Ltd."/>
    <s v="General Purchase"/>
    <s v="GNCN 253"/>
    <x v="4"/>
    <s v="SLZ/0040/26-27"/>
    <d v="2026-06-07T00:00:00"/>
    <s v="RM Consumables"/>
    <s v="FIBC Accessories"/>
    <s v="FIBC Accessories"/>
    <s v="Stores &amp; Consumables"/>
    <s v="Zipper Bags"/>
    <n v="14000"/>
    <n v="29400"/>
    <s v="Zipper Bags"/>
    <n v="34692"/>
    <n v="0"/>
    <n v="0"/>
    <n v="0"/>
    <n v="0"/>
    <n v="18"/>
    <n v="5292"/>
    <n v="0"/>
    <n v="5292"/>
    <n v="0"/>
    <s v="23AAECS3438H1ZI"/>
    <s v="Pcs"/>
    <n v="39239090"/>
    <s v="Rs."/>
    <n v="1"/>
    <n v="14000"/>
  </r>
  <r>
    <d v="2026-10-07T00:00:00"/>
    <s v="Plus Logistics Ltd."/>
    <s v="General Purchase"/>
    <s v="GNCN 254"/>
    <x v="4"/>
    <s v="SLZ/0041/26-27"/>
    <d v="2026-07-07T00:00:00"/>
    <s v="RM Consumables"/>
    <s v="FIBC Accessories"/>
    <s v="FIBC Accessories"/>
    <s v="Stores &amp; Consumables"/>
    <s v="Zipper Bags"/>
    <n v="36270"/>
    <n v="76167"/>
    <s v="Zipper Bags"/>
    <n v="89877"/>
    <n v="0"/>
    <n v="0"/>
    <n v="0"/>
    <n v="0"/>
    <n v="18"/>
    <n v="13710.06"/>
    <n v="0"/>
    <n v="13710.06"/>
    <n v="0"/>
    <s v="23AAECS3438H1ZI"/>
    <s v="Pcs"/>
    <n v="39239090"/>
    <s v="Rs."/>
    <n v="1"/>
    <n v="36270"/>
  </r>
  <r>
    <d v="2026-11-07T00:00:00"/>
    <s v="Plastene India ltd - Unit 1-Purchase"/>
    <s v="General Purchase"/>
    <s v="GNCN 262"/>
    <x v="0"/>
    <s v="PIL1/D/998."/>
    <d v="2026-10-07T00:00:00"/>
    <s v="Stores/Spares"/>
    <s v="MS Structure Items"/>
    <s v="Spares &amp; Stores"/>
    <s v="Stores &amp; Consumables"/>
    <s v="MS Pipe 4  C Class"/>
    <n v="363"/>
    <n v="17424"/>
    <s v="MS Pipe 4  C Class"/>
    <n v="20542.900000000001"/>
    <n v="9"/>
    <n v="1568.16"/>
    <n v="9"/>
    <n v="1568.16"/>
    <n v="0"/>
    <n v="0"/>
    <n v="0"/>
    <n v="3136.32"/>
    <n v="0"/>
    <s v="24AAACO3087C1ZT"/>
    <s v="Kgs"/>
    <n v="73063090"/>
    <s v="Rs."/>
    <n v="1"/>
    <n v="0"/>
  </r>
  <r>
    <d v="2026-11-07T00:00:00"/>
    <s v="Plastene India ltd - Unit 1-Purchase"/>
    <s v="General Purchase"/>
    <s v="GNCN 263"/>
    <x v="0"/>
    <s v="PIL1/D/1006"/>
    <d v="2026-11-07T00:00:00"/>
    <s v="Stores/Spares"/>
    <s v="MS Structure Items"/>
    <s v="Spares &amp; Stores"/>
    <s v="Stores &amp; Consumables"/>
    <s v="MS Pipe 4  C Class"/>
    <n v="335"/>
    <n v="16080"/>
    <s v="MS Pipe 4  C Class"/>
    <n v="18958.32"/>
    <n v="9"/>
    <n v="1447.2"/>
    <n v="9"/>
    <n v="1447.2"/>
    <n v="0"/>
    <n v="0"/>
    <n v="0"/>
    <n v="2894.4"/>
    <n v="0"/>
    <s v="24AAACO3087C1ZT"/>
    <s v="Kgs"/>
    <n v="73063090"/>
    <s v="Rs."/>
    <n v="1"/>
    <n v="0"/>
  </r>
  <r>
    <d v="2026-11-07T00:00:00"/>
    <s v="Plastene India ltd - Unit 1-Purchase"/>
    <s v="R.M.P."/>
    <s v="RM 372"/>
    <x v="1"/>
    <s v="PIL1/D/1005"/>
    <d v="2026-11-07T00:00:00"/>
    <s v="SF"/>
    <s v="PP/PE Fabric"/>
    <s v="PP UL Fabric"/>
    <s v="PP Woven Fabric"/>
    <s v="PP UL Fabric With UV"/>
    <n v="1173"/>
    <n v="169486.77"/>
    <s v="PP UL Fabric With UV"/>
    <n v="199824.9"/>
    <n v="9"/>
    <n v="15253.81"/>
    <n v="9"/>
    <n v="15253.81"/>
    <n v="0"/>
    <n v="0"/>
    <n v="0"/>
    <n v="30507.62"/>
    <n v="0"/>
    <s v="24AAACO3087C1ZT"/>
    <s v="Kgs"/>
    <n v="39269080"/>
    <s v="Rs."/>
    <n v="1"/>
    <n v="0"/>
  </r>
  <r>
    <d v="2026-11-07T00:00:00"/>
    <s v="Plastene India ltd - Unit 1-Purchase"/>
    <s v="R.M.P."/>
    <s v="RM 373"/>
    <x v="1"/>
    <s v="PIL1/D/1012"/>
    <d v="2026-11-07T00:00:00"/>
    <s v="SF"/>
    <s v="Liners"/>
    <s v="LDPE/LLDPE Bags"/>
    <s v="LLDPE Bags"/>
    <s v="LDPE/LLDPE Bags/Liner"/>
    <n v="21.4"/>
    <n v="3911.49"/>
    <s v="LDPE/LLDPE Bags/Liner"/>
    <n v="4611.6400000000003"/>
    <n v="9"/>
    <n v="352.03"/>
    <n v="9"/>
    <n v="352.03"/>
    <n v="0"/>
    <n v="0"/>
    <n v="0"/>
    <n v="704.06"/>
    <n v="0"/>
    <s v="24AAACO3087C1ZT"/>
    <s v="Kgs"/>
    <n v="39200000"/>
    <s v="Rs."/>
    <n v="1"/>
    <n v="0"/>
  </r>
  <r>
    <d v="2026-11-07T00:00:00"/>
    <s v="Plastene India ltd - Unit 1-Purchase"/>
    <s v="R.M.P."/>
    <s v="RM 374"/>
    <x v="1"/>
    <s v="PIL1/D/1011"/>
    <d v="2026-11-07T00:00:00"/>
    <s v="RM Consumables"/>
    <s v="Ink"/>
    <s v="Ink"/>
    <s v="Printing Inks"/>
    <s v="Ink Vyankatesh Poly Robbin Red VLX 876"/>
    <n v="25"/>
    <n v="6875"/>
    <s v="Ink Vyankatesh Poly Robbin Red VLX 876"/>
    <n v="8105.63"/>
    <n v="9"/>
    <n v="618.75"/>
    <n v="9"/>
    <n v="618.75"/>
    <n v="0"/>
    <n v="0"/>
    <n v="0"/>
    <n v="1237.5"/>
    <n v="0"/>
    <s v="24AAACO3087C1ZT"/>
    <s v="Kgs"/>
    <n v="84529099"/>
    <s v="Rs."/>
    <n v="1"/>
    <n v="0"/>
  </r>
  <r>
    <d v="2026-11-07T00:00:00"/>
    <s v="Plastene India ltd - Unit 1-Purchase"/>
    <s v="R.M.P."/>
    <s v="RM 375"/>
    <x v="1"/>
    <s v="PIL1/D/1007"/>
    <d v="2026-11-07T00:00:00"/>
    <s v="SF"/>
    <s v="PP/PE Fabric"/>
    <s v="PP UL Fabric"/>
    <s v="PP Woven Fabric"/>
    <s v="PP UL Fabric With UV"/>
    <n v="4517"/>
    <n v="652661.32999999996"/>
    <s v="PP UL Fabric With UV"/>
    <n v="2045882.02"/>
    <n v="9"/>
    <n v="58739.519999999997"/>
    <n v="9"/>
    <n v="58739.519999999997"/>
    <n v="0"/>
    <n v="0"/>
    <n v="0"/>
    <n v="117479.03999999999"/>
    <n v="0"/>
    <s v="24AAACO3087C1ZT"/>
    <s v="Kgs"/>
    <n v="39269080"/>
    <s v="Rs."/>
    <n v="1"/>
    <n v="0"/>
  </r>
  <r>
    <d v="2026-11-07T00:00:00"/>
    <s v="Plastene India ltd - Unit 1-Purchase"/>
    <s v="R.M.P."/>
    <s v="RM 375"/>
    <x v="1"/>
    <s v="PIL1/D/1007"/>
    <d v="2026-11-07T00:00:00"/>
    <s v="SF"/>
    <s v="PP/PE Fabric"/>
    <s v="PP UL Fabric"/>
    <s v="PP Woven Fabric"/>
    <s v="PP UL Fabric With UV"/>
    <n v="2176"/>
    <n v="318762.23999999999"/>
    <s v="PP UL Fabric With UV"/>
    <n v="0"/>
    <n v="9"/>
    <n v="28688.6"/>
    <n v="9"/>
    <n v="28688.6"/>
    <n v="0"/>
    <n v="0"/>
    <n v="0"/>
    <n v="57377.2"/>
    <n v="0"/>
    <s v="24AAACO3087C1ZT"/>
    <s v="Kgs"/>
    <n v="39269080"/>
    <s v="Rs."/>
    <n v="1"/>
    <n v="0"/>
  </r>
  <r>
    <d v="2026-11-07T00:00:00"/>
    <s v="Plastene India ltd - Unit 1-Purchase"/>
    <s v="R.M.P."/>
    <s v="RM 375"/>
    <x v="1"/>
    <s v="PIL1/D/1007"/>
    <d v="2026-11-07T00:00:00"/>
    <s v="SF"/>
    <s v="PP/PE Fabric"/>
    <s v="PP UL Fabric"/>
    <s v="PP Woven Fabric"/>
    <s v="PP UL Fabric With UV"/>
    <n v="1167"/>
    <n v="172120.83"/>
    <s v="PP UL Fabric With UV"/>
    <n v="0"/>
    <n v="9"/>
    <n v="15490.87"/>
    <n v="9"/>
    <n v="15490.87"/>
    <n v="0"/>
    <n v="0"/>
    <n v="0"/>
    <n v="30981.74"/>
    <n v="0"/>
    <s v="24AAACO3087C1ZT"/>
    <s v="Kgs"/>
    <n v="39269080"/>
    <s v="Rs."/>
    <n v="1"/>
    <n v="0"/>
  </r>
  <r>
    <d v="2026-11-07T00:00:00"/>
    <s v="Plastene India ltd - Unit 1-Purchase"/>
    <s v="R.M.P."/>
    <s v="RM 375"/>
    <x v="1"/>
    <s v="PIL1/D/1007"/>
    <d v="2026-11-07T00:00:00"/>
    <s v="SF"/>
    <s v="PP/PE Fabric"/>
    <s v="PP Lam Fabric"/>
    <s v="PP Laminated Woven Fabric"/>
    <s v="PP Lam Fabric With UV"/>
    <n v="1756"/>
    <n v="266016.44"/>
    <s v="PP Lam Fabric With UV"/>
    <n v="0"/>
    <n v="9"/>
    <n v="23941.48"/>
    <n v="9"/>
    <n v="23941.48"/>
    <n v="0"/>
    <n v="0"/>
    <n v="0"/>
    <n v="47882.96"/>
    <n v="0"/>
    <s v="24AAACO3087C1ZT"/>
    <s v="Kgs"/>
    <n v="63053300"/>
    <s v="Rs."/>
    <n v="1"/>
    <n v="0"/>
  </r>
  <r>
    <d v="2026-11-07T00:00:00"/>
    <s v="Plastene India ltd - Unit 1-Purchase"/>
    <s v="R.M.P."/>
    <s v="RM 375"/>
    <x v="1"/>
    <s v="PIL1/D/1007"/>
    <d v="2026-11-07T00:00:00"/>
    <s v="SF"/>
    <s v="Webbing"/>
    <s v="PP Webbing"/>
    <s v="PP Webbing"/>
    <s v="Webbing"/>
    <n v="1358.2"/>
    <n v="203037.32"/>
    <s v="Webbing"/>
    <n v="0"/>
    <n v="9"/>
    <n v="18273.36"/>
    <n v="9"/>
    <n v="18273.36"/>
    <n v="0"/>
    <n v="0"/>
    <n v="0"/>
    <n v="36546.720000000001"/>
    <n v="0"/>
    <s v="24AAACO3087C1ZT"/>
    <s v="Kgs"/>
    <n v="3926908"/>
    <s v="Rs."/>
    <n v="1"/>
    <n v="0"/>
  </r>
  <r>
    <d v="2026-11-07T00:00:00"/>
    <s v="Plastene India ltd - Unit 1-Purchase"/>
    <s v="R.M.P."/>
    <s v="RM 375"/>
    <x v="1"/>
    <s v="PIL1/D/1007"/>
    <d v="2026-11-07T00:00:00"/>
    <s v="SF"/>
    <s v="Webbing"/>
    <s v="PP Webbing"/>
    <s v="PP Webbing"/>
    <s v="Webbing"/>
    <n v="837.4"/>
    <n v="122670.73"/>
    <s v="Webbing"/>
    <n v="0"/>
    <n v="9"/>
    <n v="11040.37"/>
    <n v="9"/>
    <n v="11040.37"/>
    <n v="0"/>
    <n v="0"/>
    <n v="0"/>
    <n v="22080.74"/>
    <n v="0"/>
    <s v="24AAACO3087C1ZT"/>
    <s v="Kgs"/>
    <n v="3926908"/>
    <s v="Rs."/>
    <n v="1"/>
    <n v="0"/>
  </r>
  <r>
    <d v="2026-11-07T00:00:00"/>
    <s v="Quality Prepress Pvt Ltd"/>
    <s v="General Purchase"/>
    <s v="GNCN 260"/>
    <x v="0"/>
    <s v="2211/2026-27"/>
    <d v="2026-01-07T00:00:00"/>
    <s v="Consumables"/>
    <s v="Rubber/Polymer Stereo"/>
    <s v="Spares &amp; Stores"/>
    <s v="Stores &amp; Consumables"/>
    <s v="Polymer Stereo"/>
    <n v="483"/>
    <n v="724.5"/>
    <s v="Polymer Stereo"/>
    <n v="973"/>
    <n v="9"/>
    <n v="65.204999999999998"/>
    <n v="9"/>
    <n v="65.204999999999998"/>
    <n v="0"/>
    <n v="0"/>
    <n v="18"/>
    <n v="148.41"/>
    <n v="0"/>
    <s v="24AAACQ5321R1Z7"/>
    <s v="CMS"/>
    <n v="37013000"/>
    <s v="Rs."/>
    <n v="1"/>
    <n v="0"/>
  </r>
  <r>
    <d v="2026-11-07T00:00:00"/>
    <s v="Quality Prepress Pvt Ltd"/>
    <s v="General Purchase"/>
    <s v="GNCN 261"/>
    <x v="0"/>
    <s v="2062/2026-27"/>
    <s v="28-06-2026"/>
    <s v="Consumables"/>
    <s v="Rubber/Polymer Stereo"/>
    <s v="Spares &amp; Stores"/>
    <s v="Stores &amp; Consumables"/>
    <s v="Polymer Stereo"/>
    <n v="297"/>
    <n v="445.5"/>
    <s v="Polymer Stereo"/>
    <n v="644"/>
    <n v="9"/>
    <n v="40.1"/>
    <n v="9"/>
    <n v="40.1"/>
    <n v="0"/>
    <n v="0"/>
    <n v="18"/>
    <n v="98.2"/>
    <n v="0"/>
    <s v="24AAACQ5321R1Z7"/>
    <s v="CMS"/>
    <n v="37013000"/>
    <s v="Rs."/>
    <n v="1"/>
    <n v="0"/>
  </r>
  <r>
    <d v="2026-11-07T00:00:00"/>
    <s v="S.R.Sewing Tech"/>
    <s v="General Purchase"/>
    <s v="GNSP 120"/>
    <x v="4"/>
    <s v="SR/512/26-27"/>
    <d v="2026-08-07T00:00:00"/>
    <s v="Stores/Spares"/>
    <s v="Stitching Spares"/>
    <s v="Spares &amp; Stores"/>
    <s v="Stores &amp; Consumables"/>
    <s v="Looper For Double Locked Stitch  (41308 C)"/>
    <n v="5"/>
    <n v="7000"/>
    <s v="Looper For Double Locked Stitch  (41308 C)"/>
    <n v="33605"/>
    <n v="0"/>
    <n v="0"/>
    <n v="0"/>
    <n v="0"/>
    <n v="5"/>
    <n v="350"/>
    <n v="0"/>
    <n v="350"/>
    <n v="0"/>
    <s v="19AORPR0945L1Z4"/>
    <s v="Pcs"/>
    <n v="84529099"/>
    <s v="Rs."/>
    <n v="1"/>
    <n v="0"/>
  </r>
  <r>
    <d v="2026-11-07T00:00:00"/>
    <s v="S.R.Sewing Tech"/>
    <s v="General Purchase"/>
    <s v="GNSP 120"/>
    <x v="4"/>
    <s v="SR/512/26-27"/>
    <d v="2026-08-07T00:00:00"/>
    <s v="Stores/Spares"/>
    <s v="Stitching Spares"/>
    <s v="Spares &amp; Stores"/>
    <s v="Stores &amp; Consumables"/>
    <s v="Spreader, Upper For Overedge Stitching  (81507)"/>
    <n v="10"/>
    <n v="10500"/>
    <s v="Spreader, Upper For Overedge Stitching  (81507)"/>
    <n v="0"/>
    <n v="0"/>
    <n v="0"/>
    <n v="0"/>
    <n v="0"/>
    <n v="5"/>
    <n v="525"/>
    <n v="0"/>
    <n v="525"/>
    <n v="0"/>
    <s v="19AORPR0945L1Z4"/>
    <s v="Pcs"/>
    <n v="84529099"/>
    <s v="Rs."/>
    <n v="1"/>
    <n v="0"/>
  </r>
  <r>
    <d v="2026-11-07T00:00:00"/>
    <s v="S.R.Sewing Tech"/>
    <s v="General Purchase"/>
    <s v="GNSP 120"/>
    <x v="4"/>
    <s v="SR/512/26-27"/>
    <d v="2026-08-07T00:00:00"/>
    <s v="Stores/Spares"/>
    <s v="Drives Spares"/>
    <s v="Spares &amp; Stores"/>
    <s v="Stores &amp; Consumables"/>
    <s v="Drive Lever For Upper Spreader  81339"/>
    <n v="5"/>
    <n v="4835"/>
    <s v="Drive Lever For Upper Spreader  81339"/>
    <n v="0"/>
    <n v="0"/>
    <n v="0"/>
    <n v="0"/>
    <n v="0"/>
    <n v="5"/>
    <n v="241.75"/>
    <n v="0"/>
    <n v="241.75"/>
    <n v="0"/>
    <s v="19AORPR0945L1Z4"/>
    <s v="Pcs"/>
    <n v="84529099"/>
    <s v="Rs."/>
    <n v="1"/>
    <n v="0"/>
  </r>
  <r>
    <d v="2026-11-07T00:00:00"/>
    <s v="S.R.Sewing Tech"/>
    <s v="General Purchase"/>
    <s v="GNSP 120"/>
    <x v="4"/>
    <s v="SR/512/26-27"/>
    <d v="2026-08-07T00:00:00"/>
    <s v="Stores/Spares"/>
    <s v="Drives Spares"/>
    <s v="Spares &amp; Stores"/>
    <s v="Stores &amp; Consumables"/>
    <s v="Drive Lever For Upper Spreader  81339"/>
    <n v="10"/>
    <n v="9670"/>
    <s v="Drive Lever For Upper Spreader  81339"/>
    <n v="0"/>
    <n v="0"/>
    <n v="0"/>
    <n v="0"/>
    <n v="0"/>
    <n v="5"/>
    <n v="483.5"/>
    <n v="0"/>
    <n v="483.5"/>
    <n v="0"/>
    <s v="19AORPR0945L1Z4"/>
    <s v="Pcs"/>
    <n v="84529099"/>
    <s v="Rs."/>
    <n v="1"/>
    <n v="0"/>
  </r>
  <r>
    <d v="2026-11-07T00:00:00"/>
    <s v="Shree Ganesh Stereo"/>
    <s v="General Purchase"/>
    <s v="GNCN 256"/>
    <x v="0"/>
    <n v="1352"/>
    <d v="2026-07-07T00:00:00"/>
    <s v="Consumables"/>
    <s v="Rubber/Polymer Stereo"/>
    <s v="Spares &amp; Stores"/>
    <s v="Stores &amp; Consumables"/>
    <s v="Rubber Stereo"/>
    <n v="2760"/>
    <n v="966"/>
    <s v="Rubber Stereo"/>
    <n v="1140"/>
    <n v="9"/>
    <n v="86.94"/>
    <n v="9"/>
    <n v="86.94"/>
    <n v="0"/>
    <n v="0"/>
    <n v="0"/>
    <n v="173.88"/>
    <n v="0"/>
    <s v="24AHDPC2510M1ZU"/>
    <s v="Pcs"/>
    <n v="400200"/>
    <s v="Rs."/>
    <n v="1"/>
    <n v="0"/>
  </r>
  <r>
    <d v="2026-11-07T00:00:00"/>
    <s v="Shree Ganesh Stereo"/>
    <s v="General Purchase"/>
    <s v="GNCN 257"/>
    <x v="0"/>
    <n v="1351"/>
    <d v="2026-07-07T00:00:00"/>
    <s v="Consumables"/>
    <s v="Rubber/Polymer Stereo"/>
    <s v="Spares &amp; Stores"/>
    <s v="Stores &amp; Consumables"/>
    <s v="Rubber Stereo"/>
    <n v="7869"/>
    <n v="2754.15"/>
    <s v="Rubber Stereo"/>
    <n v="3250"/>
    <n v="9"/>
    <n v="247.87"/>
    <n v="9"/>
    <n v="247.87"/>
    <n v="0"/>
    <n v="0"/>
    <n v="0"/>
    <n v="495.74"/>
    <n v="0"/>
    <s v="24AHDPC2510M1ZU"/>
    <s v="Pcs"/>
    <n v="400200"/>
    <s v="Rs."/>
    <n v="1"/>
    <n v="0"/>
  </r>
  <r>
    <d v="2026-11-07T00:00:00"/>
    <s v="Tritha Graphics"/>
    <s v="General Purchase"/>
    <s v="GNCN 258"/>
    <x v="0"/>
    <n v="9419"/>
    <d v="2026-04-07T00:00:00"/>
    <s v="Consumables"/>
    <s v="Rubber/Polymer Stereo"/>
    <s v="Spares &amp; Stores"/>
    <s v="Stores &amp; Consumables"/>
    <s v="Polymer Stereo"/>
    <n v="824.48"/>
    <n v="948.15"/>
    <s v="Polymer Stereo"/>
    <n v="1119"/>
    <n v="9"/>
    <n v="85.33"/>
    <n v="9"/>
    <n v="85.33"/>
    <n v="0"/>
    <n v="0"/>
    <n v="0"/>
    <n v="170.66"/>
    <n v="0"/>
    <s v="24AARFT4204A1ZK"/>
    <s v="CMS"/>
    <n v="37013000"/>
    <s v="Rs."/>
    <n v="1"/>
    <n v="0"/>
  </r>
  <r>
    <d v="2026-11-07T00:00:00"/>
    <s v="Tritha Graphics"/>
    <s v="General Purchase"/>
    <s v="GNCN 259"/>
    <x v="0"/>
    <n v="9391"/>
    <s v="30-06-2026"/>
    <s v="Consumables"/>
    <s v="Rubber/Polymer Stereo"/>
    <s v="Spares &amp; Stores"/>
    <s v="Stores &amp; Consumables"/>
    <s v="Polymer Stereo"/>
    <n v="9783"/>
    <n v="11250.45"/>
    <s v="Polymer Stereo"/>
    <n v="13276"/>
    <n v="9"/>
    <n v="1012.54"/>
    <n v="9"/>
    <n v="1012.54"/>
    <n v="0"/>
    <n v="0"/>
    <n v="0"/>
    <n v="2025.08"/>
    <n v="0"/>
    <s v="24AARFT4204A1ZK"/>
    <s v="CMS"/>
    <n v="37013000"/>
    <s v="Rs."/>
    <n v="1"/>
    <n v="0"/>
  </r>
  <r>
    <d v="2026-12-07T00:00:00"/>
    <s v="Plastene India ltd - Unit 1-Purchase"/>
    <s v="General Purchase"/>
    <s v="GNCN 264"/>
    <x v="0"/>
    <s v="PIL1/D/1021"/>
    <d v="2026-12-07T00:00:00"/>
    <s v="Stores/Spares"/>
    <s v="MS Structure Items"/>
    <s v="Spares &amp; Stores"/>
    <s v="Stores &amp; Consumables"/>
    <s v="MS Pipe 4  C Class"/>
    <n v="392"/>
    <n v="18816"/>
    <s v="MS Pipe 4  C Class"/>
    <n v="22184.06"/>
    <n v="9"/>
    <n v="1693.44"/>
    <n v="9"/>
    <n v="1693.44"/>
    <n v="0"/>
    <n v="0"/>
    <n v="0"/>
    <n v="3386.88"/>
    <n v="0"/>
    <s v="24AAACO3087C1ZT"/>
    <s v="Kgs"/>
    <n v="73063090"/>
    <s v="Rs."/>
    <n v="1"/>
    <n v="0"/>
  </r>
  <r>
    <d v="2026-12-07T00:00:00"/>
    <s v="Plastene India ltd - Unit 1-Purchase"/>
    <s v="R.M.P."/>
    <s v="RM 378"/>
    <x v="1"/>
    <s v="PIL1/D/1020"/>
    <d v="2026-12-07T00:00:00"/>
    <s v="SF"/>
    <s v="PP/PE Fabric"/>
    <s v="PP UL Fabric"/>
    <s v="PP Woven Fabric"/>
    <s v="PP UL Fabric With UV"/>
    <n v="2879"/>
    <n v="421744.71"/>
    <s v="PP UL Fabric With UV"/>
    <n v="1354812.44"/>
    <n v="9"/>
    <n v="37957.019999999997"/>
    <n v="9"/>
    <n v="37957.019999999997"/>
    <n v="0"/>
    <n v="0"/>
    <n v="0"/>
    <n v="75914.039999999994"/>
    <n v="0"/>
    <s v="24AAACO3087C1ZT"/>
    <s v="Kgs"/>
    <n v="39269080"/>
    <s v="Rs."/>
    <n v="1"/>
    <n v="0"/>
  </r>
  <r>
    <d v="2026-12-07T00:00:00"/>
    <s v="Plastene India ltd - Unit 1-Purchase"/>
    <s v="R.M.P."/>
    <s v="RM 378"/>
    <x v="1"/>
    <s v="PIL1/D/1020"/>
    <d v="2026-12-07T00:00:00"/>
    <s v="SF"/>
    <s v="PP/PE Fabric"/>
    <s v="PP UL Fabric"/>
    <s v="PP Woven Fabric"/>
    <s v="PP UL Fabric With UV"/>
    <n v="4489"/>
    <n v="648615.61"/>
    <s v="PP UL Fabric With UV"/>
    <n v="0"/>
    <n v="9"/>
    <n v="58375.4"/>
    <n v="9"/>
    <n v="58375.4"/>
    <n v="0"/>
    <n v="0"/>
    <n v="0"/>
    <n v="116750.8"/>
    <n v="0"/>
    <s v="24AAACO3087C1ZT"/>
    <s v="Kgs"/>
    <n v="39269080"/>
    <s v="Rs."/>
    <n v="1"/>
    <n v="0"/>
  </r>
  <r>
    <d v="2026-12-07T00:00:00"/>
    <s v="Plastene India ltd - Unit 1-Purchase"/>
    <s v="R.M.P."/>
    <s v="RM 378"/>
    <x v="1"/>
    <s v="PIL1/D/1020"/>
    <d v="2026-12-07T00:00:00"/>
    <s v="SF"/>
    <s v="PP/PE Fabric"/>
    <s v="PP UL Fabric"/>
    <s v="PP Woven Fabric"/>
    <s v="PP UL Fabric With UV"/>
    <n v="534"/>
    <n v="78759.66"/>
    <s v="PP UL Fabric With UV"/>
    <n v="0"/>
    <n v="9"/>
    <n v="7088.37"/>
    <n v="9"/>
    <n v="7088.37"/>
    <n v="0"/>
    <n v="0"/>
    <n v="0"/>
    <n v="14176.74"/>
    <n v="0"/>
    <s v="24AAACO3087C1ZT"/>
    <s v="Kgs"/>
    <n v="39269080"/>
    <s v="Rs."/>
    <n v="1"/>
    <n v="0"/>
  </r>
  <r>
    <d v="2026-12-07T00:00:00"/>
    <s v="Plastene India ltd - Unit 1-Purchase"/>
    <s v="R.M.P."/>
    <s v="RM 379"/>
    <x v="1"/>
    <s v="PIL1/D/1023"/>
    <d v="2026-12-07T00:00:00"/>
    <s v="FG"/>
    <s v="FIBC WIP"/>
    <s v="FIBC WIP"/>
    <s v="FIBC WIP"/>
    <s v="PP Woven Fabric"/>
    <n v="125"/>
    <n v="19561.25"/>
    <s v="FIBC WIP"/>
    <n v="405620.4"/>
    <n v="9"/>
    <n v="1760.51"/>
    <n v="9"/>
    <n v="1760.51"/>
    <n v="0"/>
    <n v="0"/>
    <n v="0"/>
    <n v="3521.02"/>
    <n v="0"/>
    <s v="24AAACO3087C1ZT"/>
    <s v="Kgs"/>
    <n v="39269080"/>
    <s v="Rs."/>
    <n v="1"/>
    <n v="0"/>
  </r>
  <r>
    <d v="2026-12-07T00:00:00"/>
    <s v="Plastene India ltd - Unit 1-Purchase"/>
    <s v="R.M.P."/>
    <s v="RM 379"/>
    <x v="1"/>
    <s v="PIL1/D/1023"/>
    <d v="2026-12-07T00:00:00"/>
    <s v="FG"/>
    <s v="FIBC WIP"/>
    <s v="FIBC WIP"/>
    <s v="FIBC WIP"/>
    <s v="PP Woven Fabric"/>
    <n v="110"/>
    <n v="16993.900000000001"/>
    <s v="FIBC WIP"/>
    <n v="0"/>
    <n v="9"/>
    <n v="1529.45"/>
    <n v="9"/>
    <n v="1529.45"/>
    <n v="0"/>
    <n v="0"/>
    <n v="0"/>
    <n v="3058.9"/>
    <n v="0"/>
    <s v="24AAACO3087C1ZT"/>
    <s v="Kgs"/>
    <n v="39269080"/>
    <s v="Rs."/>
    <n v="1"/>
    <n v="0"/>
  </r>
  <r>
    <d v="2026-12-07T00:00:00"/>
    <s v="Plastene India ltd - Unit 1-Purchase"/>
    <s v="R.M.P."/>
    <s v="RM 379"/>
    <x v="1"/>
    <s v="PIL1/D/1023"/>
    <d v="2026-12-07T00:00:00"/>
    <s v="SF"/>
    <s v="PP/PE Fabric"/>
    <s v="PP UL Fabric"/>
    <s v="PP Woven Fabric"/>
    <s v="PP UL Fabric With UV"/>
    <n v="2099"/>
    <n v="307482.51"/>
    <s v="PP UL Fabric With UV"/>
    <n v="0"/>
    <n v="9"/>
    <n v="27673.43"/>
    <n v="9"/>
    <n v="27673.43"/>
    <n v="0"/>
    <n v="0"/>
    <n v="0"/>
    <n v="55346.86"/>
    <n v="0"/>
    <s v="24AAACO3087C1ZT"/>
    <s v="Kgs"/>
    <n v="39269080"/>
    <s v="Rs."/>
    <n v="1"/>
    <n v="0"/>
  </r>
  <r>
    <d v="2026-12-07T00:00:00"/>
    <s v="Plastene India ltd - Unit 1-Purchase"/>
    <s v="R.M.P."/>
    <s v="RM 380"/>
    <x v="1"/>
    <s v="PIL1/D/1024"/>
    <d v="2026-12-07T00:00:00"/>
    <s v="SF"/>
    <s v="PP/PE Fabric"/>
    <s v="PP Lam Fabric"/>
    <s v="PP Laminated Woven Fabric"/>
    <s v="PP Lam Fabric With UV"/>
    <n v="2959"/>
    <n v="433463.91"/>
    <s v="PP Lam Fabric With UV"/>
    <n v="1670411.19"/>
    <n v="9"/>
    <n v="39011.75"/>
    <n v="9"/>
    <n v="39011.75"/>
    <n v="0"/>
    <n v="0"/>
    <n v="0"/>
    <n v="78023.5"/>
    <n v="0"/>
    <s v="24AAACO3087C1ZT"/>
    <s v="Kgs"/>
    <n v="63053300"/>
    <s v="Rs."/>
    <n v="1"/>
    <n v="0"/>
  </r>
  <r>
    <d v="2026-12-07T00:00:00"/>
    <s v="Plastene India ltd - Unit 1-Purchase"/>
    <s v="R.M.P."/>
    <s v="RM 380"/>
    <x v="1"/>
    <s v="PIL1/D/1024"/>
    <d v="2026-12-07T00:00:00"/>
    <s v="SF"/>
    <s v="Liners"/>
    <s v="LDPE/LLDPE Bags"/>
    <s v="LLDPE Doc"/>
    <s v="DOC Pouch"/>
    <n v="66"/>
    <n v="12063.48"/>
    <s v="DOC Pouch"/>
    <n v="0"/>
    <n v="9"/>
    <n v="1085.71"/>
    <n v="9"/>
    <n v="1085.71"/>
    <n v="0"/>
    <n v="0"/>
    <n v="0"/>
    <n v="2171.42"/>
    <n v="0"/>
    <s v="24AAACO3087C1ZT"/>
    <s v="Kgs"/>
    <n v="39232100"/>
    <s v="Rs."/>
    <n v="1"/>
    <n v="0"/>
  </r>
  <r>
    <d v="2026-12-07T00:00:00"/>
    <s v="Plastene India ltd - Unit 1-Purchase"/>
    <s v="R.M.P."/>
    <s v="RM 380"/>
    <x v="1"/>
    <s v="PIL1/D/1024"/>
    <d v="2026-12-07T00:00:00"/>
    <s v="SF"/>
    <s v="Liners"/>
    <s v="LDPE/LLDPE Bags"/>
    <s v="LLDPE Bags"/>
    <s v="LDPE/LLDPE Bags/Liner"/>
    <n v="554"/>
    <n v="101260.12"/>
    <s v="LDPE/LLDPE Bags/Liner"/>
    <n v="0"/>
    <n v="9"/>
    <n v="9113.41"/>
    <n v="9"/>
    <n v="9113.41"/>
    <n v="0"/>
    <n v="0"/>
    <n v="0"/>
    <n v="18226.82"/>
    <n v="0"/>
    <s v="24AAACO3087C1ZT"/>
    <s v="Kgs"/>
    <n v="39200000"/>
    <s v="Rs."/>
    <n v="1"/>
    <n v="0"/>
  </r>
  <r>
    <d v="2026-12-07T00:00:00"/>
    <s v="Plastene India ltd - Unit 1-Purchase"/>
    <s v="R.M.P."/>
    <s v="RM 380"/>
    <x v="1"/>
    <s v="PIL1/D/1024"/>
    <d v="2026-12-07T00:00:00"/>
    <s v="SF"/>
    <s v="Liners"/>
    <s v="LDPE/LLDPE Bags"/>
    <s v="LLDPE Bags"/>
    <s v="LDPE/LLDPE Bags/Liner"/>
    <n v="55"/>
    <n v="10217.9"/>
    <s v="LDPE/LLDPE Bags/Liner"/>
    <n v="0"/>
    <n v="9"/>
    <n v="919.61"/>
    <n v="9"/>
    <n v="919.61"/>
    <n v="0"/>
    <n v="0"/>
    <n v="0"/>
    <n v="1839.22"/>
    <n v="0"/>
    <s v="24AAACO3087C1ZT"/>
    <s v="Kgs"/>
    <n v="39200000"/>
    <s v="Rs."/>
    <n v="1"/>
    <n v="0"/>
  </r>
  <r>
    <d v="2026-12-07T00:00:00"/>
    <s v="Plastene India ltd - Unit 1-Purchase"/>
    <s v="R.M.P."/>
    <s v="RM 380"/>
    <x v="1"/>
    <s v="PIL1/D/1024"/>
    <d v="2026-12-07T00:00:00"/>
    <s v="SF"/>
    <s v="PP/PE Fabric"/>
    <s v="PP UL Fabric"/>
    <s v="PP Woven Fabric"/>
    <s v="PP UL Fabric With UV"/>
    <n v="633"/>
    <n v="93361.17"/>
    <s v="PP UL Fabric With UV"/>
    <n v="0"/>
    <n v="9"/>
    <n v="8402.51"/>
    <n v="9"/>
    <n v="8402.51"/>
    <n v="0"/>
    <n v="0"/>
    <n v="0"/>
    <n v="16805.02"/>
    <n v="0"/>
    <s v="24AAACO3087C1ZT"/>
    <s v="Kgs"/>
    <n v="39269080"/>
    <s v="Rs."/>
    <n v="1"/>
    <n v="0"/>
  </r>
  <r>
    <d v="2026-12-07T00:00:00"/>
    <s v="Plastene India ltd - Unit 1-Purchase"/>
    <s v="R.M.P."/>
    <s v="RM 380"/>
    <x v="1"/>
    <s v="PIL1/D/1024"/>
    <d v="2026-12-07T00:00:00"/>
    <s v="SF"/>
    <s v="PP/PE Fabric"/>
    <s v="PP UL Fabric"/>
    <s v="PP Woven Fabric"/>
    <s v="PP UL Fabric With UV"/>
    <n v="2346"/>
    <n v="338973.54"/>
    <s v="PP UL Fabric With UV"/>
    <n v="0"/>
    <n v="9"/>
    <n v="30507.62"/>
    <n v="9"/>
    <n v="30507.62"/>
    <n v="0"/>
    <n v="0"/>
    <n v="0"/>
    <n v="61015.24"/>
    <n v="0"/>
    <s v="24AAACO3087C1ZT"/>
    <s v="Kgs"/>
    <n v="39269080"/>
    <s v="Rs."/>
    <n v="1"/>
    <n v="0"/>
  </r>
  <r>
    <d v="2026-12-07T00:00:00"/>
    <s v="Plastene India ltd - Unit 1-Purchase"/>
    <s v="R.M.P."/>
    <s v="RM 380"/>
    <x v="1"/>
    <s v="PIL1/D/1024"/>
    <d v="2026-12-07T00:00:00"/>
    <s v="SF"/>
    <s v="PP/PE Fabric"/>
    <s v="PP Lam Fabric"/>
    <s v="PP Laminated Woven Fabric"/>
    <s v="PP Lam Fabric With UV"/>
    <n v="698"/>
    <n v="105740.02"/>
    <s v="PP Lam Fabric With UV"/>
    <n v="0"/>
    <n v="9"/>
    <n v="9516.6"/>
    <n v="9"/>
    <n v="9516.6"/>
    <n v="0"/>
    <n v="0"/>
    <n v="0"/>
    <n v="19033.2"/>
    <n v="0"/>
    <s v="24AAACO3087C1ZT"/>
    <s v="Kgs"/>
    <n v="63053300"/>
    <s v="Rs."/>
    <n v="1"/>
    <n v="0"/>
  </r>
  <r>
    <d v="2026-12-07T00:00:00"/>
    <s v="Plastene India ltd - Unit 1-Purchase"/>
    <s v="R.M.P."/>
    <s v="RM 380"/>
    <x v="1"/>
    <s v="PIL1/D/1024"/>
    <d v="2026-12-07T00:00:00"/>
    <s v="SF"/>
    <s v="Webbing"/>
    <s v="PP Webbing"/>
    <s v="PP Webbing"/>
    <s v="Webbing"/>
    <n v="895"/>
    <n v="131108.54999999999"/>
    <s v="Webbing"/>
    <n v="0"/>
    <n v="9"/>
    <n v="11799.77"/>
    <n v="9"/>
    <n v="11799.77"/>
    <n v="0"/>
    <n v="0"/>
    <n v="0"/>
    <n v="23599.54"/>
    <n v="0"/>
    <s v="24AAACO3087C1ZT"/>
    <s v="Kgs"/>
    <n v="3926908"/>
    <s v="Rs."/>
    <n v="1"/>
    <n v="0"/>
  </r>
  <r>
    <d v="2026-12-07T00:00:00"/>
    <s v="Plastene India ltd - Unit 1-Purchase"/>
    <s v="R.M.P."/>
    <s v="RM 380"/>
    <x v="1"/>
    <s v="PIL1/D/1024"/>
    <d v="2026-12-07T00:00:00"/>
    <s v="SF"/>
    <s v="Webbing"/>
    <s v="PP Webbing"/>
    <s v="PP Webbing"/>
    <s v="Webbing"/>
    <n v="1275.0999999999999"/>
    <n v="190614.7"/>
    <s v="Webbing"/>
    <n v="0"/>
    <n v="9"/>
    <n v="17155.32"/>
    <n v="9"/>
    <n v="17155.32"/>
    <n v="0"/>
    <n v="0"/>
    <n v="0"/>
    <n v="34310.639999999999"/>
    <n v="0"/>
    <s v="24AAACO3087C1ZT"/>
    <s v="Kgs"/>
    <n v="3926908"/>
    <s v="Rs."/>
    <n v="1"/>
    <n v="0"/>
  </r>
  <r>
    <d v="2026-12-07T00:00:00"/>
    <s v="Plastene India ltd - Unit 2-Purchase"/>
    <s v="R.M.P."/>
    <s v="RM 376"/>
    <x v="5"/>
    <s v="PIL2/D/361"/>
    <d v="2026-11-07T00:00:00"/>
    <s v="FG"/>
    <s v="FIBC Bags"/>
    <s v="FIBC Bags"/>
    <s v="JUMBO BAG"/>
    <s v="FIBC Bags With UV Without Liner"/>
    <n v="3287"/>
    <n v="640077.51"/>
    <s v="FIBC Bags With UV Without Liner"/>
    <n v="754651.39"/>
    <n v="9"/>
    <n v="57606.98"/>
    <n v="9"/>
    <n v="57606.98"/>
    <n v="0"/>
    <n v="0"/>
    <n v="0"/>
    <n v="115213.96"/>
    <n v="0"/>
    <s v="24AAACO3087C1ZT"/>
    <s v="Kgs"/>
    <n v="63053200"/>
    <s v="Rs."/>
    <n v="1"/>
    <n v="0"/>
  </r>
  <r>
    <d v="2026-12-07T00:00:00"/>
    <s v="Plastene Polyfilms Ltd-Purchase"/>
    <s v="General Purchase"/>
    <s v="GNCN 265"/>
    <x v="0"/>
    <s v="PPL/D/343"/>
    <d v="2026-12-07T00:00:00"/>
    <s v="Stores/Spares"/>
    <s v="MS Structure Items"/>
    <s v="Spares &amp; Stores"/>
    <s v="Stores &amp; Consumables"/>
    <s v="MS Pipe 4  C Class"/>
    <n v="24"/>
    <n v="1152"/>
    <s v="MS Pipe 4  C Class"/>
    <n v="1358.21"/>
    <n v="9"/>
    <n v="103.68"/>
    <n v="9"/>
    <n v="103.68"/>
    <n v="0"/>
    <n v="0"/>
    <n v="0"/>
    <n v="207.36"/>
    <n v="0"/>
    <s v="24AAFCP2956A1ZR"/>
    <s v="Kgs"/>
    <n v="73063090"/>
    <s v="Rs."/>
    <n v="1"/>
    <n v="0"/>
  </r>
  <r>
    <d v="2026-12-07T00:00:00"/>
    <s v="Plastene Polyfilms Ltd-Purchase"/>
    <s v="R.M.P."/>
    <s v="RM 377"/>
    <x v="1"/>
    <s v="PPL/D/342"/>
    <d v="2026-12-07T00:00:00"/>
    <s v="SF"/>
    <s v="Webbing"/>
    <s v="PP Webbing"/>
    <s v="PP Webbing"/>
    <s v="Webbing"/>
    <n v="73"/>
    <n v="10912.77"/>
    <s v="Webbing"/>
    <n v="193662.67"/>
    <n v="9"/>
    <n v="982.15"/>
    <n v="9"/>
    <n v="982.15"/>
    <n v="0"/>
    <n v="0"/>
    <n v="0"/>
    <n v="1964.3"/>
    <n v="0"/>
    <s v="24AAFCP2956A1ZR"/>
    <s v="Kgs"/>
    <n v="3926908"/>
    <s v="Rs."/>
    <n v="1"/>
    <n v="0"/>
  </r>
  <r>
    <d v="2026-12-07T00:00:00"/>
    <s v="Plastene Polyfilms Ltd-Purchase"/>
    <s v="R.M.P."/>
    <s v="RM 377"/>
    <x v="1"/>
    <s v="PPL/D/342"/>
    <d v="2026-12-07T00:00:00"/>
    <s v="FG"/>
    <s v="FIBC WIP"/>
    <s v="FIBC WIP"/>
    <s v="FIBC WIP"/>
    <s v="PP Woven Fabric"/>
    <n v="435"/>
    <n v="67311.899999999994"/>
    <s v="FIBC WIP"/>
    <n v="0"/>
    <n v="9"/>
    <n v="6058.07"/>
    <n v="9"/>
    <n v="6058.07"/>
    <n v="0"/>
    <n v="0"/>
    <n v="0"/>
    <n v="12116.14"/>
    <n v="0"/>
    <s v="24AAFCP2956A1ZR"/>
    <s v="Kgs"/>
    <n v="39269080"/>
    <s v="Rs."/>
    <n v="1"/>
    <n v="0"/>
  </r>
  <r>
    <d v="2026-12-07T00:00:00"/>
    <s v="Plastene Polyfilms Ltd-Purchase"/>
    <s v="R.M.P."/>
    <s v="RM 377"/>
    <x v="1"/>
    <s v="PPL/D/342"/>
    <d v="2026-12-07T00:00:00"/>
    <s v="SF"/>
    <s v="PP/PE Fabric"/>
    <s v="PP UL Fabric"/>
    <s v="PP Woven Fabric"/>
    <s v="PP UL Fabric With UV"/>
    <n v="556"/>
    <n v="86035.44"/>
    <s v="PP UL Fabric With UV"/>
    <n v="0"/>
    <n v="9"/>
    <n v="7743.19"/>
    <n v="9"/>
    <n v="7743.19"/>
    <n v="0"/>
    <n v="0"/>
    <n v="0"/>
    <n v="15486.38"/>
    <n v="0"/>
    <s v="24AAFCP2956A1ZR"/>
    <s v="Kgs"/>
    <n v="39269080"/>
    <s v="Rs."/>
    <n v="1"/>
    <n v="0"/>
  </r>
  <r>
    <s v="13-07-2026"/>
    <s v="K.P. Woven Pvt Ltd-Purchase"/>
    <s v="R.M.P."/>
    <s v="RM 383"/>
    <x v="1"/>
    <s v="KPV/D/445"/>
    <d v="2026-12-07T00:00:00"/>
    <s v="SF"/>
    <s v="Yarn All"/>
    <s v="PP Yarn"/>
    <s v="PP Filament Yarn"/>
    <s v="PP Fibrillated Tape Twisted 3200 Blue"/>
    <n v="920"/>
    <n v="141818"/>
    <s v="PP Fibrillated Tape Twisted 3200 Blue"/>
    <n v="441068.92"/>
    <n v="2.5"/>
    <n v="3545.45"/>
    <n v="2.5"/>
    <n v="3545.45"/>
    <n v="0"/>
    <n v="0"/>
    <n v="0"/>
    <n v="7090.9"/>
    <n v="0"/>
    <s v="24AAECK6307M1ZF"/>
    <s v="Kgs"/>
    <n v="54026930"/>
    <s v="Rs."/>
    <n v="1"/>
    <n v="0"/>
  </r>
  <r>
    <s v="13-07-2026"/>
    <s v="K.P. Woven Pvt Ltd-Purchase"/>
    <s v="R.M.P."/>
    <s v="RM 383"/>
    <x v="1"/>
    <s v="KPV/D/445"/>
    <d v="2026-12-07T00:00:00"/>
    <s v="SF"/>
    <s v="Yarn All"/>
    <s v="PP Yarn"/>
    <s v="PP Filament Yarn"/>
    <s v="PP Fibrillated Tape Twisted 3200 MW"/>
    <n v="485"/>
    <n v="73307.75"/>
    <s v="PP Fibrillated Tape Twisted 3200 MW"/>
    <n v="0"/>
    <n v="2.5"/>
    <n v="1832.69"/>
    <n v="2.5"/>
    <n v="1832.69"/>
    <n v="0"/>
    <n v="0"/>
    <n v="0"/>
    <n v="3665.38"/>
    <n v="0"/>
    <s v="24AAECK6307M1ZF"/>
    <s v="Kgs"/>
    <n v="54026930"/>
    <s v="Rs."/>
    <n v="1"/>
    <n v="0"/>
  </r>
  <r>
    <s v="13-07-2026"/>
    <s v="K.P. Woven Pvt Ltd-Purchase"/>
    <s v="R.M.P."/>
    <s v="RM 383"/>
    <x v="1"/>
    <s v="KPV/D/445"/>
    <d v="2026-12-07T00:00:00"/>
    <s v="SF"/>
    <s v="PP/PE Fabric"/>
    <s v="PP UL Fabric"/>
    <s v="PP Woven Fabric"/>
    <s v="PP UL Fabric With UV"/>
    <n v="1080.0999999999999"/>
    <n v="182698.92"/>
    <s v="PP UL Fabric With UV"/>
    <n v="0"/>
    <n v="9"/>
    <n v="16442.900000000001"/>
    <n v="9"/>
    <n v="16442.900000000001"/>
    <n v="0"/>
    <n v="0"/>
    <n v="0"/>
    <n v="32885.800000000003"/>
    <n v="0"/>
    <s v="24AAECK6307M1ZF"/>
    <s v="Kgs"/>
    <n v="39269080"/>
    <s v="Rs."/>
    <n v="1"/>
    <n v="0"/>
  </r>
  <r>
    <s v="13-07-2026"/>
    <s v="K.P. Woven Pvt Ltd-Purchase"/>
    <s v="R.M.P."/>
    <s v="RM 385"/>
    <x v="1"/>
    <s v="KPV/D/442"/>
    <d v="2026-12-07T00:00:00"/>
    <s v="RM Consumables"/>
    <s v="Ink"/>
    <s v="Thinner"/>
    <s v="Thinner"/>
    <s v="Thinner Vyankatesh Thinner"/>
    <n v="170"/>
    <n v="18360"/>
    <s v="Thinner Vyankatesh Thinner"/>
    <n v="21646.44"/>
    <n v="9"/>
    <n v="1652.4"/>
    <n v="9"/>
    <n v="1652.4"/>
    <n v="0"/>
    <n v="0"/>
    <n v="0"/>
    <n v="3304.8"/>
    <n v="0"/>
    <s v="24AAECK6307M1ZF"/>
    <s v="Kgs"/>
    <n v="38140010"/>
    <s v="Rs."/>
    <n v="1"/>
    <n v="0"/>
  </r>
  <r>
    <s v="13-07-2026"/>
    <s v="Plastene India ltd - Unit 1-Purchase"/>
    <s v="General Purchase"/>
    <s v="GNCN 266"/>
    <x v="0"/>
    <s v="PIL1/D/1032"/>
    <s v="13-07-2026"/>
    <s v="Stores/Spares"/>
    <s v="MS Structure Items"/>
    <s v="Spares &amp; Stores"/>
    <s v="Stores &amp; Consumables"/>
    <s v="MS Pipe 4  C Class"/>
    <n v="284"/>
    <n v="13632"/>
    <s v="MS Pipe 4  C Class"/>
    <n v="16072.13"/>
    <n v="9"/>
    <n v="1226.8800000000001"/>
    <n v="9"/>
    <n v="1226.8800000000001"/>
    <n v="0"/>
    <n v="0"/>
    <n v="0"/>
    <n v="2453.7600000000002"/>
    <n v="0"/>
    <s v="24AAACO3087C1ZT"/>
    <s v="Kgs"/>
    <n v="73063090"/>
    <s v="Rs."/>
    <n v="1"/>
    <n v="0"/>
  </r>
  <r>
    <s v="13-07-2026"/>
    <s v="Plastene India ltd - Unit 1-Purchase"/>
    <s v="R.M.P."/>
    <s v="RM 382"/>
    <x v="1"/>
    <s v="PIL1/D/1033"/>
    <s v="13-07-2026"/>
    <s v="SF"/>
    <s v="Liners"/>
    <s v="LDPE/LLDPE Bags"/>
    <s v="LLDPE Bags"/>
    <s v="LDPE/LLDPE Bags/Liner"/>
    <n v="4475"/>
    <n v="817940.5"/>
    <s v="LDPE/LLDPE Bags/Liner"/>
    <n v="964351.84"/>
    <n v="9"/>
    <n v="73614.64"/>
    <n v="9"/>
    <n v="73614.64"/>
    <n v="0"/>
    <n v="0"/>
    <n v="0"/>
    <n v="147229.28"/>
    <n v="0"/>
    <s v="24AAACO3087C1ZT"/>
    <s v="Kgs"/>
    <n v="39200000"/>
    <s v="Rs."/>
    <n v="1"/>
    <n v="0"/>
  </r>
  <r>
    <s v="13-07-2026"/>
    <s v="Plastene India ltd - Unit 1-Purchase"/>
    <s v="R.M.P."/>
    <s v="RM 387"/>
    <x v="1"/>
    <s v="PIL1/D/1031"/>
    <s v="13-07-2026"/>
    <s v="SF"/>
    <s v="PP/PE Fabric"/>
    <s v="PP UL Fabric"/>
    <s v="PP Woven Fabric"/>
    <s v="PP UL Fabric With UV"/>
    <n v="2404"/>
    <n v="352161.96"/>
    <s v="PP UL Fabric With UV"/>
    <n v="2049762.77"/>
    <n v="9"/>
    <n v="31694.58"/>
    <n v="9"/>
    <n v="31694.58"/>
    <n v="0"/>
    <n v="0"/>
    <n v="0"/>
    <n v="63389.16"/>
    <n v="0"/>
    <s v="24AAACO3087C1ZT"/>
    <s v="Kgs"/>
    <n v="39269080"/>
    <s v="Rs."/>
    <n v="1"/>
    <n v="0"/>
  </r>
  <r>
    <s v="13-07-2026"/>
    <s v="Plastene India ltd - Unit 1-Purchase"/>
    <s v="R.M.P."/>
    <s v="RM 387"/>
    <x v="1"/>
    <s v="PIL1/D/1031"/>
    <s v="13-07-2026"/>
    <s v="SF"/>
    <s v="PP/PE Fabric"/>
    <s v="PP UL Fabric"/>
    <s v="PP Woven Fabric"/>
    <s v="PP UL Fabric With UV"/>
    <n v="242"/>
    <n v="35692.58"/>
    <s v="PP UL Fabric With UV"/>
    <n v="0"/>
    <n v="9"/>
    <n v="3212.33"/>
    <n v="9"/>
    <n v="3212.33"/>
    <n v="0"/>
    <n v="0"/>
    <n v="0"/>
    <n v="6424.66"/>
    <n v="0"/>
    <s v="24AAACO3087C1ZT"/>
    <s v="Kgs"/>
    <n v="39269080"/>
    <s v="Rs."/>
    <n v="1"/>
    <n v="0"/>
  </r>
  <r>
    <s v="13-07-2026"/>
    <s v="Plastene India ltd - Unit 1-Purchase"/>
    <s v="R.M.P."/>
    <s v="RM 387"/>
    <x v="1"/>
    <s v="PIL1/D/1031"/>
    <s v="13-07-2026"/>
    <s v="SF"/>
    <s v="PP/PE Fabric"/>
    <s v="PP UL Fabric"/>
    <s v="PP Woven Fabric"/>
    <s v="PP UL Fabric With UV"/>
    <n v="5911"/>
    <n v="854080.39"/>
    <s v="PP UL Fabric With UV"/>
    <n v="0"/>
    <n v="9"/>
    <n v="76867.240000000005"/>
    <n v="9"/>
    <n v="76867.240000000005"/>
    <n v="0"/>
    <n v="0"/>
    <n v="0"/>
    <n v="153734.48000000001"/>
    <n v="0"/>
    <s v="24AAACO3087C1ZT"/>
    <s v="Kgs"/>
    <n v="39269080"/>
    <s v="Rs."/>
    <n v="1"/>
    <n v="0"/>
  </r>
  <r>
    <s v="13-07-2026"/>
    <s v="Plastene India ltd - Unit 1-Purchase"/>
    <s v="R.M.P."/>
    <s v="RM 387"/>
    <x v="1"/>
    <s v="PIL1/D/1031"/>
    <s v="13-07-2026"/>
    <s v="SF"/>
    <s v="PP/PE Fabric"/>
    <s v="PP Lam Fabric"/>
    <s v="PP Laminated Woven Fabric"/>
    <s v="PP Lam Fabric With UV"/>
    <n v="775"/>
    <n v="117404.75"/>
    <s v="PP Lam Fabric With UV"/>
    <n v="0"/>
    <n v="9"/>
    <n v="10566.43"/>
    <n v="9"/>
    <n v="10566.43"/>
    <n v="0"/>
    <n v="0"/>
    <n v="0"/>
    <n v="21132.86"/>
    <n v="0"/>
    <s v="24AAACO3087C1ZT"/>
    <s v="Kgs"/>
    <n v="63053300"/>
    <s v="Rs."/>
    <n v="1"/>
    <n v="0"/>
  </r>
  <r>
    <s v="13-07-2026"/>
    <s v="Plastene India ltd - Unit 1-Purchase"/>
    <s v="R.M.P."/>
    <s v="RM 387"/>
    <x v="1"/>
    <s v="PIL1/D/1031"/>
    <s v="13-07-2026"/>
    <s v="SF"/>
    <s v="PP/PE Fabric"/>
    <s v="PP Lam Fabric"/>
    <s v="PP Laminated Woven Fabric"/>
    <s v="PP Lam Fabric With UV"/>
    <n v="246"/>
    <n v="36528.54"/>
    <s v="PP Lam Fabric With UV"/>
    <n v="0"/>
    <n v="9"/>
    <n v="3287.57"/>
    <n v="9"/>
    <n v="3287.57"/>
    <n v="0"/>
    <n v="0"/>
    <n v="0"/>
    <n v="6575.14"/>
    <n v="0"/>
    <s v="24AAACO3087C1ZT"/>
    <s v="Kgs"/>
    <n v="63053300"/>
    <s v="Rs."/>
    <n v="1"/>
    <n v="0"/>
  </r>
  <r>
    <s v="13-07-2026"/>
    <s v="Plastene India ltd - Unit 1-Purchase"/>
    <s v="R.M.P."/>
    <s v="RM 387"/>
    <x v="1"/>
    <s v="PIL1/D/1031"/>
    <s v="13-07-2026"/>
    <s v="SF"/>
    <s v="Webbing"/>
    <s v="PP Webbing"/>
    <s v="PP Webbing"/>
    <s v="Webbing"/>
    <n v="1501.8"/>
    <n v="224504.08"/>
    <s v="Webbing"/>
    <n v="0"/>
    <n v="9"/>
    <n v="20205.37"/>
    <n v="9"/>
    <n v="20205.37"/>
    <n v="0"/>
    <n v="0"/>
    <n v="0"/>
    <n v="40410.74"/>
    <n v="0"/>
    <s v="24AAACO3087C1ZT"/>
    <s v="Kgs"/>
    <n v="3926908"/>
    <s v="Rs."/>
    <n v="1"/>
    <n v="0"/>
  </r>
  <r>
    <s v="13-07-2026"/>
    <s v="Plastene India ltd - Unit 1-Purchase"/>
    <s v="R.M.P."/>
    <s v="RM 387"/>
    <x v="1"/>
    <s v="PIL1/D/1031"/>
    <s v="13-07-2026"/>
    <s v="SF"/>
    <s v="Webbing"/>
    <s v="PP Webbing"/>
    <s v="PP Webbing"/>
    <s v="Webbing"/>
    <n v="806.8"/>
    <n v="118188.13"/>
    <s v="Webbing"/>
    <n v="0"/>
    <n v="9"/>
    <n v="10636.93"/>
    <n v="9"/>
    <n v="10636.93"/>
    <n v="0"/>
    <n v="0"/>
    <n v="0"/>
    <n v="21273.86"/>
    <n v="0"/>
    <s v="24AAACO3087C1ZT"/>
    <s v="Kgs"/>
    <n v="3926908"/>
    <s v="Rs."/>
    <n v="1"/>
    <n v="0"/>
  </r>
  <r>
    <s v="13-07-2026"/>
    <s v="Plastene India ltd - Unit 2-Purchase"/>
    <s v="General Purchase"/>
    <s v="GNCN 267"/>
    <x v="0"/>
    <s v="PIL2/D/370."/>
    <d v="2026-12-07T00:00:00"/>
    <s v="Stores/Spares"/>
    <s v="MS Structure Items"/>
    <s v="Spares &amp; Stores"/>
    <s v="Stores &amp; Consumables"/>
    <s v="MS Pipe 4  C Class"/>
    <n v="19"/>
    <n v="912"/>
    <s v="MS Pipe 4  C Class"/>
    <n v="1075.25"/>
    <n v="9"/>
    <n v="82.08"/>
    <n v="9"/>
    <n v="82.08"/>
    <n v="0"/>
    <n v="0"/>
    <n v="0"/>
    <n v="164.16"/>
    <n v="0"/>
    <s v="24AAACO3087C1ZT"/>
    <s v="Kgs"/>
    <n v="73063090"/>
    <s v="Rs."/>
    <n v="1"/>
    <n v="0"/>
  </r>
  <r>
    <s v="13-07-2026"/>
    <s v="Plastene India ltd - Unit 2-Purchase"/>
    <s v="R.M.P."/>
    <s v="RM 381"/>
    <x v="1"/>
    <s v="PIL2/D/369"/>
    <d v="2026-12-07T00:00:00"/>
    <s v="SF"/>
    <s v="PP/PE Fabric"/>
    <s v="PP UL Fabric"/>
    <s v="PP Woven Fabric"/>
    <s v="PP UL Fabric With UV"/>
    <n v="914"/>
    <n v="102002.4"/>
    <s v="PP UL Fabric With UV"/>
    <n v="120260.84"/>
    <n v="9"/>
    <n v="9180.2199999999993"/>
    <n v="9"/>
    <n v="9180.2199999999993"/>
    <n v="0"/>
    <n v="0"/>
    <n v="0"/>
    <n v="18360.439999999999"/>
    <n v="0"/>
    <s v="24AAACO3087C1ZT"/>
    <s v="Kgs"/>
    <n v="39269080"/>
    <s v="Rs."/>
    <n v="1"/>
    <n v="0"/>
  </r>
  <r>
    <s v="13-07-2026"/>
    <s v="Plastene Polyfilms Ltd-Purchase"/>
    <s v="R.M.P."/>
    <s v="RM 388"/>
    <x v="1"/>
    <s v="PPL/D/347"/>
    <s v="13-07-2026"/>
    <s v="RM Consumables"/>
    <s v="Ink"/>
    <s v="Thinner"/>
    <s v="Thinner"/>
    <s v="Thinner Vyankatesh Thinner"/>
    <n v="170"/>
    <n v="47940"/>
    <s v="Thinner Vyankatesh Thinner"/>
    <n v="56521.26"/>
    <n v="9"/>
    <n v="4314.6000000000004"/>
    <n v="9"/>
    <n v="4314.6000000000004"/>
    <n v="0"/>
    <n v="0"/>
    <n v="0"/>
    <n v="8629.2000000000007"/>
    <n v="0"/>
    <s v="24AAFCP2956A1ZR"/>
    <s v="Kgs"/>
    <n v="38140010"/>
    <s v="Rs."/>
    <n v="1"/>
    <n v="0"/>
  </r>
  <r>
    <s v="14-07-2026"/>
    <s v="Plastene India ltd - Unit 1-Purchase"/>
    <s v="General Purchase"/>
    <s v="GNCN 269"/>
    <x v="0"/>
    <s v="PIL1/D/1046"/>
    <s v="14-07-2026"/>
    <s v="Stores/Spares"/>
    <s v="MS Structure Items"/>
    <s v="Spares &amp; Stores"/>
    <s v="Stores &amp; Consumables"/>
    <s v="MS Pipe 4  C Class"/>
    <n v="528"/>
    <n v="25344"/>
    <s v="MS Pipe 4  C Class"/>
    <n v="29880.58"/>
    <n v="9"/>
    <n v="2280.96"/>
    <n v="9"/>
    <n v="2280.96"/>
    <n v="0"/>
    <n v="0"/>
    <n v="0"/>
    <n v="4561.92"/>
    <n v="0"/>
    <s v="24AAACO3087C1ZT"/>
    <s v="Kgs"/>
    <n v="73063090"/>
    <s v="Rs."/>
    <n v="1"/>
    <n v="0"/>
  </r>
  <r>
    <s v="14-07-2026"/>
    <s v="Plastene India ltd - Unit 1-Purchase"/>
    <s v="R.M.P."/>
    <s v="RM 390"/>
    <x v="1"/>
    <s v="PIL1/D/1048"/>
    <s v="14-07-2026"/>
    <s v="SF"/>
    <s v="PP/PE Fabric"/>
    <s v="PP Lam Fabric"/>
    <s v="PP Laminated Woven Fabric"/>
    <s v="PP Lam Fabric With UV"/>
    <n v="1722"/>
    <n v="260865.78"/>
    <s v="PP Lam Fabric With UV"/>
    <n v="307560.75"/>
    <n v="9"/>
    <n v="23477.919999999998"/>
    <n v="9"/>
    <n v="23477.919999999998"/>
    <n v="0"/>
    <n v="0"/>
    <n v="0"/>
    <n v="46955.839999999997"/>
    <n v="0"/>
    <s v="24AAACO3087C1ZT"/>
    <s v="Kgs"/>
    <n v="63053300"/>
    <s v="Rs."/>
    <n v="1"/>
    <n v="0"/>
  </r>
  <r>
    <s v="14-07-2026"/>
    <s v="Plastene India ltd - Unit 1-Purchase"/>
    <s v="R.M.P."/>
    <s v="RM 391"/>
    <x v="1"/>
    <s v="PIL1/D/1047"/>
    <s v="14-07-2026"/>
    <s v="SF"/>
    <s v="Liners"/>
    <s v="LDPE/LLDPE Bags"/>
    <s v="LLDPE Bags"/>
    <s v="LDPE/LLDPE Bags/Liner"/>
    <n v="1655"/>
    <n v="302500.90000000002"/>
    <s v="LDPE/LLDPE Bags/Liner"/>
    <n v="639141.39"/>
    <n v="9"/>
    <n v="27225.08"/>
    <n v="9"/>
    <n v="27225.08"/>
    <n v="0"/>
    <n v="0"/>
    <n v="0"/>
    <n v="54450.16"/>
    <n v="0"/>
    <s v="24AAACO3087C1ZT"/>
    <s v="Kgs"/>
    <n v="39200000"/>
    <s v="Rs."/>
    <n v="1"/>
    <n v="0"/>
  </r>
  <r>
    <s v="14-07-2026"/>
    <s v="Plastene India ltd - Unit 1-Purchase"/>
    <s v="R.M.P."/>
    <s v="RM 391"/>
    <x v="1"/>
    <s v="PIL1/D/1047"/>
    <s v="14-07-2026"/>
    <s v="SF"/>
    <s v="Webbing"/>
    <s v="PP Webbing"/>
    <s v="PP Webbing"/>
    <s v="Webbing"/>
    <n v="768.2"/>
    <n v="114838.22"/>
    <s v="Webbing"/>
    <n v="0"/>
    <n v="9"/>
    <n v="10335.44"/>
    <n v="9"/>
    <n v="10335.44"/>
    <n v="0"/>
    <n v="0"/>
    <n v="0"/>
    <n v="20670.88"/>
    <n v="0"/>
    <s v="24AAACO3087C1ZT"/>
    <s v="Kgs"/>
    <n v="3926908"/>
    <s v="Rs."/>
    <n v="1"/>
    <n v="0"/>
  </r>
  <r>
    <s v="14-07-2026"/>
    <s v="Plastene India ltd - Unit 1-Purchase"/>
    <s v="R.M.P."/>
    <s v="RM 391"/>
    <x v="1"/>
    <s v="PIL1/D/1047"/>
    <s v="14-07-2026"/>
    <s v="SF"/>
    <s v="Webbing"/>
    <s v="PP Webbing"/>
    <s v="PP Webbing"/>
    <s v="Webbing"/>
    <n v="851.7"/>
    <n v="124765.53"/>
    <s v="Webbing"/>
    <n v="0"/>
    <n v="9"/>
    <n v="11228.9"/>
    <n v="9"/>
    <n v="11228.9"/>
    <n v="0"/>
    <n v="0"/>
    <n v="0"/>
    <n v="22457.8"/>
    <n v="0"/>
    <s v="24AAACO3087C1ZT"/>
    <s v="Kgs"/>
    <n v="3926908"/>
    <s v="Rs."/>
    <n v="1"/>
    <n v="0"/>
  </r>
  <r>
    <s v="14-07-2026"/>
    <s v="Plastene India ltd - Unit 1-Purchase"/>
    <s v="R.M.P."/>
    <s v="RM 392"/>
    <x v="1"/>
    <s v="PIL1/D/1050"/>
    <s v="14-07-2026"/>
    <s v="SF"/>
    <s v="PP/PE Fabric"/>
    <s v="PP UL Fabric"/>
    <s v="PP Woven Fabric"/>
    <s v="PP UL Fabric With UV"/>
    <n v="1790"/>
    <n v="262217.09999999998"/>
    <s v="PP UL Fabric With UV"/>
    <n v="309153.96000000002"/>
    <n v="9"/>
    <n v="23599.54"/>
    <n v="9"/>
    <n v="23599.54"/>
    <n v="0"/>
    <n v="0"/>
    <n v="0"/>
    <n v="47199.08"/>
    <n v="0"/>
    <s v="24AAACO3087C1ZT"/>
    <s v="Kgs"/>
    <n v="39269080"/>
    <s v="Rs."/>
    <n v="1"/>
    <n v="0"/>
  </r>
  <r>
    <s v="14-07-2026"/>
    <s v="Plastene India ltd - Unit 1-Purchase"/>
    <s v="R.M.P."/>
    <s v="RM 393"/>
    <x v="1"/>
    <s v="PIL1/D/1044"/>
    <s v="14-07-2026"/>
    <s v="SF"/>
    <s v="PP/PE Fabric"/>
    <s v="PP UL Fabric"/>
    <s v="PP Woven Fabric"/>
    <s v="PP UL Fabric With UV"/>
    <n v="945"/>
    <n v="138433.04999999999"/>
    <s v="PP UL Fabric With UV"/>
    <n v="1319540.71"/>
    <n v="9"/>
    <n v="12458.97"/>
    <n v="9"/>
    <n v="12458.97"/>
    <n v="0"/>
    <n v="0"/>
    <n v="0"/>
    <n v="24917.94"/>
    <n v="0"/>
    <s v="24AAACO3087C1ZT"/>
    <s v="Kgs"/>
    <n v="39269080"/>
    <s v="Rs."/>
    <n v="1"/>
    <n v="0"/>
  </r>
  <r>
    <s v="14-07-2026"/>
    <s v="Plastene India ltd - Unit 1-Purchase"/>
    <s v="R.M.P."/>
    <s v="RM 393"/>
    <x v="1"/>
    <s v="PIL1/D/1044"/>
    <s v="14-07-2026"/>
    <s v="SF"/>
    <s v="PP/PE Fabric"/>
    <s v="PP UL Fabric"/>
    <s v="PP Woven Fabric"/>
    <s v="PP UL Fabric With UV"/>
    <n v="665"/>
    <n v="98080.85"/>
    <s v="PP UL Fabric With UV"/>
    <n v="0"/>
    <n v="9"/>
    <n v="8827.2800000000007"/>
    <n v="9"/>
    <n v="8827.2800000000007"/>
    <n v="0"/>
    <n v="0"/>
    <n v="0"/>
    <n v="17654.560000000001"/>
    <n v="0"/>
    <s v="24AAACO3087C1ZT"/>
    <s v="Kgs"/>
    <n v="39269080"/>
    <s v="Rs."/>
    <n v="1"/>
    <n v="0"/>
  </r>
  <r>
    <s v="14-07-2026"/>
    <s v="Plastene India ltd - Unit 1-Purchase"/>
    <s v="R.M.P."/>
    <s v="RM 393"/>
    <x v="1"/>
    <s v="PIL1/D/1044"/>
    <s v="14-07-2026"/>
    <s v="SF"/>
    <s v="PP/PE Fabric"/>
    <s v="PP UL Fabric"/>
    <s v="PP Woven Fabric"/>
    <s v="PP UL Fabric With UV"/>
    <n v="6109"/>
    <n v="882689.41"/>
    <s v="PP UL Fabric With UV"/>
    <n v="0"/>
    <n v="9"/>
    <n v="79442.05"/>
    <n v="9"/>
    <n v="79442.05"/>
    <n v="0"/>
    <n v="0"/>
    <n v="0"/>
    <n v="158884.1"/>
    <n v="0"/>
    <s v="24AAACO3087C1ZT"/>
    <s v="Kgs"/>
    <n v="39269080"/>
    <s v="Rs."/>
    <n v="1"/>
    <n v="0"/>
  </r>
  <r>
    <s v="14-07-2026"/>
    <s v="Plastene India ltd - Unit 1-Purchase"/>
    <s v="R.M.P."/>
    <s v="RM 394"/>
    <x v="1"/>
    <s v="PIL1/D/1045"/>
    <s v="14-07-2026"/>
    <s v="FG"/>
    <s v="FIBC WIP"/>
    <s v="FIBC WIP"/>
    <s v="FIBC WIP"/>
    <s v="PP Woven Fabric"/>
    <n v="151.69999999999999"/>
    <n v="22677.63"/>
    <s v="FIBC WIP"/>
    <n v="1050872.8700000001"/>
    <n v="9"/>
    <n v="2040.99"/>
    <n v="9"/>
    <n v="2040.99"/>
    <n v="0"/>
    <n v="0"/>
    <n v="0"/>
    <n v="4081.98"/>
    <n v="0"/>
    <s v="24AAACO3087C1ZT"/>
    <s v="Kgs"/>
    <n v="39269080"/>
    <s v="Rs."/>
    <n v="1"/>
    <n v="0"/>
  </r>
  <r>
    <s v="14-07-2026"/>
    <s v="Plastene India ltd - Unit 1-Purchase"/>
    <s v="R.M.P."/>
    <s v="RM 394"/>
    <x v="1"/>
    <s v="PIL1/D/1045"/>
    <s v="14-07-2026"/>
    <s v="SF"/>
    <s v="PP/PE Fabric"/>
    <s v="PP UL Fabric"/>
    <s v="PP Woven Fabric"/>
    <s v="PP UL Fabric With UV"/>
    <n v="2513"/>
    <n v="363103.37"/>
    <s v="PP UL Fabric With UV"/>
    <n v="0"/>
    <n v="9"/>
    <n v="32679.3"/>
    <n v="9"/>
    <n v="32679.3"/>
    <n v="0"/>
    <n v="0"/>
    <n v="0"/>
    <n v="65358.6"/>
    <n v="0"/>
    <s v="24AAACO3087C1ZT"/>
    <s v="Kgs"/>
    <n v="39269080"/>
    <s v="Rs."/>
    <n v="1"/>
    <n v="0"/>
  </r>
  <r>
    <s v="14-07-2026"/>
    <s v="Plastene India ltd - Unit 1-Purchase"/>
    <s v="R.M.P."/>
    <s v="RM 394"/>
    <x v="1"/>
    <s v="PIL1/D/1045"/>
    <s v="14-07-2026"/>
    <s v="SF"/>
    <s v="PP/PE Fabric"/>
    <s v="PP UL Fabric"/>
    <s v="PP Woven Fabric"/>
    <s v="PP UL Fabric With UV"/>
    <n v="989"/>
    <n v="144878.60999999999"/>
    <s v="PP UL Fabric With UV"/>
    <n v="0"/>
    <n v="9"/>
    <n v="13039.07"/>
    <n v="9"/>
    <n v="13039.07"/>
    <n v="0"/>
    <n v="0"/>
    <n v="0"/>
    <n v="26078.14"/>
    <n v="0"/>
    <s v="24AAACO3087C1ZT"/>
    <s v="Kgs"/>
    <n v="39269080"/>
    <s v="Rs."/>
    <n v="1"/>
    <n v="0"/>
  </r>
  <r>
    <s v="14-07-2026"/>
    <s v="Plastene India ltd - Unit 1-Purchase"/>
    <s v="R.M.P."/>
    <s v="RM 394"/>
    <x v="1"/>
    <s v="PIL1/D/1045"/>
    <s v="14-07-2026"/>
    <s v="SF"/>
    <s v="PP/PE Fabric"/>
    <s v="PP UL Fabric"/>
    <s v="PP Woven Fabric"/>
    <s v="PP UL Fabric With UV"/>
    <n v="477"/>
    <n v="70352.73"/>
    <s v="PP UL Fabric With UV"/>
    <n v="0"/>
    <n v="9"/>
    <n v="6331.75"/>
    <n v="9"/>
    <n v="6331.75"/>
    <n v="0"/>
    <n v="0"/>
    <n v="0"/>
    <n v="12663.5"/>
    <n v="0"/>
    <s v="24AAACO3087C1ZT"/>
    <s v="Kgs"/>
    <n v="39269080"/>
    <s v="Rs."/>
    <n v="1"/>
    <n v="0"/>
  </r>
  <r>
    <s v="14-07-2026"/>
    <s v="Plastene India ltd - Unit 1-Purchase"/>
    <s v="R.M.P."/>
    <s v="RM 394"/>
    <x v="1"/>
    <s v="PIL1/D/1045"/>
    <s v="14-07-2026"/>
    <s v="SF"/>
    <s v="PP/PE Fabric"/>
    <s v="PP UL Fabric"/>
    <s v="PP Woven Fabric"/>
    <s v="PP UL Fabric Without UV"/>
    <n v="718"/>
    <n v="103743.82"/>
    <s v="PP UL Fabric Without UV"/>
    <n v="0"/>
    <n v="9"/>
    <n v="9336.94"/>
    <n v="9"/>
    <n v="9336.94"/>
    <n v="0"/>
    <n v="0"/>
    <n v="0"/>
    <n v="18673.88"/>
    <n v="0"/>
    <s v="24AAACO3087C1ZT"/>
    <s v="Kgs"/>
    <n v="39269080"/>
    <s v="Rs."/>
    <n v="1"/>
    <n v="0"/>
  </r>
  <r>
    <s v="14-07-2026"/>
    <s v="Plastene India ltd - Unit 1-Purchase"/>
    <s v="R.M.P."/>
    <s v="RM 394"/>
    <x v="1"/>
    <s v="PIL1/D/1045"/>
    <s v="14-07-2026"/>
    <s v="SF"/>
    <s v="PP/PE Fabric"/>
    <s v="PP Lam Fabric"/>
    <s v="PP Laminated Woven Fabric"/>
    <s v="PP Lam Fabric With UV"/>
    <n v="1190"/>
    <n v="176703.1"/>
    <s v="PP Lam Fabric With UV"/>
    <n v="0"/>
    <n v="9"/>
    <n v="15903.28"/>
    <n v="9"/>
    <n v="15903.28"/>
    <n v="0"/>
    <n v="0"/>
    <n v="0"/>
    <n v="31806.560000000001"/>
    <n v="0"/>
    <s v="24AAACO3087C1ZT"/>
    <s v="Kgs"/>
    <n v="63053300"/>
    <s v="Rs."/>
    <n v="1"/>
    <n v="0"/>
  </r>
  <r>
    <s v="14-07-2026"/>
    <s v="Plastene India ltd - Unit 1-Purchase"/>
    <s v="R.M.P."/>
    <s v="RM 394"/>
    <x v="1"/>
    <s v="PIL1/D/1045"/>
    <s v="14-07-2026"/>
    <s v="SF"/>
    <s v="Webbing"/>
    <s v="PP Webbing"/>
    <s v="PP Webbing"/>
    <s v="Webbing"/>
    <n v="66"/>
    <n v="9866.34"/>
    <s v="Webbing"/>
    <n v="0"/>
    <n v="9"/>
    <n v="887.97"/>
    <n v="9"/>
    <n v="887.97"/>
    <n v="0"/>
    <n v="0"/>
    <n v="0"/>
    <n v="1775.94"/>
    <n v="0"/>
    <s v="24AAACO3087C1ZT"/>
    <s v="Kgs"/>
    <n v="3926908"/>
    <s v="Rs."/>
    <n v="1"/>
    <n v="0"/>
  </r>
  <r>
    <s v="14-07-2026"/>
    <s v="Plastene Polyfilms Ltd-Purchase"/>
    <s v="General Purchase"/>
    <s v="GNCN 268"/>
    <x v="0"/>
    <s v="PPL/D/354"/>
    <s v="14-07-2026"/>
    <s v="Stores/Spares"/>
    <s v="MS Structure Items"/>
    <s v="Spares &amp; Stores"/>
    <s v="Stores &amp; Consumables"/>
    <s v="MS Pipe 4  C Class"/>
    <n v="74"/>
    <n v="3552"/>
    <s v="MS Pipe 4  C Class"/>
    <n v="4187.8100000000004"/>
    <n v="9"/>
    <n v="319.68"/>
    <n v="9"/>
    <n v="319.68"/>
    <n v="0"/>
    <n v="0"/>
    <n v="0"/>
    <n v="639.36"/>
    <n v="0"/>
    <s v="24AAFCP2956A1ZR"/>
    <s v="Kgs"/>
    <n v="73063090"/>
    <s v="Rs."/>
    <n v="1"/>
    <n v="0"/>
  </r>
  <r>
    <s v="14-07-2026"/>
    <s v="Plastene Polyfilms Ltd-Purchase"/>
    <s v="R.M.P."/>
    <s v="RM 389"/>
    <x v="1"/>
    <s v="PPL/D/353"/>
    <s v="14-07-2026"/>
    <s v="SF"/>
    <s v="PP/PE Fabric"/>
    <s v="PP UL Fabric"/>
    <s v="PP Woven Fabric"/>
    <s v="PP UL Fabric With UV"/>
    <n v="1071.5"/>
    <n v="165803.91"/>
    <s v="PP UL Fabric With UV"/>
    <n v="206907.32"/>
    <n v="9"/>
    <n v="14922.35"/>
    <n v="9"/>
    <n v="14922.35"/>
    <n v="0"/>
    <n v="0"/>
    <n v="0"/>
    <n v="29844.7"/>
    <n v="0"/>
    <s v="24AAFCP2956A1ZR"/>
    <s v="Kgs"/>
    <n v="39269080"/>
    <s v="Rs."/>
    <n v="1"/>
    <n v="0"/>
  </r>
  <r>
    <s v="14-07-2026"/>
    <s v="Plastene Polyfilms Ltd-Purchase"/>
    <s v="R.M.P."/>
    <s v="RM 389"/>
    <x v="1"/>
    <s v="PPL/D/353"/>
    <s v="14-07-2026"/>
    <s v="SF"/>
    <s v="Films All (SF)"/>
    <s v="PE Film"/>
    <s v="LLDPE FILM"/>
    <s v="LDPE/LLDPE Film"/>
    <n v="38"/>
    <n v="9690"/>
    <s v="LDPE/LLDPE Film"/>
    <n v="0"/>
    <n v="9"/>
    <n v="872.1"/>
    <n v="9"/>
    <n v="872.1"/>
    <n v="0"/>
    <n v="0"/>
    <n v="0"/>
    <n v="1744.2"/>
    <n v="0"/>
    <s v="24AAFCP2956A1ZR"/>
    <s v="Kgs"/>
    <n v="3920101"/>
    <s v="Rs."/>
    <n v="1"/>
    <n v="0"/>
  </r>
  <r>
    <s v="16-07-2026"/>
    <s v="Plastene India ltd - Unit 1-Purchase"/>
    <s v="General Purchase"/>
    <s v="GNCN 270"/>
    <x v="0"/>
    <s v="PIL1/D/1060"/>
    <s v="15-07-2026"/>
    <s v="Stores/Spares"/>
    <s v="MS Structure Items"/>
    <s v="Spares &amp; Stores"/>
    <s v="Stores &amp; Consumables"/>
    <s v="MS Pipe 4  C Class"/>
    <n v="349"/>
    <n v="16752"/>
    <s v="MS Pipe 4  C Class"/>
    <n v="19750.61"/>
    <n v="9"/>
    <n v="1507.68"/>
    <n v="9"/>
    <n v="1507.68"/>
    <n v="0"/>
    <n v="0"/>
    <n v="0"/>
    <n v="3015.36"/>
    <n v="0"/>
    <s v="24AAACO3087C1ZT"/>
    <s v="Kgs"/>
    <n v="73063090"/>
    <s v="Rs."/>
    <n v="1"/>
    <n v="0"/>
  </r>
  <r>
    <s v="16-07-2026"/>
    <s v="Plastene India ltd - Unit 1-Purchase"/>
    <s v="General Purchase"/>
    <s v="GNCN 272"/>
    <x v="0"/>
    <s v="PIL1/D/1071"/>
    <s v="16-07-2026"/>
    <s v="Stores/Spares"/>
    <s v="MS Structure Items"/>
    <s v="Spares &amp; Stores"/>
    <s v="Stores &amp; Consumables"/>
    <s v="MS Pipe 4  C Class"/>
    <n v="366"/>
    <n v="17568"/>
    <s v="MS Pipe 4  C Class"/>
    <n v="20712.669999999998"/>
    <n v="9"/>
    <n v="1581.12"/>
    <n v="9"/>
    <n v="1581.12"/>
    <n v="0"/>
    <n v="0"/>
    <n v="0"/>
    <n v="3162.24"/>
    <n v="0"/>
    <s v="24AAACO3087C1ZT"/>
    <s v="Kgs"/>
    <n v="73063090"/>
    <s v="Rs."/>
    <n v="1"/>
    <n v="0"/>
  </r>
  <r>
    <s v="16-07-2026"/>
    <s v="Plastene India ltd - Unit 1-Purchase"/>
    <s v="R.M.P."/>
    <s v="RM 396"/>
    <x v="1"/>
    <s v="PIL1/D/1061"/>
    <s v="15-07-2026"/>
    <s v="SF"/>
    <s v="Liners"/>
    <s v="LDPE/LLDPE Bags"/>
    <s v="LLDPE Bags"/>
    <s v="LDPE/LLDPE Bags/Liner"/>
    <n v="733"/>
    <n v="136909.74"/>
    <s v="LDPE/LLDPE Bags/Liner"/>
    <n v="614023.32999999996"/>
    <n v="9"/>
    <n v="12321.88"/>
    <n v="9"/>
    <n v="12321.88"/>
    <n v="0"/>
    <n v="0"/>
    <n v="0"/>
    <n v="24643.759999999998"/>
    <n v="0"/>
    <s v="24AAACO3087C1ZT"/>
    <s v="Kgs"/>
    <n v="39200000"/>
    <s v="Rs."/>
    <n v="1"/>
    <n v="0"/>
  </r>
  <r>
    <s v="16-07-2026"/>
    <s v="Plastene India ltd - Unit 1-Purchase"/>
    <s v="R.M.P."/>
    <s v="RM 396"/>
    <x v="1"/>
    <s v="PIL1/D/1061"/>
    <s v="15-07-2026"/>
    <s v="SF"/>
    <s v="PP/PE Fabric"/>
    <s v="PP UL Fabric"/>
    <s v="PP Woven Fabric"/>
    <s v="PP UL Fabric With UV"/>
    <n v="865"/>
    <n v="124983.85"/>
    <s v="PP UL Fabric With UV"/>
    <n v="0"/>
    <n v="9"/>
    <n v="11248.55"/>
    <n v="9"/>
    <n v="11248.55"/>
    <n v="0"/>
    <n v="0"/>
    <n v="0"/>
    <n v="22497.1"/>
    <n v="0"/>
    <s v="24AAACO3087C1ZT"/>
    <s v="Kgs"/>
    <n v="39269080"/>
    <s v="Rs."/>
    <n v="1"/>
    <n v="0"/>
  </r>
  <r>
    <s v="16-07-2026"/>
    <s v="Plastene India ltd - Unit 1-Purchase"/>
    <s v="R.M.P."/>
    <s v="RM 396"/>
    <x v="1"/>
    <s v="PIL1/D/1061"/>
    <s v="15-07-2026"/>
    <s v="SF"/>
    <s v="Webbing"/>
    <s v="PP Webbing"/>
    <s v="PP Webbing"/>
    <s v="Webbing"/>
    <n v="910.3"/>
    <n v="133349.85"/>
    <s v="Webbing"/>
    <n v="0"/>
    <n v="9"/>
    <n v="12001.49"/>
    <n v="9"/>
    <n v="12001.49"/>
    <n v="0"/>
    <n v="0"/>
    <n v="0"/>
    <n v="24002.98"/>
    <n v="0"/>
    <s v="24AAACO3087C1ZT"/>
    <s v="Kgs"/>
    <n v="3926908"/>
    <s v="Rs."/>
    <n v="1"/>
    <n v="0"/>
  </r>
  <r>
    <s v="16-07-2026"/>
    <s v="Plastene India ltd - Unit 1-Purchase"/>
    <s v="R.M.P."/>
    <s v="RM 396"/>
    <x v="1"/>
    <s v="PIL1/D/1061"/>
    <s v="15-07-2026"/>
    <s v="SF"/>
    <s v="Webbing"/>
    <s v="PP Webbing"/>
    <s v="PP Webbing"/>
    <s v="Webbing"/>
    <n v="839.9"/>
    <n v="125556.65"/>
    <s v="Webbing"/>
    <n v="0"/>
    <n v="9"/>
    <n v="11300.1"/>
    <n v="9"/>
    <n v="11300.1"/>
    <n v="0"/>
    <n v="0"/>
    <n v="0"/>
    <n v="22600.2"/>
    <n v="0"/>
    <s v="24AAACO3087C1ZT"/>
    <s v="Kgs"/>
    <n v="3926908"/>
    <s v="Rs."/>
    <n v="1"/>
    <n v="0"/>
  </r>
  <r>
    <s v="16-07-2026"/>
    <s v="Plastene India ltd - Unit 1-Purchase"/>
    <s v="R.M.P."/>
    <s v="RM 397"/>
    <x v="1"/>
    <s v="PIL1/D/1057"/>
    <s v="15-07-2026"/>
    <s v="SF"/>
    <s v="PP/PE Fabric"/>
    <s v="PP UL Fabric"/>
    <s v="PP Woven Fabric"/>
    <s v="PP UL Fabric With UV"/>
    <n v="4938"/>
    <n v="713491.62"/>
    <s v="PP UL Fabric With UV"/>
    <n v="1763092.96"/>
    <n v="9"/>
    <n v="64214.25"/>
    <n v="9"/>
    <n v="64214.25"/>
    <n v="0"/>
    <n v="0"/>
    <n v="0"/>
    <n v="128428.5"/>
    <n v="0"/>
    <s v="24AAACO3087C1ZT"/>
    <s v="Kgs"/>
    <n v="39269080"/>
    <s v="Rs."/>
    <n v="1"/>
    <n v="0"/>
  </r>
  <r>
    <s v="16-07-2026"/>
    <s v="Plastene India ltd - Unit 1-Purchase"/>
    <s v="R.M.P."/>
    <s v="RM 397"/>
    <x v="1"/>
    <s v="PIL1/D/1057"/>
    <s v="15-07-2026"/>
    <s v="SF"/>
    <s v="PP/PE Fabric"/>
    <s v="PP UL Fabric"/>
    <s v="PP Woven Fabric"/>
    <s v="PP UL Fabric With UV"/>
    <n v="891"/>
    <n v="131413.59"/>
    <s v="PP UL Fabric With UV"/>
    <n v="0"/>
    <n v="9"/>
    <n v="11827.22"/>
    <n v="9"/>
    <n v="11827.22"/>
    <n v="0"/>
    <n v="0"/>
    <n v="0"/>
    <n v="23654.44"/>
    <n v="0"/>
    <s v="24AAACO3087C1ZT"/>
    <s v="Kgs"/>
    <n v="39269080"/>
    <s v="Rs."/>
    <n v="1"/>
    <n v="0"/>
  </r>
  <r>
    <s v="16-07-2026"/>
    <s v="Plastene India ltd - Unit 1-Purchase"/>
    <s v="R.M.P."/>
    <s v="RM 397"/>
    <x v="1"/>
    <s v="PIL1/D/1057"/>
    <s v="15-07-2026"/>
    <s v="SF"/>
    <s v="PP/PE Fabric"/>
    <s v="PP UL Fabric"/>
    <s v="PP Woven Fabric"/>
    <s v="PP UL Fabric With UV"/>
    <n v="2916"/>
    <n v="427164.84"/>
    <s v="PP UL Fabric With UV"/>
    <n v="0"/>
    <n v="9"/>
    <n v="38444.839999999997"/>
    <n v="9"/>
    <n v="38444.839999999997"/>
    <n v="0"/>
    <n v="0"/>
    <n v="0"/>
    <n v="76889.679999999993"/>
    <n v="0"/>
    <s v="24AAACO3087C1ZT"/>
    <s v="Kgs"/>
    <n v="39269080"/>
    <s v="Rs."/>
    <n v="1"/>
    <n v="0"/>
  </r>
  <r>
    <s v="16-07-2026"/>
    <s v="Plastene India ltd - Unit 1-Purchase"/>
    <s v="R.M.P."/>
    <s v="RM 397"/>
    <x v="1"/>
    <s v="PIL1/D/1057"/>
    <s v="15-07-2026"/>
    <s v="SF"/>
    <s v="PP/PE Fabric"/>
    <s v="PP Lam Fabric"/>
    <s v="PP Laminated Woven Fabric"/>
    <s v="PP Lam Fabric With UV"/>
    <n v="486"/>
    <n v="72166.14"/>
    <s v="PP Lam Fabric With UV"/>
    <n v="0"/>
    <n v="9"/>
    <n v="6494.95"/>
    <n v="9"/>
    <n v="6494.95"/>
    <n v="0"/>
    <n v="0"/>
    <n v="0"/>
    <n v="12989.9"/>
    <n v="0"/>
    <s v="24AAACO3087C1ZT"/>
    <s v="Kgs"/>
    <n v="63053300"/>
    <s v="Rs."/>
    <n v="1"/>
    <n v="0"/>
  </r>
  <r>
    <s v="16-07-2026"/>
    <s v="Plastene India ltd - Unit 1-Purchase"/>
    <s v="R.M.P."/>
    <s v="RM 397"/>
    <x v="1"/>
    <s v="PIL1/D/1057"/>
    <s v="15-07-2026"/>
    <s v="SF"/>
    <s v="PP/PE Fabric"/>
    <s v="PP Lam Fabric"/>
    <s v="PP Laminated Woven Fabric"/>
    <s v="PP Lam Fabric With UV"/>
    <n v="1032"/>
    <n v="151177.68"/>
    <s v="PP Lam Fabric With UV"/>
    <n v="0"/>
    <n v="9"/>
    <n v="13605.99"/>
    <n v="9"/>
    <n v="13605.99"/>
    <n v="0"/>
    <n v="0"/>
    <n v="0"/>
    <n v="27211.98"/>
    <n v="0"/>
    <s v="24AAACO3087C1ZT"/>
    <s v="Kgs"/>
    <n v="63053300"/>
    <s v="Rs."/>
    <n v="1"/>
    <n v="0"/>
  </r>
  <r>
    <s v="16-07-2026"/>
    <s v="Plastene India ltd - Unit 1-Purchase"/>
    <s v="R.M.P."/>
    <s v="RM 399"/>
    <x v="1"/>
    <s v="PIL1/D/1070"/>
    <s v="16-07-2026"/>
    <s v="SF"/>
    <s v="PP/PE Fabric"/>
    <s v="PP UL Fabric"/>
    <s v="PP Woven Fabric"/>
    <s v="PP UL Fabric With UV"/>
    <n v="1708"/>
    <n v="250204.92"/>
    <s v="PP UL Fabric With UV"/>
    <n v="1144891.02"/>
    <n v="9"/>
    <n v="22518.44"/>
    <n v="9"/>
    <n v="22518.44"/>
    <n v="0"/>
    <n v="0"/>
    <n v="0"/>
    <n v="45036.88"/>
    <n v="0"/>
    <s v="24AAACO3087C1ZT"/>
    <s v="Kgs"/>
    <n v="39269080"/>
    <s v="Rs."/>
    <n v="1"/>
    <n v="0"/>
  </r>
  <r>
    <s v="16-07-2026"/>
    <s v="Plastene India ltd - Unit 1-Purchase"/>
    <s v="R.M.P."/>
    <s v="RM 399"/>
    <x v="1"/>
    <s v="PIL1/D/1070"/>
    <s v="16-07-2026"/>
    <s v="SF"/>
    <s v="PP/PE Fabric"/>
    <s v="PP UL Fabric"/>
    <s v="PP Woven Fabric"/>
    <s v="PP UL Fabric With UV"/>
    <n v="4791"/>
    <n v="692251.59"/>
    <s v="PP UL Fabric With UV"/>
    <n v="0"/>
    <n v="9"/>
    <n v="62302.64"/>
    <n v="9"/>
    <n v="62302.64"/>
    <n v="0"/>
    <n v="0"/>
    <n v="0"/>
    <n v="124605.28"/>
    <n v="0"/>
    <s v="24AAACO3087C1ZT"/>
    <s v="Kgs"/>
    <n v="39269080"/>
    <s v="Rs."/>
    <n v="1"/>
    <n v="0"/>
  </r>
  <r>
    <s v="16-07-2026"/>
    <s v="Plastene India ltd - Unit 1-Purchase"/>
    <s v="R.M.P."/>
    <s v="RM 399"/>
    <x v="1"/>
    <s v="PIL1/D/1070"/>
    <s v="16-07-2026"/>
    <s v="SF"/>
    <s v="PP/PE Fabric"/>
    <s v="PP UL Fabric"/>
    <s v="PP Woven Fabric"/>
    <s v="PP UL Fabric With UV"/>
    <n v="194"/>
    <n v="28613.06"/>
    <s v="PP UL Fabric With UV"/>
    <n v="0"/>
    <n v="9"/>
    <n v="2575.1799999999998"/>
    <n v="9"/>
    <n v="2575.1799999999998"/>
    <n v="0"/>
    <n v="0"/>
    <n v="0"/>
    <n v="5150.3599999999997"/>
    <n v="0"/>
    <s v="24AAACO3087C1ZT"/>
    <s v="Kgs"/>
    <n v="39269080"/>
    <s v="Rs."/>
    <n v="1"/>
    <n v="0"/>
  </r>
  <r>
    <s v="16-07-2026"/>
    <s v="Plastene India ltd - Unit 1-Purchase"/>
    <s v="R.M.P."/>
    <s v="RM 400"/>
    <x v="1"/>
    <s v="PIL1/D/1069"/>
    <s v="16-07-2026"/>
    <s v="SF"/>
    <s v="PP/PE Fabric"/>
    <s v="PP UL Fabric"/>
    <s v="PP Woven Fabric"/>
    <s v="PP UL Fabric With UV"/>
    <n v="1443"/>
    <n v="208499.07"/>
    <s v="PP UL Fabric With UV"/>
    <n v="245820.41"/>
    <n v="9"/>
    <n v="18764.919999999998"/>
    <n v="9"/>
    <n v="18764.919999999998"/>
    <n v="0"/>
    <n v="0"/>
    <n v="0"/>
    <n v="37529.839999999997"/>
    <n v="0"/>
    <s v="24AAACO3087C1ZT"/>
    <s v="Kgs"/>
    <n v="39269080"/>
    <s v="Rs."/>
    <n v="1"/>
    <n v="0"/>
  </r>
  <r>
    <s v="16-07-2026"/>
    <s v="Plastene India ltd - Unit 1-Purchase"/>
    <s v="R.M.P."/>
    <s v="RM 401"/>
    <x v="1"/>
    <s v="PIL1/D/1063"/>
    <s v="15-07-2026"/>
    <s v="RM Consumables"/>
    <s v="Ink"/>
    <s v="Thinner"/>
    <s v="Thinner"/>
    <s v="Thinner Vyankatesh Thinner"/>
    <n v="49"/>
    <n v="5292"/>
    <s v="Thinner Vyankatesh Thinner"/>
    <n v="6239.27"/>
    <n v="9"/>
    <n v="476.28"/>
    <n v="9"/>
    <n v="476.28"/>
    <n v="0"/>
    <n v="0"/>
    <n v="0"/>
    <n v="952.56"/>
    <n v="0"/>
    <s v="24AAACO3087C1ZT"/>
    <s v="Kgs"/>
    <n v="38140010"/>
    <s v="Rs."/>
    <n v="1"/>
    <n v="0"/>
  </r>
  <r>
    <s v="16-07-2026"/>
    <s v="Plastene India ltd - Unit 1-Purchase"/>
    <s v="R.M.P."/>
    <s v="RM 402"/>
    <x v="1"/>
    <s v="PIL1/D/1072"/>
    <s v="16-07-2026"/>
    <s v="SF"/>
    <s v="Webbing"/>
    <s v="PP Webbing"/>
    <s v="PP Webbing"/>
    <s v="Webbing"/>
    <n v="768.5"/>
    <n v="112577.57"/>
    <s v="Webbing"/>
    <n v="1219367.46"/>
    <n v="9"/>
    <n v="10131.98"/>
    <n v="9"/>
    <n v="10131.98"/>
    <n v="0"/>
    <n v="0"/>
    <n v="0"/>
    <n v="20263.96"/>
    <n v="0"/>
    <s v="24AAACO3087C1ZT"/>
    <s v="Kgs"/>
    <n v="3926908"/>
    <s v="Rs."/>
    <n v="1"/>
    <n v="0"/>
  </r>
  <r>
    <s v="16-07-2026"/>
    <s v="Plastene India ltd - Unit 1-Purchase"/>
    <s v="R.M.P."/>
    <s v="RM 402"/>
    <x v="1"/>
    <s v="PIL1/D/1072"/>
    <s v="16-07-2026"/>
    <s v="SF"/>
    <s v="Webbing"/>
    <s v="PP Webbing"/>
    <s v="PP Webbing"/>
    <s v="Webbing"/>
    <n v="1506.3"/>
    <n v="225176.79"/>
    <s v="Webbing"/>
    <n v="0"/>
    <n v="9"/>
    <n v="20265.91"/>
    <n v="9"/>
    <n v="20265.91"/>
    <n v="0"/>
    <n v="0"/>
    <n v="0"/>
    <n v="40531.82"/>
    <n v="0"/>
    <s v="24AAACO3087C1ZT"/>
    <s v="Kgs"/>
    <n v="3926908"/>
    <s v="Rs."/>
    <n v="1"/>
    <n v="0"/>
  </r>
  <r>
    <s v="16-07-2026"/>
    <s v="Plastene India ltd - Unit 1-Purchase"/>
    <s v="R.M.P."/>
    <s v="RM 402"/>
    <x v="1"/>
    <s v="PIL1/D/1072"/>
    <s v="16-07-2026"/>
    <s v="SF"/>
    <s v="Liners"/>
    <s v="LDPE/LLDPE Bags"/>
    <s v="LLDPE Bags"/>
    <s v="LDPE/LLDPE Bags/Liner"/>
    <n v="1440"/>
    <n v="268963.20000000001"/>
    <s v="LDPE/LLDPE Bags/Liner"/>
    <n v="0"/>
    <n v="9"/>
    <n v="24206.69"/>
    <n v="9"/>
    <n v="24206.69"/>
    <n v="0"/>
    <n v="0"/>
    <n v="0"/>
    <n v="48413.38"/>
    <n v="0"/>
    <s v="24AAACO3087C1ZT"/>
    <s v="Kgs"/>
    <n v="39200000"/>
    <s v="Rs."/>
    <n v="1"/>
    <n v="0"/>
  </r>
  <r>
    <s v="16-07-2026"/>
    <s v="Plastene India ltd - Unit 1-Purchase"/>
    <s v="R.M.P."/>
    <s v="RM 402"/>
    <x v="1"/>
    <s v="PIL1/D/1072"/>
    <s v="16-07-2026"/>
    <s v="SF"/>
    <s v="PP/PE Fabric"/>
    <s v="PP UL Fabric"/>
    <s v="PP Woven Fabric"/>
    <s v="PP UL Fabric With UV"/>
    <n v="2000"/>
    <n v="288980"/>
    <s v="PP UL Fabric With UV"/>
    <n v="0"/>
    <n v="9"/>
    <n v="26008.2"/>
    <n v="9"/>
    <n v="26008.2"/>
    <n v="0"/>
    <n v="0"/>
    <n v="0"/>
    <n v="52016.4"/>
    <n v="0"/>
    <s v="24AAACO3087C1ZT"/>
    <s v="Kgs"/>
    <n v="39269080"/>
    <s v="Rs."/>
    <n v="1"/>
    <n v="0"/>
  </r>
  <r>
    <s v="16-07-2026"/>
    <s v="Plastene India ltd - Unit 1-Purchase"/>
    <s v="R.M.P."/>
    <s v="RM 402"/>
    <x v="1"/>
    <s v="PIL1/D/1072"/>
    <s v="16-07-2026"/>
    <s v="SF"/>
    <s v="PP/PE Fabric"/>
    <s v="PP Lam Fabric"/>
    <s v="PP Laminated Woven Fabric"/>
    <s v="PP Lam Fabric With UV"/>
    <n v="933"/>
    <n v="138541.17000000001"/>
    <s v="PP Lam Fabric With UV"/>
    <n v="0"/>
    <n v="9"/>
    <n v="12468.71"/>
    <n v="9"/>
    <n v="12468.71"/>
    <n v="0"/>
    <n v="0"/>
    <n v="0"/>
    <n v="24937.42"/>
    <n v="0"/>
    <s v="24AAACO3087C1ZT"/>
    <s v="Kgs"/>
    <n v="63053300"/>
    <s v="Rs."/>
    <n v="1"/>
    <n v="0"/>
  </r>
  <r>
    <s v="16-07-2026"/>
    <s v="Plastene India ltd - Unit 2-Purchase"/>
    <s v="R.M.P."/>
    <s v="RM 395"/>
    <x v="5"/>
    <s v="PIL2/D/380"/>
    <s v="15-07-2026"/>
    <s v="FG"/>
    <s v="FIBC Bags"/>
    <s v="FIBC Bags"/>
    <s v="JUMBO BAG"/>
    <s v="FIBC Bags With UV Without Liner"/>
    <n v="2365"/>
    <n v="486787.95"/>
    <s v="FIBC Bags With UV Without Liner"/>
    <n v="1868171.49"/>
    <n v="9"/>
    <n v="43810.92"/>
    <n v="9"/>
    <n v="43810.92"/>
    <n v="0"/>
    <n v="0"/>
    <n v="0"/>
    <n v="87621.84"/>
    <n v="0"/>
    <s v="24AAACO3087C1ZT"/>
    <s v="Kgs"/>
    <n v="63053200"/>
    <s v="Rs."/>
    <n v="1"/>
    <n v="0"/>
  </r>
  <r>
    <s v="16-07-2026"/>
    <s v="Plastene India ltd - Unit 2-Purchase"/>
    <s v="R.M.P."/>
    <s v="RM 395"/>
    <x v="5"/>
    <s v="PIL2/D/380"/>
    <s v="15-07-2026"/>
    <s v="FG"/>
    <s v="FIBC Bags"/>
    <s v="FIBC Bags"/>
    <s v="JUMBO BAG"/>
    <s v="FIBC Bags With UV Without Liner"/>
    <n v="2041"/>
    <n v="400321.74"/>
    <s v="FIBC Bags With UV Without Liner"/>
    <n v="0"/>
    <n v="9"/>
    <n v="36028.959999999999"/>
    <n v="9"/>
    <n v="36028.959999999999"/>
    <n v="0"/>
    <n v="0"/>
    <n v="0"/>
    <n v="72057.919999999998"/>
    <n v="0"/>
    <s v="24AAACO3087C1ZT"/>
    <s v="Kgs"/>
    <n v="63053200"/>
    <s v="Rs."/>
    <n v="1"/>
    <n v="0"/>
  </r>
  <r>
    <s v="16-07-2026"/>
    <s v="Plastene India ltd - Unit 2-Purchase"/>
    <s v="R.M.P."/>
    <s v="RM 395"/>
    <x v="5"/>
    <s v="PIL2/D/380"/>
    <s v="15-07-2026"/>
    <s v="FG"/>
    <s v="FIBC Bags"/>
    <s v="FIBC Bags"/>
    <s v="JUMBO BAG"/>
    <s v="FIBC Bags With UV Without Liner"/>
    <n v="3590"/>
    <n v="697429.3"/>
    <s v="FIBC Bags With UV Without Liner"/>
    <n v="0"/>
    <n v="9"/>
    <n v="62768.639999999999"/>
    <n v="9"/>
    <n v="62768.639999999999"/>
    <n v="0"/>
    <n v="0"/>
    <n v="0"/>
    <n v="125537.28"/>
    <n v="0"/>
    <s v="24AAACO3087C1ZT"/>
    <s v="Kgs"/>
    <n v="63053200"/>
    <s v="Rs."/>
    <n v="1"/>
    <n v="0"/>
  </r>
  <r>
    <s v="16-07-2026"/>
    <s v="Plastene Polyfilms Ltd-Purchase"/>
    <s v="General Purchase"/>
    <s v="GNCN 271"/>
    <x v="0"/>
    <s v="PPL/D/366"/>
    <s v="16-07-2026"/>
    <s v="Stores/Spares"/>
    <s v="MS Structure Items"/>
    <s v="Spares &amp; Stores"/>
    <s v="Stores &amp; Consumables"/>
    <s v="MS Pipe 4  C Class"/>
    <n v="26"/>
    <n v="1248"/>
    <s v="MS Pipe 4  C Class"/>
    <n v="1471.39"/>
    <n v="9"/>
    <n v="112.32"/>
    <n v="9"/>
    <n v="112.32"/>
    <n v="0"/>
    <n v="0"/>
    <n v="0"/>
    <n v="224.64"/>
    <n v="0"/>
    <s v="24AAFCP2956A1ZR"/>
    <s v="Kgs"/>
    <n v="73063090"/>
    <s v="Rs."/>
    <n v="1"/>
    <n v="0"/>
  </r>
  <r>
    <s v="16-07-2026"/>
    <s v="Plastene Polyfilms Ltd-Purchase"/>
    <s v="R.M.P."/>
    <s v="RM 398"/>
    <x v="1"/>
    <s v="PPL/D/365"/>
    <s v="16-07-2026"/>
    <s v="SF"/>
    <s v="PP/PE Fabric"/>
    <s v="PP UL Fabric"/>
    <s v="PP Woven Fabric"/>
    <s v="PP UL Fabric With UV"/>
    <n v="554.1"/>
    <n v="85741.43"/>
    <s v="PP UL Fabric With UV"/>
    <n v="186418.21"/>
    <n v="9"/>
    <n v="7716.73"/>
    <n v="9"/>
    <n v="7716.73"/>
    <n v="0"/>
    <n v="0"/>
    <n v="0"/>
    <n v="15433.46"/>
    <n v="0"/>
    <s v="24AAFCP2956A1ZR"/>
    <s v="Kgs"/>
    <n v="39269080"/>
    <s v="Rs."/>
    <n v="1"/>
    <n v="0"/>
  </r>
  <r>
    <s v="16-07-2026"/>
    <s v="Plastene Polyfilms Ltd-Purchase"/>
    <s v="R.M.P."/>
    <s v="RM 398"/>
    <x v="1"/>
    <s v="PPL/D/365"/>
    <s v="16-07-2026"/>
    <s v="FG"/>
    <s v="FIBC WIP"/>
    <s v="FIBC WIP"/>
    <s v="FIBC WIP"/>
    <s v="PP Woven Fabric"/>
    <n v="360"/>
    <n v="55706.400000000001"/>
    <s v="FIBC WIP"/>
    <n v="0"/>
    <n v="9"/>
    <n v="5013.58"/>
    <n v="9"/>
    <n v="5013.58"/>
    <n v="0"/>
    <n v="0"/>
    <n v="0"/>
    <n v="10027.16"/>
    <n v="0"/>
    <s v="24AAFCP2956A1ZR"/>
    <s v="Kgs"/>
    <n v="39269080"/>
    <s v="Rs."/>
    <n v="1"/>
    <n v="0"/>
  </r>
  <r>
    <s v="16-07-2026"/>
    <s v="Plastene Polyfilms Ltd-Purchase"/>
    <s v="R.M.P."/>
    <s v="RM 398"/>
    <x v="1"/>
    <s v="PPL/D/365"/>
    <s v="16-07-2026"/>
    <s v="SF"/>
    <s v="PP/PE Fabric"/>
    <s v="PP Lam Fabric"/>
    <s v="PP Laminated Woven Fabric"/>
    <s v="PP Lam Fabric With UV"/>
    <n v="105"/>
    <n v="16667.7"/>
    <s v="PP Lam Fabric With UV"/>
    <n v="0"/>
    <n v="9"/>
    <n v="1500.09"/>
    <n v="9"/>
    <n v="1500.09"/>
    <n v="0"/>
    <n v="0"/>
    <n v="0"/>
    <n v="3000.18"/>
    <n v="0"/>
    <s v="24AAFCP2956A1ZR"/>
    <s v="Kgs"/>
    <n v="63053300"/>
    <s v="Rs."/>
    <n v="1"/>
    <n v="0"/>
  </r>
  <r>
    <s v="17-07-2026"/>
    <s v="HCP Plastene Bulkpack Limited - Purchase"/>
    <s v="Branch Transfer In"/>
    <s v="RM 403"/>
    <x v="2"/>
    <s v="HPBL/DC/21"/>
    <s v="16-07-2026"/>
    <s v="SF"/>
    <s v="Liners"/>
    <s v="LDPE/LLDPE Bags"/>
    <s v="LLDPE Doc"/>
    <s v="DOC Pouch"/>
    <n v="448.5"/>
    <n v="75298.67"/>
    <s v="DOC Pouch"/>
    <n v="319266.59000000003"/>
    <n v="0"/>
    <n v="0"/>
    <n v="0"/>
    <n v="0"/>
    <n v="0"/>
    <n v="0"/>
    <n v="0"/>
    <n v="0"/>
    <n v="0"/>
    <s v="24AABCG1282C2Z6"/>
    <s v="Kgs"/>
    <n v="39232100"/>
    <s v="Rs."/>
    <n v="1"/>
    <n v="0"/>
  </r>
  <r>
    <s v="17-07-2026"/>
    <s v="HCP Plastene Bulkpack Limited - Purchase"/>
    <s v="Branch Transfer In"/>
    <s v="RM 403"/>
    <x v="2"/>
    <s v="HPBL/DC/21"/>
    <s v="16-07-2026"/>
    <s v="SF"/>
    <s v="PP/PE Fabric"/>
    <s v="PP UL Fabric"/>
    <s v="PP Woven Fabric"/>
    <s v="PP UL Fabric With UV"/>
    <n v="1559"/>
    <n v="243967.91"/>
    <s v="PP UL Fabric With UV"/>
    <n v="0"/>
    <n v="0"/>
    <n v="0"/>
    <n v="0"/>
    <n v="0"/>
    <n v="0"/>
    <n v="0"/>
    <n v="0"/>
    <n v="0"/>
    <n v="0"/>
    <s v="24AABCG1282C2Z6"/>
    <s v="Kgs"/>
    <n v="39269080"/>
    <s v="Rs."/>
    <n v="1"/>
    <n v="0"/>
  </r>
  <r>
    <s v="17-07-2026"/>
    <s v="K.P. Woven Pvt Ltd-Purchase"/>
    <s v="General Purchase"/>
    <s v="GNCN 273"/>
    <x v="0"/>
    <s v="KPV/D/446."/>
    <d v="2026-12-07T00:00:00"/>
    <s v="Stores/Spares"/>
    <s v="MS Structure Items"/>
    <s v="Spares &amp; Stores"/>
    <s v="Stores &amp; Consumables"/>
    <s v="MS Pipe 4  C Class"/>
    <n v="36"/>
    <n v="1728"/>
    <s v="MS Pipe 4  C Class"/>
    <n v="2037.31"/>
    <n v="9"/>
    <n v="155.52000000000001"/>
    <n v="9"/>
    <n v="155.52000000000001"/>
    <n v="0"/>
    <n v="0"/>
    <n v="0"/>
    <n v="311.04000000000002"/>
    <n v="0"/>
    <s v="24AAECK6307M1ZF"/>
    <s v="Kgs"/>
    <n v="73063090"/>
    <s v="Rs."/>
    <n v="1"/>
    <n v="0"/>
  </r>
  <r>
    <s v="17-07-2026"/>
    <s v="Plastene India ltd - Unit 1-Purchase"/>
    <s v="General Purchase"/>
    <s v="GNCN 274"/>
    <x v="0"/>
    <s v="PIL1/D/1084"/>
    <s v="17-07-2026"/>
    <s v="Stores/Spares"/>
    <s v="MS Structure Items"/>
    <s v="Spares &amp; Stores"/>
    <s v="Stores &amp; Consumables"/>
    <s v="MS Pipe 4  C Class"/>
    <n v="367"/>
    <n v="17616"/>
    <s v="MS Pipe 4  C Class"/>
    <n v="20769.259999999998"/>
    <n v="9"/>
    <n v="1585.44"/>
    <n v="9"/>
    <n v="1585.44"/>
    <n v="0"/>
    <n v="0"/>
    <n v="0"/>
    <n v="3170.88"/>
    <n v="0"/>
    <s v="24AAACO3087C1ZT"/>
    <s v="Kgs"/>
    <n v="73063090"/>
    <s v="Rs."/>
    <n v="1"/>
    <n v="0"/>
  </r>
  <r>
    <s v="17-07-2026"/>
    <s v="Plastene India ltd - Unit 1-Purchase"/>
    <s v="R.M.P."/>
    <s v="RM 404"/>
    <x v="1"/>
    <s v="PIL1/D/1079"/>
    <s v="17-07-2026"/>
    <s v="SF"/>
    <s v="PP/PE Fabric"/>
    <s v="PP UL Fabric"/>
    <s v="PP Woven Fabric"/>
    <s v="PP UL Fabric With UV"/>
    <n v="4705"/>
    <n v="679825.45"/>
    <s v="PP UL Fabric With UV"/>
    <n v="1359940.75"/>
    <n v="9"/>
    <n v="61184.29"/>
    <n v="9"/>
    <n v="61184.29"/>
    <n v="0"/>
    <n v="0"/>
    <n v="0"/>
    <n v="122368.58"/>
    <n v="0"/>
    <s v="24AAACO3087C1ZT"/>
    <s v="Kgs"/>
    <n v="39269080"/>
    <s v="Rs."/>
    <n v="1"/>
    <n v="0"/>
  </r>
  <r>
    <s v="17-07-2026"/>
    <s v="Plastene India ltd - Unit 1-Purchase"/>
    <s v="R.M.P."/>
    <s v="RM 404"/>
    <x v="1"/>
    <s v="PIL1/D/1079"/>
    <s v="17-07-2026"/>
    <s v="SF"/>
    <s v="PP/PE Fabric"/>
    <s v="PP UL Fabric"/>
    <s v="PP Woven Fabric"/>
    <s v="PP UL Fabric With UV"/>
    <n v="251"/>
    <n v="37019.99"/>
    <s v="PP UL Fabric With UV"/>
    <n v="0"/>
    <n v="9"/>
    <n v="3331.8"/>
    <n v="9"/>
    <n v="3331.8"/>
    <n v="0"/>
    <n v="0"/>
    <n v="0"/>
    <n v="6663.6"/>
    <n v="0"/>
    <s v="24AAACO3087C1ZT"/>
    <s v="Kgs"/>
    <n v="39269080"/>
    <s v="Rs."/>
    <n v="1"/>
    <n v="0"/>
  </r>
  <r>
    <s v="17-07-2026"/>
    <s v="Plastene India ltd - Unit 1-Purchase"/>
    <s v="R.M.P."/>
    <s v="RM 404"/>
    <x v="1"/>
    <s v="PIL1/D/1079"/>
    <s v="17-07-2026"/>
    <s v="SF"/>
    <s v="PP/PE Fabric"/>
    <s v="PP UL Fabric"/>
    <s v="PP Woven Fabric"/>
    <s v="PP UL Fabric With UV"/>
    <n v="1826"/>
    <n v="267490.74"/>
    <s v="PP UL Fabric With UV"/>
    <n v="0"/>
    <n v="9"/>
    <n v="24074.17"/>
    <n v="9"/>
    <n v="24074.17"/>
    <n v="0"/>
    <n v="0"/>
    <n v="0"/>
    <n v="48148.34"/>
    <n v="0"/>
    <s v="24AAACO3087C1ZT"/>
    <s v="Kgs"/>
    <n v="39269080"/>
    <s v="Rs."/>
    <n v="1"/>
    <n v="0"/>
  </r>
  <r>
    <s v="17-07-2026"/>
    <s v="Plastene India ltd - Unit 1-Purchase"/>
    <s v="R.M.P."/>
    <s v="RM 404"/>
    <x v="1"/>
    <s v="PIL1/D/1079"/>
    <s v="17-07-2026"/>
    <s v="SF"/>
    <s v="PP/PE Fabric"/>
    <s v="PP Lam Fabric"/>
    <s v="PP Laminated Woven Fabric"/>
    <s v="PP Lam Fabric With UV"/>
    <n v="815"/>
    <n v="119389.35"/>
    <s v="PP Lam Fabric With UV"/>
    <n v="0"/>
    <n v="9"/>
    <n v="10745.04"/>
    <n v="9"/>
    <n v="10745.04"/>
    <n v="0"/>
    <n v="0"/>
    <n v="0"/>
    <n v="21490.080000000002"/>
    <n v="0"/>
    <s v="24AAACO3087C1ZT"/>
    <s v="Kgs"/>
    <n v="63053300"/>
    <s v="Rs."/>
    <n v="1"/>
    <n v="0"/>
  </r>
  <r>
    <s v="17-07-2026"/>
    <s v="Plastene India ltd - Unit 1-Purchase"/>
    <s v="R.M.P."/>
    <s v="RM 404"/>
    <x v="1"/>
    <s v="PIL1/D/1079"/>
    <s v="17-07-2026"/>
    <s v="SF"/>
    <s v="PP/PE Fabric"/>
    <s v="PP Lam Fabric"/>
    <s v="PP Laminated Woven Fabric"/>
    <s v="PP Lam Fabric With UV"/>
    <n v="335"/>
    <n v="49744.15"/>
    <s v="PP Lam Fabric With UV"/>
    <n v="0"/>
    <n v="9"/>
    <n v="4476.97"/>
    <n v="9"/>
    <n v="4476.97"/>
    <n v="0"/>
    <n v="0"/>
    <n v="0"/>
    <n v="8953.94"/>
    <n v="0"/>
    <s v="24AAACO3087C1ZT"/>
    <s v="Kgs"/>
    <n v="63053300"/>
    <s v="Rs."/>
    <n v="1"/>
    <n v="0"/>
  </r>
  <r>
    <s v="17-07-2026"/>
    <s v="Plastene India ltd - Unit 1-Purchase"/>
    <s v="R.M.P."/>
    <s v="RM 405"/>
    <x v="1"/>
    <s v="PIL1/D/1077"/>
    <s v="16-07-2026"/>
    <s v="SF"/>
    <s v="PP/PE Fabric"/>
    <s v="PP UL Fabric"/>
    <s v="PP Woven Fabric"/>
    <s v="PP UL Fabric With UV"/>
    <n v="12"/>
    <n v="1757.88"/>
    <s v="PP UL Fabric With UV"/>
    <n v="2072.54"/>
    <n v="9"/>
    <n v="158.21"/>
    <n v="9"/>
    <n v="158.21"/>
    <n v="0"/>
    <n v="0"/>
    <n v="0"/>
    <n v="316.42"/>
    <n v="0"/>
    <s v="24AAACO3087C1ZT"/>
    <s v="Kgs"/>
    <n v="39269080"/>
    <s v="Rs."/>
    <n v="1"/>
    <n v="0"/>
  </r>
  <r>
    <s v="17-07-2026"/>
    <s v="Plastene India ltd - Unit 1-Purchase"/>
    <s v="R.M.P."/>
    <s v="RM 406"/>
    <x v="1"/>
    <s v="PIL1/D/1085"/>
    <s v="17-07-2026"/>
    <s v="SF"/>
    <s v="PP/PE Fabric"/>
    <s v="PP UL Fabric"/>
    <s v="PP Woven Fabric"/>
    <s v="PP UL Fabric With UV"/>
    <n v="2119"/>
    <n v="306174.31"/>
    <s v="PP UL Fabric With UV"/>
    <n v="951207.69"/>
    <n v="9"/>
    <n v="27555.69"/>
    <n v="9"/>
    <n v="27555.69"/>
    <n v="0"/>
    <n v="0"/>
    <n v="0"/>
    <n v="55111.38"/>
    <n v="0"/>
    <s v="24AAACO3087C1ZT"/>
    <s v="Kgs"/>
    <n v="39269080"/>
    <s v="Rs."/>
    <n v="1"/>
    <n v="0"/>
  </r>
  <r>
    <s v="17-07-2026"/>
    <s v="Plastene India ltd - Unit 1-Purchase"/>
    <s v="R.M.P."/>
    <s v="RM 406"/>
    <x v="1"/>
    <s v="PIL1/D/1085"/>
    <s v="17-07-2026"/>
    <s v="SF"/>
    <s v="Liners"/>
    <s v="LDPE/LLDPE Bags"/>
    <s v="LLDPE Bags"/>
    <s v="LDPE/LLDPE Bags/Liner"/>
    <n v="1307"/>
    <n v="244121.46"/>
    <s v="LDPE/LLDPE Bags/Liner"/>
    <n v="0"/>
    <n v="9"/>
    <n v="21970.93"/>
    <n v="9"/>
    <n v="21970.93"/>
    <n v="0"/>
    <n v="0"/>
    <n v="0"/>
    <n v="43941.86"/>
    <n v="0"/>
    <s v="24AAACO3087C1ZT"/>
    <s v="Kgs"/>
    <n v="39200000"/>
    <s v="Rs."/>
    <n v="1"/>
    <n v="0"/>
  </r>
  <r>
    <s v="17-07-2026"/>
    <s v="Plastene India ltd - Unit 1-Purchase"/>
    <s v="R.M.P."/>
    <s v="RM 406"/>
    <x v="1"/>
    <s v="PIL1/D/1085"/>
    <s v="17-07-2026"/>
    <s v="SF"/>
    <s v="PP/PE Fabric"/>
    <s v="PP Lam Fabric"/>
    <s v="PP Laminated Woven Fabric"/>
    <s v="PP Lam Fabric With UV"/>
    <n v="700"/>
    <n v="106043"/>
    <s v="PP Lam Fabric With UV"/>
    <n v="0"/>
    <n v="9"/>
    <n v="9543.8700000000008"/>
    <n v="9"/>
    <n v="9543.8700000000008"/>
    <n v="0"/>
    <n v="0"/>
    <n v="0"/>
    <n v="19087.740000000002"/>
    <n v="0"/>
    <s v="24AAACO3087C1ZT"/>
    <s v="Kgs"/>
    <n v="63053300"/>
    <s v="Rs."/>
    <n v="1"/>
    <n v="0"/>
  </r>
  <r>
    <s v="17-07-2026"/>
    <s v="Plastene India ltd - Unit 1-Purchase"/>
    <s v="R.M.P."/>
    <s v="RM 406"/>
    <x v="1"/>
    <s v="PIL1/D/1085"/>
    <s v="17-07-2026"/>
    <s v="SF"/>
    <s v="Webbing"/>
    <s v="PP Webbing"/>
    <s v="PP Webbing"/>
    <s v="Webbing"/>
    <n v="306.8"/>
    <n v="44943.13"/>
    <s v="Webbing"/>
    <n v="0"/>
    <n v="9"/>
    <n v="4044.88"/>
    <n v="9"/>
    <n v="4044.88"/>
    <n v="0"/>
    <n v="0"/>
    <n v="0"/>
    <n v="8089.76"/>
    <n v="0"/>
    <s v="24AAACO3087C1ZT"/>
    <s v="Kgs"/>
    <n v="3926908"/>
    <s v="Rs."/>
    <n v="1"/>
    <n v="0"/>
  </r>
  <r>
    <s v="17-07-2026"/>
    <s v="Plastene India ltd - Unit 1-Purchase"/>
    <s v="R.M.P."/>
    <s v="RM 406"/>
    <x v="1"/>
    <s v="PIL1/D/1085"/>
    <s v="17-07-2026"/>
    <s v="SF"/>
    <s v="Webbing"/>
    <s v="PP Webbing"/>
    <s v="PP Webbing"/>
    <s v="Webbing"/>
    <n v="705.8"/>
    <n v="105510.04"/>
    <s v="Webbing"/>
    <n v="0"/>
    <n v="9"/>
    <n v="9495.9"/>
    <n v="9"/>
    <n v="9495.9"/>
    <n v="0"/>
    <n v="0"/>
    <n v="0"/>
    <n v="18991.8"/>
    <n v="0"/>
    <s v="24AAACO3087C1ZT"/>
    <s v="Kgs"/>
    <n v="3926908"/>
    <s v="Rs."/>
    <n v="1"/>
    <n v="0"/>
  </r>
  <r>
    <s v="17-07-2026"/>
    <s v="Shiv Shakti Enterprise"/>
    <s v="Purchase"/>
    <s v="GNPK 68"/>
    <x v="3"/>
    <s v="SSE/2026-27/0890"/>
    <s v="15-07-2026"/>
    <s v="Packing Material"/>
    <s v="Pallets"/>
    <s v="Packing Material"/>
    <s v="Packing Material"/>
    <s v="Wooden Pallet Flate Size 85X105Cm"/>
    <n v="140"/>
    <n v="84000"/>
    <s v="Wooden Pallet Flate Size 85X105Cm"/>
    <n v="168525"/>
    <n v="2.5"/>
    <n v="2100"/>
    <n v="2.5"/>
    <n v="2100"/>
    <n v="0"/>
    <n v="0"/>
    <n v="0"/>
    <n v="4200"/>
    <n v="0"/>
    <s v="24AIEPG9602Q1ZZ"/>
    <s v="Pcs"/>
    <n v="44152000"/>
    <s v="Rs."/>
    <n v="1"/>
    <n v="0"/>
  </r>
  <r>
    <s v="17-07-2026"/>
    <s v="Shiv Shakti Enterprise"/>
    <s v="Purchase"/>
    <s v="GNPK 68"/>
    <x v="3"/>
    <s v="SSE/2026-27/0890"/>
    <s v="15-07-2026"/>
    <s v="Packing Material"/>
    <s v="Pallets"/>
    <s v="Pallets"/>
    <s v="Packing Material"/>
    <s v="Pine Wooden Pallet Design Code QP90110"/>
    <n v="100"/>
    <n v="76500"/>
    <s v="Pine Wooden Pallet Design Code QP90110"/>
    <n v="0"/>
    <n v="2.5"/>
    <n v="1912.5"/>
    <n v="2.5"/>
    <n v="1912.5"/>
    <n v="0"/>
    <n v="0"/>
    <n v="0"/>
    <n v="3825"/>
    <n v="0"/>
    <s v="24AIEPG9602Q1ZZ"/>
    <s v="Pcs"/>
    <n v="44152000"/>
    <s v="Rs."/>
    <n v="1"/>
    <n v="0"/>
  </r>
  <r>
    <s v="17-07-2026"/>
    <s v="Shree Salareshwar Wood Packers Private Limited."/>
    <s v="Purchase"/>
    <s v="GNPK 66"/>
    <x v="3"/>
    <s v="SS/SL/26-27/211"/>
    <s v="15-07-2026"/>
    <s v="Packing Material"/>
    <s v="Pallets"/>
    <s v="Pallets"/>
    <s v="Packing Material"/>
    <s v="Pine Wooden Pallet Design Code QP90110"/>
    <n v="70"/>
    <n v="47670"/>
    <s v="Pine Wooden Pallet Design Code QP90110"/>
    <n v="50053.5"/>
    <n v="2.5"/>
    <n v="1191.75"/>
    <n v="2.5"/>
    <n v="1191.75"/>
    <n v="0"/>
    <n v="0"/>
    <n v="0"/>
    <n v="2383.5"/>
    <n v="0"/>
    <s v="24ABLCS6579H1ZR"/>
    <s v="Pcs"/>
    <n v="44152000"/>
    <s v="Rs."/>
    <n v="1"/>
    <n v="0"/>
  </r>
  <r>
    <s v="17-07-2026"/>
    <s v="Shree Salareshwar Wood Packers Private Limited."/>
    <s v="Purchase"/>
    <s v="GNPK 67"/>
    <x v="3"/>
    <s v="SS/SL/26-27/214"/>
    <s v="16-07-2026"/>
    <s v="Packing Material"/>
    <s v="Pallets"/>
    <s v="Packing Material"/>
    <s v="Packing Material"/>
    <s v="Wooden Pallet Flate Size 85X105Cm"/>
    <n v="200"/>
    <n v="102800"/>
    <s v="Wooden Pallet Flate Size 85X105Cm"/>
    <n v="107940"/>
    <n v="2.5"/>
    <n v="2570"/>
    <n v="2.5"/>
    <n v="2570"/>
    <n v="0"/>
    <n v="0"/>
    <n v="0"/>
    <n v="5140"/>
    <n v="0"/>
    <s v="24ABLCS6579H1ZR"/>
    <s v="Pcs"/>
    <n v="44152000"/>
    <s v="Rs."/>
    <n v="1"/>
    <n v="0"/>
  </r>
  <r>
    <s v="18-07-2026"/>
    <s v="Accurate Rub Tech"/>
    <s v="General Purchase"/>
    <s v="GNSP 122"/>
    <x v="0"/>
    <n v="276"/>
    <d v="2026-09-07T00:00:00"/>
    <s v="Stores/Spares"/>
    <s v="Printing Machine Spares"/>
    <s v="Spares &amp; Stores"/>
    <s v="Stores &amp; Consumables"/>
    <s v="Anilox Roll Total Length- 1750 mm  Coating Length-1375 mm Final Dia-148 mm (Manual Printing Machine)"/>
    <n v="2"/>
    <n v="39900"/>
    <s v="Anilox Roll Total Length- 1750 mm  Coating Length-1375 mm Final Dia-148 mm (Manual Printing Machine)"/>
    <n v="47082"/>
    <n v="9"/>
    <n v="3591"/>
    <n v="9"/>
    <n v="3591"/>
    <n v="0"/>
    <n v="0"/>
    <n v="0"/>
    <n v="7182"/>
    <n v="0"/>
    <s v="24ABNFA9143N1ZY"/>
    <s v="Pcs"/>
    <n v="84439100"/>
    <s v="Rs."/>
    <n v="1"/>
    <n v="0"/>
  </r>
  <r>
    <s v="18-07-2026"/>
    <s v="Agarwal Enterprise"/>
    <s v="General Purchase"/>
    <s v="GNCN 276"/>
    <x v="0"/>
    <n v="26270975"/>
    <d v="2026-11-07T00:00:00"/>
    <s v="Consumables"/>
    <s v="Oil &amp; Greases"/>
    <s v="Spares &amp; Stores"/>
    <s v="Stores &amp; Consumables"/>
    <s v="Oil 20W/40"/>
    <n v="420"/>
    <n v="59640"/>
    <s v="Oil 20W/40"/>
    <n v="70375"/>
    <n v="9"/>
    <n v="5367.6"/>
    <n v="9"/>
    <n v="5367.6"/>
    <n v="0"/>
    <n v="0"/>
    <n v="0"/>
    <n v="10735.2"/>
    <n v="0"/>
    <s v="24AGGPA8759C1ZL"/>
    <s v="LTR"/>
    <n v="27109900"/>
    <s v="Rs."/>
    <n v="1"/>
    <n v="0"/>
  </r>
  <r>
    <s v="18-07-2026"/>
    <s v="Atc Plywood"/>
    <s v="General Purchase"/>
    <s v="GNSP 121"/>
    <x v="0"/>
    <n v="10190"/>
    <d v="2026-06-06T00:00:00"/>
    <s v="Stores/Spares"/>
    <s v="Hardware Items"/>
    <s v="Spares &amp; Stores"/>
    <s v="Stores &amp; Consumables"/>
    <s v="Door Closer Small"/>
    <n v="1"/>
    <n v="900"/>
    <s v="Door Closer Small"/>
    <n v="1062"/>
    <n v="9"/>
    <n v="81"/>
    <n v="9"/>
    <n v="81"/>
    <n v="0"/>
    <n v="0"/>
    <n v="0"/>
    <n v="162"/>
    <n v="0"/>
    <s v="24AJPPJ4557R1ZD"/>
    <s v="Pcs"/>
    <n v="83024110"/>
    <s v="Rs."/>
    <n v="1"/>
    <n v="0"/>
  </r>
  <r>
    <s v="18-07-2026"/>
    <s v="Bhagwati  Impex"/>
    <s v="Purchase"/>
    <s v="GNPK 70"/>
    <x v="3"/>
    <s v="BI/26-27/063"/>
    <s v="14-07-2026"/>
    <s v="Packing Material"/>
    <s v="Pallets"/>
    <s v="Pallets"/>
    <s v="Packing Material"/>
    <s v="Pine Wooden Pallet Design Code STD90110"/>
    <n v="200"/>
    <n v="155000"/>
    <s v="Pine Wooden Pallet Design Code STD90110"/>
    <n v="162750"/>
    <n v="2.5"/>
    <n v="3875"/>
    <n v="2.5"/>
    <n v="3875"/>
    <n v="0"/>
    <n v="0"/>
    <n v="0"/>
    <n v="7750"/>
    <n v="0"/>
    <s v="24AXVPT0296P1ZD"/>
    <s v="Pcs"/>
    <n v="44152000"/>
    <s v="Rs."/>
    <n v="1"/>
    <n v="0"/>
  </r>
  <r>
    <s v="18-07-2026"/>
    <s v="Galaxy Enterprise"/>
    <s v="General Purchase"/>
    <s v="GNCN 275"/>
    <x v="0"/>
    <s v="GE-154"/>
    <d v="2026-08-07T00:00:00"/>
    <s v="RM Consumables"/>
    <s v="FIBC Accessories"/>
    <s v="Spares &amp; Stores"/>
    <s v="Stores &amp; Consumables"/>
    <s v="B-Lock Natural Colour"/>
    <n v="9000"/>
    <n v="24300"/>
    <s v="B-Lock Natural Colour"/>
    <n v="29264"/>
    <n v="9"/>
    <n v="2187"/>
    <n v="9"/>
    <n v="2187"/>
    <n v="0"/>
    <n v="0"/>
    <n v="90"/>
    <n v="4464"/>
    <n v="0"/>
    <s v="24AAVFG3033A1ZS"/>
    <s v="Pcs"/>
    <n v="39235090"/>
    <s v="Rs."/>
    <n v="1"/>
    <n v="9000"/>
  </r>
  <r>
    <s v="18-07-2026"/>
    <s v="Kabra Electricals"/>
    <s v="General Purchase"/>
    <s v="GNSP 123"/>
    <x v="0"/>
    <s v="GST/373"/>
    <d v="2026-09-07T00:00:00"/>
    <s v="Stores/Spares"/>
    <s v="Contactor"/>
    <s v="Spares &amp; Stores"/>
    <s v="Stores &amp; Consumables"/>
    <s v="Contactor LC1D09 25 A Coil -24 V.Ac"/>
    <n v="8"/>
    <n v="12200"/>
    <s v="Contactor LC1D09 25 A Coil -24 V.Ac"/>
    <n v="30267"/>
    <n v="9"/>
    <n v="1098"/>
    <n v="9"/>
    <n v="1098"/>
    <n v="0"/>
    <n v="0"/>
    <n v="45"/>
    <n v="2241"/>
    <n v="0"/>
    <s v="24ANLPK2335A1ZJ"/>
    <s v="Pcs"/>
    <n v="853620"/>
    <s v="Rs."/>
    <n v="1"/>
    <n v="0"/>
  </r>
  <r>
    <s v="18-07-2026"/>
    <s v="Kabra Electricals"/>
    <s v="General Purchase"/>
    <s v="GNSP 123"/>
    <x v="0"/>
    <s v="GST/373"/>
    <d v="2026-09-07T00:00:00"/>
    <s v="Stores/Spares"/>
    <s v="Contactor"/>
    <s v="Spares &amp; Stores"/>
    <s v="Stores &amp; Consumables"/>
    <s v="Contactor LC1D09 40 A Coil -220 V.Ac"/>
    <n v="3"/>
    <n v="13200"/>
    <s v="Contactor LC1D09 40 A Coil -220 V.Ac"/>
    <n v="0"/>
    <n v="9"/>
    <n v="1188"/>
    <n v="9"/>
    <n v="1188"/>
    <n v="0"/>
    <n v="0"/>
    <n v="45"/>
    <n v="2421"/>
    <n v="0"/>
    <s v="24ANLPK2335A1ZJ"/>
    <s v="Pcs"/>
    <n v="8536491"/>
    <s v="Rs."/>
    <n v="1"/>
    <n v="0"/>
  </r>
  <r>
    <s v="18-07-2026"/>
    <s v="M B And Sons- Supplier"/>
    <s v="R.M.P."/>
    <s v="RM 407"/>
    <x v="1"/>
    <n v="441"/>
    <s v="15-07-2026"/>
    <s v="SF"/>
    <s v="Jute Fabric"/>
    <s v="Spares &amp; Stores"/>
    <s v="Stores &amp; Consumables"/>
    <s v="Jute Fabric"/>
    <n v="2000"/>
    <n v="69000"/>
    <s v="Jute Fabric"/>
    <n v="74550"/>
    <n v="2.5"/>
    <n v="1725"/>
    <n v="2.5"/>
    <n v="1725"/>
    <n v="0"/>
    <n v="0"/>
    <n v="100"/>
    <n v="3550"/>
    <n v="0"/>
    <s v="24AZSPS3924Q1ZE"/>
    <s v="Yard"/>
    <n v="531010"/>
    <s v="Rs."/>
    <n v="1"/>
    <n v="2000"/>
  </r>
  <r>
    <s v="18-07-2026"/>
    <s v="Plastene India ltd - Unit 1-Purchase"/>
    <s v="General Purchase"/>
    <s v="GNCN 277"/>
    <x v="0"/>
    <s v="PIL1/D/1100"/>
    <s v="18-07-2026"/>
    <s v="Stores/Spares"/>
    <s v="MS Structure Items"/>
    <s v="Spares &amp; Stores"/>
    <s v="Stores &amp; Consumables"/>
    <s v="MS Pipe 4  C Class"/>
    <n v="376"/>
    <n v="18048"/>
    <s v="MS Pipe 4  C Class"/>
    <n v="21278.59"/>
    <n v="9"/>
    <n v="1624.32"/>
    <n v="9"/>
    <n v="1624.32"/>
    <n v="0"/>
    <n v="0"/>
    <n v="0"/>
    <n v="3248.64"/>
    <n v="0"/>
    <s v="24AAACO3087C1ZT"/>
    <s v="Kgs"/>
    <n v="73063090"/>
    <s v="Rs."/>
    <n v="1"/>
    <n v="0"/>
  </r>
  <r>
    <s v="18-07-2026"/>
    <s v="Plastene India ltd - Unit 1-Purchase"/>
    <s v="R.M.P."/>
    <s v="RM 408"/>
    <x v="1"/>
    <s v="PIL1/D/1098"/>
    <s v="18-07-2026"/>
    <s v="SF"/>
    <s v="PP/PE Fabric"/>
    <s v="PP UL Fabric"/>
    <s v="PP Woven Fabric"/>
    <s v="PP UL Fabric With UV"/>
    <n v="6039"/>
    <n v="872575.11"/>
    <s v="PP UL Fabric With UV"/>
    <n v="1373748.59"/>
    <n v="9"/>
    <n v="78531.759999999995"/>
    <n v="9"/>
    <n v="78531.759999999995"/>
    <n v="0"/>
    <n v="0"/>
    <n v="0"/>
    <n v="157063.51999999999"/>
    <n v="0"/>
    <s v="24AAACO3087C1ZT"/>
    <s v="Kgs"/>
    <n v="39269080"/>
    <s v="Rs."/>
    <n v="1"/>
    <n v="0"/>
  </r>
  <r>
    <s v="18-07-2026"/>
    <s v="Plastene India ltd - Unit 1-Purchase"/>
    <s v="R.M.P."/>
    <s v="RM 408"/>
    <x v="1"/>
    <s v="PIL1/D/1098"/>
    <s v="18-07-2026"/>
    <s v="SF"/>
    <s v="PP/PE Fabric"/>
    <s v="PP UL Fabric"/>
    <s v="PP Woven Fabric"/>
    <s v="PP UL Fabric With UV"/>
    <n v="505"/>
    <n v="74482.45"/>
    <s v="PP UL Fabric With UV"/>
    <n v="0"/>
    <n v="9"/>
    <n v="6703.42"/>
    <n v="9"/>
    <n v="6703.42"/>
    <n v="0"/>
    <n v="0"/>
    <n v="0"/>
    <n v="13406.84"/>
    <n v="0"/>
    <s v="24AAACO3087C1ZT"/>
    <s v="Kgs"/>
    <n v="39269080"/>
    <s v="Rs."/>
    <n v="1"/>
    <n v="0"/>
  </r>
  <r>
    <s v="18-07-2026"/>
    <s v="Plastene India ltd - Unit 1-Purchase"/>
    <s v="R.M.P."/>
    <s v="RM 408"/>
    <x v="1"/>
    <s v="PIL1/D/1098"/>
    <s v="18-07-2026"/>
    <s v="SF"/>
    <s v="PP/PE Fabric"/>
    <s v="PP UL Fabric"/>
    <s v="PP Woven Fabric"/>
    <s v="PP UL Fabric With UV"/>
    <n v="1489"/>
    <n v="218123.61"/>
    <s v="PP UL Fabric With UV"/>
    <n v="0"/>
    <n v="9"/>
    <n v="19631.12"/>
    <n v="9"/>
    <n v="19631.12"/>
    <n v="0"/>
    <n v="0"/>
    <n v="0"/>
    <n v="39262.239999999998"/>
    <n v="0"/>
    <s v="24AAACO3087C1ZT"/>
    <s v="Kgs"/>
    <n v="39269080"/>
    <s v="Rs."/>
    <n v="1"/>
    <n v="0"/>
  </r>
  <r>
    <s v="18-07-2026"/>
    <s v="Plastene India ltd - Unit 1-Purchase"/>
    <s v="R.M.P."/>
    <s v="RM 409"/>
    <x v="1"/>
    <s v="PIL1/D/1105"/>
    <s v="18-07-2026"/>
    <s v="SF"/>
    <s v="PP/PE Fabric"/>
    <s v="PP UL Fabric"/>
    <s v="PP Woven Fabric"/>
    <s v="PP UL Fabric With UV"/>
    <n v="424"/>
    <n v="61263.76"/>
    <s v="PP UL Fabric With UV"/>
    <n v="171669.57"/>
    <n v="9"/>
    <n v="5513.74"/>
    <n v="9"/>
    <n v="5513.74"/>
    <n v="0"/>
    <n v="0"/>
    <n v="0"/>
    <n v="11027.48"/>
    <n v="0"/>
    <s v="24AAACO3087C1ZT"/>
    <s v="Kgs"/>
    <n v="39269080"/>
    <s v="Rs."/>
    <n v="1"/>
    <n v="0"/>
  </r>
  <r>
    <s v="18-07-2026"/>
    <s v="Plastene India ltd - Unit 1-Purchase"/>
    <s v="R.M.P."/>
    <s v="RM 409"/>
    <x v="1"/>
    <s v="PIL1/D/1105"/>
    <s v="18-07-2026"/>
    <s v="SF"/>
    <s v="PP/PE Fabric"/>
    <s v="PP Lam Fabric"/>
    <s v="PP Laminated Woven Fabric"/>
    <s v="PP Lam Fabric With UV"/>
    <n v="568"/>
    <n v="84342.32"/>
    <s v="PP Lam Fabric With UV"/>
    <n v="0"/>
    <n v="9"/>
    <n v="7590.81"/>
    <n v="9"/>
    <n v="7590.81"/>
    <n v="0"/>
    <n v="0"/>
    <n v="0"/>
    <n v="15181.62"/>
    <n v="0"/>
    <s v="24AAACO3087C1ZT"/>
    <s v="Kgs"/>
    <n v="63053300"/>
    <s v="Rs."/>
    <n v="1"/>
    <n v="0"/>
  </r>
  <r>
    <s v="18-07-2026"/>
    <s v="Plastene India ltd - Unit 1-Purchase"/>
    <s v="R.M.P."/>
    <s v="RM 410"/>
    <x v="1"/>
    <s v="PIL1/D/1107"/>
    <s v="18-07-2026"/>
    <s v="SF"/>
    <s v="PP/PE Fabric"/>
    <s v="PP Lam Fabric"/>
    <s v="PP Laminated Woven Fabric"/>
    <s v="PP Lam Fabric With UV"/>
    <n v="659"/>
    <n v="97854.91"/>
    <s v="PP Lam Fabric With UV"/>
    <n v="115370.94"/>
    <n v="9"/>
    <n v="8806.94"/>
    <n v="9"/>
    <n v="8806.94"/>
    <n v="0"/>
    <n v="0"/>
    <n v="0"/>
    <n v="17613.88"/>
    <n v="0"/>
    <s v="24AAACO3087C1ZT"/>
    <s v="Kgs"/>
    <n v="63053300"/>
    <s v="Rs."/>
    <n v="1"/>
    <n v="0"/>
  </r>
  <r>
    <s v="18-07-2026"/>
    <s v="Plastene India ltd - Unit 1-Purchase"/>
    <s v="R.M.P."/>
    <s v="RM 411"/>
    <x v="1"/>
    <s v="PIL1/D/1096"/>
    <s v="18-07-2026"/>
    <s v="SF"/>
    <s v="PP/PE Fabric"/>
    <s v="PP UL Fabric"/>
    <s v="PP Woven Fabric"/>
    <s v="PP UL Fabric With UV"/>
    <n v="2216"/>
    <n v="324621.84000000003"/>
    <s v="PP UL Fabric With UV"/>
    <n v="456958.71999999997"/>
    <n v="9"/>
    <n v="29215.97"/>
    <n v="9"/>
    <n v="29215.97"/>
    <n v="0"/>
    <n v="0"/>
    <n v="0"/>
    <n v="58431.94"/>
    <n v="0"/>
    <s v="24AAACO3087C1ZT"/>
    <s v="Kgs"/>
    <n v="39269080"/>
    <s v="Rs."/>
    <n v="1"/>
    <n v="0"/>
  </r>
  <r>
    <s v="18-07-2026"/>
    <s v="Plastene India ltd - Unit 1-Purchase"/>
    <s v="R.M.P."/>
    <s v="RM 411"/>
    <x v="1"/>
    <s v="PIL1/D/1096"/>
    <s v="18-07-2026"/>
    <s v="SF"/>
    <s v="PP/PE Fabric"/>
    <s v="PP Lam Fabric"/>
    <s v="PP Laminated Woven Fabric"/>
    <s v="PP Lam Fabric With UV"/>
    <n v="424"/>
    <n v="62959.76"/>
    <s v="PP Lam Fabric With UV"/>
    <n v="0"/>
    <n v="9"/>
    <n v="5666.38"/>
    <n v="9"/>
    <n v="5666.38"/>
    <n v="0"/>
    <n v="0"/>
    <n v="0"/>
    <n v="11332.76"/>
    <n v="0"/>
    <s v="24AAACO3087C1ZT"/>
    <s v="Kgs"/>
    <n v="63053300"/>
    <s v="Rs."/>
    <n v="1"/>
    <n v="0"/>
  </r>
  <r>
    <s v="18-07-2026"/>
    <s v="Plastene India ltd - Unit 1-Purchase"/>
    <s v="R.M.P."/>
    <s v="RM 412"/>
    <x v="1"/>
    <s v="PIL1/D/1101"/>
    <s v="18-07-2026"/>
    <s v="SF"/>
    <s v="Liners"/>
    <s v="LDPE/LLDPE Bags"/>
    <s v="LLDPE Bags"/>
    <s v="LDPE/LLDPE Bags/Liner"/>
    <n v="1415"/>
    <n v="264293.7"/>
    <s v="LDPE/LLDPE Bags/Liner"/>
    <n v="1058204.8"/>
    <n v="9"/>
    <n v="23786.43"/>
    <n v="9"/>
    <n v="23786.43"/>
    <n v="0"/>
    <n v="0"/>
    <n v="0"/>
    <n v="47572.86"/>
    <n v="0"/>
    <s v="24AAACO3087C1ZT"/>
    <s v="Kgs"/>
    <n v="39200000"/>
    <s v="Rs."/>
    <n v="1"/>
    <n v="0"/>
  </r>
  <r>
    <s v="18-07-2026"/>
    <s v="Plastene India ltd - Unit 1-Purchase"/>
    <s v="R.M.P."/>
    <s v="RM 412"/>
    <x v="1"/>
    <s v="PIL1/D/1101"/>
    <s v="18-07-2026"/>
    <s v="SF"/>
    <s v="Liners"/>
    <s v="LDPE/LLDPE Bags"/>
    <s v="LLDPE Bags"/>
    <s v="LDPE/LLDPE Bags/Liner"/>
    <n v="372"/>
    <n v="70970.16"/>
    <s v="LDPE/LLDPE Bags/Liner"/>
    <n v="0"/>
    <n v="9"/>
    <n v="6387.31"/>
    <n v="9"/>
    <n v="6387.31"/>
    <n v="0"/>
    <n v="0"/>
    <n v="0"/>
    <n v="12774.62"/>
    <n v="0"/>
    <s v="24AAACO3087C1ZT"/>
    <s v="Kgs"/>
    <n v="39200000"/>
    <s v="Rs."/>
    <n v="1"/>
    <n v="0"/>
  </r>
  <r>
    <s v="18-07-2026"/>
    <s v="Plastene India ltd - Unit 1-Purchase"/>
    <s v="R.M.P."/>
    <s v="RM 412"/>
    <x v="1"/>
    <s v="PIL1/D/1101"/>
    <s v="18-07-2026"/>
    <s v="SF"/>
    <s v="Webbing"/>
    <s v="PP Webbing"/>
    <s v="PP Webbing"/>
    <s v="Webbing"/>
    <n v="71"/>
    <n v="12104.79"/>
    <s v="Webbing"/>
    <n v="0"/>
    <n v="9"/>
    <n v="1089.43"/>
    <n v="9"/>
    <n v="1089.43"/>
    <n v="0"/>
    <n v="0"/>
    <n v="0"/>
    <n v="2178.86"/>
    <n v="0"/>
    <s v="24AAACO3087C1ZT"/>
    <s v="Kgs"/>
    <n v="3926908"/>
    <s v="Rs."/>
    <n v="1"/>
    <n v="0"/>
  </r>
  <r>
    <s v="18-07-2026"/>
    <s v="Plastene India ltd - Unit 1-Purchase"/>
    <s v="R.M.P."/>
    <s v="RM 412"/>
    <x v="1"/>
    <s v="PIL1/D/1101"/>
    <s v="18-07-2026"/>
    <s v="SF"/>
    <s v="Webbing"/>
    <s v="PP Webbing"/>
    <s v="PP Webbing"/>
    <s v="Webbing"/>
    <n v="430.7"/>
    <n v="64385.34"/>
    <s v="Webbing"/>
    <n v="0"/>
    <n v="9"/>
    <n v="5794.68"/>
    <n v="9"/>
    <n v="5794.68"/>
    <n v="0"/>
    <n v="0"/>
    <n v="0"/>
    <n v="11589.36"/>
    <n v="0"/>
    <s v="24AAACO3087C1ZT"/>
    <s v="Kgs"/>
    <n v="3926908"/>
    <s v="Rs."/>
    <n v="1"/>
    <n v="0"/>
  </r>
  <r>
    <s v="18-07-2026"/>
    <s v="Plastene India ltd - Unit 1-Purchase"/>
    <s v="R.M.P."/>
    <s v="RM 412"/>
    <x v="1"/>
    <s v="PIL1/D/1101"/>
    <s v="18-07-2026"/>
    <s v="SF"/>
    <s v="Webbing"/>
    <s v="PP Webbing"/>
    <s v="PP Webbing"/>
    <s v="Webbing"/>
    <n v="425.6"/>
    <n v="62346.14"/>
    <s v="Webbing"/>
    <n v="0"/>
    <n v="9"/>
    <n v="5611.15"/>
    <n v="9"/>
    <n v="5611.15"/>
    <n v="0"/>
    <n v="0"/>
    <n v="0"/>
    <n v="11222.3"/>
    <n v="0"/>
    <s v="24AAACO3087C1ZT"/>
    <s v="Kgs"/>
    <n v="3926908"/>
    <s v="Rs."/>
    <n v="1"/>
    <n v="0"/>
  </r>
  <r>
    <s v="18-07-2026"/>
    <s v="Plastene India ltd - Unit 1-Purchase"/>
    <s v="R.M.P."/>
    <s v="RM 412"/>
    <x v="1"/>
    <s v="PIL1/D/1101"/>
    <s v="18-07-2026"/>
    <s v="SF"/>
    <s v="Yarn All"/>
    <s v="PP Yarn"/>
    <s v="PP Filament Yarn"/>
    <s v="PP MF Yarn Twisted 3000 Denier UV NW"/>
    <n v="805"/>
    <n v="125974.45"/>
    <s v="PP MF Yarn Twisted 3000 Denier UV NW"/>
    <n v="0"/>
    <n v="2.5"/>
    <n v="3149.36"/>
    <n v="2.5"/>
    <n v="3149.36"/>
    <n v="0"/>
    <n v="0"/>
    <n v="0"/>
    <n v="6298.72"/>
    <n v="0"/>
    <s v="24AAACO3087C1ZT"/>
    <s v="Kgs"/>
    <n v="540263"/>
    <s v="Rs."/>
    <n v="1"/>
    <n v="0"/>
  </r>
  <r>
    <s v="18-07-2026"/>
    <s v="Plastene India ltd - Unit 1-Purchase"/>
    <s v="R.M.P."/>
    <s v="RM 412"/>
    <x v="1"/>
    <s v="PIL1/D/1101"/>
    <s v="18-07-2026"/>
    <s v="SF"/>
    <s v="Yarn All"/>
    <s v="PP Yarn"/>
    <s v="PP Filament Yarn"/>
    <s v="PP MF Yarn Twisted 3000 Denier UV Deep Blue"/>
    <n v="291.10000000000002"/>
    <n v="46427.54"/>
    <s v="PP MF Yarn Twisted 3000 Denier UV Deep Blue"/>
    <n v="0"/>
    <n v="2.5"/>
    <n v="1160.69"/>
    <n v="2.5"/>
    <n v="1160.69"/>
    <n v="0"/>
    <n v="0"/>
    <n v="0"/>
    <n v="2321.38"/>
    <n v="0"/>
    <s v="24AAACO3087C1ZT"/>
    <s v="Kgs"/>
    <n v="54026930"/>
    <s v="Rs."/>
    <n v="1"/>
    <n v="0"/>
  </r>
  <r>
    <s v="18-07-2026"/>
    <s v="Plastene India ltd - Unit 1-Purchase"/>
    <s v="R.M.P."/>
    <s v="RM 412"/>
    <x v="1"/>
    <s v="PIL1/D/1101"/>
    <s v="18-07-2026"/>
    <s v="SF"/>
    <s v="PP/PE Fabric"/>
    <s v="PP UL Fabric"/>
    <s v="PP Woven Fabric"/>
    <s v="PP UL Fabric With UV"/>
    <n v="1869"/>
    <n v="270051.81"/>
    <s v="PP UL Fabric With UV"/>
    <n v="0"/>
    <n v="9"/>
    <n v="24304.66"/>
    <n v="9"/>
    <n v="24304.66"/>
    <n v="0"/>
    <n v="0"/>
    <n v="0"/>
    <n v="48609.32"/>
    <n v="0"/>
    <s v="24AAACO3087C1ZT"/>
    <s v="Kgs"/>
    <n v="39269080"/>
    <s v="Rs."/>
    <n v="1"/>
    <n v="0"/>
  </r>
  <r>
    <s v="18-07-2026"/>
    <s v="Shree Salareshwar Wood Packers Private Limited."/>
    <s v="Purchase"/>
    <s v="GNPK 69"/>
    <x v="3"/>
    <s v="SS/SL/26-27/203"/>
    <d v="2026-11-07T00:00:00"/>
    <s v="Packing Material"/>
    <s v="Pallets"/>
    <s v="Pallets"/>
    <s v="Packing Material"/>
    <s v="Pine Wooden Pallet Design Code QP90110"/>
    <n v="70"/>
    <n v="47670"/>
    <s v="Pine Wooden Pallet Design Code QP90110"/>
    <n v="50053.5"/>
    <n v="2.5"/>
    <n v="1191.75"/>
    <n v="2.5"/>
    <n v="1191.75"/>
    <n v="0"/>
    <n v="0"/>
    <n v="0"/>
    <n v="2383.5"/>
    <n v="0"/>
    <s v="24ABLCS6579H1ZR"/>
    <s v="Pcs"/>
    <n v="44152000"/>
    <s v="Rs."/>
    <n v="1"/>
    <n v="0"/>
  </r>
  <r>
    <s v="19-07-2026"/>
    <s v="Gayatri Petroleums"/>
    <s v="General Purchase"/>
    <s v="GNCN 279"/>
    <x v="0"/>
    <s v="GP/26-27/71552"/>
    <s v="13-07-2026"/>
    <s v="Consumables"/>
    <s v="Oil &amp; Greases"/>
    <s v="Spares &amp; Stores"/>
    <s v="Stores &amp; Consumables"/>
    <s v="Diesel"/>
    <n v="400"/>
    <n v="39116"/>
    <s v="Diesel"/>
    <n v="39116"/>
    <n v="0"/>
    <n v="0"/>
    <n v="0"/>
    <n v="0"/>
    <n v="0"/>
    <n v="0"/>
    <n v="0"/>
    <n v="0"/>
    <n v="0"/>
    <s v="24ABJPV0976A1ZO"/>
    <s v="LTR"/>
    <n v="27101930"/>
    <s v="Rs."/>
    <n v="1"/>
    <n v="0"/>
  </r>
  <r>
    <s v="19-07-2026"/>
    <s v="Gayatri Petroleums"/>
    <s v="General Purchase"/>
    <s v="GNCN 280"/>
    <x v="0"/>
    <s v="GP/26-27/71553"/>
    <s v="13-07-2026"/>
    <s v="Consumables"/>
    <s v="Oil &amp; Greases"/>
    <s v="Spares &amp; Stores"/>
    <s v="Stores &amp; Consumables"/>
    <s v="Diesel"/>
    <n v="200"/>
    <n v="19558"/>
    <s v="Diesel"/>
    <n v="19558"/>
    <n v="0"/>
    <n v="0"/>
    <n v="0"/>
    <n v="0"/>
    <n v="0"/>
    <n v="0"/>
    <n v="0"/>
    <n v="0"/>
    <n v="0"/>
    <s v="24ABJPV0976A1ZO"/>
    <s v="LTR"/>
    <n v="27101930"/>
    <s v="Rs."/>
    <n v="1"/>
    <n v="0"/>
  </r>
  <r>
    <s v="19-07-2026"/>
    <s v="Plastene India ltd - Unit 1-Purchase"/>
    <s v="General Purchase"/>
    <s v="GNCN 278"/>
    <x v="0"/>
    <s v="PIL1/D/1112"/>
    <s v="19-07-2026"/>
    <s v="Stores/Spares"/>
    <s v="MS Structure Items"/>
    <s v="Spares &amp; Stores"/>
    <s v="Stores &amp; Consumables"/>
    <s v="MS Pipe 4  C Class"/>
    <n v="345"/>
    <n v="16560"/>
    <s v="MS Pipe 4  C Class"/>
    <n v="19524.240000000002"/>
    <n v="9"/>
    <n v="1490.4"/>
    <n v="9"/>
    <n v="1490.4"/>
    <n v="0"/>
    <n v="0"/>
    <n v="0"/>
    <n v="2980.8"/>
    <n v="0"/>
    <s v="24AAACO3087C1ZT"/>
    <s v="Kgs"/>
    <n v="73063090"/>
    <s v="Rs."/>
    <n v="1"/>
    <n v="0"/>
  </r>
  <r>
    <s v="19-07-2026"/>
    <s v="Plastene India ltd - Unit 1-Purchase"/>
    <s v="R.M.P."/>
    <s v="RM 414"/>
    <x v="1"/>
    <s v="PIL1/D/1113"/>
    <s v="19-07-2026"/>
    <s v="SF"/>
    <s v="Liners"/>
    <s v="LDPE/LLDPE Bags"/>
    <s v="LLDPE Bags"/>
    <s v="LDPE/LLDPE Bags/Liner"/>
    <n v="1871"/>
    <n v="341981.38"/>
    <s v="LDPE/LLDPE Bags/Liner"/>
    <n v="1477845.07"/>
    <n v="9"/>
    <n v="30778.32"/>
    <n v="9"/>
    <n v="30778.32"/>
    <n v="0"/>
    <n v="0"/>
    <n v="0"/>
    <n v="61556.639999999999"/>
    <n v="0"/>
    <s v="24AAACO3087C1ZT"/>
    <s v="Kgs"/>
    <n v="39200000"/>
    <s v="Rs."/>
    <n v="1"/>
    <n v="0"/>
  </r>
  <r>
    <s v="19-07-2026"/>
    <s v="Plastene India ltd - Unit 1-Purchase"/>
    <s v="R.M.P."/>
    <s v="RM 414"/>
    <x v="1"/>
    <s v="PIL1/D/1113"/>
    <s v="19-07-2026"/>
    <s v="SF"/>
    <s v="Liners"/>
    <s v="LDPE/LLDPE Bags"/>
    <s v="LLDPE Bags"/>
    <s v="LDPE/LLDPE Bags/Liner"/>
    <n v="2517"/>
    <n v="470125.26"/>
    <s v="LDPE/LLDPE Bags/Liner"/>
    <n v="0"/>
    <n v="9"/>
    <n v="42311.27"/>
    <n v="9"/>
    <n v="42311.27"/>
    <n v="0"/>
    <n v="0"/>
    <n v="0"/>
    <n v="84622.54"/>
    <n v="0"/>
    <s v="24AAACO3087C1ZT"/>
    <s v="Kgs"/>
    <n v="39200000"/>
    <s v="Rs."/>
    <n v="1"/>
    <n v="0"/>
  </r>
  <r>
    <s v="19-07-2026"/>
    <s v="Plastene India ltd - Unit 1-Purchase"/>
    <s v="R.M.P."/>
    <s v="RM 414"/>
    <x v="1"/>
    <s v="PIL1/D/1113"/>
    <s v="19-07-2026"/>
    <s v="SF"/>
    <s v="Liners"/>
    <s v="LDPE/LLDPE Bags"/>
    <s v="LLDPE Bags"/>
    <s v="LDPE/LLDPE Bags/Liner"/>
    <n v="425"/>
    <n v="81081.5"/>
    <s v="LDPE/LLDPE Bags/Liner"/>
    <n v="0"/>
    <n v="9"/>
    <n v="7297.34"/>
    <n v="9"/>
    <n v="7297.34"/>
    <n v="0"/>
    <n v="0"/>
    <n v="0"/>
    <n v="14594.68"/>
    <n v="0"/>
    <s v="24AAACO3087C1ZT"/>
    <s v="Kgs"/>
    <n v="39200000"/>
    <s v="Rs."/>
    <n v="1"/>
    <n v="0"/>
  </r>
  <r>
    <s v="19-07-2026"/>
    <s v="Plastene India ltd - Unit 1-Purchase"/>
    <s v="R.M.P."/>
    <s v="RM 414"/>
    <x v="1"/>
    <s v="PIL1/D/1113"/>
    <s v="19-07-2026"/>
    <s v="SF"/>
    <s v="PP/PE Fabric"/>
    <s v="PP UL Fabric"/>
    <s v="PP Woven Fabric"/>
    <s v="PP UL Fabric With UV"/>
    <n v="253"/>
    <n v="37061.97"/>
    <s v="PP UL Fabric With UV"/>
    <n v="0"/>
    <n v="9"/>
    <n v="3335.58"/>
    <n v="9"/>
    <n v="3335.58"/>
    <n v="0"/>
    <n v="0"/>
    <n v="0"/>
    <n v="6671.16"/>
    <n v="0"/>
    <s v="24AAACO3087C1ZT"/>
    <s v="Kgs"/>
    <n v="39269080"/>
    <s v="Rs."/>
    <n v="1"/>
    <n v="0"/>
  </r>
  <r>
    <s v="19-07-2026"/>
    <s v="Plastene India ltd - Unit 1-Purchase"/>
    <s v="R.M.P."/>
    <s v="RM 414"/>
    <x v="1"/>
    <s v="PIL1/D/1113"/>
    <s v="19-07-2026"/>
    <s v="SF"/>
    <s v="PP/PE Fabric"/>
    <s v="PP UL Fabric"/>
    <s v="PP Woven Fabric"/>
    <s v="PP UL Fabric With UV"/>
    <n v="1866"/>
    <n v="269618.34000000003"/>
    <s v="PP UL Fabric With UV"/>
    <n v="0"/>
    <n v="9"/>
    <n v="24265.65"/>
    <n v="9"/>
    <n v="24265.65"/>
    <n v="0"/>
    <n v="0"/>
    <n v="0"/>
    <n v="48531.3"/>
    <n v="0"/>
    <s v="24AAACO3087C1ZT"/>
    <s v="Kgs"/>
    <n v="39269080"/>
    <s v="Rs."/>
    <n v="1"/>
    <n v="0"/>
  </r>
  <r>
    <s v="19-07-2026"/>
    <s v="Plastene India ltd - Unit 1-Purchase"/>
    <s v="R.M.P."/>
    <s v="RM 414"/>
    <x v="1"/>
    <s v="PIL1/D/1113"/>
    <s v="19-07-2026"/>
    <s v="SF"/>
    <s v="PP/PE Fabric"/>
    <s v="PP Lam Fabric"/>
    <s v="PP Laminated Woven Fabric"/>
    <s v="PP Lam Fabric With UV"/>
    <n v="361"/>
    <n v="53604.89"/>
    <s v="PP Lam Fabric With UV"/>
    <n v="0"/>
    <n v="9"/>
    <n v="4824.4399999999996"/>
    <n v="9"/>
    <n v="4824.4399999999996"/>
    <n v="0"/>
    <n v="0"/>
    <n v="0"/>
    <n v="9648.8799999999992"/>
    <n v="0"/>
    <s v="24AAACO3087C1ZT"/>
    <s v="Kgs"/>
    <n v="63053300"/>
    <s v="Rs."/>
    <n v="1"/>
    <n v="0"/>
  </r>
  <r>
    <s v="19-07-2026"/>
    <s v="Plastene India ltd - Unit 1-Purchase"/>
    <s v="R.M.P."/>
    <s v="RM 415"/>
    <x v="1"/>
    <s v="PIL1/D/1111"/>
    <s v="19-07-2026"/>
    <s v="SF"/>
    <s v="PP/PE Fabric"/>
    <s v="PP UL Fabric"/>
    <s v="PP Woven Fabric"/>
    <s v="PP UL Fabric With UV"/>
    <n v="1147"/>
    <n v="168024.03"/>
    <s v="PP UL Fabric With UV"/>
    <n v="1834062.9"/>
    <n v="9"/>
    <n v="15122.16"/>
    <n v="9"/>
    <n v="15122.16"/>
    <n v="0"/>
    <n v="0"/>
    <n v="0"/>
    <n v="30244.32"/>
    <n v="0"/>
    <s v="24AAACO3087C1ZT"/>
    <s v="Kgs"/>
    <n v="39269080"/>
    <s v="Rs."/>
    <n v="1"/>
    <n v="0"/>
  </r>
  <r>
    <s v="19-07-2026"/>
    <s v="Plastene India ltd - Unit 1-Purchase"/>
    <s v="R.M.P."/>
    <s v="RM 415"/>
    <x v="1"/>
    <s v="PIL1/D/1111"/>
    <s v="19-07-2026"/>
    <s v="SF"/>
    <s v="PP/PE Fabric"/>
    <s v="PP UL Fabric"/>
    <s v="PP Woven Fabric"/>
    <s v="PP UL Fabric With UV"/>
    <n v="499"/>
    <n v="73597.509999999995"/>
    <s v="PP UL Fabric With UV"/>
    <n v="0"/>
    <n v="9"/>
    <n v="6623.78"/>
    <n v="9"/>
    <n v="6623.78"/>
    <n v="0"/>
    <n v="0"/>
    <n v="0"/>
    <n v="13247.56"/>
    <n v="0"/>
    <s v="24AAACO3087C1ZT"/>
    <s v="Kgs"/>
    <n v="39269080"/>
    <s v="Rs."/>
    <n v="1"/>
    <n v="0"/>
  </r>
  <r>
    <s v="19-07-2026"/>
    <s v="Plastene India ltd - Unit 1-Purchase"/>
    <s v="R.M.P."/>
    <s v="RM 415"/>
    <x v="1"/>
    <s v="PIL1/D/1111"/>
    <s v="19-07-2026"/>
    <s v="SF"/>
    <s v="PP/PE Fabric"/>
    <s v="PP UL Fabric"/>
    <s v="PP Woven Fabric"/>
    <s v="PP UL Fabric With UV"/>
    <n v="6933"/>
    <n v="1001749.17"/>
    <s v="PP UL Fabric With UV"/>
    <n v="0"/>
    <n v="9"/>
    <n v="90157.43"/>
    <n v="9"/>
    <n v="90157.43"/>
    <n v="0"/>
    <n v="0"/>
    <n v="0"/>
    <n v="180314.86"/>
    <n v="0"/>
    <s v="24AAACO3087C1ZT"/>
    <s v="Kgs"/>
    <n v="39269080"/>
    <s v="Rs."/>
    <n v="1"/>
    <n v="0"/>
  </r>
  <r>
    <s v="19-07-2026"/>
    <s v="Plastene India ltd - Unit 1-Purchase"/>
    <s v="R.M.P."/>
    <s v="RM 415"/>
    <x v="1"/>
    <s v="PIL1/D/1111"/>
    <s v="19-07-2026"/>
    <s v="SF"/>
    <s v="PP/PE Fabric"/>
    <s v="PP Lam Fabric"/>
    <s v="PP Laminated Woven Fabric"/>
    <s v="PP Lam Fabric With UV"/>
    <n v="1250"/>
    <n v="189362.5"/>
    <s v="PP Lam Fabric With UV"/>
    <n v="0"/>
    <n v="9"/>
    <n v="17042.62"/>
    <n v="9"/>
    <n v="17042.62"/>
    <n v="0"/>
    <n v="0"/>
    <n v="0"/>
    <n v="34085.24"/>
    <n v="0"/>
    <s v="24AAACO3087C1ZT"/>
    <s v="Kgs"/>
    <n v="63053300"/>
    <s v="Rs."/>
    <n v="1"/>
    <n v="0"/>
  </r>
  <r>
    <s v="19-07-2026"/>
    <s v="Plastene India ltd - Unit 1-Purchase"/>
    <s v="R.M.P."/>
    <s v="RM 415"/>
    <x v="1"/>
    <s v="PIL1/D/1111"/>
    <s v="19-07-2026"/>
    <s v="SF"/>
    <s v="Webbing"/>
    <s v="PP Webbing"/>
    <s v="PP Webbing"/>
    <s v="Webbing"/>
    <n v="165.9"/>
    <n v="24800.39"/>
    <s v="Webbing"/>
    <n v="0"/>
    <n v="9"/>
    <n v="2232.04"/>
    <n v="9"/>
    <n v="2232.04"/>
    <n v="0"/>
    <n v="0"/>
    <n v="0"/>
    <n v="4464.08"/>
    <n v="0"/>
    <s v="24AAACO3087C1ZT"/>
    <s v="Kgs"/>
    <n v="3926908"/>
    <s v="Rs."/>
    <n v="1"/>
    <n v="0"/>
  </r>
  <r>
    <s v="19-07-2026"/>
    <s v="Plastene India ltd - Unit 1-Purchase"/>
    <s v="R.M.P."/>
    <s v="RM 415"/>
    <x v="1"/>
    <s v="PIL1/D/1111"/>
    <s v="19-07-2026"/>
    <s v="SF"/>
    <s v="Webbing"/>
    <s v="PP Webbing"/>
    <s v="PP Webbing"/>
    <s v="Webbing"/>
    <n v="499"/>
    <n v="73098.509999999995"/>
    <s v="Webbing"/>
    <n v="0"/>
    <n v="9"/>
    <n v="6578.87"/>
    <n v="9"/>
    <n v="6578.87"/>
    <n v="0"/>
    <n v="0"/>
    <n v="0"/>
    <n v="13157.74"/>
    <n v="0"/>
    <s v="24AAACO3087C1ZT"/>
    <s v="Kgs"/>
    <n v="3926908"/>
    <s v="Rs."/>
    <n v="1"/>
    <n v="0"/>
  </r>
  <r>
    <s v="19-07-2026"/>
    <s v="Plastene India ltd - Unit 1-Purchase"/>
    <s v="R.M.P."/>
    <s v="RM 415"/>
    <x v="1"/>
    <s v="PIL1/D/1111"/>
    <s v="19-07-2026"/>
    <s v="SF"/>
    <s v="Webbing"/>
    <s v="PP Webbing"/>
    <s v="PP Webbing"/>
    <s v="Webbing"/>
    <n v="146.5"/>
    <n v="24976.79"/>
    <s v="Webbing"/>
    <n v="0"/>
    <n v="9"/>
    <n v="2247.91"/>
    <n v="9"/>
    <n v="2247.91"/>
    <n v="0"/>
    <n v="0"/>
    <n v="0"/>
    <n v="4495.82"/>
    <n v="0"/>
    <s v="24AAACO3087C1ZT"/>
    <s v="Kgs"/>
    <n v="3926908"/>
    <s v="Rs."/>
    <n v="1"/>
    <n v="0"/>
  </r>
  <r>
    <s v="19-07-2026"/>
    <s v="Plastene India ltd - Unit 2-Purchase"/>
    <s v="R.M.P."/>
    <s v="RM 413"/>
    <x v="1"/>
    <s v="PIL2/D/390"/>
    <s v="18-07-2026"/>
    <s v="FG"/>
    <s v="FIBC Bags"/>
    <s v="FIBC Bags"/>
    <s v="JUMBO BAG"/>
    <s v="FIBC Bags With UV Without Liner"/>
    <n v="1359"/>
    <n v="263292.65999999997"/>
    <s v="FIBC Bags With UV Without Liner"/>
    <n v="1064403"/>
    <n v="9"/>
    <n v="23696.34"/>
    <n v="9"/>
    <n v="23696.34"/>
    <n v="0"/>
    <n v="0"/>
    <n v="0"/>
    <n v="47392.68"/>
    <n v="0"/>
    <s v="24AAACO3087C1ZT"/>
    <s v="Kgs"/>
    <n v="63053200"/>
    <s v="Rs."/>
    <n v="1"/>
    <n v="0"/>
  </r>
  <r>
    <s v="19-07-2026"/>
    <s v="Plastene India ltd - Unit 2-Purchase"/>
    <s v="R.M.P."/>
    <s v="RM 413"/>
    <x v="1"/>
    <s v="PIL2/D/390"/>
    <s v="18-07-2026"/>
    <s v="FG"/>
    <s v="FIBC Bags"/>
    <s v="FIBC Bags"/>
    <s v="JUMBO BAG"/>
    <s v="FIBC Bags With UV Without Liner"/>
    <n v="4147"/>
    <n v="639508.87"/>
    <s v="FIBC Bags With UV Without Liner"/>
    <n v="0"/>
    <n v="9"/>
    <n v="57555.8"/>
    <n v="9"/>
    <n v="57555.8"/>
    <n v="0"/>
    <n v="0"/>
    <n v="0"/>
    <n v="115111.6"/>
    <n v="0"/>
    <s v="24AAACO3087C1ZT"/>
    <s v="Kgs"/>
    <n v="63053200"/>
    <s v="Rs."/>
    <n v="1"/>
    <n v="0"/>
  </r>
  <r>
    <s v="20-07-2026"/>
    <s v="Alpha Electricals"/>
    <s v="General Purchase"/>
    <s v="GNSP 124"/>
    <x v="0"/>
    <s v="AE/2026-27/0100"/>
    <s v="14-07-2026"/>
    <s v="Stores/Spares"/>
    <s v="PVC Fittings"/>
    <s v="Spares &amp; Stores"/>
    <s v="Stores &amp; Consumables"/>
    <s v="Pvc Tape Roll  Red &quot;Steel Grip&quot; Make"/>
    <n v="30"/>
    <n v="255"/>
    <s v="Pvc Tape Roll  Red &quot;Steel Grip&quot; Make"/>
    <n v="2106"/>
    <n v="9"/>
    <n v="22.95"/>
    <n v="9"/>
    <n v="22.95"/>
    <n v="0"/>
    <n v="0"/>
    <n v="0"/>
    <n v="45.9"/>
    <n v="0"/>
    <s v="24HELPS8671K1ZJ"/>
    <s v="Pcs"/>
    <n v="391990"/>
    <s v="Rs."/>
    <n v="1"/>
    <n v="0"/>
  </r>
  <r>
    <s v="20-07-2026"/>
    <s v="Alpha Electricals"/>
    <s v="General Purchase"/>
    <s v="GNSP 124"/>
    <x v="0"/>
    <s v="AE/2026-27/0100"/>
    <s v="14-07-2026"/>
    <s v="Stores/Spares"/>
    <s v="PVC Fittings"/>
    <s v="Spares &amp; Stores"/>
    <s v="Stores &amp; Consumables"/>
    <s v="Pvc Tape Roll  Yellow &quot;Steel Grip&quot; Make"/>
    <n v="30"/>
    <n v="255"/>
    <s v="Pvc Tape Roll  Yellow &quot;Steel Grip&quot; Make"/>
    <n v="0"/>
    <n v="9"/>
    <n v="22.95"/>
    <n v="9"/>
    <n v="22.95"/>
    <n v="0"/>
    <n v="0"/>
    <n v="0"/>
    <n v="45.9"/>
    <n v="0"/>
    <s v="24HELPS8671K1ZJ"/>
    <s v="Pcs"/>
    <n v="391990"/>
    <s v="Rs."/>
    <n v="1"/>
    <n v="0"/>
  </r>
  <r>
    <s v="20-07-2026"/>
    <s v="Alpha Electricals"/>
    <s v="General Purchase"/>
    <s v="GNSP 124"/>
    <x v="0"/>
    <s v="AE/2026-27/0100"/>
    <s v="14-07-2026"/>
    <s v="Stores/Spares"/>
    <s v="PVC Fittings"/>
    <s v="Spares &amp; Stores"/>
    <s v="Stores &amp; Consumables"/>
    <s v="Pvc Tape Roll  Blue &quot;Steel Grip&quot; Make"/>
    <n v="30"/>
    <n v="255"/>
    <s v="Pvc Tape Roll  Blue &quot;Steel Grip&quot; Make"/>
    <n v="0"/>
    <n v="9"/>
    <n v="22.95"/>
    <n v="9"/>
    <n v="22.95"/>
    <n v="0"/>
    <n v="0"/>
    <n v="0"/>
    <n v="45.9"/>
    <n v="0"/>
    <s v="24HELPS8671K1ZJ"/>
    <s v="Pcs"/>
    <n v="391990"/>
    <s v="Rs."/>
    <n v="1"/>
    <n v="0"/>
  </r>
  <r>
    <s v="20-07-2026"/>
    <s v="Alpha Electricals"/>
    <s v="General Purchase"/>
    <s v="GNSP 124"/>
    <x v="0"/>
    <s v="AE/2026-27/0100"/>
    <s v="14-07-2026"/>
    <s v="Stores/Spares"/>
    <s v="PVC Fittings"/>
    <s v="Spares &amp; Stores"/>
    <s v="Stores &amp; Consumables"/>
    <s v="Pvc Tape Roll  Black &quot;Steel Grip&quot; Make"/>
    <n v="90"/>
    <n v="765"/>
    <s v="Pvc Tape Roll  Black &quot;Steel Grip&quot; Make"/>
    <n v="0"/>
    <n v="9"/>
    <n v="68.849999999999994"/>
    <n v="9"/>
    <n v="68.849999999999994"/>
    <n v="0"/>
    <n v="0"/>
    <n v="0"/>
    <n v="137.69999999999999"/>
    <n v="0"/>
    <s v="24HELPS8671K1ZJ"/>
    <s v="Pcs"/>
    <n v="391990"/>
    <s v="Rs."/>
    <n v="1"/>
    <n v="0"/>
  </r>
  <r>
    <s v="20-07-2026"/>
    <s v="Alpha Electricals"/>
    <s v="General Purchase"/>
    <s v="GNSP 124"/>
    <x v="0"/>
    <s v="AE/2026-27/0100"/>
    <s v="14-07-2026"/>
    <s v="Stores/Spares"/>
    <s v="PVC Fittings"/>
    <s v="Spares &amp; Stores"/>
    <s v="Stores &amp; Consumables"/>
    <s v="Pvc Tape Green"/>
    <n v="30"/>
    <n v="255"/>
    <s v="Pvc Tape Green"/>
    <n v="0"/>
    <n v="9"/>
    <n v="22.95"/>
    <n v="9"/>
    <n v="22.95"/>
    <n v="0"/>
    <n v="0"/>
    <n v="0"/>
    <n v="45.9"/>
    <n v="0"/>
    <s v="24HELPS8671K1ZJ"/>
    <s v="Pcs"/>
    <n v="391990"/>
    <s v="Rs."/>
    <n v="1"/>
    <n v="0"/>
  </r>
  <r>
    <s v="20-07-2026"/>
    <s v="Brahmani Graphics"/>
    <s v="General Purchase"/>
    <s v="GNCN 285"/>
    <x v="0"/>
    <s v="BG26-27/46"/>
    <d v="2026-11-07T00:00:00"/>
    <s v="Consumables"/>
    <s v="Rubber/Polymer Stereo"/>
    <s v="Spares &amp; Stores"/>
    <s v="Stores &amp; Consumables"/>
    <s v="Rubber Stereo"/>
    <n v="11284"/>
    <n v="3949.4"/>
    <s v="Rubber Stereo"/>
    <n v="8424"/>
    <n v="9"/>
    <n v="355.45"/>
    <n v="9"/>
    <n v="355.45"/>
    <n v="0"/>
    <n v="0"/>
    <n v="0"/>
    <n v="710.9"/>
    <n v="0"/>
    <s v="24BGAPP5082Q1ZW"/>
    <s v="Pcs"/>
    <n v="400200"/>
    <s v="Rs."/>
    <n v="1"/>
    <n v="0"/>
  </r>
  <r>
    <s v="20-07-2026"/>
    <s v="Brahmani Graphics"/>
    <s v="General Purchase"/>
    <s v="GNCN 285"/>
    <x v="0"/>
    <s v="BG26-27/46"/>
    <d v="2026-11-07T00:00:00"/>
    <s v="Consumables"/>
    <s v="Rubber/Polymer Stereo"/>
    <s v="Spares &amp; Stores"/>
    <s v="Stores &amp; Consumables"/>
    <s v="Polymer Stereo"/>
    <n v="340.42500000000001"/>
    <n v="476.6"/>
    <s v="Polymer Stereo"/>
    <n v="0"/>
    <n v="9"/>
    <n v="42.89"/>
    <n v="9"/>
    <n v="42.89"/>
    <n v="0"/>
    <n v="0"/>
    <n v="0"/>
    <n v="85.78"/>
    <n v="0"/>
    <s v="24BGAPP5082Q1ZW"/>
    <s v="CMS"/>
    <n v="37013000"/>
    <s v="Rs."/>
    <n v="1"/>
    <n v="0"/>
  </r>
  <r>
    <s v="20-07-2026"/>
    <s v="Brahmani Graphics"/>
    <s v="General Purchase"/>
    <s v="GNCN 285"/>
    <x v="0"/>
    <s v="BG26-27/46"/>
    <d v="2026-11-07T00:00:00"/>
    <s v="Consumables"/>
    <s v="Rubber/Polymer Stereo"/>
    <s v="Spares &amp; Stores"/>
    <s v="Stores &amp; Consumables"/>
    <s v="Polymer Stereo"/>
    <n v="324.20999999999998"/>
    <n v="453.89"/>
    <s v="Polymer Stereo"/>
    <n v="0"/>
    <n v="9"/>
    <n v="40.85"/>
    <n v="9"/>
    <n v="40.85"/>
    <n v="0"/>
    <n v="0"/>
    <n v="0"/>
    <n v="81.7"/>
    <n v="0"/>
    <s v="24BGAPP5082Q1ZW"/>
    <s v="CMS"/>
    <n v="37013000"/>
    <s v="Rs."/>
    <n v="1"/>
    <n v="0"/>
  </r>
  <r>
    <s v="20-07-2026"/>
    <s v="Brahmani Graphics"/>
    <s v="General Purchase"/>
    <s v="GNCN 285"/>
    <x v="0"/>
    <s v="BG26-27/46"/>
    <d v="2026-11-07T00:00:00"/>
    <s v="Consumables"/>
    <s v="Rubber/Polymer Stereo"/>
    <s v="Spares &amp; Stores"/>
    <s v="Stores &amp; Consumables"/>
    <s v="Polymer Stereo"/>
    <n v="10"/>
    <n v="14"/>
    <s v="Polymer Stereo"/>
    <n v="0"/>
    <n v="9"/>
    <n v="1.26"/>
    <n v="9"/>
    <n v="1.26"/>
    <n v="0"/>
    <n v="0"/>
    <n v="0"/>
    <n v="2.52"/>
    <n v="0"/>
    <s v="24BGAPP5082Q1ZW"/>
    <s v="CMS"/>
    <n v="37013000"/>
    <s v="Rs."/>
    <n v="1"/>
    <n v="0"/>
  </r>
  <r>
    <s v="20-07-2026"/>
    <s v="Brahmani Graphics"/>
    <s v="General Purchase"/>
    <s v="GNCN 285"/>
    <x v="0"/>
    <s v="BG26-27/46"/>
    <d v="2026-11-07T00:00:00"/>
    <s v="Consumables"/>
    <s v="Rubber/Polymer Stereo"/>
    <s v="Spares &amp; Stores"/>
    <s v="Stores &amp; Consumables"/>
    <s v="Polymer Stereo"/>
    <n v="414"/>
    <n v="579.6"/>
    <s v="Polymer Stereo"/>
    <n v="0"/>
    <n v="9"/>
    <n v="52.16"/>
    <n v="9"/>
    <n v="52.16"/>
    <n v="0"/>
    <n v="0"/>
    <n v="0"/>
    <n v="104.32"/>
    <n v="0"/>
    <s v="24BGAPP5082Q1ZW"/>
    <s v="CMS"/>
    <n v="37013000"/>
    <s v="Rs."/>
    <n v="1"/>
    <n v="0"/>
  </r>
  <r>
    <s v="20-07-2026"/>
    <s v="Brahmani Graphics"/>
    <s v="General Purchase"/>
    <s v="GNCN 285"/>
    <x v="0"/>
    <s v="BG26-27/46"/>
    <d v="2026-11-07T00:00:00"/>
    <s v="Consumables"/>
    <s v="Rubber/Polymer Stereo"/>
    <s v="Spares &amp; Stores"/>
    <s v="Stores &amp; Consumables"/>
    <s v="Polymer Stereo"/>
    <n v="173.38200000000001"/>
    <n v="242.73"/>
    <s v="Polymer Stereo"/>
    <n v="0"/>
    <n v="9"/>
    <n v="21.85"/>
    <n v="9"/>
    <n v="21.85"/>
    <n v="0"/>
    <n v="0"/>
    <n v="0"/>
    <n v="43.7"/>
    <n v="0"/>
    <s v="24BGAPP5082Q1ZW"/>
    <s v="CMS"/>
    <n v="37013000"/>
    <s v="Rs."/>
    <n v="1"/>
    <n v="0"/>
  </r>
  <r>
    <s v="20-07-2026"/>
    <s v="Brahmani Graphics"/>
    <s v="General Purchase"/>
    <s v="GNCN 285"/>
    <x v="0"/>
    <s v="BG26-27/46"/>
    <d v="2026-11-07T00:00:00"/>
    <s v="Consumables"/>
    <s v="Rubber/Polymer Stereo"/>
    <s v="Spares &amp; Stores"/>
    <s v="Stores &amp; Consumables"/>
    <s v="Polymer Stereo"/>
    <n v="443.19"/>
    <n v="620.47"/>
    <s v="Polymer Stereo"/>
    <n v="0"/>
    <n v="9"/>
    <n v="55.84"/>
    <n v="9"/>
    <n v="55.84"/>
    <n v="0"/>
    <n v="0"/>
    <n v="0"/>
    <n v="111.68"/>
    <n v="0"/>
    <s v="24BGAPP5082Q1ZW"/>
    <s v="CMS"/>
    <n v="37013000"/>
    <s v="Rs."/>
    <n v="1"/>
    <n v="0"/>
  </r>
  <r>
    <s v="20-07-2026"/>
    <s v="Brahmani Graphics"/>
    <s v="General Purchase"/>
    <s v="GNCN 285"/>
    <x v="0"/>
    <s v="BG26-27/46"/>
    <d v="2026-11-07T00:00:00"/>
    <s v="Consumables"/>
    <s v="Rubber/Polymer Stereo"/>
    <s v="Spares &amp; Stores"/>
    <s v="Stores &amp; Consumables"/>
    <s v="Polymer Stereo"/>
    <n v="249.04"/>
    <n v="348.66"/>
    <s v="Polymer Stereo"/>
    <n v="0"/>
    <n v="9"/>
    <n v="31.38"/>
    <n v="9"/>
    <n v="31.38"/>
    <n v="0"/>
    <n v="0"/>
    <n v="0"/>
    <n v="62.76"/>
    <n v="0"/>
    <s v="24BGAPP5082Q1ZW"/>
    <s v="CMS"/>
    <n v="37013000"/>
    <s v="Rs."/>
    <n v="1"/>
    <n v="0"/>
  </r>
  <r>
    <s v="20-07-2026"/>
    <s v="Brahmani Graphics"/>
    <s v="General Purchase"/>
    <s v="GNCN 285"/>
    <x v="0"/>
    <s v="BG26-27/46"/>
    <d v="2026-11-07T00:00:00"/>
    <s v="Consumables"/>
    <s v="Rubber/Polymer Stereo"/>
    <s v="Spares &amp; Stores"/>
    <s v="Stores &amp; Consumables"/>
    <s v="Polymer Stereo"/>
    <n v="324.20999999999998"/>
    <n v="453.89"/>
    <s v="Polymer Stereo"/>
    <n v="0"/>
    <n v="9"/>
    <n v="40.85"/>
    <n v="9"/>
    <n v="40.85"/>
    <n v="0"/>
    <n v="0"/>
    <n v="0"/>
    <n v="81.7"/>
    <n v="0"/>
    <s v="24BGAPP5082Q1ZW"/>
    <s v="CMS"/>
    <n v="37013000"/>
    <s v="Rs."/>
    <n v="1"/>
    <n v="0"/>
  </r>
  <r>
    <s v="20-07-2026"/>
    <s v="Jyot Sewing Machine Pvt Ltd"/>
    <s v="General Purchase"/>
    <s v="GNSP 126"/>
    <x v="0"/>
    <s v="JSS/1915/2026-27"/>
    <s v="17-07-2026"/>
    <s v="Stores/Spares"/>
    <s v="Stitching Spares"/>
    <s v="Spares &amp; Stores"/>
    <s v="Stores &amp; Consumables"/>
    <s v="Needle Gb-200"/>
    <n v="100"/>
    <n v="12800"/>
    <s v="Needle Gb-200"/>
    <n v="13440"/>
    <n v="2.5"/>
    <n v="320"/>
    <n v="2.5"/>
    <n v="320"/>
    <n v="0"/>
    <n v="0"/>
    <n v="0"/>
    <n v="640"/>
    <n v="0"/>
    <s v="24AAECJ8001D1Z4"/>
    <s v="Pcs"/>
    <n v="8452309"/>
    <s v="Rs."/>
    <n v="1"/>
    <n v="0"/>
  </r>
  <r>
    <s v="20-07-2026"/>
    <s v="Monarch Info"/>
    <s v="General Purchase"/>
    <s v="GNSP 125"/>
    <x v="0"/>
    <s v="MIG/277/26-27"/>
    <d v="2026-11-07T00:00:00"/>
    <s v="Capex"/>
    <s v="Office Equipments"/>
    <s v="Spares &amp; Stores"/>
    <s v="Stores &amp; Consumables"/>
    <s v="Ups Battary"/>
    <n v="1"/>
    <n v="720"/>
    <s v="Ups Battary"/>
    <n v="850"/>
    <n v="9"/>
    <n v="64.8"/>
    <n v="9"/>
    <n v="64.8"/>
    <n v="0"/>
    <n v="0"/>
    <n v="0"/>
    <n v="129.6"/>
    <n v="0"/>
    <s v="24APUPB7646G1ZN"/>
    <s v="Pcs"/>
    <n v="850710"/>
    <s v="Rs."/>
    <n v="1"/>
    <n v="0"/>
  </r>
  <r>
    <s v="20-07-2026"/>
    <s v="Plastene India ltd - Unit 1-Purchase"/>
    <s v="General Purchase"/>
    <s v="GNCN 286"/>
    <x v="0"/>
    <s v="PIL1/D/1121"/>
    <s v="20-07-2026"/>
    <s v="Stores/Spares"/>
    <s v="MS Structure Items"/>
    <s v="Spares &amp; Stores"/>
    <s v="Stores &amp; Consumables"/>
    <s v="MS Pipe 4  C Class"/>
    <n v="256"/>
    <n v="12288"/>
    <s v="MS Pipe 4  C Class"/>
    <n v="14487.55"/>
    <n v="9"/>
    <n v="1105.92"/>
    <n v="9"/>
    <n v="1105.92"/>
    <n v="0"/>
    <n v="0"/>
    <n v="0"/>
    <n v="2211.84"/>
    <n v="0"/>
    <s v="24AAACO3087C1ZT"/>
    <s v="Kgs"/>
    <n v="73063090"/>
    <s v="Rs."/>
    <n v="1"/>
    <n v="0"/>
  </r>
  <r>
    <s v="20-07-2026"/>
    <s v="Plastene India ltd - Unit 1-Purchase"/>
    <s v="R.M.P."/>
    <s v="RM 416"/>
    <x v="1"/>
    <s v="PIL1/D/1118"/>
    <s v="20-07-2026"/>
    <s v="SF"/>
    <s v="PP/PE Fabric"/>
    <s v="PP UL Fabric"/>
    <s v="PP Woven Fabric"/>
    <s v="PP UL Fabric With UV"/>
    <n v="6419"/>
    <n v="927481.31"/>
    <s v="PP UL Fabric With UV"/>
    <n v="1334355.51"/>
    <n v="9"/>
    <n v="83473.320000000007"/>
    <n v="9"/>
    <n v="83473.320000000007"/>
    <n v="0"/>
    <n v="0"/>
    <n v="0"/>
    <n v="166946.64000000001"/>
    <n v="0"/>
    <s v="24AAACO3087C1ZT"/>
    <s v="Kgs"/>
    <n v="39269080"/>
    <s v="Rs."/>
    <n v="1"/>
    <n v="0"/>
  </r>
  <r>
    <s v="20-07-2026"/>
    <s v="Plastene India ltd - Unit 1-Purchase"/>
    <s v="R.M.P."/>
    <s v="RM 416"/>
    <x v="1"/>
    <s v="PIL1/D/1118"/>
    <s v="20-07-2026"/>
    <s v="SF"/>
    <s v="PP/PE Fabric"/>
    <s v="PP UL Fabric"/>
    <s v="PP Woven Fabric"/>
    <s v="PP UL Fabric With UV"/>
    <n v="227"/>
    <n v="33480.230000000003"/>
    <s v="PP UL Fabric With UV"/>
    <n v="0"/>
    <n v="9"/>
    <n v="3013.22"/>
    <n v="9"/>
    <n v="3013.22"/>
    <n v="0"/>
    <n v="0"/>
    <n v="0"/>
    <n v="6026.44"/>
    <n v="0"/>
    <s v="24AAACO3087C1ZT"/>
    <s v="Kgs"/>
    <n v="39269080"/>
    <s v="Rs."/>
    <n v="1"/>
    <n v="0"/>
  </r>
  <r>
    <s v="20-07-2026"/>
    <s v="Plastene India ltd - Unit 1-Purchase"/>
    <s v="R.M.P."/>
    <s v="RM 416"/>
    <x v="1"/>
    <s v="PIL1/D/1118"/>
    <s v="20-07-2026"/>
    <s v="SF"/>
    <s v="PP/PE Fabric"/>
    <s v="PP UL Fabric"/>
    <s v="PP Woven Fabric"/>
    <s v="PP UL Fabric With UV"/>
    <n v="1166"/>
    <n v="170807.34"/>
    <s v="PP UL Fabric With UV"/>
    <n v="0"/>
    <n v="9"/>
    <n v="15372.66"/>
    <n v="9"/>
    <n v="15372.66"/>
    <n v="0"/>
    <n v="0"/>
    <n v="0"/>
    <n v="30745.32"/>
    <n v="0"/>
    <s v="24AAACO3087C1ZT"/>
    <s v="Kgs"/>
    <n v="39269080"/>
    <s v="Rs."/>
    <n v="1"/>
    <n v="0"/>
  </r>
  <r>
    <s v="20-07-2026"/>
    <s v="Plastene India ltd - Unit 1-Purchase"/>
    <s v="R.M.P."/>
    <s v="RM 417"/>
    <x v="1"/>
    <s v="PIL1/D/1122"/>
    <s v="20-07-2026"/>
    <s v="SF"/>
    <s v="Liners"/>
    <s v="LDPE/LLDPE Bags"/>
    <s v="LLDPE Bags"/>
    <s v="LDPE/LLDPE Bags/Liner"/>
    <n v="1473"/>
    <n v="269234.94"/>
    <s v="LDPE/LLDPE Bags/Liner"/>
    <n v="1017016.83"/>
    <n v="9"/>
    <n v="24231.14"/>
    <n v="9"/>
    <n v="24231.14"/>
    <n v="0"/>
    <n v="0"/>
    <n v="0"/>
    <n v="48462.28"/>
    <n v="0"/>
    <s v="24AAACO3087C1ZT"/>
    <s v="Kgs"/>
    <n v="39200000"/>
    <s v="Rs."/>
    <n v="1"/>
    <n v="0"/>
  </r>
  <r>
    <s v="20-07-2026"/>
    <s v="Plastene India ltd - Unit 1-Purchase"/>
    <s v="R.M.P."/>
    <s v="RM 417"/>
    <x v="1"/>
    <s v="PIL1/D/1122"/>
    <s v="20-07-2026"/>
    <s v="SF"/>
    <s v="PP/PE Fabric"/>
    <s v="PP UL Fabric"/>
    <s v="PP Woven Fabric"/>
    <s v="PP UL Fabric With UV"/>
    <n v="2018"/>
    <n v="291580.82"/>
    <s v="PP UL Fabric With UV"/>
    <n v="0"/>
    <n v="9"/>
    <n v="26242.27"/>
    <n v="9"/>
    <n v="26242.27"/>
    <n v="0"/>
    <n v="0"/>
    <n v="0"/>
    <n v="52484.54"/>
    <n v="0"/>
    <s v="24AAACO3087C1ZT"/>
    <s v="Kgs"/>
    <n v="39269080"/>
    <s v="Rs."/>
    <n v="1"/>
    <n v="0"/>
  </r>
  <r>
    <s v="20-07-2026"/>
    <s v="Plastene India ltd - Unit 1-Purchase"/>
    <s v="R.M.P."/>
    <s v="RM 417"/>
    <x v="1"/>
    <s v="PIL1/D/1122"/>
    <s v="20-07-2026"/>
    <s v="SF"/>
    <s v="PP/PE Fabric"/>
    <s v="PP Lam Fabric"/>
    <s v="PP Laminated Woven Fabric"/>
    <s v="PP Lam Fabric With UV"/>
    <n v="305"/>
    <n v="46204.45"/>
    <s v="PP Lam Fabric With UV"/>
    <n v="0"/>
    <n v="9"/>
    <n v="4158.3999999999996"/>
    <n v="9"/>
    <n v="4158.3999999999996"/>
    <n v="0"/>
    <n v="0"/>
    <n v="0"/>
    <n v="8316.7999999999993"/>
    <n v="0"/>
    <s v="24AAACO3087C1ZT"/>
    <s v="Kgs"/>
    <n v="63053300"/>
    <s v="Rs."/>
    <n v="1"/>
    <n v="0"/>
  </r>
  <r>
    <s v="20-07-2026"/>
    <s v="Plastene India ltd - Unit 1-Purchase"/>
    <s v="R.M.P."/>
    <s v="RM 417"/>
    <x v="1"/>
    <s v="PIL1/D/1122"/>
    <s v="20-07-2026"/>
    <s v="SF"/>
    <s v="PP/PE Fabric"/>
    <s v="PP Lam Fabric"/>
    <s v="PP Laminated Woven Fabric"/>
    <s v="PP Lam Fabric With UV"/>
    <n v="1193"/>
    <n v="177148.57"/>
    <s v="PP Lam Fabric With UV"/>
    <n v="0"/>
    <n v="9"/>
    <n v="15943.37"/>
    <n v="9"/>
    <n v="15943.37"/>
    <n v="0"/>
    <n v="0"/>
    <n v="0"/>
    <n v="31886.74"/>
    <n v="0"/>
    <s v="24AAACO3087C1ZT"/>
    <s v="Kgs"/>
    <n v="63053300"/>
    <s v="Rs."/>
    <n v="1"/>
    <n v="0"/>
  </r>
  <r>
    <s v="20-07-2026"/>
    <s v="Plastene India ltd - Unit 1-Purchase"/>
    <s v="R.M.P."/>
    <s v="RM 417"/>
    <x v="1"/>
    <s v="PIL1/D/1122"/>
    <s v="20-07-2026"/>
    <s v="SF"/>
    <s v="Webbing"/>
    <s v="PP Webbing"/>
    <s v="PP Webbing"/>
    <s v="Webbing"/>
    <n v="159.30000000000001"/>
    <n v="27159.06"/>
    <s v="Webbing"/>
    <n v="0"/>
    <n v="9"/>
    <n v="2444.3200000000002"/>
    <n v="9"/>
    <n v="2444.3200000000002"/>
    <n v="0"/>
    <n v="0"/>
    <n v="0"/>
    <n v="4888.6400000000003"/>
    <n v="0"/>
    <s v="24AAACO3087C1ZT"/>
    <s v="Kgs"/>
    <n v="3926908"/>
    <s v="Rs."/>
    <n v="1"/>
    <n v="0"/>
  </r>
  <r>
    <s v="20-07-2026"/>
    <s v="Plastene India ltd - Unit 1-Purchase"/>
    <s v="R.M.P."/>
    <s v="RM 417"/>
    <x v="1"/>
    <s v="PIL1/D/1122"/>
    <s v="20-07-2026"/>
    <s v="SF"/>
    <s v="Webbing"/>
    <s v="PP Webbing"/>
    <s v="PP Webbing"/>
    <s v="Webbing"/>
    <n v="164.6"/>
    <n v="24606.05"/>
    <s v="Webbing"/>
    <n v="0"/>
    <n v="9"/>
    <n v="2214.54"/>
    <n v="9"/>
    <n v="2214.54"/>
    <n v="0"/>
    <n v="0"/>
    <n v="0"/>
    <n v="4429.08"/>
    <n v="0"/>
    <s v="24AAACO3087C1ZT"/>
    <s v="Kgs"/>
    <n v="3926908"/>
    <s v="Rs."/>
    <n v="1"/>
    <n v="0"/>
  </r>
  <r>
    <s v="20-07-2026"/>
    <s v="Plastene India ltd - Unit 1-Purchase"/>
    <s v="R.M.P."/>
    <s v="RM 417"/>
    <x v="1"/>
    <s v="PIL1/D/1122"/>
    <s v="20-07-2026"/>
    <s v="SF"/>
    <s v="Webbing"/>
    <s v="PP Webbing"/>
    <s v="PP Webbing"/>
    <s v="Webbing"/>
    <n v="182.1"/>
    <n v="26675.83"/>
    <s v="Webbing"/>
    <n v="0"/>
    <n v="9"/>
    <n v="2400.8200000000002"/>
    <n v="9"/>
    <n v="2400.8200000000002"/>
    <n v="0"/>
    <n v="0"/>
    <n v="0"/>
    <n v="4801.6400000000003"/>
    <n v="0"/>
    <s v="24AAACO3087C1ZT"/>
    <s v="Kgs"/>
    <n v="3926908"/>
    <s v="Rs."/>
    <n v="1"/>
    <n v="0"/>
  </r>
  <r>
    <s v="20-07-2026"/>
    <s v="Shree Ganesh Stereo"/>
    <s v="General Purchase"/>
    <s v="GNCN 281"/>
    <x v="0"/>
    <n v="1445"/>
    <s v="13-07-2026"/>
    <s v="Consumables"/>
    <s v="Rubber/Polymer Stereo"/>
    <s v="Spares &amp; Stores"/>
    <s v="Stores &amp; Consumables"/>
    <s v="Rubber Stereo"/>
    <n v="1320"/>
    <n v="462"/>
    <s v="Rubber Stereo"/>
    <n v="876"/>
    <n v="9"/>
    <n v="41.58"/>
    <n v="9"/>
    <n v="41.58"/>
    <n v="0"/>
    <n v="0"/>
    <n v="0"/>
    <n v="83.16"/>
    <n v="0"/>
    <s v="24AHDPC2510M1ZU"/>
    <s v="Pcs"/>
    <n v="400200"/>
    <s v="Rs."/>
    <n v="1"/>
    <n v="0"/>
  </r>
  <r>
    <s v="20-07-2026"/>
    <s v="Shree Ganesh Stereo"/>
    <s v="General Purchase"/>
    <s v="GNCN 281"/>
    <x v="0"/>
    <n v="1445"/>
    <s v="13-07-2026"/>
    <s v="Consumables"/>
    <s v="Rubber/Polymer Stereo"/>
    <s v="Spares &amp; Stores"/>
    <s v="Stores &amp; Consumables"/>
    <s v="Rubber Stereo"/>
    <n v="800"/>
    <n v="280"/>
    <s v="Rubber Stereo"/>
    <n v="0"/>
    <n v="9"/>
    <n v="25.2"/>
    <n v="9"/>
    <n v="25.2"/>
    <n v="0"/>
    <n v="0"/>
    <n v="0"/>
    <n v="50.4"/>
    <n v="0"/>
    <s v="24AHDPC2510M1ZU"/>
    <s v="Pcs"/>
    <n v="400200"/>
    <s v="Rs."/>
    <n v="1"/>
    <n v="0"/>
  </r>
  <r>
    <s v="20-07-2026"/>
    <s v="Shree Ganesh Stereo"/>
    <s v="General Purchase"/>
    <s v="GNCN 283"/>
    <x v="0"/>
    <n v="1377"/>
    <d v="2026-08-07T00:00:00"/>
    <s v="Consumables"/>
    <s v="Rubber/Polymer Stereo"/>
    <s v="Spares &amp; Stores"/>
    <s v="Stores &amp; Consumables"/>
    <s v="Rubber Stereo"/>
    <n v="1680"/>
    <n v="588"/>
    <s v="Rubber Stereo"/>
    <n v="1421"/>
    <n v="9"/>
    <n v="52.92"/>
    <n v="9"/>
    <n v="52.92"/>
    <n v="0"/>
    <n v="0"/>
    <n v="0"/>
    <n v="105.84"/>
    <n v="0"/>
    <s v="24AHDPC2510M1ZU"/>
    <s v="Pcs"/>
    <n v="400200"/>
    <s v="Rs."/>
    <n v="1"/>
    <n v="0"/>
  </r>
  <r>
    <s v="20-07-2026"/>
    <s v="Shree Ganesh Stereo"/>
    <s v="General Purchase"/>
    <s v="GNCN 283"/>
    <x v="0"/>
    <n v="1377"/>
    <d v="2026-08-07T00:00:00"/>
    <s v="Consumables"/>
    <s v="Rubber/Polymer Stereo"/>
    <s v="Spares &amp; Stores"/>
    <s v="Stores &amp; Consumables"/>
    <s v="Rubber Stereo"/>
    <n v="81"/>
    <n v="28.35"/>
    <s v="Rubber Stereo"/>
    <n v="0"/>
    <n v="9"/>
    <n v="2.5499999999999998"/>
    <n v="9"/>
    <n v="2.5499999999999998"/>
    <n v="0"/>
    <n v="0"/>
    <n v="0"/>
    <n v="5.0999999999999996"/>
    <n v="0"/>
    <s v="24AHDPC2510M1ZU"/>
    <s v="Pcs"/>
    <n v="400200"/>
    <s v="Rs."/>
    <n v="1"/>
    <n v="0"/>
  </r>
  <r>
    <s v="20-07-2026"/>
    <s v="Shree Ganesh Stereo"/>
    <s v="General Purchase"/>
    <s v="GNCN 283"/>
    <x v="0"/>
    <n v="1377"/>
    <d v="2026-08-07T00:00:00"/>
    <s v="Consumables"/>
    <s v="Rubber/Polymer Stereo"/>
    <s v="Spares &amp; Stores"/>
    <s v="Stores &amp; Consumables"/>
    <s v="Rubber Stereo"/>
    <n v="1680"/>
    <n v="588"/>
    <s v="Rubber Stereo"/>
    <n v="0"/>
    <n v="9"/>
    <n v="52.92"/>
    <n v="9"/>
    <n v="52.92"/>
    <n v="0"/>
    <n v="0"/>
    <n v="0"/>
    <n v="105.84"/>
    <n v="0"/>
    <s v="24AHDPC2510M1ZU"/>
    <s v="Pcs"/>
    <n v="400200"/>
    <s v="Rs."/>
    <n v="1"/>
    <n v="0"/>
  </r>
  <r>
    <s v="20-07-2026"/>
    <s v="Shree Salareshwar Wood Packers Private Limited."/>
    <s v="Purchase"/>
    <s v="GNPK 71"/>
    <x v="3"/>
    <s v="SS/SL/26-27/223"/>
    <s v="20-07-2026"/>
    <s v="Packing Material"/>
    <s v="Pallets"/>
    <s v="Packing Material"/>
    <s v="Packing Material"/>
    <s v="Wooden Pallet Flate Size 85X105Cm"/>
    <n v="180"/>
    <n v="92520"/>
    <s v="Wooden Pallet Flate Size 85X105Cm"/>
    <n v="107940"/>
    <n v="2.5"/>
    <n v="2313"/>
    <n v="2.5"/>
    <n v="2313"/>
    <n v="0"/>
    <n v="0"/>
    <n v="0"/>
    <n v="4626"/>
    <n v="0"/>
    <s v="24ABLCS6579H1ZR"/>
    <s v="Pcs"/>
    <n v="44152000"/>
    <s v="Rs."/>
    <n v="1"/>
    <n v="0"/>
  </r>
  <r>
    <s v="20-07-2026"/>
    <s v="Shree Salareshwar Wood Packers Private Limited."/>
    <s v="Purchase"/>
    <s v="GNPK 71"/>
    <x v="3"/>
    <s v="SS/SL/26-27/223"/>
    <s v="20-07-2026"/>
    <s v="Packing Material"/>
    <s v="Pallets"/>
    <s v="Packing Material"/>
    <s v="Packing Material"/>
    <s v="Wooden Pallet Flate Size 85X105Cm"/>
    <n v="20"/>
    <n v="10280"/>
    <s v="Wooden Pallet Flate Size 85X105Cm"/>
    <n v="0"/>
    <n v="2.5"/>
    <n v="257"/>
    <n v="2.5"/>
    <n v="257"/>
    <n v="0"/>
    <n v="0"/>
    <n v="0"/>
    <n v="514"/>
    <n v="0"/>
    <s v="24ABLCS6579H1ZR"/>
    <s v="Pcs"/>
    <n v="44152000"/>
    <s v="Rs."/>
    <n v="1"/>
    <n v="0"/>
  </r>
  <r>
    <s v="20-07-2026"/>
    <s v="Tritha Graphics"/>
    <s v="General Purchase"/>
    <s v="GNCN 284"/>
    <x v="0"/>
    <n v="9440"/>
    <d v="2026-07-07T00:00:00"/>
    <s v="Consumables"/>
    <s v="Rubber/Polymer Stereo"/>
    <s v="Spares &amp; Stores"/>
    <s v="Stores &amp; Consumables"/>
    <s v="Polymer Stereo"/>
    <n v="2060.11"/>
    <n v="2369.13"/>
    <s v="Polymer Stereo"/>
    <n v="14754"/>
    <n v="9"/>
    <n v="213.22"/>
    <n v="9"/>
    <n v="213.22"/>
    <n v="0"/>
    <n v="0"/>
    <n v="0"/>
    <n v="426.44"/>
    <n v="0"/>
    <s v="24AARFT4204A1ZK"/>
    <s v="CMS"/>
    <n v="37013000"/>
    <s v="Rs."/>
    <n v="1"/>
    <n v="0"/>
  </r>
  <r>
    <s v="20-07-2026"/>
    <s v="Tritha Graphics"/>
    <s v="General Purchase"/>
    <s v="GNCN 284"/>
    <x v="0"/>
    <n v="9440"/>
    <d v="2026-07-07T00:00:00"/>
    <s v="Consumables"/>
    <s v="Rubber/Polymer Stereo"/>
    <s v="Spares &amp; Stores"/>
    <s v="Stores &amp; Consumables"/>
    <s v="Polymer Stereo"/>
    <n v="1993.38"/>
    <n v="2292.39"/>
    <s v="Polymer Stereo"/>
    <n v="0"/>
    <n v="9"/>
    <n v="206.31"/>
    <n v="9"/>
    <n v="206.31"/>
    <n v="0"/>
    <n v="0"/>
    <n v="0"/>
    <n v="412.62"/>
    <n v="0"/>
    <s v="24AARFT4204A1ZK"/>
    <s v="CMS"/>
    <n v="37013000"/>
    <s v="Rs."/>
    <n v="1"/>
    <n v="0"/>
  </r>
  <r>
    <s v="20-07-2026"/>
    <s v="Tritha Graphics"/>
    <s v="General Purchase"/>
    <s v="GNCN 284"/>
    <x v="0"/>
    <n v="9440"/>
    <d v="2026-07-07T00:00:00"/>
    <s v="Consumables"/>
    <s v="Rubber/Polymer Stereo"/>
    <s v="Spares &amp; Stores"/>
    <s v="Stores &amp; Consumables"/>
    <s v="Polymer Stereo"/>
    <n v="3422.2"/>
    <n v="3935.53"/>
    <s v="Polymer Stereo"/>
    <n v="0"/>
    <n v="9"/>
    <n v="354.2"/>
    <n v="9"/>
    <n v="354.2"/>
    <n v="0"/>
    <n v="0"/>
    <n v="0"/>
    <n v="708.4"/>
    <n v="0"/>
    <s v="24AARFT4204A1ZK"/>
    <s v="CMS"/>
    <n v="37013000"/>
    <s v="Rs."/>
    <n v="1"/>
    <n v="0"/>
  </r>
  <r>
    <s v="20-07-2026"/>
    <s v="Tritha Graphics"/>
    <s v="General Purchase"/>
    <s v="GNCN 284"/>
    <x v="0"/>
    <n v="9440"/>
    <d v="2026-07-07T00:00:00"/>
    <s v="Consumables"/>
    <s v="Rubber/Polymer Stereo"/>
    <s v="Spares &amp; Stores"/>
    <s v="Stores &amp; Consumables"/>
    <s v="Polymer Stereo"/>
    <n v="3396.5"/>
    <n v="3905.98"/>
    <s v="Polymer Stereo"/>
    <n v="0"/>
    <n v="9"/>
    <n v="351.54"/>
    <n v="9"/>
    <n v="351.54"/>
    <n v="0"/>
    <n v="0"/>
    <n v="0"/>
    <n v="703.08"/>
    <n v="0"/>
    <s v="24AARFT4204A1ZK"/>
    <s v="CMS"/>
    <n v="37013000"/>
    <s v="Rs."/>
    <n v="1"/>
    <n v="0"/>
  </r>
  <r>
    <s v="21-07-2026"/>
    <s v="Armstrong"/>
    <s v="General Purchase"/>
    <s v="GNSP 127"/>
    <x v="0"/>
    <s v="GST/26-27/3245"/>
    <s v="13-07-2026"/>
    <s v="Stores/Spares"/>
    <s v="Stitching Spares"/>
    <s v="Spares &amp; Stores"/>
    <s v="Stores &amp; Consumables"/>
    <s v="Looper # 50275"/>
    <n v="50"/>
    <n v="6900"/>
    <s v="Looper # 50275"/>
    <n v="15519"/>
    <n v="2.5"/>
    <n v="172.5"/>
    <n v="2.5"/>
    <n v="172.5"/>
    <n v="0"/>
    <n v="0"/>
    <n v="7"/>
    <n v="352"/>
    <n v="0"/>
    <s v="24ABAFA4683N1Z8"/>
    <s v="Pcs"/>
    <n v="73181500"/>
    <s v="Rs."/>
    <n v="1"/>
    <n v="0"/>
  </r>
  <r>
    <s v="21-07-2026"/>
    <s v="Armstrong"/>
    <s v="General Purchase"/>
    <s v="GNSP 127"/>
    <x v="0"/>
    <s v="GST/26-27/3245"/>
    <s v="13-07-2026"/>
    <s v="Stores/Spares"/>
    <s v="Stitching Spares"/>
    <s v="Spares &amp; Stores"/>
    <s v="Stores &amp; Consumables"/>
    <s v="Feed Dog # 502J122"/>
    <n v="30"/>
    <n v="7740"/>
    <s v="Feed Dog # 502J122"/>
    <n v="0"/>
    <n v="2.5"/>
    <n v="193.5"/>
    <n v="2.5"/>
    <n v="193.5"/>
    <n v="0"/>
    <n v="0"/>
    <n v="7"/>
    <n v="394"/>
    <n v="0"/>
    <s v="24ABAFA4683N1Z8"/>
    <s v="Pcs"/>
    <n v="84529099"/>
    <s v="Rs."/>
    <n v="1"/>
    <n v="0"/>
  </r>
  <r>
    <s v="21-07-2026"/>
    <s v="Armstrong"/>
    <s v="General Purchase"/>
    <s v="GNSP 128"/>
    <x v="0"/>
    <s v="GST/26-27/3339"/>
    <s v="15-07-2026"/>
    <s v="Stores/Spares"/>
    <s v="Stitching Spares"/>
    <s v="Spares &amp; Stores"/>
    <s v="Stores &amp; Consumables"/>
    <s v="Looper For Double Locked Stitch  (41308 C)"/>
    <n v="10"/>
    <n v="29080"/>
    <s v="Looper For Double Locked Stitch  (41308 C)"/>
    <n v="37832"/>
    <n v="2.5"/>
    <n v="727"/>
    <n v="2.5"/>
    <n v="727"/>
    <n v="0"/>
    <n v="0"/>
    <n v="2.5"/>
    <n v="1456.5"/>
    <n v="0"/>
    <s v="24ABAFA4683N1Z8"/>
    <s v="Pcs"/>
    <n v="84529099"/>
    <s v="Rs."/>
    <n v="1"/>
    <n v="0"/>
  </r>
  <r>
    <s v="21-07-2026"/>
    <s v="Armstrong"/>
    <s v="General Purchase"/>
    <s v="GNSP 128"/>
    <x v="0"/>
    <s v="GST/26-27/3339"/>
    <s v="15-07-2026"/>
    <s v="Stores/Spares"/>
    <s v="Stitching Spares"/>
    <s v="Spares &amp; Stores"/>
    <s v="Stores &amp; Consumables"/>
    <s v="Looper # 50275"/>
    <n v="50"/>
    <n v="6900"/>
    <s v="Looper # 50275"/>
    <n v="0"/>
    <n v="2.5"/>
    <n v="172.5"/>
    <n v="2.5"/>
    <n v="172.5"/>
    <n v="0"/>
    <n v="0"/>
    <n v="2.5"/>
    <n v="347.5"/>
    <n v="0"/>
    <s v="24ABAFA4683N1Z8"/>
    <s v="Pcs"/>
    <n v="73181500"/>
    <s v="Rs."/>
    <n v="1"/>
    <n v="0"/>
  </r>
  <r>
    <s v="21-07-2026"/>
    <s v="Plastene India ltd - Unit 1-Purchase"/>
    <s v="General Purchase"/>
    <s v="GNCN 287"/>
    <x v="0"/>
    <s v="PIL1/D/1133"/>
    <s v="21-07-2026"/>
    <s v="Stores/Spares"/>
    <s v="MS Structure Items"/>
    <s v="Spares &amp; Stores"/>
    <s v="Stores &amp; Consumables"/>
    <s v="MS Pipe 4  C Class"/>
    <n v="335"/>
    <n v="16080"/>
    <s v="MS Pipe 4  C Class"/>
    <n v="18958.32"/>
    <n v="9"/>
    <n v="1447.2"/>
    <n v="9"/>
    <n v="1447.2"/>
    <n v="0"/>
    <n v="0"/>
    <n v="0"/>
    <n v="2894.4"/>
    <n v="0"/>
    <s v="24AAACO3087C1ZT"/>
    <s v="Kgs"/>
    <n v="73063090"/>
    <s v="Rs."/>
    <n v="1"/>
    <n v="0"/>
  </r>
  <r>
    <s v="21-07-2026"/>
    <s v="Plastene India ltd - Unit 1-Purchase"/>
    <s v="R.M.P."/>
    <s v="RM 418"/>
    <x v="1"/>
    <s v="PIL1/D/1130"/>
    <s v="21-07-2026"/>
    <s v="SF"/>
    <s v="PP/PE Fabric"/>
    <s v="PP UL Fabric"/>
    <s v="PP Woven Fabric"/>
    <s v="PP UL Fabric With UV"/>
    <n v="239"/>
    <n v="34533.11"/>
    <s v="PP UL Fabric With UV"/>
    <n v="40714.54"/>
    <n v="9"/>
    <n v="3107.98"/>
    <n v="9"/>
    <n v="3107.98"/>
    <n v="0"/>
    <n v="0"/>
    <n v="0"/>
    <n v="6215.96"/>
    <n v="0"/>
    <s v="24AAACO3087C1ZT"/>
    <s v="Kgs"/>
    <n v="39269080"/>
    <s v="Rs."/>
    <n v="1"/>
    <n v="0"/>
  </r>
  <r>
    <s v="21-07-2026"/>
    <s v="Plastene India ltd - Unit 1-Purchase"/>
    <s v="R.M.P."/>
    <s v="RM 419"/>
    <x v="1"/>
    <s v="PIL1/D/1129"/>
    <s v="21-07-2026"/>
    <s v="SF"/>
    <s v="PP/PE Fabric"/>
    <s v="PP UL Fabric"/>
    <s v="PP Woven Fabric"/>
    <s v="PP UL Fabric With UV"/>
    <n v="6657"/>
    <n v="961869.93"/>
    <s v="PP UL Fabric With UV"/>
    <n v="1418309.31"/>
    <n v="9"/>
    <n v="86568.29"/>
    <n v="9"/>
    <n v="86568.29"/>
    <n v="0"/>
    <n v="0"/>
    <n v="0"/>
    <n v="173136.58"/>
    <n v="0"/>
    <s v="24AAACO3087C1ZT"/>
    <s v="Kgs"/>
    <n v="39269080"/>
    <s v="Rs."/>
    <n v="1"/>
    <n v="0"/>
  </r>
  <r>
    <s v="21-07-2026"/>
    <s v="Plastene India ltd - Unit 1-Purchase"/>
    <s v="R.M.P."/>
    <s v="RM 419"/>
    <x v="1"/>
    <s v="PIL1/D/1129"/>
    <s v="21-07-2026"/>
    <s v="SF"/>
    <s v="PP/PE Fabric"/>
    <s v="PP UL Fabric"/>
    <s v="PP Woven Fabric"/>
    <s v="PP UL Fabric With UV"/>
    <n v="1072"/>
    <n v="157037.28"/>
    <s v="PP UL Fabric With UV"/>
    <n v="0"/>
    <n v="9"/>
    <n v="14133.36"/>
    <n v="9"/>
    <n v="14133.36"/>
    <n v="0"/>
    <n v="0"/>
    <n v="0"/>
    <n v="28266.720000000001"/>
    <n v="0"/>
    <s v="24AAACO3087C1ZT"/>
    <s v="Kgs"/>
    <n v="39269080"/>
    <s v="Rs."/>
    <n v="1"/>
    <n v="0"/>
  </r>
  <r>
    <s v="21-07-2026"/>
    <s v="Plastene India ltd - Unit 1-Purchase"/>
    <s v="R.M.P."/>
    <s v="RM 419"/>
    <x v="1"/>
    <s v="PIL1/D/1129"/>
    <s v="21-07-2026"/>
    <s v="SF"/>
    <s v="PP/PE Fabric"/>
    <s v="PP UL Fabric"/>
    <s v="PP Woven Fabric"/>
    <s v="PP UL Fabric With UV"/>
    <n v="570"/>
    <n v="84069.3"/>
    <s v="PP UL Fabric With UV"/>
    <n v="0"/>
    <n v="9"/>
    <n v="7566.24"/>
    <n v="9"/>
    <n v="7566.24"/>
    <n v="0"/>
    <n v="0"/>
    <n v="0"/>
    <n v="15132.48"/>
    <n v="0"/>
    <s v="24AAACO3087C1ZT"/>
    <s v="Kgs"/>
    <n v="39269080"/>
    <s v="Rs."/>
    <n v="1"/>
    <n v="0"/>
  </r>
  <r>
    <s v="21-07-2026"/>
    <s v="Plastene India ltd - Unit 1-Purchase"/>
    <s v="R.M.P."/>
    <s v="RM 422"/>
    <x v="1"/>
    <s v="PIL1/D/1134."/>
    <s v="21-07-2026"/>
    <s v="SF"/>
    <s v="Liners"/>
    <s v="LDPE/LLDPE Bags"/>
    <s v="LLDPE Bags"/>
    <s v="LDPE/LLDPE Bags/Liner"/>
    <n v="99"/>
    <n v="18887.22"/>
    <s v="LDPE/LLDPE Bags/Liner"/>
    <n v="833507.33"/>
    <n v="9"/>
    <n v="1699.85"/>
    <n v="9"/>
    <n v="1699.85"/>
    <n v="0"/>
    <n v="0"/>
    <n v="0"/>
    <n v="3399.7"/>
    <n v="0"/>
    <s v="24AAACO3087C1ZT"/>
    <s v="Kgs"/>
    <n v="39200000"/>
    <s v="Rs."/>
    <n v="1"/>
    <n v="0"/>
  </r>
  <r>
    <s v="21-07-2026"/>
    <s v="Plastene India ltd - Unit 1-Purchase"/>
    <s v="R.M.P."/>
    <s v="RM 422"/>
    <x v="1"/>
    <s v="PIL1/D/1134."/>
    <s v="21-07-2026"/>
    <s v="SF"/>
    <s v="Liners"/>
    <s v="LDPE/LLDPE Bags"/>
    <s v="LLDPE Bags"/>
    <s v="LDPE/LLDPE Bags/Liner"/>
    <n v="591"/>
    <n v="110386.98"/>
    <s v="LDPE/LLDPE Bags/Liner"/>
    <n v="0"/>
    <n v="9"/>
    <n v="9934.83"/>
    <n v="9"/>
    <n v="9934.83"/>
    <n v="0"/>
    <n v="0"/>
    <n v="0"/>
    <n v="19869.66"/>
    <n v="0"/>
    <s v="24AAACO3087C1ZT"/>
    <s v="Kgs"/>
    <n v="39200000"/>
    <s v="Rs."/>
    <n v="1"/>
    <n v="0"/>
  </r>
  <r>
    <s v="21-07-2026"/>
    <s v="Plastene India ltd - Unit 1-Purchase"/>
    <s v="R.M.P."/>
    <s v="RM 422"/>
    <x v="1"/>
    <s v="PIL1/D/1134."/>
    <s v="21-07-2026"/>
    <s v="SF"/>
    <s v="PP/PE Fabric"/>
    <s v="PP UL Fabric"/>
    <s v="PP Woven Fabric"/>
    <s v="PP UL Fabric With UV"/>
    <n v="1793"/>
    <n v="259070.57"/>
    <s v="PP UL Fabric With UV"/>
    <n v="0"/>
    <n v="9"/>
    <n v="23316.35"/>
    <n v="9"/>
    <n v="23316.35"/>
    <n v="0"/>
    <n v="0"/>
    <n v="0"/>
    <n v="46632.7"/>
    <n v="0"/>
    <s v="24AAACO3087C1ZT"/>
    <s v="Kgs"/>
    <n v="39269080"/>
    <s v="Rs."/>
    <n v="1"/>
    <n v="0"/>
  </r>
  <r>
    <s v="21-07-2026"/>
    <s v="Plastene India ltd - Unit 1-Purchase"/>
    <s v="R.M.P."/>
    <s v="RM 422"/>
    <x v="1"/>
    <s v="PIL1/D/1134."/>
    <s v="21-07-2026"/>
    <s v="SF"/>
    <s v="PP/PE Fabric"/>
    <s v="PP Lam Fabric"/>
    <s v="PP Laminated Woven Fabric"/>
    <s v="PP Lam Fabric With UV"/>
    <n v="712"/>
    <n v="107860.88"/>
    <s v="PP Lam Fabric With UV"/>
    <n v="0"/>
    <n v="9"/>
    <n v="9707.48"/>
    <n v="9"/>
    <n v="9707.48"/>
    <n v="0"/>
    <n v="0"/>
    <n v="0"/>
    <n v="19414.96"/>
    <n v="0"/>
    <s v="24AAACO3087C1ZT"/>
    <s v="Kgs"/>
    <n v="63053300"/>
    <s v="Rs."/>
    <n v="1"/>
    <n v="0"/>
  </r>
  <r>
    <s v="21-07-2026"/>
    <s v="Plastene India ltd - Unit 1-Purchase"/>
    <s v="R.M.P."/>
    <s v="RM 422"/>
    <x v="1"/>
    <s v="PIL1/D/1134."/>
    <s v="21-07-2026"/>
    <s v="SF"/>
    <s v="PP/PE Fabric"/>
    <s v="PP Lam Fabric"/>
    <s v="PP Laminated Woven Fabric"/>
    <s v="PP Lam Fabric With UV"/>
    <n v="461"/>
    <n v="68453.89"/>
    <s v="PP Lam Fabric With UV"/>
    <n v="0"/>
    <n v="9"/>
    <n v="6160.85"/>
    <n v="9"/>
    <n v="6160.85"/>
    <n v="0"/>
    <n v="0"/>
    <n v="0"/>
    <n v="12321.7"/>
    <n v="0"/>
    <s v="24AAACO3087C1ZT"/>
    <s v="Kgs"/>
    <n v="63053300"/>
    <s v="Rs."/>
    <n v="1"/>
    <n v="0"/>
  </r>
  <r>
    <s v="21-07-2026"/>
    <s v="Plastene India ltd - Unit 1-Purchase"/>
    <s v="R.M.P."/>
    <s v="RM 422"/>
    <x v="1"/>
    <s v="PIL1/D/1134."/>
    <s v="21-07-2026"/>
    <s v="SF"/>
    <s v="Webbing"/>
    <s v="PP Webbing"/>
    <s v="PP Webbing"/>
    <s v="Webbing"/>
    <n v="164.8"/>
    <n v="28096.75"/>
    <s v="Webbing"/>
    <n v="0"/>
    <n v="9"/>
    <n v="2528.71"/>
    <n v="9"/>
    <n v="2528.71"/>
    <n v="0"/>
    <n v="0"/>
    <n v="0"/>
    <n v="5057.42"/>
    <n v="0"/>
    <s v="24AAACO3087C1ZT"/>
    <s v="Kgs"/>
    <n v="3926908"/>
    <s v="Rs."/>
    <n v="1"/>
    <n v="0"/>
  </r>
  <r>
    <s v="21-07-2026"/>
    <s v="Plastene India ltd - Unit 1-Purchase"/>
    <s v="R.M.P."/>
    <s v="RM 422"/>
    <x v="1"/>
    <s v="PIL1/D/1134."/>
    <s v="21-07-2026"/>
    <s v="SF"/>
    <s v="Webbing"/>
    <s v="PP Webbing"/>
    <s v="PP Webbing"/>
    <s v="Webbing"/>
    <n v="620.6"/>
    <n v="92773.49"/>
    <s v="Webbing"/>
    <n v="0"/>
    <n v="9"/>
    <n v="8349.61"/>
    <n v="9"/>
    <n v="8349.61"/>
    <n v="0"/>
    <n v="0"/>
    <n v="0"/>
    <n v="16699.22"/>
    <n v="0"/>
    <s v="24AAACO3087C1ZT"/>
    <s v="Kgs"/>
    <n v="3926908"/>
    <s v="Rs."/>
    <n v="1"/>
    <n v="0"/>
  </r>
  <r>
    <s v="21-07-2026"/>
    <s v="Plastene India ltd - Unit 1-Purchase"/>
    <s v="R.M.P."/>
    <s v="RM 422"/>
    <x v="1"/>
    <s v="PIL1/D/1134."/>
    <s v="21-07-2026"/>
    <s v="SF"/>
    <s v="Webbing"/>
    <s v="PP Webbing"/>
    <s v="PP Webbing"/>
    <s v="Webbing"/>
    <n v="146.30000000000001"/>
    <n v="21431.49"/>
    <s v="Webbing"/>
    <n v="0"/>
    <n v="9"/>
    <n v="1928.83"/>
    <n v="9"/>
    <n v="1928.83"/>
    <n v="0"/>
    <n v="0"/>
    <n v="0"/>
    <n v="3857.66"/>
    <n v="0"/>
    <s v="24AAACO3087C1ZT"/>
    <s v="Kgs"/>
    <n v="3926908"/>
    <s v="Rs."/>
    <n v="1"/>
    <n v="0"/>
  </r>
  <r>
    <s v="21-07-2026"/>
    <s v="Plastene Polyfilms Ltd-Purchase"/>
    <s v="R.M.P."/>
    <s v="RM 420"/>
    <x v="1"/>
    <s v="PPL/D/384"/>
    <s v="21-07-2026"/>
    <s v="FG"/>
    <s v="FIBC WIP"/>
    <s v="FIBC WIP"/>
    <s v="FIBC WIP"/>
    <s v="PP Woven Fabric"/>
    <n v="243"/>
    <n v="37601.82"/>
    <s v="FIBC WIP"/>
    <n v="53885.38"/>
    <n v="9"/>
    <n v="3384.16"/>
    <n v="9"/>
    <n v="3384.16"/>
    <n v="0"/>
    <n v="0"/>
    <n v="0"/>
    <n v="6768.32"/>
    <n v="0"/>
    <s v="24AAFCP2956A1ZR"/>
    <s v="Kgs"/>
    <n v="39269080"/>
    <s v="Rs."/>
    <n v="1"/>
    <n v="0"/>
  </r>
  <r>
    <s v="21-07-2026"/>
    <s v="Plastene Polyfilms Ltd-Purchase"/>
    <s v="R.M.P."/>
    <s v="RM 420"/>
    <x v="1"/>
    <s v="PPL/D/384"/>
    <s v="21-07-2026"/>
    <s v="SF"/>
    <s v="Liners"/>
    <s v="LDPE/LLDPE Bags"/>
    <s v="LLDPE Bags"/>
    <s v="LDPE/LLDPE Bags/Liner"/>
    <n v="46.3"/>
    <n v="8102.5"/>
    <s v="LDPE/LLDPE Bags/Liner"/>
    <n v="0"/>
    <n v="9"/>
    <n v="729.22"/>
    <n v="9"/>
    <n v="729.22"/>
    <n v="0"/>
    <n v="0"/>
    <n v="0"/>
    <n v="1458.44"/>
    <n v="0"/>
    <s v="24AAFCP2956A1ZR"/>
    <s v="Kgs"/>
    <n v="39200000"/>
    <s v="Rs."/>
    <n v="1"/>
    <n v="0"/>
  </r>
  <r>
    <s v="22-07-2026"/>
    <s v="Hcp Plastene Bulkpack Ltd Vadodara Purchase"/>
    <s v="Branch Transfer In"/>
    <s v="RM 423"/>
    <x v="6"/>
    <s v="HPBLV/DC/7"/>
    <s v="21-07-2026"/>
    <s v="FG"/>
    <s v="FIBC Bags"/>
    <s v="FIBC Bags"/>
    <s v="JUMBO BAG"/>
    <s v="FIBC Bags With UV Without Liner"/>
    <n v="1259.6400000000001"/>
    <n v="237001.27"/>
    <s v="FIBC Bags With UV Without Liner"/>
    <n v="394723.71"/>
    <n v="0"/>
    <n v="0"/>
    <n v="0"/>
    <n v="0"/>
    <n v="0"/>
    <n v="0"/>
    <n v="0"/>
    <n v="0"/>
    <n v="0"/>
    <s v="24AABCG1282C2Z6"/>
    <s v="Kgs"/>
    <n v="63053200"/>
    <s v="Rs."/>
    <n v="1"/>
    <n v="0"/>
  </r>
  <r>
    <s v="22-07-2026"/>
    <s v="Hcp Plastene Bulkpack Ltd Vadodara Purchase"/>
    <s v="Branch Transfer In"/>
    <s v="RM 423"/>
    <x v="6"/>
    <s v="HPBLV/DC/7"/>
    <s v="21-07-2026"/>
    <s v="FG"/>
    <s v="FIBC Bags"/>
    <s v="FIBC Bags"/>
    <s v="JUMBO BAG"/>
    <s v="FIBC Bags With UV Without Liner"/>
    <n v="858.26"/>
    <n v="157722.44"/>
    <s v="FIBC Bags With UV Without Liner"/>
    <n v="0"/>
    <n v="0"/>
    <n v="0"/>
    <n v="0"/>
    <n v="0"/>
    <n v="0"/>
    <n v="0"/>
    <n v="0"/>
    <n v="0"/>
    <n v="0"/>
    <s v="24AABCG1282C2Z6"/>
    <s v="Kgs"/>
    <n v="63053200"/>
    <s v="Rs."/>
    <n v="1"/>
    <n v="0"/>
  </r>
  <r>
    <s v="22-07-2026"/>
    <s v="K.P. Woven Pvt Ltd-Purchase"/>
    <s v="General Purchase"/>
    <s v="GNCN 288"/>
    <x v="0"/>
    <s v="KPV/D/499"/>
    <s v="21-07-2026"/>
    <s v="Stores/Spares"/>
    <s v="MS Structure Items"/>
    <s v="Spares &amp; Stores"/>
    <s v="Stores &amp; Consumables"/>
    <s v="MS Pipe 4  C Class"/>
    <n v="21"/>
    <n v="1008"/>
    <s v="MS Pipe 4  C Class"/>
    <n v="1188.43"/>
    <n v="9"/>
    <n v="90.72"/>
    <n v="9"/>
    <n v="90.72"/>
    <n v="0"/>
    <n v="0"/>
    <n v="0"/>
    <n v="181.44"/>
    <n v="0"/>
    <s v="24AAECK6307M1ZF"/>
    <s v="Kgs"/>
    <n v="73063090"/>
    <s v="Rs."/>
    <n v="1"/>
    <n v="0"/>
  </r>
  <r>
    <s v="22-07-2026"/>
    <s v="K.P. Woven Pvt Ltd-Purchase"/>
    <s v="R.M.P."/>
    <s v="RM 427"/>
    <x v="1"/>
    <s v="KPV/D/498"/>
    <s v="21-07-2026"/>
    <s v="SF"/>
    <s v="Yarn All"/>
    <s v="PP Yarn"/>
    <s v="PP Filament Yarn"/>
    <s v="PP Fibrillated Tape Twisted 3200 Blue"/>
    <n v="955.7"/>
    <n v="147321.16"/>
    <s v="PP Fibrillated Tape Twisted 3200 Blue"/>
    <n v="480401.34"/>
    <n v="2.5"/>
    <n v="3683.03"/>
    <n v="2.5"/>
    <n v="3683.03"/>
    <n v="0"/>
    <n v="0"/>
    <n v="0"/>
    <n v="7366.06"/>
    <n v="0"/>
    <s v="24AAECK6307M1ZF"/>
    <s v="Kgs"/>
    <n v="54026930"/>
    <s v="Rs."/>
    <n v="1"/>
    <n v="0"/>
  </r>
  <r>
    <s v="22-07-2026"/>
    <s v="K.P. Woven Pvt Ltd-Purchase"/>
    <s v="R.M.P."/>
    <s v="RM 427"/>
    <x v="1"/>
    <s v="KPV/D/498"/>
    <s v="21-07-2026"/>
    <s v="SF"/>
    <s v="Yarn All"/>
    <s v="PP Yarn"/>
    <s v="PP Filament Yarn"/>
    <s v="PP Fibrillated Tape Twisted 3200 MW"/>
    <n v="456.8"/>
    <n v="69045.320000000007"/>
    <s v="PP Fibrillated Tape Twisted 3200 MW"/>
    <n v="0"/>
    <n v="2.5"/>
    <n v="1726.13"/>
    <n v="2.5"/>
    <n v="1726.13"/>
    <n v="0"/>
    <n v="0"/>
    <n v="0"/>
    <n v="3452.26"/>
    <n v="0"/>
    <s v="24AAECK6307M1ZF"/>
    <s v="Kgs"/>
    <n v="54026930"/>
    <s v="Rs."/>
    <n v="1"/>
    <n v="0"/>
  </r>
  <r>
    <s v="22-07-2026"/>
    <s v="K.P. Woven Pvt Ltd-Purchase"/>
    <s v="R.M.P."/>
    <s v="RM 427"/>
    <x v="1"/>
    <s v="KPV/D/498"/>
    <s v="21-07-2026"/>
    <s v="SF"/>
    <s v="PP/PE Fabric"/>
    <s v="PP UL Fabric"/>
    <s v="PP Woven Fabric"/>
    <s v="PP UL Fabric With UV"/>
    <n v="1270.8"/>
    <n v="214955.82"/>
    <s v="PP UL Fabric With UV"/>
    <n v="0"/>
    <n v="9"/>
    <n v="19346.02"/>
    <n v="9"/>
    <n v="19346.02"/>
    <n v="0"/>
    <n v="0"/>
    <n v="0"/>
    <n v="38692.04"/>
    <n v="0"/>
    <s v="24AAECK6307M1ZF"/>
    <s v="Kgs"/>
    <n v="39269080"/>
    <s v="Rs."/>
    <n v="1"/>
    <n v="0"/>
  </r>
  <r>
    <s v="22-07-2026"/>
    <s v="New Arm"/>
    <s v="General Purchase"/>
    <s v="GNSP 129"/>
    <x v="0"/>
    <s v="2026-27/92"/>
    <s v="18-07-2026"/>
    <s v="Stores/Spares"/>
    <s v="Needles"/>
    <s v="Spares &amp; Stores"/>
    <s v="Stores &amp; Consumables"/>
    <s v="Needle No 28"/>
    <n v="200"/>
    <n v="19000"/>
    <s v="Needle No 28"/>
    <n v="20160"/>
    <n v="2.5"/>
    <n v="475"/>
    <n v="2.5"/>
    <n v="475"/>
    <n v="0"/>
    <n v="0"/>
    <n v="10"/>
    <n v="960"/>
    <n v="0"/>
    <s v="24ARUPP0806G1ZP"/>
    <s v="Pcs"/>
    <n v="73191020"/>
    <s v="Rs."/>
    <n v="1"/>
    <n v="0"/>
  </r>
  <r>
    <s v="22-07-2026"/>
    <s v="Plastene India ltd - Unit 1-Purchase"/>
    <s v="General Purchase"/>
    <s v="GNCN 289"/>
    <x v="0"/>
    <s v="PIL1/D/1148"/>
    <s v="22-07-2026"/>
    <s v="Stores/Spares"/>
    <s v="MS Structure Items"/>
    <s v="Spares &amp; Stores"/>
    <s v="Stores &amp; Consumables"/>
    <s v="MS Pipe 4  C Class"/>
    <n v="357"/>
    <n v="17136"/>
    <s v="MS Pipe 4  C Class"/>
    <n v="20203.34"/>
    <n v="9"/>
    <n v="1542.24"/>
    <n v="9"/>
    <n v="1542.24"/>
    <n v="0"/>
    <n v="0"/>
    <n v="0"/>
    <n v="3084.48"/>
    <n v="0"/>
    <s v="24AAACO3087C1ZT"/>
    <s v="Kgs"/>
    <n v="73063090"/>
    <s v="Rs."/>
    <n v="1"/>
    <n v="0"/>
  </r>
  <r>
    <s v="22-07-2026"/>
    <s v="Plastene India ltd - Unit 1-Purchase"/>
    <s v="R.M.P."/>
    <s v="RM 428"/>
    <x v="1"/>
    <s v="PIL1/D/1146"/>
    <s v="22-07-2026"/>
    <s v="SF"/>
    <s v="PP/PE Fabric"/>
    <s v="PP Lam Fabric"/>
    <s v="PP Laminated Woven Fabric"/>
    <s v="PP Lam Fabric With UV"/>
    <n v="1345"/>
    <n v="203754.05"/>
    <s v="PP Lam Fabric With UV"/>
    <n v="1373657.92"/>
    <n v="9"/>
    <n v="18337.86"/>
    <n v="9"/>
    <n v="18337.86"/>
    <n v="0"/>
    <n v="0"/>
    <n v="0"/>
    <n v="36675.72"/>
    <n v="0"/>
    <s v="24AAACO3087C1ZT"/>
    <s v="Kgs"/>
    <n v="63053300"/>
    <s v="Rs."/>
    <n v="1"/>
    <n v="0"/>
  </r>
  <r>
    <s v="22-07-2026"/>
    <s v="Plastene India ltd - Unit 1-Purchase"/>
    <s v="R.M.P."/>
    <s v="RM 428"/>
    <x v="1"/>
    <s v="PIL1/D/1146"/>
    <s v="22-07-2026"/>
    <s v="SF"/>
    <s v="PP/PE Fabric"/>
    <s v="PP Lam Fabric"/>
    <s v="PP Laminated Woven Fabric"/>
    <s v="PP Lam Fabric With UV"/>
    <n v="263"/>
    <n v="39052.870000000003"/>
    <s v="PP Lam Fabric With UV"/>
    <n v="0"/>
    <n v="9"/>
    <n v="3514.76"/>
    <n v="9"/>
    <n v="3514.76"/>
    <n v="0"/>
    <n v="0"/>
    <n v="0"/>
    <n v="7029.52"/>
    <n v="0"/>
    <s v="24AAACO3087C1ZT"/>
    <s v="Kgs"/>
    <n v="63053300"/>
    <s v="Rs."/>
    <n v="1"/>
    <n v="0"/>
  </r>
  <r>
    <s v="22-07-2026"/>
    <s v="Plastene India ltd - Unit 1-Purchase"/>
    <s v="R.M.P."/>
    <s v="RM 428"/>
    <x v="1"/>
    <s v="PIL1/D/1146"/>
    <s v="22-07-2026"/>
    <s v="SF"/>
    <s v="PP/PE Fabric"/>
    <s v="PP UL Fabric"/>
    <s v="PP Woven Fabric"/>
    <s v="PP UL Fabric With UV"/>
    <n v="760"/>
    <n v="111332.4"/>
    <s v="PP UL Fabric With UV"/>
    <n v="0"/>
    <n v="9"/>
    <n v="10019.92"/>
    <n v="9"/>
    <n v="10019.92"/>
    <n v="0"/>
    <n v="0"/>
    <n v="0"/>
    <n v="20039.84"/>
    <n v="0"/>
    <s v="24AAACO3087C1ZT"/>
    <s v="Kgs"/>
    <n v="39269080"/>
    <s v="Rs."/>
    <n v="1"/>
    <n v="0"/>
  </r>
  <r>
    <s v="22-07-2026"/>
    <s v="Plastene India ltd - Unit 1-Purchase"/>
    <s v="R.M.P."/>
    <s v="RM 428"/>
    <x v="1"/>
    <s v="PIL1/D/1146"/>
    <s v="22-07-2026"/>
    <s v="SF"/>
    <s v="PP/PE Fabric"/>
    <s v="PP UL Fabric"/>
    <s v="PP Woven Fabric"/>
    <s v="PP UL Fabric With UV"/>
    <n v="5288"/>
    <n v="764063.12"/>
    <s v="PP UL Fabric With UV"/>
    <n v="0"/>
    <n v="9"/>
    <n v="68765.679999999993"/>
    <n v="9"/>
    <n v="68765.679999999993"/>
    <n v="0"/>
    <n v="0"/>
    <n v="0"/>
    <n v="137531.35999999999"/>
    <n v="0"/>
    <s v="24AAACO3087C1ZT"/>
    <s v="Kgs"/>
    <n v="39269080"/>
    <s v="Rs."/>
    <n v="1"/>
    <n v="0"/>
  </r>
  <r>
    <s v="22-07-2026"/>
    <s v="Plastene India ltd - Unit 1-Purchase"/>
    <s v="R.M.P."/>
    <s v="RM 428"/>
    <x v="1"/>
    <s v="PIL1/D/1146"/>
    <s v="22-07-2026"/>
    <s v="SF"/>
    <s v="PP/PE Fabric"/>
    <s v="PP UL Fabric"/>
    <s v="PP Woven Fabric"/>
    <s v="PP UL Fabric With UV"/>
    <n v="318"/>
    <n v="46901.82"/>
    <s v="PP UL Fabric With UV"/>
    <n v="0"/>
    <n v="9"/>
    <n v="4221.16"/>
    <n v="9"/>
    <n v="4221.16"/>
    <n v="0"/>
    <n v="0"/>
    <n v="0"/>
    <n v="8442.32"/>
    <n v="0"/>
    <s v="24AAACO3087C1ZT"/>
    <s v="Kgs"/>
    <n v="39269080"/>
    <s v="Rs."/>
    <n v="1"/>
    <n v="0"/>
  </r>
  <r>
    <s v="22-07-2026"/>
    <s v="Plastene India ltd - Unit 1-Purchase"/>
    <s v="R.M.P."/>
    <s v="RM 429"/>
    <x v="1"/>
    <s v="PIL1/D/1149"/>
    <s v="22-07-2026"/>
    <s v="SF"/>
    <s v="PP/PE Fabric"/>
    <s v="PP UL Fabric"/>
    <s v="PP Woven Fabric"/>
    <s v="PP UL Fabric With UV"/>
    <n v="1220"/>
    <n v="176277.8"/>
    <s v="PP UL Fabric With UV"/>
    <n v="207831.52"/>
    <n v="9"/>
    <n v="15865"/>
    <n v="9"/>
    <n v="15865"/>
    <n v="0"/>
    <n v="0"/>
    <n v="0"/>
    <n v="31730"/>
    <n v="0"/>
    <s v="24AAACO3087C1ZT"/>
    <s v="Kgs"/>
    <n v="39269080"/>
    <s v="Rs."/>
    <n v="1"/>
    <n v="0"/>
  </r>
  <r>
    <s v="22-07-2026"/>
    <s v="Plastene India ltd - Unit 1-Purchase"/>
    <s v="R.M.P."/>
    <s v="RM 430"/>
    <x v="1"/>
    <s v="PIL1/D/1147"/>
    <s v="22-07-2026"/>
    <s v="SF"/>
    <s v="Liners"/>
    <s v="LDPE/LLDPE Bags"/>
    <s v="LLDPE Bags"/>
    <s v="LDPE/LLDPE Bags/Liner"/>
    <n v="2186"/>
    <n v="399557.08"/>
    <s v="LDPE/LLDPE Bags/Liner"/>
    <n v="1447725.94"/>
    <n v="9"/>
    <n v="35960.14"/>
    <n v="9"/>
    <n v="35960.14"/>
    <n v="0"/>
    <n v="0"/>
    <n v="0"/>
    <n v="71920.28"/>
    <n v="0"/>
    <s v="24AAACO3087C1ZT"/>
    <s v="Kgs"/>
    <n v="39200000"/>
    <s v="Rs."/>
    <n v="1"/>
    <n v="0"/>
  </r>
  <r>
    <s v="22-07-2026"/>
    <s v="Plastene India ltd - Unit 1-Purchase"/>
    <s v="R.M.P."/>
    <s v="RM 430"/>
    <x v="1"/>
    <s v="PIL1/D/1147"/>
    <s v="22-07-2026"/>
    <s v="SF"/>
    <s v="Liners"/>
    <s v="LDPE/LLDPE Bags"/>
    <s v="LLDPE Bags"/>
    <s v="LDPE/LLDPE Bags/Liner"/>
    <n v="588"/>
    <n v="109826.64"/>
    <s v="LDPE/LLDPE Bags/Liner"/>
    <n v="0"/>
    <n v="9"/>
    <n v="9884.4"/>
    <n v="9"/>
    <n v="9884.4"/>
    <n v="0"/>
    <n v="0"/>
    <n v="0"/>
    <n v="19768.8"/>
    <n v="0"/>
    <s v="24AAACO3087C1ZT"/>
    <s v="Kgs"/>
    <n v="39200000"/>
    <s v="Rs."/>
    <n v="1"/>
    <n v="0"/>
  </r>
  <r>
    <s v="22-07-2026"/>
    <s v="Plastene India ltd - Unit 1-Purchase"/>
    <s v="R.M.P."/>
    <s v="RM 430"/>
    <x v="1"/>
    <s v="PIL1/D/1147"/>
    <s v="22-07-2026"/>
    <s v="SF"/>
    <s v="PP/PE Fabric"/>
    <s v="PP UL Fabric"/>
    <s v="PP Woven Fabric"/>
    <s v="PP UL Fabric With UV"/>
    <n v="633"/>
    <n v="92728.17"/>
    <s v="PP UL Fabric With UV"/>
    <n v="0"/>
    <n v="9"/>
    <n v="8345.5400000000009"/>
    <n v="9"/>
    <n v="8345.5400000000009"/>
    <n v="0"/>
    <n v="0"/>
    <n v="0"/>
    <n v="16691.080000000002"/>
    <n v="0"/>
    <s v="24AAACO3087C1ZT"/>
    <s v="Kgs"/>
    <n v="39269080"/>
    <s v="Rs."/>
    <n v="1"/>
    <n v="0"/>
  </r>
  <r>
    <s v="22-07-2026"/>
    <s v="Plastene India ltd - Unit 1-Purchase"/>
    <s v="R.M.P."/>
    <s v="RM 430"/>
    <x v="1"/>
    <s v="PIL1/D/1147"/>
    <s v="22-07-2026"/>
    <s v="SF"/>
    <s v="PP/PE Fabric"/>
    <s v="PP UL Fabric"/>
    <s v="PP Woven Fabric"/>
    <s v="PP UL Fabric With UV"/>
    <n v="215"/>
    <n v="31710.35"/>
    <s v="PP UL Fabric With UV"/>
    <n v="0"/>
    <n v="9"/>
    <n v="2853.93"/>
    <n v="9"/>
    <n v="2853.93"/>
    <n v="0"/>
    <n v="0"/>
    <n v="0"/>
    <n v="5707.86"/>
    <n v="0"/>
    <s v="24AAACO3087C1ZT"/>
    <s v="Kgs"/>
    <n v="39269080"/>
    <s v="Rs."/>
    <n v="1"/>
    <n v="0"/>
  </r>
  <r>
    <s v="22-07-2026"/>
    <s v="Plastene India ltd - Unit 1-Purchase"/>
    <s v="R.M.P."/>
    <s v="RM 430"/>
    <x v="1"/>
    <s v="PIL1/D/1147"/>
    <s v="22-07-2026"/>
    <s v="SF"/>
    <s v="PP/PE Fabric"/>
    <s v="PP UL Fabric"/>
    <s v="PP Woven Fabric"/>
    <s v="PP UL Fabric With UV"/>
    <n v="3002"/>
    <n v="433758.98"/>
    <s v="PP UL Fabric With UV"/>
    <n v="0"/>
    <n v="9"/>
    <n v="39038.31"/>
    <n v="9"/>
    <n v="39038.31"/>
    <n v="0"/>
    <n v="0"/>
    <n v="0"/>
    <n v="78076.62"/>
    <n v="0"/>
    <s v="24AAACO3087C1ZT"/>
    <s v="Kgs"/>
    <n v="39269080"/>
    <s v="Rs."/>
    <n v="1"/>
    <n v="0"/>
  </r>
  <r>
    <s v="22-07-2026"/>
    <s v="Plastene India ltd - Unit 1-Purchase"/>
    <s v="R.M.P."/>
    <s v="RM 430"/>
    <x v="1"/>
    <s v="PIL1/D/1147"/>
    <s v="22-07-2026"/>
    <s v="SF"/>
    <s v="Webbing"/>
    <s v="PP Webbing"/>
    <s v="PP Webbing"/>
    <s v="Webbing"/>
    <n v="167"/>
    <n v="28471.83"/>
    <s v="Webbing"/>
    <n v="0"/>
    <n v="9"/>
    <n v="2562.46"/>
    <n v="9"/>
    <n v="2562.46"/>
    <n v="0"/>
    <n v="0"/>
    <n v="0"/>
    <n v="5124.92"/>
    <n v="0"/>
    <s v="24AAACO3087C1ZT"/>
    <s v="Kgs"/>
    <n v="3926908"/>
    <s v="Rs."/>
    <n v="1"/>
    <n v="0"/>
  </r>
  <r>
    <s v="22-07-2026"/>
    <s v="Plastene India ltd - Unit 1-Purchase"/>
    <s v="R.M.P."/>
    <s v="RM 430"/>
    <x v="1"/>
    <s v="PIL1/D/1147"/>
    <s v="22-07-2026"/>
    <s v="SF"/>
    <s v="Webbing"/>
    <s v="PP Webbing"/>
    <s v="PP Webbing"/>
    <s v="Webbing"/>
    <n v="377.2"/>
    <n v="56387.63"/>
    <s v="Webbing"/>
    <n v="0"/>
    <n v="9"/>
    <n v="5074.8900000000003"/>
    <n v="9"/>
    <n v="5074.8900000000003"/>
    <n v="0"/>
    <n v="0"/>
    <n v="0"/>
    <n v="10149.780000000001"/>
    <n v="0"/>
    <s v="24AAACO3087C1ZT"/>
    <s v="Kgs"/>
    <n v="3926908"/>
    <s v="Rs."/>
    <n v="1"/>
    <n v="0"/>
  </r>
  <r>
    <s v="22-07-2026"/>
    <s v="Plastene India ltd - Unit 1-Purchase"/>
    <s v="R.M.P."/>
    <s v="RM 430"/>
    <x v="1"/>
    <s v="PIL1/D/1147"/>
    <s v="22-07-2026"/>
    <s v="SF"/>
    <s v="Webbing"/>
    <s v="PP Webbing"/>
    <s v="PP Webbing"/>
    <s v="Webbing"/>
    <n v="515.29999999999995"/>
    <n v="75486.3"/>
    <s v="Webbing"/>
    <n v="0"/>
    <n v="9"/>
    <n v="6793.77"/>
    <n v="9"/>
    <n v="6793.77"/>
    <n v="0"/>
    <n v="0"/>
    <n v="0"/>
    <n v="13587.54"/>
    <n v="0"/>
    <s v="24AAACO3087C1ZT"/>
    <s v="Kgs"/>
    <n v="3926908"/>
    <s v="Rs."/>
    <n v="1"/>
    <n v="0"/>
  </r>
  <r>
    <s v="22-07-2026"/>
    <s v="S.R.Sewing Tech"/>
    <s v="General Purchase"/>
    <s v="GNSP 130"/>
    <x v="4"/>
    <s v="SR/566/26-27"/>
    <s v="17-07-2026"/>
    <s v="Stores/Spares"/>
    <s v="Stitching Spares"/>
    <s v="Spares &amp; Stores"/>
    <s v="Stores &amp; Consumables"/>
    <s v="Spreader, Upper For Overedge Stitching  (81507)"/>
    <n v="10"/>
    <n v="10500"/>
    <s v="Spreader, Upper For Overedge Stitching  (81507)"/>
    <n v="65678"/>
    <n v="0"/>
    <n v="0"/>
    <n v="0"/>
    <n v="0"/>
    <n v="5"/>
    <n v="525"/>
    <n v="26.25"/>
    <n v="551.25"/>
    <n v="0"/>
    <s v="19AORPR0945L1Z4"/>
    <s v="Pcs"/>
    <n v="84529099"/>
    <s v="Rs."/>
    <n v="1"/>
    <n v="0"/>
  </r>
  <r>
    <s v="22-07-2026"/>
    <s v="S.R.Sewing Tech"/>
    <s v="General Purchase"/>
    <s v="GNSP 130"/>
    <x v="4"/>
    <s v="SR/566/26-27"/>
    <s v="17-07-2026"/>
    <s v="Stores/Spares"/>
    <s v="Stitching Spares"/>
    <s v="Spares &amp; Stores"/>
    <s v="Stores &amp; Consumables"/>
    <s v="Thread Retainer For Overedge Stitching   (81511)"/>
    <n v="10"/>
    <n v="2500"/>
    <s v="Thread Retainer For Overedge Stitching   (81511)"/>
    <n v="0"/>
    <n v="0"/>
    <n v="0"/>
    <n v="0"/>
    <n v="0"/>
    <n v="5"/>
    <n v="125"/>
    <n v="26.25"/>
    <n v="151.25"/>
    <n v="0"/>
    <s v="19AORPR0945L1Z4"/>
    <s v="Pcs"/>
    <n v="84529099"/>
    <s v="Rs."/>
    <n v="1"/>
    <n v="0"/>
  </r>
  <r>
    <s v="22-07-2026"/>
    <s v="S.R.Sewing Tech"/>
    <s v="General Purchase"/>
    <s v="GNSP 130"/>
    <x v="4"/>
    <s v="SR/566/26-27"/>
    <s v="17-07-2026"/>
    <s v="Stores/Spares"/>
    <s v="Stitching Spares"/>
    <s v="Spares &amp; Stores"/>
    <s v="Stores &amp; Consumables"/>
    <s v="Feed Dog Lower  (41305 A)"/>
    <n v="8"/>
    <n v="6800"/>
    <s v="Feed Dog Lower  (41305 A)"/>
    <n v="0"/>
    <n v="0"/>
    <n v="0"/>
    <n v="0"/>
    <n v="0"/>
    <n v="5"/>
    <n v="340"/>
    <n v="26.25"/>
    <n v="366.25"/>
    <n v="0"/>
    <s v="19AORPR0945L1Z4"/>
    <s v="Pcs"/>
    <n v="84529099"/>
    <s v="Rs."/>
    <n v="1"/>
    <n v="0"/>
  </r>
  <r>
    <s v="22-07-2026"/>
    <s v="S.R.Sewing Tech"/>
    <s v="General Purchase"/>
    <s v="GNSP 130"/>
    <x v="4"/>
    <s v="SR/566/26-27"/>
    <s v="17-07-2026"/>
    <s v="Stores/Spares"/>
    <s v="Stitching Spares"/>
    <s v="Spares &amp; Stores"/>
    <s v="Stores &amp; Consumables"/>
    <s v="Connecting Rod 81362"/>
    <n v="10"/>
    <n v="800"/>
    <s v="Connecting Rod 81362"/>
    <n v="0"/>
    <n v="0"/>
    <n v="0"/>
    <n v="0"/>
    <n v="0"/>
    <n v="5"/>
    <n v="40"/>
    <n v="26.25"/>
    <n v="66.25"/>
    <n v="0"/>
    <s v="19AORPR0945L1Z4"/>
    <s v="Pcs"/>
    <n v="84529099"/>
    <s v="Rs."/>
    <n v="1"/>
    <n v="0"/>
  </r>
  <r>
    <s v="22-07-2026"/>
    <s v="S.R.Sewing Tech"/>
    <s v="General Purchase"/>
    <s v="GNSP 130"/>
    <x v="4"/>
    <s v="SR/566/26-27"/>
    <s v="17-07-2026"/>
    <s v="Stores/Spares"/>
    <s v="Hardware Items"/>
    <s v="Spares &amp; Stores"/>
    <s v="Stores &amp; Consumables"/>
    <s v="Screw 22580"/>
    <n v="20"/>
    <n v="400"/>
    <s v="Screw 22580"/>
    <n v="0"/>
    <n v="0"/>
    <n v="0"/>
    <n v="0"/>
    <n v="0"/>
    <n v="5"/>
    <n v="20"/>
    <n v="26.25"/>
    <n v="46.25"/>
    <n v="0"/>
    <s v="19AORPR0945L1Z4"/>
    <s v="Pcs"/>
    <n v="73181500"/>
    <s v="Rs."/>
    <n v="1"/>
    <n v="0"/>
  </r>
  <r>
    <s v="22-07-2026"/>
    <s v="S.R.Sewing Tech"/>
    <s v="General Purchase"/>
    <s v="GNSP 130"/>
    <x v="4"/>
    <s v="SR/566/26-27"/>
    <s v="17-07-2026"/>
    <s v="Stores/Spares"/>
    <s v="Stitching Spares"/>
    <s v="Spares &amp; Stores"/>
    <s v="Stores &amp; Consumables"/>
    <s v="Spreader Lever 81313 A"/>
    <n v="10"/>
    <n v="25000"/>
    <s v="Spreader Lever 81313 A"/>
    <n v="0"/>
    <n v="0"/>
    <n v="0"/>
    <n v="0"/>
    <n v="0"/>
    <n v="5"/>
    <n v="1250"/>
    <n v="26.25"/>
    <n v="1276.25"/>
    <n v="0"/>
    <s v="19AORPR0945L1Z4"/>
    <s v="Pcs"/>
    <n v="84529099"/>
    <s v="Rs."/>
    <n v="1"/>
    <n v="0"/>
  </r>
  <r>
    <s v="22-07-2026"/>
    <s v="S.R.Sewing Tech"/>
    <s v="General Purchase"/>
    <s v="GNSP 130"/>
    <x v="4"/>
    <s v="SR/566/26-27"/>
    <s v="17-07-2026"/>
    <s v="Stores/Spares"/>
    <s v="Stitching Spares"/>
    <s v="Spares &amp; Stores"/>
    <s v="Stores &amp; Consumables"/>
    <s v="Ball Stud 81349"/>
    <n v="10"/>
    <n v="2400"/>
    <s v="Ball Stud 81349"/>
    <n v="0"/>
    <n v="0"/>
    <n v="0"/>
    <n v="0"/>
    <n v="0"/>
    <n v="5"/>
    <n v="120"/>
    <n v="26.25"/>
    <n v="146.25"/>
    <n v="0"/>
    <s v="19AORPR0945L1Z4"/>
    <s v="Pcs"/>
    <n v="84529099"/>
    <s v="Rs."/>
    <n v="1"/>
    <n v="0"/>
  </r>
  <r>
    <s v="22-07-2026"/>
    <s v="S.R.Sewing Tech"/>
    <s v="General Purchase"/>
    <s v="GNSP 130"/>
    <x v="4"/>
    <s v="SR/566/26-27"/>
    <s v="17-07-2026"/>
    <s v="Stores/Spares"/>
    <s v="Stitching Spares"/>
    <s v="Spares &amp; Stores"/>
    <s v="Stores &amp; Consumables"/>
    <s v="Ha 23   Guide Plate"/>
    <n v="10"/>
    <n v="2500"/>
    <s v="Ha 23   Guide Plate"/>
    <n v="0"/>
    <n v="0"/>
    <n v="0"/>
    <n v="0"/>
    <n v="0"/>
    <n v="5"/>
    <n v="125"/>
    <n v="26.25"/>
    <n v="151.25"/>
    <n v="0"/>
    <s v="19AORPR0945L1Z4"/>
    <s v="Pcs"/>
    <n v="84529099"/>
    <s v="Rs."/>
    <n v="1"/>
    <n v="0"/>
  </r>
  <r>
    <s v="22-07-2026"/>
    <s v="S.R.Sewing Tech"/>
    <s v="General Purchase"/>
    <s v="GNSP 130"/>
    <x v="4"/>
    <s v="SR/566/26-27"/>
    <s v="17-07-2026"/>
    <s v="Stores/Spares"/>
    <s v="Stitching Spares"/>
    <s v="Spares &amp; Stores"/>
    <s v="Stores &amp; Consumables"/>
    <s v="Needle Guard 81325"/>
    <n v="10"/>
    <n v="5000"/>
    <s v="Needle Guard 81325"/>
    <n v="0"/>
    <n v="0"/>
    <n v="0"/>
    <n v="0"/>
    <n v="0"/>
    <n v="5"/>
    <n v="250"/>
    <n v="26.25"/>
    <n v="276.25"/>
    <n v="0"/>
    <s v="19AORPR0945L1Z4"/>
    <s v="Pcs"/>
    <n v="84529099"/>
    <s v="Rs."/>
    <n v="1"/>
    <n v="0"/>
  </r>
  <r>
    <s v="22-07-2026"/>
    <s v="S.R.Sewing Tech"/>
    <s v="General Purchase"/>
    <s v="GNSP 130"/>
    <x v="4"/>
    <s v="SR/566/26-27"/>
    <s v="17-07-2026"/>
    <s v="Stores/Spares"/>
    <s v="Hardware Items"/>
    <s v="Spares &amp; Stores"/>
    <s v="Stores &amp; Consumables"/>
    <s v="97 A Screw."/>
    <n v="25"/>
    <n v="875"/>
    <s v="97 A Screw."/>
    <n v="0"/>
    <n v="0"/>
    <n v="0"/>
    <n v="0"/>
    <n v="0"/>
    <n v="5"/>
    <n v="43.75"/>
    <n v="26.25"/>
    <n v="70"/>
    <n v="0"/>
    <s v="19AORPR0945L1Z4"/>
    <s v="Pcs"/>
    <n v="84529099"/>
    <s v="Rs."/>
    <n v="1"/>
    <n v="0"/>
  </r>
  <r>
    <s v="22-07-2026"/>
    <s v="S.R.Sewing Tech"/>
    <s v="General Purchase"/>
    <s v="GNSP 130"/>
    <x v="4"/>
    <s v="SR/566/26-27"/>
    <s v="17-07-2026"/>
    <s v="Stores/Spares"/>
    <s v="Stitching Spares"/>
    <s v="Spares &amp; Stores"/>
    <s v="Stores &amp; Consumables"/>
    <s v="Looper Thread Guide 81350D"/>
    <n v="10"/>
    <n v="1500"/>
    <s v="Looper Thread Guide 81350D"/>
    <n v="0"/>
    <n v="0"/>
    <n v="0"/>
    <n v="0"/>
    <n v="0"/>
    <n v="5"/>
    <n v="75"/>
    <n v="26.25"/>
    <n v="101.25"/>
    <n v="0"/>
    <s v="19AORPR0945L1Z4"/>
    <s v="Pcs"/>
    <n v="84529099"/>
    <s v="Rs."/>
    <n v="1"/>
    <n v="0"/>
  </r>
  <r>
    <s v="22-07-2026"/>
    <s v="S.R.Sewing Tech"/>
    <s v="General Purchase"/>
    <s v="GNSP 130"/>
    <x v="4"/>
    <s v="SR/566/26-27"/>
    <s v="17-07-2026"/>
    <s v="Stores/Spares"/>
    <s v="Stitching Spares"/>
    <s v="Spares &amp; Stores"/>
    <s v="Stores &amp; Consumables"/>
    <s v="Guide Link # 80732"/>
    <n v="3"/>
    <n v="3750"/>
    <s v="Guide Link # 80732"/>
    <n v="0"/>
    <n v="0"/>
    <n v="0"/>
    <n v="0"/>
    <n v="0"/>
    <n v="5"/>
    <n v="187.5"/>
    <n v="26.25"/>
    <n v="213.75"/>
    <n v="0"/>
    <s v="19AORPR0945L1Z4"/>
    <s v="Pcs"/>
    <n v="84529099"/>
    <s v="Rs."/>
    <n v="1"/>
    <n v="0"/>
  </r>
  <r>
    <s v="22-07-2026"/>
    <s v="Shree Salareshwar Wood Packers Private Limited."/>
    <s v="Purchase"/>
    <s v="GNPK 72"/>
    <x v="3"/>
    <s v="SS/SL/26-27/226"/>
    <s v="21-07-2026"/>
    <s v="Packing Material"/>
    <s v="Pallets"/>
    <s v="Pallets"/>
    <s v="Packing Material"/>
    <s v="Pine Wooden Pallet Design Code QP90110"/>
    <n v="70"/>
    <n v="47670"/>
    <s v="Pine Wooden Pallet Design Code QP90110"/>
    <n v="50053.5"/>
    <n v="2.5"/>
    <n v="1191.75"/>
    <n v="2.5"/>
    <n v="1191.75"/>
    <n v="0"/>
    <n v="0"/>
    <n v="0"/>
    <n v="2383.5"/>
    <n v="0"/>
    <s v="24ABLCS6579H1ZR"/>
    <s v="Pcs"/>
    <n v="44152000"/>
    <s v="Rs."/>
    <n v="1"/>
    <n v="0"/>
  </r>
  <r>
    <s v="22-07-2026"/>
    <s v="Vyankatesh Udyog (I) Pvt Ltd - Purchase"/>
    <s v="R.M.P."/>
    <s v="RM 424"/>
    <x v="7"/>
    <s v="1101/26-27"/>
    <d v="2026-12-07T00:00:00"/>
    <s v="RM Consumables"/>
    <s v="Ink"/>
    <s v="Thinner"/>
    <s v="Thinner"/>
    <s v="Thinner Vyankatesh Thinner"/>
    <n v="5100"/>
    <n v="550800"/>
    <s v="Thinner Vyankatesh Thinner"/>
    <n v="649944"/>
    <n v="0"/>
    <n v="0"/>
    <n v="0"/>
    <n v="0"/>
    <n v="18"/>
    <n v="99144"/>
    <n v="0"/>
    <n v="99144"/>
    <n v="0"/>
    <s v="27AAECV8365Q1ZC"/>
    <s v="Kgs"/>
    <n v="38140010"/>
    <s v="Rs."/>
    <n v="1"/>
    <n v="0"/>
  </r>
  <r>
    <s v="22-07-2026"/>
    <s v="Vyankatesh Udyog (I) Pvt Ltd - Purchase"/>
    <s v="R.M.P."/>
    <s v="RM 425"/>
    <x v="7"/>
    <s v="1155/26-27"/>
    <s v="16-07-2026"/>
    <s v="RM Consumables"/>
    <s v="Ink"/>
    <s v="Ink"/>
    <s v="Printing Inks"/>
    <s v="Ink Vyankatesh Poly Opaque White OPEQUE WHITE VLX 624"/>
    <n v="200"/>
    <n v="55400"/>
    <s v="Ink Vyankatesh Poly Opaque White OPEQUE WHITE VLX 624"/>
    <n v="352083"/>
    <n v="0"/>
    <n v="0"/>
    <n v="0"/>
    <n v="0"/>
    <n v="18"/>
    <n v="9972"/>
    <n v="0"/>
    <n v="9972"/>
    <n v="0"/>
    <s v="27AAECV8365Q1ZC"/>
    <s v="Kgs"/>
    <n v="32151910"/>
    <s v="Rs."/>
    <n v="1"/>
    <n v="0"/>
  </r>
  <r>
    <s v="22-07-2026"/>
    <s v="Vyankatesh Udyog (I) Pvt Ltd - Purchase"/>
    <s v="R.M.P."/>
    <s v="RM 425"/>
    <x v="7"/>
    <s v="1155/26-27"/>
    <s v="16-07-2026"/>
    <s v="RM Consumables"/>
    <s v="Ink"/>
    <s v="Ink"/>
    <s v="Printing Inks"/>
    <s v="Ink Vyankatesh Poly Process Blue VLX 643"/>
    <n v="100"/>
    <n v="31100"/>
    <s v="Ink Vyankatesh Poly Process Blue VLX 643"/>
    <n v="0"/>
    <n v="0"/>
    <n v="0"/>
    <n v="0"/>
    <n v="0"/>
    <n v="18"/>
    <n v="5598"/>
    <n v="0"/>
    <n v="5598"/>
    <n v="0"/>
    <s v="27AAECV8365Q1ZC"/>
    <s v="Kgs"/>
    <n v="32151990"/>
    <s v="Rs."/>
    <n v="1"/>
    <n v="0"/>
  </r>
  <r>
    <s v="22-07-2026"/>
    <s v="Vyankatesh Udyog (I) Pvt Ltd - Purchase"/>
    <s v="R.M.P."/>
    <s v="RM 425"/>
    <x v="7"/>
    <s v="1155/26-27"/>
    <s v="16-07-2026"/>
    <s v="RM Consumables"/>
    <s v="Ink"/>
    <s v="Ink"/>
    <s v="Printing Inks"/>
    <s v="Ink Vyankatesh Poly Process Yellow VLX 671"/>
    <n v="150"/>
    <n v="42300"/>
    <s v="Ink Vyankatesh Poly Process Yellow VLX 671"/>
    <n v="0"/>
    <n v="0"/>
    <n v="0"/>
    <n v="0"/>
    <n v="0"/>
    <n v="18"/>
    <n v="7614"/>
    <n v="0"/>
    <n v="7614"/>
    <n v="0"/>
    <s v="27AAECV8365Q1ZC"/>
    <s v="Kgs"/>
    <n v="84485900"/>
    <s v="Rs."/>
    <n v="1"/>
    <n v="0"/>
  </r>
  <r>
    <s v="22-07-2026"/>
    <s v="Vyankatesh Udyog (I) Pvt Ltd - Purchase"/>
    <s v="R.M.P."/>
    <s v="RM 425"/>
    <x v="7"/>
    <s v="1155/26-27"/>
    <s v="16-07-2026"/>
    <s v="RM Consumables"/>
    <s v="Ink"/>
    <s v="Ink"/>
    <s v="Printing Inks"/>
    <s v="Ink Vyankatesh Poly Red Pantone 032C"/>
    <n v="75"/>
    <n v="21375"/>
    <s v="Ink Vyankatesh Poly Red Pantone 032C"/>
    <n v="0"/>
    <n v="0"/>
    <n v="0"/>
    <n v="0"/>
    <n v="0"/>
    <n v="18"/>
    <n v="3847.5"/>
    <n v="0"/>
    <n v="3847.5"/>
    <n v="0"/>
    <s v="27AAECV8365Q1ZC"/>
    <s v="Kgs"/>
    <n v="84529099"/>
    <s v="Rs."/>
    <n v="1"/>
    <n v="0"/>
  </r>
  <r>
    <s v="22-07-2026"/>
    <s v="Vyankatesh Udyog (I) Pvt Ltd - Purchase"/>
    <s v="R.M.P."/>
    <s v="RM 425"/>
    <x v="7"/>
    <s v="1155/26-27"/>
    <s v="16-07-2026"/>
    <s v="RM Consumables"/>
    <s v="Ink"/>
    <s v="Ink"/>
    <s v="Printing Inks"/>
    <s v="Ink Vyankatesh Poly Robbin Red VLX 876"/>
    <n v="50"/>
    <n v="13850"/>
    <s v="Ink Vyankatesh Poly Robbin Red VLX 876"/>
    <n v="0"/>
    <n v="0"/>
    <n v="0"/>
    <n v="0"/>
    <n v="0"/>
    <n v="18"/>
    <n v="2493"/>
    <n v="0"/>
    <n v="2493"/>
    <n v="0"/>
    <s v="27AAECV8365Q1ZC"/>
    <s v="Kgs"/>
    <n v="84529099"/>
    <s v="Rs."/>
    <n v="1"/>
    <n v="0"/>
  </r>
  <r>
    <s v="22-07-2026"/>
    <s v="Vyankatesh Udyog (I) Pvt Ltd - Purchase"/>
    <s v="R.M.P."/>
    <s v="RM 425"/>
    <x v="7"/>
    <s v="1155/26-27"/>
    <s v="16-07-2026"/>
    <s v="RM Consumables"/>
    <s v="Ink"/>
    <s v="Ink"/>
    <s v="Printing Inks"/>
    <s v="Ink Vyankatesh Poly Green 355C VLX 619"/>
    <n v="100"/>
    <n v="27700"/>
    <s v="Ink Vyankatesh Poly Green 355C VLX 619"/>
    <n v="0"/>
    <n v="0"/>
    <n v="0"/>
    <n v="0"/>
    <n v="0"/>
    <n v="18"/>
    <n v="4986"/>
    <n v="0"/>
    <n v="4986"/>
    <n v="0"/>
    <s v="27AAECV8365Q1ZC"/>
    <s v="Kgs"/>
    <n v="32151910"/>
    <s v="Rs."/>
    <n v="1"/>
    <n v="0"/>
  </r>
  <r>
    <s v="22-07-2026"/>
    <s v="Vyankatesh Udyog (I) Pvt Ltd - Purchase"/>
    <s v="R.M.P."/>
    <s v="RM 425"/>
    <x v="7"/>
    <s v="1155/26-27"/>
    <s v="16-07-2026"/>
    <s v="RM Consumables"/>
    <s v="Ink"/>
    <s v="Ink"/>
    <s v="Printing Inks"/>
    <s v="Ink Vyankatesh Red 485c"/>
    <n v="150"/>
    <n v="41550"/>
    <s v="Ink Vyankatesh Red 485c"/>
    <n v="0"/>
    <n v="0"/>
    <n v="0"/>
    <n v="0"/>
    <n v="0"/>
    <n v="18"/>
    <n v="7479"/>
    <n v="0"/>
    <n v="7479"/>
    <n v="0"/>
    <s v="27AAECV8365Q1ZC"/>
    <s v="Kgs"/>
    <n v="32151910"/>
    <s v="Rs."/>
    <n v="1"/>
    <n v="0"/>
  </r>
  <r>
    <s v="22-07-2026"/>
    <s v="Vyankatesh Udyog (I) Pvt Ltd - Purchase"/>
    <s v="R.M.P."/>
    <s v="RM 425"/>
    <x v="7"/>
    <s v="1155/26-27"/>
    <s v="16-07-2026"/>
    <s v="RM Consumables"/>
    <s v="Ink"/>
    <s v="Ink"/>
    <s v="Printing Inks"/>
    <s v="Ink Vyankatesh Poly Black VLX 579"/>
    <n v="300"/>
    <n v="65100"/>
    <s v="Ink Vyankatesh Poly Black VLX 579"/>
    <n v="0"/>
    <n v="0"/>
    <n v="0"/>
    <n v="0"/>
    <n v="0"/>
    <n v="18"/>
    <n v="11718"/>
    <n v="0"/>
    <n v="11718"/>
    <n v="0"/>
    <s v="27AAECV8365Q1ZC"/>
    <s v="Kgs"/>
    <n v="32151910"/>
    <s v="Rs."/>
    <n v="1"/>
    <n v="0"/>
  </r>
  <r>
    <s v="23-07-2026"/>
    <s v="Plastene India ltd - Unit 1-Purchase"/>
    <s v="General Purchase"/>
    <s v="GNCN 290"/>
    <x v="0"/>
    <s v="PIL1/D/1158"/>
    <s v="23-07-2026"/>
    <s v="Stores/Spares"/>
    <s v="MS Structure Items"/>
    <s v="Spares &amp; Stores"/>
    <s v="Stores &amp; Consumables"/>
    <s v="MS Pipe 4  C Class"/>
    <n v="314"/>
    <n v="15072"/>
    <s v="MS Pipe 4  C Class"/>
    <n v="17769.89"/>
    <n v="9"/>
    <n v="1356.48"/>
    <n v="9"/>
    <n v="1356.48"/>
    <n v="0"/>
    <n v="0"/>
    <n v="0"/>
    <n v="2712.96"/>
    <n v="0"/>
    <s v="24AAACO3087C1ZT"/>
    <s v="Kgs"/>
    <n v="73063090"/>
    <s v="Rs."/>
    <n v="1"/>
    <n v="0"/>
  </r>
  <r>
    <s v="23-07-2026"/>
    <s v="Plastene India ltd - Unit 1-Purchase"/>
    <s v="R.M.P."/>
    <s v="RM 431"/>
    <x v="1"/>
    <s v="PIL1/D/1157"/>
    <s v="23-07-2026"/>
    <s v="FG"/>
    <s v="FIBC Bags"/>
    <s v="FIBC Bags"/>
    <s v="JUMBO BAG"/>
    <s v="FIBC Bags With UV Without Liner"/>
    <n v="789"/>
    <n v="150738.45000000001"/>
    <s v="FIBC Bags With UV Without Liner"/>
    <n v="1416295.56"/>
    <n v="9"/>
    <n v="13566.46"/>
    <n v="9"/>
    <n v="13566.46"/>
    <n v="0"/>
    <n v="0"/>
    <n v="0"/>
    <n v="27132.92"/>
    <n v="0"/>
    <s v="24AAACO3087C1ZT"/>
    <s v="Kgs"/>
    <n v="63053200"/>
    <s v="Rs."/>
    <n v="1"/>
    <n v="0"/>
  </r>
  <r>
    <s v="23-07-2026"/>
    <s v="Plastene India ltd - Unit 1-Purchase"/>
    <s v="R.M.P."/>
    <s v="RM 431"/>
    <x v="1"/>
    <s v="PIL1/D/1157"/>
    <s v="23-07-2026"/>
    <s v="FG"/>
    <s v="FIBC Bags"/>
    <s v="FIBC Bags"/>
    <s v="JUMBO BAG"/>
    <s v="FIBC Bags With UV Without Liner"/>
    <n v="1180"/>
    <n v="258113.2"/>
    <s v="FIBC Bags With UV Without Liner"/>
    <n v="0"/>
    <n v="9"/>
    <n v="23230.19"/>
    <n v="9"/>
    <n v="23230.19"/>
    <n v="0"/>
    <n v="0"/>
    <n v="0"/>
    <n v="46460.38"/>
    <n v="0"/>
    <s v="24AAACO3087C1ZT"/>
    <s v="Kgs"/>
    <n v="63053200"/>
    <s v="Rs."/>
    <n v="1"/>
    <n v="0"/>
  </r>
  <r>
    <s v="23-07-2026"/>
    <s v="Plastene India ltd - Unit 1-Purchase"/>
    <s v="R.M.P."/>
    <s v="RM 431"/>
    <x v="1"/>
    <s v="PIL1/D/1157"/>
    <s v="23-07-2026"/>
    <s v="FG"/>
    <s v="FIBC Bags"/>
    <s v="FIBC Bags"/>
    <s v="JUMBO BAG"/>
    <s v="FIBC Bags With UV Without Liner"/>
    <n v="2767"/>
    <n v="540588.79"/>
    <s v="FIBC Bags With UV Without Liner"/>
    <n v="0"/>
    <n v="9"/>
    <n v="48652.99"/>
    <n v="9"/>
    <n v="48652.99"/>
    <n v="0"/>
    <n v="0"/>
    <n v="0"/>
    <n v="97305.98"/>
    <n v="0"/>
    <s v="24AAACO3087C1ZT"/>
    <s v="Kgs"/>
    <n v="63053200"/>
    <s v="Rs."/>
    <n v="1"/>
    <n v="0"/>
  </r>
  <r>
    <s v="23-07-2026"/>
    <s v="Plastene India ltd - Unit 1-Purchase"/>
    <s v="R.M.P."/>
    <s v="RM 431"/>
    <x v="1"/>
    <s v="PIL1/D/1157"/>
    <s v="23-07-2026"/>
    <s v="FG"/>
    <s v="FIBC Bags"/>
    <s v="FIBC Bags"/>
    <s v="JUMBO BAG"/>
    <s v="FIBC Bags With UV Without Liner"/>
    <n v="1183"/>
    <n v="242526.83"/>
    <s v="FIBC Bags With UV Without Liner"/>
    <n v="0"/>
    <n v="9"/>
    <n v="21827.41"/>
    <n v="9"/>
    <n v="21827.41"/>
    <n v="0"/>
    <n v="0"/>
    <n v="0"/>
    <n v="43654.82"/>
    <n v="0"/>
    <s v="24AAACO3087C1ZT"/>
    <s v="Kgs"/>
    <n v="63053200"/>
    <s v="Rs."/>
    <n v="1"/>
    <n v="0"/>
  </r>
  <r>
    <s v="23-07-2026"/>
    <s v="Plastene India ltd - Unit 1-Purchase"/>
    <s v="R.M.P."/>
    <s v="RM 431"/>
    <x v="1"/>
    <s v="PIL1/D/1157"/>
    <s v="23-07-2026"/>
    <s v="FG"/>
    <s v="FIBC Bags"/>
    <s v="FIBC Bags"/>
    <s v="JUMBO BAG"/>
    <s v="FIBC Bags With UV Without Liner"/>
    <n v="52"/>
    <n v="9301.24"/>
    <s v="FIBC Bags With UV Without Liner"/>
    <n v="0"/>
    <n v="9"/>
    <n v="837.11"/>
    <n v="9"/>
    <n v="837.11"/>
    <n v="0"/>
    <n v="0"/>
    <n v="0"/>
    <n v="1674.22"/>
    <n v="0"/>
    <s v="24AAACO3087C1ZT"/>
    <s v="Kgs"/>
    <n v="63053200"/>
    <s v="Rs."/>
    <n v="1"/>
    <n v="0"/>
  </r>
  <r>
    <s v="23-07-2026"/>
    <s v="Plastene India ltd - Unit 1-Purchase"/>
    <s v="R.M.P."/>
    <s v="RM 432"/>
    <x v="1"/>
    <s v="PIL1/D/1156"/>
    <s v="23-07-2026"/>
    <s v="SF"/>
    <s v="PP/PE Fabric"/>
    <s v="PP UL Fabric"/>
    <s v="PP Woven Fabric"/>
    <s v="PP UL Fabric With UV"/>
    <n v="6034"/>
    <n v="871852.66"/>
    <s v="PP UL Fabric With UV"/>
    <n v="1277457.98"/>
    <n v="9"/>
    <n v="78466.740000000005"/>
    <n v="9"/>
    <n v="78466.740000000005"/>
    <n v="0"/>
    <n v="0"/>
    <n v="0"/>
    <n v="156933.48000000001"/>
    <n v="0"/>
    <s v="24AAACO3087C1ZT"/>
    <s v="Kgs"/>
    <n v="39269080"/>
    <s v="Rs."/>
    <n v="1"/>
    <n v="0"/>
  </r>
  <r>
    <s v="23-07-2026"/>
    <s v="Plastene India ltd - Unit 1-Purchase"/>
    <s v="R.M.P."/>
    <s v="RM 432"/>
    <x v="1"/>
    <s v="PIL1/D/1156"/>
    <s v="23-07-2026"/>
    <s v="SF"/>
    <s v="PP/PE Fabric"/>
    <s v="PP UL Fabric"/>
    <s v="PP Woven Fabric"/>
    <s v="PP UL Fabric With UV"/>
    <n v="1171"/>
    <n v="171539.79"/>
    <s v="PP UL Fabric With UV"/>
    <n v="0"/>
    <n v="9"/>
    <n v="15438.58"/>
    <n v="9"/>
    <n v="15438.58"/>
    <n v="0"/>
    <n v="0"/>
    <n v="0"/>
    <n v="30877.16"/>
    <n v="0"/>
    <s v="24AAACO3087C1ZT"/>
    <s v="Kgs"/>
    <n v="39269080"/>
    <s v="Rs."/>
    <n v="1"/>
    <n v="0"/>
  </r>
  <r>
    <s v="23-07-2026"/>
    <s v="Plastene India ltd - Unit 1-Purchase"/>
    <s v="R.M.P."/>
    <s v="RM 432"/>
    <x v="1"/>
    <s v="PIL1/D/1156"/>
    <s v="23-07-2026"/>
    <s v="SF"/>
    <s v="PP/PE Fabric"/>
    <s v="PP UL Fabric"/>
    <s v="PP Woven Fabric"/>
    <s v="PP UL Fabric With UV"/>
    <n v="272"/>
    <n v="40117.279999999999"/>
    <s v="PP UL Fabric With UV"/>
    <n v="0"/>
    <n v="9"/>
    <n v="3610.56"/>
    <n v="9"/>
    <n v="3610.56"/>
    <n v="0"/>
    <n v="0"/>
    <n v="0"/>
    <n v="7221.12"/>
    <n v="0"/>
    <s v="24AAACO3087C1ZT"/>
    <s v="Kgs"/>
    <n v="39269080"/>
    <s v="Rs."/>
    <n v="1"/>
    <n v="0"/>
  </r>
  <r>
    <s v="23-07-2026"/>
    <s v="Plastene India ltd - Unit 1-Purchase"/>
    <s v="R.M.P."/>
    <s v="RM 433"/>
    <x v="1"/>
    <s v="PIL1/D/1155"/>
    <s v="22-07-2026"/>
    <s v="SF"/>
    <s v="PP/PE Fabric"/>
    <s v="PP UL Fabric"/>
    <s v="PP Woven Fabric"/>
    <s v="PP UL Fabric With UV"/>
    <n v="2652"/>
    <n v="388491.48"/>
    <s v="PP UL Fabric With UV"/>
    <n v="458031.45"/>
    <n v="9"/>
    <n v="34964.230000000003"/>
    <n v="9"/>
    <n v="34964.230000000003"/>
    <n v="0"/>
    <n v="0"/>
    <n v="0"/>
    <n v="69928.460000000006"/>
    <n v="0"/>
    <s v="24AAACO3087C1ZT"/>
    <s v="Kgs"/>
    <n v="39269080"/>
    <s v="Rs."/>
    <n v="1"/>
    <n v="0"/>
  </r>
  <r>
    <s v="23-07-2026"/>
    <s v="Plastene India ltd - Unit 1-Purchase"/>
    <s v="R.M.P."/>
    <s v="RM 434"/>
    <x v="1"/>
    <s v="PIL1/D/1159"/>
    <s v="23-07-2026"/>
    <s v="SF"/>
    <s v="PP/PE Fabric"/>
    <s v="PP UL Fabric"/>
    <s v="PP Woven Fabric"/>
    <s v="PP UL Fabric With UV"/>
    <n v="1638"/>
    <n v="236674.62"/>
    <s v="PP UL Fabric With UV"/>
    <n v="788826.67"/>
    <n v="9"/>
    <n v="21300.720000000001"/>
    <n v="9"/>
    <n v="21300.720000000001"/>
    <n v="0"/>
    <n v="0"/>
    <n v="0"/>
    <n v="42601.440000000002"/>
    <n v="0"/>
    <s v="24AAACO3087C1ZT"/>
    <s v="Kgs"/>
    <n v="39269080"/>
    <s v="Rs."/>
    <n v="1"/>
    <n v="0"/>
  </r>
  <r>
    <s v="23-07-2026"/>
    <s v="Plastene India ltd - Unit 1-Purchase"/>
    <s v="R.M.P."/>
    <s v="RM 434"/>
    <x v="1"/>
    <s v="PIL1/D/1159"/>
    <s v="23-07-2026"/>
    <s v="SF"/>
    <s v="PP/PE Fabric"/>
    <s v="PP Lam Fabric"/>
    <s v="PP Laminated Woven Fabric"/>
    <s v="PP Lam Fabric With UV"/>
    <n v="268"/>
    <n v="39795.32"/>
    <s v="PP Lam Fabric With UV"/>
    <n v="0"/>
    <n v="9"/>
    <n v="3581.58"/>
    <n v="9"/>
    <n v="3581.58"/>
    <n v="0"/>
    <n v="0"/>
    <n v="0"/>
    <n v="7163.16"/>
    <n v="0"/>
    <s v="24AAACO3087C1ZT"/>
    <s v="Kgs"/>
    <n v="63053300"/>
    <s v="Rs."/>
    <n v="1"/>
    <n v="0"/>
  </r>
  <r>
    <s v="23-07-2026"/>
    <s v="Plastene India ltd - Unit 1-Purchase"/>
    <s v="R.M.P."/>
    <s v="RM 434"/>
    <x v="1"/>
    <s v="PIL1/D/1159"/>
    <s v="23-07-2026"/>
    <s v="SF"/>
    <s v="Webbing"/>
    <s v="PP Webbing"/>
    <s v="PP Webbing"/>
    <s v="Webbing"/>
    <n v="163.4"/>
    <n v="27858.07"/>
    <s v="Webbing"/>
    <n v="0"/>
    <n v="9"/>
    <n v="2507.23"/>
    <n v="9"/>
    <n v="2507.23"/>
    <n v="0"/>
    <n v="0"/>
    <n v="0"/>
    <n v="5014.46"/>
    <n v="0"/>
    <s v="24AAACO3087C1ZT"/>
    <s v="Kgs"/>
    <n v="3926908"/>
    <s v="Rs."/>
    <n v="1"/>
    <n v="0"/>
  </r>
  <r>
    <s v="23-07-2026"/>
    <s v="Plastene India ltd - Unit 1-Purchase"/>
    <s v="R.M.P."/>
    <s v="RM 434"/>
    <x v="1"/>
    <s v="PIL1/D/1159"/>
    <s v="23-07-2026"/>
    <s v="SF"/>
    <s v="Webbing"/>
    <s v="PP Webbing"/>
    <s v="PP Webbing"/>
    <s v="Webbing"/>
    <n v="391.7"/>
    <n v="58555.23"/>
    <s v="Webbing"/>
    <n v="0"/>
    <n v="9"/>
    <n v="5269.97"/>
    <n v="9"/>
    <n v="5269.97"/>
    <n v="0"/>
    <n v="0"/>
    <n v="0"/>
    <n v="10539.94"/>
    <n v="0"/>
    <s v="24AAACO3087C1ZT"/>
    <s v="Kgs"/>
    <n v="3926908"/>
    <s v="Rs."/>
    <n v="1"/>
    <n v="0"/>
  </r>
  <r>
    <s v="23-07-2026"/>
    <s v="Plastene India ltd - Unit 1-Purchase"/>
    <s v="R.M.P."/>
    <s v="RM 434"/>
    <x v="1"/>
    <s v="PIL1/D/1159"/>
    <s v="23-07-2026"/>
    <s v="SF"/>
    <s v="Webbing"/>
    <s v="PP Webbing"/>
    <s v="PP Webbing"/>
    <s v="Webbing"/>
    <n v="568"/>
    <n v="83206.320000000007"/>
    <s v="Webbing"/>
    <n v="0"/>
    <n v="9"/>
    <n v="7488.57"/>
    <n v="9"/>
    <n v="7488.57"/>
    <n v="0"/>
    <n v="0"/>
    <n v="0"/>
    <n v="14977.14"/>
    <n v="0"/>
    <s v="24AAACO3087C1ZT"/>
    <s v="Kgs"/>
    <n v="3926908"/>
    <s v="Rs."/>
    <n v="1"/>
    <n v="0"/>
  </r>
  <r>
    <s v="23-07-2026"/>
    <s v="Plastene India ltd - Unit 1-Purchase"/>
    <s v="R.M.P."/>
    <s v="RM 434"/>
    <x v="1"/>
    <s v="PIL1/D/1159"/>
    <s v="23-07-2026"/>
    <s v="SF"/>
    <s v="Yarn All"/>
    <s v="PP Yarn"/>
    <s v="PP Filament Yarn"/>
    <s v="PP MF Yarn Twisted 3000 Denier UV NW"/>
    <n v="754.7"/>
    <n v="118103"/>
    <s v="PP MF Yarn Twisted 3000 Denier UV NW"/>
    <n v="0"/>
    <n v="2.5"/>
    <n v="2952.58"/>
    <n v="2.5"/>
    <n v="2952.58"/>
    <n v="0"/>
    <n v="0"/>
    <n v="0"/>
    <n v="5905.16"/>
    <n v="0"/>
    <s v="24AAACO3087C1ZT"/>
    <s v="Kgs"/>
    <n v="540263"/>
    <s v="Rs."/>
    <n v="1"/>
    <n v="0"/>
  </r>
  <r>
    <s v="23-07-2026"/>
    <s v="Plastene India ltd - Unit 1-Purchase"/>
    <s v="R.M.P."/>
    <s v="RM 434"/>
    <x v="1"/>
    <s v="PIL1/D/1159"/>
    <s v="23-07-2026"/>
    <s v="SF"/>
    <s v="Yarn All"/>
    <s v="PP Yarn"/>
    <s v="PP Filament Yarn"/>
    <s v="PP MF Yarn Twisted 3000 Denier UV Deep Blue"/>
    <n v="830.8"/>
    <n v="132504.29"/>
    <s v="PP MF Yarn Twisted 3000 Denier UV Deep Blue"/>
    <n v="0"/>
    <n v="2.5"/>
    <n v="3312.61"/>
    <n v="2.5"/>
    <n v="3312.61"/>
    <n v="0"/>
    <n v="0"/>
    <n v="0"/>
    <n v="6625.22"/>
    <n v="0"/>
    <s v="24AAACO3087C1ZT"/>
    <s v="Kgs"/>
    <n v="54026930"/>
    <s v="Rs."/>
    <n v="1"/>
    <n v="0"/>
  </r>
  <r>
    <s v="23-07-2026"/>
    <s v="Plastene Polyfilms Ltd-Purchase"/>
    <s v="General Purchase"/>
    <s v="GNCN 291"/>
    <x v="0"/>
    <s v="PPL/D/400"/>
    <s v="23-07-2026"/>
    <s v="Stores/Spares"/>
    <s v="MS Structure Items"/>
    <s v="Spares &amp; Stores"/>
    <s v="Stores &amp; Consumables"/>
    <s v="MS Pipe 4  C Class"/>
    <n v="10"/>
    <n v="480"/>
    <s v="MS Pipe 4  C Class"/>
    <n v="565.91999999999996"/>
    <n v="9"/>
    <n v="43.2"/>
    <n v="9"/>
    <n v="43.2"/>
    <n v="0"/>
    <n v="0"/>
    <n v="0"/>
    <n v="86.4"/>
    <n v="0"/>
    <s v="24AAFCP2956A1ZR"/>
    <s v="Kgs"/>
    <n v="73063090"/>
    <s v="Rs."/>
    <n v="1"/>
    <n v="0"/>
  </r>
  <r>
    <s v="23-07-2026"/>
    <s v="Plastene Polyfilms Ltd-Purchase"/>
    <s v="General Purchase"/>
    <s v="GNCN 292"/>
    <x v="0"/>
    <s v="PPL/D/398"/>
    <s v="23-07-2026"/>
    <s v="SF"/>
    <s v="Liners"/>
    <s v="LDPE/LLDPE Bags"/>
    <s v="Stores &amp; Consumables"/>
    <s v="PE Labels (Kgs)"/>
    <n v="37.700000000000003"/>
    <n v="9990.5"/>
    <s v="PE Labels (Kgs)"/>
    <n v="11778.79"/>
    <n v="9"/>
    <n v="899.14"/>
    <n v="9"/>
    <n v="899.14"/>
    <n v="0"/>
    <n v="0"/>
    <n v="0"/>
    <n v="1798.28"/>
    <n v="0"/>
    <s v="24AAFCP2956A1ZR"/>
    <s v="Kgs"/>
    <n v="3920101"/>
    <s v="Rs."/>
    <n v="1"/>
    <n v="0"/>
  </r>
  <r>
    <s v="23-07-2026"/>
    <s v="Plastene Polyfilms Ltd-Purchase"/>
    <s v="General Purchase"/>
    <s v="GNSP 131"/>
    <x v="0"/>
    <s v="PPL/D/397"/>
    <s v="23-07-2026"/>
    <s v="Stores/Spares"/>
    <s v="Needles"/>
    <s v="Spares &amp; Stores"/>
    <s v="Stores &amp; Consumables"/>
    <s v="Needle No 34 UY 9853 GA 430/172"/>
    <n v="150"/>
    <n v="27070.5"/>
    <s v="Needle No 34 UY 9853 GA 430/172"/>
    <n v="28396.95"/>
    <n v="2.5"/>
    <n v="676.76"/>
    <n v="2.5"/>
    <n v="676.76"/>
    <n v="0"/>
    <n v="0"/>
    <n v="0"/>
    <n v="1353.52"/>
    <n v="0"/>
    <s v="24AAFCP2956A1ZR"/>
    <s v="Pcs"/>
    <n v="84529099"/>
    <s v="Rs."/>
    <n v="1"/>
    <n v="0"/>
  </r>
  <r>
    <s v="23-07-2026"/>
    <s v="Plastene Polyfilms Ltd-Purchase"/>
    <s v="R.M.P."/>
    <s v="RM 435"/>
    <x v="1"/>
    <s v="PPL/D/399"/>
    <s v="23-07-2026"/>
    <s v="SF"/>
    <s v="PP/PE Fabric"/>
    <s v="PP Lam Fabric"/>
    <s v="PP Laminated Woven Fabric"/>
    <s v="PP Lam Fabric With UV"/>
    <n v="238.8"/>
    <n v="38623.51"/>
    <s v="PP Lam Fabric With UV"/>
    <n v="84217.04"/>
    <n v="9"/>
    <n v="3476.12"/>
    <n v="9"/>
    <n v="3476.12"/>
    <n v="0"/>
    <n v="0"/>
    <n v="0"/>
    <n v="6952.24"/>
    <n v="0"/>
    <s v="24AAFCP2956A1ZR"/>
    <s v="Kgs"/>
    <n v="63053300"/>
    <s v="Rs."/>
    <n v="1"/>
    <n v="0"/>
  </r>
  <r>
    <s v="23-07-2026"/>
    <s v="Plastene Polyfilms Ltd-Purchase"/>
    <s v="R.M.P."/>
    <s v="RM 435"/>
    <x v="1"/>
    <s v="PPL/D/399"/>
    <s v="23-07-2026"/>
    <s v="SF"/>
    <s v="PP/PE Fabric"/>
    <s v="PP Lam Fabric"/>
    <s v="PP Laminated Woven Fabric"/>
    <s v="PP Lam Fabric With UV"/>
    <n v="78"/>
    <n v="12381.72"/>
    <s v="PP Lam Fabric With UV"/>
    <n v="0"/>
    <n v="9"/>
    <n v="1114.3499999999999"/>
    <n v="9"/>
    <n v="1114.3499999999999"/>
    <n v="0"/>
    <n v="0"/>
    <n v="0"/>
    <n v="2228.6999999999998"/>
    <n v="0"/>
    <s v="24AAFCP2956A1ZR"/>
    <s v="Kgs"/>
    <n v="63053300"/>
    <s v="Rs."/>
    <n v="1"/>
    <n v="0"/>
  </r>
  <r>
    <s v="23-07-2026"/>
    <s v="Plastene Polyfilms Ltd-Purchase"/>
    <s v="R.M.P."/>
    <s v="RM 435"/>
    <x v="1"/>
    <s v="PPL/D/399"/>
    <s v="23-07-2026"/>
    <s v="FG"/>
    <s v="FIBC WIP"/>
    <s v="FIBC WIP"/>
    <s v="FIBC WIP"/>
    <s v="PP Woven Fabric"/>
    <n v="132"/>
    <n v="20425.68"/>
    <s v="FIBC WIP"/>
    <n v="0"/>
    <n v="9"/>
    <n v="1838.31"/>
    <n v="9"/>
    <n v="1838.31"/>
    <n v="0"/>
    <n v="0"/>
    <n v="0"/>
    <n v="3676.62"/>
    <n v="0"/>
    <s v="24AAFCP2956A1ZR"/>
    <s v="Kgs"/>
    <n v="39269080"/>
    <s v="Rs."/>
    <n v="1"/>
    <n v="0"/>
  </r>
  <r>
    <s v="24-07-2026"/>
    <s v="K.P. Woven Pvt Ltd-Purchase"/>
    <s v="R.M.P."/>
    <s v="RM 436"/>
    <x v="1"/>
    <s v="KPV/D/511"/>
    <s v="23-07-2026"/>
    <s v="FG"/>
    <s v="FIBC Bags"/>
    <s v="FIBC Bags"/>
    <s v="JUMBO BAG"/>
    <s v="FIBC Bags With UV Without Liner"/>
    <n v="426"/>
    <n v="80496.960000000006"/>
    <s v="FIBC Bags With UV Without Liner"/>
    <n v="2071486.94"/>
    <n v="9"/>
    <n v="7244.73"/>
    <n v="9"/>
    <n v="7244.73"/>
    <n v="0"/>
    <n v="0"/>
    <n v="0"/>
    <n v="14489.46"/>
    <n v="0"/>
    <s v="24AAECK6307M1ZF"/>
    <s v="Kgs"/>
    <n v="63053200"/>
    <s v="Rs."/>
    <n v="1"/>
    <n v="0"/>
  </r>
  <r>
    <s v="24-07-2026"/>
    <s v="K.P. Woven Pvt Ltd-Purchase"/>
    <s v="R.M.P."/>
    <s v="RM 436"/>
    <x v="1"/>
    <s v="KPV/D/511"/>
    <s v="23-07-2026"/>
    <s v="FG"/>
    <s v="FIBC Bags"/>
    <s v="FIBC Bags"/>
    <s v="JUMBO BAG"/>
    <s v="FIBC Bags With UV Without Liner"/>
    <n v="8940.7999999999993"/>
    <n v="1676489.41"/>
    <s v="FIBC Bags With UV Without Liner"/>
    <n v="0"/>
    <n v="9"/>
    <n v="150884.04999999999"/>
    <n v="9"/>
    <n v="150884.04999999999"/>
    <n v="0"/>
    <n v="0"/>
    <n v="0"/>
    <n v="301768.09999999998"/>
    <n v="0"/>
    <s v="24AAECK6307M1ZF"/>
    <s v="Kgs"/>
    <n v="63053200"/>
    <s v="Rs."/>
    <n v="1"/>
    <n v="0"/>
  </r>
  <r>
    <s v="24-07-2026"/>
    <s v="Plastene India ltd - Unit 1-Purchase"/>
    <s v="General Purchase"/>
    <s v="GNCN 294"/>
    <x v="0"/>
    <s v="PIL1/D/1168"/>
    <s v="24-07-2026"/>
    <s v="Stores/Spares"/>
    <s v="MS Structure Items"/>
    <s v="Spares &amp; Stores"/>
    <s v="Stores &amp; Consumables"/>
    <s v="MS Pipe 4  C Class"/>
    <n v="478"/>
    <n v="22944"/>
    <s v="MS Pipe 4  C Class"/>
    <n v="27050.98"/>
    <n v="9"/>
    <n v="2064.96"/>
    <n v="9"/>
    <n v="2064.96"/>
    <n v="0"/>
    <n v="0"/>
    <n v="0"/>
    <n v="4129.92"/>
    <n v="0"/>
    <s v="24AAACO3087C1ZT"/>
    <s v="Kgs"/>
    <n v="73063090"/>
    <s v="Rs."/>
    <n v="1"/>
    <n v="0"/>
  </r>
  <r>
    <s v="24-07-2026"/>
    <s v="Plastene India ltd - Unit 1-Purchase"/>
    <s v="R.M.P."/>
    <s v="RM 438"/>
    <x v="1"/>
    <s v="PIL1/D/1169"/>
    <s v="24-07-2026"/>
    <s v="SF"/>
    <s v="PP/PE Fabric"/>
    <s v="PP UL Fabric"/>
    <s v="PP Woven Fabric"/>
    <s v="PP UL Fabric With UV"/>
    <n v="4703"/>
    <n v="679536.47"/>
    <s v="PP UL Fabric With UV"/>
    <n v="995030.37"/>
    <n v="9"/>
    <n v="61158.28"/>
    <n v="9"/>
    <n v="61158.28"/>
    <n v="0"/>
    <n v="0"/>
    <n v="0"/>
    <n v="122316.56"/>
    <n v="0"/>
    <s v="24AAACO3087C1ZT"/>
    <s v="Kgs"/>
    <n v="39269080"/>
    <s v="Rs."/>
    <n v="1"/>
    <n v="0"/>
  </r>
  <r>
    <s v="24-07-2026"/>
    <s v="Plastene India ltd - Unit 1-Purchase"/>
    <s v="R.M.P."/>
    <s v="RM 438"/>
    <x v="1"/>
    <s v="PIL1/D/1169"/>
    <s v="24-07-2026"/>
    <s v="SF"/>
    <s v="PP/PE Fabric"/>
    <s v="PP Lam Fabric"/>
    <s v="PP Laminated Woven Fabric"/>
    <s v="PP Lam Fabric With UV"/>
    <n v="357"/>
    <n v="53010.93"/>
    <s v="PP Lam Fabric With UV"/>
    <n v="0"/>
    <n v="9"/>
    <n v="4770.9799999999996"/>
    <n v="9"/>
    <n v="4770.9799999999996"/>
    <n v="0"/>
    <n v="0"/>
    <n v="0"/>
    <n v="9541.9599999999991"/>
    <n v="0"/>
    <s v="24AAACO3087C1ZT"/>
    <s v="Kgs"/>
    <n v="63053300"/>
    <s v="Rs."/>
    <n v="1"/>
    <n v="0"/>
  </r>
  <r>
    <s v="24-07-2026"/>
    <s v="Plastene India ltd - Unit 1-Purchase"/>
    <s v="R.M.P."/>
    <s v="RM 438"/>
    <x v="1"/>
    <s v="PIL1/D/1169"/>
    <s v="24-07-2026"/>
    <s v="SF"/>
    <s v="Webbing"/>
    <s v="PP Webbing"/>
    <s v="PP Webbing"/>
    <s v="Webbing"/>
    <n v="448.8"/>
    <n v="65744.710000000006"/>
    <s v="Webbing"/>
    <n v="0"/>
    <n v="9"/>
    <n v="5917.02"/>
    <n v="9"/>
    <n v="5917.02"/>
    <n v="0"/>
    <n v="0"/>
    <n v="0"/>
    <n v="11834.04"/>
    <n v="0"/>
    <s v="24AAACO3087C1ZT"/>
    <s v="Kgs"/>
    <n v="3926908"/>
    <s v="Rs."/>
    <n v="1"/>
    <n v="0"/>
  </r>
  <r>
    <s v="24-07-2026"/>
    <s v="Plastene India ltd - Unit 1-Purchase"/>
    <s v="R.M.P."/>
    <s v="RM 438"/>
    <x v="1"/>
    <s v="PIL1/D/1169"/>
    <s v="24-07-2026"/>
    <s v="SF"/>
    <s v="Webbing"/>
    <s v="PP Webbing"/>
    <s v="PP Webbing"/>
    <s v="Webbing"/>
    <n v="305.5"/>
    <n v="45669.2"/>
    <s v="Webbing"/>
    <n v="0"/>
    <n v="9"/>
    <n v="4110.2299999999996"/>
    <n v="9"/>
    <n v="4110.2299999999996"/>
    <n v="0"/>
    <n v="0"/>
    <n v="0"/>
    <n v="8220.4599999999991"/>
    <n v="0"/>
    <s v="24AAACO3087C1ZT"/>
    <s v="Kgs"/>
    <n v="3926908"/>
    <s v="Rs."/>
    <n v="1"/>
    <n v="0"/>
  </r>
  <r>
    <s v="24-07-2026"/>
    <s v="Plastene India ltd - Unit 1-Purchase"/>
    <s v="R.M.P."/>
    <s v="RM 439"/>
    <x v="1"/>
    <s v="PIL1/D/1167"/>
    <s v="24-07-2026"/>
    <s v="SF"/>
    <s v="PP/PE Fabric"/>
    <s v="PP Lam Fabric"/>
    <s v="PP Laminated Woven Fabric"/>
    <s v="PP Lam Fabric With UV"/>
    <n v="1652"/>
    <n v="250261.48"/>
    <s v="PP Lam Fabric With UV"/>
    <n v="1504068.25"/>
    <n v="9"/>
    <n v="22523.53"/>
    <n v="9"/>
    <n v="22523.53"/>
    <n v="0"/>
    <n v="0"/>
    <n v="0"/>
    <n v="45047.06"/>
    <n v="0"/>
    <s v="24AAACO3087C1ZT"/>
    <s v="Kgs"/>
    <n v="63053300"/>
    <s v="Rs."/>
    <n v="1"/>
    <n v="0"/>
  </r>
  <r>
    <s v="24-07-2026"/>
    <s v="Plastene India ltd - Unit 1-Purchase"/>
    <s v="R.M.P."/>
    <s v="RM 439"/>
    <x v="1"/>
    <s v="PIL1/D/1167"/>
    <s v="24-07-2026"/>
    <s v="SF"/>
    <s v="PP/PE Fabric"/>
    <s v="PP UL Fabric"/>
    <s v="PP Woven Fabric"/>
    <s v="PP UL Fabric With UV"/>
    <n v="5651"/>
    <n v="816512.99"/>
    <s v="PP UL Fabric With UV"/>
    <n v="0"/>
    <n v="9"/>
    <n v="73486.17"/>
    <n v="9"/>
    <n v="73486.17"/>
    <n v="0"/>
    <n v="0"/>
    <n v="0"/>
    <n v="146972.34"/>
    <n v="0"/>
    <s v="24AAACO3087C1ZT"/>
    <s v="Kgs"/>
    <n v="39269080"/>
    <s v="Rs."/>
    <n v="1"/>
    <n v="0"/>
  </r>
  <r>
    <s v="24-07-2026"/>
    <s v="Plastene India ltd - Unit 1-Purchase"/>
    <s v="R.M.P."/>
    <s v="RM 439"/>
    <x v="1"/>
    <s v="PIL1/D/1167"/>
    <s v="24-07-2026"/>
    <s v="SF"/>
    <s v="PP/PE Fabric"/>
    <s v="PP UL Fabric"/>
    <s v="PP Woven Fabric"/>
    <s v="PP UL Fabric With UV"/>
    <n v="339"/>
    <n v="49999.11"/>
    <s v="PP UL Fabric With UV"/>
    <n v="0"/>
    <n v="9"/>
    <n v="4499.92"/>
    <n v="9"/>
    <n v="4499.92"/>
    <n v="0"/>
    <n v="0"/>
    <n v="0"/>
    <n v="8999.84"/>
    <n v="0"/>
    <s v="24AAACO3087C1ZT"/>
    <s v="Kgs"/>
    <n v="39269080"/>
    <s v="Rs."/>
    <n v="1"/>
    <n v="0"/>
  </r>
  <r>
    <s v="24-07-2026"/>
    <s v="Plastene India ltd - Unit 1-Purchase"/>
    <s v="R.M.P."/>
    <s v="RM 439"/>
    <x v="1"/>
    <s v="PIL1/D/1167"/>
    <s v="24-07-2026"/>
    <s v="SF"/>
    <s v="PP/PE Fabric"/>
    <s v="PP UL Fabric"/>
    <s v="PP Woven Fabric"/>
    <s v="PP UL Fabric With UV"/>
    <n v="1085"/>
    <n v="158941.65"/>
    <s v="PP UL Fabric With UV"/>
    <n v="0"/>
    <n v="9"/>
    <n v="14304.75"/>
    <n v="9"/>
    <n v="14304.75"/>
    <n v="0"/>
    <n v="0"/>
    <n v="0"/>
    <n v="28609.5"/>
    <n v="0"/>
    <s v="24AAACO3087C1ZT"/>
    <s v="Kgs"/>
    <n v="39269080"/>
    <s v="Rs."/>
    <n v="1"/>
    <n v="0"/>
  </r>
  <r>
    <s v="24-07-2026"/>
    <s v="Plastene Polyfilms Ltd-Purchase"/>
    <s v="General Purchase"/>
    <s v="GNCN 293"/>
    <x v="0"/>
    <s v="PPL/D/407"/>
    <s v="24-07-2026"/>
    <s v="Stores/Spares"/>
    <s v="MS Structure Items"/>
    <s v="Spares &amp; Stores"/>
    <s v="Stores &amp; Consumables"/>
    <s v="MS Pipe 4  C Class"/>
    <n v="17"/>
    <n v="816"/>
    <s v="MS Pipe 4  C Class"/>
    <n v="962.06"/>
    <n v="9"/>
    <n v="73.44"/>
    <n v="9"/>
    <n v="73.44"/>
    <n v="0"/>
    <n v="0"/>
    <n v="0"/>
    <n v="146.88"/>
    <n v="0"/>
    <s v="24AAFCP2956A1ZR"/>
    <s v="Kgs"/>
    <n v="73063090"/>
    <s v="Rs."/>
    <n v="1"/>
    <n v="0"/>
  </r>
  <r>
    <s v="24-07-2026"/>
    <s v="Plastene Polyfilms Ltd-Purchase"/>
    <s v="R.M.P."/>
    <s v="RM 437"/>
    <x v="1"/>
    <s v="PPL/D/406"/>
    <s v="24-07-2026"/>
    <s v="FG"/>
    <s v="FIBC WIP"/>
    <s v="FIBC WIP"/>
    <s v="FIBC WIP"/>
    <s v="PP Woven Fabric"/>
    <n v="86"/>
    <n v="13307.64"/>
    <s v="FIBC WIP"/>
    <n v="79019.28"/>
    <n v="9"/>
    <n v="1197.69"/>
    <n v="9"/>
    <n v="1197.69"/>
    <n v="0"/>
    <n v="0"/>
    <n v="0"/>
    <n v="2395.38"/>
    <n v="0"/>
    <s v="24AAFCP2956A1ZR"/>
    <s v="Kgs"/>
    <n v="39269080"/>
    <s v="Rs."/>
    <n v="1"/>
    <n v="0"/>
  </r>
  <r>
    <s v="24-07-2026"/>
    <s v="Plastene Polyfilms Ltd-Purchase"/>
    <s v="R.M.P."/>
    <s v="RM 437"/>
    <x v="1"/>
    <s v="PPL/D/406"/>
    <s v="24-07-2026"/>
    <s v="SF"/>
    <s v="PP/PE Fabric"/>
    <s v="PP Lam Fabric"/>
    <s v="PP Laminated Woven Fabric"/>
    <s v="PP Lam Fabric With UV"/>
    <n v="210"/>
    <n v="33335.4"/>
    <s v="PP Lam Fabric With UV"/>
    <n v="0"/>
    <n v="9"/>
    <n v="3000.19"/>
    <n v="9"/>
    <n v="3000.19"/>
    <n v="0"/>
    <n v="0"/>
    <n v="0"/>
    <n v="6000.38"/>
    <n v="0"/>
    <s v="24AAFCP2956A1ZR"/>
    <s v="Kgs"/>
    <n v="63053300"/>
    <s v="Rs."/>
    <n v="1"/>
    <n v="0"/>
  </r>
  <r>
    <s v="24-07-2026"/>
    <s v="Plastene Polyfilms Ltd-Purchase"/>
    <s v="R.M.P."/>
    <s v="RM 437"/>
    <x v="1"/>
    <s v="PPL/D/406"/>
    <s v="24-07-2026"/>
    <s v="SF"/>
    <s v="PP/PE Fabric"/>
    <s v="PP Lam Fabric"/>
    <s v="PP Laminated Woven Fabric"/>
    <s v="PP Lam Fabric With UV"/>
    <n v="126"/>
    <n v="20379.240000000002"/>
    <s v="PP Lam Fabric With UV"/>
    <n v="0"/>
    <n v="9"/>
    <n v="1834.13"/>
    <n v="9"/>
    <n v="1834.13"/>
    <n v="0"/>
    <n v="0"/>
    <n v="0"/>
    <n v="3668.26"/>
    <n v="0"/>
    <s v="24AAFCP2956A1ZR"/>
    <s v="Kgs"/>
    <n v="63053300"/>
    <s v="Rs."/>
    <n v="1"/>
    <n v="0"/>
  </r>
  <r>
    <s v="25-07-2026"/>
    <s v="Plastene India ltd - Unit 1-Purchase"/>
    <s v="General Purchase"/>
    <s v="GNCN 295"/>
    <x v="0"/>
    <s v="PIL1/D/1174"/>
    <s v="25-07-2026"/>
    <s v="Stores/Spares"/>
    <s v="MS Structure Items"/>
    <s v="Spares &amp; Stores"/>
    <s v="Stores &amp; Consumables"/>
    <s v="MS Pipe 4  C Class"/>
    <n v="341"/>
    <n v="16368"/>
    <s v="MS Pipe 4  C Class"/>
    <n v="19297.87"/>
    <n v="9"/>
    <n v="1473.12"/>
    <n v="9"/>
    <n v="1473.12"/>
    <n v="0"/>
    <n v="0"/>
    <n v="0"/>
    <n v="2946.24"/>
    <n v="0"/>
    <s v="24AAACO3087C1ZT"/>
    <s v="Kgs"/>
    <n v="73063090"/>
    <s v="Rs."/>
    <n v="1"/>
    <n v="0"/>
  </r>
  <r>
    <s v="25-07-2026"/>
    <s v="Plastene India ltd - Unit 1-Purchase"/>
    <s v="R.M.P."/>
    <s v="RM 440"/>
    <x v="1"/>
    <s v="PIL1/D/1175"/>
    <s v="25-07-2026"/>
    <s v="SF"/>
    <s v="PP/PE Fabric"/>
    <s v="PP UL Fabric"/>
    <s v="PP Woven Fabric"/>
    <s v="PP UL Fabric With UV"/>
    <n v="1109"/>
    <n v="160239.41"/>
    <s v="PP UL Fabric With UV"/>
    <n v="642863.81999999995"/>
    <n v="9"/>
    <n v="14421.55"/>
    <n v="9"/>
    <n v="14421.55"/>
    <n v="0"/>
    <n v="0"/>
    <n v="0"/>
    <n v="28843.1"/>
    <n v="0"/>
    <s v="24AAACO3087C1ZT"/>
    <s v="Kgs"/>
    <n v="39269080"/>
    <s v="Rs."/>
    <n v="1"/>
    <n v="0"/>
  </r>
  <r>
    <s v="25-07-2026"/>
    <s v="Plastene India ltd - Unit 1-Purchase"/>
    <s v="R.M.P."/>
    <s v="RM 440"/>
    <x v="1"/>
    <s v="PIL1/D/1175"/>
    <s v="25-07-2026"/>
    <s v="SF"/>
    <s v="PP/PE Fabric"/>
    <s v="PP Lam Fabric"/>
    <s v="PP Laminated Woven Fabric"/>
    <s v="PP Lam Fabric With UV"/>
    <n v="548"/>
    <n v="81372.52"/>
    <s v="PP Lam Fabric With UV"/>
    <n v="0"/>
    <n v="9"/>
    <n v="7323.53"/>
    <n v="9"/>
    <n v="7323.53"/>
    <n v="0"/>
    <n v="0"/>
    <n v="0"/>
    <n v="14647.06"/>
    <n v="0"/>
    <s v="24AAACO3087C1ZT"/>
    <s v="Kgs"/>
    <n v="63053300"/>
    <s v="Rs."/>
    <n v="1"/>
    <n v="0"/>
  </r>
  <r>
    <s v="25-07-2026"/>
    <s v="Plastene India ltd - Unit 1-Purchase"/>
    <s v="R.M.P."/>
    <s v="RM 440"/>
    <x v="1"/>
    <s v="PIL1/D/1175"/>
    <s v="25-07-2026"/>
    <s v="SF"/>
    <s v="Webbing"/>
    <s v="PP Webbing"/>
    <s v="PP Webbing"/>
    <s v="Webbing"/>
    <n v="1276.3"/>
    <n v="190794.09"/>
    <s v="Webbing"/>
    <n v="0"/>
    <n v="9"/>
    <n v="17171.47"/>
    <n v="9"/>
    <n v="17171.47"/>
    <n v="0"/>
    <n v="0"/>
    <n v="0"/>
    <n v="34342.94"/>
    <n v="0"/>
    <s v="24AAACO3087C1ZT"/>
    <s v="Kgs"/>
    <n v="3926908"/>
    <s v="Rs."/>
    <n v="1"/>
    <n v="0"/>
  </r>
  <r>
    <s v="25-07-2026"/>
    <s v="Plastene India ltd - Unit 1-Purchase"/>
    <s v="R.M.P."/>
    <s v="RM 440"/>
    <x v="1"/>
    <s v="PIL1/D/1175"/>
    <s v="25-07-2026"/>
    <s v="SF"/>
    <s v="Webbing"/>
    <s v="PP Webbing"/>
    <s v="PP Webbing"/>
    <s v="Webbing"/>
    <n v="770.4"/>
    <n v="112855.9"/>
    <s v="Webbing"/>
    <n v="0"/>
    <n v="9"/>
    <n v="10157.030000000001"/>
    <n v="9"/>
    <n v="10157.030000000001"/>
    <n v="0"/>
    <n v="0"/>
    <n v="0"/>
    <n v="20314.060000000001"/>
    <n v="0"/>
    <s v="24AAACO3087C1ZT"/>
    <s v="Kgs"/>
    <n v="3926908"/>
    <s v="Rs."/>
    <n v="1"/>
    <n v="0"/>
  </r>
  <r>
    <s v="25-07-2026"/>
    <s v="Plastene India ltd - Unit 1-Purchase"/>
    <s v="R.M.P."/>
    <s v="RM 441"/>
    <x v="1"/>
    <s v="PIL1/D/1173"/>
    <s v="25-07-2026"/>
    <s v="SF"/>
    <s v="PP/PE Fabric"/>
    <s v="PP UL Fabric"/>
    <s v="PP Woven Fabric"/>
    <s v="PP UL Fabric With UV"/>
    <n v="7719"/>
    <n v="1115318.31"/>
    <s v="PP UL Fabric With UV"/>
    <n v="1404424.95"/>
    <n v="9"/>
    <n v="100378.65"/>
    <n v="9"/>
    <n v="100378.65"/>
    <n v="0"/>
    <n v="0"/>
    <n v="0"/>
    <n v="200757.3"/>
    <n v="0"/>
    <s v="24AAACO3087C1ZT"/>
    <s v="Kgs"/>
    <n v="39269080"/>
    <s v="Rs."/>
    <n v="1"/>
    <n v="0"/>
  </r>
  <r>
    <s v="25-07-2026"/>
    <s v="Plastene India ltd - Unit 1-Purchase"/>
    <s v="R.M.P."/>
    <s v="RM 441"/>
    <x v="1"/>
    <s v="PIL1/D/1173"/>
    <s v="25-07-2026"/>
    <s v="SF"/>
    <s v="PP/PE Fabric"/>
    <s v="PP UL Fabric"/>
    <s v="PP Woven Fabric"/>
    <s v="PP UL Fabric With UV"/>
    <n v="518"/>
    <n v="75881.820000000007"/>
    <s v="PP UL Fabric With UV"/>
    <n v="0"/>
    <n v="9"/>
    <n v="6829.36"/>
    <n v="9"/>
    <n v="6829.36"/>
    <n v="0"/>
    <n v="0"/>
    <n v="0"/>
    <n v="13658.72"/>
    <n v="0"/>
    <s v="24AAACO3087C1ZT"/>
    <s v="Kgs"/>
    <n v="39269080"/>
    <s v="Rs."/>
    <n v="1"/>
    <n v="0"/>
  </r>
  <r>
    <s v="25-07-2026"/>
    <s v="Shree Salareshwar Wood Packers Private Limited."/>
    <s v="Purchase"/>
    <s v="GNPK 73"/>
    <x v="3"/>
    <s v="SS/SL/26-27/235"/>
    <s v="23-07-2026"/>
    <s v="Packing Material"/>
    <s v="Pallets"/>
    <s v="Pallets"/>
    <s v="Packing Material"/>
    <s v="Pine Wooden Pallet Design Code STD90110"/>
    <n v="50"/>
    <n v="40150"/>
    <s v="Pine Wooden Pallet Design Code STD90110"/>
    <n v="96128"/>
    <n v="2.5"/>
    <n v="1003.75"/>
    <n v="2.5"/>
    <n v="1003.75"/>
    <n v="0"/>
    <n v="0"/>
    <n v="0"/>
    <n v="2007.5"/>
    <n v="0"/>
    <s v="24ABLCS6579H1ZR"/>
    <s v="Pcs"/>
    <n v="44152000"/>
    <s v="Rs."/>
    <n v="1"/>
    <n v="0"/>
  </r>
  <r>
    <s v="25-07-2026"/>
    <s v="Shree Salareshwar Wood Packers Private Limited."/>
    <s v="Purchase"/>
    <s v="GNPK 73"/>
    <x v="3"/>
    <s v="SS/SL/26-27/235"/>
    <s v="23-07-2026"/>
    <s v="Packing Material"/>
    <s v="Pallets"/>
    <s v="Packing Material"/>
    <s v="Packing Material"/>
    <s v="Wooden Pallet Flate Size 85X105Cm"/>
    <n v="100"/>
    <n v="51400"/>
    <s v="Wooden Pallet Flate Size 85X105Cm"/>
    <n v="0"/>
    <n v="2.5"/>
    <n v="1285"/>
    <n v="2.5"/>
    <n v="1285"/>
    <n v="0"/>
    <n v="0"/>
    <n v="0"/>
    <n v="2570"/>
    <n v="0"/>
    <s v="24ABLCS6579H1ZR"/>
    <s v="Pcs"/>
    <n v="44152000"/>
    <s v="Rs."/>
    <n v="1"/>
    <n v="0"/>
  </r>
  <r>
    <s v="25-07-2026"/>
    <s v="Shree Salareshwar Wood Packers Private Limited."/>
    <s v="General Purchase"/>
    <s v="GNPK 74"/>
    <x v="3"/>
    <s v="SS/SL/26-27/236"/>
    <s v="23-07-2026"/>
    <s v="Packing Material"/>
    <s v="Pallets"/>
    <s v="Pallets"/>
    <s v="Packing Material"/>
    <s v="Pine Wooden Pallet Design Code QP90110"/>
    <n v="70"/>
    <n v="47670"/>
    <s v="Pine Wooden Pallet Design Code QP90110"/>
    <n v="50054"/>
    <n v="2.5"/>
    <n v="1191.75"/>
    <n v="2.5"/>
    <n v="1191.75"/>
    <n v="0"/>
    <n v="0"/>
    <n v="0"/>
    <n v="2383.5"/>
    <n v="0"/>
    <s v="24ABLCS6579H1ZR"/>
    <s v="Pcs"/>
    <n v="44152000"/>
    <s v="Rs."/>
    <n v="1"/>
    <n v="0"/>
  </r>
  <r>
    <s v="26-07-2026"/>
    <s v="Plastene India ltd - Unit 1-Purchase"/>
    <s v="General Purchase"/>
    <s v="GNCN 296"/>
    <x v="0"/>
    <s v="PIL1/D/1182"/>
    <s v="26-07-2026"/>
    <s v="Stores/Spares"/>
    <s v="MS Structure Items"/>
    <s v="Spares &amp; Stores"/>
    <s v="Stores &amp; Consumables"/>
    <s v="MS Pipe 4  C Class"/>
    <n v="356"/>
    <n v="17088"/>
    <s v="MS Pipe 4  C Class"/>
    <n v="20146.75"/>
    <n v="9"/>
    <n v="1537.92"/>
    <n v="9"/>
    <n v="1537.92"/>
    <n v="0"/>
    <n v="0"/>
    <n v="0"/>
    <n v="3075.84"/>
    <n v="0"/>
    <s v="24AAACO3087C1ZT"/>
    <s v="Kgs"/>
    <n v="73063090"/>
    <s v="Rs."/>
    <n v="1"/>
    <n v="0"/>
  </r>
  <r>
    <s v="26-07-2026"/>
    <s v="Plastene India ltd - Unit 1-Purchase"/>
    <s v="R.M.P."/>
    <s v="RM 442"/>
    <x v="1"/>
    <s v="PIL1/D/1180"/>
    <s v="26-07-2026"/>
    <s v="FG"/>
    <s v="FIBC WIP"/>
    <s v="FIBC WIP"/>
    <s v="FIBC WIP"/>
    <s v="PP Woven Fabric"/>
    <n v="597"/>
    <n v="93424.53"/>
    <s v="FIBC WIP"/>
    <n v="1160870.53"/>
    <n v="9"/>
    <n v="8408.2099999999991"/>
    <n v="9"/>
    <n v="8408.2099999999991"/>
    <n v="0"/>
    <n v="0"/>
    <n v="0"/>
    <n v="16816.419999999998"/>
    <n v="0"/>
    <s v="24AAACO3087C1ZT"/>
    <s v="Kgs"/>
    <n v="39269080"/>
    <s v="Rs."/>
    <n v="1"/>
    <n v="0"/>
  </r>
  <r>
    <s v="26-07-2026"/>
    <s v="Plastene India ltd - Unit 1-Purchase"/>
    <s v="R.M.P."/>
    <s v="RM 442"/>
    <x v="1"/>
    <s v="PIL1/D/1180"/>
    <s v="26-07-2026"/>
    <s v="SF"/>
    <s v="PP/PE Fabric"/>
    <s v="PP UL Fabric"/>
    <s v="PP Woven Fabric"/>
    <s v="PP UL Fabric With UV"/>
    <n v="274"/>
    <n v="40412.26"/>
    <s v="PP UL Fabric With UV"/>
    <n v="0"/>
    <n v="9"/>
    <n v="3637.1"/>
    <n v="9"/>
    <n v="3637.1"/>
    <n v="0"/>
    <n v="0"/>
    <n v="0"/>
    <n v="7274.2"/>
    <n v="0"/>
    <s v="24AAACO3087C1ZT"/>
    <s v="Kgs"/>
    <n v="39269080"/>
    <s v="Rs."/>
    <n v="1"/>
    <n v="0"/>
  </r>
  <r>
    <s v="26-07-2026"/>
    <s v="Plastene India ltd - Unit 1-Purchase"/>
    <s v="R.M.P."/>
    <s v="RM 442"/>
    <x v="1"/>
    <s v="PIL1/D/1180"/>
    <s v="26-07-2026"/>
    <s v="SF"/>
    <s v="PP/PE Fabric"/>
    <s v="PP UL Fabric"/>
    <s v="PP Woven Fabric"/>
    <s v="PP UL Fabric With UV"/>
    <n v="5141"/>
    <n v="742823.09"/>
    <s v="PP UL Fabric With UV"/>
    <n v="0"/>
    <n v="9"/>
    <n v="66854.080000000002"/>
    <n v="9"/>
    <n v="66854.080000000002"/>
    <n v="0"/>
    <n v="0"/>
    <n v="0"/>
    <n v="133708.16"/>
    <n v="0"/>
    <s v="24AAACO3087C1ZT"/>
    <s v="Kgs"/>
    <n v="39269080"/>
    <s v="Rs."/>
    <n v="1"/>
    <n v="0"/>
  </r>
  <r>
    <s v="26-07-2026"/>
    <s v="Plastene India ltd - Unit 1-Purchase"/>
    <s v="R.M.P."/>
    <s v="RM 442"/>
    <x v="1"/>
    <s v="PIL1/D/1180"/>
    <s v="26-07-2026"/>
    <s v="SF"/>
    <s v="PP/PE Fabric"/>
    <s v="PP UL Fabric"/>
    <s v="PP Woven Fabric"/>
    <s v="PP UL Fabric With UV"/>
    <n v="737"/>
    <n v="107963.13"/>
    <s v="PP UL Fabric With UV"/>
    <n v="0"/>
    <n v="9"/>
    <n v="9716.68"/>
    <n v="9"/>
    <n v="9716.68"/>
    <n v="0"/>
    <n v="0"/>
    <n v="0"/>
    <n v="19433.36"/>
    <n v="0"/>
    <s v="24AAACO3087C1ZT"/>
    <s v="Kgs"/>
    <n v="39269080"/>
    <s v="Rs."/>
    <n v="1"/>
    <n v="0"/>
  </r>
  <r>
    <s v="26-07-2026"/>
    <s v="Plastene India ltd - Unit 1-Purchase"/>
    <s v="R.M.P."/>
    <s v="RM 443"/>
    <x v="1"/>
    <s v="PIL1/D/1186"/>
    <s v="26-07-2026"/>
    <s v="SF"/>
    <s v="PP/PE Fabric"/>
    <s v="PP UL Fabric"/>
    <s v="PP Woven Fabric"/>
    <s v="PP UL Fabric With UV"/>
    <n v="576"/>
    <n v="83226.240000000005"/>
    <s v="PP UL Fabric With UV"/>
    <n v="148899.82999999999"/>
    <n v="9"/>
    <n v="7490.36"/>
    <n v="9"/>
    <n v="7490.36"/>
    <n v="0"/>
    <n v="0"/>
    <n v="0"/>
    <n v="14980.72"/>
    <n v="0"/>
    <s v="24AAACO3087C1ZT"/>
    <s v="Kgs"/>
    <n v="39269080"/>
    <s v="Rs."/>
    <n v="1"/>
    <n v="0"/>
  </r>
  <r>
    <s v="26-07-2026"/>
    <s v="Plastene India ltd - Unit 1-Purchase"/>
    <s v="R.M.P."/>
    <s v="RM 443"/>
    <x v="1"/>
    <s v="PIL1/D/1186"/>
    <s v="26-07-2026"/>
    <s v="SF"/>
    <s v="PP/PE Fabric"/>
    <s v="PP UL Fabric"/>
    <s v="PP Woven Fabric"/>
    <s v="PP UL Fabric With UV"/>
    <n v="292"/>
    <n v="43067.08"/>
    <s v="PP UL Fabric With UV"/>
    <n v="0"/>
    <n v="9"/>
    <n v="3876.04"/>
    <n v="9"/>
    <n v="3876.04"/>
    <n v="0"/>
    <n v="0"/>
    <n v="0"/>
    <n v="7752.08"/>
    <n v="0"/>
    <s v="24AAACO3087C1ZT"/>
    <s v="Kgs"/>
    <n v="39269080"/>
    <s v="Rs."/>
    <n v="1"/>
    <n v="0"/>
  </r>
  <r>
    <s v="26-07-2026"/>
    <s v="Plastene India ltd - Unit 1-Purchase"/>
    <s v="R.M.P."/>
    <s v="RM 444"/>
    <x v="1"/>
    <s v="PIL1/D/1183"/>
    <s v="26-07-2026"/>
    <s v="SF"/>
    <s v="Webbing"/>
    <s v="PP Webbing"/>
    <s v="PP Webbing"/>
    <s v="Webbing"/>
    <n v="1321.8"/>
    <n v="197595.88"/>
    <s v="Webbing"/>
    <n v="2169852.9300000002"/>
    <n v="9"/>
    <n v="17783.63"/>
    <n v="9"/>
    <n v="17783.63"/>
    <n v="0"/>
    <n v="0"/>
    <n v="0"/>
    <n v="35567.26"/>
    <n v="0"/>
    <s v="24AAACO3087C1ZT"/>
    <s v="Kgs"/>
    <n v="3926908"/>
    <s v="Rs."/>
    <n v="1"/>
    <n v="0"/>
  </r>
  <r>
    <s v="26-07-2026"/>
    <s v="Plastene India ltd - Unit 1-Purchase"/>
    <s v="R.M.P."/>
    <s v="RM 444"/>
    <x v="1"/>
    <s v="PIL1/D/1183"/>
    <s v="26-07-2026"/>
    <s v="SF"/>
    <s v="Webbing"/>
    <s v="PP Webbing"/>
    <s v="PP Webbing"/>
    <s v="Webbing"/>
    <n v="1004.3"/>
    <n v="147119.91"/>
    <s v="Webbing"/>
    <n v="0"/>
    <n v="9"/>
    <n v="13240.79"/>
    <n v="9"/>
    <n v="13240.79"/>
    <n v="0"/>
    <n v="0"/>
    <n v="0"/>
    <n v="26481.58"/>
    <n v="0"/>
    <s v="24AAACO3087C1ZT"/>
    <s v="Kgs"/>
    <n v="3926908"/>
    <s v="Rs."/>
    <n v="1"/>
    <n v="0"/>
  </r>
  <r>
    <s v="26-07-2026"/>
    <s v="Plastene India ltd - Unit 1-Purchase"/>
    <s v="R.M.P."/>
    <s v="RM 444"/>
    <x v="1"/>
    <s v="PIL1/D/1183"/>
    <s v="26-07-2026"/>
    <s v="SF"/>
    <s v="Liners"/>
    <s v="LDPE/LLDPE Bags"/>
    <s v="LLDPE Bags"/>
    <s v="LDPE/LLDPE Bags/Liner"/>
    <n v="4383.3999999999996"/>
    <n v="801197.85"/>
    <s v="LDPE/LLDPE Bags/Liner"/>
    <n v="0"/>
    <n v="9"/>
    <n v="72107.81"/>
    <n v="9"/>
    <n v="72107.81"/>
    <n v="0"/>
    <n v="0"/>
    <n v="0"/>
    <n v="144215.62"/>
    <n v="0"/>
    <s v="24AAACO3087C1ZT"/>
    <s v="Kgs"/>
    <n v="39200000"/>
    <s v="Rs."/>
    <n v="1"/>
    <n v="0"/>
  </r>
  <r>
    <s v="26-07-2026"/>
    <s v="Plastene India ltd - Unit 1-Purchase"/>
    <s v="R.M.P."/>
    <s v="RM 444"/>
    <x v="1"/>
    <s v="PIL1/D/1183"/>
    <s v="26-07-2026"/>
    <s v="SF"/>
    <s v="Liners"/>
    <s v="LDPE/LLDPE Bags"/>
    <s v="LLDPE Bags"/>
    <s v="LDPE/LLDPE Bags/Liner"/>
    <n v="133"/>
    <n v="24708.74"/>
    <s v="LDPE/LLDPE Bags/Liner"/>
    <n v="0"/>
    <n v="9"/>
    <n v="2223.79"/>
    <n v="9"/>
    <n v="2223.79"/>
    <n v="0"/>
    <n v="0"/>
    <n v="0"/>
    <n v="4447.58"/>
    <n v="0"/>
    <s v="24AAACO3087C1ZT"/>
    <s v="Kgs"/>
    <n v="39200000"/>
    <s v="Rs."/>
    <n v="1"/>
    <n v="0"/>
  </r>
  <r>
    <s v="26-07-2026"/>
    <s v="Plastene India ltd - Unit 1-Purchase"/>
    <s v="R.M.P."/>
    <s v="RM 444"/>
    <x v="1"/>
    <s v="PIL1/D/1183"/>
    <s v="26-07-2026"/>
    <s v="SF"/>
    <s v="Liners"/>
    <s v="LDPE/LLDPE Bags"/>
    <s v="LLDPE Bags"/>
    <s v="LDPE/LLDPE Bags/Liner"/>
    <n v="81"/>
    <n v="15129.18"/>
    <s v="LDPE/LLDPE Bags/Liner"/>
    <n v="0"/>
    <n v="9"/>
    <n v="1361.63"/>
    <n v="9"/>
    <n v="1361.63"/>
    <n v="0"/>
    <n v="0"/>
    <n v="0"/>
    <n v="2723.26"/>
    <n v="0"/>
    <s v="24AAACO3087C1ZT"/>
    <s v="Kgs"/>
    <n v="39200000"/>
    <s v="Rs."/>
    <n v="1"/>
    <n v="0"/>
  </r>
  <r>
    <s v="26-07-2026"/>
    <s v="Plastene India ltd - Unit 1-Purchase"/>
    <s v="R.M.P."/>
    <s v="RM 444"/>
    <x v="1"/>
    <s v="PIL1/D/1183"/>
    <s v="26-07-2026"/>
    <s v="SF"/>
    <s v="PP/PE Fabric"/>
    <s v="PP UL Fabric"/>
    <s v="PP Woven Fabric"/>
    <s v="PP UL Fabric With UV"/>
    <n v="1418"/>
    <n v="204886.82"/>
    <s v="PP UL Fabric With UV"/>
    <n v="0"/>
    <n v="9"/>
    <n v="18439.810000000001"/>
    <n v="9"/>
    <n v="18439.810000000001"/>
    <n v="0"/>
    <n v="0"/>
    <n v="0"/>
    <n v="36879.620000000003"/>
    <n v="0"/>
    <s v="24AAACO3087C1ZT"/>
    <s v="Kgs"/>
    <n v="39269080"/>
    <s v="Rs."/>
    <n v="1"/>
    <n v="0"/>
  </r>
  <r>
    <s v="26-07-2026"/>
    <s v="Plastene India ltd - Unit 1-Purchase"/>
    <s v="R.M.P."/>
    <s v="RM 444"/>
    <x v="1"/>
    <s v="PIL1/D/1183"/>
    <s v="26-07-2026"/>
    <s v="SF"/>
    <s v="PP/PE Fabric"/>
    <s v="PP Lam Fabric"/>
    <s v="PP Laminated Woven Fabric"/>
    <s v="PP Lam Fabric With UV"/>
    <n v="2377"/>
    <n v="360091.73"/>
    <s v="PP Lam Fabric With UV"/>
    <n v="0"/>
    <n v="9"/>
    <n v="32408.26"/>
    <n v="9"/>
    <n v="32408.26"/>
    <n v="0"/>
    <n v="0"/>
    <n v="0"/>
    <n v="64816.52"/>
    <n v="0"/>
    <s v="24AAACO3087C1ZT"/>
    <s v="Kgs"/>
    <n v="63053300"/>
    <s v="Rs."/>
    <n v="1"/>
    <n v="0"/>
  </r>
  <r>
    <s v="26-07-2026"/>
    <s v="Plastene India ltd - Unit 1-Purchase"/>
    <s v="R.M.P."/>
    <s v="RM 444"/>
    <x v="1"/>
    <s v="PIL1/D/1183"/>
    <s v="26-07-2026"/>
    <s v="SF"/>
    <s v="PP/PE Fabric"/>
    <s v="PP Lam Fabric"/>
    <s v="PP Laminated Woven Fabric"/>
    <s v="PP Lam Fabric With UV"/>
    <n v="604"/>
    <n v="89687.96"/>
    <s v="PP Lam Fabric With UV"/>
    <n v="0"/>
    <n v="9"/>
    <n v="8071.92"/>
    <n v="9"/>
    <n v="8071.92"/>
    <n v="0"/>
    <n v="0"/>
    <n v="0"/>
    <n v="16143.84"/>
    <n v="0"/>
    <s v="24AAACO3087C1ZT"/>
    <s v="Kgs"/>
    <n v="63053300"/>
    <s v="Rs."/>
    <n v="1"/>
    <n v="0"/>
  </r>
  <r>
    <s v="27-07-2026"/>
    <s v="Plastene India ltd - Unit 1-Purchase"/>
    <s v="General Purchase"/>
    <s v="GNCN 297"/>
    <x v="0"/>
    <s v="PIL1/D/1190"/>
    <s v="27-07-2026"/>
    <s v="Stores/Spares"/>
    <s v="MS Structure Items"/>
    <s v="Spares &amp; Stores"/>
    <s v="Stores &amp; Consumables"/>
    <s v="MS Pipe 4  C Class"/>
    <n v="432"/>
    <n v="20736"/>
    <s v="MS Pipe 4  C Class"/>
    <n v="24447.74"/>
    <n v="9"/>
    <n v="1866.24"/>
    <n v="9"/>
    <n v="1866.24"/>
    <n v="0"/>
    <n v="0"/>
    <n v="0"/>
    <n v="3732.48"/>
    <n v="0"/>
    <s v="24AAACO3087C1ZT"/>
    <s v="Kgs"/>
    <n v="73063090"/>
    <s v="Rs."/>
    <n v="1"/>
    <n v="0"/>
  </r>
  <r>
    <s v="27-07-2026"/>
    <s v="Plastene India ltd - Unit 1-Purchase"/>
    <s v="R.M.P."/>
    <s v="RM 445"/>
    <x v="1"/>
    <s v="PIL1/D/1189"/>
    <s v="27-07-2026"/>
    <s v="SF"/>
    <s v="PP/PE Fabric"/>
    <s v="PP UL Fabric"/>
    <s v="PP Woven Fabric"/>
    <s v="PP UL Fabric With UV"/>
    <n v="5977"/>
    <n v="863616.73"/>
    <s v="PP UL Fabric With UV"/>
    <n v="1151710.29"/>
    <n v="9"/>
    <n v="77725.509999999995"/>
    <n v="9"/>
    <n v="77725.509999999995"/>
    <n v="0"/>
    <n v="0"/>
    <n v="0"/>
    <n v="155451.01999999999"/>
    <n v="0"/>
    <s v="24AAACO3087C1ZT"/>
    <s v="Kgs"/>
    <n v="39269080"/>
    <s v="Rs."/>
    <n v="1"/>
    <n v="0"/>
  </r>
  <r>
    <s v="27-07-2026"/>
    <s v="Plastene India ltd - Unit 1-Purchase"/>
    <s v="R.M.P."/>
    <s v="RM 445"/>
    <x v="1"/>
    <s v="PIL1/D/1189"/>
    <s v="27-07-2026"/>
    <s v="SF"/>
    <s v="PP/PE Fabric"/>
    <s v="PP UL Fabric"/>
    <s v="PP Woven Fabric"/>
    <s v="PP UL Fabric With UV"/>
    <n v="773"/>
    <n v="113236.77"/>
    <s v="PP UL Fabric With UV"/>
    <n v="0"/>
    <n v="9"/>
    <n v="10191.31"/>
    <n v="9"/>
    <n v="10191.31"/>
    <n v="0"/>
    <n v="0"/>
    <n v="0"/>
    <n v="20382.62"/>
    <n v="0"/>
    <s v="24AAACO3087C1ZT"/>
    <s v="Kgs"/>
    <n v="39269080"/>
    <s v="Rs."/>
    <n v="1"/>
    <n v="0"/>
  </r>
  <r>
    <s v="27-07-2026"/>
    <s v="Plastene India ltd - Unit 1-Purchase"/>
    <s v="R.M.P."/>
    <s v="RM 446"/>
    <x v="1"/>
    <s v="PIL1/D/1191"/>
    <s v="27-07-2026"/>
    <s v="SF"/>
    <s v="Webbing"/>
    <s v="PP Webbing"/>
    <s v="PP Webbing"/>
    <s v="Webbing"/>
    <n v="675"/>
    <n v="98880.75"/>
    <s v="Webbing"/>
    <n v="1747684.48"/>
    <n v="9"/>
    <n v="8899.27"/>
    <n v="9"/>
    <n v="8899.27"/>
    <n v="0"/>
    <n v="0"/>
    <n v="0"/>
    <n v="17798.54"/>
    <n v="0"/>
    <s v="24AAACO3087C1ZT"/>
    <s v="Kgs"/>
    <n v="3926908"/>
    <s v="Rs."/>
    <n v="1"/>
    <n v="0"/>
  </r>
  <r>
    <s v="27-07-2026"/>
    <s v="Plastene India ltd - Unit 1-Purchase"/>
    <s v="R.M.P."/>
    <s v="RM 446"/>
    <x v="1"/>
    <s v="PIL1/D/1191"/>
    <s v="27-07-2026"/>
    <s v="SF"/>
    <s v="Liners"/>
    <s v="LDPE/LLDPE Bags"/>
    <s v="LLDPE Bags"/>
    <s v="LDPE/LLDPE Bags/Liner"/>
    <n v="1041"/>
    <n v="190273.98"/>
    <s v="LDPE/LLDPE Bags/Liner"/>
    <n v="0"/>
    <n v="9"/>
    <n v="17124.66"/>
    <n v="9"/>
    <n v="17124.66"/>
    <n v="0"/>
    <n v="0"/>
    <n v="0"/>
    <n v="34249.32"/>
    <n v="0"/>
    <s v="24AAACO3087C1ZT"/>
    <s v="Kgs"/>
    <n v="39200000"/>
    <s v="Rs."/>
    <n v="1"/>
    <n v="0"/>
  </r>
  <r>
    <s v="27-07-2026"/>
    <s v="Plastene India ltd - Unit 1-Purchase"/>
    <s v="R.M.P."/>
    <s v="RM 446"/>
    <x v="1"/>
    <s v="PIL1/D/1191"/>
    <s v="27-07-2026"/>
    <s v="SF"/>
    <s v="Liners"/>
    <s v="LDPE/LLDPE Bags"/>
    <s v="LLDPE Bags"/>
    <s v="LDPE/LLDPE Bags/Liner"/>
    <n v="80"/>
    <n v="14942.4"/>
    <s v="LDPE/LLDPE Bags/Liner"/>
    <n v="0"/>
    <n v="9"/>
    <n v="1344.82"/>
    <n v="9"/>
    <n v="1344.82"/>
    <n v="0"/>
    <n v="0"/>
    <n v="0"/>
    <n v="2689.64"/>
    <n v="0"/>
    <s v="24AAACO3087C1ZT"/>
    <s v="Kgs"/>
    <n v="39200000"/>
    <s v="Rs."/>
    <n v="1"/>
    <n v="0"/>
  </r>
  <r>
    <s v="27-07-2026"/>
    <s v="Plastene India ltd - Unit 1-Purchase"/>
    <s v="R.M.P."/>
    <s v="RM 446"/>
    <x v="1"/>
    <s v="PIL1/D/1191"/>
    <s v="27-07-2026"/>
    <s v="SF"/>
    <s v="PP/PE Fabric"/>
    <s v="PP UL Fabric"/>
    <s v="PP Woven Fabric"/>
    <s v="PP UL Fabric With UV"/>
    <n v="3102"/>
    <n v="448207.98"/>
    <s v="PP UL Fabric With UV"/>
    <n v="0"/>
    <n v="9"/>
    <n v="40338.720000000001"/>
    <n v="9"/>
    <n v="40338.720000000001"/>
    <n v="0"/>
    <n v="0"/>
    <n v="0"/>
    <n v="80677.440000000002"/>
    <n v="0"/>
    <s v="24AAACO3087C1ZT"/>
    <s v="Kgs"/>
    <n v="39269080"/>
    <s v="Rs."/>
    <n v="1"/>
    <n v="0"/>
  </r>
  <r>
    <s v="27-07-2026"/>
    <s v="Plastene India ltd - Unit 1-Purchase"/>
    <s v="R.M.P."/>
    <s v="RM 446"/>
    <x v="1"/>
    <s v="PIL1/D/1191"/>
    <s v="27-07-2026"/>
    <s v="SF"/>
    <s v="PP/PE Fabric"/>
    <s v="PP Lam Fabric"/>
    <s v="PP Laminated Woven Fabric"/>
    <s v="PP Lam Fabric With UV"/>
    <n v="1281"/>
    <n v="187653.69"/>
    <s v="PP Lam Fabric With UV"/>
    <n v="0"/>
    <n v="9"/>
    <n v="16888.830000000002"/>
    <n v="9"/>
    <n v="16888.830000000002"/>
    <n v="0"/>
    <n v="0"/>
    <n v="0"/>
    <n v="33777.660000000003"/>
    <n v="0"/>
    <s v="24AAACO3087C1ZT"/>
    <s v="Kgs"/>
    <n v="63053300"/>
    <s v="Rs."/>
    <n v="1"/>
    <n v="0"/>
  </r>
  <r>
    <s v="27-07-2026"/>
    <s v="Plastene India ltd - Unit 1-Purchase"/>
    <s v="R.M.P."/>
    <s v="RM 446"/>
    <x v="1"/>
    <s v="PIL1/D/1191"/>
    <s v="27-07-2026"/>
    <s v="SF"/>
    <s v="PP/PE Fabric"/>
    <s v="PP Lam Fabric"/>
    <s v="PP Laminated Woven Fabric"/>
    <s v="PP Lam Fabric With UV"/>
    <n v="793"/>
    <n v="120131.57"/>
    <s v="PP Lam Fabric With UV"/>
    <n v="0"/>
    <n v="9"/>
    <n v="10811.84"/>
    <n v="9"/>
    <n v="10811.84"/>
    <n v="0"/>
    <n v="0"/>
    <n v="0"/>
    <n v="21623.68"/>
    <n v="0"/>
    <s v="24AAACO3087C1ZT"/>
    <s v="Kgs"/>
    <n v="63053300"/>
    <s v="Rs."/>
    <n v="1"/>
    <n v="0"/>
  </r>
  <r>
    <s v="27-07-2026"/>
    <s v="Plastene India ltd - Unit 1-Purchase"/>
    <s v="R.M.P."/>
    <s v="RM 446"/>
    <x v="1"/>
    <s v="PIL1/D/1191"/>
    <s v="27-07-2026"/>
    <s v="SF"/>
    <s v="PP/PE Fabric"/>
    <s v="PP Lam Fabric"/>
    <s v="PP Laminated Woven Fabric"/>
    <s v="PP Lam Fabric With UV"/>
    <n v="1602"/>
    <n v="242686.98"/>
    <s v="PP Lam Fabric With UV"/>
    <n v="0"/>
    <n v="9"/>
    <n v="21841.83"/>
    <n v="9"/>
    <n v="21841.83"/>
    <n v="0"/>
    <n v="0"/>
    <n v="0"/>
    <n v="43683.66"/>
    <n v="0"/>
    <s v="24AAACO3087C1ZT"/>
    <s v="Kgs"/>
    <n v="63053300"/>
    <s v="Rs."/>
    <n v="1"/>
    <n v="0"/>
  </r>
  <r>
    <s v="27-07-2026"/>
    <s v="Plastene India ltd - Unit 1-Purchase"/>
    <s v="R.M.P."/>
    <s v="RM 446"/>
    <x v="1"/>
    <s v="PIL1/D/1191"/>
    <s v="27-07-2026"/>
    <s v="SF"/>
    <s v="Webbing"/>
    <s v="PP Webbing"/>
    <s v="PP Webbing"/>
    <s v="Webbing"/>
    <n v="1201.2"/>
    <n v="179567.39"/>
    <s v="Webbing"/>
    <n v="0"/>
    <n v="9"/>
    <n v="16161.06"/>
    <n v="9"/>
    <n v="16161.06"/>
    <n v="0"/>
    <n v="0"/>
    <n v="0"/>
    <n v="32322.12"/>
    <n v="0"/>
    <s v="24AAACO3087C1ZT"/>
    <s v="Kgs"/>
    <n v="3926908"/>
    <s v="Rs."/>
    <n v="1"/>
    <n v="0"/>
  </r>
  <r>
    <s v="28-07-2026"/>
    <s v="Gayatri Petroleums"/>
    <s v="General Purchase"/>
    <s v="GNCN 298"/>
    <x v="0"/>
    <s v="GP/26-27/77724"/>
    <s v="25-07-2026"/>
    <s v="Consumables"/>
    <s v="Oil &amp; Greases"/>
    <s v="Spares &amp; Stores"/>
    <s v="Stores &amp; Consumables"/>
    <s v="Diesel"/>
    <n v="400"/>
    <n v="39116"/>
    <s v="Diesel"/>
    <n v="39116"/>
    <n v="0"/>
    <n v="0"/>
    <n v="0"/>
    <n v="0"/>
    <n v="0"/>
    <n v="0"/>
    <n v="0"/>
    <n v="0"/>
    <n v="0"/>
    <s v="24ABJPV0976A1ZO"/>
    <s v="LTR"/>
    <n v="27101930"/>
    <s v="Rs."/>
    <n v="1"/>
    <n v="0"/>
  </r>
  <r>
    <s v="28-07-2026"/>
    <s v="Gayatri Petroleums"/>
    <s v="General Purchase"/>
    <s v="GNCN 299"/>
    <x v="0"/>
    <s v="GP/26-27/77725"/>
    <s v="25-07-2026"/>
    <s v="Consumables"/>
    <s v="Oil &amp; Greases"/>
    <s v="Spares &amp; Stores"/>
    <s v="Stores &amp; Consumables"/>
    <s v="Diesel"/>
    <n v="200"/>
    <n v="19558"/>
    <s v="Diesel"/>
    <n v="19558"/>
    <n v="0"/>
    <n v="0"/>
    <n v="0"/>
    <n v="0"/>
    <n v="0"/>
    <n v="0"/>
    <n v="0"/>
    <n v="0"/>
    <n v="0"/>
    <s v="24ABJPV0976A1ZO"/>
    <s v="LTR"/>
    <n v="27101930"/>
    <s v="Rs."/>
    <n v="1"/>
    <n v="0"/>
  </r>
  <r>
    <s v="28-07-2026"/>
    <s v="HCP Plastene Bulkpack Limited - Purchase"/>
    <s v="Branch Transfer In"/>
    <s v="RM 453"/>
    <x v="2"/>
    <s v="HPBL/DC/24"/>
    <s v="27-07-2026"/>
    <s v="SF"/>
    <s v="Liners"/>
    <s v="LDPE/LLDPE Bags"/>
    <s v="LLDPE Doc"/>
    <s v="DOC Pouch"/>
    <n v="591"/>
    <n v="95990.22"/>
    <s v="DOC Pouch"/>
    <n v="95990.22"/>
    <n v="0"/>
    <n v="0"/>
    <n v="0"/>
    <n v="0"/>
    <n v="0"/>
    <n v="0"/>
    <n v="0"/>
    <n v="0"/>
    <n v="0"/>
    <s v="24AABCG1282C2Z6"/>
    <s v="Kgs"/>
    <n v="39232100"/>
    <s v="Rs."/>
    <n v="1"/>
    <n v="0"/>
  </r>
  <r>
    <s v="28-07-2026"/>
    <s v="Kan Power Rubber Industries"/>
    <s v="General Purchase"/>
    <s v="GNSP 132"/>
    <x v="0"/>
    <s v="1496/26-27"/>
    <s v="22-07-2026"/>
    <s v="Stores/Spares"/>
    <s v="Hardware Items"/>
    <s v="Spares &amp; Stores"/>
    <s v="Stores &amp; Consumables"/>
    <s v="Garden Pipe 1/2&quot;"/>
    <n v="210"/>
    <n v="5880"/>
    <s v="Garden Pipe 1/2&quot;"/>
    <n v="6938"/>
    <n v="9"/>
    <n v="529.20000000000005"/>
    <n v="9"/>
    <n v="529.20000000000005"/>
    <n v="0"/>
    <n v="0"/>
    <n v="0"/>
    <n v="1058.4000000000001"/>
    <n v="0"/>
    <s v="24AEHPN1023R1ZD"/>
    <s v="MTR"/>
    <n v="391713"/>
    <s v="Rs."/>
    <n v="1"/>
    <n v="0"/>
  </r>
  <r>
    <s v="28-07-2026"/>
    <s v="Panchvati Tools Co."/>
    <s v="General Purchase"/>
    <s v="GNSP 133"/>
    <x v="0"/>
    <n v="1196"/>
    <s v="24-07-2026"/>
    <s v="Consumables"/>
    <s v="Consumables Workshop"/>
    <s v="Spares &amp; Stores"/>
    <s v="Stores &amp; Consumables"/>
    <s v="Cutting Wheel 4 &quot; X 1.2 mm"/>
    <n v="100"/>
    <n v="1200"/>
    <s v="Cutting Wheel 4 &quot; X 1.2 mm"/>
    <n v="1416"/>
    <n v="9"/>
    <n v="108"/>
    <n v="9"/>
    <n v="108"/>
    <n v="0"/>
    <n v="0"/>
    <n v="0"/>
    <n v="216"/>
    <n v="0"/>
    <s v="24ABVPP9097Q1Z7"/>
    <s v="Pcs"/>
    <n v="68042290"/>
    <s v="Rs."/>
    <n v="1"/>
    <n v="0"/>
  </r>
  <r>
    <s v="28-07-2026"/>
    <s v="Plastene India ltd - Unit 1-Purchase"/>
    <s v="General Purchase"/>
    <s v="GNCN 300"/>
    <x v="0"/>
    <s v="PIL1/D/1203"/>
    <s v="28-07-2026"/>
    <s v="Stores/Spares"/>
    <s v="MS Structure Items"/>
    <s v="Spares &amp; Stores"/>
    <s v="Stores &amp; Consumables"/>
    <s v="MS Pipe 4  C Class"/>
    <n v="351"/>
    <n v="16848"/>
    <s v="MS Pipe 4  C Class"/>
    <n v="19863.79"/>
    <n v="9"/>
    <n v="1516.32"/>
    <n v="9"/>
    <n v="1516.32"/>
    <n v="0"/>
    <n v="0"/>
    <n v="0"/>
    <n v="3032.64"/>
    <n v="0"/>
    <s v="24AAACO3087C1ZT"/>
    <s v="Kgs"/>
    <n v="73063090"/>
    <s v="Rs."/>
    <n v="1"/>
    <n v="0"/>
  </r>
  <r>
    <s v="28-07-2026"/>
    <s v="Plastene India ltd - Unit 1-Purchase"/>
    <s v="R.M.P."/>
    <s v="RM 448"/>
    <x v="1"/>
    <s v="PIL1/D/1201"/>
    <s v="28-07-2026"/>
    <s v="SF"/>
    <s v="PP/PE Fabric"/>
    <s v="PP UL Fabric"/>
    <s v="PP Woven Fabric"/>
    <s v="PP UL Fabric With UV"/>
    <n v="7183"/>
    <n v="1037871.67"/>
    <s v="PP UL Fabric With UV"/>
    <n v="1449557.04"/>
    <n v="9"/>
    <n v="93408.45"/>
    <n v="9"/>
    <n v="93408.45"/>
    <n v="0"/>
    <n v="0"/>
    <n v="0"/>
    <n v="186816.9"/>
    <n v="0"/>
    <s v="24AAACO3087C1ZT"/>
    <s v="Kgs"/>
    <n v="39269080"/>
    <s v="Rs."/>
    <n v="1"/>
    <n v="0"/>
  </r>
  <r>
    <s v="28-07-2026"/>
    <s v="Plastene India ltd - Unit 1-Purchase"/>
    <s v="R.M.P."/>
    <s v="RM 448"/>
    <x v="1"/>
    <s v="PIL1/D/1201"/>
    <s v="28-07-2026"/>
    <s v="SF"/>
    <s v="PP/PE Fabric"/>
    <s v="PP UL Fabric"/>
    <s v="PP Woven Fabric"/>
    <s v="PP UL Fabric With UV"/>
    <n v="146"/>
    <n v="21533.54"/>
    <s v="PP UL Fabric With UV"/>
    <n v="0"/>
    <n v="9"/>
    <n v="1938.02"/>
    <n v="9"/>
    <n v="1938.02"/>
    <n v="0"/>
    <n v="0"/>
    <n v="0"/>
    <n v="3876.04"/>
    <n v="0"/>
    <s v="24AAACO3087C1ZT"/>
    <s v="Kgs"/>
    <n v="39269080"/>
    <s v="Rs."/>
    <n v="1"/>
    <n v="0"/>
  </r>
  <r>
    <s v="28-07-2026"/>
    <s v="Plastene India ltd - Unit 1-Purchase"/>
    <s v="R.M.P."/>
    <s v="RM 448"/>
    <x v="1"/>
    <s v="PIL1/D/1201"/>
    <s v="28-07-2026"/>
    <s v="SF"/>
    <s v="PP/PE Fabric"/>
    <s v="PP UL Fabric"/>
    <s v="PP Woven Fabric"/>
    <s v="PP UL Fabric With UV"/>
    <n v="1161"/>
    <n v="170074.89"/>
    <s v="PP UL Fabric With UV"/>
    <n v="0"/>
    <n v="9"/>
    <n v="15306.74"/>
    <n v="9"/>
    <n v="15306.74"/>
    <n v="0"/>
    <n v="0"/>
    <n v="0"/>
    <n v="30613.48"/>
    <n v="0"/>
    <s v="24AAACO3087C1ZT"/>
    <s v="Kgs"/>
    <n v="39269080"/>
    <s v="Rs."/>
    <n v="1"/>
    <n v="0"/>
  </r>
  <r>
    <s v="28-07-2026"/>
    <s v="Plastene India ltd - Unit 1-Purchase"/>
    <s v="R.M.P."/>
    <s v="RM 449"/>
    <x v="1"/>
    <s v="PIL1/D/1200"/>
    <s v="28-07-2026"/>
    <s v="SF"/>
    <s v="PP/PE Fabric"/>
    <s v="PP UL Fabric"/>
    <s v="PP Woven Fabric"/>
    <s v="PP UL Fabric With UV"/>
    <n v="97"/>
    <n v="14209.53"/>
    <s v="PP UL Fabric With UV"/>
    <n v="16753.04"/>
    <n v="9"/>
    <n v="1278.8599999999999"/>
    <n v="9"/>
    <n v="1278.8599999999999"/>
    <n v="0"/>
    <n v="0"/>
    <n v="0"/>
    <n v="2557.7199999999998"/>
    <n v="0"/>
    <s v="24AAACO3087C1ZT"/>
    <s v="Kgs"/>
    <n v="39269080"/>
    <s v="Rs."/>
    <n v="1"/>
    <n v="0"/>
  </r>
  <r>
    <s v="28-07-2026"/>
    <s v="Plastene India ltd - Unit 1-Purchase"/>
    <s v="R.M.P."/>
    <s v="RM 450"/>
    <x v="1"/>
    <s v="PIL1/D/1202"/>
    <s v="28-07-2026"/>
    <s v="RM Consumables"/>
    <s v="FIBC Accessories"/>
    <s v="FIBC Accessories"/>
    <s v="Packing Material"/>
    <s v="Zip Lock Bags"/>
    <n v="3000"/>
    <n v="10600.2"/>
    <s v="Zip Lock Bags"/>
    <n v="1116754.72"/>
    <n v="9"/>
    <n v="954.02"/>
    <n v="9"/>
    <n v="954.02"/>
    <n v="0"/>
    <n v="0"/>
    <n v="0"/>
    <n v="1908.04"/>
    <n v="0"/>
    <s v="24AAACO3087C1ZT"/>
    <s v="Pcs"/>
    <n v="39232100"/>
    <s v="Rs."/>
    <n v="1"/>
    <n v="3000"/>
  </r>
  <r>
    <s v="28-07-2026"/>
    <s v="Plastene India ltd - Unit 1-Purchase"/>
    <s v="R.M.P."/>
    <s v="RM 450"/>
    <x v="1"/>
    <s v="PIL1/D/1202"/>
    <s v="28-07-2026"/>
    <s v="SF"/>
    <s v="Liners"/>
    <s v="LDPE/LLDPE Bags"/>
    <s v="LLDPE Bags"/>
    <s v="LDPE/LLDPE Bags/Liner"/>
    <n v="3256"/>
    <n v="595131.68000000005"/>
    <s v="LDPE/LLDPE Bags/Liner"/>
    <n v="0"/>
    <n v="9"/>
    <n v="53561.85"/>
    <n v="9"/>
    <n v="53561.85"/>
    <n v="0"/>
    <n v="0"/>
    <n v="0"/>
    <n v="107123.7"/>
    <n v="0"/>
    <s v="24AAACO3087C1ZT"/>
    <s v="Kgs"/>
    <n v="39200000"/>
    <s v="Rs."/>
    <n v="1"/>
    <n v="3256"/>
  </r>
  <r>
    <s v="28-07-2026"/>
    <s v="Plastene India ltd - Unit 1-Purchase"/>
    <s v="R.M.P."/>
    <s v="RM 450"/>
    <x v="1"/>
    <s v="PIL1/D/1202"/>
    <s v="28-07-2026"/>
    <s v="SF"/>
    <s v="PP/PE Fabric"/>
    <s v="PP Lam Fabric"/>
    <s v="PP Laminated Woven Fabric"/>
    <s v="PP Lam Fabric With UV"/>
    <n v="829"/>
    <n v="125585.21"/>
    <s v="PP Lam Fabric With UV"/>
    <n v="0"/>
    <n v="9"/>
    <n v="11302.67"/>
    <n v="9"/>
    <n v="11302.67"/>
    <n v="0"/>
    <n v="0"/>
    <n v="0"/>
    <n v="22605.34"/>
    <n v="0"/>
    <s v="24AAACO3087C1ZT"/>
    <s v="Kgs"/>
    <n v="63053300"/>
    <s v="Rs."/>
    <n v="1"/>
    <n v="829"/>
  </r>
  <r>
    <s v="28-07-2026"/>
    <s v="Plastene India ltd - Unit 1-Purchase"/>
    <s v="R.M.P."/>
    <s v="RM 450"/>
    <x v="1"/>
    <s v="PIL1/D/1202"/>
    <s v="28-07-2026"/>
    <s v="SF"/>
    <s v="Webbing"/>
    <s v="PP Webbing"/>
    <s v="PP Webbing"/>
    <s v="Webbing"/>
    <n v="870.7"/>
    <n v="130160.94"/>
    <s v="Webbing"/>
    <n v="0"/>
    <n v="9"/>
    <n v="11714.48"/>
    <n v="9"/>
    <n v="11714.48"/>
    <n v="0"/>
    <n v="0"/>
    <n v="0"/>
    <n v="23428.959999999999"/>
    <n v="0"/>
    <s v="24AAACO3087C1ZT"/>
    <s v="Kgs"/>
    <n v="3926908"/>
    <s v="Rs."/>
    <n v="1"/>
    <n v="870.7"/>
  </r>
  <r>
    <s v="28-07-2026"/>
    <s v="Plastene India ltd - Unit 1-Purchase"/>
    <s v="R.M.P."/>
    <s v="RM 450"/>
    <x v="1"/>
    <s v="PIL1/D/1202"/>
    <s v="28-07-2026"/>
    <s v="SF"/>
    <s v="Webbing"/>
    <s v="PP Webbing"/>
    <s v="PP Webbing"/>
    <s v="Webbing"/>
    <n v="585.20000000000005"/>
    <n v="85725.95"/>
    <s v="Webbing"/>
    <n v="0"/>
    <n v="9"/>
    <n v="7715.34"/>
    <n v="9"/>
    <n v="7715.34"/>
    <n v="0"/>
    <n v="0"/>
    <n v="0"/>
    <n v="15430.68"/>
    <n v="0"/>
    <s v="24AAACO3087C1ZT"/>
    <s v="Kgs"/>
    <n v="3926908"/>
    <s v="Rs."/>
    <n v="1"/>
    <n v="585.20000000000005"/>
  </r>
  <r>
    <s v="28-07-2026"/>
    <s v="Plastene India ltd - Unit 1-Purchase"/>
    <s v="R.M.P."/>
    <s v="RM 451"/>
    <x v="1"/>
    <s v="PIL1/D/1204"/>
    <s v="28-07-2026"/>
    <s v="SF"/>
    <s v="Webbing"/>
    <s v="PP Webbing"/>
    <s v="PP Webbing"/>
    <s v="Webbing"/>
    <n v="31.5"/>
    <n v="4708.9399999999996"/>
    <s v="Webbing"/>
    <n v="608149.38"/>
    <n v="9"/>
    <n v="423.8"/>
    <n v="9"/>
    <n v="423.8"/>
    <n v="0"/>
    <n v="0"/>
    <n v="0"/>
    <n v="847.6"/>
    <n v="0"/>
    <s v="24AAACO3087C1ZT"/>
    <s v="Kgs"/>
    <n v="3926908"/>
    <s v="Rs."/>
    <n v="1"/>
    <n v="0"/>
  </r>
  <r>
    <s v="28-07-2026"/>
    <s v="Plastene India ltd - Unit 1-Purchase"/>
    <s v="R.M.P."/>
    <s v="RM 451"/>
    <x v="1"/>
    <s v="PIL1/D/1204"/>
    <s v="28-07-2026"/>
    <s v="SF"/>
    <s v="PP/PE Fabric"/>
    <s v="PP UL Fabric"/>
    <s v="PP Woven Fabric"/>
    <s v="PP UL Fabric With UV"/>
    <n v="1988"/>
    <n v="287246.12"/>
    <s v="PP UL Fabric With UV"/>
    <n v="0"/>
    <n v="9"/>
    <n v="25852.15"/>
    <n v="9"/>
    <n v="25852.15"/>
    <n v="0"/>
    <n v="0"/>
    <n v="0"/>
    <n v="51704.3"/>
    <n v="0"/>
    <s v="24AAACO3087C1ZT"/>
    <s v="Kgs"/>
    <n v="39269080"/>
    <s v="Rs."/>
    <n v="1"/>
    <n v="0"/>
  </r>
  <r>
    <s v="28-07-2026"/>
    <s v="Plastene India ltd - Unit 1-Purchase"/>
    <s v="R.M.P."/>
    <s v="RM 451"/>
    <x v="1"/>
    <s v="PIL1/D/1204"/>
    <s v="28-07-2026"/>
    <s v="SF"/>
    <s v="Liners"/>
    <s v="LDPE/LLDPE Bags"/>
    <s v="LLDPE Bags"/>
    <s v="LDPE/LLDPE Bags/Liner"/>
    <n v="558"/>
    <n v="101991.24"/>
    <s v="LDPE/LLDPE Bags/Liner"/>
    <n v="0"/>
    <n v="9"/>
    <n v="9179.2099999999991"/>
    <n v="9"/>
    <n v="9179.2099999999991"/>
    <n v="0"/>
    <n v="0"/>
    <n v="0"/>
    <n v="18358.419999999998"/>
    <n v="0"/>
    <s v="24AAACO3087C1ZT"/>
    <s v="Kgs"/>
    <n v="39200000"/>
    <s v="Rs."/>
    <n v="1"/>
    <n v="0"/>
  </r>
  <r>
    <s v="28-07-2026"/>
    <s v="Plastene India ltd - Unit 1-Purchase"/>
    <s v="R.M.P."/>
    <s v="RM 451"/>
    <x v="1"/>
    <s v="PIL1/D/1204"/>
    <s v="28-07-2026"/>
    <s v="SF"/>
    <s v="Liners"/>
    <s v="LDPE/LLDPE Bags"/>
    <s v="LLDPE Bags"/>
    <s v="LDPE/LLDPE Bags/Liner"/>
    <n v="656"/>
    <n v="121871.67999999999"/>
    <s v="LDPE/LLDPE Bags/Liner"/>
    <n v="0"/>
    <n v="9"/>
    <n v="10968.45"/>
    <n v="9"/>
    <n v="10968.45"/>
    <n v="0"/>
    <n v="0"/>
    <n v="0"/>
    <n v="21936.9"/>
    <n v="0"/>
    <s v="24AAACO3087C1ZT"/>
    <s v="Kgs"/>
    <n v="39200000"/>
    <s v="Rs."/>
    <n v="1"/>
    <n v="0"/>
  </r>
  <r>
    <s v="28-07-2026"/>
    <s v="Plastene Polyfilms Ltd-Purchase"/>
    <s v="R.M.P."/>
    <s v="RM 447"/>
    <x v="1"/>
    <s v="PPL/D/421"/>
    <s v="28-07-2026"/>
    <s v="FG"/>
    <s v="FIBC Bags"/>
    <s v="FIBC Bags"/>
    <s v="JUMBO BAG"/>
    <s v="FIBC Bags With UV Without Liner"/>
    <n v="3232"/>
    <n v="753799.36"/>
    <s v="FIBC Bags With UV Without Liner"/>
    <n v="2319417.4300000002"/>
    <n v="9"/>
    <n v="67841.94"/>
    <n v="9"/>
    <n v="67841.94"/>
    <n v="0"/>
    <n v="0"/>
    <n v="0"/>
    <n v="135683.88"/>
    <n v="0"/>
    <s v="24AAFCP2956A1ZR"/>
    <s v="Kgs"/>
    <n v="63053200"/>
    <s v="Rs."/>
    <n v="1"/>
    <n v="0"/>
  </r>
  <r>
    <s v="28-07-2026"/>
    <s v="Plastene Polyfilms Ltd-Purchase"/>
    <s v="R.M.P."/>
    <s v="RM 447"/>
    <x v="1"/>
    <s v="PPL/D/421"/>
    <s v="28-07-2026"/>
    <s v="FG"/>
    <s v="FIBC Bags"/>
    <s v="FIBC Bags"/>
    <s v="JUMBO BAG"/>
    <s v="FIBC Bags With UV Without Liner"/>
    <n v="1752"/>
    <n v="362278.56"/>
    <s v="FIBC Bags With UV Without Liner"/>
    <n v="0"/>
    <n v="9"/>
    <n v="32605.07"/>
    <n v="9"/>
    <n v="32605.07"/>
    <n v="0"/>
    <n v="0"/>
    <n v="0"/>
    <n v="65210.14"/>
    <n v="0"/>
    <s v="24AAFCP2956A1ZR"/>
    <s v="Kgs"/>
    <n v="63053200"/>
    <s v="Rs."/>
    <n v="1"/>
    <n v="0"/>
  </r>
  <r>
    <s v="28-07-2026"/>
    <s v="Plastene Polyfilms Ltd-Purchase"/>
    <s v="R.M.P."/>
    <s v="RM 447"/>
    <x v="1"/>
    <s v="PPL/D/421"/>
    <s v="28-07-2026"/>
    <s v="FG"/>
    <s v="FIBC Bags"/>
    <s v="FIBC Bags"/>
    <s v="JUMBO BAG"/>
    <s v="FIBC Bags With UV Without Liner"/>
    <n v="1685"/>
    <n v="330681.25"/>
    <s v="FIBC Bags With UV Without Liner"/>
    <n v="0"/>
    <n v="9"/>
    <n v="29761.31"/>
    <n v="9"/>
    <n v="29761.31"/>
    <n v="0"/>
    <n v="0"/>
    <n v="0"/>
    <n v="59522.62"/>
    <n v="0"/>
    <s v="24AAFCP2956A1ZR"/>
    <s v="Kgs"/>
    <n v="63053200"/>
    <s v="Rs."/>
    <n v="1"/>
    <n v="0"/>
  </r>
  <r>
    <s v="28-07-2026"/>
    <s v="Plastene Polyfilms Ltd-Purchase"/>
    <s v="R.M.P."/>
    <s v="RM 447"/>
    <x v="1"/>
    <s v="PPL/D/421"/>
    <s v="28-07-2026"/>
    <s v="FG"/>
    <s v="FIBC Bags"/>
    <s v="FIBC Bags"/>
    <s v="JUMBO BAG"/>
    <s v="FIBC Bags With UV Without Liner"/>
    <n v="2433"/>
    <n v="520516.02"/>
    <s v="FIBC Bags With UV Without Liner"/>
    <n v="0"/>
    <n v="9"/>
    <n v="46846.44"/>
    <n v="9"/>
    <n v="46846.44"/>
    <n v="0"/>
    <n v="0"/>
    <n v="0"/>
    <n v="93692.88"/>
    <n v="0"/>
    <s v="24AAFCP2956A1ZR"/>
    <s v="Kgs"/>
    <n v="63053200"/>
    <s v="Rs."/>
    <n v="1"/>
    <n v="0"/>
  </r>
  <r>
    <s v="28-07-2026"/>
    <s v="Plastene Polyfilms Ltd-Purchase"/>
    <s v="R.M.P."/>
    <s v="RM 452"/>
    <x v="1"/>
    <s v="PPL/D/422"/>
    <s v="28-07-2026"/>
    <s v="FG"/>
    <s v="FIBC WIP"/>
    <s v="FIBC WIP"/>
    <s v="FIBC WIP"/>
    <s v="PP Woven Fabric"/>
    <n v="273"/>
    <n v="42244.02"/>
    <s v="FIBC WIP"/>
    <n v="49805.7"/>
    <n v="9"/>
    <n v="3801.96"/>
    <n v="9"/>
    <n v="3801.96"/>
    <n v="0"/>
    <n v="0"/>
    <n v="0"/>
    <n v="7603.92"/>
    <n v="0"/>
    <s v="24AAFCP2956A1ZR"/>
    <s v="Kgs"/>
    <n v="39269080"/>
    <s v="Rs."/>
    <n v="1"/>
    <n v="0"/>
  </r>
  <r>
    <s v="28-07-2026"/>
    <s v="S.R.Sewing Tech"/>
    <s v="General Purchase"/>
    <s v="GNSP 134"/>
    <x v="4"/>
    <s v="SR/620/26-27"/>
    <s v="24-07-2026"/>
    <s v="Stores/Spares"/>
    <s v="Stitching Spares"/>
    <s v="Spares &amp; Stores"/>
    <s v="Stores &amp; Consumables"/>
    <s v="Lower Looper 81311B"/>
    <n v="50"/>
    <n v="15000"/>
    <s v="Lower Looper 81311B"/>
    <n v="15855"/>
    <n v="0"/>
    <n v="0"/>
    <n v="0"/>
    <n v="0"/>
    <n v="5"/>
    <n v="750"/>
    <n v="5"/>
    <n v="755"/>
    <n v="0"/>
    <s v="19AORPR0945L1Z4"/>
    <s v="Pcs"/>
    <n v="84529099"/>
    <s v="Rs."/>
    <n v="1"/>
    <n v="0"/>
  </r>
  <r>
    <s v="28-07-2026"/>
    <s v="S.R.Sewing Tech"/>
    <s v="General Purchase"/>
    <s v="GNSP 135"/>
    <x v="4"/>
    <s v="SR/614/26-27"/>
    <s v="24-07-2026"/>
    <s v="Stores/Spares"/>
    <s v="Hardware Items"/>
    <s v="Spares &amp; Stores"/>
    <s v="Stores &amp; Consumables"/>
    <s v="Bolt Stud 11354"/>
    <n v="20"/>
    <n v="4500"/>
    <s v="Bolt Stud 11354"/>
    <n v="5198"/>
    <n v="0"/>
    <n v="0"/>
    <n v="0"/>
    <n v="0"/>
    <n v="5"/>
    <n v="225"/>
    <n v="2.5"/>
    <n v="227.5"/>
    <n v="0"/>
    <s v="19AORPR0945L1Z4"/>
    <s v="Pcs"/>
    <n v="845290"/>
    <s v="Rs."/>
    <n v="1"/>
    <n v="0"/>
  </r>
  <r>
    <s v="28-07-2026"/>
    <s v="S.R.Sewing Tech"/>
    <s v="General Purchase"/>
    <s v="GNSP 135"/>
    <x v="4"/>
    <s v="SR/614/26-27"/>
    <s v="24-07-2026"/>
    <s v="Stores/Spares"/>
    <s v="Stitching Spares"/>
    <s v="Spares &amp; Stores"/>
    <s v="Stores &amp; Consumables"/>
    <s v="Screw 85 For Orsan M/C"/>
    <n v="20"/>
    <n v="400"/>
    <s v="Screw 85 For Orsan M/C"/>
    <n v="0"/>
    <n v="0"/>
    <n v="0"/>
    <n v="0"/>
    <n v="0"/>
    <n v="5"/>
    <n v="20"/>
    <n v="2.5"/>
    <n v="22.5"/>
    <n v="0"/>
    <s v="19AORPR0945L1Z4"/>
    <s v="Pcs"/>
    <n v="73181500"/>
    <s v="Rs."/>
    <n v="1"/>
    <n v="0"/>
  </r>
  <r>
    <s v="28-07-2026"/>
    <s v="S.R.Sewing Tech"/>
    <s v="General Purchase"/>
    <s v="GNSP 136"/>
    <x v="4"/>
    <s v="SR/613/26-27"/>
    <s v="24-07-2026"/>
    <s v="Stores/Spares"/>
    <s v="Hardware Items"/>
    <s v="Spares &amp; Stores"/>
    <s v="Stores &amp; Consumables"/>
    <s v="97 A Screw."/>
    <n v="15"/>
    <n v="525"/>
    <s v="97 A Screw."/>
    <n v="20816"/>
    <n v="0"/>
    <n v="0"/>
    <n v="0"/>
    <n v="0"/>
    <n v="5"/>
    <n v="26.25"/>
    <n v="7.5"/>
    <n v="33.75"/>
    <n v="0"/>
    <s v="19AORPR0945L1Z4"/>
    <s v="Pcs"/>
    <n v="84529099"/>
    <s v="Rs."/>
    <n v="1"/>
    <n v="0"/>
  </r>
  <r>
    <s v="28-07-2026"/>
    <s v="S.R.Sewing Tech"/>
    <s v="General Purchase"/>
    <s v="GNSP 136"/>
    <x v="4"/>
    <s v="SR/613/26-27"/>
    <s v="24-07-2026"/>
    <s v="Stores/Spares"/>
    <s v="Hardware Items"/>
    <s v="Spares &amp; Stores"/>
    <s v="Stores &amp; Consumables"/>
    <s v="97 A Screw."/>
    <n v="20"/>
    <n v="700"/>
    <s v="97 A Screw."/>
    <n v="0"/>
    <n v="0"/>
    <n v="0"/>
    <n v="0"/>
    <n v="0"/>
    <n v="5"/>
    <n v="35"/>
    <n v="7.5"/>
    <n v="42.5"/>
    <n v="0"/>
    <s v="19AORPR0945L1Z4"/>
    <s v="Pcs"/>
    <n v="84529099"/>
    <s v="Rs."/>
    <n v="1"/>
    <n v="0"/>
  </r>
  <r>
    <s v="28-07-2026"/>
    <s v="S.R.Sewing Tech"/>
    <s v="General Purchase"/>
    <s v="GNSP 136"/>
    <x v="4"/>
    <s v="SR/613/26-27"/>
    <s v="24-07-2026"/>
    <s v="Stores/Spares"/>
    <s v="Hardware Items"/>
    <s v="Spares &amp; Stores"/>
    <s v="Stores &amp; Consumables"/>
    <s v="Screw 88 F"/>
    <n v="20"/>
    <n v="400"/>
    <s v="Screw 88 F"/>
    <n v="0"/>
    <n v="0"/>
    <n v="0"/>
    <n v="0"/>
    <n v="0"/>
    <n v="5"/>
    <n v="20"/>
    <n v="7.5"/>
    <n v="27.5"/>
    <n v="0"/>
    <s v="19AORPR0945L1Z4"/>
    <s v="Pcs"/>
    <n v="73182990"/>
    <s v="Rs."/>
    <n v="1"/>
    <n v="0"/>
  </r>
  <r>
    <s v="28-07-2026"/>
    <s v="S.R.Sewing Tech"/>
    <s v="General Purchase"/>
    <s v="GNSP 136"/>
    <x v="4"/>
    <s v="SR/613/26-27"/>
    <s v="24-07-2026"/>
    <s v="Stores/Spares"/>
    <s v="Hardware Items"/>
    <s v="Spares &amp; Stores"/>
    <s v="Stores &amp; Consumables"/>
    <s v="Screw 93 A"/>
    <n v="10"/>
    <n v="200"/>
    <s v="Screw 93 A"/>
    <n v="0"/>
    <n v="0"/>
    <n v="0"/>
    <n v="0"/>
    <n v="0"/>
    <n v="5"/>
    <n v="10"/>
    <n v="7.5"/>
    <n v="17.5"/>
    <n v="0"/>
    <s v="19AORPR0945L1Z4"/>
    <s v="Pcs"/>
    <n v="84529099"/>
    <s v="Rs."/>
    <n v="1"/>
    <n v="0"/>
  </r>
  <r>
    <s v="28-07-2026"/>
    <s v="S.R.Sewing Tech"/>
    <s v="General Purchase"/>
    <s v="GNSP 136"/>
    <x v="4"/>
    <s v="SR/613/26-27"/>
    <s v="24-07-2026"/>
    <s v="Stores/Spares"/>
    <s v="Hardware Items"/>
    <s v="Spares &amp; Stores"/>
    <s v="Stores &amp; Consumables"/>
    <s v="Screw 93 A"/>
    <n v="10"/>
    <n v="200"/>
    <s v="Screw 93 A"/>
    <n v="0"/>
    <n v="0"/>
    <n v="0"/>
    <n v="0"/>
    <n v="0"/>
    <n v="5"/>
    <n v="10"/>
    <n v="7.5"/>
    <n v="17.5"/>
    <n v="0"/>
    <s v="19AORPR0945L1Z4"/>
    <s v="Pcs"/>
    <n v="84529099"/>
    <s v="Rs."/>
    <n v="1"/>
    <n v="0"/>
  </r>
  <r>
    <s v="28-07-2026"/>
    <s v="S.R.Sewing Tech"/>
    <s v="General Purchase"/>
    <s v="GNSP 136"/>
    <x v="4"/>
    <s v="SR/613/26-27"/>
    <s v="24-07-2026"/>
    <s v="Stores/Spares"/>
    <s v="Stitching Spares"/>
    <s v="Spares &amp; Stores"/>
    <s v="Stores &amp; Consumables"/>
    <s v="Looper Lower For Overedge Stitching  (81508)"/>
    <n v="10"/>
    <n v="12000"/>
    <s v="Looper Lower For Overedge Stitching  (81508)"/>
    <n v="0"/>
    <n v="0"/>
    <n v="0"/>
    <n v="0"/>
    <n v="0"/>
    <n v="5"/>
    <n v="600"/>
    <n v="7.5"/>
    <n v="607.5"/>
    <n v="0"/>
    <s v="19AORPR0945L1Z4"/>
    <s v="Pcs"/>
    <n v="84529099"/>
    <s v="Rs."/>
    <n v="1"/>
    <n v="0"/>
  </r>
  <r>
    <s v="28-07-2026"/>
    <s v="S.R.Sewing Tech"/>
    <s v="General Purchase"/>
    <s v="GNSP 136"/>
    <x v="4"/>
    <s v="SR/613/26-27"/>
    <s v="24-07-2026"/>
    <s v="Stores/Spares"/>
    <s v="Stitching Spares"/>
    <s v="Spares &amp; Stores"/>
    <s v="Stores &amp; Consumables"/>
    <s v="Spreader, Upper For Overedge Stitching  (81507)"/>
    <n v="3"/>
    <n v="3150"/>
    <s v="Spreader, Upper For Overedge Stitching  (81507)"/>
    <n v="0"/>
    <n v="0"/>
    <n v="0"/>
    <n v="0"/>
    <n v="0"/>
    <n v="5"/>
    <n v="157.5"/>
    <n v="7.5"/>
    <n v="165"/>
    <n v="0"/>
    <s v="19AORPR0945L1Z4"/>
    <s v="Pcs"/>
    <n v="84529099"/>
    <s v="Rs."/>
    <n v="1"/>
    <n v="0"/>
  </r>
  <r>
    <s v="28-07-2026"/>
    <s v="S.R.Sewing Tech"/>
    <s v="General Purchase"/>
    <s v="GNSP 136"/>
    <x v="4"/>
    <s v="SR/613/26-27"/>
    <s v="24-07-2026"/>
    <s v="Stores/Spares"/>
    <s v="Stitching Spares"/>
    <s v="Spares &amp; Stores"/>
    <s v="Stores &amp; Consumables"/>
    <s v="Ha 23   Guide Plate"/>
    <n v="10"/>
    <n v="2500"/>
    <s v="Ha 23   Guide Plate"/>
    <n v="0"/>
    <n v="0"/>
    <n v="0"/>
    <n v="0"/>
    <n v="0"/>
    <n v="5"/>
    <n v="125"/>
    <n v="7.5"/>
    <n v="132.5"/>
    <n v="0"/>
    <s v="19AORPR0945L1Z4"/>
    <s v="Pcs"/>
    <n v="84529099"/>
    <s v="Rs."/>
    <n v="1"/>
    <n v="0"/>
  </r>
  <r>
    <s v="28-07-2026"/>
    <s v="Shiv Shakti Enterprise"/>
    <s v="Purchase"/>
    <s v="GNPK 75"/>
    <x v="3"/>
    <s v="SSE/2026-27/0759"/>
    <d v="2026-01-07T00:00:00"/>
    <s v="Packing Material"/>
    <s v="Pallets"/>
    <s v="Pallets"/>
    <s v="Packing Material"/>
    <s v="Pine Wooden Pallet Design Code -CP1"/>
    <n v="55"/>
    <n v="67375"/>
    <s v="Pine Wooden Pallet Design Code -CP1"/>
    <n v="70744"/>
    <n v="2.5"/>
    <n v="1684.38"/>
    <n v="2.5"/>
    <n v="1684.38"/>
    <n v="0"/>
    <n v="0"/>
    <n v="0"/>
    <n v="3368.76"/>
    <n v="0"/>
    <s v="24AIEPG9602Q1ZZ"/>
    <s v="Pcs"/>
    <n v="44152000"/>
    <s v="Rs."/>
    <n v="1"/>
    <n v="0"/>
  </r>
  <r>
    <s v="29-07-2026"/>
    <s v="Disha Trading"/>
    <s v="General Purchase"/>
    <s v="GNCN 301"/>
    <x v="0"/>
    <n v="1118"/>
    <s v="29-07-2026"/>
    <s v="Consumables"/>
    <s v="Housekeeping Material"/>
    <s v="Spares &amp; Stores"/>
    <s v="Stores &amp; Consumables"/>
    <s v="Cotton Waste"/>
    <n v="600"/>
    <n v="9600"/>
    <s v="Cotton Waste"/>
    <n v="10080"/>
    <n v="2.5"/>
    <n v="240"/>
    <n v="2.5"/>
    <n v="240"/>
    <n v="0"/>
    <n v="0"/>
    <n v="0"/>
    <n v="480"/>
    <n v="0"/>
    <s v="24AFUPA6072K1Z6"/>
    <s v="Kgs"/>
    <n v="631090"/>
    <s v="Rs."/>
    <n v="1"/>
    <n v="0"/>
  </r>
  <r>
    <s v="29-07-2026"/>
    <s v="Panchvati Tools Co."/>
    <s v="General Purchase"/>
    <s v="GNSP 137"/>
    <x v="0"/>
    <n v="1236"/>
    <s v="27-07-2026"/>
    <s v="Stores/Spares"/>
    <s v="Hardware Items"/>
    <s v="Spares &amp; Stores"/>
    <s v="Stores &amp; Consumables"/>
    <s v="Wire Brush  05 Row"/>
    <n v="10"/>
    <n v="300"/>
    <s v="Wire Brush  05 Row"/>
    <n v="354"/>
    <n v="9"/>
    <n v="27"/>
    <n v="9"/>
    <n v="27"/>
    <n v="0"/>
    <n v="0"/>
    <n v="0"/>
    <n v="54"/>
    <n v="0"/>
    <s v="24ABVPP9097Q1Z7"/>
    <s v="Pcs"/>
    <n v="9603010"/>
    <s v="Rs."/>
    <n v="1"/>
    <n v="0"/>
  </r>
  <r>
    <s v="29-07-2026"/>
    <s v="Plastene India ltd - Unit 1-Purchase"/>
    <s v="General Purchase"/>
    <s v="GNCN 302"/>
    <x v="0"/>
    <s v="PIL1/D/1209"/>
    <s v="29-07-2026"/>
    <s v="Stores/Spares"/>
    <s v="MS Structure Items"/>
    <s v="Spares &amp; Stores"/>
    <s v="Stores &amp; Consumables"/>
    <s v="MS Pipe 4  C Class"/>
    <n v="320"/>
    <n v="15360"/>
    <s v="MS Pipe 4  C Class"/>
    <n v="18109.439999999999"/>
    <n v="9"/>
    <n v="1382.4"/>
    <n v="9"/>
    <n v="1382.4"/>
    <n v="0"/>
    <n v="0"/>
    <n v="0"/>
    <n v="2764.8"/>
    <n v="0"/>
    <s v="24AAACO3087C1ZT"/>
    <s v="Kgs"/>
    <n v="73063090"/>
    <s v="Rs."/>
    <n v="1"/>
    <n v="0"/>
  </r>
  <r>
    <s v="29-07-2026"/>
    <s v="Plastene India ltd - Unit 1-Purchase"/>
    <s v="R.M.P."/>
    <s v="RM 454"/>
    <x v="1"/>
    <s v="PIL1/D/1213"/>
    <s v="29-07-2026"/>
    <s v="SF"/>
    <s v="PP/PE Fabric"/>
    <s v="PP UL Fabric"/>
    <s v="PP Woven Fabric"/>
    <s v="PP UL Fabric With UV"/>
    <n v="1400"/>
    <n v="202286"/>
    <s v="PP UL Fabric With UV"/>
    <n v="238495.19"/>
    <n v="9"/>
    <n v="18205.740000000002"/>
    <n v="9"/>
    <n v="18205.740000000002"/>
    <n v="0"/>
    <n v="0"/>
    <n v="0"/>
    <n v="36411.480000000003"/>
    <n v="0"/>
    <s v="24AAACO3087C1ZT"/>
    <s v="Kgs"/>
    <n v="39269080"/>
    <s v="Rs."/>
    <n v="1"/>
    <n v="0"/>
  </r>
  <r>
    <s v="29-07-2026"/>
    <s v="Plastene India ltd - Unit 1-Purchase"/>
    <s v="R.M.P."/>
    <s v="RM 455"/>
    <x v="1"/>
    <s v="PIL1/D/1217"/>
    <s v="29-07-2026"/>
    <s v="SF"/>
    <s v="PP/PE Fabric"/>
    <s v="PP UL Fabric"/>
    <s v="PP Woven Fabric"/>
    <s v="PP UL Fabric With UV"/>
    <n v="1175"/>
    <n v="169775.75"/>
    <s v="PP UL Fabric With UV"/>
    <n v="200165.61"/>
    <n v="9"/>
    <n v="15279.82"/>
    <n v="9"/>
    <n v="15279.82"/>
    <n v="0"/>
    <n v="0"/>
    <n v="0"/>
    <n v="30559.64"/>
    <n v="0"/>
    <s v="24AAACO3087C1ZT"/>
    <s v="Kgs"/>
    <n v="39269080"/>
    <s v="Rs."/>
    <n v="1"/>
    <n v="0"/>
  </r>
  <r>
    <s v="29-07-2026"/>
    <s v="Plastene India ltd - Unit 1-Purchase"/>
    <s v="R.M.P."/>
    <s v="RM 456"/>
    <x v="1"/>
    <s v="PIL1/D/1210"/>
    <s v="29-07-2026"/>
    <s v="SF"/>
    <s v="Liners"/>
    <s v="LDPE/LLDPE Bags"/>
    <s v="LLDPE Bags"/>
    <s v="LDPE/LLDPE Bags/Liner"/>
    <n v="7634"/>
    <n v="1395342.52"/>
    <s v="LDPE/LLDPE Bags/Liner"/>
    <n v="1927458.33"/>
    <n v="9"/>
    <n v="125580.83"/>
    <n v="9"/>
    <n v="125580.83"/>
    <n v="0"/>
    <n v="0"/>
    <n v="0"/>
    <n v="251161.66"/>
    <n v="0"/>
    <s v="24AAACO3087C1ZT"/>
    <s v="Kgs"/>
    <n v="39200000"/>
    <s v="Rs."/>
    <n v="1"/>
    <n v="0"/>
  </r>
  <r>
    <s v="29-07-2026"/>
    <s v="Plastene India ltd - Unit 1-Purchase"/>
    <s v="R.M.P."/>
    <s v="RM 456"/>
    <x v="1"/>
    <s v="PIL1/D/1210"/>
    <s v="29-07-2026"/>
    <s v="RM Consumables"/>
    <s v="FIBC Accessories"/>
    <s v="FIBC Accessories"/>
    <s v="Packing Material"/>
    <s v="Zip Lock Bags"/>
    <n v="15400"/>
    <n v="55931.26"/>
    <s v="Zip Lock Bags"/>
    <n v="0"/>
    <n v="9"/>
    <n v="5033.8100000000004"/>
    <n v="9"/>
    <n v="5033.8100000000004"/>
    <n v="0"/>
    <n v="0"/>
    <n v="0"/>
    <n v="10067.620000000001"/>
    <n v="0"/>
    <s v="24AAACO3087C1ZT"/>
    <s v="Pcs"/>
    <n v="39232100"/>
    <s v="Rs."/>
    <n v="1"/>
    <n v="306"/>
  </r>
  <r>
    <s v="29-07-2026"/>
    <s v="Plastene India ltd - Unit 1-Purchase"/>
    <s v="R.M.P."/>
    <s v="RM 456"/>
    <x v="1"/>
    <s v="PIL1/D/1210"/>
    <s v="29-07-2026"/>
    <s v="SF"/>
    <s v="Webbing"/>
    <s v="PP Webbing"/>
    <s v="PP Webbing"/>
    <s v="Webbing"/>
    <n v="97.1"/>
    <n v="14224.18"/>
    <s v="Webbing"/>
    <n v="0"/>
    <n v="9"/>
    <n v="1280.18"/>
    <n v="9"/>
    <n v="1280.18"/>
    <n v="0"/>
    <n v="0"/>
    <n v="0"/>
    <n v="2560.36"/>
    <n v="0"/>
    <s v="24AAACO3087C1ZT"/>
    <s v="Kgs"/>
    <n v="3926908"/>
    <s v="Rs."/>
    <n v="1"/>
    <n v="0"/>
  </r>
  <r>
    <s v="29-07-2026"/>
    <s v="Plastene India ltd - Unit 1-Purchase"/>
    <s v="R.M.P."/>
    <s v="RM 456"/>
    <x v="1"/>
    <s v="PIL1/D/1210"/>
    <s v="29-07-2026"/>
    <s v="SF"/>
    <s v="Webbing"/>
    <s v="PP Webbing"/>
    <s v="PP Webbing"/>
    <s v="Webbing"/>
    <n v="1132.7"/>
    <n v="169327.32"/>
    <s v="Webbing"/>
    <n v="0"/>
    <n v="9"/>
    <n v="15239.46"/>
    <n v="9"/>
    <n v="15239.46"/>
    <n v="0"/>
    <n v="0"/>
    <n v="0"/>
    <n v="30478.92"/>
    <n v="0"/>
    <s v="24AAACO3087C1ZT"/>
    <s v="Kgs"/>
    <n v="3926908"/>
    <s v="Rs."/>
    <n v="1"/>
    <n v="0"/>
  </r>
  <r>
    <s v="29-07-2026"/>
    <s v="Plastene India ltd - Unit 1-Purchase"/>
    <s v="R.M.P."/>
    <s v="RM 457"/>
    <x v="1"/>
    <s v="PIL1/D/1208"/>
    <s v="29-07-2026"/>
    <s v="SF"/>
    <s v="PP/PE Fabric"/>
    <s v="PP Lam Fabric"/>
    <s v="PP Laminated Woven Fabric"/>
    <s v="PP Lam Fabric With UV"/>
    <n v="525"/>
    <n v="77957.25"/>
    <s v="PP Lam Fabric With UV"/>
    <n v="1690228.08"/>
    <n v="9"/>
    <n v="7016.15"/>
    <n v="9"/>
    <n v="7016.15"/>
    <n v="0"/>
    <n v="0"/>
    <n v="0"/>
    <n v="14032.3"/>
    <n v="0"/>
    <s v="24AAACO3087C1ZT"/>
    <s v="Kgs"/>
    <n v="63053300"/>
    <s v="Rs."/>
    <n v="1"/>
    <n v="0"/>
  </r>
  <r>
    <s v="29-07-2026"/>
    <s v="Plastene India ltd - Unit 1-Purchase"/>
    <s v="R.M.P."/>
    <s v="RM 457"/>
    <x v="1"/>
    <s v="PIL1/D/1208"/>
    <s v="29-07-2026"/>
    <s v="SF"/>
    <s v="PP/PE Fabric"/>
    <s v="PP UL Fabric"/>
    <s v="PP Woven Fabric"/>
    <s v="PP UL Fabric With UV"/>
    <n v="8039"/>
    <n v="1161555.1100000001"/>
    <s v="PP UL Fabric With UV"/>
    <n v="0"/>
    <n v="9"/>
    <n v="104539.96"/>
    <n v="9"/>
    <n v="104539.96"/>
    <n v="0"/>
    <n v="0"/>
    <n v="0"/>
    <n v="209079.92"/>
    <n v="0"/>
    <s v="24AAACO3087C1ZT"/>
    <s v="Kgs"/>
    <n v="39269080"/>
    <s v="Rs."/>
    <n v="1"/>
    <n v="0"/>
  </r>
  <r>
    <s v="29-07-2026"/>
    <s v="Plastene India ltd - Unit 1-Purchase"/>
    <s v="R.M.P."/>
    <s v="RM 457"/>
    <x v="1"/>
    <s v="PIL1/D/1208"/>
    <s v="29-07-2026"/>
    <s v="SF"/>
    <s v="PP/PE Fabric"/>
    <s v="PP UL Fabric"/>
    <s v="PP Woven Fabric"/>
    <s v="PP UL Fabric With UV"/>
    <n v="1325"/>
    <n v="194099.25"/>
    <s v="PP UL Fabric With UV"/>
    <n v="0"/>
    <n v="9"/>
    <n v="17468.93"/>
    <n v="9"/>
    <n v="17468.93"/>
    <n v="0"/>
    <n v="0"/>
    <n v="0"/>
    <n v="34937.86"/>
    <n v="0"/>
    <s v="24AAACO3087C1ZT"/>
    <s v="Kgs"/>
    <n v="39269080"/>
    <s v="Rs."/>
    <n v="1"/>
    <n v="0"/>
  </r>
  <r>
    <s v="29-07-2026"/>
    <s v="Rajgor Stationery &amp; Computer"/>
    <s v="General Purchase"/>
    <s v="GNMS 13"/>
    <x v="0"/>
    <s v="26-27/000343"/>
    <s v="22-07-2026"/>
    <s v="Consumables"/>
    <s v="Housekeeping Material"/>
    <s v="Spares &amp; Stores"/>
    <s v="Stores &amp; Consumables"/>
    <s v="Pocha White Handel"/>
    <n v="20"/>
    <n v="1400"/>
    <s v="Pocha White Handel"/>
    <n v="24124.7"/>
    <n v="9"/>
    <n v="126"/>
    <n v="9"/>
    <n v="126"/>
    <n v="0"/>
    <n v="0"/>
    <n v="0"/>
    <n v="252"/>
    <n v="0"/>
    <s v="24AHMPR2612N1Z1"/>
    <s v="Pcs"/>
    <n v="96032900"/>
    <s v="Rs."/>
    <n v="1"/>
    <n v="0"/>
  </r>
  <r>
    <s v="29-07-2026"/>
    <s v="Rajgor Stationery &amp; Computer"/>
    <s v="General Purchase"/>
    <s v="GNMS 13"/>
    <x v="0"/>
    <s v="26-27/000343"/>
    <s v="22-07-2026"/>
    <s v="Printing &amp; Stationery"/>
    <s v="Stationery Items"/>
    <s v="Spares &amp; Stores"/>
    <s v="Stores &amp; Consumables"/>
    <s v="Pencil"/>
    <n v="200"/>
    <n v="640"/>
    <s v="Pencil"/>
    <n v="0"/>
    <n v="9"/>
    <n v="57.6"/>
    <n v="9"/>
    <n v="57.6"/>
    <n v="0"/>
    <n v="0"/>
    <n v="0"/>
    <n v="115.2"/>
    <n v="0"/>
    <s v="24AHMPR2612N1Z1"/>
    <s v="Pcs"/>
    <n v="84522100"/>
    <s v="Rs."/>
    <n v="1"/>
    <n v="0"/>
  </r>
  <r>
    <s v="29-07-2026"/>
    <s v="Rajgor Stationery &amp; Computer"/>
    <s v="General Purchase"/>
    <s v="GNMS 13"/>
    <x v="0"/>
    <s v="26-27/000343"/>
    <s v="22-07-2026"/>
    <s v="Consumables"/>
    <s v="housekeeping Material"/>
    <s v="Spares &amp; Stores"/>
    <s v="Stores &amp; Consumables"/>
    <s v="Toilet Brush"/>
    <n v="20"/>
    <n v="500"/>
    <s v="Toilet Brush"/>
    <n v="0"/>
    <n v="9"/>
    <n v="45"/>
    <n v="9"/>
    <n v="45"/>
    <n v="0"/>
    <n v="0"/>
    <n v="0"/>
    <n v="90"/>
    <n v="0"/>
    <s v="24AHMPR2612N1Z1"/>
    <s v="Pcs"/>
    <n v="96031000"/>
    <s v="Rs."/>
    <n v="1"/>
    <n v="0"/>
  </r>
  <r>
    <s v="29-07-2026"/>
    <s v="Rajgor Stationery &amp; Computer"/>
    <s v="General Purchase"/>
    <s v="GNMS 13"/>
    <x v="0"/>
    <s v="26-27/000343"/>
    <s v="22-07-2026"/>
    <s v="Consumables"/>
    <s v="Housekeeping Material"/>
    <s v="Spares &amp; Stores"/>
    <s v="Stores &amp; Consumables"/>
    <s v="Soft Broom Flower"/>
    <n v="50"/>
    <n v="2100"/>
    <s v="Soft Broom Flower"/>
    <n v="0"/>
    <n v="0"/>
    <n v="0"/>
    <n v="0"/>
    <n v="0"/>
    <n v="0"/>
    <n v="0"/>
    <n v="0"/>
    <n v="0"/>
    <n v="0"/>
    <s v="24AHMPR2612N1Z1"/>
    <s v="Pcs"/>
    <n v="96031000"/>
    <s v="Rs."/>
    <n v="1"/>
    <n v="0"/>
  </r>
  <r>
    <s v="29-07-2026"/>
    <s v="Rajgor Stationery &amp; Computer"/>
    <s v="General Purchase"/>
    <s v="GNMS 13"/>
    <x v="0"/>
    <s v="26-27/000343"/>
    <s v="22-07-2026"/>
    <s v="Printing &amp; Stationery"/>
    <s v="Stationery Items"/>
    <s v="Spares &amp; Stores"/>
    <s v="Stores &amp; Consumables"/>
    <s v="Box File Big"/>
    <n v="30"/>
    <n v="1260"/>
    <s v="Box File Big"/>
    <n v="0"/>
    <n v="9"/>
    <n v="113.4"/>
    <n v="9"/>
    <n v="113.4"/>
    <n v="0"/>
    <n v="0"/>
    <n v="0"/>
    <n v="226.8"/>
    <n v="0"/>
    <s v="24AHMPR2612N1Z1"/>
    <s v="Pcs"/>
    <n v="48196000"/>
    <s v="Rs."/>
    <n v="1"/>
    <n v="0"/>
  </r>
  <r>
    <s v="29-07-2026"/>
    <s v="Rajgor Stationery &amp; Computer"/>
    <s v="General Purchase"/>
    <s v="GNMS 13"/>
    <x v="0"/>
    <s v="26-27/000343"/>
    <s v="22-07-2026"/>
    <s v="Printing &amp; Stationery"/>
    <s v="Stationery Items"/>
    <s v="Spares &amp; Stores"/>
    <s v="Stores &amp; Consumables"/>
    <s v="Register 03 Quir"/>
    <n v="10"/>
    <n v="700"/>
    <s v="Register 03 Quir"/>
    <n v="0"/>
    <n v="9"/>
    <n v="63"/>
    <n v="9"/>
    <n v="63"/>
    <n v="0"/>
    <n v="0"/>
    <n v="0"/>
    <n v="126"/>
    <n v="0"/>
    <s v="24AHMPR2612N1Z1"/>
    <s v="Pcs"/>
    <n v="482090"/>
    <s v="Rs."/>
    <n v="1"/>
    <n v="0"/>
  </r>
  <r>
    <s v="29-07-2026"/>
    <s v="Rajgor Stationery &amp; Computer"/>
    <s v="General Purchase"/>
    <s v="GNMS 13"/>
    <x v="0"/>
    <s v="26-27/000343"/>
    <s v="22-07-2026"/>
    <s v="Printing &amp; Stationery"/>
    <s v="Stationery Items"/>
    <s v="Spares &amp; Stores"/>
    <s v="Stores &amp; Consumables"/>
    <s v="Spring File"/>
    <n v="20"/>
    <n v="190"/>
    <s v="Spring File"/>
    <n v="0"/>
    <n v="9"/>
    <n v="17.100000000000001"/>
    <n v="9"/>
    <n v="17.100000000000001"/>
    <n v="0"/>
    <n v="0"/>
    <n v="0"/>
    <n v="34.200000000000003"/>
    <n v="0"/>
    <s v="24AHMPR2612N1Z1"/>
    <s v="Pcs"/>
    <n v="48203000"/>
    <s v="Rs."/>
    <n v="1"/>
    <n v="0"/>
  </r>
  <r>
    <s v="29-07-2026"/>
    <s v="Rajgor Stationery &amp; Computer"/>
    <s v="General Purchase"/>
    <s v="GNMS 13"/>
    <x v="0"/>
    <s v="26-27/000343"/>
    <s v="22-07-2026"/>
    <s v="Printing &amp; Stationery"/>
    <s v="Stationery Items"/>
    <s v="Spares &amp; Stores"/>
    <s v="Stores &amp; Consumables"/>
    <s v="Xerox Paper A/4"/>
    <n v="30"/>
    <n v="6000"/>
    <s v="Xerox Paper A/4"/>
    <n v="0"/>
    <n v="9"/>
    <n v="540"/>
    <n v="9"/>
    <n v="540"/>
    <n v="0"/>
    <n v="0"/>
    <n v="0"/>
    <n v="1080"/>
    <n v="0"/>
    <s v="24AHMPR2612N1Z1"/>
    <s v="Pkt"/>
    <n v="480256"/>
    <s v="Rs."/>
    <n v="1"/>
    <n v="0"/>
  </r>
  <r>
    <s v="29-07-2026"/>
    <s v="Rajgor Stationery &amp; Computer"/>
    <s v="General Purchase"/>
    <s v="GNMS 13"/>
    <x v="0"/>
    <s v="26-27/000343"/>
    <s v="22-07-2026"/>
    <s v="Printing &amp; Stationery"/>
    <s v="Stationery Items"/>
    <s v="Spares &amp; Stores"/>
    <s v="Stores &amp; Consumables"/>
    <s v="RooMSpray ( Air Freshner )"/>
    <n v="10"/>
    <n v="900"/>
    <s v="RooMSpray ( Air Freshner )"/>
    <n v="0"/>
    <n v="9"/>
    <n v="81"/>
    <n v="9"/>
    <n v="81"/>
    <n v="0"/>
    <n v="0"/>
    <n v="0"/>
    <n v="162"/>
    <n v="0"/>
    <s v="24AHMPR2612N1Z1"/>
    <s v="Pcs"/>
    <n v="96161010"/>
    <s v="Rs."/>
    <n v="1"/>
    <n v="0"/>
  </r>
  <r>
    <s v="29-07-2026"/>
    <s v="Rajgor Stationery &amp; Computer"/>
    <s v="General Purchase"/>
    <s v="GNMS 13"/>
    <x v="0"/>
    <s v="26-27/000343"/>
    <s v="22-07-2026"/>
    <s v="Consumables"/>
    <s v="housekeeping Material"/>
    <s v="Spares &amp; Stores"/>
    <s v="Stores &amp; Consumables"/>
    <s v="Acid ( Cleaner )"/>
    <n v="50"/>
    <n v="850"/>
    <s v="Acid ( Cleaner )"/>
    <n v="0"/>
    <n v="9"/>
    <n v="76.5"/>
    <n v="9"/>
    <n v="76.5"/>
    <n v="0"/>
    <n v="0"/>
    <n v="0"/>
    <n v="153"/>
    <n v="0"/>
    <s v="24AHMPR2612N1Z1"/>
    <s v="LTR"/>
    <n v="340290"/>
    <s v="Rs."/>
    <n v="1"/>
    <n v="0"/>
  </r>
  <r>
    <s v="29-07-2026"/>
    <s v="Rajgor Stationery &amp; Computer"/>
    <s v="General Purchase"/>
    <s v="GNMS 13"/>
    <x v="0"/>
    <s v="26-27/000343"/>
    <s v="22-07-2026"/>
    <s v="Printing &amp; Stationery"/>
    <s v="Stationery Items"/>
    <s v="Spares &amp; Stores"/>
    <s v="Stores &amp; Consumables"/>
    <s v="Permanent Marker Pen"/>
    <n v="600"/>
    <n v="5700"/>
    <s v="Permanent Marker Pen"/>
    <n v="0"/>
    <n v="9"/>
    <n v="513"/>
    <n v="9"/>
    <n v="513"/>
    <n v="0"/>
    <n v="0"/>
    <n v="0"/>
    <n v="1026"/>
    <n v="0"/>
    <s v="24AHMPR2612N1Z1"/>
    <s v="Pcs"/>
    <n v="96082000"/>
    <s v="Rs."/>
    <n v="1"/>
    <n v="0"/>
  </r>
  <r>
    <s v="29-07-2026"/>
    <s v="Rajgor Stationery &amp; Computer"/>
    <s v="General Purchase"/>
    <s v="GNMS 13"/>
    <x v="0"/>
    <s v="26-27/000343"/>
    <s v="22-07-2026"/>
    <s v="Printing &amp; Stationery"/>
    <s v="Stationery Items"/>
    <s v="Spares &amp; Stores"/>
    <s v="Stores &amp; Consumables"/>
    <s v="Glue Stick 15 Gm"/>
    <n v="5"/>
    <n v="150"/>
    <s v="Glue Stick 15 Gm"/>
    <n v="0"/>
    <n v="9"/>
    <n v="13.5"/>
    <n v="9"/>
    <n v="13.5"/>
    <n v="0"/>
    <n v="0"/>
    <n v="0"/>
    <n v="27"/>
    <n v="0"/>
    <s v="24AHMPR2612N1Z1"/>
    <s v="Pcs"/>
    <n v="853600"/>
    <s v="Rs."/>
    <n v="1"/>
    <n v="0"/>
  </r>
  <r>
    <s v="29-07-2026"/>
    <s v="Rajgor Stationery &amp; Computer"/>
    <s v="General Purchase"/>
    <s v="GNMS 13"/>
    <x v="0"/>
    <s v="26-27/000343"/>
    <s v="22-07-2026"/>
    <s v="Stores/Spares"/>
    <s v="Other Spares"/>
    <s v="Spares &amp; Stores"/>
    <s v="Stores &amp; Consumables"/>
    <s v="Plastic Mug"/>
    <n v="15"/>
    <n v="375"/>
    <s v="Plastic Mug"/>
    <n v="0"/>
    <n v="9"/>
    <n v="33.75"/>
    <n v="9"/>
    <n v="33.75"/>
    <n v="0"/>
    <n v="0"/>
    <n v="0"/>
    <n v="67.5"/>
    <n v="0"/>
    <s v="24AHMPR2612N1Z1"/>
    <s v="Pcs"/>
    <n v="39249090"/>
    <s v="Rs."/>
    <n v="1"/>
    <n v="0"/>
  </r>
  <r>
    <s v="29-07-2026"/>
    <s v="Rajgor Stationery &amp; Computer"/>
    <s v="General Purchase"/>
    <s v="GNMS 14"/>
    <x v="0"/>
    <s v="26-27/000347"/>
    <s v="25-07-2026"/>
    <s v="Stores/Spares"/>
    <s v="Cutter Blades"/>
    <s v="Spares &amp; Stores"/>
    <s v="Stores &amp; Consumables"/>
    <s v="Alfa Blade"/>
    <n v="500"/>
    <n v="2800"/>
    <s v="Alfa Blade"/>
    <n v="3304"/>
    <n v="9"/>
    <n v="252"/>
    <n v="9"/>
    <n v="252"/>
    <n v="0"/>
    <n v="0"/>
    <n v="0"/>
    <n v="504"/>
    <n v="0"/>
    <s v="24AHMPR2612N1Z1"/>
    <s v="Pcs"/>
    <n v="82121010"/>
    <s v="Rs."/>
    <n v="1"/>
    <n v="0"/>
  </r>
  <r>
    <s v="30-07-2026"/>
    <s v="Plastene India ltd - Unit 1-Purchase"/>
    <s v="General Purchase"/>
    <s v="GNCN 304"/>
    <x v="0"/>
    <s v="PIL1/D/1220"/>
    <s v="30-07-2026"/>
    <s v="Stores/Spares"/>
    <s v="MS Structure Items"/>
    <s v="Spares &amp; Stores"/>
    <s v="Stores &amp; Consumables"/>
    <s v="MS Pipe 4  C Class"/>
    <n v="265"/>
    <n v="12720"/>
    <s v="MS Pipe 4  C Class"/>
    <n v="14996.88"/>
    <n v="9"/>
    <n v="1144.8"/>
    <n v="9"/>
    <n v="1144.8"/>
    <n v="0"/>
    <n v="0"/>
    <n v="0"/>
    <n v="2289.6"/>
    <n v="0"/>
    <s v="24AAACO3087C1ZT"/>
    <s v="Kgs"/>
    <n v="73063090"/>
    <s v="Rs."/>
    <n v="1"/>
    <n v="0"/>
  </r>
  <r>
    <s v="30-07-2026"/>
    <s v="Plastene India ltd - Unit 1-Purchase"/>
    <s v="R.M.P."/>
    <s v="RM 459"/>
    <x v="1"/>
    <s v="PIL1/D/1227"/>
    <s v="30-07-2026"/>
    <s v="SF"/>
    <s v="PP/PE Fabric"/>
    <s v="PP UL Fabric"/>
    <s v="PP Woven Fabric"/>
    <s v="PP UL Fabric With UV"/>
    <n v="682"/>
    <n v="99906.18"/>
    <s v="PP UL Fabric With UV"/>
    <n v="266646.31"/>
    <n v="9"/>
    <n v="8991.56"/>
    <n v="9"/>
    <n v="8991.56"/>
    <n v="0"/>
    <n v="0"/>
    <n v="0"/>
    <n v="17983.12"/>
    <n v="0"/>
    <s v="24AAACO3087C1ZT"/>
    <s v="Kgs"/>
    <n v="39269080"/>
    <s v="Rs."/>
    <n v="1"/>
    <n v="0"/>
  </r>
  <r>
    <s v="30-07-2026"/>
    <s v="Plastene India ltd - Unit 1-Purchase"/>
    <s v="R.M.P."/>
    <s v="RM 459"/>
    <x v="1"/>
    <s v="PIL1/D/1227"/>
    <s v="30-07-2026"/>
    <s v="SF"/>
    <s v="PP/PE Fabric"/>
    <s v="PP UL Fabric"/>
    <s v="PP Woven Fabric"/>
    <s v="PP UL Fabric With UV"/>
    <n v="510"/>
    <n v="73689.899999999994"/>
    <s v="PP UL Fabric With UV"/>
    <n v="0"/>
    <n v="9"/>
    <n v="6632.09"/>
    <n v="9"/>
    <n v="6632.09"/>
    <n v="0"/>
    <n v="0"/>
    <n v="0"/>
    <n v="13264.18"/>
    <n v="0"/>
    <s v="24AAACO3087C1ZT"/>
    <s v="Kgs"/>
    <n v="39269080"/>
    <s v="Rs."/>
    <n v="1"/>
    <n v="0"/>
  </r>
  <r>
    <s v="30-07-2026"/>
    <s v="Plastene India ltd - Unit 1-Purchase"/>
    <s v="R.M.P."/>
    <s v="RM 459"/>
    <x v="1"/>
    <s v="PIL1/D/1227"/>
    <s v="30-07-2026"/>
    <s v="SF"/>
    <s v="PP/PE Fabric"/>
    <s v="PP Lam Fabric"/>
    <s v="PP Laminated Woven Fabric"/>
    <s v="PP Lam Fabric With UV"/>
    <n v="347"/>
    <n v="52567.03"/>
    <s v="PP Lam Fabric With UV"/>
    <n v="0"/>
    <n v="9"/>
    <n v="4731.03"/>
    <n v="9"/>
    <n v="4731.03"/>
    <n v="0"/>
    <n v="0"/>
    <n v="0"/>
    <n v="9462.06"/>
    <n v="0"/>
    <s v="24AAACO3087C1ZT"/>
    <s v="Kgs"/>
    <n v="63053300"/>
    <s v="Rs."/>
    <n v="1"/>
    <n v="0"/>
  </r>
  <r>
    <s v="30-07-2026"/>
    <s v="Plastene India ltd - Unit 1-Purchase"/>
    <s v="R.M.P."/>
    <s v="RM 460"/>
    <x v="1"/>
    <s v="PIL1/D/1219"/>
    <s v="30-07-2026"/>
    <s v="SF"/>
    <s v="PP/PE Fabric"/>
    <s v="PP UL Fabric"/>
    <s v="PP Woven Fabric"/>
    <s v="PP UL Fabric With UV"/>
    <n v="747"/>
    <n v="109428.03"/>
    <s v="PP UL Fabric With UV"/>
    <n v="1419329.78"/>
    <n v="9"/>
    <n v="9848.52"/>
    <n v="9"/>
    <n v="9848.52"/>
    <n v="0"/>
    <n v="0"/>
    <n v="0"/>
    <n v="19697.04"/>
    <n v="0"/>
    <s v="24AAACO3087C1ZT"/>
    <s v="Kgs"/>
    <n v="39269080"/>
    <s v="Rs."/>
    <n v="1"/>
    <n v="0"/>
  </r>
  <r>
    <s v="30-07-2026"/>
    <s v="Plastene India ltd - Unit 1-Purchase"/>
    <s v="R.M.P."/>
    <s v="RM 460"/>
    <x v="1"/>
    <s v="PIL1/D/1219"/>
    <s v="30-07-2026"/>
    <s v="SF"/>
    <s v="PP/PE Fabric"/>
    <s v="PP UL Fabric"/>
    <s v="PP Woven Fabric"/>
    <s v="PP UL Fabric With UV"/>
    <n v="6983"/>
    <n v="1008973.67"/>
    <s v="PP UL Fabric With UV"/>
    <n v="0"/>
    <n v="9"/>
    <n v="90807.63"/>
    <n v="9"/>
    <n v="90807.63"/>
    <n v="0"/>
    <n v="0"/>
    <n v="0"/>
    <n v="181615.26"/>
    <n v="0"/>
    <s v="24AAACO3087C1ZT"/>
    <s v="Kgs"/>
    <n v="39269080"/>
    <s v="Rs."/>
    <n v="1"/>
    <n v="0"/>
  </r>
  <r>
    <s v="30-07-2026"/>
    <s v="Plastene India ltd - Unit 1-Purchase"/>
    <s v="R.M.P."/>
    <s v="RM 460"/>
    <x v="1"/>
    <s v="PIL1/D/1219"/>
    <s v="30-07-2026"/>
    <s v="SF"/>
    <s v="PP/PE Fabric"/>
    <s v="PP Lam Fabric"/>
    <s v="PP Laminated Woven Fabric"/>
    <s v="PP Lam Fabric With UV"/>
    <n v="564"/>
    <n v="85440.36"/>
    <s v="PP Lam Fabric With UV"/>
    <n v="0"/>
    <n v="9"/>
    <n v="7689.63"/>
    <n v="9"/>
    <n v="7689.3"/>
    <n v="0"/>
    <n v="0"/>
    <n v="0"/>
    <n v="15378.93"/>
    <n v="0"/>
    <s v="24AAACO3087C1ZT"/>
    <s v="Kgs"/>
    <n v="63053300"/>
    <s v="Rs."/>
    <n v="1"/>
    <n v="0"/>
  </r>
  <r>
    <s v="30-07-2026"/>
    <s v="Plastene India ltd - Unit 1-Purchase"/>
    <s v="R.M.P."/>
    <s v="RM 462"/>
    <x v="1"/>
    <s v="PIL1/D/1221"/>
    <s v="30-07-2026"/>
    <s v="FG"/>
    <s v="FIBC WIP"/>
    <s v="FIBC WIP"/>
    <s v="FIBC WIP"/>
    <s v="PP Woven Fabric"/>
    <n v="280"/>
    <n v="42417.2"/>
    <s v="FIBC WIP"/>
    <n v="1614125.54"/>
    <n v="9"/>
    <n v="3817.55"/>
    <n v="9"/>
    <n v="3817.55"/>
    <n v="0"/>
    <n v="0"/>
    <n v="0"/>
    <n v="7635.1"/>
    <n v="0"/>
    <s v="24AAACO3087C1ZT"/>
    <s v="Kgs"/>
    <n v="39269080"/>
    <s v="Rs."/>
    <n v="1"/>
    <n v="0"/>
  </r>
  <r>
    <s v="30-07-2026"/>
    <s v="Plastene India ltd - Unit 1-Purchase"/>
    <s v="R.M.P."/>
    <s v="RM 462"/>
    <x v="1"/>
    <s v="PIL1/D/1221"/>
    <s v="30-07-2026"/>
    <s v="SF"/>
    <s v="Liners"/>
    <s v="LDPE/LLDPE Bags"/>
    <s v="LLDPE Bags"/>
    <s v="LDPE/LLDPE Bags/Liner"/>
    <n v="3340.5"/>
    <n v="610576.59"/>
    <s v="LDPE/LLDPE Bags/Liner"/>
    <n v="0"/>
    <n v="9"/>
    <n v="54951.89"/>
    <n v="9"/>
    <n v="54951.89"/>
    <n v="0"/>
    <n v="0"/>
    <n v="0"/>
    <n v="109903.78"/>
    <n v="0"/>
    <s v="24AAACO3087C1ZT"/>
    <s v="Kgs"/>
    <n v="39200000"/>
    <s v="Rs."/>
    <n v="1"/>
    <n v="0"/>
  </r>
  <r>
    <s v="30-07-2026"/>
    <s v="Plastene India ltd - Unit 1-Purchase"/>
    <s v="R.M.P."/>
    <s v="RM 462"/>
    <x v="1"/>
    <s v="PIL1/D/1221"/>
    <s v="30-07-2026"/>
    <s v="SF"/>
    <s v="PP/PE Fabric"/>
    <s v="PP UL Fabric"/>
    <s v="PP Woven Fabric"/>
    <s v="PP UL Fabric With UV"/>
    <n v="1173"/>
    <n v="169486.77"/>
    <s v="PP UL Fabric With UV"/>
    <n v="0"/>
    <n v="9"/>
    <n v="15253.81"/>
    <n v="9"/>
    <n v="15253.81"/>
    <n v="0"/>
    <n v="0"/>
    <n v="0"/>
    <n v="30507.62"/>
    <n v="0"/>
    <s v="24AAACO3087C1ZT"/>
    <s v="Kgs"/>
    <n v="39269080"/>
    <s v="Rs."/>
    <n v="1"/>
    <n v="0"/>
  </r>
  <r>
    <s v="30-07-2026"/>
    <s v="Plastene India ltd - Unit 1-Purchase"/>
    <s v="R.M.P."/>
    <s v="RM 462"/>
    <x v="1"/>
    <s v="PIL1/D/1221"/>
    <s v="30-07-2026"/>
    <s v="SF"/>
    <s v="PP/PE Fabric"/>
    <s v="PP Lam Fabric"/>
    <s v="PP Laminated Woven Fabric"/>
    <s v="PP Lam Fabric With UV"/>
    <n v="694"/>
    <n v="105134.06"/>
    <s v="PP Lam Fabric With UV"/>
    <n v="0"/>
    <n v="9"/>
    <n v="9462.07"/>
    <n v="9"/>
    <n v="9462.07"/>
    <n v="0"/>
    <n v="0"/>
    <n v="0"/>
    <n v="18924.14"/>
    <n v="0"/>
    <s v="24AAACO3087C1ZT"/>
    <s v="Kgs"/>
    <n v="63053300"/>
    <s v="Rs."/>
    <n v="1"/>
    <n v="0"/>
  </r>
  <r>
    <s v="30-07-2026"/>
    <s v="Plastene India ltd - Unit 1-Purchase"/>
    <s v="R.M.P."/>
    <s v="RM 462"/>
    <x v="1"/>
    <s v="PIL1/D/1221"/>
    <s v="30-07-2026"/>
    <s v="SF"/>
    <s v="Webbing"/>
    <s v="PP Webbing"/>
    <s v="PP Webbing"/>
    <s v="Webbing"/>
    <n v="1133.5"/>
    <n v="169446.92"/>
    <s v="Webbing"/>
    <n v="0"/>
    <n v="9"/>
    <n v="15250.22"/>
    <n v="9"/>
    <n v="15250.22"/>
    <n v="0"/>
    <n v="0"/>
    <n v="0"/>
    <n v="30500.44"/>
    <n v="0"/>
    <s v="24AAACO3087C1ZT"/>
    <s v="Kgs"/>
    <n v="3926908"/>
    <s v="Rs."/>
    <n v="1"/>
    <n v="0"/>
  </r>
  <r>
    <s v="30-07-2026"/>
    <s v="Plastene India ltd - Unit 1-Purchase"/>
    <s v="R.M.P."/>
    <s v="RM 462"/>
    <x v="1"/>
    <s v="PIL1/D/1221"/>
    <s v="30-07-2026"/>
    <s v="SF"/>
    <s v="Webbing"/>
    <s v="PP Webbing"/>
    <s v="PP Webbing"/>
    <s v="Webbing"/>
    <n v="634"/>
    <n v="92874.66"/>
    <s v="Webbing"/>
    <n v="0"/>
    <n v="9"/>
    <n v="8358.7199999999993"/>
    <n v="9"/>
    <n v="8358.7199999999993"/>
    <n v="0"/>
    <n v="0"/>
    <n v="0"/>
    <n v="16717.439999999999"/>
    <n v="0"/>
    <s v="24AAACO3087C1ZT"/>
    <s v="Kgs"/>
    <n v="3926908"/>
    <s v="Rs."/>
    <n v="1"/>
    <n v="0"/>
  </r>
  <r>
    <s v="30-07-2026"/>
    <s v="Plastene India ltd - Unit 1-Purchase"/>
    <s v="R.M.P."/>
    <s v="RM 462"/>
    <x v="1"/>
    <s v="PIL1/D/1221"/>
    <s v="30-07-2026"/>
    <s v="SF"/>
    <s v="Yarn All"/>
    <s v="PP Yarn"/>
    <s v="PP Filament Yarn"/>
    <s v="PP MF Yarn Twisted 3000 Denier UV NW"/>
    <n v="470.5"/>
    <n v="73628.55"/>
    <s v="PP MF Yarn Twisted 3000 Denier UV NW"/>
    <n v="0"/>
    <n v="2.5"/>
    <n v="1840.71"/>
    <n v="2.5"/>
    <n v="1840.71"/>
    <n v="0"/>
    <n v="0"/>
    <n v="0"/>
    <n v="3681.42"/>
    <n v="0"/>
    <s v="24AAACO3087C1ZT"/>
    <s v="Kgs"/>
    <n v="540263"/>
    <s v="Rs."/>
    <n v="1"/>
    <n v="0"/>
  </r>
  <r>
    <s v="30-07-2026"/>
    <s v="Plastene India ltd - Unit 1-Purchase"/>
    <s v="R.M.P."/>
    <s v="RM 462"/>
    <x v="1"/>
    <s v="PIL1/D/1221"/>
    <s v="30-07-2026"/>
    <s v="SF"/>
    <s v="Yarn All"/>
    <s v="PP Yarn"/>
    <s v="PP Filament Yarn"/>
    <s v="PP MF Yarn Twisted 3000 Denier UV Deep Blue"/>
    <n v="800.66"/>
    <n v="127697.26"/>
    <s v="PP MF Yarn Twisted 3000 Denier UV Deep Blue"/>
    <n v="0"/>
    <n v="2.5"/>
    <n v="3192.43"/>
    <n v="2.5"/>
    <n v="3192.43"/>
    <n v="0"/>
    <n v="0"/>
    <n v="0"/>
    <n v="6384.86"/>
    <n v="0"/>
    <s v="24AAACO3087C1ZT"/>
    <s v="Kgs"/>
    <n v="54026930"/>
    <s v="Rs."/>
    <n v="1"/>
    <n v="0"/>
  </r>
  <r>
    <s v="30-07-2026"/>
    <s v="Plastene Polyfilms Ltd-Purchase"/>
    <s v="General Purchase"/>
    <s v="GNCN 303"/>
    <x v="0"/>
    <s v="PPL/D/429"/>
    <s v="30-07-2026"/>
    <s v="Stores/Spares"/>
    <s v="MS Structure Items"/>
    <s v="Spares &amp; Stores"/>
    <s v="Stores &amp; Consumables"/>
    <s v="MS Pipe 4  C Class"/>
    <n v="53"/>
    <n v="2544"/>
    <s v="MS Pipe 4  C Class"/>
    <n v="2999.38"/>
    <n v="9"/>
    <n v="228.96"/>
    <n v="9"/>
    <n v="228.96"/>
    <n v="0"/>
    <n v="0"/>
    <n v="0"/>
    <n v="457.92"/>
    <n v="0"/>
    <s v="24AAFCP2956A1ZR"/>
    <s v="Kgs"/>
    <n v="73063090"/>
    <s v="Rs."/>
    <n v="1"/>
    <n v="0"/>
  </r>
  <r>
    <s v="30-07-2026"/>
    <s v="Plastene Polyfilms Ltd-Purchase"/>
    <s v="R.M.P."/>
    <s v="RM 458"/>
    <x v="1"/>
    <s v="PPL/D/428"/>
    <s v="30-07-2026"/>
    <s v="FG"/>
    <s v="FIBC WIP"/>
    <s v="FIBC WIP"/>
    <s v="FIBC WIP"/>
    <s v="PP Woven Fabric"/>
    <n v="210"/>
    <n v="32495.4"/>
    <s v="FIBC WIP"/>
    <n v="219425.26"/>
    <n v="9"/>
    <n v="2924.59"/>
    <n v="9"/>
    <n v="2924.59"/>
    <n v="0"/>
    <n v="0"/>
    <n v="0"/>
    <n v="5849.18"/>
    <n v="0"/>
    <s v="24AAFCP2956A1ZR"/>
    <s v="Kgs"/>
    <n v="39269080"/>
    <s v="Rs."/>
    <n v="1"/>
    <n v="0"/>
  </r>
  <r>
    <s v="30-07-2026"/>
    <s v="Plastene Polyfilms Ltd-Purchase"/>
    <s v="R.M.P."/>
    <s v="RM 458"/>
    <x v="1"/>
    <s v="PPL/D/428"/>
    <s v="30-07-2026"/>
    <s v="SF"/>
    <s v="PP/PE Fabric"/>
    <s v="PP UL Fabric"/>
    <s v="PP Woven Fabric"/>
    <s v="PP UL Fabric With UV"/>
    <n v="370.5"/>
    <n v="57331.17"/>
    <s v="PP UL Fabric With UV"/>
    <n v="0"/>
    <n v="9"/>
    <n v="5159.8100000000004"/>
    <n v="9"/>
    <n v="5159.8100000000004"/>
    <n v="0"/>
    <n v="0"/>
    <n v="0"/>
    <n v="10319.620000000001"/>
    <n v="0"/>
    <s v="24AAFCP2956A1ZR"/>
    <s v="Kgs"/>
    <n v="39269080"/>
    <s v="Rs."/>
    <n v="1"/>
    <n v="0"/>
  </r>
  <r>
    <s v="30-07-2026"/>
    <s v="Plastene Polyfilms Ltd-Purchase"/>
    <s v="R.M.P."/>
    <s v="RM 458"/>
    <x v="1"/>
    <s v="PPL/D/428"/>
    <s v="30-07-2026"/>
    <s v="SF"/>
    <s v="PP/PE Fabric"/>
    <s v="PP Lam Fabric"/>
    <s v="PP Laminated Woven Fabric"/>
    <s v="PP Lam Fabric With UV"/>
    <n v="307"/>
    <n v="48733.18"/>
    <s v="PP Lam Fabric With UV"/>
    <n v="0"/>
    <n v="9"/>
    <n v="4385.99"/>
    <n v="9"/>
    <n v="4385.99"/>
    <n v="0"/>
    <n v="0"/>
    <n v="0"/>
    <n v="8771.98"/>
    <n v="0"/>
    <s v="24AAFCP2956A1ZR"/>
    <s v="Kgs"/>
    <n v="63053300"/>
    <s v="Rs."/>
    <n v="1"/>
    <n v="0"/>
  </r>
  <r>
    <s v="30-07-2026"/>
    <s v="Plastene Polyfilms Ltd-Purchase"/>
    <s v="R.M.P."/>
    <s v="RM 458"/>
    <x v="1"/>
    <s v="PPL/D/428"/>
    <s v="30-07-2026"/>
    <s v="SF"/>
    <s v="PP/PE Fabric"/>
    <s v="PP Lam Fabric"/>
    <s v="PP Laminated Woven Fabric"/>
    <s v="PP Lam Fabric With UV"/>
    <n v="294"/>
    <n v="47551.56"/>
    <s v="PP Lam Fabric With UV"/>
    <n v="0"/>
    <n v="9"/>
    <n v="4279.6400000000003"/>
    <n v="9"/>
    <n v="4279.6400000000003"/>
    <n v="0"/>
    <n v="0"/>
    <n v="0"/>
    <n v="8559.2800000000007"/>
    <n v="0"/>
    <s v="24AAFCP2956A1ZR"/>
    <s v="Kgs"/>
    <n v="63053300"/>
    <s v="Rs."/>
    <n v="1"/>
    <n v="0"/>
  </r>
  <r>
    <s v="31-07-2026"/>
    <s v="K.P. Woven Pvt Ltd-Purchase"/>
    <s v="R.M.P."/>
    <s v="RM 466"/>
    <x v="1"/>
    <s v="KPV/D/528"/>
    <s v="30-07-2026"/>
    <s v="SF"/>
    <s v="Yarn All"/>
    <s v="PP Yarn"/>
    <s v="PP Filament Yarn"/>
    <s v="PP Fibrillated Tape Twisted 3200 Blue"/>
    <n v="432.2"/>
    <n v="66623.63"/>
    <s v="PP Fibrillated Tape Twisted 3200 Blue"/>
    <n v="300684.44"/>
    <n v="2.5"/>
    <n v="1665.59"/>
    <n v="2.5"/>
    <n v="1665.59"/>
    <n v="0"/>
    <n v="0"/>
    <n v="0"/>
    <n v="3331.18"/>
    <n v="0"/>
    <s v="24AAECK6307M1ZF"/>
    <s v="Kgs"/>
    <n v="54026930"/>
    <s v="Rs."/>
    <n v="1"/>
    <n v="0"/>
  </r>
  <r>
    <s v="31-07-2026"/>
    <s v="K.P. Woven Pvt Ltd-Purchase"/>
    <s v="R.M.P."/>
    <s v="RM 466"/>
    <x v="1"/>
    <s v="KPV/D/528"/>
    <s v="30-07-2026"/>
    <s v="SF"/>
    <s v="Yarn All"/>
    <s v="PP Yarn"/>
    <s v="PP Filament Yarn"/>
    <s v="PP Fibrillated Tape Twisted 3200 MW"/>
    <n v="270"/>
    <n v="40810.5"/>
    <s v="PP Fibrillated Tape Twisted 3200 MW"/>
    <n v="0"/>
    <n v="2.5"/>
    <n v="1020.26"/>
    <n v="2.5"/>
    <n v="1020.26"/>
    <n v="0"/>
    <n v="0"/>
    <n v="0"/>
    <n v="2040.52"/>
    <n v="0"/>
    <s v="24AAECK6307M1ZF"/>
    <s v="Kgs"/>
    <n v="54026930"/>
    <s v="Rs."/>
    <n v="1"/>
    <n v="0"/>
  </r>
  <r>
    <s v="31-07-2026"/>
    <s v="K.P. Woven Pvt Ltd-Purchase"/>
    <s v="R.M.P."/>
    <s v="RM 466"/>
    <x v="1"/>
    <s v="KPV/D/528"/>
    <s v="30-07-2026"/>
    <s v="SF"/>
    <s v="PP/PE Fabric"/>
    <s v="PP UL Fabric"/>
    <s v="PP Woven Fabric"/>
    <s v="PP UL Fabric With UV"/>
    <n v="926.2"/>
    <n v="159445.32999999999"/>
    <s v="PP UL Fabric With UV"/>
    <n v="0"/>
    <n v="9"/>
    <n v="14350.08"/>
    <n v="9"/>
    <n v="14350.08"/>
    <n v="0"/>
    <n v="0"/>
    <n v="0"/>
    <n v="28700.16"/>
    <n v="0"/>
    <s v="24AAECK6307M1ZF"/>
    <s v="Kgs"/>
    <n v="39269080"/>
    <s v="Rs."/>
    <n v="1"/>
    <n v="0"/>
  </r>
  <r>
    <s v="31-07-2026"/>
    <s v="Plastene India ltd - Unit 1-Purchase"/>
    <s v="R.M.P."/>
    <s v="RM 463"/>
    <x v="1"/>
    <s v="PIL1/D/1226."/>
    <s v="30-07-2026"/>
    <s v="FG"/>
    <s v="FIBC WIP"/>
    <s v="FIBC WIP"/>
    <s v="FIBC WIP"/>
    <s v="PP Laminated Woven Fabric"/>
    <n v="1534"/>
    <n v="240055.66"/>
    <s v="FIBC WIP"/>
    <n v="292380.45"/>
    <n v="9"/>
    <n v="21605.01"/>
    <n v="9"/>
    <n v="21605.01"/>
    <n v="0"/>
    <n v="0"/>
    <n v="0"/>
    <n v="43210.02"/>
    <n v="0"/>
    <s v="24AAACO3087C1ZT"/>
    <s v="Kgs"/>
    <n v="39269080"/>
    <s v="Rs."/>
    <n v="1"/>
    <n v="0"/>
  </r>
  <r>
    <s v="31-07-2026"/>
    <s v="Plastene India ltd - Unit 1-Purchase"/>
    <s v="R.M.P."/>
    <s v="RM 463"/>
    <x v="1"/>
    <s v="PIL1/D/1226."/>
    <s v="30-07-2026"/>
    <s v="FG"/>
    <s v="FIBC WIP"/>
    <s v="FIBC WIP"/>
    <s v="FIBC WIP"/>
    <s v="PP Webbing"/>
    <n v="46"/>
    <n v="7934.54"/>
    <s v="FIBC WIP"/>
    <n v="0"/>
    <n v="9"/>
    <n v="714.11"/>
    <n v="9"/>
    <n v="714.11"/>
    <n v="0"/>
    <n v="0"/>
    <n v="0"/>
    <n v="1428.22"/>
    <n v="0"/>
    <s v="24AAACO3087C1ZT"/>
    <s v="Kgs"/>
    <n v="39269080"/>
    <s v="Rs."/>
    <n v="1"/>
    <n v="0"/>
  </r>
  <r>
    <s v="31-07-2026"/>
    <s v="Plastene India ltd - Unit 1-Purchase"/>
    <s v="R.M.P."/>
    <s v="RM 464"/>
    <x v="1"/>
    <s v="PIL1/D/1233"/>
    <s v="31-07-2026"/>
    <s v="FG"/>
    <s v="FIBC WIP"/>
    <s v="FIBC WIP"/>
    <s v="FIBC WIP"/>
    <s v="PP Laminated Woven Fabric"/>
    <n v="251"/>
    <n v="39278.99"/>
    <s v="FIBC WIP"/>
    <n v="1545205.75"/>
    <n v="9"/>
    <n v="3535.11"/>
    <n v="9"/>
    <n v="3535.11"/>
    <n v="0"/>
    <n v="0"/>
    <n v="0"/>
    <n v="7070.22"/>
    <n v="0"/>
    <s v="24AAACO3087C1ZT"/>
    <s v="Kgs"/>
    <n v="39269080"/>
    <s v="Rs."/>
    <n v="1"/>
    <n v="0"/>
  </r>
  <r>
    <s v="31-07-2026"/>
    <s v="Plastene India ltd - Unit 1-Purchase"/>
    <s v="R.M.P."/>
    <s v="RM 464"/>
    <x v="1"/>
    <s v="PIL1/D/1233"/>
    <s v="31-07-2026"/>
    <s v="RM Consumables"/>
    <s v="FIBC Accessories"/>
    <s v="FIBC Accessories"/>
    <s v="Packing Material"/>
    <s v="Zip Lock Bags"/>
    <n v="20400"/>
    <n v="68544"/>
    <s v="Zip Lock Bags"/>
    <n v="0"/>
    <n v="9"/>
    <n v="6168.96"/>
    <n v="9"/>
    <n v="6168.96"/>
    <n v="0"/>
    <n v="0"/>
    <n v="0"/>
    <n v="12337.92"/>
    <n v="0"/>
    <s v="24AAACO3087C1ZT"/>
    <s v="Pcs"/>
    <n v="39232100"/>
    <s v="Rs."/>
    <n v="1"/>
    <n v="375"/>
  </r>
  <r>
    <s v="31-07-2026"/>
    <s v="Plastene India ltd - Unit 1-Purchase"/>
    <s v="R.M.P."/>
    <s v="RM 464"/>
    <x v="1"/>
    <s v="PIL1/D/1233"/>
    <s v="31-07-2026"/>
    <s v="SF"/>
    <s v="Liners"/>
    <s v="LDPE/LLDPE Bags"/>
    <s v="LLDPE Bags"/>
    <s v="LDPE/LLDPE Bags/Liner"/>
    <n v="1136.26"/>
    <n v="207685.6"/>
    <s v="LDPE/LLDPE Bags/Liner"/>
    <n v="0"/>
    <n v="9"/>
    <n v="18691.7"/>
    <n v="9"/>
    <n v="18691.7"/>
    <n v="0"/>
    <n v="0"/>
    <n v="0"/>
    <n v="37383.4"/>
    <n v="0"/>
    <s v="24AAACO3087C1ZT"/>
    <s v="Kgs"/>
    <n v="39200000"/>
    <s v="Rs."/>
    <n v="1"/>
    <n v="0"/>
  </r>
  <r>
    <s v="31-07-2026"/>
    <s v="Plastene India ltd - Unit 1-Purchase"/>
    <s v="R.M.P."/>
    <s v="RM 464"/>
    <x v="1"/>
    <s v="PIL1/D/1233"/>
    <s v="31-07-2026"/>
    <s v="SF"/>
    <s v="PP/PE Fabric"/>
    <s v="PP UL Fabric"/>
    <s v="PP Woven Fabric"/>
    <s v="PP UL Fabric With UV"/>
    <n v="663"/>
    <n v="97122.87"/>
    <s v="PP UL Fabric With UV"/>
    <n v="0"/>
    <n v="9"/>
    <n v="8741.06"/>
    <n v="9"/>
    <n v="8741.06"/>
    <n v="0"/>
    <n v="0"/>
    <n v="0"/>
    <n v="17482.12"/>
    <n v="0"/>
    <s v="24AAACO3087C1ZT"/>
    <s v="Kgs"/>
    <n v="39269080"/>
    <s v="Rs."/>
    <n v="1"/>
    <n v="0"/>
  </r>
  <r>
    <s v="31-07-2026"/>
    <s v="Plastene India ltd - Unit 1-Purchase"/>
    <s v="R.M.P."/>
    <s v="RM 464"/>
    <x v="1"/>
    <s v="PIL1/D/1233"/>
    <s v="31-07-2026"/>
    <s v="SF"/>
    <s v="PP/PE Fabric"/>
    <s v="PP UL Fabric"/>
    <s v="PP Woven Fabric"/>
    <s v="PP UL Fabric With UV"/>
    <n v="565"/>
    <n v="81636.850000000006"/>
    <s v="PP UL Fabric With UV"/>
    <n v="0"/>
    <n v="9"/>
    <n v="7347.32"/>
    <n v="9"/>
    <n v="7347.32"/>
    <n v="0"/>
    <n v="0"/>
    <n v="0"/>
    <n v="14694.64"/>
    <n v="0"/>
    <s v="24AAACO3087C1ZT"/>
    <s v="Kgs"/>
    <n v="39269080"/>
    <s v="Rs."/>
    <n v="1"/>
    <n v="0"/>
  </r>
  <r>
    <s v="31-07-2026"/>
    <s v="Plastene India ltd - Unit 1-Purchase"/>
    <s v="R.M.P."/>
    <s v="RM 464"/>
    <x v="1"/>
    <s v="PIL1/D/1233"/>
    <s v="31-07-2026"/>
    <s v="SF"/>
    <s v="PP/PE Fabric"/>
    <s v="PP Lam Fabric"/>
    <s v="PP Laminated Woven Fabric"/>
    <s v="PP Lam Fabric With UV"/>
    <n v="1012"/>
    <n v="150271.88"/>
    <s v="PP Lam Fabric With UV"/>
    <n v="0"/>
    <n v="9"/>
    <n v="13524.47"/>
    <n v="9"/>
    <n v="13524.47"/>
    <n v="0"/>
    <n v="0"/>
    <n v="0"/>
    <n v="27048.94"/>
    <n v="0"/>
    <s v="24AAACO3087C1ZT"/>
    <s v="Kgs"/>
    <n v="63053300"/>
    <s v="Rs."/>
    <n v="1"/>
    <n v="0"/>
  </r>
  <r>
    <s v="31-07-2026"/>
    <s v="Plastene India ltd - Unit 1-Purchase"/>
    <s v="R.M.P."/>
    <s v="RM 464"/>
    <x v="1"/>
    <s v="PIL1/D/1233"/>
    <s v="31-07-2026"/>
    <s v="SF"/>
    <s v="PP/PE Fabric"/>
    <s v="PP Lam Fabric"/>
    <s v="PP Laminated Woven Fabric"/>
    <s v="PP Lam Fabric With UV"/>
    <n v="1084"/>
    <n v="158795.16"/>
    <s v="PP Lam Fabric With UV"/>
    <n v="0"/>
    <n v="9"/>
    <n v="14291.56"/>
    <n v="9"/>
    <n v="14291.56"/>
    <n v="0"/>
    <n v="0"/>
    <n v="0"/>
    <n v="28583.119999999999"/>
    <n v="0"/>
    <s v="24AAACO3087C1ZT"/>
    <s v="Kgs"/>
    <n v="63053300"/>
    <s v="Rs."/>
    <n v="1"/>
    <n v="0"/>
  </r>
  <r>
    <s v="31-07-2026"/>
    <s v="Plastene India ltd - Unit 1-Purchase"/>
    <s v="R.M.P."/>
    <s v="RM 464"/>
    <x v="1"/>
    <s v="PIL1/D/1233"/>
    <s v="31-07-2026"/>
    <s v="SF"/>
    <s v="PP/PE Fabric"/>
    <s v="PP Lam Fabric"/>
    <s v="PP Laminated Woven Fabric"/>
    <s v="PP Lam Fabric With UV"/>
    <n v="1590"/>
    <n v="240869.1"/>
    <s v="PP Lam Fabric With UV"/>
    <n v="0"/>
    <n v="9"/>
    <n v="21678.22"/>
    <n v="9"/>
    <n v="21678.22"/>
    <n v="0"/>
    <n v="0"/>
    <n v="0"/>
    <n v="43356.44"/>
    <n v="0"/>
    <s v="24AAACO3087C1ZT"/>
    <s v="Kgs"/>
    <n v="63053300"/>
    <s v="Rs."/>
    <n v="1"/>
    <n v="0"/>
  </r>
  <r>
    <s v="31-07-2026"/>
    <s v="Plastene India ltd - Unit 1-Purchase"/>
    <s v="R.M.P."/>
    <s v="RM 464"/>
    <x v="1"/>
    <s v="PIL1/D/1233"/>
    <s v="31-07-2026"/>
    <s v="SF"/>
    <s v="Webbing"/>
    <s v="PP Webbing"/>
    <s v="PP Webbing"/>
    <s v="Webbing"/>
    <n v="753.1"/>
    <n v="110321.62"/>
    <s v="Webbing"/>
    <n v="0"/>
    <n v="9"/>
    <n v="9928.9500000000007"/>
    <n v="9"/>
    <n v="9928.9500000000007"/>
    <n v="0"/>
    <n v="0"/>
    <n v="0"/>
    <n v="19857.900000000001"/>
    <n v="0"/>
    <s v="24AAACO3087C1ZT"/>
    <s v="Kgs"/>
    <n v="3926908"/>
    <s v="Rs."/>
    <n v="1"/>
    <n v="0"/>
  </r>
  <r>
    <s v="31-07-2026"/>
    <s v="Plastene India ltd - Unit 1-Purchase"/>
    <s v="R.M.P."/>
    <s v="RM 464"/>
    <x v="1"/>
    <s v="PIL1/D/1233"/>
    <s v="31-07-2026"/>
    <s v="SF"/>
    <s v="Webbing"/>
    <s v="PP Webbing"/>
    <s v="PP Webbing"/>
    <s v="Webbing"/>
    <n v="1044.0999999999999"/>
    <n v="156082.51"/>
    <s v="Webbing"/>
    <n v="0"/>
    <n v="9"/>
    <n v="14047.43"/>
    <n v="9"/>
    <n v="14047.43"/>
    <n v="0"/>
    <n v="0"/>
    <n v="0"/>
    <n v="28094.86"/>
    <n v="0"/>
    <s v="24AAACO3087C1ZT"/>
    <s v="Kgs"/>
    <n v="3926908"/>
    <s v="Rs."/>
    <n v="1"/>
    <n v="0"/>
  </r>
  <r>
    <s v="31-07-2026"/>
    <s v="Plastene India ltd - Unit 1-Purchase"/>
    <s v="R.M.P."/>
    <s v="RM 465"/>
    <x v="1"/>
    <s v="PIL1/D/1230"/>
    <s v="31-07-2026"/>
    <s v="SF"/>
    <s v="Webbing"/>
    <s v="PP Webbing"/>
    <s v="PP Webbing"/>
    <s v="Webbing"/>
    <n v="70.2"/>
    <n v="10494.2"/>
    <s v="Webbing"/>
    <n v="1385764.27"/>
    <n v="9"/>
    <n v="944.48"/>
    <n v="9"/>
    <n v="944.48"/>
    <n v="0"/>
    <n v="0"/>
    <n v="0"/>
    <n v="1888.96"/>
    <n v="0"/>
    <s v="24AAACO3087C1ZT"/>
    <s v="Kgs"/>
    <n v="3926908"/>
    <s v="Rs."/>
    <n v="1"/>
    <n v="0"/>
  </r>
  <r>
    <s v="31-07-2026"/>
    <s v="Plastene India ltd - Unit 1-Purchase"/>
    <s v="R.M.P."/>
    <s v="RM 465"/>
    <x v="1"/>
    <s v="PIL1/D/1230"/>
    <s v="31-07-2026"/>
    <s v="SF"/>
    <s v="PP/PE Fabric"/>
    <s v="PP UL Fabric"/>
    <s v="PP Woven Fabric"/>
    <s v="PP UL Fabric With UV"/>
    <n v="8062"/>
    <n v="1164878.3799999999"/>
    <s v="PP UL Fabric With UV"/>
    <n v="0"/>
    <n v="9"/>
    <n v="104839.05"/>
    <n v="9"/>
    <n v="104839.05"/>
    <n v="0"/>
    <n v="0"/>
    <n v="0"/>
    <n v="209678.1"/>
    <n v="0"/>
    <s v="24AAACO3087C1ZT"/>
    <s v="Kgs"/>
    <n v="39269080"/>
    <s v="Rs."/>
    <n v="1"/>
    <n v="0"/>
  </r>
  <r>
    <s v="31-07-2026"/>
    <s v="Plastene India ltd - Unit 1-Purchase"/>
    <s v="R.M.P."/>
    <s v="RM 467"/>
    <x v="1"/>
    <s v="PIL1/D/1237"/>
    <s v="31-07-2026"/>
    <s v="SF"/>
    <s v="PP/PE Fabric"/>
    <s v="PP UL Fabric"/>
    <s v="PP Woven Fabric"/>
    <s v="PP UL Fabric With UV"/>
    <n v="1289"/>
    <n v="186247.61"/>
    <s v="PP UL Fabric With UV"/>
    <n v="227975.35"/>
    <n v="9"/>
    <n v="16762.28"/>
    <n v="9"/>
    <n v="16762.28"/>
    <n v="0"/>
    <n v="0"/>
    <n v="0"/>
    <n v="33524.559999999998"/>
    <n v="0"/>
    <s v="24AAACO3087C1ZT"/>
    <s v="Kgs"/>
    <n v="39269080"/>
    <s v="Rs."/>
    <n v="1"/>
    <n v="0"/>
  </r>
  <r>
    <s v="31-07-2026"/>
    <s v="Plastene India ltd - Unit 1-Purchase"/>
    <s v="R.M.P."/>
    <s v="RM 467"/>
    <x v="1"/>
    <s v="PIL1/D/1237"/>
    <s v="31-07-2026"/>
    <s v="SF"/>
    <s v="Webbing"/>
    <s v="PP Webbing"/>
    <s v="PP Webbing"/>
    <s v="Webbing"/>
    <n v="47.6"/>
    <n v="7115.72"/>
    <s v="Webbing"/>
    <n v="0"/>
    <n v="9"/>
    <n v="640.41999999999996"/>
    <n v="9"/>
    <n v="640.41999999999996"/>
    <n v="0"/>
    <n v="0"/>
    <n v="0"/>
    <n v="1280.8399999999999"/>
    <n v="0"/>
    <s v="24AAACO3087C1ZT"/>
    <s v="Kgs"/>
    <n v="3926908"/>
    <s v="Rs."/>
    <n v="1"/>
    <n v="0"/>
  </r>
  <r>
    <s v="31-07-2026"/>
    <s v="Tritha Graphics"/>
    <s v="General Purchase"/>
    <s v="GNCN 305"/>
    <x v="0"/>
    <n v="9552"/>
    <s v="21-07-2026"/>
    <s v="Consumables"/>
    <s v="Rubber/Polymer Stereo"/>
    <s v="Spares &amp; Stores"/>
    <s v="Stores &amp; Consumables"/>
    <s v="Polymer Stereo"/>
    <n v="395.79300000000001"/>
    <n v="455.16"/>
    <s v="Polymer Stereo"/>
    <n v="5146"/>
    <n v="9"/>
    <n v="40.96"/>
    <n v="9"/>
    <n v="40.96"/>
    <n v="0"/>
    <n v="0"/>
    <n v="0"/>
    <n v="81.92"/>
    <n v="0"/>
    <s v="24AARFT4204A1ZK"/>
    <s v="CMS"/>
    <n v="37013000"/>
    <s v="Rs."/>
    <n v="1"/>
    <n v="0"/>
  </r>
  <r>
    <s v="31-07-2026"/>
    <s v="Tritha Graphics"/>
    <s v="General Purchase"/>
    <s v="GNCN 305"/>
    <x v="0"/>
    <n v="9552"/>
    <s v="21-07-2026"/>
    <s v="Consumables"/>
    <s v="Rubber/Polymer Stereo"/>
    <s v="Spares &amp; Stores"/>
    <s v="Stores &amp; Consumables"/>
    <s v="Polymer Stereo"/>
    <n v="283.18"/>
    <n v="325.66000000000003"/>
    <s v="Polymer Stereo"/>
    <n v="0"/>
    <n v="9"/>
    <n v="29.31"/>
    <n v="9"/>
    <n v="29.31"/>
    <n v="0"/>
    <n v="0"/>
    <n v="0"/>
    <n v="58.62"/>
    <n v="0"/>
    <s v="24AARFT4204A1ZK"/>
    <s v="CMS"/>
    <n v="37013000"/>
    <s v="Rs."/>
    <n v="1"/>
    <n v="0"/>
  </r>
  <r>
    <s v="31-07-2026"/>
    <s v="Tritha Graphics"/>
    <s v="General Purchase"/>
    <s v="GNCN 305"/>
    <x v="0"/>
    <n v="9552"/>
    <s v="21-07-2026"/>
    <s v="Consumables"/>
    <s v="Rubber/Polymer Stereo"/>
    <s v="Spares &amp; Stores"/>
    <s v="Stores &amp; Consumables"/>
    <s v="Polymer Stereo"/>
    <n v="3113.46"/>
    <n v="3580.48"/>
    <s v="Polymer Stereo"/>
    <n v="0"/>
    <n v="9"/>
    <n v="322.24"/>
    <n v="9"/>
    <n v="322.24"/>
    <n v="0"/>
    <n v="0"/>
    <n v="0"/>
    <n v="644.48"/>
    <n v="0"/>
    <s v="24AARFT4204A1ZK"/>
    <s v="CMS"/>
    <n v="37013000"/>
    <s v="Rs."/>
    <n v="1"/>
    <n v="0"/>
  </r>
  <r>
    <s v="31-07-2026"/>
    <s v="Tritha Graphics"/>
    <s v="General Purchase"/>
    <s v="GNCN 306"/>
    <x v="0"/>
    <n v="9591"/>
    <s v="28-07-2026"/>
    <s v="Consumables"/>
    <s v="Rubber/Polymer Stereo"/>
    <s v="Spares &amp; Stores"/>
    <s v="Stores &amp; Consumables"/>
    <s v="Polymer Stereo"/>
    <n v="311.58"/>
    <n v="358.32"/>
    <s v="Polymer Stereo"/>
    <n v="1622"/>
    <n v="9"/>
    <n v="32.25"/>
    <n v="9"/>
    <n v="32.25"/>
    <n v="0"/>
    <n v="0"/>
    <n v="0"/>
    <n v="64.5"/>
    <n v="0"/>
    <s v="24AARFT4204A1ZK"/>
    <s v="CMS"/>
    <n v="37013000"/>
    <s v="Rs."/>
    <n v="1"/>
    <n v="0"/>
  </r>
  <r>
    <s v="31-07-2026"/>
    <s v="Tritha Graphics"/>
    <s v="General Purchase"/>
    <s v="GNCN 306"/>
    <x v="0"/>
    <n v="9591"/>
    <s v="28-07-2026"/>
    <s v="Consumables"/>
    <s v="Rubber/Polymer Stereo"/>
    <s v="Spares &amp; Stores"/>
    <s v="Stores &amp; Consumables"/>
    <s v="Polymer Stereo"/>
    <n v="884"/>
    <n v="1016.6"/>
    <s v="Polymer Stereo"/>
    <n v="0"/>
    <n v="9"/>
    <n v="91.49"/>
    <n v="9"/>
    <n v="91.49"/>
    <n v="0"/>
    <n v="0"/>
    <n v="0"/>
    <n v="182.98"/>
    <n v="0"/>
    <s v="24AARFT4204A1ZK"/>
    <s v="CMS"/>
    <n v="37013000"/>
    <s v="Rs."/>
    <n v="1"/>
    <n v="0"/>
  </r>
  <r>
    <s v="31-07-2026"/>
    <s v="Tritha Graphics"/>
    <s v="General Purchase"/>
    <s v="GNCN 307"/>
    <x v="0"/>
    <n v="9485"/>
    <s v="13-07-2026"/>
    <s v="Consumables"/>
    <s v="Rubber/Polymer Stereo"/>
    <s v="Spares &amp; Stores"/>
    <s v="Stores &amp; Consumables"/>
    <s v="Polymer Stereo"/>
    <n v="1802"/>
    <n v="2072.3000000000002"/>
    <s v="Polymer Stereo"/>
    <n v="2445.31"/>
    <n v="9"/>
    <n v="186.51"/>
    <n v="9"/>
    <n v="186.51"/>
    <n v="0"/>
    <n v="0"/>
    <n v="0"/>
    <n v="373.02"/>
    <n v="0"/>
    <s v="24AARFT4204A1ZK"/>
    <s v="CMS"/>
    <n v="37013000"/>
    <s v="Rs."/>
    <n v="1"/>
    <n v="0"/>
  </r>
  <r>
    <s v="31-07-2026"/>
    <s v="Tritha Graphics"/>
    <s v="General Purchase"/>
    <s v="GNCN 308"/>
    <x v="0"/>
    <n v="9526"/>
    <s v="17-07-2026"/>
    <s v="Consumables"/>
    <s v="Rubber/Polymer Stereo"/>
    <s v="Spares &amp; Stores"/>
    <s v="Stores &amp; Consumables"/>
    <s v="Polymer Stereo"/>
    <n v="775.35"/>
    <n v="891.65"/>
    <s v="Polymer Stereo"/>
    <n v="1052"/>
    <n v="9"/>
    <n v="80.25"/>
    <n v="9"/>
    <n v="80.25"/>
    <n v="0"/>
    <n v="0"/>
    <n v="0"/>
    <n v="160.5"/>
    <n v="0"/>
    <s v="24AARFT4204A1ZK"/>
    <s v="CMS"/>
    <n v="37013000"/>
    <s v="Rs."/>
    <n v="1"/>
    <n v="0"/>
  </r>
  <r>
    <s v="31-07-2026"/>
    <s v="Tritha Graphics"/>
    <s v="General Purchase"/>
    <s v="GNCN 309"/>
    <x v="0"/>
    <n v="9578"/>
    <s v="27-07-2026"/>
    <s v="Consumables"/>
    <s v="Rubber/Polymer Stereo"/>
    <s v="Spares &amp; Stores"/>
    <s v="Stores &amp; Consumables"/>
    <s v="Polymer Stereo"/>
    <n v="299.02"/>
    <n v="343.87"/>
    <s v="Polymer Stereo"/>
    <n v="3301"/>
    <n v="9"/>
    <n v="30.95"/>
    <n v="9"/>
    <n v="30.95"/>
    <n v="0"/>
    <n v="0"/>
    <n v="0"/>
    <n v="61.9"/>
    <n v="0"/>
    <s v="24AARFT4204A1ZK"/>
    <s v="CMS"/>
    <n v="37013000"/>
    <s v="Rs."/>
    <n v="1"/>
    <n v="0"/>
  </r>
  <r>
    <s v="31-07-2026"/>
    <s v="Tritha Graphics"/>
    <s v="General Purchase"/>
    <s v="GNCN 309"/>
    <x v="0"/>
    <n v="9578"/>
    <s v="27-07-2026"/>
    <s v="Consumables"/>
    <s v="Rubber/Polymer Stereo"/>
    <s v="Spares &amp; Stores"/>
    <s v="Stores &amp; Consumables"/>
    <s v="Polymer Stereo"/>
    <n v="1500"/>
    <n v="1725"/>
    <s v="Polymer Stereo"/>
    <n v="0"/>
    <n v="9"/>
    <n v="155.25"/>
    <n v="9"/>
    <n v="155.25"/>
    <n v="0"/>
    <n v="0"/>
    <n v="0"/>
    <n v="310.5"/>
    <n v="0"/>
    <s v="24AARFT4204A1ZK"/>
    <s v="CMS"/>
    <n v="37013000"/>
    <s v="Rs."/>
    <n v="1"/>
    <n v="0"/>
  </r>
  <r>
    <s v="31-07-2026"/>
    <s v="Tritha Graphics"/>
    <s v="General Purchase"/>
    <s v="GNCN 309"/>
    <x v="0"/>
    <n v="9578"/>
    <s v="27-07-2026"/>
    <s v="Consumables"/>
    <s v="Rubber/Polymer Stereo"/>
    <s v="Spares &amp; Stores"/>
    <s v="Stores &amp; Consumables"/>
    <s v="Polymer Stereo"/>
    <n v="228.72"/>
    <n v="263.02999999999997"/>
    <s v="Polymer Stereo"/>
    <n v="0"/>
    <n v="9"/>
    <n v="23.67"/>
    <n v="9"/>
    <n v="23.67"/>
    <n v="0"/>
    <n v="0"/>
    <n v="0"/>
    <n v="47.34"/>
    <n v="0"/>
    <s v="24AARFT4204A1ZK"/>
    <s v="CMS"/>
    <n v="37013000"/>
    <s v="Rs."/>
    <n v="1"/>
    <n v="0"/>
  </r>
  <r>
    <s v="31-07-2026"/>
    <s v="Tritha Graphics"/>
    <s v="General Purchase"/>
    <s v="GNCN 309"/>
    <x v="0"/>
    <n v="9578"/>
    <s v="27-07-2026"/>
    <s v="Consumables"/>
    <s v="Rubber/Polymer Stereo"/>
    <s v="Spares &amp; Stores"/>
    <s v="Stores &amp; Consumables"/>
    <s v="Polymer Stereo"/>
    <n v="93.82"/>
    <n v="107.89"/>
    <s v="Polymer Stereo"/>
    <n v="0"/>
    <n v="9"/>
    <n v="9.7100000000000009"/>
    <n v="9"/>
    <n v="9.7100000000000009"/>
    <n v="0"/>
    <n v="0"/>
    <n v="0"/>
    <n v="19.420000000000002"/>
    <n v="0"/>
    <s v="24AARFT4204A1ZK"/>
    <s v="CMS"/>
    <n v="37013000"/>
    <s v="Rs."/>
    <n v="1"/>
    <n v="0"/>
  </r>
  <r>
    <s v="31-07-2026"/>
    <s v="Tritha Graphics"/>
    <s v="General Purchase"/>
    <s v="GNCN 309"/>
    <x v="0"/>
    <n v="9578"/>
    <s v="27-07-2026"/>
    <s v="Consumables"/>
    <s v="Rubber/Polymer Stereo"/>
    <s v="Spares &amp; Stores"/>
    <s v="Stores &amp; Consumables"/>
    <s v="Polymer Stereo"/>
    <n v="311.32"/>
    <n v="358.02"/>
    <s v="Polymer Stereo"/>
    <n v="0"/>
    <n v="9"/>
    <n v="32.22"/>
    <n v="9"/>
    <n v="32.22"/>
    <n v="0"/>
    <n v="0"/>
    <n v="0"/>
    <n v="64.44"/>
    <n v="0"/>
    <s v="24AARFT4204A1ZK"/>
    <s v="CMS"/>
    <n v="37013000"/>
    <s v="Rs."/>
    <n v="1"/>
    <n v="0"/>
  </r>
  <r>
    <s v="31-07-2026"/>
    <s v="Tritha Graphics"/>
    <s v="General Purchase"/>
    <s v="GNCN 310"/>
    <x v="0"/>
    <n v="9564"/>
    <s v="22-07-2026"/>
    <s v="Consumables"/>
    <s v="Rubber/Polymer Stereo"/>
    <s v="Spares &amp; Stores"/>
    <s v="Stores &amp; Consumables"/>
    <s v="Polymer Stereo"/>
    <n v="156.13"/>
    <n v="179.55"/>
    <s v="Polymer Stereo"/>
    <n v="10719"/>
    <n v="9"/>
    <n v="16.16"/>
    <n v="9"/>
    <n v="16.16"/>
    <n v="0"/>
    <n v="0"/>
    <n v="0"/>
    <n v="32.32"/>
    <n v="0"/>
    <s v="24AARFT4204A1ZK"/>
    <s v="CMS"/>
    <n v="37013000"/>
    <s v="Rs."/>
    <n v="1"/>
    <n v="0"/>
  </r>
  <r>
    <s v="31-07-2026"/>
    <s v="Tritha Graphics"/>
    <s v="General Purchase"/>
    <s v="GNCN 310"/>
    <x v="0"/>
    <n v="9564"/>
    <s v="22-07-2026"/>
    <s v="Consumables"/>
    <s v="Rubber/Polymer Stereo"/>
    <s v="Spares &amp; Stores"/>
    <s v="Stores &amp; Consumables"/>
    <s v="Polymer Stereo"/>
    <n v="324.52"/>
    <n v="373.2"/>
    <s v="Polymer Stereo"/>
    <n v="0"/>
    <n v="9"/>
    <n v="33.590000000000003"/>
    <n v="9"/>
    <n v="33.590000000000003"/>
    <n v="0"/>
    <n v="0"/>
    <n v="0"/>
    <n v="67.180000000000007"/>
    <n v="0"/>
    <s v="24AARFT4204A1ZK"/>
    <s v="CMS"/>
    <n v="37013000"/>
    <s v="Rs."/>
    <n v="1"/>
    <n v="0"/>
  </r>
  <r>
    <s v="31-07-2026"/>
    <s v="Tritha Graphics"/>
    <s v="General Purchase"/>
    <s v="GNCN 310"/>
    <x v="0"/>
    <n v="9564"/>
    <s v="22-07-2026"/>
    <s v="Consumables"/>
    <s v="Rubber/Polymer Stereo"/>
    <s v="Spares &amp; Stores"/>
    <s v="Stores &amp; Consumables"/>
    <s v="Polymer Stereo"/>
    <n v="424.03"/>
    <n v="487.63"/>
    <s v="Polymer Stereo"/>
    <n v="0"/>
    <n v="9"/>
    <n v="43.89"/>
    <n v="9"/>
    <n v="43.89"/>
    <n v="0"/>
    <n v="0"/>
    <n v="0"/>
    <n v="87.78"/>
    <n v="0"/>
    <s v="24AARFT4204A1ZK"/>
    <s v="CMS"/>
    <n v="37013000"/>
    <s v="Rs."/>
    <n v="1"/>
    <n v="0"/>
  </r>
  <r>
    <s v="31-07-2026"/>
    <s v="Tritha Graphics"/>
    <s v="General Purchase"/>
    <s v="GNCN 310"/>
    <x v="0"/>
    <n v="9564"/>
    <s v="22-07-2026"/>
    <s v="Consumables"/>
    <s v="Rubber/Polymer Stereo"/>
    <s v="Spares &amp; Stores"/>
    <s v="Stores &amp; Consumables"/>
    <s v="Polymer Stereo"/>
    <n v="6994.65"/>
    <n v="8043.85"/>
    <s v="Polymer Stereo"/>
    <n v="0"/>
    <n v="9"/>
    <n v="723.95"/>
    <n v="9"/>
    <n v="723.95"/>
    <n v="0"/>
    <n v="0"/>
    <n v="0"/>
    <n v="1447.9"/>
    <n v="0"/>
    <s v="24AARFT4204A1ZK"/>
    <s v="CMS"/>
    <n v="37013000"/>
    <s v="Rs."/>
    <n v="1"/>
    <n v="0"/>
  </r>
  <r>
    <s v="31-07-2026"/>
    <s v="Tritha Graphics"/>
    <s v="General Purchase"/>
    <s v="GNCN 318"/>
    <x v="0"/>
    <n v="9602"/>
    <s v="29-07-2026"/>
    <s v="Consumables"/>
    <s v="Rubber/Polymer Stereo"/>
    <s v="Spares &amp; Stores"/>
    <s v="Stores &amp; Consumables"/>
    <s v="Polymer Stereo"/>
    <n v="138.22"/>
    <n v="158.94999999999999"/>
    <s v="Polymer Stereo"/>
    <n v="258"/>
    <n v="9"/>
    <n v="14.31"/>
    <n v="9"/>
    <n v="14.31"/>
    <n v="0"/>
    <n v="0"/>
    <n v="10.8"/>
    <n v="39.42"/>
    <n v="0"/>
    <s v="24AARFT4204A1ZK"/>
    <s v="CMS"/>
    <n v="37013000"/>
    <s v="Rs."/>
    <n v="1"/>
    <n v="0"/>
  </r>
  <r>
    <m/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35">
  <r>
    <d v="2026-01-07T00:00:00"/>
    <s v="Plastene India ltd - Unit 1-Sales"/>
    <s v="Sales"/>
    <n v="137"/>
    <x v="0"/>
    <s v="HPBL4/D/137"/>
    <d v="2026-01-07T00:00:00"/>
    <s v="FG"/>
    <s v="FIBC Bags"/>
    <s v="FIBC Bags"/>
    <x v="0"/>
    <s v="FIBC Bags With UV With Liner"/>
    <n v="855"/>
    <n v="179746.65"/>
    <s v="87x87x87"/>
    <n v="1449554.58"/>
    <n v="9"/>
    <n v="16177.2"/>
    <n v="9"/>
    <n v="16177.2"/>
    <n v="0"/>
    <n v="0"/>
    <n v="0"/>
    <n v="32354.400000000001"/>
    <n v="0"/>
    <s v="24AAACO3087C1ZT"/>
    <s v="KGS"/>
    <n v="63053200"/>
    <s v="Rs."/>
    <n v="1"/>
    <n v="855"/>
  </r>
  <r>
    <d v="2026-01-07T00:00:00"/>
    <s v="Plastene India ltd - Unit 1-Sales"/>
    <s v="Sales"/>
    <n v="137"/>
    <x v="0"/>
    <s v="HPBL4/D/137"/>
    <d v="2026-01-07T00:00:00"/>
    <s v="FG"/>
    <s v="FIBC Bags"/>
    <s v="FIBC Bags"/>
    <x v="0"/>
    <s v="FIBC Bags With UV Without Liner"/>
    <n v="415"/>
    <n v="110618.25"/>
    <s v="85x85x85"/>
    <n v="0"/>
    <n v="9"/>
    <n v="9955.64"/>
    <n v="9"/>
    <n v="9955.64"/>
    <n v="0"/>
    <n v="0"/>
    <n v="0"/>
    <n v="19911.28"/>
    <n v="0"/>
    <s v="24AAACO3087C1ZT"/>
    <s v="KGS"/>
    <n v="63053200"/>
    <s v="Rs."/>
    <n v="1"/>
    <n v="415"/>
  </r>
  <r>
    <d v="2026-01-07T00:00:00"/>
    <s v="Plastene India ltd - Unit 1-Sales"/>
    <s v="Sales"/>
    <n v="137"/>
    <x v="0"/>
    <s v="HPBL4/D/137"/>
    <d v="2026-01-07T00:00:00"/>
    <s v="FG"/>
    <s v="FIBC Bags"/>
    <s v="FIBC Bags"/>
    <x v="0"/>
    <s v="FIBC Bags With UV Without Liner"/>
    <n v="431"/>
    <n v="109780.01"/>
    <s v="90x90x90"/>
    <n v="0"/>
    <n v="9"/>
    <n v="9880.2000000000007"/>
    <n v="9"/>
    <n v="9880.2000000000007"/>
    <n v="0"/>
    <n v="0"/>
    <n v="0"/>
    <n v="19760.400000000001"/>
    <n v="0"/>
    <s v="24AAACO3087C1ZT"/>
    <s v="KGS"/>
    <n v="63053200"/>
    <s v="Rs."/>
    <n v="1"/>
    <n v="431"/>
  </r>
  <r>
    <d v="2026-01-07T00:00:00"/>
    <s v="Plastene India ltd - Unit 1-Sales"/>
    <s v="Sales"/>
    <n v="137"/>
    <x v="0"/>
    <s v="HPBL4/D/137"/>
    <d v="2026-01-07T00:00:00"/>
    <s v="FG"/>
    <s v="FIBC Bags"/>
    <s v="FIBC Bags"/>
    <x v="0"/>
    <s v="FIBC Bags With UV Without Liner"/>
    <n v="462"/>
    <n v="115786.44"/>
    <s v="85x85x85"/>
    <n v="0"/>
    <n v="9"/>
    <n v="10420.780000000001"/>
    <n v="9"/>
    <n v="10420.780000000001"/>
    <n v="0"/>
    <n v="0"/>
    <n v="0"/>
    <n v="20841.560000000001"/>
    <n v="0"/>
    <s v="24AAACO3087C1ZT"/>
    <s v="KGS"/>
    <n v="63053200"/>
    <s v="Rs."/>
    <n v="1"/>
    <n v="462"/>
  </r>
  <r>
    <d v="2026-01-07T00:00:00"/>
    <s v="Plastene India ltd - Unit 1-Sales"/>
    <s v="Sales"/>
    <n v="137"/>
    <x v="0"/>
    <s v="HPBL4/D/137"/>
    <d v="2026-01-07T00:00:00"/>
    <s v="FG"/>
    <s v="FIBC Bags"/>
    <s v="FIBC Bags"/>
    <x v="0"/>
    <s v="FIBC Bags With UV Without Liner"/>
    <n v="838"/>
    <n v="203809.98"/>
    <s v="90x90x90"/>
    <n v="0"/>
    <n v="9"/>
    <n v="18342.900000000001"/>
    <n v="9"/>
    <n v="18342.900000000001"/>
    <n v="0"/>
    <n v="0"/>
    <n v="0"/>
    <n v="36685.800000000003"/>
    <n v="0"/>
    <s v="24AAACO3087C1ZT"/>
    <s v="KGS"/>
    <n v="63053200"/>
    <s v="Rs."/>
    <n v="1"/>
    <n v="838"/>
  </r>
  <r>
    <d v="2026-01-07T00:00:00"/>
    <s v="Plastene India ltd - Unit 1-Sales"/>
    <s v="Sales"/>
    <n v="137"/>
    <x v="0"/>
    <s v="HPBL4/D/137"/>
    <d v="2026-01-07T00:00:00"/>
    <s v="FG"/>
    <s v="FIBC Bags"/>
    <s v="FIBC Bags"/>
    <x v="0"/>
    <s v="FIBC Bags With UV Without Liner"/>
    <n v="1329"/>
    <n v="311025.87"/>
    <s v="85x85x85"/>
    <n v="0"/>
    <n v="9"/>
    <n v="27992.33"/>
    <n v="9"/>
    <n v="27992.33"/>
    <n v="0"/>
    <n v="0"/>
    <n v="0"/>
    <n v="55984.66"/>
    <n v="0"/>
    <s v="24AAACO3087C1ZT"/>
    <s v="KGS"/>
    <n v="63053200"/>
    <s v="Rs."/>
    <n v="1"/>
    <n v="1329"/>
  </r>
  <r>
    <d v="2026-01-07T00:00:00"/>
    <s v="Plastene India ltd - Unit 1-Sales"/>
    <s v="Sales"/>
    <n v="137"/>
    <x v="0"/>
    <s v="HPBL4/D/137"/>
    <d v="2026-01-07T00:00:00"/>
    <s v="FG"/>
    <s v="FIBC Bags"/>
    <s v="FIBC Bags"/>
    <x v="0"/>
    <s v="FIBC Bags With UV Without Liner"/>
    <n v="826"/>
    <n v="198710.82"/>
    <s v="90x90x90"/>
    <n v="0"/>
    <n v="9"/>
    <n v="17883.97"/>
    <n v="9"/>
    <n v="17883.97"/>
    <n v="0"/>
    <n v="0"/>
    <n v="0"/>
    <n v="35767.94"/>
    <n v="0"/>
    <s v="24AAACO3087C1ZT"/>
    <s v="KGS"/>
    <n v="63053200"/>
    <s v="Rs."/>
    <n v="1"/>
    <n v="826"/>
  </r>
  <r>
    <d v="2026-01-07T00:00:00"/>
    <s v="Plastene India ltd - Unit 1-Sales"/>
    <s v="Sales"/>
    <n v="138"/>
    <x v="1"/>
    <s v="HPBL4/D/138"/>
    <d v="2026-01-07T00:00:00"/>
    <s v="SF"/>
    <s v="Yarn All"/>
    <s v="PP Yarn"/>
    <x v="1"/>
    <s v="PP MF Yarn Twisted 3000 Denier UV Deep Blue"/>
    <n v="88"/>
    <n v="14321.12"/>
    <s v="PP MF Yarn Twisted 3000 Denier UV Deep Blue"/>
    <n v="15022.86"/>
    <n v="2.5"/>
    <n v="358.03"/>
    <n v="2.5"/>
    <n v="358.03"/>
    <n v="0"/>
    <n v="0"/>
    <n v="0"/>
    <n v="716.06"/>
    <n v="0"/>
    <s v="24AAACO3087C1ZT"/>
    <s v="KGS"/>
    <n v="54026300"/>
    <s v="Rs."/>
    <n v="1"/>
    <n v="88"/>
  </r>
  <r>
    <d v="2026-01-07T00:00:00"/>
    <s v="Qpac Ltd"/>
    <s v="Export Sales"/>
    <s v="HPBL4/E/52/26-27"/>
    <x v="2"/>
    <s v="HPBL4/E/52/26-27"/>
    <d v="2026-01-07T00:00:00"/>
    <s v="FG"/>
    <s v="FIBC Bags"/>
    <s v="FIBC Bags"/>
    <x v="0"/>
    <s v="FIBC Bags With UV Without Liner"/>
    <n v="19351"/>
    <n v="4855238.6100000003"/>
    <s v="PP WOVEN BIG BAGS/SACKS"/>
    <n v="5166701.5999999996"/>
    <n v="0"/>
    <n v="0"/>
    <n v="0"/>
    <n v="0"/>
    <n v="18"/>
    <n v="873942.97400000005"/>
    <n v="0"/>
    <n v="873942.97400000005"/>
    <n v="0"/>
    <s v="N.A."/>
    <s v="KGS"/>
    <n v="63053200"/>
    <s v="GBP"/>
    <n v="123.7"/>
    <n v="19351"/>
  </r>
  <r>
    <d v="2026-01-07T00:00:00"/>
    <s v="Qpac Ltd"/>
    <s v="Export Sales"/>
    <s v="HPBL4/E/53/26-27"/>
    <x v="2"/>
    <s v="HPBL4/E/53/26-27"/>
    <d v="2026-01-07T00:00:00"/>
    <s v="FG"/>
    <s v="FIBC Bags"/>
    <s v="FIBC Bags"/>
    <x v="0"/>
    <s v="FIBC Bags With UV Without Liner"/>
    <n v="19049"/>
    <n v="4503569.4000000004"/>
    <s v="PP WOVEN BIG BAGS/SACKS"/>
    <n v="4814856.74"/>
    <n v="0"/>
    <n v="0"/>
    <n v="0"/>
    <n v="0"/>
    <n v="18"/>
    <n v="810642.46779999998"/>
    <n v="0"/>
    <n v="810642.46779999998"/>
    <n v="0"/>
    <s v="N.A."/>
    <s v="KGS"/>
    <n v="63053200"/>
    <s v="GBP"/>
    <n v="123.7"/>
    <n v="19049"/>
  </r>
  <r>
    <d v="2026-02-07T00:00:00"/>
    <s v="Plastene India ltd - Unit 1-Sales"/>
    <s v="Sales"/>
    <n v="139"/>
    <x v="1"/>
    <s v="HPBL4/D/139"/>
    <d v="2026-02-07T00:00:00"/>
    <s v="Stores/Spares"/>
    <s v="MS Structure Items"/>
    <s v="Spares &amp; Stores"/>
    <x v="2"/>
    <s v="MS Pipe 4  C Class"/>
    <n v="1480"/>
    <n v="71040"/>
    <s v="OLD/USED FABRIC ROLL PIPE"/>
    <n v="83756.160000000003"/>
    <n v="9"/>
    <n v="6393.6"/>
    <n v="9"/>
    <n v="6393.6"/>
    <n v="0"/>
    <n v="0"/>
    <n v="0"/>
    <n v="12787.2"/>
    <n v="0"/>
    <s v="24AAACO3087C1ZT"/>
    <s v="KGS"/>
    <n v="73063090"/>
    <s v="Rs."/>
    <n v="1"/>
    <n v="1480"/>
  </r>
  <r>
    <d v="2026-02-07T00:00:00"/>
    <s v="Plastene India ltd - Unit 1-Sales"/>
    <s v="Sales"/>
    <n v="140"/>
    <x v="3"/>
    <s v="HPBL4/D/140"/>
    <d v="2026-02-07T00:00:00"/>
    <s v="SF"/>
    <s v="Wastage/Scrap"/>
    <s v="Wastage/Scrap"/>
    <x v="3"/>
    <s v="PP/HD Wastage/Scrap"/>
    <n v="2078"/>
    <n v="24936"/>
    <s v="PP/HD Wastage/Scrap"/>
    <n v="30012.97"/>
    <n v="9"/>
    <n v="2244.2399999999998"/>
    <n v="9"/>
    <n v="2244.2399999999998"/>
    <n v="0"/>
    <n v="0"/>
    <n v="0"/>
    <n v="4488.4799999999996"/>
    <n v="588.49"/>
    <s v="24AAACO3087C1ZT"/>
    <s v="KGS"/>
    <n v="39159029"/>
    <s v="Rs."/>
    <n v="1"/>
    <n v="2078"/>
  </r>
  <r>
    <d v="2026-03-07T00:00:00"/>
    <s v="Plastene India ltd - Unit 1-Sales"/>
    <s v="Sales"/>
    <n v="141"/>
    <x v="1"/>
    <s v="HPBL4/D/141"/>
    <d v="2026-03-07T00:00:00"/>
    <s v="SF"/>
    <s v="PP/PE Fabric"/>
    <s v="PP UL Fabric"/>
    <x v="4"/>
    <s v="PP UL Fabric With UV"/>
    <n v="291"/>
    <n v="42992.34"/>
    <s v="MW 135 GSM"/>
    <n v="50687.97"/>
    <n v="9"/>
    <n v="3869.31"/>
    <n v="9"/>
    <n v="3869.31"/>
    <n v="0"/>
    <n v="0"/>
    <n v="0"/>
    <n v="7738.62"/>
    <n v="0"/>
    <s v="24AAACO3087C1ZT"/>
    <s v="KGS"/>
    <n v="39269080"/>
    <s v="Rs."/>
    <n v="1"/>
    <n v="291"/>
  </r>
  <r>
    <d v="2026-03-07T00:00:00"/>
    <s v="Plastene India ltd - Unit 1-Sales"/>
    <s v="Sales"/>
    <n v="142"/>
    <x v="1"/>
    <s v="HPBL4/D/142"/>
    <d v="2026-03-07T00:00:00"/>
    <s v="SF"/>
    <s v="Liners"/>
    <s v="LDPE/LLDPE Bags"/>
    <x v="5"/>
    <s v="LDPE/LLDPE Bags/Liner"/>
    <n v="26"/>
    <n v="4709.8999999999996"/>
    <s v="135X266X67 MIC M/W"/>
    <n v="5552.97"/>
    <n v="9"/>
    <n v="423.89"/>
    <n v="9"/>
    <n v="423.89"/>
    <n v="0"/>
    <n v="0"/>
    <n v="0"/>
    <n v="847.78"/>
    <n v="0"/>
    <s v="24AAACO3087C1ZT"/>
    <s v="KGS"/>
    <n v="39232100"/>
    <s v="Rs."/>
    <n v="1"/>
    <n v="26"/>
  </r>
  <r>
    <d v="2026-04-07T00:00:00"/>
    <s v="Plastene India ltd - Unit 1-Sales"/>
    <s v="Sales"/>
    <n v="143"/>
    <x v="0"/>
    <s v="HPBL4/D/143"/>
    <d v="2026-04-07T00:00:00"/>
    <s v="FG"/>
    <s v="FIBC Bags"/>
    <s v="FIBC Bags"/>
    <x v="0"/>
    <s v="FIBC Bags With UV Without Liner"/>
    <n v="9965"/>
    <n v="2073218.25"/>
    <s v="86X86X108"/>
    <n v="2444324.31"/>
    <n v="9"/>
    <n v="186589.64"/>
    <n v="9"/>
    <n v="186589.64"/>
    <n v="0"/>
    <n v="0"/>
    <n v="0"/>
    <n v="373179.28"/>
    <n v="0"/>
    <s v="24AAACO3087C1ZT"/>
    <s v="KGS"/>
    <n v="63053200"/>
    <s v="Rs."/>
    <n v="1"/>
    <n v="9965"/>
  </r>
  <r>
    <d v="2026-04-07T00:00:00"/>
    <s v="Plastene India ltd - Unit 1-Sales"/>
    <s v="Sales"/>
    <n v="144"/>
    <x v="0"/>
    <s v="HPBL4/D/144"/>
    <d v="2026-04-07T00:00:00"/>
    <s v="FG"/>
    <s v="FIBC Bags"/>
    <s v="FIBC Bags"/>
    <x v="0"/>
    <s v="FIBC Bags With UV Without Liner"/>
    <n v="2634"/>
    <n v="585669.9"/>
    <s v="85X85X90"/>
    <n v="5614673.7599999998"/>
    <n v="9"/>
    <n v="52710.29"/>
    <n v="9"/>
    <n v="52710.29"/>
    <n v="0"/>
    <n v="0"/>
    <n v="0"/>
    <n v="105420.58"/>
    <n v="0"/>
    <s v="24AAACO3087C1ZT"/>
    <s v="KGS"/>
    <n v="63053200"/>
    <s v="Rs."/>
    <n v="1"/>
    <n v="2634"/>
  </r>
  <r>
    <d v="2026-04-07T00:00:00"/>
    <s v="Plastene India ltd - Unit 1-Sales"/>
    <s v="Sales"/>
    <n v="144"/>
    <x v="0"/>
    <s v="HPBL4/D/144"/>
    <d v="2026-04-07T00:00:00"/>
    <s v="FG"/>
    <s v="FIBC Bags"/>
    <s v="FIBC Bags"/>
    <x v="0"/>
    <s v="FIBC Bags With UV Without Liner"/>
    <n v="4150"/>
    <n v="932422"/>
    <s v="90x90x90"/>
    <n v="0"/>
    <n v="9"/>
    <n v="83917.98"/>
    <n v="9"/>
    <n v="83917.98"/>
    <n v="0"/>
    <n v="0"/>
    <n v="0"/>
    <n v="167835.96"/>
    <n v="0"/>
    <s v="24AAACO3087C1ZT"/>
    <s v="KGS"/>
    <n v="63053200"/>
    <s v="Rs."/>
    <n v="1"/>
    <n v="4150"/>
  </r>
  <r>
    <d v="2026-04-07T00:00:00"/>
    <s v="Plastene India ltd - Unit 1-Sales"/>
    <s v="Sales"/>
    <n v="144"/>
    <x v="0"/>
    <s v="HPBL4/D/144"/>
    <d v="2026-04-07T00:00:00"/>
    <s v="FG"/>
    <s v="FIBC Bags"/>
    <s v="FIBC Bags"/>
    <x v="0"/>
    <s v="FIBC Bags With UV Without Liner"/>
    <n v="875"/>
    <n v="202781.25"/>
    <s v="90x90x90"/>
    <n v="0"/>
    <n v="9"/>
    <n v="18250.310000000001"/>
    <n v="9"/>
    <n v="18250.310000000001"/>
    <n v="0"/>
    <n v="0"/>
    <n v="0"/>
    <n v="36500.620000000003"/>
    <n v="0"/>
    <s v="24AAACO3087C1ZT"/>
    <s v="KGS"/>
    <n v="63053200"/>
    <s v="Rs."/>
    <n v="1"/>
    <n v="875"/>
  </r>
  <r>
    <d v="2026-04-07T00:00:00"/>
    <s v="Plastene India ltd - Unit 1-Sales"/>
    <s v="Sales"/>
    <n v="144"/>
    <x v="0"/>
    <s v="HPBL4/D/144"/>
    <d v="2026-04-07T00:00:00"/>
    <s v="FG"/>
    <s v="FIBC Bags"/>
    <s v="FIBC Bags"/>
    <x v="0"/>
    <s v="FIBC Bags With UV Without Liner"/>
    <n v="433"/>
    <n v="101360.97"/>
    <s v="90x90x90"/>
    <n v="0"/>
    <n v="9"/>
    <n v="9122.49"/>
    <n v="9"/>
    <n v="9122.49"/>
    <n v="0"/>
    <n v="0"/>
    <n v="0"/>
    <n v="18244.98"/>
    <n v="0"/>
    <s v="24AAACO3087C1ZT"/>
    <s v="KGS"/>
    <n v="63053200"/>
    <s v="Rs."/>
    <n v="1"/>
    <n v="433"/>
  </r>
  <r>
    <d v="2026-04-07T00:00:00"/>
    <s v="Plastene India ltd - Unit 1-Sales"/>
    <s v="Sales"/>
    <n v="144"/>
    <x v="0"/>
    <s v="HPBL4/D/144"/>
    <d v="2026-04-07T00:00:00"/>
    <s v="FG"/>
    <s v="FIBC Bags"/>
    <s v="FIBC Bags"/>
    <x v="0"/>
    <s v="FIBC Bags With UV Without Liner"/>
    <n v="878"/>
    <n v="202800.44"/>
    <s v="90x90x90"/>
    <n v="0"/>
    <n v="9"/>
    <n v="18252.04"/>
    <n v="9"/>
    <n v="18252.04"/>
    <n v="0"/>
    <n v="0"/>
    <n v="0"/>
    <n v="36504.080000000002"/>
    <n v="0"/>
    <s v="24AAACO3087C1ZT"/>
    <s v="KGS"/>
    <n v="63053200"/>
    <s v="Rs."/>
    <n v="1"/>
    <n v="878"/>
  </r>
  <r>
    <d v="2026-04-07T00:00:00"/>
    <s v="Plastene India ltd - Unit 1-Sales"/>
    <s v="Sales"/>
    <n v="144"/>
    <x v="0"/>
    <s v="HPBL4/D/144"/>
    <d v="2026-04-07T00:00:00"/>
    <s v="FG"/>
    <s v="FIBC Bags"/>
    <s v="FIBC Bags"/>
    <x v="0"/>
    <s v="FIBC Bags With UV Without Liner"/>
    <n v="895"/>
    <n v="202914.4"/>
    <s v="90x90x90"/>
    <n v="0"/>
    <n v="9"/>
    <n v="18262.3"/>
    <n v="9"/>
    <n v="18262.3"/>
    <n v="0"/>
    <n v="0"/>
    <n v="0"/>
    <n v="36524.6"/>
    <n v="0"/>
    <s v="24AAACO3087C1ZT"/>
    <s v="KGS"/>
    <n v="63053200"/>
    <s v="Rs."/>
    <n v="1"/>
    <n v="895"/>
  </r>
  <r>
    <d v="2026-04-07T00:00:00"/>
    <s v="Plastene India ltd - Unit 1-Sales"/>
    <s v="Sales"/>
    <n v="144"/>
    <x v="0"/>
    <s v="HPBL4/D/144"/>
    <d v="2026-04-07T00:00:00"/>
    <s v="FG"/>
    <s v="FIBC Bags"/>
    <s v="FIBC Bags"/>
    <x v="0"/>
    <s v="FIBC Bags With UV Without Liner"/>
    <n v="1733"/>
    <n v="405435.35"/>
    <s v="90x90x90"/>
    <n v="0"/>
    <n v="9"/>
    <n v="36489.18"/>
    <n v="9"/>
    <n v="36489.18"/>
    <n v="0"/>
    <n v="0"/>
    <n v="0"/>
    <n v="72978.36"/>
    <n v="0"/>
    <s v="24AAACO3087C1ZT"/>
    <s v="KGS"/>
    <n v="63053200"/>
    <s v="Rs."/>
    <n v="1"/>
    <n v="1733"/>
  </r>
  <r>
    <d v="2026-04-07T00:00:00"/>
    <s v="Plastene India ltd - Unit 1-Sales"/>
    <s v="Sales"/>
    <n v="144"/>
    <x v="0"/>
    <s v="HPBL4/D/144"/>
    <d v="2026-04-07T00:00:00"/>
    <s v="FG"/>
    <s v="FIBC Bags"/>
    <s v="FIBC Bags"/>
    <x v="0"/>
    <s v="FIBC Bags With UV Without Liner"/>
    <n v="3900"/>
    <n v="912249"/>
    <s v="90x90x90"/>
    <n v="0"/>
    <n v="9"/>
    <n v="82102.41"/>
    <n v="9"/>
    <n v="82102.41"/>
    <n v="0"/>
    <n v="0"/>
    <n v="0"/>
    <n v="164204.82"/>
    <n v="0"/>
    <s v="24AAACO3087C1ZT"/>
    <s v="KGS"/>
    <n v="63053200"/>
    <s v="Rs."/>
    <n v="1"/>
    <n v="3900"/>
  </r>
  <r>
    <d v="2026-04-07T00:00:00"/>
    <s v="Plastene India ltd - Unit 1-Sales"/>
    <s v="Sales"/>
    <n v="144"/>
    <x v="0"/>
    <s v="HPBL4/D/144"/>
    <d v="2026-04-07T00:00:00"/>
    <s v="FG"/>
    <s v="FIBC Bags"/>
    <s v="FIBC Bags"/>
    <x v="0"/>
    <s v="FIBC Bags With UV Without Liner"/>
    <n v="5239"/>
    <n v="1216600.58"/>
    <s v="90x90x90"/>
    <n v="0"/>
    <n v="9"/>
    <n v="109494.05"/>
    <n v="9"/>
    <n v="109494.05"/>
    <n v="0"/>
    <n v="0"/>
    <n v="0"/>
    <n v="218988.1"/>
    <n v="0"/>
    <s v="24AAACO3087C1ZT"/>
    <s v="KGS"/>
    <n v="63053200"/>
    <s v="Rs."/>
    <n v="1"/>
    <n v="5239"/>
  </r>
  <r>
    <d v="2026-04-07T00:00:00"/>
    <s v="Plastene India ltd - Unit 1-Sales"/>
    <s v="Sales"/>
    <n v="145"/>
    <x v="3"/>
    <s v="HPBL4/D/145"/>
    <d v="2026-04-07T00:00:00"/>
    <s v="SF"/>
    <s v="Wastage/Scrap"/>
    <s v="Wastage/Scrap"/>
    <x v="3"/>
    <s v="PP/HD Wastage/Scrap"/>
    <n v="3147"/>
    <n v="37764"/>
    <s v="PP/HD Wastage/Scrap"/>
    <n v="45452.75"/>
    <n v="9"/>
    <n v="3398.76"/>
    <n v="9"/>
    <n v="3398.76"/>
    <n v="0"/>
    <n v="0"/>
    <n v="0"/>
    <n v="6797.52"/>
    <n v="891.23"/>
    <s v="24AAACO3087C1ZT"/>
    <s v="KGS"/>
    <n v="39159029"/>
    <s v="Rs."/>
    <n v="1"/>
    <n v="3147"/>
  </r>
  <r>
    <d v="2026-04-07T00:00:00"/>
    <s v="Plastene India ltd - Unit 1-Sales"/>
    <s v="Sales"/>
    <n v="146"/>
    <x v="1"/>
    <s v="HPBL4/D/146"/>
    <d v="2026-04-07T00:00:00"/>
    <s v="FG"/>
    <s v="FIBC WIP"/>
    <s v="FIBC WIP"/>
    <x v="6"/>
    <s v="PP Woven Fabric"/>
    <n v="283"/>
    <n v="7924"/>
    <s v="DEAD STOCK FABRIC RP PURPOSE"/>
    <n v="9342.4"/>
    <n v="9"/>
    <n v="713.16"/>
    <n v="9"/>
    <n v="713.16"/>
    <n v="0"/>
    <n v="0"/>
    <n v="0"/>
    <n v="1426.32"/>
    <n v="0"/>
    <s v="24AAACO3087C1ZT"/>
    <s v="KGS"/>
    <n v="39269080"/>
    <s v="Rs."/>
    <n v="1"/>
    <n v="283"/>
  </r>
  <r>
    <d v="2026-04-07T00:00:00"/>
    <s v="Plastene India ltd - Unit 1-Sales"/>
    <s v="Sales"/>
    <n v="147"/>
    <x v="0"/>
    <s v="HPBL4/D/147"/>
    <d v="2026-04-07T00:00:00"/>
    <s v="FG"/>
    <s v="FIBC Bags"/>
    <s v="FIBC Bags"/>
    <x v="0"/>
    <s v="FIBC Bags With UV Without Liner"/>
    <n v="2228"/>
    <n v="436843.96"/>
    <s v="91X91X100"/>
    <n v="1431446.02"/>
    <n v="9"/>
    <n v="39315.96"/>
    <n v="9"/>
    <n v="39315.96"/>
    <n v="0"/>
    <n v="0"/>
    <n v="0"/>
    <n v="78631.92"/>
    <n v="0"/>
    <s v="24AAACO3087C1ZT"/>
    <s v="KGS"/>
    <n v="63053200"/>
    <s v="Rs."/>
    <n v="1"/>
    <n v="2228"/>
  </r>
  <r>
    <d v="2026-04-07T00:00:00"/>
    <s v="Plastene India ltd - Unit 1-Sales"/>
    <s v="Sales"/>
    <n v="147"/>
    <x v="0"/>
    <s v="HPBL4/D/147"/>
    <d v="2026-04-07T00:00:00"/>
    <s v="FG"/>
    <s v="FIBC Bags"/>
    <s v="FIBC Bags"/>
    <x v="0"/>
    <s v="FIBC Bags With UV Without Liner"/>
    <n v="3736"/>
    <n v="777274.8"/>
    <s v="86X86X108"/>
    <n v="0"/>
    <n v="9"/>
    <n v="69954.73"/>
    <n v="9"/>
    <n v="69954.73"/>
    <n v="0"/>
    <n v="0"/>
    <n v="0"/>
    <n v="139909.46"/>
    <n v="0"/>
    <s v="24AAACO3087C1ZT"/>
    <s v="KGS"/>
    <n v="63053200"/>
    <s v="Rs."/>
    <n v="1"/>
    <n v="3736"/>
  </r>
  <r>
    <d v="2026-05-07T00:00:00"/>
    <s v="Agroszemek Kft"/>
    <s v="Export Sales"/>
    <s v="HPBL4/E/54/26-27"/>
    <x v="2"/>
    <s v="HPBL4/E/54/26-27"/>
    <d v="2026-05-07T00:00:00"/>
    <s v="FG"/>
    <s v="FIBC Bags"/>
    <s v="FIBC Bags"/>
    <x v="0"/>
    <s v="FIBC Bags With UV With Liner"/>
    <n v="18272"/>
    <n v="4039200"/>
    <s v="PP WOVEN BIG BAGS/SACKS WITH LINER"/>
    <n v="4039200"/>
    <n v="0"/>
    <n v="0"/>
    <n v="0"/>
    <n v="0"/>
    <n v="18"/>
    <n v="727056"/>
    <n v="0"/>
    <n v="727056"/>
    <n v="0"/>
    <s v="N.A."/>
    <s v="KGS"/>
    <n v="63053200"/>
    <s v="$"/>
    <n v="93.5"/>
    <n v="18272"/>
  </r>
  <r>
    <d v="2026-05-07T00:00:00"/>
    <s v="Plastene India ltd - Unit 1-Sales"/>
    <s v="Sales"/>
    <n v="148"/>
    <x v="0"/>
    <s v="HPBL4/D/148"/>
    <d v="2026-05-07T00:00:00"/>
    <s v="FG"/>
    <s v="FIBC Bags"/>
    <s v="FIBC Bags"/>
    <x v="0"/>
    <s v="FIBC Bags With UV With Liner"/>
    <n v="4615"/>
    <n v="990517.45"/>
    <s v="62.5X62.5X145"/>
    <n v="2291739.2599999998"/>
    <n v="9"/>
    <n v="89146.57"/>
    <n v="9"/>
    <n v="89146.57"/>
    <n v="0"/>
    <n v="0"/>
    <n v="0"/>
    <n v="178293.14"/>
    <n v="0"/>
    <s v="24AAACO3087C1ZT"/>
    <s v="KGS"/>
    <n v="63053200"/>
    <s v="Rs."/>
    <n v="1"/>
    <n v="4615"/>
  </r>
  <r>
    <d v="2026-05-07T00:00:00"/>
    <s v="Plastene India ltd - Unit 1-Sales"/>
    <s v="Sales"/>
    <n v="148"/>
    <x v="0"/>
    <s v="HPBL4/D/148"/>
    <d v="2026-05-07T00:00:00"/>
    <s v="FG"/>
    <s v="FIBC Bags"/>
    <s v="FIBC Bags"/>
    <x v="0"/>
    <s v="FIBC Bags With UV With Liner"/>
    <n v="4525"/>
    <n v="953281.75"/>
    <s v="62.5X62.5X170"/>
    <n v="0"/>
    <n v="9"/>
    <n v="85795.36"/>
    <n v="9"/>
    <n v="85795.36"/>
    <n v="0"/>
    <n v="0"/>
    <n v="0"/>
    <n v="171590.72"/>
    <n v="0"/>
    <s v="24AAACO3087C1ZT"/>
    <s v="KGS"/>
    <n v="63053200"/>
    <s v="Rs."/>
    <n v="1"/>
    <n v="4525"/>
  </r>
  <r>
    <d v="2026-05-07T00:00:00"/>
    <s v="Plastene India ltd - Unit 1-Sales"/>
    <s v="Sales"/>
    <n v="149"/>
    <x v="1"/>
    <s v="HPBL4/D/149"/>
    <d v="2026-05-07T00:00:00"/>
    <s v="FG"/>
    <s v="FIBC WIP"/>
    <s v="FIBC WIP"/>
    <x v="6"/>
    <s v="PP Woven Fabric"/>
    <n v="710"/>
    <n v="19880"/>
    <s v="DEAD STOCK FABRIC RP PURPOSE"/>
    <n v="23438.52"/>
    <n v="9"/>
    <n v="1789.2"/>
    <n v="9"/>
    <n v="1789.2"/>
    <n v="0"/>
    <n v="0"/>
    <n v="0"/>
    <n v="3578.4"/>
    <n v="0"/>
    <s v="24AAACO3087C1ZT"/>
    <s v="KGS"/>
    <n v="39269080"/>
    <s v="Rs."/>
    <n v="1"/>
    <n v="710"/>
  </r>
  <r>
    <d v="2026-05-07T00:00:00"/>
    <s v="Plastene India ltd - Unit 1-Sales"/>
    <s v="Sales"/>
    <n v="150"/>
    <x v="0"/>
    <s v="HPBL4/D/150"/>
    <d v="2026-05-07T00:00:00"/>
    <s v="FG"/>
    <s v="FIBC Bags"/>
    <s v="FIBC Bags"/>
    <x v="0"/>
    <s v="FIBC Bags With UV With Liner"/>
    <n v="10138"/>
    <n v="2095423.22"/>
    <s v="62.5X62.5X150"/>
    <n v="2470503.98"/>
    <n v="9"/>
    <n v="188588.09"/>
    <n v="9"/>
    <n v="188588.09"/>
    <n v="0"/>
    <n v="0"/>
    <n v="0"/>
    <n v="377176.18"/>
    <n v="0"/>
    <s v="24AAACO3087C1ZT"/>
    <s v="KGS"/>
    <n v="63053200"/>
    <s v="Rs."/>
    <n v="1"/>
    <n v="10138"/>
  </r>
  <r>
    <d v="2026-06-07T00:00:00"/>
    <s v="Plastene India ltd - Unit 1-Sales"/>
    <s v="Sales"/>
    <n v="151"/>
    <x v="1"/>
    <s v="HPBL4/D/151"/>
    <d v="2026-06-07T00:00:00"/>
    <s v="RM Consumables"/>
    <s v="Ink"/>
    <s v="Thinner"/>
    <x v="7"/>
    <s v="Thinner Vyankatesh Thinner"/>
    <n v="170"/>
    <n v="18360"/>
    <s v="Thinner Vyankatesh Thinner"/>
    <n v="21646.44"/>
    <n v="9"/>
    <n v="1652.4"/>
    <n v="9"/>
    <n v="1652.4"/>
    <n v="0"/>
    <n v="0"/>
    <n v="0"/>
    <n v="3304.8"/>
    <n v="0"/>
    <s v="24AAACO3087C1ZT"/>
    <s v="KGS"/>
    <n v="38140011"/>
    <s v="Rs."/>
    <n v="1"/>
    <n v="170"/>
  </r>
  <r>
    <d v="2026-07-07T00:00:00"/>
    <s v="Plastene India ltd - Unit 1-Sales"/>
    <s v="Sales"/>
    <n v="152"/>
    <x v="1"/>
    <s v="HPBL4/D/152"/>
    <d v="2026-07-07T00:00:00"/>
    <s v="Stores/Spares"/>
    <s v="MS Structure Items"/>
    <s v="Spares &amp; Stores"/>
    <x v="2"/>
    <s v="MS Pipe 4  C Class"/>
    <n v="1291"/>
    <n v="61968"/>
    <s v="OLD/USED FABRIC ROLL PIPE"/>
    <n v="73060.27"/>
    <n v="9"/>
    <n v="5577.12"/>
    <n v="9"/>
    <n v="5577.12"/>
    <n v="0"/>
    <n v="0"/>
    <n v="0"/>
    <n v="11154.24"/>
    <n v="0"/>
    <s v="24AAACO3087C1ZT"/>
    <s v="KGS"/>
    <n v="73063090"/>
    <s v="Rs."/>
    <n v="1"/>
    <n v="1291"/>
  </r>
  <r>
    <d v="2026-07-07T00:00:00"/>
    <s v="Plastene India ltd - Unit 1-Sales"/>
    <s v="Sales"/>
    <n v="153"/>
    <x v="3"/>
    <s v="HPBL4/D/153"/>
    <d v="2026-07-07T00:00:00"/>
    <s v="SF"/>
    <s v="Wastage/Scrap"/>
    <s v="Wastage/Scrap"/>
    <x v="3"/>
    <s v="PP/HD Wastage/Scrap"/>
    <n v="1884"/>
    <n v="22608"/>
    <s v="PP/HD Wastage/Scrap"/>
    <n v="27210.99"/>
    <n v="9"/>
    <n v="2034.72"/>
    <n v="9"/>
    <n v="2034.72"/>
    <n v="0"/>
    <n v="0"/>
    <n v="0"/>
    <n v="4069.44"/>
    <n v="533.54999999999995"/>
    <s v="24AAACO3087C1ZT"/>
    <s v="KGS"/>
    <n v="39159029"/>
    <s v="Rs."/>
    <n v="1"/>
    <n v="1884"/>
  </r>
  <r>
    <d v="2026-07-07T00:00:00"/>
    <s v="Plastene India ltd - Unit 1-Sales"/>
    <s v="Sales"/>
    <n v="154"/>
    <x v="1"/>
    <s v="HPBL4/D/154"/>
    <d v="2026-07-07T00:00:00"/>
    <s v="FG"/>
    <s v="FIBC WIP"/>
    <s v="FIBC WIP"/>
    <x v="6"/>
    <s v="PP Woven Fabric"/>
    <n v="795"/>
    <n v="22260"/>
    <s v="DEAD STOCK FABRIC RP PURPOSE"/>
    <n v="26244.54"/>
    <n v="9"/>
    <n v="2003.4"/>
    <n v="9"/>
    <n v="2003.4"/>
    <n v="0"/>
    <n v="0"/>
    <n v="0"/>
    <n v="4006.8"/>
    <n v="0"/>
    <s v="24AAACO3087C1ZT"/>
    <s v="KGS"/>
    <n v="39269080"/>
    <s v="Rs."/>
    <n v="1"/>
    <n v="795"/>
  </r>
  <r>
    <d v="2026-07-07T00:00:00"/>
    <s v="Plastene India ltd - Unit 1-Sales"/>
    <s v="Sales"/>
    <n v="155"/>
    <x v="0"/>
    <s v="HPBL4/D/155"/>
    <d v="2026-07-07T00:00:00"/>
    <s v="FG"/>
    <s v="FIBC Bags"/>
    <s v="FIBC Bags"/>
    <x v="0"/>
    <s v="FIBC Bags With UV Without Liner"/>
    <n v="2705"/>
    <n v="556878.35"/>
    <s v="75X80X95"/>
    <n v="2709620.2"/>
    <n v="9"/>
    <n v="50119.05"/>
    <n v="9"/>
    <n v="50119.05"/>
    <n v="0"/>
    <n v="0"/>
    <n v="0"/>
    <n v="100238.1"/>
    <n v="0"/>
    <s v="24AAACO3087C1ZT"/>
    <s v="KGS"/>
    <n v="63053200"/>
    <s v="Rs."/>
    <n v="1"/>
    <n v="2705"/>
  </r>
  <r>
    <d v="2026-07-07T00:00:00"/>
    <s v="Plastene India ltd - Unit 1-Sales"/>
    <s v="Sales"/>
    <n v="155"/>
    <x v="0"/>
    <s v="HPBL4/D/155"/>
    <d v="2026-07-07T00:00:00"/>
    <s v="FG"/>
    <s v="FIBC Bags"/>
    <s v="FIBC Bags"/>
    <x v="0"/>
    <s v="FIBC Bags With UV Without Liner"/>
    <n v="1357"/>
    <n v="286639.11"/>
    <s v="75X80X95"/>
    <n v="0"/>
    <n v="9"/>
    <n v="25797.52"/>
    <n v="9"/>
    <n v="25797.52"/>
    <n v="0"/>
    <n v="0"/>
    <n v="0"/>
    <n v="51595.040000000001"/>
    <n v="0"/>
    <s v="24AAACO3087C1ZT"/>
    <s v="KGS"/>
    <n v="63053200"/>
    <s v="Rs."/>
    <n v="1"/>
    <n v="1357"/>
  </r>
  <r>
    <d v="2026-07-07T00:00:00"/>
    <s v="Plastene India ltd - Unit 1-Sales"/>
    <s v="Sales"/>
    <n v="155"/>
    <x v="0"/>
    <s v="HPBL4/D/155"/>
    <d v="2026-07-07T00:00:00"/>
    <s v="FG"/>
    <s v="FIBC Bags"/>
    <s v="FIBC Bags"/>
    <x v="0"/>
    <s v="FIBC Bags With UV Without Liner"/>
    <n v="1819"/>
    <n v="382062.76"/>
    <s v="75X80X95"/>
    <n v="0"/>
    <n v="9"/>
    <n v="34385.65"/>
    <n v="9"/>
    <n v="34385.65"/>
    <n v="0"/>
    <n v="0"/>
    <n v="0"/>
    <n v="68771.3"/>
    <n v="0"/>
    <s v="24AAACO3087C1ZT"/>
    <s v="KGS"/>
    <n v="63053200"/>
    <s v="Rs."/>
    <n v="1"/>
    <n v="1819"/>
  </r>
  <r>
    <d v="2026-07-07T00:00:00"/>
    <s v="Plastene India ltd - Unit 1-Sales"/>
    <s v="Sales"/>
    <n v="155"/>
    <x v="0"/>
    <s v="HPBL4/D/155"/>
    <d v="2026-07-07T00:00:00"/>
    <s v="FG"/>
    <s v="FIBC Bags"/>
    <s v="FIBC Bags"/>
    <x v="0"/>
    <s v="FIBC Bags With UV Without Liner"/>
    <n v="891"/>
    <n v="191262.06"/>
    <s v="75X80X95"/>
    <n v="0"/>
    <n v="9"/>
    <n v="17213.59"/>
    <n v="9"/>
    <n v="17213.59"/>
    <n v="0"/>
    <n v="0"/>
    <n v="0"/>
    <n v="34427.18"/>
    <n v="0"/>
    <s v="24AAACO3087C1ZT"/>
    <s v="KGS"/>
    <n v="63053200"/>
    <s v="Rs."/>
    <n v="1"/>
    <n v="891"/>
  </r>
  <r>
    <d v="2026-07-07T00:00:00"/>
    <s v="Plastene India ltd - Unit 1-Sales"/>
    <s v="Sales"/>
    <n v="155"/>
    <x v="0"/>
    <s v="HPBL4/D/155"/>
    <d v="2026-07-07T00:00:00"/>
    <s v="FG"/>
    <s v="FIBC Bags"/>
    <s v="FIBC Bags"/>
    <x v="0"/>
    <s v="FIBC Bags With UV Without Liner"/>
    <n v="4020"/>
    <n v="780804.6"/>
    <s v="75X80X95"/>
    <n v="0"/>
    <n v="9"/>
    <n v="70272.41"/>
    <n v="9"/>
    <n v="70272.41"/>
    <n v="0"/>
    <n v="0"/>
    <n v="0"/>
    <n v="140544.82"/>
    <n v="0"/>
    <s v="24AAACO3087C1ZT"/>
    <s v="KGS"/>
    <n v="63053200"/>
    <s v="Rs."/>
    <n v="1"/>
    <n v="4020"/>
  </r>
  <r>
    <d v="2026-07-07T00:00:00"/>
    <s v="Plastene India ltd - Unit 1-Sales"/>
    <s v="Sales"/>
    <n v="155"/>
    <x v="0"/>
    <s v="HPBL4/D/155"/>
    <d v="2026-07-07T00:00:00"/>
    <s v="FG"/>
    <s v="FIBC Bags"/>
    <s v="FIBC Bags"/>
    <x v="0"/>
    <s v="FIBC Bags With UV Without Liner"/>
    <n v="508"/>
    <n v="100589.08"/>
    <s v="75X80X95"/>
    <n v="0"/>
    <n v="9"/>
    <n v="9053.02"/>
    <n v="9"/>
    <n v="9053.02"/>
    <n v="0"/>
    <n v="0"/>
    <n v="0"/>
    <n v="18106.04"/>
    <n v="0"/>
    <s v="24AAACO3087C1ZT"/>
    <s v="KGS"/>
    <n v="63053200"/>
    <s v="Rs."/>
    <n v="1"/>
    <n v="508"/>
  </r>
  <r>
    <d v="2026-09-07T00:00:00"/>
    <s v="Agroszemek Kft"/>
    <s v="Export Sales"/>
    <s v="HPBL4/E/56/26-27"/>
    <x v="4"/>
    <s v="HPBL4/E/56/26-27"/>
    <d v="2026-09-07T00:00:00"/>
    <s v="FG"/>
    <s v="FIBC Bags"/>
    <s v="FIBC Bags"/>
    <x v="0"/>
    <s v="FIBC Bags With UV With Liner"/>
    <n v="18338"/>
    <n v="4443120"/>
    <s v="PP WOVEN BIG BAGS/SACKS WITH LINER"/>
    <n v="4443120"/>
    <n v="0"/>
    <n v="0"/>
    <n v="0"/>
    <n v="0"/>
    <n v="0"/>
    <n v="0"/>
    <n v="0"/>
    <n v="0"/>
    <n v="0"/>
    <s v="N.A."/>
    <s v="KGS"/>
    <n v="63053200"/>
    <s v="$"/>
    <n v="93.5"/>
    <n v="18338"/>
  </r>
  <r>
    <d v="2026-09-07T00:00:00"/>
    <s v="Cesur France"/>
    <s v="Export Sales"/>
    <s v="HPBL4/E/55/26-27"/>
    <x v="4"/>
    <s v="HPBL4/E/55/26-27"/>
    <d v="2026-09-07T00:00:00"/>
    <s v="FG"/>
    <s v="FIBC Bags"/>
    <s v="FIBC Bags"/>
    <x v="0"/>
    <s v="FIBC Bags With UV With Liner"/>
    <n v="15412"/>
    <n v="4082257.94"/>
    <s v="PP WOVEN BIG BAGS/SACKS WITH LINER"/>
    <n v="4444454.5"/>
    <n v="0"/>
    <n v="0"/>
    <n v="0"/>
    <n v="0"/>
    <n v="0"/>
    <n v="0"/>
    <n v="0"/>
    <n v="0"/>
    <n v="0"/>
    <s v="N.A."/>
    <s v="KGS"/>
    <n v="63053200"/>
    <m/>
    <n v="105.4"/>
    <n v="15412"/>
  </r>
  <r>
    <d v="2026-09-07T00:00:00"/>
    <s v="Oswal Extrusion Ltd- KASEZ-Sales"/>
    <s v="SALES (FOREX)"/>
    <s v="HPBL4/E/57/26-27"/>
    <x v="5"/>
    <s v="HPBL4/E/57/26-27"/>
    <d v="2026-09-07T00:00:00"/>
    <s v="Consumables"/>
    <s v="Consumables"/>
    <s v="Consumables"/>
    <x v="2"/>
    <s v="Hotmelt  ( Glue )"/>
    <n v="100"/>
    <n v="32000"/>
    <s v="HOTMELT GLUE 100 KG"/>
    <n v="31968"/>
    <n v="0"/>
    <n v="0"/>
    <n v="0"/>
    <n v="0"/>
    <n v="0"/>
    <n v="0"/>
    <n v="0"/>
    <n v="0"/>
    <n v="0"/>
    <s v="24AAACO7290H4ZB"/>
    <s v="KGS"/>
    <n v="35069999"/>
    <s v="Rs."/>
    <n v="1"/>
    <n v="100"/>
  </r>
  <r>
    <d v="2026-09-07T00:00:00"/>
    <s v="Plastene India ltd - Unit 1-Sales"/>
    <s v="Sales"/>
    <n v="156"/>
    <x v="1"/>
    <s v="HPBL4/D/156"/>
    <d v="2026-09-07T00:00:00"/>
    <s v="FG"/>
    <s v="FIBC WIP"/>
    <s v="FIBC WIP"/>
    <x v="6"/>
    <s v="PP Webbing"/>
    <n v="62"/>
    <n v="9268.3799999999992"/>
    <s v="COLOUR WEBBING"/>
    <n v="10927.41"/>
    <n v="9"/>
    <n v="834.15"/>
    <n v="9"/>
    <n v="834.15"/>
    <n v="0"/>
    <n v="0"/>
    <n v="0"/>
    <n v="1668.3"/>
    <n v="0"/>
    <s v="24AAACO3087C1ZT"/>
    <s v="KGS"/>
    <n v="39269080"/>
    <s v="Rs."/>
    <n v="1"/>
    <n v="62"/>
  </r>
  <r>
    <d v="2026-09-07T00:00:00"/>
    <s v="Rafia Industrial S.A."/>
    <s v="Export Sales"/>
    <s v="HPBL4/E/58/26-27"/>
    <x v="4"/>
    <s v="HPBL4/E/58/26-27"/>
    <d v="2026-09-07T00:00:00"/>
    <s v="FG"/>
    <s v="FIBC Bags"/>
    <s v="FIBC Bags"/>
    <x v="0"/>
    <s v="FIBC Bags With UV With Liner"/>
    <n v="18962"/>
    <n v="4924424.34"/>
    <s v="PP WOVEN BIG BAGS/SACKS WITH LINER"/>
    <n v="5317124.34"/>
    <n v="0"/>
    <n v="0"/>
    <n v="0"/>
    <n v="0"/>
    <n v="0"/>
    <n v="0"/>
    <n v="0"/>
    <n v="0"/>
    <n v="0"/>
    <s v="N.A."/>
    <s v="KGS"/>
    <n v="63053200"/>
    <s v="$"/>
    <n v="93.5"/>
    <n v="18962"/>
  </r>
  <r>
    <d v="2026-09-07T00:00:00"/>
    <s v="Rafia Industrial S.A."/>
    <s v="Export Sales"/>
    <s v="HPBL4/E/59/26-27"/>
    <x v="4"/>
    <s v="HPBL4/E/59/26-27"/>
    <d v="2026-09-07T00:00:00"/>
    <s v="FG"/>
    <s v="FIBC Bags"/>
    <s v="FIBC Bags"/>
    <x v="0"/>
    <s v="FIBC Bags With UV Without Liner"/>
    <n v="18805"/>
    <n v="4186182"/>
    <s v="PP WOVEN BIG BAGS/SACKS"/>
    <n v="4578882"/>
    <n v="0"/>
    <n v="0"/>
    <n v="0"/>
    <n v="0"/>
    <n v="0"/>
    <n v="0"/>
    <n v="0"/>
    <n v="0"/>
    <n v="0"/>
    <s v="N.A."/>
    <s v="KGS"/>
    <n v="63053200"/>
    <s v="$"/>
    <n v="93.5"/>
    <n v="18805"/>
  </r>
  <r>
    <d v="2026-09-07T00:00:00"/>
    <s v="Rafia Industrial S.A."/>
    <s v="Export Sales"/>
    <s v="HPBL4/E/60/26-27"/>
    <x v="4"/>
    <s v="HPBL4/E/60/26-27"/>
    <d v="2026-09-07T00:00:00"/>
    <s v="FG"/>
    <s v="FIBC Bags"/>
    <s v="FIBC Bags"/>
    <x v="0"/>
    <s v="FIBC Bags With UV With Liner"/>
    <n v="19241"/>
    <n v="4767508.9000000004"/>
    <s v="PP WOVEN BIG BAGS/SACKS WITH LINER"/>
    <n v="5160208.9000000004"/>
    <n v="0"/>
    <n v="0"/>
    <n v="0"/>
    <n v="0"/>
    <n v="0"/>
    <n v="0"/>
    <n v="0"/>
    <n v="0"/>
    <n v="0"/>
    <s v="N.A."/>
    <s v="KGS"/>
    <n v="63053200"/>
    <s v="$"/>
    <n v="93.5"/>
    <n v="19241"/>
  </r>
  <r>
    <d v="2026-09-07T00:00:00"/>
    <s v="Rafia Industrial S.A."/>
    <s v="Export Sales"/>
    <s v="HPBL4/E/61/26-27"/>
    <x v="4"/>
    <s v="HPBL4/E/61/26-27"/>
    <d v="2026-09-07T00:00:00"/>
    <s v="FG"/>
    <s v="FIBC Bags"/>
    <s v="FIBC Bags"/>
    <x v="0"/>
    <s v="FIBC Bags With UV With Liner"/>
    <n v="18985"/>
    <n v="3107940"/>
    <s v="PP WOVEN BIG BAGS/SACKS WITH LINER"/>
    <n v="3500640"/>
    <n v="0"/>
    <n v="0"/>
    <n v="0"/>
    <n v="0"/>
    <n v="0"/>
    <n v="0"/>
    <n v="0"/>
    <n v="0"/>
    <n v="0"/>
    <s v="N.A."/>
    <s v="KGS"/>
    <n v="63053200"/>
    <s v="$"/>
    <n v="93.5"/>
    <n v="18985"/>
  </r>
  <r>
    <d v="2026-09-07T00:00:00"/>
    <s v="Rafia Industrial S.A."/>
    <s v="Export Sales"/>
    <s v="HPBL4/E/62/26-27"/>
    <x v="4"/>
    <s v="HPBL4/E/62/26-27"/>
    <d v="2026-09-07T00:00:00"/>
    <s v="FG"/>
    <s v="FIBC Bags"/>
    <s v="FIBC Bags"/>
    <x v="0"/>
    <s v="FIBC Bags With UV With Liner"/>
    <n v="19141"/>
    <n v="4303898.5"/>
    <s v="PP WOVEN BIG BAGS/SACKS WITH LINER"/>
    <n v="4696598.5"/>
    <n v="0"/>
    <n v="0"/>
    <n v="0"/>
    <n v="0"/>
    <n v="0"/>
    <n v="0"/>
    <n v="0"/>
    <n v="0"/>
    <n v="0"/>
    <s v="N.A."/>
    <s v="KGS"/>
    <n v="63053200"/>
    <s v="$"/>
    <n v="93.5"/>
    <n v="19141"/>
  </r>
  <r>
    <d v="2026-10-07T00:00:00"/>
    <s v="Industria Sulfuria S.A."/>
    <s v="Export Sales"/>
    <s v="HPBL4/E/63/26-27"/>
    <x v="4"/>
    <s v="HPBL4/E/63/26-27"/>
    <d v="2026-10-07T00:00:00"/>
    <s v="FG"/>
    <s v="FIBC Bags"/>
    <s v="FIBC Bags"/>
    <x v="0"/>
    <s v="FIBC Bags With UV With Liner"/>
    <n v="20148"/>
    <n v="4623909.7300000004"/>
    <s v="PP WOVEN BIG BAGS/SACKS WITH LINER"/>
    <n v="5313792"/>
    <n v="0"/>
    <n v="0"/>
    <n v="0"/>
    <n v="0"/>
    <n v="0"/>
    <n v="0"/>
    <n v="0"/>
    <n v="0"/>
    <n v="0"/>
    <s v="N.A."/>
    <s v="KGS"/>
    <n v="63053200"/>
    <s v="$"/>
    <n v="93.5"/>
    <n v="20148"/>
  </r>
  <r>
    <d v="2026-10-07T00:00:00"/>
    <s v="Plastene India ltd - Unit 1-Sales"/>
    <s v="Sales"/>
    <n v="157"/>
    <x v="1"/>
    <s v="HPBL4/D/157"/>
    <d v="2026-10-07T00:00:00"/>
    <s v="SF"/>
    <s v="Webbing"/>
    <s v="PP Webbing"/>
    <x v="8"/>
    <s v="Webbing"/>
    <n v="191.9"/>
    <n v="28687.13"/>
    <s v="COLOUR WEBBING"/>
    <n v="33822.120000000003"/>
    <n v="9"/>
    <n v="2581.84"/>
    <n v="9"/>
    <n v="2581.84"/>
    <n v="0"/>
    <n v="0"/>
    <n v="0"/>
    <n v="5163.68"/>
    <n v="0"/>
    <s v="24AAACO3087C1ZT"/>
    <s v="KGS"/>
    <n v="39269080"/>
    <s v="Rs."/>
    <n v="1"/>
    <n v="191.9"/>
  </r>
  <r>
    <d v="2026-10-07T00:00:00"/>
    <s v="Plastene India ltd - Unit 1-Sales"/>
    <s v="Sales"/>
    <n v="158"/>
    <x v="1"/>
    <s v="HPBL4/D/158"/>
    <d v="2026-10-07T00:00:00"/>
    <s v="SF"/>
    <s v="Yarn All"/>
    <s v="PP Yarn"/>
    <x v="1"/>
    <s v="PP MF Yarn Twisted 3000 Denier UV Deep Blue"/>
    <n v="44"/>
    <n v="7017.56"/>
    <s v="PP MF Yarn Twisted 3000 Denier UV Deep Blue"/>
    <n v="7361.42"/>
    <n v="2.5"/>
    <n v="175.44"/>
    <n v="2.5"/>
    <n v="175.44"/>
    <n v="0"/>
    <n v="0"/>
    <n v="0"/>
    <n v="350.88"/>
    <n v="0"/>
    <s v="24AAACO3087C1ZT"/>
    <s v="KGS"/>
    <n v="54026930"/>
    <s v="Rs."/>
    <n v="1"/>
    <n v="44"/>
  </r>
  <r>
    <d v="2026-11-07T00:00:00"/>
    <s v="Plastene India ltd - Unit 1-Sales"/>
    <s v="Sales"/>
    <n v="159"/>
    <x v="1"/>
    <s v="HPBL4/D/159"/>
    <d v="2026-11-07T00:00:00"/>
    <s v="Stores/Spares"/>
    <s v="MS Structure Items"/>
    <s v="Spares &amp; Stores"/>
    <x v="2"/>
    <s v="MS Pipe 4  C Class"/>
    <n v="1047"/>
    <n v="50256"/>
    <s v="OLD/USED FABRIC MS PIP"/>
    <n v="59251.82"/>
    <n v="9"/>
    <n v="4523.04"/>
    <n v="9"/>
    <n v="4523.04"/>
    <n v="0"/>
    <n v="0"/>
    <n v="0"/>
    <n v="9046.08"/>
    <n v="0"/>
    <s v="24AAACO3087C1ZT"/>
    <s v="KGS"/>
    <n v="73063090"/>
    <s v="Rs."/>
    <n v="1"/>
    <n v="1047"/>
  </r>
  <r>
    <d v="2026-11-07T00:00:00"/>
    <s v="Plastene India ltd - Unit 1-Sales"/>
    <s v="Sales"/>
    <n v="160"/>
    <x v="3"/>
    <s v="HPBL4/D/160"/>
    <d v="2026-11-07T00:00:00"/>
    <s v="SF"/>
    <s v="Wastage/Scrap"/>
    <s v="Wastage/Scrap"/>
    <x v="3"/>
    <s v="PP/HD Wastage/Scrap"/>
    <n v="3493"/>
    <n v="41916"/>
    <s v="PP/HD Wastage/Scrap"/>
    <n v="50450.1"/>
    <n v="9"/>
    <n v="3772.44"/>
    <n v="9"/>
    <n v="3772.44"/>
    <n v="0"/>
    <n v="0"/>
    <n v="0"/>
    <n v="7544.88"/>
    <n v="989.22"/>
    <s v="24AAACO3087C1ZT"/>
    <s v="KGS"/>
    <n v="39159029"/>
    <s v="Rs."/>
    <n v="1"/>
    <n v="3493"/>
  </r>
  <r>
    <d v="2026-11-07T00:00:00"/>
    <s v="Plastene India ltd - Unit 1-Sales"/>
    <s v="Sales"/>
    <n v="161"/>
    <x v="0"/>
    <s v="HPBL4/D/161"/>
    <d v="2026-11-07T00:00:00"/>
    <s v="FG"/>
    <s v="FIBC Bags"/>
    <s v="FIBC Bags"/>
    <x v="0"/>
    <s v="FIBC Bags With UV With Liner"/>
    <n v="1421"/>
    <n v="303980.32"/>
    <s v="62.5X62.5X150"/>
    <n v="1869394.24"/>
    <n v="9"/>
    <n v="27358.23"/>
    <n v="9"/>
    <n v="27358.23"/>
    <n v="0"/>
    <n v="0"/>
    <n v="0"/>
    <n v="54716.46"/>
    <n v="0"/>
    <s v="24AAACO3087C1ZT"/>
    <s v="KGS"/>
    <n v="63053200"/>
    <s v="Rs."/>
    <n v="1"/>
    <n v="1421"/>
  </r>
  <r>
    <d v="2026-11-07T00:00:00"/>
    <s v="Plastene India ltd - Unit 1-Sales"/>
    <s v="Sales"/>
    <n v="161"/>
    <x v="0"/>
    <s v="HPBL4/D/161"/>
    <d v="2026-11-07T00:00:00"/>
    <s v="FG"/>
    <s v="FIBC Bags"/>
    <s v="FIBC Bags"/>
    <x v="0"/>
    <s v="FIBC Bags With UV With Liner"/>
    <n v="1725"/>
    <n v="403339.5"/>
    <s v="90X90X150"/>
    <n v="0"/>
    <n v="9"/>
    <n v="36300.559999999998"/>
    <n v="9"/>
    <n v="36300.559999999998"/>
    <n v="0"/>
    <n v="0"/>
    <n v="0"/>
    <n v="72601.119999999995"/>
    <n v="0"/>
    <s v="24AAACO3087C1ZT"/>
    <s v="KGS"/>
    <n v="63053200"/>
    <s v="Rs."/>
    <n v="1"/>
    <n v="1725"/>
  </r>
  <r>
    <d v="2026-11-07T00:00:00"/>
    <s v="Plastene India ltd - Unit 1-Sales"/>
    <s v="Sales"/>
    <n v="161"/>
    <x v="0"/>
    <s v="HPBL4/D/161"/>
    <d v="2026-11-07T00:00:00"/>
    <s v="FG"/>
    <s v="FIBC Bags"/>
    <s v="FIBC Bags"/>
    <x v="0"/>
    <s v="FIBC Bags With UV Without Liner"/>
    <n v="4532"/>
    <n v="878256.28"/>
    <s v="75X80X95"/>
    <n v="0"/>
    <n v="9"/>
    <n v="79043.070000000007"/>
    <n v="9"/>
    <n v="79043.070000000007"/>
    <n v="0"/>
    <n v="0"/>
    <n v="0"/>
    <n v="158086.14000000001"/>
    <n v="0"/>
    <s v="24AAACO3087C1ZT"/>
    <s v="KGS"/>
    <n v="63053200"/>
    <s v="Rs."/>
    <n v="1"/>
    <n v="4532"/>
  </r>
  <r>
    <s v="13-07-2026"/>
    <s v="Rafia Industrial S.A."/>
    <s v="Export Sales"/>
    <s v="HPBL4/E/64/26-27"/>
    <x v="4"/>
    <s v="HPBL4/E/64/26-27"/>
    <s v="13-07-2026"/>
    <s v="FG"/>
    <s v="FIBC Bags"/>
    <s v="FIBC Bags"/>
    <x v="0"/>
    <s v="FIBC Bags With UV With Liner"/>
    <n v="18757"/>
    <n v="4084080"/>
    <s v="PP WOVEN BIG BAGS/SACKS WITH LINER"/>
    <n v="4476780"/>
    <n v="0"/>
    <n v="0"/>
    <n v="0"/>
    <n v="0"/>
    <n v="0"/>
    <n v="0"/>
    <n v="0"/>
    <n v="0"/>
    <n v="0"/>
    <s v="N.A."/>
    <s v="KGS"/>
    <n v="63053200"/>
    <s v="$"/>
    <n v="93.5"/>
    <n v="18757"/>
  </r>
  <r>
    <s v="14-07-2026"/>
    <s v="K.P. Woven Pvt Ltd - Unit 3 -Sales"/>
    <s v="Export Sales"/>
    <s v="HPBL4/E/66/26-27"/>
    <x v="6"/>
    <s v="HPBL4/E/66/26-27"/>
    <s v="14-07-2026"/>
    <s v="FG"/>
    <s v="FIBC Bags"/>
    <s v="FIBC Bags"/>
    <x v="0"/>
    <s v="FIBC Bags With UV With Liner"/>
    <n v="3974"/>
    <n v="833652.55"/>
    <s v="PP WOVEN BIG BAGS"/>
    <n v="2056898.09"/>
    <n v="0"/>
    <n v="0"/>
    <n v="0"/>
    <n v="0"/>
    <n v="0"/>
    <n v="0"/>
    <n v="0"/>
    <n v="0"/>
    <n v="0"/>
    <s v="24AAECK6307M2ZE"/>
    <s v="KGS"/>
    <n v="63053200"/>
    <s v="$"/>
    <n v="93.5"/>
    <n v="3974"/>
  </r>
  <r>
    <s v="14-07-2026"/>
    <s v="K.P. Woven Pvt Ltd - Unit 3 -Sales"/>
    <s v="Export Sales"/>
    <s v="HPBL4/E/66/26-27"/>
    <x v="6"/>
    <s v="HPBL4/E/66/26-27"/>
    <s v="14-07-2026"/>
    <s v="FG"/>
    <s v="FIBC Bags"/>
    <s v="FIBC Bags"/>
    <x v="0"/>
    <s v="FIBC Bags With UV Without Liner"/>
    <n v="4993"/>
    <n v="1047414.12"/>
    <s v="PP WOVEN BIG BAGS"/>
    <n v="0"/>
    <n v="0"/>
    <n v="0"/>
    <n v="0"/>
    <n v="0"/>
    <n v="0"/>
    <n v="0"/>
    <n v="0"/>
    <n v="0"/>
    <n v="0"/>
    <s v="24AAECK6307M2ZE"/>
    <s v="KGS"/>
    <n v="63053200"/>
    <s v="$"/>
    <n v="93.5"/>
    <n v="4993"/>
  </r>
  <r>
    <s v="14-07-2026"/>
    <s v="K.P. Woven Pvt Ltd - Unit 3 -Sales"/>
    <s v="Export Sales"/>
    <s v="HPBL4/E/66/26-27"/>
    <x v="6"/>
    <s v="HPBL4/E/66/26-27"/>
    <s v="14-07-2026"/>
    <s v="FG"/>
    <s v="FIBC Bags"/>
    <s v="FIBC Bags"/>
    <x v="0"/>
    <s v="FIBC Bags With UV Without Liner"/>
    <n v="848"/>
    <n v="177890.3"/>
    <s v="PP WOVEN BIG BAGS"/>
    <n v="0"/>
    <n v="0"/>
    <n v="0"/>
    <n v="0"/>
    <n v="0"/>
    <n v="0"/>
    <n v="0"/>
    <n v="0"/>
    <n v="0"/>
    <n v="0"/>
    <s v="24AAECK6307M2ZE"/>
    <s v="KGS"/>
    <n v="63053200"/>
    <s v="$"/>
    <n v="93.5"/>
    <n v="848"/>
  </r>
  <r>
    <s v="14-07-2026"/>
    <s v="Oswal Extrusion Ltd- KASEZ-Sales"/>
    <s v="SALES (FOREX)"/>
    <s v="HPBL4/E/65/26-27"/>
    <x v="5"/>
    <s v="HPBL4/E/65/26-27"/>
    <s v="14-07-2026"/>
    <s v="Consumables"/>
    <s v="Consumables"/>
    <s v="Consumables"/>
    <x v="2"/>
    <s v="Hotmelt  ( Glue )"/>
    <n v="50"/>
    <n v="16000"/>
    <s v="Hotmelt  ( Glue )"/>
    <n v="15984"/>
    <m/>
    <n v="0"/>
    <m/>
    <n v="0"/>
    <m/>
    <n v="0"/>
    <n v="0"/>
    <n v="0"/>
    <n v="0"/>
    <s v="24AAACO7290H4ZB"/>
    <s v="KGS"/>
    <n v="35069999"/>
    <s v="Rs."/>
    <n v="1"/>
    <n v="50"/>
  </r>
  <r>
    <s v="14-07-2026"/>
    <s v="Plastene India ltd - Unit 1-Sales"/>
    <s v="Sales"/>
    <n v="162"/>
    <x v="3"/>
    <s v="HPBL4/D/162"/>
    <s v="14-07-2026"/>
    <s v="SF"/>
    <s v="Wastage/Scrap"/>
    <s v="Wastage/Scrap"/>
    <x v="3"/>
    <s v="PP/HD Wastage/Scrap"/>
    <n v="2902"/>
    <n v="34824"/>
    <s v="PP/HD Wastage/Scrap"/>
    <n v="41914.17"/>
    <n v="9"/>
    <n v="3134.16"/>
    <n v="9"/>
    <n v="3134.16"/>
    <n v="0"/>
    <n v="0"/>
    <n v="0"/>
    <n v="6268.32"/>
    <n v="821.85"/>
    <s v="24AAACO3087C1ZT"/>
    <s v="KGS"/>
    <n v="39159029"/>
    <s v="Rs."/>
    <n v="1"/>
    <n v="2902"/>
  </r>
  <r>
    <s v="14-07-2026"/>
    <s v="Plastene India ltd - Unit 1-Sales"/>
    <s v="Sales"/>
    <n v="163"/>
    <x v="1"/>
    <s v="HPBL4/D/163"/>
    <s v="14-07-2026"/>
    <s v="FG"/>
    <s v="FIBC WIP"/>
    <s v="FIBC WIP"/>
    <x v="6"/>
    <s v="PP Woven Fabric"/>
    <n v="2018"/>
    <n v="56504"/>
    <s v="DEAD STOCK FABRIC RP PURPOSE"/>
    <n v="66618.22"/>
    <n v="9"/>
    <n v="5085.3599999999997"/>
    <n v="9"/>
    <n v="5085.3599999999997"/>
    <n v="0"/>
    <n v="0"/>
    <n v="0"/>
    <n v="10170.719999999999"/>
    <n v="0"/>
    <s v="24AAACO3087C1ZT"/>
    <s v="KGS"/>
    <n v="39269080"/>
    <s v="Rs."/>
    <n v="1"/>
    <n v="2018"/>
  </r>
  <r>
    <s v="15-07-2026"/>
    <s v="Plastene India ltd - Unit 1-Sales"/>
    <s v="Sales"/>
    <n v="164"/>
    <x v="0"/>
    <s v="HPBL4/D/164"/>
    <s v="15-07-2026"/>
    <s v="FG"/>
    <s v="FIBC Bags"/>
    <s v="FIBC Bags"/>
    <x v="0"/>
    <s v="FIBC Bags With UV Without Liner"/>
    <n v="893"/>
    <n v="191235.95"/>
    <s v="75X80X95"/>
    <n v="1697947.08"/>
    <n v="9"/>
    <n v="17211.240000000002"/>
    <n v="9"/>
    <n v="17211.240000000002"/>
    <n v="0"/>
    <n v="0"/>
    <n v="0"/>
    <n v="34422.480000000003"/>
    <n v="0"/>
    <s v="24AAACO3087C1ZT"/>
    <s v="KGS"/>
    <n v="63053200"/>
    <s v="Rs."/>
    <n v="1"/>
    <n v="893"/>
  </r>
  <r>
    <s v="15-07-2026"/>
    <s v="Plastene India ltd - Unit 1-Sales"/>
    <s v="Sales"/>
    <n v="164"/>
    <x v="0"/>
    <s v="HPBL4/D/164"/>
    <s v="15-07-2026"/>
    <s v="FG"/>
    <s v="FIBC Bags"/>
    <s v="FIBC Bags"/>
    <x v="0"/>
    <s v="FIBC Bags With UV Without Liner"/>
    <n v="1795"/>
    <n v="382370.9"/>
    <s v="75X80X95"/>
    <n v="0"/>
    <n v="9"/>
    <n v="34413.379999999997"/>
    <n v="9"/>
    <n v="34413.379999999997"/>
    <n v="0"/>
    <n v="0"/>
    <n v="0"/>
    <n v="68826.759999999995"/>
    <n v="0"/>
    <s v="24AAACO3087C1ZT"/>
    <s v="KGS"/>
    <n v="63053200"/>
    <s v="Rs."/>
    <n v="1"/>
    <n v="1795"/>
  </r>
  <r>
    <s v="15-07-2026"/>
    <s v="Plastene India ltd - Unit 1-Sales"/>
    <s v="Sales"/>
    <n v="164"/>
    <x v="0"/>
    <s v="HPBL4/D/164"/>
    <s v="15-07-2026"/>
    <s v="FG"/>
    <s v="FIBC Bags"/>
    <s v="FIBC Bags"/>
    <x v="0"/>
    <s v="FIBC Bags With UV Without Liner"/>
    <n v="1006"/>
    <n v="195184.12"/>
    <s v="75X80X95"/>
    <n v="0"/>
    <n v="9"/>
    <n v="17566.57"/>
    <n v="9"/>
    <n v="17566.57"/>
    <n v="0"/>
    <n v="0"/>
    <n v="0"/>
    <n v="35133.14"/>
    <n v="0"/>
    <s v="24AAACO3087C1ZT"/>
    <s v="KGS"/>
    <n v="63053200"/>
    <s v="Rs."/>
    <n v="1"/>
    <n v="1006"/>
  </r>
  <r>
    <s v="15-07-2026"/>
    <s v="Plastene India ltd - Unit 1-Sales"/>
    <s v="Sales"/>
    <n v="164"/>
    <x v="0"/>
    <s v="HPBL4/D/164"/>
    <s v="15-07-2026"/>
    <s v="FG"/>
    <s v="FIBC Bags"/>
    <s v="FIBC Bags"/>
    <x v="0"/>
    <s v="FIBC Bags With UV Without Liner"/>
    <n v="504"/>
    <n v="100638.72"/>
    <s v="75X80X95"/>
    <n v="0"/>
    <n v="9"/>
    <n v="9057.48"/>
    <n v="9"/>
    <n v="9057.48"/>
    <n v="0"/>
    <n v="0"/>
    <n v="0"/>
    <n v="18114.96"/>
    <n v="0"/>
    <s v="24AAACO3087C1ZT"/>
    <s v="KGS"/>
    <n v="63053200"/>
    <s v="Rs."/>
    <n v="1"/>
    <n v="504"/>
  </r>
  <r>
    <s v="15-07-2026"/>
    <s v="Plastene India ltd - Unit 1-Sales"/>
    <s v="Sales"/>
    <n v="164"/>
    <x v="0"/>
    <s v="HPBL4/D/164"/>
    <s v="15-07-2026"/>
    <s v="FG"/>
    <s v="FIBC Bags"/>
    <s v="FIBC Bags"/>
    <x v="0"/>
    <s v="FIBC Bags With UV Without Liner"/>
    <n v="448"/>
    <n v="92848"/>
    <s v="75X80X95"/>
    <n v="0"/>
    <n v="9"/>
    <n v="8356.32"/>
    <n v="9"/>
    <n v="8356.32"/>
    <n v="0"/>
    <n v="0"/>
    <n v="0"/>
    <n v="16712.64"/>
    <n v="0"/>
    <s v="24AAACO3087C1ZT"/>
    <s v="KGS"/>
    <n v="63053200"/>
    <s v="Rs."/>
    <n v="1"/>
    <n v="448"/>
  </r>
  <r>
    <s v="15-07-2026"/>
    <s v="Plastene India ltd - Unit 1-Sales"/>
    <s v="Sales"/>
    <n v="164"/>
    <x v="0"/>
    <s v="HPBL4/D/164"/>
    <s v="15-07-2026"/>
    <s v="FG"/>
    <s v="FIBC Bags"/>
    <s v="FIBC Bags"/>
    <x v="0"/>
    <s v="FIBC Bags With UV Without Liner"/>
    <n v="450"/>
    <n v="95575.5"/>
    <s v="75X80X95"/>
    <n v="0"/>
    <n v="9"/>
    <n v="8601.7999999999993"/>
    <n v="9"/>
    <n v="8601.7999999999993"/>
    <n v="0"/>
    <n v="0"/>
    <n v="0"/>
    <n v="17203.599999999999"/>
    <n v="0"/>
    <s v="24AAACO3087C1ZT"/>
    <s v="KGS"/>
    <n v="63053200"/>
    <s v="Rs."/>
    <n v="1"/>
    <n v="450"/>
  </r>
  <r>
    <s v="15-07-2026"/>
    <s v="Plastene India ltd - Unit 1-Sales"/>
    <s v="Sales"/>
    <n v="164"/>
    <x v="0"/>
    <s v="HPBL4/D/164"/>
    <s v="15-07-2026"/>
    <s v="FG"/>
    <s v="FIBC Bags"/>
    <s v="FIBC Bags"/>
    <x v="0"/>
    <s v="FIBC Bags With UV Without Liner"/>
    <n v="1799"/>
    <n v="382305.49"/>
    <s v="75X80X95"/>
    <n v="0"/>
    <n v="9"/>
    <n v="34407.49"/>
    <n v="9"/>
    <n v="34407.49"/>
    <n v="0"/>
    <n v="0"/>
    <n v="0"/>
    <n v="68814.98"/>
    <n v="0"/>
    <s v="24AAACO3087C1ZT"/>
    <s v="KGS"/>
    <n v="63053200"/>
    <s v="Rs."/>
    <n v="1"/>
    <n v="1799"/>
  </r>
  <r>
    <s v="15-07-2026"/>
    <s v="Plastene India ltd - Unit 1-Sales"/>
    <s v="Sales"/>
    <n v="165"/>
    <x v="1"/>
    <s v="HPBL4/D/165"/>
    <s v="15-07-2026"/>
    <s v="Stores/Spares"/>
    <s v="MS Structure Items"/>
    <s v="Spares &amp; Stores"/>
    <x v="2"/>
    <s v="MS Pipe 4  C Class"/>
    <n v="964"/>
    <n v="46272"/>
    <s v="OLD/USED FABRIC ROLL PIPE"/>
    <n v="54554.69"/>
    <n v="9"/>
    <n v="4164.4799999999996"/>
    <n v="9"/>
    <n v="4164.4799999999996"/>
    <n v="0"/>
    <n v="0"/>
    <n v="0"/>
    <n v="8328.9599999999991"/>
    <n v="0"/>
    <s v="24AAACO3087C1ZT"/>
    <s v="KGS"/>
    <n v="73063090"/>
    <s v="Rs."/>
    <n v="1"/>
    <n v="964"/>
  </r>
  <r>
    <s v="15-07-2026"/>
    <s v="Plastene India ltd - Unit 1-Sales"/>
    <s v="Sales"/>
    <n v="166"/>
    <x v="3"/>
    <s v="HPBL4/D/166"/>
    <s v="15-07-2026"/>
    <s v="SF"/>
    <s v="Wastage/Scrap"/>
    <s v="Wastage/Scrap"/>
    <x v="3"/>
    <s v="PP/HD Wastage/Scrap"/>
    <n v="2360"/>
    <n v="28320"/>
    <s v="PP/HD Wastage/Scrap"/>
    <n v="34085.949999999997"/>
    <n v="9"/>
    <n v="2548.8000000000002"/>
    <n v="9"/>
    <n v="2548.8000000000002"/>
    <n v="0"/>
    <n v="0"/>
    <n v="0"/>
    <n v="5097.6000000000004"/>
    <n v="668.35"/>
    <s v="24AAACO3087C1ZT"/>
    <s v="KGS"/>
    <n v="39159029"/>
    <s v="Rs."/>
    <n v="1"/>
    <n v="2360"/>
  </r>
  <r>
    <s v="16-07-2026"/>
    <s v="Agroszemek Kft"/>
    <s v="Export Sales"/>
    <s v="HPBL4/E/67/26-27"/>
    <x v="4"/>
    <s v="HPBL4/E/67/26-27"/>
    <s v="16-07-2026"/>
    <s v="FG"/>
    <s v="FIBC Bags"/>
    <s v="FIBC Bags"/>
    <x v="0"/>
    <s v="FIBC Bags With UV With Liner"/>
    <n v="7665"/>
    <n v="1683000"/>
    <s v="PP WOVEN BIG BAGS/SACKS WITH LINERS"/>
    <n v="4133756.55"/>
    <n v="0"/>
    <n v="0"/>
    <n v="0"/>
    <n v="0"/>
    <n v="0"/>
    <n v="0"/>
    <n v="0"/>
    <n v="0"/>
    <n v="0"/>
    <s v="N.A."/>
    <s v="KGS"/>
    <n v="63053200"/>
    <s v="$"/>
    <n v="93.5"/>
    <n v="7665"/>
  </r>
  <r>
    <s v="16-07-2026"/>
    <s v="Agroszemek Kft"/>
    <s v="Export Sales"/>
    <s v="HPBL4/E/67/26-27"/>
    <x v="4"/>
    <s v="HPBL4/E/67/26-27"/>
    <s v="16-07-2026"/>
    <s v="FG"/>
    <s v="FIBC Bags"/>
    <s v="FIBC Bags"/>
    <x v="0"/>
    <s v="FIBC Bags With UV Without Liner"/>
    <n v="11283"/>
    <n v="2450756.5499999998"/>
    <s v="PP WOVEN BIG BAGS/SACKS"/>
    <n v="0"/>
    <n v="0"/>
    <n v="0"/>
    <n v="0"/>
    <n v="0"/>
    <n v="0"/>
    <n v="0"/>
    <n v="0"/>
    <n v="0"/>
    <n v="0"/>
    <s v="N.A."/>
    <s v="KGS"/>
    <n v="63053200"/>
    <s v="$"/>
    <n v="93.5"/>
    <n v="11283"/>
  </r>
  <r>
    <s v="17-07-2026"/>
    <s v="Plastene India ltd - Unit 1-Sales"/>
    <s v="Sales"/>
    <n v="167"/>
    <x v="1"/>
    <s v="HPBL4/D/167"/>
    <s v="17-07-2026"/>
    <s v="SF"/>
    <s v="PP/PE Fabric"/>
    <s v="PP UL Fabric"/>
    <x v="4"/>
    <s v="PP UL Fabric With UV"/>
    <n v="1559"/>
    <n v="243967.91"/>
    <s v="MW 90 GSM"/>
    <n v="287882.13"/>
    <n v="9"/>
    <n v="21957.11"/>
    <n v="9"/>
    <n v="21957.11"/>
    <n v="0"/>
    <n v="0"/>
    <n v="0"/>
    <n v="43914.22"/>
    <n v="0"/>
    <s v="24AAACO3087C1ZT"/>
    <s v="KGS"/>
    <n v="39269080"/>
    <s v="Rs."/>
    <n v="1"/>
    <n v="1559"/>
  </r>
  <r>
    <s v="17-07-2026"/>
    <s v="Rafia Industrial S.A."/>
    <s v="Export Sales"/>
    <s v="HPBL4/E/68/26-27"/>
    <x v="4"/>
    <s v="HPBL4/E/68/26-27"/>
    <s v="17-07-2026"/>
    <s v="FG"/>
    <s v="FIBC Bags"/>
    <s v="FIBC Bags"/>
    <x v="0"/>
    <s v="FIBC Bags With UV With Liner"/>
    <n v="18525"/>
    <n v="4118858.4"/>
    <s v="PP WOVEN BIG BAGS/SACKS WITH LINER"/>
    <n v="4567473.4000000004"/>
    <n v="0"/>
    <n v="0"/>
    <n v="0"/>
    <n v="0"/>
    <n v="0"/>
    <n v="0"/>
    <n v="0"/>
    <n v="0"/>
    <n v="0"/>
    <s v="N.A."/>
    <s v="KGS"/>
    <n v="63053200"/>
    <s v="$"/>
    <n v="95.45"/>
    <n v="18525"/>
  </r>
  <r>
    <s v="18-07-2026"/>
    <s v="Plastene India ltd - Unit 1-Sales"/>
    <s v="Sales"/>
    <n v="168"/>
    <x v="1"/>
    <s v="HPBL4/D/168"/>
    <s v="18-07-2026"/>
    <s v="Stores/Spares"/>
    <s v="MS Structure Items"/>
    <s v="Spares &amp; Stores"/>
    <x v="2"/>
    <s v="MS Pipe 4  C Class"/>
    <n v="675"/>
    <n v="32400"/>
    <s v="OLD/USED FABRIC ROLL PIPE"/>
    <n v="38199.599999999999"/>
    <n v="9"/>
    <n v="2916"/>
    <n v="9"/>
    <n v="2916"/>
    <n v="0"/>
    <n v="0"/>
    <n v="0"/>
    <n v="5832"/>
    <n v="0"/>
    <s v="24AAACO3087C1ZT"/>
    <s v="KGS"/>
    <n v="73063090"/>
    <s v="Rs."/>
    <n v="1"/>
    <n v="675"/>
  </r>
  <r>
    <s v="18-07-2026"/>
    <s v="Plastene India ltd - Unit 1-Sales"/>
    <s v="Sales"/>
    <n v="169"/>
    <x v="3"/>
    <s v="HPBL4/D/169"/>
    <s v="18-07-2026"/>
    <s v="SF"/>
    <s v="Wastage/Scrap"/>
    <s v="Wastage/Scrap"/>
    <x v="3"/>
    <s v="PP/HD Wastage/Scrap"/>
    <n v="2260"/>
    <n v="27120"/>
    <s v="PP/HD Wastage/Scrap"/>
    <n v="32641.63"/>
    <n v="9"/>
    <n v="2440.8000000000002"/>
    <n v="9"/>
    <n v="2440.8000000000002"/>
    <n v="0"/>
    <n v="0"/>
    <n v="0"/>
    <n v="4881.6000000000004"/>
    <n v="640.03"/>
    <s v="24AAACO3087C1ZT"/>
    <s v="KGS"/>
    <n v="39159029"/>
    <s v="Rs."/>
    <n v="1"/>
    <n v="2260"/>
  </r>
  <r>
    <s v="18-07-2026"/>
    <s v="Rafia Industrial S.A."/>
    <s v="Export Sales"/>
    <s v="HPBL4/E/69/26-27"/>
    <x v="4"/>
    <s v="HPBL4/E/69/26-27"/>
    <s v="18-07-2026"/>
    <s v="FG"/>
    <s v="FIBC Bags"/>
    <s v="FIBC Bags"/>
    <x v="0"/>
    <s v="FIBC Bags With UV With Liner"/>
    <n v="18648"/>
    <n v="4118858.4"/>
    <s v="PP WOVEN BIG BAGS/SACKS WITH LINER"/>
    <n v="4567473.4000000004"/>
    <n v="0"/>
    <n v="0"/>
    <n v="0"/>
    <n v="0"/>
    <n v="0"/>
    <n v="0"/>
    <n v="0"/>
    <n v="0"/>
    <n v="0"/>
    <s v="N.A."/>
    <s v="KGS"/>
    <n v="63053200"/>
    <s v="$"/>
    <n v="95.45"/>
    <n v="18648"/>
  </r>
  <r>
    <s v="19-07-2026"/>
    <s v="Plastene India ltd - Unit 1-Sales"/>
    <s v="Sales"/>
    <n v="170"/>
    <x v="1"/>
    <s v="HPBL4/D/170"/>
    <s v="19-07-2026"/>
    <s v="FG"/>
    <s v="FIBC WIP"/>
    <s v="FIBC WIP"/>
    <x v="6"/>
    <s v="PP Woven Fabric"/>
    <n v="1866"/>
    <n v="52248"/>
    <s v="DEAD STOCK FABRIC RP PURPOSE"/>
    <n v="61600.39"/>
    <n v="9"/>
    <n v="4702.32"/>
    <n v="9"/>
    <n v="4702.32"/>
    <n v="0"/>
    <n v="0"/>
    <n v="0"/>
    <n v="9404.64"/>
    <n v="0"/>
    <s v="24AAACO3087C1ZT"/>
    <s v="KGS"/>
    <n v="39269080"/>
    <s v="Rs."/>
    <n v="1"/>
    <n v="1866"/>
  </r>
  <r>
    <s v="19-07-2026"/>
    <s v="Plastene India ltd - Unit 1-Sales"/>
    <s v="Sales"/>
    <n v="171"/>
    <x v="3"/>
    <s v="HPBL4/D/171"/>
    <s v="19-07-2026"/>
    <s v="SF"/>
    <s v="Wastage/Scrap"/>
    <s v="Wastage/Scrap"/>
    <x v="3"/>
    <s v="PP/HD Wastage/Scrap"/>
    <n v="1974"/>
    <n v="23688"/>
    <s v="PP/HD Wastage/Scrap"/>
    <n v="28510.880000000001"/>
    <n v="9"/>
    <n v="2131.92"/>
    <n v="9"/>
    <n v="2131.92"/>
    <n v="0"/>
    <n v="0"/>
    <n v="0"/>
    <n v="4263.84"/>
    <n v="559.04"/>
    <s v="24AAACO3087C1ZT"/>
    <s v="KGS"/>
    <n v="39159029"/>
    <s v="Rs."/>
    <n v="1"/>
    <n v="1974"/>
  </r>
  <r>
    <s v="20-07-2026"/>
    <s v="Plastene India ltd - Unit 1-Sales"/>
    <s v="Sales"/>
    <n v="172"/>
    <x v="1"/>
    <s v="HPBL4/D/172"/>
    <s v="20-07-2026"/>
    <s v="Stores/Spares"/>
    <s v="MS Structure Items"/>
    <s v="Spares &amp; Stores"/>
    <x v="2"/>
    <s v="MS Pipe 4  C Class"/>
    <n v="731"/>
    <n v="35088"/>
    <s v="OLD/USED FABRIC ROLL PIPE"/>
    <n v="41368.75"/>
    <n v="9"/>
    <n v="3157.92"/>
    <n v="9"/>
    <n v="3157.92"/>
    <n v="0"/>
    <n v="0"/>
    <n v="0"/>
    <n v="6315.84"/>
    <n v="0"/>
    <s v="24AAACO3087C1ZT"/>
    <s v="KGS"/>
    <n v="73063090"/>
    <s v="Rs."/>
    <n v="1"/>
    <n v="731"/>
  </r>
  <r>
    <s v="20-07-2026"/>
    <s v="Plastene Polyfilms Ltd-Sales"/>
    <s v="Sales"/>
    <n v="173"/>
    <x v="1"/>
    <s v="HPBL4/D/173"/>
    <s v="20-07-2026"/>
    <s v="RM Consumables"/>
    <s v="Ink"/>
    <s v="Thinner"/>
    <x v="7"/>
    <s v="Thinner Vyankatesh Thinner"/>
    <n v="170"/>
    <n v="47940"/>
    <s v="Thinner Vyankatesh Thinner"/>
    <n v="56521.26"/>
    <n v="9"/>
    <n v="4314.6000000000004"/>
    <n v="9"/>
    <n v="4314.6000000000004"/>
    <n v="0"/>
    <n v="0"/>
    <n v="0"/>
    <n v="8629.2000000000007"/>
    <n v="0"/>
    <s v="24AAFCP2956A1ZR"/>
    <s v="KGS"/>
    <n v="38140011"/>
    <s v="Rs."/>
    <n v="1"/>
    <n v="170"/>
  </r>
  <r>
    <s v="20-07-2026"/>
    <s v="Rafia Industrial S.A."/>
    <s v="Export Sales"/>
    <s v="HPBL4/E/70/26-27"/>
    <x v="2"/>
    <s v="HPBL4/E/70/26-27"/>
    <s v="20-07-2026"/>
    <s v="FG"/>
    <s v="FIBC Bags"/>
    <s v="FIBC Bags"/>
    <x v="0"/>
    <s v="FIBC Bags With UV Without Liner"/>
    <n v="18455"/>
    <n v="4727638.5"/>
    <s v="PP WOVEN BIG BAGS/SACKS"/>
    <n v="5176253.5"/>
    <n v="0"/>
    <n v="0"/>
    <n v="0"/>
    <n v="0"/>
    <n v="18"/>
    <n v="850974.93"/>
    <n v="0"/>
    <n v="850974.93"/>
    <n v="0"/>
    <s v="N.A."/>
    <s v="KGS"/>
    <n v="63053200"/>
    <s v="$"/>
    <n v="95.45"/>
    <n v="18455"/>
  </r>
  <r>
    <s v="21-07-2026"/>
    <s v="Plastene India ltd - Unit 1-Sales"/>
    <s v="Sales"/>
    <n v="174"/>
    <x v="1"/>
    <s v="HPBL4/D/174"/>
    <s v="21-07-2026"/>
    <s v="Stores/Spares"/>
    <s v="MS Structure Items"/>
    <s v="Spares &amp; Stores"/>
    <x v="2"/>
    <s v="MS Pipe 4  C Class"/>
    <n v="704"/>
    <n v="33792"/>
    <s v="OLD/USED FABRIC ROLL PIPE"/>
    <n v="39840.769999999997"/>
    <n v="9"/>
    <n v="3041.28"/>
    <n v="9"/>
    <n v="3041.28"/>
    <n v="0"/>
    <n v="0"/>
    <n v="0"/>
    <n v="6082.56"/>
    <n v="0"/>
    <s v="24AAACO3087C1ZT"/>
    <s v="KGS"/>
    <n v="73063090"/>
    <s v="Rs."/>
    <n v="1"/>
    <n v="704"/>
  </r>
  <r>
    <s v="21-07-2026"/>
    <s v="Plastene India ltd - Unit 1-Sales"/>
    <s v="Sales"/>
    <n v="175"/>
    <x v="3"/>
    <s v="HPBL4/D/175"/>
    <s v="21-07-2026"/>
    <s v="SF"/>
    <s v="Wastage/Scrap"/>
    <s v="Wastage/Scrap"/>
    <x v="3"/>
    <s v="PP/HD Wastage/Scrap"/>
    <n v="2426"/>
    <n v="29112"/>
    <s v="PP/HD Wastage/Scrap"/>
    <n v="35039.199999999997"/>
    <n v="9"/>
    <n v="2620.08"/>
    <n v="9"/>
    <n v="2620.08"/>
    <n v="0"/>
    <n v="0"/>
    <n v="0"/>
    <n v="5240.16"/>
    <n v="687.04"/>
    <s v="24AAACO3087C1ZT"/>
    <s v="KGS"/>
    <n v="39159029"/>
    <s v="Rs."/>
    <n v="1"/>
    <n v="2426"/>
  </r>
  <r>
    <s v="21-07-2026"/>
    <s v="Plastene India ltd - Unit 1-Sales"/>
    <s v="Sales"/>
    <n v="176"/>
    <x v="1"/>
    <s v="HPBL4/D/176"/>
    <s v="21-07-2026"/>
    <s v="FG"/>
    <s v="FIBC WIP"/>
    <s v="FIBC WIP"/>
    <x v="6"/>
    <s v="PP Woven Fabric"/>
    <n v="1534"/>
    <n v="42952"/>
    <s v="DEAD STOCK FABRIC RP PURPOSE"/>
    <n v="50640.41"/>
    <n v="9"/>
    <n v="3865.68"/>
    <n v="9"/>
    <n v="3865.68"/>
    <n v="0"/>
    <n v="0"/>
    <n v="0"/>
    <n v="7731.36"/>
    <n v="0"/>
    <s v="24AAACO3087C1ZT"/>
    <s v="KGS"/>
    <n v="39269080"/>
    <s v="Rs."/>
    <n v="1"/>
    <n v="1534"/>
  </r>
  <r>
    <s v="21-07-2026"/>
    <s v="Plastene India ltd - Unit 1-Sales"/>
    <s v="Sales"/>
    <n v="177"/>
    <x v="0"/>
    <s v="HPBL4/D/177"/>
    <s v="21-07-2026"/>
    <s v="FG"/>
    <s v="FIBC Bags"/>
    <s v="FIBC Bags"/>
    <x v="0"/>
    <s v="FIBC Bags With UV Without Liner"/>
    <n v="1031"/>
    <n v="199333.54"/>
    <s v="91X91X180"/>
    <n v="833629.68"/>
    <n v="9"/>
    <n v="17940.02"/>
    <n v="9"/>
    <n v="17940.02"/>
    <n v="0"/>
    <n v="0"/>
    <n v="0"/>
    <n v="35880.04"/>
    <n v="0"/>
    <s v="24AAACO3087C1ZT"/>
    <s v="KGS"/>
    <n v="63053200"/>
    <s v="Rs."/>
    <n v="1"/>
    <n v="1031"/>
  </r>
  <r>
    <s v="21-07-2026"/>
    <s v="Plastene India ltd - Unit 1-Sales"/>
    <s v="Sales"/>
    <n v="177"/>
    <x v="0"/>
    <s v="HPBL4/D/177"/>
    <s v="21-07-2026"/>
    <s v="FG"/>
    <s v="FIBC Bags"/>
    <s v="FIBC Bags"/>
    <x v="0"/>
    <s v="FIBC Bags With UV Without Liner"/>
    <n v="837"/>
    <n v="175945.77"/>
    <s v="86X86X108"/>
    <n v="0"/>
    <n v="9"/>
    <n v="15835.12"/>
    <n v="9"/>
    <n v="15835.12"/>
    <n v="0"/>
    <n v="0"/>
    <n v="0"/>
    <n v="31670.240000000002"/>
    <n v="0"/>
    <s v="24AAACO3087C1ZT"/>
    <s v="KGS"/>
    <n v="63053200"/>
    <s v="Rs."/>
    <n v="1"/>
    <n v="837"/>
  </r>
  <r>
    <s v="21-07-2026"/>
    <s v="Plastene India ltd - Unit 1-Sales"/>
    <s v="Sales"/>
    <n v="177"/>
    <x v="0"/>
    <s v="HPBL4/D/177"/>
    <s v="21-07-2026"/>
    <s v="FG"/>
    <s v="FIBC Bags"/>
    <s v="FIBC Bags"/>
    <x v="0"/>
    <s v="FIBC Bags With UV Without Liner"/>
    <n v="788"/>
    <n v="175936.76"/>
    <s v="95X95X110"/>
    <n v="0"/>
    <n v="9"/>
    <n v="15834.31"/>
    <n v="9"/>
    <n v="15834.31"/>
    <n v="0"/>
    <n v="0"/>
    <n v="0"/>
    <n v="31668.62"/>
    <n v="0"/>
    <s v="24AAACO3087C1ZT"/>
    <s v="KGS"/>
    <n v="63053200"/>
    <s v="Rs."/>
    <n v="1"/>
    <n v="788"/>
  </r>
  <r>
    <s v="21-07-2026"/>
    <s v="Plastene India ltd - Unit 1-Sales"/>
    <s v="Sales"/>
    <n v="177"/>
    <x v="0"/>
    <s v="HPBL4/D/177"/>
    <s v="21-07-2026"/>
    <s v="FG"/>
    <s v="FIBC Bags"/>
    <s v="FIBC Bags"/>
    <x v="0"/>
    <s v="FIBC Bags With UV Without Liner"/>
    <n v="778"/>
    <n v="155848.95999999999"/>
    <s v="95X95X110"/>
    <n v="0"/>
    <n v="9"/>
    <n v="14026.41"/>
    <n v="9"/>
    <n v="14026.41"/>
    <n v="0"/>
    <n v="0"/>
    <n v="0"/>
    <n v="28052.82"/>
    <n v="0"/>
    <s v="24AAACO3087C1ZT"/>
    <s v="KGS"/>
    <n v="63053200"/>
    <s v="Rs."/>
    <n v="1"/>
    <n v="778"/>
  </r>
  <r>
    <s v="21-07-2026"/>
    <s v="Rafia Industrial S.A."/>
    <s v="Export Sales"/>
    <s v="HPBL4/E/71/26-27"/>
    <x v="2"/>
    <s v="HPBL4/E/71/26-27"/>
    <s v="21-07-2026"/>
    <s v="FG"/>
    <s v="FIBC Bags"/>
    <s v="FIBC Bags"/>
    <x v="0"/>
    <s v="FIBC Bags With UV With Liner"/>
    <n v="18167"/>
    <n v="4829922.72"/>
    <s v="PP WOVEN BIG BAGS/SACKS WITH LINER"/>
    <n v="5278537.72"/>
    <n v="0"/>
    <n v="0"/>
    <n v="0"/>
    <n v="0"/>
    <n v="18"/>
    <n v="869386.08959999995"/>
    <n v="0"/>
    <n v="869386.08959999995"/>
    <n v="0"/>
    <s v="N.A."/>
    <s v="KGS"/>
    <n v="63053200"/>
    <s v="$"/>
    <n v="95.45"/>
    <n v="18167"/>
  </r>
  <r>
    <s v="22-07-2026"/>
    <s v="Plastene India ltd - Unit 1-Sales"/>
    <s v="Sales"/>
    <n v="178"/>
    <x v="1"/>
    <s v="HPBL4/D/178"/>
    <s v="22-07-2026"/>
    <s v="Stores/Spares"/>
    <s v="MS Structure Items"/>
    <s v="Spares &amp; Stores"/>
    <x v="2"/>
    <s v="MS Pipe 4  C Class"/>
    <n v="185"/>
    <n v="8880"/>
    <s v="OLD/USED FABRIC ROLL PIPE"/>
    <n v="10469.52"/>
    <n v="9"/>
    <n v="799.2"/>
    <n v="9"/>
    <n v="799.2"/>
    <n v="0"/>
    <n v="0"/>
    <n v="0"/>
    <n v="1598.4"/>
    <n v="0"/>
    <s v="24AAACO3087C1ZT"/>
    <s v="KGS"/>
    <n v="73063090"/>
    <s v="Rs."/>
    <n v="1"/>
    <n v="185"/>
  </r>
  <r>
    <s v="22-07-2026"/>
    <s v="Plastene India ltd - Unit 1-Sales"/>
    <s v="Sales"/>
    <n v="179"/>
    <x v="1"/>
    <s v="HPBL4/D/179"/>
    <s v="22-07-2026"/>
    <s v="RM Consumables"/>
    <s v="Ink"/>
    <s v="Thinner"/>
    <x v="7"/>
    <s v="Thinner Vyankatesh Thinner"/>
    <n v="170"/>
    <n v="18360"/>
    <s v="Thinner Vyankatesh Thinner"/>
    <n v="21646.44"/>
    <n v="9"/>
    <n v="1652.4"/>
    <n v="9"/>
    <n v="1652.4"/>
    <n v="0"/>
    <n v="0"/>
    <n v="0"/>
    <n v="3304.8"/>
    <n v="0"/>
    <s v="24AAACO3087C1ZT"/>
    <s v="KGS"/>
    <n v="38140011"/>
    <s v="Rs."/>
    <n v="1"/>
    <n v="170"/>
  </r>
  <r>
    <s v="23-07-2026"/>
    <s v="Plastene India ltd - Unit 1-Sales"/>
    <s v="Sales"/>
    <n v="180"/>
    <x v="1"/>
    <s v="HPBL4/D/180"/>
    <s v="23-07-2026"/>
    <s v="Stores/Spares"/>
    <s v="MS Structure Items"/>
    <s v="Spares &amp; Stores"/>
    <x v="2"/>
    <s v="MS Pipe 4  C Class"/>
    <n v="474"/>
    <n v="22752"/>
    <s v="OLD/USED FABRIC ROLL PIPE"/>
    <n v="26824.61"/>
    <n v="9"/>
    <n v="2047.68"/>
    <n v="9"/>
    <n v="2047.68"/>
    <n v="0"/>
    <n v="0"/>
    <n v="0"/>
    <n v="4095.36"/>
    <n v="0"/>
    <s v="24AAACO3087C1ZT"/>
    <s v="KGS"/>
    <n v="73063090"/>
    <s v="Rs."/>
    <n v="1"/>
    <n v="474"/>
  </r>
  <r>
    <s v="24-07-2026"/>
    <s v="Plastene India ltd - Unit 1-Sales"/>
    <s v="Sales"/>
    <n v="181"/>
    <x v="1"/>
    <s v="HPBL4/D/181"/>
    <s v="24-07-2026"/>
    <s v="Stores/Spares"/>
    <s v="MS Structure Items"/>
    <s v="Spares &amp; Stores"/>
    <x v="2"/>
    <s v="MS Pipe 4  C Class"/>
    <n v="456"/>
    <n v="21888"/>
    <s v="OLD/USED FABRIC ROLL PIPE"/>
    <n v="25805.95"/>
    <n v="9"/>
    <n v="1969.92"/>
    <n v="9"/>
    <n v="1969.92"/>
    <n v="0"/>
    <n v="0"/>
    <n v="0"/>
    <n v="3939.84"/>
    <n v="0"/>
    <s v="24AAACO3087C1ZT"/>
    <s v="KGS"/>
    <n v="73063090"/>
    <s v="Rs."/>
    <n v="1"/>
    <n v="456"/>
  </r>
  <r>
    <s v="24-07-2026"/>
    <s v="Plastene India ltd - Unit 1-Sales"/>
    <s v="Sales"/>
    <n v="182"/>
    <x v="1"/>
    <s v="HPBL4/D/182"/>
    <s v="24-07-2026"/>
    <s v="FG"/>
    <s v="FIBC Bags"/>
    <s v="FIBC Bags"/>
    <x v="0"/>
    <s v="FIBC Bags With UV Without Liner"/>
    <n v="426"/>
    <n v="91338.66"/>
    <s v="95X95X185"/>
    <n v="2352542.92"/>
    <n v="9"/>
    <n v="8220.48"/>
    <n v="9"/>
    <n v="8220.48"/>
    <n v="0"/>
    <n v="0"/>
    <n v="0"/>
    <n v="16440.96"/>
    <n v="0"/>
    <s v="24AAACO3087C1ZT"/>
    <s v="KGS"/>
    <n v="63053200"/>
    <s v="Rs."/>
    <n v="1"/>
    <n v="426"/>
  </r>
  <r>
    <s v="24-07-2026"/>
    <s v="Plastene India ltd - Unit 1-Sales"/>
    <s v="Sales"/>
    <n v="182"/>
    <x v="1"/>
    <s v="HPBL4/D/182"/>
    <s v="24-07-2026"/>
    <s v="FG"/>
    <s v="FIBC Bags"/>
    <s v="FIBC Bags"/>
    <x v="0"/>
    <s v="FIBC Bags With UV Without Liner"/>
    <n v="8940.7999999999993"/>
    <n v="1904032.77"/>
    <s v="95X95X185"/>
    <n v="0"/>
    <n v="9"/>
    <n v="171362.95"/>
    <n v="9"/>
    <n v="171362.95"/>
    <n v="0"/>
    <n v="0"/>
    <n v="0"/>
    <n v="342725.9"/>
    <n v="0"/>
    <s v="24AAACO3087C1ZT"/>
    <s v="KGS"/>
    <n v="63053200"/>
    <s v="Rs."/>
    <n v="1"/>
    <n v="8940.7999999999993"/>
  </r>
  <r>
    <s v="24-07-2026"/>
    <s v="Qpac Ltd"/>
    <s v="Export Sales"/>
    <s v="HPBL4/E/72/26-27"/>
    <x v="2"/>
    <s v="HPBL4/E/72/26-27"/>
    <s v="24-07-2026"/>
    <s v="FG"/>
    <s v="FIBC Bags"/>
    <s v="FIBC Bags"/>
    <x v="0"/>
    <s v="FIBC Bags With UV Without Liner"/>
    <n v="18977.900000000001"/>
    <n v="4025862.83"/>
    <s v="PP WOVEN BIG BAGS/SACKS"/>
    <n v="4443292.01"/>
    <n v="0"/>
    <n v="0"/>
    <n v="0"/>
    <n v="0"/>
    <n v="18"/>
    <n v="724655.33559999999"/>
    <n v="0"/>
    <n v="724655.33559999999"/>
    <n v="0"/>
    <s v="N.A."/>
    <s v="KGS"/>
    <n v="63053200"/>
    <s v="GBP"/>
    <n v="128.30000000000001"/>
    <n v="18977.900000000001"/>
  </r>
  <r>
    <s v="26-07-2026"/>
    <s v="Plastene India ltd - Unit 1-Sales"/>
    <s v="Sales"/>
    <n v="183"/>
    <x v="3"/>
    <s v="HPBL4/D/183"/>
    <s v="26-07-2026"/>
    <s v="SF"/>
    <s v="Wastage/Scrap"/>
    <s v="Wastage/Scrap"/>
    <x v="3"/>
    <s v="PP/HD Wastage/Scrap"/>
    <n v="5251"/>
    <n v="63012"/>
    <s v="PP/HD Wastage/Scrap"/>
    <n v="75841.240000000005"/>
    <n v="9"/>
    <n v="5671.08"/>
    <n v="9"/>
    <n v="5671.08"/>
    <n v="0"/>
    <n v="0"/>
    <n v="0"/>
    <n v="11342.16"/>
    <n v="1487.08"/>
    <s v="24AAACO3087C1ZT"/>
    <s v="KGS"/>
    <n v="39159029"/>
    <s v="Rs."/>
    <n v="1"/>
    <n v="5251"/>
  </r>
  <r>
    <s v="26-07-2026"/>
    <s v="Plastene India ltd - Unit 1-Sales"/>
    <s v="Sales"/>
    <n v="185"/>
    <x v="1"/>
    <s v="HPBL4/D/185"/>
    <s v="26-07-2026"/>
    <s v="Stores/Spares"/>
    <s v="MS Structure Items"/>
    <s v="Spares &amp; Stores"/>
    <x v="2"/>
    <s v="MS Pipe 4  C Class"/>
    <n v="640"/>
    <n v="30720"/>
    <s v="OLD/USED FABRIC ROLL PIPE"/>
    <n v="36218.879999999997"/>
    <n v="9"/>
    <n v="2764.8"/>
    <n v="9"/>
    <n v="2764.8"/>
    <n v="0"/>
    <n v="0"/>
    <n v="0"/>
    <n v="5529.6"/>
    <n v="0"/>
    <s v="24AAACO3087C1ZT"/>
    <s v="KGS"/>
    <n v="73063090"/>
    <s v="Rs."/>
    <n v="1"/>
    <n v="640"/>
  </r>
  <r>
    <s v="26-07-2026"/>
    <s v="Plastene India ltd - Unit 1-Sales"/>
    <s v="Sales"/>
    <n v="186"/>
    <x v="3"/>
    <s v="HPBL4/D/186"/>
    <s v="26-07-2026"/>
    <s v="FG"/>
    <s v="FIBC WIP"/>
    <s v="FIBC WIP"/>
    <x v="6"/>
    <s v="HDPE/PP Plastik Waste"/>
    <n v="1809"/>
    <n v="50652"/>
    <s v="DEAD STOCK FABRIC RP PURPOSE"/>
    <n v="60964.75"/>
    <n v="9"/>
    <n v="4558.68"/>
    <n v="9"/>
    <n v="4558.68"/>
    <n v="0"/>
    <n v="0"/>
    <n v="0"/>
    <n v="9117.36"/>
    <n v="1195.3900000000001"/>
    <s v="24AAACO3087C1ZT"/>
    <s v="KGS"/>
    <n v="39159029"/>
    <s v="Rs."/>
    <n v="1"/>
    <n v="1809"/>
  </r>
  <r>
    <s v="27-07-2026"/>
    <s v="Plastene India ltd - Unit 1-Sales"/>
    <s v="Sales"/>
    <n v="187"/>
    <x v="1"/>
    <s v="HPBL4/D/187"/>
    <s v="27-07-2026"/>
    <s v="Stores/Spares"/>
    <s v="MS Structure Items"/>
    <s v="Spares &amp; Stores"/>
    <x v="2"/>
    <s v="MS Pipe 4  C Class"/>
    <n v="246"/>
    <n v="11808"/>
    <s v="OLD/USED FABRIC ROLL PIPE"/>
    <n v="13921.63"/>
    <n v="9"/>
    <n v="1062.72"/>
    <n v="9"/>
    <n v="1062.72"/>
    <n v="0"/>
    <n v="0"/>
    <n v="0"/>
    <n v="2125.44"/>
    <n v="0"/>
    <s v="24AAACO3087C1ZT"/>
    <s v="KGS"/>
    <n v="73063090"/>
    <s v="Rs."/>
    <n v="1"/>
    <n v="246"/>
  </r>
  <r>
    <s v="28-07-2026"/>
    <s v="K.P. Woven Pvt Ltd-Sales"/>
    <s v="Sales"/>
    <s v="HPBL4/ME/10"/>
    <x v="7"/>
    <s v="HPBL4/ME/10"/>
    <s v="28-07-2026"/>
    <s v="FG"/>
    <s v="FIBC Bags"/>
    <s v="FIBC Bags"/>
    <x v="0"/>
    <s v="FIBC Bags With UV Without Liner"/>
    <n v="3280"/>
    <n v="811668.8"/>
    <s v="95X95X195"/>
    <n v="4138427.3"/>
    <n v="0.05"/>
    <n v="405.83"/>
    <n v="0.05"/>
    <n v="405.83"/>
    <n v="0"/>
    <n v="0"/>
    <n v="0"/>
    <n v="811.66"/>
    <n v="-4138.3999999999996"/>
    <s v="24AAECK6307M1ZF"/>
    <s v="KGS"/>
    <n v="63053200"/>
    <s v="Rs."/>
    <n v="1"/>
    <n v="3280"/>
  </r>
  <r>
    <s v="28-07-2026"/>
    <s v="K.P. Woven Pvt Ltd-Sales"/>
    <s v="Sales"/>
    <s v="HPBL4/ME/10"/>
    <x v="7"/>
    <s v="HPBL4/ME/10"/>
    <s v="28-07-2026"/>
    <s v="FG"/>
    <s v="FIBC Bags"/>
    <s v="FIBC Bags"/>
    <x v="0"/>
    <s v="FIBC Bags With UV Without Liner"/>
    <n v="1752"/>
    <n v="409144.56"/>
    <s v="79X79X91"/>
    <n v="0"/>
    <n v="0.05"/>
    <n v="204.57"/>
    <n v="0.05"/>
    <n v="204.57"/>
    <n v="0"/>
    <n v="0"/>
    <n v="0"/>
    <n v="409.14"/>
    <n v="-4138.3999999999996"/>
    <s v="24AAECK6307M1ZF"/>
    <s v="KGS"/>
    <n v="63053200"/>
    <s v="Rs."/>
    <n v="1"/>
    <n v="1752"/>
  </r>
  <r>
    <s v="28-07-2026"/>
    <s v="K.P. Woven Pvt Ltd-Sales"/>
    <s v="Sales"/>
    <s v="HPBL4/ME/10"/>
    <x v="7"/>
    <s v="HPBL4/ME/10"/>
    <s v="28-07-2026"/>
    <s v="FG"/>
    <s v="FIBC Bags"/>
    <s v="FIBC Bags"/>
    <x v="0"/>
    <s v="FIBC Bags With UV Without Liner"/>
    <n v="3909"/>
    <n v="787507.14"/>
    <s v="95X95X110"/>
    <n v="0"/>
    <n v="0.05"/>
    <n v="393.75"/>
    <n v="0.05"/>
    <n v="393.75"/>
    <n v="0"/>
    <n v="0"/>
    <n v="0"/>
    <n v="787.5"/>
    <n v="-4138.3999999999996"/>
    <s v="24AAECK6307M1ZF"/>
    <s v="KGS"/>
    <n v="63053200"/>
    <s v="Rs."/>
    <n v="1"/>
    <n v="3909"/>
  </r>
  <r>
    <s v="28-07-2026"/>
    <s v="K.P. Woven Pvt Ltd-Sales"/>
    <s v="Sales"/>
    <s v="HPBL4/ME/10"/>
    <x v="7"/>
    <s v="HPBL4/ME/10"/>
    <s v="28-07-2026"/>
    <s v="FG"/>
    <s v="FIBC Bags"/>
    <s v="FIBC Bags"/>
    <x v="0"/>
    <s v="FIBC Bags With UV Without Liner"/>
    <n v="1774"/>
    <n v="334647.36"/>
    <s v="95X95X110"/>
    <n v="0"/>
    <n v="0.05"/>
    <n v="167.32"/>
    <n v="0.05"/>
    <n v="167.32"/>
    <n v="0"/>
    <n v="0"/>
    <n v="0"/>
    <n v="334.64"/>
    <n v="-4138.3999999999996"/>
    <s v="24AAECK6307M1ZF"/>
    <s v="KGS"/>
    <n v="63053200"/>
    <s v="Rs."/>
    <n v="1"/>
    <n v="1774"/>
  </r>
  <r>
    <s v="28-07-2026"/>
    <s v="K.P. Woven Pvt Ltd-Sales"/>
    <s v="Sales"/>
    <s v="HPBL4/ME/10"/>
    <x v="7"/>
    <s v="HPBL4/ME/10"/>
    <s v="28-07-2026"/>
    <s v="FG"/>
    <s v="FIBC Bags"/>
    <s v="FIBC Bags"/>
    <x v="0"/>
    <s v="FIBC Bags With UV Without Liner"/>
    <n v="2940"/>
    <n v="581884.80000000005"/>
    <s v="88X88X104"/>
    <n v="0"/>
    <n v="0.05"/>
    <n v="290.94"/>
    <n v="0.05"/>
    <n v="290.94"/>
    <n v="0"/>
    <n v="0"/>
    <n v="0"/>
    <n v="581.88"/>
    <n v="-4138.3999999999996"/>
    <s v="24AAECK6307M1ZF"/>
    <s v="KGS"/>
    <n v="63053200"/>
    <s v="Rs."/>
    <n v="1"/>
    <n v="2940"/>
  </r>
  <r>
    <s v="28-07-2026"/>
    <s v="K.P. Woven Pvt Ltd-Sales"/>
    <s v="Sales"/>
    <s v="HPBL4/ME/10"/>
    <x v="7"/>
    <s v="HPBL4/ME/10"/>
    <s v="28-07-2026"/>
    <s v="FG"/>
    <s v="FIBC Bags"/>
    <s v="FIBC Bags"/>
    <x v="0"/>
    <s v="FIBC Bags With UV Without Liner"/>
    <n v="399"/>
    <n v="76939.17"/>
    <s v="95X95X110"/>
    <n v="0"/>
    <n v="0.05"/>
    <n v="38.47"/>
    <n v="0.05"/>
    <n v="38.47"/>
    <n v="0"/>
    <n v="0"/>
    <n v="0"/>
    <n v="76.94"/>
    <n v="-4138.3999999999996"/>
    <s v="24AAECK6307M1ZF"/>
    <s v="KGS"/>
    <n v="63053200"/>
    <s v="Rs."/>
    <n v="1"/>
    <n v="399"/>
  </r>
  <r>
    <s v="28-07-2026"/>
    <s v="K.P. Woven Pvt Ltd-Sales"/>
    <s v="Sales"/>
    <s v="HPBL4/ME/10"/>
    <x v="7"/>
    <s v="HPBL4/ME/10"/>
    <s v="28-07-2026"/>
    <s v="FG"/>
    <s v="FIBC Bags"/>
    <s v="FIBC Bags"/>
    <x v="0"/>
    <s v="FIBC Bags With UV Without Liner"/>
    <n v="396"/>
    <n v="86941.8"/>
    <s v="80X80X90"/>
    <n v="0"/>
    <n v="0.05"/>
    <n v="43.47"/>
    <n v="0.05"/>
    <n v="43.47"/>
    <n v="0"/>
    <n v="0"/>
    <n v="0"/>
    <n v="86.94"/>
    <n v="-4138.3999999999996"/>
    <s v="24AAECK6307M1ZF"/>
    <s v="KGS"/>
    <n v="63053200"/>
    <s v="Rs."/>
    <n v="1"/>
    <n v="396"/>
  </r>
  <r>
    <s v="28-07-2026"/>
    <s v="K.P. Woven Pvt Ltd-Sales"/>
    <s v="Sales"/>
    <s v="HPBL4/ME/10"/>
    <x v="7"/>
    <s v="HPBL4/ME/10"/>
    <s v="28-07-2026"/>
    <s v="FG"/>
    <s v="FIBC Bags"/>
    <s v="FIBC Bags"/>
    <x v="0"/>
    <s v="FIBC Bags With UV Without Liner"/>
    <n v="3407"/>
    <n v="673938.67"/>
    <s v="95X95X110"/>
    <n v="0"/>
    <n v="0.05"/>
    <n v="336.97"/>
    <n v="0.05"/>
    <n v="336.97"/>
    <n v="0"/>
    <n v="0"/>
    <n v="0"/>
    <n v="673.94"/>
    <n v="-4138.3999999999996"/>
    <s v="24AAECK6307M1ZF"/>
    <s v="KGS"/>
    <n v="63053200"/>
    <s v="Rs."/>
    <n v="1"/>
    <n v="3407"/>
  </r>
  <r>
    <s v="28-07-2026"/>
    <s v="K.P. Woven Pvt Ltd-Sales"/>
    <s v="Sales"/>
    <s v="HPBL4/ME/10"/>
    <x v="7"/>
    <s v="HPBL4/ME/10"/>
    <s v="28-07-2026"/>
    <s v="FG"/>
    <s v="FIBC Bags"/>
    <s v="FIBC Bags"/>
    <x v="0"/>
    <s v="FIBC Bags With UV Without Liner"/>
    <n v="1685"/>
    <n v="375755"/>
    <s v="95X95X110"/>
    <n v="0"/>
    <n v="0.05"/>
    <n v="187.88"/>
    <n v="0.05"/>
    <n v="187.88"/>
    <n v="0"/>
    <n v="0"/>
    <n v="0"/>
    <n v="375.76"/>
    <n v="-4138.3999999999996"/>
    <s v="24AAECK6307M1ZF"/>
    <s v="KGS"/>
    <n v="63053200"/>
    <s v="Rs."/>
    <n v="1"/>
    <n v="1685"/>
  </r>
  <r>
    <s v="28-07-2026"/>
    <s v="K.P. Woven Pvt Ltd-Sales"/>
    <s v="Sales"/>
    <s v="HPBL4/ME/9"/>
    <x v="7"/>
    <s v="HPBL4/ME/9"/>
    <s v="28-07-2026"/>
    <s v="FG"/>
    <s v="FIBC Bags"/>
    <s v="FIBC Bags"/>
    <x v="0"/>
    <s v="FIBC Bags With UV Without Liner"/>
    <n v="4226"/>
    <n v="1003886.3"/>
    <s v="75X75X125"/>
    <n v="3818755.68"/>
    <n v="0.05"/>
    <n v="501.94"/>
    <n v="0.05"/>
    <n v="501.94"/>
    <n v="0"/>
    <n v="0"/>
    <n v="0"/>
    <n v="1003.88"/>
    <n v="0"/>
    <s v="24AAECK6307M1ZF"/>
    <s v="KGS"/>
    <n v="63053200"/>
    <s v="Rs."/>
    <n v="1"/>
    <n v="4226"/>
  </r>
  <r>
    <s v="28-07-2026"/>
    <s v="K.P. Woven Pvt Ltd-Sales"/>
    <s v="Sales"/>
    <s v="HPBL4/ME/9"/>
    <x v="7"/>
    <s v="HPBL4/ME/9"/>
    <s v="28-07-2026"/>
    <s v="FG"/>
    <s v="FIBC Bags"/>
    <s v="FIBC Bags"/>
    <x v="0"/>
    <s v="FIBC Bags With UV Without Liner"/>
    <n v="4720"/>
    <n v="956366.4"/>
    <s v="95X95X110"/>
    <n v="0"/>
    <n v="0.05"/>
    <n v="478.18"/>
    <n v="0.05"/>
    <n v="478.18"/>
    <n v="0"/>
    <n v="0"/>
    <n v="0"/>
    <n v="956.36"/>
    <n v="0"/>
    <s v="24AAECK6307M1ZF"/>
    <s v="KGS"/>
    <n v="63053200"/>
    <s v="Rs."/>
    <n v="1"/>
    <n v="4720"/>
  </r>
  <r>
    <s v="28-07-2026"/>
    <s v="K.P. Woven Pvt Ltd-Sales"/>
    <s v="Sales"/>
    <s v="HPBL4/ME/9"/>
    <x v="7"/>
    <s v="HPBL4/ME/9"/>
    <s v="28-07-2026"/>
    <s v="FG"/>
    <s v="FIBC Bags"/>
    <s v="FIBC Bags"/>
    <x v="0"/>
    <s v="FIBC Bags With UV Without Liner"/>
    <n v="4420"/>
    <n v="890055.4"/>
    <s v="95X95X110"/>
    <n v="0"/>
    <n v="0.05"/>
    <n v="445.03"/>
    <n v="0.05"/>
    <n v="445.03"/>
    <n v="0"/>
    <n v="0"/>
    <n v="0"/>
    <n v="890.06"/>
    <n v="0"/>
    <s v="24AAECK6307M1ZF"/>
    <s v="KGS"/>
    <n v="63053200"/>
    <s v="Rs."/>
    <n v="1"/>
    <n v="4420"/>
  </r>
  <r>
    <s v="28-07-2026"/>
    <s v="K.P. Woven Pvt Ltd-Sales"/>
    <s v="Sales"/>
    <s v="HPBL4/ME/9"/>
    <x v="7"/>
    <s v="HPBL4/ME/9"/>
    <s v="28-07-2026"/>
    <s v="FG"/>
    <s v="FIBC Bags"/>
    <s v="FIBC Bags"/>
    <x v="0"/>
    <s v="FIBC Bags With UV Without Liner"/>
    <n v="1169"/>
    <n v="244963.95"/>
    <s v="80X80X90"/>
    <n v="0"/>
    <n v="0.05"/>
    <n v="122.48"/>
    <n v="0.05"/>
    <n v="122.48"/>
    <n v="0"/>
    <n v="0"/>
    <n v="0"/>
    <n v="244.96"/>
    <n v="0"/>
    <s v="24AAECK6307M1ZF"/>
    <s v="KGS"/>
    <n v="63053200"/>
    <s v="Rs."/>
    <n v="1"/>
    <n v="1169"/>
  </r>
  <r>
    <s v="28-07-2026"/>
    <s v="K.P. Woven Pvt Ltd-Sales"/>
    <s v="Sales"/>
    <s v="HPBL4/ME/9"/>
    <x v="7"/>
    <s v="HPBL4/ME/9"/>
    <s v="28-07-2026"/>
    <s v="FG"/>
    <s v="FIBC Bags"/>
    <s v="FIBC Bags"/>
    <x v="0"/>
    <s v="FIBC Bags With UV Without Liner"/>
    <n v="1168"/>
    <n v="297454.56"/>
    <s v="60X60X70"/>
    <n v="0"/>
    <n v="0.05"/>
    <n v="148.72999999999999"/>
    <n v="0.05"/>
    <n v="148.72999999999999"/>
    <n v="0"/>
    <n v="0"/>
    <n v="0"/>
    <n v="297.45999999999998"/>
    <n v="0"/>
    <s v="24AAECK6307M1ZF"/>
    <s v="KGS"/>
    <n v="63053200"/>
    <s v="Rs."/>
    <n v="1"/>
    <n v="1168"/>
  </r>
  <r>
    <s v="28-07-2026"/>
    <s v="K.P. Woven Pvt Ltd-Sales"/>
    <s v="Sales"/>
    <s v="HPBL4/ME/9"/>
    <x v="7"/>
    <s v="HPBL4/ME/9"/>
    <s v="28-07-2026"/>
    <s v="FG"/>
    <s v="FIBC Bags"/>
    <s v="FIBC Bags"/>
    <x v="0"/>
    <s v="FIBC Bags With UV Without Liner"/>
    <n v="2157"/>
    <n v="426029.07"/>
    <s v="95X95X110"/>
    <n v="0"/>
    <n v="0.05"/>
    <n v="213.01"/>
    <n v="0.05"/>
    <n v="213.01"/>
    <n v="0"/>
    <n v="0"/>
    <n v="0"/>
    <n v="426.02"/>
    <n v="0"/>
    <s v="24AAECK6307M1ZF"/>
    <s v="KGS"/>
    <n v="63053200"/>
    <s v="Rs."/>
    <n v="1"/>
    <n v="2157"/>
  </r>
  <r>
    <s v="28-07-2026"/>
    <s v="Rafia Industrial S.A."/>
    <s v="Export Sales"/>
    <s v="HPBL4/E/73/26-27"/>
    <x v="2"/>
    <s v="HPBL4/E/73/26-27"/>
    <s v="28-07-2026"/>
    <s v="FG"/>
    <s v="FIBC Bags"/>
    <s v="FIBC Bags"/>
    <x v="0"/>
    <s v="FIBC Bags With UV With Liner"/>
    <n v="17932"/>
    <n v="4829922.72"/>
    <s v="PP WOVEN BIG BAGS/SACKS WITH LINER"/>
    <n v="5345352.72"/>
    <n v="0"/>
    <n v="0"/>
    <n v="0"/>
    <n v="0"/>
    <n v="18"/>
    <n v="869386.08959999995"/>
    <n v="0"/>
    <n v="869386.08959999995"/>
    <n v="0"/>
    <s v="N.A."/>
    <s v="KGS"/>
    <n v="63053200"/>
    <s v="$"/>
    <n v="95.45"/>
    <n v="17932"/>
  </r>
  <r>
    <s v="28-07-2026"/>
    <s v="Safesack Scandinavia Ab"/>
    <s v="Export Sales"/>
    <s v="HPBL4/E/75/26-27"/>
    <x v="2"/>
    <s v="HPBL4/E/75/26-27"/>
    <s v="28-07-2026"/>
    <s v="FG"/>
    <s v="FIBC Bags"/>
    <s v="FIBC Bags"/>
    <x v="0"/>
    <s v="FIBC Bags With UV With Liner"/>
    <n v="14422"/>
    <n v="3970096.19"/>
    <s v="PP WOVEN BIG BAGS/SACKS WITH LINER"/>
    <n v="5481879.6299999999"/>
    <n v="0"/>
    <n v="0"/>
    <n v="0"/>
    <n v="0"/>
    <n v="18"/>
    <n v="714616.96900000004"/>
    <n v="0"/>
    <n v="714616.96900000004"/>
    <n v="0"/>
    <s v="N.A."/>
    <s v="KGS"/>
    <n v="63053200"/>
    <s v="$"/>
    <n v="95.45"/>
    <n v="14422"/>
  </r>
  <r>
    <s v="28-07-2026"/>
    <s v="Safesack Scandinavia Ab"/>
    <s v="Export Sales"/>
    <s v="HPBL4/E/75/26-27"/>
    <x v="2"/>
    <s v="HPBL4/E/75/26-27"/>
    <s v="28-07-2026"/>
    <s v="FG"/>
    <s v="FIBC Bags"/>
    <s v="FIBC Bags"/>
    <x v="0"/>
    <s v="FIBC Bags With UV Without Liner"/>
    <n v="3238"/>
    <n v="891358.44"/>
    <s v="PP WOVEN BIG BAGS/SACKS"/>
    <n v="0"/>
    <n v="0"/>
    <n v="0"/>
    <n v="0"/>
    <n v="0"/>
    <n v="18"/>
    <n v="160444.76850000001"/>
    <n v="0"/>
    <n v="160444.76850000001"/>
    <n v="0"/>
    <s v="N.A."/>
    <s v="KGS"/>
    <n v="63053200"/>
    <s v="$"/>
    <n v="95.45"/>
    <n v="3238"/>
  </r>
  <r>
    <s v="29-07-2026"/>
    <s v="Plastene India ltd - Unit 1-Sales"/>
    <s v="Sales"/>
    <n v="188"/>
    <x v="1"/>
    <s v="HPBL4/D/188"/>
    <s v="29-07-2026"/>
    <s v="Stores/Spares"/>
    <s v="MS Structure Items"/>
    <s v="Spares &amp; Stores"/>
    <x v="2"/>
    <s v="MS Pipe 4  C Class"/>
    <n v="617"/>
    <n v="29616"/>
    <s v="OLD/USED FABRIC ROLL PIPE"/>
    <n v="34917.26"/>
    <n v="9"/>
    <n v="2665.44"/>
    <n v="9"/>
    <n v="2665.44"/>
    <n v="0"/>
    <n v="0"/>
    <n v="0"/>
    <n v="5330.88"/>
    <n v="0"/>
    <s v="24AAACO3087C1ZT"/>
    <s v="KGS"/>
    <n v="73063090"/>
    <s v="Rs."/>
    <n v="1"/>
    <n v="617"/>
  </r>
  <r>
    <s v="29-07-2026"/>
    <s v="Rafia Industrial S.A."/>
    <s v="Export Sales"/>
    <s v="HPBL4/E/77/26-27"/>
    <x v="2"/>
    <s v="HPBL4/E/77/26-27"/>
    <s v="29-07-2026"/>
    <s v="FG"/>
    <s v="FIBC Bags"/>
    <s v="FIBC Bags"/>
    <x v="0"/>
    <s v="FIBC Bags With UV With Liner"/>
    <n v="15749"/>
    <n v="3638355"/>
    <s v="PP WOVEN BIG BAGS/SACKS WITH LINER"/>
    <n v="4900445.95"/>
    <n v="0"/>
    <n v="0"/>
    <n v="0"/>
    <n v="0"/>
    <n v="18"/>
    <n v="654903.44900000002"/>
    <n v="0"/>
    <n v="654903.44900000002"/>
    <n v="0"/>
    <s v="N.A."/>
    <s v="KGS"/>
    <n v="63053200"/>
    <s v="$"/>
    <n v="95.45"/>
    <n v="15749"/>
  </r>
  <r>
    <s v="29-07-2026"/>
    <s v="Rafia Industrial S.A."/>
    <s v="Export Sales"/>
    <s v="HPBL4/E/77/26-27"/>
    <x v="2"/>
    <s v="HPBL4/E/77/26-27"/>
    <s v="29-07-2026"/>
    <s v="FG"/>
    <s v="FIBC Bags"/>
    <s v="FIBC Bags"/>
    <x v="0"/>
    <s v="FIBC Bags With UV Without Liner"/>
    <n v="3232"/>
    <n v="746660.95"/>
    <s v="PP WOVEN BIG BAGS/SACKS"/>
    <n v="0"/>
    <n v="0"/>
    <n v="0"/>
    <n v="0"/>
    <n v="0"/>
    <n v="18"/>
    <n v="134399.32699999999"/>
    <n v="0"/>
    <n v="134399.32699999999"/>
    <n v="0"/>
    <s v="N.A."/>
    <s v="KGS"/>
    <n v="63053200"/>
    <s v="$"/>
    <n v="95.45"/>
    <n v="3232"/>
  </r>
  <r>
    <s v="29-07-2026"/>
    <s v="Safesack Scandinavia Ab"/>
    <s v="Export Sales"/>
    <s v="HPBL4/E/76/26-27"/>
    <x v="2"/>
    <s v="HPBL4/E/76/26-27"/>
    <s v="29-07-2026"/>
    <s v="FG"/>
    <s v="FIBC Bags"/>
    <s v="FIBC Bags"/>
    <x v="0"/>
    <s v="FIBC Bags With UV With Liner"/>
    <n v="18683"/>
    <n v="4235474.4400000004"/>
    <s v="PP WOVEN BIG BAGS/SACKS WITH LINER"/>
    <n v="4855899.4400000004"/>
    <n v="0"/>
    <n v="0"/>
    <n v="0"/>
    <n v="0"/>
    <n v="18"/>
    <n v="762385.39870000002"/>
    <n v="0"/>
    <n v="762385.39875000005"/>
    <n v="0"/>
    <s v="N.A."/>
    <s v="KGS"/>
    <n v="63053200"/>
    <s v="$"/>
    <n v="95.45"/>
    <n v="18683"/>
  </r>
  <r>
    <s v="31-07-2026"/>
    <s v="K.P. Woven Pvt Ltd-Sales"/>
    <s v="Sales"/>
    <s v="HPBL4/ME/11"/>
    <x v="7"/>
    <s v="HPBL4/ME/11"/>
    <s v="31-07-2026"/>
    <s v="FG"/>
    <s v="FIBC Bags"/>
    <s v="FIBC Bags"/>
    <x v="0"/>
    <s v="FIBC Bags With UV Without Liner"/>
    <n v="2433"/>
    <n v="585598.77"/>
    <s v="105X105X175"/>
    <n v="4086330.25"/>
    <n v="0.05"/>
    <n v="292.8"/>
    <n v="0.05"/>
    <n v="292.8"/>
    <n v="0"/>
    <n v="0"/>
    <n v="0"/>
    <n v="585.6"/>
    <n v="0"/>
    <s v="24AAECK6307M1ZF"/>
    <s v="KGS"/>
    <n v="63053200"/>
    <s v="Rs."/>
    <n v="1"/>
    <n v="2433"/>
  </r>
  <r>
    <s v="31-07-2026"/>
    <s v="K.P. Woven Pvt Ltd-Sales"/>
    <s v="Sales"/>
    <s v="HPBL4/ME/11"/>
    <x v="7"/>
    <s v="HPBL4/ME/11"/>
    <s v="31-07-2026"/>
    <s v="FG"/>
    <s v="FIBC Bags"/>
    <s v="FIBC Bags"/>
    <x v="0"/>
    <s v="FIBC Bags With UV Without Liner"/>
    <n v="10325"/>
    <n v="2000159"/>
    <s v="95X95X110"/>
    <n v="0"/>
    <n v="0.05"/>
    <n v="1000.08"/>
    <n v="0.05"/>
    <n v="1000.08"/>
    <n v="0"/>
    <n v="0"/>
    <n v="0"/>
    <n v="2000.16"/>
    <n v="0"/>
    <s v="24AAECK6307M1ZF"/>
    <s v="KGS"/>
    <n v="63053200"/>
    <s v="Rs."/>
    <n v="1"/>
    <n v="10325"/>
  </r>
  <r>
    <s v="31-07-2026"/>
    <s v="K.P. Woven Pvt Ltd-Sales"/>
    <s v="Sales"/>
    <s v="HPBL4/ME/11"/>
    <x v="7"/>
    <s v="HPBL4/ME/11"/>
    <s v="31-07-2026"/>
    <s v="FG"/>
    <s v="FIBC Bags"/>
    <s v="FIBC Bags"/>
    <x v="0"/>
    <s v="FIBC Bags With UV Without Liner"/>
    <n v="7822"/>
    <n v="1500572.48"/>
    <s v="95X95X110"/>
    <n v="0"/>
    <n v="0.05"/>
    <n v="750.29"/>
    <n v="0.05"/>
    <n v="750.29"/>
    <n v="0"/>
    <n v="0"/>
    <n v="0"/>
    <n v="1500.58"/>
    <n v="0"/>
    <s v="24AAECK6307M1ZF"/>
    <s v="KGS"/>
    <n v="63053200"/>
    <s v="Rs."/>
    <n v="1"/>
    <n v="7822"/>
  </r>
  <r>
    <s v="31-07-2026"/>
    <s v="Plastene India ltd - Unit 1-Sales"/>
    <s v="Sales"/>
    <n v="189"/>
    <x v="1"/>
    <s v="HPBL4/D/189"/>
    <s v="31-07-2026"/>
    <s v="Stores/Spares"/>
    <s v="MS Structure Items"/>
    <s v="Spares &amp; Stores"/>
    <x v="2"/>
    <s v="MS Pipe 4  C Class"/>
    <n v="595"/>
    <n v="28560"/>
    <s v="OLD/USED FABRIC ROLL PIPE"/>
    <n v="33672.239999999998"/>
    <n v="9"/>
    <n v="2570.4"/>
    <n v="9"/>
    <n v="2570.4"/>
    <n v="0"/>
    <n v="0"/>
    <n v="0"/>
    <n v="5140.8"/>
    <n v="0"/>
    <s v="24AAACO3087C1ZT"/>
    <s v="KGS"/>
    <n v="73063090"/>
    <s v="Rs."/>
    <n v="1"/>
    <n v="595"/>
  </r>
  <r>
    <s v="31-07-2026"/>
    <s v="Rafia Industrial S.A."/>
    <s v="Export Sales"/>
    <s v="HPBL4/E/78/26-27"/>
    <x v="2"/>
    <s v="HPBL4/E/78/26-27"/>
    <s v="31-07-2026"/>
    <s v="FG"/>
    <s v="FIBC Bags"/>
    <s v="FIBC Bags"/>
    <x v="0"/>
    <s v="FIBC Bags With UV With Liner"/>
    <n v="18279"/>
    <n v="4118858.4"/>
    <s v="PP WOVEN BIG BAGS/SACKS WITH LINER"/>
    <n v="4634288.4000000004"/>
    <n v="0"/>
    <n v="0"/>
    <n v="0"/>
    <n v="0"/>
    <n v="18"/>
    <n v="741394.51199999999"/>
    <n v="0"/>
    <n v="741394.51199999999"/>
    <n v="0"/>
    <s v="N.A."/>
    <s v="KGS"/>
    <n v="63053200"/>
    <s v="$"/>
    <n v="95.45"/>
    <n v="18279"/>
  </r>
  <r>
    <m/>
    <m/>
    <m/>
    <m/>
    <x v="8"/>
    <m/>
    <m/>
    <m/>
    <m/>
    <m/>
    <x v="9"/>
    <m/>
    <n v="645104.6"/>
    <n v="137308486.03"/>
    <m/>
    <n v="150433692.93000001"/>
    <m/>
    <n v="2061230.4"/>
    <m/>
    <n v="2061230.4"/>
    <m/>
    <n v="8894188.3100000005"/>
    <n v="0"/>
    <n v="13016649.109999999"/>
    <n v="-28184.33"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6">
  <r>
    <s v="HCP Plastene Bulkpack Ltd (Unit - IV)"/>
    <s v="15-07-2026"/>
    <s v="HPBL4/26-27/SII00901"/>
    <s v="SMF00147"/>
    <s v="PE Labels (Kgs)"/>
    <s v="No Subcode"/>
    <s v="No PO"/>
    <n v="0"/>
    <n v="102"/>
    <s v="Kgs"/>
    <n v="102"/>
    <n v="0"/>
    <n v="102"/>
    <s v="GJ24V1087"/>
    <x v="0"/>
    <s v="Saru Plastics"/>
    <s v="SARU52"/>
    <s v="27-06-2026"/>
    <s v="JOB IN"/>
    <s v="SELF"/>
    <s v="JBIN-SE 34"/>
    <n v="0"/>
    <n v="0"/>
    <s v="SARU52"/>
    <s v="27-06-2026"/>
    <n v="0"/>
    <s v="PP Woven Big Bags,"/>
    <m/>
    <s v="OWN Vehical"/>
    <s v="."/>
    <n v="0"/>
    <n v="0"/>
    <n v="0"/>
    <n v="0"/>
    <n v="0"/>
    <s v="VAT"/>
    <n v="0"/>
    <n v="0"/>
    <n v="0"/>
    <n v="0"/>
    <n v="0"/>
    <m/>
    <n v="0"/>
    <n v="0"/>
    <n v="0"/>
    <s v="SF"/>
    <s v="Liners"/>
    <s v="LDPE/LLDPE Bags"/>
    <s v="SERVICES"/>
    <s v="erp"/>
    <n v="0"/>
    <n v="0"/>
    <s v="JW35"/>
    <d v="2026-01-07T00:00:00"/>
    <s v="24ACHPM5973F1ZG"/>
    <s v="storepil6"/>
    <m/>
    <n v="0"/>
    <n v="0"/>
    <n v="0"/>
    <n v="0"/>
    <n v="0"/>
    <n v="0"/>
    <n v="0"/>
    <s v="."/>
    <d v="2026-07-15T16:21:00"/>
    <n v="102"/>
  </r>
  <r>
    <s v="HCP Plastene Bulkpack Ltd (Unit - IV)"/>
    <s v="16-07-2026"/>
    <s v="HPBL4/26-27/SII00903"/>
    <s v="SMF00147"/>
    <s v="PE Labels (Kgs)"/>
    <s v="No Subcode"/>
    <s v="No PO"/>
    <n v="0"/>
    <n v="72.099999999999994"/>
    <s v="Kgs"/>
    <n v="72.099999999999994"/>
    <n v="0"/>
    <n v="72.099999999999994"/>
    <s v="GJ24V1087"/>
    <x v="1"/>
    <s v="Parsva Trading"/>
    <n v="20"/>
    <d v="2026-05-07T00:00:00"/>
    <s v="JOB IN"/>
    <s v="SELF"/>
    <s v="JBIN-SE 35"/>
    <n v="0"/>
    <n v="0"/>
    <n v="20"/>
    <d v="2026-05-07T00:00:00"/>
    <n v="0"/>
    <s v="PP Woven Big Bags,"/>
    <m/>
    <s v="OWN VEHICLE"/>
    <s v="-"/>
    <n v="0"/>
    <n v="0"/>
    <n v="0"/>
    <n v="0"/>
    <n v="0"/>
    <s v="VAT"/>
    <n v="0"/>
    <n v="0"/>
    <n v="0"/>
    <n v="0"/>
    <n v="0"/>
    <m/>
    <n v="0"/>
    <n v="0"/>
    <n v="0"/>
    <s v="SF"/>
    <s v="Liners"/>
    <s v="LDPE/LLDPE Bags"/>
    <s v="SERVICES"/>
    <s v="erp"/>
    <n v="0"/>
    <n v="0"/>
    <s v="JW37"/>
    <d v="2026-10-07T00:00:00"/>
    <s v="24AMOPG6602J2Z0"/>
    <s v="storepil6"/>
    <m/>
    <n v="0"/>
    <n v="0"/>
    <n v="0"/>
    <n v="0"/>
    <n v="0"/>
    <n v="0"/>
    <n v="0"/>
    <s v="-"/>
    <d v="2026-07-16T11:26:00"/>
    <n v="72.099999999999994"/>
  </r>
  <r>
    <s v="HCP Plastene Bulkpack Ltd (Unit - IV)"/>
    <s v="16-07-2026"/>
    <s v="HPBL4/26-27/SII00907"/>
    <s v="SMF00147"/>
    <s v="PE Labels (Kgs)"/>
    <s v="No Subcode"/>
    <s v="No PO"/>
    <n v="0"/>
    <n v="25"/>
    <s v="Kgs"/>
    <n v="25"/>
    <n v="0"/>
    <n v="25"/>
    <s v="GJ24V1087"/>
    <x v="0"/>
    <s v="Saru Plastics"/>
    <s v="SARU054"/>
    <s v="29-06-2026"/>
    <s v="JOB IN"/>
    <s v="SELF"/>
    <s v="JBIN-SE 36"/>
    <n v="0"/>
    <n v="0"/>
    <s v="SARU054"/>
    <s v="29-06-2026"/>
    <n v="0"/>
    <s v="PP Woven Big Bags,"/>
    <m/>
    <s v="OWN VEHICLE"/>
    <s v="-"/>
    <n v="0"/>
    <n v="0"/>
    <n v="0"/>
    <n v="0"/>
    <n v="0"/>
    <s v="VAT"/>
    <n v="0"/>
    <n v="0"/>
    <n v="0"/>
    <n v="0"/>
    <n v="0"/>
    <m/>
    <n v="0"/>
    <n v="0"/>
    <n v="0"/>
    <s v="SF"/>
    <s v="Liners"/>
    <s v="LDPE/LLDPE Bags"/>
    <s v="SERVICES"/>
    <s v="erp"/>
    <n v="0"/>
    <n v="0"/>
    <s v="JW36"/>
    <d v="2026-01-07T00:00:00"/>
    <s v="24ACHPM5973F1ZG"/>
    <s v="storepil6"/>
    <m/>
    <n v="0"/>
    <n v="0"/>
    <n v="0"/>
    <n v="0"/>
    <n v="0"/>
    <n v="0"/>
    <n v="0"/>
    <s v="-"/>
    <d v="2026-07-16T16:03:00"/>
    <n v="25"/>
  </r>
  <r>
    <s v="HCP Plastene Bulkpack Ltd (Unit - IV)"/>
    <s v="16-07-2026"/>
    <s v="HPBL4/26-27/SII00908"/>
    <s v="SMF00147"/>
    <s v="PE Labels (Kgs)"/>
    <s v="No Subcode"/>
    <s v="No PO"/>
    <n v="0"/>
    <n v="145"/>
    <s v="Kgs"/>
    <n v="145"/>
    <n v="0"/>
    <n v="145"/>
    <s v="GJ24V1087"/>
    <x v="0"/>
    <s v="Saru Plastics"/>
    <s v="SARU055"/>
    <d v="2026-02-07T00:00:00"/>
    <s v="JOB IN"/>
    <s v="SELF"/>
    <s v="JBIN-SE 37"/>
    <n v="0"/>
    <n v="0"/>
    <s v="SARU055"/>
    <d v="2026-02-07T00:00:00"/>
    <n v="0"/>
    <s v="PP Woven Big Bags,"/>
    <m/>
    <s v="OWN VEHICLE"/>
    <s v="-"/>
    <n v="0"/>
    <n v="0"/>
    <n v="0"/>
    <n v="0"/>
    <n v="0"/>
    <s v="VAT"/>
    <n v="0"/>
    <n v="0"/>
    <n v="0"/>
    <n v="0"/>
    <n v="0"/>
    <m/>
    <n v="0"/>
    <n v="0"/>
    <n v="0"/>
    <s v="SF"/>
    <s v="Liners"/>
    <s v="LDPE/LLDPE Bags"/>
    <s v="SERVICES"/>
    <s v="erp"/>
    <n v="0"/>
    <n v="0"/>
    <s v="JW38"/>
    <d v="2026-10-07T00:00:00"/>
    <s v="24ACHPM5973F1ZG"/>
    <s v="storepil6"/>
    <m/>
    <n v="0"/>
    <n v="0"/>
    <n v="0"/>
    <n v="0"/>
    <n v="0"/>
    <n v="0"/>
    <n v="0"/>
    <s v="-"/>
    <d v="2026-07-16T00:00:00"/>
    <n v="145"/>
  </r>
  <r>
    <s v="HCP Plastene Bulkpack Ltd (Unit - IV)"/>
    <s v="16-07-2026"/>
    <s v="HPBL4/26-27/SII00909"/>
    <s v="SMF00147"/>
    <s v="PE Labels (Kgs)"/>
    <s v="No Subcode"/>
    <s v="No PO"/>
    <n v="0"/>
    <n v="29"/>
    <s v="Kgs"/>
    <n v="29"/>
    <n v="0"/>
    <n v="29"/>
    <s v="GJ24V1087"/>
    <x v="0"/>
    <s v="Saru Plastics"/>
    <s v="SARU057"/>
    <d v="2026-03-07T00:00:00"/>
    <s v="JOB IN"/>
    <s v="SELF"/>
    <s v="JBIN-SE 38"/>
    <n v="0"/>
    <n v="0"/>
    <s v="SARU057"/>
    <d v="2026-03-07T00:00:00"/>
    <n v="0"/>
    <s v="PP Woven Big Bags,"/>
    <m/>
    <s v="OWN Vehical"/>
    <s v="."/>
    <n v="0"/>
    <n v="0"/>
    <n v="0"/>
    <n v="0"/>
    <n v="0"/>
    <s v="VAT"/>
    <n v="0"/>
    <n v="0"/>
    <n v="0"/>
    <n v="0"/>
    <n v="0"/>
    <m/>
    <n v="0"/>
    <n v="0"/>
    <n v="0"/>
    <s v="SF"/>
    <s v="Liners"/>
    <s v="LDPE/LLDPE Bags"/>
    <s v="SERVICES"/>
    <s v="erp"/>
    <n v="0"/>
    <n v="0"/>
    <s v="JW39"/>
    <d v="2026-10-07T00:00:00"/>
    <s v="24ACHPM5973F1ZG"/>
    <s v="storepil6"/>
    <m/>
    <n v="0"/>
    <n v="0"/>
    <n v="0"/>
    <n v="0"/>
    <n v="0"/>
    <n v="0"/>
    <n v="0"/>
    <s v="."/>
    <d v="2026-07-16T00:00:00"/>
    <n v="29"/>
  </r>
  <r>
    <s v="HCP Plastene Bulkpack Ltd (Unit - IV)"/>
    <s v="16-07-2026"/>
    <s v="HPBL4/26-27/SII00910"/>
    <s v="SMF00147"/>
    <s v="PE Labels (Kgs)"/>
    <s v="No Subcode"/>
    <s v="No PO"/>
    <n v="0"/>
    <n v="45.3"/>
    <s v="Kgs"/>
    <n v="45.3"/>
    <n v="0"/>
    <n v="45.3"/>
    <s v="GJ24V1087"/>
    <x v="0"/>
    <s v="Saru Plastics"/>
    <s v="SARU058"/>
    <d v="2026-04-07T00:00:00"/>
    <s v="JOB IN"/>
    <s v="SELF"/>
    <s v="JBIN-SE 39"/>
    <n v="0"/>
    <n v="0"/>
    <s v="SARU058"/>
    <d v="2026-04-07T00:00:00"/>
    <n v="0"/>
    <s v="PP Woven Big Bags,"/>
    <m/>
    <s v="OWN Vehical"/>
    <s v="."/>
    <n v="0"/>
    <n v="0"/>
    <n v="0"/>
    <n v="0"/>
    <n v="0"/>
    <s v="VAT"/>
    <n v="0"/>
    <n v="0"/>
    <n v="0"/>
    <n v="0"/>
    <n v="0"/>
    <m/>
    <n v="0"/>
    <n v="0"/>
    <n v="0"/>
    <s v="SF"/>
    <s v="Liners"/>
    <s v="LDPE/LLDPE Bags"/>
    <s v="SERVICES"/>
    <s v="erp"/>
    <n v="0"/>
    <n v="0"/>
    <s v="JW39."/>
    <d v="2026-10-07T00:00:00"/>
    <s v="24ACHPM5973F1ZG"/>
    <s v="storepil6"/>
    <m/>
    <n v="0"/>
    <n v="0"/>
    <n v="0"/>
    <n v="0"/>
    <n v="0"/>
    <n v="0"/>
    <n v="0"/>
    <s v="."/>
    <d v="2026-07-16T17:12:00"/>
    <n v="45.3"/>
  </r>
  <r>
    <s v="HCP Plastene Bulkpack Ltd (Unit - IV)"/>
    <s v="16-07-2026"/>
    <s v="HPBL4/26-27/SII00911"/>
    <s v="SMF00147"/>
    <s v="PE Labels (Kgs)"/>
    <s v="No Subcode"/>
    <s v="No PO"/>
    <n v="0"/>
    <n v="131"/>
    <s v="Kgs"/>
    <n v="131"/>
    <n v="0"/>
    <n v="131"/>
    <s v="GJ24V1087"/>
    <x v="0"/>
    <s v="Saru Plastics"/>
    <s v="SARU060"/>
    <d v="2026-08-07T00:00:00"/>
    <s v="JOB IN"/>
    <s v="SELF"/>
    <s v="JBIN-SE 40"/>
    <n v="0"/>
    <n v="0"/>
    <s v="SARU060"/>
    <d v="2026-08-07T00:00:00"/>
    <n v="0"/>
    <s v="PP Woven Big Bags,"/>
    <m/>
    <s v="OWN Vehical"/>
    <s v="."/>
    <n v="0"/>
    <n v="0"/>
    <n v="0"/>
    <n v="0"/>
    <n v="0"/>
    <s v="VAT"/>
    <n v="0"/>
    <n v="0"/>
    <n v="0"/>
    <n v="0"/>
    <n v="0"/>
    <m/>
    <n v="0"/>
    <n v="0"/>
    <n v="0"/>
    <s v="SF"/>
    <s v="Liners"/>
    <s v="LDPE/LLDPE Bags"/>
    <s v="SERVICES"/>
    <s v="erp"/>
    <n v="0"/>
    <n v="0"/>
    <s v="JW40"/>
    <d v="2026-10-07T00:00:00"/>
    <s v="24ACHPM5973F1ZG"/>
    <s v="storepil6"/>
    <m/>
    <n v="0"/>
    <n v="0"/>
    <n v="0"/>
    <n v="0"/>
    <n v="0"/>
    <n v="0"/>
    <n v="0"/>
    <s v="."/>
    <d v="2026-07-16T00:00:00"/>
    <n v="131"/>
  </r>
  <r>
    <s v="HCP Plastene Bulkpack Ltd (Unit - IV)"/>
    <s v="18-07-2026"/>
    <s v="HPBL4/26-27/SII00936"/>
    <s v="SMF00147"/>
    <s v="PE Labels (Kgs)"/>
    <s v="No Subcode"/>
    <s v="No PO"/>
    <n v="0"/>
    <n v="28"/>
    <s v="Kgs"/>
    <n v="28"/>
    <n v="0"/>
    <n v="28"/>
    <s v="GJ24V1087"/>
    <x v="0"/>
    <s v="Saru Plastics"/>
    <s v="SARU061"/>
    <s v="14-07-2026"/>
    <s v="JOB IN"/>
    <s v="SELF"/>
    <s v="JBIN-SE 41"/>
    <n v="0"/>
    <n v="0"/>
    <s v="SARU061"/>
    <s v="14-07-2026"/>
    <n v="0"/>
    <s v="PP Woven Big Bags,"/>
    <m/>
    <s v="OWN Vehical"/>
    <s v="."/>
    <n v="0"/>
    <n v="0"/>
    <n v="0"/>
    <n v="0"/>
    <n v="0"/>
    <s v="VAT"/>
    <n v="0"/>
    <n v="0"/>
    <n v="0"/>
    <n v="0"/>
    <n v="0"/>
    <m/>
    <n v="0"/>
    <n v="0"/>
    <n v="0"/>
    <s v="SF"/>
    <s v="Liners"/>
    <s v="LDPE/LLDPE Bags"/>
    <s v="SERVICES"/>
    <s v="erp"/>
    <n v="0"/>
    <n v="0"/>
    <n v="41"/>
    <s v="18-07-2026"/>
    <s v="24ACHPM5973F1ZG"/>
    <s v="storepil6"/>
    <m/>
    <n v="0"/>
    <n v="0"/>
    <n v="0"/>
    <n v="0"/>
    <n v="0"/>
    <n v="0"/>
    <n v="0"/>
    <s v="."/>
    <d v="2026-07-18T15:30:00"/>
    <n v="28"/>
  </r>
  <r>
    <s v="HCP Plastene Bulkpack Ltd (Unit - IV)"/>
    <s v="22-07-2026"/>
    <s v="HPBL4/26-27/SII00974"/>
    <s v="SMF00147"/>
    <s v="PE Labels (Kgs)"/>
    <s v="No Subcode"/>
    <s v="No PO"/>
    <n v="0"/>
    <n v="37"/>
    <s v="Kgs"/>
    <n v="37"/>
    <n v="0"/>
    <n v="37"/>
    <s v="GJ24V1087"/>
    <x v="0"/>
    <s v="Saru Plastics"/>
    <s v="SARU063"/>
    <s v="18-07-2026"/>
    <s v="JOB IN"/>
    <s v="SELF"/>
    <s v="JBIN-SE 42"/>
    <n v="0"/>
    <n v="0"/>
    <s v="SARU063"/>
    <s v="18-07-2026"/>
    <n v="0"/>
    <s v="PP Woven Big Bags,"/>
    <m/>
    <s v="OWN Vehical"/>
    <s v="."/>
    <n v="0"/>
    <n v="0"/>
    <n v="0"/>
    <n v="0"/>
    <n v="0"/>
    <s v="VAT"/>
    <n v="0"/>
    <n v="0"/>
    <n v="0"/>
    <n v="0"/>
    <n v="0"/>
    <m/>
    <n v="0"/>
    <n v="0"/>
    <n v="0"/>
    <s v="SF"/>
    <s v="Liners"/>
    <s v="LDPE/LLDPE Bags"/>
    <s v="SF"/>
    <s v="erp"/>
    <n v="0"/>
    <n v="0"/>
    <n v="43"/>
    <s v="22-07-2026"/>
    <s v="24ACHPM5973F1ZG"/>
    <s v="storepil6"/>
    <m/>
    <n v="0"/>
    <n v="0"/>
    <n v="0"/>
    <n v="0"/>
    <n v="0"/>
    <n v="0"/>
    <n v="0"/>
    <s v="."/>
    <d v="2026-07-22T17:26:00"/>
    <n v="37"/>
  </r>
  <r>
    <s v="HCP Plastene Bulkpack Ltd (Unit - IV)"/>
    <s v="22-07-2026"/>
    <s v="HPBL4/26-27/SII00975"/>
    <s v="SMF00147"/>
    <s v="PE Labels (Kgs)"/>
    <s v="No Subcode"/>
    <s v="No PO"/>
    <n v="0"/>
    <n v="69"/>
    <s v="Kgs"/>
    <n v="69"/>
    <n v="0"/>
    <n v="69"/>
    <s v="GJ24V1087"/>
    <x v="0"/>
    <s v="Saru Plastics"/>
    <s v="SARU064"/>
    <s v="20-07-2026"/>
    <s v="JOB IN"/>
    <s v="SELF"/>
    <s v="JBIN-SE 43"/>
    <n v="0"/>
    <n v="0"/>
    <s v="SARU064"/>
    <s v="20-07-2026"/>
    <n v="0"/>
    <s v="PP Woven Big Bags,"/>
    <m/>
    <s v="OWN Vehical"/>
    <s v="."/>
    <n v="0"/>
    <n v="0"/>
    <n v="0"/>
    <n v="0"/>
    <n v="0"/>
    <s v="VAT"/>
    <n v="0"/>
    <n v="0"/>
    <n v="0"/>
    <n v="0"/>
    <n v="0"/>
    <m/>
    <n v="0"/>
    <n v="0"/>
    <n v="0"/>
    <s v="SF"/>
    <s v="Liners"/>
    <s v="LDPE/LLDPE Bags"/>
    <s v="SERVICES"/>
    <s v="erp"/>
    <n v="0"/>
    <n v="0"/>
    <n v="42"/>
    <s v="21-07-2026"/>
    <s v="24ACHPM5973F1ZG"/>
    <s v="storepil6"/>
    <m/>
    <n v="0"/>
    <n v="0"/>
    <n v="0"/>
    <n v="0"/>
    <n v="0"/>
    <n v="0"/>
    <n v="0"/>
    <s v="."/>
    <d v="2026-07-22T17:42:00"/>
    <n v="0"/>
  </r>
  <r>
    <s v="HCP Plastene Bulkpack Ltd (Unit - IV)"/>
    <s v="29-07-2026"/>
    <s v="HPBL4/26-27/SII01032"/>
    <s v="SMF00147"/>
    <s v="PE Labels (Kgs)"/>
    <s v="No Subcode"/>
    <s v="No PO"/>
    <n v="0"/>
    <n v="112"/>
    <s v="Kgs"/>
    <n v="112"/>
    <n v="0"/>
    <n v="112"/>
    <s v="GJ12X5422"/>
    <x v="0"/>
    <s v="Saru Plastics"/>
    <s v="SARU068"/>
    <s v="25-07-2026"/>
    <s v="JOB IN"/>
    <s v="SELF"/>
    <s v="JBIN-SE 44"/>
    <n v="0"/>
    <n v="0"/>
    <s v="SARU068"/>
    <s v="25-07-2026"/>
    <n v="0"/>
    <s v="PP Woven Big Bags,"/>
    <m/>
    <s v="OWN Vehical"/>
    <s v="."/>
    <n v="0"/>
    <n v="0"/>
    <n v="0"/>
    <n v="0"/>
    <n v="0"/>
    <s v="VAT"/>
    <n v="0"/>
    <n v="0"/>
    <n v="0"/>
    <n v="0"/>
    <n v="0"/>
    <m/>
    <n v="0"/>
    <n v="0"/>
    <n v="0"/>
    <s v="SF"/>
    <s v="Liners"/>
    <s v="LDPE/LLDPE Bags"/>
    <s v="SERVICES"/>
    <s v="erp"/>
    <n v="0"/>
    <n v="0"/>
    <n v="966"/>
    <s v="25-07-2026"/>
    <s v="24ACHPM5973F1ZG"/>
    <s v="storepil6"/>
    <m/>
    <n v="0"/>
    <n v="0"/>
    <n v="0"/>
    <n v="0"/>
    <n v="0"/>
    <n v="0"/>
    <n v="0"/>
    <s v="."/>
    <d v="2026-07-29T16:06:00"/>
    <n v="112"/>
  </r>
  <r>
    <s v="HCP Plastene Bulkpack Ltd (Unit - IV)"/>
    <s v="31-07-2026"/>
    <s v="HPBL4/26-27/SII01058"/>
    <s v="SMF00147"/>
    <s v="PE Labels (Kgs)"/>
    <s v="No Subcode"/>
    <s v="No PO"/>
    <n v="0"/>
    <n v="61"/>
    <s v="Kgs"/>
    <n v="61"/>
    <n v="0"/>
    <n v="61"/>
    <s v="GJ24V1087"/>
    <x v="0"/>
    <s v="Saru Plastics"/>
    <s v="SARU072"/>
    <s v="28-07-2026"/>
    <s v="JOB IN"/>
    <s v="SELF"/>
    <s v="JBIN-SE 45"/>
    <n v="0"/>
    <n v="0"/>
    <s v="SARU072"/>
    <s v="28-07-2026"/>
    <n v="0"/>
    <s v="PP Woven Big Bags,"/>
    <m/>
    <s v="OWN Vehical"/>
    <s v="."/>
    <n v="0"/>
    <n v="0"/>
    <n v="0"/>
    <n v="0"/>
    <n v="0"/>
    <s v="VAT"/>
    <n v="0"/>
    <n v="0"/>
    <n v="0"/>
    <n v="0"/>
    <n v="0"/>
    <m/>
    <n v="0"/>
    <n v="0"/>
    <n v="0"/>
    <s v="SF"/>
    <s v="Liners"/>
    <s v="LDPE/LLDPE Bags"/>
    <s v="SERVICES"/>
    <s v="erp"/>
    <n v="0"/>
    <n v="0"/>
    <n v="45"/>
    <s v="30-07-2026"/>
    <s v="24ACHPM5973F1ZG"/>
    <s v="storepil6"/>
    <m/>
    <n v="0"/>
    <n v="0"/>
    <n v="0"/>
    <n v="0"/>
    <n v="0"/>
    <n v="0"/>
    <n v="0"/>
    <s v="."/>
    <d v="2026-07-31T14:05:00"/>
    <n v="0"/>
  </r>
  <r>
    <s v="HCP Plastene Bulkpack Ltd (Unit - IV)"/>
    <s v="31-07-2026"/>
    <s v="HPBL4/26-27/SII01059"/>
    <s v="SMF00147"/>
    <s v="PE Labels (Kgs)"/>
    <s v="No Subcode"/>
    <s v="No PO"/>
    <n v="0"/>
    <n v="48"/>
    <s v="Kgs"/>
    <n v="48"/>
    <n v="0"/>
    <n v="48"/>
    <s v="GJ24V1087"/>
    <x v="0"/>
    <s v="Saru Plastics"/>
    <s v="SARU073"/>
    <s v="29-07-2026"/>
    <s v="JOB IN"/>
    <s v="SELF"/>
    <s v="JBIN-SE 46"/>
    <n v="0"/>
    <n v="0"/>
    <s v="SARU073"/>
    <s v="29-07-2026"/>
    <n v="0"/>
    <s v="PP Woven Big Bags,"/>
    <m/>
    <s v="OWN Vehical"/>
    <s v="."/>
    <n v="0"/>
    <n v="0"/>
    <n v="0"/>
    <n v="0"/>
    <n v="0"/>
    <s v="VAT"/>
    <n v="0"/>
    <n v="0"/>
    <n v="0"/>
    <n v="0"/>
    <n v="0"/>
    <m/>
    <n v="0"/>
    <n v="0"/>
    <n v="0"/>
    <s v="SF"/>
    <s v="Liners"/>
    <s v="LDPE/LLDPE Bags"/>
    <s v="SERVICES"/>
    <s v="erp"/>
    <n v="0"/>
    <n v="0"/>
    <n v="46"/>
    <s v="30-07-2026"/>
    <s v="24ACHPM5973F1ZG"/>
    <s v="storepil6"/>
    <m/>
    <n v="0"/>
    <n v="0"/>
    <n v="0"/>
    <n v="0"/>
    <n v="0"/>
    <n v="0"/>
    <n v="0"/>
    <s v="."/>
    <d v="2026-07-31T14:13:00"/>
    <n v="0"/>
  </r>
  <r>
    <s v="HCP Plastene Bulkpack Ltd (Unit - IV)"/>
    <s v="31-07-2026"/>
    <s v="HPBL4/26-27/SII01060"/>
    <s v="SMF00147"/>
    <s v="PE Labels (Kgs)"/>
    <s v="No Subcode"/>
    <s v="No PO"/>
    <n v="0"/>
    <n v="16"/>
    <s v="Kgs"/>
    <n v="16"/>
    <n v="0"/>
    <n v="16"/>
    <s v="GJ24V1087"/>
    <x v="0"/>
    <s v="Saru Plastics"/>
    <s v="SARU074"/>
    <s v="30-07-2026"/>
    <s v="JOB IN"/>
    <s v="SELF"/>
    <s v="JBIN-SE 47"/>
    <n v="0"/>
    <n v="0"/>
    <s v="SARU074"/>
    <s v="30-07-2026"/>
    <n v="0"/>
    <s v="PP Woven Big Bags,"/>
    <m/>
    <s v="OWN Vehical"/>
    <s v="."/>
    <n v="0"/>
    <n v="0"/>
    <n v="0"/>
    <n v="0"/>
    <n v="0"/>
    <s v="VAT"/>
    <n v="0"/>
    <n v="0"/>
    <n v="0"/>
    <n v="0"/>
    <n v="0"/>
    <m/>
    <n v="0"/>
    <n v="0"/>
    <n v="0"/>
    <s v="SF"/>
    <s v="Liners"/>
    <s v="LDPE/LLDPE Bags"/>
    <s v="SERVICES"/>
    <s v="erp"/>
    <n v="0"/>
    <n v="0"/>
    <n v="44"/>
    <s v="30-07-2026"/>
    <s v="24ACHPM5973F1ZG"/>
    <s v="storepil6"/>
    <m/>
    <n v="0"/>
    <n v="0"/>
    <n v="0"/>
    <n v="0"/>
    <n v="0"/>
    <n v="0"/>
    <n v="0"/>
    <s v="."/>
    <d v="2026-07-31T14:32:00"/>
    <n v="0"/>
  </r>
  <r>
    <s v="HCP Plastene Bulkpack Ltd (Unit - IV)"/>
    <s v="31-07-2026"/>
    <s v="HPBL4/26-27/SII01071"/>
    <s v="SMF00147"/>
    <s v="PE Labels (Kgs)"/>
    <s v="No Subcode"/>
    <s v="No PO"/>
    <n v="0"/>
    <n v="90.24"/>
    <s v="Kgs"/>
    <n v="90.24"/>
    <n v="0"/>
    <n v="90.24"/>
    <s v="GJ24V1087"/>
    <x v="1"/>
    <s v="Parsva Trading"/>
    <n v="22"/>
    <s v="22-07-2026"/>
    <s v="JOB IN"/>
    <s v="SELF"/>
    <s v="JBIN-SE 48"/>
    <n v="0"/>
    <n v="0"/>
    <n v="22"/>
    <s v="22-07-2026"/>
    <n v="0"/>
    <s v="PP Woven Big Bags,"/>
    <m/>
    <s v="OWN Vehical"/>
    <s v="."/>
    <n v="0"/>
    <n v="0"/>
    <n v="0"/>
    <n v="0"/>
    <n v="0"/>
    <s v="VAT"/>
    <n v="0"/>
    <n v="0"/>
    <n v="0"/>
    <n v="0"/>
    <n v="0"/>
    <m/>
    <n v="0"/>
    <n v="0"/>
    <n v="0"/>
    <s v="SF"/>
    <s v="Liners"/>
    <s v="LDPE/LLDPE Bags"/>
    <s v="SERVICES"/>
    <s v="erp"/>
    <n v="0"/>
    <n v="0"/>
    <s v="47.."/>
    <s v="31-07-2026"/>
    <s v="24AMOPG6602J2Z0"/>
    <s v="storepil6"/>
    <m/>
    <n v="0"/>
    <n v="0"/>
    <n v="0"/>
    <n v="0"/>
    <n v="0"/>
    <n v="0"/>
    <n v="0"/>
    <s v="."/>
    <d v="2026-07-31T10:54:00"/>
    <n v="0"/>
  </r>
  <r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2">
  <r>
    <m/>
    <m/>
    <m/>
    <x v="0"/>
    <m/>
    <x v="0"/>
    <m/>
    <m/>
    <m/>
    <m/>
    <m/>
    <m/>
    <m/>
    <m/>
    <m/>
    <m/>
    <m/>
    <m/>
    <m/>
    <m/>
  </r>
  <r>
    <m/>
    <m/>
    <m/>
    <x v="0"/>
    <m/>
    <x v="0"/>
    <m/>
    <m/>
    <m/>
    <m/>
    <m/>
    <m/>
    <m/>
    <m/>
    <m/>
    <m/>
    <m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654">
  <r>
    <d v="2026-01-07T00:00:00"/>
    <x v="0"/>
    <s v="General Purchase"/>
    <s v="GNCN 234"/>
    <s v="Purchase Withinstate- Stores, Spares &amp; Consumable"/>
    <s v="PIL1/D/875"/>
    <d v="2026-01-07T00:00:00"/>
    <s v="Stores/Spares"/>
    <s v="MS Structure Items"/>
    <s v="Spares &amp; Stores"/>
    <x v="0"/>
    <s v="MS Pipe 4  C Class"/>
    <n v="354"/>
    <n v="16992"/>
    <s v="MS Pipe 4  C Class"/>
    <n v="20033.57"/>
    <n v="9"/>
    <n v="1529.28"/>
    <n v="9"/>
    <n v="1529.28"/>
    <n v="0"/>
    <n v="0"/>
    <n v="0"/>
    <n v="3058.56"/>
    <n v="0"/>
    <s v="24AAACO3087C1ZT"/>
    <s v="Kgs"/>
    <n v="73063090"/>
    <s v="Rs."/>
    <n v="1"/>
    <n v="0"/>
  </r>
  <r>
    <d v="2026-01-07T00:00:00"/>
    <x v="0"/>
    <s v="R.M.P."/>
    <s v="RM 324"/>
    <s v="Purchase Withinstate - Raw Material"/>
    <s v="PIL1/D/874"/>
    <d v="2026-01-07T00:00:00"/>
    <s v="SF"/>
    <s v="PP/PE Fabric"/>
    <s v="PP Lam Fabric"/>
    <x v="1"/>
    <s v="PP Lam Fabric With UV"/>
    <n v="289"/>
    <n v="44719.86"/>
    <s v="PP Lam Fabric With UV"/>
    <n v="1727090.3"/>
    <n v="9"/>
    <n v="4024.79"/>
    <n v="9"/>
    <n v="4024.79"/>
    <n v="0"/>
    <n v="0"/>
    <n v="0"/>
    <n v="8049.58"/>
    <n v="0"/>
    <s v="24AAACO3087C1ZT"/>
    <s v="Kgs"/>
    <n v="63053300"/>
    <s v="Rs."/>
    <n v="1"/>
    <n v="289"/>
  </r>
  <r>
    <d v="2026-01-07T00:00:00"/>
    <x v="0"/>
    <s v="R.M.P."/>
    <s v="RM 324"/>
    <s v="Purchase Withinstate - Raw Material"/>
    <s v="PIL1/D/874"/>
    <d v="2026-01-07T00:00:00"/>
    <s v="SF"/>
    <s v="PP/PE Fabric"/>
    <s v="PP UL Fabric"/>
    <x v="2"/>
    <s v="PP UL Fabric With UV"/>
    <n v="2836"/>
    <n v="424662.64"/>
    <s v="PP UL Fabric With UV"/>
    <n v="0"/>
    <n v="9"/>
    <n v="38219.64"/>
    <n v="9"/>
    <n v="38219.64"/>
    <n v="0"/>
    <n v="0"/>
    <n v="0"/>
    <n v="76439.28"/>
    <n v="0"/>
    <s v="24AAACO3087C1ZT"/>
    <s v="Kgs"/>
    <n v="39269080"/>
    <s v="Rs."/>
    <n v="1"/>
    <n v="2836"/>
  </r>
  <r>
    <d v="2026-01-07T00:00:00"/>
    <x v="0"/>
    <s v="R.M.P."/>
    <s v="RM 324"/>
    <s v="Purchase Withinstate - Raw Material"/>
    <s v="PIL1/D/874"/>
    <d v="2026-01-07T00:00:00"/>
    <s v="SF"/>
    <s v="PP/PE Fabric"/>
    <s v="PP UL Fabric"/>
    <x v="2"/>
    <s v="PP UL Fabric With UV"/>
    <n v="6027"/>
    <n v="890428.98"/>
    <s v="PP UL Fabric With UV"/>
    <n v="0"/>
    <n v="9"/>
    <n v="80138.61"/>
    <n v="9"/>
    <n v="80138.61"/>
    <n v="0"/>
    <n v="0"/>
    <n v="0"/>
    <n v="160277.22"/>
    <n v="0"/>
    <s v="24AAACO3087C1ZT"/>
    <s v="Kgs"/>
    <n v="39269080"/>
    <s v="Rs."/>
    <n v="1"/>
    <n v="6027"/>
  </r>
  <r>
    <d v="2026-01-07T00:00:00"/>
    <x v="0"/>
    <s v="R.M.P."/>
    <s v="RM 324"/>
    <s v="Purchase Withinstate - Raw Material"/>
    <s v="PIL1/D/874"/>
    <d v="2026-01-07T00:00:00"/>
    <s v="SF"/>
    <s v="PP/PE Fabric"/>
    <s v="PP UL Fabric"/>
    <x v="2"/>
    <s v="PP UL Fabric With UV"/>
    <n v="697"/>
    <n v="105065.78"/>
    <s v="PP UL Fabric With UV"/>
    <n v="0"/>
    <n v="9"/>
    <n v="9455.92"/>
    <n v="9"/>
    <n v="9455.92"/>
    <n v="0"/>
    <n v="0"/>
    <n v="0"/>
    <n v="18911.84"/>
    <n v="0"/>
    <s v="24AAACO3087C1ZT"/>
    <s v="Kgs"/>
    <n v="39269080"/>
    <s v="Rs."/>
    <n v="1"/>
    <n v="697"/>
  </r>
  <r>
    <d v="2026-01-07T00:00:00"/>
    <x v="0"/>
    <s v="R.M.P."/>
    <s v="RM 325"/>
    <s v="Purchase Withinstate - Raw Material"/>
    <s v="PIL1/D/876"/>
    <d v="2026-01-07T00:00:00"/>
    <s v="SF"/>
    <s v="Liners"/>
    <s v="LDPE/LLDPE Bags"/>
    <x v="3"/>
    <s v="LDPE/LLDPE Bags/Liner"/>
    <n v="3917"/>
    <n v="709564.55"/>
    <s v="LDPE/LLDPE Bags/Liner"/>
    <n v="1322447.83"/>
    <n v="9"/>
    <n v="63860.81"/>
    <n v="9"/>
    <n v="63860.81"/>
    <n v="0"/>
    <n v="0"/>
    <n v="0"/>
    <n v="127721.62"/>
    <n v="0"/>
    <s v="24AAACO3087C1ZT"/>
    <s v="Kgs"/>
    <n v="39200000"/>
    <s v="Rs."/>
    <n v="1"/>
    <n v="3917"/>
  </r>
  <r>
    <d v="2026-01-07T00:00:00"/>
    <x v="0"/>
    <s v="R.M.P."/>
    <s v="RM 325"/>
    <s v="Purchase Withinstate - Raw Material"/>
    <s v="PIL1/D/876"/>
    <d v="2026-01-07T00:00:00"/>
    <s v="SF"/>
    <s v="PP/PE Fabric"/>
    <s v="PP Lam Fabric"/>
    <x v="1"/>
    <s v="PP Lam Fabric With UV"/>
    <n v="571"/>
    <n v="88356.54"/>
    <s v="PP Lam Fabric With UV"/>
    <n v="0"/>
    <n v="9"/>
    <n v="7952.09"/>
    <n v="9"/>
    <n v="7952.09"/>
    <n v="0"/>
    <n v="0"/>
    <n v="0"/>
    <n v="15904.18"/>
    <n v="0"/>
    <s v="24AAACO3087C1ZT"/>
    <s v="Kgs"/>
    <n v="63053300"/>
    <s v="Rs."/>
    <n v="1"/>
    <n v="571"/>
  </r>
  <r>
    <d v="2026-01-07T00:00:00"/>
    <x v="0"/>
    <s v="R.M.P."/>
    <s v="RM 325"/>
    <s v="Purchase Withinstate - Raw Material"/>
    <s v="PIL1/D/876"/>
    <d v="2026-01-07T00:00:00"/>
    <s v="SF"/>
    <s v="PP/PE Fabric"/>
    <s v="PP Lam Fabric"/>
    <x v="1"/>
    <s v="PP Lam Fabric With UV"/>
    <n v="400"/>
    <n v="61896"/>
    <s v="PP Lam Fabric With UV"/>
    <n v="0"/>
    <n v="9"/>
    <n v="5570.64"/>
    <n v="9"/>
    <n v="5570.64"/>
    <n v="0"/>
    <n v="0"/>
    <n v="0"/>
    <n v="11141.28"/>
    <n v="0"/>
    <s v="24AAACO3087C1ZT"/>
    <s v="Kgs"/>
    <n v="63053300"/>
    <s v="Rs."/>
    <n v="1"/>
    <n v="400"/>
  </r>
  <r>
    <d v="2026-01-07T00:00:00"/>
    <x v="0"/>
    <s v="R.M.P."/>
    <s v="RM 325"/>
    <s v="Purchase Withinstate - Raw Material"/>
    <s v="PIL1/D/876"/>
    <d v="2026-01-07T00:00:00"/>
    <s v="SF"/>
    <s v="Webbing"/>
    <s v="PP Webbing"/>
    <x v="4"/>
    <s v="Webbing"/>
    <n v="236.8"/>
    <n v="35458.43"/>
    <s v="Webbing"/>
    <n v="0"/>
    <n v="9"/>
    <n v="3191.26"/>
    <n v="9"/>
    <n v="3191.26"/>
    <n v="0"/>
    <n v="0"/>
    <n v="0"/>
    <n v="6382.52"/>
    <n v="0"/>
    <s v="24AAACO3087C1ZT"/>
    <s v="Kgs"/>
    <n v="3926908"/>
    <s v="Rs."/>
    <n v="1"/>
    <n v="236.8"/>
  </r>
  <r>
    <d v="2026-01-07T00:00:00"/>
    <x v="0"/>
    <s v="R.M.P."/>
    <s v="RM 325"/>
    <s v="Purchase Withinstate - Raw Material"/>
    <s v="PIL1/D/876"/>
    <d v="2026-01-07T00:00:00"/>
    <s v="SF"/>
    <s v="Webbing"/>
    <s v="PP Webbing"/>
    <x v="4"/>
    <s v="Webbing"/>
    <n v="1091.9000000000001"/>
    <n v="166776.81"/>
    <s v="Webbing"/>
    <n v="0"/>
    <n v="9"/>
    <n v="15009.91"/>
    <n v="9"/>
    <n v="15009.91"/>
    <n v="0"/>
    <n v="0"/>
    <n v="0"/>
    <n v="30019.82"/>
    <n v="0"/>
    <s v="24AAACO3087C1ZT"/>
    <s v="Kgs"/>
    <n v="3926908"/>
    <s v="Rs."/>
    <n v="1"/>
    <n v="1091.9000000000001"/>
  </r>
  <r>
    <d v="2026-01-07T00:00:00"/>
    <x v="0"/>
    <s v="R.M.P."/>
    <s v="RM 325"/>
    <s v="Purchase Withinstate - Raw Material"/>
    <s v="PIL1/D/876"/>
    <d v="2026-01-07T00:00:00"/>
    <s v="SF"/>
    <s v="Webbing"/>
    <s v="PP Webbing"/>
    <x v="4"/>
    <s v="Webbing"/>
    <n v="9.8000000000000007"/>
    <n v="1702.65"/>
    <s v="Webbing"/>
    <n v="0"/>
    <n v="9"/>
    <n v="153.24"/>
    <n v="9"/>
    <n v="153.24"/>
    <n v="0"/>
    <n v="0"/>
    <n v="0"/>
    <n v="306.48"/>
    <n v="0"/>
    <s v="24AAACO3087C1ZT"/>
    <s v="Kgs"/>
    <n v="3926908"/>
    <s v="Rs."/>
    <n v="1"/>
    <n v="9.8000000000000007"/>
  </r>
  <r>
    <d v="2026-01-07T00:00:00"/>
    <x v="0"/>
    <s v="R.M.P."/>
    <s v="RM 325"/>
    <s v="Purchase Withinstate - Raw Material"/>
    <s v="PIL1/D/876"/>
    <d v="2026-01-07T00:00:00"/>
    <s v="SF"/>
    <s v="PP/PE Fabric"/>
    <s v="PP UL Fabric"/>
    <x v="2"/>
    <s v="PP UL Fabric With UV"/>
    <n v="392"/>
    <n v="57914.080000000002"/>
    <s v="PP UL Fabric With UV"/>
    <n v="0"/>
    <n v="9"/>
    <n v="5212.2700000000004"/>
    <n v="9"/>
    <n v="5212.2700000000004"/>
    <n v="0"/>
    <n v="0"/>
    <n v="0"/>
    <n v="10424.540000000001"/>
    <n v="0"/>
    <s v="24AAACO3087C1ZT"/>
    <s v="Kgs"/>
    <n v="39269080"/>
    <s v="Rs."/>
    <n v="1"/>
    <n v="392"/>
  </r>
  <r>
    <d v="2026-02-07T00:00:00"/>
    <x v="0"/>
    <s v="General Purchase"/>
    <s v="GNCN 235"/>
    <s v="Purchase Withinstate- Stores, Spares &amp; Consumable"/>
    <s v="PIL1/D/887"/>
    <d v="2026-02-07T00:00:00"/>
    <s v="Stores/Spares"/>
    <s v="MS Structure Items"/>
    <s v="Spares &amp; Stores"/>
    <x v="0"/>
    <s v="MS Pipe 4  C Class"/>
    <n v="194"/>
    <n v="9312"/>
    <s v="MS Pipe 4  C Class"/>
    <n v="10978.85"/>
    <n v="9"/>
    <n v="838.08"/>
    <n v="9"/>
    <n v="838.08"/>
    <n v="0"/>
    <n v="0"/>
    <n v="0"/>
    <n v="1676.16"/>
    <n v="0"/>
    <s v="24AAACO3087C1ZT"/>
    <s v="Kgs"/>
    <n v="73063090"/>
    <s v="Rs."/>
    <n v="1"/>
    <n v="0"/>
  </r>
  <r>
    <d v="2026-02-07T00:00:00"/>
    <x v="0"/>
    <s v="R.M.P."/>
    <s v="RM 326"/>
    <s v="Purchase Withinstate - Raw Material"/>
    <s v="PIL1/D/877"/>
    <d v="2026-01-07T00:00:00"/>
    <s v="SF"/>
    <s v="PP/PE Fabric"/>
    <s v="PP UL Fabric"/>
    <x v="2"/>
    <s v="PP UL Fabric With UV"/>
    <n v="491"/>
    <n v="73522.34"/>
    <s v="PP UL Fabric With UV"/>
    <n v="355449.38"/>
    <n v="9"/>
    <n v="6617.01"/>
    <n v="9"/>
    <n v="6617.01"/>
    <n v="0"/>
    <n v="0"/>
    <n v="0"/>
    <n v="13234.02"/>
    <n v="0"/>
    <s v="24AAACO3087C1ZT"/>
    <s v="Kgs"/>
    <n v="39269080"/>
    <s v="Rs."/>
    <n v="1"/>
    <n v="491"/>
  </r>
  <r>
    <d v="2026-02-07T00:00:00"/>
    <x v="0"/>
    <s v="R.M.P."/>
    <s v="RM 326"/>
    <s v="Purchase Withinstate - Raw Material"/>
    <s v="PIL1/D/877"/>
    <d v="2026-01-07T00:00:00"/>
    <s v="FG"/>
    <s v="FIBC WIP"/>
    <s v="FIBC WIP"/>
    <x v="5"/>
    <s v="PP Woven Fabric"/>
    <n v="500"/>
    <n v="78870"/>
    <s v="FIBC WIP"/>
    <n v="0"/>
    <n v="9"/>
    <n v="7098.3"/>
    <n v="9"/>
    <n v="7098.3"/>
    <n v="0"/>
    <n v="0"/>
    <n v="0"/>
    <n v="14196.6"/>
    <n v="0"/>
    <s v="24AAACO3087C1ZT"/>
    <s v="Kgs"/>
    <n v="39269080"/>
    <s v="Rs."/>
    <n v="1"/>
    <n v="500"/>
  </r>
  <r>
    <d v="2026-02-07T00:00:00"/>
    <x v="0"/>
    <s v="R.M.P."/>
    <s v="RM 326"/>
    <s v="Purchase Withinstate - Raw Material"/>
    <s v="PIL1/D/877"/>
    <d v="2026-01-07T00:00:00"/>
    <s v="FG"/>
    <s v="FIBC WIP"/>
    <s v="FIBC WIP"/>
    <x v="5"/>
    <s v="PP Woven Fabric"/>
    <n v="594"/>
    <n v="94885.56"/>
    <s v="FIBC WIP"/>
    <n v="0"/>
    <n v="9"/>
    <n v="8539.7000000000007"/>
    <n v="9"/>
    <n v="8539.7000000000007"/>
    <n v="0"/>
    <n v="0"/>
    <n v="0"/>
    <n v="17079.400000000001"/>
    <n v="0"/>
    <s v="24AAACO3087C1ZT"/>
    <s v="Kgs"/>
    <n v="39269080"/>
    <s v="Rs."/>
    <n v="1"/>
    <n v="594"/>
  </r>
  <r>
    <d v="2026-02-07T00:00:00"/>
    <x v="0"/>
    <s v="R.M.P."/>
    <s v="RM 326"/>
    <s v="Purchase Withinstate - Raw Material"/>
    <s v="PIL1/D/877"/>
    <d v="2026-01-07T00:00:00"/>
    <s v="SF"/>
    <s v="PP/PE Fabric"/>
    <s v="PP Lam Fabric"/>
    <x v="1"/>
    <s v="PP Lam Fabric With UV"/>
    <n v="362"/>
    <n v="54205.88"/>
    <s v="PP Lam Fabric With UV"/>
    <n v="0"/>
    <n v="9"/>
    <n v="4878.53"/>
    <n v="9"/>
    <n v="4878.53"/>
    <n v="0"/>
    <n v="0"/>
    <n v="0"/>
    <n v="9757.06"/>
    <n v="0"/>
    <s v="24AAACO3087C1ZT"/>
    <s v="Kgs"/>
    <n v="63053300"/>
    <s v="Rs."/>
    <n v="1"/>
    <n v="362"/>
  </r>
  <r>
    <d v="2026-02-07T00:00:00"/>
    <x v="0"/>
    <s v="R.M.P."/>
    <s v="RM 327"/>
    <s v="Purchase Withinstate - Raw Material"/>
    <s v="PIL1/D/884"/>
    <d v="2026-02-07T00:00:00"/>
    <s v="SF"/>
    <s v="Liners"/>
    <s v="LDPE/LLDPE Bags"/>
    <x v="3"/>
    <s v="LDPE/LLDPE Bags/Liner"/>
    <n v="435"/>
    <n v="78800.25"/>
    <s v="LDPE/LLDPE Bags/Liner"/>
    <n v="1680960.96"/>
    <n v="9"/>
    <n v="7092.02"/>
    <n v="9"/>
    <n v="7092.02"/>
    <n v="0"/>
    <n v="0"/>
    <n v="0"/>
    <n v="14184.04"/>
    <n v="0"/>
    <s v="24AAACO3087C1ZT"/>
    <s v="Kgs"/>
    <n v="39200000"/>
    <s v="Rs."/>
    <n v="1"/>
    <n v="435"/>
  </r>
  <r>
    <d v="2026-02-07T00:00:00"/>
    <x v="0"/>
    <s v="R.M.P."/>
    <s v="RM 327"/>
    <s v="Purchase Withinstate - Raw Material"/>
    <s v="PIL1/D/884"/>
    <d v="2026-02-07T00:00:00"/>
    <s v="SF"/>
    <s v="PP/PE Fabric"/>
    <s v="PP UL Fabric"/>
    <x v="2"/>
    <s v="PP UL Fabric With UV"/>
    <n v="3302"/>
    <n v="487837.48"/>
    <s v="PP UL Fabric With UV"/>
    <n v="0"/>
    <n v="9"/>
    <n v="43905.37"/>
    <n v="9"/>
    <n v="43905.37"/>
    <n v="0"/>
    <n v="0"/>
    <n v="0"/>
    <n v="87810.74"/>
    <n v="0"/>
    <s v="24AAACO3087C1ZT"/>
    <s v="Kgs"/>
    <n v="39269080"/>
    <s v="Rs."/>
    <n v="1"/>
    <n v="3302"/>
  </r>
  <r>
    <d v="2026-02-07T00:00:00"/>
    <x v="0"/>
    <s v="R.M.P."/>
    <s v="RM 327"/>
    <s v="Purchase Withinstate - Raw Material"/>
    <s v="PIL1/D/884"/>
    <d v="2026-02-07T00:00:00"/>
    <s v="SF"/>
    <s v="PP/PE Fabric"/>
    <s v="PP UL Fabric"/>
    <x v="2"/>
    <s v="PP UL Fabric With UV"/>
    <n v="268"/>
    <n v="40398.32"/>
    <s v="PP UL Fabric With UV"/>
    <n v="0"/>
    <n v="9"/>
    <n v="3635.85"/>
    <n v="9"/>
    <n v="3635.85"/>
    <n v="0"/>
    <n v="0"/>
    <n v="0"/>
    <n v="7271.7"/>
    <n v="0"/>
    <s v="24AAACO3087C1ZT"/>
    <s v="Kgs"/>
    <n v="39269080"/>
    <s v="Rs."/>
    <n v="1"/>
    <n v="268"/>
  </r>
  <r>
    <d v="2026-02-07T00:00:00"/>
    <x v="0"/>
    <s v="R.M.P."/>
    <s v="RM 327"/>
    <s v="Purchase Withinstate - Raw Material"/>
    <s v="PIL1/D/884"/>
    <d v="2026-02-07T00:00:00"/>
    <s v="SF"/>
    <s v="PP/PE Fabric"/>
    <s v="PP UL Fabric"/>
    <x v="2"/>
    <s v="PP UL Fabric With UV"/>
    <n v="3266"/>
    <n v="489050.84"/>
    <s v="PP UL Fabric With UV"/>
    <n v="0"/>
    <n v="9"/>
    <n v="44014.58"/>
    <n v="9"/>
    <n v="44014.58"/>
    <n v="0"/>
    <n v="0"/>
    <n v="0"/>
    <n v="88029.16"/>
    <n v="0"/>
    <s v="24AAACO3087C1ZT"/>
    <s v="Kgs"/>
    <n v="39269080"/>
    <s v="Rs."/>
    <n v="1"/>
    <n v="3266"/>
  </r>
  <r>
    <d v="2026-02-07T00:00:00"/>
    <x v="0"/>
    <s v="R.M.P."/>
    <s v="RM 327"/>
    <s v="Purchase Withinstate - Raw Material"/>
    <s v="PIL1/D/884"/>
    <d v="2026-02-07T00:00:00"/>
    <s v="SF"/>
    <s v="PP/PE Fabric"/>
    <s v="PP Lam Fabric"/>
    <x v="1"/>
    <s v="PP Lam Fabric With UV"/>
    <n v="1268"/>
    <n v="196210.32"/>
    <s v="PP Lam Fabric With UV"/>
    <n v="0"/>
    <n v="9"/>
    <n v="17658.93"/>
    <n v="9"/>
    <n v="17658.93"/>
    <n v="0"/>
    <n v="0"/>
    <n v="0"/>
    <n v="35317.86"/>
    <n v="0"/>
    <s v="24AAACO3087C1ZT"/>
    <s v="Kgs"/>
    <n v="63053300"/>
    <s v="Rs."/>
    <n v="1"/>
    <n v="1268"/>
  </r>
  <r>
    <d v="2026-02-07T00:00:00"/>
    <x v="0"/>
    <s v="R.M.P."/>
    <s v="RM 327"/>
    <s v="Purchase Withinstate - Raw Material"/>
    <s v="PIL1/D/884"/>
    <d v="2026-02-07T00:00:00"/>
    <s v="SF"/>
    <s v="PP/PE Fabric"/>
    <s v="PP Lam Fabric"/>
    <x v="1"/>
    <s v="PP Lam Fabric With UV"/>
    <n v="341"/>
    <n v="51743.34"/>
    <s v="PP Lam Fabric With UV"/>
    <n v="0"/>
    <n v="9"/>
    <n v="4656.8999999999996"/>
    <n v="9"/>
    <n v="4656.8999999999996"/>
    <n v="0"/>
    <n v="0"/>
    <n v="0"/>
    <n v="9313.7999999999993"/>
    <n v="0"/>
    <s v="24AAACO3087C1ZT"/>
    <s v="Kgs"/>
    <n v="63053300"/>
    <s v="Rs."/>
    <n v="1"/>
    <n v="341"/>
  </r>
  <r>
    <d v="2026-02-07T00:00:00"/>
    <x v="0"/>
    <s v="R.M.P."/>
    <s v="RM 327"/>
    <s v="Purchase Withinstate - Raw Material"/>
    <s v="PIL1/D/884"/>
    <d v="2026-02-07T00:00:00"/>
    <s v="SF"/>
    <s v="PP/PE Fabric"/>
    <s v="PP Lam Fabric"/>
    <x v="1"/>
    <s v="PP Lam Fabric With UV"/>
    <n v="320"/>
    <n v="49516.800000000003"/>
    <s v="PP Lam Fabric With UV"/>
    <n v="0"/>
    <n v="9"/>
    <n v="4456.51"/>
    <n v="9"/>
    <n v="4456.51"/>
    <n v="0"/>
    <n v="0"/>
    <n v="0"/>
    <n v="8913.02"/>
    <n v="0"/>
    <s v="24AAACO3087C1ZT"/>
    <s v="Kgs"/>
    <n v="63053300"/>
    <s v="Rs."/>
    <n v="1"/>
    <n v="320"/>
  </r>
  <r>
    <d v="2026-02-07T00:00:00"/>
    <x v="0"/>
    <s v="R.M.P."/>
    <s v="RM 327"/>
    <s v="Purchase Withinstate - Raw Material"/>
    <s v="PIL1/D/884"/>
    <d v="2026-02-07T00:00:00"/>
    <s v="SF"/>
    <s v="PP/PE Fabric"/>
    <s v="PP Lam Fabric"/>
    <x v="1"/>
    <s v="PP Lam Fabric With UV"/>
    <n v="215"/>
    <n v="32194.1"/>
    <s v="PP Lam Fabric With UV"/>
    <n v="0"/>
    <n v="9"/>
    <n v="2897.47"/>
    <n v="9"/>
    <n v="2897.47"/>
    <n v="0"/>
    <n v="0"/>
    <n v="0"/>
    <n v="5794.94"/>
    <n v="0"/>
    <s v="24AAACO3087C1ZT"/>
    <s v="Kgs"/>
    <n v="63053300"/>
    <s v="Rs."/>
    <n v="1"/>
    <n v="215"/>
  </r>
  <r>
    <d v="2026-02-07T00:00:00"/>
    <x v="0"/>
    <s v="R.M.P."/>
    <s v="RM 328"/>
    <s v="Purchase Withinstate - Raw Material"/>
    <s v="PIL1/D/888"/>
    <d v="2026-02-07T00:00:00"/>
    <s v="RM Consumables"/>
    <s v="FIBC Accessories"/>
    <s v="FIBC Accessories"/>
    <x v="0"/>
    <s v="Zip Lock Bags"/>
    <n v="22400"/>
    <n v="72549.119999999995"/>
    <s v="Zip Lock Bags"/>
    <n v="1905132.32"/>
    <n v="9"/>
    <n v="6529.42"/>
    <n v="9"/>
    <n v="6529.42"/>
    <n v="0"/>
    <n v="0"/>
    <n v="0"/>
    <n v="13058.84"/>
    <n v="0"/>
    <s v="24AAACO3087C1ZT"/>
    <s v="Pcs"/>
    <n v="39232100"/>
    <s v="Rs."/>
    <n v="1"/>
    <n v="22400"/>
  </r>
  <r>
    <d v="2026-02-07T00:00:00"/>
    <x v="0"/>
    <s v="R.M.P."/>
    <s v="RM 328"/>
    <s v="Purchase Withinstate - Raw Material"/>
    <s v="PIL1/D/888"/>
    <d v="2026-02-07T00:00:00"/>
    <s v="SF"/>
    <s v="Liners"/>
    <s v="LDPE/LLDPE Bags"/>
    <x v="3"/>
    <s v="LDPE/LLDPE Bags/Liner"/>
    <n v="7060"/>
    <n v="1307159"/>
    <s v="LDPE/LLDPE Bags/Liner"/>
    <n v="0"/>
    <n v="9"/>
    <n v="117644.31"/>
    <n v="9"/>
    <n v="117644.31"/>
    <n v="0"/>
    <n v="0"/>
    <n v="0"/>
    <n v="235288.62"/>
    <n v="0"/>
    <s v="24AAACO3087C1ZT"/>
    <s v="Kgs"/>
    <n v="39200000"/>
    <s v="Rs."/>
    <n v="1"/>
    <n v="7060"/>
  </r>
  <r>
    <d v="2026-02-07T00:00:00"/>
    <x v="0"/>
    <s v="R.M.P."/>
    <s v="RM 328"/>
    <s v="Purchase Withinstate - Raw Material"/>
    <s v="PIL1/D/888"/>
    <d v="2026-02-07T00:00:00"/>
    <s v="SF"/>
    <s v="Webbing"/>
    <s v="PP Webbing"/>
    <x v="4"/>
    <s v="Webbing"/>
    <n v="1351.1"/>
    <n v="206367.01"/>
    <s v="Webbing"/>
    <n v="0"/>
    <n v="9"/>
    <n v="18573.03"/>
    <n v="9"/>
    <n v="18573.03"/>
    <n v="0"/>
    <n v="0"/>
    <n v="0"/>
    <n v="37146.06"/>
    <n v="0"/>
    <s v="24AAACO3087C1ZT"/>
    <s v="Kgs"/>
    <n v="3926908"/>
    <s v="Rs."/>
    <n v="1"/>
    <n v="1351.1"/>
  </r>
  <r>
    <d v="2026-02-07T00:00:00"/>
    <x v="0"/>
    <s v="R.M.P."/>
    <s v="RM 328"/>
    <s v="Purchase Withinstate - Raw Material"/>
    <s v="PIL1/D/888"/>
    <d v="2026-02-07T00:00:00"/>
    <s v="SF"/>
    <s v="Webbing"/>
    <s v="PP Webbing"/>
    <x v="4"/>
    <s v="Webbing"/>
    <n v="6.8"/>
    <n v="1181.43"/>
    <s v="Webbing"/>
    <n v="0"/>
    <n v="9"/>
    <n v="106.33"/>
    <n v="9"/>
    <n v="106.33"/>
    <n v="0"/>
    <n v="0"/>
    <n v="0"/>
    <n v="212.66"/>
    <n v="0"/>
    <s v="24AAACO3087C1ZT"/>
    <s v="Kgs"/>
    <n v="3926908"/>
    <s v="Rs."/>
    <n v="1"/>
    <n v="6.8"/>
  </r>
  <r>
    <d v="2026-02-07T00:00:00"/>
    <x v="0"/>
    <s v="R.M.P."/>
    <s v="RM 328"/>
    <s v="Purchase Withinstate - Raw Material"/>
    <s v="PIL1/D/888"/>
    <d v="2026-02-07T00:00:00"/>
    <s v="SF"/>
    <s v="Webbing"/>
    <s v="PP Webbing"/>
    <x v="4"/>
    <s v="Webbing"/>
    <n v="191.2"/>
    <n v="28630.29"/>
    <s v="Webbing"/>
    <n v="0"/>
    <n v="9"/>
    <n v="2576.73"/>
    <n v="9"/>
    <n v="2576.73"/>
    <n v="0"/>
    <n v="0"/>
    <n v="0"/>
    <n v="5153.46"/>
    <n v="0"/>
    <s v="24AAACO3087C1ZT"/>
    <s v="Kgs"/>
    <n v="3926908"/>
    <s v="Rs."/>
    <n v="1"/>
    <n v="191.2"/>
  </r>
  <r>
    <d v="2026-02-07T00:00:00"/>
    <x v="1"/>
    <s v="R.M.P."/>
    <s v="RM 329"/>
    <s v="Purchase Withinstate - Raw Material"/>
    <s v="PPL/D/303"/>
    <d v="2026-02-07T00:00:00"/>
    <s v="SF"/>
    <s v="Liners"/>
    <s v="LDPE/LLDPE Bags"/>
    <x v="3"/>
    <s v="LDPE/LLDPE Bags/Liner"/>
    <n v="60"/>
    <n v="11580"/>
    <s v="LDPE/LLDPE Bags/Liner"/>
    <n v="13652.82"/>
    <n v="9"/>
    <n v="1042.2"/>
    <n v="9"/>
    <n v="1042.2"/>
    <n v="0"/>
    <n v="0"/>
    <n v="0"/>
    <n v="2084.4"/>
    <n v="0"/>
    <s v="24AAFCP2956A1ZR"/>
    <s v="Kgs"/>
    <n v="39200000"/>
    <s v="Rs."/>
    <n v="1"/>
    <n v="60"/>
  </r>
  <r>
    <d v="2026-03-07T00:00:00"/>
    <x v="2"/>
    <s v="General Purchase"/>
    <s v="GNSP 110"/>
    <s v="Purchase Withinstate- Stores, Spares &amp; Consumable"/>
    <n v="240"/>
    <s v="26-06-2026"/>
    <s v="Stores/Spares"/>
    <s v="Lamination Plant Spares"/>
    <s v="Spares &amp; Stores"/>
    <x v="0"/>
    <s v="Coating Steel Roller"/>
    <n v="2"/>
    <n v="26200"/>
    <s v="Coating Steel Roller"/>
    <n v="30916"/>
    <n v="9"/>
    <n v="2358"/>
    <n v="9"/>
    <n v="2358"/>
    <n v="0"/>
    <n v="0"/>
    <n v="0"/>
    <n v="4716"/>
    <n v="0"/>
    <s v="24ABNFA9143N1ZY"/>
    <s v="Pcs"/>
    <n v="84779000"/>
    <s v="Rs."/>
    <n v="1"/>
    <n v="0"/>
  </r>
  <r>
    <d v="2026-03-07T00:00:00"/>
    <x v="3"/>
    <s v="General Purchase"/>
    <s v="GNSP 108"/>
    <s v="Purchase Withinstate- Stores, Spares &amp; Consumable"/>
    <s v="CES/26-27/776"/>
    <s v="30-06-2026"/>
    <s v="Stores/Spares"/>
    <s v="PVC Fittings"/>
    <s v="Spares &amp; Stores"/>
    <x v="0"/>
    <s v="Pvc Flexible Pipe 25 mm"/>
    <n v="200"/>
    <n v="2400"/>
    <s v="Pvc Flexible Pipe 25 mm"/>
    <n v="2832"/>
    <n v="9"/>
    <n v="216"/>
    <n v="9"/>
    <n v="216"/>
    <n v="0"/>
    <n v="0"/>
    <n v="0"/>
    <n v="432"/>
    <n v="0"/>
    <s v="24AAIPH7590J1ZE"/>
    <s v="MTR"/>
    <n v="391731"/>
    <s v="Rs."/>
    <n v="1"/>
    <n v="0"/>
  </r>
  <r>
    <d v="2026-03-07T00:00:00"/>
    <x v="3"/>
    <s v="General Purchase"/>
    <s v="GNSP 109"/>
    <s v="Purchase Withinstate- Stores, Spares &amp; Consumable"/>
    <s v="CES/26-27/777"/>
    <s v="30-06-2026"/>
    <s v="Stores/Spares"/>
    <s v="Capacitors"/>
    <s v="Spares &amp; Stores"/>
    <x v="0"/>
    <s v="Capacitor 2.5 Mfd"/>
    <n v="70"/>
    <n v="1680"/>
    <s v="Capacitor 2.5 Mfd"/>
    <n v="1982"/>
    <n v="9"/>
    <n v="151.19999999999999"/>
    <n v="9"/>
    <n v="151.19999999999999"/>
    <n v="0"/>
    <n v="0"/>
    <n v="0"/>
    <n v="302.39999999999998"/>
    <n v="0"/>
    <s v="24AAIPH7590J1ZE"/>
    <s v="Pcs"/>
    <n v="85322500"/>
    <s v="Rs."/>
    <n v="1"/>
    <n v="0"/>
  </r>
  <r>
    <d v="2026-03-07T00:00:00"/>
    <x v="0"/>
    <s v="General Purchase"/>
    <s v="GNCN 236"/>
    <s v="Purchase Withinstate- Stores, Spares &amp; Consumable"/>
    <s v="PIL1/D/895"/>
    <d v="2026-03-07T00:00:00"/>
    <s v="Stores/Spares"/>
    <s v="MS Structure Items"/>
    <s v="Spares &amp; Stores"/>
    <x v="0"/>
    <s v="MS Pipe 4  C Class"/>
    <n v="205"/>
    <n v="9840"/>
    <s v="MS Pipe 4  C Class"/>
    <n v="11601.36"/>
    <n v="9"/>
    <n v="885.6"/>
    <n v="9"/>
    <n v="885.6"/>
    <n v="0"/>
    <n v="0"/>
    <n v="0"/>
    <n v="1771.2"/>
    <n v="0"/>
    <s v="24AAACO3087C1ZT"/>
    <s v="Kgs"/>
    <n v="73063090"/>
    <s v="Rs."/>
    <n v="1"/>
    <n v="0"/>
  </r>
  <r>
    <d v="2026-03-07T00:00:00"/>
    <x v="0"/>
    <s v="R.M.P."/>
    <s v="RM 331"/>
    <s v="Purchase Withinstate - Raw Material"/>
    <s v="PIL1/D/893"/>
    <d v="2026-03-07T00:00:00"/>
    <s v="SF"/>
    <s v="PP/PE Fabric"/>
    <s v="PP UL Fabric"/>
    <x v="2"/>
    <s v="PP UL Fabric With UV"/>
    <n v="554"/>
    <n v="83509.960000000006"/>
    <s v="PP UL Fabric With UV"/>
    <n v="1308699.0900000001"/>
    <n v="9"/>
    <n v="7515.9"/>
    <n v="9"/>
    <n v="7515.9"/>
    <n v="0"/>
    <n v="0"/>
    <n v="0"/>
    <n v="15031.8"/>
    <n v="0"/>
    <s v="24AAACO3087C1ZT"/>
    <s v="Kgs"/>
    <n v="39269080"/>
    <s v="Rs."/>
    <n v="1"/>
    <n v="554"/>
  </r>
  <r>
    <d v="2026-03-07T00:00:00"/>
    <x v="0"/>
    <s v="R.M.P."/>
    <s v="RM 331"/>
    <s v="Purchase Withinstate - Raw Material"/>
    <s v="PIL1/D/893"/>
    <d v="2026-03-07T00:00:00"/>
    <s v="SF"/>
    <s v="PP/PE Fabric"/>
    <s v="PP UL Fabric"/>
    <x v="2"/>
    <s v="PP UL Fabric With UV"/>
    <n v="3472"/>
    <n v="519897.28"/>
    <s v="PP UL Fabric With UV"/>
    <n v="0"/>
    <n v="9"/>
    <n v="46790.76"/>
    <n v="9"/>
    <n v="46790.76"/>
    <n v="0"/>
    <n v="0"/>
    <n v="0"/>
    <n v="93581.52"/>
    <n v="0"/>
    <s v="24AAACO3087C1ZT"/>
    <s v="Kgs"/>
    <n v="39269080"/>
    <s v="Rs."/>
    <n v="1"/>
    <n v="3472"/>
  </r>
  <r>
    <d v="2026-03-07T00:00:00"/>
    <x v="0"/>
    <s v="R.M.P."/>
    <s v="RM 331"/>
    <s v="Purchase Withinstate - Raw Material"/>
    <s v="PIL1/D/893"/>
    <d v="2026-03-07T00:00:00"/>
    <s v="SF"/>
    <s v="PP/PE Fabric"/>
    <s v="PP UL Fabric"/>
    <x v="2"/>
    <s v="PP UL Fabric With UV"/>
    <n v="3429"/>
    <n v="506600.46"/>
    <s v="PP UL Fabric With UV"/>
    <n v="0"/>
    <n v="9"/>
    <n v="45594.04"/>
    <n v="9"/>
    <n v="45594.04"/>
    <n v="0"/>
    <n v="0"/>
    <n v="0"/>
    <n v="91188.08"/>
    <n v="0"/>
    <s v="24AAACO3087C1ZT"/>
    <s v="Kgs"/>
    <n v="39269080"/>
    <s v="Rs."/>
    <n v="1"/>
    <n v="3429"/>
  </r>
  <r>
    <d v="2026-03-07T00:00:00"/>
    <x v="0"/>
    <s v="R.M.P."/>
    <s v="RM 332"/>
    <s v="Purchase Withinstate - Raw Material"/>
    <s v="PIL1/D/896"/>
    <d v="2026-03-07T00:00:00"/>
    <s v="SF"/>
    <s v="Liners"/>
    <s v="LDPE/LLDPE Bags"/>
    <x v="3"/>
    <s v="LDPE/LLDPE Bags/Liner"/>
    <n v="3398"/>
    <n v="615547.69999999995"/>
    <s v="LDPE/LLDPE Bags/Liner"/>
    <n v="1694395.92"/>
    <n v="9"/>
    <n v="55399.29"/>
    <n v="9"/>
    <n v="55399.29"/>
    <n v="0"/>
    <n v="0"/>
    <n v="0"/>
    <n v="110798.58"/>
    <n v="0"/>
    <s v="24AAACO3087C1ZT"/>
    <s v="Kgs"/>
    <n v="39200000"/>
    <s v="Rs."/>
    <n v="1"/>
    <n v="3398"/>
  </r>
  <r>
    <d v="2026-03-07T00:00:00"/>
    <x v="0"/>
    <s v="R.M.P."/>
    <s v="RM 332"/>
    <s v="Purchase Withinstate - Raw Material"/>
    <s v="PIL1/D/896"/>
    <d v="2026-03-07T00:00:00"/>
    <s v="SF"/>
    <s v="Liners"/>
    <s v="LDPE/LLDPE Bags"/>
    <x v="3"/>
    <s v="LDPE/LLDPE Bags/Liner"/>
    <n v="1730"/>
    <n v="320309.5"/>
    <s v="LDPE/LLDPE Bags/Liner"/>
    <n v="0"/>
    <n v="9"/>
    <n v="28827.86"/>
    <n v="9"/>
    <n v="28827.86"/>
    <n v="0"/>
    <n v="0"/>
    <n v="0"/>
    <n v="57655.72"/>
    <n v="0"/>
    <s v="24AAACO3087C1ZT"/>
    <s v="Kgs"/>
    <n v="39200000"/>
    <s v="Rs."/>
    <n v="1"/>
    <n v="1730"/>
  </r>
  <r>
    <d v="2026-03-07T00:00:00"/>
    <x v="0"/>
    <s v="R.M.P."/>
    <s v="RM 332"/>
    <s v="Purchase Withinstate - Raw Material"/>
    <s v="PIL1/D/896"/>
    <d v="2026-03-07T00:00:00"/>
    <s v="SF"/>
    <s v="PP/PE Fabric"/>
    <s v="PP UL Fabric"/>
    <x v="2"/>
    <s v="PP UL Fabric With UV"/>
    <n v="1648"/>
    <n v="243475.52"/>
    <s v="PP UL Fabric With UV"/>
    <n v="0"/>
    <n v="9"/>
    <n v="21912.799999999999"/>
    <n v="9"/>
    <n v="21912.799999999999"/>
    <n v="0"/>
    <n v="0"/>
    <n v="0"/>
    <n v="43825.599999999999"/>
    <n v="0"/>
    <s v="24AAACO3087C1ZT"/>
    <s v="Kgs"/>
    <n v="39269080"/>
    <s v="Rs."/>
    <n v="1"/>
    <n v="1648"/>
  </r>
  <r>
    <d v="2026-03-07T00:00:00"/>
    <x v="0"/>
    <s v="R.M.P."/>
    <s v="RM 332"/>
    <s v="Purchase Withinstate - Raw Material"/>
    <s v="PIL1/D/896"/>
    <d v="2026-03-07T00:00:00"/>
    <s v="SF"/>
    <s v="Webbing"/>
    <s v="PP Webbing"/>
    <x v="4"/>
    <s v="Webbing"/>
    <n v="192.1"/>
    <n v="28765.05"/>
    <s v="Webbing"/>
    <n v="0"/>
    <n v="9"/>
    <n v="2588.85"/>
    <n v="9"/>
    <n v="2588.85"/>
    <n v="0"/>
    <n v="0"/>
    <n v="0"/>
    <n v="5177.7"/>
    <n v="0"/>
    <s v="24AAACO3087C1ZT"/>
    <s v="Kgs"/>
    <n v="3926908"/>
    <s v="Rs."/>
    <n v="1"/>
    <n v="192.1"/>
  </r>
  <r>
    <d v="2026-03-07T00:00:00"/>
    <x v="0"/>
    <s v="R.M.P."/>
    <s v="RM 332"/>
    <s v="Purchase Withinstate - Raw Material"/>
    <s v="PIL1/D/896"/>
    <d v="2026-03-07T00:00:00"/>
    <s v="SF"/>
    <s v="Webbing"/>
    <s v="PP Webbing"/>
    <x v="4"/>
    <s v="Webbing"/>
    <n v="1499.6"/>
    <n v="229048.9"/>
    <s v="Webbing"/>
    <n v="0"/>
    <n v="9"/>
    <n v="20614.400000000001"/>
    <n v="9"/>
    <n v="20614.400000000001"/>
    <n v="0"/>
    <n v="0"/>
    <n v="0"/>
    <n v="41228.800000000003"/>
    <n v="0"/>
    <s v="24AAACO3087C1ZT"/>
    <s v="Kgs"/>
    <n v="3926908"/>
    <s v="Rs."/>
    <n v="1"/>
    <n v="1499.6"/>
  </r>
  <r>
    <d v="2026-03-07T00:00:00"/>
    <x v="1"/>
    <s v="R.M.P."/>
    <s v="RM 330"/>
    <s v="Purchase Withinstate - Raw Material"/>
    <s v="PPL/D/304"/>
    <d v="2026-03-07T00:00:00"/>
    <s v="SF"/>
    <s v="Films All (SF)"/>
    <s v="PE Film"/>
    <x v="6"/>
    <s v="LDPE/LLDPE Film"/>
    <n v="44.5"/>
    <n v="11036"/>
    <s v="LDPE/LLDPE Film"/>
    <n v="13011.44"/>
    <n v="9"/>
    <n v="993.24"/>
    <n v="9"/>
    <n v="993.24"/>
    <n v="0"/>
    <n v="0"/>
    <n v="0"/>
    <n v="1986.48"/>
    <n v="0"/>
    <s v="24AAFCP2956A1ZR"/>
    <s v="Kgs"/>
    <n v="3920101"/>
    <s v="Rs."/>
    <n v="1"/>
    <n v="44.5"/>
  </r>
  <r>
    <d v="2026-04-07T00:00:00"/>
    <x v="0"/>
    <s v="R.M.P."/>
    <s v="RM 333"/>
    <s v="Purchase Withinstate - Raw Material"/>
    <s v="PIL1/D/907"/>
    <d v="2026-04-07T00:00:00"/>
    <s v="SF"/>
    <s v="Liners"/>
    <s v="LDPE/LLDPE Bags"/>
    <x v="3"/>
    <s v="LDPE/LLDPE Bags/Liner"/>
    <n v="6269"/>
    <n v="1135629.3500000001"/>
    <s v="LDPE/LLDPE Bags/Liner"/>
    <n v="1486253.99"/>
    <n v="9"/>
    <n v="102206.64"/>
    <n v="9"/>
    <n v="102206.64"/>
    <n v="0"/>
    <n v="0"/>
    <n v="0"/>
    <n v="204413.28"/>
    <n v="0"/>
    <s v="24AAACO3087C1ZT"/>
    <s v="Kgs"/>
    <n v="39200000"/>
    <s v="Rs."/>
    <n v="1"/>
    <n v="0"/>
  </r>
  <r>
    <d v="2026-04-07T00:00:00"/>
    <x v="0"/>
    <s v="R.M.P."/>
    <s v="RM 333"/>
    <s v="Purchase Withinstate - Raw Material"/>
    <s v="PIL1/D/907"/>
    <d v="2026-04-07T00:00:00"/>
    <s v="SF"/>
    <s v="Liners"/>
    <s v="LDPE/LLDPE Bags"/>
    <x v="3"/>
    <s v="LDPE/LLDPE Bags/Liner"/>
    <n v="675"/>
    <n v="124976.25"/>
    <s v="LDPE/LLDPE Bags/Liner"/>
    <n v="0"/>
    <n v="9"/>
    <n v="11247.86"/>
    <n v="9"/>
    <n v="11247.86"/>
    <n v="0"/>
    <n v="0"/>
    <n v="0"/>
    <n v="22495.72"/>
    <n v="0"/>
    <s v="24AAACO3087C1ZT"/>
    <s v="Kgs"/>
    <n v="39200000"/>
    <s v="Rs."/>
    <n v="1"/>
    <n v="0"/>
  </r>
  <r>
    <d v="2026-04-07T00:00:00"/>
    <x v="0"/>
    <s v="R.M.P."/>
    <s v="RM 335"/>
    <s v="Purchase Withinstate - Raw Material"/>
    <s v="PIL1/D/898"/>
    <d v="2026-03-07T00:00:00"/>
    <s v="FG"/>
    <s v="FIBC WIP"/>
    <s v="FIBC WIP"/>
    <x v="5"/>
    <s v="PP Woven Fabric"/>
    <n v="250"/>
    <n v="39435"/>
    <s v="FIBC WIP"/>
    <n v="294575.25"/>
    <n v="9"/>
    <n v="3549.15"/>
    <n v="9"/>
    <n v="3549.15"/>
    <n v="0"/>
    <n v="0"/>
    <n v="0"/>
    <n v="7098.3"/>
    <n v="0"/>
    <s v="24AAACO3087C1ZT"/>
    <s v="Kgs"/>
    <n v="39269080"/>
    <s v="Rs."/>
    <n v="1"/>
    <n v="0"/>
  </r>
  <r>
    <d v="2026-04-07T00:00:00"/>
    <x v="0"/>
    <s v="R.M.P."/>
    <s v="RM 335"/>
    <s v="Purchase Withinstate - Raw Material"/>
    <s v="PIL1/D/898"/>
    <d v="2026-03-07T00:00:00"/>
    <s v="FG"/>
    <s v="FIBC WIP"/>
    <s v="FIBC WIP"/>
    <x v="5"/>
    <s v="PP Woven Fabric"/>
    <n v="123"/>
    <n v="19648.02"/>
    <s v="FIBC WIP"/>
    <n v="0"/>
    <n v="9"/>
    <n v="1768.32"/>
    <n v="9"/>
    <n v="1768.32"/>
    <n v="0"/>
    <n v="0"/>
    <n v="0"/>
    <n v="3536.64"/>
    <n v="0"/>
    <s v="24AAACO3087C1ZT"/>
    <s v="Kgs"/>
    <n v="39269080"/>
    <s v="Rs."/>
    <n v="1"/>
    <n v="0"/>
  </r>
  <r>
    <d v="2026-04-07T00:00:00"/>
    <x v="0"/>
    <s v="R.M.P."/>
    <s v="RM 335"/>
    <s v="Purchase Withinstate - Raw Material"/>
    <s v="PIL1/D/898"/>
    <d v="2026-03-07T00:00:00"/>
    <s v="SF"/>
    <s v="PP/PE Fabric"/>
    <s v="PP UL Fabric"/>
    <x v="2"/>
    <s v="PP UL Fabric With UV"/>
    <n v="992"/>
    <n v="148542.07999999999"/>
    <s v="PP UL Fabric With UV"/>
    <n v="0"/>
    <n v="9"/>
    <n v="13368.79"/>
    <n v="9"/>
    <n v="13368.79"/>
    <n v="0"/>
    <n v="0"/>
    <n v="0"/>
    <n v="26737.58"/>
    <n v="0"/>
    <s v="24AAACO3087C1ZT"/>
    <s v="Kgs"/>
    <n v="39269080"/>
    <s v="Rs."/>
    <n v="1"/>
    <n v="0"/>
  </r>
  <r>
    <d v="2026-04-07T00:00:00"/>
    <x v="0"/>
    <s v="R.M.P."/>
    <s v="RM 335"/>
    <s v="Purchase Withinstate - Raw Material"/>
    <s v="PIL1/D/898"/>
    <d v="2026-03-07T00:00:00"/>
    <s v="SF"/>
    <s v="PP/PE Fabric"/>
    <s v="PP Lam Fabric"/>
    <x v="1"/>
    <s v="PP Lam Fabric With UV"/>
    <n v="282"/>
    <n v="42226.68"/>
    <s v="PP Lam Fabric With UV"/>
    <n v="0"/>
    <n v="9"/>
    <n v="3800.4"/>
    <n v="9"/>
    <n v="3800.4"/>
    <n v="0"/>
    <n v="0"/>
    <n v="0"/>
    <n v="7600.8"/>
    <n v="0"/>
    <s v="24AAACO3087C1ZT"/>
    <s v="Kgs"/>
    <n v="63053300"/>
    <s v="Rs."/>
    <n v="1"/>
    <n v="0"/>
  </r>
  <r>
    <d v="2026-04-07T00:00:00"/>
    <x v="0"/>
    <s v="R.M.P."/>
    <s v="RM 336"/>
    <s v="Purchase Withinstate - Raw Material"/>
    <s v="PIL1/D/905"/>
    <d v="2026-04-07T00:00:00"/>
    <s v="SF"/>
    <s v="PP/PE Fabric"/>
    <s v="PP UL Fabric"/>
    <x v="2"/>
    <s v="PP UL Fabric With UV"/>
    <n v="2760"/>
    <n v="413282.4"/>
    <s v="PP UL Fabric With UV"/>
    <n v="1459553.2"/>
    <n v="9"/>
    <n v="37195.42"/>
    <n v="9"/>
    <n v="37195.42"/>
    <n v="0"/>
    <n v="0"/>
    <n v="0"/>
    <n v="74390.84"/>
    <n v="0"/>
    <s v="24AAACO3087C1ZT"/>
    <s v="Kgs"/>
    <n v="39269080"/>
    <s v="Rs."/>
    <n v="1"/>
    <n v="0"/>
  </r>
  <r>
    <d v="2026-04-07T00:00:00"/>
    <x v="0"/>
    <s v="R.M.P."/>
    <s v="RM 336"/>
    <s v="Purchase Withinstate - Raw Material"/>
    <s v="PIL1/D/905"/>
    <d v="2026-04-07T00:00:00"/>
    <s v="SF"/>
    <s v="PP/PE Fabric"/>
    <s v="PP UL Fabric"/>
    <x v="2"/>
    <s v="PP UL Fabric With UV"/>
    <n v="4252"/>
    <n v="628190.48"/>
    <s v="PP UL Fabric With UV"/>
    <n v="0"/>
    <n v="9"/>
    <n v="56537.14"/>
    <n v="9"/>
    <n v="56537.14"/>
    <n v="0"/>
    <n v="0"/>
    <n v="0"/>
    <n v="113074.28"/>
    <n v="0"/>
    <s v="24AAACO3087C1ZT"/>
    <s v="Kgs"/>
    <n v="39269080"/>
    <s v="Rs."/>
    <n v="1"/>
    <n v="0"/>
  </r>
  <r>
    <d v="2026-04-07T00:00:00"/>
    <x v="0"/>
    <s v="R.M.P."/>
    <s v="RM 336"/>
    <s v="Purchase Withinstate - Raw Material"/>
    <s v="PIL1/D/905"/>
    <d v="2026-04-07T00:00:00"/>
    <s v="SF"/>
    <s v="PP/PE Fabric"/>
    <s v="PP UL Fabric"/>
    <x v="2"/>
    <s v="PP UL Fabric With UV"/>
    <n v="928"/>
    <n v="139886.72"/>
    <s v="PP UL Fabric With UV"/>
    <n v="0"/>
    <n v="9"/>
    <n v="12589.8"/>
    <n v="9"/>
    <n v="12589.8"/>
    <n v="0"/>
    <n v="0"/>
    <n v="0"/>
    <n v="25179.599999999999"/>
    <n v="0"/>
    <s v="24AAACO3087C1ZT"/>
    <s v="Kgs"/>
    <n v="39269080"/>
    <s v="Rs."/>
    <n v="1"/>
    <n v="0"/>
  </r>
  <r>
    <d v="2026-04-07T00:00:00"/>
    <x v="0"/>
    <s v="R.M.P."/>
    <s v="RM 336"/>
    <s v="Purchase Withinstate - Raw Material"/>
    <s v="PIL1/D/905"/>
    <d v="2026-04-07T00:00:00"/>
    <s v="SF"/>
    <s v="PP/PE Fabric"/>
    <s v="PP Lam Fabric"/>
    <x v="1"/>
    <s v="PP Lam Fabric With UV"/>
    <n v="373"/>
    <n v="56599.02"/>
    <s v="PP Lam Fabric With UV"/>
    <n v="0"/>
    <n v="9"/>
    <n v="5093.91"/>
    <n v="9"/>
    <n v="5093.91"/>
    <n v="0"/>
    <n v="0"/>
    <n v="0"/>
    <n v="10187.82"/>
    <n v="0"/>
    <s v="24AAACO3087C1ZT"/>
    <s v="Kgs"/>
    <n v="63053300"/>
    <s v="Rs."/>
    <n v="1"/>
    <n v="0"/>
  </r>
  <r>
    <d v="2026-04-07T00:00:00"/>
    <x v="0"/>
    <s v="R.M.P."/>
    <s v="RM 337"/>
    <s v="Purchase Withinstate - Raw Material"/>
    <s v="PIL1/D/906"/>
    <d v="2026-04-07T00:00:00"/>
    <s v="SF"/>
    <s v="PP/PE Fabric"/>
    <s v="PP Lam Fabric"/>
    <x v="1"/>
    <s v="PP Lam Fabric With UV"/>
    <n v="508"/>
    <n v="77083.92"/>
    <s v="PP Lam Fabric With UV"/>
    <n v="526577.48"/>
    <n v="9"/>
    <n v="6937.55"/>
    <n v="9"/>
    <n v="6937.55"/>
    <n v="0"/>
    <n v="0"/>
    <n v="0"/>
    <n v="13875.1"/>
    <n v="0"/>
    <s v="24AAACO3087C1ZT"/>
    <s v="Kgs"/>
    <n v="63053300"/>
    <s v="Rs."/>
    <n v="1"/>
    <n v="0"/>
  </r>
  <r>
    <d v="2026-04-07T00:00:00"/>
    <x v="0"/>
    <s v="R.M.P."/>
    <s v="RM 337"/>
    <s v="Purchase Withinstate - Raw Material"/>
    <s v="PIL1/D/906"/>
    <d v="2026-04-07T00:00:00"/>
    <s v="SF"/>
    <s v="Webbing"/>
    <s v="PP Webbing"/>
    <x v="4"/>
    <s v="Webbing"/>
    <n v="320.39999999999998"/>
    <n v="47976.7"/>
    <s v="Webbing"/>
    <n v="0"/>
    <n v="9"/>
    <n v="4317.8999999999996"/>
    <n v="9"/>
    <n v="4317.8999999999996"/>
    <n v="0"/>
    <n v="0"/>
    <n v="0"/>
    <n v="8635.7999999999993"/>
    <n v="0"/>
    <s v="24AAACO3087C1ZT"/>
    <s v="Kgs"/>
    <n v="3926908"/>
    <s v="Rs."/>
    <n v="1"/>
    <n v="0"/>
  </r>
  <r>
    <d v="2026-04-07T00:00:00"/>
    <x v="0"/>
    <s v="R.M.P."/>
    <s v="RM 337"/>
    <s v="Purchase Withinstate - Raw Material"/>
    <s v="PIL1/D/906"/>
    <d v="2026-04-07T00:00:00"/>
    <s v="SF"/>
    <s v="Webbing"/>
    <s v="PP Webbing"/>
    <x v="4"/>
    <s v="Webbing"/>
    <n v="2090.1"/>
    <n v="319241.87"/>
    <s v="Webbing"/>
    <n v="0"/>
    <n v="9"/>
    <n v="28731.77"/>
    <n v="9"/>
    <n v="28731.77"/>
    <n v="0"/>
    <n v="0"/>
    <n v="0"/>
    <n v="57463.54"/>
    <n v="0"/>
    <s v="24AAACO3087C1ZT"/>
    <s v="Kgs"/>
    <n v="3926908"/>
    <s v="Rs."/>
    <n v="1"/>
    <n v="0"/>
  </r>
  <r>
    <d v="2026-04-07T00:00:00"/>
    <x v="0"/>
    <s v="R.M.P."/>
    <s v="RM 337"/>
    <s v="Purchase Withinstate - Raw Material"/>
    <s v="PIL1/D/906"/>
    <d v="2026-04-07T00:00:00"/>
    <s v="SF"/>
    <s v="Webbing"/>
    <s v="PP Webbing"/>
    <x v="4"/>
    <s v="Webbing"/>
    <n v="13.4"/>
    <n v="2328.12"/>
    <s v="Webbing"/>
    <n v="0"/>
    <n v="9"/>
    <n v="209.53"/>
    <n v="9"/>
    <n v="209.53"/>
    <n v="0"/>
    <n v="0"/>
    <n v="0"/>
    <n v="419.06"/>
    <n v="0"/>
    <s v="24AAACO3087C1ZT"/>
    <s v="Kgs"/>
    <n v="3926908"/>
    <s v="Rs."/>
    <n v="1"/>
    <n v="0"/>
  </r>
  <r>
    <d v="2026-04-07T00:00:00"/>
    <x v="1"/>
    <s v="R.M.P."/>
    <s v="RM 334"/>
    <s v="Purchase Withinstate - Raw Material"/>
    <s v="PPL/D/309"/>
    <d v="2026-04-07T00:00:00"/>
    <s v="FG"/>
    <s v="FIBC WIP"/>
    <s v="FIBC WIP"/>
    <x v="5"/>
    <s v="PP Woven Fabric"/>
    <n v="560"/>
    <n v="83669.600000000006"/>
    <s v="FIBC WIP"/>
    <n v="98646.45"/>
    <n v="9"/>
    <n v="7530.26"/>
    <n v="9"/>
    <n v="7530.26"/>
    <n v="0"/>
    <n v="0"/>
    <n v="0"/>
    <n v="15060.52"/>
    <n v="0"/>
    <s v="24AAFCP2956A1ZR"/>
    <s v="Kgs"/>
    <n v="39269080"/>
    <s v="Rs."/>
    <n v="1"/>
    <n v="0"/>
  </r>
  <r>
    <d v="2026-04-07T00:00:00"/>
    <x v="4"/>
    <s v="General Purchase"/>
    <s v="GNCN 237"/>
    <s v="Purchase Withinstate- Stores, Spares &amp; Consumable"/>
    <s v="SLZ/0035/26-27"/>
    <s v="30-06-2026"/>
    <s v="RM Consumables"/>
    <s v="FIBC Accessories"/>
    <s v="FIBC Accessories"/>
    <x v="0"/>
    <s v="Zipper Bags"/>
    <n v="3500"/>
    <n v="7350"/>
    <s v="Zipper Bags"/>
    <n v="8673"/>
    <n v="0"/>
    <n v="0"/>
    <n v="0"/>
    <n v="0"/>
    <n v="18"/>
    <n v="1323"/>
    <n v="0"/>
    <n v="1323"/>
    <n v="0"/>
    <s v="23AAECS3438H1ZI"/>
    <s v="Pcs"/>
    <n v="39239090"/>
    <s v="Rs."/>
    <n v="1"/>
    <n v="3500"/>
  </r>
  <r>
    <d v="2026-05-07T00:00:00"/>
    <x v="5"/>
    <s v="Branch Transfer In"/>
    <s v="RM 341"/>
    <s v="Branch Transfer In - Raw Material"/>
    <s v="HPBL/DC/15"/>
    <d v="2026-03-07T00:00:00"/>
    <s v="SF"/>
    <s v="Liners"/>
    <s v="LDPE/LLDPE Bags"/>
    <x v="7"/>
    <s v="DOC Pouch"/>
    <n v="407"/>
    <n v="78546.929999999993"/>
    <s v="DOC Pouch"/>
    <n v="78546.929999999993"/>
    <n v="0"/>
    <n v="0"/>
    <n v="0"/>
    <n v="0"/>
    <n v="0"/>
    <n v="0"/>
    <n v="0"/>
    <n v="0"/>
    <n v="0"/>
    <s v="24AABCG1282C2Z6"/>
    <s v="Kgs"/>
    <n v="39232100"/>
    <s v="Rs."/>
    <n v="1"/>
    <n v="0"/>
  </r>
  <r>
    <d v="2026-05-07T00:00:00"/>
    <x v="6"/>
    <s v="R.M.P."/>
    <s v="RM 340"/>
    <s v="Purchase Withinstate - Raw Material"/>
    <s v="KPV/D/404"/>
    <d v="2026-04-07T00:00:00"/>
    <s v="SF"/>
    <s v="Yarn All"/>
    <s v="PP Yarn"/>
    <x v="8"/>
    <s v="PP Fibrillated Tape Twisted 3200 Blue"/>
    <n v="1340"/>
    <n v="206561"/>
    <s v="PP Fibrillated Tape Twisted 3200 Blue"/>
    <n v="297546.21000000002"/>
    <n v="2.5"/>
    <n v="5164.0200000000004"/>
    <n v="2.5"/>
    <n v="5164.0200000000004"/>
    <n v="0"/>
    <n v="0"/>
    <n v="0"/>
    <n v="10328.040000000001"/>
    <n v="0"/>
    <s v="24AAECK6307M1ZF"/>
    <s v="Kgs"/>
    <n v="54026930"/>
    <s v="Rs."/>
    <n v="1"/>
    <n v="0"/>
  </r>
  <r>
    <d v="2026-05-07T00:00:00"/>
    <x v="6"/>
    <s v="R.M.P."/>
    <s v="RM 340"/>
    <s v="Purchase Withinstate - Raw Material"/>
    <s v="KPV/D/404"/>
    <d v="2026-04-07T00:00:00"/>
    <s v="SF"/>
    <s v="Yarn All"/>
    <s v="PP Yarn"/>
    <x v="8"/>
    <s v="PP Fibrillated Tape Twisted 3200 MW"/>
    <n v="510"/>
    <n v="77086.5"/>
    <s v="PP Fibrillated Tape Twisted 3200 MW"/>
    <n v="0"/>
    <n v="2.5"/>
    <n v="1927.16"/>
    <n v="2.5"/>
    <n v="1927.16"/>
    <n v="0"/>
    <n v="0"/>
    <n v="0"/>
    <n v="3854.32"/>
    <n v="0"/>
    <s v="24AAECK6307M1ZF"/>
    <s v="Kgs"/>
    <n v="54026930"/>
    <s v="Rs."/>
    <n v="1"/>
    <n v="0"/>
  </r>
  <r>
    <d v="2026-05-07T00:00:00"/>
    <x v="0"/>
    <s v="General Purchase"/>
    <s v="GNCN 238"/>
    <s v="Purchase Withinstate- Stores, Spares &amp; Consumable"/>
    <s v="PIL1/D/919"/>
    <d v="2026-05-07T00:00:00"/>
    <s v="Stores/Spares"/>
    <s v="MS Structure Items"/>
    <s v="Spares &amp; Stores"/>
    <x v="0"/>
    <s v="MS Pipe 4  C Class"/>
    <n v="349"/>
    <n v="16752"/>
    <s v="MS Pipe 4  C Class"/>
    <n v="19750.61"/>
    <n v="9"/>
    <n v="1507.68"/>
    <n v="9"/>
    <n v="1507.68"/>
    <n v="0"/>
    <n v="0"/>
    <n v="0"/>
    <n v="3015.36"/>
    <n v="0"/>
    <s v="24AAACO3087C1ZT"/>
    <s v="Kgs"/>
    <n v="73063090"/>
    <s v="Rs."/>
    <n v="1"/>
    <n v="0"/>
  </r>
  <r>
    <d v="2026-05-07T00:00:00"/>
    <x v="0"/>
    <s v="R.M.P."/>
    <s v="RM 338"/>
    <s v="Purchase Withinstate - Raw Material"/>
    <s v="PIL1/D/908"/>
    <d v="2026-04-07T00:00:00"/>
    <s v="SF"/>
    <s v="PP/PE Fabric"/>
    <s v="PP UL Fabric"/>
    <x v="2"/>
    <s v="PP UL Fabric With UV"/>
    <n v="601"/>
    <n v="89993.74"/>
    <s v="PP UL Fabric With UV"/>
    <n v="106102.63"/>
    <n v="9"/>
    <n v="8099.44"/>
    <n v="9"/>
    <n v="8099.44"/>
    <n v="0"/>
    <n v="0"/>
    <n v="0"/>
    <n v="16198.88"/>
    <n v="0"/>
    <s v="24AAACO3087C1ZT"/>
    <s v="Kgs"/>
    <n v="39269080"/>
    <s v="Rs."/>
    <n v="1"/>
    <n v="0"/>
  </r>
  <r>
    <d v="2026-05-07T00:00:00"/>
    <x v="0"/>
    <s v="R.M.P."/>
    <s v="RM 339"/>
    <s v="Purchase Withinstate - Raw Material"/>
    <s v="PIL1/D/928"/>
    <d v="2026-05-07T00:00:00"/>
    <s v="SF"/>
    <s v="PP/PE Fabric"/>
    <s v="PP UL Fabric"/>
    <x v="2"/>
    <s v="PP UL Fabric With UV"/>
    <n v="433"/>
    <n v="62564.17"/>
    <s v="PP UL Fabric With UV"/>
    <n v="177018.32"/>
    <n v="9"/>
    <n v="5630.78"/>
    <n v="9"/>
    <n v="5630.78"/>
    <n v="0"/>
    <n v="0"/>
    <n v="0"/>
    <n v="11261.56"/>
    <n v="0"/>
    <s v="24AAACO3087C1ZT"/>
    <s v="Kgs"/>
    <n v="39269080"/>
    <s v="Rs."/>
    <n v="1"/>
    <n v="0"/>
  </r>
  <r>
    <d v="2026-05-07T00:00:00"/>
    <x v="0"/>
    <s v="R.M.P."/>
    <s v="RM 339"/>
    <s v="Purchase Withinstate - Raw Material"/>
    <s v="PIL1/D/928"/>
    <d v="2026-05-07T00:00:00"/>
    <s v="SF"/>
    <s v="PP/PE Fabric"/>
    <s v="PP UL Fabric"/>
    <x v="2"/>
    <s v="PP UL Fabric With UV"/>
    <n v="238"/>
    <n v="34864.620000000003"/>
    <s v="PP UL Fabric With UV"/>
    <n v="0"/>
    <n v="9"/>
    <n v="3137.82"/>
    <n v="9"/>
    <n v="3137.82"/>
    <n v="0"/>
    <n v="0"/>
    <n v="0"/>
    <n v="6275.64"/>
    <n v="0"/>
    <s v="24AAACO3087C1ZT"/>
    <s v="Kgs"/>
    <n v="39269080"/>
    <s v="Rs."/>
    <n v="1"/>
    <n v="0"/>
  </r>
  <r>
    <d v="2026-05-07T00:00:00"/>
    <x v="0"/>
    <s v="R.M.P."/>
    <s v="RM 339"/>
    <s v="Purchase Withinstate - Raw Material"/>
    <s v="PIL1/D/928"/>
    <d v="2026-05-07T00:00:00"/>
    <s v="SF"/>
    <s v="PP/PE Fabric"/>
    <s v="PP Lam Fabric"/>
    <x v="1"/>
    <s v="PP Lam Fabric With UV"/>
    <n v="355"/>
    <n v="52713.95"/>
    <s v="PP Lam Fabric With UV"/>
    <n v="0"/>
    <n v="9"/>
    <n v="4744.26"/>
    <n v="9"/>
    <n v="4744.26"/>
    <n v="0"/>
    <n v="0"/>
    <n v="0"/>
    <n v="9488.52"/>
    <n v="0"/>
    <s v="24AAACO3087C1ZT"/>
    <s v="Kgs"/>
    <n v="63053300"/>
    <s v="Rs."/>
    <n v="1"/>
    <n v="0"/>
  </r>
  <r>
    <d v="2026-05-07T00:00:00"/>
    <x v="0"/>
    <s v="R.M.P."/>
    <s v="RM 342"/>
    <s v="Purchase Withinstate - Raw Material"/>
    <s v="PIL1/D/926"/>
    <d v="2026-05-07T00:00:00"/>
    <s v="RM Consumables"/>
    <s v="FIBC Accessories"/>
    <s v="FIBC Accessories"/>
    <x v="0"/>
    <s v="Zip Lock Bags"/>
    <n v="10300"/>
    <n v="36554.699999999997"/>
    <s v="Zip Lock Bags"/>
    <n v="2137498.09"/>
    <n v="9"/>
    <n v="3289.92"/>
    <n v="9"/>
    <n v="3289.92"/>
    <n v="0"/>
    <n v="0"/>
    <n v="0"/>
    <n v="6579.84"/>
    <n v="0"/>
    <s v="24AAACO3087C1ZT"/>
    <s v="Pcs"/>
    <n v="39232100"/>
    <s v="Rs."/>
    <n v="1"/>
    <n v="10300"/>
  </r>
  <r>
    <d v="2026-05-07T00:00:00"/>
    <x v="0"/>
    <s v="R.M.P."/>
    <s v="RM 342"/>
    <s v="Purchase Withinstate - Raw Material"/>
    <s v="PIL1/D/926"/>
    <d v="2026-05-07T00:00:00"/>
    <s v="SF"/>
    <s v="Liners"/>
    <s v="LDPE/LLDPE Bags"/>
    <x v="3"/>
    <s v="LDPE/LLDPE Bags/Liner"/>
    <n v="23"/>
    <n v="4456.9399999999996"/>
    <s v="LDPE/LLDPE Bags/Liner"/>
    <n v="0"/>
    <n v="9"/>
    <n v="401.12"/>
    <n v="9"/>
    <n v="401.12"/>
    <n v="0"/>
    <n v="0"/>
    <n v="0"/>
    <n v="802.24"/>
    <n v="0"/>
    <s v="24AAACO3087C1ZT"/>
    <s v="Kgs"/>
    <n v="39200000"/>
    <s v="Rs."/>
    <n v="1"/>
    <n v="23"/>
  </r>
  <r>
    <d v="2026-05-07T00:00:00"/>
    <x v="0"/>
    <s v="R.M.P."/>
    <s v="RM 342"/>
    <s v="Purchase Withinstate - Raw Material"/>
    <s v="PIL1/D/926"/>
    <d v="2026-05-07T00:00:00"/>
    <s v="SF"/>
    <s v="Liners"/>
    <s v="LDPE/LLDPE Bags"/>
    <x v="3"/>
    <s v="LDPE/LLDPE Bags/Liner"/>
    <n v="9208"/>
    <n v="1719870.24"/>
    <s v="LDPE/LLDPE Bags/Liner"/>
    <n v="0"/>
    <n v="9"/>
    <n v="154788.32"/>
    <n v="9"/>
    <n v="154788.32"/>
    <n v="0"/>
    <n v="0"/>
    <n v="0"/>
    <n v="309576.64"/>
    <n v="0"/>
    <s v="24AAACO3087C1ZT"/>
    <s v="Kgs"/>
    <n v="39200000"/>
    <s v="Rs."/>
    <n v="1"/>
    <n v="9208"/>
  </r>
  <r>
    <d v="2026-05-07T00:00:00"/>
    <x v="0"/>
    <s v="R.M.P."/>
    <s v="RM 342"/>
    <s v="Purchase Withinstate - Raw Material"/>
    <s v="PIL1/D/926"/>
    <d v="2026-05-07T00:00:00"/>
    <s v="SF"/>
    <s v="Liners"/>
    <s v="LDPE/LLDPE Bags"/>
    <x v="3"/>
    <s v="LDPE/LLDPE Bags/Liner"/>
    <n v="285"/>
    <n v="52092.3"/>
    <s v="LDPE/LLDPE Bags/Liner"/>
    <n v="0"/>
    <n v="9"/>
    <n v="4688.3100000000004"/>
    <n v="9"/>
    <n v="4688.3100000000004"/>
    <n v="0"/>
    <n v="0"/>
    <n v="0"/>
    <n v="9376.6200000000008"/>
    <n v="0"/>
    <s v="24AAACO3087C1ZT"/>
    <s v="Kgs"/>
    <n v="39200000"/>
    <s v="Rs."/>
    <n v="1"/>
    <n v="285"/>
  </r>
  <r>
    <d v="2026-05-07T00:00:00"/>
    <x v="0"/>
    <s v="R.M.P."/>
    <s v="RM 343"/>
    <s v="Purchase Withinstate - Raw Material"/>
    <s v="PIL1/D/918"/>
    <d v="2026-05-07T00:00:00"/>
    <s v="SF"/>
    <s v="Webbing"/>
    <s v="PP Webbing"/>
    <x v="4"/>
    <s v="Webbing"/>
    <n v="5.5"/>
    <n v="937.7"/>
    <s v="Webbing"/>
    <n v="2112642.39"/>
    <n v="9"/>
    <n v="84.39"/>
    <n v="9"/>
    <n v="84.39"/>
    <n v="0"/>
    <n v="0"/>
    <n v="0"/>
    <n v="168.78"/>
    <n v="0"/>
    <s v="24AAACO3087C1ZT"/>
    <s v="Kgs"/>
    <n v="3926908"/>
    <s v="Rs."/>
    <n v="1"/>
    <n v="0"/>
  </r>
  <r>
    <d v="2026-05-07T00:00:00"/>
    <x v="0"/>
    <s v="R.M.P."/>
    <s v="RM 343"/>
    <s v="Purchase Withinstate - Raw Material"/>
    <s v="PIL1/D/918"/>
    <d v="2026-05-07T00:00:00"/>
    <s v="SF"/>
    <s v="Webbing"/>
    <s v="PP Webbing"/>
    <x v="4"/>
    <s v="Webbing"/>
    <n v="1212.2"/>
    <n v="181211.78"/>
    <s v="Webbing"/>
    <n v="0"/>
    <n v="9"/>
    <n v="16309.06"/>
    <n v="9"/>
    <n v="16309.06"/>
    <n v="0"/>
    <n v="0"/>
    <n v="0"/>
    <n v="32618.12"/>
    <n v="0"/>
    <s v="24AAACO3087C1ZT"/>
    <s v="Kgs"/>
    <n v="3926908"/>
    <s v="Rs."/>
    <n v="1"/>
    <n v="0"/>
  </r>
  <r>
    <d v="2026-05-07T00:00:00"/>
    <x v="0"/>
    <s v="R.M.P."/>
    <s v="RM 343"/>
    <s v="Purchase Withinstate - Raw Material"/>
    <s v="PIL1/D/918"/>
    <d v="2026-05-07T00:00:00"/>
    <s v="SF"/>
    <s v="Webbing"/>
    <s v="PP Webbing"/>
    <x v="4"/>
    <s v="Webbing"/>
    <n v="590.79999999999995"/>
    <n v="86546.29"/>
    <s v="Webbing"/>
    <n v="0"/>
    <n v="9"/>
    <n v="7789.17"/>
    <n v="9"/>
    <n v="7789.17"/>
    <n v="0"/>
    <n v="0"/>
    <n v="0"/>
    <n v="15578.34"/>
    <n v="0"/>
    <s v="24AAACO3087C1ZT"/>
    <s v="Kgs"/>
    <n v="3926908"/>
    <s v="Rs."/>
    <n v="1"/>
    <n v="0"/>
  </r>
  <r>
    <d v="2026-05-07T00:00:00"/>
    <x v="0"/>
    <s v="R.M.P."/>
    <s v="RM 343"/>
    <s v="Purchase Withinstate - Raw Material"/>
    <s v="PIL1/D/918"/>
    <d v="2026-05-07T00:00:00"/>
    <s v="SF"/>
    <s v="PP/PE Fabric"/>
    <s v="PP UL Fabric"/>
    <x v="2"/>
    <s v="PP UL Fabric With UV"/>
    <n v="2873"/>
    <n v="420865.77"/>
    <s v="PP UL Fabric With UV"/>
    <n v="0"/>
    <n v="9"/>
    <n v="37877.919999999998"/>
    <n v="9"/>
    <n v="37877.919999999998"/>
    <n v="0"/>
    <n v="0"/>
    <n v="0"/>
    <n v="75755.839999999997"/>
    <n v="0"/>
    <s v="24AAACO3087C1ZT"/>
    <s v="Kgs"/>
    <n v="39269080"/>
    <s v="Rs."/>
    <n v="1"/>
    <n v="0"/>
  </r>
  <r>
    <d v="2026-05-07T00:00:00"/>
    <x v="0"/>
    <s v="R.M.P."/>
    <s v="RM 343"/>
    <s v="Purchase Withinstate - Raw Material"/>
    <s v="PIL1/D/918"/>
    <d v="2026-05-07T00:00:00"/>
    <s v="SF"/>
    <s v="PP/PE Fabric"/>
    <s v="PP UL Fabric"/>
    <x v="2"/>
    <s v="PP UL Fabric With UV"/>
    <n v="1100"/>
    <n v="162239"/>
    <s v="PP UL Fabric With UV"/>
    <n v="0"/>
    <n v="9"/>
    <n v="14601.51"/>
    <n v="9"/>
    <n v="14601.51"/>
    <n v="0"/>
    <n v="0"/>
    <n v="0"/>
    <n v="29203.02"/>
    <n v="0"/>
    <s v="24AAACO3087C1ZT"/>
    <s v="Kgs"/>
    <n v="39269080"/>
    <s v="Rs."/>
    <n v="1"/>
    <n v="0"/>
  </r>
  <r>
    <d v="2026-05-07T00:00:00"/>
    <x v="0"/>
    <s v="R.M.P."/>
    <s v="RM 343"/>
    <s v="Purchase Withinstate - Raw Material"/>
    <s v="PIL1/D/918"/>
    <d v="2026-05-07T00:00:00"/>
    <s v="SF"/>
    <s v="PP/PE Fabric"/>
    <s v="PP UL Fabric"/>
    <x v="2"/>
    <s v="PP UL Fabric With UV"/>
    <n v="3785"/>
    <n v="546894.65"/>
    <s v="PP UL Fabric With UV"/>
    <n v="0"/>
    <n v="9"/>
    <n v="49220.52"/>
    <n v="9"/>
    <n v="49220.52"/>
    <n v="0"/>
    <n v="0"/>
    <n v="0"/>
    <n v="98441.04"/>
    <n v="0"/>
    <s v="24AAACO3087C1ZT"/>
    <s v="Kgs"/>
    <n v="39269080"/>
    <s v="Rs."/>
    <n v="1"/>
    <n v="0"/>
  </r>
  <r>
    <d v="2026-05-07T00:00:00"/>
    <x v="0"/>
    <s v="R.M.P."/>
    <s v="RM 343"/>
    <s v="Purchase Withinstate - Raw Material"/>
    <s v="PIL1/D/918"/>
    <d v="2026-05-07T00:00:00"/>
    <s v="SF"/>
    <s v="PP/PE Fabric"/>
    <s v="PP Lam Fabric"/>
    <x v="1"/>
    <s v="PP Lam Fabric With UV"/>
    <n v="1791"/>
    <n v="271318.59000000003"/>
    <s v="PP Lam Fabric With UV"/>
    <n v="0"/>
    <n v="9"/>
    <n v="24418.67"/>
    <n v="9"/>
    <n v="24418.67"/>
    <n v="0"/>
    <n v="0"/>
    <n v="0"/>
    <n v="48837.34"/>
    <n v="0"/>
    <s v="24AAACO3087C1ZT"/>
    <s v="Kgs"/>
    <n v="63053300"/>
    <s v="Rs."/>
    <n v="1"/>
    <n v="0"/>
  </r>
  <r>
    <d v="2026-05-07T00:00:00"/>
    <x v="0"/>
    <s v="R.M.P."/>
    <s v="RM 343"/>
    <s v="Purchase Withinstate - Raw Material"/>
    <s v="PIL1/D/918"/>
    <d v="2026-05-07T00:00:00"/>
    <s v="SF"/>
    <s v="PP/PE Fabric"/>
    <s v="PP Lam Fabric"/>
    <x v="1"/>
    <s v="PP Lam Fabric With UV"/>
    <n v="832"/>
    <n v="121879.67999999999"/>
    <s v="PP Lam Fabric With UV"/>
    <n v="0"/>
    <n v="9"/>
    <n v="10969.17"/>
    <n v="9"/>
    <n v="10969.17"/>
    <n v="0"/>
    <n v="0"/>
    <n v="0"/>
    <n v="21938.34"/>
    <n v="0"/>
    <s v="24AAACO3087C1ZT"/>
    <s v="Kgs"/>
    <n v="63053300"/>
    <s v="Rs."/>
    <n v="1"/>
    <n v="0"/>
  </r>
  <r>
    <d v="2026-06-07T00:00:00"/>
    <x v="7"/>
    <s v="General Purchase"/>
    <s v="GNSP 112"/>
    <s v="Purchase Withinstate- Stores, Spares &amp; Consumable"/>
    <s v="0521/26-27"/>
    <d v="2026-01-07T00:00:00"/>
    <s v="Stores/Spares"/>
    <s v="Hardware Items"/>
    <s v="Spares &amp; Stores"/>
    <x v="0"/>
    <s v="Hex Bolt 10X25 mm"/>
    <n v="30"/>
    <n v="170.35"/>
    <s v="Hex Bolt 10X25 mm"/>
    <n v="3093"/>
    <n v="9"/>
    <n v="15.3317"/>
    <n v="9"/>
    <n v="15.3317"/>
    <n v="0"/>
    <n v="0"/>
    <n v="14.4"/>
    <n v="45.063360000000003"/>
    <n v="0"/>
    <s v="24AAYFA5084G1Z4"/>
    <s v="Pcs"/>
    <n v="84821011"/>
    <s v="Rs."/>
    <n v="1"/>
    <n v="0"/>
  </r>
  <r>
    <d v="2026-06-07T00:00:00"/>
    <x v="7"/>
    <s v="General Purchase"/>
    <s v="GNSP 112"/>
    <s v="Purchase Withinstate- Stores, Spares &amp; Consumable"/>
    <s v="0521/26-27"/>
    <d v="2026-01-07T00:00:00"/>
    <s v="Stores/Spares"/>
    <s v="Hardware Items"/>
    <s v="Spares &amp; Stores"/>
    <x v="0"/>
    <s v="Hex Bolt 10X50 mm Full Thread"/>
    <n v="30"/>
    <n v="250.24"/>
    <s v="Hex Bolt 10X50 mm Full Thread"/>
    <n v="0"/>
    <n v="9"/>
    <n v="22.5212"/>
    <n v="9"/>
    <n v="22.5212"/>
    <n v="0"/>
    <n v="0"/>
    <n v="14.4"/>
    <n v="59.442480000000003"/>
    <n v="0"/>
    <s v="24AAYFA5084G1Z4"/>
    <s v="Pcs"/>
    <n v="96061010"/>
    <s v="Rs."/>
    <n v="1"/>
    <n v="0"/>
  </r>
  <r>
    <d v="2026-06-07T00:00:00"/>
    <x v="7"/>
    <s v="General Purchase"/>
    <s v="GNSP 112"/>
    <s v="Purchase Withinstate- Stores, Spares &amp; Consumable"/>
    <s v="0521/26-27"/>
    <d v="2026-01-07T00:00:00"/>
    <s v="Stores/Spares"/>
    <s v="Hardware Items"/>
    <s v="Spares &amp; Stores"/>
    <x v="0"/>
    <s v="Hex Bolt 10X20 mm"/>
    <n v="50"/>
    <n v="248.01"/>
    <s v="Hex Bolt 10X20 mm"/>
    <n v="0"/>
    <n v="9"/>
    <n v="22.320900000000002"/>
    <n v="9"/>
    <n v="22.320900000000002"/>
    <n v="0"/>
    <n v="0"/>
    <n v="14.4"/>
    <n v="59.041800000000002"/>
    <n v="0"/>
    <s v="24AAYFA5084G1Z4"/>
    <s v="Pcs"/>
    <n v="73181500"/>
    <s v="Rs."/>
    <n v="1"/>
    <n v="0"/>
  </r>
  <r>
    <d v="2026-06-07T00:00:00"/>
    <x v="7"/>
    <s v="General Purchase"/>
    <s v="GNSP 112"/>
    <s v="Purchase Withinstate- Stores, Spares &amp; Consumable"/>
    <s v="0521/26-27"/>
    <d v="2026-01-07T00:00:00"/>
    <s v="Stores/Spares"/>
    <s v="Hardware Items"/>
    <s v="Spares &amp; Stores"/>
    <x v="0"/>
    <s v="Hex Bolt 08X20 mm Full Thread"/>
    <n v="50"/>
    <n v="133.77000000000001"/>
    <s v="Hex Bolt 08X20 mm Full Thread"/>
    <n v="0"/>
    <n v="9"/>
    <n v="12.039300000000001"/>
    <n v="9"/>
    <n v="12.039300000000001"/>
    <n v="0"/>
    <n v="0"/>
    <n v="14.4"/>
    <n v="38.4786"/>
    <n v="0"/>
    <s v="24AAYFA5084G1Z4"/>
    <s v="Pcs"/>
    <n v="73181500"/>
    <s v="Rs."/>
    <n v="1"/>
    <n v="0"/>
  </r>
  <r>
    <d v="2026-06-07T00:00:00"/>
    <x v="7"/>
    <s v="General Purchase"/>
    <s v="GNSP 112"/>
    <s v="Purchase Withinstate- Stores, Spares &amp; Consumable"/>
    <s v="0521/26-27"/>
    <d v="2026-01-07T00:00:00"/>
    <s v="Stores/Spares"/>
    <s v="Hardware Items"/>
    <s v="Spares &amp; Stores"/>
    <x v="0"/>
    <s v="Hex Bolt 10X35 mm Full Thread"/>
    <n v="50"/>
    <n v="293.37"/>
    <s v="Hex Bolt 10X35 mm Full Thread"/>
    <n v="0"/>
    <n v="9"/>
    <n v="26.403300000000002"/>
    <n v="9"/>
    <n v="26.403300000000002"/>
    <n v="0"/>
    <n v="0"/>
    <n v="14.4"/>
    <n v="67.206599999999995"/>
    <n v="0"/>
    <s v="24AAYFA5084G1Z4"/>
    <s v="Pcs"/>
    <n v="73181500"/>
    <s v="Rs."/>
    <n v="1"/>
    <n v="0"/>
  </r>
  <r>
    <d v="2026-06-07T00:00:00"/>
    <x v="7"/>
    <s v="General Purchase"/>
    <s v="GNSP 112"/>
    <s v="Purchase Withinstate- Stores, Spares &amp; Consumable"/>
    <s v="0521/26-27"/>
    <d v="2026-01-07T00:00:00"/>
    <s v="Stores/Spares"/>
    <s v="Hardware Items"/>
    <s v="Spares &amp; Stores"/>
    <x v="0"/>
    <s v="Key Bar 6X6X300 mm"/>
    <n v="10"/>
    <n v="250"/>
    <s v="Key Bar 6X6X300 mm"/>
    <n v="0"/>
    <n v="9"/>
    <n v="22.5"/>
    <n v="9"/>
    <n v="22.5"/>
    <n v="0"/>
    <n v="0"/>
    <n v="14.4"/>
    <n v="59.4"/>
    <n v="0"/>
    <s v="24AAYFA5084G1Z4"/>
    <s v="Pcs"/>
    <n v="7318150"/>
    <s v="Rs."/>
    <n v="1"/>
    <n v="0"/>
  </r>
  <r>
    <d v="2026-06-07T00:00:00"/>
    <x v="7"/>
    <s v="General Purchase"/>
    <s v="GNSP 112"/>
    <s v="Purchase Withinstate- Stores, Spares &amp; Consumable"/>
    <s v="0521/26-27"/>
    <d v="2026-01-07T00:00:00"/>
    <s v="Stores/Spares"/>
    <s v="Hardware Items"/>
    <s v="Spares &amp; Stores"/>
    <x v="0"/>
    <s v="Hex Bolt 08X30 mm Full Thread"/>
    <n v="30"/>
    <n v="109.12"/>
    <s v="Hex Bolt 08X30 mm Full Thread"/>
    <n v="0"/>
    <n v="9"/>
    <n v="9.8203999999999994"/>
    <n v="9"/>
    <n v="9.8203999999999994"/>
    <n v="0"/>
    <n v="0"/>
    <n v="14.4"/>
    <n v="34.040880000000001"/>
    <n v="0"/>
    <s v="24AAYFA5084G1Z4"/>
    <s v="Pcs"/>
    <n v="73181500"/>
    <s v="Rs."/>
    <n v="1"/>
    <n v="0"/>
  </r>
  <r>
    <d v="2026-06-07T00:00:00"/>
    <x v="7"/>
    <s v="General Purchase"/>
    <s v="GNSP 112"/>
    <s v="Purchase Withinstate- Stores, Spares &amp; Consumable"/>
    <s v="0521/26-27"/>
    <d v="2026-01-07T00:00:00"/>
    <s v="Stores/Spares"/>
    <s v="Hardware Items"/>
    <s v="Spares &amp; Stores"/>
    <x v="0"/>
    <s v="Hex Bolt 08X10 mm"/>
    <n v="50"/>
    <n v="186.06"/>
    <s v="Hex Bolt 08X10 mm"/>
    <n v="0"/>
    <n v="9"/>
    <n v="16.7454"/>
    <n v="9"/>
    <n v="16.7454"/>
    <n v="0"/>
    <n v="0"/>
    <n v="14.4"/>
    <n v="47.890799999999999"/>
    <n v="0"/>
    <s v="24AAYFA5084G1Z4"/>
    <s v="Pcs"/>
    <n v="73181500"/>
    <s v="Rs."/>
    <n v="1"/>
    <n v="0"/>
  </r>
  <r>
    <d v="2026-06-07T00:00:00"/>
    <x v="7"/>
    <s v="General Purchase"/>
    <s v="GNSP 112"/>
    <s v="Purchase Withinstate- Stores, Spares &amp; Consumable"/>
    <s v="0521/26-27"/>
    <d v="2026-01-07T00:00:00"/>
    <s v="Stores/Spares"/>
    <s v="Hardware Items"/>
    <s v="Spares &amp; Stores"/>
    <x v="0"/>
    <s v="Key Bar 4X4X300 mm"/>
    <n v="10"/>
    <n v="200"/>
    <s v="Key Bar 4X4X300 mm"/>
    <n v="0"/>
    <n v="9"/>
    <n v="18"/>
    <n v="9"/>
    <n v="18"/>
    <n v="0"/>
    <n v="0"/>
    <n v="14.4"/>
    <n v="50.4"/>
    <n v="0"/>
    <s v="24AAYFA5084G1Z4"/>
    <s v="Pcs"/>
    <n v="84529099"/>
    <s v="Rs."/>
    <n v="1"/>
    <n v="0"/>
  </r>
  <r>
    <d v="2026-06-07T00:00:00"/>
    <x v="7"/>
    <s v="General Purchase"/>
    <s v="GNSP 112"/>
    <s v="Purchase Withinstate- Stores, Spares &amp; Consumable"/>
    <s v="0521/26-27"/>
    <d v="2026-01-07T00:00:00"/>
    <s v="Stores/Spares"/>
    <s v="Hardware Items"/>
    <s v="Spares &amp; Stores"/>
    <x v="0"/>
    <s v="Key Bar 8X8X300 mm"/>
    <n v="20"/>
    <n v="700"/>
    <s v="Key Bar 8X8X300 mm"/>
    <n v="0"/>
    <n v="9"/>
    <n v="63"/>
    <n v="9"/>
    <n v="63"/>
    <n v="0"/>
    <n v="0"/>
    <n v="14.4"/>
    <n v="140.4"/>
    <n v="0"/>
    <s v="24AAYFA5084G1Z4"/>
    <s v="Pcs"/>
    <n v="73181500"/>
    <s v="Rs."/>
    <n v="1"/>
    <n v="0"/>
  </r>
  <r>
    <d v="2026-06-07T00:00:00"/>
    <x v="8"/>
    <s v="Purchase"/>
    <s v="GNPK 64"/>
    <s v="Purchase Withinstate- Packing Material"/>
    <s v="BI/26-27/059"/>
    <d v="2026-06-07T00:00:00"/>
    <s v="Packing Material"/>
    <s v="Pallets"/>
    <s v="Pallets"/>
    <x v="9"/>
    <s v="Pine Wooden Pallet Design Code STD90110"/>
    <n v="100"/>
    <n v="77500"/>
    <s v="Pine Wooden Pallet Design Code STD90110"/>
    <n v="81375"/>
    <n v="2.5"/>
    <n v="1937.5"/>
    <n v="2.5"/>
    <n v="1937.5"/>
    <n v="0"/>
    <n v="0"/>
    <n v="0"/>
    <n v="3875"/>
    <n v="0"/>
    <s v="24AXVPT0296P1ZD"/>
    <s v="Pcs"/>
    <n v="44152000"/>
    <s v="Rs."/>
    <n v="1"/>
    <n v="0"/>
  </r>
  <r>
    <d v="2026-06-07T00:00:00"/>
    <x v="9"/>
    <s v="General Purchase"/>
    <s v="GNCN 239"/>
    <s v="Purchase Withinstate- Stores, Spares &amp; Consumable"/>
    <n v="869"/>
    <d v="2026-04-07T00:00:00"/>
    <s v="Consumables"/>
    <s v="Housekeeping Material"/>
    <s v="Spares &amp; Stores"/>
    <x v="0"/>
    <s v="Cotton Waste"/>
    <n v="600"/>
    <n v="9600"/>
    <s v="Cotton Waste"/>
    <n v="10080"/>
    <n v="2.5"/>
    <n v="240"/>
    <n v="2.5"/>
    <n v="240"/>
    <n v="0"/>
    <n v="0"/>
    <n v="0"/>
    <n v="480"/>
    <n v="0"/>
    <s v="24AFUPA6072K1Z6"/>
    <s v="Kgs"/>
    <n v="631090"/>
    <s v="Rs."/>
    <n v="1"/>
    <n v="0"/>
  </r>
  <r>
    <d v="2026-06-07T00:00:00"/>
    <x v="10"/>
    <s v="General Purchase"/>
    <s v="GNSP 111"/>
    <s v="Purchase Withinstate- Stores, Spares &amp; Consumable"/>
    <s v="GST-098"/>
    <s v="16-06-2026"/>
    <s v="Stores/Spares"/>
    <s v="Sprocket"/>
    <s v="Spares &amp; Stores"/>
    <x v="0"/>
    <s v="Chain Sprocket 5/8&quot;  24 Teeth Duplex Boss Size"/>
    <n v="3"/>
    <n v="2460"/>
    <s v="Chain Sprocket 5/8&quot;  24 Teeth Duplex Boss Size"/>
    <n v="5587"/>
    <n v="9"/>
    <n v="221.4"/>
    <n v="9"/>
    <n v="221.4"/>
    <n v="0"/>
    <n v="0"/>
    <n v="0"/>
    <n v="442.8"/>
    <n v="0"/>
    <s v="24GKEPP9703F1Z1"/>
    <s v="Pcs"/>
    <n v="848382"/>
    <s v="Rs."/>
    <n v="1"/>
    <n v="0"/>
  </r>
  <r>
    <d v="2026-06-07T00:00:00"/>
    <x v="10"/>
    <s v="General Purchase"/>
    <s v="GNSP 111"/>
    <s v="Purchase Withinstate- Stores, Spares &amp; Consumable"/>
    <s v="GST-098"/>
    <s v="16-06-2026"/>
    <s v="Stores/Spares"/>
    <s v="Sprocket"/>
    <s v="Spares &amp; Stores"/>
    <x v="0"/>
    <s v="Chain Sprocket 5/8&quot;  24 Teeth Duplex Boss Size"/>
    <n v="3"/>
    <n v="2190"/>
    <s v="Chain Sprocket 5/8&quot;  24 Teeth Duplex Boss Size"/>
    <n v="0"/>
    <n v="9"/>
    <n v="197.1"/>
    <n v="9"/>
    <n v="197.1"/>
    <n v="0"/>
    <n v="0"/>
    <n v="0"/>
    <n v="394.2"/>
    <n v="0"/>
    <s v="24GKEPP9703F1Z1"/>
    <s v="Pcs"/>
    <n v="848382"/>
    <s v="Rs."/>
    <n v="1"/>
    <n v="0"/>
  </r>
  <r>
    <d v="2026-06-07T00:00:00"/>
    <x v="0"/>
    <s v="General Purchase"/>
    <s v="GNCN 243"/>
    <s v="Purchase Withinstate- Stores, Spares &amp; Consumable"/>
    <s v="PIL1/D/933"/>
    <d v="2026-06-07T00:00:00"/>
    <s v="Stores/Spares"/>
    <s v="MS Structure Items"/>
    <s v="Spares &amp; Stores"/>
    <x v="0"/>
    <s v="MS Pipe 4  C Class"/>
    <n v="244"/>
    <n v="11712"/>
    <s v="MS Pipe 4  C Class"/>
    <n v="13808.45"/>
    <n v="9"/>
    <n v="1054.08"/>
    <n v="9"/>
    <n v="1054.08"/>
    <n v="0"/>
    <n v="0"/>
    <n v="0"/>
    <n v="2108.16"/>
    <n v="0"/>
    <s v="24AAACO3087C1ZT"/>
    <s v="Kgs"/>
    <n v="73063090"/>
    <s v="Rs."/>
    <n v="1"/>
    <n v="0"/>
  </r>
  <r>
    <d v="2026-06-07T00:00:00"/>
    <x v="0"/>
    <s v="R.M.P."/>
    <s v="RM 345"/>
    <s v="Purchase Withinstate - Raw Material"/>
    <s v="PIL1/D/934"/>
    <d v="2026-06-07T00:00:00"/>
    <s v="SF"/>
    <s v="Liners"/>
    <s v="LDPE/LLDPE Bags"/>
    <x v="3"/>
    <s v="LDPE/LLDPE Bags/Liner"/>
    <n v="3556.1"/>
    <n v="649983.96"/>
    <s v="LDPE/LLDPE Bags/Liner"/>
    <n v="803808.91"/>
    <n v="9"/>
    <n v="58498.559999999998"/>
    <n v="9"/>
    <n v="58498.559999999998"/>
    <n v="0"/>
    <n v="0"/>
    <n v="0"/>
    <n v="116997.12"/>
    <n v="0"/>
    <s v="24AAACO3087C1ZT"/>
    <s v="Kgs"/>
    <n v="39200000"/>
    <s v="Rs."/>
    <n v="1"/>
    <n v="0"/>
  </r>
  <r>
    <d v="2026-06-07T00:00:00"/>
    <x v="0"/>
    <s v="R.M.P."/>
    <s v="RM 345"/>
    <s v="Purchase Withinstate - Raw Material"/>
    <s v="PIL1/D/934"/>
    <d v="2026-06-07T00:00:00"/>
    <s v="SF"/>
    <s v="PP/PE Fabric"/>
    <s v="PP UL Fabric"/>
    <x v="2"/>
    <s v="PP UL Fabric With UV"/>
    <n v="220"/>
    <n v="31787.8"/>
    <s v="PP UL Fabric With UV"/>
    <n v="0"/>
    <n v="9"/>
    <n v="2860.9"/>
    <n v="9"/>
    <n v="2860.9"/>
    <n v="0"/>
    <n v="0"/>
    <n v="0"/>
    <n v="5721.8"/>
    <n v="0"/>
    <s v="24AAACO3087C1ZT"/>
    <s v="Kgs"/>
    <n v="39269080"/>
    <s v="Rs."/>
    <n v="1"/>
    <n v="0"/>
  </r>
  <r>
    <d v="2026-06-07T00:00:00"/>
    <x v="0"/>
    <s v="R.M.P."/>
    <s v="RM 346"/>
    <s v="Purchase Withinstate - Raw Material"/>
    <s v="PIL1/D/932"/>
    <d v="2026-06-07T00:00:00"/>
    <s v="SF"/>
    <s v="PP/PE Fabric"/>
    <s v="PP UL Fabric"/>
    <x v="2"/>
    <s v="PP UL Fabric With UV"/>
    <n v="2826"/>
    <n v="413980.74"/>
    <s v="PP UL Fabric With UV"/>
    <n v="1567298.8"/>
    <n v="9"/>
    <n v="37258.269999999997"/>
    <n v="9"/>
    <n v="37258.269999999997"/>
    <n v="0"/>
    <n v="0"/>
    <n v="0"/>
    <n v="74516.539999999994"/>
    <n v="0"/>
    <s v="24AAACO3087C1ZT"/>
    <s v="Kgs"/>
    <n v="39269080"/>
    <s v="Rs."/>
    <n v="1"/>
    <n v="0"/>
  </r>
  <r>
    <d v="2026-06-07T00:00:00"/>
    <x v="0"/>
    <s v="R.M.P."/>
    <s v="RM 346"/>
    <s v="Purchase Withinstate - Raw Material"/>
    <s v="PIL1/D/932"/>
    <d v="2026-06-07T00:00:00"/>
    <s v="SF"/>
    <s v="Webbing"/>
    <s v="PP Webbing"/>
    <x v="4"/>
    <s v="Webbing"/>
    <n v="5.8"/>
    <n v="988.84"/>
    <s v="Webbing"/>
    <n v="0"/>
    <n v="9"/>
    <n v="89"/>
    <n v="9"/>
    <n v="89"/>
    <n v="0"/>
    <n v="0"/>
    <n v="0"/>
    <n v="178"/>
    <n v="0"/>
    <s v="24AAACO3087C1ZT"/>
    <s v="Kgs"/>
    <n v="3926908"/>
    <s v="Rs."/>
    <n v="1"/>
    <n v="0"/>
  </r>
  <r>
    <d v="2026-06-07T00:00:00"/>
    <x v="0"/>
    <s v="R.M.P."/>
    <s v="RM 346"/>
    <s v="Purchase Withinstate - Raw Material"/>
    <s v="PIL1/D/932"/>
    <d v="2026-06-07T00:00:00"/>
    <s v="SF"/>
    <s v="Webbing"/>
    <s v="PP Webbing"/>
    <x v="4"/>
    <s v="Webbing"/>
    <n v="706.1"/>
    <n v="103436.59"/>
    <s v="Webbing"/>
    <n v="0"/>
    <n v="9"/>
    <n v="9309.2900000000009"/>
    <n v="9"/>
    <n v="9309.2900000000009"/>
    <n v="0"/>
    <n v="0"/>
    <n v="0"/>
    <n v="18618.580000000002"/>
    <n v="0"/>
    <s v="24AAACO3087C1ZT"/>
    <s v="Kgs"/>
    <n v="3926908"/>
    <s v="Rs."/>
    <n v="1"/>
    <n v="0"/>
  </r>
  <r>
    <d v="2026-06-07T00:00:00"/>
    <x v="0"/>
    <s v="R.M.P."/>
    <s v="RM 346"/>
    <s v="Purchase Withinstate - Raw Material"/>
    <s v="PIL1/D/932"/>
    <d v="2026-06-07T00:00:00"/>
    <s v="SF"/>
    <s v="Webbing"/>
    <s v="PP Webbing"/>
    <x v="4"/>
    <s v="Webbing"/>
    <n v="1181.5999999999999"/>
    <n v="176637.38"/>
    <s v="Webbing"/>
    <n v="0"/>
    <n v="9"/>
    <n v="15897.36"/>
    <n v="9"/>
    <n v="15897.36"/>
    <n v="0"/>
    <n v="0"/>
    <n v="0"/>
    <n v="31794.720000000001"/>
    <n v="0"/>
    <s v="24AAACO3087C1ZT"/>
    <s v="Kgs"/>
    <n v="3926908"/>
    <s v="Rs."/>
    <n v="1"/>
    <n v="0"/>
  </r>
  <r>
    <d v="2026-06-07T00:00:00"/>
    <x v="0"/>
    <s v="R.M.P."/>
    <s v="RM 346"/>
    <s v="Purchase Withinstate - Raw Material"/>
    <s v="PIL1/D/932"/>
    <d v="2026-06-07T00:00:00"/>
    <s v="SF"/>
    <s v="PP/PE Fabric"/>
    <s v="PP UL Fabric"/>
    <x v="2"/>
    <s v="PP UL Fabric With UV"/>
    <n v="3213"/>
    <n v="464246.37"/>
    <s v="PP UL Fabric With UV"/>
    <n v="0"/>
    <n v="9"/>
    <n v="41782.17"/>
    <n v="9"/>
    <n v="41782.17"/>
    <n v="0"/>
    <n v="0"/>
    <n v="0"/>
    <n v="83564.34"/>
    <n v="0"/>
    <s v="24AAACO3087C1ZT"/>
    <s v="Kgs"/>
    <n v="39269080"/>
    <s v="Rs."/>
    <n v="1"/>
    <n v="0"/>
  </r>
  <r>
    <d v="2026-06-07T00:00:00"/>
    <x v="0"/>
    <s v="R.M.P."/>
    <s v="RM 346"/>
    <s v="Purchase Withinstate - Raw Material"/>
    <s v="PIL1/D/932"/>
    <d v="2026-06-07T00:00:00"/>
    <s v="SF"/>
    <s v="PP/PE Fabric"/>
    <s v="PP UL Fabric"/>
    <x v="2"/>
    <s v="PP UL Fabric With UV"/>
    <n v="1153"/>
    <n v="170055.97"/>
    <s v="PP UL Fabric With UV"/>
    <n v="0"/>
    <n v="9"/>
    <n v="15305.04"/>
    <n v="9"/>
    <n v="15305.04"/>
    <n v="0"/>
    <n v="0"/>
    <n v="0"/>
    <n v="30610.080000000002"/>
    <n v="0"/>
    <s v="24AAACO3087C1ZT"/>
    <s v="Kgs"/>
    <n v="39269080"/>
    <s v="Rs."/>
    <n v="1"/>
    <n v="0"/>
  </r>
  <r>
    <d v="2026-06-07T00:00:00"/>
    <x v="1"/>
    <s v="General Purchase"/>
    <s v="GNCN 241"/>
    <s v="Purchase Withinstate- Stores, Spares &amp; Consumable"/>
    <s v="PPL/D/312"/>
    <d v="2026-06-07T00:00:00"/>
    <s v="Stores/Spares"/>
    <s v="MS Structure Items"/>
    <s v="Spares &amp; Stores"/>
    <x v="0"/>
    <s v="MS Pipe 4  C Class"/>
    <n v="12"/>
    <n v="576"/>
    <s v="MS Pipe 4  C Class"/>
    <n v="679.1"/>
    <n v="9"/>
    <n v="51.84"/>
    <n v="9"/>
    <n v="51.84"/>
    <n v="0"/>
    <n v="0"/>
    <n v="0"/>
    <n v="103.68"/>
    <n v="0"/>
    <s v="24AAFCP2956A1ZR"/>
    <s v="Kgs"/>
    <n v="73063090"/>
    <s v="Rs."/>
    <n v="1"/>
    <n v="0"/>
  </r>
  <r>
    <d v="2026-06-07T00:00:00"/>
    <x v="1"/>
    <s v="General Purchase"/>
    <s v="GNCN 242"/>
    <s v="Purchase Withinstate- Stores, Spares &amp; Consumable"/>
    <s v="PPL/D/313"/>
    <d v="2026-06-07T00:00:00"/>
    <s v="Consumables"/>
    <s v="Oil &amp; Greases"/>
    <s v="Spares &amp; Stores"/>
    <x v="0"/>
    <s v="Oil 20W/40"/>
    <n v="20"/>
    <n v="2760"/>
    <s v="Oil 20W/40"/>
    <n v="3254.04"/>
    <n v="9"/>
    <n v="248.4"/>
    <n v="9"/>
    <n v="248.4"/>
    <n v="0"/>
    <n v="0"/>
    <n v="0"/>
    <n v="496.8"/>
    <n v="0"/>
    <s v="24AAFCP2956A1ZR"/>
    <s v="LTR"/>
    <n v="27109900"/>
    <s v="Rs."/>
    <n v="1"/>
    <n v="0"/>
  </r>
  <r>
    <d v="2026-06-07T00:00:00"/>
    <x v="1"/>
    <s v="R.M.P."/>
    <s v="RM 344"/>
    <s v="Purchase Withinstate - Raw Material"/>
    <s v="PPL/D/314"/>
    <d v="2026-06-07T00:00:00"/>
    <s v="FG"/>
    <s v="FIBC WIP"/>
    <s v="FIBC WIP"/>
    <x v="5"/>
    <s v="PP Woven Fabric"/>
    <n v="411"/>
    <n v="63598.14"/>
    <s v="FIBC WIP"/>
    <n v="116943.05"/>
    <n v="9"/>
    <n v="5723.83"/>
    <n v="9"/>
    <n v="5723.83"/>
    <n v="0"/>
    <n v="0"/>
    <n v="0"/>
    <n v="11447.66"/>
    <n v="0"/>
    <s v="24AAFCP2956A1ZR"/>
    <s v="Kgs"/>
    <n v="39269080"/>
    <s v="Rs."/>
    <n v="1"/>
    <n v="0"/>
  </r>
  <r>
    <d v="2026-06-07T00:00:00"/>
    <x v="1"/>
    <s v="R.M.P."/>
    <s v="RM 344"/>
    <s v="Purchase Withinstate - Raw Material"/>
    <s v="PPL/D/314"/>
    <d v="2026-06-07T00:00:00"/>
    <s v="SF"/>
    <s v="PP/PE Fabric"/>
    <s v="PP UL Fabric"/>
    <x v="2"/>
    <s v="PP UL Fabric With UV"/>
    <n v="230"/>
    <n v="35590.199999999997"/>
    <s v="PP UL Fabric With UV"/>
    <n v="0"/>
    <n v="9"/>
    <n v="3203.12"/>
    <n v="9"/>
    <n v="3203.12"/>
    <n v="0"/>
    <n v="0"/>
    <n v="0"/>
    <n v="6406.24"/>
    <n v="0"/>
    <s v="24AAFCP2956A1ZR"/>
    <s v="Kgs"/>
    <n v="39269080"/>
    <s v="Rs."/>
    <n v="1"/>
    <n v="0"/>
  </r>
  <r>
    <d v="2026-06-07T00:00:00"/>
    <x v="4"/>
    <s v="General Purchase"/>
    <s v="GNCN 240"/>
    <s v="Purchase Interstate- Stores, Spares &amp; Consumable"/>
    <s v="SLZ/003726-27"/>
    <d v="2026-03-07T00:00:00"/>
    <s v="RM Consumables"/>
    <s v="FIBC Accessories"/>
    <s v="FIBC Accessories"/>
    <x v="0"/>
    <s v="Zipper Bags"/>
    <n v="7000"/>
    <n v="14700"/>
    <s v="Zipper Bags"/>
    <n v="17346"/>
    <n v="0"/>
    <n v="0"/>
    <n v="0"/>
    <n v="0"/>
    <n v="18"/>
    <n v="2646"/>
    <n v="0"/>
    <n v="2646"/>
    <n v="0"/>
    <s v="23AAECS3438H1ZI"/>
    <s v="Pcs"/>
    <n v="39239090"/>
    <s v="Rs."/>
    <n v="1"/>
    <n v="7000"/>
  </r>
  <r>
    <d v="2026-06-07T00:00:00"/>
    <x v="11"/>
    <s v="Purchase"/>
    <s v="GNPK 63"/>
    <s v="Purchase Withinstate- Packing Material"/>
    <s v="SS/SL/26-27/194"/>
    <d v="2026-06-07T00:00:00"/>
    <s v="Packing Material"/>
    <s v="Pallets"/>
    <s v="Pallets"/>
    <x v="9"/>
    <s v="Pine Wooden Pallet Design Code STD90110"/>
    <n v="100"/>
    <n v="80300"/>
    <s v="Pine Wooden Pallet Design Code STD90110"/>
    <n v="84315"/>
    <n v="2.5"/>
    <n v="2007.5"/>
    <n v="2.5"/>
    <n v="2007.5"/>
    <n v="0"/>
    <n v="0"/>
    <n v="0"/>
    <n v="4015"/>
    <n v="0"/>
    <s v="24ABLCS6579H1ZR"/>
    <s v="Pcs"/>
    <n v="44152000"/>
    <s v="Rs."/>
    <n v="1"/>
    <n v="0"/>
  </r>
  <r>
    <d v="2026-06-07T00:00:00"/>
    <x v="11"/>
    <s v="Purchase"/>
    <s v="GNPK 65"/>
    <s v="Purchase Withinstate- Packing Material"/>
    <s v="SS/SL/26-27/195"/>
    <d v="2026-06-07T00:00:00"/>
    <s v="Packing Material"/>
    <s v="Pallets"/>
    <s v="Packing Material"/>
    <x v="9"/>
    <s v="Wooden Pallet Flate Size 85X105Cm"/>
    <n v="50"/>
    <n v="25700"/>
    <s v="Wooden Pallet Flate Size 85X105Cm"/>
    <n v="69930"/>
    <n v="2.5"/>
    <n v="642.5"/>
    <n v="2.5"/>
    <n v="642.5"/>
    <n v="0"/>
    <n v="0"/>
    <n v="0"/>
    <n v="1285"/>
    <n v="0"/>
    <s v="24ABLCS6579H1ZR"/>
    <s v="Pcs"/>
    <n v="44152000"/>
    <s v="Rs."/>
    <n v="1"/>
    <n v="0"/>
  </r>
  <r>
    <d v="2026-06-07T00:00:00"/>
    <x v="11"/>
    <s v="Purchase"/>
    <s v="GNPK 65"/>
    <s v="Purchase Withinstate- Packing Material"/>
    <s v="SS/SL/26-27/195"/>
    <d v="2026-06-07T00:00:00"/>
    <s v="Packing Material"/>
    <s v="Pallets"/>
    <s v="Pallets"/>
    <x v="9"/>
    <s v="Pine Wooden Pallet Design SP90110"/>
    <n v="50"/>
    <n v="40900"/>
    <s v="Pine Wooden Pallet Design SP90110"/>
    <n v="0"/>
    <n v="2.5"/>
    <n v="1022.5"/>
    <n v="2.5"/>
    <n v="1022.5"/>
    <n v="0"/>
    <n v="0"/>
    <n v="0"/>
    <n v="2045"/>
    <n v="0"/>
    <s v="24ABLCS6579H1ZR"/>
    <s v="Pcs"/>
    <n v="44152000"/>
    <s v="Rs."/>
    <n v="1"/>
    <n v="0"/>
  </r>
  <r>
    <d v="2026-07-07T00:00:00"/>
    <x v="0"/>
    <s v="General Purchase"/>
    <s v="GNCN 245"/>
    <s v="Purchase Withinstate- Stores, Spares &amp; Consumable"/>
    <s v="PIL1/D/951"/>
    <d v="2026-07-07T00:00:00"/>
    <s v="Stores/Spares"/>
    <s v="MS Structure Items"/>
    <s v="Spares &amp; Stores"/>
    <x v="0"/>
    <s v="MS Pipe 4  C Class"/>
    <n v="277"/>
    <n v="13296"/>
    <s v="MS Pipe 4  C Class"/>
    <n v="15675.98"/>
    <n v="9"/>
    <n v="1196.6400000000001"/>
    <n v="9"/>
    <n v="1196.6400000000001"/>
    <n v="0"/>
    <n v="0"/>
    <n v="0"/>
    <n v="2393.2800000000002"/>
    <n v="0"/>
    <s v="24AAACO3087C1ZT"/>
    <s v="Kgs"/>
    <n v="73063090"/>
    <s v="Rs."/>
    <n v="1"/>
    <n v="0"/>
  </r>
  <r>
    <d v="2026-07-07T00:00:00"/>
    <x v="0"/>
    <s v="R.M.P."/>
    <s v="RM 348"/>
    <s v="Purchase Withinstate - Raw Material"/>
    <s v="PIL1/D/953"/>
    <d v="2026-07-07T00:00:00"/>
    <s v="SF"/>
    <s v="Liners"/>
    <s v="LDPE/LLDPE Bags"/>
    <x v="3"/>
    <s v="LDPE/LLDPE Bags/Liner"/>
    <n v="193"/>
    <n v="35276.54"/>
    <s v="LDPE/LLDPE Bags/Liner"/>
    <n v="41591.040000000001"/>
    <n v="9"/>
    <n v="3174.89"/>
    <n v="9"/>
    <n v="3174.89"/>
    <n v="0"/>
    <n v="0"/>
    <n v="0"/>
    <n v="6349.78"/>
    <n v="0"/>
    <s v="24AAACO3087C1ZT"/>
    <s v="Kgs"/>
    <n v="39200000"/>
    <s v="Rs."/>
    <n v="1"/>
    <n v="0"/>
  </r>
  <r>
    <d v="2026-07-07T00:00:00"/>
    <x v="0"/>
    <s v="R.M.P."/>
    <s v="RM 349"/>
    <s v="Purchase Withinstate - Raw Material"/>
    <s v="PIL1/D/948"/>
    <d v="2026-07-07T00:00:00"/>
    <s v="SF"/>
    <s v="PP/PE Fabric"/>
    <s v="PP UL Fabric"/>
    <x v="2"/>
    <s v="PP UL Fabric With UV"/>
    <n v="1093"/>
    <n v="160113.57"/>
    <s v="PP UL Fabric With UV"/>
    <n v="188773.9"/>
    <n v="9"/>
    <n v="14410.22"/>
    <n v="9"/>
    <n v="14410.22"/>
    <n v="0"/>
    <n v="0"/>
    <n v="0"/>
    <n v="28820.44"/>
    <n v="0"/>
    <s v="24AAACO3087C1ZT"/>
    <s v="Kgs"/>
    <n v="39269080"/>
    <s v="Rs."/>
    <n v="1"/>
    <n v="0"/>
  </r>
  <r>
    <d v="2026-07-07T00:00:00"/>
    <x v="0"/>
    <s v="R.M.P."/>
    <s v="RM 350"/>
    <s v="Purchase Withinstate - Raw Material"/>
    <s v="PIL1/D/935"/>
    <d v="2026-06-07T00:00:00"/>
    <s v="SF"/>
    <s v="PP/PE Fabric"/>
    <s v="PP UL Fabric"/>
    <x v="2"/>
    <s v="PP UL Fabric With UV"/>
    <n v="410"/>
    <n v="59240.9"/>
    <s v="PP UL Fabric With UV"/>
    <n v="69845.02"/>
    <n v="9"/>
    <n v="5331.68"/>
    <n v="9"/>
    <n v="5331.68"/>
    <n v="0"/>
    <n v="0"/>
    <n v="0"/>
    <n v="10663.36"/>
    <n v="0"/>
    <s v="24AAACO3087C1ZT"/>
    <s v="Kgs"/>
    <n v="39269080"/>
    <s v="Rs."/>
    <n v="1"/>
    <n v="0"/>
  </r>
  <r>
    <d v="2026-07-07T00:00:00"/>
    <x v="0"/>
    <s v="R.M.P."/>
    <s v="RM 351"/>
    <s v="Purchase Withinstate - Raw Material"/>
    <s v="PIL1/D/954"/>
    <d v="2026-07-07T00:00:00"/>
    <s v="SF"/>
    <s v="Webbing"/>
    <s v="PP Webbing"/>
    <x v="4"/>
    <s v="Webbing"/>
    <n v="480.4"/>
    <n v="70373.8"/>
    <s v="Webbing"/>
    <n v="461730.48"/>
    <n v="9"/>
    <n v="6333.64"/>
    <n v="9"/>
    <n v="6333.64"/>
    <n v="0"/>
    <n v="0"/>
    <n v="0"/>
    <n v="12667.28"/>
    <n v="0"/>
    <s v="24AAACO3087C1ZT"/>
    <s v="Kgs"/>
    <n v="3926908"/>
    <s v="Rs."/>
    <n v="1"/>
    <n v="0"/>
  </r>
  <r>
    <d v="2026-07-07T00:00:00"/>
    <x v="0"/>
    <s v="R.M.P."/>
    <s v="RM 351"/>
    <s v="Purchase Withinstate - Raw Material"/>
    <s v="PIL1/D/954"/>
    <d v="2026-07-07T00:00:00"/>
    <s v="SF"/>
    <s v="Webbing"/>
    <s v="PP Webbing"/>
    <x v="4"/>
    <s v="Webbing"/>
    <n v="882.3"/>
    <n v="131895.03"/>
    <s v="Webbing"/>
    <n v="0"/>
    <n v="9"/>
    <n v="11870.55"/>
    <n v="9"/>
    <n v="11870.55"/>
    <n v="0"/>
    <n v="0"/>
    <n v="0"/>
    <n v="23741.1"/>
    <n v="0"/>
    <s v="24AAACO3087C1ZT"/>
    <s v="Kgs"/>
    <n v="3926908"/>
    <s v="Rs."/>
    <n v="1"/>
    <n v="0"/>
  </r>
  <r>
    <d v="2026-07-07T00:00:00"/>
    <x v="0"/>
    <s v="R.M.P."/>
    <s v="RM 351"/>
    <s v="Purchase Withinstate - Raw Material"/>
    <s v="PIL1/D/954"/>
    <d v="2026-07-07T00:00:00"/>
    <s v="SF"/>
    <s v="Liners"/>
    <s v="LDPE/LLDPE Bags"/>
    <x v="3"/>
    <s v="LDPE/LLDPE Bags/Liner"/>
    <n v="1036"/>
    <n v="189360.08"/>
    <s v="LDPE/LLDPE Bags/Liner"/>
    <n v="0"/>
    <n v="9"/>
    <n v="17042.41"/>
    <n v="9"/>
    <n v="17042.41"/>
    <n v="0"/>
    <n v="0"/>
    <n v="0"/>
    <n v="34084.82"/>
    <n v="0"/>
    <s v="24AAACO3087C1ZT"/>
    <s v="Kgs"/>
    <n v="39200000"/>
    <s v="Rs."/>
    <n v="1"/>
    <n v="0"/>
  </r>
  <r>
    <d v="2026-07-07T00:00:00"/>
    <x v="0"/>
    <s v="R.M.P."/>
    <s v="RM 352"/>
    <s v="Purchase Withinstate - Raw Material"/>
    <s v="PIL1/D/945"/>
    <d v="2026-07-07T00:00:00"/>
    <s v="SF"/>
    <s v="PP/PE Fabric"/>
    <s v="PP UL Fabric"/>
    <x v="2"/>
    <s v="PP UL Fabric With UV"/>
    <n v="3931"/>
    <n v="575852.18999999994"/>
    <s v="PP UL Fabric With UV"/>
    <n v="1338728.78"/>
    <n v="9"/>
    <n v="51826.7"/>
    <n v="9"/>
    <n v="51826.7"/>
    <n v="0"/>
    <n v="0"/>
    <n v="0"/>
    <n v="103653.4"/>
    <n v="0"/>
    <s v="24AAACO3087C1ZT"/>
    <s v="Kgs"/>
    <n v="39269080"/>
    <s v="Rs."/>
    <n v="1"/>
    <n v="0"/>
  </r>
  <r>
    <d v="2026-07-07T00:00:00"/>
    <x v="0"/>
    <s v="R.M.P."/>
    <s v="RM 352"/>
    <s v="Purchase Withinstate - Raw Material"/>
    <s v="PIL1/D/945"/>
    <d v="2026-07-07T00:00:00"/>
    <s v="SF"/>
    <s v="PP/PE Fabric"/>
    <s v="PP UL Fabric"/>
    <x v="2"/>
    <s v="PP UL Fabric With UV"/>
    <n v="2786"/>
    <n v="402549.14"/>
    <s v="PP UL Fabric With UV"/>
    <n v="0"/>
    <n v="9"/>
    <n v="36229.42"/>
    <n v="9"/>
    <n v="36229.42"/>
    <n v="0"/>
    <n v="0"/>
    <n v="0"/>
    <n v="72458.84"/>
    <n v="0"/>
    <s v="24AAACO3087C1ZT"/>
    <s v="Kgs"/>
    <n v="39269080"/>
    <s v="Rs."/>
    <n v="1"/>
    <n v="0"/>
  </r>
  <r>
    <d v="2026-07-07T00:00:00"/>
    <x v="0"/>
    <s v="R.M.P."/>
    <s v="RM 352"/>
    <s v="Purchase Withinstate - Raw Material"/>
    <s v="PIL1/D/945"/>
    <d v="2026-07-07T00:00:00"/>
    <s v="SF"/>
    <s v="PP/PE Fabric"/>
    <s v="PP UL Fabric"/>
    <x v="2"/>
    <s v="PP UL Fabric With UV"/>
    <n v="1065"/>
    <n v="157076.85"/>
    <s v="PP UL Fabric With UV"/>
    <n v="0"/>
    <n v="9"/>
    <n v="14136.92"/>
    <n v="9"/>
    <n v="14136.92"/>
    <n v="0"/>
    <n v="0"/>
    <n v="0"/>
    <n v="28273.84"/>
    <n v="0"/>
    <s v="24AAACO3087C1ZT"/>
    <s v="Kgs"/>
    <n v="39269080"/>
    <s v="Rs."/>
    <n v="1"/>
    <n v="0"/>
  </r>
  <r>
    <d v="2026-07-07T00:00:00"/>
    <x v="0"/>
    <s v="R.M.P."/>
    <s v="RM 353"/>
    <s v="Purchase Withinstate - Raw Material"/>
    <s v="PIL1/D/950"/>
    <d v="2026-07-07T00:00:00"/>
    <s v="SF"/>
    <s v="PP/PE Fabric"/>
    <s v="PP Lam Fabric"/>
    <x v="1"/>
    <s v="PP Lam Fabric With UV"/>
    <n v="406"/>
    <n v="60692.94"/>
    <s v="PP Lam Fabric With UV"/>
    <n v="658637.49"/>
    <n v="9"/>
    <n v="5462.36"/>
    <n v="9"/>
    <n v="5462.36"/>
    <n v="0"/>
    <n v="0"/>
    <n v="0"/>
    <n v="10924.72"/>
    <n v="0"/>
    <s v="24AAACO3087C1ZT"/>
    <s v="Kgs"/>
    <n v="63053300"/>
    <s v="Rs."/>
    <n v="1"/>
    <n v="0"/>
  </r>
  <r>
    <d v="2026-07-07T00:00:00"/>
    <x v="0"/>
    <s v="R.M.P."/>
    <s v="RM 353"/>
    <s v="Purchase Withinstate - Raw Material"/>
    <s v="PIL1/D/950"/>
    <d v="2026-07-07T00:00:00"/>
    <s v="SF"/>
    <s v="PP/PE Fabric"/>
    <s v="PP Lam Fabric"/>
    <x v="1"/>
    <s v="PP Lam Fabric With UV"/>
    <n v="1739"/>
    <n v="263441.11"/>
    <s v="PP Lam Fabric With UV"/>
    <n v="0"/>
    <n v="9"/>
    <n v="23709.7"/>
    <n v="9"/>
    <n v="23709.7"/>
    <n v="0"/>
    <n v="0"/>
    <n v="0"/>
    <n v="47419.4"/>
    <n v="0"/>
    <s v="24AAACO3087C1ZT"/>
    <s v="Kgs"/>
    <n v="63053300"/>
    <s v="Rs."/>
    <n v="1"/>
    <n v="0"/>
  </r>
  <r>
    <d v="2026-07-07T00:00:00"/>
    <x v="0"/>
    <s v="R.M.P."/>
    <s v="RM 353"/>
    <s v="Purchase Withinstate - Raw Material"/>
    <s v="PIL1/D/950"/>
    <d v="2026-07-07T00:00:00"/>
    <s v="SF"/>
    <s v="Liners"/>
    <s v="LDPE/LLDPE Bags"/>
    <x v="3"/>
    <s v="LDPE/LLDPE Bags/Liner"/>
    <n v="1283"/>
    <n v="234506.74"/>
    <s v="LDPE/LLDPE Bags/Liner"/>
    <n v="0"/>
    <n v="9"/>
    <n v="21105.61"/>
    <n v="9"/>
    <n v="21105.61"/>
    <n v="0"/>
    <n v="0"/>
    <n v="0"/>
    <n v="42211.22"/>
    <n v="0"/>
    <s v="24AAACO3087C1ZT"/>
    <s v="Kgs"/>
    <n v="39200000"/>
    <s v="Rs."/>
    <n v="1"/>
    <n v="0"/>
  </r>
  <r>
    <d v="2026-07-07T00:00:00"/>
    <x v="1"/>
    <s v="General Purchase"/>
    <s v="GNCN 244"/>
    <s v="Purchase Withinstate- Stores, Spares &amp; Consumable"/>
    <s v="PPL/D/319"/>
    <d v="2026-07-07T00:00:00"/>
    <s v="Stores/Spares"/>
    <s v="MS Structure Items"/>
    <s v="Spares &amp; Stores"/>
    <x v="0"/>
    <s v="MS Pipe 4  C Class"/>
    <n v="36"/>
    <n v="1728"/>
    <s v="MS Pipe 4  C Class"/>
    <n v="2037.31"/>
    <n v="9"/>
    <n v="155.52000000000001"/>
    <n v="9"/>
    <n v="155.52000000000001"/>
    <n v="0"/>
    <n v="0"/>
    <n v="0"/>
    <n v="311.04000000000002"/>
    <n v="0"/>
    <s v="24AAFCP2956A1ZR"/>
    <s v="Kgs"/>
    <n v="73063090"/>
    <s v="Rs."/>
    <n v="1"/>
    <n v="0"/>
  </r>
  <r>
    <d v="2026-07-07T00:00:00"/>
    <x v="1"/>
    <s v="R.M.P."/>
    <s v="RM 347"/>
    <s v="Purchase Withinstate - Raw Material"/>
    <s v="PPL/D/320"/>
    <d v="2026-07-07T00:00:00"/>
    <s v="SF"/>
    <s v="PP/PE Fabric"/>
    <s v="PP UL Fabric"/>
    <x v="2"/>
    <s v="PP UL Fabric With UV"/>
    <n v="762"/>
    <n v="117911.88"/>
    <s v="PP UL Fabric With UV"/>
    <n v="190283.31"/>
    <n v="9"/>
    <n v="10612.07"/>
    <n v="9"/>
    <n v="10612.07"/>
    <n v="0"/>
    <n v="0"/>
    <n v="0"/>
    <n v="21224.14"/>
    <n v="0"/>
    <s v="24AAFCP2956A1ZR"/>
    <s v="Kgs"/>
    <n v="39269080"/>
    <s v="Rs."/>
    <n v="1"/>
    <n v="0"/>
  </r>
  <r>
    <d v="2026-07-07T00:00:00"/>
    <x v="1"/>
    <s v="R.M.P."/>
    <s v="RM 347"/>
    <s v="Purchase Withinstate - Raw Material"/>
    <s v="PPL/D/320"/>
    <d v="2026-07-07T00:00:00"/>
    <s v="FG"/>
    <s v="FIBC WIP"/>
    <s v="FIBC WIP"/>
    <x v="5"/>
    <s v="PP Woven Fabric"/>
    <n v="281"/>
    <n v="43481.94"/>
    <s v="FIBC WIP"/>
    <n v="0"/>
    <n v="9"/>
    <n v="3913.37"/>
    <n v="9"/>
    <n v="3913.37"/>
    <n v="0"/>
    <n v="0"/>
    <n v="0"/>
    <n v="7826.74"/>
    <n v="0"/>
    <s v="24AAFCP2956A1ZR"/>
    <s v="Kgs"/>
    <n v="39269080"/>
    <s v="Rs."/>
    <n v="1"/>
    <n v="0"/>
  </r>
  <r>
    <d v="2026-08-07T00:00:00"/>
    <x v="5"/>
    <s v="Branch Transfer In"/>
    <s v="GNCN 247"/>
    <s v="Branch Transfer In - Raw Material"/>
    <s v="HPBL/DC/18"/>
    <d v="2026-07-07T00:00:00"/>
    <s v="Consumables"/>
    <s v="Consumables"/>
    <s v="Consumables"/>
    <x v="0"/>
    <s v="Hotmelt  ( Glue )"/>
    <n v="200"/>
    <n v="64000"/>
    <s v="Hotmelt  ( Glue )"/>
    <n v="64000"/>
    <n v="0"/>
    <n v="0"/>
    <n v="0"/>
    <n v="0"/>
    <n v="0"/>
    <n v="0"/>
    <n v="0"/>
    <n v="0"/>
    <n v="0"/>
    <s v="24AABCG1282C2Z6"/>
    <s v="Kgs"/>
    <n v="35052000"/>
    <s v="Rs."/>
    <n v="1"/>
    <n v="0"/>
  </r>
  <r>
    <d v="2026-08-07T00:00:00"/>
    <x v="5"/>
    <s v="Branch Transfer In"/>
    <s v="RM 362"/>
    <s v="Branch Transfer In - Raw Material"/>
    <s v="HPBL/DC/13"/>
    <s v="27-06-2026"/>
    <s v="SF"/>
    <s v="Liners"/>
    <s v="LDPE/LLDPE Bags"/>
    <x v="7"/>
    <s v="DOC Pouch"/>
    <n v="930"/>
    <n v="179480.7"/>
    <s v="DOC Pouch"/>
    <n v="179480.7"/>
    <n v="0"/>
    <n v="0"/>
    <n v="0"/>
    <n v="0"/>
    <n v="0"/>
    <n v="0"/>
    <n v="0"/>
    <n v="0"/>
    <n v="0"/>
    <s v="24AABCG1282C2Z6"/>
    <s v="Kgs"/>
    <n v="39232100"/>
    <s v="Rs."/>
    <n v="1"/>
    <n v="0"/>
  </r>
  <r>
    <d v="2026-08-07T00:00:00"/>
    <x v="0"/>
    <s v="General Purchase"/>
    <s v="GNCN 248"/>
    <s v="Purchase Withinstate- Stores, Spares &amp; Consumable"/>
    <s v="PIL1/D/965"/>
    <d v="2026-08-07T00:00:00"/>
    <s v="Stores/Spares"/>
    <s v="MS Structure Items"/>
    <s v="Spares &amp; Stores"/>
    <x v="0"/>
    <s v="MS Pipe 4  C Class"/>
    <n v="222"/>
    <n v="10656"/>
    <s v="MS Pipe 4  C Class"/>
    <n v="12563.42"/>
    <n v="9"/>
    <n v="959.04"/>
    <n v="9"/>
    <n v="959.04"/>
    <n v="0"/>
    <n v="0"/>
    <n v="0"/>
    <n v="1918.08"/>
    <n v="0"/>
    <s v="24AAACO3087C1ZT"/>
    <s v="Kgs"/>
    <n v="73063090"/>
    <s v="Rs."/>
    <n v="1"/>
    <n v="0"/>
  </r>
  <r>
    <d v="2026-08-07T00:00:00"/>
    <x v="0"/>
    <s v="R.M.P."/>
    <s v="RM 355"/>
    <s v="Purchase Withinstate - Raw Material"/>
    <s v="PIL1/D/976"/>
    <d v="2026-08-07T00:00:00"/>
    <s v="SF"/>
    <s v="Liners"/>
    <s v="LDPE/LLDPE Bags"/>
    <x v="3"/>
    <s v="LDPE/LLDPE Bags/Liner"/>
    <n v="1155"/>
    <n v="211110.9"/>
    <s v="LDPE/LLDPE Bags/Liner"/>
    <n v="248899.75"/>
    <n v="9"/>
    <n v="18999.98"/>
    <n v="9"/>
    <n v="18999.98"/>
    <n v="0"/>
    <n v="0"/>
    <n v="0"/>
    <n v="37999.96"/>
    <n v="0"/>
    <s v="24AAACO3087C1ZT"/>
    <s v="Kgs"/>
    <n v="39200000"/>
    <s v="Rs."/>
    <n v="1"/>
    <n v="0"/>
  </r>
  <r>
    <d v="2026-08-07T00:00:00"/>
    <x v="0"/>
    <s v="R.M.P."/>
    <s v="RM 357"/>
    <s v="Purchase Withinstate - Raw Material"/>
    <s v="PIL1/D/966"/>
    <d v="2026-08-07T00:00:00"/>
    <s v="SF"/>
    <s v="Liners"/>
    <s v="LDPE/LLDPE Bags"/>
    <x v="3"/>
    <s v="LDPE/LLDPE Bags/Liner"/>
    <n v="2566"/>
    <n v="469013.48"/>
    <s v="LDPE/LLDPE Bags/Liner"/>
    <n v="552966.89"/>
    <n v="9"/>
    <n v="42211.21"/>
    <n v="9"/>
    <n v="42211.21"/>
    <n v="0"/>
    <n v="0"/>
    <n v="0"/>
    <n v="84422.42"/>
    <n v="0"/>
    <s v="24AAACO3087C1ZT"/>
    <s v="Kgs"/>
    <n v="39200000"/>
    <s v="Rs."/>
    <n v="1"/>
    <n v="0"/>
  </r>
  <r>
    <d v="2026-08-07T00:00:00"/>
    <x v="0"/>
    <s v="R.M.P."/>
    <s v="RM 358"/>
    <s v="Purchase Withinstate - Raw Material"/>
    <s v="PIL1/D/968"/>
    <d v="2026-08-07T00:00:00"/>
    <s v="SF"/>
    <s v="Liners"/>
    <s v="LDPE/LLDPE Bags"/>
    <x v="3"/>
    <s v="LDPE/LLDPE Bags/Liner"/>
    <n v="745"/>
    <n v="136171.1"/>
    <s v="LDPE/LLDPE Bags/Liner"/>
    <n v="160545.73000000001"/>
    <n v="9"/>
    <n v="12255.4"/>
    <n v="9"/>
    <n v="12255.4"/>
    <n v="0"/>
    <n v="0"/>
    <n v="0"/>
    <n v="24510.799999999999"/>
    <n v="0"/>
    <s v="24AAACO3087C1ZT"/>
    <s v="Kgs"/>
    <n v="39200000"/>
    <s v="Rs."/>
    <n v="1"/>
    <n v="0"/>
  </r>
  <r>
    <d v="2026-08-07T00:00:00"/>
    <x v="0"/>
    <s v="R.M.P."/>
    <s v="RM 359"/>
    <s v="Purchase Withinstate - Raw Material"/>
    <s v="PIL1/D/962"/>
    <d v="2026-08-07T00:00:00"/>
    <s v="SF"/>
    <s v="PP/PE Fabric"/>
    <s v="PP UL Fabric"/>
    <x v="2"/>
    <s v="PP UL Fabric With UV"/>
    <n v="2569"/>
    <n v="376332.81"/>
    <s v="PP UL Fabric With UV"/>
    <n v="1232235.04"/>
    <n v="9"/>
    <n v="33869.949999999997"/>
    <n v="9"/>
    <n v="33869.949999999997"/>
    <n v="0"/>
    <n v="0"/>
    <n v="0"/>
    <n v="67739.899999999994"/>
    <n v="0"/>
    <s v="24AAACO3087C1ZT"/>
    <s v="Kgs"/>
    <n v="39269080"/>
    <s v="Rs."/>
    <n v="1"/>
    <n v="0"/>
  </r>
  <r>
    <d v="2026-08-07T00:00:00"/>
    <x v="0"/>
    <s v="R.M.P."/>
    <s v="RM 359"/>
    <s v="Purchase Withinstate - Raw Material"/>
    <s v="PIL1/D/962"/>
    <d v="2026-08-07T00:00:00"/>
    <s v="SF"/>
    <s v="PP/PE Fabric"/>
    <s v="PP UL Fabric"/>
    <x v="2"/>
    <s v="PP UL Fabric With UV"/>
    <n v="907"/>
    <n v="133773.43"/>
    <s v="PP UL Fabric With UV"/>
    <n v="0"/>
    <n v="9"/>
    <n v="12039.61"/>
    <n v="9"/>
    <n v="12039.61"/>
    <n v="0"/>
    <n v="0"/>
    <n v="0"/>
    <n v="24079.22"/>
    <n v="0"/>
    <s v="24AAACO3087C1ZT"/>
    <s v="Kgs"/>
    <n v="39269080"/>
    <s v="Rs."/>
    <n v="1"/>
    <n v="0"/>
  </r>
  <r>
    <d v="2026-08-07T00:00:00"/>
    <x v="0"/>
    <s v="R.M.P."/>
    <s v="RM 359"/>
    <s v="Purchase Withinstate - Raw Material"/>
    <s v="PIL1/D/962"/>
    <d v="2026-08-07T00:00:00"/>
    <s v="SF"/>
    <s v="PP/PE Fabric"/>
    <s v="PP UL Fabric"/>
    <x v="2"/>
    <s v="PP UL Fabric With UV"/>
    <n v="3703"/>
    <n v="535046.47"/>
    <s v="PP UL Fabric With UV"/>
    <n v="0"/>
    <n v="9"/>
    <n v="48154.18"/>
    <n v="9"/>
    <n v="48154.18"/>
    <n v="0"/>
    <n v="0"/>
    <n v="0"/>
    <n v="96308.36"/>
    <n v="0"/>
    <s v="24AAACO3087C1ZT"/>
    <s v="Kgs"/>
    <n v="39269080"/>
    <s v="Rs."/>
    <n v="1"/>
    <n v="0"/>
  </r>
  <r>
    <d v="2026-08-07T00:00:00"/>
    <x v="0"/>
    <s v="R.M.P."/>
    <s v="RM 360"/>
    <s v="Purchase Withinstate - Raw Material"/>
    <s v="PIL1/D/967"/>
    <d v="2026-08-07T00:00:00"/>
    <s v="SF"/>
    <s v="PP/PE Fabric"/>
    <s v="PP Lam Fabric"/>
    <x v="1"/>
    <s v="PP Lam Fabric With UV"/>
    <n v="320"/>
    <n v="46876.800000000003"/>
    <s v="PP Lam Fabric With UV"/>
    <n v="301290.55"/>
    <n v="9"/>
    <n v="4218.91"/>
    <n v="9"/>
    <n v="4218.91"/>
    <n v="0"/>
    <n v="0"/>
    <n v="0"/>
    <n v="8437.82"/>
    <n v="0"/>
    <s v="24AAACO3087C1ZT"/>
    <s v="Kgs"/>
    <n v="63053300"/>
    <s v="Rs."/>
    <n v="1"/>
    <n v="0"/>
  </r>
  <r>
    <d v="2026-08-07T00:00:00"/>
    <x v="0"/>
    <s v="R.M.P."/>
    <s v="RM 360"/>
    <s v="Purchase Withinstate - Raw Material"/>
    <s v="PIL1/D/967"/>
    <d v="2026-08-07T00:00:00"/>
    <s v="SF"/>
    <s v="PP/PE Fabric"/>
    <s v="PP UL Fabric"/>
    <x v="2"/>
    <s v="PP UL Fabric With UV"/>
    <n v="220"/>
    <n v="31787.8"/>
    <s v="PP UL Fabric With UV"/>
    <n v="0"/>
    <n v="9"/>
    <n v="2860.9"/>
    <n v="9"/>
    <n v="2860.9"/>
    <n v="0"/>
    <n v="0"/>
    <n v="0"/>
    <n v="5721.8"/>
    <n v="0"/>
    <s v="24AAACO3087C1ZT"/>
    <s v="Kgs"/>
    <n v="39269080"/>
    <s v="Rs."/>
    <n v="1"/>
    <n v="0"/>
  </r>
  <r>
    <d v="2026-08-07T00:00:00"/>
    <x v="0"/>
    <s v="R.M.P."/>
    <s v="RM 360"/>
    <s v="Purchase Withinstate - Raw Material"/>
    <s v="PIL1/D/967"/>
    <d v="2026-08-07T00:00:00"/>
    <s v="SF"/>
    <s v="PP/PE Fabric"/>
    <s v="PP UL Fabric"/>
    <x v="2"/>
    <s v="PP UL Fabric With UV"/>
    <n v="990"/>
    <n v="145025.1"/>
    <s v="PP UL Fabric With UV"/>
    <n v="0"/>
    <n v="9"/>
    <n v="13052.26"/>
    <n v="9"/>
    <n v="13052.26"/>
    <n v="0"/>
    <n v="0"/>
    <n v="0"/>
    <n v="26104.52"/>
    <n v="0"/>
    <s v="24AAACO3087C1ZT"/>
    <s v="Kgs"/>
    <n v="39269080"/>
    <s v="Rs."/>
    <n v="1"/>
    <n v="0"/>
  </r>
  <r>
    <d v="2026-08-07T00:00:00"/>
    <x v="0"/>
    <s v="R.M.P."/>
    <s v="RM 360"/>
    <s v="Purchase Withinstate - Raw Material"/>
    <s v="PIL1/D/967"/>
    <d v="2026-08-07T00:00:00"/>
    <s v="SF"/>
    <s v="PP/PE Fabric"/>
    <s v="PP UL Fabric"/>
    <x v="2"/>
    <s v="PP UL Fabric With UV"/>
    <n v="216"/>
    <n v="31857.84"/>
    <s v="PP UL Fabric With UV"/>
    <n v="0"/>
    <n v="9"/>
    <n v="2867.21"/>
    <n v="9"/>
    <n v="2867.21"/>
    <n v="0"/>
    <n v="0"/>
    <n v="0"/>
    <n v="5734.42"/>
    <n v="0"/>
    <s v="24AAACO3087C1ZT"/>
    <s v="Kgs"/>
    <n v="39269080"/>
    <s v="Rs."/>
    <n v="1"/>
    <n v="0"/>
  </r>
  <r>
    <d v="2026-08-07T00:00:00"/>
    <x v="0"/>
    <s v="R.M.P."/>
    <s v="RM 361"/>
    <s v="Purchase Withinstate - Raw Material"/>
    <s v="PIL1/D/964"/>
    <d v="2026-08-07T00:00:00"/>
    <s v="SF"/>
    <s v="Webbing"/>
    <s v="PP Webbing"/>
    <x v="4"/>
    <s v="Webbing"/>
    <n v="1020.7"/>
    <n v="152584.44"/>
    <s v="Webbing"/>
    <n v="691478.36"/>
    <n v="9"/>
    <n v="13732.6"/>
    <n v="9"/>
    <n v="13732.6"/>
    <n v="0"/>
    <n v="0"/>
    <n v="0"/>
    <n v="27465.200000000001"/>
    <n v="0"/>
    <s v="24AAACO3087C1ZT"/>
    <s v="Kgs"/>
    <n v="3926908"/>
    <s v="Rs."/>
    <n v="1"/>
    <n v="0"/>
  </r>
  <r>
    <d v="2026-08-07T00:00:00"/>
    <x v="0"/>
    <s v="R.M.P."/>
    <s v="RM 361"/>
    <s v="Purchase Withinstate - Raw Material"/>
    <s v="PIL1/D/964"/>
    <d v="2026-08-07T00:00:00"/>
    <s v="SF"/>
    <s v="Webbing"/>
    <s v="PP Webbing"/>
    <x v="4"/>
    <s v="Webbing"/>
    <n v="1332.3"/>
    <n v="195168.63"/>
    <s v="Webbing"/>
    <n v="0"/>
    <n v="9"/>
    <n v="17565.18"/>
    <n v="9"/>
    <n v="17565.18"/>
    <n v="0"/>
    <n v="0"/>
    <n v="0"/>
    <n v="35130.36"/>
    <n v="0"/>
    <s v="24AAACO3087C1ZT"/>
    <s v="Kgs"/>
    <n v="3926908"/>
    <s v="Rs."/>
    <n v="1"/>
    <n v="0"/>
  </r>
  <r>
    <d v="2026-08-07T00:00:00"/>
    <x v="0"/>
    <s v="R.M.P."/>
    <s v="RM 361"/>
    <s v="Purchase Withinstate - Raw Material"/>
    <s v="PIL1/D/964"/>
    <d v="2026-08-07T00:00:00"/>
    <s v="SF"/>
    <s v="Yarn All"/>
    <s v="PP Yarn"/>
    <x v="8"/>
    <s v="PP MF Yarn Twisted 3000 Denier UV NW"/>
    <n v="1274.8"/>
    <n v="199493.45"/>
    <s v="PP MF Yarn Twisted 3000 Denier UV NW"/>
    <n v="0"/>
    <n v="2.5"/>
    <n v="4987.34"/>
    <n v="2.5"/>
    <n v="4987.34"/>
    <n v="0"/>
    <n v="0"/>
    <n v="0"/>
    <n v="9974.68"/>
    <n v="0"/>
    <s v="24AAACO3087C1ZT"/>
    <s v="Kgs"/>
    <n v="540263"/>
    <s v="Rs."/>
    <n v="1"/>
    <n v="0"/>
  </r>
  <r>
    <d v="2026-08-07T00:00:00"/>
    <x v="0"/>
    <s v="R.M.P."/>
    <s v="RM 361"/>
    <s v="Purchase Withinstate - Raw Material"/>
    <s v="PIL1/D/964"/>
    <d v="2026-08-07T00:00:00"/>
    <s v="SF"/>
    <s v="Yarn All"/>
    <s v="PP Yarn"/>
    <x v="8"/>
    <s v="PP Fibrillated Tape Twisted 3200 Blue"/>
    <n v="431.6"/>
    <n v="68835.88"/>
    <s v="PP Fibrillated Tape Twisted 3200 Blue"/>
    <n v="0"/>
    <n v="2.5"/>
    <n v="1720.9"/>
    <n v="2.5"/>
    <n v="1720.9"/>
    <n v="0"/>
    <n v="0"/>
    <n v="0"/>
    <n v="3441.8"/>
    <n v="0"/>
    <s v="24AAACO3087C1ZT"/>
    <s v="Kgs"/>
    <n v="54026930"/>
    <s v="Rs."/>
    <n v="1"/>
    <n v="0"/>
  </r>
  <r>
    <d v="2026-08-07T00:00:00"/>
    <x v="12"/>
    <s v="R.M.P."/>
    <s v="RM 354"/>
    <s v="Purchase Withinstate - Raw Material"/>
    <s v="PIL2/D/344"/>
    <d v="2026-07-07T00:00:00"/>
    <s v="SF"/>
    <s v="PP/PE Fabric"/>
    <s v="PP UL Fabric"/>
    <x v="2"/>
    <s v="PP UL Fabric With UV"/>
    <n v="8789.9"/>
    <n v="980952.84"/>
    <s v="PP UL Fabric With UV"/>
    <n v="1156543.4099999999"/>
    <n v="9"/>
    <n v="88285.759999999995"/>
    <n v="9"/>
    <n v="88285.759999999995"/>
    <n v="0"/>
    <n v="0"/>
    <n v="0"/>
    <n v="176571.51999999999"/>
    <n v="0"/>
    <s v="24AAACO3087C1ZT"/>
    <s v="Kgs"/>
    <n v="39269080"/>
    <s v="Rs."/>
    <n v="1"/>
    <n v="0"/>
  </r>
  <r>
    <d v="2026-08-07T00:00:00"/>
    <x v="1"/>
    <s v="General Purchase"/>
    <s v="GNCN 249"/>
    <s v="Purchase Withinstate- Stores, Spares &amp; Consumable"/>
    <s v="PPL/D/324"/>
    <d v="2026-08-07T00:00:00"/>
    <s v="Stores/Spares"/>
    <s v="MS Structure Items"/>
    <s v="Spares &amp; Stores"/>
    <x v="0"/>
    <s v="MS Pipe 4  C Class"/>
    <n v="24"/>
    <n v="1152"/>
    <s v="MS Pipe 4  C Class"/>
    <n v="1358.21"/>
    <n v="9"/>
    <n v="103.68"/>
    <n v="9"/>
    <n v="103.68"/>
    <n v="0"/>
    <n v="0"/>
    <n v="0"/>
    <n v="207.36"/>
    <n v="0"/>
    <s v="24AAFCP2956A1ZR"/>
    <s v="Kgs"/>
    <n v="73063090"/>
    <s v="Rs."/>
    <n v="1"/>
    <n v="0"/>
  </r>
  <r>
    <d v="2026-08-07T00:00:00"/>
    <x v="1"/>
    <s v="R.M.P."/>
    <s v="RM 356"/>
    <s v="Purchase Withinstate - Raw Material"/>
    <s v="PPL/D/325"/>
    <d v="2026-08-07T00:00:00"/>
    <s v="SF"/>
    <s v="PP/PE Fabric"/>
    <s v="PP Lam Fabric"/>
    <x v="1"/>
    <s v="PP Lam Fabric With UV"/>
    <n v="215"/>
    <n v="34129.1"/>
    <s v="PP Lam Fabric With UV"/>
    <n v="156269.07999999999"/>
    <n v="9"/>
    <n v="3071.62"/>
    <n v="9"/>
    <n v="3071.62"/>
    <n v="0"/>
    <n v="0"/>
    <n v="0"/>
    <n v="6143.24"/>
    <n v="0"/>
    <s v="24AAFCP2956A1ZR"/>
    <s v="Kgs"/>
    <n v="63053300"/>
    <s v="Rs."/>
    <n v="1"/>
    <n v="0"/>
  </r>
  <r>
    <d v="2026-08-07T00:00:00"/>
    <x v="1"/>
    <s v="R.M.P."/>
    <s v="RM 356"/>
    <s v="Purchase Withinstate - Raw Material"/>
    <s v="PPL/D/325"/>
    <d v="2026-08-07T00:00:00"/>
    <s v="FG"/>
    <s v="FIBC WIP"/>
    <s v="FIBC WIP"/>
    <x v="5"/>
    <s v="PP Woven Fabric"/>
    <n v="295"/>
    <n v="45648.3"/>
    <s v="FIBC WIP"/>
    <n v="0"/>
    <n v="9"/>
    <n v="4108.3500000000004"/>
    <n v="9"/>
    <n v="4108.3500000000004"/>
    <n v="0"/>
    <n v="0"/>
    <n v="0"/>
    <n v="8216.7000000000007"/>
    <n v="0"/>
    <s v="24AAFCP2956A1ZR"/>
    <s v="Kgs"/>
    <n v="39269080"/>
    <s v="Rs."/>
    <n v="1"/>
    <n v="0"/>
  </r>
  <r>
    <d v="2026-08-07T00:00:00"/>
    <x v="1"/>
    <s v="R.M.P."/>
    <s v="RM 356"/>
    <s v="Purchase Withinstate - Raw Material"/>
    <s v="PPL/D/325"/>
    <d v="2026-08-07T00:00:00"/>
    <s v="SF"/>
    <s v="PP/PE Fabric"/>
    <s v="PP UL Fabric"/>
    <x v="2"/>
    <s v="PP UL Fabric With UV"/>
    <n v="341"/>
    <n v="52766.34"/>
    <s v="PP UL Fabric With UV"/>
    <n v="0"/>
    <n v="9"/>
    <n v="4748.97"/>
    <n v="9"/>
    <n v="4748.97"/>
    <n v="0"/>
    <n v="0"/>
    <n v="0"/>
    <n v="9497.94"/>
    <n v="0"/>
    <s v="24AAFCP2956A1ZR"/>
    <s v="Kgs"/>
    <n v="39269080"/>
    <s v="Rs."/>
    <n v="1"/>
    <n v="0"/>
  </r>
  <r>
    <d v="2026-08-07T00:00:00"/>
    <x v="4"/>
    <s v="General Purchase"/>
    <s v="GNCN 246"/>
    <s v="Purchase Interstate- Stores, Spares &amp; Consumable"/>
    <s v="SLZ/0038/26-27"/>
    <d v="2026-04-07T00:00:00"/>
    <s v="RM Consumables"/>
    <s v="FIBC Accessories"/>
    <s v="FIBC Accessories"/>
    <x v="0"/>
    <s v="Zipper Bags"/>
    <n v="14000"/>
    <n v="29400"/>
    <s v="Zipper Bags"/>
    <n v="34692"/>
    <n v="0"/>
    <n v="0"/>
    <n v="0"/>
    <n v="0"/>
    <n v="18"/>
    <n v="5292"/>
    <n v="0"/>
    <n v="5292"/>
    <n v="0"/>
    <s v="23AAECS3438H1ZI"/>
    <s v="Pcs"/>
    <n v="39239090"/>
    <s v="Rs."/>
    <n v="1"/>
    <n v="14000"/>
  </r>
  <r>
    <d v="2026-08-07T00:00:00"/>
    <x v="13"/>
    <s v="General Purchase"/>
    <s v="GNSP 113"/>
    <s v="Purchase Interstate- Stores, Spares &amp; Consumable"/>
    <s v="SR/494/26-27"/>
    <d v="2026-04-07T00:00:00"/>
    <s v="Stores/Spares"/>
    <s v="Stitching Spares"/>
    <s v="Spares &amp; Stores"/>
    <x v="0"/>
    <s v="Thread Hook 81310"/>
    <n v="20"/>
    <n v="5000"/>
    <s v="Thread Hook 81310"/>
    <n v="5324"/>
    <n v="0"/>
    <n v="0"/>
    <n v="0"/>
    <n v="0"/>
    <n v="5"/>
    <n v="250"/>
    <n v="3.5"/>
    <n v="253.5"/>
    <n v="0"/>
    <s v="19AORPR0945L1Z4"/>
    <s v="Pcs"/>
    <n v="84529099"/>
    <s v="Rs."/>
    <n v="1"/>
    <n v="0"/>
  </r>
  <r>
    <d v="2026-09-07T00:00:00"/>
    <x v="14"/>
    <s v="General Purchase"/>
    <s v="GNSP 114"/>
    <s v="Purchase Withinstate- Stores, Spares &amp; Consumable"/>
    <s v="GST/26-27/2892"/>
    <d v="2026-01-07T00:00:00"/>
    <s v="Stores/Spares"/>
    <s v="Stitching Spares"/>
    <s v="Spares &amp; Stores"/>
    <x v="0"/>
    <s v="Spreader Lever 81313 A"/>
    <n v="10"/>
    <n v="32320"/>
    <s v="Spreader Lever 81313 A"/>
    <n v="34031"/>
    <n v="2.5"/>
    <n v="808"/>
    <n v="2.5"/>
    <n v="808"/>
    <n v="0"/>
    <n v="0"/>
    <n v="4.5"/>
    <n v="1620.5"/>
    <n v="0"/>
    <s v="24ABAFA4683N1Z8"/>
    <s v="Pcs"/>
    <n v="84529099"/>
    <s v="Rs."/>
    <n v="1"/>
    <n v="0"/>
  </r>
  <r>
    <d v="2026-09-07T00:00:00"/>
    <x v="14"/>
    <s v="General Purchase"/>
    <s v="GNSP 115"/>
    <s v="Purchase Withinstate- Stores, Spares &amp; Consumable"/>
    <s v="GST/26-27/2891"/>
    <d v="2026-01-07T00:00:00"/>
    <s v="Stores/Spares"/>
    <s v="Stitching Spares"/>
    <s v="Spares &amp; Stores"/>
    <x v="0"/>
    <s v="Coupling # 03020"/>
    <n v="5"/>
    <n v="902"/>
    <s v="Coupling # 03020"/>
    <n v="947"/>
    <n v="2.5"/>
    <n v="22.55"/>
    <n v="2.5"/>
    <n v="22.55"/>
    <n v="0"/>
    <n v="0"/>
    <n v="0"/>
    <n v="45.1"/>
    <n v="0"/>
    <s v="24ABAFA4683N1Z8"/>
    <s v="Pcs"/>
    <n v="84529099"/>
    <s v="Rs."/>
    <n v="1"/>
    <n v="0"/>
  </r>
  <r>
    <d v="2026-09-07T00:00:00"/>
    <x v="15"/>
    <s v="General Purchase"/>
    <s v="GNCN 250"/>
    <s v="Purchase Withinstate- Stores, Spares &amp; Consumable"/>
    <s v="GP/26-27/68343"/>
    <d v="2026-07-07T00:00:00"/>
    <s v="Consumables"/>
    <s v="Oil &amp; Greases"/>
    <s v="Spares &amp; Stores"/>
    <x v="0"/>
    <s v="Diesel"/>
    <n v="400"/>
    <n v="39116"/>
    <s v="Diesel"/>
    <n v="39116"/>
    <n v="0"/>
    <n v="0"/>
    <n v="0"/>
    <n v="0"/>
    <n v="0"/>
    <n v="0"/>
    <n v="0"/>
    <n v="0"/>
    <n v="0"/>
    <s v="24ABJPV0976A1ZO"/>
    <s v="LTR"/>
    <n v="27101930"/>
    <s v="Rs."/>
    <n v="1"/>
    <n v="0"/>
  </r>
  <r>
    <d v="2026-09-07T00:00:00"/>
    <x v="15"/>
    <s v="General Purchase"/>
    <s v="GNCN 251"/>
    <s v="Purchase Withinstate- Stores, Spares &amp; Consumable"/>
    <s v="GP/26-27/68344"/>
    <d v="2026-07-07T00:00:00"/>
    <s v="Consumables"/>
    <s v="Oil &amp; Greases"/>
    <s v="Spares &amp; Stores"/>
    <x v="0"/>
    <s v="Diesel"/>
    <n v="200"/>
    <n v="19558"/>
    <s v="Diesel"/>
    <n v="19558"/>
    <n v="0"/>
    <n v="0"/>
    <n v="0"/>
    <n v="0"/>
    <n v="0"/>
    <n v="0"/>
    <n v="0"/>
    <n v="0"/>
    <n v="0"/>
    <s v="24ABJPV0976A1ZO"/>
    <s v="LTR"/>
    <n v="27101930"/>
    <s v="Rs."/>
    <n v="1"/>
    <n v="0"/>
  </r>
  <r>
    <d v="2026-09-07T00:00:00"/>
    <x v="0"/>
    <s v="General Purchase"/>
    <s v="GNCN 252"/>
    <s v="Purchase Withinstate- Stores, Spares &amp; Consumable"/>
    <s v="PIL1/D/980"/>
    <d v="2026-09-07T00:00:00"/>
    <s v="Stores/Spares"/>
    <s v="MS Structure Items"/>
    <s v="Spares &amp; Stores"/>
    <x v="0"/>
    <s v="MS Pipe 4  C Class"/>
    <n v="208"/>
    <n v="9984"/>
    <s v="MS Pipe 4  C Class"/>
    <n v="11771.14"/>
    <n v="9"/>
    <n v="898.56"/>
    <n v="9"/>
    <n v="898.56"/>
    <n v="0"/>
    <n v="0"/>
    <n v="0"/>
    <n v="1797.12"/>
    <n v="0"/>
    <s v="24AAACO3087C1ZT"/>
    <s v="Kgs"/>
    <n v="73063090"/>
    <s v="Rs."/>
    <n v="1"/>
    <n v="0"/>
  </r>
  <r>
    <d v="2026-09-07T00:00:00"/>
    <x v="0"/>
    <s v="R.M.P."/>
    <s v="RM 363"/>
    <s v="Purchase Withinstate - Raw Material"/>
    <s v="PIL1/D/986"/>
    <d v="2026-09-07T00:00:00"/>
    <s v="SF"/>
    <s v="PP/PE Fabric"/>
    <s v="PP UL Fabric"/>
    <x v="2"/>
    <s v="PP UL Fabric With UV"/>
    <n v="745"/>
    <n v="107645.05"/>
    <s v="PP UL Fabric With UV"/>
    <n v="126913.5"/>
    <n v="9"/>
    <n v="9688.0499999999993"/>
    <n v="9"/>
    <n v="9688.0499999999993"/>
    <n v="0"/>
    <n v="0"/>
    <n v="0"/>
    <n v="19376.099999999999"/>
    <n v="0"/>
    <s v="24AAACO3087C1ZT"/>
    <s v="Kgs"/>
    <n v="39269080"/>
    <s v="Rs."/>
    <n v="1"/>
    <n v="0"/>
  </r>
  <r>
    <d v="2026-09-07T00:00:00"/>
    <x v="0"/>
    <s v="R.M.P."/>
    <s v="RM 364"/>
    <s v="Purchase Withinstate - Raw Material"/>
    <s v="PIL1/D/977"/>
    <d v="2026-09-07T00:00:00"/>
    <s v="SF"/>
    <s v="PP/PE Fabric"/>
    <s v="PP UL Fabric"/>
    <x v="2"/>
    <s v="PP UL Fabric With UV"/>
    <n v="3885"/>
    <n v="569113.65"/>
    <s v="PP UL Fabric With UV"/>
    <n v="1273645.8899999999"/>
    <n v="9"/>
    <n v="51220.23"/>
    <n v="9"/>
    <n v="51220.23"/>
    <n v="0"/>
    <n v="0"/>
    <n v="0"/>
    <n v="102440.46"/>
    <n v="0"/>
    <s v="24AAACO3087C1ZT"/>
    <s v="Kgs"/>
    <n v="39269080"/>
    <s v="Rs."/>
    <n v="1"/>
    <n v="0"/>
  </r>
  <r>
    <d v="2026-09-07T00:00:00"/>
    <x v="0"/>
    <s v="R.M.P."/>
    <s v="RM 364"/>
    <s v="Purchase Withinstate - Raw Material"/>
    <s v="PIL1/D/977"/>
    <d v="2026-09-07T00:00:00"/>
    <s v="SF"/>
    <s v="PP/PE Fabric"/>
    <s v="PP UL Fabric"/>
    <x v="2"/>
    <s v="PP UL Fabric With UV"/>
    <n v="660"/>
    <n v="97343.4"/>
    <s v="PP UL Fabric With UV"/>
    <n v="0"/>
    <n v="9"/>
    <n v="8760.91"/>
    <n v="9"/>
    <n v="8760.91"/>
    <n v="0"/>
    <n v="0"/>
    <n v="0"/>
    <n v="17521.82"/>
    <n v="0"/>
    <s v="24AAACO3087C1ZT"/>
    <s v="Kgs"/>
    <n v="39269080"/>
    <s v="Rs."/>
    <n v="1"/>
    <n v="0"/>
  </r>
  <r>
    <d v="2026-09-07T00:00:00"/>
    <x v="0"/>
    <s v="R.M.P."/>
    <s v="RM 364"/>
    <s v="Purchase Withinstate - Raw Material"/>
    <s v="PIL1/D/977"/>
    <d v="2026-09-07T00:00:00"/>
    <s v="SF"/>
    <s v="PP/PE Fabric"/>
    <s v="PP UL Fabric"/>
    <x v="2"/>
    <s v="PP UL Fabric With UV"/>
    <n v="2864"/>
    <n v="413819.36"/>
    <s v="PP UL Fabric With UV"/>
    <n v="0"/>
    <n v="9"/>
    <n v="37243.74"/>
    <n v="9"/>
    <n v="37243.74"/>
    <n v="0"/>
    <n v="0"/>
    <n v="0"/>
    <n v="74487.48"/>
    <n v="0"/>
    <s v="24AAACO3087C1ZT"/>
    <s v="Kgs"/>
    <n v="39269080"/>
    <s v="Rs."/>
    <n v="1"/>
    <n v="0"/>
  </r>
  <r>
    <d v="2026-09-07T00:00:00"/>
    <x v="0"/>
    <s v="R.M.P."/>
    <s v="RM 365"/>
    <s v="Purchase Withinstate - Raw Material"/>
    <s v="PIL1/D/981"/>
    <d v="2026-09-07T00:00:00"/>
    <s v="SF"/>
    <s v="Liners"/>
    <s v="LDPE/LLDPE Bags"/>
    <x v="3"/>
    <s v="LDPE/LLDPE Bags/Liner"/>
    <n v="3320"/>
    <n v="606829.6"/>
    <s v="LDPE/LLDPE Bags/Liner"/>
    <n v="1491435.71"/>
    <n v="9"/>
    <n v="54614.66"/>
    <n v="9"/>
    <n v="54614.66"/>
    <n v="0"/>
    <n v="0"/>
    <n v="0"/>
    <n v="109229.32"/>
    <n v="0"/>
    <s v="24AAACO3087C1ZT"/>
    <s v="Kgs"/>
    <n v="39200000"/>
    <s v="Rs."/>
    <n v="1"/>
    <n v="0"/>
  </r>
  <r>
    <d v="2026-09-07T00:00:00"/>
    <x v="0"/>
    <s v="R.M.P."/>
    <s v="RM 365"/>
    <s v="Purchase Withinstate - Raw Material"/>
    <s v="PIL1/D/981"/>
    <d v="2026-09-07T00:00:00"/>
    <s v="SF"/>
    <s v="PP/PE Fabric"/>
    <s v="PP UL Fabric"/>
    <x v="2"/>
    <s v="PP UL Fabric With UV"/>
    <n v="391"/>
    <n v="57277.59"/>
    <s v="PP UL Fabric With UV"/>
    <n v="0"/>
    <n v="9"/>
    <n v="5154.9799999999996"/>
    <n v="9"/>
    <n v="5154.9799999999996"/>
    <n v="0"/>
    <n v="0"/>
    <n v="0"/>
    <n v="10309.959999999999"/>
    <n v="0"/>
    <s v="24AAACO3087C1ZT"/>
    <s v="Kgs"/>
    <n v="39269080"/>
    <s v="Rs."/>
    <n v="1"/>
    <n v="0"/>
  </r>
  <r>
    <d v="2026-09-07T00:00:00"/>
    <x v="0"/>
    <s v="R.M.P."/>
    <s v="RM 365"/>
    <s v="Purchase Withinstate - Raw Material"/>
    <s v="PIL1/D/981"/>
    <d v="2026-09-07T00:00:00"/>
    <s v="SF"/>
    <s v="PP/PE Fabric"/>
    <s v="PP UL Fabric"/>
    <x v="2"/>
    <s v="PP UL Fabric With UV"/>
    <n v="1402"/>
    <n v="202574.98"/>
    <s v="PP UL Fabric With UV"/>
    <n v="0"/>
    <n v="9"/>
    <n v="18231.75"/>
    <n v="9"/>
    <n v="18231.75"/>
    <n v="0"/>
    <n v="0"/>
    <n v="0"/>
    <n v="36463.5"/>
    <n v="0"/>
    <s v="24AAACO3087C1ZT"/>
    <s v="Kgs"/>
    <n v="39269080"/>
    <s v="Rs."/>
    <n v="1"/>
    <n v="0"/>
  </r>
  <r>
    <d v="2026-09-07T00:00:00"/>
    <x v="0"/>
    <s v="R.M.P."/>
    <s v="RM 365"/>
    <s v="Purchase Withinstate - Raw Material"/>
    <s v="PIL1/D/981"/>
    <d v="2026-09-07T00:00:00"/>
    <s v="SF"/>
    <s v="PP/PE Fabric"/>
    <s v="PP Lam Fabric"/>
    <x v="1"/>
    <s v="PP Lam Fabric With UV"/>
    <n v="614"/>
    <n v="93014.86"/>
    <s v="PP Lam Fabric With UV"/>
    <n v="0"/>
    <n v="9"/>
    <n v="8371.34"/>
    <n v="9"/>
    <n v="8371.34"/>
    <n v="0"/>
    <n v="0"/>
    <n v="0"/>
    <n v="16742.68"/>
    <n v="0"/>
    <s v="24AAACO3087C1ZT"/>
    <s v="Kgs"/>
    <n v="63053300"/>
    <s v="Rs."/>
    <n v="1"/>
    <n v="0"/>
  </r>
  <r>
    <d v="2026-09-07T00:00:00"/>
    <x v="0"/>
    <s v="R.M.P."/>
    <s v="RM 365"/>
    <s v="Purchase Withinstate - Raw Material"/>
    <s v="PIL1/D/981"/>
    <d v="2026-09-07T00:00:00"/>
    <s v="SF"/>
    <s v="Webbing"/>
    <s v="PP Webbing"/>
    <x v="4"/>
    <s v="Webbing"/>
    <n v="1109.7"/>
    <n v="165889.04999999999"/>
    <s v="Webbing"/>
    <n v="0"/>
    <n v="9"/>
    <n v="14930.01"/>
    <n v="9"/>
    <n v="14930.01"/>
    <n v="0"/>
    <n v="0"/>
    <n v="0"/>
    <n v="29860.02"/>
    <n v="0"/>
    <s v="24AAACO3087C1ZT"/>
    <s v="Kgs"/>
    <n v="3926908"/>
    <s v="Rs."/>
    <n v="1"/>
    <n v="0"/>
  </r>
  <r>
    <d v="2026-09-07T00:00:00"/>
    <x v="0"/>
    <s v="R.M.P."/>
    <s v="RM 365"/>
    <s v="Purchase Withinstate - Raw Material"/>
    <s v="PIL1/D/981"/>
    <d v="2026-09-07T00:00:00"/>
    <s v="SF"/>
    <s v="Webbing"/>
    <s v="PP Webbing"/>
    <x v="4"/>
    <s v="Webbing"/>
    <n v="951.7"/>
    <n v="139414.53"/>
    <s v="Webbing"/>
    <n v="0"/>
    <n v="9"/>
    <n v="12547.31"/>
    <n v="9"/>
    <n v="12547.31"/>
    <n v="0"/>
    <n v="0"/>
    <n v="0"/>
    <n v="25094.62"/>
    <n v="0"/>
    <s v="24AAACO3087C1ZT"/>
    <s v="Kgs"/>
    <n v="3926908"/>
    <s v="Rs."/>
    <n v="1"/>
    <n v="0"/>
  </r>
  <r>
    <d v="2026-09-07T00:00:00"/>
    <x v="13"/>
    <s v="General Purchase"/>
    <s v="GNSP 116"/>
    <s v="Purchase Interstate- Stores, Spares &amp; Consumable"/>
    <s v="SR/485/26-27"/>
    <d v="2026-02-07T00:00:00"/>
    <s v="Stores/Spares"/>
    <s v="Drives Spares"/>
    <s v="Spares &amp; Stores"/>
    <x v="0"/>
    <s v="Drive Lever For Upper Spreader  81339"/>
    <n v="7"/>
    <n v="6769"/>
    <s v="Drive Lever For Upper Spreader  81339"/>
    <n v="7265"/>
    <n v="0"/>
    <n v="0"/>
    <n v="0"/>
    <n v="0"/>
    <n v="5"/>
    <n v="338.45"/>
    <n v="7.5"/>
    <n v="345.95"/>
    <n v="0"/>
    <s v="19AORPR0945L1Z4"/>
    <s v="Pcs"/>
    <n v="84529099"/>
    <s v="Rs."/>
    <n v="1"/>
    <n v="0"/>
  </r>
  <r>
    <d v="2026-09-07T00:00:00"/>
    <x v="13"/>
    <s v="General Purchase"/>
    <s v="GNSP 117"/>
    <s v="Purchase Interstate- Stores, Spares &amp; Consumable"/>
    <s v="SR/481/26-27"/>
    <d v="2026-02-07T00:00:00"/>
    <s v="Stores/Spares"/>
    <s v="Stitching Spares"/>
    <s v="Spares &amp; Stores"/>
    <x v="0"/>
    <s v="Ball Joint Assly. 81363 A"/>
    <n v="5"/>
    <n v="3250"/>
    <s v="Ball Joint Assly. 81363 A"/>
    <n v="52710"/>
    <n v="0"/>
    <n v="0"/>
    <n v="0"/>
    <n v="0"/>
    <n v="5"/>
    <n v="162.5"/>
    <n v="17.5"/>
    <n v="180"/>
    <n v="0"/>
    <s v="19AORPR0945L1Z4"/>
    <s v="Pcs"/>
    <n v="84529099"/>
    <s v="Rs."/>
    <n v="1"/>
    <n v="0"/>
  </r>
  <r>
    <d v="2026-09-07T00:00:00"/>
    <x v="13"/>
    <s v="General Purchase"/>
    <s v="GNSP 117"/>
    <s v="Purchase Interstate- Stores, Spares &amp; Consumable"/>
    <s v="SR/481/26-27"/>
    <d v="2026-02-07T00:00:00"/>
    <s v="Stores/Spares"/>
    <s v="Stitching Spares"/>
    <s v="Spares &amp; Stores"/>
    <x v="0"/>
    <s v="G15442P        Boll Joint Assembly"/>
    <n v="10"/>
    <n v="18500"/>
    <s v="G15442P        Boll Joint Assembly"/>
    <n v="0"/>
    <n v="0"/>
    <n v="0"/>
    <n v="0"/>
    <n v="0"/>
    <n v="5"/>
    <n v="925"/>
    <n v="17.5"/>
    <n v="942.5"/>
    <n v="0"/>
    <s v="19AORPR0945L1Z4"/>
    <s v="Pcs"/>
    <n v="84529099"/>
    <s v="Rs."/>
    <n v="1"/>
    <n v="0"/>
  </r>
  <r>
    <d v="2026-09-07T00:00:00"/>
    <x v="13"/>
    <s v="General Purchase"/>
    <s v="GNSP 117"/>
    <s v="Purchase Interstate- Stores, Spares &amp; Consumable"/>
    <s v="SR/481/26-27"/>
    <d v="2026-02-07T00:00:00"/>
    <s v="Stores/Spares"/>
    <s v="Stitching Spares"/>
    <s v="Spares &amp; Stores"/>
    <x v="0"/>
    <s v="Set Screw 22575"/>
    <n v="30"/>
    <n v="600"/>
    <s v="Set Screw 22575"/>
    <n v="0"/>
    <n v="0"/>
    <n v="0"/>
    <n v="0"/>
    <n v="0"/>
    <n v="5"/>
    <n v="30"/>
    <n v="17.5"/>
    <n v="47.5"/>
    <n v="0"/>
    <s v="19AORPR0945L1Z4"/>
    <s v="Pcs"/>
    <n v="731815"/>
    <s v="Rs."/>
    <n v="1"/>
    <n v="0"/>
  </r>
  <r>
    <d v="2026-09-07T00:00:00"/>
    <x v="13"/>
    <s v="General Purchase"/>
    <s v="GNSP 117"/>
    <s v="Purchase Interstate- Stores, Spares &amp; Consumable"/>
    <s v="SR/481/26-27"/>
    <d v="2026-02-07T00:00:00"/>
    <s v="Stores/Spares"/>
    <s v="Stitching Spares"/>
    <s v="Spares &amp; Stores"/>
    <x v="0"/>
    <s v="Ball Joint Assy. 81363"/>
    <n v="5"/>
    <n v="3250"/>
    <s v="Ball Joint Assy. 81363"/>
    <n v="0"/>
    <n v="0"/>
    <n v="0"/>
    <n v="0"/>
    <n v="0"/>
    <n v="5"/>
    <n v="162.5"/>
    <n v="17.5"/>
    <n v="180"/>
    <n v="0"/>
    <s v="19AORPR0945L1Z4"/>
    <s v="Pcs"/>
    <n v="84529099"/>
    <s v="Rs."/>
    <n v="1"/>
    <n v="0"/>
  </r>
  <r>
    <d v="2026-09-07T00:00:00"/>
    <x v="13"/>
    <s v="General Purchase"/>
    <s v="GNSP 117"/>
    <s v="Purchase Interstate- Stores, Spares &amp; Consumable"/>
    <s v="SR/481/26-27"/>
    <d v="2026-02-07T00:00:00"/>
    <s v="Stores/Spares"/>
    <s v="Stitching Spares"/>
    <s v="Spares &amp; Stores"/>
    <x v="0"/>
    <s v="Presser Foot Bottom  For Filler Cord  81330 Cu"/>
    <n v="5"/>
    <n v="24250"/>
    <s v="Presser Foot Bottom  For Filler Cord  81330 Cu"/>
    <n v="0"/>
    <n v="0"/>
    <n v="0"/>
    <n v="0"/>
    <n v="0"/>
    <n v="5"/>
    <n v="1212.5"/>
    <n v="17.5"/>
    <n v="1230"/>
    <n v="0"/>
    <s v="19AORPR0945L1Z4"/>
    <s v="Pcs"/>
    <n v="84529090"/>
    <s v="Rs."/>
    <n v="1"/>
    <n v="0"/>
  </r>
  <r>
    <d v="2026-10-07T00:00:00"/>
    <x v="16"/>
    <s v="General Purchase"/>
    <s v="GNSP 118"/>
    <s v="Purchase Withinstate- Stores, Spares &amp; Consumable"/>
    <s v="AE/0426/26-27"/>
    <d v="2026-06-07T00:00:00"/>
    <s v="Stores/Spares"/>
    <s v="Industrial Fans"/>
    <s v="Spares &amp; Stores"/>
    <x v="0"/>
    <s v="Fan Assly Part No. 008972040"/>
    <n v="1"/>
    <n v="31655"/>
    <s v="Fan Assly Part No. 008972040"/>
    <n v="37353"/>
    <n v="9"/>
    <n v="2848.95"/>
    <n v="9"/>
    <n v="2848.95"/>
    <n v="0"/>
    <n v="0"/>
    <n v="0"/>
    <n v="5697.9"/>
    <n v="0"/>
    <s v="24BDHPM7370Q1ZV"/>
    <s v="Pcs"/>
    <n v="845290"/>
    <s v="Rs."/>
    <n v="1"/>
    <n v="0"/>
  </r>
  <r>
    <d v="2026-10-07T00:00:00"/>
    <x v="17"/>
    <s v="General Purchase"/>
    <s v="GNSP 119"/>
    <s v="Purchase Withinstate- Stores, Spares &amp; Consumable"/>
    <s v="885/2026-27"/>
    <d v="2026-07-07T00:00:00"/>
    <s v="Stores/Spares"/>
    <s v="Bearings"/>
    <s v="Spares &amp; Stores"/>
    <x v="0"/>
    <s v="Bearing 6207 Zz Skf"/>
    <n v="2"/>
    <n v="540"/>
    <s v="Bearing 6207 Zz Skf"/>
    <n v="637"/>
    <n v="9"/>
    <n v="48.6"/>
    <n v="9"/>
    <n v="48.6"/>
    <n v="0"/>
    <n v="0"/>
    <n v="0"/>
    <n v="97.2"/>
    <n v="0"/>
    <s v="24ACFPK3378J1ZG"/>
    <s v="Pcs"/>
    <n v="84821011"/>
    <s v="Rs."/>
    <n v="1"/>
    <n v="0"/>
  </r>
  <r>
    <d v="2026-10-07T00:00:00"/>
    <x v="0"/>
    <s v="R.M.P."/>
    <s v="RM 367"/>
    <s v="Purchase Withinstate - Raw Material"/>
    <s v="PIL1/D/978"/>
    <d v="2026-09-07T00:00:00"/>
    <s v="SF"/>
    <s v="PP/PE Fabric"/>
    <s v="PP UL Fabric"/>
    <x v="2"/>
    <s v="PP UL Fabric With UV"/>
    <n v="1353"/>
    <n v="198200.97"/>
    <s v="PP UL Fabric With UV"/>
    <n v="233678.95"/>
    <n v="9"/>
    <n v="17838.09"/>
    <n v="9"/>
    <n v="17838.09"/>
    <n v="0"/>
    <n v="0"/>
    <n v="0"/>
    <n v="35676.18"/>
    <n v="0"/>
    <s v="24AAACO3087C1ZT"/>
    <s v="Kgs"/>
    <n v="39269080"/>
    <s v="Rs."/>
    <n v="1"/>
    <n v="0"/>
  </r>
  <r>
    <d v="2026-10-07T00:00:00"/>
    <x v="0"/>
    <s v="R.M.P."/>
    <s v="RM 368"/>
    <s v="Purchase Withinstate - Raw Material"/>
    <s v="PIL1/D/1000"/>
    <d v="2026-10-07T00:00:00"/>
    <s v="SF"/>
    <s v="PP/PE Fabric"/>
    <s v="PP UL Fabric"/>
    <x v="2"/>
    <s v="PP UL Fabric With UV"/>
    <n v="247"/>
    <n v="36183.03"/>
    <s v="PP UL Fabric With UV"/>
    <n v="42659.79"/>
    <n v="9"/>
    <n v="3256.47"/>
    <n v="9"/>
    <n v="3256.47"/>
    <n v="0"/>
    <n v="0"/>
    <n v="0"/>
    <n v="6512.94"/>
    <n v="0"/>
    <s v="24AAACO3087C1ZT"/>
    <s v="Kgs"/>
    <n v="39269080"/>
    <s v="Rs."/>
    <n v="1"/>
    <n v="0"/>
  </r>
  <r>
    <d v="2026-10-07T00:00:00"/>
    <x v="0"/>
    <s v="R.M.P."/>
    <s v="RM 369"/>
    <s v="Purchase Withinstate - Raw Material"/>
    <s v="PIL1/D/993"/>
    <d v="2026-10-07T00:00:00"/>
    <s v="SF"/>
    <s v="PP/PE Fabric"/>
    <s v="PP Lam Fabric"/>
    <x v="1"/>
    <s v="PP Lam Fabric With UV"/>
    <n v="1304"/>
    <n v="197542.96"/>
    <s v="PP Lam Fabric With UV"/>
    <n v="1507457.33"/>
    <n v="9"/>
    <n v="17778.87"/>
    <n v="9"/>
    <n v="17778.87"/>
    <n v="0"/>
    <n v="0"/>
    <n v="0"/>
    <n v="35557.74"/>
    <n v="0"/>
    <s v="24AAACO3087C1ZT"/>
    <s v="Kgs"/>
    <n v="63053300"/>
    <s v="Rs."/>
    <n v="1"/>
    <n v="0"/>
  </r>
  <r>
    <d v="2026-10-07T00:00:00"/>
    <x v="0"/>
    <s v="R.M.P."/>
    <s v="RM 369"/>
    <s v="Purchase Withinstate - Raw Material"/>
    <s v="PIL1/D/993"/>
    <d v="2026-10-07T00:00:00"/>
    <s v="SF"/>
    <s v="PP/PE Fabric"/>
    <s v="PP UL Fabric"/>
    <x v="2"/>
    <s v="PP UL Fabric With UV"/>
    <n v="3402"/>
    <n v="491554.98"/>
    <s v="PP UL Fabric With UV"/>
    <n v="0"/>
    <n v="9"/>
    <n v="44239.95"/>
    <n v="9"/>
    <n v="44239.95"/>
    <n v="0"/>
    <n v="0"/>
    <n v="0"/>
    <n v="88479.9"/>
    <n v="0"/>
    <s v="24AAACO3087C1ZT"/>
    <s v="Kgs"/>
    <n v="39269080"/>
    <s v="Rs."/>
    <n v="1"/>
    <n v="0"/>
  </r>
  <r>
    <d v="2026-10-07T00:00:00"/>
    <x v="0"/>
    <s v="R.M.P."/>
    <s v="RM 369"/>
    <s v="Purchase Withinstate - Raw Material"/>
    <s v="PIL1/D/993"/>
    <d v="2026-10-07T00:00:00"/>
    <s v="SF"/>
    <s v="PP/PE Fabric"/>
    <s v="PP UL Fabric"/>
    <x v="2"/>
    <s v="PP UL Fabric With UV"/>
    <n v="895"/>
    <n v="132003.54999999999"/>
    <s v="PP UL Fabric With UV"/>
    <n v="0"/>
    <n v="9"/>
    <n v="11880.32"/>
    <n v="9"/>
    <n v="11880.32"/>
    <n v="0"/>
    <n v="0"/>
    <n v="0"/>
    <n v="23760.639999999999"/>
    <n v="0"/>
    <s v="24AAACO3087C1ZT"/>
    <s v="Kgs"/>
    <n v="39269080"/>
    <s v="Rs."/>
    <n v="1"/>
    <n v="0"/>
  </r>
  <r>
    <d v="2026-10-07T00:00:00"/>
    <x v="0"/>
    <s v="R.M.P."/>
    <s v="RM 369"/>
    <s v="Purchase Withinstate - Raw Material"/>
    <s v="PIL1/D/993"/>
    <d v="2026-10-07T00:00:00"/>
    <s v="SF"/>
    <s v="PP/PE Fabric"/>
    <s v="PP UL Fabric"/>
    <x v="2"/>
    <s v="PP UL Fabric With UV"/>
    <n v="3123"/>
    <n v="457488.27"/>
    <s v="PP UL Fabric With UV"/>
    <n v="0"/>
    <n v="9"/>
    <n v="41173.94"/>
    <n v="9"/>
    <n v="41173.94"/>
    <n v="0"/>
    <n v="0"/>
    <n v="0"/>
    <n v="82347.88"/>
    <n v="0"/>
    <s v="24AAACO3087C1ZT"/>
    <s v="Kgs"/>
    <n v="39269080"/>
    <s v="Rs."/>
    <n v="1"/>
    <n v="0"/>
  </r>
  <r>
    <d v="2026-10-07T00:00:00"/>
    <x v="0"/>
    <s v="R.M.P."/>
    <s v="RM 370"/>
    <s v="Purchase Withinstate - Raw Material"/>
    <s v="PIL1/D/997"/>
    <d v="2026-10-07T00:00:00"/>
    <s v="SF"/>
    <s v="Liners"/>
    <s v="LDPE/LLDPE Bags"/>
    <x v="3"/>
    <s v="LDPE/LLDPE Bags/Liner"/>
    <n v="357"/>
    <n v="66680.460000000006"/>
    <s v="LDPE/LLDPE Bags/Liner"/>
    <n v="330040.71999999997"/>
    <n v="9"/>
    <n v="6001.24"/>
    <n v="9"/>
    <n v="6001.24"/>
    <n v="0"/>
    <n v="0"/>
    <n v="0"/>
    <n v="12002.48"/>
    <n v="0"/>
    <s v="24AAACO3087C1ZT"/>
    <s v="Kgs"/>
    <n v="39200000"/>
    <s v="Rs."/>
    <n v="1"/>
    <n v="0"/>
  </r>
  <r>
    <d v="2026-10-07T00:00:00"/>
    <x v="0"/>
    <s v="R.M.P."/>
    <s v="RM 370"/>
    <s v="Purchase Withinstate - Raw Material"/>
    <s v="PIL1/D/997"/>
    <d v="2026-10-07T00:00:00"/>
    <s v="SF"/>
    <s v="Liners"/>
    <s v="LDPE/LLDPE Bags"/>
    <x v="3"/>
    <s v="LDPE/LLDPE Bags/Liner"/>
    <n v="692"/>
    <n v="126483.76"/>
    <s v="LDPE/LLDPE Bags/Liner"/>
    <n v="0"/>
    <n v="9"/>
    <n v="11383.54"/>
    <n v="9"/>
    <n v="11383.54"/>
    <n v="0"/>
    <n v="0"/>
    <n v="0"/>
    <n v="22767.08"/>
    <n v="0"/>
    <s v="24AAACO3087C1ZT"/>
    <s v="Kgs"/>
    <n v="39200000"/>
    <s v="Rs."/>
    <n v="1"/>
    <n v="0"/>
  </r>
  <r>
    <d v="2026-10-07T00:00:00"/>
    <x v="0"/>
    <s v="R.M.P."/>
    <s v="RM 370"/>
    <s v="Purchase Withinstate - Raw Material"/>
    <s v="PIL1/D/997"/>
    <d v="2026-10-07T00:00:00"/>
    <s v="SF"/>
    <s v="PP/PE Fabric"/>
    <s v="PP UL Fabric"/>
    <x v="2"/>
    <s v="PP UL Fabric With UV"/>
    <n v="254"/>
    <n v="37208.46"/>
    <s v="PP UL Fabric With UV"/>
    <n v="0"/>
    <n v="9"/>
    <n v="3348.76"/>
    <n v="9"/>
    <n v="3348.76"/>
    <n v="0"/>
    <n v="0"/>
    <n v="0"/>
    <n v="6697.52"/>
    <n v="0"/>
    <s v="24AAACO3087C1ZT"/>
    <s v="Kgs"/>
    <n v="39269080"/>
    <s v="Rs."/>
    <n v="1"/>
    <n v="0"/>
  </r>
  <r>
    <d v="2026-10-07T00:00:00"/>
    <x v="0"/>
    <s v="R.M.P."/>
    <s v="RM 370"/>
    <s v="Purchase Withinstate - Raw Material"/>
    <s v="PIL1/D/997"/>
    <d v="2026-10-07T00:00:00"/>
    <s v="SF"/>
    <s v="PP/PE Fabric"/>
    <s v="PP UL Fabric"/>
    <x v="2"/>
    <s v="PP UL Fabric With UV"/>
    <n v="343"/>
    <n v="49560.07"/>
    <s v="PP UL Fabric With UV"/>
    <n v="0"/>
    <n v="9"/>
    <n v="4460.41"/>
    <n v="9"/>
    <n v="4460.41"/>
    <n v="0"/>
    <n v="0"/>
    <n v="0"/>
    <n v="8920.82"/>
    <n v="0"/>
    <s v="24AAACO3087C1ZT"/>
    <s v="Kgs"/>
    <n v="39269080"/>
    <s v="Rs."/>
    <n v="1"/>
    <n v="0"/>
  </r>
  <r>
    <d v="2026-10-07T00:00:00"/>
    <x v="0"/>
    <s v="R.M.P."/>
    <s v="RM 371"/>
    <s v="Purchase Withinstate - Raw Material"/>
    <s v="PIL1/D/999"/>
    <d v="2026-10-07T00:00:00"/>
    <s v="SF"/>
    <s v="Webbing"/>
    <s v="PP Webbing"/>
    <x v="4"/>
    <s v="Webbing"/>
    <n v="1357.8"/>
    <n v="202977.52"/>
    <s v="Webbing"/>
    <n v="550158.23"/>
    <n v="9"/>
    <n v="18267.98"/>
    <n v="9"/>
    <n v="18267.98"/>
    <n v="0"/>
    <n v="0"/>
    <n v="0"/>
    <n v="36535.96"/>
    <n v="0"/>
    <s v="24AAACO3087C1ZT"/>
    <s v="Kgs"/>
    <n v="3926908"/>
    <s v="Rs."/>
    <n v="1"/>
    <n v="0"/>
  </r>
  <r>
    <d v="2026-10-07T00:00:00"/>
    <x v="0"/>
    <s v="R.M.P."/>
    <s v="RM 371"/>
    <s v="Purchase Withinstate - Raw Material"/>
    <s v="PIL1/D/999"/>
    <d v="2026-10-07T00:00:00"/>
    <s v="SF"/>
    <s v="Webbing"/>
    <s v="PP Webbing"/>
    <x v="4"/>
    <s v="Webbing"/>
    <n v="853.9"/>
    <n v="125087.81"/>
    <s v="Webbing"/>
    <n v="0"/>
    <n v="9"/>
    <n v="11257.9"/>
    <n v="9"/>
    <n v="11257.9"/>
    <n v="0"/>
    <n v="0"/>
    <n v="0"/>
    <n v="22515.8"/>
    <n v="0"/>
    <s v="24AAACO3087C1ZT"/>
    <s v="Kgs"/>
    <n v="3926908"/>
    <s v="Rs."/>
    <n v="1"/>
    <n v="0"/>
  </r>
  <r>
    <d v="2026-10-07T00:00:00"/>
    <x v="0"/>
    <s v="R.M.P."/>
    <s v="RM 371"/>
    <s v="Purchase Withinstate - Raw Material"/>
    <s v="PIL1/D/999"/>
    <d v="2026-10-07T00:00:00"/>
    <s v="SF"/>
    <s v="PP/PE Fabric"/>
    <s v="PP UL Fabric"/>
    <x v="2"/>
    <s v="PP UL Fabric Without UV"/>
    <n v="410"/>
    <n v="59240.9"/>
    <s v="PP UL Fabric Without UV"/>
    <n v="0"/>
    <n v="9"/>
    <n v="5331.68"/>
    <n v="9"/>
    <n v="5331.68"/>
    <n v="0"/>
    <n v="0"/>
    <n v="0"/>
    <n v="10663.36"/>
    <n v="0"/>
    <s v="24AAACO3087C1ZT"/>
    <s v="Kgs"/>
    <n v="39269080"/>
    <s v="Rs."/>
    <n v="1"/>
    <n v="0"/>
  </r>
  <r>
    <d v="2026-10-07T00:00:00"/>
    <x v="0"/>
    <s v="R.M.P."/>
    <s v="RM 371"/>
    <s v="Purchase Withinstate - Raw Material"/>
    <s v="PIL1/D/999"/>
    <d v="2026-10-07T00:00:00"/>
    <s v="SF"/>
    <s v="PP/PE Fabric"/>
    <s v="PP UL Fabric"/>
    <x v="2"/>
    <s v="PP UL Fabric With UV"/>
    <n v="549"/>
    <n v="79325.009999999995"/>
    <s v="PP UL Fabric With UV"/>
    <n v="0"/>
    <n v="9"/>
    <n v="7139.25"/>
    <n v="9"/>
    <n v="7139.25"/>
    <n v="0"/>
    <n v="0"/>
    <n v="0"/>
    <n v="14278.5"/>
    <n v="0"/>
    <s v="24AAACO3087C1ZT"/>
    <s v="Kgs"/>
    <n v="39269080"/>
    <s v="Rs."/>
    <n v="1"/>
    <n v="0"/>
  </r>
  <r>
    <d v="2026-10-07T00:00:00"/>
    <x v="1"/>
    <s v="General Purchase"/>
    <s v="GNCN 255"/>
    <s v="Purchase Withinstate- Stores, Spares &amp; Consumable"/>
    <s v="PPL/D/328"/>
    <d v="2026-09-07T00:00:00"/>
    <s v="Stores/Spares"/>
    <s v="MS Structure Items"/>
    <s v="Spares &amp; Stores"/>
    <x v="0"/>
    <s v="MS Pipe 4  C Class"/>
    <n v="25"/>
    <n v="1200"/>
    <s v="MS Pipe 4  C Class"/>
    <n v="1414.8"/>
    <n v="9"/>
    <n v="108"/>
    <n v="9"/>
    <n v="108"/>
    <n v="0"/>
    <n v="0"/>
    <n v="0"/>
    <n v="216"/>
    <n v="0"/>
    <s v="24AAFCP2956A1ZR"/>
    <s v="Kgs"/>
    <n v="73063090"/>
    <s v="Rs."/>
    <n v="1"/>
    <n v="0"/>
  </r>
  <r>
    <d v="2026-10-07T00:00:00"/>
    <x v="1"/>
    <s v="R.M.P."/>
    <s v="RM 366"/>
    <s v="Purchase Withinstate - Raw Material"/>
    <s v="PPL/D/327"/>
    <d v="2026-09-07T00:00:00"/>
    <s v="FG"/>
    <s v="FIBC WIP"/>
    <s v="FIBC WIP"/>
    <x v="5"/>
    <s v="PP Woven Fabric"/>
    <n v="604"/>
    <n v="93462.96"/>
    <s v="FIBC WIP"/>
    <n v="168792.06"/>
    <n v="9"/>
    <n v="8411.67"/>
    <n v="9"/>
    <n v="8411.67"/>
    <n v="0"/>
    <n v="0"/>
    <n v="0"/>
    <n v="16823.34"/>
    <n v="0"/>
    <s v="24AAFCP2956A1ZR"/>
    <s v="Kgs"/>
    <n v="39269080"/>
    <s v="Rs."/>
    <n v="1"/>
    <n v="0"/>
  </r>
  <r>
    <d v="2026-10-07T00:00:00"/>
    <x v="1"/>
    <s v="R.M.P."/>
    <s v="RM 366"/>
    <s v="Purchase Withinstate - Raw Material"/>
    <s v="PPL/D/327"/>
    <d v="2026-09-07T00:00:00"/>
    <s v="SF"/>
    <s v="PP/PE Fabric"/>
    <s v="PP UL Fabric"/>
    <x v="2"/>
    <s v="PP UL Fabric With UV"/>
    <n v="321.2"/>
    <n v="49702.49"/>
    <s v="PP UL Fabric With UV"/>
    <n v="0"/>
    <n v="9"/>
    <n v="4473.22"/>
    <n v="9"/>
    <n v="4473.22"/>
    <n v="0"/>
    <n v="0"/>
    <n v="0"/>
    <n v="8946.44"/>
    <n v="0"/>
    <s v="24AAFCP2956A1ZR"/>
    <s v="Kgs"/>
    <n v="39269080"/>
    <s v="Rs."/>
    <n v="1"/>
    <n v="0"/>
  </r>
  <r>
    <d v="2026-10-07T00:00:00"/>
    <x v="4"/>
    <s v="General Purchase"/>
    <s v="GNCN 253"/>
    <s v="Purchase Interstate- Stores, Spares &amp; Consumable"/>
    <s v="SLZ/0040/26-27"/>
    <d v="2026-06-07T00:00:00"/>
    <s v="RM Consumables"/>
    <s v="FIBC Accessories"/>
    <s v="FIBC Accessories"/>
    <x v="0"/>
    <s v="Zipper Bags"/>
    <n v="14000"/>
    <n v="29400"/>
    <s v="Zipper Bags"/>
    <n v="34692"/>
    <n v="0"/>
    <n v="0"/>
    <n v="0"/>
    <n v="0"/>
    <n v="18"/>
    <n v="5292"/>
    <n v="0"/>
    <n v="5292"/>
    <n v="0"/>
    <s v="23AAECS3438H1ZI"/>
    <s v="Pcs"/>
    <n v="39239090"/>
    <s v="Rs."/>
    <n v="1"/>
    <n v="14000"/>
  </r>
  <r>
    <d v="2026-10-07T00:00:00"/>
    <x v="4"/>
    <s v="General Purchase"/>
    <s v="GNCN 254"/>
    <s v="Purchase Interstate- Stores, Spares &amp; Consumable"/>
    <s v="SLZ/0041/26-27"/>
    <d v="2026-07-07T00:00:00"/>
    <s v="RM Consumables"/>
    <s v="FIBC Accessories"/>
    <s v="FIBC Accessories"/>
    <x v="0"/>
    <s v="Zipper Bags"/>
    <n v="36270"/>
    <n v="76167"/>
    <s v="Zipper Bags"/>
    <n v="89877"/>
    <n v="0"/>
    <n v="0"/>
    <n v="0"/>
    <n v="0"/>
    <n v="18"/>
    <n v="13710.06"/>
    <n v="0"/>
    <n v="13710.06"/>
    <n v="0"/>
    <s v="23AAECS3438H1ZI"/>
    <s v="Pcs"/>
    <n v="39239090"/>
    <s v="Rs."/>
    <n v="1"/>
    <n v="36270"/>
  </r>
  <r>
    <d v="2026-11-07T00:00:00"/>
    <x v="0"/>
    <s v="General Purchase"/>
    <s v="GNCN 262"/>
    <s v="Purchase Withinstate- Stores, Spares &amp; Consumable"/>
    <s v="PIL1/D/998."/>
    <d v="2026-10-07T00:00:00"/>
    <s v="Stores/Spares"/>
    <s v="MS Structure Items"/>
    <s v="Spares &amp; Stores"/>
    <x v="0"/>
    <s v="MS Pipe 4  C Class"/>
    <n v="363"/>
    <n v="17424"/>
    <s v="MS Pipe 4  C Class"/>
    <n v="20542.900000000001"/>
    <n v="9"/>
    <n v="1568.16"/>
    <n v="9"/>
    <n v="1568.16"/>
    <n v="0"/>
    <n v="0"/>
    <n v="0"/>
    <n v="3136.32"/>
    <n v="0"/>
    <s v="24AAACO3087C1ZT"/>
    <s v="Kgs"/>
    <n v="73063090"/>
    <s v="Rs."/>
    <n v="1"/>
    <n v="0"/>
  </r>
  <r>
    <d v="2026-11-07T00:00:00"/>
    <x v="0"/>
    <s v="General Purchase"/>
    <s v="GNCN 263"/>
    <s v="Purchase Withinstate- Stores, Spares &amp; Consumable"/>
    <s v="PIL1/D/1006"/>
    <d v="2026-11-07T00:00:00"/>
    <s v="Stores/Spares"/>
    <s v="MS Structure Items"/>
    <s v="Spares &amp; Stores"/>
    <x v="0"/>
    <s v="MS Pipe 4  C Class"/>
    <n v="335"/>
    <n v="16080"/>
    <s v="MS Pipe 4  C Class"/>
    <n v="18958.32"/>
    <n v="9"/>
    <n v="1447.2"/>
    <n v="9"/>
    <n v="1447.2"/>
    <n v="0"/>
    <n v="0"/>
    <n v="0"/>
    <n v="2894.4"/>
    <n v="0"/>
    <s v="24AAACO3087C1ZT"/>
    <s v="Kgs"/>
    <n v="73063090"/>
    <s v="Rs."/>
    <n v="1"/>
    <n v="0"/>
  </r>
  <r>
    <d v="2026-11-07T00:00:00"/>
    <x v="0"/>
    <s v="R.M.P."/>
    <s v="RM 372"/>
    <s v="Purchase Withinstate - Raw Material"/>
    <s v="PIL1/D/1005"/>
    <d v="2026-11-07T00:00:00"/>
    <s v="SF"/>
    <s v="PP/PE Fabric"/>
    <s v="PP UL Fabric"/>
    <x v="2"/>
    <s v="PP UL Fabric With UV"/>
    <n v="1173"/>
    <n v="169486.77"/>
    <s v="PP UL Fabric With UV"/>
    <n v="199824.9"/>
    <n v="9"/>
    <n v="15253.81"/>
    <n v="9"/>
    <n v="15253.81"/>
    <n v="0"/>
    <n v="0"/>
    <n v="0"/>
    <n v="30507.62"/>
    <n v="0"/>
    <s v="24AAACO3087C1ZT"/>
    <s v="Kgs"/>
    <n v="39269080"/>
    <s v="Rs."/>
    <n v="1"/>
    <n v="0"/>
  </r>
  <r>
    <d v="2026-11-07T00:00:00"/>
    <x v="0"/>
    <s v="R.M.P."/>
    <s v="RM 373"/>
    <s v="Purchase Withinstate - Raw Material"/>
    <s v="PIL1/D/1012"/>
    <d v="2026-11-07T00:00:00"/>
    <s v="SF"/>
    <s v="Liners"/>
    <s v="LDPE/LLDPE Bags"/>
    <x v="3"/>
    <s v="LDPE/LLDPE Bags/Liner"/>
    <n v="21.4"/>
    <n v="3911.49"/>
    <s v="LDPE/LLDPE Bags/Liner"/>
    <n v="4611.6400000000003"/>
    <n v="9"/>
    <n v="352.03"/>
    <n v="9"/>
    <n v="352.03"/>
    <n v="0"/>
    <n v="0"/>
    <n v="0"/>
    <n v="704.06"/>
    <n v="0"/>
    <s v="24AAACO3087C1ZT"/>
    <s v="Kgs"/>
    <n v="39200000"/>
    <s v="Rs."/>
    <n v="1"/>
    <n v="0"/>
  </r>
  <r>
    <d v="2026-11-07T00:00:00"/>
    <x v="0"/>
    <s v="R.M.P."/>
    <s v="RM 374"/>
    <s v="Purchase Withinstate - Raw Material"/>
    <s v="PIL1/D/1011"/>
    <d v="2026-11-07T00:00:00"/>
    <s v="RM Consumables"/>
    <s v="Ink"/>
    <s v="Ink"/>
    <x v="10"/>
    <s v="Ink Vyankatesh Poly Robbin Red VLX 876"/>
    <n v="25"/>
    <n v="6875"/>
    <s v="Ink Vyankatesh Poly Robbin Red VLX 876"/>
    <n v="8105.63"/>
    <n v="9"/>
    <n v="618.75"/>
    <n v="9"/>
    <n v="618.75"/>
    <n v="0"/>
    <n v="0"/>
    <n v="0"/>
    <n v="1237.5"/>
    <n v="0"/>
    <s v="24AAACO3087C1ZT"/>
    <s v="Kgs"/>
    <n v="84529099"/>
    <s v="Rs."/>
    <n v="1"/>
    <n v="0"/>
  </r>
  <r>
    <d v="2026-11-07T00:00:00"/>
    <x v="0"/>
    <s v="R.M.P."/>
    <s v="RM 375"/>
    <s v="Purchase Withinstate - Raw Material"/>
    <s v="PIL1/D/1007"/>
    <d v="2026-11-07T00:00:00"/>
    <s v="SF"/>
    <s v="PP/PE Fabric"/>
    <s v="PP UL Fabric"/>
    <x v="2"/>
    <s v="PP UL Fabric With UV"/>
    <n v="4517"/>
    <n v="652661.32999999996"/>
    <s v="PP UL Fabric With UV"/>
    <n v="2045882.02"/>
    <n v="9"/>
    <n v="58739.519999999997"/>
    <n v="9"/>
    <n v="58739.519999999997"/>
    <n v="0"/>
    <n v="0"/>
    <n v="0"/>
    <n v="117479.03999999999"/>
    <n v="0"/>
    <s v="24AAACO3087C1ZT"/>
    <s v="Kgs"/>
    <n v="39269080"/>
    <s v="Rs."/>
    <n v="1"/>
    <n v="0"/>
  </r>
  <r>
    <d v="2026-11-07T00:00:00"/>
    <x v="0"/>
    <s v="R.M.P."/>
    <s v="RM 375"/>
    <s v="Purchase Withinstate - Raw Material"/>
    <s v="PIL1/D/1007"/>
    <d v="2026-11-07T00:00:00"/>
    <s v="SF"/>
    <s v="PP/PE Fabric"/>
    <s v="PP UL Fabric"/>
    <x v="2"/>
    <s v="PP UL Fabric With UV"/>
    <n v="2176"/>
    <n v="318762.23999999999"/>
    <s v="PP UL Fabric With UV"/>
    <n v="0"/>
    <n v="9"/>
    <n v="28688.6"/>
    <n v="9"/>
    <n v="28688.6"/>
    <n v="0"/>
    <n v="0"/>
    <n v="0"/>
    <n v="57377.2"/>
    <n v="0"/>
    <s v="24AAACO3087C1ZT"/>
    <s v="Kgs"/>
    <n v="39269080"/>
    <s v="Rs."/>
    <n v="1"/>
    <n v="0"/>
  </r>
  <r>
    <d v="2026-11-07T00:00:00"/>
    <x v="0"/>
    <s v="R.M.P."/>
    <s v="RM 375"/>
    <s v="Purchase Withinstate - Raw Material"/>
    <s v="PIL1/D/1007"/>
    <d v="2026-11-07T00:00:00"/>
    <s v="SF"/>
    <s v="PP/PE Fabric"/>
    <s v="PP UL Fabric"/>
    <x v="2"/>
    <s v="PP UL Fabric With UV"/>
    <n v="1167"/>
    <n v="172120.83"/>
    <s v="PP UL Fabric With UV"/>
    <n v="0"/>
    <n v="9"/>
    <n v="15490.87"/>
    <n v="9"/>
    <n v="15490.87"/>
    <n v="0"/>
    <n v="0"/>
    <n v="0"/>
    <n v="30981.74"/>
    <n v="0"/>
    <s v="24AAACO3087C1ZT"/>
    <s v="Kgs"/>
    <n v="39269080"/>
    <s v="Rs."/>
    <n v="1"/>
    <n v="0"/>
  </r>
  <r>
    <d v="2026-11-07T00:00:00"/>
    <x v="0"/>
    <s v="R.M.P."/>
    <s v="RM 375"/>
    <s v="Purchase Withinstate - Raw Material"/>
    <s v="PIL1/D/1007"/>
    <d v="2026-11-07T00:00:00"/>
    <s v="SF"/>
    <s v="PP/PE Fabric"/>
    <s v="PP Lam Fabric"/>
    <x v="1"/>
    <s v="PP Lam Fabric With UV"/>
    <n v="1756"/>
    <n v="266016.44"/>
    <s v="PP Lam Fabric With UV"/>
    <n v="0"/>
    <n v="9"/>
    <n v="23941.48"/>
    <n v="9"/>
    <n v="23941.48"/>
    <n v="0"/>
    <n v="0"/>
    <n v="0"/>
    <n v="47882.96"/>
    <n v="0"/>
    <s v="24AAACO3087C1ZT"/>
    <s v="Kgs"/>
    <n v="63053300"/>
    <s v="Rs."/>
    <n v="1"/>
    <n v="0"/>
  </r>
  <r>
    <d v="2026-11-07T00:00:00"/>
    <x v="0"/>
    <s v="R.M.P."/>
    <s v="RM 375"/>
    <s v="Purchase Withinstate - Raw Material"/>
    <s v="PIL1/D/1007"/>
    <d v="2026-11-07T00:00:00"/>
    <s v="SF"/>
    <s v="Webbing"/>
    <s v="PP Webbing"/>
    <x v="4"/>
    <s v="Webbing"/>
    <n v="1358.2"/>
    <n v="203037.32"/>
    <s v="Webbing"/>
    <n v="0"/>
    <n v="9"/>
    <n v="18273.36"/>
    <n v="9"/>
    <n v="18273.36"/>
    <n v="0"/>
    <n v="0"/>
    <n v="0"/>
    <n v="36546.720000000001"/>
    <n v="0"/>
    <s v="24AAACO3087C1ZT"/>
    <s v="Kgs"/>
    <n v="3926908"/>
    <s v="Rs."/>
    <n v="1"/>
    <n v="0"/>
  </r>
  <r>
    <d v="2026-11-07T00:00:00"/>
    <x v="0"/>
    <s v="R.M.P."/>
    <s v="RM 375"/>
    <s v="Purchase Withinstate - Raw Material"/>
    <s v="PIL1/D/1007"/>
    <d v="2026-11-07T00:00:00"/>
    <s v="SF"/>
    <s v="Webbing"/>
    <s v="PP Webbing"/>
    <x v="4"/>
    <s v="Webbing"/>
    <n v="837.4"/>
    <n v="122670.73"/>
    <s v="Webbing"/>
    <n v="0"/>
    <n v="9"/>
    <n v="11040.37"/>
    <n v="9"/>
    <n v="11040.37"/>
    <n v="0"/>
    <n v="0"/>
    <n v="0"/>
    <n v="22080.74"/>
    <n v="0"/>
    <s v="24AAACO3087C1ZT"/>
    <s v="Kgs"/>
    <n v="3926908"/>
    <s v="Rs."/>
    <n v="1"/>
    <n v="0"/>
  </r>
  <r>
    <d v="2026-11-07T00:00:00"/>
    <x v="18"/>
    <s v="General Purchase"/>
    <s v="GNCN 260"/>
    <s v="Purchase Withinstate- Stores, Spares &amp; Consumable"/>
    <s v="2211/2026-27"/>
    <d v="2026-01-07T00:00:00"/>
    <s v="Consumables"/>
    <s v="Rubber/Polymer Stereo"/>
    <s v="Spares &amp; Stores"/>
    <x v="0"/>
    <s v="Polymer Stereo"/>
    <n v="483"/>
    <n v="724.5"/>
    <s v="Polymer Stereo"/>
    <n v="973"/>
    <n v="9"/>
    <n v="65.204999999999998"/>
    <n v="9"/>
    <n v="65.204999999999998"/>
    <n v="0"/>
    <n v="0"/>
    <n v="18"/>
    <n v="148.41"/>
    <n v="0"/>
    <s v="24AAACQ5321R1Z7"/>
    <s v="CMS"/>
    <n v="37013000"/>
    <s v="Rs."/>
    <n v="1"/>
    <n v="0"/>
  </r>
  <r>
    <d v="2026-11-07T00:00:00"/>
    <x v="18"/>
    <s v="General Purchase"/>
    <s v="GNCN 261"/>
    <s v="Purchase Withinstate- Stores, Spares &amp; Consumable"/>
    <s v="2062/2026-27"/>
    <s v="28-06-2026"/>
    <s v="Consumables"/>
    <s v="Rubber/Polymer Stereo"/>
    <s v="Spares &amp; Stores"/>
    <x v="0"/>
    <s v="Polymer Stereo"/>
    <n v="297"/>
    <n v="445.5"/>
    <s v="Polymer Stereo"/>
    <n v="644"/>
    <n v="9"/>
    <n v="40.1"/>
    <n v="9"/>
    <n v="40.1"/>
    <n v="0"/>
    <n v="0"/>
    <n v="18"/>
    <n v="98.2"/>
    <n v="0"/>
    <s v="24AAACQ5321R1Z7"/>
    <s v="CMS"/>
    <n v="37013000"/>
    <s v="Rs."/>
    <n v="1"/>
    <n v="0"/>
  </r>
  <r>
    <d v="2026-11-07T00:00:00"/>
    <x v="13"/>
    <s v="General Purchase"/>
    <s v="GNSP 120"/>
    <s v="Purchase Interstate- Stores, Spares &amp; Consumable"/>
    <s v="SR/512/26-27"/>
    <d v="2026-08-07T00:00:00"/>
    <s v="Stores/Spares"/>
    <s v="Stitching Spares"/>
    <s v="Spares &amp; Stores"/>
    <x v="0"/>
    <s v="Looper For Double Locked Stitch  (41308 C)"/>
    <n v="5"/>
    <n v="7000"/>
    <s v="Looper For Double Locked Stitch  (41308 C)"/>
    <n v="33605"/>
    <n v="0"/>
    <n v="0"/>
    <n v="0"/>
    <n v="0"/>
    <n v="5"/>
    <n v="350"/>
    <n v="0"/>
    <n v="350"/>
    <n v="0"/>
    <s v="19AORPR0945L1Z4"/>
    <s v="Pcs"/>
    <n v="84529099"/>
    <s v="Rs."/>
    <n v="1"/>
    <n v="0"/>
  </r>
  <r>
    <d v="2026-11-07T00:00:00"/>
    <x v="13"/>
    <s v="General Purchase"/>
    <s v="GNSP 120"/>
    <s v="Purchase Interstate- Stores, Spares &amp; Consumable"/>
    <s v="SR/512/26-27"/>
    <d v="2026-08-07T00:00:00"/>
    <s v="Stores/Spares"/>
    <s v="Stitching Spares"/>
    <s v="Spares &amp; Stores"/>
    <x v="0"/>
    <s v="Spreader, Upper For Overedge Stitching  (81507)"/>
    <n v="10"/>
    <n v="10500"/>
    <s v="Spreader, Upper For Overedge Stitching  (81507)"/>
    <n v="0"/>
    <n v="0"/>
    <n v="0"/>
    <n v="0"/>
    <n v="0"/>
    <n v="5"/>
    <n v="525"/>
    <n v="0"/>
    <n v="525"/>
    <n v="0"/>
    <s v="19AORPR0945L1Z4"/>
    <s v="Pcs"/>
    <n v="84529099"/>
    <s v="Rs."/>
    <n v="1"/>
    <n v="0"/>
  </r>
  <r>
    <d v="2026-11-07T00:00:00"/>
    <x v="13"/>
    <s v="General Purchase"/>
    <s v="GNSP 120"/>
    <s v="Purchase Interstate- Stores, Spares &amp; Consumable"/>
    <s v="SR/512/26-27"/>
    <d v="2026-08-07T00:00:00"/>
    <s v="Stores/Spares"/>
    <s v="Drives Spares"/>
    <s v="Spares &amp; Stores"/>
    <x v="0"/>
    <s v="Drive Lever For Upper Spreader  81339"/>
    <n v="5"/>
    <n v="4835"/>
    <s v="Drive Lever For Upper Spreader  81339"/>
    <n v="0"/>
    <n v="0"/>
    <n v="0"/>
    <n v="0"/>
    <n v="0"/>
    <n v="5"/>
    <n v="241.75"/>
    <n v="0"/>
    <n v="241.75"/>
    <n v="0"/>
    <s v="19AORPR0945L1Z4"/>
    <s v="Pcs"/>
    <n v="84529099"/>
    <s v="Rs."/>
    <n v="1"/>
    <n v="0"/>
  </r>
  <r>
    <d v="2026-11-07T00:00:00"/>
    <x v="13"/>
    <s v="General Purchase"/>
    <s v="GNSP 120"/>
    <s v="Purchase Interstate- Stores, Spares &amp; Consumable"/>
    <s v="SR/512/26-27"/>
    <d v="2026-08-07T00:00:00"/>
    <s v="Stores/Spares"/>
    <s v="Drives Spares"/>
    <s v="Spares &amp; Stores"/>
    <x v="0"/>
    <s v="Drive Lever For Upper Spreader  81339"/>
    <n v="10"/>
    <n v="9670"/>
    <s v="Drive Lever For Upper Spreader  81339"/>
    <n v="0"/>
    <n v="0"/>
    <n v="0"/>
    <n v="0"/>
    <n v="0"/>
    <n v="5"/>
    <n v="483.5"/>
    <n v="0"/>
    <n v="483.5"/>
    <n v="0"/>
    <s v="19AORPR0945L1Z4"/>
    <s v="Pcs"/>
    <n v="84529099"/>
    <s v="Rs."/>
    <n v="1"/>
    <n v="0"/>
  </r>
  <r>
    <d v="2026-11-07T00:00:00"/>
    <x v="19"/>
    <s v="General Purchase"/>
    <s v="GNCN 256"/>
    <s v="Purchase Withinstate- Stores, Spares &amp; Consumable"/>
    <n v="1352"/>
    <d v="2026-07-07T00:00:00"/>
    <s v="Consumables"/>
    <s v="Rubber/Polymer Stereo"/>
    <s v="Spares &amp; Stores"/>
    <x v="0"/>
    <s v="Rubber Stereo"/>
    <n v="2760"/>
    <n v="966"/>
    <s v="Rubber Stereo"/>
    <n v="1140"/>
    <n v="9"/>
    <n v="86.94"/>
    <n v="9"/>
    <n v="86.94"/>
    <n v="0"/>
    <n v="0"/>
    <n v="0"/>
    <n v="173.88"/>
    <n v="0"/>
    <s v="24AHDPC2510M1ZU"/>
    <s v="Pcs"/>
    <n v="400200"/>
    <s v="Rs."/>
    <n v="1"/>
    <n v="0"/>
  </r>
  <r>
    <d v="2026-11-07T00:00:00"/>
    <x v="19"/>
    <s v="General Purchase"/>
    <s v="GNCN 257"/>
    <s v="Purchase Withinstate- Stores, Spares &amp; Consumable"/>
    <n v="1351"/>
    <d v="2026-07-07T00:00:00"/>
    <s v="Consumables"/>
    <s v="Rubber/Polymer Stereo"/>
    <s v="Spares &amp; Stores"/>
    <x v="0"/>
    <s v="Rubber Stereo"/>
    <n v="7869"/>
    <n v="2754.15"/>
    <s v="Rubber Stereo"/>
    <n v="3250"/>
    <n v="9"/>
    <n v="247.87"/>
    <n v="9"/>
    <n v="247.87"/>
    <n v="0"/>
    <n v="0"/>
    <n v="0"/>
    <n v="495.74"/>
    <n v="0"/>
    <s v="24AHDPC2510M1ZU"/>
    <s v="Pcs"/>
    <n v="400200"/>
    <s v="Rs."/>
    <n v="1"/>
    <n v="0"/>
  </r>
  <r>
    <d v="2026-11-07T00:00:00"/>
    <x v="20"/>
    <s v="General Purchase"/>
    <s v="GNCN 258"/>
    <s v="Purchase Withinstate- Stores, Spares &amp; Consumable"/>
    <n v="9419"/>
    <d v="2026-04-07T00:00:00"/>
    <s v="Consumables"/>
    <s v="Rubber/Polymer Stereo"/>
    <s v="Spares &amp; Stores"/>
    <x v="0"/>
    <s v="Polymer Stereo"/>
    <n v="824.48"/>
    <n v="948.15"/>
    <s v="Polymer Stereo"/>
    <n v="1119"/>
    <n v="9"/>
    <n v="85.33"/>
    <n v="9"/>
    <n v="85.33"/>
    <n v="0"/>
    <n v="0"/>
    <n v="0"/>
    <n v="170.66"/>
    <n v="0"/>
    <s v="24AARFT4204A1ZK"/>
    <s v="CMS"/>
    <n v="37013000"/>
    <s v="Rs."/>
    <n v="1"/>
    <n v="0"/>
  </r>
  <r>
    <d v="2026-11-07T00:00:00"/>
    <x v="20"/>
    <s v="General Purchase"/>
    <s v="GNCN 259"/>
    <s v="Purchase Withinstate- Stores, Spares &amp; Consumable"/>
    <n v="9391"/>
    <s v="30-06-2026"/>
    <s v="Consumables"/>
    <s v="Rubber/Polymer Stereo"/>
    <s v="Spares &amp; Stores"/>
    <x v="0"/>
    <s v="Polymer Stereo"/>
    <n v="9783"/>
    <n v="11250.45"/>
    <s v="Polymer Stereo"/>
    <n v="13276"/>
    <n v="9"/>
    <n v="1012.54"/>
    <n v="9"/>
    <n v="1012.54"/>
    <n v="0"/>
    <n v="0"/>
    <n v="0"/>
    <n v="2025.08"/>
    <n v="0"/>
    <s v="24AARFT4204A1ZK"/>
    <s v="CMS"/>
    <n v="37013000"/>
    <s v="Rs."/>
    <n v="1"/>
    <n v="0"/>
  </r>
  <r>
    <d v="2026-12-07T00:00:00"/>
    <x v="0"/>
    <s v="General Purchase"/>
    <s v="GNCN 264"/>
    <s v="Purchase Withinstate- Stores, Spares &amp; Consumable"/>
    <s v="PIL1/D/1021"/>
    <d v="2026-12-07T00:00:00"/>
    <s v="Stores/Spares"/>
    <s v="MS Structure Items"/>
    <s v="Spares &amp; Stores"/>
    <x v="0"/>
    <s v="MS Pipe 4  C Class"/>
    <n v="392"/>
    <n v="18816"/>
    <s v="MS Pipe 4  C Class"/>
    <n v="22184.06"/>
    <n v="9"/>
    <n v="1693.44"/>
    <n v="9"/>
    <n v="1693.44"/>
    <n v="0"/>
    <n v="0"/>
    <n v="0"/>
    <n v="3386.88"/>
    <n v="0"/>
    <s v="24AAACO3087C1ZT"/>
    <s v="Kgs"/>
    <n v="73063090"/>
    <s v="Rs."/>
    <n v="1"/>
    <n v="0"/>
  </r>
  <r>
    <d v="2026-12-07T00:00:00"/>
    <x v="0"/>
    <s v="R.M.P."/>
    <s v="RM 378"/>
    <s v="Purchase Withinstate - Raw Material"/>
    <s v="PIL1/D/1020"/>
    <d v="2026-12-07T00:00:00"/>
    <s v="SF"/>
    <s v="PP/PE Fabric"/>
    <s v="PP UL Fabric"/>
    <x v="2"/>
    <s v="PP UL Fabric With UV"/>
    <n v="2879"/>
    <n v="421744.71"/>
    <s v="PP UL Fabric With UV"/>
    <n v="1354812.44"/>
    <n v="9"/>
    <n v="37957.019999999997"/>
    <n v="9"/>
    <n v="37957.019999999997"/>
    <n v="0"/>
    <n v="0"/>
    <n v="0"/>
    <n v="75914.039999999994"/>
    <n v="0"/>
    <s v="24AAACO3087C1ZT"/>
    <s v="Kgs"/>
    <n v="39269080"/>
    <s v="Rs."/>
    <n v="1"/>
    <n v="0"/>
  </r>
  <r>
    <d v="2026-12-07T00:00:00"/>
    <x v="0"/>
    <s v="R.M.P."/>
    <s v="RM 378"/>
    <s v="Purchase Withinstate - Raw Material"/>
    <s v="PIL1/D/1020"/>
    <d v="2026-12-07T00:00:00"/>
    <s v="SF"/>
    <s v="PP/PE Fabric"/>
    <s v="PP UL Fabric"/>
    <x v="2"/>
    <s v="PP UL Fabric With UV"/>
    <n v="4489"/>
    <n v="648615.61"/>
    <s v="PP UL Fabric With UV"/>
    <n v="0"/>
    <n v="9"/>
    <n v="58375.4"/>
    <n v="9"/>
    <n v="58375.4"/>
    <n v="0"/>
    <n v="0"/>
    <n v="0"/>
    <n v="116750.8"/>
    <n v="0"/>
    <s v="24AAACO3087C1ZT"/>
    <s v="Kgs"/>
    <n v="39269080"/>
    <s v="Rs."/>
    <n v="1"/>
    <n v="0"/>
  </r>
  <r>
    <d v="2026-12-07T00:00:00"/>
    <x v="0"/>
    <s v="R.M.P."/>
    <s v="RM 378"/>
    <s v="Purchase Withinstate - Raw Material"/>
    <s v="PIL1/D/1020"/>
    <d v="2026-12-07T00:00:00"/>
    <s v="SF"/>
    <s v="PP/PE Fabric"/>
    <s v="PP UL Fabric"/>
    <x v="2"/>
    <s v="PP UL Fabric With UV"/>
    <n v="534"/>
    <n v="78759.66"/>
    <s v="PP UL Fabric With UV"/>
    <n v="0"/>
    <n v="9"/>
    <n v="7088.37"/>
    <n v="9"/>
    <n v="7088.37"/>
    <n v="0"/>
    <n v="0"/>
    <n v="0"/>
    <n v="14176.74"/>
    <n v="0"/>
    <s v="24AAACO3087C1ZT"/>
    <s v="Kgs"/>
    <n v="39269080"/>
    <s v="Rs."/>
    <n v="1"/>
    <n v="0"/>
  </r>
  <r>
    <d v="2026-12-07T00:00:00"/>
    <x v="0"/>
    <s v="R.M.P."/>
    <s v="RM 379"/>
    <s v="Purchase Withinstate - Raw Material"/>
    <s v="PIL1/D/1023"/>
    <d v="2026-12-07T00:00:00"/>
    <s v="FG"/>
    <s v="FIBC WIP"/>
    <s v="FIBC WIP"/>
    <x v="5"/>
    <s v="PP Woven Fabric"/>
    <n v="125"/>
    <n v="19561.25"/>
    <s v="FIBC WIP"/>
    <n v="405620.4"/>
    <n v="9"/>
    <n v="1760.51"/>
    <n v="9"/>
    <n v="1760.51"/>
    <n v="0"/>
    <n v="0"/>
    <n v="0"/>
    <n v="3521.02"/>
    <n v="0"/>
    <s v="24AAACO3087C1ZT"/>
    <s v="Kgs"/>
    <n v="39269080"/>
    <s v="Rs."/>
    <n v="1"/>
    <n v="0"/>
  </r>
  <r>
    <d v="2026-12-07T00:00:00"/>
    <x v="0"/>
    <s v="R.M.P."/>
    <s v="RM 379"/>
    <s v="Purchase Withinstate - Raw Material"/>
    <s v="PIL1/D/1023"/>
    <d v="2026-12-07T00:00:00"/>
    <s v="FG"/>
    <s v="FIBC WIP"/>
    <s v="FIBC WIP"/>
    <x v="5"/>
    <s v="PP Woven Fabric"/>
    <n v="110"/>
    <n v="16993.900000000001"/>
    <s v="FIBC WIP"/>
    <n v="0"/>
    <n v="9"/>
    <n v="1529.45"/>
    <n v="9"/>
    <n v="1529.45"/>
    <n v="0"/>
    <n v="0"/>
    <n v="0"/>
    <n v="3058.9"/>
    <n v="0"/>
    <s v="24AAACO3087C1ZT"/>
    <s v="Kgs"/>
    <n v="39269080"/>
    <s v="Rs."/>
    <n v="1"/>
    <n v="0"/>
  </r>
  <r>
    <d v="2026-12-07T00:00:00"/>
    <x v="0"/>
    <s v="R.M.P."/>
    <s v="RM 379"/>
    <s v="Purchase Withinstate - Raw Material"/>
    <s v="PIL1/D/1023"/>
    <d v="2026-12-07T00:00:00"/>
    <s v="SF"/>
    <s v="PP/PE Fabric"/>
    <s v="PP UL Fabric"/>
    <x v="2"/>
    <s v="PP UL Fabric With UV"/>
    <n v="2099"/>
    <n v="307482.51"/>
    <s v="PP UL Fabric With UV"/>
    <n v="0"/>
    <n v="9"/>
    <n v="27673.43"/>
    <n v="9"/>
    <n v="27673.43"/>
    <n v="0"/>
    <n v="0"/>
    <n v="0"/>
    <n v="55346.86"/>
    <n v="0"/>
    <s v="24AAACO3087C1ZT"/>
    <s v="Kgs"/>
    <n v="39269080"/>
    <s v="Rs."/>
    <n v="1"/>
    <n v="0"/>
  </r>
  <r>
    <d v="2026-12-07T00:00:00"/>
    <x v="0"/>
    <s v="R.M.P."/>
    <s v="RM 380"/>
    <s v="Purchase Withinstate - Raw Material"/>
    <s v="PIL1/D/1024"/>
    <d v="2026-12-07T00:00:00"/>
    <s v="SF"/>
    <s v="PP/PE Fabric"/>
    <s v="PP Lam Fabric"/>
    <x v="1"/>
    <s v="PP Lam Fabric With UV"/>
    <n v="2959"/>
    <n v="433463.91"/>
    <s v="PP Lam Fabric With UV"/>
    <n v="1670411.19"/>
    <n v="9"/>
    <n v="39011.75"/>
    <n v="9"/>
    <n v="39011.75"/>
    <n v="0"/>
    <n v="0"/>
    <n v="0"/>
    <n v="78023.5"/>
    <n v="0"/>
    <s v="24AAACO3087C1ZT"/>
    <s v="Kgs"/>
    <n v="63053300"/>
    <s v="Rs."/>
    <n v="1"/>
    <n v="0"/>
  </r>
  <r>
    <d v="2026-12-07T00:00:00"/>
    <x v="0"/>
    <s v="R.M.P."/>
    <s v="RM 380"/>
    <s v="Purchase Withinstate - Raw Material"/>
    <s v="PIL1/D/1024"/>
    <d v="2026-12-07T00:00:00"/>
    <s v="SF"/>
    <s v="Liners"/>
    <s v="LDPE/LLDPE Bags"/>
    <x v="7"/>
    <s v="DOC Pouch"/>
    <n v="66"/>
    <n v="12063.48"/>
    <s v="DOC Pouch"/>
    <n v="0"/>
    <n v="9"/>
    <n v="1085.71"/>
    <n v="9"/>
    <n v="1085.71"/>
    <n v="0"/>
    <n v="0"/>
    <n v="0"/>
    <n v="2171.42"/>
    <n v="0"/>
    <s v="24AAACO3087C1ZT"/>
    <s v="Kgs"/>
    <n v="39232100"/>
    <s v="Rs."/>
    <n v="1"/>
    <n v="0"/>
  </r>
  <r>
    <d v="2026-12-07T00:00:00"/>
    <x v="0"/>
    <s v="R.M.P."/>
    <s v="RM 380"/>
    <s v="Purchase Withinstate - Raw Material"/>
    <s v="PIL1/D/1024"/>
    <d v="2026-12-07T00:00:00"/>
    <s v="SF"/>
    <s v="Liners"/>
    <s v="LDPE/LLDPE Bags"/>
    <x v="3"/>
    <s v="LDPE/LLDPE Bags/Liner"/>
    <n v="554"/>
    <n v="101260.12"/>
    <s v="LDPE/LLDPE Bags/Liner"/>
    <n v="0"/>
    <n v="9"/>
    <n v="9113.41"/>
    <n v="9"/>
    <n v="9113.41"/>
    <n v="0"/>
    <n v="0"/>
    <n v="0"/>
    <n v="18226.82"/>
    <n v="0"/>
    <s v="24AAACO3087C1ZT"/>
    <s v="Kgs"/>
    <n v="39200000"/>
    <s v="Rs."/>
    <n v="1"/>
    <n v="0"/>
  </r>
  <r>
    <d v="2026-12-07T00:00:00"/>
    <x v="0"/>
    <s v="R.M.P."/>
    <s v="RM 380"/>
    <s v="Purchase Withinstate - Raw Material"/>
    <s v="PIL1/D/1024"/>
    <d v="2026-12-07T00:00:00"/>
    <s v="SF"/>
    <s v="Liners"/>
    <s v="LDPE/LLDPE Bags"/>
    <x v="3"/>
    <s v="LDPE/LLDPE Bags/Liner"/>
    <n v="55"/>
    <n v="10217.9"/>
    <s v="LDPE/LLDPE Bags/Liner"/>
    <n v="0"/>
    <n v="9"/>
    <n v="919.61"/>
    <n v="9"/>
    <n v="919.61"/>
    <n v="0"/>
    <n v="0"/>
    <n v="0"/>
    <n v="1839.22"/>
    <n v="0"/>
    <s v="24AAACO3087C1ZT"/>
    <s v="Kgs"/>
    <n v="39200000"/>
    <s v="Rs."/>
    <n v="1"/>
    <n v="0"/>
  </r>
  <r>
    <d v="2026-12-07T00:00:00"/>
    <x v="0"/>
    <s v="R.M.P."/>
    <s v="RM 380"/>
    <s v="Purchase Withinstate - Raw Material"/>
    <s v="PIL1/D/1024"/>
    <d v="2026-12-07T00:00:00"/>
    <s v="SF"/>
    <s v="PP/PE Fabric"/>
    <s v="PP UL Fabric"/>
    <x v="2"/>
    <s v="PP UL Fabric With UV"/>
    <n v="633"/>
    <n v="93361.17"/>
    <s v="PP UL Fabric With UV"/>
    <n v="0"/>
    <n v="9"/>
    <n v="8402.51"/>
    <n v="9"/>
    <n v="8402.51"/>
    <n v="0"/>
    <n v="0"/>
    <n v="0"/>
    <n v="16805.02"/>
    <n v="0"/>
    <s v="24AAACO3087C1ZT"/>
    <s v="Kgs"/>
    <n v="39269080"/>
    <s v="Rs."/>
    <n v="1"/>
    <n v="0"/>
  </r>
  <r>
    <d v="2026-12-07T00:00:00"/>
    <x v="0"/>
    <s v="R.M.P."/>
    <s v="RM 380"/>
    <s v="Purchase Withinstate - Raw Material"/>
    <s v="PIL1/D/1024"/>
    <d v="2026-12-07T00:00:00"/>
    <s v="SF"/>
    <s v="PP/PE Fabric"/>
    <s v="PP UL Fabric"/>
    <x v="2"/>
    <s v="PP UL Fabric With UV"/>
    <n v="2346"/>
    <n v="338973.54"/>
    <s v="PP UL Fabric With UV"/>
    <n v="0"/>
    <n v="9"/>
    <n v="30507.62"/>
    <n v="9"/>
    <n v="30507.62"/>
    <n v="0"/>
    <n v="0"/>
    <n v="0"/>
    <n v="61015.24"/>
    <n v="0"/>
    <s v="24AAACO3087C1ZT"/>
    <s v="Kgs"/>
    <n v="39269080"/>
    <s v="Rs."/>
    <n v="1"/>
    <n v="0"/>
  </r>
  <r>
    <d v="2026-12-07T00:00:00"/>
    <x v="0"/>
    <s v="R.M.P."/>
    <s v="RM 380"/>
    <s v="Purchase Withinstate - Raw Material"/>
    <s v="PIL1/D/1024"/>
    <d v="2026-12-07T00:00:00"/>
    <s v="SF"/>
    <s v="PP/PE Fabric"/>
    <s v="PP Lam Fabric"/>
    <x v="1"/>
    <s v="PP Lam Fabric With UV"/>
    <n v="698"/>
    <n v="105740.02"/>
    <s v="PP Lam Fabric With UV"/>
    <n v="0"/>
    <n v="9"/>
    <n v="9516.6"/>
    <n v="9"/>
    <n v="9516.6"/>
    <n v="0"/>
    <n v="0"/>
    <n v="0"/>
    <n v="19033.2"/>
    <n v="0"/>
    <s v="24AAACO3087C1ZT"/>
    <s v="Kgs"/>
    <n v="63053300"/>
    <s v="Rs."/>
    <n v="1"/>
    <n v="0"/>
  </r>
  <r>
    <d v="2026-12-07T00:00:00"/>
    <x v="0"/>
    <s v="R.M.P."/>
    <s v="RM 380"/>
    <s v="Purchase Withinstate - Raw Material"/>
    <s v="PIL1/D/1024"/>
    <d v="2026-12-07T00:00:00"/>
    <s v="SF"/>
    <s v="Webbing"/>
    <s v="PP Webbing"/>
    <x v="4"/>
    <s v="Webbing"/>
    <n v="895"/>
    <n v="131108.54999999999"/>
    <s v="Webbing"/>
    <n v="0"/>
    <n v="9"/>
    <n v="11799.77"/>
    <n v="9"/>
    <n v="11799.77"/>
    <n v="0"/>
    <n v="0"/>
    <n v="0"/>
    <n v="23599.54"/>
    <n v="0"/>
    <s v="24AAACO3087C1ZT"/>
    <s v="Kgs"/>
    <n v="3926908"/>
    <s v="Rs."/>
    <n v="1"/>
    <n v="0"/>
  </r>
  <r>
    <d v="2026-12-07T00:00:00"/>
    <x v="0"/>
    <s v="R.M.P."/>
    <s v="RM 380"/>
    <s v="Purchase Withinstate - Raw Material"/>
    <s v="PIL1/D/1024"/>
    <d v="2026-12-07T00:00:00"/>
    <s v="SF"/>
    <s v="Webbing"/>
    <s v="PP Webbing"/>
    <x v="4"/>
    <s v="Webbing"/>
    <n v="1275.0999999999999"/>
    <n v="190614.7"/>
    <s v="Webbing"/>
    <n v="0"/>
    <n v="9"/>
    <n v="17155.32"/>
    <n v="9"/>
    <n v="17155.32"/>
    <n v="0"/>
    <n v="0"/>
    <n v="0"/>
    <n v="34310.639999999999"/>
    <n v="0"/>
    <s v="24AAACO3087C1ZT"/>
    <s v="Kgs"/>
    <n v="3926908"/>
    <s v="Rs."/>
    <n v="1"/>
    <n v="0"/>
  </r>
  <r>
    <d v="2026-12-07T00:00:00"/>
    <x v="12"/>
    <s v="R.M.P."/>
    <s v="RM 376"/>
    <s v="Purchase Withinstate - Traded Goods"/>
    <s v="PIL2/D/361"/>
    <d v="2026-11-07T00:00:00"/>
    <s v="FG"/>
    <s v="FIBC Bags"/>
    <s v="FIBC Bags"/>
    <x v="11"/>
    <s v="FIBC Bags With UV Without Liner"/>
    <n v="3287"/>
    <n v="640077.51"/>
    <s v="FIBC Bags With UV Without Liner"/>
    <n v="754651.39"/>
    <n v="9"/>
    <n v="57606.98"/>
    <n v="9"/>
    <n v="57606.98"/>
    <n v="0"/>
    <n v="0"/>
    <n v="0"/>
    <n v="115213.96"/>
    <n v="0"/>
    <s v="24AAACO3087C1ZT"/>
    <s v="Kgs"/>
    <n v="63053200"/>
    <s v="Rs."/>
    <n v="1"/>
    <n v="0"/>
  </r>
  <r>
    <d v="2026-12-07T00:00:00"/>
    <x v="1"/>
    <s v="General Purchase"/>
    <s v="GNCN 265"/>
    <s v="Purchase Withinstate- Stores, Spares &amp; Consumable"/>
    <s v="PPL/D/343"/>
    <d v="2026-12-07T00:00:00"/>
    <s v="Stores/Spares"/>
    <s v="MS Structure Items"/>
    <s v="Spares &amp; Stores"/>
    <x v="0"/>
    <s v="MS Pipe 4  C Class"/>
    <n v="24"/>
    <n v="1152"/>
    <s v="MS Pipe 4  C Class"/>
    <n v="1358.21"/>
    <n v="9"/>
    <n v="103.68"/>
    <n v="9"/>
    <n v="103.68"/>
    <n v="0"/>
    <n v="0"/>
    <n v="0"/>
    <n v="207.36"/>
    <n v="0"/>
    <s v="24AAFCP2956A1ZR"/>
    <s v="Kgs"/>
    <n v="73063090"/>
    <s v="Rs."/>
    <n v="1"/>
    <n v="0"/>
  </r>
  <r>
    <d v="2026-12-07T00:00:00"/>
    <x v="1"/>
    <s v="R.M.P."/>
    <s v="RM 377"/>
    <s v="Purchase Withinstate - Raw Material"/>
    <s v="PPL/D/342"/>
    <d v="2026-12-07T00:00:00"/>
    <s v="SF"/>
    <s v="Webbing"/>
    <s v="PP Webbing"/>
    <x v="4"/>
    <s v="Webbing"/>
    <n v="73"/>
    <n v="10912.77"/>
    <s v="Webbing"/>
    <n v="193662.67"/>
    <n v="9"/>
    <n v="982.15"/>
    <n v="9"/>
    <n v="982.15"/>
    <n v="0"/>
    <n v="0"/>
    <n v="0"/>
    <n v="1964.3"/>
    <n v="0"/>
    <s v="24AAFCP2956A1ZR"/>
    <s v="Kgs"/>
    <n v="3926908"/>
    <s v="Rs."/>
    <n v="1"/>
    <n v="0"/>
  </r>
  <r>
    <d v="2026-12-07T00:00:00"/>
    <x v="1"/>
    <s v="R.M.P."/>
    <s v="RM 377"/>
    <s v="Purchase Withinstate - Raw Material"/>
    <s v="PPL/D/342"/>
    <d v="2026-12-07T00:00:00"/>
    <s v="FG"/>
    <s v="FIBC WIP"/>
    <s v="FIBC WIP"/>
    <x v="5"/>
    <s v="PP Woven Fabric"/>
    <n v="435"/>
    <n v="67311.899999999994"/>
    <s v="FIBC WIP"/>
    <n v="0"/>
    <n v="9"/>
    <n v="6058.07"/>
    <n v="9"/>
    <n v="6058.07"/>
    <n v="0"/>
    <n v="0"/>
    <n v="0"/>
    <n v="12116.14"/>
    <n v="0"/>
    <s v="24AAFCP2956A1ZR"/>
    <s v="Kgs"/>
    <n v="39269080"/>
    <s v="Rs."/>
    <n v="1"/>
    <n v="0"/>
  </r>
  <r>
    <d v="2026-12-07T00:00:00"/>
    <x v="1"/>
    <s v="R.M.P."/>
    <s v="RM 377"/>
    <s v="Purchase Withinstate - Raw Material"/>
    <s v="PPL/D/342"/>
    <d v="2026-12-07T00:00:00"/>
    <s v="SF"/>
    <s v="PP/PE Fabric"/>
    <s v="PP UL Fabric"/>
    <x v="2"/>
    <s v="PP UL Fabric With UV"/>
    <n v="556"/>
    <n v="86035.44"/>
    <s v="PP UL Fabric With UV"/>
    <n v="0"/>
    <n v="9"/>
    <n v="7743.19"/>
    <n v="9"/>
    <n v="7743.19"/>
    <n v="0"/>
    <n v="0"/>
    <n v="0"/>
    <n v="15486.38"/>
    <n v="0"/>
    <s v="24AAFCP2956A1ZR"/>
    <s v="Kgs"/>
    <n v="39269080"/>
    <s v="Rs."/>
    <n v="1"/>
    <n v="0"/>
  </r>
  <r>
    <s v="13-07-2026"/>
    <x v="6"/>
    <s v="R.M.P."/>
    <s v="RM 383"/>
    <s v="Purchase Withinstate - Raw Material"/>
    <s v="KPV/D/445"/>
    <d v="2026-12-07T00:00:00"/>
    <s v="SF"/>
    <s v="Yarn All"/>
    <s v="PP Yarn"/>
    <x v="8"/>
    <s v="PP Fibrillated Tape Twisted 3200 Blue"/>
    <n v="920"/>
    <n v="141818"/>
    <s v="PP Fibrillated Tape Twisted 3200 Blue"/>
    <n v="441068.92"/>
    <n v="2.5"/>
    <n v="3545.45"/>
    <n v="2.5"/>
    <n v="3545.45"/>
    <n v="0"/>
    <n v="0"/>
    <n v="0"/>
    <n v="7090.9"/>
    <n v="0"/>
    <s v="24AAECK6307M1ZF"/>
    <s v="Kgs"/>
    <n v="54026930"/>
    <s v="Rs."/>
    <n v="1"/>
    <n v="0"/>
  </r>
  <r>
    <s v="13-07-2026"/>
    <x v="6"/>
    <s v="R.M.P."/>
    <s v="RM 383"/>
    <s v="Purchase Withinstate - Raw Material"/>
    <s v="KPV/D/445"/>
    <d v="2026-12-07T00:00:00"/>
    <s v="SF"/>
    <s v="Yarn All"/>
    <s v="PP Yarn"/>
    <x v="8"/>
    <s v="PP Fibrillated Tape Twisted 3200 MW"/>
    <n v="485"/>
    <n v="73307.75"/>
    <s v="PP Fibrillated Tape Twisted 3200 MW"/>
    <n v="0"/>
    <n v="2.5"/>
    <n v="1832.69"/>
    <n v="2.5"/>
    <n v="1832.69"/>
    <n v="0"/>
    <n v="0"/>
    <n v="0"/>
    <n v="3665.38"/>
    <n v="0"/>
    <s v="24AAECK6307M1ZF"/>
    <s v="Kgs"/>
    <n v="54026930"/>
    <s v="Rs."/>
    <n v="1"/>
    <n v="0"/>
  </r>
  <r>
    <s v="13-07-2026"/>
    <x v="6"/>
    <s v="R.M.P."/>
    <s v="RM 383"/>
    <s v="Purchase Withinstate - Raw Material"/>
    <s v="KPV/D/445"/>
    <d v="2026-12-07T00:00:00"/>
    <s v="SF"/>
    <s v="PP/PE Fabric"/>
    <s v="PP UL Fabric"/>
    <x v="2"/>
    <s v="PP UL Fabric With UV"/>
    <n v="1080.0999999999999"/>
    <n v="182698.92"/>
    <s v="PP UL Fabric With UV"/>
    <n v="0"/>
    <n v="9"/>
    <n v="16442.900000000001"/>
    <n v="9"/>
    <n v="16442.900000000001"/>
    <n v="0"/>
    <n v="0"/>
    <n v="0"/>
    <n v="32885.800000000003"/>
    <n v="0"/>
    <s v="24AAECK6307M1ZF"/>
    <s v="Kgs"/>
    <n v="39269080"/>
    <s v="Rs."/>
    <n v="1"/>
    <n v="0"/>
  </r>
  <r>
    <s v="13-07-2026"/>
    <x v="6"/>
    <s v="R.M.P."/>
    <s v="RM 385"/>
    <s v="Purchase Withinstate - Raw Material"/>
    <s v="KPV/D/442"/>
    <d v="2026-12-07T00:00:00"/>
    <s v="RM Consumables"/>
    <s v="Ink"/>
    <s v="Thinner"/>
    <x v="12"/>
    <s v="Thinner Vyankatesh Thinner"/>
    <n v="170"/>
    <n v="18360"/>
    <s v="Thinner Vyankatesh Thinner"/>
    <n v="21646.44"/>
    <n v="9"/>
    <n v="1652.4"/>
    <n v="9"/>
    <n v="1652.4"/>
    <n v="0"/>
    <n v="0"/>
    <n v="0"/>
    <n v="3304.8"/>
    <n v="0"/>
    <s v="24AAECK6307M1ZF"/>
    <s v="Kgs"/>
    <n v="38140010"/>
    <s v="Rs."/>
    <n v="1"/>
    <n v="0"/>
  </r>
  <r>
    <s v="13-07-2026"/>
    <x v="0"/>
    <s v="General Purchase"/>
    <s v="GNCN 266"/>
    <s v="Purchase Withinstate- Stores, Spares &amp; Consumable"/>
    <s v="PIL1/D/1032"/>
    <s v="13-07-2026"/>
    <s v="Stores/Spares"/>
    <s v="MS Structure Items"/>
    <s v="Spares &amp; Stores"/>
    <x v="0"/>
    <s v="MS Pipe 4  C Class"/>
    <n v="284"/>
    <n v="13632"/>
    <s v="MS Pipe 4  C Class"/>
    <n v="16072.13"/>
    <n v="9"/>
    <n v="1226.8800000000001"/>
    <n v="9"/>
    <n v="1226.8800000000001"/>
    <n v="0"/>
    <n v="0"/>
    <n v="0"/>
    <n v="2453.7600000000002"/>
    <n v="0"/>
    <s v="24AAACO3087C1ZT"/>
    <s v="Kgs"/>
    <n v="73063090"/>
    <s v="Rs."/>
    <n v="1"/>
    <n v="0"/>
  </r>
  <r>
    <s v="13-07-2026"/>
    <x v="0"/>
    <s v="R.M.P."/>
    <s v="RM 382"/>
    <s v="Purchase Withinstate - Raw Material"/>
    <s v="PIL1/D/1033"/>
    <s v="13-07-2026"/>
    <s v="SF"/>
    <s v="Liners"/>
    <s v="LDPE/LLDPE Bags"/>
    <x v="3"/>
    <s v="LDPE/LLDPE Bags/Liner"/>
    <n v="4475"/>
    <n v="817940.5"/>
    <s v="LDPE/LLDPE Bags/Liner"/>
    <n v="964351.84"/>
    <n v="9"/>
    <n v="73614.64"/>
    <n v="9"/>
    <n v="73614.64"/>
    <n v="0"/>
    <n v="0"/>
    <n v="0"/>
    <n v="147229.28"/>
    <n v="0"/>
    <s v="24AAACO3087C1ZT"/>
    <s v="Kgs"/>
    <n v="39200000"/>
    <s v="Rs."/>
    <n v="1"/>
    <n v="0"/>
  </r>
  <r>
    <s v="13-07-2026"/>
    <x v="0"/>
    <s v="R.M.P."/>
    <s v="RM 387"/>
    <s v="Purchase Withinstate - Raw Material"/>
    <s v="PIL1/D/1031"/>
    <s v="13-07-2026"/>
    <s v="SF"/>
    <s v="PP/PE Fabric"/>
    <s v="PP UL Fabric"/>
    <x v="2"/>
    <s v="PP UL Fabric With UV"/>
    <n v="2404"/>
    <n v="352161.96"/>
    <s v="PP UL Fabric With UV"/>
    <n v="2049762.77"/>
    <n v="9"/>
    <n v="31694.58"/>
    <n v="9"/>
    <n v="31694.58"/>
    <n v="0"/>
    <n v="0"/>
    <n v="0"/>
    <n v="63389.16"/>
    <n v="0"/>
    <s v="24AAACO3087C1ZT"/>
    <s v="Kgs"/>
    <n v="39269080"/>
    <s v="Rs."/>
    <n v="1"/>
    <n v="0"/>
  </r>
  <r>
    <s v="13-07-2026"/>
    <x v="0"/>
    <s v="R.M.P."/>
    <s v="RM 387"/>
    <s v="Purchase Withinstate - Raw Material"/>
    <s v="PIL1/D/1031"/>
    <s v="13-07-2026"/>
    <s v="SF"/>
    <s v="PP/PE Fabric"/>
    <s v="PP UL Fabric"/>
    <x v="2"/>
    <s v="PP UL Fabric With UV"/>
    <n v="242"/>
    <n v="35692.58"/>
    <s v="PP UL Fabric With UV"/>
    <n v="0"/>
    <n v="9"/>
    <n v="3212.33"/>
    <n v="9"/>
    <n v="3212.33"/>
    <n v="0"/>
    <n v="0"/>
    <n v="0"/>
    <n v="6424.66"/>
    <n v="0"/>
    <s v="24AAACO3087C1ZT"/>
    <s v="Kgs"/>
    <n v="39269080"/>
    <s v="Rs."/>
    <n v="1"/>
    <n v="0"/>
  </r>
  <r>
    <s v="13-07-2026"/>
    <x v="0"/>
    <s v="R.M.P."/>
    <s v="RM 387"/>
    <s v="Purchase Withinstate - Raw Material"/>
    <s v="PIL1/D/1031"/>
    <s v="13-07-2026"/>
    <s v="SF"/>
    <s v="PP/PE Fabric"/>
    <s v="PP UL Fabric"/>
    <x v="2"/>
    <s v="PP UL Fabric With UV"/>
    <n v="5911"/>
    <n v="854080.39"/>
    <s v="PP UL Fabric With UV"/>
    <n v="0"/>
    <n v="9"/>
    <n v="76867.240000000005"/>
    <n v="9"/>
    <n v="76867.240000000005"/>
    <n v="0"/>
    <n v="0"/>
    <n v="0"/>
    <n v="153734.48000000001"/>
    <n v="0"/>
    <s v="24AAACO3087C1ZT"/>
    <s v="Kgs"/>
    <n v="39269080"/>
    <s v="Rs."/>
    <n v="1"/>
    <n v="0"/>
  </r>
  <r>
    <s v="13-07-2026"/>
    <x v="0"/>
    <s v="R.M.P."/>
    <s v="RM 387"/>
    <s v="Purchase Withinstate - Raw Material"/>
    <s v="PIL1/D/1031"/>
    <s v="13-07-2026"/>
    <s v="SF"/>
    <s v="PP/PE Fabric"/>
    <s v="PP Lam Fabric"/>
    <x v="1"/>
    <s v="PP Lam Fabric With UV"/>
    <n v="775"/>
    <n v="117404.75"/>
    <s v="PP Lam Fabric With UV"/>
    <n v="0"/>
    <n v="9"/>
    <n v="10566.43"/>
    <n v="9"/>
    <n v="10566.43"/>
    <n v="0"/>
    <n v="0"/>
    <n v="0"/>
    <n v="21132.86"/>
    <n v="0"/>
    <s v="24AAACO3087C1ZT"/>
    <s v="Kgs"/>
    <n v="63053300"/>
    <s v="Rs."/>
    <n v="1"/>
    <n v="0"/>
  </r>
  <r>
    <s v="13-07-2026"/>
    <x v="0"/>
    <s v="R.M.P."/>
    <s v="RM 387"/>
    <s v="Purchase Withinstate - Raw Material"/>
    <s v="PIL1/D/1031"/>
    <s v="13-07-2026"/>
    <s v="SF"/>
    <s v="PP/PE Fabric"/>
    <s v="PP Lam Fabric"/>
    <x v="1"/>
    <s v="PP Lam Fabric With UV"/>
    <n v="246"/>
    <n v="36528.54"/>
    <s v="PP Lam Fabric With UV"/>
    <n v="0"/>
    <n v="9"/>
    <n v="3287.57"/>
    <n v="9"/>
    <n v="3287.57"/>
    <n v="0"/>
    <n v="0"/>
    <n v="0"/>
    <n v="6575.14"/>
    <n v="0"/>
    <s v="24AAACO3087C1ZT"/>
    <s v="Kgs"/>
    <n v="63053300"/>
    <s v="Rs."/>
    <n v="1"/>
    <n v="0"/>
  </r>
  <r>
    <s v="13-07-2026"/>
    <x v="0"/>
    <s v="R.M.P."/>
    <s v="RM 387"/>
    <s v="Purchase Withinstate - Raw Material"/>
    <s v="PIL1/D/1031"/>
    <s v="13-07-2026"/>
    <s v="SF"/>
    <s v="Webbing"/>
    <s v="PP Webbing"/>
    <x v="4"/>
    <s v="Webbing"/>
    <n v="1501.8"/>
    <n v="224504.08"/>
    <s v="Webbing"/>
    <n v="0"/>
    <n v="9"/>
    <n v="20205.37"/>
    <n v="9"/>
    <n v="20205.37"/>
    <n v="0"/>
    <n v="0"/>
    <n v="0"/>
    <n v="40410.74"/>
    <n v="0"/>
    <s v="24AAACO3087C1ZT"/>
    <s v="Kgs"/>
    <n v="3926908"/>
    <s v="Rs."/>
    <n v="1"/>
    <n v="0"/>
  </r>
  <r>
    <s v="13-07-2026"/>
    <x v="0"/>
    <s v="R.M.P."/>
    <s v="RM 387"/>
    <s v="Purchase Withinstate - Raw Material"/>
    <s v="PIL1/D/1031"/>
    <s v="13-07-2026"/>
    <s v="SF"/>
    <s v="Webbing"/>
    <s v="PP Webbing"/>
    <x v="4"/>
    <s v="Webbing"/>
    <n v="806.8"/>
    <n v="118188.13"/>
    <s v="Webbing"/>
    <n v="0"/>
    <n v="9"/>
    <n v="10636.93"/>
    <n v="9"/>
    <n v="10636.93"/>
    <n v="0"/>
    <n v="0"/>
    <n v="0"/>
    <n v="21273.86"/>
    <n v="0"/>
    <s v="24AAACO3087C1ZT"/>
    <s v="Kgs"/>
    <n v="3926908"/>
    <s v="Rs."/>
    <n v="1"/>
    <n v="0"/>
  </r>
  <r>
    <s v="13-07-2026"/>
    <x v="12"/>
    <s v="General Purchase"/>
    <s v="GNCN 267"/>
    <s v="Purchase Withinstate- Stores, Spares &amp; Consumable"/>
    <s v="PIL2/D/370."/>
    <d v="2026-12-07T00:00:00"/>
    <s v="Stores/Spares"/>
    <s v="MS Structure Items"/>
    <s v="Spares &amp; Stores"/>
    <x v="0"/>
    <s v="MS Pipe 4  C Class"/>
    <n v="19"/>
    <n v="912"/>
    <s v="MS Pipe 4  C Class"/>
    <n v="1075.25"/>
    <n v="9"/>
    <n v="82.08"/>
    <n v="9"/>
    <n v="82.08"/>
    <n v="0"/>
    <n v="0"/>
    <n v="0"/>
    <n v="164.16"/>
    <n v="0"/>
    <s v="24AAACO3087C1ZT"/>
    <s v="Kgs"/>
    <n v="73063090"/>
    <s v="Rs."/>
    <n v="1"/>
    <n v="0"/>
  </r>
  <r>
    <s v="13-07-2026"/>
    <x v="12"/>
    <s v="R.M.P."/>
    <s v="RM 381"/>
    <s v="Purchase Withinstate - Raw Material"/>
    <s v="PIL2/D/369"/>
    <d v="2026-12-07T00:00:00"/>
    <s v="SF"/>
    <s v="PP/PE Fabric"/>
    <s v="PP UL Fabric"/>
    <x v="2"/>
    <s v="PP UL Fabric With UV"/>
    <n v="914"/>
    <n v="102002.4"/>
    <s v="PP UL Fabric With UV"/>
    <n v="120260.84"/>
    <n v="9"/>
    <n v="9180.2199999999993"/>
    <n v="9"/>
    <n v="9180.2199999999993"/>
    <n v="0"/>
    <n v="0"/>
    <n v="0"/>
    <n v="18360.439999999999"/>
    <n v="0"/>
    <s v="24AAACO3087C1ZT"/>
    <s v="Kgs"/>
    <n v="39269080"/>
    <s v="Rs."/>
    <n v="1"/>
    <n v="0"/>
  </r>
  <r>
    <s v="13-07-2026"/>
    <x v="1"/>
    <s v="R.M.P."/>
    <s v="RM 388"/>
    <s v="Purchase Withinstate - Raw Material"/>
    <s v="PPL/D/347"/>
    <s v="13-07-2026"/>
    <s v="RM Consumables"/>
    <s v="Ink"/>
    <s v="Thinner"/>
    <x v="12"/>
    <s v="Thinner Vyankatesh Thinner"/>
    <n v="170"/>
    <n v="47940"/>
    <s v="Thinner Vyankatesh Thinner"/>
    <n v="56521.26"/>
    <n v="9"/>
    <n v="4314.6000000000004"/>
    <n v="9"/>
    <n v="4314.6000000000004"/>
    <n v="0"/>
    <n v="0"/>
    <n v="0"/>
    <n v="8629.2000000000007"/>
    <n v="0"/>
    <s v="24AAFCP2956A1ZR"/>
    <s v="Kgs"/>
    <n v="38140010"/>
    <s v="Rs."/>
    <n v="1"/>
    <n v="0"/>
  </r>
  <r>
    <s v="14-07-2026"/>
    <x v="0"/>
    <s v="General Purchase"/>
    <s v="GNCN 269"/>
    <s v="Purchase Withinstate- Stores, Spares &amp; Consumable"/>
    <s v="PIL1/D/1046"/>
    <s v="14-07-2026"/>
    <s v="Stores/Spares"/>
    <s v="MS Structure Items"/>
    <s v="Spares &amp; Stores"/>
    <x v="0"/>
    <s v="MS Pipe 4  C Class"/>
    <n v="528"/>
    <n v="25344"/>
    <s v="MS Pipe 4  C Class"/>
    <n v="29880.58"/>
    <n v="9"/>
    <n v="2280.96"/>
    <n v="9"/>
    <n v="2280.96"/>
    <n v="0"/>
    <n v="0"/>
    <n v="0"/>
    <n v="4561.92"/>
    <n v="0"/>
    <s v="24AAACO3087C1ZT"/>
    <s v="Kgs"/>
    <n v="73063090"/>
    <s v="Rs."/>
    <n v="1"/>
    <n v="0"/>
  </r>
  <r>
    <s v="14-07-2026"/>
    <x v="0"/>
    <s v="R.M.P."/>
    <s v="RM 390"/>
    <s v="Purchase Withinstate - Raw Material"/>
    <s v="PIL1/D/1048"/>
    <s v="14-07-2026"/>
    <s v="SF"/>
    <s v="PP/PE Fabric"/>
    <s v="PP Lam Fabric"/>
    <x v="1"/>
    <s v="PP Lam Fabric With UV"/>
    <n v="1722"/>
    <n v="260865.78"/>
    <s v="PP Lam Fabric With UV"/>
    <n v="307560.75"/>
    <n v="9"/>
    <n v="23477.919999999998"/>
    <n v="9"/>
    <n v="23477.919999999998"/>
    <n v="0"/>
    <n v="0"/>
    <n v="0"/>
    <n v="46955.839999999997"/>
    <n v="0"/>
    <s v="24AAACO3087C1ZT"/>
    <s v="Kgs"/>
    <n v="63053300"/>
    <s v="Rs."/>
    <n v="1"/>
    <n v="0"/>
  </r>
  <r>
    <s v="14-07-2026"/>
    <x v="0"/>
    <s v="R.M.P."/>
    <s v="RM 391"/>
    <s v="Purchase Withinstate - Raw Material"/>
    <s v="PIL1/D/1047"/>
    <s v="14-07-2026"/>
    <s v="SF"/>
    <s v="Liners"/>
    <s v="LDPE/LLDPE Bags"/>
    <x v="3"/>
    <s v="LDPE/LLDPE Bags/Liner"/>
    <n v="1655"/>
    <n v="302500.90000000002"/>
    <s v="LDPE/LLDPE Bags/Liner"/>
    <n v="639141.39"/>
    <n v="9"/>
    <n v="27225.08"/>
    <n v="9"/>
    <n v="27225.08"/>
    <n v="0"/>
    <n v="0"/>
    <n v="0"/>
    <n v="54450.16"/>
    <n v="0"/>
    <s v="24AAACO3087C1ZT"/>
    <s v="Kgs"/>
    <n v="39200000"/>
    <s v="Rs."/>
    <n v="1"/>
    <n v="0"/>
  </r>
  <r>
    <s v="14-07-2026"/>
    <x v="0"/>
    <s v="R.M.P."/>
    <s v="RM 391"/>
    <s v="Purchase Withinstate - Raw Material"/>
    <s v="PIL1/D/1047"/>
    <s v="14-07-2026"/>
    <s v="SF"/>
    <s v="Webbing"/>
    <s v="PP Webbing"/>
    <x v="4"/>
    <s v="Webbing"/>
    <n v="768.2"/>
    <n v="114838.22"/>
    <s v="Webbing"/>
    <n v="0"/>
    <n v="9"/>
    <n v="10335.44"/>
    <n v="9"/>
    <n v="10335.44"/>
    <n v="0"/>
    <n v="0"/>
    <n v="0"/>
    <n v="20670.88"/>
    <n v="0"/>
    <s v="24AAACO3087C1ZT"/>
    <s v="Kgs"/>
    <n v="3926908"/>
    <s v="Rs."/>
    <n v="1"/>
    <n v="0"/>
  </r>
  <r>
    <s v="14-07-2026"/>
    <x v="0"/>
    <s v="R.M.P."/>
    <s v="RM 391"/>
    <s v="Purchase Withinstate - Raw Material"/>
    <s v="PIL1/D/1047"/>
    <s v="14-07-2026"/>
    <s v="SF"/>
    <s v="Webbing"/>
    <s v="PP Webbing"/>
    <x v="4"/>
    <s v="Webbing"/>
    <n v="851.7"/>
    <n v="124765.53"/>
    <s v="Webbing"/>
    <n v="0"/>
    <n v="9"/>
    <n v="11228.9"/>
    <n v="9"/>
    <n v="11228.9"/>
    <n v="0"/>
    <n v="0"/>
    <n v="0"/>
    <n v="22457.8"/>
    <n v="0"/>
    <s v="24AAACO3087C1ZT"/>
    <s v="Kgs"/>
    <n v="3926908"/>
    <s v="Rs."/>
    <n v="1"/>
    <n v="0"/>
  </r>
  <r>
    <s v="14-07-2026"/>
    <x v="0"/>
    <s v="R.M.P."/>
    <s v="RM 392"/>
    <s v="Purchase Withinstate - Raw Material"/>
    <s v="PIL1/D/1050"/>
    <s v="14-07-2026"/>
    <s v="SF"/>
    <s v="PP/PE Fabric"/>
    <s v="PP UL Fabric"/>
    <x v="2"/>
    <s v="PP UL Fabric With UV"/>
    <n v="1790"/>
    <n v="262217.09999999998"/>
    <s v="PP UL Fabric With UV"/>
    <n v="309153.96000000002"/>
    <n v="9"/>
    <n v="23599.54"/>
    <n v="9"/>
    <n v="23599.54"/>
    <n v="0"/>
    <n v="0"/>
    <n v="0"/>
    <n v="47199.08"/>
    <n v="0"/>
    <s v="24AAACO3087C1ZT"/>
    <s v="Kgs"/>
    <n v="39269080"/>
    <s v="Rs."/>
    <n v="1"/>
    <n v="0"/>
  </r>
  <r>
    <s v="14-07-2026"/>
    <x v="0"/>
    <s v="R.M.P."/>
    <s v="RM 393"/>
    <s v="Purchase Withinstate - Raw Material"/>
    <s v="PIL1/D/1044"/>
    <s v="14-07-2026"/>
    <s v="SF"/>
    <s v="PP/PE Fabric"/>
    <s v="PP UL Fabric"/>
    <x v="2"/>
    <s v="PP UL Fabric With UV"/>
    <n v="945"/>
    <n v="138433.04999999999"/>
    <s v="PP UL Fabric With UV"/>
    <n v="1319540.71"/>
    <n v="9"/>
    <n v="12458.97"/>
    <n v="9"/>
    <n v="12458.97"/>
    <n v="0"/>
    <n v="0"/>
    <n v="0"/>
    <n v="24917.94"/>
    <n v="0"/>
    <s v="24AAACO3087C1ZT"/>
    <s v="Kgs"/>
    <n v="39269080"/>
    <s v="Rs."/>
    <n v="1"/>
    <n v="0"/>
  </r>
  <r>
    <s v="14-07-2026"/>
    <x v="0"/>
    <s v="R.M.P."/>
    <s v="RM 393"/>
    <s v="Purchase Withinstate - Raw Material"/>
    <s v="PIL1/D/1044"/>
    <s v="14-07-2026"/>
    <s v="SF"/>
    <s v="PP/PE Fabric"/>
    <s v="PP UL Fabric"/>
    <x v="2"/>
    <s v="PP UL Fabric With UV"/>
    <n v="665"/>
    <n v="98080.85"/>
    <s v="PP UL Fabric With UV"/>
    <n v="0"/>
    <n v="9"/>
    <n v="8827.2800000000007"/>
    <n v="9"/>
    <n v="8827.2800000000007"/>
    <n v="0"/>
    <n v="0"/>
    <n v="0"/>
    <n v="17654.560000000001"/>
    <n v="0"/>
    <s v="24AAACO3087C1ZT"/>
    <s v="Kgs"/>
    <n v="39269080"/>
    <s v="Rs."/>
    <n v="1"/>
    <n v="0"/>
  </r>
  <r>
    <s v="14-07-2026"/>
    <x v="0"/>
    <s v="R.M.P."/>
    <s v="RM 393"/>
    <s v="Purchase Withinstate - Raw Material"/>
    <s v="PIL1/D/1044"/>
    <s v="14-07-2026"/>
    <s v="SF"/>
    <s v="PP/PE Fabric"/>
    <s v="PP UL Fabric"/>
    <x v="2"/>
    <s v="PP UL Fabric With UV"/>
    <n v="6109"/>
    <n v="882689.41"/>
    <s v="PP UL Fabric With UV"/>
    <n v="0"/>
    <n v="9"/>
    <n v="79442.05"/>
    <n v="9"/>
    <n v="79442.05"/>
    <n v="0"/>
    <n v="0"/>
    <n v="0"/>
    <n v="158884.1"/>
    <n v="0"/>
    <s v="24AAACO3087C1ZT"/>
    <s v="Kgs"/>
    <n v="39269080"/>
    <s v="Rs."/>
    <n v="1"/>
    <n v="0"/>
  </r>
  <r>
    <s v="14-07-2026"/>
    <x v="0"/>
    <s v="R.M.P."/>
    <s v="RM 394"/>
    <s v="Purchase Withinstate - Raw Material"/>
    <s v="PIL1/D/1045"/>
    <s v="14-07-2026"/>
    <s v="FG"/>
    <s v="FIBC WIP"/>
    <s v="FIBC WIP"/>
    <x v="5"/>
    <s v="PP Woven Fabric"/>
    <n v="151.69999999999999"/>
    <n v="22677.63"/>
    <s v="FIBC WIP"/>
    <n v="1050872.8700000001"/>
    <n v="9"/>
    <n v="2040.99"/>
    <n v="9"/>
    <n v="2040.99"/>
    <n v="0"/>
    <n v="0"/>
    <n v="0"/>
    <n v="4081.98"/>
    <n v="0"/>
    <s v="24AAACO3087C1ZT"/>
    <s v="Kgs"/>
    <n v="39269080"/>
    <s v="Rs."/>
    <n v="1"/>
    <n v="0"/>
  </r>
  <r>
    <s v="14-07-2026"/>
    <x v="0"/>
    <s v="R.M.P."/>
    <s v="RM 394"/>
    <s v="Purchase Withinstate - Raw Material"/>
    <s v="PIL1/D/1045"/>
    <s v="14-07-2026"/>
    <s v="SF"/>
    <s v="PP/PE Fabric"/>
    <s v="PP UL Fabric"/>
    <x v="2"/>
    <s v="PP UL Fabric With UV"/>
    <n v="2513"/>
    <n v="363103.37"/>
    <s v="PP UL Fabric With UV"/>
    <n v="0"/>
    <n v="9"/>
    <n v="32679.3"/>
    <n v="9"/>
    <n v="32679.3"/>
    <n v="0"/>
    <n v="0"/>
    <n v="0"/>
    <n v="65358.6"/>
    <n v="0"/>
    <s v="24AAACO3087C1ZT"/>
    <s v="Kgs"/>
    <n v="39269080"/>
    <s v="Rs."/>
    <n v="1"/>
    <n v="0"/>
  </r>
  <r>
    <s v="14-07-2026"/>
    <x v="0"/>
    <s v="R.M.P."/>
    <s v="RM 394"/>
    <s v="Purchase Withinstate - Raw Material"/>
    <s v="PIL1/D/1045"/>
    <s v="14-07-2026"/>
    <s v="SF"/>
    <s v="PP/PE Fabric"/>
    <s v="PP UL Fabric"/>
    <x v="2"/>
    <s v="PP UL Fabric With UV"/>
    <n v="989"/>
    <n v="144878.60999999999"/>
    <s v="PP UL Fabric With UV"/>
    <n v="0"/>
    <n v="9"/>
    <n v="13039.07"/>
    <n v="9"/>
    <n v="13039.07"/>
    <n v="0"/>
    <n v="0"/>
    <n v="0"/>
    <n v="26078.14"/>
    <n v="0"/>
    <s v="24AAACO3087C1ZT"/>
    <s v="Kgs"/>
    <n v="39269080"/>
    <s v="Rs."/>
    <n v="1"/>
    <n v="0"/>
  </r>
  <r>
    <s v="14-07-2026"/>
    <x v="0"/>
    <s v="R.M.P."/>
    <s v="RM 394"/>
    <s v="Purchase Withinstate - Raw Material"/>
    <s v="PIL1/D/1045"/>
    <s v="14-07-2026"/>
    <s v="SF"/>
    <s v="PP/PE Fabric"/>
    <s v="PP UL Fabric"/>
    <x v="2"/>
    <s v="PP UL Fabric With UV"/>
    <n v="477"/>
    <n v="70352.73"/>
    <s v="PP UL Fabric With UV"/>
    <n v="0"/>
    <n v="9"/>
    <n v="6331.75"/>
    <n v="9"/>
    <n v="6331.75"/>
    <n v="0"/>
    <n v="0"/>
    <n v="0"/>
    <n v="12663.5"/>
    <n v="0"/>
    <s v="24AAACO3087C1ZT"/>
    <s v="Kgs"/>
    <n v="39269080"/>
    <s v="Rs."/>
    <n v="1"/>
    <n v="0"/>
  </r>
  <r>
    <s v="14-07-2026"/>
    <x v="0"/>
    <s v="R.M.P."/>
    <s v="RM 394"/>
    <s v="Purchase Withinstate - Raw Material"/>
    <s v="PIL1/D/1045"/>
    <s v="14-07-2026"/>
    <s v="SF"/>
    <s v="PP/PE Fabric"/>
    <s v="PP UL Fabric"/>
    <x v="2"/>
    <s v="PP UL Fabric Without UV"/>
    <n v="718"/>
    <n v="103743.82"/>
    <s v="PP UL Fabric Without UV"/>
    <n v="0"/>
    <n v="9"/>
    <n v="9336.94"/>
    <n v="9"/>
    <n v="9336.94"/>
    <n v="0"/>
    <n v="0"/>
    <n v="0"/>
    <n v="18673.88"/>
    <n v="0"/>
    <s v="24AAACO3087C1ZT"/>
    <s v="Kgs"/>
    <n v="39269080"/>
    <s v="Rs."/>
    <n v="1"/>
    <n v="0"/>
  </r>
  <r>
    <s v="14-07-2026"/>
    <x v="0"/>
    <s v="R.M.P."/>
    <s v="RM 394"/>
    <s v="Purchase Withinstate - Raw Material"/>
    <s v="PIL1/D/1045"/>
    <s v="14-07-2026"/>
    <s v="SF"/>
    <s v="PP/PE Fabric"/>
    <s v="PP Lam Fabric"/>
    <x v="1"/>
    <s v="PP Lam Fabric With UV"/>
    <n v="1190"/>
    <n v="176703.1"/>
    <s v="PP Lam Fabric With UV"/>
    <n v="0"/>
    <n v="9"/>
    <n v="15903.28"/>
    <n v="9"/>
    <n v="15903.28"/>
    <n v="0"/>
    <n v="0"/>
    <n v="0"/>
    <n v="31806.560000000001"/>
    <n v="0"/>
    <s v="24AAACO3087C1ZT"/>
    <s v="Kgs"/>
    <n v="63053300"/>
    <s v="Rs."/>
    <n v="1"/>
    <n v="0"/>
  </r>
  <r>
    <s v="14-07-2026"/>
    <x v="0"/>
    <s v="R.M.P."/>
    <s v="RM 394"/>
    <s v="Purchase Withinstate - Raw Material"/>
    <s v="PIL1/D/1045"/>
    <s v="14-07-2026"/>
    <s v="SF"/>
    <s v="Webbing"/>
    <s v="PP Webbing"/>
    <x v="4"/>
    <s v="Webbing"/>
    <n v="66"/>
    <n v="9866.34"/>
    <s v="Webbing"/>
    <n v="0"/>
    <n v="9"/>
    <n v="887.97"/>
    <n v="9"/>
    <n v="887.97"/>
    <n v="0"/>
    <n v="0"/>
    <n v="0"/>
    <n v="1775.94"/>
    <n v="0"/>
    <s v="24AAACO3087C1ZT"/>
    <s v="Kgs"/>
    <n v="3926908"/>
    <s v="Rs."/>
    <n v="1"/>
    <n v="0"/>
  </r>
  <r>
    <s v="14-07-2026"/>
    <x v="1"/>
    <s v="General Purchase"/>
    <s v="GNCN 268"/>
    <s v="Purchase Withinstate- Stores, Spares &amp; Consumable"/>
    <s v="PPL/D/354"/>
    <s v="14-07-2026"/>
    <s v="Stores/Spares"/>
    <s v="MS Structure Items"/>
    <s v="Spares &amp; Stores"/>
    <x v="0"/>
    <s v="MS Pipe 4  C Class"/>
    <n v="74"/>
    <n v="3552"/>
    <s v="MS Pipe 4  C Class"/>
    <n v="4187.8100000000004"/>
    <n v="9"/>
    <n v="319.68"/>
    <n v="9"/>
    <n v="319.68"/>
    <n v="0"/>
    <n v="0"/>
    <n v="0"/>
    <n v="639.36"/>
    <n v="0"/>
    <s v="24AAFCP2956A1ZR"/>
    <s v="Kgs"/>
    <n v="73063090"/>
    <s v="Rs."/>
    <n v="1"/>
    <n v="0"/>
  </r>
  <r>
    <s v="14-07-2026"/>
    <x v="1"/>
    <s v="R.M.P."/>
    <s v="RM 389"/>
    <s v="Purchase Withinstate - Raw Material"/>
    <s v="PPL/D/353"/>
    <s v="14-07-2026"/>
    <s v="SF"/>
    <s v="PP/PE Fabric"/>
    <s v="PP UL Fabric"/>
    <x v="2"/>
    <s v="PP UL Fabric With UV"/>
    <n v="1071.5"/>
    <n v="165803.91"/>
    <s v="PP UL Fabric With UV"/>
    <n v="206907.32"/>
    <n v="9"/>
    <n v="14922.35"/>
    <n v="9"/>
    <n v="14922.35"/>
    <n v="0"/>
    <n v="0"/>
    <n v="0"/>
    <n v="29844.7"/>
    <n v="0"/>
    <s v="24AAFCP2956A1ZR"/>
    <s v="Kgs"/>
    <n v="39269080"/>
    <s v="Rs."/>
    <n v="1"/>
    <n v="0"/>
  </r>
  <r>
    <s v="14-07-2026"/>
    <x v="1"/>
    <s v="R.M.P."/>
    <s v="RM 389"/>
    <s v="Purchase Withinstate - Raw Material"/>
    <s v="PPL/D/353"/>
    <s v="14-07-2026"/>
    <s v="SF"/>
    <s v="Films All (SF)"/>
    <s v="PE Film"/>
    <x v="6"/>
    <s v="LDPE/LLDPE Film"/>
    <n v="38"/>
    <n v="9690"/>
    <s v="LDPE/LLDPE Film"/>
    <n v="0"/>
    <n v="9"/>
    <n v="872.1"/>
    <n v="9"/>
    <n v="872.1"/>
    <n v="0"/>
    <n v="0"/>
    <n v="0"/>
    <n v="1744.2"/>
    <n v="0"/>
    <s v="24AAFCP2956A1ZR"/>
    <s v="Kgs"/>
    <n v="3920101"/>
    <s v="Rs."/>
    <n v="1"/>
    <n v="0"/>
  </r>
  <r>
    <s v="16-07-2026"/>
    <x v="0"/>
    <s v="General Purchase"/>
    <s v="GNCN 270"/>
    <s v="Purchase Withinstate- Stores, Spares &amp; Consumable"/>
    <s v="PIL1/D/1060"/>
    <s v="15-07-2026"/>
    <s v="Stores/Spares"/>
    <s v="MS Structure Items"/>
    <s v="Spares &amp; Stores"/>
    <x v="0"/>
    <s v="MS Pipe 4  C Class"/>
    <n v="349"/>
    <n v="16752"/>
    <s v="MS Pipe 4  C Class"/>
    <n v="19750.61"/>
    <n v="9"/>
    <n v="1507.68"/>
    <n v="9"/>
    <n v="1507.68"/>
    <n v="0"/>
    <n v="0"/>
    <n v="0"/>
    <n v="3015.36"/>
    <n v="0"/>
    <s v="24AAACO3087C1ZT"/>
    <s v="Kgs"/>
    <n v="73063090"/>
    <s v="Rs."/>
    <n v="1"/>
    <n v="0"/>
  </r>
  <r>
    <s v="16-07-2026"/>
    <x v="0"/>
    <s v="General Purchase"/>
    <s v="GNCN 272"/>
    <s v="Purchase Withinstate- Stores, Spares &amp; Consumable"/>
    <s v="PIL1/D/1071"/>
    <s v="16-07-2026"/>
    <s v="Stores/Spares"/>
    <s v="MS Structure Items"/>
    <s v="Spares &amp; Stores"/>
    <x v="0"/>
    <s v="MS Pipe 4  C Class"/>
    <n v="366"/>
    <n v="17568"/>
    <s v="MS Pipe 4  C Class"/>
    <n v="20712.669999999998"/>
    <n v="9"/>
    <n v="1581.12"/>
    <n v="9"/>
    <n v="1581.12"/>
    <n v="0"/>
    <n v="0"/>
    <n v="0"/>
    <n v="3162.24"/>
    <n v="0"/>
    <s v="24AAACO3087C1ZT"/>
    <s v="Kgs"/>
    <n v="73063090"/>
    <s v="Rs."/>
    <n v="1"/>
    <n v="0"/>
  </r>
  <r>
    <s v="16-07-2026"/>
    <x v="0"/>
    <s v="R.M.P."/>
    <s v="RM 396"/>
    <s v="Purchase Withinstate - Raw Material"/>
    <s v="PIL1/D/1061"/>
    <s v="15-07-2026"/>
    <s v="SF"/>
    <s v="Liners"/>
    <s v="LDPE/LLDPE Bags"/>
    <x v="3"/>
    <s v="LDPE/LLDPE Bags/Liner"/>
    <n v="733"/>
    <n v="136909.74"/>
    <s v="LDPE/LLDPE Bags/Liner"/>
    <n v="614023.32999999996"/>
    <n v="9"/>
    <n v="12321.88"/>
    <n v="9"/>
    <n v="12321.88"/>
    <n v="0"/>
    <n v="0"/>
    <n v="0"/>
    <n v="24643.759999999998"/>
    <n v="0"/>
    <s v="24AAACO3087C1ZT"/>
    <s v="Kgs"/>
    <n v="39200000"/>
    <s v="Rs."/>
    <n v="1"/>
    <n v="0"/>
  </r>
  <r>
    <s v="16-07-2026"/>
    <x v="0"/>
    <s v="R.M.P."/>
    <s v="RM 396"/>
    <s v="Purchase Withinstate - Raw Material"/>
    <s v="PIL1/D/1061"/>
    <s v="15-07-2026"/>
    <s v="SF"/>
    <s v="PP/PE Fabric"/>
    <s v="PP UL Fabric"/>
    <x v="2"/>
    <s v="PP UL Fabric With UV"/>
    <n v="865"/>
    <n v="124983.85"/>
    <s v="PP UL Fabric With UV"/>
    <n v="0"/>
    <n v="9"/>
    <n v="11248.55"/>
    <n v="9"/>
    <n v="11248.55"/>
    <n v="0"/>
    <n v="0"/>
    <n v="0"/>
    <n v="22497.1"/>
    <n v="0"/>
    <s v="24AAACO3087C1ZT"/>
    <s v="Kgs"/>
    <n v="39269080"/>
    <s v="Rs."/>
    <n v="1"/>
    <n v="0"/>
  </r>
  <r>
    <s v="16-07-2026"/>
    <x v="0"/>
    <s v="R.M.P."/>
    <s v="RM 396"/>
    <s v="Purchase Withinstate - Raw Material"/>
    <s v="PIL1/D/1061"/>
    <s v="15-07-2026"/>
    <s v="SF"/>
    <s v="Webbing"/>
    <s v="PP Webbing"/>
    <x v="4"/>
    <s v="Webbing"/>
    <n v="910.3"/>
    <n v="133349.85"/>
    <s v="Webbing"/>
    <n v="0"/>
    <n v="9"/>
    <n v="12001.49"/>
    <n v="9"/>
    <n v="12001.49"/>
    <n v="0"/>
    <n v="0"/>
    <n v="0"/>
    <n v="24002.98"/>
    <n v="0"/>
    <s v="24AAACO3087C1ZT"/>
    <s v="Kgs"/>
    <n v="3926908"/>
    <s v="Rs."/>
    <n v="1"/>
    <n v="0"/>
  </r>
  <r>
    <s v="16-07-2026"/>
    <x v="0"/>
    <s v="R.M.P."/>
    <s v="RM 396"/>
    <s v="Purchase Withinstate - Raw Material"/>
    <s v="PIL1/D/1061"/>
    <s v="15-07-2026"/>
    <s v="SF"/>
    <s v="Webbing"/>
    <s v="PP Webbing"/>
    <x v="4"/>
    <s v="Webbing"/>
    <n v="839.9"/>
    <n v="125556.65"/>
    <s v="Webbing"/>
    <n v="0"/>
    <n v="9"/>
    <n v="11300.1"/>
    <n v="9"/>
    <n v="11300.1"/>
    <n v="0"/>
    <n v="0"/>
    <n v="0"/>
    <n v="22600.2"/>
    <n v="0"/>
    <s v="24AAACO3087C1ZT"/>
    <s v="Kgs"/>
    <n v="3926908"/>
    <s v="Rs."/>
    <n v="1"/>
    <n v="0"/>
  </r>
  <r>
    <s v="16-07-2026"/>
    <x v="0"/>
    <s v="R.M.P."/>
    <s v="RM 397"/>
    <s v="Purchase Withinstate - Raw Material"/>
    <s v="PIL1/D/1057"/>
    <s v="15-07-2026"/>
    <s v="SF"/>
    <s v="PP/PE Fabric"/>
    <s v="PP UL Fabric"/>
    <x v="2"/>
    <s v="PP UL Fabric With UV"/>
    <n v="4938"/>
    <n v="713491.62"/>
    <s v="PP UL Fabric With UV"/>
    <n v="1763092.96"/>
    <n v="9"/>
    <n v="64214.25"/>
    <n v="9"/>
    <n v="64214.25"/>
    <n v="0"/>
    <n v="0"/>
    <n v="0"/>
    <n v="128428.5"/>
    <n v="0"/>
    <s v="24AAACO3087C1ZT"/>
    <s v="Kgs"/>
    <n v="39269080"/>
    <s v="Rs."/>
    <n v="1"/>
    <n v="0"/>
  </r>
  <r>
    <s v="16-07-2026"/>
    <x v="0"/>
    <s v="R.M.P."/>
    <s v="RM 397"/>
    <s v="Purchase Withinstate - Raw Material"/>
    <s v="PIL1/D/1057"/>
    <s v="15-07-2026"/>
    <s v="SF"/>
    <s v="PP/PE Fabric"/>
    <s v="PP UL Fabric"/>
    <x v="2"/>
    <s v="PP UL Fabric With UV"/>
    <n v="891"/>
    <n v="131413.59"/>
    <s v="PP UL Fabric With UV"/>
    <n v="0"/>
    <n v="9"/>
    <n v="11827.22"/>
    <n v="9"/>
    <n v="11827.22"/>
    <n v="0"/>
    <n v="0"/>
    <n v="0"/>
    <n v="23654.44"/>
    <n v="0"/>
    <s v="24AAACO3087C1ZT"/>
    <s v="Kgs"/>
    <n v="39269080"/>
    <s v="Rs."/>
    <n v="1"/>
    <n v="0"/>
  </r>
  <r>
    <s v="16-07-2026"/>
    <x v="0"/>
    <s v="R.M.P."/>
    <s v="RM 397"/>
    <s v="Purchase Withinstate - Raw Material"/>
    <s v="PIL1/D/1057"/>
    <s v="15-07-2026"/>
    <s v="SF"/>
    <s v="PP/PE Fabric"/>
    <s v="PP UL Fabric"/>
    <x v="2"/>
    <s v="PP UL Fabric With UV"/>
    <n v="2916"/>
    <n v="427164.84"/>
    <s v="PP UL Fabric With UV"/>
    <n v="0"/>
    <n v="9"/>
    <n v="38444.839999999997"/>
    <n v="9"/>
    <n v="38444.839999999997"/>
    <n v="0"/>
    <n v="0"/>
    <n v="0"/>
    <n v="76889.679999999993"/>
    <n v="0"/>
    <s v="24AAACO3087C1ZT"/>
    <s v="Kgs"/>
    <n v="39269080"/>
    <s v="Rs."/>
    <n v="1"/>
    <n v="0"/>
  </r>
  <r>
    <s v="16-07-2026"/>
    <x v="0"/>
    <s v="R.M.P."/>
    <s v="RM 397"/>
    <s v="Purchase Withinstate - Raw Material"/>
    <s v="PIL1/D/1057"/>
    <s v="15-07-2026"/>
    <s v="SF"/>
    <s v="PP/PE Fabric"/>
    <s v="PP Lam Fabric"/>
    <x v="1"/>
    <s v="PP Lam Fabric With UV"/>
    <n v="486"/>
    <n v="72166.14"/>
    <s v="PP Lam Fabric With UV"/>
    <n v="0"/>
    <n v="9"/>
    <n v="6494.95"/>
    <n v="9"/>
    <n v="6494.95"/>
    <n v="0"/>
    <n v="0"/>
    <n v="0"/>
    <n v="12989.9"/>
    <n v="0"/>
    <s v="24AAACO3087C1ZT"/>
    <s v="Kgs"/>
    <n v="63053300"/>
    <s v="Rs."/>
    <n v="1"/>
    <n v="0"/>
  </r>
  <r>
    <s v="16-07-2026"/>
    <x v="0"/>
    <s v="R.M.P."/>
    <s v="RM 397"/>
    <s v="Purchase Withinstate - Raw Material"/>
    <s v="PIL1/D/1057"/>
    <s v="15-07-2026"/>
    <s v="SF"/>
    <s v="PP/PE Fabric"/>
    <s v="PP Lam Fabric"/>
    <x v="1"/>
    <s v="PP Lam Fabric With UV"/>
    <n v="1032"/>
    <n v="151177.68"/>
    <s v="PP Lam Fabric With UV"/>
    <n v="0"/>
    <n v="9"/>
    <n v="13605.99"/>
    <n v="9"/>
    <n v="13605.99"/>
    <n v="0"/>
    <n v="0"/>
    <n v="0"/>
    <n v="27211.98"/>
    <n v="0"/>
    <s v="24AAACO3087C1ZT"/>
    <s v="Kgs"/>
    <n v="63053300"/>
    <s v="Rs."/>
    <n v="1"/>
    <n v="0"/>
  </r>
  <r>
    <s v="16-07-2026"/>
    <x v="0"/>
    <s v="R.M.P."/>
    <s v="RM 399"/>
    <s v="Purchase Withinstate - Raw Material"/>
    <s v="PIL1/D/1070"/>
    <s v="16-07-2026"/>
    <s v="SF"/>
    <s v="PP/PE Fabric"/>
    <s v="PP UL Fabric"/>
    <x v="2"/>
    <s v="PP UL Fabric With UV"/>
    <n v="1708"/>
    <n v="250204.92"/>
    <s v="PP UL Fabric With UV"/>
    <n v="1144891.02"/>
    <n v="9"/>
    <n v="22518.44"/>
    <n v="9"/>
    <n v="22518.44"/>
    <n v="0"/>
    <n v="0"/>
    <n v="0"/>
    <n v="45036.88"/>
    <n v="0"/>
    <s v="24AAACO3087C1ZT"/>
    <s v="Kgs"/>
    <n v="39269080"/>
    <s v="Rs."/>
    <n v="1"/>
    <n v="0"/>
  </r>
  <r>
    <s v="16-07-2026"/>
    <x v="0"/>
    <s v="R.M.P."/>
    <s v="RM 399"/>
    <s v="Purchase Withinstate - Raw Material"/>
    <s v="PIL1/D/1070"/>
    <s v="16-07-2026"/>
    <s v="SF"/>
    <s v="PP/PE Fabric"/>
    <s v="PP UL Fabric"/>
    <x v="2"/>
    <s v="PP UL Fabric With UV"/>
    <n v="4791"/>
    <n v="692251.59"/>
    <s v="PP UL Fabric With UV"/>
    <n v="0"/>
    <n v="9"/>
    <n v="62302.64"/>
    <n v="9"/>
    <n v="62302.64"/>
    <n v="0"/>
    <n v="0"/>
    <n v="0"/>
    <n v="124605.28"/>
    <n v="0"/>
    <s v="24AAACO3087C1ZT"/>
    <s v="Kgs"/>
    <n v="39269080"/>
    <s v="Rs."/>
    <n v="1"/>
    <n v="0"/>
  </r>
  <r>
    <s v="16-07-2026"/>
    <x v="0"/>
    <s v="R.M.P."/>
    <s v="RM 399"/>
    <s v="Purchase Withinstate - Raw Material"/>
    <s v="PIL1/D/1070"/>
    <s v="16-07-2026"/>
    <s v="SF"/>
    <s v="PP/PE Fabric"/>
    <s v="PP UL Fabric"/>
    <x v="2"/>
    <s v="PP UL Fabric With UV"/>
    <n v="194"/>
    <n v="28613.06"/>
    <s v="PP UL Fabric With UV"/>
    <n v="0"/>
    <n v="9"/>
    <n v="2575.1799999999998"/>
    <n v="9"/>
    <n v="2575.1799999999998"/>
    <n v="0"/>
    <n v="0"/>
    <n v="0"/>
    <n v="5150.3599999999997"/>
    <n v="0"/>
    <s v="24AAACO3087C1ZT"/>
    <s v="Kgs"/>
    <n v="39269080"/>
    <s v="Rs."/>
    <n v="1"/>
    <n v="0"/>
  </r>
  <r>
    <s v="16-07-2026"/>
    <x v="0"/>
    <s v="R.M.P."/>
    <s v="RM 400"/>
    <s v="Purchase Withinstate - Raw Material"/>
    <s v="PIL1/D/1069"/>
    <s v="16-07-2026"/>
    <s v="SF"/>
    <s v="PP/PE Fabric"/>
    <s v="PP UL Fabric"/>
    <x v="2"/>
    <s v="PP UL Fabric With UV"/>
    <n v="1443"/>
    <n v="208499.07"/>
    <s v="PP UL Fabric With UV"/>
    <n v="245820.41"/>
    <n v="9"/>
    <n v="18764.919999999998"/>
    <n v="9"/>
    <n v="18764.919999999998"/>
    <n v="0"/>
    <n v="0"/>
    <n v="0"/>
    <n v="37529.839999999997"/>
    <n v="0"/>
    <s v="24AAACO3087C1ZT"/>
    <s v="Kgs"/>
    <n v="39269080"/>
    <s v="Rs."/>
    <n v="1"/>
    <n v="0"/>
  </r>
  <r>
    <s v="16-07-2026"/>
    <x v="0"/>
    <s v="R.M.P."/>
    <s v="RM 401"/>
    <s v="Purchase Withinstate - Raw Material"/>
    <s v="PIL1/D/1063"/>
    <s v="15-07-2026"/>
    <s v="RM Consumables"/>
    <s v="Ink"/>
    <s v="Thinner"/>
    <x v="12"/>
    <s v="Thinner Vyankatesh Thinner"/>
    <n v="49"/>
    <n v="5292"/>
    <s v="Thinner Vyankatesh Thinner"/>
    <n v="6239.27"/>
    <n v="9"/>
    <n v="476.28"/>
    <n v="9"/>
    <n v="476.28"/>
    <n v="0"/>
    <n v="0"/>
    <n v="0"/>
    <n v="952.56"/>
    <n v="0"/>
    <s v="24AAACO3087C1ZT"/>
    <s v="Kgs"/>
    <n v="38140010"/>
    <s v="Rs."/>
    <n v="1"/>
    <n v="0"/>
  </r>
  <r>
    <s v="16-07-2026"/>
    <x v="0"/>
    <s v="R.M.P."/>
    <s v="RM 402"/>
    <s v="Purchase Withinstate - Raw Material"/>
    <s v="PIL1/D/1072"/>
    <s v="16-07-2026"/>
    <s v="SF"/>
    <s v="Webbing"/>
    <s v="PP Webbing"/>
    <x v="4"/>
    <s v="Webbing"/>
    <n v="768.5"/>
    <n v="112577.57"/>
    <s v="Webbing"/>
    <n v="1219367.46"/>
    <n v="9"/>
    <n v="10131.98"/>
    <n v="9"/>
    <n v="10131.98"/>
    <n v="0"/>
    <n v="0"/>
    <n v="0"/>
    <n v="20263.96"/>
    <n v="0"/>
    <s v="24AAACO3087C1ZT"/>
    <s v="Kgs"/>
    <n v="3926908"/>
    <s v="Rs."/>
    <n v="1"/>
    <n v="0"/>
  </r>
  <r>
    <s v="16-07-2026"/>
    <x v="0"/>
    <s v="R.M.P."/>
    <s v="RM 402"/>
    <s v="Purchase Withinstate - Raw Material"/>
    <s v="PIL1/D/1072"/>
    <s v="16-07-2026"/>
    <s v="SF"/>
    <s v="Webbing"/>
    <s v="PP Webbing"/>
    <x v="4"/>
    <s v="Webbing"/>
    <n v="1506.3"/>
    <n v="225176.79"/>
    <s v="Webbing"/>
    <n v="0"/>
    <n v="9"/>
    <n v="20265.91"/>
    <n v="9"/>
    <n v="20265.91"/>
    <n v="0"/>
    <n v="0"/>
    <n v="0"/>
    <n v="40531.82"/>
    <n v="0"/>
    <s v="24AAACO3087C1ZT"/>
    <s v="Kgs"/>
    <n v="3926908"/>
    <s v="Rs."/>
    <n v="1"/>
    <n v="0"/>
  </r>
  <r>
    <s v="16-07-2026"/>
    <x v="0"/>
    <s v="R.M.P."/>
    <s v="RM 402"/>
    <s v="Purchase Withinstate - Raw Material"/>
    <s v="PIL1/D/1072"/>
    <s v="16-07-2026"/>
    <s v="SF"/>
    <s v="Liners"/>
    <s v="LDPE/LLDPE Bags"/>
    <x v="3"/>
    <s v="LDPE/LLDPE Bags/Liner"/>
    <n v="1440"/>
    <n v="268963.20000000001"/>
    <s v="LDPE/LLDPE Bags/Liner"/>
    <n v="0"/>
    <n v="9"/>
    <n v="24206.69"/>
    <n v="9"/>
    <n v="24206.69"/>
    <n v="0"/>
    <n v="0"/>
    <n v="0"/>
    <n v="48413.38"/>
    <n v="0"/>
    <s v="24AAACO3087C1ZT"/>
    <s v="Kgs"/>
    <n v="39200000"/>
    <s v="Rs."/>
    <n v="1"/>
    <n v="0"/>
  </r>
  <r>
    <s v="16-07-2026"/>
    <x v="0"/>
    <s v="R.M.P."/>
    <s v="RM 402"/>
    <s v="Purchase Withinstate - Raw Material"/>
    <s v="PIL1/D/1072"/>
    <s v="16-07-2026"/>
    <s v="SF"/>
    <s v="PP/PE Fabric"/>
    <s v="PP UL Fabric"/>
    <x v="2"/>
    <s v="PP UL Fabric With UV"/>
    <n v="2000"/>
    <n v="288980"/>
    <s v="PP UL Fabric With UV"/>
    <n v="0"/>
    <n v="9"/>
    <n v="26008.2"/>
    <n v="9"/>
    <n v="26008.2"/>
    <n v="0"/>
    <n v="0"/>
    <n v="0"/>
    <n v="52016.4"/>
    <n v="0"/>
    <s v="24AAACO3087C1ZT"/>
    <s v="Kgs"/>
    <n v="39269080"/>
    <s v="Rs."/>
    <n v="1"/>
    <n v="0"/>
  </r>
  <r>
    <s v="16-07-2026"/>
    <x v="0"/>
    <s v="R.M.P."/>
    <s v="RM 402"/>
    <s v="Purchase Withinstate - Raw Material"/>
    <s v="PIL1/D/1072"/>
    <s v="16-07-2026"/>
    <s v="SF"/>
    <s v="PP/PE Fabric"/>
    <s v="PP Lam Fabric"/>
    <x v="1"/>
    <s v="PP Lam Fabric With UV"/>
    <n v="933"/>
    <n v="138541.17000000001"/>
    <s v="PP Lam Fabric With UV"/>
    <n v="0"/>
    <n v="9"/>
    <n v="12468.71"/>
    <n v="9"/>
    <n v="12468.71"/>
    <n v="0"/>
    <n v="0"/>
    <n v="0"/>
    <n v="24937.42"/>
    <n v="0"/>
    <s v="24AAACO3087C1ZT"/>
    <s v="Kgs"/>
    <n v="63053300"/>
    <s v="Rs."/>
    <n v="1"/>
    <n v="0"/>
  </r>
  <r>
    <s v="16-07-2026"/>
    <x v="12"/>
    <s v="R.M.P."/>
    <s v="RM 395"/>
    <s v="Purchase Withinstate - Traded Goods"/>
    <s v="PIL2/D/380"/>
    <s v="15-07-2026"/>
    <s v="FG"/>
    <s v="FIBC Bags"/>
    <s v="FIBC Bags"/>
    <x v="11"/>
    <s v="FIBC Bags With UV Without Liner"/>
    <n v="2365"/>
    <n v="486787.95"/>
    <s v="FIBC Bags With UV Without Liner"/>
    <n v="1868171.49"/>
    <n v="9"/>
    <n v="43810.92"/>
    <n v="9"/>
    <n v="43810.92"/>
    <n v="0"/>
    <n v="0"/>
    <n v="0"/>
    <n v="87621.84"/>
    <n v="0"/>
    <s v="24AAACO3087C1ZT"/>
    <s v="Kgs"/>
    <n v="63053200"/>
    <s v="Rs."/>
    <n v="1"/>
    <n v="0"/>
  </r>
  <r>
    <s v="16-07-2026"/>
    <x v="12"/>
    <s v="R.M.P."/>
    <s v="RM 395"/>
    <s v="Purchase Withinstate - Traded Goods"/>
    <s v="PIL2/D/380"/>
    <s v="15-07-2026"/>
    <s v="FG"/>
    <s v="FIBC Bags"/>
    <s v="FIBC Bags"/>
    <x v="11"/>
    <s v="FIBC Bags With UV Without Liner"/>
    <n v="2041"/>
    <n v="400321.74"/>
    <s v="FIBC Bags With UV Without Liner"/>
    <n v="0"/>
    <n v="9"/>
    <n v="36028.959999999999"/>
    <n v="9"/>
    <n v="36028.959999999999"/>
    <n v="0"/>
    <n v="0"/>
    <n v="0"/>
    <n v="72057.919999999998"/>
    <n v="0"/>
    <s v="24AAACO3087C1ZT"/>
    <s v="Kgs"/>
    <n v="63053200"/>
    <s v="Rs."/>
    <n v="1"/>
    <n v="0"/>
  </r>
  <r>
    <s v="16-07-2026"/>
    <x v="12"/>
    <s v="R.M.P."/>
    <s v="RM 395"/>
    <s v="Purchase Withinstate - Traded Goods"/>
    <s v="PIL2/D/380"/>
    <s v="15-07-2026"/>
    <s v="FG"/>
    <s v="FIBC Bags"/>
    <s v="FIBC Bags"/>
    <x v="11"/>
    <s v="FIBC Bags With UV Without Liner"/>
    <n v="3590"/>
    <n v="697429.3"/>
    <s v="FIBC Bags With UV Without Liner"/>
    <n v="0"/>
    <n v="9"/>
    <n v="62768.639999999999"/>
    <n v="9"/>
    <n v="62768.639999999999"/>
    <n v="0"/>
    <n v="0"/>
    <n v="0"/>
    <n v="125537.28"/>
    <n v="0"/>
    <s v="24AAACO3087C1ZT"/>
    <s v="Kgs"/>
    <n v="63053200"/>
    <s v="Rs."/>
    <n v="1"/>
    <n v="0"/>
  </r>
  <r>
    <s v="16-07-2026"/>
    <x v="1"/>
    <s v="General Purchase"/>
    <s v="GNCN 271"/>
    <s v="Purchase Withinstate- Stores, Spares &amp; Consumable"/>
    <s v="PPL/D/366"/>
    <s v="16-07-2026"/>
    <s v="Stores/Spares"/>
    <s v="MS Structure Items"/>
    <s v="Spares &amp; Stores"/>
    <x v="0"/>
    <s v="MS Pipe 4  C Class"/>
    <n v="26"/>
    <n v="1248"/>
    <s v="MS Pipe 4  C Class"/>
    <n v="1471.39"/>
    <n v="9"/>
    <n v="112.32"/>
    <n v="9"/>
    <n v="112.32"/>
    <n v="0"/>
    <n v="0"/>
    <n v="0"/>
    <n v="224.64"/>
    <n v="0"/>
    <s v="24AAFCP2956A1ZR"/>
    <s v="Kgs"/>
    <n v="73063090"/>
    <s v="Rs."/>
    <n v="1"/>
    <n v="0"/>
  </r>
  <r>
    <s v="16-07-2026"/>
    <x v="1"/>
    <s v="R.M.P."/>
    <s v="RM 398"/>
    <s v="Purchase Withinstate - Raw Material"/>
    <s v="PPL/D/365"/>
    <s v="16-07-2026"/>
    <s v="SF"/>
    <s v="PP/PE Fabric"/>
    <s v="PP UL Fabric"/>
    <x v="2"/>
    <s v="PP UL Fabric With UV"/>
    <n v="554.1"/>
    <n v="85741.43"/>
    <s v="PP UL Fabric With UV"/>
    <n v="186418.21"/>
    <n v="9"/>
    <n v="7716.73"/>
    <n v="9"/>
    <n v="7716.73"/>
    <n v="0"/>
    <n v="0"/>
    <n v="0"/>
    <n v="15433.46"/>
    <n v="0"/>
    <s v="24AAFCP2956A1ZR"/>
    <s v="Kgs"/>
    <n v="39269080"/>
    <s v="Rs."/>
    <n v="1"/>
    <n v="0"/>
  </r>
  <r>
    <s v="16-07-2026"/>
    <x v="1"/>
    <s v="R.M.P."/>
    <s v="RM 398"/>
    <s v="Purchase Withinstate - Raw Material"/>
    <s v="PPL/D/365"/>
    <s v="16-07-2026"/>
    <s v="FG"/>
    <s v="FIBC WIP"/>
    <s v="FIBC WIP"/>
    <x v="5"/>
    <s v="PP Woven Fabric"/>
    <n v="360"/>
    <n v="55706.400000000001"/>
    <s v="FIBC WIP"/>
    <n v="0"/>
    <n v="9"/>
    <n v="5013.58"/>
    <n v="9"/>
    <n v="5013.58"/>
    <n v="0"/>
    <n v="0"/>
    <n v="0"/>
    <n v="10027.16"/>
    <n v="0"/>
    <s v="24AAFCP2956A1ZR"/>
    <s v="Kgs"/>
    <n v="39269080"/>
    <s v="Rs."/>
    <n v="1"/>
    <n v="0"/>
  </r>
  <r>
    <s v="16-07-2026"/>
    <x v="1"/>
    <s v="R.M.P."/>
    <s v="RM 398"/>
    <s v="Purchase Withinstate - Raw Material"/>
    <s v="PPL/D/365"/>
    <s v="16-07-2026"/>
    <s v="SF"/>
    <s v="PP/PE Fabric"/>
    <s v="PP Lam Fabric"/>
    <x v="1"/>
    <s v="PP Lam Fabric With UV"/>
    <n v="105"/>
    <n v="16667.7"/>
    <s v="PP Lam Fabric With UV"/>
    <n v="0"/>
    <n v="9"/>
    <n v="1500.09"/>
    <n v="9"/>
    <n v="1500.09"/>
    <n v="0"/>
    <n v="0"/>
    <n v="0"/>
    <n v="3000.18"/>
    <n v="0"/>
    <s v="24AAFCP2956A1ZR"/>
    <s v="Kgs"/>
    <n v="63053300"/>
    <s v="Rs."/>
    <n v="1"/>
    <n v="0"/>
  </r>
  <r>
    <s v="17-07-2026"/>
    <x v="5"/>
    <s v="Branch Transfer In"/>
    <s v="RM 403"/>
    <s v="Branch Transfer In - Raw Material"/>
    <s v="HPBL/DC/21"/>
    <s v="16-07-2026"/>
    <s v="SF"/>
    <s v="Liners"/>
    <s v="LDPE/LLDPE Bags"/>
    <x v="7"/>
    <s v="DOC Pouch"/>
    <n v="448.5"/>
    <n v="75298.67"/>
    <s v="DOC Pouch"/>
    <n v="319266.59000000003"/>
    <n v="0"/>
    <n v="0"/>
    <n v="0"/>
    <n v="0"/>
    <n v="0"/>
    <n v="0"/>
    <n v="0"/>
    <n v="0"/>
    <n v="0"/>
    <s v="24AABCG1282C2Z6"/>
    <s v="Kgs"/>
    <n v="39232100"/>
    <s v="Rs."/>
    <n v="1"/>
    <n v="0"/>
  </r>
  <r>
    <s v="17-07-2026"/>
    <x v="5"/>
    <s v="Branch Transfer In"/>
    <s v="RM 403"/>
    <s v="Branch Transfer In - Raw Material"/>
    <s v="HPBL/DC/21"/>
    <s v="16-07-2026"/>
    <s v="SF"/>
    <s v="PP/PE Fabric"/>
    <s v="PP UL Fabric"/>
    <x v="2"/>
    <s v="PP UL Fabric With UV"/>
    <n v="1559"/>
    <n v="243967.91"/>
    <s v="PP UL Fabric With UV"/>
    <n v="0"/>
    <n v="0"/>
    <n v="0"/>
    <n v="0"/>
    <n v="0"/>
    <n v="0"/>
    <n v="0"/>
    <n v="0"/>
    <n v="0"/>
    <n v="0"/>
    <s v="24AABCG1282C2Z6"/>
    <s v="Kgs"/>
    <n v="39269080"/>
    <s v="Rs."/>
    <n v="1"/>
    <n v="0"/>
  </r>
  <r>
    <s v="17-07-2026"/>
    <x v="6"/>
    <s v="General Purchase"/>
    <s v="GNCN 273"/>
    <s v="Purchase Withinstate- Stores, Spares &amp; Consumable"/>
    <s v="KPV/D/446."/>
    <d v="2026-12-07T00:00:00"/>
    <s v="Stores/Spares"/>
    <s v="MS Structure Items"/>
    <s v="Spares &amp; Stores"/>
    <x v="0"/>
    <s v="MS Pipe 4  C Class"/>
    <n v="36"/>
    <n v="1728"/>
    <s v="MS Pipe 4  C Class"/>
    <n v="2037.31"/>
    <n v="9"/>
    <n v="155.52000000000001"/>
    <n v="9"/>
    <n v="155.52000000000001"/>
    <n v="0"/>
    <n v="0"/>
    <n v="0"/>
    <n v="311.04000000000002"/>
    <n v="0"/>
    <s v="24AAECK6307M1ZF"/>
    <s v="Kgs"/>
    <n v="73063090"/>
    <s v="Rs."/>
    <n v="1"/>
    <n v="0"/>
  </r>
  <r>
    <s v="17-07-2026"/>
    <x v="0"/>
    <s v="General Purchase"/>
    <s v="GNCN 274"/>
    <s v="Purchase Withinstate- Stores, Spares &amp; Consumable"/>
    <s v="PIL1/D/1084"/>
    <s v="17-07-2026"/>
    <s v="Stores/Spares"/>
    <s v="MS Structure Items"/>
    <s v="Spares &amp; Stores"/>
    <x v="0"/>
    <s v="MS Pipe 4  C Class"/>
    <n v="367"/>
    <n v="17616"/>
    <s v="MS Pipe 4  C Class"/>
    <n v="20769.259999999998"/>
    <n v="9"/>
    <n v="1585.44"/>
    <n v="9"/>
    <n v="1585.44"/>
    <n v="0"/>
    <n v="0"/>
    <n v="0"/>
    <n v="3170.88"/>
    <n v="0"/>
    <s v="24AAACO3087C1ZT"/>
    <s v="Kgs"/>
    <n v="73063090"/>
    <s v="Rs."/>
    <n v="1"/>
    <n v="0"/>
  </r>
  <r>
    <s v="17-07-2026"/>
    <x v="0"/>
    <s v="R.M.P."/>
    <s v="RM 404"/>
    <s v="Purchase Withinstate - Raw Material"/>
    <s v="PIL1/D/1079"/>
    <s v="17-07-2026"/>
    <s v="SF"/>
    <s v="PP/PE Fabric"/>
    <s v="PP UL Fabric"/>
    <x v="2"/>
    <s v="PP UL Fabric With UV"/>
    <n v="4705"/>
    <n v="679825.45"/>
    <s v="PP UL Fabric With UV"/>
    <n v="1359940.75"/>
    <n v="9"/>
    <n v="61184.29"/>
    <n v="9"/>
    <n v="61184.29"/>
    <n v="0"/>
    <n v="0"/>
    <n v="0"/>
    <n v="122368.58"/>
    <n v="0"/>
    <s v="24AAACO3087C1ZT"/>
    <s v="Kgs"/>
    <n v="39269080"/>
    <s v="Rs."/>
    <n v="1"/>
    <n v="0"/>
  </r>
  <r>
    <s v="17-07-2026"/>
    <x v="0"/>
    <s v="R.M.P."/>
    <s v="RM 404"/>
    <s v="Purchase Withinstate - Raw Material"/>
    <s v="PIL1/D/1079"/>
    <s v="17-07-2026"/>
    <s v="SF"/>
    <s v="PP/PE Fabric"/>
    <s v="PP UL Fabric"/>
    <x v="2"/>
    <s v="PP UL Fabric With UV"/>
    <n v="251"/>
    <n v="37019.99"/>
    <s v="PP UL Fabric With UV"/>
    <n v="0"/>
    <n v="9"/>
    <n v="3331.8"/>
    <n v="9"/>
    <n v="3331.8"/>
    <n v="0"/>
    <n v="0"/>
    <n v="0"/>
    <n v="6663.6"/>
    <n v="0"/>
    <s v="24AAACO3087C1ZT"/>
    <s v="Kgs"/>
    <n v="39269080"/>
    <s v="Rs."/>
    <n v="1"/>
    <n v="0"/>
  </r>
  <r>
    <s v="17-07-2026"/>
    <x v="0"/>
    <s v="R.M.P."/>
    <s v="RM 404"/>
    <s v="Purchase Withinstate - Raw Material"/>
    <s v="PIL1/D/1079"/>
    <s v="17-07-2026"/>
    <s v="SF"/>
    <s v="PP/PE Fabric"/>
    <s v="PP UL Fabric"/>
    <x v="2"/>
    <s v="PP UL Fabric With UV"/>
    <n v="1826"/>
    <n v="267490.74"/>
    <s v="PP UL Fabric With UV"/>
    <n v="0"/>
    <n v="9"/>
    <n v="24074.17"/>
    <n v="9"/>
    <n v="24074.17"/>
    <n v="0"/>
    <n v="0"/>
    <n v="0"/>
    <n v="48148.34"/>
    <n v="0"/>
    <s v="24AAACO3087C1ZT"/>
    <s v="Kgs"/>
    <n v="39269080"/>
    <s v="Rs."/>
    <n v="1"/>
    <n v="0"/>
  </r>
  <r>
    <s v="17-07-2026"/>
    <x v="0"/>
    <s v="R.M.P."/>
    <s v="RM 404"/>
    <s v="Purchase Withinstate - Raw Material"/>
    <s v="PIL1/D/1079"/>
    <s v="17-07-2026"/>
    <s v="SF"/>
    <s v="PP/PE Fabric"/>
    <s v="PP Lam Fabric"/>
    <x v="1"/>
    <s v="PP Lam Fabric With UV"/>
    <n v="815"/>
    <n v="119389.35"/>
    <s v="PP Lam Fabric With UV"/>
    <n v="0"/>
    <n v="9"/>
    <n v="10745.04"/>
    <n v="9"/>
    <n v="10745.04"/>
    <n v="0"/>
    <n v="0"/>
    <n v="0"/>
    <n v="21490.080000000002"/>
    <n v="0"/>
    <s v="24AAACO3087C1ZT"/>
    <s v="Kgs"/>
    <n v="63053300"/>
    <s v="Rs."/>
    <n v="1"/>
    <n v="0"/>
  </r>
  <r>
    <s v="17-07-2026"/>
    <x v="0"/>
    <s v="R.M.P."/>
    <s v="RM 404"/>
    <s v="Purchase Withinstate - Raw Material"/>
    <s v="PIL1/D/1079"/>
    <s v="17-07-2026"/>
    <s v="SF"/>
    <s v="PP/PE Fabric"/>
    <s v="PP Lam Fabric"/>
    <x v="1"/>
    <s v="PP Lam Fabric With UV"/>
    <n v="335"/>
    <n v="49744.15"/>
    <s v="PP Lam Fabric With UV"/>
    <n v="0"/>
    <n v="9"/>
    <n v="4476.97"/>
    <n v="9"/>
    <n v="4476.97"/>
    <n v="0"/>
    <n v="0"/>
    <n v="0"/>
    <n v="8953.94"/>
    <n v="0"/>
    <s v="24AAACO3087C1ZT"/>
    <s v="Kgs"/>
    <n v="63053300"/>
    <s v="Rs."/>
    <n v="1"/>
    <n v="0"/>
  </r>
  <r>
    <s v="17-07-2026"/>
    <x v="0"/>
    <s v="R.M.P."/>
    <s v="RM 405"/>
    <s v="Purchase Withinstate - Raw Material"/>
    <s v="PIL1/D/1077"/>
    <s v="16-07-2026"/>
    <s v="SF"/>
    <s v="PP/PE Fabric"/>
    <s v="PP UL Fabric"/>
    <x v="2"/>
    <s v="PP UL Fabric With UV"/>
    <n v="12"/>
    <n v="1757.88"/>
    <s v="PP UL Fabric With UV"/>
    <n v="2072.54"/>
    <n v="9"/>
    <n v="158.21"/>
    <n v="9"/>
    <n v="158.21"/>
    <n v="0"/>
    <n v="0"/>
    <n v="0"/>
    <n v="316.42"/>
    <n v="0"/>
    <s v="24AAACO3087C1ZT"/>
    <s v="Kgs"/>
    <n v="39269080"/>
    <s v="Rs."/>
    <n v="1"/>
    <n v="0"/>
  </r>
  <r>
    <s v="17-07-2026"/>
    <x v="0"/>
    <s v="R.M.P."/>
    <s v="RM 406"/>
    <s v="Purchase Withinstate - Raw Material"/>
    <s v="PIL1/D/1085"/>
    <s v="17-07-2026"/>
    <s v="SF"/>
    <s v="PP/PE Fabric"/>
    <s v="PP UL Fabric"/>
    <x v="2"/>
    <s v="PP UL Fabric With UV"/>
    <n v="2119"/>
    <n v="306174.31"/>
    <s v="PP UL Fabric With UV"/>
    <n v="951207.69"/>
    <n v="9"/>
    <n v="27555.69"/>
    <n v="9"/>
    <n v="27555.69"/>
    <n v="0"/>
    <n v="0"/>
    <n v="0"/>
    <n v="55111.38"/>
    <n v="0"/>
    <s v="24AAACO3087C1ZT"/>
    <s v="Kgs"/>
    <n v="39269080"/>
    <s v="Rs."/>
    <n v="1"/>
    <n v="0"/>
  </r>
  <r>
    <s v="17-07-2026"/>
    <x v="0"/>
    <s v="R.M.P."/>
    <s v="RM 406"/>
    <s v="Purchase Withinstate - Raw Material"/>
    <s v="PIL1/D/1085"/>
    <s v="17-07-2026"/>
    <s v="SF"/>
    <s v="Liners"/>
    <s v="LDPE/LLDPE Bags"/>
    <x v="3"/>
    <s v="LDPE/LLDPE Bags/Liner"/>
    <n v="1307"/>
    <n v="244121.46"/>
    <s v="LDPE/LLDPE Bags/Liner"/>
    <n v="0"/>
    <n v="9"/>
    <n v="21970.93"/>
    <n v="9"/>
    <n v="21970.93"/>
    <n v="0"/>
    <n v="0"/>
    <n v="0"/>
    <n v="43941.86"/>
    <n v="0"/>
    <s v="24AAACO3087C1ZT"/>
    <s v="Kgs"/>
    <n v="39200000"/>
    <s v="Rs."/>
    <n v="1"/>
    <n v="0"/>
  </r>
  <r>
    <s v="17-07-2026"/>
    <x v="0"/>
    <s v="R.M.P."/>
    <s v="RM 406"/>
    <s v="Purchase Withinstate - Raw Material"/>
    <s v="PIL1/D/1085"/>
    <s v="17-07-2026"/>
    <s v="SF"/>
    <s v="PP/PE Fabric"/>
    <s v="PP Lam Fabric"/>
    <x v="1"/>
    <s v="PP Lam Fabric With UV"/>
    <n v="700"/>
    <n v="106043"/>
    <s v="PP Lam Fabric With UV"/>
    <n v="0"/>
    <n v="9"/>
    <n v="9543.8700000000008"/>
    <n v="9"/>
    <n v="9543.8700000000008"/>
    <n v="0"/>
    <n v="0"/>
    <n v="0"/>
    <n v="19087.740000000002"/>
    <n v="0"/>
    <s v="24AAACO3087C1ZT"/>
    <s v="Kgs"/>
    <n v="63053300"/>
    <s v="Rs."/>
    <n v="1"/>
    <n v="0"/>
  </r>
  <r>
    <s v="17-07-2026"/>
    <x v="0"/>
    <s v="R.M.P."/>
    <s v="RM 406"/>
    <s v="Purchase Withinstate - Raw Material"/>
    <s v="PIL1/D/1085"/>
    <s v="17-07-2026"/>
    <s v="SF"/>
    <s v="Webbing"/>
    <s v="PP Webbing"/>
    <x v="4"/>
    <s v="Webbing"/>
    <n v="306.8"/>
    <n v="44943.13"/>
    <s v="Webbing"/>
    <n v="0"/>
    <n v="9"/>
    <n v="4044.88"/>
    <n v="9"/>
    <n v="4044.88"/>
    <n v="0"/>
    <n v="0"/>
    <n v="0"/>
    <n v="8089.76"/>
    <n v="0"/>
    <s v="24AAACO3087C1ZT"/>
    <s v="Kgs"/>
    <n v="3926908"/>
    <s v="Rs."/>
    <n v="1"/>
    <n v="0"/>
  </r>
  <r>
    <s v="17-07-2026"/>
    <x v="0"/>
    <s v="R.M.P."/>
    <s v="RM 406"/>
    <s v="Purchase Withinstate - Raw Material"/>
    <s v="PIL1/D/1085"/>
    <s v="17-07-2026"/>
    <s v="SF"/>
    <s v="Webbing"/>
    <s v="PP Webbing"/>
    <x v="4"/>
    <s v="Webbing"/>
    <n v="705.8"/>
    <n v="105510.04"/>
    <s v="Webbing"/>
    <n v="0"/>
    <n v="9"/>
    <n v="9495.9"/>
    <n v="9"/>
    <n v="9495.9"/>
    <n v="0"/>
    <n v="0"/>
    <n v="0"/>
    <n v="18991.8"/>
    <n v="0"/>
    <s v="24AAACO3087C1ZT"/>
    <s v="Kgs"/>
    <n v="3926908"/>
    <s v="Rs."/>
    <n v="1"/>
    <n v="0"/>
  </r>
  <r>
    <s v="17-07-2026"/>
    <x v="21"/>
    <s v="Purchase"/>
    <s v="GNPK 68"/>
    <s v="Purchase Withinstate- Packing Material"/>
    <s v="SSE/2026-27/0890"/>
    <s v="15-07-2026"/>
    <s v="Packing Material"/>
    <s v="Pallets"/>
    <s v="Packing Material"/>
    <x v="9"/>
    <s v="Wooden Pallet Flate Size 85X105Cm"/>
    <n v="140"/>
    <n v="84000"/>
    <s v="Wooden Pallet Flate Size 85X105Cm"/>
    <n v="168525"/>
    <n v="2.5"/>
    <n v="2100"/>
    <n v="2.5"/>
    <n v="2100"/>
    <n v="0"/>
    <n v="0"/>
    <n v="0"/>
    <n v="4200"/>
    <n v="0"/>
    <s v="24AIEPG9602Q1ZZ"/>
    <s v="Pcs"/>
    <n v="44152000"/>
    <s v="Rs."/>
    <n v="1"/>
    <n v="0"/>
  </r>
  <r>
    <s v="17-07-2026"/>
    <x v="21"/>
    <s v="Purchase"/>
    <s v="GNPK 68"/>
    <s v="Purchase Withinstate- Packing Material"/>
    <s v="SSE/2026-27/0890"/>
    <s v="15-07-2026"/>
    <s v="Packing Material"/>
    <s v="Pallets"/>
    <s v="Pallets"/>
    <x v="9"/>
    <s v="Pine Wooden Pallet Design Code QP90110"/>
    <n v="100"/>
    <n v="76500"/>
    <s v="Pine Wooden Pallet Design Code QP90110"/>
    <n v="0"/>
    <n v="2.5"/>
    <n v="1912.5"/>
    <n v="2.5"/>
    <n v="1912.5"/>
    <n v="0"/>
    <n v="0"/>
    <n v="0"/>
    <n v="3825"/>
    <n v="0"/>
    <s v="24AIEPG9602Q1ZZ"/>
    <s v="Pcs"/>
    <n v="44152000"/>
    <s v="Rs."/>
    <n v="1"/>
    <n v="0"/>
  </r>
  <r>
    <s v="17-07-2026"/>
    <x v="11"/>
    <s v="Purchase"/>
    <s v="GNPK 66"/>
    <s v="Purchase Withinstate- Packing Material"/>
    <s v="SS/SL/26-27/211"/>
    <s v="15-07-2026"/>
    <s v="Packing Material"/>
    <s v="Pallets"/>
    <s v="Pallets"/>
    <x v="9"/>
    <s v="Pine Wooden Pallet Design Code QP90110"/>
    <n v="70"/>
    <n v="47670"/>
    <s v="Pine Wooden Pallet Design Code QP90110"/>
    <n v="50053.5"/>
    <n v="2.5"/>
    <n v="1191.75"/>
    <n v="2.5"/>
    <n v="1191.75"/>
    <n v="0"/>
    <n v="0"/>
    <n v="0"/>
    <n v="2383.5"/>
    <n v="0"/>
    <s v="24ABLCS6579H1ZR"/>
    <s v="Pcs"/>
    <n v="44152000"/>
    <s v="Rs."/>
    <n v="1"/>
    <n v="0"/>
  </r>
  <r>
    <s v="17-07-2026"/>
    <x v="11"/>
    <s v="Purchase"/>
    <s v="GNPK 67"/>
    <s v="Purchase Withinstate- Packing Material"/>
    <s v="SS/SL/26-27/214"/>
    <s v="16-07-2026"/>
    <s v="Packing Material"/>
    <s v="Pallets"/>
    <s v="Packing Material"/>
    <x v="9"/>
    <s v="Wooden Pallet Flate Size 85X105Cm"/>
    <n v="200"/>
    <n v="102800"/>
    <s v="Wooden Pallet Flate Size 85X105Cm"/>
    <n v="107940"/>
    <n v="2.5"/>
    <n v="2570"/>
    <n v="2.5"/>
    <n v="2570"/>
    <n v="0"/>
    <n v="0"/>
    <n v="0"/>
    <n v="5140"/>
    <n v="0"/>
    <s v="24ABLCS6579H1ZR"/>
    <s v="Pcs"/>
    <n v="44152000"/>
    <s v="Rs."/>
    <n v="1"/>
    <n v="0"/>
  </r>
  <r>
    <s v="18-07-2026"/>
    <x v="2"/>
    <s v="General Purchase"/>
    <s v="GNSP 122"/>
    <s v="Purchase Withinstate- Stores, Spares &amp; Consumable"/>
    <n v="276"/>
    <d v="2026-09-07T00:00:00"/>
    <s v="Stores/Spares"/>
    <s v="Printing Machine Spares"/>
    <s v="Spares &amp; Stores"/>
    <x v="0"/>
    <s v="Anilox Roll Total Length- 1750 mm  Coating Length-1375 mm Final Dia-148 mm (Manual Printing Machine)"/>
    <n v="2"/>
    <n v="39900"/>
    <s v="Anilox Roll Total Length- 1750 mm  Coating Length-1375 mm Final Dia-148 mm (Manual Printing Machine)"/>
    <n v="47082"/>
    <n v="9"/>
    <n v="3591"/>
    <n v="9"/>
    <n v="3591"/>
    <n v="0"/>
    <n v="0"/>
    <n v="0"/>
    <n v="7182"/>
    <n v="0"/>
    <s v="24ABNFA9143N1ZY"/>
    <s v="Pcs"/>
    <n v="84439100"/>
    <s v="Rs."/>
    <n v="1"/>
    <n v="0"/>
  </r>
  <r>
    <s v="18-07-2026"/>
    <x v="22"/>
    <s v="General Purchase"/>
    <s v="GNCN 276"/>
    <s v="Purchase Withinstate- Stores, Spares &amp; Consumable"/>
    <n v="26270975"/>
    <d v="2026-11-07T00:00:00"/>
    <s v="Consumables"/>
    <s v="Oil &amp; Greases"/>
    <s v="Spares &amp; Stores"/>
    <x v="0"/>
    <s v="Oil 20W/40"/>
    <n v="420"/>
    <n v="59640"/>
    <s v="Oil 20W/40"/>
    <n v="70375"/>
    <n v="9"/>
    <n v="5367.6"/>
    <n v="9"/>
    <n v="5367.6"/>
    <n v="0"/>
    <n v="0"/>
    <n v="0"/>
    <n v="10735.2"/>
    <n v="0"/>
    <s v="24AGGPA8759C1ZL"/>
    <s v="LTR"/>
    <n v="27109900"/>
    <s v="Rs."/>
    <n v="1"/>
    <n v="0"/>
  </r>
  <r>
    <s v="18-07-2026"/>
    <x v="23"/>
    <s v="General Purchase"/>
    <s v="GNSP 121"/>
    <s v="Purchase Withinstate- Stores, Spares &amp; Consumable"/>
    <n v="10190"/>
    <d v="2026-06-06T00:00:00"/>
    <s v="Stores/Spares"/>
    <s v="Hardware Items"/>
    <s v="Spares &amp; Stores"/>
    <x v="0"/>
    <s v="Door Closer Small"/>
    <n v="1"/>
    <n v="900"/>
    <s v="Door Closer Small"/>
    <n v="1062"/>
    <n v="9"/>
    <n v="81"/>
    <n v="9"/>
    <n v="81"/>
    <n v="0"/>
    <n v="0"/>
    <n v="0"/>
    <n v="162"/>
    <n v="0"/>
    <s v="24AJPPJ4557R1ZD"/>
    <s v="Pcs"/>
    <n v="83024110"/>
    <s v="Rs."/>
    <n v="1"/>
    <n v="0"/>
  </r>
  <r>
    <s v="18-07-2026"/>
    <x v="8"/>
    <s v="Purchase"/>
    <s v="GNPK 70"/>
    <s v="Purchase Withinstate- Packing Material"/>
    <s v="BI/26-27/063"/>
    <s v="14-07-2026"/>
    <s v="Packing Material"/>
    <s v="Pallets"/>
    <s v="Pallets"/>
    <x v="9"/>
    <s v="Pine Wooden Pallet Design Code STD90110"/>
    <n v="200"/>
    <n v="155000"/>
    <s v="Pine Wooden Pallet Design Code STD90110"/>
    <n v="162750"/>
    <n v="2.5"/>
    <n v="3875"/>
    <n v="2.5"/>
    <n v="3875"/>
    <n v="0"/>
    <n v="0"/>
    <n v="0"/>
    <n v="7750"/>
    <n v="0"/>
    <s v="24AXVPT0296P1ZD"/>
    <s v="Pcs"/>
    <n v="44152000"/>
    <s v="Rs."/>
    <n v="1"/>
    <n v="0"/>
  </r>
  <r>
    <s v="18-07-2026"/>
    <x v="24"/>
    <s v="General Purchase"/>
    <s v="GNCN 275"/>
    <s v="Purchase Withinstate- Stores, Spares &amp; Consumable"/>
    <s v="GE-154"/>
    <d v="2026-08-07T00:00:00"/>
    <s v="RM Consumables"/>
    <s v="FIBC Accessories"/>
    <s v="Spares &amp; Stores"/>
    <x v="0"/>
    <s v="B-Lock Natural Colour"/>
    <n v="9000"/>
    <n v="24300"/>
    <s v="B-Lock Natural Colour"/>
    <n v="29264"/>
    <n v="9"/>
    <n v="2187"/>
    <n v="9"/>
    <n v="2187"/>
    <n v="0"/>
    <n v="0"/>
    <n v="90"/>
    <n v="4464"/>
    <n v="0"/>
    <s v="24AAVFG3033A1ZS"/>
    <s v="Pcs"/>
    <n v="39235090"/>
    <s v="Rs."/>
    <n v="1"/>
    <n v="9000"/>
  </r>
  <r>
    <s v="18-07-2026"/>
    <x v="25"/>
    <s v="General Purchase"/>
    <s v="GNSP 123"/>
    <s v="Purchase Withinstate- Stores, Spares &amp; Consumable"/>
    <s v="GST/373"/>
    <d v="2026-09-07T00:00:00"/>
    <s v="Stores/Spares"/>
    <s v="Contactor"/>
    <s v="Spares &amp; Stores"/>
    <x v="0"/>
    <s v="Contactor LC1D09 25 A Coil -24 V.Ac"/>
    <n v="8"/>
    <n v="12200"/>
    <s v="Contactor LC1D09 25 A Coil -24 V.Ac"/>
    <n v="30267"/>
    <n v="9"/>
    <n v="1098"/>
    <n v="9"/>
    <n v="1098"/>
    <n v="0"/>
    <n v="0"/>
    <n v="45"/>
    <n v="2241"/>
    <n v="0"/>
    <s v="24ANLPK2335A1ZJ"/>
    <s v="Pcs"/>
    <n v="853620"/>
    <s v="Rs."/>
    <n v="1"/>
    <n v="0"/>
  </r>
  <r>
    <s v="18-07-2026"/>
    <x v="25"/>
    <s v="General Purchase"/>
    <s v="GNSP 123"/>
    <s v="Purchase Withinstate- Stores, Spares &amp; Consumable"/>
    <s v="GST/373"/>
    <d v="2026-09-07T00:00:00"/>
    <s v="Stores/Spares"/>
    <s v="Contactor"/>
    <s v="Spares &amp; Stores"/>
    <x v="0"/>
    <s v="Contactor LC1D09 40 A Coil -220 V.Ac"/>
    <n v="3"/>
    <n v="13200"/>
    <s v="Contactor LC1D09 40 A Coil -220 V.Ac"/>
    <n v="0"/>
    <n v="9"/>
    <n v="1188"/>
    <n v="9"/>
    <n v="1188"/>
    <n v="0"/>
    <n v="0"/>
    <n v="45"/>
    <n v="2421"/>
    <n v="0"/>
    <s v="24ANLPK2335A1ZJ"/>
    <s v="Pcs"/>
    <n v="8536491"/>
    <s v="Rs."/>
    <n v="1"/>
    <n v="0"/>
  </r>
  <r>
    <s v="18-07-2026"/>
    <x v="26"/>
    <s v="R.M.P."/>
    <s v="RM 407"/>
    <s v="Purchase Withinstate - Raw Material"/>
    <n v="441"/>
    <s v="15-07-2026"/>
    <s v="SF"/>
    <s v="Jute Fabric"/>
    <s v="Spares &amp; Stores"/>
    <x v="0"/>
    <s v="Jute Fabric"/>
    <n v="2000"/>
    <n v="69000"/>
    <s v="Jute Fabric"/>
    <n v="74550"/>
    <n v="2.5"/>
    <n v="1725"/>
    <n v="2.5"/>
    <n v="1725"/>
    <n v="0"/>
    <n v="0"/>
    <n v="100"/>
    <n v="3550"/>
    <n v="0"/>
    <s v="24AZSPS3924Q1ZE"/>
    <s v="Yard"/>
    <n v="531010"/>
    <s v="Rs."/>
    <n v="1"/>
    <n v="2000"/>
  </r>
  <r>
    <s v="18-07-2026"/>
    <x v="0"/>
    <s v="General Purchase"/>
    <s v="GNCN 277"/>
    <s v="Purchase Withinstate- Stores, Spares &amp; Consumable"/>
    <s v="PIL1/D/1100"/>
    <s v="18-07-2026"/>
    <s v="Stores/Spares"/>
    <s v="MS Structure Items"/>
    <s v="Spares &amp; Stores"/>
    <x v="0"/>
    <s v="MS Pipe 4  C Class"/>
    <n v="376"/>
    <n v="18048"/>
    <s v="MS Pipe 4  C Class"/>
    <n v="21278.59"/>
    <n v="9"/>
    <n v="1624.32"/>
    <n v="9"/>
    <n v="1624.32"/>
    <n v="0"/>
    <n v="0"/>
    <n v="0"/>
    <n v="3248.64"/>
    <n v="0"/>
    <s v="24AAACO3087C1ZT"/>
    <s v="Kgs"/>
    <n v="73063090"/>
    <s v="Rs."/>
    <n v="1"/>
    <n v="0"/>
  </r>
  <r>
    <s v="18-07-2026"/>
    <x v="0"/>
    <s v="R.M.P."/>
    <s v="RM 408"/>
    <s v="Purchase Withinstate - Raw Material"/>
    <s v="PIL1/D/1098"/>
    <s v="18-07-2026"/>
    <s v="SF"/>
    <s v="PP/PE Fabric"/>
    <s v="PP UL Fabric"/>
    <x v="2"/>
    <s v="PP UL Fabric With UV"/>
    <n v="6039"/>
    <n v="872575.11"/>
    <s v="PP UL Fabric With UV"/>
    <n v="1373748.59"/>
    <n v="9"/>
    <n v="78531.759999999995"/>
    <n v="9"/>
    <n v="78531.759999999995"/>
    <n v="0"/>
    <n v="0"/>
    <n v="0"/>
    <n v="157063.51999999999"/>
    <n v="0"/>
    <s v="24AAACO3087C1ZT"/>
    <s v="Kgs"/>
    <n v="39269080"/>
    <s v="Rs."/>
    <n v="1"/>
    <n v="0"/>
  </r>
  <r>
    <s v="18-07-2026"/>
    <x v="0"/>
    <s v="R.M.P."/>
    <s v="RM 408"/>
    <s v="Purchase Withinstate - Raw Material"/>
    <s v="PIL1/D/1098"/>
    <s v="18-07-2026"/>
    <s v="SF"/>
    <s v="PP/PE Fabric"/>
    <s v="PP UL Fabric"/>
    <x v="2"/>
    <s v="PP UL Fabric With UV"/>
    <n v="505"/>
    <n v="74482.45"/>
    <s v="PP UL Fabric With UV"/>
    <n v="0"/>
    <n v="9"/>
    <n v="6703.42"/>
    <n v="9"/>
    <n v="6703.42"/>
    <n v="0"/>
    <n v="0"/>
    <n v="0"/>
    <n v="13406.84"/>
    <n v="0"/>
    <s v="24AAACO3087C1ZT"/>
    <s v="Kgs"/>
    <n v="39269080"/>
    <s v="Rs."/>
    <n v="1"/>
    <n v="0"/>
  </r>
  <r>
    <s v="18-07-2026"/>
    <x v="0"/>
    <s v="R.M.P."/>
    <s v="RM 408"/>
    <s v="Purchase Withinstate - Raw Material"/>
    <s v="PIL1/D/1098"/>
    <s v="18-07-2026"/>
    <s v="SF"/>
    <s v="PP/PE Fabric"/>
    <s v="PP UL Fabric"/>
    <x v="2"/>
    <s v="PP UL Fabric With UV"/>
    <n v="1489"/>
    <n v="218123.61"/>
    <s v="PP UL Fabric With UV"/>
    <n v="0"/>
    <n v="9"/>
    <n v="19631.12"/>
    <n v="9"/>
    <n v="19631.12"/>
    <n v="0"/>
    <n v="0"/>
    <n v="0"/>
    <n v="39262.239999999998"/>
    <n v="0"/>
    <s v="24AAACO3087C1ZT"/>
    <s v="Kgs"/>
    <n v="39269080"/>
    <s v="Rs."/>
    <n v="1"/>
    <n v="0"/>
  </r>
  <r>
    <s v="18-07-2026"/>
    <x v="0"/>
    <s v="R.M.P."/>
    <s v="RM 409"/>
    <s v="Purchase Withinstate - Raw Material"/>
    <s v="PIL1/D/1105"/>
    <s v="18-07-2026"/>
    <s v="SF"/>
    <s v="PP/PE Fabric"/>
    <s v="PP UL Fabric"/>
    <x v="2"/>
    <s v="PP UL Fabric With UV"/>
    <n v="424"/>
    <n v="61263.76"/>
    <s v="PP UL Fabric With UV"/>
    <n v="171669.57"/>
    <n v="9"/>
    <n v="5513.74"/>
    <n v="9"/>
    <n v="5513.74"/>
    <n v="0"/>
    <n v="0"/>
    <n v="0"/>
    <n v="11027.48"/>
    <n v="0"/>
    <s v="24AAACO3087C1ZT"/>
    <s v="Kgs"/>
    <n v="39269080"/>
    <s v="Rs."/>
    <n v="1"/>
    <n v="0"/>
  </r>
  <r>
    <s v="18-07-2026"/>
    <x v="0"/>
    <s v="R.M.P."/>
    <s v="RM 409"/>
    <s v="Purchase Withinstate - Raw Material"/>
    <s v="PIL1/D/1105"/>
    <s v="18-07-2026"/>
    <s v="SF"/>
    <s v="PP/PE Fabric"/>
    <s v="PP Lam Fabric"/>
    <x v="1"/>
    <s v="PP Lam Fabric With UV"/>
    <n v="568"/>
    <n v="84342.32"/>
    <s v="PP Lam Fabric With UV"/>
    <n v="0"/>
    <n v="9"/>
    <n v="7590.81"/>
    <n v="9"/>
    <n v="7590.81"/>
    <n v="0"/>
    <n v="0"/>
    <n v="0"/>
    <n v="15181.62"/>
    <n v="0"/>
    <s v="24AAACO3087C1ZT"/>
    <s v="Kgs"/>
    <n v="63053300"/>
    <s v="Rs."/>
    <n v="1"/>
    <n v="0"/>
  </r>
  <r>
    <s v="18-07-2026"/>
    <x v="0"/>
    <s v="R.M.P."/>
    <s v="RM 410"/>
    <s v="Purchase Withinstate - Raw Material"/>
    <s v="PIL1/D/1107"/>
    <s v="18-07-2026"/>
    <s v="SF"/>
    <s v="PP/PE Fabric"/>
    <s v="PP Lam Fabric"/>
    <x v="1"/>
    <s v="PP Lam Fabric With UV"/>
    <n v="659"/>
    <n v="97854.91"/>
    <s v="PP Lam Fabric With UV"/>
    <n v="115370.94"/>
    <n v="9"/>
    <n v="8806.94"/>
    <n v="9"/>
    <n v="8806.94"/>
    <n v="0"/>
    <n v="0"/>
    <n v="0"/>
    <n v="17613.88"/>
    <n v="0"/>
    <s v="24AAACO3087C1ZT"/>
    <s v="Kgs"/>
    <n v="63053300"/>
    <s v="Rs."/>
    <n v="1"/>
    <n v="0"/>
  </r>
  <r>
    <s v="18-07-2026"/>
    <x v="0"/>
    <s v="R.M.P."/>
    <s v="RM 411"/>
    <s v="Purchase Withinstate - Raw Material"/>
    <s v="PIL1/D/1096"/>
    <s v="18-07-2026"/>
    <s v="SF"/>
    <s v="PP/PE Fabric"/>
    <s v="PP UL Fabric"/>
    <x v="2"/>
    <s v="PP UL Fabric With UV"/>
    <n v="2216"/>
    <n v="324621.84000000003"/>
    <s v="PP UL Fabric With UV"/>
    <n v="456958.71999999997"/>
    <n v="9"/>
    <n v="29215.97"/>
    <n v="9"/>
    <n v="29215.97"/>
    <n v="0"/>
    <n v="0"/>
    <n v="0"/>
    <n v="58431.94"/>
    <n v="0"/>
    <s v="24AAACO3087C1ZT"/>
    <s v="Kgs"/>
    <n v="39269080"/>
    <s v="Rs."/>
    <n v="1"/>
    <n v="0"/>
  </r>
  <r>
    <s v="18-07-2026"/>
    <x v="0"/>
    <s v="R.M.P."/>
    <s v="RM 411"/>
    <s v="Purchase Withinstate - Raw Material"/>
    <s v="PIL1/D/1096"/>
    <s v="18-07-2026"/>
    <s v="SF"/>
    <s v="PP/PE Fabric"/>
    <s v="PP Lam Fabric"/>
    <x v="1"/>
    <s v="PP Lam Fabric With UV"/>
    <n v="424"/>
    <n v="62959.76"/>
    <s v="PP Lam Fabric With UV"/>
    <n v="0"/>
    <n v="9"/>
    <n v="5666.38"/>
    <n v="9"/>
    <n v="5666.38"/>
    <n v="0"/>
    <n v="0"/>
    <n v="0"/>
    <n v="11332.76"/>
    <n v="0"/>
    <s v="24AAACO3087C1ZT"/>
    <s v="Kgs"/>
    <n v="63053300"/>
    <s v="Rs."/>
    <n v="1"/>
    <n v="0"/>
  </r>
  <r>
    <s v="18-07-2026"/>
    <x v="0"/>
    <s v="R.M.P."/>
    <s v="RM 412"/>
    <s v="Purchase Withinstate - Raw Material"/>
    <s v="PIL1/D/1101"/>
    <s v="18-07-2026"/>
    <s v="SF"/>
    <s v="Liners"/>
    <s v="LDPE/LLDPE Bags"/>
    <x v="3"/>
    <s v="LDPE/LLDPE Bags/Liner"/>
    <n v="1415"/>
    <n v="264293.7"/>
    <s v="LDPE/LLDPE Bags/Liner"/>
    <n v="1058204.8"/>
    <n v="9"/>
    <n v="23786.43"/>
    <n v="9"/>
    <n v="23786.43"/>
    <n v="0"/>
    <n v="0"/>
    <n v="0"/>
    <n v="47572.86"/>
    <n v="0"/>
    <s v="24AAACO3087C1ZT"/>
    <s v="Kgs"/>
    <n v="39200000"/>
    <s v="Rs."/>
    <n v="1"/>
    <n v="0"/>
  </r>
  <r>
    <s v="18-07-2026"/>
    <x v="0"/>
    <s v="R.M.P."/>
    <s v="RM 412"/>
    <s v="Purchase Withinstate - Raw Material"/>
    <s v="PIL1/D/1101"/>
    <s v="18-07-2026"/>
    <s v="SF"/>
    <s v="Liners"/>
    <s v="LDPE/LLDPE Bags"/>
    <x v="3"/>
    <s v="LDPE/LLDPE Bags/Liner"/>
    <n v="372"/>
    <n v="70970.16"/>
    <s v="LDPE/LLDPE Bags/Liner"/>
    <n v="0"/>
    <n v="9"/>
    <n v="6387.31"/>
    <n v="9"/>
    <n v="6387.31"/>
    <n v="0"/>
    <n v="0"/>
    <n v="0"/>
    <n v="12774.62"/>
    <n v="0"/>
    <s v="24AAACO3087C1ZT"/>
    <s v="Kgs"/>
    <n v="39200000"/>
    <s v="Rs."/>
    <n v="1"/>
    <n v="0"/>
  </r>
  <r>
    <s v="18-07-2026"/>
    <x v="0"/>
    <s v="R.M.P."/>
    <s v="RM 412"/>
    <s v="Purchase Withinstate - Raw Material"/>
    <s v="PIL1/D/1101"/>
    <s v="18-07-2026"/>
    <s v="SF"/>
    <s v="Webbing"/>
    <s v="PP Webbing"/>
    <x v="4"/>
    <s v="Webbing"/>
    <n v="71"/>
    <n v="12104.79"/>
    <s v="Webbing"/>
    <n v="0"/>
    <n v="9"/>
    <n v="1089.43"/>
    <n v="9"/>
    <n v="1089.43"/>
    <n v="0"/>
    <n v="0"/>
    <n v="0"/>
    <n v="2178.86"/>
    <n v="0"/>
    <s v="24AAACO3087C1ZT"/>
    <s v="Kgs"/>
    <n v="3926908"/>
    <s v="Rs."/>
    <n v="1"/>
    <n v="0"/>
  </r>
  <r>
    <s v="18-07-2026"/>
    <x v="0"/>
    <s v="R.M.P."/>
    <s v="RM 412"/>
    <s v="Purchase Withinstate - Raw Material"/>
    <s v="PIL1/D/1101"/>
    <s v="18-07-2026"/>
    <s v="SF"/>
    <s v="Webbing"/>
    <s v="PP Webbing"/>
    <x v="4"/>
    <s v="Webbing"/>
    <n v="430.7"/>
    <n v="64385.34"/>
    <s v="Webbing"/>
    <n v="0"/>
    <n v="9"/>
    <n v="5794.68"/>
    <n v="9"/>
    <n v="5794.68"/>
    <n v="0"/>
    <n v="0"/>
    <n v="0"/>
    <n v="11589.36"/>
    <n v="0"/>
    <s v="24AAACO3087C1ZT"/>
    <s v="Kgs"/>
    <n v="3926908"/>
    <s v="Rs."/>
    <n v="1"/>
    <n v="0"/>
  </r>
  <r>
    <s v="18-07-2026"/>
    <x v="0"/>
    <s v="R.M.P."/>
    <s v="RM 412"/>
    <s v="Purchase Withinstate - Raw Material"/>
    <s v="PIL1/D/1101"/>
    <s v="18-07-2026"/>
    <s v="SF"/>
    <s v="Webbing"/>
    <s v="PP Webbing"/>
    <x v="4"/>
    <s v="Webbing"/>
    <n v="425.6"/>
    <n v="62346.14"/>
    <s v="Webbing"/>
    <n v="0"/>
    <n v="9"/>
    <n v="5611.15"/>
    <n v="9"/>
    <n v="5611.15"/>
    <n v="0"/>
    <n v="0"/>
    <n v="0"/>
    <n v="11222.3"/>
    <n v="0"/>
    <s v="24AAACO3087C1ZT"/>
    <s v="Kgs"/>
    <n v="3926908"/>
    <s v="Rs."/>
    <n v="1"/>
    <n v="0"/>
  </r>
  <r>
    <s v="18-07-2026"/>
    <x v="0"/>
    <s v="R.M.P."/>
    <s v="RM 412"/>
    <s v="Purchase Withinstate - Raw Material"/>
    <s v="PIL1/D/1101"/>
    <s v="18-07-2026"/>
    <s v="SF"/>
    <s v="Yarn All"/>
    <s v="PP Yarn"/>
    <x v="8"/>
    <s v="PP MF Yarn Twisted 3000 Denier UV NW"/>
    <n v="805"/>
    <n v="125974.45"/>
    <s v="PP MF Yarn Twisted 3000 Denier UV NW"/>
    <n v="0"/>
    <n v="2.5"/>
    <n v="3149.36"/>
    <n v="2.5"/>
    <n v="3149.36"/>
    <n v="0"/>
    <n v="0"/>
    <n v="0"/>
    <n v="6298.72"/>
    <n v="0"/>
    <s v="24AAACO3087C1ZT"/>
    <s v="Kgs"/>
    <n v="540263"/>
    <s v="Rs."/>
    <n v="1"/>
    <n v="0"/>
  </r>
  <r>
    <s v="18-07-2026"/>
    <x v="0"/>
    <s v="R.M.P."/>
    <s v="RM 412"/>
    <s v="Purchase Withinstate - Raw Material"/>
    <s v="PIL1/D/1101"/>
    <s v="18-07-2026"/>
    <s v="SF"/>
    <s v="Yarn All"/>
    <s v="PP Yarn"/>
    <x v="8"/>
    <s v="PP MF Yarn Twisted 3000 Denier UV Deep Blue"/>
    <n v="291.10000000000002"/>
    <n v="46427.54"/>
    <s v="PP MF Yarn Twisted 3000 Denier UV Deep Blue"/>
    <n v="0"/>
    <n v="2.5"/>
    <n v="1160.69"/>
    <n v="2.5"/>
    <n v="1160.69"/>
    <n v="0"/>
    <n v="0"/>
    <n v="0"/>
    <n v="2321.38"/>
    <n v="0"/>
    <s v="24AAACO3087C1ZT"/>
    <s v="Kgs"/>
    <n v="54026930"/>
    <s v="Rs."/>
    <n v="1"/>
    <n v="0"/>
  </r>
  <r>
    <s v="18-07-2026"/>
    <x v="0"/>
    <s v="R.M.P."/>
    <s v="RM 412"/>
    <s v="Purchase Withinstate - Raw Material"/>
    <s v="PIL1/D/1101"/>
    <s v="18-07-2026"/>
    <s v="SF"/>
    <s v="PP/PE Fabric"/>
    <s v="PP UL Fabric"/>
    <x v="2"/>
    <s v="PP UL Fabric With UV"/>
    <n v="1869"/>
    <n v="270051.81"/>
    <s v="PP UL Fabric With UV"/>
    <n v="0"/>
    <n v="9"/>
    <n v="24304.66"/>
    <n v="9"/>
    <n v="24304.66"/>
    <n v="0"/>
    <n v="0"/>
    <n v="0"/>
    <n v="48609.32"/>
    <n v="0"/>
    <s v="24AAACO3087C1ZT"/>
    <s v="Kgs"/>
    <n v="39269080"/>
    <s v="Rs."/>
    <n v="1"/>
    <n v="0"/>
  </r>
  <r>
    <s v="18-07-2026"/>
    <x v="11"/>
    <s v="Purchase"/>
    <s v="GNPK 69"/>
    <s v="Purchase Withinstate- Packing Material"/>
    <s v="SS/SL/26-27/203"/>
    <d v="2026-11-07T00:00:00"/>
    <s v="Packing Material"/>
    <s v="Pallets"/>
    <s v="Pallets"/>
    <x v="9"/>
    <s v="Pine Wooden Pallet Design Code QP90110"/>
    <n v="70"/>
    <n v="47670"/>
    <s v="Pine Wooden Pallet Design Code QP90110"/>
    <n v="50053.5"/>
    <n v="2.5"/>
    <n v="1191.75"/>
    <n v="2.5"/>
    <n v="1191.75"/>
    <n v="0"/>
    <n v="0"/>
    <n v="0"/>
    <n v="2383.5"/>
    <n v="0"/>
    <s v="24ABLCS6579H1ZR"/>
    <s v="Pcs"/>
    <n v="44152000"/>
    <s v="Rs."/>
    <n v="1"/>
    <n v="0"/>
  </r>
  <r>
    <s v="19-07-2026"/>
    <x v="15"/>
    <s v="General Purchase"/>
    <s v="GNCN 279"/>
    <s v="Purchase Withinstate- Stores, Spares &amp; Consumable"/>
    <s v="GP/26-27/71552"/>
    <s v="13-07-2026"/>
    <s v="Consumables"/>
    <s v="Oil &amp; Greases"/>
    <s v="Spares &amp; Stores"/>
    <x v="0"/>
    <s v="Diesel"/>
    <n v="400"/>
    <n v="39116"/>
    <s v="Diesel"/>
    <n v="39116"/>
    <n v="0"/>
    <n v="0"/>
    <n v="0"/>
    <n v="0"/>
    <n v="0"/>
    <n v="0"/>
    <n v="0"/>
    <n v="0"/>
    <n v="0"/>
    <s v="24ABJPV0976A1ZO"/>
    <s v="LTR"/>
    <n v="27101930"/>
    <s v="Rs."/>
    <n v="1"/>
    <n v="0"/>
  </r>
  <r>
    <s v="19-07-2026"/>
    <x v="15"/>
    <s v="General Purchase"/>
    <s v="GNCN 280"/>
    <s v="Purchase Withinstate- Stores, Spares &amp; Consumable"/>
    <s v="GP/26-27/71553"/>
    <s v="13-07-2026"/>
    <s v="Consumables"/>
    <s v="Oil &amp; Greases"/>
    <s v="Spares &amp; Stores"/>
    <x v="0"/>
    <s v="Diesel"/>
    <n v="200"/>
    <n v="19558"/>
    <s v="Diesel"/>
    <n v="19558"/>
    <n v="0"/>
    <n v="0"/>
    <n v="0"/>
    <n v="0"/>
    <n v="0"/>
    <n v="0"/>
    <n v="0"/>
    <n v="0"/>
    <n v="0"/>
    <s v="24ABJPV0976A1ZO"/>
    <s v="LTR"/>
    <n v="27101930"/>
    <s v="Rs."/>
    <n v="1"/>
    <n v="0"/>
  </r>
  <r>
    <s v="19-07-2026"/>
    <x v="0"/>
    <s v="General Purchase"/>
    <s v="GNCN 278"/>
    <s v="Purchase Withinstate- Stores, Spares &amp; Consumable"/>
    <s v="PIL1/D/1112"/>
    <s v="19-07-2026"/>
    <s v="Stores/Spares"/>
    <s v="MS Structure Items"/>
    <s v="Spares &amp; Stores"/>
    <x v="0"/>
    <s v="MS Pipe 4  C Class"/>
    <n v="345"/>
    <n v="16560"/>
    <s v="MS Pipe 4  C Class"/>
    <n v="19524.240000000002"/>
    <n v="9"/>
    <n v="1490.4"/>
    <n v="9"/>
    <n v="1490.4"/>
    <n v="0"/>
    <n v="0"/>
    <n v="0"/>
    <n v="2980.8"/>
    <n v="0"/>
    <s v="24AAACO3087C1ZT"/>
    <s v="Kgs"/>
    <n v="73063090"/>
    <s v="Rs."/>
    <n v="1"/>
    <n v="0"/>
  </r>
  <r>
    <s v="19-07-2026"/>
    <x v="0"/>
    <s v="R.M.P."/>
    <s v="RM 414"/>
    <s v="Purchase Withinstate - Raw Material"/>
    <s v="PIL1/D/1113"/>
    <s v="19-07-2026"/>
    <s v="SF"/>
    <s v="Liners"/>
    <s v="LDPE/LLDPE Bags"/>
    <x v="3"/>
    <s v="LDPE/LLDPE Bags/Liner"/>
    <n v="1871"/>
    <n v="341981.38"/>
    <s v="LDPE/LLDPE Bags/Liner"/>
    <n v="1477845.07"/>
    <n v="9"/>
    <n v="30778.32"/>
    <n v="9"/>
    <n v="30778.32"/>
    <n v="0"/>
    <n v="0"/>
    <n v="0"/>
    <n v="61556.639999999999"/>
    <n v="0"/>
    <s v="24AAACO3087C1ZT"/>
    <s v="Kgs"/>
    <n v="39200000"/>
    <s v="Rs."/>
    <n v="1"/>
    <n v="0"/>
  </r>
  <r>
    <s v="19-07-2026"/>
    <x v="0"/>
    <s v="R.M.P."/>
    <s v="RM 414"/>
    <s v="Purchase Withinstate - Raw Material"/>
    <s v="PIL1/D/1113"/>
    <s v="19-07-2026"/>
    <s v="SF"/>
    <s v="Liners"/>
    <s v="LDPE/LLDPE Bags"/>
    <x v="3"/>
    <s v="LDPE/LLDPE Bags/Liner"/>
    <n v="2517"/>
    <n v="470125.26"/>
    <s v="LDPE/LLDPE Bags/Liner"/>
    <n v="0"/>
    <n v="9"/>
    <n v="42311.27"/>
    <n v="9"/>
    <n v="42311.27"/>
    <n v="0"/>
    <n v="0"/>
    <n v="0"/>
    <n v="84622.54"/>
    <n v="0"/>
    <s v="24AAACO3087C1ZT"/>
    <s v="Kgs"/>
    <n v="39200000"/>
    <s v="Rs."/>
    <n v="1"/>
    <n v="0"/>
  </r>
  <r>
    <s v="19-07-2026"/>
    <x v="0"/>
    <s v="R.M.P."/>
    <s v="RM 414"/>
    <s v="Purchase Withinstate - Raw Material"/>
    <s v="PIL1/D/1113"/>
    <s v="19-07-2026"/>
    <s v="SF"/>
    <s v="Liners"/>
    <s v="LDPE/LLDPE Bags"/>
    <x v="3"/>
    <s v="LDPE/LLDPE Bags/Liner"/>
    <n v="425"/>
    <n v="81081.5"/>
    <s v="LDPE/LLDPE Bags/Liner"/>
    <n v="0"/>
    <n v="9"/>
    <n v="7297.34"/>
    <n v="9"/>
    <n v="7297.34"/>
    <n v="0"/>
    <n v="0"/>
    <n v="0"/>
    <n v="14594.68"/>
    <n v="0"/>
    <s v="24AAACO3087C1ZT"/>
    <s v="Kgs"/>
    <n v="39200000"/>
    <s v="Rs."/>
    <n v="1"/>
    <n v="0"/>
  </r>
  <r>
    <s v="19-07-2026"/>
    <x v="0"/>
    <s v="R.M.P."/>
    <s v="RM 414"/>
    <s v="Purchase Withinstate - Raw Material"/>
    <s v="PIL1/D/1113"/>
    <s v="19-07-2026"/>
    <s v="SF"/>
    <s v="PP/PE Fabric"/>
    <s v="PP UL Fabric"/>
    <x v="2"/>
    <s v="PP UL Fabric With UV"/>
    <n v="253"/>
    <n v="37061.97"/>
    <s v="PP UL Fabric With UV"/>
    <n v="0"/>
    <n v="9"/>
    <n v="3335.58"/>
    <n v="9"/>
    <n v="3335.58"/>
    <n v="0"/>
    <n v="0"/>
    <n v="0"/>
    <n v="6671.16"/>
    <n v="0"/>
    <s v="24AAACO3087C1ZT"/>
    <s v="Kgs"/>
    <n v="39269080"/>
    <s v="Rs."/>
    <n v="1"/>
    <n v="0"/>
  </r>
  <r>
    <s v="19-07-2026"/>
    <x v="0"/>
    <s v="R.M.P."/>
    <s v="RM 414"/>
    <s v="Purchase Withinstate - Raw Material"/>
    <s v="PIL1/D/1113"/>
    <s v="19-07-2026"/>
    <s v="SF"/>
    <s v="PP/PE Fabric"/>
    <s v="PP UL Fabric"/>
    <x v="2"/>
    <s v="PP UL Fabric With UV"/>
    <n v="1866"/>
    <n v="269618.34000000003"/>
    <s v="PP UL Fabric With UV"/>
    <n v="0"/>
    <n v="9"/>
    <n v="24265.65"/>
    <n v="9"/>
    <n v="24265.65"/>
    <n v="0"/>
    <n v="0"/>
    <n v="0"/>
    <n v="48531.3"/>
    <n v="0"/>
    <s v="24AAACO3087C1ZT"/>
    <s v="Kgs"/>
    <n v="39269080"/>
    <s v="Rs."/>
    <n v="1"/>
    <n v="0"/>
  </r>
  <r>
    <s v="19-07-2026"/>
    <x v="0"/>
    <s v="R.M.P."/>
    <s v="RM 414"/>
    <s v="Purchase Withinstate - Raw Material"/>
    <s v="PIL1/D/1113"/>
    <s v="19-07-2026"/>
    <s v="SF"/>
    <s v="PP/PE Fabric"/>
    <s v="PP Lam Fabric"/>
    <x v="1"/>
    <s v="PP Lam Fabric With UV"/>
    <n v="361"/>
    <n v="53604.89"/>
    <s v="PP Lam Fabric With UV"/>
    <n v="0"/>
    <n v="9"/>
    <n v="4824.4399999999996"/>
    <n v="9"/>
    <n v="4824.4399999999996"/>
    <n v="0"/>
    <n v="0"/>
    <n v="0"/>
    <n v="9648.8799999999992"/>
    <n v="0"/>
    <s v="24AAACO3087C1ZT"/>
    <s v="Kgs"/>
    <n v="63053300"/>
    <s v="Rs."/>
    <n v="1"/>
    <n v="0"/>
  </r>
  <r>
    <s v="19-07-2026"/>
    <x v="0"/>
    <s v="R.M.P."/>
    <s v="RM 415"/>
    <s v="Purchase Withinstate - Raw Material"/>
    <s v="PIL1/D/1111"/>
    <s v="19-07-2026"/>
    <s v="SF"/>
    <s v="PP/PE Fabric"/>
    <s v="PP UL Fabric"/>
    <x v="2"/>
    <s v="PP UL Fabric With UV"/>
    <n v="1147"/>
    <n v="168024.03"/>
    <s v="PP UL Fabric With UV"/>
    <n v="1834062.9"/>
    <n v="9"/>
    <n v="15122.16"/>
    <n v="9"/>
    <n v="15122.16"/>
    <n v="0"/>
    <n v="0"/>
    <n v="0"/>
    <n v="30244.32"/>
    <n v="0"/>
    <s v="24AAACO3087C1ZT"/>
    <s v="Kgs"/>
    <n v="39269080"/>
    <s v="Rs."/>
    <n v="1"/>
    <n v="0"/>
  </r>
  <r>
    <s v="19-07-2026"/>
    <x v="0"/>
    <s v="R.M.P."/>
    <s v="RM 415"/>
    <s v="Purchase Withinstate - Raw Material"/>
    <s v="PIL1/D/1111"/>
    <s v="19-07-2026"/>
    <s v="SF"/>
    <s v="PP/PE Fabric"/>
    <s v="PP UL Fabric"/>
    <x v="2"/>
    <s v="PP UL Fabric With UV"/>
    <n v="499"/>
    <n v="73597.509999999995"/>
    <s v="PP UL Fabric With UV"/>
    <n v="0"/>
    <n v="9"/>
    <n v="6623.78"/>
    <n v="9"/>
    <n v="6623.78"/>
    <n v="0"/>
    <n v="0"/>
    <n v="0"/>
    <n v="13247.56"/>
    <n v="0"/>
    <s v="24AAACO3087C1ZT"/>
    <s v="Kgs"/>
    <n v="39269080"/>
    <s v="Rs."/>
    <n v="1"/>
    <n v="0"/>
  </r>
  <r>
    <s v="19-07-2026"/>
    <x v="0"/>
    <s v="R.M.P."/>
    <s v="RM 415"/>
    <s v="Purchase Withinstate - Raw Material"/>
    <s v="PIL1/D/1111"/>
    <s v="19-07-2026"/>
    <s v="SF"/>
    <s v="PP/PE Fabric"/>
    <s v="PP UL Fabric"/>
    <x v="2"/>
    <s v="PP UL Fabric With UV"/>
    <n v="6933"/>
    <n v="1001749.17"/>
    <s v="PP UL Fabric With UV"/>
    <n v="0"/>
    <n v="9"/>
    <n v="90157.43"/>
    <n v="9"/>
    <n v="90157.43"/>
    <n v="0"/>
    <n v="0"/>
    <n v="0"/>
    <n v="180314.86"/>
    <n v="0"/>
    <s v="24AAACO3087C1ZT"/>
    <s v="Kgs"/>
    <n v="39269080"/>
    <s v="Rs."/>
    <n v="1"/>
    <n v="0"/>
  </r>
  <r>
    <s v="19-07-2026"/>
    <x v="0"/>
    <s v="R.M.P."/>
    <s v="RM 415"/>
    <s v="Purchase Withinstate - Raw Material"/>
    <s v="PIL1/D/1111"/>
    <s v="19-07-2026"/>
    <s v="SF"/>
    <s v="PP/PE Fabric"/>
    <s v="PP Lam Fabric"/>
    <x v="1"/>
    <s v="PP Lam Fabric With UV"/>
    <n v="1250"/>
    <n v="189362.5"/>
    <s v="PP Lam Fabric With UV"/>
    <n v="0"/>
    <n v="9"/>
    <n v="17042.62"/>
    <n v="9"/>
    <n v="17042.62"/>
    <n v="0"/>
    <n v="0"/>
    <n v="0"/>
    <n v="34085.24"/>
    <n v="0"/>
    <s v="24AAACO3087C1ZT"/>
    <s v="Kgs"/>
    <n v="63053300"/>
    <s v="Rs."/>
    <n v="1"/>
    <n v="0"/>
  </r>
  <r>
    <s v="19-07-2026"/>
    <x v="0"/>
    <s v="R.M.P."/>
    <s v="RM 415"/>
    <s v="Purchase Withinstate - Raw Material"/>
    <s v="PIL1/D/1111"/>
    <s v="19-07-2026"/>
    <s v="SF"/>
    <s v="Webbing"/>
    <s v="PP Webbing"/>
    <x v="4"/>
    <s v="Webbing"/>
    <n v="165.9"/>
    <n v="24800.39"/>
    <s v="Webbing"/>
    <n v="0"/>
    <n v="9"/>
    <n v="2232.04"/>
    <n v="9"/>
    <n v="2232.04"/>
    <n v="0"/>
    <n v="0"/>
    <n v="0"/>
    <n v="4464.08"/>
    <n v="0"/>
    <s v="24AAACO3087C1ZT"/>
    <s v="Kgs"/>
    <n v="3926908"/>
    <s v="Rs."/>
    <n v="1"/>
    <n v="0"/>
  </r>
  <r>
    <s v="19-07-2026"/>
    <x v="0"/>
    <s v="R.M.P."/>
    <s v="RM 415"/>
    <s v="Purchase Withinstate - Raw Material"/>
    <s v="PIL1/D/1111"/>
    <s v="19-07-2026"/>
    <s v="SF"/>
    <s v="Webbing"/>
    <s v="PP Webbing"/>
    <x v="4"/>
    <s v="Webbing"/>
    <n v="499"/>
    <n v="73098.509999999995"/>
    <s v="Webbing"/>
    <n v="0"/>
    <n v="9"/>
    <n v="6578.87"/>
    <n v="9"/>
    <n v="6578.87"/>
    <n v="0"/>
    <n v="0"/>
    <n v="0"/>
    <n v="13157.74"/>
    <n v="0"/>
    <s v="24AAACO3087C1ZT"/>
    <s v="Kgs"/>
    <n v="3926908"/>
    <s v="Rs."/>
    <n v="1"/>
    <n v="0"/>
  </r>
  <r>
    <s v="19-07-2026"/>
    <x v="0"/>
    <s v="R.M.P."/>
    <s v="RM 415"/>
    <s v="Purchase Withinstate - Raw Material"/>
    <s v="PIL1/D/1111"/>
    <s v="19-07-2026"/>
    <s v="SF"/>
    <s v="Webbing"/>
    <s v="PP Webbing"/>
    <x v="4"/>
    <s v="Webbing"/>
    <n v="146.5"/>
    <n v="24976.79"/>
    <s v="Webbing"/>
    <n v="0"/>
    <n v="9"/>
    <n v="2247.91"/>
    <n v="9"/>
    <n v="2247.91"/>
    <n v="0"/>
    <n v="0"/>
    <n v="0"/>
    <n v="4495.82"/>
    <n v="0"/>
    <s v="24AAACO3087C1ZT"/>
    <s v="Kgs"/>
    <n v="3926908"/>
    <s v="Rs."/>
    <n v="1"/>
    <n v="0"/>
  </r>
  <r>
    <s v="19-07-2026"/>
    <x v="12"/>
    <s v="R.M.P."/>
    <s v="RM 413"/>
    <s v="Purchase Withinstate - Raw Material"/>
    <s v="PIL2/D/390"/>
    <s v="18-07-2026"/>
    <s v="FG"/>
    <s v="FIBC Bags"/>
    <s v="FIBC Bags"/>
    <x v="11"/>
    <s v="FIBC Bags With UV Without Liner"/>
    <n v="1359"/>
    <n v="263292.65999999997"/>
    <s v="FIBC Bags With UV Without Liner"/>
    <n v="1064403"/>
    <n v="9"/>
    <n v="23696.34"/>
    <n v="9"/>
    <n v="23696.34"/>
    <n v="0"/>
    <n v="0"/>
    <n v="0"/>
    <n v="47392.68"/>
    <n v="0"/>
    <s v="24AAACO3087C1ZT"/>
    <s v="Kgs"/>
    <n v="63053200"/>
    <s v="Rs."/>
    <n v="1"/>
    <n v="0"/>
  </r>
  <r>
    <s v="19-07-2026"/>
    <x v="12"/>
    <s v="R.M.P."/>
    <s v="RM 413"/>
    <s v="Purchase Withinstate - Raw Material"/>
    <s v="PIL2/D/390"/>
    <s v="18-07-2026"/>
    <s v="FG"/>
    <s v="FIBC Bags"/>
    <s v="FIBC Bags"/>
    <x v="11"/>
    <s v="FIBC Bags With UV Without Liner"/>
    <n v="4147"/>
    <n v="639508.87"/>
    <s v="FIBC Bags With UV Without Liner"/>
    <n v="0"/>
    <n v="9"/>
    <n v="57555.8"/>
    <n v="9"/>
    <n v="57555.8"/>
    <n v="0"/>
    <n v="0"/>
    <n v="0"/>
    <n v="115111.6"/>
    <n v="0"/>
    <s v="24AAACO3087C1ZT"/>
    <s v="Kgs"/>
    <n v="63053200"/>
    <s v="Rs."/>
    <n v="1"/>
    <n v="0"/>
  </r>
  <r>
    <s v="20-07-2026"/>
    <x v="27"/>
    <s v="General Purchase"/>
    <s v="GNSP 124"/>
    <s v="Purchase Withinstate- Stores, Spares &amp; Consumable"/>
    <s v="AE/2026-27/0100"/>
    <s v="14-07-2026"/>
    <s v="Stores/Spares"/>
    <s v="PVC Fittings"/>
    <s v="Spares &amp; Stores"/>
    <x v="0"/>
    <s v="Pvc Tape Roll  Red &quot;Steel Grip&quot; Make"/>
    <n v="30"/>
    <n v="255"/>
    <s v="Pvc Tape Roll  Red &quot;Steel Grip&quot; Make"/>
    <n v="2106"/>
    <n v="9"/>
    <n v="22.95"/>
    <n v="9"/>
    <n v="22.95"/>
    <n v="0"/>
    <n v="0"/>
    <n v="0"/>
    <n v="45.9"/>
    <n v="0"/>
    <s v="24HELPS8671K1ZJ"/>
    <s v="Pcs"/>
    <n v="391990"/>
    <s v="Rs."/>
    <n v="1"/>
    <n v="0"/>
  </r>
  <r>
    <s v="20-07-2026"/>
    <x v="27"/>
    <s v="General Purchase"/>
    <s v="GNSP 124"/>
    <s v="Purchase Withinstate- Stores, Spares &amp; Consumable"/>
    <s v="AE/2026-27/0100"/>
    <s v="14-07-2026"/>
    <s v="Stores/Spares"/>
    <s v="PVC Fittings"/>
    <s v="Spares &amp; Stores"/>
    <x v="0"/>
    <s v="Pvc Tape Roll  Yellow &quot;Steel Grip&quot; Make"/>
    <n v="30"/>
    <n v="255"/>
    <s v="Pvc Tape Roll  Yellow &quot;Steel Grip&quot; Make"/>
    <n v="0"/>
    <n v="9"/>
    <n v="22.95"/>
    <n v="9"/>
    <n v="22.95"/>
    <n v="0"/>
    <n v="0"/>
    <n v="0"/>
    <n v="45.9"/>
    <n v="0"/>
    <s v="24HELPS8671K1ZJ"/>
    <s v="Pcs"/>
    <n v="391990"/>
    <s v="Rs."/>
    <n v="1"/>
    <n v="0"/>
  </r>
  <r>
    <s v="20-07-2026"/>
    <x v="27"/>
    <s v="General Purchase"/>
    <s v="GNSP 124"/>
    <s v="Purchase Withinstate- Stores, Spares &amp; Consumable"/>
    <s v="AE/2026-27/0100"/>
    <s v="14-07-2026"/>
    <s v="Stores/Spares"/>
    <s v="PVC Fittings"/>
    <s v="Spares &amp; Stores"/>
    <x v="0"/>
    <s v="Pvc Tape Roll  Blue &quot;Steel Grip&quot; Make"/>
    <n v="30"/>
    <n v="255"/>
    <s v="Pvc Tape Roll  Blue &quot;Steel Grip&quot; Make"/>
    <n v="0"/>
    <n v="9"/>
    <n v="22.95"/>
    <n v="9"/>
    <n v="22.95"/>
    <n v="0"/>
    <n v="0"/>
    <n v="0"/>
    <n v="45.9"/>
    <n v="0"/>
    <s v="24HELPS8671K1ZJ"/>
    <s v="Pcs"/>
    <n v="391990"/>
    <s v="Rs."/>
    <n v="1"/>
    <n v="0"/>
  </r>
  <r>
    <s v="20-07-2026"/>
    <x v="27"/>
    <s v="General Purchase"/>
    <s v="GNSP 124"/>
    <s v="Purchase Withinstate- Stores, Spares &amp; Consumable"/>
    <s v="AE/2026-27/0100"/>
    <s v="14-07-2026"/>
    <s v="Stores/Spares"/>
    <s v="PVC Fittings"/>
    <s v="Spares &amp; Stores"/>
    <x v="0"/>
    <s v="Pvc Tape Roll  Black &quot;Steel Grip&quot; Make"/>
    <n v="90"/>
    <n v="765"/>
    <s v="Pvc Tape Roll  Black &quot;Steel Grip&quot; Make"/>
    <n v="0"/>
    <n v="9"/>
    <n v="68.849999999999994"/>
    <n v="9"/>
    <n v="68.849999999999994"/>
    <n v="0"/>
    <n v="0"/>
    <n v="0"/>
    <n v="137.69999999999999"/>
    <n v="0"/>
    <s v="24HELPS8671K1ZJ"/>
    <s v="Pcs"/>
    <n v="391990"/>
    <s v="Rs."/>
    <n v="1"/>
    <n v="0"/>
  </r>
  <r>
    <s v="20-07-2026"/>
    <x v="27"/>
    <s v="General Purchase"/>
    <s v="GNSP 124"/>
    <s v="Purchase Withinstate- Stores, Spares &amp; Consumable"/>
    <s v="AE/2026-27/0100"/>
    <s v="14-07-2026"/>
    <s v="Stores/Spares"/>
    <s v="PVC Fittings"/>
    <s v="Spares &amp; Stores"/>
    <x v="0"/>
    <s v="Pvc Tape Green"/>
    <n v="30"/>
    <n v="255"/>
    <s v="Pvc Tape Green"/>
    <n v="0"/>
    <n v="9"/>
    <n v="22.95"/>
    <n v="9"/>
    <n v="22.95"/>
    <n v="0"/>
    <n v="0"/>
    <n v="0"/>
    <n v="45.9"/>
    <n v="0"/>
    <s v="24HELPS8671K1ZJ"/>
    <s v="Pcs"/>
    <n v="391990"/>
    <s v="Rs."/>
    <n v="1"/>
    <n v="0"/>
  </r>
  <r>
    <s v="20-07-2026"/>
    <x v="28"/>
    <s v="General Purchase"/>
    <s v="GNCN 285"/>
    <s v="Purchase Withinstate- Stores, Spares &amp; Consumable"/>
    <s v="BG26-27/46"/>
    <d v="2026-11-07T00:00:00"/>
    <s v="Consumables"/>
    <s v="Rubber/Polymer Stereo"/>
    <s v="Spares &amp; Stores"/>
    <x v="0"/>
    <s v="Rubber Stereo"/>
    <n v="11284"/>
    <n v="3949.4"/>
    <s v="Rubber Stereo"/>
    <n v="8424"/>
    <n v="9"/>
    <n v="355.45"/>
    <n v="9"/>
    <n v="355.45"/>
    <n v="0"/>
    <n v="0"/>
    <n v="0"/>
    <n v="710.9"/>
    <n v="0"/>
    <s v="24BGAPP5082Q1ZW"/>
    <s v="Pcs"/>
    <n v="400200"/>
    <s v="Rs."/>
    <n v="1"/>
    <n v="0"/>
  </r>
  <r>
    <s v="20-07-2026"/>
    <x v="28"/>
    <s v="General Purchase"/>
    <s v="GNCN 285"/>
    <s v="Purchase Withinstate- Stores, Spares &amp; Consumable"/>
    <s v="BG26-27/46"/>
    <d v="2026-11-07T00:00:00"/>
    <s v="Consumables"/>
    <s v="Rubber/Polymer Stereo"/>
    <s v="Spares &amp; Stores"/>
    <x v="0"/>
    <s v="Polymer Stereo"/>
    <n v="340.42500000000001"/>
    <n v="476.6"/>
    <s v="Polymer Stereo"/>
    <n v="0"/>
    <n v="9"/>
    <n v="42.89"/>
    <n v="9"/>
    <n v="42.89"/>
    <n v="0"/>
    <n v="0"/>
    <n v="0"/>
    <n v="85.78"/>
    <n v="0"/>
    <s v="24BGAPP5082Q1ZW"/>
    <s v="CMS"/>
    <n v="37013000"/>
    <s v="Rs."/>
    <n v="1"/>
    <n v="0"/>
  </r>
  <r>
    <s v="20-07-2026"/>
    <x v="28"/>
    <s v="General Purchase"/>
    <s v="GNCN 285"/>
    <s v="Purchase Withinstate- Stores, Spares &amp; Consumable"/>
    <s v="BG26-27/46"/>
    <d v="2026-11-07T00:00:00"/>
    <s v="Consumables"/>
    <s v="Rubber/Polymer Stereo"/>
    <s v="Spares &amp; Stores"/>
    <x v="0"/>
    <s v="Polymer Stereo"/>
    <n v="324.20999999999998"/>
    <n v="453.89"/>
    <s v="Polymer Stereo"/>
    <n v="0"/>
    <n v="9"/>
    <n v="40.85"/>
    <n v="9"/>
    <n v="40.85"/>
    <n v="0"/>
    <n v="0"/>
    <n v="0"/>
    <n v="81.7"/>
    <n v="0"/>
    <s v="24BGAPP5082Q1ZW"/>
    <s v="CMS"/>
    <n v="37013000"/>
    <s v="Rs."/>
    <n v="1"/>
    <n v="0"/>
  </r>
  <r>
    <s v="20-07-2026"/>
    <x v="28"/>
    <s v="General Purchase"/>
    <s v="GNCN 285"/>
    <s v="Purchase Withinstate- Stores, Spares &amp; Consumable"/>
    <s v="BG26-27/46"/>
    <d v="2026-11-07T00:00:00"/>
    <s v="Consumables"/>
    <s v="Rubber/Polymer Stereo"/>
    <s v="Spares &amp; Stores"/>
    <x v="0"/>
    <s v="Polymer Stereo"/>
    <n v="10"/>
    <n v="14"/>
    <s v="Polymer Stereo"/>
    <n v="0"/>
    <n v="9"/>
    <n v="1.26"/>
    <n v="9"/>
    <n v="1.26"/>
    <n v="0"/>
    <n v="0"/>
    <n v="0"/>
    <n v="2.52"/>
    <n v="0"/>
    <s v="24BGAPP5082Q1ZW"/>
    <s v="CMS"/>
    <n v="37013000"/>
    <s v="Rs."/>
    <n v="1"/>
    <n v="0"/>
  </r>
  <r>
    <s v="20-07-2026"/>
    <x v="28"/>
    <s v="General Purchase"/>
    <s v="GNCN 285"/>
    <s v="Purchase Withinstate- Stores, Spares &amp; Consumable"/>
    <s v="BG26-27/46"/>
    <d v="2026-11-07T00:00:00"/>
    <s v="Consumables"/>
    <s v="Rubber/Polymer Stereo"/>
    <s v="Spares &amp; Stores"/>
    <x v="0"/>
    <s v="Polymer Stereo"/>
    <n v="414"/>
    <n v="579.6"/>
    <s v="Polymer Stereo"/>
    <n v="0"/>
    <n v="9"/>
    <n v="52.16"/>
    <n v="9"/>
    <n v="52.16"/>
    <n v="0"/>
    <n v="0"/>
    <n v="0"/>
    <n v="104.32"/>
    <n v="0"/>
    <s v="24BGAPP5082Q1ZW"/>
    <s v="CMS"/>
    <n v="37013000"/>
    <s v="Rs."/>
    <n v="1"/>
    <n v="0"/>
  </r>
  <r>
    <s v="20-07-2026"/>
    <x v="28"/>
    <s v="General Purchase"/>
    <s v="GNCN 285"/>
    <s v="Purchase Withinstate- Stores, Spares &amp; Consumable"/>
    <s v="BG26-27/46"/>
    <d v="2026-11-07T00:00:00"/>
    <s v="Consumables"/>
    <s v="Rubber/Polymer Stereo"/>
    <s v="Spares &amp; Stores"/>
    <x v="0"/>
    <s v="Polymer Stereo"/>
    <n v="173.38200000000001"/>
    <n v="242.73"/>
    <s v="Polymer Stereo"/>
    <n v="0"/>
    <n v="9"/>
    <n v="21.85"/>
    <n v="9"/>
    <n v="21.85"/>
    <n v="0"/>
    <n v="0"/>
    <n v="0"/>
    <n v="43.7"/>
    <n v="0"/>
    <s v="24BGAPP5082Q1ZW"/>
    <s v="CMS"/>
    <n v="37013000"/>
    <s v="Rs."/>
    <n v="1"/>
    <n v="0"/>
  </r>
  <r>
    <s v="20-07-2026"/>
    <x v="28"/>
    <s v="General Purchase"/>
    <s v="GNCN 285"/>
    <s v="Purchase Withinstate- Stores, Spares &amp; Consumable"/>
    <s v="BG26-27/46"/>
    <d v="2026-11-07T00:00:00"/>
    <s v="Consumables"/>
    <s v="Rubber/Polymer Stereo"/>
    <s v="Spares &amp; Stores"/>
    <x v="0"/>
    <s v="Polymer Stereo"/>
    <n v="443.19"/>
    <n v="620.47"/>
    <s v="Polymer Stereo"/>
    <n v="0"/>
    <n v="9"/>
    <n v="55.84"/>
    <n v="9"/>
    <n v="55.84"/>
    <n v="0"/>
    <n v="0"/>
    <n v="0"/>
    <n v="111.68"/>
    <n v="0"/>
    <s v="24BGAPP5082Q1ZW"/>
    <s v="CMS"/>
    <n v="37013000"/>
    <s v="Rs."/>
    <n v="1"/>
    <n v="0"/>
  </r>
  <r>
    <s v="20-07-2026"/>
    <x v="28"/>
    <s v="General Purchase"/>
    <s v="GNCN 285"/>
    <s v="Purchase Withinstate- Stores, Spares &amp; Consumable"/>
    <s v="BG26-27/46"/>
    <d v="2026-11-07T00:00:00"/>
    <s v="Consumables"/>
    <s v="Rubber/Polymer Stereo"/>
    <s v="Spares &amp; Stores"/>
    <x v="0"/>
    <s v="Polymer Stereo"/>
    <n v="249.04"/>
    <n v="348.66"/>
    <s v="Polymer Stereo"/>
    <n v="0"/>
    <n v="9"/>
    <n v="31.38"/>
    <n v="9"/>
    <n v="31.38"/>
    <n v="0"/>
    <n v="0"/>
    <n v="0"/>
    <n v="62.76"/>
    <n v="0"/>
    <s v="24BGAPP5082Q1ZW"/>
    <s v="CMS"/>
    <n v="37013000"/>
    <s v="Rs."/>
    <n v="1"/>
    <n v="0"/>
  </r>
  <r>
    <s v="20-07-2026"/>
    <x v="28"/>
    <s v="General Purchase"/>
    <s v="GNCN 285"/>
    <s v="Purchase Withinstate- Stores, Spares &amp; Consumable"/>
    <s v="BG26-27/46"/>
    <d v="2026-11-07T00:00:00"/>
    <s v="Consumables"/>
    <s v="Rubber/Polymer Stereo"/>
    <s v="Spares &amp; Stores"/>
    <x v="0"/>
    <s v="Polymer Stereo"/>
    <n v="324.20999999999998"/>
    <n v="453.89"/>
    <s v="Polymer Stereo"/>
    <n v="0"/>
    <n v="9"/>
    <n v="40.85"/>
    <n v="9"/>
    <n v="40.85"/>
    <n v="0"/>
    <n v="0"/>
    <n v="0"/>
    <n v="81.7"/>
    <n v="0"/>
    <s v="24BGAPP5082Q1ZW"/>
    <s v="CMS"/>
    <n v="37013000"/>
    <s v="Rs."/>
    <n v="1"/>
    <n v="0"/>
  </r>
  <r>
    <s v="20-07-2026"/>
    <x v="29"/>
    <s v="General Purchase"/>
    <s v="GNSP 126"/>
    <s v="Purchase Withinstate- Stores, Spares &amp; Consumable"/>
    <s v="JSS/1915/2026-27"/>
    <s v="17-07-2026"/>
    <s v="Stores/Spares"/>
    <s v="Stitching Spares"/>
    <s v="Spares &amp; Stores"/>
    <x v="0"/>
    <s v="Needle Gb-200"/>
    <n v="100"/>
    <n v="12800"/>
    <s v="Needle Gb-200"/>
    <n v="13440"/>
    <n v="2.5"/>
    <n v="320"/>
    <n v="2.5"/>
    <n v="320"/>
    <n v="0"/>
    <n v="0"/>
    <n v="0"/>
    <n v="640"/>
    <n v="0"/>
    <s v="24AAECJ8001D1Z4"/>
    <s v="Pcs"/>
    <n v="8452309"/>
    <s v="Rs."/>
    <n v="1"/>
    <n v="0"/>
  </r>
  <r>
    <s v="20-07-2026"/>
    <x v="30"/>
    <s v="General Purchase"/>
    <s v="GNSP 125"/>
    <s v="Purchase Withinstate- Stores, Spares &amp; Consumable"/>
    <s v="MIG/277/26-27"/>
    <d v="2026-11-07T00:00:00"/>
    <s v="Capex"/>
    <s v="Office Equipments"/>
    <s v="Spares &amp; Stores"/>
    <x v="0"/>
    <s v="Ups Battary"/>
    <n v="1"/>
    <n v="720"/>
    <s v="Ups Battary"/>
    <n v="850"/>
    <n v="9"/>
    <n v="64.8"/>
    <n v="9"/>
    <n v="64.8"/>
    <n v="0"/>
    <n v="0"/>
    <n v="0"/>
    <n v="129.6"/>
    <n v="0"/>
    <s v="24APUPB7646G1ZN"/>
    <s v="Pcs"/>
    <n v="850710"/>
    <s v="Rs."/>
    <n v="1"/>
    <n v="0"/>
  </r>
  <r>
    <s v="20-07-2026"/>
    <x v="0"/>
    <s v="General Purchase"/>
    <s v="GNCN 286"/>
    <s v="Purchase Withinstate- Stores, Spares &amp; Consumable"/>
    <s v="PIL1/D/1121"/>
    <s v="20-07-2026"/>
    <s v="Stores/Spares"/>
    <s v="MS Structure Items"/>
    <s v="Spares &amp; Stores"/>
    <x v="0"/>
    <s v="MS Pipe 4  C Class"/>
    <n v="256"/>
    <n v="12288"/>
    <s v="MS Pipe 4  C Class"/>
    <n v="14487.55"/>
    <n v="9"/>
    <n v="1105.92"/>
    <n v="9"/>
    <n v="1105.92"/>
    <n v="0"/>
    <n v="0"/>
    <n v="0"/>
    <n v="2211.84"/>
    <n v="0"/>
    <s v="24AAACO3087C1ZT"/>
    <s v="Kgs"/>
    <n v="73063090"/>
    <s v="Rs."/>
    <n v="1"/>
    <n v="0"/>
  </r>
  <r>
    <s v="20-07-2026"/>
    <x v="0"/>
    <s v="R.M.P."/>
    <s v="RM 416"/>
    <s v="Purchase Withinstate - Raw Material"/>
    <s v="PIL1/D/1118"/>
    <s v="20-07-2026"/>
    <s v="SF"/>
    <s v="PP/PE Fabric"/>
    <s v="PP UL Fabric"/>
    <x v="2"/>
    <s v="PP UL Fabric With UV"/>
    <n v="6419"/>
    <n v="927481.31"/>
    <s v="PP UL Fabric With UV"/>
    <n v="1334355.51"/>
    <n v="9"/>
    <n v="83473.320000000007"/>
    <n v="9"/>
    <n v="83473.320000000007"/>
    <n v="0"/>
    <n v="0"/>
    <n v="0"/>
    <n v="166946.64000000001"/>
    <n v="0"/>
    <s v="24AAACO3087C1ZT"/>
    <s v="Kgs"/>
    <n v="39269080"/>
    <s v="Rs."/>
    <n v="1"/>
    <n v="0"/>
  </r>
  <r>
    <s v="20-07-2026"/>
    <x v="0"/>
    <s v="R.M.P."/>
    <s v="RM 416"/>
    <s v="Purchase Withinstate - Raw Material"/>
    <s v="PIL1/D/1118"/>
    <s v="20-07-2026"/>
    <s v="SF"/>
    <s v="PP/PE Fabric"/>
    <s v="PP UL Fabric"/>
    <x v="2"/>
    <s v="PP UL Fabric With UV"/>
    <n v="227"/>
    <n v="33480.230000000003"/>
    <s v="PP UL Fabric With UV"/>
    <n v="0"/>
    <n v="9"/>
    <n v="3013.22"/>
    <n v="9"/>
    <n v="3013.22"/>
    <n v="0"/>
    <n v="0"/>
    <n v="0"/>
    <n v="6026.44"/>
    <n v="0"/>
    <s v="24AAACO3087C1ZT"/>
    <s v="Kgs"/>
    <n v="39269080"/>
    <s v="Rs."/>
    <n v="1"/>
    <n v="0"/>
  </r>
  <r>
    <s v="20-07-2026"/>
    <x v="0"/>
    <s v="R.M.P."/>
    <s v="RM 416"/>
    <s v="Purchase Withinstate - Raw Material"/>
    <s v="PIL1/D/1118"/>
    <s v="20-07-2026"/>
    <s v="SF"/>
    <s v="PP/PE Fabric"/>
    <s v="PP UL Fabric"/>
    <x v="2"/>
    <s v="PP UL Fabric With UV"/>
    <n v="1166"/>
    <n v="170807.34"/>
    <s v="PP UL Fabric With UV"/>
    <n v="0"/>
    <n v="9"/>
    <n v="15372.66"/>
    <n v="9"/>
    <n v="15372.66"/>
    <n v="0"/>
    <n v="0"/>
    <n v="0"/>
    <n v="30745.32"/>
    <n v="0"/>
    <s v="24AAACO3087C1ZT"/>
    <s v="Kgs"/>
    <n v="39269080"/>
    <s v="Rs."/>
    <n v="1"/>
    <n v="0"/>
  </r>
  <r>
    <s v="20-07-2026"/>
    <x v="0"/>
    <s v="R.M.P."/>
    <s v="RM 417"/>
    <s v="Purchase Withinstate - Raw Material"/>
    <s v="PIL1/D/1122"/>
    <s v="20-07-2026"/>
    <s v="SF"/>
    <s v="Liners"/>
    <s v="LDPE/LLDPE Bags"/>
    <x v="3"/>
    <s v="LDPE/LLDPE Bags/Liner"/>
    <n v="1473"/>
    <n v="269234.94"/>
    <s v="LDPE/LLDPE Bags/Liner"/>
    <n v="1017016.83"/>
    <n v="9"/>
    <n v="24231.14"/>
    <n v="9"/>
    <n v="24231.14"/>
    <n v="0"/>
    <n v="0"/>
    <n v="0"/>
    <n v="48462.28"/>
    <n v="0"/>
    <s v="24AAACO3087C1ZT"/>
    <s v="Kgs"/>
    <n v="39200000"/>
    <s v="Rs."/>
    <n v="1"/>
    <n v="0"/>
  </r>
  <r>
    <s v="20-07-2026"/>
    <x v="0"/>
    <s v="R.M.P."/>
    <s v="RM 417"/>
    <s v="Purchase Withinstate - Raw Material"/>
    <s v="PIL1/D/1122"/>
    <s v="20-07-2026"/>
    <s v="SF"/>
    <s v="PP/PE Fabric"/>
    <s v="PP UL Fabric"/>
    <x v="2"/>
    <s v="PP UL Fabric With UV"/>
    <n v="2018"/>
    <n v="291580.82"/>
    <s v="PP UL Fabric With UV"/>
    <n v="0"/>
    <n v="9"/>
    <n v="26242.27"/>
    <n v="9"/>
    <n v="26242.27"/>
    <n v="0"/>
    <n v="0"/>
    <n v="0"/>
    <n v="52484.54"/>
    <n v="0"/>
    <s v="24AAACO3087C1ZT"/>
    <s v="Kgs"/>
    <n v="39269080"/>
    <s v="Rs."/>
    <n v="1"/>
    <n v="0"/>
  </r>
  <r>
    <s v="20-07-2026"/>
    <x v="0"/>
    <s v="R.M.P."/>
    <s v="RM 417"/>
    <s v="Purchase Withinstate - Raw Material"/>
    <s v="PIL1/D/1122"/>
    <s v="20-07-2026"/>
    <s v="SF"/>
    <s v="PP/PE Fabric"/>
    <s v="PP Lam Fabric"/>
    <x v="1"/>
    <s v="PP Lam Fabric With UV"/>
    <n v="305"/>
    <n v="46204.45"/>
    <s v="PP Lam Fabric With UV"/>
    <n v="0"/>
    <n v="9"/>
    <n v="4158.3999999999996"/>
    <n v="9"/>
    <n v="4158.3999999999996"/>
    <n v="0"/>
    <n v="0"/>
    <n v="0"/>
    <n v="8316.7999999999993"/>
    <n v="0"/>
    <s v="24AAACO3087C1ZT"/>
    <s v="Kgs"/>
    <n v="63053300"/>
    <s v="Rs."/>
    <n v="1"/>
    <n v="0"/>
  </r>
  <r>
    <s v="20-07-2026"/>
    <x v="0"/>
    <s v="R.M.P."/>
    <s v="RM 417"/>
    <s v="Purchase Withinstate - Raw Material"/>
    <s v="PIL1/D/1122"/>
    <s v="20-07-2026"/>
    <s v="SF"/>
    <s v="PP/PE Fabric"/>
    <s v="PP Lam Fabric"/>
    <x v="1"/>
    <s v="PP Lam Fabric With UV"/>
    <n v="1193"/>
    <n v="177148.57"/>
    <s v="PP Lam Fabric With UV"/>
    <n v="0"/>
    <n v="9"/>
    <n v="15943.37"/>
    <n v="9"/>
    <n v="15943.37"/>
    <n v="0"/>
    <n v="0"/>
    <n v="0"/>
    <n v="31886.74"/>
    <n v="0"/>
    <s v="24AAACO3087C1ZT"/>
    <s v="Kgs"/>
    <n v="63053300"/>
    <s v="Rs."/>
    <n v="1"/>
    <n v="0"/>
  </r>
  <r>
    <s v="20-07-2026"/>
    <x v="0"/>
    <s v="R.M.P."/>
    <s v="RM 417"/>
    <s v="Purchase Withinstate - Raw Material"/>
    <s v="PIL1/D/1122"/>
    <s v="20-07-2026"/>
    <s v="SF"/>
    <s v="Webbing"/>
    <s v="PP Webbing"/>
    <x v="4"/>
    <s v="Webbing"/>
    <n v="159.30000000000001"/>
    <n v="27159.06"/>
    <s v="Webbing"/>
    <n v="0"/>
    <n v="9"/>
    <n v="2444.3200000000002"/>
    <n v="9"/>
    <n v="2444.3200000000002"/>
    <n v="0"/>
    <n v="0"/>
    <n v="0"/>
    <n v="4888.6400000000003"/>
    <n v="0"/>
    <s v="24AAACO3087C1ZT"/>
    <s v="Kgs"/>
    <n v="3926908"/>
    <s v="Rs."/>
    <n v="1"/>
    <n v="0"/>
  </r>
  <r>
    <s v="20-07-2026"/>
    <x v="0"/>
    <s v="R.M.P."/>
    <s v="RM 417"/>
    <s v="Purchase Withinstate - Raw Material"/>
    <s v="PIL1/D/1122"/>
    <s v="20-07-2026"/>
    <s v="SF"/>
    <s v="Webbing"/>
    <s v="PP Webbing"/>
    <x v="4"/>
    <s v="Webbing"/>
    <n v="164.6"/>
    <n v="24606.05"/>
    <s v="Webbing"/>
    <n v="0"/>
    <n v="9"/>
    <n v="2214.54"/>
    <n v="9"/>
    <n v="2214.54"/>
    <n v="0"/>
    <n v="0"/>
    <n v="0"/>
    <n v="4429.08"/>
    <n v="0"/>
    <s v="24AAACO3087C1ZT"/>
    <s v="Kgs"/>
    <n v="3926908"/>
    <s v="Rs."/>
    <n v="1"/>
    <n v="0"/>
  </r>
  <r>
    <s v="20-07-2026"/>
    <x v="0"/>
    <s v="R.M.P."/>
    <s v="RM 417"/>
    <s v="Purchase Withinstate - Raw Material"/>
    <s v="PIL1/D/1122"/>
    <s v="20-07-2026"/>
    <s v="SF"/>
    <s v="Webbing"/>
    <s v="PP Webbing"/>
    <x v="4"/>
    <s v="Webbing"/>
    <n v="182.1"/>
    <n v="26675.83"/>
    <s v="Webbing"/>
    <n v="0"/>
    <n v="9"/>
    <n v="2400.8200000000002"/>
    <n v="9"/>
    <n v="2400.8200000000002"/>
    <n v="0"/>
    <n v="0"/>
    <n v="0"/>
    <n v="4801.6400000000003"/>
    <n v="0"/>
    <s v="24AAACO3087C1ZT"/>
    <s v="Kgs"/>
    <n v="3926908"/>
    <s v="Rs."/>
    <n v="1"/>
    <n v="0"/>
  </r>
  <r>
    <s v="20-07-2026"/>
    <x v="19"/>
    <s v="General Purchase"/>
    <s v="GNCN 281"/>
    <s v="Purchase Withinstate- Stores, Spares &amp; Consumable"/>
    <n v="1445"/>
    <s v="13-07-2026"/>
    <s v="Consumables"/>
    <s v="Rubber/Polymer Stereo"/>
    <s v="Spares &amp; Stores"/>
    <x v="0"/>
    <s v="Rubber Stereo"/>
    <n v="1320"/>
    <n v="462"/>
    <s v="Rubber Stereo"/>
    <n v="876"/>
    <n v="9"/>
    <n v="41.58"/>
    <n v="9"/>
    <n v="41.58"/>
    <n v="0"/>
    <n v="0"/>
    <n v="0"/>
    <n v="83.16"/>
    <n v="0"/>
    <s v="24AHDPC2510M1ZU"/>
    <s v="Pcs"/>
    <n v="400200"/>
    <s v="Rs."/>
    <n v="1"/>
    <n v="0"/>
  </r>
  <r>
    <s v="20-07-2026"/>
    <x v="19"/>
    <s v="General Purchase"/>
    <s v="GNCN 281"/>
    <s v="Purchase Withinstate- Stores, Spares &amp; Consumable"/>
    <n v="1445"/>
    <s v="13-07-2026"/>
    <s v="Consumables"/>
    <s v="Rubber/Polymer Stereo"/>
    <s v="Spares &amp; Stores"/>
    <x v="0"/>
    <s v="Rubber Stereo"/>
    <n v="800"/>
    <n v="280"/>
    <s v="Rubber Stereo"/>
    <n v="0"/>
    <n v="9"/>
    <n v="25.2"/>
    <n v="9"/>
    <n v="25.2"/>
    <n v="0"/>
    <n v="0"/>
    <n v="0"/>
    <n v="50.4"/>
    <n v="0"/>
    <s v="24AHDPC2510M1ZU"/>
    <s v="Pcs"/>
    <n v="400200"/>
    <s v="Rs."/>
    <n v="1"/>
    <n v="0"/>
  </r>
  <r>
    <s v="20-07-2026"/>
    <x v="19"/>
    <s v="General Purchase"/>
    <s v="GNCN 283"/>
    <s v="Purchase Withinstate- Stores, Spares &amp; Consumable"/>
    <n v="1377"/>
    <d v="2026-08-07T00:00:00"/>
    <s v="Consumables"/>
    <s v="Rubber/Polymer Stereo"/>
    <s v="Spares &amp; Stores"/>
    <x v="0"/>
    <s v="Rubber Stereo"/>
    <n v="1680"/>
    <n v="588"/>
    <s v="Rubber Stereo"/>
    <n v="1421"/>
    <n v="9"/>
    <n v="52.92"/>
    <n v="9"/>
    <n v="52.92"/>
    <n v="0"/>
    <n v="0"/>
    <n v="0"/>
    <n v="105.84"/>
    <n v="0"/>
    <s v="24AHDPC2510M1ZU"/>
    <s v="Pcs"/>
    <n v="400200"/>
    <s v="Rs."/>
    <n v="1"/>
    <n v="0"/>
  </r>
  <r>
    <s v="20-07-2026"/>
    <x v="19"/>
    <s v="General Purchase"/>
    <s v="GNCN 283"/>
    <s v="Purchase Withinstate- Stores, Spares &amp; Consumable"/>
    <n v="1377"/>
    <d v="2026-08-07T00:00:00"/>
    <s v="Consumables"/>
    <s v="Rubber/Polymer Stereo"/>
    <s v="Spares &amp; Stores"/>
    <x v="0"/>
    <s v="Rubber Stereo"/>
    <n v="81"/>
    <n v="28.35"/>
    <s v="Rubber Stereo"/>
    <n v="0"/>
    <n v="9"/>
    <n v="2.5499999999999998"/>
    <n v="9"/>
    <n v="2.5499999999999998"/>
    <n v="0"/>
    <n v="0"/>
    <n v="0"/>
    <n v="5.0999999999999996"/>
    <n v="0"/>
    <s v="24AHDPC2510M1ZU"/>
    <s v="Pcs"/>
    <n v="400200"/>
    <s v="Rs."/>
    <n v="1"/>
    <n v="0"/>
  </r>
  <r>
    <s v="20-07-2026"/>
    <x v="19"/>
    <s v="General Purchase"/>
    <s v="GNCN 283"/>
    <s v="Purchase Withinstate- Stores, Spares &amp; Consumable"/>
    <n v="1377"/>
    <d v="2026-08-07T00:00:00"/>
    <s v="Consumables"/>
    <s v="Rubber/Polymer Stereo"/>
    <s v="Spares &amp; Stores"/>
    <x v="0"/>
    <s v="Rubber Stereo"/>
    <n v="1680"/>
    <n v="588"/>
    <s v="Rubber Stereo"/>
    <n v="0"/>
    <n v="9"/>
    <n v="52.92"/>
    <n v="9"/>
    <n v="52.92"/>
    <n v="0"/>
    <n v="0"/>
    <n v="0"/>
    <n v="105.84"/>
    <n v="0"/>
    <s v="24AHDPC2510M1ZU"/>
    <s v="Pcs"/>
    <n v="400200"/>
    <s v="Rs."/>
    <n v="1"/>
    <n v="0"/>
  </r>
  <r>
    <s v="20-07-2026"/>
    <x v="11"/>
    <s v="Purchase"/>
    <s v="GNPK 71"/>
    <s v="Purchase Withinstate- Packing Material"/>
    <s v="SS/SL/26-27/223"/>
    <s v="20-07-2026"/>
    <s v="Packing Material"/>
    <s v="Pallets"/>
    <s v="Packing Material"/>
    <x v="9"/>
    <s v="Wooden Pallet Flate Size 85X105Cm"/>
    <n v="180"/>
    <n v="92520"/>
    <s v="Wooden Pallet Flate Size 85X105Cm"/>
    <n v="107940"/>
    <n v="2.5"/>
    <n v="2313"/>
    <n v="2.5"/>
    <n v="2313"/>
    <n v="0"/>
    <n v="0"/>
    <n v="0"/>
    <n v="4626"/>
    <n v="0"/>
    <s v="24ABLCS6579H1ZR"/>
    <s v="Pcs"/>
    <n v="44152000"/>
    <s v="Rs."/>
    <n v="1"/>
    <n v="0"/>
  </r>
  <r>
    <s v="20-07-2026"/>
    <x v="11"/>
    <s v="Purchase"/>
    <s v="GNPK 71"/>
    <s v="Purchase Withinstate- Packing Material"/>
    <s v="SS/SL/26-27/223"/>
    <s v="20-07-2026"/>
    <s v="Packing Material"/>
    <s v="Pallets"/>
    <s v="Packing Material"/>
    <x v="9"/>
    <s v="Wooden Pallet Flate Size 85X105Cm"/>
    <n v="20"/>
    <n v="10280"/>
    <s v="Wooden Pallet Flate Size 85X105Cm"/>
    <n v="0"/>
    <n v="2.5"/>
    <n v="257"/>
    <n v="2.5"/>
    <n v="257"/>
    <n v="0"/>
    <n v="0"/>
    <n v="0"/>
    <n v="514"/>
    <n v="0"/>
    <s v="24ABLCS6579H1ZR"/>
    <s v="Pcs"/>
    <n v="44152000"/>
    <s v="Rs."/>
    <n v="1"/>
    <n v="0"/>
  </r>
  <r>
    <s v="20-07-2026"/>
    <x v="20"/>
    <s v="General Purchase"/>
    <s v="GNCN 284"/>
    <s v="Purchase Withinstate- Stores, Spares &amp; Consumable"/>
    <n v="9440"/>
    <d v="2026-07-07T00:00:00"/>
    <s v="Consumables"/>
    <s v="Rubber/Polymer Stereo"/>
    <s v="Spares &amp; Stores"/>
    <x v="0"/>
    <s v="Polymer Stereo"/>
    <n v="2060.11"/>
    <n v="2369.13"/>
    <s v="Polymer Stereo"/>
    <n v="14754"/>
    <n v="9"/>
    <n v="213.22"/>
    <n v="9"/>
    <n v="213.22"/>
    <n v="0"/>
    <n v="0"/>
    <n v="0"/>
    <n v="426.44"/>
    <n v="0"/>
    <s v="24AARFT4204A1ZK"/>
    <s v="CMS"/>
    <n v="37013000"/>
    <s v="Rs."/>
    <n v="1"/>
    <n v="0"/>
  </r>
  <r>
    <s v="20-07-2026"/>
    <x v="20"/>
    <s v="General Purchase"/>
    <s v="GNCN 284"/>
    <s v="Purchase Withinstate- Stores, Spares &amp; Consumable"/>
    <n v="9440"/>
    <d v="2026-07-07T00:00:00"/>
    <s v="Consumables"/>
    <s v="Rubber/Polymer Stereo"/>
    <s v="Spares &amp; Stores"/>
    <x v="0"/>
    <s v="Polymer Stereo"/>
    <n v="1993.38"/>
    <n v="2292.39"/>
    <s v="Polymer Stereo"/>
    <n v="0"/>
    <n v="9"/>
    <n v="206.31"/>
    <n v="9"/>
    <n v="206.31"/>
    <n v="0"/>
    <n v="0"/>
    <n v="0"/>
    <n v="412.62"/>
    <n v="0"/>
    <s v="24AARFT4204A1ZK"/>
    <s v="CMS"/>
    <n v="37013000"/>
    <s v="Rs."/>
    <n v="1"/>
    <n v="0"/>
  </r>
  <r>
    <s v="20-07-2026"/>
    <x v="20"/>
    <s v="General Purchase"/>
    <s v="GNCN 284"/>
    <s v="Purchase Withinstate- Stores, Spares &amp; Consumable"/>
    <n v="9440"/>
    <d v="2026-07-07T00:00:00"/>
    <s v="Consumables"/>
    <s v="Rubber/Polymer Stereo"/>
    <s v="Spares &amp; Stores"/>
    <x v="0"/>
    <s v="Polymer Stereo"/>
    <n v="3422.2"/>
    <n v="3935.53"/>
    <s v="Polymer Stereo"/>
    <n v="0"/>
    <n v="9"/>
    <n v="354.2"/>
    <n v="9"/>
    <n v="354.2"/>
    <n v="0"/>
    <n v="0"/>
    <n v="0"/>
    <n v="708.4"/>
    <n v="0"/>
    <s v="24AARFT4204A1ZK"/>
    <s v="CMS"/>
    <n v="37013000"/>
    <s v="Rs."/>
    <n v="1"/>
    <n v="0"/>
  </r>
  <r>
    <s v="20-07-2026"/>
    <x v="20"/>
    <s v="General Purchase"/>
    <s v="GNCN 284"/>
    <s v="Purchase Withinstate- Stores, Spares &amp; Consumable"/>
    <n v="9440"/>
    <d v="2026-07-07T00:00:00"/>
    <s v="Consumables"/>
    <s v="Rubber/Polymer Stereo"/>
    <s v="Spares &amp; Stores"/>
    <x v="0"/>
    <s v="Polymer Stereo"/>
    <n v="3396.5"/>
    <n v="3905.98"/>
    <s v="Polymer Stereo"/>
    <n v="0"/>
    <n v="9"/>
    <n v="351.54"/>
    <n v="9"/>
    <n v="351.54"/>
    <n v="0"/>
    <n v="0"/>
    <n v="0"/>
    <n v="703.08"/>
    <n v="0"/>
    <s v="24AARFT4204A1ZK"/>
    <s v="CMS"/>
    <n v="37013000"/>
    <s v="Rs."/>
    <n v="1"/>
    <n v="0"/>
  </r>
  <r>
    <s v="21-07-2026"/>
    <x v="14"/>
    <s v="General Purchase"/>
    <s v="GNSP 127"/>
    <s v="Purchase Withinstate- Stores, Spares &amp; Consumable"/>
    <s v="GST/26-27/3245"/>
    <s v="13-07-2026"/>
    <s v="Stores/Spares"/>
    <s v="Stitching Spares"/>
    <s v="Spares &amp; Stores"/>
    <x v="0"/>
    <s v="Looper # 50275"/>
    <n v="50"/>
    <n v="6900"/>
    <s v="Looper # 50275"/>
    <n v="15519"/>
    <n v="2.5"/>
    <n v="172.5"/>
    <n v="2.5"/>
    <n v="172.5"/>
    <n v="0"/>
    <n v="0"/>
    <n v="7"/>
    <n v="352"/>
    <n v="0"/>
    <s v="24ABAFA4683N1Z8"/>
    <s v="Pcs"/>
    <n v="73181500"/>
    <s v="Rs."/>
    <n v="1"/>
    <n v="0"/>
  </r>
  <r>
    <s v="21-07-2026"/>
    <x v="14"/>
    <s v="General Purchase"/>
    <s v="GNSP 127"/>
    <s v="Purchase Withinstate- Stores, Spares &amp; Consumable"/>
    <s v="GST/26-27/3245"/>
    <s v="13-07-2026"/>
    <s v="Stores/Spares"/>
    <s v="Stitching Spares"/>
    <s v="Spares &amp; Stores"/>
    <x v="0"/>
    <s v="Feed Dog # 502J122"/>
    <n v="30"/>
    <n v="7740"/>
    <s v="Feed Dog # 502J122"/>
    <n v="0"/>
    <n v="2.5"/>
    <n v="193.5"/>
    <n v="2.5"/>
    <n v="193.5"/>
    <n v="0"/>
    <n v="0"/>
    <n v="7"/>
    <n v="394"/>
    <n v="0"/>
    <s v="24ABAFA4683N1Z8"/>
    <s v="Pcs"/>
    <n v="84529099"/>
    <s v="Rs."/>
    <n v="1"/>
    <n v="0"/>
  </r>
  <r>
    <s v="21-07-2026"/>
    <x v="14"/>
    <s v="General Purchase"/>
    <s v="GNSP 128"/>
    <s v="Purchase Withinstate- Stores, Spares &amp; Consumable"/>
    <s v="GST/26-27/3339"/>
    <s v="15-07-2026"/>
    <s v="Stores/Spares"/>
    <s v="Stitching Spares"/>
    <s v="Spares &amp; Stores"/>
    <x v="0"/>
    <s v="Looper For Double Locked Stitch  (41308 C)"/>
    <n v="10"/>
    <n v="29080"/>
    <s v="Looper For Double Locked Stitch  (41308 C)"/>
    <n v="37832"/>
    <n v="2.5"/>
    <n v="727"/>
    <n v="2.5"/>
    <n v="727"/>
    <n v="0"/>
    <n v="0"/>
    <n v="2.5"/>
    <n v="1456.5"/>
    <n v="0"/>
    <s v="24ABAFA4683N1Z8"/>
    <s v="Pcs"/>
    <n v="84529099"/>
    <s v="Rs."/>
    <n v="1"/>
    <n v="0"/>
  </r>
  <r>
    <s v="21-07-2026"/>
    <x v="14"/>
    <s v="General Purchase"/>
    <s v="GNSP 128"/>
    <s v="Purchase Withinstate- Stores, Spares &amp; Consumable"/>
    <s v="GST/26-27/3339"/>
    <s v="15-07-2026"/>
    <s v="Stores/Spares"/>
    <s v="Stitching Spares"/>
    <s v="Spares &amp; Stores"/>
    <x v="0"/>
    <s v="Looper # 50275"/>
    <n v="50"/>
    <n v="6900"/>
    <s v="Looper # 50275"/>
    <n v="0"/>
    <n v="2.5"/>
    <n v="172.5"/>
    <n v="2.5"/>
    <n v="172.5"/>
    <n v="0"/>
    <n v="0"/>
    <n v="2.5"/>
    <n v="347.5"/>
    <n v="0"/>
    <s v="24ABAFA4683N1Z8"/>
    <s v="Pcs"/>
    <n v="73181500"/>
    <s v="Rs."/>
    <n v="1"/>
    <n v="0"/>
  </r>
  <r>
    <s v="21-07-2026"/>
    <x v="0"/>
    <s v="General Purchase"/>
    <s v="GNCN 287"/>
    <s v="Purchase Withinstate- Stores, Spares &amp; Consumable"/>
    <s v="PIL1/D/1133"/>
    <s v="21-07-2026"/>
    <s v="Stores/Spares"/>
    <s v="MS Structure Items"/>
    <s v="Spares &amp; Stores"/>
    <x v="0"/>
    <s v="MS Pipe 4  C Class"/>
    <n v="335"/>
    <n v="16080"/>
    <s v="MS Pipe 4  C Class"/>
    <n v="18958.32"/>
    <n v="9"/>
    <n v="1447.2"/>
    <n v="9"/>
    <n v="1447.2"/>
    <n v="0"/>
    <n v="0"/>
    <n v="0"/>
    <n v="2894.4"/>
    <n v="0"/>
    <s v="24AAACO3087C1ZT"/>
    <s v="Kgs"/>
    <n v="73063090"/>
    <s v="Rs."/>
    <n v="1"/>
    <n v="0"/>
  </r>
  <r>
    <s v="21-07-2026"/>
    <x v="0"/>
    <s v="R.M.P."/>
    <s v="RM 418"/>
    <s v="Purchase Withinstate - Raw Material"/>
    <s v="PIL1/D/1130"/>
    <s v="21-07-2026"/>
    <s v="SF"/>
    <s v="PP/PE Fabric"/>
    <s v="PP UL Fabric"/>
    <x v="2"/>
    <s v="PP UL Fabric With UV"/>
    <n v="239"/>
    <n v="34533.11"/>
    <s v="PP UL Fabric With UV"/>
    <n v="40714.54"/>
    <n v="9"/>
    <n v="3107.98"/>
    <n v="9"/>
    <n v="3107.98"/>
    <n v="0"/>
    <n v="0"/>
    <n v="0"/>
    <n v="6215.96"/>
    <n v="0"/>
    <s v="24AAACO3087C1ZT"/>
    <s v="Kgs"/>
    <n v="39269080"/>
    <s v="Rs."/>
    <n v="1"/>
    <n v="0"/>
  </r>
  <r>
    <s v="21-07-2026"/>
    <x v="0"/>
    <s v="R.M.P."/>
    <s v="RM 419"/>
    <s v="Purchase Withinstate - Raw Material"/>
    <s v="PIL1/D/1129"/>
    <s v="21-07-2026"/>
    <s v="SF"/>
    <s v="PP/PE Fabric"/>
    <s v="PP UL Fabric"/>
    <x v="2"/>
    <s v="PP UL Fabric With UV"/>
    <n v="6657"/>
    <n v="961869.93"/>
    <s v="PP UL Fabric With UV"/>
    <n v="1418309.31"/>
    <n v="9"/>
    <n v="86568.29"/>
    <n v="9"/>
    <n v="86568.29"/>
    <n v="0"/>
    <n v="0"/>
    <n v="0"/>
    <n v="173136.58"/>
    <n v="0"/>
    <s v="24AAACO3087C1ZT"/>
    <s v="Kgs"/>
    <n v="39269080"/>
    <s v="Rs."/>
    <n v="1"/>
    <n v="0"/>
  </r>
  <r>
    <s v="21-07-2026"/>
    <x v="0"/>
    <s v="R.M.P."/>
    <s v="RM 419"/>
    <s v="Purchase Withinstate - Raw Material"/>
    <s v="PIL1/D/1129"/>
    <s v="21-07-2026"/>
    <s v="SF"/>
    <s v="PP/PE Fabric"/>
    <s v="PP UL Fabric"/>
    <x v="2"/>
    <s v="PP UL Fabric With UV"/>
    <n v="1072"/>
    <n v="157037.28"/>
    <s v="PP UL Fabric With UV"/>
    <n v="0"/>
    <n v="9"/>
    <n v="14133.36"/>
    <n v="9"/>
    <n v="14133.36"/>
    <n v="0"/>
    <n v="0"/>
    <n v="0"/>
    <n v="28266.720000000001"/>
    <n v="0"/>
    <s v="24AAACO3087C1ZT"/>
    <s v="Kgs"/>
    <n v="39269080"/>
    <s v="Rs."/>
    <n v="1"/>
    <n v="0"/>
  </r>
  <r>
    <s v="21-07-2026"/>
    <x v="0"/>
    <s v="R.M.P."/>
    <s v="RM 419"/>
    <s v="Purchase Withinstate - Raw Material"/>
    <s v="PIL1/D/1129"/>
    <s v="21-07-2026"/>
    <s v="SF"/>
    <s v="PP/PE Fabric"/>
    <s v="PP UL Fabric"/>
    <x v="2"/>
    <s v="PP UL Fabric With UV"/>
    <n v="570"/>
    <n v="84069.3"/>
    <s v="PP UL Fabric With UV"/>
    <n v="0"/>
    <n v="9"/>
    <n v="7566.24"/>
    <n v="9"/>
    <n v="7566.24"/>
    <n v="0"/>
    <n v="0"/>
    <n v="0"/>
    <n v="15132.48"/>
    <n v="0"/>
    <s v="24AAACO3087C1ZT"/>
    <s v="Kgs"/>
    <n v="39269080"/>
    <s v="Rs."/>
    <n v="1"/>
    <n v="0"/>
  </r>
  <r>
    <s v="21-07-2026"/>
    <x v="0"/>
    <s v="R.M.P."/>
    <s v="RM 422"/>
    <s v="Purchase Withinstate - Raw Material"/>
    <s v="PIL1/D/1134."/>
    <s v="21-07-2026"/>
    <s v="SF"/>
    <s v="Liners"/>
    <s v="LDPE/LLDPE Bags"/>
    <x v="3"/>
    <s v="LDPE/LLDPE Bags/Liner"/>
    <n v="99"/>
    <n v="18887.22"/>
    <s v="LDPE/LLDPE Bags/Liner"/>
    <n v="833507.33"/>
    <n v="9"/>
    <n v="1699.85"/>
    <n v="9"/>
    <n v="1699.85"/>
    <n v="0"/>
    <n v="0"/>
    <n v="0"/>
    <n v="3399.7"/>
    <n v="0"/>
    <s v="24AAACO3087C1ZT"/>
    <s v="Kgs"/>
    <n v="39200000"/>
    <s v="Rs."/>
    <n v="1"/>
    <n v="0"/>
  </r>
  <r>
    <s v="21-07-2026"/>
    <x v="0"/>
    <s v="R.M.P."/>
    <s v="RM 422"/>
    <s v="Purchase Withinstate - Raw Material"/>
    <s v="PIL1/D/1134."/>
    <s v="21-07-2026"/>
    <s v="SF"/>
    <s v="Liners"/>
    <s v="LDPE/LLDPE Bags"/>
    <x v="3"/>
    <s v="LDPE/LLDPE Bags/Liner"/>
    <n v="591"/>
    <n v="110386.98"/>
    <s v="LDPE/LLDPE Bags/Liner"/>
    <n v="0"/>
    <n v="9"/>
    <n v="9934.83"/>
    <n v="9"/>
    <n v="9934.83"/>
    <n v="0"/>
    <n v="0"/>
    <n v="0"/>
    <n v="19869.66"/>
    <n v="0"/>
    <s v="24AAACO3087C1ZT"/>
    <s v="Kgs"/>
    <n v="39200000"/>
    <s v="Rs."/>
    <n v="1"/>
    <n v="0"/>
  </r>
  <r>
    <s v="21-07-2026"/>
    <x v="0"/>
    <s v="R.M.P."/>
    <s v="RM 422"/>
    <s v="Purchase Withinstate - Raw Material"/>
    <s v="PIL1/D/1134."/>
    <s v="21-07-2026"/>
    <s v="SF"/>
    <s v="PP/PE Fabric"/>
    <s v="PP UL Fabric"/>
    <x v="2"/>
    <s v="PP UL Fabric With UV"/>
    <n v="1793"/>
    <n v="259070.57"/>
    <s v="PP UL Fabric With UV"/>
    <n v="0"/>
    <n v="9"/>
    <n v="23316.35"/>
    <n v="9"/>
    <n v="23316.35"/>
    <n v="0"/>
    <n v="0"/>
    <n v="0"/>
    <n v="46632.7"/>
    <n v="0"/>
    <s v="24AAACO3087C1ZT"/>
    <s v="Kgs"/>
    <n v="39269080"/>
    <s v="Rs."/>
    <n v="1"/>
    <n v="0"/>
  </r>
  <r>
    <s v="21-07-2026"/>
    <x v="0"/>
    <s v="R.M.P."/>
    <s v="RM 422"/>
    <s v="Purchase Withinstate - Raw Material"/>
    <s v="PIL1/D/1134."/>
    <s v="21-07-2026"/>
    <s v="SF"/>
    <s v="PP/PE Fabric"/>
    <s v="PP Lam Fabric"/>
    <x v="1"/>
    <s v="PP Lam Fabric With UV"/>
    <n v="712"/>
    <n v="107860.88"/>
    <s v="PP Lam Fabric With UV"/>
    <n v="0"/>
    <n v="9"/>
    <n v="9707.48"/>
    <n v="9"/>
    <n v="9707.48"/>
    <n v="0"/>
    <n v="0"/>
    <n v="0"/>
    <n v="19414.96"/>
    <n v="0"/>
    <s v="24AAACO3087C1ZT"/>
    <s v="Kgs"/>
    <n v="63053300"/>
    <s v="Rs."/>
    <n v="1"/>
    <n v="0"/>
  </r>
  <r>
    <s v="21-07-2026"/>
    <x v="0"/>
    <s v="R.M.P."/>
    <s v="RM 422"/>
    <s v="Purchase Withinstate - Raw Material"/>
    <s v="PIL1/D/1134."/>
    <s v="21-07-2026"/>
    <s v="SF"/>
    <s v="PP/PE Fabric"/>
    <s v="PP Lam Fabric"/>
    <x v="1"/>
    <s v="PP Lam Fabric With UV"/>
    <n v="461"/>
    <n v="68453.89"/>
    <s v="PP Lam Fabric With UV"/>
    <n v="0"/>
    <n v="9"/>
    <n v="6160.85"/>
    <n v="9"/>
    <n v="6160.85"/>
    <n v="0"/>
    <n v="0"/>
    <n v="0"/>
    <n v="12321.7"/>
    <n v="0"/>
    <s v="24AAACO3087C1ZT"/>
    <s v="Kgs"/>
    <n v="63053300"/>
    <s v="Rs."/>
    <n v="1"/>
    <n v="0"/>
  </r>
  <r>
    <s v="21-07-2026"/>
    <x v="0"/>
    <s v="R.M.P."/>
    <s v="RM 422"/>
    <s v="Purchase Withinstate - Raw Material"/>
    <s v="PIL1/D/1134."/>
    <s v="21-07-2026"/>
    <s v="SF"/>
    <s v="Webbing"/>
    <s v="PP Webbing"/>
    <x v="4"/>
    <s v="Webbing"/>
    <n v="164.8"/>
    <n v="28096.75"/>
    <s v="Webbing"/>
    <n v="0"/>
    <n v="9"/>
    <n v="2528.71"/>
    <n v="9"/>
    <n v="2528.71"/>
    <n v="0"/>
    <n v="0"/>
    <n v="0"/>
    <n v="5057.42"/>
    <n v="0"/>
    <s v="24AAACO3087C1ZT"/>
    <s v="Kgs"/>
    <n v="3926908"/>
    <s v="Rs."/>
    <n v="1"/>
    <n v="0"/>
  </r>
  <r>
    <s v="21-07-2026"/>
    <x v="0"/>
    <s v="R.M.P."/>
    <s v="RM 422"/>
    <s v="Purchase Withinstate - Raw Material"/>
    <s v="PIL1/D/1134."/>
    <s v="21-07-2026"/>
    <s v="SF"/>
    <s v="Webbing"/>
    <s v="PP Webbing"/>
    <x v="4"/>
    <s v="Webbing"/>
    <n v="620.6"/>
    <n v="92773.49"/>
    <s v="Webbing"/>
    <n v="0"/>
    <n v="9"/>
    <n v="8349.61"/>
    <n v="9"/>
    <n v="8349.61"/>
    <n v="0"/>
    <n v="0"/>
    <n v="0"/>
    <n v="16699.22"/>
    <n v="0"/>
    <s v="24AAACO3087C1ZT"/>
    <s v="Kgs"/>
    <n v="3926908"/>
    <s v="Rs."/>
    <n v="1"/>
    <n v="0"/>
  </r>
  <r>
    <s v="21-07-2026"/>
    <x v="0"/>
    <s v="R.M.P."/>
    <s v="RM 422"/>
    <s v="Purchase Withinstate - Raw Material"/>
    <s v="PIL1/D/1134."/>
    <s v="21-07-2026"/>
    <s v="SF"/>
    <s v="Webbing"/>
    <s v="PP Webbing"/>
    <x v="4"/>
    <s v="Webbing"/>
    <n v="146.30000000000001"/>
    <n v="21431.49"/>
    <s v="Webbing"/>
    <n v="0"/>
    <n v="9"/>
    <n v="1928.83"/>
    <n v="9"/>
    <n v="1928.83"/>
    <n v="0"/>
    <n v="0"/>
    <n v="0"/>
    <n v="3857.66"/>
    <n v="0"/>
    <s v="24AAACO3087C1ZT"/>
    <s v="Kgs"/>
    <n v="3926908"/>
    <s v="Rs."/>
    <n v="1"/>
    <n v="0"/>
  </r>
  <r>
    <s v="21-07-2026"/>
    <x v="1"/>
    <s v="R.M.P."/>
    <s v="RM 420"/>
    <s v="Purchase Withinstate - Raw Material"/>
    <s v="PPL/D/384"/>
    <s v="21-07-2026"/>
    <s v="FG"/>
    <s v="FIBC WIP"/>
    <s v="FIBC WIP"/>
    <x v="5"/>
    <s v="PP Woven Fabric"/>
    <n v="243"/>
    <n v="37601.82"/>
    <s v="FIBC WIP"/>
    <n v="53885.38"/>
    <n v="9"/>
    <n v="3384.16"/>
    <n v="9"/>
    <n v="3384.16"/>
    <n v="0"/>
    <n v="0"/>
    <n v="0"/>
    <n v="6768.32"/>
    <n v="0"/>
    <s v="24AAFCP2956A1ZR"/>
    <s v="Kgs"/>
    <n v="39269080"/>
    <s v="Rs."/>
    <n v="1"/>
    <n v="0"/>
  </r>
  <r>
    <s v="21-07-2026"/>
    <x v="1"/>
    <s v="R.M.P."/>
    <s v="RM 420"/>
    <s v="Purchase Withinstate - Raw Material"/>
    <s v="PPL/D/384"/>
    <s v="21-07-2026"/>
    <s v="SF"/>
    <s v="Liners"/>
    <s v="LDPE/LLDPE Bags"/>
    <x v="3"/>
    <s v="LDPE/LLDPE Bags/Liner"/>
    <n v="46.3"/>
    <n v="8102.5"/>
    <s v="LDPE/LLDPE Bags/Liner"/>
    <n v="0"/>
    <n v="9"/>
    <n v="729.22"/>
    <n v="9"/>
    <n v="729.22"/>
    <n v="0"/>
    <n v="0"/>
    <n v="0"/>
    <n v="1458.44"/>
    <n v="0"/>
    <s v="24AAFCP2956A1ZR"/>
    <s v="Kgs"/>
    <n v="39200000"/>
    <s v="Rs."/>
    <n v="1"/>
    <n v="0"/>
  </r>
  <r>
    <s v="22-07-2026"/>
    <x v="31"/>
    <s v="Branch Transfer In"/>
    <s v="RM 423"/>
    <s v="Branch Transfer In - Trading"/>
    <s v="HPBLV/DC/7"/>
    <s v="21-07-2026"/>
    <s v="FG"/>
    <s v="FIBC Bags"/>
    <s v="FIBC Bags"/>
    <x v="11"/>
    <s v="FIBC Bags With UV Without Liner"/>
    <n v="1259.6400000000001"/>
    <n v="237001.27"/>
    <s v="FIBC Bags With UV Without Liner"/>
    <n v="394723.71"/>
    <n v="0"/>
    <n v="0"/>
    <n v="0"/>
    <n v="0"/>
    <n v="0"/>
    <n v="0"/>
    <n v="0"/>
    <n v="0"/>
    <n v="0"/>
    <s v="24AABCG1282C2Z6"/>
    <s v="Kgs"/>
    <n v="63053200"/>
    <s v="Rs."/>
    <n v="1"/>
    <n v="0"/>
  </r>
  <r>
    <s v="22-07-2026"/>
    <x v="31"/>
    <s v="Branch Transfer In"/>
    <s v="RM 423"/>
    <s v="Branch Transfer In - Trading"/>
    <s v="HPBLV/DC/7"/>
    <s v="21-07-2026"/>
    <s v="FG"/>
    <s v="FIBC Bags"/>
    <s v="FIBC Bags"/>
    <x v="11"/>
    <s v="FIBC Bags With UV Without Liner"/>
    <n v="858.26"/>
    <n v="157722.44"/>
    <s v="FIBC Bags With UV Without Liner"/>
    <n v="0"/>
    <n v="0"/>
    <n v="0"/>
    <n v="0"/>
    <n v="0"/>
    <n v="0"/>
    <n v="0"/>
    <n v="0"/>
    <n v="0"/>
    <n v="0"/>
    <s v="24AABCG1282C2Z6"/>
    <s v="Kgs"/>
    <n v="63053200"/>
    <s v="Rs."/>
    <n v="1"/>
    <n v="0"/>
  </r>
  <r>
    <s v="22-07-2026"/>
    <x v="6"/>
    <s v="General Purchase"/>
    <s v="GNCN 288"/>
    <s v="Purchase Withinstate- Stores, Spares &amp; Consumable"/>
    <s v="KPV/D/499"/>
    <s v="21-07-2026"/>
    <s v="Stores/Spares"/>
    <s v="MS Structure Items"/>
    <s v="Spares &amp; Stores"/>
    <x v="0"/>
    <s v="MS Pipe 4  C Class"/>
    <n v="21"/>
    <n v="1008"/>
    <s v="MS Pipe 4  C Class"/>
    <n v="1188.43"/>
    <n v="9"/>
    <n v="90.72"/>
    <n v="9"/>
    <n v="90.72"/>
    <n v="0"/>
    <n v="0"/>
    <n v="0"/>
    <n v="181.44"/>
    <n v="0"/>
    <s v="24AAECK6307M1ZF"/>
    <s v="Kgs"/>
    <n v="73063090"/>
    <s v="Rs."/>
    <n v="1"/>
    <n v="0"/>
  </r>
  <r>
    <s v="22-07-2026"/>
    <x v="6"/>
    <s v="R.M.P."/>
    <s v="RM 427"/>
    <s v="Purchase Withinstate - Raw Material"/>
    <s v="KPV/D/498"/>
    <s v="21-07-2026"/>
    <s v="SF"/>
    <s v="Yarn All"/>
    <s v="PP Yarn"/>
    <x v="8"/>
    <s v="PP Fibrillated Tape Twisted 3200 Blue"/>
    <n v="955.7"/>
    <n v="147321.16"/>
    <s v="PP Fibrillated Tape Twisted 3200 Blue"/>
    <n v="480401.34"/>
    <n v="2.5"/>
    <n v="3683.03"/>
    <n v="2.5"/>
    <n v="3683.03"/>
    <n v="0"/>
    <n v="0"/>
    <n v="0"/>
    <n v="7366.06"/>
    <n v="0"/>
    <s v="24AAECK6307M1ZF"/>
    <s v="Kgs"/>
    <n v="54026930"/>
    <s v="Rs."/>
    <n v="1"/>
    <n v="0"/>
  </r>
  <r>
    <s v="22-07-2026"/>
    <x v="6"/>
    <s v="R.M.P."/>
    <s v="RM 427"/>
    <s v="Purchase Withinstate - Raw Material"/>
    <s v="KPV/D/498"/>
    <s v="21-07-2026"/>
    <s v="SF"/>
    <s v="Yarn All"/>
    <s v="PP Yarn"/>
    <x v="8"/>
    <s v="PP Fibrillated Tape Twisted 3200 MW"/>
    <n v="456.8"/>
    <n v="69045.320000000007"/>
    <s v="PP Fibrillated Tape Twisted 3200 MW"/>
    <n v="0"/>
    <n v="2.5"/>
    <n v="1726.13"/>
    <n v="2.5"/>
    <n v="1726.13"/>
    <n v="0"/>
    <n v="0"/>
    <n v="0"/>
    <n v="3452.26"/>
    <n v="0"/>
    <s v="24AAECK6307M1ZF"/>
    <s v="Kgs"/>
    <n v="54026930"/>
    <s v="Rs."/>
    <n v="1"/>
    <n v="0"/>
  </r>
  <r>
    <s v="22-07-2026"/>
    <x v="6"/>
    <s v="R.M.P."/>
    <s v="RM 427"/>
    <s v="Purchase Withinstate - Raw Material"/>
    <s v="KPV/D/498"/>
    <s v="21-07-2026"/>
    <s v="SF"/>
    <s v="PP/PE Fabric"/>
    <s v="PP UL Fabric"/>
    <x v="2"/>
    <s v="PP UL Fabric With UV"/>
    <n v="1270.8"/>
    <n v="214955.82"/>
    <s v="PP UL Fabric With UV"/>
    <n v="0"/>
    <n v="9"/>
    <n v="19346.02"/>
    <n v="9"/>
    <n v="19346.02"/>
    <n v="0"/>
    <n v="0"/>
    <n v="0"/>
    <n v="38692.04"/>
    <n v="0"/>
    <s v="24AAECK6307M1ZF"/>
    <s v="Kgs"/>
    <n v="39269080"/>
    <s v="Rs."/>
    <n v="1"/>
    <n v="0"/>
  </r>
  <r>
    <s v="22-07-2026"/>
    <x v="32"/>
    <s v="General Purchase"/>
    <s v="GNSP 129"/>
    <s v="Purchase Withinstate- Stores, Spares &amp; Consumable"/>
    <s v="2026-27/92"/>
    <s v="18-07-2026"/>
    <s v="Stores/Spares"/>
    <s v="Needles"/>
    <s v="Spares &amp; Stores"/>
    <x v="0"/>
    <s v="Needle No 28"/>
    <n v="200"/>
    <n v="19000"/>
    <s v="Needle No 28"/>
    <n v="20160"/>
    <n v="2.5"/>
    <n v="475"/>
    <n v="2.5"/>
    <n v="475"/>
    <n v="0"/>
    <n v="0"/>
    <n v="10"/>
    <n v="960"/>
    <n v="0"/>
    <s v="24ARUPP0806G1ZP"/>
    <s v="Pcs"/>
    <n v="73191020"/>
    <s v="Rs."/>
    <n v="1"/>
    <n v="0"/>
  </r>
  <r>
    <s v="22-07-2026"/>
    <x v="0"/>
    <s v="General Purchase"/>
    <s v="GNCN 289"/>
    <s v="Purchase Withinstate- Stores, Spares &amp; Consumable"/>
    <s v="PIL1/D/1148"/>
    <s v="22-07-2026"/>
    <s v="Stores/Spares"/>
    <s v="MS Structure Items"/>
    <s v="Spares &amp; Stores"/>
    <x v="0"/>
    <s v="MS Pipe 4  C Class"/>
    <n v="357"/>
    <n v="17136"/>
    <s v="MS Pipe 4  C Class"/>
    <n v="20203.34"/>
    <n v="9"/>
    <n v="1542.24"/>
    <n v="9"/>
    <n v="1542.24"/>
    <n v="0"/>
    <n v="0"/>
    <n v="0"/>
    <n v="3084.48"/>
    <n v="0"/>
    <s v="24AAACO3087C1ZT"/>
    <s v="Kgs"/>
    <n v="73063090"/>
    <s v="Rs."/>
    <n v="1"/>
    <n v="0"/>
  </r>
  <r>
    <s v="22-07-2026"/>
    <x v="0"/>
    <s v="R.M.P."/>
    <s v="RM 428"/>
    <s v="Purchase Withinstate - Raw Material"/>
    <s v="PIL1/D/1146"/>
    <s v="22-07-2026"/>
    <s v="SF"/>
    <s v="PP/PE Fabric"/>
    <s v="PP Lam Fabric"/>
    <x v="1"/>
    <s v="PP Lam Fabric With UV"/>
    <n v="1345"/>
    <n v="203754.05"/>
    <s v="PP Lam Fabric With UV"/>
    <n v="1373657.92"/>
    <n v="9"/>
    <n v="18337.86"/>
    <n v="9"/>
    <n v="18337.86"/>
    <n v="0"/>
    <n v="0"/>
    <n v="0"/>
    <n v="36675.72"/>
    <n v="0"/>
    <s v="24AAACO3087C1ZT"/>
    <s v="Kgs"/>
    <n v="63053300"/>
    <s v="Rs."/>
    <n v="1"/>
    <n v="0"/>
  </r>
  <r>
    <s v="22-07-2026"/>
    <x v="0"/>
    <s v="R.M.P."/>
    <s v="RM 428"/>
    <s v="Purchase Withinstate - Raw Material"/>
    <s v="PIL1/D/1146"/>
    <s v="22-07-2026"/>
    <s v="SF"/>
    <s v="PP/PE Fabric"/>
    <s v="PP Lam Fabric"/>
    <x v="1"/>
    <s v="PP Lam Fabric With UV"/>
    <n v="263"/>
    <n v="39052.870000000003"/>
    <s v="PP Lam Fabric With UV"/>
    <n v="0"/>
    <n v="9"/>
    <n v="3514.76"/>
    <n v="9"/>
    <n v="3514.76"/>
    <n v="0"/>
    <n v="0"/>
    <n v="0"/>
    <n v="7029.52"/>
    <n v="0"/>
    <s v="24AAACO3087C1ZT"/>
    <s v="Kgs"/>
    <n v="63053300"/>
    <s v="Rs."/>
    <n v="1"/>
    <n v="0"/>
  </r>
  <r>
    <s v="22-07-2026"/>
    <x v="0"/>
    <s v="R.M.P."/>
    <s v="RM 428"/>
    <s v="Purchase Withinstate - Raw Material"/>
    <s v="PIL1/D/1146"/>
    <s v="22-07-2026"/>
    <s v="SF"/>
    <s v="PP/PE Fabric"/>
    <s v="PP UL Fabric"/>
    <x v="2"/>
    <s v="PP UL Fabric With UV"/>
    <n v="760"/>
    <n v="111332.4"/>
    <s v="PP UL Fabric With UV"/>
    <n v="0"/>
    <n v="9"/>
    <n v="10019.92"/>
    <n v="9"/>
    <n v="10019.92"/>
    <n v="0"/>
    <n v="0"/>
    <n v="0"/>
    <n v="20039.84"/>
    <n v="0"/>
    <s v="24AAACO3087C1ZT"/>
    <s v="Kgs"/>
    <n v="39269080"/>
    <s v="Rs."/>
    <n v="1"/>
    <n v="0"/>
  </r>
  <r>
    <s v="22-07-2026"/>
    <x v="0"/>
    <s v="R.M.P."/>
    <s v="RM 428"/>
    <s v="Purchase Withinstate - Raw Material"/>
    <s v="PIL1/D/1146"/>
    <s v="22-07-2026"/>
    <s v="SF"/>
    <s v="PP/PE Fabric"/>
    <s v="PP UL Fabric"/>
    <x v="2"/>
    <s v="PP UL Fabric With UV"/>
    <n v="5288"/>
    <n v="764063.12"/>
    <s v="PP UL Fabric With UV"/>
    <n v="0"/>
    <n v="9"/>
    <n v="68765.679999999993"/>
    <n v="9"/>
    <n v="68765.679999999993"/>
    <n v="0"/>
    <n v="0"/>
    <n v="0"/>
    <n v="137531.35999999999"/>
    <n v="0"/>
    <s v="24AAACO3087C1ZT"/>
    <s v="Kgs"/>
    <n v="39269080"/>
    <s v="Rs."/>
    <n v="1"/>
    <n v="0"/>
  </r>
  <r>
    <s v="22-07-2026"/>
    <x v="0"/>
    <s v="R.M.P."/>
    <s v="RM 428"/>
    <s v="Purchase Withinstate - Raw Material"/>
    <s v="PIL1/D/1146"/>
    <s v="22-07-2026"/>
    <s v="SF"/>
    <s v="PP/PE Fabric"/>
    <s v="PP UL Fabric"/>
    <x v="2"/>
    <s v="PP UL Fabric With UV"/>
    <n v="318"/>
    <n v="46901.82"/>
    <s v="PP UL Fabric With UV"/>
    <n v="0"/>
    <n v="9"/>
    <n v="4221.16"/>
    <n v="9"/>
    <n v="4221.16"/>
    <n v="0"/>
    <n v="0"/>
    <n v="0"/>
    <n v="8442.32"/>
    <n v="0"/>
    <s v="24AAACO3087C1ZT"/>
    <s v="Kgs"/>
    <n v="39269080"/>
    <s v="Rs."/>
    <n v="1"/>
    <n v="0"/>
  </r>
  <r>
    <s v="22-07-2026"/>
    <x v="0"/>
    <s v="R.M.P."/>
    <s v="RM 429"/>
    <s v="Purchase Withinstate - Raw Material"/>
    <s v="PIL1/D/1149"/>
    <s v="22-07-2026"/>
    <s v="SF"/>
    <s v="PP/PE Fabric"/>
    <s v="PP UL Fabric"/>
    <x v="2"/>
    <s v="PP UL Fabric With UV"/>
    <n v="1220"/>
    <n v="176277.8"/>
    <s v="PP UL Fabric With UV"/>
    <n v="207831.52"/>
    <n v="9"/>
    <n v="15865"/>
    <n v="9"/>
    <n v="15865"/>
    <n v="0"/>
    <n v="0"/>
    <n v="0"/>
    <n v="31730"/>
    <n v="0"/>
    <s v="24AAACO3087C1ZT"/>
    <s v="Kgs"/>
    <n v="39269080"/>
    <s v="Rs."/>
    <n v="1"/>
    <n v="0"/>
  </r>
  <r>
    <s v="22-07-2026"/>
    <x v="0"/>
    <s v="R.M.P."/>
    <s v="RM 430"/>
    <s v="Purchase Withinstate - Raw Material"/>
    <s v="PIL1/D/1147"/>
    <s v="22-07-2026"/>
    <s v="SF"/>
    <s v="Liners"/>
    <s v="LDPE/LLDPE Bags"/>
    <x v="3"/>
    <s v="LDPE/LLDPE Bags/Liner"/>
    <n v="2186"/>
    <n v="399557.08"/>
    <s v="LDPE/LLDPE Bags/Liner"/>
    <n v="1447725.94"/>
    <n v="9"/>
    <n v="35960.14"/>
    <n v="9"/>
    <n v="35960.14"/>
    <n v="0"/>
    <n v="0"/>
    <n v="0"/>
    <n v="71920.28"/>
    <n v="0"/>
    <s v="24AAACO3087C1ZT"/>
    <s v="Kgs"/>
    <n v="39200000"/>
    <s v="Rs."/>
    <n v="1"/>
    <n v="0"/>
  </r>
  <r>
    <s v="22-07-2026"/>
    <x v="0"/>
    <s v="R.M.P."/>
    <s v="RM 430"/>
    <s v="Purchase Withinstate - Raw Material"/>
    <s v="PIL1/D/1147"/>
    <s v="22-07-2026"/>
    <s v="SF"/>
    <s v="Liners"/>
    <s v="LDPE/LLDPE Bags"/>
    <x v="3"/>
    <s v="LDPE/LLDPE Bags/Liner"/>
    <n v="588"/>
    <n v="109826.64"/>
    <s v="LDPE/LLDPE Bags/Liner"/>
    <n v="0"/>
    <n v="9"/>
    <n v="9884.4"/>
    <n v="9"/>
    <n v="9884.4"/>
    <n v="0"/>
    <n v="0"/>
    <n v="0"/>
    <n v="19768.8"/>
    <n v="0"/>
    <s v="24AAACO3087C1ZT"/>
    <s v="Kgs"/>
    <n v="39200000"/>
    <s v="Rs."/>
    <n v="1"/>
    <n v="0"/>
  </r>
  <r>
    <s v="22-07-2026"/>
    <x v="0"/>
    <s v="R.M.P."/>
    <s v="RM 430"/>
    <s v="Purchase Withinstate - Raw Material"/>
    <s v="PIL1/D/1147"/>
    <s v="22-07-2026"/>
    <s v="SF"/>
    <s v="PP/PE Fabric"/>
    <s v="PP UL Fabric"/>
    <x v="2"/>
    <s v="PP UL Fabric With UV"/>
    <n v="633"/>
    <n v="92728.17"/>
    <s v="PP UL Fabric With UV"/>
    <n v="0"/>
    <n v="9"/>
    <n v="8345.5400000000009"/>
    <n v="9"/>
    <n v="8345.5400000000009"/>
    <n v="0"/>
    <n v="0"/>
    <n v="0"/>
    <n v="16691.080000000002"/>
    <n v="0"/>
    <s v="24AAACO3087C1ZT"/>
    <s v="Kgs"/>
    <n v="39269080"/>
    <s v="Rs."/>
    <n v="1"/>
    <n v="0"/>
  </r>
  <r>
    <s v="22-07-2026"/>
    <x v="0"/>
    <s v="R.M.P."/>
    <s v="RM 430"/>
    <s v="Purchase Withinstate - Raw Material"/>
    <s v="PIL1/D/1147"/>
    <s v="22-07-2026"/>
    <s v="SF"/>
    <s v="PP/PE Fabric"/>
    <s v="PP UL Fabric"/>
    <x v="2"/>
    <s v="PP UL Fabric With UV"/>
    <n v="215"/>
    <n v="31710.35"/>
    <s v="PP UL Fabric With UV"/>
    <n v="0"/>
    <n v="9"/>
    <n v="2853.93"/>
    <n v="9"/>
    <n v="2853.93"/>
    <n v="0"/>
    <n v="0"/>
    <n v="0"/>
    <n v="5707.86"/>
    <n v="0"/>
    <s v="24AAACO3087C1ZT"/>
    <s v="Kgs"/>
    <n v="39269080"/>
    <s v="Rs."/>
    <n v="1"/>
    <n v="0"/>
  </r>
  <r>
    <s v="22-07-2026"/>
    <x v="0"/>
    <s v="R.M.P."/>
    <s v="RM 430"/>
    <s v="Purchase Withinstate - Raw Material"/>
    <s v="PIL1/D/1147"/>
    <s v="22-07-2026"/>
    <s v="SF"/>
    <s v="PP/PE Fabric"/>
    <s v="PP UL Fabric"/>
    <x v="2"/>
    <s v="PP UL Fabric With UV"/>
    <n v="3002"/>
    <n v="433758.98"/>
    <s v="PP UL Fabric With UV"/>
    <n v="0"/>
    <n v="9"/>
    <n v="39038.31"/>
    <n v="9"/>
    <n v="39038.31"/>
    <n v="0"/>
    <n v="0"/>
    <n v="0"/>
    <n v="78076.62"/>
    <n v="0"/>
    <s v="24AAACO3087C1ZT"/>
    <s v="Kgs"/>
    <n v="39269080"/>
    <s v="Rs."/>
    <n v="1"/>
    <n v="0"/>
  </r>
  <r>
    <s v="22-07-2026"/>
    <x v="0"/>
    <s v="R.M.P."/>
    <s v="RM 430"/>
    <s v="Purchase Withinstate - Raw Material"/>
    <s v="PIL1/D/1147"/>
    <s v="22-07-2026"/>
    <s v="SF"/>
    <s v="Webbing"/>
    <s v="PP Webbing"/>
    <x v="4"/>
    <s v="Webbing"/>
    <n v="167"/>
    <n v="28471.83"/>
    <s v="Webbing"/>
    <n v="0"/>
    <n v="9"/>
    <n v="2562.46"/>
    <n v="9"/>
    <n v="2562.46"/>
    <n v="0"/>
    <n v="0"/>
    <n v="0"/>
    <n v="5124.92"/>
    <n v="0"/>
    <s v="24AAACO3087C1ZT"/>
    <s v="Kgs"/>
    <n v="3926908"/>
    <s v="Rs."/>
    <n v="1"/>
    <n v="0"/>
  </r>
  <r>
    <s v="22-07-2026"/>
    <x v="0"/>
    <s v="R.M.P."/>
    <s v="RM 430"/>
    <s v="Purchase Withinstate - Raw Material"/>
    <s v="PIL1/D/1147"/>
    <s v="22-07-2026"/>
    <s v="SF"/>
    <s v="Webbing"/>
    <s v="PP Webbing"/>
    <x v="4"/>
    <s v="Webbing"/>
    <n v="377.2"/>
    <n v="56387.63"/>
    <s v="Webbing"/>
    <n v="0"/>
    <n v="9"/>
    <n v="5074.8900000000003"/>
    <n v="9"/>
    <n v="5074.8900000000003"/>
    <n v="0"/>
    <n v="0"/>
    <n v="0"/>
    <n v="10149.780000000001"/>
    <n v="0"/>
    <s v="24AAACO3087C1ZT"/>
    <s v="Kgs"/>
    <n v="3926908"/>
    <s v="Rs."/>
    <n v="1"/>
    <n v="0"/>
  </r>
  <r>
    <s v="22-07-2026"/>
    <x v="0"/>
    <s v="R.M.P."/>
    <s v="RM 430"/>
    <s v="Purchase Withinstate - Raw Material"/>
    <s v="PIL1/D/1147"/>
    <s v="22-07-2026"/>
    <s v="SF"/>
    <s v="Webbing"/>
    <s v="PP Webbing"/>
    <x v="4"/>
    <s v="Webbing"/>
    <n v="515.29999999999995"/>
    <n v="75486.3"/>
    <s v="Webbing"/>
    <n v="0"/>
    <n v="9"/>
    <n v="6793.77"/>
    <n v="9"/>
    <n v="6793.77"/>
    <n v="0"/>
    <n v="0"/>
    <n v="0"/>
    <n v="13587.54"/>
    <n v="0"/>
    <s v="24AAACO3087C1ZT"/>
    <s v="Kgs"/>
    <n v="3926908"/>
    <s v="Rs."/>
    <n v="1"/>
    <n v="0"/>
  </r>
  <r>
    <s v="22-07-2026"/>
    <x v="13"/>
    <s v="General Purchase"/>
    <s v="GNSP 130"/>
    <s v="Purchase Interstate- Stores, Spares &amp; Consumable"/>
    <s v="SR/566/26-27"/>
    <s v="17-07-2026"/>
    <s v="Stores/Spares"/>
    <s v="Stitching Spares"/>
    <s v="Spares &amp; Stores"/>
    <x v="0"/>
    <s v="Spreader, Upper For Overedge Stitching  (81507)"/>
    <n v="10"/>
    <n v="10500"/>
    <s v="Spreader, Upper For Overedge Stitching  (81507)"/>
    <n v="65678"/>
    <n v="0"/>
    <n v="0"/>
    <n v="0"/>
    <n v="0"/>
    <n v="5"/>
    <n v="525"/>
    <n v="26.25"/>
    <n v="551.25"/>
    <n v="0"/>
    <s v="19AORPR0945L1Z4"/>
    <s v="Pcs"/>
    <n v="84529099"/>
    <s v="Rs."/>
    <n v="1"/>
    <n v="0"/>
  </r>
  <r>
    <s v="22-07-2026"/>
    <x v="13"/>
    <s v="General Purchase"/>
    <s v="GNSP 130"/>
    <s v="Purchase Interstate- Stores, Spares &amp; Consumable"/>
    <s v="SR/566/26-27"/>
    <s v="17-07-2026"/>
    <s v="Stores/Spares"/>
    <s v="Stitching Spares"/>
    <s v="Spares &amp; Stores"/>
    <x v="0"/>
    <s v="Thread Retainer For Overedge Stitching   (81511)"/>
    <n v="10"/>
    <n v="2500"/>
    <s v="Thread Retainer For Overedge Stitching   (81511)"/>
    <n v="0"/>
    <n v="0"/>
    <n v="0"/>
    <n v="0"/>
    <n v="0"/>
    <n v="5"/>
    <n v="125"/>
    <n v="26.25"/>
    <n v="151.25"/>
    <n v="0"/>
    <s v="19AORPR0945L1Z4"/>
    <s v="Pcs"/>
    <n v="84529099"/>
    <s v="Rs."/>
    <n v="1"/>
    <n v="0"/>
  </r>
  <r>
    <s v="22-07-2026"/>
    <x v="13"/>
    <s v="General Purchase"/>
    <s v="GNSP 130"/>
    <s v="Purchase Interstate- Stores, Spares &amp; Consumable"/>
    <s v="SR/566/26-27"/>
    <s v="17-07-2026"/>
    <s v="Stores/Spares"/>
    <s v="Stitching Spares"/>
    <s v="Spares &amp; Stores"/>
    <x v="0"/>
    <s v="Feed Dog Lower  (41305 A)"/>
    <n v="8"/>
    <n v="6800"/>
    <s v="Feed Dog Lower  (41305 A)"/>
    <n v="0"/>
    <n v="0"/>
    <n v="0"/>
    <n v="0"/>
    <n v="0"/>
    <n v="5"/>
    <n v="340"/>
    <n v="26.25"/>
    <n v="366.25"/>
    <n v="0"/>
    <s v="19AORPR0945L1Z4"/>
    <s v="Pcs"/>
    <n v="84529099"/>
    <s v="Rs."/>
    <n v="1"/>
    <n v="0"/>
  </r>
  <r>
    <s v="22-07-2026"/>
    <x v="13"/>
    <s v="General Purchase"/>
    <s v="GNSP 130"/>
    <s v="Purchase Interstate- Stores, Spares &amp; Consumable"/>
    <s v="SR/566/26-27"/>
    <s v="17-07-2026"/>
    <s v="Stores/Spares"/>
    <s v="Stitching Spares"/>
    <s v="Spares &amp; Stores"/>
    <x v="0"/>
    <s v="Connecting Rod 81362"/>
    <n v="10"/>
    <n v="800"/>
    <s v="Connecting Rod 81362"/>
    <n v="0"/>
    <n v="0"/>
    <n v="0"/>
    <n v="0"/>
    <n v="0"/>
    <n v="5"/>
    <n v="40"/>
    <n v="26.25"/>
    <n v="66.25"/>
    <n v="0"/>
    <s v="19AORPR0945L1Z4"/>
    <s v="Pcs"/>
    <n v="84529099"/>
    <s v="Rs."/>
    <n v="1"/>
    <n v="0"/>
  </r>
  <r>
    <s v="22-07-2026"/>
    <x v="13"/>
    <s v="General Purchase"/>
    <s v="GNSP 130"/>
    <s v="Purchase Interstate- Stores, Spares &amp; Consumable"/>
    <s v="SR/566/26-27"/>
    <s v="17-07-2026"/>
    <s v="Stores/Spares"/>
    <s v="Hardware Items"/>
    <s v="Spares &amp; Stores"/>
    <x v="0"/>
    <s v="Screw 22580"/>
    <n v="20"/>
    <n v="400"/>
    <s v="Screw 22580"/>
    <n v="0"/>
    <n v="0"/>
    <n v="0"/>
    <n v="0"/>
    <n v="0"/>
    <n v="5"/>
    <n v="20"/>
    <n v="26.25"/>
    <n v="46.25"/>
    <n v="0"/>
    <s v="19AORPR0945L1Z4"/>
    <s v="Pcs"/>
    <n v="73181500"/>
    <s v="Rs."/>
    <n v="1"/>
    <n v="0"/>
  </r>
  <r>
    <s v="22-07-2026"/>
    <x v="13"/>
    <s v="General Purchase"/>
    <s v="GNSP 130"/>
    <s v="Purchase Interstate- Stores, Spares &amp; Consumable"/>
    <s v="SR/566/26-27"/>
    <s v="17-07-2026"/>
    <s v="Stores/Spares"/>
    <s v="Stitching Spares"/>
    <s v="Spares &amp; Stores"/>
    <x v="0"/>
    <s v="Spreader Lever 81313 A"/>
    <n v="10"/>
    <n v="25000"/>
    <s v="Spreader Lever 81313 A"/>
    <n v="0"/>
    <n v="0"/>
    <n v="0"/>
    <n v="0"/>
    <n v="0"/>
    <n v="5"/>
    <n v="1250"/>
    <n v="26.25"/>
    <n v="1276.25"/>
    <n v="0"/>
    <s v="19AORPR0945L1Z4"/>
    <s v="Pcs"/>
    <n v="84529099"/>
    <s v="Rs."/>
    <n v="1"/>
    <n v="0"/>
  </r>
  <r>
    <s v="22-07-2026"/>
    <x v="13"/>
    <s v="General Purchase"/>
    <s v="GNSP 130"/>
    <s v="Purchase Interstate- Stores, Spares &amp; Consumable"/>
    <s v="SR/566/26-27"/>
    <s v="17-07-2026"/>
    <s v="Stores/Spares"/>
    <s v="Stitching Spares"/>
    <s v="Spares &amp; Stores"/>
    <x v="0"/>
    <s v="Ball Stud 81349"/>
    <n v="10"/>
    <n v="2400"/>
    <s v="Ball Stud 81349"/>
    <n v="0"/>
    <n v="0"/>
    <n v="0"/>
    <n v="0"/>
    <n v="0"/>
    <n v="5"/>
    <n v="120"/>
    <n v="26.25"/>
    <n v="146.25"/>
    <n v="0"/>
    <s v="19AORPR0945L1Z4"/>
    <s v="Pcs"/>
    <n v="84529099"/>
    <s v="Rs."/>
    <n v="1"/>
    <n v="0"/>
  </r>
  <r>
    <s v="22-07-2026"/>
    <x v="13"/>
    <s v="General Purchase"/>
    <s v="GNSP 130"/>
    <s v="Purchase Interstate- Stores, Spares &amp; Consumable"/>
    <s v="SR/566/26-27"/>
    <s v="17-07-2026"/>
    <s v="Stores/Spares"/>
    <s v="Stitching Spares"/>
    <s v="Spares &amp; Stores"/>
    <x v="0"/>
    <s v="Ha 23   Guide Plate"/>
    <n v="10"/>
    <n v="2500"/>
    <s v="Ha 23   Guide Plate"/>
    <n v="0"/>
    <n v="0"/>
    <n v="0"/>
    <n v="0"/>
    <n v="0"/>
    <n v="5"/>
    <n v="125"/>
    <n v="26.25"/>
    <n v="151.25"/>
    <n v="0"/>
    <s v="19AORPR0945L1Z4"/>
    <s v="Pcs"/>
    <n v="84529099"/>
    <s v="Rs."/>
    <n v="1"/>
    <n v="0"/>
  </r>
  <r>
    <s v="22-07-2026"/>
    <x v="13"/>
    <s v="General Purchase"/>
    <s v="GNSP 130"/>
    <s v="Purchase Interstate- Stores, Spares &amp; Consumable"/>
    <s v="SR/566/26-27"/>
    <s v="17-07-2026"/>
    <s v="Stores/Spares"/>
    <s v="Stitching Spares"/>
    <s v="Spares &amp; Stores"/>
    <x v="0"/>
    <s v="Needle Guard 81325"/>
    <n v="10"/>
    <n v="5000"/>
    <s v="Needle Guard 81325"/>
    <n v="0"/>
    <n v="0"/>
    <n v="0"/>
    <n v="0"/>
    <n v="0"/>
    <n v="5"/>
    <n v="250"/>
    <n v="26.25"/>
    <n v="276.25"/>
    <n v="0"/>
    <s v="19AORPR0945L1Z4"/>
    <s v="Pcs"/>
    <n v="84529099"/>
    <s v="Rs."/>
    <n v="1"/>
    <n v="0"/>
  </r>
  <r>
    <s v="22-07-2026"/>
    <x v="13"/>
    <s v="General Purchase"/>
    <s v="GNSP 130"/>
    <s v="Purchase Interstate- Stores, Spares &amp; Consumable"/>
    <s v="SR/566/26-27"/>
    <s v="17-07-2026"/>
    <s v="Stores/Spares"/>
    <s v="Hardware Items"/>
    <s v="Spares &amp; Stores"/>
    <x v="0"/>
    <s v="97 A Screw."/>
    <n v="25"/>
    <n v="875"/>
    <s v="97 A Screw."/>
    <n v="0"/>
    <n v="0"/>
    <n v="0"/>
    <n v="0"/>
    <n v="0"/>
    <n v="5"/>
    <n v="43.75"/>
    <n v="26.25"/>
    <n v="70"/>
    <n v="0"/>
    <s v="19AORPR0945L1Z4"/>
    <s v="Pcs"/>
    <n v="84529099"/>
    <s v="Rs."/>
    <n v="1"/>
    <n v="0"/>
  </r>
  <r>
    <s v="22-07-2026"/>
    <x v="13"/>
    <s v="General Purchase"/>
    <s v="GNSP 130"/>
    <s v="Purchase Interstate- Stores, Spares &amp; Consumable"/>
    <s v="SR/566/26-27"/>
    <s v="17-07-2026"/>
    <s v="Stores/Spares"/>
    <s v="Stitching Spares"/>
    <s v="Spares &amp; Stores"/>
    <x v="0"/>
    <s v="Looper Thread Guide 81350D"/>
    <n v="10"/>
    <n v="1500"/>
    <s v="Looper Thread Guide 81350D"/>
    <n v="0"/>
    <n v="0"/>
    <n v="0"/>
    <n v="0"/>
    <n v="0"/>
    <n v="5"/>
    <n v="75"/>
    <n v="26.25"/>
    <n v="101.25"/>
    <n v="0"/>
    <s v="19AORPR0945L1Z4"/>
    <s v="Pcs"/>
    <n v="84529099"/>
    <s v="Rs."/>
    <n v="1"/>
    <n v="0"/>
  </r>
  <r>
    <s v="22-07-2026"/>
    <x v="13"/>
    <s v="General Purchase"/>
    <s v="GNSP 130"/>
    <s v="Purchase Interstate- Stores, Spares &amp; Consumable"/>
    <s v="SR/566/26-27"/>
    <s v="17-07-2026"/>
    <s v="Stores/Spares"/>
    <s v="Stitching Spares"/>
    <s v="Spares &amp; Stores"/>
    <x v="0"/>
    <s v="Guide Link # 80732"/>
    <n v="3"/>
    <n v="3750"/>
    <s v="Guide Link # 80732"/>
    <n v="0"/>
    <n v="0"/>
    <n v="0"/>
    <n v="0"/>
    <n v="0"/>
    <n v="5"/>
    <n v="187.5"/>
    <n v="26.25"/>
    <n v="213.75"/>
    <n v="0"/>
    <s v="19AORPR0945L1Z4"/>
    <s v="Pcs"/>
    <n v="84529099"/>
    <s v="Rs."/>
    <n v="1"/>
    <n v="0"/>
  </r>
  <r>
    <s v="22-07-2026"/>
    <x v="11"/>
    <s v="Purchase"/>
    <s v="GNPK 72"/>
    <s v="Purchase Withinstate- Packing Material"/>
    <s v="SS/SL/26-27/226"/>
    <s v="21-07-2026"/>
    <s v="Packing Material"/>
    <s v="Pallets"/>
    <s v="Pallets"/>
    <x v="9"/>
    <s v="Pine Wooden Pallet Design Code QP90110"/>
    <n v="70"/>
    <n v="47670"/>
    <s v="Pine Wooden Pallet Design Code QP90110"/>
    <n v="50053.5"/>
    <n v="2.5"/>
    <n v="1191.75"/>
    <n v="2.5"/>
    <n v="1191.75"/>
    <n v="0"/>
    <n v="0"/>
    <n v="0"/>
    <n v="2383.5"/>
    <n v="0"/>
    <s v="24ABLCS6579H1ZR"/>
    <s v="Pcs"/>
    <n v="44152000"/>
    <s v="Rs."/>
    <n v="1"/>
    <n v="0"/>
  </r>
  <r>
    <s v="22-07-2026"/>
    <x v="33"/>
    <s v="R.M.P."/>
    <s v="RM 424"/>
    <s v="Purchase Interstate - Raw Material"/>
    <s v="1101/26-27"/>
    <d v="2026-12-07T00:00:00"/>
    <s v="RM Consumables"/>
    <s v="Ink"/>
    <s v="Thinner"/>
    <x v="12"/>
    <s v="Thinner Vyankatesh Thinner"/>
    <n v="5100"/>
    <n v="550800"/>
    <s v="Thinner Vyankatesh Thinner"/>
    <n v="649944"/>
    <n v="0"/>
    <n v="0"/>
    <n v="0"/>
    <n v="0"/>
    <n v="18"/>
    <n v="99144"/>
    <n v="0"/>
    <n v="99144"/>
    <n v="0"/>
    <s v="27AAECV8365Q1ZC"/>
    <s v="Kgs"/>
    <n v="38140010"/>
    <s v="Rs."/>
    <n v="1"/>
    <n v="0"/>
  </r>
  <r>
    <s v="22-07-2026"/>
    <x v="33"/>
    <s v="R.M.P."/>
    <s v="RM 425"/>
    <s v="Purchase Interstate - Raw Material"/>
    <s v="1155/26-27"/>
    <s v="16-07-2026"/>
    <s v="RM Consumables"/>
    <s v="Ink"/>
    <s v="Ink"/>
    <x v="10"/>
    <s v="Ink Vyankatesh Poly Opaque White OPEQUE WHITE VLX 624"/>
    <n v="200"/>
    <n v="55400"/>
    <s v="Ink Vyankatesh Poly Opaque White OPEQUE WHITE VLX 624"/>
    <n v="352083"/>
    <n v="0"/>
    <n v="0"/>
    <n v="0"/>
    <n v="0"/>
    <n v="18"/>
    <n v="9972"/>
    <n v="0"/>
    <n v="9972"/>
    <n v="0"/>
    <s v="27AAECV8365Q1ZC"/>
    <s v="Kgs"/>
    <n v="32151910"/>
    <s v="Rs."/>
    <n v="1"/>
    <n v="0"/>
  </r>
  <r>
    <s v="22-07-2026"/>
    <x v="33"/>
    <s v="R.M.P."/>
    <s v="RM 425"/>
    <s v="Purchase Interstate - Raw Material"/>
    <s v="1155/26-27"/>
    <s v="16-07-2026"/>
    <s v="RM Consumables"/>
    <s v="Ink"/>
    <s v="Ink"/>
    <x v="10"/>
    <s v="Ink Vyankatesh Poly Process Blue VLX 643"/>
    <n v="100"/>
    <n v="31100"/>
    <s v="Ink Vyankatesh Poly Process Blue VLX 643"/>
    <n v="0"/>
    <n v="0"/>
    <n v="0"/>
    <n v="0"/>
    <n v="0"/>
    <n v="18"/>
    <n v="5598"/>
    <n v="0"/>
    <n v="5598"/>
    <n v="0"/>
    <s v="27AAECV8365Q1ZC"/>
    <s v="Kgs"/>
    <n v="32151990"/>
    <s v="Rs."/>
    <n v="1"/>
    <n v="0"/>
  </r>
  <r>
    <s v="22-07-2026"/>
    <x v="33"/>
    <s v="R.M.P."/>
    <s v="RM 425"/>
    <s v="Purchase Interstate - Raw Material"/>
    <s v="1155/26-27"/>
    <s v="16-07-2026"/>
    <s v="RM Consumables"/>
    <s v="Ink"/>
    <s v="Ink"/>
    <x v="10"/>
    <s v="Ink Vyankatesh Poly Process Yellow VLX 671"/>
    <n v="150"/>
    <n v="42300"/>
    <s v="Ink Vyankatesh Poly Process Yellow VLX 671"/>
    <n v="0"/>
    <n v="0"/>
    <n v="0"/>
    <n v="0"/>
    <n v="0"/>
    <n v="18"/>
    <n v="7614"/>
    <n v="0"/>
    <n v="7614"/>
    <n v="0"/>
    <s v="27AAECV8365Q1ZC"/>
    <s v="Kgs"/>
    <n v="84485900"/>
    <s v="Rs."/>
    <n v="1"/>
    <n v="0"/>
  </r>
  <r>
    <s v="22-07-2026"/>
    <x v="33"/>
    <s v="R.M.P."/>
    <s v="RM 425"/>
    <s v="Purchase Interstate - Raw Material"/>
    <s v="1155/26-27"/>
    <s v="16-07-2026"/>
    <s v="RM Consumables"/>
    <s v="Ink"/>
    <s v="Ink"/>
    <x v="10"/>
    <s v="Ink Vyankatesh Poly Red Pantone 032C"/>
    <n v="75"/>
    <n v="21375"/>
    <s v="Ink Vyankatesh Poly Red Pantone 032C"/>
    <n v="0"/>
    <n v="0"/>
    <n v="0"/>
    <n v="0"/>
    <n v="0"/>
    <n v="18"/>
    <n v="3847.5"/>
    <n v="0"/>
    <n v="3847.5"/>
    <n v="0"/>
    <s v="27AAECV8365Q1ZC"/>
    <s v="Kgs"/>
    <n v="84529099"/>
    <s v="Rs."/>
    <n v="1"/>
    <n v="0"/>
  </r>
  <r>
    <s v="22-07-2026"/>
    <x v="33"/>
    <s v="R.M.P."/>
    <s v="RM 425"/>
    <s v="Purchase Interstate - Raw Material"/>
    <s v="1155/26-27"/>
    <s v="16-07-2026"/>
    <s v="RM Consumables"/>
    <s v="Ink"/>
    <s v="Ink"/>
    <x v="10"/>
    <s v="Ink Vyankatesh Poly Robbin Red VLX 876"/>
    <n v="50"/>
    <n v="13850"/>
    <s v="Ink Vyankatesh Poly Robbin Red VLX 876"/>
    <n v="0"/>
    <n v="0"/>
    <n v="0"/>
    <n v="0"/>
    <n v="0"/>
    <n v="18"/>
    <n v="2493"/>
    <n v="0"/>
    <n v="2493"/>
    <n v="0"/>
    <s v="27AAECV8365Q1ZC"/>
    <s v="Kgs"/>
    <n v="84529099"/>
    <s v="Rs."/>
    <n v="1"/>
    <n v="0"/>
  </r>
  <r>
    <s v="22-07-2026"/>
    <x v="33"/>
    <s v="R.M.P."/>
    <s v="RM 425"/>
    <s v="Purchase Interstate - Raw Material"/>
    <s v="1155/26-27"/>
    <s v="16-07-2026"/>
    <s v="RM Consumables"/>
    <s v="Ink"/>
    <s v="Ink"/>
    <x v="10"/>
    <s v="Ink Vyankatesh Poly Green 355C VLX 619"/>
    <n v="100"/>
    <n v="27700"/>
    <s v="Ink Vyankatesh Poly Green 355C VLX 619"/>
    <n v="0"/>
    <n v="0"/>
    <n v="0"/>
    <n v="0"/>
    <n v="0"/>
    <n v="18"/>
    <n v="4986"/>
    <n v="0"/>
    <n v="4986"/>
    <n v="0"/>
    <s v="27AAECV8365Q1ZC"/>
    <s v="Kgs"/>
    <n v="32151910"/>
    <s v="Rs."/>
    <n v="1"/>
    <n v="0"/>
  </r>
  <r>
    <s v="22-07-2026"/>
    <x v="33"/>
    <s v="R.M.P."/>
    <s v="RM 425"/>
    <s v="Purchase Interstate - Raw Material"/>
    <s v="1155/26-27"/>
    <s v="16-07-2026"/>
    <s v="RM Consumables"/>
    <s v="Ink"/>
    <s v="Ink"/>
    <x v="10"/>
    <s v="Ink Vyankatesh Red 485c"/>
    <n v="150"/>
    <n v="41550"/>
    <s v="Ink Vyankatesh Red 485c"/>
    <n v="0"/>
    <n v="0"/>
    <n v="0"/>
    <n v="0"/>
    <n v="0"/>
    <n v="18"/>
    <n v="7479"/>
    <n v="0"/>
    <n v="7479"/>
    <n v="0"/>
    <s v="27AAECV8365Q1ZC"/>
    <s v="Kgs"/>
    <n v="32151910"/>
    <s v="Rs."/>
    <n v="1"/>
    <n v="0"/>
  </r>
  <r>
    <s v="22-07-2026"/>
    <x v="33"/>
    <s v="R.M.P."/>
    <s v="RM 425"/>
    <s v="Purchase Interstate - Raw Material"/>
    <s v="1155/26-27"/>
    <s v="16-07-2026"/>
    <s v="RM Consumables"/>
    <s v="Ink"/>
    <s v="Ink"/>
    <x v="10"/>
    <s v="Ink Vyankatesh Poly Black VLX 579"/>
    <n v="300"/>
    <n v="65100"/>
    <s v="Ink Vyankatesh Poly Black VLX 579"/>
    <n v="0"/>
    <n v="0"/>
    <n v="0"/>
    <n v="0"/>
    <n v="0"/>
    <n v="18"/>
    <n v="11718"/>
    <n v="0"/>
    <n v="11718"/>
    <n v="0"/>
    <s v="27AAECV8365Q1ZC"/>
    <s v="Kgs"/>
    <n v="32151910"/>
    <s v="Rs."/>
    <n v="1"/>
    <n v="0"/>
  </r>
  <r>
    <s v="23-07-2026"/>
    <x v="0"/>
    <s v="General Purchase"/>
    <s v="GNCN 290"/>
    <s v="Purchase Withinstate- Stores, Spares &amp; Consumable"/>
    <s v="PIL1/D/1158"/>
    <s v="23-07-2026"/>
    <s v="Stores/Spares"/>
    <s v="MS Structure Items"/>
    <s v="Spares &amp; Stores"/>
    <x v="0"/>
    <s v="MS Pipe 4  C Class"/>
    <n v="314"/>
    <n v="15072"/>
    <s v="MS Pipe 4  C Class"/>
    <n v="17769.89"/>
    <n v="9"/>
    <n v="1356.48"/>
    <n v="9"/>
    <n v="1356.48"/>
    <n v="0"/>
    <n v="0"/>
    <n v="0"/>
    <n v="2712.96"/>
    <n v="0"/>
    <s v="24AAACO3087C1ZT"/>
    <s v="Kgs"/>
    <n v="73063090"/>
    <s v="Rs."/>
    <n v="1"/>
    <n v="0"/>
  </r>
  <r>
    <s v="23-07-2026"/>
    <x v="0"/>
    <s v="R.M.P."/>
    <s v="RM 431"/>
    <s v="Purchase Withinstate - Raw Material"/>
    <s v="PIL1/D/1157"/>
    <s v="23-07-2026"/>
    <s v="FG"/>
    <s v="FIBC Bags"/>
    <s v="FIBC Bags"/>
    <x v="11"/>
    <s v="FIBC Bags With UV Without Liner"/>
    <n v="789"/>
    <n v="150738.45000000001"/>
    <s v="FIBC Bags With UV Without Liner"/>
    <n v="1416295.56"/>
    <n v="9"/>
    <n v="13566.46"/>
    <n v="9"/>
    <n v="13566.46"/>
    <n v="0"/>
    <n v="0"/>
    <n v="0"/>
    <n v="27132.92"/>
    <n v="0"/>
    <s v="24AAACO3087C1ZT"/>
    <s v="Kgs"/>
    <n v="63053200"/>
    <s v="Rs."/>
    <n v="1"/>
    <n v="0"/>
  </r>
  <r>
    <s v="23-07-2026"/>
    <x v="0"/>
    <s v="R.M.P."/>
    <s v="RM 431"/>
    <s v="Purchase Withinstate - Raw Material"/>
    <s v="PIL1/D/1157"/>
    <s v="23-07-2026"/>
    <s v="FG"/>
    <s v="FIBC Bags"/>
    <s v="FIBC Bags"/>
    <x v="11"/>
    <s v="FIBC Bags With UV Without Liner"/>
    <n v="1180"/>
    <n v="258113.2"/>
    <s v="FIBC Bags With UV Without Liner"/>
    <n v="0"/>
    <n v="9"/>
    <n v="23230.19"/>
    <n v="9"/>
    <n v="23230.19"/>
    <n v="0"/>
    <n v="0"/>
    <n v="0"/>
    <n v="46460.38"/>
    <n v="0"/>
    <s v="24AAACO3087C1ZT"/>
    <s v="Kgs"/>
    <n v="63053200"/>
    <s v="Rs."/>
    <n v="1"/>
    <n v="0"/>
  </r>
  <r>
    <s v="23-07-2026"/>
    <x v="0"/>
    <s v="R.M.P."/>
    <s v="RM 431"/>
    <s v="Purchase Withinstate - Raw Material"/>
    <s v="PIL1/D/1157"/>
    <s v="23-07-2026"/>
    <s v="FG"/>
    <s v="FIBC Bags"/>
    <s v="FIBC Bags"/>
    <x v="11"/>
    <s v="FIBC Bags With UV Without Liner"/>
    <n v="2767"/>
    <n v="540588.79"/>
    <s v="FIBC Bags With UV Without Liner"/>
    <n v="0"/>
    <n v="9"/>
    <n v="48652.99"/>
    <n v="9"/>
    <n v="48652.99"/>
    <n v="0"/>
    <n v="0"/>
    <n v="0"/>
    <n v="97305.98"/>
    <n v="0"/>
    <s v="24AAACO3087C1ZT"/>
    <s v="Kgs"/>
    <n v="63053200"/>
    <s v="Rs."/>
    <n v="1"/>
    <n v="0"/>
  </r>
  <r>
    <s v="23-07-2026"/>
    <x v="0"/>
    <s v="R.M.P."/>
    <s v="RM 431"/>
    <s v="Purchase Withinstate - Raw Material"/>
    <s v="PIL1/D/1157"/>
    <s v="23-07-2026"/>
    <s v="FG"/>
    <s v="FIBC Bags"/>
    <s v="FIBC Bags"/>
    <x v="11"/>
    <s v="FIBC Bags With UV Without Liner"/>
    <n v="1183"/>
    <n v="242526.83"/>
    <s v="FIBC Bags With UV Without Liner"/>
    <n v="0"/>
    <n v="9"/>
    <n v="21827.41"/>
    <n v="9"/>
    <n v="21827.41"/>
    <n v="0"/>
    <n v="0"/>
    <n v="0"/>
    <n v="43654.82"/>
    <n v="0"/>
    <s v="24AAACO3087C1ZT"/>
    <s v="Kgs"/>
    <n v="63053200"/>
    <s v="Rs."/>
    <n v="1"/>
    <n v="0"/>
  </r>
  <r>
    <s v="23-07-2026"/>
    <x v="0"/>
    <s v="R.M.P."/>
    <s v="RM 431"/>
    <s v="Purchase Withinstate - Raw Material"/>
    <s v="PIL1/D/1157"/>
    <s v="23-07-2026"/>
    <s v="FG"/>
    <s v="FIBC Bags"/>
    <s v="FIBC Bags"/>
    <x v="11"/>
    <s v="FIBC Bags With UV Without Liner"/>
    <n v="52"/>
    <n v="9301.24"/>
    <s v="FIBC Bags With UV Without Liner"/>
    <n v="0"/>
    <n v="9"/>
    <n v="837.11"/>
    <n v="9"/>
    <n v="837.11"/>
    <n v="0"/>
    <n v="0"/>
    <n v="0"/>
    <n v="1674.22"/>
    <n v="0"/>
    <s v="24AAACO3087C1ZT"/>
    <s v="Kgs"/>
    <n v="63053200"/>
    <s v="Rs."/>
    <n v="1"/>
    <n v="0"/>
  </r>
  <r>
    <s v="23-07-2026"/>
    <x v="0"/>
    <s v="R.M.P."/>
    <s v="RM 432"/>
    <s v="Purchase Withinstate - Raw Material"/>
    <s v="PIL1/D/1156"/>
    <s v="23-07-2026"/>
    <s v="SF"/>
    <s v="PP/PE Fabric"/>
    <s v="PP UL Fabric"/>
    <x v="2"/>
    <s v="PP UL Fabric With UV"/>
    <n v="6034"/>
    <n v="871852.66"/>
    <s v="PP UL Fabric With UV"/>
    <n v="1277457.98"/>
    <n v="9"/>
    <n v="78466.740000000005"/>
    <n v="9"/>
    <n v="78466.740000000005"/>
    <n v="0"/>
    <n v="0"/>
    <n v="0"/>
    <n v="156933.48000000001"/>
    <n v="0"/>
    <s v="24AAACO3087C1ZT"/>
    <s v="Kgs"/>
    <n v="39269080"/>
    <s v="Rs."/>
    <n v="1"/>
    <n v="0"/>
  </r>
  <r>
    <s v="23-07-2026"/>
    <x v="0"/>
    <s v="R.M.P."/>
    <s v="RM 432"/>
    <s v="Purchase Withinstate - Raw Material"/>
    <s v="PIL1/D/1156"/>
    <s v="23-07-2026"/>
    <s v="SF"/>
    <s v="PP/PE Fabric"/>
    <s v="PP UL Fabric"/>
    <x v="2"/>
    <s v="PP UL Fabric With UV"/>
    <n v="1171"/>
    <n v="171539.79"/>
    <s v="PP UL Fabric With UV"/>
    <n v="0"/>
    <n v="9"/>
    <n v="15438.58"/>
    <n v="9"/>
    <n v="15438.58"/>
    <n v="0"/>
    <n v="0"/>
    <n v="0"/>
    <n v="30877.16"/>
    <n v="0"/>
    <s v="24AAACO3087C1ZT"/>
    <s v="Kgs"/>
    <n v="39269080"/>
    <s v="Rs."/>
    <n v="1"/>
    <n v="0"/>
  </r>
  <r>
    <s v="23-07-2026"/>
    <x v="0"/>
    <s v="R.M.P."/>
    <s v="RM 432"/>
    <s v="Purchase Withinstate - Raw Material"/>
    <s v="PIL1/D/1156"/>
    <s v="23-07-2026"/>
    <s v="SF"/>
    <s v="PP/PE Fabric"/>
    <s v="PP UL Fabric"/>
    <x v="2"/>
    <s v="PP UL Fabric With UV"/>
    <n v="272"/>
    <n v="40117.279999999999"/>
    <s v="PP UL Fabric With UV"/>
    <n v="0"/>
    <n v="9"/>
    <n v="3610.56"/>
    <n v="9"/>
    <n v="3610.56"/>
    <n v="0"/>
    <n v="0"/>
    <n v="0"/>
    <n v="7221.12"/>
    <n v="0"/>
    <s v="24AAACO3087C1ZT"/>
    <s v="Kgs"/>
    <n v="39269080"/>
    <s v="Rs."/>
    <n v="1"/>
    <n v="0"/>
  </r>
  <r>
    <s v="23-07-2026"/>
    <x v="0"/>
    <s v="R.M.P."/>
    <s v="RM 433"/>
    <s v="Purchase Withinstate - Raw Material"/>
    <s v="PIL1/D/1155"/>
    <s v="22-07-2026"/>
    <s v="SF"/>
    <s v="PP/PE Fabric"/>
    <s v="PP UL Fabric"/>
    <x v="2"/>
    <s v="PP UL Fabric With UV"/>
    <n v="2652"/>
    <n v="388491.48"/>
    <s v="PP UL Fabric With UV"/>
    <n v="458031.45"/>
    <n v="9"/>
    <n v="34964.230000000003"/>
    <n v="9"/>
    <n v="34964.230000000003"/>
    <n v="0"/>
    <n v="0"/>
    <n v="0"/>
    <n v="69928.460000000006"/>
    <n v="0"/>
    <s v="24AAACO3087C1ZT"/>
    <s v="Kgs"/>
    <n v="39269080"/>
    <s v="Rs."/>
    <n v="1"/>
    <n v="0"/>
  </r>
  <r>
    <s v="23-07-2026"/>
    <x v="0"/>
    <s v="R.M.P."/>
    <s v="RM 434"/>
    <s v="Purchase Withinstate - Raw Material"/>
    <s v="PIL1/D/1159"/>
    <s v="23-07-2026"/>
    <s v="SF"/>
    <s v="PP/PE Fabric"/>
    <s v="PP UL Fabric"/>
    <x v="2"/>
    <s v="PP UL Fabric With UV"/>
    <n v="1638"/>
    <n v="236674.62"/>
    <s v="PP UL Fabric With UV"/>
    <n v="788826.67"/>
    <n v="9"/>
    <n v="21300.720000000001"/>
    <n v="9"/>
    <n v="21300.720000000001"/>
    <n v="0"/>
    <n v="0"/>
    <n v="0"/>
    <n v="42601.440000000002"/>
    <n v="0"/>
    <s v="24AAACO3087C1ZT"/>
    <s v="Kgs"/>
    <n v="39269080"/>
    <s v="Rs."/>
    <n v="1"/>
    <n v="0"/>
  </r>
  <r>
    <s v="23-07-2026"/>
    <x v="0"/>
    <s v="R.M.P."/>
    <s v="RM 434"/>
    <s v="Purchase Withinstate - Raw Material"/>
    <s v="PIL1/D/1159"/>
    <s v="23-07-2026"/>
    <s v="SF"/>
    <s v="PP/PE Fabric"/>
    <s v="PP Lam Fabric"/>
    <x v="1"/>
    <s v="PP Lam Fabric With UV"/>
    <n v="268"/>
    <n v="39795.32"/>
    <s v="PP Lam Fabric With UV"/>
    <n v="0"/>
    <n v="9"/>
    <n v="3581.58"/>
    <n v="9"/>
    <n v="3581.58"/>
    <n v="0"/>
    <n v="0"/>
    <n v="0"/>
    <n v="7163.16"/>
    <n v="0"/>
    <s v="24AAACO3087C1ZT"/>
    <s v="Kgs"/>
    <n v="63053300"/>
    <s v="Rs."/>
    <n v="1"/>
    <n v="0"/>
  </r>
  <r>
    <s v="23-07-2026"/>
    <x v="0"/>
    <s v="R.M.P."/>
    <s v="RM 434"/>
    <s v="Purchase Withinstate - Raw Material"/>
    <s v="PIL1/D/1159"/>
    <s v="23-07-2026"/>
    <s v="SF"/>
    <s v="Webbing"/>
    <s v="PP Webbing"/>
    <x v="4"/>
    <s v="Webbing"/>
    <n v="163.4"/>
    <n v="27858.07"/>
    <s v="Webbing"/>
    <n v="0"/>
    <n v="9"/>
    <n v="2507.23"/>
    <n v="9"/>
    <n v="2507.23"/>
    <n v="0"/>
    <n v="0"/>
    <n v="0"/>
    <n v="5014.46"/>
    <n v="0"/>
    <s v="24AAACO3087C1ZT"/>
    <s v="Kgs"/>
    <n v="3926908"/>
    <s v="Rs."/>
    <n v="1"/>
    <n v="0"/>
  </r>
  <r>
    <s v="23-07-2026"/>
    <x v="0"/>
    <s v="R.M.P."/>
    <s v="RM 434"/>
    <s v="Purchase Withinstate - Raw Material"/>
    <s v="PIL1/D/1159"/>
    <s v="23-07-2026"/>
    <s v="SF"/>
    <s v="Webbing"/>
    <s v="PP Webbing"/>
    <x v="4"/>
    <s v="Webbing"/>
    <n v="391.7"/>
    <n v="58555.23"/>
    <s v="Webbing"/>
    <n v="0"/>
    <n v="9"/>
    <n v="5269.97"/>
    <n v="9"/>
    <n v="5269.97"/>
    <n v="0"/>
    <n v="0"/>
    <n v="0"/>
    <n v="10539.94"/>
    <n v="0"/>
    <s v="24AAACO3087C1ZT"/>
    <s v="Kgs"/>
    <n v="3926908"/>
    <s v="Rs."/>
    <n v="1"/>
    <n v="0"/>
  </r>
  <r>
    <s v="23-07-2026"/>
    <x v="0"/>
    <s v="R.M.P."/>
    <s v="RM 434"/>
    <s v="Purchase Withinstate - Raw Material"/>
    <s v="PIL1/D/1159"/>
    <s v="23-07-2026"/>
    <s v="SF"/>
    <s v="Webbing"/>
    <s v="PP Webbing"/>
    <x v="4"/>
    <s v="Webbing"/>
    <n v="568"/>
    <n v="83206.320000000007"/>
    <s v="Webbing"/>
    <n v="0"/>
    <n v="9"/>
    <n v="7488.57"/>
    <n v="9"/>
    <n v="7488.57"/>
    <n v="0"/>
    <n v="0"/>
    <n v="0"/>
    <n v="14977.14"/>
    <n v="0"/>
    <s v="24AAACO3087C1ZT"/>
    <s v="Kgs"/>
    <n v="3926908"/>
    <s v="Rs."/>
    <n v="1"/>
    <n v="0"/>
  </r>
  <r>
    <s v="23-07-2026"/>
    <x v="0"/>
    <s v="R.M.P."/>
    <s v="RM 434"/>
    <s v="Purchase Withinstate - Raw Material"/>
    <s v="PIL1/D/1159"/>
    <s v="23-07-2026"/>
    <s v="SF"/>
    <s v="Yarn All"/>
    <s v="PP Yarn"/>
    <x v="8"/>
    <s v="PP MF Yarn Twisted 3000 Denier UV NW"/>
    <n v="754.7"/>
    <n v="118103"/>
    <s v="PP MF Yarn Twisted 3000 Denier UV NW"/>
    <n v="0"/>
    <n v="2.5"/>
    <n v="2952.58"/>
    <n v="2.5"/>
    <n v="2952.58"/>
    <n v="0"/>
    <n v="0"/>
    <n v="0"/>
    <n v="5905.16"/>
    <n v="0"/>
    <s v="24AAACO3087C1ZT"/>
    <s v="Kgs"/>
    <n v="540263"/>
    <s v="Rs."/>
    <n v="1"/>
    <n v="0"/>
  </r>
  <r>
    <s v="23-07-2026"/>
    <x v="0"/>
    <s v="R.M.P."/>
    <s v="RM 434"/>
    <s v="Purchase Withinstate - Raw Material"/>
    <s v="PIL1/D/1159"/>
    <s v="23-07-2026"/>
    <s v="SF"/>
    <s v="Yarn All"/>
    <s v="PP Yarn"/>
    <x v="8"/>
    <s v="PP MF Yarn Twisted 3000 Denier UV Deep Blue"/>
    <n v="830.8"/>
    <n v="132504.29"/>
    <s v="PP MF Yarn Twisted 3000 Denier UV Deep Blue"/>
    <n v="0"/>
    <n v="2.5"/>
    <n v="3312.61"/>
    <n v="2.5"/>
    <n v="3312.61"/>
    <n v="0"/>
    <n v="0"/>
    <n v="0"/>
    <n v="6625.22"/>
    <n v="0"/>
    <s v="24AAACO3087C1ZT"/>
    <s v="Kgs"/>
    <n v="54026930"/>
    <s v="Rs."/>
    <n v="1"/>
    <n v="0"/>
  </r>
  <r>
    <s v="23-07-2026"/>
    <x v="1"/>
    <s v="General Purchase"/>
    <s v="GNCN 291"/>
    <s v="Purchase Withinstate- Stores, Spares &amp; Consumable"/>
    <s v="PPL/D/400"/>
    <s v="23-07-2026"/>
    <s v="Stores/Spares"/>
    <s v="MS Structure Items"/>
    <s v="Spares &amp; Stores"/>
    <x v="0"/>
    <s v="MS Pipe 4  C Class"/>
    <n v="10"/>
    <n v="480"/>
    <s v="MS Pipe 4  C Class"/>
    <n v="565.91999999999996"/>
    <n v="9"/>
    <n v="43.2"/>
    <n v="9"/>
    <n v="43.2"/>
    <n v="0"/>
    <n v="0"/>
    <n v="0"/>
    <n v="86.4"/>
    <n v="0"/>
    <s v="24AAFCP2956A1ZR"/>
    <s v="Kgs"/>
    <n v="73063090"/>
    <s v="Rs."/>
    <n v="1"/>
    <n v="0"/>
  </r>
  <r>
    <s v="23-07-2026"/>
    <x v="1"/>
    <s v="General Purchase"/>
    <s v="GNCN 292"/>
    <s v="Purchase Withinstate- Stores, Spares &amp; Consumable"/>
    <s v="PPL/D/398"/>
    <s v="23-07-2026"/>
    <s v="SF"/>
    <s v="Liners"/>
    <s v="LDPE/LLDPE Bags"/>
    <x v="0"/>
    <s v="PE Labels (Kgs)"/>
    <n v="37.700000000000003"/>
    <n v="9990.5"/>
    <s v="PE Labels (Kgs)"/>
    <n v="11778.79"/>
    <n v="9"/>
    <n v="899.14"/>
    <n v="9"/>
    <n v="899.14"/>
    <n v="0"/>
    <n v="0"/>
    <n v="0"/>
    <n v="1798.28"/>
    <n v="0"/>
    <s v="24AAFCP2956A1ZR"/>
    <s v="Kgs"/>
    <n v="3920101"/>
    <s v="Rs."/>
    <n v="1"/>
    <n v="0"/>
  </r>
  <r>
    <s v="23-07-2026"/>
    <x v="1"/>
    <s v="General Purchase"/>
    <s v="GNSP 131"/>
    <s v="Purchase Withinstate- Stores, Spares &amp; Consumable"/>
    <s v="PPL/D/397"/>
    <s v="23-07-2026"/>
    <s v="Stores/Spares"/>
    <s v="Needles"/>
    <s v="Spares &amp; Stores"/>
    <x v="0"/>
    <s v="Needle No 34 UY 9853 GA 430/172"/>
    <n v="150"/>
    <n v="27070.5"/>
    <s v="Needle No 34 UY 9853 GA 430/172"/>
    <n v="28396.95"/>
    <n v="2.5"/>
    <n v="676.76"/>
    <n v="2.5"/>
    <n v="676.76"/>
    <n v="0"/>
    <n v="0"/>
    <n v="0"/>
    <n v="1353.52"/>
    <n v="0"/>
    <s v="24AAFCP2956A1ZR"/>
    <s v="Pcs"/>
    <n v="84529099"/>
    <s v="Rs."/>
    <n v="1"/>
    <n v="0"/>
  </r>
  <r>
    <s v="23-07-2026"/>
    <x v="1"/>
    <s v="R.M.P."/>
    <s v="RM 435"/>
    <s v="Purchase Withinstate - Raw Material"/>
    <s v="PPL/D/399"/>
    <s v="23-07-2026"/>
    <s v="SF"/>
    <s v="PP/PE Fabric"/>
    <s v="PP Lam Fabric"/>
    <x v="1"/>
    <s v="PP Lam Fabric With UV"/>
    <n v="238.8"/>
    <n v="38623.51"/>
    <s v="PP Lam Fabric With UV"/>
    <n v="84217.04"/>
    <n v="9"/>
    <n v="3476.12"/>
    <n v="9"/>
    <n v="3476.12"/>
    <n v="0"/>
    <n v="0"/>
    <n v="0"/>
    <n v="6952.24"/>
    <n v="0"/>
    <s v="24AAFCP2956A1ZR"/>
    <s v="Kgs"/>
    <n v="63053300"/>
    <s v="Rs."/>
    <n v="1"/>
    <n v="0"/>
  </r>
  <r>
    <s v="23-07-2026"/>
    <x v="1"/>
    <s v="R.M.P."/>
    <s v="RM 435"/>
    <s v="Purchase Withinstate - Raw Material"/>
    <s v="PPL/D/399"/>
    <s v="23-07-2026"/>
    <s v="SF"/>
    <s v="PP/PE Fabric"/>
    <s v="PP Lam Fabric"/>
    <x v="1"/>
    <s v="PP Lam Fabric With UV"/>
    <n v="78"/>
    <n v="12381.72"/>
    <s v="PP Lam Fabric With UV"/>
    <n v="0"/>
    <n v="9"/>
    <n v="1114.3499999999999"/>
    <n v="9"/>
    <n v="1114.3499999999999"/>
    <n v="0"/>
    <n v="0"/>
    <n v="0"/>
    <n v="2228.6999999999998"/>
    <n v="0"/>
    <s v="24AAFCP2956A1ZR"/>
    <s v="Kgs"/>
    <n v="63053300"/>
    <s v="Rs."/>
    <n v="1"/>
    <n v="0"/>
  </r>
  <r>
    <s v="23-07-2026"/>
    <x v="1"/>
    <s v="R.M.P."/>
    <s v="RM 435"/>
    <s v="Purchase Withinstate - Raw Material"/>
    <s v="PPL/D/399"/>
    <s v="23-07-2026"/>
    <s v="FG"/>
    <s v="FIBC WIP"/>
    <s v="FIBC WIP"/>
    <x v="5"/>
    <s v="PP Woven Fabric"/>
    <n v="132"/>
    <n v="20425.68"/>
    <s v="FIBC WIP"/>
    <n v="0"/>
    <n v="9"/>
    <n v="1838.31"/>
    <n v="9"/>
    <n v="1838.31"/>
    <n v="0"/>
    <n v="0"/>
    <n v="0"/>
    <n v="3676.62"/>
    <n v="0"/>
    <s v="24AAFCP2956A1ZR"/>
    <s v="Kgs"/>
    <n v="39269080"/>
    <s v="Rs."/>
    <n v="1"/>
    <n v="0"/>
  </r>
  <r>
    <s v="24-07-2026"/>
    <x v="6"/>
    <s v="R.M.P."/>
    <s v="RM 436"/>
    <s v="Purchase Withinstate - Raw Material"/>
    <s v="KPV/D/511"/>
    <s v="23-07-2026"/>
    <s v="FG"/>
    <s v="FIBC Bags"/>
    <s v="FIBC Bags"/>
    <x v="11"/>
    <s v="FIBC Bags With UV Without Liner"/>
    <n v="426"/>
    <n v="80496.960000000006"/>
    <s v="FIBC Bags With UV Without Liner"/>
    <n v="2071486.94"/>
    <n v="9"/>
    <n v="7244.73"/>
    <n v="9"/>
    <n v="7244.73"/>
    <n v="0"/>
    <n v="0"/>
    <n v="0"/>
    <n v="14489.46"/>
    <n v="0"/>
    <s v="24AAECK6307M1ZF"/>
    <s v="Kgs"/>
    <n v="63053200"/>
    <s v="Rs."/>
    <n v="1"/>
    <n v="0"/>
  </r>
  <r>
    <s v="24-07-2026"/>
    <x v="6"/>
    <s v="R.M.P."/>
    <s v="RM 436"/>
    <s v="Purchase Withinstate - Raw Material"/>
    <s v="KPV/D/511"/>
    <s v="23-07-2026"/>
    <s v="FG"/>
    <s v="FIBC Bags"/>
    <s v="FIBC Bags"/>
    <x v="11"/>
    <s v="FIBC Bags With UV Without Liner"/>
    <n v="8940.7999999999993"/>
    <n v="1676489.41"/>
    <s v="FIBC Bags With UV Without Liner"/>
    <n v="0"/>
    <n v="9"/>
    <n v="150884.04999999999"/>
    <n v="9"/>
    <n v="150884.04999999999"/>
    <n v="0"/>
    <n v="0"/>
    <n v="0"/>
    <n v="301768.09999999998"/>
    <n v="0"/>
    <s v="24AAECK6307M1ZF"/>
    <s v="Kgs"/>
    <n v="63053200"/>
    <s v="Rs."/>
    <n v="1"/>
    <n v="0"/>
  </r>
  <r>
    <s v="24-07-2026"/>
    <x v="0"/>
    <s v="General Purchase"/>
    <s v="GNCN 294"/>
    <s v="Purchase Withinstate- Stores, Spares &amp; Consumable"/>
    <s v="PIL1/D/1168"/>
    <s v="24-07-2026"/>
    <s v="Stores/Spares"/>
    <s v="MS Structure Items"/>
    <s v="Spares &amp; Stores"/>
    <x v="0"/>
    <s v="MS Pipe 4  C Class"/>
    <n v="478"/>
    <n v="22944"/>
    <s v="MS Pipe 4  C Class"/>
    <n v="27050.98"/>
    <n v="9"/>
    <n v="2064.96"/>
    <n v="9"/>
    <n v="2064.96"/>
    <n v="0"/>
    <n v="0"/>
    <n v="0"/>
    <n v="4129.92"/>
    <n v="0"/>
    <s v="24AAACO3087C1ZT"/>
    <s v="Kgs"/>
    <n v="73063090"/>
    <s v="Rs."/>
    <n v="1"/>
    <n v="0"/>
  </r>
  <r>
    <s v="24-07-2026"/>
    <x v="0"/>
    <s v="R.M.P."/>
    <s v="RM 438"/>
    <s v="Purchase Withinstate - Raw Material"/>
    <s v="PIL1/D/1169"/>
    <s v="24-07-2026"/>
    <s v="SF"/>
    <s v="PP/PE Fabric"/>
    <s v="PP UL Fabric"/>
    <x v="2"/>
    <s v="PP UL Fabric With UV"/>
    <n v="4703"/>
    <n v="679536.47"/>
    <s v="PP UL Fabric With UV"/>
    <n v="995030.37"/>
    <n v="9"/>
    <n v="61158.28"/>
    <n v="9"/>
    <n v="61158.28"/>
    <n v="0"/>
    <n v="0"/>
    <n v="0"/>
    <n v="122316.56"/>
    <n v="0"/>
    <s v="24AAACO3087C1ZT"/>
    <s v="Kgs"/>
    <n v="39269080"/>
    <s v="Rs."/>
    <n v="1"/>
    <n v="0"/>
  </r>
  <r>
    <s v="24-07-2026"/>
    <x v="0"/>
    <s v="R.M.P."/>
    <s v="RM 438"/>
    <s v="Purchase Withinstate - Raw Material"/>
    <s v="PIL1/D/1169"/>
    <s v="24-07-2026"/>
    <s v="SF"/>
    <s v="PP/PE Fabric"/>
    <s v="PP Lam Fabric"/>
    <x v="1"/>
    <s v="PP Lam Fabric With UV"/>
    <n v="357"/>
    <n v="53010.93"/>
    <s v="PP Lam Fabric With UV"/>
    <n v="0"/>
    <n v="9"/>
    <n v="4770.9799999999996"/>
    <n v="9"/>
    <n v="4770.9799999999996"/>
    <n v="0"/>
    <n v="0"/>
    <n v="0"/>
    <n v="9541.9599999999991"/>
    <n v="0"/>
    <s v="24AAACO3087C1ZT"/>
    <s v="Kgs"/>
    <n v="63053300"/>
    <s v="Rs."/>
    <n v="1"/>
    <n v="0"/>
  </r>
  <r>
    <s v="24-07-2026"/>
    <x v="0"/>
    <s v="R.M.P."/>
    <s v="RM 438"/>
    <s v="Purchase Withinstate - Raw Material"/>
    <s v="PIL1/D/1169"/>
    <s v="24-07-2026"/>
    <s v="SF"/>
    <s v="Webbing"/>
    <s v="PP Webbing"/>
    <x v="4"/>
    <s v="Webbing"/>
    <n v="448.8"/>
    <n v="65744.710000000006"/>
    <s v="Webbing"/>
    <n v="0"/>
    <n v="9"/>
    <n v="5917.02"/>
    <n v="9"/>
    <n v="5917.02"/>
    <n v="0"/>
    <n v="0"/>
    <n v="0"/>
    <n v="11834.04"/>
    <n v="0"/>
    <s v="24AAACO3087C1ZT"/>
    <s v="Kgs"/>
    <n v="3926908"/>
    <s v="Rs."/>
    <n v="1"/>
    <n v="0"/>
  </r>
  <r>
    <s v="24-07-2026"/>
    <x v="0"/>
    <s v="R.M.P."/>
    <s v="RM 438"/>
    <s v="Purchase Withinstate - Raw Material"/>
    <s v="PIL1/D/1169"/>
    <s v="24-07-2026"/>
    <s v="SF"/>
    <s v="Webbing"/>
    <s v="PP Webbing"/>
    <x v="4"/>
    <s v="Webbing"/>
    <n v="305.5"/>
    <n v="45669.2"/>
    <s v="Webbing"/>
    <n v="0"/>
    <n v="9"/>
    <n v="4110.2299999999996"/>
    <n v="9"/>
    <n v="4110.2299999999996"/>
    <n v="0"/>
    <n v="0"/>
    <n v="0"/>
    <n v="8220.4599999999991"/>
    <n v="0"/>
    <s v="24AAACO3087C1ZT"/>
    <s v="Kgs"/>
    <n v="3926908"/>
    <s v="Rs."/>
    <n v="1"/>
    <n v="0"/>
  </r>
  <r>
    <s v="24-07-2026"/>
    <x v="0"/>
    <s v="R.M.P."/>
    <s v="RM 439"/>
    <s v="Purchase Withinstate - Raw Material"/>
    <s v="PIL1/D/1167"/>
    <s v="24-07-2026"/>
    <s v="SF"/>
    <s v="PP/PE Fabric"/>
    <s v="PP Lam Fabric"/>
    <x v="1"/>
    <s v="PP Lam Fabric With UV"/>
    <n v="1652"/>
    <n v="250261.48"/>
    <s v="PP Lam Fabric With UV"/>
    <n v="1504068.25"/>
    <n v="9"/>
    <n v="22523.53"/>
    <n v="9"/>
    <n v="22523.53"/>
    <n v="0"/>
    <n v="0"/>
    <n v="0"/>
    <n v="45047.06"/>
    <n v="0"/>
    <s v="24AAACO3087C1ZT"/>
    <s v="Kgs"/>
    <n v="63053300"/>
    <s v="Rs."/>
    <n v="1"/>
    <n v="0"/>
  </r>
  <r>
    <s v="24-07-2026"/>
    <x v="0"/>
    <s v="R.M.P."/>
    <s v="RM 439"/>
    <s v="Purchase Withinstate - Raw Material"/>
    <s v="PIL1/D/1167"/>
    <s v="24-07-2026"/>
    <s v="SF"/>
    <s v="PP/PE Fabric"/>
    <s v="PP UL Fabric"/>
    <x v="2"/>
    <s v="PP UL Fabric With UV"/>
    <n v="5651"/>
    <n v="816512.99"/>
    <s v="PP UL Fabric With UV"/>
    <n v="0"/>
    <n v="9"/>
    <n v="73486.17"/>
    <n v="9"/>
    <n v="73486.17"/>
    <n v="0"/>
    <n v="0"/>
    <n v="0"/>
    <n v="146972.34"/>
    <n v="0"/>
    <s v="24AAACO3087C1ZT"/>
    <s v="Kgs"/>
    <n v="39269080"/>
    <s v="Rs."/>
    <n v="1"/>
    <n v="0"/>
  </r>
  <r>
    <s v="24-07-2026"/>
    <x v="0"/>
    <s v="R.M.P."/>
    <s v="RM 439"/>
    <s v="Purchase Withinstate - Raw Material"/>
    <s v="PIL1/D/1167"/>
    <s v="24-07-2026"/>
    <s v="SF"/>
    <s v="PP/PE Fabric"/>
    <s v="PP UL Fabric"/>
    <x v="2"/>
    <s v="PP UL Fabric With UV"/>
    <n v="339"/>
    <n v="49999.11"/>
    <s v="PP UL Fabric With UV"/>
    <n v="0"/>
    <n v="9"/>
    <n v="4499.92"/>
    <n v="9"/>
    <n v="4499.92"/>
    <n v="0"/>
    <n v="0"/>
    <n v="0"/>
    <n v="8999.84"/>
    <n v="0"/>
    <s v="24AAACO3087C1ZT"/>
    <s v="Kgs"/>
    <n v="39269080"/>
    <s v="Rs."/>
    <n v="1"/>
    <n v="0"/>
  </r>
  <r>
    <s v="24-07-2026"/>
    <x v="0"/>
    <s v="R.M.P."/>
    <s v="RM 439"/>
    <s v="Purchase Withinstate - Raw Material"/>
    <s v="PIL1/D/1167"/>
    <s v="24-07-2026"/>
    <s v="SF"/>
    <s v="PP/PE Fabric"/>
    <s v="PP UL Fabric"/>
    <x v="2"/>
    <s v="PP UL Fabric With UV"/>
    <n v="1085"/>
    <n v="158941.65"/>
    <s v="PP UL Fabric With UV"/>
    <n v="0"/>
    <n v="9"/>
    <n v="14304.75"/>
    <n v="9"/>
    <n v="14304.75"/>
    <n v="0"/>
    <n v="0"/>
    <n v="0"/>
    <n v="28609.5"/>
    <n v="0"/>
    <s v="24AAACO3087C1ZT"/>
    <s v="Kgs"/>
    <n v="39269080"/>
    <s v="Rs."/>
    <n v="1"/>
    <n v="0"/>
  </r>
  <r>
    <s v="24-07-2026"/>
    <x v="1"/>
    <s v="General Purchase"/>
    <s v="GNCN 293"/>
    <s v="Purchase Withinstate- Stores, Spares &amp; Consumable"/>
    <s v="PPL/D/407"/>
    <s v="24-07-2026"/>
    <s v="Stores/Spares"/>
    <s v="MS Structure Items"/>
    <s v="Spares &amp; Stores"/>
    <x v="0"/>
    <s v="MS Pipe 4  C Class"/>
    <n v="17"/>
    <n v="816"/>
    <s v="MS Pipe 4  C Class"/>
    <n v="962.06"/>
    <n v="9"/>
    <n v="73.44"/>
    <n v="9"/>
    <n v="73.44"/>
    <n v="0"/>
    <n v="0"/>
    <n v="0"/>
    <n v="146.88"/>
    <n v="0"/>
    <s v="24AAFCP2956A1ZR"/>
    <s v="Kgs"/>
    <n v="73063090"/>
    <s v="Rs."/>
    <n v="1"/>
    <n v="0"/>
  </r>
  <r>
    <s v="24-07-2026"/>
    <x v="1"/>
    <s v="R.M.P."/>
    <s v="RM 437"/>
    <s v="Purchase Withinstate - Raw Material"/>
    <s v="PPL/D/406"/>
    <s v="24-07-2026"/>
    <s v="FG"/>
    <s v="FIBC WIP"/>
    <s v="FIBC WIP"/>
    <x v="5"/>
    <s v="PP Woven Fabric"/>
    <n v="86"/>
    <n v="13307.64"/>
    <s v="FIBC WIP"/>
    <n v="79019.28"/>
    <n v="9"/>
    <n v="1197.69"/>
    <n v="9"/>
    <n v="1197.69"/>
    <n v="0"/>
    <n v="0"/>
    <n v="0"/>
    <n v="2395.38"/>
    <n v="0"/>
    <s v="24AAFCP2956A1ZR"/>
    <s v="Kgs"/>
    <n v="39269080"/>
    <s v="Rs."/>
    <n v="1"/>
    <n v="0"/>
  </r>
  <r>
    <s v="24-07-2026"/>
    <x v="1"/>
    <s v="R.M.P."/>
    <s v="RM 437"/>
    <s v="Purchase Withinstate - Raw Material"/>
    <s v="PPL/D/406"/>
    <s v="24-07-2026"/>
    <s v="SF"/>
    <s v="PP/PE Fabric"/>
    <s v="PP Lam Fabric"/>
    <x v="1"/>
    <s v="PP Lam Fabric With UV"/>
    <n v="210"/>
    <n v="33335.4"/>
    <s v="PP Lam Fabric With UV"/>
    <n v="0"/>
    <n v="9"/>
    <n v="3000.19"/>
    <n v="9"/>
    <n v="3000.19"/>
    <n v="0"/>
    <n v="0"/>
    <n v="0"/>
    <n v="6000.38"/>
    <n v="0"/>
    <s v="24AAFCP2956A1ZR"/>
    <s v="Kgs"/>
    <n v="63053300"/>
    <s v="Rs."/>
    <n v="1"/>
    <n v="0"/>
  </r>
  <r>
    <s v="24-07-2026"/>
    <x v="1"/>
    <s v="R.M.P."/>
    <s v="RM 437"/>
    <s v="Purchase Withinstate - Raw Material"/>
    <s v="PPL/D/406"/>
    <s v="24-07-2026"/>
    <s v="SF"/>
    <s v="PP/PE Fabric"/>
    <s v="PP Lam Fabric"/>
    <x v="1"/>
    <s v="PP Lam Fabric With UV"/>
    <n v="126"/>
    <n v="20379.240000000002"/>
    <s v="PP Lam Fabric With UV"/>
    <n v="0"/>
    <n v="9"/>
    <n v="1834.13"/>
    <n v="9"/>
    <n v="1834.13"/>
    <n v="0"/>
    <n v="0"/>
    <n v="0"/>
    <n v="3668.26"/>
    <n v="0"/>
    <s v="24AAFCP2956A1ZR"/>
    <s v="Kgs"/>
    <n v="63053300"/>
    <s v="Rs."/>
    <n v="1"/>
    <n v="0"/>
  </r>
  <r>
    <s v="25-07-2026"/>
    <x v="0"/>
    <s v="General Purchase"/>
    <s v="GNCN 295"/>
    <s v="Purchase Withinstate- Stores, Spares &amp; Consumable"/>
    <s v="PIL1/D/1174"/>
    <s v="25-07-2026"/>
    <s v="Stores/Spares"/>
    <s v="MS Structure Items"/>
    <s v="Spares &amp; Stores"/>
    <x v="0"/>
    <s v="MS Pipe 4  C Class"/>
    <n v="341"/>
    <n v="16368"/>
    <s v="MS Pipe 4  C Class"/>
    <n v="19297.87"/>
    <n v="9"/>
    <n v="1473.12"/>
    <n v="9"/>
    <n v="1473.12"/>
    <n v="0"/>
    <n v="0"/>
    <n v="0"/>
    <n v="2946.24"/>
    <n v="0"/>
    <s v="24AAACO3087C1ZT"/>
    <s v="Kgs"/>
    <n v="73063090"/>
    <s v="Rs."/>
    <n v="1"/>
    <n v="0"/>
  </r>
  <r>
    <s v="25-07-2026"/>
    <x v="0"/>
    <s v="R.M.P."/>
    <s v="RM 440"/>
    <s v="Purchase Withinstate - Raw Material"/>
    <s v="PIL1/D/1175"/>
    <s v="25-07-2026"/>
    <s v="SF"/>
    <s v="PP/PE Fabric"/>
    <s v="PP UL Fabric"/>
    <x v="2"/>
    <s v="PP UL Fabric With UV"/>
    <n v="1109"/>
    <n v="160239.41"/>
    <s v="PP UL Fabric With UV"/>
    <n v="642863.81999999995"/>
    <n v="9"/>
    <n v="14421.55"/>
    <n v="9"/>
    <n v="14421.55"/>
    <n v="0"/>
    <n v="0"/>
    <n v="0"/>
    <n v="28843.1"/>
    <n v="0"/>
    <s v="24AAACO3087C1ZT"/>
    <s v="Kgs"/>
    <n v="39269080"/>
    <s v="Rs."/>
    <n v="1"/>
    <n v="0"/>
  </r>
  <r>
    <s v="25-07-2026"/>
    <x v="0"/>
    <s v="R.M.P."/>
    <s v="RM 440"/>
    <s v="Purchase Withinstate - Raw Material"/>
    <s v="PIL1/D/1175"/>
    <s v="25-07-2026"/>
    <s v="SF"/>
    <s v="PP/PE Fabric"/>
    <s v="PP Lam Fabric"/>
    <x v="1"/>
    <s v="PP Lam Fabric With UV"/>
    <n v="548"/>
    <n v="81372.52"/>
    <s v="PP Lam Fabric With UV"/>
    <n v="0"/>
    <n v="9"/>
    <n v="7323.53"/>
    <n v="9"/>
    <n v="7323.53"/>
    <n v="0"/>
    <n v="0"/>
    <n v="0"/>
    <n v="14647.06"/>
    <n v="0"/>
    <s v="24AAACO3087C1ZT"/>
    <s v="Kgs"/>
    <n v="63053300"/>
    <s v="Rs."/>
    <n v="1"/>
    <n v="0"/>
  </r>
  <r>
    <s v="25-07-2026"/>
    <x v="0"/>
    <s v="R.M.P."/>
    <s v="RM 440"/>
    <s v="Purchase Withinstate - Raw Material"/>
    <s v="PIL1/D/1175"/>
    <s v="25-07-2026"/>
    <s v="SF"/>
    <s v="Webbing"/>
    <s v="PP Webbing"/>
    <x v="4"/>
    <s v="Webbing"/>
    <n v="1276.3"/>
    <n v="190794.09"/>
    <s v="Webbing"/>
    <n v="0"/>
    <n v="9"/>
    <n v="17171.47"/>
    <n v="9"/>
    <n v="17171.47"/>
    <n v="0"/>
    <n v="0"/>
    <n v="0"/>
    <n v="34342.94"/>
    <n v="0"/>
    <s v="24AAACO3087C1ZT"/>
    <s v="Kgs"/>
    <n v="3926908"/>
    <s v="Rs."/>
    <n v="1"/>
    <n v="0"/>
  </r>
  <r>
    <s v="25-07-2026"/>
    <x v="0"/>
    <s v="R.M.P."/>
    <s v="RM 440"/>
    <s v="Purchase Withinstate - Raw Material"/>
    <s v="PIL1/D/1175"/>
    <s v="25-07-2026"/>
    <s v="SF"/>
    <s v="Webbing"/>
    <s v="PP Webbing"/>
    <x v="4"/>
    <s v="Webbing"/>
    <n v="770.4"/>
    <n v="112855.9"/>
    <s v="Webbing"/>
    <n v="0"/>
    <n v="9"/>
    <n v="10157.030000000001"/>
    <n v="9"/>
    <n v="10157.030000000001"/>
    <n v="0"/>
    <n v="0"/>
    <n v="0"/>
    <n v="20314.060000000001"/>
    <n v="0"/>
    <s v="24AAACO3087C1ZT"/>
    <s v="Kgs"/>
    <n v="3926908"/>
    <s v="Rs."/>
    <n v="1"/>
    <n v="0"/>
  </r>
  <r>
    <s v="25-07-2026"/>
    <x v="0"/>
    <s v="R.M.P."/>
    <s v="RM 441"/>
    <s v="Purchase Withinstate - Raw Material"/>
    <s v="PIL1/D/1173"/>
    <s v="25-07-2026"/>
    <s v="SF"/>
    <s v="PP/PE Fabric"/>
    <s v="PP UL Fabric"/>
    <x v="2"/>
    <s v="PP UL Fabric With UV"/>
    <n v="7719"/>
    <n v="1115318.31"/>
    <s v="PP UL Fabric With UV"/>
    <n v="1404424.95"/>
    <n v="9"/>
    <n v="100378.65"/>
    <n v="9"/>
    <n v="100378.65"/>
    <n v="0"/>
    <n v="0"/>
    <n v="0"/>
    <n v="200757.3"/>
    <n v="0"/>
    <s v="24AAACO3087C1ZT"/>
    <s v="Kgs"/>
    <n v="39269080"/>
    <s v="Rs."/>
    <n v="1"/>
    <n v="0"/>
  </r>
  <r>
    <s v="25-07-2026"/>
    <x v="0"/>
    <s v="R.M.P."/>
    <s v="RM 441"/>
    <s v="Purchase Withinstate - Raw Material"/>
    <s v="PIL1/D/1173"/>
    <s v="25-07-2026"/>
    <s v="SF"/>
    <s v="PP/PE Fabric"/>
    <s v="PP UL Fabric"/>
    <x v="2"/>
    <s v="PP UL Fabric With UV"/>
    <n v="518"/>
    <n v="75881.820000000007"/>
    <s v="PP UL Fabric With UV"/>
    <n v="0"/>
    <n v="9"/>
    <n v="6829.36"/>
    <n v="9"/>
    <n v="6829.36"/>
    <n v="0"/>
    <n v="0"/>
    <n v="0"/>
    <n v="13658.72"/>
    <n v="0"/>
    <s v="24AAACO3087C1ZT"/>
    <s v="Kgs"/>
    <n v="39269080"/>
    <s v="Rs."/>
    <n v="1"/>
    <n v="0"/>
  </r>
  <r>
    <s v="25-07-2026"/>
    <x v="11"/>
    <s v="Purchase"/>
    <s v="GNPK 73"/>
    <s v="Purchase Withinstate- Packing Material"/>
    <s v="SS/SL/26-27/235"/>
    <s v="23-07-2026"/>
    <s v="Packing Material"/>
    <s v="Pallets"/>
    <s v="Pallets"/>
    <x v="9"/>
    <s v="Pine Wooden Pallet Design Code STD90110"/>
    <n v="50"/>
    <n v="40150"/>
    <s v="Pine Wooden Pallet Design Code STD90110"/>
    <n v="96128"/>
    <n v="2.5"/>
    <n v="1003.75"/>
    <n v="2.5"/>
    <n v="1003.75"/>
    <n v="0"/>
    <n v="0"/>
    <n v="0"/>
    <n v="2007.5"/>
    <n v="0"/>
    <s v="24ABLCS6579H1ZR"/>
    <s v="Pcs"/>
    <n v="44152000"/>
    <s v="Rs."/>
    <n v="1"/>
    <n v="0"/>
  </r>
  <r>
    <s v="25-07-2026"/>
    <x v="11"/>
    <s v="Purchase"/>
    <s v="GNPK 73"/>
    <s v="Purchase Withinstate- Packing Material"/>
    <s v="SS/SL/26-27/235"/>
    <s v="23-07-2026"/>
    <s v="Packing Material"/>
    <s v="Pallets"/>
    <s v="Packing Material"/>
    <x v="9"/>
    <s v="Wooden Pallet Flate Size 85X105Cm"/>
    <n v="100"/>
    <n v="51400"/>
    <s v="Wooden Pallet Flate Size 85X105Cm"/>
    <n v="0"/>
    <n v="2.5"/>
    <n v="1285"/>
    <n v="2.5"/>
    <n v="1285"/>
    <n v="0"/>
    <n v="0"/>
    <n v="0"/>
    <n v="2570"/>
    <n v="0"/>
    <s v="24ABLCS6579H1ZR"/>
    <s v="Pcs"/>
    <n v="44152000"/>
    <s v="Rs."/>
    <n v="1"/>
    <n v="0"/>
  </r>
  <r>
    <s v="25-07-2026"/>
    <x v="11"/>
    <s v="General Purchase"/>
    <s v="GNPK 74"/>
    <s v="Purchase Withinstate- Packing Material"/>
    <s v="SS/SL/26-27/236"/>
    <s v="23-07-2026"/>
    <s v="Packing Material"/>
    <s v="Pallets"/>
    <s v="Pallets"/>
    <x v="9"/>
    <s v="Pine Wooden Pallet Design Code QP90110"/>
    <n v="70"/>
    <n v="47670"/>
    <s v="Pine Wooden Pallet Design Code QP90110"/>
    <n v="50054"/>
    <n v="2.5"/>
    <n v="1191.75"/>
    <n v="2.5"/>
    <n v="1191.75"/>
    <n v="0"/>
    <n v="0"/>
    <n v="0"/>
    <n v="2383.5"/>
    <n v="0"/>
    <s v="24ABLCS6579H1ZR"/>
    <s v="Pcs"/>
    <n v="44152000"/>
    <s v="Rs."/>
    <n v="1"/>
    <n v="0"/>
  </r>
  <r>
    <s v="26-07-2026"/>
    <x v="0"/>
    <s v="General Purchase"/>
    <s v="GNCN 296"/>
    <s v="Purchase Withinstate- Stores, Spares &amp; Consumable"/>
    <s v="PIL1/D/1182"/>
    <s v="26-07-2026"/>
    <s v="Stores/Spares"/>
    <s v="MS Structure Items"/>
    <s v="Spares &amp; Stores"/>
    <x v="0"/>
    <s v="MS Pipe 4  C Class"/>
    <n v="356"/>
    <n v="17088"/>
    <s v="MS Pipe 4  C Class"/>
    <n v="20146.75"/>
    <n v="9"/>
    <n v="1537.92"/>
    <n v="9"/>
    <n v="1537.92"/>
    <n v="0"/>
    <n v="0"/>
    <n v="0"/>
    <n v="3075.84"/>
    <n v="0"/>
    <s v="24AAACO3087C1ZT"/>
    <s v="Kgs"/>
    <n v="73063090"/>
    <s v="Rs."/>
    <n v="1"/>
    <n v="0"/>
  </r>
  <r>
    <s v="26-07-2026"/>
    <x v="0"/>
    <s v="R.M.P."/>
    <s v="RM 442"/>
    <s v="Purchase Withinstate - Raw Material"/>
    <s v="PIL1/D/1180"/>
    <s v="26-07-2026"/>
    <s v="FG"/>
    <s v="FIBC WIP"/>
    <s v="FIBC WIP"/>
    <x v="5"/>
    <s v="PP Woven Fabric"/>
    <n v="597"/>
    <n v="93424.53"/>
    <s v="FIBC WIP"/>
    <n v="1160870.53"/>
    <n v="9"/>
    <n v="8408.2099999999991"/>
    <n v="9"/>
    <n v="8408.2099999999991"/>
    <n v="0"/>
    <n v="0"/>
    <n v="0"/>
    <n v="16816.419999999998"/>
    <n v="0"/>
    <s v="24AAACO3087C1ZT"/>
    <s v="Kgs"/>
    <n v="39269080"/>
    <s v="Rs."/>
    <n v="1"/>
    <n v="0"/>
  </r>
  <r>
    <s v="26-07-2026"/>
    <x v="0"/>
    <s v="R.M.P."/>
    <s v="RM 442"/>
    <s v="Purchase Withinstate - Raw Material"/>
    <s v="PIL1/D/1180"/>
    <s v="26-07-2026"/>
    <s v="SF"/>
    <s v="PP/PE Fabric"/>
    <s v="PP UL Fabric"/>
    <x v="2"/>
    <s v="PP UL Fabric With UV"/>
    <n v="274"/>
    <n v="40412.26"/>
    <s v="PP UL Fabric With UV"/>
    <n v="0"/>
    <n v="9"/>
    <n v="3637.1"/>
    <n v="9"/>
    <n v="3637.1"/>
    <n v="0"/>
    <n v="0"/>
    <n v="0"/>
    <n v="7274.2"/>
    <n v="0"/>
    <s v="24AAACO3087C1ZT"/>
    <s v="Kgs"/>
    <n v="39269080"/>
    <s v="Rs."/>
    <n v="1"/>
    <n v="0"/>
  </r>
  <r>
    <s v="26-07-2026"/>
    <x v="0"/>
    <s v="R.M.P."/>
    <s v="RM 442"/>
    <s v="Purchase Withinstate - Raw Material"/>
    <s v="PIL1/D/1180"/>
    <s v="26-07-2026"/>
    <s v="SF"/>
    <s v="PP/PE Fabric"/>
    <s v="PP UL Fabric"/>
    <x v="2"/>
    <s v="PP UL Fabric With UV"/>
    <n v="5141"/>
    <n v="742823.09"/>
    <s v="PP UL Fabric With UV"/>
    <n v="0"/>
    <n v="9"/>
    <n v="66854.080000000002"/>
    <n v="9"/>
    <n v="66854.080000000002"/>
    <n v="0"/>
    <n v="0"/>
    <n v="0"/>
    <n v="133708.16"/>
    <n v="0"/>
    <s v="24AAACO3087C1ZT"/>
    <s v="Kgs"/>
    <n v="39269080"/>
    <s v="Rs."/>
    <n v="1"/>
    <n v="0"/>
  </r>
  <r>
    <s v="26-07-2026"/>
    <x v="0"/>
    <s v="R.M.P."/>
    <s v="RM 442"/>
    <s v="Purchase Withinstate - Raw Material"/>
    <s v="PIL1/D/1180"/>
    <s v="26-07-2026"/>
    <s v="SF"/>
    <s v="PP/PE Fabric"/>
    <s v="PP UL Fabric"/>
    <x v="2"/>
    <s v="PP UL Fabric With UV"/>
    <n v="737"/>
    <n v="107963.13"/>
    <s v="PP UL Fabric With UV"/>
    <n v="0"/>
    <n v="9"/>
    <n v="9716.68"/>
    <n v="9"/>
    <n v="9716.68"/>
    <n v="0"/>
    <n v="0"/>
    <n v="0"/>
    <n v="19433.36"/>
    <n v="0"/>
    <s v="24AAACO3087C1ZT"/>
    <s v="Kgs"/>
    <n v="39269080"/>
    <s v="Rs."/>
    <n v="1"/>
    <n v="0"/>
  </r>
  <r>
    <s v="26-07-2026"/>
    <x v="0"/>
    <s v="R.M.P."/>
    <s v="RM 443"/>
    <s v="Purchase Withinstate - Raw Material"/>
    <s v="PIL1/D/1186"/>
    <s v="26-07-2026"/>
    <s v="SF"/>
    <s v="PP/PE Fabric"/>
    <s v="PP UL Fabric"/>
    <x v="2"/>
    <s v="PP UL Fabric With UV"/>
    <n v="576"/>
    <n v="83226.240000000005"/>
    <s v="PP UL Fabric With UV"/>
    <n v="148899.82999999999"/>
    <n v="9"/>
    <n v="7490.36"/>
    <n v="9"/>
    <n v="7490.36"/>
    <n v="0"/>
    <n v="0"/>
    <n v="0"/>
    <n v="14980.72"/>
    <n v="0"/>
    <s v="24AAACO3087C1ZT"/>
    <s v="Kgs"/>
    <n v="39269080"/>
    <s v="Rs."/>
    <n v="1"/>
    <n v="0"/>
  </r>
  <r>
    <s v="26-07-2026"/>
    <x v="0"/>
    <s v="R.M.P."/>
    <s v="RM 443"/>
    <s v="Purchase Withinstate - Raw Material"/>
    <s v="PIL1/D/1186"/>
    <s v="26-07-2026"/>
    <s v="SF"/>
    <s v="PP/PE Fabric"/>
    <s v="PP UL Fabric"/>
    <x v="2"/>
    <s v="PP UL Fabric With UV"/>
    <n v="292"/>
    <n v="43067.08"/>
    <s v="PP UL Fabric With UV"/>
    <n v="0"/>
    <n v="9"/>
    <n v="3876.04"/>
    <n v="9"/>
    <n v="3876.04"/>
    <n v="0"/>
    <n v="0"/>
    <n v="0"/>
    <n v="7752.08"/>
    <n v="0"/>
    <s v="24AAACO3087C1ZT"/>
    <s v="Kgs"/>
    <n v="39269080"/>
    <s v="Rs."/>
    <n v="1"/>
    <n v="0"/>
  </r>
  <r>
    <s v="26-07-2026"/>
    <x v="0"/>
    <s v="R.M.P."/>
    <s v="RM 444"/>
    <s v="Purchase Withinstate - Raw Material"/>
    <s v="PIL1/D/1183"/>
    <s v="26-07-2026"/>
    <s v="SF"/>
    <s v="Webbing"/>
    <s v="PP Webbing"/>
    <x v="4"/>
    <s v="Webbing"/>
    <n v="1321.8"/>
    <n v="197595.88"/>
    <s v="Webbing"/>
    <n v="2169852.9300000002"/>
    <n v="9"/>
    <n v="17783.63"/>
    <n v="9"/>
    <n v="17783.63"/>
    <n v="0"/>
    <n v="0"/>
    <n v="0"/>
    <n v="35567.26"/>
    <n v="0"/>
    <s v="24AAACO3087C1ZT"/>
    <s v="Kgs"/>
    <n v="3926908"/>
    <s v="Rs."/>
    <n v="1"/>
    <n v="0"/>
  </r>
  <r>
    <s v="26-07-2026"/>
    <x v="0"/>
    <s v="R.M.P."/>
    <s v="RM 444"/>
    <s v="Purchase Withinstate - Raw Material"/>
    <s v="PIL1/D/1183"/>
    <s v="26-07-2026"/>
    <s v="SF"/>
    <s v="Webbing"/>
    <s v="PP Webbing"/>
    <x v="4"/>
    <s v="Webbing"/>
    <n v="1004.3"/>
    <n v="147119.91"/>
    <s v="Webbing"/>
    <n v="0"/>
    <n v="9"/>
    <n v="13240.79"/>
    <n v="9"/>
    <n v="13240.79"/>
    <n v="0"/>
    <n v="0"/>
    <n v="0"/>
    <n v="26481.58"/>
    <n v="0"/>
    <s v="24AAACO3087C1ZT"/>
    <s v="Kgs"/>
    <n v="3926908"/>
    <s v="Rs."/>
    <n v="1"/>
    <n v="0"/>
  </r>
  <r>
    <s v="26-07-2026"/>
    <x v="0"/>
    <s v="R.M.P."/>
    <s v="RM 444"/>
    <s v="Purchase Withinstate - Raw Material"/>
    <s v="PIL1/D/1183"/>
    <s v="26-07-2026"/>
    <s v="SF"/>
    <s v="Liners"/>
    <s v="LDPE/LLDPE Bags"/>
    <x v="3"/>
    <s v="LDPE/LLDPE Bags/Liner"/>
    <n v="4383.3999999999996"/>
    <n v="801197.85"/>
    <s v="LDPE/LLDPE Bags/Liner"/>
    <n v="0"/>
    <n v="9"/>
    <n v="72107.81"/>
    <n v="9"/>
    <n v="72107.81"/>
    <n v="0"/>
    <n v="0"/>
    <n v="0"/>
    <n v="144215.62"/>
    <n v="0"/>
    <s v="24AAACO3087C1ZT"/>
    <s v="Kgs"/>
    <n v="39200000"/>
    <s v="Rs."/>
    <n v="1"/>
    <n v="0"/>
  </r>
  <r>
    <s v="26-07-2026"/>
    <x v="0"/>
    <s v="R.M.P."/>
    <s v="RM 444"/>
    <s v="Purchase Withinstate - Raw Material"/>
    <s v="PIL1/D/1183"/>
    <s v="26-07-2026"/>
    <s v="SF"/>
    <s v="Liners"/>
    <s v="LDPE/LLDPE Bags"/>
    <x v="3"/>
    <s v="LDPE/LLDPE Bags/Liner"/>
    <n v="133"/>
    <n v="24708.74"/>
    <s v="LDPE/LLDPE Bags/Liner"/>
    <n v="0"/>
    <n v="9"/>
    <n v="2223.79"/>
    <n v="9"/>
    <n v="2223.79"/>
    <n v="0"/>
    <n v="0"/>
    <n v="0"/>
    <n v="4447.58"/>
    <n v="0"/>
    <s v="24AAACO3087C1ZT"/>
    <s v="Kgs"/>
    <n v="39200000"/>
    <s v="Rs."/>
    <n v="1"/>
    <n v="0"/>
  </r>
  <r>
    <s v="26-07-2026"/>
    <x v="0"/>
    <s v="R.M.P."/>
    <s v="RM 444"/>
    <s v="Purchase Withinstate - Raw Material"/>
    <s v="PIL1/D/1183"/>
    <s v="26-07-2026"/>
    <s v="SF"/>
    <s v="Liners"/>
    <s v="LDPE/LLDPE Bags"/>
    <x v="3"/>
    <s v="LDPE/LLDPE Bags/Liner"/>
    <n v="81"/>
    <n v="15129.18"/>
    <s v="LDPE/LLDPE Bags/Liner"/>
    <n v="0"/>
    <n v="9"/>
    <n v="1361.63"/>
    <n v="9"/>
    <n v="1361.63"/>
    <n v="0"/>
    <n v="0"/>
    <n v="0"/>
    <n v="2723.26"/>
    <n v="0"/>
    <s v="24AAACO3087C1ZT"/>
    <s v="Kgs"/>
    <n v="39200000"/>
    <s v="Rs."/>
    <n v="1"/>
    <n v="0"/>
  </r>
  <r>
    <s v="26-07-2026"/>
    <x v="0"/>
    <s v="R.M.P."/>
    <s v="RM 444"/>
    <s v="Purchase Withinstate - Raw Material"/>
    <s v="PIL1/D/1183"/>
    <s v="26-07-2026"/>
    <s v="SF"/>
    <s v="PP/PE Fabric"/>
    <s v="PP UL Fabric"/>
    <x v="2"/>
    <s v="PP UL Fabric With UV"/>
    <n v="1418"/>
    <n v="204886.82"/>
    <s v="PP UL Fabric With UV"/>
    <n v="0"/>
    <n v="9"/>
    <n v="18439.810000000001"/>
    <n v="9"/>
    <n v="18439.810000000001"/>
    <n v="0"/>
    <n v="0"/>
    <n v="0"/>
    <n v="36879.620000000003"/>
    <n v="0"/>
    <s v="24AAACO3087C1ZT"/>
    <s v="Kgs"/>
    <n v="39269080"/>
    <s v="Rs."/>
    <n v="1"/>
    <n v="0"/>
  </r>
  <r>
    <s v="26-07-2026"/>
    <x v="0"/>
    <s v="R.M.P."/>
    <s v="RM 444"/>
    <s v="Purchase Withinstate - Raw Material"/>
    <s v="PIL1/D/1183"/>
    <s v="26-07-2026"/>
    <s v="SF"/>
    <s v="PP/PE Fabric"/>
    <s v="PP Lam Fabric"/>
    <x v="1"/>
    <s v="PP Lam Fabric With UV"/>
    <n v="2377"/>
    <n v="360091.73"/>
    <s v="PP Lam Fabric With UV"/>
    <n v="0"/>
    <n v="9"/>
    <n v="32408.26"/>
    <n v="9"/>
    <n v="32408.26"/>
    <n v="0"/>
    <n v="0"/>
    <n v="0"/>
    <n v="64816.52"/>
    <n v="0"/>
    <s v="24AAACO3087C1ZT"/>
    <s v="Kgs"/>
    <n v="63053300"/>
    <s v="Rs."/>
    <n v="1"/>
    <n v="0"/>
  </r>
  <r>
    <s v="26-07-2026"/>
    <x v="0"/>
    <s v="R.M.P."/>
    <s v="RM 444"/>
    <s v="Purchase Withinstate - Raw Material"/>
    <s v="PIL1/D/1183"/>
    <s v="26-07-2026"/>
    <s v="SF"/>
    <s v="PP/PE Fabric"/>
    <s v="PP Lam Fabric"/>
    <x v="1"/>
    <s v="PP Lam Fabric With UV"/>
    <n v="604"/>
    <n v="89687.96"/>
    <s v="PP Lam Fabric With UV"/>
    <n v="0"/>
    <n v="9"/>
    <n v="8071.92"/>
    <n v="9"/>
    <n v="8071.92"/>
    <n v="0"/>
    <n v="0"/>
    <n v="0"/>
    <n v="16143.84"/>
    <n v="0"/>
    <s v="24AAACO3087C1ZT"/>
    <s v="Kgs"/>
    <n v="63053300"/>
    <s v="Rs."/>
    <n v="1"/>
    <n v="0"/>
  </r>
  <r>
    <s v="27-07-2026"/>
    <x v="0"/>
    <s v="General Purchase"/>
    <s v="GNCN 297"/>
    <s v="Purchase Withinstate- Stores, Spares &amp; Consumable"/>
    <s v="PIL1/D/1190"/>
    <s v="27-07-2026"/>
    <s v="Stores/Spares"/>
    <s v="MS Structure Items"/>
    <s v="Spares &amp; Stores"/>
    <x v="0"/>
    <s v="MS Pipe 4  C Class"/>
    <n v="432"/>
    <n v="20736"/>
    <s v="MS Pipe 4  C Class"/>
    <n v="24447.74"/>
    <n v="9"/>
    <n v="1866.24"/>
    <n v="9"/>
    <n v="1866.24"/>
    <n v="0"/>
    <n v="0"/>
    <n v="0"/>
    <n v="3732.48"/>
    <n v="0"/>
    <s v="24AAACO3087C1ZT"/>
    <s v="Kgs"/>
    <n v="73063090"/>
    <s v="Rs."/>
    <n v="1"/>
    <n v="0"/>
  </r>
  <r>
    <s v="27-07-2026"/>
    <x v="0"/>
    <s v="R.M.P."/>
    <s v="RM 445"/>
    <s v="Purchase Withinstate - Raw Material"/>
    <s v="PIL1/D/1189"/>
    <s v="27-07-2026"/>
    <s v="SF"/>
    <s v="PP/PE Fabric"/>
    <s v="PP UL Fabric"/>
    <x v="2"/>
    <s v="PP UL Fabric With UV"/>
    <n v="5977"/>
    <n v="863616.73"/>
    <s v="PP UL Fabric With UV"/>
    <n v="1151710.29"/>
    <n v="9"/>
    <n v="77725.509999999995"/>
    <n v="9"/>
    <n v="77725.509999999995"/>
    <n v="0"/>
    <n v="0"/>
    <n v="0"/>
    <n v="155451.01999999999"/>
    <n v="0"/>
    <s v="24AAACO3087C1ZT"/>
    <s v="Kgs"/>
    <n v="39269080"/>
    <s v="Rs."/>
    <n v="1"/>
    <n v="0"/>
  </r>
  <r>
    <s v="27-07-2026"/>
    <x v="0"/>
    <s v="R.M.P."/>
    <s v="RM 445"/>
    <s v="Purchase Withinstate - Raw Material"/>
    <s v="PIL1/D/1189"/>
    <s v="27-07-2026"/>
    <s v="SF"/>
    <s v="PP/PE Fabric"/>
    <s v="PP UL Fabric"/>
    <x v="2"/>
    <s v="PP UL Fabric With UV"/>
    <n v="773"/>
    <n v="113236.77"/>
    <s v="PP UL Fabric With UV"/>
    <n v="0"/>
    <n v="9"/>
    <n v="10191.31"/>
    <n v="9"/>
    <n v="10191.31"/>
    <n v="0"/>
    <n v="0"/>
    <n v="0"/>
    <n v="20382.62"/>
    <n v="0"/>
    <s v="24AAACO3087C1ZT"/>
    <s v="Kgs"/>
    <n v="39269080"/>
    <s v="Rs."/>
    <n v="1"/>
    <n v="0"/>
  </r>
  <r>
    <s v="27-07-2026"/>
    <x v="0"/>
    <s v="R.M.P."/>
    <s v="RM 446"/>
    <s v="Purchase Withinstate - Raw Material"/>
    <s v="PIL1/D/1191"/>
    <s v="27-07-2026"/>
    <s v="SF"/>
    <s v="Webbing"/>
    <s v="PP Webbing"/>
    <x v="4"/>
    <s v="Webbing"/>
    <n v="675"/>
    <n v="98880.75"/>
    <s v="Webbing"/>
    <n v="1747684.48"/>
    <n v="9"/>
    <n v="8899.27"/>
    <n v="9"/>
    <n v="8899.27"/>
    <n v="0"/>
    <n v="0"/>
    <n v="0"/>
    <n v="17798.54"/>
    <n v="0"/>
    <s v="24AAACO3087C1ZT"/>
    <s v="Kgs"/>
    <n v="3926908"/>
    <s v="Rs."/>
    <n v="1"/>
    <n v="0"/>
  </r>
  <r>
    <s v="27-07-2026"/>
    <x v="0"/>
    <s v="R.M.P."/>
    <s v="RM 446"/>
    <s v="Purchase Withinstate - Raw Material"/>
    <s v="PIL1/D/1191"/>
    <s v="27-07-2026"/>
    <s v="SF"/>
    <s v="Liners"/>
    <s v="LDPE/LLDPE Bags"/>
    <x v="3"/>
    <s v="LDPE/LLDPE Bags/Liner"/>
    <n v="1041"/>
    <n v="190273.98"/>
    <s v="LDPE/LLDPE Bags/Liner"/>
    <n v="0"/>
    <n v="9"/>
    <n v="17124.66"/>
    <n v="9"/>
    <n v="17124.66"/>
    <n v="0"/>
    <n v="0"/>
    <n v="0"/>
    <n v="34249.32"/>
    <n v="0"/>
    <s v="24AAACO3087C1ZT"/>
    <s v="Kgs"/>
    <n v="39200000"/>
    <s v="Rs."/>
    <n v="1"/>
    <n v="0"/>
  </r>
  <r>
    <s v="27-07-2026"/>
    <x v="0"/>
    <s v="R.M.P."/>
    <s v="RM 446"/>
    <s v="Purchase Withinstate - Raw Material"/>
    <s v="PIL1/D/1191"/>
    <s v="27-07-2026"/>
    <s v="SF"/>
    <s v="Liners"/>
    <s v="LDPE/LLDPE Bags"/>
    <x v="3"/>
    <s v="LDPE/LLDPE Bags/Liner"/>
    <n v="80"/>
    <n v="14942.4"/>
    <s v="LDPE/LLDPE Bags/Liner"/>
    <n v="0"/>
    <n v="9"/>
    <n v="1344.82"/>
    <n v="9"/>
    <n v="1344.82"/>
    <n v="0"/>
    <n v="0"/>
    <n v="0"/>
    <n v="2689.64"/>
    <n v="0"/>
    <s v="24AAACO3087C1ZT"/>
    <s v="Kgs"/>
    <n v="39200000"/>
    <s v="Rs."/>
    <n v="1"/>
    <n v="0"/>
  </r>
  <r>
    <s v="27-07-2026"/>
    <x v="0"/>
    <s v="R.M.P."/>
    <s v="RM 446"/>
    <s v="Purchase Withinstate - Raw Material"/>
    <s v="PIL1/D/1191"/>
    <s v="27-07-2026"/>
    <s v="SF"/>
    <s v="PP/PE Fabric"/>
    <s v="PP UL Fabric"/>
    <x v="2"/>
    <s v="PP UL Fabric With UV"/>
    <n v="3102"/>
    <n v="448207.98"/>
    <s v="PP UL Fabric With UV"/>
    <n v="0"/>
    <n v="9"/>
    <n v="40338.720000000001"/>
    <n v="9"/>
    <n v="40338.720000000001"/>
    <n v="0"/>
    <n v="0"/>
    <n v="0"/>
    <n v="80677.440000000002"/>
    <n v="0"/>
    <s v="24AAACO3087C1ZT"/>
    <s v="Kgs"/>
    <n v="39269080"/>
    <s v="Rs."/>
    <n v="1"/>
    <n v="0"/>
  </r>
  <r>
    <s v="27-07-2026"/>
    <x v="0"/>
    <s v="R.M.P."/>
    <s v="RM 446"/>
    <s v="Purchase Withinstate - Raw Material"/>
    <s v="PIL1/D/1191"/>
    <s v="27-07-2026"/>
    <s v="SF"/>
    <s v="PP/PE Fabric"/>
    <s v="PP Lam Fabric"/>
    <x v="1"/>
    <s v="PP Lam Fabric With UV"/>
    <n v="1281"/>
    <n v="187653.69"/>
    <s v="PP Lam Fabric With UV"/>
    <n v="0"/>
    <n v="9"/>
    <n v="16888.830000000002"/>
    <n v="9"/>
    <n v="16888.830000000002"/>
    <n v="0"/>
    <n v="0"/>
    <n v="0"/>
    <n v="33777.660000000003"/>
    <n v="0"/>
    <s v="24AAACO3087C1ZT"/>
    <s v="Kgs"/>
    <n v="63053300"/>
    <s v="Rs."/>
    <n v="1"/>
    <n v="0"/>
  </r>
  <r>
    <s v="27-07-2026"/>
    <x v="0"/>
    <s v="R.M.P."/>
    <s v="RM 446"/>
    <s v="Purchase Withinstate - Raw Material"/>
    <s v="PIL1/D/1191"/>
    <s v="27-07-2026"/>
    <s v="SF"/>
    <s v="PP/PE Fabric"/>
    <s v="PP Lam Fabric"/>
    <x v="1"/>
    <s v="PP Lam Fabric With UV"/>
    <n v="793"/>
    <n v="120131.57"/>
    <s v="PP Lam Fabric With UV"/>
    <n v="0"/>
    <n v="9"/>
    <n v="10811.84"/>
    <n v="9"/>
    <n v="10811.84"/>
    <n v="0"/>
    <n v="0"/>
    <n v="0"/>
    <n v="21623.68"/>
    <n v="0"/>
    <s v="24AAACO3087C1ZT"/>
    <s v="Kgs"/>
    <n v="63053300"/>
    <s v="Rs."/>
    <n v="1"/>
    <n v="0"/>
  </r>
  <r>
    <s v="27-07-2026"/>
    <x v="0"/>
    <s v="R.M.P."/>
    <s v="RM 446"/>
    <s v="Purchase Withinstate - Raw Material"/>
    <s v="PIL1/D/1191"/>
    <s v="27-07-2026"/>
    <s v="SF"/>
    <s v="PP/PE Fabric"/>
    <s v="PP Lam Fabric"/>
    <x v="1"/>
    <s v="PP Lam Fabric With UV"/>
    <n v="1602"/>
    <n v="242686.98"/>
    <s v="PP Lam Fabric With UV"/>
    <n v="0"/>
    <n v="9"/>
    <n v="21841.83"/>
    <n v="9"/>
    <n v="21841.83"/>
    <n v="0"/>
    <n v="0"/>
    <n v="0"/>
    <n v="43683.66"/>
    <n v="0"/>
    <s v="24AAACO3087C1ZT"/>
    <s v="Kgs"/>
    <n v="63053300"/>
    <s v="Rs."/>
    <n v="1"/>
    <n v="0"/>
  </r>
  <r>
    <s v="27-07-2026"/>
    <x v="0"/>
    <s v="R.M.P."/>
    <s v="RM 446"/>
    <s v="Purchase Withinstate - Raw Material"/>
    <s v="PIL1/D/1191"/>
    <s v="27-07-2026"/>
    <s v="SF"/>
    <s v="Webbing"/>
    <s v="PP Webbing"/>
    <x v="4"/>
    <s v="Webbing"/>
    <n v="1201.2"/>
    <n v="179567.39"/>
    <s v="Webbing"/>
    <n v="0"/>
    <n v="9"/>
    <n v="16161.06"/>
    <n v="9"/>
    <n v="16161.06"/>
    <n v="0"/>
    <n v="0"/>
    <n v="0"/>
    <n v="32322.12"/>
    <n v="0"/>
    <s v="24AAACO3087C1ZT"/>
    <s v="Kgs"/>
    <n v="3926908"/>
    <s v="Rs."/>
    <n v="1"/>
    <n v="0"/>
  </r>
  <r>
    <s v="28-07-2026"/>
    <x v="15"/>
    <s v="General Purchase"/>
    <s v="GNCN 298"/>
    <s v="Purchase Withinstate- Stores, Spares &amp; Consumable"/>
    <s v="GP/26-27/77724"/>
    <s v="25-07-2026"/>
    <s v="Consumables"/>
    <s v="Oil &amp; Greases"/>
    <s v="Spares &amp; Stores"/>
    <x v="0"/>
    <s v="Diesel"/>
    <n v="400"/>
    <n v="39116"/>
    <s v="Diesel"/>
    <n v="39116"/>
    <n v="0"/>
    <n v="0"/>
    <n v="0"/>
    <n v="0"/>
    <n v="0"/>
    <n v="0"/>
    <n v="0"/>
    <n v="0"/>
    <n v="0"/>
    <s v="24ABJPV0976A1ZO"/>
    <s v="LTR"/>
    <n v="27101930"/>
    <s v="Rs."/>
    <n v="1"/>
    <n v="0"/>
  </r>
  <r>
    <s v="28-07-2026"/>
    <x v="15"/>
    <s v="General Purchase"/>
    <s v="GNCN 299"/>
    <s v="Purchase Withinstate- Stores, Spares &amp; Consumable"/>
    <s v="GP/26-27/77725"/>
    <s v="25-07-2026"/>
    <s v="Consumables"/>
    <s v="Oil &amp; Greases"/>
    <s v="Spares &amp; Stores"/>
    <x v="0"/>
    <s v="Diesel"/>
    <n v="200"/>
    <n v="19558"/>
    <s v="Diesel"/>
    <n v="19558"/>
    <n v="0"/>
    <n v="0"/>
    <n v="0"/>
    <n v="0"/>
    <n v="0"/>
    <n v="0"/>
    <n v="0"/>
    <n v="0"/>
    <n v="0"/>
    <s v="24ABJPV0976A1ZO"/>
    <s v="LTR"/>
    <n v="27101930"/>
    <s v="Rs."/>
    <n v="1"/>
    <n v="0"/>
  </r>
  <r>
    <s v="28-07-2026"/>
    <x v="5"/>
    <s v="Branch Transfer In"/>
    <s v="RM 453"/>
    <s v="Branch Transfer In - Raw Material"/>
    <s v="HPBL/DC/24"/>
    <s v="27-07-2026"/>
    <s v="SF"/>
    <s v="Liners"/>
    <s v="LDPE/LLDPE Bags"/>
    <x v="7"/>
    <s v="DOC Pouch"/>
    <n v="591"/>
    <n v="95990.22"/>
    <s v="DOC Pouch"/>
    <n v="95990.22"/>
    <n v="0"/>
    <n v="0"/>
    <n v="0"/>
    <n v="0"/>
    <n v="0"/>
    <n v="0"/>
    <n v="0"/>
    <n v="0"/>
    <n v="0"/>
    <s v="24AABCG1282C2Z6"/>
    <s v="Kgs"/>
    <n v="39232100"/>
    <s v="Rs."/>
    <n v="1"/>
    <n v="0"/>
  </r>
  <r>
    <s v="28-07-2026"/>
    <x v="34"/>
    <s v="General Purchase"/>
    <s v="GNSP 132"/>
    <s v="Purchase Withinstate- Stores, Spares &amp; Consumable"/>
    <s v="1496/26-27"/>
    <s v="22-07-2026"/>
    <s v="Stores/Spares"/>
    <s v="Hardware Items"/>
    <s v="Spares &amp; Stores"/>
    <x v="0"/>
    <s v="Garden Pipe 1/2&quot;"/>
    <n v="210"/>
    <n v="5880"/>
    <s v="Garden Pipe 1/2&quot;"/>
    <n v="6938"/>
    <n v="9"/>
    <n v="529.20000000000005"/>
    <n v="9"/>
    <n v="529.20000000000005"/>
    <n v="0"/>
    <n v="0"/>
    <n v="0"/>
    <n v="1058.4000000000001"/>
    <n v="0"/>
    <s v="24AEHPN1023R1ZD"/>
    <s v="MTR"/>
    <n v="391713"/>
    <s v="Rs."/>
    <n v="1"/>
    <n v="0"/>
  </r>
  <r>
    <s v="28-07-2026"/>
    <x v="35"/>
    <s v="General Purchase"/>
    <s v="GNSP 133"/>
    <s v="Purchase Withinstate- Stores, Spares &amp; Consumable"/>
    <n v="1196"/>
    <s v="24-07-2026"/>
    <s v="Consumables"/>
    <s v="Consumables Workshop"/>
    <s v="Spares &amp; Stores"/>
    <x v="0"/>
    <s v="Cutting Wheel 4 &quot; X 1.2 mm"/>
    <n v="100"/>
    <n v="1200"/>
    <s v="Cutting Wheel 4 &quot; X 1.2 mm"/>
    <n v="1416"/>
    <n v="9"/>
    <n v="108"/>
    <n v="9"/>
    <n v="108"/>
    <n v="0"/>
    <n v="0"/>
    <n v="0"/>
    <n v="216"/>
    <n v="0"/>
    <s v="24ABVPP9097Q1Z7"/>
    <s v="Pcs"/>
    <n v="68042290"/>
    <s v="Rs."/>
    <n v="1"/>
    <n v="0"/>
  </r>
  <r>
    <s v="28-07-2026"/>
    <x v="0"/>
    <s v="General Purchase"/>
    <s v="GNCN 300"/>
    <s v="Purchase Withinstate- Stores, Spares &amp; Consumable"/>
    <s v="PIL1/D/1203"/>
    <s v="28-07-2026"/>
    <s v="Stores/Spares"/>
    <s v="MS Structure Items"/>
    <s v="Spares &amp; Stores"/>
    <x v="0"/>
    <s v="MS Pipe 4  C Class"/>
    <n v="351"/>
    <n v="16848"/>
    <s v="MS Pipe 4  C Class"/>
    <n v="19863.79"/>
    <n v="9"/>
    <n v="1516.32"/>
    <n v="9"/>
    <n v="1516.32"/>
    <n v="0"/>
    <n v="0"/>
    <n v="0"/>
    <n v="3032.64"/>
    <n v="0"/>
    <s v="24AAACO3087C1ZT"/>
    <s v="Kgs"/>
    <n v="73063090"/>
    <s v="Rs."/>
    <n v="1"/>
    <n v="0"/>
  </r>
  <r>
    <s v="28-07-2026"/>
    <x v="0"/>
    <s v="R.M.P."/>
    <s v="RM 448"/>
    <s v="Purchase Withinstate - Raw Material"/>
    <s v="PIL1/D/1201"/>
    <s v="28-07-2026"/>
    <s v="SF"/>
    <s v="PP/PE Fabric"/>
    <s v="PP UL Fabric"/>
    <x v="2"/>
    <s v="PP UL Fabric With UV"/>
    <n v="7183"/>
    <n v="1037871.67"/>
    <s v="PP UL Fabric With UV"/>
    <n v="1449557.04"/>
    <n v="9"/>
    <n v="93408.45"/>
    <n v="9"/>
    <n v="93408.45"/>
    <n v="0"/>
    <n v="0"/>
    <n v="0"/>
    <n v="186816.9"/>
    <n v="0"/>
    <s v="24AAACO3087C1ZT"/>
    <s v="Kgs"/>
    <n v="39269080"/>
    <s v="Rs."/>
    <n v="1"/>
    <n v="0"/>
  </r>
  <r>
    <s v="28-07-2026"/>
    <x v="0"/>
    <s v="R.M.P."/>
    <s v="RM 448"/>
    <s v="Purchase Withinstate - Raw Material"/>
    <s v="PIL1/D/1201"/>
    <s v="28-07-2026"/>
    <s v="SF"/>
    <s v="PP/PE Fabric"/>
    <s v="PP UL Fabric"/>
    <x v="2"/>
    <s v="PP UL Fabric With UV"/>
    <n v="146"/>
    <n v="21533.54"/>
    <s v="PP UL Fabric With UV"/>
    <n v="0"/>
    <n v="9"/>
    <n v="1938.02"/>
    <n v="9"/>
    <n v="1938.02"/>
    <n v="0"/>
    <n v="0"/>
    <n v="0"/>
    <n v="3876.04"/>
    <n v="0"/>
    <s v="24AAACO3087C1ZT"/>
    <s v="Kgs"/>
    <n v="39269080"/>
    <s v="Rs."/>
    <n v="1"/>
    <n v="0"/>
  </r>
  <r>
    <s v="28-07-2026"/>
    <x v="0"/>
    <s v="R.M.P."/>
    <s v="RM 448"/>
    <s v="Purchase Withinstate - Raw Material"/>
    <s v="PIL1/D/1201"/>
    <s v="28-07-2026"/>
    <s v="SF"/>
    <s v="PP/PE Fabric"/>
    <s v="PP UL Fabric"/>
    <x v="2"/>
    <s v="PP UL Fabric With UV"/>
    <n v="1161"/>
    <n v="170074.89"/>
    <s v="PP UL Fabric With UV"/>
    <n v="0"/>
    <n v="9"/>
    <n v="15306.74"/>
    <n v="9"/>
    <n v="15306.74"/>
    <n v="0"/>
    <n v="0"/>
    <n v="0"/>
    <n v="30613.48"/>
    <n v="0"/>
    <s v="24AAACO3087C1ZT"/>
    <s v="Kgs"/>
    <n v="39269080"/>
    <s v="Rs."/>
    <n v="1"/>
    <n v="0"/>
  </r>
  <r>
    <s v="28-07-2026"/>
    <x v="0"/>
    <s v="R.M.P."/>
    <s v="RM 449"/>
    <s v="Purchase Withinstate - Raw Material"/>
    <s v="PIL1/D/1200"/>
    <s v="28-07-2026"/>
    <s v="SF"/>
    <s v="PP/PE Fabric"/>
    <s v="PP UL Fabric"/>
    <x v="2"/>
    <s v="PP UL Fabric With UV"/>
    <n v="97"/>
    <n v="14209.53"/>
    <s v="PP UL Fabric With UV"/>
    <n v="16753.04"/>
    <n v="9"/>
    <n v="1278.8599999999999"/>
    <n v="9"/>
    <n v="1278.8599999999999"/>
    <n v="0"/>
    <n v="0"/>
    <n v="0"/>
    <n v="2557.7199999999998"/>
    <n v="0"/>
    <s v="24AAACO3087C1ZT"/>
    <s v="Kgs"/>
    <n v="39269080"/>
    <s v="Rs."/>
    <n v="1"/>
    <n v="0"/>
  </r>
  <r>
    <s v="28-07-2026"/>
    <x v="0"/>
    <s v="R.M.P."/>
    <s v="RM 450"/>
    <s v="Purchase Withinstate - Raw Material"/>
    <s v="PIL1/D/1202"/>
    <s v="28-07-2026"/>
    <s v="RM Consumables"/>
    <s v="FIBC Accessories"/>
    <s v="FIBC Accessories"/>
    <x v="9"/>
    <s v="Zip Lock Bags"/>
    <n v="3000"/>
    <n v="10600.2"/>
    <s v="Zip Lock Bags"/>
    <n v="1116754.72"/>
    <n v="9"/>
    <n v="954.02"/>
    <n v="9"/>
    <n v="954.02"/>
    <n v="0"/>
    <n v="0"/>
    <n v="0"/>
    <n v="1908.04"/>
    <n v="0"/>
    <s v="24AAACO3087C1ZT"/>
    <s v="Pcs"/>
    <n v="39232100"/>
    <s v="Rs."/>
    <n v="1"/>
    <n v="3000"/>
  </r>
  <r>
    <s v="28-07-2026"/>
    <x v="0"/>
    <s v="R.M.P."/>
    <s v="RM 450"/>
    <s v="Purchase Withinstate - Raw Material"/>
    <s v="PIL1/D/1202"/>
    <s v="28-07-2026"/>
    <s v="SF"/>
    <s v="Liners"/>
    <s v="LDPE/LLDPE Bags"/>
    <x v="3"/>
    <s v="LDPE/LLDPE Bags/Liner"/>
    <n v="3256"/>
    <n v="595131.68000000005"/>
    <s v="LDPE/LLDPE Bags/Liner"/>
    <n v="0"/>
    <n v="9"/>
    <n v="53561.85"/>
    <n v="9"/>
    <n v="53561.85"/>
    <n v="0"/>
    <n v="0"/>
    <n v="0"/>
    <n v="107123.7"/>
    <n v="0"/>
    <s v="24AAACO3087C1ZT"/>
    <s v="Kgs"/>
    <n v="39200000"/>
    <s v="Rs."/>
    <n v="1"/>
    <n v="3256"/>
  </r>
  <r>
    <s v="28-07-2026"/>
    <x v="0"/>
    <s v="R.M.P."/>
    <s v="RM 450"/>
    <s v="Purchase Withinstate - Raw Material"/>
    <s v="PIL1/D/1202"/>
    <s v="28-07-2026"/>
    <s v="SF"/>
    <s v="PP/PE Fabric"/>
    <s v="PP Lam Fabric"/>
    <x v="1"/>
    <s v="PP Lam Fabric With UV"/>
    <n v="829"/>
    <n v="125585.21"/>
    <s v="PP Lam Fabric With UV"/>
    <n v="0"/>
    <n v="9"/>
    <n v="11302.67"/>
    <n v="9"/>
    <n v="11302.67"/>
    <n v="0"/>
    <n v="0"/>
    <n v="0"/>
    <n v="22605.34"/>
    <n v="0"/>
    <s v="24AAACO3087C1ZT"/>
    <s v="Kgs"/>
    <n v="63053300"/>
    <s v="Rs."/>
    <n v="1"/>
    <n v="829"/>
  </r>
  <r>
    <s v="28-07-2026"/>
    <x v="0"/>
    <s v="R.M.P."/>
    <s v="RM 450"/>
    <s v="Purchase Withinstate - Raw Material"/>
    <s v="PIL1/D/1202"/>
    <s v="28-07-2026"/>
    <s v="SF"/>
    <s v="Webbing"/>
    <s v="PP Webbing"/>
    <x v="4"/>
    <s v="Webbing"/>
    <n v="870.7"/>
    <n v="130160.94"/>
    <s v="Webbing"/>
    <n v="0"/>
    <n v="9"/>
    <n v="11714.48"/>
    <n v="9"/>
    <n v="11714.48"/>
    <n v="0"/>
    <n v="0"/>
    <n v="0"/>
    <n v="23428.959999999999"/>
    <n v="0"/>
    <s v="24AAACO3087C1ZT"/>
    <s v="Kgs"/>
    <n v="3926908"/>
    <s v="Rs."/>
    <n v="1"/>
    <n v="870.7"/>
  </r>
  <r>
    <s v="28-07-2026"/>
    <x v="0"/>
    <s v="R.M.P."/>
    <s v="RM 450"/>
    <s v="Purchase Withinstate - Raw Material"/>
    <s v="PIL1/D/1202"/>
    <s v="28-07-2026"/>
    <s v="SF"/>
    <s v="Webbing"/>
    <s v="PP Webbing"/>
    <x v="4"/>
    <s v="Webbing"/>
    <n v="585.20000000000005"/>
    <n v="85725.95"/>
    <s v="Webbing"/>
    <n v="0"/>
    <n v="9"/>
    <n v="7715.34"/>
    <n v="9"/>
    <n v="7715.34"/>
    <n v="0"/>
    <n v="0"/>
    <n v="0"/>
    <n v="15430.68"/>
    <n v="0"/>
    <s v="24AAACO3087C1ZT"/>
    <s v="Kgs"/>
    <n v="3926908"/>
    <s v="Rs."/>
    <n v="1"/>
    <n v="585.20000000000005"/>
  </r>
  <r>
    <s v="28-07-2026"/>
    <x v="0"/>
    <s v="R.M.P."/>
    <s v="RM 451"/>
    <s v="Purchase Withinstate - Raw Material"/>
    <s v="PIL1/D/1204"/>
    <s v="28-07-2026"/>
    <s v="SF"/>
    <s v="Webbing"/>
    <s v="PP Webbing"/>
    <x v="4"/>
    <s v="Webbing"/>
    <n v="31.5"/>
    <n v="4708.9399999999996"/>
    <s v="Webbing"/>
    <n v="608149.38"/>
    <n v="9"/>
    <n v="423.8"/>
    <n v="9"/>
    <n v="423.8"/>
    <n v="0"/>
    <n v="0"/>
    <n v="0"/>
    <n v="847.6"/>
    <n v="0"/>
    <s v="24AAACO3087C1ZT"/>
    <s v="Kgs"/>
    <n v="3926908"/>
    <s v="Rs."/>
    <n v="1"/>
    <n v="0"/>
  </r>
  <r>
    <s v="28-07-2026"/>
    <x v="0"/>
    <s v="R.M.P."/>
    <s v="RM 451"/>
    <s v="Purchase Withinstate - Raw Material"/>
    <s v="PIL1/D/1204"/>
    <s v="28-07-2026"/>
    <s v="SF"/>
    <s v="PP/PE Fabric"/>
    <s v="PP UL Fabric"/>
    <x v="2"/>
    <s v="PP UL Fabric With UV"/>
    <n v="1988"/>
    <n v="287246.12"/>
    <s v="PP UL Fabric With UV"/>
    <n v="0"/>
    <n v="9"/>
    <n v="25852.15"/>
    <n v="9"/>
    <n v="25852.15"/>
    <n v="0"/>
    <n v="0"/>
    <n v="0"/>
    <n v="51704.3"/>
    <n v="0"/>
    <s v="24AAACO3087C1ZT"/>
    <s v="Kgs"/>
    <n v="39269080"/>
    <s v="Rs."/>
    <n v="1"/>
    <n v="0"/>
  </r>
  <r>
    <s v="28-07-2026"/>
    <x v="0"/>
    <s v="R.M.P."/>
    <s v="RM 451"/>
    <s v="Purchase Withinstate - Raw Material"/>
    <s v="PIL1/D/1204"/>
    <s v="28-07-2026"/>
    <s v="SF"/>
    <s v="Liners"/>
    <s v="LDPE/LLDPE Bags"/>
    <x v="3"/>
    <s v="LDPE/LLDPE Bags/Liner"/>
    <n v="558"/>
    <n v="101991.24"/>
    <s v="LDPE/LLDPE Bags/Liner"/>
    <n v="0"/>
    <n v="9"/>
    <n v="9179.2099999999991"/>
    <n v="9"/>
    <n v="9179.2099999999991"/>
    <n v="0"/>
    <n v="0"/>
    <n v="0"/>
    <n v="18358.419999999998"/>
    <n v="0"/>
    <s v="24AAACO3087C1ZT"/>
    <s v="Kgs"/>
    <n v="39200000"/>
    <s v="Rs."/>
    <n v="1"/>
    <n v="0"/>
  </r>
  <r>
    <s v="28-07-2026"/>
    <x v="0"/>
    <s v="R.M.P."/>
    <s v="RM 451"/>
    <s v="Purchase Withinstate - Raw Material"/>
    <s v="PIL1/D/1204"/>
    <s v="28-07-2026"/>
    <s v="SF"/>
    <s v="Liners"/>
    <s v="LDPE/LLDPE Bags"/>
    <x v="3"/>
    <s v="LDPE/LLDPE Bags/Liner"/>
    <n v="656"/>
    <n v="121871.67999999999"/>
    <s v="LDPE/LLDPE Bags/Liner"/>
    <n v="0"/>
    <n v="9"/>
    <n v="10968.45"/>
    <n v="9"/>
    <n v="10968.45"/>
    <n v="0"/>
    <n v="0"/>
    <n v="0"/>
    <n v="21936.9"/>
    <n v="0"/>
    <s v="24AAACO3087C1ZT"/>
    <s v="Kgs"/>
    <n v="39200000"/>
    <s v="Rs."/>
    <n v="1"/>
    <n v="0"/>
  </r>
  <r>
    <s v="28-07-2026"/>
    <x v="1"/>
    <s v="R.M.P."/>
    <s v="RM 447"/>
    <s v="Purchase Withinstate - Raw Material"/>
    <s v="PPL/D/421"/>
    <s v="28-07-2026"/>
    <s v="FG"/>
    <s v="FIBC Bags"/>
    <s v="FIBC Bags"/>
    <x v="11"/>
    <s v="FIBC Bags With UV Without Liner"/>
    <n v="3232"/>
    <n v="753799.36"/>
    <s v="FIBC Bags With UV Without Liner"/>
    <n v="2319417.4300000002"/>
    <n v="9"/>
    <n v="67841.94"/>
    <n v="9"/>
    <n v="67841.94"/>
    <n v="0"/>
    <n v="0"/>
    <n v="0"/>
    <n v="135683.88"/>
    <n v="0"/>
    <s v="24AAFCP2956A1ZR"/>
    <s v="Kgs"/>
    <n v="63053200"/>
    <s v="Rs."/>
    <n v="1"/>
    <n v="0"/>
  </r>
  <r>
    <s v="28-07-2026"/>
    <x v="1"/>
    <s v="R.M.P."/>
    <s v="RM 447"/>
    <s v="Purchase Withinstate - Raw Material"/>
    <s v="PPL/D/421"/>
    <s v="28-07-2026"/>
    <s v="FG"/>
    <s v="FIBC Bags"/>
    <s v="FIBC Bags"/>
    <x v="11"/>
    <s v="FIBC Bags With UV Without Liner"/>
    <n v="1752"/>
    <n v="362278.56"/>
    <s v="FIBC Bags With UV Without Liner"/>
    <n v="0"/>
    <n v="9"/>
    <n v="32605.07"/>
    <n v="9"/>
    <n v="32605.07"/>
    <n v="0"/>
    <n v="0"/>
    <n v="0"/>
    <n v="65210.14"/>
    <n v="0"/>
    <s v="24AAFCP2956A1ZR"/>
    <s v="Kgs"/>
    <n v="63053200"/>
    <s v="Rs."/>
    <n v="1"/>
    <n v="0"/>
  </r>
  <r>
    <s v="28-07-2026"/>
    <x v="1"/>
    <s v="R.M.P."/>
    <s v="RM 447"/>
    <s v="Purchase Withinstate - Raw Material"/>
    <s v="PPL/D/421"/>
    <s v="28-07-2026"/>
    <s v="FG"/>
    <s v="FIBC Bags"/>
    <s v="FIBC Bags"/>
    <x v="11"/>
    <s v="FIBC Bags With UV Without Liner"/>
    <n v="1685"/>
    <n v="330681.25"/>
    <s v="FIBC Bags With UV Without Liner"/>
    <n v="0"/>
    <n v="9"/>
    <n v="29761.31"/>
    <n v="9"/>
    <n v="29761.31"/>
    <n v="0"/>
    <n v="0"/>
    <n v="0"/>
    <n v="59522.62"/>
    <n v="0"/>
    <s v="24AAFCP2956A1ZR"/>
    <s v="Kgs"/>
    <n v="63053200"/>
    <s v="Rs."/>
    <n v="1"/>
    <n v="0"/>
  </r>
  <r>
    <s v="28-07-2026"/>
    <x v="1"/>
    <s v="R.M.P."/>
    <s v="RM 447"/>
    <s v="Purchase Withinstate - Raw Material"/>
    <s v="PPL/D/421"/>
    <s v="28-07-2026"/>
    <s v="FG"/>
    <s v="FIBC Bags"/>
    <s v="FIBC Bags"/>
    <x v="11"/>
    <s v="FIBC Bags With UV Without Liner"/>
    <n v="2433"/>
    <n v="520516.02"/>
    <s v="FIBC Bags With UV Without Liner"/>
    <n v="0"/>
    <n v="9"/>
    <n v="46846.44"/>
    <n v="9"/>
    <n v="46846.44"/>
    <n v="0"/>
    <n v="0"/>
    <n v="0"/>
    <n v="93692.88"/>
    <n v="0"/>
    <s v="24AAFCP2956A1ZR"/>
    <s v="Kgs"/>
    <n v="63053200"/>
    <s v="Rs."/>
    <n v="1"/>
    <n v="0"/>
  </r>
  <r>
    <s v="28-07-2026"/>
    <x v="1"/>
    <s v="R.M.P."/>
    <s v="RM 452"/>
    <s v="Purchase Withinstate - Raw Material"/>
    <s v="PPL/D/422"/>
    <s v="28-07-2026"/>
    <s v="FG"/>
    <s v="FIBC WIP"/>
    <s v="FIBC WIP"/>
    <x v="5"/>
    <s v="PP Woven Fabric"/>
    <n v="273"/>
    <n v="42244.02"/>
    <s v="FIBC WIP"/>
    <n v="49805.7"/>
    <n v="9"/>
    <n v="3801.96"/>
    <n v="9"/>
    <n v="3801.96"/>
    <n v="0"/>
    <n v="0"/>
    <n v="0"/>
    <n v="7603.92"/>
    <n v="0"/>
    <s v="24AAFCP2956A1ZR"/>
    <s v="Kgs"/>
    <n v="39269080"/>
    <s v="Rs."/>
    <n v="1"/>
    <n v="0"/>
  </r>
  <r>
    <s v="28-07-2026"/>
    <x v="13"/>
    <s v="General Purchase"/>
    <s v="GNSP 134"/>
    <s v="Purchase Interstate- Stores, Spares &amp; Consumable"/>
    <s v="SR/620/26-27"/>
    <s v="24-07-2026"/>
    <s v="Stores/Spares"/>
    <s v="Stitching Spares"/>
    <s v="Spares &amp; Stores"/>
    <x v="0"/>
    <s v="Lower Looper 81311B"/>
    <n v="50"/>
    <n v="15000"/>
    <s v="Lower Looper 81311B"/>
    <n v="15855"/>
    <n v="0"/>
    <n v="0"/>
    <n v="0"/>
    <n v="0"/>
    <n v="5"/>
    <n v="750"/>
    <n v="5"/>
    <n v="755"/>
    <n v="0"/>
    <s v="19AORPR0945L1Z4"/>
    <s v="Pcs"/>
    <n v="84529099"/>
    <s v="Rs."/>
    <n v="1"/>
    <n v="0"/>
  </r>
  <r>
    <s v="28-07-2026"/>
    <x v="13"/>
    <s v="General Purchase"/>
    <s v="GNSP 135"/>
    <s v="Purchase Interstate- Stores, Spares &amp; Consumable"/>
    <s v="SR/614/26-27"/>
    <s v="24-07-2026"/>
    <s v="Stores/Spares"/>
    <s v="Hardware Items"/>
    <s v="Spares &amp; Stores"/>
    <x v="0"/>
    <s v="Bolt Stud 11354"/>
    <n v="20"/>
    <n v="4500"/>
    <s v="Bolt Stud 11354"/>
    <n v="5198"/>
    <n v="0"/>
    <n v="0"/>
    <n v="0"/>
    <n v="0"/>
    <n v="5"/>
    <n v="225"/>
    <n v="2.5"/>
    <n v="227.5"/>
    <n v="0"/>
    <s v="19AORPR0945L1Z4"/>
    <s v="Pcs"/>
    <n v="845290"/>
    <s v="Rs."/>
    <n v="1"/>
    <n v="0"/>
  </r>
  <r>
    <s v="28-07-2026"/>
    <x v="13"/>
    <s v="General Purchase"/>
    <s v="GNSP 135"/>
    <s v="Purchase Interstate- Stores, Spares &amp; Consumable"/>
    <s v="SR/614/26-27"/>
    <s v="24-07-2026"/>
    <s v="Stores/Spares"/>
    <s v="Stitching Spares"/>
    <s v="Spares &amp; Stores"/>
    <x v="0"/>
    <s v="Screw 85 For Orsan M/C"/>
    <n v="20"/>
    <n v="400"/>
    <s v="Screw 85 For Orsan M/C"/>
    <n v="0"/>
    <n v="0"/>
    <n v="0"/>
    <n v="0"/>
    <n v="0"/>
    <n v="5"/>
    <n v="20"/>
    <n v="2.5"/>
    <n v="22.5"/>
    <n v="0"/>
    <s v="19AORPR0945L1Z4"/>
    <s v="Pcs"/>
    <n v="73181500"/>
    <s v="Rs."/>
    <n v="1"/>
    <n v="0"/>
  </r>
  <r>
    <s v="28-07-2026"/>
    <x v="13"/>
    <s v="General Purchase"/>
    <s v="GNSP 136"/>
    <s v="Purchase Interstate- Stores, Spares &amp; Consumable"/>
    <s v="SR/613/26-27"/>
    <s v="24-07-2026"/>
    <s v="Stores/Spares"/>
    <s v="Hardware Items"/>
    <s v="Spares &amp; Stores"/>
    <x v="0"/>
    <s v="97 A Screw."/>
    <n v="15"/>
    <n v="525"/>
    <s v="97 A Screw."/>
    <n v="20816"/>
    <n v="0"/>
    <n v="0"/>
    <n v="0"/>
    <n v="0"/>
    <n v="5"/>
    <n v="26.25"/>
    <n v="7.5"/>
    <n v="33.75"/>
    <n v="0"/>
    <s v="19AORPR0945L1Z4"/>
    <s v="Pcs"/>
    <n v="84529099"/>
    <s v="Rs."/>
    <n v="1"/>
    <n v="0"/>
  </r>
  <r>
    <s v="28-07-2026"/>
    <x v="13"/>
    <s v="General Purchase"/>
    <s v="GNSP 136"/>
    <s v="Purchase Interstate- Stores, Spares &amp; Consumable"/>
    <s v="SR/613/26-27"/>
    <s v="24-07-2026"/>
    <s v="Stores/Spares"/>
    <s v="Hardware Items"/>
    <s v="Spares &amp; Stores"/>
    <x v="0"/>
    <s v="97 A Screw."/>
    <n v="20"/>
    <n v="700"/>
    <s v="97 A Screw."/>
    <n v="0"/>
    <n v="0"/>
    <n v="0"/>
    <n v="0"/>
    <n v="0"/>
    <n v="5"/>
    <n v="35"/>
    <n v="7.5"/>
    <n v="42.5"/>
    <n v="0"/>
    <s v="19AORPR0945L1Z4"/>
    <s v="Pcs"/>
    <n v="84529099"/>
    <s v="Rs."/>
    <n v="1"/>
    <n v="0"/>
  </r>
  <r>
    <s v="28-07-2026"/>
    <x v="13"/>
    <s v="General Purchase"/>
    <s v="GNSP 136"/>
    <s v="Purchase Interstate- Stores, Spares &amp; Consumable"/>
    <s v="SR/613/26-27"/>
    <s v="24-07-2026"/>
    <s v="Stores/Spares"/>
    <s v="Hardware Items"/>
    <s v="Spares &amp; Stores"/>
    <x v="0"/>
    <s v="Screw 88 F"/>
    <n v="20"/>
    <n v="400"/>
    <s v="Screw 88 F"/>
    <n v="0"/>
    <n v="0"/>
    <n v="0"/>
    <n v="0"/>
    <n v="0"/>
    <n v="5"/>
    <n v="20"/>
    <n v="7.5"/>
    <n v="27.5"/>
    <n v="0"/>
    <s v="19AORPR0945L1Z4"/>
    <s v="Pcs"/>
    <n v="73182990"/>
    <s v="Rs."/>
    <n v="1"/>
    <n v="0"/>
  </r>
  <r>
    <s v="28-07-2026"/>
    <x v="13"/>
    <s v="General Purchase"/>
    <s v="GNSP 136"/>
    <s v="Purchase Interstate- Stores, Spares &amp; Consumable"/>
    <s v="SR/613/26-27"/>
    <s v="24-07-2026"/>
    <s v="Stores/Spares"/>
    <s v="Hardware Items"/>
    <s v="Spares &amp; Stores"/>
    <x v="0"/>
    <s v="Screw 93 A"/>
    <n v="10"/>
    <n v="200"/>
    <s v="Screw 93 A"/>
    <n v="0"/>
    <n v="0"/>
    <n v="0"/>
    <n v="0"/>
    <n v="0"/>
    <n v="5"/>
    <n v="10"/>
    <n v="7.5"/>
    <n v="17.5"/>
    <n v="0"/>
    <s v="19AORPR0945L1Z4"/>
    <s v="Pcs"/>
    <n v="84529099"/>
    <s v="Rs."/>
    <n v="1"/>
    <n v="0"/>
  </r>
  <r>
    <s v="28-07-2026"/>
    <x v="13"/>
    <s v="General Purchase"/>
    <s v="GNSP 136"/>
    <s v="Purchase Interstate- Stores, Spares &amp; Consumable"/>
    <s v="SR/613/26-27"/>
    <s v="24-07-2026"/>
    <s v="Stores/Spares"/>
    <s v="Hardware Items"/>
    <s v="Spares &amp; Stores"/>
    <x v="0"/>
    <s v="Screw 93 A"/>
    <n v="10"/>
    <n v="200"/>
    <s v="Screw 93 A"/>
    <n v="0"/>
    <n v="0"/>
    <n v="0"/>
    <n v="0"/>
    <n v="0"/>
    <n v="5"/>
    <n v="10"/>
    <n v="7.5"/>
    <n v="17.5"/>
    <n v="0"/>
    <s v="19AORPR0945L1Z4"/>
    <s v="Pcs"/>
    <n v="84529099"/>
    <s v="Rs."/>
    <n v="1"/>
    <n v="0"/>
  </r>
  <r>
    <s v="28-07-2026"/>
    <x v="13"/>
    <s v="General Purchase"/>
    <s v="GNSP 136"/>
    <s v="Purchase Interstate- Stores, Spares &amp; Consumable"/>
    <s v="SR/613/26-27"/>
    <s v="24-07-2026"/>
    <s v="Stores/Spares"/>
    <s v="Stitching Spares"/>
    <s v="Spares &amp; Stores"/>
    <x v="0"/>
    <s v="Looper Lower For Overedge Stitching  (81508)"/>
    <n v="10"/>
    <n v="12000"/>
    <s v="Looper Lower For Overedge Stitching  (81508)"/>
    <n v="0"/>
    <n v="0"/>
    <n v="0"/>
    <n v="0"/>
    <n v="0"/>
    <n v="5"/>
    <n v="600"/>
    <n v="7.5"/>
    <n v="607.5"/>
    <n v="0"/>
    <s v="19AORPR0945L1Z4"/>
    <s v="Pcs"/>
    <n v="84529099"/>
    <s v="Rs."/>
    <n v="1"/>
    <n v="0"/>
  </r>
  <r>
    <s v="28-07-2026"/>
    <x v="13"/>
    <s v="General Purchase"/>
    <s v="GNSP 136"/>
    <s v="Purchase Interstate- Stores, Spares &amp; Consumable"/>
    <s v="SR/613/26-27"/>
    <s v="24-07-2026"/>
    <s v="Stores/Spares"/>
    <s v="Stitching Spares"/>
    <s v="Spares &amp; Stores"/>
    <x v="0"/>
    <s v="Spreader, Upper For Overedge Stitching  (81507)"/>
    <n v="3"/>
    <n v="3150"/>
    <s v="Spreader, Upper For Overedge Stitching  (81507)"/>
    <n v="0"/>
    <n v="0"/>
    <n v="0"/>
    <n v="0"/>
    <n v="0"/>
    <n v="5"/>
    <n v="157.5"/>
    <n v="7.5"/>
    <n v="165"/>
    <n v="0"/>
    <s v="19AORPR0945L1Z4"/>
    <s v="Pcs"/>
    <n v="84529099"/>
    <s v="Rs."/>
    <n v="1"/>
    <n v="0"/>
  </r>
  <r>
    <s v="28-07-2026"/>
    <x v="13"/>
    <s v="General Purchase"/>
    <s v="GNSP 136"/>
    <s v="Purchase Interstate- Stores, Spares &amp; Consumable"/>
    <s v="SR/613/26-27"/>
    <s v="24-07-2026"/>
    <s v="Stores/Spares"/>
    <s v="Stitching Spares"/>
    <s v="Spares &amp; Stores"/>
    <x v="0"/>
    <s v="Ha 23   Guide Plate"/>
    <n v="10"/>
    <n v="2500"/>
    <s v="Ha 23   Guide Plate"/>
    <n v="0"/>
    <n v="0"/>
    <n v="0"/>
    <n v="0"/>
    <n v="0"/>
    <n v="5"/>
    <n v="125"/>
    <n v="7.5"/>
    <n v="132.5"/>
    <n v="0"/>
    <s v="19AORPR0945L1Z4"/>
    <s v="Pcs"/>
    <n v="84529099"/>
    <s v="Rs."/>
    <n v="1"/>
    <n v="0"/>
  </r>
  <r>
    <s v="28-07-2026"/>
    <x v="21"/>
    <s v="Purchase"/>
    <s v="GNPK 75"/>
    <s v="Purchase Withinstate- Packing Material"/>
    <s v="SSE/2026-27/0759"/>
    <d v="2026-01-07T00:00:00"/>
    <s v="Packing Material"/>
    <s v="Pallets"/>
    <s v="Pallets"/>
    <x v="9"/>
    <s v="Pine Wooden Pallet Design Code -CP1"/>
    <n v="55"/>
    <n v="67375"/>
    <s v="Pine Wooden Pallet Design Code -CP1"/>
    <n v="70744"/>
    <n v="2.5"/>
    <n v="1684.38"/>
    <n v="2.5"/>
    <n v="1684.38"/>
    <n v="0"/>
    <n v="0"/>
    <n v="0"/>
    <n v="3368.76"/>
    <n v="0"/>
    <s v="24AIEPG9602Q1ZZ"/>
    <s v="Pcs"/>
    <n v="44152000"/>
    <s v="Rs."/>
    <n v="1"/>
    <n v="0"/>
  </r>
  <r>
    <s v="29-07-2026"/>
    <x v="9"/>
    <s v="General Purchase"/>
    <s v="GNCN 301"/>
    <s v="Purchase Withinstate- Stores, Spares &amp; Consumable"/>
    <n v="1118"/>
    <s v="29-07-2026"/>
    <s v="Consumables"/>
    <s v="Housekeeping Material"/>
    <s v="Spares &amp; Stores"/>
    <x v="0"/>
    <s v="Cotton Waste"/>
    <n v="600"/>
    <n v="9600"/>
    <s v="Cotton Waste"/>
    <n v="10080"/>
    <n v="2.5"/>
    <n v="240"/>
    <n v="2.5"/>
    <n v="240"/>
    <n v="0"/>
    <n v="0"/>
    <n v="0"/>
    <n v="480"/>
    <n v="0"/>
    <s v="24AFUPA6072K1Z6"/>
    <s v="Kgs"/>
    <n v="631090"/>
    <s v="Rs."/>
    <n v="1"/>
    <n v="0"/>
  </r>
  <r>
    <s v="29-07-2026"/>
    <x v="35"/>
    <s v="General Purchase"/>
    <s v="GNSP 137"/>
    <s v="Purchase Withinstate- Stores, Spares &amp; Consumable"/>
    <n v="1236"/>
    <s v="27-07-2026"/>
    <s v="Stores/Spares"/>
    <s v="Hardware Items"/>
    <s v="Spares &amp; Stores"/>
    <x v="0"/>
    <s v="Wire Brush  05 Row"/>
    <n v="10"/>
    <n v="300"/>
    <s v="Wire Brush  05 Row"/>
    <n v="354"/>
    <n v="9"/>
    <n v="27"/>
    <n v="9"/>
    <n v="27"/>
    <n v="0"/>
    <n v="0"/>
    <n v="0"/>
    <n v="54"/>
    <n v="0"/>
    <s v="24ABVPP9097Q1Z7"/>
    <s v="Pcs"/>
    <n v="9603010"/>
    <s v="Rs."/>
    <n v="1"/>
    <n v="0"/>
  </r>
  <r>
    <s v="29-07-2026"/>
    <x v="0"/>
    <s v="General Purchase"/>
    <s v="GNCN 302"/>
    <s v="Purchase Withinstate- Stores, Spares &amp; Consumable"/>
    <s v="PIL1/D/1209"/>
    <s v="29-07-2026"/>
    <s v="Stores/Spares"/>
    <s v="MS Structure Items"/>
    <s v="Spares &amp; Stores"/>
    <x v="0"/>
    <s v="MS Pipe 4  C Class"/>
    <n v="320"/>
    <n v="15360"/>
    <s v="MS Pipe 4  C Class"/>
    <n v="18109.439999999999"/>
    <n v="9"/>
    <n v="1382.4"/>
    <n v="9"/>
    <n v="1382.4"/>
    <n v="0"/>
    <n v="0"/>
    <n v="0"/>
    <n v="2764.8"/>
    <n v="0"/>
    <s v="24AAACO3087C1ZT"/>
    <s v="Kgs"/>
    <n v="73063090"/>
    <s v="Rs."/>
    <n v="1"/>
    <n v="0"/>
  </r>
  <r>
    <s v="29-07-2026"/>
    <x v="0"/>
    <s v="R.M.P."/>
    <s v="RM 454"/>
    <s v="Purchase Withinstate - Raw Material"/>
    <s v="PIL1/D/1213"/>
    <s v="29-07-2026"/>
    <s v="SF"/>
    <s v="PP/PE Fabric"/>
    <s v="PP UL Fabric"/>
    <x v="2"/>
    <s v="PP UL Fabric With UV"/>
    <n v="1400"/>
    <n v="202286"/>
    <s v="PP UL Fabric With UV"/>
    <n v="238495.19"/>
    <n v="9"/>
    <n v="18205.740000000002"/>
    <n v="9"/>
    <n v="18205.740000000002"/>
    <n v="0"/>
    <n v="0"/>
    <n v="0"/>
    <n v="36411.480000000003"/>
    <n v="0"/>
    <s v="24AAACO3087C1ZT"/>
    <s v="Kgs"/>
    <n v="39269080"/>
    <s v="Rs."/>
    <n v="1"/>
    <n v="0"/>
  </r>
  <r>
    <s v="29-07-2026"/>
    <x v="0"/>
    <s v="R.M.P."/>
    <s v="RM 455"/>
    <s v="Purchase Withinstate - Raw Material"/>
    <s v="PIL1/D/1217"/>
    <s v="29-07-2026"/>
    <s v="SF"/>
    <s v="PP/PE Fabric"/>
    <s v="PP UL Fabric"/>
    <x v="2"/>
    <s v="PP UL Fabric With UV"/>
    <n v="1175"/>
    <n v="169775.75"/>
    <s v="PP UL Fabric With UV"/>
    <n v="200165.61"/>
    <n v="9"/>
    <n v="15279.82"/>
    <n v="9"/>
    <n v="15279.82"/>
    <n v="0"/>
    <n v="0"/>
    <n v="0"/>
    <n v="30559.64"/>
    <n v="0"/>
    <s v="24AAACO3087C1ZT"/>
    <s v="Kgs"/>
    <n v="39269080"/>
    <s v="Rs."/>
    <n v="1"/>
    <n v="0"/>
  </r>
  <r>
    <s v="29-07-2026"/>
    <x v="0"/>
    <s v="R.M.P."/>
    <s v="RM 456"/>
    <s v="Purchase Withinstate - Raw Material"/>
    <s v="PIL1/D/1210"/>
    <s v="29-07-2026"/>
    <s v="SF"/>
    <s v="Liners"/>
    <s v="LDPE/LLDPE Bags"/>
    <x v="3"/>
    <s v="LDPE/LLDPE Bags/Liner"/>
    <n v="7634"/>
    <n v="1395342.52"/>
    <s v="LDPE/LLDPE Bags/Liner"/>
    <n v="1927458.33"/>
    <n v="9"/>
    <n v="125580.83"/>
    <n v="9"/>
    <n v="125580.83"/>
    <n v="0"/>
    <n v="0"/>
    <n v="0"/>
    <n v="251161.66"/>
    <n v="0"/>
    <s v="24AAACO3087C1ZT"/>
    <s v="Kgs"/>
    <n v="39200000"/>
    <s v="Rs."/>
    <n v="1"/>
    <n v="0"/>
  </r>
  <r>
    <s v="29-07-2026"/>
    <x v="0"/>
    <s v="R.M.P."/>
    <s v="RM 456"/>
    <s v="Purchase Withinstate - Raw Material"/>
    <s v="PIL1/D/1210"/>
    <s v="29-07-2026"/>
    <s v="RM Consumables"/>
    <s v="FIBC Accessories"/>
    <s v="FIBC Accessories"/>
    <x v="9"/>
    <s v="Zip Lock Bags"/>
    <n v="15400"/>
    <n v="55931.26"/>
    <s v="Zip Lock Bags"/>
    <n v="0"/>
    <n v="9"/>
    <n v="5033.8100000000004"/>
    <n v="9"/>
    <n v="5033.8100000000004"/>
    <n v="0"/>
    <n v="0"/>
    <n v="0"/>
    <n v="10067.620000000001"/>
    <n v="0"/>
    <s v="24AAACO3087C1ZT"/>
    <s v="Pcs"/>
    <n v="39232100"/>
    <s v="Rs."/>
    <n v="1"/>
    <n v="306"/>
  </r>
  <r>
    <s v="29-07-2026"/>
    <x v="0"/>
    <s v="R.M.P."/>
    <s v="RM 456"/>
    <s v="Purchase Withinstate - Raw Material"/>
    <s v="PIL1/D/1210"/>
    <s v="29-07-2026"/>
    <s v="SF"/>
    <s v="Webbing"/>
    <s v="PP Webbing"/>
    <x v="4"/>
    <s v="Webbing"/>
    <n v="97.1"/>
    <n v="14224.18"/>
    <s v="Webbing"/>
    <n v="0"/>
    <n v="9"/>
    <n v="1280.18"/>
    <n v="9"/>
    <n v="1280.18"/>
    <n v="0"/>
    <n v="0"/>
    <n v="0"/>
    <n v="2560.36"/>
    <n v="0"/>
    <s v="24AAACO3087C1ZT"/>
    <s v="Kgs"/>
    <n v="3926908"/>
    <s v="Rs."/>
    <n v="1"/>
    <n v="0"/>
  </r>
  <r>
    <s v="29-07-2026"/>
    <x v="0"/>
    <s v="R.M.P."/>
    <s v="RM 456"/>
    <s v="Purchase Withinstate - Raw Material"/>
    <s v="PIL1/D/1210"/>
    <s v="29-07-2026"/>
    <s v="SF"/>
    <s v="Webbing"/>
    <s v="PP Webbing"/>
    <x v="4"/>
    <s v="Webbing"/>
    <n v="1132.7"/>
    <n v="169327.32"/>
    <s v="Webbing"/>
    <n v="0"/>
    <n v="9"/>
    <n v="15239.46"/>
    <n v="9"/>
    <n v="15239.46"/>
    <n v="0"/>
    <n v="0"/>
    <n v="0"/>
    <n v="30478.92"/>
    <n v="0"/>
    <s v="24AAACO3087C1ZT"/>
    <s v="Kgs"/>
    <n v="3926908"/>
    <s v="Rs."/>
    <n v="1"/>
    <n v="0"/>
  </r>
  <r>
    <s v="29-07-2026"/>
    <x v="0"/>
    <s v="R.M.P."/>
    <s v="RM 457"/>
    <s v="Purchase Withinstate - Raw Material"/>
    <s v="PIL1/D/1208"/>
    <s v="29-07-2026"/>
    <s v="SF"/>
    <s v="PP/PE Fabric"/>
    <s v="PP Lam Fabric"/>
    <x v="1"/>
    <s v="PP Lam Fabric With UV"/>
    <n v="525"/>
    <n v="77957.25"/>
    <s v="PP Lam Fabric With UV"/>
    <n v="1690228.08"/>
    <n v="9"/>
    <n v="7016.15"/>
    <n v="9"/>
    <n v="7016.15"/>
    <n v="0"/>
    <n v="0"/>
    <n v="0"/>
    <n v="14032.3"/>
    <n v="0"/>
    <s v="24AAACO3087C1ZT"/>
    <s v="Kgs"/>
    <n v="63053300"/>
    <s v="Rs."/>
    <n v="1"/>
    <n v="0"/>
  </r>
  <r>
    <s v="29-07-2026"/>
    <x v="0"/>
    <s v="R.M.P."/>
    <s v="RM 457"/>
    <s v="Purchase Withinstate - Raw Material"/>
    <s v="PIL1/D/1208"/>
    <s v="29-07-2026"/>
    <s v="SF"/>
    <s v="PP/PE Fabric"/>
    <s v="PP UL Fabric"/>
    <x v="2"/>
    <s v="PP UL Fabric With UV"/>
    <n v="8039"/>
    <n v="1161555.1100000001"/>
    <s v="PP UL Fabric With UV"/>
    <n v="0"/>
    <n v="9"/>
    <n v="104539.96"/>
    <n v="9"/>
    <n v="104539.96"/>
    <n v="0"/>
    <n v="0"/>
    <n v="0"/>
    <n v="209079.92"/>
    <n v="0"/>
    <s v="24AAACO3087C1ZT"/>
    <s v="Kgs"/>
    <n v="39269080"/>
    <s v="Rs."/>
    <n v="1"/>
    <n v="0"/>
  </r>
  <r>
    <s v="29-07-2026"/>
    <x v="0"/>
    <s v="R.M.P."/>
    <s v="RM 457"/>
    <s v="Purchase Withinstate - Raw Material"/>
    <s v="PIL1/D/1208"/>
    <s v="29-07-2026"/>
    <s v="SF"/>
    <s v="PP/PE Fabric"/>
    <s v="PP UL Fabric"/>
    <x v="2"/>
    <s v="PP UL Fabric With UV"/>
    <n v="1325"/>
    <n v="194099.25"/>
    <s v="PP UL Fabric With UV"/>
    <n v="0"/>
    <n v="9"/>
    <n v="17468.93"/>
    <n v="9"/>
    <n v="17468.93"/>
    <n v="0"/>
    <n v="0"/>
    <n v="0"/>
    <n v="34937.86"/>
    <n v="0"/>
    <s v="24AAACO3087C1ZT"/>
    <s v="Kgs"/>
    <n v="39269080"/>
    <s v="Rs."/>
    <n v="1"/>
    <n v="0"/>
  </r>
  <r>
    <s v="29-07-2026"/>
    <x v="36"/>
    <s v="General Purchase"/>
    <s v="GNMS 13"/>
    <s v="Purchase Withinstate- Stores, Spares &amp; Consumable"/>
    <s v="26-27/000343"/>
    <s v="22-07-2026"/>
    <s v="Consumables"/>
    <s v="Housekeeping Material"/>
    <s v="Spares &amp; Stores"/>
    <x v="0"/>
    <s v="Pocha White Handel"/>
    <n v="20"/>
    <n v="1400"/>
    <s v="Pocha White Handel"/>
    <n v="24124.7"/>
    <n v="9"/>
    <n v="126"/>
    <n v="9"/>
    <n v="126"/>
    <n v="0"/>
    <n v="0"/>
    <n v="0"/>
    <n v="252"/>
    <n v="0"/>
    <s v="24AHMPR2612N1Z1"/>
    <s v="Pcs"/>
    <n v="96032900"/>
    <s v="Rs."/>
    <n v="1"/>
    <n v="0"/>
  </r>
  <r>
    <s v="29-07-2026"/>
    <x v="36"/>
    <s v="General Purchase"/>
    <s v="GNMS 13"/>
    <s v="Purchase Withinstate- Stores, Spares &amp; Consumable"/>
    <s v="26-27/000343"/>
    <s v="22-07-2026"/>
    <s v="Printing &amp; Stationery"/>
    <s v="Stationery Items"/>
    <s v="Spares &amp; Stores"/>
    <x v="0"/>
    <s v="Pencil"/>
    <n v="200"/>
    <n v="640"/>
    <s v="Pencil"/>
    <n v="0"/>
    <n v="9"/>
    <n v="57.6"/>
    <n v="9"/>
    <n v="57.6"/>
    <n v="0"/>
    <n v="0"/>
    <n v="0"/>
    <n v="115.2"/>
    <n v="0"/>
    <s v="24AHMPR2612N1Z1"/>
    <s v="Pcs"/>
    <n v="84522100"/>
    <s v="Rs."/>
    <n v="1"/>
    <n v="0"/>
  </r>
  <r>
    <s v="29-07-2026"/>
    <x v="36"/>
    <s v="General Purchase"/>
    <s v="GNMS 13"/>
    <s v="Purchase Withinstate- Stores, Spares &amp; Consumable"/>
    <s v="26-27/000343"/>
    <s v="22-07-2026"/>
    <s v="Consumables"/>
    <s v="housekeeping Material"/>
    <s v="Spares &amp; Stores"/>
    <x v="0"/>
    <s v="Toilet Brush"/>
    <n v="20"/>
    <n v="500"/>
    <s v="Toilet Brush"/>
    <n v="0"/>
    <n v="9"/>
    <n v="45"/>
    <n v="9"/>
    <n v="45"/>
    <n v="0"/>
    <n v="0"/>
    <n v="0"/>
    <n v="90"/>
    <n v="0"/>
    <s v="24AHMPR2612N1Z1"/>
    <s v="Pcs"/>
    <n v="96031000"/>
    <s v="Rs."/>
    <n v="1"/>
    <n v="0"/>
  </r>
  <r>
    <s v="29-07-2026"/>
    <x v="36"/>
    <s v="General Purchase"/>
    <s v="GNMS 13"/>
    <s v="Purchase Withinstate- Stores, Spares &amp; Consumable"/>
    <s v="26-27/000343"/>
    <s v="22-07-2026"/>
    <s v="Consumables"/>
    <s v="Housekeeping Material"/>
    <s v="Spares &amp; Stores"/>
    <x v="0"/>
    <s v="Soft Broom Flower"/>
    <n v="50"/>
    <n v="2100"/>
    <s v="Soft Broom Flower"/>
    <n v="0"/>
    <n v="0"/>
    <n v="0"/>
    <n v="0"/>
    <n v="0"/>
    <n v="0"/>
    <n v="0"/>
    <n v="0"/>
    <n v="0"/>
    <n v="0"/>
    <s v="24AHMPR2612N1Z1"/>
    <s v="Pcs"/>
    <n v="96031000"/>
    <s v="Rs."/>
    <n v="1"/>
    <n v="0"/>
  </r>
  <r>
    <s v="29-07-2026"/>
    <x v="36"/>
    <s v="General Purchase"/>
    <s v="GNMS 13"/>
    <s v="Purchase Withinstate- Stores, Spares &amp; Consumable"/>
    <s v="26-27/000343"/>
    <s v="22-07-2026"/>
    <s v="Printing &amp; Stationery"/>
    <s v="Stationery Items"/>
    <s v="Spares &amp; Stores"/>
    <x v="0"/>
    <s v="Box File Big"/>
    <n v="30"/>
    <n v="1260"/>
    <s v="Box File Big"/>
    <n v="0"/>
    <n v="9"/>
    <n v="113.4"/>
    <n v="9"/>
    <n v="113.4"/>
    <n v="0"/>
    <n v="0"/>
    <n v="0"/>
    <n v="226.8"/>
    <n v="0"/>
    <s v="24AHMPR2612N1Z1"/>
    <s v="Pcs"/>
    <n v="48196000"/>
    <s v="Rs."/>
    <n v="1"/>
    <n v="0"/>
  </r>
  <r>
    <s v="29-07-2026"/>
    <x v="36"/>
    <s v="General Purchase"/>
    <s v="GNMS 13"/>
    <s v="Purchase Withinstate- Stores, Spares &amp; Consumable"/>
    <s v="26-27/000343"/>
    <s v="22-07-2026"/>
    <s v="Printing &amp; Stationery"/>
    <s v="Stationery Items"/>
    <s v="Spares &amp; Stores"/>
    <x v="0"/>
    <s v="Register 03 Quir"/>
    <n v="10"/>
    <n v="700"/>
    <s v="Register 03 Quir"/>
    <n v="0"/>
    <n v="9"/>
    <n v="63"/>
    <n v="9"/>
    <n v="63"/>
    <n v="0"/>
    <n v="0"/>
    <n v="0"/>
    <n v="126"/>
    <n v="0"/>
    <s v="24AHMPR2612N1Z1"/>
    <s v="Pcs"/>
    <n v="482090"/>
    <s v="Rs."/>
    <n v="1"/>
    <n v="0"/>
  </r>
  <r>
    <s v="29-07-2026"/>
    <x v="36"/>
    <s v="General Purchase"/>
    <s v="GNMS 13"/>
    <s v="Purchase Withinstate- Stores, Spares &amp; Consumable"/>
    <s v="26-27/000343"/>
    <s v="22-07-2026"/>
    <s v="Printing &amp; Stationery"/>
    <s v="Stationery Items"/>
    <s v="Spares &amp; Stores"/>
    <x v="0"/>
    <s v="Spring File"/>
    <n v="20"/>
    <n v="190"/>
    <s v="Spring File"/>
    <n v="0"/>
    <n v="9"/>
    <n v="17.100000000000001"/>
    <n v="9"/>
    <n v="17.100000000000001"/>
    <n v="0"/>
    <n v="0"/>
    <n v="0"/>
    <n v="34.200000000000003"/>
    <n v="0"/>
    <s v="24AHMPR2612N1Z1"/>
    <s v="Pcs"/>
    <n v="48203000"/>
    <s v="Rs."/>
    <n v="1"/>
    <n v="0"/>
  </r>
  <r>
    <s v="29-07-2026"/>
    <x v="36"/>
    <s v="General Purchase"/>
    <s v="GNMS 13"/>
    <s v="Purchase Withinstate- Stores, Spares &amp; Consumable"/>
    <s v="26-27/000343"/>
    <s v="22-07-2026"/>
    <s v="Printing &amp; Stationery"/>
    <s v="Stationery Items"/>
    <s v="Spares &amp; Stores"/>
    <x v="0"/>
    <s v="Xerox Paper A/4"/>
    <n v="30"/>
    <n v="6000"/>
    <s v="Xerox Paper A/4"/>
    <n v="0"/>
    <n v="9"/>
    <n v="540"/>
    <n v="9"/>
    <n v="540"/>
    <n v="0"/>
    <n v="0"/>
    <n v="0"/>
    <n v="1080"/>
    <n v="0"/>
    <s v="24AHMPR2612N1Z1"/>
    <s v="Pkt"/>
    <n v="480256"/>
    <s v="Rs."/>
    <n v="1"/>
    <n v="0"/>
  </r>
  <r>
    <s v="29-07-2026"/>
    <x v="36"/>
    <s v="General Purchase"/>
    <s v="GNMS 13"/>
    <s v="Purchase Withinstate- Stores, Spares &amp; Consumable"/>
    <s v="26-27/000343"/>
    <s v="22-07-2026"/>
    <s v="Printing &amp; Stationery"/>
    <s v="Stationery Items"/>
    <s v="Spares &amp; Stores"/>
    <x v="0"/>
    <s v="RooMSpray ( Air Freshner )"/>
    <n v="10"/>
    <n v="900"/>
    <s v="RooMSpray ( Air Freshner )"/>
    <n v="0"/>
    <n v="9"/>
    <n v="81"/>
    <n v="9"/>
    <n v="81"/>
    <n v="0"/>
    <n v="0"/>
    <n v="0"/>
    <n v="162"/>
    <n v="0"/>
    <s v="24AHMPR2612N1Z1"/>
    <s v="Pcs"/>
    <n v="96161010"/>
    <s v="Rs."/>
    <n v="1"/>
    <n v="0"/>
  </r>
  <r>
    <s v="29-07-2026"/>
    <x v="36"/>
    <s v="General Purchase"/>
    <s v="GNMS 13"/>
    <s v="Purchase Withinstate- Stores, Spares &amp; Consumable"/>
    <s v="26-27/000343"/>
    <s v="22-07-2026"/>
    <s v="Consumables"/>
    <s v="housekeeping Material"/>
    <s v="Spares &amp; Stores"/>
    <x v="0"/>
    <s v="Acid ( Cleaner )"/>
    <n v="50"/>
    <n v="850"/>
    <s v="Acid ( Cleaner )"/>
    <n v="0"/>
    <n v="9"/>
    <n v="76.5"/>
    <n v="9"/>
    <n v="76.5"/>
    <n v="0"/>
    <n v="0"/>
    <n v="0"/>
    <n v="153"/>
    <n v="0"/>
    <s v="24AHMPR2612N1Z1"/>
    <s v="LTR"/>
    <n v="340290"/>
    <s v="Rs."/>
    <n v="1"/>
    <n v="0"/>
  </r>
  <r>
    <s v="29-07-2026"/>
    <x v="36"/>
    <s v="General Purchase"/>
    <s v="GNMS 13"/>
    <s v="Purchase Withinstate- Stores, Spares &amp; Consumable"/>
    <s v="26-27/000343"/>
    <s v="22-07-2026"/>
    <s v="Printing &amp; Stationery"/>
    <s v="Stationery Items"/>
    <s v="Spares &amp; Stores"/>
    <x v="0"/>
    <s v="Permanent Marker Pen"/>
    <n v="600"/>
    <n v="5700"/>
    <s v="Permanent Marker Pen"/>
    <n v="0"/>
    <n v="9"/>
    <n v="513"/>
    <n v="9"/>
    <n v="513"/>
    <n v="0"/>
    <n v="0"/>
    <n v="0"/>
    <n v="1026"/>
    <n v="0"/>
    <s v="24AHMPR2612N1Z1"/>
    <s v="Pcs"/>
    <n v="96082000"/>
    <s v="Rs."/>
    <n v="1"/>
    <n v="0"/>
  </r>
  <r>
    <s v="29-07-2026"/>
    <x v="36"/>
    <s v="General Purchase"/>
    <s v="GNMS 13"/>
    <s v="Purchase Withinstate- Stores, Spares &amp; Consumable"/>
    <s v="26-27/000343"/>
    <s v="22-07-2026"/>
    <s v="Printing &amp; Stationery"/>
    <s v="Stationery Items"/>
    <s v="Spares &amp; Stores"/>
    <x v="0"/>
    <s v="Glue Stick 15 Gm"/>
    <n v="5"/>
    <n v="150"/>
    <s v="Glue Stick 15 Gm"/>
    <n v="0"/>
    <n v="9"/>
    <n v="13.5"/>
    <n v="9"/>
    <n v="13.5"/>
    <n v="0"/>
    <n v="0"/>
    <n v="0"/>
    <n v="27"/>
    <n v="0"/>
    <s v="24AHMPR2612N1Z1"/>
    <s v="Pcs"/>
    <n v="853600"/>
    <s v="Rs."/>
    <n v="1"/>
    <n v="0"/>
  </r>
  <r>
    <s v="29-07-2026"/>
    <x v="36"/>
    <s v="General Purchase"/>
    <s v="GNMS 13"/>
    <s v="Purchase Withinstate- Stores, Spares &amp; Consumable"/>
    <s v="26-27/000343"/>
    <s v="22-07-2026"/>
    <s v="Stores/Spares"/>
    <s v="Other Spares"/>
    <s v="Spares &amp; Stores"/>
    <x v="0"/>
    <s v="Plastic Mug"/>
    <n v="15"/>
    <n v="375"/>
    <s v="Plastic Mug"/>
    <n v="0"/>
    <n v="9"/>
    <n v="33.75"/>
    <n v="9"/>
    <n v="33.75"/>
    <n v="0"/>
    <n v="0"/>
    <n v="0"/>
    <n v="67.5"/>
    <n v="0"/>
    <s v="24AHMPR2612N1Z1"/>
    <s v="Pcs"/>
    <n v="39249090"/>
    <s v="Rs."/>
    <n v="1"/>
    <n v="0"/>
  </r>
  <r>
    <s v="29-07-2026"/>
    <x v="36"/>
    <s v="General Purchase"/>
    <s v="GNMS 14"/>
    <s v="Purchase Withinstate- Stores, Spares &amp; Consumable"/>
    <s v="26-27/000347"/>
    <s v="25-07-2026"/>
    <s v="Stores/Spares"/>
    <s v="Cutter Blades"/>
    <s v="Spares &amp; Stores"/>
    <x v="0"/>
    <s v="Alfa Blade"/>
    <n v="500"/>
    <n v="2800"/>
    <s v="Alfa Blade"/>
    <n v="3304"/>
    <n v="9"/>
    <n v="252"/>
    <n v="9"/>
    <n v="252"/>
    <n v="0"/>
    <n v="0"/>
    <n v="0"/>
    <n v="504"/>
    <n v="0"/>
    <s v="24AHMPR2612N1Z1"/>
    <s v="Pcs"/>
    <n v="82121010"/>
    <s v="Rs."/>
    <n v="1"/>
    <n v="0"/>
  </r>
  <r>
    <s v="30-07-2026"/>
    <x v="0"/>
    <s v="General Purchase"/>
    <s v="GNCN 304"/>
    <s v="Purchase Withinstate- Stores, Spares &amp; Consumable"/>
    <s v="PIL1/D/1220"/>
    <s v="30-07-2026"/>
    <s v="Stores/Spares"/>
    <s v="MS Structure Items"/>
    <s v="Spares &amp; Stores"/>
    <x v="0"/>
    <s v="MS Pipe 4  C Class"/>
    <n v="265"/>
    <n v="12720"/>
    <s v="MS Pipe 4  C Class"/>
    <n v="14996.88"/>
    <n v="9"/>
    <n v="1144.8"/>
    <n v="9"/>
    <n v="1144.8"/>
    <n v="0"/>
    <n v="0"/>
    <n v="0"/>
    <n v="2289.6"/>
    <n v="0"/>
    <s v="24AAACO3087C1ZT"/>
    <s v="Kgs"/>
    <n v="73063090"/>
    <s v="Rs."/>
    <n v="1"/>
    <n v="0"/>
  </r>
  <r>
    <s v="30-07-2026"/>
    <x v="0"/>
    <s v="R.M.P."/>
    <s v="RM 459"/>
    <s v="Purchase Withinstate - Raw Material"/>
    <s v="PIL1/D/1227"/>
    <s v="30-07-2026"/>
    <s v="SF"/>
    <s v="PP/PE Fabric"/>
    <s v="PP UL Fabric"/>
    <x v="2"/>
    <s v="PP UL Fabric With UV"/>
    <n v="682"/>
    <n v="99906.18"/>
    <s v="PP UL Fabric With UV"/>
    <n v="266646.31"/>
    <n v="9"/>
    <n v="8991.56"/>
    <n v="9"/>
    <n v="8991.56"/>
    <n v="0"/>
    <n v="0"/>
    <n v="0"/>
    <n v="17983.12"/>
    <n v="0"/>
    <s v="24AAACO3087C1ZT"/>
    <s v="Kgs"/>
    <n v="39269080"/>
    <s v="Rs."/>
    <n v="1"/>
    <n v="0"/>
  </r>
  <r>
    <s v="30-07-2026"/>
    <x v="0"/>
    <s v="R.M.P."/>
    <s v="RM 459"/>
    <s v="Purchase Withinstate - Raw Material"/>
    <s v="PIL1/D/1227"/>
    <s v="30-07-2026"/>
    <s v="SF"/>
    <s v="PP/PE Fabric"/>
    <s v="PP UL Fabric"/>
    <x v="2"/>
    <s v="PP UL Fabric With UV"/>
    <n v="510"/>
    <n v="73689.899999999994"/>
    <s v="PP UL Fabric With UV"/>
    <n v="0"/>
    <n v="9"/>
    <n v="6632.09"/>
    <n v="9"/>
    <n v="6632.09"/>
    <n v="0"/>
    <n v="0"/>
    <n v="0"/>
    <n v="13264.18"/>
    <n v="0"/>
    <s v="24AAACO3087C1ZT"/>
    <s v="Kgs"/>
    <n v="39269080"/>
    <s v="Rs."/>
    <n v="1"/>
    <n v="0"/>
  </r>
  <r>
    <s v="30-07-2026"/>
    <x v="0"/>
    <s v="R.M.P."/>
    <s v="RM 459"/>
    <s v="Purchase Withinstate - Raw Material"/>
    <s v="PIL1/D/1227"/>
    <s v="30-07-2026"/>
    <s v="SF"/>
    <s v="PP/PE Fabric"/>
    <s v="PP Lam Fabric"/>
    <x v="1"/>
    <s v="PP Lam Fabric With UV"/>
    <n v="347"/>
    <n v="52567.03"/>
    <s v="PP Lam Fabric With UV"/>
    <n v="0"/>
    <n v="9"/>
    <n v="4731.03"/>
    <n v="9"/>
    <n v="4731.03"/>
    <n v="0"/>
    <n v="0"/>
    <n v="0"/>
    <n v="9462.06"/>
    <n v="0"/>
    <s v="24AAACO3087C1ZT"/>
    <s v="Kgs"/>
    <n v="63053300"/>
    <s v="Rs."/>
    <n v="1"/>
    <n v="0"/>
  </r>
  <r>
    <s v="30-07-2026"/>
    <x v="0"/>
    <s v="R.M.P."/>
    <s v="RM 460"/>
    <s v="Purchase Withinstate - Raw Material"/>
    <s v="PIL1/D/1219"/>
    <s v="30-07-2026"/>
    <s v="SF"/>
    <s v="PP/PE Fabric"/>
    <s v="PP UL Fabric"/>
    <x v="2"/>
    <s v="PP UL Fabric With UV"/>
    <n v="747"/>
    <n v="109428.03"/>
    <s v="PP UL Fabric With UV"/>
    <n v="1419329.78"/>
    <n v="9"/>
    <n v="9848.52"/>
    <n v="9"/>
    <n v="9848.52"/>
    <n v="0"/>
    <n v="0"/>
    <n v="0"/>
    <n v="19697.04"/>
    <n v="0"/>
    <s v="24AAACO3087C1ZT"/>
    <s v="Kgs"/>
    <n v="39269080"/>
    <s v="Rs."/>
    <n v="1"/>
    <n v="0"/>
  </r>
  <r>
    <s v="30-07-2026"/>
    <x v="0"/>
    <s v="R.M.P."/>
    <s v="RM 460"/>
    <s v="Purchase Withinstate - Raw Material"/>
    <s v="PIL1/D/1219"/>
    <s v="30-07-2026"/>
    <s v="SF"/>
    <s v="PP/PE Fabric"/>
    <s v="PP UL Fabric"/>
    <x v="2"/>
    <s v="PP UL Fabric With UV"/>
    <n v="6983"/>
    <n v="1008973.67"/>
    <s v="PP UL Fabric With UV"/>
    <n v="0"/>
    <n v="9"/>
    <n v="90807.63"/>
    <n v="9"/>
    <n v="90807.63"/>
    <n v="0"/>
    <n v="0"/>
    <n v="0"/>
    <n v="181615.26"/>
    <n v="0"/>
    <s v="24AAACO3087C1ZT"/>
    <s v="Kgs"/>
    <n v="39269080"/>
    <s v="Rs."/>
    <n v="1"/>
    <n v="0"/>
  </r>
  <r>
    <s v="30-07-2026"/>
    <x v="0"/>
    <s v="R.M.P."/>
    <s v="RM 460"/>
    <s v="Purchase Withinstate - Raw Material"/>
    <s v="PIL1/D/1219"/>
    <s v="30-07-2026"/>
    <s v="SF"/>
    <s v="PP/PE Fabric"/>
    <s v="PP Lam Fabric"/>
    <x v="1"/>
    <s v="PP Lam Fabric With UV"/>
    <n v="564"/>
    <n v="85440.36"/>
    <s v="PP Lam Fabric With UV"/>
    <n v="0"/>
    <n v="9"/>
    <n v="7689.63"/>
    <n v="9"/>
    <n v="7689.3"/>
    <n v="0"/>
    <n v="0"/>
    <n v="0"/>
    <n v="15378.93"/>
    <n v="0"/>
    <s v="24AAACO3087C1ZT"/>
    <s v="Kgs"/>
    <n v="63053300"/>
    <s v="Rs."/>
    <n v="1"/>
    <n v="0"/>
  </r>
  <r>
    <s v="30-07-2026"/>
    <x v="0"/>
    <s v="R.M.P."/>
    <s v="RM 462"/>
    <s v="Purchase Withinstate - Raw Material"/>
    <s v="PIL1/D/1221"/>
    <s v="30-07-2026"/>
    <s v="FG"/>
    <s v="FIBC WIP"/>
    <s v="FIBC WIP"/>
    <x v="5"/>
    <s v="PP Woven Fabric"/>
    <n v="280"/>
    <n v="42417.2"/>
    <s v="FIBC WIP"/>
    <n v="1614125.54"/>
    <n v="9"/>
    <n v="3817.55"/>
    <n v="9"/>
    <n v="3817.55"/>
    <n v="0"/>
    <n v="0"/>
    <n v="0"/>
    <n v="7635.1"/>
    <n v="0"/>
    <s v="24AAACO3087C1ZT"/>
    <s v="Kgs"/>
    <n v="39269080"/>
    <s v="Rs."/>
    <n v="1"/>
    <n v="0"/>
  </r>
  <r>
    <s v="30-07-2026"/>
    <x v="0"/>
    <s v="R.M.P."/>
    <s v="RM 462"/>
    <s v="Purchase Withinstate - Raw Material"/>
    <s v="PIL1/D/1221"/>
    <s v="30-07-2026"/>
    <s v="SF"/>
    <s v="Liners"/>
    <s v="LDPE/LLDPE Bags"/>
    <x v="3"/>
    <s v="LDPE/LLDPE Bags/Liner"/>
    <n v="3340.5"/>
    <n v="610576.59"/>
    <s v="LDPE/LLDPE Bags/Liner"/>
    <n v="0"/>
    <n v="9"/>
    <n v="54951.89"/>
    <n v="9"/>
    <n v="54951.89"/>
    <n v="0"/>
    <n v="0"/>
    <n v="0"/>
    <n v="109903.78"/>
    <n v="0"/>
    <s v="24AAACO3087C1ZT"/>
    <s v="Kgs"/>
    <n v="39200000"/>
    <s v="Rs."/>
    <n v="1"/>
    <n v="0"/>
  </r>
  <r>
    <s v="30-07-2026"/>
    <x v="0"/>
    <s v="R.M.P."/>
    <s v="RM 462"/>
    <s v="Purchase Withinstate - Raw Material"/>
    <s v="PIL1/D/1221"/>
    <s v="30-07-2026"/>
    <s v="SF"/>
    <s v="PP/PE Fabric"/>
    <s v="PP UL Fabric"/>
    <x v="2"/>
    <s v="PP UL Fabric With UV"/>
    <n v="1173"/>
    <n v="169486.77"/>
    <s v="PP UL Fabric With UV"/>
    <n v="0"/>
    <n v="9"/>
    <n v="15253.81"/>
    <n v="9"/>
    <n v="15253.81"/>
    <n v="0"/>
    <n v="0"/>
    <n v="0"/>
    <n v="30507.62"/>
    <n v="0"/>
    <s v="24AAACO3087C1ZT"/>
    <s v="Kgs"/>
    <n v="39269080"/>
    <s v="Rs."/>
    <n v="1"/>
    <n v="0"/>
  </r>
  <r>
    <s v="30-07-2026"/>
    <x v="0"/>
    <s v="R.M.P."/>
    <s v="RM 462"/>
    <s v="Purchase Withinstate - Raw Material"/>
    <s v="PIL1/D/1221"/>
    <s v="30-07-2026"/>
    <s v="SF"/>
    <s v="PP/PE Fabric"/>
    <s v="PP Lam Fabric"/>
    <x v="1"/>
    <s v="PP Lam Fabric With UV"/>
    <n v="694"/>
    <n v="105134.06"/>
    <s v="PP Lam Fabric With UV"/>
    <n v="0"/>
    <n v="9"/>
    <n v="9462.07"/>
    <n v="9"/>
    <n v="9462.07"/>
    <n v="0"/>
    <n v="0"/>
    <n v="0"/>
    <n v="18924.14"/>
    <n v="0"/>
    <s v="24AAACO3087C1ZT"/>
    <s v="Kgs"/>
    <n v="63053300"/>
    <s v="Rs."/>
    <n v="1"/>
    <n v="0"/>
  </r>
  <r>
    <s v="30-07-2026"/>
    <x v="0"/>
    <s v="R.M.P."/>
    <s v="RM 462"/>
    <s v="Purchase Withinstate - Raw Material"/>
    <s v="PIL1/D/1221"/>
    <s v="30-07-2026"/>
    <s v="SF"/>
    <s v="Webbing"/>
    <s v="PP Webbing"/>
    <x v="4"/>
    <s v="Webbing"/>
    <n v="1133.5"/>
    <n v="169446.92"/>
    <s v="Webbing"/>
    <n v="0"/>
    <n v="9"/>
    <n v="15250.22"/>
    <n v="9"/>
    <n v="15250.22"/>
    <n v="0"/>
    <n v="0"/>
    <n v="0"/>
    <n v="30500.44"/>
    <n v="0"/>
    <s v="24AAACO3087C1ZT"/>
    <s v="Kgs"/>
    <n v="3926908"/>
    <s v="Rs."/>
    <n v="1"/>
    <n v="0"/>
  </r>
  <r>
    <s v="30-07-2026"/>
    <x v="0"/>
    <s v="R.M.P."/>
    <s v="RM 462"/>
    <s v="Purchase Withinstate - Raw Material"/>
    <s v="PIL1/D/1221"/>
    <s v="30-07-2026"/>
    <s v="SF"/>
    <s v="Webbing"/>
    <s v="PP Webbing"/>
    <x v="4"/>
    <s v="Webbing"/>
    <n v="634"/>
    <n v="92874.66"/>
    <s v="Webbing"/>
    <n v="0"/>
    <n v="9"/>
    <n v="8358.7199999999993"/>
    <n v="9"/>
    <n v="8358.7199999999993"/>
    <n v="0"/>
    <n v="0"/>
    <n v="0"/>
    <n v="16717.439999999999"/>
    <n v="0"/>
    <s v="24AAACO3087C1ZT"/>
    <s v="Kgs"/>
    <n v="3926908"/>
    <s v="Rs."/>
    <n v="1"/>
    <n v="0"/>
  </r>
  <r>
    <s v="30-07-2026"/>
    <x v="0"/>
    <s v="R.M.P."/>
    <s v="RM 462"/>
    <s v="Purchase Withinstate - Raw Material"/>
    <s v="PIL1/D/1221"/>
    <s v="30-07-2026"/>
    <s v="SF"/>
    <s v="Yarn All"/>
    <s v="PP Yarn"/>
    <x v="8"/>
    <s v="PP MF Yarn Twisted 3000 Denier UV NW"/>
    <n v="470.5"/>
    <n v="73628.55"/>
    <s v="PP MF Yarn Twisted 3000 Denier UV NW"/>
    <n v="0"/>
    <n v="2.5"/>
    <n v="1840.71"/>
    <n v="2.5"/>
    <n v="1840.71"/>
    <n v="0"/>
    <n v="0"/>
    <n v="0"/>
    <n v="3681.42"/>
    <n v="0"/>
    <s v="24AAACO3087C1ZT"/>
    <s v="Kgs"/>
    <n v="540263"/>
    <s v="Rs."/>
    <n v="1"/>
    <n v="0"/>
  </r>
  <r>
    <s v="30-07-2026"/>
    <x v="0"/>
    <s v="R.M.P."/>
    <s v="RM 462"/>
    <s v="Purchase Withinstate - Raw Material"/>
    <s v="PIL1/D/1221"/>
    <s v="30-07-2026"/>
    <s v="SF"/>
    <s v="Yarn All"/>
    <s v="PP Yarn"/>
    <x v="8"/>
    <s v="PP MF Yarn Twisted 3000 Denier UV Deep Blue"/>
    <n v="800.66"/>
    <n v="127697.26"/>
    <s v="PP MF Yarn Twisted 3000 Denier UV Deep Blue"/>
    <n v="0"/>
    <n v="2.5"/>
    <n v="3192.43"/>
    <n v="2.5"/>
    <n v="3192.43"/>
    <n v="0"/>
    <n v="0"/>
    <n v="0"/>
    <n v="6384.86"/>
    <n v="0"/>
    <s v="24AAACO3087C1ZT"/>
    <s v="Kgs"/>
    <n v="54026930"/>
    <s v="Rs."/>
    <n v="1"/>
    <n v="0"/>
  </r>
  <r>
    <s v="30-07-2026"/>
    <x v="1"/>
    <s v="General Purchase"/>
    <s v="GNCN 303"/>
    <s v="Purchase Withinstate- Stores, Spares &amp; Consumable"/>
    <s v="PPL/D/429"/>
    <s v="30-07-2026"/>
    <s v="Stores/Spares"/>
    <s v="MS Structure Items"/>
    <s v="Spares &amp; Stores"/>
    <x v="0"/>
    <s v="MS Pipe 4  C Class"/>
    <n v="53"/>
    <n v="2544"/>
    <s v="MS Pipe 4  C Class"/>
    <n v="2999.38"/>
    <n v="9"/>
    <n v="228.96"/>
    <n v="9"/>
    <n v="228.96"/>
    <n v="0"/>
    <n v="0"/>
    <n v="0"/>
    <n v="457.92"/>
    <n v="0"/>
    <s v="24AAFCP2956A1ZR"/>
    <s v="Kgs"/>
    <n v="73063090"/>
    <s v="Rs."/>
    <n v="1"/>
    <n v="0"/>
  </r>
  <r>
    <s v="30-07-2026"/>
    <x v="1"/>
    <s v="R.M.P."/>
    <s v="RM 458"/>
    <s v="Purchase Withinstate - Raw Material"/>
    <s v="PPL/D/428"/>
    <s v="30-07-2026"/>
    <s v="FG"/>
    <s v="FIBC WIP"/>
    <s v="FIBC WIP"/>
    <x v="5"/>
    <s v="PP Woven Fabric"/>
    <n v="210"/>
    <n v="32495.4"/>
    <s v="FIBC WIP"/>
    <n v="219425.26"/>
    <n v="9"/>
    <n v="2924.59"/>
    <n v="9"/>
    <n v="2924.59"/>
    <n v="0"/>
    <n v="0"/>
    <n v="0"/>
    <n v="5849.18"/>
    <n v="0"/>
    <s v="24AAFCP2956A1ZR"/>
    <s v="Kgs"/>
    <n v="39269080"/>
    <s v="Rs."/>
    <n v="1"/>
    <n v="0"/>
  </r>
  <r>
    <s v="30-07-2026"/>
    <x v="1"/>
    <s v="R.M.P."/>
    <s v="RM 458"/>
    <s v="Purchase Withinstate - Raw Material"/>
    <s v="PPL/D/428"/>
    <s v="30-07-2026"/>
    <s v="SF"/>
    <s v="PP/PE Fabric"/>
    <s v="PP UL Fabric"/>
    <x v="2"/>
    <s v="PP UL Fabric With UV"/>
    <n v="370.5"/>
    <n v="57331.17"/>
    <s v="PP UL Fabric With UV"/>
    <n v="0"/>
    <n v="9"/>
    <n v="5159.8100000000004"/>
    <n v="9"/>
    <n v="5159.8100000000004"/>
    <n v="0"/>
    <n v="0"/>
    <n v="0"/>
    <n v="10319.620000000001"/>
    <n v="0"/>
    <s v="24AAFCP2956A1ZR"/>
    <s v="Kgs"/>
    <n v="39269080"/>
    <s v="Rs."/>
    <n v="1"/>
    <n v="0"/>
  </r>
  <r>
    <s v="30-07-2026"/>
    <x v="1"/>
    <s v="R.M.P."/>
    <s v="RM 458"/>
    <s v="Purchase Withinstate - Raw Material"/>
    <s v="PPL/D/428"/>
    <s v="30-07-2026"/>
    <s v="SF"/>
    <s v="PP/PE Fabric"/>
    <s v="PP Lam Fabric"/>
    <x v="1"/>
    <s v="PP Lam Fabric With UV"/>
    <n v="307"/>
    <n v="48733.18"/>
    <s v="PP Lam Fabric With UV"/>
    <n v="0"/>
    <n v="9"/>
    <n v="4385.99"/>
    <n v="9"/>
    <n v="4385.99"/>
    <n v="0"/>
    <n v="0"/>
    <n v="0"/>
    <n v="8771.98"/>
    <n v="0"/>
    <s v="24AAFCP2956A1ZR"/>
    <s v="Kgs"/>
    <n v="63053300"/>
    <s v="Rs."/>
    <n v="1"/>
    <n v="0"/>
  </r>
  <r>
    <s v="30-07-2026"/>
    <x v="1"/>
    <s v="R.M.P."/>
    <s v="RM 458"/>
    <s v="Purchase Withinstate - Raw Material"/>
    <s v="PPL/D/428"/>
    <s v="30-07-2026"/>
    <s v="SF"/>
    <s v="PP/PE Fabric"/>
    <s v="PP Lam Fabric"/>
    <x v="1"/>
    <s v="PP Lam Fabric With UV"/>
    <n v="294"/>
    <n v="47551.56"/>
    <s v="PP Lam Fabric With UV"/>
    <n v="0"/>
    <n v="9"/>
    <n v="4279.6400000000003"/>
    <n v="9"/>
    <n v="4279.6400000000003"/>
    <n v="0"/>
    <n v="0"/>
    <n v="0"/>
    <n v="8559.2800000000007"/>
    <n v="0"/>
    <s v="24AAFCP2956A1ZR"/>
    <s v="Kgs"/>
    <n v="63053300"/>
    <s v="Rs."/>
    <n v="1"/>
    <n v="0"/>
  </r>
  <r>
    <s v="31-07-2026"/>
    <x v="6"/>
    <s v="R.M.P."/>
    <s v="RM 466"/>
    <s v="Purchase Withinstate - Raw Material"/>
    <s v="KPV/D/528"/>
    <s v="30-07-2026"/>
    <s v="SF"/>
    <s v="Yarn All"/>
    <s v="PP Yarn"/>
    <x v="8"/>
    <s v="PP Fibrillated Tape Twisted 3200 Blue"/>
    <n v="432.2"/>
    <n v="66623.63"/>
    <s v="PP Fibrillated Tape Twisted 3200 Blue"/>
    <n v="300684.44"/>
    <n v="2.5"/>
    <n v="1665.59"/>
    <n v="2.5"/>
    <n v="1665.59"/>
    <n v="0"/>
    <n v="0"/>
    <n v="0"/>
    <n v="3331.18"/>
    <n v="0"/>
    <s v="24AAECK6307M1ZF"/>
    <s v="Kgs"/>
    <n v="54026930"/>
    <s v="Rs."/>
    <n v="1"/>
    <n v="0"/>
  </r>
  <r>
    <s v="31-07-2026"/>
    <x v="6"/>
    <s v="R.M.P."/>
    <s v="RM 466"/>
    <s v="Purchase Withinstate - Raw Material"/>
    <s v="KPV/D/528"/>
    <s v="30-07-2026"/>
    <s v="SF"/>
    <s v="Yarn All"/>
    <s v="PP Yarn"/>
    <x v="8"/>
    <s v="PP Fibrillated Tape Twisted 3200 MW"/>
    <n v="270"/>
    <n v="40810.5"/>
    <s v="PP Fibrillated Tape Twisted 3200 MW"/>
    <n v="0"/>
    <n v="2.5"/>
    <n v="1020.26"/>
    <n v="2.5"/>
    <n v="1020.26"/>
    <n v="0"/>
    <n v="0"/>
    <n v="0"/>
    <n v="2040.52"/>
    <n v="0"/>
    <s v="24AAECK6307M1ZF"/>
    <s v="Kgs"/>
    <n v="54026930"/>
    <s v="Rs."/>
    <n v="1"/>
    <n v="0"/>
  </r>
  <r>
    <s v="31-07-2026"/>
    <x v="6"/>
    <s v="R.M.P."/>
    <s v="RM 466"/>
    <s v="Purchase Withinstate - Raw Material"/>
    <s v="KPV/D/528"/>
    <s v="30-07-2026"/>
    <s v="SF"/>
    <s v="PP/PE Fabric"/>
    <s v="PP UL Fabric"/>
    <x v="2"/>
    <s v="PP UL Fabric With UV"/>
    <n v="926.2"/>
    <n v="159445.32999999999"/>
    <s v="PP UL Fabric With UV"/>
    <n v="0"/>
    <n v="9"/>
    <n v="14350.08"/>
    <n v="9"/>
    <n v="14350.08"/>
    <n v="0"/>
    <n v="0"/>
    <n v="0"/>
    <n v="28700.16"/>
    <n v="0"/>
    <s v="24AAECK6307M1ZF"/>
    <s v="Kgs"/>
    <n v="39269080"/>
    <s v="Rs."/>
    <n v="1"/>
    <n v="0"/>
  </r>
  <r>
    <s v="31-07-2026"/>
    <x v="0"/>
    <s v="R.M.P."/>
    <s v="RM 463"/>
    <s v="Purchase Withinstate - Raw Material"/>
    <s v="PIL1/D/1226."/>
    <s v="30-07-2026"/>
    <s v="FG"/>
    <s v="FIBC WIP"/>
    <s v="FIBC WIP"/>
    <x v="5"/>
    <s v="PP Laminated Woven Fabric"/>
    <n v="1534"/>
    <n v="240055.66"/>
    <s v="FIBC WIP"/>
    <n v="292380.45"/>
    <n v="9"/>
    <n v="21605.01"/>
    <n v="9"/>
    <n v="21605.01"/>
    <n v="0"/>
    <n v="0"/>
    <n v="0"/>
    <n v="43210.02"/>
    <n v="0"/>
    <s v="24AAACO3087C1ZT"/>
    <s v="Kgs"/>
    <n v="39269080"/>
    <s v="Rs."/>
    <n v="1"/>
    <n v="0"/>
  </r>
  <r>
    <s v="31-07-2026"/>
    <x v="0"/>
    <s v="R.M.P."/>
    <s v="RM 463"/>
    <s v="Purchase Withinstate - Raw Material"/>
    <s v="PIL1/D/1226."/>
    <s v="30-07-2026"/>
    <s v="FG"/>
    <s v="FIBC WIP"/>
    <s v="FIBC WIP"/>
    <x v="5"/>
    <s v="PP Webbing"/>
    <n v="46"/>
    <n v="7934.54"/>
    <s v="FIBC WIP"/>
    <n v="0"/>
    <n v="9"/>
    <n v="714.11"/>
    <n v="9"/>
    <n v="714.11"/>
    <n v="0"/>
    <n v="0"/>
    <n v="0"/>
    <n v="1428.22"/>
    <n v="0"/>
    <s v="24AAACO3087C1ZT"/>
    <s v="Kgs"/>
    <n v="39269080"/>
    <s v="Rs."/>
    <n v="1"/>
    <n v="0"/>
  </r>
  <r>
    <s v="31-07-2026"/>
    <x v="0"/>
    <s v="R.M.P."/>
    <s v="RM 464"/>
    <s v="Purchase Withinstate - Raw Material"/>
    <s v="PIL1/D/1233"/>
    <s v="31-07-2026"/>
    <s v="FG"/>
    <s v="FIBC WIP"/>
    <s v="FIBC WIP"/>
    <x v="5"/>
    <s v="PP Laminated Woven Fabric"/>
    <n v="251"/>
    <n v="39278.99"/>
    <s v="FIBC WIP"/>
    <n v="1545205.75"/>
    <n v="9"/>
    <n v="3535.11"/>
    <n v="9"/>
    <n v="3535.11"/>
    <n v="0"/>
    <n v="0"/>
    <n v="0"/>
    <n v="7070.22"/>
    <n v="0"/>
    <s v="24AAACO3087C1ZT"/>
    <s v="Kgs"/>
    <n v="39269080"/>
    <s v="Rs."/>
    <n v="1"/>
    <n v="0"/>
  </r>
  <r>
    <s v="31-07-2026"/>
    <x v="0"/>
    <s v="R.M.P."/>
    <s v="RM 464"/>
    <s v="Purchase Withinstate - Raw Material"/>
    <s v="PIL1/D/1233"/>
    <s v="31-07-2026"/>
    <s v="RM Consumables"/>
    <s v="FIBC Accessories"/>
    <s v="FIBC Accessories"/>
    <x v="9"/>
    <s v="Zip Lock Bags"/>
    <n v="20400"/>
    <n v="68544"/>
    <s v="Zip Lock Bags"/>
    <n v="0"/>
    <n v="9"/>
    <n v="6168.96"/>
    <n v="9"/>
    <n v="6168.96"/>
    <n v="0"/>
    <n v="0"/>
    <n v="0"/>
    <n v="12337.92"/>
    <n v="0"/>
    <s v="24AAACO3087C1ZT"/>
    <s v="Pcs"/>
    <n v="39232100"/>
    <s v="Rs."/>
    <n v="1"/>
    <n v="375"/>
  </r>
  <r>
    <s v="31-07-2026"/>
    <x v="0"/>
    <s v="R.M.P."/>
    <s v="RM 464"/>
    <s v="Purchase Withinstate - Raw Material"/>
    <s v="PIL1/D/1233"/>
    <s v="31-07-2026"/>
    <s v="SF"/>
    <s v="Liners"/>
    <s v="LDPE/LLDPE Bags"/>
    <x v="3"/>
    <s v="LDPE/LLDPE Bags/Liner"/>
    <n v="1136.26"/>
    <n v="207685.6"/>
    <s v="LDPE/LLDPE Bags/Liner"/>
    <n v="0"/>
    <n v="9"/>
    <n v="18691.7"/>
    <n v="9"/>
    <n v="18691.7"/>
    <n v="0"/>
    <n v="0"/>
    <n v="0"/>
    <n v="37383.4"/>
    <n v="0"/>
    <s v="24AAACO3087C1ZT"/>
    <s v="Kgs"/>
    <n v="39200000"/>
    <s v="Rs."/>
    <n v="1"/>
    <n v="0"/>
  </r>
  <r>
    <s v="31-07-2026"/>
    <x v="0"/>
    <s v="R.M.P."/>
    <s v="RM 464"/>
    <s v="Purchase Withinstate - Raw Material"/>
    <s v="PIL1/D/1233"/>
    <s v="31-07-2026"/>
    <s v="SF"/>
    <s v="PP/PE Fabric"/>
    <s v="PP UL Fabric"/>
    <x v="2"/>
    <s v="PP UL Fabric With UV"/>
    <n v="663"/>
    <n v="97122.87"/>
    <s v="PP UL Fabric With UV"/>
    <n v="0"/>
    <n v="9"/>
    <n v="8741.06"/>
    <n v="9"/>
    <n v="8741.06"/>
    <n v="0"/>
    <n v="0"/>
    <n v="0"/>
    <n v="17482.12"/>
    <n v="0"/>
    <s v="24AAACO3087C1ZT"/>
    <s v="Kgs"/>
    <n v="39269080"/>
    <s v="Rs."/>
    <n v="1"/>
    <n v="0"/>
  </r>
  <r>
    <s v="31-07-2026"/>
    <x v="0"/>
    <s v="R.M.P."/>
    <s v="RM 464"/>
    <s v="Purchase Withinstate - Raw Material"/>
    <s v="PIL1/D/1233"/>
    <s v="31-07-2026"/>
    <s v="SF"/>
    <s v="PP/PE Fabric"/>
    <s v="PP UL Fabric"/>
    <x v="2"/>
    <s v="PP UL Fabric With UV"/>
    <n v="565"/>
    <n v="81636.850000000006"/>
    <s v="PP UL Fabric With UV"/>
    <n v="0"/>
    <n v="9"/>
    <n v="7347.32"/>
    <n v="9"/>
    <n v="7347.32"/>
    <n v="0"/>
    <n v="0"/>
    <n v="0"/>
    <n v="14694.64"/>
    <n v="0"/>
    <s v="24AAACO3087C1ZT"/>
    <s v="Kgs"/>
    <n v="39269080"/>
    <s v="Rs."/>
    <n v="1"/>
    <n v="0"/>
  </r>
  <r>
    <s v="31-07-2026"/>
    <x v="0"/>
    <s v="R.M.P."/>
    <s v="RM 464"/>
    <s v="Purchase Withinstate - Raw Material"/>
    <s v="PIL1/D/1233"/>
    <s v="31-07-2026"/>
    <s v="SF"/>
    <s v="PP/PE Fabric"/>
    <s v="PP Lam Fabric"/>
    <x v="1"/>
    <s v="PP Lam Fabric With UV"/>
    <n v="1012"/>
    <n v="150271.88"/>
    <s v="PP Lam Fabric With UV"/>
    <n v="0"/>
    <n v="9"/>
    <n v="13524.47"/>
    <n v="9"/>
    <n v="13524.47"/>
    <n v="0"/>
    <n v="0"/>
    <n v="0"/>
    <n v="27048.94"/>
    <n v="0"/>
    <s v="24AAACO3087C1ZT"/>
    <s v="Kgs"/>
    <n v="63053300"/>
    <s v="Rs."/>
    <n v="1"/>
    <n v="0"/>
  </r>
  <r>
    <s v="31-07-2026"/>
    <x v="0"/>
    <s v="R.M.P."/>
    <s v="RM 464"/>
    <s v="Purchase Withinstate - Raw Material"/>
    <s v="PIL1/D/1233"/>
    <s v="31-07-2026"/>
    <s v="SF"/>
    <s v="PP/PE Fabric"/>
    <s v="PP Lam Fabric"/>
    <x v="1"/>
    <s v="PP Lam Fabric With UV"/>
    <n v="1084"/>
    <n v="158795.16"/>
    <s v="PP Lam Fabric With UV"/>
    <n v="0"/>
    <n v="9"/>
    <n v="14291.56"/>
    <n v="9"/>
    <n v="14291.56"/>
    <n v="0"/>
    <n v="0"/>
    <n v="0"/>
    <n v="28583.119999999999"/>
    <n v="0"/>
    <s v="24AAACO3087C1ZT"/>
    <s v="Kgs"/>
    <n v="63053300"/>
    <s v="Rs."/>
    <n v="1"/>
    <n v="0"/>
  </r>
  <r>
    <s v="31-07-2026"/>
    <x v="0"/>
    <s v="R.M.P."/>
    <s v="RM 464"/>
    <s v="Purchase Withinstate - Raw Material"/>
    <s v="PIL1/D/1233"/>
    <s v="31-07-2026"/>
    <s v="SF"/>
    <s v="PP/PE Fabric"/>
    <s v="PP Lam Fabric"/>
    <x v="1"/>
    <s v="PP Lam Fabric With UV"/>
    <n v="1590"/>
    <n v="240869.1"/>
    <s v="PP Lam Fabric With UV"/>
    <n v="0"/>
    <n v="9"/>
    <n v="21678.22"/>
    <n v="9"/>
    <n v="21678.22"/>
    <n v="0"/>
    <n v="0"/>
    <n v="0"/>
    <n v="43356.44"/>
    <n v="0"/>
    <s v="24AAACO3087C1ZT"/>
    <s v="Kgs"/>
    <n v="63053300"/>
    <s v="Rs."/>
    <n v="1"/>
    <n v="0"/>
  </r>
  <r>
    <s v="31-07-2026"/>
    <x v="0"/>
    <s v="R.M.P."/>
    <s v="RM 464"/>
    <s v="Purchase Withinstate - Raw Material"/>
    <s v="PIL1/D/1233"/>
    <s v="31-07-2026"/>
    <s v="SF"/>
    <s v="Webbing"/>
    <s v="PP Webbing"/>
    <x v="4"/>
    <s v="Webbing"/>
    <n v="753.1"/>
    <n v="110321.62"/>
    <s v="Webbing"/>
    <n v="0"/>
    <n v="9"/>
    <n v="9928.9500000000007"/>
    <n v="9"/>
    <n v="9928.9500000000007"/>
    <n v="0"/>
    <n v="0"/>
    <n v="0"/>
    <n v="19857.900000000001"/>
    <n v="0"/>
    <s v="24AAACO3087C1ZT"/>
    <s v="Kgs"/>
    <n v="3926908"/>
    <s v="Rs."/>
    <n v="1"/>
    <n v="0"/>
  </r>
  <r>
    <s v="31-07-2026"/>
    <x v="0"/>
    <s v="R.M.P."/>
    <s v="RM 464"/>
    <s v="Purchase Withinstate - Raw Material"/>
    <s v="PIL1/D/1233"/>
    <s v="31-07-2026"/>
    <s v="SF"/>
    <s v="Webbing"/>
    <s v="PP Webbing"/>
    <x v="4"/>
    <s v="Webbing"/>
    <n v="1044.0999999999999"/>
    <n v="156082.51"/>
    <s v="Webbing"/>
    <n v="0"/>
    <n v="9"/>
    <n v="14047.43"/>
    <n v="9"/>
    <n v="14047.43"/>
    <n v="0"/>
    <n v="0"/>
    <n v="0"/>
    <n v="28094.86"/>
    <n v="0"/>
    <s v="24AAACO3087C1ZT"/>
    <s v="Kgs"/>
    <n v="3926908"/>
    <s v="Rs."/>
    <n v="1"/>
    <n v="0"/>
  </r>
  <r>
    <s v="31-07-2026"/>
    <x v="0"/>
    <s v="R.M.P."/>
    <s v="RM 465"/>
    <s v="Purchase Withinstate - Raw Material"/>
    <s v="PIL1/D/1230"/>
    <s v="31-07-2026"/>
    <s v="SF"/>
    <s v="Webbing"/>
    <s v="PP Webbing"/>
    <x v="4"/>
    <s v="Webbing"/>
    <n v="70.2"/>
    <n v="10494.2"/>
    <s v="Webbing"/>
    <n v="1385764.27"/>
    <n v="9"/>
    <n v="944.48"/>
    <n v="9"/>
    <n v="944.48"/>
    <n v="0"/>
    <n v="0"/>
    <n v="0"/>
    <n v="1888.96"/>
    <n v="0"/>
    <s v="24AAACO3087C1ZT"/>
    <s v="Kgs"/>
    <n v="3926908"/>
    <s v="Rs."/>
    <n v="1"/>
    <n v="0"/>
  </r>
  <r>
    <s v="31-07-2026"/>
    <x v="0"/>
    <s v="R.M.P."/>
    <s v="RM 465"/>
    <s v="Purchase Withinstate - Raw Material"/>
    <s v="PIL1/D/1230"/>
    <s v="31-07-2026"/>
    <s v="SF"/>
    <s v="PP/PE Fabric"/>
    <s v="PP UL Fabric"/>
    <x v="2"/>
    <s v="PP UL Fabric With UV"/>
    <n v="8062"/>
    <n v="1164878.3799999999"/>
    <s v="PP UL Fabric With UV"/>
    <n v="0"/>
    <n v="9"/>
    <n v="104839.05"/>
    <n v="9"/>
    <n v="104839.05"/>
    <n v="0"/>
    <n v="0"/>
    <n v="0"/>
    <n v="209678.1"/>
    <n v="0"/>
    <s v="24AAACO3087C1ZT"/>
    <s v="Kgs"/>
    <n v="39269080"/>
    <s v="Rs."/>
    <n v="1"/>
    <n v="0"/>
  </r>
  <r>
    <s v="31-07-2026"/>
    <x v="0"/>
    <s v="R.M.P."/>
    <s v="RM 467"/>
    <s v="Purchase Withinstate - Raw Material"/>
    <s v="PIL1/D/1237"/>
    <s v="31-07-2026"/>
    <s v="SF"/>
    <s v="PP/PE Fabric"/>
    <s v="PP UL Fabric"/>
    <x v="2"/>
    <s v="PP UL Fabric With UV"/>
    <n v="1289"/>
    <n v="186247.61"/>
    <s v="PP UL Fabric With UV"/>
    <n v="227975.35"/>
    <n v="9"/>
    <n v="16762.28"/>
    <n v="9"/>
    <n v="16762.28"/>
    <n v="0"/>
    <n v="0"/>
    <n v="0"/>
    <n v="33524.559999999998"/>
    <n v="0"/>
    <s v="24AAACO3087C1ZT"/>
    <s v="Kgs"/>
    <n v="39269080"/>
    <s v="Rs."/>
    <n v="1"/>
    <n v="0"/>
  </r>
  <r>
    <s v="31-07-2026"/>
    <x v="0"/>
    <s v="R.M.P."/>
    <s v="RM 467"/>
    <s v="Purchase Withinstate - Raw Material"/>
    <s v="PIL1/D/1237"/>
    <s v="31-07-2026"/>
    <s v="SF"/>
    <s v="Webbing"/>
    <s v="PP Webbing"/>
    <x v="4"/>
    <s v="Webbing"/>
    <n v="47.6"/>
    <n v="7115.72"/>
    <s v="Webbing"/>
    <n v="0"/>
    <n v="9"/>
    <n v="640.41999999999996"/>
    <n v="9"/>
    <n v="640.41999999999996"/>
    <n v="0"/>
    <n v="0"/>
    <n v="0"/>
    <n v="1280.8399999999999"/>
    <n v="0"/>
    <s v="24AAACO3087C1ZT"/>
    <s v="Kgs"/>
    <n v="3926908"/>
    <s v="Rs."/>
    <n v="1"/>
    <n v="0"/>
  </r>
  <r>
    <s v="31-07-2026"/>
    <x v="20"/>
    <s v="General Purchase"/>
    <s v="GNCN 305"/>
    <s v="Purchase Withinstate- Stores, Spares &amp; Consumable"/>
    <n v="9552"/>
    <s v="21-07-2026"/>
    <s v="Consumables"/>
    <s v="Rubber/Polymer Stereo"/>
    <s v="Spares &amp; Stores"/>
    <x v="0"/>
    <s v="Polymer Stereo"/>
    <n v="395.79300000000001"/>
    <n v="455.16"/>
    <s v="Polymer Stereo"/>
    <n v="5146"/>
    <n v="9"/>
    <n v="40.96"/>
    <n v="9"/>
    <n v="40.96"/>
    <n v="0"/>
    <n v="0"/>
    <n v="0"/>
    <n v="81.92"/>
    <n v="0"/>
    <s v="24AARFT4204A1ZK"/>
    <s v="CMS"/>
    <n v="37013000"/>
    <s v="Rs."/>
    <n v="1"/>
    <n v="0"/>
  </r>
  <r>
    <s v="31-07-2026"/>
    <x v="20"/>
    <s v="General Purchase"/>
    <s v="GNCN 305"/>
    <s v="Purchase Withinstate- Stores, Spares &amp; Consumable"/>
    <n v="9552"/>
    <s v="21-07-2026"/>
    <s v="Consumables"/>
    <s v="Rubber/Polymer Stereo"/>
    <s v="Spares &amp; Stores"/>
    <x v="0"/>
    <s v="Polymer Stereo"/>
    <n v="283.18"/>
    <n v="325.66000000000003"/>
    <s v="Polymer Stereo"/>
    <n v="0"/>
    <n v="9"/>
    <n v="29.31"/>
    <n v="9"/>
    <n v="29.31"/>
    <n v="0"/>
    <n v="0"/>
    <n v="0"/>
    <n v="58.62"/>
    <n v="0"/>
    <s v="24AARFT4204A1ZK"/>
    <s v="CMS"/>
    <n v="37013000"/>
    <s v="Rs."/>
    <n v="1"/>
    <n v="0"/>
  </r>
  <r>
    <s v="31-07-2026"/>
    <x v="20"/>
    <s v="General Purchase"/>
    <s v="GNCN 305"/>
    <s v="Purchase Withinstate- Stores, Spares &amp; Consumable"/>
    <n v="9552"/>
    <s v="21-07-2026"/>
    <s v="Consumables"/>
    <s v="Rubber/Polymer Stereo"/>
    <s v="Spares &amp; Stores"/>
    <x v="0"/>
    <s v="Polymer Stereo"/>
    <n v="3113.46"/>
    <n v="3580.48"/>
    <s v="Polymer Stereo"/>
    <n v="0"/>
    <n v="9"/>
    <n v="322.24"/>
    <n v="9"/>
    <n v="322.24"/>
    <n v="0"/>
    <n v="0"/>
    <n v="0"/>
    <n v="644.48"/>
    <n v="0"/>
    <s v="24AARFT4204A1ZK"/>
    <s v="CMS"/>
    <n v="37013000"/>
    <s v="Rs."/>
    <n v="1"/>
    <n v="0"/>
  </r>
  <r>
    <s v="31-07-2026"/>
    <x v="20"/>
    <s v="General Purchase"/>
    <s v="GNCN 306"/>
    <s v="Purchase Withinstate- Stores, Spares &amp; Consumable"/>
    <n v="9591"/>
    <s v="28-07-2026"/>
    <s v="Consumables"/>
    <s v="Rubber/Polymer Stereo"/>
    <s v="Spares &amp; Stores"/>
    <x v="0"/>
    <s v="Polymer Stereo"/>
    <n v="311.58"/>
    <n v="358.32"/>
    <s v="Polymer Stereo"/>
    <n v="1622"/>
    <n v="9"/>
    <n v="32.25"/>
    <n v="9"/>
    <n v="32.25"/>
    <n v="0"/>
    <n v="0"/>
    <n v="0"/>
    <n v="64.5"/>
    <n v="0"/>
    <s v="24AARFT4204A1ZK"/>
    <s v="CMS"/>
    <n v="37013000"/>
    <s v="Rs."/>
    <n v="1"/>
    <n v="0"/>
  </r>
  <r>
    <s v="31-07-2026"/>
    <x v="20"/>
    <s v="General Purchase"/>
    <s v="GNCN 306"/>
    <s v="Purchase Withinstate- Stores, Spares &amp; Consumable"/>
    <n v="9591"/>
    <s v="28-07-2026"/>
    <s v="Consumables"/>
    <s v="Rubber/Polymer Stereo"/>
    <s v="Spares &amp; Stores"/>
    <x v="0"/>
    <s v="Polymer Stereo"/>
    <n v="884"/>
    <n v="1016.6"/>
    <s v="Polymer Stereo"/>
    <n v="0"/>
    <n v="9"/>
    <n v="91.49"/>
    <n v="9"/>
    <n v="91.49"/>
    <n v="0"/>
    <n v="0"/>
    <n v="0"/>
    <n v="182.98"/>
    <n v="0"/>
    <s v="24AARFT4204A1ZK"/>
    <s v="CMS"/>
    <n v="37013000"/>
    <s v="Rs."/>
    <n v="1"/>
    <n v="0"/>
  </r>
  <r>
    <s v="31-07-2026"/>
    <x v="20"/>
    <s v="General Purchase"/>
    <s v="GNCN 307"/>
    <s v="Purchase Withinstate- Stores, Spares &amp; Consumable"/>
    <n v="9485"/>
    <s v="13-07-2026"/>
    <s v="Consumables"/>
    <s v="Rubber/Polymer Stereo"/>
    <s v="Spares &amp; Stores"/>
    <x v="0"/>
    <s v="Polymer Stereo"/>
    <n v="1802"/>
    <n v="2072.3000000000002"/>
    <s v="Polymer Stereo"/>
    <n v="2445.31"/>
    <n v="9"/>
    <n v="186.51"/>
    <n v="9"/>
    <n v="186.51"/>
    <n v="0"/>
    <n v="0"/>
    <n v="0"/>
    <n v="373.02"/>
    <n v="0"/>
    <s v="24AARFT4204A1ZK"/>
    <s v="CMS"/>
    <n v="37013000"/>
    <s v="Rs."/>
    <n v="1"/>
    <n v="0"/>
  </r>
  <r>
    <s v="31-07-2026"/>
    <x v="20"/>
    <s v="General Purchase"/>
    <s v="GNCN 308"/>
    <s v="Purchase Withinstate- Stores, Spares &amp; Consumable"/>
    <n v="9526"/>
    <s v="17-07-2026"/>
    <s v="Consumables"/>
    <s v="Rubber/Polymer Stereo"/>
    <s v="Spares &amp; Stores"/>
    <x v="0"/>
    <s v="Polymer Stereo"/>
    <n v="775.35"/>
    <n v="891.65"/>
    <s v="Polymer Stereo"/>
    <n v="1052"/>
    <n v="9"/>
    <n v="80.25"/>
    <n v="9"/>
    <n v="80.25"/>
    <n v="0"/>
    <n v="0"/>
    <n v="0"/>
    <n v="160.5"/>
    <n v="0"/>
    <s v="24AARFT4204A1ZK"/>
    <s v="CMS"/>
    <n v="37013000"/>
    <s v="Rs."/>
    <n v="1"/>
    <n v="0"/>
  </r>
  <r>
    <s v="31-07-2026"/>
    <x v="20"/>
    <s v="General Purchase"/>
    <s v="GNCN 309"/>
    <s v="Purchase Withinstate- Stores, Spares &amp; Consumable"/>
    <n v="9578"/>
    <s v="27-07-2026"/>
    <s v="Consumables"/>
    <s v="Rubber/Polymer Stereo"/>
    <s v="Spares &amp; Stores"/>
    <x v="0"/>
    <s v="Polymer Stereo"/>
    <n v="299.02"/>
    <n v="343.87"/>
    <s v="Polymer Stereo"/>
    <n v="3301"/>
    <n v="9"/>
    <n v="30.95"/>
    <n v="9"/>
    <n v="30.95"/>
    <n v="0"/>
    <n v="0"/>
    <n v="0"/>
    <n v="61.9"/>
    <n v="0"/>
    <s v="24AARFT4204A1ZK"/>
    <s v="CMS"/>
    <n v="37013000"/>
    <s v="Rs."/>
    <n v="1"/>
    <n v="0"/>
  </r>
  <r>
    <s v="31-07-2026"/>
    <x v="20"/>
    <s v="General Purchase"/>
    <s v="GNCN 309"/>
    <s v="Purchase Withinstate- Stores, Spares &amp; Consumable"/>
    <n v="9578"/>
    <s v="27-07-2026"/>
    <s v="Consumables"/>
    <s v="Rubber/Polymer Stereo"/>
    <s v="Spares &amp; Stores"/>
    <x v="0"/>
    <s v="Polymer Stereo"/>
    <n v="1500"/>
    <n v="1725"/>
    <s v="Polymer Stereo"/>
    <n v="0"/>
    <n v="9"/>
    <n v="155.25"/>
    <n v="9"/>
    <n v="155.25"/>
    <n v="0"/>
    <n v="0"/>
    <n v="0"/>
    <n v="310.5"/>
    <n v="0"/>
    <s v="24AARFT4204A1ZK"/>
    <s v="CMS"/>
    <n v="37013000"/>
    <s v="Rs."/>
    <n v="1"/>
    <n v="0"/>
  </r>
  <r>
    <s v="31-07-2026"/>
    <x v="20"/>
    <s v="General Purchase"/>
    <s v="GNCN 309"/>
    <s v="Purchase Withinstate- Stores, Spares &amp; Consumable"/>
    <n v="9578"/>
    <s v="27-07-2026"/>
    <s v="Consumables"/>
    <s v="Rubber/Polymer Stereo"/>
    <s v="Spares &amp; Stores"/>
    <x v="0"/>
    <s v="Polymer Stereo"/>
    <n v="228.72"/>
    <n v="263.02999999999997"/>
    <s v="Polymer Stereo"/>
    <n v="0"/>
    <n v="9"/>
    <n v="23.67"/>
    <n v="9"/>
    <n v="23.67"/>
    <n v="0"/>
    <n v="0"/>
    <n v="0"/>
    <n v="47.34"/>
    <n v="0"/>
    <s v="24AARFT4204A1ZK"/>
    <s v="CMS"/>
    <n v="37013000"/>
    <s v="Rs."/>
    <n v="1"/>
    <n v="0"/>
  </r>
  <r>
    <s v="31-07-2026"/>
    <x v="20"/>
    <s v="General Purchase"/>
    <s v="GNCN 309"/>
    <s v="Purchase Withinstate- Stores, Spares &amp; Consumable"/>
    <n v="9578"/>
    <s v="27-07-2026"/>
    <s v="Consumables"/>
    <s v="Rubber/Polymer Stereo"/>
    <s v="Spares &amp; Stores"/>
    <x v="0"/>
    <s v="Polymer Stereo"/>
    <n v="93.82"/>
    <n v="107.89"/>
    <s v="Polymer Stereo"/>
    <n v="0"/>
    <n v="9"/>
    <n v="9.7100000000000009"/>
    <n v="9"/>
    <n v="9.7100000000000009"/>
    <n v="0"/>
    <n v="0"/>
    <n v="0"/>
    <n v="19.420000000000002"/>
    <n v="0"/>
    <s v="24AARFT4204A1ZK"/>
    <s v="CMS"/>
    <n v="37013000"/>
    <s v="Rs."/>
    <n v="1"/>
    <n v="0"/>
  </r>
  <r>
    <s v="31-07-2026"/>
    <x v="20"/>
    <s v="General Purchase"/>
    <s v="GNCN 309"/>
    <s v="Purchase Withinstate- Stores, Spares &amp; Consumable"/>
    <n v="9578"/>
    <s v="27-07-2026"/>
    <s v="Consumables"/>
    <s v="Rubber/Polymer Stereo"/>
    <s v="Spares &amp; Stores"/>
    <x v="0"/>
    <s v="Polymer Stereo"/>
    <n v="311.32"/>
    <n v="358.02"/>
    <s v="Polymer Stereo"/>
    <n v="0"/>
    <n v="9"/>
    <n v="32.22"/>
    <n v="9"/>
    <n v="32.22"/>
    <n v="0"/>
    <n v="0"/>
    <n v="0"/>
    <n v="64.44"/>
    <n v="0"/>
    <s v="24AARFT4204A1ZK"/>
    <s v="CMS"/>
    <n v="37013000"/>
    <s v="Rs."/>
    <n v="1"/>
    <n v="0"/>
  </r>
  <r>
    <s v="31-07-2026"/>
    <x v="20"/>
    <s v="General Purchase"/>
    <s v="GNCN 310"/>
    <s v="Purchase Withinstate- Stores, Spares &amp; Consumable"/>
    <n v="9564"/>
    <s v="22-07-2026"/>
    <s v="Consumables"/>
    <s v="Rubber/Polymer Stereo"/>
    <s v="Spares &amp; Stores"/>
    <x v="0"/>
    <s v="Polymer Stereo"/>
    <n v="156.13"/>
    <n v="179.55"/>
    <s v="Polymer Stereo"/>
    <n v="10719"/>
    <n v="9"/>
    <n v="16.16"/>
    <n v="9"/>
    <n v="16.16"/>
    <n v="0"/>
    <n v="0"/>
    <n v="0"/>
    <n v="32.32"/>
    <n v="0"/>
    <s v="24AARFT4204A1ZK"/>
    <s v="CMS"/>
    <n v="37013000"/>
    <s v="Rs."/>
    <n v="1"/>
    <n v="0"/>
  </r>
  <r>
    <s v="31-07-2026"/>
    <x v="20"/>
    <s v="General Purchase"/>
    <s v="GNCN 310"/>
    <s v="Purchase Withinstate- Stores, Spares &amp; Consumable"/>
    <n v="9564"/>
    <s v="22-07-2026"/>
    <s v="Consumables"/>
    <s v="Rubber/Polymer Stereo"/>
    <s v="Spares &amp; Stores"/>
    <x v="0"/>
    <s v="Polymer Stereo"/>
    <n v="324.52"/>
    <n v="373.2"/>
    <s v="Polymer Stereo"/>
    <n v="0"/>
    <n v="9"/>
    <n v="33.590000000000003"/>
    <n v="9"/>
    <n v="33.590000000000003"/>
    <n v="0"/>
    <n v="0"/>
    <n v="0"/>
    <n v="67.180000000000007"/>
    <n v="0"/>
    <s v="24AARFT4204A1ZK"/>
    <s v="CMS"/>
    <n v="37013000"/>
    <s v="Rs."/>
    <n v="1"/>
    <n v="0"/>
  </r>
  <r>
    <s v="31-07-2026"/>
    <x v="20"/>
    <s v="General Purchase"/>
    <s v="GNCN 310"/>
    <s v="Purchase Withinstate- Stores, Spares &amp; Consumable"/>
    <n v="9564"/>
    <s v="22-07-2026"/>
    <s v="Consumables"/>
    <s v="Rubber/Polymer Stereo"/>
    <s v="Spares &amp; Stores"/>
    <x v="0"/>
    <s v="Polymer Stereo"/>
    <n v="424.03"/>
    <n v="487.63"/>
    <s v="Polymer Stereo"/>
    <n v="0"/>
    <n v="9"/>
    <n v="43.89"/>
    <n v="9"/>
    <n v="43.89"/>
    <n v="0"/>
    <n v="0"/>
    <n v="0"/>
    <n v="87.78"/>
    <n v="0"/>
    <s v="24AARFT4204A1ZK"/>
    <s v="CMS"/>
    <n v="37013000"/>
    <s v="Rs."/>
    <n v="1"/>
    <n v="0"/>
  </r>
  <r>
    <s v="31-07-2026"/>
    <x v="20"/>
    <s v="General Purchase"/>
    <s v="GNCN 310"/>
    <s v="Purchase Withinstate- Stores, Spares &amp; Consumable"/>
    <n v="9564"/>
    <s v="22-07-2026"/>
    <s v="Consumables"/>
    <s v="Rubber/Polymer Stereo"/>
    <s v="Spares &amp; Stores"/>
    <x v="0"/>
    <s v="Polymer Stereo"/>
    <n v="6994.65"/>
    <n v="8043.85"/>
    <s v="Polymer Stereo"/>
    <n v="0"/>
    <n v="9"/>
    <n v="723.95"/>
    <n v="9"/>
    <n v="723.95"/>
    <n v="0"/>
    <n v="0"/>
    <n v="0"/>
    <n v="1447.9"/>
    <n v="0"/>
    <s v="24AARFT4204A1ZK"/>
    <s v="CMS"/>
    <n v="37013000"/>
    <s v="Rs."/>
    <n v="1"/>
    <n v="0"/>
  </r>
  <r>
    <s v="31-07-2026"/>
    <x v="20"/>
    <s v="General Purchase"/>
    <s v="GNCN 318"/>
    <s v="Purchase Withinstate- Stores, Spares &amp; Consumable"/>
    <n v="9602"/>
    <s v="29-07-2026"/>
    <s v="Consumables"/>
    <s v="Rubber/Polymer Stereo"/>
    <s v="Spares &amp; Stores"/>
    <x v="0"/>
    <s v="Polymer Stereo"/>
    <n v="138.22"/>
    <n v="158.94999999999999"/>
    <s v="Polymer Stereo"/>
    <n v="258"/>
    <n v="9"/>
    <n v="14.31"/>
    <n v="9"/>
    <n v="14.31"/>
    <n v="0"/>
    <n v="0"/>
    <n v="10.8"/>
    <n v="39.42"/>
    <n v="0"/>
    <s v="24AARFT4204A1ZK"/>
    <s v="CMS"/>
    <n v="37013000"/>
    <s v="Rs."/>
    <n v="1"/>
    <n v="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449">
  <r>
    <s v="HCP Plastene Bulkpack Ltd (Unit - IV)"/>
    <d v="2026-01-07T00:00:00"/>
    <s v="HPBL4/26-27/SII00777"/>
    <s v="WIP00023"/>
    <x v="0"/>
    <m/>
    <s v="HPBL4/RAW/26-27/287"/>
    <n v="70000"/>
    <n v="2836"/>
    <s v="Kgs"/>
    <n v="2836"/>
    <n v="46103"/>
    <n v="2836"/>
    <s v="GJ12BY0479"/>
    <s v="Plastene India ltd - Unit 1-Purchase"/>
    <s v="Plastene India ltd - Unit 1-Purchase"/>
    <s v="PIL1/D/874"/>
    <d v="2026-01-07T00:00:00"/>
    <s v="RAW MATERIAL"/>
    <s v="INDIGENOUS"/>
    <s v="RM 324"/>
    <n v="149.74"/>
    <n v="149.74"/>
    <s v="PIL1/D/874"/>
    <d v="2026-01-07T00:00:00"/>
    <m/>
    <s v="-"/>
    <m/>
    <s v="LAXMAN B BAKUTRA"/>
    <s v="171 DT 01/07/2026"/>
    <n v="0"/>
    <n v="0"/>
    <n v="0"/>
    <n v="0"/>
    <n v="0"/>
    <s v="VAT"/>
    <n v="0"/>
    <n v="0"/>
    <n v="0"/>
    <n v="0"/>
    <n v="0"/>
    <m/>
    <n v="0"/>
    <n v="0"/>
    <n v="1728555.18"/>
    <s v="SF"/>
    <s v="PP/PE Fabric"/>
    <s v="PP UL Fabric"/>
    <s v="RM"/>
    <s v="erp"/>
    <n v="0"/>
    <n v="424662.64"/>
    <n v="739"/>
    <d v="2026-01-07T00:00:00"/>
    <s v="24AAACO3087C1ZT"/>
    <s v="storepil6"/>
    <s v="storepil6"/>
    <n v="9"/>
    <n v="38219.64"/>
    <n v="9"/>
    <n v="38219.64"/>
    <n v="0"/>
    <n v="0"/>
    <n v="1728555.18"/>
    <n v="602137996771"/>
    <d v="2026-07-01T00:00:00"/>
    <n v="0"/>
  </r>
  <r>
    <s v="HCP Plastene Bulkpack Ltd (Unit - IV)"/>
    <d v="2026-01-07T00:00:00"/>
    <s v="HPBL4/26-27/SII00777"/>
    <s v="WIP00023"/>
    <x v="0"/>
    <m/>
    <s v="HPBL4/RAW/26-27/287"/>
    <n v="150000"/>
    <n v="6027"/>
    <s v="Kgs"/>
    <n v="6027"/>
    <n v="92868"/>
    <n v="6027"/>
    <s v="GJ12BY0479"/>
    <s v="Plastene India ltd - Unit 1-Purchase"/>
    <s v="Plastene India ltd - Unit 1-Purchase"/>
    <s v="PIL1/D/874"/>
    <d v="2026-01-07T00:00:00"/>
    <s v="RAW MATERIAL"/>
    <s v="INDIGENOUS"/>
    <s v="RM 324"/>
    <n v="147.74"/>
    <n v="147.74"/>
    <s v="PIL1/D/874"/>
    <d v="2026-01-07T00:00:00"/>
    <m/>
    <s v="-"/>
    <m/>
    <s v="LAXMAN B BAKUTRA"/>
    <s v="171 DT 01/07/2026"/>
    <n v="0"/>
    <n v="0"/>
    <n v="0"/>
    <n v="0"/>
    <n v="0"/>
    <s v="VAT"/>
    <n v="0"/>
    <n v="0"/>
    <n v="0"/>
    <n v="0"/>
    <n v="0"/>
    <m/>
    <n v="0"/>
    <n v="0"/>
    <n v="1728555.18"/>
    <s v="SF"/>
    <s v="PP/PE Fabric"/>
    <s v="PP UL Fabric"/>
    <s v="RM"/>
    <s v="erp"/>
    <n v="0"/>
    <n v="890428.98"/>
    <n v="739"/>
    <d v="2026-01-07T00:00:00"/>
    <s v="24AAACO3087C1ZT"/>
    <s v="storepil6"/>
    <s v="storepil6"/>
    <n v="9"/>
    <n v="80138.61"/>
    <n v="9"/>
    <n v="80138.61"/>
    <n v="0"/>
    <n v="0"/>
    <n v="0"/>
    <n v="602137996771"/>
    <d v="2026-07-01T00:00:00"/>
    <n v="0"/>
  </r>
  <r>
    <s v="HCP Plastene Bulkpack Ltd (Unit - IV)"/>
    <d v="2026-01-07T00:00:00"/>
    <s v="HPBL4/26-27/SII00777"/>
    <s v="WIP00023"/>
    <x v="0"/>
    <m/>
    <s v="HPBL4/RAW/26-27/287"/>
    <n v="40000"/>
    <n v="697"/>
    <s v="Kgs"/>
    <n v="697"/>
    <n v="34467"/>
    <n v="697"/>
    <s v="GJ12BY0479"/>
    <s v="Plastene India ltd - Unit 1-Purchase"/>
    <s v="Plastene India ltd - Unit 1-Purchase"/>
    <s v="PIL1/D/874"/>
    <d v="2026-01-07T00:00:00"/>
    <s v="RAW MATERIAL"/>
    <s v="INDIGENOUS"/>
    <s v="RM 324"/>
    <n v="150.74"/>
    <n v="150.74"/>
    <s v="PIL1/D/874"/>
    <d v="2026-01-07T00:00:00"/>
    <m/>
    <s v="-"/>
    <m/>
    <s v="LAXMAN B BAKUTRA"/>
    <s v="171 DT 01/07/2026"/>
    <n v="0"/>
    <n v="0"/>
    <n v="0"/>
    <n v="0"/>
    <n v="0"/>
    <s v="VAT"/>
    <n v="0"/>
    <n v="0"/>
    <n v="0"/>
    <n v="0"/>
    <n v="0"/>
    <m/>
    <n v="0"/>
    <n v="0"/>
    <n v="1728555.18"/>
    <s v="SF"/>
    <s v="PP/PE Fabric"/>
    <s v="PP UL Fabric"/>
    <s v="RM"/>
    <s v="erp"/>
    <n v="0"/>
    <n v="105065.78"/>
    <n v="739"/>
    <d v="2026-01-07T00:00:00"/>
    <s v="24AAACO3087C1ZT"/>
    <s v="storepil6"/>
    <s v="storepil6"/>
    <n v="9"/>
    <n v="9455.92"/>
    <n v="9"/>
    <n v="9455.92"/>
    <n v="0"/>
    <n v="0"/>
    <n v="0"/>
    <n v="602137996771"/>
    <d v="2026-07-01T00:00:00"/>
    <n v="0"/>
  </r>
  <r>
    <s v="HCP Plastene Bulkpack Ltd (Unit - IV)"/>
    <d v="2026-01-07T00:00:00"/>
    <s v="HPBL4/26-27/SII00777"/>
    <s v="WIP00025"/>
    <x v="1"/>
    <m/>
    <s v="HPBL4/RAW/26-27/287"/>
    <n v="8000"/>
    <n v="289"/>
    <s v="Kgs"/>
    <n v="289"/>
    <n v="5058"/>
    <n v="289"/>
    <s v="GJ12BY0479"/>
    <s v="Plastene India ltd - Unit 1-Purchase"/>
    <s v="Plastene India ltd - Unit 1-Purchase"/>
    <s v="PIL1/D/874"/>
    <d v="2026-01-07T00:00:00"/>
    <s v="RAW MATERIAL"/>
    <s v="INDIGENOUS"/>
    <s v="RM 324"/>
    <n v="154.74"/>
    <n v="154.74"/>
    <s v="PIL1/D/874"/>
    <d v="2026-01-07T00:00:00"/>
    <m/>
    <s v="-"/>
    <m/>
    <s v="LAXMAN B BAKUTRA"/>
    <s v="171 DT 01/07/2026"/>
    <n v="0"/>
    <n v="0"/>
    <n v="0"/>
    <n v="0"/>
    <n v="0"/>
    <s v="VAT"/>
    <n v="0"/>
    <n v="0"/>
    <n v="0"/>
    <n v="0"/>
    <n v="0"/>
    <m/>
    <n v="0"/>
    <n v="0"/>
    <n v="1728555.18"/>
    <s v="SF"/>
    <s v="PP/PE Fabric"/>
    <s v="PP Lam Fabric"/>
    <s v="RM"/>
    <s v="erp"/>
    <n v="0"/>
    <n v="44719.86"/>
    <n v="739"/>
    <d v="2026-01-07T00:00:00"/>
    <s v="24AAACO3087C1ZT"/>
    <s v="storepil6"/>
    <s v="storepil6"/>
    <n v="9"/>
    <n v="4024.79"/>
    <n v="9"/>
    <n v="4024.79"/>
    <n v="0"/>
    <n v="0"/>
    <n v="0"/>
    <n v="602137996771"/>
    <d v="2026-07-01T00:00:00"/>
    <n v="0"/>
  </r>
  <r>
    <s v="HCP Plastene Bulkpack Ltd (Unit - IV)"/>
    <d v="2026-01-07T00:00:00"/>
    <s v="HPBL4/26-27/SII00779"/>
    <s v="WIP00025"/>
    <x v="1"/>
    <m/>
    <s v="HPBL4/RAW/26-27/287"/>
    <n v="8000"/>
    <n v="400"/>
    <s v="Kgs"/>
    <n v="400"/>
    <n v="4658"/>
    <n v="400"/>
    <s v="GJ12BT2409"/>
    <s v="Plastene India ltd - Unit 1-Purchase"/>
    <s v="Plastene India ltd - Unit 1-Purchase"/>
    <s v="PIL1/D/876"/>
    <d v="2026-01-07T00:00:00"/>
    <s v="RAW MATERIAL"/>
    <s v="INDIGENOUS"/>
    <s v="RM 325"/>
    <n v="154.74"/>
    <n v="154.74"/>
    <s v="PIL1/D/876"/>
    <d v="2026-01-07T00:00:00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323569.5"/>
    <s v="SF"/>
    <s v="PP/PE Fabric"/>
    <s v="PP Lam Fabric"/>
    <s v="RM"/>
    <s v="erp"/>
    <n v="0"/>
    <n v="61896"/>
    <n v="741"/>
    <d v="2026-01-07T00:00:00"/>
    <s v="24AAACO3087C1ZT"/>
    <s v="storepil6"/>
    <s v="storepil6"/>
    <n v="9"/>
    <n v="5570.64"/>
    <n v="9"/>
    <n v="5570.64"/>
    <n v="0"/>
    <n v="0"/>
    <n v="1323569.5"/>
    <n v="642138014933"/>
    <d v="2026-07-01T00:00:00"/>
    <n v="0"/>
  </r>
  <r>
    <s v="HCP Plastene Bulkpack Ltd (Unit - IV)"/>
    <d v="2026-01-07T00:00:00"/>
    <s v="HPBL4/26-27/SII00779"/>
    <s v="WIP00025"/>
    <x v="1"/>
    <m/>
    <s v="HPBL4/RAW/26-27/306"/>
    <n v="571"/>
    <n v="571"/>
    <s v="Kgs"/>
    <n v="571"/>
    <n v="0"/>
    <n v="571"/>
    <s v="GJ12BT2409"/>
    <s v="Plastene India ltd - Unit 1-Purchase"/>
    <s v="Plastene India ltd - Unit 1-Purchase"/>
    <s v="PIL1/D/876"/>
    <d v="2026-01-07T00:00:00"/>
    <s v="RAW MATERIAL"/>
    <s v="INDIGENOUS"/>
    <s v="RM 325"/>
    <n v="154.74"/>
    <n v="154.74"/>
    <s v="PIL1/D/876"/>
    <d v="2026-01-07T00:00:00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323569.5"/>
    <s v="SF"/>
    <s v="PP/PE Fabric"/>
    <s v="PP Lam Fabric"/>
    <s v="RM"/>
    <s v="erp"/>
    <n v="0"/>
    <n v="88356.54"/>
    <n v="741"/>
    <d v="2026-01-07T00:00:00"/>
    <s v="24AAACO3087C1ZT"/>
    <s v="storepil6"/>
    <s v="storepil6"/>
    <n v="9"/>
    <n v="7952.09"/>
    <n v="9"/>
    <n v="7952.09"/>
    <n v="0"/>
    <n v="0"/>
    <n v="0"/>
    <n v="642138014933"/>
    <d v="2026-07-01T00:00:00"/>
    <n v="0"/>
  </r>
  <r>
    <s v="HCP Plastene Bulkpack Ltd (Unit - IV)"/>
    <d v="2026-01-07T00:00:00"/>
    <s v="HPBL4/26-27/SII00779"/>
    <s v="WIP00023"/>
    <x v="0"/>
    <m/>
    <s v="HPBL4/RAW/26-27/287"/>
    <n v="150000"/>
    <n v="392"/>
    <s v="Kgs"/>
    <n v="392"/>
    <n v="92476"/>
    <n v="392"/>
    <s v="GJ12BT2409"/>
    <s v="Plastene India ltd - Unit 1-Purchase"/>
    <s v="Plastene India ltd - Unit 1-Purchase"/>
    <s v="PIL1/D/876"/>
    <d v="2026-01-07T00:00:00"/>
    <s v="RAW MATERIAL"/>
    <s v="INDIGENOUS"/>
    <s v="RM 325"/>
    <n v="147.74"/>
    <n v="147.74"/>
    <s v="PIL1/D/876"/>
    <d v="2026-01-07T00:00:00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323569.5"/>
    <s v="SF"/>
    <s v="PP/PE Fabric"/>
    <s v="PP UL Fabric"/>
    <s v="RM"/>
    <s v="erp"/>
    <n v="0"/>
    <n v="57914.080000000002"/>
    <n v="741"/>
    <d v="2026-01-07T00:00:00"/>
    <s v="24AAACO3087C1ZT"/>
    <s v="storepil6"/>
    <s v="storepil6"/>
    <n v="9"/>
    <n v="5212.2700000000004"/>
    <n v="9"/>
    <n v="5212.2700000000004"/>
    <n v="0"/>
    <n v="0"/>
    <n v="0"/>
    <n v="642138014933"/>
    <d v="2026-07-01T00:00:00"/>
    <n v="0"/>
  </r>
  <r>
    <s v="HCP Plastene Bulkpack Ltd (Unit - IV)"/>
    <d v="2026-01-07T00:00:00"/>
    <s v="HPBL4/26-27/SII00779"/>
    <s v="WIP00013"/>
    <x v="2"/>
    <m/>
    <s v="HPBL4/RAW/26-27/306"/>
    <n v="3917"/>
    <n v="3917"/>
    <s v="Kgs"/>
    <n v="3917"/>
    <n v="0"/>
    <n v="3917"/>
    <s v="GJ12BT2409"/>
    <s v="Plastene India ltd - Unit 1-Purchase"/>
    <s v="Plastene India ltd - Unit 1-Purchase"/>
    <s v="PIL1/D/876"/>
    <d v="2026-01-07T00:00:00"/>
    <s v="RAW MATERIAL"/>
    <s v="INDIGENOUS"/>
    <s v="RM 325"/>
    <n v="181.15"/>
    <n v="181.15"/>
    <s v="PIL1/D/876"/>
    <d v="2026-01-07T00:00:00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323569.5"/>
    <s v="SF"/>
    <s v="Liners"/>
    <s v="LDPE/LLDPE Bags"/>
    <s v="RM"/>
    <s v="erp"/>
    <n v="0"/>
    <n v="709564.55"/>
    <n v="741"/>
    <d v="2026-01-07T00:00:00"/>
    <s v="24AAACO3087C1ZT"/>
    <s v="storepil6"/>
    <s v="storepil6"/>
    <n v="9"/>
    <n v="63860.81"/>
    <n v="9"/>
    <n v="63860.81"/>
    <n v="0"/>
    <n v="0"/>
    <n v="0"/>
    <n v="642138014933"/>
    <d v="2026-07-01T00:00:00"/>
    <n v="0"/>
  </r>
  <r>
    <s v="HCP Plastene Bulkpack Ltd (Unit - IV)"/>
    <d v="2026-01-07T00:00:00"/>
    <s v="HPBL4/26-27/SII00779"/>
    <s v="WIP00032"/>
    <x v="3"/>
    <m/>
    <s v="HPBL4/RAW/26-27/287"/>
    <n v="15000"/>
    <n v="236.8"/>
    <s v="Kgs"/>
    <n v="236.8"/>
    <n v="11199.4"/>
    <n v="236.8"/>
    <s v="GJ12BT2409"/>
    <s v="Plastene India ltd - Unit 1-Purchase"/>
    <s v="Plastene India ltd - Unit 1-Purchase"/>
    <s v="PIL1/D/876"/>
    <d v="2026-01-07T00:00:00"/>
    <s v="RAW MATERIAL"/>
    <s v="INDIGENOUS"/>
    <s v="RM 325"/>
    <n v="149.74"/>
    <n v="149.74"/>
    <s v="PIL1/D/876"/>
    <d v="2026-01-07T00:00:00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323569.5"/>
    <s v="SF"/>
    <s v="Webbing"/>
    <s v="PP Webbing"/>
    <s v="RM"/>
    <s v="erp"/>
    <n v="0"/>
    <n v="35458.43"/>
    <n v="741"/>
    <d v="2026-01-07T00:00:00"/>
    <s v="24AAACO3087C1ZT"/>
    <s v="storepil6"/>
    <s v="storepil6"/>
    <n v="9"/>
    <n v="3191.26"/>
    <n v="9"/>
    <n v="3191.26"/>
    <n v="0"/>
    <n v="0"/>
    <n v="0"/>
    <n v="642138014933"/>
    <d v="2026-07-01T00:00:00"/>
    <n v="0"/>
  </r>
  <r>
    <s v="HCP Plastene Bulkpack Ltd (Unit - IV)"/>
    <d v="2026-01-07T00:00:00"/>
    <s v="HPBL4/26-27/SII00779"/>
    <s v="WIP00032"/>
    <x v="3"/>
    <m/>
    <s v="HPBL4/RAW/26-27/287"/>
    <n v="30000"/>
    <n v="1091.9000000000001"/>
    <s v="Kgs"/>
    <n v="1091.9000000000001"/>
    <n v="17643.099999999999"/>
    <n v="1091.9000000000001"/>
    <s v="GJ12BT2409"/>
    <s v="Plastene India ltd - Unit 1-Purchase"/>
    <s v="Plastene India ltd - Unit 1-Purchase"/>
    <s v="PIL1/D/876"/>
    <d v="2026-01-07T00:00:00"/>
    <s v="RAW MATERIAL"/>
    <s v="INDIGENOUS"/>
    <s v="RM 325"/>
    <n v="152.74"/>
    <n v="152.74"/>
    <s v="PIL1/D/876"/>
    <d v="2026-01-07T00:00:00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323569.5"/>
    <s v="SF"/>
    <s v="Webbing"/>
    <s v="PP Webbing"/>
    <s v="RM"/>
    <s v="erp"/>
    <n v="0"/>
    <n v="166776.81"/>
    <n v="741"/>
    <d v="2026-01-07T00:00:00"/>
    <s v="24AAACO3087C1ZT"/>
    <s v="storepil6"/>
    <s v="storepil6"/>
    <n v="9"/>
    <n v="15009.91"/>
    <n v="9"/>
    <n v="15009.91"/>
    <n v="0"/>
    <n v="0"/>
    <n v="0"/>
    <n v="642138014933"/>
    <d v="2026-07-01T00:00:00"/>
    <n v="0"/>
  </r>
  <r>
    <s v="HCP Plastene Bulkpack Ltd (Unit - IV)"/>
    <d v="2026-01-07T00:00:00"/>
    <s v="HPBL4/26-27/SII00779"/>
    <s v="WIP00032"/>
    <x v="3"/>
    <m/>
    <s v="HPBL4/RAW/26-27/287"/>
    <n v="500"/>
    <n v="9.8000000000000007"/>
    <s v="Kgs"/>
    <n v="9.8000000000000007"/>
    <n v="486.8"/>
    <n v="9.8000000000000007"/>
    <s v="GJ12BT2409"/>
    <s v="Plastene India ltd - Unit 1-Purchase"/>
    <s v="Plastene India ltd - Unit 1-Purchase"/>
    <s v="PIL1/D/876"/>
    <d v="2026-01-07T00:00:00"/>
    <s v="RAW MATERIAL"/>
    <s v="INDIGENOUS"/>
    <s v="RM 325"/>
    <n v="173.74"/>
    <n v="173.74"/>
    <s v="PIL1/D/876"/>
    <d v="2026-01-07T00:00:00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323569.5"/>
    <s v="SF"/>
    <s v="Webbing"/>
    <s v="PP Webbing"/>
    <s v="RM"/>
    <s v="erp"/>
    <n v="0"/>
    <n v="1702.65"/>
    <n v="741"/>
    <d v="2026-01-07T00:00:00"/>
    <s v="24AAACO3087C1ZT"/>
    <s v="storepil6"/>
    <s v="storepil6"/>
    <n v="9"/>
    <n v="153.24"/>
    <n v="9"/>
    <n v="153.24"/>
    <n v="0"/>
    <n v="0"/>
    <n v="0"/>
    <n v="642138014933"/>
    <d v="2026-07-01T00:00:00"/>
    <n v="0"/>
  </r>
  <r>
    <s v="HCP Plastene Bulkpack Ltd (Unit - IV)"/>
    <d v="2026-02-07T00:00:00"/>
    <s v="HPBL4/26-27/SII00780"/>
    <s v="FIG00001"/>
    <x v="4"/>
    <m/>
    <s v="HPBL4/RAW/26-27/307"/>
    <n v="500"/>
    <n v="500"/>
    <s v="Kgs"/>
    <n v="500"/>
    <n v="0"/>
    <n v="500"/>
    <s v="-"/>
    <s v="Plastene India ltd - Unit 1-Purchase"/>
    <s v="Plastene India ltd - Unit 1-Purchase"/>
    <s v="PIL1/D/877"/>
    <d v="2026-01-07T00:00:00"/>
    <s v="RAW MATERIAL"/>
    <s v="INDIGENOUS"/>
    <s v="RM 326"/>
    <n v="157.74"/>
    <n v="157.74"/>
    <s v="PIL1/D/877"/>
    <d v="2026-01-07T00:00:00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355750.86"/>
    <s v="FG"/>
    <s v="FIBC WIP"/>
    <s v="FIBC WIP"/>
    <s v="RM"/>
    <s v="erp"/>
    <n v="0"/>
    <n v="78870"/>
    <n v="749"/>
    <d v="2026-02-07T00:00:00"/>
    <s v="24AAACO3087C1ZT"/>
    <s v="storepil6"/>
    <s v="storepil6"/>
    <n v="9"/>
    <n v="7098.3"/>
    <n v="9"/>
    <n v="7098.3"/>
    <n v="0"/>
    <n v="0"/>
    <n v="355750.86"/>
    <n v="652138107489"/>
    <d v="2026-07-01T00:00:00"/>
    <n v="0"/>
  </r>
  <r>
    <s v="HCP Plastene Bulkpack Ltd (Unit - IV)"/>
    <d v="2026-02-07T00:00:00"/>
    <s v="HPBL4/26-27/SII00780"/>
    <s v="FIG00001"/>
    <x v="4"/>
    <m/>
    <s v="HPBL4/RAW/26-27/307"/>
    <n v="594"/>
    <n v="594"/>
    <s v="Kgs"/>
    <n v="594"/>
    <n v="0"/>
    <n v="594"/>
    <s v="-"/>
    <s v="Plastene India ltd - Unit 1-Purchase"/>
    <s v="Plastene India ltd - Unit 1-Purchase"/>
    <s v="PIL1/D/877"/>
    <d v="2026-01-07T00:00:00"/>
    <s v="RAW MATERIAL"/>
    <s v="INDIGENOUS"/>
    <s v="RM 326"/>
    <n v="159.74"/>
    <n v="159.74"/>
    <s v="PIL1/D/877"/>
    <d v="2026-01-07T00:00:00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355750.86"/>
    <s v="FG"/>
    <s v="FIBC WIP"/>
    <s v="FIBC WIP"/>
    <s v="RM"/>
    <s v="erp"/>
    <n v="0"/>
    <n v="94885.56"/>
    <n v="749"/>
    <d v="2026-02-07T00:00:00"/>
    <s v="24AAACO3087C1ZT"/>
    <s v="storepil6"/>
    <s v="storepil6"/>
    <n v="9"/>
    <n v="8539.7000000000007"/>
    <n v="9"/>
    <n v="8539.7000000000007"/>
    <n v="0"/>
    <n v="0"/>
    <n v="0"/>
    <n v="652138107489"/>
    <d v="2026-07-01T00:00:00"/>
    <n v="0"/>
  </r>
  <r>
    <s v="HCP Plastene Bulkpack Ltd (Unit - IV)"/>
    <d v="2026-02-07T00:00:00"/>
    <s v="HPBL4/26-27/SII00780"/>
    <s v="WIP00023"/>
    <x v="0"/>
    <m/>
    <s v="HPBL4/RAW/26-27/287"/>
    <n v="70000"/>
    <n v="491"/>
    <s v="Kgs"/>
    <n v="491"/>
    <n v="45612"/>
    <n v="491"/>
    <s v="-"/>
    <s v="Plastene India ltd - Unit 1-Purchase"/>
    <s v="Plastene India ltd - Unit 1-Purchase"/>
    <s v="PIL1/D/877"/>
    <d v="2026-01-07T00:00:00"/>
    <s v="RAW MATERIAL"/>
    <s v="INDIGENOUS"/>
    <s v="RM 326"/>
    <n v="149.74"/>
    <n v="149.74"/>
    <s v="PIL1/D/877"/>
    <d v="2026-01-07T00:00:00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355750.86"/>
    <s v="SF"/>
    <s v="PP/PE Fabric"/>
    <s v="PP UL Fabric"/>
    <s v="RM"/>
    <s v="erp"/>
    <n v="0"/>
    <n v="73522.34"/>
    <n v="749"/>
    <d v="2026-02-07T00:00:00"/>
    <s v="24AAACO3087C1ZT"/>
    <s v="storepil6"/>
    <s v="storepil6"/>
    <n v="9"/>
    <n v="6617.01"/>
    <n v="9"/>
    <n v="6617.01"/>
    <n v="0"/>
    <n v="0"/>
    <n v="0"/>
    <n v="652138107489"/>
    <d v="2026-07-01T00:00:00"/>
    <n v="0"/>
  </r>
  <r>
    <s v="HCP Plastene Bulkpack Ltd (Unit - IV)"/>
    <d v="2026-02-07T00:00:00"/>
    <s v="HPBL4/26-27/SII00780"/>
    <s v="WIP00025"/>
    <x v="1"/>
    <m/>
    <s v="HPBL4/RAW/26-27/287"/>
    <n v="10000"/>
    <n v="362"/>
    <s v="Kgs"/>
    <n v="362"/>
    <n v="8144"/>
    <n v="362"/>
    <s v="-"/>
    <s v="Plastene India ltd - Unit 1-Purchase"/>
    <s v="Plastene India ltd - Unit 1-Purchase"/>
    <s v="PIL1/D/877"/>
    <d v="2026-01-07T00:00:00"/>
    <s v="RAW MATERIAL"/>
    <s v="INDIGENOUS"/>
    <s v="RM 326"/>
    <n v="149.74"/>
    <n v="149.74"/>
    <s v="PIL1/D/877"/>
    <d v="2026-01-07T00:00:00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355750.86"/>
    <s v="SF"/>
    <s v="PP/PE Fabric"/>
    <s v="PP Lam Fabric"/>
    <s v="RM"/>
    <s v="erp"/>
    <n v="0"/>
    <n v="54205.88"/>
    <n v="749"/>
    <d v="2026-02-07T00:00:00"/>
    <s v="24AAACO3087C1ZT"/>
    <s v="storepil6"/>
    <s v="storepil6"/>
    <n v="9"/>
    <n v="4878.53"/>
    <n v="9"/>
    <n v="4878.53"/>
    <n v="0"/>
    <n v="0"/>
    <n v="0"/>
    <n v="652138107489"/>
    <d v="2026-07-01T00:00:00"/>
    <n v="0"/>
  </r>
  <r>
    <s v="HCP Plastene Bulkpack Ltd (Unit - IV)"/>
    <d v="2026-02-07T00:00:00"/>
    <s v="HPBL4/26-27/SII00781"/>
    <s v="WIP00025"/>
    <x v="1"/>
    <m/>
    <s v="HPBL4/RAW/26-27/308"/>
    <n v="1268"/>
    <n v="1268"/>
    <s v="Kgs"/>
    <n v="1268"/>
    <n v="0"/>
    <n v="1268"/>
    <s v="GJ12BY0479"/>
    <s v="Plastene India ltd - Unit 1-Purchase"/>
    <s v="Plastene India ltd - Unit 1-Purchase"/>
    <s v="PIL1/D/884"/>
    <d v="2026-02-07T00:00:00"/>
    <s v="RAW MATERIAL"/>
    <s v="INDIGENOUS"/>
    <s v="RM 327"/>
    <n v="154.74"/>
    <n v="154.74"/>
    <s v="PIL1/D/884"/>
    <d v="2026-02-07T00:00:00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682386.71"/>
    <s v="SF"/>
    <s v="PP/PE Fabric"/>
    <s v="PP Lam Fabric"/>
    <s v="RM"/>
    <s v="erp"/>
    <n v="0"/>
    <n v="196210.32"/>
    <n v="750"/>
    <d v="2026-02-07T00:00:00"/>
    <s v="24AAACO3087C1ZT"/>
    <s v="storepil6"/>
    <s v="storepil6"/>
    <n v="9"/>
    <n v="17658.93"/>
    <n v="9"/>
    <n v="17658.93"/>
    <n v="0"/>
    <n v="0"/>
    <n v="1682386.71"/>
    <n v="638010091231"/>
    <d v="2026-07-02T00:00:00"/>
    <n v="0"/>
  </r>
  <r>
    <s v="HCP Plastene Bulkpack Ltd (Unit - IV)"/>
    <d v="2026-02-07T00:00:00"/>
    <s v="HPBL4/26-27/SII00781"/>
    <s v="WIP00025"/>
    <x v="1"/>
    <m/>
    <s v="HPBL4/RAW/26-27/287"/>
    <n v="10000"/>
    <n v="341"/>
    <s v="Kgs"/>
    <n v="341"/>
    <n v="9659"/>
    <n v="341"/>
    <s v="GJ12BY0479"/>
    <s v="Plastene India ltd - Unit 1-Purchase"/>
    <s v="Plastene India ltd - Unit 1-Purchase"/>
    <s v="PIL1/D/884"/>
    <d v="2026-02-07T00:00:00"/>
    <s v="RAW MATERIAL"/>
    <s v="INDIGENOUS"/>
    <s v="RM 327"/>
    <n v="151.74"/>
    <n v="151.74"/>
    <s v="PIL1/D/884"/>
    <d v="2026-02-07T00:00:00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682386.71"/>
    <s v="SF"/>
    <s v="PP/PE Fabric"/>
    <s v="PP Lam Fabric"/>
    <s v="RM"/>
    <s v="erp"/>
    <n v="0"/>
    <n v="51743.34"/>
    <n v="750"/>
    <d v="2026-02-07T00:00:00"/>
    <s v="24AAACO3087C1ZT"/>
    <s v="storepil6"/>
    <s v="storepil6"/>
    <n v="9"/>
    <n v="4656.8999999999996"/>
    <n v="9"/>
    <n v="4656.8999999999996"/>
    <n v="0"/>
    <n v="0"/>
    <n v="0"/>
    <n v="638010091231"/>
    <d v="2026-07-02T00:00:00"/>
    <n v="0"/>
  </r>
  <r>
    <s v="HCP Plastene Bulkpack Ltd (Unit - IV)"/>
    <d v="2026-02-07T00:00:00"/>
    <s v="HPBL4/26-27/SII00781"/>
    <s v="WIP00025"/>
    <x v="1"/>
    <m/>
    <s v="HPBL4/RAW/26-27/287"/>
    <n v="8000"/>
    <n v="320"/>
    <s v="Kgs"/>
    <n v="320"/>
    <n v="4338"/>
    <n v="320"/>
    <s v="GJ12BY0479"/>
    <s v="Plastene India ltd - Unit 1-Purchase"/>
    <s v="Plastene India ltd - Unit 1-Purchase"/>
    <s v="PIL1/D/884"/>
    <d v="2026-02-07T00:00:00"/>
    <s v="RAW MATERIAL"/>
    <s v="INDIGENOUS"/>
    <s v="RM 327"/>
    <n v="154.74"/>
    <n v="154.74"/>
    <s v="PIL1/D/884"/>
    <d v="2026-02-07T00:00:00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682386.71"/>
    <s v="SF"/>
    <s v="PP/PE Fabric"/>
    <s v="PP Lam Fabric"/>
    <s v="RM"/>
    <s v="erp"/>
    <n v="0"/>
    <n v="49516.800000000003"/>
    <n v="750"/>
    <d v="2026-02-07T00:00:00"/>
    <s v="24AAACO3087C1ZT"/>
    <s v="storepil6"/>
    <s v="storepil6"/>
    <n v="9"/>
    <n v="4456.51"/>
    <n v="9"/>
    <n v="4456.51"/>
    <n v="0"/>
    <n v="0"/>
    <n v="0"/>
    <n v="638010091231"/>
    <d v="2026-07-02T00:00:00"/>
    <n v="0"/>
  </r>
  <r>
    <s v="HCP Plastene Bulkpack Ltd (Unit - IV)"/>
    <d v="2026-02-07T00:00:00"/>
    <s v="HPBL4/26-27/SII00781"/>
    <s v="WIP00025"/>
    <x v="1"/>
    <m/>
    <s v="HPBL4/RAW/26-27/287"/>
    <n v="10000"/>
    <n v="215"/>
    <s v="Kgs"/>
    <n v="215"/>
    <n v="7929"/>
    <n v="215"/>
    <s v="GJ12BY0479"/>
    <s v="Plastene India ltd - Unit 1-Purchase"/>
    <s v="Plastene India ltd - Unit 1-Purchase"/>
    <s v="PIL1/D/884"/>
    <d v="2026-02-07T00:00:00"/>
    <s v="RAW MATERIAL"/>
    <s v="INDIGENOUS"/>
    <s v="RM 327"/>
    <n v="149.74"/>
    <n v="149.74"/>
    <s v="PIL1/D/884"/>
    <d v="2026-02-07T00:00:00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682386.71"/>
    <s v="SF"/>
    <s v="PP/PE Fabric"/>
    <s v="PP Lam Fabric"/>
    <s v="RM"/>
    <s v="erp"/>
    <n v="0"/>
    <n v="32194.1"/>
    <n v="750"/>
    <d v="2026-02-07T00:00:00"/>
    <s v="24AAACO3087C1ZT"/>
    <s v="storepil6"/>
    <s v="storepil6"/>
    <n v="9"/>
    <n v="2897.47"/>
    <n v="9"/>
    <n v="2897.47"/>
    <n v="0"/>
    <n v="0"/>
    <n v="0"/>
    <n v="638010091231"/>
    <d v="2026-07-02T00:00:00"/>
    <n v="0"/>
  </r>
  <r>
    <s v="HCP Plastene Bulkpack Ltd (Unit - IV)"/>
    <d v="2026-02-07T00:00:00"/>
    <s v="HPBL4/26-27/SII00781"/>
    <s v="WIP00023"/>
    <x v="0"/>
    <m/>
    <s v="HPBL4/RAW/26-27/287"/>
    <n v="70000"/>
    <n v="3266"/>
    <s v="Kgs"/>
    <n v="3266"/>
    <n v="42346"/>
    <n v="3266"/>
    <s v="GJ12BY0479"/>
    <s v="Plastene India ltd - Unit 1-Purchase"/>
    <s v="Plastene India ltd - Unit 1-Purchase"/>
    <s v="PIL1/D/884"/>
    <d v="2026-02-07T00:00:00"/>
    <s v="RAW MATERIAL"/>
    <s v="INDIGENOUS"/>
    <s v="RM 327"/>
    <n v="149.74"/>
    <n v="149.74"/>
    <s v="PIL1/D/884"/>
    <d v="2026-02-07T00:00:00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682386.71"/>
    <s v="SF"/>
    <s v="PP/PE Fabric"/>
    <s v="PP UL Fabric"/>
    <s v="RM"/>
    <s v="erp"/>
    <n v="0"/>
    <n v="489050.84"/>
    <n v="750"/>
    <d v="2026-02-07T00:00:00"/>
    <s v="24AAACO3087C1ZT"/>
    <s v="storepil6"/>
    <s v="storepil6"/>
    <n v="9"/>
    <n v="44014.58"/>
    <n v="9"/>
    <n v="44014.58"/>
    <n v="0"/>
    <n v="0"/>
    <n v="0"/>
    <n v="638010091231"/>
    <d v="2026-07-02T00:00:00"/>
    <n v="0"/>
  </r>
  <r>
    <s v="HCP Plastene Bulkpack Ltd (Unit - IV)"/>
    <d v="2026-02-07T00:00:00"/>
    <s v="HPBL4/26-27/SII00781"/>
    <s v="WIP00023"/>
    <x v="0"/>
    <m/>
    <s v="HPBL4/RAW/26-27/287"/>
    <n v="150000"/>
    <n v="3302"/>
    <s v="Kgs"/>
    <n v="3302"/>
    <n v="89174"/>
    <n v="3302"/>
    <s v="GJ12BY0479"/>
    <s v="Plastene India ltd - Unit 1-Purchase"/>
    <s v="Plastene India ltd - Unit 1-Purchase"/>
    <s v="PIL1/D/884"/>
    <d v="2026-02-07T00:00:00"/>
    <s v="RAW MATERIAL"/>
    <s v="INDIGENOUS"/>
    <s v="RM 327"/>
    <n v="147.74"/>
    <n v="147.74"/>
    <s v="PIL1/D/884"/>
    <d v="2026-02-07T00:00:00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682386.71"/>
    <s v="SF"/>
    <s v="PP/PE Fabric"/>
    <s v="PP UL Fabric"/>
    <s v="RM"/>
    <s v="erp"/>
    <n v="0"/>
    <n v="487837.48"/>
    <n v="750"/>
    <d v="2026-02-07T00:00:00"/>
    <s v="24AAACO3087C1ZT"/>
    <s v="storepil6"/>
    <s v="storepil6"/>
    <n v="9"/>
    <n v="43905.37"/>
    <n v="9"/>
    <n v="43905.37"/>
    <n v="0"/>
    <n v="0"/>
    <n v="0"/>
    <n v="638010091231"/>
    <d v="2026-07-02T00:00:00"/>
    <n v="0"/>
  </r>
  <r>
    <s v="HCP Plastene Bulkpack Ltd (Unit - IV)"/>
    <d v="2026-02-07T00:00:00"/>
    <s v="HPBL4/26-27/SII00781"/>
    <s v="WIP00023"/>
    <x v="0"/>
    <m/>
    <s v="HPBL4/RAW/26-27/287"/>
    <n v="40000"/>
    <n v="268"/>
    <s v="Kgs"/>
    <n v="268"/>
    <n v="34199"/>
    <n v="268"/>
    <s v="GJ12BY0479"/>
    <s v="Plastene India ltd - Unit 1-Purchase"/>
    <s v="Plastene India ltd - Unit 1-Purchase"/>
    <s v="PIL1/D/884"/>
    <d v="2026-02-07T00:00:00"/>
    <s v="RAW MATERIAL"/>
    <s v="INDIGENOUS"/>
    <s v="RM 327"/>
    <n v="150.74"/>
    <n v="150.74"/>
    <s v="PIL1/D/884"/>
    <d v="2026-02-07T00:00:00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682386.71"/>
    <s v="SF"/>
    <s v="PP/PE Fabric"/>
    <s v="PP UL Fabric"/>
    <s v="RM"/>
    <s v="erp"/>
    <n v="0"/>
    <n v="40398.32"/>
    <n v="750"/>
    <d v="2026-02-07T00:00:00"/>
    <s v="24AAACO3087C1ZT"/>
    <s v="storepil6"/>
    <s v="storepil6"/>
    <n v="9"/>
    <n v="3635.85"/>
    <n v="9"/>
    <n v="3635.85"/>
    <n v="0"/>
    <n v="0"/>
    <n v="0"/>
    <n v="638010091231"/>
    <d v="2026-07-02T00:00:00"/>
    <n v="0"/>
  </r>
  <r>
    <s v="HCP Plastene Bulkpack Ltd (Unit - IV)"/>
    <d v="2026-02-07T00:00:00"/>
    <s v="HPBL4/26-27/SII00781"/>
    <s v="WIP00013"/>
    <x v="2"/>
    <m/>
    <s v="HPBL4/RAW/26-27/287"/>
    <n v="30000"/>
    <n v="435"/>
    <s v="Kgs"/>
    <n v="435"/>
    <n v="2564.38"/>
    <n v="435"/>
    <s v="GJ12BY0479"/>
    <s v="Plastene India ltd - Unit 1-Purchase"/>
    <s v="Plastene India ltd - Unit 1-Purchase"/>
    <s v="PIL1/D/884"/>
    <d v="2026-02-07T00:00:00"/>
    <s v="RAW MATERIAL"/>
    <s v="INDIGENOUS"/>
    <s v="RM 327"/>
    <n v="181.15"/>
    <n v="181.15"/>
    <s v="PIL1/D/884"/>
    <d v="2026-02-07T00:00:00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682386.71"/>
    <s v="SF"/>
    <s v="Liners"/>
    <s v="LDPE/LLDPE Bags"/>
    <s v="RM"/>
    <s v="erp"/>
    <n v="0"/>
    <n v="78800.25"/>
    <n v="750"/>
    <d v="2026-02-07T00:00:00"/>
    <s v="24AAACO3087C1ZT"/>
    <s v="storepil6"/>
    <s v="storepil6"/>
    <n v="9"/>
    <n v="7092.02"/>
    <n v="9"/>
    <n v="7092.02"/>
    <n v="0"/>
    <n v="0"/>
    <n v="0"/>
    <n v="638010091231"/>
    <d v="2026-07-02T00:00:00"/>
    <n v="0"/>
  </r>
  <r>
    <s v="HCP Plastene Bulkpack Ltd (Unit - IV)"/>
    <d v="2026-02-07T00:00:00"/>
    <s v="HPBL4/26-27/SII00783"/>
    <s v="WIP00013"/>
    <x v="2"/>
    <m/>
    <s v="HPBL4/RAW/26-27/287"/>
    <n v="10000"/>
    <n v="7060"/>
    <s v="Kgs"/>
    <n v="7060"/>
    <n v="2940"/>
    <n v="7060"/>
    <s v="GJ12BT2409"/>
    <s v="Plastene India ltd - Unit 1-Purchase"/>
    <s v="Plastene India ltd - Unit 1-Purchase"/>
    <s v="PIL1/D/888"/>
    <d v="2026-02-07T00:00:00"/>
    <s v="RAW MATERIAL"/>
    <s v="INDIGENOUS"/>
    <s v="RM 328"/>
    <n v="185.15"/>
    <n v="185.15016662802401"/>
    <s v="PIL1/D/888"/>
    <d v="2026-02-07T00:00:00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906748.21"/>
    <s v="SF"/>
    <s v="Liners"/>
    <s v="LDPE/LLDPE Bags"/>
    <s v="RM"/>
    <s v="erp"/>
    <n v="0"/>
    <n v="1307160.18"/>
    <n v="752"/>
    <d v="2026-02-07T00:00:00"/>
    <s v="24AAACO3087C1ZT"/>
    <s v="storepil6"/>
    <s v="storepil6"/>
    <n v="9"/>
    <n v="117644.31"/>
    <n v="9"/>
    <n v="117644.31"/>
    <n v="0"/>
    <n v="0"/>
    <n v="1906748.21"/>
    <n v="662138581660"/>
    <d v="2026-07-02T00:00:00"/>
    <n v="0"/>
  </r>
  <r>
    <s v="HCP Plastene Bulkpack Ltd (Unit - IV)"/>
    <d v="2026-02-07T00:00:00"/>
    <s v="HPBL4/26-27/SII00783"/>
    <s v="RAW05939"/>
    <x v="5"/>
    <m/>
    <s v="HPBL4/RAW/26-27/309"/>
    <n v="22400"/>
    <n v="22400"/>
    <s v="Pcs"/>
    <n v="22400"/>
    <n v="0"/>
    <n v="22400"/>
    <s v="GJ12BT2409"/>
    <s v="Plastene India ltd - Unit 1-Purchase"/>
    <s v="Plastene India ltd - Unit 1-Purchase"/>
    <s v="PIL1/D/888"/>
    <d v="2026-02-07T00:00:00"/>
    <s v="RAW MATERIAL"/>
    <s v="INDIGENOUS"/>
    <s v="RM 328"/>
    <n v="3.2387999999999999"/>
    <n v="3.2388029147979598"/>
    <s v="PIL1/D/888"/>
    <d v="2026-02-07T00:00:00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906748.21"/>
    <s v="RM Consumables"/>
    <s v="FIBC Accessories"/>
    <s v="FIBC Accessories"/>
    <s v="RM"/>
    <s v="ramesh.singhal"/>
    <n v="0"/>
    <n v="72549.19"/>
    <n v="752"/>
    <d v="2026-02-07T00:00:00"/>
    <s v="24AAACO3087C1ZT"/>
    <s v="storepil6"/>
    <s v="storepil6"/>
    <n v="9"/>
    <n v="6529.42"/>
    <n v="9"/>
    <n v="6529.42"/>
    <n v="0"/>
    <n v="0"/>
    <n v="0"/>
    <n v="662138581660"/>
    <d v="2026-07-02T00:00:00"/>
    <n v="0"/>
  </r>
  <r>
    <s v="HCP Plastene Bulkpack Ltd (Unit - IV)"/>
    <d v="2026-02-07T00:00:00"/>
    <s v="HPBL4/26-27/SII00783"/>
    <s v="WIP00032"/>
    <x v="3"/>
    <m/>
    <s v="HPBL4/RAW/26-27/287"/>
    <n v="15000"/>
    <n v="191.2"/>
    <s v="Kgs"/>
    <n v="191.2"/>
    <n v="11008.2"/>
    <n v="191.2"/>
    <s v="GJ12BT2409"/>
    <s v="Plastene India ltd - Unit 1-Purchase"/>
    <s v="Plastene India ltd - Unit 1-Purchase"/>
    <s v="PIL1/D/888"/>
    <d v="2026-02-07T00:00:00"/>
    <s v="RAW MATERIAL"/>
    <s v="INDIGENOUS"/>
    <s v="RM 328"/>
    <n v="149.74"/>
    <n v="149.74013476035799"/>
    <s v="PIL1/D/888"/>
    <d v="2026-02-07T00:00:00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906748.21"/>
    <s v="SF"/>
    <s v="Webbing"/>
    <s v="PP Webbing"/>
    <s v="RM"/>
    <s v="erp"/>
    <n v="0"/>
    <n v="28630.31"/>
    <n v="752"/>
    <d v="2026-02-07T00:00:00"/>
    <s v="24AAACO3087C1ZT"/>
    <s v="storepil6"/>
    <s v="storepil6"/>
    <n v="9"/>
    <n v="2576.73"/>
    <n v="9"/>
    <n v="2576.73"/>
    <n v="0"/>
    <n v="0"/>
    <n v="0"/>
    <n v="662138581660"/>
    <d v="2026-07-02T00:00:00"/>
    <n v="0"/>
  </r>
  <r>
    <s v="HCP Plastene Bulkpack Ltd (Unit - IV)"/>
    <d v="2026-02-07T00:00:00"/>
    <s v="HPBL4/26-27/SII00783"/>
    <s v="WIP00032"/>
    <x v="3"/>
    <m/>
    <s v="HPBL4/RAW/26-27/287"/>
    <n v="30000"/>
    <n v="1351.1"/>
    <s v="Kgs"/>
    <n v="1351.1"/>
    <n v="16292"/>
    <n v="1351.1"/>
    <s v="GJ12BT2409"/>
    <s v="Plastene India ltd - Unit 1-Purchase"/>
    <s v="Plastene India ltd - Unit 1-Purchase"/>
    <s v="PIL1/D/888"/>
    <d v="2026-02-07T00:00:00"/>
    <s v="RAW MATERIAL"/>
    <s v="INDIGENOUS"/>
    <s v="RM 328"/>
    <n v="152.74"/>
    <n v="152.74013746024499"/>
    <s v="PIL1/D/888"/>
    <d v="2026-02-07T00:00:00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906748.21"/>
    <s v="SF"/>
    <s v="Webbing"/>
    <s v="PP Webbing"/>
    <s v="RM"/>
    <s v="erp"/>
    <n v="0"/>
    <n v="206367.2"/>
    <n v="752"/>
    <d v="2026-02-07T00:00:00"/>
    <s v="24AAACO3087C1ZT"/>
    <s v="storepil6"/>
    <s v="storepil6"/>
    <n v="9"/>
    <n v="18573.03"/>
    <n v="9"/>
    <n v="18573.03"/>
    <n v="0"/>
    <n v="0"/>
    <n v="0"/>
    <n v="662138581660"/>
    <d v="2026-07-02T00:00:00"/>
    <n v="0"/>
  </r>
  <r>
    <s v="HCP Plastene Bulkpack Ltd (Unit - IV)"/>
    <d v="2026-02-07T00:00:00"/>
    <s v="HPBL4/26-27/SII00783"/>
    <s v="WIP00032"/>
    <x v="3"/>
    <m/>
    <s v="HPBL4/RAW/26-27/287"/>
    <n v="500"/>
    <n v="6.8"/>
    <s v="Kgs"/>
    <n v="6.8"/>
    <n v="480"/>
    <n v="6.8"/>
    <s v="GJ12BT2409"/>
    <s v="Plastene India ltd - Unit 1-Purchase"/>
    <s v="Plastene India ltd - Unit 1-Purchase"/>
    <s v="PIL1/D/888"/>
    <d v="2026-02-07T00:00:00"/>
    <s v="RAW MATERIAL"/>
    <s v="INDIGENOUS"/>
    <s v="RM 328"/>
    <n v="173.74"/>
    <n v="173.74015635945401"/>
    <s v="PIL1/D/888"/>
    <d v="2026-02-07T00:00:00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906748.21"/>
    <s v="SF"/>
    <s v="Webbing"/>
    <s v="PP Webbing"/>
    <s v="RM"/>
    <s v="erp"/>
    <n v="0"/>
    <n v="1181.43"/>
    <n v="752"/>
    <d v="2026-02-07T00:00:00"/>
    <s v="24AAACO3087C1ZT"/>
    <s v="storepil6"/>
    <s v="storepil6"/>
    <n v="9"/>
    <n v="106.33"/>
    <n v="9"/>
    <n v="106.33"/>
    <n v="0"/>
    <n v="0"/>
    <n v="0"/>
    <n v="662138581660"/>
    <d v="2026-07-02T00:00:00"/>
    <n v="0"/>
  </r>
  <r>
    <s v="HCP Plastene Bulkpack Ltd (Unit - IV)"/>
    <d v="2026-02-07T00:00:00"/>
    <s v="HPBL4/26-27/SII00784"/>
    <s v="WIP00013"/>
    <x v="2"/>
    <m/>
    <s v="HPBL4/RAW/26-27/305"/>
    <n v="60"/>
    <n v="60"/>
    <s v="Kgs"/>
    <n v="60"/>
    <n v="0"/>
    <n v="60"/>
    <s v="GJ12DE3213"/>
    <s v="Plastene Polyfilms Ltd-Purchase"/>
    <s v="Plastene Polyfilms Ltd-Purchase"/>
    <s v="PPL/D/303"/>
    <d v="2026-02-07T00:00:00"/>
    <s v="RAW MATERIAL"/>
    <s v="INDIGENOUS"/>
    <s v="RM 329"/>
    <n v="193"/>
    <n v="193"/>
    <s v="PPL/D/303"/>
    <d v="2026-02-07T00:00:00"/>
    <m/>
    <s v="-"/>
    <m/>
    <s v="OWN VEHICLE"/>
    <s v="-"/>
    <n v="0"/>
    <n v="0"/>
    <n v="0"/>
    <n v="0"/>
    <n v="0"/>
    <s v="VAT"/>
    <n v="0"/>
    <n v="0"/>
    <n v="0"/>
    <n v="0"/>
    <n v="0"/>
    <m/>
    <n v="0"/>
    <n v="0"/>
    <n v="13664.4"/>
    <s v="SF"/>
    <s v="Liners"/>
    <s v="LDPE/LLDPE Bags"/>
    <s v="RM"/>
    <s v="erp"/>
    <n v="0"/>
    <n v="11580"/>
    <n v="753"/>
    <d v="2026-02-07T00:00:00"/>
    <s v="24AAFCP2956A1ZR"/>
    <s v="storepil6"/>
    <s v="storepil6"/>
    <n v="9"/>
    <n v="1042.2"/>
    <n v="9"/>
    <n v="1042.2"/>
    <n v="0"/>
    <n v="0"/>
    <n v="13664.4"/>
    <n v="652138744608"/>
    <d v="2026-07-02T00:00:00"/>
    <n v="0"/>
  </r>
  <r>
    <s v="HCP Plastene Bulkpack Ltd (Unit - IV)"/>
    <d v="2026-03-07T00:00:00"/>
    <s v="HPBL4/26-27/SII00788"/>
    <s v="RAW05124"/>
    <x v="6"/>
    <m/>
    <s v="HPBL4/RAW/26-27/310"/>
    <n v="44.5"/>
    <n v="44.5"/>
    <s v="Kgs"/>
    <n v="44.5"/>
    <n v="0"/>
    <n v="44.5"/>
    <s v="GJ12DE3213"/>
    <s v="Plastene Polyfilms Ltd-Purchase"/>
    <s v="Plastene Polyfilms Ltd-Purchase"/>
    <s v="PPL/D/304"/>
    <d v="2026-03-07T00:00:00"/>
    <s v="RAW MATERIAL"/>
    <s v="INDIGENOUS"/>
    <s v="RM 330"/>
    <n v="248"/>
    <n v="248"/>
    <s v="PPL/D/304"/>
    <d v="2026-03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022.48"/>
    <s v="SF"/>
    <s v="Films All (SF)"/>
    <s v="PE Film"/>
    <s v="RM"/>
    <s v="erp"/>
    <n v="0"/>
    <n v="11036"/>
    <n v="755"/>
    <d v="2026-03-07T00:00:00"/>
    <s v="24AAFCP2956A1ZR"/>
    <s v="storepil6"/>
    <s v="storepil6"/>
    <n v="9"/>
    <n v="993.24"/>
    <n v="9"/>
    <n v="993.24"/>
    <n v="0"/>
    <n v="0"/>
    <n v="13022.48"/>
    <n v="662139088492"/>
    <d v="2026-07-03T00:00:00"/>
    <n v="0"/>
  </r>
  <r>
    <s v="HCP Plastene Bulkpack Ltd (Unit - IV)"/>
    <d v="2026-03-07T00:00:00"/>
    <s v="HPBL4/26-27/SII00790"/>
    <s v="WIP00023"/>
    <x v="0"/>
    <m/>
    <s v="HPBL4/RAW/26-27/287"/>
    <n v="70000"/>
    <n v="3472"/>
    <s v="Kgs"/>
    <n v="3472"/>
    <n v="38874"/>
    <n v="3472"/>
    <s v="GJ12BT2409"/>
    <s v="Plastene India ltd - Unit 1-Purchase"/>
    <s v="Plastene India ltd - Unit 1-Purchase"/>
    <s v="PIL1/D/893"/>
    <d v="2026-03-07T00:00:00"/>
    <s v="RAW MATERIAL"/>
    <s v="INDIGENOUS"/>
    <s v="RM 331"/>
    <n v="149.74"/>
    <n v="149.74"/>
    <s v="PIL1/D/893"/>
    <d v="2026-03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09809.1000000001"/>
    <s v="SF"/>
    <s v="PP/PE Fabric"/>
    <s v="PP UL Fabric"/>
    <s v="RM"/>
    <s v="erp"/>
    <n v="0"/>
    <n v="519897.28"/>
    <n v="754"/>
    <d v="2026-03-07T00:00:00"/>
    <s v="24AAACO3087C1ZT"/>
    <s v="storepil6"/>
    <s v="storepil6"/>
    <n v="9"/>
    <n v="46790.76"/>
    <n v="9"/>
    <n v="46790.76"/>
    <n v="0"/>
    <n v="0"/>
    <n v="1309809.1000000001"/>
    <n v="692139019747"/>
    <d v="2026-07-03T00:00:00"/>
    <n v="0"/>
  </r>
  <r>
    <s v="HCP Plastene Bulkpack Ltd (Unit - IV)"/>
    <d v="2026-03-07T00:00:00"/>
    <s v="HPBL4/26-27/SII00790"/>
    <s v="WIP00023"/>
    <x v="0"/>
    <m/>
    <s v="HPBL4/RAW/26-27/287"/>
    <n v="150000"/>
    <n v="3429"/>
    <s v="Kgs"/>
    <n v="3429"/>
    <n v="85745"/>
    <n v="3429"/>
    <s v="GJ12BT2409"/>
    <s v="Plastene India ltd - Unit 1-Purchase"/>
    <s v="Plastene India ltd - Unit 1-Purchase"/>
    <s v="PIL1/D/893"/>
    <d v="2026-03-07T00:00:00"/>
    <s v="RAW MATERIAL"/>
    <s v="INDIGENOUS"/>
    <s v="RM 331"/>
    <n v="147.74"/>
    <n v="147.74"/>
    <s v="PIL1/D/893"/>
    <d v="2026-03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09809.1000000001"/>
    <s v="SF"/>
    <s v="PP/PE Fabric"/>
    <s v="PP UL Fabric"/>
    <s v="RM"/>
    <s v="erp"/>
    <n v="0"/>
    <n v="506600.46"/>
    <n v="754"/>
    <d v="2026-03-07T00:00:00"/>
    <s v="24AAACO3087C1ZT"/>
    <s v="storepil6"/>
    <s v="storepil6"/>
    <n v="9"/>
    <n v="45594.04"/>
    <n v="9"/>
    <n v="45594.04"/>
    <n v="0"/>
    <n v="0"/>
    <n v="0"/>
    <n v="692139019747"/>
    <d v="2026-07-03T00:00:00"/>
    <n v="0"/>
  </r>
  <r>
    <s v="HCP Plastene Bulkpack Ltd (Unit - IV)"/>
    <d v="2026-03-07T00:00:00"/>
    <s v="HPBL4/26-27/SII00790"/>
    <s v="WIP00023"/>
    <x v="0"/>
    <m/>
    <s v="HPBL4/RAW/26-27/287"/>
    <n v="40000"/>
    <n v="554"/>
    <s v="Kgs"/>
    <n v="554"/>
    <n v="33645"/>
    <n v="554"/>
    <s v="GJ12BT2409"/>
    <s v="Plastene India ltd - Unit 1-Purchase"/>
    <s v="Plastene India ltd - Unit 1-Purchase"/>
    <s v="PIL1/D/893"/>
    <d v="2026-03-07T00:00:00"/>
    <s v="RAW MATERIAL"/>
    <s v="INDIGENOUS"/>
    <s v="RM 331"/>
    <n v="150.74"/>
    <n v="150.74"/>
    <s v="PIL1/D/893"/>
    <d v="2026-03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09809.1000000001"/>
    <s v="SF"/>
    <s v="PP/PE Fabric"/>
    <s v="PP UL Fabric"/>
    <s v="RM"/>
    <s v="erp"/>
    <n v="0"/>
    <n v="83509.960000000006"/>
    <n v="754"/>
    <d v="2026-03-07T00:00:00"/>
    <s v="24AAACO3087C1ZT"/>
    <s v="storepil6"/>
    <s v="storepil6"/>
    <n v="9"/>
    <n v="7515.9"/>
    <n v="9"/>
    <n v="7515.9"/>
    <n v="0"/>
    <n v="0"/>
    <n v="0"/>
    <n v="692139019747"/>
    <d v="2026-07-03T00:00:00"/>
    <n v="0"/>
  </r>
  <r>
    <s v="HCP Plastene Bulkpack Ltd (Unit - IV)"/>
    <d v="2026-03-07T00:00:00"/>
    <s v="HPBL4/26-27/SII00791"/>
    <s v="WIP00023"/>
    <x v="0"/>
    <m/>
    <s v="HPBL4/RAW/26-27/287"/>
    <n v="150000"/>
    <n v="1648"/>
    <s v="Kgs"/>
    <n v="1648"/>
    <n v="84097"/>
    <n v="1648"/>
    <s v="GJ12BY0479"/>
    <s v="Plastene India ltd - Unit 1-Purchase"/>
    <s v="Plastene India ltd - Unit 1-Purchase"/>
    <s v="PIL1/D/896"/>
    <d v="2026-03-07T00:00:00"/>
    <s v="RAW MATERIAL"/>
    <s v="INDIGENOUS"/>
    <s v="RM 332"/>
    <n v="147.74"/>
    <n v="147.73999930304501"/>
    <s v="PIL1/D/896"/>
    <d v="2026-03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695833.07"/>
    <s v="SF"/>
    <s v="PP/PE Fabric"/>
    <s v="PP UL Fabric"/>
    <s v="RM"/>
    <s v="erp"/>
    <n v="0"/>
    <n v="243475.52"/>
    <n v="757"/>
    <d v="2026-03-07T00:00:00"/>
    <s v="24AAACO3087C1ZT"/>
    <s v="storepil6"/>
    <s v="storepil6"/>
    <n v="9"/>
    <n v="21912.799999999999"/>
    <n v="9"/>
    <n v="21912.799999999999"/>
    <n v="0"/>
    <n v="0"/>
    <n v="1695833.07"/>
    <n v="672139136855"/>
    <d v="2026-07-03T00:00:00"/>
    <n v="0"/>
  </r>
  <r>
    <s v="HCP Plastene Bulkpack Ltd (Unit - IV)"/>
    <d v="2026-03-07T00:00:00"/>
    <s v="HPBL4/26-27/SII00791"/>
    <s v="WIP00013"/>
    <x v="2"/>
    <m/>
    <s v="HPBL4/RAW/26-27/287"/>
    <n v="10000"/>
    <n v="1730"/>
    <s v="Kgs"/>
    <n v="1730"/>
    <n v="1210"/>
    <n v="1730"/>
    <s v="GJ12BY0479"/>
    <s v="Plastene India ltd - Unit 1-Purchase"/>
    <s v="Plastene India ltd - Unit 1-Purchase"/>
    <s v="PIL1/D/896"/>
    <d v="2026-03-07T00:00:00"/>
    <s v="RAW MATERIAL"/>
    <s v="INDIGENOUS"/>
    <s v="RM 332"/>
    <n v="185.15"/>
    <n v="185.14999912656501"/>
    <s v="PIL1/D/896"/>
    <d v="2026-03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695833.07"/>
    <s v="SF"/>
    <s v="Liners"/>
    <s v="LDPE/LLDPE Bags"/>
    <s v="RM"/>
    <s v="erp"/>
    <n v="0"/>
    <n v="320309.5"/>
    <n v="757"/>
    <d v="2026-03-07T00:00:00"/>
    <s v="24AAACO3087C1ZT"/>
    <s v="storepil6"/>
    <s v="storepil6"/>
    <n v="9"/>
    <n v="28827.86"/>
    <n v="9"/>
    <n v="28827.86"/>
    <n v="0"/>
    <n v="0"/>
    <n v="0"/>
    <n v="672139136855"/>
    <d v="2026-07-03T00:00:00"/>
    <n v="0"/>
  </r>
  <r>
    <s v="HCP Plastene Bulkpack Ltd (Unit - IV)"/>
    <d v="2026-03-07T00:00:00"/>
    <s v="HPBL4/26-27/SII00791"/>
    <s v="WIP00013"/>
    <x v="2"/>
    <m/>
    <s v="HPBL4/RAW/26-27/311"/>
    <n v="3398"/>
    <n v="3398"/>
    <s v="Kgs"/>
    <n v="3398"/>
    <n v="0"/>
    <n v="3398"/>
    <s v="GJ12BY0479"/>
    <s v="Plastene India ltd - Unit 1-Purchase"/>
    <s v="Plastene India ltd - Unit 1-Purchase"/>
    <s v="PIL1/D/896"/>
    <d v="2026-03-07T00:00:00"/>
    <s v="RAW MATERIAL"/>
    <s v="INDIGENOUS"/>
    <s v="RM 332"/>
    <n v="181.15"/>
    <n v="181.149999145435"/>
    <s v="PIL1/D/896"/>
    <d v="2026-03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695833.07"/>
    <s v="SF"/>
    <s v="Liners"/>
    <s v="LDPE/LLDPE Bags"/>
    <s v="RM"/>
    <s v="erp"/>
    <n v="0"/>
    <n v="615547.69999999995"/>
    <n v="757"/>
    <d v="2026-03-07T00:00:00"/>
    <s v="24AAACO3087C1ZT"/>
    <s v="storepil6"/>
    <s v="storepil6"/>
    <n v="9"/>
    <n v="55399.29"/>
    <n v="9"/>
    <n v="55399.29"/>
    <n v="0"/>
    <n v="0"/>
    <n v="0"/>
    <n v="672139136855"/>
    <d v="2026-07-03T00:00:00"/>
    <n v="0"/>
  </r>
  <r>
    <s v="HCP Plastene Bulkpack Ltd (Unit - IV)"/>
    <d v="2026-03-07T00:00:00"/>
    <s v="HPBL4/26-27/SII00791"/>
    <s v="WIP00032"/>
    <x v="3"/>
    <m/>
    <s v="HPBL4/RAW/26-27/287"/>
    <n v="15000"/>
    <n v="192.1"/>
    <s v="Kgs"/>
    <n v="192.1"/>
    <n v="10816.1"/>
    <n v="192.1"/>
    <s v="GJ12BY0479"/>
    <s v="Plastene India ltd - Unit 1-Purchase"/>
    <s v="Plastene India ltd - Unit 1-Purchase"/>
    <s v="PIL1/D/896"/>
    <d v="2026-03-07T00:00:00"/>
    <s v="RAW MATERIAL"/>
    <s v="INDIGENOUS"/>
    <s v="RM 332"/>
    <n v="149.74"/>
    <n v="149.73999929361"/>
    <s v="PIL1/D/896"/>
    <d v="2026-03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695833.07"/>
    <s v="SF"/>
    <s v="Webbing"/>
    <s v="PP Webbing"/>
    <s v="RM"/>
    <s v="erp"/>
    <n v="0"/>
    <n v="28765.05"/>
    <n v="757"/>
    <d v="2026-03-07T00:00:00"/>
    <s v="24AAACO3087C1ZT"/>
    <s v="storepil6"/>
    <s v="storepil6"/>
    <n v="9"/>
    <n v="2588.85"/>
    <n v="9"/>
    <n v="2588.85"/>
    <n v="0"/>
    <n v="0"/>
    <n v="0"/>
    <n v="672139136855"/>
    <d v="2026-07-03T00:00:00"/>
    <n v="0"/>
  </r>
  <r>
    <s v="HCP Plastene Bulkpack Ltd (Unit - IV)"/>
    <d v="2026-03-07T00:00:00"/>
    <s v="HPBL4/26-27/SII00791"/>
    <s v="WIP00032"/>
    <x v="3"/>
    <m/>
    <s v="HPBL4/RAW/26-27/287"/>
    <n v="30000"/>
    <n v="1499.6"/>
    <s v="Kgs"/>
    <n v="1499.6"/>
    <n v="14792.4"/>
    <n v="1499.6"/>
    <s v="GJ12BY0479"/>
    <s v="Plastene India ltd - Unit 1-Purchase"/>
    <s v="Plastene India ltd - Unit 1-Purchase"/>
    <s v="PIL1/D/896"/>
    <d v="2026-03-07T00:00:00"/>
    <s v="RAW MATERIAL"/>
    <s v="INDIGENOUS"/>
    <s v="RM 332"/>
    <n v="152.74"/>
    <n v="152.73999927945701"/>
    <s v="PIL1/D/896"/>
    <d v="2026-03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695833.07"/>
    <s v="SF"/>
    <s v="Webbing"/>
    <s v="PP Webbing"/>
    <s v="RM"/>
    <s v="erp"/>
    <n v="0"/>
    <n v="229048.9"/>
    <n v="757"/>
    <d v="2026-03-07T00:00:00"/>
    <s v="24AAACO3087C1ZT"/>
    <s v="storepil6"/>
    <s v="storepil6"/>
    <n v="9"/>
    <n v="20614.400000000001"/>
    <n v="9"/>
    <n v="20614.400000000001"/>
    <n v="0"/>
    <n v="0"/>
    <n v="0"/>
    <n v="672139136855"/>
    <d v="2026-07-03T00:00:00"/>
    <n v="0"/>
  </r>
  <r>
    <s v="HCP Plastene Bulkpack Ltd (Unit - IV)"/>
    <d v="2026-04-07T00:00:00"/>
    <s v="HPBL4/26-27/SII00793"/>
    <s v="WIP00013"/>
    <x v="2"/>
    <m/>
    <s v="HPBL4/RAW/26-27/313"/>
    <n v="6269"/>
    <n v="6269"/>
    <s v="Kgs"/>
    <n v="6269"/>
    <n v="0"/>
    <n v="6269"/>
    <s v="GJ12BT2409"/>
    <s v="Plastene India ltd - Unit 1-Purchase"/>
    <s v="Plastene India ltd - Unit 1-Purchase"/>
    <s v="PIL1/D/907"/>
    <d v="2026-04-07T00:00:00"/>
    <s v="RAW MATERIAL"/>
    <s v="INDIGENOUS"/>
    <s v="RM 333"/>
    <n v="181.15"/>
    <n v="181.15"/>
    <s v="PIL1/D/907"/>
    <d v="2026-04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487514.6"/>
    <s v="SF"/>
    <s v="Liners"/>
    <s v="LDPE/LLDPE Bags"/>
    <s v="RM"/>
    <s v="erp"/>
    <n v="0"/>
    <n v="1135629.3500000001"/>
    <n v="760"/>
    <d v="2026-04-07T00:00:00"/>
    <s v="24AAACO3087C1ZT"/>
    <s v="storepil6"/>
    <s v="storepil6"/>
    <n v="9"/>
    <n v="102206.64"/>
    <n v="9"/>
    <n v="102206.64"/>
    <n v="0"/>
    <n v="0"/>
    <n v="1487514.6"/>
    <n v="602139723346"/>
    <d v="2026-07-04T00:00:00"/>
    <n v="0"/>
  </r>
  <r>
    <s v="HCP Plastene Bulkpack Ltd (Unit - IV)"/>
    <d v="2026-04-07T00:00:00"/>
    <s v="HPBL4/26-27/SII00793"/>
    <s v="WIP00013"/>
    <x v="2"/>
    <m/>
    <s v="HPBL4/RAW/26-27/313"/>
    <n v="675"/>
    <n v="675"/>
    <s v="Kgs"/>
    <n v="675"/>
    <n v="0"/>
    <n v="675"/>
    <s v="GJ12BT2409"/>
    <s v="Plastene India ltd - Unit 1-Purchase"/>
    <s v="Plastene India ltd - Unit 1-Purchase"/>
    <s v="PIL1/D/907"/>
    <d v="2026-04-07T00:00:00"/>
    <s v="RAW MATERIAL"/>
    <s v="INDIGENOUS"/>
    <s v="RM 333"/>
    <n v="185.15"/>
    <n v="185.15"/>
    <s v="PIL1/D/907"/>
    <d v="2026-04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487514.6"/>
    <s v="SF"/>
    <s v="Liners"/>
    <s v="LDPE/LLDPE Bags"/>
    <s v="RM"/>
    <s v="erp"/>
    <n v="0"/>
    <n v="124976.25"/>
    <n v="760"/>
    <d v="2026-04-07T00:00:00"/>
    <s v="24AAACO3087C1ZT"/>
    <s v="storepil6"/>
    <s v="storepil6"/>
    <n v="9"/>
    <n v="11247.86"/>
    <n v="9"/>
    <n v="11247.86"/>
    <n v="0"/>
    <n v="0"/>
    <n v="0"/>
    <n v="602139723346"/>
    <d v="2026-07-04T00:00:00"/>
    <n v="0"/>
  </r>
  <r>
    <s v="HCP Plastene Bulkpack Ltd (Unit - IV)"/>
    <d v="2026-04-07T00:00:00"/>
    <s v="HPBL4/26-27/SII00794"/>
    <s v="FIG00001"/>
    <x v="4"/>
    <m/>
    <s v="HPBL4/RAW/26-27/314"/>
    <n v="560"/>
    <n v="560"/>
    <s v="Kgs"/>
    <n v="560"/>
    <n v="0"/>
    <n v="560"/>
    <s v="GJ12BU0544"/>
    <s v="Plastene Polyfilms Ltd-Purchase"/>
    <s v="Plastene Polyfilms Ltd-Purchase"/>
    <s v="PPL/D/309"/>
    <d v="2026-04-07T00:00:00"/>
    <s v="RAW MATERIAL"/>
    <s v="INDIGENOUS"/>
    <s v="RM 334"/>
    <n v="149.41"/>
    <n v="149.41"/>
    <s v="PPL/D/309"/>
    <d v="2026-04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98730.12"/>
    <s v="FG"/>
    <s v="FIBC WIP"/>
    <s v="FIBC WIP"/>
    <s v="RM"/>
    <s v="erp"/>
    <n v="0"/>
    <n v="83669.600000000006"/>
    <n v="762"/>
    <d v="2026-04-07T00:00:00"/>
    <s v="24AAFCP2956A1ZR"/>
    <s v="storepil6"/>
    <s v="storepil6"/>
    <n v="9"/>
    <n v="7530.26"/>
    <n v="9"/>
    <n v="7530.26"/>
    <n v="0"/>
    <n v="0"/>
    <n v="98730.12"/>
    <n v="672139926847"/>
    <d v="2026-07-04T00:00:00"/>
    <n v="0"/>
  </r>
  <r>
    <s v="HCP Plastene Bulkpack Ltd (Unit - IV)"/>
    <d v="2026-04-07T00:00:00"/>
    <s v="HPBL4/26-27/SII00795"/>
    <s v="FIG00001"/>
    <x v="4"/>
    <m/>
    <s v="HPBL4/RAW/26-27/315"/>
    <n v="250"/>
    <n v="250"/>
    <s v="Kgs"/>
    <n v="250"/>
    <n v="0"/>
    <n v="250"/>
    <s v="GJ12BY1595"/>
    <s v="Plastene India ltd - Unit 1-Purchase"/>
    <s v="Plastene India ltd - Unit 1-Purchase"/>
    <s v="PIL1/D/898"/>
    <d v="2026-03-07T00:00:00"/>
    <s v="RAW MATERIAL"/>
    <s v="INDIGENOUS"/>
    <s v="RM 335"/>
    <n v="157.74"/>
    <n v="157.74"/>
    <s v="PIL1/D/898"/>
    <d v="2026-03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94825.09999999998"/>
    <s v="FG"/>
    <s v="FIBC WIP"/>
    <s v="FIBC WIP"/>
    <s v="RM"/>
    <s v="erp"/>
    <n v="0"/>
    <n v="39435"/>
    <n v="758"/>
    <d v="2026-04-07T00:00:00"/>
    <s v="24AAACO3087C1ZT"/>
    <s v="storepil6"/>
    <s v="storepil6"/>
    <n v="9"/>
    <n v="3549.15"/>
    <n v="9"/>
    <n v="3549.15"/>
    <n v="0"/>
    <n v="0"/>
    <n v="294825.09999999998"/>
    <n v="602139202874"/>
    <d v="2026-07-03T00:00:00"/>
    <n v="0"/>
  </r>
  <r>
    <s v="HCP Plastene Bulkpack Ltd (Unit - IV)"/>
    <d v="2026-04-07T00:00:00"/>
    <s v="HPBL4/26-27/SII00795"/>
    <s v="FIG00001"/>
    <x v="4"/>
    <m/>
    <s v="HPBL4/RAW/26-27/315"/>
    <n v="123"/>
    <n v="123"/>
    <s v="Kgs"/>
    <n v="123"/>
    <n v="0"/>
    <n v="123"/>
    <s v="GJ12BY1595"/>
    <s v="Plastene India ltd - Unit 1-Purchase"/>
    <s v="Plastene India ltd - Unit 1-Purchase"/>
    <s v="PIL1/D/898"/>
    <d v="2026-03-07T00:00:00"/>
    <s v="RAW MATERIAL"/>
    <s v="INDIGENOUS"/>
    <s v="RM 335"/>
    <n v="159.74"/>
    <n v="159.74"/>
    <s v="PIL1/D/898"/>
    <d v="2026-03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94825.09999999998"/>
    <s v="FG"/>
    <s v="FIBC WIP"/>
    <s v="FIBC WIP"/>
    <s v="RM"/>
    <s v="erp"/>
    <n v="0"/>
    <n v="19648.02"/>
    <n v="758"/>
    <d v="2026-04-07T00:00:00"/>
    <s v="24AAACO3087C1ZT"/>
    <s v="storepil6"/>
    <s v="storepil6"/>
    <n v="9"/>
    <n v="1768.32"/>
    <n v="9"/>
    <n v="1768.32"/>
    <n v="0"/>
    <n v="0"/>
    <n v="0"/>
    <n v="602139202874"/>
    <d v="2026-07-03T00:00:00"/>
    <n v="0"/>
  </r>
  <r>
    <s v="HCP Plastene Bulkpack Ltd (Unit - IV)"/>
    <d v="2026-04-07T00:00:00"/>
    <s v="HPBL4/26-27/SII00795"/>
    <s v="WIP00023"/>
    <x v="0"/>
    <m/>
    <s v="HPBL4/RAW/26-27/315"/>
    <n v="992"/>
    <n v="992"/>
    <s v="Kgs"/>
    <n v="992"/>
    <n v="0"/>
    <n v="992"/>
    <s v="GJ12BY1595"/>
    <s v="Plastene India ltd - Unit 1-Purchase"/>
    <s v="Plastene India ltd - Unit 1-Purchase"/>
    <s v="PIL1/D/898"/>
    <d v="2026-03-07T00:00:00"/>
    <s v="RAW MATERIAL"/>
    <s v="INDIGENOUS"/>
    <s v="RM 335"/>
    <n v="149.74"/>
    <n v="149.74"/>
    <s v="PIL1/D/898"/>
    <d v="2026-03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94825.09999999998"/>
    <s v="SF"/>
    <s v="PP/PE Fabric"/>
    <s v="PP UL Fabric"/>
    <s v="RM"/>
    <s v="erp"/>
    <n v="0"/>
    <n v="148542.07999999999"/>
    <n v="758"/>
    <d v="2026-04-07T00:00:00"/>
    <s v="24AAACO3087C1ZT"/>
    <s v="storepil6"/>
    <s v="storepil6"/>
    <n v="9"/>
    <n v="13368.79"/>
    <n v="9"/>
    <n v="13368.79"/>
    <n v="0"/>
    <n v="0"/>
    <n v="0"/>
    <n v="602139202874"/>
    <d v="2026-07-03T00:00:00"/>
    <n v="0"/>
  </r>
  <r>
    <s v="HCP Plastene Bulkpack Ltd (Unit - IV)"/>
    <d v="2026-04-07T00:00:00"/>
    <s v="HPBL4/26-27/SII00795"/>
    <s v="WIP00025"/>
    <x v="1"/>
    <m/>
    <s v="HPBL4/RAW/26-27/315"/>
    <n v="282"/>
    <n v="282"/>
    <s v="Kgs"/>
    <n v="282"/>
    <n v="0"/>
    <n v="282"/>
    <s v="GJ12BY1595"/>
    <s v="Plastene India ltd - Unit 1-Purchase"/>
    <s v="Plastene India ltd - Unit 1-Purchase"/>
    <s v="PIL1/D/898"/>
    <d v="2026-03-07T00:00:00"/>
    <s v="RAW MATERIAL"/>
    <s v="INDIGENOUS"/>
    <s v="RM 335"/>
    <n v="149.74"/>
    <n v="149.74"/>
    <s v="PIL1/D/898"/>
    <d v="2026-03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94825.09999999998"/>
    <s v="SF"/>
    <s v="PP/PE Fabric"/>
    <s v="PP Lam Fabric"/>
    <s v="RM"/>
    <s v="erp"/>
    <n v="0"/>
    <n v="42226.68"/>
    <n v="758"/>
    <d v="2026-04-07T00:00:00"/>
    <s v="24AAACO3087C1ZT"/>
    <s v="storepil6"/>
    <s v="storepil6"/>
    <n v="9"/>
    <n v="3800.4"/>
    <n v="9"/>
    <n v="3800.4"/>
    <n v="0"/>
    <n v="0"/>
    <n v="0"/>
    <n v="602139202874"/>
    <d v="2026-07-03T00:00:00"/>
    <n v="0"/>
  </r>
  <r>
    <s v="HCP Plastene Bulkpack Ltd (Unit - IV)"/>
    <d v="2026-04-07T00:00:00"/>
    <s v="HPBL4/26-27/SII00796"/>
    <s v="WIP00025"/>
    <x v="1"/>
    <m/>
    <s v="HPBL4/RAW/26-27/287"/>
    <n v="10000"/>
    <n v="373"/>
    <s v="Kgs"/>
    <n v="373"/>
    <n v="9286"/>
    <n v="373"/>
    <s v="GJ12BT2409"/>
    <s v="Plastene India ltd - Unit 1-Purchase"/>
    <s v="Plastene India ltd - Unit 1-Purchase"/>
    <s v="PIL1/D/905"/>
    <d v="2026-04-07T00:00:00"/>
    <s v="RAW MATERIAL"/>
    <s v="INDIGENOUS"/>
    <s v="RM 336"/>
    <n v="151.74"/>
    <n v="151.74"/>
    <s v="PIL1/D/905"/>
    <d v="2026-04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460791.16"/>
    <s v="SF"/>
    <s v="PP/PE Fabric"/>
    <s v="PP Lam Fabric"/>
    <s v="RM"/>
    <s v="erp"/>
    <n v="0"/>
    <n v="56599.02"/>
    <n v="759"/>
    <d v="2026-04-07T00:00:00"/>
    <s v="24AAACO3087C1ZT"/>
    <s v="storepil6"/>
    <s v="storepil6"/>
    <n v="9"/>
    <n v="5093.91"/>
    <n v="9"/>
    <n v="5093.91"/>
    <n v="0"/>
    <n v="0"/>
    <n v="1460791.16"/>
    <n v="652139599614"/>
    <d v="2026-07-04T00:00:00"/>
    <n v="0"/>
  </r>
  <r>
    <s v="HCP Plastene Bulkpack Ltd (Unit - IV)"/>
    <d v="2026-04-07T00:00:00"/>
    <s v="HPBL4/26-27/SII00796"/>
    <s v="WIP00023"/>
    <x v="0"/>
    <m/>
    <s v="HPBL4/RAW/26-27/287"/>
    <n v="70000"/>
    <n v="2760"/>
    <s v="Kgs"/>
    <n v="2760"/>
    <n v="36114"/>
    <n v="2760"/>
    <s v="GJ12BT2409"/>
    <s v="Plastene India ltd - Unit 1-Purchase"/>
    <s v="Plastene India ltd - Unit 1-Purchase"/>
    <s v="PIL1/D/905"/>
    <d v="2026-04-07T00:00:00"/>
    <s v="RAW MATERIAL"/>
    <s v="INDIGENOUS"/>
    <s v="RM 336"/>
    <n v="149.74"/>
    <n v="149.74"/>
    <s v="PIL1/D/905"/>
    <d v="2026-04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460791.16"/>
    <s v="SF"/>
    <s v="PP/PE Fabric"/>
    <s v="PP UL Fabric"/>
    <s v="RM"/>
    <s v="erp"/>
    <n v="0"/>
    <n v="413282.4"/>
    <n v="759"/>
    <d v="2026-04-07T00:00:00"/>
    <s v="24AAACO3087C1ZT"/>
    <s v="storepil6"/>
    <s v="storepil6"/>
    <n v="9"/>
    <n v="37195.42"/>
    <n v="9"/>
    <n v="37195.42"/>
    <n v="0"/>
    <n v="0"/>
    <n v="0"/>
    <n v="652139599614"/>
    <d v="2026-07-04T00:00:00"/>
    <n v="0"/>
  </r>
  <r>
    <s v="HCP Plastene Bulkpack Ltd (Unit - IV)"/>
    <d v="2026-04-07T00:00:00"/>
    <s v="HPBL4/26-27/SII00796"/>
    <s v="WIP00023"/>
    <x v="0"/>
    <m/>
    <s v="HPBL4/RAW/26-27/287"/>
    <n v="150000"/>
    <n v="4252"/>
    <s v="Kgs"/>
    <n v="4252"/>
    <n v="79845"/>
    <n v="4252"/>
    <s v="GJ12BT2409"/>
    <s v="Plastene India ltd - Unit 1-Purchase"/>
    <s v="Plastene India ltd - Unit 1-Purchase"/>
    <s v="PIL1/D/905"/>
    <d v="2026-04-07T00:00:00"/>
    <s v="RAW MATERIAL"/>
    <s v="INDIGENOUS"/>
    <s v="RM 336"/>
    <n v="147.74"/>
    <n v="147.74"/>
    <s v="PIL1/D/905"/>
    <d v="2026-04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460791.16"/>
    <s v="SF"/>
    <s v="PP/PE Fabric"/>
    <s v="PP UL Fabric"/>
    <s v="RM"/>
    <s v="erp"/>
    <n v="0"/>
    <n v="628190.48"/>
    <n v="759"/>
    <d v="2026-04-07T00:00:00"/>
    <s v="24AAACO3087C1ZT"/>
    <s v="storepil6"/>
    <s v="storepil6"/>
    <n v="9"/>
    <n v="56537.14"/>
    <n v="9"/>
    <n v="56537.14"/>
    <n v="0"/>
    <n v="0"/>
    <n v="0"/>
    <n v="652139599614"/>
    <d v="2026-07-04T00:00:00"/>
    <n v="0"/>
  </r>
  <r>
    <s v="HCP Plastene Bulkpack Ltd (Unit - IV)"/>
    <d v="2026-04-07T00:00:00"/>
    <s v="HPBL4/26-27/SII00796"/>
    <s v="WIP00023"/>
    <x v="0"/>
    <m/>
    <s v="HPBL4/RAW/26-27/287"/>
    <n v="40000"/>
    <n v="928"/>
    <s v="Kgs"/>
    <n v="928"/>
    <n v="32717"/>
    <n v="928"/>
    <s v="GJ12BT2409"/>
    <s v="Plastene India ltd - Unit 1-Purchase"/>
    <s v="Plastene India ltd - Unit 1-Purchase"/>
    <s v="PIL1/D/905"/>
    <d v="2026-04-07T00:00:00"/>
    <s v="RAW MATERIAL"/>
    <s v="INDIGENOUS"/>
    <s v="RM 336"/>
    <n v="150.74"/>
    <n v="150.74"/>
    <s v="PIL1/D/905"/>
    <d v="2026-04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460791.16"/>
    <s v="SF"/>
    <s v="PP/PE Fabric"/>
    <s v="PP UL Fabric"/>
    <s v="RM"/>
    <s v="erp"/>
    <n v="0"/>
    <n v="139886.72"/>
    <n v="759"/>
    <d v="2026-04-07T00:00:00"/>
    <s v="24AAACO3087C1ZT"/>
    <s v="storepil6"/>
    <s v="storepil6"/>
    <n v="9"/>
    <n v="12589.8"/>
    <n v="9"/>
    <n v="12589.8"/>
    <n v="0"/>
    <n v="0"/>
    <n v="0"/>
    <n v="652139599614"/>
    <d v="2026-07-04T00:00:00"/>
    <n v="0"/>
  </r>
  <r>
    <s v="HCP Plastene Bulkpack Ltd (Unit - IV)"/>
    <d v="2026-04-07T00:00:00"/>
    <s v="HPBL4/26-27/SII00797"/>
    <s v="WIP00025"/>
    <x v="1"/>
    <m/>
    <s v="HPBL4/RAW/26-27/287"/>
    <n v="10000"/>
    <n v="508"/>
    <s v="Kgs"/>
    <n v="508"/>
    <n v="8778"/>
    <n v="508"/>
    <s v="GJ12BY0479"/>
    <s v="Plastene India ltd - Unit 1-Purchase"/>
    <s v="Plastene India ltd - Unit 1-Purchase"/>
    <s v="PIL1/D/906"/>
    <d v="2026-04-07T00:00:00"/>
    <s v="RAW MATERIAL"/>
    <s v="INDIGENOUS"/>
    <s v="RM 337"/>
    <n v="151.74"/>
    <n v="151.74000115167399"/>
    <s v="PIL1/D/906"/>
    <d v="2026-04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527024.11"/>
    <s v="SF"/>
    <s v="PP/PE Fabric"/>
    <s v="PP Lam Fabric"/>
    <s v="RM"/>
    <s v="erp"/>
    <n v="0"/>
    <n v="77083.92"/>
    <n v="761"/>
    <d v="2026-04-07T00:00:00"/>
    <s v="24AAACO3087C1ZT"/>
    <s v="storepil6"/>
    <s v="storepil6"/>
    <n v="9"/>
    <n v="6937.55"/>
    <n v="9"/>
    <n v="6937.55"/>
    <n v="0"/>
    <n v="0"/>
    <n v="527024.11"/>
    <n v="692139714996"/>
    <d v="2026-07-04T00:00:00"/>
    <n v="0"/>
  </r>
  <r>
    <s v="HCP Plastene Bulkpack Ltd (Unit - IV)"/>
    <d v="2026-04-07T00:00:00"/>
    <s v="HPBL4/26-27/SII00797"/>
    <s v="WIP00032"/>
    <x v="3"/>
    <m/>
    <s v="HPBL4/RAW/26-27/287"/>
    <n v="15000"/>
    <n v="320.39999999999998"/>
    <s v="Kgs"/>
    <n v="320.39999999999998"/>
    <n v="10495.7"/>
    <n v="320.39999999999998"/>
    <s v="GJ12BY0479"/>
    <s v="Plastene India ltd - Unit 1-Purchase"/>
    <s v="Plastene India ltd - Unit 1-Purchase"/>
    <s v="PIL1/D/906"/>
    <d v="2026-04-07T00:00:00"/>
    <s v="RAW MATERIAL"/>
    <s v="INDIGENOUS"/>
    <s v="RM 337"/>
    <n v="149.74"/>
    <n v="149.74000113649399"/>
    <s v="PIL1/D/906"/>
    <d v="2026-04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527024.11"/>
    <s v="SF"/>
    <s v="Webbing"/>
    <s v="PP Webbing"/>
    <s v="RM"/>
    <s v="erp"/>
    <n v="0"/>
    <n v="47976.7"/>
    <n v="761"/>
    <d v="2026-04-07T00:00:00"/>
    <s v="24AAACO3087C1ZT"/>
    <s v="storepil6"/>
    <s v="storepil6"/>
    <n v="9"/>
    <n v="4317.8999999999996"/>
    <n v="9"/>
    <n v="4317.8999999999996"/>
    <n v="0"/>
    <n v="0"/>
    <n v="0"/>
    <n v="692139714996"/>
    <d v="2026-07-04T00:00:00"/>
    <n v="0"/>
  </r>
  <r>
    <s v="HCP Plastene Bulkpack Ltd (Unit - IV)"/>
    <d v="2026-04-07T00:00:00"/>
    <s v="HPBL4/26-27/SII00797"/>
    <s v="WIP00032"/>
    <x v="3"/>
    <m/>
    <s v="HPBL4/RAW/26-27/287"/>
    <n v="30000"/>
    <n v="2090.1"/>
    <s v="Kgs"/>
    <n v="2090.1"/>
    <n v="12702.3"/>
    <n v="2090.1"/>
    <s v="GJ12BY0479"/>
    <s v="Plastene India ltd - Unit 1-Purchase"/>
    <s v="Plastene India ltd - Unit 1-Purchase"/>
    <s v="PIL1/D/906"/>
    <d v="2026-04-07T00:00:00"/>
    <s v="RAW MATERIAL"/>
    <s v="INDIGENOUS"/>
    <s v="RM 337"/>
    <n v="152.74"/>
    <n v="152.74000115926401"/>
    <s v="PIL1/D/906"/>
    <d v="2026-04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527024.11"/>
    <s v="SF"/>
    <s v="Webbing"/>
    <s v="PP Webbing"/>
    <s v="RM"/>
    <s v="erp"/>
    <n v="0"/>
    <n v="319241.88"/>
    <n v="761"/>
    <d v="2026-04-07T00:00:00"/>
    <s v="24AAACO3087C1ZT"/>
    <s v="storepil6"/>
    <s v="storepil6"/>
    <n v="9"/>
    <n v="28731.77"/>
    <n v="9"/>
    <n v="28731.77"/>
    <n v="0"/>
    <n v="0"/>
    <n v="0"/>
    <n v="692139714996"/>
    <d v="2026-07-04T00:00:00"/>
    <n v="0"/>
  </r>
  <r>
    <s v="HCP Plastene Bulkpack Ltd (Unit - IV)"/>
    <d v="2026-04-07T00:00:00"/>
    <s v="HPBL4/26-27/SII00797"/>
    <s v="WIP00032"/>
    <x v="3"/>
    <m/>
    <s v="HPBL4/RAW/26-27/287"/>
    <n v="500"/>
    <n v="13.4"/>
    <s v="Kgs"/>
    <n v="13.4"/>
    <n v="466.6"/>
    <n v="13.4"/>
    <s v="GJ12BY0479"/>
    <s v="Plastene India ltd - Unit 1-Purchase"/>
    <s v="Plastene India ltd - Unit 1-Purchase"/>
    <s v="PIL1/D/906"/>
    <d v="2026-04-07T00:00:00"/>
    <s v="RAW MATERIAL"/>
    <s v="INDIGENOUS"/>
    <s v="RM 337"/>
    <n v="173.74"/>
    <n v="173.74000131864901"/>
    <s v="PIL1/D/906"/>
    <d v="2026-04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527024.11"/>
    <s v="SF"/>
    <s v="Webbing"/>
    <s v="PP Webbing"/>
    <s v="RM"/>
    <s v="erp"/>
    <n v="0"/>
    <n v="2328.12"/>
    <n v="761"/>
    <d v="2026-04-07T00:00:00"/>
    <s v="24AAACO3087C1ZT"/>
    <s v="storepil6"/>
    <s v="storepil6"/>
    <n v="9"/>
    <n v="209.53"/>
    <n v="9"/>
    <n v="209.53"/>
    <n v="0"/>
    <n v="0"/>
    <n v="0"/>
    <n v="692139714996"/>
    <d v="2026-07-04T00:00:00"/>
    <n v="0"/>
  </r>
  <r>
    <s v="HCP Plastene Bulkpack Ltd (Unit - IV)"/>
    <d v="2026-05-07T00:00:00"/>
    <s v="HPBL4/26-27/SII00798"/>
    <s v="WIP00023"/>
    <x v="0"/>
    <m/>
    <s v="HPBL4/RAW/26-27/287"/>
    <n v="70000"/>
    <n v="601"/>
    <s v="Kgs"/>
    <n v="601"/>
    <n v="35513"/>
    <n v="601"/>
    <s v="GJ09Z0572"/>
    <s v="Plastene India ltd - Unit 1-Purchase"/>
    <s v="Plastene India ltd - Unit 1-Purchase"/>
    <s v="PIL1/D/908"/>
    <d v="2026-04-07T00:00:00"/>
    <s v="RAW MATERIAL"/>
    <s v="INDIGENOUS"/>
    <s v="RM 338"/>
    <n v="149.74"/>
    <n v="149.74"/>
    <s v="PIL1/D/908"/>
    <d v="2026-04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06192.62"/>
    <s v="SF"/>
    <s v="PP/PE Fabric"/>
    <s v="PP UL Fabric"/>
    <s v="RM"/>
    <s v="erp"/>
    <n v="0"/>
    <n v="89993.74"/>
    <n v="764"/>
    <d v="2026-05-07T00:00:00"/>
    <s v="24AAACO3087C1ZT"/>
    <s v="storepil6"/>
    <s v="storepil6"/>
    <n v="9"/>
    <n v="8099.44"/>
    <n v="9"/>
    <n v="8099.44"/>
    <n v="0"/>
    <n v="0"/>
    <n v="106192.62"/>
    <n v="642139738199"/>
    <d v="2026-07-04T00:00:00"/>
    <n v="0"/>
  </r>
  <r>
    <s v="HCP Plastene Bulkpack Ltd (Unit - IV)"/>
    <d v="2026-05-07T00:00:00"/>
    <s v="HPBL4/26-27/SII00800"/>
    <s v="WIP00023"/>
    <x v="0"/>
    <m/>
    <s v="HPBL4/RAW/26-27/316"/>
    <n v="433"/>
    <n v="433"/>
    <s v="Kgs"/>
    <n v="433"/>
    <n v="0"/>
    <n v="433"/>
    <s v="GJ39TB3534"/>
    <s v="Plastene India ltd - Unit 1-Purchase"/>
    <s v="Plastene India ltd - Unit 1-Purchase"/>
    <s v="PIL1/D/928"/>
    <d v="2026-05-07T00:00:00"/>
    <s v="RAW MATERIAL"/>
    <s v="INDIGENOUS"/>
    <s v="RM 339"/>
    <n v="144.49"/>
    <n v="144.49"/>
    <s v="PIL1/D/928"/>
    <d v="2026-05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77168.46"/>
    <s v="SF"/>
    <s v="PP/PE Fabric"/>
    <s v="PP UL Fabric"/>
    <s v="RM"/>
    <s v="erp"/>
    <n v="0"/>
    <n v="62564.17"/>
    <n v="769"/>
    <d v="2026-05-07T00:00:00"/>
    <s v="24AAACO3087C1ZT"/>
    <s v="storepil6"/>
    <s v="storepil6"/>
    <n v="9"/>
    <n v="5630.78"/>
    <n v="9"/>
    <n v="5630.78"/>
    <n v="0"/>
    <n v="0"/>
    <n v="177168.46"/>
    <n v="612140261445"/>
    <d v="2026-07-05T00:00:00"/>
    <n v="0"/>
  </r>
  <r>
    <s v="HCP Plastene Bulkpack Ltd (Unit - IV)"/>
    <d v="2026-05-07T00:00:00"/>
    <s v="HPBL4/26-27/SII00800"/>
    <s v="WIP00023"/>
    <x v="0"/>
    <m/>
    <s v="HPBL4/RAW/26-27/316"/>
    <n v="238"/>
    <n v="238"/>
    <s v="Kgs"/>
    <n v="238"/>
    <n v="0"/>
    <n v="238"/>
    <s v="GJ39TB3534"/>
    <s v="Plastene India ltd - Unit 1-Purchase"/>
    <s v="Plastene India ltd - Unit 1-Purchase"/>
    <s v="PIL1/D/928"/>
    <d v="2026-05-07T00:00:00"/>
    <s v="RAW MATERIAL"/>
    <s v="INDIGENOUS"/>
    <s v="RM 339"/>
    <n v="146.49"/>
    <n v="146.49"/>
    <s v="PIL1/D/928"/>
    <d v="2026-05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77168.46"/>
    <s v="SF"/>
    <s v="PP/PE Fabric"/>
    <s v="PP UL Fabric"/>
    <s v="RM"/>
    <s v="erp"/>
    <n v="0"/>
    <n v="34864.620000000003"/>
    <n v="769"/>
    <d v="2026-05-07T00:00:00"/>
    <s v="24AAACO3087C1ZT"/>
    <s v="storepil6"/>
    <s v="storepil6"/>
    <n v="9"/>
    <n v="3137.82"/>
    <n v="9"/>
    <n v="3137.82"/>
    <n v="0"/>
    <n v="0"/>
    <n v="0"/>
    <n v="612140261445"/>
    <d v="2026-07-05T00:00:00"/>
    <n v="0"/>
  </r>
  <r>
    <s v="HCP Plastene Bulkpack Ltd (Unit - IV)"/>
    <d v="2026-05-07T00:00:00"/>
    <s v="HPBL4/26-27/SII00800"/>
    <s v="WIP00025"/>
    <x v="1"/>
    <m/>
    <s v="HPBL4/RAW/26-27/316"/>
    <n v="355"/>
    <n v="355"/>
    <s v="Kgs"/>
    <n v="355"/>
    <n v="0"/>
    <n v="355"/>
    <s v="GJ39TB3534"/>
    <s v="Plastene India ltd - Unit 1-Purchase"/>
    <s v="Plastene India ltd - Unit 1-Purchase"/>
    <s v="PIL1/D/928"/>
    <d v="2026-05-07T00:00:00"/>
    <s v="RAW MATERIAL"/>
    <s v="INDIGENOUS"/>
    <s v="RM 339"/>
    <n v="148.49"/>
    <n v="148.49"/>
    <s v="PIL1/D/928"/>
    <d v="2026-05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77168.46"/>
    <s v="SF"/>
    <s v="PP/PE Fabric"/>
    <s v="PP Lam Fabric"/>
    <s v="RM"/>
    <s v="erp"/>
    <n v="0"/>
    <n v="52713.95"/>
    <n v="769"/>
    <d v="2026-05-07T00:00:00"/>
    <s v="24AAACO3087C1ZT"/>
    <s v="storepil6"/>
    <s v="storepil6"/>
    <n v="9"/>
    <n v="4744.26"/>
    <n v="9"/>
    <n v="4744.26"/>
    <n v="0"/>
    <n v="0"/>
    <n v="0"/>
    <n v="612140261445"/>
    <d v="2026-07-05T00:00:00"/>
    <n v="0"/>
  </r>
  <r>
    <s v="HCP Plastene Bulkpack Ltd (Unit - IV)"/>
    <d v="2026-05-07T00:00:00"/>
    <s v="HPBL4/26-27/SII00801"/>
    <s v="SMF00052"/>
    <x v="7"/>
    <m/>
    <s v="HPBL4/RAW/26-27/317"/>
    <n v="1340"/>
    <n v="1340"/>
    <s v="Kgs"/>
    <n v="1340"/>
    <n v="0"/>
    <n v="1340"/>
    <s v="GJ39TA8608"/>
    <s v="K.P. Woven Pvt Ltd-Purchase"/>
    <s v="K.P. Woven Pvt Ltd-Purchase"/>
    <s v="KPV/D/404"/>
    <d v="2026-04-07T00:00:00"/>
    <s v="RAW MATERIAL"/>
    <s v="INDIGENOUS"/>
    <s v="RM 340"/>
    <n v="154.15"/>
    <n v="154.15"/>
    <s v="KPV/D/404"/>
    <d v="2026-04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97829.86"/>
    <s v="SF"/>
    <s v="Yarn All"/>
    <s v="PP Yarn"/>
    <s v="RM"/>
    <s v="erp"/>
    <n v="0"/>
    <n v="206561"/>
    <n v="767"/>
    <d v="2026-05-07T00:00:00"/>
    <s v="24AAECK6307M1ZF"/>
    <s v="storepil6"/>
    <s v="storepil6"/>
    <n v="2.5"/>
    <n v="5164.0200000000004"/>
    <n v="2.5"/>
    <n v="5164.0200000000004"/>
    <n v="0"/>
    <n v="0"/>
    <n v="297829.86"/>
    <n v="672139987956"/>
    <d v="2026-07-04T00:00:00"/>
    <n v="0"/>
  </r>
  <r>
    <s v="HCP Plastene Bulkpack Ltd (Unit - IV)"/>
    <d v="2026-05-07T00:00:00"/>
    <s v="HPBL4/26-27/SII00801"/>
    <s v="SMF00054"/>
    <x v="8"/>
    <m/>
    <s v="HPBL4/RAW/26-27/317"/>
    <n v="510"/>
    <n v="510"/>
    <s v="Kgs"/>
    <n v="510"/>
    <n v="0"/>
    <n v="510"/>
    <s v="GJ39TA8608"/>
    <s v="K.P. Woven Pvt Ltd-Purchase"/>
    <s v="K.P. Woven Pvt Ltd-Purchase"/>
    <s v="KPV/D/404"/>
    <d v="2026-04-07T00:00:00"/>
    <s v="RAW MATERIAL"/>
    <s v="INDIGENOUS"/>
    <s v="RM 340"/>
    <n v="151.15"/>
    <n v="151.15"/>
    <s v="KPV/D/404"/>
    <d v="2026-04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97829.86"/>
    <s v="SF"/>
    <s v="Yarn All"/>
    <s v="PP Yarn"/>
    <s v="RM"/>
    <s v="erp"/>
    <n v="0"/>
    <n v="77086.5"/>
    <n v="767"/>
    <d v="2026-05-07T00:00:00"/>
    <s v="24AAECK6307M1ZF"/>
    <s v="storepil6"/>
    <s v="storepil6"/>
    <n v="2.5"/>
    <n v="1927.16"/>
    <n v="2.5"/>
    <n v="1927.16"/>
    <n v="0"/>
    <n v="0"/>
    <n v="0"/>
    <n v="672139987956"/>
    <d v="2026-07-04T00:00:00"/>
    <n v="0"/>
  </r>
  <r>
    <s v="HCP Plastene Bulkpack Ltd (Unit - IV)"/>
    <d v="2026-05-07T00:00:00"/>
    <s v="HPBL4/26-27/SII00802"/>
    <s v="SMF00146"/>
    <x v="9"/>
    <m/>
    <s v="HPBL4/RAW/26-27/318"/>
    <n v="407"/>
    <n v="407"/>
    <s v="Kgs"/>
    <n v="407"/>
    <n v="0"/>
    <n v="407"/>
    <s v="GJ12BT4781"/>
    <s v="HCP Plastene Bulkpack Limited - Purchase"/>
    <s v="HCP Plastene Bulkpack Limited - Purchase"/>
    <s v="HPBL/DC/15"/>
    <d v="2026-03-07T00:00:00"/>
    <s v="RAW MATERIAL"/>
    <s v="INDIGENOUS"/>
    <s v="RM 341"/>
    <n v="192.99"/>
    <n v="192.99"/>
    <s v="HPBL/DC/15"/>
    <d v="2026-03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78546.929999999993"/>
    <s v="SF"/>
    <s v="Liners"/>
    <s v="LDPE/LLDPE Bags"/>
    <s v="RM"/>
    <s v="erp"/>
    <n v="0"/>
    <n v="78546.929999999993"/>
    <n v="9"/>
    <d v="2026-05-07T00:00:00"/>
    <s v="24AABCG1282C2Z6"/>
    <s v="storepil6"/>
    <s v="storepil6"/>
    <n v="0"/>
    <n v="0"/>
    <n v="0"/>
    <n v="0"/>
    <n v="0"/>
    <n v="0"/>
    <n v="78546.929999999993"/>
    <n v="652139355962"/>
    <d v="2026-07-03T00:00:00"/>
    <n v="0"/>
  </r>
  <r>
    <s v="HCP Plastene Bulkpack Ltd (Unit - IV)"/>
    <d v="2026-05-07T00:00:00"/>
    <s v="HPBL4/26-27/SII00803"/>
    <s v="WIP00013"/>
    <x v="2"/>
    <m/>
    <s v="HPBL4/RAW/26-27/319"/>
    <n v="9208"/>
    <n v="9208"/>
    <s v="Kgs"/>
    <n v="9208"/>
    <n v="0"/>
    <n v="9208"/>
    <s v="GJ12BT2409"/>
    <s v="Plastene India ltd - Unit 1-Purchase"/>
    <s v="Plastene India ltd - Unit 1-Purchase"/>
    <s v="PIL1/D/926"/>
    <d v="2026-05-07T00:00:00"/>
    <s v="RAW MATERIAL"/>
    <s v="INDIGENOUS"/>
    <s v="RM 342"/>
    <n v="186.78"/>
    <n v="186.78013445515799"/>
    <s v="PIL1/D/926"/>
    <d v="2026-05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139311.06"/>
    <s v="SF"/>
    <s v="Liners"/>
    <s v="LDPE/LLDPE Bags"/>
    <s v="RM"/>
    <s v="erp"/>
    <n v="0"/>
    <n v="1719871.48"/>
    <n v="768"/>
    <d v="2026-05-07T00:00:00"/>
    <s v="24AAACO3087C1ZT"/>
    <s v="storepil6"/>
    <s v="storepil6"/>
    <n v="9"/>
    <n v="154788.32"/>
    <n v="9"/>
    <n v="154788.32"/>
    <n v="0"/>
    <n v="0"/>
    <n v="2139311.06"/>
    <n v="622140221611"/>
    <d v="2026-07-05T00:00:00"/>
    <n v="0"/>
  </r>
  <r>
    <s v="HCP Plastene Bulkpack Ltd (Unit - IV)"/>
    <d v="2026-05-07T00:00:00"/>
    <s v="HPBL4/26-27/SII00803"/>
    <s v="WIP00013"/>
    <x v="2"/>
    <m/>
    <s v="HPBL4/RAW/26-27/319"/>
    <n v="285"/>
    <n v="285"/>
    <s v="Kgs"/>
    <n v="285"/>
    <n v="0"/>
    <n v="285"/>
    <s v="GJ12BT2409"/>
    <s v="Plastene India ltd - Unit 1-Purchase"/>
    <s v="Plastene India ltd - Unit 1-Purchase"/>
    <s v="PIL1/D/926"/>
    <d v="2026-05-07T00:00:00"/>
    <s v="RAW MATERIAL"/>
    <s v="INDIGENOUS"/>
    <s v="RM 342"/>
    <n v="182.78"/>
    <n v="182.780131575724"/>
    <s v="PIL1/D/926"/>
    <d v="2026-05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139311.06"/>
    <s v="SF"/>
    <s v="Liners"/>
    <s v="LDPE/LLDPE Bags"/>
    <s v="RM"/>
    <s v="erp"/>
    <n v="0"/>
    <n v="52092.34"/>
    <n v="768"/>
    <d v="2026-05-07T00:00:00"/>
    <s v="24AAACO3087C1ZT"/>
    <s v="storepil6"/>
    <s v="storepil6"/>
    <n v="9"/>
    <n v="4688.3100000000004"/>
    <n v="9"/>
    <n v="4688.3100000000004"/>
    <n v="0"/>
    <n v="0"/>
    <n v="0"/>
    <n v="622140221611"/>
    <d v="2026-07-05T00:00:00"/>
    <n v="0"/>
  </r>
  <r>
    <s v="HCP Plastene Bulkpack Ltd (Unit - IV)"/>
    <d v="2026-05-07T00:00:00"/>
    <s v="HPBL4/26-27/SII00803"/>
    <s v="WIP00013"/>
    <x v="2"/>
    <m/>
    <s v="HPBL4/RAW/26-27/319"/>
    <n v="23"/>
    <n v="23"/>
    <s v="Kgs"/>
    <n v="23"/>
    <n v="0"/>
    <n v="23"/>
    <s v="GJ12BT2409"/>
    <s v="Plastene India ltd - Unit 1-Purchase"/>
    <s v="Plastene India ltd - Unit 1-Purchase"/>
    <s v="PIL1/D/926"/>
    <d v="2026-05-07T00:00:00"/>
    <s v="RAW MATERIAL"/>
    <s v="INDIGENOUS"/>
    <s v="RM 342"/>
    <n v="193.78"/>
    <n v="193.780139494167"/>
    <s v="PIL1/D/926"/>
    <d v="2026-05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139311.06"/>
    <s v="SF"/>
    <s v="Liners"/>
    <s v="LDPE/LLDPE Bags"/>
    <s v="RM"/>
    <s v="erp"/>
    <n v="0"/>
    <n v="4456.9399999999996"/>
    <n v="768"/>
    <d v="2026-05-07T00:00:00"/>
    <s v="24AAACO3087C1ZT"/>
    <s v="storepil6"/>
    <s v="storepil6"/>
    <n v="9"/>
    <n v="401.12"/>
    <n v="9"/>
    <n v="401.12"/>
    <n v="0"/>
    <n v="0"/>
    <n v="0"/>
    <n v="622140221611"/>
    <d v="2026-07-05T00:00:00"/>
    <n v="0"/>
  </r>
  <r>
    <s v="HCP Plastene Bulkpack Ltd (Unit - IV)"/>
    <d v="2026-05-07T00:00:00"/>
    <s v="HPBL4/26-27/SII00803"/>
    <s v="RAW05939"/>
    <x v="5"/>
    <m/>
    <s v="HPBL4/RAW/26-27/319"/>
    <n v="10300"/>
    <n v="10300"/>
    <s v="Pcs"/>
    <n v="10300"/>
    <n v="0"/>
    <n v="10300"/>
    <s v="GJ12BT2409"/>
    <s v="Plastene India ltd - Unit 1-Purchase"/>
    <s v="Plastene India ltd - Unit 1-Purchase"/>
    <s v="PIL1/D/926"/>
    <d v="2026-05-07T00:00:00"/>
    <s v="RAW MATERIAL"/>
    <s v="INDIGENOUS"/>
    <s v="RM 342"/>
    <n v="3.5489999999999999"/>
    <n v="3.5490025547775801"/>
    <s v="PIL1/D/926"/>
    <d v="2026-05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139311.06"/>
    <s v="RM Consumables"/>
    <s v="FIBC Accessories"/>
    <s v="FIBC Accessories"/>
    <s v="RM"/>
    <s v="ramesh.singhal"/>
    <n v="0"/>
    <n v="36554.730000000003"/>
    <n v="768"/>
    <d v="2026-05-07T00:00:00"/>
    <s v="24AAACO3087C1ZT"/>
    <s v="storepil6"/>
    <s v="storepil6"/>
    <n v="9"/>
    <n v="3289.92"/>
    <n v="9"/>
    <n v="3289.92"/>
    <n v="0"/>
    <n v="0"/>
    <n v="0"/>
    <n v="622140221611"/>
    <d v="2026-07-05T00:00:00"/>
    <n v="0"/>
  </r>
  <r>
    <s v="HCP Plastene Bulkpack Ltd (Unit - IV)"/>
    <d v="2026-05-07T00:00:00"/>
    <s v="HPBL4/26-27/SII00804"/>
    <s v="WIP00025"/>
    <x v="1"/>
    <m/>
    <s v="HPBL4/RAW/26-27/320"/>
    <n v="832"/>
    <n v="832"/>
    <s v="Kgs"/>
    <n v="832"/>
    <n v="0"/>
    <n v="832"/>
    <s v="GJ12BY0479"/>
    <s v="Plastene India ltd - Unit 1-Purchase"/>
    <s v="Plastene India ltd - Unit 1-Purchase"/>
    <s v="PIL1/D/918"/>
    <d v="2026-05-07T00:00:00"/>
    <s v="RAW MATERIAL"/>
    <s v="INDIGENOUS"/>
    <s v="RM 343"/>
    <n v="146.49"/>
    <n v="146.490000346405"/>
    <s v="PIL1/D/918"/>
    <d v="2026-05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114434.2799999998"/>
    <s v="SF"/>
    <s v="PP/PE Fabric"/>
    <s v="PP Lam Fabric"/>
    <s v="RM"/>
    <s v="erp"/>
    <n v="0"/>
    <n v="121879.67999999999"/>
    <n v="765"/>
    <d v="2026-05-07T00:00:00"/>
    <s v="24AAACO3087C1ZT"/>
    <s v="storepil6"/>
    <s v="storepil6"/>
    <n v="9"/>
    <n v="10969.17"/>
    <n v="9"/>
    <n v="10969.17"/>
    <n v="0"/>
    <n v="0"/>
    <n v="2114434.2799999998"/>
    <n v="692140167569"/>
    <d v="2026-07-05T00:00:00"/>
    <n v="0"/>
  </r>
  <r>
    <s v="HCP Plastene Bulkpack Ltd (Unit - IV)"/>
    <d v="2026-05-07T00:00:00"/>
    <s v="HPBL4/26-27/SII00804"/>
    <s v="WIP00025"/>
    <x v="1"/>
    <m/>
    <s v="HPBL4/RAW/26-27/320"/>
    <n v="1791"/>
    <n v="1791"/>
    <s v="Kgs"/>
    <n v="1791"/>
    <n v="0"/>
    <n v="1791"/>
    <s v="GJ12BY0479"/>
    <s v="Plastene India ltd - Unit 1-Purchase"/>
    <s v="Plastene India ltd - Unit 1-Purchase"/>
    <s v="PIL1/D/918"/>
    <d v="2026-05-07T00:00:00"/>
    <s v="RAW MATERIAL"/>
    <s v="INDIGENOUS"/>
    <s v="RM 343"/>
    <n v="151.49"/>
    <n v="151.490000358228"/>
    <s v="PIL1/D/918"/>
    <d v="2026-05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114434.2799999998"/>
    <s v="SF"/>
    <s v="PP/PE Fabric"/>
    <s v="PP Lam Fabric"/>
    <s v="RM"/>
    <s v="erp"/>
    <n v="0"/>
    <n v="271318.59000000003"/>
    <n v="765"/>
    <d v="2026-05-07T00:00:00"/>
    <s v="24AAACO3087C1ZT"/>
    <s v="storepil6"/>
    <s v="storepil6"/>
    <n v="9"/>
    <n v="24418.67"/>
    <n v="9"/>
    <n v="24418.67"/>
    <n v="0"/>
    <n v="0"/>
    <n v="0"/>
    <n v="692140167569"/>
    <d v="2026-07-05T00:00:00"/>
    <n v="0"/>
  </r>
  <r>
    <s v="HCP Plastene Bulkpack Ltd (Unit - IV)"/>
    <d v="2026-05-07T00:00:00"/>
    <s v="HPBL4/26-27/SII00804"/>
    <s v="WIP00023"/>
    <x v="0"/>
    <m/>
    <s v="HPBL4/RAW/26-27/320"/>
    <n v="2873"/>
    <n v="2873"/>
    <s v="Kgs"/>
    <n v="2873"/>
    <n v="0"/>
    <n v="2873"/>
    <s v="GJ12BY0479"/>
    <s v="Plastene India ltd - Unit 1-Purchase"/>
    <s v="Plastene India ltd - Unit 1-Purchase"/>
    <s v="PIL1/D/918"/>
    <d v="2026-05-07T00:00:00"/>
    <s v="RAW MATERIAL"/>
    <s v="INDIGENOUS"/>
    <s v="RM 343"/>
    <n v="146.49"/>
    <n v="146.490000346405"/>
    <s v="PIL1/D/918"/>
    <d v="2026-05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114434.2799999998"/>
    <s v="SF"/>
    <s v="PP/PE Fabric"/>
    <s v="PP UL Fabric"/>
    <s v="RM"/>
    <s v="erp"/>
    <n v="0"/>
    <n v="420865.77"/>
    <n v="765"/>
    <d v="2026-05-07T00:00:00"/>
    <s v="24AAACO3087C1ZT"/>
    <s v="storepil6"/>
    <s v="storepil6"/>
    <n v="9"/>
    <n v="37877.919999999998"/>
    <n v="9"/>
    <n v="37877.919999999998"/>
    <n v="0"/>
    <n v="0"/>
    <n v="0"/>
    <n v="692140167569"/>
    <d v="2026-07-05T00:00:00"/>
    <n v="0"/>
  </r>
  <r>
    <s v="HCP Plastene Bulkpack Ltd (Unit - IV)"/>
    <d v="2026-05-07T00:00:00"/>
    <s v="HPBL4/26-27/SII00804"/>
    <s v="WIP00023"/>
    <x v="0"/>
    <m/>
    <s v="HPBL4/RAW/26-27/320"/>
    <n v="1100"/>
    <n v="1100"/>
    <s v="Kgs"/>
    <n v="1100"/>
    <n v="0"/>
    <n v="1100"/>
    <s v="GJ12BY0479"/>
    <s v="Plastene India ltd - Unit 1-Purchase"/>
    <s v="Plastene India ltd - Unit 1-Purchase"/>
    <s v="PIL1/D/918"/>
    <d v="2026-05-07T00:00:00"/>
    <s v="RAW MATERIAL"/>
    <s v="INDIGENOUS"/>
    <s v="RM 343"/>
    <n v="147.49"/>
    <n v="147.490000348769"/>
    <s v="PIL1/D/918"/>
    <d v="2026-05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114434.2799999998"/>
    <s v="SF"/>
    <s v="PP/PE Fabric"/>
    <s v="PP UL Fabric"/>
    <s v="RM"/>
    <s v="erp"/>
    <n v="0"/>
    <n v="162239"/>
    <n v="765"/>
    <d v="2026-05-07T00:00:00"/>
    <s v="24AAACO3087C1ZT"/>
    <s v="storepil6"/>
    <s v="storepil6"/>
    <n v="9"/>
    <n v="14601.51"/>
    <n v="9"/>
    <n v="14601.51"/>
    <n v="0"/>
    <n v="0"/>
    <n v="0"/>
    <n v="692140167569"/>
    <d v="2026-07-05T00:00:00"/>
    <n v="0"/>
  </r>
  <r>
    <s v="HCP Plastene Bulkpack Ltd (Unit - IV)"/>
    <d v="2026-05-07T00:00:00"/>
    <s v="HPBL4/26-27/SII00804"/>
    <s v="WIP00023"/>
    <x v="0"/>
    <m/>
    <s v="HPBL4/RAW/26-27/320"/>
    <n v="3785"/>
    <n v="3785"/>
    <s v="Kgs"/>
    <n v="3785"/>
    <n v="0"/>
    <n v="3785"/>
    <s v="GJ12BY0479"/>
    <s v="Plastene India ltd - Unit 1-Purchase"/>
    <s v="Plastene India ltd - Unit 1-Purchase"/>
    <s v="PIL1/D/918"/>
    <d v="2026-05-07T00:00:00"/>
    <s v="RAW MATERIAL"/>
    <s v="INDIGENOUS"/>
    <s v="RM 343"/>
    <n v="144.49"/>
    <n v="144.490000341675"/>
    <s v="PIL1/D/918"/>
    <d v="2026-05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114434.2799999998"/>
    <s v="SF"/>
    <s v="PP/PE Fabric"/>
    <s v="PP UL Fabric"/>
    <s v="RM"/>
    <s v="erp"/>
    <n v="0"/>
    <n v="546894.65"/>
    <n v="765"/>
    <d v="2026-05-07T00:00:00"/>
    <s v="24AAACO3087C1ZT"/>
    <s v="storepil6"/>
    <s v="storepil6"/>
    <n v="9"/>
    <n v="49220.52"/>
    <n v="9"/>
    <n v="49220.52"/>
    <n v="0"/>
    <n v="0"/>
    <n v="0"/>
    <n v="692140167569"/>
    <d v="2026-07-05T00:00:00"/>
    <n v="0"/>
  </r>
  <r>
    <s v="HCP Plastene Bulkpack Ltd (Unit - IV)"/>
    <d v="2026-05-07T00:00:00"/>
    <s v="HPBL4/26-27/SII00804"/>
    <s v="WIP00032"/>
    <x v="3"/>
    <m/>
    <s v="HPBL4/RAW/26-27/320"/>
    <n v="5.5"/>
    <n v="5.5"/>
    <s v="Kgs"/>
    <n v="5.5"/>
    <n v="0"/>
    <n v="5.5"/>
    <s v="GJ12BY0479"/>
    <s v="Plastene India ltd - Unit 1-Purchase"/>
    <s v="Plastene India ltd - Unit 1-Purchase"/>
    <s v="PIL1/D/918"/>
    <d v="2026-05-07T00:00:00"/>
    <s v="RAW MATERIAL"/>
    <s v="INDIGENOUS"/>
    <s v="RM 343"/>
    <n v="170.49"/>
    <n v="170.49000040315701"/>
    <s v="PIL1/D/918"/>
    <d v="2026-05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114434.2799999998"/>
    <s v="SF"/>
    <s v="Webbing"/>
    <s v="PP Webbing"/>
    <s v="RM"/>
    <s v="erp"/>
    <n v="0"/>
    <n v="937.7"/>
    <n v="765"/>
    <d v="2026-05-07T00:00:00"/>
    <s v="24AAACO3087C1ZT"/>
    <s v="storepil6"/>
    <s v="storepil6"/>
    <n v="9"/>
    <n v="84.39"/>
    <n v="9"/>
    <n v="84.39"/>
    <n v="0"/>
    <n v="0"/>
    <n v="0"/>
    <n v="692140167569"/>
    <d v="2026-07-05T00:00:00"/>
    <n v="0"/>
  </r>
  <r>
    <s v="HCP Plastene Bulkpack Ltd (Unit - IV)"/>
    <d v="2026-05-07T00:00:00"/>
    <s v="HPBL4/26-27/SII00804"/>
    <s v="WIP00032"/>
    <x v="3"/>
    <m/>
    <s v="HPBL4/RAW/26-27/320"/>
    <n v="1212.2"/>
    <n v="1212.2"/>
    <s v="Kgs"/>
    <n v="1212.2"/>
    <n v="0"/>
    <n v="1212.2"/>
    <s v="GJ12BY0479"/>
    <s v="Plastene India ltd - Unit 1-Purchase"/>
    <s v="Plastene India ltd - Unit 1-Purchase"/>
    <s v="PIL1/D/918"/>
    <d v="2026-05-07T00:00:00"/>
    <s v="RAW MATERIAL"/>
    <s v="INDIGENOUS"/>
    <s v="RM 343"/>
    <n v="149.49"/>
    <n v="149.490000353499"/>
    <s v="PIL1/D/918"/>
    <d v="2026-05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114434.2799999998"/>
    <s v="SF"/>
    <s v="Webbing"/>
    <s v="PP Webbing"/>
    <s v="RM"/>
    <s v="erp"/>
    <n v="0"/>
    <n v="181211.78"/>
    <n v="765"/>
    <d v="2026-05-07T00:00:00"/>
    <s v="24AAACO3087C1ZT"/>
    <s v="storepil6"/>
    <s v="storepil6"/>
    <n v="9"/>
    <n v="16309.06"/>
    <n v="9"/>
    <n v="16309.06"/>
    <n v="0"/>
    <n v="0"/>
    <n v="0"/>
    <n v="692140167569"/>
    <d v="2026-07-05T00:00:00"/>
    <n v="0"/>
  </r>
  <r>
    <s v="HCP Plastene Bulkpack Ltd (Unit - IV)"/>
    <d v="2026-05-07T00:00:00"/>
    <s v="HPBL4/26-27/SII00804"/>
    <s v="WIP00032"/>
    <x v="3"/>
    <m/>
    <s v="HPBL4/RAW/26-27/320"/>
    <n v="590.79999999999995"/>
    <n v="590.79999999999995"/>
    <s v="Kgs"/>
    <n v="590.79999999999995"/>
    <n v="0"/>
    <n v="590.79999999999995"/>
    <s v="GJ12BY0479"/>
    <s v="Plastene India ltd - Unit 1-Purchase"/>
    <s v="Plastene India ltd - Unit 1-Purchase"/>
    <s v="PIL1/D/918"/>
    <d v="2026-05-07T00:00:00"/>
    <s v="RAW MATERIAL"/>
    <s v="INDIGENOUS"/>
    <s v="RM 343"/>
    <n v="146.49"/>
    <n v="146.490000346405"/>
    <s v="PIL1/D/918"/>
    <d v="2026-05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114434.2799999998"/>
    <s v="SF"/>
    <s v="Webbing"/>
    <s v="PP Webbing"/>
    <s v="RM"/>
    <s v="erp"/>
    <n v="0"/>
    <n v="86546.29"/>
    <n v="765"/>
    <d v="2026-05-07T00:00:00"/>
    <s v="24AAACO3087C1ZT"/>
    <s v="storepil6"/>
    <s v="storepil6"/>
    <n v="9"/>
    <n v="7789.17"/>
    <n v="9"/>
    <n v="7789.17"/>
    <n v="0"/>
    <n v="0"/>
    <n v="0"/>
    <n v="692140167569"/>
    <d v="2026-07-05T00:00:00"/>
    <n v="0"/>
  </r>
  <r>
    <s v="HCP Plastene Bulkpack Ltd (Unit - IV)"/>
    <d v="2026-06-07T00:00:00"/>
    <s v="HPBL4/26-27/SII00812"/>
    <s v="FIG00001"/>
    <x v="4"/>
    <m/>
    <s v="HPBL4/RAW/26-27/321"/>
    <n v="411"/>
    <n v="411"/>
    <s v="Kgs"/>
    <n v="411"/>
    <n v="0"/>
    <n v="411"/>
    <s v="GJ35T2925"/>
    <s v="Plastene Polyfilms Ltd-Purchase"/>
    <s v="Plastene Polyfilms Ltd-Purchase"/>
    <s v="PPL/D/313"/>
    <d v="2026-06-07T00:00:00"/>
    <s v="RAW MATERIAL"/>
    <s v="INDIGENOUS"/>
    <s v="RM 344"/>
    <n v="154.74"/>
    <n v="154.74"/>
    <s v="PPL/D/314"/>
    <d v="2026-06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17042.24000000001"/>
    <s v="FG"/>
    <s v="FIBC WIP"/>
    <s v="FIBC WIP"/>
    <s v="RM"/>
    <s v="erp"/>
    <n v="0"/>
    <n v="63598.14"/>
    <n v="779"/>
    <d v="2026-06-07T00:00:00"/>
    <s v="24AAFCP2956A1ZR"/>
    <s v="storepil6"/>
    <s v="storepil6"/>
    <n v="9"/>
    <n v="5723.83"/>
    <n v="9"/>
    <n v="5723.83"/>
    <n v="0"/>
    <n v="0"/>
    <n v="117042.24000000001"/>
    <n v="652140699143"/>
    <d v="2026-07-06T00:00:00"/>
    <n v="0"/>
  </r>
  <r>
    <s v="HCP Plastene Bulkpack Ltd (Unit - IV)"/>
    <d v="2026-06-07T00:00:00"/>
    <s v="HPBL4/26-27/SII00812"/>
    <s v="WIP00023"/>
    <x v="0"/>
    <m/>
    <s v="HPBL4/RAW/26-27/321"/>
    <n v="230"/>
    <n v="230"/>
    <s v="Kgs"/>
    <n v="230"/>
    <n v="0"/>
    <n v="230"/>
    <s v="GJ35T2925"/>
    <s v="Plastene Polyfilms Ltd-Purchase"/>
    <s v="Plastene Polyfilms Ltd-Purchase"/>
    <s v="PPL/D/313"/>
    <d v="2026-06-07T00:00:00"/>
    <s v="RAW MATERIAL"/>
    <s v="INDIGENOUS"/>
    <s v="RM 344"/>
    <n v="154.74"/>
    <n v="154.74"/>
    <s v="PPL/D/314"/>
    <d v="2026-06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17042.24000000001"/>
    <s v="SF"/>
    <s v="PP/PE Fabric"/>
    <s v="PP UL Fabric"/>
    <s v="RM"/>
    <s v="erp"/>
    <n v="0"/>
    <n v="35590.199999999997"/>
    <n v="779"/>
    <d v="2026-06-07T00:00:00"/>
    <s v="24AAFCP2956A1ZR"/>
    <s v="storepil6"/>
    <s v="storepil6"/>
    <n v="9"/>
    <n v="3203.12"/>
    <n v="9"/>
    <n v="3203.12"/>
    <n v="0"/>
    <n v="0"/>
    <n v="0"/>
    <n v="652140699143"/>
    <d v="2026-07-06T00:00:00"/>
    <n v="0"/>
  </r>
  <r>
    <s v="HCP Plastene Bulkpack Ltd (Unit - IV)"/>
    <d v="2026-06-07T00:00:00"/>
    <s v="HPBL4/26-27/SII00814"/>
    <s v="WIP00013"/>
    <x v="2"/>
    <m/>
    <s v="HPBL4/RAW/26-27/322"/>
    <n v="3556.1"/>
    <n v="3556.1"/>
    <s v="Kgs"/>
    <n v="3556.1"/>
    <n v="0"/>
    <n v="3556.1"/>
    <s v="GJ12BT2409"/>
    <s v="Plastene India ltd - Unit 1-Purchase"/>
    <s v="Plastene India ltd - Unit 1-Purchase"/>
    <s v="PIL1/D/934"/>
    <d v="2026-06-07T00:00:00"/>
    <s v="RAW MATERIAL"/>
    <s v="INDIGENOUS"/>
    <s v="RM 345"/>
    <n v="182.78"/>
    <n v="182.78000045439899"/>
    <s v="PIL1/D/934"/>
    <d v="2026-06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804490.68"/>
    <s v="SF"/>
    <s v="Liners"/>
    <s v="LDPE/LLDPE Bags"/>
    <s v="RM"/>
    <s v="erp"/>
    <n v="0"/>
    <n v="649983.96"/>
    <n v="775"/>
    <d v="2026-06-07T00:00:00"/>
    <s v="24AAACO3087C1ZT"/>
    <s v="storepil6"/>
    <s v="storepil6"/>
    <n v="9"/>
    <n v="58498.559999999998"/>
    <n v="9"/>
    <n v="58498.559999999998"/>
    <n v="0"/>
    <n v="0"/>
    <n v="804490.68"/>
    <n v="652140624244"/>
    <d v="2026-07-06T00:00:00"/>
    <n v="0"/>
  </r>
  <r>
    <s v="HCP Plastene Bulkpack Ltd (Unit - IV)"/>
    <d v="2026-06-07T00:00:00"/>
    <s v="HPBL4/26-27/SII00814"/>
    <s v="WIP00023"/>
    <x v="0"/>
    <m/>
    <s v="HPBL4/RAW/26-27/322"/>
    <n v="220"/>
    <n v="220"/>
    <s v="Kgs"/>
    <n v="220"/>
    <n v="0"/>
    <n v="220"/>
    <s v="GJ12BT2409"/>
    <s v="Plastene India ltd - Unit 1-Purchase"/>
    <s v="Plastene India ltd - Unit 1-Purchase"/>
    <s v="PIL1/D/934"/>
    <d v="2026-06-07T00:00:00"/>
    <s v="RAW MATERIAL"/>
    <s v="INDIGENOUS"/>
    <s v="RM 345"/>
    <n v="144.49"/>
    <n v="144.49000035920901"/>
    <s v="PIL1/D/934"/>
    <d v="2026-06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804490.68"/>
    <s v="SF"/>
    <s v="PP/PE Fabric"/>
    <s v="PP UL Fabric"/>
    <s v="RM"/>
    <s v="erp"/>
    <n v="0"/>
    <n v="31787.8"/>
    <n v="775"/>
    <d v="2026-06-07T00:00:00"/>
    <s v="24AAACO3087C1ZT"/>
    <s v="storepil6"/>
    <s v="storepil6"/>
    <n v="9"/>
    <n v="2860.9"/>
    <n v="9"/>
    <n v="2860.9"/>
    <n v="0"/>
    <n v="0"/>
    <n v="0"/>
    <n v="652140624244"/>
    <d v="2026-07-06T00:00:00"/>
    <n v="0"/>
  </r>
  <r>
    <s v="HCP Plastene Bulkpack Ltd (Unit - IV)"/>
    <d v="2026-06-07T00:00:00"/>
    <s v="HPBL4/26-27/SII00815"/>
    <s v="WIP00023"/>
    <x v="0"/>
    <m/>
    <s v="HPBL4/RAW/26-27/323"/>
    <n v="3213"/>
    <n v="3213"/>
    <s v="Kgs"/>
    <n v="3213"/>
    <n v="0"/>
    <n v="3213"/>
    <s v="GJ12BY0479"/>
    <s v="Plastene India ltd - Unit 1-Purchase"/>
    <s v="Plastene India ltd - Unit 1-Purchase"/>
    <s v="PIL1/D/932"/>
    <d v="2026-06-07T00:00:00"/>
    <s v="RAW MATERIAL"/>
    <s v="INDIGENOUS"/>
    <s v="RM 346"/>
    <n v="144.49"/>
    <n v="144.489999539438"/>
    <s v="PIL1/D/932"/>
    <d v="2026-06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568628.15"/>
    <s v="SF"/>
    <s v="PP/PE Fabric"/>
    <s v="PP UL Fabric"/>
    <s v="RM"/>
    <s v="erp"/>
    <n v="0"/>
    <n v="464246.37"/>
    <n v="772"/>
    <d v="2026-06-07T00:00:00"/>
    <s v="24AAACO3087C1ZT"/>
    <s v="storepil6"/>
    <s v="storepil6"/>
    <n v="9"/>
    <n v="41782.17"/>
    <n v="9"/>
    <n v="41782.17"/>
    <n v="0"/>
    <n v="0"/>
    <n v="1568628.15"/>
    <n v="662140413179"/>
    <d v="2026-07-06T00:00:00"/>
    <n v="0"/>
  </r>
  <r>
    <s v="HCP Plastene Bulkpack Ltd (Unit - IV)"/>
    <d v="2026-06-07T00:00:00"/>
    <s v="HPBL4/26-27/SII00815"/>
    <s v="WIP00023"/>
    <x v="0"/>
    <m/>
    <s v="HPBL4/RAW/26-27/323"/>
    <n v="1153"/>
    <n v="1153"/>
    <s v="Kgs"/>
    <n v="1153"/>
    <n v="0"/>
    <n v="1153"/>
    <s v="GJ12BY0479"/>
    <s v="Plastene India ltd - Unit 1-Purchase"/>
    <s v="Plastene India ltd - Unit 1-Purchase"/>
    <s v="PIL1/D/932"/>
    <d v="2026-06-07T00:00:00"/>
    <s v="RAW MATERIAL"/>
    <s v="INDIGENOUS"/>
    <s v="RM 346"/>
    <n v="147.49"/>
    <n v="147.489999529876"/>
    <s v="PIL1/D/932"/>
    <d v="2026-06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568628.15"/>
    <s v="SF"/>
    <s v="PP/PE Fabric"/>
    <s v="PP UL Fabric"/>
    <s v="RM"/>
    <s v="erp"/>
    <n v="0"/>
    <n v="170055.97"/>
    <n v="772"/>
    <d v="2026-06-07T00:00:00"/>
    <s v="24AAACO3087C1ZT"/>
    <s v="storepil6"/>
    <s v="storepil6"/>
    <n v="9"/>
    <n v="15305.04"/>
    <n v="9"/>
    <n v="15305.04"/>
    <n v="0"/>
    <n v="0"/>
    <n v="0"/>
    <n v="662140413179"/>
    <d v="2026-07-06T00:00:00"/>
    <n v="0"/>
  </r>
  <r>
    <s v="HCP Plastene Bulkpack Ltd (Unit - IV)"/>
    <d v="2026-06-07T00:00:00"/>
    <s v="HPBL4/26-27/SII00815"/>
    <s v="WIP00023"/>
    <x v="0"/>
    <m/>
    <s v="HPBL4/RAW/26-27/323"/>
    <n v="2826"/>
    <n v="2826"/>
    <s v="Kgs"/>
    <n v="2826"/>
    <n v="0"/>
    <n v="2826"/>
    <s v="GJ12BY0479"/>
    <s v="Plastene India ltd - Unit 1-Purchase"/>
    <s v="Plastene India ltd - Unit 1-Purchase"/>
    <s v="PIL1/D/932"/>
    <d v="2026-06-07T00:00:00"/>
    <s v="RAW MATERIAL"/>
    <s v="INDIGENOUS"/>
    <s v="RM 346"/>
    <n v="146.49"/>
    <n v="146.48999953306301"/>
    <s v="PIL1/D/932"/>
    <d v="2026-06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568628.15"/>
    <s v="SF"/>
    <s v="PP/PE Fabric"/>
    <s v="PP UL Fabric"/>
    <s v="RM"/>
    <s v="erp"/>
    <n v="0"/>
    <n v="413980.74"/>
    <n v="772"/>
    <d v="2026-06-07T00:00:00"/>
    <s v="24AAACO3087C1ZT"/>
    <s v="storepil6"/>
    <s v="storepil6"/>
    <n v="9"/>
    <n v="37258.269999999997"/>
    <n v="9"/>
    <n v="37258.269999999997"/>
    <n v="0"/>
    <n v="0"/>
    <n v="0"/>
    <n v="662140413179"/>
    <d v="2026-07-06T00:00:00"/>
    <n v="0"/>
  </r>
  <r>
    <s v="HCP Plastene Bulkpack Ltd (Unit - IV)"/>
    <d v="2026-06-07T00:00:00"/>
    <s v="HPBL4/26-27/SII00815"/>
    <s v="WIP00032"/>
    <x v="3"/>
    <m/>
    <s v="HPBL4/RAW/26-27/323"/>
    <n v="5.8"/>
    <n v="5.8"/>
    <s v="Kgs"/>
    <n v="5.8"/>
    <n v="0"/>
    <n v="5.8"/>
    <s v="GJ12BY0479"/>
    <s v="Plastene India ltd - Unit 1-Purchase"/>
    <s v="Plastene India ltd - Unit 1-Purchase"/>
    <s v="PIL1/D/932"/>
    <d v="2026-06-07T00:00:00"/>
    <s v="RAW MATERIAL"/>
    <s v="INDIGENOUS"/>
    <s v="RM 346"/>
    <n v="170.49"/>
    <n v="170.489999456563"/>
    <s v="PIL1/D/932"/>
    <d v="2026-06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568628.15"/>
    <s v="SF"/>
    <s v="Webbing"/>
    <s v="PP Webbing"/>
    <s v="RM"/>
    <s v="erp"/>
    <n v="0"/>
    <n v="988.84"/>
    <n v="772"/>
    <d v="2026-06-07T00:00:00"/>
    <s v="24AAACO3087C1ZT"/>
    <s v="storepil6"/>
    <s v="storepil6"/>
    <n v="9"/>
    <n v="89"/>
    <n v="9"/>
    <n v="89"/>
    <n v="0"/>
    <n v="0"/>
    <n v="0"/>
    <n v="662140413179"/>
    <d v="2026-07-06T00:00:00"/>
    <n v="0"/>
  </r>
  <r>
    <s v="HCP Plastene Bulkpack Ltd (Unit - IV)"/>
    <d v="2026-06-07T00:00:00"/>
    <s v="HPBL4/26-27/SII00815"/>
    <s v="WIP00032"/>
    <x v="3"/>
    <m/>
    <s v="HPBL4/RAW/26-27/323"/>
    <n v="706.1"/>
    <n v="706.1"/>
    <s v="Kgs"/>
    <n v="706.1"/>
    <n v="0"/>
    <n v="706.1"/>
    <s v="GJ12BY0479"/>
    <s v="Plastene India ltd - Unit 1-Purchase"/>
    <s v="Plastene India ltd - Unit 1-Purchase"/>
    <s v="PIL1/D/932"/>
    <d v="2026-06-07T00:00:00"/>
    <s v="RAW MATERIAL"/>
    <s v="INDIGENOUS"/>
    <s v="RM 346"/>
    <n v="146.49"/>
    <n v="146.48999953306301"/>
    <s v="PIL1/D/932"/>
    <d v="2026-06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568628.15"/>
    <s v="SF"/>
    <s v="Webbing"/>
    <s v="PP Webbing"/>
    <s v="RM"/>
    <s v="erp"/>
    <n v="0"/>
    <n v="103436.59"/>
    <n v="772"/>
    <d v="2026-06-07T00:00:00"/>
    <s v="24AAACO3087C1ZT"/>
    <s v="storepil6"/>
    <s v="storepil6"/>
    <n v="9"/>
    <n v="9309.2900000000009"/>
    <n v="9"/>
    <n v="9309.2900000000009"/>
    <n v="0"/>
    <n v="0"/>
    <n v="0"/>
    <n v="662140413179"/>
    <d v="2026-07-06T00:00:00"/>
    <n v="0"/>
  </r>
  <r>
    <s v="HCP Plastene Bulkpack Ltd (Unit - IV)"/>
    <d v="2026-06-07T00:00:00"/>
    <s v="HPBL4/26-27/SII00815"/>
    <s v="WIP00032"/>
    <x v="3"/>
    <m/>
    <s v="HPBL4/RAW/26-27/323"/>
    <n v="1181.5999999999999"/>
    <n v="1181.5999999999999"/>
    <s v="Kgs"/>
    <n v="1181.5999999999999"/>
    <n v="0"/>
    <n v="1181.5999999999999"/>
    <s v="GJ12BY0479"/>
    <s v="Plastene India ltd - Unit 1-Purchase"/>
    <s v="Plastene India ltd - Unit 1-Purchase"/>
    <s v="PIL1/D/932"/>
    <d v="2026-06-07T00:00:00"/>
    <s v="RAW MATERIAL"/>
    <s v="INDIGENOUS"/>
    <s v="RM 346"/>
    <n v="149.49"/>
    <n v="149.48999952350101"/>
    <s v="PIL1/D/932"/>
    <d v="2026-06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568628.15"/>
    <s v="SF"/>
    <s v="Webbing"/>
    <s v="PP Webbing"/>
    <s v="RM"/>
    <s v="erp"/>
    <n v="0"/>
    <n v="176637.38"/>
    <n v="772"/>
    <d v="2026-06-07T00:00:00"/>
    <s v="24AAACO3087C1ZT"/>
    <s v="storepil6"/>
    <s v="storepil6"/>
    <n v="9"/>
    <n v="15897.36"/>
    <n v="9"/>
    <n v="15897.36"/>
    <n v="0"/>
    <n v="0"/>
    <n v="0"/>
    <n v="662140413179"/>
    <d v="2026-07-06T00:00:00"/>
    <n v="0"/>
  </r>
  <r>
    <s v="HCP Plastene Bulkpack Ltd (Unit - IV)"/>
    <d v="2026-07-07T00:00:00"/>
    <s v="HPBL4/26-27/SII00818"/>
    <s v="WIP00023"/>
    <x v="0"/>
    <m/>
    <s v="HPBL4/RAW/26-27/324"/>
    <n v="762"/>
    <n v="762"/>
    <s v="Kgs"/>
    <n v="762"/>
    <n v="0"/>
    <n v="762"/>
    <s v="GJ35T2925"/>
    <s v="Plastene Polyfilms Ltd-Purchase"/>
    <s v="Plastene Polyfilms Ltd-Purchase"/>
    <s v="PPL/D/320"/>
    <d v="2026-07-07T00:00:00"/>
    <s v="RAW MATERIAL"/>
    <s v="INDIGENOUS"/>
    <s v="RM 347"/>
    <n v="154.74"/>
    <n v="154.74"/>
    <s v="PPL/D/320"/>
    <d v="2026-07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90444.7"/>
    <s v="SF"/>
    <s v="PP/PE Fabric"/>
    <s v="PP UL Fabric"/>
    <s v="RM"/>
    <s v="erp"/>
    <n v="0"/>
    <n v="117911.88"/>
    <n v="794"/>
    <d v="2026-07-07T00:00:00"/>
    <s v="24AAFCP2956A1ZR"/>
    <s v="storepil6"/>
    <s v="storepil6"/>
    <n v="9"/>
    <n v="10612.07"/>
    <n v="9"/>
    <n v="10612.07"/>
    <n v="0"/>
    <n v="0"/>
    <n v="190444.7"/>
    <n v="622141283045"/>
    <d v="2026-07-07T00:00:00"/>
    <n v="0"/>
  </r>
  <r>
    <s v="HCP Plastene Bulkpack Ltd (Unit - IV)"/>
    <d v="2026-07-07T00:00:00"/>
    <s v="HPBL4/26-27/SII00818"/>
    <s v="FIG00001"/>
    <x v="4"/>
    <m/>
    <s v="HPBL4/RAW/26-27/324"/>
    <n v="281"/>
    <n v="281"/>
    <s v="Kgs"/>
    <n v="281"/>
    <n v="0"/>
    <n v="281"/>
    <s v="GJ35T2925"/>
    <s v="Plastene Polyfilms Ltd-Purchase"/>
    <s v="Plastene Polyfilms Ltd-Purchase"/>
    <s v="PPL/D/320"/>
    <d v="2026-07-07T00:00:00"/>
    <s v="RAW MATERIAL"/>
    <s v="INDIGENOUS"/>
    <s v="RM 347"/>
    <n v="154.74"/>
    <n v="154.74"/>
    <s v="PPL/D/320"/>
    <d v="2026-07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90444.7"/>
    <s v="FG"/>
    <s v="FIBC WIP"/>
    <s v="FIBC WIP"/>
    <s v="RM"/>
    <s v="erp"/>
    <n v="0"/>
    <n v="43481.94"/>
    <n v="794"/>
    <d v="2026-07-07T00:00:00"/>
    <s v="24AAFCP2956A1ZR"/>
    <s v="storepil6"/>
    <s v="storepil6"/>
    <n v="9"/>
    <n v="3913.37"/>
    <n v="9"/>
    <n v="3913.37"/>
    <n v="0"/>
    <n v="0"/>
    <n v="0"/>
    <n v="622141283045"/>
    <d v="2026-07-07T00:00:00"/>
    <n v="0"/>
  </r>
  <r>
    <s v="HCP Plastene Bulkpack Ltd (Unit - IV)"/>
    <d v="2026-07-07T00:00:00"/>
    <s v="HPBL4/26-27/SII00820"/>
    <s v="WIP00013"/>
    <x v="2"/>
    <m/>
    <s v="HPBL4/RAW/26-27/327"/>
    <n v="193"/>
    <n v="193"/>
    <s v="Kgs"/>
    <n v="193"/>
    <n v="0"/>
    <n v="193"/>
    <s v="GJ12BU0544"/>
    <s v="Plastene India ltd - Unit 1-Purchase"/>
    <s v="Plastene India ltd - Unit 1-Purchase"/>
    <s v="PIL1/D/953"/>
    <d v="2026-07-07T00:00:00"/>
    <s v="RAW MATERIAL"/>
    <s v="INDIGENOUS"/>
    <s v="RM 348"/>
    <n v="182.78"/>
    <n v="182.78"/>
    <s v="PIL1/D/953"/>
    <d v="2026-07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41626.32"/>
    <s v="SF"/>
    <s v="Liners"/>
    <s v="LDPE/LLDPE Bags"/>
    <s v="RM"/>
    <s v="erp"/>
    <n v="0"/>
    <n v="35276.54"/>
    <n v="791"/>
    <d v="2026-07-07T00:00:00"/>
    <s v="24AAACO3087C1ZT"/>
    <s v="storepil6"/>
    <s v="storepil6"/>
    <n v="9"/>
    <n v="3174.89"/>
    <n v="9"/>
    <n v="3174.89"/>
    <n v="0"/>
    <n v="0"/>
    <n v="41626.32"/>
    <n v="662141155762"/>
    <d v="2026-07-07T00:00:00"/>
    <n v="0"/>
  </r>
  <r>
    <s v="HCP Plastene Bulkpack Ltd (Unit - IV)"/>
    <d v="2026-07-07T00:00:00"/>
    <s v="HPBL4/26-27/SII00822"/>
    <s v="WIP00023"/>
    <x v="0"/>
    <m/>
    <s v="HPBL4/RAW/26-27/328"/>
    <n v="1093"/>
    <n v="1093"/>
    <s v="Kgs"/>
    <n v="1093"/>
    <n v="0"/>
    <n v="1093"/>
    <s v="GJ09Z0572"/>
    <s v="Plastene India ltd - Unit 1-Purchase"/>
    <s v="Plastene India ltd - Unit 1-Purchase"/>
    <s v="PIL1/D/948"/>
    <d v="2026-07-07T00:00:00"/>
    <s v="RAW MATERIAL"/>
    <s v="INDIGENOUS"/>
    <s v="RM 349"/>
    <n v="146.49"/>
    <n v="146.49"/>
    <s v="PIL1/D/948"/>
    <d v="2026-07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88934.01"/>
    <s v="SF"/>
    <s v="PP/PE Fabric"/>
    <s v="PP UL Fabric"/>
    <s v="RM"/>
    <s v="erp"/>
    <n v="0"/>
    <n v="160113.57"/>
    <n v="789"/>
    <d v="2026-07-07T00:00:00"/>
    <s v="24AAACO3087C1ZT"/>
    <s v="storepil6"/>
    <s v="storepil6"/>
    <n v="9"/>
    <n v="14410.22"/>
    <n v="9"/>
    <n v="14410.22"/>
    <n v="0"/>
    <n v="0"/>
    <n v="188934.01"/>
    <n v="602141031084"/>
    <d v="2026-07-07T00:00:00"/>
    <n v="0"/>
  </r>
  <r>
    <s v="HCP Plastene Bulkpack Ltd (Unit - IV)"/>
    <d v="2026-07-07T00:00:00"/>
    <s v="HPBL4/26-27/SII00823"/>
    <s v="WIP00023"/>
    <x v="0"/>
    <m/>
    <s v="HPBL4/RAW/26-27/329"/>
    <n v="410"/>
    <n v="410"/>
    <s v="Kgs"/>
    <n v="410"/>
    <n v="0"/>
    <n v="410"/>
    <s v="GJ12BT2409"/>
    <s v="Plastene India ltd - Unit 1-Purchase"/>
    <s v="Plastene India ltd - Unit 1-Purchase"/>
    <s v="PIL1/D/935"/>
    <d v="2026-06-07T00:00:00"/>
    <s v="RAW MATERIAL"/>
    <s v="INDIGENOUS"/>
    <s v="RM 350"/>
    <n v="144.49"/>
    <n v="144.49"/>
    <s v="PIL1/D/935"/>
    <d v="2026-06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69904.259999999995"/>
    <s v="SF"/>
    <s v="PP/PE Fabric"/>
    <s v="PP UL Fabric"/>
    <s v="RM"/>
    <s v="erp"/>
    <n v="0"/>
    <n v="59240.9"/>
    <n v="787"/>
    <d v="2026-07-07T00:00:00"/>
    <s v="24AAACO3087C1ZT"/>
    <s v="storepil6"/>
    <s v="storepil6"/>
    <n v="9"/>
    <n v="5331.68"/>
    <n v="9"/>
    <n v="5331.68"/>
    <n v="0"/>
    <n v="0"/>
    <n v="69904.259999999995"/>
    <n v="642140659988"/>
    <d v="2026-07-06T00:00:00"/>
    <n v="0"/>
  </r>
  <r>
    <s v="HCP Plastene Bulkpack Ltd (Unit - IV)"/>
    <d v="2026-07-07T00:00:00"/>
    <s v="HPBL4/26-27/SII00824"/>
    <s v="WIP00013"/>
    <x v="2"/>
    <m/>
    <s v="HPBL4/RAW/26-27/330"/>
    <n v="1036"/>
    <n v="1036"/>
    <s v="Kgs"/>
    <n v="1036"/>
    <n v="0"/>
    <n v="1036"/>
    <s v="GJ12BT2409"/>
    <s v="Plastene India ltd - Unit 1-Purchase"/>
    <s v="Plastene India ltd - Unit 1-Purchase"/>
    <s v="PIL1/D/954"/>
    <d v="2026-07-07T00:00:00"/>
    <s v="RAW MATERIAL"/>
    <s v="INDIGENOUS"/>
    <s v="RM 351"/>
    <n v="182.78"/>
    <n v="182.780002768662"/>
    <s v="PIL1/D/954"/>
    <d v="2026-07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462122.11"/>
    <s v="SF"/>
    <s v="Liners"/>
    <s v="LDPE/LLDPE Bags"/>
    <s v="RM"/>
    <s v="erp"/>
    <n v="0"/>
    <n v="189360.08"/>
    <n v="793"/>
    <d v="2026-07-07T00:00:00"/>
    <s v="24AAACO3087C1ZT"/>
    <s v="storepil6"/>
    <s v="storepil6"/>
    <n v="9"/>
    <n v="17042.41"/>
    <n v="9"/>
    <n v="17042.41"/>
    <n v="0"/>
    <n v="0"/>
    <n v="462122.11"/>
    <n v="672141162299"/>
    <d v="2026-07-07T00:00:00"/>
    <n v="0"/>
  </r>
  <r>
    <s v="HCP Plastene Bulkpack Ltd (Unit - IV)"/>
    <d v="2026-07-07T00:00:00"/>
    <s v="HPBL4/26-27/SII00824"/>
    <s v="WIP00032"/>
    <x v="3"/>
    <m/>
    <s v="HPBL4/RAW/26-27/330"/>
    <n v="882.3"/>
    <n v="882.3"/>
    <s v="Kgs"/>
    <n v="882.3"/>
    <n v="0"/>
    <n v="882.3"/>
    <s v="GJ12BT2409"/>
    <s v="Plastene India ltd - Unit 1-Purchase"/>
    <s v="Plastene India ltd - Unit 1-Purchase"/>
    <s v="PIL1/D/954"/>
    <d v="2026-07-07T00:00:00"/>
    <s v="RAW MATERIAL"/>
    <s v="INDIGENOUS"/>
    <s v="RM 351"/>
    <n v="149.49"/>
    <n v="149.49000226440199"/>
    <s v="PIL1/D/954"/>
    <d v="2026-07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462122.11"/>
    <s v="SF"/>
    <s v="Webbing"/>
    <s v="PP Webbing"/>
    <s v="RM"/>
    <s v="erp"/>
    <n v="0"/>
    <n v="131895.03"/>
    <n v="793"/>
    <d v="2026-07-07T00:00:00"/>
    <s v="24AAACO3087C1ZT"/>
    <s v="storepil6"/>
    <s v="storepil6"/>
    <n v="9"/>
    <n v="11870.55"/>
    <n v="9"/>
    <n v="11870.55"/>
    <n v="0"/>
    <n v="0"/>
    <n v="0"/>
    <n v="672141162299"/>
    <d v="2026-07-07T00:00:00"/>
    <n v="0"/>
  </r>
  <r>
    <s v="HCP Plastene Bulkpack Ltd (Unit - IV)"/>
    <d v="2026-07-07T00:00:00"/>
    <s v="HPBL4/26-27/SII00824"/>
    <s v="WIP00032"/>
    <x v="3"/>
    <m/>
    <s v="HPBL4/RAW/26-27/330"/>
    <n v="480.4"/>
    <n v="480.4"/>
    <s v="Kgs"/>
    <n v="480.4"/>
    <n v="0"/>
    <n v="480.4"/>
    <s v="GJ12BT2409"/>
    <s v="Plastene India ltd - Unit 1-Purchase"/>
    <s v="Plastene India ltd - Unit 1-Purchase"/>
    <s v="PIL1/D/954"/>
    <d v="2026-07-07T00:00:00"/>
    <s v="RAW MATERIAL"/>
    <s v="INDIGENOUS"/>
    <s v="RM 351"/>
    <n v="146.49"/>
    <n v="146.49000221895901"/>
    <s v="PIL1/D/954"/>
    <d v="2026-07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462122.11"/>
    <s v="SF"/>
    <s v="Webbing"/>
    <s v="PP Webbing"/>
    <s v="RM"/>
    <s v="erp"/>
    <n v="0"/>
    <n v="70373.8"/>
    <n v="793"/>
    <d v="2026-07-07T00:00:00"/>
    <s v="24AAACO3087C1ZT"/>
    <s v="storepil6"/>
    <s v="storepil6"/>
    <n v="9"/>
    <n v="6333.64"/>
    <n v="9"/>
    <n v="6333.64"/>
    <n v="0"/>
    <n v="0"/>
    <n v="0"/>
    <n v="672141162299"/>
    <d v="2026-07-07T00:00:00"/>
    <n v="0"/>
  </r>
  <r>
    <s v="HCP Plastene Bulkpack Ltd (Unit - IV)"/>
    <d v="2026-07-07T00:00:00"/>
    <s v="HPBL4/26-27/SII00825"/>
    <s v="WIP00023"/>
    <x v="0"/>
    <m/>
    <s v="HPBL4/RAW/26-27/331"/>
    <n v="3931"/>
    <n v="3931"/>
    <s v="Kgs"/>
    <n v="3931"/>
    <n v="0"/>
    <n v="3931"/>
    <s v="GJ12BY0479"/>
    <s v="Plastene India ltd - Unit 1-Purchase"/>
    <s v="Plastene India ltd - Unit 1-Purchase"/>
    <s v="PIL1/D/945"/>
    <d v="2026-07-07T00:00:00"/>
    <s v="RAW MATERIAL"/>
    <s v="INDIGENOUS"/>
    <s v="RM 352"/>
    <n v="146.49"/>
    <n v="146.49"/>
    <s v="PIL1/D/945"/>
    <d v="2026-07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39864.26"/>
    <s v="SF"/>
    <s v="PP/PE Fabric"/>
    <s v="PP UL Fabric"/>
    <s v="RM"/>
    <s v="erp"/>
    <n v="0"/>
    <n v="575852.18999999994"/>
    <n v="788"/>
    <d v="2026-07-07T00:00:00"/>
    <s v="24AAACO3087C1ZT"/>
    <s v="storepil6"/>
    <s v="storepil6"/>
    <n v="9"/>
    <n v="51826.7"/>
    <n v="9"/>
    <n v="51826.7"/>
    <n v="0"/>
    <n v="0"/>
    <n v="1339864.26"/>
    <n v="602140989135"/>
    <d v="2026-07-07T00:00:00"/>
    <n v="0"/>
  </r>
  <r>
    <s v="HCP Plastene Bulkpack Ltd (Unit - IV)"/>
    <d v="2026-07-07T00:00:00"/>
    <s v="HPBL4/26-27/SII00825"/>
    <s v="WIP00023"/>
    <x v="0"/>
    <m/>
    <s v="HPBL4/RAW/26-27/331"/>
    <n v="2786"/>
    <n v="2786"/>
    <s v="Kgs"/>
    <n v="2786"/>
    <n v="0"/>
    <n v="2786"/>
    <s v="GJ12BY0479"/>
    <s v="Plastene India ltd - Unit 1-Purchase"/>
    <s v="Plastene India ltd - Unit 1-Purchase"/>
    <s v="PIL1/D/945"/>
    <d v="2026-07-07T00:00:00"/>
    <s v="RAW MATERIAL"/>
    <s v="INDIGENOUS"/>
    <s v="RM 352"/>
    <n v="144.49"/>
    <n v="144.49"/>
    <s v="PIL1/D/945"/>
    <d v="2026-07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39864.26"/>
    <s v="SF"/>
    <s v="PP/PE Fabric"/>
    <s v="PP UL Fabric"/>
    <s v="RM"/>
    <s v="erp"/>
    <n v="0"/>
    <n v="402549.14"/>
    <n v="788"/>
    <d v="2026-07-07T00:00:00"/>
    <s v="24AAACO3087C1ZT"/>
    <s v="storepil6"/>
    <s v="storepil6"/>
    <n v="9"/>
    <n v="36229.42"/>
    <n v="9"/>
    <n v="36229.42"/>
    <n v="0"/>
    <n v="0"/>
    <n v="0"/>
    <n v="602140989135"/>
    <d v="2026-07-07T00:00:00"/>
    <n v="0"/>
  </r>
  <r>
    <s v="HCP Plastene Bulkpack Ltd (Unit - IV)"/>
    <d v="2026-07-07T00:00:00"/>
    <s v="HPBL4/26-27/SII00825"/>
    <s v="WIP00023"/>
    <x v="0"/>
    <m/>
    <s v="HPBL4/RAW/26-27/331"/>
    <n v="1065"/>
    <n v="1065"/>
    <s v="Kgs"/>
    <n v="1065"/>
    <n v="0"/>
    <n v="1065"/>
    <s v="GJ12BY0479"/>
    <s v="Plastene India ltd - Unit 1-Purchase"/>
    <s v="Plastene India ltd - Unit 1-Purchase"/>
    <s v="PIL1/D/945"/>
    <d v="2026-07-07T00:00:00"/>
    <s v="RAW MATERIAL"/>
    <s v="INDIGENOUS"/>
    <s v="RM 352"/>
    <n v="147.49"/>
    <n v="147.49"/>
    <s v="PIL1/D/945"/>
    <d v="2026-07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39864.26"/>
    <s v="SF"/>
    <s v="PP/PE Fabric"/>
    <s v="PP UL Fabric"/>
    <s v="RM"/>
    <s v="erp"/>
    <n v="0"/>
    <n v="157076.85"/>
    <n v="788"/>
    <d v="2026-07-07T00:00:00"/>
    <s v="24AAACO3087C1ZT"/>
    <s v="storepil6"/>
    <s v="storepil6"/>
    <n v="9"/>
    <n v="14136.92"/>
    <n v="9"/>
    <n v="14136.92"/>
    <n v="0"/>
    <n v="0"/>
    <n v="0"/>
    <n v="602140989135"/>
    <d v="2026-07-07T00:00:00"/>
    <n v="0"/>
  </r>
  <r>
    <s v="HCP Plastene Bulkpack Ltd (Unit - IV)"/>
    <d v="2026-07-07T00:00:00"/>
    <s v="HPBL4/26-27/SII00826"/>
    <s v="WIP00025"/>
    <x v="1"/>
    <m/>
    <s v="HPBL4/RAW/26-27/332"/>
    <n v="406"/>
    <n v="406"/>
    <s v="Kgs"/>
    <n v="406"/>
    <n v="0"/>
    <n v="406"/>
    <s v="GJ12BY0479"/>
    <s v="Plastene India ltd - Unit 1-Purchase"/>
    <s v="Plastene India ltd - Unit 1-Purchase"/>
    <s v="PIL1/D/950"/>
    <d v="2026-07-07T00:00:00"/>
    <s v="RAW MATERIAL"/>
    <s v="INDIGENOUS"/>
    <s v="RM 353"/>
    <n v="149.49"/>
    <n v="149.49"/>
    <s v="PIL1/D/950"/>
    <d v="2026-07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659196.13"/>
    <s v="SF"/>
    <s v="PP/PE Fabric"/>
    <s v="PP Lam Fabric"/>
    <s v="RM"/>
    <s v="erp"/>
    <n v="0"/>
    <n v="60692.94"/>
    <n v="790"/>
    <d v="2026-07-07T00:00:00"/>
    <s v="24AAACO3087C1ZT"/>
    <s v="storepil6"/>
    <s v="storepil6"/>
    <n v="9"/>
    <n v="5462.36"/>
    <n v="9"/>
    <n v="5462.36"/>
    <n v="0"/>
    <n v="0"/>
    <n v="659196.13"/>
    <n v="652141068595"/>
    <d v="2026-07-07T00:00:00"/>
    <n v="0"/>
  </r>
  <r>
    <s v="HCP Plastene Bulkpack Ltd (Unit - IV)"/>
    <d v="2026-07-07T00:00:00"/>
    <s v="HPBL4/26-27/SII00826"/>
    <s v="WIP00025"/>
    <x v="1"/>
    <m/>
    <s v="HPBL4/RAW/26-27/332"/>
    <n v="1739"/>
    <n v="1739"/>
    <s v="Kgs"/>
    <n v="1739"/>
    <n v="0"/>
    <n v="1739"/>
    <s v="GJ12BY0479"/>
    <s v="Plastene India ltd - Unit 1-Purchase"/>
    <s v="Plastene India ltd - Unit 1-Purchase"/>
    <s v="PIL1/D/950"/>
    <d v="2026-07-07T00:00:00"/>
    <s v="RAW MATERIAL"/>
    <s v="INDIGENOUS"/>
    <s v="RM 353"/>
    <n v="151.49"/>
    <n v="151.49"/>
    <s v="PIL1/D/950"/>
    <d v="2026-07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659196.13"/>
    <s v="SF"/>
    <s v="PP/PE Fabric"/>
    <s v="PP Lam Fabric"/>
    <s v="RM"/>
    <s v="erp"/>
    <n v="0"/>
    <n v="263441.11"/>
    <n v="790"/>
    <d v="2026-07-07T00:00:00"/>
    <s v="24AAACO3087C1ZT"/>
    <s v="storepil6"/>
    <s v="storepil6"/>
    <n v="9"/>
    <n v="23709.7"/>
    <n v="9"/>
    <n v="23709.7"/>
    <n v="0"/>
    <n v="0"/>
    <n v="0"/>
    <n v="652141068595"/>
    <d v="2026-07-07T00:00:00"/>
    <n v="0"/>
  </r>
  <r>
    <s v="HCP Plastene Bulkpack Ltd (Unit - IV)"/>
    <d v="2026-07-07T00:00:00"/>
    <s v="HPBL4/26-27/SII00826"/>
    <s v="WIP00013"/>
    <x v="2"/>
    <m/>
    <s v="HPBL4/RAW/26-27/332"/>
    <n v="1283"/>
    <n v="1283"/>
    <s v="Kgs"/>
    <n v="1283"/>
    <n v="0"/>
    <n v="1283"/>
    <s v="GJ12BY0479"/>
    <s v="Plastene India ltd - Unit 1-Purchase"/>
    <s v="Plastene India ltd - Unit 1-Purchase"/>
    <s v="PIL1/D/950"/>
    <d v="2026-07-07T00:00:00"/>
    <s v="RAW MATERIAL"/>
    <s v="INDIGENOUS"/>
    <s v="RM 353"/>
    <n v="182.78"/>
    <n v="182.78"/>
    <s v="PIL1/D/950"/>
    <d v="2026-07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659196.13"/>
    <s v="SF"/>
    <s v="Liners"/>
    <s v="LDPE/LLDPE Bags"/>
    <s v="RM"/>
    <s v="erp"/>
    <n v="0"/>
    <n v="234506.74"/>
    <n v="790"/>
    <d v="2026-07-07T00:00:00"/>
    <s v="24AAACO3087C1ZT"/>
    <s v="storepil6"/>
    <s v="storepil6"/>
    <n v="9"/>
    <n v="21105.61"/>
    <n v="9"/>
    <n v="21105.61"/>
    <n v="0"/>
    <n v="0"/>
    <n v="0"/>
    <n v="652141068595"/>
    <d v="2026-07-07T00:00:00"/>
    <n v="0"/>
  </r>
  <r>
    <s v="HCP Plastene Bulkpack Ltd (Unit - IV)"/>
    <d v="2026-08-07T00:00:00"/>
    <s v="HPBL4/26-27/SII00830"/>
    <s v="WIP00023"/>
    <x v="0"/>
    <m/>
    <s v="HPBL4/RAW/26-27/334"/>
    <n v="8789.9"/>
    <n v="8789.9"/>
    <s v="Kgs"/>
    <n v="8789.9"/>
    <n v="0"/>
    <n v="8789.9"/>
    <s v="GJ24X2047"/>
    <s v="Plastene India ltd - Unit 2-Purchase"/>
    <s v="Plastene India ltd - Unit 2-Purchase"/>
    <s v="PIL2/D/344"/>
    <d v="2026-07-07T00:00:00"/>
    <s v="RAW MATERIAL"/>
    <s v="INDIGENOUS"/>
    <s v="RM 354"/>
    <n v="111.6"/>
    <n v="111.6"/>
    <s v="PIL2/D/344"/>
    <d v="2026-07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157524.3600000001"/>
    <s v="SF"/>
    <s v="PP/PE Fabric"/>
    <s v="PP UL Fabric"/>
    <s v="RM"/>
    <s v="erp"/>
    <n v="0"/>
    <n v="980952.84"/>
    <n v="796"/>
    <d v="2026-08-07T00:00:00"/>
    <s v="24AAACO3087C1ZT"/>
    <s v="storepil6"/>
    <s v="storepil6"/>
    <n v="9"/>
    <n v="88285.759999999995"/>
    <n v="9"/>
    <n v="88285.759999999995"/>
    <n v="0"/>
    <n v="0"/>
    <n v="1157524.3600000001"/>
    <n v="652140826767"/>
    <d v="2026-07-08T00:00:00"/>
    <n v="0"/>
  </r>
  <r>
    <s v="HCP Plastene Bulkpack Ltd (Unit - IV)"/>
    <d v="2026-08-07T00:00:00"/>
    <s v="HPBL4/26-27/SII00831"/>
    <s v="WIP00013"/>
    <x v="2"/>
    <m/>
    <s v="HPBL4/RAW/26-27/335"/>
    <n v="1155"/>
    <n v="1155"/>
    <s v="Kgs"/>
    <n v="1155"/>
    <n v="0"/>
    <n v="1155"/>
    <s v="GJ35T2925"/>
    <s v="Plastene India ltd - Unit 1-Purchase"/>
    <s v="Plastene India ltd - Unit 1-Purchase"/>
    <s v="PIL1/D/976"/>
    <d v="2026-08-07T00:00:00"/>
    <s v="RAW MATERIAL"/>
    <s v="INDIGENOUS"/>
    <s v="RM 355"/>
    <n v="182.78"/>
    <n v="182.78"/>
    <s v="PIL1/D/976"/>
    <d v="2026-08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49110.86"/>
    <s v="SF"/>
    <s v="Liners"/>
    <s v="LDPE/LLDPE Bags"/>
    <s v="RM"/>
    <s v="erp"/>
    <n v="0"/>
    <n v="211110.9"/>
    <n v="805"/>
    <d v="2026-08-07T00:00:00"/>
    <s v="24AAACO3087C1ZT"/>
    <s v="storepil6"/>
    <s v="storepil6"/>
    <n v="9"/>
    <n v="18999.98"/>
    <n v="9"/>
    <n v="18999.98"/>
    <n v="0"/>
    <n v="0"/>
    <n v="249110.86"/>
    <n v="662141822387"/>
    <d v="2026-07-08T00:00:00"/>
    <n v="0"/>
  </r>
  <r>
    <s v="HCP Plastene Bulkpack Ltd (Unit - IV)"/>
    <d v="2026-08-07T00:00:00"/>
    <s v="HPBL4/26-27/SII00834"/>
    <s v="FIG00001"/>
    <x v="4"/>
    <m/>
    <s v="HPBL4/RAW/26-27/336"/>
    <n v="295"/>
    <n v="295"/>
    <s v="Kgs"/>
    <n v="295"/>
    <n v="0"/>
    <n v="295"/>
    <s v="GJ35T2925"/>
    <s v="Plastene Polyfilms Ltd-Purchase"/>
    <s v="Plastene Polyfilms Ltd-Purchase"/>
    <s v="PPL/D/325"/>
    <d v="2026-08-07T00:00:00"/>
    <s v="RAW MATERIAL"/>
    <s v="INDIGENOUS"/>
    <s v="RM 356"/>
    <n v="154.74"/>
    <n v="154.74"/>
    <s v="PPL/D/325"/>
    <d v="2026-08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56401.62"/>
    <s v="FG"/>
    <s v="FIBC WIP"/>
    <s v="FIBC WIP"/>
    <s v="RM"/>
    <s v="erp"/>
    <n v="0"/>
    <n v="45648.3"/>
    <n v="804"/>
    <d v="2026-08-07T00:00:00"/>
    <s v="24AAFCP2956A1ZR"/>
    <s v="storepil6"/>
    <s v="storepil6"/>
    <n v="9"/>
    <n v="4108.3500000000004"/>
    <n v="9"/>
    <n v="4108.3500000000004"/>
    <n v="0"/>
    <n v="0"/>
    <n v="156401.62"/>
    <n v="682141709859"/>
    <d v="2026-07-08T00:00:00"/>
    <n v="0"/>
  </r>
  <r>
    <s v="HCP Plastene Bulkpack Ltd (Unit - IV)"/>
    <d v="2026-08-07T00:00:00"/>
    <s v="HPBL4/26-27/SII00834"/>
    <s v="WIP00025"/>
    <x v="1"/>
    <m/>
    <s v="HPBL4/RAW/26-27/336"/>
    <n v="215"/>
    <n v="215"/>
    <s v="Kgs"/>
    <n v="215"/>
    <n v="0"/>
    <n v="215"/>
    <s v="GJ35T2925"/>
    <s v="Plastene Polyfilms Ltd-Purchase"/>
    <s v="Plastene Polyfilms Ltd-Purchase"/>
    <s v="PPL/D/325"/>
    <d v="2026-08-07T00:00:00"/>
    <s v="RAW MATERIAL"/>
    <s v="INDIGENOUS"/>
    <s v="RM 356"/>
    <n v="158.74"/>
    <n v="158.74"/>
    <s v="PPL/D/325"/>
    <d v="2026-08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56401.62"/>
    <s v="SF"/>
    <s v="PP/PE Fabric"/>
    <s v="PP Lam Fabric"/>
    <s v="RM"/>
    <s v="erp"/>
    <n v="0"/>
    <n v="34129.1"/>
    <n v="804"/>
    <d v="2026-08-07T00:00:00"/>
    <s v="24AAFCP2956A1ZR"/>
    <s v="storepil6"/>
    <s v="storepil6"/>
    <n v="9"/>
    <n v="3071.62"/>
    <n v="9"/>
    <n v="3071.62"/>
    <n v="0"/>
    <n v="0"/>
    <n v="0"/>
    <n v="682141709859"/>
    <d v="2026-07-08T00:00:00"/>
    <n v="0"/>
  </r>
  <r>
    <s v="HCP Plastene Bulkpack Ltd (Unit - IV)"/>
    <d v="2026-08-07T00:00:00"/>
    <s v="HPBL4/26-27/SII00834"/>
    <s v="WIP00023"/>
    <x v="0"/>
    <m/>
    <s v="HPBL4/RAW/26-27/336"/>
    <n v="341"/>
    <n v="341"/>
    <s v="Kgs"/>
    <n v="341"/>
    <n v="0"/>
    <n v="341"/>
    <s v="GJ35T2925"/>
    <s v="Plastene Polyfilms Ltd-Purchase"/>
    <s v="Plastene Polyfilms Ltd-Purchase"/>
    <s v="PPL/D/325"/>
    <d v="2026-08-07T00:00:00"/>
    <s v="RAW MATERIAL"/>
    <s v="INDIGENOUS"/>
    <s v="RM 356"/>
    <n v="154.74"/>
    <n v="154.74"/>
    <s v="PPL/D/325"/>
    <d v="2026-08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56401.62"/>
    <s v="SF"/>
    <s v="PP/PE Fabric"/>
    <s v="PP UL Fabric"/>
    <s v="RM"/>
    <s v="erp"/>
    <n v="0"/>
    <n v="52766.34"/>
    <n v="804"/>
    <d v="2026-08-07T00:00:00"/>
    <s v="24AAFCP2956A1ZR"/>
    <s v="storepil6"/>
    <s v="storepil6"/>
    <n v="9"/>
    <n v="4748.97"/>
    <n v="9"/>
    <n v="4748.97"/>
    <n v="0"/>
    <n v="0"/>
    <n v="0"/>
    <n v="682141709859"/>
    <d v="2026-07-08T00:00:00"/>
    <n v="0"/>
  </r>
  <r>
    <s v="HCP Plastene Bulkpack Ltd (Unit - IV)"/>
    <d v="2026-08-07T00:00:00"/>
    <s v="HPBL4/26-27/SII00835"/>
    <s v="WIP00013"/>
    <x v="2"/>
    <m/>
    <s v="HPBL4/RAW/26-27/337"/>
    <n v="2566"/>
    <n v="2566"/>
    <s v="Kgs"/>
    <n v="2566"/>
    <n v="0"/>
    <n v="2566"/>
    <s v="GJ12BT2409"/>
    <s v="Plastene India ltd - Unit 1-Purchase"/>
    <s v="Plastene India ltd - Unit 1-Purchase"/>
    <s v="PIL1/D/966"/>
    <d v="2026-08-07T00:00:00"/>
    <s v="RAW MATERIAL"/>
    <s v="INDIGENOUS"/>
    <s v="RM 357"/>
    <n v="182.78"/>
    <n v="182.78"/>
    <s v="PIL1/D/966"/>
    <d v="2026-08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553435.9"/>
    <s v="SF"/>
    <s v="Liners"/>
    <s v="LDPE/LLDPE Bags"/>
    <s v="RM"/>
    <s v="erp"/>
    <n v="0"/>
    <n v="469013.48"/>
    <n v="800"/>
    <d v="2026-08-07T00:00:00"/>
    <s v="24AAACO3087C1ZT"/>
    <s v="storepil6"/>
    <s v="storepil6"/>
    <n v="9"/>
    <n v="42211.21"/>
    <n v="9"/>
    <n v="42211.21"/>
    <n v="0"/>
    <n v="0"/>
    <n v="553435.9"/>
    <n v="662141612944"/>
    <d v="2026-07-08T00:00:00"/>
    <n v="0"/>
  </r>
  <r>
    <s v="HCP Plastene Bulkpack Ltd (Unit - IV)"/>
    <d v="2026-08-07T00:00:00"/>
    <s v="HPBL4/26-27/SII00836"/>
    <s v="WIP00013"/>
    <x v="2"/>
    <m/>
    <s v="HPBL4/RAW/26-27/338"/>
    <n v="745"/>
    <n v="745"/>
    <s v="Kgs"/>
    <n v="745"/>
    <n v="0"/>
    <n v="745"/>
    <s v="GJ12BY0479"/>
    <s v="Plastene India ltd - Unit 1-Purchase"/>
    <s v="Plastene India ltd - Unit 1-Purchase"/>
    <s v="PIL1/D/968"/>
    <d v="2026-08-07T00:00:00"/>
    <s v="RAW MATERIAL"/>
    <s v="INDIGENOUS"/>
    <s v="RM 358"/>
    <n v="182.78"/>
    <n v="182.78"/>
    <s v="PIL1/D/968"/>
    <d v="2026-08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60681.9"/>
    <s v="SF"/>
    <s v="Liners"/>
    <s v="LDPE/LLDPE Bags"/>
    <s v="RM"/>
    <s v="erp"/>
    <n v="0"/>
    <n v="136171.1"/>
    <n v="802"/>
    <d v="2026-08-07T00:00:00"/>
    <s v="24AAACO3087C1ZT"/>
    <s v="storepil6"/>
    <s v="storepil6"/>
    <n v="9"/>
    <n v="12255.4"/>
    <n v="9"/>
    <n v="12255.4"/>
    <n v="0"/>
    <n v="0"/>
    <n v="160681.9"/>
    <n v="682141642273"/>
    <d v="2026-07-08T00:00:00"/>
    <n v="0"/>
  </r>
  <r>
    <s v="HCP Plastene Bulkpack Ltd (Unit - IV)"/>
    <d v="2026-08-07T00:00:00"/>
    <s v="HPBL4/26-27/SII00837"/>
    <s v="WIP00023"/>
    <x v="0"/>
    <m/>
    <s v="HPBL4/RAW/26-27/339"/>
    <n v="2569"/>
    <n v="2569"/>
    <s v="Kgs"/>
    <n v="2569"/>
    <n v="0"/>
    <n v="2569"/>
    <s v="GJ12BT2409"/>
    <s v="Plastene India ltd - Unit 1-Purchase"/>
    <s v="Plastene India ltd - Unit 1-Purchase"/>
    <s v="PIL1/D/962"/>
    <d v="2026-08-07T00:00:00"/>
    <s v="RAW MATERIAL"/>
    <s v="INDIGENOUS"/>
    <s v="RM 359"/>
    <n v="146.49"/>
    <n v="146.49"/>
    <s v="PIL1/D/962"/>
    <d v="2026-08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233280.19"/>
    <s v="SF"/>
    <s v="PP/PE Fabric"/>
    <s v="PP UL Fabric"/>
    <s v="RM"/>
    <s v="erp"/>
    <n v="0"/>
    <n v="376332.81"/>
    <n v="397"/>
    <d v="2026-08-07T00:00:00"/>
    <s v="24AAACO3087C1ZT"/>
    <s v="storepil6"/>
    <s v="storepil6"/>
    <n v="9"/>
    <n v="33869.949999999997"/>
    <n v="9"/>
    <n v="33869.949999999997"/>
    <n v="0"/>
    <n v="0"/>
    <n v="1233280.19"/>
    <n v="672141162299"/>
    <d v="2026-07-07T00:00:00"/>
    <n v="0"/>
  </r>
  <r>
    <s v="HCP Plastene Bulkpack Ltd (Unit - IV)"/>
    <d v="2026-08-07T00:00:00"/>
    <s v="HPBL4/26-27/SII00837"/>
    <s v="WIP00023"/>
    <x v="0"/>
    <m/>
    <s v="HPBL4/RAW/26-27/339"/>
    <n v="907"/>
    <n v="907"/>
    <s v="Kgs"/>
    <n v="907"/>
    <n v="0"/>
    <n v="907"/>
    <s v="GJ12BT2409"/>
    <s v="Plastene India ltd - Unit 1-Purchase"/>
    <s v="Plastene India ltd - Unit 1-Purchase"/>
    <s v="PIL1/D/962"/>
    <d v="2026-08-07T00:00:00"/>
    <s v="RAW MATERIAL"/>
    <s v="INDIGENOUS"/>
    <s v="RM 359"/>
    <n v="147.49"/>
    <n v="147.49"/>
    <s v="PIL1/D/962"/>
    <d v="2026-08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233280.19"/>
    <s v="SF"/>
    <s v="PP/PE Fabric"/>
    <s v="PP UL Fabric"/>
    <s v="RM"/>
    <s v="erp"/>
    <n v="0"/>
    <n v="133773.43"/>
    <n v="397"/>
    <d v="2026-08-07T00:00:00"/>
    <s v="24AAACO3087C1ZT"/>
    <s v="storepil6"/>
    <s v="storepil6"/>
    <n v="9"/>
    <n v="12039.61"/>
    <n v="9"/>
    <n v="12039.61"/>
    <n v="0"/>
    <n v="0"/>
    <n v="0"/>
    <n v="672141162299"/>
    <d v="2026-07-07T00:00:00"/>
    <n v="0"/>
  </r>
  <r>
    <s v="HCP Plastene Bulkpack Ltd (Unit - IV)"/>
    <d v="2026-08-07T00:00:00"/>
    <s v="HPBL4/26-27/SII00837"/>
    <s v="WIP00023"/>
    <x v="0"/>
    <m/>
    <s v="HPBL4/RAW/26-27/339"/>
    <n v="3703"/>
    <n v="3703"/>
    <s v="Kgs"/>
    <n v="3703"/>
    <n v="0"/>
    <n v="3703"/>
    <s v="GJ12BT2409"/>
    <s v="Plastene India ltd - Unit 1-Purchase"/>
    <s v="Plastene India ltd - Unit 1-Purchase"/>
    <s v="PIL1/D/962"/>
    <d v="2026-08-07T00:00:00"/>
    <s v="RAW MATERIAL"/>
    <s v="INDIGENOUS"/>
    <s v="RM 359"/>
    <n v="144.49"/>
    <n v="144.49"/>
    <s v="PIL1/D/962"/>
    <d v="2026-08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233280.19"/>
    <s v="SF"/>
    <s v="PP/PE Fabric"/>
    <s v="PP UL Fabric"/>
    <s v="RM"/>
    <s v="erp"/>
    <n v="0"/>
    <n v="535046.47"/>
    <n v="397"/>
    <d v="2026-08-07T00:00:00"/>
    <s v="24AAACO3087C1ZT"/>
    <s v="storepil6"/>
    <s v="storepil6"/>
    <n v="9"/>
    <n v="48154.18"/>
    <n v="9"/>
    <n v="48154.18"/>
    <n v="0"/>
    <n v="0"/>
    <n v="0"/>
    <n v="672141162299"/>
    <d v="2026-07-07T00:00:00"/>
    <n v="0"/>
  </r>
  <r>
    <s v="HCP Plastene Bulkpack Ltd (Unit - IV)"/>
    <d v="2026-08-07T00:00:00"/>
    <s v="HPBL4/26-27/SII00838"/>
    <s v="WIP00023"/>
    <x v="0"/>
    <m/>
    <s v="HPBL4/RAW/26-27/340"/>
    <n v="990"/>
    <n v="990"/>
    <s v="Kgs"/>
    <n v="990"/>
    <n v="0"/>
    <n v="990"/>
    <s v="GJ12BY0479"/>
    <s v="Plastene India ltd - Unit 1-Purchase"/>
    <s v="Plastene India ltd - Unit 1-Purchase"/>
    <s v="PIL1/D/967"/>
    <d v="2026-08-07T00:00:00"/>
    <s v="RAW MATERIAL"/>
    <s v="INDIGENOUS"/>
    <s v="RM 360"/>
    <n v="146.49"/>
    <n v="146.49"/>
    <s v="PIL1/D/967"/>
    <d v="2026-08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301546.09999999998"/>
    <s v="SF"/>
    <s v="PP/PE Fabric"/>
    <s v="PP UL Fabric"/>
    <s v="RM"/>
    <s v="erp"/>
    <n v="0"/>
    <n v="145025.1"/>
    <n v="801"/>
    <d v="2026-08-07T00:00:00"/>
    <s v="24AAACO3087C1ZT"/>
    <s v="storepil6"/>
    <s v="storepil6"/>
    <n v="9"/>
    <n v="13052.26"/>
    <n v="9"/>
    <n v="13052.26"/>
    <n v="0"/>
    <n v="0"/>
    <n v="301546.09999999998"/>
    <n v="612141619078"/>
    <d v="2026-07-08T00:00:00"/>
    <n v="0"/>
  </r>
  <r>
    <s v="HCP Plastene Bulkpack Ltd (Unit - IV)"/>
    <d v="2026-08-07T00:00:00"/>
    <s v="HPBL4/26-27/SII00838"/>
    <s v="WIP00023"/>
    <x v="0"/>
    <m/>
    <s v="HPBL4/RAW/26-27/340"/>
    <n v="216"/>
    <n v="216"/>
    <s v="Kgs"/>
    <n v="216"/>
    <n v="0"/>
    <n v="216"/>
    <s v="GJ12BY0479"/>
    <s v="Plastene India ltd - Unit 1-Purchase"/>
    <s v="Plastene India ltd - Unit 1-Purchase"/>
    <s v="PIL1/D/967"/>
    <d v="2026-08-07T00:00:00"/>
    <s v="RAW MATERIAL"/>
    <s v="INDIGENOUS"/>
    <s v="RM 360"/>
    <n v="147.49"/>
    <n v="147.49"/>
    <s v="PIL1/D/967"/>
    <d v="2026-08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301546.09999999998"/>
    <s v="SF"/>
    <s v="PP/PE Fabric"/>
    <s v="PP UL Fabric"/>
    <s v="RM"/>
    <s v="erp"/>
    <n v="0"/>
    <n v="31857.84"/>
    <n v="801"/>
    <d v="2026-08-07T00:00:00"/>
    <s v="24AAACO3087C1ZT"/>
    <s v="storepil6"/>
    <s v="storepil6"/>
    <n v="9"/>
    <n v="2867.21"/>
    <n v="9"/>
    <n v="2867.21"/>
    <n v="0"/>
    <n v="0"/>
    <n v="0"/>
    <n v="612141619078"/>
    <d v="2026-07-08T00:00:00"/>
    <n v="0"/>
  </r>
  <r>
    <s v="HCP Plastene Bulkpack Ltd (Unit - IV)"/>
    <d v="2026-08-07T00:00:00"/>
    <s v="HPBL4/26-27/SII00838"/>
    <s v="WIP00023"/>
    <x v="0"/>
    <m/>
    <s v="HPBL4/RAW/26-27/340"/>
    <n v="220"/>
    <n v="220"/>
    <s v="Kgs"/>
    <n v="220"/>
    <n v="0"/>
    <n v="220"/>
    <s v="GJ12BY0479"/>
    <s v="Plastene India ltd - Unit 1-Purchase"/>
    <s v="Plastene India ltd - Unit 1-Purchase"/>
    <s v="PIL1/D/967"/>
    <d v="2026-08-07T00:00:00"/>
    <s v="RAW MATERIAL"/>
    <s v="INDIGENOUS"/>
    <s v="RM 360"/>
    <n v="144.49"/>
    <n v="144.49"/>
    <s v="PIL1/D/967"/>
    <d v="2026-08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301546.09999999998"/>
    <s v="SF"/>
    <s v="PP/PE Fabric"/>
    <s v="PP UL Fabric"/>
    <s v="RM"/>
    <s v="erp"/>
    <n v="0"/>
    <n v="31787.8"/>
    <n v="801"/>
    <d v="2026-08-07T00:00:00"/>
    <s v="24AAACO3087C1ZT"/>
    <s v="storepil6"/>
    <s v="storepil6"/>
    <n v="9"/>
    <n v="2860.9"/>
    <n v="9"/>
    <n v="2860.9"/>
    <n v="0"/>
    <n v="0"/>
    <n v="0"/>
    <n v="612141619078"/>
    <d v="2026-07-08T00:00:00"/>
    <n v="0"/>
  </r>
  <r>
    <s v="HCP Plastene Bulkpack Ltd (Unit - IV)"/>
    <d v="2026-08-07T00:00:00"/>
    <s v="HPBL4/26-27/SII00838"/>
    <s v="WIP00025"/>
    <x v="1"/>
    <m/>
    <s v="HPBL4/RAW/26-27/340"/>
    <n v="320"/>
    <n v="320"/>
    <s v="Kgs"/>
    <n v="320"/>
    <n v="0"/>
    <n v="320"/>
    <s v="GJ12BY0479"/>
    <s v="Plastene India ltd - Unit 1-Purchase"/>
    <s v="Plastene India ltd - Unit 1-Purchase"/>
    <s v="PIL1/D/967"/>
    <d v="2026-08-07T00:00:00"/>
    <s v="RAW MATERIAL"/>
    <s v="INDIGENOUS"/>
    <s v="RM 360"/>
    <n v="146.49"/>
    <n v="146.49"/>
    <s v="PIL1/D/967"/>
    <d v="2026-08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301546.09999999998"/>
    <s v="SF"/>
    <s v="PP/PE Fabric"/>
    <s v="PP Lam Fabric"/>
    <s v="RM"/>
    <s v="erp"/>
    <n v="0"/>
    <n v="46876.800000000003"/>
    <n v="801"/>
    <d v="2026-08-07T00:00:00"/>
    <s v="24AAACO3087C1ZT"/>
    <s v="storepil6"/>
    <s v="storepil6"/>
    <n v="9"/>
    <n v="4218.91"/>
    <n v="9"/>
    <n v="4218.91"/>
    <n v="0"/>
    <n v="0"/>
    <n v="0"/>
    <n v="612141619078"/>
    <d v="2026-07-08T00:00:00"/>
    <n v="0"/>
  </r>
  <r>
    <s v="HCP Plastene Bulkpack Ltd (Unit - IV)"/>
    <d v="2026-08-07T00:00:00"/>
    <s v="HPBL4/26-27/SII00839"/>
    <s v="SMF00052"/>
    <x v="7"/>
    <m/>
    <s v="HPBL4/RAW/26-27/341"/>
    <n v="431.6"/>
    <n v="431.6"/>
    <s v="Kgs"/>
    <n v="431.6"/>
    <n v="0"/>
    <n v="431.6"/>
    <s v="GJ12BT2409"/>
    <s v="Plastene India ltd - Unit 1-Purchase"/>
    <s v="Plastene India ltd - Unit 1-Purchase"/>
    <s v="PIL1/D/964"/>
    <d v="2026-08-07T00:00:00"/>
    <s v="RAW MATERIAL"/>
    <s v="INDIGENOUS"/>
    <s v="RM 361"/>
    <n v="159.49"/>
    <n v="159.48999861732699"/>
    <s v="PIL1/D/964"/>
    <d v="2026-08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692094.44"/>
    <s v="SF"/>
    <s v="Yarn All"/>
    <s v="PP Yarn"/>
    <s v="RM"/>
    <s v="erp"/>
    <n v="0"/>
    <n v="68835.88"/>
    <n v="798"/>
    <d v="2026-08-07T00:00:00"/>
    <s v="24AAACO3087C1ZT"/>
    <s v="storepil6"/>
    <s v="storepil6"/>
    <n v="2.5"/>
    <n v="1720.9"/>
    <n v="2.5"/>
    <n v="1720.9"/>
    <n v="0"/>
    <n v="0"/>
    <n v="692094.44"/>
    <n v="622141554503"/>
    <d v="2026-07-08T00:00:00"/>
    <n v="0"/>
  </r>
  <r>
    <s v="HCP Plastene Bulkpack Ltd (Unit - IV)"/>
    <d v="2026-08-07T00:00:00"/>
    <s v="HPBL4/26-27/SII00839"/>
    <s v="WIP00191"/>
    <x v="10"/>
    <m/>
    <s v="HPBL4/RAW/26-27/341"/>
    <n v="1274.8"/>
    <n v="1274.8"/>
    <s v="Kgs"/>
    <n v="1274.8"/>
    <n v="0"/>
    <n v="1274.8"/>
    <s v="GJ12BT2409"/>
    <s v="Plastene India ltd - Unit 1-Purchase"/>
    <s v="Plastene India ltd - Unit 1-Purchase"/>
    <s v="PIL1/D/964"/>
    <d v="2026-08-07T00:00:00"/>
    <s v="RAW MATERIAL"/>
    <s v="INDIGENOUS"/>
    <s v="RM 361"/>
    <n v="156.49"/>
    <n v="156.48999864333501"/>
    <s v="PIL1/D/964"/>
    <d v="2026-08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692094.44"/>
    <s v="SF"/>
    <s v="Yarn All"/>
    <s v="PP Yarn"/>
    <s v="RM"/>
    <m/>
    <n v="0"/>
    <n v="199493.45"/>
    <n v="798"/>
    <d v="2026-08-07T00:00:00"/>
    <s v="24AAACO3087C1ZT"/>
    <s v="storepil6"/>
    <s v="storepil6"/>
    <n v="2.5"/>
    <n v="4987.34"/>
    <n v="2.5"/>
    <n v="4987.34"/>
    <n v="0"/>
    <n v="0"/>
    <n v="0"/>
    <n v="622141554503"/>
    <d v="2026-07-08T00:00:00"/>
    <n v="0"/>
  </r>
  <r>
    <s v="HCP Plastene Bulkpack Ltd (Unit - IV)"/>
    <d v="2026-08-07T00:00:00"/>
    <s v="HPBL4/26-27/SII00839"/>
    <s v="WIP00032"/>
    <x v="3"/>
    <m/>
    <s v="HPBL4/RAW/26-27/341"/>
    <n v="1020.7"/>
    <n v="1020.7"/>
    <s v="Kgs"/>
    <n v="1020.7"/>
    <n v="0"/>
    <n v="1020.7"/>
    <s v="GJ12BT2409"/>
    <s v="Plastene India ltd - Unit 1-Purchase"/>
    <s v="Plastene India ltd - Unit 1-Purchase"/>
    <s v="PIL1/D/964"/>
    <d v="2026-08-07T00:00:00"/>
    <s v="RAW MATERIAL"/>
    <s v="INDIGENOUS"/>
    <s v="RM 361"/>
    <n v="149.49"/>
    <n v="149.48999870402099"/>
    <s v="PIL1/D/964"/>
    <d v="2026-08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692094.44"/>
    <s v="SF"/>
    <s v="Webbing"/>
    <s v="PP Webbing"/>
    <s v="RM"/>
    <s v="erp"/>
    <n v="0"/>
    <n v="152584.44"/>
    <n v="798"/>
    <d v="2026-08-07T00:00:00"/>
    <s v="24AAACO3087C1ZT"/>
    <s v="storepil6"/>
    <s v="storepil6"/>
    <n v="9"/>
    <n v="13732.6"/>
    <n v="9"/>
    <n v="13732.6"/>
    <n v="0"/>
    <n v="0"/>
    <n v="0"/>
    <n v="622141554503"/>
    <d v="2026-07-08T00:00:00"/>
    <n v="0"/>
  </r>
  <r>
    <s v="HCP Plastene Bulkpack Ltd (Unit - IV)"/>
    <d v="2026-08-07T00:00:00"/>
    <s v="HPBL4/26-27/SII00839"/>
    <s v="WIP00032"/>
    <x v="3"/>
    <m/>
    <s v="HPBL4/RAW/26-27/341"/>
    <n v="1332.3"/>
    <n v="1332.3"/>
    <s v="Kgs"/>
    <n v="1332.3"/>
    <n v="0"/>
    <n v="1332.3"/>
    <s v="GJ12BT2409"/>
    <s v="Plastene India ltd - Unit 1-Purchase"/>
    <s v="Plastene India ltd - Unit 1-Purchase"/>
    <s v="PIL1/D/964"/>
    <d v="2026-08-07T00:00:00"/>
    <s v="RAW MATERIAL"/>
    <s v="INDIGENOUS"/>
    <s v="RM 361"/>
    <n v="146.49"/>
    <n v="146.48999873002899"/>
    <s v="PIL1/D/964"/>
    <d v="2026-08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692094.44"/>
    <s v="SF"/>
    <s v="Webbing"/>
    <s v="PP Webbing"/>
    <s v="RM"/>
    <s v="erp"/>
    <n v="0"/>
    <n v="195168.63"/>
    <n v="798"/>
    <d v="2026-08-07T00:00:00"/>
    <s v="24AAACO3087C1ZT"/>
    <s v="storepil6"/>
    <s v="storepil6"/>
    <n v="9"/>
    <n v="17565.18"/>
    <n v="9"/>
    <n v="17565.18"/>
    <n v="0"/>
    <n v="0"/>
    <n v="0"/>
    <n v="622141554503"/>
    <d v="2026-07-08T00:00:00"/>
    <n v="0"/>
  </r>
  <r>
    <s v="HCP Plastene Bulkpack Ltd (Unit - IV)"/>
    <d v="2026-08-07T00:00:00"/>
    <s v="HPBL4/26-27/SII00840"/>
    <s v="SMF00146"/>
    <x v="9"/>
    <m/>
    <s v="HPBL4/RAW/26-27/342"/>
    <n v="930"/>
    <n v="930"/>
    <s v="Kgs"/>
    <n v="930"/>
    <n v="0"/>
    <n v="930"/>
    <s v="GJ24X8795"/>
    <s v="HCP Plastene Bulkpack Limited - Purchase"/>
    <s v="HCP Plastene Bulkpack Limited - Purchase"/>
    <s v="HPBL/DC/13"/>
    <s v="27-06-2026"/>
    <s v="RAW MATERIAL"/>
    <s v="INDIGENOUS"/>
    <s v="RM 362"/>
    <n v="192.99"/>
    <n v="192.99"/>
    <s v="HPBL/DC/13"/>
    <s v="27-06-2026"/>
    <m/>
    <s v="RECD LATE INVOICE...."/>
    <m/>
    <s v="SHREENA ROAD WAYS"/>
    <s v="."/>
    <n v="0"/>
    <n v="0"/>
    <n v="0"/>
    <n v="0"/>
    <n v="0"/>
    <s v="VAT"/>
    <n v="0"/>
    <n v="0"/>
    <n v="0"/>
    <n v="0"/>
    <n v="0"/>
    <m/>
    <n v="0"/>
    <n v="0"/>
    <n v="179480.7"/>
    <s v="SF"/>
    <s v="Liners"/>
    <s v="LDPE/LLDPE Bags"/>
    <s v="RM"/>
    <s v="erp"/>
    <n v="0"/>
    <n v="179480.7"/>
    <n v="11"/>
    <d v="2026-08-07T00:00:00"/>
    <s v="24AABCG1282C2Z6"/>
    <s v="storepil6"/>
    <s v="storepil6"/>
    <n v="0"/>
    <n v="0"/>
    <n v="0"/>
    <n v="0"/>
    <n v="0"/>
    <n v="0"/>
    <n v="179480.7"/>
    <n v="682135986004"/>
    <d v="2026-06-27T00:00:00"/>
    <n v="0"/>
  </r>
  <r>
    <s v="HCP Plastene Bulkpack Ltd (Unit - IV)"/>
    <d v="2026-09-07T00:00:00"/>
    <s v="HPBL4/26-27/SII00847"/>
    <s v="WIP00023"/>
    <x v="0"/>
    <m/>
    <s v="HPBL4/RAW/26-27/343"/>
    <n v="745"/>
    <n v="745"/>
    <s v="Kgs"/>
    <n v="745"/>
    <n v="0"/>
    <n v="745"/>
    <s v="GJ35T2925"/>
    <s v="Plastene India ltd - Unit 1-Purchase"/>
    <s v="Plastene India ltd - Unit 1-Purchase"/>
    <s v="PIL1/D/986"/>
    <d v="2026-09-07T00:00:00"/>
    <s v="RAW MATERIAL"/>
    <s v="INDIGENOUS"/>
    <s v="RM 363"/>
    <n v="144.49"/>
    <n v="144.49"/>
    <s v="PIL1/D/986"/>
    <d v="2026-09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27021.15"/>
    <s v="SF"/>
    <s v="PP/PE Fabric"/>
    <s v="PP UL Fabric"/>
    <s v="RM"/>
    <s v="erp"/>
    <n v="0"/>
    <n v="107645.05"/>
    <n v="813"/>
    <d v="2026-09-07T00:00:00"/>
    <s v="24AAACO3087C1ZT"/>
    <s v="storepil6"/>
    <s v="storepil6"/>
    <n v="9"/>
    <n v="9688.0499999999993"/>
    <n v="9"/>
    <n v="9688.0499999999993"/>
    <n v="0"/>
    <n v="0"/>
    <n v="127021.15"/>
    <n v="692142287612"/>
    <d v="2026-07-09T00:00:00"/>
    <n v="0"/>
  </r>
  <r>
    <s v="HCP Plastene Bulkpack Ltd (Unit - IV)"/>
    <d v="2026-09-07T00:00:00"/>
    <s v="HPBL4/26-27/SII00848"/>
    <s v="WIP00023"/>
    <x v="0"/>
    <m/>
    <s v="HPBL4/RAW/26-27/343"/>
    <n v="3885"/>
    <n v="3885"/>
    <s v="Kgs"/>
    <n v="3885"/>
    <n v="0"/>
    <n v="3885"/>
    <s v="GJ12BT2409"/>
    <s v="Plastene India ltd - Unit 1-Purchase"/>
    <s v="Plastene India ltd - Unit 1-Purchase"/>
    <s v="PIL1/D/977"/>
    <d v="2026-09-07T00:00:00"/>
    <s v="RAW MATERIAL"/>
    <s v="INDIGENOUS"/>
    <s v="RM 364"/>
    <n v="146.49"/>
    <n v="146.49"/>
    <s v="PIL1/D/977"/>
    <d v="2026-09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274726.17"/>
    <s v="SF"/>
    <s v="PP/PE Fabric"/>
    <s v="PP UL Fabric"/>
    <s v="RM"/>
    <s v="erp"/>
    <n v="0"/>
    <n v="569113.65"/>
    <n v="806"/>
    <d v="2026-09-07T00:00:00"/>
    <s v="24AAACO3087C1ZT"/>
    <s v="storepil6"/>
    <s v="storepil6"/>
    <n v="9"/>
    <n v="51220.23"/>
    <n v="9"/>
    <n v="51220.23"/>
    <n v="0"/>
    <n v="0"/>
    <n v="1274726.17"/>
    <n v="682141945536"/>
    <d v="2026-07-09T00:00:00"/>
    <n v="0"/>
  </r>
  <r>
    <s v="HCP Plastene Bulkpack Ltd (Unit - IV)"/>
    <d v="2026-09-07T00:00:00"/>
    <s v="HPBL4/26-27/SII00848"/>
    <s v="WIP00023"/>
    <x v="0"/>
    <m/>
    <s v="HPBL4/RAW/26-27/343"/>
    <n v="660"/>
    <n v="660"/>
    <s v="Kgs"/>
    <n v="660"/>
    <n v="0"/>
    <n v="660"/>
    <s v="GJ12BT2409"/>
    <s v="Plastene India ltd - Unit 1-Purchase"/>
    <s v="Plastene India ltd - Unit 1-Purchase"/>
    <s v="PIL1/D/977"/>
    <d v="2026-09-07T00:00:00"/>
    <s v="RAW MATERIAL"/>
    <s v="INDIGENOUS"/>
    <s v="RM 364"/>
    <n v="147.49"/>
    <n v="147.49"/>
    <s v="PIL1/D/977"/>
    <d v="2026-09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274726.17"/>
    <s v="SF"/>
    <s v="PP/PE Fabric"/>
    <s v="PP UL Fabric"/>
    <s v="RM"/>
    <s v="erp"/>
    <n v="0"/>
    <n v="97343.4"/>
    <n v="806"/>
    <d v="2026-09-07T00:00:00"/>
    <s v="24AAACO3087C1ZT"/>
    <s v="storepil6"/>
    <s v="storepil6"/>
    <n v="9"/>
    <n v="8760.91"/>
    <n v="9"/>
    <n v="8760.91"/>
    <n v="0"/>
    <n v="0"/>
    <n v="0"/>
    <n v="682141945536"/>
    <d v="2026-07-09T00:00:00"/>
    <n v="0"/>
  </r>
  <r>
    <s v="HCP Plastene Bulkpack Ltd (Unit - IV)"/>
    <d v="2026-09-07T00:00:00"/>
    <s v="HPBL4/26-27/SII00848"/>
    <s v="WIP00023"/>
    <x v="0"/>
    <m/>
    <s v="HPBL4/RAW/26-27/343"/>
    <n v="2864"/>
    <n v="2864"/>
    <s v="Kgs"/>
    <n v="2864"/>
    <n v="0"/>
    <n v="2864"/>
    <s v="GJ12BT2409"/>
    <s v="Plastene India ltd - Unit 1-Purchase"/>
    <s v="Plastene India ltd - Unit 1-Purchase"/>
    <s v="PIL1/D/977"/>
    <d v="2026-09-07T00:00:00"/>
    <s v="RAW MATERIAL"/>
    <s v="INDIGENOUS"/>
    <s v="RM 364"/>
    <n v="144.49"/>
    <n v="144.49"/>
    <s v="PIL1/D/977"/>
    <d v="2026-09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274726.17"/>
    <s v="SF"/>
    <s v="PP/PE Fabric"/>
    <s v="PP UL Fabric"/>
    <s v="RM"/>
    <s v="erp"/>
    <n v="0"/>
    <n v="413819.36"/>
    <n v="806"/>
    <d v="2026-09-07T00:00:00"/>
    <s v="24AAACO3087C1ZT"/>
    <s v="storepil6"/>
    <s v="storepil6"/>
    <n v="9"/>
    <n v="37243.74"/>
    <n v="9"/>
    <n v="37243.74"/>
    <n v="0"/>
    <n v="0"/>
    <n v="0"/>
    <n v="682141945536"/>
    <d v="2026-07-09T00:00:00"/>
    <n v="0"/>
  </r>
  <r>
    <s v="HCP Plastene Bulkpack Ltd (Unit - IV)"/>
    <d v="2026-09-07T00:00:00"/>
    <s v="HPBL4/26-27/SII00850"/>
    <s v="WIP00023"/>
    <x v="0"/>
    <m/>
    <s v="HPBL4/RAW/26-27/344"/>
    <n v="391"/>
    <n v="391"/>
    <s v="Kgs"/>
    <n v="391"/>
    <n v="0"/>
    <n v="391"/>
    <s v="GJ12BY0479"/>
    <s v="Plastene India ltd - Unit 1-Purchase"/>
    <s v="Plastene India ltd - Unit 1-Purchase"/>
    <s v="PIL1/D/981"/>
    <d v="2026-09-07T00:00:00"/>
    <s v="RAW MATERIAL"/>
    <s v="INDIGENOUS"/>
    <s v="RM 365"/>
    <n v="146.49"/>
    <n v="146.48999941117501"/>
    <s v="PIL1/D/981"/>
    <d v="2026-09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492700.71"/>
    <s v="SF"/>
    <s v="PP/PE Fabric"/>
    <s v="PP UL Fabric"/>
    <s v="RM"/>
    <s v="erp"/>
    <n v="0"/>
    <n v="57277.59"/>
    <n v="812"/>
    <d v="2026-09-07T00:00:00"/>
    <s v="24AAACO3087C1ZT"/>
    <s v="storepil6"/>
    <s v="storepil6"/>
    <n v="9"/>
    <n v="5154.9799999999996"/>
    <n v="9"/>
    <n v="5154.9799999999996"/>
    <n v="0"/>
    <n v="0"/>
    <n v="1492700.71"/>
    <n v="682142055933"/>
    <d v="2026-07-09T00:00:00"/>
    <n v="0"/>
  </r>
  <r>
    <s v="HCP Plastene Bulkpack Ltd (Unit - IV)"/>
    <d v="2026-09-07T00:00:00"/>
    <s v="HPBL4/26-27/SII00850"/>
    <s v="WIP00023"/>
    <x v="0"/>
    <m/>
    <s v="HPBL4/RAW/26-27/344"/>
    <n v="1402"/>
    <n v="1402"/>
    <s v="Kgs"/>
    <n v="1402"/>
    <n v="0"/>
    <n v="1402"/>
    <s v="GJ12BY0479"/>
    <s v="Plastene India ltd - Unit 1-Purchase"/>
    <s v="Plastene India ltd - Unit 1-Purchase"/>
    <s v="PIL1/D/981"/>
    <d v="2026-09-07T00:00:00"/>
    <s v="RAW MATERIAL"/>
    <s v="INDIGENOUS"/>
    <s v="RM 365"/>
    <n v="144.49"/>
    <n v="144.489999419214"/>
    <s v="PIL1/D/981"/>
    <d v="2026-09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492700.71"/>
    <s v="SF"/>
    <s v="PP/PE Fabric"/>
    <s v="PP UL Fabric"/>
    <s v="RM"/>
    <s v="erp"/>
    <n v="0"/>
    <n v="202574.98"/>
    <n v="812"/>
    <d v="2026-09-07T00:00:00"/>
    <s v="24AAACO3087C1ZT"/>
    <s v="storepil6"/>
    <s v="storepil6"/>
    <n v="9"/>
    <n v="18231.75"/>
    <n v="9"/>
    <n v="18231.75"/>
    <n v="0"/>
    <n v="0"/>
    <n v="0"/>
    <n v="682142055933"/>
    <d v="2026-07-09T00:00:00"/>
    <n v="0"/>
  </r>
  <r>
    <s v="HCP Plastene Bulkpack Ltd (Unit - IV)"/>
    <d v="2026-09-07T00:00:00"/>
    <s v="HPBL4/26-27/SII00850"/>
    <s v="WIP00025"/>
    <x v="1"/>
    <m/>
    <s v="HPBL4/RAW/26-27/344"/>
    <n v="614"/>
    <n v="614"/>
    <s v="Kgs"/>
    <n v="614"/>
    <n v="0"/>
    <n v="614"/>
    <s v="GJ12BY0479"/>
    <s v="Plastene India ltd - Unit 1-Purchase"/>
    <s v="Plastene India ltd - Unit 1-Purchase"/>
    <s v="PIL1/D/981"/>
    <d v="2026-09-07T00:00:00"/>
    <s v="RAW MATERIAL"/>
    <s v="INDIGENOUS"/>
    <s v="RM 365"/>
    <n v="151.49"/>
    <n v="151.48999939107699"/>
    <s v="PIL1/D/981"/>
    <d v="2026-09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492700.71"/>
    <s v="SF"/>
    <s v="PP/PE Fabric"/>
    <s v="PP Lam Fabric"/>
    <s v="RM"/>
    <s v="erp"/>
    <n v="0"/>
    <n v="93014.86"/>
    <n v="812"/>
    <d v="2026-09-07T00:00:00"/>
    <s v="24AAACO3087C1ZT"/>
    <s v="storepil6"/>
    <s v="storepil6"/>
    <n v="9"/>
    <n v="8371.34"/>
    <n v="9"/>
    <n v="8371.34"/>
    <n v="0"/>
    <n v="0"/>
    <n v="0"/>
    <n v="682142055933"/>
    <d v="2026-07-09T00:00:00"/>
    <n v="0"/>
  </r>
  <r>
    <s v="HCP Plastene Bulkpack Ltd (Unit - IV)"/>
    <d v="2026-09-07T00:00:00"/>
    <s v="HPBL4/26-27/SII00850"/>
    <s v="WIP00013"/>
    <x v="2"/>
    <m/>
    <s v="HPBL4/RAW/26-27/344"/>
    <n v="3320"/>
    <n v="3320"/>
    <s v="Kgs"/>
    <n v="3320"/>
    <n v="0"/>
    <n v="3320"/>
    <s v="GJ12BY0479"/>
    <s v="Plastene India ltd - Unit 1-Purchase"/>
    <s v="Plastene India ltd - Unit 1-Purchase"/>
    <s v="PIL1/D/981"/>
    <d v="2026-09-07T00:00:00"/>
    <s v="RAW MATERIAL"/>
    <s v="INDIGENOUS"/>
    <s v="RM 365"/>
    <n v="182.78"/>
    <n v="182.77999926530501"/>
    <s v="PIL1/D/981"/>
    <d v="2026-09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492700.71"/>
    <s v="SF"/>
    <s v="Liners"/>
    <s v="LDPE/LLDPE Bags"/>
    <s v="RM"/>
    <s v="erp"/>
    <n v="0"/>
    <n v="606829.6"/>
    <n v="812"/>
    <d v="2026-09-07T00:00:00"/>
    <s v="24AAACO3087C1ZT"/>
    <s v="storepil6"/>
    <s v="storepil6"/>
    <n v="9"/>
    <n v="54614.66"/>
    <n v="9"/>
    <n v="54614.66"/>
    <n v="0"/>
    <n v="0"/>
    <n v="0"/>
    <n v="682142055933"/>
    <d v="2026-07-09T00:00:00"/>
    <n v="0"/>
  </r>
  <r>
    <s v="HCP Plastene Bulkpack Ltd (Unit - IV)"/>
    <d v="2026-09-07T00:00:00"/>
    <s v="HPBL4/26-27/SII00850"/>
    <s v="WIP00032"/>
    <x v="3"/>
    <m/>
    <s v="HPBL4/RAW/26-27/344"/>
    <n v="1109.7"/>
    <n v="1109.7"/>
    <s v="Kgs"/>
    <n v="1109.7"/>
    <n v="0"/>
    <n v="1109.7"/>
    <s v="GJ12BY0479"/>
    <s v="Plastene India ltd - Unit 1-Purchase"/>
    <s v="Plastene India ltd - Unit 1-Purchase"/>
    <s v="PIL1/D/981"/>
    <d v="2026-09-07T00:00:00"/>
    <s v="RAW MATERIAL"/>
    <s v="INDIGENOUS"/>
    <s v="RM 365"/>
    <n v="149.49"/>
    <n v="149.48999939911599"/>
    <s v="PIL1/D/981"/>
    <d v="2026-09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492700.71"/>
    <s v="SF"/>
    <s v="Webbing"/>
    <s v="PP Webbing"/>
    <s v="RM"/>
    <s v="erp"/>
    <n v="0"/>
    <n v="165889.04999999999"/>
    <n v="812"/>
    <d v="2026-09-07T00:00:00"/>
    <s v="24AAACO3087C1ZT"/>
    <s v="storepil6"/>
    <s v="storepil6"/>
    <n v="9"/>
    <n v="14930.01"/>
    <n v="9"/>
    <n v="14930.01"/>
    <n v="0"/>
    <n v="0"/>
    <n v="0"/>
    <n v="682142055933"/>
    <d v="2026-07-09T00:00:00"/>
    <n v="0"/>
  </r>
  <r>
    <s v="HCP Plastene Bulkpack Ltd (Unit - IV)"/>
    <d v="2026-09-07T00:00:00"/>
    <s v="HPBL4/26-27/SII00850"/>
    <s v="WIP00032"/>
    <x v="3"/>
    <m/>
    <s v="HPBL4/RAW/26-27/344"/>
    <n v="951.7"/>
    <n v="951.7"/>
    <s v="Kgs"/>
    <n v="951.7"/>
    <n v="0"/>
    <n v="951.7"/>
    <s v="GJ12BY0479"/>
    <s v="Plastene India ltd - Unit 1-Purchase"/>
    <s v="Plastene India ltd - Unit 1-Purchase"/>
    <s v="PIL1/D/981"/>
    <d v="2026-09-07T00:00:00"/>
    <s v="RAW MATERIAL"/>
    <s v="INDIGENOUS"/>
    <s v="RM 365"/>
    <n v="146.49"/>
    <n v="146.48999941117501"/>
    <s v="PIL1/D/981"/>
    <d v="2026-09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492700.71"/>
    <s v="SF"/>
    <s v="Webbing"/>
    <s v="PP Webbing"/>
    <s v="RM"/>
    <s v="erp"/>
    <n v="0"/>
    <n v="139414.53"/>
    <n v="812"/>
    <d v="2026-09-07T00:00:00"/>
    <s v="24AAACO3087C1ZT"/>
    <s v="storepil6"/>
    <s v="storepil6"/>
    <n v="9"/>
    <n v="12547.31"/>
    <n v="9"/>
    <n v="12547.31"/>
    <n v="0"/>
    <n v="0"/>
    <n v="0"/>
    <n v="682142055933"/>
    <d v="2026-07-09T00:00:00"/>
    <n v="0"/>
  </r>
  <r>
    <s v="HCP Plastene Bulkpack Ltd (Unit - IV)"/>
    <d v="2026-10-07T00:00:00"/>
    <s v="HPBL4/26-27/SII00856"/>
    <s v="FIG00001"/>
    <x v="4"/>
    <m/>
    <s v="HPBL4/RAW/26-27/346"/>
    <n v="604"/>
    <n v="604"/>
    <s v="Kgs"/>
    <n v="604"/>
    <n v="0"/>
    <n v="604"/>
    <s v="GJ35T2925"/>
    <s v="Plastene Polyfilms Ltd-Purchase"/>
    <s v="Plastene Polyfilms Ltd-Purchase"/>
    <s v="PPL/D/327"/>
    <d v="2026-09-07T00:00:00"/>
    <s v="RAW MATERIAL"/>
    <s v="INDIGENOUS"/>
    <s v="RM 366"/>
    <n v="154.74"/>
    <n v="154.74000183194499"/>
    <s v="PPL/D/327"/>
    <d v="2026-09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68935.23"/>
    <s v="FG"/>
    <s v="FIBC WIP"/>
    <s v="FIBC WIP"/>
    <s v="RM"/>
    <s v="erp"/>
    <n v="0"/>
    <n v="93462.96"/>
    <n v="814"/>
    <d v="2026-10-07T00:00:00"/>
    <s v="24AAFCP2956A1ZR"/>
    <s v="storepil6"/>
    <s v="storepil6"/>
    <n v="9"/>
    <n v="8411.67"/>
    <n v="9"/>
    <n v="8411.67"/>
    <n v="0"/>
    <n v="0"/>
    <n v="168935.23"/>
    <n v="642142230596"/>
    <d v="2026-07-09T00:00:00"/>
    <n v="0"/>
  </r>
  <r>
    <s v="HCP Plastene Bulkpack Ltd (Unit - IV)"/>
    <d v="2026-10-07T00:00:00"/>
    <s v="HPBL4/26-27/SII00856"/>
    <s v="WIP00023"/>
    <x v="0"/>
    <m/>
    <s v="HPBL4/RAW/26-27/346"/>
    <n v="321.2"/>
    <n v="321.2"/>
    <s v="Kgs"/>
    <n v="321.2"/>
    <n v="0"/>
    <n v="321.2"/>
    <s v="GJ35T2925"/>
    <s v="Plastene Polyfilms Ltd-Purchase"/>
    <s v="Plastene Polyfilms Ltd-Purchase"/>
    <s v="PPL/D/327"/>
    <d v="2026-09-07T00:00:00"/>
    <s v="RAW MATERIAL"/>
    <s v="INDIGENOUS"/>
    <s v="RM 366"/>
    <n v="154.74"/>
    <n v="154.74000183194499"/>
    <s v="PPL/D/327"/>
    <d v="2026-09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68935.23"/>
    <s v="SF"/>
    <s v="PP/PE Fabric"/>
    <s v="PP UL Fabric"/>
    <s v="RM"/>
    <s v="erp"/>
    <n v="0"/>
    <n v="49702.49"/>
    <n v="814"/>
    <d v="2026-10-07T00:00:00"/>
    <s v="24AAFCP2956A1ZR"/>
    <s v="storepil6"/>
    <s v="storepil6"/>
    <n v="9"/>
    <n v="4473.22"/>
    <n v="9"/>
    <n v="4473.22"/>
    <n v="0"/>
    <n v="0"/>
    <n v="0"/>
    <n v="642142230596"/>
    <d v="2026-07-09T00:00:00"/>
    <n v="0"/>
  </r>
  <r>
    <s v="HCP Plastene Bulkpack Ltd (Unit - IV)"/>
    <d v="2026-10-07T00:00:00"/>
    <s v="HPBL4/26-27/SII00857"/>
    <s v="WIP00023"/>
    <x v="0"/>
    <m/>
    <s v="HPBL4/RAW/26-27/347"/>
    <n v="1353"/>
    <n v="1353"/>
    <s v="Kgs"/>
    <n v="1353"/>
    <n v="0"/>
    <n v="1353"/>
    <s v="GJ09Z0572"/>
    <s v="Plastene India ltd - Unit 1-Purchase"/>
    <s v="Plastene India ltd - Unit 1-Purchase"/>
    <s v="PIL1/D/978"/>
    <d v="2026-09-07T00:00:00"/>
    <s v="RAW MATERIAL"/>
    <s v="INDIGENOUS"/>
    <s v="RM 367"/>
    <n v="146.49"/>
    <n v="146.49"/>
    <s v="PIL1/D/978"/>
    <d v="2026-09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33877.15"/>
    <s v="SF"/>
    <s v="PP/PE Fabric"/>
    <s v="PP UL Fabric"/>
    <s v="RM"/>
    <s v="erp"/>
    <n v="0"/>
    <n v="198200.97"/>
    <n v="816"/>
    <d v="2026-10-07T00:00:00"/>
    <s v="24AAACO3087C1ZT"/>
    <s v="storepil6"/>
    <s v="storepil6"/>
    <n v="9"/>
    <n v="17838.09"/>
    <n v="9"/>
    <n v="17838.09"/>
    <n v="0"/>
    <n v="0"/>
    <n v="233877.15"/>
    <n v="652141972014"/>
    <d v="2026-07-09T00:00:00"/>
    <n v="0"/>
  </r>
  <r>
    <s v="HCP Plastene Bulkpack Ltd (Unit - IV)"/>
    <d v="2026-10-07T00:00:00"/>
    <s v="HPBL4/26-27/SII00858"/>
    <s v="WIP00023"/>
    <x v="0"/>
    <m/>
    <s v="HPBL4/RAW/26-27/347"/>
    <n v="247"/>
    <n v="247"/>
    <s v="Kgs"/>
    <n v="247"/>
    <n v="0"/>
    <n v="247"/>
    <s v="GJ12BT2409"/>
    <s v="Plastene India ltd - Unit 1-Purchase"/>
    <s v="Plastene India ltd - Unit 1-Purchase"/>
    <s v="PIL1/D/1000"/>
    <d v="2026-10-07T00:00:00"/>
    <s v="RAW MATERIAL"/>
    <s v="INDIGENOUS"/>
    <s v="RM 368"/>
    <n v="146.49"/>
    <n v="146.49"/>
    <s v="PIL1/D/1000"/>
    <d v="2026-10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42695.97"/>
    <s v="SF"/>
    <s v="PP/PE Fabric"/>
    <s v="PP UL Fabric"/>
    <s v="RM"/>
    <s v="erp"/>
    <n v="0"/>
    <n v="36183.03"/>
    <n v="826"/>
    <d v="2026-10-07T00:00:00"/>
    <s v="24AAACO3087C1ZT"/>
    <s v="storepil6"/>
    <s v="storepil6"/>
    <n v="9"/>
    <n v="3256.47"/>
    <n v="9"/>
    <n v="3256.47"/>
    <n v="0"/>
    <n v="0"/>
    <n v="42695.97"/>
    <n v="652142737652"/>
    <d v="2026-07-10T00:00:00"/>
    <n v="0"/>
  </r>
  <r>
    <s v="HCP Plastene Bulkpack Ltd (Unit - IV)"/>
    <d v="2026-10-07T00:00:00"/>
    <s v="HPBL4/26-27/SII00859"/>
    <s v="WIP00023"/>
    <x v="0"/>
    <m/>
    <s v="HPBL4/RAW/26-27/348"/>
    <n v="3402"/>
    <n v="3402"/>
    <s v="Kgs"/>
    <n v="3402"/>
    <n v="0"/>
    <n v="3402"/>
    <s v="GJ12BT2409"/>
    <s v="Plastene India ltd - Unit 1-Purchase"/>
    <s v="Plastene India ltd - Unit 1-Purchase"/>
    <s v="PIL1/D/993"/>
    <d v="2026-10-07T00:00:00"/>
    <s v="RAW MATERIAL"/>
    <s v="INDIGENOUS"/>
    <s v="RM 369"/>
    <n v="144.49"/>
    <n v="144.49"/>
    <s v="PIL1/D/993"/>
    <d v="2026-10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508735.92"/>
    <s v="SF"/>
    <s v="PP/PE Fabric"/>
    <s v="PP UL Fabric"/>
    <s v="RM"/>
    <s v="erp"/>
    <n v="0"/>
    <n v="491554.98"/>
    <n v="817"/>
    <d v="2026-10-07T00:00:00"/>
    <s v="24AAACO3087C1ZT"/>
    <s v="storepil6"/>
    <s v="storepil6"/>
    <n v="9"/>
    <n v="44239.95"/>
    <n v="9"/>
    <n v="44239.95"/>
    <n v="0"/>
    <n v="0"/>
    <n v="1508735.92"/>
    <n v="602142604898"/>
    <d v="2026-07-10T00:00:00"/>
    <n v="0"/>
  </r>
  <r>
    <s v="HCP Plastene Bulkpack Ltd (Unit - IV)"/>
    <d v="2026-10-07T00:00:00"/>
    <s v="HPBL4/26-27/SII00859"/>
    <s v="WIP00023"/>
    <x v="0"/>
    <m/>
    <s v="HPBL4/RAW/26-27/348"/>
    <n v="895"/>
    <n v="895"/>
    <s v="Kgs"/>
    <n v="895"/>
    <n v="0"/>
    <n v="895"/>
    <s v="GJ12BT2409"/>
    <s v="Plastene India ltd - Unit 1-Purchase"/>
    <s v="Plastene India ltd - Unit 1-Purchase"/>
    <s v="PIL1/D/993"/>
    <d v="2026-10-07T00:00:00"/>
    <s v="RAW MATERIAL"/>
    <s v="INDIGENOUS"/>
    <s v="RM 369"/>
    <n v="147.49"/>
    <n v="147.49"/>
    <s v="PIL1/D/993"/>
    <d v="2026-10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508735.92"/>
    <s v="SF"/>
    <s v="PP/PE Fabric"/>
    <s v="PP UL Fabric"/>
    <s v="RM"/>
    <s v="erp"/>
    <n v="0"/>
    <n v="132003.54999999999"/>
    <n v="817"/>
    <d v="2026-10-07T00:00:00"/>
    <s v="24AAACO3087C1ZT"/>
    <s v="storepil6"/>
    <s v="storepil6"/>
    <n v="9"/>
    <n v="11880.32"/>
    <n v="9"/>
    <n v="11880.32"/>
    <n v="0"/>
    <n v="0"/>
    <n v="0"/>
    <n v="602142604898"/>
    <d v="2026-07-10T00:00:00"/>
    <n v="0"/>
  </r>
  <r>
    <s v="HCP Plastene Bulkpack Ltd (Unit - IV)"/>
    <d v="2026-10-07T00:00:00"/>
    <s v="HPBL4/26-27/SII00859"/>
    <s v="WIP00023"/>
    <x v="0"/>
    <m/>
    <s v="HPBL4/RAW/26-27/348"/>
    <n v="3123"/>
    <n v="3123"/>
    <s v="Kgs"/>
    <n v="3123"/>
    <n v="0"/>
    <n v="3123"/>
    <s v="GJ12BT2409"/>
    <s v="Plastene India ltd - Unit 1-Purchase"/>
    <s v="Plastene India ltd - Unit 1-Purchase"/>
    <s v="PIL1/D/993"/>
    <d v="2026-10-07T00:00:00"/>
    <s v="RAW MATERIAL"/>
    <s v="INDIGENOUS"/>
    <s v="RM 369"/>
    <n v="146.49"/>
    <n v="146.49"/>
    <s v="PIL1/D/993"/>
    <d v="2026-10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508735.92"/>
    <s v="SF"/>
    <s v="PP/PE Fabric"/>
    <s v="PP UL Fabric"/>
    <s v="RM"/>
    <s v="erp"/>
    <n v="0"/>
    <n v="457488.27"/>
    <n v="817"/>
    <d v="2026-10-07T00:00:00"/>
    <s v="24AAACO3087C1ZT"/>
    <s v="storepil6"/>
    <s v="storepil6"/>
    <n v="9"/>
    <n v="41173.94"/>
    <n v="9"/>
    <n v="41173.94"/>
    <n v="0"/>
    <n v="0"/>
    <n v="0"/>
    <n v="602142604898"/>
    <d v="2026-07-10T00:00:00"/>
    <n v="0"/>
  </r>
  <r>
    <s v="HCP Plastene Bulkpack Ltd (Unit - IV)"/>
    <d v="2026-10-07T00:00:00"/>
    <s v="HPBL4/26-27/SII00859"/>
    <s v="WIP00025"/>
    <x v="1"/>
    <m/>
    <s v="HPBL4/RAW/26-27/348"/>
    <n v="1304"/>
    <n v="1304"/>
    <s v="Kgs"/>
    <n v="1304"/>
    <n v="0"/>
    <n v="1304"/>
    <s v="GJ12BT2409"/>
    <s v="Plastene India ltd - Unit 1-Purchase"/>
    <s v="Plastene India ltd - Unit 1-Purchase"/>
    <s v="PIL1/D/993"/>
    <d v="2026-10-07T00:00:00"/>
    <s v="RAW MATERIAL"/>
    <s v="INDIGENOUS"/>
    <s v="RM 369"/>
    <n v="151.49"/>
    <n v="151.49"/>
    <s v="PIL1/D/993"/>
    <d v="2026-10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508735.92"/>
    <s v="SF"/>
    <s v="PP/PE Fabric"/>
    <s v="PP Lam Fabric"/>
    <s v="RM"/>
    <s v="erp"/>
    <n v="0"/>
    <n v="197542.96"/>
    <n v="817"/>
    <d v="2026-10-07T00:00:00"/>
    <s v="24AAACO3087C1ZT"/>
    <s v="storepil6"/>
    <s v="storepil6"/>
    <n v="9"/>
    <n v="17778.87"/>
    <n v="9"/>
    <n v="17778.87"/>
    <n v="0"/>
    <n v="0"/>
    <n v="0"/>
    <n v="602142604898"/>
    <d v="2026-07-10T00:00:00"/>
    <n v="0"/>
  </r>
  <r>
    <s v="HCP Plastene Bulkpack Ltd (Unit - IV)"/>
    <d v="2026-10-07T00:00:00"/>
    <s v="HPBL4/26-27/SII00860"/>
    <s v="WIP00023"/>
    <x v="0"/>
    <m/>
    <s v="HPBL4/RAW/26-27/349"/>
    <n v="254"/>
    <n v="254"/>
    <s v="Kgs"/>
    <n v="254"/>
    <n v="0"/>
    <n v="254"/>
    <s v="GJ12BY0479"/>
    <s v="Plastene India ltd - Unit 1-Purchase"/>
    <s v="Plastene India ltd - Unit 1-Purchase"/>
    <s v="PIL1/D/997"/>
    <d v="2026-10-07T00:00:00"/>
    <s v="RAW MATERIAL"/>
    <s v="INDIGENOUS"/>
    <s v="RM 370"/>
    <n v="146.49"/>
    <n v="146.49"/>
    <s v="PIL1/D/997"/>
    <d v="2026-10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330320.65000000002"/>
    <s v="SF"/>
    <s v="PP/PE Fabric"/>
    <s v="PP UL Fabric"/>
    <s v="RM"/>
    <s v="erp"/>
    <n v="0"/>
    <n v="37208.46"/>
    <n v="818"/>
    <d v="2026-10-07T00:00:00"/>
    <s v="24AAACO3087C1ZT"/>
    <s v="storepil6"/>
    <s v="storepil6"/>
    <n v="9"/>
    <n v="3348.76"/>
    <n v="9"/>
    <n v="3348.76"/>
    <n v="0"/>
    <n v="0"/>
    <n v="330320.65000000002"/>
    <n v="692142701310"/>
    <d v="2026-07-10T00:00:00"/>
    <n v="0"/>
  </r>
  <r>
    <s v="HCP Plastene Bulkpack Ltd (Unit - IV)"/>
    <d v="2026-10-07T00:00:00"/>
    <s v="HPBL4/26-27/SII00860"/>
    <s v="WIP00023"/>
    <x v="0"/>
    <m/>
    <s v="HPBL4/RAW/26-27/349"/>
    <n v="343"/>
    <n v="343"/>
    <s v="Kgs"/>
    <n v="343"/>
    <n v="0"/>
    <n v="343"/>
    <s v="GJ12BY0479"/>
    <s v="Plastene India ltd - Unit 1-Purchase"/>
    <s v="Plastene India ltd - Unit 1-Purchase"/>
    <s v="PIL1/D/997"/>
    <d v="2026-10-07T00:00:00"/>
    <s v="RAW MATERIAL"/>
    <s v="INDIGENOUS"/>
    <s v="RM 370"/>
    <n v="144.49"/>
    <n v="144.49"/>
    <s v="PIL1/D/997"/>
    <d v="2026-10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330320.65000000002"/>
    <s v="SF"/>
    <s v="PP/PE Fabric"/>
    <s v="PP UL Fabric"/>
    <s v="RM"/>
    <s v="erp"/>
    <n v="0"/>
    <n v="49560.07"/>
    <n v="818"/>
    <d v="2026-10-07T00:00:00"/>
    <s v="24AAACO3087C1ZT"/>
    <s v="storepil6"/>
    <s v="storepil6"/>
    <n v="9"/>
    <n v="4460.41"/>
    <n v="9"/>
    <n v="4460.41"/>
    <n v="0"/>
    <n v="0"/>
    <n v="0"/>
    <n v="692142701310"/>
    <d v="2026-07-10T00:00:00"/>
    <n v="0"/>
  </r>
  <r>
    <s v="HCP Plastene Bulkpack Ltd (Unit - IV)"/>
    <d v="2026-10-07T00:00:00"/>
    <s v="HPBL4/26-27/SII00860"/>
    <s v="WIP00013"/>
    <x v="2"/>
    <m/>
    <s v="HPBL4/RAW/26-27/349"/>
    <n v="357"/>
    <n v="357"/>
    <s v="Kgs"/>
    <n v="357"/>
    <n v="0"/>
    <n v="357"/>
    <s v="GJ12BY0479"/>
    <s v="Plastene India ltd - Unit 1-Purchase"/>
    <s v="Plastene India ltd - Unit 1-Purchase"/>
    <s v="PIL1/D/997"/>
    <d v="2026-10-07T00:00:00"/>
    <s v="RAW MATERIAL"/>
    <s v="INDIGENOUS"/>
    <s v="RM 370"/>
    <n v="186.78"/>
    <n v="186.78"/>
    <s v="PIL1/D/997"/>
    <d v="2026-10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330320.65000000002"/>
    <s v="SF"/>
    <s v="Liners"/>
    <s v="LDPE/LLDPE Bags"/>
    <s v="RM"/>
    <s v="erp"/>
    <n v="0"/>
    <n v="66680.460000000006"/>
    <n v="818"/>
    <d v="2026-10-07T00:00:00"/>
    <s v="24AAACO3087C1ZT"/>
    <s v="storepil6"/>
    <s v="storepil6"/>
    <n v="9"/>
    <n v="6001.24"/>
    <n v="9"/>
    <n v="6001.24"/>
    <n v="0"/>
    <n v="0"/>
    <n v="0"/>
    <n v="692142701310"/>
    <d v="2026-07-10T00:00:00"/>
    <n v="0"/>
  </r>
  <r>
    <s v="HCP Plastene Bulkpack Ltd (Unit - IV)"/>
    <d v="2026-10-07T00:00:00"/>
    <s v="HPBL4/26-27/SII00860"/>
    <s v="WIP00013"/>
    <x v="2"/>
    <m/>
    <s v="HPBL4/RAW/26-27/349"/>
    <n v="692"/>
    <n v="692"/>
    <s v="Kgs"/>
    <n v="692"/>
    <n v="0"/>
    <n v="692"/>
    <s v="GJ12BY0479"/>
    <s v="Plastene India ltd - Unit 1-Purchase"/>
    <s v="Plastene India ltd - Unit 1-Purchase"/>
    <s v="PIL1/D/997"/>
    <d v="2026-10-07T00:00:00"/>
    <s v="RAW MATERIAL"/>
    <s v="INDIGENOUS"/>
    <s v="RM 370"/>
    <n v="182.78"/>
    <n v="182.78"/>
    <s v="PIL1/D/997"/>
    <d v="2026-10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330320.65000000002"/>
    <s v="SF"/>
    <s v="Liners"/>
    <s v="LDPE/LLDPE Bags"/>
    <s v="RM"/>
    <s v="erp"/>
    <n v="0"/>
    <n v="126483.76"/>
    <n v="818"/>
    <d v="2026-10-07T00:00:00"/>
    <s v="24AAACO3087C1ZT"/>
    <s v="storepil6"/>
    <s v="storepil6"/>
    <n v="9"/>
    <n v="11383.54"/>
    <n v="9"/>
    <n v="11383.54"/>
    <n v="0"/>
    <n v="0"/>
    <n v="0"/>
    <n v="692142701310"/>
    <d v="2026-07-10T00:00:00"/>
    <n v="0"/>
  </r>
  <r>
    <s v="HCP Plastene Bulkpack Ltd (Unit - IV)"/>
    <d v="2026-10-07T00:00:00"/>
    <s v="HPBL4/26-27/SII00861"/>
    <s v="WIP00023"/>
    <x v="0"/>
    <m/>
    <s v="HPBL4/RAW/26-27/350"/>
    <n v="549"/>
    <n v="549"/>
    <s v="Kgs"/>
    <n v="549"/>
    <n v="0"/>
    <n v="549"/>
    <s v="GJ12BT2409"/>
    <s v="Plastene India ltd - Unit 1-Purchase"/>
    <s v="Plastene India ltd - Unit 1-Purchase"/>
    <s v="PIL1/D/999"/>
    <d v="2026-10-07T00:00:00"/>
    <s v="RAW MATERIAL"/>
    <s v="INDIGENOUS"/>
    <s v="RM 371"/>
    <n v="144.49"/>
    <n v="144.489999212767"/>
    <s v="PIL1/D/999"/>
    <d v="2026-10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550624.86"/>
    <s v="SF"/>
    <s v="PP/PE Fabric"/>
    <s v="PP UL Fabric"/>
    <s v="RM"/>
    <s v="erp"/>
    <n v="0"/>
    <n v="79325.009999999995"/>
    <n v="825"/>
    <d v="2026-10-07T00:00:00"/>
    <s v="24AAACO3087C1ZT"/>
    <s v="storepil6"/>
    <s v="storepil6"/>
    <n v="9"/>
    <n v="7139.25"/>
    <n v="9"/>
    <n v="7139.25"/>
    <n v="0"/>
    <n v="0"/>
    <n v="550624.86"/>
    <n v="602142730065"/>
    <d v="2026-07-10T00:00:00"/>
    <n v="0"/>
  </r>
  <r>
    <s v="HCP Plastene Bulkpack Ltd (Unit - IV)"/>
    <d v="2026-10-07T00:00:00"/>
    <s v="HPBL4/26-27/SII00861"/>
    <s v="WIP00024"/>
    <x v="11"/>
    <m/>
    <s v="HPBL4/RAW/26-27/350"/>
    <n v="410"/>
    <n v="410"/>
    <s v="Kgs"/>
    <n v="410"/>
    <n v="0"/>
    <n v="410"/>
    <s v="GJ12BT2409"/>
    <s v="Plastene India ltd - Unit 1-Purchase"/>
    <s v="Plastene India ltd - Unit 1-Purchase"/>
    <s v="PIL1/D/999"/>
    <d v="2026-10-07T00:00:00"/>
    <s v="RAW MATERIAL"/>
    <s v="INDIGENOUS"/>
    <s v="RM 371"/>
    <n v="144.49"/>
    <n v="144.489999212767"/>
    <s v="PIL1/D/999"/>
    <d v="2026-10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550624.86"/>
    <s v="SF"/>
    <s v="PP/PE Fabric"/>
    <s v="PP UL Fabric"/>
    <s v="RM"/>
    <s v="erp"/>
    <n v="0"/>
    <n v="59240.9"/>
    <n v="825"/>
    <d v="2026-10-07T00:00:00"/>
    <s v="24AAACO3087C1ZT"/>
    <s v="storepil6"/>
    <s v="storepil6"/>
    <n v="9"/>
    <n v="5331.68"/>
    <n v="9"/>
    <n v="5331.68"/>
    <n v="0"/>
    <n v="0"/>
    <n v="0"/>
    <n v="602142730065"/>
    <d v="2026-07-10T00:00:00"/>
    <n v="0"/>
  </r>
  <r>
    <s v="HCP Plastene Bulkpack Ltd (Unit - IV)"/>
    <d v="2026-10-07T00:00:00"/>
    <s v="HPBL4/26-27/SII00861"/>
    <s v="WIP00032"/>
    <x v="3"/>
    <m/>
    <s v="HPBL4/RAW/26-27/350"/>
    <n v="1357.8"/>
    <n v="1357.8"/>
    <s v="Kgs"/>
    <n v="1357.8"/>
    <n v="0"/>
    <n v="1357.8"/>
    <s v="GJ12BT2409"/>
    <s v="Plastene India ltd - Unit 1-Purchase"/>
    <s v="Plastene India ltd - Unit 1-Purchase"/>
    <s v="PIL1/D/999"/>
    <d v="2026-10-07T00:00:00"/>
    <s v="RAW MATERIAL"/>
    <s v="INDIGENOUS"/>
    <s v="RM 371"/>
    <n v="149.49"/>
    <n v="149.48999918552499"/>
    <s v="PIL1/D/999"/>
    <d v="2026-10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550624.86"/>
    <s v="SF"/>
    <s v="Webbing"/>
    <s v="PP Webbing"/>
    <s v="RM"/>
    <s v="erp"/>
    <n v="0"/>
    <n v="202977.52"/>
    <n v="825"/>
    <d v="2026-10-07T00:00:00"/>
    <s v="24AAACO3087C1ZT"/>
    <s v="storepil6"/>
    <s v="storepil6"/>
    <n v="9"/>
    <n v="18267.98"/>
    <n v="9"/>
    <n v="18267.98"/>
    <n v="0"/>
    <n v="0"/>
    <n v="0"/>
    <n v="602142730065"/>
    <d v="2026-07-10T00:00:00"/>
    <n v="0"/>
  </r>
  <r>
    <s v="HCP Plastene Bulkpack Ltd (Unit - IV)"/>
    <d v="2026-10-07T00:00:00"/>
    <s v="HPBL4/26-27/SII00861"/>
    <s v="WIP00032"/>
    <x v="3"/>
    <m/>
    <s v="HPBL4/RAW/26-27/350"/>
    <n v="853.9"/>
    <n v="853.9"/>
    <s v="Kgs"/>
    <n v="853.9"/>
    <n v="0"/>
    <n v="853.9"/>
    <s v="GJ12BT2409"/>
    <s v="Plastene India ltd - Unit 1-Purchase"/>
    <s v="Plastene India ltd - Unit 1-Purchase"/>
    <s v="PIL1/D/999"/>
    <d v="2026-10-07T00:00:00"/>
    <s v="RAW MATERIAL"/>
    <s v="INDIGENOUS"/>
    <s v="RM 371"/>
    <n v="146.49"/>
    <n v="146.48999920187001"/>
    <s v="PIL1/D/999"/>
    <d v="2026-10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550624.86"/>
    <s v="SF"/>
    <s v="Webbing"/>
    <s v="PP Webbing"/>
    <s v="RM"/>
    <s v="erp"/>
    <n v="0"/>
    <n v="125087.81"/>
    <n v="825"/>
    <d v="2026-10-07T00:00:00"/>
    <s v="24AAACO3087C1ZT"/>
    <s v="storepil6"/>
    <s v="storepil6"/>
    <n v="9"/>
    <n v="11257.9"/>
    <n v="9"/>
    <n v="11257.9"/>
    <n v="0"/>
    <n v="0"/>
    <n v="0"/>
    <n v="602142730065"/>
    <d v="2026-07-10T00:00:00"/>
    <n v="0"/>
  </r>
  <r>
    <s v="HCP Plastene Bulkpack Ltd (Unit - IV)"/>
    <d v="2026-11-07T00:00:00"/>
    <s v="HPBL4/26-27/SII00871"/>
    <s v="WIP00023"/>
    <x v="0"/>
    <m/>
    <s v="HPBL4/RAW/26-27/352"/>
    <n v="1173"/>
    <n v="1173"/>
    <s v="Kgs"/>
    <n v="1173"/>
    <n v="0"/>
    <n v="1173"/>
    <s v="GJ35T2925"/>
    <s v="Plastene India ltd - Unit 1-Purchase"/>
    <s v="Plastene India ltd - Unit 1-Purchase"/>
    <s v="PIL1/D/1005"/>
    <d v="2026-11-07T00:00:00"/>
    <s v="RAW MATERIAL"/>
    <s v="INDIGENOUS"/>
    <s v="RM 372"/>
    <n v="144.49"/>
    <n v="144.49"/>
    <s v="PIL1/D/1005"/>
    <d v="2026-11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99994.39"/>
    <s v="SF"/>
    <s v="PP/PE Fabric"/>
    <s v="PP UL Fabric"/>
    <s v="RM"/>
    <s v="erp"/>
    <n v="0"/>
    <n v="169486.77"/>
    <n v="831"/>
    <d v="2026-11-07T00:00:00"/>
    <s v="24AAACO3087C1ZT"/>
    <s v="storepil6"/>
    <s v="storepil6"/>
    <n v="9"/>
    <n v="15253.81"/>
    <n v="9"/>
    <n v="15253.81"/>
    <n v="0"/>
    <n v="0"/>
    <n v="199994.39"/>
    <n v="652143239438"/>
    <d v="2026-07-11T00:00:00"/>
    <n v="0"/>
  </r>
  <r>
    <s v="HCP Plastene Bulkpack Ltd (Unit - IV)"/>
    <d v="2026-11-07T00:00:00"/>
    <s v="HPBL4/26-27/SII00872"/>
    <s v="WIP00013"/>
    <x v="2"/>
    <m/>
    <s v="HPBL4/RAW/26-27/352"/>
    <n v="21.4"/>
    <n v="21.4"/>
    <s v="Kgs"/>
    <n v="21.4"/>
    <n v="0"/>
    <n v="21.4"/>
    <s v="GJ39H2246"/>
    <s v="Plastene India ltd - Unit 1-Purchase"/>
    <s v="Plastene India ltd - Unit 1-Purchase"/>
    <s v="PIL1/D/1012"/>
    <d v="2026-11-07T00:00:00"/>
    <s v="RAW MATERIAL"/>
    <s v="INDIGENOUS"/>
    <s v="RM 373"/>
    <n v="182.78"/>
    <n v="182.77992079820601"/>
    <s v="PIL1/D/1012"/>
    <d v="2026-11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4615.55"/>
    <s v="SF"/>
    <s v="Liners"/>
    <s v="LDPE/LLDPE Bags"/>
    <s v="RM"/>
    <s v="erp"/>
    <n v="0"/>
    <n v="3911.49"/>
    <n v="832"/>
    <d v="2026-11-07T00:00:00"/>
    <s v="24AAACO3087C1ZT"/>
    <s v="storepil6"/>
    <s v="storepil6"/>
    <n v="9"/>
    <n v="352.03"/>
    <n v="9"/>
    <n v="352.03"/>
    <n v="0"/>
    <n v="0"/>
    <n v="4615.55"/>
    <n v="682143496834"/>
    <d v="2026-07-11T00:00:00"/>
    <n v="0"/>
  </r>
  <r>
    <s v="HCP Plastene Bulkpack Ltd (Unit - IV)"/>
    <d v="2026-11-07T00:00:00"/>
    <s v="HPBL4/26-27/SII00873"/>
    <s v="RAW05731"/>
    <x v="12"/>
    <m/>
    <s v="HPBL4/RAW/26-27/351"/>
    <n v="25"/>
    <n v="25"/>
    <s v="Kgs"/>
    <n v="25"/>
    <n v="0"/>
    <n v="25"/>
    <s v="GJ12BT2409"/>
    <s v="Plastene India ltd - Unit 1-Purchase"/>
    <s v="Plastene India ltd - Unit 1-Purchase"/>
    <s v="PIL1/D/1011"/>
    <d v="2026-11-07T00:00:00"/>
    <s v="RAW MATERIAL"/>
    <s v="INDIGENOUS"/>
    <s v="RM 374"/>
    <n v="275"/>
    <n v="275"/>
    <s v="PIL1/D/1011"/>
    <d v="2026-11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8112.5"/>
    <s v="RM Consumables"/>
    <s v="Ink"/>
    <s v="Ink"/>
    <s v="RM"/>
    <s v="erp"/>
    <n v="0"/>
    <n v="6875"/>
    <n v="833"/>
    <d v="2026-11-07T00:00:00"/>
    <s v="24AAACO3087C1ZT"/>
    <s v="storepil6"/>
    <s v="storepil6"/>
    <n v="9"/>
    <n v="618.75"/>
    <n v="9"/>
    <n v="618.75"/>
    <n v="0"/>
    <n v="0"/>
    <n v="8112.5"/>
    <n v="642143482097"/>
    <d v="2026-07-11T00:00:00"/>
    <n v="0"/>
  </r>
  <r>
    <s v="HCP Plastene Bulkpack Ltd (Unit - IV)"/>
    <d v="2026-11-07T00:00:00"/>
    <s v="HPBL4/26-27/SII00874"/>
    <s v="WIP00023"/>
    <x v="0"/>
    <m/>
    <s v="HPBL4/RAW/26-27/353"/>
    <n v="2176"/>
    <n v="2176"/>
    <s v="Kgs"/>
    <n v="2176"/>
    <n v="0"/>
    <n v="2176"/>
    <s v="GJ12BY0479"/>
    <s v="Plastene India ltd - Unit 1-Purchase"/>
    <s v="Plastene India ltd - Unit 1-Purchase"/>
    <s v="PIL1/D/1007"/>
    <d v="2026-11-07T00:00:00"/>
    <s v="RAW MATERIAL"/>
    <s v="INDIGENOUS"/>
    <s v="RM 375"/>
    <n v="146.49"/>
    <n v="146.49000042924999"/>
    <s v="PIL1/D/1007"/>
    <d v="2026-11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047617.29"/>
    <s v="SF"/>
    <s v="PP/PE Fabric"/>
    <s v="PP UL Fabric"/>
    <s v="RM"/>
    <s v="erp"/>
    <n v="0"/>
    <n v="318762.23999999999"/>
    <n v="830"/>
    <d v="2026-11-07T00:00:00"/>
    <s v="24AAACO3087C1ZT"/>
    <s v="storepil6"/>
    <s v="storepil6"/>
    <n v="9"/>
    <n v="28688.6"/>
    <n v="9"/>
    <n v="28688.6"/>
    <n v="0"/>
    <n v="0"/>
    <n v="2047617.29"/>
    <n v="652143281963"/>
    <d v="2026-07-11T00:00:00"/>
    <n v="0"/>
  </r>
  <r>
    <s v="HCP Plastene Bulkpack Ltd (Unit - IV)"/>
    <d v="2026-11-07T00:00:00"/>
    <s v="HPBL4/26-27/SII00874"/>
    <s v="WIP00023"/>
    <x v="0"/>
    <m/>
    <s v="HPBL4/RAW/26-27/353"/>
    <n v="1167"/>
    <n v="1167"/>
    <s v="Kgs"/>
    <n v="1167"/>
    <n v="0"/>
    <n v="1167"/>
    <s v="GJ12BY0479"/>
    <s v="Plastene India ltd - Unit 1-Purchase"/>
    <s v="Plastene India ltd - Unit 1-Purchase"/>
    <s v="PIL1/D/1007"/>
    <d v="2026-11-07T00:00:00"/>
    <s v="RAW MATERIAL"/>
    <s v="INDIGENOUS"/>
    <s v="RM 375"/>
    <n v="147.49"/>
    <n v="147.49000043218001"/>
    <s v="PIL1/D/1007"/>
    <d v="2026-11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047617.29"/>
    <s v="SF"/>
    <s v="PP/PE Fabric"/>
    <s v="PP UL Fabric"/>
    <s v="RM"/>
    <s v="erp"/>
    <n v="0"/>
    <n v="172120.83"/>
    <n v="830"/>
    <d v="2026-11-07T00:00:00"/>
    <s v="24AAACO3087C1ZT"/>
    <s v="storepil6"/>
    <s v="storepil6"/>
    <n v="9"/>
    <n v="15490.87"/>
    <n v="9"/>
    <n v="15490.87"/>
    <n v="0"/>
    <n v="0"/>
    <n v="0"/>
    <n v="652143281963"/>
    <d v="2026-07-11T00:00:00"/>
    <n v="0"/>
  </r>
  <r>
    <s v="HCP Plastene Bulkpack Ltd (Unit - IV)"/>
    <d v="2026-11-07T00:00:00"/>
    <s v="HPBL4/26-27/SII00874"/>
    <s v="WIP00023"/>
    <x v="0"/>
    <m/>
    <s v="HPBL4/RAW/26-27/353"/>
    <n v="4517"/>
    <n v="4517"/>
    <s v="Kgs"/>
    <n v="4517"/>
    <n v="0"/>
    <n v="4517"/>
    <s v="GJ12BY0479"/>
    <s v="Plastene India ltd - Unit 1-Purchase"/>
    <s v="Plastene India ltd - Unit 1-Purchase"/>
    <s v="PIL1/D/1007"/>
    <d v="2026-11-07T00:00:00"/>
    <s v="RAW MATERIAL"/>
    <s v="INDIGENOUS"/>
    <s v="RM 375"/>
    <n v="144.49"/>
    <n v="144.49000042339"/>
    <s v="PIL1/D/1007"/>
    <d v="2026-11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047617.29"/>
    <s v="SF"/>
    <s v="PP/PE Fabric"/>
    <s v="PP UL Fabric"/>
    <s v="RM"/>
    <s v="erp"/>
    <n v="0"/>
    <n v="652661.32999999996"/>
    <n v="830"/>
    <d v="2026-11-07T00:00:00"/>
    <s v="24AAACO3087C1ZT"/>
    <s v="storepil6"/>
    <s v="storepil6"/>
    <n v="9"/>
    <n v="58739.519999999997"/>
    <n v="9"/>
    <n v="58739.519999999997"/>
    <n v="0"/>
    <n v="0"/>
    <n v="0"/>
    <n v="652143281963"/>
    <d v="2026-07-11T00:00:00"/>
    <n v="0"/>
  </r>
  <r>
    <s v="HCP Plastene Bulkpack Ltd (Unit - IV)"/>
    <d v="2026-11-07T00:00:00"/>
    <s v="HPBL4/26-27/SII00874"/>
    <s v="WIP00025"/>
    <x v="1"/>
    <m/>
    <s v="HPBL4/RAW/26-27/353"/>
    <n v="1756"/>
    <n v="1756"/>
    <s v="Kgs"/>
    <n v="1756"/>
    <n v="0"/>
    <n v="1756"/>
    <s v="GJ12BY0479"/>
    <s v="Plastene India ltd - Unit 1-Purchase"/>
    <s v="Plastene India ltd - Unit 1-Purchase"/>
    <s v="PIL1/D/1007"/>
    <d v="2026-11-07T00:00:00"/>
    <s v="RAW MATERIAL"/>
    <s v="INDIGENOUS"/>
    <s v="RM 375"/>
    <n v="151.49"/>
    <n v="151.49000044390101"/>
    <s v="PIL1/D/1007"/>
    <d v="2026-11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047617.29"/>
    <s v="SF"/>
    <s v="PP/PE Fabric"/>
    <s v="PP Lam Fabric"/>
    <s v="RM"/>
    <s v="erp"/>
    <n v="0"/>
    <n v="266016.44"/>
    <n v="830"/>
    <d v="2026-11-07T00:00:00"/>
    <s v="24AAACO3087C1ZT"/>
    <s v="storepil6"/>
    <s v="storepil6"/>
    <n v="9"/>
    <n v="23941.48"/>
    <n v="9"/>
    <n v="23941.48"/>
    <n v="0"/>
    <n v="0"/>
    <n v="0"/>
    <n v="652143281963"/>
    <d v="2026-07-11T00:00:00"/>
    <n v="0"/>
  </r>
  <r>
    <s v="HCP Plastene Bulkpack Ltd (Unit - IV)"/>
    <d v="2026-11-07T00:00:00"/>
    <s v="HPBL4/26-27/SII00874"/>
    <s v="WIP00032"/>
    <x v="3"/>
    <m/>
    <s v="HPBL4/RAW/26-27/353"/>
    <n v="1358.2"/>
    <n v="1358.2"/>
    <s v="Kgs"/>
    <n v="1358.2"/>
    <n v="0"/>
    <n v="1358.2"/>
    <s v="GJ12BY0479"/>
    <s v="Plastene India ltd - Unit 1-Purchase"/>
    <s v="Plastene India ltd - Unit 1-Purchase"/>
    <s v="PIL1/D/1007"/>
    <d v="2026-11-07T00:00:00"/>
    <s v="RAW MATERIAL"/>
    <s v="INDIGENOUS"/>
    <s v="RM 375"/>
    <n v="149.49"/>
    <n v="149.49000043804099"/>
    <s v="PIL1/D/1007"/>
    <d v="2026-11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047617.29"/>
    <s v="SF"/>
    <s v="Webbing"/>
    <s v="PP Webbing"/>
    <s v="RM"/>
    <s v="erp"/>
    <n v="0"/>
    <n v="203037.32"/>
    <n v="830"/>
    <d v="2026-11-07T00:00:00"/>
    <s v="24AAACO3087C1ZT"/>
    <s v="storepil6"/>
    <s v="storepil6"/>
    <n v="9"/>
    <n v="18273.36"/>
    <n v="9"/>
    <n v="18273.36"/>
    <n v="0"/>
    <n v="0"/>
    <n v="0"/>
    <n v="652143281963"/>
    <d v="2026-07-11T00:00:00"/>
    <n v="0"/>
  </r>
  <r>
    <s v="HCP Plastene Bulkpack Ltd (Unit - IV)"/>
    <d v="2026-11-07T00:00:00"/>
    <s v="HPBL4/26-27/SII00874"/>
    <s v="WIP00032"/>
    <x v="3"/>
    <m/>
    <s v="HPBL4/RAW/26-27/353"/>
    <n v="837.4"/>
    <n v="837.4"/>
    <s v="Kgs"/>
    <n v="837.4"/>
    <n v="0"/>
    <n v="837.4"/>
    <s v="GJ12BY0479"/>
    <s v="Plastene India ltd - Unit 1-Purchase"/>
    <s v="Plastene India ltd - Unit 1-Purchase"/>
    <s v="PIL1/D/1007"/>
    <d v="2026-11-07T00:00:00"/>
    <s v="RAW MATERIAL"/>
    <s v="INDIGENOUS"/>
    <s v="RM 375"/>
    <n v="146.49"/>
    <n v="146.49000042924999"/>
    <s v="PIL1/D/1007"/>
    <d v="2026-11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047617.29"/>
    <s v="SF"/>
    <s v="Webbing"/>
    <s v="PP Webbing"/>
    <s v="RM"/>
    <s v="erp"/>
    <n v="0"/>
    <n v="122670.73"/>
    <n v="830"/>
    <d v="2026-11-07T00:00:00"/>
    <s v="24AAACO3087C1ZT"/>
    <s v="storepil6"/>
    <s v="storepil6"/>
    <n v="9"/>
    <n v="11040.37"/>
    <n v="9"/>
    <n v="11040.37"/>
    <n v="0"/>
    <n v="0"/>
    <n v="0"/>
    <n v="652143281963"/>
    <d v="2026-07-11T00:00:00"/>
    <n v="0"/>
  </r>
  <r>
    <s v="HCP Plastene Bulkpack Ltd (Unit - IV)"/>
    <d v="2026-12-07T00:00:00"/>
    <s v="HPBL4/26-27/SII00877"/>
    <s v="WIP00004"/>
    <x v="13"/>
    <m/>
    <s v="HPBL4/RAW/26-27/355"/>
    <n v="3287"/>
    <n v="3287"/>
    <s v="Kgs"/>
    <n v="3287"/>
    <n v="0"/>
    <n v="3287"/>
    <s v="GJ24X8795"/>
    <s v="Plastene India ltd - Unit 2-Purchase"/>
    <s v="Plastene India ltd - Unit 2-Purchase"/>
    <s v="PIL2/D/361"/>
    <d v="2026-11-07T00:00:00"/>
    <s v="RAW MATERIAL"/>
    <s v="INDIGENOUS"/>
    <s v="RM 376"/>
    <n v="194.73"/>
    <n v="194.73"/>
    <s v="PIL2/D/361"/>
    <d v="2026-11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755291.47"/>
    <s v="FG"/>
    <s v="FIBC Bags"/>
    <s v="FIBC Bags"/>
    <s v="FG"/>
    <s v="erp"/>
    <n v="0"/>
    <n v="640077.51"/>
    <n v="835"/>
    <d v="2026-12-07T00:00:00"/>
    <s v="24AAACO3087C1ZT"/>
    <s v="storepil6"/>
    <s v="storepil6"/>
    <n v="9"/>
    <n v="57606.98"/>
    <n v="9"/>
    <n v="57606.98"/>
    <n v="0"/>
    <n v="0"/>
    <n v="755291.47"/>
    <n v="642143379674"/>
    <d v="2026-07-11T00:00:00"/>
    <n v="0"/>
  </r>
  <r>
    <s v="HCP Plastene Bulkpack Ltd (Unit - IV)"/>
    <d v="2026-12-07T00:00:00"/>
    <s v="HPBL4/26-27/SII00878"/>
    <s v="FIG00001"/>
    <x v="4"/>
    <m/>
    <s v="HPBL4/RAW/26-27/356"/>
    <n v="435"/>
    <n v="435"/>
    <s v="Kgs"/>
    <n v="435"/>
    <n v="0"/>
    <n v="435"/>
    <s v="GJ39TB3534"/>
    <s v="Plastene Polyfilms Ltd-Purchase"/>
    <s v="Plastene Polyfilms Ltd-Purchase"/>
    <s v="PPL/D/342"/>
    <d v="2026-12-07T00:00:00"/>
    <s v="RAW MATERIAL"/>
    <s v="INDIGENOUS"/>
    <s v="RM 377"/>
    <n v="154.74"/>
    <n v="154.74"/>
    <s v="PPL/D/342"/>
    <d v="2026-12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93826.93"/>
    <s v="FG"/>
    <s v="FIBC WIP"/>
    <s v="FIBC WIP"/>
    <s v="RM"/>
    <s v="erp"/>
    <n v="0"/>
    <n v="67311.899999999994"/>
    <n v="840"/>
    <d v="2026-12-07T00:00:00"/>
    <s v="24AAFCP2956A1ZR"/>
    <s v="storepil6"/>
    <s v="storepil6"/>
    <n v="9"/>
    <n v="6058.07"/>
    <n v="9"/>
    <n v="6058.07"/>
    <n v="0"/>
    <n v="0"/>
    <n v="193826.93"/>
    <n v="692144065665"/>
    <d v="2026-07-13T00:00:00"/>
    <n v="0"/>
  </r>
  <r>
    <s v="HCP Plastene Bulkpack Ltd (Unit - IV)"/>
    <d v="2026-12-07T00:00:00"/>
    <s v="HPBL4/26-27/SII00878"/>
    <s v="WIP00032"/>
    <x v="3"/>
    <m/>
    <s v="HPBL4/RAW/26-27/356"/>
    <n v="73"/>
    <n v="73"/>
    <s v="Kgs"/>
    <n v="73"/>
    <n v="0"/>
    <n v="73"/>
    <s v="GJ39TB3534"/>
    <s v="Plastene Polyfilms Ltd-Purchase"/>
    <s v="Plastene Polyfilms Ltd-Purchase"/>
    <s v="PPL/D/342"/>
    <d v="2026-12-07T00:00:00"/>
    <s v="RAW MATERIAL"/>
    <s v="INDIGENOUS"/>
    <s v="RM 377"/>
    <n v="149.49"/>
    <n v="149.49"/>
    <s v="PPL/D/342"/>
    <d v="2026-12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93826.93"/>
    <s v="SF"/>
    <s v="Webbing"/>
    <s v="PP Webbing"/>
    <s v="RM"/>
    <s v="erp"/>
    <n v="0"/>
    <n v="10912.77"/>
    <n v="840"/>
    <d v="2026-12-07T00:00:00"/>
    <s v="24AAFCP2956A1ZR"/>
    <s v="storepil6"/>
    <s v="storepil6"/>
    <n v="9"/>
    <n v="982.15"/>
    <n v="9"/>
    <n v="982.15"/>
    <n v="0"/>
    <n v="0"/>
    <n v="0"/>
    <n v="692144065665"/>
    <d v="2026-07-13T00:00:00"/>
    <n v="0"/>
  </r>
  <r>
    <s v="HCP Plastene Bulkpack Ltd (Unit - IV)"/>
    <d v="2026-12-07T00:00:00"/>
    <s v="HPBL4/26-27/SII00878"/>
    <s v="WIP00023"/>
    <x v="0"/>
    <m/>
    <s v="HPBL4/RAW/26-27/356"/>
    <n v="556"/>
    <n v="556"/>
    <s v="Kgs"/>
    <n v="556"/>
    <n v="0"/>
    <n v="556"/>
    <s v="GJ39TB3534"/>
    <s v="Plastene Polyfilms Ltd-Purchase"/>
    <s v="Plastene Polyfilms Ltd-Purchase"/>
    <s v="PPL/D/342"/>
    <d v="2026-12-07T00:00:00"/>
    <s v="RAW MATERIAL"/>
    <s v="INDIGENOUS"/>
    <s v="RM 377"/>
    <n v="154.74"/>
    <n v="154.74"/>
    <s v="PPL/D/342"/>
    <d v="2026-12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93826.93"/>
    <s v="SF"/>
    <s v="PP/PE Fabric"/>
    <s v="PP UL Fabric"/>
    <s v="RM"/>
    <s v="erp"/>
    <n v="0"/>
    <n v="86035.44"/>
    <n v="840"/>
    <d v="2026-12-07T00:00:00"/>
    <s v="24AAFCP2956A1ZR"/>
    <s v="storepil6"/>
    <s v="storepil6"/>
    <n v="9"/>
    <n v="7743.19"/>
    <n v="9"/>
    <n v="7743.19"/>
    <n v="0"/>
    <n v="0"/>
    <n v="0"/>
    <n v="692144065665"/>
    <d v="2026-07-13T00:00:00"/>
    <n v="0"/>
  </r>
  <r>
    <s v="HCP Plastene Bulkpack Ltd (Unit - IV)"/>
    <d v="2026-12-07T00:00:00"/>
    <s v="HPBL4/26-27/SII00879"/>
    <s v="WIP00023"/>
    <x v="0"/>
    <m/>
    <s v="HPBL4/RAW/26-27/357"/>
    <n v="2879"/>
    <n v="2879"/>
    <s v="Kgs"/>
    <n v="2879"/>
    <n v="0"/>
    <n v="2879"/>
    <s v="GJ12BT2409"/>
    <s v="Plastene India ltd - Unit 1-Purchase"/>
    <s v="Plastene India ltd - Unit 1-Purchase"/>
    <s v="PIL1/D/1020"/>
    <d v="2026-12-07T00:00:00"/>
    <s v="RAW MATERIAL"/>
    <s v="INDIGENOUS"/>
    <s v="RM 378"/>
    <n v="146.49"/>
    <n v="146.49"/>
    <s v="PIL1/D/1020"/>
    <d v="2026-12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55961.56"/>
    <s v="SF"/>
    <s v="PP/PE Fabric"/>
    <s v="PP UL Fabric"/>
    <s v="RM"/>
    <s v="erp"/>
    <n v="0"/>
    <n v="421744.71"/>
    <n v="834"/>
    <d v="2026-12-07T00:00:00"/>
    <s v="24AAACO3087C1ZT"/>
    <s v="storepil6"/>
    <s v="storepil6"/>
    <n v="9"/>
    <n v="37957.019999999997"/>
    <n v="9"/>
    <n v="37957.019999999997"/>
    <n v="0"/>
    <n v="0"/>
    <n v="1355961.56"/>
    <n v="652143828322"/>
    <d v="2026-07-12T00:00:00"/>
    <n v="0"/>
  </r>
  <r>
    <s v="HCP Plastene Bulkpack Ltd (Unit - IV)"/>
    <d v="2026-12-07T00:00:00"/>
    <s v="HPBL4/26-27/SII00879"/>
    <s v="WIP00023"/>
    <x v="0"/>
    <m/>
    <s v="HPBL4/RAW/26-27/357"/>
    <n v="4489"/>
    <n v="4489"/>
    <s v="Kgs"/>
    <n v="4489"/>
    <n v="0"/>
    <n v="4489"/>
    <s v="GJ12BT2409"/>
    <s v="Plastene India ltd - Unit 1-Purchase"/>
    <s v="Plastene India ltd - Unit 1-Purchase"/>
    <s v="PIL1/D/1020"/>
    <d v="2026-12-07T00:00:00"/>
    <s v="RAW MATERIAL"/>
    <s v="INDIGENOUS"/>
    <s v="RM 378"/>
    <n v="144.49"/>
    <n v="144.49"/>
    <s v="PIL1/D/1020"/>
    <d v="2026-12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55961.56"/>
    <s v="SF"/>
    <s v="PP/PE Fabric"/>
    <s v="PP UL Fabric"/>
    <s v="RM"/>
    <s v="erp"/>
    <n v="0"/>
    <n v="648615.61"/>
    <n v="834"/>
    <d v="2026-12-07T00:00:00"/>
    <s v="24AAACO3087C1ZT"/>
    <s v="storepil6"/>
    <s v="storepil6"/>
    <n v="9"/>
    <n v="58375.4"/>
    <n v="9"/>
    <n v="58375.4"/>
    <n v="0"/>
    <n v="0"/>
    <n v="0"/>
    <n v="652143828322"/>
    <d v="2026-07-12T00:00:00"/>
    <n v="0"/>
  </r>
  <r>
    <s v="HCP Plastene Bulkpack Ltd (Unit - IV)"/>
    <d v="2026-12-07T00:00:00"/>
    <s v="HPBL4/26-27/SII00879"/>
    <s v="WIP00023"/>
    <x v="0"/>
    <m/>
    <s v="HPBL4/RAW/26-27/357"/>
    <n v="534"/>
    <n v="534"/>
    <s v="Kgs"/>
    <n v="534"/>
    <n v="0"/>
    <n v="534"/>
    <s v="GJ12BT2409"/>
    <s v="Plastene India ltd - Unit 1-Purchase"/>
    <s v="Plastene India ltd - Unit 1-Purchase"/>
    <s v="PIL1/D/1020"/>
    <d v="2026-12-07T00:00:00"/>
    <s v="RAW MATERIAL"/>
    <s v="INDIGENOUS"/>
    <s v="RM 378"/>
    <n v="147.49"/>
    <n v="147.49"/>
    <s v="PIL1/D/1020"/>
    <d v="2026-12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55961.56"/>
    <s v="SF"/>
    <s v="PP/PE Fabric"/>
    <s v="PP UL Fabric"/>
    <s v="RM"/>
    <s v="erp"/>
    <n v="0"/>
    <n v="78759.66"/>
    <n v="834"/>
    <d v="2026-12-07T00:00:00"/>
    <s v="24AAACO3087C1ZT"/>
    <s v="storepil6"/>
    <s v="storepil6"/>
    <n v="9"/>
    <n v="7088.37"/>
    <n v="9"/>
    <n v="7088.37"/>
    <n v="0"/>
    <n v="0"/>
    <n v="0"/>
    <n v="652143828322"/>
    <d v="2026-07-12T00:00:00"/>
    <n v="0"/>
  </r>
  <r>
    <s v="HCP Plastene Bulkpack Ltd (Unit - IV)"/>
    <d v="2026-12-07T00:00:00"/>
    <s v="HPBL4/26-27/SII00880"/>
    <s v="WIP00023"/>
    <x v="0"/>
    <m/>
    <s v="HPBL4/RAW/26-27/358"/>
    <n v="2099"/>
    <n v="2099"/>
    <s v="Kgs"/>
    <n v="2099"/>
    <n v="0"/>
    <n v="2099"/>
    <s v="GJ09Z0572"/>
    <s v="Plastene India ltd - Unit 1-Purchase"/>
    <s v="Plastene India ltd - Unit 1-Purchase"/>
    <s v="PIL1/D/1023"/>
    <d v="2026-12-07T00:00:00"/>
    <s v="RAW MATERIAL"/>
    <s v="INDIGENOUS"/>
    <s v="RM 379"/>
    <n v="146.49"/>
    <n v="146.49"/>
    <s v="PIL1/D/1023"/>
    <d v="2026-12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405964.44"/>
    <s v="SF"/>
    <s v="PP/PE Fabric"/>
    <s v="PP UL Fabric"/>
    <s v="RM"/>
    <s v="erp"/>
    <n v="0"/>
    <n v="307482.51"/>
    <n v="838"/>
    <d v="2026-12-07T00:00:00"/>
    <s v="24AAACO3087C1ZT"/>
    <s v="storepil6"/>
    <s v="storepil6"/>
    <n v="9"/>
    <n v="27673.43"/>
    <n v="9"/>
    <n v="27673.43"/>
    <n v="0"/>
    <n v="0"/>
    <n v="405964.44"/>
    <n v="672143859162"/>
    <d v="2026-07-12T00:00:00"/>
    <n v="0"/>
  </r>
  <r>
    <s v="HCP Plastene Bulkpack Ltd (Unit - IV)"/>
    <d v="2026-12-07T00:00:00"/>
    <s v="HPBL4/26-27/SII00880"/>
    <s v="FIG00001"/>
    <x v="4"/>
    <m/>
    <s v="HPBL4/RAW/26-27/358"/>
    <n v="125"/>
    <n v="125"/>
    <s v="Kgs"/>
    <n v="125"/>
    <n v="0"/>
    <n v="125"/>
    <s v="GJ09Z0572"/>
    <s v="Plastene India ltd - Unit 1-Purchase"/>
    <s v="Plastene India ltd - Unit 1-Purchase"/>
    <s v="PIL1/D/1023"/>
    <d v="2026-12-07T00:00:00"/>
    <s v="RAW MATERIAL"/>
    <s v="INDIGENOUS"/>
    <s v="RM 379"/>
    <n v="156.49"/>
    <n v="156.49"/>
    <s v="PIL1/D/1023"/>
    <d v="2026-12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405964.44"/>
    <s v="FG"/>
    <s v="FIBC WIP"/>
    <s v="FIBC WIP"/>
    <s v="RM"/>
    <s v="erp"/>
    <n v="0"/>
    <n v="19561.25"/>
    <n v="838"/>
    <d v="2026-12-07T00:00:00"/>
    <s v="24AAACO3087C1ZT"/>
    <s v="storepil6"/>
    <s v="storepil6"/>
    <n v="9"/>
    <n v="1760.51"/>
    <n v="9"/>
    <n v="1760.51"/>
    <n v="0"/>
    <n v="0"/>
    <n v="0"/>
    <n v="672143859162"/>
    <d v="2026-07-12T00:00:00"/>
    <n v="0"/>
  </r>
  <r>
    <s v="HCP Plastene Bulkpack Ltd (Unit - IV)"/>
    <d v="2026-12-07T00:00:00"/>
    <s v="HPBL4/26-27/SII00880"/>
    <s v="FIG00001"/>
    <x v="4"/>
    <m/>
    <s v="HPBL4/RAW/26-27/358"/>
    <n v="110"/>
    <n v="110"/>
    <s v="Kgs"/>
    <n v="110"/>
    <n v="0"/>
    <n v="110"/>
    <s v="GJ09Z0572"/>
    <s v="Plastene India ltd - Unit 1-Purchase"/>
    <s v="Plastene India ltd - Unit 1-Purchase"/>
    <s v="PIL1/D/1023"/>
    <d v="2026-12-07T00:00:00"/>
    <s v="RAW MATERIAL"/>
    <s v="INDIGENOUS"/>
    <s v="RM 379"/>
    <n v="154.49"/>
    <n v="154.49"/>
    <s v="PIL1/D/1023"/>
    <d v="2026-12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405964.44"/>
    <s v="FG"/>
    <s v="FIBC WIP"/>
    <s v="FIBC WIP"/>
    <s v="RM"/>
    <s v="erp"/>
    <n v="0"/>
    <n v="16993.900000000001"/>
    <n v="838"/>
    <d v="2026-12-07T00:00:00"/>
    <s v="24AAACO3087C1ZT"/>
    <s v="storepil6"/>
    <s v="storepil6"/>
    <n v="9"/>
    <n v="1529.45"/>
    <n v="9"/>
    <n v="1529.45"/>
    <n v="0"/>
    <n v="0"/>
    <n v="0"/>
    <n v="672143859162"/>
    <d v="2026-07-12T00:00:00"/>
    <n v="0"/>
  </r>
  <r>
    <s v="HCP Plastene Bulkpack Ltd (Unit - IV)"/>
    <d v="2026-12-07T00:00:00"/>
    <s v="HPBL4/26-27/SII00881"/>
    <s v="WIP00013"/>
    <x v="2"/>
    <m/>
    <s v="HPBL4/RAW/26-27/359"/>
    <n v="554"/>
    <n v="554"/>
    <s v="Kgs"/>
    <n v="554"/>
    <n v="0"/>
    <n v="554"/>
    <s v="GJ12BY0479"/>
    <s v="Plastene India ltd - Unit 1-Purchase"/>
    <s v="Plastene India ltd - Unit 1-Purchase"/>
    <s v="PIL1/D/1024"/>
    <d v="2026-12-07T00:00:00"/>
    <s v="RAW MATERIAL"/>
    <s v="INDIGENOUS"/>
    <s v="RM 380"/>
    <n v="182.78"/>
    <n v="182.78000010932899"/>
    <s v="PIL1/D/1024"/>
    <d v="2026-12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671827.99"/>
    <s v="SF"/>
    <s v="Liners"/>
    <s v="LDPE/LLDPE Bags"/>
    <s v="RM"/>
    <s v="erp"/>
    <n v="0"/>
    <n v="101260.12"/>
    <n v="836"/>
    <d v="2026-12-07T00:00:00"/>
    <s v="24AAACO3087C1ZT"/>
    <s v="storepil6"/>
    <s v="storepil6"/>
    <n v="9"/>
    <n v="9113.41"/>
    <n v="9"/>
    <n v="9113.41"/>
    <n v="0"/>
    <n v="0"/>
    <n v="1671827.99"/>
    <n v="682143873699"/>
    <d v="2026-07-12T00:00:00"/>
    <n v="0"/>
  </r>
  <r>
    <s v="HCP Plastene Bulkpack Ltd (Unit - IV)"/>
    <d v="2026-12-07T00:00:00"/>
    <s v="HPBL4/26-27/SII00881"/>
    <s v="WIP00013"/>
    <x v="2"/>
    <m/>
    <s v="HPBL4/RAW/26-27/359"/>
    <n v="55"/>
    <n v="55"/>
    <s v="Kgs"/>
    <n v="55"/>
    <n v="0"/>
    <n v="55"/>
    <s v="GJ12BY0479"/>
    <s v="Plastene India ltd - Unit 1-Purchase"/>
    <s v="Plastene India ltd - Unit 1-Purchase"/>
    <s v="PIL1/D/1024"/>
    <d v="2026-12-07T00:00:00"/>
    <s v="RAW MATERIAL"/>
    <s v="INDIGENOUS"/>
    <s v="RM 380"/>
    <n v="185.78"/>
    <n v="185.780000111124"/>
    <s v="PIL1/D/1024"/>
    <d v="2026-12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671827.99"/>
    <s v="SF"/>
    <s v="Liners"/>
    <s v="LDPE/LLDPE Bags"/>
    <s v="RM"/>
    <s v="erp"/>
    <n v="0"/>
    <n v="10217.9"/>
    <n v="836"/>
    <d v="2026-12-07T00:00:00"/>
    <s v="24AAACO3087C1ZT"/>
    <s v="storepil6"/>
    <s v="storepil6"/>
    <n v="9"/>
    <n v="919.61"/>
    <n v="9"/>
    <n v="919.61"/>
    <n v="0"/>
    <n v="0"/>
    <n v="0"/>
    <n v="682143873699"/>
    <d v="2026-07-12T00:00:00"/>
    <n v="0"/>
  </r>
  <r>
    <s v="HCP Plastene Bulkpack Ltd (Unit - IV)"/>
    <d v="2026-12-07T00:00:00"/>
    <s v="HPBL4/26-27/SII00881"/>
    <s v="SMF00146"/>
    <x v="9"/>
    <m/>
    <s v="HPBL4/RAW/26-27/359"/>
    <n v="66"/>
    <n v="66"/>
    <s v="Kgs"/>
    <n v="66"/>
    <n v="0"/>
    <n v="66"/>
    <s v="GJ12BY0479"/>
    <s v="Plastene India ltd - Unit 1-Purchase"/>
    <s v="Plastene India ltd - Unit 1-Purchase"/>
    <s v="PIL1/D/1024"/>
    <d v="2026-12-07T00:00:00"/>
    <s v="RAW MATERIAL"/>
    <s v="INDIGENOUS"/>
    <s v="RM 380"/>
    <n v="182.78"/>
    <n v="182.78000010932899"/>
    <s v="PIL1/D/1024"/>
    <d v="2026-12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671827.99"/>
    <s v="SF"/>
    <s v="Liners"/>
    <s v="LDPE/LLDPE Bags"/>
    <s v="RM"/>
    <s v="erp"/>
    <n v="0"/>
    <n v="12063.48"/>
    <n v="836"/>
    <d v="2026-12-07T00:00:00"/>
    <s v="24AAACO3087C1ZT"/>
    <s v="storepil6"/>
    <s v="storepil6"/>
    <n v="9"/>
    <n v="1085.71"/>
    <n v="9"/>
    <n v="1085.71"/>
    <n v="0"/>
    <n v="0"/>
    <n v="0"/>
    <n v="682143873699"/>
    <d v="2026-07-12T00:00:00"/>
    <n v="0"/>
  </r>
  <r>
    <s v="HCP Plastene Bulkpack Ltd (Unit - IV)"/>
    <d v="2026-12-07T00:00:00"/>
    <s v="HPBL4/26-27/SII00881"/>
    <s v="WIP00023"/>
    <x v="0"/>
    <m/>
    <s v="HPBL4/RAW/26-27/359"/>
    <n v="633"/>
    <n v="633"/>
    <s v="Kgs"/>
    <n v="633"/>
    <n v="0"/>
    <n v="633"/>
    <s v="GJ12BY0479"/>
    <s v="Plastene India ltd - Unit 1-Purchase"/>
    <s v="Plastene India ltd - Unit 1-Purchase"/>
    <s v="PIL1/D/1024"/>
    <d v="2026-12-07T00:00:00"/>
    <s v="RAW MATERIAL"/>
    <s v="INDIGENOUS"/>
    <s v="RM 380"/>
    <n v="147.49"/>
    <n v="147.490000088221"/>
    <s v="PIL1/D/1024"/>
    <d v="2026-12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671827.99"/>
    <s v="SF"/>
    <s v="PP/PE Fabric"/>
    <s v="PP UL Fabric"/>
    <s v="RM"/>
    <s v="erp"/>
    <n v="0"/>
    <n v="93361.17"/>
    <n v="836"/>
    <d v="2026-12-07T00:00:00"/>
    <s v="24AAACO3087C1ZT"/>
    <s v="storepil6"/>
    <s v="storepil6"/>
    <n v="9"/>
    <n v="8402.51"/>
    <n v="9"/>
    <n v="8402.51"/>
    <n v="0"/>
    <n v="0"/>
    <n v="0"/>
    <n v="682143873699"/>
    <d v="2026-07-12T00:00:00"/>
    <n v="0"/>
  </r>
  <r>
    <s v="HCP Plastene Bulkpack Ltd (Unit - IV)"/>
    <d v="2026-12-07T00:00:00"/>
    <s v="HPBL4/26-27/SII00881"/>
    <s v="WIP00023"/>
    <x v="0"/>
    <m/>
    <s v="HPBL4/RAW/26-27/359"/>
    <n v="2346"/>
    <n v="2346"/>
    <s v="Kgs"/>
    <n v="2346"/>
    <n v="0"/>
    <n v="2346"/>
    <s v="GJ12BY0479"/>
    <s v="Plastene India ltd - Unit 1-Purchase"/>
    <s v="Plastene India ltd - Unit 1-Purchase"/>
    <s v="PIL1/D/1024"/>
    <d v="2026-12-07T00:00:00"/>
    <s v="RAW MATERIAL"/>
    <s v="INDIGENOUS"/>
    <s v="RM 380"/>
    <n v="144.49"/>
    <n v="144.49000008642599"/>
    <s v="PIL1/D/1024"/>
    <d v="2026-12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671827.99"/>
    <s v="SF"/>
    <s v="PP/PE Fabric"/>
    <s v="PP UL Fabric"/>
    <s v="RM"/>
    <s v="erp"/>
    <n v="0"/>
    <n v="338973.54"/>
    <n v="836"/>
    <d v="2026-12-07T00:00:00"/>
    <s v="24AAACO3087C1ZT"/>
    <s v="storepil6"/>
    <s v="storepil6"/>
    <n v="9"/>
    <n v="30507.62"/>
    <n v="9"/>
    <n v="30507.62"/>
    <n v="0"/>
    <n v="0"/>
    <n v="0"/>
    <n v="682143873699"/>
    <d v="2026-07-12T00:00:00"/>
    <n v="0"/>
  </r>
  <r>
    <s v="HCP Plastene Bulkpack Ltd (Unit - IV)"/>
    <d v="2026-12-07T00:00:00"/>
    <s v="HPBL4/26-27/SII00881"/>
    <s v="WIP00025"/>
    <x v="1"/>
    <m/>
    <s v="HPBL4/RAW/26-27/359"/>
    <n v="2959"/>
    <n v="2959"/>
    <s v="Kgs"/>
    <n v="2959"/>
    <n v="0"/>
    <n v="2959"/>
    <s v="GJ12BY0479"/>
    <s v="Plastene India ltd - Unit 1-Purchase"/>
    <s v="Plastene India ltd - Unit 1-Purchase"/>
    <s v="PIL1/D/1024"/>
    <d v="2026-12-07T00:00:00"/>
    <s v="RAW MATERIAL"/>
    <s v="INDIGENOUS"/>
    <s v="RM 380"/>
    <n v="146.49"/>
    <n v="146.490000087623"/>
    <s v="PIL1/D/1024"/>
    <d v="2026-12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671827.99"/>
    <s v="SF"/>
    <s v="PP/PE Fabric"/>
    <s v="PP Lam Fabric"/>
    <s v="RM"/>
    <s v="erp"/>
    <n v="0"/>
    <n v="433463.91"/>
    <n v="836"/>
    <d v="2026-12-07T00:00:00"/>
    <s v="24AAACO3087C1ZT"/>
    <s v="storepil6"/>
    <s v="storepil6"/>
    <n v="9"/>
    <n v="39011.75"/>
    <n v="9"/>
    <n v="39011.75"/>
    <n v="0"/>
    <n v="0"/>
    <n v="0"/>
    <n v="682143873699"/>
    <d v="2026-07-12T00:00:00"/>
    <n v="0"/>
  </r>
  <r>
    <s v="HCP Plastene Bulkpack Ltd (Unit - IV)"/>
    <d v="2026-12-07T00:00:00"/>
    <s v="HPBL4/26-27/SII00881"/>
    <s v="WIP00025"/>
    <x v="1"/>
    <m/>
    <s v="HPBL4/RAW/26-27/359"/>
    <n v="698"/>
    <n v="698"/>
    <s v="Kgs"/>
    <n v="698"/>
    <n v="0"/>
    <n v="698"/>
    <s v="GJ12BY0479"/>
    <s v="Plastene India ltd - Unit 1-Purchase"/>
    <s v="Plastene India ltd - Unit 1-Purchase"/>
    <s v="PIL1/D/1024"/>
    <d v="2026-12-07T00:00:00"/>
    <s v="RAW MATERIAL"/>
    <s v="INDIGENOUS"/>
    <s v="RM 380"/>
    <n v="151.49"/>
    <n v="151.49000009061299"/>
    <s v="PIL1/D/1024"/>
    <d v="2026-12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671827.99"/>
    <s v="SF"/>
    <s v="PP/PE Fabric"/>
    <s v="PP Lam Fabric"/>
    <s v="RM"/>
    <s v="erp"/>
    <n v="0"/>
    <n v="105740.02"/>
    <n v="836"/>
    <d v="2026-12-07T00:00:00"/>
    <s v="24AAACO3087C1ZT"/>
    <s v="storepil6"/>
    <s v="storepil6"/>
    <n v="9"/>
    <n v="9516.6"/>
    <n v="9"/>
    <n v="9516.6"/>
    <n v="0"/>
    <n v="0"/>
    <n v="0"/>
    <n v="682143873699"/>
    <d v="2026-07-12T00:00:00"/>
    <n v="0"/>
  </r>
  <r>
    <s v="HCP Plastene Bulkpack Ltd (Unit - IV)"/>
    <d v="2026-12-07T00:00:00"/>
    <s v="HPBL4/26-27/SII00881"/>
    <s v="WIP00032"/>
    <x v="3"/>
    <m/>
    <s v="HPBL4/RAW/26-27/359"/>
    <n v="1275.0999999999999"/>
    <n v="1275.0999999999999"/>
    <s v="Kgs"/>
    <n v="1275.0999999999999"/>
    <n v="0"/>
    <n v="1275.0999999999999"/>
    <s v="GJ12BY0479"/>
    <s v="Plastene India ltd - Unit 1-Purchase"/>
    <s v="Plastene India ltd - Unit 1-Purchase"/>
    <s v="PIL1/D/1024"/>
    <d v="2026-12-07T00:00:00"/>
    <s v="RAW MATERIAL"/>
    <s v="INDIGENOUS"/>
    <s v="RM 380"/>
    <n v="149.49"/>
    <n v="149.49000008941701"/>
    <s v="PIL1/D/1024"/>
    <d v="2026-12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671827.99"/>
    <s v="SF"/>
    <s v="Webbing"/>
    <s v="PP Webbing"/>
    <s v="RM"/>
    <s v="erp"/>
    <n v="0"/>
    <n v="190614.7"/>
    <n v="836"/>
    <d v="2026-12-07T00:00:00"/>
    <s v="24AAACO3087C1ZT"/>
    <s v="storepil6"/>
    <s v="storepil6"/>
    <n v="9"/>
    <n v="17155.32"/>
    <n v="9"/>
    <n v="17155.32"/>
    <n v="0"/>
    <n v="0"/>
    <n v="0"/>
    <n v="682143873699"/>
    <d v="2026-07-12T00:00:00"/>
    <n v="0"/>
  </r>
  <r>
    <s v="HCP Plastene Bulkpack Ltd (Unit - IV)"/>
    <d v="2026-12-07T00:00:00"/>
    <s v="HPBL4/26-27/SII00881"/>
    <s v="WIP00032"/>
    <x v="3"/>
    <m/>
    <s v="HPBL4/RAW/26-27/359"/>
    <n v="895"/>
    <n v="895"/>
    <s v="Kgs"/>
    <n v="895"/>
    <n v="0"/>
    <n v="895"/>
    <s v="GJ12BY0479"/>
    <s v="Plastene India ltd - Unit 1-Purchase"/>
    <s v="Plastene India ltd - Unit 1-Purchase"/>
    <s v="PIL1/D/1024"/>
    <d v="2026-12-07T00:00:00"/>
    <s v="RAW MATERIAL"/>
    <s v="INDIGENOUS"/>
    <s v="RM 380"/>
    <n v="146.49"/>
    <n v="146.490000087623"/>
    <s v="PIL1/D/1024"/>
    <d v="2026-12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671827.99"/>
    <s v="SF"/>
    <s v="Webbing"/>
    <s v="PP Webbing"/>
    <s v="RM"/>
    <s v="erp"/>
    <n v="0"/>
    <n v="131108.54999999999"/>
    <n v="836"/>
    <d v="2026-12-07T00:00:00"/>
    <s v="24AAACO3087C1ZT"/>
    <s v="storepil6"/>
    <s v="storepil6"/>
    <n v="9"/>
    <n v="11799.77"/>
    <n v="9"/>
    <n v="11799.77"/>
    <n v="0"/>
    <n v="0"/>
    <n v="0"/>
    <n v="682143873699"/>
    <d v="2026-07-12T00:00:00"/>
    <n v="0"/>
  </r>
  <r>
    <s v="HCP Plastene Bulkpack Ltd (Unit - IV)"/>
    <s v="13-07-2026"/>
    <s v="HPBL4/26-27/SII00882"/>
    <s v="WIP00023"/>
    <x v="0"/>
    <m/>
    <s v="HPBL4/RAW/26-27/362"/>
    <n v="914"/>
    <n v="914"/>
    <s v="Kgs"/>
    <n v="914"/>
    <n v="0"/>
    <n v="914"/>
    <s v="GJ08AW4250"/>
    <s v="Plastene India ltd - Unit 2-Purchase"/>
    <s v="Plastene India ltd - Unit 2-Purchase"/>
    <s v="PIL2/D/369"/>
    <s v="13-07-2026"/>
    <s v="RAW MATERIAL"/>
    <s v="INDIGENOUS"/>
    <s v="RM 381"/>
    <n v="111.6"/>
    <n v="111.6"/>
    <s v="PIL2/D/369"/>
    <d v="2026-12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20362.84"/>
    <s v="SF"/>
    <s v="PP/PE Fabric"/>
    <s v="PP UL Fabric"/>
    <s v="RM"/>
    <s v="erp"/>
    <n v="0"/>
    <n v="102002.4"/>
    <n v="846"/>
    <s v="13-07-2026"/>
    <s v="24AAACO3087C1ZT"/>
    <s v="storepil6"/>
    <s v="storepil6"/>
    <n v="9"/>
    <n v="9180.2199999999993"/>
    <n v="9"/>
    <n v="9180.2199999999993"/>
    <n v="0"/>
    <n v="0"/>
    <n v="120362.84"/>
    <n v="692143942190"/>
    <d v="2026-07-12T00:00:00"/>
    <n v="0"/>
  </r>
  <r>
    <s v="HCP Plastene Bulkpack Ltd (Unit - IV)"/>
    <s v="13-07-2026"/>
    <s v="HPBL4/26-27/SII00883"/>
    <s v="WIP00013"/>
    <x v="2"/>
    <m/>
    <s v="HPBL4/RAW/26-27/363"/>
    <n v="4475"/>
    <n v="4475"/>
    <s v="Kgs"/>
    <n v="4475"/>
    <n v="0"/>
    <n v="4475"/>
    <s v="GJ12BT2409"/>
    <s v="Plastene India ltd - Unit 1-Purchase"/>
    <s v="Plastene India ltd - Unit 1-Purchase"/>
    <s v="PIL1/D/1033"/>
    <s v="13-07-2026"/>
    <s v="RAW MATERIAL"/>
    <s v="INDIGENOUS"/>
    <s v="RM 382"/>
    <n v="182.78"/>
    <n v="182.78"/>
    <s v="PIL1/D/1033"/>
    <s v="13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965169.78"/>
    <s v="SF"/>
    <s v="Liners"/>
    <s v="LDPE/LLDPE Bags"/>
    <s v="RM"/>
    <s v="erp"/>
    <n v="0"/>
    <n v="817940.5"/>
    <n v="848"/>
    <s v="13-07-2026"/>
    <s v="24AAACO3087C1ZT"/>
    <s v="storepil6"/>
    <s v="storepil6"/>
    <n v="9"/>
    <n v="73614.64"/>
    <n v="9"/>
    <n v="73614.64"/>
    <n v="0"/>
    <n v="0"/>
    <n v="965169.78"/>
    <n v="682144172300"/>
    <d v="2026-07-13T00:00:00"/>
    <n v="0"/>
  </r>
  <r>
    <s v="HCP Plastene Bulkpack Ltd (Unit - IV)"/>
    <s v="13-07-2026"/>
    <s v="HPBL4/26-27/SII00885"/>
    <s v="WIP00023"/>
    <x v="0"/>
    <m/>
    <s v="HPBL4/RAW/26-27/364"/>
    <n v="1080.0999999999999"/>
    <n v="1080.0999999999999"/>
    <s v="Kgs"/>
    <n v="1080.0999999999999"/>
    <n v="0"/>
    <n v="1080.0999999999999"/>
    <s v="GJ12BZ4679"/>
    <s v="K.P. Woven Pvt Ltd-Purchase"/>
    <s v="K.P. Woven Pvt Ltd-Purchase"/>
    <s v="KPV/D/445"/>
    <s v="13-07-2026"/>
    <s v="RAW MATERIAL"/>
    <s v="INDIGENOUS"/>
    <s v="RM 383"/>
    <n v="169.15"/>
    <n v="169.14999808422701"/>
    <s v="KPV/D/445"/>
    <d v="2026-12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441466.74"/>
    <s v="SF"/>
    <s v="PP/PE Fabric"/>
    <s v="PP UL Fabric"/>
    <s v="RM"/>
    <s v="erp"/>
    <n v="0"/>
    <n v="182698.91"/>
    <n v="844"/>
    <s v="13-07-2026"/>
    <s v="24AAECK6307M1ZF"/>
    <s v="storepil6"/>
    <s v="storepil6"/>
    <n v="9"/>
    <n v="16442.900000000001"/>
    <n v="9"/>
    <n v="16442.900000000001"/>
    <n v="0"/>
    <n v="0"/>
    <n v="441466.74"/>
    <n v="662143937126"/>
    <d v="2026-07-12T00:00:00"/>
    <n v="0"/>
  </r>
  <r>
    <s v="HCP Plastene Bulkpack Ltd (Unit - IV)"/>
    <s v="13-07-2026"/>
    <s v="HPBL4/26-27/SII00885"/>
    <s v="SMF00052"/>
    <x v="7"/>
    <m/>
    <s v="HPBL4/RAW/26-27/364"/>
    <n v="920"/>
    <n v="920"/>
    <s v="Kgs"/>
    <n v="920"/>
    <n v="0"/>
    <n v="920"/>
    <s v="GJ12BZ4679"/>
    <s v="K.P. Woven Pvt Ltd-Purchase"/>
    <s v="K.P. Woven Pvt Ltd-Purchase"/>
    <s v="KPV/D/445"/>
    <s v="13-07-2026"/>
    <s v="RAW MATERIAL"/>
    <s v="INDIGENOUS"/>
    <s v="RM 383"/>
    <n v="154.15"/>
    <n v="154.14999825411499"/>
    <s v="KPV/D/445"/>
    <d v="2026-12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441466.74"/>
    <s v="SF"/>
    <s v="Yarn All"/>
    <s v="PP Yarn"/>
    <s v="RM"/>
    <s v="erp"/>
    <n v="0"/>
    <n v="141818"/>
    <n v="844"/>
    <s v="13-07-2026"/>
    <s v="24AAECK6307M1ZF"/>
    <s v="storepil6"/>
    <s v="storepil6"/>
    <n v="2.5"/>
    <n v="3545.45"/>
    <n v="2.5"/>
    <n v="3545.45"/>
    <n v="0"/>
    <n v="0"/>
    <n v="0"/>
    <n v="662143937126"/>
    <d v="2026-07-12T00:00:00"/>
    <n v="0"/>
  </r>
  <r>
    <s v="HCP Plastene Bulkpack Ltd (Unit - IV)"/>
    <s v="13-07-2026"/>
    <s v="HPBL4/26-27/SII00885"/>
    <s v="SMF00054"/>
    <x v="8"/>
    <m/>
    <s v="HPBL4/RAW/26-27/364"/>
    <n v="485"/>
    <n v="485"/>
    <s v="Kgs"/>
    <n v="485"/>
    <n v="0"/>
    <n v="485"/>
    <s v="GJ12BZ4679"/>
    <s v="K.P. Woven Pvt Ltd-Purchase"/>
    <s v="K.P. Woven Pvt Ltd-Purchase"/>
    <s v="KPV/D/445"/>
    <s v="13-07-2026"/>
    <s v="RAW MATERIAL"/>
    <s v="INDIGENOUS"/>
    <s v="RM 383"/>
    <n v="151.15"/>
    <n v="151.149998288093"/>
    <s v="KPV/D/445"/>
    <d v="2026-12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441466.74"/>
    <s v="SF"/>
    <s v="Yarn All"/>
    <s v="PP Yarn"/>
    <s v="RM"/>
    <s v="erp"/>
    <n v="0"/>
    <n v="73307.75"/>
    <n v="844"/>
    <s v="13-07-2026"/>
    <s v="24AAECK6307M1ZF"/>
    <s v="storepil6"/>
    <s v="storepil6"/>
    <n v="2.5"/>
    <n v="1832.69"/>
    <n v="2.5"/>
    <n v="1832.69"/>
    <n v="0"/>
    <n v="0"/>
    <n v="0"/>
    <n v="662143937126"/>
    <d v="2026-07-12T00:00:00"/>
    <n v="0"/>
  </r>
  <r>
    <s v="HCP Plastene Bulkpack Ltd (Unit - IV)"/>
    <s v="13-07-2026"/>
    <s v="HPBL4/26-27/SII00887"/>
    <s v="RAW05764"/>
    <x v="14"/>
    <m/>
    <s v="HPBL4/RAW/26-27/366"/>
    <n v="170"/>
    <n v="170"/>
    <s v="Kgs"/>
    <n v="170"/>
    <n v="0"/>
    <n v="170"/>
    <s v="GJ12BZ4679"/>
    <s v="K.P. Woven Pvt Ltd-Purchase"/>
    <s v="K.P. Woven Pvt Ltd-Purchase"/>
    <s v="KPV/D/442"/>
    <d v="2026-12-07T00:00:00"/>
    <s v="RAW MATERIAL"/>
    <s v="INDIGENOUS"/>
    <s v="RM 385"/>
    <n v="108"/>
    <n v="108"/>
    <s v="KPV/D/442"/>
    <d v="2026-12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1664.799999999999"/>
    <s v="RM Consumables"/>
    <s v="Ink"/>
    <s v="Thinner"/>
    <s v="RM"/>
    <s v="erp"/>
    <n v="0"/>
    <n v="18360"/>
    <n v="842"/>
    <s v="13-07-2026"/>
    <s v="24AAECK6307M1ZF"/>
    <s v="storepil6"/>
    <s v="storepil6"/>
    <n v="9"/>
    <n v="1652.4"/>
    <n v="9"/>
    <n v="1652.4"/>
    <n v="0"/>
    <n v="0"/>
    <n v="21664.799999999999"/>
    <n v="652143935804"/>
    <d v="2026-07-12T00:00:00"/>
    <n v="0"/>
  </r>
  <r>
    <s v="HCP Plastene Bulkpack Ltd (Unit - IV)"/>
    <s v="13-07-2026"/>
    <s v="HPBL4/26-27/SII00889"/>
    <s v="WIP00025"/>
    <x v="1"/>
    <m/>
    <s v="HPBL4/RAW/26-27/368"/>
    <n v="775"/>
    <n v="775"/>
    <s v="Kgs"/>
    <n v="775"/>
    <n v="0"/>
    <n v="775"/>
    <s v="GJ12BY2409"/>
    <s v="Plastene India ltd - Unit 1-Purchase"/>
    <s v="Plastene India ltd - Unit 1-Purchase"/>
    <s v="PIL1/D/1031"/>
    <s v="13-07-2026"/>
    <s v="RAW MATERIAL"/>
    <s v="INDIGENOUS"/>
    <s v="RM 387"/>
    <n v="151.49"/>
    <n v="151.489999704626"/>
    <s v="PIL1/D/1031"/>
    <s v="13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051501.33"/>
    <s v="SF"/>
    <s v="PP/PE Fabric"/>
    <s v="PP Lam Fabric"/>
    <s v="RM"/>
    <s v="erp"/>
    <n v="0"/>
    <n v="117404.75"/>
    <n v="845"/>
    <s v="13-07-2026"/>
    <s v="24AAACO3087C1ZT"/>
    <s v="storepil6"/>
    <s v="storepil6"/>
    <n v="9"/>
    <n v="10566.43"/>
    <n v="9"/>
    <n v="10566.43"/>
    <n v="0"/>
    <n v="0"/>
    <n v="2051501.33"/>
    <n v="682144120648"/>
    <d v="2026-07-13T00:00:00"/>
    <n v="0"/>
  </r>
  <r>
    <s v="HCP Plastene Bulkpack Ltd (Unit - IV)"/>
    <s v="13-07-2026"/>
    <s v="HPBL4/26-27/SII00889"/>
    <s v="WIP00025"/>
    <x v="1"/>
    <m/>
    <s v="HPBL4/RAW/26-27/368"/>
    <n v="246"/>
    <n v="246"/>
    <s v="Kgs"/>
    <n v="246"/>
    <n v="0"/>
    <n v="246"/>
    <s v="GJ12BY2409"/>
    <s v="Plastene India ltd - Unit 1-Purchase"/>
    <s v="Plastene India ltd - Unit 1-Purchase"/>
    <s v="PIL1/D/1031"/>
    <s v="13-07-2026"/>
    <s v="RAW MATERIAL"/>
    <s v="INDIGENOUS"/>
    <s v="RM 387"/>
    <n v="148.49"/>
    <n v="148.48999971047499"/>
    <s v="PIL1/D/1031"/>
    <s v="13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051501.33"/>
    <s v="SF"/>
    <s v="PP/PE Fabric"/>
    <s v="PP Lam Fabric"/>
    <s v="RM"/>
    <s v="erp"/>
    <n v="0"/>
    <n v="36528.54"/>
    <n v="845"/>
    <s v="13-07-2026"/>
    <s v="24AAACO3087C1ZT"/>
    <s v="storepil6"/>
    <s v="storepil6"/>
    <n v="9"/>
    <n v="3287.57"/>
    <n v="9"/>
    <n v="3287.57"/>
    <n v="0"/>
    <n v="0"/>
    <n v="0"/>
    <n v="682144120648"/>
    <d v="2026-07-13T00:00:00"/>
    <n v="0"/>
  </r>
  <r>
    <s v="HCP Plastene Bulkpack Ltd (Unit - IV)"/>
    <s v="13-07-2026"/>
    <s v="HPBL4/26-27/SII00889"/>
    <s v="WIP00023"/>
    <x v="0"/>
    <m/>
    <s v="HPBL4/RAW/26-27/368"/>
    <n v="2404"/>
    <n v="2404"/>
    <s v="Kgs"/>
    <n v="2404"/>
    <n v="0"/>
    <n v="2404"/>
    <s v="GJ12BY2409"/>
    <s v="Plastene India ltd - Unit 1-Purchase"/>
    <s v="Plastene India ltd - Unit 1-Purchase"/>
    <s v="PIL1/D/1031"/>
    <s v="13-07-2026"/>
    <s v="RAW MATERIAL"/>
    <s v="INDIGENOUS"/>
    <s v="RM 387"/>
    <n v="146.49"/>
    <n v="146.48999971437499"/>
    <s v="PIL1/D/1031"/>
    <s v="13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051501.33"/>
    <s v="SF"/>
    <s v="PP/PE Fabric"/>
    <s v="PP UL Fabric"/>
    <s v="RM"/>
    <s v="erp"/>
    <n v="0"/>
    <n v="352161.96"/>
    <n v="845"/>
    <s v="13-07-2026"/>
    <s v="24AAACO3087C1ZT"/>
    <s v="storepil6"/>
    <s v="storepil6"/>
    <n v="9"/>
    <n v="31694.58"/>
    <n v="9"/>
    <n v="31694.58"/>
    <n v="0"/>
    <n v="0"/>
    <n v="0"/>
    <n v="682144120648"/>
    <d v="2026-07-13T00:00:00"/>
    <n v="0"/>
  </r>
  <r>
    <s v="HCP Plastene Bulkpack Ltd (Unit - IV)"/>
    <s v="13-07-2026"/>
    <s v="HPBL4/26-27/SII00889"/>
    <s v="WIP00023"/>
    <x v="0"/>
    <m/>
    <s v="HPBL4/RAW/26-27/368"/>
    <n v="242"/>
    <n v="242"/>
    <s v="Kgs"/>
    <n v="242"/>
    <n v="0"/>
    <n v="242"/>
    <s v="GJ12BY2409"/>
    <s v="Plastene India ltd - Unit 1-Purchase"/>
    <s v="Plastene India ltd - Unit 1-Purchase"/>
    <s v="PIL1/D/1031"/>
    <s v="13-07-2026"/>
    <s v="RAW MATERIAL"/>
    <s v="INDIGENOUS"/>
    <s v="RM 387"/>
    <n v="147.49"/>
    <n v="147.489999712425"/>
    <s v="PIL1/D/1031"/>
    <s v="13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051501.33"/>
    <s v="SF"/>
    <s v="PP/PE Fabric"/>
    <s v="PP UL Fabric"/>
    <s v="RM"/>
    <s v="erp"/>
    <n v="0"/>
    <n v="35692.58"/>
    <n v="845"/>
    <s v="13-07-2026"/>
    <s v="24AAACO3087C1ZT"/>
    <s v="storepil6"/>
    <s v="storepil6"/>
    <n v="9"/>
    <n v="3212.33"/>
    <n v="9"/>
    <n v="3212.33"/>
    <n v="0"/>
    <n v="0"/>
    <n v="0"/>
    <n v="682144120648"/>
    <d v="2026-07-13T00:00:00"/>
    <n v="0"/>
  </r>
  <r>
    <s v="HCP Plastene Bulkpack Ltd (Unit - IV)"/>
    <s v="13-07-2026"/>
    <s v="HPBL4/26-27/SII00889"/>
    <s v="WIP00023"/>
    <x v="0"/>
    <m/>
    <s v="HPBL4/RAW/26-27/368"/>
    <n v="5911"/>
    <n v="5911"/>
    <s v="Kgs"/>
    <n v="5911"/>
    <n v="0"/>
    <n v="5911"/>
    <s v="GJ12BY2409"/>
    <s v="Plastene India ltd - Unit 1-Purchase"/>
    <s v="Plastene India ltd - Unit 1-Purchase"/>
    <s v="PIL1/D/1031"/>
    <s v="13-07-2026"/>
    <s v="RAW MATERIAL"/>
    <s v="INDIGENOUS"/>
    <s v="RM 387"/>
    <n v="144.49"/>
    <n v="144.48999971827499"/>
    <s v="PIL1/D/1031"/>
    <s v="13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051501.33"/>
    <s v="SF"/>
    <s v="PP/PE Fabric"/>
    <s v="PP UL Fabric"/>
    <s v="RM"/>
    <s v="erp"/>
    <n v="0"/>
    <n v="854080.39"/>
    <n v="845"/>
    <s v="13-07-2026"/>
    <s v="24AAACO3087C1ZT"/>
    <s v="storepil6"/>
    <s v="storepil6"/>
    <n v="9"/>
    <n v="76867.240000000005"/>
    <n v="9"/>
    <n v="76867.240000000005"/>
    <n v="0"/>
    <n v="0"/>
    <n v="0"/>
    <n v="682144120648"/>
    <d v="2026-07-13T00:00:00"/>
    <n v="0"/>
  </r>
  <r>
    <s v="HCP Plastene Bulkpack Ltd (Unit - IV)"/>
    <s v="13-07-2026"/>
    <s v="HPBL4/26-27/SII00889"/>
    <s v="WIP00032"/>
    <x v="3"/>
    <m/>
    <s v="HPBL4/RAW/26-27/368"/>
    <n v="1501.8"/>
    <n v="1501.8"/>
    <s v="Kgs"/>
    <n v="1501.8"/>
    <n v="0"/>
    <n v="1501.8"/>
    <s v="GJ12BY2409"/>
    <s v="Plastene India ltd - Unit 1-Purchase"/>
    <s v="Plastene India ltd - Unit 1-Purchase"/>
    <s v="PIL1/D/1031"/>
    <s v="13-07-2026"/>
    <s v="RAW MATERIAL"/>
    <s v="INDIGENOUS"/>
    <s v="RM 387"/>
    <n v="149.49"/>
    <n v="149.489999708526"/>
    <s v="PIL1/D/1031"/>
    <s v="13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051501.33"/>
    <s v="SF"/>
    <s v="Webbing"/>
    <s v="PP Webbing"/>
    <s v="RM"/>
    <s v="erp"/>
    <n v="0"/>
    <n v="224504.08"/>
    <n v="845"/>
    <s v="13-07-2026"/>
    <s v="24AAACO3087C1ZT"/>
    <s v="storepil6"/>
    <s v="storepil6"/>
    <n v="9"/>
    <n v="20205.37"/>
    <n v="9"/>
    <n v="20205.37"/>
    <n v="0"/>
    <n v="0"/>
    <n v="0"/>
    <n v="682144120648"/>
    <d v="2026-07-13T00:00:00"/>
    <n v="0"/>
  </r>
  <r>
    <s v="HCP Plastene Bulkpack Ltd (Unit - IV)"/>
    <s v="13-07-2026"/>
    <s v="HPBL4/26-27/SII00889"/>
    <s v="WIP00032"/>
    <x v="3"/>
    <m/>
    <s v="HPBL4/RAW/26-27/368"/>
    <n v="806.8"/>
    <n v="806.8"/>
    <s v="Kgs"/>
    <n v="806.8"/>
    <n v="0"/>
    <n v="806.8"/>
    <s v="GJ12BY2409"/>
    <s v="Plastene India ltd - Unit 1-Purchase"/>
    <s v="Plastene India ltd - Unit 1-Purchase"/>
    <s v="PIL1/D/1031"/>
    <s v="13-07-2026"/>
    <s v="RAW MATERIAL"/>
    <s v="INDIGENOUS"/>
    <s v="RM 387"/>
    <n v="146.49"/>
    <n v="146.48999971437499"/>
    <s v="PIL1/D/1031"/>
    <s v="13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051501.33"/>
    <s v="SF"/>
    <s v="Webbing"/>
    <s v="PP Webbing"/>
    <s v="RM"/>
    <s v="erp"/>
    <n v="0"/>
    <n v="118188.13"/>
    <n v="845"/>
    <s v="13-07-2026"/>
    <s v="24AAACO3087C1ZT"/>
    <s v="storepil6"/>
    <s v="storepil6"/>
    <n v="9"/>
    <n v="10636.93"/>
    <n v="9"/>
    <n v="10636.93"/>
    <n v="0"/>
    <n v="0"/>
    <n v="0"/>
    <n v="682144120648"/>
    <d v="2026-07-13T00:00:00"/>
    <n v="0"/>
  </r>
  <r>
    <s v="HCP Plastene Bulkpack Ltd (Unit - IV)"/>
    <s v="13-07-2026"/>
    <s v="HPBL4/26-27/SII00891"/>
    <s v="RAW05764"/>
    <x v="14"/>
    <m/>
    <s v="HPBL4/RAW/26-27/354"/>
    <n v="170"/>
    <n v="170"/>
    <s v="Kgs"/>
    <n v="170"/>
    <n v="0"/>
    <n v="170"/>
    <s v="GJ12BW0544"/>
    <s v="Plastene Polyfilms Ltd-Purchase"/>
    <s v="Plastene Polyfilms Ltd-Purchase"/>
    <s v="PPL/D/347"/>
    <s v="13-07-2026"/>
    <s v="RAW MATERIAL"/>
    <s v="INDIGENOUS"/>
    <s v="RM 388"/>
    <n v="282"/>
    <n v="282"/>
    <s v="PPL/D/347"/>
    <s v="13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56569.2"/>
    <s v="RM Consumables"/>
    <s v="Ink"/>
    <s v="Thinner"/>
    <s v="RM"/>
    <s v="erp"/>
    <n v="0"/>
    <n v="47940"/>
    <n v="858"/>
    <s v="14-07-2026"/>
    <s v="24AAFCP2956A1ZR"/>
    <s v="storepil6"/>
    <s v="storepil6"/>
    <n v="9"/>
    <n v="4314.6000000000004"/>
    <n v="9"/>
    <n v="4314.6000000000004"/>
    <n v="0"/>
    <n v="0"/>
    <n v="56569.2"/>
    <n v="602144116250"/>
    <d v="2026-07-13T00:00:00"/>
    <n v="0"/>
  </r>
  <r>
    <s v="HCP Plastene Bulkpack Ltd (Unit - IV)"/>
    <s v="14-07-2026"/>
    <s v="HPBL4/26-27/SII00894"/>
    <s v="WIP00023"/>
    <x v="0"/>
    <m/>
    <s v="HPBL4/RAW/26-27/361"/>
    <n v="1071.5"/>
    <n v="1071.5"/>
    <s v="Kgs"/>
    <n v="1071.5"/>
    <n v="0"/>
    <n v="1071.5"/>
    <s v="GJ39TB3634"/>
    <s v="Plastene Polyfilms Ltd-Purchase"/>
    <s v="Plastene Polyfilms Ltd-Purchase"/>
    <s v="PPL/D/353"/>
    <s v="14-07-2026"/>
    <s v="RAW MATERIAL"/>
    <s v="INDIGENOUS"/>
    <s v="RM 389"/>
    <n v="154.74"/>
    <n v="154.74"/>
    <s v="PPL/D/353"/>
    <s v="14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07082.81"/>
    <s v="SF"/>
    <s v="PP/PE Fabric"/>
    <s v="PP UL Fabric"/>
    <s v="RM"/>
    <s v="erp"/>
    <n v="0"/>
    <n v="165803.91"/>
    <n v="855"/>
    <s v="14-07-2026"/>
    <s v="24AAFCP2956A1ZR"/>
    <s v="storepil6"/>
    <s v="storepil6"/>
    <n v="9"/>
    <n v="14922.35"/>
    <n v="9"/>
    <n v="14922.35"/>
    <n v="0"/>
    <n v="0"/>
    <n v="207082.81"/>
    <n v="602144757819"/>
    <d v="2026-07-14T00:00:00"/>
    <n v="0"/>
  </r>
  <r>
    <s v="HCP Plastene Bulkpack Ltd (Unit - IV)"/>
    <s v="14-07-2026"/>
    <s v="HPBL4/26-27/SII00894"/>
    <s v="RAW05124"/>
    <x v="6"/>
    <m/>
    <s v="HPBL4/RAW/26-27/361"/>
    <n v="38"/>
    <n v="38"/>
    <s v="Kgs"/>
    <n v="38"/>
    <n v="0"/>
    <n v="38"/>
    <s v="GJ39TB3634"/>
    <s v="Plastene Polyfilms Ltd-Purchase"/>
    <s v="Plastene Polyfilms Ltd-Purchase"/>
    <s v="PPL/D/353"/>
    <s v="14-07-2026"/>
    <s v="RAW MATERIAL"/>
    <s v="INDIGENOUS"/>
    <s v="RM 389"/>
    <n v="255"/>
    <n v="255"/>
    <s v="PPL/D/353"/>
    <s v="14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07082.81"/>
    <s v="SF"/>
    <s v="Films All (SF)"/>
    <s v="PE Film"/>
    <s v="RM"/>
    <s v="erp"/>
    <n v="0"/>
    <n v="9690"/>
    <n v="855"/>
    <s v="14-07-2026"/>
    <s v="24AAFCP2956A1ZR"/>
    <s v="storepil6"/>
    <s v="storepil6"/>
    <n v="9"/>
    <n v="872.1"/>
    <n v="9"/>
    <n v="872.1"/>
    <n v="0"/>
    <n v="0"/>
    <n v="0"/>
    <n v="602144757819"/>
    <d v="2026-07-14T00:00:00"/>
    <n v="0"/>
  </r>
  <r>
    <s v="HCP Plastene Bulkpack Ltd (Unit - IV)"/>
    <s v="14-07-2026"/>
    <s v="HPBL4/26-27/SII00895"/>
    <s v="WIP00025"/>
    <x v="1"/>
    <m/>
    <s v="HPBL4/RAW/26-27/369"/>
    <n v="1722"/>
    <n v="1722"/>
    <s v="Kgs"/>
    <n v="1722"/>
    <n v="0"/>
    <n v="1722"/>
    <s v="GJ12BT2409"/>
    <s v="Plastene India ltd - Unit 1-Purchase"/>
    <s v="Plastene India ltd - Unit 1-Purchase"/>
    <s v="PIL1/D/1048"/>
    <s v="14-07-2026"/>
    <s v="RAW MATERIAL"/>
    <s v="INDIGENOUS"/>
    <s v="RM 390"/>
    <n v="151.49"/>
    <n v="151.49"/>
    <s v="PIL1/D/1048"/>
    <s v="14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307821.62"/>
    <s v="SF"/>
    <s v="PP/PE Fabric"/>
    <s v="PP Lam Fabric"/>
    <s v="RM"/>
    <s v="erp"/>
    <n v="0"/>
    <n v="260865.78"/>
    <n v="851"/>
    <s v="14-07-2026"/>
    <s v="24AAACO3087C1ZT"/>
    <s v="storepil6"/>
    <s v="storepil6"/>
    <n v="9"/>
    <n v="23477.919999999998"/>
    <n v="9"/>
    <n v="23477.919999999998"/>
    <n v="0"/>
    <n v="0"/>
    <n v="307821.62"/>
    <n v="682144880081"/>
    <d v="2026-07-14T00:00:00"/>
    <n v="0"/>
  </r>
  <r>
    <s v="HCP Plastene Bulkpack Ltd (Unit - IV)"/>
    <s v="14-07-2026"/>
    <s v="HPBL4/26-27/SII00897"/>
    <s v="WIP00013"/>
    <x v="2"/>
    <m/>
    <s v="HPBL4/RAW/26-27/370"/>
    <n v="1655"/>
    <n v="1655"/>
    <s v="Kgs"/>
    <n v="1655"/>
    <n v="0"/>
    <n v="1655"/>
    <s v="GJ12BT2409"/>
    <s v="Plastene India ltd - Unit 1-Purchase"/>
    <s v="Plastene India ltd - Unit 1-Purchase"/>
    <s v="PIL1/D/1047"/>
    <s v="14-07-2026"/>
    <s v="RAW MATERIAL"/>
    <s v="INDIGENOUS"/>
    <s v="RM 391"/>
    <n v="182.78"/>
    <n v="182.77999971426499"/>
    <s v="PIL1/D/1047"/>
    <s v="14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639683.49"/>
    <s v="SF"/>
    <s v="Liners"/>
    <s v="LDPE/LLDPE Bags"/>
    <s v="RM"/>
    <s v="erp"/>
    <n v="0"/>
    <n v="302500.90000000002"/>
    <n v="850"/>
    <s v="14-07-2026"/>
    <s v="24AAACO3087C1ZT"/>
    <s v="storepil6"/>
    <s v="storepil6"/>
    <n v="9"/>
    <n v="27225.08"/>
    <n v="9"/>
    <n v="27225.08"/>
    <n v="0"/>
    <n v="0"/>
    <n v="639683.49"/>
    <n v="682144867620"/>
    <d v="2026-07-14T00:00:00"/>
    <n v="0"/>
  </r>
  <r>
    <s v="HCP Plastene Bulkpack Ltd (Unit - IV)"/>
    <s v="14-07-2026"/>
    <s v="HPBL4/26-27/SII00897"/>
    <s v="WIP00032"/>
    <x v="3"/>
    <m/>
    <s v="HPBL4/RAW/26-27/370"/>
    <n v="768.2"/>
    <n v="768.2"/>
    <s v="Kgs"/>
    <n v="768.2"/>
    <n v="0"/>
    <n v="768.2"/>
    <s v="GJ12BT2409"/>
    <s v="Plastene India ltd - Unit 1-Purchase"/>
    <s v="Plastene India ltd - Unit 1-Purchase"/>
    <s v="PIL1/D/1047"/>
    <s v="14-07-2026"/>
    <s v="RAW MATERIAL"/>
    <s v="INDIGENOUS"/>
    <s v="RM 391"/>
    <n v="149.49"/>
    <n v="149.489999766306"/>
    <s v="PIL1/D/1047"/>
    <s v="14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639683.49"/>
    <s v="SF"/>
    <s v="Webbing"/>
    <s v="PP Webbing"/>
    <s v="RM"/>
    <s v="erp"/>
    <n v="0"/>
    <n v="114838.22"/>
    <n v="850"/>
    <s v="14-07-2026"/>
    <s v="24AAACO3087C1ZT"/>
    <s v="storepil6"/>
    <s v="storepil6"/>
    <n v="9"/>
    <n v="10335.44"/>
    <n v="9"/>
    <n v="10335.44"/>
    <n v="0"/>
    <n v="0"/>
    <n v="0"/>
    <n v="682144867620"/>
    <d v="2026-07-14T00:00:00"/>
    <n v="0"/>
  </r>
  <r>
    <s v="HCP Plastene Bulkpack Ltd (Unit - IV)"/>
    <s v="14-07-2026"/>
    <s v="HPBL4/26-27/SII00897"/>
    <s v="WIP00032"/>
    <x v="3"/>
    <m/>
    <s v="HPBL4/RAW/26-27/370"/>
    <n v="851.7"/>
    <n v="851.7"/>
    <s v="Kgs"/>
    <n v="851.7"/>
    <n v="0"/>
    <n v="851.7"/>
    <s v="GJ12BT2409"/>
    <s v="Plastene India ltd - Unit 1-Purchase"/>
    <s v="Plastene India ltd - Unit 1-Purchase"/>
    <s v="PIL1/D/1047"/>
    <s v="14-07-2026"/>
    <s v="RAW MATERIAL"/>
    <s v="INDIGENOUS"/>
    <s v="RM 391"/>
    <n v="146.49"/>
    <n v="146.48999977099601"/>
    <s v="PIL1/D/1047"/>
    <s v="14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639683.49"/>
    <s v="SF"/>
    <s v="Webbing"/>
    <s v="PP Webbing"/>
    <s v="RM"/>
    <s v="erp"/>
    <n v="0"/>
    <n v="124765.53"/>
    <n v="850"/>
    <s v="14-07-2026"/>
    <s v="24AAACO3087C1ZT"/>
    <s v="storepil6"/>
    <s v="storepil6"/>
    <n v="9"/>
    <n v="11228.9"/>
    <n v="9"/>
    <n v="11228.9"/>
    <n v="0"/>
    <n v="0"/>
    <n v="0"/>
    <n v="682144867620"/>
    <d v="2026-07-14T00:00:00"/>
    <n v="0"/>
  </r>
  <r>
    <s v="HCP Plastene Bulkpack Ltd (Unit - IV)"/>
    <s v="14-07-2026"/>
    <s v="HPBL4/26-27/SII00898"/>
    <s v="WIP00023"/>
    <x v="0"/>
    <m/>
    <s v="HPBL4/RAW/26-27/371"/>
    <n v="1790"/>
    <n v="1790"/>
    <s v="Kgs"/>
    <n v="1790"/>
    <n v="0"/>
    <n v="1790"/>
    <s v="GJ12BY1595"/>
    <s v="Plastene India ltd - Unit 1-Purchase"/>
    <s v="Plastene India ltd - Unit 1-Purchase"/>
    <s v="PIL1/D/1050"/>
    <s v="14-07-2026"/>
    <s v="RAW MATERIAL"/>
    <s v="INDIGENOUS"/>
    <s v="RM 392"/>
    <n v="146.49"/>
    <n v="146.49"/>
    <s v="PIL1/D/1050"/>
    <s v="14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309416.18"/>
    <s v="SF"/>
    <s v="PP/PE Fabric"/>
    <s v="PP UL Fabric"/>
    <s v="RM"/>
    <s v="erp"/>
    <n v="0"/>
    <n v="262217.09999999998"/>
    <n v="857"/>
    <s v="14-07-2026"/>
    <s v="24AAACO3087C1ZT"/>
    <s v="storepil6"/>
    <s v="storepil6"/>
    <n v="9"/>
    <n v="23599.54"/>
    <n v="9"/>
    <n v="23599.54"/>
    <n v="0"/>
    <n v="0"/>
    <n v="309416.18"/>
    <n v="612144920261"/>
    <d v="2026-07-14T00:00:00"/>
    <n v="0"/>
  </r>
  <r>
    <s v="HCP Plastene Bulkpack Ltd (Unit - IV)"/>
    <s v="14-07-2026"/>
    <s v="HPBL4/26-27/SII00899"/>
    <s v="WIP00023"/>
    <x v="0"/>
    <m/>
    <s v="HPBL4/RAW/26-27/372"/>
    <n v="945"/>
    <n v="945"/>
    <s v="Kgs"/>
    <n v="945"/>
    <n v="0"/>
    <n v="945"/>
    <s v="GJ12BT2409"/>
    <s v="Plastene India ltd - Unit 1-Purchase"/>
    <s v="Plastene India ltd - Unit 1-Purchase"/>
    <s v="PIL1/D/1044"/>
    <s v="14-07-2026"/>
    <s v="RAW MATERIAL"/>
    <s v="INDIGENOUS"/>
    <s v="RM 393"/>
    <n v="146.49"/>
    <n v="146.49"/>
    <s v="PIL1/D/1044"/>
    <s v="14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20659.9099999999"/>
    <s v="SF"/>
    <s v="PP/PE Fabric"/>
    <s v="PP UL Fabric"/>
    <s v="RM"/>
    <s v="erp"/>
    <n v="0"/>
    <n v="138433.04999999999"/>
    <n v="854"/>
    <s v="14-07-2026"/>
    <s v="24AAACO3087C1ZT"/>
    <s v="storepil6"/>
    <s v="storepil6"/>
    <n v="9"/>
    <n v="12458.97"/>
    <n v="9"/>
    <n v="12458.97"/>
    <n v="0"/>
    <n v="0"/>
    <n v="1320659.9099999999"/>
    <n v="672144732466"/>
    <d v="2026-07-14T00:00:00"/>
    <n v="0"/>
  </r>
  <r>
    <s v="HCP Plastene Bulkpack Ltd (Unit - IV)"/>
    <s v="14-07-2026"/>
    <s v="HPBL4/26-27/SII00899"/>
    <s v="WIP00023"/>
    <x v="0"/>
    <m/>
    <s v="HPBL4/RAW/26-27/372"/>
    <n v="665"/>
    <n v="665"/>
    <s v="Kgs"/>
    <n v="665"/>
    <n v="0"/>
    <n v="665"/>
    <s v="GJ12BT2409"/>
    <s v="Plastene India ltd - Unit 1-Purchase"/>
    <s v="Plastene India ltd - Unit 1-Purchase"/>
    <s v="PIL1/D/1044"/>
    <s v="14-07-2026"/>
    <s v="RAW MATERIAL"/>
    <s v="INDIGENOUS"/>
    <s v="RM 393"/>
    <n v="147.49"/>
    <n v="147.49"/>
    <s v="PIL1/D/1044"/>
    <s v="14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20659.9099999999"/>
    <s v="SF"/>
    <s v="PP/PE Fabric"/>
    <s v="PP UL Fabric"/>
    <s v="RM"/>
    <s v="erp"/>
    <n v="0"/>
    <n v="98080.85"/>
    <n v="854"/>
    <s v="14-07-2026"/>
    <s v="24AAACO3087C1ZT"/>
    <s v="storepil6"/>
    <s v="storepil6"/>
    <n v="9"/>
    <n v="8827.2800000000007"/>
    <n v="9"/>
    <n v="8827.2800000000007"/>
    <n v="0"/>
    <n v="0"/>
    <n v="0"/>
    <n v="672144732466"/>
    <d v="2026-07-14T00:00:00"/>
    <n v="0"/>
  </r>
  <r>
    <s v="HCP Plastene Bulkpack Ltd (Unit - IV)"/>
    <s v="14-07-2026"/>
    <s v="HPBL4/26-27/SII00899"/>
    <s v="WIP00023"/>
    <x v="0"/>
    <m/>
    <s v="HPBL4/RAW/26-27/372"/>
    <n v="6109"/>
    <n v="6109"/>
    <s v="Kgs"/>
    <n v="6109"/>
    <n v="0"/>
    <n v="6109"/>
    <s v="GJ12BT2409"/>
    <s v="Plastene India ltd - Unit 1-Purchase"/>
    <s v="Plastene India ltd - Unit 1-Purchase"/>
    <s v="PIL1/D/1044"/>
    <s v="14-07-2026"/>
    <s v="RAW MATERIAL"/>
    <s v="INDIGENOUS"/>
    <s v="RM 393"/>
    <n v="144.49"/>
    <n v="144.49"/>
    <s v="PIL1/D/1044"/>
    <s v="14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20659.9099999999"/>
    <s v="SF"/>
    <s v="PP/PE Fabric"/>
    <s v="PP UL Fabric"/>
    <s v="RM"/>
    <s v="erp"/>
    <n v="0"/>
    <n v="882689.41"/>
    <n v="854"/>
    <s v="14-07-2026"/>
    <s v="24AAACO3087C1ZT"/>
    <s v="storepil6"/>
    <s v="storepil6"/>
    <n v="9"/>
    <n v="79442.05"/>
    <n v="9"/>
    <n v="79442.05"/>
    <n v="0"/>
    <n v="0"/>
    <n v="0"/>
    <n v="672144732466"/>
    <d v="2026-07-14T00:00:00"/>
    <n v="0"/>
  </r>
  <r>
    <s v="HCP Plastene Bulkpack Ltd (Unit - IV)"/>
    <s v="14-07-2026"/>
    <s v="HPBL4/26-27/SII00900"/>
    <s v="WIP00023"/>
    <x v="0"/>
    <m/>
    <s v="HPBL4/RAW/26-27/373"/>
    <n v="2513"/>
    <n v="2513"/>
    <s v="Kgs"/>
    <n v="2513"/>
    <n v="0"/>
    <n v="2513"/>
    <s v="GJ12BY0479"/>
    <s v="Plastene India ltd - Unit 1-Purchase"/>
    <s v="Plastene India ltd - Unit 1-Purchase"/>
    <s v="PIL1/D/1045"/>
    <s v="14-07-2026"/>
    <s v="RAW MATERIAL"/>
    <s v="INDIGENOUS"/>
    <s v="RM 394"/>
    <n v="144.49"/>
    <n v="144.48999958786399"/>
    <s v="PIL1/D/1045"/>
    <s v="14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051764.2"/>
    <s v="SF"/>
    <s v="PP/PE Fabric"/>
    <s v="PP UL Fabric"/>
    <s v="RM"/>
    <s v="erp"/>
    <n v="0"/>
    <n v="363103.37"/>
    <n v="853"/>
    <s v="14-07-2026"/>
    <s v="24AAACO3087C1ZT"/>
    <s v="storepil6"/>
    <s v="storepil6"/>
    <n v="9"/>
    <n v="32679.3"/>
    <n v="9"/>
    <n v="32679.3"/>
    <n v="0"/>
    <n v="0"/>
    <n v="1051764.2"/>
    <n v="622144815366"/>
    <d v="2026-07-14T00:00:00"/>
    <n v="0"/>
  </r>
  <r>
    <s v="HCP Plastene Bulkpack Ltd (Unit - IV)"/>
    <s v="14-07-2026"/>
    <s v="HPBL4/26-27/SII00900"/>
    <s v="WIP00023"/>
    <x v="0"/>
    <m/>
    <s v="HPBL4/RAW/26-27/373"/>
    <n v="989"/>
    <n v="989"/>
    <s v="Kgs"/>
    <n v="989"/>
    <n v="0"/>
    <n v="989"/>
    <s v="GJ12BY0479"/>
    <s v="Plastene India ltd - Unit 1-Purchase"/>
    <s v="Plastene India ltd - Unit 1-Purchase"/>
    <s v="PIL1/D/1045"/>
    <s v="14-07-2026"/>
    <s v="RAW MATERIAL"/>
    <s v="INDIGENOUS"/>
    <s v="RM 394"/>
    <n v="146.49"/>
    <n v="146.48999958215899"/>
    <s v="PIL1/D/1045"/>
    <s v="14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051764.2"/>
    <s v="SF"/>
    <s v="PP/PE Fabric"/>
    <s v="PP UL Fabric"/>
    <s v="RM"/>
    <s v="erp"/>
    <n v="0"/>
    <n v="144878.60999999999"/>
    <n v="853"/>
    <s v="14-07-2026"/>
    <s v="24AAACO3087C1ZT"/>
    <s v="storepil6"/>
    <s v="storepil6"/>
    <n v="9"/>
    <n v="13039.07"/>
    <n v="9"/>
    <n v="13039.07"/>
    <n v="0"/>
    <n v="0"/>
    <n v="0"/>
    <n v="622144815366"/>
    <d v="2026-07-14T00:00:00"/>
    <n v="0"/>
  </r>
  <r>
    <s v="HCP Plastene Bulkpack Ltd (Unit - IV)"/>
    <s v="14-07-2026"/>
    <s v="HPBL4/26-27/SII00900"/>
    <s v="WIP00023"/>
    <x v="0"/>
    <m/>
    <s v="HPBL4/RAW/26-27/373"/>
    <n v="477"/>
    <n v="477"/>
    <s v="Kgs"/>
    <n v="477"/>
    <n v="0"/>
    <n v="477"/>
    <s v="GJ12BY0479"/>
    <s v="Plastene India ltd - Unit 1-Purchase"/>
    <s v="Plastene India ltd - Unit 1-Purchase"/>
    <s v="PIL1/D/1045"/>
    <s v="14-07-2026"/>
    <s v="RAW MATERIAL"/>
    <s v="INDIGENOUS"/>
    <s v="RM 394"/>
    <n v="147.49"/>
    <n v="147.48999957930701"/>
    <s v="PIL1/D/1045"/>
    <s v="14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051764.2"/>
    <s v="SF"/>
    <s v="PP/PE Fabric"/>
    <s v="PP UL Fabric"/>
    <s v="RM"/>
    <s v="erp"/>
    <n v="0"/>
    <n v="70352.73"/>
    <n v="853"/>
    <s v="14-07-2026"/>
    <s v="24AAACO3087C1ZT"/>
    <s v="storepil6"/>
    <s v="storepil6"/>
    <n v="9"/>
    <n v="6331.75"/>
    <n v="9"/>
    <n v="6331.75"/>
    <n v="0"/>
    <n v="0"/>
    <n v="0"/>
    <n v="622144815366"/>
    <d v="2026-07-14T00:00:00"/>
    <n v="0"/>
  </r>
  <r>
    <s v="HCP Plastene Bulkpack Ltd (Unit - IV)"/>
    <s v="14-07-2026"/>
    <s v="HPBL4/26-27/SII00900"/>
    <s v="WIP00024"/>
    <x v="11"/>
    <m/>
    <s v="HPBL4/RAW/26-27/373"/>
    <n v="718"/>
    <n v="718"/>
    <s v="Kgs"/>
    <n v="718"/>
    <n v="0"/>
    <n v="718"/>
    <s v="GJ12BY0479"/>
    <s v="Plastene India ltd - Unit 1-Purchase"/>
    <s v="Plastene India ltd - Unit 1-Purchase"/>
    <s v="PIL1/D/1045"/>
    <s v="14-07-2026"/>
    <s v="RAW MATERIAL"/>
    <s v="INDIGENOUS"/>
    <s v="RM 394"/>
    <n v="144.49"/>
    <n v="144.48999958786399"/>
    <s v="PIL1/D/1045"/>
    <s v="14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051764.2"/>
    <s v="SF"/>
    <s v="PP/PE Fabric"/>
    <s v="PP UL Fabric"/>
    <s v="RM"/>
    <s v="erp"/>
    <n v="0"/>
    <n v="103743.82"/>
    <n v="853"/>
    <s v="14-07-2026"/>
    <s v="24AAACO3087C1ZT"/>
    <s v="storepil6"/>
    <s v="storepil6"/>
    <n v="9"/>
    <n v="9336.94"/>
    <n v="9"/>
    <n v="9336.94"/>
    <n v="0"/>
    <n v="0"/>
    <n v="0"/>
    <n v="622144815366"/>
    <d v="2026-07-14T00:00:00"/>
    <n v="0"/>
  </r>
  <r>
    <s v="HCP Plastene Bulkpack Ltd (Unit - IV)"/>
    <s v="14-07-2026"/>
    <s v="HPBL4/26-27/SII00900"/>
    <s v="WIP00025"/>
    <x v="1"/>
    <m/>
    <s v="HPBL4/RAW/26-27/373"/>
    <n v="1190"/>
    <n v="1190"/>
    <s v="Kgs"/>
    <n v="1190"/>
    <n v="0"/>
    <n v="1190"/>
    <s v="GJ12BY0479"/>
    <s v="Plastene India ltd - Unit 1-Purchase"/>
    <s v="Plastene India ltd - Unit 1-Purchase"/>
    <s v="PIL1/D/1045"/>
    <s v="14-07-2026"/>
    <s v="RAW MATERIAL"/>
    <s v="INDIGENOUS"/>
    <s v="RM 394"/>
    <n v="148.49"/>
    <n v="148.48999957645401"/>
    <s v="PIL1/D/1045"/>
    <s v="14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051764.2"/>
    <s v="SF"/>
    <s v="PP/PE Fabric"/>
    <s v="PP Lam Fabric"/>
    <s v="RM"/>
    <s v="erp"/>
    <n v="0"/>
    <n v="176703.1"/>
    <n v="853"/>
    <s v="14-07-2026"/>
    <s v="24AAACO3087C1ZT"/>
    <s v="storepil6"/>
    <s v="storepil6"/>
    <n v="9"/>
    <n v="15903.28"/>
    <n v="9"/>
    <n v="15903.28"/>
    <n v="0"/>
    <n v="0"/>
    <n v="0"/>
    <n v="622144815366"/>
    <d v="2026-07-14T00:00:00"/>
    <n v="0"/>
  </r>
  <r>
    <s v="HCP Plastene Bulkpack Ltd (Unit - IV)"/>
    <s v="14-07-2026"/>
    <s v="HPBL4/26-27/SII00900"/>
    <s v="FIG00001"/>
    <x v="4"/>
    <m/>
    <s v="HPBL4/RAW/26-27/373"/>
    <n v="151.69999999999999"/>
    <n v="151.69999999999999"/>
    <s v="Kgs"/>
    <n v="151.69999999999999"/>
    <n v="0"/>
    <n v="151.69999999999999"/>
    <s v="GJ12BY0479"/>
    <s v="Plastene India ltd - Unit 1-Purchase"/>
    <s v="Plastene India ltd - Unit 1-Purchase"/>
    <s v="PIL1/D/1045"/>
    <s v="14-07-2026"/>
    <s v="RAW MATERIAL"/>
    <s v="INDIGENOUS"/>
    <s v="RM 394"/>
    <n v="149.49"/>
    <n v="149.48999957360201"/>
    <s v="PIL1/D/1045"/>
    <s v="14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051764.2"/>
    <s v="FG"/>
    <s v="FIBC WIP"/>
    <s v="FIBC WIP"/>
    <s v="RM"/>
    <s v="erp"/>
    <n v="0"/>
    <n v="22677.63"/>
    <n v="853"/>
    <s v="14-07-2026"/>
    <s v="24AAACO3087C1ZT"/>
    <s v="storepil6"/>
    <s v="storepil6"/>
    <n v="9"/>
    <n v="2040.99"/>
    <n v="9"/>
    <n v="2040.99"/>
    <n v="0"/>
    <n v="0"/>
    <n v="0"/>
    <n v="622144815366"/>
    <d v="2026-07-14T00:00:00"/>
    <n v="0"/>
  </r>
  <r>
    <s v="HCP Plastene Bulkpack Ltd (Unit - IV)"/>
    <s v="14-07-2026"/>
    <s v="HPBL4/26-27/SII00900"/>
    <s v="WIP00032"/>
    <x v="3"/>
    <m/>
    <s v="HPBL4/RAW/26-27/373"/>
    <n v="66"/>
    <n v="66"/>
    <s v="Kgs"/>
    <n v="66"/>
    <n v="0"/>
    <n v="66"/>
    <s v="GJ12BY0479"/>
    <s v="Plastene India ltd - Unit 1-Purchase"/>
    <s v="Plastene India ltd - Unit 1-Purchase"/>
    <s v="PIL1/D/1045"/>
    <s v="14-07-2026"/>
    <s v="RAW MATERIAL"/>
    <s v="INDIGENOUS"/>
    <s v="RM 394"/>
    <n v="149.49"/>
    <n v="149.48999957360201"/>
    <s v="PIL1/D/1045"/>
    <s v="14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051764.2"/>
    <s v="SF"/>
    <s v="Webbing"/>
    <s v="PP Webbing"/>
    <s v="RM"/>
    <s v="erp"/>
    <n v="0"/>
    <n v="9866.34"/>
    <n v="853"/>
    <s v="14-07-2026"/>
    <s v="24AAACO3087C1ZT"/>
    <s v="storepil6"/>
    <s v="storepil6"/>
    <n v="9"/>
    <n v="887.97"/>
    <n v="9"/>
    <n v="887.97"/>
    <n v="0"/>
    <n v="0"/>
    <n v="0"/>
    <n v="622144815366"/>
    <d v="2026-07-14T00:00:00"/>
    <n v="0"/>
  </r>
  <r>
    <s v="HCP Plastene Bulkpack Ltd (Unit - IV)"/>
    <s v="16-07-2026"/>
    <s v="HPBL4/26-27/SII00902"/>
    <s v="WIP00004"/>
    <x v="13"/>
    <m/>
    <s v="HPBL4/RAW/26-27/374"/>
    <n v="2365"/>
    <n v="2365"/>
    <s v="Kgs"/>
    <n v="2365"/>
    <n v="0"/>
    <n v="2365"/>
    <s v="GJ39TA3045"/>
    <s v="Plastene India ltd - Unit 2-Purchase"/>
    <s v="Plastene India ltd - Unit 2-Purchase"/>
    <s v="PIL2/D/380"/>
    <s v="15-07-2026"/>
    <s v="RAW MATERIAL"/>
    <s v="INDIGENOUS"/>
    <s v="RM 395"/>
    <n v="205.83"/>
    <n v="205.83"/>
    <s v="PIL2/D/380"/>
    <s v="15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869756.03"/>
    <s v="FG"/>
    <s v="FIBC Bags"/>
    <s v="FIBC Bags"/>
    <s v="FG"/>
    <s v="erp"/>
    <n v="0"/>
    <n v="486787.95"/>
    <n v="863"/>
    <s v="16-07-2026"/>
    <s v="24AAACO3087C1ZT"/>
    <s v="storepil6"/>
    <s v="storepil6"/>
    <n v="9"/>
    <n v="43810.92"/>
    <n v="9"/>
    <n v="43810.92"/>
    <n v="0"/>
    <n v="0"/>
    <n v="1869756.03"/>
    <n v="682145596893"/>
    <d v="2026-07-15T00:00:00"/>
    <n v="0"/>
  </r>
  <r>
    <s v="HCP Plastene Bulkpack Ltd (Unit - IV)"/>
    <s v="16-07-2026"/>
    <s v="HPBL4/26-27/SII00902"/>
    <s v="WIP00004"/>
    <x v="13"/>
    <m/>
    <s v="HPBL4/RAW/26-27/374"/>
    <n v="2041"/>
    <n v="2041"/>
    <s v="Kgs"/>
    <n v="2041"/>
    <n v="0"/>
    <n v="2041"/>
    <s v="GJ39TA3045"/>
    <s v="Plastene India ltd - Unit 2-Purchase"/>
    <s v="Plastene India ltd - Unit 2-Purchase"/>
    <s v="PIL2/D/380"/>
    <s v="15-07-2026"/>
    <s v="RAW MATERIAL"/>
    <s v="INDIGENOUS"/>
    <s v="RM 395"/>
    <n v="196.14"/>
    <n v="196.14"/>
    <s v="PIL2/D/380"/>
    <s v="15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869756.03"/>
    <s v="FG"/>
    <s v="FIBC Bags"/>
    <s v="FIBC Bags"/>
    <s v="FG"/>
    <s v="erp"/>
    <n v="0"/>
    <n v="400321.74"/>
    <n v="863"/>
    <s v="16-07-2026"/>
    <s v="24AAACO3087C1ZT"/>
    <s v="storepil6"/>
    <s v="storepil6"/>
    <n v="9"/>
    <n v="36028.959999999999"/>
    <n v="9"/>
    <n v="36028.959999999999"/>
    <n v="0"/>
    <n v="0"/>
    <n v="0"/>
    <n v="682145596893"/>
    <d v="2026-07-15T00:00:00"/>
    <n v="0"/>
  </r>
  <r>
    <s v="HCP Plastene Bulkpack Ltd (Unit - IV)"/>
    <s v="16-07-2026"/>
    <s v="HPBL4/26-27/SII00902"/>
    <s v="WIP00004"/>
    <x v="13"/>
    <m/>
    <s v="HPBL4/RAW/26-27/374"/>
    <n v="3590"/>
    <n v="3590"/>
    <s v="Kgs"/>
    <n v="3590"/>
    <n v="0"/>
    <n v="3590"/>
    <s v="GJ39TA3045"/>
    <s v="Plastene India ltd - Unit 2-Purchase"/>
    <s v="Plastene India ltd - Unit 2-Purchase"/>
    <s v="PIL2/D/380"/>
    <s v="15-07-2026"/>
    <s v="RAW MATERIAL"/>
    <s v="INDIGENOUS"/>
    <s v="RM 395"/>
    <n v="194.27"/>
    <n v="194.27"/>
    <s v="PIL2/D/380"/>
    <s v="15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869756.03"/>
    <s v="FG"/>
    <s v="FIBC Bags"/>
    <s v="FIBC Bags"/>
    <s v="FG"/>
    <s v="erp"/>
    <n v="0"/>
    <n v="697429.3"/>
    <n v="863"/>
    <s v="16-07-2026"/>
    <s v="24AAACO3087C1ZT"/>
    <s v="storepil6"/>
    <s v="storepil6"/>
    <n v="9"/>
    <n v="62768.639999999999"/>
    <n v="9"/>
    <n v="62768.639999999999"/>
    <n v="0"/>
    <n v="0"/>
    <n v="0"/>
    <n v="682145596893"/>
    <d v="2026-07-15T00:00:00"/>
    <n v="0"/>
  </r>
  <r>
    <s v="HCP Plastene Bulkpack Ltd (Unit - IV)"/>
    <s v="16-07-2026"/>
    <s v="HPBL4/26-27/SII00905"/>
    <s v="WIP00032"/>
    <x v="3"/>
    <m/>
    <s v="HPBL4/RAW/26-27/375"/>
    <n v="910.3"/>
    <n v="910.3"/>
    <s v="Kgs"/>
    <n v="910.3"/>
    <n v="0"/>
    <n v="910.3"/>
    <s v="GJ12BT2409"/>
    <s v="Plastene India ltd - Unit 1-Purchase"/>
    <s v="Plastene India ltd - Unit 1-Purchase"/>
    <s v="PIL1/D/1061"/>
    <s v="15-07-2026"/>
    <s v="RAW MATERIAL"/>
    <s v="INDIGENOUS"/>
    <s v="RM 396"/>
    <n v="146.49"/>
    <n v="146.490000476744"/>
    <s v="PIL1/D/1061"/>
    <s v="15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614544.13"/>
    <s v="SF"/>
    <s v="Webbing"/>
    <s v="PP Webbing"/>
    <s v="RM"/>
    <s v="erp"/>
    <n v="0"/>
    <n v="133349.85"/>
    <n v="861"/>
    <s v="15-07-2026"/>
    <s v="24AAACO3087C1ZT"/>
    <s v="storepil6"/>
    <s v="storepil6"/>
    <n v="9"/>
    <n v="12001.49"/>
    <n v="9"/>
    <n v="12001.49"/>
    <n v="0"/>
    <n v="0"/>
    <n v="614544.13"/>
    <n v="612145492561"/>
    <d v="2026-07-15T00:00:00"/>
    <n v="0"/>
  </r>
  <r>
    <s v="HCP Plastene Bulkpack Ltd (Unit - IV)"/>
    <s v="16-07-2026"/>
    <s v="HPBL4/26-27/SII00905"/>
    <s v="WIP00032"/>
    <x v="3"/>
    <m/>
    <s v="HPBL4/RAW/26-27/375"/>
    <n v="839.9"/>
    <n v="839.9"/>
    <s v="Kgs"/>
    <n v="839.9"/>
    <n v="0"/>
    <n v="839.9"/>
    <s v="GJ12BT2409"/>
    <s v="Plastene India ltd - Unit 1-Purchase"/>
    <s v="Plastene India ltd - Unit 1-Purchase"/>
    <s v="PIL1/D/1061"/>
    <s v="15-07-2026"/>
    <s v="RAW MATERIAL"/>
    <s v="INDIGENOUS"/>
    <s v="RM 396"/>
    <n v="149.49"/>
    <n v="149.490000486507"/>
    <s v="PIL1/D/1061"/>
    <s v="15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614544.13"/>
    <s v="SF"/>
    <s v="Webbing"/>
    <s v="PP Webbing"/>
    <s v="RM"/>
    <s v="erp"/>
    <n v="0"/>
    <n v="125556.65"/>
    <n v="861"/>
    <s v="15-07-2026"/>
    <s v="24AAACO3087C1ZT"/>
    <s v="storepil6"/>
    <s v="storepil6"/>
    <n v="9"/>
    <n v="11300.1"/>
    <n v="9"/>
    <n v="11300.1"/>
    <n v="0"/>
    <n v="0"/>
    <n v="0"/>
    <n v="612145492561"/>
    <d v="2026-07-15T00:00:00"/>
    <n v="0"/>
  </r>
  <r>
    <s v="HCP Plastene Bulkpack Ltd (Unit - IV)"/>
    <s v="16-07-2026"/>
    <s v="HPBL4/26-27/SII00905"/>
    <s v="WIP00013"/>
    <x v="2"/>
    <m/>
    <s v="HPBL4/RAW/26-27/375"/>
    <n v="733"/>
    <n v="733"/>
    <s v="Kgs"/>
    <n v="733"/>
    <n v="0"/>
    <n v="733"/>
    <s v="GJ12BT2409"/>
    <s v="Plastene India ltd - Unit 1-Purchase"/>
    <s v="Plastene India ltd - Unit 1-Purchase"/>
    <s v="PIL1/D/1061"/>
    <s v="15-07-2026"/>
    <s v="RAW MATERIAL"/>
    <s v="INDIGENOUS"/>
    <s v="RM 396"/>
    <n v="186.78"/>
    <n v="186.78000060786499"/>
    <s v="PIL1/D/1061"/>
    <s v="15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614544.13"/>
    <s v="SF"/>
    <s v="Liners"/>
    <s v="LDPE/LLDPE Bags"/>
    <s v="RM"/>
    <s v="erp"/>
    <n v="0"/>
    <n v="136909.74"/>
    <n v="861"/>
    <s v="15-07-2026"/>
    <s v="24AAACO3087C1ZT"/>
    <s v="storepil6"/>
    <s v="storepil6"/>
    <n v="9"/>
    <n v="12321.88"/>
    <n v="9"/>
    <n v="12321.88"/>
    <n v="0"/>
    <n v="0"/>
    <n v="0"/>
    <n v="612145492561"/>
    <d v="2026-07-15T00:00:00"/>
    <n v="0"/>
  </r>
  <r>
    <s v="HCP Plastene Bulkpack Ltd (Unit - IV)"/>
    <s v="16-07-2026"/>
    <s v="HPBL4/26-27/SII00905"/>
    <s v="WIP00023"/>
    <x v="0"/>
    <m/>
    <s v="HPBL4/RAW/26-27/375"/>
    <n v="865"/>
    <n v="865"/>
    <s v="Kgs"/>
    <n v="865"/>
    <n v="0"/>
    <n v="865"/>
    <s v="GJ12BT2409"/>
    <s v="Plastene India ltd - Unit 1-Purchase"/>
    <s v="Plastene India ltd - Unit 1-Purchase"/>
    <s v="PIL1/D/1061"/>
    <s v="15-07-2026"/>
    <s v="RAW MATERIAL"/>
    <s v="INDIGENOUS"/>
    <s v="RM 396"/>
    <n v="144.49"/>
    <n v="144.490000470235"/>
    <s v="PIL1/D/1061"/>
    <s v="15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614544.13"/>
    <s v="SF"/>
    <s v="PP/PE Fabric"/>
    <s v="PP UL Fabric"/>
    <s v="RM"/>
    <s v="erp"/>
    <n v="0"/>
    <n v="124983.85"/>
    <n v="861"/>
    <s v="15-07-2026"/>
    <s v="24AAACO3087C1ZT"/>
    <s v="storepil6"/>
    <s v="storepil6"/>
    <n v="9"/>
    <n v="11248.55"/>
    <n v="9"/>
    <n v="11248.55"/>
    <n v="0"/>
    <n v="0"/>
    <n v="0"/>
    <n v="612145492561"/>
    <d v="2026-07-15T00:00:00"/>
    <n v="0"/>
  </r>
  <r>
    <s v="HCP Plastene Bulkpack Ltd (Unit - IV)"/>
    <s v="16-07-2026"/>
    <s v="HPBL4/26-27/SII00906"/>
    <s v="WIP00023"/>
    <x v="0"/>
    <m/>
    <s v="HPBL4/RAW/26-27/376"/>
    <n v="4938"/>
    <n v="4938"/>
    <s v="Kgs"/>
    <n v="4938"/>
    <n v="0"/>
    <n v="4938"/>
    <s v="GJ12BY0479"/>
    <s v="Plastene India ltd - Unit 1-Purchase"/>
    <s v="Plastene India ltd - Unit 1-Purchase"/>
    <s v="PIL1/D/1057"/>
    <s v="15-07-2026"/>
    <s v="RAW MATERIAL"/>
    <s v="INDIGENOUS"/>
    <s v="RM 397"/>
    <n v="144.49"/>
    <n v="144.49"/>
    <s v="PIL1/D/1057"/>
    <s v="15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764588.37"/>
    <s v="SF"/>
    <s v="PP/PE Fabric"/>
    <s v="PP UL Fabric"/>
    <s v="RM"/>
    <s v="erp"/>
    <n v="0"/>
    <n v="713491.62"/>
    <n v="860"/>
    <s v="15-07-2026"/>
    <s v="24AAACO3087C1ZT"/>
    <s v="storepil6"/>
    <s v="storepil6"/>
    <n v="9"/>
    <n v="64214.25"/>
    <n v="9"/>
    <n v="64214.25"/>
    <n v="0"/>
    <n v="0"/>
    <n v="1764588.37"/>
    <n v="612145452453"/>
    <d v="2026-07-15T00:00:00"/>
    <n v="0"/>
  </r>
  <r>
    <s v="HCP Plastene Bulkpack Ltd (Unit - IV)"/>
    <s v="16-07-2026"/>
    <s v="HPBL4/26-27/SII00906"/>
    <s v="WIP00023"/>
    <x v="0"/>
    <m/>
    <s v="HPBL4/RAW/26-27/376"/>
    <n v="891"/>
    <n v="891"/>
    <s v="Kgs"/>
    <n v="891"/>
    <n v="0"/>
    <n v="891"/>
    <s v="GJ12BY0479"/>
    <s v="Plastene India ltd - Unit 1-Purchase"/>
    <s v="Plastene India ltd - Unit 1-Purchase"/>
    <s v="PIL1/D/1057"/>
    <s v="15-07-2026"/>
    <s v="RAW MATERIAL"/>
    <s v="INDIGENOUS"/>
    <s v="RM 397"/>
    <n v="147.49"/>
    <n v="147.49"/>
    <s v="PIL1/D/1057"/>
    <s v="15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764588.37"/>
    <s v="SF"/>
    <s v="PP/PE Fabric"/>
    <s v="PP UL Fabric"/>
    <s v="RM"/>
    <s v="erp"/>
    <n v="0"/>
    <n v="131413.59"/>
    <n v="860"/>
    <s v="15-07-2026"/>
    <s v="24AAACO3087C1ZT"/>
    <s v="storepil6"/>
    <s v="storepil6"/>
    <n v="9"/>
    <n v="11827.22"/>
    <n v="9"/>
    <n v="11827.22"/>
    <n v="0"/>
    <n v="0"/>
    <n v="0"/>
    <n v="612145452453"/>
    <d v="2026-07-15T00:00:00"/>
    <n v="0"/>
  </r>
  <r>
    <s v="HCP Plastene Bulkpack Ltd (Unit - IV)"/>
    <s v="16-07-2026"/>
    <s v="HPBL4/26-27/SII00906"/>
    <s v="WIP00023"/>
    <x v="0"/>
    <m/>
    <s v="HPBL4/RAW/26-27/376"/>
    <n v="2916"/>
    <n v="2916"/>
    <s v="Kgs"/>
    <n v="2916"/>
    <n v="0"/>
    <n v="2916"/>
    <s v="GJ12BY0479"/>
    <s v="Plastene India ltd - Unit 1-Purchase"/>
    <s v="Plastene India ltd - Unit 1-Purchase"/>
    <s v="PIL1/D/1057"/>
    <s v="15-07-2026"/>
    <s v="RAW MATERIAL"/>
    <s v="INDIGENOUS"/>
    <s v="RM 397"/>
    <n v="146.49"/>
    <n v="146.49"/>
    <s v="PIL1/D/1057"/>
    <s v="15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764588.37"/>
    <s v="SF"/>
    <s v="PP/PE Fabric"/>
    <s v="PP UL Fabric"/>
    <s v="RM"/>
    <s v="erp"/>
    <n v="0"/>
    <n v="427164.84"/>
    <n v="860"/>
    <s v="15-07-2026"/>
    <s v="24AAACO3087C1ZT"/>
    <s v="storepil6"/>
    <s v="storepil6"/>
    <n v="9"/>
    <n v="38444.839999999997"/>
    <n v="9"/>
    <n v="38444.839999999997"/>
    <n v="0"/>
    <n v="0"/>
    <n v="0"/>
    <n v="612145452453"/>
    <d v="2026-07-15T00:00:00"/>
    <n v="0"/>
  </r>
  <r>
    <s v="HCP Plastene Bulkpack Ltd (Unit - IV)"/>
    <s v="16-07-2026"/>
    <s v="HPBL4/26-27/SII00906"/>
    <s v="WIP00025"/>
    <x v="1"/>
    <m/>
    <s v="HPBL4/RAW/26-27/376"/>
    <n v="486"/>
    <n v="486"/>
    <s v="Kgs"/>
    <n v="486"/>
    <n v="0"/>
    <n v="486"/>
    <s v="GJ12BY0479"/>
    <s v="Plastene India ltd - Unit 1-Purchase"/>
    <s v="Plastene India ltd - Unit 1-Purchase"/>
    <s v="PIL1/D/1057"/>
    <s v="15-07-2026"/>
    <s v="RAW MATERIAL"/>
    <s v="INDIGENOUS"/>
    <s v="RM 397"/>
    <n v="148.49"/>
    <n v="148.49"/>
    <s v="PIL1/D/1057"/>
    <s v="15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764588.37"/>
    <s v="SF"/>
    <s v="PP/PE Fabric"/>
    <s v="PP Lam Fabric"/>
    <s v="RM"/>
    <s v="erp"/>
    <n v="0"/>
    <n v="72166.14"/>
    <n v="860"/>
    <s v="15-07-2026"/>
    <s v="24AAACO3087C1ZT"/>
    <s v="storepil6"/>
    <s v="storepil6"/>
    <n v="9"/>
    <n v="6494.95"/>
    <n v="9"/>
    <n v="6494.95"/>
    <n v="0"/>
    <n v="0"/>
    <n v="0"/>
    <n v="612145452453"/>
    <d v="2026-07-15T00:00:00"/>
    <n v="0"/>
  </r>
  <r>
    <s v="HCP Plastene Bulkpack Ltd (Unit - IV)"/>
    <s v="16-07-2026"/>
    <s v="HPBL4/26-27/SII00906"/>
    <s v="WIP00025"/>
    <x v="1"/>
    <m/>
    <s v="HPBL4/RAW/26-27/376"/>
    <n v="1032"/>
    <n v="1032"/>
    <s v="Kgs"/>
    <n v="1032"/>
    <n v="0"/>
    <n v="1032"/>
    <s v="GJ12BY0479"/>
    <s v="Plastene India ltd - Unit 1-Purchase"/>
    <s v="Plastene India ltd - Unit 1-Purchase"/>
    <s v="PIL1/D/1057"/>
    <s v="15-07-2026"/>
    <s v="RAW MATERIAL"/>
    <s v="INDIGENOUS"/>
    <s v="RM 397"/>
    <n v="146.49"/>
    <n v="146.49"/>
    <s v="PIL1/D/1057"/>
    <s v="15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764588.37"/>
    <s v="SF"/>
    <s v="PP/PE Fabric"/>
    <s v="PP Lam Fabric"/>
    <s v="RM"/>
    <s v="erp"/>
    <n v="0"/>
    <n v="151177.68"/>
    <n v="860"/>
    <s v="15-07-2026"/>
    <s v="24AAACO3087C1ZT"/>
    <s v="storepil6"/>
    <s v="storepil6"/>
    <n v="9"/>
    <n v="13605.99"/>
    <n v="9"/>
    <n v="13605.99"/>
    <n v="0"/>
    <n v="0"/>
    <n v="0"/>
    <n v="612145452453"/>
    <d v="2026-07-15T00:00:00"/>
    <n v="0"/>
  </r>
  <r>
    <s v="HCP Plastene Bulkpack Ltd (Unit - IV)"/>
    <s v="16-07-2026"/>
    <s v="HPBL4/26-27/SII00913"/>
    <s v="FIG00001"/>
    <x v="4"/>
    <m/>
    <s v="HPBL4/RAW/26-27/378"/>
    <n v="360"/>
    <n v="360"/>
    <s v="Kgs"/>
    <n v="360"/>
    <n v="0"/>
    <n v="360"/>
    <s v="GJ35T2925"/>
    <s v="Plastene Polyfilms Ltd-Purchase"/>
    <s v="Plastene Polyfilms Ltd-Purchase"/>
    <s v="PPL/D/365"/>
    <s v="16-07-2026"/>
    <s v="RAW MATERIAL"/>
    <s v="INDIGENOUS"/>
    <s v="RM 398"/>
    <n v="154.74"/>
    <n v="154.739996682537"/>
    <s v="PPL/D/365"/>
    <s v="16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86576.33"/>
    <s v="FG"/>
    <s v="FIBC WIP"/>
    <s v="FIBC WIP"/>
    <s v="RM"/>
    <s v="erp"/>
    <n v="0"/>
    <n v="55706.400000000001"/>
    <n v="872"/>
    <s v="16-07-2026"/>
    <s v="24AAFCP2956A1ZR"/>
    <s v="storepil6"/>
    <s v="storepil6"/>
    <n v="9"/>
    <n v="5013.58"/>
    <n v="9"/>
    <n v="5013.58"/>
    <n v="0"/>
    <n v="0"/>
    <n v="186576.33"/>
    <n v="632146234067"/>
    <d v="2026-07-16T00:00:00"/>
    <n v="0"/>
  </r>
  <r>
    <s v="HCP Plastene Bulkpack Ltd (Unit - IV)"/>
    <s v="16-07-2026"/>
    <s v="HPBL4/26-27/SII00913"/>
    <s v="WIP00025"/>
    <x v="1"/>
    <m/>
    <s v="HPBL4/RAW/26-27/378"/>
    <n v="105"/>
    <n v="105"/>
    <s v="Kgs"/>
    <n v="105"/>
    <n v="0"/>
    <n v="105"/>
    <s v="GJ35T2925"/>
    <s v="Plastene Polyfilms Ltd-Purchase"/>
    <s v="Plastene Polyfilms Ltd-Purchase"/>
    <s v="PPL/D/365"/>
    <s v="16-07-2026"/>
    <s v="RAW MATERIAL"/>
    <s v="INDIGENOUS"/>
    <s v="RM 398"/>
    <n v="158.74"/>
    <n v="158.73999659678199"/>
    <s v="PPL/D/365"/>
    <s v="16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86576.33"/>
    <s v="SF"/>
    <s v="PP/PE Fabric"/>
    <s v="PP Lam Fabric"/>
    <s v="RM"/>
    <s v="erp"/>
    <n v="0"/>
    <n v="16667.7"/>
    <n v="872"/>
    <s v="16-07-2026"/>
    <s v="24AAFCP2956A1ZR"/>
    <s v="storepil6"/>
    <s v="storepil6"/>
    <n v="9"/>
    <n v="1500.09"/>
    <n v="9"/>
    <n v="1500.09"/>
    <n v="0"/>
    <n v="0"/>
    <n v="0"/>
    <n v="632146234067"/>
    <d v="2026-07-16T00:00:00"/>
    <n v="0"/>
  </r>
  <r>
    <s v="HCP Plastene Bulkpack Ltd (Unit - IV)"/>
    <s v="16-07-2026"/>
    <s v="HPBL4/26-27/SII00913"/>
    <s v="WIP00023"/>
    <x v="0"/>
    <m/>
    <s v="HPBL4/RAW/26-27/378"/>
    <n v="554.1"/>
    <n v="554.1"/>
    <s v="Kgs"/>
    <n v="554.1"/>
    <n v="0"/>
    <n v="554.1"/>
    <s v="GJ35T2925"/>
    <s v="Plastene Polyfilms Ltd-Purchase"/>
    <s v="Plastene Polyfilms Ltd-Purchase"/>
    <s v="PPL/D/365"/>
    <s v="16-07-2026"/>
    <s v="RAW MATERIAL"/>
    <s v="INDIGENOUS"/>
    <s v="RM 398"/>
    <n v="154.74"/>
    <n v="154.739996682537"/>
    <s v="PPL/D/365"/>
    <s v="16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86576.33"/>
    <s v="SF"/>
    <s v="PP/PE Fabric"/>
    <s v="PP UL Fabric"/>
    <s v="RM"/>
    <s v="erp"/>
    <n v="0"/>
    <n v="85741.43"/>
    <n v="872"/>
    <s v="16-07-2026"/>
    <s v="24AAFCP2956A1ZR"/>
    <s v="storepil6"/>
    <s v="storepil6"/>
    <n v="9"/>
    <n v="7716.73"/>
    <n v="9"/>
    <n v="7716.73"/>
    <n v="0"/>
    <n v="0"/>
    <n v="0"/>
    <n v="632146234067"/>
    <d v="2026-07-16T00:00:00"/>
    <n v="0"/>
  </r>
  <r>
    <s v="HCP Plastene Bulkpack Ltd (Unit - IV)"/>
    <s v="16-07-2026"/>
    <s v="HPBL4/26-27/SII00914"/>
    <s v="WIP00023"/>
    <x v="0"/>
    <m/>
    <s v="HPBL4/RAW/26-27/380"/>
    <n v="4791"/>
    <n v="4791"/>
    <s v="Kgs"/>
    <n v="4791"/>
    <n v="0"/>
    <n v="4791"/>
    <s v="GJ12BY0479"/>
    <s v="Plastene India ltd - Unit 1-Purchase"/>
    <s v="Plastene India ltd - Unit 1-Purchase"/>
    <s v="PIL1/D/1070"/>
    <s v="16-07-2026"/>
    <s v="RAW MATERIAL"/>
    <s v="INDIGENOUS"/>
    <s v="RM 399"/>
    <n v="144.49"/>
    <n v="144.49"/>
    <s v="PIL1/D/1070"/>
    <s v="16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145862.0900000001"/>
    <s v="SF"/>
    <s v="PP/PE Fabric"/>
    <s v="PP UL Fabric"/>
    <s v="RM"/>
    <s v="erp"/>
    <n v="0"/>
    <n v="692251.59"/>
    <n v="864"/>
    <s v="16-07-2026"/>
    <s v="24AAACO3087C1ZT"/>
    <s v="storepil6"/>
    <s v="storepil6"/>
    <n v="9"/>
    <n v="62302.64"/>
    <n v="9"/>
    <n v="62302.64"/>
    <n v="0"/>
    <n v="0"/>
    <n v="1145862.0900000001"/>
    <n v="632146043140"/>
    <d v="2026-07-16T00:00:00"/>
    <n v="0"/>
  </r>
  <r>
    <s v="HCP Plastene Bulkpack Ltd (Unit - IV)"/>
    <s v="16-07-2026"/>
    <s v="HPBL4/26-27/SII00914"/>
    <s v="WIP00023"/>
    <x v="0"/>
    <m/>
    <s v="HPBL4/RAW/26-27/380"/>
    <n v="194"/>
    <n v="194"/>
    <s v="Kgs"/>
    <n v="194"/>
    <n v="0"/>
    <n v="194"/>
    <s v="GJ12BY0479"/>
    <s v="Plastene India ltd - Unit 1-Purchase"/>
    <s v="Plastene India ltd - Unit 1-Purchase"/>
    <s v="PIL1/D/1070"/>
    <s v="16-07-2026"/>
    <s v="RAW MATERIAL"/>
    <s v="INDIGENOUS"/>
    <s v="RM 399"/>
    <n v="147.49"/>
    <n v="147.49"/>
    <s v="PIL1/D/1070"/>
    <s v="16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145862.0900000001"/>
    <s v="SF"/>
    <s v="PP/PE Fabric"/>
    <s v="PP UL Fabric"/>
    <s v="RM"/>
    <s v="erp"/>
    <n v="0"/>
    <n v="28613.06"/>
    <n v="864"/>
    <s v="16-07-2026"/>
    <s v="24AAACO3087C1ZT"/>
    <s v="storepil6"/>
    <s v="storepil6"/>
    <n v="9"/>
    <n v="2575.1799999999998"/>
    <n v="9"/>
    <n v="2575.1799999999998"/>
    <n v="0"/>
    <n v="0"/>
    <n v="0"/>
    <n v="632146043140"/>
    <d v="2026-07-16T00:00:00"/>
    <n v="0"/>
  </r>
  <r>
    <s v="HCP Plastene Bulkpack Ltd (Unit - IV)"/>
    <s v="16-07-2026"/>
    <s v="HPBL4/26-27/SII00914"/>
    <s v="WIP00023"/>
    <x v="0"/>
    <m/>
    <s v="HPBL4/RAW/26-27/380"/>
    <n v="1708"/>
    <n v="1708"/>
    <s v="Kgs"/>
    <n v="1708"/>
    <n v="0"/>
    <n v="1708"/>
    <s v="GJ12BY0479"/>
    <s v="Plastene India ltd - Unit 1-Purchase"/>
    <s v="Plastene India ltd - Unit 1-Purchase"/>
    <s v="PIL1/D/1070"/>
    <s v="16-07-2026"/>
    <s v="RAW MATERIAL"/>
    <s v="INDIGENOUS"/>
    <s v="RM 399"/>
    <n v="146.49"/>
    <n v="146.49"/>
    <s v="PIL1/D/1070"/>
    <s v="16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145862.0900000001"/>
    <s v="SF"/>
    <s v="PP/PE Fabric"/>
    <s v="PP UL Fabric"/>
    <s v="RM"/>
    <s v="erp"/>
    <n v="0"/>
    <n v="250204.92"/>
    <n v="864"/>
    <s v="16-07-2026"/>
    <s v="24AAACO3087C1ZT"/>
    <s v="storepil6"/>
    <s v="storepil6"/>
    <n v="9"/>
    <n v="22518.44"/>
    <n v="9"/>
    <n v="22518.44"/>
    <n v="0"/>
    <n v="0"/>
    <n v="0"/>
    <n v="632146043140"/>
    <d v="2026-07-16T00:00:00"/>
    <n v="0"/>
  </r>
  <r>
    <s v="HCP Plastene Bulkpack Ltd (Unit - IV)"/>
    <s v="16-07-2026"/>
    <s v="HPBL4/26-27/SII00915"/>
    <s v="WIP00023"/>
    <x v="0"/>
    <m/>
    <s v="HPBL4/RAW/26-27/380"/>
    <n v="1443"/>
    <n v="1443"/>
    <s v="Kgs"/>
    <n v="1443"/>
    <n v="0"/>
    <n v="1443"/>
    <s v="GJ39TD3634"/>
    <s v="Plastene India ltd - Unit 1-Purchase"/>
    <s v="Plastene India ltd - Unit 1-Purchase"/>
    <s v="PIL1/D/1069"/>
    <s v="16-07-2026"/>
    <s v="RAW MATERIAL"/>
    <s v="INDIGENOUS"/>
    <s v="RM 400"/>
    <n v="144.49"/>
    <n v="144.49"/>
    <s v="PIL1/D/1069"/>
    <s v="16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46028.91"/>
    <s v="SF"/>
    <s v="PP/PE Fabric"/>
    <s v="PP UL Fabric"/>
    <s v="RM"/>
    <s v="erp"/>
    <n v="0"/>
    <n v="208499.07"/>
    <n v="869"/>
    <s v="16-07-2026"/>
    <s v="24AAACO3087C1ZT"/>
    <s v="storepil6"/>
    <s v="storepil6"/>
    <n v="9"/>
    <n v="18764.919999999998"/>
    <n v="9"/>
    <n v="18764.919999999998"/>
    <n v="0"/>
    <n v="0"/>
    <n v="246028.91"/>
    <n v="682146026919"/>
    <d v="2026-07-16T00:00:00"/>
    <n v="0"/>
  </r>
  <r>
    <s v="HCP Plastene Bulkpack Ltd (Unit - IV)"/>
    <s v="16-07-2026"/>
    <s v="HPBL4/26-27/SII00916"/>
    <s v="RAW05764"/>
    <x v="14"/>
    <m/>
    <s v="HPBL4/RAW/26-27/381"/>
    <n v="49"/>
    <n v="49"/>
    <s v="Kgs"/>
    <n v="49"/>
    <n v="0"/>
    <n v="49"/>
    <s v="GJ12BU0544"/>
    <s v="Plastene India ltd - Unit 1-Purchase"/>
    <s v="Plastene India ltd - Unit 1-Purchase"/>
    <s v="PIL1/D/1063"/>
    <s v="15-07-2026"/>
    <s v="RAW MATERIAL"/>
    <s v="INDIGENOUS"/>
    <s v="RM 401"/>
    <n v="108"/>
    <n v="108"/>
    <s v="PIL1/D/1063"/>
    <s v="15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6244.56"/>
    <s v="RM Consumables"/>
    <s v="Ink"/>
    <s v="Thinner"/>
    <s v="RM"/>
    <s v="erp"/>
    <n v="0"/>
    <n v="5292"/>
    <n v="868"/>
    <s v="16-07-2026"/>
    <s v="24AAACO3087C1ZT"/>
    <s v="storepil6"/>
    <s v="storepil6"/>
    <n v="9"/>
    <n v="476.28"/>
    <n v="9"/>
    <n v="476.28"/>
    <n v="0"/>
    <n v="0"/>
    <n v="6244.56"/>
    <n v="672145544039"/>
    <d v="2026-07-15T00:00:00"/>
    <n v="0"/>
  </r>
  <r>
    <s v="HCP Plastene Bulkpack Ltd (Unit - IV)"/>
    <s v="16-07-2026"/>
    <s v="HPBL4/26-27/SII00918"/>
    <s v="WIP00013"/>
    <x v="2"/>
    <m/>
    <s v="HPBL4/RAW/26-27/382"/>
    <n v="1440"/>
    <n v="1440"/>
    <s v="Kgs"/>
    <n v="1440"/>
    <n v="0"/>
    <n v="1440"/>
    <s v="GJ09Z0572"/>
    <s v="Plastene India ltd - Unit 1-Purchase"/>
    <s v="Plastene India ltd - Unit 1-Purchase"/>
    <s v="PIL1/D/1072"/>
    <s v="16-07-2026"/>
    <s v="RAW MATERIAL"/>
    <s v="INDIGENOUS"/>
    <s v="RM 402"/>
    <n v="186.78"/>
    <n v="186.77999969390399"/>
    <s v="PIL1/D/1072"/>
    <s v="16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220401.7"/>
    <s v="SF"/>
    <s v="Liners"/>
    <s v="LDPE/LLDPE Bags"/>
    <s v="RM"/>
    <s v="erp"/>
    <n v="0"/>
    <n v="268963.20000000001"/>
    <n v="871"/>
    <s v="16-07-2026"/>
    <s v="24AAACO3087C1ZT"/>
    <s v="storepil6"/>
    <s v="storepil6"/>
    <n v="9"/>
    <n v="24206.69"/>
    <n v="9"/>
    <n v="24206.69"/>
    <n v="0"/>
    <n v="0"/>
    <n v="1220401.7"/>
    <n v="662146140875"/>
    <d v="2026-07-16T00:00:00"/>
    <n v="0"/>
  </r>
  <r>
    <s v="HCP Plastene Bulkpack Ltd (Unit - IV)"/>
    <s v="16-07-2026"/>
    <s v="HPBL4/26-27/SII00918"/>
    <s v="WIP00025"/>
    <x v="1"/>
    <m/>
    <s v="HPBL4/RAW/26-27/382"/>
    <n v="933"/>
    <n v="933"/>
    <s v="Kgs"/>
    <n v="933"/>
    <n v="0"/>
    <n v="933"/>
    <s v="GJ09Z0572"/>
    <s v="Plastene India ltd - Unit 1-Purchase"/>
    <s v="Plastene India ltd - Unit 1-Purchase"/>
    <s v="PIL1/D/1072"/>
    <s v="16-07-2026"/>
    <s v="RAW MATERIAL"/>
    <s v="INDIGENOUS"/>
    <s v="RM 402"/>
    <n v="148.49"/>
    <n v="148.48999975665399"/>
    <s v="PIL1/D/1072"/>
    <s v="16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220401.7"/>
    <s v="SF"/>
    <s v="PP/PE Fabric"/>
    <s v="PP Lam Fabric"/>
    <s v="RM"/>
    <s v="erp"/>
    <n v="0"/>
    <n v="138541.17000000001"/>
    <n v="871"/>
    <s v="16-07-2026"/>
    <s v="24AAACO3087C1ZT"/>
    <s v="storepil6"/>
    <s v="storepil6"/>
    <n v="9"/>
    <n v="12468.71"/>
    <n v="9"/>
    <n v="12468.71"/>
    <n v="0"/>
    <n v="0"/>
    <n v="0"/>
    <n v="662146140875"/>
    <d v="2026-07-16T00:00:00"/>
    <n v="0"/>
  </r>
  <r>
    <s v="HCP Plastene Bulkpack Ltd (Unit - IV)"/>
    <s v="16-07-2026"/>
    <s v="HPBL4/26-27/SII00918"/>
    <s v="WIP00023"/>
    <x v="0"/>
    <m/>
    <s v="HPBL4/RAW/26-27/382"/>
    <n v="2000"/>
    <n v="2000"/>
    <s v="Kgs"/>
    <n v="2000"/>
    <n v="0"/>
    <n v="2000"/>
    <s v="GJ09Z0572"/>
    <s v="Plastene India ltd - Unit 1-Purchase"/>
    <s v="Plastene India ltd - Unit 1-Purchase"/>
    <s v="PIL1/D/1072"/>
    <s v="16-07-2026"/>
    <s v="RAW MATERIAL"/>
    <s v="INDIGENOUS"/>
    <s v="RM 402"/>
    <n v="144.49"/>
    <n v="144.489999763209"/>
    <s v="PIL1/D/1072"/>
    <s v="16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220401.7"/>
    <s v="SF"/>
    <s v="PP/PE Fabric"/>
    <s v="PP UL Fabric"/>
    <s v="RM"/>
    <s v="erp"/>
    <n v="0"/>
    <n v="288980"/>
    <n v="871"/>
    <s v="16-07-2026"/>
    <s v="24AAACO3087C1ZT"/>
    <s v="storepil6"/>
    <s v="storepil6"/>
    <n v="9"/>
    <n v="26008.2"/>
    <n v="9"/>
    <n v="26008.2"/>
    <n v="0"/>
    <n v="0"/>
    <n v="0"/>
    <n v="662146140875"/>
    <d v="2026-07-16T00:00:00"/>
    <n v="0"/>
  </r>
  <r>
    <s v="HCP Plastene Bulkpack Ltd (Unit - IV)"/>
    <s v="16-07-2026"/>
    <s v="HPBL4/26-27/SII00918"/>
    <s v="WIP00032"/>
    <x v="3"/>
    <m/>
    <s v="HPBL4/RAW/26-27/382"/>
    <n v="768.5"/>
    <n v="768.5"/>
    <s v="Kgs"/>
    <n v="768.5"/>
    <n v="0"/>
    <n v="768.5"/>
    <s v="GJ09Z0572"/>
    <s v="Plastene India ltd - Unit 1-Purchase"/>
    <s v="Plastene India ltd - Unit 1-Purchase"/>
    <s v="PIL1/D/1072"/>
    <s v="16-07-2026"/>
    <s v="RAW MATERIAL"/>
    <s v="INDIGENOUS"/>
    <s v="RM 402"/>
    <n v="146.49"/>
    <n v="146.48999975993101"/>
    <s v="PIL1/D/1072"/>
    <s v="16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220401.7"/>
    <s v="SF"/>
    <s v="Webbing"/>
    <s v="PP Webbing"/>
    <s v="RM"/>
    <s v="erp"/>
    <n v="0"/>
    <n v="112577.56"/>
    <n v="871"/>
    <s v="16-07-2026"/>
    <s v="24AAACO3087C1ZT"/>
    <s v="storepil6"/>
    <s v="storepil6"/>
    <n v="9"/>
    <n v="10131.98"/>
    <n v="9"/>
    <n v="10131.98"/>
    <n v="0"/>
    <n v="0"/>
    <n v="0"/>
    <n v="662146140875"/>
    <d v="2026-07-16T00:00:00"/>
    <n v="0"/>
  </r>
  <r>
    <s v="HCP Plastene Bulkpack Ltd (Unit - IV)"/>
    <s v="16-07-2026"/>
    <s v="HPBL4/26-27/SII00918"/>
    <s v="WIP00032"/>
    <x v="3"/>
    <m/>
    <s v="HPBL4/RAW/26-27/382"/>
    <n v="1506.3"/>
    <n v="1506.3"/>
    <s v="Kgs"/>
    <n v="1506.3"/>
    <n v="0"/>
    <n v="1506.3"/>
    <s v="GJ09Z0572"/>
    <s v="Plastene India ltd - Unit 1-Purchase"/>
    <s v="Plastene India ltd - Unit 1-Purchase"/>
    <s v="PIL1/D/1072"/>
    <s v="16-07-2026"/>
    <s v="RAW MATERIAL"/>
    <s v="INDIGENOUS"/>
    <s v="RM 402"/>
    <n v="149.49"/>
    <n v="149.48999975501499"/>
    <s v="PIL1/D/1072"/>
    <s v="16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220401.7"/>
    <s v="SF"/>
    <s v="Webbing"/>
    <s v="PP Webbing"/>
    <s v="RM"/>
    <s v="erp"/>
    <n v="0"/>
    <n v="225176.79"/>
    <n v="871"/>
    <s v="16-07-2026"/>
    <s v="24AAACO3087C1ZT"/>
    <s v="storepil6"/>
    <s v="storepil6"/>
    <n v="9"/>
    <n v="20265.91"/>
    <n v="9"/>
    <n v="20265.91"/>
    <n v="0"/>
    <n v="0"/>
    <n v="0"/>
    <n v="662146140875"/>
    <d v="2026-07-16T00:00:00"/>
    <n v="0"/>
  </r>
  <r>
    <s v="HCP Plastene Bulkpack Ltd (Unit - IV)"/>
    <s v="17-07-2026"/>
    <s v="HPBL4/26-27/SII00920"/>
    <s v="SMF00146"/>
    <x v="9"/>
    <m/>
    <s v="HPBL4/RAW/26-27/383"/>
    <n v="448.5"/>
    <n v="448.5"/>
    <s v="Kgs"/>
    <n v="448.5"/>
    <n v="0"/>
    <n v="448.5"/>
    <s v="GJ24X8047"/>
    <s v="HCP Plastene Bulkpack Limited - Purchase"/>
    <s v="HCP Plastene Bulkpack Limited - Purchase"/>
    <s v="HPBL/DC/21"/>
    <s v="16-07-2026"/>
    <s v="RAW MATERIAL"/>
    <s v="INDIGENOUS"/>
    <s v="RM 403"/>
    <n v="167.89"/>
    <n v="167.89000262930799"/>
    <s v="HPBL/DC/21"/>
    <s v="16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319266.58"/>
    <s v="SF"/>
    <s v="Liners"/>
    <s v="LDPE/LLDPE Bags"/>
    <s v="RM"/>
    <s v="erp"/>
    <n v="0"/>
    <n v="75298.67"/>
    <n v="12"/>
    <s v="17-07-2026"/>
    <s v="24AABCG1282C2Z6"/>
    <s v="storepil6"/>
    <s v="storepil6"/>
    <n v="0"/>
    <n v="0"/>
    <n v="0"/>
    <n v="0"/>
    <n v="0"/>
    <n v="0"/>
    <n v="319266.58"/>
    <n v="652146368940"/>
    <d v="2026-07-16T00:00:00"/>
    <n v="0"/>
  </r>
  <r>
    <s v="HCP Plastene Bulkpack Ltd (Unit - IV)"/>
    <s v="17-07-2026"/>
    <s v="HPBL4/26-27/SII00920"/>
    <s v="WIP00023"/>
    <x v="0"/>
    <m/>
    <s v="HPBL4/RAW/26-27/383"/>
    <n v="1559"/>
    <n v="1559"/>
    <s v="Kgs"/>
    <n v="1559"/>
    <n v="0"/>
    <n v="1559"/>
    <s v="GJ24X8047"/>
    <s v="HCP Plastene Bulkpack Limited - Purchase"/>
    <s v="HCP Plastene Bulkpack Limited - Purchase"/>
    <s v="HPBL/DC/21"/>
    <s v="16-07-2026"/>
    <s v="RAW MATERIAL"/>
    <s v="INDIGENOUS"/>
    <s v="RM 403"/>
    <n v="156.49"/>
    <n v="156.49000245077301"/>
    <s v="HPBL/DC/21"/>
    <s v="16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319266.58"/>
    <s v="SF"/>
    <s v="PP/PE Fabric"/>
    <s v="PP UL Fabric"/>
    <s v="RM"/>
    <s v="erp"/>
    <n v="0"/>
    <n v="243967.91"/>
    <n v="12"/>
    <s v="17-07-2026"/>
    <s v="24AABCG1282C2Z6"/>
    <s v="storepil6"/>
    <s v="storepil6"/>
    <n v="0"/>
    <n v="0"/>
    <n v="0"/>
    <n v="0"/>
    <n v="0"/>
    <n v="0"/>
    <n v="0"/>
    <n v="652146368940"/>
    <d v="2026-07-16T00:00:00"/>
    <n v="0"/>
  </r>
  <r>
    <s v="HCP Plastene Bulkpack Ltd (Unit - IV)"/>
    <s v="17-07-2026"/>
    <s v="HPBL4/26-27/SII00925"/>
    <s v="WIP00023"/>
    <x v="0"/>
    <m/>
    <s v="HPBL4/RAW/26-27/385"/>
    <n v="4705"/>
    <n v="4705"/>
    <s v="Kgs"/>
    <n v="4705"/>
    <n v="0"/>
    <n v="4705"/>
    <s v="GJ12BT2409"/>
    <s v="Plastene India ltd - Unit 1-Purchase"/>
    <s v="Plastene India ltd - Unit 1-Purchase"/>
    <s v="PIL1/D/1079"/>
    <s v="17-07-2026"/>
    <s v="RAW MATERIAL"/>
    <s v="INDIGENOUS"/>
    <s v="RM 404"/>
    <n v="144.49"/>
    <n v="144.49"/>
    <s v="PIL1/D/1079"/>
    <s v="17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61094.22"/>
    <s v="SF"/>
    <s v="PP/PE Fabric"/>
    <s v="PP UL Fabric"/>
    <s v="RM Consumables"/>
    <s v="erp"/>
    <n v="0"/>
    <n v="679825.45"/>
    <n v="874"/>
    <s v="17-07-2026"/>
    <s v="24AAACO3087C1ZT"/>
    <s v="storepil6"/>
    <s v="storepil6"/>
    <n v="9"/>
    <n v="61184.29"/>
    <n v="9"/>
    <n v="61184.29"/>
    <n v="0"/>
    <n v="0"/>
    <n v="1361094.22"/>
    <n v="692146608300"/>
    <d v="2026-07-17T00:00:00"/>
    <n v="0"/>
  </r>
  <r>
    <s v="HCP Plastene Bulkpack Ltd (Unit - IV)"/>
    <s v="17-07-2026"/>
    <s v="HPBL4/26-27/SII00925"/>
    <s v="WIP00023"/>
    <x v="0"/>
    <m/>
    <s v="HPBL4/RAW/26-27/385"/>
    <n v="251"/>
    <n v="251"/>
    <s v="Kgs"/>
    <n v="251"/>
    <n v="0"/>
    <n v="251"/>
    <s v="GJ12BT2409"/>
    <s v="Plastene India ltd - Unit 1-Purchase"/>
    <s v="Plastene India ltd - Unit 1-Purchase"/>
    <s v="PIL1/D/1079"/>
    <s v="17-07-2026"/>
    <s v="RAW MATERIAL"/>
    <s v="INDIGENOUS"/>
    <s v="RM 404"/>
    <n v="147.49"/>
    <n v="147.49"/>
    <s v="PIL1/D/1079"/>
    <s v="17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61094.22"/>
    <s v="SF"/>
    <s v="PP/PE Fabric"/>
    <s v="PP UL Fabric"/>
    <s v="RM Consumables"/>
    <s v="erp"/>
    <n v="0"/>
    <n v="37019.99"/>
    <n v="874"/>
    <s v="17-07-2026"/>
    <s v="24AAACO3087C1ZT"/>
    <s v="storepil6"/>
    <s v="storepil6"/>
    <n v="9"/>
    <n v="3331.8"/>
    <n v="9"/>
    <n v="3331.8"/>
    <n v="0"/>
    <n v="0"/>
    <n v="0"/>
    <n v="692146608300"/>
    <d v="2026-07-17T00:00:00"/>
    <n v="0"/>
  </r>
  <r>
    <s v="HCP Plastene Bulkpack Ltd (Unit - IV)"/>
    <s v="17-07-2026"/>
    <s v="HPBL4/26-27/SII00925"/>
    <s v="WIP00023"/>
    <x v="0"/>
    <m/>
    <s v="HPBL4/RAW/26-27/385"/>
    <n v="1826"/>
    <n v="1826"/>
    <s v="Kgs"/>
    <n v="1826"/>
    <n v="0"/>
    <n v="1826"/>
    <s v="GJ12BT2409"/>
    <s v="Plastene India ltd - Unit 1-Purchase"/>
    <s v="Plastene India ltd - Unit 1-Purchase"/>
    <s v="PIL1/D/1079"/>
    <s v="17-07-2026"/>
    <s v="RAW MATERIAL"/>
    <s v="INDIGENOUS"/>
    <s v="RM 404"/>
    <n v="146.49"/>
    <n v="146.49"/>
    <s v="PIL1/D/1079"/>
    <s v="17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61094.22"/>
    <s v="SF"/>
    <s v="PP/PE Fabric"/>
    <s v="PP UL Fabric"/>
    <s v="RM Consumables"/>
    <s v="erp"/>
    <n v="0"/>
    <n v="267490.74"/>
    <n v="874"/>
    <s v="17-07-2026"/>
    <s v="24AAACO3087C1ZT"/>
    <s v="storepil6"/>
    <s v="storepil6"/>
    <n v="9"/>
    <n v="24074.17"/>
    <n v="9"/>
    <n v="24074.17"/>
    <n v="0"/>
    <n v="0"/>
    <n v="0"/>
    <n v="692146608300"/>
    <d v="2026-07-17T00:00:00"/>
    <n v="0"/>
  </r>
  <r>
    <s v="HCP Plastene Bulkpack Ltd (Unit - IV)"/>
    <s v="17-07-2026"/>
    <s v="HPBL4/26-27/SII00925"/>
    <s v="WIP00025"/>
    <x v="1"/>
    <m/>
    <s v="HPBL4/RAW/26-27/385"/>
    <n v="815"/>
    <n v="815"/>
    <s v="Kgs"/>
    <n v="815"/>
    <n v="0"/>
    <n v="815"/>
    <s v="GJ12BT2409"/>
    <s v="Plastene India ltd - Unit 1-Purchase"/>
    <s v="Plastene India ltd - Unit 1-Purchase"/>
    <s v="PIL1/D/1079"/>
    <s v="17-07-2026"/>
    <s v="RAW MATERIAL"/>
    <s v="INDIGENOUS"/>
    <s v="RM 404"/>
    <n v="146.49"/>
    <n v="146.49"/>
    <s v="PIL1/D/1079"/>
    <s v="17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61094.22"/>
    <s v="SF"/>
    <s v="PP/PE Fabric"/>
    <s v="PP Lam Fabric"/>
    <s v="RM Consumables"/>
    <s v="erp"/>
    <n v="0"/>
    <n v="119389.35"/>
    <n v="874"/>
    <s v="17-07-2026"/>
    <s v="24AAACO3087C1ZT"/>
    <s v="storepil6"/>
    <s v="storepil6"/>
    <n v="9"/>
    <n v="10745.04"/>
    <n v="9"/>
    <n v="10745.04"/>
    <n v="0"/>
    <n v="0"/>
    <n v="0"/>
    <n v="692146608300"/>
    <d v="2026-07-17T00:00:00"/>
    <n v="0"/>
  </r>
  <r>
    <s v="HCP Plastene Bulkpack Ltd (Unit - IV)"/>
    <s v="17-07-2026"/>
    <s v="HPBL4/26-27/SII00925"/>
    <s v="WIP00025"/>
    <x v="1"/>
    <m/>
    <s v="HPBL4/RAW/26-27/385"/>
    <n v="335"/>
    <n v="335"/>
    <s v="Kgs"/>
    <n v="335"/>
    <n v="0"/>
    <n v="335"/>
    <s v="GJ12BT2409"/>
    <s v="Plastene India ltd - Unit 1-Purchase"/>
    <s v="Plastene India ltd - Unit 1-Purchase"/>
    <s v="PIL1/D/1079"/>
    <s v="17-07-2026"/>
    <s v="RAW MATERIAL"/>
    <s v="INDIGENOUS"/>
    <s v="RM 404"/>
    <n v="148.49"/>
    <n v="148.49"/>
    <s v="PIL1/D/1079"/>
    <s v="17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61094.22"/>
    <s v="SF"/>
    <s v="PP/PE Fabric"/>
    <s v="PP Lam Fabric"/>
    <s v="RM Consumables"/>
    <s v="erp"/>
    <n v="0"/>
    <n v="49744.15"/>
    <n v="874"/>
    <s v="17-07-2026"/>
    <s v="24AAACO3087C1ZT"/>
    <s v="storepil6"/>
    <s v="storepil6"/>
    <n v="9"/>
    <n v="4476.97"/>
    <n v="9"/>
    <n v="4476.97"/>
    <n v="0"/>
    <n v="0"/>
    <n v="0"/>
    <n v="692146608300"/>
    <d v="2026-07-17T00:00:00"/>
    <n v="0"/>
  </r>
  <r>
    <s v="HCP Plastene Bulkpack Ltd (Unit - IV)"/>
    <s v="17-07-2026"/>
    <s v="HPBL4/26-27/SII00926"/>
    <s v="WIP00023"/>
    <x v="0"/>
    <m/>
    <s v="HPBL4/RAW/26-27/385"/>
    <n v="12"/>
    <n v="12"/>
    <s v="Kgs"/>
    <n v="12"/>
    <n v="0"/>
    <n v="12"/>
    <s v="GJ12BY1595"/>
    <s v="Plastene India ltd - Unit 1-Purchase"/>
    <s v="Plastene India ltd - Unit 1-Purchase"/>
    <s v="PIL1/D/1077"/>
    <s v="16-07-2026"/>
    <s v="RAW MATERIAL"/>
    <s v="INDIGENOUS"/>
    <s v="RM 405"/>
    <n v="146.49"/>
    <n v="146.49"/>
    <s v="PIL1/D/1077"/>
    <s v="16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074.3000000000002"/>
    <s v="SF"/>
    <s v="PP/PE Fabric"/>
    <s v="PP UL Fabric"/>
    <s v="RM Consumables"/>
    <s v="erp"/>
    <n v="0"/>
    <n v="1757.88"/>
    <n v="875"/>
    <s v="17-07-2026"/>
    <s v="24AAACO3087C1ZT"/>
    <s v="storepil6"/>
    <s v="storepil6"/>
    <n v="9"/>
    <n v="158.21"/>
    <n v="9"/>
    <n v="158.21"/>
    <n v="0"/>
    <n v="0"/>
    <n v="2074.3000000000002"/>
    <n v="602146474929"/>
    <d v="2026-07-16T00:00:00"/>
    <n v="0"/>
  </r>
  <r>
    <s v="HCP Plastene Bulkpack Ltd (Unit - IV)"/>
    <s v="17-07-2026"/>
    <s v="HPBL4/26-27/SII00927"/>
    <s v="WIP00013"/>
    <x v="2"/>
    <m/>
    <s v="HPBL4/RAW/26-27/386"/>
    <n v="1307"/>
    <n v="1307"/>
    <s v="Kgs"/>
    <n v="1307"/>
    <n v="0"/>
    <n v="1307"/>
    <s v="GJ12BT2409"/>
    <s v="Plastene India ltd - Unit 1-Purchase"/>
    <s v="Plastene India ltd - Unit 1-Purchase"/>
    <s v="PIL1/D/1085"/>
    <s v="17-07-2026"/>
    <s v="RAW MATERIAL"/>
    <s v="INDIGENOUS"/>
    <s v="RM 406"/>
    <n v="186.78"/>
    <n v="186.77999921522201"/>
    <s v="PIL1/D/1085"/>
    <s v="17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952014.48"/>
    <s v="SF"/>
    <s v="Liners"/>
    <s v="LDPE/LLDPE Bags"/>
    <s v="RM"/>
    <s v="erp"/>
    <n v="0"/>
    <n v="244121.46"/>
    <n v="876"/>
    <s v="17-07-2026"/>
    <s v="24AAACO3087C1ZT"/>
    <s v="storepil6"/>
    <s v="storepil6"/>
    <n v="9"/>
    <n v="21970.93"/>
    <n v="9"/>
    <n v="21970.93"/>
    <n v="0"/>
    <n v="0"/>
    <n v="952014.48"/>
    <n v="692146738749"/>
    <d v="2026-07-17T00:00:00"/>
    <n v="0"/>
  </r>
  <r>
    <s v="HCP Plastene Bulkpack Ltd (Unit - IV)"/>
    <s v="17-07-2026"/>
    <s v="HPBL4/26-27/SII00927"/>
    <s v="WIP00025"/>
    <x v="1"/>
    <m/>
    <s v="HPBL4/RAW/26-27/386"/>
    <n v="700"/>
    <n v="700"/>
    <s v="Kgs"/>
    <n v="700"/>
    <n v="0"/>
    <n v="700"/>
    <s v="GJ12BT2409"/>
    <s v="Plastene India ltd - Unit 1-Purchase"/>
    <s v="Plastene India ltd - Unit 1-Purchase"/>
    <s v="PIL1/D/1085"/>
    <s v="17-07-2026"/>
    <s v="RAW MATERIAL"/>
    <s v="INDIGENOUS"/>
    <s v="RM 406"/>
    <n v="151.49"/>
    <n v="151.48999936349699"/>
    <s v="PIL1/D/1085"/>
    <s v="17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952014.48"/>
    <s v="SF"/>
    <s v="PP/PE Fabric"/>
    <s v="PP Lam Fabric"/>
    <s v="RM"/>
    <s v="erp"/>
    <n v="0"/>
    <n v="106043"/>
    <n v="876"/>
    <s v="17-07-2026"/>
    <s v="24AAACO3087C1ZT"/>
    <s v="storepil6"/>
    <s v="storepil6"/>
    <n v="9"/>
    <n v="9543.8700000000008"/>
    <n v="9"/>
    <n v="9543.8700000000008"/>
    <n v="0"/>
    <n v="0"/>
    <n v="0"/>
    <n v="692146738749"/>
    <d v="2026-07-17T00:00:00"/>
    <n v="0"/>
  </r>
  <r>
    <s v="HCP Plastene Bulkpack Ltd (Unit - IV)"/>
    <s v="17-07-2026"/>
    <s v="HPBL4/26-27/SII00927"/>
    <s v="WIP00023"/>
    <x v="0"/>
    <m/>
    <s v="HPBL4/RAW/26-27/386"/>
    <n v="2119"/>
    <n v="2119"/>
    <s v="Kgs"/>
    <n v="2119"/>
    <n v="0"/>
    <n v="2119"/>
    <s v="GJ12BT2409"/>
    <s v="Plastene India ltd - Unit 1-Purchase"/>
    <s v="Plastene India ltd - Unit 1-Purchase"/>
    <s v="PIL1/D/1085"/>
    <s v="17-07-2026"/>
    <s v="RAW MATERIAL"/>
    <s v="INDIGENOUS"/>
    <s v="RM 406"/>
    <n v="144.49"/>
    <n v="144.489999392908"/>
    <s v="PIL1/D/1085"/>
    <s v="17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952014.48"/>
    <s v="SF"/>
    <s v="PP/PE Fabric"/>
    <s v="PP UL Fabric"/>
    <s v="RM"/>
    <s v="erp"/>
    <n v="0"/>
    <n v="306174.31"/>
    <n v="876"/>
    <s v="17-07-2026"/>
    <s v="24AAACO3087C1ZT"/>
    <s v="storepil6"/>
    <s v="storepil6"/>
    <n v="9"/>
    <n v="27555.69"/>
    <n v="9"/>
    <n v="27555.69"/>
    <n v="0"/>
    <n v="0"/>
    <n v="0"/>
    <n v="692146738749"/>
    <d v="2026-07-17T00:00:00"/>
    <n v="0"/>
  </r>
  <r>
    <s v="HCP Plastene Bulkpack Ltd (Unit - IV)"/>
    <s v="17-07-2026"/>
    <s v="HPBL4/26-27/SII00927"/>
    <s v="WIP00032"/>
    <x v="3"/>
    <m/>
    <s v="HPBL4/RAW/26-27/386"/>
    <n v="306.8"/>
    <n v="306.8"/>
    <s v="Kgs"/>
    <n v="306.8"/>
    <n v="0"/>
    <n v="306.8"/>
    <s v="GJ12BT2409"/>
    <s v="Plastene India ltd - Unit 1-Purchase"/>
    <s v="Plastene India ltd - Unit 1-Purchase"/>
    <s v="PIL1/D/1085"/>
    <s v="17-07-2026"/>
    <s v="RAW MATERIAL"/>
    <s v="INDIGENOUS"/>
    <s v="RM 406"/>
    <n v="146.49"/>
    <n v="146.48999938450501"/>
    <s v="PIL1/D/1085"/>
    <s v="17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952014.48"/>
    <s v="SF"/>
    <s v="Webbing"/>
    <s v="PP Webbing"/>
    <s v="RM"/>
    <s v="erp"/>
    <n v="0"/>
    <n v="44943.13"/>
    <n v="876"/>
    <s v="17-07-2026"/>
    <s v="24AAACO3087C1ZT"/>
    <s v="storepil6"/>
    <s v="storepil6"/>
    <n v="9"/>
    <n v="4044.88"/>
    <n v="9"/>
    <n v="4044.88"/>
    <n v="0"/>
    <n v="0"/>
    <n v="0"/>
    <n v="692146738749"/>
    <d v="2026-07-17T00:00:00"/>
    <n v="0"/>
  </r>
  <r>
    <s v="HCP Plastene Bulkpack Ltd (Unit - IV)"/>
    <s v="17-07-2026"/>
    <s v="HPBL4/26-27/SII00927"/>
    <s v="WIP00032"/>
    <x v="3"/>
    <m/>
    <s v="HPBL4/RAW/26-27/386"/>
    <n v="705.8"/>
    <n v="705.8"/>
    <s v="Kgs"/>
    <n v="705.8"/>
    <n v="0"/>
    <n v="705.8"/>
    <s v="GJ12BT2409"/>
    <s v="Plastene India ltd - Unit 1-Purchase"/>
    <s v="Plastene India ltd - Unit 1-Purchase"/>
    <s v="PIL1/D/1085"/>
    <s v="17-07-2026"/>
    <s v="RAW MATERIAL"/>
    <s v="INDIGENOUS"/>
    <s v="RM 406"/>
    <n v="149.49"/>
    <n v="149.48999937190001"/>
    <s v="PIL1/D/1085"/>
    <s v="17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952014.48"/>
    <s v="SF"/>
    <s v="Webbing"/>
    <s v="PP Webbing"/>
    <s v="RM"/>
    <s v="erp"/>
    <n v="0"/>
    <n v="105510.04"/>
    <n v="876"/>
    <s v="17-07-2026"/>
    <s v="24AAACO3087C1ZT"/>
    <s v="storepil6"/>
    <s v="storepil6"/>
    <n v="9"/>
    <n v="9495.9"/>
    <n v="9"/>
    <n v="9495.9"/>
    <n v="0"/>
    <n v="0"/>
    <n v="0"/>
    <n v="692146738749"/>
    <d v="2026-07-17T00:00:00"/>
    <n v="0"/>
  </r>
  <r>
    <s v="HCP Plastene Bulkpack Ltd (Unit - IV)"/>
    <s v="18-07-2026"/>
    <s v="HPBL4/26-27/SII00935"/>
    <s v="SMF00256"/>
    <x v="15"/>
    <s v="HPBL4/26-27/RWM00001/01"/>
    <s v="HPBL4/RAW/26-27/360"/>
    <n v="2000"/>
    <n v="2000"/>
    <s v="Yard"/>
    <n v="2000"/>
    <n v="0"/>
    <n v="2000"/>
    <s v="GJ24V1087"/>
    <s v="M B And Sons- Supplier"/>
    <s v="M B And Sons- Supplier"/>
    <n v="441"/>
    <s v="15-07-2026"/>
    <s v="RAW MATERIAL"/>
    <s v="INDIGENOUS"/>
    <s v="RM 407"/>
    <n v="34.5"/>
    <n v="35.5"/>
    <n v="441"/>
    <s v="15-07-2026"/>
    <m/>
    <s v="."/>
    <m/>
    <s v="HARISH TRANSPORT CO"/>
    <s v="4/10935"/>
    <n v="0"/>
    <n v="0"/>
    <n v="0"/>
    <n v="0"/>
    <n v="0"/>
    <s v="VAT"/>
    <n v="0"/>
    <n v="0"/>
    <n v="0"/>
    <n v="2000"/>
    <n v="0"/>
    <s v="GST 5%"/>
    <n v="100"/>
    <n v="0"/>
    <n v="74550"/>
    <s v="SF"/>
    <s v="Jute Fabric"/>
    <m/>
    <s v="RM"/>
    <s v="mani"/>
    <n v="0"/>
    <n v="71000"/>
    <n v="880"/>
    <s v="18-07-2026"/>
    <s v="24AZSPS3924Q1ZE"/>
    <s v="storepil6"/>
    <s v="rmp2"/>
    <n v="2.5"/>
    <n v="1725"/>
    <n v="2.5"/>
    <n v="1725"/>
    <n v="0"/>
    <n v="0"/>
    <n v="74550"/>
    <n v="632145595923"/>
    <d v="2026-07-15T00:00:00"/>
    <n v="0"/>
  </r>
  <r>
    <s v="HCP Plastene Bulkpack Ltd (Unit - IV)"/>
    <s v="18-07-2026"/>
    <s v="HPBL4/26-27/SII00937"/>
    <s v="WIP00023"/>
    <x v="0"/>
    <m/>
    <s v="HPBL4/RAW/26-27/387"/>
    <n v="6039"/>
    <n v="6039"/>
    <s v="Kgs"/>
    <n v="6039"/>
    <n v="0"/>
    <n v="6039"/>
    <s v="GJ12BT2409"/>
    <s v="Plastene India ltd - Unit 1-Purchase"/>
    <s v="Plastene India ltd - Unit 1-Purchase"/>
    <s v="PIL1/D/1098"/>
    <s v="18-07-2026"/>
    <s v="RAW MATERIAL"/>
    <s v="INDIGENOUS"/>
    <s v="RM 408"/>
    <n v="144.49"/>
    <n v="144.49"/>
    <s v="PIL1/D/1098"/>
    <s v="18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74913.77"/>
    <s v="SF"/>
    <s v="PP/PE Fabric"/>
    <s v="PP UL Fabric"/>
    <s v="RM"/>
    <s v="erp"/>
    <n v="0"/>
    <n v="872575.11"/>
    <n v="890"/>
    <s v="18-07-2026"/>
    <s v="24AAACO3087C1ZT"/>
    <s v="storepil6"/>
    <s v="storepil6"/>
    <n v="9"/>
    <n v="78531.759999999995"/>
    <n v="9"/>
    <n v="78531.759999999995"/>
    <n v="0"/>
    <n v="0"/>
    <n v="1374913.77"/>
    <n v="692147266661"/>
    <d v="2026-07-18T00:00:00"/>
    <n v="0"/>
  </r>
  <r>
    <s v="HCP Plastene Bulkpack Ltd (Unit - IV)"/>
    <s v="18-07-2026"/>
    <s v="HPBL4/26-27/SII00937"/>
    <s v="WIP00023"/>
    <x v="0"/>
    <m/>
    <s v="HPBL4/RAW/26-27/387"/>
    <n v="505"/>
    <n v="505"/>
    <s v="Kgs"/>
    <n v="505"/>
    <n v="0"/>
    <n v="505"/>
    <s v="GJ12BT2409"/>
    <s v="Plastene India ltd - Unit 1-Purchase"/>
    <s v="Plastene India ltd - Unit 1-Purchase"/>
    <s v="PIL1/D/1098"/>
    <s v="18-07-2026"/>
    <s v="RAW MATERIAL"/>
    <s v="INDIGENOUS"/>
    <s v="RM 408"/>
    <n v="147.49"/>
    <n v="147.49"/>
    <s v="PIL1/D/1098"/>
    <s v="18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74913.77"/>
    <s v="SF"/>
    <s v="PP/PE Fabric"/>
    <s v="PP UL Fabric"/>
    <s v="RM"/>
    <s v="erp"/>
    <n v="0"/>
    <n v="74482.45"/>
    <n v="890"/>
    <s v="18-07-2026"/>
    <s v="24AAACO3087C1ZT"/>
    <s v="storepil6"/>
    <s v="storepil6"/>
    <n v="9"/>
    <n v="6703.42"/>
    <n v="9"/>
    <n v="6703.42"/>
    <n v="0"/>
    <n v="0"/>
    <n v="0"/>
    <n v="692147266661"/>
    <d v="2026-07-18T00:00:00"/>
    <n v="0"/>
  </r>
  <r>
    <s v="HCP Plastene Bulkpack Ltd (Unit - IV)"/>
    <s v="18-07-2026"/>
    <s v="HPBL4/26-27/SII00937"/>
    <s v="WIP00023"/>
    <x v="0"/>
    <m/>
    <s v="HPBL4/RAW/26-27/387"/>
    <n v="1489"/>
    <n v="1489"/>
    <s v="Kgs"/>
    <n v="1489"/>
    <n v="0"/>
    <n v="1489"/>
    <s v="GJ12BT2409"/>
    <s v="Plastene India ltd - Unit 1-Purchase"/>
    <s v="Plastene India ltd - Unit 1-Purchase"/>
    <s v="PIL1/D/1098"/>
    <s v="18-07-2026"/>
    <s v="RAW MATERIAL"/>
    <s v="INDIGENOUS"/>
    <s v="RM 408"/>
    <n v="146.49"/>
    <n v="146.49"/>
    <s v="PIL1/D/1098"/>
    <s v="18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74913.77"/>
    <s v="SF"/>
    <s v="PP/PE Fabric"/>
    <s v="PP UL Fabric"/>
    <s v="RM"/>
    <s v="erp"/>
    <n v="0"/>
    <n v="218123.61"/>
    <n v="890"/>
    <s v="18-07-2026"/>
    <s v="24AAACO3087C1ZT"/>
    <s v="storepil6"/>
    <s v="storepil6"/>
    <n v="9"/>
    <n v="19631.12"/>
    <n v="9"/>
    <n v="19631.12"/>
    <n v="0"/>
    <n v="0"/>
    <n v="0"/>
    <n v="692147266661"/>
    <d v="2026-07-18T00:00:00"/>
    <n v="0"/>
  </r>
  <r>
    <s v="HCP Plastene Bulkpack Ltd (Unit - IV)"/>
    <s v="18-07-2026"/>
    <s v="HPBL4/26-27/SII00938"/>
    <s v="WIP00023"/>
    <x v="0"/>
    <m/>
    <s v="HPBL4/RAW/26-27/387"/>
    <n v="424"/>
    <n v="424"/>
    <s v="Kgs"/>
    <n v="424"/>
    <n v="0"/>
    <n v="424"/>
    <s v="GJ35T2925"/>
    <s v="Plastene India ltd - Unit 1-Purchase"/>
    <s v="Plastene India ltd - Unit 1-Purchase"/>
    <s v="PIL1/D/1105"/>
    <s v="18-07-2026"/>
    <s v="RAW MATERIAL"/>
    <s v="INDIGENOUS"/>
    <s v="RM 409"/>
    <n v="144.49"/>
    <n v="144.49"/>
    <s v="PIL1/D/1105"/>
    <s v="18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71815.18"/>
    <s v="SF"/>
    <s v="PP/PE Fabric"/>
    <s v="PP UL Fabric"/>
    <s v="RM"/>
    <s v="erp"/>
    <n v="0"/>
    <n v="61263.76"/>
    <n v="906"/>
    <s v="18-07-2026"/>
    <s v="24AAACO3087C1ZT"/>
    <s v="storepil6"/>
    <s v="storepil6"/>
    <n v="9"/>
    <n v="5513.74"/>
    <n v="9"/>
    <n v="5513.74"/>
    <n v="0"/>
    <n v="0"/>
    <n v="171815.18"/>
    <n v="632147750195"/>
    <d v="2026-07-18T00:00:00"/>
    <n v="0"/>
  </r>
  <r>
    <s v="HCP Plastene Bulkpack Ltd (Unit - IV)"/>
    <s v="18-07-2026"/>
    <s v="HPBL4/26-27/SII00938"/>
    <s v="WIP00025"/>
    <x v="1"/>
    <m/>
    <s v="HPBL4/RAW/26-27/387"/>
    <n v="568"/>
    <n v="568"/>
    <s v="Kgs"/>
    <n v="568"/>
    <n v="0"/>
    <n v="568"/>
    <s v="GJ35T2925"/>
    <s v="Plastene India ltd - Unit 1-Purchase"/>
    <s v="Plastene India ltd - Unit 1-Purchase"/>
    <s v="PIL1/D/1105"/>
    <s v="18-07-2026"/>
    <s v="RAW MATERIAL"/>
    <s v="INDIGENOUS"/>
    <s v="RM 409"/>
    <n v="148.49"/>
    <n v="148.49"/>
    <s v="PIL1/D/1105"/>
    <s v="18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71815.18"/>
    <s v="SF"/>
    <s v="PP/PE Fabric"/>
    <s v="PP Lam Fabric"/>
    <s v="RM"/>
    <s v="erp"/>
    <n v="0"/>
    <n v="84342.32"/>
    <n v="906"/>
    <s v="18-07-2026"/>
    <s v="24AAACO3087C1ZT"/>
    <s v="storepil6"/>
    <s v="storepil6"/>
    <n v="9"/>
    <n v="7590.81"/>
    <n v="9"/>
    <n v="7590.81"/>
    <n v="0"/>
    <n v="0"/>
    <n v="0"/>
    <n v="632147750195"/>
    <d v="2026-07-18T00:00:00"/>
    <n v="0"/>
  </r>
  <r>
    <s v="HCP Plastene Bulkpack Ltd (Unit - IV)"/>
    <s v="18-07-2026"/>
    <s v="HPBL4/26-27/SII00939"/>
    <s v="WIP00025"/>
    <x v="1"/>
    <m/>
    <s v="HPBL4/RAW/26-27/387"/>
    <n v="659"/>
    <n v="659"/>
    <s v="Kgs"/>
    <n v="659"/>
    <n v="0"/>
    <n v="659"/>
    <s v="GJ35T2925"/>
    <s v="Plastene India ltd - Unit 1-Purchase"/>
    <s v="Plastene India ltd - Unit 1-Purchase"/>
    <s v="PIL1/D/1107"/>
    <s v="18-07-2026"/>
    <s v="RAW MATERIAL"/>
    <s v="INDIGENOUS"/>
    <s v="RM 410"/>
    <n v="148.49"/>
    <n v="148.49"/>
    <s v="PIL1/D/1107"/>
    <s v="18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15468.79"/>
    <s v="SF"/>
    <s v="PP/PE Fabric"/>
    <s v="PP Lam Fabric"/>
    <s v="RM"/>
    <s v="erp"/>
    <n v="0"/>
    <n v="97854.91"/>
    <n v="906"/>
    <s v="18-07-2026"/>
    <s v="24AAACO3087C1ZT"/>
    <s v="storepil6"/>
    <s v="storepil6"/>
    <n v="9"/>
    <n v="8806.94"/>
    <n v="9"/>
    <n v="8806.94"/>
    <n v="0"/>
    <n v="0"/>
    <n v="115468.79"/>
    <n v="602147766362"/>
    <d v="2026-07-18T00:00:00"/>
    <n v="0"/>
  </r>
  <r>
    <s v="HCP Plastene Bulkpack Ltd (Unit - IV)"/>
    <s v="18-07-2026"/>
    <s v="HPBL4/26-27/SII00940"/>
    <s v="WIP00025"/>
    <x v="1"/>
    <m/>
    <s v="HPBL4/RAW/26-27/387"/>
    <n v="424"/>
    <n v="424"/>
    <s v="Kgs"/>
    <n v="424"/>
    <n v="0"/>
    <n v="424"/>
    <s v="GJ12BY0479/GJ12BU0544"/>
    <s v="Plastene India ltd - Unit 1-Purchase"/>
    <s v="Plastene India ltd - Unit 1-Purchase"/>
    <s v="PIL1/D/1096"/>
    <s v="18-07-2026"/>
    <s v="RAW MATERIAL"/>
    <s v="INDIGENOUS"/>
    <s v="RM 411"/>
    <n v="148.49"/>
    <n v="148.49"/>
    <s v="PIL1/D/1096"/>
    <s v="18-07-2026"/>
    <m/>
    <s v="."/>
    <m/>
    <s v=".."/>
    <s v="."/>
    <n v="0"/>
    <n v="0"/>
    <n v="0"/>
    <n v="0"/>
    <n v="0"/>
    <s v="VAT"/>
    <n v="0"/>
    <n v="0"/>
    <n v="0"/>
    <n v="0"/>
    <n v="0"/>
    <m/>
    <n v="0"/>
    <n v="0"/>
    <n v="457346.3"/>
    <s v="SF"/>
    <s v="PP/PE Fabric"/>
    <s v="PP Lam Fabric"/>
    <s v="RM"/>
    <s v="erp"/>
    <n v="0"/>
    <n v="62959.76"/>
    <n v="891"/>
    <s v="18-07-2026"/>
    <s v="24AAACO3087C1ZT"/>
    <s v="storepil6"/>
    <s v="storepil6"/>
    <n v="9"/>
    <n v="5666.38"/>
    <n v="9"/>
    <n v="5666.38"/>
    <n v="0"/>
    <n v="0"/>
    <n v="457346.3"/>
    <n v="692147252800"/>
    <d v="2026-07-18T00:00:00"/>
    <n v="0"/>
  </r>
  <r>
    <s v="HCP Plastene Bulkpack Ltd (Unit - IV)"/>
    <s v="18-07-2026"/>
    <s v="HPBL4/26-27/SII00940"/>
    <s v="WIP00023"/>
    <x v="0"/>
    <m/>
    <s v="HPBL4/RAW/26-27/387"/>
    <n v="2216"/>
    <n v="2216"/>
    <s v="Kgs"/>
    <n v="2216"/>
    <n v="0"/>
    <n v="2216"/>
    <s v="GJ12BY0479/GJ12BU0544"/>
    <s v="Plastene India ltd - Unit 1-Purchase"/>
    <s v="Plastene India ltd - Unit 1-Purchase"/>
    <s v="PIL1/D/1096"/>
    <s v="18-07-2026"/>
    <s v="RAW MATERIAL"/>
    <s v="INDIGENOUS"/>
    <s v="RM 411"/>
    <n v="146.49"/>
    <n v="146.49"/>
    <s v="PIL1/D/1096"/>
    <s v="18-07-2026"/>
    <m/>
    <s v="."/>
    <m/>
    <s v=".."/>
    <s v="."/>
    <n v="0"/>
    <n v="0"/>
    <n v="0"/>
    <n v="0"/>
    <n v="0"/>
    <s v="VAT"/>
    <n v="0"/>
    <n v="0"/>
    <n v="0"/>
    <n v="0"/>
    <n v="0"/>
    <m/>
    <n v="0"/>
    <n v="0"/>
    <n v="457346.3"/>
    <s v="SF"/>
    <s v="PP/PE Fabric"/>
    <s v="PP UL Fabric"/>
    <s v="RM"/>
    <s v="erp"/>
    <n v="0"/>
    <n v="324621.84000000003"/>
    <n v="891"/>
    <s v="18-07-2026"/>
    <s v="24AAACO3087C1ZT"/>
    <s v="storepil6"/>
    <s v="storepil6"/>
    <n v="9"/>
    <n v="29215.97"/>
    <n v="9"/>
    <n v="29215.97"/>
    <n v="0"/>
    <n v="0"/>
    <n v="0"/>
    <n v="692147252800"/>
    <d v="2026-07-18T00:00:00"/>
    <n v="0"/>
  </r>
  <r>
    <s v="HCP Plastene Bulkpack Ltd (Unit - IV)"/>
    <s v="18-07-2026"/>
    <s v="HPBL4/26-27/SII00942"/>
    <s v="WIP00013"/>
    <x v="2"/>
    <m/>
    <s v="HPBL4/RAW/26-27/388"/>
    <n v="372"/>
    <n v="372"/>
    <s v="Kgs"/>
    <n v="372"/>
    <n v="0"/>
    <n v="372"/>
    <s v="GJ12BT2409"/>
    <s v="Plastene India ltd - Unit 1-Purchase"/>
    <s v="Plastene India ltd - Unit 1-Purchase"/>
    <s v="PIL1/D/1101"/>
    <s v="18-07-2026"/>
    <s v="RAW MATERIAL"/>
    <s v="INDIGENOUS"/>
    <s v="RM 412"/>
    <n v="190.78"/>
    <n v="190.77999891921701"/>
    <s v="PIL1/D/1101"/>
    <s v="18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059121.3500000001"/>
    <s v="SF"/>
    <s v="Liners"/>
    <s v="LDPE/LLDPE Bags"/>
    <s v="RM"/>
    <s v="erp"/>
    <n v="0"/>
    <n v="70970.16"/>
    <n v="902"/>
    <s v="18-07-2026"/>
    <s v="24AAACO3087C1ZT"/>
    <s v="storepil6"/>
    <s v="storepil6"/>
    <n v="9"/>
    <n v="6387.31"/>
    <n v="9"/>
    <n v="6387.31"/>
    <n v="0"/>
    <n v="0"/>
    <n v="1059121.3500000001"/>
    <n v="622147484147"/>
    <d v="2026-07-18T00:00:00"/>
    <n v="0"/>
  </r>
  <r>
    <s v="HCP Plastene Bulkpack Ltd (Unit - IV)"/>
    <s v="18-07-2026"/>
    <s v="HPBL4/26-27/SII00942"/>
    <s v="WIP00013"/>
    <x v="2"/>
    <m/>
    <s v="HPBL4/RAW/26-27/388"/>
    <n v="1415"/>
    <n v="1415"/>
    <s v="Kgs"/>
    <n v="1415"/>
    <n v="0"/>
    <n v="1415"/>
    <s v="GJ12BT2409"/>
    <s v="Plastene India ltd - Unit 1-Purchase"/>
    <s v="Plastene India ltd - Unit 1-Purchase"/>
    <s v="PIL1/D/1101"/>
    <s v="18-07-2026"/>
    <s v="RAW MATERIAL"/>
    <s v="INDIGENOUS"/>
    <s v="RM 412"/>
    <n v="186.78"/>
    <n v="186.77999894187801"/>
    <s v="PIL1/D/1101"/>
    <s v="18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059121.3500000001"/>
    <s v="SF"/>
    <s v="Liners"/>
    <s v="LDPE/LLDPE Bags"/>
    <s v="RM"/>
    <s v="erp"/>
    <n v="0"/>
    <n v="264293.7"/>
    <n v="902"/>
    <s v="18-07-2026"/>
    <s v="24AAACO3087C1ZT"/>
    <s v="storepil6"/>
    <s v="storepil6"/>
    <n v="9"/>
    <n v="23786.43"/>
    <n v="9"/>
    <n v="23786.43"/>
    <n v="0"/>
    <n v="0"/>
    <n v="0"/>
    <n v="622147484147"/>
    <d v="2026-07-18T00:00:00"/>
    <n v="0"/>
  </r>
  <r>
    <s v="HCP Plastene Bulkpack Ltd (Unit - IV)"/>
    <s v="18-07-2026"/>
    <s v="HPBL4/26-27/SII00942"/>
    <s v="WIP00023"/>
    <x v="0"/>
    <m/>
    <s v="HPBL4/RAW/26-27/388"/>
    <n v="1869"/>
    <n v="1869"/>
    <s v="Kgs"/>
    <n v="1869"/>
    <n v="0"/>
    <n v="1869"/>
    <s v="GJ12BT2409"/>
    <s v="Plastene India ltd - Unit 1-Purchase"/>
    <s v="Plastene India ltd - Unit 1-Purchase"/>
    <s v="PIL1/D/1101"/>
    <s v="18-07-2026"/>
    <s v="RAW MATERIAL"/>
    <s v="INDIGENOUS"/>
    <s v="RM 412"/>
    <n v="144.49"/>
    <n v="144.48999918145401"/>
    <s v="PIL1/D/1101"/>
    <s v="18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059121.3500000001"/>
    <s v="SF"/>
    <s v="PP/PE Fabric"/>
    <s v="PP UL Fabric"/>
    <s v="RM"/>
    <s v="erp"/>
    <n v="0"/>
    <n v="270051.81"/>
    <n v="902"/>
    <s v="18-07-2026"/>
    <s v="24AAACO3087C1ZT"/>
    <s v="storepil6"/>
    <s v="storepil6"/>
    <n v="9"/>
    <n v="24304.66"/>
    <n v="9"/>
    <n v="24304.66"/>
    <n v="0"/>
    <n v="0"/>
    <n v="0"/>
    <n v="622147484147"/>
    <d v="2026-07-18T00:00:00"/>
    <n v="0"/>
  </r>
  <r>
    <s v="HCP Plastene Bulkpack Ltd (Unit - IV)"/>
    <s v="18-07-2026"/>
    <s v="HPBL4/26-27/SII00942"/>
    <s v="WIP00032"/>
    <x v="3"/>
    <m/>
    <s v="HPBL4/RAW/26-27/388"/>
    <n v="425.6"/>
    <n v="425.6"/>
    <s v="Kgs"/>
    <n v="425.6"/>
    <n v="0"/>
    <n v="425.6"/>
    <s v="GJ12BT2409"/>
    <s v="Plastene India ltd - Unit 1-Purchase"/>
    <s v="Plastene India ltd - Unit 1-Purchase"/>
    <s v="PIL1/D/1101"/>
    <s v="18-07-2026"/>
    <s v="RAW MATERIAL"/>
    <s v="INDIGENOUS"/>
    <s v="RM 412"/>
    <n v="146.49"/>
    <n v="146.48999917012301"/>
    <s v="PIL1/D/1101"/>
    <s v="18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059121.3500000001"/>
    <s v="SF"/>
    <s v="Webbing"/>
    <s v="PP Webbing"/>
    <s v="RM"/>
    <s v="erp"/>
    <n v="0"/>
    <n v="62346.14"/>
    <n v="902"/>
    <s v="18-07-2026"/>
    <s v="24AAACO3087C1ZT"/>
    <s v="storepil6"/>
    <s v="storepil6"/>
    <n v="9"/>
    <n v="5611.15"/>
    <n v="9"/>
    <n v="5611.15"/>
    <n v="0"/>
    <n v="0"/>
    <n v="0"/>
    <n v="622147484147"/>
    <d v="2026-07-18T00:00:00"/>
    <n v="0"/>
  </r>
  <r>
    <s v="HCP Plastene Bulkpack Ltd (Unit - IV)"/>
    <s v="18-07-2026"/>
    <s v="HPBL4/26-27/SII00942"/>
    <s v="WIP00032"/>
    <x v="3"/>
    <m/>
    <s v="HPBL4/RAW/26-27/388"/>
    <n v="71"/>
    <n v="71"/>
    <s v="Kgs"/>
    <n v="71"/>
    <n v="0"/>
    <n v="71"/>
    <s v="GJ12BT2409"/>
    <s v="Plastene India ltd - Unit 1-Purchase"/>
    <s v="Plastene India ltd - Unit 1-Purchase"/>
    <s v="PIL1/D/1101"/>
    <s v="18-07-2026"/>
    <s v="RAW MATERIAL"/>
    <s v="INDIGENOUS"/>
    <s v="RM 412"/>
    <n v="170.49"/>
    <n v="170.489999034162"/>
    <s v="PIL1/D/1101"/>
    <s v="18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059121.3500000001"/>
    <s v="SF"/>
    <s v="Webbing"/>
    <s v="PP Webbing"/>
    <s v="RM"/>
    <s v="erp"/>
    <n v="0"/>
    <n v="12104.79"/>
    <n v="902"/>
    <s v="18-07-2026"/>
    <s v="24AAACO3087C1ZT"/>
    <s v="storepil6"/>
    <s v="storepil6"/>
    <n v="9"/>
    <n v="1089.43"/>
    <n v="9"/>
    <n v="1089.43"/>
    <n v="0"/>
    <n v="0"/>
    <n v="0"/>
    <n v="622147484147"/>
    <d v="2026-07-18T00:00:00"/>
    <n v="0"/>
  </r>
  <r>
    <s v="HCP Plastene Bulkpack Ltd (Unit - IV)"/>
    <s v="18-07-2026"/>
    <s v="HPBL4/26-27/SII00942"/>
    <s v="WIP00032"/>
    <x v="3"/>
    <m/>
    <s v="HPBL4/RAW/26-27/388"/>
    <n v="430.7"/>
    <n v="430.7"/>
    <s v="Kgs"/>
    <n v="430.7"/>
    <n v="0"/>
    <n v="430.7"/>
    <s v="GJ12BT2409"/>
    <s v="Plastene India ltd - Unit 1-Purchase"/>
    <s v="Plastene India ltd - Unit 1-Purchase"/>
    <s v="PIL1/D/1101"/>
    <s v="18-07-2026"/>
    <s v="RAW MATERIAL"/>
    <s v="INDIGENOUS"/>
    <s v="RM 412"/>
    <n v="149.49"/>
    <n v="149.489999153128"/>
    <s v="PIL1/D/1101"/>
    <s v="18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059121.3500000001"/>
    <s v="SF"/>
    <s v="Webbing"/>
    <s v="PP Webbing"/>
    <s v="RM"/>
    <s v="erp"/>
    <n v="0"/>
    <n v="64385.34"/>
    <n v="902"/>
    <s v="18-07-2026"/>
    <s v="24AAACO3087C1ZT"/>
    <s v="storepil6"/>
    <s v="storepil6"/>
    <n v="9"/>
    <n v="5794.68"/>
    <n v="9"/>
    <n v="5794.68"/>
    <n v="0"/>
    <n v="0"/>
    <n v="0"/>
    <n v="622147484147"/>
    <d v="2026-07-18T00:00:00"/>
    <n v="0"/>
  </r>
  <r>
    <s v="HCP Plastene Bulkpack Ltd (Unit - IV)"/>
    <s v="18-07-2026"/>
    <s v="HPBL4/26-27/SII00942"/>
    <s v="WIP00193"/>
    <x v="16"/>
    <m/>
    <s v="HPBL4/RAW/26-27/388"/>
    <n v="291.10000000000002"/>
    <n v="291.10000000000002"/>
    <s v="Kgs"/>
    <n v="291.10000000000002"/>
    <n v="0"/>
    <n v="291.10000000000002"/>
    <s v="GJ12BT2409"/>
    <s v="Plastene India ltd - Unit 1-Purchase"/>
    <s v="Plastene India ltd - Unit 1-Purchase"/>
    <s v="PIL1/D/1101"/>
    <s v="18-07-2026"/>
    <s v="RAW MATERIAL"/>
    <s v="INDIGENOUS"/>
    <s v="RM 412"/>
    <n v="159.49"/>
    <n v="159.48999909647799"/>
    <s v="PIL1/D/1101"/>
    <s v="18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059121.3500000001"/>
    <s v="SF"/>
    <s v="Yarn All"/>
    <s v="PP Yarn"/>
    <s v="RM"/>
    <m/>
    <n v="0"/>
    <n v="46427.54"/>
    <n v="902"/>
    <s v="18-07-2026"/>
    <s v="24AAACO3087C1ZT"/>
    <s v="storepil6"/>
    <s v="storepil6"/>
    <n v="2.5"/>
    <n v="1160.69"/>
    <n v="2.5"/>
    <n v="1160.69"/>
    <n v="0"/>
    <n v="0"/>
    <n v="0"/>
    <n v="622147484147"/>
    <d v="2026-07-18T00:00:00"/>
    <n v="0"/>
  </r>
  <r>
    <s v="HCP Plastene Bulkpack Ltd (Unit - IV)"/>
    <s v="18-07-2026"/>
    <s v="HPBL4/26-27/SII00942"/>
    <s v="WIP00191"/>
    <x v="10"/>
    <m/>
    <s v="HPBL4/RAW/26-27/388"/>
    <n v="805"/>
    <n v="805"/>
    <s v="Kgs"/>
    <n v="805"/>
    <n v="0"/>
    <n v="805"/>
    <s v="GJ12BT2409"/>
    <s v="Plastene India ltd - Unit 1-Purchase"/>
    <s v="Plastene India ltd - Unit 1-Purchase"/>
    <s v="PIL1/D/1101"/>
    <s v="18-07-2026"/>
    <s v="RAW MATERIAL"/>
    <s v="INDIGENOUS"/>
    <s v="RM 412"/>
    <n v="156.49"/>
    <n v="156.489999113473"/>
    <s v="PIL1/D/1101"/>
    <s v="18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059121.3500000001"/>
    <s v="SF"/>
    <s v="Yarn All"/>
    <s v="PP Yarn"/>
    <s v="RM"/>
    <m/>
    <n v="0"/>
    <n v="125974.45"/>
    <n v="902"/>
    <s v="18-07-2026"/>
    <s v="24AAACO3087C1ZT"/>
    <s v="storepil6"/>
    <s v="storepil6"/>
    <n v="2.5"/>
    <n v="3149.36"/>
    <n v="2.5"/>
    <n v="3149.36"/>
    <n v="0"/>
    <n v="0"/>
    <n v="0"/>
    <n v="622147484147"/>
    <d v="2026-07-18T00:00:00"/>
    <n v="0"/>
  </r>
  <r>
    <s v="HCP Plastene Bulkpack Ltd (Unit - IV)"/>
    <s v="19-07-2026"/>
    <s v="HPBL4/26-27/SII00944"/>
    <s v="WIP00004"/>
    <x v="13"/>
    <m/>
    <s v="HPBL4/RAW/26-27/389"/>
    <n v="1359"/>
    <n v="1359"/>
    <s v="Kgs"/>
    <n v="1359"/>
    <n v="0"/>
    <n v="1359"/>
    <s v="GJ24X8795"/>
    <s v="Plastene India ltd - Unit 2-Purchase"/>
    <s v="Plastene India ltd - Unit 2-Purchase"/>
    <s v="PIL2/D/390"/>
    <s v="18-07-2026"/>
    <s v="RAW MATERIAL"/>
    <s v="INDIGENOUS"/>
    <s v="RM 413"/>
    <n v="193.74"/>
    <n v="193.73999818136701"/>
    <s v="PIL2/D/390"/>
    <s v="18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065305.8"/>
    <s v="FG"/>
    <s v="FIBC Bags"/>
    <s v="FIBC Bags"/>
    <s v="FG"/>
    <s v="erp"/>
    <n v="0"/>
    <n v="263292.65999999997"/>
    <n v="907"/>
    <s v="19-07-2026"/>
    <s v="24AAACO3087C1ZT"/>
    <s v="storepil6"/>
    <s v="storepil6"/>
    <n v="9"/>
    <n v="23696.34"/>
    <n v="9"/>
    <n v="23696.34"/>
    <n v="0"/>
    <n v="0"/>
    <n v="1065305.8"/>
    <n v="632147583645"/>
    <d v="2026-07-18T00:00:00"/>
    <n v="0"/>
  </r>
  <r>
    <s v="HCP Plastene Bulkpack Ltd (Unit - IV)"/>
    <s v="19-07-2026"/>
    <s v="HPBL4/26-27/SII00944"/>
    <s v="WIP00004"/>
    <x v="13"/>
    <m/>
    <s v="HPBL4/RAW/26-27/389"/>
    <n v="4147"/>
    <n v="4147"/>
    <s v="Kgs"/>
    <n v="4147"/>
    <n v="0"/>
    <n v="4147"/>
    <s v="GJ24X8795"/>
    <s v="Plastene India ltd - Unit 2-Purchase"/>
    <s v="Plastene India ltd - Unit 2-Purchase"/>
    <s v="PIL2/D/390"/>
    <s v="18-07-2026"/>
    <s v="RAW MATERIAL"/>
    <s v="INDIGENOUS"/>
    <s v="RM 413"/>
    <n v="154.21"/>
    <n v="154.209998552434"/>
    <s v="PIL2/D/390"/>
    <s v="18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065305.8"/>
    <s v="FG"/>
    <s v="FIBC Bags"/>
    <s v="FIBC Bags"/>
    <s v="FG"/>
    <s v="erp"/>
    <n v="0"/>
    <n v="639508.86"/>
    <n v="907"/>
    <s v="19-07-2026"/>
    <s v="24AAACO3087C1ZT"/>
    <s v="storepil6"/>
    <s v="storepil6"/>
    <n v="9"/>
    <n v="57555.8"/>
    <n v="9"/>
    <n v="57555.8"/>
    <n v="0"/>
    <n v="0"/>
    <n v="0"/>
    <n v="632147583645"/>
    <d v="2026-07-18T00:00:00"/>
    <n v="0"/>
  </r>
  <r>
    <s v="HCP Plastene Bulkpack Ltd (Unit - IV)"/>
    <s v="19-07-2026"/>
    <s v="HPBL4/26-27/SII00947"/>
    <s v="WIP00013"/>
    <x v="2"/>
    <m/>
    <s v="HPBL4/RAW/26-27/390"/>
    <n v="1871"/>
    <n v="1871"/>
    <s v="Kgs"/>
    <n v="1871"/>
    <n v="0"/>
    <n v="1871"/>
    <s v="GJ12BT2409"/>
    <s v="Plastene India ltd - Unit 1-Purchase"/>
    <s v="Plastene India ltd - Unit 1-Purchase"/>
    <s v="PIL1/D/1113"/>
    <s v="19-07-2026"/>
    <s v="RAW MATERIAL"/>
    <s v="INDIGENOUS"/>
    <s v="RM 414"/>
    <n v="182.78"/>
    <n v="182.78"/>
    <s v="PIL1/D/1113"/>
    <s v="19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479098.54"/>
    <s v="SF"/>
    <s v="Liners"/>
    <s v="LDPE/LLDPE Bags"/>
    <s v="RM"/>
    <s v="erp"/>
    <n v="0"/>
    <n v="341981.38"/>
    <n v="910"/>
    <s v="19-07-2026"/>
    <s v="24AAACO3087C1ZT"/>
    <s v="storepil6"/>
    <s v="storepil6"/>
    <n v="9"/>
    <n v="30778.32"/>
    <n v="9"/>
    <n v="30778.32"/>
    <n v="0"/>
    <n v="0"/>
    <n v="1479098.54"/>
    <n v="682147945514"/>
    <d v="2026-07-19T00:00:00"/>
    <n v="0"/>
  </r>
  <r>
    <s v="HCP Plastene Bulkpack Ltd (Unit - IV)"/>
    <s v="19-07-2026"/>
    <s v="HPBL4/26-27/SII00947"/>
    <s v="WIP00013"/>
    <x v="2"/>
    <m/>
    <s v="HPBL4/RAW/26-27/390"/>
    <n v="2517"/>
    <n v="2517"/>
    <s v="Kgs"/>
    <n v="2517"/>
    <n v="0"/>
    <n v="2517"/>
    <s v="GJ12BT2409"/>
    <s v="Plastene India ltd - Unit 1-Purchase"/>
    <s v="Plastene India ltd - Unit 1-Purchase"/>
    <s v="PIL1/D/1113"/>
    <s v="19-07-2026"/>
    <s v="RAW MATERIAL"/>
    <s v="INDIGENOUS"/>
    <s v="RM 414"/>
    <n v="186.78"/>
    <n v="186.78"/>
    <s v="PIL1/D/1113"/>
    <s v="19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479098.54"/>
    <s v="SF"/>
    <s v="Liners"/>
    <s v="LDPE/LLDPE Bags"/>
    <s v="RM"/>
    <s v="erp"/>
    <n v="0"/>
    <n v="470125.26"/>
    <n v="910"/>
    <s v="19-07-2026"/>
    <s v="24AAACO3087C1ZT"/>
    <s v="storepil6"/>
    <s v="storepil6"/>
    <n v="9"/>
    <n v="42311.27"/>
    <n v="9"/>
    <n v="42311.27"/>
    <n v="0"/>
    <n v="0"/>
    <n v="0"/>
    <n v="682147945514"/>
    <d v="2026-07-19T00:00:00"/>
    <n v="0"/>
  </r>
  <r>
    <s v="HCP Plastene Bulkpack Ltd (Unit - IV)"/>
    <s v="19-07-2026"/>
    <s v="HPBL4/26-27/SII00947"/>
    <s v="WIP00013"/>
    <x v="2"/>
    <m/>
    <s v="HPBL4/RAW/26-27/390"/>
    <n v="425"/>
    <n v="425"/>
    <s v="Kgs"/>
    <n v="425"/>
    <n v="0"/>
    <n v="425"/>
    <s v="GJ12BT2409"/>
    <s v="Plastene India ltd - Unit 1-Purchase"/>
    <s v="Plastene India ltd - Unit 1-Purchase"/>
    <s v="PIL1/D/1113"/>
    <s v="19-07-2026"/>
    <s v="RAW MATERIAL"/>
    <s v="INDIGENOUS"/>
    <s v="RM 414"/>
    <n v="190.78"/>
    <n v="190.78"/>
    <s v="PIL1/D/1113"/>
    <s v="19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479098.54"/>
    <s v="SF"/>
    <s v="Liners"/>
    <s v="LDPE/LLDPE Bags"/>
    <s v="RM"/>
    <s v="erp"/>
    <n v="0"/>
    <n v="81081.5"/>
    <n v="910"/>
    <s v="19-07-2026"/>
    <s v="24AAACO3087C1ZT"/>
    <s v="storepil6"/>
    <s v="storepil6"/>
    <n v="9"/>
    <n v="7297.34"/>
    <n v="9"/>
    <n v="7297.34"/>
    <n v="0"/>
    <n v="0"/>
    <n v="0"/>
    <n v="682147945514"/>
    <d v="2026-07-19T00:00:00"/>
    <n v="0"/>
  </r>
  <r>
    <s v="HCP Plastene Bulkpack Ltd (Unit - IV)"/>
    <s v="19-07-2026"/>
    <s v="HPBL4/26-27/SII00947"/>
    <s v="WIP00023"/>
    <x v="0"/>
    <m/>
    <s v="HPBL4/RAW/26-27/390"/>
    <n v="253"/>
    <n v="253"/>
    <s v="Kgs"/>
    <n v="253"/>
    <n v="0"/>
    <n v="253"/>
    <s v="GJ12BT2409"/>
    <s v="Plastene India ltd - Unit 1-Purchase"/>
    <s v="Plastene India ltd - Unit 1-Purchase"/>
    <s v="PIL1/D/1113"/>
    <s v="19-07-2026"/>
    <s v="RAW MATERIAL"/>
    <s v="INDIGENOUS"/>
    <s v="RM 414"/>
    <n v="146.49"/>
    <n v="146.49"/>
    <s v="PIL1/D/1113"/>
    <s v="19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479098.54"/>
    <s v="SF"/>
    <s v="PP/PE Fabric"/>
    <s v="PP UL Fabric"/>
    <s v="RM"/>
    <s v="erp"/>
    <n v="0"/>
    <n v="37061.97"/>
    <n v="910"/>
    <s v="19-07-2026"/>
    <s v="24AAACO3087C1ZT"/>
    <s v="storepil6"/>
    <s v="storepil6"/>
    <n v="9"/>
    <n v="3335.58"/>
    <n v="9"/>
    <n v="3335.58"/>
    <n v="0"/>
    <n v="0"/>
    <n v="0"/>
    <n v="682147945514"/>
    <d v="2026-07-19T00:00:00"/>
    <n v="0"/>
  </r>
  <r>
    <s v="HCP Plastene Bulkpack Ltd (Unit - IV)"/>
    <s v="19-07-2026"/>
    <s v="HPBL4/26-27/SII00947"/>
    <s v="WIP00023"/>
    <x v="0"/>
    <m/>
    <s v="HPBL4/RAW/26-27/390"/>
    <n v="1866"/>
    <n v="1866"/>
    <s v="Kgs"/>
    <n v="1866"/>
    <n v="0"/>
    <n v="1866"/>
    <s v="GJ12BT2409"/>
    <s v="Plastene India ltd - Unit 1-Purchase"/>
    <s v="Plastene India ltd - Unit 1-Purchase"/>
    <s v="PIL1/D/1113"/>
    <s v="19-07-2026"/>
    <s v="RAW MATERIAL"/>
    <s v="INDIGENOUS"/>
    <s v="RM 414"/>
    <n v="144.49"/>
    <n v="144.49"/>
    <s v="PIL1/D/1113"/>
    <s v="19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479098.54"/>
    <s v="SF"/>
    <s v="PP/PE Fabric"/>
    <s v="PP UL Fabric"/>
    <s v="RM"/>
    <s v="erp"/>
    <n v="0"/>
    <n v="269618.34000000003"/>
    <n v="910"/>
    <s v="19-07-2026"/>
    <s v="24AAACO3087C1ZT"/>
    <s v="storepil6"/>
    <s v="storepil6"/>
    <n v="9"/>
    <n v="24265.65"/>
    <n v="9"/>
    <n v="24265.65"/>
    <n v="0"/>
    <n v="0"/>
    <n v="0"/>
    <n v="682147945514"/>
    <d v="2026-07-19T00:00:00"/>
    <n v="0"/>
  </r>
  <r>
    <s v="HCP Plastene Bulkpack Ltd (Unit - IV)"/>
    <s v="19-07-2026"/>
    <s v="HPBL4/26-27/SII00947"/>
    <s v="WIP00025"/>
    <x v="1"/>
    <m/>
    <s v="HPBL4/RAW/26-27/390"/>
    <n v="361"/>
    <n v="361"/>
    <s v="Kgs"/>
    <n v="361"/>
    <n v="0"/>
    <n v="361"/>
    <s v="GJ12BT2409"/>
    <s v="Plastene India ltd - Unit 1-Purchase"/>
    <s v="Plastene India ltd - Unit 1-Purchase"/>
    <s v="PIL1/D/1113"/>
    <s v="19-07-2026"/>
    <s v="RAW MATERIAL"/>
    <s v="INDIGENOUS"/>
    <s v="RM 414"/>
    <n v="148.49"/>
    <n v="148.49"/>
    <s v="PIL1/D/1113"/>
    <s v="19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479098.54"/>
    <s v="SF"/>
    <s v="PP/PE Fabric"/>
    <s v="PP Lam Fabric"/>
    <s v="RM"/>
    <s v="erp"/>
    <n v="0"/>
    <n v="53604.89"/>
    <n v="910"/>
    <s v="19-07-2026"/>
    <s v="24AAACO3087C1ZT"/>
    <s v="storepil6"/>
    <s v="storepil6"/>
    <n v="9"/>
    <n v="4824.4399999999996"/>
    <n v="9"/>
    <n v="4824.4399999999996"/>
    <n v="0"/>
    <n v="0"/>
    <n v="0"/>
    <n v="682147945514"/>
    <d v="2026-07-19T00:00:00"/>
    <n v="0"/>
  </r>
  <r>
    <s v="HCP Plastene Bulkpack Ltd (Unit - IV)"/>
    <s v="19-07-2026"/>
    <s v="HPBL4/26-27/SII00948"/>
    <s v="WIP00025"/>
    <x v="1"/>
    <m/>
    <s v="HPBL4/RAW/26-27/391"/>
    <n v="1250"/>
    <n v="1250"/>
    <s v="Kgs"/>
    <n v="1250"/>
    <n v="0"/>
    <n v="1250"/>
    <s v="GJ12BY0479"/>
    <s v="Plastene India ltd - Unit 1-Purchase"/>
    <s v="Plastene India ltd - Unit 1-Purchase"/>
    <s v="PIL1/D/1111"/>
    <s v="19-07-2026"/>
    <s v="RAW MATERIAL"/>
    <s v="INDIGENOUS"/>
    <s v="RM 415"/>
    <n v="151.49"/>
    <n v="151.48999950483201"/>
    <s v="PIL1/D/1111"/>
    <s v="19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835618.51"/>
    <s v="SF"/>
    <s v="PP/PE Fabric"/>
    <s v="PP Lam Fabric"/>
    <s v="RM"/>
    <s v="erp"/>
    <n v="0"/>
    <n v="189362.5"/>
    <n v="908"/>
    <s v="19-07-2026"/>
    <s v="24AAACO3087C1ZT"/>
    <s v="storepil6"/>
    <s v="storepil6"/>
    <n v="9"/>
    <n v="17042.62"/>
    <n v="9"/>
    <n v="17042.62"/>
    <n v="0"/>
    <n v="0"/>
    <n v="1835618.51"/>
    <n v="682147916833"/>
    <d v="2026-07-19T00:00:00"/>
    <n v="0"/>
  </r>
  <r>
    <s v="HCP Plastene Bulkpack Ltd (Unit - IV)"/>
    <s v="19-07-2026"/>
    <s v="HPBL4/26-27/SII00948"/>
    <s v="WIP00023"/>
    <x v="0"/>
    <m/>
    <s v="HPBL4/RAW/26-27/391"/>
    <n v="1147"/>
    <n v="1147"/>
    <s v="Kgs"/>
    <n v="1147"/>
    <n v="0"/>
    <n v="1147"/>
    <s v="GJ12BY0479"/>
    <s v="Plastene India ltd - Unit 1-Purchase"/>
    <s v="Plastene India ltd - Unit 1-Purchase"/>
    <s v="PIL1/D/1111"/>
    <s v="19-07-2026"/>
    <s v="RAW MATERIAL"/>
    <s v="INDIGENOUS"/>
    <s v="RM 415"/>
    <n v="146.49"/>
    <n v="146.48999952117501"/>
    <s v="PIL1/D/1111"/>
    <s v="19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835618.51"/>
    <s v="SF"/>
    <s v="PP/PE Fabric"/>
    <s v="PP UL Fabric"/>
    <s v="RM"/>
    <s v="erp"/>
    <n v="0"/>
    <n v="168024.03"/>
    <n v="908"/>
    <s v="19-07-2026"/>
    <s v="24AAACO3087C1ZT"/>
    <s v="storepil6"/>
    <s v="storepil6"/>
    <n v="9"/>
    <n v="15122.16"/>
    <n v="9"/>
    <n v="15122.16"/>
    <n v="0"/>
    <n v="0"/>
    <n v="0"/>
    <n v="682147916833"/>
    <d v="2026-07-19T00:00:00"/>
    <n v="0"/>
  </r>
  <r>
    <s v="HCP Plastene Bulkpack Ltd (Unit - IV)"/>
    <s v="19-07-2026"/>
    <s v="HPBL4/26-27/SII00948"/>
    <s v="WIP00023"/>
    <x v="0"/>
    <m/>
    <s v="HPBL4/RAW/26-27/391"/>
    <n v="499"/>
    <n v="499"/>
    <s v="Kgs"/>
    <n v="499"/>
    <n v="0"/>
    <n v="499"/>
    <s v="GJ12BY0479"/>
    <s v="Plastene India ltd - Unit 1-Purchase"/>
    <s v="Plastene India ltd - Unit 1-Purchase"/>
    <s v="PIL1/D/1111"/>
    <s v="19-07-2026"/>
    <s v="RAW MATERIAL"/>
    <s v="INDIGENOUS"/>
    <s v="RM 415"/>
    <n v="147.49"/>
    <n v="147.489999517906"/>
    <s v="PIL1/D/1111"/>
    <s v="19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835618.51"/>
    <s v="SF"/>
    <s v="PP/PE Fabric"/>
    <s v="PP UL Fabric"/>
    <s v="RM"/>
    <s v="erp"/>
    <n v="0"/>
    <n v="73597.509999999995"/>
    <n v="908"/>
    <s v="19-07-2026"/>
    <s v="24AAACO3087C1ZT"/>
    <s v="storepil6"/>
    <s v="storepil6"/>
    <n v="9"/>
    <n v="6623.78"/>
    <n v="9"/>
    <n v="6623.78"/>
    <n v="0"/>
    <n v="0"/>
    <n v="0"/>
    <n v="682147916833"/>
    <d v="2026-07-19T00:00:00"/>
    <n v="0"/>
  </r>
  <r>
    <s v="HCP Plastene Bulkpack Ltd (Unit - IV)"/>
    <s v="19-07-2026"/>
    <s v="HPBL4/26-27/SII00948"/>
    <s v="WIP00023"/>
    <x v="0"/>
    <m/>
    <s v="HPBL4/RAW/26-27/391"/>
    <n v="6933"/>
    <n v="6933"/>
    <s v="Kgs"/>
    <n v="6933"/>
    <n v="0"/>
    <n v="6933"/>
    <s v="GJ12BY0479"/>
    <s v="Plastene India ltd - Unit 1-Purchase"/>
    <s v="Plastene India ltd - Unit 1-Purchase"/>
    <s v="PIL1/D/1111"/>
    <s v="19-07-2026"/>
    <s v="RAW MATERIAL"/>
    <s v="INDIGENOUS"/>
    <s v="RM 415"/>
    <n v="144.49"/>
    <n v="144.489999527712"/>
    <s v="PIL1/D/1111"/>
    <s v="19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835618.51"/>
    <s v="SF"/>
    <s v="PP/PE Fabric"/>
    <s v="PP UL Fabric"/>
    <s v="RM"/>
    <s v="erp"/>
    <n v="0"/>
    <n v="1001749.17"/>
    <n v="908"/>
    <s v="19-07-2026"/>
    <s v="24AAACO3087C1ZT"/>
    <s v="storepil6"/>
    <s v="storepil6"/>
    <n v="9"/>
    <n v="90157.43"/>
    <n v="9"/>
    <n v="90157.43"/>
    <n v="0"/>
    <n v="0"/>
    <n v="0"/>
    <n v="682147916833"/>
    <d v="2026-07-19T00:00:00"/>
    <n v="0"/>
  </r>
  <r>
    <s v="HCP Plastene Bulkpack Ltd (Unit - IV)"/>
    <s v="19-07-2026"/>
    <s v="HPBL4/26-27/SII00948"/>
    <s v="WIP00032"/>
    <x v="3"/>
    <m/>
    <s v="HPBL4/RAW/26-27/391"/>
    <n v="165.9"/>
    <n v="165.9"/>
    <s v="Kgs"/>
    <n v="165.9"/>
    <n v="0"/>
    <n v="165.9"/>
    <s v="GJ12BY0479"/>
    <s v="Plastene India ltd - Unit 1-Purchase"/>
    <s v="Plastene India ltd - Unit 1-Purchase"/>
    <s v="PIL1/D/1111"/>
    <s v="19-07-2026"/>
    <s v="RAW MATERIAL"/>
    <s v="INDIGENOUS"/>
    <s v="RM 415"/>
    <n v="149.49"/>
    <n v="149.48999951136901"/>
    <s v="PIL1/D/1111"/>
    <s v="19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835618.51"/>
    <s v="SF"/>
    <s v="Webbing"/>
    <s v="PP Webbing"/>
    <s v="RM"/>
    <s v="erp"/>
    <n v="0"/>
    <n v="24800.39"/>
    <n v="908"/>
    <s v="19-07-2026"/>
    <s v="24AAACO3087C1ZT"/>
    <s v="storepil6"/>
    <s v="storepil6"/>
    <n v="9"/>
    <n v="2232.04"/>
    <n v="9"/>
    <n v="2232.04"/>
    <n v="0"/>
    <n v="0"/>
    <n v="0"/>
    <n v="682147916833"/>
    <d v="2026-07-19T00:00:00"/>
    <n v="0"/>
  </r>
  <r>
    <s v="HCP Plastene Bulkpack Ltd (Unit - IV)"/>
    <s v="19-07-2026"/>
    <s v="HPBL4/26-27/SII00948"/>
    <s v="WIP00032"/>
    <x v="3"/>
    <m/>
    <s v="HPBL4/RAW/26-27/391"/>
    <n v="499"/>
    <n v="499"/>
    <s v="Kgs"/>
    <n v="499"/>
    <n v="0"/>
    <n v="499"/>
    <s v="GJ12BY0479"/>
    <s v="Plastene India ltd - Unit 1-Purchase"/>
    <s v="Plastene India ltd - Unit 1-Purchase"/>
    <s v="PIL1/D/1111"/>
    <s v="19-07-2026"/>
    <s v="RAW MATERIAL"/>
    <s v="INDIGENOUS"/>
    <s v="RM 415"/>
    <n v="146.49"/>
    <n v="146.48999952117501"/>
    <s v="PIL1/D/1111"/>
    <s v="19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835618.51"/>
    <s v="SF"/>
    <s v="Webbing"/>
    <s v="PP Webbing"/>
    <s v="RM"/>
    <s v="erp"/>
    <n v="0"/>
    <n v="73098.509999999995"/>
    <n v="908"/>
    <s v="19-07-2026"/>
    <s v="24AAACO3087C1ZT"/>
    <s v="storepil6"/>
    <s v="storepil6"/>
    <n v="9"/>
    <n v="6578.87"/>
    <n v="9"/>
    <n v="6578.87"/>
    <n v="0"/>
    <n v="0"/>
    <n v="0"/>
    <n v="682147916833"/>
    <d v="2026-07-19T00:00:00"/>
    <n v="0"/>
  </r>
  <r>
    <s v="HCP Plastene Bulkpack Ltd (Unit - IV)"/>
    <s v="19-07-2026"/>
    <s v="HPBL4/26-27/SII00948"/>
    <s v="WIP00032"/>
    <x v="3"/>
    <m/>
    <s v="HPBL4/RAW/26-27/391"/>
    <n v="146.5"/>
    <n v="146.5"/>
    <s v="Kgs"/>
    <n v="146.5"/>
    <n v="0"/>
    <n v="146.5"/>
    <s v="GJ12BY0479"/>
    <s v="Plastene India ltd - Unit 1-Purchase"/>
    <s v="Plastene India ltd - Unit 1-Purchase"/>
    <s v="PIL1/D/1111"/>
    <s v="19-07-2026"/>
    <s v="RAW MATERIAL"/>
    <s v="INDIGENOUS"/>
    <s v="RM 415"/>
    <n v="170.49"/>
    <n v="170.489999442727"/>
    <s v="PIL1/D/1111"/>
    <s v="19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835618.51"/>
    <s v="SF"/>
    <s v="Webbing"/>
    <s v="PP Webbing"/>
    <s v="RM"/>
    <s v="erp"/>
    <n v="0"/>
    <n v="24976.78"/>
    <n v="908"/>
    <s v="19-07-2026"/>
    <s v="24AAACO3087C1ZT"/>
    <s v="storepil6"/>
    <s v="storepil6"/>
    <n v="9"/>
    <n v="2247.91"/>
    <n v="9"/>
    <n v="2247.91"/>
    <n v="0"/>
    <n v="0"/>
    <n v="0"/>
    <n v="682147916833"/>
    <d v="2026-07-19T00:00:00"/>
    <n v="0"/>
  </r>
  <r>
    <s v="HCP Plastene Bulkpack Ltd (Unit - IV)"/>
    <s v="20-07-2026"/>
    <s v="HPBL4/26-27/SII00958"/>
    <s v="WIP00023"/>
    <x v="0"/>
    <m/>
    <s v="HPBL4/RAW/26-27/392"/>
    <n v="6419"/>
    <n v="6419"/>
    <s v="Kgs"/>
    <n v="6419"/>
    <n v="0"/>
    <n v="6419"/>
    <s v="GJ12BT2409"/>
    <s v="Plastene India ltd - Unit 1-Purchase"/>
    <s v="Plastene India ltd - Unit 1-Purchase"/>
    <s v="PIL1/D/1118"/>
    <s v="20-07-2026"/>
    <s v="RAW MATERIAL"/>
    <s v="INDIGENOUS"/>
    <s v="RM 416"/>
    <n v="144.49"/>
    <n v="144.49"/>
    <s v="PIL1/D/1118"/>
    <s v="20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35487.28"/>
    <s v="SF"/>
    <s v="PP/PE Fabric"/>
    <s v="PP UL Fabric"/>
    <s v="RM"/>
    <s v="erp"/>
    <n v="0"/>
    <n v="927481.31"/>
    <n v="911"/>
    <s v="20-07-2026"/>
    <s v="24AAACO3087C1ZT"/>
    <s v="storepil6"/>
    <s v="storepil6"/>
    <n v="9"/>
    <n v="83473.320000000007"/>
    <n v="9"/>
    <n v="83473.320000000007"/>
    <n v="0"/>
    <n v="0"/>
    <n v="1335487.28"/>
    <n v="682148163582"/>
    <d v="2026-07-20T00:00:00"/>
    <n v="0"/>
  </r>
  <r>
    <s v="HCP Plastene Bulkpack Ltd (Unit - IV)"/>
    <s v="20-07-2026"/>
    <s v="HPBL4/26-27/SII00958"/>
    <s v="WIP00023"/>
    <x v="0"/>
    <m/>
    <s v="HPBL4/RAW/26-27/392"/>
    <n v="227"/>
    <n v="227"/>
    <s v="Kgs"/>
    <n v="227"/>
    <n v="0"/>
    <n v="227"/>
    <s v="GJ12BT2409"/>
    <s v="Plastene India ltd - Unit 1-Purchase"/>
    <s v="Plastene India ltd - Unit 1-Purchase"/>
    <s v="PIL1/D/1118"/>
    <s v="20-07-2026"/>
    <s v="RAW MATERIAL"/>
    <s v="INDIGENOUS"/>
    <s v="RM 416"/>
    <n v="147.49"/>
    <n v="147.49"/>
    <s v="PIL1/D/1118"/>
    <s v="20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35487.28"/>
    <s v="SF"/>
    <s v="PP/PE Fabric"/>
    <s v="PP UL Fabric"/>
    <s v="RM"/>
    <s v="erp"/>
    <n v="0"/>
    <n v="33480.230000000003"/>
    <n v="911"/>
    <s v="20-07-2026"/>
    <s v="24AAACO3087C1ZT"/>
    <s v="storepil6"/>
    <s v="storepil6"/>
    <n v="9"/>
    <n v="3013.22"/>
    <n v="9"/>
    <n v="3013.22"/>
    <n v="0"/>
    <n v="0"/>
    <n v="0"/>
    <n v="682148163582"/>
    <d v="2026-07-20T00:00:00"/>
    <n v="0"/>
  </r>
  <r>
    <s v="HCP Plastene Bulkpack Ltd (Unit - IV)"/>
    <s v="20-07-2026"/>
    <s v="HPBL4/26-27/SII00958"/>
    <s v="WIP00023"/>
    <x v="0"/>
    <m/>
    <s v="HPBL4/RAW/26-27/392"/>
    <n v="1166"/>
    <n v="1166"/>
    <s v="Kgs"/>
    <n v="1166"/>
    <n v="0"/>
    <n v="1166"/>
    <s v="GJ12BT2409"/>
    <s v="Plastene India ltd - Unit 1-Purchase"/>
    <s v="Plastene India ltd - Unit 1-Purchase"/>
    <s v="PIL1/D/1118"/>
    <s v="20-07-2026"/>
    <s v="RAW MATERIAL"/>
    <s v="INDIGENOUS"/>
    <s v="RM 416"/>
    <n v="146.49"/>
    <n v="146.49"/>
    <s v="PIL1/D/1118"/>
    <s v="20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35487.28"/>
    <s v="SF"/>
    <s v="PP/PE Fabric"/>
    <s v="PP UL Fabric"/>
    <s v="RM"/>
    <s v="erp"/>
    <n v="0"/>
    <n v="170807.34"/>
    <n v="911"/>
    <s v="20-07-2026"/>
    <s v="24AAACO3087C1ZT"/>
    <s v="storepil6"/>
    <s v="storepil6"/>
    <n v="9"/>
    <n v="15372.66"/>
    <n v="9"/>
    <n v="15372.66"/>
    <n v="0"/>
    <n v="0"/>
    <n v="0"/>
    <n v="682148163582"/>
    <d v="2026-07-20T00:00:00"/>
    <n v="0"/>
  </r>
  <r>
    <s v="HCP Plastene Bulkpack Ltd (Unit - IV)"/>
    <s v="20-07-2026"/>
    <s v="HPBL4/26-27/SII00960"/>
    <s v="WIP00023"/>
    <x v="0"/>
    <m/>
    <s v="HPBL4/RAW/26-27/393"/>
    <n v="2018"/>
    <n v="2018"/>
    <s v="Kgs"/>
    <n v="2018"/>
    <n v="0"/>
    <n v="2018"/>
    <s v="GJ12BT2409"/>
    <s v="Plastene India ltd - Unit 1-Purchase"/>
    <s v="Plastene India ltd - Unit 1-Purchase"/>
    <s v="PIL1/D/1122"/>
    <s v="20-07-2026"/>
    <s v="RAW MATERIAL"/>
    <s v="INDIGENOUS"/>
    <s v="RM 417"/>
    <n v="144.49"/>
    <n v="144.49"/>
    <s v="PIL1/D/1122"/>
    <s v="20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017879.44"/>
    <s v="SF"/>
    <s v="PP/PE Fabric"/>
    <s v="PP UL Fabric"/>
    <s v="RM"/>
    <s v="erp"/>
    <n v="0"/>
    <n v="291580.82"/>
    <n v="914"/>
    <s v="20-07-2026"/>
    <s v="24AAACO3087C1ZT"/>
    <s v="storepil6"/>
    <s v="storepil6"/>
    <n v="9"/>
    <n v="26242.27"/>
    <n v="9"/>
    <n v="26242.27"/>
    <n v="0"/>
    <n v="0"/>
    <n v="1017879.44"/>
    <n v="612148391450"/>
    <d v="2026-07-20T00:00:00"/>
    <n v="0"/>
  </r>
  <r>
    <s v="HCP Plastene Bulkpack Ltd (Unit - IV)"/>
    <s v="20-07-2026"/>
    <s v="HPBL4/26-27/SII00960"/>
    <s v="WIP00013"/>
    <x v="2"/>
    <m/>
    <s v="HPBL4/RAW/26-27/393"/>
    <n v="1473"/>
    <n v="1473"/>
    <s v="Kgs"/>
    <n v="1473"/>
    <n v="0"/>
    <n v="1473"/>
    <s v="GJ12BT2409"/>
    <s v="Plastene India ltd - Unit 1-Purchase"/>
    <s v="Plastene India ltd - Unit 1-Purchase"/>
    <s v="PIL1/D/1122"/>
    <s v="20-07-2026"/>
    <s v="RAW MATERIAL"/>
    <s v="INDIGENOUS"/>
    <s v="RM 417"/>
    <n v="182.78"/>
    <n v="182.78"/>
    <s v="PIL1/D/1122"/>
    <s v="20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017879.44"/>
    <s v="SF"/>
    <s v="Liners"/>
    <s v="LDPE/LLDPE Bags"/>
    <s v="RM"/>
    <s v="erp"/>
    <n v="0"/>
    <n v="269234.94"/>
    <n v="914"/>
    <s v="20-07-2026"/>
    <s v="24AAACO3087C1ZT"/>
    <s v="storepil6"/>
    <s v="storepil6"/>
    <n v="9"/>
    <n v="24231.14"/>
    <n v="9"/>
    <n v="24231.14"/>
    <n v="0"/>
    <n v="0"/>
    <n v="0"/>
    <n v="612148391450"/>
    <d v="2026-07-20T00:00:00"/>
    <n v="0"/>
  </r>
  <r>
    <s v="HCP Plastene Bulkpack Ltd (Unit - IV)"/>
    <s v="20-07-2026"/>
    <s v="HPBL4/26-27/SII00960"/>
    <s v="WIP00025"/>
    <x v="1"/>
    <m/>
    <s v="HPBL4/RAW/26-27/393"/>
    <n v="1193"/>
    <n v="1193"/>
    <s v="Kgs"/>
    <n v="1193"/>
    <n v="0"/>
    <n v="1193"/>
    <s v="GJ12BT2409"/>
    <s v="Plastene India ltd - Unit 1-Purchase"/>
    <s v="Plastene India ltd - Unit 1-Purchase"/>
    <s v="PIL1/D/1122"/>
    <s v="20-07-2026"/>
    <s v="RAW MATERIAL"/>
    <s v="INDIGENOUS"/>
    <s v="RM 417"/>
    <n v="148.49"/>
    <n v="148.49"/>
    <s v="PIL1/D/1122"/>
    <s v="20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017879.44"/>
    <s v="SF"/>
    <s v="PP/PE Fabric"/>
    <s v="PP Lam Fabric"/>
    <s v="RM"/>
    <s v="erp"/>
    <n v="0"/>
    <n v="177148.57"/>
    <n v="914"/>
    <s v="20-07-2026"/>
    <s v="24AAACO3087C1ZT"/>
    <s v="storepil6"/>
    <s v="storepil6"/>
    <n v="9"/>
    <n v="15943.37"/>
    <n v="9"/>
    <n v="15943.37"/>
    <n v="0"/>
    <n v="0"/>
    <n v="0"/>
    <n v="612148391450"/>
    <d v="2026-07-20T00:00:00"/>
    <n v="0"/>
  </r>
  <r>
    <s v="HCP Plastene Bulkpack Ltd (Unit - IV)"/>
    <s v="20-07-2026"/>
    <s v="HPBL4/26-27/SII00960"/>
    <s v="WIP00025"/>
    <x v="1"/>
    <m/>
    <s v="HPBL4/RAW/26-27/393"/>
    <n v="305"/>
    <n v="305"/>
    <s v="Kgs"/>
    <n v="305"/>
    <n v="0"/>
    <n v="305"/>
    <s v="GJ12BT2409"/>
    <s v="Plastene India ltd - Unit 1-Purchase"/>
    <s v="Plastene India ltd - Unit 1-Purchase"/>
    <s v="PIL1/D/1122"/>
    <s v="20-07-2026"/>
    <s v="RAW MATERIAL"/>
    <s v="INDIGENOUS"/>
    <s v="RM 417"/>
    <n v="151.49"/>
    <n v="151.49"/>
    <s v="PIL1/D/1122"/>
    <s v="20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017879.44"/>
    <s v="SF"/>
    <s v="PP/PE Fabric"/>
    <s v="PP Lam Fabric"/>
    <s v="RM"/>
    <s v="erp"/>
    <n v="0"/>
    <n v="46204.45"/>
    <n v="914"/>
    <s v="20-07-2026"/>
    <s v="24AAACO3087C1ZT"/>
    <s v="storepil6"/>
    <s v="storepil6"/>
    <n v="9"/>
    <n v="4158.3999999999996"/>
    <n v="9"/>
    <n v="4158.3999999999996"/>
    <n v="0"/>
    <n v="0"/>
    <n v="0"/>
    <n v="612148391450"/>
    <d v="2026-07-20T00:00:00"/>
    <n v="0"/>
  </r>
  <r>
    <s v="HCP Plastene Bulkpack Ltd (Unit - IV)"/>
    <s v="20-07-2026"/>
    <s v="HPBL4/26-27/SII00960"/>
    <s v="WIP00032"/>
    <x v="3"/>
    <m/>
    <s v="HPBL4/RAW/26-27/393"/>
    <n v="159.30000000000001"/>
    <n v="159.30000000000001"/>
    <s v="Kgs"/>
    <n v="159.30000000000001"/>
    <n v="0"/>
    <n v="159.30000000000001"/>
    <s v="GJ12BT2409"/>
    <s v="Plastene India ltd - Unit 1-Purchase"/>
    <s v="Plastene India ltd - Unit 1-Purchase"/>
    <s v="PIL1/D/1122"/>
    <s v="20-07-2026"/>
    <s v="RAW MATERIAL"/>
    <s v="INDIGENOUS"/>
    <s v="RM 417"/>
    <n v="170.49"/>
    <n v="170.49"/>
    <s v="PIL1/D/1122"/>
    <s v="20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017879.44"/>
    <s v="SF"/>
    <s v="Webbing"/>
    <s v="PP Webbing"/>
    <s v="RM"/>
    <s v="erp"/>
    <n v="0"/>
    <n v="27159.06"/>
    <n v="914"/>
    <s v="20-07-2026"/>
    <s v="24AAACO3087C1ZT"/>
    <s v="storepil6"/>
    <s v="storepil6"/>
    <n v="9"/>
    <n v="2444.3200000000002"/>
    <n v="9"/>
    <n v="2444.3200000000002"/>
    <n v="0"/>
    <n v="0"/>
    <n v="0"/>
    <n v="612148391450"/>
    <d v="2026-07-20T00:00:00"/>
    <n v="0"/>
  </r>
  <r>
    <s v="HCP Plastene Bulkpack Ltd (Unit - IV)"/>
    <s v="20-07-2026"/>
    <s v="HPBL4/26-27/SII00960"/>
    <s v="WIP00032"/>
    <x v="3"/>
    <m/>
    <s v="HPBL4/RAW/26-27/393"/>
    <n v="164.6"/>
    <n v="164.6"/>
    <s v="Kgs"/>
    <n v="164.6"/>
    <n v="0"/>
    <n v="164.6"/>
    <s v="GJ12BT2409"/>
    <s v="Plastene India ltd - Unit 1-Purchase"/>
    <s v="Plastene India ltd - Unit 1-Purchase"/>
    <s v="PIL1/D/1122"/>
    <s v="20-07-2026"/>
    <s v="RAW MATERIAL"/>
    <s v="INDIGENOUS"/>
    <s v="RM 417"/>
    <n v="149.49"/>
    <n v="149.49"/>
    <s v="PIL1/D/1122"/>
    <s v="20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017879.44"/>
    <s v="SF"/>
    <s v="Webbing"/>
    <s v="PP Webbing"/>
    <s v="RM"/>
    <s v="erp"/>
    <n v="0"/>
    <n v="24606.05"/>
    <n v="914"/>
    <s v="20-07-2026"/>
    <s v="24AAACO3087C1ZT"/>
    <s v="storepil6"/>
    <s v="storepil6"/>
    <n v="9"/>
    <n v="2214.54"/>
    <n v="9"/>
    <n v="2214.54"/>
    <n v="0"/>
    <n v="0"/>
    <n v="0"/>
    <n v="612148391450"/>
    <d v="2026-07-20T00:00:00"/>
    <n v="0"/>
  </r>
  <r>
    <s v="HCP Plastene Bulkpack Ltd (Unit - IV)"/>
    <s v="20-07-2026"/>
    <s v="HPBL4/26-27/SII00960"/>
    <s v="WIP00032"/>
    <x v="3"/>
    <m/>
    <s v="HPBL4/RAW/26-27/393"/>
    <n v="182.1"/>
    <n v="182.1"/>
    <s v="Kgs"/>
    <n v="182.1"/>
    <n v="0"/>
    <n v="182.1"/>
    <s v="GJ12BT2409"/>
    <s v="Plastene India ltd - Unit 1-Purchase"/>
    <s v="Plastene India ltd - Unit 1-Purchase"/>
    <s v="PIL1/D/1122"/>
    <s v="20-07-2026"/>
    <s v="RAW MATERIAL"/>
    <s v="INDIGENOUS"/>
    <s v="RM 417"/>
    <n v="146.49"/>
    <n v="146.49"/>
    <s v="PIL1/D/1122"/>
    <s v="20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017879.44"/>
    <s v="SF"/>
    <s v="Webbing"/>
    <s v="PP Webbing"/>
    <s v="RM"/>
    <s v="erp"/>
    <n v="0"/>
    <n v="26675.83"/>
    <n v="914"/>
    <s v="20-07-2026"/>
    <s v="24AAACO3087C1ZT"/>
    <s v="storepil6"/>
    <s v="storepil6"/>
    <n v="9"/>
    <n v="2400.8200000000002"/>
    <n v="9"/>
    <n v="2400.8200000000002"/>
    <n v="0"/>
    <n v="0"/>
    <n v="0"/>
    <n v="612148391450"/>
    <d v="2026-07-20T00:00:00"/>
    <n v="0"/>
  </r>
  <r>
    <s v="HCP Plastene Bulkpack Ltd (Unit - IV)"/>
    <s v="21-07-2026"/>
    <s v="HPBL4/26-27/SII00962"/>
    <s v="WIP00023"/>
    <x v="0"/>
    <m/>
    <s v="HPBL4/RAW/26-27/395"/>
    <n v="239"/>
    <n v="239"/>
    <s v="Kgs"/>
    <n v="239"/>
    <n v="0"/>
    <n v="239"/>
    <s v="GJ12BY0479"/>
    <s v="Plastene India ltd - Unit 1-Purchase"/>
    <s v="Plastene India ltd - Unit 1-Purchase"/>
    <s v="PIL1/D/1130"/>
    <s v="21-07-2026"/>
    <s v="RAW MATERIAL"/>
    <s v="INDIGENOUS"/>
    <s v="RM 418"/>
    <n v="144.49"/>
    <n v="144.49"/>
    <s v="PIL1/D/1130"/>
    <s v="21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40749.07"/>
    <s v="SF"/>
    <s v="PP/PE Fabric"/>
    <s v="PP UL Fabric"/>
    <s v="RM"/>
    <s v="erp"/>
    <n v="0"/>
    <n v="34533.11"/>
    <n v="916"/>
    <s v="21-07-2026"/>
    <s v="24AAACO3087C1ZT"/>
    <s v="storepil6"/>
    <s v="storepil6"/>
    <n v="9"/>
    <n v="3107.98"/>
    <n v="9"/>
    <n v="3107.98"/>
    <n v="0"/>
    <n v="0"/>
    <n v="40749.07"/>
    <n v="602148829226"/>
    <d v="2026-07-21T00:00:00"/>
    <n v="0"/>
  </r>
  <r>
    <s v="HCP Plastene Bulkpack Ltd (Unit - IV)"/>
    <s v="21-07-2026"/>
    <s v="HPBL4/26-27/SII00963"/>
    <s v="WIP00023"/>
    <x v="0"/>
    <m/>
    <s v="HPBL4/RAW/26-27/395"/>
    <n v="1072"/>
    <n v="1072"/>
    <s v="Kgs"/>
    <n v="1072"/>
    <n v="0"/>
    <n v="1072"/>
    <s v="GJ12BY0479"/>
    <s v="Plastene India ltd - Unit 1-Purchase"/>
    <s v="Plastene India ltd - Unit 1-Purchase"/>
    <s v="PIL1/D/1129"/>
    <s v="21-07-2026"/>
    <s v="RAW MATERIAL"/>
    <s v="INDIGENOUS"/>
    <s v="RM 419"/>
    <n v="146.49"/>
    <n v="146.49"/>
    <s v="PIL1/D/1129"/>
    <s v="21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419512.29"/>
    <s v="SF"/>
    <s v="PP/PE Fabric"/>
    <s v="PP UL Fabric"/>
    <s v="RM"/>
    <s v="erp"/>
    <n v="0"/>
    <n v="157037.28"/>
    <n v="917"/>
    <s v="21-07-2026"/>
    <s v="24AAACO3087C1ZT"/>
    <s v="storepil6"/>
    <s v="storepil6"/>
    <n v="9"/>
    <n v="14133.36"/>
    <n v="9"/>
    <n v="14133.36"/>
    <n v="0"/>
    <n v="0"/>
    <n v="1419512.29"/>
    <n v="642148828577"/>
    <d v="2026-07-21T00:00:00"/>
    <n v="0"/>
  </r>
  <r>
    <s v="HCP Plastene Bulkpack Ltd (Unit - IV)"/>
    <s v="21-07-2026"/>
    <s v="HPBL4/26-27/SII00963"/>
    <s v="WIP00023"/>
    <x v="0"/>
    <m/>
    <s v="HPBL4/RAW/26-27/395"/>
    <n v="570"/>
    <n v="570"/>
    <s v="Kgs"/>
    <n v="570"/>
    <n v="0"/>
    <n v="570"/>
    <s v="GJ12BY0479"/>
    <s v="Plastene India ltd - Unit 1-Purchase"/>
    <s v="Plastene India ltd - Unit 1-Purchase"/>
    <s v="PIL1/D/1129"/>
    <s v="21-07-2026"/>
    <s v="RAW MATERIAL"/>
    <s v="INDIGENOUS"/>
    <s v="RM 419"/>
    <n v="147.49"/>
    <n v="147.49"/>
    <s v="PIL1/D/1129"/>
    <s v="21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419512.29"/>
    <s v="SF"/>
    <s v="PP/PE Fabric"/>
    <s v="PP UL Fabric"/>
    <s v="RM"/>
    <s v="erp"/>
    <n v="0"/>
    <n v="84069.3"/>
    <n v="917"/>
    <s v="21-07-2026"/>
    <s v="24AAACO3087C1ZT"/>
    <s v="storepil6"/>
    <s v="storepil6"/>
    <n v="9"/>
    <n v="7566.24"/>
    <n v="9"/>
    <n v="7566.24"/>
    <n v="0"/>
    <n v="0"/>
    <n v="0"/>
    <n v="642148828577"/>
    <d v="2026-07-21T00:00:00"/>
    <n v="0"/>
  </r>
  <r>
    <s v="HCP Plastene Bulkpack Ltd (Unit - IV)"/>
    <s v="21-07-2026"/>
    <s v="HPBL4/26-27/SII00963"/>
    <s v="WIP00023"/>
    <x v="0"/>
    <m/>
    <s v="HPBL4/RAW/26-27/395"/>
    <n v="6657"/>
    <n v="6657"/>
    <s v="Kgs"/>
    <n v="6657"/>
    <n v="0"/>
    <n v="6657"/>
    <s v="GJ12BY0479"/>
    <s v="Plastene India ltd - Unit 1-Purchase"/>
    <s v="Plastene India ltd - Unit 1-Purchase"/>
    <s v="PIL1/D/1129"/>
    <s v="21-07-2026"/>
    <s v="RAW MATERIAL"/>
    <s v="INDIGENOUS"/>
    <s v="RM 419"/>
    <n v="144.49"/>
    <n v="144.49"/>
    <s v="PIL1/D/1129"/>
    <s v="21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419512.29"/>
    <s v="SF"/>
    <s v="PP/PE Fabric"/>
    <s v="PP UL Fabric"/>
    <s v="RM"/>
    <s v="erp"/>
    <n v="0"/>
    <n v="961869.93"/>
    <n v="917"/>
    <s v="21-07-2026"/>
    <s v="24AAACO3087C1ZT"/>
    <s v="storepil6"/>
    <s v="storepil6"/>
    <n v="9"/>
    <n v="86568.29"/>
    <n v="9"/>
    <n v="86568.29"/>
    <n v="0"/>
    <n v="0"/>
    <n v="0"/>
    <n v="642148828577"/>
    <d v="2026-07-21T00:00:00"/>
    <n v="0"/>
  </r>
  <r>
    <s v="HCP Plastene Bulkpack Ltd (Unit - IV)"/>
    <s v="21-07-2026"/>
    <s v="HPBL4/26-27/SII00964"/>
    <s v="WIP00013"/>
    <x v="2"/>
    <m/>
    <s v="HPBL4/RAW/26-27/394"/>
    <n v="46.3"/>
    <n v="46.3"/>
    <s v="Kgs"/>
    <n v="46.3"/>
    <n v="0"/>
    <n v="46.3"/>
    <s v="GJ12BU0544"/>
    <s v="Plastene Polyfilms Ltd-Purchase"/>
    <s v="Plastene Polyfilms Ltd-Purchase"/>
    <s v="PPL/D/384"/>
    <s v="21-07-2026"/>
    <s v="RAW MATERIAL"/>
    <s v="INDIGENOUS"/>
    <s v="RM 420"/>
    <n v="175"/>
    <n v="175"/>
    <s v="PPL/D/384"/>
    <s v="21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53931.08"/>
    <s v="SF"/>
    <s v="Liners"/>
    <s v="LDPE/LLDPE Bags"/>
    <s v="RM"/>
    <s v="erp"/>
    <n v="0"/>
    <n v="8102.5"/>
    <n v="918"/>
    <s v="21-07-2026"/>
    <s v="24AAFCP2956A1ZR"/>
    <s v="storepil6"/>
    <s v="storepil6"/>
    <n v="9"/>
    <n v="729.22"/>
    <n v="9"/>
    <n v="729.22"/>
    <n v="0"/>
    <n v="0"/>
    <n v="53931.08"/>
    <n v="672148862954"/>
    <d v="2026-07-21T00:00:00"/>
    <n v="0"/>
  </r>
  <r>
    <s v="HCP Plastene Bulkpack Ltd (Unit - IV)"/>
    <s v="21-07-2026"/>
    <s v="HPBL4/26-27/SII00964"/>
    <s v="FIG00001"/>
    <x v="4"/>
    <m/>
    <s v="HPBL4/RAW/26-27/394"/>
    <n v="243"/>
    <n v="243"/>
    <s v="Kgs"/>
    <n v="243"/>
    <n v="0"/>
    <n v="243"/>
    <s v="GJ12BU0544"/>
    <s v="Plastene Polyfilms Ltd-Purchase"/>
    <s v="Plastene Polyfilms Ltd-Purchase"/>
    <s v="PPL/D/384"/>
    <s v="21-07-2026"/>
    <s v="RAW MATERIAL"/>
    <s v="INDIGENOUS"/>
    <s v="RM 420"/>
    <n v="154.74"/>
    <n v="154.74"/>
    <s v="PPL/D/384"/>
    <s v="21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53931.08"/>
    <s v="FG"/>
    <s v="FIBC WIP"/>
    <s v="FIBC WIP"/>
    <s v="RM"/>
    <s v="erp"/>
    <n v="0"/>
    <n v="37601.82"/>
    <n v="918"/>
    <s v="21-07-2026"/>
    <s v="24AAFCP2956A1ZR"/>
    <s v="storepil6"/>
    <s v="storepil6"/>
    <n v="9"/>
    <n v="3384.16"/>
    <n v="9"/>
    <n v="3384.16"/>
    <n v="0"/>
    <n v="0"/>
    <n v="0"/>
    <n v="672148862954"/>
    <d v="2026-07-21T00:00:00"/>
    <n v="0"/>
  </r>
  <r>
    <s v="HCP Plastene Bulkpack Ltd (Unit - IV)"/>
    <s v="21-07-2026"/>
    <s v="HPBL4/26-27/SII00968"/>
    <s v="WIP00032"/>
    <x v="3"/>
    <m/>
    <s v="HPBL4/RAW/26-27/397"/>
    <n v="164.8"/>
    <n v="164.8"/>
    <s v="Kgs"/>
    <n v="164.8"/>
    <n v="0"/>
    <n v="164.8"/>
    <s v="GJ12BT2409"/>
    <s v="Plastene India ltd - Unit 1-Purchase"/>
    <s v="Plastene India ltd - Unit 1-Purchase"/>
    <s v="PIL1/D/1134."/>
    <s v="21-07-2026"/>
    <s v="RAW MATERIAL"/>
    <s v="INDIGENOUS"/>
    <s v="RM 422"/>
    <n v="170.49"/>
    <n v="170.48999938688399"/>
    <s v="PIL1/D/1134."/>
    <s v="21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834214.29"/>
    <s v="SF"/>
    <s v="Webbing"/>
    <s v="PP Webbing"/>
    <s v="RM"/>
    <s v="erp"/>
    <n v="0"/>
    <n v="28096.75"/>
    <n v="922"/>
    <s v="21-07-2026"/>
    <s v="24AAACO3087C1ZT"/>
    <s v="storepil6"/>
    <s v="storepil6"/>
    <n v="9"/>
    <n v="2528.71"/>
    <n v="9"/>
    <n v="2528.71"/>
    <n v="0"/>
    <n v="0"/>
    <n v="834214.29"/>
    <n v="632149037827"/>
    <d v="2026-07-21T00:00:00"/>
    <n v="0"/>
  </r>
  <r>
    <s v="HCP Plastene Bulkpack Ltd (Unit - IV)"/>
    <s v="21-07-2026"/>
    <s v="HPBL4/26-27/SII00968"/>
    <s v="WIP00032"/>
    <x v="3"/>
    <m/>
    <s v="HPBL4/RAW/26-27/397"/>
    <n v="620.6"/>
    <n v="620.6"/>
    <s v="Kgs"/>
    <n v="620.6"/>
    <n v="0"/>
    <n v="620.6"/>
    <s v="GJ12BT2409"/>
    <s v="Plastene India ltd - Unit 1-Purchase"/>
    <s v="Plastene India ltd - Unit 1-Purchase"/>
    <s v="PIL1/D/1134."/>
    <s v="21-07-2026"/>
    <s v="RAW MATERIAL"/>
    <s v="INDIGENOUS"/>
    <s v="RM 422"/>
    <n v="149.49"/>
    <n v="149.489999462404"/>
    <s v="PIL1/D/1134."/>
    <s v="21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834214.29"/>
    <s v="SF"/>
    <s v="Webbing"/>
    <s v="PP Webbing"/>
    <s v="RM"/>
    <s v="erp"/>
    <n v="0"/>
    <n v="92773.49"/>
    <n v="922"/>
    <s v="21-07-2026"/>
    <s v="24AAACO3087C1ZT"/>
    <s v="storepil6"/>
    <s v="storepil6"/>
    <n v="9"/>
    <n v="8349.61"/>
    <n v="9"/>
    <n v="8349.61"/>
    <n v="0"/>
    <n v="0"/>
    <n v="0"/>
    <n v="632149037827"/>
    <d v="2026-07-21T00:00:00"/>
    <n v="0"/>
  </r>
  <r>
    <s v="HCP Plastene Bulkpack Ltd (Unit - IV)"/>
    <s v="21-07-2026"/>
    <s v="HPBL4/26-27/SII00968"/>
    <s v="WIP00032"/>
    <x v="3"/>
    <m/>
    <s v="HPBL4/RAW/26-27/397"/>
    <n v="146.30000000000001"/>
    <n v="146.30000000000001"/>
    <s v="Kgs"/>
    <n v="146.30000000000001"/>
    <n v="0"/>
    <n v="146.30000000000001"/>
    <s v="GJ12BT2409"/>
    <s v="Plastene India ltd - Unit 1-Purchase"/>
    <s v="Plastene India ltd - Unit 1-Purchase"/>
    <s v="PIL1/D/1134."/>
    <s v="21-07-2026"/>
    <s v="RAW MATERIAL"/>
    <s v="INDIGENOUS"/>
    <s v="RM 422"/>
    <n v="146.49"/>
    <n v="146.489999473193"/>
    <s v="PIL1/D/1134."/>
    <s v="21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834214.29"/>
    <s v="SF"/>
    <s v="Webbing"/>
    <s v="PP Webbing"/>
    <s v="RM"/>
    <s v="erp"/>
    <n v="0"/>
    <n v="21431.49"/>
    <n v="922"/>
    <s v="21-07-2026"/>
    <s v="24AAACO3087C1ZT"/>
    <s v="storepil6"/>
    <s v="storepil6"/>
    <n v="9"/>
    <n v="1928.83"/>
    <n v="9"/>
    <n v="1928.83"/>
    <n v="0"/>
    <n v="0"/>
    <n v="0"/>
    <n v="632149037827"/>
    <d v="2026-07-21T00:00:00"/>
    <n v="0"/>
  </r>
  <r>
    <s v="HCP Plastene Bulkpack Ltd (Unit - IV)"/>
    <s v="21-07-2026"/>
    <s v="HPBL4/26-27/SII00968"/>
    <s v="WIP00023"/>
    <x v="0"/>
    <m/>
    <s v="HPBL4/RAW/26-27/397"/>
    <n v="1793"/>
    <n v="1793"/>
    <s v="Kgs"/>
    <n v="1793"/>
    <n v="0"/>
    <n v="1793"/>
    <s v="GJ12BT2409"/>
    <s v="Plastene India ltd - Unit 1-Purchase"/>
    <s v="Plastene India ltd - Unit 1-Purchase"/>
    <s v="PIL1/D/1134."/>
    <s v="21-07-2026"/>
    <s v="RAW MATERIAL"/>
    <s v="INDIGENOUS"/>
    <s v="RM 422"/>
    <n v="144.49"/>
    <n v="144.48999948038499"/>
    <s v="PIL1/D/1134."/>
    <s v="21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834214.29"/>
    <s v="SF"/>
    <s v="PP/PE Fabric"/>
    <s v="PP UL Fabric"/>
    <s v="RM"/>
    <s v="erp"/>
    <n v="0"/>
    <n v="259070.57"/>
    <n v="922"/>
    <s v="21-07-2026"/>
    <s v="24AAACO3087C1ZT"/>
    <s v="storepil6"/>
    <s v="storepil6"/>
    <n v="9"/>
    <n v="23316.35"/>
    <n v="9"/>
    <n v="23316.35"/>
    <n v="0"/>
    <n v="0"/>
    <n v="0"/>
    <n v="632149037827"/>
    <d v="2026-07-21T00:00:00"/>
    <n v="0"/>
  </r>
  <r>
    <s v="HCP Plastene Bulkpack Ltd (Unit - IV)"/>
    <s v="21-07-2026"/>
    <s v="HPBL4/26-27/SII00968"/>
    <s v="WIP00013"/>
    <x v="2"/>
    <m/>
    <s v="HPBL4/RAW/26-27/397"/>
    <n v="99"/>
    <n v="99"/>
    <s v="Kgs"/>
    <n v="99"/>
    <n v="0"/>
    <n v="99"/>
    <s v="GJ12BT2409"/>
    <s v="Plastene India ltd - Unit 1-Purchase"/>
    <s v="Plastene India ltd - Unit 1-Purchase"/>
    <s v="PIL1/D/1134."/>
    <s v="21-07-2026"/>
    <s v="RAW MATERIAL"/>
    <s v="INDIGENOUS"/>
    <s v="RM 422"/>
    <n v="190.78"/>
    <n v="190.77999931391699"/>
    <s v="PIL1/D/1134."/>
    <s v="21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834214.29"/>
    <s v="SF"/>
    <s v="Liners"/>
    <s v="LDPE/LLDPE Bags"/>
    <s v="RM"/>
    <s v="erp"/>
    <n v="0"/>
    <n v="18887.22"/>
    <n v="922"/>
    <s v="21-07-2026"/>
    <s v="24AAACO3087C1ZT"/>
    <s v="storepil6"/>
    <s v="storepil6"/>
    <n v="9"/>
    <n v="1699.85"/>
    <n v="9"/>
    <n v="1699.85"/>
    <n v="0"/>
    <n v="0"/>
    <n v="0"/>
    <n v="632149037827"/>
    <d v="2026-07-21T00:00:00"/>
    <n v="0"/>
  </r>
  <r>
    <s v="HCP Plastene Bulkpack Ltd (Unit - IV)"/>
    <s v="21-07-2026"/>
    <s v="HPBL4/26-27/SII00968"/>
    <s v="WIP00013"/>
    <x v="2"/>
    <m/>
    <s v="HPBL4/RAW/26-27/397"/>
    <n v="591"/>
    <n v="591"/>
    <s v="Kgs"/>
    <n v="591"/>
    <n v="0"/>
    <n v="591"/>
    <s v="GJ12BT2409"/>
    <s v="Plastene India ltd - Unit 1-Purchase"/>
    <s v="Plastene India ltd - Unit 1-Purchase"/>
    <s v="PIL1/D/1134."/>
    <s v="21-07-2026"/>
    <s v="RAW MATERIAL"/>
    <s v="INDIGENOUS"/>
    <s v="RM 422"/>
    <n v="186.78"/>
    <n v="186.77999932830201"/>
    <s v="PIL1/D/1134."/>
    <s v="21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834214.29"/>
    <s v="SF"/>
    <s v="Liners"/>
    <s v="LDPE/LLDPE Bags"/>
    <s v="RM"/>
    <s v="erp"/>
    <n v="0"/>
    <n v="110386.98"/>
    <n v="922"/>
    <s v="21-07-2026"/>
    <s v="24AAACO3087C1ZT"/>
    <s v="storepil6"/>
    <s v="storepil6"/>
    <n v="9"/>
    <n v="9934.83"/>
    <n v="9"/>
    <n v="9934.83"/>
    <n v="0"/>
    <n v="0"/>
    <n v="0"/>
    <n v="632149037827"/>
    <d v="2026-07-21T00:00:00"/>
    <n v="0"/>
  </r>
  <r>
    <s v="HCP Plastene Bulkpack Ltd (Unit - IV)"/>
    <s v="21-07-2026"/>
    <s v="HPBL4/26-27/SII00968"/>
    <s v="WIP00025"/>
    <x v="1"/>
    <m/>
    <s v="HPBL4/RAW/26-27/397"/>
    <n v="461"/>
    <n v="461"/>
    <s v="Kgs"/>
    <n v="461"/>
    <n v="0"/>
    <n v="461"/>
    <s v="GJ12BT2409"/>
    <s v="Plastene India ltd - Unit 1-Purchase"/>
    <s v="Plastene India ltd - Unit 1-Purchase"/>
    <s v="PIL1/D/1134."/>
    <s v="21-07-2026"/>
    <s v="RAW MATERIAL"/>
    <s v="INDIGENOUS"/>
    <s v="RM 422"/>
    <n v="148.49"/>
    <n v="148.489999466001"/>
    <s v="PIL1/D/1134."/>
    <s v="21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834214.29"/>
    <s v="SF"/>
    <s v="PP/PE Fabric"/>
    <s v="PP Lam Fabric"/>
    <s v="RM"/>
    <s v="erp"/>
    <n v="0"/>
    <n v="68453.89"/>
    <n v="922"/>
    <s v="21-07-2026"/>
    <s v="24AAACO3087C1ZT"/>
    <s v="storepil6"/>
    <s v="storepil6"/>
    <n v="9"/>
    <n v="6160.85"/>
    <n v="9"/>
    <n v="6160.85"/>
    <n v="0"/>
    <n v="0"/>
    <n v="0"/>
    <n v="632149037827"/>
    <d v="2026-07-21T00:00:00"/>
    <n v="0"/>
  </r>
  <r>
    <s v="HCP Plastene Bulkpack Ltd (Unit - IV)"/>
    <s v="21-07-2026"/>
    <s v="HPBL4/26-27/SII00968"/>
    <s v="WIP00025"/>
    <x v="1"/>
    <m/>
    <s v="HPBL4/RAW/26-27/397"/>
    <n v="712"/>
    <n v="712"/>
    <s v="Kgs"/>
    <n v="712"/>
    <n v="0"/>
    <n v="712"/>
    <s v="GJ12BT2409"/>
    <s v="Plastene India ltd - Unit 1-Purchase"/>
    <s v="Plastene India ltd - Unit 1-Purchase"/>
    <s v="PIL1/D/1134."/>
    <s v="21-07-2026"/>
    <s v="RAW MATERIAL"/>
    <s v="INDIGENOUS"/>
    <s v="RM 422"/>
    <n v="151.49"/>
    <n v="151.489999455212"/>
    <s v="PIL1/D/1134."/>
    <s v="21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834214.29"/>
    <s v="SF"/>
    <s v="PP/PE Fabric"/>
    <s v="PP Lam Fabric"/>
    <s v="RM"/>
    <s v="erp"/>
    <n v="0"/>
    <n v="107860.88"/>
    <n v="922"/>
    <s v="21-07-2026"/>
    <s v="24AAACO3087C1ZT"/>
    <s v="storepil6"/>
    <s v="storepil6"/>
    <n v="9"/>
    <n v="9707.48"/>
    <n v="9"/>
    <n v="9707.48"/>
    <n v="0"/>
    <n v="0"/>
    <n v="0"/>
    <n v="632149037827"/>
    <d v="2026-07-21T00:00:00"/>
    <n v="0"/>
  </r>
  <r>
    <s v="HCP Plastene Bulkpack Ltd (Unit - IV)"/>
    <s v="22-07-2026"/>
    <s v="HPBL4/26-27/SII00969"/>
    <s v="WIP00004"/>
    <x v="13"/>
    <m/>
    <s v="HPBL4/RAW/26-27/398"/>
    <n v="1259.6400000000001"/>
    <n v="1259.6400000000001"/>
    <s v="Kgs"/>
    <n v="1259.6400000000001"/>
    <n v="0"/>
    <n v="1259.6400000000001"/>
    <s v="GJ06XX6679"/>
    <s v="Hcp Plastene Bulkpack Ltd Vadodara Purchase"/>
    <s v="Hcp Plastene Bulkpack Ltd Vadodara Purchase"/>
    <s v="HPBLV/DC/7"/>
    <s v="21-07-2026"/>
    <s v="RAW MATERIAL"/>
    <s v="INDIGENOUS"/>
    <s v="RM 423"/>
    <n v="188.15"/>
    <n v="188.15000181131799"/>
    <s v="HPBLV/DC/7"/>
    <s v="21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394723.71"/>
    <s v="FG"/>
    <s v="FIBC Bags"/>
    <s v="FIBC Bags"/>
    <s v="FG"/>
    <s v="erp"/>
    <n v="0"/>
    <n v="237001.27"/>
    <n v="13"/>
    <s v="22-07-2026"/>
    <s v="24AABCG1282C2Z6"/>
    <s v="storepil6"/>
    <s v="storepil6"/>
    <n v="0"/>
    <n v="0"/>
    <n v="0"/>
    <n v="0"/>
    <n v="0"/>
    <n v="0"/>
    <n v="394723.71"/>
    <n v="622149060903"/>
    <d v="2026-07-21T00:00:00"/>
    <n v="0"/>
  </r>
  <r>
    <s v="HCP Plastene Bulkpack Ltd (Unit - IV)"/>
    <s v="22-07-2026"/>
    <s v="HPBL4/26-27/SII00969"/>
    <s v="WIP00004"/>
    <x v="13"/>
    <m/>
    <s v="HPBL4/RAW/26-27/398"/>
    <n v="858.26"/>
    <n v="858.26"/>
    <s v="Kgs"/>
    <n v="858.26"/>
    <n v="0"/>
    <n v="858.26"/>
    <s v="GJ06XX6679"/>
    <s v="Hcp Plastene Bulkpack Ltd Vadodara Purchase"/>
    <s v="Hcp Plastene Bulkpack Ltd Vadodara Purchase"/>
    <s v="HPBLV/DC/7"/>
    <s v="21-07-2026"/>
    <s v="RAW MATERIAL"/>
    <s v="INDIGENOUS"/>
    <s v="RM 423"/>
    <n v="183.77"/>
    <n v="183.77000176915101"/>
    <s v="HPBLV/DC/7"/>
    <s v="21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394723.71"/>
    <s v="FG"/>
    <s v="FIBC Bags"/>
    <s v="FIBC Bags"/>
    <s v="FG"/>
    <s v="erp"/>
    <n v="0"/>
    <n v="157722.44"/>
    <n v="13"/>
    <s v="22-07-2026"/>
    <s v="24AABCG1282C2Z6"/>
    <s v="storepil6"/>
    <s v="storepil6"/>
    <n v="0"/>
    <n v="0"/>
    <n v="0"/>
    <n v="0"/>
    <n v="0"/>
    <n v="0"/>
    <n v="0"/>
    <n v="622149060903"/>
    <d v="2026-07-21T00:00:00"/>
    <n v="0"/>
  </r>
  <r>
    <s v="HCP Plastene Bulkpack Ltd (Unit - IV)"/>
    <s v="22-07-2026"/>
    <s v="HPBL4/26-27/SII00970"/>
    <s v="RAW05764"/>
    <x v="14"/>
    <s v="HPBL4/26-27/RWM00003/01"/>
    <s v="HPBL4/RAW/26-27/325"/>
    <n v="5100"/>
    <n v="5100"/>
    <s v="Kgs"/>
    <n v="5100"/>
    <n v="0"/>
    <n v="5100"/>
    <s v="."/>
    <s v="Vyankatesh Udyog (I) Pvt Ltd - Purchase"/>
    <s v="Vyankatesh Udyog (I) Pvt Ltd - Purchase"/>
    <s v="1101/26-27"/>
    <d v="2026-12-07T00:00:00"/>
    <s v="RAW MATERIAL"/>
    <s v="INDIGENOUS"/>
    <s v="RM 424"/>
    <n v="108"/>
    <n v="108"/>
    <s v="1101/26-27"/>
    <d v="2026-12-07T00:00:00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649944"/>
    <s v="RM Consumables"/>
    <s v="Ink"/>
    <s v="Thinner"/>
    <s v="RM"/>
    <s v="erp"/>
    <n v="0"/>
    <n v="550800"/>
    <n v="898"/>
    <s v="18-07-2026"/>
    <s v="27AAECV8365Q1ZC"/>
    <s v="storepil6"/>
    <s v="storegrp"/>
    <n v="0"/>
    <n v="0"/>
    <n v="0"/>
    <n v="0"/>
    <n v="18"/>
    <n v="99144"/>
    <n v="649944"/>
    <n v="202241967584"/>
    <d v="2026-07-13T00:00:00"/>
    <n v="0"/>
  </r>
  <r>
    <s v="HCP Plastene Bulkpack Ltd (Unit - IV)"/>
    <s v="22-07-2026"/>
    <s v="HPBL4/26-27/SII00973"/>
    <s v="RAW05724"/>
    <x v="17"/>
    <s v="HPBL4/26-27/RWM00004/02"/>
    <s v="HPBL4/RAW/26-27/345"/>
    <n v="200"/>
    <n v="200"/>
    <s v="Kgs"/>
    <n v="200"/>
    <n v="0"/>
    <n v="200"/>
    <s v="."/>
    <s v="Vyankatesh Udyog (I) Pvt Ltd - Purchase"/>
    <s v="Vyankatesh Udyog (I) Pvt Ltd - Purchase"/>
    <s v="1155/26-27"/>
    <s v="16-07-2026"/>
    <s v="RAW MATERIAL"/>
    <s v="INDIGENOUS"/>
    <s v="RM 425"/>
    <n v="277"/>
    <n v="257.90488720114502"/>
    <s v="1155/26-27"/>
    <s v="16-07-2026"/>
    <m/>
    <s v="."/>
    <m/>
    <s v="V Trans India Ltd."/>
    <n v="4102516005"/>
    <n v="0"/>
    <n v="0"/>
    <n v="0"/>
    <n v="0"/>
    <n v="0"/>
    <s v="VAT"/>
    <n v="0"/>
    <n v="0"/>
    <n v="0"/>
    <n v="0"/>
    <n v="0"/>
    <m/>
    <n v="0"/>
    <n v="0"/>
    <n v="352083"/>
    <s v="RM Consumables"/>
    <s v="Ink"/>
    <s v="Ink"/>
    <s v="RM"/>
    <s v="erp"/>
    <n v="0"/>
    <n v="51580.98"/>
    <n v="925"/>
    <s v="21-07-2026"/>
    <s v="27AAECV8365Q1ZC"/>
    <s v="storepil6"/>
    <s v="storegrp"/>
    <n v="0"/>
    <n v="0"/>
    <n v="0"/>
    <n v="0"/>
    <n v="18"/>
    <n v="9972"/>
    <n v="352083"/>
    <n v="202244918691"/>
    <d v="2026-07-16T00:00:00"/>
    <n v="0"/>
  </r>
  <r>
    <s v="HCP Plastene Bulkpack Ltd (Unit - IV)"/>
    <s v="22-07-2026"/>
    <s v="HPBL4/26-27/SII00973"/>
    <s v="RAW05727"/>
    <x v="18"/>
    <s v="HPBL4/26-27/RWM00004/04"/>
    <s v="HPBL4/RAW/26-27/345"/>
    <n v="100"/>
    <n v="100"/>
    <s v="Kgs"/>
    <n v="100"/>
    <n v="0"/>
    <n v="100"/>
    <s v="."/>
    <s v="Vyankatesh Udyog (I) Pvt Ltd - Purchase"/>
    <s v="Vyankatesh Udyog (I) Pvt Ltd - Purchase"/>
    <s v="1155/26-27"/>
    <s v="16-07-2026"/>
    <s v="RAW MATERIAL"/>
    <s v="INDIGENOUS"/>
    <s v="RM 425"/>
    <n v="311"/>
    <n v="319.08769112860199"/>
    <s v="1155/26-27"/>
    <s v="16-07-2026"/>
    <m/>
    <s v="."/>
    <m/>
    <s v="V Trans India Ltd."/>
    <n v="4102516005"/>
    <n v="0"/>
    <n v="0"/>
    <n v="0"/>
    <n v="0"/>
    <n v="0"/>
    <s v="VAT"/>
    <n v="0"/>
    <n v="0"/>
    <n v="0"/>
    <n v="0"/>
    <n v="0"/>
    <m/>
    <n v="0"/>
    <n v="0"/>
    <n v="352083"/>
    <s v="RM Consumables"/>
    <s v="Ink"/>
    <s v="Ink"/>
    <s v="RM"/>
    <s v="erp"/>
    <n v="0"/>
    <n v="31908.77"/>
    <n v="925"/>
    <s v="21-07-2026"/>
    <s v="27AAECV8365Q1ZC"/>
    <s v="storepil6"/>
    <s v="storegrp"/>
    <n v="0"/>
    <n v="0"/>
    <n v="0"/>
    <n v="0"/>
    <n v="18"/>
    <n v="5598"/>
    <n v="0"/>
    <n v="202244918691"/>
    <d v="2026-07-16T00:00:00"/>
    <n v="0"/>
  </r>
  <r>
    <s v="HCP Plastene Bulkpack Ltd (Unit - IV)"/>
    <s v="22-07-2026"/>
    <s v="HPBL4/26-27/SII00973"/>
    <s v="RAW05728"/>
    <x v="19"/>
    <s v="HPBL4/26-27/RWM00004/06"/>
    <s v="HPBL4/RAW/26-27/345"/>
    <n v="150"/>
    <n v="150"/>
    <s v="Kgs"/>
    <n v="150"/>
    <n v="0"/>
    <n v="150"/>
    <s v="."/>
    <s v="Vyankatesh Udyog (I) Pvt Ltd - Purchase"/>
    <s v="Vyankatesh Udyog (I) Pvt Ltd - Purchase"/>
    <s v="1155/26-27"/>
    <s v="16-07-2026"/>
    <s v="RAW MATERIAL"/>
    <s v="INDIGENOUS"/>
    <s v="RM 425"/>
    <n v="282"/>
    <n v="276.345667947908"/>
    <s v="1155/26-27"/>
    <s v="16-07-2026"/>
    <m/>
    <s v="."/>
    <m/>
    <s v="V Trans India Ltd."/>
    <n v="4102516005"/>
    <n v="0"/>
    <n v="0"/>
    <n v="0"/>
    <n v="0"/>
    <n v="0"/>
    <s v="VAT"/>
    <n v="0"/>
    <n v="0"/>
    <n v="0"/>
    <n v="0"/>
    <n v="0"/>
    <m/>
    <n v="0"/>
    <n v="0"/>
    <n v="352083"/>
    <s v="RM Consumables"/>
    <s v="Ink"/>
    <s v="Ink"/>
    <s v="RM"/>
    <s v="erp"/>
    <n v="0"/>
    <n v="41451.85"/>
    <n v="925"/>
    <s v="21-07-2026"/>
    <s v="27AAECV8365Q1ZC"/>
    <s v="storepil6"/>
    <s v="storegrp"/>
    <n v="0"/>
    <n v="0"/>
    <n v="0"/>
    <n v="0"/>
    <n v="18"/>
    <n v="7614"/>
    <n v="0"/>
    <n v="202244918691"/>
    <d v="2026-07-16T00:00:00"/>
    <n v="0"/>
  </r>
  <r>
    <s v="HCP Plastene Bulkpack Ltd (Unit - IV)"/>
    <s v="22-07-2026"/>
    <s v="HPBL4/26-27/SII00973"/>
    <s v="RAW05729"/>
    <x v="20"/>
    <s v="HPBL4/26-27/RWM00004/08"/>
    <s v="HPBL4/RAW/26-27/345"/>
    <n v="75"/>
    <n v="75"/>
    <s v="Kgs"/>
    <n v="75"/>
    <n v="0"/>
    <n v="75"/>
    <s v="."/>
    <s v="Vyankatesh Udyog (I) Pvt Ltd - Purchase"/>
    <s v="Vyankatesh Udyog (I) Pvt Ltd - Purchase"/>
    <s v="1155/26-27"/>
    <s v="16-07-2026"/>
    <s v="RAW MATERIAL"/>
    <s v="INDIGENOUS"/>
    <s v="RM 425"/>
    <n v="285"/>
    <n v="304.85228843553898"/>
    <s v="1155/26-27"/>
    <s v="16-07-2026"/>
    <m/>
    <s v="."/>
    <m/>
    <s v="V Trans India Ltd."/>
    <n v="4102516005"/>
    <n v="0"/>
    <n v="0"/>
    <n v="0"/>
    <n v="0"/>
    <n v="0"/>
    <s v="VAT"/>
    <n v="0"/>
    <n v="0"/>
    <n v="0"/>
    <n v="0"/>
    <n v="0"/>
    <m/>
    <n v="0"/>
    <n v="0"/>
    <n v="352083"/>
    <s v="RM Consumables"/>
    <s v="Ink"/>
    <s v="Ink"/>
    <s v="RM"/>
    <s v="erp"/>
    <n v="0"/>
    <n v="22863.919999999998"/>
    <n v="925"/>
    <s v="21-07-2026"/>
    <s v="27AAECV8365Q1ZC"/>
    <s v="storepil6"/>
    <s v="storegrp"/>
    <n v="0"/>
    <n v="0"/>
    <n v="0"/>
    <n v="0"/>
    <n v="18"/>
    <n v="3847.5"/>
    <n v="0"/>
    <n v="202244918691"/>
    <d v="2026-07-16T00:00:00"/>
    <n v="0"/>
  </r>
  <r>
    <s v="HCP Plastene Bulkpack Ltd (Unit - IV)"/>
    <s v="22-07-2026"/>
    <s v="HPBL4/26-27/SII00973"/>
    <s v="RAW05731"/>
    <x v="12"/>
    <s v="HPBL4/26-27/RWM00004/07"/>
    <s v="HPBL4/RAW/26-27/345"/>
    <n v="50"/>
    <n v="50"/>
    <s v="Kgs"/>
    <n v="50"/>
    <n v="0"/>
    <n v="50"/>
    <s v="."/>
    <s v="Vyankatesh Udyog (I) Pvt Ltd - Purchase"/>
    <s v="Vyankatesh Udyog (I) Pvt Ltd - Purchase"/>
    <s v="1155/26-27"/>
    <s v="16-07-2026"/>
    <s v="RAW MATERIAL"/>
    <s v="INDIGENOUS"/>
    <s v="RM 425"/>
    <n v="277"/>
    <n v="306.38130617399497"/>
    <s v="1155/26-27"/>
    <s v="16-07-2026"/>
    <m/>
    <s v="."/>
    <m/>
    <s v="V Trans India Ltd."/>
    <n v="4102516005"/>
    <n v="0"/>
    <n v="0"/>
    <n v="0"/>
    <n v="0"/>
    <n v="0"/>
    <s v="VAT"/>
    <n v="0"/>
    <n v="0"/>
    <n v="0"/>
    <n v="0"/>
    <n v="0"/>
    <m/>
    <n v="0"/>
    <n v="0"/>
    <n v="352083"/>
    <s v="RM Consumables"/>
    <s v="Ink"/>
    <s v="Ink"/>
    <s v="RM"/>
    <s v="erp"/>
    <n v="0"/>
    <n v="15319.07"/>
    <n v="925"/>
    <s v="21-07-2026"/>
    <s v="27AAECV8365Q1ZC"/>
    <s v="storepil6"/>
    <s v="storegrp"/>
    <n v="0"/>
    <n v="0"/>
    <n v="0"/>
    <n v="0"/>
    <n v="18"/>
    <n v="2493"/>
    <n v="0"/>
    <n v="202244918691"/>
    <d v="2026-07-16T00:00:00"/>
    <n v="0"/>
  </r>
  <r>
    <s v="HCP Plastene Bulkpack Ltd (Unit - IV)"/>
    <s v="22-07-2026"/>
    <s v="HPBL4/26-27/SII00973"/>
    <s v="RAW05755"/>
    <x v="21"/>
    <s v="HPBL4/26-27/RWM00004/05"/>
    <s v="HPBL4/RAW/26-27/345"/>
    <n v="100"/>
    <n v="100"/>
    <s v="Kgs"/>
    <n v="100"/>
    <n v="0"/>
    <n v="100"/>
    <s v="."/>
    <s v="Vyankatesh Udyog (I) Pvt Ltd - Purchase"/>
    <s v="Vyankatesh Udyog (I) Pvt Ltd - Purchase"/>
    <s v="1155/26-27"/>
    <s v="16-07-2026"/>
    <s v="RAW MATERIAL"/>
    <s v="INDIGENOUS"/>
    <s v="RM 425"/>
    <n v="277"/>
    <n v="288.31705211625302"/>
    <s v="1155/26-27"/>
    <s v="16-07-2026"/>
    <m/>
    <s v="."/>
    <m/>
    <s v="V Trans India Ltd."/>
    <n v="4102516005"/>
    <n v="0"/>
    <n v="0"/>
    <n v="0"/>
    <n v="0"/>
    <n v="0"/>
    <s v="VAT"/>
    <n v="0"/>
    <n v="0"/>
    <n v="0"/>
    <n v="0"/>
    <n v="0"/>
    <m/>
    <n v="0"/>
    <n v="0"/>
    <n v="352083"/>
    <s v="RM Consumables"/>
    <s v="Ink"/>
    <s v="Ink"/>
    <s v="RM"/>
    <s v="erp"/>
    <n v="0"/>
    <n v="28831.71"/>
    <n v="925"/>
    <s v="21-07-2026"/>
    <s v="27AAECV8365Q1ZC"/>
    <s v="storepil6"/>
    <s v="storegrp"/>
    <n v="0"/>
    <n v="0"/>
    <n v="0"/>
    <n v="0"/>
    <n v="18"/>
    <n v="4986"/>
    <n v="0"/>
    <n v="202244918691"/>
    <d v="2026-07-16T00:00:00"/>
    <n v="0"/>
  </r>
  <r>
    <s v="HCP Plastene Bulkpack Ltd (Unit - IV)"/>
    <s v="22-07-2026"/>
    <s v="HPBL4/26-27/SII00973"/>
    <s v="RAW05759"/>
    <x v="22"/>
    <s v="HPBL4/26-27/RWM00004/03"/>
    <s v="HPBL4/RAW/26-27/345"/>
    <n v="150"/>
    <n v="150"/>
    <s v="Kgs"/>
    <n v="150"/>
    <n v="0"/>
    <n v="150"/>
    <s v="."/>
    <s v="Vyankatesh Udyog (I) Pvt Ltd - Purchase"/>
    <s v="Vyankatesh Udyog (I) Pvt Ltd - Purchase"/>
    <s v="1155/26-27"/>
    <s v="16-07-2026"/>
    <s v="RAW MATERIAL"/>
    <s v="INDIGENOUS"/>
    <s v="RM 425"/>
    <n v="277"/>
    <n v="272.26433598450097"/>
    <s v="1155/26-27"/>
    <s v="16-07-2026"/>
    <m/>
    <s v="."/>
    <m/>
    <s v="V Trans India Ltd."/>
    <n v="4102516005"/>
    <n v="0"/>
    <n v="0"/>
    <n v="0"/>
    <n v="0"/>
    <n v="0"/>
    <s v="VAT"/>
    <n v="0"/>
    <n v="0"/>
    <n v="0"/>
    <n v="0"/>
    <n v="0"/>
    <m/>
    <n v="0"/>
    <n v="0"/>
    <n v="352083"/>
    <s v="RM Consumables"/>
    <s v="Ink"/>
    <s v="Ink"/>
    <s v="RM"/>
    <s v="erp"/>
    <n v="0"/>
    <n v="40839.65"/>
    <n v="925"/>
    <s v="21-07-2026"/>
    <s v="27AAECV8365Q1ZC"/>
    <s v="storepil6"/>
    <s v="storegrp"/>
    <n v="0"/>
    <n v="0"/>
    <n v="0"/>
    <n v="0"/>
    <n v="18"/>
    <n v="7479"/>
    <n v="0"/>
    <n v="202244918691"/>
    <d v="2026-07-16T00:00:00"/>
    <n v="0"/>
  </r>
  <r>
    <s v="HCP Plastene Bulkpack Ltd (Unit - IV)"/>
    <s v="22-07-2026"/>
    <s v="HPBL4/26-27/SII00973"/>
    <s v="RAW05761"/>
    <x v="23"/>
    <s v="HPBL4/26-27/RWM00004/01"/>
    <s v="HPBL4/RAW/26-27/345"/>
    <n v="300"/>
    <n v="300"/>
    <s v="Kgs"/>
    <n v="300"/>
    <n v="0"/>
    <n v="300"/>
    <s v="."/>
    <s v="Vyankatesh Udyog (I) Pvt Ltd - Purchase"/>
    <s v="Vyankatesh Udyog (I) Pvt Ltd - Purchase"/>
    <s v="1155/26-27"/>
    <s v="16-07-2026"/>
    <s v="RAW MATERIAL"/>
    <s v="INDIGENOUS"/>
    <s v="RM 425"/>
    <n v="217"/>
    <n v="194.84394023242899"/>
    <s v="1155/26-27"/>
    <s v="16-07-2026"/>
    <m/>
    <s v="."/>
    <m/>
    <s v="V Trans India Ltd."/>
    <n v="4102516005"/>
    <n v="0"/>
    <n v="0"/>
    <n v="0"/>
    <n v="0"/>
    <n v="0"/>
    <s v="VAT"/>
    <n v="0"/>
    <n v="0"/>
    <n v="0"/>
    <n v="0"/>
    <n v="0"/>
    <m/>
    <n v="0"/>
    <n v="0"/>
    <n v="352083"/>
    <s v="RM Consumables"/>
    <s v="Ink"/>
    <s v="Ink"/>
    <s v="RM"/>
    <s v="erp"/>
    <n v="0"/>
    <n v="58453.18"/>
    <n v="925"/>
    <s v="21-07-2026"/>
    <s v="27AAECV8365Q1ZC"/>
    <s v="storepil6"/>
    <s v="storegrp"/>
    <n v="0"/>
    <n v="0"/>
    <n v="0"/>
    <n v="0"/>
    <n v="18"/>
    <n v="11718"/>
    <n v="0"/>
    <n v="202244918691"/>
    <d v="2026-07-16T00:00:00"/>
    <n v="0"/>
  </r>
  <r>
    <s v="HCP Plastene Bulkpack Ltd (Unit - IV)"/>
    <s v="22-07-2026"/>
    <s v="HPBL4/26-27/SII00979"/>
    <s v="SMF00052"/>
    <x v="7"/>
    <m/>
    <s v="HPBL4/RAW/26-27/400"/>
    <n v="955.7"/>
    <n v="955.7"/>
    <s v="Kgs"/>
    <n v="955.7"/>
    <n v="0"/>
    <n v="955.7"/>
    <s v="GJ24X6976"/>
    <s v="K.P. Woven Pvt Ltd-Purchase"/>
    <s v="K.P. Woven Pvt Ltd-Purchase"/>
    <s v="KPV/D/498"/>
    <s v="21-07-2026"/>
    <s v="RAW MATERIAL"/>
    <s v="INDIGENOUS"/>
    <s v="RM 427"/>
    <n v="154.15"/>
    <n v="154.150001602949"/>
    <s v="KPV/D/498"/>
    <s v="21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480832.66"/>
    <s v="SF"/>
    <s v="Yarn All"/>
    <s v="PP Yarn"/>
    <s v="RM"/>
    <s v="erp"/>
    <n v="0"/>
    <n v="147321.16"/>
    <n v="929"/>
    <s v="22-07-2026"/>
    <s v="24AAECK6307M1ZF"/>
    <s v="storepil6"/>
    <s v="storepil6"/>
    <n v="2.5"/>
    <n v="3683.03"/>
    <n v="2.5"/>
    <n v="3683.03"/>
    <n v="0"/>
    <n v="0"/>
    <n v="480832.66"/>
    <n v="652149241549"/>
    <d v="2026-07-21T00:00:00"/>
    <n v="0"/>
  </r>
  <r>
    <s v="HCP Plastene Bulkpack Ltd (Unit - IV)"/>
    <s v="22-07-2026"/>
    <s v="HPBL4/26-27/SII00979"/>
    <s v="WIP00023"/>
    <x v="0"/>
    <m/>
    <s v="HPBL4/RAW/26-27/400"/>
    <n v="1270.8"/>
    <n v="1270.8"/>
    <s v="Kgs"/>
    <n v="1270.8"/>
    <n v="0"/>
    <n v="1270.8"/>
    <s v="GJ24X6976"/>
    <s v="K.P. Woven Pvt Ltd-Purchase"/>
    <s v="K.P. Woven Pvt Ltd-Purchase"/>
    <s v="KPV/D/498"/>
    <s v="21-07-2026"/>
    <s v="RAW MATERIAL"/>
    <s v="INDIGENOUS"/>
    <s v="RM 427"/>
    <n v="169.15"/>
    <n v="169.150001758928"/>
    <s v="KPV/D/498"/>
    <s v="21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480832.66"/>
    <s v="SF"/>
    <s v="PP/PE Fabric"/>
    <s v="PP UL Fabric"/>
    <s v="RM"/>
    <s v="erp"/>
    <n v="0"/>
    <n v="214955.82"/>
    <n v="929"/>
    <s v="22-07-2026"/>
    <s v="24AAECK6307M1ZF"/>
    <s v="storepil6"/>
    <s v="storepil6"/>
    <n v="9"/>
    <n v="19346.02"/>
    <n v="9"/>
    <n v="19346.02"/>
    <n v="0"/>
    <n v="0"/>
    <n v="0"/>
    <n v="652149241549"/>
    <d v="2026-07-21T00:00:00"/>
    <n v="0"/>
  </r>
  <r>
    <s v="HCP Plastene Bulkpack Ltd (Unit - IV)"/>
    <s v="22-07-2026"/>
    <s v="HPBL4/26-27/SII00979"/>
    <s v="SMF00054"/>
    <x v="8"/>
    <m/>
    <s v="HPBL4/RAW/26-27/400"/>
    <n v="456.8"/>
    <n v="456.8"/>
    <s v="Kgs"/>
    <n v="456.8"/>
    <n v="0"/>
    <n v="456.8"/>
    <s v="GJ24X6976"/>
    <s v="K.P. Woven Pvt Ltd-Purchase"/>
    <s v="K.P. Woven Pvt Ltd-Purchase"/>
    <s v="KPV/D/498"/>
    <s v="21-07-2026"/>
    <s v="RAW MATERIAL"/>
    <s v="INDIGENOUS"/>
    <s v="RM 427"/>
    <n v="151.15"/>
    <n v="151.15000157175299"/>
    <s v="KPV/D/498"/>
    <s v="21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480832.66"/>
    <s v="SF"/>
    <s v="Yarn All"/>
    <s v="PP Yarn"/>
    <s v="RM"/>
    <s v="erp"/>
    <n v="0"/>
    <n v="69045.320000000007"/>
    <n v="929"/>
    <s v="22-07-2026"/>
    <s v="24AAECK6307M1ZF"/>
    <s v="storepil6"/>
    <s v="storepil6"/>
    <n v="2.5"/>
    <n v="1726.13"/>
    <n v="2.5"/>
    <n v="1726.13"/>
    <n v="0"/>
    <n v="0"/>
    <n v="0"/>
    <n v="652149241549"/>
    <d v="2026-07-21T00:00:00"/>
    <n v="0"/>
  </r>
  <r>
    <s v="HCP Plastene Bulkpack Ltd (Unit - IV)"/>
    <s v="22-07-2026"/>
    <s v="HPBL4/26-27/SII00981"/>
    <s v="WIP00023"/>
    <x v="0"/>
    <m/>
    <s v="HPBL4/RAW/26-27/401"/>
    <n v="760"/>
    <n v="760"/>
    <s v="Kgs"/>
    <n v="760"/>
    <n v="0"/>
    <n v="760"/>
    <s v="GJ12BT2409"/>
    <s v="Plastene India ltd - Unit 1-Purchase"/>
    <s v="Plastene India ltd - Unit 1-Purchase"/>
    <s v="PIL1/D/1146"/>
    <s v="22-07-2026"/>
    <s v="RAW MATERIAL"/>
    <s v="INDIGENOUS"/>
    <s v="RM 428"/>
    <n v="146.49"/>
    <n v="146.49"/>
    <s v="PIL1/D/1146"/>
    <s v="22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74823.02"/>
    <s v="SF"/>
    <s v="PP/PE Fabric"/>
    <s v="PP UL Fabric"/>
    <s v="RM"/>
    <s v="erp"/>
    <n v="0"/>
    <n v="111332.4"/>
    <n v="1537"/>
    <s v="22-07-2026"/>
    <s v="24AAACO3087C1ZT"/>
    <s v="storepil6"/>
    <s v="storepil6"/>
    <n v="9"/>
    <n v="10019.92"/>
    <n v="9"/>
    <n v="10019.92"/>
    <n v="0"/>
    <n v="0"/>
    <n v="1374823.02"/>
    <n v="622149496872"/>
    <d v="2026-07-22T00:00:00"/>
    <n v="0"/>
  </r>
  <r>
    <s v="HCP Plastene Bulkpack Ltd (Unit - IV)"/>
    <s v="22-07-2026"/>
    <s v="HPBL4/26-27/SII00981"/>
    <s v="WIP00023"/>
    <x v="0"/>
    <m/>
    <s v="HPBL4/RAW/26-27/401"/>
    <n v="5288"/>
    <n v="5288"/>
    <s v="Kgs"/>
    <n v="5288"/>
    <n v="0"/>
    <n v="5288"/>
    <s v="GJ12BT2409"/>
    <s v="Plastene India ltd - Unit 1-Purchase"/>
    <s v="Plastene India ltd - Unit 1-Purchase"/>
    <s v="PIL1/D/1146"/>
    <s v="22-07-2026"/>
    <s v="RAW MATERIAL"/>
    <s v="INDIGENOUS"/>
    <s v="RM 428"/>
    <n v="144.49"/>
    <n v="144.49"/>
    <s v="PIL1/D/1146"/>
    <s v="22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74823.02"/>
    <s v="SF"/>
    <s v="PP/PE Fabric"/>
    <s v="PP UL Fabric"/>
    <s v="RM"/>
    <s v="erp"/>
    <n v="0"/>
    <n v="764063.12"/>
    <n v="1537"/>
    <s v="22-07-2026"/>
    <s v="24AAACO3087C1ZT"/>
    <s v="storepil6"/>
    <s v="storepil6"/>
    <n v="9"/>
    <n v="68765.679999999993"/>
    <n v="9"/>
    <n v="68765.679999999993"/>
    <n v="0"/>
    <n v="0"/>
    <n v="0"/>
    <n v="622149496872"/>
    <d v="2026-07-22T00:00:00"/>
    <n v="0"/>
  </r>
  <r>
    <s v="HCP Plastene Bulkpack Ltd (Unit - IV)"/>
    <s v="22-07-2026"/>
    <s v="HPBL4/26-27/SII00981"/>
    <s v="WIP00023"/>
    <x v="0"/>
    <m/>
    <s v="HPBL4/RAW/26-27/401"/>
    <n v="318"/>
    <n v="318"/>
    <s v="Kgs"/>
    <n v="318"/>
    <n v="0"/>
    <n v="318"/>
    <s v="GJ12BT2409"/>
    <s v="Plastene India ltd - Unit 1-Purchase"/>
    <s v="Plastene India ltd - Unit 1-Purchase"/>
    <s v="PIL1/D/1146"/>
    <s v="22-07-2026"/>
    <s v="RAW MATERIAL"/>
    <s v="INDIGENOUS"/>
    <s v="RM 428"/>
    <n v="147.49"/>
    <n v="147.49"/>
    <s v="PIL1/D/1146"/>
    <s v="22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74823.02"/>
    <s v="SF"/>
    <s v="PP/PE Fabric"/>
    <s v="PP UL Fabric"/>
    <s v="RM"/>
    <s v="erp"/>
    <n v="0"/>
    <n v="46901.82"/>
    <n v="1537"/>
    <s v="22-07-2026"/>
    <s v="24AAACO3087C1ZT"/>
    <s v="storepil6"/>
    <s v="storepil6"/>
    <n v="9"/>
    <n v="4221.16"/>
    <n v="9"/>
    <n v="4221.16"/>
    <n v="0"/>
    <n v="0"/>
    <n v="0"/>
    <n v="622149496872"/>
    <d v="2026-07-22T00:00:00"/>
    <n v="0"/>
  </r>
  <r>
    <s v="HCP Plastene Bulkpack Ltd (Unit - IV)"/>
    <s v="22-07-2026"/>
    <s v="HPBL4/26-27/SII00981"/>
    <s v="WIP00025"/>
    <x v="1"/>
    <m/>
    <s v="HPBL4/RAW/26-27/401"/>
    <n v="1345"/>
    <n v="1345"/>
    <s v="Kgs"/>
    <n v="1345"/>
    <n v="0"/>
    <n v="1345"/>
    <s v="GJ12BT2409"/>
    <s v="Plastene India ltd - Unit 1-Purchase"/>
    <s v="Plastene India ltd - Unit 1-Purchase"/>
    <s v="PIL1/D/1146"/>
    <s v="22-07-2026"/>
    <s v="RAW MATERIAL"/>
    <s v="INDIGENOUS"/>
    <s v="RM 428"/>
    <n v="151.49"/>
    <n v="151.49"/>
    <s v="PIL1/D/1146"/>
    <s v="22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74823.02"/>
    <s v="SF"/>
    <s v="PP/PE Fabric"/>
    <s v="PP Lam Fabric"/>
    <s v="RM"/>
    <s v="erp"/>
    <n v="0"/>
    <n v="203754.05"/>
    <n v="1537"/>
    <s v="22-07-2026"/>
    <s v="24AAACO3087C1ZT"/>
    <s v="storepil6"/>
    <s v="storepil6"/>
    <n v="9"/>
    <n v="18337.86"/>
    <n v="9"/>
    <n v="18337.86"/>
    <n v="0"/>
    <n v="0"/>
    <n v="0"/>
    <n v="622149496872"/>
    <d v="2026-07-22T00:00:00"/>
    <n v="0"/>
  </r>
  <r>
    <s v="HCP Plastene Bulkpack Ltd (Unit - IV)"/>
    <s v="22-07-2026"/>
    <s v="HPBL4/26-27/SII00981"/>
    <s v="WIP00025"/>
    <x v="1"/>
    <m/>
    <s v="HPBL4/RAW/26-27/401"/>
    <n v="263"/>
    <n v="263"/>
    <s v="Kgs"/>
    <n v="263"/>
    <n v="0"/>
    <n v="263"/>
    <s v="GJ12BT2409"/>
    <s v="Plastene India ltd - Unit 1-Purchase"/>
    <s v="Plastene India ltd - Unit 1-Purchase"/>
    <s v="PIL1/D/1146"/>
    <s v="22-07-2026"/>
    <s v="RAW MATERIAL"/>
    <s v="INDIGENOUS"/>
    <s v="RM 428"/>
    <n v="148.49"/>
    <n v="148.49"/>
    <s v="PIL1/D/1146"/>
    <s v="22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74823.02"/>
    <s v="SF"/>
    <s v="PP/PE Fabric"/>
    <s v="PP Lam Fabric"/>
    <s v="RM"/>
    <s v="erp"/>
    <n v="0"/>
    <n v="39052.870000000003"/>
    <n v="1537"/>
    <s v="22-07-2026"/>
    <s v="24AAACO3087C1ZT"/>
    <s v="storepil6"/>
    <s v="storepil6"/>
    <n v="9"/>
    <n v="3514.76"/>
    <n v="9"/>
    <n v="3514.76"/>
    <n v="0"/>
    <n v="0"/>
    <n v="0"/>
    <n v="622149496872"/>
    <d v="2026-07-22T00:00:00"/>
    <n v="0"/>
  </r>
  <r>
    <s v="HCP Plastene Bulkpack Ltd (Unit - IV)"/>
    <s v="22-07-2026"/>
    <s v="HPBL4/26-27/SII00982"/>
    <s v="WIP00023"/>
    <x v="0"/>
    <m/>
    <s v="HPBL4/RAW/26-27/401"/>
    <n v="1220"/>
    <n v="1220"/>
    <s v="Kgs"/>
    <n v="1220"/>
    <n v="0"/>
    <n v="1220"/>
    <s v="GJ12BY0479"/>
    <s v="Plastene India ltd - Unit 1-Purchase"/>
    <s v="Plastene India ltd - Unit 1-Purchase"/>
    <s v="PIL1/D/1149"/>
    <s v="22-07-2026"/>
    <s v="RAW MATERIAL"/>
    <s v="INDIGENOUS"/>
    <s v="RM 429"/>
    <n v="144.49"/>
    <n v="144.49"/>
    <s v="PIL1/D/1149"/>
    <s v="22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08007.8"/>
    <s v="SF"/>
    <s v="PP/PE Fabric"/>
    <s v="PP UL Fabric"/>
    <s v="RM"/>
    <s v="erp"/>
    <n v="0"/>
    <n v="176277.8"/>
    <n v="933"/>
    <s v="22-07-2026"/>
    <s v="24AAACO3087C1ZT"/>
    <s v="storepil6"/>
    <s v="storepil6"/>
    <n v="9"/>
    <n v="15865"/>
    <n v="9"/>
    <n v="15865"/>
    <n v="0"/>
    <n v="0"/>
    <n v="208007.8"/>
    <n v="672149617522"/>
    <d v="2026-07-22T00:00:00"/>
    <n v="0"/>
  </r>
  <r>
    <s v="HCP Plastene Bulkpack Ltd (Unit - IV)"/>
    <s v="22-07-2026"/>
    <s v="HPBL4/26-27/SII00983"/>
    <s v="WIP00023"/>
    <x v="0"/>
    <m/>
    <s v="HPBL4/RAW/26-27/402"/>
    <n v="633"/>
    <n v="633"/>
    <s v="Kgs"/>
    <n v="633"/>
    <n v="0"/>
    <n v="633"/>
    <s v="GJ12BT2409"/>
    <s v="Plastene India ltd - Unit 1-Purchase"/>
    <s v="Plastene India ltd - Unit 1-Purchase"/>
    <s v="PIL1/D/1147"/>
    <s v="22-07-2026"/>
    <s v="RAW MATERIAL"/>
    <s v="INDIGENOUS"/>
    <s v="RM 430"/>
    <n v="146.49"/>
    <n v="146.49000050550299"/>
    <s v="PIL1/D/1147"/>
    <s v="22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448953.86"/>
    <s v="SF"/>
    <s v="PP/PE Fabric"/>
    <s v="PP UL Fabric"/>
    <s v="RM"/>
    <s v="erp"/>
    <n v="0"/>
    <n v="92728.17"/>
    <n v="931"/>
    <s v="22-07-2026"/>
    <s v="24AAACO3087C1ZT"/>
    <s v="storepil6"/>
    <s v="storepil6"/>
    <n v="9"/>
    <n v="8345.5400000000009"/>
    <n v="9"/>
    <n v="8345.5400000000009"/>
    <n v="0"/>
    <n v="0"/>
    <n v="1448953.86"/>
    <n v="612149582727"/>
    <d v="2026-07-22T00:00:00"/>
    <n v="0"/>
  </r>
  <r>
    <s v="HCP Plastene Bulkpack Ltd (Unit - IV)"/>
    <s v="22-07-2026"/>
    <s v="HPBL4/26-27/SII00983"/>
    <s v="WIP00023"/>
    <x v="0"/>
    <m/>
    <s v="HPBL4/RAW/26-27/402"/>
    <n v="215"/>
    <n v="215"/>
    <s v="Kgs"/>
    <n v="215"/>
    <n v="0"/>
    <n v="215"/>
    <s v="GJ12BT2409"/>
    <s v="Plastene India ltd - Unit 1-Purchase"/>
    <s v="Plastene India ltd - Unit 1-Purchase"/>
    <s v="PIL1/D/1147"/>
    <s v="22-07-2026"/>
    <s v="RAW MATERIAL"/>
    <s v="INDIGENOUS"/>
    <s v="RM 430"/>
    <n v="147.49"/>
    <n v="147.49000050895299"/>
    <s v="PIL1/D/1147"/>
    <s v="22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448953.86"/>
    <s v="SF"/>
    <s v="PP/PE Fabric"/>
    <s v="PP UL Fabric"/>
    <s v="RM"/>
    <s v="erp"/>
    <n v="0"/>
    <n v="31710.35"/>
    <n v="931"/>
    <s v="22-07-2026"/>
    <s v="24AAACO3087C1ZT"/>
    <s v="storepil6"/>
    <s v="storepil6"/>
    <n v="9"/>
    <n v="2853.93"/>
    <n v="9"/>
    <n v="2853.93"/>
    <n v="0"/>
    <n v="0"/>
    <n v="0"/>
    <n v="612149582727"/>
    <d v="2026-07-22T00:00:00"/>
    <n v="0"/>
  </r>
  <r>
    <s v="HCP Plastene Bulkpack Ltd (Unit - IV)"/>
    <s v="22-07-2026"/>
    <s v="HPBL4/26-27/SII00983"/>
    <s v="WIP00023"/>
    <x v="0"/>
    <m/>
    <s v="HPBL4/RAW/26-27/402"/>
    <n v="3002"/>
    <n v="3002"/>
    <s v="Kgs"/>
    <n v="3002"/>
    <n v="0"/>
    <n v="3002"/>
    <s v="GJ12BT2409"/>
    <s v="Plastene India ltd - Unit 1-Purchase"/>
    <s v="Plastene India ltd - Unit 1-Purchase"/>
    <s v="PIL1/D/1147"/>
    <s v="22-07-2026"/>
    <s v="RAW MATERIAL"/>
    <s v="INDIGENOUS"/>
    <s v="RM 430"/>
    <n v="144.49"/>
    <n v="144.49000049860101"/>
    <s v="PIL1/D/1147"/>
    <s v="22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448953.86"/>
    <s v="SF"/>
    <s v="PP/PE Fabric"/>
    <s v="PP UL Fabric"/>
    <s v="RM"/>
    <s v="erp"/>
    <n v="0"/>
    <n v="433758.98"/>
    <n v="931"/>
    <s v="22-07-2026"/>
    <s v="24AAACO3087C1ZT"/>
    <s v="storepil6"/>
    <s v="storepil6"/>
    <n v="9"/>
    <n v="39038.31"/>
    <n v="9"/>
    <n v="39038.31"/>
    <n v="0"/>
    <n v="0"/>
    <n v="0"/>
    <n v="612149582727"/>
    <d v="2026-07-22T00:00:00"/>
    <n v="0"/>
  </r>
  <r>
    <s v="HCP Plastene Bulkpack Ltd (Unit - IV)"/>
    <s v="22-07-2026"/>
    <s v="HPBL4/26-27/SII00983"/>
    <s v="WIP00013"/>
    <x v="2"/>
    <m/>
    <s v="HPBL4/RAW/26-27/402"/>
    <n v="2186"/>
    <n v="2186"/>
    <s v="Kgs"/>
    <n v="2186"/>
    <n v="0"/>
    <n v="2186"/>
    <s v="GJ12BT2409"/>
    <s v="Plastene India ltd - Unit 1-Purchase"/>
    <s v="Plastene India ltd - Unit 1-Purchase"/>
    <s v="PIL1/D/1147"/>
    <s v="22-07-2026"/>
    <s v="RAW MATERIAL"/>
    <s v="INDIGENOUS"/>
    <s v="RM 430"/>
    <n v="182.78"/>
    <n v="182.780000630731"/>
    <s v="PIL1/D/1147"/>
    <s v="22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448953.86"/>
    <s v="SF"/>
    <s v="Liners"/>
    <s v="LDPE/LLDPE Bags"/>
    <s v="RM"/>
    <s v="erp"/>
    <n v="0"/>
    <n v="399557.08"/>
    <n v="931"/>
    <s v="22-07-2026"/>
    <s v="24AAACO3087C1ZT"/>
    <s v="storepil6"/>
    <s v="storepil6"/>
    <n v="9"/>
    <n v="35960.14"/>
    <n v="9"/>
    <n v="35960.14"/>
    <n v="0"/>
    <n v="0"/>
    <n v="0"/>
    <n v="612149582727"/>
    <d v="2026-07-22T00:00:00"/>
    <n v="0"/>
  </r>
  <r>
    <s v="HCP Plastene Bulkpack Ltd (Unit - IV)"/>
    <s v="22-07-2026"/>
    <s v="HPBL4/26-27/SII00983"/>
    <s v="WIP00013"/>
    <x v="2"/>
    <m/>
    <s v="HPBL4/RAW/26-27/402"/>
    <n v="588"/>
    <n v="588"/>
    <s v="Kgs"/>
    <n v="588"/>
    <n v="0"/>
    <n v="588"/>
    <s v="GJ12BT2409"/>
    <s v="Plastene India ltd - Unit 1-Purchase"/>
    <s v="Plastene India ltd - Unit 1-Purchase"/>
    <s v="PIL1/D/1147"/>
    <s v="22-07-2026"/>
    <s v="RAW MATERIAL"/>
    <s v="INDIGENOUS"/>
    <s v="RM 430"/>
    <n v="186.78"/>
    <n v="186.780000644534"/>
    <s v="PIL1/D/1147"/>
    <s v="22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448953.86"/>
    <s v="SF"/>
    <s v="Liners"/>
    <s v="LDPE/LLDPE Bags"/>
    <s v="RM"/>
    <s v="erp"/>
    <n v="0"/>
    <n v="109826.64"/>
    <n v="931"/>
    <s v="22-07-2026"/>
    <s v="24AAACO3087C1ZT"/>
    <s v="storepil6"/>
    <s v="storepil6"/>
    <n v="9"/>
    <n v="9884.4"/>
    <n v="9"/>
    <n v="9884.4"/>
    <n v="0"/>
    <n v="0"/>
    <n v="0"/>
    <n v="612149582727"/>
    <d v="2026-07-22T00:00:00"/>
    <n v="0"/>
  </r>
  <r>
    <s v="HCP Plastene Bulkpack Ltd (Unit - IV)"/>
    <s v="22-07-2026"/>
    <s v="HPBL4/26-27/SII00983"/>
    <s v="WIP00032"/>
    <x v="3"/>
    <m/>
    <s v="HPBL4/RAW/26-27/402"/>
    <n v="167"/>
    <n v="167"/>
    <s v="Kgs"/>
    <n v="167"/>
    <n v="0"/>
    <n v="167"/>
    <s v="GJ12BT2409"/>
    <s v="Plastene India ltd - Unit 1-Purchase"/>
    <s v="Plastene India ltd - Unit 1-Purchase"/>
    <s v="PIL1/D/1147"/>
    <s v="22-07-2026"/>
    <s v="RAW MATERIAL"/>
    <s v="INDIGENOUS"/>
    <s v="RM 430"/>
    <n v="170.49"/>
    <n v="170.49000058832101"/>
    <s v="PIL1/D/1147"/>
    <s v="22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448953.86"/>
    <s v="SF"/>
    <s v="Webbing"/>
    <s v="PP Webbing"/>
    <s v="RM"/>
    <s v="erp"/>
    <n v="0"/>
    <n v="28471.83"/>
    <n v="931"/>
    <s v="22-07-2026"/>
    <s v="24AAACO3087C1ZT"/>
    <s v="storepil6"/>
    <s v="storepil6"/>
    <n v="9"/>
    <n v="2562.46"/>
    <n v="9"/>
    <n v="2562.46"/>
    <n v="0"/>
    <n v="0"/>
    <n v="0"/>
    <n v="612149582727"/>
    <d v="2026-07-22T00:00:00"/>
    <n v="0"/>
  </r>
  <r>
    <s v="HCP Plastene Bulkpack Ltd (Unit - IV)"/>
    <s v="22-07-2026"/>
    <s v="HPBL4/26-27/SII00983"/>
    <s v="WIP00032"/>
    <x v="3"/>
    <m/>
    <s v="HPBL4/RAW/26-27/402"/>
    <n v="377.2"/>
    <n v="377.2"/>
    <s v="Kgs"/>
    <n v="377.2"/>
    <n v="0"/>
    <n v="377.2"/>
    <s v="GJ12BT2409"/>
    <s v="Plastene India ltd - Unit 1-Purchase"/>
    <s v="Plastene India ltd - Unit 1-Purchase"/>
    <s v="PIL1/D/1147"/>
    <s v="22-07-2026"/>
    <s v="RAW MATERIAL"/>
    <s v="INDIGENOUS"/>
    <s v="RM 430"/>
    <n v="149.49"/>
    <n v="149.490000515855"/>
    <s v="PIL1/D/1147"/>
    <s v="22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448953.86"/>
    <s v="SF"/>
    <s v="Webbing"/>
    <s v="PP Webbing"/>
    <s v="RM"/>
    <s v="erp"/>
    <n v="0"/>
    <n v="56387.63"/>
    <n v="931"/>
    <s v="22-07-2026"/>
    <s v="24AAACO3087C1ZT"/>
    <s v="storepil6"/>
    <s v="storepil6"/>
    <n v="9"/>
    <n v="5074.8900000000003"/>
    <n v="9"/>
    <n v="5074.8900000000003"/>
    <n v="0"/>
    <n v="0"/>
    <n v="0"/>
    <n v="612149582727"/>
    <d v="2026-07-22T00:00:00"/>
    <n v="0"/>
  </r>
  <r>
    <s v="HCP Plastene Bulkpack Ltd (Unit - IV)"/>
    <s v="22-07-2026"/>
    <s v="HPBL4/26-27/SII00983"/>
    <s v="WIP00032"/>
    <x v="3"/>
    <m/>
    <s v="HPBL4/RAW/26-27/402"/>
    <n v="515.29999999999995"/>
    <n v="515.29999999999995"/>
    <s v="Kgs"/>
    <n v="515.29999999999995"/>
    <n v="0"/>
    <n v="515.29999999999995"/>
    <s v="GJ12BT2409"/>
    <s v="Plastene India ltd - Unit 1-Purchase"/>
    <s v="Plastene India ltd - Unit 1-Purchase"/>
    <s v="PIL1/D/1147"/>
    <s v="22-07-2026"/>
    <s v="RAW MATERIAL"/>
    <s v="INDIGENOUS"/>
    <s v="RM 430"/>
    <n v="146.49"/>
    <n v="146.49000050550299"/>
    <s v="PIL1/D/1147"/>
    <s v="22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448953.86"/>
    <s v="SF"/>
    <s v="Webbing"/>
    <s v="PP Webbing"/>
    <s v="RM"/>
    <s v="erp"/>
    <n v="0"/>
    <n v="75486.3"/>
    <n v="931"/>
    <s v="22-07-2026"/>
    <s v="24AAACO3087C1ZT"/>
    <s v="storepil6"/>
    <s v="storepil6"/>
    <n v="9"/>
    <n v="6793.77"/>
    <n v="9"/>
    <n v="6793.77"/>
    <n v="0"/>
    <n v="0"/>
    <n v="0"/>
    <n v="612149582727"/>
    <d v="2026-07-22T00:00:00"/>
    <n v="0"/>
  </r>
  <r>
    <s v="HCP Plastene Bulkpack Ltd (Unit - IV)"/>
    <s v="23-07-2026"/>
    <s v="HPBL4/26-27/SII00984"/>
    <s v="WIP00004"/>
    <x v="13"/>
    <m/>
    <s v="HPBL4/RAW/26-27/403"/>
    <n v="789"/>
    <n v="789"/>
    <s v="Kgs"/>
    <n v="789"/>
    <n v="0"/>
    <n v="789"/>
    <s v="GJ12BY1595"/>
    <s v="Plastene India ltd - Unit 1-Purchase"/>
    <s v="Plastene India ltd - Unit 1-Purchase"/>
    <s v="PIL1/D/1157"/>
    <s v="23-07-2026"/>
    <s v="RAW MATERIAL"/>
    <s v="INDIGENOUS"/>
    <s v="RM 431"/>
    <n v="191.05"/>
    <n v="191.05"/>
    <s v="PIL1/D/1157"/>
    <s v="23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417496.83"/>
    <s v="FG"/>
    <s v="FIBC Bags"/>
    <s v="FIBC Bags"/>
    <s v="FG"/>
    <s v="erp"/>
    <n v="0"/>
    <n v="150738.45000000001"/>
    <n v="937"/>
    <s v="23-07-2026"/>
    <s v="24AAACO3087C1ZT"/>
    <s v="storepil6"/>
    <s v="storepil6"/>
    <n v="9"/>
    <n v="13566.46"/>
    <n v="9"/>
    <n v="13566.46"/>
    <n v="0"/>
    <n v="0"/>
    <n v="1417496.83"/>
    <n v="602150068424"/>
    <d v="2026-07-23T00:00:00"/>
    <n v="0"/>
  </r>
  <r>
    <s v="HCP Plastene Bulkpack Ltd (Unit - IV)"/>
    <s v="23-07-2026"/>
    <s v="HPBL4/26-27/SII00984"/>
    <s v="WIP00004"/>
    <x v="13"/>
    <m/>
    <s v="HPBL4/RAW/26-27/403"/>
    <n v="1180"/>
    <n v="1180"/>
    <s v="Kgs"/>
    <n v="1180"/>
    <n v="0"/>
    <n v="1180"/>
    <s v="GJ12BY1595"/>
    <s v="Plastene India ltd - Unit 1-Purchase"/>
    <s v="Plastene India ltd - Unit 1-Purchase"/>
    <s v="PIL1/D/1157"/>
    <s v="23-07-2026"/>
    <s v="RAW MATERIAL"/>
    <s v="INDIGENOUS"/>
    <s v="RM 431"/>
    <n v="218.74"/>
    <n v="218.74"/>
    <s v="PIL1/D/1157"/>
    <s v="23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417496.83"/>
    <s v="FG"/>
    <s v="FIBC Bags"/>
    <s v="FIBC Bags"/>
    <s v="FG"/>
    <s v="erp"/>
    <n v="0"/>
    <n v="258113.2"/>
    <n v="937"/>
    <s v="23-07-2026"/>
    <s v="24AAACO3087C1ZT"/>
    <s v="storepil6"/>
    <s v="storepil6"/>
    <n v="9"/>
    <n v="23230.19"/>
    <n v="9"/>
    <n v="23230.19"/>
    <n v="0"/>
    <n v="0"/>
    <n v="0"/>
    <n v="602150068424"/>
    <d v="2026-07-23T00:00:00"/>
    <n v="0"/>
  </r>
  <r>
    <s v="HCP Plastene Bulkpack Ltd (Unit - IV)"/>
    <s v="23-07-2026"/>
    <s v="HPBL4/26-27/SII00984"/>
    <s v="WIP00004"/>
    <x v="13"/>
    <m/>
    <s v="HPBL4/RAW/26-27/403"/>
    <n v="2767"/>
    <n v="2767"/>
    <s v="Kgs"/>
    <n v="2767"/>
    <n v="0"/>
    <n v="2767"/>
    <s v="GJ12BY1595"/>
    <s v="Plastene India ltd - Unit 1-Purchase"/>
    <s v="Plastene India ltd - Unit 1-Purchase"/>
    <s v="PIL1/D/1157"/>
    <s v="23-07-2026"/>
    <s v="RAW MATERIAL"/>
    <s v="INDIGENOUS"/>
    <s v="RM 431"/>
    <n v="195.37"/>
    <n v="195.37"/>
    <s v="PIL1/D/1157"/>
    <s v="23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417496.83"/>
    <s v="FG"/>
    <s v="FIBC Bags"/>
    <s v="FIBC Bags"/>
    <s v="FG"/>
    <s v="erp"/>
    <n v="0"/>
    <n v="540588.79"/>
    <n v="937"/>
    <s v="23-07-2026"/>
    <s v="24AAACO3087C1ZT"/>
    <s v="storepil6"/>
    <s v="storepil6"/>
    <n v="9"/>
    <n v="48652.99"/>
    <n v="9"/>
    <n v="48652.99"/>
    <n v="0"/>
    <n v="0"/>
    <n v="0"/>
    <n v="602150068424"/>
    <d v="2026-07-23T00:00:00"/>
    <n v="0"/>
  </r>
  <r>
    <s v="HCP Plastene Bulkpack Ltd (Unit - IV)"/>
    <s v="23-07-2026"/>
    <s v="HPBL4/26-27/SII00984"/>
    <s v="WIP00004"/>
    <x v="13"/>
    <m/>
    <s v="HPBL4/RAW/26-27/403"/>
    <n v="1183"/>
    <n v="1183"/>
    <s v="Kgs"/>
    <n v="1183"/>
    <n v="0"/>
    <n v="1183"/>
    <s v="GJ12BY1595"/>
    <s v="Plastene India ltd - Unit 1-Purchase"/>
    <s v="Plastene India ltd - Unit 1-Purchase"/>
    <s v="PIL1/D/1157"/>
    <s v="23-07-2026"/>
    <s v="RAW MATERIAL"/>
    <s v="INDIGENOUS"/>
    <s v="RM 431"/>
    <n v="205.01"/>
    <n v="205.01"/>
    <s v="PIL1/D/1157"/>
    <s v="23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417496.83"/>
    <s v="FG"/>
    <s v="FIBC Bags"/>
    <s v="FIBC Bags"/>
    <s v="FG"/>
    <s v="erp"/>
    <n v="0"/>
    <n v="242526.83"/>
    <n v="937"/>
    <s v="23-07-2026"/>
    <s v="24AAACO3087C1ZT"/>
    <s v="storepil6"/>
    <s v="storepil6"/>
    <n v="9"/>
    <n v="21827.41"/>
    <n v="9"/>
    <n v="21827.41"/>
    <n v="0"/>
    <n v="0"/>
    <n v="0"/>
    <n v="602150068424"/>
    <d v="2026-07-23T00:00:00"/>
    <n v="0"/>
  </r>
  <r>
    <s v="HCP Plastene Bulkpack Ltd (Unit - IV)"/>
    <s v="23-07-2026"/>
    <s v="HPBL4/26-27/SII00984"/>
    <s v="WIP00004"/>
    <x v="13"/>
    <m/>
    <s v="HPBL4/RAW/26-27/403"/>
    <n v="52"/>
    <n v="52"/>
    <s v="Kgs"/>
    <n v="52"/>
    <n v="0"/>
    <n v="52"/>
    <s v="GJ12BY1595"/>
    <s v="Plastene India ltd - Unit 1-Purchase"/>
    <s v="Plastene India ltd - Unit 1-Purchase"/>
    <s v="PIL1/D/1157"/>
    <s v="23-07-2026"/>
    <s v="RAW MATERIAL"/>
    <s v="INDIGENOUS"/>
    <s v="RM 431"/>
    <n v="178.87"/>
    <n v="178.87"/>
    <s v="PIL1/D/1157"/>
    <s v="23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417496.83"/>
    <s v="FG"/>
    <s v="FIBC Bags"/>
    <s v="FIBC Bags"/>
    <s v="FG"/>
    <s v="erp"/>
    <n v="0"/>
    <n v="9301.24"/>
    <n v="937"/>
    <s v="23-07-2026"/>
    <s v="24AAACO3087C1ZT"/>
    <s v="storepil6"/>
    <s v="storepil6"/>
    <n v="9"/>
    <n v="837.11"/>
    <n v="9"/>
    <n v="837.11"/>
    <n v="0"/>
    <n v="0"/>
    <n v="0"/>
    <n v="602150068424"/>
    <d v="2026-07-23T00:00:00"/>
    <n v="0"/>
  </r>
  <r>
    <s v="HCP Plastene Bulkpack Ltd (Unit - IV)"/>
    <s v="23-07-2026"/>
    <s v="HPBL4/26-27/SII00986"/>
    <s v="WIP00023"/>
    <x v="0"/>
    <m/>
    <s v="HPBL4/RAW/26-27/404"/>
    <n v="1171"/>
    <n v="1171"/>
    <s v="Kgs"/>
    <n v="1171"/>
    <n v="0"/>
    <n v="1171"/>
    <s v="GJ12BT2409"/>
    <s v="Plastene India ltd - Unit 1-Purchase"/>
    <s v="Plastene India ltd - Unit 1-Purchase"/>
    <s v="PIL1/D/1156"/>
    <s v="23-07-2026"/>
    <s v="RAW MATERIAL"/>
    <s v="INDIGENOUS"/>
    <s v="RM 432"/>
    <n v="146.49"/>
    <n v="146.49"/>
    <s v="PIL1/D/1156"/>
    <s v="23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278541.49"/>
    <s v="SF"/>
    <s v="PP/PE Fabric"/>
    <s v="PP UL Fabric"/>
    <s v="RM"/>
    <s v="erp"/>
    <n v="0"/>
    <n v="171539.79"/>
    <n v="936"/>
    <s v="23-07-2026"/>
    <s v="24AAACO3087C1ZT"/>
    <s v="storepil6"/>
    <s v="storepil6"/>
    <n v="9"/>
    <n v="15438.58"/>
    <n v="9"/>
    <n v="15438.58"/>
    <n v="0"/>
    <n v="0"/>
    <n v="1278541.49"/>
    <n v="682150019260"/>
    <d v="2026-07-23T00:00:00"/>
    <n v="0"/>
  </r>
  <r>
    <s v="HCP Plastene Bulkpack Ltd (Unit - IV)"/>
    <s v="23-07-2026"/>
    <s v="HPBL4/26-27/SII00986"/>
    <s v="WIP00023"/>
    <x v="0"/>
    <m/>
    <s v="HPBL4/RAW/26-27/404"/>
    <n v="272"/>
    <n v="272"/>
    <s v="Kgs"/>
    <n v="272"/>
    <n v="0"/>
    <n v="272"/>
    <s v="GJ12BT2409"/>
    <s v="Plastene India ltd - Unit 1-Purchase"/>
    <s v="Plastene India ltd - Unit 1-Purchase"/>
    <s v="PIL1/D/1156"/>
    <s v="23-07-2026"/>
    <s v="RAW MATERIAL"/>
    <s v="INDIGENOUS"/>
    <s v="RM 432"/>
    <n v="147.49"/>
    <n v="147.49"/>
    <s v="PIL1/D/1156"/>
    <s v="23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278541.49"/>
    <s v="SF"/>
    <s v="PP/PE Fabric"/>
    <s v="PP UL Fabric"/>
    <s v="RM"/>
    <s v="erp"/>
    <n v="0"/>
    <n v="40117.279999999999"/>
    <n v="936"/>
    <s v="23-07-2026"/>
    <s v="24AAACO3087C1ZT"/>
    <s v="storepil6"/>
    <s v="storepil6"/>
    <n v="9"/>
    <n v="3610.56"/>
    <n v="9"/>
    <n v="3610.56"/>
    <n v="0"/>
    <n v="0"/>
    <n v="0"/>
    <n v="682150019260"/>
    <d v="2026-07-23T00:00:00"/>
    <n v="0"/>
  </r>
  <r>
    <s v="HCP Plastene Bulkpack Ltd (Unit - IV)"/>
    <s v="23-07-2026"/>
    <s v="HPBL4/26-27/SII00986"/>
    <s v="WIP00023"/>
    <x v="0"/>
    <m/>
    <s v="HPBL4/RAW/26-27/404"/>
    <n v="6034"/>
    <n v="6034"/>
    <s v="Kgs"/>
    <n v="6034"/>
    <n v="0"/>
    <n v="6034"/>
    <s v="GJ12BT2409"/>
    <s v="Plastene India ltd - Unit 1-Purchase"/>
    <s v="Plastene India ltd - Unit 1-Purchase"/>
    <s v="PIL1/D/1156"/>
    <s v="23-07-2026"/>
    <s v="RAW MATERIAL"/>
    <s v="INDIGENOUS"/>
    <s v="RM 432"/>
    <n v="144.49"/>
    <n v="144.49"/>
    <s v="PIL1/D/1156"/>
    <s v="23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278541.49"/>
    <s v="SF"/>
    <s v="PP/PE Fabric"/>
    <s v="PP UL Fabric"/>
    <s v="RM"/>
    <s v="erp"/>
    <n v="0"/>
    <n v="871852.66"/>
    <n v="936"/>
    <s v="23-07-2026"/>
    <s v="24AAACO3087C1ZT"/>
    <s v="storepil6"/>
    <s v="storepil6"/>
    <n v="9"/>
    <n v="78466.740000000005"/>
    <n v="9"/>
    <n v="78466.740000000005"/>
    <n v="0"/>
    <n v="0"/>
    <n v="0"/>
    <n v="682150019260"/>
    <d v="2026-07-23T00:00:00"/>
    <n v="0"/>
  </r>
  <r>
    <s v="HCP Plastene Bulkpack Ltd (Unit - IV)"/>
    <s v="23-07-2026"/>
    <s v="HPBL4/26-27/SII00987"/>
    <s v="WIP00023"/>
    <x v="0"/>
    <m/>
    <s v="HPBL4/RAW/26-27/405"/>
    <n v="2652"/>
    <n v="2652"/>
    <s v="Kgs"/>
    <n v="2652"/>
    <n v="0"/>
    <n v="2652"/>
    <s v="GJ12BY1595"/>
    <s v="Plastene India ltd - Unit 1-Purchase"/>
    <s v="Plastene India ltd - Unit 1-Purchase"/>
    <s v="PIL1/D/1155"/>
    <s v="22-07-2026"/>
    <s v="RAW MATERIAL"/>
    <s v="INDIGENOUS"/>
    <s v="RM 433"/>
    <n v="146.49"/>
    <n v="146.49"/>
    <s v="PIL1/D/1155"/>
    <s v="22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458419.94"/>
    <s v="SF"/>
    <s v="PP/PE Fabric"/>
    <s v="PP UL Fabric"/>
    <s v="RM"/>
    <s v="erp"/>
    <n v="0"/>
    <n v="388491.48"/>
    <n v="938"/>
    <s v="23-07-2026"/>
    <s v="24AAACO3087C1ZT"/>
    <s v="storepil6"/>
    <s v="storepil6"/>
    <n v="9"/>
    <n v="34964.230000000003"/>
    <n v="9"/>
    <n v="34964.230000000003"/>
    <n v="0"/>
    <n v="0"/>
    <n v="458419.94"/>
    <n v="632149914971"/>
    <d v="2026-07-22T00:00:00"/>
    <n v="0"/>
  </r>
  <r>
    <s v="HCP Plastene Bulkpack Ltd (Unit - IV)"/>
    <s v="23-07-2026"/>
    <s v="HPBL4/26-27/SII00988"/>
    <s v="WIP00023"/>
    <x v="0"/>
    <m/>
    <s v="HPBL4/RAW/26-27/406"/>
    <n v="1638"/>
    <n v="1638"/>
    <s v="Kgs"/>
    <n v="1638"/>
    <n v="0"/>
    <n v="1638"/>
    <s v="GJ12BY0479"/>
    <s v="Plastene India ltd - Unit 1-Purchase"/>
    <s v="Plastene India ltd - Unit 1-Purchase"/>
    <s v="PIL1/D/1159"/>
    <s v="23-07-2026"/>
    <s v="RAW MATERIAL"/>
    <s v="INDIGENOUS"/>
    <s v="RM 434"/>
    <n v="144.49"/>
    <n v="144.48999926796299"/>
    <s v="PIL1/D/1159"/>
    <s v="23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789523.37"/>
    <s v="SF"/>
    <s v="PP/PE Fabric"/>
    <s v="PP UL Fabric"/>
    <s v="RM"/>
    <s v="erp"/>
    <n v="0"/>
    <n v="236674.62"/>
    <n v="940"/>
    <s v="23-07-2026"/>
    <s v="24AAACO3087C1ZT"/>
    <s v="storepil6"/>
    <s v="storepil6"/>
    <n v="9"/>
    <n v="21300.720000000001"/>
    <n v="9"/>
    <n v="21300.720000000001"/>
    <n v="0"/>
    <n v="0"/>
    <n v="789523.37"/>
    <n v="612150082513"/>
    <d v="2026-07-23T00:00:00"/>
    <n v="0"/>
  </r>
  <r>
    <s v="HCP Plastene Bulkpack Ltd (Unit - IV)"/>
    <s v="23-07-2026"/>
    <s v="HPBL4/26-27/SII00988"/>
    <s v="WIP00025"/>
    <x v="1"/>
    <m/>
    <s v="HPBL4/RAW/26-27/406"/>
    <n v="268"/>
    <n v="268"/>
    <s v="Kgs"/>
    <n v="268"/>
    <n v="0"/>
    <n v="268"/>
    <s v="GJ12BY0479"/>
    <s v="Plastene India ltd - Unit 1-Purchase"/>
    <s v="Plastene India ltd - Unit 1-Purchase"/>
    <s v="PIL1/D/1159"/>
    <s v="23-07-2026"/>
    <s v="RAW MATERIAL"/>
    <s v="INDIGENOUS"/>
    <s v="RM 434"/>
    <n v="148.49"/>
    <n v="148.48999924769799"/>
    <s v="PIL1/D/1159"/>
    <s v="23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789523.37"/>
    <s v="SF"/>
    <s v="PP/PE Fabric"/>
    <s v="PP Lam Fabric"/>
    <s v="RM"/>
    <s v="erp"/>
    <n v="0"/>
    <n v="39795.32"/>
    <n v="940"/>
    <s v="23-07-2026"/>
    <s v="24AAACO3087C1ZT"/>
    <s v="storepil6"/>
    <s v="storepil6"/>
    <n v="9"/>
    <n v="3581.58"/>
    <n v="9"/>
    <n v="3581.58"/>
    <n v="0"/>
    <n v="0"/>
    <n v="0"/>
    <n v="612150082513"/>
    <d v="2026-07-23T00:00:00"/>
    <n v="0"/>
  </r>
  <r>
    <s v="HCP Plastene Bulkpack Ltd (Unit - IV)"/>
    <s v="23-07-2026"/>
    <s v="HPBL4/26-27/SII00988"/>
    <s v="WIP00032"/>
    <x v="3"/>
    <m/>
    <s v="HPBL4/RAW/26-27/406"/>
    <n v="163.4"/>
    <n v="163.4"/>
    <s v="Kgs"/>
    <n v="163.4"/>
    <n v="0"/>
    <n v="163.4"/>
    <s v="GJ12BY0479"/>
    <s v="Plastene India ltd - Unit 1-Purchase"/>
    <s v="Plastene India ltd - Unit 1-Purchase"/>
    <s v="PIL1/D/1159"/>
    <s v="23-07-2026"/>
    <s v="RAW MATERIAL"/>
    <s v="INDIGENOUS"/>
    <s v="RM 434"/>
    <n v="170.49"/>
    <n v="170.489999136238"/>
    <s v="PIL1/D/1159"/>
    <s v="23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789523.37"/>
    <s v="SF"/>
    <s v="Webbing"/>
    <s v="PP Webbing"/>
    <s v="RM"/>
    <s v="erp"/>
    <n v="0"/>
    <n v="27858.07"/>
    <n v="940"/>
    <s v="23-07-2026"/>
    <s v="24AAACO3087C1ZT"/>
    <s v="storepil6"/>
    <s v="storepil6"/>
    <n v="9"/>
    <n v="2507.23"/>
    <n v="9"/>
    <n v="2507.23"/>
    <n v="0"/>
    <n v="0"/>
    <n v="0"/>
    <n v="612150082513"/>
    <d v="2026-07-23T00:00:00"/>
    <n v="0"/>
  </r>
  <r>
    <s v="HCP Plastene Bulkpack Ltd (Unit - IV)"/>
    <s v="23-07-2026"/>
    <s v="HPBL4/26-27/SII00988"/>
    <s v="WIP00032"/>
    <x v="3"/>
    <m/>
    <s v="HPBL4/RAW/26-27/406"/>
    <n v="391.7"/>
    <n v="391.7"/>
    <s v="Kgs"/>
    <n v="391.7"/>
    <n v="0"/>
    <n v="391.7"/>
    <s v="GJ12BY0479"/>
    <s v="Plastene India ltd - Unit 1-Purchase"/>
    <s v="Plastene India ltd - Unit 1-Purchase"/>
    <s v="PIL1/D/1159"/>
    <s v="23-07-2026"/>
    <s v="RAW MATERIAL"/>
    <s v="INDIGENOUS"/>
    <s v="RM 434"/>
    <n v="149.49"/>
    <n v="149.489999242632"/>
    <s v="PIL1/D/1159"/>
    <s v="23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789523.37"/>
    <s v="SF"/>
    <s v="Webbing"/>
    <s v="PP Webbing"/>
    <s v="RM"/>
    <s v="erp"/>
    <n v="0"/>
    <n v="58555.23"/>
    <n v="940"/>
    <s v="23-07-2026"/>
    <s v="24AAACO3087C1ZT"/>
    <s v="storepil6"/>
    <s v="storepil6"/>
    <n v="9"/>
    <n v="5269.97"/>
    <n v="9"/>
    <n v="5269.97"/>
    <n v="0"/>
    <n v="0"/>
    <n v="0"/>
    <n v="612150082513"/>
    <d v="2026-07-23T00:00:00"/>
    <n v="0"/>
  </r>
  <r>
    <s v="HCP Plastene Bulkpack Ltd (Unit - IV)"/>
    <s v="23-07-2026"/>
    <s v="HPBL4/26-27/SII00988"/>
    <s v="WIP00032"/>
    <x v="3"/>
    <m/>
    <s v="HPBL4/RAW/26-27/406"/>
    <n v="568"/>
    <n v="568"/>
    <s v="Kgs"/>
    <n v="568"/>
    <n v="0"/>
    <n v="568"/>
    <s v="GJ12BY0479"/>
    <s v="Plastene India ltd - Unit 1-Purchase"/>
    <s v="Plastene India ltd - Unit 1-Purchase"/>
    <s v="PIL1/D/1159"/>
    <s v="23-07-2026"/>
    <s v="RAW MATERIAL"/>
    <s v="INDIGENOUS"/>
    <s v="RM 434"/>
    <n v="146.49"/>
    <n v="146.48999925783099"/>
    <s v="PIL1/D/1159"/>
    <s v="23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789523.37"/>
    <s v="SF"/>
    <s v="Webbing"/>
    <s v="PP Webbing"/>
    <s v="RM"/>
    <s v="erp"/>
    <n v="0"/>
    <n v="83206.320000000007"/>
    <n v="940"/>
    <s v="23-07-2026"/>
    <s v="24AAACO3087C1ZT"/>
    <s v="storepil6"/>
    <s v="storepil6"/>
    <n v="9"/>
    <n v="7488.57"/>
    <n v="9"/>
    <n v="7488.57"/>
    <n v="0"/>
    <n v="0"/>
    <n v="0"/>
    <n v="612150082513"/>
    <d v="2026-07-23T00:00:00"/>
    <n v="0"/>
  </r>
  <r>
    <s v="HCP Plastene Bulkpack Ltd (Unit - IV)"/>
    <s v="23-07-2026"/>
    <s v="HPBL4/26-27/SII00988"/>
    <s v="WIP00193"/>
    <x v="16"/>
    <m/>
    <s v="HPBL4/RAW/26-27/406"/>
    <n v="830.8"/>
    <n v="830.8"/>
    <s v="Kgs"/>
    <n v="830.8"/>
    <n v="0"/>
    <n v="830.8"/>
    <s v="GJ12BY0479"/>
    <s v="Plastene India ltd - Unit 1-Purchase"/>
    <s v="Plastene India ltd - Unit 1-Purchase"/>
    <s v="PIL1/D/1159"/>
    <s v="23-07-2026"/>
    <s v="RAW MATERIAL"/>
    <s v="INDIGENOUS"/>
    <s v="RM 434"/>
    <n v="159.49"/>
    <n v="159.489999191968"/>
    <s v="PIL1/D/1159"/>
    <s v="23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789523.37"/>
    <s v="SF"/>
    <s v="Yarn All"/>
    <s v="PP Yarn"/>
    <s v="RM"/>
    <m/>
    <n v="0"/>
    <n v="132504.29"/>
    <n v="940"/>
    <s v="23-07-2026"/>
    <s v="24AAACO3087C1ZT"/>
    <s v="storepil6"/>
    <s v="storepil6"/>
    <n v="2.5"/>
    <n v="3312.61"/>
    <n v="2.5"/>
    <n v="3312.61"/>
    <n v="0"/>
    <n v="0"/>
    <n v="0"/>
    <n v="612150082513"/>
    <d v="2026-07-23T00:00:00"/>
    <n v="0"/>
  </r>
  <r>
    <s v="HCP Plastene Bulkpack Ltd (Unit - IV)"/>
    <s v="23-07-2026"/>
    <s v="HPBL4/26-27/SII00988"/>
    <s v="WIP00191"/>
    <x v="10"/>
    <m/>
    <s v="HPBL4/RAW/26-27/406"/>
    <n v="754.7"/>
    <n v="754.7"/>
    <s v="Kgs"/>
    <n v="754.7"/>
    <n v="0"/>
    <n v="754.7"/>
    <s v="GJ12BY0479"/>
    <s v="Plastene India ltd - Unit 1-Purchase"/>
    <s v="Plastene India ltd - Unit 1-Purchase"/>
    <s v="PIL1/D/1159"/>
    <s v="23-07-2026"/>
    <s v="RAW MATERIAL"/>
    <s v="INDIGENOUS"/>
    <s v="RM 434"/>
    <n v="156.49"/>
    <n v="156.48999920716699"/>
    <s v="PIL1/D/1159"/>
    <s v="23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789523.37"/>
    <s v="SF"/>
    <s v="Yarn All"/>
    <s v="PP Yarn"/>
    <s v="RM"/>
    <m/>
    <n v="0"/>
    <n v="118103"/>
    <n v="940"/>
    <s v="23-07-2026"/>
    <s v="24AAACO3087C1ZT"/>
    <s v="storepil6"/>
    <s v="storepil6"/>
    <n v="2.5"/>
    <n v="2952.58"/>
    <n v="2.5"/>
    <n v="2952.58"/>
    <n v="0"/>
    <n v="0"/>
    <n v="0"/>
    <n v="612150082513"/>
    <d v="2026-07-23T00:00:00"/>
    <n v="0"/>
  </r>
  <r>
    <s v="HCP Plastene Bulkpack Ltd (Unit - IV)"/>
    <s v="23-07-2026"/>
    <s v="HPBL4/26-27/SII00989"/>
    <s v="FIG00001"/>
    <x v="4"/>
    <m/>
    <s v="HPBL4/RAW/26-27/407"/>
    <n v="132"/>
    <n v="132"/>
    <s v="Kgs"/>
    <n v="132"/>
    <n v="0"/>
    <n v="132"/>
    <s v="GJ12U0544"/>
    <s v="Plastene Polyfilms Ltd-Purchase"/>
    <s v="Plastene Polyfilms Ltd-Purchase"/>
    <s v="PPL/D/399"/>
    <s v="23-07-2026"/>
    <s v="RAW MATERIAL"/>
    <s v="INDIGENOUS"/>
    <s v="RM 435"/>
    <n v="154.74"/>
    <n v="154.739996328324"/>
    <s v="PPL/D/399"/>
    <s v="23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84288.47"/>
    <s v="FG"/>
    <s v="FIBC WIP"/>
    <s v="FIBC WIP"/>
    <s v="RM"/>
    <s v="erp"/>
    <n v="0"/>
    <n v="20425.68"/>
    <n v="943"/>
    <s v="23-07-2026"/>
    <s v="24AAFCP2956A1ZR"/>
    <s v="storepil6"/>
    <s v="storepil6"/>
    <n v="9"/>
    <n v="1838.31"/>
    <n v="9"/>
    <n v="1838.31"/>
    <n v="0"/>
    <n v="0"/>
    <n v="84288.47"/>
    <n v="652150259911"/>
    <d v="2026-07-23T00:00:00"/>
    <n v="0"/>
  </r>
  <r>
    <s v="HCP Plastene Bulkpack Ltd (Unit - IV)"/>
    <s v="23-07-2026"/>
    <s v="HPBL4/26-27/SII00989"/>
    <s v="WIP00025"/>
    <x v="1"/>
    <m/>
    <s v="HPBL4/RAW/26-27/407"/>
    <n v="78"/>
    <n v="78"/>
    <s v="Kgs"/>
    <n v="78"/>
    <n v="0"/>
    <n v="78"/>
    <s v="GJ12U0544"/>
    <s v="Plastene Polyfilms Ltd-Purchase"/>
    <s v="Plastene Polyfilms Ltd-Purchase"/>
    <s v="PPL/D/399"/>
    <s v="23-07-2026"/>
    <s v="RAW MATERIAL"/>
    <s v="INDIGENOUS"/>
    <s v="RM 435"/>
    <n v="158.74"/>
    <n v="158.73999623341101"/>
    <s v="PPL/D/399"/>
    <s v="23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84288.47"/>
    <s v="SF"/>
    <s v="PP/PE Fabric"/>
    <s v="PP Lam Fabric"/>
    <s v="RM"/>
    <s v="erp"/>
    <n v="0"/>
    <n v="12381.72"/>
    <n v="943"/>
    <s v="23-07-2026"/>
    <s v="24AAFCP2956A1ZR"/>
    <s v="storepil6"/>
    <s v="storepil6"/>
    <n v="9"/>
    <n v="1114.3499999999999"/>
    <n v="9"/>
    <n v="1114.3499999999999"/>
    <n v="0"/>
    <n v="0"/>
    <n v="0"/>
    <n v="652150259911"/>
    <d v="2026-07-23T00:00:00"/>
    <n v="0"/>
  </r>
  <r>
    <s v="HCP Plastene Bulkpack Ltd (Unit - IV)"/>
    <s v="23-07-2026"/>
    <s v="HPBL4/26-27/SII00989"/>
    <s v="WIP00025"/>
    <x v="1"/>
    <m/>
    <s v="HPBL4/RAW/26-27/407"/>
    <n v="238.8"/>
    <n v="238.8"/>
    <s v="Kgs"/>
    <n v="238.8"/>
    <n v="0"/>
    <n v="238.8"/>
    <s v="GJ12U0544"/>
    <s v="Plastene Polyfilms Ltd-Purchase"/>
    <s v="Plastene Polyfilms Ltd-Purchase"/>
    <s v="PPL/D/399"/>
    <s v="23-07-2026"/>
    <s v="RAW MATERIAL"/>
    <s v="INDIGENOUS"/>
    <s v="RM 435"/>
    <n v="161.74"/>
    <n v="161.73999616222699"/>
    <s v="PPL/D/399"/>
    <s v="23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84288.47"/>
    <s v="SF"/>
    <s v="PP/PE Fabric"/>
    <s v="PP Lam Fabric"/>
    <s v="RM"/>
    <s v="erp"/>
    <n v="0"/>
    <n v="38623.51"/>
    <n v="943"/>
    <s v="23-07-2026"/>
    <s v="24AAFCP2956A1ZR"/>
    <s v="storepil6"/>
    <s v="storepil6"/>
    <n v="9"/>
    <n v="3476.12"/>
    <n v="9"/>
    <n v="3476.12"/>
    <n v="0"/>
    <n v="0"/>
    <n v="0"/>
    <n v="652150259911"/>
    <d v="2026-07-23T00:00:00"/>
    <n v="0"/>
  </r>
  <r>
    <s v="HCP Plastene Bulkpack Ltd (Unit - IV)"/>
    <s v="24-07-2026"/>
    <s v="HPBL4/26-27/SII00993"/>
    <s v="WIP00004"/>
    <x v="13"/>
    <m/>
    <s v="HPBL4/RAW/26-27/408"/>
    <n v="426"/>
    <n v="426"/>
    <s v="Kgs"/>
    <n v="426"/>
    <n v="0"/>
    <n v="426"/>
    <s v="gj12by5178"/>
    <s v="K.P. Woven Pvt Ltd-Purchase"/>
    <s v="K.P. Woven Pvt Ltd-Purchase"/>
    <s v="KPV/D/511"/>
    <s v="23-07-2026"/>
    <s v="RAW MATERIAL"/>
    <s v="INDIGENOUS"/>
    <s v="RM 436"/>
    <n v="188.96"/>
    <n v="188.96000018228401"/>
    <s v="KPV/D/511"/>
    <s v="23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073243.93"/>
    <s v="FG"/>
    <s v="FIBC Bags"/>
    <s v="FIBC Bags"/>
    <s v="FG"/>
    <s v="erp"/>
    <n v="0"/>
    <n v="80496.960000000006"/>
    <n v="948"/>
    <s v="24-07-2026"/>
    <s v="24AAECK6307M1ZF"/>
    <s v="storepil6"/>
    <s v="storepil6"/>
    <n v="9"/>
    <n v="7244.73"/>
    <n v="9"/>
    <n v="7244.73"/>
    <n v="0"/>
    <n v="0"/>
    <n v="2073243.93"/>
    <n v="602150307918"/>
    <d v="2026-07-23T00:00:00"/>
    <n v="0"/>
  </r>
  <r>
    <s v="HCP Plastene Bulkpack Ltd (Unit - IV)"/>
    <s v="24-07-2026"/>
    <s v="HPBL4/26-27/SII00993"/>
    <s v="WIP00004"/>
    <x v="13"/>
    <m/>
    <s v="HPBL4/RAW/26-27/408"/>
    <n v="8940.7999999999993"/>
    <n v="8940.7999999999993"/>
    <s v="Kgs"/>
    <n v="8940.7999999999993"/>
    <n v="0"/>
    <n v="8940.7999999999993"/>
    <s v="gj12by5178"/>
    <s v="K.P. Woven Pvt Ltd-Purchase"/>
    <s v="K.P. Woven Pvt Ltd-Purchase"/>
    <s v="KPV/D/511"/>
    <s v="23-07-2026"/>
    <s v="RAW MATERIAL"/>
    <s v="INDIGENOUS"/>
    <s v="RM 436"/>
    <n v="187.51"/>
    <n v="187.51000018088601"/>
    <s v="KPV/D/511"/>
    <s v="23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073243.93"/>
    <s v="FG"/>
    <s v="FIBC Bags"/>
    <s v="FIBC Bags"/>
    <s v="FG"/>
    <s v="erp"/>
    <n v="0"/>
    <n v="1676489.41"/>
    <n v="948"/>
    <s v="24-07-2026"/>
    <s v="24AAECK6307M1ZF"/>
    <s v="storepil6"/>
    <s v="storepil6"/>
    <n v="9"/>
    <n v="150884.04999999999"/>
    <n v="9"/>
    <n v="150884.04999999999"/>
    <n v="0"/>
    <n v="0"/>
    <n v="0"/>
    <n v="602150307918"/>
    <d v="2026-07-23T00:00:00"/>
    <n v="0"/>
  </r>
  <r>
    <s v="HCP Plastene Bulkpack Ltd (Unit - IV)"/>
    <s v="24-07-2026"/>
    <s v="HPBL4/26-27/SII00994"/>
    <s v="WIP00025"/>
    <x v="1"/>
    <m/>
    <s v="HPBL4/RAW/26-27/409"/>
    <n v="210"/>
    <n v="210"/>
    <s v="Kgs"/>
    <n v="210"/>
    <n v="0"/>
    <n v="210"/>
    <s v="GJ33TB3534"/>
    <s v="Plastene Polyfilms Ltd-Purchase"/>
    <s v="Plastene Polyfilms Ltd-Purchase"/>
    <s v="PPL/D/406"/>
    <s v="24-07-2026"/>
    <s v="RAW MATERIAL"/>
    <s v="INDIGENOUS"/>
    <s v="RM 437"/>
    <n v="158.74"/>
    <n v="158.74"/>
    <s v="PPL/D/406"/>
    <s v="24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79086.3"/>
    <s v="SF"/>
    <s v="PP/PE Fabric"/>
    <s v="PP Lam Fabric"/>
    <s v="RM"/>
    <s v="erp"/>
    <n v="0"/>
    <n v="33335.4"/>
    <n v="953"/>
    <s v="24-07-2026"/>
    <s v="24AAFCP2956A1ZR"/>
    <s v="storepil6"/>
    <s v="storepil6"/>
    <n v="9"/>
    <n v="3000.19"/>
    <n v="9"/>
    <n v="3000.19"/>
    <n v="0"/>
    <n v="0"/>
    <n v="79086.3"/>
    <n v="692150624559"/>
    <d v="2026-07-24T00:00:00"/>
    <n v="0"/>
  </r>
  <r>
    <s v="HCP Plastene Bulkpack Ltd (Unit - IV)"/>
    <s v="24-07-2026"/>
    <s v="HPBL4/26-27/SII00994"/>
    <s v="WIP00025"/>
    <x v="1"/>
    <m/>
    <s v="HPBL4/RAW/26-27/409"/>
    <n v="126"/>
    <n v="126"/>
    <s v="Kgs"/>
    <n v="126"/>
    <n v="0"/>
    <n v="126"/>
    <s v="GJ33TB3534"/>
    <s v="Plastene Polyfilms Ltd-Purchase"/>
    <s v="Plastene Polyfilms Ltd-Purchase"/>
    <s v="PPL/D/406"/>
    <s v="24-07-2026"/>
    <s v="RAW MATERIAL"/>
    <s v="INDIGENOUS"/>
    <s v="RM 437"/>
    <n v="161.74"/>
    <n v="161.74"/>
    <s v="PPL/D/406"/>
    <s v="24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79086.3"/>
    <s v="SF"/>
    <s v="PP/PE Fabric"/>
    <s v="PP Lam Fabric"/>
    <s v="RM"/>
    <s v="erp"/>
    <n v="0"/>
    <n v="20379.240000000002"/>
    <n v="953"/>
    <s v="24-07-2026"/>
    <s v="24AAFCP2956A1ZR"/>
    <s v="storepil6"/>
    <s v="storepil6"/>
    <n v="9"/>
    <n v="1834.13"/>
    <n v="9"/>
    <n v="1834.13"/>
    <n v="0"/>
    <n v="0"/>
    <n v="0"/>
    <n v="692150624559"/>
    <d v="2026-07-24T00:00:00"/>
    <n v="0"/>
  </r>
  <r>
    <s v="HCP Plastene Bulkpack Ltd (Unit - IV)"/>
    <s v="24-07-2026"/>
    <s v="HPBL4/26-27/SII00994"/>
    <s v="FIG00001"/>
    <x v="4"/>
    <m/>
    <s v="HPBL4/RAW/26-27/410"/>
    <n v="86"/>
    <n v="86"/>
    <s v="Kgs"/>
    <n v="86"/>
    <n v="0"/>
    <n v="86"/>
    <s v="GJ33TB3534"/>
    <s v="Plastene Polyfilms Ltd-Purchase"/>
    <s v="Plastene Polyfilms Ltd-Purchase"/>
    <s v="PPL/D/406"/>
    <s v="24-07-2026"/>
    <s v="RAW MATERIAL"/>
    <s v="INDIGENOUS"/>
    <s v="RM 437"/>
    <n v="154.74"/>
    <n v="154.74"/>
    <s v="PPL/D/406"/>
    <s v="24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79086.3"/>
    <s v="FG"/>
    <s v="FIBC WIP"/>
    <s v="FIBC WIP"/>
    <s v="RM"/>
    <s v="erp"/>
    <n v="0"/>
    <n v="13307.64"/>
    <n v="953"/>
    <s v="24-07-2026"/>
    <s v="24AAFCP2956A1ZR"/>
    <s v="storepil6"/>
    <s v="storepil6"/>
    <n v="9"/>
    <n v="1197.69"/>
    <n v="9"/>
    <n v="1197.69"/>
    <n v="0"/>
    <n v="0"/>
    <n v="0"/>
    <n v="692150624559"/>
    <d v="2026-07-24T00:00:00"/>
    <n v="0"/>
  </r>
  <r>
    <s v="HCP Plastene Bulkpack Ltd (Unit - IV)"/>
    <s v="24-07-2026"/>
    <s v="HPBL4/26-27/SII00997"/>
    <s v="WIP00032"/>
    <x v="3"/>
    <m/>
    <s v="HPBL4/RAW/26-27/411"/>
    <n v="448.8"/>
    <n v="448.8"/>
    <s v="Kgs"/>
    <n v="448.8"/>
    <n v="0"/>
    <n v="448.8"/>
    <s v="GJ12BT02409"/>
    <s v="Plastene India ltd - Unit 1-Purchase"/>
    <s v="Plastene India ltd - Unit 1-Purchase"/>
    <s v="PIL1/D/1169"/>
    <s v="24-07-2026"/>
    <s v="RAW MATERIAL"/>
    <s v="INDIGENOUS"/>
    <s v="RM 438"/>
    <n v="146.49"/>
    <n v="146.49000044129099"/>
    <s v="PIL1/D/1169"/>
    <s v="24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995874.33"/>
    <s v="SF"/>
    <s v="Webbing"/>
    <s v="PP Webbing"/>
    <s v="RM"/>
    <s v="erp"/>
    <n v="0"/>
    <n v="65744.710000000006"/>
    <n v="949"/>
    <s v="24-07-2026"/>
    <s v="24AAACO3087C1ZT"/>
    <s v="storepil6"/>
    <s v="storepil6"/>
    <n v="9"/>
    <n v="5917.02"/>
    <n v="9"/>
    <n v="5917.02"/>
    <n v="0"/>
    <n v="0"/>
    <n v="995874.33"/>
    <n v="602150546805"/>
    <d v="2026-07-24T00:00:00"/>
    <n v="0"/>
  </r>
  <r>
    <s v="HCP Plastene Bulkpack Ltd (Unit - IV)"/>
    <s v="24-07-2026"/>
    <s v="HPBL4/26-27/SII00997"/>
    <s v="WIP00032"/>
    <x v="3"/>
    <m/>
    <s v="HPBL4/RAW/26-27/411"/>
    <n v="305.5"/>
    <n v="305.5"/>
    <s v="Kgs"/>
    <n v="305.5"/>
    <n v="0"/>
    <n v="305.5"/>
    <s v="GJ12BT02409"/>
    <s v="Plastene India ltd - Unit 1-Purchase"/>
    <s v="Plastene India ltd - Unit 1-Purchase"/>
    <s v="PIL1/D/1169"/>
    <s v="24-07-2026"/>
    <s v="RAW MATERIAL"/>
    <s v="INDIGENOUS"/>
    <s v="RM 438"/>
    <n v="149.49"/>
    <n v="149.49000045032801"/>
    <s v="PIL1/D/1169"/>
    <s v="24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995874.33"/>
    <s v="SF"/>
    <s v="Webbing"/>
    <s v="PP Webbing"/>
    <s v="RM"/>
    <s v="erp"/>
    <n v="0"/>
    <n v="45669.2"/>
    <n v="949"/>
    <s v="24-07-2026"/>
    <s v="24AAACO3087C1ZT"/>
    <s v="storepil6"/>
    <s v="storepil6"/>
    <n v="9"/>
    <n v="4110.2299999999996"/>
    <n v="9"/>
    <n v="4110.2299999999996"/>
    <n v="0"/>
    <n v="0"/>
    <n v="0"/>
    <n v="602150546805"/>
    <d v="2026-07-24T00:00:00"/>
    <n v="0"/>
  </r>
  <r>
    <s v="HCP Plastene Bulkpack Ltd (Unit - IV)"/>
    <s v="24-07-2026"/>
    <s v="HPBL4/26-27/SII00997"/>
    <s v="WIP00023"/>
    <x v="0"/>
    <m/>
    <s v="HPBL4/RAW/26-27/411"/>
    <n v="4703"/>
    <n v="4703"/>
    <s v="Kgs"/>
    <n v="4703"/>
    <n v="0"/>
    <n v="4703"/>
    <s v="GJ12BT02409"/>
    <s v="Plastene India ltd - Unit 1-Purchase"/>
    <s v="Plastene India ltd - Unit 1-Purchase"/>
    <s v="PIL1/D/1169"/>
    <s v="24-07-2026"/>
    <s v="RAW MATERIAL"/>
    <s v="INDIGENOUS"/>
    <s v="RM 438"/>
    <n v="144.49"/>
    <n v="144.49000043526601"/>
    <s v="PIL1/D/1169"/>
    <s v="24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995874.33"/>
    <s v="SF"/>
    <s v="PP/PE Fabric"/>
    <s v="PP UL Fabric"/>
    <s v="RM"/>
    <s v="erp"/>
    <n v="0"/>
    <n v="679536.47"/>
    <n v="949"/>
    <s v="24-07-2026"/>
    <s v="24AAACO3087C1ZT"/>
    <s v="storepil6"/>
    <s v="storepil6"/>
    <n v="9"/>
    <n v="61158.28"/>
    <n v="9"/>
    <n v="61158.28"/>
    <n v="0"/>
    <n v="0"/>
    <n v="0"/>
    <n v="602150546805"/>
    <d v="2026-07-24T00:00:00"/>
    <n v="0"/>
  </r>
  <r>
    <s v="HCP Plastene Bulkpack Ltd (Unit - IV)"/>
    <s v="24-07-2026"/>
    <s v="HPBL4/26-27/SII00997"/>
    <s v="WIP00025"/>
    <x v="1"/>
    <m/>
    <s v="HPBL4/RAW/26-27/411"/>
    <n v="357"/>
    <n v="357"/>
    <s v="Kgs"/>
    <n v="357"/>
    <n v="0"/>
    <n v="357"/>
    <s v="GJ12BT02409"/>
    <s v="Plastene India ltd - Unit 1-Purchase"/>
    <s v="Plastene India ltd - Unit 1-Purchase"/>
    <s v="PIL1/D/1169"/>
    <s v="24-07-2026"/>
    <s v="RAW MATERIAL"/>
    <s v="INDIGENOUS"/>
    <s v="RM 438"/>
    <n v="148.49"/>
    <n v="148.490000447315"/>
    <s v="PIL1/D/1169"/>
    <s v="24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995874.33"/>
    <s v="SF"/>
    <s v="PP/PE Fabric"/>
    <s v="PP Lam Fabric"/>
    <s v="RM"/>
    <s v="erp"/>
    <n v="0"/>
    <n v="53010.93"/>
    <n v="949"/>
    <s v="24-07-2026"/>
    <s v="24AAACO3087C1ZT"/>
    <s v="storepil6"/>
    <s v="storepil6"/>
    <n v="9"/>
    <n v="4770.9799999999996"/>
    <n v="9"/>
    <n v="4770.9799999999996"/>
    <n v="0"/>
    <n v="0"/>
    <n v="0"/>
    <n v="602150546805"/>
    <d v="2026-07-24T00:00:00"/>
    <n v="0"/>
  </r>
  <r>
    <s v="HCP Plastene Bulkpack Ltd (Unit - IV)"/>
    <s v="24-07-2026"/>
    <s v="HPBL4/26-27/SII00998"/>
    <s v="WIP00023"/>
    <x v="0"/>
    <m/>
    <s v="HPBL4/RAW/26-27/411"/>
    <n v="5651"/>
    <n v="5651"/>
    <s v="Kgs"/>
    <n v="5651"/>
    <n v="0"/>
    <n v="5651"/>
    <s v="GJ12BT2409"/>
    <s v="Plastene India ltd - Unit 1-Purchase"/>
    <s v="Plastene India ltd - Unit 1-Purchase"/>
    <s v="PIL1/D/1167"/>
    <s v="24-07-2026"/>
    <s v="RAW MATERIAL"/>
    <s v="INDIGENOUS"/>
    <s v="RM 439"/>
    <n v="144.49"/>
    <n v="144.49"/>
    <s v="PIL1/D/1167"/>
    <s v="24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505343.97"/>
    <s v="SF"/>
    <s v="PP/PE Fabric"/>
    <s v="PP UL Fabric"/>
    <s v="RM"/>
    <s v="erp"/>
    <n v="0"/>
    <n v="816512.99"/>
    <n v="947"/>
    <s v="24-07-2026"/>
    <s v="24AAACO3087C1ZT"/>
    <s v="storepil6"/>
    <s v="storepil6"/>
    <n v="9"/>
    <n v="73486.17"/>
    <n v="9"/>
    <n v="73486.17"/>
    <n v="0"/>
    <n v="0"/>
    <n v="1505343.97"/>
    <n v="632150422041"/>
    <d v="2026-07-24T00:00:00"/>
    <n v="0"/>
  </r>
  <r>
    <s v="HCP Plastene Bulkpack Ltd (Unit - IV)"/>
    <s v="24-07-2026"/>
    <s v="HPBL4/26-27/SII00998"/>
    <s v="WIP00023"/>
    <x v="0"/>
    <m/>
    <s v="HPBL4/RAW/26-27/411"/>
    <n v="339"/>
    <n v="339"/>
    <s v="Kgs"/>
    <n v="339"/>
    <n v="0"/>
    <n v="339"/>
    <s v="GJ12BT2409"/>
    <s v="Plastene India ltd - Unit 1-Purchase"/>
    <s v="Plastene India ltd - Unit 1-Purchase"/>
    <s v="PIL1/D/1167"/>
    <s v="24-07-2026"/>
    <s v="RAW MATERIAL"/>
    <s v="INDIGENOUS"/>
    <s v="RM 439"/>
    <n v="147.49"/>
    <n v="147.49"/>
    <s v="PIL1/D/1167"/>
    <s v="24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505343.97"/>
    <s v="SF"/>
    <s v="PP/PE Fabric"/>
    <s v="PP UL Fabric"/>
    <s v="RM"/>
    <s v="erp"/>
    <n v="0"/>
    <n v="49999.11"/>
    <n v="947"/>
    <s v="24-07-2026"/>
    <s v="24AAACO3087C1ZT"/>
    <s v="storepil6"/>
    <s v="storepil6"/>
    <n v="9"/>
    <n v="4499.92"/>
    <n v="9"/>
    <n v="4499.92"/>
    <n v="0"/>
    <n v="0"/>
    <n v="0"/>
    <n v="632150422041"/>
    <d v="2026-07-24T00:00:00"/>
    <n v="0"/>
  </r>
  <r>
    <s v="HCP Plastene Bulkpack Ltd (Unit - IV)"/>
    <s v="24-07-2026"/>
    <s v="HPBL4/26-27/SII00998"/>
    <s v="WIP00023"/>
    <x v="0"/>
    <m/>
    <s v="HPBL4/RAW/26-27/411"/>
    <n v="1085"/>
    <n v="1085"/>
    <s v="Kgs"/>
    <n v="1085"/>
    <n v="0"/>
    <n v="1085"/>
    <s v="GJ12BT2409"/>
    <s v="Plastene India ltd - Unit 1-Purchase"/>
    <s v="Plastene India ltd - Unit 1-Purchase"/>
    <s v="PIL1/D/1167"/>
    <s v="24-07-2026"/>
    <s v="RAW MATERIAL"/>
    <s v="INDIGENOUS"/>
    <s v="RM 439"/>
    <n v="146.49"/>
    <n v="146.49"/>
    <s v="PIL1/D/1167"/>
    <s v="24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505343.97"/>
    <s v="SF"/>
    <s v="PP/PE Fabric"/>
    <s v="PP UL Fabric"/>
    <s v="RM"/>
    <s v="erp"/>
    <n v="0"/>
    <n v="158941.65"/>
    <n v="947"/>
    <s v="24-07-2026"/>
    <s v="24AAACO3087C1ZT"/>
    <s v="storepil6"/>
    <s v="storepil6"/>
    <n v="9"/>
    <n v="14304.75"/>
    <n v="9"/>
    <n v="14304.75"/>
    <n v="0"/>
    <n v="0"/>
    <n v="0"/>
    <n v="632150422041"/>
    <d v="2026-07-24T00:00:00"/>
    <n v="0"/>
  </r>
  <r>
    <s v="HCP Plastene Bulkpack Ltd (Unit - IV)"/>
    <s v="24-07-2026"/>
    <s v="HPBL4/26-27/SII00998"/>
    <s v="WIP00025"/>
    <x v="1"/>
    <m/>
    <s v="HPBL4/RAW/26-27/411"/>
    <n v="1652"/>
    <n v="1652"/>
    <s v="Kgs"/>
    <n v="1652"/>
    <n v="0"/>
    <n v="1652"/>
    <s v="GJ12BT2409"/>
    <s v="Plastene India ltd - Unit 1-Purchase"/>
    <s v="Plastene India ltd - Unit 1-Purchase"/>
    <s v="PIL1/D/1167"/>
    <s v="24-07-2026"/>
    <s v="RAW MATERIAL"/>
    <s v="INDIGENOUS"/>
    <s v="RM 439"/>
    <n v="151.49"/>
    <n v="151.49"/>
    <s v="PIL1/D/1167"/>
    <s v="24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505343.97"/>
    <s v="SF"/>
    <s v="PP/PE Fabric"/>
    <s v="PP Lam Fabric"/>
    <s v="RM"/>
    <s v="erp"/>
    <n v="0"/>
    <n v="250261.48"/>
    <n v="947"/>
    <s v="24-07-2026"/>
    <s v="24AAACO3087C1ZT"/>
    <s v="storepil6"/>
    <s v="storepil6"/>
    <n v="9"/>
    <n v="22523.53"/>
    <n v="9"/>
    <n v="22523.53"/>
    <n v="0"/>
    <n v="0"/>
    <n v="0"/>
    <n v="632150422041"/>
    <d v="2026-07-24T00:00:00"/>
    <n v="0"/>
  </r>
  <r>
    <s v="HCP Plastene Bulkpack Ltd (Unit - IV)"/>
    <s v="25-07-2026"/>
    <s v="HPBL4/26-27/SII01003"/>
    <s v="WIP00025"/>
    <x v="1"/>
    <m/>
    <s v="HPBL4/RAW/26-27/412"/>
    <n v="548"/>
    <n v="548"/>
    <s v="Kgs"/>
    <n v="548"/>
    <n v="0"/>
    <n v="548"/>
    <s v="GJ12BT2409"/>
    <s v="Plastene India ltd - Unit 1-Purchase"/>
    <s v="Plastene India ltd - Unit 1-Purchase"/>
    <s v="PIL1/D/1175"/>
    <s v="25-07-2026"/>
    <s v="RAW MATERIAL"/>
    <s v="INDIGENOUS"/>
    <s v="RM 440"/>
    <n v="148.49"/>
    <n v="148.49000161550401"/>
    <s v="PIL1/D/1175"/>
    <s v="25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643409.07999999996"/>
    <s v="SF"/>
    <s v="PP/PE Fabric"/>
    <s v="PP Lam Fabric"/>
    <s v="RM"/>
    <s v="erp"/>
    <n v="0"/>
    <n v="81372.52"/>
    <n v="964"/>
    <s v="25-07-2026"/>
    <s v="24AAACO3087C1ZT"/>
    <s v="storepil6"/>
    <s v="storepil6"/>
    <n v="9"/>
    <n v="7323.53"/>
    <n v="9"/>
    <n v="7323.53"/>
    <n v="0"/>
    <n v="0"/>
    <n v="643409.07999999996"/>
    <n v="682151061187"/>
    <d v="2026-07-25T00:00:00"/>
    <n v="0"/>
  </r>
  <r>
    <s v="HCP Plastene Bulkpack Ltd (Unit - IV)"/>
    <s v="25-07-2026"/>
    <s v="HPBL4/26-27/SII01003"/>
    <s v="WIP00032"/>
    <x v="3"/>
    <m/>
    <s v="HPBL4/RAW/26-27/412"/>
    <n v="1276.3"/>
    <n v="1276.3"/>
    <s v="Kgs"/>
    <n v="1276.3"/>
    <n v="0"/>
    <n v="1276.3"/>
    <s v="GJ12BT2409"/>
    <s v="Plastene India ltd - Unit 1-Purchase"/>
    <s v="Plastene India ltd - Unit 1-Purchase"/>
    <s v="PIL1/D/1175"/>
    <s v="25-07-2026"/>
    <s v="RAW MATERIAL"/>
    <s v="INDIGENOUS"/>
    <s v="RM 440"/>
    <n v="149.49"/>
    <n v="149.49000162638399"/>
    <s v="PIL1/D/1175"/>
    <s v="25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643409.07999999996"/>
    <s v="SF"/>
    <s v="Webbing"/>
    <s v="PP Webbing"/>
    <s v="RM"/>
    <s v="erp"/>
    <n v="0"/>
    <n v="190794.09"/>
    <n v="964"/>
    <s v="25-07-2026"/>
    <s v="24AAACO3087C1ZT"/>
    <s v="storepil6"/>
    <s v="storepil6"/>
    <n v="9"/>
    <n v="17171.47"/>
    <n v="9"/>
    <n v="17171.47"/>
    <n v="0"/>
    <n v="0"/>
    <n v="0"/>
    <n v="682151061187"/>
    <d v="2026-07-25T00:00:00"/>
    <n v="0"/>
  </r>
  <r>
    <s v="HCP Plastene Bulkpack Ltd (Unit - IV)"/>
    <s v="25-07-2026"/>
    <s v="HPBL4/26-27/SII01003"/>
    <s v="WIP00032"/>
    <x v="3"/>
    <m/>
    <s v="HPBL4/RAW/26-27/412"/>
    <n v="770.4"/>
    <n v="770.4"/>
    <s v="Kgs"/>
    <n v="770.4"/>
    <n v="0"/>
    <n v="770.4"/>
    <s v="GJ12BT2409"/>
    <s v="Plastene India ltd - Unit 1-Purchase"/>
    <s v="Plastene India ltd - Unit 1-Purchase"/>
    <s v="PIL1/D/1175"/>
    <s v="25-07-2026"/>
    <s v="RAW MATERIAL"/>
    <s v="INDIGENOUS"/>
    <s v="RM 440"/>
    <n v="146.49"/>
    <n v="146.49000159374501"/>
    <s v="PIL1/D/1175"/>
    <s v="25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643409.07999999996"/>
    <s v="SF"/>
    <s v="Webbing"/>
    <s v="PP Webbing"/>
    <s v="RM"/>
    <s v="erp"/>
    <n v="0"/>
    <n v="112855.9"/>
    <n v="964"/>
    <s v="25-07-2026"/>
    <s v="24AAACO3087C1ZT"/>
    <s v="storepil6"/>
    <s v="storepil6"/>
    <n v="9"/>
    <n v="10157.030000000001"/>
    <n v="9"/>
    <n v="10157.030000000001"/>
    <n v="0"/>
    <n v="0"/>
    <n v="0"/>
    <n v="682151061187"/>
    <d v="2026-07-25T00:00:00"/>
    <n v="0"/>
  </r>
  <r>
    <s v="HCP Plastene Bulkpack Ltd (Unit - IV)"/>
    <s v="25-07-2026"/>
    <s v="HPBL4/26-27/SII01003"/>
    <s v="WIP00023"/>
    <x v="0"/>
    <m/>
    <s v="HPBL4/RAW/26-27/412"/>
    <n v="1109"/>
    <n v="1109"/>
    <s v="Kgs"/>
    <n v="1109"/>
    <n v="0"/>
    <n v="1109"/>
    <s v="GJ12BT2409"/>
    <s v="Plastene India ltd - Unit 1-Purchase"/>
    <s v="Plastene India ltd - Unit 1-Purchase"/>
    <s v="PIL1/D/1175"/>
    <s v="25-07-2026"/>
    <s v="RAW MATERIAL"/>
    <s v="INDIGENOUS"/>
    <s v="RM 440"/>
    <n v="144.49"/>
    <n v="144.490001571986"/>
    <s v="PIL1/D/1175"/>
    <s v="25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643409.07999999996"/>
    <s v="SF"/>
    <s v="PP/PE Fabric"/>
    <s v="PP UL Fabric"/>
    <s v="RM"/>
    <s v="erp"/>
    <n v="0"/>
    <n v="160239.41"/>
    <n v="964"/>
    <s v="25-07-2026"/>
    <s v="24AAACO3087C1ZT"/>
    <s v="storepil6"/>
    <s v="storepil6"/>
    <n v="9"/>
    <n v="14421.55"/>
    <n v="9"/>
    <n v="14421.55"/>
    <n v="0"/>
    <n v="0"/>
    <n v="0"/>
    <n v="682151061187"/>
    <d v="2026-07-25T00:00:00"/>
    <n v="0"/>
  </r>
  <r>
    <s v="HCP Plastene Bulkpack Ltd (Unit - IV)"/>
    <s v="25-07-2026"/>
    <s v="HPBL4/26-27/SII01004"/>
    <s v="WIP00023"/>
    <x v="0"/>
    <m/>
    <s v="HPBL4/RAW/26-27/412"/>
    <n v="7719"/>
    <n v="7719"/>
    <s v="Kgs"/>
    <n v="7719"/>
    <n v="0"/>
    <n v="7719"/>
    <s v="GJ12BT2409"/>
    <s v="Plastene India ltd - Unit 1-Purchase"/>
    <s v="Plastene India ltd - Unit 1-Purchase"/>
    <s v="PIL1/D/1173"/>
    <s v="25-07-2026"/>
    <s v="RAW MATERIAL"/>
    <s v="INDIGENOUS"/>
    <s v="RM 441"/>
    <n v="144.49"/>
    <n v="144.49"/>
    <s v="PIL1/D/1173"/>
    <s v="25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405616.15"/>
    <s v="SF"/>
    <s v="PP/PE Fabric"/>
    <s v="PP UL Fabric"/>
    <s v="RM"/>
    <s v="erp"/>
    <n v="0"/>
    <n v="1115318.31"/>
    <n v="955"/>
    <s v="25-07-2026"/>
    <s v="24AAACO3087C1ZT"/>
    <s v="storepil6"/>
    <s v="storepil6"/>
    <n v="9"/>
    <n v="100378.65"/>
    <n v="9"/>
    <n v="100378.65"/>
    <n v="0"/>
    <n v="0"/>
    <n v="1405616.15"/>
    <n v="652150845020"/>
    <d v="2026-07-25T00:00:00"/>
    <n v="0"/>
  </r>
  <r>
    <s v="HCP Plastene Bulkpack Ltd (Unit - IV)"/>
    <s v="25-07-2026"/>
    <s v="HPBL4/26-27/SII01004"/>
    <s v="WIP00023"/>
    <x v="0"/>
    <m/>
    <s v="HPBL4/RAW/26-27/412"/>
    <n v="518"/>
    <n v="518"/>
    <s v="Kgs"/>
    <n v="518"/>
    <n v="0"/>
    <n v="518"/>
    <s v="GJ12BT2409"/>
    <s v="Plastene India ltd - Unit 1-Purchase"/>
    <s v="Plastene India ltd - Unit 1-Purchase"/>
    <s v="PIL1/D/1173"/>
    <s v="25-07-2026"/>
    <s v="RAW MATERIAL"/>
    <s v="INDIGENOUS"/>
    <s v="RM 441"/>
    <n v="146.49"/>
    <n v="146.49"/>
    <s v="PIL1/D/1173"/>
    <s v="25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405616.15"/>
    <s v="SF"/>
    <s v="PP/PE Fabric"/>
    <s v="PP UL Fabric"/>
    <s v="RM"/>
    <s v="erp"/>
    <n v="0"/>
    <n v="75881.820000000007"/>
    <n v="955"/>
    <s v="25-07-2026"/>
    <s v="24AAACO3087C1ZT"/>
    <s v="storepil6"/>
    <s v="storepil6"/>
    <n v="9"/>
    <n v="6829.36"/>
    <n v="9"/>
    <n v="6829.36"/>
    <n v="0"/>
    <n v="0"/>
    <n v="0"/>
    <n v="652150845020"/>
    <d v="2026-07-25T00:00:00"/>
    <n v="0"/>
  </r>
  <r>
    <s v="HCP Plastene Bulkpack Ltd (Unit - IV)"/>
    <s v="26-07-2026"/>
    <s v="HPBL4/26-27/SII01006"/>
    <s v="WIP00023"/>
    <x v="0"/>
    <m/>
    <s v="HPBL4/RAW/26-27/413"/>
    <n v="274"/>
    <n v="274"/>
    <s v="Kgs"/>
    <n v="274"/>
    <n v="0"/>
    <n v="274"/>
    <s v="GJ12BT2409"/>
    <s v="Plastene India ltd - Unit 1-Purchase"/>
    <s v="Plastene India ltd - Unit 1-Purchase"/>
    <s v="PIL1/D/1180"/>
    <s v="26-07-2026"/>
    <s v="RAW MATERIAL"/>
    <s v="INDIGENOUS"/>
    <s v="RM 442"/>
    <n v="147.49"/>
    <n v="147.49"/>
    <s v="PIL1/D/1180"/>
    <s v="26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161855.1499999999"/>
    <s v="SF"/>
    <s v="PP/PE Fabric"/>
    <s v="PP UL Fabric"/>
    <s v="RM"/>
    <s v="erp"/>
    <n v="0"/>
    <n v="40412.26"/>
    <n v="971"/>
    <s v="26-07-2026"/>
    <s v="24AAACO3087C1ZT"/>
    <s v="storepil6"/>
    <s v="storepil6"/>
    <n v="9"/>
    <n v="3637.1"/>
    <n v="9"/>
    <n v="3637.1"/>
    <n v="0"/>
    <n v="0"/>
    <n v="1161855.1499999999"/>
    <n v="632151444990"/>
    <d v="2026-07-26T00:00:00"/>
    <n v="0"/>
  </r>
  <r>
    <s v="HCP Plastene Bulkpack Ltd (Unit - IV)"/>
    <s v="26-07-2026"/>
    <s v="HPBL4/26-27/SII01006"/>
    <s v="WIP00023"/>
    <x v="0"/>
    <m/>
    <s v="HPBL4/RAW/26-27/413"/>
    <n v="5141"/>
    <n v="5141"/>
    <s v="Kgs"/>
    <n v="5141"/>
    <n v="0"/>
    <n v="5141"/>
    <s v="GJ12BT2409"/>
    <s v="Plastene India ltd - Unit 1-Purchase"/>
    <s v="Plastene India ltd - Unit 1-Purchase"/>
    <s v="PIL1/D/1180"/>
    <s v="26-07-2026"/>
    <s v="RAW MATERIAL"/>
    <s v="INDIGENOUS"/>
    <s v="RM 442"/>
    <n v="144.49"/>
    <n v="144.49"/>
    <s v="PIL1/D/1180"/>
    <s v="26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161855.1499999999"/>
    <s v="SF"/>
    <s v="PP/PE Fabric"/>
    <s v="PP UL Fabric"/>
    <s v="RM"/>
    <s v="erp"/>
    <n v="0"/>
    <n v="742823.09"/>
    <n v="971"/>
    <s v="26-07-2026"/>
    <s v="24AAACO3087C1ZT"/>
    <s v="storepil6"/>
    <s v="storepil6"/>
    <n v="9"/>
    <n v="66854.080000000002"/>
    <n v="9"/>
    <n v="66854.080000000002"/>
    <n v="0"/>
    <n v="0"/>
    <n v="0"/>
    <n v="632151444990"/>
    <d v="2026-07-26T00:00:00"/>
    <n v="0"/>
  </r>
  <r>
    <s v="HCP Plastene Bulkpack Ltd (Unit - IV)"/>
    <s v="26-07-2026"/>
    <s v="HPBL4/26-27/SII01006"/>
    <s v="WIP00023"/>
    <x v="0"/>
    <m/>
    <s v="HPBL4/RAW/26-27/413"/>
    <n v="737"/>
    <n v="737"/>
    <s v="Kgs"/>
    <n v="737"/>
    <n v="0"/>
    <n v="737"/>
    <s v="GJ12BT2409"/>
    <s v="Plastene India ltd - Unit 1-Purchase"/>
    <s v="Plastene India ltd - Unit 1-Purchase"/>
    <s v="PIL1/D/1180"/>
    <s v="26-07-2026"/>
    <s v="RAW MATERIAL"/>
    <s v="INDIGENOUS"/>
    <s v="RM 442"/>
    <n v="146.49"/>
    <n v="146.49"/>
    <s v="PIL1/D/1180"/>
    <s v="26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161855.1499999999"/>
    <s v="SF"/>
    <s v="PP/PE Fabric"/>
    <s v="PP UL Fabric"/>
    <s v="RM"/>
    <s v="erp"/>
    <n v="0"/>
    <n v="107963.13"/>
    <n v="971"/>
    <s v="26-07-2026"/>
    <s v="24AAACO3087C1ZT"/>
    <s v="storepil6"/>
    <s v="storepil6"/>
    <n v="9"/>
    <n v="9716.68"/>
    <n v="9"/>
    <n v="9716.68"/>
    <n v="0"/>
    <n v="0"/>
    <n v="0"/>
    <n v="632151444990"/>
    <d v="2026-07-26T00:00:00"/>
    <n v="0"/>
  </r>
  <r>
    <s v="HCP Plastene Bulkpack Ltd (Unit - IV)"/>
    <s v="26-07-2026"/>
    <s v="HPBL4/26-27/SII01006"/>
    <s v="FIG00001"/>
    <x v="4"/>
    <m/>
    <s v="HPBL4/RAW/26-27/413"/>
    <n v="597"/>
    <n v="597"/>
    <s v="Kgs"/>
    <n v="597"/>
    <n v="0"/>
    <n v="597"/>
    <s v="GJ12BT2409"/>
    <s v="Plastene India ltd - Unit 1-Purchase"/>
    <s v="Plastene India ltd - Unit 1-Purchase"/>
    <s v="PIL1/D/1180"/>
    <s v="26-07-2026"/>
    <s v="RAW MATERIAL"/>
    <s v="INDIGENOUS"/>
    <s v="RM 442"/>
    <n v="156.49"/>
    <n v="156.49"/>
    <s v="PIL1/D/1180"/>
    <s v="26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161855.1499999999"/>
    <s v="FG"/>
    <s v="FIBC WIP"/>
    <s v="FIBC WIP"/>
    <s v="RM"/>
    <s v="erp"/>
    <n v="0"/>
    <n v="93424.53"/>
    <n v="971"/>
    <s v="26-07-2026"/>
    <s v="24AAACO3087C1ZT"/>
    <s v="storepil6"/>
    <s v="storepil6"/>
    <n v="9"/>
    <n v="8408.2099999999991"/>
    <n v="9"/>
    <n v="8408.2099999999991"/>
    <n v="0"/>
    <n v="0"/>
    <n v="0"/>
    <n v="632151444990"/>
    <d v="2026-07-26T00:00:00"/>
    <n v="0"/>
  </r>
  <r>
    <s v="HCP Plastene Bulkpack Ltd (Unit - IV)"/>
    <s v="26-07-2026"/>
    <s v="HPBL4/26-27/SII01007"/>
    <s v="WIP00023"/>
    <x v="0"/>
    <m/>
    <s v="HPBL4/RAW/26-27/414"/>
    <n v="576"/>
    <n v="576"/>
    <s v="Kgs"/>
    <n v="576"/>
    <n v="0"/>
    <n v="576"/>
    <s v="GJ39TB3534"/>
    <s v="Plastene India ltd - Unit 1-Purchase"/>
    <s v="Plastene India ltd - Unit 1-Purchase"/>
    <s v="PIL1/D/1186"/>
    <s v="26-07-2026"/>
    <s v="RAW MATERIAL"/>
    <s v="INDIGENOUS"/>
    <s v="RM 443"/>
    <n v="144.49"/>
    <n v="144.49"/>
    <s v="PIL1/D/1186"/>
    <s v="26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49026.12"/>
    <s v="SF"/>
    <s v="PP/PE Fabric"/>
    <s v="PP UL Fabric"/>
    <s v="RM"/>
    <s v="erp"/>
    <n v="0"/>
    <n v="83226.240000000005"/>
    <n v="975"/>
    <s v="26-07-2026"/>
    <s v="24AAACO3087C1ZT"/>
    <s v="storepil6"/>
    <s v="storepil6"/>
    <n v="9"/>
    <n v="7490.36"/>
    <n v="9"/>
    <n v="7490.36"/>
    <n v="0"/>
    <n v="0"/>
    <n v="149026.12"/>
    <n v="672151600552"/>
    <d v="2026-07-26T00:00:00"/>
    <n v="0"/>
  </r>
  <r>
    <s v="HCP Plastene Bulkpack Ltd (Unit - IV)"/>
    <s v="26-07-2026"/>
    <s v="HPBL4/26-27/SII01007"/>
    <s v="WIP00023"/>
    <x v="0"/>
    <m/>
    <s v="HPBL4/RAW/26-27/414"/>
    <n v="292"/>
    <n v="292"/>
    <s v="Kgs"/>
    <n v="292"/>
    <n v="0"/>
    <n v="292"/>
    <s v="GJ39TB3534"/>
    <s v="Plastene India ltd - Unit 1-Purchase"/>
    <s v="Plastene India ltd - Unit 1-Purchase"/>
    <s v="PIL1/D/1186"/>
    <s v="26-07-2026"/>
    <s v="RAW MATERIAL"/>
    <s v="INDIGENOUS"/>
    <s v="RM 443"/>
    <n v="147.49"/>
    <n v="147.49"/>
    <s v="PIL1/D/1186"/>
    <s v="26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49026.12"/>
    <s v="SF"/>
    <s v="PP/PE Fabric"/>
    <s v="PP UL Fabric"/>
    <s v="RM"/>
    <s v="erp"/>
    <n v="0"/>
    <n v="43067.08"/>
    <n v="975"/>
    <s v="26-07-2026"/>
    <s v="24AAACO3087C1ZT"/>
    <s v="storepil6"/>
    <s v="storepil6"/>
    <n v="9"/>
    <n v="3876.04"/>
    <n v="9"/>
    <n v="3876.04"/>
    <n v="0"/>
    <n v="0"/>
    <n v="0"/>
    <n v="672151600552"/>
    <d v="2026-07-26T00:00:00"/>
    <n v="0"/>
  </r>
  <r>
    <s v="HCP Plastene Bulkpack Ltd (Unit - IV)"/>
    <s v="26-07-2026"/>
    <s v="HPBL4/26-27/SII01008"/>
    <s v="WIP00023"/>
    <x v="0"/>
    <m/>
    <s v="HPBL4/RAW/26-27/416"/>
    <n v="1418"/>
    <n v="1418"/>
    <s v="Kgs"/>
    <n v="1418"/>
    <n v="0"/>
    <n v="1418"/>
    <s v="GJ12BY0479"/>
    <s v="Plastene India ltd - Unit 1-Purchase"/>
    <s v="Plastene India ltd - Unit 1-Purchase"/>
    <s v="PIL1/D/1183"/>
    <s v="26-07-2026"/>
    <s v="RAW MATERIAL"/>
    <s v="INDIGENOUS"/>
    <s v="RM 444"/>
    <n v="144.49"/>
    <n v="144.489999933467"/>
    <s v="PIL1/D/1183"/>
    <s v="26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171693.35"/>
    <s v="SF"/>
    <s v="PP/PE Fabric"/>
    <s v="PP UL Fabric"/>
    <s v="RM"/>
    <s v="erp"/>
    <n v="0"/>
    <n v="204886.82"/>
    <n v="973"/>
    <s v="26-07-2026"/>
    <s v="24AAACO3087C1ZT"/>
    <s v="storepil6"/>
    <s v="storepil6"/>
    <n v="9"/>
    <n v="18439.810000000001"/>
    <n v="9"/>
    <n v="18439.810000000001"/>
    <n v="0"/>
    <n v="0"/>
    <n v="2171693.35"/>
    <n v="612151494999"/>
    <d v="2026-07-26T00:00:00"/>
    <n v="0"/>
  </r>
  <r>
    <s v="HCP Plastene Bulkpack Ltd (Unit - IV)"/>
    <s v="26-07-2026"/>
    <s v="HPBL4/26-27/SII01008"/>
    <s v="WIP00013"/>
    <x v="2"/>
    <m/>
    <s v="HPBL4/RAW/26-27/416"/>
    <n v="4383.3999999999996"/>
    <n v="4383.3999999999996"/>
    <s v="Kgs"/>
    <n v="4383.3999999999996"/>
    <n v="0"/>
    <n v="4383.3999999999996"/>
    <s v="GJ12BY0479"/>
    <s v="Plastene India ltd - Unit 1-Purchase"/>
    <s v="Plastene India ltd - Unit 1-Purchase"/>
    <s v="PIL1/D/1183"/>
    <s v="26-07-2026"/>
    <s v="RAW MATERIAL"/>
    <s v="INDIGENOUS"/>
    <s v="RM 444"/>
    <n v="182.78"/>
    <n v="182.77999991583499"/>
    <s v="PIL1/D/1183"/>
    <s v="26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171693.35"/>
    <s v="SF"/>
    <s v="Liners"/>
    <s v="LDPE/LLDPE Bags"/>
    <s v="RM"/>
    <s v="erp"/>
    <n v="0"/>
    <n v="801197.85"/>
    <n v="973"/>
    <s v="26-07-2026"/>
    <s v="24AAACO3087C1ZT"/>
    <s v="storepil6"/>
    <s v="storepil6"/>
    <n v="9"/>
    <n v="72107.81"/>
    <n v="9"/>
    <n v="72107.81"/>
    <n v="0"/>
    <n v="0"/>
    <n v="0"/>
    <n v="612151494999"/>
    <d v="2026-07-26T00:00:00"/>
    <n v="0"/>
  </r>
  <r>
    <s v="HCP Plastene Bulkpack Ltd (Unit - IV)"/>
    <s v="26-07-2026"/>
    <s v="HPBL4/26-27/SII01008"/>
    <s v="WIP00013"/>
    <x v="2"/>
    <m/>
    <s v="HPBL4/RAW/26-27/416"/>
    <n v="133"/>
    <n v="133"/>
    <s v="Kgs"/>
    <n v="133"/>
    <n v="0"/>
    <n v="133"/>
    <s v="GJ12BY0479"/>
    <s v="Plastene India ltd - Unit 1-Purchase"/>
    <s v="Plastene India ltd - Unit 1-Purchase"/>
    <s v="PIL1/D/1183"/>
    <s v="26-07-2026"/>
    <s v="RAW MATERIAL"/>
    <s v="INDIGENOUS"/>
    <s v="RM 444"/>
    <n v="185.78"/>
    <n v="185.77999991445401"/>
    <s v="PIL1/D/1183"/>
    <s v="26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171693.35"/>
    <s v="SF"/>
    <s v="Liners"/>
    <s v="LDPE/LLDPE Bags"/>
    <s v="RM"/>
    <s v="erp"/>
    <n v="0"/>
    <n v="24708.74"/>
    <n v="973"/>
    <s v="26-07-2026"/>
    <s v="24AAACO3087C1ZT"/>
    <s v="storepil6"/>
    <s v="storepil6"/>
    <n v="9"/>
    <n v="2223.79"/>
    <n v="9"/>
    <n v="2223.79"/>
    <n v="0"/>
    <n v="0"/>
    <n v="0"/>
    <n v="612151494999"/>
    <d v="2026-07-26T00:00:00"/>
    <n v="0"/>
  </r>
  <r>
    <s v="HCP Plastene Bulkpack Ltd (Unit - IV)"/>
    <s v="26-07-2026"/>
    <s v="HPBL4/26-27/SII01008"/>
    <s v="WIP00013"/>
    <x v="2"/>
    <m/>
    <s v="HPBL4/RAW/26-27/416"/>
    <n v="81"/>
    <n v="81"/>
    <s v="Kgs"/>
    <n v="81"/>
    <n v="0"/>
    <n v="81"/>
    <s v="GJ12BY0479"/>
    <s v="Plastene India ltd - Unit 1-Purchase"/>
    <s v="Plastene India ltd - Unit 1-Purchase"/>
    <s v="PIL1/D/1183"/>
    <s v="26-07-2026"/>
    <s v="RAW MATERIAL"/>
    <s v="INDIGENOUS"/>
    <s v="RM 444"/>
    <n v="186.78"/>
    <n v="186.77999991399301"/>
    <s v="PIL1/D/1183"/>
    <s v="26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171693.35"/>
    <s v="SF"/>
    <s v="Liners"/>
    <s v="LDPE/LLDPE Bags"/>
    <s v="RM"/>
    <s v="erp"/>
    <n v="0"/>
    <n v="15129.18"/>
    <n v="973"/>
    <s v="26-07-2026"/>
    <s v="24AAACO3087C1ZT"/>
    <s v="storepil6"/>
    <s v="storepil6"/>
    <n v="9"/>
    <n v="1361.63"/>
    <n v="9"/>
    <n v="1361.63"/>
    <n v="0"/>
    <n v="0"/>
    <n v="0"/>
    <n v="612151494999"/>
    <d v="2026-07-26T00:00:00"/>
    <n v="0"/>
  </r>
  <r>
    <s v="HCP Plastene Bulkpack Ltd (Unit - IV)"/>
    <s v="26-07-2026"/>
    <s v="HPBL4/26-27/SII01008"/>
    <s v="WIP00032"/>
    <x v="3"/>
    <m/>
    <s v="HPBL4/RAW/26-27/416"/>
    <n v="1321.8"/>
    <n v="1321.8"/>
    <s v="Kgs"/>
    <n v="1321.8"/>
    <n v="0"/>
    <n v="1321.8"/>
    <s v="GJ12BY0479"/>
    <s v="Plastene India ltd - Unit 1-Purchase"/>
    <s v="Plastene India ltd - Unit 1-Purchase"/>
    <s v="PIL1/D/1183"/>
    <s v="26-07-2026"/>
    <s v="RAW MATERIAL"/>
    <s v="INDIGENOUS"/>
    <s v="RM 444"/>
    <n v="149.49"/>
    <n v="149.48999993116399"/>
    <s v="PIL1/D/1183"/>
    <s v="26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171693.35"/>
    <s v="SF"/>
    <s v="Webbing"/>
    <s v="PP Webbing"/>
    <s v="RM"/>
    <s v="erp"/>
    <n v="0"/>
    <n v="197595.88"/>
    <n v="973"/>
    <s v="26-07-2026"/>
    <s v="24AAACO3087C1ZT"/>
    <s v="storepil6"/>
    <s v="storepil6"/>
    <n v="9"/>
    <n v="17783.63"/>
    <n v="9"/>
    <n v="17783.63"/>
    <n v="0"/>
    <n v="0"/>
    <n v="0"/>
    <n v="612151494999"/>
    <d v="2026-07-26T00:00:00"/>
    <n v="0"/>
  </r>
  <r>
    <s v="HCP Plastene Bulkpack Ltd (Unit - IV)"/>
    <s v="26-07-2026"/>
    <s v="HPBL4/26-27/SII01008"/>
    <s v="WIP00032"/>
    <x v="3"/>
    <m/>
    <s v="HPBL4/RAW/26-27/416"/>
    <n v="1004.3"/>
    <n v="1004.3"/>
    <s v="Kgs"/>
    <n v="1004.3"/>
    <n v="0"/>
    <n v="1004.3"/>
    <s v="GJ12BY0479"/>
    <s v="Plastene India ltd - Unit 1-Purchase"/>
    <s v="Plastene India ltd - Unit 1-Purchase"/>
    <s v="PIL1/D/1183"/>
    <s v="26-07-2026"/>
    <s v="RAW MATERIAL"/>
    <s v="INDIGENOUS"/>
    <s v="RM 444"/>
    <n v="146.49"/>
    <n v="146.489999932546"/>
    <s v="PIL1/D/1183"/>
    <s v="26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171693.35"/>
    <s v="SF"/>
    <s v="Webbing"/>
    <s v="PP Webbing"/>
    <s v="RM"/>
    <s v="erp"/>
    <n v="0"/>
    <n v="147119.91"/>
    <n v="973"/>
    <s v="26-07-2026"/>
    <s v="24AAACO3087C1ZT"/>
    <s v="storepil6"/>
    <s v="storepil6"/>
    <n v="9"/>
    <n v="13240.79"/>
    <n v="9"/>
    <n v="13240.79"/>
    <n v="0"/>
    <n v="0"/>
    <n v="0"/>
    <n v="612151494999"/>
    <d v="2026-07-26T00:00:00"/>
    <n v="0"/>
  </r>
  <r>
    <s v="HCP Plastene Bulkpack Ltd (Unit - IV)"/>
    <s v="26-07-2026"/>
    <s v="HPBL4/26-27/SII01008"/>
    <s v="WIP00025"/>
    <x v="1"/>
    <m/>
    <s v="HPBL4/RAW/26-27/416"/>
    <n v="2377"/>
    <n v="2377"/>
    <s v="Kgs"/>
    <n v="2377"/>
    <n v="0"/>
    <n v="2377"/>
    <s v="GJ12BY0479"/>
    <s v="Plastene India ltd - Unit 1-Purchase"/>
    <s v="Plastene India ltd - Unit 1-Purchase"/>
    <s v="PIL1/D/1183"/>
    <s v="26-07-2026"/>
    <s v="RAW MATERIAL"/>
    <s v="INDIGENOUS"/>
    <s v="RM 444"/>
    <n v="151.49"/>
    <n v="151.48999993024299"/>
    <s v="PIL1/D/1183"/>
    <s v="26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171693.35"/>
    <s v="SF"/>
    <s v="PP/PE Fabric"/>
    <s v="PP Lam Fabric"/>
    <s v="RM"/>
    <s v="erp"/>
    <n v="0"/>
    <n v="360091.73"/>
    <n v="973"/>
    <s v="26-07-2026"/>
    <s v="24AAACO3087C1ZT"/>
    <s v="storepil6"/>
    <s v="storepil6"/>
    <n v="9"/>
    <n v="32408.26"/>
    <n v="9"/>
    <n v="32408.26"/>
    <n v="0"/>
    <n v="0"/>
    <n v="0"/>
    <n v="612151494999"/>
    <d v="2026-07-26T00:00:00"/>
    <n v="0"/>
  </r>
  <r>
    <s v="HCP Plastene Bulkpack Ltd (Unit - IV)"/>
    <s v="26-07-2026"/>
    <s v="HPBL4/26-27/SII01008"/>
    <s v="WIP00025"/>
    <x v="1"/>
    <m/>
    <s v="HPBL4/RAW/26-27/416"/>
    <n v="604"/>
    <n v="604"/>
    <s v="Kgs"/>
    <n v="604"/>
    <n v="0"/>
    <n v="604"/>
    <s v="GJ12BY0479"/>
    <s v="Plastene India ltd - Unit 1-Purchase"/>
    <s v="Plastene India ltd - Unit 1-Purchase"/>
    <s v="PIL1/D/1183"/>
    <s v="26-07-2026"/>
    <s v="RAW MATERIAL"/>
    <s v="INDIGENOUS"/>
    <s v="RM 444"/>
    <n v="148.49"/>
    <n v="148.48999993162499"/>
    <s v="PIL1/D/1183"/>
    <s v="26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171693.35"/>
    <s v="SF"/>
    <s v="PP/PE Fabric"/>
    <s v="PP Lam Fabric"/>
    <s v="RM"/>
    <s v="erp"/>
    <n v="0"/>
    <n v="89687.96"/>
    <n v="973"/>
    <s v="26-07-2026"/>
    <s v="24AAACO3087C1ZT"/>
    <s v="storepil6"/>
    <s v="storepil6"/>
    <n v="9"/>
    <n v="8071.92"/>
    <n v="9"/>
    <n v="8071.92"/>
    <n v="0"/>
    <n v="0"/>
    <n v="0"/>
    <n v="612151494999"/>
    <d v="2026-07-26T00:00:00"/>
    <n v="0"/>
  </r>
  <r>
    <s v="HCP Plastene Bulkpack Ltd (Unit - IV)"/>
    <s v="27-07-2026"/>
    <s v="HPBL4/26-27/SII01009"/>
    <s v="WIP00023"/>
    <x v="0"/>
    <m/>
    <s v="HPBL4/RAW/26-27/418"/>
    <n v="5977"/>
    <n v="5977"/>
    <s v="Kgs"/>
    <n v="5977"/>
    <n v="0"/>
    <n v="5977"/>
    <s v="GJ12BT2409"/>
    <s v="Plastene India ltd - Unit 1-Purchase"/>
    <s v="Plastene India ltd - Unit 1-Purchase"/>
    <s v="PIL1/D/1189"/>
    <s v="27-07-2026"/>
    <s v="RAW MATERIAL"/>
    <s v="INDIGENOUS"/>
    <s v="RM 445"/>
    <n v="144.49"/>
    <n v="144.49"/>
    <s v="PIL1/D/1189"/>
    <s v="27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152687.1399999999"/>
    <s v="SF"/>
    <s v="PP/PE Fabric"/>
    <s v="PP UL Fabric"/>
    <s v="RM"/>
    <s v="erp"/>
    <n v="0"/>
    <n v="863616.73"/>
    <n v="977"/>
    <s v="27-07-2026"/>
    <s v="24AAACO3087C1ZT"/>
    <s v="storepil6"/>
    <s v="storepil6"/>
    <n v="9"/>
    <n v="77725.509999999995"/>
    <n v="9"/>
    <n v="77725.509999999995"/>
    <n v="0"/>
    <n v="0"/>
    <n v="1152687.1399999999"/>
    <n v="612151732550"/>
    <d v="2026-07-27T00:00:00"/>
    <n v="0"/>
  </r>
  <r>
    <s v="HCP Plastene Bulkpack Ltd (Unit - IV)"/>
    <s v="27-07-2026"/>
    <s v="HPBL4/26-27/SII01009"/>
    <s v="WIP00023"/>
    <x v="0"/>
    <m/>
    <s v="HPBL4/RAW/26-27/418"/>
    <n v="773"/>
    <n v="773"/>
    <s v="Kgs"/>
    <n v="773"/>
    <n v="0"/>
    <n v="773"/>
    <s v="GJ12BT2409"/>
    <s v="Plastene India ltd - Unit 1-Purchase"/>
    <s v="Plastene India ltd - Unit 1-Purchase"/>
    <s v="PIL1/D/1189"/>
    <s v="27-07-2026"/>
    <s v="RAW MATERIAL"/>
    <s v="INDIGENOUS"/>
    <s v="RM 445"/>
    <n v="146.49"/>
    <n v="146.49"/>
    <s v="PIL1/D/1189"/>
    <s v="27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152687.1399999999"/>
    <s v="SF"/>
    <s v="PP/PE Fabric"/>
    <s v="PP UL Fabric"/>
    <s v="RM"/>
    <s v="erp"/>
    <n v="0"/>
    <n v="113236.77"/>
    <n v="977"/>
    <s v="27-07-2026"/>
    <s v="24AAACO3087C1ZT"/>
    <s v="storepil6"/>
    <s v="storepil6"/>
    <n v="9"/>
    <n v="10191.31"/>
    <n v="9"/>
    <n v="10191.31"/>
    <n v="0"/>
    <n v="0"/>
    <n v="0"/>
    <n v="612151732550"/>
    <d v="2026-07-27T00:00:00"/>
    <n v="0"/>
  </r>
  <r>
    <s v="HCP Plastene Bulkpack Ltd (Unit - IV)"/>
    <s v="27-07-2026"/>
    <s v="HPBL4/26-27/SII01011"/>
    <s v="WIP00023"/>
    <x v="0"/>
    <m/>
    <s v="HPBL4/RAW/26-27/419"/>
    <n v="3102"/>
    <n v="3102"/>
    <s v="Kgs"/>
    <n v="3102"/>
    <n v="0"/>
    <n v="3102"/>
    <s v="GJ12BT2409"/>
    <s v="Plastene India ltd - Unit 1-Purchase"/>
    <s v="Plastene India ltd - Unit 1-Purchase"/>
    <s v="PIL1/D/1191"/>
    <s v="27-07-2026"/>
    <s v="RAW MATERIAL"/>
    <s v="INDIGENOUS"/>
    <s v="RM 446"/>
    <n v="144.49"/>
    <n v="144.490001817311"/>
    <s v="PIL1/D/1191"/>
    <s v="27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749166.82"/>
    <s v="SF"/>
    <s v="PP/PE Fabric"/>
    <s v="PP UL Fabric"/>
    <s v="RM"/>
    <s v="erp"/>
    <n v="0"/>
    <n v="448207.99"/>
    <n v="979"/>
    <s v="27-07-2026"/>
    <s v="24AAACO3087C1ZT"/>
    <s v="storepil6"/>
    <s v="storepil6"/>
    <n v="9"/>
    <n v="40338.720000000001"/>
    <n v="9"/>
    <n v="40338.720000000001"/>
    <n v="0"/>
    <n v="0"/>
    <n v="1749166.82"/>
    <n v="652151963798"/>
    <d v="2026-07-27T00:00:00"/>
    <n v="0"/>
  </r>
  <r>
    <s v="HCP Plastene Bulkpack Ltd (Unit - IV)"/>
    <s v="27-07-2026"/>
    <s v="HPBL4/26-27/SII01011"/>
    <s v="WIP00013"/>
    <x v="2"/>
    <m/>
    <s v="HPBL4/RAW/26-27/419"/>
    <n v="1041"/>
    <n v="1041"/>
    <s v="Kgs"/>
    <n v="1041"/>
    <n v="0"/>
    <n v="1041"/>
    <s v="GJ12BT2409"/>
    <s v="Plastene India ltd - Unit 1-Purchase"/>
    <s v="Plastene India ltd - Unit 1-Purchase"/>
    <s v="PIL1/D/1191"/>
    <s v="27-07-2026"/>
    <s v="RAW MATERIAL"/>
    <s v="INDIGENOUS"/>
    <s v="RM 446"/>
    <n v="182.78"/>
    <n v="182.7800022989"/>
    <s v="PIL1/D/1191"/>
    <s v="27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749166.82"/>
    <s v="SF"/>
    <s v="Liners"/>
    <s v="LDPE/LLDPE Bags"/>
    <s v="RM"/>
    <s v="erp"/>
    <n v="0"/>
    <n v="190273.98"/>
    <n v="979"/>
    <s v="27-07-2026"/>
    <s v="24AAACO3087C1ZT"/>
    <s v="storepil6"/>
    <s v="storepil6"/>
    <n v="9"/>
    <n v="17124.66"/>
    <n v="9"/>
    <n v="17124.66"/>
    <n v="0"/>
    <n v="0"/>
    <n v="0"/>
    <n v="652151963798"/>
    <d v="2026-07-27T00:00:00"/>
    <n v="0"/>
  </r>
  <r>
    <s v="HCP Plastene Bulkpack Ltd (Unit - IV)"/>
    <s v="27-07-2026"/>
    <s v="HPBL4/26-27/SII01011"/>
    <s v="WIP00013"/>
    <x v="2"/>
    <m/>
    <s v="HPBL4/RAW/26-27/419"/>
    <n v="80"/>
    <n v="80"/>
    <s v="Kgs"/>
    <n v="80"/>
    <n v="0"/>
    <n v="80"/>
    <s v="GJ12BT2409"/>
    <s v="Plastene India ltd - Unit 1-Purchase"/>
    <s v="Plastene India ltd - Unit 1-Purchase"/>
    <s v="PIL1/D/1191"/>
    <s v="27-07-2026"/>
    <s v="RAW MATERIAL"/>
    <s v="INDIGENOUS"/>
    <s v="RM 446"/>
    <n v="186.78"/>
    <n v="186.78000234921001"/>
    <s v="PIL1/D/1191"/>
    <s v="27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749166.82"/>
    <s v="SF"/>
    <s v="Liners"/>
    <s v="LDPE/LLDPE Bags"/>
    <s v="RM"/>
    <s v="erp"/>
    <n v="0"/>
    <n v="14942.4"/>
    <n v="979"/>
    <s v="27-07-2026"/>
    <s v="24AAACO3087C1ZT"/>
    <s v="storepil6"/>
    <s v="storepil6"/>
    <n v="9"/>
    <n v="1344.82"/>
    <n v="9"/>
    <n v="1344.82"/>
    <n v="0"/>
    <n v="0"/>
    <n v="0"/>
    <n v="652151963798"/>
    <d v="2026-07-27T00:00:00"/>
    <n v="0"/>
  </r>
  <r>
    <s v="HCP Plastene Bulkpack Ltd (Unit - IV)"/>
    <s v="27-07-2026"/>
    <s v="HPBL4/26-27/SII01011"/>
    <s v="WIP00025"/>
    <x v="1"/>
    <m/>
    <s v="HPBL4/RAW/26-27/419"/>
    <n v="1281"/>
    <n v="1281"/>
    <s v="Kgs"/>
    <n v="1281"/>
    <n v="0"/>
    <n v="1281"/>
    <s v="GJ12BT2409"/>
    <s v="Plastene India ltd - Unit 1-Purchase"/>
    <s v="Plastene India ltd - Unit 1-Purchase"/>
    <s v="PIL1/D/1191"/>
    <s v="27-07-2026"/>
    <s v="RAW MATERIAL"/>
    <s v="INDIGENOUS"/>
    <s v="RM 446"/>
    <n v="146.49"/>
    <n v="146.490001842466"/>
    <s v="PIL1/D/1191"/>
    <s v="27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749166.82"/>
    <s v="SF"/>
    <s v="PP/PE Fabric"/>
    <s v="PP Lam Fabric"/>
    <s v="RM"/>
    <s v="erp"/>
    <n v="0"/>
    <n v="187653.69"/>
    <n v="979"/>
    <s v="27-07-2026"/>
    <s v="24AAACO3087C1ZT"/>
    <s v="storepil6"/>
    <s v="storepil6"/>
    <n v="9"/>
    <n v="16888.830000000002"/>
    <n v="9"/>
    <n v="16888.830000000002"/>
    <n v="0"/>
    <n v="0"/>
    <n v="0"/>
    <n v="652151963798"/>
    <d v="2026-07-27T00:00:00"/>
    <n v="0"/>
  </r>
  <r>
    <s v="HCP Plastene Bulkpack Ltd (Unit - IV)"/>
    <s v="27-07-2026"/>
    <s v="HPBL4/26-27/SII01011"/>
    <s v="WIP00025"/>
    <x v="1"/>
    <m/>
    <s v="HPBL4/RAW/26-27/419"/>
    <n v="793"/>
    <n v="793"/>
    <s v="Kgs"/>
    <n v="793"/>
    <n v="0"/>
    <n v="793"/>
    <s v="GJ12BT2409"/>
    <s v="Plastene India ltd - Unit 1-Purchase"/>
    <s v="Plastene India ltd - Unit 1-Purchase"/>
    <s v="PIL1/D/1191"/>
    <s v="27-07-2026"/>
    <s v="RAW MATERIAL"/>
    <s v="INDIGENOUS"/>
    <s v="RM 446"/>
    <n v="151.49"/>
    <n v="151.49000190535301"/>
    <s v="PIL1/D/1191"/>
    <s v="27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749166.82"/>
    <s v="SF"/>
    <s v="PP/PE Fabric"/>
    <s v="PP Lam Fabric"/>
    <s v="RM"/>
    <s v="erp"/>
    <n v="0"/>
    <n v="120131.57"/>
    <n v="979"/>
    <s v="27-07-2026"/>
    <s v="24AAACO3087C1ZT"/>
    <s v="storepil6"/>
    <s v="storepil6"/>
    <n v="9"/>
    <n v="10811.84"/>
    <n v="9"/>
    <n v="10811.84"/>
    <n v="0"/>
    <n v="0"/>
    <n v="0"/>
    <n v="652151963798"/>
    <d v="2026-07-27T00:00:00"/>
    <n v="0"/>
  </r>
  <r>
    <s v="HCP Plastene Bulkpack Ltd (Unit - IV)"/>
    <s v="27-07-2026"/>
    <s v="HPBL4/26-27/SII01011"/>
    <s v="WIP00025"/>
    <x v="1"/>
    <m/>
    <s v="HPBL4/RAW/26-27/419"/>
    <n v="1602"/>
    <n v="1602"/>
    <s v="Kgs"/>
    <n v="1602"/>
    <n v="0"/>
    <n v="1602"/>
    <s v="GJ12BT2409"/>
    <s v="Plastene India ltd - Unit 1-Purchase"/>
    <s v="Plastene India ltd - Unit 1-Purchase"/>
    <s v="PIL1/D/1191"/>
    <s v="27-07-2026"/>
    <s v="RAW MATERIAL"/>
    <s v="INDIGENOUS"/>
    <s v="RM 446"/>
    <n v="151.49"/>
    <n v="151.49000190535301"/>
    <s v="PIL1/D/1191"/>
    <s v="27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749166.82"/>
    <s v="SF"/>
    <s v="PP/PE Fabric"/>
    <s v="PP Lam Fabric"/>
    <s v="RM"/>
    <s v="erp"/>
    <n v="0"/>
    <n v="242686.98"/>
    <n v="979"/>
    <s v="27-07-2026"/>
    <s v="24AAACO3087C1ZT"/>
    <s v="storepil6"/>
    <s v="storepil6"/>
    <n v="9"/>
    <n v="21841.83"/>
    <n v="9"/>
    <n v="21841.83"/>
    <n v="0"/>
    <n v="0"/>
    <n v="0"/>
    <n v="652151963798"/>
    <d v="2026-07-27T00:00:00"/>
    <n v="0"/>
  </r>
  <r>
    <s v="HCP Plastene Bulkpack Ltd (Unit - IV)"/>
    <s v="27-07-2026"/>
    <s v="HPBL4/26-27/SII01011"/>
    <s v="WIP00032"/>
    <x v="3"/>
    <m/>
    <s v="HPBL4/RAW/26-27/419"/>
    <n v="1201.2"/>
    <n v="1201.2"/>
    <s v="Kgs"/>
    <n v="1201.2"/>
    <n v="0"/>
    <n v="1201.2"/>
    <s v="GJ12BT2409"/>
    <s v="Plastene India ltd - Unit 1-Purchase"/>
    <s v="Plastene India ltd - Unit 1-Purchase"/>
    <s v="PIL1/D/1191"/>
    <s v="27-07-2026"/>
    <s v="RAW MATERIAL"/>
    <s v="INDIGENOUS"/>
    <s v="RM 446"/>
    <n v="149.49"/>
    <n v="149.49000188019801"/>
    <s v="PIL1/D/1191"/>
    <s v="27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749166.82"/>
    <s v="SF"/>
    <s v="Webbing"/>
    <s v="PP Webbing"/>
    <s v="RM"/>
    <s v="erp"/>
    <n v="0"/>
    <n v="179567.39"/>
    <n v="979"/>
    <s v="27-07-2026"/>
    <s v="24AAACO3087C1ZT"/>
    <s v="storepil6"/>
    <s v="storepil6"/>
    <n v="9"/>
    <n v="16161.06"/>
    <n v="9"/>
    <n v="16161.06"/>
    <n v="0"/>
    <n v="0"/>
    <n v="0"/>
    <n v="652151963798"/>
    <d v="2026-07-27T00:00:00"/>
    <n v="0"/>
  </r>
  <r>
    <s v="HCP Plastene Bulkpack Ltd (Unit - IV)"/>
    <s v="27-07-2026"/>
    <s v="HPBL4/26-27/SII01011"/>
    <s v="WIP00032"/>
    <x v="3"/>
    <m/>
    <s v="HPBL4/RAW/26-27/419"/>
    <n v="675"/>
    <n v="675"/>
    <s v="Kgs"/>
    <n v="675"/>
    <n v="0"/>
    <n v="675"/>
    <s v="GJ12BT2409"/>
    <s v="Plastene India ltd - Unit 1-Purchase"/>
    <s v="Plastene India ltd - Unit 1-Purchase"/>
    <s v="PIL1/D/1191"/>
    <s v="27-07-2026"/>
    <s v="RAW MATERIAL"/>
    <s v="INDIGENOUS"/>
    <s v="RM 446"/>
    <n v="146.49"/>
    <n v="146.490001842466"/>
    <s v="PIL1/D/1191"/>
    <s v="27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749166.82"/>
    <s v="SF"/>
    <s v="Webbing"/>
    <s v="PP Webbing"/>
    <s v="RM"/>
    <s v="erp"/>
    <n v="0"/>
    <n v="98880.75"/>
    <n v="979"/>
    <s v="27-07-2026"/>
    <s v="24AAACO3087C1ZT"/>
    <s v="storepil6"/>
    <s v="storepil6"/>
    <n v="9"/>
    <n v="8899.27"/>
    <n v="9"/>
    <n v="8899.27"/>
    <n v="0"/>
    <n v="0"/>
    <n v="0"/>
    <n v="652151963798"/>
    <d v="2026-07-27T00:00:00"/>
    <n v="0"/>
  </r>
  <r>
    <s v="HCP Plastene Bulkpack Ltd (Unit - IV)"/>
    <s v="28-07-2026"/>
    <s v="HPBL4/26-27/SII01012"/>
    <s v="WIP00004"/>
    <x v="13"/>
    <m/>
    <s v="HPBL4/RAW/26-27/417"/>
    <n v="3232"/>
    <n v="3232"/>
    <s v="Kgs"/>
    <n v="3232"/>
    <n v="0"/>
    <n v="3232"/>
    <s v="GJ12BY1595"/>
    <s v="Plastene Polyfilms Ltd-Purchase"/>
    <s v="Plastene Polyfilms Ltd-Purchase"/>
    <s v="PPL/D/421"/>
    <s v="28-07-2026"/>
    <s v="RAW MATERIAL"/>
    <s v="INDIGENOUS"/>
    <s v="RM 447"/>
    <n v="233.23"/>
    <n v="233.23"/>
    <s v="PPL/D/421"/>
    <s v="28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321384.71"/>
    <s v="FG"/>
    <s v="FIBC Bags"/>
    <s v="FIBC Bags"/>
    <s v="FG"/>
    <s v="erp"/>
    <n v="0"/>
    <n v="753799.36"/>
    <n v="984"/>
    <s v="28-07-2026"/>
    <s v="24AAFCP2956A1ZR"/>
    <s v="storepil6"/>
    <s v="storepil6"/>
    <n v="9"/>
    <n v="67841.94"/>
    <n v="9"/>
    <n v="67841.94"/>
    <n v="0"/>
    <n v="0"/>
    <n v="2321384.71"/>
    <n v="652152522217"/>
    <d v="2026-07-28T00:00:00"/>
    <n v="0"/>
  </r>
  <r>
    <s v="HCP Plastene Bulkpack Ltd (Unit - IV)"/>
    <s v="28-07-2026"/>
    <s v="HPBL4/26-27/SII01012"/>
    <s v="WIP00004"/>
    <x v="13"/>
    <m/>
    <s v="HPBL4/RAW/26-27/417"/>
    <n v="1752"/>
    <n v="1752"/>
    <s v="Kgs"/>
    <n v="1752"/>
    <n v="0"/>
    <n v="1752"/>
    <s v="GJ12BY1595"/>
    <s v="Plastene Polyfilms Ltd-Purchase"/>
    <s v="Plastene Polyfilms Ltd-Purchase"/>
    <s v="PPL/D/421"/>
    <s v="28-07-2026"/>
    <s v="RAW MATERIAL"/>
    <s v="INDIGENOUS"/>
    <s v="RM 447"/>
    <n v="206.78"/>
    <n v="206.78"/>
    <s v="PPL/D/421"/>
    <s v="28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321384.71"/>
    <s v="FG"/>
    <s v="FIBC Bags"/>
    <s v="FIBC Bags"/>
    <s v="FG"/>
    <s v="erp"/>
    <n v="0"/>
    <n v="362278.56"/>
    <n v="984"/>
    <s v="28-07-2026"/>
    <s v="24AAFCP2956A1ZR"/>
    <s v="storepil6"/>
    <s v="storepil6"/>
    <n v="9"/>
    <n v="32605.07"/>
    <n v="9"/>
    <n v="32605.07"/>
    <n v="0"/>
    <n v="0"/>
    <n v="0"/>
    <n v="652152522217"/>
    <d v="2026-07-28T00:00:00"/>
    <n v="0"/>
  </r>
  <r>
    <s v="HCP Plastene Bulkpack Ltd (Unit - IV)"/>
    <s v="28-07-2026"/>
    <s v="HPBL4/26-27/SII01012"/>
    <s v="WIP00004"/>
    <x v="13"/>
    <m/>
    <s v="HPBL4/RAW/26-27/417"/>
    <n v="1685"/>
    <n v="1685"/>
    <s v="Kgs"/>
    <n v="1685"/>
    <n v="0"/>
    <n v="1685"/>
    <s v="GJ12BY1595"/>
    <s v="Plastene Polyfilms Ltd-Purchase"/>
    <s v="Plastene Polyfilms Ltd-Purchase"/>
    <s v="PPL/D/421"/>
    <s v="28-07-2026"/>
    <s v="RAW MATERIAL"/>
    <s v="INDIGENOUS"/>
    <s v="RM 447"/>
    <n v="196.25"/>
    <n v="196.25"/>
    <s v="PPL/D/421"/>
    <s v="28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321384.71"/>
    <s v="FG"/>
    <s v="FIBC Bags"/>
    <s v="FIBC Bags"/>
    <s v="FG"/>
    <s v="erp"/>
    <n v="0"/>
    <n v="330681.25"/>
    <n v="984"/>
    <s v="28-07-2026"/>
    <s v="24AAFCP2956A1ZR"/>
    <s v="storepil6"/>
    <s v="storepil6"/>
    <n v="9"/>
    <n v="29761.31"/>
    <n v="9"/>
    <n v="29761.31"/>
    <n v="0"/>
    <n v="0"/>
    <n v="0"/>
    <n v="652152522217"/>
    <d v="2026-07-28T00:00:00"/>
    <n v="0"/>
  </r>
  <r>
    <s v="HCP Plastene Bulkpack Ltd (Unit - IV)"/>
    <s v="28-07-2026"/>
    <s v="HPBL4/26-27/SII01012"/>
    <s v="WIP00004"/>
    <x v="13"/>
    <m/>
    <s v="HPBL4/RAW/26-27/417"/>
    <n v="2433"/>
    <n v="2433"/>
    <s v="Kgs"/>
    <n v="2433"/>
    <n v="0"/>
    <n v="2433"/>
    <s v="GJ12BY1595"/>
    <s v="Plastene Polyfilms Ltd-Purchase"/>
    <s v="Plastene Polyfilms Ltd-Purchase"/>
    <s v="PPL/D/421"/>
    <s v="28-07-2026"/>
    <s v="RAW MATERIAL"/>
    <s v="INDIGENOUS"/>
    <s v="RM 447"/>
    <n v="213.94"/>
    <n v="213.94"/>
    <s v="PPL/D/421"/>
    <s v="28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321384.71"/>
    <s v="FG"/>
    <s v="FIBC Bags"/>
    <s v="FIBC Bags"/>
    <s v="FG"/>
    <s v="erp"/>
    <n v="0"/>
    <n v="520516.02"/>
    <n v="984"/>
    <s v="28-07-2026"/>
    <s v="24AAFCP2956A1ZR"/>
    <s v="storepil6"/>
    <s v="storepil6"/>
    <n v="9"/>
    <n v="46846.44"/>
    <n v="9"/>
    <n v="46846.44"/>
    <n v="0"/>
    <n v="0"/>
    <n v="0"/>
    <n v="652152522217"/>
    <d v="2026-07-28T00:00:00"/>
    <n v="0"/>
  </r>
  <r>
    <s v="HCP Plastene Bulkpack Ltd (Unit - IV)"/>
    <s v="28-07-2026"/>
    <s v="HPBL4/26-27/SII01013"/>
    <s v="WIP00023"/>
    <x v="0"/>
    <m/>
    <s v="HPBL4/RAW/26-27/420"/>
    <n v="7183"/>
    <n v="7183"/>
    <s v="Kgs"/>
    <n v="7183"/>
    <n v="0"/>
    <n v="7183"/>
    <s v="GJ12BT2409"/>
    <s v="Plastene India ltd - Unit 1-Purchase"/>
    <s v="Plastene India ltd - Unit 1-Purchase"/>
    <s v="PIL1/D/1201"/>
    <s v="28-07-2026"/>
    <s v="RAW MATERIAL"/>
    <s v="INDIGENOUS"/>
    <s v="RM 448"/>
    <n v="144.49"/>
    <n v="144.49"/>
    <s v="PIL1/D/1201"/>
    <s v="28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450786.52"/>
    <s v="SF"/>
    <s v="PP/PE Fabric"/>
    <s v="PP UL Fabric"/>
    <s v="RM"/>
    <s v="erp"/>
    <n v="0"/>
    <n v="1037871.67"/>
    <n v="985"/>
    <s v="28-07-2026"/>
    <s v="24AAACO3087C1ZT"/>
    <s v="storepil6"/>
    <s v="storepil6"/>
    <n v="9"/>
    <n v="93408.45"/>
    <n v="9"/>
    <n v="93408.45"/>
    <n v="0"/>
    <n v="0"/>
    <n v="1450786.52"/>
    <n v="652152447811"/>
    <d v="2026-07-28T00:00:00"/>
    <n v="0"/>
  </r>
  <r>
    <s v="HCP Plastene Bulkpack Ltd (Unit - IV)"/>
    <s v="28-07-2026"/>
    <s v="HPBL4/26-27/SII01013"/>
    <s v="WIP00023"/>
    <x v="0"/>
    <m/>
    <s v="HPBL4/RAW/26-27/420"/>
    <n v="146"/>
    <n v="146"/>
    <s v="Kgs"/>
    <n v="146"/>
    <n v="0"/>
    <n v="146"/>
    <s v="GJ12BT2409"/>
    <s v="Plastene India ltd - Unit 1-Purchase"/>
    <s v="Plastene India ltd - Unit 1-Purchase"/>
    <s v="PIL1/D/1201"/>
    <s v="28-07-2026"/>
    <s v="RAW MATERIAL"/>
    <s v="INDIGENOUS"/>
    <s v="RM 448"/>
    <n v="147.49"/>
    <n v="147.49"/>
    <s v="PIL1/D/1201"/>
    <s v="28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450786.52"/>
    <s v="SF"/>
    <s v="PP/PE Fabric"/>
    <s v="PP UL Fabric"/>
    <s v="RM"/>
    <s v="erp"/>
    <n v="0"/>
    <n v="21533.54"/>
    <n v="985"/>
    <s v="28-07-2026"/>
    <s v="24AAACO3087C1ZT"/>
    <s v="storepil6"/>
    <s v="storepil6"/>
    <n v="9"/>
    <n v="1938.02"/>
    <n v="9"/>
    <n v="1938.02"/>
    <n v="0"/>
    <n v="0"/>
    <n v="0"/>
    <n v="652152447811"/>
    <d v="2026-07-28T00:00:00"/>
    <n v="0"/>
  </r>
  <r>
    <s v="HCP Plastene Bulkpack Ltd (Unit - IV)"/>
    <s v="28-07-2026"/>
    <s v="HPBL4/26-27/SII01013"/>
    <s v="WIP00023"/>
    <x v="0"/>
    <m/>
    <s v="HPBL4/RAW/26-27/420"/>
    <n v="1161"/>
    <n v="1161"/>
    <s v="Kgs"/>
    <n v="1161"/>
    <n v="0"/>
    <n v="1161"/>
    <s v="GJ12BT2409"/>
    <s v="Plastene India ltd - Unit 1-Purchase"/>
    <s v="Plastene India ltd - Unit 1-Purchase"/>
    <s v="PIL1/D/1201"/>
    <s v="28-07-2026"/>
    <s v="RAW MATERIAL"/>
    <s v="INDIGENOUS"/>
    <s v="RM 448"/>
    <n v="146.49"/>
    <n v="146.49"/>
    <s v="PIL1/D/1201"/>
    <s v="28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450786.52"/>
    <s v="SF"/>
    <s v="PP/PE Fabric"/>
    <s v="PP UL Fabric"/>
    <s v="RM"/>
    <s v="erp"/>
    <n v="0"/>
    <n v="170074.89"/>
    <n v="985"/>
    <s v="28-07-2026"/>
    <s v="24AAACO3087C1ZT"/>
    <s v="storepil6"/>
    <s v="storepil6"/>
    <n v="9"/>
    <n v="15306.74"/>
    <n v="9"/>
    <n v="15306.74"/>
    <n v="0"/>
    <n v="0"/>
    <n v="0"/>
    <n v="652152447811"/>
    <d v="2026-07-28T00:00:00"/>
    <n v="0"/>
  </r>
  <r>
    <s v="HCP Plastene Bulkpack Ltd (Unit - IV)"/>
    <s v="28-07-2026"/>
    <s v="HPBL4/26-27/SII01014"/>
    <s v="WIP00023"/>
    <x v="0"/>
    <m/>
    <s v="HPBL4/RAW/26-27/420"/>
    <n v="97"/>
    <n v="97"/>
    <s v="Kgs"/>
    <n v="97"/>
    <n v="0"/>
    <n v="97"/>
    <s v="GJ12BY1595"/>
    <s v="Plastene India ltd - Unit 1-Purchase"/>
    <s v="Plastene India ltd - Unit 1-Purchase"/>
    <s v="PIL1/D/1200"/>
    <s v="28-07-2026"/>
    <s v="RAW MATERIAL"/>
    <s v="INDIGENOUS"/>
    <s v="RM 449"/>
    <n v="146.49"/>
    <n v="146.49"/>
    <s v="PIL1/D/1200"/>
    <s v="28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6767.25"/>
    <s v="SF"/>
    <s v="PP/PE Fabric"/>
    <s v="PP UL Fabric"/>
    <s v="RM"/>
    <s v="erp"/>
    <n v="0"/>
    <n v="14209.53"/>
    <n v="987"/>
    <s v="28-07-2026"/>
    <s v="24AAACO3087C1ZT"/>
    <s v="storepil6"/>
    <s v="storepil6"/>
    <n v="9"/>
    <n v="1278.8599999999999"/>
    <n v="9"/>
    <n v="1278.8599999999999"/>
    <n v="0"/>
    <n v="0"/>
    <n v="16767.25"/>
    <n v="682152441599"/>
    <d v="2026-07-28T00:00:00"/>
    <n v="0"/>
  </r>
  <r>
    <s v="HCP Plastene Bulkpack Ltd (Unit - IV)"/>
    <s v="28-07-2026"/>
    <s v="HPBL4/26-27/SII01015"/>
    <s v="WIP00013"/>
    <x v="2"/>
    <m/>
    <s v="HPBL4/RAW/26-27/421"/>
    <n v="3256"/>
    <n v="3256"/>
    <s v="Kgs"/>
    <n v="3256"/>
    <n v="0"/>
    <n v="3256"/>
    <s v="GJ12BT2409"/>
    <s v="Plastene India ltd - Unit 1-Purchase"/>
    <s v="Plastene India ltd - Unit 1-Purchase"/>
    <s v="PIL1/D/1202"/>
    <s v="28-07-2026"/>
    <s v="RAW MATERIAL"/>
    <s v="INDIGENOUS"/>
    <s v="RM 450"/>
    <n v="182.78"/>
    <n v="182.78019934569201"/>
    <s v="PIL1/D/1202"/>
    <s v="28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117701.92"/>
    <s v="SF"/>
    <s v="Liners"/>
    <s v="LDPE/LLDPE Bags"/>
    <s v="RM"/>
    <s v="erp"/>
    <n v="0"/>
    <n v="595132.32999999996"/>
    <n v="988"/>
    <s v="28-07-2026"/>
    <s v="24AAACO3087C1ZT"/>
    <s v="storepil6"/>
    <s v="storepil6"/>
    <n v="9"/>
    <n v="53561.85"/>
    <n v="9"/>
    <n v="53561.85"/>
    <n v="0"/>
    <n v="0"/>
    <n v="1117701.92"/>
    <n v="642152548083"/>
    <d v="2026-07-28T00:00:00"/>
    <n v="0"/>
  </r>
  <r>
    <s v="HCP Plastene Bulkpack Ltd (Unit - IV)"/>
    <s v="28-07-2026"/>
    <s v="HPBL4/26-27/SII01015"/>
    <s v="RAW05939"/>
    <x v="5"/>
    <m/>
    <s v="HPBL4/RAW/26-27/421"/>
    <n v="3000"/>
    <n v="3000"/>
    <s v="Pcs"/>
    <n v="3000"/>
    <n v="0"/>
    <n v="3000"/>
    <s v="GJ12BT2409"/>
    <s v="Plastene India ltd - Unit 1-Purchase"/>
    <s v="Plastene India ltd - Unit 1-Purchase"/>
    <s v="PIL1/D/1202"/>
    <s v="28-07-2026"/>
    <s v="RAW MATERIAL"/>
    <s v="INDIGENOUS"/>
    <s v="RM 450"/>
    <n v="3.5333999999999999"/>
    <n v="3.5334038536386299"/>
    <s v="PIL1/D/1202"/>
    <s v="28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117701.92"/>
    <s v="RM Consumables"/>
    <s v="FIBC Accessories"/>
    <s v="FIBC Accessories"/>
    <s v="RM"/>
    <s v="ramesh.singhal"/>
    <n v="0"/>
    <n v="10600.21"/>
    <n v="988"/>
    <s v="28-07-2026"/>
    <s v="24AAACO3087C1ZT"/>
    <s v="storepil6"/>
    <s v="storepil6"/>
    <n v="9"/>
    <n v="954.02"/>
    <n v="9"/>
    <n v="954.02"/>
    <n v="0"/>
    <n v="0"/>
    <n v="0"/>
    <n v="642152548083"/>
    <d v="2026-07-28T00:00:00"/>
    <n v="0"/>
  </r>
  <r>
    <s v="HCP Plastene Bulkpack Ltd (Unit - IV)"/>
    <s v="28-07-2026"/>
    <s v="HPBL4/26-27/SII01015"/>
    <s v="WIP00032"/>
    <x v="3"/>
    <m/>
    <s v="HPBL4/RAW/26-27/421"/>
    <n v="870.7"/>
    <n v="870.7"/>
    <s v="Kgs"/>
    <n v="870.7"/>
    <n v="0"/>
    <n v="870.7"/>
    <s v="GJ12BT2409"/>
    <s v="Plastene India ltd - Unit 1-Purchase"/>
    <s v="Plastene India ltd - Unit 1-Purchase"/>
    <s v="PIL1/D/1202"/>
    <s v="28-07-2026"/>
    <s v="RAW MATERIAL"/>
    <s v="INDIGENOUS"/>
    <s v="RM 450"/>
    <n v="149.49"/>
    <n v="149.490163038557"/>
    <s v="PIL1/D/1202"/>
    <s v="28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117701.92"/>
    <s v="SF"/>
    <s v="Webbing"/>
    <s v="PP Webbing"/>
    <s v="RM"/>
    <s v="erp"/>
    <n v="0"/>
    <n v="130161.08"/>
    <n v="988"/>
    <s v="28-07-2026"/>
    <s v="24AAACO3087C1ZT"/>
    <s v="storepil6"/>
    <s v="storepil6"/>
    <n v="9"/>
    <n v="11714.48"/>
    <n v="9"/>
    <n v="11714.48"/>
    <n v="0"/>
    <n v="0"/>
    <n v="0"/>
    <n v="642152548083"/>
    <d v="2026-07-28T00:00:00"/>
    <n v="0"/>
  </r>
  <r>
    <s v="HCP Plastene Bulkpack Ltd (Unit - IV)"/>
    <s v="28-07-2026"/>
    <s v="HPBL4/26-27/SII01015"/>
    <s v="WIP00032"/>
    <x v="3"/>
    <m/>
    <s v="HPBL4/RAW/26-27/421"/>
    <n v="585.20000000000005"/>
    <n v="585.20000000000005"/>
    <s v="Kgs"/>
    <n v="585.20000000000005"/>
    <n v="0"/>
    <n v="585.20000000000005"/>
    <s v="GJ12BT2409"/>
    <s v="Plastene India ltd - Unit 1-Purchase"/>
    <s v="Plastene India ltd - Unit 1-Purchase"/>
    <s v="PIL1/D/1202"/>
    <s v="28-07-2026"/>
    <s v="RAW MATERIAL"/>
    <s v="INDIGENOUS"/>
    <s v="RM 450"/>
    <n v="146.49"/>
    <n v="146.490159766662"/>
    <s v="PIL1/D/1202"/>
    <s v="28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117701.92"/>
    <s v="SF"/>
    <s v="Webbing"/>
    <s v="PP Webbing"/>
    <s v="RM"/>
    <s v="erp"/>
    <n v="0"/>
    <n v="85726.04"/>
    <n v="988"/>
    <s v="28-07-2026"/>
    <s v="24AAACO3087C1ZT"/>
    <s v="storepil6"/>
    <s v="storepil6"/>
    <n v="9"/>
    <n v="7715.34"/>
    <n v="9"/>
    <n v="7715.34"/>
    <n v="0"/>
    <n v="0"/>
    <n v="0"/>
    <n v="642152548083"/>
    <d v="2026-07-28T00:00:00"/>
    <n v="0"/>
  </r>
  <r>
    <s v="HCP Plastene Bulkpack Ltd (Unit - IV)"/>
    <s v="28-07-2026"/>
    <s v="HPBL4/26-27/SII01015"/>
    <s v="WIP00025"/>
    <x v="1"/>
    <m/>
    <s v="HPBL4/RAW/26-27/421"/>
    <n v="829"/>
    <n v="829"/>
    <s v="Kgs"/>
    <n v="829"/>
    <n v="0"/>
    <n v="829"/>
    <s v="GJ12BT2409"/>
    <s v="Plastene India ltd - Unit 1-Purchase"/>
    <s v="Plastene India ltd - Unit 1-Purchase"/>
    <s v="PIL1/D/1202"/>
    <s v="28-07-2026"/>
    <s v="RAW MATERIAL"/>
    <s v="INDIGENOUS"/>
    <s v="RM 450"/>
    <n v="151.49"/>
    <n v="151.49016521982099"/>
    <s v="PIL1/D/1202"/>
    <s v="28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117701.92"/>
    <s v="SF"/>
    <s v="PP/PE Fabric"/>
    <s v="PP Lam Fabric"/>
    <s v="RM"/>
    <s v="erp"/>
    <n v="0"/>
    <n v="125585.35"/>
    <n v="988"/>
    <s v="28-07-2026"/>
    <s v="24AAACO3087C1ZT"/>
    <s v="storepil6"/>
    <s v="storepil6"/>
    <n v="9"/>
    <n v="11302.67"/>
    <n v="9"/>
    <n v="11302.67"/>
    <n v="0"/>
    <n v="0"/>
    <n v="0"/>
    <n v="642152548083"/>
    <d v="2026-07-28T00:00:00"/>
    <n v="0"/>
  </r>
  <r>
    <s v="HCP Plastene Bulkpack Ltd (Unit - IV)"/>
    <s v="28-07-2026"/>
    <s v="HPBL4/26-27/SII01024"/>
    <s v="WIP00032"/>
    <x v="3"/>
    <m/>
    <s v="HPBL4/RAW/26-27/422"/>
    <n v="31.5"/>
    <n v="31.5"/>
    <s v="Kgs"/>
    <n v="31.5"/>
    <n v="0"/>
    <n v="31.5"/>
    <s v="GJ12BT2409"/>
    <s v="Plastene India ltd - Unit 1-Purchase"/>
    <s v="Plastene India ltd - Unit 1-Purchase"/>
    <s v="PIL1/D/1204"/>
    <s v="28-07-2026"/>
    <s v="RAW MATERIAL"/>
    <s v="INDIGENOUS"/>
    <s v="RM 451"/>
    <n v="149.49"/>
    <n v="149.49000122801499"/>
    <s v="PIL1/D/1204"/>
    <s v="28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608665.19999999995"/>
    <s v="SF"/>
    <s v="Webbing"/>
    <s v="PP Webbing"/>
    <s v="RM"/>
    <s v="erp"/>
    <n v="0"/>
    <n v="4708.9399999999996"/>
    <n v="991"/>
    <s v="28-07-2026"/>
    <s v="24AAACO3087C1ZT"/>
    <s v="storepil6"/>
    <s v="storepil6"/>
    <n v="9"/>
    <n v="423.8"/>
    <n v="9"/>
    <n v="423.8"/>
    <n v="0"/>
    <n v="0"/>
    <n v="608665.19999999995"/>
    <n v="612152780842"/>
    <d v="2026-07-28T00:00:00"/>
    <n v="0"/>
  </r>
  <r>
    <s v="HCP Plastene Bulkpack Ltd (Unit - IV)"/>
    <s v="28-07-2026"/>
    <s v="HPBL4/26-27/SII01024"/>
    <s v="WIP00013"/>
    <x v="2"/>
    <m/>
    <s v="HPBL4/RAW/26-27/422"/>
    <n v="558"/>
    <n v="558"/>
    <s v="Kgs"/>
    <n v="558"/>
    <n v="0"/>
    <n v="558"/>
    <s v="GJ12BT2409"/>
    <s v="Plastene India ltd - Unit 1-Purchase"/>
    <s v="Plastene India ltd - Unit 1-Purchase"/>
    <s v="PIL1/D/1204"/>
    <s v="28-07-2026"/>
    <s v="RAW MATERIAL"/>
    <s v="INDIGENOUS"/>
    <s v="RM 451"/>
    <n v="182.78"/>
    <n v="182.78000150148199"/>
    <s v="PIL1/D/1204"/>
    <s v="28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608665.19999999995"/>
    <s v="SF"/>
    <s v="Liners"/>
    <s v="LDPE/LLDPE Bags"/>
    <s v="RM"/>
    <s v="erp"/>
    <n v="0"/>
    <n v="101991.24"/>
    <n v="991"/>
    <s v="28-07-2026"/>
    <s v="24AAACO3087C1ZT"/>
    <s v="storepil6"/>
    <s v="storepil6"/>
    <n v="9"/>
    <n v="9179.2099999999991"/>
    <n v="9"/>
    <n v="9179.2099999999991"/>
    <n v="0"/>
    <n v="0"/>
    <n v="0"/>
    <n v="612152780842"/>
    <d v="2026-07-28T00:00:00"/>
    <n v="0"/>
  </r>
  <r>
    <s v="HCP Plastene Bulkpack Ltd (Unit - IV)"/>
    <s v="28-07-2026"/>
    <s v="HPBL4/26-27/SII01024"/>
    <s v="WIP00013"/>
    <x v="2"/>
    <m/>
    <s v="HPBL4/RAW/26-27/422"/>
    <n v="656"/>
    <n v="656"/>
    <s v="Kgs"/>
    <n v="656"/>
    <n v="0"/>
    <n v="656"/>
    <s v="GJ12BT2409"/>
    <s v="Plastene India ltd - Unit 1-Purchase"/>
    <s v="Plastene India ltd - Unit 1-Purchase"/>
    <s v="PIL1/D/1204"/>
    <s v="28-07-2026"/>
    <s v="RAW MATERIAL"/>
    <s v="INDIGENOUS"/>
    <s v="RM 451"/>
    <n v="185.78"/>
    <n v="185.780001526126"/>
    <s v="PIL1/D/1204"/>
    <s v="28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608665.19999999995"/>
    <s v="SF"/>
    <s v="Liners"/>
    <s v="LDPE/LLDPE Bags"/>
    <s v="RM"/>
    <s v="erp"/>
    <n v="0"/>
    <n v="121871.67999999999"/>
    <n v="991"/>
    <s v="28-07-2026"/>
    <s v="24AAACO3087C1ZT"/>
    <s v="storepil6"/>
    <s v="storepil6"/>
    <n v="9"/>
    <n v="10968.45"/>
    <n v="9"/>
    <n v="10968.45"/>
    <n v="0"/>
    <n v="0"/>
    <n v="0"/>
    <n v="612152780842"/>
    <d v="2026-07-28T00:00:00"/>
    <n v="0"/>
  </r>
  <r>
    <s v="HCP Plastene Bulkpack Ltd (Unit - IV)"/>
    <s v="28-07-2026"/>
    <s v="HPBL4/26-27/SII01024"/>
    <s v="WIP00023"/>
    <x v="0"/>
    <m/>
    <s v="HPBL4/RAW/26-27/422"/>
    <n v="1988"/>
    <n v="1988"/>
    <s v="Kgs"/>
    <n v="1988"/>
    <n v="0"/>
    <n v="1988"/>
    <s v="GJ12BT2409"/>
    <s v="Plastene India ltd - Unit 1-Purchase"/>
    <s v="Plastene India ltd - Unit 1-Purchase"/>
    <s v="PIL1/D/1204"/>
    <s v="28-07-2026"/>
    <s v="RAW MATERIAL"/>
    <s v="INDIGENOUS"/>
    <s v="RM 451"/>
    <n v="144.49"/>
    <n v="144.49000118694099"/>
    <s v="PIL1/D/1204"/>
    <s v="28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608665.19999999995"/>
    <s v="SF"/>
    <s v="PP/PE Fabric"/>
    <s v="PP UL Fabric"/>
    <s v="RM"/>
    <s v="erp"/>
    <n v="0"/>
    <n v="287246.12"/>
    <n v="991"/>
    <s v="28-07-2026"/>
    <s v="24AAACO3087C1ZT"/>
    <s v="storepil6"/>
    <s v="storepil6"/>
    <n v="9"/>
    <n v="25852.15"/>
    <n v="9"/>
    <n v="25852.15"/>
    <n v="0"/>
    <n v="0"/>
    <n v="0"/>
    <n v="612152780842"/>
    <d v="2026-07-28T00:00:00"/>
    <n v="0"/>
  </r>
  <r>
    <s v="HCP Plastene Bulkpack Ltd (Unit - IV)"/>
    <s v="28-07-2026"/>
    <s v="HPBL4/26-27/SII01025"/>
    <s v="FIG00001"/>
    <x v="4"/>
    <m/>
    <s v="HPBL4/RAW/26-27/415"/>
    <n v="273"/>
    <n v="273"/>
    <s v="Kgs"/>
    <n v="273"/>
    <n v="0"/>
    <n v="273"/>
    <s v="GJ12BY1595"/>
    <s v="Plastene Polyfilms Ltd-Purchase"/>
    <s v="Plastene Polyfilms Ltd-Purchase"/>
    <s v="PPL/D/422"/>
    <s v="28-07-2026"/>
    <s v="RAW MATERIAL"/>
    <s v="INDIGENOUS"/>
    <s v="RM 452"/>
    <n v="154.74"/>
    <n v="154.74"/>
    <s v="PPL/D/422"/>
    <s v="28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49847.94"/>
    <s v="FG"/>
    <s v="FIBC WIP"/>
    <s v="FIBC WIP"/>
    <s v="RM"/>
    <s v="erp"/>
    <n v="0"/>
    <n v="42244.02"/>
    <n v="988"/>
    <s v="28-07-2026"/>
    <s v="24AAFCP2956A1ZR"/>
    <s v="storepil6"/>
    <s v="storepil6"/>
    <n v="9"/>
    <n v="3801.96"/>
    <n v="9"/>
    <n v="3801.96"/>
    <n v="0"/>
    <n v="0"/>
    <n v="49847.94"/>
    <n v="622152534578"/>
    <d v="2026-07-28T00:00:00"/>
    <n v="0"/>
  </r>
  <r>
    <s v="HCP Plastene Bulkpack Ltd (Unit - IV)"/>
    <s v="28-07-2026"/>
    <s v="HPBL4/26-27/SII01026"/>
    <s v="SMF00146"/>
    <x v="9"/>
    <m/>
    <s v="HPBL4/RAW/26-27/423"/>
    <n v="591"/>
    <n v="591"/>
    <s v="Kgs"/>
    <n v="591"/>
    <n v="0"/>
    <n v="591"/>
    <s v="GJ24X4134"/>
    <s v="HCP Plastene Bulkpack Limited - Purchase"/>
    <s v="HCP Plastene Bulkpack Limited - Purchase"/>
    <s v="HPBL/DC/24"/>
    <s v="27-07-2026"/>
    <s v="RAW MATERIAL"/>
    <s v="INDIGENOUS"/>
    <s v="RM 453"/>
    <n v="162.41999999999999"/>
    <n v="162.41999999999999"/>
    <s v="HPBL/DC/24"/>
    <s v="27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95990.22"/>
    <s v="SF"/>
    <s v="Liners"/>
    <s v="LDPE/LLDPE Bags"/>
    <s v="RM"/>
    <s v="erp"/>
    <n v="0"/>
    <n v="95990.22"/>
    <s v="14.."/>
    <s v="28-07-2026"/>
    <s v="24AABCG1282C2Z6"/>
    <s v="storepil6"/>
    <s v="storepil6"/>
    <n v="0"/>
    <n v="0"/>
    <n v="0"/>
    <n v="0"/>
    <n v="0"/>
    <n v="0"/>
    <n v="95990.22"/>
    <n v="662152077400"/>
    <d v="2026-07-27T00:00:00"/>
    <n v="0"/>
  </r>
  <r>
    <s v="HCP Plastene Bulkpack Ltd (Unit - IV)"/>
    <s v="29-07-2026"/>
    <s v="HPBL4/26-27/SII01034"/>
    <s v="WIP00023"/>
    <x v="0"/>
    <m/>
    <s v="HPBL4/RAW/26-27/424"/>
    <n v="1400"/>
    <n v="1400"/>
    <s v="Kgs"/>
    <n v="1400"/>
    <n v="0"/>
    <n v="1400"/>
    <s v="GJ39TB3534"/>
    <s v="Plastene India ltd - Unit 1-Purchase"/>
    <s v="Plastene India ltd - Unit 1-Purchase"/>
    <s v="PIL1/D/1213"/>
    <s v="29-07-2026"/>
    <s v="RAW MATERIAL"/>
    <s v="INDIGENOUS"/>
    <s v="RM 454"/>
    <n v="144.49"/>
    <n v="144.49"/>
    <s v="PIL1/D/1213"/>
    <s v="29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38697.48"/>
    <s v="SF"/>
    <s v="PP/PE Fabric"/>
    <s v="PP UL Fabric"/>
    <s v="RM"/>
    <s v="erp"/>
    <n v="0"/>
    <n v="202286"/>
    <n v="1000"/>
    <s v="29-07-2026"/>
    <s v="24AAACO3087C1ZT"/>
    <s v="storepil6"/>
    <s v="storepil6"/>
    <n v="9"/>
    <n v="18205.740000000002"/>
    <n v="9"/>
    <n v="18205.740000000002"/>
    <n v="0"/>
    <n v="0"/>
    <n v="238697.48"/>
    <n v="642153419580"/>
    <d v="2026-07-29T00:00:00"/>
    <n v="0"/>
  </r>
  <r>
    <s v="HCP Plastene Bulkpack Ltd (Unit - IV)"/>
    <s v="29-07-2026"/>
    <s v="HPBL4/26-27/SII01035"/>
    <s v="WIP00023"/>
    <x v="0"/>
    <m/>
    <s v="HPBL4/RAW/26-27/424"/>
    <n v="1175"/>
    <n v="1175"/>
    <s v="Kgs"/>
    <n v="1175"/>
    <n v="0"/>
    <n v="1175"/>
    <s v="GJ39TB3534"/>
    <s v="Plastene India ltd - Unit 1-Purchase"/>
    <s v="Plastene India ltd - Unit 1-Purchase"/>
    <s v="PIL1/D/1217"/>
    <s v="29-07-2026"/>
    <s v="RAW MATERIAL"/>
    <s v="INDIGENOUS"/>
    <s v="RM 455"/>
    <n v="144.49"/>
    <n v="144.49"/>
    <s v="PIL1/D/1217"/>
    <s v="29-07-2026"/>
    <m/>
    <s v=".."/>
    <m/>
    <s v="."/>
    <s v="."/>
    <n v="0"/>
    <n v="0"/>
    <n v="0"/>
    <n v="0"/>
    <n v="0"/>
    <s v="VAT"/>
    <n v="0"/>
    <n v="0"/>
    <n v="0"/>
    <n v="0"/>
    <n v="0"/>
    <m/>
    <n v="0"/>
    <n v="0"/>
    <n v="200335.39"/>
    <s v="SF"/>
    <s v="PP/PE Fabric"/>
    <s v="PP UL Fabric"/>
    <s v="RM"/>
    <s v="erp"/>
    <n v="0"/>
    <n v="169775.75"/>
    <n v="1001"/>
    <s v="29-07-2026"/>
    <s v="24AAACO3087C1ZT"/>
    <s v="storepil6"/>
    <s v="storepil6"/>
    <n v="9"/>
    <n v="15279.82"/>
    <n v="9"/>
    <n v="15279.82"/>
    <n v="0"/>
    <n v="0"/>
    <n v="200335.39"/>
    <n v="67213627380"/>
    <d v="2026-07-29T00:00:00"/>
    <n v="0"/>
  </r>
  <r>
    <s v="HCP Plastene Bulkpack Ltd (Unit - IV)"/>
    <s v="29-07-2026"/>
    <s v="HPBL4/26-27/SII01036"/>
    <s v="WIP00013"/>
    <x v="2"/>
    <m/>
    <s v="HPBL4/RAW/26-27/425"/>
    <n v="7634"/>
    <n v="7634"/>
    <s v="Kgs"/>
    <n v="7634"/>
    <n v="0"/>
    <n v="7634"/>
    <s v="GJ12BY1595"/>
    <s v="Plastene India ltd - Unit 1-Purchase"/>
    <s v="Plastene India ltd - Unit 1-Purchase"/>
    <s v="PIL1/D/1210"/>
    <s v="29-07-2026"/>
    <s v="RAW MATERIAL"/>
    <s v="INDIGENOUS"/>
    <s v="RM 456"/>
    <n v="182.78"/>
    <n v="182.77993538108001"/>
    <s v="PIL1/D/1210"/>
    <s v="29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929093.16"/>
    <s v="SF"/>
    <s v="Liners"/>
    <s v="LDPE/LLDPE Bags"/>
    <s v="RM"/>
    <s v="erp"/>
    <n v="0"/>
    <n v="1395342.03"/>
    <n v="995"/>
    <s v="29-07-2026"/>
    <s v="24AAACO3087C1ZT"/>
    <s v="storepil6"/>
    <s v="storepil6"/>
    <n v="9"/>
    <n v="125580.83"/>
    <n v="9"/>
    <n v="125580.83"/>
    <n v="0"/>
    <n v="0"/>
    <n v="1929093.16"/>
    <n v="632153279770"/>
    <d v="2026-07-29T00:00:00"/>
    <n v="0"/>
  </r>
  <r>
    <s v="HCP Plastene Bulkpack Ltd (Unit - IV)"/>
    <s v="29-07-2026"/>
    <s v="HPBL4/26-27/SII01036"/>
    <s v="RAW05939"/>
    <x v="5"/>
    <m/>
    <s v="HPBL4/RAW/26-27/425"/>
    <n v="15400"/>
    <n v="15400"/>
    <s v="Pcs"/>
    <n v="15400"/>
    <n v="0"/>
    <n v="15400"/>
    <s v="GJ12BY1595"/>
    <s v="Plastene India ltd - Unit 1-Purchase"/>
    <s v="Plastene India ltd - Unit 1-Purchase"/>
    <s v="PIL1/D/1210"/>
    <s v="29-07-2026"/>
    <s v="RAW MATERIAL"/>
    <s v="INDIGENOUS"/>
    <s v="RM 456"/>
    <n v="3.6318999999999999"/>
    <n v="3.63189871600036"/>
    <s v="PIL1/D/1210"/>
    <s v="29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929093.16"/>
    <s v="RM Consumables"/>
    <s v="FIBC Accessories"/>
    <s v="FIBC Accessories"/>
    <s v="RM"/>
    <s v="ramesh.singhal"/>
    <n v="0"/>
    <n v="55931.24"/>
    <n v="995"/>
    <s v="29-07-2026"/>
    <s v="24AAACO3087C1ZT"/>
    <s v="storepil6"/>
    <s v="storepil6"/>
    <n v="9"/>
    <n v="5033.8100000000004"/>
    <n v="9"/>
    <n v="5033.8100000000004"/>
    <n v="0"/>
    <n v="0"/>
    <n v="0"/>
    <n v="632153279770"/>
    <d v="2026-07-29T00:00:00"/>
    <n v="0"/>
  </r>
  <r>
    <s v="HCP Plastene Bulkpack Ltd (Unit - IV)"/>
    <s v="29-07-2026"/>
    <s v="HPBL4/26-27/SII01036"/>
    <s v="WIP00032"/>
    <x v="3"/>
    <m/>
    <s v="HPBL4/RAW/26-27/425"/>
    <n v="97.1"/>
    <n v="97.1"/>
    <s v="Kgs"/>
    <n v="97.1"/>
    <n v="0"/>
    <n v="97.1"/>
    <s v="GJ12BY1595"/>
    <s v="Plastene India ltd - Unit 1-Purchase"/>
    <s v="Plastene India ltd - Unit 1-Purchase"/>
    <s v="PIL1/D/1210"/>
    <s v="29-07-2026"/>
    <s v="RAW MATERIAL"/>
    <s v="INDIGENOUS"/>
    <s v="RM 456"/>
    <n v="146.49"/>
    <n v="146.489948210824"/>
    <s v="PIL1/D/1210"/>
    <s v="29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929093.16"/>
    <s v="SF"/>
    <s v="Webbing"/>
    <s v="PP Webbing"/>
    <s v="RM"/>
    <s v="erp"/>
    <n v="0"/>
    <n v="14224.17"/>
    <n v="995"/>
    <s v="29-07-2026"/>
    <s v="24AAACO3087C1ZT"/>
    <s v="storepil6"/>
    <s v="storepil6"/>
    <n v="9"/>
    <n v="1280.18"/>
    <n v="9"/>
    <n v="1280.18"/>
    <n v="0"/>
    <n v="0"/>
    <n v="0"/>
    <n v="632153279770"/>
    <d v="2026-07-29T00:00:00"/>
    <n v="0"/>
  </r>
  <r>
    <s v="HCP Plastene Bulkpack Ltd (Unit - IV)"/>
    <s v="29-07-2026"/>
    <s v="HPBL4/26-27/SII01036"/>
    <s v="WIP00032"/>
    <x v="3"/>
    <m/>
    <s v="HPBL4/RAW/26-27/425"/>
    <n v="1132.7"/>
    <n v="1132.7"/>
    <s v="Kgs"/>
    <n v="1132.7"/>
    <n v="0"/>
    <n v="1132.7"/>
    <s v="GJ12BY1595"/>
    <s v="Plastene India ltd - Unit 1-Purchase"/>
    <s v="Plastene India ltd - Unit 1-Purchase"/>
    <s v="PIL1/D/1210"/>
    <s v="29-07-2026"/>
    <s v="RAW MATERIAL"/>
    <s v="INDIGENOUS"/>
    <s v="RM 456"/>
    <n v="149.49"/>
    <n v="149.489947150223"/>
    <s v="PIL1/D/1210"/>
    <s v="29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929093.16"/>
    <s v="SF"/>
    <s v="Webbing"/>
    <s v="PP Webbing"/>
    <s v="RM"/>
    <s v="erp"/>
    <n v="0"/>
    <n v="169327.26"/>
    <n v="995"/>
    <s v="29-07-2026"/>
    <s v="24AAACO3087C1ZT"/>
    <s v="storepil6"/>
    <s v="storepil6"/>
    <n v="9"/>
    <n v="15239.46"/>
    <n v="9"/>
    <n v="15239.46"/>
    <n v="0"/>
    <n v="0"/>
    <n v="0"/>
    <n v="632153279770"/>
    <d v="2026-07-29T00:00:00"/>
    <n v="0"/>
  </r>
  <r>
    <s v="HCP Plastene Bulkpack Ltd (Unit - IV)"/>
    <s v="29-07-2026"/>
    <s v="HPBL4/26-27/SII01037"/>
    <s v="WIP00023"/>
    <x v="0"/>
    <m/>
    <s v="HPBL4/RAW/26-27/426"/>
    <n v="8039"/>
    <n v="8039"/>
    <s v="Kgs"/>
    <n v="8039"/>
    <n v="0"/>
    <n v="8039"/>
    <s v="GJ12BY0479"/>
    <s v="Plastene India ltd - Unit 1-Purchase"/>
    <s v="Plastene India ltd - Unit 1-Purchase"/>
    <s v="PIL1/D/1208"/>
    <s v="29-07-2026"/>
    <s v="RAW MATERIAL"/>
    <s v="INDIGENOUS"/>
    <s v="RM 457"/>
    <n v="144.49"/>
    <n v="144.49"/>
    <s v="PIL1/D/1208"/>
    <s v="29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691661.69"/>
    <s v="SF"/>
    <s v="PP/PE Fabric"/>
    <s v="PP UL Fabric"/>
    <s v="RM"/>
    <s v="erp"/>
    <n v="0"/>
    <n v="1161555.1100000001"/>
    <n v="993"/>
    <s v="29-07-2026"/>
    <s v="24AAACO3087C1ZT"/>
    <s v="storepil6"/>
    <s v="storepil6"/>
    <n v="9"/>
    <n v="104539.96"/>
    <n v="9"/>
    <n v="104539.96"/>
    <n v="0"/>
    <n v="0"/>
    <n v="1691661.69"/>
    <n v="652153194367"/>
    <d v="2026-07-29T00:00:00"/>
    <n v="0"/>
  </r>
  <r>
    <s v="HCP Plastene Bulkpack Ltd (Unit - IV)"/>
    <s v="29-07-2026"/>
    <s v="HPBL4/26-27/SII01037"/>
    <s v="WIP00023"/>
    <x v="0"/>
    <m/>
    <s v="HPBL4/RAW/26-27/426"/>
    <n v="1325"/>
    <n v="1325"/>
    <s v="Kgs"/>
    <n v="1325"/>
    <n v="0"/>
    <n v="1325"/>
    <s v="GJ12BY0479"/>
    <s v="Plastene India ltd - Unit 1-Purchase"/>
    <s v="Plastene India ltd - Unit 1-Purchase"/>
    <s v="PIL1/D/1208"/>
    <s v="29-07-2026"/>
    <s v="RAW MATERIAL"/>
    <s v="INDIGENOUS"/>
    <s v="RM 457"/>
    <n v="146.49"/>
    <n v="146.49"/>
    <s v="PIL1/D/1208"/>
    <s v="29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691661.69"/>
    <s v="SF"/>
    <s v="PP/PE Fabric"/>
    <s v="PP UL Fabric"/>
    <s v="RM"/>
    <s v="erp"/>
    <n v="0"/>
    <n v="194099.25"/>
    <n v="993"/>
    <s v="29-07-2026"/>
    <s v="24AAACO3087C1ZT"/>
    <s v="storepil6"/>
    <s v="storepil6"/>
    <n v="9"/>
    <n v="17468.93"/>
    <n v="9"/>
    <n v="17468.93"/>
    <n v="0"/>
    <n v="0"/>
    <n v="0"/>
    <n v="652153194367"/>
    <d v="2026-07-29T00:00:00"/>
    <n v="0"/>
  </r>
  <r>
    <s v="HCP Plastene Bulkpack Ltd (Unit - IV)"/>
    <s v="29-07-2026"/>
    <s v="HPBL4/26-27/SII01037"/>
    <s v="WIP00025"/>
    <x v="1"/>
    <m/>
    <s v="HPBL4/RAW/26-27/426"/>
    <n v="525"/>
    <n v="525"/>
    <s v="Kgs"/>
    <n v="525"/>
    <n v="0"/>
    <n v="525"/>
    <s v="GJ12BY0479"/>
    <s v="Plastene India ltd - Unit 1-Purchase"/>
    <s v="Plastene India ltd - Unit 1-Purchase"/>
    <s v="PIL1/D/1208"/>
    <s v="29-07-2026"/>
    <s v="RAW MATERIAL"/>
    <s v="INDIGENOUS"/>
    <s v="RM 457"/>
    <n v="148.49"/>
    <n v="148.49"/>
    <s v="PIL1/D/1208"/>
    <s v="29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691661.69"/>
    <s v="SF"/>
    <s v="PP/PE Fabric"/>
    <s v="PP Lam Fabric"/>
    <s v="RM"/>
    <s v="erp"/>
    <n v="0"/>
    <n v="77957.25"/>
    <n v="993"/>
    <s v="29-07-2026"/>
    <s v="24AAACO3087C1ZT"/>
    <s v="storepil6"/>
    <s v="storepil6"/>
    <n v="9"/>
    <n v="7016.15"/>
    <n v="9"/>
    <n v="7016.15"/>
    <n v="0"/>
    <n v="0"/>
    <n v="0"/>
    <n v="652153194367"/>
    <d v="2026-07-29T00:00:00"/>
    <n v="0"/>
  </r>
  <r>
    <s v="HCP Plastene Bulkpack Ltd (Unit - IV)"/>
    <s v="30-07-2026"/>
    <s v="HPBL4/26-27/SII01039"/>
    <s v="FIG00001"/>
    <x v="4"/>
    <m/>
    <s v="HPBL4/RAW/26-27/427"/>
    <n v="210"/>
    <n v="210"/>
    <s v="Kgs"/>
    <n v="210"/>
    <n v="0"/>
    <n v="210"/>
    <s v="GJ39TB3534"/>
    <s v="Plastene Polyfilms Ltd-Purchase"/>
    <s v="Plastene Polyfilms Ltd-Purchase"/>
    <s v="PPL/D/428"/>
    <s v="30-07-2026"/>
    <s v="RAW MATERIAL"/>
    <s v="INDIGENOUS"/>
    <s v="RM 458"/>
    <n v="154.74"/>
    <n v="154.74"/>
    <s v="PPL/D/428"/>
    <s v="30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19611.37"/>
    <s v="FG"/>
    <s v="FIBC WIP"/>
    <s v="FIBC WIP"/>
    <s v="RM"/>
    <s v="erp"/>
    <n v="0"/>
    <n v="32495.4"/>
    <n v="1006"/>
    <s v="30-07-2026"/>
    <s v="24AAFCP2956A1ZR"/>
    <s v="storepil6"/>
    <s v="storepil6"/>
    <n v="9"/>
    <n v="2924.59"/>
    <n v="9"/>
    <n v="2924.59"/>
    <n v="0"/>
    <n v="0"/>
    <n v="219611.37"/>
    <n v="602154017394"/>
    <d v="2026-07-30T00:00:00"/>
    <n v="0"/>
  </r>
  <r>
    <s v="HCP Plastene Bulkpack Ltd (Unit - IV)"/>
    <s v="30-07-2026"/>
    <s v="HPBL4/26-27/SII01039"/>
    <s v="WIP00023"/>
    <x v="0"/>
    <m/>
    <s v="HPBL4/RAW/26-27/427"/>
    <n v="370.5"/>
    <n v="370.5"/>
    <s v="Kgs"/>
    <n v="370.5"/>
    <n v="0"/>
    <n v="370.5"/>
    <s v="GJ39TB3534"/>
    <s v="Plastene Polyfilms Ltd-Purchase"/>
    <s v="Plastene Polyfilms Ltd-Purchase"/>
    <s v="PPL/D/428"/>
    <s v="30-07-2026"/>
    <s v="RAW MATERIAL"/>
    <s v="INDIGENOUS"/>
    <s v="RM 458"/>
    <n v="154.74"/>
    <n v="154.74"/>
    <s v="PPL/D/428"/>
    <s v="30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19611.37"/>
    <s v="SF"/>
    <s v="PP/PE Fabric"/>
    <s v="PP UL Fabric"/>
    <s v="RM"/>
    <s v="erp"/>
    <n v="0"/>
    <n v="57331.17"/>
    <n v="1006"/>
    <s v="30-07-2026"/>
    <s v="24AAFCP2956A1ZR"/>
    <s v="storepil6"/>
    <s v="storepil6"/>
    <n v="9"/>
    <n v="5159.8100000000004"/>
    <n v="9"/>
    <n v="5159.8100000000004"/>
    <n v="0"/>
    <n v="0"/>
    <n v="0"/>
    <n v="602154017394"/>
    <d v="2026-07-30T00:00:00"/>
    <n v="0"/>
  </r>
  <r>
    <s v="HCP Plastene Bulkpack Ltd (Unit - IV)"/>
    <s v="30-07-2026"/>
    <s v="HPBL4/26-27/SII01039"/>
    <s v="WIP00025"/>
    <x v="1"/>
    <m/>
    <s v="HPBL4/RAW/26-27/427"/>
    <n v="307"/>
    <n v="307"/>
    <s v="Kgs"/>
    <n v="307"/>
    <n v="0"/>
    <n v="307"/>
    <s v="GJ39TB3534"/>
    <s v="Plastene Polyfilms Ltd-Purchase"/>
    <s v="Plastene Polyfilms Ltd-Purchase"/>
    <s v="PPL/D/428"/>
    <s v="30-07-2026"/>
    <s v="RAW MATERIAL"/>
    <s v="INDIGENOUS"/>
    <s v="RM 458"/>
    <n v="158.74"/>
    <n v="158.74"/>
    <s v="PPL/D/428"/>
    <s v="30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19611.37"/>
    <s v="SF"/>
    <s v="PP/PE Fabric"/>
    <s v="PP Lam Fabric"/>
    <s v="RM"/>
    <s v="erp"/>
    <n v="0"/>
    <n v="48733.18"/>
    <n v="1006"/>
    <s v="30-07-2026"/>
    <s v="24AAFCP2956A1ZR"/>
    <s v="storepil6"/>
    <s v="storepil6"/>
    <n v="9"/>
    <n v="4385.99"/>
    <n v="9"/>
    <n v="4385.99"/>
    <n v="0"/>
    <n v="0"/>
    <n v="0"/>
    <n v="602154017394"/>
    <d v="2026-07-30T00:00:00"/>
    <n v="0"/>
  </r>
  <r>
    <s v="HCP Plastene Bulkpack Ltd (Unit - IV)"/>
    <s v="30-07-2026"/>
    <s v="HPBL4/26-27/SII01039"/>
    <s v="WIP00025"/>
    <x v="1"/>
    <m/>
    <s v="HPBL4/RAW/26-27/427"/>
    <n v="294"/>
    <n v="294"/>
    <s v="Kgs"/>
    <n v="294"/>
    <n v="0"/>
    <n v="294"/>
    <s v="GJ39TB3534"/>
    <s v="Plastene Polyfilms Ltd-Purchase"/>
    <s v="Plastene Polyfilms Ltd-Purchase"/>
    <s v="PPL/D/428"/>
    <s v="30-07-2026"/>
    <s v="RAW MATERIAL"/>
    <s v="INDIGENOUS"/>
    <s v="RM 458"/>
    <n v="161.74"/>
    <n v="161.74"/>
    <s v="PPL/D/428"/>
    <s v="30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19611.37"/>
    <s v="SF"/>
    <s v="PP/PE Fabric"/>
    <s v="PP Lam Fabric"/>
    <s v="RM"/>
    <s v="erp"/>
    <n v="0"/>
    <n v="47551.56"/>
    <n v="1006"/>
    <s v="30-07-2026"/>
    <s v="24AAFCP2956A1ZR"/>
    <s v="storepil6"/>
    <s v="storepil6"/>
    <n v="9"/>
    <n v="4279.6400000000003"/>
    <n v="9"/>
    <n v="4279.6400000000003"/>
    <n v="0"/>
    <n v="0"/>
    <n v="0"/>
    <n v="602154017394"/>
    <d v="2026-07-30T00:00:00"/>
    <n v="0"/>
  </r>
  <r>
    <s v="HCP Plastene Bulkpack Ltd (Unit - IV)"/>
    <s v="30-07-2026"/>
    <s v="HPBL4/26-27/SII01042"/>
    <s v="WIP00025"/>
    <x v="1"/>
    <m/>
    <s v="HPBL4/RAW/26-27/429"/>
    <n v="347"/>
    <n v="347"/>
    <s v="Kgs"/>
    <n v="347"/>
    <n v="0"/>
    <n v="347"/>
    <s v="GJ35T2925"/>
    <s v="Plastene India ltd - Unit 1-Purchase"/>
    <s v="Plastene India ltd - Unit 1-Purchase"/>
    <s v="PIL1/D/1227"/>
    <s v="30-07-2026"/>
    <s v="RAW MATERIAL"/>
    <s v="INDIGENOUS"/>
    <s v="RM 459"/>
    <n v="151.49"/>
    <n v="151.49"/>
    <s v="PIL1/D/1227"/>
    <s v="30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66872.46999999997"/>
    <s v="SF"/>
    <s v="PP/PE Fabric"/>
    <s v="PP Lam Fabric"/>
    <s v="RM"/>
    <s v="erp"/>
    <n v="0"/>
    <n v="52567.03"/>
    <n v="1003"/>
    <s v="30-07-2026"/>
    <s v="24AAACO3087C1ZT"/>
    <s v="storepil6"/>
    <s v="storepil6"/>
    <n v="9"/>
    <n v="4731.03"/>
    <n v="9"/>
    <n v="4731.03"/>
    <n v="0"/>
    <n v="0"/>
    <n v="266872.46999999997"/>
    <n v="652154332458"/>
    <d v="2026-07-30T00:00:00"/>
    <n v="0"/>
  </r>
  <r>
    <s v="HCP Plastene Bulkpack Ltd (Unit - IV)"/>
    <s v="30-07-2026"/>
    <s v="HPBL4/26-27/SII01042"/>
    <s v="WIP00023"/>
    <x v="0"/>
    <m/>
    <s v="HPBL4/RAW/26-27/429"/>
    <n v="682"/>
    <n v="682"/>
    <s v="Kgs"/>
    <n v="682"/>
    <n v="0"/>
    <n v="682"/>
    <s v="GJ35T2925"/>
    <s v="Plastene India ltd - Unit 1-Purchase"/>
    <s v="Plastene India ltd - Unit 1-Purchase"/>
    <s v="PIL1/D/1227"/>
    <s v="30-07-2026"/>
    <s v="RAW MATERIAL"/>
    <s v="INDIGENOUS"/>
    <s v="RM 459"/>
    <n v="146.49"/>
    <n v="146.49"/>
    <s v="PIL1/D/1227"/>
    <s v="30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66872.46999999997"/>
    <s v="SF"/>
    <s v="PP/PE Fabric"/>
    <s v="PP UL Fabric"/>
    <s v="RM"/>
    <s v="erp"/>
    <n v="0"/>
    <n v="99906.18"/>
    <n v="1003"/>
    <s v="30-07-2026"/>
    <s v="24AAACO3087C1ZT"/>
    <s v="storepil6"/>
    <s v="storepil6"/>
    <n v="9"/>
    <n v="8991.56"/>
    <n v="9"/>
    <n v="8991.56"/>
    <n v="0"/>
    <n v="0"/>
    <n v="0"/>
    <n v="652154332458"/>
    <d v="2026-07-30T00:00:00"/>
    <n v="0"/>
  </r>
  <r>
    <s v="HCP Plastene Bulkpack Ltd (Unit - IV)"/>
    <s v="30-07-2026"/>
    <s v="HPBL4/26-27/SII01042"/>
    <s v="WIP00023"/>
    <x v="0"/>
    <m/>
    <s v="HPBL4/RAW/26-27/429"/>
    <n v="510"/>
    <n v="510"/>
    <s v="Kgs"/>
    <n v="510"/>
    <n v="0"/>
    <n v="510"/>
    <s v="GJ35T2925"/>
    <s v="Plastene India ltd - Unit 1-Purchase"/>
    <s v="Plastene India ltd - Unit 1-Purchase"/>
    <s v="PIL1/D/1227"/>
    <s v="30-07-2026"/>
    <s v="RAW MATERIAL"/>
    <s v="INDIGENOUS"/>
    <s v="RM 459"/>
    <n v="144.49"/>
    <n v="144.49"/>
    <s v="PIL1/D/1227"/>
    <s v="30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66872.46999999997"/>
    <s v="SF"/>
    <s v="PP/PE Fabric"/>
    <s v="PP UL Fabric"/>
    <s v="RM"/>
    <s v="erp"/>
    <n v="0"/>
    <n v="73689.899999999994"/>
    <n v="1003"/>
    <s v="30-07-2026"/>
    <s v="24AAACO3087C1ZT"/>
    <s v="storepil6"/>
    <s v="storepil6"/>
    <n v="9"/>
    <n v="6632.09"/>
    <n v="9"/>
    <n v="6632.09"/>
    <n v="0"/>
    <n v="0"/>
    <n v="0"/>
    <n v="652154332458"/>
    <d v="2026-07-30T00:00:00"/>
    <n v="0"/>
  </r>
  <r>
    <s v="HCP Plastene Bulkpack Ltd (Unit - IV)"/>
    <s v="30-07-2026"/>
    <s v="HPBL4/26-27/SII01043"/>
    <s v="WIP00023"/>
    <x v="0"/>
    <m/>
    <s v="HPBL4/RAW/26-27/429"/>
    <n v="747"/>
    <n v="747"/>
    <s v="Kgs"/>
    <n v="747"/>
    <n v="0"/>
    <n v="747"/>
    <s v="GJ12BT2409"/>
    <s v="Plastene India ltd - Unit 1-Purchase"/>
    <s v="Plastene India ltd - Unit 1-Purchase"/>
    <s v="PIL1/D/1219"/>
    <s v="30-07-2026"/>
    <s v="RAW MATERIAL"/>
    <s v="INDIGENOUS"/>
    <s v="RM 460"/>
    <n v="146.49"/>
    <n v="146.49003403066999"/>
    <s v="PIL1/D/1219"/>
    <s v="30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420533.62"/>
    <s v="SF"/>
    <s v="PP/PE Fabric"/>
    <s v="PP UL Fabric"/>
    <s v="RM"/>
    <s v="erp"/>
    <n v="0"/>
    <n v="109428.06"/>
    <n v="1002"/>
    <s v="30-07-2026"/>
    <s v="24AAACO3087C1ZT"/>
    <s v="storepil6"/>
    <s v="storepil6"/>
    <n v="9"/>
    <n v="9848.52"/>
    <n v="9"/>
    <n v="9848.52"/>
    <n v="0"/>
    <n v="0"/>
    <n v="1420533.62"/>
    <n v="632153861957"/>
    <d v="2026-07-30T00:00:00"/>
    <n v="0"/>
  </r>
  <r>
    <s v="HCP Plastene Bulkpack Ltd (Unit - IV)"/>
    <s v="30-07-2026"/>
    <s v="HPBL4/26-27/SII01043"/>
    <s v="WIP00023"/>
    <x v="0"/>
    <m/>
    <s v="HPBL4/RAW/26-27/429"/>
    <n v="6983"/>
    <n v="6983"/>
    <s v="Kgs"/>
    <n v="6983"/>
    <n v="0"/>
    <n v="6983"/>
    <s v="GJ12BT2409"/>
    <s v="Plastene India ltd - Unit 1-Purchase"/>
    <s v="Plastene India ltd - Unit 1-Purchase"/>
    <s v="PIL1/D/1219"/>
    <s v="30-07-2026"/>
    <s v="RAW MATERIAL"/>
    <s v="INDIGENOUS"/>
    <s v="RM 460"/>
    <n v="144.49"/>
    <n v="144.49003356605601"/>
    <s v="PIL1/D/1219"/>
    <s v="30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420533.62"/>
    <s v="SF"/>
    <s v="PP/PE Fabric"/>
    <s v="PP UL Fabric"/>
    <s v="RM"/>
    <s v="erp"/>
    <n v="0"/>
    <n v="1008973.9"/>
    <n v="1002"/>
    <s v="30-07-2026"/>
    <s v="24AAACO3087C1ZT"/>
    <s v="storepil6"/>
    <s v="storepil6"/>
    <n v="9"/>
    <n v="90807.63"/>
    <n v="9"/>
    <n v="90807.63"/>
    <n v="0"/>
    <n v="0"/>
    <n v="0"/>
    <n v="632153861957"/>
    <d v="2026-07-30T00:00:00"/>
    <n v="0"/>
  </r>
  <r>
    <s v="HCP Plastene Bulkpack Ltd (Unit - IV)"/>
    <s v="30-07-2026"/>
    <s v="HPBL4/26-27/SII01043"/>
    <s v="WIP00025"/>
    <x v="1"/>
    <m/>
    <s v="HPBL4/RAW/26-27/429"/>
    <n v="564"/>
    <n v="564"/>
    <s v="Kgs"/>
    <n v="564"/>
    <n v="0"/>
    <n v="564"/>
    <s v="GJ12BT2409"/>
    <s v="Plastene India ltd - Unit 1-Purchase"/>
    <s v="Plastene India ltd - Unit 1-Purchase"/>
    <s v="PIL1/D/1219"/>
    <s v="30-07-2026"/>
    <s v="RAW MATERIAL"/>
    <s v="INDIGENOUS"/>
    <s v="RM 460"/>
    <n v="151.49"/>
    <n v="151.49003519220599"/>
    <s v="PIL1/D/1219"/>
    <s v="30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420533.62"/>
    <s v="SF"/>
    <s v="PP/PE Fabric"/>
    <s v="PP Lam Fabric"/>
    <s v="RM"/>
    <s v="erp"/>
    <n v="0"/>
    <n v="85440.38"/>
    <n v="1002"/>
    <s v="30-07-2026"/>
    <s v="24AAACO3087C1ZT"/>
    <s v="storepil6"/>
    <s v="storepil6"/>
    <n v="9"/>
    <n v="7689.63"/>
    <n v="9"/>
    <n v="7689.3"/>
    <n v="0"/>
    <n v="0"/>
    <n v="0"/>
    <n v="632153861957"/>
    <d v="2026-07-30T00:00:00"/>
    <n v="0"/>
  </r>
  <r>
    <s v="HCP Plastene Bulkpack Ltd (Unit - IV)"/>
    <s v="30-07-2026"/>
    <s v="HPBL4/26-27/SII01045"/>
    <s v="WIP00032"/>
    <x v="3"/>
    <m/>
    <s v="HPBL4/RAW/26-27/431"/>
    <n v="1133.5"/>
    <n v="1133.5"/>
    <s v="Kgs"/>
    <n v="1133.5"/>
    <n v="0"/>
    <n v="1133.5"/>
    <s v="GJ12BY0479"/>
    <s v="Plastene India ltd - Unit 1-Purchase"/>
    <s v="Plastene India ltd - Unit 1-Purchase"/>
    <s v="PIL1/D/1221"/>
    <s v="30-07-2026"/>
    <s v="RAW MATERIAL"/>
    <s v="INDIGENOUS"/>
    <s v="RM 462"/>
    <n v="149.49"/>
    <n v="149.48999968538499"/>
    <s v="PIL1/D/1221"/>
    <s v="30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615516.8"/>
    <s v="SF"/>
    <s v="Webbing"/>
    <s v="PP Webbing"/>
    <s v="RM"/>
    <s v="erp"/>
    <n v="0"/>
    <n v="169446.91"/>
    <n v="1004"/>
    <s v="30-07-2026"/>
    <s v="24AAACO3087C1ZT"/>
    <s v="storepil6"/>
    <s v="storepil6"/>
    <n v="9"/>
    <n v="15250.22"/>
    <n v="9"/>
    <n v="15250.22"/>
    <n v="0"/>
    <n v="0"/>
    <n v="1615516.8"/>
    <n v="692153973119"/>
    <d v="2026-07-30T00:00:00"/>
    <n v="0"/>
  </r>
  <r>
    <s v="HCP Plastene Bulkpack Ltd (Unit - IV)"/>
    <s v="30-07-2026"/>
    <s v="HPBL4/26-27/SII01045"/>
    <s v="WIP00032"/>
    <x v="3"/>
    <m/>
    <s v="HPBL4/RAW/26-27/431"/>
    <n v="634"/>
    <n v="634"/>
    <s v="Kgs"/>
    <n v="634"/>
    <n v="0"/>
    <n v="634"/>
    <s v="GJ12BY0479"/>
    <s v="Plastene India ltd - Unit 1-Purchase"/>
    <s v="Plastene India ltd - Unit 1-Purchase"/>
    <s v="PIL1/D/1221"/>
    <s v="30-07-2026"/>
    <s v="RAW MATERIAL"/>
    <s v="INDIGENOUS"/>
    <s v="RM 462"/>
    <n v="146.49"/>
    <n v="146.48999969169901"/>
    <s v="PIL1/D/1221"/>
    <s v="30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615516.8"/>
    <s v="SF"/>
    <s v="Webbing"/>
    <s v="PP Webbing"/>
    <s v="RM"/>
    <s v="erp"/>
    <n v="0"/>
    <n v="92874.66"/>
    <n v="1004"/>
    <s v="30-07-2026"/>
    <s v="24AAACO3087C1ZT"/>
    <s v="storepil6"/>
    <s v="storepil6"/>
    <n v="9"/>
    <n v="8358.7199999999993"/>
    <n v="9"/>
    <n v="8358.7199999999993"/>
    <n v="0"/>
    <n v="0"/>
    <n v="0"/>
    <n v="692153973119"/>
    <d v="2026-07-30T00:00:00"/>
    <n v="0"/>
  </r>
  <r>
    <s v="HCP Plastene Bulkpack Ltd (Unit - IV)"/>
    <s v="30-07-2026"/>
    <s v="HPBL4/26-27/SII01045"/>
    <s v="WIP00013"/>
    <x v="2"/>
    <m/>
    <s v="HPBL4/RAW/26-27/431"/>
    <n v="3340.5"/>
    <n v="3340.5"/>
    <s v="Kgs"/>
    <n v="3340.5"/>
    <n v="0"/>
    <n v="3340.5"/>
    <s v="GJ12BY0479"/>
    <s v="Plastene India ltd - Unit 1-Purchase"/>
    <s v="Plastene India ltd - Unit 1-Purchase"/>
    <s v="PIL1/D/1221"/>
    <s v="30-07-2026"/>
    <s v="RAW MATERIAL"/>
    <s v="INDIGENOUS"/>
    <s v="RM 462"/>
    <n v="182.78"/>
    <n v="182.77999961532299"/>
    <s v="PIL1/D/1221"/>
    <s v="30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615516.8"/>
    <s v="SF"/>
    <s v="Liners"/>
    <s v="LDPE/LLDPE Bags"/>
    <s v="RM"/>
    <s v="erp"/>
    <n v="0"/>
    <n v="610576.59"/>
    <n v="1004"/>
    <s v="30-07-2026"/>
    <s v="24AAACO3087C1ZT"/>
    <s v="storepil6"/>
    <s v="storepil6"/>
    <n v="9"/>
    <n v="54951.89"/>
    <n v="9"/>
    <n v="54951.89"/>
    <n v="0"/>
    <n v="0"/>
    <n v="0"/>
    <n v="692153973119"/>
    <d v="2026-07-30T00:00:00"/>
    <n v="0"/>
  </r>
  <r>
    <s v="HCP Plastene Bulkpack Ltd (Unit - IV)"/>
    <s v="30-07-2026"/>
    <s v="HPBL4/26-27/SII01045"/>
    <s v="WIP00023"/>
    <x v="0"/>
    <m/>
    <s v="HPBL4/RAW/26-27/431"/>
    <n v="1173"/>
    <n v="1173"/>
    <s v="Kgs"/>
    <n v="1173"/>
    <n v="0"/>
    <n v="1173"/>
    <s v="GJ12BY0479"/>
    <s v="Plastene India ltd - Unit 1-Purchase"/>
    <s v="Plastene India ltd - Unit 1-Purchase"/>
    <s v="PIL1/D/1221"/>
    <s v="30-07-2026"/>
    <s v="RAW MATERIAL"/>
    <s v="INDIGENOUS"/>
    <s v="RM 462"/>
    <n v="144.49"/>
    <n v="144.48999969590801"/>
    <s v="PIL1/D/1221"/>
    <s v="30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615516.8"/>
    <s v="SF"/>
    <s v="PP/PE Fabric"/>
    <s v="PP UL Fabric"/>
    <s v="RM"/>
    <s v="erp"/>
    <n v="0"/>
    <n v="169486.77"/>
    <n v="1004"/>
    <s v="30-07-2026"/>
    <s v="24AAACO3087C1ZT"/>
    <s v="storepil6"/>
    <s v="storepil6"/>
    <n v="9"/>
    <n v="15253.81"/>
    <n v="9"/>
    <n v="15253.81"/>
    <n v="0"/>
    <n v="0"/>
    <n v="0"/>
    <n v="692153973119"/>
    <d v="2026-07-30T00:00:00"/>
    <n v="0"/>
  </r>
  <r>
    <s v="HCP Plastene Bulkpack Ltd (Unit - IV)"/>
    <s v="30-07-2026"/>
    <s v="HPBL4/26-27/SII01045"/>
    <s v="FIG00001"/>
    <x v="4"/>
    <m/>
    <s v="HPBL4/RAW/26-27/431"/>
    <n v="280"/>
    <n v="280"/>
    <s v="Kgs"/>
    <n v="280"/>
    <n v="0"/>
    <n v="280"/>
    <s v="GJ12BY0479"/>
    <s v="Plastene India ltd - Unit 1-Purchase"/>
    <s v="Plastene India ltd - Unit 1-Purchase"/>
    <s v="PIL1/D/1221"/>
    <s v="30-07-2026"/>
    <s v="RAW MATERIAL"/>
    <s v="INDIGENOUS"/>
    <s v="RM 462"/>
    <n v="151.49"/>
    <n v="151.48999968117599"/>
    <s v="PIL1/D/1221"/>
    <s v="30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615516.8"/>
    <s v="FG"/>
    <s v="FIBC WIP"/>
    <s v="FIBC WIP"/>
    <s v="RM"/>
    <s v="erp"/>
    <n v="0"/>
    <n v="42417.2"/>
    <n v="1004"/>
    <s v="30-07-2026"/>
    <s v="24AAACO3087C1ZT"/>
    <s v="storepil6"/>
    <s v="storepil6"/>
    <n v="9"/>
    <n v="3817.55"/>
    <n v="9"/>
    <n v="3817.55"/>
    <n v="0"/>
    <n v="0"/>
    <n v="0"/>
    <n v="692153973119"/>
    <d v="2026-07-30T00:00:00"/>
    <n v="0"/>
  </r>
  <r>
    <s v="HCP Plastene Bulkpack Ltd (Unit - IV)"/>
    <s v="30-07-2026"/>
    <s v="HPBL4/26-27/SII01045"/>
    <s v="WIP00025"/>
    <x v="1"/>
    <m/>
    <s v="HPBL4/RAW/26-27/431"/>
    <n v="694"/>
    <n v="694"/>
    <s v="Kgs"/>
    <n v="694"/>
    <n v="0"/>
    <n v="694"/>
    <s v="GJ12BY0479"/>
    <s v="Plastene India ltd - Unit 1-Purchase"/>
    <s v="Plastene India ltd - Unit 1-Purchase"/>
    <s v="PIL1/D/1221"/>
    <s v="30-07-2026"/>
    <s v="RAW MATERIAL"/>
    <s v="INDIGENOUS"/>
    <s v="RM 462"/>
    <n v="151.49"/>
    <n v="151.48999968117599"/>
    <s v="PIL1/D/1221"/>
    <s v="30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615516.8"/>
    <s v="SF"/>
    <s v="PP/PE Fabric"/>
    <s v="PP Lam Fabric"/>
    <s v="RM"/>
    <s v="erp"/>
    <n v="0"/>
    <n v="105134.06"/>
    <n v="1004"/>
    <s v="30-07-2026"/>
    <s v="24AAACO3087C1ZT"/>
    <s v="storepil6"/>
    <s v="storepil6"/>
    <n v="9"/>
    <n v="9462.07"/>
    <n v="9"/>
    <n v="9462.07"/>
    <n v="0"/>
    <n v="0"/>
    <n v="0"/>
    <n v="692153973119"/>
    <d v="2026-07-30T00:00:00"/>
    <n v="0"/>
  </r>
  <r>
    <s v="HCP Plastene Bulkpack Ltd (Unit - IV)"/>
    <s v="30-07-2026"/>
    <s v="HPBL4/26-27/SII01045"/>
    <s v="WIP00191"/>
    <x v="10"/>
    <m/>
    <s v="HPBL4/RAW/26-27/431"/>
    <n v="470.5"/>
    <n v="470.5"/>
    <s v="Kgs"/>
    <n v="470.5"/>
    <n v="0"/>
    <n v="470.5"/>
    <s v="GJ12BY0479"/>
    <s v="Plastene India ltd - Unit 1-Purchase"/>
    <s v="Plastene India ltd - Unit 1-Purchase"/>
    <s v="PIL1/D/1221"/>
    <s v="30-07-2026"/>
    <s v="RAW MATERIAL"/>
    <s v="INDIGENOUS"/>
    <s v="RM 462"/>
    <n v="156.49"/>
    <n v="156.48999967065299"/>
    <s v="PIL1/D/1221"/>
    <s v="30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615516.8"/>
    <s v="SF"/>
    <s v="Yarn All"/>
    <s v="PP Yarn"/>
    <s v="RM"/>
    <m/>
    <n v="0"/>
    <n v="73628.539999999994"/>
    <n v="1004"/>
    <s v="30-07-2026"/>
    <s v="24AAACO3087C1ZT"/>
    <s v="storepil6"/>
    <s v="storepil6"/>
    <n v="2.5"/>
    <n v="1840.71"/>
    <n v="2.5"/>
    <n v="1840.71"/>
    <n v="0"/>
    <n v="0"/>
    <n v="0"/>
    <n v="692153973119"/>
    <d v="2026-07-30T00:00:00"/>
    <n v="0"/>
  </r>
  <r>
    <s v="HCP Plastene Bulkpack Ltd (Unit - IV)"/>
    <s v="30-07-2026"/>
    <s v="HPBL4/26-27/SII01045"/>
    <s v="WIP00193"/>
    <x v="16"/>
    <m/>
    <s v="HPBL4/RAW/26-27/431"/>
    <n v="800.66"/>
    <n v="800.66"/>
    <s v="Kgs"/>
    <n v="800.66"/>
    <n v="0"/>
    <n v="800.66"/>
    <s v="GJ12BY0479"/>
    <s v="Plastene India ltd - Unit 1-Purchase"/>
    <s v="Plastene India ltd - Unit 1-Purchase"/>
    <s v="PIL1/D/1221"/>
    <s v="30-07-2026"/>
    <s v="RAW MATERIAL"/>
    <s v="INDIGENOUS"/>
    <s v="RM 462"/>
    <n v="159.49"/>
    <n v="159.489999664339"/>
    <s v="PIL1/D/1221"/>
    <s v="30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615516.8"/>
    <s v="SF"/>
    <s v="Yarn All"/>
    <s v="PP Yarn"/>
    <s v="RM"/>
    <m/>
    <n v="0"/>
    <n v="127697.26"/>
    <n v="1004"/>
    <s v="30-07-2026"/>
    <s v="24AAACO3087C1ZT"/>
    <s v="storepil6"/>
    <s v="storepil6"/>
    <n v="2.5"/>
    <n v="3192.43"/>
    <n v="2.5"/>
    <n v="3192.43"/>
    <n v="0"/>
    <n v="0"/>
    <n v="0"/>
    <n v="692153973119"/>
    <d v="2026-07-30T00:00:00"/>
    <n v="0"/>
  </r>
  <r>
    <s v="HCP Plastene Bulkpack Ltd (Unit - IV)"/>
    <s v="31-07-2026"/>
    <s v="HPBL4/26-27/SII01062"/>
    <s v="FIG00001"/>
    <x v="4"/>
    <m/>
    <s v="HPBL4/RAW/26-27/432"/>
    <n v="46"/>
    <n v="46"/>
    <s v="Kgs"/>
    <n v="46"/>
    <n v="0"/>
    <n v="46"/>
    <s v="GJ39TB3534"/>
    <s v="Plastene India ltd - Unit 1-Purchase"/>
    <s v="Plastene India ltd - Unit 1-Purchase"/>
    <s v="PIL1/D/1226."/>
    <s v="30-07-2026"/>
    <s v="RAW MATERIAL"/>
    <s v="INDIGENOUS"/>
    <s v="RM 463"/>
    <n v="172.49"/>
    <n v="172.49"/>
    <s v="PIL1/D/1226."/>
    <s v="30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92628.44"/>
    <s v="FG"/>
    <s v="FIBC WIP"/>
    <s v="FIBC WIP"/>
    <s v="RM"/>
    <s v="erp"/>
    <n v="0"/>
    <n v="7934.54"/>
    <n v="1010"/>
    <s v="30-07-2026"/>
    <s v="24AAACO3087C1ZT"/>
    <s v="storepil6"/>
    <s v="storepil6"/>
    <n v="9"/>
    <n v="714.11"/>
    <n v="9"/>
    <n v="714.11"/>
    <n v="0"/>
    <n v="0"/>
    <n v="292628.44"/>
    <n v="672154309474"/>
    <d v="2026-07-30T00:00:00"/>
    <n v="0"/>
  </r>
  <r>
    <s v="HCP Plastene Bulkpack Ltd (Unit - IV)"/>
    <s v="31-07-2026"/>
    <s v="HPBL4/26-27/SII01062"/>
    <s v="FIG00001"/>
    <x v="4"/>
    <m/>
    <s v="HPBL4/RAW/26-27/432"/>
    <n v="1534"/>
    <n v="1534"/>
    <s v="Kgs"/>
    <n v="1534"/>
    <n v="0"/>
    <n v="1534"/>
    <s v="GJ39TB3534"/>
    <s v="Plastene India ltd - Unit 1-Purchase"/>
    <s v="Plastene India ltd - Unit 1-Purchase"/>
    <s v="PIL1/D/1226."/>
    <s v="30-07-2026"/>
    <s v="RAW MATERIAL"/>
    <s v="INDIGENOUS"/>
    <s v="RM 463"/>
    <n v="156.49"/>
    <n v="156.49"/>
    <s v="PIL1/D/1226."/>
    <s v="30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92628.44"/>
    <s v="FG"/>
    <s v="FIBC WIP"/>
    <s v="FIBC WIP"/>
    <s v="RM"/>
    <s v="erp"/>
    <n v="0"/>
    <n v="240055.66"/>
    <n v="1010"/>
    <s v="30-07-2026"/>
    <s v="24AAACO3087C1ZT"/>
    <s v="storepil6"/>
    <s v="storepil6"/>
    <n v="9"/>
    <n v="21605.01"/>
    <n v="9"/>
    <n v="21605.01"/>
    <n v="0"/>
    <n v="0"/>
    <n v="0"/>
    <n v="672154309474"/>
    <d v="2026-07-30T00:00:00"/>
    <n v="0"/>
  </r>
  <r>
    <s v="HCP Plastene Bulkpack Ltd (Unit - IV)"/>
    <s v="31-07-2026"/>
    <s v="HPBL4/26-27/SII01064"/>
    <s v="FIG00001"/>
    <x v="4"/>
    <m/>
    <s v="HPBL4/RAW/26-27/435"/>
    <n v="251"/>
    <n v="251"/>
    <s v="Kgs"/>
    <n v="251"/>
    <n v="0"/>
    <n v="251"/>
    <s v="GJ12BT2409"/>
    <s v="Plastene India ltd - Unit 1-Purchase"/>
    <s v="Plastene India ltd - Unit 1-Purchase"/>
    <s v="PIL1/D/1233"/>
    <s v="31-07-2026"/>
    <s v="RAW MATERIAL"/>
    <s v="INDIGENOUS"/>
    <s v="RM 464"/>
    <n v="156.49"/>
    <n v="156.48981980334801"/>
    <s v="PIL1/D/1233"/>
    <s v="31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546516.36"/>
    <s v="FG"/>
    <s v="FIBC WIP"/>
    <s v="FIBC WIP"/>
    <s v="RM"/>
    <s v="erp"/>
    <n v="0"/>
    <n v="39278.94"/>
    <n v="1016"/>
    <s v="31-07-2026"/>
    <s v="24AAACO3087C1ZT"/>
    <s v="storepil6"/>
    <s v="storepil6"/>
    <n v="9"/>
    <n v="3535.11"/>
    <n v="9"/>
    <n v="3535.11"/>
    <n v="0"/>
    <n v="0"/>
    <n v="1546516.36"/>
    <n v="632154794636"/>
    <d v="2026-07-31T00:00:00"/>
    <n v="0"/>
  </r>
  <r>
    <s v="HCP Plastene Bulkpack Ltd (Unit - IV)"/>
    <s v="31-07-2026"/>
    <s v="HPBL4/26-27/SII01064"/>
    <s v="RAW05939"/>
    <x v="5"/>
    <m/>
    <s v="HPBL4/RAW/26-27/435"/>
    <n v="20400"/>
    <n v="20400"/>
    <s v="Pcs"/>
    <n v="20400"/>
    <n v="0"/>
    <n v="20400"/>
    <s v="GJ12BT2409"/>
    <s v="Plastene India ltd - Unit 1-Purchase"/>
    <s v="Plastene India ltd - Unit 1-Purchase"/>
    <s v="PIL1/D/1233"/>
    <s v="31-07-2026"/>
    <s v="RAW MATERIAL"/>
    <s v="INDIGENOUS"/>
    <s v="RM 464"/>
    <n v="3.36"/>
    <n v="3.3599961309939799"/>
    <s v="PIL1/D/1233"/>
    <s v="31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546516.36"/>
    <s v="RM Consumables"/>
    <s v="FIBC Accessories"/>
    <s v="FIBC Accessories"/>
    <s v="RM"/>
    <s v="ramesh.singhal"/>
    <n v="0"/>
    <n v="68543.92"/>
    <n v="1016"/>
    <s v="31-07-2026"/>
    <s v="24AAACO3087C1ZT"/>
    <s v="storepil6"/>
    <s v="storepil6"/>
    <n v="9"/>
    <n v="6168.96"/>
    <n v="9"/>
    <n v="6168.96"/>
    <n v="0"/>
    <n v="0"/>
    <n v="0"/>
    <n v="632154794636"/>
    <d v="2026-07-31T00:00:00"/>
    <n v="0"/>
  </r>
  <r>
    <s v="HCP Plastene Bulkpack Ltd (Unit - IV)"/>
    <s v="31-07-2026"/>
    <s v="HPBL4/26-27/SII01064"/>
    <s v="WIP00013"/>
    <x v="2"/>
    <m/>
    <s v="HPBL4/RAW/26-27/435"/>
    <n v="1136.26"/>
    <n v="1136.26"/>
    <s v="Kgs"/>
    <n v="1136.26"/>
    <n v="0"/>
    <n v="1136.26"/>
    <s v="GJ12BT2409"/>
    <s v="Plastene India ltd - Unit 1-Purchase"/>
    <s v="Plastene India ltd - Unit 1-Purchase"/>
    <s v="PIL1/D/1233"/>
    <s v="31-07-2026"/>
    <s v="RAW MATERIAL"/>
    <s v="INDIGENOUS"/>
    <s v="RM 464"/>
    <n v="182.78"/>
    <n v="182.77978953067799"/>
    <s v="PIL1/D/1233"/>
    <s v="31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546516.36"/>
    <s v="SF"/>
    <s v="Liners"/>
    <s v="LDPE/LLDPE Bags"/>
    <s v="RM"/>
    <s v="erp"/>
    <n v="0"/>
    <n v="207685.36"/>
    <n v="1016"/>
    <s v="31-07-2026"/>
    <s v="24AAACO3087C1ZT"/>
    <s v="storepil6"/>
    <s v="storepil6"/>
    <n v="9"/>
    <n v="18691.7"/>
    <n v="9"/>
    <n v="18691.7"/>
    <n v="0"/>
    <n v="0"/>
    <n v="0"/>
    <n v="632154794636"/>
    <d v="2026-07-31T00:00:00"/>
    <n v="0"/>
  </r>
  <r>
    <s v="HCP Plastene Bulkpack Ltd (Unit - IV)"/>
    <s v="31-07-2026"/>
    <s v="HPBL4/26-27/SII01064"/>
    <s v="WIP00023"/>
    <x v="0"/>
    <m/>
    <s v="HPBL4/RAW/26-27/435"/>
    <n v="663"/>
    <n v="663"/>
    <s v="Kgs"/>
    <n v="663"/>
    <n v="0"/>
    <n v="663"/>
    <s v="GJ12BT2409"/>
    <s v="Plastene India ltd - Unit 1-Purchase"/>
    <s v="Plastene India ltd - Unit 1-Purchase"/>
    <s v="PIL1/D/1233"/>
    <s v="31-07-2026"/>
    <s v="RAW MATERIAL"/>
    <s v="INDIGENOUS"/>
    <s v="RM 464"/>
    <n v="146.49"/>
    <n v="146.48983131824599"/>
    <s v="PIL1/D/1233"/>
    <s v="31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546516.36"/>
    <s v="SF"/>
    <s v="PP/PE Fabric"/>
    <s v="PP UL Fabric"/>
    <s v="RM"/>
    <s v="erp"/>
    <n v="0"/>
    <n v="97122.76"/>
    <n v="1016"/>
    <s v="31-07-2026"/>
    <s v="24AAACO3087C1ZT"/>
    <s v="storepil6"/>
    <s v="storepil6"/>
    <n v="9"/>
    <n v="8741.06"/>
    <n v="9"/>
    <n v="8741.06"/>
    <n v="0"/>
    <n v="0"/>
    <n v="0"/>
    <n v="632154794636"/>
    <d v="2026-07-31T00:00:00"/>
    <n v="0"/>
  </r>
  <r>
    <s v="HCP Plastene Bulkpack Ltd (Unit - IV)"/>
    <s v="31-07-2026"/>
    <s v="HPBL4/26-27/SII01064"/>
    <s v="WIP00023"/>
    <x v="0"/>
    <m/>
    <s v="HPBL4/RAW/26-27/435"/>
    <n v="565"/>
    <n v="565"/>
    <s v="Kgs"/>
    <n v="565"/>
    <n v="0"/>
    <n v="565"/>
    <s v="GJ12BT2409"/>
    <s v="Plastene India ltd - Unit 1-Purchase"/>
    <s v="Plastene India ltd - Unit 1-Purchase"/>
    <s v="PIL1/D/1233"/>
    <s v="31-07-2026"/>
    <s v="RAW MATERIAL"/>
    <s v="INDIGENOUS"/>
    <s v="RM 464"/>
    <n v="144.49"/>
    <n v="144.48983362122601"/>
    <s v="PIL1/D/1233"/>
    <s v="31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546516.36"/>
    <s v="SF"/>
    <s v="PP/PE Fabric"/>
    <s v="PP UL Fabric"/>
    <s v="RM"/>
    <s v="erp"/>
    <n v="0"/>
    <n v="81636.759999999995"/>
    <n v="1016"/>
    <s v="31-07-2026"/>
    <s v="24AAACO3087C1ZT"/>
    <s v="storepil6"/>
    <s v="storepil6"/>
    <n v="9"/>
    <n v="7347.32"/>
    <n v="9"/>
    <n v="7347.32"/>
    <n v="0"/>
    <n v="0"/>
    <n v="0"/>
    <n v="632154794636"/>
    <d v="2026-07-31T00:00:00"/>
    <n v="0"/>
  </r>
  <r>
    <s v="HCP Plastene Bulkpack Ltd (Unit - IV)"/>
    <s v="31-07-2026"/>
    <s v="HPBL4/26-27/SII01064"/>
    <s v="WIP00032"/>
    <x v="3"/>
    <m/>
    <s v="HPBL4/RAW/26-27/435"/>
    <n v="1044.0999999999999"/>
    <n v="1044.0999999999999"/>
    <s v="Kgs"/>
    <n v="1044.0999999999999"/>
    <n v="0"/>
    <n v="1044.0999999999999"/>
    <s v="GJ12BT2409"/>
    <s v="Plastene India ltd - Unit 1-Purchase"/>
    <s v="Plastene India ltd - Unit 1-Purchase"/>
    <s v="PIL1/D/1233"/>
    <s v="31-07-2026"/>
    <s v="RAW MATERIAL"/>
    <s v="INDIGENOUS"/>
    <s v="RM 464"/>
    <n v="149.49"/>
    <n v="149.48982786377701"/>
    <s v="PIL1/D/1233"/>
    <s v="31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546516.36"/>
    <s v="SF"/>
    <s v="Webbing"/>
    <s v="PP Webbing"/>
    <s v="RM"/>
    <s v="erp"/>
    <n v="0"/>
    <n v="156082.32999999999"/>
    <n v="1016"/>
    <s v="31-07-2026"/>
    <s v="24AAACO3087C1ZT"/>
    <s v="storepil6"/>
    <s v="storepil6"/>
    <n v="9"/>
    <n v="14047.43"/>
    <n v="9"/>
    <n v="14047.43"/>
    <n v="0"/>
    <n v="0"/>
    <n v="0"/>
    <n v="632154794636"/>
    <d v="2026-07-31T00:00:00"/>
    <n v="0"/>
  </r>
  <r>
    <s v="HCP Plastene Bulkpack Ltd (Unit - IV)"/>
    <s v="31-07-2026"/>
    <s v="HPBL4/26-27/SII01064"/>
    <s v="WIP00032"/>
    <x v="3"/>
    <m/>
    <s v="HPBL4/RAW/26-27/435"/>
    <n v="753.1"/>
    <n v="753.1"/>
    <s v="Kgs"/>
    <n v="753.1"/>
    <n v="0"/>
    <n v="753.1"/>
    <s v="GJ12BT2409"/>
    <s v="Plastene India ltd - Unit 1-Purchase"/>
    <s v="Plastene India ltd - Unit 1-Purchase"/>
    <s v="PIL1/D/1233"/>
    <s v="31-07-2026"/>
    <s v="RAW MATERIAL"/>
    <s v="INDIGENOUS"/>
    <s v="RM 464"/>
    <n v="146.49"/>
    <n v="146.48983131824599"/>
    <s v="PIL1/D/1233"/>
    <s v="31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546516.36"/>
    <s v="SF"/>
    <s v="Webbing"/>
    <s v="PP Webbing"/>
    <s v="RM"/>
    <s v="erp"/>
    <n v="0"/>
    <n v="110321.49"/>
    <n v="1016"/>
    <s v="31-07-2026"/>
    <s v="24AAACO3087C1ZT"/>
    <s v="storepil6"/>
    <s v="storepil6"/>
    <n v="9"/>
    <n v="9928.9500000000007"/>
    <n v="9"/>
    <n v="9928.9500000000007"/>
    <n v="0"/>
    <n v="0"/>
    <n v="0"/>
    <n v="632154794636"/>
    <d v="2026-07-31T00:00:00"/>
    <n v="0"/>
  </r>
  <r>
    <s v="HCP Plastene Bulkpack Ltd (Unit - IV)"/>
    <s v="31-07-2026"/>
    <s v="HPBL4/26-27/SII01064"/>
    <s v="WIP00025"/>
    <x v="1"/>
    <m/>
    <s v="HPBL4/RAW/26-27/435"/>
    <n v="1012"/>
    <n v="1012"/>
    <s v="Kgs"/>
    <n v="1012"/>
    <n v="0"/>
    <n v="1012"/>
    <s v="GJ12BT2409"/>
    <s v="Plastene India ltd - Unit 1-Purchase"/>
    <s v="Plastene India ltd - Unit 1-Purchase"/>
    <s v="PIL1/D/1233"/>
    <s v="31-07-2026"/>
    <s v="RAW MATERIAL"/>
    <s v="INDIGENOUS"/>
    <s v="RM 464"/>
    <n v="148.49"/>
    <n v="148.48982901526699"/>
    <s v="PIL1/D/1233"/>
    <s v="31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546516.36"/>
    <s v="SF"/>
    <s v="PP/PE Fabric"/>
    <s v="PP Lam Fabric"/>
    <s v="RM"/>
    <s v="erp"/>
    <n v="0"/>
    <n v="150271.71"/>
    <n v="1016"/>
    <s v="31-07-2026"/>
    <s v="24AAACO3087C1ZT"/>
    <s v="storepil6"/>
    <s v="storepil6"/>
    <n v="9"/>
    <n v="13524.47"/>
    <n v="9"/>
    <n v="13524.47"/>
    <n v="0"/>
    <n v="0"/>
    <n v="0"/>
    <n v="632154794636"/>
    <d v="2026-07-31T00:00:00"/>
    <n v="0"/>
  </r>
  <r>
    <s v="HCP Plastene Bulkpack Ltd (Unit - IV)"/>
    <s v="31-07-2026"/>
    <s v="HPBL4/26-27/SII01064"/>
    <s v="WIP00025"/>
    <x v="1"/>
    <m/>
    <s v="HPBL4/RAW/26-27/435"/>
    <n v="1084"/>
    <n v="1084"/>
    <s v="Kgs"/>
    <n v="1084"/>
    <n v="0"/>
    <n v="1084"/>
    <s v="GJ12BT2409"/>
    <s v="Plastene India ltd - Unit 1-Purchase"/>
    <s v="Plastene India ltd - Unit 1-Purchase"/>
    <s v="PIL1/D/1233"/>
    <s v="31-07-2026"/>
    <s v="RAW MATERIAL"/>
    <s v="INDIGENOUS"/>
    <s v="RM 464"/>
    <n v="146.49"/>
    <n v="146.48983131824599"/>
    <s v="PIL1/D/1233"/>
    <s v="31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546516.36"/>
    <s v="SF"/>
    <s v="PP/PE Fabric"/>
    <s v="PP Lam Fabric"/>
    <s v="RM"/>
    <s v="erp"/>
    <n v="0"/>
    <n v="158794.98000000001"/>
    <n v="1016"/>
    <s v="31-07-2026"/>
    <s v="24AAACO3087C1ZT"/>
    <s v="storepil6"/>
    <s v="storepil6"/>
    <n v="9"/>
    <n v="14291.56"/>
    <n v="9"/>
    <n v="14291.56"/>
    <n v="0"/>
    <n v="0"/>
    <n v="0"/>
    <n v="632154794636"/>
    <d v="2026-07-31T00:00:00"/>
    <n v="0"/>
  </r>
  <r>
    <s v="HCP Plastene Bulkpack Ltd (Unit - IV)"/>
    <s v="31-07-2026"/>
    <s v="HPBL4/26-27/SII01064"/>
    <s v="WIP00025"/>
    <x v="1"/>
    <m/>
    <s v="HPBL4/RAW/26-27/435"/>
    <n v="1590"/>
    <n v="1590"/>
    <s v="Kgs"/>
    <n v="1590"/>
    <n v="0"/>
    <n v="1590"/>
    <s v="GJ12BT2409"/>
    <s v="Plastene India ltd - Unit 1-Purchase"/>
    <s v="Plastene India ltd - Unit 1-Purchase"/>
    <s v="PIL1/D/1233"/>
    <s v="31-07-2026"/>
    <s v="RAW MATERIAL"/>
    <s v="INDIGENOUS"/>
    <s v="RM 464"/>
    <n v="151.49"/>
    <n v="151.48982556079699"/>
    <s v="PIL1/D/1233"/>
    <s v="31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546516.36"/>
    <s v="SF"/>
    <s v="PP/PE Fabric"/>
    <s v="PP Lam Fabric"/>
    <s v="RM"/>
    <s v="erp"/>
    <n v="0"/>
    <n v="240868.82"/>
    <n v="1016"/>
    <s v="31-07-2026"/>
    <s v="24AAACO3087C1ZT"/>
    <s v="storepil6"/>
    <s v="storepil6"/>
    <n v="9"/>
    <n v="21678.22"/>
    <n v="9"/>
    <n v="21678.22"/>
    <n v="0"/>
    <n v="0"/>
    <n v="0"/>
    <n v="632154794636"/>
    <d v="2026-07-31T00:00:00"/>
    <n v="0"/>
  </r>
  <r>
    <s v="HCP Plastene Bulkpack Ltd (Unit - IV)"/>
    <s v="31-07-2026"/>
    <s v="HPBL4/26-27/SII01065"/>
    <s v="WIP00032"/>
    <x v="3"/>
    <m/>
    <s v="HPBL4/RAW/26-27/434"/>
    <n v="70.2"/>
    <n v="70.2"/>
    <s v="Kgs"/>
    <n v="70.2"/>
    <n v="0"/>
    <n v="70.2"/>
    <s v="GJ12BT2409"/>
    <s v="Plastene India ltd - Unit 1-Purchase"/>
    <s v="Plastene India ltd - Unit 1-Purchase"/>
    <s v="PIL1/D/1230"/>
    <s v="31-07-2026"/>
    <s v="RAW MATERIAL"/>
    <s v="INDIGENOUS"/>
    <s v="RM 465"/>
    <n v="149.49"/>
    <n v="149.49000021556799"/>
    <s v="PIL1/D/1230"/>
    <s v="31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86939.64"/>
    <s v="SF"/>
    <s v="Webbing"/>
    <s v="PP Webbing"/>
    <s v="RM"/>
    <s v="erp"/>
    <n v="0"/>
    <n v="10494.2"/>
    <n v="1015"/>
    <s v="31-07-2026"/>
    <s v="24AAACO3087C1ZT"/>
    <s v="storepil6"/>
    <s v="storepil6"/>
    <n v="9"/>
    <n v="944.48"/>
    <n v="9"/>
    <n v="944.48"/>
    <n v="0"/>
    <n v="0"/>
    <n v="1386939.64"/>
    <n v="602154607814"/>
    <d v="2026-07-31T00:00:00"/>
    <n v="0"/>
  </r>
  <r>
    <s v="HCP Plastene Bulkpack Ltd (Unit - IV)"/>
    <s v="31-07-2026"/>
    <s v="HPBL4/26-27/SII01065"/>
    <s v="WIP00023"/>
    <x v="0"/>
    <m/>
    <s v="HPBL4/RAW/26-27/434"/>
    <n v="8062"/>
    <n v="8062"/>
    <s v="Kgs"/>
    <n v="8062"/>
    <n v="0"/>
    <n v="8062"/>
    <s v="GJ12BT2409"/>
    <s v="Plastene India ltd - Unit 1-Purchase"/>
    <s v="Plastene India ltd - Unit 1-Purchase"/>
    <s v="PIL1/D/1230"/>
    <s v="31-07-2026"/>
    <s v="RAW MATERIAL"/>
    <s v="INDIGENOUS"/>
    <s v="RM 465"/>
    <n v="144.49"/>
    <n v="144.490000208358"/>
    <s v="PIL1/D/1230"/>
    <s v="31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1386939.64"/>
    <s v="SF"/>
    <s v="PP/PE Fabric"/>
    <s v="PP UL Fabric"/>
    <s v="RM"/>
    <s v="erp"/>
    <n v="0"/>
    <n v="1164878.3799999999"/>
    <n v="1015"/>
    <s v="31-07-2026"/>
    <s v="24AAACO3087C1ZT"/>
    <s v="storepil6"/>
    <s v="storepil6"/>
    <n v="9"/>
    <n v="104839.05"/>
    <n v="9"/>
    <n v="104839.05"/>
    <n v="0"/>
    <n v="0"/>
    <n v="0"/>
    <n v="602154607814"/>
    <d v="2026-07-31T00:00:00"/>
    <n v="0"/>
  </r>
  <r>
    <s v="HCP Plastene Bulkpack Ltd (Unit - IV)"/>
    <s v="31-07-2026"/>
    <s v="HPBL4/26-27/SII01067"/>
    <s v="SMF00052"/>
    <x v="7"/>
    <m/>
    <s v="HPBL4/RAW/26-27/433"/>
    <n v="432.2"/>
    <n v="432.2"/>
    <s v="Kgs"/>
    <n v="432.2"/>
    <n v="0"/>
    <n v="432.2"/>
    <s v="GJ08AX2024"/>
    <s v="K.P. Woven Pvt Ltd-Purchase"/>
    <s v="K.P. Woven Pvt Ltd-Purchase"/>
    <s v="KPV/D/528"/>
    <s v="30-07-2026"/>
    <s v="RAW MATERIAL"/>
    <s v="INDIGENOUS"/>
    <s v="RM 466"/>
    <n v="154.15"/>
    <n v="154.15"/>
    <s v="KPV/D/528"/>
    <s v="30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300951.32"/>
    <s v="SF"/>
    <s v="Yarn All"/>
    <s v="PP Yarn"/>
    <s v="RM"/>
    <s v="erp"/>
    <n v="0"/>
    <n v="66623.63"/>
    <n v="1011"/>
    <s v="31-07-2026"/>
    <s v="24AAECK6307M1ZF"/>
    <s v="storepil6"/>
    <s v="storepil6"/>
    <n v="2.5"/>
    <n v="1665.59"/>
    <n v="2.5"/>
    <n v="1665.59"/>
    <n v="0"/>
    <n v="0"/>
    <n v="300951.32"/>
    <n v="612154188268"/>
    <d v="2026-07-30T00:00:00"/>
    <n v="0"/>
  </r>
  <r>
    <s v="HCP Plastene Bulkpack Ltd (Unit - IV)"/>
    <s v="31-07-2026"/>
    <s v="HPBL4/26-27/SII01067"/>
    <s v="SMF00054"/>
    <x v="8"/>
    <m/>
    <s v="HPBL4/RAW/26-27/433"/>
    <n v="270"/>
    <n v="270"/>
    <s v="Kgs"/>
    <n v="270"/>
    <n v="0"/>
    <n v="270"/>
    <s v="GJ08AX2024"/>
    <s v="K.P. Woven Pvt Ltd-Purchase"/>
    <s v="K.P. Woven Pvt Ltd-Purchase"/>
    <s v="KPV/D/528"/>
    <s v="30-07-2026"/>
    <s v="RAW MATERIAL"/>
    <s v="INDIGENOUS"/>
    <s v="RM 466"/>
    <n v="151.15"/>
    <n v="151.15"/>
    <s v="KPV/D/528"/>
    <s v="30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300951.32"/>
    <s v="SF"/>
    <s v="Yarn All"/>
    <s v="PP Yarn"/>
    <s v="RM"/>
    <s v="erp"/>
    <n v="0"/>
    <n v="40810.5"/>
    <n v="1011"/>
    <s v="31-07-2026"/>
    <s v="24AAECK6307M1ZF"/>
    <s v="storepil6"/>
    <s v="storepil6"/>
    <n v="2.5"/>
    <n v="1020.26"/>
    <n v="2.5"/>
    <n v="1020.26"/>
    <n v="0"/>
    <n v="0"/>
    <n v="0"/>
    <n v="612154188268"/>
    <d v="2026-07-30T00:00:00"/>
    <n v="0"/>
  </r>
  <r>
    <s v="HCP Plastene Bulkpack Ltd (Unit - IV)"/>
    <s v="31-07-2026"/>
    <s v="HPBL4/26-27/SII01067"/>
    <s v="WIP00023"/>
    <x v="0"/>
    <m/>
    <s v="HPBL4/RAW/26-27/433"/>
    <n v="926.2"/>
    <n v="926.2"/>
    <s v="Kgs"/>
    <n v="926.2"/>
    <n v="0"/>
    <n v="926.2"/>
    <s v="GJ08AX2024"/>
    <s v="K.P. Woven Pvt Ltd-Purchase"/>
    <s v="K.P. Woven Pvt Ltd-Purchase"/>
    <s v="KPV/D/528"/>
    <s v="30-07-2026"/>
    <s v="RAW MATERIAL"/>
    <s v="INDIGENOUS"/>
    <s v="RM 466"/>
    <n v="172.15"/>
    <n v="172.15"/>
    <s v="KPV/D/528"/>
    <s v="30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300951.32"/>
    <s v="SF"/>
    <s v="PP/PE Fabric"/>
    <s v="PP UL Fabric"/>
    <s v="RM"/>
    <s v="erp"/>
    <n v="0"/>
    <n v="159445.32999999999"/>
    <n v="1011"/>
    <s v="31-07-2026"/>
    <s v="24AAECK6307M1ZF"/>
    <s v="storepil6"/>
    <s v="storepil6"/>
    <n v="9"/>
    <n v="14350.08"/>
    <n v="9"/>
    <n v="14350.08"/>
    <n v="0"/>
    <n v="0"/>
    <n v="0"/>
    <n v="612154188268"/>
    <d v="2026-07-30T00:00:00"/>
    <n v="0"/>
  </r>
  <r>
    <s v="HCP Plastene Bulkpack Ltd (Unit - IV)"/>
    <s v="31-07-2026"/>
    <s v="HPBL4/26-27/SII01069"/>
    <s v="WIP00023"/>
    <x v="0"/>
    <m/>
    <s v="HPBL4/RAW/26-27/436"/>
    <n v="1289"/>
    <n v="1289"/>
    <s v="Kgs"/>
    <n v="1289"/>
    <n v="0"/>
    <n v="1289"/>
    <s v="GJ35T2925"/>
    <s v="Plastene India ltd - Unit 1-Purchase"/>
    <s v="Plastene India ltd - Unit 1-Purchase"/>
    <s v="PIL1/D/1237"/>
    <s v="31-07-2026"/>
    <s v="RAW MATERIAL"/>
    <s v="INDIGENOUS"/>
    <s v="RM 467"/>
    <n v="144.49"/>
    <n v="144.489984801774"/>
    <s v="PIL1/D/1237"/>
    <s v="31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28168.71"/>
    <s v="SF"/>
    <s v="PP/PE Fabric"/>
    <s v="PP UL Fabric"/>
    <s v="RM"/>
    <s v="erp"/>
    <n v="0"/>
    <n v="186247.59"/>
    <n v="1017"/>
    <s v="31-07-2026"/>
    <s v="24AAACO3087C1ZT"/>
    <s v="storepil6"/>
    <s v="storepil6"/>
    <n v="9"/>
    <n v="16762.28"/>
    <n v="9"/>
    <n v="16762.28"/>
    <n v="0"/>
    <n v="0"/>
    <n v="228168.71"/>
    <n v="632154959925"/>
    <d v="2026-07-31T00:00:00"/>
    <n v="0"/>
  </r>
  <r>
    <s v="HCP Plastene Bulkpack Ltd (Unit - IV)"/>
    <s v="31-07-2026"/>
    <s v="HPBL4/26-27/SII01069"/>
    <s v="WIP00032"/>
    <x v="3"/>
    <m/>
    <s v="HPBL4/RAW/26-27/436"/>
    <n v="47.6"/>
    <n v="47.6"/>
    <s v="Kgs"/>
    <n v="47.6"/>
    <n v="0"/>
    <n v="47.6"/>
    <s v="GJ35T2925"/>
    <s v="Plastene India ltd - Unit 1-Purchase"/>
    <s v="Plastene India ltd - Unit 1-Purchase"/>
    <s v="PIL1/D/1237"/>
    <s v="31-07-2026"/>
    <s v="RAW MATERIAL"/>
    <s v="INDIGENOUS"/>
    <s v="RM 467"/>
    <n v="149.49"/>
    <n v="149.48998427584701"/>
    <s v="PIL1/D/1237"/>
    <s v="31-07-2026"/>
    <m/>
    <s v="."/>
    <m/>
    <s v="."/>
    <s v="."/>
    <n v="0"/>
    <n v="0"/>
    <n v="0"/>
    <n v="0"/>
    <n v="0"/>
    <s v="VAT"/>
    <n v="0"/>
    <n v="0"/>
    <n v="0"/>
    <n v="0"/>
    <n v="0"/>
    <m/>
    <n v="0"/>
    <n v="0"/>
    <n v="228168.71"/>
    <s v="SF"/>
    <s v="Webbing"/>
    <s v="PP Webbing"/>
    <s v="RM"/>
    <s v="erp"/>
    <n v="0"/>
    <n v="7115.72"/>
    <n v="1017"/>
    <s v="31-07-2026"/>
    <s v="24AAACO3087C1ZT"/>
    <s v="storepil6"/>
    <s v="storepil6"/>
    <n v="9"/>
    <n v="640.41999999999996"/>
    <n v="9"/>
    <n v="640.41999999999996"/>
    <n v="0"/>
    <n v="0"/>
    <n v="0"/>
    <n v="632154959925"/>
    <d v="2026-07-31T00:00:0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ivotTable4" cacheId="119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:B4" firstHeaderRow="1" firstDataRow="1" firstDataCol="1"/>
  <pivotFields count="20">
    <pivotField showAll="0"/>
    <pivotField showAll="0"/>
    <pivotField numFmtId="14" showAll="0"/>
    <pivotField axis="axisRow" showAll="0">
      <items count="2">
        <item x="0"/>
        <item t="default"/>
      </items>
    </pivotField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2">
    <field x="5"/>
    <field x="3"/>
  </rowFields>
  <rowItems count="3">
    <i>
      <x/>
    </i>
    <i r="1">
      <x/>
    </i>
    <i t="grand">
      <x/>
    </i>
  </rowItems>
  <colItems count="1">
    <i/>
  </colItems>
  <dataFields count="1">
    <dataField name="Sum of ItemQty" fld="14" baseField="0" baseItem="0" numFmtId="2"/>
  </dataFields>
  <formats count="2">
    <format dxfId="73">
      <pivotArea outline="0" collapsedLevelsAreSubtotals="1" fieldPosition="0"/>
    </format>
    <format dxfId="7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118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:B5" firstHeaderRow="1" firstDataRow="1" firstDataCol="1"/>
  <pivotFields count="6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cceptedqty" fld="12" baseField="0" baseItem="0" numFmtId="2"/>
  </dataFields>
  <formats count="1">
    <format dxfId="7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12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15" firstHeaderRow="0" firstDataRow="1" firstDataCol="1" rowPageCount="1" colPageCount="1"/>
  <pivotFields count="31">
    <pivotField showAll="0"/>
    <pivotField axis="axisPage" multipleItemSelectionAllowed="1" showAll="0">
      <items count="38">
        <item x="15"/>
        <item x="6"/>
        <item x="0"/>
        <item x="12"/>
        <item x="1"/>
        <item x="33"/>
        <item x="18"/>
        <item x="36"/>
        <item x="5"/>
        <item x="11"/>
        <item x="19"/>
        <item x="13"/>
        <item x="20"/>
        <item x="14"/>
        <item x="22"/>
        <item x="9"/>
        <item x="16"/>
        <item x="4"/>
        <item x="30"/>
        <item x="8"/>
        <item x="21"/>
        <item x="7"/>
        <item x="34"/>
        <item x="27"/>
        <item x="2"/>
        <item x="3"/>
        <item x="10"/>
        <item x="17"/>
        <item x="23"/>
        <item x="24"/>
        <item x="25"/>
        <item x="26"/>
        <item x="28"/>
        <item x="29"/>
        <item x="31"/>
        <item x="32"/>
        <item x="3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4">
        <item x="11"/>
        <item x="3"/>
        <item x="7"/>
        <item h="1" x="9"/>
        <item x="8"/>
        <item x="1"/>
        <item x="4"/>
        <item x="2"/>
        <item h="1" x="0"/>
        <item x="6"/>
        <item x="12"/>
        <item x="10"/>
        <item x="5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12">
    <i>
      <x/>
    </i>
    <i>
      <x v="1"/>
    </i>
    <i>
      <x v="2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Quantity" fld="12" baseField="0" baseItem="0" numFmtId="2"/>
    <dataField name="Sum of Amount" fld="13" baseField="0" baseItem="0"/>
  </dataFields>
  <formats count="27">
    <format dxfId="69">
      <pivotArea grandCol="1" outline="0" collapsedLevelsAreSubtotals="1" fieldPosition="0"/>
    </format>
    <format dxfId="6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7">
      <pivotArea collapsedLevelsAreSubtotals="1" fieldPosition="0">
        <references count="1">
          <reference field="10" count="0"/>
        </references>
      </pivotArea>
    </format>
    <format dxfId="66">
      <pivotArea field="1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65">
      <pivotArea collapsedLevelsAreSubtotals="1" fieldPosition="0">
        <references count="2">
          <reference field="4294967294" count="1" selected="0">
            <x v="1"/>
          </reference>
          <reference field="10" count="1">
            <x v="5"/>
          </reference>
        </references>
      </pivotArea>
    </format>
    <format dxfId="64">
      <pivotArea collapsedLevelsAreSubtotals="1" fieldPosition="0">
        <references count="2">
          <reference field="4294967294" count="1" selected="0">
            <x v="1"/>
          </reference>
          <reference field="10" count="1">
            <x v="1"/>
          </reference>
        </references>
      </pivotArea>
    </format>
    <format dxfId="63">
      <pivotArea collapsedLevelsAreSubtotals="1" fieldPosition="0">
        <references count="2">
          <reference field="4294967294" count="1" selected="0">
            <x v="0"/>
          </reference>
          <reference field="10" count="0"/>
        </references>
      </pivotArea>
    </format>
    <format dxfId="62">
      <pivotArea collapsedLevelsAreSubtotals="1" fieldPosition="0">
        <references count="2">
          <reference field="4294967294" count="1" selected="0">
            <x v="0"/>
          </reference>
          <reference field="10" count="9">
            <x v="0"/>
            <x v="1"/>
            <x v="2"/>
            <x v="4"/>
            <x v="5"/>
            <x v="6"/>
            <x v="7"/>
            <x v="9"/>
            <x v="10"/>
          </reference>
        </references>
      </pivotArea>
    </format>
    <format dxfId="61">
      <pivotArea collapsedLevelsAreSubtotals="1" fieldPosition="0">
        <references count="2">
          <reference field="4294967294" count="1" selected="0">
            <x v="0"/>
          </reference>
          <reference field="10" count="9">
            <x v="0"/>
            <x v="1"/>
            <x v="2"/>
            <x v="4"/>
            <x v="5"/>
            <x v="6"/>
            <x v="7"/>
            <x v="9"/>
            <x v="10"/>
          </reference>
        </references>
      </pivotArea>
    </format>
    <format dxfId="60">
      <pivotArea collapsedLevelsAreSubtotals="1" fieldPosition="0">
        <references count="2">
          <reference field="4294967294" count="1" selected="0">
            <x v="0"/>
          </reference>
          <reference field="10" count="1">
            <x v="10"/>
          </reference>
        </references>
      </pivotArea>
    </format>
    <format dxfId="59">
      <pivotArea collapsedLevelsAreSubtotals="1" fieldPosition="0">
        <references count="2">
          <reference field="4294967294" count="1" selected="0">
            <x v="0"/>
          </reference>
          <reference field="10" count="1">
            <x v="10"/>
          </reference>
        </references>
      </pivotArea>
    </format>
    <format dxfId="58">
      <pivotArea collapsedLevelsAreSubtotals="1" fieldPosition="0">
        <references count="2">
          <reference field="4294967294" count="1" selected="0">
            <x v="0"/>
          </reference>
          <reference field="10" count="1">
            <x v="10"/>
          </reference>
        </references>
      </pivotArea>
    </format>
    <format dxfId="57">
      <pivotArea collapsedLevelsAreSubtotals="1" fieldPosition="0">
        <references count="2">
          <reference field="4294967294" count="1" selected="0">
            <x v="0"/>
          </reference>
          <reference field="10" count="1">
            <x v="10"/>
          </reference>
        </references>
      </pivotArea>
    </format>
    <format dxfId="56">
      <pivotArea collapsedLevelsAreSubtotals="1" fieldPosition="0">
        <references count="2">
          <reference field="4294967294" count="1" selected="0">
            <x v="0"/>
          </reference>
          <reference field="10" count="1">
            <x v="10"/>
          </reference>
        </references>
      </pivotArea>
    </format>
    <format dxfId="55">
      <pivotArea collapsedLevelsAreSubtotals="1" fieldPosition="0">
        <references count="2">
          <reference field="4294967294" count="1" selected="0">
            <x v="0"/>
          </reference>
          <reference field="10" count="0"/>
        </references>
      </pivotArea>
    </format>
    <format dxfId="54">
      <pivotArea collapsedLevelsAreSubtotals="1" fieldPosition="0">
        <references count="2">
          <reference field="4294967294" count="1" selected="0">
            <x v="0"/>
          </reference>
          <reference field="10" count="1">
            <x v="7"/>
          </reference>
        </references>
      </pivotArea>
    </format>
    <format dxfId="53">
      <pivotArea collapsedLevelsAreSubtotals="1" fieldPosition="0">
        <references count="2">
          <reference field="4294967294" count="1" selected="0">
            <x v="0"/>
          </reference>
          <reference field="10" count="1">
            <x v="5"/>
          </reference>
        </references>
      </pivotArea>
    </format>
    <format dxfId="52">
      <pivotArea collapsedLevelsAreSubtotals="1" fieldPosition="0">
        <references count="2">
          <reference field="4294967294" count="1" selected="0">
            <x v="0"/>
          </reference>
          <reference field="10" count="1">
            <x v="6"/>
          </reference>
        </references>
      </pivotArea>
    </format>
    <format dxfId="51">
      <pivotArea collapsedLevelsAreSubtotals="1" fieldPosition="0">
        <references count="2">
          <reference field="4294967294" count="1" selected="0">
            <x v="0"/>
          </reference>
          <reference field="10" count="1">
            <x v="2"/>
          </reference>
        </references>
      </pivotArea>
    </format>
    <format dxfId="50">
      <pivotArea collapsedLevelsAreSubtotals="1" fieldPosition="0">
        <references count="2">
          <reference field="4294967294" count="1" selected="0">
            <x v="0"/>
          </reference>
          <reference field="10" count="1">
            <x v="1"/>
          </reference>
        </references>
      </pivotArea>
    </format>
    <format dxfId="49">
      <pivotArea collapsedLevelsAreSubtotals="1" fieldPosition="0">
        <references count="2">
          <reference field="4294967294" count="1" selected="0">
            <x v="0"/>
          </reference>
          <reference field="10" count="1">
            <x v="9"/>
          </reference>
        </references>
      </pivotArea>
    </format>
    <format dxfId="48">
      <pivotArea collapsedLevelsAreSubtotals="1" fieldPosition="0">
        <references count="2">
          <reference field="4294967294" count="1" selected="0">
            <x v="0"/>
          </reference>
          <reference field="10" count="1">
            <x v="4"/>
          </reference>
        </references>
      </pivotArea>
    </format>
    <format dxfId="47">
      <pivotArea collapsedLevelsAreSubtotals="1" fieldPosition="0">
        <references count="2">
          <reference field="4294967294" count="1" selected="0">
            <x v="0"/>
          </reference>
          <reference field="10" count="1">
            <x v="10"/>
          </reference>
        </references>
      </pivotArea>
    </format>
    <format dxfId="46">
      <pivotArea collapsedLevelsAreSubtotals="1" fieldPosition="0">
        <references count="2">
          <reference field="4294967294" count="1" selected="0">
            <x v="0"/>
          </reference>
          <reference field="10" count="1">
            <x v="0"/>
          </reference>
        </references>
      </pivotArea>
    </format>
    <format dxfId="45">
      <pivotArea collapsedLevelsAreSubtotals="1" fieldPosition="0">
        <references count="2">
          <reference field="4294967294" count="1" selected="0">
            <x v="1"/>
          </reference>
          <reference field="10" count="1">
            <x v="6"/>
          </reference>
        </references>
      </pivotArea>
    </format>
    <format dxfId="44">
      <pivotArea collapsedLevelsAreSubtotals="1" fieldPosition="0">
        <references count="2">
          <reference field="4294967294" count="1" selected="0">
            <x v="0"/>
          </reference>
          <reference field="10" count="1">
            <x v="11"/>
          </reference>
        </references>
      </pivotArea>
    </format>
    <format dxfId="43">
      <pivotArea collapsedLevelsAreSubtotals="1" fieldPosition="0">
        <references count="2">
          <reference field="4294967294" count="1" selected="0">
            <x v="0"/>
          </reference>
          <reference field="10" count="1">
            <x v="1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116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23:B29" firstHeaderRow="1" firstDataRow="1" firstDataCol="1"/>
  <pivotFields count="31">
    <pivotField showAll="0"/>
    <pivotField showAll="0"/>
    <pivotField showAll="0"/>
    <pivotField showAll="0"/>
    <pivotField axis="axisRow" showAll="0">
      <items count="10">
        <item x="2"/>
        <item x="1"/>
        <item x="5"/>
        <item h="1" x="3"/>
        <item h="1" x="0"/>
        <item x="7"/>
        <item h="1" x="4"/>
        <item x="6"/>
        <item h="1"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5"/>
    </i>
    <i>
      <x v="7"/>
    </i>
    <i t="grand">
      <x/>
    </i>
  </rowItems>
  <colItems count="1">
    <i/>
  </colItems>
  <dataFields count="1">
    <dataField name="Sum of Amount" fld="13" baseField="0" baseItem="0" numFmtId="2"/>
  </dataFields>
  <formats count="1">
    <format dxfId="7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117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:C10" firstHeaderRow="0" firstDataRow="1" firstDataCol="1"/>
  <pivotFields count="3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3"/>
        <item x="0"/>
        <item x="4"/>
        <item h="1" x="2"/>
        <item x="5"/>
        <item x="1"/>
        <item x="7"/>
        <item x="8"/>
        <item h="1" x="9"/>
        <item x="6"/>
        <item m="1" x="10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9">
    <i>
      <x/>
    </i>
    <i>
      <x v="1"/>
    </i>
    <i>
      <x v="2"/>
    </i>
    <i>
      <x v="4"/>
    </i>
    <i>
      <x v="5"/>
    </i>
    <i>
      <x v="6"/>
    </i>
    <i>
      <x v="7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12" baseField="0" baseItem="0" numFmtId="2"/>
    <dataField name="Sum of Amount" fld="13" baseField="0" baseItem="0" numFmtId="2"/>
  </dataFields>
  <formats count="8">
    <format dxfId="3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3">
      <pivotArea collapsedLevelsAreSubtotals="1" fieldPosition="0">
        <references count="2">
          <reference field="4294967294" count="1" selected="0">
            <x v="0"/>
          </reference>
          <reference field="10" count="3">
            <x v="0"/>
            <x v="1"/>
            <x v="2"/>
          </reference>
        </references>
      </pivotArea>
    </format>
    <format dxfId="32">
      <pivotArea collapsedLevelsAreSubtotals="1" fieldPosition="0">
        <references count="2">
          <reference field="4294967294" count="1" selected="0">
            <x v="0"/>
          </reference>
          <reference field="10" count="0"/>
        </references>
      </pivotArea>
    </format>
    <format dxfId="31">
      <pivotArea collapsedLevelsAreSubtotals="1" fieldPosition="0">
        <references count="2">
          <reference field="4294967294" count="1" selected="0">
            <x v="0"/>
          </reference>
          <reference field="10" count="1">
            <x v="0"/>
          </reference>
        </references>
      </pivotArea>
    </format>
    <format dxfId="30">
      <pivotArea collapsedLevelsAreSubtotals="1" fieldPosition="0">
        <references count="2">
          <reference field="4294967294" count="1" selected="0">
            <x v="0"/>
          </reference>
          <reference field="10" count="1">
            <x v="0"/>
          </reference>
        </references>
      </pivotArea>
    </format>
    <format dxfId="29">
      <pivotArea collapsedLevelsAreSubtotals="1" fieldPosition="0">
        <references count="2">
          <reference field="4294967294" count="1" selected="0">
            <x v="0"/>
          </reference>
          <reference field="10" count="1">
            <x v="0"/>
          </reference>
        </references>
      </pivotArea>
    </format>
    <format dxfId="28">
      <pivotArea collapsedLevelsAreSubtotals="1" fieldPosition="0">
        <references count="2">
          <reference field="4294967294" count="1" selected="0">
            <x v="0"/>
          </reference>
          <reference field="1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" cacheId="117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6:B25" firstHeaderRow="1" firstDataRow="1" firstDataCol="1"/>
  <pivotFields count="31">
    <pivotField showAll="0"/>
    <pivotField showAll="0"/>
    <pivotField showAll="0"/>
    <pivotField showAll="0"/>
    <pivotField axis="axisRow" showAll="0">
      <items count="10">
        <item x="6"/>
        <item x="1"/>
        <item x="0"/>
        <item x="2"/>
        <item x="3"/>
        <item x="7"/>
        <item h="1" x="8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7"/>
    </i>
    <i>
      <x v="8"/>
    </i>
    <i t="grand">
      <x/>
    </i>
  </rowItems>
  <colItems count="1">
    <i/>
  </colItems>
  <dataFields count="1">
    <dataField name="Sum of Amount" fld="13" baseField="0" baseItem="0" numFmtId="2"/>
  </dataFields>
  <formats count="7">
    <format dxfId="42">
      <pivotArea outline="0" collapsedLevelsAreSubtotals="1" fieldPosition="0"/>
    </format>
    <format dxfId="41">
      <pivotArea grandRow="1" outline="0" collapsedLevelsAreSubtotals="1" fieldPosition="0"/>
    </format>
    <format dxfId="40">
      <pivotArea dataOnly="0" labelOnly="1" grandRow="1" outline="0" fieldPosition="0"/>
    </format>
    <format dxfId="39">
      <pivotArea collapsedLevelsAreSubtotals="1" fieldPosition="0">
        <references count="1">
          <reference field="4" count="0"/>
        </references>
      </pivotArea>
    </format>
    <format dxfId="38">
      <pivotArea field="4" type="button" dataOnly="0" labelOnly="1" outline="0" axis="axisRow" fieldPosition="0"/>
    </format>
    <format dxfId="37">
      <pivotArea dataOnly="0" labelOnly="1" outline="0" axis="axisValues" fieldPosition="0"/>
    </format>
    <format dxfId="36">
      <pivotArea dataOnly="0" labelOnly="1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2" cacheId="12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B3:C28" firstHeaderRow="1" firstDataRow="1" firstDataCol="1"/>
  <pivotFields count="67">
    <pivotField showAll="0"/>
    <pivotField showAll="0"/>
    <pivotField showAll="0"/>
    <pivotField showAll="0"/>
    <pivotField axis="axisRow" showAll="0">
      <items count="25">
        <item x="9"/>
        <item x="13"/>
        <item x="2"/>
        <item x="0"/>
        <item x="3"/>
        <item x="1"/>
        <item x="10"/>
        <item x="7"/>
        <item x="14"/>
        <item x="5"/>
        <item x="16"/>
        <item x="6"/>
        <item x="4"/>
        <item x="17"/>
        <item x="19"/>
        <item x="20"/>
        <item x="21"/>
        <item x="22"/>
        <item x="8"/>
        <item x="18"/>
        <item x="23"/>
        <item x="12"/>
        <item x="11"/>
        <item x="15"/>
        <item t="default"/>
      </items>
    </pivotField>
    <pivotField showAll="0" defaultSubtota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/>
    <pivotField showAll="0"/>
    <pivotField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</pivotFields>
  <rowFields count="1">
    <field x="4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Recdqty" fld="10" baseField="0" baseItem="0" numFmtId="2"/>
  </dataFields>
  <formats count="28">
    <format dxfId="27">
      <pivotArea outline="0" collapsedLevelsAreSubtotals="1" fieldPosition="0"/>
    </format>
    <format dxfId="26">
      <pivotArea grandRow="1" outline="0" collapsedLevelsAreSubtotals="1" fieldPosition="0"/>
    </format>
    <format dxfId="25">
      <pivotArea dataOnly="0" labelOnly="1" grandRow="1" outline="0" fieldPosition="0"/>
    </format>
    <format dxfId="24">
      <pivotArea grandRow="1" outline="0" collapsedLevelsAreSubtotals="1" fieldPosition="0"/>
    </format>
    <format dxfId="23">
      <pivotArea dataOnly="0" labelOnly="1" fieldPosition="0">
        <references count="1">
          <reference field="4" count="2">
            <x v="6"/>
            <x v="7"/>
          </reference>
        </references>
      </pivotArea>
    </format>
    <format dxfId="22">
      <pivotArea field="4" type="button" dataOnly="0" labelOnly="1" outline="0" axis="axisRow" fieldPosition="0"/>
    </format>
    <format dxfId="21">
      <pivotArea dataOnly="0" labelOnly="1" outline="0" axis="axisValues" fieldPosition="0"/>
    </format>
    <format dxfId="20">
      <pivotArea collapsedLevelsAreSubtotals="1" fieldPosition="0">
        <references count="1">
          <reference field="4" count="0"/>
        </references>
      </pivotArea>
    </format>
    <format dxfId="19">
      <pivotArea collapsedLevelsAreSubtotals="1" fieldPosition="0">
        <references count="1">
          <reference field="4" count="1">
            <x v="8"/>
          </reference>
        </references>
      </pivotArea>
    </format>
    <format dxfId="18">
      <pivotArea collapsedLevelsAreSubtotals="1" fieldPosition="0">
        <references count="1">
          <reference field="4" count="0"/>
        </references>
      </pivotArea>
    </format>
    <format dxfId="17">
      <pivotArea collapsedLevelsAreSubtotals="1" fieldPosition="0">
        <references count="1">
          <reference field="4" count="1">
            <x v="8"/>
          </reference>
        </references>
      </pivotArea>
    </format>
    <format dxfId="16">
      <pivotArea collapsedLevelsAreSubtotals="1" fieldPosition="0">
        <references count="1">
          <reference field="4" count="1">
            <x v="9"/>
          </reference>
        </references>
      </pivotArea>
    </format>
    <format dxfId="15">
      <pivotArea collapsedLevelsAreSubtotals="1" fieldPosition="0">
        <references count="1">
          <reference field="4" count="2">
            <x v="8"/>
            <x v="9"/>
          </reference>
        </references>
      </pivotArea>
    </format>
    <format dxfId="14">
      <pivotArea collapsedLevelsAreSubtotals="1" fieldPosition="0">
        <references count="1">
          <reference field="4" count="0"/>
        </references>
      </pivotArea>
    </format>
    <format dxfId="13">
      <pivotArea collapsedLevelsAreSubtotals="1" fieldPosition="0">
        <references count="1">
          <reference field="4" count="0"/>
        </references>
      </pivotArea>
    </format>
    <format dxfId="12">
      <pivotArea collapsedLevelsAreSubtotals="1" fieldPosition="0">
        <references count="1">
          <reference field="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11">
      <pivotArea collapsedLevelsAreSubtotals="1" fieldPosition="0">
        <references count="1">
          <reference field="4" count="2">
            <x v="10"/>
            <x v="11"/>
          </reference>
        </references>
      </pivotArea>
    </format>
    <format dxfId="10">
      <pivotArea collapsedLevelsAreSubtotals="1" fieldPosition="0">
        <references count="1">
          <reference field="4" count="1">
            <x v="1"/>
          </reference>
        </references>
      </pivotArea>
    </format>
    <format dxfId="9">
      <pivotArea collapsedLevelsAreSubtotals="1" fieldPosition="0">
        <references count="1">
          <reference field="4" count="1">
            <x v="0"/>
          </reference>
        </references>
      </pivotArea>
    </format>
    <format dxfId="8">
      <pivotArea collapsedLevelsAreSubtotals="1" fieldPosition="0">
        <references count="1">
          <reference field="4" count="1">
            <x v="2"/>
          </reference>
        </references>
      </pivotArea>
    </format>
    <format dxfId="7">
      <pivotArea collapsedLevelsAreSubtotals="1" fieldPosition="0">
        <references count="1">
          <reference field="4" count="2">
            <x v="6"/>
            <x v="7"/>
          </reference>
        </references>
      </pivotArea>
    </format>
    <format dxfId="6">
      <pivotArea collapsedLevelsAreSubtotals="1" fieldPosition="0">
        <references count="1">
          <reference field="4" count="1">
            <x v="10"/>
          </reference>
        </references>
      </pivotArea>
    </format>
    <format dxfId="5">
      <pivotArea collapsedLevelsAreSubtotals="1" fieldPosition="0">
        <references count="1">
          <reference field="4" count="1">
            <x v="5"/>
          </reference>
        </references>
      </pivotArea>
    </format>
    <format dxfId="4">
      <pivotArea collapsedLevelsAreSubtotals="1" fieldPosition="0">
        <references count="1">
          <reference field="4" count="1">
            <x v="4"/>
          </reference>
        </references>
      </pivotArea>
    </format>
    <format dxfId="3">
      <pivotArea collapsedLevelsAreSubtotals="1" fieldPosition="0">
        <references count="1">
          <reference field="4" count="1">
            <x v="3"/>
          </reference>
        </references>
      </pivotArea>
    </format>
    <format dxfId="2">
      <pivotArea collapsedLevelsAreSubtotals="1" fieldPosition="0">
        <references count="1">
          <reference field="4" count="1">
            <x v="11"/>
          </reference>
        </references>
      </pivotArea>
    </format>
    <format dxfId="1">
      <pivotArea collapsedLevelsAreSubtotals="1" fieldPosition="0">
        <references count="1">
          <reference field="4" count="1">
            <x v="8"/>
          </reference>
        </references>
      </pivotArea>
    </format>
    <format dxfId="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"/>
  <sheetViews>
    <sheetView workbookViewId="0">
      <selection activeCell="B3" sqref="B3"/>
    </sheetView>
  </sheetViews>
  <sheetFormatPr defaultRowHeight="15"/>
  <cols>
    <col min="1" max="1" width="13.140625" style="27" customWidth="1"/>
    <col min="2" max="2" width="15" style="27" bestFit="1" customWidth="1"/>
    <col min="3" max="3" width="7.85546875" style="27" customWidth="1"/>
    <col min="4" max="4" width="8.42578125" style="27" customWidth="1"/>
    <col min="5" max="5" width="26" style="27" bestFit="1" customWidth="1"/>
    <col min="6" max="6" width="22.28515625" style="27" bestFit="1" customWidth="1"/>
    <col min="7" max="7" width="11.85546875" style="27" bestFit="1" customWidth="1"/>
    <col min="8" max="8" width="23.42578125" style="27" bestFit="1" customWidth="1"/>
    <col min="9" max="10" width="31" style="27" bestFit="1" customWidth="1"/>
    <col min="11" max="11" width="10.140625" style="27" bestFit="1" customWidth="1"/>
    <col min="12" max="12" width="15.140625" style="27" bestFit="1" customWidth="1"/>
    <col min="13" max="13" width="18.140625" style="27" bestFit="1" customWidth="1"/>
    <col min="14" max="14" width="13" style="27" bestFit="1" customWidth="1"/>
    <col min="15" max="15" width="19.140625" style="27" bestFit="1" customWidth="1"/>
    <col min="16" max="16" width="25" style="27" bestFit="1" customWidth="1"/>
    <col min="17" max="17" width="12" style="27" bestFit="1" customWidth="1"/>
    <col min="18" max="18" width="12.5703125" style="27" bestFit="1" customWidth="1"/>
    <col min="19" max="19" width="12.28515625" style="27" bestFit="1" customWidth="1"/>
    <col min="20" max="20" width="13.85546875" style="27" bestFit="1" customWidth="1"/>
    <col min="21" max="21" width="13" style="27" bestFit="1" customWidth="1"/>
    <col min="22" max="22" width="13.42578125" style="27" bestFit="1" customWidth="1"/>
    <col min="23" max="23" width="9.85546875" style="27" bestFit="1" customWidth="1"/>
    <col min="24" max="24" width="18" style="27" bestFit="1" customWidth="1"/>
    <col min="25" max="16384" width="9.140625" style="27"/>
  </cols>
  <sheetData>
    <row r="1" spans="1:24">
      <c r="A1" s="3" t="s">
        <v>83</v>
      </c>
      <c r="B1" t="s">
        <v>2185</v>
      </c>
      <c r="C1"/>
      <c r="D1"/>
      <c r="E1"/>
    </row>
    <row r="2" spans="1:24">
      <c r="A2" s="425" t="s">
        <v>3534</v>
      </c>
      <c r="B2" s="4"/>
      <c r="C2"/>
      <c r="D2"/>
      <c r="E2"/>
    </row>
    <row r="3" spans="1:24">
      <c r="A3" s="293" t="s">
        <v>3534</v>
      </c>
      <c r="B3" s="4"/>
      <c r="C3"/>
      <c r="D3"/>
      <c r="E3"/>
    </row>
    <row r="4" spans="1:24">
      <c r="A4" s="425" t="s">
        <v>84</v>
      </c>
      <c r="B4" s="4"/>
      <c r="C4"/>
      <c r="D4"/>
      <c r="E4"/>
    </row>
    <row r="5" spans="1:24">
      <c r="A5"/>
      <c r="B5"/>
      <c r="C5"/>
      <c r="D5"/>
      <c r="E5"/>
    </row>
    <row r="6" spans="1:24">
      <c r="A6"/>
      <c r="B6"/>
      <c r="C6"/>
      <c r="D6"/>
      <c r="E6"/>
    </row>
    <row r="7" spans="1:24">
      <c r="A7"/>
      <c r="B7"/>
      <c r="C7"/>
      <c r="D7"/>
      <c r="E7"/>
    </row>
    <row r="8" spans="1:24">
      <c r="A8"/>
      <c r="B8"/>
      <c r="C8"/>
      <c r="D8"/>
      <c r="E8"/>
    </row>
    <row r="9" spans="1:24">
      <c r="A9"/>
      <c r="B9"/>
      <c r="C9"/>
    </row>
    <row r="10" spans="1:24">
      <c r="A10" s="369"/>
      <c r="B10" s="369"/>
      <c r="C10" s="369"/>
    </row>
    <row r="11" spans="1:24">
      <c r="A11"/>
      <c r="B11"/>
      <c r="C11"/>
      <c r="D11" s="72"/>
      <c r="E11" s="306" t="s">
        <v>2184</v>
      </c>
      <c r="F11" s="365" t="s">
        <v>177</v>
      </c>
      <c r="G11" s="365" t="s">
        <v>2183</v>
      </c>
      <c r="H11" s="365" t="s">
        <v>157</v>
      </c>
      <c r="I11" s="365" t="s">
        <v>2182</v>
      </c>
      <c r="J11" s="365" t="s">
        <v>2181</v>
      </c>
      <c r="K11" s="365" t="s">
        <v>162</v>
      </c>
      <c r="L11" s="365" t="s">
        <v>163</v>
      </c>
      <c r="M11" s="365" t="s">
        <v>164</v>
      </c>
      <c r="N11" s="365" t="s">
        <v>2180</v>
      </c>
      <c r="O11" s="365" t="s">
        <v>2179</v>
      </c>
      <c r="P11" s="365" t="s">
        <v>243</v>
      </c>
      <c r="Q11" s="365" t="s">
        <v>244</v>
      </c>
      <c r="R11" s="365" t="s">
        <v>2178</v>
      </c>
      <c r="S11" s="365" t="s">
        <v>249</v>
      </c>
      <c r="T11" s="365" t="s">
        <v>2177</v>
      </c>
      <c r="U11" s="365" t="s">
        <v>2176</v>
      </c>
      <c r="V11" s="365" t="s">
        <v>2175</v>
      </c>
      <c r="W11" s="365" t="s">
        <v>2174</v>
      </c>
      <c r="X11" s="365" t="s">
        <v>2173</v>
      </c>
    </row>
  </sheetData>
  <autoFilter ref="E11:X1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24"/>
  <sheetViews>
    <sheetView workbookViewId="0">
      <selection activeCell="B5" sqref="B5"/>
    </sheetView>
  </sheetViews>
  <sheetFormatPr defaultRowHeight="15"/>
  <cols>
    <col min="1" max="1" width="13.85546875" style="359" customWidth="1"/>
    <col min="2" max="2" width="19" style="359" bestFit="1" customWidth="1"/>
    <col min="3" max="6" width="9.140625" style="287"/>
    <col min="7" max="7" width="29.85546875" style="287" bestFit="1" customWidth="1"/>
    <col min="8" max="8" width="10.7109375" style="11" bestFit="1" customWidth="1"/>
    <col min="9" max="9" width="17.5703125" style="287" bestFit="1" customWidth="1"/>
    <col min="10" max="10" width="8.42578125" style="287" bestFit="1" customWidth="1"/>
    <col min="11" max="11" width="26.7109375" style="287" bestFit="1" customWidth="1"/>
    <col min="12" max="12" width="11.140625" style="287" bestFit="1" customWidth="1"/>
    <col min="13" max="13" width="5.5703125" style="287" bestFit="1" customWidth="1"/>
    <col min="14" max="14" width="7.85546875" style="287" bestFit="1" customWidth="1"/>
    <col min="15" max="15" width="8.7109375" style="287" bestFit="1" customWidth="1"/>
    <col min="16" max="16" width="4" style="287" bestFit="1" customWidth="1"/>
    <col min="17" max="17" width="7" style="287" bestFit="1" customWidth="1"/>
    <col min="18" max="18" width="9.42578125" style="287" bestFit="1" customWidth="1"/>
    <col min="19" max="19" width="10" style="287" bestFit="1" customWidth="1"/>
    <col min="20" max="20" width="11.140625" style="287" bestFit="1" customWidth="1"/>
    <col min="21" max="22" width="26.28515625" style="287" bestFit="1" customWidth="1"/>
    <col min="23" max="23" width="8.85546875" style="287" bestFit="1" customWidth="1"/>
    <col min="24" max="24" width="10.7109375" style="287" bestFit="1" customWidth="1"/>
    <col min="25" max="25" width="7.140625" style="287" bestFit="1" customWidth="1"/>
    <col min="26" max="27" width="9.5703125" style="287" bestFit="1" customWidth="1"/>
    <col min="28" max="28" width="4.5703125" style="287" bestFit="1" customWidth="1"/>
    <col min="29" max="29" width="6.85546875" style="287" bestFit="1" customWidth="1"/>
    <col min="30" max="30" width="10" style="287" bestFit="1" customWidth="1"/>
    <col min="31" max="31" width="10.7109375" style="287" bestFit="1" customWidth="1"/>
    <col min="32" max="32" width="10.85546875" style="287" bestFit="1" customWidth="1"/>
    <col min="33" max="33" width="16" style="287" bestFit="1" customWidth="1"/>
    <col min="34" max="34" width="4.42578125" style="287" bestFit="1" customWidth="1"/>
    <col min="35" max="35" width="15.28515625" style="287" bestFit="1" customWidth="1"/>
    <col min="36" max="36" width="15.140625" style="287" bestFit="1" customWidth="1"/>
    <col min="37" max="37" width="7.140625" style="287" bestFit="1" customWidth="1"/>
    <col min="38" max="38" width="8" style="287" bestFit="1" customWidth="1"/>
    <col min="39" max="39" width="11.28515625" style="287" bestFit="1" customWidth="1"/>
    <col min="40" max="40" width="12.42578125" style="287" bestFit="1" customWidth="1"/>
    <col min="41" max="41" width="14" style="287" bestFit="1" customWidth="1"/>
    <col min="42" max="42" width="11.7109375" style="287" bestFit="1" customWidth="1"/>
    <col min="43" max="43" width="9.140625" style="287" bestFit="1" customWidth="1"/>
    <col min="44" max="44" width="11.7109375" style="287" bestFit="1" customWidth="1"/>
    <col min="45" max="45" width="6.28515625" style="287" bestFit="1" customWidth="1"/>
    <col min="46" max="46" width="6.5703125" style="287" bestFit="1" customWidth="1"/>
    <col min="47" max="47" width="7.7109375" style="287" bestFit="1" customWidth="1"/>
    <col min="48" max="48" width="9.85546875" style="287" bestFit="1" customWidth="1"/>
    <col min="49" max="49" width="9" style="287" bestFit="1" customWidth="1"/>
    <col min="50" max="50" width="11.5703125" style="287" bestFit="1" customWidth="1"/>
    <col min="51" max="51" width="9" style="287" bestFit="1" customWidth="1"/>
    <col min="52" max="52" width="5" style="287" bestFit="1" customWidth="1"/>
    <col min="53" max="53" width="9.5703125" style="287" bestFit="1" customWidth="1"/>
    <col min="54" max="54" width="13.85546875" style="287" bestFit="1" customWidth="1"/>
    <col min="55" max="55" width="14.140625" style="287" bestFit="1" customWidth="1"/>
    <col min="56" max="56" width="9" style="287" bestFit="1" customWidth="1"/>
    <col min="57" max="57" width="8.5703125" style="287" bestFit="1" customWidth="1"/>
    <col min="58" max="58" width="11" style="287" bestFit="1" customWidth="1"/>
    <col min="59" max="59" width="11.28515625" style="287" bestFit="1" customWidth="1"/>
    <col min="60" max="60" width="13" style="287" bestFit="1" customWidth="1"/>
    <col min="61" max="61" width="15.28515625" style="287" bestFit="1" customWidth="1"/>
    <col min="62" max="62" width="8.28515625" style="287" bestFit="1" customWidth="1"/>
    <col min="63" max="63" width="10.5703125" style="287" bestFit="1" customWidth="1"/>
    <col min="64" max="64" width="7.28515625" style="287" bestFit="1" customWidth="1"/>
    <col min="65" max="65" width="10.5703125" style="287" bestFit="1" customWidth="1"/>
    <col min="66" max="66" width="7.28515625" style="287" bestFit="1" customWidth="1"/>
    <col min="67" max="67" width="10.5703125" style="287" bestFit="1" customWidth="1"/>
    <col min="68" max="68" width="6.85546875" style="287" bestFit="1" customWidth="1"/>
    <col min="69" max="69" width="10.140625" style="287" bestFit="1" customWidth="1"/>
    <col min="70" max="70" width="9.140625" style="287" bestFit="1" customWidth="1"/>
    <col min="71" max="71" width="10.42578125" style="11" bestFit="1" customWidth="1"/>
    <col min="72" max="72" width="15.85546875" style="287" bestFit="1" customWidth="1"/>
    <col min="73" max="73" width="6.42578125" style="287" bestFit="1" customWidth="1"/>
    <col min="74" max="16384" width="9.140625" style="287"/>
  </cols>
  <sheetData>
    <row r="1" spans="1:73">
      <c r="A1" s="3" t="s">
        <v>83</v>
      </c>
      <c r="B1" t="s">
        <v>2202</v>
      </c>
      <c r="C1"/>
      <c r="F1" s="64"/>
    </row>
    <row r="2" spans="1:73">
      <c r="A2" s="425" t="s">
        <v>250</v>
      </c>
      <c r="B2" s="4">
        <v>162.33999999999997</v>
      </c>
      <c r="C2"/>
      <c r="F2" s="65"/>
    </row>
    <row r="3" spans="1:73">
      <c r="A3" s="425" t="s">
        <v>252</v>
      </c>
      <c r="B3" s="4">
        <v>848.3</v>
      </c>
      <c r="C3"/>
      <c r="F3" s="65"/>
    </row>
    <row r="4" spans="1:73">
      <c r="A4" s="425" t="s">
        <v>3534</v>
      </c>
      <c r="B4" s="4"/>
      <c r="C4"/>
      <c r="F4" s="65"/>
    </row>
    <row r="5" spans="1:73">
      <c r="A5" s="425" t="s">
        <v>84</v>
      </c>
      <c r="B5" s="4">
        <v>1010.6399999999999</v>
      </c>
      <c r="C5"/>
      <c r="F5" s="65"/>
    </row>
    <row r="6" spans="1:73">
      <c r="A6"/>
      <c r="B6"/>
      <c r="C6"/>
      <c r="F6" s="65"/>
    </row>
    <row r="7" spans="1:73">
      <c r="A7"/>
      <c r="B7"/>
      <c r="C7"/>
      <c r="F7" s="20"/>
      <c r="G7" s="20"/>
      <c r="H7" s="67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67"/>
      <c r="BT7" s="20"/>
      <c r="BU7" s="20"/>
    </row>
    <row r="8" spans="1:73">
      <c r="A8"/>
      <c r="B8"/>
      <c r="C8"/>
      <c r="F8" s="123"/>
      <c r="G8" s="306" t="s">
        <v>161</v>
      </c>
      <c r="H8" s="422" t="s">
        <v>25</v>
      </c>
      <c r="I8" s="422" t="s">
        <v>165</v>
      </c>
      <c r="J8" s="422" t="s">
        <v>166</v>
      </c>
      <c r="K8" s="422" t="s">
        <v>167</v>
      </c>
      <c r="L8" s="422" t="s">
        <v>592</v>
      </c>
      <c r="M8" s="422" t="s">
        <v>168</v>
      </c>
      <c r="N8" s="422" t="s">
        <v>169</v>
      </c>
      <c r="O8" s="422" t="s">
        <v>170</v>
      </c>
      <c r="P8" s="422" t="s">
        <v>0</v>
      </c>
      <c r="Q8" s="422" t="s">
        <v>171</v>
      </c>
      <c r="R8" s="422" t="s">
        <v>172</v>
      </c>
      <c r="S8" s="422" t="s">
        <v>173</v>
      </c>
      <c r="T8" s="422" t="s">
        <v>174</v>
      </c>
      <c r="U8" s="422" t="s">
        <v>175</v>
      </c>
      <c r="V8" s="422" t="s">
        <v>176</v>
      </c>
      <c r="W8" s="422" t="s">
        <v>177</v>
      </c>
      <c r="X8" s="422" t="s">
        <v>178</v>
      </c>
      <c r="Y8" s="422" t="s">
        <v>179</v>
      </c>
      <c r="Z8" s="422" t="s">
        <v>180</v>
      </c>
      <c r="AA8" s="422" t="s">
        <v>181</v>
      </c>
      <c r="AB8" s="422" t="s">
        <v>182</v>
      </c>
      <c r="AC8" s="422" t="s">
        <v>38</v>
      </c>
      <c r="AD8" s="422" t="s">
        <v>183</v>
      </c>
      <c r="AE8" s="422" t="s">
        <v>158</v>
      </c>
      <c r="AF8" s="422" t="s">
        <v>593</v>
      </c>
      <c r="AG8" s="422" t="s">
        <v>143</v>
      </c>
      <c r="AH8" s="422" t="s">
        <v>594</v>
      </c>
      <c r="AI8" s="422" t="s">
        <v>184</v>
      </c>
      <c r="AJ8" s="422" t="s">
        <v>185</v>
      </c>
      <c r="AK8" s="422" t="s">
        <v>595</v>
      </c>
      <c r="AL8" s="422" t="s">
        <v>596</v>
      </c>
      <c r="AM8" s="422" t="s">
        <v>597</v>
      </c>
      <c r="AN8" s="422" t="s">
        <v>598</v>
      </c>
      <c r="AO8" s="422" t="s">
        <v>599</v>
      </c>
      <c r="AP8" s="422" t="s">
        <v>600</v>
      </c>
      <c r="AQ8" s="422" t="s">
        <v>601</v>
      </c>
      <c r="AR8" s="422" t="s">
        <v>602</v>
      </c>
      <c r="AS8" s="422" t="s">
        <v>603</v>
      </c>
      <c r="AT8" s="422" t="s">
        <v>604</v>
      </c>
      <c r="AU8" s="422" t="s">
        <v>605</v>
      </c>
      <c r="AV8" s="422" t="s">
        <v>606</v>
      </c>
      <c r="AW8" s="422" t="s">
        <v>607</v>
      </c>
      <c r="AX8" s="422" t="s">
        <v>608</v>
      </c>
      <c r="AY8" s="422" t="s">
        <v>186</v>
      </c>
      <c r="AZ8" s="422" t="s">
        <v>162</v>
      </c>
      <c r="BA8" s="422" t="s">
        <v>163</v>
      </c>
      <c r="BB8" s="422" t="s">
        <v>164</v>
      </c>
      <c r="BC8" s="422" t="s">
        <v>187</v>
      </c>
      <c r="BD8" s="422" t="s">
        <v>188</v>
      </c>
      <c r="BE8" s="422" t="s">
        <v>189</v>
      </c>
      <c r="BF8" s="422" t="s">
        <v>190</v>
      </c>
      <c r="BG8" s="422" t="s">
        <v>191</v>
      </c>
      <c r="BH8" s="422" t="s">
        <v>192</v>
      </c>
      <c r="BI8" s="422" t="s">
        <v>193</v>
      </c>
      <c r="BJ8" s="422" t="s">
        <v>194</v>
      </c>
      <c r="BK8" s="422" t="s">
        <v>195</v>
      </c>
      <c r="BL8" s="422" t="s">
        <v>196</v>
      </c>
      <c r="BM8" s="422" t="s">
        <v>197</v>
      </c>
      <c r="BN8" s="422" t="s">
        <v>198</v>
      </c>
      <c r="BO8" s="422" t="s">
        <v>199</v>
      </c>
      <c r="BP8" s="422" t="s">
        <v>200</v>
      </c>
      <c r="BQ8" s="422" t="s">
        <v>201</v>
      </c>
      <c r="BR8" s="422" t="s">
        <v>202</v>
      </c>
      <c r="BS8" s="422" t="s">
        <v>203</v>
      </c>
      <c r="BT8" s="422" t="s">
        <v>204</v>
      </c>
      <c r="BU8" s="422" t="s">
        <v>205</v>
      </c>
    </row>
    <row r="9" spans="1:73">
      <c r="F9" s="123"/>
      <c r="G9" s="176" t="s">
        <v>2216</v>
      </c>
      <c r="H9" s="216" t="s">
        <v>3033</v>
      </c>
      <c r="I9" s="176" t="s">
        <v>3481</v>
      </c>
      <c r="J9" s="176" t="s">
        <v>2193</v>
      </c>
      <c r="K9" s="176" t="s">
        <v>2192</v>
      </c>
      <c r="L9" s="176" t="s">
        <v>2189</v>
      </c>
      <c r="M9" s="176" t="s">
        <v>2188</v>
      </c>
      <c r="N9" s="176">
        <v>0</v>
      </c>
      <c r="O9" s="176">
        <v>102</v>
      </c>
      <c r="P9" s="176" t="s">
        <v>11</v>
      </c>
      <c r="Q9" s="176">
        <v>102</v>
      </c>
      <c r="R9" s="176">
        <v>0</v>
      </c>
      <c r="S9" s="176">
        <v>102</v>
      </c>
      <c r="T9" s="176" t="s">
        <v>2416</v>
      </c>
      <c r="U9" s="176" t="s">
        <v>252</v>
      </c>
      <c r="V9" s="176" t="s">
        <v>252</v>
      </c>
      <c r="W9" s="176" t="s">
        <v>3482</v>
      </c>
      <c r="X9" s="211" t="s">
        <v>2569</v>
      </c>
      <c r="Y9" s="176" t="s">
        <v>2187</v>
      </c>
      <c r="Z9" s="176" t="s">
        <v>2186</v>
      </c>
      <c r="AA9" s="176" t="s">
        <v>3483</v>
      </c>
      <c r="AB9" s="176">
        <v>0</v>
      </c>
      <c r="AC9" s="176">
        <v>0</v>
      </c>
      <c r="AD9" s="176" t="s">
        <v>3482</v>
      </c>
      <c r="AE9" s="211" t="s">
        <v>2569</v>
      </c>
      <c r="AF9" s="176">
        <v>0</v>
      </c>
      <c r="AG9" s="176" t="s">
        <v>2549</v>
      </c>
      <c r="AH9" s="176"/>
      <c r="AI9" s="176" t="s">
        <v>3484</v>
      </c>
      <c r="AJ9" s="176" t="s">
        <v>2376</v>
      </c>
      <c r="AK9" s="176">
        <v>0</v>
      </c>
      <c r="AL9" s="176">
        <v>0</v>
      </c>
      <c r="AM9" s="176">
        <v>0</v>
      </c>
      <c r="AN9" s="176">
        <v>0</v>
      </c>
      <c r="AO9" s="176">
        <v>0</v>
      </c>
      <c r="AP9" s="176" t="s">
        <v>609</v>
      </c>
      <c r="AQ9" s="176">
        <v>0</v>
      </c>
      <c r="AR9" s="176">
        <v>0</v>
      </c>
      <c r="AS9" s="176">
        <v>0</v>
      </c>
      <c r="AT9" s="176">
        <v>0</v>
      </c>
      <c r="AU9" s="176">
        <v>0</v>
      </c>
      <c r="AV9" s="176"/>
      <c r="AW9" s="176">
        <v>0</v>
      </c>
      <c r="AX9" s="176">
        <v>0</v>
      </c>
      <c r="AY9" s="176">
        <v>0</v>
      </c>
      <c r="AZ9" s="176" t="s">
        <v>13</v>
      </c>
      <c r="BA9" s="176" t="s">
        <v>80</v>
      </c>
      <c r="BB9" s="176" t="s">
        <v>81</v>
      </c>
      <c r="BC9" s="176" t="s">
        <v>2191</v>
      </c>
      <c r="BD9" s="176" t="s">
        <v>209</v>
      </c>
      <c r="BE9" s="176">
        <v>0</v>
      </c>
      <c r="BF9" s="176">
        <v>0</v>
      </c>
      <c r="BG9" s="176" t="s">
        <v>3485</v>
      </c>
      <c r="BH9" s="211">
        <v>46029</v>
      </c>
      <c r="BI9" s="176" t="s">
        <v>2190</v>
      </c>
      <c r="BJ9" s="176" t="s">
        <v>210</v>
      </c>
      <c r="BK9" s="176"/>
      <c r="BL9" s="176">
        <v>0</v>
      </c>
      <c r="BM9" s="176">
        <v>0</v>
      </c>
      <c r="BN9" s="176">
        <v>0</v>
      </c>
      <c r="BO9" s="176">
        <v>0</v>
      </c>
      <c r="BP9" s="176">
        <v>0</v>
      </c>
      <c r="BQ9" s="176">
        <v>0</v>
      </c>
      <c r="BR9" s="176">
        <v>0</v>
      </c>
      <c r="BS9" s="403" t="s">
        <v>2376</v>
      </c>
      <c r="BT9" s="372">
        <v>46218.681250000001</v>
      </c>
      <c r="BU9" s="176">
        <v>102</v>
      </c>
    </row>
    <row r="10" spans="1:73">
      <c r="F10" s="123"/>
      <c r="G10" s="176" t="s">
        <v>2216</v>
      </c>
      <c r="H10" s="216" t="s">
        <v>3030</v>
      </c>
      <c r="I10" s="176" t="s">
        <v>3486</v>
      </c>
      <c r="J10" s="176" t="s">
        <v>2193</v>
      </c>
      <c r="K10" s="176" t="s">
        <v>2192</v>
      </c>
      <c r="L10" s="176" t="s">
        <v>2189</v>
      </c>
      <c r="M10" s="176" t="s">
        <v>2188</v>
      </c>
      <c r="N10" s="176">
        <v>0</v>
      </c>
      <c r="O10" s="176">
        <v>72.099999999999994</v>
      </c>
      <c r="P10" s="176" t="s">
        <v>11</v>
      </c>
      <c r="Q10" s="176">
        <v>72.099999999999994</v>
      </c>
      <c r="R10" s="176">
        <v>0</v>
      </c>
      <c r="S10" s="176">
        <v>72.099999999999994</v>
      </c>
      <c r="T10" s="176" t="s">
        <v>2416</v>
      </c>
      <c r="U10" s="176" t="s">
        <v>250</v>
      </c>
      <c r="V10" s="176" t="s">
        <v>250</v>
      </c>
      <c r="W10" s="176">
        <v>20</v>
      </c>
      <c r="X10" s="211">
        <v>46149</v>
      </c>
      <c r="Y10" s="176" t="s">
        <v>2187</v>
      </c>
      <c r="Z10" s="176" t="s">
        <v>2186</v>
      </c>
      <c r="AA10" s="176" t="s">
        <v>3487</v>
      </c>
      <c r="AB10" s="176">
        <v>0</v>
      </c>
      <c r="AC10" s="176">
        <v>0</v>
      </c>
      <c r="AD10" s="176">
        <v>20</v>
      </c>
      <c r="AE10" s="211">
        <v>46149</v>
      </c>
      <c r="AF10" s="176">
        <v>0</v>
      </c>
      <c r="AG10" s="176" t="s">
        <v>2549</v>
      </c>
      <c r="AH10" s="176"/>
      <c r="AI10" s="176" t="s">
        <v>213</v>
      </c>
      <c r="AJ10" s="176" t="s">
        <v>212</v>
      </c>
      <c r="AK10" s="176">
        <v>0</v>
      </c>
      <c r="AL10" s="176">
        <v>0</v>
      </c>
      <c r="AM10" s="176">
        <v>0</v>
      </c>
      <c r="AN10" s="176">
        <v>0</v>
      </c>
      <c r="AO10" s="176">
        <v>0</v>
      </c>
      <c r="AP10" s="176" t="s">
        <v>609</v>
      </c>
      <c r="AQ10" s="176">
        <v>0</v>
      </c>
      <c r="AR10" s="176">
        <v>0</v>
      </c>
      <c r="AS10" s="176">
        <v>0</v>
      </c>
      <c r="AT10" s="176">
        <v>0</v>
      </c>
      <c r="AU10" s="176">
        <v>0</v>
      </c>
      <c r="AV10" s="176"/>
      <c r="AW10" s="176">
        <v>0</v>
      </c>
      <c r="AX10" s="176">
        <v>0</v>
      </c>
      <c r="AY10" s="176">
        <v>0</v>
      </c>
      <c r="AZ10" s="176" t="s">
        <v>13</v>
      </c>
      <c r="BA10" s="176" t="s">
        <v>80</v>
      </c>
      <c r="BB10" s="176" t="s">
        <v>81</v>
      </c>
      <c r="BC10" s="176" t="s">
        <v>2191</v>
      </c>
      <c r="BD10" s="176" t="s">
        <v>209</v>
      </c>
      <c r="BE10" s="176">
        <v>0</v>
      </c>
      <c r="BF10" s="176">
        <v>0</v>
      </c>
      <c r="BG10" s="176" t="s">
        <v>3488</v>
      </c>
      <c r="BH10" s="211">
        <v>46302</v>
      </c>
      <c r="BI10" s="176" t="s">
        <v>2455</v>
      </c>
      <c r="BJ10" s="176" t="s">
        <v>210</v>
      </c>
      <c r="BK10" s="176"/>
      <c r="BL10" s="176">
        <v>0</v>
      </c>
      <c r="BM10" s="176">
        <v>0</v>
      </c>
      <c r="BN10" s="176">
        <v>0</v>
      </c>
      <c r="BO10" s="176">
        <v>0</v>
      </c>
      <c r="BP10" s="176">
        <v>0</v>
      </c>
      <c r="BQ10" s="176">
        <v>0</v>
      </c>
      <c r="BR10" s="176">
        <v>0</v>
      </c>
      <c r="BS10" s="403" t="s">
        <v>212</v>
      </c>
      <c r="BT10" s="372">
        <v>46219.476388888892</v>
      </c>
      <c r="BU10" s="176">
        <v>72.099999999999994</v>
      </c>
    </row>
    <row r="11" spans="1:73">
      <c r="F11" s="123"/>
      <c r="G11" s="176" t="s">
        <v>2216</v>
      </c>
      <c r="H11" s="216" t="s">
        <v>3030</v>
      </c>
      <c r="I11" s="176" t="s">
        <v>3489</v>
      </c>
      <c r="J11" s="176" t="s">
        <v>2193</v>
      </c>
      <c r="K11" s="176" t="s">
        <v>2192</v>
      </c>
      <c r="L11" s="176" t="s">
        <v>2189</v>
      </c>
      <c r="M11" s="176" t="s">
        <v>2188</v>
      </c>
      <c r="N11" s="176">
        <v>0</v>
      </c>
      <c r="O11" s="176">
        <v>25</v>
      </c>
      <c r="P11" s="176" t="s">
        <v>11</v>
      </c>
      <c r="Q11" s="176">
        <v>25</v>
      </c>
      <c r="R11" s="176">
        <v>0</v>
      </c>
      <c r="S11" s="176">
        <v>25</v>
      </c>
      <c r="T11" s="176" t="s">
        <v>2416</v>
      </c>
      <c r="U11" s="176" t="s">
        <v>252</v>
      </c>
      <c r="V11" s="176" t="s">
        <v>252</v>
      </c>
      <c r="W11" s="176" t="s">
        <v>3490</v>
      </c>
      <c r="X11" s="211" t="s">
        <v>2609</v>
      </c>
      <c r="Y11" s="176" t="s">
        <v>2187</v>
      </c>
      <c r="Z11" s="176" t="s">
        <v>2186</v>
      </c>
      <c r="AA11" s="176" t="s">
        <v>3491</v>
      </c>
      <c r="AB11" s="176">
        <v>0</v>
      </c>
      <c r="AC11" s="176">
        <v>0</v>
      </c>
      <c r="AD11" s="176" t="s">
        <v>3490</v>
      </c>
      <c r="AE11" s="211" t="s">
        <v>2609</v>
      </c>
      <c r="AF11" s="176">
        <v>0</v>
      </c>
      <c r="AG11" s="176" t="s">
        <v>2549</v>
      </c>
      <c r="AH11" s="176"/>
      <c r="AI11" s="176" t="s">
        <v>213</v>
      </c>
      <c r="AJ11" s="176" t="s">
        <v>212</v>
      </c>
      <c r="AK11" s="176">
        <v>0</v>
      </c>
      <c r="AL11" s="176">
        <v>0</v>
      </c>
      <c r="AM11" s="176">
        <v>0</v>
      </c>
      <c r="AN11" s="176">
        <v>0</v>
      </c>
      <c r="AO11" s="176">
        <v>0</v>
      </c>
      <c r="AP11" s="176" t="s">
        <v>609</v>
      </c>
      <c r="AQ11" s="176">
        <v>0</v>
      </c>
      <c r="AR11" s="176">
        <v>0</v>
      </c>
      <c r="AS11" s="176">
        <v>0</v>
      </c>
      <c r="AT11" s="176">
        <v>0</v>
      </c>
      <c r="AU11" s="176">
        <v>0</v>
      </c>
      <c r="AV11" s="176"/>
      <c r="AW11" s="176">
        <v>0</v>
      </c>
      <c r="AX11" s="176">
        <v>0</v>
      </c>
      <c r="AY11" s="176">
        <v>0</v>
      </c>
      <c r="AZ11" s="176" t="s">
        <v>13</v>
      </c>
      <c r="BA11" s="176" t="s">
        <v>80</v>
      </c>
      <c r="BB11" s="176" t="s">
        <v>81</v>
      </c>
      <c r="BC11" s="176" t="s">
        <v>2191</v>
      </c>
      <c r="BD11" s="176" t="s">
        <v>209</v>
      </c>
      <c r="BE11" s="176">
        <v>0</v>
      </c>
      <c r="BF11" s="176">
        <v>0</v>
      </c>
      <c r="BG11" s="176" t="s">
        <v>3492</v>
      </c>
      <c r="BH11" s="211">
        <v>46029</v>
      </c>
      <c r="BI11" s="176" t="s">
        <v>2190</v>
      </c>
      <c r="BJ11" s="176" t="s">
        <v>210</v>
      </c>
      <c r="BK11" s="176"/>
      <c r="BL11" s="176">
        <v>0</v>
      </c>
      <c r="BM11" s="176">
        <v>0</v>
      </c>
      <c r="BN11" s="176">
        <v>0</v>
      </c>
      <c r="BO11" s="176">
        <v>0</v>
      </c>
      <c r="BP11" s="176">
        <v>0</v>
      </c>
      <c r="BQ11" s="176">
        <v>0</v>
      </c>
      <c r="BR11" s="176">
        <v>0</v>
      </c>
      <c r="BS11" s="403" t="s">
        <v>212</v>
      </c>
      <c r="BT11" s="372">
        <v>46219.668749999997</v>
      </c>
      <c r="BU11" s="176">
        <v>25</v>
      </c>
    </row>
    <row r="12" spans="1:73">
      <c r="F12" s="123"/>
      <c r="G12" s="176" t="s">
        <v>2216</v>
      </c>
      <c r="H12" s="216" t="s">
        <v>3030</v>
      </c>
      <c r="I12" s="176" t="s">
        <v>3493</v>
      </c>
      <c r="J12" s="176" t="s">
        <v>2193</v>
      </c>
      <c r="K12" s="176" t="s">
        <v>2192</v>
      </c>
      <c r="L12" s="176" t="s">
        <v>2189</v>
      </c>
      <c r="M12" s="176" t="s">
        <v>2188</v>
      </c>
      <c r="N12" s="176">
        <v>0</v>
      </c>
      <c r="O12" s="176">
        <v>145</v>
      </c>
      <c r="P12" s="176" t="s">
        <v>11</v>
      </c>
      <c r="Q12" s="176">
        <v>145</v>
      </c>
      <c r="R12" s="176">
        <v>0</v>
      </c>
      <c r="S12" s="176">
        <v>145</v>
      </c>
      <c r="T12" s="176" t="s">
        <v>2416</v>
      </c>
      <c r="U12" s="176" t="s">
        <v>252</v>
      </c>
      <c r="V12" s="176" t="s">
        <v>252</v>
      </c>
      <c r="W12" s="176" t="s">
        <v>3494</v>
      </c>
      <c r="X12" s="211">
        <v>46060</v>
      </c>
      <c r="Y12" s="176" t="s">
        <v>2187</v>
      </c>
      <c r="Z12" s="176" t="s">
        <v>2186</v>
      </c>
      <c r="AA12" s="176" t="s">
        <v>3495</v>
      </c>
      <c r="AB12" s="176">
        <v>0</v>
      </c>
      <c r="AC12" s="176">
        <v>0</v>
      </c>
      <c r="AD12" s="176" t="s">
        <v>3494</v>
      </c>
      <c r="AE12" s="211">
        <v>46060</v>
      </c>
      <c r="AF12" s="176">
        <v>0</v>
      </c>
      <c r="AG12" s="176" t="s">
        <v>2549</v>
      </c>
      <c r="AH12" s="176"/>
      <c r="AI12" s="176" t="s">
        <v>213</v>
      </c>
      <c r="AJ12" s="176" t="s">
        <v>212</v>
      </c>
      <c r="AK12" s="176">
        <v>0</v>
      </c>
      <c r="AL12" s="176">
        <v>0</v>
      </c>
      <c r="AM12" s="176">
        <v>0</v>
      </c>
      <c r="AN12" s="176">
        <v>0</v>
      </c>
      <c r="AO12" s="176">
        <v>0</v>
      </c>
      <c r="AP12" s="176" t="s">
        <v>609</v>
      </c>
      <c r="AQ12" s="176">
        <v>0</v>
      </c>
      <c r="AR12" s="176">
        <v>0</v>
      </c>
      <c r="AS12" s="176">
        <v>0</v>
      </c>
      <c r="AT12" s="176">
        <v>0</v>
      </c>
      <c r="AU12" s="176">
        <v>0</v>
      </c>
      <c r="AV12" s="176"/>
      <c r="AW12" s="176">
        <v>0</v>
      </c>
      <c r="AX12" s="176">
        <v>0</v>
      </c>
      <c r="AY12" s="176">
        <v>0</v>
      </c>
      <c r="AZ12" s="176" t="s">
        <v>13</v>
      </c>
      <c r="BA12" s="176" t="s">
        <v>80</v>
      </c>
      <c r="BB12" s="176" t="s">
        <v>81</v>
      </c>
      <c r="BC12" s="176" t="s">
        <v>2191</v>
      </c>
      <c r="BD12" s="176" t="s">
        <v>209</v>
      </c>
      <c r="BE12" s="176">
        <v>0</v>
      </c>
      <c r="BF12" s="176">
        <v>0</v>
      </c>
      <c r="BG12" s="176" t="s">
        <v>3496</v>
      </c>
      <c r="BH12" s="211">
        <v>46302</v>
      </c>
      <c r="BI12" s="176" t="s">
        <v>2190</v>
      </c>
      <c r="BJ12" s="176" t="s">
        <v>210</v>
      </c>
      <c r="BK12" s="176"/>
      <c r="BL12" s="176">
        <v>0</v>
      </c>
      <c r="BM12" s="176">
        <v>0</v>
      </c>
      <c r="BN12" s="176">
        <v>0</v>
      </c>
      <c r="BO12" s="176">
        <v>0</v>
      </c>
      <c r="BP12" s="176">
        <v>0</v>
      </c>
      <c r="BQ12" s="176">
        <v>0</v>
      </c>
      <c r="BR12" s="176">
        <v>0</v>
      </c>
      <c r="BS12" s="403" t="s">
        <v>212</v>
      </c>
      <c r="BT12" s="372">
        <v>46219</v>
      </c>
      <c r="BU12" s="176">
        <v>145</v>
      </c>
    </row>
    <row r="13" spans="1:73">
      <c r="F13" s="123"/>
      <c r="G13" s="176" t="s">
        <v>2216</v>
      </c>
      <c r="H13" s="216" t="s">
        <v>3030</v>
      </c>
      <c r="I13" s="176" t="s">
        <v>3497</v>
      </c>
      <c r="J13" s="176" t="s">
        <v>2193</v>
      </c>
      <c r="K13" s="176" t="s">
        <v>2192</v>
      </c>
      <c r="L13" s="176" t="s">
        <v>2189</v>
      </c>
      <c r="M13" s="176" t="s">
        <v>2188</v>
      </c>
      <c r="N13" s="176">
        <v>0</v>
      </c>
      <c r="O13" s="176">
        <v>29</v>
      </c>
      <c r="P13" s="176" t="s">
        <v>11</v>
      </c>
      <c r="Q13" s="176">
        <v>29</v>
      </c>
      <c r="R13" s="176">
        <v>0</v>
      </c>
      <c r="S13" s="176">
        <v>29</v>
      </c>
      <c r="T13" s="176" t="s">
        <v>2416</v>
      </c>
      <c r="U13" s="176" t="s">
        <v>252</v>
      </c>
      <c r="V13" s="176" t="s">
        <v>252</v>
      </c>
      <c r="W13" s="176" t="s">
        <v>3498</v>
      </c>
      <c r="X13" s="211">
        <v>46088</v>
      </c>
      <c r="Y13" s="176" t="s">
        <v>2187</v>
      </c>
      <c r="Z13" s="176" t="s">
        <v>2186</v>
      </c>
      <c r="AA13" s="176" t="s">
        <v>3499</v>
      </c>
      <c r="AB13" s="176">
        <v>0</v>
      </c>
      <c r="AC13" s="176">
        <v>0</v>
      </c>
      <c r="AD13" s="176" t="s">
        <v>3498</v>
      </c>
      <c r="AE13" s="211">
        <v>46088</v>
      </c>
      <c r="AF13" s="176">
        <v>0</v>
      </c>
      <c r="AG13" s="176" t="s">
        <v>2549</v>
      </c>
      <c r="AH13" s="176"/>
      <c r="AI13" s="176" t="s">
        <v>3484</v>
      </c>
      <c r="AJ13" s="176" t="s">
        <v>2376</v>
      </c>
      <c r="AK13" s="176">
        <v>0</v>
      </c>
      <c r="AL13" s="176">
        <v>0</v>
      </c>
      <c r="AM13" s="176">
        <v>0</v>
      </c>
      <c r="AN13" s="176">
        <v>0</v>
      </c>
      <c r="AO13" s="176">
        <v>0</v>
      </c>
      <c r="AP13" s="176" t="s">
        <v>609</v>
      </c>
      <c r="AQ13" s="176">
        <v>0</v>
      </c>
      <c r="AR13" s="176">
        <v>0</v>
      </c>
      <c r="AS13" s="176">
        <v>0</v>
      </c>
      <c r="AT13" s="176">
        <v>0</v>
      </c>
      <c r="AU13" s="176">
        <v>0</v>
      </c>
      <c r="AV13" s="176"/>
      <c r="AW13" s="176">
        <v>0</v>
      </c>
      <c r="AX13" s="176">
        <v>0</v>
      </c>
      <c r="AY13" s="176">
        <v>0</v>
      </c>
      <c r="AZ13" s="176" t="s">
        <v>13</v>
      </c>
      <c r="BA13" s="176" t="s">
        <v>80</v>
      </c>
      <c r="BB13" s="176" t="s">
        <v>81</v>
      </c>
      <c r="BC13" s="176" t="s">
        <v>2191</v>
      </c>
      <c r="BD13" s="176" t="s">
        <v>209</v>
      </c>
      <c r="BE13" s="176">
        <v>0</v>
      </c>
      <c r="BF13" s="176">
        <v>0</v>
      </c>
      <c r="BG13" s="176" t="s">
        <v>3500</v>
      </c>
      <c r="BH13" s="211">
        <v>46302</v>
      </c>
      <c r="BI13" s="176" t="s">
        <v>2190</v>
      </c>
      <c r="BJ13" s="176" t="s">
        <v>210</v>
      </c>
      <c r="BK13" s="176"/>
      <c r="BL13" s="176">
        <v>0</v>
      </c>
      <c r="BM13" s="176">
        <v>0</v>
      </c>
      <c r="BN13" s="176">
        <v>0</v>
      </c>
      <c r="BO13" s="176">
        <v>0</v>
      </c>
      <c r="BP13" s="176">
        <v>0</v>
      </c>
      <c r="BQ13" s="176">
        <v>0</v>
      </c>
      <c r="BR13" s="176">
        <v>0</v>
      </c>
      <c r="BS13" s="403" t="s">
        <v>2376</v>
      </c>
      <c r="BT13" s="372">
        <v>46219</v>
      </c>
      <c r="BU13" s="176">
        <v>29</v>
      </c>
    </row>
    <row r="14" spans="1:73">
      <c r="F14" s="123"/>
      <c r="G14" s="176" t="s">
        <v>2216</v>
      </c>
      <c r="H14" s="216" t="s">
        <v>3030</v>
      </c>
      <c r="I14" s="176" t="s">
        <v>3501</v>
      </c>
      <c r="J14" s="176" t="s">
        <v>2193</v>
      </c>
      <c r="K14" s="176" t="s">
        <v>2192</v>
      </c>
      <c r="L14" s="176" t="s">
        <v>2189</v>
      </c>
      <c r="M14" s="176" t="s">
        <v>2188</v>
      </c>
      <c r="N14" s="176">
        <v>0</v>
      </c>
      <c r="O14" s="176">
        <v>45.3</v>
      </c>
      <c r="P14" s="176" t="s">
        <v>11</v>
      </c>
      <c r="Q14" s="176">
        <v>45.3</v>
      </c>
      <c r="R14" s="176">
        <v>0</v>
      </c>
      <c r="S14" s="176">
        <v>45.3</v>
      </c>
      <c r="T14" s="176" t="s">
        <v>2416</v>
      </c>
      <c r="U14" s="176" t="s">
        <v>252</v>
      </c>
      <c r="V14" s="176" t="s">
        <v>252</v>
      </c>
      <c r="W14" s="176" t="s">
        <v>3502</v>
      </c>
      <c r="X14" s="211">
        <v>46119</v>
      </c>
      <c r="Y14" s="176" t="s">
        <v>2187</v>
      </c>
      <c r="Z14" s="176" t="s">
        <v>2186</v>
      </c>
      <c r="AA14" s="176" t="s">
        <v>3503</v>
      </c>
      <c r="AB14" s="176">
        <v>0</v>
      </c>
      <c r="AC14" s="176">
        <v>0</v>
      </c>
      <c r="AD14" s="176" t="s">
        <v>3502</v>
      </c>
      <c r="AE14" s="211">
        <v>46119</v>
      </c>
      <c r="AF14" s="176">
        <v>0</v>
      </c>
      <c r="AG14" s="176" t="s">
        <v>2549</v>
      </c>
      <c r="AH14" s="176"/>
      <c r="AI14" s="176" t="s">
        <v>3484</v>
      </c>
      <c r="AJ14" s="176" t="s">
        <v>2376</v>
      </c>
      <c r="AK14" s="176">
        <v>0</v>
      </c>
      <c r="AL14" s="176">
        <v>0</v>
      </c>
      <c r="AM14" s="176">
        <v>0</v>
      </c>
      <c r="AN14" s="176">
        <v>0</v>
      </c>
      <c r="AO14" s="176">
        <v>0</v>
      </c>
      <c r="AP14" s="176" t="s">
        <v>609</v>
      </c>
      <c r="AQ14" s="176">
        <v>0</v>
      </c>
      <c r="AR14" s="176">
        <v>0</v>
      </c>
      <c r="AS14" s="176">
        <v>0</v>
      </c>
      <c r="AT14" s="176">
        <v>0</v>
      </c>
      <c r="AU14" s="176">
        <v>0</v>
      </c>
      <c r="AV14" s="176"/>
      <c r="AW14" s="176">
        <v>0</v>
      </c>
      <c r="AX14" s="176">
        <v>0</v>
      </c>
      <c r="AY14" s="176">
        <v>0</v>
      </c>
      <c r="AZ14" s="176" t="s">
        <v>13</v>
      </c>
      <c r="BA14" s="176" t="s">
        <v>80</v>
      </c>
      <c r="BB14" s="176" t="s">
        <v>81</v>
      </c>
      <c r="BC14" s="176" t="s">
        <v>2191</v>
      </c>
      <c r="BD14" s="176" t="s">
        <v>209</v>
      </c>
      <c r="BE14" s="176">
        <v>0</v>
      </c>
      <c r="BF14" s="176">
        <v>0</v>
      </c>
      <c r="BG14" s="176" t="s">
        <v>3504</v>
      </c>
      <c r="BH14" s="211">
        <v>46302</v>
      </c>
      <c r="BI14" s="176" t="s">
        <v>2190</v>
      </c>
      <c r="BJ14" s="176" t="s">
        <v>210</v>
      </c>
      <c r="BK14" s="176"/>
      <c r="BL14" s="176">
        <v>0</v>
      </c>
      <c r="BM14" s="176">
        <v>0</v>
      </c>
      <c r="BN14" s="176">
        <v>0</v>
      </c>
      <c r="BO14" s="176">
        <v>0</v>
      </c>
      <c r="BP14" s="176">
        <v>0</v>
      </c>
      <c r="BQ14" s="176">
        <v>0</v>
      </c>
      <c r="BR14" s="176">
        <v>0</v>
      </c>
      <c r="BS14" s="403" t="s">
        <v>2376</v>
      </c>
      <c r="BT14" s="372">
        <v>46219.716666666667</v>
      </c>
      <c r="BU14" s="176">
        <v>45.3</v>
      </c>
    </row>
    <row r="15" spans="1:73">
      <c r="F15" s="123"/>
      <c r="G15" s="176" t="s">
        <v>2216</v>
      </c>
      <c r="H15" s="216" t="s">
        <v>3030</v>
      </c>
      <c r="I15" s="176" t="s">
        <v>3505</v>
      </c>
      <c r="J15" s="176" t="s">
        <v>2193</v>
      </c>
      <c r="K15" s="176" t="s">
        <v>2192</v>
      </c>
      <c r="L15" s="176" t="s">
        <v>2189</v>
      </c>
      <c r="M15" s="176" t="s">
        <v>2188</v>
      </c>
      <c r="N15" s="176">
        <v>0</v>
      </c>
      <c r="O15" s="176">
        <v>131</v>
      </c>
      <c r="P15" s="176" t="s">
        <v>11</v>
      </c>
      <c r="Q15" s="176">
        <v>131</v>
      </c>
      <c r="R15" s="176">
        <v>0</v>
      </c>
      <c r="S15" s="176">
        <v>131</v>
      </c>
      <c r="T15" s="176" t="s">
        <v>2416</v>
      </c>
      <c r="U15" s="176" t="s">
        <v>252</v>
      </c>
      <c r="V15" s="176" t="s">
        <v>252</v>
      </c>
      <c r="W15" s="176" t="s">
        <v>3506</v>
      </c>
      <c r="X15" s="211">
        <v>46241</v>
      </c>
      <c r="Y15" s="176" t="s">
        <v>2187</v>
      </c>
      <c r="Z15" s="176" t="s">
        <v>2186</v>
      </c>
      <c r="AA15" s="176" t="s">
        <v>3507</v>
      </c>
      <c r="AB15" s="176">
        <v>0</v>
      </c>
      <c r="AC15" s="176">
        <v>0</v>
      </c>
      <c r="AD15" s="176" t="s">
        <v>3506</v>
      </c>
      <c r="AE15" s="211">
        <v>46241</v>
      </c>
      <c r="AF15" s="176">
        <v>0</v>
      </c>
      <c r="AG15" s="176" t="s">
        <v>2549</v>
      </c>
      <c r="AH15" s="176"/>
      <c r="AI15" s="176" t="s">
        <v>3484</v>
      </c>
      <c r="AJ15" s="176" t="s">
        <v>2376</v>
      </c>
      <c r="AK15" s="176">
        <v>0</v>
      </c>
      <c r="AL15" s="176">
        <v>0</v>
      </c>
      <c r="AM15" s="176">
        <v>0</v>
      </c>
      <c r="AN15" s="176">
        <v>0</v>
      </c>
      <c r="AO15" s="176">
        <v>0</v>
      </c>
      <c r="AP15" s="176" t="s">
        <v>609</v>
      </c>
      <c r="AQ15" s="176">
        <v>0</v>
      </c>
      <c r="AR15" s="176">
        <v>0</v>
      </c>
      <c r="AS15" s="176">
        <v>0</v>
      </c>
      <c r="AT15" s="176">
        <v>0</v>
      </c>
      <c r="AU15" s="176">
        <v>0</v>
      </c>
      <c r="AV15" s="176"/>
      <c r="AW15" s="176">
        <v>0</v>
      </c>
      <c r="AX15" s="176">
        <v>0</v>
      </c>
      <c r="AY15" s="176">
        <v>0</v>
      </c>
      <c r="AZ15" s="176" t="s">
        <v>13</v>
      </c>
      <c r="BA15" s="176" t="s">
        <v>80</v>
      </c>
      <c r="BB15" s="176" t="s">
        <v>81</v>
      </c>
      <c r="BC15" s="176" t="s">
        <v>2191</v>
      </c>
      <c r="BD15" s="176" t="s">
        <v>209</v>
      </c>
      <c r="BE15" s="176">
        <v>0</v>
      </c>
      <c r="BF15" s="176">
        <v>0</v>
      </c>
      <c r="BG15" s="176" t="s">
        <v>3508</v>
      </c>
      <c r="BH15" s="211">
        <v>46302</v>
      </c>
      <c r="BI15" s="176" t="s">
        <v>2190</v>
      </c>
      <c r="BJ15" s="176" t="s">
        <v>210</v>
      </c>
      <c r="BK15" s="176"/>
      <c r="BL15" s="176">
        <v>0</v>
      </c>
      <c r="BM15" s="176">
        <v>0</v>
      </c>
      <c r="BN15" s="176">
        <v>0</v>
      </c>
      <c r="BO15" s="176">
        <v>0</v>
      </c>
      <c r="BP15" s="176">
        <v>0</v>
      </c>
      <c r="BQ15" s="176">
        <v>0</v>
      </c>
      <c r="BR15" s="176">
        <v>0</v>
      </c>
      <c r="BS15" s="403" t="s">
        <v>2376</v>
      </c>
      <c r="BT15" s="372">
        <v>46219</v>
      </c>
      <c r="BU15" s="176">
        <v>131</v>
      </c>
    </row>
    <row r="16" spans="1:73">
      <c r="F16" s="123"/>
      <c r="G16" s="176" t="s">
        <v>2216</v>
      </c>
      <c r="H16" s="216" t="s">
        <v>3071</v>
      </c>
      <c r="I16" s="176" t="s">
        <v>3509</v>
      </c>
      <c r="J16" s="176" t="s">
        <v>2193</v>
      </c>
      <c r="K16" s="176" t="s">
        <v>2192</v>
      </c>
      <c r="L16" s="176" t="s">
        <v>2189</v>
      </c>
      <c r="M16" s="176" t="s">
        <v>2188</v>
      </c>
      <c r="N16" s="176">
        <v>0</v>
      </c>
      <c r="O16" s="176">
        <v>28</v>
      </c>
      <c r="P16" s="176" t="s">
        <v>11</v>
      </c>
      <c r="Q16" s="176">
        <v>28</v>
      </c>
      <c r="R16" s="176">
        <v>0</v>
      </c>
      <c r="S16" s="176">
        <v>28</v>
      </c>
      <c r="T16" s="176" t="s">
        <v>2416</v>
      </c>
      <c r="U16" s="176" t="s">
        <v>252</v>
      </c>
      <c r="V16" s="176" t="s">
        <v>252</v>
      </c>
      <c r="W16" s="176" t="s">
        <v>3510</v>
      </c>
      <c r="X16" s="211" t="s">
        <v>3013</v>
      </c>
      <c r="Y16" s="176" t="s">
        <v>2187</v>
      </c>
      <c r="Z16" s="176" t="s">
        <v>2186</v>
      </c>
      <c r="AA16" s="176" t="s">
        <v>3511</v>
      </c>
      <c r="AB16" s="176">
        <v>0</v>
      </c>
      <c r="AC16" s="176">
        <v>0</v>
      </c>
      <c r="AD16" s="176" t="s">
        <v>3510</v>
      </c>
      <c r="AE16" s="211" t="s">
        <v>3013</v>
      </c>
      <c r="AF16" s="176">
        <v>0</v>
      </c>
      <c r="AG16" s="176" t="s">
        <v>2549</v>
      </c>
      <c r="AH16" s="176"/>
      <c r="AI16" s="176" t="s">
        <v>3484</v>
      </c>
      <c r="AJ16" s="176" t="s">
        <v>2376</v>
      </c>
      <c r="AK16" s="176">
        <v>0</v>
      </c>
      <c r="AL16" s="176">
        <v>0</v>
      </c>
      <c r="AM16" s="176">
        <v>0</v>
      </c>
      <c r="AN16" s="176">
        <v>0</v>
      </c>
      <c r="AO16" s="176">
        <v>0</v>
      </c>
      <c r="AP16" s="176" t="s">
        <v>609</v>
      </c>
      <c r="AQ16" s="176">
        <v>0</v>
      </c>
      <c r="AR16" s="176">
        <v>0</v>
      </c>
      <c r="AS16" s="176">
        <v>0</v>
      </c>
      <c r="AT16" s="176">
        <v>0</v>
      </c>
      <c r="AU16" s="176">
        <v>0</v>
      </c>
      <c r="AV16" s="176"/>
      <c r="AW16" s="176">
        <v>0</v>
      </c>
      <c r="AX16" s="176">
        <v>0</v>
      </c>
      <c r="AY16" s="176">
        <v>0</v>
      </c>
      <c r="AZ16" s="176" t="s">
        <v>13</v>
      </c>
      <c r="BA16" s="176" t="s">
        <v>80</v>
      </c>
      <c r="BB16" s="176" t="s">
        <v>81</v>
      </c>
      <c r="BC16" s="176" t="s">
        <v>2191</v>
      </c>
      <c r="BD16" s="176" t="s">
        <v>209</v>
      </c>
      <c r="BE16" s="176">
        <v>0</v>
      </c>
      <c r="BF16" s="176">
        <v>0</v>
      </c>
      <c r="BG16" s="176">
        <v>41</v>
      </c>
      <c r="BH16" s="211" t="s">
        <v>3071</v>
      </c>
      <c r="BI16" s="176" t="s">
        <v>2190</v>
      </c>
      <c r="BJ16" s="176" t="s">
        <v>210</v>
      </c>
      <c r="BK16" s="176"/>
      <c r="BL16" s="176">
        <v>0</v>
      </c>
      <c r="BM16" s="176">
        <v>0</v>
      </c>
      <c r="BN16" s="176">
        <v>0</v>
      </c>
      <c r="BO16" s="176">
        <v>0</v>
      </c>
      <c r="BP16" s="176">
        <v>0</v>
      </c>
      <c r="BQ16" s="176">
        <v>0</v>
      </c>
      <c r="BR16" s="176">
        <v>0</v>
      </c>
      <c r="BS16" s="403" t="s">
        <v>2376</v>
      </c>
      <c r="BT16" s="372">
        <v>46221.645833333336</v>
      </c>
      <c r="BU16" s="176">
        <v>28</v>
      </c>
    </row>
    <row r="17" spans="6:73">
      <c r="F17" s="123"/>
      <c r="G17" s="176" t="s">
        <v>2216</v>
      </c>
      <c r="H17" s="216" t="s">
        <v>3167</v>
      </c>
      <c r="I17" s="176" t="s">
        <v>3512</v>
      </c>
      <c r="J17" s="176" t="s">
        <v>2193</v>
      </c>
      <c r="K17" s="176" t="s">
        <v>2192</v>
      </c>
      <c r="L17" s="176" t="s">
        <v>2189</v>
      </c>
      <c r="M17" s="176" t="s">
        <v>2188</v>
      </c>
      <c r="N17" s="176">
        <v>0</v>
      </c>
      <c r="O17" s="176">
        <v>37</v>
      </c>
      <c r="P17" s="176" t="s">
        <v>11</v>
      </c>
      <c r="Q17" s="176">
        <v>37</v>
      </c>
      <c r="R17" s="176">
        <v>0</v>
      </c>
      <c r="S17" s="176">
        <v>37</v>
      </c>
      <c r="T17" s="176" t="s">
        <v>2416</v>
      </c>
      <c r="U17" s="176" t="s">
        <v>252</v>
      </c>
      <c r="V17" s="176" t="s">
        <v>252</v>
      </c>
      <c r="W17" s="176" t="s">
        <v>3513</v>
      </c>
      <c r="X17" s="211" t="s">
        <v>3071</v>
      </c>
      <c r="Y17" s="176" t="s">
        <v>2187</v>
      </c>
      <c r="Z17" s="176" t="s">
        <v>2186</v>
      </c>
      <c r="AA17" s="176" t="s">
        <v>1558</v>
      </c>
      <c r="AB17" s="176">
        <v>0</v>
      </c>
      <c r="AC17" s="176">
        <v>0</v>
      </c>
      <c r="AD17" s="176" t="s">
        <v>3513</v>
      </c>
      <c r="AE17" s="211" t="s">
        <v>3071</v>
      </c>
      <c r="AF17" s="176">
        <v>0</v>
      </c>
      <c r="AG17" s="176" t="s">
        <v>2549</v>
      </c>
      <c r="AH17" s="176"/>
      <c r="AI17" s="176" t="s">
        <v>3484</v>
      </c>
      <c r="AJ17" s="176" t="s">
        <v>2376</v>
      </c>
      <c r="AK17" s="176">
        <v>0</v>
      </c>
      <c r="AL17" s="176">
        <v>0</v>
      </c>
      <c r="AM17" s="176">
        <v>0</v>
      </c>
      <c r="AN17" s="176">
        <v>0</v>
      </c>
      <c r="AO17" s="176">
        <v>0</v>
      </c>
      <c r="AP17" s="176" t="s">
        <v>609</v>
      </c>
      <c r="AQ17" s="176">
        <v>0</v>
      </c>
      <c r="AR17" s="176">
        <v>0</v>
      </c>
      <c r="AS17" s="176">
        <v>0</v>
      </c>
      <c r="AT17" s="176">
        <v>0</v>
      </c>
      <c r="AU17" s="176">
        <v>0</v>
      </c>
      <c r="AV17" s="176"/>
      <c r="AW17" s="176">
        <v>0</v>
      </c>
      <c r="AX17" s="176">
        <v>0</v>
      </c>
      <c r="AY17" s="176">
        <v>0</v>
      </c>
      <c r="AZ17" s="176" t="s">
        <v>13</v>
      </c>
      <c r="BA17" s="176" t="s">
        <v>80</v>
      </c>
      <c r="BB17" s="176" t="s">
        <v>81</v>
      </c>
      <c r="BC17" s="176" t="s">
        <v>13</v>
      </c>
      <c r="BD17" s="176" t="s">
        <v>209</v>
      </c>
      <c r="BE17" s="176">
        <v>0</v>
      </c>
      <c r="BF17" s="176">
        <v>0</v>
      </c>
      <c r="BG17" s="176">
        <v>43</v>
      </c>
      <c r="BH17" s="211" t="s">
        <v>3167</v>
      </c>
      <c r="BI17" s="176" t="s">
        <v>2190</v>
      </c>
      <c r="BJ17" s="176" t="s">
        <v>210</v>
      </c>
      <c r="BK17" s="176"/>
      <c r="BL17" s="176">
        <v>0</v>
      </c>
      <c r="BM17" s="176">
        <v>0</v>
      </c>
      <c r="BN17" s="176">
        <v>0</v>
      </c>
      <c r="BO17" s="176">
        <v>0</v>
      </c>
      <c r="BP17" s="176">
        <v>0</v>
      </c>
      <c r="BQ17" s="176">
        <v>0</v>
      </c>
      <c r="BR17" s="176">
        <v>0</v>
      </c>
      <c r="BS17" s="403" t="s">
        <v>2376</v>
      </c>
      <c r="BT17" s="372">
        <v>46225.726388888892</v>
      </c>
      <c r="BU17" s="176">
        <v>37</v>
      </c>
    </row>
    <row r="18" spans="6:73">
      <c r="F18" s="123"/>
      <c r="G18" s="123" t="s">
        <v>2216</v>
      </c>
      <c r="H18" s="177" t="s">
        <v>3167</v>
      </c>
      <c r="I18" s="123" t="s">
        <v>3514</v>
      </c>
      <c r="J18" s="123" t="s">
        <v>2193</v>
      </c>
      <c r="K18" s="123" t="s">
        <v>2192</v>
      </c>
      <c r="L18" s="123" t="s">
        <v>2189</v>
      </c>
      <c r="M18" s="123" t="s">
        <v>2188</v>
      </c>
      <c r="N18" s="123">
        <v>0</v>
      </c>
      <c r="O18" s="123">
        <v>69</v>
      </c>
      <c r="P18" s="123" t="s">
        <v>11</v>
      </c>
      <c r="Q18" s="123">
        <v>69</v>
      </c>
      <c r="R18" s="123">
        <v>0</v>
      </c>
      <c r="S18" s="123">
        <v>69</v>
      </c>
      <c r="T18" s="123" t="s">
        <v>2416</v>
      </c>
      <c r="U18" s="123" t="s">
        <v>252</v>
      </c>
      <c r="V18" s="123" t="s">
        <v>252</v>
      </c>
      <c r="W18" s="123" t="s">
        <v>3515</v>
      </c>
      <c r="X18" s="123" t="s">
        <v>3124</v>
      </c>
      <c r="Y18" s="123" t="s">
        <v>2187</v>
      </c>
      <c r="Z18" s="123" t="s">
        <v>2186</v>
      </c>
      <c r="AA18" s="123" t="s">
        <v>3516</v>
      </c>
      <c r="AB18" s="123">
        <v>0</v>
      </c>
      <c r="AC18" s="123">
        <v>0</v>
      </c>
      <c r="AD18" s="123" t="s">
        <v>3515</v>
      </c>
      <c r="AE18" s="123" t="s">
        <v>3124</v>
      </c>
      <c r="AF18" s="123">
        <v>0</v>
      </c>
      <c r="AG18" s="123" t="s">
        <v>2549</v>
      </c>
      <c r="AH18" s="123"/>
      <c r="AI18" s="123" t="s">
        <v>3484</v>
      </c>
      <c r="AJ18" s="123" t="s">
        <v>2376</v>
      </c>
      <c r="AK18" s="123">
        <v>0</v>
      </c>
      <c r="AL18" s="123">
        <v>0</v>
      </c>
      <c r="AM18" s="123">
        <v>0</v>
      </c>
      <c r="AN18" s="123">
        <v>0</v>
      </c>
      <c r="AO18" s="123">
        <v>0</v>
      </c>
      <c r="AP18" s="123" t="s">
        <v>609</v>
      </c>
      <c r="AQ18" s="123">
        <v>0</v>
      </c>
      <c r="AR18" s="123">
        <v>0</v>
      </c>
      <c r="AS18" s="123">
        <v>0</v>
      </c>
      <c r="AT18" s="123">
        <v>0</v>
      </c>
      <c r="AU18" s="123">
        <v>0</v>
      </c>
      <c r="AV18" s="123"/>
      <c r="AW18" s="123">
        <v>0</v>
      </c>
      <c r="AX18" s="123">
        <v>0</v>
      </c>
      <c r="AY18" s="123">
        <v>0</v>
      </c>
      <c r="AZ18" s="123" t="s">
        <v>13</v>
      </c>
      <c r="BA18" s="123" t="s">
        <v>80</v>
      </c>
      <c r="BB18" s="123" t="s">
        <v>81</v>
      </c>
      <c r="BC18" s="123" t="s">
        <v>2191</v>
      </c>
      <c r="BD18" s="123" t="s">
        <v>209</v>
      </c>
      <c r="BE18" s="123">
        <v>0</v>
      </c>
      <c r="BF18" s="123">
        <v>0</v>
      </c>
      <c r="BG18" s="123">
        <v>42</v>
      </c>
      <c r="BH18" s="123" t="s">
        <v>3153</v>
      </c>
      <c r="BI18" s="123" t="s">
        <v>2190</v>
      </c>
      <c r="BJ18" s="123" t="s">
        <v>210</v>
      </c>
      <c r="BK18" s="123"/>
      <c r="BL18" s="123">
        <v>0</v>
      </c>
      <c r="BM18" s="123">
        <v>0</v>
      </c>
      <c r="BN18" s="123">
        <v>0</v>
      </c>
      <c r="BO18" s="123">
        <v>0</v>
      </c>
      <c r="BP18" s="123">
        <v>0</v>
      </c>
      <c r="BQ18" s="123">
        <v>0</v>
      </c>
      <c r="BR18" s="123">
        <v>0</v>
      </c>
      <c r="BS18" s="177" t="s">
        <v>2376</v>
      </c>
      <c r="BT18" s="386">
        <v>46225.737500000003</v>
      </c>
      <c r="BU18" s="123">
        <v>0</v>
      </c>
    </row>
    <row r="19" spans="6:73">
      <c r="F19" s="123"/>
      <c r="G19" s="123" t="s">
        <v>2216</v>
      </c>
      <c r="H19" s="177" t="s">
        <v>3306</v>
      </c>
      <c r="I19" s="123" t="s">
        <v>3517</v>
      </c>
      <c r="J19" s="123" t="s">
        <v>2193</v>
      </c>
      <c r="K19" s="123" t="s">
        <v>2192</v>
      </c>
      <c r="L19" s="123" t="s">
        <v>2189</v>
      </c>
      <c r="M19" s="123" t="s">
        <v>2188</v>
      </c>
      <c r="N19" s="123">
        <v>0</v>
      </c>
      <c r="O19" s="123">
        <v>112</v>
      </c>
      <c r="P19" s="123" t="s">
        <v>11</v>
      </c>
      <c r="Q19" s="123">
        <v>112</v>
      </c>
      <c r="R19" s="123">
        <v>0</v>
      </c>
      <c r="S19" s="123">
        <v>112</v>
      </c>
      <c r="T19" s="123" t="s">
        <v>3518</v>
      </c>
      <c r="U19" s="123" t="s">
        <v>252</v>
      </c>
      <c r="V19" s="123" t="s">
        <v>252</v>
      </c>
      <c r="W19" s="123" t="s">
        <v>3519</v>
      </c>
      <c r="X19" s="123" t="s">
        <v>3237</v>
      </c>
      <c r="Y19" s="123" t="s">
        <v>2187</v>
      </c>
      <c r="Z19" s="123" t="s">
        <v>2186</v>
      </c>
      <c r="AA19" s="123" t="s">
        <v>3520</v>
      </c>
      <c r="AB19" s="123">
        <v>0</v>
      </c>
      <c r="AC19" s="123">
        <v>0</v>
      </c>
      <c r="AD19" s="123" t="s">
        <v>3519</v>
      </c>
      <c r="AE19" s="123" t="s">
        <v>3237</v>
      </c>
      <c r="AF19" s="123">
        <v>0</v>
      </c>
      <c r="AG19" s="123" t="s">
        <v>2549</v>
      </c>
      <c r="AH19" s="123"/>
      <c r="AI19" s="123" t="s">
        <v>3484</v>
      </c>
      <c r="AJ19" s="123" t="s">
        <v>2376</v>
      </c>
      <c r="AK19" s="123">
        <v>0</v>
      </c>
      <c r="AL19" s="123">
        <v>0</v>
      </c>
      <c r="AM19" s="123">
        <v>0</v>
      </c>
      <c r="AN19" s="123">
        <v>0</v>
      </c>
      <c r="AO19" s="123">
        <v>0</v>
      </c>
      <c r="AP19" s="123" t="s">
        <v>609</v>
      </c>
      <c r="AQ19" s="123">
        <v>0</v>
      </c>
      <c r="AR19" s="123">
        <v>0</v>
      </c>
      <c r="AS19" s="123">
        <v>0</v>
      </c>
      <c r="AT19" s="123">
        <v>0</v>
      </c>
      <c r="AU19" s="123">
        <v>0</v>
      </c>
      <c r="AV19" s="123"/>
      <c r="AW19" s="123">
        <v>0</v>
      </c>
      <c r="AX19" s="123">
        <v>0</v>
      </c>
      <c r="AY19" s="123">
        <v>0</v>
      </c>
      <c r="AZ19" s="123" t="s">
        <v>13</v>
      </c>
      <c r="BA19" s="123" t="s">
        <v>80</v>
      </c>
      <c r="BB19" s="123" t="s">
        <v>81</v>
      </c>
      <c r="BC19" s="123" t="s">
        <v>2191</v>
      </c>
      <c r="BD19" s="123" t="s">
        <v>209</v>
      </c>
      <c r="BE19" s="123">
        <v>0</v>
      </c>
      <c r="BF19" s="123">
        <v>0</v>
      </c>
      <c r="BG19" s="123">
        <v>966</v>
      </c>
      <c r="BH19" s="123" t="s">
        <v>3237</v>
      </c>
      <c r="BI19" s="123" t="s">
        <v>2190</v>
      </c>
      <c r="BJ19" s="123" t="s">
        <v>210</v>
      </c>
      <c r="BK19" s="123"/>
      <c r="BL19" s="123">
        <v>0</v>
      </c>
      <c r="BM19" s="123">
        <v>0</v>
      </c>
      <c r="BN19" s="123">
        <v>0</v>
      </c>
      <c r="BO19" s="123">
        <v>0</v>
      </c>
      <c r="BP19" s="123">
        <v>0</v>
      </c>
      <c r="BQ19" s="123">
        <v>0</v>
      </c>
      <c r="BR19" s="123">
        <v>0</v>
      </c>
      <c r="BS19" s="177" t="s">
        <v>2376</v>
      </c>
      <c r="BT19" s="318">
        <v>46232.67083333333</v>
      </c>
      <c r="BU19" s="123">
        <v>112</v>
      </c>
    </row>
    <row r="20" spans="6:73">
      <c r="F20" s="123"/>
      <c r="G20" s="123" t="s">
        <v>2216</v>
      </c>
      <c r="H20" s="177" t="s">
        <v>3352</v>
      </c>
      <c r="I20" s="123" t="s">
        <v>3521</v>
      </c>
      <c r="J20" s="123" t="s">
        <v>2193</v>
      </c>
      <c r="K20" s="123" t="s">
        <v>2192</v>
      </c>
      <c r="L20" s="123" t="s">
        <v>2189</v>
      </c>
      <c r="M20" s="123" t="s">
        <v>2188</v>
      </c>
      <c r="N20" s="123">
        <v>0</v>
      </c>
      <c r="O20" s="123">
        <v>61</v>
      </c>
      <c r="P20" s="123" t="s">
        <v>11</v>
      </c>
      <c r="Q20" s="123">
        <v>61</v>
      </c>
      <c r="R20" s="123">
        <v>0</v>
      </c>
      <c r="S20" s="123">
        <v>61</v>
      </c>
      <c r="T20" s="123" t="s">
        <v>2416</v>
      </c>
      <c r="U20" s="123" t="s">
        <v>252</v>
      </c>
      <c r="V20" s="123" t="s">
        <v>252</v>
      </c>
      <c r="W20" s="123" t="s">
        <v>3522</v>
      </c>
      <c r="X20" s="123" t="s">
        <v>3264</v>
      </c>
      <c r="Y20" s="123" t="s">
        <v>2187</v>
      </c>
      <c r="Z20" s="123" t="s">
        <v>2186</v>
      </c>
      <c r="AA20" s="123" t="s">
        <v>3523</v>
      </c>
      <c r="AB20" s="123">
        <v>0</v>
      </c>
      <c r="AC20" s="123">
        <v>0</v>
      </c>
      <c r="AD20" s="123" t="s">
        <v>3522</v>
      </c>
      <c r="AE20" s="123" t="s">
        <v>3264</v>
      </c>
      <c r="AF20" s="123">
        <v>0</v>
      </c>
      <c r="AG20" s="123" t="s">
        <v>2549</v>
      </c>
      <c r="AH20" s="123"/>
      <c r="AI20" s="123" t="s">
        <v>3484</v>
      </c>
      <c r="AJ20" s="123" t="s">
        <v>2376</v>
      </c>
      <c r="AK20" s="123">
        <v>0</v>
      </c>
      <c r="AL20" s="123">
        <v>0</v>
      </c>
      <c r="AM20" s="123">
        <v>0</v>
      </c>
      <c r="AN20" s="123">
        <v>0</v>
      </c>
      <c r="AO20" s="123">
        <v>0</v>
      </c>
      <c r="AP20" s="123" t="s">
        <v>609</v>
      </c>
      <c r="AQ20" s="123">
        <v>0</v>
      </c>
      <c r="AR20" s="123">
        <v>0</v>
      </c>
      <c r="AS20" s="123">
        <v>0</v>
      </c>
      <c r="AT20" s="123">
        <v>0</v>
      </c>
      <c r="AU20" s="123">
        <v>0</v>
      </c>
      <c r="AV20" s="123"/>
      <c r="AW20" s="123">
        <v>0</v>
      </c>
      <c r="AX20" s="123">
        <v>0</v>
      </c>
      <c r="AY20" s="123">
        <v>0</v>
      </c>
      <c r="AZ20" s="123" t="s">
        <v>13</v>
      </c>
      <c r="BA20" s="123" t="s">
        <v>80</v>
      </c>
      <c r="BB20" s="123" t="s">
        <v>81</v>
      </c>
      <c r="BC20" s="123" t="s">
        <v>2191</v>
      </c>
      <c r="BD20" s="123" t="s">
        <v>209</v>
      </c>
      <c r="BE20" s="123">
        <v>0</v>
      </c>
      <c r="BF20" s="123">
        <v>0</v>
      </c>
      <c r="BG20" s="123">
        <v>45</v>
      </c>
      <c r="BH20" s="123" t="s">
        <v>3341</v>
      </c>
      <c r="BI20" s="123" t="s">
        <v>2190</v>
      </c>
      <c r="BJ20" s="123" t="s">
        <v>210</v>
      </c>
      <c r="BK20" s="123"/>
      <c r="BL20" s="123">
        <v>0</v>
      </c>
      <c r="BM20" s="123">
        <v>0</v>
      </c>
      <c r="BN20" s="123">
        <v>0</v>
      </c>
      <c r="BO20" s="123">
        <v>0</v>
      </c>
      <c r="BP20" s="123">
        <v>0</v>
      </c>
      <c r="BQ20" s="123">
        <v>0</v>
      </c>
      <c r="BR20" s="123">
        <v>0</v>
      </c>
      <c r="BS20" s="177" t="s">
        <v>2376</v>
      </c>
      <c r="BT20" s="318">
        <v>46234.586805555555</v>
      </c>
      <c r="BU20" s="123">
        <v>0</v>
      </c>
    </row>
    <row r="21" spans="6:73">
      <c r="F21" s="123"/>
      <c r="G21" s="123" t="s">
        <v>2216</v>
      </c>
      <c r="H21" s="177" t="s">
        <v>3352</v>
      </c>
      <c r="I21" s="123" t="s">
        <v>3524</v>
      </c>
      <c r="J21" s="123" t="s">
        <v>2193</v>
      </c>
      <c r="K21" s="123" t="s">
        <v>2192</v>
      </c>
      <c r="L21" s="123" t="s">
        <v>2189</v>
      </c>
      <c r="M21" s="123" t="s">
        <v>2188</v>
      </c>
      <c r="N21" s="123">
        <v>0</v>
      </c>
      <c r="O21" s="123">
        <v>48</v>
      </c>
      <c r="P21" s="123" t="s">
        <v>11</v>
      </c>
      <c r="Q21" s="123">
        <v>48</v>
      </c>
      <c r="R21" s="123">
        <v>0</v>
      </c>
      <c r="S21" s="123">
        <v>48</v>
      </c>
      <c r="T21" s="123" t="s">
        <v>2416</v>
      </c>
      <c r="U21" s="123" t="s">
        <v>252</v>
      </c>
      <c r="V21" s="123" t="s">
        <v>252</v>
      </c>
      <c r="W21" s="123" t="s">
        <v>3525</v>
      </c>
      <c r="X21" s="123" t="s">
        <v>3306</v>
      </c>
      <c r="Y21" s="123" t="s">
        <v>2187</v>
      </c>
      <c r="Z21" s="123" t="s">
        <v>2186</v>
      </c>
      <c r="AA21" s="123" t="s">
        <v>3526</v>
      </c>
      <c r="AB21" s="123">
        <v>0</v>
      </c>
      <c r="AC21" s="123">
        <v>0</v>
      </c>
      <c r="AD21" s="123" t="s">
        <v>3525</v>
      </c>
      <c r="AE21" s="123" t="s">
        <v>3306</v>
      </c>
      <c r="AF21" s="123">
        <v>0</v>
      </c>
      <c r="AG21" s="123" t="s">
        <v>2549</v>
      </c>
      <c r="AH21" s="123"/>
      <c r="AI21" s="123" t="s">
        <v>3484</v>
      </c>
      <c r="AJ21" s="123" t="s">
        <v>2376</v>
      </c>
      <c r="AK21" s="123">
        <v>0</v>
      </c>
      <c r="AL21" s="123">
        <v>0</v>
      </c>
      <c r="AM21" s="123">
        <v>0</v>
      </c>
      <c r="AN21" s="123">
        <v>0</v>
      </c>
      <c r="AO21" s="123">
        <v>0</v>
      </c>
      <c r="AP21" s="123" t="s">
        <v>609</v>
      </c>
      <c r="AQ21" s="123">
        <v>0</v>
      </c>
      <c r="AR21" s="123">
        <v>0</v>
      </c>
      <c r="AS21" s="123">
        <v>0</v>
      </c>
      <c r="AT21" s="123">
        <v>0</v>
      </c>
      <c r="AU21" s="123">
        <v>0</v>
      </c>
      <c r="AV21" s="123"/>
      <c r="AW21" s="123">
        <v>0</v>
      </c>
      <c r="AX21" s="123">
        <v>0</v>
      </c>
      <c r="AY21" s="123">
        <v>0</v>
      </c>
      <c r="AZ21" s="123" t="s">
        <v>13</v>
      </c>
      <c r="BA21" s="123" t="s">
        <v>80</v>
      </c>
      <c r="BB21" s="123" t="s">
        <v>81</v>
      </c>
      <c r="BC21" s="123" t="s">
        <v>2191</v>
      </c>
      <c r="BD21" s="123" t="s">
        <v>209</v>
      </c>
      <c r="BE21" s="123">
        <v>0</v>
      </c>
      <c r="BF21" s="123">
        <v>0</v>
      </c>
      <c r="BG21" s="123">
        <v>46</v>
      </c>
      <c r="BH21" s="123" t="s">
        <v>3341</v>
      </c>
      <c r="BI21" s="123" t="s">
        <v>2190</v>
      </c>
      <c r="BJ21" s="123" t="s">
        <v>210</v>
      </c>
      <c r="BK21" s="123"/>
      <c r="BL21" s="123">
        <v>0</v>
      </c>
      <c r="BM21" s="123">
        <v>0</v>
      </c>
      <c r="BN21" s="123">
        <v>0</v>
      </c>
      <c r="BO21" s="123">
        <v>0</v>
      </c>
      <c r="BP21" s="123">
        <v>0</v>
      </c>
      <c r="BQ21" s="123">
        <v>0</v>
      </c>
      <c r="BR21" s="123">
        <v>0</v>
      </c>
      <c r="BS21" s="177" t="s">
        <v>2376</v>
      </c>
      <c r="BT21" s="318">
        <v>46234.592361111114</v>
      </c>
      <c r="BU21" s="123">
        <v>0</v>
      </c>
    </row>
    <row r="22" spans="6:73">
      <c r="F22" s="123"/>
      <c r="G22" s="123" t="s">
        <v>2216</v>
      </c>
      <c r="H22" s="177" t="s">
        <v>3352</v>
      </c>
      <c r="I22" s="123" t="s">
        <v>3527</v>
      </c>
      <c r="J22" s="123" t="s">
        <v>2193</v>
      </c>
      <c r="K22" s="123" t="s">
        <v>2192</v>
      </c>
      <c r="L22" s="123" t="s">
        <v>2189</v>
      </c>
      <c r="M22" s="123" t="s">
        <v>2188</v>
      </c>
      <c r="N22" s="123">
        <v>0</v>
      </c>
      <c r="O22" s="123">
        <v>16</v>
      </c>
      <c r="P22" s="123" t="s">
        <v>11</v>
      </c>
      <c r="Q22" s="123">
        <v>16</v>
      </c>
      <c r="R22" s="123">
        <v>0</v>
      </c>
      <c r="S22" s="123">
        <v>16</v>
      </c>
      <c r="T22" s="123" t="s">
        <v>2416</v>
      </c>
      <c r="U22" s="123" t="s">
        <v>252</v>
      </c>
      <c r="V22" s="123" t="s">
        <v>252</v>
      </c>
      <c r="W22" s="123" t="s">
        <v>3528</v>
      </c>
      <c r="X22" s="123" t="s">
        <v>3341</v>
      </c>
      <c r="Y22" s="123" t="s">
        <v>2187</v>
      </c>
      <c r="Z22" s="123" t="s">
        <v>2186</v>
      </c>
      <c r="AA22" s="123" t="s">
        <v>3529</v>
      </c>
      <c r="AB22" s="123">
        <v>0</v>
      </c>
      <c r="AC22" s="123">
        <v>0</v>
      </c>
      <c r="AD22" s="123" t="s">
        <v>3528</v>
      </c>
      <c r="AE22" s="123" t="s">
        <v>3341</v>
      </c>
      <c r="AF22" s="123">
        <v>0</v>
      </c>
      <c r="AG22" s="123" t="s">
        <v>2549</v>
      </c>
      <c r="AH22" s="123"/>
      <c r="AI22" s="123" t="s">
        <v>3484</v>
      </c>
      <c r="AJ22" s="123" t="s">
        <v>2376</v>
      </c>
      <c r="AK22" s="123">
        <v>0</v>
      </c>
      <c r="AL22" s="123">
        <v>0</v>
      </c>
      <c r="AM22" s="123">
        <v>0</v>
      </c>
      <c r="AN22" s="123">
        <v>0</v>
      </c>
      <c r="AO22" s="123">
        <v>0</v>
      </c>
      <c r="AP22" s="123" t="s">
        <v>609</v>
      </c>
      <c r="AQ22" s="123">
        <v>0</v>
      </c>
      <c r="AR22" s="123">
        <v>0</v>
      </c>
      <c r="AS22" s="123">
        <v>0</v>
      </c>
      <c r="AT22" s="123">
        <v>0</v>
      </c>
      <c r="AU22" s="123">
        <v>0</v>
      </c>
      <c r="AV22" s="123"/>
      <c r="AW22" s="123">
        <v>0</v>
      </c>
      <c r="AX22" s="123">
        <v>0</v>
      </c>
      <c r="AY22" s="123">
        <v>0</v>
      </c>
      <c r="AZ22" s="123" t="s">
        <v>13</v>
      </c>
      <c r="BA22" s="123" t="s">
        <v>80</v>
      </c>
      <c r="BB22" s="123" t="s">
        <v>81</v>
      </c>
      <c r="BC22" s="123" t="s">
        <v>2191</v>
      </c>
      <c r="BD22" s="123" t="s">
        <v>209</v>
      </c>
      <c r="BE22" s="123">
        <v>0</v>
      </c>
      <c r="BF22" s="123">
        <v>0</v>
      </c>
      <c r="BG22" s="123">
        <v>44</v>
      </c>
      <c r="BH22" s="123" t="s">
        <v>3341</v>
      </c>
      <c r="BI22" s="123" t="s">
        <v>2190</v>
      </c>
      <c r="BJ22" s="123" t="s">
        <v>210</v>
      </c>
      <c r="BK22" s="123"/>
      <c r="BL22" s="123">
        <v>0</v>
      </c>
      <c r="BM22" s="123">
        <v>0</v>
      </c>
      <c r="BN22" s="123">
        <v>0</v>
      </c>
      <c r="BO22" s="123">
        <v>0</v>
      </c>
      <c r="BP22" s="123">
        <v>0</v>
      </c>
      <c r="BQ22" s="123">
        <v>0</v>
      </c>
      <c r="BR22" s="123">
        <v>0</v>
      </c>
      <c r="BS22" s="177" t="s">
        <v>2376</v>
      </c>
      <c r="BT22" s="318">
        <v>46234.605555555558</v>
      </c>
      <c r="BU22" s="123">
        <v>0</v>
      </c>
    </row>
    <row r="23" spans="6:73">
      <c r="F23" s="123"/>
      <c r="G23" s="123" t="s">
        <v>2216</v>
      </c>
      <c r="H23" s="177" t="s">
        <v>3352</v>
      </c>
      <c r="I23" s="123" t="s">
        <v>3530</v>
      </c>
      <c r="J23" s="123" t="s">
        <v>2193</v>
      </c>
      <c r="K23" s="123" t="s">
        <v>2192</v>
      </c>
      <c r="L23" s="123" t="s">
        <v>2189</v>
      </c>
      <c r="M23" s="123" t="s">
        <v>2188</v>
      </c>
      <c r="N23" s="123">
        <v>0</v>
      </c>
      <c r="O23" s="123">
        <v>90.24</v>
      </c>
      <c r="P23" s="123" t="s">
        <v>11</v>
      </c>
      <c r="Q23" s="123">
        <v>90.24</v>
      </c>
      <c r="R23" s="123">
        <v>0</v>
      </c>
      <c r="S23" s="123">
        <v>90.24</v>
      </c>
      <c r="T23" s="123" t="s">
        <v>3531</v>
      </c>
      <c r="U23" s="123" t="s">
        <v>250</v>
      </c>
      <c r="V23" s="123" t="s">
        <v>250</v>
      </c>
      <c r="W23" s="123">
        <v>22</v>
      </c>
      <c r="X23" s="123" t="s">
        <v>3167</v>
      </c>
      <c r="Y23" s="123" t="s">
        <v>2187</v>
      </c>
      <c r="Z23" s="123" t="s">
        <v>2186</v>
      </c>
      <c r="AA23" s="123" t="s">
        <v>3532</v>
      </c>
      <c r="AB23" s="123">
        <v>0</v>
      </c>
      <c r="AC23" s="123">
        <v>0</v>
      </c>
      <c r="AD23" s="123">
        <v>22</v>
      </c>
      <c r="AE23" s="123" t="s">
        <v>3167</v>
      </c>
      <c r="AF23" s="123">
        <v>0</v>
      </c>
      <c r="AG23" s="123" t="s">
        <v>2549</v>
      </c>
      <c r="AH23" s="123"/>
      <c r="AI23" s="123" t="s">
        <v>3484</v>
      </c>
      <c r="AJ23" s="123" t="s">
        <v>2376</v>
      </c>
      <c r="AK23" s="123">
        <v>0</v>
      </c>
      <c r="AL23" s="123">
        <v>0</v>
      </c>
      <c r="AM23" s="123">
        <v>0</v>
      </c>
      <c r="AN23" s="123">
        <v>0</v>
      </c>
      <c r="AO23" s="123">
        <v>0</v>
      </c>
      <c r="AP23" s="123" t="s">
        <v>609</v>
      </c>
      <c r="AQ23" s="123">
        <v>0</v>
      </c>
      <c r="AR23" s="123">
        <v>0</v>
      </c>
      <c r="AS23" s="123">
        <v>0</v>
      </c>
      <c r="AT23" s="123">
        <v>0</v>
      </c>
      <c r="AU23" s="123">
        <v>0</v>
      </c>
      <c r="AV23" s="123"/>
      <c r="AW23" s="123">
        <v>0</v>
      </c>
      <c r="AX23" s="123">
        <v>0</v>
      </c>
      <c r="AY23" s="123">
        <v>0</v>
      </c>
      <c r="AZ23" s="123" t="s">
        <v>13</v>
      </c>
      <c r="BA23" s="123" t="s">
        <v>80</v>
      </c>
      <c r="BB23" s="123" t="s">
        <v>81</v>
      </c>
      <c r="BC23" s="123" t="s">
        <v>2191</v>
      </c>
      <c r="BD23" s="123" t="s">
        <v>209</v>
      </c>
      <c r="BE23" s="123">
        <v>0</v>
      </c>
      <c r="BF23" s="123">
        <v>0</v>
      </c>
      <c r="BG23" s="123" t="s">
        <v>3533</v>
      </c>
      <c r="BH23" s="123" t="s">
        <v>3352</v>
      </c>
      <c r="BI23" s="123" t="s">
        <v>2455</v>
      </c>
      <c r="BJ23" s="123" t="s">
        <v>210</v>
      </c>
      <c r="BK23" s="123"/>
      <c r="BL23" s="123">
        <v>0</v>
      </c>
      <c r="BM23" s="123">
        <v>0</v>
      </c>
      <c r="BN23" s="123">
        <v>0</v>
      </c>
      <c r="BO23" s="123">
        <v>0</v>
      </c>
      <c r="BP23" s="123">
        <v>0</v>
      </c>
      <c r="BQ23" s="123">
        <v>0</v>
      </c>
      <c r="BR23" s="123">
        <v>0</v>
      </c>
      <c r="BS23" s="177" t="s">
        <v>2376</v>
      </c>
      <c r="BT23" s="318">
        <v>46234.45416666667</v>
      </c>
      <c r="BU23" s="123">
        <v>0</v>
      </c>
    </row>
    <row r="24" spans="6:73">
      <c r="F24" s="123"/>
      <c r="G24" s="123"/>
      <c r="H24" s="177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  <c r="AC24" s="123"/>
      <c r="AD24" s="123"/>
      <c r="AE24" s="123"/>
      <c r="AF24" s="123"/>
      <c r="AG24" s="123"/>
      <c r="AH24" s="123"/>
      <c r="AI24" s="123"/>
      <c r="AJ24" s="123"/>
      <c r="AK24" s="123"/>
      <c r="AL24" s="123"/>
      <c r="AM24" s="123"/>
      <c r="AN24" s="123"/>
      <c r="AO24" s="123"/>
      <c r="AP24" s="123"/>
      <c r="AQ24" s="123"/>
      <c r="AR24" s="123"/>
      <c r="AS24" s="123"/>
      <c r="AT24" s="123"/>
      <c r="AU24" s="123"/>
      <c r="AV24" s="123"/>
      <c r="AW24" s="123"/>
      <c r="AX24" s="123"/>
      <c r="AY24" s="123"/>
      <c r="AZ24" s="123"/>
      <c r="BA24" s="123"/>
      <c r="BB24" s="123"/>
      <c r="BC24" s="123"/>
      <c r="BD24" s="123"/>
      <c r="BE24" s="123"/>
      <c r="BF24" s="123"/>
      <c r="BG24" s="123"/>
      <c r="BH24" s="123"/>
      <c r="BI24" s="123"/>
      <c r="BJ24" s="123"/>
      <c r="BK24" s="123"/>
      <c r="BL24" s="123"/>
      <c r="BM24" s="123"/>
      <c r="BN24" s="123"/>
      <c r="BO24" s="123"/>
      <c r="BP24" s="123"/>
      <c r="BQ24" s="123"/>
      <c r="BR24" s="123"/>
      <c r="BS24" s="177"/>
      <c r="BT24" s="123"/>
      <c r="BU24" s="1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37"/>
  <sheetViews>
    <sheetView tabSelected="1" workbookViewId="0">
      <selection activeCell="J10" sqref="J10"/>
    </sheetView>
  </sheetViews>
  <sheetFormatPr defaultRowHeight="15"/>
  <cols>
    <col min="1" max="1" width="31.28515625" style="27" customWidth="1"/>
    <col min="2" max="2" width="12.28515625" style="27" bestFit="1" customWidth="1"/>
    <col min="3" max="3" width="31.85546875" style="27" bestFit="1" customWidth="1"/>
    <col min="4" max="4" width="7.42578125" style="27" bestFit="1" customWidth="1"/>
    <col min="5" max="7" width="7.42578125" style="27" customWidth="1"/>
    <col min="8" max="8" width="26.7109375" style="27" bestFit="1" customWidth="1"/>
    <col min="9" max="9" width="2" style="27" customWidth="1"/>
    <col min="10" max="10" width="11.28515625" style="27" customWidth="1"/>
    <col min="11" max="11" width="3.140625" style="27" customWidth="1"/>
    <col min="12" max="12" width="11.5703125" style="27" customWidth="1"/>
    <col min="13" max="13" width="7.28515625" style="27" bestFit="1" customWidth="1"/>
    <col min="14" max="16384" width="9.140625" style="27"/>
  </cols>
  <sheetData>
    <row r="1" spans="1:14" ht="18.75">
      <c r="A1" s="455" t="s">
        <v>10025</v>
      </c>
      <c r="B1" s="456"/>
      <c r="C1" s="457"/>
      <c r="H1" s="165" t="s">
        <v>1247</v>
      </c>
      <c r="I1" s="166"/>
      <c r="J1" s="165" t="s">
        <v>1248</v>
      </c>
      <c r="K1" s="202"/>
      <c r="L1" s="226" t="s">
        <v>1249</v>
      </c>
    </row>
    <row r="2" spans="1:14" ht="15.75">
      <c r="A2" s="448" t="s">
        <v>868</v>
      </c>
      <c r="B2" s="201" t="s">
        <v>863</v>
      </c>
      <c r="C2" s="449" t="s">
        <v>864</v>
      </c>
      <c r="H2" s="166" t="s">
        <v>1250</v>
      </c>
      <c r="I2" s="166"/>
      <c r="J2" s="167">
        <v>400</v>
      </c>
      <c r="K2" s="203"/>
      <c r="L2" s="168"/>
    </row>
    <row r="3" spans="1:14" ht="15.75">
      <c r="A3" s="454" t="s">
        <v>2668</v>
      </c>
      <c r="B3" s="290">
        <v>958550</v>
      </c>
      <c r="C3" s="450" t="s">
        <v>2277</v>
      </c>
      <c r="H3" s="169" t="s">
        <v>1251</v>
      </c>
      <c r="I3" s="166"/>
      <c r="J3" s="168"/>
      <c r="K3" s="203"/>
      <c r="L3" s="168"/>
    </row>
    <row r="4" spans="1:14" ht="15.75">
      <c r="A4" s="454"/>
      <c r="B4" s="291">
        <v>85442</v>
      </c>
      <c r="C4" s="450" t="s">
        <v>1620</v>
      </c>
      <c r="H4" s="166" t="s">
        <v>1252</v>
      </c>
      <c r="I4" s="166"/>
      <c r="J4" s="167">
        <v>481.05500000000001</v>
      </c>
      <c r="K4" s="203"/>
      <c r="L4" s="167">
        <v>228.05</v>
      </c>
      <c r="M4" s="218">
        <f>+L4*0.95</f>
        <v>216.64750000000001</v>
      </c>
    </row>
    <row r="5" spans="1:14" ht="15.75">
      <c r="A5" s="454"/>
      <c r="B5" s="291">
        <v>300087</v>
      </c>
      <c r="C5" s="126" t="s">
        <v>1621</v>
      </c>
      <c r="H5" s="166" t="s">
        <v>1253</v>
      </c>
      <c r="I5" s="166"/>
      <c r="J5" s="166"/>
      <c r="K5" s="203"/>
      <c r="L5" s="166"/>
    </row>
    <row r="6" spans="1:14" ht="15.75">
      <c r="A6" s="454"/>
      <c r="B6" s="291">
        <v>2055603</v>
      </c>
      <c r="C6" s="126" t="s">
        <v>1622</v>
      </c>
      <c r="H6" s="166"/>
      <c r="I6" s="166"/>
      <c r="J6" s="166"/>
      <c r="K6" s="203"/>
      <c r="L6" s="166"/>
    </row>
    <row r="7" spans="1:14" ht="15.75">
      <c r="A7" s="454"/>
      <c r="B7" s="291">
        <v>1151040</v>
      </c>
      <c r="C7" s="126" t="s">
        <v>2168</v>
      </c>
      <c r="H7" s="169" t="s">
        <v>1254</v>
      </c>
      <c r="I7" s="166"/>
      <c r="J7" s="168"/>
      <c r="K7" s="203"/>
      <c r="L7" s="168"/>
      <c r="M7" s="161"/>
    </row>
    <row r="8" spans="1:14" ht="15.75">
      <c r="A8" s="454"/>
      <c r="B8" s="291">
        <v>109307</v>
      </c>
      <c r="C8" s="126" t="s">
        <v>1623</v>
      </c>
      <c r="H8" s="166" t="s">
        <v>1252</v>
      </c>
      <c r="I8" s="166"/>
      <c r="J8" s="167">
        <v>595.28700000000003</v>
      </c>
      <c r="K8" s="203"/>
      <c r="L8" s="167">
        <v>228.05</v>
      </c>
      <c r="M8" s="218">
        <f>+L8*0.95</f>
        <v>216.64750000000001</v>
      </c>
    </row>
    <row r="9" spans="1:14" ht="15.75">
      <c r="A9" s="454"/>
      <c r="B9" s="291">
        <v>800315</v>
      </c>
      <c r="C9" s="450" t="s">
        <v>392</v>
      </c>
      <c r="H9" s="166" t="s">
        <v>1255</v>
      </c>
      <c r="I9" s="166"/>
      <c r="J9" s="166"/>
      <c r="K9" s="203"/>
      <c r="L9" s="170"/>
    </row>
    <row r="10" spans="1:14" ht="15.75">
      <c r="A10" s="454"/>
      <c r="B10" s="291">
        <v>799650</v>
      </c>
      <c r="C10" s="450" t="s">
        <v>1624</v>
      </c>
      <c r="H10" s="166"/>
      <c r="I10" s="166"/>
      <c r="J10" s="166"/>
      <c r="K10" s="203"/>
      <c r="L10" s="166"/>
    </row>
    <row r="11" spans="1:14" ht="15.75">
      <c r="A11" s="454"/>
      <c r="B11" s="349">
        <v>1754987</v>
      </c>
      <c r="C11" s="126" t="s">
        <v>2205</v>
      </c>
      <c r="H11" s="169" t="s">
        <v>1256</v>
      </c>
      <c r="I11" s="166"/>
      <c r="J11" s="168"/>
      <c r="K11" s="203"/>
      <c r="L11" s="168"/>
    </row>
    <row r="12" spans="1:14" ht="15.75">
      <c r="A12" s="454"/>
      <c r="B12" s="291">
        <v>548964</v>
      </c>
      <c r="C12" s="95" t="s">
        <v>1625</v>
      </c>
      <c r="H12" s="166" t="s">
        <v>1255</v>
      </c>
      <c r="I12" s="166"/>
      <c r="J12" s="167">
        <v>382.73500000000001</v>
      </c>
      <c r="K12" s="203"/>
      <c r="L12" s="167">
        <v>145.68118481947437</v>
      </c>
      <c r="M12" s="161"/>
    </row>
    <row r="13" spans="1:14" ht="15.75">
      <c r="A13" s="454"/>
      <c r="B13" s="291">
        <v>0</v>
      </c>
      <c r="C13" s="279" t="s">
        <v>2443</v>
      </c>
      <c r="H13" s="166" t="s">
        <v>1257</v>
      </c>
      <c r="I13" s="166"/>
      <c r="J13" s="166"/>
      <c r="K13" s="204"/>
      <c r="L13" s="168"/>
    </row>
    <row r="14" spans="1:14">
      <c r="A14" s="420"/>
      <c r="B14" s="282"/>
      <c r="C14" s="95" t="s">
        <v>2158</v>
      </c>
    </row>
    <row r="15" spans="1:14" ht="18.75">
      <c r="A15" s="326"/>
      <c r="B15" s="151"/>
      <c r="C15" s="447"/>
      <c r="H15" s="399" t="s">
        <v>1450</v>
      </c>
      <c r="I15" s="192" t="s">
        <v>231</v>
      </c>
      <c r="J15" s="451">
        <v>5822557.5</v>
      </c>
      <c r="K15" s="452"/>
      <c r="L15" s="453"/>
      <c r="N15" s="161"/>
    </row>
    <row r="16" spans="1:14" ht="15.75">
      <c r="A16" s="200" t="s">
        <v>868</v>
      </c>
      <c r="B16" s="200" t="s">
        <v>863</v>
      </c>
      <c r="C16" s="200" t="s">
        <v>1445</v>
      </c>
      <c r="H16" s="400" t="s">
        <v>4</v>
      </c>
      <c r="I16" s="192" t="s">
        <v>231</v>
      </c>
      <c r="J16" s="451">
        <v>1649149.39</v>
      </c>
      <c r="K16" s="452"/>
      <c r="L16" s="453"/>
      <c r="N16" s="161"/>
    </row>
    <row r="17" spans="1:8">
      <c r="A17" s="126" t="s">
        <v>775</v>
      </c>
      <c r="B17" s="321">
        <f>36500+3200</f>
        <v>39700</v>
      </c>
      <c r="C17" s="126" t="s">
        <v>10024</v>
      </c>
      <c r="D17" s="27" t="s">
        <v>2318</v>
      </c>
    </row>
    <row r="18" spans="1:8">
      <c r="A18" s="126" t="s">
        <v>865</v>
      </c>
      <c r="B18" s="321">
        <v>7500</v>
      </c>
      <c r="C18" s="126" t="s">
        <v>1619</v>
      </c>
    </row>
    <row r="19" spans="1:8" hidden="1">
      <c r="A19" s="126" t="s">
        <v>866</v>
      </c>
      <c r="B19" s="321">
        <v>0</v>
      </c>
      <c r="C19" s="126" t="s">
        <v>2162</v>
      </c>
    </row>
    <row r="20" spans="1:8">
      <c r="A20" s="126" t="s">
        <v>296</v>
      </c>
      <c r="B20" s="329">
        <v>7189365</v>
      </c>
      <c r="C20" s="126" t="s">
        <v>2565</v>
      </c>
      <c r="D20" s="27" t="s">
        <v>2318</v>
      </c>
      <c r="H20" s="255"/>
    </row>
    <row r="21" spans="1:8">
      <c r="A21" s="126" t="s">
        <v>1432</v>
      </c>
      <c r="B21" s="345">
        <v>559820</v>
      </c>
      <c r="C21" s="126" t="s">
        <v>2565</v>
      </c>
      <c r="D21" s="27" t="s">
        <v>2318</v>
      </c>
      <c r="H21" s="255"/>
    </row>
    <row r="22" spans="1:8">
      <c r="A22" s="126" t="s">
        <v>664</v>
      </c>
      <c r="B22" s="321">
        <v>12200</v>
      </c>
      <c r="C22" s="126" t="s">
        <v>2319</v>
      </c>
    </row>
    <row r="23" spans="1:8" hidden="1">
      <c r="A23" s="126" t="s">
        <v>2057</v>
      </c>
      <c r="B23" s="321">
        <v>0</v>
      </c>
      <c r="C23" s="126" t="s">
        <v>2321</v>
      </c>
    </row>
    <row r="24" spans="1:8">
      <c r="A24" s="126" t="s">
        <v>2460</v>
      </c>
      <c r="B24" s="321">
        <v>2260</v>
      </c>
      <c r="C24" s="364" t="s">
        <v>2535</v>
      </c>
    </row>
    <row r="25" spans="1:8">
      <c r="A25" s="126" t="s">
        <v>2263</v>
      </c>
      <c r="B25" s="321">
        <v>11000</v>
      </c>
      <c r="C25" s="126" t="s">
        <v>2241</v>
      </c>
    </row>
    <row r="26" spans="1:8">
      <c r="A26" s="126" t="s">
        <v>2311</v>
      </c>
      <c r="B26" s="148">
        <v>6998</v>
      </c>
      <c r="C26" s="126" t="s">
        <v>2320</v>
      </c>
    </row>
    <row r="27" spans="1:8" hidden="1">
      <c r="A27" s="126" t="s">
        <v>664</v>
      </c>
      <c r="B27" s="327">
        <v>0</v>
      </c>
      <c r="C27" s="126" t="s">
        <v>2317</v>
      </c>
    </row>
    <row r="28" spans="1:8">
      <c r="A28" s="126" t="s">
        <v>2061</v>
      </c>
      <c r="B28" s="148">
        <v>131100</v>
      </c>
      <c r="C28" s="126" t="s">
        <v>2444</v>
      </c>
    </row>
    <row r="29" spans="1:8" hidden="1">
      <c r="A29" s="126" t="s">
        <v>2457</v>
      </c>
      <c r="B29" s="327">
        <v>0</v>
      </c>
      <c r="C29" s="126" t="s">
        <v>2458</v>
      </c>
    </row>
    <row r="30" spans="1:8">
      <c r="A30" s="126" t="s">
        <v>2674</v>
      </c>
      <c r="B30" s="148">
        <v>7050</v>
      </c>
      <c r="C30" s="126" t="s">
        <v>2445</v>
      </c>
    </row>
    <row r="31" spans="1:8" hidden="1">
      <c r="A31" s="126" t="s">
        <v>2530</v>
      </c>
      <c r="B31" s="327">
        <v>0</v>
      </c>
      <c r="C31" s="126" t="s">
        <v>2534</v>
      </c>
    </row>
    <row r="32" spans="1:8" hidden="1">
      <c r="A32" s="126" t="s">
        <v>2531</v>
      </c>
      <c r="B32" s="327">
        <v>0</v>
      </c>
      <c r="C32" s="126" t="s">
        <v>2529</v>
      </c>
    </row>
    <row r="33" spans="1:3" hidden="1">
      <c r="A33" s="126" t="s">
        <v>2532</v>
      </c>
      <c r="B33" s="327">
        <v>0</v>
      </c>
      <c r="C33" s="126" t="s">
        <v>2533</v>
      </c>
    </row>
    <row r="34" spans="1:3">
      <c r="A34" s="402" t="s">
        <v>2459</v>
      </c>
      <c r="B34" s="327">
        <f>29000+52200</f>
        <v>81200</v>
      </c>
      <c r="C34" s="126" t="s">
        <v>2661</v>
      </c>
    </row>
    <row r="35" spans="1:3" hidden="1">
      <c r="A35" s="402" t="s">
        <v>2662</v>
      </c>
      <c r="B35" s="327">
        <v>0</v>
      </c>
      <c r="C35" s="126" t="s">
        <v>2663</v>
      </c>
    </row>
    <row r="36" spans="1:3">
      <c r="A36" s="126" t="s">
        <v>664</v>
      </c>
      <c r="B36" s="148">
        <v>9400</v>
      </c>
      <c r="C36" s="402" t="s">
        <v>10023</v>
      </c>
    </row>
    <row r="37" spans="1:3">
      <c r="A37" s="168"/>
      <c r="B37" s="209">
        <f>SUM(B3:B36)</f>
        <v>16621538</v>
      </c>
      <c r="C37" s="127" t="s">
        <v>867</v>
      </c>
    </row>
  </sheetData>
  <mergeCells count="4">
    <mergeCell ref="J15:L15"/>
    <mergeCell ref="J16:L16"/>
    <mergeCell ref="A3:A13"/>
    <mergeCell ref="A1:C1"/>
  </mergeCell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B2:I29"/>
  <sheetViews>
    <sheetView workbookViewId="0">
      <selection activeCell="L10" sqref="L10"/>
    </sheetView>
  </sheetViews>
  <sheetFormatPr defaultColWidth="11.5703125" defaultRowHeight="15"/>
  <cols>
    <col min="2" max="2" width="12.140625" bestFit="1" customWidth="1"/>
    <col min="3" max="3" width="24" customWidth="1"/>
    <col min="4" max="4" width="10.85546875" customWidth="1"/>
    <col min="5" max="5" width="12.7109375" customWidth="1"/>
    <col min="6" max="6" width="11.7109375" customWidth="1"/>
    <col min="7" max="7" width="8.7109375" customWidth="1"/>
    <col min="8" max="8" width="12.5703125" bestFit="1" customWidth="1"/>
  </cols>
  <sheetData>
    <row r="2" spans="2:6" ht="15.75">
      <c r="B2" s="460" t="s">
        <v>1984</v>
      </c>
      <c r="C2" s="460"/>
      <c r="D2" s="460"/>
      <c r="E2" s="460"/>
      <c r="F2" s="460"/>
    </row>
    <row r="3" spans="2:6" s="225" customFormat="1" ht="9.75" customHeight="1">
      <c r="B3" s="461" t="s">
        <v>1985</v>
      </c>
      <c r="C3" s="462"/>
      <c r="D3" s="463"/>
      <c r="E3" s="463"/>
      <c r="F3" s="466" t="s">
        <v>1990</v>
      </c>
    </row>
    <row r="4" spans="2:6" s="225" customFormat="1" ht="11.25" customHeight="1">
      <c r="B4" s="461"/>
      <c r="C4" s="236"/>
      <c r="D4" s="236"/>
      <c r="E4" s="236"/>
      <c r="F4" s="467"/>
    </row>
    <row r="5" spans="2:6">
      <c r="B5" s="461"/>
      <c r="C5" s="237" t="s">
        <v>1986</v>
      </c>
      <c r="D5" s="227" t="s">
        <v>1987</v>
      </c>
      <c r="E5" s="227" t="s">
        <v>1988</v>
      </c>
      <c r="F5" s="227" t="s">
        <v>1989</v>
      </c>
    </row>
    <row r="6" spans="2:6">
      <c r="B6" s="461"/>
      <c r="C6" s="69" t="s">
        <v>234</v>
      </c>
      <c r="D6" s="25">
        <v>406016.1</v>
      </c>
      <c r="E6" s="69">
        <v>61264011.920000002</v>
      </c>
      <c r="F6" s="25">
        <f>+E6/D6</f>
        <v>150.89059749108472</v>
      </c>
    </row>
    <row r="7" spans="2:6" ht="15.75" customHeight="1">
      <c r="B7" s="465"/>
      <c r="C7" s="465"/>
      <c r="D7" s="465"/>
      <c r="E7" s="465"/>
      <c r="F7" s="466" t="s">
        <v>1999</v>
      </c>
    </row>
    <row r="8" spans="2:6" ht="11.25" customHeight="1">
      <c r="B8" s="465"/>
      <c r="C8" s="465"/>
      <c r="D8" s="465"/>
      <c r="E8" s="465"/>
      <c r="F8" s="467"/>
    </row>
    <row r="9" spans="2:6">
      <c r="B9" s="461" t="s">
        <v>1991</v>
      </c>
      <c r="C9" s="237" t="s">
        <v>1986</v>
      </c>
      <c r="D9" s="227" t="s">
        <v>1987</v>
      </c>
      <c r="E9" s="227" t="s">
        <v>1988</v>
      </c>
      <c r="F9" s="227" t="s">
        <v>1989</v>
      </c>
    </row>
    <row r="10" spans="2:6">
      <c r="B10" s="461"/>
      <c r="C10" s="235" t="s">
        <v>1992</v>
      </c>
      <c r="D10" s="25">
        <v>49687.400000000009</v>
      </c>
      <c r="E10" s="69">
        <v>6118732.1500000004</v>
      </c>
      <c r="F10" s="234">
        <f t="shared" ref="F10:F16" si="0">+E10/D10</f>
        <v>123.1445426808406</v>
      </c>
    </row>
    <row r="11" spans="2:6">
      <c r="B11" s="461"/>
      <c r="C11" s="235" t="s">
        <v>1993</v>
      </c>
      <c r="D11" s="25">
        <v>846.1</v>
      </c>
      <c r="E11" s="69">
        <v>102637.22999999998</v>
      </c>
      <c r="F11" s="234">
        <f t="shared" si="0"/>
        <v>121.30626403498403</v>
      </c>
    </row>
    <row r="12" spans="2:6">
      <c r="B12" s="461"/>
      <c r="C12" s="235" t="s">
        <v>656</v>
      </c>
      <c r="D12" s="25">
        <v>909.7</v>
      </c>
      <c r="E12" s="69">
        <v>104412.64</v>
      </c>
      <c r="F12" s="234">
        <f t="shared" si="0"/>
        <v>114.77700340771682</v>
      </c>
    </row>
    <row r="13" spans="2:6">
      <c r="B13" s="461"/>
      <c r="C13" s="235" t="s">
        <v>1994</v>
      </c>
      <c r="D13" s="25">
        <v>10591.2</v>
      </c>
      <c r="E13" s="69">
        <v>1396913.68</v>
      </c>
      <c r="F13" s="234">
        <f t="shared" si="0"/>
        <v>131.89380617871439</v>
      </c>
    </row>
    <row r="14" spans="2:6">
      <c r="B14" s="461"/>
      <c r="C14" s="235" t="s">
        <v>1995</v>
      </c>
      <c r="D14" s="25">
        <v>31724.2</v>
      </c>
      <c r="E14" s="69">
        <v>3839698.75</v>
      </c>
      <c r="F14" s="234">
        <f t="shared" si="0"/>
        <v>121.03374553180221</v>
      </c>
    </row>
    <row r="15" spans="2:6">
      <c r="B15" s="461"/>
      <c r="C15" s="235" t="s">
        <v>1996</v>
      </c>
      <c r="D15" s="25">
        <v>264543.80000000005</v>
      </c>
      <c r="E15" s="69">
        <v>30961910.690000005</v>
      </c>
      <c r="F15" s="234">
        <f t="shared" si="0"/>
        <v>117.0388823703296</v>
      </c>
    </row>
    <row r="16" spans="2:6">
      <c r="B16" s="461"/>
      <c r="C16" s="235" t="s">
        <v>1997</v>
      </c>
      <c r="D16" s="25">
        <v>57892.499999999985</v>
      </c>
      <c r="E16" s="69">
        <v>6893788.4600000009</v>
      </c>
      <c r="F16" s="234">
        <f t="shared" si="0"/>
        <v>119.0791287299737</v>
      </c>
    </row>
    <row r="17" spans="2:9">
      <c r="D17" s="25">
        <f>SUM(D10:D16)</f>
        <v>416194.9</v>
      </c>
      <c r="E17" s="25">
        <f>SUM(E10:E16)</f>
        <v>49418093.600000001</v>
      </c>
      <c r="F17" s="239">
        <f>+E17/D17</f>
        <v>118.73786439958779</v>
      </c>
    </row>
    <row r="18" spans="2:9">
      <c r="D18" s="465"/>
      <c r="E18" s="465"/>
      <c r="F18" s="465"/>
    </row>
    <row r="19" spans="2:9">
      <c r="D19" s="464" t="s">
        <v>1998</v>
      </c>
      <c r="E19" s="464"/>
      <c r="F19" s="18">
        <f>+F6-F17</f>
        <v>32.152733091496927</v>
      </c>
    </row>
    <row r="21" spans="2:9">
      <c r="B21" s="459" t="s">
        <v>2000</v>
      </c>
      <c r="C21" s="459"/>
      <c r="D21" s="459"/>
    </row>
    <row r="22" spans="2:9" ht="15.75">
      <c r="B22" s="240" t="s">
        <v>1971</v>
      </c>
      <c r="C22" s="458" t="s">
        <v>1972</v>
      </c>
      <c r="D22" s="458"/>
      <c r="E22" s="458"/>
      <c r="F22" s="458" t="s">
        <v>1973</v>
      </c>
      <c r="G22" s="458"/>
      <c r="H22" s="458"/>
      <c r="I22" s="228" t="s">
        <v>1974</v>
      </c>
    </row>
    <row r="23" spans="2:9">
      <c r="B23" s="229" t="s">
        <v>1975</v>
      </c>
      <c r="C23" s="229" t="s">
        <v>1976</v>
      </c>
      <c r="D23" s="229" t="s">
        <v>182</v>
      </c>
      <c r="E23" s="229" t="s">
        <v>38</v>
      </c>
      <c r="F23" s="229" t="s">
        <v>1976</v>
      </c>
      <c r="G23" s="229" t="s">
        <v>182</v>
      </c>
      <c r="H23" s="229" t="s">
        <v>38</v>
      </c>
      <c r="I23" s="229" t="s">
        <v>1977</v>
      </c>
    </row>
    <row r="24" spans="2:9">
      <c r="B24" s="230" t="s">
        <v>1978</v>
      </c>
      <c r="C24" s="231">
        <v>396215.1</v>
      </c>
      <c r="D24" s="231">
        <f>+E24/C24</f>
        <v>111.94215644482</v>
      </c>
      <c r="E24" s="238">
        <v>44353172.710000001</v>
      </c>
      <c r="F24" s="231">
        <v>422404.1</v>
      </c>
      <c r="G24" s="231">
        <f>+H24/F24</f>
        <v>162.14543140087892</v>
      </c>
      <c r="H24" s="232">
        <v>68490895.019999996</v>
      </c>
      <c r="I24" s="231">
        <f>+G24-D24</f>
        <v>50.20327495605892</v>
      </c>
    </row>
    <row r="25" spans="2:9">
      <c r="B25" s="230" t="s">
        <v>1979</v>
      </c>
      <c r="C25" s="231">
        <v>425293.1</v>
      </c>
      <c r="D25" s="231">
        <f>+E25/C25</f>
        <v>112.11408348736435</v>
      </c>
      <c r="E25" s="238">
        <v>47681346.119999997</v>
      </c>
      <c r="F25" s="231">
        <v>308715.72200000007</v>
      </c>
      <c r="G25" s="231">
        <f>+H25/F25</f>
        <v>159.86059226358418</v>
      </c>
      <c r="H25" s="232">
        <v>49351478.160000011</v>
      </c>
      <c r="I25" s="231">
        <f>+G25-D25</f>
        <v>47.746508776219827</v>
      </c>
    </row>
    <row r="26" spans="2:9">
      <c r="B26" s="230" t="s">
        <v>1980</v>
      </c>
      <c r="C26" s="231">
        <v>365699.21</v>
      </c>
      <c r="D26" s="231">
        <f>+E26/C26</f>
        <v>116.09930393341567</v>
      </c>
      <c r="E26" s="238">
        <v>42457423.730000004</v>
      </c>
      <c r="F26" s="231">
        <v>472444.00000000006</v>
      </c>
      <c r="G26" s="231">
        <f>+H26/F26</f>
        <v>153.16550532973218</v>
      </c>
      <c r="H26" s="232">
        <v>72362124</v>
      </c>
      <c r="I26" s="231">
        <f>+G26-D26</f>
        <v>37.066201396316515</v>
      </c>
    </row>
    <row r="27" spans="2:9">
      <c r="B27" s="230" t="s">
        <v>1981</v>
      </c>
      <c r="C27" s="231">
        <v>416194.9</v>
      </c>
      <c r="D27" s="231">
        <f>+E27/C27</f>
        <v>118.73786439958779</v>
      </c>
      <c r="E27" s="238">
        <v>49418093.600000001</v>
      </c>
      <c r="F27" s="231">
        <v>406016.1</v>
      </c>
      <c r="G27" s="231">
        <f>+H27/F27</f>
        <v>150.89059749108475</v>
      </c>
      <c r="H27" s="232">
        <v>61264011.920000009</v>
      </c>
      <c r="I27" s="231">
        <f>+G27-D27</f>
        <v>32.152733091496955</v>
      </c>
    </row>
    <row r="28" spans="2:9">
      <c r="B28" s="230" t="s">
        <v>1982</v>
      </c>
      <c r="C28" s="230"/>
      <c r="D28" s="230"/>
      <c r="E28" s="230"/>
      <c r="F28" s="230"/>
      <c r="G28" s="231"/>
      <c r="H28" s="232"/>
      <c r="I28" s="231"/>
    </row>
    <row r="29" spans="2:9">
      <c r="B29" s="229" t="s">
        <v>1983</v>
      </c>
      <c r="C29" s="233">
        <f>SUM(C24:C28)</f>
        <v>1603402.31</v>
      </c>
      <c r="D29" s="231">
        <f>+E29/C29</f>
        <v>114.69986977878308</v>
      </c>
      <c r="E29" s="233">
        <f>SUM(E24:E28)</f>
        <v>183910036.16</v>
      </c>
      <c r="F29" s="229">
        <f>SUM(F24:F28)</f>
        <v>1609579.9220000003</v>
      </c>
      <c r="G29" s="231">
        <f>+H29/F29</f>
        <v>156.23238440222045</v>
      </c>
      <c r="H29" s="233">
        <f>SUM(H24:H28)</f>
        <v>251468509.10000002</v>
      </c>
      <c r="I29" s="231">
        <f>+G29-D29</f>
        <v>41.532514623437365</v>
      </c>
    </row>
  </sheetData>
  <mergeCells count="12">
    <mergeCell ref="C22:E22"/>
    <mergeCell ref="F22:H22"/>
    <mergeCell ref="B21:D21"/>
    <mergeCell ref="B2:F2"/>
    <mergeCell ref="B3:B6"/>
    <mergeCell ref="B9:B16"/>
    <mergeCell ref="C3:E3"/>
    <mergeCell ref="D19:E19"/>
    <mergeCell ref="D18:F18"/>
    <mergeCell ref="F7:F8"/>
    <mergeCell ref="B7:E8"/>
    <mergeCell ref="F3:F4"/>
  </mergeCells>
  <pageMargins left="0.25" right="0.25" top="0.75" bottom="0.75" header="0.3" footer="0.3"/>
  <pageSetup paperSize="9" scale="8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AB34"/>
  <sheetViews>
    <sheetView workbookViewId="0">
      <selection activeCell="C8" sqref="C8"/>
    </sheetView>
  </sheetViews>
  <sheetFormatPr defaultColWidth="14.85546875" defaultRowHeight="15"/>
  <cols>
    <col min="1" max="1" width="5.5703125" style="272" customWidth="1"/>
    <col min="2" max="2" width="16.7109375" customWidth="1"/>
    <col min="3" max="3" width="16.5703125" customWidth="1"/>
    <col min="4" max="4" width="15" bestFit="1" customWidth="1"/>
    <col min="5" max="5" width="12.28515625" customWidth="1"/>
    <col min="6" max="7" width="10.5703125" bestFit="1" customWidth="1"/>
    <col min="8" max="8" width="15" bestFit="1" customWidth="1"/>
    <col min="9" max="9" width="8.42578125" customWidth="1"/>
    <col min="10" max="10" width="10.7109375" bestFit="1" customWidth="1"/>
    <col min="11" max="11" width="13" customWidth="1"/>
    <col min="12" max="12" width="8.5703125" bestFit="1" customWidth="1"/>
    <col min="13" max="13" width="12.5703125" bestFit="1" customWidth="1"/>
    <col min="14" max="14" width="12.28515625" customWidth="1"/>
    <col min="15" max="15" width="9.5703125" bestFit="1" customWidth="1"/>
    <col min="16" max="16" width="12.5703125" bestFit="1" customWidth="1"/>
    <col min="17" max="17" width="11" bestFit="1" customWidth="1"/>
    <col min="18" max="18" width="8" bestFit="1" customWidth="1"/>
    <col min="19" max="19" width="9.140625" bestFit="1" customWidth="1"/>
    <col min="20" max="20" width="10.5703125" bestFit="1" customWidth="1"/>
    <col min="21" max="21" width="6.5703125" bestFit="1" customWidth="1"/>
    <col min="22" max="22" width="12.5703125" bestFit="1" customWidth="1"/>
    <col min="23" max="23" width="10.5703125" bestFit="1" customWidth="1"/>
    <col min="24" max="24" width="6.5703125" bestFit="1" customWidth="1"/>
    <col min="25" max="25" width="13.7109375" bestFit="1" customWidth="1"/>
    <col min="26" max="26" width="6.85546875" bestFit="1" customWidth="1"/>
    <col min="27" max="27" width="9.5703125" bestFit="1" customWidth="1"/>
    <col min="28" max="28" width="10" bestFit="1" customWidth="1"/>
  </cols>
  <sheetData>
    <row r="1" spans="1:28" ht="18.75" customHeight="1">
      <c r="S1" s="320" t="s">
        <v>2283</v>
      </c>
      <c r="T1" s="474" t="s">
        <v>1972</v>
      </c>
      <c r="U1" s="474"/>
      <c r="V1" s="474"/>
      <c r="W1" s="458" t="s">
        <v>1973</v>
      </c>
      <c r="X1" s="458"/>
      <c r="Y1" s="458"/>
      <c r="Z1" s="274" t="s">
        <v>2163</v>
      </c>
      <c r="AA1" s="274" t="s">
        <v>2240</v>
      </c>
      <c r="AB1" s="274" t="s">
        <v>10001</v>
      </c>
    </row>
    <row r="2" spans="1:28" ht="15.75">
      <c r="B2" s="475" t="s">
        <v>3478</v>
      </c>
      <c r="C2" s="475"/>
      <c r="D2" s="475"/>
      <c r="E2" s="128"/>
      <c r="I2" s="150"/>
      <c r="J2" s="271" t="s">
        <v>2514</v>
      </c>
      <c r="K2" s="474" t="s">
        <v>1972</v>
      </c>
      <c r="L2" s="474"/>
      <c r="M2" s="474"/>
      <c r="N2" s="458" t="s">
        <v>1973</v>
      </c>
      <c r="O2" s="458"/>
      <c r="P2" s="458"/>
      <c r="Q2" s="274" t="s">
        <v>2163</v>
      </c>
      <c r="S2" s="277" t="s">
        <v>2056</v>
      </c>
      <c r="T2" s="231">
        <v>456298.10000000003</v>
      </c>
      <c r="U2" s="231">
        <f t="shared" ref="U2:U12" si="0">+V2/T2</f>
        <v>117.1409011126717</v>
      </c>
      <c r="V2" s="241">
        <v>53451170.609999985</v>
      </c>
      <c r="W2" s="231">
        <v>498791.30000000005</v>
      </c>
      <c r="X2" s="231">
        <f t="shared" ref="X2:X12" si="1">+Y2/W2</f>
        <v>158.02996934790161</v>
      </c>
      <c r="Y2" s="232">
        <v>78823973.850000009</v>
      </c>
      <c r="Z2" s="233">
        <f t="shared" ref="Z2:Z12" si="2">+X2-U2</f>
        <v>40.889068235229914</v>
      </c>
      <c r="AA2" s="221">
        <v>356072</v>
      </c>
      <c r="AB2" s="426">
        <v>498791.3</v>
      </c>
    </row>
    <row r="3" spans="1:28">
      <c r="B3" s="472" t="s">
        <v>2255</v>
      </c>
      <c r="C3" s="130" t="s">
        <v>869</v>
      </c>
      <c r="D3" s="281">
        <v>0</v>
      </c>
      <c r="E3" s="128"/>
      <c r="I3" s="150"/>
      <c r="J3" s="229" t="s">
        <v>1975</v>
      </c>
      <c r="K3" s="229" t="s">
        <v>1976</v>
      </c>
      <c r="L3" s="229" t="s">
        <v>182</v>
      </c>
      <c r="M3" s="229" t="s">
        <v>38</v>
      </c>
      <c r="N3" s="229" t="s">
        <v>1976</v>
      </c>
      <c r="O3" s="229" t="s">
        <v>182</v>
      </c>
      <c r="P3" s="229" t="s">
        <v>38</v>
      </c>
      <c r="Q3" s="229" t="s">
        <v>1977</v>
      </c>
      <c r="S3" s="277" t="s">
        <v>2060</v>
      </c>
      <c r="T3" s="231">
        <v>434014.45999999996</v>
      </c>
      <c r="U3" s="231">
        <f t="shared" si="0"/>
        <v>117.83356851750979</v>
      </c>
      <c r="V3" s="241">
        <v>51141472.610000007</v>
      </c>
      <c r="W3" s="231">
        <v>469980.30000000005</v>
      </c>
      <c r="X3" s="231">
        <f t="shared" si="1"/>
        <v>160.54471712963286</v>
      </c>
      <c r="Y3" s="232">
        <v>75452854.319999993</v>
      </c>
      <c r="Z3" s="233">
        <f t="shared" si="2"/>
        <v>42.711148612123068</v>
      </c>
      <c r="AA3" s="221">
        <v>407666</v>
      </c>
      <c r="AB3" s="426">
        <v>469980.3</v>
      </c>
    </row>
    <row r="4" spans="1:28">
      <c r="B4" s="473"/>
      <c r="C4" s="130" t="s">
        <v>870</v>
      </c>
      <c r="D4" s="212">
        <v>0</v>
      </c>
      <c r="E4" s="132">
        <f>+D3+D4</f>
        <v>0</v>
      </c>
      <c r="I4" s="150"/>
      <c r="J4" s="310" t="s">
        <v>2484</v>
      </c>
      <c r="K4" s="294">
        <v>499128.4</v>
      </c>
      <c r="L4" s="294">
        <v>148.65679793015178</v>
      </c>
      <c r="M4" s="295">
        <v>74198829.699999973</v>
      </c>
      <c r="N4" s="294">
        <v>578392.69999999995</v>
      </c>
      <c r="O4" s="294">
        <v>180.78847226114723</v>
      </c>
      <c r="P4" s="285">
        <v>104566732.60000004</v>
      </c>
      <c r="Q4" s="311">
        <v>32.131674330995452</v>
      </c>
      <c r="R4" s="97" t="s">
        <v>2227</v>
      </c>
      <c r="S4" s="277" t="s">
        <v>2067</v>
      </c>
      <c r="T4" s="231">
        <v>522544.44000000006</v>
      </c>
      <c r="U4" s="231">
        <f t="shared" si="0"/>
        <v>119.4056192235056</v>
      </c>
      <c r="V4" s="241">
        <v>62394742.429999977</v>
      </c>
      <c r="W4" s="231">
        <v>418456.19999999995</v>
      </c>
      <c r="X4" s="231">
        <f t="shared" si="1"/>
        <v>160.2558634571551</v>
      </c>
      <c r="Y4" s="232">
        <v>67060059.649999984</v>
      </c>
      <c r="Z4" s="233">
        <f t="shared" si="2"/>
        <v>40.850244233649505</v>
      </c>
      <c r="AA4" s="221">
        <v>415459</v>
      </c>
      <c r="AB4" s="426">
        <v>418456.2</v>
      </c>
    </row>
    <row r="5" spans="1:28">
      <c r="B5" s="69" t="s">
        <v>2254</v>
      </c>
      <c r="C5" s="131" t="s">
        <v>2157</v>
      </c>
      <c r="D5" s="212">
        <v>0</v>
      </c>
      <c r="E5" s="128"/>
      <c r="I5" s="128"/>
      <c r="J5" s="277" t="s">
        <v>2513</v>
      </c>
      <c r="K5" s="294">
        <v>506866.57999999996</v>
      </c>
      <c r="L5" s="294">
        <f t="shared" ref="L5" si="3">+M5/K5</f>
        <v>165.4492585405809</v>
      </c>
      <c r="M5" s="295">
        <v>83860699.840000018</v>
      </c>
      <c r="N5" s="294">
        <v>405825</v>
      </c>
      <c r="O5" s="294">
        <f t="shared" ref="O5" si="4">+P5/N5</f>
        <v>220.19842173350582</v>
      </c>
      <c r="P5" s="285">
        <v>89362024.5</v>
      </c>
      <c r="Q5" s="371">
        <f t="shared" ref="Q5" si="5">+O5-L5</f>
        <v>54.749163192924925</v>
      </c>
      <c r="R5" s="97" t="s">
        <v>2227</v>
      </c>
      <c r="S5" s="277" t="s">
        <v>2118</v>
      </c>
      <c r="T5" s="231">
        <v>526452.79999999993</v>
      </c>
      <c r="U5" s="231">
        <f t="shared" si="0"/>
        <v>121.73333765154264</v>
      </c>
      <c r="V5" s="241">
        <v>64086856.460000038</v>
      </c>
      <c r="W5" s="231">
        <f>498942.6-2212</f>
        <v>496730.6</v>
      </c>
      <c r="X5" s="231">
        <f t="shared" si="1"/>
        <v>156.90634202926094</v>
      </c>
      <c r="Y5" s="232">
        <f>77966725.42-26544</f>
        <v>77940181.420000002</v>
      </c>
      <c r="Z5" s="233">
        <f t="shared" si="2"/>
        <v>35.1730043777183</v>
      </c>
      <c r="AA5" s="221">
        <v>406477</v>
      </c>
      <c r="AB5" s="426">
        <v>498942.60000000003</v>
      </c>
    </row>
    <row r="6" spans="1:28">
      <c r="B6" s="24" t="s">
        <v>2256</v>
      </c>
      <c r="C6" s="130" t="s">
        <v>871</v>
      </c>
      <c r="D6" s="212">
        <v>0</v>
      </c>
      <c r="E6" s="128"/>
      <c r="I6" s="150"/>
      <c r="J6" s="277" t="s">
        <v>2550</v>
      </c>
      <c r="K6" s="294">
        <v>428496.94</v>
      </c>
      <c r="L6" s="294">
        <f t="shared" ref="L6" si="6">+M6/K6</f>
        <v>129.78420718710379</v>
      </c>
      <c r="M6" s="295">
        <v>55612135.639999986</v>
      </c>
      <c r="N6" s="294">
        <v>487917</v>
      </c>
      <c r="O6" s="294">
        <f t="shared" ref="O6" si="7">+P6/N6</f>
        <v>250.40064226087631</v>
      </c>
      <c r="P6" s="285">
        <v>122174730.16999999</v>
      </c>
      <c r="Q6" s="371">
        <f t="shared" ref="Q6" si="8">+O6-L6</f>
        <v>120.61643507377252</v>
      </c>
      <c r="R6" s="97" t="s">
        <v>2227</v>
      </c>
      <c r="S6" s="277" t="s">
        <v>2199</v>
      </c>
      <c r="T6" s="231">
        <v>476002.36</v>
      </c>
      <c r="U6" s="231">
        <f t="shared" si="0"/>
        <v>119.99106164095487</v>
      </c>
      <c r="V6" s="241">
        <v>57116028.519999988</v>
      </c>
      <c r="W6" s="231">
        <v>456756.99999999994</v>
      </c>
      <c r="X6" s="231">
        <f t="shared" si="1"/>
        <v>157.19352530995701</v>
      </c>
      <c r="Y6" s="232">
        <v>71799243.040000021</v>
      </c>
      <c r="Z6" s="233">
        <f t="shared" si="2"/>
        <v>37.202463669002142</v>
      </c>
      <c r="AA6" s="221">
        <v>374454</v>
      </c>
      <c r="AB6" s="426">
        <v>456756.99999999994</v>
      </c>
    </row>
    <row r="7" spans="1:28">
      <c r="B7" s="24" t="s">
        <v>2257</v>
      </c>
      <c r="C7" s="130" t="s">
        <v>873</v>
      </c>
      <c r="D7" s="212">
        <v>0</v>
      </c>
      <c r="E7" s="132">
        <f>+D6+D7+D5</f>
        <v>0</v>
      </c>
      <c r="I7" s="150"/>
      <c r="J7" s="277" t="s">
        <v>2566</v>
      </c>
      <c r="K7" s="294">
        <v>473714.1399999999</v>
      </c>
      <c r="L7" s="294">
        <f t="shared" ref="L7" si="9">+M7/K7</f>
        <v>151.75375961967276</v>
      </c>
      <c r="M7" s="295">
        <v>71887901.729999989</v>
      </c>
      <c r="N7" s="294">
        <v>332726</v>
      </c>
      <c r="O7" s="294">
        <f t="shared" ref="O7" si="10">+P7/N7</f>
        <v>248.41289361216135</v>
      </c>
      <c r="P7" s="285">
        <v>82653428.439999998</v>
      </c>
      <c r="Q7" s="371">
        <f t="shared" ref="Q7" si="11">+O7-L7</f>
        <v>96.659133992488592</v>
      </c>
      <c r="R7" s="97" t="s">
        <v>2227</v>
      </c>
      <c r="S7" s="277" t="s">
        <v>2159</v>
      </c>
      <c r="T7" s="231">
        <v>565051.98</v>
      </c>
      <c r="U7" s="231">
        <f t="shared" si="0"/>
        <v>117.28380089916688</v>
      </c>
      <c r="V7" s="241">
        <v>66271443.920000024</v>
      </c>
      <c r="W7" s="231">
        <v>755511.39999999991</v>
      </c>
      <c r="X7" s="231">
        <f t="shared" si="1"/>
        <v>167.73592459359332</v>
      </c>
      <c r="Y7" s="238">
        <v>126726403.2200001</v>
      </c>
      <c r="Z7" s="233">
        <f t="shared" si="2"/>
        <v>50.452123694426447</v>
      </c>
      <c r="AA7" s="221">
        <v>476185</v>
      </c>
      <c r="AB7" s="426">
        <v>750187.2</v>
      </c>
    </row>
    <row r="8" spans="1:28" ht="15.75">
      <c r="B8" s="149"/>
      <c r="C8" s="147" t="s">
        <v>872</v>
      </c>
      <c r="D8" s="224">
        <f>+E4+E7</f>
        <v>0</v>
      </c>
      <c r="E8" s="129" t="s">
        <v>2161</v>
      </c>
      <c r="I8" s="129"/>
      <c r="J8" s="277" t="s">
        <v>3541</v>
      </c>
      <c r="K8" s="294">
        <v>547753.42000000004</v>
      </c>
      <c r="L8" s="294">
        <f t="shared" ref="L8" si="12">+M8/K8</f>
        <v>152.92042883091443</v>
      </c>
      <c r="M8" s="295">
        <v>83762687.879999995</v>
      </c>
      <c r="N8" s="294">
        <v>595287.70000000007</v>
      </c>
      <c r="O8" s="294">
        <f t="shared" ref="O8" si="13">+P8/N8</f>
        <v>228.0478862573508</v>
      </c>
      <c r="P8" s="285">
        <v>135754101.69999999</v>
      </c>
      <c r="Q8" s="368">
        <f t="shared" ref="Q8" si="14">+O8-L8</f>
        <v>75.127457426436365</v>
      </c>
      <c r="R8" s="97" t="s">
        <v>2227</v>
      </c>
      <c r="S8" s="277" t="s">
        <v>2164</v>
      </c>
      <c r="T8" s="231">
        <v>604520.36</v>
      </c>
      <c r="U8" s="231">
        <f t="shared" si="0"/>
        <v>117.8227603450776</v>
      </c>
      <c r="V8" s="289">
        <v>71226257.50000003</v>
      </c>
      <c r="W8" s="231">
        <v>594994.10000000009</v>
      </c>
      <c r="X8" s="231">
        <f t="shared" si="1"/>
        <v>173.88635969667592</v>
      </c>
      <c r="Y8" s="238">
        <v>103461358.08999999</v>
      </c>
      <c r="Z8" s="233">
        <f t="shared" si="2"/>
        <v>56.063599351598327</v>
      </c>
      <c r="AA8" s="221">
        <v>465076</v>
      </c>
      <c r="AB8" s="426">
        <v>594994.1</v>
      </c>
    </row>
    <row r="9" spans="1:28">
      <c r="C9" s="267" t="s">
        <v>2065</v>
      </c>
      <c r="D9" s="300">
        <v>1127835</v>
      </c>
      <c r="J9" s="229" t="s">
        <v>1983</v>
      </c>
      <c r="K9" s="233">
        <f>SUM(K5:K8)</f>
        <v>1956831.08</v>
      </c>
      <c r="L9" s="231">
        <f>+M9/K9</f>
        <v>150.81701640286704</v>
      </c>
      <c r="M9" s="233">
        <f>SUM(M5:M8)</f>
        <v>295123425.09000003</v>
      </c>
      <c r="N9" s="233">
        <f>SUM(N5:N8)</f>
        <v>1821755.7000000002</v>
      </c>
      <c r="O9" s="231">
        <f>+P9/N9</f>
        <v>236.00545606087576</v>
      </c>
      <c r="P9" s="233">
        <f>SUM(P5:P8)</f>
        <v>429944284.81</v>
      </c>
      <c r="Q9" s="231">
        <f>+O9-L9</f>
        <v>85.188439658008718</v>
      </c>
      <c r="R9" s="351" t="s">
        <v>2227</v>
      </c>
      <c r="S9" s="277" t="s">
        <v>2166</v>
      </c>
      <c r="T9" s="231">
        <v>498019.1</v>
      </c>
      <c r="U9" s="231">
        <f t="shared" si="0"/>
        <v>117.73229251649184</v>
      </c>
      <c r="V9" s="241">
        <v>58632930.359999999</v>
      </c>
      <c r="W9" s="231">
        <v>599632.89999999991</v>
      </c>
      <c r="X9" s="231">
        <f t="shared" si="1"/>
        <v>171.99243588869126</v>
      </c>
      <c r="Y9" s="238">
        <v>103132323.11</v>
      </c>
      <c r="Z9" s="233">
        <f t="shared" si="2"/>
        <v>54.260143372199423</v>
      </c>
      <c r="AA9" s="221">
        <v>463388</v>
      </c>
      <c r="AB9" s="426">
        <v>599632.9</v>
      </c>
    </row>
    <row r="10" spans="1:28" s="272" customFormat="1">
      <c r="C10" s="267" t="s">
        <v>2160</v>
      </c>
      <c r="D10" s="25">
        <v>0</v>
      </c>
      <c r="E10" s="97"/>
      <c r="J10" s="322"/>
      <c r="K10" s="322"/>
      <c r="L10" s="322"/>
      <c r="M10" s="322"/>
      <c r="N10" s="322"/>
      <c r="O10" s="322"/>
      <c r="P10" s="264"/>
      <c r="Q10" s="262"/>
      <c r="R10"/>
      <c r="S10" s="277" t="s">
        <v>2172</v>
      </c>
      <c r="T10" s="294">
        <v>609575.11</v>
      </c>
      <c r="U10" s="294">
        <f t="shared" si="0"/>
        <v>115.59296887958565</v>
      </c>
      <c r="V10" s="295">
        <v>70462596.719999999</v>
      </c>
      <c r="W10" s="294">
        <v>546433.9</v>
      </c>
      <c r="X10" s="294">
        <f t="shared" si="1"/>
        <v>165.24190744754304</v>
      </c>
      <c r="Y10" s="296">
        <v>90293779.929999992</v>
      </c>
      <c r="Z10" s="311">
        <f t="shared" si="2"/>
        <v>49.648938567957387</v>
      </c>
      <c r="AA10" s="221">
        <v>530455</v>
      </c>
      <c r="AB10" s="426">
        <v>546433.9</v>
      </c>
    </row>
    <row r="11" spans="1:28" s="257" customFormat="1" ht="15.75">
      <c r="A11" s="272"/>
      <c r="C11" s="284" t="s">
        <v>2066</v>
      </c>
      <c r="D11" s="390">
        <f>+D8+D9+D10</f>
        <v>1127835</v>
      </c>
      <c r="E11" s="97" t="s">
        <v>882</v>
      </c>
      <c r="J11" s="322"/>
      <c r="K11" s="322"/>
      <c r="L11" s="322"/>
      <c r="M11" s="322"/>
      <c r="N11" s="322"/>
      <c r="O11" s="322"/>
      <c r="P11" s="265"/>
      <c r="Q11" s="260"/>
      <c r="R11"/>
      <c r="S11" s="277" t="s">
        <v>2195</v>
      </c>
      <c r="T11" s="294">
        <v>564302.02999999991</v>
      </c>
      <c r="U11" s="294">
        <f t="shared" si="0"/>
        <v>117.80843370349031</v>
      </c>
      <c r="V11" s="295">
        <v>66479538.289999992</v>
      </c>
      <c r="W11" s="294">
        <v>743253.79999999993</v>
      </c>
      <c r="X11" s="294">
        <f t="shared" si="1"/>
        <v>165.12415188459178</v>
      </c>
      <c r="Y11" s="285">
        <v>122729153.36</v>
      </c>
      <c r="Z11" s="311">
        <f t="shared" si="2"/>
        <v>47.315718181101474</v>
      </c>
      <c r="AA11" s="221">
        <v>505763</v>
      </c>
      <c r="AB11" s="426">
        <v>743253.8</v>
      </c>
    </row>
    <row r="12" spans="1:28" s="257" customFormat="1">
      <c r="A12" s="272"/>
      <c r="C12" s="266"/>
      <c r="D12" s="4"/>
      <c r="J12" s="259"/>
      <c r="K12" s="260"/>
      <c r="L12" s="260"/>
      <c r="M12" s="275"/>
      <c r="N12" s="275"/>
      <c r="O12" s="275"/>
      <c r="P12" s="242"/>
      <c r="Q12" s="242"/>
      <c r="R12" s="280"/>
      <c r="S12" s="277" t="s">
        <v>2207</v>
      </c>
      <c r="T12" s="294">
        <v>591945.54</v>
      </c>
      <c r="U12" s="294">
        <f t="shared" si="0"/>
        <v>121.73734114121373</v>
      </c>
      <c r="V12" s="295">
        <v>72061876.139999986</v>
      </c>
      <c r="W12" s="294">
        <v>715664.90000000014</v>
      </c>
      <c r="X12" s="294">
        <f t="shared" si="1"/>
        <v>174.93486390068873</v>
      </c>
      <c r="Y12" s="285">
        <v>125194741.88000003</v>
      </c>
      <c r="Z12" s="311">
        <f t="shared" si="2"/>
        <v>53.197522759474992</v>
      </c>
      <c r="AA12" s="221">
        <v>467210</v>
      </c>
      <c r="AB12" s="426">
        <v>715664.9</v>
      </c>
    </row>
    <row r="13" spans="1:28" s="292" customFormat="1">
      <c r="C13" s="266"/>
      <c r="D13" s="4"/>
      <c r="J13" s="259"/>
      <c r="K13" s="260"/>
      <c r="L13" s="260"/>
      <c r="M13" s="275"/>
      <c r="N13" s="275"/>
      <c r="O13" s="275"/>
      <c r="P13" s="4"/>
      <c r="Q13" s="280"/>
      <c r="R13" s="280"/>
      <c r="S13" s="277" t="s">
        <v>2213</v>
      </c>
      <c r="T13" s="294">
        <v>517056.39</v>
      </c>
      <c r="U13" s="294">
        <f>+V13/T13</f>
        <v>124.09667407843082</v>
      </c>
      <c r="V13" s="295">
        <v>64164978.310000017</v>
      </c>
      <c r="W13" s="294">
        <v>560251.9</v>
      </c>
      <c r="X13" s="294">
        <f>+Y13/W13</f>
        <v>189.87024590188807</v>
      </c>
      <c r="Y13" s="285">
        <v>106375166.02000001</v>
      </c>
      <c r="Z13" s="311">
        <f>+X13-U13</f>
        <v>65.773571823457246</v>
      </c>
      <c r="AA13" s="221">
        <v>459730</v>
      </c>
      <c r="AB13" s="426">
        <v>560251.9</v>
      </c>
    </row>
    <row r="14" spans="1:28">
      <c r="B14" s="97" t="s">
        <v>3479</v>
      </c>
      <c r="J14" s="259"/>
      <c r="K14" s="260"/>
      <c r="L14" s="260"/>
      <c r="M14" s="261"/>
      <c r="N14" s="261"/>
      <c r="O14" s="261"/>
      <c r="P14" s="280"/>
      <c r="Q14" s="280"/>
      <c r="R14" s="149"/>
      <c r="S14" s="435" t="s">
        <v>879</v>
      </c>
      <c r="T14" s="427">
        <f>SUM(T2:T13)</f>
        <v>6365782.6699999999</v>
      </c>
      <c r="U14" s="430">
        <f>+V14/T14</f>
        <v>118.99399196265684</v>
      </c>
      <c r="V14" s="427">
        <f>SUM(V2:V13)</f>
        <v>757489891.87000012</v>
      </c>
      <c r="W14" s="427">
        <f>SUM(W2:W13)</f>
        <v>6856458.3000000007</v>
      </c>
      <c r="X14" s="431">
        <f>+Y14/W14</f>
        <v>167.57766001289616</v>
      </c>
      <c r="Y14" s="432">
        <f>SUM(Y2:Y13)</f>
        <v>1148989237.8900001</v>
      </c>
      <c r="Z14" s="433">
        <f>+X14-U14</f>
        <v>48.583668050239325</v>
      </c>
      <c r="AA14" s="427">
        <f>SUM(AA2:AA13)</f>
        <v>5327935</v>
      </c>
      <c r="AB14" s="427">
        <f>SUM(AB2:AB13)</f>
        <v>6853346.1000000006</v>
      </c>
    </row>
    <row r="15" spans="1:28">
      <c r="J15" s="259"/>
      <c r="K15" s="260"/>
      <c r="L15" s="260"/>
      <c r="M15" s="261"/>
      <c r="N15" s="261"/>
      <c r="O15" s="261"/>
      <c r="R15" s="286"/>
      <c r="S15" s="421" t="s">
        <v>10002</v>
      </c>
      <c r="T15" s="360" t="s">
        <v>2227</v>
      </c>
    </row>
    <row r="16" spans="1:28" ht="18" customHeight="1">
      <c r="B16" s="469" t="s">
        <v>3480</v>
      </c>
      <c r="C16" s="470"/>
      <c r="D16" s="470"/>
      <c r="E16" s="470"/>
      <c r="F16" s="470"/>
      <c r="G16" s="470"/>
      <c r="H16" s="471"/>
      <c r="J16" s="322"/>
      <c r="K16" s="322"/>
      <c r="L16" s="322"/>
      <c r="M16" s="322"/>
      <c r="N16" s="322"/>
      <c r="O16" s="322"/>
      <c r="P16" s="322"/>
      <c r="Q16" s="322"/>
      <c r="R16" s="322"/>
      <c r="S16" s="277" t="s">
        <v>2228</v>
      </c>
      <c r="T16" s="294">
        <v>756969.14999999991</v>
      </c>
      <c r="U16" s="294">
        <f t="shared" ref="U16:U27" si="15">+V16/T16</f>
        <v>121.37935395385662</v>
      </c>
      <c r="V16" s="295">
        <v>91880426.389999971</v>
      </c>
      <c r="W16" s="294">
        <v>292137.2</v>
      </c>
      <c r="X16" s="294">
        <f t="shared" ref="X16:X27" si="16">+Y16/W16</f>
        <v>176.28737856733068</v>
      </c>
      <c r="Y16" s="285">
        <v>51500101.169999994</v>
      </c>
      <c r="Z16" s="311">
        <f t="shared" ref="Z16:Z28" si="17">+X16-U16</f>
        <v>54.908024613474055</v>
      </c>
      <c r="AA16" s="221">
        <v>464875</v>
      </c>
      <c r="AB16" s="426">
        <v>292137.2</v>
      </c>
    </row>
    <row r="17" spans="1:28" ht="15.75">
      <c r="B17" s="133" t="s">
        <v>874</v>
      </c>
      <c r="C17" s="134" t="s">
        <v>875</v>
      </c>
      <c r="D17" s="134" t="s">
        <v>876</v>
      </c>
      <c r="E17" s="134" t="s">
        <v>877</v>
      </c>
      <c r="F17" s="134" t="s">
        <v>878</v>
      </c>
      <c r="G17" s="135" t="s">
        <v>879</v>
      </c>
      <c r="H17" s="134" t="s">
        <v>880</v>
      </c>
      <c r="J17" s="352"/>
      <c r="K17" s="352"/>
      <c r="L17" s="352"/>
      <c r="M17" s="352"/>
      <c r="N17" s="352"/>
      <c r="O17" s="352"/>
      <c r="P17" s="352"/>
      <c r="Q17" s="352"/>
      <c r="R17" s="352"/>
      <c r="S17" s="277" t="s">
        <v>2252</v>
      </c>
      <c r="T17" s="294">
        <v>473583.36999999994</v>
      </c>
      <c r="U17" s="294">
        <f t="shared" si="15"/>
        <v>117.22124026441216</v>
      </c>
      <c r="V17" s="295">
        <v>55514029.999999993</v>
      </c>
      <c r="W17" s="294">
        <v>459832</v>
      </c>
      <c r="X17" s="294">
        <f t="shared" si="16"/>
        <v>178.56895990274714</v>
      </c>
      <c r="Y17" s="285">
        <v>82111721.970000029</v>
      </c>
      <c r="Z17" s="311">
        <f t="shared" si="17"/>
        <v>61.347719638334979</v>
      </c>
      <c r="AA17" s="221">
        <v>407546</v>
      </c>
      <c r="AB17" s="426">
        <v>459832</v>
      </c>
    </row>
    <row r="18" spans="1:28" ht="15.75">
      <c r="B18" s="136">
        <v>46060</v>
      </c>
      <c r="C18" s="137">
        <v>1198</v>
      </c>
      <c r="D18" s="137">
        <v>728</v>
      </c>
      <c r="E18" s="137">
        <v>152</v>
      </c>
      <c r="F18" s="137">
        <v>0</v>
      </c>
      <c r="G18" s="314">
        <f t="shared" ref="G18:G27" si="18">+C18+D18+E18+F18</f>
        <v>2078</v>
      </c>
      <c r="H18" s="138" t="s">
        <v>3377</v>
      </c>
      <c r="J18" s="352"/>
      <c r="K18" s="352"/>
      <c r="L18" s="352"/>
      <c r="M18" s="352"/>
      <c r="N18" s="352"/>
      <c r="O18" s="352"/>
      <c r="P18" s="352"/>
      <c r="Q18" s="352"/>
      <c r="R18" s="352"/>
      <c r="S18" s="277" t="s">
        <v>2282</v>
      </c>
      <c r="T18" s="294">
        <v>430845.64000000007</v>
      </c>
      <c r="U18" s="294">
        <f t="shared" si="15"/>
        <v>117.47756774328734</v>
      </c>
      <c r="V18" s="295">
        <v>50614697.859999999</v>
      </c>
      <c r="W18" s="294">
        <v>444822.5</v>
      </c>
      <c r="X18" s="294">
        <f t="shared" si="16"/>
        <v>191.32587557958513</v>
      </c>
      <c r="Y18" s="285">
        <v>85106054.290000007</v>
      </c>
      <c r="Z18" s="311">
        <f t="shared" si="17"/>
        <v>73.848307836297792</v>
      </c>
      <c r="AA18" s="221">
        <v>410451</v>
      </c>
      <c r="AB18" s="426">
        <v>444822.5</v>
      </c>
    </row>
    <row r="19" spans="1:28" ht="15.75">
      <c r="B19" s="136">
        <v>46119</v>
      </c>
      <c r="C19" s="137">
        <v>1736</v>
      </c>
      <c r="D19" s="137">
        <v>1096</v>
      </c>
      <c r="E19" s="137">
        <v>315</v>
      </c>
      <c r="F19" s="137">
        <v>0</v>
      </c>
      <c r="G19" s="314">
        <f t="shared" si="18"/>
        <v>3147</v>
      </c>
      <c r="H19" s="138" t="s">
        <v>3386</v>
      </c>
      <c r="J19" s="322"/>
      <c r="K19" s="322"/>
      <c r="L19" s="322"/>
      <c r="M19" s="322"/>
      <c r="N19" s="322"/>
      <c r="O19" s="322"/>
      <c r="P19" s="322"/>
      <c r="Q19" s="322"/>
      <c r="R19" s="322"/>
      <c r="S19" s="277" t="s">
        <v>2309</v>
      </c>
      <c r="T19" s="294">
        <v>572685.4</v>
      </c>
      <c r="U19" s="294">
        <f t="shared" si="15"/>
        <v>118.07102768815129</v>
      </c>
      <c r="V19" s="295">
        <v>67617553.719999999</v>
      </c>
      <c r="W19" s="294">
        <v>510650.3</v>
      </c>
      <c r="X19" s="294">
        <f t="shared" si="16"/>
        <v>186.37146861560635</v>
      </c>
      <c r="Y19" s="285">
        <v>95170646.35999997</v>
      </c>
      <c r="Z19" s="311">
        <f t="shared" si="17"/>
        <v>68.300440927455057</v>
      </c>
      <c r="AA19" s="221">
        <v>533251</v>
      </c>
      <c r="AB19" s="426">
        <v>510650.3</v>
      </c>
    </row>
    <row r="20" spans="1:28" ht="15.75">
      <c r="B20" s="136">
        <v>46210</v>
      </c>
      <c r="C20" s="137">
        <v>662</v>
      </c>
      <c r="D20" s="137">
        <v>1068</v>
      </c>
      <c r="E20" s="137">
        <v>154</v>
      </c>
      <c r="F20" s="137">
        <v>0</v>
      </c>
      <c r="G20" s="314">
        <f t="shared" si="18"/>
        <v>1884</v>
      </c>
      <c r="H20" s="138" t="s">
        <v>3399</v>
      </c>
      <c r="J20" s="322"/>
      <c r="K20" s="322"/>
      <c r="L20" s="322"/>
      <c r="M20" s="322"/>
      <c r="N20" s="322"/>
      <c r="O20" s="322"/>
      <c r="P20" s="322"/>
      <c r="Q20" s="322"/>
      <c r="R20" s="322"/>
      <c r="S20" s="277" t="s">
        <v>2375</v>
      </c>
      <c r="T20" s="294">
        <v>573966.80000000005</v>
      </c>
      <c r="U20" s="294">
        <f t="shared" si="15"/>
        <v>117.56080505004817</v>
      </c>
      <c r="V20" s="295">
        <v>67475999.079999998</v>
      </c>
      <c r="W20" s="294">
        <v>479775.9</v>
      </c>
      <c r="X20" s="294">
        <f t="shared" si="16"/>
        <v>179.13428542367382</v>
      </c>
      <c r="Y20" s="285">
        <v>85944313.00999999</v>
      </c>
      <c r="Z20" s="311">
        <f t="shared" si="17"/>
        <v>61.573480373625642</v>
      </c>
      <c r="AA20" s="221">
        <v>494357</v>
      </c>
      <c r="AB20" s="426">
        <v>479775.9</v>
      </c>
    </row>
    <row r="21" spans="1:28" ht="15.75">
      <c r="B21" s="136">
        <v>46333</v>
      </c>
      <c r="C21" s="137">
        <v>1086</v>
      </c>
      <c r="D21" s="137">
        <v>2078</v>
      </c>
      <c r="E21" s="137">
        <v>329</v>
      </c>
      <c r="F21" s="137">
        <v>0</v>
      </c>
      <c r="G21" s="314">
        <f t="shared" si="18"/>
        <v>3493</v>
      </c>
      <c r="H21" s="138" t="s">
        <v>3419</v>
      </c>
      <c r="J21" s="346"/>
      <c r="K21" s="292"/>
      <c r="L21" s="292"/>
      <c r="M21" s="292"/>
      <c r="N21" s="292"/>
      <c r="O21" s="292"/>
      <c r="P21" s="292"/>
      <c r="Q21" s="292"/>
      <c r="R21" s="292"/>
      <c r="S21" s="277" t="s">
        <v>2394</v>
      </c>
      <c r="T21" s="294">
        <v>565461.80000000005</v>
      </c>
      <c r="U21" s="294">
        <f t="shared" si="15"/>
        <v>113.57262983989374</v>
      </c>
      <c r="V21" s="295">
        <v>64220983.700000033</v>
      </c>
      <c r="W21" s="294">
        <v>690216.1</v>
      </c>
      <c r="X21" s="294">
        <f t="shared" si="16"/>
        <v>186.14542199175011</v>
      </c>
      <c r="Y21" s="285">
        <v>128480567.19999999</v>
      </c>
      <c r="Z21" s="311">
        <f t="shared" si="17"/>
        <v>72.572792151856376</v>
      </c>
      <c r="AA21" s="221">
        <v>522545</v>
      </c>
      <c r="AB21" s="426">
        <v>690216.1</v>
      </c>
    </row>
    <row r="22" spans="1:28" ht="15.75">
      <c r="B22" s="136" t="s">
        <v>3535</v>
      </c>
      <c r="C22" s="137">
        <v>1770</v>
      </c>
      <c r="D22" s="137">
        <v>1132</v>
      </c>
      <c r="E22" s="137">
        <v>0</v>
      </c>
      <c r="F22" s="137">
        <v>0</v>
      </c>
      <c r="G22" s="314">
        <f t="shared" si="18"/>
        <v>2902</v>
      </c>
      <c r="H22" s="138" t="s">
        <v>3427</v>
      </c>
      <c r="I22" s="280"/>
      <c r="J22" s="346"/>
      <c r="K22" s="346"/>
      <c r="L22" s="346"/>
      <c r="M22" s="346"/>
      <c r="N22" s="346"/>
      <c r="O22" s="346"/>
      <c r="P22" s="346"/>
      <c r="Q22" s="346"/>
      <c r="R22" s="346"/>
      <c r="S22" s="277" t="s">
        <v>2406</v>
      </c>
      <c r="T22" s="294">
        <v>571721.19999999995</v>
      </c>
      <c r="U22" s="294">
        <f t="shared" si="15"/>
        <v>112.2491131866371</v>
      </c>
      <c r="V22" s="295">
        <v>64175197.689999983</v>
      </c>
      <c r="W22" s="294">
        <v>537984.80000000005</v>
      </c>
      <c r="X22" s="294">
        <f t="shared" si="16"/>
        <v>178.59256399065549</v>
      </c>
      <c r="Y22" s="285">
        <v>96080084.820000008</v>
      </c>
      <c r="Z22" s="311">
        <f t="shared" si="17"/>
        <v>66.343450804018389</v>
      </c>
      <c r="AA22" s="221">
        <v>539698</v>
      </c>
      <c r="AB22" s="426">
        <v>537984.80000000005</v>
      </c>
    </row>
    <row r="23" spans="1:28" s="280" customFormat="1" ht="15.75">
      <c r="B23" s="136" t="s">
        <v>3536</v>
      </c>
      <c r="C23" s="137">
        <v>969</v>
      </c>
      <c r="D23" s="137">
        <v>1160</v>
      </c>
      <c r="E23" s="137">
        <v>231</v>
      </c>
      <c r="F23" s="137">
        <v>0</v>
      </c>
      <c r="G23" s="314">
        <f t="shared" si="18"/>
        <v>2360</v>
      </c>
      <c r="H23" s="138" t="s">
        <v>3431</v>
      </c>
      <c r="J23" s="346"/>
      <c r="K23" s="346"/>
      <c r="L23" s="346"/>
      <c r="M23" s="346"/>
      <c r="N23" s="346"/>
      <c r="O23" s="346"/>
      <c r="P23" s="346"/>
      <c r="Q23" s="346"/>
      <c r="R23" s="346"/>
      <c r="S23" s="277" t="s">
        <v>2415</v>
      </c>
      <c r="T23" s="294">
        <v>440596.55</v>
      </c>
      <c r="U23" s="294">
        <f t="shared" si="15"/>
        <v>110.86506567062317</v>
      </c>
      <c r="V23" s="295">
        <v>48846765.450000003</v>
      </c>
      <c r="W23" s="294">
        <v>477558.5</v>
      </c>
      <c r="X23" s="294">
        <f t="shared" si="16"/>
        <v>171.66995115781626</v>
      </c>
      <c r="Y23" s="285">
        <v>81982444.36999999</v>
      </c>
      <c r="Z23" s="311">
        <f t="shared" si="17"/>
        <v>60.80488548719309</v>
      </c>
      <c r="AA23" s="221">
        <v>428097</v>
      </c>
      <c r="AB23" s="426">
        <v>477558.5</v>
      </c>
    </row>
    <row r="24" spans="1:28" s="280" customFormat="1" ht="15.75">
      <c r="B24" s="136" t="s">
        <v>3537</v>
      </c>
      <c r="C24" s="137">
        <v>1245</v>
      </c>
      <c r="D24" s="137">
        <v>985</v>
      </c>
      <c r="E24" s="137">
        <v>30</v>
      </c>
      <c r="F24" s="137">
        <v>0</v>
      </c>
      <c r="G24" s="314">
        <f t="shared" si="18"/>
        <v>2260</v>
      </c>
      <c r="H24" s="138" t="s">
        <v>3438</v>
      </c>
      <c r="I24" s="149"/>
      <c r="J24" s="346"/>
      <c r="K24" s="346"/>
      <c r="L24" s="346"/>
      <c r="M24" s="346"/>
      <c r="N24" s="346"/>
      <c r="O24" s="346"/>
      <c r="P24" s="346"/>
      <c r="Q24" s="346"/>
      <c r="R24" s="346"/>
      <c r="S24" s="277" t="s">
        <v>2424</v>
      </c>
      <c r="T24" s="294">
        <v>515991.27999999997</v>
      </c>
      <c r="U24" s="294">
        <f t="shared" si="15"/>
        <v>109.27314818188404</v>
      </c>
      <c r="V24" s="295">
        <v>56383991.600000016</v>
      </c>
      <c r="W24" s="294">
        <v>626206.1</v>
      </c>
      <c r="X24" s="294">
        <f t="shared" si="16"/>
        <v>178.1369842452828</v>
      </c>
      <c r="Y24" s="285">
        <v>111550466.16999999</v>
      </c>
      <c r="Z24" s="311">
        <f t="shared" si="17"/>
        <v>68.863836063398765</v>
      </c>
      <c r="AA24" s="221">
        <v>482833</v>
      </c>
      <c r="AB24" s="426">
        <v>626206.1</v>
      </c>
    </row>
    <row r="25" spans="1:28" s="149" customFormat="1" ht="15.75">
      <c r="A25" s="272"/>
      <c r="B25" s="136" t="s">
        <v>3538</v>
      </c>
      <c r="C25" s="137">
        <v>1081</v>
      </c>
      <c r="D25" s="137">
        <v>893</v>
      </c>
      <c r="E25" s="137">
        <v>0</v>
      </c>
      <c r="F25" s="137">
        <v>0</v>
      </c>
      <c r="G25" s="314">
        <f t="shared" si="18"/>
        <v>1974</v>
      </c>
      <c r="H25" s="138" t="s">
        <v>3441</v>
      </c>
      <c r="I25" s="322"/>
      <c r="J25" s="346"/>
      <c r="K25" s="346"/>
      <c r="L25" s="346"/>
      <c r="M25" s="346"/>
      <c r="N25" s="346"/>
      <c r="O25" s="346"/>
      <c r="P25" s="346"/>
      <c r="Q25" s="346"/>
      <c r="R25" s="346"/>
      <c r="S25" s="277" t="s">
        <v>2439</v>
      </c>
      <c r="T25" s="294">
        <v>579217.78</v>
      </c>
      <c r="U25" s="294">
        <f t="shared" si="15"/>
        <v>110.21485374637503</v>
      </c>
      <c r="V25" s="295">
        <v>63838402.910000026</v>
      </c>
      <c r="W25" s="294">
        <v>473359.8</v>
      </c>
      <c r="X25" s="294">
        <f t="shared" si="16"/>
        <v>177.36296941565385</v>
      </c>
      <c r="Y25" s="285">
        <v>83956499.730000019</v>
      </c>
      <c r="Z25" s="311">
        <f t="shared" si="17"/>
        <v>67.148115669278823</v>
      </c>
      <c r="AA25" s="221">
        <v>475054</v>
      </c>
      <c r="AB25" s="426">
        <v>473359.8</v>
      </c>
    </row>
    <row r="26" spans="1:28" s="286" customFormat="1" ht="15.75">
      <c r="B26" s="136" t="s">
        <v>3539</v>
      </c>
      <c r="C26" s="137">
        <v>1134</v>
      </c>
      <c r="D26" s="137">
        <v>1042</v>
      </c>
      <c r="E26" s="137">
        <v>250</v>
      </c>
      <c r="F26" s="137">
        <v>0</v>
      </c>
      <c r="G26" s="314">
        <f t="shared" si="18"/>
        <v>2426</v>
      </c>
      <c r="H26" s="138" t="s">
        <v>3446</v>
      </c>
      <c r="I26" s="322"/>
      <c r="J26" s="346"/>
      <c r="K26" s="346"/>
      <c r="L26" s="346"/>
      <c r="M26" s="346"/>
      <c r="N26" s="346"/>
      <c r="O26" s="346"/>
      <c r="P26" s="346"/>
      <c r="Q26" s="346"/>
      <c r="R26" s="346"/>
      <c r="S26" s="277" t="s">
        <v>2456</v>
      </c>
      <c r="T26" s="294">
        <v>507669.08</v>
      </c>
      <c r="U26" s="294">
        <f t="shared" si="15"/>
        <v>116.50723953879559</v>
      </c>
      <c r="V26" s="295">
        <v>59147123.109999985</v>
      </c>
      <c r="W26" s="294">
        <v>462589.4</v>
      </c>
      <c r="X26" s="294">
        <f t="shared" si="16"/>
        <v>174.85135588926161</v>
      </c>
      <c r="Y26" s="285">
        <v>80884383.810000002</v>
      </c>
      <c r="Z26" s="371">
        <f t="shared" si="17"/>
        <v>58.344116350466024</v>
      </c>
      <c r="AA26" s="221">
        <v>404462</v>
      </c>
      <c r="AB26" s="426">
        <v>462589</v>
      </c>
    </row>
    <row r="27" spans="1:28" s="322" customFormat="1" ht="15.75">
      <c r="B27" s="136" t="s">
        <v>3540</v>
      </c>
      <c r="C27" s="137">
        <v>3203</v>
      </c>
      <c r="D27" s="137">
        <v>2048</v>
      </c>
      <c r="E27" s="137">
        <v>0</v>
      </c>
      <c r="F27" s="137">
        <v>0</v>
      </c>
      <c r="G27" s="314">
        <f t="shared" si="18"/>
        <v>5251</v>
      </c>
      <c r="H27" s="138" t="s">
        <v>3458</v>
      </c>
      <c r="J27" s="346"/>
      <c r="K27" s="346"/>
      <c r="L27" s="346"/>
      <c r="M27" s="346"/>
      <c r="N27" s="346"/>
      <c r="O27" s="346"/>
      <c r="P27" s="346"/>
      <c r="Q27" s="346"/>
      <c r="R27" s="346"/>
      <c r="S27" s="277" t="s">
        <v>2484</v>
      </c>
      <c r="T27" s="294">
        <v>499128.4</v>
      </c>
      <c r="U27" s="294">
        <f t="shared" si="15"/>
        <v>148.65679793015178</v>
      </c>
      <c r="V27" s="295">
        <v>74198829.699999973</v>
      </c>
      <c r="W27" s="294">
        <v>578392.69999999995</v>
      </c>
      <c r="X27" s="294">
        <f t="shared" si="16"/>
        <v>180.78847226114723</v>
      </c>
      <c r="Y27" s="285">
        <v>104566732.60000004</v>
      </c>
      <c r="Z27" s="371">
        <f t="shared" si="17"/>
        <v>32.131674330995452</v>
      </c>
      <c r="AA27" s="221">
        <v>514365</v>
      </c>
      <c r="AB27" s="426">
        <v>578392.69999999995</v>
      </c>
    </row>
    <row r="28" spans="1:28" s="292" customFormat="1">
      <c r="B28" s="139" t="s">
        <v>879</v>
      </c>
      <c r="C28" s="210">
        <f>SUM(C18:C27)</f>
        <v>14084</v>
      </c>
      <c r="D28" s="210">
        <f>SUM(D18:D27)</f>
        <v>12230</v>
      </c>
      <c r="E28" s="210">
        <f>SUM(E18:E27)</f>
        <v>1461</v>
      </c>
      <c r="F28" s="210">
        <f>SUM(F18:F27)</f>
        <v>0</v>
      </c>
      <c r="G28" s="222">
        <f>SUM(G18:G27)</f>
        <v>27775</v>
      </c>
      <c r="H28" s="140"/>
      <c r="I28" s="369"/>
      <c r="J28" s="369"/>
      <c r="K28" s="369"/>
      <c r="L28" s="369"/>
      <c r="M28" s="369"/>
      <c r="N28" s="369"/>
      <c r="O28" s="369"/>
      <c r="P28" s="369"/>
      <c r="Q28" s="369"/>
      <c r="R28" s="369"/>
      <c r="S28" s="435" t="s">
        <v>879</v>
      </c>
      <c r="T28" s="427">
        <f>SUM(T16:T27)</f>
        <v>6487836.4500000011</v>
      </c>
      <c r="U28" s="428">
        <f>+V28/T28</f>
        <v>117.7455700520934</v>
      </c>
      <c r="V28" s="427">
        <f>SUM(V16:V27)</f>
        <v>763914001.21000004</v>
      </c>
      <c r="W28" s="427">
        <f>SUM(W16:W27)</f>
        <v>6033525.2999999998</v>
      </c>
      <c r="X28" s="428">
        <f>+Y28/W28</f>
        <v>180.21537350643081</v>
      </c>
      <c r="Y28" s="427">
        <f>SUM(Y16:Y27)</f>
        <v>1087334015.5</v>
      </c>
      <c r="Z28" s="429">
        <f t="shared" si="17"/>
        <v>62.469803454337409</v>
      </c>
      <c r="AA28" s="427">
        <f>SUM(AA16:AA27)</f>
        <v>5677534</v>
      </c>
      <c r="AB28" s="427">
        <f>SUM(AB16:AB27)</f>
        <v>6033524.8999999994</v>
      </c>
    </row>
    <row r="29" spans="1:28" s="346" customFormat="1">
      <c r="B29" s="369"/>
      <c r="C29" s="141">
        <v>60</v>
      </c>
      <c r="D29" s="142">
        <v>45</v>
      </c>
      <c r="E29" s="143">
        <v>45</v>
      </c>
      <c r="F29" s="143">
        <v>18</v>
      </c>
      <c r="G29" s="142"/>
      <c r="H29" s="315"/>
      <c r="I29" s="369"/>
      <c r="J29" s="369"/>
      <c r="K29" s="369"/>
      <c r="L29" s="369"/>
      <c r="M29" s="369"/>
      <c r="N29" s="369"/>
      <c r="O29" s="369"/>
      <c r="P29" s="369"/>
      <c r="Q29" s="369"/>
      <c r="R29" s="369"/>
      <c r="S29" s="421" t="s">
        <v>2514</v>
      </c>
      <c r="T29" s="322"/>
      <c r="U29" s="322"/>
      <c r="V29" s="322"/>
      <c r="W29" s="322"/>
      <c r="X29" s="322"/>
      <c r="Y29" s="292"/>
      <c r="Z29" s="322"/>
      <c r="AA29" s="322"/>
      <c r="AB29" s="292"/>
    </row>
    <row r="30" spans="1:28" s="346" customFormat="1">
      <c r="B30" s="11"/>
      <c r="C30" s="144">
        <f>+C28*C29</f>
        <v>845040</v>
      </c>
      <c r="D30" s="144">
        <f>+D28*D29</f>
        <v>550350</v>
      </c>
      <c r="E30" s="144">
        <f>+E28*E29</f>
        <v>65745</v>
      </c>
      <c r="F30" s="144">
        <f>+F28*F29</f>
        <v>0</v>
      </c>
      <c r="G30" s="144">
        <f>+G28*12</f>
        <v>333300</v>
      </c>
      <c r="H30" s="369"/>
      <c r="I30" s="369"/>
      <c r="J30" s="369"/>
      <c r="K30" s="369"/>
      <c r="L30" s="369"/>
      <c r="M30" s="369"/>
      <c r="N30" s="369"/>
      <c r="O30" s="369"/>
      <c r="P30" s="369"/>
      <c r="Q30" s="369"/>
      <c r="R30" s="369"/>
      <c r="S30" s="277" t="s">
        <v>2513</v>
      </c>
      <c r="T30" s="294">
        <v>506866.57999999996</v>
      </c>
      <c r="U30" s="294">
        <f>+V30/T30</f>
        <v>165.4492585405809</v>
      </c>
      <c r="V30" s="295">
        <v>83860699.840000018</v>
      </c>
      <c r="W30" s="294">
        <v>405825</v>
      </c>
      <c r="X30" s="294">
        <f>+Y30/W30</f>
        <v>220.19842173350582</v>
      </c>
      <c r="Y30" s="285">
        <v>89362024.5</v>
      </c>
      <c r="Z30" s="371">
        <f>+X30-U30</f>
        <v>54.749163192924925</v>
      </c>
      <c r="AA30" s="69">
        <v>416165</v>
      </c>
      <c r="AB30" s="426">
        <v>405825</v>
      </c>
    </row>
    <row r="31" spans="1:28" s="346" customFormat="1">
      <c r="B31" s="369"/>
      <c r="C31" s="145"/>
      <c r="D31" s="145"/>
      <c r="E31" s="145"/>
      <c r="F31" s="145"/>
      <c r="G31" s="391">
        <f>+F32-G30</f>
        <v>1127835</v>
      </c>
      <c r="H31" s="468" t="s">
        <v>881</v>
      </c>
      <c r="I31" s="369"/>
      <c r="J31" s="369"/>
      <c r="K31" s="369"/>
      <c r="L31" s="369"/>
      <c r="M31" s="369"/>
      <c r="N31" s="369"/>
      <c r="O31" s="369"/>
      <c r="P31" s="369"/>
      <c r="Q31" s="369"/>
      <c r="R31" s="369"/>
      <c r="S31" s="277" t="s">
        <v>2550</v>
      </c>
      <c r="T31" s="294">
        <v>428496.94</v>
      </c>
      <c r="U31" s="294">
        <f>+V31/T31</f>
        <v>129.78420718710379</v>
      </c>
      <c r="V31" s="295">
        <v>55612135.639999986</v>
      </c>
      <c r="W31" s="294">
        <v>487917</v>
      </c>
      <c r="X31" s="294">
        <f>+Y31/W31</f>
        <v>250.40064226087631</v>
      </c>
      <c r="Y31" s="285">
        <v>122174730.16999999</v>
      </c>
      <c r="Z31" s="371">
        <f>+X31-U31</f>
        <v>120.61643507377252</v>
      </c>
      <c r="AA31" s="401">
        <v>419864</v>
      </c>
      <c r="AB31" s="426">
        <v>487917</v>
      </c>
    </row>
    <row r="32" spans="1:28" s="346" customFormat="1" ht="15.75" customHeight="1">
      <c r="B32" s="369"/>
      <c r="C32" s="369"/>
      <c r="D32" s="316"/>
      <c r="E32" s="316"/>
      <c r="F32" s="392">
        <f>+C30+D30+E30+F30</f>
        <v>1461135</v>
      </c>
      <c r="G32" s="317"/>
      <c r="H32" s="468"/>
      <c r="I32" s="369"/>
      <c r="J32" s="369"/>
      <c r="K32" s="369"/>
      <c r="L32" s="369"/>
      <c r="M32" s="369"/>
      <c r="N32" s="369"/>
      <c r="O32" s="369"/>
      <c r="P32" s="369"/>
      <c r="Q32" s="369"/>
      <c r="R32" s="369"/>
      <c r="S32" s="277" t="s">
        <v>2566</v>
      </c>
      <c r="T32" s="294">
        <v>473714.1399999999</v>
      </c>
      <c r="U32" s="294">
        <f>+V32/T32</f>
        <v>151.75375961967276</v>
      </c>
      <c r="V32" s="295">
        <v>71887901.729999989</v>
      </c>
      <c r="W32" s="294">
        <v>332726</v>
      </c>
      <c r="X32" s="294">
        <f>+Y32/W32</f>
        <v>248.41289361216135</v>
      </c>
      <c r="Y32" s="285">
        <v>82653428.439999998</v>
      </c>
      <c r="Z32" s="371">
        <f>+X32-U32</f>
        <v>96.659133992488592</v>
      </c>
      <c r="AA32" s="401">
        <v>413289</v>
      </c>
      <c r="AB32" s="426">
        <v>332726</v>
      </c>
    </row>
    <row r="33" spans="4:28" s="346" customFormat="1">
      <c r="D33" s="369"/>
      <c r="E33" s="369"/>
      <c r="F33" s="369"/>
      <c r="G33" s="369"/>
      <c r="H33" s="369"/>
      <c r="I33" s="369"/>
      <c r="J33" s="369"/>
      <c r="K33" s="369"/>
      <c r="L33" s="369"/>
      <c r="M33" s="369"/>
      <c r="N33" s="369"/>
      <c r="O33" s="369"/>
      <c r="P33" s="369"/>
      <c r="Q33" s="369"/>
      <c r="R33" s="369"/>
      <c r="S33" s="277" t="s">
        <v>3541</v>
      </c>
      <c r="T33" s="294">
        <v>547753.42000000004</v>
      </c>
      <c r="U33" s="294">
        <f>+V33/T33</f>
        <v>152.92042883091443</v>
      </c>
      <c r="V33" s="295">
        <v>83762687.879999995</v>
      </c>
      <c r="W33" s="294">
        <v>595287.70000000007</v>
      </c>
      <c r="X33" s="294">
        <f>+Y33/W33</f>
        <v>228.0478862573508</v>
      </c>
      <c r="Y33" s="285">
        <v>135754101.69999999</v>
      </c>
      <c r="Z33" s="368">
        <f>+X33-U33</f>
        <v>75.127457426436365</v>
      </c>
      <c r="AA33" s="401">
        <v>481055</v>
      </c>
      <c r="AB33" s="426">
        <v>595287.69999999995</v>
      </c>
    </row>
    <row r="34" spans="4:28" s="346" customFormat="1">
      <c r="D34" s="369"/>
      <c r="E34" s="369"/>
      <c r="F34" s="369"/>
      <c r="G34" s="369"/>
      <c r="H34" s="369"/>
      <c r="I34" s="369"/>
      <c r="J34" s="369"/>
      <c r="K34" s="369"/>
      <c r="L34" s="369"/>
      <c r="M34" s="369"/>
      <c r="N34" s="369"/>
      <c r="O34" s="369"/>
      <c r="P34" s="369"/>
      <c r="Q34" s="369"/>
      <c r="R34" s="369"/>
      <c r="S34" s="435" t="s">
        <v>879</v>
      </c>
      <c r="T34" s="434">
        <f>SUM(T30:T33)</f>
        <v>1956831.08</v>
      </c>
      <c r="U34" s="428">
        <f>+V34/T34</f>
        <v>150.81701640286704</v>
      </c>
      <c r="V34" s="434">
        <f>SUM(V30:V33)</f>
        <v>295123425.09000003</v>
      </c>
      <c r="W34" s="434">
        <f>SUM(W30:W33)</f>
        <v>1821755.7000000002</v>
      </c>
      <c r="X34" s="428">
        <f>+Y34/W34</f>
        <v>236.00545606087576</v>
      </c>
      <c r="Y34" s="433">
        <f>SUM(Y30:Y33)</f>
        <v>429944284.81</v>
      </c>
      <c r="Z34" s="429">
        <f t="shared" ref="Z34" si="19">+X34-U34</f>
        <v>85.188439658008718</v>
      </c>
      <c r="AA34" s="427">
        <f>SUM(AA30:AA33)</f>
        <v>1730373</v>
      </c>
      <c r="AB34" s="427">
        <f>SUM(AB30:AB33)</f>
        <v>1821755.7</v>
      </c>
    </row>
  </sheetData>
  <mergeCells count="8">
    <mergeCell ref="H31:H32"/>
    <mergeCell ref="B16:H16"/>
    <mergeCell ref="W1:Y1"/>
    <mergeCell ref="N2:P2"/>
    <mergeCell ref="B3:B4"/>
    <mergeCell ref="K2:M2"/>
    <mergeCell ref="T1:V1"/>
    <mergeCell ref="B2:D2"/>
  </mergeCells>
  <pageMargins left="0.7" right="0.7" top="0.75" bottom="0.75" header="0.3" footer="0.3"/>
  <pageSetup orientation="portrait" verticalDpi="0" r:id="rId1"/>
  <ignoredErrors>
    <ignoredError sqref="O9 L9 Z14 X14 U14 U28 X28 Z28 X34 Z34 U34" formula="1"/>
    <ignoredError sqref="K9 M9:N9 P9" formulaRange="1"/>
    <ignoredError sqref="L7 O7 Q7" evalError="1"/>
  </ignoredError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S679"/>
  <sheetViews>
    <sheetView workbookViewId="0">
      <selection activeCell="D37" sqref="D37"/>
    </sheetView>
  </sheetViews>
  <sheetFormatPr defaultRowHeight="12.75"/>
  <cols>
    <col min="1" max="1" width="34.42578125" style="1" customWidth="1"/>
    <col min="2" max="3" width="14.85546875" style="1" customWidth="1"/>
    <col min="4" max="4" width="13" style="1" customWidth="1"/>
    <col min="5" max="5" width="12.85546875" style="1" customWidth="1"/>
    <col min="6" max="6" width="8.28515625" style="1" bestFit="1" customWidth="1"/>
    <col min="7" max="7" width="6.5703125" style="1" bestFit="1" customWidth="1"/>
    <col min="8" max="8" width="26" style="10" bestFit="1" customWidth="1"/>
    <col min="9" max="9" width="23.5703125" style="1" customWidth="1"/>
    <col min="10" max="10" width="16.28515625" style="1" bestFit="1" customWidth="1"/>
    <col min="11" max="11" width="14.85546875" style="1" bestFit="1" customWidth="1"/>
    <col min="12" max="12" width="43" style="1" bestFit="1" customWidth="1"/>
    <col min="13" max="13" width="16.7109375" style="1" bestFit="1" customWidth="1"/>
    <col min="14" max="14" width="15.140625" style="1" bestFit="1" customWidth="1"/>
    <col min="15" max="15" width="17.7109375" style="1" bestFit="1" customWidth="1"/>
    <col min="16" max="16" width="19.42578125" style="1" bestFit="1" customWidth="1"/>
    <col min="17" max="17" width="14.5703125" style="1" bestFit="1" customWidth="1"/>
    <col min="18" max="18" width="23.28515625" style="1" bestFit="1" customWidth="1"/>
    <col min="19" max="19" width="39.140625" style="1" customWidth="1"/>
    <col min="20" max="20" width="12.5703125" style="1" bestFit="1" customWidth="1"/>
    <col min="21" max="21" width="13.42578125" style="1" bestFit="1" customWidth="1"/>
    <col min="22" max="22" width="29.7109375" style="1" customWidth="1"/>
    <col min="23" max="23" width="14.85546875" style="1" bestFit="1" customWidth="1"/>
    <col min="24" max="24" width="13.5703125" style="1" bestFit="1" customWidth="1"/>
    <col min="25" max="26" width="13.42578125" style="1" bestFit="1" customWidth="1"/>
    <col min="27" max="27" width="13.28515625" style="1" bestFit="1" customWidth="1"/>
    <col min="28" max="28" width="12.85546875" style="1" bestFit="1" customWidth="1"/>
    <col min="29" max="29" width="12.7109375" style="1" bestFit="1" customWidth="1"/>
    <col min="30" max="30" width="14.42578125" style="1" bestFit="1" customWidth="1"/>
    <col min="31" max="31" width="12.7109375" style="1" bestFit="1" customWidth="1"/>
    <col min="32" max="32" width="8.28515625" style="1" bestFit="1" customWidth="1"/>
    <col min="33" max="33" width="17.28515625" style="1" bestFit="1" customWidth="1"/>
    <col min="34" max="34" width="8.85546875" style="1" bestFit="1" customWidth="1"/>
    <col min="35" max="36" width="13.28515625" style="1" bestFit="1" customWidth="1"/>
    <col min="37" max="37" width="12" style="1" bestFit="1" customWidth="1"/>
    <col min="38" max="38" width="11.42578125" style="1" bestFit="1" customWidth="1"/>
    <col min="39" max="39" width="7.28515625" style="1" bestFit="1" customWidth="1"/>
    <col min="40" max="40" width="19.85546875" style="1" bestFit="1" customWidth="1"/>
    <col min="41" max="41" width="26.85546875" style="1" bestFit="1" customWidth="1"/>
    <col min="42" max="42" width="33.42578125" style="1" bestFit="1" customWidth="1"/>
    <col min="43" max="43" width="14.85546875" style="1" bestFit="1" customWidth="1"/>
    <col min="44" max="44" width="36.7109375" style="1" bestFit="1" customWidth="1"/>
    <col min="45" max="45" width="11.28515625" style="1" bestFit="1" customWidth="1"/>
    <col min="46" max="16384" width="9.140625" style="1"/>
  </cols>
  <sheetData>
    <row r="1" spans="1:45" ht="15">
      <c r="A1" s="3" t="s">
        <v>26</v>
      </c>
      <c r="B1" s="369" t="s">
        <v>415</v>
      </c>
      <c r="C1"/>
      <c r="D1"/>
      <c r="E1"/>
      <c r="F1"/>
      <c r="G1"/>
      <c r="H1" s="1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</row>
    <row r="2" spans="1:45" ht="15">
      <c r="A2"/>
      <c r="B2"/>
      <c r="C2"/>
      <c r="D2"/>
      <c r="E2"/>
      <c r="F2"/>
      <c r="G2"/>
      <c r="H2" s="11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</row>
    <row r="3" spans="1:45" ht="15">
      <c r="A3" s="3" t="s">
        <v>83</v>
      </c>
      <c r="B3" s="369" t="s">
        <v>85</v>
      </c>
      <c r="C3" s="369" t="s">
        <v>239</v>
      </c>
      <c r="D3"/>
      <c r="E3"/>
      <c r="F3"/>
      <c r="G3"/>
      <c r="H3" s="11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</row>
    <row r="4" spans="1:45" ht="15">
      <c r="A4" s="425" t="s">
        <v>58</v>
      </c>
      <c r="B4" s="205">
        <v>43346.700000000004</v>
      </c>
      <c r="C4" s="206">
        <v>8447671.8100000005</v>
      </c>
      <c r="D4" s="4">
        <f>+GETPIVOTDATA("Sum of Amount",$A$3,"purchase Group Name","JUMBO BAG")/GETPIVOTDATA("Sum of Quantity",$A$3,"purchase Group Name","JUMBO BAG")</f>
        <v>194.88615765444658</v>
      </c>
      <c r="E4"/>
      <c r="F4"/>
      <c r="G4"/>
      <c r="H4" s="342" t="s">
        <v>2206</v>
      </c>
      <c r="I4" s="301" t="s">
        <v>2208</v>
      </c>
      <c r="J4" s="301" t="s">
        <v>38</v>
      </c>
      <c r="K4" s="301" t="s">
        <v>2209</v>
      </c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</row>
    <row r="5" spans="1:45" ht="15">
      <c r="A5" s="425" t="s">
        <v>82</v>
      </c>
      <c r="B5" s="205">
        <v>92085.96</v>
      </c>
      <c r="C5" s="96">
        <v>16914526.830000002</v>
      </c>
      <c r="D5" s="96">
        <f>+GETPIVOTDATA("Sum of Amount",$A$3,"purchase Group Name","LLDPE Bags")/GETPIVOTDATA("Sum of Quantity",$A$3,"purchase Group Name","LLDPE Bags")</f>
        <v>183.68192968830428</v>
      </c>
      <c r="E5" s="4">
        <f>+GETPIVOTDATA("Sum of Quantity",$A$3,"purchase Group Name","LLDPE Bags")+GETPIVOTDATA("Sum of Quantity",$A$3,"purchase Group Name","LLDPE Doc")</f>
        <v>94528.46</v>
      </c>
      <c r="F5"/>
      <c r="G5"/>
      <c r="H5" s="343" t="s">
        <v>82</v>
      </c>
      <c r="I5" s="298">
        <f>+GETPIVOTDATA("Sum of Quantity",$A$3,"purchase Group Name","LLDPE Bags")</f>
        <v>92085.96</v>
      </c>
      <c r="J5" s="299">
        <f>+GETPIVOTDATA("Sum of Amount",$A$3,"purchase Group Name","LLDPE Bags")</f>
        <v>16914526.830000002</v>
      </c>
      <c r="K5" s="302">
        <f>+J5/I5</f>
        <v>183.68192968830428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</row>
    <row r="6" spans="1:45" ht="15">
      <c r="A6" s="425" t="s">
        <v>417</v>
      </c>
      <c r="B6" s="205">
        <v>2442.5</v>
      </c>
      <c r="C6" s="206">
        <v>441379.99999999994</v>
      </c>
      <c r="D6" s="96">
        <f>+GETPIVOTDATA("Sum of Amount",$A$3,"purchase Group Name","LLDPE Doc")/GETPIVOTDATA("Sum of Quantity",$A$3,"purchase Group Name","LLDPE Doc")</f>
        <v>180.70829068577274</v>
      </c>
      <c r="E6">
        <f>+GETPIVOTDATA("Sum of Amount",$A$3,"purchase Group Name","LLDPE Bags")+GETPIVOTDATA("Sum of Amount",$A$3,"purchase Group Name","LLDPE Doc")</f>
        <v>17355906.830000002</v>
      </c>
      <c r="F6" s="4">
        <f>+E6/E5</f>
        <v>183.60509448688788</v>
      </c>
      <c r="H6" s="343" t="s">
        <v>417</v>
      </c>
      <c r="I6" s="298">
        <f>+GETPIVOTDATA("Sum of Quantity",$A$3,"purchase Group Name","LLDPE Doc")</f>
        <v>2442.5</v>
      </c>
      <c r="J6" s="299">
        <f>+GETPIVOTDATA("Sum of Amount",$A$3,"purchase Group Name","LLDPE Doc")</f>
        <v>441379.99999999994</v>
      </c>
      <c r="K6" s="302">
        <f>+J6/I6</f>
        <v>180.70829068577274</v>
      </c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</row>
    <row r="7" spans="1:45" ht="15">
      <c r="A7" s="425" t="s">
        <v>101</v>
      </c>
      <c r="B7" s="205">
        <v>11028.86</v>
      </c>
      <c r="C7" s="206">
        <v>1715238.28</v>
      </c>
      <c r="D7" s="96">
        <f>+GETPIVOTDATA("Sum of Amount",$A$3,"purchase Group Name","PP Filament Yarn")/GETPIVOTDATA("Sum of Quantity",$A$3,"purchase Group Name","PP Filament Yarn")</f>
        <v>155.52271766982261</v>
      </c>
      <c r="E7" s="283"/>
      <c r="F7" s="283"/>
      <c r="G7"/>
      <c r="H7" s="343" t="s">
        <v>101</v>
      </c>
      <c r="I7" s="298">
        <f>+GETPIVOTDATA("Sum of Quantity",$A$3,"purchase Group Name","PP Filament Yarn")</f>
        <v>11028.86</v>
      </c>
      <c r="J7" s="299">
        <f>+GETPIVOTDATA("Sum of Amount",$A$3,"purchase Group Name","PP Filament Yarn")</f>
        <v>1715238.28</v>
      </c>
      <c r="K7" s="302">
        <f t="shared" ref="K7:K12" si="0">+J7/I7</f>
        <v>155.52271766982261</v>
      </c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</row>
    <row r="8" spans="1:45" ht="15">
      <c r="A8" s="425" t="s">
        <v>77</v>
      </c>
      <c r="B8" s="205">
        <v>51178.8</v>
      </c>
      <c r="C8" s="96">
        <v>7699730.1099999985</v>
      </c>
      <c r="D8" s="96">
        <f>+GETPIVOTDATA("Sum of Amount",$A$3,"purchase Group Name","PP Laminated Woven Fabric")/GETPIVOTDATA("Sum of Quantity",$A$3,"purchase Group Name","PP Laminated Woven Fabric")</f>
        <v>150.44764844036979</v>
      </c>
      <c r="E8"/>
      <c r="F8"/>
      <c r="G8"/>
      <c r="H8" s="343" t="s">
        <v>77</v>
      </c>
      <c r="I8" s="298">
        <f>+GETPIVOTDATA("Sum of Quantity",$A$3,"purchase Group Name","PP Laminated Woven Fabric")</f>
        <v>51178.8</v>
      </c>
      <c r="J8" s="299">
        <f>+GETPIVOTDATA("Sum of Amount",$A$3,"purchase Group Name","PP Laminated Woven Fabric")</f>
        <v>7699730.1099999985</v>
      </c>
      <c r="K8" s="302">
        <f t="shared" si="0"/>
        <v>150.44764844036979</v>
      </c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</row>
    <row r="9" spans="1:45" ht="15">
      <c r="A9" s="425" t="s">
        <v>79</v>
      </c>
      <c r="B9" s="205">
        <v>50926.800000000025</v>
      </c>
      <c r="C9" s="96">
        <v>7599377.8499999987</v>
      </c>
      <c r="D9" s="96">
        <f>+GETPIVOTDATA("Sum of Amount",$A$3,"purchase Group Name","PP Webbing")/GETPIVOTDATA("Sum of Quantity",$A$3,"purchase Group Name","PP Webbing")</f>
        <v>149.22158568769282</v>
      </c>
      <c r="E9" s="4">
        <f>+GETPIVOTDATA("Sum of Amount",$A$3,"purchase Group Name","PP Laminated Woven Fabric")+GETPIVOTDATA("Sum of Amount",$A$3,"purchase Group Name","PP Woven Fabric")</f>
        <v>55757302.840000004</v>
      </c>
      <c r="F9"/>
      <c r="G9"/>
      <c r="H9" s="343" t="s">
        <v>79</v>
      </c>
      <c r="I9" s="298">
        <f>+GETPIVOTDATA("Sum of Quantity",$A$3,"purchase Group Name","PP Webbing")</f>
        <v>50926.800000000025</v>
      </c>
      <c r="J9" s="299">
        <f>+GETPIVOTDATA("Sum of Amount",$A$3,"purchase Group Name","PP Webbing")</f>
        <v>7599377.8499999987</v>
      </c>
      <c r="K9" s="302">
        <f>+J9/I9</f>
        <v>149.22158568769282</v>
      </c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</row>
    <row r="10" spans="1:45" ht="15">
      <c r="A10" s="425" t="s">
        <v>64</v>
      </c>
      <c r="B10" s="205">
        <v>331556.3</v>
      </c>
      <c r="C10" s="206">
        <v>48057572.730000004</v>
      </c>
      <c r="D10" s="96">
        <f>+GETPIVOTDATA("Sum of Amount",$A$3,"purchase Group Name","PP Woven Fabric")/GETPIVOTDATA("Sum of Quantity",$A$3,"purchase Group Name","PP Woven Fabric")</f>
        <v>144.94543680816804</v>
      </c>
      <c r="E10" s="4">
        <f>+GETPIVOTDATA("Sum of Quantity",$A$3,"purchase Group Name","PP Laminated Woven Fabric")+GETPIVOTDATA("Sum of Quantity",$A$3,"purchase Group Name","PP Woven Fabric")</f>
        <v>382735.1</v>
      </c>
      <c r="F10" s="4">
        <f>+E9/E10</f>
        <v>145.68118481947437</v>
      </c>
      <c r="G10"/>
      <c r="H10" s="343" t="s">
        <v>64</v>
      </c>
      <c r="I10" s="298">
        <f>+GETPIVOTDATA("Sum of Quantity",$A$3,"purchase Group Name","PP Woven Fabric")+GETPIVOTDATA("Sum of Quantity",$A$3,"purchase Group Name","FIBC WIP")</f>
        <v>340008</v>
      </c>
      <c r="J10" s="299">
        <f>+GETPIVOTDATA("Sum of Amount",$A$3,"purchase Group Name","PP Woven Fabric")+GETPIVOTDATA("Sum of Amount",$A$3,"purchase Group Name","FIBC WIP")</f>
        <v>49371708.810000002</v>
      </c>
      <c r="K10" s="302">
        <f t="shared" si="0"/>
        <v>145.20749161784428</v>
      </c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</row>
    <row r="11" spans="1:45" ht="15">
      <c r="A11" s="425" t="s">
        <v>656</v>
      </c>
      <c r="B11" s="205">
        <v>82.5</v>
      </c>
      <c r="C11" s="206">
        <v>20726</v>
      </c>
      <c r="D11" s="96">
        <f>+GETPIVOTDATA("Sum of Amount",$A$3,"purchase Group Name","LLDPE FILM")/GETPIVOTDATA("Sum of Quantity",$A$3,"purchase Group Name","LLDPE FILM")</f>
        <v>251.22424242424242</v>
      </c>
      <c r="E11"/>
      <c r="F11"/>
      <c r="G11"/>
      <c r="H11" s="343" t="s">
        <v>656</v>
      </c>
      <c r="I11" s="298">
        <f>+GETPIVOTDATA("Sum of Quantity",$A$3,"purchase Group Name","LLDPE FILM")</f>
        <v>82.5</v>
      </c>
      <c r="J11" s="299">
        <f>+GETPIVOTDATA("Sum of Amount",$A$3,"purchase Group Name","LLDPE FILM")</f>
        <v>20726</v>
      </c>
      <c r="K11" s="302">
        <f t="shared" si="0"/>
        <v>251.22424242424242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</row>
    <row r="12" spans="1:45" ht="15">
      <c r="A12" s="425" t="s">
        <v>800</v>
      </c>
      <c r="B12" s="288">
        <v>5489</v>
      </c>
      <c r="C12" s="206">
        <v>622392</v>
      </c>
      <c r="D12" s="96">
        <f>+GETPIVOTDATA("Sum of Amount",$A$3,"purchase Group Name","Thinner")/GETPIVOTDATA("Sum of Quantity",$A$3,"purchase Group Name","Thinner")</f>
        <v>113.38895973765713</v>
      </c>
      <c r="E12"/>
      <c r="F12"/>
      <c r="G12"/>
      <c r="H12" s="245" t="s">
        <v>2210</v>
      </c>
      <c r="I12" s="300">
        <f>SUM(I5:I11)</f>
        <v>547753.42000000004</v>
      </c>
      <c r="J12" s="2">
        <f>SUM(J5:J11)</f>
        <v>83762687.879999995</v>
      </c>
      <c r="K12" s="303">
        <f t="shared" si="0"/>
        <v>152.92042883091443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</row>
    <row r="13" spans="1:45" ht="15">
      <c r="A13" s="425" t="s">
        <v>2575</v>
      </c>
      <c r="B13" s="205">
        <v>1150</v>
      </c>
      <c r="C13" s="206">
        <v>305250</v>
      </c>
      <c r="D13" s="96">
        <f>+GETPIVOTDATA("Sum of Amount",$A$3,"purchase Group Name","Printing Inks")/GETPIVOTDATA("Sum of Quantity",$A$3,"purchase Group Name","Printing Inks")</f>
        <v>265.43478260869563</v>
      </c>
      <c r="E13"/>
      <c r="F13"/>
      <c r="G13"/>
      <c r="H13" s="11"/>
      <c r="I13" s="4"/>
      <c r="J13" s="4"/>
      <c r="K13" s="4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</row>
    <row r="14" spans="1:45" ht="15">
      <c r="A14" s="425" t="s">
        <v>2117</v>
      </c>
      <c r="B14" s="205">
        <v>8451.7000000000007</v>
      </c>
      <c r="C14" s="206">
        <v>1314136.0799999998</v>
      </c>
      <c r="D14" s="96">
        <f>+GETPIVOTDATA("Sum of Amount",$A$3,"purchase Group Name","FIBC WIP")/GETPIVOTDATA("Sum of Quantity",$A$3,"purchase Group Name","FIBC WIP")</f>
        <v>155.48778115645371</v>
      </c>
      <c r="F14"/>
      <c r="G14"/>
      <c r="H14" s="11"/>
      <c r="I14" s="4">
        <v>0</v>
      </c>
      <c r="J14" s="307" t="s">
        <v>2212</v>
      </c>
      <c r="K14" s="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</row>
    <row r="15" spans="1:45" ht="15">
      <c r="A15" s="425" t="s">
        <v>84</v>
      </c>
      <c r="B15" s="4">
        <v>597739.12</v>
      </c>
      <c r="C15" s="4">
        <v>93138001.690000013</v>
      </c>
      <c r="D15" s="4"/>
      <c r="F15" s="4"/>
      <c r="G15"/>
      <c r="H15" s="11"/>
      <c r="I15" s="305">
        <f>+I13+I14</f>
        <v>0</v>
      </c>
      <c r="J15" s="96"/>
      <c r="K15"/>
    </row>
    <row r="16" spans="1:45" ht="15">
      <c r="A16"/>
      <c r="B16"/>
      <c r="C16"/>
      <c r="D16" s="4"/>
      <c r="E16"/>
      <c r="F16"/>
      <c r="G16"/>
      <c r="H16" s="11"/>
      <c r="I16"/>
      <c r="J16" s="96"/>
      <c r="K16" s="93"/>
    </row>
    <row r="17" spans="1:39" s="244" customFormat="1" ht="15">
      <c r="A17"/>
      <c r="B17"/>
      <c r="C17"/>
      <c r="D17" s="308"/>
      <c r="E17" s="308"/>
      <c r="F17" s="308"/>
      <c r="G17" s="308"/>
      <c r="H17" s="11"/>
      <c r="I17" s="308"/>
      <c r="J17" s="96"/>
      <c r="K17" s="308"/>
    </row>
    <row r="18" spans="1:39" ht="15">
      <c r="A18" s="312" t="s">
        <v>2229</v>
      </c>
      <c r="B18" s="313">
        <f>+GETPIVOTDATA("Sum of Quantity",$A$3,"purchase Group Name","LLDPE Bags")+GETPIVOTDATA("Sum of Quantity",$A$3,"purchase Group Name","LLDPE Doc")+GETPIVOTDATA("Sum of Quantity",$A$3,"purchase Group Name","PP Filament Yarn")+GETPIVOTDATA("Sum of Quantity",$A$3,"purchase Group Name","PP Laminated Woven Fabric")+GETPIVOTDATA("Sum of Quantity",$A$3,"purchase Group Name","PP Webbing")+GETPIVOTDATA("Sum of Quantity",$A$3,"purchase Group Name","PP Woven Fabric")+GETPIVOTDATA("Sum of Quantity",$A$3,"purchase Group Name","LLDPE FILM")</f>
        <v>539301.72</v>
      </c>
      <c r="C18" s="313">
        <f>+GETPIVOTDATA("Sum of Amount",$A$3,"purchase Group Name","LLDPE Bags")+GETPIVOTDATA("Sum of Amount",$A$3,"purchase Group Name","LLDPE Doc")+GETPIVOTDATA("Sum of Amount",$A$3,"purchase Group Name","PP Filament Yarn")+GETPIVOTDATA("Sum of Amount",$A$3,"purchase Group Name","PP Laminated Woven Fabric")+GETPIVOTDATA("Sum of Amount",$A$3,"purchase Group Name","PP Webbing")+GETPIVOTDATA("Sum of Amount",$A$3,"purchase Group Name","PP Woven Fabric")+GETPIVOTDATA("Sum of Amount",$A$3,"purchase Group Name","LLDPE FILM")</f>
        <v>82448551.800000012</v>
      </c>
      <c r="D18" s="313">
        <f>+C18/B18</f>
        <v>152.88019441139556</v>
      </c>
      <c r="E18"/>
      <c r="F18"/>
      <c r="G18"/>
      <c r="I18" s="93"/>
      <c r="J18" s="96"/>
      <c r="K18" s="93"/>
    </row>
    <row r="19" spans="1:39" ht="15">
      <c r="A19" s="309" t="s">
        <v>2230</v>
      </c>
      <c r="B19" s="313">
        <f>+GETPIVOTDATA("Sum of Quantity",$A$3,"purchase Group Name","PP Woven Fabric")+GETPIVOTDATA("Sum of Quantity",$A$3,"purchase Group Name","PP Laminated Woven Fabric")</f>
        <v>382735.1</v>
      </c>
      <c r="C19" s="223">
        <f>+GETPIVOTDATA("Sum of Amount",$A$3,"purchase Group Name","PP Woven Fabric")+GETPIVOTDATA("Sum of Amount",$A$3,"purchase Group Name","PP Laminated Woven Fabric")</f>
        <v>55757302.840000004</v>
      </c>
      <c r="D19" s="313">
        <f>+C19/B19</f>
        <v>145.68118481947437</v>
      </c>
      <c r="E19" s="115"/>
      <c r="F19" s="93"/>
      <c r="G19" s="93"/>
      <c r="H19" s="11"/>
      <c r="I19" s="93"/>
      <c r="J19" s="96"/>
      <c r="K19" s="93"/>
    </row>
    <row r="20" spans="1:39" ht="15">
      <c r="A20" s="93"/>
      <c r="B20" s="93"/>
      <c r="C20" s="93"/>
      <c r="D20" s="93"/>
      <c r="E20" s="93"/>
      <c r="F20" s="93"/>
      <c r="G20" s="93"/>
      <c r="H20" s="11"/>
      <c r="I20" s="93"/>
      <c r="J20" s="96"/>
      <c r="K20" s="93"/>
    </row>
    <row r="21" spans="1:39" ht="15">
      <c r="A21"/>
      <c r="B21"/>
      <c r="C21"/>
      <c r="D21"/>
      <c r="E21"/>
      <c r="F21"/>
      <c r="G21"/>
      <c r="H21" s="11"/>
      <c r="I21"/>
      <c r="J21"/>
      <c r="K21"/>
    </row>
    <row r="22" spans="1:39" ht="15">
      <c r="A22" s="464" t="s">
        <v>299</v>
      </c>
      <c r="B22" s="464"/>
      <c r="C22" s="464"/>
      <c r="D22" s="464"/>
    </row>
    <row r="23" spans="1:39" ht="15">
      <c r="A23" s="3" t="s">
        <v>83</v>
      </c>
      <c r="B23" t="s">
        <v>239</v>
      </c>
      <c r="C23" s="17" t="s">
        <v>297</v>
      </c>
      <c r="D23" s="17" t="s">
        <v>298</v>
      </c>
      <c r="G23" s="347"/>
      <c r="H23" s="5" t="s">
        <v>25</v>
      </c>
      <c r="I23" s="5" t="s">
        <v>26</v>
      </c>
      <c r="J23" s="5" t="s">
        <v>27</v>
      </c>
      <c r="K23" s="5" t="s">
        <v>28</v>
      </c>
      <c r="L23" s="5" t="s">
        <v>29</v>
      </c>
      <c r="M23" s="5" t="s">
        <v>30</v>
      </c>
      <c r="N23" s="5" t="s">
        <v>31</v>
      </c>
      <c r="O23" s="5" t="s">
        <v>32</v>
      </c>
      <c r="P23" s="5" t="s">
        <v>33</v>
      </c>
      <c r="Q23" s="5" t="s">
        <v>34</v>
      </c>
      <c r="R23" s="5" t="s">
        <v>86</v>
      </c>
      <c r="S23" s="5" t="s">
        <v>36</v>
      </c>
      <c r="T23" s="5" t="s">
        <v>37</v>
      </c>
      <c r="U23" s="5" t="s">
        <v>38</v>
      </c>
      <c r="V23" s="5" t="s">
        <v>39</v>
      </c>
      <c r="W23" s="5" t="s">
        <v>40</v>
      </c>
      <c r="X23" s="5" t="s">
        <v>41</v>
      </c>
      <c r="Y23" s="5" t="s">
        <v>42</v>
      </c>
      <c r="Z23" s="5" t="s">
        <v>43</v>
      </c>
      <c r="AA23" s="5" t="s">
        <v>44</v>
      </c>
      <c r="AB23" s="5" t="s">
        <v>45</v>
      </c>
      <c r="AC23" s="5" t="s">
        <v>46</v>
      </c>
      <c r="AD23" s="5" t="s">
        <v>47</v>
      </c>
      <c r="AE23" s="5" t="s">
        <v>48</v>
      </c>
      <c r="AF23" s="5" t="s">
        <v>49</v>
      </c>
      <c r="AG23" s="5" t="s">
        <v>50</v>
      </c>
      <c r="AH23" s="5" t="s">
        <v>0</v>
      </c>
      <c r="AI23" s="5" t="s">
        <v>51</v>
      </c>
      <c r="AJ23" s="5" t="s">
        <v>52</v>
      </c>
      <c r="AK23" s="5" t="s">
        <v>53</v>
      </c>
      <c r="AL23" s="5" t="s">
        <v>54</v>
      </c>
      <c r="AM23" s="5" t="s">
        <v>1939</v>
      </c>
    </row>
    <row r="24" spans="1:39" ht="15" customHeight="1">
      <c r="A24" s="425" t="s">
        <v>2449</v>
      </c>
      <c r="B24" s="4">
        <v>737284.42999999993</v>
      </c>
      <c r="C24" s="23">
        <f>+'Trail Balance-JULY26'!C68</f>
        <v>737284.43</v>
      </c>
      <c r="D24" s="23">
        <f>+GETPIVOTDATA("Amount",$A$23,"Type","Branch Transfer In - Raw Material")-C24</f>
        <v>0</v>
      </c>
      <c r="G24" s="347"/>
      <c r="H24" s="348">
        <v>46029</v>
      </c>
      <c r="I24" s="8" t="s">
        <v>87</v>
      </c>
      <c r="J24" s="8" t="s">
        <v>96</v>
      </c>
      <c r="K24" s="8" t="s">
        <v>2757</v>
      </c>
      <c r="L24" s="8" t="s">
        <v>97</v>
      </c>
      <c r="M24" s="8" t="s">
        <v>2758</v>
      </c>
      <c r="N24" s="7">
        <v>46029</v>
      </c>
      <c r="O24" s="8" t="s">
        <v>2</v>
      </c>
      <c r="P24" s="8" t="s">
        <v>67</v>
      </c>
      <c r="Q24" s="8" t="s">
        <v>68</v>
      </c>
      <c r="R24" s="8" t="s">
        <v>69</v>
      </c>
      <c r="S24" s="8" t="s">
        <v>70</v>
      </c>
      <c r="T24" s="9">
        <v>354</v>
      </c>
      <c r="U24" s="9">
        <v>16992</v>
      </c>
      <c r="V24" s="8" t="s">
        <v>70</v>
      </c>
      <c r="W24" s="8">
        <v>20033.57</v>
      </c>
      <c r="X24" s="8">
        <v>9</v>
      </c>
      <c r="Y24" s="8">
        <v>1529.28</v>
      </c>
      <c r="Z24" s="8">
        <v>9</v>
      </c>
      <c r="AA24" s="8">
        <v>1529.28</v>
      </c>
      <c r="AB24" s="8">
        <v>0</v>
      </c>
      <c r="AC24" s="8">
        <v>0</v>
      </c>
      <c r="AD24" s="8">
        <v>0</v>
      </c>
      <c r="AE24" s="8">
        <v>3058.56</v>
      </c>
      <c r="AF24" s="8">
        <v>0</v>
      </c>
      <c r="AG24" s="8" t="s">
        <v>65</v>
      </c>
      <c r="AH24" s="8" t="s">
        <v>11</v>
      </c>
      <c r="AI24" s="8">
        <v>73063090</v>
      </c>
      <c r="AJ24" s="8" t="s">
        <v>60</v>
      </c>
      <c r="AK24" s="8">
        <v>1</v>
      </c>
      <c r="AL24" s="8">
        <v>0</v>
      </c>
      <c r="AM24" s="8" t="s">
        <v>1940</v>
      </c>
    </row>
    <row r="25" spans="1:39" ht="15" customHeight="1">
      <c r="A25" s="425" t="s">
        <v>98</v>
      </c>
      <c r="B25" s="4">
        <v>89309381.330000028</v>
      </c>
      <c r="C25" s="23">
        <f>+'Trail Balance-JULY26'!C72</f>
        <v>89309381.329999998</v>
      </c>
      <c r="D25" s="23">
        <f>+GETPIVOTDATA("Amount",$A$23,"Type","Purchase Withinstate - Raw Material")-C25</f>
        <v>0</v>
      </c>
      <c r="G25" s="347"/>
      <c r="H25" s="348">
        <v>46029</v>
      </c>
      <c r="I25" s="8" t="s">
        <v>87</v>
      </c>
      <c r="J25" s="8" t="s">
        <v>91</v>
      </c>
      <c r="K25" s="8" t="s">
        <v>2759</v>
      </c>
      <c r="L25" s="8" t="s">
        <v>98</v>
      </c>
      <c r="M25" s="8" t="s">
        <v>2760</v>
      </c>
      <c r="N25" s="7">
        <v>46029</v>
      </c>
      <c r="O25" s="8" t="s">
        <v>13</v>
      </c>
      <c r="P25" s="8" t="s">
        <v>62</v>
      </c>
      <c r="Q25" s="8" t="s">
        <v>76</v>
      </c>
      <c r="R25" s="8" t="s">
        <v>77</v>
      </c>
      <c r="S25" s="8" t="s">
        <v>21</v>
      </c>
      <c r="T25" s="9">
        <v>289</v>
      </c>
      <c r="U25" s="9">
        <v>44719.86</v>
      </c>
      <c r="V25" s="8" t="s">
        <v>21</v>
      </c>
      <c r="W25" s="8">
        <v>1727090.3</v>
      </c>
      <c r="X25" s="8">
        <v>9</v>
      </c>
      <c r="Y25" s="8">
        <v>4024.79</v>
      </c>
      <c r="Z25" s="8">
        <v>9</v>
      </c>
      <c r="AA25" s="8">
        <v>4024.79</v>
      </c>
      <c r="AB25" s="8">
        <v>0</v>
      </c>
      <c r="AC25" s="8">
        <v>0</v>
      </c>
      <c r="AD25" s="8">
        <v>0</v>
      </c>
      <c r="AE25" s="8">
        <v>8049.58</v>
      </c>
      <c r="AF25" s="8">
        <v>0</v>
      </c>
      <c r="AG25" s="8" t="s">
        <v>65</v>
      </c>
      <c r="AH25" s="8" t="s">
        <v>11</v>
      </c>
      <c r="AI25" s="8">
        <v>63053300</v>
      </c>
      <c r="AJ25" s="8" t="s">
        <v>60</v>
      </c>
      <c r="AK25" s="8">
        <v>1</v>
      </c>
      <c r="AL25" s="8">
        <v>289</v>
      </c>
      <c r="AM25" s="8" t="s">
        <v>1940</v>
      </c>
    </row>
    <row r="26" spans="1:39" ht="15" customHeight="1">
      <c r="A26" s="425" t="s">
        <v>2540</v>
      </c>
      <c r="B26" s="4">
        <v>2224616.5</v>
      </c>
      <c r="C26" s="23">
        <f>+'Trail Balance-JULY26'!C76</f>
        <v>2224616.5</v>
      </c>
      <c r="D26" s="23">
        <f>+GETPIVOTDATA("Amount",$A$23,"Type","Purchase Withinstate - Traded Goods")-C26</f>
        <v>0</v>
      </c>
      <c r="G26" s="347"/>
      <c r="H26" s="348">
        <v>46029</v>
      </c>
      <c r="I26" s="8" t="s">
        <v>87</v>
      </c>
      <c r="J26" s="8" t="s">
        <v>91</v>
      </c>
      <c r="K26" s="8" t="s">
        <v>2759</v>
      </c>
      <c r="L26" s="8" t="s">
        <v>98</v>
      </c>
      <c r="M26" s="8" t="s">
        <v>2760</v>
      </c>
      <c r="N26" s="7">
        <v>46029</v>
      </c>
      <c r="O26" s="8" t="s">
        <v>13</v>
      </c>
      <c r="P26" s="8" t="s">
        <v>62</v>
      </c>
      <c r="Q26" s="8" t="s">
        <v>63</v>
      </c>
      <c r="R26" s="8" t="s">
        <v>64</v>
      </c>
      <c r="S26" s="8" t="s">
        <v>19</v>
      </c>
      <c r="T26" s="9">
        <v>2836</v>
      </c>
      <c r="U26" s="9">
        <v>424662.64</v>
      </c>
      <c r="V26" s="8" t="s">
        <v>19</v>
      </c>
      <c r="W26" s="8">
        <v>0</v>
      </c>
      <c r="X26" s="8">
        <v>9</v>
      </c>
      <c r="Y26" s="8">
        <v>38219.64</v>
      </c>
      <c r="Z26" s="8">
        <v>9</v>
      </c>
      <c r="AA26" s="8">
        <v>38219.64</v>
      </c>
      <c r="AB26" s="8">
        <v>0</v>
      </c>
      <c r="AC26" s="8">
        <v>0</v>
      </c>
      <c r="AD26" s="8">
        <v>0</v>
      </c>
      <c r="AE26" s="8">
        <v>76439.28</v>
      </c>
      <c r="AF26" s="8">
        <v>0</v>
      </c>
      <c r="AG26" s="8" t="s">
        <v>65</v>
      </c>
      <c r="AH26" s="8" t="s">
        <v>11</v>
      </c>
      <c r="AI26" s="8">
        <v>39269080</v>
      </c>
      <c r="AJ26" s="8" t="s">
        <v>60</v>
      </c>
      <c r="AK26" s="8">
        <v>1</v>
      </c>
      <c r="AL26" s="8">
        <v>2836</v>
      </c>
      <c r="AM26" s="8" t="s">
        <v>1940</v>
      </c>
    </row>
    <row r="27" spans="1:39" ht="15" customHeight="1">
      <c r="A27" s="425" t="s">
        <v>657</v>
      </c>
      <c r="B27" s="4">
        <v>849175</v>
      </c>
      <c r="C27" s="23">
        <f>+'Trail Balance-JULY26'!C71</f>
        <v>849175</v>
      </c>
      <c r="D27" s="23">
        <f>+GETPIVOTDATA("Amount",$A$23,"Type","Purchase Interstate - Raw Material")-C27</f>
        <v>0</v>
      </c>
      <c r="E27" s="106"/>
      <c r="G27" s="347"/>
      <c r="H27" s="348">
        <v>46029</v>
      </c>
      <c r="I27" s="8" t="s">
        <v>87</v>
      </c>
      <c r="J27" s="8" t="s">
        <v>91</v>
      </c>
      <c r="K27" s="8" t="s">
        <v>2759</v>
      </c>
      <c r="L27" s="8" t="s">
        <v>98</v>
      </c>
      <c r="M27" s="8" t="s">
        <v>2760</v>
      </c>
      <c r="N27" s="7">
        <v>46029</v>
      </c>
      <c r="O27" s="8" t="s">
        <v>13</v>
      </c>
      <c r="P27" s="8" t="s">
        <v>62</v>
      </c>
      <c r="Q27" s="8" t="s">
        <v>63</v>
      </c>
      <c r="R27" s="8" t="s">
        <v>64</v>
      </c>
      <c r="S27" s="8" t="s">
        <v>19</v>
      </c>
      <c r="T27" s="9">
        <v>6027</v>
      </c>
      <c r="U27" s="9">
        <v>890428.98</v>
      </c>
      <c r="V27" s="8" t="s">
        <v>19</v>
      </c>
      <c r="W27" s="8">
        <v>0</v>
      </c>
      <c r="X27" s="8">
        <v>9</v>
      </c>
      <c r="Y27" s="8">
        <v>80138.61</v>
      </c>
      <c r="Z27" s="8">
        <v>9</v>
      </c>
      <c r="AA27" s="8">
        <v>80138.61</v>
      </c>
      <c r="AB27" s="8">
        <v>0</v>
      </c>
      <c r="AC27" s="8">
        <v>0</v>
      </c>
      <c r="AD27" s="8">
        <v>0</v>
      </c>
      <c r="AE27" s="8">
        <v>160277.22</v>
      </c>
      <c r="AF27" s="8">
        <v>0</v>
      </c>
      <c r="AG27" s="8" t="s">
        <v>65</v>
      </c>
      <c r="AH27" s="8" t="s">
        <v>11</v>
      </c>
      <c r="AI27" s="8">
        <v>39269080</v>
      </c>
      <c r="AJ27" s="8" t="s">
        <v>60</v>
      </c>
      <c r="AK27" s="8">
        <v>1</v>
      </c>
      <c r="AL27" s="8">
        <v>6027</v>
      </c>
      <c r="AM27" s="8" t="s">
        <v>1940</v>
      </c>
    </row>
    <row r="28" spans="1:39" ht="15" customHeight="1">
      <c r="A28" s="425" t="s">
        <v>2503</v>
      </c>
      <c r="B28" s="4">
        <v>394723.70999999996</v>
      </c>
      <c r="C28" s="23">
        <f>+'Trail Balance-JULY26'!C69</f>
        <v>394723.71</v>
      </c>
      <c r="D28" s="23">
        <f>+GETPIVOTDATA("Amount",$A$23,"Type","Branch Transfer In - Trading")-C28</f>
        <v>0</v>
      </c>
      <c r="G28" s="347"/>
      <c r="H28" s="348">
        <v>46029</v>
      </c>
      <c r="I28" s="8" t="s">
        <v>87</v>
      </c>
      <c r="J28" s="8" t="s">
        <v>91</v>
      </c>
      <c r="K28" s="8" t="s">
        <v>2759</v>
      </c>
      <c r="L28" s="8" t="s">
        <v>98</v>
      </c>
      <c r="M28" s="8" t="s">
        <v>2760</v>
      </c>
      <c r="N28" s="7">
        <v>46029</v>
      </c>
      <c r="O28" s="8" t="s">
        <v>13</v>
      </c>
      <c r="P28" s="8" t="s">
        <v>62</v>
      </c>
      <c r="Q28" s="8" t="s">
        <v>63</v>
      </c>
      <c r="R28" s="8" t="s">
        <v>64</v>
      </c>
      <c r="S28" s="8" t="s">
        <v>19</v>
      </c>
      <c r="T28" s="9">
        <v>697</v>
      </c>
      <c r="U28" s="9">
        <v>105065.78</v>
      </c>
      <c r="V28" s="8" t="s">
        <v>19</v>
      </c>
      <c r="W28" s="8">
        <v>0</v>
      </c>
      <c r="X28" s="8">
        <v>9</v>
      </c>
      <c r="Y28" s="8">
        <v>9455.92</v>
      </c>
      <c r="Z28" s="8">
        <v>9</v>
      </c>
      <c r="AA28" s="8">
        <v>9455.92</v>
      </c>
      <c r="AB28" s="8">
        <v>0</v>
      </c>
      <c r="AC28" s="8">
        <v>0</v>
      </c>
      <c r="AD28" s="8">
        <v>0</v>
      </c>
      <c r="AE28" s="8">
        <v>18911.84</v>
      </c>
      <c r="AF28" s="8">
        <v>0</v>
      </c>
      <c r="AG28" s="8" t="s">
        <v>65</v>
      </c>
      <c r="AH28" s="8" t="s">
        <v>11</v>
      </c>
      <c r="AI28" s="8">
        <v>39269080</v>
      </c>
      <c r="AJ28" s="8" t="s">
        <v>60</v>
      </c>
      <c r="AK28" s="8">
        <v>1</v>
      </c>
      <c r="AL28" s="8">
        <v>697</v>
      </c>
      <c r="AM28" s="8" t="s">
        <v>1940</v>
      </c>
    </row>
    <row r="29" spans="1:39" ht="15" customHeight="1">
      <c r="A29" s="425" t="s">
        <v>84</v>
      </c>
      <c r="B29" s="4">
        <v>93515180.970000029</v>
      </c>
      <c r="C29" s="322"/>
      <c r="D29" s="322"/>
      <c r="G29" s="347"/>
      <c r="H29" s="348">
        <v>46029</v>
      </c>
      <c r="I29" s="8" t="s">
        <v>87</v>
      </c>
      <c r="J29" s="8" t="s">
        <v>91</v>
      </c>
      <c r="K29" s="8" t="s">
        <v>2761</v>
      </c>
      <c r="L29" s="8" t="s">
        <v>98</v>
      </c>
      <c r="M29" s="8" t="s">
        <v>2762</v>
      </c>
      <c r="N29" s="7">
        <v>46029</v>
      </c>
      <c r="O29" s="8" t="s">
        <v>13</v>
      </c>
      <c r="P29" s="8" t="s">
        <v>80</v>
      </c>
      <c r="Q29" s="8" t="s">
        <v>81</v>
      </c>
      <c r="R29" s="8" t="s">
        <v>82</v>
      </c>
      <c r="S29" s="8" t="s">
        <v>17</v>
      </c>
      <c r="T29" s="160">
        <v>3917</v>
      </c>
      <c r="U29" s="9">
        <v>709564.55</v>
      </c>
      <c r="V29" s="8" t="s">
        <v>17</v>
      </c>
      <c r="W29" s="8">
        <v>1322447.83</v>
      </c>
      <c r="X29" s="8">
        <v>9</v>
      </c>
      <c r="Y29" s="8">
        <v>63860.81</v>
      </c>
      <c r="Z29" s="8">
        <v>9</v>
      </c>
      <c r="AA29" s="8">
        <v>63860.81</v>
      </c>
      <c r="AB29" s="8">
        <v>0</v>
      </c>
      <c r="AC29" s="8">
        <v>0</v>
      </c>
      <c r="AD29" s="8">
        <v>0</v>
      </c>
      <c r="AE29" s="8">
        <v>127721.62</v>
      </c>
      <c r="AF29" s="8">
        <v>0</v>
      </c>
      <c r="AG29" s="8" t="s">
        <v>65</v>
      </c>
      <c r="AH29" s="8" t="s">
        <v>11</v>
      </c>
      <c r="AI29" s="8">
        <v>39200000</v>
      </c>
      <c r="AJ29" s="8" t="s">
        <v>60</v>
      </c>
      <c r="AK29" s="8">
        <v>1</v>
      </c>
      <c r="AL29" s="8">
        <v>3917</v>
      </c>
      <c r="AM29" s="8" t="s">
        <v>1940</v>
      </c>
    </row>
    <row r="30" spans="1:39" ht="15" customHeight="1">
      <c r="A30"/>
      <c r="B30"/>
      <c r="C30" s="292"/>
      <c r="D30" s="292"/>
      <c r="G30" s="347"/>
      <c r="H30" s="348">
        <v>46029</v>
      </c>
      <c r="I30" s="8" t="s">
        <v>87</v>
      </c>
      <c r="J30" s="8" t="s">
        <v>91</v>
      </c>
      <c r="K30" s="8" t="s">
        <v>2761</v>
      </c>
      <c r="L30" s="8" t="s">
        <v>98</v>
      </c>
      <c r="M30" s="8" t="s">
        <v>2762</v>
      </c>
      <c r="N30" s="7">
        <v>46029</v>
      </c>
      <c r="O30" s="8" t="s">
        <v>13</v>
      </c>
      <c r="P30" s="8" t="s">
        <v>62</v>
      </c>
      <c r="Q30" s="8" t="s">
        <v>76</v>
      </c>
      <c r="R30" s="8" t="s">
        <v>77</v>
      </c>
      <c r="S30" s="8" t="s">
        <v>21</v>
      </c>
      <c r="T30" s="160">
        <v>571</v>
      </c>
      <c r="U30" s="9">
        <v>88356.54</v>
      </c>
      <c r="V30" s="8" t="s">
        <v>21</v>
      </c>
      <c r="W30" s="8">
        <v>0</v>
      </c>
      <c r="X30" s="8">
        <v>9</v>
      </c>
      <c r="Y30" s="8">
        <v>7952.09</v>
      </c>
      <c r="Z30" s="8">
        <v>9</v>
      </c>
      <c r="AA30" s="8">
        <v>7952.09</v>
      </c>
      <c r="AB30" s="8">
        <v>0</v>
      </c>
      <c r="AC30" s="8">
        <v>0</v>
      </c>
      <c r="AD30" s="8">
        <v>0</v>
      </c>
      <c r="AE30" s="8">
        <v>15904.18</v>
      </c>
      <c r="AF30" s="8">
        <v>0</v>
      </c>
      <c r="AG30" s="8" t="s">
        <v>65</v>
      </c>
      <c r="AH30" s="8" t="s">
        <v>11</v>
      </c>
      <c r="AI30" s="8">
        <v>63053300</v>
      </c>
      <c r="AJ30" s="8" t="s">
        <v>60</v>
      </c>
      <c r="AK30" s="8">
        <v>1</v>
      </c>
      <c r="AL30" s="8">
        <v>571</v>
      </c>
      <c r="AM30" s="8" t="s">
        <v>1940</v>
      </c>
    </row>
    <row r="31" spans="1:39" ht="15" customHeight="1">
      <c r="A31"/>
      <c r="B31"/>
      <c r="C31"/>
      <c r="G31" s="347"/>
      <c r="H31" s="348">
        <v>46029</v>
      </c>
      <c r="I31" s="8" t="s">
        <v>87</v>
      </c>
      <c r="J31" s="8" t="s">
        <v>91</v>
      </c>
      <c r="K31" s="8" t="s">
        <v>2761</v>
      </c>
      <c r="L31" s="8" t="s">
        <v>98</v>
      </c>
      <c r="M31" s="8" t="s">
        <v>2762</v>
      </c>
      <c r="N31" s="7">
        <v>46029</v>
      </c>
      <c r="O31" s="8" t="s">
        <v>13</v>
      </c>
      <c r="P31" s="8" t="s">
        <v>62</v>
      </c>
      <c r="Q31" s="8" t="s">
        <v>76</v>
      </c>
      <c r="R31" s="8" t="s">
        <v>77</v>
      </c>
      <c r="S31" s="8" t="s">
        <v>21</v>
      </c>
      <c r="T31" s="160">
        <v>400</v>
      </c>
      <c r="U31" s="9">
        <v>61896</v>
      </c>
      <c r="V31" s="8" t="s">
        <v>21</v>
      </c>
      <c r="W31" s="8">
        <v>0</v>
      </c>
      <c r="X31" s="8">
        <v>9</v>
      </c>
      <c r="Y31" s="8">
        <v>5570.64</v>
      </c>
      <c r="Z31" s="8">
        <v>9</v>
      </c>
      <c r="AA31" s="8">
        <v>5570.64</v>
      </c>
      <c r="AB31" s="8">
        <v>0</v>
      </c>
      <c r="AC31" s="8">
        <v>0</v>
      </c>
      <c r="AD31" s="8">
        <v>0</v>
      </c>
      <c r="AE31" s="8">
        <v>11141.28</v>
      </c>
      <c r="AF31" s="8">
        <v>0</v>
      </c>
      <c r="AG31" s="8" t="s">
        <v>65</v>
      </c>
      <c r="AH31" s="8" t="s">
        <v>11</v>
      </c>
      <c r="AI31" s="8">
        <v>63053300</v>
      </c>
      <c r="AJ31" s="8" t="s">
        <v>60</v>
      </c>
      <c r="AK31" s="8">
        <v>1</v>
      </c>
      <c r="AL31" s="8">
        <v>400</v>
      </c>
      <c r="AM31" s="8" t="s">
        <v>1940</v>
      </c>
    </row>
    <row r="32" spans="1:39" ht="15" customHeight="1">
      <c r="A32"/>
      <c r="B32"/>
      <c r="C32"/>
      <c r="G32" s="347"/>
      <c r="H32" s="348">
        <v>46029</v>
      </c>
      <c r="I32" s="8" t="s">
        <v>87</v>
      </c>
      <c r="J32" s="8" t="s">
        <v>91</v>
      </c>
      <c r="K32" s="8" t="s">
        <v>2761</v>
      </c>
      <c r="L32" s="8" t="s">
        <v>98</v>
      </c>
      <c r="M32" s="8" t="s">
        <v>2762</v>
      </c>
      <c r="N32" s="7">
        <v>46029</v>
      </c>
      <c r="O32" s="8" t="s">
        <v>13</v>
      </c>
      <c r="P32" s="8" t="s">
        <v>24</v>
      </c>
      <c r="Q32" s="8" t="s">
        <v>79</v>
      </c>
      <c r="R32" s="8" t="s">
        <v>79</v>
      </c>
      <c r="S32" s="8" t="s">
        <v>24</v>
      </c>
      <c r="T32" s="160">
        <v>236.8</v>
      </c>
      <c r="U32" s="9">
        <v>35458.43</v>
      </c>
      <c r="V32" s="8" t="s">
        <v>24</v>
      </c>
      <c r="W32" s="8">
        <v>0</v>
      </c>
      <c r="X32" s="8">
        <v>9</v>
      </c>
      <c r="Y32" s="8">
        <v>3191.26</v>
      </c>
      <c r="Z32" s="8">
        <v>9</v>
      </c>
      <c r="AA32" s="8">
        <v>3191.26</v>
      </c>
      <c r="AB32" s="8">
        <v>0</v>
      </c>
      <c r="AC32" s="8">
        <v>0</v>
      </c>
      <c r="AD32" s="8">
        <v>0</v>
      </c>
      <c r="AE32" s="8">
        <v>6382.52</v>
      </c>
      <c r="AF32" s="8">
        <v>0</v>
      </c>
      <c r="AG32" s="8" t="s">
        <v>65</v>
      </c>
      <c r="AH32" s="8" t="s">
        <v>11</v>
      </c>
      <c r="AI32" s="8">
        <v>3926908</v>
      </c>
      <c r="AJ32" s="8" t="s">
        <v>60</v>
      </c>
      <c r="AK32" s="8">
        <v>1</v>
      </c>
      <c r="AL32" s="8">
        <v>236.8</v>
      </c>
      <c r="AM32" s="8" t="s">
        <v>1940</v>
      </c>
    </row>
    <row r="33" spans="1:39" ht="15" customHeight="1">
      <c r="A33"/>
      <c r="B33"/>
      <c r="C33"/>
      <c r="G33" s="347"/>
      <c r="H33" s="348">
        <v>46029</v>
      </c>
      <c r="I33" s="8" t="s">
        <v>87</v>
      </c>
      <c r="J33" s="8" t="s">
        <v>91</v>
      </c>
      <c r="K33" s="8" t="s">
        <v>2761</v>
      </c>
      <c r="L33" s="8" t="s">
        <v>98</v>
      </c>
      <c r="M33" s="8" t="s">
        <v>2762</v>
      </c>
      <c r="N33" s="7">
        <v>46029</v>
      </c>
      <c r="O33" s="8" t="s">
        <v>13</v>
      </c>
      <c r="P33" s="8" t="s">
        <v>24</v>
      </c>
      <c r="Q33" s="8" t="s">
        <v>79</v>
      </c>
      <c r="R33" s="8" t="s">
        <v>79</v>
      </c>
      <c r="S33" s="8" t="s">
        <v>24</v>
      </c>
      <c r="T33" s="160">
        <v>1091.9000000000001</v>
      </c>
      <c r="U33" s="9">
        <v>166776.81</v>
      </c>
      <c r="V33" s="8" t="s">
        <v>24</v>
      </c>
      <c r="W33" s="8">
        <v>0</v>
      </c>
      <c r="X33" s="8">
        <v>9</v>
      </c>
      <c r="Y33" s="8">
        <v>15009.91</v>
      </c>
      <c r="Z33" s="8">
        <v>9</v>
      </c>
      <c r="AA33" s="8">
        <v>15009.91</v>
      </c>
      <c r="AB33" s="8">
        <v>0</v>
      </c>
      <c r="AC33" s="8">
        <v>0</v>
      </c>
      <c r="AD33" s="8">
        <v>0</v>
      </c>
      <c r="AE33" s="8">
        <v>30019.82</v>
      </c>
      <c r="AF33" s="8">
        <v>0</v>
      </c>
      <c r="AG33" s="8" t="s">
        <v>65</v>
      </c>
      <c r="AH33" s="8" t="s">
        <v>11</v>
      </c>
      <c r="AI33" s="8">
        <v>3926908</v>
      </c>
      <c r="AJ33" s="8" t="s">
        <v>60</v>
      </c>
      <c r="AK33" s="8">
        <v>1</v>
      </c>
      <c r="AL33" s="8">
        <v>1091.9000000000001</v>
      </c>
      <c r="AM33" s="8" t="s">
        <v>1940</v>
      </c>
    </row>
    <row r="34" spans="1:39" ht="15" customHeight="1">
      <c r="A34"/>
      <c r="B34"/>
      <c r="C34"/>
      <c r="G34" s="347"/>
      <c r="H34" s="348">
        <v>46029</v>
      </c>
      <c r="I34" s="8" t="s">
        <v>87</v>
      </c>
      <c r="J34" s="8" t="s">
        <v>91</v>
      </c>
      <c r="K34" s="8" t="s">
        <v>2761</v>
      </c>
      <c r="L34" s="8" t="s">
        <v>98</v>
      </c>
      <c r="M34" s="8" t="s">
        <v>2762</v>
      </c>
      <c r="N34" s="7">
        <v>46029</v>
      </c>
      <c r="O34" s="8" t="s">
        <v>13</v>
      </c>
      <c r="P34" s="8" t="s">
        <v>24</v>
      </c>
      <c r="Q34" s="8" t="s">
        <v>79</v>
      </c>
      <c r="R34" s="8" t="s">
        <v>79</v>
      </c>
      <c r="S34" s="8" t="s">
        <v>24</v>
      </c>
      <c r="T34" s="160">
        <v>9.8000000000000007</v>
      </c>
      <c r="U34" s="9">
        <v>1702.65</v>
      </c>
      <c r="V34" s="8" t="s">
        <v>24</v>
      </c>
      <c r="W34" s="8">
        <v>0</v>
      </c>
      <c r="X34" s="8">
        <v>9</v>
      </c>
      <c r="Y34" s="8">
        <v>153.24</v>
      </c>
      <c r="Z34" s="8">
        <v>9</v>
      </c>
      <c r="AA34" s="8">
        <v>153.24</v>
      </c>
      <c r="AB34" s="8">
        <v>0</v>
      </c>
      <c r="AC34" s="8">
        <v>0</v>
      </c>
      <c r="AD34" s="8">
        <v>0</v>
      </c>
      <c r="AE34" s="8">
        <v>306.48</v>
      </c>
      <c r="AF34" s="8">
        <v>0</v>
      </c>
      <c r="AG34" s="8" t="s">
        <v>65</v>
      </c>
      <c r="AH34" s="8" t="s">
        <v>11</v>
      </c>
      <c r="AI34" s="8">
        <v>3926908</v>
      </c>
      <c r="AJ34" s="8" t="s">
        <v>60</v>
      </c>
      <c r="AK34" s="8">
        <v>1</v>
      </c>
      <c r="AL34" s="8">
        <v>9.8000000000000007</v>
      </c>
      <c r="AM34" s="8" t="s">
        <v>1940</v>
      </c>
    </row>
    <row r="35" spans="1:39" ht="15">
      <c r="A35"/>
      <c r="B35"/>
      <c r="C35"/>
      <c r="G35" s="347"/>
      <c r="H35" s="348">
        <v>46029</v>
      </c>
      <c r="I35" s="8" t="s">
        <v>87</v>
      </c>
      <c r="J35" s="8" t="s">
        <v>91</v>
      </c>
      <c r="K35" s="8" t="s">
        <v>2761</v>
      </c>
      <c r="L35" s="8" t="s">
        <v>98</v>
      </c>
      <c r="M35" s="8" t="s">
        <v>2762</v>
      </c>
      <c r="N35" s="7">
        <v>46029</v>
      </c>
      <c r="O35" s="8" t="s">
        <v>13</v>
      </c>
      <c r="P35" s="8" t="s">
        <v>62</v>
      </c>
      <c r="Q35" s="8" t="s">
        <v>63</v>
      </c>
      <c r="R35" s="8" t="s">
        <v>64</v>
      </c>
      <c r="S35" s="8" t="s">
        <v>19</v>
      </c>
      <c r="T35" s="160">
        <v>392</v>
      </c>
      <c r="U35" s="9">
        <v>57914.080000000002</v>
      </c>
      <c r="V35" s="8" t="s">
        <v>19</v>
      </c>
      <c r="W35" s="8">
        <v>0</v>
      </c>
      <c r="X35" s="8">
        <v>9</v>
      </c>
      <c r="Y35" s="8">
        <v>5212.2700000000004</v>
      </c>
      <c r="Z35" s="8">
        <v>9</v>
      </c>
      <c r="AA35" s="8">
        <v>5212.2700000000004</v>
      </c>
      <c r="AB35" s="8">
        <v>0</v>
      </c>
      <c r="AC35" s="8">
        <v>0</v>
      </c>
      <c r="AD35" s="8">
        <v>0</v>
      </c>
      <c r="AE35" s="8">
        <v>10424.540000000001</v>
      </c>
      <c r="AF35" s="8">
        <v>0</v>
      </c>
      <c r="AG35" s="8" t="s">
        <v>65</v>
      </c>
      <c r="AH35" s="8" t="s">
        <v>11</v>
      </c>
      <c r="AI35" s="8">
        <v>39269080</v>
      </c>
      <c r="AJ35" s="8" t="s">
        <v>60</v>
      </c>
      <c r="AK35" s="8">
        <v>1</v>
      </c>
      <c r="AL35" s="8">
        <v>392</v>
      </c>
      <c r="AM35" s="8" t="s">
        <v>1940</v>
      </c>
    </row>
    <row r="36" spans="1:39" ht="15" customHeight="1">
      <c r="A36"/>
      <c r="B36"/>
      <c r="C36"/>
      <c r="G36" s="347"/>
      <c r="H36" s="348">
        <v>46060</v>
      </c>
      <c r="I36" s="8" t="s">
        <v>87</v>
      </c>
      <c r="J36" s="8" t="s">
        <v>96</v>
      </c>
      <c r="K36" s="8" t="s">
        <v>2763</v>
      </c>
      <c r="L36" s="8" t="s">
        <v>97</v>
      </c>
      <c r="M36" s="8" t="s">
        <v>2764</v>
      </c>
      <c r="N36" s="7">
        <v>46060</v>
      </c>
      <c r="O36" s="8" t="s">
        <v>2</v>
      </c>
      <c r="P36" s="8" t="s">
        <v>67</v>
      </c>
      <c r="Q36" s="8" t="s">
        <v>68</v>
      </c>
      <c r="R36" s="8" t="s">
        <v>69</v>
      </c>
      <c r="S36" s="8" t="s">
        <v>70</v>
      </c>
      <c r="T36" s="160">
        <v>194</v>
      </c>
      <c r="U36" s="9">
        <v>9312</v>
      </c>
      <c r="V36" s="8" t="s">
        <v>70</v>
      </c>
      <c r="W36" s="8">
        <v>10978.85</v>
      </c>
      <c r="X36" s="8">
        <v>9</v>
      </c>
      <c r="Y36" s="8">
        <v>838.08</v>
      </c>
      <c r="Z36" s="8">
        <v>9</v>
      </c>
      <c r="AA36" s="8">
        <v>838.08</v>
      </c>
      <c r="AB36" s="8">
        <v>0</v>
      </c>
      <c r="AC36" s="8">
        <v>0</v>
      </c>
      <c r="AD36" s="8">
        <v>0</v>
      </c>
      <c r="AE36" s="8">
        <v>1676.16</v>
      </c>
      <c r="AF36" s="8">
        <v>0</v>
      </c>
      <c r="AG36" s="8" t="s">
        <v>65</v>
      </c>
      <c r="AH36" s="8" t="s">
        <v>11</v>
      </c>
      <c r="AI36" s="8">
        <v>73063090</v>
      </c>
      <c r="AJ36" s="8" t="s">
        <v>60</v>
      </c>
      <c r="AK36" s="8">
        <v>1</v>
      </c>
      <c r="AL36" s="8">
        <v>0</v>
      </c>
      <c r="AM36" s="8" t="s">
        <v>1940</v>
      </c>
    </row>
    <row r="37" spans="1:39" ht="15" customHeight="1">
      <c r="A37"/>
      <c r="B37"/>
      <c r="C37"/>
      <c r="G37" s="347"/>
      <c r="H37" s="348">
        <v>46060</v>
      </c>
      <c r="I37" s="8" t="s">
        <v>87</v>
      </c>
      <c r="J37" s="8" t="s">
        <v>91</v>
      </c>
      <c r="K37" s="8" t="s">
        <v>2765</v>
      </c>
      <c r="L37" s="8" t="s">
        <v>98</v>
      </c>
      <c r="M37" s="8" t="s">
        <v>2766</v>
      </c>
      <c r="N37" s="7">
        <v>46029</v>
      </c>
      <c r="O37" s="8" t="s">
        <v>13</v>
      </c>
      <c r="P37" s="8" t="s">
        <v>62</v>
      </c>
      <c r="Q37" s="8" t="s">
        <v>63</v>
      </c>
      <c r="R37" s="8" t="s">
        <v>64</v>
      </c>
      <c r="S37" s="8" t="s">
        <v>19</v>
      </c>
      <c r="T37" s="9">
        <v>491</v>
      </c>
      <c r="U37" s="9">
        <v>73522.34</v>
      </c>
      <c r="V37" s="8" t="s">
        <v>19</v>
      </c>
      <c r="W37" s="8">
        <v>355449.38</v>
      </c>
      <c r="X37" s="8">
        <v>9</v>
      </c>
      <c r="Y37" s="8">
        <v>6617.01</v>
      </c>
      <c r="Z37" s="8">
        <v>9</v>
      </c>
      <c r="AA37" s="8">
        <v>6617.01</v>
      </c>
      <c r="AB37" s="8">
        <v>0</v>
      </c>
      <c r="AC37" s="8">
        <v>0</v>
      </c>
      <c r="AD37" s="8">
        <v>0</v>
      </c>
      <c r="AE37" s="8">
        <v>13234.02</v>
      </c>
      <c r="AF37" s="8">
        <v>0</v>
      </c>
      <c r="AG37" s="8" t="s">
        <v>65</v>
      </c>
      <c r="AH37" s="8" t="s">
        <v>11</v>
      </c>
      <c r="AI37" s="8">
        <v>39269080</v>
      </c>
      <c r="AJ37" s="8" t="s">
        <v>60</v>
      </c>
      <c r="AK37" s="8">
        <v>1</v>
      </c>
      <c r="AL37" s="8">
        <v>491</v>
      </c>
      <c r="AM37" s="8" t="s">
        <v>1940</v>
      </c>
    </row>
    <row r="38" spans="1:39" ht="15" customHeight="1">
      <c r="A38"/>
      <c r="B38"/>
      <c r="C38"/>
      <c r="G38" s="347"/>
      <c r="H38" s="348">
        <v>46060</v>
      </c>
      <c r="I38" s="8" t="s">
        <v>87</v>
      </c>
      <c r="J38" s="8" t="s">
        <v>91</v>
      </c>
      <c r="K38" s="8" t="s">
        <v>2765</v>
      </c>
      <c r="L38" s="8" t="s">
        <v>98</v>
      </c>
      <c r="M38" s="8" t="s">
        <v>2766</v>
      </c>
      <c r="N38" s="7">
        <v>46029</v>
      </c>
      <c r="O38" s="8" t="s">
        <v>15</v>
      </c>
      <c r="P38" s="8" t="s">
        <v>2117</v>
      </c>
      <c r="Q38" s="8" t="s">
        <v>2117</v>
      </c>
      <c r="R38" s="8" t="s">
        <v>2117</v>
      </c>
      <c r="S38" s="347" t="s">
        <v>64</v>
      </c>
      <c r="T38" s="9">
        <v>500</v>
      </c>
      <c r="U38" s="9">
        <v>78870</v>
      </c>
      <c r="V38" s="8" t="s">
        <v>2117</v>
      </c>
      <c r="W38" s="8">
        <v>0</v>
      </c>
      <c r="X38" s="8">
        <v>9</v>
      </c>
      <c r="Y38" s="8">
        <v>7098.3</v>
      </c>
      <c r="Z38" s="8">
        <v>9</v>
      </c>
      <c r="AA38" s="8">
        <v>7098.3</v>
      </c>
      <c r="AB38" s="8">
        <v>0</v>
      </c>
      <c r="AC38" s="8">
        <v>0</v>
      </c>
      <c r="AD38" s="8">
        <v>0</v>
      </c>
      <c r="AE38" s="8">
        <v>14196.6</v>
      </c>
      <c r="AF38" s="8">
        <v>0</v>
      </c>
      <c r="AG38" s="8" t="s">
        <v>65</v>
      </c>
      <c r="AH38" s="8" t="s">
        <v>11</v>
      </c>
      <c r="AI38" s="8">
        <v>39269080</v>
      </c>
      <c r="AJ38" s="8" t="s">
        <v>60</v>
      </c>
      <c r="AK38" s="8">
        <v>1</v>
      </c>
      <c r="AL38" s="8">
        <v>500</v>
      </c>
      <c r="AM38" s="8" t="s">
        <v>1940</v>
      </c>
    </row>
    <row r="39" spans="1:39" ht="15" customHeight="1">
      <c r="A39"/>
      <c r="B39"/>
      <c r="C39"/>
      <c r="G39" s="347"/>
      <c r="H39" s="348">
        <v>46060</v>
      </c>
      <c r="I39" s="8" t="s">
        <v>87</v>
      </c>
      <c r="J39" s="8" t="s">
        <v>91</v>
      </c>
      <c r="K39" s="8" t="s">
        <v>2765</v>
      </c>
      <c r="L39" s="8" t="s">
        <v>98</v>
      </c>
      <c r="M39" s="8" t="s">
        <v>2766</v>
      </c>
      <c r="N39" s="7">
        <v>46029</v>
      </c>
      <c r="O39" s="8" t="s">
        <v>15</v>
      </c>
      <c r="P39" s="8" t="s">
        <v>2117</v>
      </c>
      <c r="Q39" s="8" t="s">
        <v>2117</v>
      </c>
      <c r="R39" s="8" t="s">
        <v>2117</v>
      </c>
      <c r="S39" s="347" t="s">
        <v>64</v>
      </c>
      <c r="T39" s="9">
        <v>594</v>
      </c>
      <c r="U39" s="9">
        <v>94885.56</v>
      </c>
      <c r="V39" s="8" t="s">
        <v>2117</v>
      </c>
      <c r="W39" s="8">
        <v>0</v>
      </c>
      <c r="X39" s="8">
        <v>9</v>
      </c>
      <c r="Y39" s="8">
        <v>8539.7000000000007</v>
      </c>
      <c r="Z39" s="8">
        <v>9</v>
      </c>
      <c r="AA39" s="8">
        <v>8539.7000000000007</v>
      </c>
      <c r="AB39" s="8">
        <v>0</v>
      </c>
      <c r="AC39" s="8">
        <v>0</v>
      </c>
      <c r="AD39" s="8">
        <v>0</v>
      </c>
      <c r="AE39" s="8">
        <v>17079.400000000001</v>
      </c>
      <c r="AF39" s="8">
        <v>0</v>
      </c>
      <c r="AG39" s="8" t="s">
        <v>65</v>
      </c>
      <c r="AH39" s="8" t="s">
        <v>11</v>
      </c>
      <c r="AI39" s="8">
        <v>39269080</v>
      </c>
      <c r="AJ39" s="8" t="s">
        <v>60</v>
      </c>
      <c r="AK39" s="8">
        <v>1</v>
      </c>
      <c r="AL39" s="8">
        <v>594</v>
      </c>
      <c r="AM39" s="8" t="s">
        <v>1940</v>
      </c>
    </row>
    <row r="40" spans="1:39" ht="15" customHeight="1">
      <c r="A40"/>
      <c r="B40"/>
      <c r="C40"/>
      <c r="G40" s="347"/>
      <c r="H40" s="348">
        <v>46060</v>
      </c>
      <c r="I40" s="8" t="s">
        <v>87</v>
      </c>
      <c r="J40" s="8" t="s">
        <v>91</v>
      </c>
      <c r="K40" s="8" t="s">
        <v>2765</v>
      </c>
      <c r="L40" s="8" t="s">
        <v>98</v>
      </c>
      <c r="M40" s="8" t="s">
        <v>2766</v>
      </c>
      <c r="N40" s="7">
        <v>46029</v>
      </c>
      <c r="O40" s="8" t="s">
        <v>13</v>
      </c>
      <c r="P40" s="8" t="s">
        <v>62</v>
      </c>
      <c r="Q40" s="8" t="s">
        <v>76</v>
      </c>
      <c r="R40" s="8" t="s">
        <v>77</v>
      </c>
      <c r="S40" s="8" t="s">
        <v>21</v>
      </c>
      <c r="T40" s="9">
        <v>362</v>
      </c>
      <c r="U40" s="9">
        <v>54205.88</v>
      </c>
      <c r="V40" s="8" t="s">
        <v>21</v>
      </c>
      <c r="W40" s="8">
        <v>0</v>
      </c>
      <c r="X40" s="8">
        <v>9</v>
      </c>
      <c r="Y40" s="8">
        <v>4878.53</v>
      </c>
      <c r="Z40" s="8">
        <v>9</v>
      </c>
      <c r="AA40" s="8">
        <v>4878.53</v>
      </c>
      <c r="AB40" s="8">
        <v>0</v>
      </c>
      <c r="AC40" s="8">
        <v>0</v>
      </c>
      <c r="AD40" s="8">
        <v>0</v>
      </c>
      <c r="AE40" s="8">
        <v>9757.06</v>
      </c>
      <c r="AF40" s="8">
        <v>0</v>
      </c>
      <c r="AG40" s="8" t="s">
        <v>65</v>
      </c>
      <c r="AH40" s="8" t="s">
        <v>11</v>
      </c>
      <c r="AI40" s="8">
        <v>63053300</v>
      </c>
      <c r="AJ40" s="8" t="s">
        <v>60</v>
      </c>
      <c r="AK40" s="8">
        <v>1</v>
      </c>
      <c r="AL40" s="8">
        <v>362</v>
      </c>
      <c r="AM40" s="8" t="s">
        <v>1940</v>
      </c>
    </row>
    <row r="41" spans="1:39" ht="12.75" customHeight="1">
      <c r="G41" s="347"/>
      <c r="H41" s="348">
        <v>46060</v>
      </c>
      <c r="I41" s="8" t="s">
        <v>87</v>
      </c>
      <c r="J41" s="8" t="s">
        <v>91</v>
      </c>
      <c r="K41" s="8" t="s">
        <v>2767</v>
      </c>
      <c r="L41" s="8" t="s">
        <v>98</v>
      </c>
      <c r="M41" s="8" t="s">
        <v>2768</v>
      </c>
      <c r="N41" s="7">
        <v>46060</v>
      </c>
      <c r="O41" s="8" t="s">
        <v>13</v>
      </c>
      <c r="P41" s="8" t="s">
        <v>80</v>
      </c>
      <c r="Q41" s="8" t="s">
        <v>81</v>
      </c>
      <c r="R41" s="8" t="s">
        <v>82</v>
      </c>
      <c r="S41" s="8" t="s">
        <v>17</v>
      </c>
      <c r="T41" s="9">
        <v>435</v>
      </c>
      <c r="U41" s="9">
        <v>78800.25</v>
      </c>
      <c r="V41" s="8" t="s">
        <v>17</v>
      </c>
      <c r="W41" s="8">
        <v>1680960.96</v>
      </c>
      <c r="X41" s="8">
        <v>9</v>
      </c>
      <c r="Y41" s="8">
        <v>7092.02</v>
      </c>
      <c r="Z41" s="8">
        <v>9</v>
      </c>
      <c r="AA41" s="8">
        <v>7092.02</v>
      </c>
      <c r="AB41" s="8">
        <v>0</v>
      </c>
      <c r="AC41" s="8">
        <v>0</v>
      </c>
      <c r="AD41" s="8">
        <v>0</v>
      </c>
      <c r="AE41" s="8">
        <v>14184.04</v>
      </c>
      <c r="AF41" s="8">
        <v>0</v>
      </c>
      <c r="AG41" s="8" t="s">
        <v>65</v>
      </c>
      <c r="AH41" s="8" t="s">
        <v>11</v>
      </c>
      <c r="AI41" s="8">
        <v>39200000</v>
      </c>
      <c r="AJ41" s="8" t="s">
        <v>60</v>
      </c>
      <c r="AK41" s="8">
        <v>1</v>
      </c>
      <c r="AL41" s="8">
        <v>435</v>
      </c>
      <c r="AM41" s="8" t="s">
        <v>1940</v>
      </c>
    </row>
    <row r="42" spans="1:39" ht="12.75" customHeight="1">
      <c r="G42" s="347"/>
      <c r="H42" s="348">
        <v>46060</v>
      </c>
      <c r="I42" s="8" t="s">
        <v>87</v>
      </c>
      <c r="J42" s="8" t="s">
        <v>91</v>
      </c>
      <c r="K42" s="8" t="s">
        <v>2767</v>
      </c>
      <c r="L42" s="8" t="s">
        <v>98</v>
      </c>
      <c r="M42" s="8" t="s">
        <v>2768</v>
      </c>
      <c r="N42" s="7">
        <v>46060</v>
      </c>
      <c r="O42" s="8" t="s">
        <v>13</v>
      </c>
      <c r="P42" s="8" t="s">
        <v>62</v>
      </c>
      <c r="Q42" s="8" t="s">
        <v>63</v>
      </c>
      <c r="R42" s="8" t="s">
        <v>64</v>
      </c>
      <c r="S42" s="8" t="s">
        <v>19</v>
      </c>
      <c r="T42" s="9">
        <v>3302</v>
      </c>
      <c r="U42" s="9">
        <v>487837.48</v>
      </c>
      <c r="V42" s="8" t="s">
        <v>19</v>
      </c>
      <c r="W42" s="8">
        <v>0</v>
      </c>
      <c r="X42" s="8">
        <v>9</v>
      </c>
      <c r="Y42" s="8">
        <v>43905.37</v>
      </c>
      <c r="Z42" s="8">
        <v>9</v>
      </c>
      <c r="AA42" s="8">
        <v>43905.37</v>
      </c>
      <c r="AB42" s="8">
        <v>0</v>
      </c>
      <c r="AC42" s="8">
        <v>0</v>
      </c>
      <c r="AD42" s="8">
        <v>0</v>
      </c>
      <c r="AE42" s="8">
        <v>87810.74</v>
      </c>
      <c r="AF42" s="8">
        <v>0</v>
      </c>
      <c r="AG42" s="8" t="s">
        <v>65</v>
      </c>
      <c r="AH42" s="8" t="s">
        <v>11</v>
      </c>
      <c r="AI42" s="8">
        <v>39269080</v>
      </c>
      <c r="AJ42" s="8" t="s">
        <v>60</v>
      </c>
      <c r="AK42" s="8">
        <v>1</v>
      </c>
      <c r="AL42" s="8">
        <v>3302</v>
      </c>
      <c r="AM42" s="8" t="s">
        <v>1940</v>
      </c>
    </row>
    <row r="43" spans="1:39" ht="12.75" customHeight="1">
      <c r="G43" s="347"/>
      <c r="H43" s="348">
        <v>46060</v>
      </c>
      <c r="I43" s="8" t="s">
        <v>87</v>
      </c>
      <c r="J43" s="8" t="s">
        <v>91</v>
      </c>
      <c r="K43" s="8" t="s">
        <v>2767</v>
      </c>
      <c r="L43" s="8" t="s">
        <v>98</v>
      </c>
      <c r="M43" s="8" t="s">
        <v>2768</v>
      </c>
      <c r="N43" s="7">
        <v>46060</v>
      </c>
      <c r="O43" s="8" t="s">
        <v>13</v>
      </c>
      <c r="P43" s="8" t="s">
        <v>62</v>
      </c>
      <c r="Q43" s="8" t="s">
        <v>63</v>
      </c>
      <c r="R43" s="8" t="s">
        <v>64</v>
      </c>
      <c r="S43" s="8" t="s">
        <v>19</v>
      </c>
      <c r="T43" s="9">
        <v>268</v>
      </c>
      <c r="U43" s="9">
        <v>40398.32</v>
      </c>
      <c r="V43" s="8" t="s">
        <v>19</v>
      </c>
      <c r="W43" s="8">
        <v>0</v>
      </c>
      <c r="X43" s="8">
        <v>9</v>
      </c>
      <c r="Y43" s="8">
        <v>3635.85</v>
      </c>
      <c r="Z43" s="8">
        <v>9</v>
      </c>
      <c r="AA43" s="8">
        <v>3635.85</v>
      </c>
      <c r="AB43" s="8">
        <v>0</v>
      </c>
      <c r="AC43" s="8">
        <v>0</v>
      </c>
      <c r="AD43" s="8">
        <v>0</v>
      </c>
      <c r="AE43" s="8">
        <v>7271.7</v>
      </c>
      <c r="AF43" s="8">
        <v>0</v>
      </c>
      <c r="AG43" s="8" t="s">
        <v>65</v>
      </c>
      <c r="AH43" s="8" t="s">
        <v>11</v>
      </c>
      <c r="AI43" s="8">
        <v>39269080</v>
      </c>
      <c r="AJ43" s="8" t="s">
        <v>60</v>
      </c>
      <c r="AK43" s="8">
        <v>1</v>
      </c>
      <c r="AL43" s="8">
        <v>268</v>
      </c>
      <c r="AM43" s="8" t="s">
        <v>1940</v>
      </c>
    </row>
    <row r="44" spans="1:39" ht="12.75" customHeight="1">
      <c r="G44" s="347"/>
      <c r="H44" s="348">
        <v>46060</v>
      </c>
      <c r="I44" s="8" t="s">
        <v>87</v>
      </c>
      <c r="J44" s="8" t="s">
        <v>91</v>
      </c>
      <c r="K44" s="8" t="s">
        <v>2767</v>
      </c>
      <c r="L44" s="8" t="s">
        <v>98</v>
      </c>
      <c r="M44" s="8" t="s">
        <v>2768</v>
      </c>
      <c r="N44" s="7">
        <v>46060</v>
      </c>
      <c r="O44" s="8" t="s">
        <v>13</v>
      </c>
      <c r="P44" s="8" t="s">
        <v>62</v>
      </c>
      <c r="Q44" s="8" t="s">
        <v>63</v>
      </c>
      <c r="R44" s="8" t="s">
        <v>64</v>
      </c>
      <c r="S44" s="8" t="s">
        <v>19</v>
      </c>
      <c r="T44" s="9">
        <v>3266</v>
      </c>
      <c r="U44" s="9">
        <v>489050.84</v>
      </c>
      <c r="V44" s="8" t="s">
        <v>19</v>
      </c>
      <c r="W44" s="8">
        <v>0</v>
      </c>
      <c r="X44" s="8">
        <v>9</v>
      </c>
      <c r="Y44" s="8">
        <v>44014.58</v>
      </c>
      <c r="Z44" s="8">
        <v>9</v>
      </c>
      <c r="AA44" s="8">
        <v>44014.58</v>
      </c>
      <c r="AB44" s="8">
        <v>0</v>
      </c>
      <c r="AC44" s="8">
        <v>0</v>
      </c>
      <c r="AD44" s="8">
        <v>0</v>
      </c>
      <c r="AE44" s="8">
        <v>88029.16</v>
      </c>
      <c r="AF44" s="8">
        <v>0</v>
      </c>
      <c r="AG44" s="8" t="s">
        <v>65</v>
      </c>
      <c r="AH44" s="8" t="s">
        <v>11</v>
      </c>
      <c r="AI44" s="8">
        <v>39269080</v>
      </c>
      <c r="AJ44" s="8" t="s">
        <v>60</v>
      </c>
      <c r="AK44" s="8">
        <v>1</v>
      </c>
      <c r="AL44" s="8">
        <v>3266</v>
      </c>
      <c r="AM44" s="8" t="s">
        <v>1940</v>
      </c>
    </row>
    <row r="45" spans="1:39" ht="12.75" customHeight="1">
      <c r="G45" s="347"/>
      <c r="H45" s="348">
        <v>46060</v>
      </c>
      <c r="I45" s="8" t="s">
        <v>87</v>
      </c>
      <c r="J45" s="8" t="s">
        <v>91</v>
      </c>
      <c r="K45" s="8" t="s">
        <v>2767</v>
      </c>
      <c r="L45" s="8" t="s">
        <v>98</v>
      </c>
      <c r="M45" s="8" t="s">
        <v>2768</v>
      </c>
      <c r="N45" s="7">
        <v>46060</v>
      </c>
      <c r="O45" s="8" t="s">
        <v>13</v>
      </c>
      <c r="P45" s="8" t="s">
        <v>62</v>
      </c>
      <c r="Q45" s="8" t="s">
        <v>76</v>
      </c>
      <c r="R45" s="8" t="s">
        <v>77</v>
      </c>
      <c r="S45" s="8" t="s">
        <v>21</v>
      </c>
      <c r="T45" s="9">
        <v>1268</v>
      </c>
      <c r="U45" s="9">
        <v>196210.32</v>
      </c>
      <c r="V45" s="8" t="s">
        <v>21</v>
      </c>
      <c r="W45" s="8">
        <v>0</v>
      </c>
      <c r="X45" s="8">
        <v>9</v>
      </c>
      <c r="Y45" s="8">
        <v>17658.93</v>
      </c>
      <c r="Z45" s="8">
        <v>9</v>
      </c>
      <c r="AA45" s="8">
        <v>17658.93</v>
      </c>
      <c r="AB45" s="8">
        <v>0</v>
      </c>
      <c r="AC45" s="8">
        <v>0</v>
      </c>
      <c r="AD45" s="8">
        <v>0</v>
      </c>
      <c r="AE45" s="8">
        <v>35317.86</v>
      </c>
      <c r="AF45" s="8">
        <v>0</v>
      </c>
      <c r="AG45" s="8" t="s">
        <v>65</v>
      </c>
      <c r="AH45" s="8" t="s">
        <v>11</v>
      </c>
      <c r="AI45" s="8">
        <v>63053300</v>
      </c>
      <c r="AJ45" s="8" t="s">
        <v>60</v>
      </c>
      <c r="AK45" s="8">
        <v>1</v>
      </c>
      <c r="AL45" s="8">
        <v>1268</v>
      </c>
      <c r="AM45" s="8" t="s">
        <v>1940</v>
      </c>
    </row>
    <row r="46" spans="1:39" ht="12.75" customHeight="1">
      <c r="G46" s="347"/>
      <c r="H46" s="348">
        <v>46060</v>
      </c>
      <c r="I46" s="8" t="s">
        <v>87</v>
      </c>
      <c r="J46" s="8" t="s">
        <v>91</v>
      </c>
      <c r="K46" s="8" t="s">
        <v>2767</v>
      </c>
      <c r="L46" s="8" t="s">
        <v>98</v>
      </c>
      <c r="M46" s="8" t="s">
        <v>2768</v>
      </c>
      <c r="N46" s="7">
        <v>46060</v>
      </c>
      <c r="O46" s="8" t="s">
        <v>13</v>
      </c>
      <c r="P46" s="8" t="s">
        <v>62</v>
      </c>
      <c r="Q46" s="8" t="s">
        <v>76</v>
      </c>
      <c r="R46" s="8" t="s">
        <v>77</v>
      </c>
      <c r="S46" s="8" t="s">
        <v>21</v>
      </c>
      <c r="T46" s="9">
        <v>341</v>
      </c>
      <c r="U46" s="9">
        <v>51743.34</v>
      </c>
      <c r="V46" s="8" t="s">
        <v>21</v>
      </c>
      <c r="W46" s="8">
        <v>0</v>
      </c>
      <c r="X46" s="8">
        <v>9</v>
      </c>
      <c r="Y46" s="8">
        <v>4656.8999999999996</v>
      </c>
      <c r="Z46" s="8">
        <v>9</v>
      </c>
      <c r="AA46" s="8">
        <v>4656.8999999999996</v>
      </c>
      <c r="AB46" s="8">
        <v>0</v>
      </c>
      <c r="AC46" s="8">
        <v>0</v>
      </c>
      <c r="AD46" s="8">
        <v>0</v>
      </c>
      <c r="AE46" s="8">
        <v>9313.7999999999993</v>
      </c>
      <c r="AF46" s="8">
        <v>0</v>
      </c>
      <c r="AG46" s="8" t="s">
        <v>65</v>
      </c>
      <c r="AH46" s="8" t="s">
        <v>11</v>
      </c>
      <c r="AI46" s="8">
        <v>63053300</v>
      </c>
      <c r="AJ46" s="8" t="s">
        <v>60</v>
      </c>
      <c r="AK46" s="8">
        <v>1</v>
      </c>
      <c r="AL46" s="8">
        <v>341</v>
      </c>
      <c r="AM46" s="8" t="s">
        <v>1940</v>
      </c>
    </row>
    <row r="47" spans="1:39" ht="12.75" customHeight="1">
      <c r="G47" s="347"/>
      <c r="H47" s="348">
        <v>46060</v>
      </c>
      <c r="I47" s="8" t="s">
        <v>87</v>
      </c>
      <c r="J47" s="8" t="s">
        <v>91</v>
      </c>
      <c r="K47" s="8" t="s">
        <v>2767</v>
      </c>
      <c r="L47" s="8" t="s">
        <v>98</v>
      </c>
      <c r="M47" s="8" t="s">
        <v>2768</v>
      </c>
      <c r="N47" s="7">
        <v>46060</v>
      </c>
      <c r="O47" s="8" t="s">
        <v>13</v>
      </c>
      <c r="P47" s="8" t="s">
        <v>62</v>
      </c>
      <c r="Q47" s="8" t="s">
        <v>76</v>
      </c>
      <c r="R47" s="8" t="s">
        <v>77</v>
      </c>
      <c r="S47" s="8" t="s">
        <v>21</v>
      </c>
      <c r="T47" s="9">
        <v>320</v>
      </c>
      <c r="U47" s="9">
        <v>49516.800000000003</v>
      </c>
      <c r="V47" s="8" t="s">
        <v>21</v>
      </c>
      <c r="W47" s="8">
        <v>0</v>
      </c>
      <c r="X47" s="8">
        <v>9</v>
      </c>
      <c r="Y47" s="8">
        <v>4456.51</v>
      </c>
      <c r="Z47" s="8">
        <v>9</v>
      </c>
      <c r="AA47" s="8">
        <v>4456.51</v>
      </c>
      <c r="AB47" s="8">
        <v>0</v>
      </c>
      <c r="AC47" s="8">
        <v>0</v>
      </c>
      <c r="AD47" s="8">
        <v>0</v>
      </c>
      <c r="AE47" s="8">
        <v>8913.02</v>
      </c>
      <c r="AF47" s="8">
        <v>0</v>
      </c>
      <c r="AG47" s="8" t="s">
        <v>65</v>
      </c>
      <c r="AH47" s="8" t="s">
        <v>11</v>
      </c>
      <c r="AI47" s="8">
        <v>63053300</v>
      </c>
      <c r="AJ47" s="8" t="s">
        <v>60</v>
      </c>
      <c r="AK47" s="8">
        <v>1</v>
      </c>
      <c r="AL47" s="8">
        <v>320</v>
      </c>
      <c r="AM47" s="8" t="s">
        <v>1940</v>
      </c>
    </row>
    <row r="48" spans="1:39" ht="12.75" customHeight="1">
      <c r="G48" s="347"/>
      <c r="H48" s="348">
        <v>46060</v>
      </c>
      <c r="I48" s="8" t="s">
        <v>87</v>
      </c>
      <c r="J48" s="8" t="s">
        <v>91</v>
      </c>
      <c r="K48" s="8" t="s">
        <v>2767</v>
      </c>
      <c r="L48" s="8" t="s">
        <v>98</v>
      </c>
      <c r="M48" s="8" t="s">
        <v>2768</v>
      </c>
      <c r="N48" s="7">
        <v>46060</v>
      </c>
      <c r="O48" s="8" t="s">
        <v>13</v>
      </c>
      <c r="P48" s="8" t="s">
        <v>62</v>
      </c>
      <c r="Q48" s="8" t="s">
        <v>76</v>
      </c>
      <c r="R48" s="8" t="s">
        <v>77</v>
      </c>
      <c r="S48" s="8" t="s">
        <v>21</v>
      </c>
      <c r="T48" s="9">
        <v>215</v>
      </c>
      <c r="U48" s="9">
        <v>32194.1</v>
      </c>
      <c r="V48" s="8" t="s">
        <v>21</v>
      </c>
      <c r="W48" s="8">
        <v>0</v>
      </c>
      <c r="X48" s="8">
        <v>9</v>
      </c>
      <c r="Y48" s="8">
        <v>2897.47</v>
      </c>
      <c r="Z48" s="8">
        <v>9</v>
      </c>
      <c r="AA48" s="8">
        <v>2897.47</v>
      </c>
      <c r="AB48" s="8">
        <v>0</v>
      </c>
      <c r="AC48" s="8">
        <v>0</v>
      </c>
      <c r="AD48" s="8">
        <v>0</v>
      </c>
      <c r="AE48" s="8">
        <v>5794.94</v>
      </c>
      <c r="AF48" s="8">
        <v>0</v>
      </c>
      <c r="AG48" s="8" t="s">
        <v>65</v>
      </c>
      <c r="AH48" s="8" t="s">
        <v>11</v>
      </c>
      <c r="AI48" s="8">
        <v>63053300</v>
      </c>
      <c r="AJ48" s="8" t="s">
        <v>60</v>
      </c>
      <c r="AK48" s="8">
        <v>1</v>
      </c>
      <c r="AL48" s="8">
        <v>215</v>
      </c>
      <c r="AM48" s="8" t="s">
        <v>1940</v>
      </c>
    </row>
    <row r="49" spans="7:39" ht="12.75" customHeight="1">
      <c r="G49" s="347"/>
      <c r="H49" s="348">
        <v>46060</v>
      </c>
      <c r="I49" s="8" t="s">
        <v>87</v>
      </c>
      <c r="J49" s="8" t="s">
        <v>91</v>
      </c>
      <c r="K49" s="8" t="s">
        <v>2769</v>
      </c>
      <c r="L49" s="8" t="s">
        <v>98</v>
      </c>
      <c r="M49" s="8" t="s">
        <v>2770</v>
      </c>
      <c r="N49" s="7">
        <v>46060</v>
      </c>
      <c r="O49" s="8" t="s">
        <v>8</v>
      </c>
      <c r="P49" s="8" t="s">
        <v>659</v>
      </c>
      <c r="Q49" s="8" t="s">
        <v>659</v>
      </c>
      <c r="R49" s="8" t="s">
        <v>69</v>
      </c>
      <c r="S49" s="8" t="s">
        <v>778</v>
      </c>
      <c r="T49" s="9">
        <v>22400</v>
      </c>
      <c r="U49" s="9">
        <v>72549.119999999995</v>
      </c>
      <c r="V49" s="8" t="s">
        <v>778</v>
      </c>
      <c r="W49" s="8">
        <v>1905132.32</v>
      </c>
      <c r="X49" s="8">
        <v>9</v>
      </c>
      <c r="Y49" s="8">
        <v>6529.42</v>
      </c>
      <c r="Z49" s="8">
        <v>9</v>
      </c>
      <c r="AA49" s="8">
        <v>6529.42</v>
      </c>
      <c r="AB49" s="8">
        <v>0</v>
      </c>
      <c r="AC49" s="8">
        <v>0</v>
      </c>
      <c r="AD49" s="8">
        <v>0</v>
      </c>
      <c r="AE49" s="8">
        <v>13058.84</v>
      </c>
      <c r="AF49" s="8">
        <v>0</v>
      </c>
      <c r="AG49" s="8" t="s">
        <v>65</v>
      </c>
      <c r="AH49" s="8" t="s">
        <v>1</v>
      </c>
      <c r="AI49" s="8">
        <v>39232100</v>
      </c>
      <c r="AJ49" s="8" t="s">
        <v>60</v>
      </c>
      <c r="AK49" s="8">
        <v>1</v>
      </c>
      <c r="AL49" s="8">
        <v>22400</v>
      </c>
      <c r="AM49" s="8" t="s">
        <v>1940</v>
      </c>
    </row>
    <row r="50" spans="7:39" ht="12.75" customHeight="1">
      <c r="G50" s="347"/>
      <c r="H50" s="348">
        <v>46060</v>
      </c>
      <c r="I50" s="8" t="s">
        <v>87</v>
      </c>
      <c r="J50" s="8" t="s">
        <v>91</v>
      </c>
      <c r="K50" s="8" t="s">
        <v>2769</v>
      </c>
      <c r="L50" s="8" t="s">
        <v>98</v>
      </c>
      <c r="M50" s="8" t="s">
        <v>2770</v>
      </c>
      <c r="N50" s="7">
        <v>46060</v>
      </c>
      <c r="O50" s="8" t="s">
        <v>13</v>
      </c>
      <c r="P50" s="8" t="s">
        <v>80</v>
      </c>
      <c r="Q50" s="8" t="s">
        <v>81</v>
      </c>
      <c r="R50" s="8" t="s">
        <v>82</v>
      </c>
      <c r="S50" s="8" t="s">
        <v>17</v>
      </c>
      <c r="T50" s="9">
        <v>7060</v>
      </c>
      <c r="U50" s="9">
        <v>1307159</v>
      </c>
      <c r="V50" s="8" t="s">
        <v>17</v>
      </c>
      <c r="W50" s="8">
        <v>0</v>
      </c>
      <c r="X50" s="8">
        <v>9</v>
      </c>
      <c r="Y50" s="8">
        <v>117644.31</v>
      </c>
      <c r="Z50" s="8">
        <v>9</v>
      </c>
      <c r="AA50" s="8">
        <v>117644.31</v>
      </c>
      <c r="AB50" s="8">
        <v>0</v>
      </c>
      <c r="AC50" s="8">
        <v>0</v>
      </c>
      <c r="AD50" s="8">
        <v>0</v>
      </c>
      <c r="AE50" s="8">
        <v>235288.62</v>
      </c>
      <c r="AF50" s="8">
        <v>0</v>
      </c>
      <c r="AG50" s="8" t="s">
        <v>65</v>
      </c>
      <c r="AH50" s="8" t="s">
        <v>11</v>
      </c>
      <c r="AI50" s="8">
        <v>39200000</v>
      </c>
      <c r="AJ50" s="8" t="s">
        <v>60</v>
      </c>
      <c r="AK50" s="8">
        <v>1</v>
      </c>
      <c r="AL50" s="8">
        <v>7060</v>
      </c>
      <c r="AM50" s="8" t="s">
        <v>1940</v>
      </c>
    </row>
    <row r="51" spans="7:39" ht="12.75" customHeight="1">
      <c r="G51" s="347"/>
      <c r="H51" s="348">
        <v>46060</v>
      </c>
      <c r="I51" s="8" t="s">
        <v>87</v>
      </c>
      <c r="J51" s="8" t="s">
        <v>91</v>
      </c>
      <c r="K51" s="8" t="s">
        <v>2769</v>
      </c>
      <c r="L51" s="8" t="s">
        <v>98</v>
      </c>
      <c r="M51" s="8" t="s">
        <v>2770</v>
      </c>
      <c r="N51" s="7">
        <v>46060</v>
      </c>
      <c r="O51" s="8" t="s">
        <v>13</v>
      </c>
      <c r="P51" s="8" t="s">
        <v>24</v>
      </c>
      <c r="Q51" s="8" t="s">
        <v>79</v>
      </c>
      <c r="R51" s="8" t="s">
        <v>79</v>
      </c>
      <c r="S51" s="8" t="s">
        <v>24</v>
      </c>
      <c r="T51" s="9">
        <v>1351.1</v>
      </c>
      <c r="U51" s="9">
        <v>206367.01</v>
      </c>
      <c r="V51" s="8" t="s">
        <v>24</v>
      </c>
      <c r="W51" s="8">
        <v>0</v>
      </c>
      <c r="X51" s="8">
        <v>9</v>
      </c>
      <c r="Y51" s="8">
        <v>18573.03</v>
      </c>
      <c r="Z51" s="8">
        <v>9</v>
      </c>
      <c r="AA51" s="8">
        <v>18573.03</v>
      </c>
      <c r="AB51" s="8">
        <v>0</v>
      </c>
      <c r="AC51" s="8">
        <v>0</v>
      </c>
      <c r="AD51" s="8">
        <v>0</v>
      </c>
      <c r="AE51" s="8">
        <v>37146.06</v>
      </c>
      <c r="AF51" s="8">
        <v>0</v>
      </c>
      <c r="AG51" s="8" t="s">
        <v>65</v>
      </c>
      <c r="AH51" s="8" t="s">
        <v>11</v>
      </c>
      <c r="AI51" s="8">
        <v>3926908</v>
      </c>
      <c r="AJ51" s="8" t="s">
        <v>60</v>
      </c>
      <c r="AK51" s="8">
        <v>1</v>
      </c>
      <c r="AL51" s="8">
        <v>1351.1</v>
      </c>
      <c r="AM51" s="8" t="s">
        <v>1940</v>
      </c>
    </row>
    <row r="52" spans="7:39" ht="12.75" customHeight="1">
      <c r="G52" s="347"/>
      <c r="H52" s="348">
        <v>46060</v>
      </c>
      <c r="I52" s="8" t="s">
        <v>87</v>
      </c>
      <c r="J52" s="8" t="s">
        <v>91</v>
      </c>
      <c r="K52" s="8" t="s">
        <v>2769</v>
      </c>
      <c r="L52" s="8" t="s">
        <v>98</v>
      </c>
      <c r="M52" s="8" t="s">
        <v>2770</v>
      </c>
      <c r="N52" s="7">
        <v>46060</v>
      </c>
      <c r="O52" s="8" t="s">
        <v>13</v>
      </c>
      <c r="P52" s="8" t="s">
        <v>24</v>
      </c>
      <c r="Q52" s="8" t="s">
        <v>79</v>
      </c>
      <c r="R52" s="8" t="s">
        <v>79</v>
      </c>
      <c r="S52" s="8" t="s">
        <v>24</v>
      </c>
      <c r="T52" s="9">
        <v>6.8</v>
      </c>
      <c r="U52" s="9">
        <v>1181.43</v>
      </c>
      <c r="V52" s="8" t="s">
        <v>24</v>
      </c>
      <c r="W52" s="8">
        <v>0</v>
      </c>
      <c r="X52" s="8">
        <v>9</v>
      </c>
      <c r="Y52" s="8">
        <v>106.33</v>
      </c>
      <c r="Z52" s="8">
        <v>9</v>
      </c>
      <c r="AA52" s="8">
        <v>106.33</v>
      </c>
      <c r="AB52" s="8">
        <v>0</v>
      </c>
      <c r="AC52" s="8">
        <v>0</v>
      </c>
      <c r="AD52" s="8">
        <v>0</v>
      </c>
      <c r="AE52" s="8">
        <v>212.66</v>
      </c>
      <c r="AF52" s="8">
        <v>0</v>
      </c>
      <c r="AG52" s="8" t="s">
        <v>65</v>
      </c>
      <c r="AH52" s="8" t="s">
        <v>11</v>
      </c>
      <c r="AI52" s="8">
        <v>3926908</v>
      </c>
      <c r="AJ52" s="8" t="s">
        <v>60</v>
      </c>
      <c r="AK52" s="8">
        <v>1</v>
      </c>
      <c r="AL52" s="8">
        <v>6.8</v>
      </c>
      <c r="AM52" s="8" t="s">
        <v>1940</v>
      </c>
    </row>
    <row r="53" spans="7:39" ht="12.75" customHeight="1">
      <c r="G53" s="347"/>
      <c r="H53" s="348">
        <v>46060</v>
      </c>
      <c r="I53" s="8" t="s">
        <v>87</v>
      </c>
      <c r="J53" s="8" t="s">
        <v>91</v>
      </c>
      <c r="K53" s="8" t="s">
        <v>2769</v>
      </c>
      <c r="L53" s="8" t="s">
        <v>98</v>
      </c>
      <c r="M53" s="8" t="s">
        <v>2770</v>
      </c>
      <c r="N53" s="7">
        <v>46060</v>
      </c>
      <c r="O53" s="8" t="s">
        <v>13</v>
      </c>
      <c r="P53" s="8" t="s">
        <v>24</v>
      </c>
      <c r="Q53" s="8" t="s">
        <v>79</v>
      </c>
      <c r="R53" s="8" t="s">
        <v>79</v>
      </c>
      <c r="S53" s="8" t="s">
        <v>24</v>
      </c>
      <c r="T53" s="9">
        <v>191.2</v>
      </c>
      <c r="U53" s="9">
        <v>28630.29</v>
      </c>
      <c r="V53" s="8" t="s">
        <v>24</v>
      </c>
      <c r="W53" s="8">
        <v>0</v>
      </c>
      <c r="X53" s="8">
        <v>9</v>
      </c>
      <c r="Y53" s="8">
        <v>2576.73</v>
      </c>
      <c r="Z53" s="8">
        <v>9</v>
      </c>
      <c r="AA53" s="8">
        <v>2576.73</v>
      </c>
      <c r="AB53" s="8">
        <v>0</v>
      </c>
      <c r="AC53" s="8">
        <v>0</v>
      </c>
      <c r="AD53" s="8">
        <v>0</v>
      </c>
      <c r="AE53" s="8">
        <v>5153.46</v>
      </c>
      <c r="AF53" s="8">
        <v>0</v>
      </c>
      <c r="AG53" s="8" t="s">
        <v>65</v>
      </c>
      <c r="AH53" s="8" t="s">
        <v>11</v>
      </c>
      <c r="AI53" s="8">
        <v>3926908</v>
      </c>
      <c r="AJ53" s="8" t="s">
        <v>60</v>
      </c>
      <c r="AK53" s="8">
        <v>1</v>
      </c>
      <c r="AL53" s="8">
        <v>191.2</v>
      </c>
      <c r="AM53" s="8" t="s">
        <v>1940</v>
      </c>
    </row>
    <row r="54" spans="7:39" ht="12.75" customHeight="1">
      <c r="G54" s="347"/>
      <c r="H54" s="348">
        <v>46060</v>
      </c>
      <c r="I54" s="8" t="s">
        <v>94</v>
      </c>
      <c r="J54" s="8" t="s">
        <v>91</v>
      </c>
      <c r="K54" s="8" t="s">
        <v>2771</v>
      </c>
      <c r="L54" s="8" t="s">
        <v>98</v>
      </c>
      <c r="M54" s="8" t="s">
        <v>2772</v>
      </c>
      <c r="N54" s="7">
        <v>46060</v>
      </c>
      <c r="O54" s="8" t="s">
        <v>13</v>
      </c>
      <c r="P54" s="8" t="s">
        <v>80</v>
      </c>
      <c r="Q54" s="8" t="s">
        <v>81</v>
      </c>
      <c r="R54" s="8" t="s">
        <v>82</v>
      </c>
      <c r="S54" s="8" t="s">
        <v>17</v>
      </c>
      <c r="T54" s="9">
        <v>60</v>
      </c>
      <c r="U54" s="9">
        <v>11580</v>
      </c>
      <c r="V54" s="8" t="s">
        <v>17</v>
      </c>
      <c r="W54" s="8">
        <v>13652.82</v>
      </c>
      <c r="X54" s="8">
        <v>9</v>
      </c>
      <c r="Y54" s="8">
        <v>1042.2</v>
      </c>
      <c r="Z54" s="8">
        <v>9</v>
      </c>
      <c r="AA54" s="8">
        <v>1042.2</v>
      </c>
      <c r="AB54" s="8">
        <v>0</v>
      </c>
      <c r="AC54" s="8">
        <v>0</v>
      </c>
      <c r="AD54" s="8">
        <v>0</v>
      </c>
      <c r="AE54" s="8">
        <v>2084.4</v>
      </c>
      <c r="AF54" s="8">
        <v>0</v>
      </c>
      <c r="AG54" s="8" t="s">
        <v>74</v>
      </c>
      <c r="AH54" s="8" t="s">
        <v>11</v>
      </c>
      <c r="AI54" s="8">
        <v>39200000</v>
      </c>
      <c r="AJ54" s="8" t="s">
        <v>60</v>
      </c>
      <c r="AK54" s="8">
        <v>1</v>
      </c>
      <c r="AL54" s="8">
        <v>60</v>
      </c>
      <c r="AM54" s="8" t="s">
        <v>1940</v>
      </c>
    </row>
    <row r="55" spans="7:39" ht="12.75" customHeight="1">
      <c r="G55" s="347"/>
      <c r="H55" s="348">
        <v>46088</v>
      </c>
      <c r="I55" s="8" t="s">
        <v>2773</v>
      </c>
      <c r="J55" s="8" t="s">
        <v>96</v>
      </c>
      <c r="K55" s="8" t="s">
        <v>2774</v>
      </c>
      <c r="L55" s="8" t="s">
        <v>97</v>
      </c>
      <c r="M55" s="8">
        <v>240</v>
      </c>
      <c r="N55" s="7" t="s">
        <v>2604</v>
      </c>
      <c r="O55" s="8" t="s">
        <v>2</v>
      </c>
      <c r="P55" s="8" t="s">
        <v>2775</v>
      </c>
      <c r="Q55" s="8" t="s">
        <v>68</v>
      </c>
      <c r="R55" s="8" t="s">
        <v>69</v>
      </c>
      <c r="S55" s="8" t="s">
        <v>2776</v>
      </c>
      <c r="T55" s="9">
        <v>2</v>
      </c>
      <c r="U55" s="9">
        <v>26200</v>
      </c>
      <c r="V55" s="8" t="s">
        <v>2776</v>
      </c>
      <c r="W55" s="8">
        <v>30916</v>
      </c>
      <c r="X55" s="8">
        <v>9</v>
      </c>
      <c r="Y55" s="8">
        <v>2358</v>
      </c>
      <c r="Z55" s="8">
        <v>9</v>
      </c>
      <c r="AA55" s="8">
        <v>2358</v>
      </c>
      <c r="AB55" s="8">
        <v>0</v>
      </c>
      <c r="AC55" s="8">
        <v>0</v>
      </c>
      <c r="AD55" s="8">
        <v>0</v>
      </c>
      <c r="AE55" s="8">
        <v>4716</v>
      </c>
      <c r="AF55" s="8">
        <v>0</v>
      </c>
      <c r="AG55" s="8" t="s">
        <v>2777</v>
      </c>
      <c r="AH55" s="8" t="s">
        <v>1</v>
      </c>
      <c r="AI55" s="8">
        <v>84779000</v>
      </c>
      <c r="AJ55" s="8" t="s">
        <v>60</v>
      </c>
      <c r="AK55" s="8">
        <v>1</v>
      </c>
      <c r="AL55" s="8">
        <v>0</v>
      </c>
      <c r="AM55" s="8" t="s">
        <v>1940</v>
      </c>
    </row>
    <row r="56" spans="7:39" ht="12.75" customHeight="1">
      <c r="G56" s="347"/>
      <c r="H56" s="348">
        <v>46088</v>
      </c>
      <c r="I56" s="8" t="s">
        <v>2695</v>
      </c>
      <c r="J56" s="8" t="s">
        <v>96</v>
      </c>
      <c r="K56" s="8" t="s">
        <v>2778</v>
      </c>
      <c r="L56" s="8" t="s">
        <v>97</v>
      </c>
      <c r="M56" s="8" t="s">
        <v>2779</v>
      </c>
      <c r="N56" s="7" t="s">
        <v>2568</v>
      </c>
      <c r="O56" s="8" t="s">
        <v>2</v>
      </c>
      <c r="P56" s="8" t="s">
        <v>2587</v>
      </c>
      <c r="Q56" s="8" t="s">
        <v>68</v>
      </c>
      <c r="R56" s="8" t="s">
        <v>69</v>
      </c>
      <c r="S56" s="8" t="s">
        <v>2780</v>
      </c>
      <c r="T56" s="9">
        <v>200</v>
      </c>
      <c r="U56" s="9">
        <v>2400</v>
      </c>
      <c r="V56" s="8" t="s">
        <v>2780</v>
      </c>
      <c r="W56" s="8">
        <v>2832</v>
      </c>
      <c r="X56" s="8">
        <v>9</v>
      </c>
      <c r="Y56" s="8">
        <v>216</v>
      </c>
      <c r="Z56" s="8">
        <v>9</v>
      </c>
      <c r="AA56" s="8">
        <v>216</v>
      </c>
      <c r="AB56" s="8">
        <v>0</v>
      </c>
      <c r="AC56" s="8">
        <v>0</v>
      </c>
      <c r="AD56" s="8">
        <v>0</v>
      </c>
      <c r="AE56" s="8">
        <v>432</v>
      </c>
      <c r="AF56" s="8">
        <v>0</v>
      </c>
      <c r="AG56" s="8" t="s">
        <v>2781</v>
      </c>
      <c r="AH56" s="8" t="s">
        <v>2571</v>
      </c>
      <c r="AI56" s="8">
        <v>391731</v>
      </c>
      <c r="AJ56" s="8" t="s">
        <v>60</v>
      </c>
      <c r="AK56" s="8">
        <v>1</v>
      </c>
      <c r="AL56" s="8">
        <v>0</v>
      </c>
      <c r="AM56" s="8" t="s">
        <v>1940</v>
      </c>
    </row>
    <row r="57" spans="7:39" ht="12.75" customHeight="1">
      <c r="G57" s="347"/>
      <c r="H57" s="348">
        <v>46088</v>
      </c>
      <c r="I57" s="8" t="s">
        <v>2695</v>
      </c>
      <c r="J57" s="8" t="s">
        <v>96</v>
      </c>
      <c r="K57" s="8" t="s">
        <v>2782</v>
      </c>
      <c r="L57" s="8" t="s">
        <v>97</v>
      </c>
      <c r="M57" s="8" t="s">
        <v>2783</v>
      </c>
      <c r="N57" s="7" t="s">
        <v>2568</v>
      </c>
      <c r="O57" s="8" t="s">
        <v>2</v>
      </c>
      <c r="P57" s="8" t="s">
        <v>2784</v>
      </c>
      <c r="Q57" s="8" t="s">
        <v>68</v>
      </c>
      <c r="R57" s="8" t="s">
        <v>69</v>
      </c>
      <c r="S57" s="8" t="s">
        <v>2785</v>
      </c>
      <c r="T57" s="9">
        <v>70</v>
      </c>
      <c r="U57" s="9">
        <v>1680</v>
      </c>
      <c r="V57" s="8" t="s">
        <v>2785</v>
      </c>
      <c r="W57" s="8">
        <v>1982</v>
      </c>
      <c r="X57" s="8">
        <v>9</v>
      </c>
      <c r="Y57" s="8">
        <v>151.19999999999999</v>
      </c>
      <c r="Z57" s="8">
        <v>9</v>
      </c>
      <c r="AA57" s="8">
        <v>151.19999999999999</v>
      </c>
      <c r="AB57" s="8">
        <v>0</v>
      </c>
      <c r="AC57" s="8">
        <v>0</v>
      </c>
      <c r="AD57" s="8">
        <v>0</v>
      </c>
      <c r="AE57" s="8">
        <v>302.39999999999998</v>
      </c>
      <c r="AF57" s="8">
        <v>0</v>
      </c>
      <c r="AG57" s="8" t="s">
        <v>2781</v>
      </c>
      <c r="AH57" s="8" t="s">
        <v>7</v>
      </c>
      <c r="AI57" s="8">
        <v>85322500</v>
      </c>
      <c r="AJ57" s="8" t="s">
        <v>60</v>
      </c>
      <c r="AK57" s="8">
        <v>1</v>
      </c>
      <c r="AL57" s="8">
        <v>0</v>
      </c>
      <c r="AM57" s="8" t="s">
        <v>1940</v>
      </c>
    </row>
    <row r="58" spans="7:39" ht="12.75" customHeight="1">
      <c r="G58" s="347"/>
      <c r="H58" s="348">
        <v>46088</v>
      </c>
      <c r="I58" s="8" t="s">
        <v>87</v>
      </c>
      <c r="J58" s="8" t="s">
        <v>96</v>
      </c>
      <c r="K58" s="8" t="s">
        <v>2786</v>
      </c>
      <c r="L58" s="8" t="s">
        <v>97</v>
      </c>
      <c r="M58" s="8" t="s">
        <v>2787</v>
      </c>
      <c r="N58" s="7">
        <v>46088</v>
      </c>
      <c r="O58" s="8" t="s">
        <v>2</v>
      </c>
      <c r="P58" s="8" t="s">
        <v>67</v>
      </c>
      <c r="Q58" s="8" t="s">
        <v>68</v>
      </c>
      <c r="R58" s="8" t="s">
        <v>69</v>
      </c>
      <c r="S58" s="8" t="s">
        <v>70</v>
      </c>
      <c r="T58" s="9">
        <v>205</v>
      </c>
      <c r="U58" s="9">
        <v>9840</v>
      </c>
      <c r="V58" s="8" t="s">
        <v>70</v>
      </c>
      <c r="W58" s="8">
        <v>11601.36</v>
      </c>
      <c r="X58" s="8">
        <v>9</v>
      </c>
      <c r="Y58" s="8">
        <v>885.6</v>
      </c>
      <c r="Z58" s="8">
        <v>9</v>
      </c>
      <c r="AA58" s="8">
        <v>885.6</v>
      </c>
      <c r="AB58" s="8">
        <v>0</v>
      </c>
      <c r="AC58" s="8">
        <v>0</v>
      </c>
      <c r="AD58" s="8">
        <v>0</v>
      </c>
      <c r="AE58" s="8">
        <v>1771.2</v>
      </c>
      <c r="AF58" s="8">
        <v>0</v>
      </c>
      <c r="AG58" s="8" t="s">
        <v>65</v>
      </c>
      <c r="AH58" s="8" t="s">
        <v>11</v>
      </c>
      <c r="AI58" s="8">
        <v>73063090</v>
      </c>
      <c r="AJ58" s="8" t="s">
        <v>60</v>
      </c>
      <c r="AK58" s="8">
        <v>1</v>
      </c>
      <c r="AL58" s="8">
        <v>0</v>
      </c>
      <c r="AM58" s="8" t="s">
        <v>1940</v>
      </c>
    </row>
    <row r="59" spans="7:39" ht="12.75" customHeight="1">
      <c r="G59" s="347"/>
      <c r="H59" s="348">
        <v>46088</v>
      </c>
      <c r="I59" s="8" t="s">
        <v>87</v>
      </c>
      <c r="J59" s="8" t="s">
        <v>91</v>
      </c>
      <c r="K59" s="8" t="s">
        <v>2788</v>
      </c>
      <c r="L59" s="8" t="s">
        <v>98</v>
      </c>
      <c r="M59" s="8" t="s">
        <v>2789</v>
      </c>
      <c r="N59" s="7">
        <v>46088</v>
      </c>
      <c r="O59" s="8" t="s">
        <v>13</v>
      </c>
      <c r="P59" s="8" t="s">
        <v>62</v>
      </c>
      <c r="Q59" s="8" t="s">
        <v>63</v>
      </c>
      <c r="R59" s="8" t="s">
        <v>64</v>
      </c>
      <c r="S59" s="8" t="s">
        <v>19</v>
      </c>
      <c r="T59" s="9">
        <v>554</v>
      </c>
      <c r="U59" s="9">
        <v>83509.960000000006</v>
      </c>
      <c r="V59" s="8" t="s">
        <v>19</v>
      </c>
      <c r="W59" s="8">
        <v>1308699.0900000001</v>
      </c>
      <c r="X59" s="8">
        <v>9</v>
      </c>
      <c r="Y59" s="8">
        <v>7515.9</v>
      </c>
      <c r="Z59" s="8">
        <v>9</v>
      </c>
      <c r="AA59" s="8">
        <v>7515.9</v>
      </c>
      <c r="AB59" s="8">
        <v>0</v>
      </c>
      <c r="AC59" s="8">
        <v>0</v>
      </c>
      <c r="AD59" s="8">
        <v>0</v>
      </c>
      <c r="AE59" s="8">
        <v>15031.8</v>
      </c>
      <c r="AF59" s="8">
        <v>0</v>
      </c>
      <c r="AG59" s="8" t="s">
        <v>65</v>
      </c>
      <c r="AH59" s="8" t="s">
        <v>11</v>
      </c>
      <c r="AI59" s="8">
        <v>39269080</v>
      </c>
      <c r="AJ59" s="8" t="s">
        <v>60</v>
      </c>
      <c r="AK59" s="8">
        <v>1</v>
      </c>
      <c r="AL59" s="8">
        <v>554</v>
      </c>
      <c r="AM59" s="8" t="s">
        <v>1940</v>
      </c>
    </row>
    <row r="60" spans="7:39" ht="12.75" customHeight="1">
      <c r="G60" s="347"/>
      <c r="H60" s="348">
        <v>46088</v>
      </c>
      <c r="I60" s="8" t="s">
        <v>87</v>
      </c>
      <c r="J60" s="8" t="s">
        <v>91</v>
      </c>
      <c r="K60" s="8" t="s">
        <v>2788</v>
      </c>
      <c r="L60" s="8" t="s">
        <v>98</v>
      </c>
      <c r="M60" s="8" t="s">
        <v>2789</v>
      </c>
      <c r="N60" s="7">
        <v>46088</v>
      </c>
      <c r="O60" s="8" t="s">
        <v>13</v>
      </c>
      <c r="P60" s="8" t="s">
        <v>62</v>
      </c>
      <c r="Q60" s="8" t="s">
        <v>63</v>
      </c>
      <c r="R60" s="8" t="s">
        <v>64</v>
      </c>
      <c r="S60" s="8" t="s">
        <v>19</v>
      </c>
      <c r="T60" s="9">
        <v>3472</v>
      </c>
      <c r="U60" s="9">
        <v>519897.28</v>
      </c>
      <c r="V60" s="8" t="s">
        <v>19</v>
      </c>
      <c r="W60" s="8">
        <v>0</v>
      </c>
      <c r="X60" s="8">
        <v>9</v>
      </c>
      <c r="Y60" s="8">
        <v>46790.76</v>
      </c>
      <c r="Z60" s="8">
        <v>9</v>
      </c>
      <c r="AA60" s="8">
        <v>46790.76</v>
      </c>
      <c r="AB60" s="8">
        <v>0</v>
      </c>
      <c r="AC60" s="8">
        <v>0</v>
      </c>
      <c r="AD60" s="8">
        <v>0</v>
      </c>
      <c r="AE60" s="8">
        <v>93581.52</v>
      </c>
      <c r="AF60" s="8">
        <v>0</v>
      </c>
      <c r="AG60" s="8" t="s">
        <v>65</v>
      </c>
      <c r="AH60" s="8" t="s">
        <v>11</v>
      </c>
      <c r="AI60" s="8">
        <v>39269080</v>
      </c>
      <c r="AJ60" s="8" t="s">
        <v>60</v>
      </c>
      <c r="AK60" s="8">
        <v>1</v>
      </c>
      <c r="AL60" s="8">
        <v>3472</v>
      </c>
      <c r="AM60" s="8" t="s">
        <v>1940</v>
      </c>
    </row>
    <row r="61" spans="7:39" ht="12.75" customHeight="1">
      <c r="G61" s="347"/>
      <c r="H61" s="348">
        <v>46088</v>
      </c>
      <c r="I61" s="8" t="s">
        <v>87</v>
      </c>
      <c r="J61" s="8" t="s">
        <v>91</v>
      </c>
      <c r="K61" s="8" t="s">
        <v>2788</v>
      </c>
      <c r="L61" s="8" t="s">
        <v>98</v>
      </c>
      <c r="M61" s="8" t="s">
        <v>2789</v>
      </c>
      <c r="N61" s="7">
        <v>46088</v>
      </c>
      <c r="O61" s="8" t="s">
        <v>13</v>
      </c>
      <c r="P61" s="8" t="s">
        <v>62</v>
      </c>
      <c r="Q61" s="8" t="s">
        <v>63</v>
      </c>
      <c r="R61" s="8" t="s">
        <v>64</v>
      </c>
      <c r="S61" s="8" t="s">
        <v>19</v>
      </c>
      <c r="T61" s="9">
        <v>3429</v>
      </c>
      <c r="U61" s="9">
        <v>506600.46</v>
      </c>
      <c r="V61" s="8" t="s">
        <v>19</v>
      </c>
      <c r="W61" s="8">
        <v>0</v>
      </c>
      <c r="X61" s="8">
        <v>9</v>
      </c>
      <c r="Y61" s="8">
        <v>45594.04</v>
      </c>
      <c r="Z61" s="8">
        <v>9</v>
      </c>
      <c r="AA61" s="8">
        <v>45594.04</v>
      </c>
      <c r="AB61" s="8">
        <v>0</v>
      </c>
      <c r="AC61" s="8">
        <v>0</v>
      </c>
      <c r="AD61" s="8">
        <v>0</v>
      </c>
      <c r="AE61" s="8">
        <v>91188.08</v>
      </c>
      <c r="AF61" s="8">
        <v>0</v>
      </c>
      <c r="AG61" s="8" t="s">
        <v>65</v>
      </c>
      <c r="AH61" s="8" t="s">
        <v>11</v>
      </c>
      <c r="AI61" s="8">
        <v>39269080</v>
      </c>
      <c r="AJ61" s="8" t="s">
        <v>60</v>
      </c>
      <c r="AK61" s="8">
        <v>1</v>
      </c>
      <c r="AL61" s="8">
        <v>3429</v>
      </c>
      <c r="AM61" s="8" t="s">
        <v>1940</v>
      </c>
    </row>
    <row r="62" spans="7:39" ht="12.75" customHeight="1">
      <c r="G62" s="347"/>
      <c r="H62" s="348">
        <v>46088</v>
      </c>
      <c r="I62" s="8" t="s">
        <v>87</v>
      </c>
      <c r="J62" s="8" t="s">
        <v>91</v>
      </c>
      <c r="K62" s="8" t="s">
        <v>2790</v>
      </c>
      <c r="L62" s="8" t="s">
        <v>98</v>
      </c>
      <c r="M62" s="8" t="s">
        <v>2791</v>
      </c>
      <c r="N62" s="7">
        <v>46088</v>
      </c>
      <c r="O62" s="8" t="s">
        <v>13</v>
      </c>
      <c r="P62" s="8" t="s">
        <v>80</v>
      </c>
      <c r="Q62" s="8" t="s">
        <v>81</v>
      </c>
      <c r="R62" s="8" t="s">
        <v>82</v>
      </c>
      <c r="S62" s="8" t="s">
        <v>17</v>
      </c>
      <c r="T62" s="9">
        <v>3398</v>
      </c>
      <c r="U62" s="9">
        <v>615547.69999999995</v>
      </c>
      <c r="V62" s="8" t="s">
        <v>17</v>
      </c>
      <c r="W62" s="8">
        <v>1694395.92</v>
      </c>
      <c r="X62" s="8">
        <v>9</v>
      </c>
      <c r="Y62" s="8">
        <v>55399.29</v>
      </c>
      <c r="Z62" s="8">
        <v>9</v>
      </c>
      <c r="AA62" s="8">
        <v>55399.29</v>
      </c>
      <c r="AB62" s="8">
        <v>0</v>
      </c>
      <c r="AC62" s="8">
        <v>0</v>
      </c>
      <c r="AD62" s="8">
        <v>0</v>
      </c>
      <c r="AE62" s="8">
        <v>110798.58</v>
      </c>
      <c r="AF62" s="8">
        <v>0</v>
      </c>
      <c r="AG62" s="8" t="s">
        <v>65</v>
      </c>
      <c r="AH62" s="8" t="s">
        <v>11</v>
      </c>
      <c r="AI62" s="8">
        <v>39200000</v>
      </c>
      <c r="AJ62" s="8" t="s">
        <v>60</v>
      </c>
      <c r="AK62" s="8">
        <v>1</v>
      </c>
      <c r="AL62" s="8">
        <v>3398</v>
      </c>
      <c r="AM62" s="8" t="s">
        <v>1940</v>
      </c>
    </row>
    <row r="63" spans="7:39" ht="12.75" customHeight="1">
      <c r="G63" s="347"/>
      <c r="H63" s="348">
        <v>46088</v>
      </c>
      <c r="I63" s="8" t="s">
        <v>87</v>
      </c>
      <c r="J63" s="8" t="s">
        <v>91</v>
      </c>
      <c r="K63" s="8" t="s">
        <v>2790</v>
      </c>
      <c r="L63" s="8" t="s">
        <v>98</v>
      </c>
      <c r="M63" s="8" t="s">
        <v>2791</v>
      </c>
      <c r="N63" s="7">
        <v>46088</v>
      </c>
      <c r="O63" s="8" t="s">
        <v>13</v>
      </c>
      <c r="P63" s="8" t="s">
        <v>80</v>
      </c>
      <c r="Q63" s="8" t="s">
        <v>81</v>
      </c>
      <c r="R63" s="8" t="s">
        <v>82</v>
      </c>
      <c r="S63" s="8" t="s">
        <v>17</v>
      </c>
      <c r="T63" s="9">
        <v>1730</v>
      </c>
      <c r="U63" s="9">
        <v>320309.5</v>
      </c>
      <c r="V63" s="8" t="s">
        <v>17</v>
      </c>
      <c r="W63" s="8">
        <v>0</v>
      </c>
      <c r="X63" s="8">
        <v>9</v>
      </c>
      <c r="Y63" s="8">
        <v>28827.86</v>
      </c>
      <c r="Z63" s="8">
        <v>9</v>
      </c>
      <c r="AA63" s="8">
        <v>28827.86</v>
      </c>
      <c r="AB63" s="8">
        <v>0</v>
      </c>
      <c r="AC63" s="8">
        <v>0</v>
      </c>
      <c r="AD63" s="8">
        <v>0</v>
      </c>
      <c r="AE63" s="8">
        <v>57655.72</v>
      </c>
      <c r="AF63" s="8">
        <v>0</v>
      </c>
      <c r="AG63" s="8" t="s">
        <v>65</v>
      </c>
      <c r="AH63" s="8" t="s">
        <v>11</v>
      </c>
      <c r="AI63" s="8">
        <v>39200000</v>
      </c>
      <c r="AJ63" s="8" t="s">
        <v>60</v>
      </c>
      <c r="AK63" s="8">
        <v>1</v>
      </c>
      <c r="AL63" s="8">
        <v>1730</v>
      </c>
      <c r="AM63" s="8" t="s">
        <v>1940</v>
      </c>
    </row>
    <row r="64" spans="7:39" ht="12.75" customHeight="1">
      <c r="G64" s="347"/>
      <c r="H64" s="348">
        <v>46088</v>
      </c>
      <c r="I64" s="8" t="s">
        <v>87</v>
      </c>
      <c r="J64" s="8" t="s">
        <v>91</v>
      </c>
      <c r="K64" s="8" t="s">
        <v>2790</v>
      </c>
      <c r="L64" s="8" t="s">
        <v>98</v>
      </c>
      <c r="M64" s="8" t="s">
        <v>2791</v>
      </c>
      <c r="N64" s="7">
        <v>46088</v>
      </c>
      <c r="O64" s="8" t="s">
        <v>13</v>
      </c>
      <c r="P64" s="8" t="s">
        <v>62</v>
      </c>
      <c r="Q64" s="8" t="s">
        <v>63</v>
      </c>
      <c r="R64" s="8" t="s">
        <v>64</v>
      </c>
      <c r="S64" s="8" t="s">
        <v>19</v>
      </c>
      <c r="T64" s="9">
        <v>1648</v>
      </c>
      <c r="U64" s="9">
        <v>243475.52</v>
      </c>
      <c r="V64" s="8" t="s">
        <v>19</v>
      </c>
      <c r="W64" s="8">
        <v>0</v>
      </c>
      <c r="X64" s="8">
        <v>9</v>
      </c>
      <c r="Y64" s="8">
        <v>21912.799999999999</v>
      </c>
      <c r="Z64" s="8">
        <v>9</v>
      </c>
      <c r="AA64" s="8">
        <v>21912.799999999999</v>
      </c>
      <c r="AB64" s="8">
        <v>0</v>
      </c>
      <c r="AC64" s="8">
        <v>0</v>
      </c>
      <c r="AD64" s="8">
        <v>0</v>
      </c>
      <c r="AE64" s="8">
        <v>43825.599999999999</v>
      </c>
      <c r="AF64" s="8">
        <v>0</v>
      </c>
      <c r="AG64" s="8" t="s">
        <v>65</v>
      </c>
      <c r="AH64" s="8" t="s">
        <v>11</v>
      </c>
      <c r="AI64" s="8">
        <v>39269080</v>
      </c>
      <c r="AJ64" s="8" t="s">
        <v>60</v>
      </c>
      <c r="AK64" s="8">
        <v>1</v>
      </c>
      <c r="AL64" s="8">
        <v>1648</v>
      </c>
      <c r="AM64" s="8" t="s">
        <v>1940</v>
      </c>
    </row>
    <row r="65" spans="7:39" ht="12.75" customHeight="1">
      <c r="G65" s="347"/>
      <c r="H65" s="348">
        <v>46088</v>
      </c>
      <c r="I65" s="8" t="s">
        <v>87</v>
      </c>
      <c r="J65" s="8" t="s">
        <v>91</v>
      </c>
      <c r="K65" s="8" t="s">
        <v>2790</v>
      </c>
      <c r="L65" s="8" t="s">
        <v>98</v>
      </c>
      <c r="M65" s="8" t="s">
        <v>2791</v>
      </c>
      <c r="N65" s="7">
        <v>46088</v>
      </c>
      <c r="O65" s="8" t="s">
        <v>13</v>
      </c>
      <c r="P65" s="8" t="s">
        <v>24</v>
      </c>
      <c r="Q65" s="8" t="s">
        <v>79</v>
      </c>
      <c r="R65" s="8" t="s">
        <v>79</v>
      </c>
      <c r="S65" s="8" t="s">
        <v>24</v>
      </c>
      <c r="T65" s="9">
        <v>192.1</v>
      </c>
      <c r="U65" s="9">
        <v>28765.05</v>
      </c>
      <c r="V65" s="8" t="s">
        <v>24</v>
      </c>
      <c r="W65" s="8">
        <v>0</v>
      </c>
      <c r="X65" s="8">
        <v>9</v>
      </c>
      <c r="Y65" s="8">
        <v>2588.85</v>
      </c>
      <c r="Z65" s="8">
        <v>9</v>
      </c>
      <c r="AA65" s="8">
        <v>2588.85</v>
      </c>
      <c r="AB65" s="8">
        <v>0</v>
      </c>
      <c r="AC65" s="8">
        <v>0</v>
      </c>
      <c r="AD65" s="8">
        <v>0</v>
      </c>
      <c r="AE65" s="8">
        <v>5177.7</v>
      </c>
      <c r="AF65" s="8">
        <v>0</v>
      </c>
      <c r="AG65" s="8" t="s">
        <v>65</v>
      </c>
      <c r="AH65" s="8" t="s">
        <v>11</v>
      </c>
      <c r="AI65" s="8">
        <v>3926908</v>
      </c>
      <c r="AJ65" s="8" t="s">
        <v>60</v>
      </c>
      <c r="AK65" s="8">
        <v>1</v>
      </c>
      <c r="AL65" s="8">
        <v>192.1</v>
      </c>
      <c r="AM65" s="8" t="s">
        <v>1940</v>
      </c>
    </row>
    <row r="66" spans="7:39" ht="12.75" customHeight="1">
      <c r="G66" s="347"/>
      <c r="H66" s="348">
        <v>46088</v>
      </c>
      <c r="I66" s="8" t="s">
        <v>87</v>
      </c>
      <c r="J66" s="8" t="s">
        <v>91</v>
      </c>
      <c r="K66" s="8" t="s">
        <v>2790</v>
      </c>
      <c r="L66" s="8" t="s">
        <v>98</v>
      </c>
      <c r="M66" s="8" t="s">
        <v>2791</v>
      </c>
      <c r="N66" s="7">
        <v>46088</v>
      </c>
      <c r="O66" s="8" t="s">
        <v>13</v>
      </c>
      <c r="P66" s="8" t="s">
        <v>24</v>
      </c>
      <c r="Q66" s="8" t="s">
        <v>79</v>
      </c>
      <c r="R66" s="8" t="s">
        <v>79</v>
      </c>
      <c r="S66" s="8" t="s">
        <v>24</v>
      </c>
      <c r="T66" s="9">
        <v>1499.6</v>
      </c>
      <c r="U66" s="9">
        <v>229048.9</v>
      </c>
      <c r="V66" s="8" t="s">
        <v>24</v>
      </c>
      <c r="W66" s="8">
        <v>0</v>
      </c>
      <c r="X66" s="8">
        <v>9</v>
      </c>
      <c r="Y66" s="8">
        <v>20614.400000000001</v>
      </c>
      <c r="Z66" s="8">
        <v>9</v>
      </c>
      <c r="AA66" s="8">
        <v>20614.400000000001</v>
      </c>
      <c r="AB66" s="8">
        <v>0</v>
      </c>
      <c r="AC66" s="8">
        <v>0</v>
      </c>
      <c r="AD66" s="8">
        <v>0</v>
      </c>
      <c r="AE66" s="8">
        <v>41228.800000000003</v>
      </c>
      <c r="AF66" s="8">
        <v>0</v>
      </c>
      <c r="AG66" s="8" t="s">
        <v>65</v>
      </c>
      <c r="AH66" s="8" t="s">
        <v>11</v>
      </c>
      <c r="AI66" s="8">
        <v>3926908</v>
      </c>
      <c r="AJ66" s="8" t="s">
        <v>60</v>
      </c>
      <c r="AK66" s="8">
        <v>1</v>
      </c>
      <c r="AL66" s="8">
        <v>1499.6</v>
      </c>
      <c r="AM66" s="8" t="s">
        <v>1940</v>
      </c>
    </row>
    <row r="67" spans="7:39" ht="12.75" customHeight="1">
      <c r="G67" s="347"/>
      <c r="H67" s="348">
        <v>46088</v>
      </c>
      <c r="I67" s="8" t="s">
        <v>94</v>
      </c>
      <c r="J67" s="8" t="s">
        <v>91</v>
      </c>
      <c r="K67" s="8" t="s">
        <v>2792</v>
      </c>
      <c r="L67" s="8" t="s">
        <v>98</v>
      </c>
      <c r="M67" s="8" t="s">
        <v>2793</v>
      </c>
      <c r="N67" s="7">
        <v>46088</v>
      </c>
      <c r="O67" s="8" t="s">
        <v>13</v>
      </c>
      <c r="P67" s="8" t="s">
        <v>2198</v>
      </c>
      <c r="Q67" s="8" t="s">
        <v>123</v>
      </c>
      <c r="R67" s="8" t="s">
        <v>656</v>
      </c>
      <c r="S67" s="8" t="s">
        <v>12</v>
      </c>
      <c r="T67" s="9">
        <v>44.5</v>
      </c>
      <c r="U67" s="9">
        <v>11036</v>
      </c>
      <c r="V67" s="8" t="s">
        <v>12</v>
      </c>
      <c r="W67" s="8">
        <v>13011.44</v>
      </c>
      <c r="X67" s="8">
        <v>9</v>
      </c>
      <c r="Y67" s="8">
        <v>993.24</v>
      </c>
      <c r="Z67" s="8">
        <v>9</v>
      </c>
      <c r="AA67" s="8">
        <v>993.24</v>
      </c>
      <c r="AB67" s="8">
        <v>0</v>
      </c>
      <c r="AC67" s="8">
        <v>0</v>
      </c>
      <c r="AD67" s="8">
        <v>0</v>
      </c>
      <c r="AE67" s="8">
        <v>1986.48</v>
      </c>
      <c r="AF67" s="8">
        <v>0</v>
      </c>
      <c r="AG67" s="8" t="s">
        <v>74</v>
      </c>
      <c r="AH67" s="8" t="s">
        <v>11</v>
      </c>
      <c r="AI67" s="8">
        <v>3920101</v>
      </c>
      <c r="AJ67" s="8" t="s">
        <v>60</v>
      </c>
      <c r="AK67" s="8">
        <v>1</v>
      </c>
      <c r="AL67" s="8">
        <v>44.5</v>
      </c>
      <c r="AM67" s="8" t="s">
        <v>1940</v>
      </c>
    </row>
    <row r="68" spans="7:39" ht="12.75" customHeight="1">
      <c r="G68" s="347"/>
      <c r="H68" s="348">
        <v>46119</v>
      </c>
      <c r="I68" s="8" t="s">
        <v>87</v>
      </c>
      <c r="J68" s="8" t="s">
        <v>91</v>
      </c>
      <c r="K68" s="8" t="s">
        <v>2794</v>
      </c>
      <c r="L68" s="8" t="s">
        <v>98</v>
      </c>
      <c r="M68" s="8" t="s">
        <v>2795</v>
      </c>
      <c r="N68" s="7">
        <v>46119</v>
      </c>
      <c r="O68" s="8" t="s">
        <v>13</v>
      </c>
      <c r="P68" s="8" t="s">
        <v>80</v>
      </c>
      <c r="Q68" s="8" t="s">
        <v>81</v>
      </c>
      <c r="R68" s="8" t="s">
        <v>82</v>
      </c>
      <c r="S68" s="8" t="s">
        <v>17</v>
      </c>
      <c r="T68" s="9">
        <v>6269</v>
      </c>
      <c r="U68" s="9">
        <v>1135629.3500000001</v>
      </c>
      <c r="V68" s="8" t="s">
        <v>17</v>
      </c>
      <c r="W68" s="8">
        <v>1486253.99</v>
      </c>
      <c r="X68" s="8">
        <v>9</v>
      </c>
      <c r="Y68" s="8">
        <v>102206.64</v>
      </c>
      <c r="Z68" s="8">
        <v>9</v>
      </c>
      <c r="AA68" s="8">
        <v>102206.64</v>
      </c>
      <c r="AB68" s="8">
        <v>0</v>
      </c>
      <c r="AC68" s="8">
        <v>0</v>
      </c>
      <c r="AD68" s="8">
        <v>0</v>
      </c>
      <c r="AE68" s="8">
        <v>204413.28</v>
      </c>
      <c r="AF68" s="8">
        <v>0</v>
      </c>
      <c r="AG68" s="8" t="s">
        <v>65</v>
      </c>
      <c r="AH68" s="8" t="s">
        <v>11</v>
      </c>
      <c r="AI68" s="8">
        <v>39200000</v>
      </c>
      <c r="AJ68" s="8" t="s">
        <v>60</v>
      </c>
      <c r="AK68" s="8">
        <v>1</v>
      </c>
      <c r="AL68" s="8">
        <v>0</v>
      </c>
      <c r="AM68" s="8" t="s">
        <v>1940</v>
      </c>
    </row>
    <row r="69" spans="7:39" ht="12.75" customHeight="1">
      <c r="G69" s="347"/>
      <c r="H69" s="348">
        <v>46119</v>
      </c>
      <c r="I69" s="8" t="s">
        <v>87</v>
      </c>
      <c r="J69" s="8" t="s">
        <v>91</v>
      </c>
      <c r="K69" s="8" t="s">
        <v>2794</v>
      </c>
      <c r="L69" s="8" t="s">
        <v>98</v>
      </c>
      <c r="M69" s="8" t="s">
        <v>2795</v>
      </c>
      <c r="N69" s="7">
        <v>46119</v>
      </c>
      <c r="O69" s="8" t="s">
        <v>13</v>
      </c>
      <c r="P69" s="8" t="s">
        <v>80</v>
      </c>
      <c r="Q69" s="8" t="s">
        <v>81</v>
      </c>
      <c r="R69" s="8" t="s">
        <v>82</v>
      </c>
      <c r="S69" s="8" t="s">
        <v>17</v>
      </c>
      <c r="T69" s="9">
        <v>675</v>
      </c>
      <c r="U69" s="9">
        <v>124976.25</v>
      </c>
      <c r="V69" s="8" t="s">
        <v>17</v>
      </c>
      <c r="W69" s="8">
        <v>0</v>
      </c>
      <c r="X69" s="8">
        <v>9</v>
      </c>
      <c r="Y69" s="8">
        <v>11247.86</v>
      </c>
      <c r="Z69" s="8">
        <v>9</v>
      </c>
      <c r="AA69" s="8">
        <v>11247.86</v>
      </c>
      <c r="AB69" s="8">
        <v>0</v>
      </c>
      <c r="AC69" s="8">
        <v>0</v>
      </c>
      <c r="AD69" s="8">
        <v>0</v>
      </c>
      <c r="AE69" s="8">
        <v>22495.72</v>
      </c>
      <c r="AF69" s="8">
        <v>0</v>
      </c>
      <c r="AG69" s="8" t="s">
        <v>65</v>
      </c>
      <c r="AH69" s="8" t="s">
        <v>11</v>
      </c>
      <c r="AI69" s="8">
        <v>39200000</v>
      </c>
      <c r="AJ69" s="8" t="s">
        <v>60</v>
      </c>
      <c r="AK69" s="8">
        <v>1</v>
      </c>
      <c r="AL69" s="8">
        <v>0</v>
      </c>
      <c r="AM69" s="8" t="s">
        <v>1940</v>
      </c>
    </row>
    <row r="70" spans="7:39" ht="12.75" customHeight="1">
      <c r="G70" s="347"/>
      <c r="H70" s="348">
        <v>46119</v>
      </c>
      <c r="I70" s="8" t="s">
        <v>87</v>
      </c>
      <c r="J70" s="8" t="s">
        <v>91</v>
      </c>
      <c r="K70" s="8" t="s">
        <v>2796</v>
      </c>
      <c r="L70" s="8" t="s">
        <v>98</v>
      </c>
      <c r="M70" s="8" t="s">
        <v>2797</v>
      </c>
      <c r="N70" s="7">
        <v>46088</v>
      </c>
      <c r="O70" s="8" t="s">
        <v>15</v>
      </c>
      <c r="P70" s="8" t="s">
        <v>2117</v>
      </c>
      <c r="Q70" s="8" t="s">
        <v>2117</v>
      </c>
      <c r="R70" s="8" t="s">
        <v>2117</v>
      </c>
      <c r="S70" s="347" t="s">
        <v>64</v>
      </c>
      <c r="T70" s="9">
        <v>250</v>
      </c>
      <c r="U70" s="9">
        <v>39435</v>
      </c>
      <c r="V70" s="8" t="s">
        <v>2117</v>
      </c>
      <c r="W70" s="8">
        <v>294575.25</v>
      </c>
      <c r="X70" s="8">
        <v>9</v>
      </c>
      <c r="Y70" s="8">
        <v>3549.15</v>
      </c>
      <c r="Z70" s="8">
        <v>9</v>
      </c>
      <c r="AA70" s="8">
        <v>3549.15</v>
      </c>
      <c r="AB70" s="8">
        <v>0</v>
      </c>
      <c r="AC70" s="8">
        <v>0</v>
      </c>
      <c r="AD70" s="8">
        <v>0</v>
      </c>
      <c r="AE70" s="8">
        <v>7098.3</v>
      </c>
      <c r="AF70" s="8">
        <v>0</v>
      </c>
      <c r="AG70" s="8" t="s">
        <v>65</v>
      </c>
      <c r="AH70" s="8" t="s">
        <v>11</v>
      </c>
      <c r="AI70" s="8">
        <v>39269080</v>
      </c>
      <c r="AJ70" s="8" t="s">
        <v>60</v>
      </c>
      <c r="AK70" s="8">
        <v>1</v>
      </c>
      <c r="AL70" s="8">
        <v>0</v>
      </c>
      <c r="AM70" s="8" t="s">
        <v>1940</v>
      </c>
    </row>
    <row r="71" spans="7:39" ht="12.75" customHeight="1">
      <c r="G71" s="347"/>
      <c r="H71" s="348">
        <v>46119</v>
      </c>
      <c r="I71" s="8" t="s">
        <v>87</v>
      </c>
      <c r="J71" s="8" t="s">
        <v>91</v>
      </c>
      <c r="K71" s="8" t="s">
        <v>2796</v>
      </c>
      <c r="L71" s="8" t="s">
        <v>98</v>
      </c>
      <c r="M71" s="8" t="s">
        <v>2797</v>
      </c>
      <c r="N71" s="7">
        <v>46088</v>
      </c>
      <c r="O71" s="8" t="s">
        <v>15</v>
      </c>
      <c r="P71" s="8" t="s">
        <v>2117</v>
      </c>
      <c r="Q71" s="8" t="s">
        <v>2117</v>
      </c>
      <c r="R71" s="8" t="s">
        <v>2117</v>
      </c>
      <c r="S71" s="347" t="s">
        <v>64</v>
      </c>
      <c r="T71" s="9">
        <v>123</v>
      </c>
      <c r="U71" s="9">
        <v>19648.02</v>
      </c>
      <c r="V71" s="8" t="s">
        <v>2117</v>
      </c>
      <c r="W71" s="8">
        <v>0</v>
      </c>
      <c r="X71" s="8">
        <v>9</v>
      </c>
      <c r="Y71" s="8">
        <v>1768.32</v>
      </c>
      <c r="Z71" s="8">
        <v>9</v>
      </c>
      <c r="AA71" s="8">
        <v>1768.32</v>
      </c>
      <c r="AB71" s="8">
        <v>0</v>
      </c>
      <c r="AC71" s="8">
        <v>0</v>
      </c>
      <c r="AD71" s="8">
        <v>0</v>
      </c>
      <c r="AE71" s="8">
        <v>3536.64</v>
      </c>
      <c r="AF71" s="8">
        <v>0</v>
      </c>
      <c r="AG71" s="8" t="s">
        <v>65</v>
      </c>
      <c r="AH71" s="8" t="s">
        <v>11</v>
      </c>
      <c r="AI71" s="8">
        <v>39269080</v>
      </c>
      <c r="AJ71" s="8" t="s">
        <v>60</v>
      </c>
      <c r="AK71" s="8">
        <v>1</v>
      </c>
      <c r="AL71" s="8">
        <v>0</v>
      </c>
      <c r="AM71" s="8" t="s">
        <v>1940</v>
      </c>
    </row>
    <row r="72" spans="7:39" ht="12.75" customHeight="1">
      <c r="G72" s="347"/>
      <c r="H72" s="348">
        <v>46119</v>
      </c>
      <c r="I72" s="8" t="s">
        <v>87</v>
      </c>
      <c r="J72" s="8" t="s">
        <v>91</v>
      </c>
      <c r="K72" s="8" t="s">
        <v>2796</v>
      </c>
      <c r="L72" s="8" t="s">
        <v>98</v>
      </c>
      <c r="M72" s="8" t="s">
        <v>2797</v>
      </c>
      <c r="N72" s="7">
        <v>46088</v>
      </c>
      <c r="O72" s="8" t="s">
        <v>13</v>
      </c>
      <c r="P72" s="8" t="s">
        <v>62</v>
      </c>
      <c r="Q72" s="8" t="s">
        <v>63</v>
      </c>
      <c r="R72" s="8" t="s">
        <v>64</v>
      </c>
      <c r="S72" s="8" t="s">
        <v>19</v>
      </c>
      <c r="T72" s="9">
        <v>992</v>
      </c>
      <c r="U72" s="9">
        <v>148542.07999999999</v>
      </c>
      <c r="V72" s="8" t="s">
        <v>19</v>
      </c>
      <c r="W72" s="8">
        <v>0</v>
      </c>
      <c r="X72" s="8">
        <v>9</v>
      </c>
      <c r="Y72" s="8">
        <v>13368.79</v>
      </c>
      <c r="Z72" s="8">
        <v>9</v>
      </c>
      <c r="AA72" s="8">
        <v>13368.79</v>
      </c>
      <c r="AB72" s="8">
        <v>0</v>
      </c>
      <c r="AC72" s="8">
        <v>0</v>
      </c>
      <c r="AD72" s="8">
        <v>0</v>
      </c>
      <c r="AE72" s="8">
        <v>26737.58</v>
      </c>
      <c r="AF72" s="8">
        <v>0</v>
      </c>
      <c r="AG72" s="8" t="s">
        <v>65</v>
      </c>
      <c r="AH72" s="8" t="s">
        <v>11</v>
      </c>
      <c r="AI72" s="8">
        <v>39269080</v>
      </c>
      <c r="AJ72" s="8" t="s">
        <v>60</v>
      </c>
      <c r="AK72" s="8">
        <v>1</v>
      </c>
      <c r="AL72" s="8">
        <v>0</v>
      </c>
      <c r="AM72" s="8" t="s">
        <v>1940</v>
      </c>
    </row>
    <row r="73" spans="7:39" ht="12.75" customHeight="1">
      <c r="G73" s="347"/>
      <c r="H73" s="348">
        <v>46119</v>
      </c>
      <c r="I73" s="8" t="s">
        <v>87</v>
      </c>
      <c r="J73" s="8" t="s">
        <v>91</v>
      </c>
      <c r="K73" s="8" t="s">
        <v>2796</v>
      </c>
      <c r="L73" s="8" t="s">
        <v>98</v>
      </c>
      <c r="M73" s="8" t="s">
        <v>2797</v>
      </c>
      <c r="N73" s="7">
        <v>46088</v>
      </c>
      <c r="O73" s="8" t="s">
        <v>13</v>
      </c>
      <c r="P73" s="8" t="s">
        <v>62</v>
      </c>
      <c r="Q73" s="8" t="s">
        <v>76</v>
      </c>
      <c r="R73" s="8" t="s">
        <v>77</v>
      </c>
      <c r="S73" s="8" t="s">
        <v>21</v>
      </c>
      <c r="T73" s="9">
        <v>282</v>
      </c>
      <c r="U73" s="9">
        <v>42226.68</v>
      </c>
      <c r="V73" s="8" t="s">
        <v>21</v>
      </c>
      <c r="W73" s="8">
        <v>0</v>
      </c>
      <c r="X73" s="8">
        <v>9</v>
      </c>
      <c r="Y73" s="8">
        <v>3800.4</v>
      </c>
      <c r="Z73" s="8">
        <v>9</v>
      </c>
      <c r="AA73" s="8">
        <v>3800.4</v>
      </c>
      <c r="AB73" s="8">
        <v>0</v>
      </c>
      <c r="AC73" s="8">
        <v>0</v>
      </c>
      <c r="AD73" s="8">
        <v>0</v>
      </c>
      <c r="AE73" s="8">
        <v>7600.8</v>
      </c>
      <c r="AF73" s="8">
        <v>0</v>
      </c>
      <c r="AG73" s="8" t="s">
        <v>65</v>
      </c>
      <c r="AH73" s="8" t="s">
        <v>11</v>
      </c>
      <c r="AI73" s="8">
        <v>63053300</v>
      </c>
      <c r="AJ73" s="8" t="s">
        <v>60</v>
      </c>
      <c r="AK73" s="8">
        <v>1</v>
      </c>
      <c r="AL73" s="8">
        <v>0</v>
      </c>
      <c r="AM73" s="8" t="s">
        <v>1940</v>
      </c>
    </row>
    <row r="74" spans="7:39" ht="12.75" customHeight="1">
      <c r="G74" s="347"/>
      <c r="H74" s="348">
        <v>46119</v>
      </c>
      <c r="I74" s="8" t="s">
        <v>87</v>
      </c>
      <c r="J74" s="8" t="s">
        <v>91</v>
      </c>
      <c r="K74" s="8" t="s">
        <v>2798</v>
      </c>
      <c r="L74" s="8" t="s">
        <v>98</v>
      </c>
      <c r="M74" s="8" t="s">
        <v>2799</v>
      </c>
      <c r="N74" s="7">
        <v>46119</v>
      </c>
      <c r="O74" s="8" t="s">
        <v>13</v>
      </c>
      <c r="P74" s="8" t="s">
        <v>62</v>
      </c>
      <c r="Q74" s="8" t="s">
        <v>63</v>
      </c>
      <c r="R74" s="8" t="s">
        <v>64</v>
      </c>
      <c r="S74" s="8" t="s">
        <v>19</v>
      </c>
      <c r="T74" s="9">
        <v>2760</v>
      </c>
      <c r="U74" s="9">
        <v>413282.4</v>
      </c>
      <c r="V74" s="8" t="s">
        <v>19</v>
      </c>
      <c r="W74" s="8">
        <v>1459553.2</v>
      </c>
      <c r="X74" s="8">
        <v>9</v>
      </c>
      <c r="Y74" s="8">
        <v>37195.42</v>
      </c>
      <c r="Z74" s="8">
        <v>9</v>
      </c>
      <c r="AA74" s="8">
        <v>37195.42</v>
      </c>
      <c r="AB74" s="8">
        <v>0</v>
      </c>
      <c r="AC74" s="8">
        <v>0</v>
      </c>
      <c r="AD74" s="8">
        <v>0</v>
      </c>
      <c r="AE74" s="8">
        <v>74390.84</v>
      </c>
      <c r="AF74" s="8">
        <v>0</v>
      </c>
      <c r="AG74" s="8" t="s">
        <v>65</v>
      </c>
      <c r="AH74" s="8" t="s">
        <v>11</v>
      </c>
      <c r="AI74" s="8">
        <v>39269080</v>
      </c>
      <c r="AJ74" s="8" t="s">
        <v>60</v>
      </c>
      <c r="AK74" s="8">
        <v>1</v>
      </c>
      <c r="AL74" s="8">
        <v>0</v>
      </c>
      <c r="AM74" s="8" t="s">
        <v>1940</v>
      </c>
    </row>
    <row r="75" spans="7:39" ht="12.75" customHeight="1">
      <c r="G75" s="347"/>
      <c r="H75" s="348">
        <v>46119</v>
      </c>
      <c r="I75" s="8" t="s">
        <v>87</v>
      </c>
      <c r="J75" s="8" t="s">
        <v>91</v>
      </c>
      <c r="K75" s="8" t="s">
        <v>2798</v>
      </c>
      <c r="L75" s="8" t="s">
        <v>98</v>
      </c>
      <c r="M75" s="8" t="s">
        <v>2799</v>
      </c>
      <c r="N75" s="7">
        <v>46119</v>
      </c>
      <c r="O75" s="8" t="s">
        <v>13</v>
      </c>
      <c r="P75" s="8" t="s">
        <v>62</v>
      </c>
      <c r="Q75" s="8" t="s">
        <v>63</v>
      </c>
      <c r="R75" s="8" t="s">
        <v>64</v>
      </c>
      <c r="S75" s="8" t="s">
        <v>19</v>
      </c>
      <c r="T75" s="9">
        <v>4252</v>
      </c>
      <c r="U75" s="9">
        <v>628190.48</v>
      </c>
      <c r="V75" s="8" t="s">
        <v>19</v>
      </c>
      <c r="W75" s="8">
        <v>0</v>
      </c>
      <c r="X75" s="8">
        <v>9</v>
      </c>
      <c r="Y75" s="8">
        <v>56537.14</v>
      </c>
      <c r="Z75" s="8">
        <v>9</v>
      </c>
      <c r="AA75" s="8">
        <v>56537.14</v>
      </c>
      <c r="AB75" s="8">
        <v>0</v>
      </c>
      <c r="AC75" s="8">
        <v>0</v>
      </c>
      <c r="AD75" s="8">
        <v>0</v>
      </c>
      <c r="AE75" s="8">
        <v>113074.28</v>
      </c>
      <c r="AF75" s="8">
        <v>0</v>
      </c>
      <c r="AG75" s="8" t="s">
        <v>65</v>
      </c>
      <c r="AH75" s="8" t="s">
        <v>11</v>
      </c>
      <c r="AI75" s="8">
        <v>39269080</v>
      </c>
      <c r="AJ75" s="8" t="s">
        <v>60</v>
      </c>
      <c r="AK75" s="8">
        <v>1</v>
      </c>
      <c r="AL75" s="8">
        <v>0</v>
      </c>
      <c r="AM75" s="8" t="s">
        <v>1940</v>
      </c>
    </row>
    <row r="76" spans="7:39" ht="12.75" customHeight="1">
      <c r="G76" s="347"/>
      <c r="H76" s="348">
        <v>46119</v>
      </c>
      <c r="I76" s="8" t="s">
        <v>87</v>
      </c>
      <c r="J76" s="8" t="s">
        <v>91</v>
      </c>
      <c r="K76" s="8" t="s">
        <v>2798</v>
      </c>
      <c r="L76" s="8" t="s">
        <v>98</v>
      </c>
      <c r="M76" s="8" t="s">
        <v>2799</v>
      </c>
      <c r="N76" s="7">
        <v>46119</v>
      </c>
      <c r="O76" s="8" t="s">
        <v>13</v>
      </c>
      <c r="P76" s="8" t="s">
        <v>62</v>
      </c>
      <c r="Q76" s="8" t="s">
        <v>63</v>
      </c>
      <c r="R76" s="8" t="s">
        <v>64</v>
      </c>
      <c r="S76" s="8" t="s">
        <v>19</v>
      </c>
      <c r="T76" s="9">
        <v>928</v>
      </c>
      <c r="U76" s="9">
        <v>139886.72</v>
      </c>
      <c r="V76" s="8" t="s">
        <v>19</v>
      </c>
      <c r="W76" s="8">
        <v>0</v>
      </c>
      <c r="X76" s="8">
        <v>9</v>
      </c>
      <c r="Y76" s="8">
        <v>12589.8</v>
      </c>
      <c r="Z76" s="8">
        <v>9</v>
      </c>
      <c r="AA76" s="8">
        <v>12589.8</v>
      </c>
      <c r="AB76" s="8">
        <v>0</v>
      </c>
      <c r="AC76" s="8">
        <v>0</v>
      </c>
      <c r="AD76" s="8">
        <v>0</v>
      </c>
      <c r="AE76" s="8">
        <v>25179.599999999999</v>
      </c>
      <c r="AF76" s="8">
        <v>0</v>
      </c>
      <c r="AG76" s="8" t="s">
        <v>65</v>
      </c>
      <c r="AH76" s="8" t="s">
        <v>11</v>
      </c>
      <c r="AI76" s="8">
        <v>39269080</v>
      </c>
      <c r="AJ76" s="8" t="s">
        <v>60</v>
      </c>
      <c r="AK76" s="8">
        <v>1</v>
      </c>
      <c r="AL76" s="8">
        <v>0</v>
      </c>
      <c r="AM76" s="8" t="s">
        <v>1940</v>
      </c>
    </row>
    <row r="77" spans="7:39" ht="12.75" customHeight="1">
      <c r="G77" s="347"/>
      <c r="H77" s="348">
        <v>46119</v>
      </c>
      <c r="I77" s="8" t="s">
        <v>87</v>
      </c>
      <c r="J77" s="8" t="s">
        <v>91</v>
      </c>
      <c r="K77" s="8" t="s">
        <v>2798</v>
      </c>
      <c r="L77" s="8" t="s">
        <v>98</v>
      </c>
      <c r="M77" s="8" t="s">
        <v>2799</v>
      </c>
      <c r="N77" s="7">
        <v>46119</v>
      </c>
      <c r="O77" s="8" t="s">
        <v>13</v>
      </c>
      <c r="P77" s="8" t="s">
        <v>62</v>
      </c>
      <c r="Q77" s="8" t="s">
        <v>76</v>
      </c>
      <c r="R77" s="8" t="s">
        <v>77</v>
      </c>
      <c r="S77" s="8" t="s">
        <v>21</v>
      </c>
      <c r="T77" s="9">
        <v>373</v>
      </c>
      <c r="U77" s="9">
        <v>56599.02</v>
      </c>
      <c r="V77" s="8" t="s">
        <v>21</v>
      </c>
      <c r="W77" s="8">
        <v>0</v>
      </c>
      <c r="X77" s="8">
        <v>9</v>
      </c>
      <c r="Y77" s="8">
        <v>5093.91</v>
      </c>
      <c r="Z77" s="8">
        <v>9</v>
      </c>
      <c r="AA77" s="8">
        <v>5093.91</v>
      </c>
      <c r="AB77" s="8">
        <v>0</v>
      </c>
      <c r="AC77" s="8">
        <v>0</v>
      </c>
      <c r="AD77" s="8">
        <v>0</v>
      </c>
      <c r="AE77" s="8">
        <v>10187.82</v>
      </c>
      <c r="AF77" s="8">
        <v>0</v>
      </c>
      <c r="AG77" s="8" t="s">
        <v>65</v>
      </c>
      <c r="AH77" s="8" t="s">
        <v>11</v>
      </c>
      <c r="AI77" s="8">
        <v>63053300</v>
      </c>
      <c r="AJ77" s="8" t="s">
        <v>60</v>
      </c>
      <c r="AK77" s="8">
        <v>1</v>
      </c>
      <c r="AL77" s="8">
        <v>0</v>
      </c>
      <c r="AM77" s="8" t="s">
        <v>1940</v>
      </c>
    </row>
    <row r="78" spans="7:39" ht="12.75" customHeight="1">
      <c r="G78" s="347"/>
      <c r="H78" s="348">
        <v>46119</v>
      </c>
      <c r="I78" s="8" t="s">
        <v>87</v>
      </c>
      <c r="J78" s="8" t="s">
        <v>91</v>
      </c>
      <c r="K78" s="8" t="s">
        <v>2800</v>
      </c>
      <c r="L78" s="8" t="s">
        <v>98</v>
      </c>
      <c r="M78" s="8" t="s">
        <v>2801</v>
      </c>
      <c r="N78" s="7">
        <v>46119</v>
      </c>
      <c r="O78" s="8" t="s">
        <v>13</v>
      </c>
      <c r="P78" s="8" t="s">
        <v>62</v>
      </c>
      <c r="Q78" s="8" t="s">
        <v>76</v>
      </c>
      <c r="R78" s="8" t="s">
        <v>77</v>
      </c>
      <c r="S78" s="8" t="s">
        <v>21</v>
      </c>
      <c r="T78" s="9">
        <v>508</v>
      </c>
      <c r="U78" s="9">
        <v>77083.92</v>
      </c>
      <c r="V78" s="8" t="s">
        <v>21</v>
      </c>
      <c r="W78" s="8">
        <v>526577.48</v>
      </c>
      <c r="X78" s="8">
        <v>9</v>
      </c>
      <c r="Y78" s="8">
        <v>6937.55</v>
      </c>
      <c r="Z78" s="8">
        <v>9</v>
      </c>
      <c r="AA78" s="8">
        <v>6937.55</v>
      </c>
      <c r="AB78" s="8">
        <v>0</v>
      </c>
      <c r="AC78" s="8">
        <v>0</v>
      </c>
      <c r="AD78" s="8">
        <v>0</v>
      </c>
      <c r="AE78" s="8">
        <v>13875.1</v>
      </c>
      <c r="AF78" s="8">
        <v>0</v>
      </c>
      <c r="AG78" s="8" t="s">
        <v>65</v>
      </c>
      <c r="AH78" s="8" t="s">
        <v>11</v>
      </c>
      <c r="AI78" s="8">
        <v>63053300</v>
      </c>
      <c r="AJ78" s="8" t="s">
        <v>60</v>
      </c>
      <c r="AK78" s="8">
        <v>1</v>
      </c>
      <c r="AL78" s="8">
        <v>0</v>
      </c>
      <c r="AM78" s="8" t="s">
        <v>1940</v>
      </c>
    </row>
    <row r="79" spans="7:39" ht="12.75" customHeight="1">
      <c r="G79" s="347"/>
      <c r="H79" s="348">
        <v>46119</v>
      </c>
      <c r="I79" s="8" t="s">
        <v>87</v>
      </c>
      <c r="J79" s="8" t="s">
        <v>91</v>
      </c>
      <c r="K79" s="8" t="s">
        <v>2800</v>
      </c>
      <c r="L79" s="8" t="s">
        <v>98</v>
      </c>
      <c r="M79" s="8" t="s">
        <v>2801</v>
      </c>
      <c r="N79" s="7">
        <v>46119</v>
      </c>
      <c r="O79" s="8" t="s">
        <v>13</v>
      </c>
      <c r="P79" s="8" t="s">
        <v>24</v>
      </c>
      <c r="Q79" s="8" t="s">
        <v>79</v>
      </c>
      <c r="R79" s="8" t="s">
        <v>79</v>
      </c>
      <c r="S79" s="8" t="s">
        <v>24</v>
      </c>
      <c r="T79" s="9">
        <v>320.39999999999998</v>
      </c>
      <c r="U79" s="9">
        <v>47976.7</v>
      </c>
      <c r="V79" s="8" t="s">
        <v>24</v>
      </c>
      <c r="W79" s="8">
        <v>0</v>
      </c>
      <c r="X79" s="8">
        <v>9</v>
      </c>
      <c r="Y79" s="8">
        <v>4317.8999999999996</v>
      </c>
      <c r="Z79" s="8">
        <v>9</v>
      </c>
      <c r="AA79" s="8">
        <v>4317.8999999999996</v>
      </c>
      <c r="AB79" s="8">
        <v>0</v>
      </c>
      <c r="AC79" s="8">
        <v>0</v>
      </c>
      <c r="AD79" s="8">
        <v>0</v>
      </c>
      <c r="AE79" s="8">
        <v>8635.7999999999993</v>
      </c>
      <c r="AF79" s="8">
        <v>0</v>
      </c>
      <c r="AG79" s="8" t="s">
        <v>65</v>
      </c>
      <c r="AH79" s="8" t="s">
        <v>11</v>
      </c>
      <c r="AI79" s="8">
        <v>3926908</v>
      </c>
      <c r="AJ79" s="8" t="s">
        <v>60</v>
      </c>
      <c r="AK79" s="8">
        <v>1</v>
      </c>
      <c r="AL79" s="8">
        <v>0</v>
      </c>
      <c r="AM79" s="8" t="s">
        <v>1940</v>
      </c>
    </row>
    <row r="80" spans="7:39" ht="12.75" customHeight="1">
      <c r="G80" s="347"/>
      <c r="H80" s="348">
        <v>46119</v>
      </c>
      <c r="I80" s="8" t="s">
        <v>87</v>
      </c>
      <c r="J80" s="8" t="s">
        <v>91</v>
      </c>
      <c r="K80" s="8" t="s">
        <v>2800</v>
      </c>
      <c r="L80" s="8" t="s">
        <v>98</v>
      </c>
      <c r="M80" s="8" t="s">
        <v>2801</v>
      </c>
      <c r="N80" s="7">
        <v>46119</v>
      </c>
      <c r="O80" s="8" t="s">
        <v>13</v>
      </c>
      <c r="P80" s="8" t="s">
        <v>24</v>
      </c>
      <c r="Q80" s="8" t="s">
        <v>79</v>
      </c>
      <c r="R80" s="8" t="s">
        <v>79</v>
      </c>
      <c r="S80" s="8" t="s">
        <v>24</v>
      </c>
      <c r="T80" s="9">
        <v>2090.1</v>
      </c>
      <c r="U80" s="9">
        <v>319241.87</v>
      </c>
      <c r="V80" s="8" t="s">
        <v>24</v>
      </c>
      <c r="W80" s="8">
        <v>0</v>
      </c>
      <c r="X80" s="8">
        <v>9</v>
      </c>
      <c r="Y80" s="8">
        <v>28731.77</v>
      </c>
      <c r="Z80" s="8">
        <v>9</v>
      </c>
      <c r="AA80" s="8">
        <v>28731.77</v>
      </c>
      <c r="AB80" s="8">
        <v>0</v>
      </c>
      <c r="AC80" s="8">
        <v>0</v>
      </c>
      <c r="AD80" s="8">
        <v>0</v>
      </c>
      <c r="AE80" s="8">
        <v>57463.54</v>
      </c>
      <c r="AF80" s="8">
        <v>0</v>
      </c>
      <c r="AG80" s="8" t="s">
        <v>65</v>
      </c>
      <c r="AH80" s="8" t="s">
        <v>11</v>
      </c>
      <c r="AI80" s="8">
        <v>3926908</v>
      </c>
      <c r="AJ80" s="8" t="s">
        <v>60</v>
      </c>
      <c r="AK80" s="8">
        <v>1</v>
      </c>
      <c r="AL80" s="8">
        <v>0</v>
      </c>
      <c r="AM80" s="8" t="s">
        <v>1940</v>
      </c>
    </row>
    <row r="81" spans="7:39" ht="12.75" customHeight="1">
      <c r="G81" s="347"/>
      <c r="H81" s="348">
        <v>46119</v>
      </c>
      <c r="I81" s="8" t="s">
        <v>87</v>
      </c>
      <c r="J81" s="8" t="s">
        <v>91</v>
      </c>
      <c r="K81" s="8" t="s">
        <v>2800</v>
      </c>
      <c r="L81" s="8" t="s">
        <v>98</v>
      </c>
      <c r="M81" s="8" t="s">
        <v>2801</v>
      </c>
      <c r="N81" s="7">
        <v>46119</v>
      </c>
      <c r="O81" s="8" t="s">
        <v>13</v>
      </c>
      <c r="P81" s="8" t="s">
        <v>24</v>
      </c>
      <c r="Q81" s="8" t="s">
        <v>79</v>
      </c>
      <c r="R81" s="8" t="s">
        <v>79</v>
      </c>
      <c r="S81" s="8" t="s">
        <v>24</v>
      </c>
      <c r="T81" s="9">
        <v>13.4</v>
      </c>
      <c r="U81" s="9">
        <v>2328.12</v>
      </c>
      <c r="V81" s="8" t="s">
        <v>24</v>
      </c>
      <c r="W81" s="8">
        <v>0</v>
      </c>
      <c r="X81" s="8">
        <v>9</v>
      </c>
      <c r="Y81" s="8">
        <v>209.53</v>
      </c>
      <c r="Z81" s="8">
        <v>9</v>
      </c>
      <c r="AA81" s="8">
        <v>209.53</v>
      </c>
      <c r="AB81" s="8">
        <v>0</v>
      </c>
      <c r="AC81" s="8">
        <v>0</v>
      </c>
      <c r="AD81" s="8">
        <v>0</v>
      </c>
      <c r="AE81" s="8">
        <v>419.06</v>
      </c>
      <c r="AF81" s="8">
        <v>0</v>
      </c>
      <c r="AG81" s="8" t="s">
        <v>65</v>
      </c>
      <c r="AH81" s="8" t="s">
        <v>11</v>
      </c>
      <c r="AI81" s="8">
        <v>3926908</v>
      </c>
      <c r="AJ81" s="8" t="s">
        <v>60</v>
      </c>
      <c r="AK81" s="8">
        <v>1</v>
      </c>
      <c r="AL81" s="8">
        <v>0</v>
      </c>
      <c r="AM81" s="8" t="s">
        <v>1940</v>
      </c>
    </row>
    <row r="82" spans="7:39" ht="12.75" customHeight="1">
      <c r="G82" s="347"/>
      <c r="H82" s="348">
        <v>46119</v>
      </c>
      <c r="I82" s="8" t="s">
        <v>94</v>
      </c>
      <c r="J82" s="8" t="s">
        <v>91</v>
      </c>
      <c r="K82" s="8" t="s">
        <v>2802</v>
      </c>
      <c r="L82" s="8" t="s">
        <v>98</v>
      </c>
      <c r="M82" s="8" t="s">
        <v>2803</v>
      </c>
      <c r="N82" s="7">
        <v>46119</v>
      </c>
      <c r="O82" s="8" t="s">
        <v>15</v>
      </c>
      <c r="P82" s="8" t="s">
        <v>2117</v>
      </c>
      <c r="Q82" s="8" t="s">
        <v>2117</v>
      </c>
      <c r="R82" s="8" t="s">
        <v>2117</v>
      </c>
      <c r="S82" s="347" t="s">
        <v>64</v>
      </c>
      <c r="T82" s="8">
        <v>560</v>
      </c>
      <c r="U82" s="9">
        <v>83669.600000000006</v>
      </c>
      <c r="V82" s="8" t="s">
        <v>2117</v>
      </c>
      <c r="W82" s="8">
        <v>98646.45</v>
      </c>
      <c r="X82" s="8">
        <v>9</v>
      </c>
      <c r="Y82" s="8">
        <v>7530.26</v>
      </c>
      <c r="Z82" s="8">
        <v>9</v>
      </c>
      <c r="AA82" s="8">
        <v>7530.26</v>
      </c>
      <c r="AB82" s="8">
        <v>0</v>
      </c>
      <c r="AC82" s="8">
        <v>0</v>
      </c>
      <c r="AD82" s="8">
        <v>0</v>
      </c>
      <c r="AE82" s="8">
        <v>15060.52</v>
      </c>
      <c r="AF82" s="8">
        <v>0</v>
      </c>
      <c r="AG82" s="8" t="s">
        <v>74</v>
      </c>
      <c r="AH82" s="8" t="s">
        <v>11</v>
      </c>
      <c r="AI82" s="8">
        <v>39269080</v>
      </c>
      <c r="AJ82" s="8" t="s">
        <v>60</v>
      </c>
      <c r="AK82" s="8">
        <v>1</v>
      </c>
      <c r="AL82" s="8">
        <v>0</v>
      </c>
      <c r="AM82" s="8" t="s">
        <v>1940</v>
      </c>
    </row>
    <row r="83" spans="7:39" ht="12.75" customHeight="1">
      <c r="G83" s="347"/>
      <c r="H83" s="348">
        <v>46119</v>
      </c>
      <c r="I83" s="8" t="s">
        <v>2506</v>
      </c>
      <c r="J83" s="8" t="s">
        <v>96</v>
      </c>
      <c r="K83" s="8" t="s">
        <v>2804</v>
      </c>
      <c r="L83" s="8" t="s">
        <v>97</v>
      </c>
      <c r="M83" s="8" t="s">
        <v>2805</v>
      </c>
      <c r="N83" s="7" t="s">
        <v>2568</v>
      </c>
      <c r="O83" s="8" t="s">
        <v>8</v>
      </c>
      <c r="P83" s="8" t="s">
        <v>659</v>
      </c>
      <c r="Q83" s="8" t="s">
        <v>659</v>
      </c>
      <c r="R83" s="8" t="s">
        <v>69</v>
      </c>
      <c r="S83" s="8" t="s">
        <v>2436</v>
      </c>
      <c r="T83" s="9">
        <v>3500</v>
      </c>
      <c r="U83" s="9">
        <v>7350</v>
      </c>
      <c r="V83" s="8" t="s">
        <v>2436</v>
      </c>
      <c r="W83" s="8">
        <v>8673</v>
      </c>
      <c r="X83" s="8">
        <v>0</v>
      </c>
      <c r="Y83" s="8">
        <v>0</v>
      </c>
      <c r="Z83" s="8">
        <v>0</v>
      </c>
      <c r="AA83" s="8">
        <v>0</v>
      </c>
      <c r="AB83" s="8">
        <v>18</v>
      </c>
      <c r="AC83" s="8">
        <v>1323</v>
      </c>
      <c r="AD83" s="8">
        <v>0</v>
      </c>
      <c r="AE83" s="8">
        <v>1323</v>
      </c>
      <c r="AF83" s="8">
        <v>0</v>
      </c>
      <c r="AG83" s="8" t="s">
        <v>2507</v>
      </c>
      <c r="AH83" s="8" t="s">
        <v>1</v>
      </c>
      <c r="AI83" s="8">
        <v>39239090</v>
      </c>
      <c r="AJ83" s="8" t="s">
        <v>60</v>
      </c>
      <c r="AK83" s="8">
        <v>1</v>
      </c>
      <c r="AL83" s="8">
        <v>3500</v>
      </c>
      <c r="AM83" s="8" t="s">
        <v>1940</v>
      </c>
    </row>
    <row r="84" spans="7:39" ht="12.75" customHeight="1">
      <c r="G84" s="347"/>
      <c r="H84" s="348">
        <v>46149</v>
      </c>
      <c r="I84" s="8" t="s">
        <v>103</v>
      </c>
      <c r="J84" s="8" t="s">
        <v>88</v>
      </c>
      <c r="K84" s="8" t="s">
        <v>2806</v>
      </c>
      <c r="L84" s="8" t="s">
        <v>2449</v>
      </c>
      <c r="M84" s="8" t="s">
        <v>2807</v>
      </c>
      <c r="N84" s="7">
        <v>46088</v>
      </c>
      <c r="O84" s="8" t="s">
        <v>13</v>
      </c>
      <c r="P84" s="8" t="s">
        <v>80</v>
      </c>
      <c r="Q84" s="8" t="s">
        <v>81</v>
      </c>
      <c r="R84" s="8" t="s">
        <v>417</v>
      </c>
      <c r="S84" s="8" t="s">
        <v>418</v>
      </c>
      <c r="T84" s="9">
        <v>407</v>
      </c>
      <c r="U84" s="9">
        <v>78546.929999999993</v>
      </c>
      <c r="V84" s="8" t="s">
        <v>418</v>
      </c>
      <c r="W84" s="8">
        <v>78546.929999999993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 t="s">
        <v>104</v>
      </c>
      <c r="AH84" s="8" t="s">
        <v>11</v>
      </c>
      <c r="AI84" s="8">
        <v>39232100</v>
      </c>
      <c r="AJ84" s="8" t="s">
        <v>60</v>
      </c>
      <c r="AK84" s="8">
        <v>1</v>
      </c>
      <c r="AL84" s="8">
        <v>0</v>
      </c>
      <c r="AM84" s="8" t="s">
        <v>1940</v>
      </c>
    </row>
    <row r="85" spans="7:39" ht="12.75" customHeight="1">
      <c r="G85" s="347"/>
      <c r="H85" s="348">
        <v>46149</v>
      </c>
      <c r="I85" s="8" t="s">
        <v>93</v>
      </c>
      <c r="J85" s="8" t="s">
        <v>91</v>
      </c>
      <c r="K85" s="8" t="s">
        <v>2808</v>
      </c>
      <c r="L85" s="8" t="s">
        <v>98</v>
      </c>
      <c r="M85" s="8" t="s">
        <v>2809</v>
      </c>
      <c r="N85" s="7">
        <v>46119</v>
      </c>
      <c r="O85" s="8" t="s">
        <v>13</v>
      </c>
      <c r="P85" s="8" t="s">
        <v>99</v>
      </c>
      <c r="Q85" s="8" t="s">
        <v>100</v>
      </c>
      <c r="R85" s="8" t="s">
        <v>101</v>
      </c>
      <c r="S85" s="8" t="s">
        <v>1617</v>
      </c>
      <c r="T85" s="9">
        <v>1340</v>
      </c>
      <c r="U85" s="9">
        <v>206561</v>
      </c>
      <c r="V85" s="8" t="s">
        <v>1617</v>
      </c>
      <c r="W85" s="8">
        <v>297546.21000000002</v>
      </c>
      <c r="X85" s="8">
        <v>2.5</v>
      </c>
      <c r="Y85" s="8">
        <v>5164.0200000000004</v>
      </c>
      <c r="Z85" s="8">
        <v>2.5</v>
      </c>
      <c r="AA85" s="8">
        <v>5164.0200000000004</v>
      </c>
      <c r="AB85" s="8">
        <v>0</v>
      </c>
      <c r="AC85" s="8">
        <v>0</v>
      </c>
      <c r="AD85" s="8">
        <v>0</v>
      </c>
      <c r="AE85" s="8">
        <v>10328.040000000001</v>
      </c>
      <c r="AF85" s="8">
        <v>0</v>
      </c>
      <c r="AG85" s="8" t="s">
        <v>59</v>
      </c>
      <c r="AH85" s="8" t="s">
        <v>11</v>
      </c>
      <c r="AI85" s="8">
        <v>54026930</v>
      </c>
      <c r="AJ85" s="8" t="s">
        <v>60</v>
      </c>
      <c r="AK85" s="8">
        <v>1</v>
      </c>
      <c r="AL85" s="8">
        <v>0</v>
      </c>
      <c r="AM85" s="8" t="s">
        <v>1940</v>
      </c>
    </row>
    <row r="86" spans="7:39" ht="12.75" customHeight="1">
      <c r="G86" s="347"/>
      <c r="H86" s="348">
        <v>46149</v>
      </c>
      <c r="I86" s="8" t="s">
        <v>93</v>
      </c>
      <c r="J86" s="8" t="s">
        <v>91</v>
      </c>
      <c r="K86" s="8" t="s">
        <v>2808</v>
      </c>
      <c r="L86" s="8" t="s">
        <v>98</v>
      </c>
      <c r="M86" s="8" t="s">
        <v>2809</v>
      </c>
      <c r="N86" s="7">
        <v>46119</v>
      </c>
      <c r="O86" s="8" t="s">
        <v>13</v>
      </c>
      <c r="P86" s="8" t="s">
        <v>99</v>
      </c>
      <c r="Q86" s="8" t="s">
        <v>100</v>
      </c>
      <c r="R86" s="8" t="s">
        <v>101</v>
      </c>
      <c r="S86" s="8" t="s">
        <v>2585</v>
      </c>
      <c r="T86" s="9">
        <v>510</v>
      </c>
      <c r="U86" s="9">
        <v>77086.5</v>
      </c>
      <c r="V86" s="8" t="s">
        <v>2585</v>
      </c>
      <c r="W86" s="8">
        <v>0</v>
      </c>
      <c r="X86" s="8">
        <v>2.5</v>
      </c>
      <c r="Y86" s="8">
        <v>1927.16</v>
      </c>
      <c r="Z86" s="8">
        <v>2.5</v>
      </c>
      <c r="AA86" s="8">
        <v>1927.16</v>
      </c>
      <c r="AB86" s="8">
        <v>0</v>
      </c>
      <c r="AC86" s="8">
        <v>0</v>
      </c>
      <c r="AD86" s="8">
        <v>0</v>
      </c>
      <c r="AE86" s="8">
        <v>3854.32</v>
      </c>
      <c r="AF86" s="8">
        <v>0</v>
      </c>
      <c r="AG86" s="8" t="s">
        <v>59</v>
      </c>
      <c r="AH86" s="8" t="s">
        <v>11</v>
      </c>
      <c r="AI86" s="8">
        <v>54026930</v>
      </c>
      <c r="AJ86" s="8" t="s">
        <v>60</v>
      </c>
      <c r="AK86" s="8">
        <v>1</v>
      </c>
      <c r="AL86" s="8">
        <v>0</v>
      </c>
      <c r="AM86" s="8" t="s">
        <v>1940</v>
      </c>
    </row>
    <row r="87" spans="7:39" ht="12.75" customHeight="1">
      <c r="G87" s="347"/>
      <c r="H87" s="348">
        <v>46149</v>
      </c>
      <c r="I87" s="8" t="s">
        <v>87</v>
      </c>
      <c r="J87" s="8" t="s">
        <v>96</v>
      </c>
      <c r="K87" s="8" t="s">
        <v>2810</v>
      </c>
      <c r="L87" s="8" t="s">
        <v>97</v>
      </c>
      <c r="M87" s="8" t="s">
        <v>2811</v>
      </c>
      <c r="N87" s="7">
        <v>46149</v>
      </c>
      <c r="O87" s="8" t="s">
        <v>2</v>
      </c>
      <c r="P87" s="8" t="s">
        <v>67</v>
      </c>
      <c r="Q87" s="8" t="s">
        <v>68</v>
      </c>
      <c r="R87" s="8" t="s">
        <v>69</v>
      </c>
      <c r="S87" s="8" t="s">
        <v>70</v>
      </c>
      <c r="T87" s="9">
        <v>349</v>
      </c>
      <c r="U87" s="9">
        <v>16752</v>
      </c>
      <c r="V87" s="8" t="s">
        <v>70</v>
      </c>
      <c r="W87" s="8">
        <v>19750.61</v>
      </c>
      <c r="X87" s="8">
        <v>9</v>
      </c>
      <c r="Y87" s="8">
        <v>1507.68</v>
      </c>
      <c r="Z87" s="8">
        <v>9</v>
      </c>
      <c r="AA87" s="8">
        <v>1507.68</v>
      </c>
      <c r="AB87" s="8">
        <v>0</v>
      </c>
      <c r="AC87" s="8">
        <v>0</v>
      </c>
      <c r="AD87" s="8">
        <v>0</v>
      </c>
      <c r="AE87" s="8">
        <v>3015.36</v>
      </c>
      <c r="AF87" s="8">
        <v>0</v>
      </c>
      <c r="AG87" s="8" t="s">
        <v>65</v>
      </c>
      <c r="AH87" s="8" t="s">
        <v>11</v>
      </c>
      <c r="AI87" s="8">
        <v>73063090</v>
      </c>
      <c r="AJ87" s="8" t="s">
        <v>60</v>
      </c>
      <c r="AK87" s="8">
        <v>1</v>
      </c>
      <c r="AL87" s="8">
        <v>0</v>
      </c>
      <c r="AM87" s="8" t="s">
        <v>1940</v>
      </c>
    </row>
    <row r="88" spans="7:39" ht="12.75" customHeight="1">
      <c r="G88" s="347"/>
      <c r="H88" s="348">
        <v>46149</v>
      </c>
      <c r="I88" s="8" t="s">
        <v>87</v>
      </c>
      <c r="J88" s="8" t="s">
        <v>91</v>
      </c>
      <c r="K88" s="8" t="s">
        <v>2812</v>
      </c>
      <c r="L88" s="8" t="s">
        <v>98</v>
      </c>
      <c r="M88" s="8" t="s">
        <v>2813</v>
      </c>
      <c r="N88" s="7">
        <v>46119</v>
      </c>
      <c r="O88" s="8" t="s">
        <v>13</v>
      </c>
      <c r="P88" s="8" t="s">
        <v>62</v>
      </c>
      <c r="Q88" s="8" t="s">
        <v>63</v>
      </c>
      <c r="R88" s="8" t="s">
        <v>64</v>
      </c>
      <c r="S88" s="8" t="s">
        <v>19</v>
      </c>
      <c r="T88" s="9">
        <v>601</v>
      </c>
      <c r="U88" s="9">
        <v>89993.74</v>
      </c>
      <c r="V88" s="8" t="s">
        <v>19</v>
      </c>
      <c r="W88" s="8">
        <v>106102.63</v>
      </c>
      <c r="X88" s="8">
        <v>9</v>
      </c>
      <c r="Y88" s="8">
        <v>8099.44</v>
      </c>
      <c r="Z88" s="8">
        <v>9</v>
      </c>
      <c r="AA88" s="8">
        <v>8099.44</v>
      </c>
      <c r="AB88" s="8">
        <v>0</v>
      </c>
      <c r="AC88" s="8">
        <v>0</v>
      </c>
      <c r="AD88" s="8">
        <v>0</v>
      </c>
      <c r="AE88" s="8">
        <v>16198.88</v>
      </c>
      <c r="AF88" s="8">
        <v>0</v>
      </c>
      <c r="AG88" s="8" t="s">
        <v>65</v>
      </c>
      <c r="AH88" s="8" t="s">
        <v>11</v>
      </c>
      <c r="AI88" s="8">
        <v>39269080</v>
      </c>
      <c r="AJ88" s="8" t="s">
        <v>60</v>
      </c>
      <c r="AK88" s="8">
        <v>1</v>
      </c>
      <c r="AL88" s="8">
        <v>0</v>
      </c>
      <c r="AM88" s="8" t="s">
        <v>1940</v>
      </c>
    </row>
    <row r="89" spans="7:39" ht="12.75" customHeight="1">
      <c r="G89" s="347"/>
      <c r="H89" s="348">
        <v>46149</v>
      </c>
      <c r="I89" s="8" t="s">
        <v>87</v>
      </c>
      <c r="J89" s="8" t="s">
        <v>91</v>
      </c>
      <c r="K89" s="8" t="s">
        <v>2814</v>
      </c>
      <c r="L89" s="8" t="s">
        <v>98</v>
      </c>
      <c r="M89" s="8" t="s">
        <v>2815</v>
      </c>
      <c r="N89" s="7">
        <v>46149</v>
      </c>
      <c r="O89" s="8" t="s">
        <v>13</v>
      </c>
      <c r="P89" s="8" t="s">
        <v>62</v>
      </c>
      <c r="Q89" s="8" t="s">
        <v>63</v>
      </c>
      <c r="R89" s="8" t="s">
        <v>64</v>
      </c>
      <c r="S89" s="8" t="s">
        <v>19</v>
      </c>
      <c r="T89" s="9">
        <v>433</v>
      </c>
      <c r="U89" s="9">
        <v>62564.17</v>
      </c>
      <c r="V89" s="8" t="s">
        <v>19</v>
      </c>
      <c r="W89" s="8">
        <v>177018.32</v>
      </c>
      <c r="X89" s="8">
        <v>9</v>
      </c>
      <c r="Y89" s="8">
        <v>5630.78</v>
      </c>
      <c r="Z89" s="8">
        <v>9</v>
      </c>
      <c r="AA89" s="8">
        <v>5630.78</v>
      </c>
      <c r="AB89" s="8">
        <v>0</v>
      </c>
      <c r="AC89" s="8">
        <v>0</v>
      </c>
      <c r="AD89" s="8">
        <v>0</v>
      </c>
      <c r="AE89" s="8">
        <v>11261.56</v>
      </c>
      <c r="AF89" s="8">
        <v>0</v>
      </c>
      <c r="AG89" s="8" t="s">
        <v>65</v>
      </c>
      <c r="AH89" s="8" t="s">
        <v>11</v>
      </c>
      <c r="AI89" s="8">
        <v>39269080</v>
      </c>
      <c r="AJ89" s="8" t="s">
        <v>60</v>
      </c>
      <c r="AK89" s="8">
        <v>1</v>
      </c>
      <c r="AL89" s="8">
        <v>0</v>
      </c>
      <c r="AM89" s="8" t="s">
        <v>1940</v>
      </c>
    </row>
    <row r="90" spans="7:39" ht="12.75" customHeight="1">
      <c r="G90" s="347"/>
      <c r="H90" s="348">
        <v>46149</v>
      </c>
      <c r="I90" s="8" t="s">
        <v>87</v>
      </c>
      <c r="J90" s="8" t="s">
        <v>91</v>
      </c>
      <c r="K90" s="8" t="s">
        <v>2814</v>
      </c>
      <c r="L90" s="8" t="s">
        <v>98</v>
      </c>
      <c r="M90" s="8" t="s">
        <v>2815</v>
      </c>
      <c r="N90" s="7">
        <v>46149</v>
      </c>
      <c r="O90" s="8" t="s">
        <v>13</v>
      </c>
      <c r="P90" s="8" t="s">
        <v>62</v>
      </c>
      <c r="Q90" s="8" t="s">
        <v>63</v>
      </c>
      <c r="R90" s="8" t="s">
        <v>64</v>
      </c>
      <c r="S90" s="8" t="s">
        <v>19</v>
      </c>
      <c r="T90" s="9">
        <v>238</v>
      </c>
      <c r="U90" s="9">
        <v>34864.620000000003</v>
      </c>
      <c r="V90" s="8" t="s">
        <v>19</v>
      </c>
      <c r="W90" s="8">
        <v>0</v>
      </c>
      <c r="X90" s="8">
        <v>9</v>
      </c>
      <c r="Y90" s="8">
        <v>3137.82</v>
      </c>
      <c r="Z90" s="8">
        <v>9</v>
      </c>
      <c r="AA90" s="8">
        <v>3137.82</v>
      </c>
      <c r="AB90" s="8">
        <v>0</v>
      </c>
      <c r="AC90" s="8">
        <v>0</v>
      </c>
      <c r="AD90" s="8">
        <v>0</v>
      </c>
      <c r="AE90" s="8">
        <v>6275.64</v>
      </c>
      <c r="AF90" s="8">
        <v>0</v>
      </c>
      <c r="AG90" s="8" t="s">
        <v>65</v>
      </c>
      <c r="AH90" s="8" t="s">
        <v>11</v>
      </c>
      <c r="AI90" s="8">
        <v>39269080</v>
      </c>
      <c r="AJ90" s="8" t="s">
        <v>60</v>
      </c>
      <c r="AK90" s="8">
        <v>1</v>
      </c>
      <c r="AL90" s="8">
        <v>0</v>
      </c>
      <c r="AM90" s="8" t="s">
        <v>1940</v>
      </c>
    </row>
    <row r="91" spans="7:39" ht="12.75" customHeight="1">
      <c r="G91" s="347"/>
      <c r="H91" s="348">
        <v>46149</v>
      </c>
      <c r="I91" s="8" t="s">
        <v>87</v>
      </c>
      <c r="J91" s="8" t="s">
        <v>91</v>
      </c>
      <c r="K91" s="8" t="s">
        <v>2814</v>
      </c>
      <c r="L91" s="8" t="s">
        <v>98</v>
      </c>
      <c r="M91" s="8" t="s">
        <v>2815</v>
      </c>
      <c r="N91" s="7">
        <v>46149</v>
      </c>
      <c r="O91" s="8" t="s">
        <v>13</v>
      </c>
      <c r="P91" s="8" t="s">
        <v>62</v>
      </c>
      <c r="Q91" s="8" t="s">
        <v>76</v>
      </c>
      <c r="R91" s="8" t="s">
        <v>77</v>
      </c>
      <c r="S91" s="8" t="s">
        <v>21</v>
      </c>
      <c r="T91" s="9">
        <v>355</v>
      </c>
      <c r="U91" s="9">
        <v>52713.95</v>
      </c>
      <c r="V91" s="8" t="s">
        <v>21</v>
      </c>
      <c r="W91" s="8">
        <v>0</v>
      </c>
      <c r="X91" s="8">
        <v>9</v>
      </c>
      <c r="Y91" s="8">
        <v>4744.26</v>
      </c>
      <c r="Z91" s="8">
        <v>9</v>
      </c>
      <c r="AA91" s="8">
        <v>4744.26</v>
      </c>
      <c r="AB91" s="8">
        <v>0</v>
      </c>
      <c r="AC91" s="8">
        <v>0</v>
      </c>
      <c r="AD91" s="8">
        <v>0</v>
      </c>
      <c r="AE91" s="8">
        <v>9488.52</v>
      </c>
      <c r="AF91" s="8">
        <v>0</v>
      </c>
      <c r="AG91" s="8" t="s">
        <v>65</v>
      </c>
      <c r="AH91" s="8" t="s">
        <v>11</v>
      </c>
      <c r="AI91" s="8">
        <v>63053300</v>
      </c>
      <c r="AJ91" s="8" t="s">
        <v>60</v>
      </c>
      <c r="AK91" s="8">
        <v>1</v>
      </c>
      <c r="AL91" s="8">
        <v>0</v>
      </c>
      <c r="AM91" s="8" t="s">
        <v>1940</v>
      </c>
    </row>
    <row r="92" spans="7:39" ht="12.75" customHeight="1">
      <c r="G92" s="347"/>
      <c r="H92" s="348">
        <v>46149</v>
      </c>
      <c r="I92" s="8" t="s">
        <v>87</v>
      </c>
      <c r="J92" s="8" t="s">
        <v>91</v>
      </c>
      <c r="K92" s="8" t="s">
        <v>2816</v>
      </c>
      <c r="L92" s="8" t="s">
        <v>98</v>
      </c>
      <c r="M92" s="8" t="s">
        <v>2817</v>
      </c>
      <c r="N92" s="7">
        <v>46149</v>
      </c>
      <c r="O92" s="8" t="s">
        <v>8</v>
      </c>
      <c r="P92" s="8" t="s">
        <v>659</v>
      </c>
      <c r="Q92" s="8" t="s">
        <v>659</v>
      </c>
      <c r="R92" s="8" t="s">
        <v>69</v>
      </c>
      <c r="S92" s="8" t="s">
        <v>778</v>
      </c>
      <c r="T92" s="9">
        <v>10300</v>
      </c>
      <c r="U92" s="9">
        <v>36554.699999999997</v>
      </c>
      <c r="V92" s="8" t="s">
        <v>778</v>
      </c>
      <c r="W92" s="8">
        <v>2137498.09</v>
      </c>
      <c r="X92" s="8">
        <v>9</v>
      </c>
      <c r="Y92" s="8">
        <v>3289.92</v>
      </c>
      <c r="Z92" s="8">
        <v>9</v>
      </c>
      <c r="AA92" s="8">
        <v>3289.92</v>
      </c>
      <c r="AB92" s="8">
        <v>0</v>
      </c>
      <c r="AC92" s="8">
        <v>0</v>
      </c>
      <c r="AD92" s="8">
        <v>0</v>
      </c>
      <c r="AE92" s="8">
        <v>6579.84</v>
      </c>
      <c r="AF92" s="8">
        <v>0</v>
      </c>
      <c r="AG92" s="8" t="s">
        <v>65</v>
      </c>
      <c r="AH92" s="8" t="s">
        <v>1</v>
      </c>
      <c r="AI92" s="8">
        <v>39232100</v>
      </c>
      <c r="AJ92" s="8" t="s">
        <v>60</v>
      </c>
      <c r="AK92" s="8">
        <v>1</v>
      </c>
      <c r="AL92" s="8">
        <v>10300</v>
      </c>
      <c r="AM92" s="8" t="s">
        <v>1940</v>
      </c>
    </row>
    <row r="93" spans="7:39" ht="12.75" customHeight="1">
      <c r="G93" s="347"/>
      <c r="H93" s="348">
        <v>46149</v>
      </c>
      <c r="I93" s="8" t="s">
        <v>87</v>
      </c>
      <c r="J93" s="8" t="s">
        <v>91</v>
      </c>
      <c r="K93" s="8" t="s">
        <v>2816</v>
      </c>
      <c r="L93" s="8" t="s">
        <v>98</v>
      </c>
      <c r="M93" s="8" t="s">
        <v>2817</v>
      </c>
      <c r="N93" s="7">
        <v>46149</v>
      </c>
      <c r="O93" s="8" t="s">
        <v>13</v>
      </c>
      <c r="P93" s="8" t="s">
        <v>80</v>
      </c>
      <c r="Q93" s="8" t="s">
        <v>81</v>
      </c>
      <c r="R93" s="8" t="s">
        <v>82</v>
      </c>
      <c r="S93" s="8" t="s">
        <v>17</v>
      </c>
      <c r="T93" s="9">
        <v>23</v>
      </c>
      <c r="U93" s="9">
        <v>4456.9399999999996</v>
      </c>
      <c r="V93" s="8" t="s">
        <v>17</v>
      </c>
      <c r="W93" s="8">
        <v>0</v>
      </c>
      <c r="X93" s="8">
        <v>9</v>
      </c>
      <c r="Y93" s="8">
        <v>401.12</v>
      </c>
      <c r="Z93" s="8">
        <v>9</v>
      </c>
      <c r="AA93" s="8">
        <v>401.12</v>
      </c>
      <c r="AB93" s="8">
        <v>0</v>
      </c>
      <c r="AC93" s="8">
        <v>0</v>
      </c>
      <c r="AD93" s="8">
        <v>0</v>
      </c>
      <c r="AE93" s="8">
        <v>802.24</v>
      </c>
      <c r="AF93" s="8">
        <v>0</v>
      </c>
      <c r="AG93" s="8" t="s">
        <v>65</v>
      </c>
      <c r="AH93" s="8" t="s">
        <v>11</v>
      </c>
      <c r="AI93" s="8">
        <v>39200000</v>
      </c>
      <c r="AJ93" s="8" t="s">
        <v>60</v>
      </c>
      <c r="AK93" s="8">
        <v>1</v>
      </c>
      <c r="AL93" s="8">
        <v>23</v>
      </c>
      <c r="AM93" s="8" t="s">
        <v>1940</v>
      </c>
    </row>
    <row r="94" spans="7:39" ht="12.75" customHeight="1">
      <c r="G94" s="347"/>
      <c r="H94" s="348">
        <v>46149</v>
      </c>
      <c r="I94" s="8" t="s">
        <v>87</v>
      </c>
      <c r="J94" s="8" t="s">
        <v>91</v>
      </c>
      <c r="K94" s="8" t="s">
        <v>2816</v>
      </c>
      <c r="L94" s="8" t="s">
        <v>98</v>
      </c>
      <c r="M94" s="8" t="s">
        <v>2817</v>
      </c>
      <c r="N94" s="7">
        <v>46149</v>
      </c>
      <c r="O94" s="8" t="s">
        <v>13</v>
      </c>
      <c r="P94" s="8" t="s">
        <v>80</v>
      </c>
      <c r="Q94" s="8" t="s">
        <v>81</v>
      </c>
      <c r="R94" s="8" t="s">
        <v>82</v>
      </c>
      <c r="S94" s="8" t="s">
        <v>17</v>
      </c>
      <c r="T94" s="9">
        <v>9208</v>
      </c>
      <c r="U94" s="9">
        <v>1719870.24</v>
      </c>
      <c r="V94" s="8" t="s">
        <v>17</v>
      </c>
      <c r="W94" s="8">
        <v>0</v>
      </c>
      <c r="X94" s="8">
        <v>9</v>
      </c>
      <c r="Y94" s="8">
        <v>154788.32</v>
      </c>
      <c r="Z94" s="8">
        <v>9</v>
      </c>
      <c r="AA94" s="8">
        <v>154788.32</v>
      </c>
      <c r="AB94" s="8">
        <v>0</v>
      </c>
      <c r="AC94" s="8">
        <v>0</v>
      </c>
      <c r="AD94" s="8">
        <v>0</v>
      </c>
      <c r="AE94" s="8">
        <v>309576.64</v>
      </c>
      <c r="AF94" s="8">
        <v>0</v>
      </c>
      <c r="AG94" s="8" t="s">
        <v>65</v>
      </c>
      <c r="AH94" s="8" t="s">
        <v>11</v>
      </c>
      <c r="AI94" s="8">
        <v>39200000</v>
      </c>
      <c r="AJ94" s="8" t="s">
        <v>60</v>
      </c>
      <c r="AK94" s="8">
        <v>1</v>
      </c>
      <c r="AL94" s="8">
        <v>9208</v>
      </c>
      <c r="AM94" s="8" t="s">
        <v>1940</v>
      </c>
    </row>
    <row r="95" spans="7:39" ht="12.75" customHeight="1">
      <c r="G95" s="347"/>
      <c r="H95" s="348">
        <v>46149</v>
      </c>
      <c r="I95" s="8" t="s">
        <v>87</v>
      </c>
      <c r="J95" s="8" t="s">
        <v>91</v>
      </c>
      <c r="K95" s="8" t="s">
        <v>2816</v>
      </c>
      <c r="L95" s="8" t="s">
        <v>98</v>
      </c>
      <c r="M95" s="8" t="s">
        <v>2817</v>
      </c>
      <c r="N95" s="7">
        <v>46149</v>
      </c>
      <c r="O95" s="8" t="s">
        <v>13</v>
      </c>
      <c r="P95" s="8" t="s">
        <v>80</v>
      </c>
      <c r="Q95" s="8" t="s">
        <v>81</v>
      </c>
      <c r="R95" s="8" t="s">
        <v>82</v>
      </c>
      <c r="S95" s="8" t="s">
        <v>17</v>
      </c>
      <c r="T95" s="9">
        <v>285</v>
      </c>
      <c r="U95" s="9">
        <v>52092.3</v>
      </c>
      <c r="V95" s="8" t="s">
        <v>17</v>
      </c>
      <c r="W95" s="8">
        <v>0</v>
      </c>
      <c r="X95" s="8">
        <v>9</v>
      </c>
      <c r="Y95" s="8">
        <v>4688.3100000000004</v>
      </c>
      <c r="Z95" s="8">
        <v>9</v>
      </c>
      <c r="AA95" s="8">
        <v>4688.3100000000004</v>
      </c>
      <c r="AB95" s="8">
        <v>0</v>
      </c>
      <c r="AC95" s="8">
        <v>0</v>
      </c>
      <c r="AD95" s="8">
        <v>0</v>
      </c>
      <c r="AE95" s="8">
        <v>9376.6200000000008</v>
      </c>
      <c r="AF95" s="8">
        <v>0</v>
      </c>
      <c r="AG95" s="8" t="s">
        <v>65</v>
      </c>
      <c r="AH95" s="8" t="s">
        <v>11</v>
      </c>
      <c r="AI95" s="8">
        <v>39200000</v>
      </c>
      <c r="AJ95" s="8" t="s">
        <v>60</v>
      </c>
      <c r="AK95" s="8">
        <v>1</v>
      </c>
      <c r="AL95" s="8">
        <v>285</v>
      </c>
      <c r="AM95" s="8" t="s">
        <v>1940</v>
      </c>
    </row>
    <row r="96" spans="7:39" ht="12.75" customHeight="1">
      <c r="G96" s="347"/>
      <c r="H96" s="348">
        <v>46149</v>
      </c>
      <c r="I96" s="8" t="s">
        <v>87</v>
      </c>
      <c r="J96" s="8" t="s">
        <v>91</v>
      </c>
      <c r="K96" s="8" t="s">
        <v>2818</v>
      </c>
      <c r="L96" s="8" t="s">
        <v>98</v>
      </c>
      <c r="M96" s="8" t="s">
        <v>2819</v>
      </c>
      <c r="N96" s="7">
        <v>46149</v>
      </c>
      <c r="O96" s="8" t="s">
        <v>13</v>
      </c>
      <c r="P96" s="8" t="s">
        <v>24</v>
      </c>
      <c r="Q96" s="8" t="s">
        <v>79</v>
      </c>
      <c r="R96" s="8" t="s">
        <v>79</v>
      </c>
      <c r="S96" s="8" t="s">
        <v>24</v>
      </c>
      <c r="T96" s="9">
        <v>5.5</v>
      </c>
      <c r="U96" s="9">
        <v>937.7</v>
      </c>
      <c r="V96" s="8" t="s">
        <v>24</v>
      </c>
      <c r="W96" s="8">
        <v>2112642.39</v>
      </c>
      <c r="X96" s="8">
        <v>9</v>
      </c>
      <c r="Y96" s="8">
        <v>84.39</v>
      </c>
      <c r="Z96" s="8">
        <v>9</v>
      </c>
      <c r="AA96" s="8">
        <v>84.39</v>
      </c>
      <c r="AB96" s="8">
        <v>0</v>
      </c>
      <c r="AC96" s="8">
        <v>0</v>
      </c>
      <c r="AD96" s="8">
        <v>0</v>
      </c>
      <c r="AE96" s="8">
        <v>168.78</v>
      </c>
      <c r="AF96" s="8">
        <v>0</v>
      </c>
      <c r="AG96" s="8" t="s">
        <v>65</v>
      </c>
      <c r="AH96" s="8" t="s">
        <v>11</v>
      </c>
      <c r="AI96" s="8">
        <v>3926908</v>
      </c>
      <c r="AJ96" s="8" t="s">
        <v>60</v>
      </c>
      <c r="AK96" s="8">
        <v>1</v>
      </c>
      <c r="AL96" s="8">
        <v>0</v>
      </c>
      <c r="AM96" s="8" t="s">
        <v>1940</v>
      </c>
    </row>
    <row r="97" spans="7:39" ht="12.75" customHeight="1">
      <c r="G97" s="347"/>
      <c r="H97" s="348">
        <v>46149</v>
      </c>
      <c r="I97" s="8" t="s">
        <v>87</v>
      </c>
      <c r="J97" s="8" t="s">
        <v>91</v>
      </c>
      <c r="K97" s="8" t="s">
        <v>2818</v>
      </c>
      <c r="L97" s="8" t="s">
        <v>98</v>
      </c>
      <c r="M97" s="8" t="s">
        <v>2819</v>
      </c>
      <c r="N97" s="7">
        <v>46149</v>
      </c>
      <c r="O97" s="8" t="s">
        <v>13</v>
      </c>
      <c r="P97" s="8" t="s">
        <v>24</v>
      </c>
      <c r="Q97" s="8" t="s">
        <v>79</v>
      </c>
      <c r="R97" s="8" t="s">
        <v>79</v>
      </c>
      <c r="S97" s="8" t="s">
        <v>24</v>
      </c>
      <c r="T97" s="9">
        <v>1212.2</v>
      </c>
      <c r="U97" s="9">
        <v>181211.78</v>
      </c>
      <c r="V97" s="8" t="s">
        <v>24</v>
      </c>
      <c r="W97" s="8">
        <v>0</v>
      </c>
      <c r="X97" s="8">
        <v>9</v>
      </c>
      <c r="Y97" s="8">
        <v>16309.06</v>
      </c>
      <c r="Z97" s="8">
        <v>9</v>
      </c>
      <c r="AA97" s="8">
        <v>16309.06</v>
      </c>
      <c r="AB97" s="8">
        <v>0</v>
      </c>
      <c r="AC97" s="8">
        <v>0</v>
      </c>
      <c r="AD97" s="8">
        <v>0</v>
      </c>
      <c r="AE97" s="8">
        <v>32618.12</v>
      </c>
      <c r="AF97" s="8">
        <v>0</v>
      </c>
      <c r="AG97" s="8" t="s">
        <v>65</v>
      </c>
      <c r="AH97" s="8" t="s">
        <v>11</v>
      </c>
      <c r="AI97" s="8">
        <v>3926908</v>
      </c>
      <c r="AJ97" s="8" t="s">
        <v>60</v>
      </c>
      <c r="AK97" s="8">
        <v>1</v>
      </c>
      <c r="AL97" s="8">
        <v>0</v>
      </c>
      <c r="AM97" s="8" t="s">
        <v>1940</v>
      </c>
    </row>
    <row r="98" spans="7:39" ht="12.75" customHeight="1">
      <c r="G98" s="347"/>
      <c r="H98" s="348">
        <v>46149</v>
      </c>
      <c r="I98" s="8" t="s">
        <v>87</v>
      </c>
      <c r="J98" s="8" t="s">
        <v>91</v>
      </c>
      <c r="K98" s="8" t="s">
        <v>2818</v>
      </c>
      <c r="L98" s="8" t="s">
        <v>98</v>
      </c>
      <c r="M98" s="8" t="s">
        <v>2819</v>
      </c>
      <c r="N98" s="7">
        <v>46149</v>
      </c>
      <c r="O98" s="8" t="s">
        <v>13</v>
      </c>
      <c r="P98" s="8" t="s">
        <v>24</v>
      </c>
      <c r="Q98" s="8" t="s">
        <v>79</v>
      </c>
      <c r="R98" s="8" t="s">
        <v>79</v>
      </c>
      <c r="S98" s="8" t="s">
        <v>24</v>
      </c>
      <c r="T98" s="9">
        <v>590.79999999999995</v>
      </c>
      <c r="U98" s="9">
        <v>86546.29</v>
      </c>
      <c r="V98" s="8" t="s">
        <v>24</v>
      </c>
      <c r="W98" s="8">
        <v>0</v>
      </c>
      <c r="X98" s="8">
        <v>9</v>
      </c>
      <c r="Y98" s="8">
        <v>7789.17</v>
      </c>
      <c r="Z98" s="8">
        <v>9</v>
      </c>
      <c r="AA98" s="8">
        <v>7789.17</v>
      </c>
      <c r="AB98" s="8">
        <v>0</v>
      </c>
      <c r="AC98" s="8">
        <v>0</v>
      </c>
      <c r="AD98" s="8">
        <v>0</v>
      </c>
      <c r="AE98" s="8">
        <v>15578.34</v>
      </c>
      <c r="AF98" s="8">
        <v>0</v>
      </c>
      <c r="AG98" s="8" t="s">
        <v>65</v>
      </c>
      <c r="AH98" s="8" t="s">
        <v>11</v>
      </c>
      <c r="AI98" s="8">
        <v>3926908</v>
      </c>
      <c r="AJ98" s="8" t="s">
        <v>60</v>
      </c>
      <c r="AK98" s="8">
        <v>1</v>
      </c>
      <c r="AL98" s="8">
        <v>0</v>
      </c>
      <c r="AM98" s="8" t="s">
        <v>1940</v>
      </c>
    </row>
    <row r="99" spans="7:39" ht="12.75" customHeight="1">
      <c r="G99" s="347"/>
      <c r="H99" s="348">
        <v>46149</v>
      </c>
      <c r="I99" s="8" t="s">
        <v>87</v>
      </c>
      <c r="J99" s="8" t="s">
        <v>91</v>
      </c>
      <c r="K99" s="8" t="s">
        <v>2818</v>
      </c>
      <c r="L99" s="8" t="s">
        <v>98</v>
      </c>
      <c r="M99" s="8" t="s">
        <v>2819</v>
      </c>
      <c r="N99" s="7">
        <v>46149</v>
      </c>
      <c r="O99" s="8" t="s">
        <v>13</v>
      </c>
      <c r="P99" s="8" t="s">
        <v>62</v>
      </c>
      <c r="Q99" s="8" t="s">
        <v>63</v>
      </c>
      <c r="R99" s="8" t="s">
        <v>64</v>
      </c>
      <c r="S99" s="8" t="s">
        <v>19</v>
      </c>
      <c r="T99" s="9">
        <v>2873</v>
      </c>
      <c r="U99" s="9">
        <v>420865.77</v>
      </c>
      <c r="V99" s="8" t="s">
        <v>19</v>
      </c>
      <c r="W99" s="8">
        <v>0</v>
      </c>
      <c r="X99" s="8">
        <v>9</v>
      </c>
      <c r="Y99" s="8">
        <v>37877.919999999998</v>
      </c>
      <c r="Z99" s="8">
        <v>9</v>
      </c>
      <c r="AA99" s="8">
        <v>37877.919999999998</v>
      </c>
      <c r="AB99" s="8">
        <v>0</v>
      </c>
      <c r="AC99" s="8">
        <v>0</v>
      </c>
      <c r="AD99" s="8">
        <v>0</v>
      </c>
      <c r="AE99" s="8">
        <v>75755.839999999997</v>
      </c>
      <c r="AF99" s="8">
        <v>0</v>
      </c>
      <c r="AG99" s="8" t="s">
        <v>65</v>
      </c>
      <c r="AH99" s="8" t="s">
        <v>11</v>
      </c>
      <c r="AI99" s="8">
        <v>39269080</v>
      </c>
      <c r="AJ99" s="8" t="s">
        <v>60</v>
      </c>
      <c r="AK99" s="8">
        <v>1</v>
      </c>
      <c r="AL99" s="8">
        <v>0</v>
      </c>
      <c r="AM99" s="8" t="s">
        <v>1940</v>
      </c>
    </row>
    <row r="100" spans="7:39" ht="12.75" customHeight="1">
      <c r="G100" s="347"/>
      <c r="H100" s="348">
        <v>46149</v>
      </c>
      <c r="I100" s="8" t="s">
        <v>87</v>
      </c>
      <c r="J100" s="8" t="s">
        <v>91</v>
      </c>
      <c r="K100" s="8" t="s">
        <v>2818</v>
      </c>
      <c r="L100" s="8" t="s">
        <v>98</v>
      </c>
      <c r="M100" s="8" t="s">
        <v>2819</v>
      </c>
      <c r="N100" s="7">
        <v>46149</v>
      </c>
      <c r="O100" s="8" t="s">
        <v>13</v>
      </c>
      <c r="P100" s="8" t="s">
        <v>62</v>
      </c>
      <c r="Q100" s="8" t="s">
        <v>63</v>
      </c>
      <c r="R100" s="8" t="s">
        <v>64</v>
      </c>
      <c r="S100" s="8" t="s">
        <v>19</v>
      </c>
      <c r="T100" s="9">
        <v>1100</v>
      </c>
      <c r="U100" s="9">
        <v>162239</v>
      </c>
      <c r="V100" s="8" t="s">
        <v>19</v>
      </c>
      <c r="W100" s="8">
        <v>0</v>
      </c>
      <c r="X100" s="8">
        <v>9</v>
      </c>
      <c r="Y100" s="8">
        <v>14601.51</v>
      </c>
      <c r="Z100" s="8">
        <v>9</v>
      </c>
      <c r="AA100" s="8">
        <v>14601.51</v>
      </c>
      <c r="AB100" s="8">
        <v>0</v>
      </c>
      <c r="AC100" s="8">
        <v>0</v>
      </c>
      <c r="AD100" s="8">
        <v>0</v>
      </c>
      <c r="AE100" s="8">
        <v>29203.02</v>
      </c>
      <c r="AF100" s="8">
        <v>0</v>
      </c>
      <c r="AG100" s="8" t="s">
        <v>65</v>
      </c>
      <c r="AH100" s="8" t="s">
        <v>11</v>
      </c>
      <c r="AI100" s="8">
        <v>39269080</v>
      </c>
      <c r="AJ100" s="8" t="s">
        <v>60</v>
      </c>
      <c r="AK100" s="8">
        <v>1</v>
      </c>
      <c r="AL100" s="8">
        <v>0</v>
      </c>
      <c r="AM100" s="8" t="s">
        <v>1940</v>
      </c>
    </row>
    <row r="101" spans="7:39" ht="12.75" customHeight="1">
      <c r="G101" s="347"/>
      <c r="H101" s="348">
        <v>46149</v>
      </c>
      <c r="I101" s="8" t="s">
        <v>87</v>
      </c>
      <c r="J101" s="8" t="s">
        <v>91</v>
      </c>
      <c r="K101" s="8" t="s">
        <v>2818</v>
      </c>
      <c r="L101" s="8" t="s">
        <v>98</v>
      </c>
      <c r="M101" s="8" t="s">
        <v>2819</v>
      </c>
      <c r="N101" s="7">
        <v>46149</v>
      </c>
      <c r="O101" s="8" t="s">
        <v>13</v>
      </c>
      <c r="P101" s="8" t="s">
        <v>62</v>
      </c>
      <c r="Q101" s="8" t="s">
        <v>63</v>
      </c>
      <c r="R101" s="8" t="s">
        <v>64</v>
      </c>
      <c r="S101" s="8" t="s">
        <v>19</v>
      </c>
      <c r="T101" s="9">
        <v>3785</v>
      </c>
      <c r="U101" s="9">
        <v>546894.65</v>
      </c>
      <c r="V101" s="8" t="s">
        <v>19</v>
      </c>
      <c r="W101" s="8">
        <v>0</v>
      </c>
      <c r="X101" s="8">
        <v>9</v>
      </c>
      <c r="Y101" s="8">
        <v>49220.52</v>
      </c>
      <c r="Z101" s="8">
        <v>9</v>
      </c>
      <c r="AA101" s="8">
        <v>49220.52</v>
      </c>
      <c r="AB101" s="8">
        <v>0</v>
      </c>
      <c r="AC101" s="8">
        <v>0</v>
      </c>
      <c r="AD101" s="8">
        <v>0</v>
      </c>
      <c r="AE101" s="8">
        <v>98441.04</v>
      </c>
      <c r="AF101" s="8">
        <v>0</v>
      </c>
      <c r="AG101" s="8" t="s">
        <v>65</v>
      </c>
      <c r="AH101" s="8" t="s">
        <v>11</v>
      </c>
      <c r="AI101" s="8">
        <v>39269080</v>
      </c>
      <c r="AJ101" s="8" t="s">
        <v>60</v>
      </c>
      <c r="AK101" s="8">
        <v>1</v>
      </c>
      <c r="AL101" s="8">
        <v>0</v>
      </c>
      <c r="AM101" s="8" t="s">
        <v>1940</v>
      </c>
    </row>
    <row r="102" spans="7:39" ht="12.75" customHeight="1">
      <c r="G102" s="347"/>
      <c r="H102" s="348">
        <v>46149</v>
      </c>
      <c r="I102" s="8" t="s">
        <v>87</v>
      </c>
      <c r="J102" s="8" t="s">
        <v>91</v>
      </c>
      <c r="K102" s="8" t="s">
        <v>2818</v>
      </c>
      <c r="L102" s="8" t="s">
        <v>98</v>
      </c>
      <c r="M102" s="8" t="s">
        <v>2819</v>
      </c>
      <c r="N102" s="7">
        <v>46149</v>
      </c>
      <c r="O102" s="8" t="s">
        <v>13</v>
      </c>
      <c r="P102" s="8" t="s">
        <v>62</v>
      </c>
      <c r="Q102" s="8" t="s">
        <v>76</v>
      </c>
      <c r="R102" s="8" t="s">
        <v>77</v>
      </c>
      <c r="S102" s="8" t="s">
        <v>21</v>
      </c>
      <c r="T102" s="9">
        <v>1791</v>
      </c>
      <c r="U102" s="9">
        <v>271318.59000000003</v>
      </c>
      <c r="V102" s="8" t="s">
        <v>21</v>
      </c>
      <c r="W102" s="8">
        <v>0</v>
      </c>
      <c r="X102" s="8">
        <v>9</v>
      </c>
      <c r="Y102" s="8">
        <v>24418.67</v>
      </c>
      <c r="Z102" s="8">
        <v>9</v>
      </c>
      <c r="AA102" s="8">
        <v>24418.67</v>
      </c>
      <c r="AB102" s="8">
        <v>0</v>
      </c>
      <c r="AC102" s="8">
        <v>0</v>
      </c>
      <c r="AD102" s="8">
        <v>0</v>
      </c>
      <c r="AE102" s="8">
        <v>48837.34</v>
      </c>
      <c r="AF102" s="8">
        <v>0</v>
      </c>
      <c r="AG102" s="8" t="s">
        <v>65</v>
      </c>
      <c r="AH102" s="8" t="s">
        <v>11</v>
      </c>
      <c r="AI102" s="8">
        <v>63053300</v>
      </c>
      <c r="AJ102" s="8" t="s">
        <v>60</v>
      </c>
      <c r="AK102" s="8">
        <v>1</v>
      </c>
      <c r="AL102" s="8">
        <v>0</v>
      </c>
      <c r="AM102" s="8" t="s">
        <v>1940</v>
      </c>
    </row>
    <row r="103" spans="7:39" ht="12.75" customHeight="1">
      <c r="G103" s="347"/>
      <c r="H103" s="348">
        <v>46149</v>
      </c>
      <c r="I103" s="8" t="s">
        <v>87</v>
      </c>
      <c r="J103" s="8" t="s">
        <v>91</v>
      </c>
      <c r="K103" s="8" t="s">
        <v>2818</v>
      </c>
      <c r="L103" s="8" t="s">
        <v>98</v>
      </c>
      <c r="M103" s="8" t="s">
        <v>2819</v>
      </c>
      <c r="N103" s="7">
        <v>46149</v>
      </c>
      <c r="O103" s="8" t="s">
        <v>13</v>
      </c>
      <c r="P103" s="8" t="s">
        <v>62</v>
      </c>
      <c r="Q103" s="8" t="s">
        <v>76</v>
      </c>
      <c r="R103" s="8" t="s">
        <v>77</v>
      </c>
      <c r="S103" s="8" t="s">
        <v>21</v>
      </c>
      <c r="T103" s="9">
        <v>832</v>
      </c>
      <c r="U103" s="9">
        <v>121879.67999999999</v>
      </c>
      <c r="V103" s="8" t="s">
        <v>21</v>
      </c>
      <c r="W103" s="8">
        <v>0</v>
      </c>
      <c r="X103" s="8">
        <v>9</v>
      </c>
      <c r="Y103" s="8">
        <v>10969.17</v>
      </c>
      <c r="Z103" s="8">
        <v>9</v>
      </c>
      <c r="AA103" s="8">
        <v>10969.17</v>
      </c>
      <c r="AB103" s="8">
        <v>0</v>
      </c>
      <c r="AC103" s="8">
        <v>0</v>
      </c>
      <c r="AD103" s="8">
        <v>0</v>
      </c>
      <c r="AE103" s="8">
        <v>21938.34</v>
      </c>
      <c r="AF103" s="8">
        <v>0</v>
      </c>
      <c r="AG103" s="8" t="s">
        <v>65</v>
      </c>
      <c r="AH103" s="8" t="s">
        <v>11</v>
      </c>
      <c r="AI103" s="8">
        <v>63053300</v>
      </c>
      <c r="AJ103" s="8" t="s">
        <v>60</v>
      </c>
      <c r="AK103" s="8">
        <v>1</v>
      </c>
      <c r="AL103" s="8">
        <v>0</v>
      </c>
      <c r="AM103" s="8" t="s">
        <v>1940</v>
      </c>
    </row>
    <row r="104" spans="7:39" ht="12.75" customHeight="1">
      <c r="G104" s="347"/>
      <c r="H104" s="348">
        <v>46180</v>
      </c>
      <c r="I104" s="8" t="s">
        <v>2508</v>
      </c>
      <c r="J104" s="8" t="s">
        <v>96</v>
      </c>
      <c r="K104" s="8" t="s">
        <v>2820</v>
      </c>
      <c r="L104" s="8" t="s">
        <v>97</v>
      </c>
      <c r="M104" s="8" t="s">
        <v>2821</v>
      </c>
      <c r="N104" s="7">
        <v>46029</v>
      </c>
      <c r="O104" s="8" t="s">
        <v>2</v>
      </c>
      <c r="P104" s="8" t="s">
        <v>112</v>
      </c>
      <c r="Q104" s="8" t="s">
        <v>68</v>
      </c>
      <c r="R104" s="8" t="s">
        <v>69</v>
      </c>
      <c r="S104" s="8" t="s">
        <v>2822</v>
      </c>
      <c r="T104" s="9">
        <v>30</v>
      </c>
      <c r="U104" s="9">
        <v>170.35</v>
      </c>
      <c r="V104" s="8" t="s">
        <v>2822</v>
      </c>
      <c r="W104" s="8">
        <v>3093</v>
      </c>
      <c r="X104" s="8">
        <v>9</v>
      </c>
      <c r="Y104" s="8">
        <v>15.3317</v>
      </c>
      <c r="Z104" s="8">
        <v>9</v>
      </c>
      <c r="AA104" s="8">
        <v>15.3317</v>
      </c>
      <c r="AB104" s="8">
        <v>0</v>
      </c>
      <c r="AC104" s="8">
        <v>0</v>
      </c>
      <c r="AD104" s="8">
        <v>14.4</v>
      </c>
      <c r="AE104" s="8">
        <v>45.063360000000003</v>
      </c>
      <c r="AF104" s="8">
        <v>0</v>
      </c>
      <c r="AG104" s="8" t="s">
        <v>2583</v>
      </c>
      <c r="AH104" s="8" t="s">
        <v>7</v>
      </c>
      <c r="AI104" s="8">
        <v>84821011</v>
      </c>
      <c r="AJ104" s="8" t="s">
        <v>60</v>
      </c>
      <c r="AK104" s="8">
        <v>1</v>
      </c>
      <c r="AL104" s="8">
        <v>0</v>
      </c>
      <c r="AM104" s="8" t="s">
        <v>1940</v>
      </c>
    </row>
    <row r="105" spans="7:39" ht="12.75" customHeight="1">
      <c r="G105" s="347"/>
      <c r="H105" s="348">
        <v>46180</v>
      </c>
      <c r="I105" s="8" t="s">
        <v>2508</v>
      </c>
      <c r="J105" s="8" t="s">
        <v>96</v>
      </c>
      <c r="K105" s="8" t="s">
        <v>2820</v>
      </c>
      <c r="L105" s="8" t="s">
        <v>97</v>
      </c>
      <c r="M105" s="8" t="s">
        <v>2821</v>
      </c>
      <c r="N105" s="7">
        <v>46029</v>
      </c>
      <c r="O105" s="8" t="s">
        <v>2</v>
      </c>
      <c r="P105" s="8" t="s">
        <v>112</v>
      </c>
      <c r="Q105" s="8" t="s">
        <v>68</v>
      </c>
      <c r="R105" s="8" t="s">
        <v>69</v>
      </c>
      <c r="S105" s="8" t="s">
        <v>2823</v>
      </c>
      <c r="T105" s="9">
        <v>30</v>
      </c>
      <c r="U105" s="9">
        <v>250.24</v>
      </c>
      <c r="V105" s="8" t="s">
        <v>2823</v>
      </c>
      <c r="W105" s="8">
        <v>0</v>
      </c>
      <c r="X105" s="8">
        <v>9</v>
      </c>
      <c r="Y105" s="8">
        <v>22.5212</v>
      </c>
      <c r="Z105" s="8">
        <v>9</v>
      </c>
      <c r="AA105" s="8">
        <v>22.5212</v>
      </c>
      <c r="AB105" s="8">
        <v>0</v>
      </c>
      <c r="AC105" s="8">
        <v>0</v>
      </c>
      <c r="AD105" s="8">
        <v>14.4</v>
      </c>
      <c r="AE105" s="8">
        <v>59.442480000000003</v>
      </c>
      <c r="AF105" s="8">
        <v>0</v>
      </c>
      <c r="AG105" s="8" t="s">
        <v>2583</v>
      </c>
      <c r="AH105" s="8" t="s">
        <v>1</v>
      </c>
      <c r="AI105" s="8">
        <v>96061010</v>
      </c>
      <c r="AJ105" s="8" t="s">
        <v>60</v>
      </c>
      <c r="AK105" s="8">
        <v>1</v>
      </c>
      <c r="AL105" s="8">
        <v>0</v>
      </c>
      <c r="AM105" s="8" t="s">
        <v>1940</v>
      </c>
    </row>
    <row r="106" spans="7:39" ht="12.75" customHeight="1">
      <c r="G106" s="347"/>
      <c r="H106" s="348">
        <v>46180</v>
      </c>
      <c r="I106" s="8" t="s">
        <v>2508</v>
      </c>
      <c r="J106" s="8" t="s">
        <v>96</v>
      </c>
      <c r="K106" s="8" t="s">
        <v>2820</v>
      </c>
      <c r="L106" s="8" t="s">
        <v>97</v>
      </c>
      <c r="M106" s="8" t="s">
        <v>2821</v>
      </c>
      <c r="N106" s="7">
        <v>46029</v>
      </c>
      <c r="O106" s="8" t="s">
        <v>2</v>
      </c>
      <c r="P106" s="8" t="s">
        <v>112</v>
      </c>
      <c r="Q106" s="8" t="s">
        <v>68</v>
      </c>
      <c r="R106" s="8" t="s">
        <v>69</v>
      </c>
      <c r="S106" s="8" t="s">
        <v>2824</v>
      </c>
      <c r="T106" s="9">
        <v>50</v>
      </c>
      <c r="U106" s="9">
        <v>248.01</v>
      </c>
      <c r="V106" s="8" t="s">
        <v>2824</v>
      </c>
      <c r="W106" s="8">
        <v>0</v>
      </c>
      <c r="X106" s="8">
        <v>9</v>
      </c>
      <c r="Y106" s="8">
        <v>22.320900000000002</v>
      </c>
      <c r="Z106" s="8">
        <v>9</v>
      </c>
      <c r="AA106" s="8">
        <v>22.320900000000002</v>
      </c>
      <c r="AB106" s="8">
        <v>0</v>
      </c>
      <c r="AC106" s="8">
        <v>0</v>
      </c>
      <c r="AD106" s="8">
        <v>14.4</v>
      </c>
      <c r="AE106" s="8">
        <v>59.041800000000002</v>
      </c>
      <c r="AF106" s="8">
        <v>0</v>
      </c>
      <c r="AG106" s="8" t="s">
        <v>2583</v>
      </c>
      <c r="AH106" s="8" t="s">
        <v>1</v>
      </c>
      <c r="AI106" s="8">
        <v>73181500</v>
      </c>
      <c r="AJ106" s="8" t="s">
        <v>60</v>
      </c>
      <c r="AK106" s="8">
        <v>1</v>
      </c>
      <c r="AL106" s="8">
        <v>0</v>
      </c>
      <c r="AM106" s="8" t="s">
        <v>1940</v>
      </c>
    </row>
    <row r="107" spans="7:39" ht="12.75" customHeight="1">
      <c r="G107" s="347"/>
      <c r="H107" s="348">
        <v>46180</v>
      </c>
      <c r="I107" s="8" t="s">
        <v>2508</v>
      </c>
      <c r="J107" s="8" t="s">
        <v>96</v>
      </c>
      <c r="K107" s="8" t="s">
        <v>2820</v>
      </c>
      <c r="L107" s="8" t="s">
        <v>97</v>
      </c>
      <c r="M107" s="8" t="s">
        <v>2821</v>
      </c>
      <c r="N107" s="7">
        <v>46029</v>
      </c>
      <c r="O107" s="8" t="s">
        <v>2</v>
      </c>
      <c r="P107" s="8" t="s">
        <v>112</v>
      </c>
      <c r="Q107" s="8" t="s">
        <v>68</v>
      </c>
      <c r="R107" s="8" t="s">
        <v>69</v>
      </c>
      <c r="S107" s="8" t="s">
        <v>2825</v>
      </c>
      <c r="T107" s="9">
        <v>50</v>
      </c>
      <c r="U107" s="9">
        <v>133.77000000000001</v>
      </c>
      <c r="V107" s="8" t="s">
        <v>2825</v>
      </c>
      <c r="W107" s="8">
        <v>0</v>
      </c>
      <c r="X107" s="8">
        <v>9</v>
      </c>
      <c r="Y107" s="8">
        <v>12.039300000000001</v>
      </c>
      <c r="Z107" s="8">
        <v>9</v>
      </c>
      <c r="AA107" s="8">
        <v>12.039300000000001</v>
      </c>
      <c r="AB107" s="8">
        <v>0</v>
      </c>
      <c r="AC107" s="8">
        <v>0</v>
      </c>
      <c r="AD107" s="8">
        <v>14.4</v>
      </c>
      <c r="AE107" s="8">
        <v>38.4786</v>
      </c>
      <c r="AF107" s="8">
        <v>0</v>
      </c>
      <c r="AG107" s="8" t="s">
        <v>2583</v>
      </c>
      <c r="AH107" s="8" t="s">
        <v>7</v>
      </c>
      <c r="AI107" s="8">
        <v>73181500</v>
      </c>
      <c r="AJ107" s="8" t="s">
        <v>60</v>
      </c>
      <c r="AK107" s="8">
        <v>1</v>
      </c>
      <c r="AL107" s="8">
        <v>0</v>
      </c>
      <c r="AM107" s="8" t="s">
        <v>1940</v>
      </c>
    </row>
    <row r="108" spans="7:39" ht="12.75" customHeight="1">
      <c r="G108" s="347"/>
      <c r="H108" s="348">
        <v>46180</v>
      </c>
      <c r="I108" s="8" t="s">
        <v>2508</v>
      </c>
      <c r="J108" s="8" t="s">
        <v>96</v>
      </c>
      <c r="K108" s="8" t="s">
        <v>2820</v>
      </c>
      <c r="L108" s="8" t="s">
        <v>97</v>
      </c>
      <c r="M108" s="8" t="s">
        <v>2821</v>
      </c>
      <c r="N108" s="7">
        <v>46029</v>
      </c>
      <c r="O108" s="8" t="s">
        <v>2</v>
      </c>
      <c r="P108" s="8" t="s">
        <v>112</v>
      </c>
      <c r="Q108" s="8" t="s">
        <v>68</v>
      </c>
      <c r="R108" s="8" t="s">
        <v>69</v>
      </c>
      <c r="S108" s="8" t="s">
        <v>2826</v>
      </c>
      <c r="T108" s="9">
        <v>50</v>
      </c>
      <c r="U108" s="9">
        <v>293.37</v>
      </c>
      <c r="V108" s="8" t="s">
        <v>2826</v>
      </c>
      <c r="W108" s="8">
        <v>0</v>
      </c>
      <c r="X108" s="8">
        <v>9</v>
      </c>
      <c r="Y108" s="8">
        <v>26.403300000000002</v>
      </c>
      <c r="Z108" s="8">
        <v>9</v>
      </c>
      <c r="AA108" s="8">
        <v>26.403300000000002</v>
      </c>
      <c r="AB108" s="8">
        <v>0</v>
      </c>
      <c r="AC108" s="8">
        <v>0</v>
      </c>
      <c r="AD108" s="8">
        <v>14.4</v>
      </c>
      <c r="AE108" s="8">
        <v>67.206599999999995</v>
      </c>
      <c r="AF108" s="8">
        <v>0</v>
      </c>
      <c r="AG108" s="8" t="s">
        <v>2583</v>
      </c>
      <c r="AH108" s="8" t="s">
        <v>7</v>
      </c>
      <c r="AI108" s="8">
        <v>73181500</v>
      </c>
      <c r="AJ108" s="8" t="s">
        <v>60</v>
      </c>
      <c r="AK108" s="8">
        <v>1</v>
      </c>
      <c r="AL108" s="8">
        <v>0</v>
      </c>
      <c r="AM108" s="8" t="s">
        <v>1940</v>
      </c>
    </row>
    <row r="109" spans="7:39" ht="12.75" customHeight="1">
      <c r="G109" s="347"/>
      <c r="H109" s="348">
        <v>46180</v>
      </c>
      <c r="I109" s="8" t="s">
        <v>2508</v>
      </c>
      <c r="J109" s="8" t="s">
        <v>96</v>
      </c>
      <c r="K109" s="8" t="s">
        <v>2820</v>
      </c>
      <c r="L109" s="8" t="s">
        <v>97</v>
      </c>
      <c r="M109" s="8" t="s">
        <v>2821</v>
      </c>
      <c r="N109" s="7">
        <v>46029</v>
      </c>
      <c r="O109" s="8" t="s">
        <v>2</v>
      </c>
      <c r="P109" s="8" t="s">
        <v>112</v>
      </c>
      <c r="Q109" s="8" t="s">
        <v>68</v>
      </c>
      <c r="R109" s="8" t="s">
        <v>69</v>
      </c>
      <c r="S109" s="8" t="s">
        <v>2827</v>
      </c>
      <c r="T109" s="9">
        <v>10</v>
      </c>
      <c r="U109" s="9">
        <v>250</v>
      </c>
      <c r="V109" s="8" t="s">
        <v>2827</v>
      </c>
      <c r="W109" s="8">
        <v>0</v>
      </c>
      <c r="X109" s="8">
        <v>9</v>
      </c>
      <c r="Y109" s="8">
        <v>22.5</v>
      </c>
      <c r="Z109" s="8">
        <v>9</v>
      </c>
      <c r="AA109" s="8">
        <v>22.5</v>
      </c>
      <c r="AB109" s="8">
        <v>0</v>
      </c>
      <c r="AC109" s="8">
        <v>0</v>
      </c>
      <c r="AD109" s="8">
        <v>14.4</v>
      </c>
      <c r="AE109" s="8">
        <v>59.4</v>
      </c>
      <c r="AF109" s="8">
        <v>0</v>
      </c>
      <c r="AG109" s="8" t="s">
        <v>2583</v>
      </c>
      <c r="AH109" s="8" t="s">
        <v>1</v>
      </c>
      <c r="AI109" s="8">
        <v>7318150</v>
      </c>
      <c r="AJ109" s="8" t="s">
        <v>60</v>
      </c>
      <c r="AK109" s="8">
        <v>1</v>
      </c>
      <c r="AL109" s="8">
        <v>0</v>
      </c>
      <c r="AM109" s="8" t="s">
        <v>1940</v>
      </c>
    </row>
    <row r="110" spans="7:39" ht="12.75" customHeight="1">
      <c r="G110" s="347"/>
      <c r="H110" s="348">
        <v>46180</v>
      </c>
      <c r="I110" s="8" t="s">
        <v>2508</v>
      </c>
      <c r="J110" s="8" t="s">
        <v>96</v>
      </c>
      <c r="K110" s="8" t="s">
        <v>2820</v>
      </c>
      <c r="L110" s="8" t="s">
        <v>97</v>
      </c>
      <c r="M110" s="8" t="s">
        <v>2821</v>
      </c>
      <c r="N110" s="7">
        <v>46029</v>
      </c>
      <c r="O110" s="8" t="s">
        <v>2</v>
      </c>
      <c r="P110" s="8" t="s">
        <v>112</v>
      </c>
      <c r="Q110" s="8" t="s">
        <v>68</v>
      </c>
      <c r="R110" s="8" t="s">
        <v>69</v>
      </c>
      <c r="S110" s="8" t="s">
        <v>2828</v>
      </c>
      <c r="T110" s="9">
        <v>30</v>
      </c>
      <c r="U110" s="9">
        <v>109.12</v>
      </c>
      <c r="V110" s="8" t="s">
        <v>2828</v>
      </c>
      <c r="W110" s="8">
        <v>0</v>
      </c>
      <c r="X110" s="8">
        <v>9</v>
      </c>
      <c r="Y110" s="8">
        <v>9.8203999999999994</v>
      </c>
      <c r="Z110" s="8">
        <v>9</v>
      </c>
      <c r="AA110" s="8">
        <v>9.8203999999999994</v>
      </c>
      <c r="AB110" s="8">
        <v>0</v>
      </c>
      <c r="AC110" s="8">
        <v>0</v>
      </c>
      <c r="AD110" s="8">
        <v>14.4</v>
      </c>
      <c r="AE110" s="8">
        <v>34.040880000000001</v>
      </c>
      <c r="AF110" s="8">
        <v>0</v>
      </c>
      <c r="AG110" s="8" t="s">
        <v>2583</v>
      </c>
      <c r="AH110" s="8" t="s">
        <v>1</v>
      </c>
      <c r="AI110" s="8">
        <v>73181500</v>
      </c>
      <c r="AJ110" s="8" t="s">
        <v>60</v>
      </c>
      <c r="AK110" s="8">
        <v>1</v>
      </c>
      <c r="AL110" s="8">
        <v>0</v>
      </c>
      <c r="AM110" s="8" t="s">
        <v>1940</v>
      </c>
    </row>
    <row r="111" spans="7:39" ht="12.75" customHeight="1">
      <c r="G111" s="347"/>
      <c r="H111" s="348">
        <v>46180</v>
      </c>
      <c r="I111" s="8" t="s">
        <v>2508</v>
      </c>
      <c r="J111" s="8" t="s">
        <v>96</v>
      </c>
      <c r="K111" s="8" t="s">
        <v>2820</v>
      </c>
      <c r="L111" s="8" t="s">
        <v>97</v>
      </c>
      <c r="M111" s="8" t="s">
        <v>2821</v>
      </c>
      <c r="N111" s="7">
        <v>46029</v>
      </c>
      <c r="O111" s="8" t="s">
        <v>2</v>
      </c>
      <c r="P111" s="8" t="s">
        <v>112</v>
      </c>
      <c r="Q111" s="8" t="s">
        <v>68</v>
      </c>
      <c r="R111" s="8" t="s">
        <v>69</v>
      </c>
      <c r="S111" s="8" t="s">
        <v>2829</v>
      </c>
      <c r="T111" s="9">
        <v>50</v>
      </c>
      <c r="U111" s="9">
        <v>186.06</v>
      </c>
      <c r="V111" s="8" t="s">
        <v>2829</v>
      </c>
      <c r="W111" s="8">
        <v>0</v>
      </c>
      <c r="X111" s="8">
        <v>9</v>
      </c>
      <c r="Y111" s="8">
        <v>16.7454</v>
      </c>
      <c r="Z111" s="8">
        <v>9</v>
      </c>
      <c r="AA111" s="8">
        <v>16.7454</v>
      </c>
      <c r="AB111" s="8">
        <v>0</v>
      </c>
      <c r="AC111" s="8">
        <v>0</v>
      </c>
      <c r="AD111" s="8">
        <v>14.4</v>
      </c>
      <c r="AE111" s="8">
        <v>47.890799999999999</v>
      </c>
      <c r="AF111" s="8">
        <v>0</v>
      </c>
      <c r="AG111" s="8" t="s">
        <v>2583</v>
      </c>
      <c r="AH111" s="8" t="s">
        <v>1</v>
      </c>
      <c r="AI111" s="8">
        <v>73181500</v>
      </c>
      <c r="AJ111" s="8" t="s">
        <v>60</v>
      </c>
      <c r="AK111" s="8">
        <v>1</v>
      </c>
      <c r="AL111" s="8">
        <v>0</v>
      </c>
      <c r="AM111" s="8" t="s">
        <v>1940</v>
      </c>
    </row>
    <row r="112" spans="7:39" ht="12.75" customHeight="1">
      <c r="G112" s="347"/>
      <c r="H112" s="348">
        <v>46180</v>
      </c>
      <c r="I112" s="8" t="s">
        <v>2508</v>
      </c>
      <c r="J112" s="8" t="s">
        <v>96</v>
      </c>
      <c r="K112" s="8" t="s">
        <v>2820</v>
      </c>
      <c r="L112" s="8" t="s">
        <v>97</v>
      </c>
      <c r="M112" s="8" t="s">
        <v>2821</v>
      </c>
      <c r="N112" s="7">
        <v>46029</v>
      </c>
      <c r="O112" s="8" t="s">
        <v>2</v>
      </c>
      <c r="P112" s="8" t="s">
        <v>112</v>
      </c>
      <c r="Q112" s="8" t="s">
        <v>68</v>
      </c>
      <c r="R112" s="8" t="s">
        <v>69</v>
      </c>
      <c r="S112" s="8" t="s">
        <v>2830</v>
      </c>
      <c r="T112" s="9">
        <v>10</v>
      </c>
      <c r="U112" s="9">
        <v>200</v>
      </c>
      <c r="V112" s="8" t="s">
        <v>2830</v>
      </c>
      <c r="W112" s="8">
        <v>0</v>
      </c>
      <c r="X112" s="8">
        <v>9</v>
      </c>
      <c r="Y112" s="8">
        <v>18</v>
      </c>
      <c r="Z112" s="8">
        <v>9</v>
      </c>
      <c r="AA112" s="8">
        <v>18</v>
      </c>
      <c r="AB112" s="8">
        <v>0</v>
      </c>
      <c r="AC112" s="8">
        <v>0</v>
      </c>
      <c r="AD112" s="8">
        <v>14.4</v>
      </c>
      <c r="AE112" s="8">
        <v>50.4</v>
      </c>
      <c r="AF112" s="8">
        <v>0</v>
      </c>
      <c r="AG112" s="8" t="s">
        <v>2583</v>
      </c>
      <c r="AH112" s="8" t="s">
        <v>1</v>
      </c>
      <c r="AI112" s="8">
        <v>84529099</v>
      </c>
      <c r="AJ112" s="8" t="s">
        <v>60</v>
      </c>
      <c r="AK112" s="8">
        <v>1</v>
      </c>
      <c r="AL112" s="8">
        <v>0</v>
      </c>
      <c r="AM112" s="8" t="s">
        <v>1940</v>
      </c>
    </row>
    <row r="113" spans="7:39" ht="12.75" customHeight="1">
      <c r="G113" s="347"/>
      <c r="H113" s="348">
        <v>46180</v>
      </c>
      <c r="I113" s="8" t="s">
        <v>2508</v>
      </c>
      <c r="J113" s="8" t="s">
        <v>96</v>
      </c>
      <c r="K113" s="8" t="s">
        <v>2820</v>
      </c>
      <c r="L113" s="8" t="s">
        <v>97</v>
      </c>
      <c r="M113" s="8" t="s">
        <v>2821</v>
      </c>
      <c r="N113" s="7">
        <v>46029</v>
      </c>
      <c r="O113" s="8" t="s">
        <v>2</v>
      </c>
      <c r="P113" s="8" t="s">
        <v>112</v>
      </c>
      <c r="Q113" s="8" t="s">
        <v>68</v>
      </c>
      <c r="R113" s="8" t="s">
        <v>69</v>
      </c>
      <c r="S113" s="8" t="s">
        <v>2831</v>
      </c>
      <c r="T113" s="9">
        <v>20</v>
      </c>
      <c r="U113" s="9">
        <v>700</v>
      </c>
      <c r="V113" s="8" t="s">
        <v>2831</v>
      </c>
      <c r="W113" s="8">
        <v>0</v>
      </c>
      <c r="X113" s="8">
        <v>9</v>
      </c>
      <c r="Y113" s="8">
        <v>63</v>
      </c>
      <c r="Z113" s="8">
        <v>9</v>
      </c>
      <c r="AA113" s="8">
        <v>63</v>
      </c>
      <c r="AB113" s="8">
        <v>0</v>
      </c>
      <c r="AC113" s="8">
        <v>0</v>
      </c>
      <c r="AD113" s="8">
        <v>14.4</v>
      </c>
      <c r="AE113" s="8">
        <v>140.4</v>
      </c>
      <c r="AF113" s="8">
        <v>0</v>
      </c>
      <c r="AG113" s="8" t="s">
        <v>2583</v>
      </c>
      <c r="AH113" s="8" t="s">
        <v>1</v>
      </c>
      <c r="AI113" s="8">
        <v>73181500</v>
      </c>
      <c r="AJ113" s="8" t="s">
        <v>60</v>
      </c>
      <c r="AK113" s="8">
        <v>1</v>
      </c>
      <c r="AL113" s="8">
        <v>0</v>
      </c>
      <c r="AM113" s="8" t="s">
        <v>1940</v>
      </c>
    </row>
    <row r="114" spans="7:39" ht="12.75" customHeight="1">
      <c r="G114" s="347"/>
      <c r="H114" s="348">
        <v>46180</v>
      </c>
      <c r="I114" s="8" t="s">
        <v>2572</v>
      </c>
      <c r="J114" s="8" t="s">
        <v>113</v>
      </c>
      <c r="K114" s="8" t="s">
        <v>2832</v>
      </c>
      <c r="L114" s="8" t="s">
        <v>114</v>
      </c>
      <c r="M114" s="8" t="s">
        <v>2833</v>
      </c>
      <c r="N114" s="7">
        <v>46180</v>
      </c>
      <c r="O114" s="8" t="s">
        <v>4</v>
      </c>
      <c r="P114" s="8" t="s">
        <v>115</v>
      </c>
      <c r="Q114" s="8" t="s">
        <v>115</v>
      </c>
      <c r="R114" s="8" t="s">
        <v>4</v>
      </c>
      <c r="S114" s="8" t="s">
        <v>663</v>
      </c>
      <c r="T114" s="9">
        <v>100</v>
      </c>
      <c r="U114" s="9">
        <v>77500</v>
      </c>
      <c r="V114" s="8" t="s">
        <v>663</v>
      </c>
      <c r="W114" s="8">
        <v>81375</v>
      </c>
      <c r="X114" s="8">
        <v>2.5</v>
      </c>
      <c r="Y114" s="8">
        <v>1937.5</v>
      </c>
      <c r="Z114" s="8">
        <v>2.5</v>
      </c>
      <c r="AA114" s="8">
        <v>1937.5</v>
      </c>
      <c r="AB114" s="8">
        <v>0</v>
      </c>
      <c r="AC114" s="8">
        <v>0</v>
      </c>
      <c r="AD114" s="8">
        <v>0</v>
      </c>
      <c r="AE114" s="8">
        <v>3875</v>
      </c>
      <c r="AF114" s="8">
        <v>0</v>
      </c>
      <c r="AG114" s="8" t="s">
        <v>2573</v>
      </c>
      <c r="AH114" s="8" t="s">
        <v>1</v>
      </c>
      <c r="AI114" s="8">
        <v>44152000</v>
      </c>
      <c r="AJ114" s="8" t="s">
        <v>60</v>
      </c>
      <c r="AK114" s="8">
        <v>1</v>
      </c>
      <c r="AL114" s="8">
        <v>0</v>
      </c>
      <c r="AM114" s="8" t="s">
        <v>1940</v>
      </c>
    </row>
    <row r="115" spans="7:39" ht="12.75" customHeight="1">
      <c r="G115" s="347"/>
      <c r="H115" s="348">
        <v>46180</v>
      </c>
      <c r="I115" s="8" t="s">
        <v>2475</v>
      </c>
      <c r="J115" s="8" t="s">
        <v>96</v>
      </c>
      <c r="K115" s="8" t="s">
        <v>2834</v>
      </c>
      <c r="L115" s="8" t="s">
        <v>97</v>
      </c>
      <c r="M115" s="8">
        <v>869</v>
      </c>
      <c r="N115" s="7">
        <v>46119</v>
      </c>
      <c r="O115" s="8" t="s">
        <v>5</v>
      </c>
      <c r="P115" s="8" t="s">
        <v>111</v>
      </c>
      <c r="Q115" s="8" t="s">
        <v>68</v>
      </c>
      <c r="R115" s="8" t="s">
        <v>69</v>
      </c>
      <c r="S115" s="8" t="s">
        <v>2476</v>
      </c>
      <c r="T115" s="9">
        <v>600</v>
      </c>
      <c r="U115" s="9">
        <v>9600</v>
      </c>
      <c r="V115" s="8" t="s">
        <v>2476</v>
      </c>
      <c r="W115" s="8">
        <v>10080</v>
      </c>
      <c r="X115" s="8">
        <v>2.5</v>
      </c>
      <c r="Y115" s="8">
        <v>240</v>
      </c>
      <c r="Z115" s="8">
        <v>2.5</v>
      </c>
      <c r="AA115" s="8">
        <v>240</v>
      </c>
      <c r="AB115" s="8">
        <v>0</v>
      </c>
      <c r="AC115" s="8">
        <v>0</v>
      </c>
      <c r="AD115" s="8">
        <v>0</v>
      </c>
      <c r="AE115" s="8">
        <v>480</v>
      </c>
      <c r="AF115" s="8">
        <v>0</v>
      </c>
      <c r="AG115" s="8" t="s">
        <v>2477</v>
      </c>
      <c r="AH115" s="8" t="s">
        <v>11</v>
      </c>
      <c r="AI115" s="8">
        <v>631090</v>
      </c>
      <c r="AJ115" s="8" t="s">
        <v>60</v>
      </c>
      <c r="AK115" s="8">
        <v>1</v>
      </c>
      <c r="AL115" s="8">
        <v>0</v>
      </c>
      <c r="AM115" s="8" t="s">
        <v>1940</v>
      </c>
    </row>
    <row r="116" spans="7:39" ht="12.75" customHeight="1">
      <c r="G116" s="347"/>
      <c r="H116" s="348">
        <v>46180</v>
      </c>
      <c r="I116" s="8" t="s">
        <v>2402</v>
      </c>
      <c r="J116" s="8" t="s">
        <v>96</v>
      </c>
      <c r="K116" s="8" t="s">
        <v>2835</v>
      </c>
      <c r="L116" s="8" t="s">
        <v>97</v>
      </c>
      <c r="M116" s="8" t="s">
        <v>2836</v>
      </c>
      <c r="N116" s="7" t="s">
        <v>2567</v>
      </c>
      <c r="O116" s="8" t="s">
        <v>2</v>
      </c>
      <c r="P116" s="8" t="s">
        <v>2837</v>
      </c>
      <c r="Q116" s="8" t="s">
        <v>68</v>
      </c>
      <c r="R116" s="8" t="s">
        <v>69</v>
      </c>
      <c r="S116" s="8" t="s">
        <v>2838</v>
      </c>
      <c r="T116" s="9">
        <v>3</v>
      </c>
      <c r="U116" s="9">
        <v>2460</v>
      </c>
      <c r="V116" s="8" t="s">
        <v>2838</v>
      </c>
      <c r="W116" s="8">
        <v>5587</v>
      </c>
      <c r="X116" s="8">
        <v>9</v>
      </c>
      <c r="Y116" s="8">
        <v>221.4</v>
      </c>
      <c r="Z116" s="8">
        <v>9</v>
      </c>
      <c r="AA116" s="8">
        <v>221.4</v>
      </c>
      <c r="AB116" s="8">
        <v>0</v>
      </c>
      <c r="AC116" s="8">
        <v>0</v>
      </c>
      <c r="AD116" s="8">
        <v>0</v>
      </c>
      <c r="AE116" s="8">
        <v>442.8</v>
      </c>
      <c r="AF116" s="8">
        <v>0</v>
      </c>
      <c r="AG116" s="8" t="s">
        <v>2839</v>
      </c>
      <c r="AH116" s="8" t="s">
        <v>1</v>
      </c>
      <c r="AI116" s="8">
        <v>848382</v>
      </c>
      <c r="AJ116" s="8" t="s">
        <v>60</v>
      </c>
      <c r="AK116" s="8">
        <v>1</v>
      </c>
      <c r="AL116" s="8">
        <v>0</v>
      </c>
      <c r="AM116" s="8" t="s">
        <v>1940</v>
      </c>
    </row>
    <row r="117" spans="7:39" ht="12.75" customHeight="1">
      <c r="G117" s="347"/>
      <c r="H117" s="348">
        <v>46180</v>
      </c>
      <c r="I117" s="8" t="s">
        <v>2402</v>
      </c>
      <c r="J117" s="8" t="s">
        <v>96</v>
      </c>
      <c r="K117" s="8" t="s">
        <v>2835</v>
      </c>
      <c r="L117" s="8" t="s">
        <v>97</v>
      </c>
      <c r="M117" s="8" t="s">
        <v>2836</v>
      </c>
      <c r="N117" s="7" t="s">
        <v>2567</v>
      </c>
      <c r="O117" s="8" t="s">
        <v>2</v>
      </c>
      <c r="P117" s="8" t="s">
        <v>2837</v>
      </c>
      <c r="Q117" s="8" t="s">
        <v>68</v>
      </c>
      <c r="R117" s="8" t="s">
        <v>69</v>
      </c>
      <c r="S117" s="8" t="s">
        <v>2838</v>
      </c>
      <c r="T117" s="9">
        <v>3</v>
      </c>
      <c r="U117" s="9">
        <v>2190</v>
      </c>
      <c r="V117" s="8" t="s">
        <v>2838</v>
      </c>
      <c r="W117" s="8">
        <v>0</v>
      </c>
      <c r="X117" s="8">
        <v>9</v>
      </c>
      <c r="Y117" s="8">
        <v>197.1</v>
      </c>
      <c r="Z117" s="8">
        <v>9</v>
      </c>
      <c r="AA117" s="8">
        <v>197.1</v>
      </c>
      <c r="AB117" s="8">
        <v>0</v>
      </c>
      <c r="AC117" s="8">
        <v>0</v>
      </c>
      <c r="AD117" s="8">
        <v>0</v>
      </c>
      <c r="AE117" s="8">
        <v>394.2</v>
      </c>
      <c r="AF117" s="8">
        <v>0</v>
      </c>
      <c r="AG117" s="8" t="s">
        <v>2839</v>
      </c>
      <c r="AH117" s="8" t="s">
        <v>1</v>
      </c>
      <c r="AI117" s="8">
        <v>848382</v>
      </c>
      <c r="AJ117" s="8" t="s">
        <v>60</v>
      </c>
      <c r="AK117" s="8">
        <v>1</v>
      </c>
      <c r="AL117" s="8">
        <v>0</v>
      </c>
      <c r="AM117" s="8" t="s">
        <v>1940</v>
      </c>
    </row>
    <row r="118" spans="7:39" ht="12.75" customHeight="1">
      <c r="G118" s="347"/>
      <c r="H118" s="348">
        <v>46180</v>
      </c>
      <c r="I118" s="8" t="s">
        <v>87</v>
      </c>
      <c r="J118" s="8" t="s">
        <v>96</v>
      </c>
      <c r="K118" s="8" t="s">
        <v>2840</v>
      </c>
      <c r="L118" s="8" t="s">
        <v>97</v>
      </c>
      <c r="M118" s="8" t="s">
        <v>2841</v>
      </c>
      <c r="N118" s="7">
        <v>46180</v>
      </c>
      <c r="O118" s="8" t="s">
        <v>2</v>
      </c>
      <c r="P118" s="8" t="s">
        <v>67</v>
      </c>
      <c r="Q118" s="8" t="s">
        <v>68</v>
      </c>
      <c r="R118" s="8" t="s">
        <v>69</v>
      </c>
      <c r="S118" s="8" t="s">
        <v>70</v>
      </c>
      <c r="T118" s="9">
        <v>244</v>
      </c>
      <c r="U118" s="9">
        <v>11712</v>
      </c>
      <c r="V118" s="8" t="s">
        <v>70</v>
      </c>
      <c r="W118" s="8">
        <v>13808.45</v>
      </c>
      <c r="X118" s="8">
        <v>9</v>
      </c>
      <c r="Y118" s="8">
        <v>1054.08</v>
      </c>
      <c r="Z118" s="8">
        <v>9</v>
      </c>
      <c r="AA118" s="8">
        <v>1054.08</v>
      </c>
      <c r="AB118" s="8">
        <v>0</v>
      </c>
      <c r="AC118" s="8">
        <v>0</v>
      </c>
      <c r="AD118" s="8">
        <v>0</v>
      </c>
      <c r="AE118" s="8">
        <v>2108.16</v>
      </c>
      <c r="AF118" s="8">
        <v>0</v>
      </c>
      <c r="AG118" s="8" t="s">
        <v>65</v>
      </c>
      <c r="AH118" s="8" t="s">
        <v>11</v>
      </c>
      <c r="AI118" s="8">
        <v>73063090</v>
      </c>
      <c r="AJ118" s="8" t="s">
        <v>60</v>
      </c>
      <c r="AK118" s="8">
        <v>1</v>
      </c>
      <c r="AL118" s="8">
        <v>0</v>
      </c>
      <c r="AM118" s="8" t="s">
        <v>1940</v>
      </c>
    </row>
    <row r="119" spans="7:39" ht="12.75" customHeight="1">
      <c r="G119" s="347"/>
      <c r="H119" s="348">
        <v>46180</v>
      </c>
      <c r="I119" s="8" t="s">
        <v>87</v>
      </c>
      <c r="J119" s="8" t="s">
        <v>91</v>
      </c>
      <c r="K119" s="8" t="s">
        <v>2842</v>
      </c>
      <c r="L119" s="8" t="s">
        <v>98</v>
      </c>
      <c r="M119" s="8" t="s">
        <v>2843</v>
      </c>
      <c r="N119" s="7">
        <v>46180</v>
      </c>
      <c r="O119" s="8" t="s">
        <v>13</v>
      </c>
      <c r="P119" s="8" t="s">
        <v>80</v>
      </c>
      <c r="Q119" s="8" t="s">
        <v>81</v>
      </c>
      <c r="R119" s="8" t="s">
        <v>82</v>
      </c>
      <c r="S119" s="8" t="s">
        <v>17</v>
      </c>
      <c r="T119" s="9">
        <v>3556.1</v>
      </c>
      <c r="U119" s="9">
        <v>649983.96</v>
      </c>
      <c r="V119" s="8" t="s">
        <v>17</v>
      </c>
      <c r="W119" s="8">
        <v>803808.91</v>
      </c>
      <c r="X119" s="8">
        <v>9</v>
      </c>
      <c r="Y119" s="8">
        <v>58498.559999999998</v>
      </c>
      <c r="Z119" s="8">
        <v>9</v>
      </c>
      <c r="AA119" s="8">
        <v>58498.559999999998</v>
      </c>
      <c r="AB119" s="8">
        <v>0</v>
      </c>
      <c r="AC119" s="8">
        <v>0</v>
      </c>
      <c r="AD119" s="8">
        <v>0</v>
      </c>
      <c r="AE119" s="8">
        <v>116997.12</v>
      </c>
      <c r="AF119" s="8">
        <v>0</v>
      </c>
      <c r="AG119" s="8" t="s">
        <v>65</v>
      </c>
      <c r="AH119" s="8" t="s">
        <v>11</v>
      </c>
      <c r="AI119" s="8">
        <v>39200000</v>
      </c>
      <c r="AJ119" s="8" t="s">
        <v>60</v>
      </c>
      <c r="AK119" s="8">
        <v>1</v>
      </c>
      <c r="AL119" s="8">
        <v>0</v>
      </c>
      <c r="AM119" s="8" t="s">
        <v>1940</v>
      </c>
    </row>
    <row r="120" spans="7:39" ht="12.75" customHeight="1">
      <c r="G120" s="347"/>
      <c r="H120" s="348">
        <v>46180</v>
      </c>
      <c r="I120" s="8" t="s">
        <v>87</v>
      </c>
      <c r="J120" s="8" t="s">
        <v>91</v>
      </c>
      <c r="K120" s="8" t="s">
        <v>2842</v>
      </c>
      <c r="L120" s="8" t="s">
        <v>98</v>
      </c>
      <c r="M120" s="8" t="s">
        <v>2843</v>
      </c>
      <c r="N120" s="7">
        <v>46180</v>
      </c>
      <c r="O120" s="8" t="s">
        <v>13</v>
      </c>
      <c r="P120" s="8" t="s">
        <v>62</v>
      </c>
      <c r="Q120" s="8" t="s">
        <v>63</v>
      </c>
      <c r="R120" s="8" t="s">
        <v>64</v>
      </c>
      <c r="S120" s="8" t="s">
        <v>19</v>
      </c>
      <c r="T120" s="9">
        <v>220</v>
      </c>
      <c r="U120" s="9">
        <v>31787.8</v>
      </c>
      <c r="V120" s="8" t="s">
        <v>19</v>
      </c>
      <c r="W120" s="8">
        <v>0</v>
      </c>
      <c r="X120" s="8">
        <v>9</v>
      </c>
      <c r="Y120" s="8">
        <v>2860.9</v>
      </c>
      <c r="Z120" s="8">
        <v>9</v>
      </c>
      <c r="AA120" s="8">
        <v>2860.9</v>
      </c>
      <c r="AB120" s="8">
        <v>0</v>
      </c>
      <c r="AC120" s="8">
        <v>0</v>
      </c>
      <c r="AD120" s="8">
        <v>0</v>
      </c>
      <c r="AE120" s="8">
        <v>5721.8</v>
      </c>
      <c r="AF120" s="8">
        <v>0</v>
      </c>
      <c r="AG120" s="8" t="s">
        <v>65</v>
      </c>
      <c r="AH120" s="8" t="s">
        <v>11</v>
      </c>
      <c r="AI120" s="8">
        <v>39269080</v>
      </c>
      <c r="AJ120" s="8" t="s">
        <v>60</v>
      </c>
      <c r="AK120" s="8">
        <v>1</v>
      </c>
      <c r="AL120" s="8">
        <v>0</v>
      </c>
      <c r="AM120" s="8" t="s">
        <v>1940</v>
      </c>
    </row>
    <row r="121" spans="7:39" ht="12.75" customHeight="1">
      <c r="G121" s="347"/>
      <c r="H121" s="348">
        <v>46180</v>
      </c>
      <c r="I121" s="8" t="s">
        <v>87</v>
      </c>
      <c r="J121" s="8" t="s">
        <v>91</v>
      </c>
      <c r="K121" s="8" t="s">
        <v>2844</v>
      </c>
      <c r="L121" s="8" t="s">
        <v>98</v>
      </c>
      <c r="M121" s="8" t="s">
        <v>2845</v>
      </c>
      <c r="N121" s="7">
        <v>46180</v>
      </c>
      <c r="O121" s="8" t="s">
        <v>13</v>
      </c>
      <c r="P121" s="8" t="s">
        <v>62</v>
      </c>
      <c r="Q121" s="8" t="s">
        <v>63</v>
      </c>
      <c r="R121" s="8" t="s">
        <v>64</v>
      </c>
      <c r="S121" s="8" t="s">
        <v>19</v>
      </c>
      <c r="T121" s="9">
        <v>2826</v>
      </c>
      <c r="U121" s="9">
        <v>413980.74</v>
      </c>
      <c r="V121" s="8" t="s">
        <v>19</v>
      </c>
      <c r="W121" s="8">
        <v>1567298.8</v>
      </c>
      <c r="X121" s="8">
        <v>9</v>
      </c>
      <c r="Y121" s="8">
        <v>37258.269999999997</v>
      </c>
      <c r="Z121" s="8">
        <v>9</v>
      </c>
      <c r="AA121" s="8">
        <v>37258.269999999997</v>
      </c>
      <c r="AB121" s="8">
        <v>0</v>
      </c>
      <c r="AC121" s="8">
        <v>0</v>
      </c>
      <c r="AD121" s="8">
        <v>0</v>
      </c>
      <c r="AE121" s="8">
        <v>74516.539999999994</v>
      </c>
      <c r="AF121" s="8">
        <v>0</v>
      </c>
      <c r="AG121" s="8" t="s">
        <v>65</v>
      </c>
      <c r="AH121" s="8" t="s">
        <v>11</v>
      </c>
      <c r="AI121" s="8">
        <v>39269080</v>
      </c>
      <c r="AJ121" s="8" t="s">
        <v>60</v>
      </c>
      <c r="AK121" s="8">
        <v>1</v>
      </c>
      <c r="AL121" s="8">
        <v>0</v>
      </c>
      <c r="AM121" s="8" t="s">
        <v>1940</v>
      </c>
    </row>
    <row r="122" spans="7:39" ht="12.75" customHeight="1">
      <c r="G122" s="347"/>
      <c r="H122" s="348">
        <v>46180</v>
      </c>
      <c r="I122" s="8" t="s">
        <v>87</v>
      </c>
      <c r="J122" s="8" t="s">
        <v>91</v>
      </c>
      <c r="K122" s="8" t="s">
        <v>2844</v>
      </c>
      <c r="L122" s="8" t="s">
        <v>98</v>
      </c>
      <c r="M122" s="8" t="s">
        <v>2845</v>
      </c>
      <c r="N122" s="7">
        <v>46180</v>
      </c>
      <c r="O122" s="8" t="s">
        <v>13</v>
      </c>
      <c r="P122" s="8" t="s">
        <v>24</v>
      </c>
      <c r="Q122" s="8" t="s">
        <v>79</v>
      </c>
      <c r="R122" s="8" t="s">
        <v>79</v>
      </c>
      <c r="S122" s="8" t="s">
        <v>24</v>
      </c>
      <c r="T122" s="9">
        <v>5.8</v>
      </c>
      <c r="U122" s="9">
        <v>988.84</v>
      </c>
      <c r="V122" s="8" t="s">
        <v>24</v>
      </c>
      <c r="W122" s="8">
        <v>0</v>
      </c>
      <c r="X122" s="8">
        <v>9</v>
      </c>
      <c r="Y122" s="8">
        <v>89</v>
      </c>
      <c r="Z122" s="8">
        <v>9</v>
      </c>
      <c r="AA122" s="8">
        <v>89</v>
      </c>
      <c r="AB122" s="8">
        <v>0</v>
      </c>
      <c r="AC122" s="8">
        <v>0</v>
      </c>
      <c r="AD122" s="8">
        <v>0</v>
      </c>
      <c r="AE122" s="8">
        <v>178</v>
      </c>
      <c r="AF122" s="8">
        <v>0</v>
      </c>
      <c r="AG122" s="8" t="s">
        <v>65</v>
      </c>
      <c r="AH122" s="8" t="s">
        <v>11</v>
      </c>
      <c r="AI122" s="8">
        <v>3926908</v>
      </c>
      <c r="AJ122" s="8" t="s">
        <v>60</v>
      </c>
      <c r="AK122" s="8">
        <v>1</v>
      </c>
      <c r="AL122" s="8">
        <v>0</v>
      </c>
      <c r="AM122" s="8" t="s">
        <v>1940</v>
      </c>
    </row>
    <row r="123" spans="7:39" ht="12.75" customHeight="1">
      <c r="G123" s="347"/>
      <c r="H123" s="348">
        <v>46180</v>
      </c>
      <c r="I123" s="8" t="s">
        <v>87</v>
      </c>
      <c r="J123" s="8" t="s">
        <v>91</v>
      </c>
      <c r="K123" s="8" t="s">
        <v>2844</v>
      </c>
      <c r="L123" s="8" t="s">
        <v>98</v>
      </c>
      <c r="M123" s="8" t="s">
        <v>2845</v>
      </c>
      <c r="N123" s="7">
        <v>46180</v>
      </c>
      <c r="O123" s="8" t="s">
        <v>13</v>
      </c>
      <c r="P123" s="8" t="s">
        <v>24</v>
      </c>
      <c r="Q123" s="8" t="s">
        <v>79</v>
      </c>
      <c r="R123" s="8" t="s">
        <v>79</v>
      </c>
      <c r="S123" s="8" t="s">
        <v>24</v>
      </c>
      <c r="T123" s="9">
        <v>706.1</v>
      </c>
      <c r="U123" s="9">
        <v>103436.59</v>
      </c>
      <c r="V123" s="8" t="s">
        <v>24</v>
      </c>
      <c r="W123" s="8">
        <v>0</v>
      </c>
      <c r="X123" s="8">
        <v>9</v>
      </c>
      <c r="Y123" s="8">
        <v>9309.2900000000009</v>
      </c>
      <c r="Z123" s="8">
        <v>9</v>
      </c>
      <c r="AA123" s="8">
        <v>9309.2900000000009</v>
      </c>
      <c r="AB123" s="8">
        <v>0</v>
      </c>
      <c r="AC123" s="8">
        <v>0</v>
      </c>
      <c r="AD123" s="8">
        <v>0</v>
      </c>
      <c r="AE123" s="8">
        <v>18618.580000000002</v>
      </c>
      <c r="AF123" s="8">
        <v>0</v>
      </c>
      <c r="AG123" s="8" t="s">
        <v>65</v>
      </c>
      <c r="AH123" s="8" t="s">
        <v>11</v>
      </c>
      <c r="AI123" s="8">
        <v>3926908</v>
      </c>
      <c r="AJ123" s="8" t="s">
        <v>60</v>
      </c>
      <c r="AK123" s="8">
        <v>1</v>
      </c>
      <c r="AL123" s="8">
        <v>0</v>
      </c>
      <c r="AM123" s="8" t="s">
        <v>1940</v>
      </c>
    </row>
    <row r="124" spans="7:39" ht="12.75" customHeight="1">
      <c r="G124" s="347"/>
      <c r="H124" s="348">
        <v>46180</v>
      </c>
      <c r="I124" s="8" t="s">
        <v>87</v>
      </c>
      <c r="J124" s="8" t="s">
        <v>91</v>
      </c>
      <c r="K124" s="8" t="s">
        <v>2844</v>
      </c>
      <c r="L124" s="8" t="s">
        <v>98</v>
      </c>
      <c r="M124" s="8" t="s">
        <v>2845</v>
      </c>
      <c r="N124" s="7">
        <v>46180</v>
      </c>
      <c r="O124" s="8" t="s">
        <v>13</v>
      </c>
      <c r="P124" s="8" t="s">
        <v>24</v>
      </c>
      <c r="Q124" s="8" t="s">
        <v>79</v>
      </c>
      <c r="R124" s="8" t="s">
        <v>79</v>
      </c>
      <c r="S124" s="8" t="s">
        <v>24</v>
      </c>
      <c r="T124" s="9">
        <v>1181.5999999999999</v>
      </c>
      <c r="U124" s="9">
        <v>176637.38</v>
      </c>
      <c r="V124" s="8" t="s">
        <v>24</v>
      </c>
      <c r="W124" s="8">
        <v>0</v>
      </c>
      <c r="X124" s="8">
        <v>9</v>
      </c>
      <c r="Y124" s="8">
        <v>15897.36</v>
      </c>
      <c r="Z124" s="8">
        <v>9</v>
      </c>
      <c r="AA124" s="8">
        <v>15897.36</v>
      </c>
      <c r="AB124" s="8">
        <v>0</v>
      </c>
      <c r="AC124" s="8">
        <v>0</v>
      </c>
      <c r="AD124" s="8">
        <v>0</v>
      </c>
      <c r="AE124" s="8">
        <v>31794.720000000001</v>
      </c>
      <c r="AF124" s="8">
        <v>0</v>
      </c>
      <c r="AG124" s="8" t="s">
        <v>65</v>
      </c>
      <c r="AH124" s="8" t="s">
        <v>11</v>
      </c>
      <c r="AI124" s="8">
        <v>3926908</v>
      </c>
      <c r="AJ124" s="8" t="s">
        <v>60</v>
      </c>
      <c r="AK124" s="8">
        <v>1</v>
      </c>
      <c r="AL124" s="8">
        <v>0</v>
      </c>
      <c r="AM124" s="8" t="s">
        <v>1940</v>
      </c>
    </row>
    <row r="125" spans="7:39" ht="12.75" customHeight="1">
      <c r="G125" s="347"/>
      <c r="H125" s="348">
        <v>46180</v>
      </c>
      <c r="I125" s="8" t="s">
        <v>87</v>
      </c>
      <c r="J125" s="8" t="s">
        <v>91</v>
      </c>
      <c r="K125" s="8" t="s">
        <v>2844</v>
      </c>
      <c r="L125" s="8" t="s">
        <v>98</v>
      </c>
      <c r="M125" s="8" t="s">
        <v>2845</v>
      </c>
      <c r="N125" s="7">
        <v>46180</v>
      </c>
      <c r="O125" s="8" t="s">
        <v>13</v>
      </c>
      <c r="P125" s="8" t="s">
        <v>62</v>
      </c>
      <c r="Q125" s="8" t="s">
        <v>63</v>
      </c>
      <c r="R125" s="8" t="s">
        <v>64</v>
      </c>
      <c r="S125" s="8" t="s">
        <v>19</v>
      </c>
      <c r="T125" s="9">
        <v>3213</v>
      </c>
      <c r="U125" s="9">
        <v>464246.37</v>
      </c>
      <c r="V125" s="8" t="s">
        <v>19</v>
      </c>
      <c r="W125" s="8">
        <v>0</v>
      </c>
      <c r="X125" s="8">
        <v>9</v>
      </c>
      <c r="Y125" s="8">
        <v>41782.17</v>
      </c>
      <c r="Z125" s="8">
        <v>9</v>
      </c>
      <c r="AA125" s="8">
        <v>41782.17</v>
      </c>
      <c r="AB125" s="8">
        <v>0</v>
      </c>
      <c r="AC125" s="8">
        <v>0</v>
      </c>
      <c r="AD125" s="8">
        <v>0</v>
      </c>
      <c r="AE125" s="8">
        <v>83564.34</v>
      </c>
      <c r="AF125" s="8">
        <v>0</v>
      </c>
      <c r="AG125" s="8" t="s">
        <v>65</v>
      </c>
      <c r="AH125" s="8" t="s">
        <v>11</v>
      </c>
      <c r="AI125" s="8">
        <v>39269080</v>
      </c>
      <c r="AJ125" s="8" t="s">
        <v>60</v>
      </c>
      <c r="AK125" s="8">
        <v>1</v>
      </c>
      <c r="AL125" s="8">
        <v>0</v>
      </c>
      <c r="AM125" s="8" t="s">
        <v>1940</v>
      </c>
    </row>
    <row r="126" spans="7:39" ht="12.75" customHeight="1">
      <c r="G126" s="347"/>
      <c r="H126" s="348">
        <v>46180</v>
      </c>
      <c r="I126" s="8" t="s">
        <v>87</v>
      </c>
      <c r="J126" s="8" t="s">
        <v>91</v>
      </c>
      <c r="K126" s="8" t="s">
        <v>2844</v>
      </c>
      <c r="L126" s="8" t="s">
        <v>98</v>
      </c>
      <c r="M126" s="8" t="s">
        <v>2845</v>
      </c>
      <c r="N126" s="7">
        <v>46180</v>
      </c>
      <c r="O126" s="8" t="s">
        <v>13</v>
      </c>
      <c r="P126" s="8" t="s">
        <v>62</v>
      </c>
      <c r="Q126" s="8" t="s">
        <v>63</v>
      </c>
      <c r="R126" s="8" t="s">
        <v>64</v>
      </c>
      <c r="S126" s="8" t="s">
        <v>19</v>
      </c>
      <c r="T126" s="9">
        <v>1153</v>
      </c>
      <c r="U126" s="9">
        <v>170055.97</v>
      </c>
      <c r="V126" s="8" t="s">
        <v>19</v>
      </c>
      <c r="W126" s="8">
        <v>0</v>
      </c>
      <c r="X126" s="8">
        <v>9</v>
      </c>
      <c r="Y126" s="8">
        <v>15305.04</v>
      </c>
      <c r="Z126" s="8">
        <v>9</v>
      </c>
      <c r="AA126" s="8">
        <v>15305.04</v>
      </c>
      <c r="AB126" s="8">
        <v>0</v>
      </c>
      <c r="AC126" s="8">
        <v>0</v>
      </c>
      <c r="AD126" s="8">
        <v>0</v>
      </c>
      <c r="AE126" s="8">
        <v>30610.080000000002</v>
      </c>
      <c r="AF126" s="8">
        <v>0</v>
      </c>
      <c r="AG126" s="8" t="s">
        <v>65</v>
      </c>
      <c r="AH126" s="8" t="s">
        <v>11</v>
      </c>
      <c r="AI126" s="8">
        <v>39269080</v>
      </c>
      <c r="AJ126" s="8" t="s">
        <v>60</v>
      </c>
      <c r="AK126" s="8">
        <v>1</v>
      </c>
      <c r="AL126" s="8">
        <v>0</v>
      </c>
      <c r="AM126" s="8" t="s">
        <v>1940</v>
      </c>
    </row>
    <row r="127" spans="7:39" ht="12.75" customHeight="1">
      <c r="G127" s="347"/>
      <c r="H127" s="348">
        <v>46180</v>
      </c>
      <c r="I127" s="8" t="s">
        <v>94</v>
      </c>
      <c r="J127" s="8" t="s">
        <v>96</v>
      </c>
      <c r="K127" s="8" t="s">
        <v>2846</v>
      </c>
      <c r="L127" s="8" t="s">
        <v>97</v>
      </c>
      <c r="M127" s="8" t="s">
        <v>2847</v>
      </c>
      <c r="N127" s="7">
        <v>46180</v>
      </c>
      <c r="O127" s="8" t="s">
        <v>2</v>
      </c>
      <c r="P127" s="8" t="s">
        <v>67</v>
      </c>
      <c r="Q127" s="8" t="s">
        <v>68</v>
      </c>
      <c r="R127" s="8" t="s">
        <v>69</v>
      </c>
      <c r="S127" s="8" t="s">
        <v>70</v>
      </c>
      <c r="T127" s="9">
        <v>12</v>
      </c>
      <c r="U127" s="9">
        <v>576</v>
      </c>
      <c r="V127" s="8" t="s">
        <v>70</v>
      </c>
      <c r="W127" s="8">
        <v>679.1</v>
      </c>
      <c r="X127" s="8">
        <v>9</v>
      </c>
      <c r="Y127" s="8">
        <v>51.84</v>
      </c>
      <c r="Z127" s="8">
        <v>9</v>
      </c>
      <c r="AA127" s="8">
        <v>51.84</v>
      </c>
      <c r="AB127" s="8">
        <v>0</v>
      </c>
      <c r="AC127" s="8">
        <v>0</v>
      </c>
      <c r="AD127" s="8">
        <v>0</v>
      </c>
      <c r="AE127" s="8">
        <v>103.68</v>
      </c>
      <c r="AF127" s="8">
        <v>0</v>
      </c>
      <c r="AG127" s="8" t="s">
        <v>74</v>
      </c>
      <c r="AH127" s="8" t="s">
        <v>11</v>
      </c>
      <c r="AI127" s="8">
        <v>73063090</v>
      </c>
      <c r="AJ127" s="8" t="s">
        <v>60</v>
      </c>
      <c r="AK127" s="8">
        <v>1</v>
      </c>
      <c r="AL127" s="8">
        <v>0</v>
      </c>
      <c r="AM127" s="8" t="s">
        <v>1940</v>
      </c>
    </row>
    <row r="128" spans="7:39" ht="12.75" customHeight="1">
      <c r="G128" s="347"/>
      <c r="H128" s="348">
        <v>46180</v>
      </c>
      <c r="I128" s="8" t="s">
        <v>94</v>
      </c>
      <c r="J128" s="8" t="s">
        <v>96</v>
      </c>
      <c r="K128" s="8" t="s">
        <v>2848</v>
      </c>
      <c r="L128" s="8" t="s">
        <v>97</v>
      </c>
      <c r="M128" s="8" t="s">
        <v>1318</v>
      </c>
      <c r="N128" s="7">
        <v>46180</v>
      </c>
      <c r="O128" s="8" t="s">
        <v>5</v>
      </c>
      <c r="P128" s="8" t="s">
        <v>108</v>
      </c>
      <c r="Q128" s="8" t="s">
        <v>68</v>
      </c>
      <c r="R128" s="8" t="s">
        <v>69</v>
      </c>
      <c r="S128" s="8" t="s">
        <v>2849</v>
      </c>
      <c r="T128" s="9">
        <v>20</v>
      </c>
      <c r="U128" s="9">
        <v>2760</v>
      </c>
      <c r="V128" s="8" t="s">
        <v>2849</v>
      </c>
      <c r="W128" s="8">
        <v>3254.04</v>
      </c>
      <c r="X128" s="8">
        <v>9</v>
      </c>
      <c r="Y128" s="8">
        <v>248.4</v>
      </c>
      <c r="Z128" s="8">
        <v>9</v>
      </c>
      <c r="AA128" s="8">
        <v>248.4</v>
      </c>
      <c r="AB128" s="8">
        <v>0</v>
      </c>
      <c r="AC128" s="8">
        <v>0</v>
      </c>
      <c r="AD128" s="8">
        <v>0</v>
      </c>
      <c r="AE128" s="8">
        <v>496.8</v>
      </c>
      <c r="AF128" s="8">
        <v>0</v>
      </c>
      <c r="AG128" s="8" t="s">
        <v>74</v>
      </c>
      <c r="AH128" s="8" t="s">
        <v>6</v>
      </c>
      <c r="AI128" s="8">
        <v>27109900</v>
      </c>
      <c r="AJ128" s="8" t="s">
        <v>60</v>
      </c>
      <c r="AK128" s="8">
        <v>1</v>
      </c>
      <c r="AL128" s="8">
        <v>0</v>
      </c>
      <c r="AM128" s="8" t="s">
        <v>1940</v>
      </c>
    </row>
    <row r="129" spans="7:39" ht="12.75" customHeight="1">
      <c r="G129" s="347"/>
      <c r="H129" s="348">
        <v>46180</v>
      </c>
      <c r="I129" s="8" t="s">
        <v>94</v>
      </c>
      <c r="J129" s="8" t="s">
        <v>91</v>
      </c>
      <c r="K129" s="8" t="s">
        <v>2850</v>
      </c>
      <c r="L129" s="8" t="s">
        <v>98</v>
      </c>
      <c r="M129" s="8" t="s">
        <v>1317</v>
      </c>
      <c r="N129" s="7">
        <v>46180</v>
      </c>
      <c r="O129" s="8" t="s">
        <v>15</v>
      </c>
      <c r="P129" s="8" t="s">
        <v>2117</v>
      </c>
      <c r="Q129" s="8" t="s">
        <v>2117</v>
      </c>
      <c r="R129" s="8" t="s">
        <v>2117</v>
      </c>
      <c r="S129" s="347" t="s">
        <v>64</v>
      </c>
      <c r="T129" s="9">
        <v>411</v>
      </c>
      <c r="U129" s="9">
        <v>63598.14</v>
      </c>
      <c r="V129" s="8" t="s">
        <v>2117</v>
      </c>
      <c r="W129" s="8">
        <v>116943.05</v>
      </c>
      <c r="X129" s="8">
        <v>9</v>
      </c>
      <c r="Y129" s="8">
        <v>5723.83</v>
      </c>
      <c r="Z129" s="8">
        <v>9</v>
      </c>
      <c r="AA129" s="8">
        <v>5723.83</v>
      </c>
      <c r="AB129" s="8">
        <v>0</v>
      </c>
      <c r="AC129" s="8">
        <v>0</v>
      </c>
      <c r="AD129" s="8">
        <v>0</v>
      </c>
      <c r="AE129" s="8">
        <v>11447.66</v>
      </c>
      <c r="AF129" s="8">
        <v>0</v>
      </c>
      <c r="AG129" s="8" t="s">
        <v>74</v>
      </c>
      <c r="AH129" s="8" t="s">
        <v>11</v>
      </c>
      <c r="AI129" s="8">
        <v>39269080</v>
      </c>
      <c r="AJ129" s="8" t="s">
        <v>60</v>
      </c>
      <c r="AK129" s="8">
        <v>1</v>
      </c>
      <c r="AL129" s="8">
        <v>0</v>
      </c>
      <c r="AM129" s="8" t="s">
        <v>1940</v>
      </c>
    </row>
    <row r="130" spans="7:39" ht="12.75" customHeight="1">
      <c r="G130" s="347"/>
      <c r="H130" s="348">
        <v>46180</v>
      </c>
      <c r="I130" s="8" t="s">
        <v>94</v>
      </c>
      <c r="J130" s="8" t="s">
        <v>91</v>
      </c>
      <c r="K130" s="8" t="s">
        <v>2850</v>
      </c>
      <c r="L130" s="8" t="s">
        <v>98</v>
      </c>
      <c r="M130" s="8" t="s">
        <v>1317</v>
      </c>
      <c r="N130" s="7">
        <v>46180</v>
      </c>
      <c r="O130" s="8" t="s">
        <v>13</v>
      </c>
      <c r="P130" s="8" t="s">
        <v>62</v>
      </c>
      <c r="Q130" s="8" t="s">
        <v>63</v>
      </c>
      <c r="R130" s="8" t="s">
        <v>64</v>
      </c>
      <c r="S130" s="8" t="s">
        <v>19</v>
      </c>
      <c r="T130" s="9">
        <v>230</v>
      </c>
      <c r="U130" s="9">
        <v>35590.199999999997</v>
      </c>
      <c r="V130" s="8" t="s">
        <v>19</v>
      </c>
      <c r="W130" s="8">
        <v>0</v>
      </c>
      <c r="X130" s="8">
        <v>9</v>
      </c>
      <c r="Y130" s="8">
        <v>3203.12</v>
      </c>
      <c r="Z130" s="8">
        <v>9</v>
      </c>
      <c r="AA130" s="8">
        <v>3203.12</v>
      </c>
      <c r="AB130" s="8">
        <v>0</v>
      </c>
      <c r="AC130" s="8">
        <v>0</v>
      </c>
      <c r="AD130" s="8">
        <v>0</v>
      </c>
      <c r="AE130" s="8">
        <v>6406.24</v>
      </c>
      <c r="AF130" s="8">
        <v>0</v>
      </c>
      <c r="AG130" s="8" t="s">
        <v>74</v>
      </c>
      <c r="AH130" s="8" t="s">
        <v>11</v>
      </c>
      <c r="AI130" s="8">
        <v>39269080</v>
      </c>
      <c r="AJ130" s="8" t="s">
        <v>60</v>
      </c>
      <c r="AK130" s="8">
        <v>1</v>
      </c>
      <c r="AL130" s="8">
        <v>0</v>
      </c>
      <c r="AM130" s="8" t="s">
        <v>1940</v>
      </c>
    </row>
    <row r="131" spans="7:39" ht="12.75" customHeight="1">
      <c r="G131" s="347"/>
      <c r="H131" s="348">
        <v>46180</v>
      </c>
      <c r="I131" s="8" t="s">
        <v>2506</v>
      </c>
      <c r="J131" s="8" t="s">
        <v>96</v>
      </c>
      <c r="K131" s="8" t="s">
        <v>2851</v>
      </c>
      <c r="L131" s="8" t="s">
        <v>2250</v>
      </c>
      <c r="M131" s="8" t="s">
        <v>2852</v>
      </c>
      <c r="N131" s="7">
        <v>46088</v>
      </c>
      <c r="O131" s="8" t="s">
        <v>8</v>
      </c>
      <c r="P131" s="8" t="s">
        <v>659</v>
      </c>
      <c r="Q131" s="8" t="s">
        <v>659</v>
      </c>
      <c r="R131" s="8" t="s">
        <v>69</v>
      </c>
      <c r="S131" s="8" t="s">
        <v>2436</v>
      </c>
      <c r="T131" s="9">
        <v>7000</v>
      </c>
      <c r="U131" s="9">
        <v>14700</v>
      </c>
      <c r="V131" s="8" t="s">
        <v>2436</v>
      </c>
      <c r="W131" s="8">
        <v>17346</v>
      </c>
      <c r="X131" s="8">
        <v>0</v>
      </c>
      <c r="Y131" s="8">
        <v>0</v>
      </c>
      <c r="Z131" s="8">
        <v>0</v>
      </c>
      <c r="AA131" s="8">
        <v>0</v>
      </c>
      <c r="AB131" s="8">
        <v>18</v>
      </c>
      <c r="AC131" s="8">
        <v>2646</v>
      </c>
      <c r="AD131" s="8">
        <v>0</v>
      </c>
      <c r="AE131" s="8">
        <v>2646</v>
      </c>
      <c r="AF131" s="8">
        <v>0</v>
      </c>
      <c r="AG131" s="8" t="s">
        <v>2507</v>
      </c>
      <c r="AH131" s="8" t="s">
        <v>1</v>
      </c>
      <c r="AI131" s="8">
        <v>39239090</v>
      </c>
      <c r="AJ131" s="8" t="s">
        <v>60</v>
      </c>
      <c r="AK131" s="8">
        <v>1</v>
      </c>
      <c r="AL131" s="8">
        <v>7000</v>
      </c>
      <c r="AM131" s="8" t="s">
        <v>1940</v>
      </c>
    </row>
    <row r="132" spans="7:39" ht="12.75" customHeight="1">
      <c r="G132" s="347"/>
      <c r="H132" s="348">
        <v>46180</v>
      </c>
      <c r="I132" s="8" t="s">
        <v>2196</v>
      </c>
      <c r="J132" s="8" t="s">
        <v>113</v>
      </c>
      <c r="K132" s="8" t="s">
        <v>2853</v>
      </c>
      <c r="L132" s="8" t="s">
        <v>114</v>
      </c>
      <c r="M132" s="8" t="s">
        <v>2854</v>
      </c>
      <c r="N132" s="7">
        <v>46180</v>
      </c>
      <c r="O132" s="8" t="s">
        <v>4</v>
      </c>
      <c r="P132" s="8" t="s">
        <v>115</v>
      </c>
      <c r="Q132" s="8" t="s">
        <v>115</v>
      </c>
      <c r="R132" s="8" t="s">
        <v>4</v>
      </c>
      <c r="S132" s="8" t="s">
        <v>663</v>
      </c>
      <c r="T132" s="9">
        <v>100</v>
      </c>
      <c r="U132" s="9">
        <v>80300</v>
      </c>
      <c r="V132" s="8" t="s">
        <v>663</v>
      </c>
      <c r="W132" s="8">
        <v>84315</v>
      </c>
      <c r="X132" s="8">
        <v>2.5</v>
      </c>
      <c r="Y132" s="8">
        <v>2007.5</v>
      </c>
      <c r="Z132" s="8">
        <v>2.5</v>
      </c>
      <c r="AA132" s="8">
        <v>2007.5</v>
      </c>
      <c r="AB132" s="8">
        <v>0</v>
      </c>
      <c r="AC132" s="8">
        <v>0</v>
      </c>
      <c r="AD132" s="8">
        <v>0</v>
      </c>
      <c r="AE132" s="8">
        <v>4015</v>
      </c>
      <c r="AF132" s="8">
        <v>0</v>
      </c>
      <c r="AG132" s="8" t="s">
        <v>2197</v>
      </c>
      <c r="AH132" s="8" t="s">
        <v>1</v>
      </c>
      <c r="AI132" s="8">
        <v>44152000</v>
      </c>
      <c r="AJ132" s="8" t="s">
        <v>60</v>
      </c>
      <c r="AK132" s="8">
        <v>1</v>
      </c>
      <c r="AL132" s="8">
        <v>0</v>
      </c>
      <c r="AM132" s="8" t="s">
        <v>1940</v>
      </c>
    </row>
    <row r="133" spans="7:39" ht="12.75" customHeight="1">
      <c r="G133" s="347"/>
      <c r="H133" s="348">
        <v>46180</v>
      </c>
      <c r="I133" s="8" t="s">
        <v>2196</v>
      </c>
      <c r="J133" s="8" t="s">
        <v>113</v>
      </c>
      <c r="K133" s="8" t="s">
        <v>2855</v>
      </c>
      <c r="L133" s="8" t="s">
        <v>114</v>
      </c>
      <c r="M133" s="8" t="s">
        <v>2856</v>
      </c>
      <c r="N133" s="7">
        <v>46180</v>
      </c>
      <c r="O133" s="8" t="s">
        <v>4</v>
      </c>
      <c r="P133" s="8" t="s">
        <v>115</v>
      </c>
      <c r="Q133" s="8" t="s">
        <v>4</v>
      </c>
      <c r="R133" s="8" t="s">
        <v>4</v>
      </c>
      <c r="S133" s="8" t="s">
        <v>808</v>
      </c>
      <c r="T133" s="9">
        <v>50</v>
      </c>
      <c r="U133" s="9">
        <v>25700</v>
      </c>
      <c r="V133" s="8" t="s">
        <v>808</v>
      </c>
      <c r="W133" s="8">
        <v>69930</v>
      </c>
      <c r="X133" s="8">
        <v>2.5</v>
      </c>
      <c r="Y133" s="8">
        <v>642.5</v>
      </c>
      <c r="Z133" s="8">
        <v>2.5</v>
      </c>
      <c r="AA133" s="8">
        <v>642.5</v>
      </c>
      <c r="AB133" s="8">
        <v>0</v>
      </c>
      <c r="AC133" s="8">
        <v>0</v>
      </c>
      <c r="AD133" s="8">
        <v>0</v>
      </c>
      <c r="AE133" s="8">
        <v>1285</v>
      </c>
      <c r="AF133" s="8">
        <v>0</v>
      </c>
      <c r="AG133" s="8" t="s">
        <v>2197</v>
      </c>
      <c r="AH133" s="8" t="s">
        <v>1</v>
      </c>
      <c r="AI133" s="8">
        <v>44152000</v>
      </c>
      <c r="AJ133" s="8" t="s">
        <v>60</v>
      </c>
      <c r="AK133" s="8">
        <v>1</v>
      </c>
      <c r="AL133" s="8">
        <v>0</v>
      </c>
      <c r="AM133" s="8" t="s">
        <v>1940</v>
      </c>
    </row>
    <row r="134" spans="7:39" ht="12.75" customHeight="1">
      <c r="G134" s="347"/>
      <c r="H134" s="348">
        <v>46180</v>
      </c>
      <c r="I134" s="8" t="s">
        <v>2196</v>
      </c>
      <c r="J134" s="8" t="s">
        <v>113</v>
      </c>
      <c r="K134" s="8" t="s">
        <v>2855</v>
      </c>
      <c r="L134" s="8" t="s">
        <v>114</v>
      </c>
      <c r="M134" s="8" t="s">
        <v>2856</v>
      </c>
      <c r="N134" s="7">
        <v>46180</v>
      </c>
      <c r="O134" s="8" t="s">
        <v>4</v>
      </c>
      <c r="P134" s="8" t="s">
        <v>115</v>
      </c>
      <c r="Q134" s="8" t="s">
        <v>115</v>
      </c>
      <c r="R134" s="8" t="s">
        <v>4</v>
      </c>
      <c r="S134" s="8" t="s">
        <v>2857</v>
      </c>
      <c r="T134" s="9">
        <v>50</v>
      </c>
      <c r="U134" s="9">
        <v>40900</v>
      </c>
      <c r="V134" s="8" t="s">
        <v>2857</v>
      </c>
      <c r="W134" s="8">
        <v>0</v>
      </c>
      <c r="X134" s="8">
        <v>2.5</v>
      </c>
      <c r="Y134" s="8">
        <v>1022.5</v>
      </c>
      <c r="Z134" s="8">
        <v>2.5</v>
      </c>
      <c r="AA134" s="8">
        <v>1022.5</v>
      </c>
      <c r="AB134" s="8">
        <v>0</v>
      </c>
      <c r="AC134" s="8">
        <v>0</v>
      </c>
      <c r="AD134" s="8">
        <v>0</v>
      </c>
      <c r="AE134" s="8">
        <v>2045</v>
      </c>
      <c r="AF134" s="8">
        <v>0</v>
      </c>
      <c r="AG134" s="8" t="s">
        <v>2197</v>
      </c>
      <c r="AH134" s="8" t="s">
        <v>1</v>
      </c>
      <c r="AI134" s="8">
        <v>44152000</v>
      </c>
      <c r="AJ134" s="8" t="s">
        <v>60</v>
      </c>
      <c r="AK134" s="8">
        <v>1</v>
      </c>
      <c r="AL134" s="8">
        <v>0</v>
      </c>
      <c r="AM134" s="8" t="s">
        <v>1940</v>
      </c>
    </row>
    <row r="135" spans="7:39" ht="12.75" customHeight="1">
      <c r="G135" s="347"/>
      <c r="H135" s="348">
        <v>46210</v>
      </c>
      <c r="I135" s="8" t="s">
        <v>87</v>
      </c>
      <c r="J135" s="8" t="s">
        <v>96</v>
      </c>
      <c r="K135" s="8" t="s">
        <v>2858</v>
      </c>
      <c r="L135" s="8" t="s">
        <v>97</v>
      </c>
      <c r="M135" s="8" t="s">
        <v>2859</v>
      </c>
      <c r="N135" s="7">
        <v>46210</v>
      </c>
      <c r="O135" s="8" t="s">
        <v>2</v>
      </c>
      <c r="P135" s="8" t="s">
        <v>67</v>
      </c>
      <c r="Q135" s="8" t="s">
        <v>68</v>
      </c>
      <c r="R135" s="8" t="s">
        <v>69</v>
      </c>
      <c r="S135" s="8" t="s">
        <v>70</v>
      </c>
      <c r="T135" s="9">
        <v>277</v>
      </c>
      <c r="U135" s="9">
        <v>13296</v>
      </c>
      <c r="V135" s="8" t="s">
        <v>70</v>
      </c>
      <c r="W135" s="8">
        <v>15675.98</v>
      </c>
      <c r="X135" s="8">
        <v>9</v>
      </c>
      <c r="Y135" s="8">
        <v>1196.6400000000001</v>
      </c>
      <c r="Z135" s="8">
        <v>9</v>
      </c>
      <c r="AA135" s="8">
        <v>1196.6400000000001</v>
      </c>
      <c r="AB135" s="8">
        <v>0</v>
      </c>
      <c r="AC135" s="8">
        <v>0</v>
      </c>
      <c r="AD135" s="8">
        <v>0</v>
      </c>
      <c r="AE135" s="8">
        <v>2393.2800000000002</v>
      </c>
      <c r="AF135" s="8">
        <v>0</v>
      </c>
      <c r="AG135" s="8" t="s">
        <v>65</v>
      </c>
      <c r="AH135" s="8" t="s">
        <v>11</v>
      </c>
      <c r="AI135" s="8">
        <v>73063090</v>
      </c>
      <c r="AJ135" s="8" t="s">
        <v>60</v>
      </c>
      <c r="AK135" s="8">
        <v>1</v>
      </c>
      <c r="AL135" s="8">
        <v>0</v>
      </c>
      <c r="AM135" s="8" t="s">
        <v>1940</v>
      </c>
    </row>
    <row r="136" spans="7:39" ht="12.75" customHeight="1">
      <c r="G136" s="347"/>
      <c r="H136" s="348">
        <v>46210</v>
      </c>
      <c r="I136" s="8" t="s">
        <v>87</v>
      </c>
      <c r="J136" s="8" t="s">
        <v>91</v>
      </c>
      <c r="K136" s="8" t="s">
        <v>2860</v>
      </c>
      <c r="L136" s="8" t="s">
        <v>98</v>
      </c>
      <c r="M136" s="8" t="s">
        <v>2861</v>
      </c>
      <c r="N136" s="7">
        <v>46210</v>
      </c>
      <c r="O136" s="8" t="s">
        <v>13</v>
      </c>
      <c r="P136" s="8" t="s">
        <v>80</v>
      </c>
      <c r="Q136" s="8" t="s">
        <v>81</v>
      </c>
      <c r="R136" s="8" t="s">
        <v>82</v>
      </c>
      <c r="S136" s="8" t="s">
        <v>17</v>
      </c>
      <c r="T136" s="9">
        <v>193</v>
      </c>
      <c r="U136" s="9">
        <v>35276.54</v>
      </c>
      <c r="V136" s="8" t="s">
        <v>17</v>
      </c>
      <c r="W136" s="8">
        <v>41591.040000000001</v>
      </c>
      <c r="X136" s="8">
        <v>9</v>
      </c>
      <c r="Y136" s="8">
        <v>3174.89</v>
      </c>
      <c r="Z136" s="8">
        <v>9</v>
      </c>
      <c r="AA136" s="8">
        <v>3174.89</v>
      </c>
      <c r="AB136" s="8">
        <v>0</v>
      </c>
      <c r="AC136" s="8">
        <v>0</v>
      </c>
      <c r="AD136" s="8">
        <v>0</v>
      </c>
      <c r="AE136" s="8">
        <v>6349.78</v>
      </c>
      <c r="AF136" s="8">
        <v>0</v>
      </c>
      <c r="AG136" s="8" t="s">
        <v>65</v>
      </c>
      <c r="AH136" s="8" t="s">
        <v>11</v>
      </c>
      <c r="AI136" s="8">
        <v>39200000</v>
      </c>
      <c r="AJ136" s="8" t="s">
        <v>60</v>
      </c>
      <c r="AK136" s="8">
        <v>1</v>
      </c>
      <c r="AL136" s="8">
        <v>0</v>
      </c>
      <c r="AM136" s="8" t="s">
        <v>1940</v>
      </c>
    </row>
    <row r="137" spans="7:39" ht="12.75" customHeight="1">
      <c r="G137" s="347"/>
      <c r="H137" s="348">
        <v>46210</v>
      </c>
      <c r="I137" s="8" t="s">
        <v>87</v>
      </c>
      <c r="J137" s="8" t="s">
        <v>91</v>
      </c>
      <c r="K137" s="8" t="s">
        <v>2862</v>
      </c>
      <c r="L137" s="8" t="s">
        <v>98</v>
      </c>
      <c r="M137" s="8" t="s">
        <v>2863</v>
      </c>
      <c r="N137" s="7">
        <v>46210</v>
      </c>
      <c r="O137" s="8" t="s">
        <v>13</v>
      </c>
      <c r="P137" s="8" t="s">
        <v>62</v>
      </c>
      <c r="Q137" s="8" t="s">
        <v>63</v>
      </c>
      <c r="R137" s="8" t="s">
        <v>64</v>
      </c>
      <c r="S137" s="8" t="s">
        <v>19</v>
      </c>
      <c r="T137" s="9">
        <v>1093</v>
      </c>
      <c r="U137" s="9">
        <v>160113.57</v>
      </c>
      <c r="V137" s="8" t="s">
        <v>19</v>
      </c>
      <c r="W137" s="8">
        <v>188773.9</v>
      </c>
      <c r="X137" s="8">
        <v>9</v>
      </c>
      <c r="Y137" s="8">
        <v>14410.22</v>
      </c>
      <c r="Z137" s="8">
        <v>9</v>
      </c>
      <c r="AA137" s="8">
        <v>14410.22</v>
      </c>
      <c r="AB137" s="8">
        <v>0</v>
      </c>
      <c r="AC137" s="8">
        <v>0</v>
      </c>
      <c r="AD137" s="8">
        <v>0</v>
      </c>
      <c r="AE137" s="8">
        <v>28820.44</v>
      </c>
      <c r="AF137" s="8">
        <v>0</v>
      </c>
      <c r="AG137" s="8" t="s">
        <v>65</v>
      </c>
      <c r="AH137" s="8" t="s">
        <v>11</v>
      </c>
      <c r="AI137" s="8">
        <v>39269080</v>
      </c>
      <c r="AJ137" s="8" t="s">
        <v>60</v>
      </c>
      <c r="AK137" s="8">
        <v>1</v>
      </c>
      <c r="AL137" s="8">
        <v>0</v>
      </c>
      <c r="AM137" s="8" t="s">
        <v>1940</v>
      </c>
    </row>
    <row r="138" spans="7:39" ht="12.75" customHeight="1">
      <c r="G138" s="347"/>
      <c r="H138" s="348">
        <v>46210</v>
      </c>
      <c r="I138" s="8" t="s">
        <v>87</v>
      </c>
      <c r="J138" s="8" t="s">
        <v>91</v>
      </c>
      <c r="K138" s="8" t="s">
        <v>2864</v>
      </c>
      <c r="L138" s="8" t="s">
        <v>98</v>
      </c>
      <c r="M138" s="8" t="s">
        <v>2865</v>
      </c>
      <c r="N138" s="7">
        <v>46180</v>
      </c>
      <c r="O138" s="8" t="s">
        <v>13</v>
      </c>
      <c r="P138" s="8" t="s">
        <v>62</v>
      </c>
      <c r="Q138" s="8" t="s">
        <v>63</v>
      </c>
      <c r="R138" s="8" t="s">
        <v>64</v>
      </c>
      <c r="S138" s="8" t="s">
        <v>19</v>
      </c>
      <c r="T138" s="9">
        <v>410</v>
      </c>
      <c r="U138" s="9">
        <v>59240.9</v>
      </c>
      <c r="V138" s="8" t="s">
        <v>19</v>
      </c>
      <c r="W138" s="8">
        <v>69845.02</v>
      </c>
      <c r="X138" s="8">
        <v>9</v>
      </c>
      <c r="Y138" s="8">
        <v>5331.68</v>
      </c>
      <c r="Z138" s="8">
        <v>9</v>
      </c>
      <c r="AA138" s="8">
        <v>5331.68</v>
      </c>
      <c r="AB138" s="8">
        <v>0</v>
      </c>
      <c r="AC138" s="8">
        <v>0</v>
      </c>
      <c r="AD138" s="8">
        <v>0</v>
      </c>
      <c r="AE138" s="8">
        <v>10663.36</v>
      </c>
      <c r="AF138" s="8">
        <v>0</v>
      </c>
      <c r="AG138" s="8" t="s">
        <v>65</v>
      </c>
      <c r="AH138" s="8" t="s">
        <v>11</v>
      </c>
      <c r="AI138" s="8">
        <v>39269080</v>
      </c>
      <c r="AJ138" s="8" t="s">
        <v>60</v>
      </c>
      <c r="AK138" s="8">
        <v>1</v>
      </c>
      <c r="AL138" s="8">
        <v>0</v>
      </c>
      <c r="AM138" s="8" t="s">
        <v>1940</v>
      </c>
    </row>
    <row r="139" spans="7:39" ht="12.75" customHeight="1">
      <c r="G139" s="347"/>
      <c r="H139" s="348">
        <v>46210</v>
      </c>
      <c r="I139" s="8" t="s">
        <v>87</v>
      </c>
      <c r="J139" s="8" t="s">
        <v>91</v>
      </c>
      <c r="K139" s="8" t="s">
        <v>2866</v>
      </c>
      <c r="L139" s="8" t="s">
        <v>98</v>
      </c>
      <c r="M139" s="8" t="s">
        <v>2867</v>
      </c>
      <c r="N139" s="7">
        <v>46210</v>
      </c>
      <c r="O139" s="8" t="s">
        <v>13</v>
      </c>
      <c r="P139" s="8" t="s">
        <v>24</v>
      </c>
      <c r="Q139" s="8" t="s">
        <v>79</v>
      </c>
      <c r="R139" s="8" t="s">
        <v>79</v>
      </c>
      <c r="S139" s="8" t="s">
        <v>24</v>
      </c>
      <c r="T139" s="9">
        <v>480.4</v>
      </c>
      <c r="U139" s="9">
        <v>70373.8</v>
      </c>
      <c r="V139" s="8" t="s">
        <v>24</v>
      </c>
      <c r="W139" s="8">
        <v>461730.48</v>
      </c>
      <c r="X139" s="8">
        <v>9</v>
      </c>
      <c r="Y139" s="8">
        <v>6333.64</v>
      </c>
      <c r="Z139" s="8">
        <v>9</v>
      </c>
      <c r="AA139" s="8">
        <v>6333.64</v>
      </c>
      <c r="AB139" s="8">
        <v>0</v>
      </c>
      <c r="AC139" s="8">
        <v>0</v>
      </c>
      <c r="AD139" s="8">
        <v>0</v>
      </c>
      <c r="AE139" s="8">
        <v>12667.28</v>
      </c>
      <c r="AF139" s="8">
        <v>0</v>
      </c>
      <c r="AG139" s="8" t="s">
        <v>65</v>
      </c>
      <c r="AH139" s="8" t="s">
        <v>11</v>
      </c>
      <c r="AI139" s="8">
        <v>3926908</v>
      </c>
      <c r="AJ139" s="8" t="s">
        <v>60</v>
      </c>
      <c r="AK139" s="8">
        <v>1</v>
      </c>
      <c r="AL139" s="8">
        <v>0</v>
      </c>
      <c r="AM139" s="8" t="s">
        <v>1940</v>
      </c>
    </row>
    <row r="140" spans="7:39" ht="12.75" customHeight="1">
      <c r="G140" s="347"/>
      <c r="H140" s="348">
        <v>46210</v>
      </c>
      <c r="I140" s="8" t="s">
        <v>87</v>
      </c>
      <c r="J140" s="8" t="s">
        <v>91</v>
      </c>
      <c r="K140" s="8" t="s">
        <v>2866</v>
      </c>
      <c r="L140" s="8" t="s">
        <v>98</v>
      </c>
      <c r="M140" s="8" t="s">
        <v>2867</v>
      </c>
      <c r="N140" s="7">
        <v>46210</v>
      </c>
      <c r="O140" s="8" t="s">
        <v>13</v>
      </c>
      <c r="P140" s="8" t="s">
        <v>24</v>
      </c>
      <c r="Q140" s="8" t="s">
        <v>79</v>
      </c>
      <c r="R140" s="8" t="s">
        <v>79</v>
      </c>
      <c r="S140" s="8" t="s">
        <v>24</v>
      </c>
      <c r="T140" s="9">
        <v>882.3</v>
      </c>
      <c r="U140" s="9">
        <v>131895.03</v>
      </c>
      <c r="V140" s="8" t="s">
        <v>24</v>
      </c>
      <c r="W140" s="8">
        <v>0</v>
      </c>
      <c r="X140" s="8">
        <v>9</v>
      </c>
      <c r="Y140" s="8">
        <v>11870.55</v>
      </c>
      <c r="Z140" s="8">
        <v>9</v>
      </c>
      <c r="AA140" s="8">
        <v>11870.55</v>
      </c>
      <c r="AB140" s="8">
        <v>0</v>
      </c>
      <c r="AC140" s="8">
        <v>0</v>
      </c>
      <c r="AD140" s="8">
        <v>0</v>
      </c>
      <c r="AE140" s="8">
        <v>23741.1</v>
      </c>
      <c r="AF140" s="8">
        <v>0</v>
      </c>
      <c r="AG140" s="8" t="s">
        <v>65</v>
      </c>
      <c r="AH140" s="8" t="s">
        <v>11</v>
      </c>
      <c r="AI140" s="8">
        <v>3926908</v>
      </c>
      <c r="AJ140" s="8" t="s">
        <v>60</v>
      </c>
      <c r="AK140" s="8">
        <v>1</v>
      </c>
      <c r="AL140" s="8">
        <v>0</v>
      </c>
      <c r="AM140" s="8" t="s">
        <v>1940</v>
      </c>
    </row>
    <row r="141" spans="7:39" ht="12.75" customHeight="1">
      <c r="G141" s="347"/>
      <c r="H141" s="348">
        <v>46210</v>
      </c>
      <c r="I141" s="8" t="s">
        <v>87</v>
      </c>
      <c r="J141" s="8" t="s">
        <v>91</v>
      </c>
      <c r="K141" s="8" t="s">
        <v>2866</v>
      </c>
      <c r="L141" s="8" t="s">
        <v>98</v>
      </c>
      <c r="M141" s="8" t="s">
        <v>2867</v>
      </c>
      <c r="N141" s="7">
        <v>46210</v>
      </c>
      <c r="O141" s="8" t="s">
        <v>13</v>
      </c>
      <c r="P141" s="8" t="s">
        <v>80</v>
      </c>
      <c r="Q141" s="8" t="s">
        <v>81</v>
      </c>
      <c r="R141" s="8" t="s">
        <v>82</v>
      </c>
      <c r="S141" s="8" t="s">
        <v>17</v>
      </c>
      <c r="T141" s="9">
        <v>1036</v>
      </c>
      <c r="U141" s="9">
        <v>189360.08</v>
      </c>
      <c r="V141" s="8" t="s">
        <v>17</v>
      </c>
      <c r="W141" s="8">
        <v>0</v>
      </c>
      <c r="X141" s="8">
        <v>9</v>
      </c>
      <c r="Y141" s="8">
        <v>17042.41</v>
      </c>
      <c r="Z141" s="8">
        <v>9</v>
      </c>
      <c r="AA141" s="8">
        <v>17042.41</v>
      </c>
      <c r="AB141" s="8">
        <v>0</v>
      </c>
      <c r="AC141" s="8">
        <v>0</v>
      </c>
      <c r="AD141" s="8">
        <v>0</v>
      </c>
      <c r="AE141" s="8">
        <v>34084.82</v>
      </c>
      <c r="AF141" s="8">
        <v>0</v>
      </c>
      <c r="AG141" s="8" t="s">
        <v>65</v>
      </c>
      <c r="AH141" s="8" t="s">
        <v>11</v>
      </c>
      <c r="AI141" s="8">
        <v>39200000</v>
      </c>
      <c r="AJ141" s="8" t="s">
        <v>60</v>
      </c>
      <c r="AK141" s="8">
        <v>1</v>
      </c>
      <c r="AL141" s="8">
        <v>0</v>
      </c>
      <c r="AM141" s="8" t="s">
        <v>1940</v>
      </c>
    </row>
    <row r="142" spans="7:39" ht="12.75" customHeight="1">
      <c r="G142" s="347"/>
      <c r="H142" s="348">
        <v>46210</v>
      </c>
      <c r="I142" s="8" t="s">
        <v>87</v>
      </c>
      <c r="J142" s="8" t="s">
        <v>91</v>
      </c>
      <c r="K142" s="8" t="s">
        <v>2868</v>
      </c>
      <c r="L142" s="8" t="s">
        <v>98</v>
      </c>
      <c r="M142" s="8" t="s">
        <v>2869</v>
      </c>
      <c r="N142" s="7">
        <v>46210</v>
      </c>
      <c r="O142" s="8" t="s">
        <v>13</v>
      </c>
      <c r="P142" s="8" t="s">
        <v>62</v>
      </c>
      <c r="Q142" s="8" t="s">
        <v>63</v>
      </c>
      <c r="R142" s="8" t="s">
        <v>64</v>
      </c>
      <c r="S142" s="8" t="s">
        <v>19</v>
      </c>
      <c r="T142" s="9">
        <v>3931</v>
      </c>
      <c r="U142" s="9">
        <v>575852.18999999994</v>
      </c>
      <c r="V142" s="8" t="s">
        <v>19</v>
      </c>
      <c r="W142" s="8">
        <v>1338728.78</v>
      </c>
      <c r="X142" s="8">
        <v>9</v>
      </c>
      <c r="Y142" s="8">
        <v>51826.7</v>
      </c>
      <c r="Z142" s="8">
        <v>9</v>
      </c>
      <c r="AA142" s="8">
        <v>51826.7</v>
      </c>
      <c r="AB142" s="8">
        <v>0</v>
      </c>
      <c r="AC142" s="8">
        <v>0</v>
      </c>
      <c r="AD142" s="8">
        <v>0</v>
      </c>
      <c r="AE142" s="8">
        <v>103653.4</v>
      </c>
      <c r="AF142" s="8">
        <v>0</v>
      </c>
      <c r="AG142" s="8" t="s">
        <v>65</v>
      </c>
      <c r="AH142" s="8" t="s">
        <v>11</v>
      </c>
      <c r="AI142" s="8">
        <v>39269080</v>
      </c>
      <c r="AJ142" s="8" t="s">
        <v>60</v>
      </c>
      <c r="AK142" s="8">
        <v>1</v>
      </c>
      <c r="AL142" s="8">
        <v>0</v>
      </c>
      <c r="AM142" s="8" t="s">
        <v>1940</v>
      </c>
    </row>
    <row r="143" spans="7:39" ht="12.75" customHeight="1">
      <c r="G143" s="347"/>
      <c r="H143" s="348">
        <v>46210</v>
      </c>
      <c r="I143" s="8" t="s">
        <v>87</v>
      </c>
      <c r="J143" s="8" t="s">
        <v>91</v>
      </c>
      <c r="K143" s="8" t="s">
        <v>2868</v>
      </c>
      <c r="L143" s="8" t="s">
        <v>98</v>
      </c>
      <c r="M143" s="8" t="s">
        <v>2869</v>
      </c>
      <c r="N143" s="7">
        <v>46210</v>
      </c>
      <c r="O143" s="8" t="s">
        <v>13</v>
      </c>
      <c r="P143" s="8" t="s">
        <v>62</v>
      </c>
      <c r="Q143" s="8" t="s">
        <v>63</v>
      </c>
      <c r="R143" s="8" t="s">
        <v>64</v>
      </c>
      <c r="S143" s="8" t="s">
        <v>19</v>
      </c>
      <c r="T143" s="9">
        <v>2786</v>
      </c>
      <c r="U143" s="9">
        <v>402549.14</v>
      </c>
      <c r="V143" s="8" t="s">
        <v>19</v>
      </c>
      <c r="W143" s="8">
        <v>0</v>
      </c>
      <c r="X143" s="8">
        <v>9</v>
      </c>
      <c r="Y143" s="8">
        <v>36229.42</v>
      </c>
      <c r="Z143" s="8">
        <v>9</v>
      </c>
      <c r="AA143" s="8">
        <v>36229.42</v>
      </c>
      <c r="AB143" s="8">
        <v>0</v>
      </c>
      <c r="AC143" s="8">
        <v>0</v>
      </c>
      <c r="AD143" s="8">
        <v>0</v>
      </c>
      <c r="AE143" s="8">
        <v>72458.84</v>
      </c>
      <c r="AF143" s="8">
        <v>0</v>
      </c>
      <c r="AG143" s="8" t="s">
        <v>65</v>
      </c>
      <c r="AH143" s="8" t="s">
        <v>11</v>
      </c>
      <c r="AI143" s="8">
        <v>39269080</v>
      </c>
      <c r="AJ143" s="8" t="s">
        <v>60</v>
      </c>
      <c r="AK143" s="8">
        <v>1</v>
      </c>
      <c r="AL143" s="8">
        <v>0</v>
      </c>
      <c r="AM143" s="8" t="s">
        <v>1940</v>
      </c>
    </row>
    <row r="144" spans="7:39" ht="12.75" customHeight="1">
      <c r="G144" s="347"/>
      <c r="H144" s="348">
        <v>46210</v>
      </c>
      <c r="I144" s="8" t="s">
        <v>87</v>
      </c>
      <c r="J144" s="8" t="s">
        <v>91</v>
      </c>
      <c r="K144" s="8" t="s">
        <v>2868</v>
      </c>
      <c r="L144" s="8" t="s">
        <v>98</v>
      </c>
      <c r="M144" s="8" t="s">
        <v>2869</v>
      </c>
      <c r="N144" s="7">
        <v>46210</v>
      </c>
      <c r="O144" s="8" t="s">
        <v>13</v>
      </c>
      <c r="P144" s="8" t="s">
        <v>62</v>
      </c>
      <c r="Q144" s="8" t="s">
        <v>63</v>
      </c>
      <c r="R144" s="8" t="s">
        <v>64</v>
      </c>
      <c r="S144" s="8" t="s">
        <v>19</v>
      </c>
      <c r="T144" s="9">
        <v>1065</v>
      </c>
      <c r="U144" s="9">
        <v>157076.85</v>
      </c>
      <c r="V144" s="8" t="s">
        <v>19</v>
      </c>
      <c r="W144" s="8">
        <v>0</v>
      </c>
      <c r="X144" s="8">
        <v>9</v>
      </c>
      <c r="Y144" s="8">
        <v>14136.92</v>
      </c>
      <c r="Z144" s="8">
        <v>9</v>
      </c>
      <c r="AA144" s="8">
        <v>14136.92</v>
      </c>
      <c r="AB144" s="8">
        <v>0</v>
      </c>
      <c r="AC144" s="8">
        <v>0</v>
      </c>
      <c r="AD144" s="8">
        <v>0</v>
      </c>
      <c r="AE144" s="8">
        <v>28273.84</v>
      </c>
      <c r="AF144" s="8">
        <v>0</v>
      </c>
      <c r="AG144" s="8" t="s">
        <v>65</v>
      </c>
      <c r="AH144" s="8" t="s">
        <v>11</v>
      </c>
      <c r="AI144" s="8">
        <v>39269080</v>
      </c>
      <c r="AJ144" s="8" t="s">
        <v>60</v>
      </c>
      <c r="AK144" s="8">
        <v>1</v>
      </c>
      <c r="AL144" s="8">
        <v>0</v>
      </c>
      <c r="AM144" s="8" t="s">
        <v>1940</v>
      </c>
    </row>
    <row r="145" spans="7:39" ht="12.75" customHeight="1">
      <c r="G145" s="347"/>
      <c r="H145" s="348">
        <v>46210</v>
      </c>
      <c r="I145" s="8" t="s">
        <v>87</v>
      </c>
      <c r="J145" s="8" t="s">
        <v>91</v>
      </c>
      <c r="K145" s="8" t="s">
        <v>2870</v>
      </c>
      <c r="L145" s="8" t="s">
        <v>98</v>
      </c>
      <c r="M145" s="8" t="s">
        <v>2871</v>
      </c>
      <c r="N145" s="7">
        <v>46210</v>
      </c>
      <c r="O145" s="8" t="s">
        <v>13</v>
      </c>
      <c r="P145" s="8" t="s">
        <v>62</v>
      </c>
      <c r="Q145" s="8" t="s">
        <v>76</v>
      </c>
      <c r="R145" s="8" t="s">
        <v>77</v>
      </c>
      <c r="S145" s="8" t="s">
        <v>21</v>
      </c>
      <c r="T145" s="9">
        <v>406</v>
      </c>
      <c r="U145" s="9">
        <v>60692.94</v>
      </c>
      <c r="V145" s="8" t="s">
        <v>21</v>
      </c>
      <c r="W145" s="8">
        <v>658637.49</v>
      </c>
      <c r="X145" s="8">
        <v>9</v>
      </c>
      <c r="Y145" s="8">
        <v>5462.36</v>
      </c>
      <c r="Z145" s="8">
        <v>9</v>
      </c>
      <c r="AA145" s="8">
        <v>5462.36</v>
      </c>
      <c r="AB145" s="8">
        <v>0</v>
      </c>
      <c r="AC145" s="8">
        <v>0</v>
      </c>
      <c r="AD145" s="8">
        <v>0</v>
      </c>
      <c r="AE145" s="8">
        <v>10924.72</v>
      </c>
      <c r="AF145" s="8">
        <v>0</v>
      </c>
      <c r="AG145" s="8" t="s">
        <v>65</v>
      </c>
      <c r="AH145" s="8" t="s">
        <v>11</v>
      </c>
      <c r="AI145" s="8">
        <v>63053300</v>
      </c>
      <c r="AJ145" s="8" t="s">
        <v>60</v>
      </c>
      <c r="AK145" s="8">
        <v>1</v>
      </c>
      <c r="AL145" s="8">
        <v>0</v>
      </c>
      <c r="AM145" s="8" t="s">
        <v>1940</v>
      </c>
    </row>
    <row r="146" spans="7:39" ht="12.75" customHeight="1">
      <c r="G146" s="347"/>
      <c r="H146" s="348">
        <v>46210</v>
      </c>
      <c r="I146" s="8" t="s">
        <v>87</v>
      </c>
      <c r="J146" s="8" t="s">
        <v>91</v>
      </c>
      <c r="K146" s="8" t="s">
        <v>2870</v>
      </c>
      <c r="L146" s="8" t="s">
        <v>98</v>
      </c>
      <c r="M146" s="8" t="s">
        <v>2871</v>
      </c>
      <c r="N146" s="7">
        <v>46210</v>
      </c>
      <c r="O146" s="8" t="s">
        <v>13</v>
      </c>
      <c r="P146" s="8" t="s">
        <v>62</v>
      </c>
      <c r="Q146" s="8" t="s">
        <v>76</v>
      </c>
      <c r="R146" s="8" t="s">
        <v>77</v>
      </c>
      <c r="S146" s="8" t="s">
        <v>21</v>
      </c>
      <c r="T146" s="9">
        <v>1739</v>
      </c>
      <c r="U146" s="9">
        <v>263441.11</v>
      </c>
      <c r="V146" s="8" t="s">
        <v>21</v>
      </c>
      <c r="W146" s="8">
        <v>0</v>
      </c>
      <c r="X146" s="8">
        <v>9</v>
      </c>
      <c r="Y146" s="8">
        <v>23709.7</v>
      </c>
      <c r="Z146" s="8">
        <v>9</v>
      </c>
      <c r="AA146" s="8">
        <v>23709.7</v>
      </c>
      <c r="AB146" s="8">
        <v>0</v>
      </c>
      <c r="AC146" s="8">
        <v>0</v>
      </c>
      <c r="AD146" s="8">
        <v>0</v>
      </c>
      <c r="AE146" s="8">
        <v>47419.4</v>
      </c>
      <c r="AF146" s="8">
        <v>0</v>
      </c>
      <c r="AG146" s="8" t="s">
        <v>65</v>
      </c>
      <c r="AH146" s="8" t="s">
        <v>11</v>
      </c>
      <c r="AI146" s="8">
        <v>63053300</v>
      </c>
      <c r="AJ146" s="8" t="s">
        <v>60</v>
      </c>
      <c r="AK146" s="8">
        <v>1</v>
      </c>
      <c r="AL146" s="8">
        <v>0</v>
      </c>
      <c r="AM146" s="8" t="s">
        <v>1940</v>
      </c>
    </row>
    <row r="147" spans="7:39" ht="12.75" customHeight="1">
      <c r="G147" s="347"/>
      <c r="H147" s="348">
        <v>46210</v>
      </c>
      <c r="I147" s="8" t="s">
        <v>87</v>
      </c>
      <c r="J147" s="8" t="s">
        <v>91</v>
      </c>
      <c r="K147" s="8" t="s">
        <v>2870</v>
      </c>
      <c r="L147" s="8" t="s">
        <v>98</v>
      </c>
      <c r="M147" s="8" t="s">
        <v>2871</v>
      </c>
      <c r="N147" s="7">
        <v>46210</v>
      </c>
      <c r="O147" s="8" t="s">
        <v>13</v>
      </c>
      <c r="P147" s="8" t="s">
        <v>80</v>
      </c>
      <c r="Q147" s="8" t="s">
        <v>81</v>
      </c>
      <c r="R147" s="8" t="s">
        <v>82</v>
      </c>
      <c r="S147" s="8" t="s">
        <v>17</v>
      </c>
      <c r="T147" s="9">
        <v>1283</v>
      </c>
      <c r="U147" s="9">
        <v>234506.74</v>
      </c>
      <c r="V147" s="8" t="s">
        <v>17</v>
      </c>
      <c r="W147" s="8">
        <v>0</v>
      </c>
      <c r="X147" s="8">
        <v>9</v>
      </c>
      <c r="Y147" s="8">
        <v>21105.61</v>
      </c>
      <c r="Z147" s="8">
        <v>9</v>
      </c>
      <c r="AA147" s="8">
        <v>21105.61</v>
      </c>
      <c r="AB147" s="8">
        <v>0</v>
      </c>
      <c r="AC147" s="8">
        <v>0</v>
      </c>
      <c r="AD147" s="8">
        <v>0</v>
      </c>
      <c r="AE147" s="8">
        <v>42211.22</v>
      </c>
      <c r="AF147" s="8">
        <v>0</v>
      </c>
      <c r="AG147" s="8" t="s">
        <v>65</v>
      </c>
      <c r="AH147" s="8" t="s">
        <v>11</v>
      </c>
      <c r="AI147" s="8">
        <v>39200000</v>
      </c>
      <c r="AJ147" s="8" t="s">
        <v>60</v>
      </c>
      <c r="AK147" s="8">
        <v>1</v>
      </c>
      <c r="AL147" s="8">
        <v>0</v>
      </c>
      <c r="AM147" s="8" t="s">
        <v>1940</v>
      </c>
    </row>
    <row r="148" spans="7:39" ht="12.75" customHeight="1">
      <c r="G148" s="347"/>
      <c r="H148" s="348">
        <v>46210</v>
      </c>
      <c r="I148" s="8" t="s">
        <v>94</v>
      </c>
      <c r="J148" s="8" t="s">
        <v>96</v>
      </c>
      <c r="K148" s="8" t="s">
        <v>2872</v>
      </c>
      <c r="L148" s="8" t="s">
        <v>97</v>
      </c>
      <c r="M148" s="8" t="s">
        <v>1321</v>
      </c>
      <c r="N148" s="7">
        <v>46210</v>
      </c>
      <c r="O148" s="8" t="s">
        <v>2</v>
      </c>
      <c r="P148" s="8" t="s">
        <v>67</v>
      </c>
      <c r="Q148" s="8" t="s">
        <v>68</v>
      </c>
      <c r="R148" s="8" t="s">
        <v>69</v>
      </c>
      <c r="S148" s="8" t="s">
        <v>70</v>
      </c>
      <c r="T148" s="9">
        <v>36</v>
      </c>
      <c r="U148" s="9">
        <v>1728</v>
      </c>
      <c r="V148" s="8" t="s">
        <v>70</v>
      </c>
      <c r="W148" s="8">
        <v>2037.31</v>
      </c>
      <c r="X148" s="8">
        <v>9</v>
      </c>
      <c r="Y148" s="8">
        <v>155.52000000000001</v>
      </c>
      <c r="Z148" s="8">
        <v>9</v>
      </c>
      <c r="AA148" s="8">
        <v>155.52000000000001</v>
      </c>
      <c r="AB148" s="8">
        <v>0</v>
      </c>
      <c r="AC148" s="8">
        <v>0</v>
      </c>
      <c r="AD148" s="8">
        <v>0</v>
      </c>
      <c r="AE148" s="8">
        <v>311.04000000000002</v>
      </c>
      <c r="AF148" s="8">
        <v>0</v>
      </c>
      <c r="AG148" s="8" t="s">
        <v>74</v>
      </c>
      <c r="AH148" s="8" t="s">
        <v>11</v>
      </c>
      <c r="AI148" s="8">
        <v>73063090</v>
      </c>
      <c r="AJ148" s="8" t="s">
        <v>60</v>
      </c>
      <c r="AK148" s="8">
        <v>1</v>
      </c>
      <c r="AL148" s="8">
        <v>0</v>
      </c>
      <c r="AM148" s="8" t="s">
        <v>1940</v>
      </c>
    </row>
    <row r="149" spans="7:39" ht="12.75" customHeight="1">
      <c r="G149" s="347"/>
      <c r="H149" s="348">
        <v>46210</v>
      </c>
      <c r="I149" s="8" t="s">
        <v>94</v>
      </c>
      <c r="J149" s="8" t="s">
        <v>91</v>
      </c>
      <c r="K149" s="8" t="s">
        <v>2873</v>
      </c>
      <c r="L149" s="8" t="s">
        <v>98</v>
      </c>
      <c r="M149" s="8" t="s">
        <v>1320</v>
      </c>
      <c r="N149" s="7">
        <v>46210</v>
      </c>
      <c r="O149" s="8" t="s">
        <v>13</v>
      </c>
      <c r="P149" s="8" t="s">
        <v>62</v>
      </c>
      <c r="Q149" s="8" t="s">
        <v>63</v>
      </c>
      <c r="R149" s="8" t="s">
        <v>64</v>
      </c>
      <c r="S149" s="8" t="s">
        <v>19</v>
      </c>
      <c r="T149" s="9">
        <v>762</v>
      </c>
      <c r="U149" s="9">
        <v>117911.88</v>
      </c>
      <c r="V149" s="8" t="s">
        <v>19</v>
      </c>
      <c r="W149" s="8">
        <v>190283.31</v>
      </c>
      <c r="X149" s="8">
        <v>9</v>
      </c>
      <c r="Y149" s="8">
        <v>10612.07</v>
      </c>
      <c r="Z149" s="8">
        <v>9</v>
      </c>
      <c r="AA149" s="8">
        <v>10612.07</v>
      </c>
      <c r="AB149" s="8">
        <v>0</v>
      </c>
      <c r="AC149" s="8">
        <v>0</v>
      </c>
      <c r="AD149" s="8">
        <v>0</v>
      </c>
      <c r="AE149" s="8">
        <v>21224.14</v>
      </c>
      <c r="AF149" s="8">
        <v>0</v>
      </c>
      <c r="AG149" s="8" t="s">
        <v>74</v>
      </c>
      <c r="AH149" s="8" t="s">
        <v>11</v>
      </c>
      <c r="AI149" s="8">
        <v>39269080</v>
      </c>
      <c r="AJ149" s="8" t="s">
        <v>60</v>
      </c>
      <c r="AK149" s="8">
        <v>1</v>
      </c>
      <c r="AL149" s="8">
        <v>0</v>
      </c>
      <c r="AM149" s="8" t="s">
        <v>1940</v>
      </c>
    </row>
    <row r="150" spans="7:39" ht="12.75" customHeight="1">
      <c r="G150" s="347"/>
      <c r="H150" s="348">
        <v>46210</v>
      </c>
      <c r="I150" s="8" t="s">
        <v>94</v>
      </c>
      <c r="J150" s="8" t="s">
        <v>91</v>
      </c>
      <c r="K150" s="8" t="s">
        <v>2873</v>
      </c>
      <c r="L150" s="8" t="s">
        <v>98</v>
      </c>
      <c r="M150" s="8" t="s">
        <v>1320</v>
      </c>
      <c r="N150" s="7">
        <v>46210</v>
      </c>
      <c r="O150" s="8" t="s">
        <v>15</v>
      </c>
      <c r="P150" s="8" t="s">
        <v>2117</v>
      </c>
      <c r="Q150" s="8" t="s">
        <v>2117</v>
      </c>
      <c r="R150" s="8" t="s">
        <v>2117</v>
      </c>
      <c r="S150" s="347" t="s">
        <v>64</v>
      </c>
      <c r="T150" s="9">
        <v>281</v>
      </c>
      <c r="U150" s="9">
        <v>43481.94</v>
      </c>
      <c r="V150" s="8" t="s">
        <v>2117</v>
      </c>
      <c r="W150" s="8">
        <v>0</v>
      </c>
      <c r="X150" s="8">
        <v>9</v>
      </c>
      <c r="Y150" s="8">
        <v>3913.37</v>
      </c>
      <c r="Z150" s="8">
        <v>9</v>
      </c>
      <c r="AA150" s="8">
        <v>3913.37</v>
      </c>
      <c r="AB150" s="8">
        <v>0</v>
      </c>
      <c r="AC150" s="8">
        <v>0</v>
      </c>
      <c r="AD150" s="8">
        <v>0</v>
      </c>
      <c r="AE150" s="8">
        <v>7826.74</v>
      </c>
      <c r="AF150" s="8">
        <v>0</v>
      </c>
      <c r="AG150" s="8" t="s">
        <v>74</v>
      </c>
      <c r="AH150" s="8" t="s">
        <v>11</v>
      </c>
      <c r="AI150" s="8">
        <v>39269080</v>
      </c>
      <c r="AJ150" s="8" t="s">
        <v>60</v>
      </c>
      <c r="AK150" s="8">
        <v>1</v>
      </c>
      <c r="AL150" s="8">
        <v>0</v>
      </c>
      <c r="AM150" s="8" t="s">
        <v>1940</v>
      </c>
    </row>
    <row r="151" spans="7:39" ht="12.75" customHeight="1">
      <c r="G151" s="347"/>
      <c r="H151" s="348">
        <v>46241</v>
      </c>
      <c r="I151" s="8" t="s">
        <v>103</v>
      </c>
      <c r="J151" s="8" t="s">
        <v>88</v>
      </c>
      <c r="K151" s="8" t="s">
        <v>2874</v>
      </c>
      <c r="L151" s="8" t="s">
        <v>2449</v>
      </c>
      <c r="M151" s="8" t="s">
        <v>2875</v>
      </c>
      <c r="N151" s="7">
        <v>46210</v>
      </c>
      <c r="O151" s="8" t="s">
        <v>5</v>
      </c>
      <c r="P151" s="8" t="s">
        <v>5</v>
      </c>
      <c r="Q151" s="8" t="s">
        <v>5</v>
      </c>
      <c r="R151" s="8" t="s">
        <v>69</v>
      </c>
      <c r="S151" s="8" t="s">
        <v>2602</v>
      </c>
      <c r="T151" s="9">
        <v>200</v>
      </c>
      <c r="U151" s="9">
        <v>64000</v>
      </c>
      <c r="V151" s="8" t="s">
        <v>2602</v>
      </c>
      <c r="W151" s="8">
        <v>64000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8" t="s">
        <v>104</v>
      </c>
      <c r="AH151" s="8" t="s">
        <v>11</v>
      </c>
      <c r="AI151" s="8">
        <v>35052000</v>
      </c>
      <c r="AJ151" s="8" t="s">
        <v>60</v>
      </c>
      <c r="AK151" s="8">
        <v>1</v>
      </c>
      <c r="AL151" s="8">
        <v>0</v>
      </c>
      <c r="AM151" s="8" t="s">
        <v>1940</v>
      </c>
    </row>
    <row r="152" spans="7:39" ht="12.75" customHeight="1">
      <c r="G152" s="347"/>
      <c r="H152" s="348">
        <v>46241</v>
      </c>
      <c r="I152" s="8" t="s">
        <v>103</v>
      </c>
      <c r="J152" s="8" t="s">
        <v>88</v>
      </c>
      <c r="K152" s="8" t="s">
        <v>2876</v>
      </c>
      <c r="L152" s="8" t="s">
        <v>2449</v>
      </c>
      <c r="M152" s="8" t="s">
        <v>2877</v>
      </c>
      <c r="N152" s="7" t="s">
        <v>2569</v>
      </c>
      <c r="O152" s="8" t="s">
        <v>13</v>
      </c>
      <c r="P152" s="8" t="s">
        <v>80</v>
      </c>
      <c r="Q152" s="8" t="s">
        <v>81</v>
      </c>
      <c r="R152" s="8" t="s">
        <v>417</v>
      </c>
      <c r="S152" s="8" t="s">
        <v>418</v>
      </c>
      <c r="T152" s="9">
        <v>930</v>
      </c>
      <c r="U152" s="9">
        <v>179480.7</v>
      </c>
      <c r="V152" s="8" t="s">
        <v>418</v>
      </c>
      <c r="W152" s="8">
        <v>179480.7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8" t="s">
        <v>104</v>
      </c>
      <c r="AH152" s="8" t="s">
        <v>11</v>
      </c>
      <c r="AI152" s="8">
        <v>39232100</v>
      </c>
      <c r="AJ152" s="8" t="s">
        <v>60</v>
      </c>
      <c r="AK152" s="8">
        <v>1</v>
      </c>
      <c r="AL152" s="8">
        <v>0</v>
      </c>
      <c r="AM152" s="8" t="s">
        <v>1940</v>
      </c>
    </row>
    <row r="153" spans="7:39" ht="12.75" customHeight="1">
      <c r="G153" s="347"/>
      <c r="H153" s="348">
        <v>46241</v>
      </c>
      <c r="I153" s="8" t="s">
        <v>87</v>
      </c>
      <c r="J153" s="8" t="s">
        <v>96</v>
      </c>
      <c r="K153" s="8" t="s">
        <v>2878</v>
      </c>
      <c r="L153" s="8" t="s">
        <v>97</v>
      </c>
      <c r="M153" s="8" t="s">
        <v>2879</v>
      </c>
      <c r="N153" s="7">
        <v>46241</v>
      </c>
      <c r="O153" s="8" t="s">
        <v>2</v>
      </c>
      <c r="P153" s="8" t="s">
        <v>67</v>
      </c>
      <c r="Q153" s="8" t="s">
        <v>68</v>
      </c>
      <c r="R153" s="8" t="s">
        <v>69</v>
      </c>
      <c r="S153" s="8" t="s">
        <v>70</v>
      </c>
      <c r="T153" s="9">
        <v>222</v>
      </c>
      <c r="U153" s="9">
        <v>10656</v>
      </c>
      <c r="V153" s="8" t="s">
        <v>70</v>
      </c>
      <c r="W153" s="8">
        <v>12563.42</v>
      </c>
      <c r="X153" s="8">
        <v>9</v>
      </c>
      <c r="Y153" s="8">
        <v>959.04</v>
      </c>
      <c r="Z153" s="8">
        <v>9</v>
      </c>
      <c r="AA153" s="8">
        <v>959.04</v>
      </c>
      <c r="AB153" s="8">
        <v>0</v>
      </c>
      <c r="AC153" s="8">
        <v>0</v>
      </c>
      <c r="AD153" s="8">
        <v>0</v>
      </c>
      <c r="AE153" s="8">
        <v>1918.08</v>
      </c>
      <c r="AF153" s="8">
        <v>0</v>
      </c>
      <c r="AG153" s="8" t="s">
        <v>65</v>
      </c>
      <c r="AH153" s="8" t="s">
        <v>11</v>
      </c>
      <c r="AI153" s="8">
        <v>73063090</v>
      </c>
      <c r="AJ153" s="8" t="s">
        <v>60</v>
      </c>
      <c r="AK153" s="8">
        <v>1</v>
      </c>
      <c r="AL153" s="8">
        <v>0</v>
      </c>
      <c r="AM153" s="8" t="s">
        <v>1940</v>
      </c>
    </row>
    <row r="154" spans="7:39" ht="12.75" customHeight="1">
      <c r="G154" s="347"/>
      <c r="H154" s="348">
        <v>46241</v>
      </c>
      <c r="I154" s="8" t="s">
        <v>87</v>
      </c>
      <c r="J154" s="8" t="s">
        <v>91</v>
      </c>
      <c r="K154" s="8" t="s">
        <v>2880</v>
      </c>
      <c r="L154" s="8" t="s">
        <v>98</v>
      </c>
      <c r="M154" s="8" t="s">
        <v>2881</v>
      </c>
      <c r="N154" s="7">
        <v>46241</v>
      </c>
      <c r="O154" s="8" t="s">
        <v>13</v>
      </c>
      <c r="P154" s="8" t="s">
        <v>80</v>
      </c>
      <c r="Q154" s="8" t="s">
        <v>81</v>
      </c>
      <c r="R154" s="8" t="s">
        <v>82</v>
      </c>
      <c r="S154" s="8" t="s">
        <v>17</v>
      </c>
      <c r="T154" s="9">
        <v>1155</v>
      </c>
      <c r="U154" s="9">
        <v>211110.9</v>
      </c>
      <c r="V154" s="8" t="s">
        <v>17</v>
      </c>
      <c r="W154" s="8">
        <v>248899.75</v>
      </c>
      <c r="X154" s="8">
        <v>9</v>
      </c>
      <c r="Y154" s="8">
        <v>18999.98</v>
      </c>
      <c r="Z154" s="8">
        <v>9</v>
      </c>
      <c r="AA154" s="8">
        <v>18999.98</v>
      </c>
      <c r="AB154" s="8">
        <v>0</v>
      </c>
      <c r="AC154" s="8">
        <v>0</v>
      </c>
      <c r="AD154" s="8">
        <v>0</v>
      </c>
      <c r="AE154" s="8">
        <v>37999.96</v>
      </c>
      <c r="AF154" s="8">
        <v>0</v>
      </c>
      <c r="AG154" s="8" t="s">
        <v>65</v>
      </c>
      <c r="AH154" s="8" t="s">
        <v>11</v>
      </c>
      <c r="AI154" s="8">
        <v>39200000</v>
      </c>
      <c r="AJ154" s="8" t="s">
        <v>60</v>
      </c>
      <c r="AK154" s="8">
        <v>1</v>
      </c>
      <c r="AL154" s="8">
        <v>0</v>
      </c>
      <c r="AM154" s="8" t="s">
        <v>1940</v>
      </c>
    </row>
    <row r="155" spans="7:39" ht="12.75" customHeight="1">
      <c r="G155" s="347"/>
      <c r="H155" s="348">
        <v>46241</v>
      </c>
      <c r="I155" s="8" t="s">
        <v>87</v>
      </c>
      <c r="J155" s="8" t="s">
        <v>91</v>
      </c>
      <c r="K155" s="8" t="s">
        <v>2882</v>
      </c>
      <c r="L155" s="8" t="s">
        <v>98</v>
      </c>
      <c r="M155" s="8" t="s">
        <v>2883</v>
      </c>
      <c r="N155" s="7">
        <v>46241</v>
      </c>
      <c r="O155" s="8" t="s">
        <v>13</v>
      </c>
      <c r="P155" s="8" t="s">
        <v>80</v>
      </c>
      <c r="Q155" s="8" t="s">
        <v>81</v>
      </c>
      <c r="R155" s="8" t="s">
        <v>82</v>
      </c>
      <c r="S155" s="8" t="s">
        <v>17</v>
      </c>
      <c r="T155" s="9">
        <v>2566</v>
      </c>
      <c r="U155" s="9">
        <v>469013.48</v>
      </c>
      <c r="V155" s="8" t="s">
        <v>17</v>
      </c>
      <c r="W155" s="8">
        <v>552966.89</v>
      </c>
      <c r="X155" s="8">
        <v>9</v>
      </c>
      <c r="Y155" s="8">
        <v>42211.21</v>
      </c>
      <c r="Z155" s="8">
        <v>9</v>
      </c>
      <c r="AA155" s="8">
        <v>42211.21</v>
      </c>
      <c r="AB155" s="8">
        <v>0</v>
      </c>
      <c r="AC155" s="8">
        <v>0</v>
      </c>
      <c r="AD155" s="8">
        <v>0</v>
      </c>
      <c r="AE155" s="8">
        <v>84422.42</v>
      </c>
      <c r="AF155" s="8">
        <v>0</v>
      </c>
      <c r="AG155" s="8" t="s">
        <v>65</v>
      </c>
      <c r="AH155" s="8" t="s">
        <v>11</v>
      </c>
      <c r="AI155" s="8">
        <v>39200000</v>
      </c>
      <c r="AJ155" s="8" t="s">
        <v>60</v>
      </c>
      <c r="AK155" s="8">
        <v>1</v>
      </c>
      <c r="AL155" s="8">
        <v>0</v>
      </c>
      <c r="AM155" s="8" t="s">
        <v>1940</v>
      </c>
    </row>
    <row r="156" spans="7:39" ht="12.75" customHeight="1">
      <c r="G156" s="347"/>
      <c r="H156" s="348">
        <v>46241</v>
      </c>
      <c r="I156" s="8" t="s">
        <v>87</v>
      </c>
      <c r="J156" s="8" t="s">
        <v>91</v>
      </c>
      <c r="K156" s="8" t="s">
        <v>2884</v>
      </c>
      <c r="L156" s="8" t="s">
        <v>98</v>
      </c>
      <c r="M156" s="8" t="s">
        <v>2885</v>
      </c>
      <c r="N156" s="7">
        <v>46241</v>
      </c>
      <c r="O156" s="8" t="s">
        <v>13</v>
      </c>
      <c r="P156" s="8" t="s">
        <v>80</v>
      </c>
      <c r="Q156" s="8" t="s">
        <v>81</v>
      </c>
      <c r="R156" s="8" t="s">
        <v>82</v>
      </c>
      <c r="S156" s="8" t="s">
        <v>17</v>
      </c>
      <c r="T156" s="9">
        <v>745</v>
      </c>
      <c r="U156" s="9">
        <v>136171.1</v>
      </c>
      <c r="V156" s="8" t="s">
        <v>17</v>
      </c>
      <c r="W156" s="8">
        <v>160545.73000000001</v>
      </c>
      <c r="X156" s="8">
        <v>9</v>
      </c>
      <c r="Y156" s="8">
        <v>12255.4</v>
      </c>
      <c r="Z156" s="8">
        <v>9</v>
      </c>
      <c r="AA156" s="8">
        <v>12255.4</v>
      </c>
      <c r="AB156" s="8">
        <v>0</v>
      </c>
      <c r="AC156" s="8">
        <v>0</v>
      </c>
      <c r="AD156" s="8">
        <v>0</v>
      </c>
      <c r="AE156" s="8">
        <v>24510.799999999999</v>
      </c>
      <c r="AF156" s="8">
        <v>0</v>
      </c>
      <c r="AG156" s="8" t="s">
        <v>65</v>
      </c>
      <c r="AH156" s="8" t="s">
        <v>11</v>
      </c>
      <c r="AI156" s="8">
        <v>39200000</v>
      </c>
      <c r="AJ156" s="8" t="s">
        <v>60</v>
      </c>
      <c r="AK156" s="8">
        <v>1</v>
      </c>
      <c r="AL156" s="8">
        <v>0</v>
      </c>
      <c r="AM156" s="8" t="s">
        <v>1940</v>
      </c>
    </row>
    <row r="157" spans="7:39" ht="12.75" customHeight="1">
      <c r="G157" s="347"/>
      <c r="H157" s="348">
        <v>46241</v>
      </c>
      <c r="I157" s="8" t="s">
        <v>87</v>
      </c>
      <c r="J157" s="8" t="s">
        <v>91</v>
      </c>
      <c r="K157" s="8" t="s">
        <v>2886</v>
      </c>
      <c r="L157" s="8" t="s">
        <v>98</v>
      </c>
      <c r="M157" s="8" t="s">
        <v>2887</v>
      </c>
      <c r="N157" s="7">
        <v>46241</v>
      </c>
      <c r="O157" s="8" t="s">
        <v>13</v>
      </c>
      <c r="P157" s="8" t="s">
        <v>62</v>
      </c>
      <c r="Q157" s="8" t="s">
        <v>63</v>
      </c>
      <c r="R157" s="8" t="s">
        <v>64</v>
      </c>
      <c r="S157" s="8" t="s">
        <v>19</v>
      </c>
      <c r="T157" s="9">
        <v>2569</v>
      </c>
      <c r="U157" s="9">
        <v>376332.81</v>
      </c>
      <c r="V157" s="8" t="s">
        <v>19</v>
      </c>
      <c r="W157" s="8">
        <v>1232235.04</v>
      </c>
      <c r="X157" s="8">
        <v>9</v>
      </c>
      <c r="Y157" s="8">
        <v>33869.949999999997</v>
      </c>
      <c r="Z157" s="8">
        <v>9</v>
      </c>
      <c r="AA157" s="8">
        <v>33869.949999999997</v>
      </c>
      <c r="AB157" s="8">
        <v>0</v>
      </c>
      <c r="AC157" s="8">
        <v>0</v>
      </c>
      <c r="AD157" s="8">
        <v>0</v>
      </c>
      <c r="AE157" s="8">
        <v>67739.899999999994</v>
      </c>
      <c r="AF157" s="8">
        <v>0</v>
      </c>
      <c r="AG157" s="8" t="s">
        <v>65</v>
      </c>
      <c r="AH157" s="8" t="s">
        <v>11</v>
      </c>
      <c r="AI157" s="8">
        <v>39269080</v>
      </c>
      <c r="AJ157" s="8" t="s">
        <v>60</v>
      </c>
      <c r="AK157" s="8">
        <v>1</v>
      </c>
      <c r="AL157" s="8">
        <v>0</v>
      </c>
      <c r="AM157" s="8" t="s">
        <v>1940</v>
      </c>
    </row>
    <row r="158" spans="7:39" ht="12.75" customHeight="1">
      <c r="G158" s="347"/>
      <c r="H158" s="348">
        <v>46241</v>
      </c>
      <c r="I158" s="8" t="s">
        <v>87</v>
      </c>
      <c r="J158" s="8" t="s">
        <v>91</v>
      </c>
      <c r="K158" s="8" t="s">
        <v>2886</v>
      </c>
      <c r="L158" s="8" t="s">
        <v>98</v>
      </c>
      <c r="M158" s="8" t="s">
        <v>2887</v>
      </c>
      <c r="N158" s="7">
        <v>46241</v>
      </c>
      <c r="O158" s="8" t="s">
        <v>13</v>
      </c>
      <c r="P158" s="8" t="s">
        <v>62</v>
      </c>
      <c r="Q158" s="8" t="s">
        <v>63</v>
      </c>
      <c r="R158" s="8" t="s">
        <v>64</v>
      </c>
      <c r="S158" s="8" t="s">
        <v>19</v>
      </c>
      <c r="T158" s="9">
        <v>907</v>
      </c>
      <c r="U158" s="9">
        <v>133773.43</v>
      </c>
      <c r="V158" s="8" t="s">
        <v>19</v>
      </c>
      <c r="W158" s="8">
        <v>0</v>
      </c>
      <c r="X158" s="8">
        <v>9</v>
      </c>
      <c r="Y158" s="8">
        <v>12039.61</v>
      </c>
      <c r="Z158" s="8">
        <v>9</v>
      </c>
      <c r="AA158" s="8">
        <v>12039.61</v>
      </c>
      <c r="AB158" s="8">
        <v>0</v>
      </c>
      <c r="AC158" s="8">
        <v>0</v>
      </c>
      <c r="AD158" s="8">
        <v>0</v>
      </c>
      <c r="AE158" s="8">
        <v>24079.22</v>
      </c>
      <c r="AF158" s="8">
        <v>0</v>
      </c>
      <c r="AG158" s="8" t="s">
        <v>65</v>
      </c>
      <c r="AH158" s="8" t="s">
        <v>11</v>
      </c>
      <c r="AI158" s="8">
        <v>39269080</v>
      </c>
      <c r="AJ158" s="8" t="s">
        <v>60</v>
      </c>
      <c r="AK158" s="8">
        <v>1</v>
      </c>
      <c r="AL158" s="8">
        <v>0</v>
      </c>
      <c r="AM158" s="8" t="s">
        <v>1940</v>
      </c>
    </row>
    <row r="159" spans="7:39" ht="12.75" customHeight="1">
      <c r="G159" s="347"/>
      <c r="H159" s="348">
        <v>46241</v>
      </c>
      <c r="I159" s="8" t="s">
        <v>87</v>
      </c>
      <c r="J159" s="8" t="s">
        <v>91</v>
      </c>
      <c r="K159" s="8" t="s">
        <v>2886</v>
      </c>
      <c r="L159" s="8" t="s">
        <v>98</v>
      </c>
      <c r="M159" s="8" t="s">
        <v>2887</v>
      </c>
      <c r="N159" s="7">
        <v>46241</v>
      </c>
      <c r="O159" s="8" t="s">
        <v>13</v>
      </c>
      <c r="P159" s="8" t="s">
        <v>62</v>
      </c>
      <c r="Q159" s="8" t="s">
        <v>63</v>
      </c>
      <c r="R159" s="8" t="s">
        <v>64</v>
      </c>
      <c r="S159" s="8" t="s">
        <v>19</v>
      </c>
      <c r="T159" s="9">
        <v>3703</v>
      </c>
      <c r="U159" s="9">
        <v>535046.47</v>
      </c>
      <c r="V159" s="8" t="s">
        <v>19</v>
      </c>
      <c r="W159" s="8">
        <v>0</v>
      </c>
      <c r="X159" s="8">
        <v>9</v>
      </c>
      <c r="Y159" s="8">
        <v>48154.18</v>
      </c>
      <c r="Z159" s="8">
        <v>9</v>
      </c>
      <c r="AA159" s="8">
        <v>48154.18</v>
      </c>
      <c r="AB159" s="8">
        <v>0</v>
      </c>
      <c r="AC159" s="8">
        <v>0</v>
      </c>
      <c r="AD159" s="8">
        <v>0</v>
      </c>
      <c r="AE159" s="8">
        <v>96308.36</v>
      </c>
      <c r="AF159" s="8">
        <v>0</v>
      </c>
      <c r="AG159" s="8" t="s">
        <v>65</v>
      </c>
      <c r="AH159" s="8" t="s">
        <v>11</v>
      </c>
      <c r="AI159" s="8">
        <v>39269080</v>
      </c>
      <c r="AJ159" s="8" t="s">
        <v>60</v>
      </c>
      <c r="AK159" s="8">
        <v>1</v>
      </c>
      <c r="AL159" s="8">
        <v>0</v>
      </c>
      <c r="AM159" s="8" t="s">
        <v>1940</v>
      </c>
    </row>
    <row r="160" spans="7:39" ht="12.75" customHeight="1">
      <c r="G160" s="347"/>
      <c r="H160" s="348">
        <v>46241</v>
      </c>
      <c r="I160" s="8" t="s">
        <v>87</v>
      </c>
      <c r="J160" s="8" t="s">
        <v>91</v>
      </c>
      <c r="K160" s="8" t="s">
        <v>2888</v>
      </c>
      <c r="L160" s="8" t="s">
        <v>98</v>
      </c>
      <c r="M160" s="8" t="s">
        <v>2889</v>
      </c>
      <c r="N160" s="7">
        <v>46241</v>
      </c>
      <c r="O160" s="8" t="s">
        <v>13</v>
      </c>
      <c r="P160" s="8" t="s">
        <v>62</v>
      </c>
      <c r="Q160" s="8" t="s">
        <v>76</v>
      </c>
      <c r="R160" s="8" t="s">
        <v>77</v>
      </c>
      <c r="S160" s="8" t="s">
        <v>21</v>
      </c>
      <c r="T160" s="9">
        <v>320</v>
      </c>
      <c r="U160" s="9">
        <v>46876.800000000003</v>
      </c>
      <c r="V160" s="8" t="s">
        <v>21</v>
      </c>
      <c r="W160" s="8">
        <v>301290.55</v>
      </c>
      <c r="X160" s="8">
        <v>9</v>
      </c>
      <c r="Y160" s="8">
        <v>4218.91</v>
      </c>
      <c r="Z160" s="8">
        <v>9</v>
      </c>
      <c r="AA160" s="8">
        <v>4218.91</v>
      </c>
      <c r="AB160" s="8">
        <v>0</v>
      </c>
      <c r="AC160" s="8">
        <v>0</v>
      </c>
      <c r="AD160" s="8">
        <v>0</v>
      </c>
      <c r="AE160" s="8">
        <v>8437.82</v>
      </c>
      <c r="AF160" s="8">
        <v>0</v>
      </c>
      <c r="AG160" s="8" t="s">
        <v>65</v>
      </c>
      <c r="AH160" s="8" t="s">
        <v>11</v>
      </c>
      <c r="AI160" s="8">
        <v>63053300</v>
      </c>
      <c r="AJ160" s="8" t="s">
        <v>60</v>
      </c>
      <c r="AK160" s="8">
        <v>1</v>
      </c>
      <c r="AL160" s="8">
        <v>0</v>
      </c>
      <c r="AM160" s="8" t="s">
        <v>1940</v>
      </c>
    </row>
    <row r="161" spans="7:39" ht="12.75" customHeight="1">
      <c r="G161" s="347"/>
      <c r="H161" s="348">
        <v>46241</v>
      </c>
      <c r="I161" s="8" t="s">
        <v>87</v>
      </c>
      <c r="J161" s="8" t="s">
        <v>91</v>
      </c>
      <c r="K161" s="8" t="s">
        <v>2888</v>
      </c>
      <c r="L161" s="8" t="s">
        <v>98</v>
      </c>
      <c r="M161" s="8" t="s">
        <v>2889</v>
      </c>
      <c r="N161" s="7">
        <v>46241</v>
      </c>
      <c r="O161" s="8" t="s">
        <v>13</v>
      </c>
      <c r="P161" s="8" t="s">
        <v>62</v>
      </c>
      <c r="Q161" s="8" t="s">
        <v>63</v>
      </c>
      <c r="R161" s="8" t="s">
        <v>64</v>
      </c>
      <c r="S161" s="8" t="s">
        <v>19</v>
      </c>
      <c r="T161" s="9">
        <v>220</v>
      </c>
      <c r="U161" s="9">
        <v>31787.8</v>
      </c>
      <c r="V161" s="8" t="s">
        <v>19</v>
      </c>
      <c r="W161" s="8">
        <v>0</v>
      </c>
      <c r="X161" s="8">
        <v>9</v>
      </c>
      <c r="Y161" s="8">
        <v>2860.9</v>
      </c>
      <c r="Z161" s="8">
        <v>9</v>
      </c>
      <c r="AA161" s="8">
        <v>2860.9</v>
      </c>
      <c r="AB161" s="8">
        <v>0</v>
      </c>
      <c r="AC161" s="8">
        <v>0</v>
      </c>
      <c r="AD161" s="8">
        <v>0</v>
      </c>
      <c r="AE161" s="8">
        <v>5721.8</v>
      </c>
      <c r="AF161" s="8">
        <v>0</v>
      </c>
      <c r="AG161" s="8" t="s">
        <v>65</v>
      </c>
      <c r="AH161" s="8" t="s">
        <v>11</v>
      </c>
      <c r="AI161" s="8">
        <v>39269080</v>
      </c>
      <c r="AJ161" s="8" t="s">
        <v>60</v>
      </c>
      <c r="AK161" s="8">
        <v>1</v>
      </c>
      <c r="AL161" s="8">
        <v>0</v>
      </c>
      <c r="AM161" s="8" t="s">
        <v>1940</v>
      </c>
    </row>
    <row r="162" spans="7:39" ht="12.75" customHeight="1">
      <c r="G162" s="347"/>
      <c r="H162" s="348">
        <v>46241</v>
      </c>
      <c r="I162" s="8" t="s">
        <v>87</v>
      </c>
      <c r="J162" s="8" t="s">
        <v>91</v>
      </c>
      <c r="K162" s="8" t="s">
        <v>2888</v>
      </c>
      <c r="L162" s="8" t="s">
        <v>98</v>
      </c>
      <c r="M162" s="8" t="s">
        <v>2889</v>
      </c>
      <c r="N162" s="7">
        <v>46241</v>
      </c>
      <c r="O162" s="8" t="s">
        <v>13</v>
      </c>
      <c r="P162" s="8" t="s">
        <v>62</v>
      </c>
      <c r="Q162" s="8" t="s">
        <v>63</v>
      </c>
      <c r="R162" s="8" t="s">
        <v>64</v>
      </c>
      <c r="S162" s="8" t="s">
        <v>19</v>
      </c>
      <c r="T162" s="9">
        <v>990</v>
      </c>
      <c r="U162" s="9">
        <v>145025.1</v>
      </c>
      <c r="V162" s="8" t="s">
        <v>19</v>
      </c>
      <c r="W162" s="8">
        <v>0</v>
      </c>
      <c r="X162" s="8">
        <v>9</v>
      </c>
      <c r="Y162" s="8">
        <v>13052.26</v>
      </c>
      <c r="Z162" s="8">
        <v>9</v>
      </c>
      <c r="AA162" s="8">
        <v>13052.26</v>
      </c>
      <c r="AB162" s="8">
        <v>0</v>
      </c>
      <c r="AC162" s="8">
        <v>0</v>
      </c>
      <c r="AD162" s="8">
        <v>0</v>
      </c>
      <c r="AE162" s="8">
        <v>26104.52</v>
      </c>
      <c r="AF162" s="8">
        <v>0</v>
      </c>
      <c r="AG162" s="8" t="s">
        <v>65</v>
      </c>
      <c r="AH162" s="8" t="s">
        <v>11</v>
      </c>
      <c r="AI162" s="8">
        <v>39269080</v>
      </c>
      <c r="AJ162" s="8" t="s">
        <v>60</v>
      </c>
      <c r="AK162" s="8">
        <v>1</v>
      </c>
      <c r="AL162" s="8">
        <v>0</v>
      </c>
      <c r="AM162" s="8" t="s">
        <v>1940</v>
      </c>
    </row>
    <row r="163" spans="7:39" ht="12.75" customHeight="1">
      <c r="G163" s="347"/>
      <c r="H163" s="348">
        <v>46241</v>
      </c>
      <c r="I163" s="8" t="s">
        <v>87</v>
      </c>
      <c r="J163" s="8" t="s">
        <v>91</v>
      </c>
      <c r="K163" s="8" t="s">
        <v>2888</v>
      </c>
      <c r="L163" s="8" t="s">
        <v>98</v>
      </c>
      <c r="M163" s="8" t="s">
        <v>2889</v>
      </c>
      <c r="N163" s="7">
        <v>46241</v>
      </c>
      <c r="O163" s="8" t="s">
        <v>13</v>
      </c>
      <c r="P163" s="8" t="s">
        <v>62</v>
      </c>
      <c r="Q163" s="8" t="s">
        <v>63</v>
      </c>
      <c r="R163" s="8" t="s">
        <v>64</v>
      </c>
      <c r="S163" s="8" t="s">
        <v>19</v>
      </c>
      <c r="T163" s="9">
        <v>216</v>
      </c>
      <c r="U163" s="9">
        <v>31857.84</v>
      </c>
      <c r="V163" s="8" t="s">
        <v>19</v>
      </c>
      <c r="W163" s="8">
        <v>0</v>
      </c>
      <c r="X163" s="8">
        <v>9</v>
      </c>
      <c r="Y163" s="8">
        <v>2867.21</v>
      </c>
      <c r="Z163" s="8">
        <v>9</v>
      </c>
      <c r="AA163" s="8">
        <v>2867.21</v>
      </c>
      <c r="AB163" s="8">
        <v>0</v>
      </c>
      <c r="AC163" s="8">
        <v>0</v>
      </c>
      <c r="AD163" s="8">
        <v>0</v>
      </c>
      <c r="AE163" s="8">
        <v>5734.42</v>
      </c>
      <c r="AF163" s="8">
        <v>0</v>
      </c>
      <c r="AG163" s="8" t="s">
        <v>65</v>
      </c>
      <c r="AH163" s="8" t="s">
        <v>11</v>
      </c>
      <c r="AI163" s="8">
        <v>39269080</v>
      </c>
      <c r="AJ163" s="8" t="s">
        <v>60</v>
      </c>
      <c r="AK163" s="8">
        <v>1</v>
      </c>
      <c r="AL163" s="8">
        <v>0</v>
      </c>
      <c r="AM163" s="8" t="s">
        <v>1940</v>
      </c>
    </row>
    <row r="164" spans="7:39" ht="12.75" customHeight="1">
      <c r="G164" s="347"/>
      <c r="H164" s="348">
        <v>46241</v>
      </c>
      <c r="I164" s="8" t="s">
        <v>87</v>
      </c>
      <c r="J164" s="8" t="s">
        <v>91</v>
      </c>
      <c r="K164" s="8" t="s">
        <v>2890</v>
      </c>
      <c r="L164" s="8" t="s">
        <v>98</v>
      </c>
      <c r="M164" s="8" t="s">
        <v>2891</v>
      </c>
      <c r="N164" s="7">
        <v>46241</v>
      </c>
      <c r="O164" s="8" t="s">
        <v>13</v>
      </c>
      <c r="P164" s="8" t="s">
        <v>24</v>
      </c>
      <c r="Q164" s="8" t="s">
        <v>79</v>
      </c>
      <c r="R164" s="8" t="s">
        <v>79</v>
      </c>
      <c r="S164" s="8" t="s">
        <v>24</v>
      </c>
      <c r="T164" s="9">
        <v>1020.7</v>
      </c>
      <c r="U164" s="9">
        <v>152584.44</v>
      </c>
      <c r="V164" s="8" t="s">
        <v>24</v>
      </c>
      <c r="W164" s="8">
        <v>691478.36</v>
      </c>
      <c r="X164" s="8">
        <v>9</v>
      </c>
      <c r="Y164" s="8">
        <v>13732.6</v>
      </c>
      <c r="Z164" s="8">
        <v>9</v>
      </c>
      <c r="AA164" s="8">
        <v>13732.6</v>
      </c>
      <c r="AB164" s="8">
        <v>0</v>
      </c>
      <c r="AC164" s="8">
        <v>0</v>
      </c>
      <c r="AD164" s="8">
        <v>0</v>
      </c>
      <c r="AE164" s="8">
        <v>27465.200000000001</v>
      </c>
      <c r="AF164" s="8">
        <v>0</v>
      </c>
      <c r="AG164" s="8" t="s">
        <v>65</v>
      </c>
      <c r="AH164" s="8" t="s">
        <v>11</v>
      </c>
      <c r="AI164" s="8">
        <v>3926908</v>
      </c>
      <c r="AJ164" s="8" t="s">
        <v>60</v>
      </c>
      <c r="AK164" s="8">
        <v>1</v>
      </c>
      <c r="AL164" s="8">
        <v>0</v>
      </c>
      <c r="AM164" s="8" t="s">
        <v>1940</v>
      </c>
    </row>
    <row r="165" spans="7:39" ht="12.75" customHeight="1">
      <c r="G165" s="347"/>
      <c r="H165" s="348">
        <v>46241</v>
      </c>
      <c r="I165" s="8" t="s">
        <v>87</v>
      </c>
      <c r="J165" s="8" t="s">
        <v>91</v>
      </c>
      <c r="K165" s="8" t="s">
        <v>2890</v>
      </c>
      <c r="L165" s="8" t="s">
        <v>98</v>
      </c>
      <c r="M165" s="8" t="s">
        <v>2891</v>
      </c>
      <c r="N165" s="7">
        <v>46241</v>
      </c>
      <c r="O165" s="8" t="s">
        <v>13</v>
      </c>
      <c r="P165" s="8" t="s">
        <v>24</v>
      </c>
      <c r="Q165" s="8" t="s">
        <v>79</v>
      </c>
      <c r="R165" s="8" t="s">
        <v>79</v>
      </c>
      <c r="S165" s="8" t="s">
        <v>24</v>
      </c>
      <c r="T165" s="9">
        <v>1332.3</v>
      </c>
      <c r="U165" s="9">
        <v>195168.63</v>
      </c>
      <c r="V165" s="8" t="s">
        <v>24</v>
      </c>
      <c r="W165" s="8">
        <v>0</v>
      </c>
      <c r="X165" s="8">
        <v>9</v>
      </c>
      <c r="Y165" s="8">
        <v>17565.18</v>
      </c>
      <c r="Z165" s="8">
        <v>9</v>
      </c>
      <c r="AA165" s="8">
        <v>17565.18</v>
      </c>
      <c r="AB165" s="8">
        <v>0</v>
      </c>
      <c r="AC165" s="8">
        <v>0</v>
      </c>
      <c r="AD165" s="8">
        <v>0</v>
      </c>
      <c r="AE165" s="8">
        <v>35130.36</v>
      </c>
      <c r="AF165" s="8">
        <v>0</v>
      </c>
      <c r="AG165" s="8" t="s">
        <v>65</v>
      </c>
      <c r="AH165" s="8" t="s">
        <v>11</v>
      </c>
      <c r="AI165" s="8">
        <v>3926908</v>
      </c>
      <c r="AJ165" s="8" t="s">
        <v>60</v>
      </c>
      <c r="AK165" s="8">
        <v>1</v>
      </c>
      <c r="AL165" s="8">
        <v>0</v>
      </c>
      <c r="AM165" s="8" t="s">
        <v>1940</v>
      </c>
    </row>
    <row r="166" spans="7:39" ht="12.75" customHeight="1">
      <c r="G166" s="347"/>
      <c r="H166" s="348">
        <v>46241</v>
      </c>
      <c r="I166" s="8" t="s">
        <v>87</v>
      </c>
      <c r="J166" s="8" t="s">
        <v>91</v>
      </c>
      <c r="K166" s="8" t="s">
        <v>2890</v>
      </c>
      <c r="L166" s="8" t="s">
        <v>98</v>
      </c>
      <c r="M166" s="8" t="s">
        <v>2891</v>
      </c>
      <c r="N166" s="7">
        <v>46241</v>
      </c>
      <c r="O166" s="8" t="s">
        <v>13</v>
      </c>
      <c r="P166" s="8" t="s">
        <v>99</v>
      </c>
      <c r="Q166" s="8" t="s">
        <v>100</v>
      </c>
      <c r="R166" s="8" t="s">
        <v>101</v>
      </c>
      <c r="S166" s="8" t="s">
        <v>586</v>
      </c>
      <c r="T166" s="9">
        <v>1274.8</v>
      </c>
      <c r="U166" s="9">
        <v>199493.45</v>
      </c>
      <c r="V166" s="8" t="s">
        <v>586</v>
      </c>
      <c r="W166" s="8">
        <v>0</v>
      </c>
      <c r="X166" s="8">
        <v>2.5</v>
      </c>
      <c r="Y166" s="8">
        <v>4987.34</v>
      </c>
      <c r="Z166" s="8">
        <v>2.5</v>
      </c>
      <c r="AA166" s="8">
        <v>4987.34</v>
      </c>
      <c r="AB166" s="8">
        <v>0</v>
      </c>
      <c r="AC166" s="8">
        <v>0</v>
      </c>
      <c r="AD166" s="8">
        <v>0</v>
      </c>
      <c r="AE166" s="8">
        <v>9974.68</v>
      </c>
      <c r="AF166" s="8">
        <v>0</v>
      </c>
      <c r="AG166" s="8" t="s">
        <v>65</v>
      </c>
      <c r="AH166" s="8" t="s">
        <v>3</v>
      </c>
      <c r="AI166" s="8">
        <v>540263</v>
      </c>
      <c r="AJ166" s="8" t="s">
        <v>60</v>
      </c>
      <c r="AK166" s="8">
        <v>1</v>
      </c>
      <c r="AL166" s="8">
        <v>0</v>
      </c>
      <c r="AM166" s="8" t="s">
        <v>1940</v>
      </c>
    </row>
    <row r="167" spans="7:39" ht="12.75" customHeight="1">
      <c r="G167" s="347"/>
      <c r="H167" s="348">
        <v>46241</v>
      </c>
      <c r="I167" s="8" t="s">
        <v>87</v>
      </c>
      <c r="J167" s="8" t="s">
        <v>91</v>
      </c>
      <c r="K167" s="8" t="s">
        <v>2890</v>
      </c>
      <c r="L167" s="8" t="s">
        <v>98</v>
      </c>
      <c r="M167" s="8" t="s">
        <v>2891</v>
      </c>
      <c r="N167" s="7">
        <v>46241</v>
      </c>
      <c r="O167" s="8" t="s">
        <v>13</v>
      </c>
      <c r="P167" s="8" t="s">
        <v>99</v>
      </c>
      <c r="Q167" s="8" t="s">
        <v>100</v>
      </c>
      <c r="R167" s="8" t="s">
        <v>101</v>
      </c>
      <c r="S167" s="8" t="s">
        <v>1617</v>
      </c>
      <c r="T167" s="9">
        <v>431.6</v>
      </c>
      <c r="U167" s="9">
        <v>68835.88</v>
      </c>
      <c r="V167" s="8" t="s">
        <v>1617</v>
      </c>
      <c r="W167" s="8">
        <v>0</v>
      </c>
      <c r="X167" s="8">
        <v>2.5</v>
      </c>
      <c r="Y167" s="8">
        <v>1720.9</v>
      </c>
      <c r="Z167" s="8">
        <v>2.5</v>
      </c>
      <c r="AA167" s="8">
        <v>1720.9</v>
      </c>
      <c r="AB167" s="8">
        <v>0</v>
      </c>
      <c r="AC167" s="8">
        <v>0</v>
      </c>
      <c r="AD167" s="8">
        <v>0</v>
      </c>
      <c r="AE167" s="8">
        <v>3441.8</v>
      </c>
      <c r="AF167" s="8">
        <v>0</v>
      </c>
      <c r="AG167" s="8" t="s">
        <v>65</v>
      </c>
      <c r="AH167" s="8" t="s">
        <v>11</v>
      </c>
      <c r="AI167" s="8">
        <v>54026930</v>
      </c>
      <c r="AJ167" s="8" t="s">
        <v>60</v>
      </c>
      <c r="AK167" s="8">
        <v>1</v>
      </c>
      <c r="AL167" s="8">
        <v>0</v>
      </c>
      <c r="AM167" s="8" t="s">
        <v>1940</v>
      </c>
    </row>
    <row r="168" spans="7:39" ht="12.75" customHeight="1">
      <c r="G168" s="347"/>
      <c r="H168" s="348">
        <v>46241</v>
      </c>
      <c r="I168" s="8" t="s">
        <v>89</v>
      </c>
      <c r="J168" s="8" t="s">
        <v>91</v>
      </c>
      <c r="K168" s="8" t="s">
        <v>2892</v>
      </c>
      <c r="L168" s="8" t="s">
        <v>98</v>
      </c>
      <c r="M168" s="8" t="s">
        <v>2893</v>
      </c>
      <c r="N168" s="7">
        <v>46210</v>
      </c>
      <c r="O168" s="8" t="s">
        <v>13</v>
      </c>
      <c r="P168" s="8" t="s">
        <v>62</v>
      </c>
      <c r="Q168" s="8" t="s">
        <v>63</v>
      </c>
      <c r="R168" s="8" t="s">
        <v>64</v>
      </c>
      <c r="S168" s="8" t="s">
        <v>19</v>
      </c>
      <c r="T168" s="9">
        <v>8789.9</v>
      </c>
      <c r="U168" s="9">
        <v>980952.84</v>
      </c>
      <c r="V168" s="8" t="s">
        <v>19</v>
      </c>
      <c r="W168" s="8">
        <v>1156543.4099999999</v>
      </c>
      <c r="X168" s="8">
        <v>9</v>
      </c>
      <c r="Y168" s="8">
        <v>88285.759999999995</v>
      </c>
      <c r="Z168" s="8">
        <v>9</v>
      </c>
      <c r="AA168" s="8">
        <v>88285.759999999995</v>
      </c>
      <c r="AB168" s="8">
        <v>0</v>
      </c>
      <c r="AC168" s="8">
        <v>0</v>
      </c>
      <c r="AD168" s="8">
        <v>0</v>
      </c>
      <c r="AE168" s="8">
        <v>176571.51999999999</v>
      </c>
      <c r="AF168" s="8">
        <v>0</v>
      </c>
      <c r="AG168" s="8" t="s">
        <v>65</v>
      </c>
      <c r="AH168" s="8" t="s">
        <v>11</v>
      </c>
      <c r="AI168" s="8">
        <v>39269080</v>
      </c>
      <c r="AJ168" s="8" t="s">
        <v>60</v>
      </c>
      <c r="AK168" s="8">
        <v>1</v>
      </c>
      <c r="AL168" s="8">
        <v>0</v>
      </c>
      <c r="AM168" s="8" t="s">
        <v>1940</v>
      </c>
    </row>
    <row r="169" spans="7:39" ht="12.75" customHeight="1">
      <c r="G169" s="347"/>
      <c r="H169" s="348">
        <v>46241</v>
      </c>
      <c r="I169" s="8" t="s">
        <v>94</v>
      </c>
      <c r="J169" s="8" t="s">
        <v>96</v>
      </c>
      <c r="K169" s="8" t="s">
        <v>2894</v>
      </c>
      <c r="L169" s="8" t="s">
        <v>97</v>
      </c>
      <c r="M169" s="8" t="s">
        <v>2895</v>
      </c>
      <c r="N169" s="7">
        <v>46241</v>
      </c>
      <c r="O169" s="8" t="s">
        <v>2</v>
      </c>
      <c r="P169" s="8" t="s">
        <v>67</v>
      </c>
      <c r="Q169" s="8" t="s">
        <v>68</v>
      </c>
      <c r="R169" s="8" t="s">
        <v>69</v>
      </c>
      <c r="S169" s="8" t="s">
        <v>70</v>
      </c>
      <c r="T169" s="9">
        <v>24</v>
      </c>
      <c r="U169" s="9">
        <v>1152</v>
      </c>
      <c r="V169" s="8" t="s">
        <v>70</v>
      </c>
      <c r="W169" s="8">
        <v>1358.21</v>
      </c>
      <c r="X169" s="8">
        <v>9</v>
      </c>
      <c r="Y169" s="8">
        <v>103.68</v>
      </c>
      <c r="Z169" s="8">
        <v>9</v>
      </c>
      <c r="AA169" s="8">
        <v>103.68</v>
      </c>
      <c r="AB169" s="8">
        <v>0</v>
      </c>
      <c r="AC169" s="8">
        <v>0</v>
      </c>
      <c r="AD169" s="8">
        <v>0</v>
      </c>
      <c r="AE169" s="8">
        <v>207.36</v>
      </c>
      <c r="AF169" s="8">
        <v>0</v>
      </c>
      <c r="AG169" s="8" t="s">
        <v>74</v>
      </c>
      <c r="AH169" s="8" t="s">
        <v>11</v>
      </c>
      <c r="AI169" s="8">
        <v>73063090</v>
      </c>
      <c r="AJ169" s="8" t="s">
        <v>60</v>
      </c>
      <c r="AK169" s="8">
        <v>1</v>
      </c>
      <c r="AL169" s="8">
        <v>0</v>
      </c>
      <c r="AM169" s="8" t="s">
        <v>1940</v>
      </c>
    </row>
    <row r="170" spans="7:39" ht="12.75" customHeight="1">
      <c r="G170" s="347"/>
      <c r="H170" s="348">
        <v>46241</v>
      </c>
      <c r="I170" s="8" t="s">
        <v>94</v>
      </c>
      <c r="J170" s="8" t="s">
        <v>91</v>
      </c>
      <c r="K170" s="8" t="s">
        <v>2896</v>
      </c>
      <c r="L170" s="8" t="s">
        <v>98</v>
      </c>
      <c r="M170" s="8" t="s">
        <v>2897</v>
      </c>
      <c r="N170" s="7">
        <v>46241</v>
      </c>
      <c r="O170" s="8" t="s">
        <v>13</v>
      </c>
      <c r="P170" s="8" t="s">
        <v>62</v>
      </c>
      <c r="Q170" s="8" t="s">
        <v>76</v>
      </c>
      <c r="R170" s="8" t="s">
        <v>77</v>
      </c>
      <c r="S170" s="8" t="s">
        <v>21</v>
      </c>
      <c r="T170" s="9">
        <v>215</v>
      </c>
      <c r="U170" s="9">
        <v>34129.1</v>
      </c>
      <c r="V170" s="8" t="s">
        <v>21</v>
      </c>
      <c r="W170" s="8">
        <v>156269.07999999999</v>
      </c>
      <c r="X170" s="8">
        <v>9</v>
      </c>
      <c r="Y170" s="8">
        <v>3071.62</v>
      </c>
      <c r="Z170" s="8">
        <v>9</v>
      </c>
      <c r="AA170" s="8">
        <v>3071.62</v>
      </c>
      <c r="AB170" s="8">
        <v>0</v>
      </c>
      <c r="AC170" s="8">
        <v>0</v>
      </c>
      <c r="AD170" s="8">
        <v>0</v>
      </c>
      <c r="AE170" s="8">
        <v>6143.24</v>
      </c>
      <c r="AF170" s="8">
        <v>0</v>
      </c>
      <c r="AG170" s="8" t="s">
        <v>74</v>
      </c>
      <c r="AH170" s="8" t="s">
        <v>11</v>
      </c>
      <c r="AI170" s="8">
        <v>63053300</v>
      </c>
      <c r="AJ170" s="8" t="s">
        <v>60</v>
      </c>
      <c r="AK170" s="8">
        <v>1</v>
      </c>
      <c r="AL170" s="8">
        <v>0</v>
      </c>
      <c r="AM170" s="8" t="s">
        <v>1940</v>
      </c>
    </row>
    <row r="171" spans="7:39" ht="12.75" customHeight="1">
      <c r="G171" s="347"/>
      <c r="H171" s="348">
        <v>46241</v>
      </c>
      <c r="I171" s="8" t="s">
        <v>94</v>
      </c>
      <c r="J171" s="8" t="s">
        <v>91</v>
      </c>
      <c r="K171" s="8" t="s">
        <v>2896</v>
      </c>
      <c r="L171" s="8" t="s">
        <v>98</v>
      </c>
      <c r="M171" s="8" t="s">
        <v>2897</v>
      </c>
      <c r="N171" s="7">
        <v>46241</v>
      </c>
      <c r="O171" s="8" t="s">
        <v>15</v>
      </c>
      <c r="P171" s="8" t="s">
        <v>2117</v>
      </c>
      <c r="Q171" s="8" t="s">
        <v>2117</v>
      </c>
      <c r="R171" s="8" t="s">
        <v>2117</v>
      </c>
      <c r="S171" s="347" t="s">
        <v>64</v>
      </c>
      <c r="T171" s="9">
        <v>295</v>
      </c>
      <c r="U171" s="9">
        <v>45648.3</v>
      </c>
      <c r="V171" s="8" t="s">
        <v>2117</v>
      </c>
      <c r="W171" s="8">
        <v>0</v>
      </c>
      <c r="X171" s="8">
        <v>9</v>
      </c>
      <c r="Y171" s="8">
        <v>4108.3500000000004</v>
      </c>
      <c r="Z171" s="8">
        <v>9</v>
      </c>
      <c r="AA171" s="8">
        <v>4108.3500000000004</v>
      </c>
      <c r="AB171" s="8">
        <v>0</v>
      </c>
      <c r="AC171" s="8">
        <v>0</v>
      </c>
      <c r="AD171" s="8">
        <v>0</v>
      </c>
      <c r="AE171" s="8">
        <v>8216.7000000000007</v>
      </c>
      <c r="AF171" s="8">
        <v>0</v>
      </c>
      <c r="AG171" s="8" t="s">
        <v>74</v>
      </c>
      <c r="AH171" s="8" t="s">
        <v>11</v>
      </c>
      <c r="AI171" s="8">
        <v>39269080</v>
      </c>
      <c r="AJ171" s="8" t="s">
        <v>60</v>
      </c>
      <c r="AK171" s="8">
        <v>1</v>
      </c>
      <c r="AL171" s="8">
        <v>0</v>
      </c>
      <c r="AM171" s="8" t="s">
        <v>1940</v>
      </c>
    </row>
    <row r="172" spans="7:39" ht="12.75" customHeight="1">
      <c r="G172" s="347"/>
      <c r="H172" s="348">
        <v>46241</v>
      </c>
      <c r="I172" s="8" t="s">
        <v>94</v>
      </c>
      <c r="J172" s="8" t="s">
        <v>91</v>
      </c>
      <c r="K172" s="8" t="s">
        <v>2896</v>
      </c>
      <c r="L172" s="8" t="s">
        <v>98</v>
      </c>
      <c r="M172" s="8" t="s">
        <v>2897</v>
      </c>
      <c r="N172" s="7">
        <v>46241</v>
      </c>
      <c r="O172" s="8" t="s">
        <v>13</v>
      </c>
      <c r="P172" s="8" t="s">
        <v>62</v>
      </c>
      <c r="Q172" s="8" t="s">
        <v>63</v>
      </c>
      <c r="R172" s="8" t="s">
        <v>64</v>
      </c>
      <c r="S172" s="8" t="s">
        <v>19</v>
      </c>
      <c r="T172" s="9">
        <v>341</v>
      </c>
      <c r="U172" s="9">
        <v>52766.34</v>
      </c>
      <c r="V172" s="8" t="s">
        <v>19</v>
      </c>
      <c r="W172" s="8">
        <v>0</v>
      </c>
      <c r="X172" s="8">
        <v>9</v>
      </c>
      <c r="Y172" s="8">
        <v>4748.97</v>
      </c>
      <c r="Z172" s="8">
        <v>9</v>
      </c>
      <c r="AA172" s="8">
        <v>4748.97</v>
      </c>
      <c r="AB172" s="8">
        <v>0</v>
      </c>
      <c r="AC172" s="8">
        <v>0</v>
      </c>
      <c r="AD172" s="8">
        <v>0</v>
      </c>
      <c r="AE172" s="8">
        <v>9497.94</v>
      </c>
      <c r="AF172" s="8">
        <v>0</v>
      </c>
      <c r="AG172" s="8" t="s">
        <v>74</v>
      </c>
      <c r="AH172" s="8" t="s">
        <v>11</v>
      </c>
      <c r="AI172" s="8">
        <v>39269080</v>
      </c>
      <c r="AJ172" s="8" t="s">
        <v>60</v>
      </c>
      <c r="AK172" s="8">
        <v>1</v>
      </c>
      <c r="AL172" s="8">
        <v>0</v>
      </c>
      <c r="AM172" s="8" t="s">
        <v>1940</v>
      </c>
    </row>
    <row r="173" spans="7:39" ht="12.75" customHeight="1">
      <c r="G173" s="347"/>
      <c r="H173" s="348">
        <v>46241</v>
      </c>
      <c r="I173" s="8" t="s">
        <v>2506</v>
      </c>
      <c r="J173" s="8" t="s">
        <v>96</v>
      </c>
      <c r="K173" s="8" t="s">
        <v>2898</v>
      </c>
      <c r="L173" s="8" t="s">
        <v>2250</v>
      </c>
      <c r="M173" s="8" t="s">
        <v>2899</v>
      </c>
      <c r="N173" s="7">
        <v>46119</v>
      </c>
      <c r="O173" s="8" t="s">
        <v>8</v>
      </c>
      <c r="P173" s="8" t="s">
        <v>659</v>
      </c>
      <c r="Q173" s="8" t="s">
        <v>659</v>
      </c>
      <c r="R173" s="8" t="s">
        <v>69</v>
      </c>
      <c r="S173" s="8" t="s">
        <v>2436</v>
      </c>
      <c r="T173" s="9">
        <v>14000</v>
      </c>
      <c r="U173" s="9">
        <v>29400</v>
      </c>
      <c r="V173" s="8" t="s">
        <v>2436</v>
      </c>
      <c r="W173" s="8">
        <v>34692</v>
      </c>
      <c r="X173" s="8">
        <v>0</v>
      </c>
      <c r="Y173" s="8">
        <v>0</v>
      </c>
      <c r="Z173" s="8">
        <v>0</v>
      </c>
      <c r="AA173" s="8">
        <v>0</v>
      </c>
      <c r="AB173" s="8">
        <v>18</v>
      </c>
      <c r="AC173" s="8">
        <v>5292</v>
      </c>
      <c r="AD173" s="8">
        <v>0</v>
      </c>
      <c r="AE173" s="8">
        <v>5292</v>
      </c>
      <c r="AF173" s="8">
        <v>0</v>
      </c>
      <c r="AG173" s="8" t="s">
        <v>2507</v>
      </c>
      <c r="AH173" s="8" t="s">
        <v>1</v>
      </c>
      <c r="AI173" s="8">
        <v>39239090</v>
      </c>
      <c r="AJ173" s="8" t="s">
        <v>60</v>
      </c>
      <c r="AK173" s="8">
        <v>1</v>
      </c>
      <c r="AL173" s="8">
        <v>14000</v>
      </c>
      <c r="AM173" s="8" t="s">
        <v>1940</v>
      </c>
    </row>
    <row r="174" spans="7:39" ht="12.75" customHeight="1">
      <c r="G174" s="347"/>
      <c r="H174" s="348">
        <v>46241</v>
      </c>
      <c r="I174" s="8" t="s">
        <v>2249</v>
      </c>
      <c r="J174" s="8" t="s">
        <v>96</v>
      </c>
      <c r="K174" s="8" t="s">
        <v>2900</v>
      </c>
      <c r="L174" s="8" t="s">
        <v>2250</v>
      </c>
      <c r="M174" s="8" t="s">
        <v>2901</v>
      </c>
      <c r="N174" s="7">
        <v>46119</v>
      </c>
      <c r="O174" s="8" t="s">
        <v>2</v>
      </c>
      <c r="P174" s="8" t="s">
        <v>1697</v>
      </c>
      <c r="Q174" s="8" t="s">
        <v>68</v>
      </c>
      <c r="R174" s="8" t="s">
        <v>69</v>
      </c>
      <c r="S174" s="8" t="s">
        <v>2902</v>
      </c>
      <c r="T174" s="9">
        <v>20</v>
      </c>
      <c r="U174" s="9">
        <v>5000</v>
      </c>
      <c r="V174" s="8" t="s">
        <v>2902</v>
      </c>
      <c r="W174" s="8">
        <v>5324</v>
      </c>
      <c r="X174" s="8">
        <v>0</v>
      </c>
      <c r="Y174" s="8">
        <v>0</v>
      </c>
      <c r="Z174" s="8">
        <v>0</v>
      </c>
      <c r="AA174" s="8">
        <v>0</v>
      </c>
      <c r="AB174" s="8">
        <v>5</v>
      </c>
      <c r="AC174" s="8">
        <v>250</v>
      </c>
      <c r="AD174" s="8">
        <v>3.5</v>
      </c>
      <c r="AE174" s="8">
        <v>253.5</v>
      </c>
      <c r="AF174" s="8">
        <v>0</v>
      </c>
      <c r="AG174" s="8" t="s">
        <v>2251</v>
      </c>
      <c r="AH174" s="8" t="s">
        <v>1</v>
      </c>
      <c r="AI174" s="8">
        <v>84529099</v>
      </c>
      <c r="AJ174" s="8" t="s">
        <v>60</v>
      </c>
      <c r="AK174" s="8">
        <v>1</v>
      </c>
      <c r="AL174" s="8">
        <v>0</v>
      </c>
      <c r="AM174" s="8" t="s">
        <v>1940</v>
      </c>
    </row>
    <row r="175" spans="7:39" ht="12.75" customHeight="1">
      <c r="G175" s="347"/>
      <c r="H175" s="348">
        <v>46272</v>
      </c>
      <c r="I175" s="8" t="s">
        <v>2246</v>
      </c>
      <c r="J175" s="8" t="s">
        <v>96</v>
      </c>
      <c r="K175" s="8" t="s">
        <v>2903</v>
      </c>
      <c r="L175" s="8" t="s">
        <v>97</v>
      </c>
      <c r="M175" s="8" t="s">
        <v>2904</v>
      </c>
      <c r="N175" s="7">
        <v>46029</v>
      </c>
      <c r="O175" s="8" t="s">
        <v>2</v>
      </c>
      <c r="P175" s="8" t="s">
        <v>1697</v>
      </c>
      <c r="Q175" s="8" t="s">
        <v>68</v>
      </c>
      <c r="R175" s="8" t="s">
        <v>69</v>
      </c>
      <c r="S175" s="8" t="s">
        <v>2905</v>
      </c>
      <c r="T175" s="9">
        <v>10</v>
      </c>
      <c r="U175" s="9">
        <v>32320</v>
      </c>
      <c r="V175" s="8" t="s">
        <v>2905</v>
      </c>
      <c r="W175" s="8">
        <v>34031</v>
      </c>
      <c r="X175" s="8">
        <v>2.5</v>
      </c>
      <c r="Y175" s="8">
        <v>808</v>
      </c>
      <c r="Z175" s="8">
        <v>2.5</v>
      </c>
      <c r="AA175" s="8">
        <v>808</v>
      </c>
      <c r="AB175" s="8">
        <v>0</v>
      </c>
      <c r="AC175" s="8">
        <v>0</v>
      </c>
      <c r="AD175" s="8">
        <v>4.5</v>
      </c>
      <c r="AE175" s="8">
        <v>1620.5</v>
      </c>
      <c r="AF175" s="8">
        <v>0</v>
      </c>
      <c r="AG175" s="8" t="s">
        <v>2474</v>
      </c>
      <c r="AH175" s="8" t="s">
        <v>1</v>
      </c>
      <c r="AI175" s="8">
        <v>84529099</v>
      </c>
      <c r="AJ175" s="8" t="s">
        <v>60</v>
      </c>
      <c r="AK175" s="8">
        <v>1</v>
      </c>
      <c r="AL175" s="8">
        <v>0</v>
      </c>
      <c r="AM175" s="8" t="s">
        <v>1940</v>
      </c>
    </row>
    <row r="176" spans="7:39" ht="12.75" customHeight="1">
      <c r="G176" s="347"/>
      <c r="H176" s="348">
        <v>46272</v>
      </c>
      <c r="I176" s="8" t="s">
        <v>2246</v>
      </c>
      <c r="J176" s="8" t="s">
        <v>96</v>
      </c>
      <c r="K176" s="8" t="s">
        <v>2906</v>
      </c>
      <c r="L176" s="8" t="s">
        <v>97</v>
      </c>
      <c r="M176" s="8" t="s">
        <v>2907</v>
      </c>
      <c r="N176" s="7">
        <v>46029</v>
      </c>
      <c r="O176" s="8" t="s">
        <v>2</v>
      </c>
      <c r="P176" s="8" t="s">
        <v>1697</v>
      </c>
      <c r="Q176" s="8" t="s">
        <v>68</v>
      </c>
      <c r="R176" s="8" t="s">
        <v>69</v>
      </c>
      <c r="S176" s="8" t="s">
        <v>2908</v>
      </c>
      <c r="T176" s="9">
        <v>5</v>
      </c>
      <c r="U176" s="9">
        <v>902</v>
      </c>
      <c r="V176" s="8" t="s">
        <v>2908</v>
      </c>
      <c r="W176" s="8">
        <v>947</v>
      </c>
      <c r="X176" s="8">
        <v>2.5</v>
      </c>
      <c r="Y176" s="8">
        <v>22.55</v>
      </c>
      <c r="Z176" s="8">
        <v>2.5</v>
      </c>
      <c r="AA176" s="8">
        <v>22.55</v>
      </c>
      <c r="AB176" s="8">
        <v>0</v>
      </c>
      <c r="AC176" s="8">
        <v>0</v>
      </c>
      <c r="AD176" s="8">
        <v>0</v>
      </c>
      <c r="AE176" s="8">
        <v>45.1</v>
      </c>
      <c r="AF176" s="8">
        <v>0</v>
      </c>
      <c r="AG176" s="8" t="s">
        <v>2474</v>
      </c>
      <c r="AH176" s="8" t="s">
        <v>1</v>
      </c>
      <c r="AI176" s="8">
        <v>84529099</v>
      </c>
      <c r="AJ176" s="8" t="s">
        <v>60</v>
      </c>
      <c r="AK176" s="8">
        <v>1</v>
      </c>
      <c r="AL176" s="8">
        <v>0</v>
      </c>
      <c r="AM176" s="8" t="s">
        <v>1940</v>
      </c>
    </row>
    <row r="177" spans="7:39" ht="12.75" customHeight="1">
      <c r="G177" s="347"/>
      <c r="H177" s="348">
        <v>46272</v>
      </c>
      <c r="I177" s="8" t="s">
        <v>107</v>
      </c>
      <c r="J177" s="8" t="s">
        <v>96</v>
      </c>
      <c r="K177" s="8" t="s">
        <v>2909</v>
      </c>
      <c r="L177" s="8" t="s">
        <v>97</v>
      </c>
      <c r="M177" s="8" t="s">
        <v>2910</v>
      </c>
      <c r="N177" s="7">
        <v>46210</v>
      </c>
      <c r="O177" s="8" t="s">
        <v>5</v>
      </c>
      <c r="P177" s="8" t="s">
        <v>108</v>
      </c>
      <c r="Q177" s="8" t="s">
        <v>68</v>
      </c>
      <c r="R177" s="8" t="s">
        <v>69</v>
      </c>
      <c r="S177" s="8" t="s">
        <v>589</v>
      </c>
      <c r="T177" s="9">
        <v>400</v>
      </c>
      <c r="U177" s="9">
        <v>39116</v>
      </c>
      <c r="V177" s="8" t="s">
        <v>589</v>
      </c>
      <c r="W177" s="8">
        <v>39116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 t="s">
        <v>590</v>
      </c>
      <c r="AH177" s="8" t="s">
        <v>6</v>
      </c>
      <c r="AI177" s="8">
        <v>27101930</v>
      </c>
      <c r="AJ177" s="8" t="s">
        <v>60</v>
      </c>
      <c r="AK177" s="8">
        <v>1</v>
      </c>
      <c r="AL177" s="8">
        <v>0</v>
      </c>
      <c r="AM177" s="8" t="s">
        <v>1940</v>
      </c>
    </row>
    <row r="178" spans="7:39" ht="12.75" customHeight="1">
      <c r="G178" s="347"/>
      <c r="H178" s="348">
        <v>46272</v>
      </c>
      <c r="I178" s="8" t="s">
        <v>107</v>
      </c>
      <c r="J178" s="8" t="s">
        <v>96</v>
      </c>
      <c r="K178" s="8" t="s">
        <v>2911</v>
      </c>
      <c r="L178" s="8" t="s">
        <v>97</v>
      </c>
      <c r="M178" s="8" t="s">
        <v>2912</v>
      </c>
      <c r="N178" s="7">
        <v>46210</v>
      </c>
      <c r="O178" s="8" t="s">
        <v>5</v>
      </c>
      <c r="P178" s="8" t="s">
        <v>108</v>
      </c>
      <c r="Q178" s="8" t="s">
        <v>68</v>
      </c>
      <c r="R178" s="8" t="s">
        <v>69</v>
      </c>
      <c r="S178" s="8" t="s">
        <v>589</v>
      </c>
      <c r="T178" s="9">
        <v>200</v>
      </c>
      <c r="U178" s="9">
        <v>19558</v>
      </c>
      <c r="V178" s="8" t="s">
        <v>589</v>
      </c>
      <c r="W178" s="8">
        <v>19558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8" t="s">
        <v>590</v>
      </c>
      <c r="AH178" s="8" t="s">
        <v>6</v>
      </c>
      <c r="AI178" s="8">
        <v>27101930</v>
      </c>
      <c r="AJ178" s="8" t="s">
        <v>60</v>
      </c>
      <c r="AK178" s="8">
        <v>1</v>
      </c>
      <c r="AL178" s="8">
        <v>0</v>
      </c>
      <c r="AM178" s="8" t="s">
        <v>1940</v>
      </c>
    </row>
    <row r="179" spans="7:39" ht="12.75" customHeight="1">
      <c r="G179" s="347"/>
      <c r="H179" s="348">
        <v>46272</v>
      </c>
      <c r="I179" s="8" t="s">
        <v>87</v>
      </c>
      <c r="J179" s="8" t="s">
        <v>96</v>
      </c>
      <c r="K179" s="8" t="s">
        <v>2913</v>
      </c>
      <c r="L179" s="8" t="s">
        <v>97</v>
      </c>
      <c r="M179" s="8" t="s">
        <v>2914</v>
      </c>
      <c r="N179" s="7">
        <v>46272</v>
      </c>
      <c r="O179" s="8" t="s">
        <v>2</v>
      </c>
      <c r="P179" s="8" t="s">
        <v>67</v>
      </c>
      <c r="Q179" s="8" t="s">
        <v>68</v>
      </c>
      <c r="R179" s="8" t="s">
        <v>69</v>
      </c>
      <c r="S179" s="8" t="s">
        <v>70</v>
      </c>
      <c r="T179" s="9">
        <v>208</v>
      </c>
      <c r="U179" s="9">
        <v>9984</v>
      </c>
      <c r="V179" s="8" t="s">
        <v>70</v>
      </c>
      <c r="W179" s="8">
        <v>11771.14</v>
      </c>
      <c r="X179" s="8">
        <v>9</v>
      </c>
      <c r="Y179" s="8">
        <v>898.56</v>
      </c>
      <c r="Z179" s="8">
        <v>9</v>
      </c>
      <c r="AA179" s="8">
        <v>898.56</v>
      </c>
      <c r="AB179" s="8">
        <v>0</v>
      </c>
      <c r="AC179" s="8">
        <v>0</v>
      </c>
      <c r="AD179" s="8">
        <v>0</v>
      </c>
      <c r="AE179" s="8">
        <v>1797.12</v>
      </c>
      <c r="AF179" s="8">
        <v>0</v>
      </c>
      <c r="AG179" s="8" t="s">
        <v>65</v>
      </c>
      <c r="AH179" s="8" t="s">
        <v>11</v>
      </c>
      <c r="AI179" s="8">
        <v>73063090</v>
      </c>
      <c r="AJ179" s="8" t="s">
        <v>60</v>
      </c>
      <c r="AK179" s="8">
        <v>1</v>
      </c>
      <c r="AL179" s="8">
        <v>0</v>
      </c>
      <c r="AM179" s="8" t="s">
        <v>1940</v>
      </c>
    </row>
    <row r="180" spans="7:39" ht="12.75" customHeight="1">
      <c r="G180" s="347"/>
      <c r="H180" s="348">
        <v>46272</v>
      </c>
      <c r="I180" s="8" t="s">
        <v>87</v>
      </c>
      <c r="J180" s="8" t="s">
        <v>91</v>
      </c>
      <c r="K180" s="8" t="s">
        <v>2915</v>
      </c>
      <c r="L180" s="8" t="s">
        <v>98</v>
      </c>
      <c r="M180" s="8" t="s">
        <v>2916</v>
      </c>
      <c r="N180" s="7">
        <v>46272</v>
      </c>
      <c r="O180" s="8" t="s">
        <v>13</v>
      </c>
      <c r="P180" s="8" t="s">
        <v>62</v>
      </c>
      <c r="Q180" s="8" t="s">
        <v>63</v>
      </c>
      <c r="R180" s="8" t="s">
        <v>64</v>
      </c>
      <c r="S180" s="8" t="s">
        <v>19</v>
      </c>
      <c r="T180" s="9">
        <v>745</v>
      </c>
      <c r="U180" s="9">
        <v>107645.05</v>
      </c>
      <c r="V180" s="8" t="s">
        <v>19</v>
      </c>
      <c r="W180" s="8">
        <v>126913.5</v>
      </c>
      <c r="X180" s="8">
        <v>9</v>
      </c>
      <c r="Y180" s="8">
        <v>9688.0499999999993</v>
      </c>
      <c r="Z180" s="8">
        <v>9</v>
      </c>
      <c r="AA180" s="8">
        <v>9688.0499999999993</v>
      </c>
      <c r="AB180" s="8">
        <v>0</v>
      </c>
      <c r="AC180" s="8">
        <v>0</v>
      </c>
      <c r="AD180" s="8">
        <v>0</v>
      </c>
      <c r="AE180" s="8">
        <v>19376.099999999999</v>
      </c>
      <c r="AF180" s="8">
        <v>0</v>
      </c>
      <c r="AG180" s="8" t="s">
        <v>65</v>
      </c>
      <c r="AH180" s="8" t="s">
        <v>11</v>
      </c>
      <c r="AI180" s="8">
        <v>39269080</v>
      </c>
      <c r="AJ180" s="8" t="s">
        <v>60</v>
      </c>
      <c r="AK180" s="8">
        <v>1</v>
      </c>
      <c r="AL180" s="8">
        <v>0</v>
      </c>
      <c r="AM180" s="8" t="s">
        <v>1940</v>
      </c>
    </row>
    <row r="181" spans="7:39" ht="12.75" customHeight="1">
      <c r="G181" s="347"/>
      <c r="H181" s="348">
        <v>46272</v>
      </c>
      <c r="I181" s="8" t="s">
        <v>87</v>
      </c>
      <c r="J181" s="8" t="s">
        <v>91</v>
      </c>
      <c r="K181" s="8" t="s">
        <v>2917</v>
      </c>
      <c r="L181" s="8" t="s">
        <v>98</v>
      </c>
      <c r="M181" s="8" t="s">
        <v>2918</v>
      </c>
      <c r="N181" s="7">
        <v>46272</v>
      </c>
      <c r="O181" s="8" t="s">
        <v>13</v>
      </c>
      <c r="P181" s="8" t="s">
        <v>62</v>
      </c>
      <c r="Q181" s="8" t="s">
        <v>63</v>
      </c>
      <c r="R181" s="8" t="s">
        <v>64</v>
      </c>
      <c r="S181" s="8" t="s">
        <v>19</v>
      </c>
      <c r="T181" s="9">
        <v>3885</v>
      </c>
      <c r="U181" s="9">
        <v>569113.65</v>
      </c>
      <c r="V181" s="8" t="s">
        <v>19</v>
      </c>
      <c r="W181" s="8">
        <v>1273645.8899999999</v>
      </c>
      <c r="X181" s="8">
        <v>9</v>
      </c>
      <c r="Y181" s="8">
        <v>51220.23</v>
      </c>
      <c r="Z181" s="8">
        <v>9</v>
      </c>
      <c r="AA181" s="8">
        <v>51220.23</v>
      </c>
      <c r="AB181" s="8">
        <v>0</v>
      </c>
      <c r="AC181" s="8">
        <v>0</v>
      </c>
      <c r="AD181" s="8">
        <v>0</v>
      </c>
      <c r="AE181" s="8">
        <v>102440.46</v>
      </c>
      <c r="AF181" s="8">
        <v>0</v>
      </c>
      <c r="AG181" s="8" t="s">
        <v>65</v>
      </c>
      <c r="AH181" s="8" t="s">
        <v>11</v>
      </c>
      <c r="AI181" s="8">
        <v>39269080</v>
      </c>
      <c r="AJ181" s="8" t="s">
        <v>60</v>
      </c>
      <c r="AK181" s="8">
        <v>1</v>
      </c>
      <c r="AL181" s="8">
        <v>0</v>
      </c>
      <c r="AM181" s="8" t="s">
        <v>1940</v>
      </c>
    </row>
    <row r="182" spans="7:39" ht="12.75" customHeight="1">
      <c r="G182" s="347"/>
      <c r="H182" s="348">
        <v>46272</v>
      </c>
      <c r="I182" s="8" t="s">
        <v>87</v>
      </c>
      <c r="J182" s="8" t="s">
        <v>91</v>
      </c>
      <c r="K182" s="8" t="s">
        <v>2917</v>
      </c>
      <c r="L182" s="8" t="s">
        <v>98</v>
      </c>
      <c r="M182" s="8" t="s">
        <v>2918</v>
      </c>
      <c r="N182" s="7">
        <v>46272</v>
      </c>
      <c r="O182" s="8" t="s">
        <v>13</v>
      </c>
      <c r="P182" s="8" t="s">
        <v>62</v>
      </c>
      <c r="Q182" s="8" t="s">
        <v>63</v>
      </c>
      <c r="R182" s="8" t="s">
        <v>64</v>
      </c>
      <c r="S182" s="8" t="s">
        <v>19</v>
      </c>
      <c r="T182" s="9">
        <v>660</v>
      </c>
      <c r="U182" s="9">
        <v>97343.4</v>
      </c>
      <c r="V182" s="8" t="s">
        <v>19</v>
      </c>
      <c r="W182" s="8">
        <v>0</v>
      </c>
      <c r="X182" s="8">
        <v>9</v>
      </c>
      <c r="Y182" s="8">
        <v>8760.91</v>
      </c>
      <c r="Z182" s="8">
        <v>9</v>
      </c>
      <c r="AA182" s="8">
        <v>8760.91</v>
      </c>
      <c r="AB182" s="8">
        <v>0</v>
      </c>
      <c r="AC182" s="8">
        <v>0</v>
      </c>
      <c r="AD182" s="8">
        <v>0</v>
      </c>
      <c r="AE182" s="8">
        <v>17521.82</v>
      </c>
      <c r="AF182" s="8">
        <v>0</v>
      </c>
      <c r="AG182" s="8" t="s">
        <v>65</v>
      </c>
      <c r="AH182" s="8" t="s">
        <v>11</v>
      </c>
      <c r="AI182" s="8">
        <v>39269080</v>
      </c>
      <c r="AJ182" s="8" t="s">
        <v>60</v>
      </c>
      <c r="AK182" s="8">
        <v>1</v>
      </c>
      <c r="AL182" s="8">
        <v>0</v>
      </c>
      <c r="AM182" s="8" t="s">
        <v>1940</v>
      </c>
    </row>
    <row r="183" spans="7:39" ht="12.75" customHeight="1">
      <c r="G183" s="347"/>
      <c r="H183" s="348">
        <v>46272</v>
      </c>
      <c r="I183" s="8" t="s">
        <v>87</v>
      </c>
      <c r="J183" s="8" t="s">
        <v>91</v>
      </c>
      <c r="K183" s="8" t="s">
        <v>2917</v>
      </c>
      <c r="L183" s="8" t="s">
        <v>98</v>
      </c>
      <c r="M183" s="8" t="s">
        <v>2918</v>
      </c>
      <c r="N183" s="7">
        <v>46272</v>
      </c>
      <c r="O183" s="8" t="s">
        <v>13</v>
      </c>
      <c r="P183" s="8" t="s">
        <v>62</v>
      </c>
      <c r="Q183" s="8" t="s">
        <v>63</v>
      </c>
      <c r="R183" s="8" t="s">
        <v>64</v>
      </c>
      <c r="S183" s="8" t="s">
        <v>19</v>
      </c>
      <c r="T183" s="9">
        <v>2864</v>
      </c>
      <c r="U183" s="9">
        <v>413819.36</v>
      </c>
      <c r="V183" s="8" t="s">
        <v>19</v>
      </c>
      <c r="W183" s="8">
        <v>0</v>
      </c>
      <c r="X183" s="8">
        <v>9</v>
      </c>
      <c r="Y183" s="8">
        <v>37243.74</v>
      </c>
      <c r="Z183" s="8">
        <v>9</v>
      </c>
      <c r="AA183" s="8">
        <v>37243.74</v>
      </c>
      <c r="AB183" s="8">
        <v>0</v>
      </c>
      <c r="AC183" s="8">
        <v>0</v>
      </c>
      <c r="AD183" s="8">
        <v>0</v>
      </c>
      <c r="AE183" s="8">
        <v>74487.48</v>
      </c>
      <c r="AF183" s="8">
        <v>0</v>
      </c>
      <c r="AG183" s="8" t="s">
        <v>65</v>
      </c>
      <c r="AH183" s="8" t="s">
        <v>11</v>
      </c>
      <c r="AI183" s="8">
        <v>39269080</v>
      </c>
      <c r="AJ183" s="8" t="s">
        <v>60</v>
      </c>
      <c r="AK183" s="8">
        <v>1</v>
      </c>
      <c r="AL183" s="8">
        <v>0</v>
      </c>
      <c r="AM183" s="8" t="s">
        <v>1940</v>
      </c>
    </row>
    <row r="184" spans="7:39" ht="12.75" customHeight="1">
      <c r="G184" s="347"/>
      <c r="H184" s="348">
        <v>46272</v>
      </c>
      <c r="I184" s="8" t="s">
        <v>87</v>
      </c>
      <c r="J184" s="8" t="s">
        <v>91</v>
      </c>
      <c r="K184" s="8" t="s">
        <v>2919</v>
      </c>
      <c r="L184" s="8" t="s">
        <v>98</v>
      </c>
      <c r="M184" s="8" t="s">
        <v>2920</v>
      </c>
      <c r="N184" s="7">
        <v>46272</v>
      </c>
      <c r="O184" s="8" t="s">
        <v>13</v>
      </c>
      <c r="P184" s="8" t="s">
        <v>80</v>
      </c>
      <c r="Q184" s="8" t="s">
        <v>81</v>
      </c>
      <c r="R184" s="8" t="s">
        <v>82</v>
      </c>
      <c r="S184" s="8" t="s">
        <v>17</v>
      </c>
      <c r="T184" s="9">
        <v>3320</v>
      </c>
      <c r="U184" s="9">
        <v>606829.6</v>
      </c>
      <c r="V184" s="8" t="s">
        <v>17</v>
      </c>
      <c r="W184" s="8">
        <v>1491435.71</v>
      </c>
      <c r="X184" s="8">
        <v>9</v>
      </c>
      <c r="Y184" s="8">
        <v>54614.66</v>
      </c>
      <c r="Z184" s="8">
        <v>9</v>
      </c>
      <c r="AA184" s="8">
        <v>54614.66</v>
      </c>
      <c r="AB184" s="8">
        <v>0</v>
      </c>
      <c r="AC184" s="8">
        <v>0</v>
      </c>
      <c r="AD184" s="8">
        <v>0</v>
      </c>
      <c r="AE184" s="8">
        <v>109229.32</v>
      </c>
      <c r="AF184" s="8">
        <v>0</v>
      </c>
      <c r="AG184" s="8" t="s">
        <v>65</v>
      </c>
      <c r="AH184" s="8" t="s">
        <v>11</v>
      </c>
      <c r="AI184" s="8">
        <v>39200000</v>
      </c>
      <c r="AJ184" s="8" t="s">
        <v>60</v>
      </c>
      <c r="AK184" s="8">
        <v>1</v>
      </c>
      <c r="AL184" s="8">
        <v>0</v>
      </c>
      <c r="AM184" s="8" t="s">
        <v>1940</v>
      </c>
    </row>
    <row r="185" spans="7:39" ht="12.75" customHeight="1">
      <c r="G185" s="347"/>
      <c r="H185" s="348">
        <v>46272</v>
      </c>
      <c r="I185" s="8" t="s">
        <v>87</v>
      </c>
      <c r="J185" s="8" t="s">
        <v>91</v>
      </c>
      <c r="K185" s="8" t="s">
        <v>2919</v>
      </c>
      <c r="L185" s="8" t="s">
        <v>98</v>
      </c>
      <c r="M185" s="8" t="s">
        <v>2920</v>
      </c>
      <c r="N185" s="7">
        <v>46272</v>
      </c>
      <c r="O185" s="8" t="s">
        <v>13</v>
      </c>
      <c r="P185" s="8" t="s">
        <v>62</v>
      </c>
      <c r="Q185" s="8" t="s">
        <v>63</v>
      </c>
      <c r="R185" s="8" t="s">
        <v>64</v>
      </c>
      <c r="S185" s="8" t="s">
        <v>19</v>
      </c>
      <c r="T185" s="9">
        <v>391</v>
      </c>
      <c r="U185" s="9">
        <v>57277.59</v>
      </c>
      <c r="V185" s="8" t="s">
        <v>19</v>
      </c>
      <c r="W185" s="8">
        <v>0</v>
      </c>
      <c r="X185" s="8">
        <v>9</v>
      </c>
      <c r="Y185" s="8">
        <v>5154.9799999999996</v>
      </c>
      <c r="Z185" s="8">
        <v>9</v>
      </c>
      <c r="AA185" s="8">
        <v>5154.9799999999996</v>
      </c>
      <c r="AB185" s="8">
        <v>0</v>
      </c>
      <c r="AC185" s="8">
        <v>0</v>
      </c>
      <c r="AD185" s="8">
        <v>0</v>
      </c>
      <c r="AE185" s="8">
        <v>10309.959999999999</v>
      </c>
      <c r="AF185" s="8">
        <v>0</v>
      </c>
      <c r="AG185" s="8" t="s">
        <v>65</v>
      </c>
      <c r="AH185" s="8" t="s">
        <v>11</v>
      </c>
      <c r="AI185" s="8">
        <v>39269080</v>
      </c>
      <c r="AJ185" s="8" t="s">
        <v>60</v>
      </c>
      <c r="AK185" s="8">
        <v>1</v>
      </c>
      <c r="AL185" s="8">
        <v>0</v>
      </c>
      <c r="AM185" s="8" t="s">
        <v>1940</v>
      </c>
    </row>
    <row r="186" spans="7:39" ht="12.75" customHeight="1">
      <c r="G186" s="347"/>
      <c r="H186" s="348">
        <v>46272</v>
      </c>
      <c r="I186" s="8" t="s">
        <v>87</v>
      </c>
      <c r="J186" s="8" t="s">
        <v>91</v>
      </c>
      <c r="K186" s="8" t="s">
        <v>2919</v>
      </c>
      <c r="L186" s="8" t="s">
        <v>98</v>
      </c>
      <c r="M186" s="8" t="s">
        <v>2920</v>
      </c>
      <c r="N186" s="7">
        <v>46272</v>
      </c>
      <c r="O186" s="8" t="s">
        <v>13</v>
      </c>
      <c r="P186" s="8" t="s">
        <v>62</v>
      </c>
      <c r="Q186" s="8" t="s">
        <v>63</v>
      </c>
      <c r="R186" s="8" t="s">
        <v>64</v>
      </c>
      <c r="S186" s="8" t="s">
        <v>19</v>
      </c>
      <c r="T186" s="9">
        <v>1402</v>
      </c>
      <c r="U186" s="9">
        <v>202574.98</v>
      </c>
      <c r="V186" s="8" t="s">
        <v>19</v>
      </c>
      <c r="W186" s="8">
        <v>0</v>
      </c>
      <c r="X186" s="8">
        <v>9</v>
      </c>
      <c r="Y186" s="8">
        <v>18231.75</v>
      </c>
      <c r="Z186" s="8">
        <v>9</v>
      </c>
      <c r="AA186" s="8">
        <v>18231.75</v>
      </c>
      <c r="AB186" s="8">
        <v>0</v>
      </c>
      <c r="AC186" s="8">
        <v>0</v>
      </c>
      <c r="AD186" s="8">
        <v>0</v>
      </c>
      <c r="AE186" s="8">
        <v>36463.5</v>
      </c>
      <c r="AF186" s="8">
        <v>0</v>
      </c>
      <c r="AG186" s="8" t="s">
        <v>65</v>
      </c>
      <c r="AH186" s="8" t="s">
        <v>11</v>
      </c>
      <c r="AI186" s="8">
        <v>39269080</v>
      </c>
      <c r="AJ186" s="8" t="s">
        <v>60</v>
      </c>
      <c r="AK186" s="8">
        <v>1</v>
      </c>
      <c r="AL186" s="8">
        <v>0</v>
      </c>
      <c r="AM186" s="8" t="s">
        <v>1940</v>
      </c>
    </row>
    <row r="187" spans="7:39" ht="12.75" customHeight="1">
      <c r="G187" s="347"/>
      <c r="H187" s="348">
        <v>46272</v>
      </c>
      <c r="I187" s="8" t="s">
        <v>87</v>
      </c>
      <c r="J187" s="8" t="s">
        <v>91</v>
      </c>
      <c r="K187" s="8" t="s">
        <v>2919</v>
      </c>
      <c r="L187" s="8" t="s">
        <v>98</v>
      </c>
      <c r="M187" s="8" t="s">
        <v>2920</v>
      </c>
      <c r="N187" s="7">
        <v>46272</v>
      </c>
      <c r="O187" s="8" t="s">
        <v>13</v>
      </c>
      <c r="P187" s="8" t="s">
        <v>62</v>
      </c>
      <c r="Q187" s="8" t="s">
        <v>76</v>
      </c>
      <c r="R187" s="8" t="s">
        <v>77</v>
      </c>
      <c r="S187" s="8" t="s">
        <v>21</v>
      </c>
      <c r="T187" s="9">
        <v>614</v>
      </c>
      <c r="U187" s="9">
        <v>93014.86</v>
      </c>
      <c r="V187" s="8" t="s">
        <v>21</v>
      </c>
      <c r="W187" s="8">
        <v>0</v>
      </c>
      <c r="X187" s="8">
        <v>9</v>
      </c>
      <c r="Y187" s="8">
        <v>8371.34</v>
      </c>
      <c r="Z187" s="8">
        <v>9</v>
      </c>
      <c r="AA187" s="8">
        <v>8371.34</v>
      </c>
      <c r="AB187" s="8">
        <v>0</v>
      </c>
      <c r="AC187" s="8">
        <v>0</v>
      </c>
      <c r="AD187" s="8">
        <v>0</v>
      </c>
      <c r="AE187" s="8">
        <v>16742.68</v>
      </c>
      <c r="AF187" s="8">
        <v>0</v>
      </c>
      <c r="AG187" s="8" t="s">
        <v>65</v>
      </c>
      <c r="AH187" s="8" t="s">
        <v>11</v>
      </c>
      <c r="AI187" s="8">
        <v>63053300</v>
      </c>
      <c r="AJ187" s="8" t="s">
        <v>60</v>
      </c>
      <c r="AK187" s="8">
        <v>1</v>
      </c>
      <c r="AL187" s="8">
        <v>0</v>
      </c>
      <c r="AM187" s="8" t="s">
        <v>1940</v>
      </c>
    </row>
    <row r="188" spans="7:39" ht="12.75" customHeight="1">
      <c r="G188" s="347"/>
      <c r="H188" s="348">
        <v>46272</v>
      </c>
      <c r="I188" s="8" t="s">
        <v>87</v>
      </c>
      <c r="J188" s="8" t="s">
        <v>91</v>
      </c>
      <c r="K188" s="8" t="s">
        <v>2919</v>
      </c>
      <c r="L188" s="8" t="s">
        <v>98</v>
      </c>
      <c r="M188" s="8" t="s">
        <v>2920</v>
      </c>
      <c r="N188" s="7">
        <v>46272</v>
      </c>
      <c r="O188" s="8" t="s">
        <v>13</v>
      </c>
      <c r="P188" s="8" t="s">
        <v>24</v>
      </c>
      <c r="Q188" s="8" t="s">
        <v>79</v>
      </c>
      <c r="R188" s="8" t="s">
        <v>79</v>
      </c>
      <c r="S188" s="8" t="s">
        <v>24</v>
      </c>
      <c r="T188" s="9">
        <v>1109.7</v>
      </c>
      <c r="U188" s="9">
        <v>165889.04999999999</v>
      </c>
      <c r="V188" s="8" t="s">
        <v>24</v>
      </c>
      <c r="W188" s="8">
        <v>0</v>
      </c>
      <c r="X188" s="8">
        <v>9</v>
      </c>
      <c r="Y188" s="8">
        <v>14930.01</v>
      </c>
      <c r="Z188" s="8">
        <v>9</v>
      </c>
      <c r="AA188" s="8">
        <v>14930.01</v>
      </c>
      <c r="AB188" s="8">
        <v>0</v>
      </c>
      <c r="AC188" s="8">
        <v>0</v>
      </c>
      <c r="AD188" s="8">
        <v>0</v>
      </c>
      <c r="AE188" s="8">
        <v>29860.02</v>
      </c>
      <c r="AF188" s="8">
        <v>0</v>
      </c>
      <c r="AG188" s="8" t="s">
        <v>65</v>
      </c>
      <c r="AH188" s="8" t="s">
        <v>11</v>
      </c>
      <c r="AI188" s="8">
        <v>3926908</v>
      </c>
      <c r="AJ188" s="8" t="s">
        <v>60</v>
      </c>
      <c r="AK188" s="8">
        <v>1</v>
      </c>
      <c r="AL188" s="8">
        <v>0</v>
      </c>
      <c r="AM188" s="8" t="s">
        <v>1940</v>
      </c>
    </row>
    <row r="189" spans="7:39" ht="12.75" customHeight="1">
      <c r="G189" s="347"/>
      <c r="H189" s="348">
        <v>46272</v>
      </c>
      <c r="I189" s="8" t="s">
        <v>87</v>
      </c>
      <c r="J189" s="8" t="s">
        <v>91</v>
      </c>
      <c r="K189" s="8" t="s">
        <v>2919</v>
      </c>
      <c r="L189" s="8" t="s">
        <v>98</v>
      </c>
      <c r="M189" s="8" t="s">
        <v>2920</v>
      </c>
      <c r="N189" s="7">
        <v>46272</v>
      </c>
      <c r="O189" s="8" t="s">
        <v>13</v>
      </c>
      <c r="P189" s="8" t="s">
        <v>24</v>
      </c>
      <c r="Q189" s="8" t="s">
        <v>79</v>
      </c>
      <c r="R189" s="8" t="s">
        <v>79</v>
      </c>
      <c r="S189" s="8" t="s">
        <v>24</v>
      </c>
      <c r="T189" s="9">
        <v>951.7</v>
      </c>
      <c r="U189" s="9">
        <v>139414.53</v>
      </c>
      <c r="V189" s="8" t="s">
        <v>24</v>
      </c>
      <c r="W189" s="8">
        <v>0</v>
      </c>
      <c r="X189" s="8">
        <v>9</v>
      </c>
      <c r="Y189" s="8">
        <v>12547.31</v>
      </c>
      <c r="Z189" s="8">
        <v>9</v>
      </c>
      <c r="AA189" s="8">
        <v>12547.31</v>
      </c>
      <c r="AB189" s="8">
        <v>0</v>
      </c>
      <c r="AC189" s="8">
        <v>0</v>
      </c>
      <c r="AD189" s="8">
        <v>0</v>
      </c>
      <c r="AE189" s="8">
        <v>25094.62</v>
      </c>
      <c r="AF189" s="8">
        <v>0</v>
      </c>
      <c r="AG189" s="8" t="s">
        <v>65</v>
      </c>
      <c r="AH189" s="8" t="s">
        <v>11</v>
      </c>
      <c r="AI189" s="8">
        <v>3926908</v>
      </c>
      <c r="AJ189" s="8" t="s">
        <v>60</v>
      </c>
      <c r="AK189" s="8">
        <v>1</v>
      </c>
      <c r="AL189" s="8">
        <v>0</v>
      </c>
      <c r="AM189" s="8" t="s">
        <v>1940</v>
      </c>
    </row>
    <row r="190" spans="7:39" ht="12.75" customHeight="1">
      <c r="G190" s="347"/>
      <c r="H190" s="348">
        <v>46272</v>
      </c>
      <c r="I190" s="8" t="s">
        <v>2249</v>
      </c>
      <c r="J190" s="8" t="s">
        <v>96</v>
      </c>
      <c r="K190" s="8" t="s">
        <v>2921</v>
      </c>
      <c r="L190" s="8" t="s">
        <v>2250</v>
      </c>
      <c r="M190" s="8" t="s">
        <v>2922</v>
      </c>
      <c r="N190" s="7">
        <v>46060</v>
      </c>
      <c r="O190" s="8" t="s">
        <v>2</v>
      </c>
      <c r="P190" s="8" t="s">
        <v>2537</v>
      </c>
      <c r="Q190" s="8" t="s">
        <v>68</v>
      </c>
      <c r="R190" s="8" t="s">
        <v>69</v>
      </c>
      <c r="S190" s="8" t="s">
        <v>2538</v>
      </c>
      <c r="T190" s="9">
        <v>7</v>
      </c>
      <c r="U190" s="9">
        <v>6769</v>
      </c>
      <c r="V190" s="8" t="s">
        <v>2538</v>
      </c>
      <c r="W190" s="8">
        <v>7265</v>
      </c>
      <c r="X190" s="8">
        <v>0</v>
      </c>
      <c r="Y190" s="8">
        <v>0</v>
      </c>
      <c r="Z190" s="8">
        <v>0</v>
      </c>
      <c r="AA190" s="8">
        <v>0</v>
      </c>
      <c r="AB190" s="8">
        <v>5</v>
      </c>
      <c r="AC190" s="8">
        <v>338.45</v>
      </c>
      <c r="AD190" s="8">
        <v>7.5</v>
      </c>
      <c r="AE190" s="8">
        <v>345.95</v>
      </c>
      <c r="AF190" s="8">
        <v>0</v>
      </c>
      <c r="AG190" s="8" t="s">
        <v>2251</v>
      </c>
      <c r="AH190" s="8" t="s">
        <v>1</v>
      </c>
      <c r="AI190" s="8">
        <v>84529099</v>
      </c>
      <c r="AJ190" s="8" t="s">
        <v>60</v>
      </c>
      <c r="AK190" s="8">
        <v>1</v>
      </c>
      <c r="AL190" s="8">
        <v>0</v>
      </c>
      <c r="AM190" s="8" t="s">
        <v>1940</v>
      </c>
    </row>
    <row r="191" spans="7:39" ht="12.75" customHeight="1">
      <c r="G191" s="347"/>
      <c r="H191" s="348">
        <v>46272</v>
      </c>
      <c r="I191" s="8" t="s">
        <v>2249</v>
      </c>
      <c r="J191" s="8" t="s">
        <v>96</v>
      </c>
      <c r="K191" s="8" t="s">
        <v>2923</v>
      </c>
      <c r="L191" s="8" t="s">
        <v>2250</v>
      </c>
      <c r="M191" s="8" t="s">
        <v>2924</v>
      </c>
      <c r="N191" s="7">
        <v>46060</v>
      </c>
      <c r="O191" s="8" t="s">
        <v>2</v>
      </c>
      <c r="P191" s="8" t="s">
        <v>1697</v>
      </c>
      <c r="Q191" s="8" t="s">
        <v>68</v>
      </c>
      <c r="R191" s="8" t="s">
        <v>69</v>
      </c>
      <c r="S191" s="8" t="s">
        <v>2925</v>
      </c>
      <c r="T191" s="9">
        <v>5</v>
      </c>
      <c r="U191" s="9">
        <v>3250</v>
      </c>
      <c r="V191" s="8" t="s">
        <v>2925</v>
      </c>
      <c r="W191" s="8">
        <v>52710</v>
      </c>
      <c r="X191" s="8">
        <v>0</v>
      </c>
      <c r="Y191" s="8">
        <v>0</v>
      </c>
      <c r="Z191" s="8">
        <v>0</v>
      </c>
      <c r="AA191" s="8">
        <v>0</v>
      </c>
      <c r="AB191" s="8">
        <v>5</v>
      </c>
      <c r="AC191" s="8">
        <v>162.5</v>
      </c>
      <c r="AD191" s="8">
        <v>17.5</v>
      </c>
      <c r="AE191" s="8">
        <v>180</v>
      </c>
      <c r="AF191" s="8">
        <v>0</v>
      </c>
      <c r="AG191" s="8" t="s">
        <v>2251</v>
      </c>
      <c r="AH191" s="8" t="s">
        <v>1</v>
      </c>
      <c r="AI191" s="8">
        <v>84529099</v>
      </c>
      <c r="AJ191" s="8" t="s">
        <v>60</v>
      </c>
      <c r="AK191" s="8">
        <v>1</v>
      </c>
      <c r="AL191" s="8">
        <v>0</v>
      </c>
      <c r="AM191" s="8" t="s">
        <v>1940</v>
      </c>
    </row>
    <row r="192" spans="7:39" ht="12.75" customHeight="1">
      <c r="G192" s="347"/>
      <c r="H192" s="348">
        <v>46272</v>
      </c>
      <c r="I192" s="8" t="s">
        <v>2249</v>
      </c>
      <c r="J192" s="8" t="s">
        <v>96</v>
      </c>
      <c r="K192" s="8" t="s">
        <v>2923</v>
      </c>
      <c r="L192" s="8" t="s">
        <v>2250</v>
      </c>
      <c r="M192" s="8" t="s">
        <v>2924</v>
      </c>
      <c r="N192" s="7">
        <v>46060</v>
      </c>
      <c r="O192" s="8" t="s">
        <v>2</v>
      </c>
      <c r="P192" s="8" t="s">
        <v>1697</v>
      </c>
      <c r="Q192" s="8" t="s">
        <v>68</v>
      </c>
      <c r="R192" s="8" t="s">
        <v>69</v>
      </c>
      <c r="S192" s="8" t="s">
        <v>2926</v>
      </c>
      <c r="T192" s="9">
        <v>10</v>
      </c>
      <c r="U192" s="9">
        <v>18500</v>
      </c>
      <c r="V192" s="8" t="s">
        <v>2926</v>
      </c>
      <c r="W192" s="8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5</v>
      </c>
      <c r="AC192" s="8">
        <v>925</v>
      </c>
      <c r="AD192" s="8">
        <v>17.5</v>
      </c>
      <c r="AE192" s="8">
        <v>942.5</v>
      </c>
      <c r="AF192" s="8">
        <v>0</v>
      </c>
      <c r="AG192" s="8" t="s">
        <v>2251</v>
      </c>
      <c r="AH192" s="8" t="s">
        <v>1</v>
      </c>
      <c r="AI192" s="8">
        <v>84529099</v>
      </c>
      <c r="AJ192" s="8" t="s">
        <v>60</v>
      </c>
      <c r="AK192" s="8">
        <v>1</v>
      </c>
      <c r="AL192" s="8">
        <v>0</v>
      </c>
      <c r="AM192" s="8" t="s">
        <v>1940</v>
      </c>
    </row>
    <row r="193" spans="7:39" ht="12.75" customHeight="1">
      <c r="G193" s="347"/>
      <c r="H193" s="348">
        <v>46272</v>
      </c>
      <c r="I193" s="8" t="s">
        <v>2249</v>
      </c>
      <c r="J193" s="8" t="s">
        <v>96</v>
      </c>
      <c r="K193" s="8" t="s">
        <v>2923</v>
      </c>
      <c r="L193" s="8" t="s">
        <v>2250</v>
      </c>
      <c r="M193" s="8" t="s">
        <v>2924</v>
      </c>
      <c r="N193" s="7">
        <v>46060</v>
      </c>
      <c r="O193" s="8" t="s">
        <v>2</v>
      </c>
      <c r="P193" s="8" t="s">
        <v>1697</v>
      </c>
      <c r="Q193" s="8" t="s">
        <v>68</v>
      </c>
      <c r="R193" s="8" t="s">
        <v>69</v>
      </c>
      <c r="S193" s="8" t="s">
        <v>2927</v>
      </c>
      <c r="T193" s="9">
        <v>30</v>
      </c>
      <c r="U193" s="9">
        <v>600</v>
      </c>
      <c r="V193" s="8" t="s">
        <v>2927</v>
      </c>
      <c r="W193" s="8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5</v>
      </c>
      <c r="AC193" s="8">
        <v>30</v>
      </c>
      <c r="AD193" s="8">
        <v>17.5</v>
      </c>
      <c r="AE193" s="8">
        <v>47.5</v>
      </c>
      <c r="AF193" s="8">
        <v>0</v>
      </c>
      <c r="AG193" s="8" t="s">
        <v>2251</v>
      </c>
      <c r="AH193" s="8" t="s">
        <v>1</v>
      </c>
      <c r="AI193" s="8">
        <v>731815</v>
      </c>
      <c r="AJ193" s="8" t="s">
        <v>60</v>
      </c>
      <c r="AK193" s="8">
        <v>1</v>
      </c>
      <c r="AL193" s="8">
        <v>0</v>
      </c>
      <c r="AM193" s="8" t="s">
        <v>1940</v>
      </c>
    </row>
    <row r="194" spans="7:39" ht="12.75" customHeight="1">
      <c r="G194" s="347"/>
      <c r="H194" s="348">
        <v>46272</v>
      </c>
      <c r="I194" s="8" t="s">
        <v>2249</v>
      </c>
      <c r="J194" s="8" t="s">
        <v>96</v>
      </c>
      <c r="K194" s="8" t="s">
        <v>2923</v>
      </c>
      <c r="L194" s="8" t="s">
        <v>2250</v>
      </c>
      <c r="M194" s="8" t="s">
        <v>2924</v>
      </c>
      <c r="N194" s="7">
        <v>46060</v>
      </c>
      <c r="O194" s="8" t="s">
        <v>2</v>
      </c>
      <c r="P194" s="8" t="s">
        <v>1697</v>
      </c>
      <c r="Q194" s="8" t="s">
        <v>68</v>
      </c>
      <c r="R194" s="8" t="s">
        <v>69</v>
      </c>
      <c r="S194" s="8" t="s">
        <v>2928</v>
      </c>
      <c r="T194" s="9">
        <v>5</v>
      </c>
      <c r="U194" s="9">
        <v>3250</v>
      </c>
      <c r="V194" s="8" t="s">
        <v>2928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5</v>
      </c>
      <c r="AC194" s="8">
        <v>162.5</v>
      </c>
      <c r="AD194" s="8">
        <v>17.5</v>
      </c>
      <c r="AE194" s="8">
        <v>180</v>
      </c>
      <c r="AF194" s="8">
        <v>0</v>
      </c>
      <c r="AG194" s="8" t="s">
        <v>2251</v>
      </c>
      <c r="AH194" s="8" t="s">
        <v>1</v>
      </c>
      <c r="AI194" s="8">
        <v>84529099</v>
      </c>
      <c r="AJ194" s="8" t="s">
        <v>60</v>
      </c>
      <c r="AK194" s="8">
        <v>1</v>
      </c>
      <c r="AL194" s="8">
        <v>0</v>
      </c>
      <c r="AM194" s="8" t="s">
        <v>1940</v>
      </c>
    </row>
    <row r="195" spans="7:39" ht="12.75" customHeight="1">
      <c r="G195" s="347"/>
      <c r="H195" s="348">
        <v>46272</v>
      </c>
      <c r="I195" s="8" t="s">
        <v>2249</v>
      </c>
      <c r="J195" s="8" t="s">
        <v>96</v>
      </c>
      <c r="K195" s="8" t="s">
        <v>2923</v>
      </c>
      <c r="L195" s="8" t="s">
        <v>2250</v>
      </c>
      <c r="M195" s="8" t="s">
        <v>2924</v>
      </c>
      <c r="N195" s="7">
        <v>46060</v>
      </c>
      <c r="O195" s="8" t="s">
        <v>2</v>
      </c>
      <c r="P195" s="8" t="s">
        <v>1697</v>
      </c>
      <c r="Q195" s="8" t="s">
        <v>68</v>
      </c>
      <c r="R195" s="8" t="s">
        <v>69</v>
      </c>
      <c r="S195" s="8" t="s">
        <v>2929</v>
      </c>
      <c r="T195" s="9">
        <v>5</v>
      </c>
      <c r="U195" s="9">
        <v>24250</v>
      </c>
      <c r="V195" s="8" t="s">
        <v>2929</v>
      </c>
      <c r="W195" s="8">
        <v>0</v>
      </c>
      <c r="X195" s="8">
        <v>0</v>
      </c>
      <c r="Y195" s="8">
        <v>0</v>
      </c>
      <c r="Z195" s="8">
        <v>0</v>
      </c>
      <c r="AA195" s="8">
        <v>0</v>
      </c>
      <c r="AB195" s="8">
        <v>5</v>
      </c>
      <c r="AC195" s="8">
        <v>1212.5</v>
      </c>
      <c r="AD195" s="8">
        <v>17.5</v>
      </c>
      <c r="AE195" s="8">
        <v>1230</v>
      </c>
      <c r="AF195" s="8">
        <v>0</v>
      </c>
      <c r="AG195" s="8" t="s">
        <v>2251</v>
      </c>
      <c r="AH195" s="8" t="s">
        <v>1</v>
      </c>
      <c r="AI195" s="8">
        <v>84529090</v>
      </c>
      <c r="AJ195" s="8" t="s">
        <v>60</v>
      </c>
      <c r="AK195" s="8">
        <v>1</v>
      </c>
      <c r="AL195" s="8">
        <v>0</v>
      </c>
      <c r="AM195" s="8" t="s">
        <v>1940</v>
      </c>
    </row>
    <row r="196" spans="7:39" ht="12.75" customHeight="1">
      <c r="G196" s="347"/>
      <c r="H196" s="348">
        <v>46302</v>
      </c>
      <c r="I196" s="8" t="s">
        <v>2504</v>
      </c>
      <c r="J196" s="8" t="s">
        <v>96</v>
      </c>
      <c r="K196" s="8" t="s">
        <v>2930</v>
      </c>
      <c r="L196" s="8" t="s">
        <v>97</v>
      </c>
      <c r="M196" s="8" t="s">
        <v>2931</v>
      </c>
      <c r="N196" s="7">
        <v>46180</v>
      </c>
      <c r="O196" s="8" t="s">
        <v>2</v>
      </c>
      <c r="P196" s="8" t="s">
        <v>2932</v>
      </c>
      <c r="Q196" s="8" t="s">
        <v>68</v>
      </c>
      <c r="R196" s="8" t="s">
        <v>69</v>
      </c>
      <c r="S196" s="8" t="s">
        <v>2933</v>
      </c>
      <c r="T196" s="9">
        <v>1</v>
      </c>
      <c r="U196" s="9">
        <v>31655</v>
      </c>
      <c r="V196" s="8" t="s">
        <v>2933</v>
      </c>
      <c r="W196" s="8">
        <v>37353</v>
      </c>
      <c r="X196" s="8">
        <v>9</v>
      </c>
      <c r="Y196" s="8">
        <v>2848.95</v>
      </c>
      <c r="Z196" s="8">
        <v>9</v>
      </c>
      <c r="AA196" s="8">
        <v>2848.95</v>
      </c>
      <c r="AB196" s="8">
        <v>0</v>
      </c>
      <c r="AC196" s="8">
        <v>0</v>
      </c>
      <c r="AD196" s="8">
        <v>0</v>
      </c>
      <c r="AE196" s="8">
        <v>5697.9</v>
      </c>
      <c r="AF196" s="8">
        <v>0</v>
      </c>
      <c r="AG196" s="8" t="s">
        <v>2505</v>
      </c>
      <c r="AH196" s="8" t="s">
        <v>1</v>
      </c>
      <c r="AI196" s="8">
        <v>845290</v>
      </c>
      <c r="AJ196" s="8" t="s">
        <v>60</v>
      </c>
      <c r="AK196" s="8">
        <v>1</v>
      </c>
      <c r="AL196" s="8">
        <v>0</v>
      </c>
      <c r="AM196" s="8" t="s">
        <v>1940</v>
      </c>
    </row>
    <row r="197" spans="7:39" ht="12.75" customHeight="1">
      <c r="G197" s="347"/>
      <c r="H197" s="348">
        <v>46302</v>
      </c>
      <c r="I197" s="8" t="s">
        <v>2934</v>
      </c>
      <c r="J197" s="8" t="s">
        <v>96</v>
      </c>
      <c r="K197" s="8" t="s">
        <v>2935</v>
      </c>
      <c r="L197" s="8" t="s">
        <v>97</v>
      </c>
      <c r="M197" s="8" t="s">
        <v>2936</v>
      </c>
      <c r="N197" s="7">
        <v>46210</v>
      </c>
      <c r="O197" s="8" t="s">
        <v>2</v>
      </c>
      <c r="P197" s="8" t="s">
        <v>2480</v>
      </c>
      <c r="Q197" s="8" t="s">
        <v>68</v>
      </c>
      <c r="R197" s="8" t="s">
        <v>69</v>
      </c>
      <c r="S197" s="8" t="s">
        <v>2937</v>
      </c>
      <c r="T197" s="9">
        <v>2</v>
      </c>
      <c r="U197" s="9">
        <v>540</v>
      </c>
      <c r="V197" s="8" t="s">
        <v>2937</v>
      </c>
      <c r="W197" s="8">
        <v>637</v>
      </c>
      <c r="X197" s="8">
        <v>9</v>
      </c>
      <c r="Y197" s="8">
        <v>48.6</v>
      </c>
      <c r="Z197" s="8">
        <v>9</v>
      </c>
      <c r="AA197" s="8">
        <v>48.6</v>
      </c>
      <c r="AB197" s="8">
        <v>0</v>
      </c>
      <c r="AC197" s="8">
        <v>0</v>
      </c>
      <c r="AD197" s="8">
        <v>0</v>
      </c>
      <c r="AE197" s="8">
        <v>97.2</v>
      </c>
      <c r="AF197" s="8">
        <v>0</v>
      </c>
      <c r="AG197" s="8" t="s">
        <v>2938</v>
      </c>
      <c r="AH197" s="8" t="s">
        <v>7</v>
      </c>
      <c r="AI197" s="8">
        <v>84821011</v>
      </c>
      <c r="AJ197" s="8" t="s">
        <v>60</v>
      </c>
      <c r="AK197" s="8">
        <v>1</v>
      </c>
      <c r="AL197" s="8">
        <v>0</v>
      </c>
      <c r="AM197" s="8" t="s">
        <v>1940</v>
      </c>
    </row>
    <row r="198" spans="7:39" ht="12.75" customHeight="1">
      <c r="G198" s="347"/>
      <c r="H198" s="348">
        <v>46302</v>
      </c>
      <c r="I198" s="8" t="s">
        <v>87</v>
      </c>
      <c r="J198" s="8" t="s">
        <v>91</v>
      </c>
      <c r="K198" s="8" t="s">
        <v>2939</v>
      </c>
      <c r="L198" s="8" t="s">
        <v>98</v>
      </c>
      <c r="M198" s="8" t="s">
        <v>2940</v>
      </c>
      <c r="N198" s="7">
        <v>46272</v>
      </c>
      <c r="O198" s="8" t="s">
        <v>13</v>
      </c>
      <c r="P198" s="8" t="s">
        <v>62</v>
      </c>
      <c r="Q198" s="8" t="s">
        <v>63</v>
      </c>
      <c r="R198" s="8" t="s">
        <v>64</v>
      </c>
      <c r="S198" s="8" t="s">
        <v>19</v>
      </c>
      <c r="T198" s="9">
        <v>1353</v>
      </c>
      <c r="U198" s="9">
        <v>198200.97</v>
      </c>
      <c r="V198" s="8" t="s">
        <v>19</v>
      </c>
      <c r="W198" s="8">
        <v>233678.95</v>
      </c>
      <c r="X198" s="8">
        <v>9</v>
      </c>
      <c r="Y198" s="8">
        <v>17838.09</v>
      </c>
      <c r="Z198" s="8">
        <v>9</v>
      </c>
      <c r="AA198" s="8">
        <v>17838.09</v>
      </c>
      <c r="AB198" s="8">
        <v>0</v>
      </c>
      <c r="AC198" s="8">
        <v>0</v>
      </c>
      <c r="AD198" s="8">
        <v>0</v>
      </c>
      <c r="AE198" s="8">
        <v>35676.18</v>
      </c>
      <c r="AF198" s="8">
        <v>0</v>
      </c>
      <c r="AG198" s="8" t="s">
        <v>65</v>
      </c>
      <c r="AH198" s="8" t="s">
        <v>11</v>
      </c>
      <c r="AI198" s="8">
        <v>39269080</v>
      </c>
      <c r="AJ198" s="8" t="s">
        <v>60</v>
      </c>
      <c r="AK198" s="8">
        <v>1</v>
      </c>
      <c r="AL198" s="8">
        <v>0</v>
      </c>
      <c r="AM198" s="8" t="s">
        <v>1940</v>
      </c>
    </row>
    <row r="199" spans="7:39" ht="12.75" customHeight="1">
      <c r="G199" s="347"/>
      <c r="H199" s="348">
        <v>46302</v>
      </c>
      <c r="I199" s="8" t="s">
        <v>87</v>
      </c>
      <c r="J199" s="8" t="s">
        <v>91</v>
      </c>
      <c r="K199" s="8" t="s">
        <v>2941</v>
      </c>
      <c r="L199" s="8" t="s">
        <v>98</v>
      </c>
      <c r="M199" s="8" t="s">
        <v>2942</v>
      </c>
      <c r="N199" s="7">
        <v>46302</v>
      </c>
      <c r="O199" s="8" t="s">
        <v>13</v>
      </c>
      <c r="P199" s="8" t="s">
        <v>62</v>
      </c>
      <c r="Q199" s="8" t="s">
        <v>63</v>
      </c>
      <c r="R199" s="8" t="s">
        <v>64</v>
      </c>
      <c r="S199" s="8" t="s">
        <v>19</v>
      </c>
      <c r="T199" s="9">
        <v>247</v>
      </c>
      <c r="U199" s="9">
        <v>36183.03</v>
      </c>
      <c r="V199" s="8" t="s">
        <v>19</v>
      </c>
      <c r="W199" s="8">
        <v>42659.79</v>
      </c>
      <c r="X199" s="8">
        <v>9</v>
      </c>
      <c r="Y199" s="8">
        <v>3256.47</v>
      </c>
      <c r="Z199" s="8">
        <v>9</v>
      </c>
      <c r="AA199" s="8">
        <v>3256.47</v>
      </c>
      <c r="AB199" s="8">
        <v>0</v>
      </c>
      <c r="AC199" s="8">
        <v>0</v>
      </c>
      <c r="AD199" s="8">
        <v>0</v>
      </c>
      <c r="AE199" s="8">
        <v>6512.94</v>
      </c>
      <c r="AF199" s="8">
        <v>0</v>
      </c>
      <c r="AG199" s="8" t="s">
        <v>65</v>
      </c>
      <c r="AH199" s="8" t="s">
        <v>11</v>
      </c>
      <c r="AI199" s="8">
        <v>39269080</v>
      </c>
      <c r="AJ199" s="8" t="s">
        <v>60</v>
      </c>
      <c r="AK199" s="8">
        <v>1</v>
      </c>
      <c r="AL199" s="8">
        <v>0</v>
      </c>
      <c r="AM199" s="8" t="s">
        <v>1940</v>
      </c>
    </row>
    <row r="200" spans="7:39" ht="12.75" customHeight="1">
      <c r="G200" s="347"/>
      <c r="H200" s="348">
        <v>46302</v>
      </c>
      <c r="I200" s="8" t="s">
        <v>87</v>
      </c>
      <c r="J200" s="8" t="s">
        <v>91</v>
      </c>
      <c r="K200" s="8" t="s">
        <v>2943</v>
      </c>
      <c r="L200" s="8" t="s">
        <v>98</v>
      </c>
      <c r="M200" s="8" t="s">
        <v>2944</v>
      </c>
      <c r="N200" s="7">
        <v>46302</v>
      </c>
      <c r="O200" s="8" t="s">
        <v>13</v>
      </c>
      <c r="P200" s="8" t="s">
        <v>62</v>
      </c>
      <c r="Q200" s="8" t="s">
        <v>76</v>
      </c>
      <c r="R200" s="8" t="s">
        <v>77</v>
      </c>
      <c r="S200" s="8" t="s">
        <v>21</v>
      </c>
      <c r="T200" s="9">
        <v>1304</v>
      </c>
      <c r="U200" s="9">
        <v>197542.96</v>
      </c>
      <c r="V200" s="8" t="s">
        <v>21</v>
      </c>
      <c r="W200" s="8">
        <v>1507457.33</v>
      </c>
      <c r="X200" s="8">
        <v>9</v>
      </c>
      <c r="Y200" s="8">
        <v>17778.87</v>
      </c>
      <c r="Z200" s="8">
        <v>9</v>
      </c>
      <c r="AA200" s="8">
        <v>17778.87</v>
      </c>
      <c r="AB200" s="8">
        <v>0</v>
      </c>
      <c r="AC200" s="8">
        <v>0</v>
      </c>
      <c r="AD200" s="8">
        <v>0</v>
      </c>
      <c r="AE200" s="8">
        <v>35557.74</v>
      </c>
      <c r="AF200" s="8">
        <v>0</v>
      </c>
      <c r="AG200" s="8" t="s">
        <v>65</v>
      </c>
      <c r="AH200" s="8" t="s">
        <v>11</v>
      </c>
      <c r="AI200" s="8">
        <v>63053300</v>
      </c>
      <c r="AJ200" s="8" t="s">
        <v>60</v>
      </c>
      <c r="AK200" s="8">
        <v>1</v>
      </c>
      <c r="AL200" s="8">
        <v>0</v>
      </c>
      <c r="AM200" s="8" t="s">
        <v>1940</v>
      </c>
    </row>
    <row r="201" spans="7:39" ht="12.75" customHeight="1">
      <c r="G201" s="347"/>
      <c r="H201" s="348">
        <v>46302</v>
      </c>
      <c r="I201" s="8" t="s">
        <v>87</v>
      </c>
      <c r="J201" s="8" t="s">
        <v>91</v>
      </c>
      <c r="K201" s="8" t="s">
        <v>2943</v>
      </c>
      <c r="L201" s="8" t="s">
        <v>98</v>
      </c>
      <c r="M201" s="8" t="s">
        <v>2944</v>
      </c>
      <c r="N201" s="7">
        <v>46302</v>
      </c>
      <c r="O201" s="8" t="s">
        <v>13</v>
      </c>
      <c r="P201" s="8" t="s">
        <v>62</v>
      </c>
      <c r="Q201" s="8" t="s">
        <v>63</v>
      </c>
      <c r="R201" s="8" t="s">
        <v>64</v>
      </c>
      <c r="S201" s="8" t="s">
        <v>19</v>
      </c>
      <c r="T201" s="9">
        <v>3402</v>
      </c>
      <c r="U201" s="9">
        <v>491554.98</v>
      </c>
      <c r="V201" s="8" t="s">
        <v>19</v>
      </c>
      <c r="W201" s="8">
        <v>0</v>
      </c>
      <c r="X201" s="8">
        <v>9</v>
      </c>
      <c r="Y201" s="8">
        <v>44239.95</v>
      </c>
      <c r="Z201" s="8">
        <v>9</v>
      </c>
      <c r="AA201" s="8">
        <v>44239.95</v>
      </c>
      <c r="AB201" s="8">
        <v>0</v>
      </c>
      <c r="AC201" s="8">
        <v>0</v>
      </c>
      <c r="AD201" s="8">
        <v>0</v>
      </c>
      <c r="AE201" s="8">
        <v>88479.9</v>
      </c>
      <c r="AF201" s="8">
        <v>0</v>
      </c>
      <c r="AG201" s="8" t="s">
        <v>65</v>
      </c>
      <c r="AH201" s="8" t="s">
        <v>11</v>
      </c>
      <c r="AI201" s="8">
        <v>39269080</v>
      </c>
      <c r="AJ201" s="8" t="s">
        <v>60</v>
      </c>
      <c r="AK201" s="8">
        <v>1</v>
      </c>
      <c r="AL201" s="8">
        <v>0</v>
      </c>
      <c r="AM201" s="8" t="s">
        <v>1940</v>
      </c>
    </row>
    <row r="202" spans="7:39" ht="12.75" customHeight="1">
      <c r="G202" s="347"/>
      <c r="H202" s="348">
        <v>46302</v>
      </c>
      <c r="I202" s="8" t="s">
        <v>87</v>
      </c>
      <c r="J202" s="8" t="s">
        <v>91</v>
      </c>
      <c r="K202" s="8" t="s">
        <v>2943</v>
      </c>
      <c r="L202" s="8" t="s">
        <v>98</v>
      </c>
      <c r="M202" s="8" t="s">
        <v>2944</v>
      </c>
      <c r="N202" s="7">
        <v>46302</v>
      </c>
      <c r="O202" s="8" t="s">
        <v>13</v>
      </c>
      <c r="P202" s="8" t="s">
        <v>62</v>
      </c>
      <c r="Q202" s="8" t="s">
        <v>63</v>
      </c>
      <c r="R202" s="8" t="s">
        <v>64</v>
      </c>
      <c r="S202" s="8" t="s">
        <v>19</v>
      </c>
      <c r="T202" s="9">
        <v>895</v>
      </c>
      <c r="U202" s="9">
        <v>132003.54999999999</v>
      </c>
      <c r="V202" s="8" t="s">
        <v>19</v>
      </c>
      <c r="W202" s="8">
        <v>0</v>
      </c>
      <c r="X202" s="8">
        <v>9</v>
      </c>
      <c r="Y202" s="8">
        <v>11880.32</v>
      </c>
      <c r="Z202" s="8">
        <v>9</v>
      </c>
      <c r="AA202" s="8">
        <v>11880.32</v>
      </c>
      <c r="AB202" s="8">
        <v>0</v>
      </c>
      <c r="AC202" s="8">
        <v>0</v>
      </c>
      <c r="AD202" s="8">
        <v>0</v>
      </c>
      <c r="AE202" s="8">
        <v>23760.639999999999</v>
      </c>
      <c r="AF202" s="8">
        <v>0</v>
      </c>
      <c r="AG202" s="8" t="s">
        <v>65</v>
      </c>
      <c r="AH202" s="8" t="s">
        <v>11</v>
      </c>
      <c r="AI202" s="8">
        <v>39269080</v>
      </c>
      <c r="AJ202" s="8" t="s">
        <v>60</v>
      </c>
      <c r="AK202" s="8">
        <v>1</v>
      </c>
      <c r="AL202" s="8">
        <v>0</v>
      </c>
      <c r="AM202" s="8" t="s">
        <v>1940</v>
      </c>
    </row>
    <row r="203" spans="7:39" ht="12.75" customHeight="1">
      <c r="G203" s="347"/>
      <c r="H203" s="348">
        <v>46302</v>
      </c>
      <c r="I203" s="8" t="s">
        <v>87</v>
      </c>
      <c r="J203" s="8" t="s">
        <v>91</v>
      </c>
      <c r="K203" s="8" t="s">
        <v>2943</v>
      </c>
      <c r="L203" s="8" t="s">
        <v>98</v>
      </c>
      <c r="M203" s="8" t="s">
        <v>2944</v>
      </c>
      <c r="N203" s="7">
        <v>46302</v>
      </c>
      <c r="O203" s="8" t="s">
        <v>13</v>
      </c>
      <c r="P203" s="8" t="s">
        <v>62</v>
      </c>
      <c r="Q203" s="8" t="s">
        <v>63</v>
      </c>
      <c r="R203" s="8" t="s">
        <v>64</v>
      </c>
      <c r="S203" s="8" t="s">
        <v>19</v>
      </c>
      <c r="T203" s="9">
        <v>3123</v>
      </c>
      <c r="U203" s="9">
        <v>457488.27</v>
      </c>
      <c r="V203" s="8" t="s">
        <v>19</v>
      </c>
      <c r="W203" s="8">
        <v>0</v>
      </c>
      <c r="X203" s="8">
        <v>9</v>
      </c>
      <c r="Y203" s="8">
        <v>41173.94</v>
      </c>
      <c r="Z203" s="8">
        <v>9</v>
      </c>
      <c r="AA203" s="8">
        <v>41173.94</v>
      </c>
      <c r="AB203" s="8">
        <v>0</v>
      </c>
      <c r="AC203" s="8">
        <v>0</v>
      </c>
      <c r="AD203" s="8">
        <v>0</v>
      </c>
      <c r="AE203" s="8">
        <v>82347.88</v>
      </c>
      <c r="AF203" s="8">
        <v>0</v>
      </c>
      <c r="AG203" s="8" t="s">
        <v>65</v>
      </c>
      <c r="AH203" s="8" t="s">
        <v>11</v>
      </c>
      <c r="AI203" s="8">
        <v>39269080</v>
      </c>
      <c r="AJ203" s="8" t="s">
        <v>60</v>
      </c>
      <c r="AK203" s="8">
        <v>1</v>
      </c>
      <c r="AL203" s="8">
        <v>0</v>
      </c>
      <c r="AM203" s="8" t="s">
        <v>1940</v>
      </c>
    </row>
    <row r="204" spans="7:39" ht="12.75" customHeight="1">
      <c r="G204" s="347"/>
      <c r="H204" s="348">
        <v>46302</v>
      </c>
      <c r="I204" s="8" t="s">
        <v>87</v>
      </c>
      <c r="J204" s="8" t="s">
        <v>91</v>
      </c>
      <c r="K204" s="8" t="s">
        <v>2945</v>
      </c>
      <c r="L204" s="8" t="s">
        <v>98</v>
      </c>
      <c r="M204" s="8" t="s">
        <v>2946</v>
      </c>
      <c r="N204" s="7">
        <v>46302</v>
      </c>
      <c r="O204" s="8" t="s">
        <v>13</v>
      </c>
      <c r="P204" s="8" t="s">
        <v>80</v>
      </c>
      <c r="Q204" s="8" t="s">
        <v>81</v>
      </c>
      <c r="R204" s="8" t="s">
        <v>82</v>
      </c>
      <c r="S204" s="8" t="s">
        <v>17</v>
      </c>
      <c r="T204" s="9">
        <v>357</v>
      </c>
      <c r="U204" s="9">
        <v>66680.460000000006</v>
      </c>
      <c r="V204" s="8" t="s">
        <v>17</v>
      </c>
      <c r="W204" s="8">
        <v>330040.71999999997</v>
      </c>
      <c r="X204" s="8">
        <v>9</v>
      </c>
      <c r="Y204" s="8">
        <v>6001.24</v>
      </c>
      <c r="Z204" s="8">
        <v>9</v>
      </c>
      <c r="AA204" s="8">
        <v>6001.24</v>
      </c>
      <c r="AB204" s="8">
        <v>0</v>
      </c>
      <c r="AC204" s="8">
        <v>0</v>
      </c>
      <c r="AD204" s="8">
        <v>0</v>
      </c>
      <c r="AE204" s="8">
        <v>12002.48</v>
      </c>
      <c r="AF204" s="8">
        <v>0</v>
      </c>
      <c r="AG204" s="8" t="s">
        <v>65</v>
      </c>
      <c r="AH204" s="8" t="s">
        <v>11</v>
      </c>
      <c r="AI204" s="8">
        <v>39200000</v>
      </c>
      <c r="AJ204" s="8" t="s">
        <v>60</v>
      </c>
      <c r="AK204" s="8">
        <v>1</v>
      </c>
      <c r="AL204" s="8">
        <v>0</v>
      </c>
      <c r="AM204" s="8" t="s">
        <v>1940</v>
      </c>
    </row>
    <row r="205" spans="7:39" ht="12.75" customHeight="1">
      <c r="G205" s="347"/>
      <c r="H205" s="348">
        <v>46302</v>
      </c>
      <c r="I205" s="8" t="s">
        <v>87</v>
      </c>
      <c r="J205" s="8" t="s">
        <v>91</v>
      </c>
      <c r="K205" s="8" t="s">
        <v>2945</v>
      </c>
      <c r="L205" s="8" t="s">
        <v>98</v>
      </c>
      <c r="M205" s="8" t="s">
        <v>2946</v>
      </c>
      <c r="N205" s="7">
        <v>46302</v>
      </c>
      <c r="O205" s="8" t="s">
        <v>13</v>
      </c>
      <c r="P205" s="8" t="s">
        <v>80</v>
      </c>
      <c r="Q205" s="8" t="s">
        <v>81</v>
      </c>
      <c r="R205" s="8" t="s">
        <v>82</v>
      </c>
      <c r="S205" s="8" t="s">
        <v>17</v>
      </c>
      <c r="T205" s="9">
        <v>692</v>
      </c>
      <c r="U205" s="9">
        <v>126483.76</v>
      </c>
      <c r="V205" s="8" t="s">
        <v>17</v>
      </c>
      <c r="W205" s="8">
        <v>0</v>
      </c>
      <c r="X205" s="8">
        <v>9</v>
      </c>
      <c r="Y205" s="8">
        <v>11383.54</v>
      </c>
      <c r="Z205" s="8">
        <v>9</v>
      </c>
      <c r="AA205" s="8">
        <v>11383.54</v>
      </c>
      <c r="AB205" s="8">
        <v>0</v>
      </c>
      <c r="AC205" s="8">
        <v>0</v>
      </c>
      <c r="AD205" s="8">
        <v>0</v>
      </c>
      <c r="AE205" s="8">
        <v>22767.08</v>
      </c>
      <c r="AF205" s="8">
        <v>0</v>
      </c>
      <c r="AG205" s="8" t="s">
        <v>65</v>
      </c>
      <c r="AH205" s="8" t="s">
        <v>11</v>
      </c>
      <c r="AI205" s="8">
        <v>39200000</v>
      </c>
      <c r="AJ205" s="8" t="s">
        <v>60</v>
      </c>
      <c r="AK205" s="8">
        <v>1</v>
      </c>
      <c r="AL205" s="8">
        <v>0</v>
      </c>
      <c r="AM205" s="8" t="s">
        <v>1940</v>
      </c>
    </row>
    <row r="206" spans="7:39" ht="12.75" customHeight="1">
      <c r="G206" s="347"/>
      <c r="H206" s="348">
        <v>46302</v>
      </c>
      <c r="I206" s="8" t="s">
        <v>87</v>
      </c>
      <c r="J206" s="8" t="s">
        <v>91</v>
      </c>
      <c r="K206" s="8" t="s">
        <v>2945</v>
      </c>
      <c r="L206" s="8" t="s">
        <v>98</v>
      </c>
      <c r="M206" s="8" t="s">
        <v>2946</v>
      </c>
      <c r="N206" s="7">
        <v>46302</v>
      </c>
      <c r="O206" s="8" t="s">
        <v>13</v>
      </c>
      <c r="P206" s="8" t="s">
        <v>62</v>
      </c>
      <c r="Q206" s="8" t="s">
        <v>63</v>
      </c>
      <c r="R206" s="8" t="s">
        <v>64</v>
      </c>
      <c r="S206" s="8" t="s">
        <v>19</v>
      </c>
      <c r="T206" s="9">
        <v>254</v>
      </c>
      <c r="U206" s="9">
        <v>37208.46</v>
      </c>
      <c r="V206" s="8" t="s">
        <v>19</v>
      </c>
      <c r="W206" s="8">
        <v>0</v>
      </c>
      <c r="X206" s="8">
        <v>9</v>
      </c>
      <c r="Y206" s="8">
        <v>3348.76</v>
      </c>
      <c r="Z206" s="8">
        <v>9</v>
      </c>
      <c r="AA206" s="8">
        <v>3348.76</v>
      </c>
      <c r="AB206" s="8">
        <v>0</v>
      </c>
      <c r="AC206" s="8">
        <v>0</v>
      </c>
      <c r="AD206" s="8">
        <v>0</v>
      </c>
      <c r="AE206" s="8">
        <v>6697.52</v>
      </c>
      <c r="AF206" s="8">
        <v>0</v>
      </c>
      <c r="AG206" s="8" t="s">
        <v>65</v>
      </c>
      <c r="AH206" s="8" t="s">
        <v>11</v>
      </c>
      <c r="AI206" s="8">
        <v>39269080</v>
      </c>
      <c r="AJ206" s="8" t="s">
        <v>60</v>
      </c>
      <c r="AK206" s="8">
        <v>1</v>
      </c>
      <c r="AL206" s="8">
        <v>0</v>
      </c>
      <c r="AM206" s="8" t="s">
        <v>1940</v>
      </c>
    </row>
    <row r="207" spans="7:39" ht="12.75" customHeight="1">
      <c r="G207" s="347"/>
      <c r="H207" s="348">
        <v>46302</v>
      </c>
      <c r="I207" s="8" t="s">
        <v>87</v>
      </c>
      <c r="J207" s="8" t="s">
        <v>91</v>
      </c>
      <c r="K207" s="8" t="s">
        <v>2945</v>
      </c>
      <c r="L207" s="8" t="s">
        <v>98</v>
      </c>
      <c r="M207" s="8" t="s">
        <v>2946</v>
      </c>
      <c r="N207" s="7">
        <v>46302</v>
      </c>
      <c r="O207" s="8" t="s">
        <v>13</v>
      </c>
      <c r="P207" s="8" t="s">
        <v>62</v>
      </c>
      <c r="Q207" s="8" t="s">
        <v>63</v>
      </c>
      <c r="R207" s="8" t="s">
        <v>64</v>
      </c>
      <c r="S207" s="8" t="s">
        <v>19</v>
      </c>
      <c r="T207" s="9">
        <v>343</v>
      </c>
      <c r="U207" s="9">
        <v>49560.07</v>
      </c>
      <c r="V207" s="8" t="s">
        <v>19</v>
      </c>
      <c r="W207" s="8">
        <v>0</v>
      </c>
      <c r="X207" s="8">
        <v>9</v>
      </c>
      <c r="Y207" s="8">
        <v>4460.41</v>
      </c>
      <c r="Z207" s="8">
        <v>9</v>
      </c>
      <c r="AA207" s="8">
        <v>4460.41</v>
      </c>
      <c r="AB207" s="8">
        <v>0</v>
      </c>
      <c r="AC207" s="8">
        <v>0</v>
      </c>
      <c r="AD207" s="8">
        <v>0</v>
      </c>
      <c r="AE207" s="8">
        <v>8920.82</v>
      </c>
      <c r="AF207" s="8">
        <v>0</v>
      </c>
      <c r="AG207" s="8" t="s">
        <v>65</v>
      </c>
      <c r="AH207" s="8" t="s">
        <v>11</v>
      </c>
      <c r="AI207" s="8">
        <v>39269080</v>
      </c>
      <c r="AJ207" s="8" t="s">
        <v>60</v>
      </c>
      <c r="AK207" s="8">
        <v>1</v>
      </c>
      <c r="AL207" s="8">
        <v>0</v>
      </c>
      <c r="AM207" s="8" t="s">
        <v>1940</v>
      </c>
    </row>
    <row r="208" spans="7:39" ht="12.75" customHeight="1">
      <c r="G208" s="347"/>
      <c r="H208" s="348">
        <v>46302</v>
      </c>
      <c r="I208" s="8" t="s">
        <v>87</v>
      </c>
      <c r="J208" s="8" t="s">
        <v>91</v>
      </c>
      <c r="K208" s="8" t="s">
        <v>2947</v>
      </c>
      <c r="L208" s="8" t="s">
        <v>98</v>
      </c>
      <c r="M208" s="8" t="s">
        <v>2948</v>
      </c>
      <c r="N208" s="7">
        <v>46302</v>
      </c>
      <c r="O208" s="8" t="s">
        <v>13</v>
      </c>
      <c r="P208" s="8" t="s">
        <v>24</v>
      </c>
      <c r="Q208" s="8" t="s">
        <v>79</v>
      </c>
      <c r="R208" s="8" t="s">
        <v>79</v>
      </c>
      <c r="S208" s="8" t="s">
        <v>24</v>
      </c>
      <c r="T208" s="9">
        <v>1357.8</v>
      </c>
      <c r="U208" s="9">
        <v>202977.52</v>
      </c>
      <c r="V208" s="8" t="s">
        <v>24</v>
      </c>
      <c r="W208" s="8">
        <v>550158.23</v>
      </c>
      <c r="X208" s="8">
        <v>9</v>
      </c>
      <c r="Y208" s="8">
        <v>18267.98</v>
      </c>
      <c r="Z208" s="8">
        <v>9</v>
      </c>
      <c r="AA208" s="8">
        <v>18267.98</v>
      </c>
      <c r="AB208" s="8">
        <v>0</v>
      </c>
      <c r="AC208" s="8">
        <v>0</v>
      </c>
      <c r="AD208" s="8">
        <v>0</v>
      </c>
      <c r="AE208" s="8">
        <v>36535.96</v>
      </c>
      <c r="AF208" s="8">
        <v>0</v>
      </c>
      <c r="AG208" s="8" t="s">
        <v>65</v>
      </c>
      <c r="AH208" s="8" t="s">
        <v>11</v>
      </c>
      <c r="AI208" s="8">
        <v>3926908</v>
      </c>
      <c r="AJ208" s="8" t="s">
        <v>60</v>
      </c>
      <c r="AK208" s="8">
        <v>1</v>
      </c>
      <c r="AL208" s="8">
        <v>0</v>
      </c>
      <c r="AM208" s="8" t="s">
        <v>1940</v>
      </c>
    </row>
    <row r="209" spans="7:39" ht="12.75" customHeight="1">
      <c r="G209" s="347"/>
      <c r="H209" s="348">
        <v>46302</v>
      </c>
      <c r="I209" s="8" t="s">
        <v>87</v>
      </c>
      <c r="J209" s="8" t="s">
        <v>91</v>
      </c>
      <c r="K209" s="8" t="s">
        <v>2947</v>
      </c>
      <c r="L209" s="8" t="s">
        <v>98</v>
      </c>
      <c r="M209" s="8" t="s">
        <v>2948</v>
      </c>
      <c r="N209" s="7">
        <v>46302</v>
      </c>
      <c r="O209" s="8" t="s">
        <v>13</v>
      </c>
      <c r="P209" s="8" t="s">
        <v>24</v>
      </c>
      <c r="Q209" s="8" t="s">
        <v>79</v>
      </c>
      <c r="R209" s="8" t="s">
        <v>79</v>
      </c>
      <c r="S209" s="8" t="s">
        <v>24</v>
      </c>
      <c r="T209" s="9">
        <v>853.9</v>
      </c>
      <c r="U209" s="9">
        <v>125087.81</v>
      </c>
      <c r="V209" s="8" t="s">
        <v>24</v>
      </c>
      <c r="W209" s="8">
        <v>0</v>
      </c>
      <c r="X209" s="8">
        <v>9</v>
      </c>
      <c r="Y209" s="8">
        <v>11257.9</v>
      </c>
      <c r="Z209" s="8">
        <v>9</v>
      </c>
      <c r="AA209" s="8">
        <v>11257.9</v>
      </c>
      <c r="AB209" s="8">
        <v>0</v>
      </c>
      <c r="AC209" s="8">
        <v>0</v>
      </c>
      <c r="AD209" s="8">
        <v>0</v>
      </c>
      <c r="AE209" s="8">
        <v>22515.8</v>
      </c>
      <c r="AF209" s="8">
        <v>0</v>
      </c>
      <c r="AG209" s="8" t="s">
        <v>65</v>
      </c>
      <c r="AH209" s="8" t="s">
        <v>11</v>
      </c>
      <c r="AI209" s="8">
        <v>3926908</v>
      </c>
      <c r="AJ209" s="8" t="s">
        <v>60</v>
      </c>
      <c r="AK209" s="8">
        <v>1</v>
      </c>
      <c r="AL209" s="8">
        <v>0</v>
      </c>
      <c r="AM209" s="8" t="s">
        <v>1940</v>
      </c>
    </row>
    <row r="210" spans="7:39" ht="12.75" customHeight="1">
      <c r="G210" s="347"/>
      <c r="H210" s="348">
        <v>46302</v>
      </c>
      <c r="I210" s="8" t="s">
        <v>87</v>
      </c>
      <c r="J210" s="8" t="s">
        <v>91</v>
      </c>
      <c r="K210" s="8" t="s">
        <v>2947</v>
      </c>
      <c r="L210" s="8" t="s">
        <v>98</v>
      </c>
      <c r="M210" s="8" t="s">
        <v>2948</v>
      </c>
      <c r="N210" s="7">
        <v>46302</v>
      </c>
      <c r="O210" s="8" t="s">
        <v>13</v>
      </c>
      <c r="P210" s="8" t="s">
        <v>62</v>
      </c>
      <c r="Q210" s="8" t="s">
        <v>63</v>
      </c>
      <c r="R210" s="8" t="s">
        <v>64</v>
      </c>
      <c r="S210" s="8" t="s">
        <v>2949</v>
      </c>
      <c r="T210" s="9">
        <v>410</v>
      </c>
      <c r="U210" s="9">
        <v>59240.9</v>
      </c>
      <c r="V210" s="8" t="s">
        <v>2949</v>
      </c>
      <c r="W210" s="8">
        <v>0</v>
      </c>
      <c r="X210" s="8">
        <v>9</v>
      </c>
      <c r="Y210" s="8">
        <v>5331.68</v>
      </c>
      <c r="Z210" s="8">
        <v>9</v>
      </c>
      <c r="AA210" s="8">
        <v>5331.68</v>
      </c>
      <c r="AB210" s="8">
        <v>0</v>
      </c>
      <c r="AC210" s="8">
        <v>0</v>
      </c>
      <c r="AD210" s="8">
        <v>0</v>
      </c>
      <c r="AE210" s="8">
        <v>10663.36</v>
      </c>
      <c r="AF210" s="8">
        <v>0</v>
      </c>
      <c r="AG210" s="8" t="s">
        <v>65</v>
      </c>
      <c r="AH210" s="8" t="s">
        <v>11</v>
      </c>
      <c r="AI210" s="8">
        <v>39269080</v>
      </c>
      <c r="AJ210" s="8" t="s">
        <v>60</v>
      </c>
      <c r="AK210" s="8">
        <v>1</v>
      </c>
      <c r="AL210" s="8">
        <v>0</v>
      </c>
      <c r="AM210" s="8" t="s">
        <v>1940</v>
      </c>
    </row>
    <row r="211" spans="7:39" ht="12.75" customHeight="1">
      <c r="G211" s="347"/>
      <c r="H211" s="348">
        <v>46302</v>
      </c>
      <c r="I211" s="8" t="s">
        <v>87</v>
      </c>
      <c r="J211" s="8" t="s">
        <v>91</v>
      </c>
      <c r="K211" s="8" t="s">
        <v>2947</v>
      </c>
      <c r="L211" s="8" t="s">
        <v>98</v>
      </c>
      <c r="M211" s="8" t="s">
        <v>2948</v>
      </c>
      <c r="N211" s="7">
        <v>46302</v>
      </c>
      <c r="O211" s="8" t="s">
        <v>13</v>
      </c>
      <c r="P211" s="8" t="s">
        <v>62</v>
      </c>
      <c r="Q211" s="8" t="s">
        <v>63</v>
      </c>
      <c r="R211" s="8" t="s">
        <v>64</v>
      </c>
      <c r="S211" s="8" t="s">
        <v>19</v>
      </c>
      <c r="T211" s="9">
        <v>549</v>
      </c>
      <c r="U211" s="9">
        <v>79325.009999999995</v>
      </c>
      <c r="V211" s="8" t="s">
        <v>19</v>
      </c>
      <c r="W211" s="8">
        <v>0</v>
      </c>
      <c r="X211" s="8">
        <v>9</v>
      </c>
      <c r="Y211" s="8">
        <v>7139.25</v>
      </c>
      <c r="Z211" s="8">
        <v>9</v>
      </c>
      <c r="AA211" s="8">
        <v>7139.25</v>
      </c>
      <c r="AB211" s="8">
        <v>0</v>
      </c>
      <c r="AC211" s="8">
        <v>0</v>
      </c>
      <c r="AD211" s="8">
        <v>0</v>
      </c>
      <c r="AE211" s="8">
        <v>14278.5</v>
      </c>
      <c r="AF211" s="8">
        <v>0</v>
      </c>
      <c r="AG211" s="8" t="s">
        <v>65</v>
      </c>
      <c r="AH211" s="8" t="s">
        <v>11</v>
      </c>
      <c r="AI211" s="8">
        <v>39269080</v>
      </c>
      <c r="AJ211" s="8" t="s">
        <v>60</v>
      </c>
      <c r="AK211" s="8">
        <v>1</v>
      </c>
      <c r="AL211" s="8">
        <v>0</v>
      </c>
      <c r="AM211" s="8" t="s">
        <v>1940</v>
      </c>
    </row>
    <row r="212" spans="7:39" ht="12.75" customHeight="1">
      <c r="G212" s="347"/>
      <c r="H212" s="348">
        <v>46302</v>
      </c>
      <c r="I212" s="8" t="s">
        <v>94</v>
      </c>
      <c r="J212" s="8" t="s">
        <v>96</v>
      </c>
      <c r="K212" s="8" t="s">
        <v>2950</v>
      </c>
      <c r="L212" s="8" t="s">
        <v>97</v>
      </c>
      <c r="M212" s="8" t="s">
        <v>2951</v>
      </c>
      <c r="N212" s="7">
        <v>46272</v>
      </c>
      <c r="O212" s="8" t="s">
        <v>2</v>
      </c>
      <c r="P212" s="8" t="s">
        <v>67</v>
      </c>
      <c r="Q212" s="8" t="s">
        <v>68</v>
      </c>
      <c r="R212" s="8" t="s">
        <v>69</v>
      </c>
      <c r="S212" s="8" t="s">
        <v>70</v>
      </c>
      <c r="T212" s="9">
        <v>25</v>
      </c>
      <c r="U212" s="9">
        <v>1200</v>
      </c>
      <c r="V212" s="8" t="s">
        <v>70</v>
      </c>
      <c r="W212" s="8">
        <v>1414.8</v>
      </c>
      <c r="X212" s="8">
        <v>9</v>
      </c>
      <c r="Y212" s="8">
        <v>108</v>
      </c>
      <c r="Z212" s="8">
        <v>9</v>
      </c>
      <c r="AA212" s="8">
        <v>108</v>
      </c>
      <c r="AB212" s="8">
        <v>0</v>
      </c>
      <c r="AC212" s="8">
        <v>0</v>
      </c>
      <c r="AD212" s="8">
        <v>0</v>
      </c>
      <c r="AE212" s="8">
        <v>216</v>
      </c>
      <c r="AF212" s="8">
        <v>0</v>
      </c>
      <c r="AG212" s="8" t="s">
        <v>74</v>
      </c>
      <c r="AH212" s="8" t="s">
        <v>11</v>
      </c>
      <c r="AI212" s="8">
        <v>73063090</v>
      </c>
      <c r="AJ212" s="8" t="s">
        <v>60</v>
      </c>
      <c r="AK212" s="8">
        <v>1</v>
      </c>
      <c r="AL212" s="8">
        <v>0</v>
      </c>
      <c r="AM212" s="8" t="s">
        <v>1940</v>
      </c>
    </row>
    <row r="213" spans="7:39" ht="12.75" customHeight="1">
      <c r="G213" s="347"/>
      <c r="H213" s="348">
        <v>46302</v>
      </c>
      <c r="I213" s="8" t="s">
        <v>94</v>
      </c>
      <c r="J213" s="8" t="s">
        <v>91</v>
      </c>
      <c r="K213" s="8" t="s">
        <v>2952</v>
      </c>
      <c r="L213" s="8" t="s">
        <v>98</v>
      </c>
      <c r="M213" s="8" t="s">
        <v>2953</v>
      </c>
      <c r="N213" s="7">
        <v>46272</v>
      </c>
      <c r="O213" s="8" t="s">
        <v>15</v>
      </c>
      <c r="P213" s="8" t="s">
        <v>2117</v>
      </c>
      <c r="Q213" s="8" t="s">
        <v>2117</v>
      </c>
      <c r="R213" s="8" t="s">
        <v>2117</v>
      </c>
      <c r="S213" s="347" t="s">
        <v>64</v>
      </c>
      <c r="T213" s="9">
        <v>604</v>
      </c>
      <c r="U213" s="9">
        <v>93462.96</v>
      </c>
      <c r="V213" s="8" t="s">
        <v>2117</v>
      </c>
      <c r="W213" s="8">
        <v>168792.06</v>
      </c>
      <c r="X213" s="8">
        <v>9</v>
      </c>
      <c r="Y213" s="8">
        <v>8411.67</v>
      </c>
      <c r="Z213" s="8">
        <v>9</v>
      </c>
      <c r="AA213" s="8">
        <v>8411.67</v>
      </c>
      <c r="AB213" s="8">
        <v>0</v>
      </c>
      <c r="AC213" s="8">
        <v>0</v>
      </c>
      <c r="AD213" s="8">
        <v>0</v>
      </c>
      <c r="AE213" s="8">
        <v>16823.34</v>
      </c>
      <c r="AF213" s="8">
        <v>0</v>
      </c>
      <c r="AG213" s="8" t="s">
        <v>74</v>
      </c>
      <c r="AH213" s="8" t="s">
        <v>11</v>
      </c>
      <c r="AI213" s="8">
        <v>39269080</v>
      </c>
      <c r="AJ213" s="8" t="s">
        <v>60</v>
      </c>
      <c r="AK213" s="8">
        <v>1</v>
      </c>
      <c r="AL213" s="8">
        <v>0</v>
      </c>
      <c r="AM213" s="8" t="s">
        <v>1940</v>
      </c>
    </row>
    <row r="214" spans="7:39" ht="12.75" customHeight="1">
      <c r="G214" s="347"/>
      <c r="H214" s="348">
        <v>46302</v>
      </c>
      <c r="I214" s="8" t="s">
        <v>94</v>
      </c>
      <c r="J214" s="8" t="s">
        <v>91</v>
      </c>
      <c r="K214" s="8" t="s">
        <v>2952</v>
      </c>
      <c r="L214" s="8" t="s">
        <v>98</v>
      </c>
      <c r="M214" s="8" t="s">
        <v>2953</v>
      </c>
      <c r="N214" s="7">
        <v>46272</v>
      </c>
      <c r="O214" s="8" t="s">
        <v>13</v>
      </c>
      <c r="P214" s="8" t="s">
        <v>62</v>
      </c>
      <c r="Q214" s="8" t="s">
        <v>63</v>
      </c>
      <c r="R214" s="8" t="s">
        <v>64</v>
      </c>
      <c r="S214" s="8" t="s">
        <v>19</v>
      </c>
      <c r="T214" s="9">
        <v>321.2</v>
      </c>
      <c r="U214" s="9">
        <v>49702.49</v>
      </c>
      <c r="V214" s="8" t="s">
        <v>19</v>
      </c>
      <c r="W214" s="8">
        <v>0</v>
      </c>
      <c r="X214" s="8">
        <v>9</v>
      </c>
      <c r="Y214" s="8">
        <v>4473.22</v>
      </c>
      <c r="Z214" s="8">
        <v>9</v>
      </c>
      <c r="AA214" s="8">
        <v>4473.22</v>
      </c>
      <c r="AB214" s="8">
        <v>0</v>
      </c>
      <c r="AC214" s="8">
        <v>0</v>
      </c>
      <c r="AD214" s="8">
        <v>0</v>
      </c>
      <c r="AE214" s="8">
        <v>8946.44</v>
      </c>
      <c r="AF214" s="8">
        <v>0</v>
      </c>
      <c r="AG214" s="8" t="s">
        <v>74</v>
      </c>
      <c r="AH214" s="8" t="s">
        <v>11</v>
      </c>
      <c r="AI214" s="8">
        <v>39269080</v>
      </c>
      <c r="AJ214" s="8" t="s">
        <v>60</v>
      </c>
      <c r="AK214" s="8">
        <v>1</v>
      </c>
      <c r="AL214" s="8">
        <v>0</v>
      </c>
      <c r="AM214" s="8" t="s">
        <v>1940</v>
      </c>
    </row>
    <row r="215" spans="7:39">
      <c r="G215" s="347"/>
      <c r="H215" s="348">
        <v>46302</v>
      </c>
      <c r="I215" s="8" t="s">
        <v>2506</v>
      </c>
      <c r="J215" s="8" t="s">
        <v>96</v>
      </c>
      <c r="K215" s="8" t="s">
        <v>2954</v>
      </c>
      <c r="L215" s="8" t="s">
        <v>2250</v>
      </c>
      <c r="M215" s="8" t="s">
        <v>2955</v>
      </c>
      <c r="N215" s="7">
        <v>46180</v>
      </c>
      <c r="O215" s="8" t="s">
        <v>8</v>
      </c>
      <c r="P215" s="8" t="s">
        <v>659</v>
      </c>
      <c r="Q215" s="8" t="s">
        <v>659</v>
      </c>
      <c r="R215" s="8" t="s">
        <v>69</v>
      </c>
      <c r="S215" s="8" t="s">
        <v>2436</v>
      </c>
      <c r="T215" s="9">
        <v>14000</v>
      </c>
      <c r="U215" s="9">
        <v>29400</v>
      </c>
      <c r="V215" s="8" t="s">
        <v>2436</v>
      </c>
      <c r="W215" s="8">
        <v>34692</v>
      </c>
      <c r="X215" s="8">
        <v>0</v>
      </c>
      <c r="Y215" s="8">
        <v>0</v>
      </c>
      <c r="Z215" s="8">
        <v>0</v>
      </c>
      <c r="AA215" s="8">
        <v>0</v>
      </c>
      <c r="AB215" s="8">
        <v>18</v>
      </c>
      <c r="AC215" s="8">
        <v>5292</v>
      </c>
      <c r="AD215" s="8">
        <v>0</v>
      </c>
      <c r="AE215" s="8">
        <v>5292</v>
      </c>
      <c r="AF215" s="8">
        <v>0</v>
      </c>
      <c r="AG215" s="8" t="s">
        <v>2507</v>
      </c>
      <c r="AH215" s="8" t="s">
        <v>1</v>
      </c>
      <c r="AI215" s="8">
        <v>39239090</v>
      </c>
      <c r="AJ215" s="8" t="s">
        <v>60</v>
      </c>
      <c r="AK215" s="8">
        <v>1</v>
      </c>
      <c r="AL215" s="8">
        <v>14000</v>
      </c>
      <c r="AM215" s="8" t="s">
        <v>1940</v>
      </c>
    </row>
    <row r="216" spans="7:39" ht="12.75" customHeight="1">
      <c r="G216" s="347"/>
      <c r="H216" s="348">
        <v>46302</v>
      </c>
      <c r="I216" s="8" t="s">
        <v>2506</v>
      </c>
      <c r="J216" s="8" t="s">
        <v>96</v>
      </c>
      <c r="K216" s="8" t="s">
        <v>2956</v>
      </c>
      <c r="L216" s="8" t="s">
        <v>2250</v>
      </c>
      <c r="M216" s="8" t="s">
        <v>2957</v>
      </c>
      <c r="N216" s="7">
        <v>46210</v>
      </c>
      <c r="O216" s="8" t="s">
        <v>8</v>
      </c>
      <c r="P216" s="8" t="s">
        <v>659</v>
      </c>
      <c r="Q216" s="8" t="s">
        <v>659</v>
      </c>
      <c r="R216" s="8" t="s">
        <v>69</v>
      </c>
      <c r="S216" s="8" t="s">
        <v>2436</v>
      </c>
      <c r="T216" s="9">
        <v>36270</v>
      </c>
      <c r="U216" s="9">
        <v>76167</v>
      </c>
      <c r="V216" s="8" t="s">
        <v>2436</v>
      </c>
      <c r="W216" s="8">
        <v>89877</v>
      </c>
      <c r="X216" s="8">
        <v>0</v>
      </c>
      <c r="Y216" s="8">
        <v>0</v>
      </c>
      <c r="Z216" s="8">
        <v>0</v>
      </c>
      <c r="AA216" s="8">
        <v>0</v>
      </c>
      <c r="AB216" s="8">
        <v>18</v>
      </c>
      <c r="AC216" s="8">
        <v>13710.06</v>
      </c>
      <c r="AD216" s="8">
        <v>0</v>
      </c>
      <c r="AE216" s="8">
        <v>13710.06</v>
      </c>
      <c r="AF216" s="8">
        <v>0</v>
      </c>
      <c r="AG216" s="8" t="s">
        <v>2507</v>
      </c>
      <c r="AH216" s="8" t="s">
        <v>1</v>
      </c>
      <c r="AI216" s="8">
        <v>39239090</v>
      </c>
      <c r="AJ216" s="8" t="s">
        <v>60</v>
      </c>
      <c r="AK216" s="8">
        <v>1</v>
      </c>
      <c r="AL216" s="8">
        <v>36270</v>
      </c>
      <c r="AM216" s="8" t="s">
        <v>1940</v>
      </c>
    </row>
    <row r="217" spans="7:39" ht="12.75" customHeight="1">
      <c r="G217" s="347"/>
      <c r="H217" s="348">
        <v>46333</v>
      </c>
      <c r="I217" s="8" t="s">
        <v>87</v>
      </c>
      <c r="J217" s="8" t="s">
        <v>96</v>
      </c>
      <c r="K217" s="8" t="s">
        <v>2958</v>
      </c>
      <c r="L217" s="8" t="s">
        <v>97</v>
      </c>
      <c r="M217" s="8" t="s">
        <v>2959</v>
      </c>
      <c r="N217" s="7">
        <v>46302</v>
      </c>
      <c r="O217" s="8" t="s">
        <v>2</v>
      </c>
      <c r="P217" s="8" t="s">
        <v>67</v>
      </c>
      <c r="Q217" s="8" t="s">
        <v>68</v>
      </c>
      <c r="R217" s="8" t="s">
        <v>69</v>
      </c>
      <c r="S217" s="8" t="s">
        <v>70</v>
      </c>
      <c r="T217" s="9">
        <v>363</v>
      </c>
      <c r="U217" s="9">
        <v>17424</v>
      </c>
      <c r="V217" s="8" t="s">
        <v>70</v>
      </c>
      <c r="W217" s="8">
        <v>20542.900000000001</v>
      </c>
      <c r="X217" s="8">
        <v>9</v>
      </c>
      <c r="Y217" s="8">
        <v>1568.16</v>
      </c>
      <c r="Z217" s="8">
        <v>9</v>
      </c>
      <c r="AA217" s="8">
        <v>1568.16</v>
      </c>
      <c r="AB217" s="8">
        <v>0</v>
      </c>
      <c r="AC217" s="8">
        <v>0</v>
      </c>
      <c r="AD217" s="8">
        <v>0</v>
      </c>
      <c r="AE217" s="8">
        <v>3136.32</v>
      </c>
      <c r="AF217" s="8">
        <v>0</v>
      </c>
      <c r="AG217" s="8" t="s">
        <v>65</v>
      </c>
      <c r="AH217" s="8" t="s">
        <v>11</v>
      </c>
      <c r="AI217" s="8">
        <v>73063090</v>
      </c>
      <c r="AJ217" s="8" t="s">
        <v>60</v>
      </c>
      <c r="AK217" s="8">
        <v>1</v>
      </c>
      <c r="AL217" s="8">
        <v>0</v>
      </c>
      <c r="AM217" s="8" t="s">
        <v>1940</v>
      </c>
    </row>
    <row r="218" spans="7:39" ht="12.75" customHeight="1">
      <c r="G218" s="347"/>
      <c r="H218" s="348">
        <v>46333</v>
      </c>
      <c r="I218" s="8" t="s">
        <v>87</v>
      </c>
      <c r="J218" s="8" t="s">
        <v>96</v>
      </c>
      <c r="K218" s="8" t="s">
        <v>2960</v>
      </c>
      <c r="L218" s="8" t="s">
        <v>97</v>
      </c>
      <c r="M218" s="8" t="s">
        <v>2961</v>
      </c>
      <c r="N218" s="7">
        <v>46333</v>
      </c>
      <c r="O218" s="8" t="s">
        <v>2</v>
      </c>
      <c r="P218" s="8" t="s">
        <v>67</v>
      </c>
      <c r="Q218" s="8" t="s">
        <v>68</v>
      </c>
      <c r="R218" s="8" t="s">
        <v>69</v>
      </c>
      <c r="S218" s="8" t="s">
        <v>70</v>
      </c>
      <c r="T218" s="9">
        <v>335</v>
      </c>
      <c r="U218" s="9">
        <v>16080</v>
      </c>
      <c r="V218" s="8" t="s">
        <v>70</v>
      </c>
      <c r="W218" s="8">
        <v>18958.32</v>
      </c>
      <c r="X218" s="8">
        <v>9</v>
      </c>
      <c r="Y218" s="8">
        <v>1447.2</v>
      </c>
      <c r="Z218" s="8">
        <v>9</v>
      </c>
      <c r="AA218" s="8">
        <v>1447.2</v>
      </c>
      <c r="AB218" s="8">
        <v>0</v>
      </c>
      <c r="AC218" s="8">
        <v>0</v>
      </c>
      <c r="AD218" s="8">
        <v>0</v>
      </c>
      <c r="AE218" s="8">
        <v>2894.4</v>
      </c>
      <c r="AF218" s="8">
        <v>0</v>
      </c>
      <c r="AG218" s="8" t="s">
        <v>65</v>
      </c>
      <c r="AH218" s="8" t="s">
        <v>11</v>
      </c>
      <c r="AI218" s="8">
        <v>73063090</v>
      </c>
      <c r="AJ218" s="8" t="s">
        <v>60</v>
      </c>
      <c r="AK218" s="8">
        <v>1</v>
      </c>
      <c r="AL218" s="8">
        <v>0</v>
      </c>
      <c r="AM218" s="8" t="s">
        <v>1940</v>
      </c>
    </row>
    <row r="219" spans="7:39" ht="12.75" customHeight="1">
      <c r="G219" s="347"/>
      <c r="H219" s="348">
        <v>46333</v>
      </c>
      <c r="I219" s="8" t="s">
        <v>87</v>
      </c>
      <c r="J219" s="8" t="s">
        <v>91</v>
      </c>
      <c r="K219" s="8" t="s">
        <v>2962</v>
      </c>
      <c r="L219" s="8" t="s">
        <v>98</v>
      </c>
      <c r="M219" s="8" t="s">
        <v>2963</v>
      </c>
      <c r="N219" s="7">
        <v>46333</v>
      </c>
      <c r="O219" s="8" t="s">
        <v>13</v>
      </c>
      <c r="P219" s="8" t="s">
        <v>62</v>
      </c>
      <c r="Q219" s="8" t="s">
        <v>63</v>
      </c>
      <c r="R219" s="8" t="s">
        <v>64</v>
      </c>
      <c r="S219" s="8" t="s">
        <v>19</v>
      </c>
      <c r="T219" s="9">
        <v>1173</v>
      </c>
      <c r="U219" s="9">
        <v>169486.77</v>
      </c>
      <c r="V219" s="8" t="s">
        <v>19</v>
      </c>
      <c r="W219" s="8">
        <v>199824.9</v>
      </c>
      <c r="X219" s="8">
        <v>9</v>
      </c>
      <c r="Y219" s="8">
        <v>15253.81</v>
      </c>
      <c r="Z219" s="8">
        <v>9</v>
      </c>
      <c r="AA219" s="8">
        <v>15253.81</v>
      </c>
      <c r="AB219" s="8">
        <v>0</v>
      </c>
      <c r="AC219" s="8">
        <v>0</v>
      </c>
      <c r="AD219" s="8">
        <v>0</v>
      </c>
      <c r="AE219" s="8">
        <v>30507.62</v>
      </c>
      <c r="AF219" s="8">
        <v>0</v>
      </c>
      <c r="AG219" s="8" t="s">
        <v>65</v>
      </c>
      <c r="AH219" s="8" t="s">
        <v>11</v>
      </c>
      <c r="AI219" s="8">
        <v>39269080</v>
      </c>
      <c r="AJ219" s="8" t="s">
        <v>60</v>
      </c>
      <c r="AK219" s="8">
        <v>1</v>
      </c>
      <c r="AL219" s="8">
        <v>0</v>
      </c>
      <c r="AM219" s="8" t="s">
        <v>1940</v>
      </c>
    </row>
    <row r="220" spans="7:39" ht="12.75" customHeight="1">
      <c r="G220" s="347"/>
      <c r="H220" s="348">
        <v>46333</v>
      </c>
      <c r="I220" s="8" t="s">
        <v>87</v>
      </c>
      <c r="J220" s="8" t="s">
        <v>91</v>
      </c>
      <c r="K220" s="8" t="s">
        <v>2964</v>
      </c>
      <c r="L220" s="8" t="s">
        <v>98</v>
      </c>
      <c r="M220" s="8" t="s">
        <v>2965</v>
      </c>
      <c r="N220" s="7">
        <v>46333</v>
      </c>
      <c r="O220" s="8" t="s">
        <v>13</v>
      </c>
      <c r="P220" s="8" t="s">
        <v>80</v>
      </c>
      <c r="Q220" s="8" t="s">
        <v>81</v>
      </c>
      <c r="R220" s="8" t="s">
        <v>82</v>
      </c>
      <c r="S220" s="8" t="s">
        <v>17</v>
      </c>
      <c r="T220" s="9">
        <v>21.4</v>
      </c>
      <c r="U220" s="9">
        <v>3911.49</v>
      </c>
      <c r="V220" s="8" t="s">
        <v>17</v>
      </c>
      <c r="W220" s="8">
        <v>4611.6400000000003</v>
      </c>
      <c r="X220" s="8">
        <v>9</v>
      </c>
      <c r="Y220" s="8">
        <v>352.03</v>
      </c>
      <c r="Z220" s="8">
        <v>9</v>
      </c>
      <c r="AA220" s="8">
        <v>352.03</v>
      </c>
      <c r="AB220" s="8">
        <v>0</v>
      </c>
      <c r="AC220" s="8">
        <v>0</v>
      </c>
      <c r="AD220" s="8">
        <v>0</v>
      </c>
      <c r="AE220" s="8">
        <v>704.06</v>
      </c>
      <c r="AF220" s="8">
        <v>0</v>
      </c>
      <c r="AG220" s="8" t="s">
        <v>65</v>
      </c>
      <c r="AH220" s="8" t="s">
        <v>11</v>
      </c>
      <c r="AI220" s="8">
        <v>39200000</v>
      </c>
      <c r="AJ220" s="8" t="s">
        <v>60</v>
      </c>
      <c r="AK220" s="8">
        <v>1</v>
      </c>
      <c r="AL220" s="8">
        <v>0</v>
      </c>
      <c r="AM220" s="8" t="s">
        <v>1940</v>
      </c>
    </row>
    <row r="221" spans="7:39" ht="12.75" customHeight="1">
      <c r="G221" s="347"/>
      <c r="H221" s="348">
        <v>46333</v>
      </c>
      <c r="I221" s="8" t="s">
        <v>87</v>
      </c>
      <c r="J221" s="8" t="s">
        <v>91</v>
      </c>
      <c r="K221" s="8" t="s">
        <v>2966</v>
      </c>
      <c r="L221" s="8" t="s">
        <v>98</v>
      </c>
      <c r="M221" s="8" t="s">
        <v>2967</v>
      </c>
      <c r="N221" s="7">
        <v>46333</v>
      </c>
      <c r="O221" s="8" t="s">
        <v>8</v>
      </c>
      <c r="P221" s="8" t="s">
        <v>110</v>
      </c>
      <c r="Q221" s="8" t="s">
        <v>110</v>
      </c>
      <c r="R221" s="8" t="s">
        <v>2575</v>
      </c>
      <c r="S221" s="8" t="s">
        <v>2608</v>
      </c>
      <c r="T221" s="9">
        <v>25</v>
      </c>
      <c r="U221" s="9">
        <v>6875</v>
      </c>
      <c r="V221" s="8" t="s">
        <v>2608</v>
      </c>
      <c r="W221" s="8">
        <v>8105.63</v>
      </c>
      <c r="X221" s="8">
        <v>9</v>
      </c>
      <c r="Y221" s="8">
        <v>618.75</v>
      </c>
      <c r="Z221" s="8">
        <v>9</v>
      </c>
      <c r="AA221" s="8">
        <v>618.75</v>
      </c>
      <c r="AB221" s="8">
        <v>0</v>
      </c>
      <c r="AC221" s="8">
        <v>0</v>
      </c>
      <c r="AD221" s="8">
        <v>0</v>
      </c>
      <c r="AE221" s="8">
        <v>1237.5</v>
      </c>
      <c r="AF221" s="8">
        <v>0</v>
      </c>
      <c r="AG221" s="8" t="s">
        <v>65</v>
      </c>
      <c r="AH221" s="8" t="s">
        <v>11</v>
      </c>
      <c r="AI221" s="8">
        <v>84529099</v>
      </c>
      <c r="AJ221" s="8" t="s">
        <v>60</v>
      </c>
      <c r="AK221" s="8">
        <v>1</v>
      </c>
      <c r="AL221" s="8">
        <v>0</v>
      </c>
      <c r="AM221" s="8" t="s">
        <v>1940</v>
      </c>
    </row>
    <row r="222" spans="7:39" ht="12.75" customHeight="1">
      <c r="G222" s="347"/>
      <c r="H222" s="348">
        <v>46333</v>
      </c>
      <c r="I222" s="8" t="s">
        <v>87</v>
      </c>
      <c r="J222" s="8" t="s">
        <v>91</v>
      </c>
      <c r="K222" s="8" t="s">
        <v>2968</v>
      </c>
      <c r="L222" s="8" t="s">
        <v>98</v>
      </c>
      <c r="M222" s="8" t="s">
        <v>2969</v>
      </c>
      <c r="N222" s="7">
        <v>46333</v>
      </c>
      <c r="O222" s="8" t="s">
        <v>13</v>
      </c>
      <c r="P222" s="8" t="s">
        <v>62</v>
      </c>
      <c r="Q222" s="8" t="s">
        <v>63</v>
      </c>
      <c r="R222" s="8" t="s">
        <v>64</v>
      </c>
      <c r="S222" s="8" t="s">
        <v>19</v>
      </c>
      <c r="T222" s="9">
        <v>4517</v>
      </c>
      <c r="U222" s="9">
        <v>652661.32999999996</v>
      </c>
      <c r="V222" s="8" t="s">
        <v>19</v>
      </c>
      <c r="W222" s="8">
        <v>2045882.02</v>
      </c>
      <c r="X222" s="8">
        <v>9</v>
      </c>
      <c r="Y222" s="8">
        <v>58739.519999999997</v>
      </c>
      <c r="Z222" s="8">
        <v>9</v>
      </c>
      <c r="AA222" s="8">
        <v>58739.519999999997</v>
      </c>
      <c r="AB222" s="8">
        <v>0</v>
      </c>
      <c r="AC222" s="8">
        <v>0</v>
      </c>
      <c r="AD222" s="8">
        <v>0</v>
      </c>
      <c r="AE222" s="8">
        <v>117479.03999999999</v>
      </c>
      <c r="AF222" s="8">
        <v>0</v>
      </c>
      <c r="AG222" s="8" t="s">
        <v>65</v>
      </c>
      <c r="AH222" s="8" t="s">
        <v>11</v>
      </c>
      <c r="AI222" s="8">
        <v>39269080</v>
      </c>
      <c r="AJ222" s="8" t="s">
        <v>60</v>
      </c>
      <c r="AK222" s="8">
        <v>1</v>
      </c>
      <c r="AL222" s="8">
        <v>0</v>
      </c>
      <c r="AM222" s="8" t="s">
        <v>1940</v>
      </c>
    </row>
    <row r="223" spans="7:39" ht="12.75" customHeight="1">
      <c r="G223" s="347"/>
      <c r="H223" s="348">
        <v>46333</v>
      </c>
      <c r="I223" s="8" t="s">
        <v>87</v>
      </c>
      <c r="J223" s="8" t="s">
        <v>91</v>
      </c>
      <c r="K223" s="8" t="s">
        <v>2968</v>
      </c>
      <c r="L223" s="8" t="s">
        <v>98</v>
      </c>
      <c r="M223" s="8" t="s">
        <v>2969</v>
      </c>
      <c r="N223" s="7">
        <v>46333</v>
      </c>
      <c r="O223" s="8" t="s">
        <v>13</v>
      </c>
      <c r="P223" s="8" t="s">
        <v>62</v>
      </c>
      <c r="Q223" s="8" t="s">
        <v>63</v>
      </c>
      <c r="R223" s="8" t="s">
        <v>64</v>
      </c>
      <c r="S223" s="8" t="s">
        <v>19</v>
      </c>
      <c r="T223" s="9">
        <v>2176</v>
      </c>
      <c r="U223" s="9">
        <v>318762.23999999999</v>
      </c>
      <c r="V223" s="8" t="s">
        <v>19</v>
      </c>
      <c r="W223" s="8">
        <v>0</v>
      </c>
      <c r="X223" s="8">
        <v>9</v>
      </c>
      <c r="Y223" s="8">
        <v>28688.6</v>
      </c>
      <c r="Z223" s="8">
        <v>9</v>
      </c>
      <c r="AA223" s="8">
        <v>28688.6</v>
      </c>
      <c r="AB223" s="8">
        <v>0</v>
      </c>
      <c r="AC223" s="8">
        <v>0</v>
      </c>
      <c r="AD223" s="8">
        <v>0</v>
      </c>
      <c r="AE223" s="8">
        <v>57377.2</v>
      </c>
      <c r="AF223" s="8">
        <v>0</v>
      </c>
      <c r="AG223" s="8" t="s">
        <v>65</v>
      </c>
      <c r="AH223" s="8" t="s">
        <v>11</v>
      </c>
      <c r="AI223" s="8">
        <v>39269080</v>
      </c>
      <c r="AJ223" s="8" t="s">
        <v>60</v>
      </c>
      <c r="AK223" s="8">
        <v>1</v>
      </c>
      <c r="AL223" s="8">
        <v>0</v>
      </c>
      <c r="AM223" s="8" t="s">
        <v>1940</v>
      </c>
    </row>
    <row r="224" spans="7:39" ht="12.75" customHeight="1">
      <c r="G224" s="347"/>
      <c r="H224" s="348">
        <v>46333</v>
      </c>
      <c r="I224" s="8" t="s">
        <v>87</v>
      </c>
      <c r="J224" s="8" t="s">
        <v>91</v>
      </c>
      <c r="K224" s="8" t="s">
        <v>2968</v>
      </c>
      <c r="L224" s="8" t="s">
        <v>98</v>
      </c>
      <c r="M224" s="8" t="s">
        <v>2969</v>
      </c>
      <c r="N224" s="7">
        <v>46333</v>
      </c>
      <c r="O224" s="8" t="s">
        <v>13</v>
      </c>
      <c r="P224" s="8" t="s">
        <v>62</v>
      </c>
      <c r="Q224" s="8" t="s">
        <v>63</v>
      </c>
      <c r="R224" s="8" t="s">
        <v>64</v>
      </c>
      <c r="S224" s="8" t="s">
        <v>19</v>
      </c>
      <c r="T224" s="9">
        <v>1167</v>
      </c>
      <c r="U224" s="9">
        <v>172120.83</v>
      </c>
      <c r="V224" s="8" t="s">
        <v>19</v>
      </c>
      <c r="W224" s="8">
        <v>0</v>
      </c>
      <c r="X224" s="8">
        <v>9</v>
      </c>
      <c r="Y224" s="8">
        <v>15490.87</v>
      </c>
      <c r="Z224" s="8">
        <v>9</v>
      </c>
      <c r="AA224" s="8">
        <v>15490.87</v>
      </c>
      <c r="AB224" s="8">
        <v>0</v>
      </c>
      <c r="AC224" s="8">
        <v>0</v>
      </c>
      <c r="AD224" s="8">
        <v>0</v>
      </c>
      <c r="AE224" s="8">
        <v>30981.74</v>
      </c>
      <c r="AF224" s="8">
        <v>0</v>
      </c>
      <c r="AG224" s="8" t="s">
        <v>65</v>
      </c>
      <c r="AH224" s="8" t="s">
        <v>11</v>
      </c>
      <c r="AI224" s="8">
        <v>39269080</v>
      </c>
      <c r="AJ224" s="8" t="s">
        <v>60</v>
      </c>
      <c r="AK224" s="8">
        <v>1</v>
      </c>
      <c r="AL224" s="8">
        <v>0</v>
      </c>
      <c r="AM224" s="8" t="s">
        <v>1940</v>
      </c>
    </row>
    <row r="225" spans="7:39" ht="12.75" customHeight="1">
      <c r="G225" s="347"/>
      <c r="H225" s="348">
        <v>46333</v>
      </c>
      <c r="I225" s="8" t="s">
        <v>87</v>
      </c>
      <c r="J225" s="8" t="s">
        <v>91</v>
      </c>
      <c r="K225" s="8" t="s">
        <v>2968</v>
      </c>
      <c r="L225" s="8" t="s">
        <v>98</v>
      </c>
      <c r="M225" s="8" t="s">
        <v>2969</v>
      </c>
      <c r="N225" s="7">
        <v>46333</v>
      </c>
      <c r="O225" s="8" t="s">
        <v>13</v>
      </c>
      <c r="P225" s="8" t="s">
        <v>62</v>
      </c>
      <c r="Q225" s="8" t="s">
        <v>76</v>
      </c>
      <c r="R225" s="8" t="s">
        <v>77</v>
      </c>
      <c r="S225" s="8" t="s">
        <v>21</v>
      </c>
      <c r="T225" s="9">
        <v>1756</v>
      </c>
      <c r="U225" s="9">
        <v>266016.44</v>
      </c>
      <c r="V225" s="8" t="s">
        <v>21</v>
      </c>
      <c r="W225" s="8">
        <v>0</v>
      </c>
      <c r="X225" s="8">
        <v>9</v>
      </c>
      <c r="Y225" s="8">
        <v>23941.48</v>
      </c>
      <c r="Z225" s="8">
        <v>9</v>
      </c>
      <c r="AA225" s="8">
        <v>23941.48</v>
      </c>
      <c r="AB225" s="8">
        <v>0</v>
      </c>
      <c r="AC225" s="8">
        <v>0</v>
      </c>
      <c r="AD225" s="8">
        <v>0</v>
      </c>
      <c r="AE225" s="8">
        <v>47882.96</v>
      </c>
      <c r="AF225" s="8">
        <v>0</v>
      </c>
      <c r="AG225" s="8" t="s">
        <v>65</v>
      </c>
      <c r="AH225" s="8" t="s">
        <v>11</v>
      </c>
      <c r="AI225" s="8">
        <v>63053300</v>
      </c>
      <c r="AJ225" s="8" t="s">
        <v>60</v>
      </c>
      <c r="AK225" s="8">
        <v>1</v>
      </c>
      <c r="AL225" s="8">
        <v>0</v>
      </c>
      <c r="AM225" s="8" t="s">
        <v>1940</v>
      </c>
    </row>
    <row r="226" spans="7:39" ht="12.75" customHeight="1">
      <c r="G226" s="347"/>
      <c r="H226" s="348">
        <v>46333</v>
      </c>
      <c r="I226" s="8" t="s">
        <v>87</v>
      </c>
      <c r="J226" s="8" t="s">
        <v>91</v>
      </c>
      <c r="K226" s="8" t="s">
        <v>2968</v>
      </c>
      <c r="L226" s="8" t="s">
        <v>98</v>
      </c>
      <c r="M226" s="8" t="s">
        <v>2969</v>
      </c>
      <c r="N226" s="7">
        <v>46333</v>
      </c>
      <c r="O226" s="8" t="s">
        <v>13</v>
      </c>
      <c r="P226" s="8" t="s">
        <v>24</v>
      </c>
      <c r="Q226" s="8" t="s">
        <v>79</v>
      </c>
      <c r="R226" s="8" t="s">
        <v>79</v>
      </c>
      <c r="S226" s="8" t="s">
        <v>24</v>
      </c>
      <c r="T226" s="9">
        <v>1358.2</v>
      </c>
      <c r="U226" s="9">
        <v>203037.32</v>
      </c>
      <c r="V226" s="8" t="s">
        <v>24</v>
      </c>
      <c r="W226" s="8">
        <v>0</v>
      </c>
      <c r="X226" s="8">
        <v>9</v>
      </c>
      <c r="Y226" s="8">
        <v>18273.36</v>
      </c>
      <c r="Z226" s="8">
        <v>9</v>
      </c>
      <c r="AA226" s="8">
        <v>18273.36</v>
      </c>
      <c r="AB226" s="8">
        <v>0</v>
      </c>
      <c r="AC226" s="8">
        <v>0</v>
      </c>
      <c r="AD226" s="8">
        <v>0</v>
      </c>
      <c r="AE226" s="8">
        <v>36546.720000000001</v>
      </c>
      <c r="AF226" s="8">
        <v>0</v>
      </c>
      <c r="AG226" s="8" t="s">
        <v>65</v>
      </c>
      <c r="AH226" s="8" t="s">
        <v>11</v>
      </c>
      <c r="AI226" s="8">
        <v>3926908</v>
      </c>
      <c r="AJ226" s="8" t="s">
        <v>60</v>
      </c>
      <c r="AK226" s="8">
        <v>1</v>
      </c>
      <c r="AL226" s="8">
        <v>0</v>
      </c>
      <c r="AM226" s="8" t="s">
        <v>1940</v>
      </c>
    </row>
    <row r="227" spans="7:39" ht="12.75" customHeight="1">
      <c r="G227" s="347"/>
      <c r="H227" s="348">
        <v>46333</v>
      </c>
      <c r="I227" s="8" t="s">
        <v>87</v>
      </c>
      <c r="J227" s="8" t="s">
        <v>91</v>
      </c>
      <c r="K227" s="8" t="s">
        <v>2968</v>
      </c>
      <c r="L227" s="8" t="s">
        <v>98</v>
      </c>
      <c r="M227" s="8" t="s">
        <v>2969</v>
      </c>
      <c r="N227" s="7">
        <v>46333</v>
      </c>
      <c r="O227" s="8" t="s">
        <v>13</v>
      </c>
      <c r="P227" s="8" t="s">
        <v>24</v>
      </c>
      <c r="Q227" s="8" t="s">
        <v>79</v>
      </c>
      <c r="R227" s="8" t="s">
        <v>79</v>
      </c>
      <c r="S227" s="8" t="s">
        <v>24</v>
      </c>
      <c r="T227" s="9">
        <v>837.4</v>
      </c>
      <c r="U227" s="9">
        <v>122670.73</v>
      </c>
      <c r="V227" s="8" t="s">
        <v>24</v>
      </c>
      <c r="W227" s="8">
        <v>0</v>
      </c>
      <c r="X227" s="8">
        <v>9</v>
      </c>
      <c r="Y227" s="8">
        <v>11040.37</v>
      </c>
      <c r="Z227" s="8">
        <v>9</v>
      </c>
      <c r="AA227" s="8">
        <v>11040.37</v>
      </c>
      <c r="AB227" s="8">
        <v>0</v>
      </c>
      <c r="AC227" s="8">
        <v>0</v>
      </c>
      <c r="AD227" s="8">
        <v>0</v>
      </c>
      <c r="AE227" s="8">
        <v>22080.74</v>
      </c>
      <c r="AF227" s="8">
        <v>0</v>
      </c>
      <c r="AG227" s="8" t="s">
        <v>65</v>
      </c>
      <c r="AH227" s="8" t="s">
        <v>11</v>
      </c>
      <c r="AI227" s="8">
        <v>3926908</v>
      </c>
      <c r="AJ227" s="8" t="s">
        <v>60</v>
      </c>
      <c r="AK227" s="8">
        <v>1</v>
      </c>
      <c r="AL227" s="8">
        <v>0</v>
      </c>
      <c r="AM227" s="8" t="s">
        <v>1940</v>
      </c>
    </row>
    <row r="228" spans="7:39" ht="12.75" customHeight="1">
      <c r="G228" s="347"/>
      <c r="H228" s="348">
        <v>46333</v>
      </c>
      <c r="I228" s="8" t="s">
        <v>271</v>
      </c>
      <c r="J228" s="8" t="s">
        <v>96</v>
      </c>
      <c r="K228" s="8" t="s">
        <v>2970</v>
      </c>
      <c r="L228" s="8" t="s">
        <v>97</v>
      </c>
      <c r="M228" s="8" t="s">
        <v>2971</v>
      </c>
      <c r="N228" s="7">
        <v>46029</v>
      </c>
      <c r="O228" s="8" t="s">
        <v>5</v>
      </c>
      <c r="P228" s="8" t="s">
        <v>106</v>
      </c>
      <c r="Q228" s="8" t="s">
        <v>68</v>
      </c>
      <c r="R228" s="8" t="s">
        <v>69</v>
      </c>
      <c r="S228" s="8" t="s">
        <v>9</v>
      </c>
      <c r="T228" s="9">
        <v>483</v>
      </c>
      <c r="U228" s="9">
        <v>724.5</v>
      </c>
      <c r="V228" s="8" t="s">
        <v>9</v>
      </c>
      <c r="W228" s="8">
        <v>973</v>
      </c>
      <c r="X228" s="8">
        <v>9</v>
      </c>
      <c r="Y228" s="8">
        <v>65.204999999999998</v>
      </c>
      <c r="Z228" s="8">
        <v>9</v>
      </c>
      <c r="AA228" s="8">
        <v>65.204999999999998</v>
      </c>
      <c r="AB228" s="8">
        <v>0</v>
      </c>
      <c r="AC228" s="8">
        <v>0</v>
      </c>
      <c r="AD228" s="8">
        <v>18</v>
      </c>
      <c r="AE228" s="8">
        <v>148.41</v>
      </c>
      <c r="AF228" s="8">
        <v>0</v>
      </c>
      <c r="AG228" s="8" t="s">
        <v>487</v>
      </c>
      <c r="AH228" s="8" t="s">
        <v>10</v>
      </c>
      <c r="AI228" s="8">
        <v>37013000</v>
      </c>
      <c r="AJ228" s="8" t="s">
        <v>60</v>
      </c>
      <c r="AK228" s="8">
        <v>1</v>
      </c>
      <c r="AL228" s="8">
        <v>0</v>
      </c>
      <c r="AM228" s="8" t="s">
        <v>1940</v>
      </c>
    </row>
    <row r="229" spans="7:39" ht="12.75" customHeight="1">
      <c r="G229" s="347"/>
      <c r="H229" s="348">
        <v>46333</v>
      </c>
      <c r="I229" s="8" t="s">
        <v>271</v>
      </c>
      <c r="J229" s="8" t="s">
        <v>96</v>
      </c>
      <c r="K229" s="8" t="s">
        <v>2972</v>
      </c>
      <c r="L229" s="8" t="s">
        <v>97</v>
      </c>
      <c r="M229" s="8" t="s">
        <v>2973</v>
      </c>
      <c r="N229" s="7" t="s">
        <v>2605</v>
      </c>
      <c r="O229" s="8" t="s">
        <v>5</v>
      </c>
      <c r="P229" s="8" t="s">
        <v>106</v>
      </c>
      <c r="Q229" s="8" t="s">
        <v>68</v>
      </c>
      <c r="R229" s="8" t="s">
        <v>69</v>
      </c>
      <c r="S229" s="8" t="s">
        <v>9</v>
      </c>
      <c r="T229" s="9">
        <v>297</v>
      </c>
      <c r="U229" s="9">
        <v>445.5</v>
      </c>
      <c r="V229" s="8" t="s">
        <v>9</v>
      </c>
      <c r="W229" s="8">
        <v>644</v>
      </c>
      <c r="X229" s="8">
        <v>9</v>
      </c>
      <c r="Y229" s="8">
        <v>40.1</v>
      </c>
      <c r="Z229" s="8">
        <v>9</v>
      </c>
      <c r="AA229" s="8">
        <v>40.1</v>
      </c>
      <c r="AB229" s="8">
        <v>0</v>
      </c>
      <c r="AC229" s="8">
        <v>0</v>
      </c>
      <c r="AD229" s="8">
        <v>18</v>
      </c>
      <c r="AE229" s="8">
        <v>98.2</v>
      </c>
      <c r="AF229" s="8">
        <v>0</v>
      </c>
      <c r="AG229" s="8" t="s">
        <v>487</v>
      </c>
      <c r="AH229" s="8" t="s">
        <v>10</v>
      </c>
      <c r="AI229" s="8">
        <v>37013000</v>
      </c>
      <c r="AJ229" s="8" t="s">
        <v>60</v>
      </c>
      <c r="AK229" s="8">
        <v>1</v>
      </c>
      <c r="AL229" s="8">
        <v>0</v>
      </c>
      <c r="AM229" s="8" t="s">
        <v>1940</v>
      </c>
    </row>
    <row r="230" spans="7:39" ht="12.75" customHeight="1">
      <c r="G230" s="347"/>
      <c r="H230" s="348">
        <v>46333</v>
      </c>
      <c r="I230" s="8" t="s">
        <v>2249</v>
      </c>
      <c r="J230" s="8" t="s">
        <v>96</v>
      </c>
      <c r="K230" s="8" t="s">
        <v>2974</v>
      </c>
      <c r="L230" s="8" t="s">
        <v>2250</v>
      </c>
      <c r="M230" s="8" t="s">
        <v>2975</v>
      </c>
      <c r="N230" s="7">
        <v>46241</v>
      </c>
      <c r="O230" s="8" t="s">
        <v>2</v>
      </c>
      <c r="P230" s="8" t="s">
        <v>1697</v>
      </c>
      <c r="Q230" s="8" t="s">
        <v>68</v>
      </c>
      <c r="R230" s="8" t="s">
        <v>69</v>
      </c>
      <c r="S230" s="8" t="s">
        <v>2976</v>
      </c>
      <c r="T230" s="9">
        <v>5</v>
      </c>
      <c r="U230" s="9">
        <v>7000</v>
      </c>
      <c r="V230" s="8" t="s">
        <v>2976</v>
      </c>
      <c r="W230" s="8">
        <v>33605</v>
      </c>
      <c r="X230" s="8">
        <v>0</v>
      </c>
      <c r="Y230" s="8">
        <v>0</v>
      </c>
      <c r="Z230" s="8">
        <v>0</v>
      </c>
      <c r="AA230" s="8">
        <v>0</v>
      </c>
      <c r="AB230" s="8">
        <v>5</v>
      </c>
      <c r="AC230" s="8">
        <v>350</v>
      </c>
      <c r="AD230" s="8">
        <v>0</v>
      </c>
      <c r="AE230" s="8">
        <v>350</v>
      </c>
      <c r="AF230" s="8">
        <v>0</v>
      </c>
      <c r="AG230" s="8" t="s">
        <v>2251</v>
      </c>
      <c r="AH230" s="8" t="s">
        <v>1</v>
      </c>
      <c r="AI230" s="8">
        <v>84529099</v>
      </c>
      <c r="AJ230" s="8" t="s">
        <v>60</v>
      </c>
      <c r="AK230" s="8">
        <v>1</v>
      </c>
      <c r="AL230" s="8">
        <v>0</v>
      </c>
      <c r="AM230" s="8" t="s">
        <v>1940</v>
      </c>
    </row>
    <row r="231" spans="7:39" ht="12.75" customHeight="1">
      <c r="G231" s="347"/>
      <c r="H231" s="348">
        <v>46333</v>
      </c>
      <c r="I231" s="8" t="s">
        <v>2249</v>
      </c>
      <c r="J231" s="8" t="s">
        <v>96</v>
      </c>
      <c r="K231" s="8" t="s">
        <v>2974</v>
      </c>
      <c r="L231" s="8" t="s">
        <v>2250</v>
      </c>
      <c r="M231" s="8" t="s">
        <v>2975</v>
      </c>
      <c r="N231" s="7">
        <v>46241</v>
      </c>
      <c r="O231" s="8" t="s">
        <v>2</v>
      </c>
      <c r="P231" s="8" t="s">
        <v>1697</v>
      </c>
      <c r="Q231" s="8" t="s">
        <v>68</v>
      </c>
      <c r="R231" s="8" t="s">
        <v>69</v>
      </c>
      <c r="S231" s="8" t="s">
        <v>2977</v>
      </c>
      <c r="T231" s="9">
        <v>10</v>
      </c>
      <c r="U231" s="9">
        <v>10500</v>
      </c>
      <c r="V231" s="8" t="s">
        <v>2977</v>
      </c>
      <c r="W231" s="8">
        <v>0</v>
      </c>
      <c r="X231" s="8">
        <v>0</v>
      </c>
      <c r="Y231" s="8">
        <v>0</v>
      </c>
      <c r="Z231" s="8">
        <v>0</v>
      </c>
      <c r="AA231" s="8">
        <v>0</v>
      </c>
      <c r="AB231" s="8">
        <v>5</v>
      </c>
      <c r="AC231" s="8">
        <v>525</v>
      </c>
      <c r="AD231" s="8">
        <v>0</v>
      </c>
      <c r="AE231" s="8">
        <v>525</v>
      </c>
      <c r="AF231" s="8">
        <v>0</v>
      </c>
      <c r="AG231" s="8" t="s">
        <v>2251</v>
      </c>
      <c r="AH231" s="8" t="s">
        <v>1</v>
      </c>
      <c r="AI231" s="8">
        <v>84529099</v>
      </c>
      <c r="AJ231" s="8" t="s">
        <v>60</v>
      </c>
      <c r="AK231" s="8">
        <v>1</v>
      </c>
      <c r="AL231" s="8">
        <v>0</v>
      </c>
      <c r="AM231" s="8" t="s">
        <v>1940</v>
      </c>
    </row>
    <row r="232" spans="7:39" ht="12.75" customHeight="1">
      <c r="G232" s="347"/>
      <c r="H232" s="348">
        <v>46333</v>
      </c>
      <c r="I232" s="8" t="s">
        <v>2249</v>
      </c>
      <c r="J232" s="8" t="s">
        <v>96</v>
      </c>
      <c r="K232" s="8" t="s">
        <v>2974</v>
      </c>
      <c r="L232" s="8" t="s">
        <v>2250</v>
      </c>
      <c r="M232" s="8" t="s">
        <v>2975</v>
      </c>
      <c r="N232" s="7">
        <v>46241</v>
      </c>
      <c r="O232" s="8" t="s">
        <v>2</v>
      </c>
      <c r="P232" s="8" t="s">
        <v>2537</v>
      </c>
      <c r="Q232" s="8" t="s">
        <v>68</v>
      </c>
      <c r="R232" s="8" t="s">
        <v>69</v>
      </c>
      <c r="S232" s="8" t="s">
        <v>2538</v>
      </c>
      <c r="T232" s="9">
        <v>5</v>
      </c>
      <c r="U232" s="9">
        <v>4835</v>
      </c>
      <c r="V232" s="8" t="s">
        <v>2538</v>
      </c>
      <c r="W232" s="8">
        <v>0</v>
      </c>
      <c r="X232" s="8">
        <v>0</v>
      </c>
      <c r="Y232" s="8">
        <v>0</v>
      </c>
      <c r="Z232" s="8">
        <v>0</v>
      </c>
      <c r="AA232" s="8">
        <v>0</v>
      </c>
      <c r="AB232" s="8">
        <v>5</v>
      </c>
      <c r="AC232" s="8">
        <v>241.75</v>
      </c>
      <c r="AD232" s="8">
        <v>0</v>
      </c>
      <c r="AE232" s="8">
        <v>241.75</v>
      </c>
      <c r="AF232" s="8">
        <v>0</v>
      </c>
      <c r="AG232" s="8" t="s">
        <v>2251</v>
      </c>
      <c r="AH232" s="8" t="s">
        <v>1</v>
      </c>
      <c r="AI232" s="8">
        <v>84529099</v>
      </c>
      <c r="AJ232" s="8" t="s">
        <v>60</v>
      </c>
      <c r="AK232" s="8">
        <v>1</v>
      </c>
      <c r="AL232" s="8">
        <v>0</v>
      </c>
      <c r="AM232" s="8" t="s">
        <v>1940</v>
      </c>
    </row>
    <row r="233" spans="7:39" ht="12.75" customHeight="1">
      <c r="G233" s="347"/>
      <c r="H233" s="348">
        <v>46333</v>
      </c>
      <c r="I233" s="8" t="s">
        <v>2249</v>
      </c>
      <c r="J233" s="8" t="s">
        <v>96</v>
      </c>
      <c r="K233" s="8" t="s">
        <v>2974</v>
      </c>
      <c r="L233" s="8" t="s">
        <v>2250</v>
      </c>
      <c r="M233" s="8" t="s">
        <v>2975</v>
      </c>
      <c r="N233" s="7">
        <v>46241</v>
      </c>
      <c r="O233" s="8" t="s">
        <v>2</v>
      </c>
      <c r="P233" s="8" t="s">
        <v>2537</v>
      </c>
      <c r="Q233" s="8" t="s">
        <v>68</v>
      </c>
      <c r="R233" s="8" t="s">
        <v>69</v>
      </c>
      <c r="S233" s="8" t="s">
        <v>2538</v>
      </c>
      <c r="T233" s="9">
        <v>10</v>
      </c>
      <c r="U233" s="9">
        <v>9670</v>
      </c>
      <c r="V233" s="8" t="s">
        <v>2538</v>
      </c>
      <c r="W233" s="8">
        <v>0</v>
      </c>
      <c r="X233" s="8">
        <v>0</v>
      </c>
      <c r="Y233" s="8">
        <v>0</v>
      </c>
      <c r="Z233" s="8">
        <v>0</v>
      </c>
      <c r="AA233" s="8">
        <v>0</v>
      </c>
      <c r="AB233" s="8">
        <v>5</v>
      </c>
      <c r="AC233" s="8">
        <v>483.5</v>
      </c>
      <c r="AD233" s="8">
        <v>0</v>
      </c>
      <c r="AE233" s="8">
        <v>483.5</v>
      </c>
      <c r="AF233" s="8">
        <v>0</v>
      </c>
      <c r="AG233" s="8" t="s">
        <v>2251</v>
      </c>
      <c r="AH233" s="8" t="s">
        <v>1</v>
      </c>
      <c r="AI233" s="8">
        <v>84529099</v>
      </c>
      <c r="AJ233" s="8" t="s">
        <v>60</v>
      </c>
      <c r="AK233" s="8">
        <v>1</v>
      </c>
      <c r="AL233" s="8">
        <v>0</v>
      </c>
      <c r="AM233" s="8" t="s">
        <v>1940</v>
      </c>
    </row>
    <row r="234" spans="7:39" ht="12.75" customHeight="1">
      <c r="G234" s="347"/>
      <c r="H234" s="348">
        <v>46333</v>
      </c>
      <c r="I234" s="8" t="s">
        <v>2248</v>
      </c>
      <c r="J234" s="8" t="s">
        <v>96</v>
      </c>
      <c r="K234" s="8" t="s">
        <v>2978</v>
      </c>
      <c r="L234" s="8" t="s">
        <v>97</v>
      </c>
      <c r="M234" s="8">
        <v>1352</v>
      </c>
      <c r="N234" s="7">
        <v>46210</v>
      </c>
      <c r="O234" s="8" t="s">
        <v>5</v>
      </c>
      <c r="P234" s="8" t="s">
        <v>106</v>
      </c>
      <c r="Q234" s="8" t="s">
        <v>68</v>
      </c>
      <c r="R234" s="8" t="s">
        <v>69</v>
      </c>
      <c r="S234" s="8" t="s">
        <v>2245</v>
      </c>
      <c r="T234" s="9">
        <v>2760</v>
      </c>
      <c r="U234" s="9">
        <v>966</v>
      </c>
      <c r="V234" s="8" t="s">
        <v>2245</v>
      </c>
      <c r="W234" s="8">
        <v>1140</v>
      </c>
      <c r="X234" s="8">
        <v>9</v>
      </c>
      <c r="Y234" s="8">
        <v>86.94</v>
      </c>
      <c r="Z234" s="8">
        <v>9</v>
      </c>
      <c r="AA234" s="8">
        <v>86.94</v>
      </c>
      <c r="AB234" s="8">
        <v>0</v>
      </c>
      <c r="AC234" s="8">
        <v>0</v>
      </c>
      <c r="AD234" s="8">
        <v>0</v>
      </c>
      <c r="AE234" s="8">
        <v>173.88</v>
      </c>
      <c r="AF234" s="8">
        <v>0</v>
      </c>
      <c r="AG234" s="8" t="s">
        <v>2403</v>
      </c>
      <c r="AH234" s="8" t="s">
        <v>7</v>
      </c>
      <c r="AI234" s="8">
        <v>400200</v>
      </c>
      <c r="AJ234" s="8" t="s">
        <v>60</v>
      </c>
      <c r="AK234" s="8">
        <v>1</v>
      </c>
      <c r="AL234" s="8">
        <v>0</v>
      </c>
      <c r="AM234" s="8" t="s">
        <v>1940</v>
      </c>
    </row>
    <row r="235" spans="7:39" ht="12.75" customHeight="1">
      <c r="G235" s="347"/>
      <c r="H235" s="348">
        <v>46333</v>
      </c>
      <c r="I235" s="8" t="s">
        <v>2248</v>
      </c>
      <c r="J235" s="8" t="s">
        <v>96</v>
      </c>
      <c r="K235" s="8" t="s">
        <v>2979</v>
      </c>
      <c r="L235" s="8" t="s">
        <v>97</v>
      </c>
      <c r="M235" s="8">
        <v>1351</v>
      </c>
      <c r="N235" s="7">
        <v>46210</v>
      </c>
      <c r="O235" s="8" t="s">
        <v>5</v>
      </c>
      <c r="P235" s="8" t="s">
        <v>106</v>
      </c>
      <c r="Q235" s="8" t="s">
        <v>68</v>
      </c>
      <c r="R235" s="8" t="s">
        <v>69</v>
      </c>
      <c r="S235" s="8" t="s">
        <v>2245</v>
      </c>
      <c r="T235" s="9">
        <v>7869</v>
      </c>
      <c r="U235" s="9">
        <v>2754.15</v>
      </c>
      <c r="V235" s="8" t="s">
        <v>2245</v>
      </c>
      <c r="W235" s="8">
        <v>3250</v>
      </c>
      <c r="X235" s="8">
        <v>9</v>
      </c>
      <c r="Y235" s="8">
        <v>247.87</v>
      </c>
      <c r="Z235" s="8">
        <v>9</v>
      </c>
      <c r="AA235" s="8">
        <v>247.87</v>
      </c>
      <c r="AB235" s="8">
        <v>0</v>
      </c>
      <c r="AC235" s="8">
        <v>0</v>
      </c>
      <c r="AD235" s="8">
        <v>0</v>
      </c>
      <c r="AE235" s="8">
        <v>495.74</v>
      </c>
      <c r="AF235" s="8">
        <v>0</v>
      </c>
      <c r="AG235" s="8" t="s">
        <v>2403</v>
      </c>
      <c r="AH235" s="8" t="s">
        <v>7</v>
      </c>
      <c r="AI235" s="8">
        <v>400200</v>
      </c>
      <c r="AJ235" s="8" t="s">
        <v>60</v>
      </c>
      <c r="AK235" s="8">
        <v>1</v>
      </c>
      <c r="AL235" s="8">
        <v>0</v>
      </c>
      <c r="AM235" s="8" t="s">
        <v>1940</v>
      </c>
    </row>
    <row r="236" spans="7:39" ht="12.75" customHeight="1">
      <c r="G236" s="347"/>
      <c r="H236" s="348">
        <v>46333</v>
      </c>
      <c r="I236" s="8" t="s">
        <v>774</v>
      </c>
      <c r="J236" s="8" t="s">
        <v>96</v>
      </c>
      <c r="K236" s="8" t="s">
        <v>2980</v>
      </c>
      <c r="L236" s="8" t="s">
        <v>97</v>
      </c>
      <c r="M236" s="8">
        <v>9419</v>
      </c>
      <c r="N236" s="7">
        <v>46119</v>
      </c>
      <c r="O236" s="8" t="s">
        <v>5</v>
      </c>
      <c r="P236" s="8" t="s">
        <v>106</v>
      </c>
      <c r="Q236" s="8" t="s">
        <v>68</v>
      </c>
      <c r="R236" s="8" t="s">
        <v>69</v>
      </c>
      <c r="S236" s="8" t="s">
        <v>9</v>
      </c>
      <c r="T236" s="9">
        <v>824.48</v>
      </c>
      <c r="U236" s="9">
        <v>948.15</v>
      </c>
      <c r="V236" s="8" t="s">
        <v>9</v>
      </c>
      <c r="W236" s="8">
        <v>1119</v>
      </c>
      <c r="X236" s="8">
        <v>9</v>
      </c>
      <c r="Y236" s="8">
        <v>85.33</v>
      </c>
      <c r="Z236" s="8">
        <v>9</v>
      </c>
      <c r="AA236" s="8">
        <v>85.33</v>
      </c>
      <c r="AB236" s="8">
        <v>0</v>
      </c>
      <c r="AC236" s="8">
        <v>0</v>
      </c>
      <c r="AD236" s="8">
        <v>0</v>
      </c>
      <c r="AE236" s="8">
        <v>170.66</v>
      </c>
      <c r="AF236" s="8">
        <v>0</v>
      </c>
      <c r="AG236" s="8" t="s">
        <v>2278</v>
      </c>
      <c r="AH236" s="8" t="s">
        <v>10</v>
      </c>
      <c r="AI236" s="8">
        <v>37013000</v>
      </c>
      <c r="AJ236" s="8" t="s">
        <v>60</v>
      </c>
      <c r="AK236" s="8">
        <v>1</v>
      </c>
      <c r="AL236" s="8">
        <v>0</v>
      </c>
      <c r="AM236" s="8" t="s">
        <v>1940</v>
      </c>
    </row>
    <row r="237" spans="7:39" ht="12.75" customHeight="1">
      <c r="G237" s="347"/>
      <c r="H237" s="348">
        <v>46333</v>
      </c>
      <c r="I237" s="8" t="s">
        <v>774</v>
      </c>
      <c r="J237" s="8" t="s">
        <v>96</v>
      </c>
      <c r="K237" s="8" t="s">
        <v>2981</v>
      </c>
      <c r="L237" s="8" t="s">
        <v>97</v>
      </c>
      <c r="M237" s="8">
        <v>9391</v>
      </c>
      <c r="N237" s="7" t="s">
        <v>2568</v>
      </c>
      <c r="O237" s="8" t="s">
        <v>5</v>
      </c>
      <c r="P237" s="8" t="s">
        <v>106</v>
      </c>
      <c r="Q237" s="8" t="s">
        <v>68</v>
      </c>
      <c r="R237" s="8" t="s">
        <v>69</v>
      </c>
      <c r="S237" s="8" t="s">
        <v>9</v>
      </c>
      <c r="T237" s="9">
        <v>9783</v>
      </c>
      <c r="U237" s="9">
        <v>11250.45</v>
      </c>
      <c r="V237" s="8" t="s">
        <v>9</v>
      </c>
      <c r="W237" s="8">
        <v>13276</v>
      </c>
      <c r="X237" s="8">
        <v>9</v>
      </c>
      <c r="Y237" s="8">
        <v>1012.54</v>
      </c>
      <c r="Z237" s="8">
        <v>9</v>
      </c>
      <c r="AA237" s="8">
        <v>1012.54</v>
      </c>
      <c r="AB237" s="8">
        <v>0</v>
      </c>
      <c r="AC237" s="8">
        <v>0</v>
      </c>
      <c r="AD237" s="8">
        <v>0</v>
      </c>
      <c r="AE237" s="8">
        <v>2025.08</v>
      </c>
      <c r="AF237" s="8">
        <v>0</v>
      </c>
      <c r="AG237" s="8" t="s">
        <v>2278</v>
      </c>
      <c r="AH237" s="8" t="s">
        <v>10</v>
      </c>
      <c r="AI237" s="8">
        <v>37013000</v>
      </c>
      <c r="AJ237" s="8" t="s">
        <v>60</v>
      </c>
      <c r="AK237" s="8">
        <v>1</v>
      </c>
      <c r="AL237" s="8">
        <v>0</v>
      </c>
      <c r="AM237" s="8" t="s">
        <v>1940</v>
      </c>
    </row>
    <row r="238" spans="7:39" ht="12.75" customHeight="1">
      <c r="G238" s="347"/>
      <c r="H238" s="348">
        <v>46363</v>
      </c>
      <c r="I238" s="8" t="s">
        <v>87</v>
      </c>
      <c r="J238" s="8" t="s">
        <v>96</v>
      </c>
      <c r="K238" s="8" t="s">
        <v>2982</v>
      </c>
      <c r="L238" s="8" t="s">
        <v>97</v>
      </c>
      <c r="M238" s="8" t="s">
        <v>2983</v>
      </c>
      <c r="N238" s="7">
        <v>46363</v>
      </c>
      <c r="O238" s="8" t="s">
        <v>2</v>
      </c>
      <c r="P238" s="8" t="s">
        <v>67</v>
      </c>
      <c r="Q238" s="8" t="s">
        <v>68</v>
      </c>
      <c r="R238" s="8" t="s">
        <v>69</v>
      </c>
      <c r="S238" s="8" t="s">
        <v>70</v>
      </c>
      <c r="T238" s="9">
        <v>392</v>
      </c>
      <c r="U238" s="9">
        <v>18816</v>
      </c>
      <c r="V238" s="8" t="s">
        <v>70</v>
      </c>
      <c r="W238" s="8">
        <v>22184.06</v>
      </c>
      <c r="X238" s="8">
        <v>9</v>
      </c>
      <c r="Y238" s="8">
        <v>1693.44</v>
      </c>
      <c r="Z238" s="8">
        <v>9</v>
      </c>
      <c r="AA238" s="8">
        <v>1693.44</v>
      </c>
      <c r="AB238" s="8">
        <v>0</v>
      </c>
      <c r="AC238" s="8">
        <v>0</v>
      </c>
      <c r="AD238" s="8">
        <v>0</v>
      </c>
      <c r="AE238" s="8">
        <v>3386.88</v>
      </c>
      <c r="AF238" s="8">
        <v>0</v>
      </c>
      <c r="AG238" s="8" t="s">
        <v>65</v>
      </c>
      <c r="AH238" s="8" t="s">
        <v>11</v>
      </c>
      <c r="AI238" s="8">
        <v>73063090</v>
      </c>
      <c r="AJ238" s="8" t="s">
        <v>60</v>
      </c>
      <c r="AK238" s="8">
        <v>1</v>
      </c>
      <c r="AL238" s="8">
        <v>0</v>
      </c>
      <c r="AM238" s="8" t="s">
        <v>1940</v>
      </c>
    </row>
    <row r="239" spans="7:39" ht="12.75" customHeight="1">
      <c r="G239" s="347"/>
      <c r="H239" s="348">
        <v>46363</v>
      </c>
      <c r="I239" s="8" t="s">
        <v>87</v>
      </c>
      <c r="J239" s="8" t="s">
        <v>91</v>
      </c>
      <c r="K239" s="8" t="s">
        <v>2984</v>
      </c>
      <c r="L239" s="8" t="s">
        <v>98</v>
      </c>
      <c r="M239" s="8" t="s">
        <v>2985</v>
      </c>
      <c r="N239" s="7">
        <v>46363</v>
      </c>
      <c r="O239" s="8" t="s">
        <v>13</v>
      </c>
      <c r="P239" s="8" t="s">
        <v>62</v>
      </c>
      <c r="Q239" s="8" t="s">
        <v>63</v>
      </c>
      <c r="R239" s="8" t="s">
        <v>64</v>
      </c>
      <c r="S239" s="8" t="s">
        <v>19</v>
      </c>
      <c r="T239" s="9">
        <v>2879</v>
      </c>
      <c r="U239" s="9">
        <v>421744.71</v>
      </c>
      <c r="V239" s="8" t="s">
        <v>19</v>
      </c>
      <c r="W239" s="8">
        <v>1354812.44</v>
      </c>
      <c r="X239" s="8">
        <v>9</v>
      </c>
      <c r="Y239" s="8">
        <v>37957.019999999997</v>
      </c>
      <c r="Z239" s="8">
        <v>9</v>
      </c>
      <c r="AA239" s="8">
        <v>37957.019999999997</v>
      </c>
      <c r="AB239" s="8">
        <v>0</v>
      </c>
      <c r="AC239" s="8">
        <v>0</v>
      </c>
      <c r="AD239" s="8">
        <v>0</v>
      </c>
      <c r="AE239" s="8">
        <v>75914.039999999994</v>
      </c>
      <c r="AF239" s="8">
        <v>0</v>
      </c>
      <c r="AG239" s="8" t="s">
        <v>65</v>
      </c>
      <c r="AH239" s="8" t="s">
        <v>11</v>
      </c>
      <c r="AI239" s="8">
        <v>39269080</v>
      </c>
      <c r="AJ239" s="8" t="s">
        <v>60</v>
      </c>
      <c r="AK239" s="8">
        <v>1</v>
      </c>
      <c r="AL239" s="8">
        <v>0</v>
      </c>
      <c r="AM239" s="8" t="s">
        <v>1940</v>
      </c>
    </row>
    <row r="240" spans="7:39" ht="12.75" customHeight="1">
      <c r="G240" s="347"/>
      <c r="H240" s="348">
        <v>46363</v>
      </c>
      <c r="I240" s="8" t="s">
        <v>87</v>
      </c>
      <c r="J240" s="8" t="s">
        <v>91</v>
      </c>
      <c r="K240" s="8" t="s">
        <v>2984</v>
      </c>
      <c r="L240" s="8" t="s">
        <v>98</v>
      </c>
      <c r="M240" s="8" t="s">
        <v>2985</v>
      </c>
      <c r="N240" s="7">
        <v>46363</v>
      </c>
      <c r="O240" s="8" t="s">
        <v>13</v>
      </c>
      <c r="P240" s="8" t="s">
        <v>62</v>
      </c>
      <c r="Q240" s="8" t="s">
        <v>63</v>
      </c>
      <c r="R240" s="8" t="s">
        <v>64</v>
      </c>
      <c r="S240" s="8" t="s">
        <v>19</v>
      </c>
      <c r="T240" s="9">
        <v>4489</v>
      </c>
      <c r="U240" s="9">
        <v>648615.61</v>
      </c>
      <c r="V240" s="8" t="s">
        <v>19</v>
      </c>
      <c r="W240" s="8">
        <v>0</v>
      </c>
      <c r="X240" s="8">
        <v>9</v>
      </c>
      <c r="Y240" s="8">
        <v>58375.4</v>
      </c>
      <c r="Z240" s="8">
        <v>9</v>
      </c>
      <c r="AA240" s="8">
        <v>58375.4</v>
      </c>
      <c r="AB240" s="8">
        <v>0</v>
      </c>
      <c r="AC240" s="8">
        <v>0</v>
      </c>
      <c r="AD240" s="8">
        <v>0</v>
      </c>
      <c r="AE240" s="8">
        <v>116750.8</v>
      </c>
      <c r="AF240" s="8">
        <v>0</v>
      </c>
      <c r="AG240" s="8" t="s">
        <v>65</v>
      </c>
      <c r="AH240" s="8" t="s">
        <v>11</v>
      </c>
      <c r="AI240" s="8">
        <v>39269080</v>
      </c>
      <c r="AJ240" s="8" t="s">
        <v>60</v>
      </c>
      <c r="AK240" s="8">
        <v>1</v>
      </c>
      <c r="AL240" s="8">
        <v>0</v>
      </c>
      <c r="AM240" s="8" t="s">
        <v>1940</v>
      </c>
    </row>
    <row r="241" spans="7:39" ht="12.75" customHeight="1">
      <c r="G241" s="347"/>
      <c r="H241" s="348">
        <v>46363</v>
      </c>
      <c r="I241" s="8" t="s">
        <v>87</v>
      </c>
      <c r="J241" s="8" t="s">
        <v>91</v>
      </c>
      <c r="K241" s="8" t="s">
        <v>2984</v>
      </c>
      <c r="L241" s="8" t="s">
        <v>98</v>
      </c>
      <c r="M241" s="8" t="s">
        <v>2985</v>
      </c>
      <c r="N241" s="7">
        <v>46363</v>
      </c>
      <c r="O241" s="8" t="s">
        <v>13</v>
      </c>
      <c r="P241" s="8" t="s">
        <v>62</v>
      </c>
      <c r="Q241" s="8" t="s">
        <v>63</v>
      </c>
      <c r="R241" s="8" t="s">
        <v>64</v>
      </c>
      <c r="S241" s="8" t="s">
        <v>19</v>
      </c>
      <c r="T241" s="9">
        <v>534</v>
      </c>
      <c r="U241" s="9">
        <v>78759.66</v>
      </c>
      <c r="V241" s="8" t="s">
        <v>19</v>
      </c>
      <c r="W241" s="8">
        <v>0</v>
      </c>
      <c r="X241" s="8">
        <v>9</v>
      </c>
      <c r="Y241" s="8">
        <v>7088.37</v>
      </c>
      <c r="Z241" s="8">
        <v>9</v>
      </c>
      <c r="AA241" s="8">
        <v>7088.37</v>
      </c>
      <c r="AB241" s="8">
        <v>0</v>
      </c>
      <c r="AC241" s="8">
        <v>0</v>
      </c>
      <c r="AD241" s="8">
        <v>0</v>
      </c>
      <c r="AE241" s="8">
        <v>14176.74</v>
      </c>
      <c r="AF241" s="8">
        <v>0</v>
      </c>
      <c r="AG241" s="8" t="s">
        <v>65</v>
      </c>
      <c r="AH241" s="8" t="s">
        <v>11</v>
      </c>
      <c r="AI241" s="8">
        <v>39269080</v>
      </c>
      <c r="AJ241" s="8" t="s">
        <v>60</v>
      </c>
      <c r="AK241" s="8">
        <v>1</v>
      </c>
      <c r="AL241" s="8">
        <v>0</v>
      </c>
      <c r="AM241" s="8" t="s">
        <v>1940</v>
      </c>
    </row>
    <row r="242" spans="7:39" ht="12.75" customHeight="1">
      <c r="G242" s="347"/>
      <c r="H242" s="348">
        <v>46363</v>
      </c>
      <c r="I242" s="8" t="s">
        <v>87</v>
      </c>
      <c r="J242" s="8" t="s">
        <v>91</v>
      </c>
      <c r="K242" s="8" t="s">
        <v>2986</v>
      </c>
      <c r="L242" s="8" t="s">
        <v>98</v>
      </c>
      <c r="M242" s="8" t="s">
        <v>2987</v>
      </c>
      <c r="N242" s="7">
        <v>46363</v>
      </c>
      <c r="O242" s="8" t="s">
        <v>15</v>
      </c>
      <c r="P242" s="8" t="s">
        <v>2117</v>
      </c>
      <c r="Q242" s="8" t="s">
        <v>2117</v>
      </c>
      <c r="R242" s="8" t="s">
        <v>2117</v>
      </c>
      <c r="S242" s="347" t="s">
        <v>64</v>
      </c>
      <c r="T242" s="9">
        <v>125</v>
      </c>
      <c r="U242" s="9">
        <v>19561.25</v>
      </c>
      <c r="V242" s="8" t="s">
        <v>2117</v>
      </c>
      <c r="W242" s="8">
        <v>405620.4</v>
      </c>
      <c r="X242" s="8">
        <v>9</v>
      </c>
      <c r="Y242" s="8">
        <v>1760.51</v>
      </c>
      <c r="Z242" s="8">
        <v>9</v>
      </c>
      <c r="AA242" s="8">
        <v>1760.51</v>
      </c>
      <c r="AB242" s="8">
        <v>0</v>
      </c>
      <c r="AC242" s="8">
        <v>0</v>
      </c>
      <c r="AD242" s="8">
        <v>0</v>
      </c>
      <c r="AE242" s="8">
        <v>3521.02</v>
      </c>
      <c r="AF242" s="8">
        <v>0</v>
      </c>
      <c r="AG242" s="8" t="s">
        <v>65</v>
      </c>
      <c r="AH242" s="8" t="s">
        <v>11</v>
      </c>
      <c r="AI242" s="8">
        <v>39269080</v>
      </c>
      <c r="AJ242" s="8" t="s">
        <v>60</v>
      </c>
      <c r="AK242" s="8">
        <v>1</v>
      </c>
      <c r="AL242" s="8">
        <v>0</v>
      </c>
      <c r="AM242" s="8" t="s">
        <v>1940</v>
      </c>
    </row>
    <row r="243" spans="7:39" ht="12.75" customHeight="1">
      <c r="G243" s="347"/>
      <c r="H243" s="348">
        <v>46363</v>
      </c>
      <c r="I243" s="8" t="s">
        <v>87</v>
      </c>
      <c r="J243" s="8" t="s">
        <v>91</v>
      </c>
      <c r="K243" s="8" t="s">
        <v>2986</v>
      </c>
      <c r="L243" s="8" t="s">
        <v>98</v>
      </c>
      <c r="M243" s="8" t="s">
        <v>2987</v>
      </c>
      <c r="N243" s="7">
        <v>46363</v>
      </c>
      <c r="O243" s="8" t="s">
        <v>15</v>
      </c>
      <c r="P243" s="8" t="s">
        <v>2117</v>
      </c>
      <c r="Q243" s="8" t="s">
        <v>2117</v>
      </c>
      <c r="R243" s="8" t="s">
        <v>2117</v>
      </c>
      <c r="S243" s="347" t="s">
        <v>64</v>
      </c>
      <c r="T243" s="9">
        <v>110</v>
      </c>
      <c r="U243" s="9">
        <v>16993.900000000001</v>
      </c>
      <c r="V243" s="8" t="s">
        <v>2117</v>
      </c>
      <c r="W243" s="8">
        <v>0</v>
      </c>
      <c r="X243" s="8">
        <v>9</v>
      </c>
      <c r="Y243" s="8">
        <v>1529.45</v>
      </c>
      <c r="Z243" s="8">
        <v>9</v>
      </c>
      <c r="AA243" s="8">
        <v>1529.45</v>
      </c>
      <c r="AB243" s="8">
        <v>0</v>
      </c>
      <c r="AC243" s="8">
        <v>0</v>
      </c>
      <c r="AD243" s="8">
        <v>0</v>
      </c>
      <c r="AE243" s="8">
        <v>3058.9</v>
      </c>
      <c r="AF243" s="8">
        <v>0</v>
      </c>
      <c r="AG243" s="8" t="s">
        <v>65</v>
      </c>
      <c r="AH243" s="8" t="s">
        <v>11</v>
      </c>
      <c r="AI243" s="8">
        <v>39269080</v>
      </c>
      <c r="AJ243" s="8" t="s">
        <v>60</v>
      </c>
      <c r="AK243" s="8">
        <v>1</v>
      </c>
      <c r="AL243" s="8">
        <v>0</v>
      </c>
      <c r="AM243" s="8" t="s">
        <v>1940</v>
      </c>
    </row>
    <row r="244" spans="7:39" ht="12.75" customHeight="1">
      <c r="G244" s="347"/>
      <c r="H244" s="348">
        <v>46363</v>
      </c>
      <c r="I244" s="8" t="s">
        <v>87</v>
      </c>
      <c r="J244" s="8" t="s">
        <v>91</v>
      </c>
      <c r="K244" s="8" t="s">
        <v>2986</v>
      </c>
      <c r="L244" s="8" t="s">
        <v>98</v>
      </c>
      <c r="M244" s="8" t="s">
        <v>2987</v>
      </c>
      <c r="N244" s="7">
        <v>46363</v>
      </c>
      <c r="O244" s="8" t="s">
        <v>13</v>
      </c>
      <c r="P244" s="8" t="s">
        <v>62</v>
      </c>
      <c r="Q244" s="8" t="s">
        <v>63</v>
      </c>
      <c r="R244" s="8" t="s">
        <v>64</v>
      </c>
      <c r="S244" s="8" t="s">
        <v>19</v>
      </c>
      <c r="T244" s="9">
        <v>2099</v>
      </c>
      <c r="U244" s="9">
        <v>307482.51</v>
      </c>
      <c r="V244" s="8" t="s">
        <v>19</v>
      </c>
      <c r="W244" s="8">
        <v>0</v>
      </c>
      <c r="X244" s="8">
        <v>9</v>
      </c>
      <c r="Y244" s="8">
        <v>27673.43</v>
      </c>
      <c r="Z244" s="8">
        <v>9</v>
      </c>
      <c r="AA244" s="8">
        <v>27673.43</v>
      </c>
      <c r="AB244" s="8">
        <v>0</v>
      </c>
      <c r="AC244" s="8">
        <v>0</v>
      </c>
      <c r="AD244" s="8">
        <v>0</v>
      </c>
      <c r="AE244" s="8">
        <v>55346.86</v>
      </c>
      <c r="AF244" s="8">
        <v>0</v>
      </c>
      <c r="AG244" s="8" t="s">
        <v>65</v>
      </c>
      <c r="AH244" s="8" t="s">
        <v>11</v>
      </c>
      <c r="AI244" s="8">
        <v>39269080</v>
      </c>
      <c r="AJ244" s="8" t="s">
        <v>60</v>
      </c>
      <c r="AK244" s="8">
        <v>1</v>
      </c>
      <c r="AL244" s="8">
        <v>0</v>
      </c>
      <c r="AM244" s="8" t="s">
        <v>1940</v>
      </c>
    </row>
    <row r="245" spans="7:39" ht="12.75" customHeight="1">
      <c r="G245" s="347"/>
      <c r="H245" s="348">
        <v>46363</v>
      </c>
      <c r="I245" s="8" t="s">
        <v>87</v>
      </c>
      <c r="J245" s="8" t="s">
        <v>91</v>
      </c>
      <c r="K245" s="8" t="s">
        <v>2988</v>
      </c>
      <c r="L245" s="8" t="s">
        <v>98</v>
      </c>
      <c r="M245" s="8" t="s">
        <v>2989</v>
      </c>
      <c r="N245" s="7">
        <v>46363</v>
      </c>
      <c r="O245" s="8" t="s">
        <v>13</v>
      </c>
      <c r="P245" s="8" t="s">
        <v>62</v>
      </c>
      <c r="Q245" s="8" t="s">
        <v>76</v>
      </c>
      <c r="R245" s="8" t="s">
        <v>77</v>
      </c>
      <c r="S245" s="8" t="s">
        <v>21</v>
      </c>
      <c r="T245" s="9">
        <v>2959</v>
      </c>
      <c r="U245" s="9">
        <v>433463.91</v>
      </c>
      <c r="V245" s="8" t="s">
        <v>21</v>
      </c>
      <c r="W245" s="8">
        <v>1670411.19</v>
      </c>
      <c r="X245" s="8">
        <v>9</v>
      </c>
      <c r="Y245" s="8">
        <v>39011.75</v>
      </c>
      <c r="Z245" s="8">
        <v>9</v>
      </c>
      <c r="AA245" s="8">
        <v>39011.75</v>
      </c>
      <c r="AB245" s="8">
        <v>0</v>
      </c>
      <c r="AC245" s="8">
        <v>0</v>
      </c>
      <c r="AD245" s="8">
        <v>0</v>
      </c>
      <c r="AE245" s="8">
        <v>78023.5</v>
      </c>
      <c r="AF245" s="8">
        <v>0</v>
      </c>
      <c r="AG245" s="8" t="s">
        <v>65</v>
      </c>
      <c r="AH245" s="8" t="s">
        <v>11</v>
      </c>
      <c r="AI245" s="8">
        <v>63053300</v>
      </c>
      <c r="AJ245" s="8" t="s">
        <v>60</v>
      </c>
      <c r="AK245" s="8">
        <v>1</v>
      </c>
      <c r="AL245" s="8">
        <v>0</v>
      </c>
      <c r="AM245" s="8" t="s">
        <v>1940</v>
      </c>
    </row>
    <row r="246" spans="7:39" ht="12.75" customHeight="1">
      <c r="G246" s="347"/>
      <c r="H246" s="348">
        <v>46363</v>
      </c>
      <c r="I246" s="8" t="s">
        <v>87</v>
      </c>
      <c r="J246" s="8" t="s">
        <v>91</v>
      </c>
      <c r="K246" s="8" t="s">
        <v>2988</v>
      </c>
      <c r="L246" s="8" t="s">
        <v>98</v>
      </c>
      <c r="M246" s="8" t="s">
        <v>2989</v>
      </c>
      <c r="N246" s="7">
        <v>46363</v>
      </c>
      <c r="O246" s="8" t="s">
        <v>13</v>
      </c>
      <c r="P246" s="8" t="s">
        <v>80</v>
      </c>
      <c r="Q246" s="8" t="s">
        <v>81</v>
      </c>
      <c r="R246" s="8" t="s">
        <v>417</v>
      </c>
      <c r="S246" s="8" t="s">
        <v>418</v>
      </c>
      <c r="T246" s="9">
        <v>66</v>
      </c>
      <c r="U246" s="9">
        <v>12063.48</v>
      </c>
      <c r="V246" s="8" t="s">
        <v>418</v>
      </c>
      <c r="W246" s="8">
        <v>0</v>
      </c>
      <c r="X246" s="8">
        <v>9</v>
      </c>
      <c r="Y246" s="8">
        <v>1085.71</v>
      </c>
      <c r="Z246" s="8">
        <v>9</v>
      </c>
      <c r="AA246" s="8">
        <v>1085.71</v>
      </c>
      <c r="AB246" s="8">
        <v>0</v>
      </c>
      <c r="AC246" s="8">
        <v>0</v>
      </c>
      <c r="AD246" s="8">
        <v>0</v>
      </c>
      <c r="AE246" s="8">
        <v>2171.42</v>
      </c>
      <c r="AF246" s="8">
        <v>0</v>
      </c>
      <c r="AG246" s="8" t="s">
        <v>65</v>
      </c>
      <c r="AH246" s="8" t="s">
        <v>11</v>
      </c>
      <c r="AI246" s="8">
        <v>39232100</v>
      </c>
      <c r="AJ246" s="8" t="s">
        <v>60</v>
      </c>
      <c r="AK246" s="8">
        <v>1</v>
      </c>
      <c r="AL246" s="8">
        <v>0</v>
      </c>
      <c r="AM246" s="8" t="s">
        <v>1940</v>
      </c>
    </row>
    <row r="247" spans="7:39" ht="12.75" customHeight="1">
      <c r="G247" s="347"/>
      <c r="H247" s="348">
        <v>46363</v>
      </c>
      <c r="I247" s="8" t="s">
        <v>87</v>
      </c>
      <c r="J247" s="8" t="s">
        <v>91</v>
      </c>
      <c r="K247" s="8" t="s">
        <v>2988</v>
      </c>
      <c r="L247" s="8" t="s">
        <v>98</v>
      </c>
      <c r="M247" s="8" t="s">
        <v>2989</v>
      </c>
      <c r="N247" s="7">
        <v>46363</v>
      </c>
      <c r="O247" s="8" t="s">
        <v>13</v>
      </c>
      <c r="P247" s="8" t="s">
        <v>80</v>
      </c>
      <c r="Q247" s="8" t="s">
        <v>81</v>
      </c>
      <c r="R247" s="8" t="s">
        <v>82</v>
      </c>
      <c r="S247" s="8" t="s">
        <v>17</v>
      </c>
      <c r="T247" s="9">
        <v>554</v>
      </c>
      <c r="U247" s="9">
        <v>101260.12</v>
      </c>
      <c r="V247" s="8" t="s">
        <v>17</v>
      </c>
      <c r="W247" s="8">
        <v>0</v>
      </c>
      <c r="X247" s="8">
        <v>9</v>
      </c>
      <c r="Y247" s="8">
        <v>9113.41</v>
      </c>
      <c r="Z247" s="8">
        <v>9</v>
      </c>
      <c r="AA247" s="8">
        <v>9113.41</v>
      </c>
      <c r="AB247" s="8">
        <v>0</v>
      </c>
      <c r="AC247" s="8">
        <v>0</v>
      </c>
      <c r="AD247" s="8">
        <v>0</v>
      </c>
      <c r="AE247" s="8">
        <v>18226.82</v>
      </c>
      <c r="AF247" s="8">
        <v>0</v>
      </c>
      <c r="AG247" s="8" t="s">
        <v>65</v>
      </c>
      <c r="AH247" s="8" t="s">
        <v>11</v>
      </c>
      <c r="AI247" s="8">
        <v>39200000</v>
      </c>
      <c r="AJ247" s="8" t="s">
        <v>60</v>
      </c>
      <c r="AK247" s="8">
        <v>1</v>
      </c>
      <c r="AL247" s="8">
        <v>0</v>
      </c>
      <c r="AM247" s="8" t="s">
        <v>1940</v>
      </c>
    </row>
    <row r="248" spans="7:39" ht="12.75" customHeight="1">
      <c r="G248" s="347"/>
      <c r="H248" s="348">
        <v>46363</v>
      </c>
      <c r="I248" s="8" t="s">
        <v>87</v>
      </c>
      <c r="J248" s="8" t="s">
        <v>91</v>
      </c>
      <c r="K248" s="8" t="s">
        <v>2988</v>
      </c>
      <c r="L248" s="8" t="s">
        <v>98</v>
      </c>
      <c r="M248" s="8" t="s">
        <v>2989</v>
      </c>
      <c r="N248" s="7">
        <v>46363</v>
      </c>
      <c r="O248" s="8" t="s">
        <v>13</v>
      </c>
      <c r="P248" s="8" t="s">
        <v>80</v>
      </c>
      <c r="Q248" s="8" t="s">
        <v>81</v>
      </c>
      <c r="R248" s="8" t="s">
        <v>82</v>
      </c>
      <c r="S248" s="8" t="s">
        <v>17</v>
      </c>
      <c r="T248" s="9">
        <v>55</v>
      </c>
      <c r="U248" s="9">
        <v>10217.9</v>
      </c>
      <c r="V248" s="8" t="s">
        <v>17</v>
      </c>
      <c r="W248" s="8">
        <v>0</v>
      </c>
      <c r="X248" s="8">
        <v>9</v>
      </c>
      <c r="Y248" s="8">
        <v>919.61</v>
      </c>
      <c r="Z248" s="8">
        <v>9</v>
      </c>
      <c r="AA248" s="8">
        <v>919.61</v>
      </c>
      <c r="AB248" s="8">
        <v>0</v>
      </c>
      <c r="AC248" s="8">
        <v>0</v>
      </c>
      <c r="AD248" s="8">
        <v>0</v>
      </c>
      <c r="AE248" s="8">
        <v>1839.22</v>
      </c>
      <c r="AF248" s="8">
        <v>0</v>
      </c>
      <c r="AG248" s="8" t="s">
        <v>65</v>
      </c>
      <c r="AH248" s="8" t="s">
        <v>11</v>
      </c>
      <c r="AI248" s="8">
        <v>39200000</v>
      </c>
      <c r="AJ248" s="8" t="s">
        <v>60</v>
      </c>
      <c r="AK248" s="8">
        <v>1</v>
      </c>
      <c r="AL248" s="8">
        <v>0</v>
      </c>
      <c r="AM248" s="8" t="s">
        <v>1940</v>
      </c>
    </row>
    <row r="249" spans="7:39" ht="12.75" customHeight="1">
      <c r="G249" s="347"/>
      <c r="H249" s="348">
        <v>46363</v>
      </c>
      <c r="I249" s="8" t="s">
        <v>87</v>
      </c>
      <c r="J249" s="8" t="s">
        <v>91</v>
      </c>
      <c r="K249" s="8" t="s">
        <v>2988</v>
      </c>
      <c r="L249" s="8" t="s">
        <v>98</v>
      </c>
      <c r="M249" s="8" t="s">
        <v>2989</v>
      </c>
      <c r="N249" s="7">
        <v>46363</v>
      </c>
      <c r="O249" s="8" t="s">
        <v>13</v>
      </c>
      <c r="P249" s="8" t="s">
        <v>62</v>
      </c>
      <c r="Q249" s="8" t="s">
        <v>63</v>
      </c>
      <c r="R249" s="8" t="s">
        <v>64</v>
      </c>
      <c r="S249" s="8" t="s">
        <v>19</v>
      </c>
      <c r="T249" s="9">
        <v>633</v>
      </c>
      <c r="U249" s="9">
        <v>93361.17</v>
      </c>
      <c r="V249" s="8" t="s">
        <v>19</v>
      </c>
      <c r="W249" s="8">
        <v>0</v>
      </c>
      <c r="X249" s="8">
        <v>9</v>
      </c>
      <c r="Y249" s="8">
        <v>8402.51</v>
      </c>
      <c r="Z249" s="8">
        <v>9</v>
      </c>
      <c r="AA249" s="8">
        <v>8402.51</v>
      </c>
      <c r="AB249" s="8">
        <v>0</v>
      </c>
      <c r="AC249" s="8">
        <v>0</v>
      </c>
      <c r="AD249" s="8">
        <v>0</v>
      </c>
      <c r="AE249" s="8">
        <v>16805.02</v>
      </c>
      <c r="AF249" s="8">
        <v>0</v>
      </c>
      <c r="AG249" s="8" t="s">
        <v>65</v>
      </c>
      <c r="AH249" s="8" t="s">
        <v>11</v>
      </c>
      <c r="AI249" s="8">
        <v>39269080</v>
      </c>
      <c r="AJ249" s="8" t="s">
        <v>60</v>
      </c>
      <c r="AK249" s="8">
        <v>1</v>
      </c>
      <c r="AL249" s="8">
        <v>0</v>
      </c>
      <c r="AM249" s="8" t="s">
        <v>1940</v>
      </c>
    </row>
    <row r="250" spans="7:39" ht="12.75" customHeight="1">
      <c r="G250" s="347"/>
      <c r="H250" s="348">
        <v>46363</v>
      </c>
      <c r="I250" s="8" t="s">
        <v>87</v>
      </c>
      <c r="J250" s="8" t="s">
        <v>91</v>
      </c>
      <c r="K250" s="8" t="s">
        <v>2988</v>
      </c>
      <c r="L250" s="8" t="s">
        <v>98</v>
      </c>
      <c r="M250" s="8" t="s">
        <v>2989</v>
      </c>
      <c r="N250" s="7">
        <v>46363</v>
      </c>
      <c r="O250" s="8" t="s">
        <v>13</v>
      </c>
      <c r="P250" s="8" t="s">
        <v>62</v>
      </c>
      <c r="Q250" s="8" t="s">
        <v>63</v>
      </c>
      <c r="R250" s="8" t="s">
        <v>64</v>
      </c>
      <c r="S250" s="8" t="s">
        <v>19</v>
      </c>
      <c r="T250" s="9">
        <v>2346</v>
      </c>
      <c r="U250" s="9">
        <v>338973.54</v>
      </c>
      <c r="V250" s="8" t="s">
        <v>19</v>
      </c>
      <c r="W250" s="8">
        <v>0</v>
      </c>
      <c r="X250" s="8">
        <v>9</v>
      </c>
      <c r="Y250" s="8">
        <v>30507.62</v>
      </c>
      <c r="Z250" s="8">
        <v>9</v>
      </c>
      <c r="AA250" s="8">
        <v>30507.62</v>
      </c>
      <c r="AB250" s="8">
        <v>0</v>
      </c>
      <c r="AC250" s="8">
        <v>0</v>
      </c>
      <c r="AD250" s="8">
        <v>0</v>
      </c>
      <c r="AE250" s="8">
        <v>61015.24</v>
      </c>
      <c r="AF250" s="8">
        <v>0</v>
      </c>
      <c r="AG250" s="8" t="s">
        <v>65</v>
      </c>
      <c r="AH250" s="8" t="s">
        <v>11</v>
      </c>
      <c r="AI250" s="8">
        <v>39269080</v>
      </c>
      <c r="AJ250" s="8" t="s">
        <v>60</v>
      </c>
      <c r="AK250" s="8">
        <v>1</v>
      </c>
      <c r="AL250" s="8">
        <v>0</v>
      </c>
      <c r="AM250" s="8" t="s">
        <v>1940</v>
      </c>
    </row>
    <row r="251" spans="7:39" ht="12.75" customHeight="1">
      <c r="G251" s="347"/>
      <c r="H251" s="348">
        <v>46363</v>
      </c>
      <c r="I251" s="8" t="s">
        <v>87</v>
      </c>
      <c r="J251" s="8" t="s">
        <v>91</v>
      </c>
      <c r="K251" s="8" t="s">
        <v>2988</v>
      </c>
      <c r="L251" s="8" t="s">
        <v>98</v>
      </c>
      <c r="M251" s="8" t="s">
        <v>2989</v>
      </c>
      <c r="N251" s="7">
        <v>46363</v>
      </c>
      <c r="O251" s="8" t="s">
        <v>13</v>
      </c>
      <c r="P251" s="8" t="s">
        <v>62</v>
      </c>
      <c r="Q251" s="8" t="s">
        <v>76</v>
      </c>
      <c r="R251" s="8" t="s">
        <v>77</v>
      </c>
      <c r="S251" s="8" t="s">
        <v>21</v>
      </c>
      <c r="T251" s="9">
        <v>698</v>
      </c>
      <c r="U251" s="9">
        <v>105740.02</v>
      </c>
      <c r="V251" s="8" t="s">
        <v>21</v>
      </c>
      <c r="W251" s="8">
        <v>0</v>
      </c>
      <c r="X251" s="8">
        <v>9</v>
      </c>
      <c r="Y251" s="8">
        <v>9516.6</v>
      </c>
      <c r="Z251" s="8">
        <v>9</v>
      </c>
      <c r="AA251" s="8">
        <v>9516.6</v>
      </c>
      <c r="AB251" s="8">
        <v>0</v>
      </c>
      <c r="AC251" s="8">
        <v>0</v>
      </c>
      <c r="AD251" s="8">
        <v>0</v>
      </c>
      <c r="AE251" s="8">
        <v>19033.2</v>
      </c>
      <c r="AF251" s="8">
        <v>0</v>
      </c>
      <c r="AG251" s="8" t="s">
        <v>65</v>
      </c>
      <c r="AH251" s="8" t="s">
        <v>11</v>
      </c>
      <c r="AI251" s="8">
        <v>63053300</v>
      </c>
      <c r="AJ251" s="8" t="s">
        <v>60</v>
      </c>
      <c r="AK251" s="8">
        <v>1</v>
      </c>
      <c r="AL251" s="8">
        <v>0</v>
      </c>
      <c r="AM251" s="8" t="s">
        <v>1940</v>
      </c>
    </row>
    <row r="252" spans="7:39" ht="12.75" customHeight="1">
      <c r="G252" s="347"/>
      <c r="H252" s="348">
        <v>46363</v>
      </c>
      <c r="I252" s="8" t="s">
        <v>87</v>
      </c>
      <c r="J252" s="8" t="s">
        <v>91</v>
      </c>
      <c r="K252" s="8" t="s">
        <v>2988</v>
      </c>
      <c r="L252" s="8" t="s">
        <v>98</v>
      </c>
      <c r="M252" s="8" t="s">
        <v>2989</v>
      </c>
      <c r="N252" s="7">
        <v>46363</v>
      </c>
      <c r="O252" s="8" t="s">
        <v>13</v>
      </c>
      <c r="P252" s="8" t="s">
        <v>24</v>
      </c>
      <c r="Q252" s="8" t="s">
        <v>79</v>
      </c>
      <c r="R252" s="8" t="s">
        <v>79</v>
      </c>
      <c r="S252" s="8" t="s">
        <v>24</v>
      </c>
      <c r="T252" s="9">
        <v>895</v>
      </c>
      <c r="U252" s="9">
        <v>131108.54999999999</v>
      </c>
      <c r="V252" s="8" t="s">
        <v>24</v>
      </c>
      <c r="W252" s="8">
        <v>0</v>
      </c>
      <c r="X252" s="8">
        <v>9</v>
      </c>
      <c r="Y252" s="8">
        <v>11799.77</v>
      </c>
      <c r="Z252" s="8">
        <v>9</v>
      </c>
      <c r="AA252" s="8">
        <v>11799.77</v>
      </c>
      <c r="AB252" s="8">
        <v>0</v>
      </c>
      <c r="AC252" s="8">
        <v>0</v>
      </c>
      <c r="AD252" s="8">
        <v>0</v>
      </c>
      <c r="AE252" s="8">
        <v>23599.54</v>
      </c>
      <c r="AF252" s="8">
        <v>0</v>
      </c>
      <c r="AG252" s="8" t="s">
        <v>65</v>
      </c>
      <c r="AH252" s="8" t="s">
        <v>11</v>
      </c>
      <c r="AI252" s="8">
        <v>3926908</v>
      </c>
      <c r="AJ252" s="8" t="s">
        <v>60</v>
      </c>
      <c r="AK252" s="8">
        <v>1</v>
      </c>
      <c r="AL252" s="8">
        <v>0</v>
      </c>
      <c r="AM252" s="8" t="s">
        <v>1940</v>
      </c>
    </row>
    <row r="253" spans="7:39" ht="12.75" customHeight="1">
      <c r="G253" s="347"/>
      <c r="H253" s="348">
        <v>46363</v>
      </c>
      <c r="I253" s="8" t="s">
        <v>87</v>
      </c>
      <c r="J253" s="8" t="s">
        <v>91</v>
      </c>
      <c r="K253" s="8" t="s">
        <v>2988</v>
      </c>
      <c r="L253" s="8" t="s">
        <v>98</v>
      </c>
      <c r="M253" s="8" t="s">
        <v>2989</v>
      </c>
      <c r="N253" s="7">
        <v>46363</v>
      </c>
      <c r="O253" s="8" t="s">
        <v>13</v>
      </c>
      <c r="P253" s="8" t="s">
        <v>24</v>
      </c>
      <c r="Q253" s="8" t="s">
        <v>79</v>
      </c>
      <c r="R253" s="8" t="s">
        <v>79</v>
      </c>
      <c r="S253" s="8" t="s">
        <v>24</v>
      </c>
      <c r="T253" s="9">
        <v>1275.0999999999999</v>
      </c>
      <c r="U253" s="9">
        <v>190614.7</v>
      </c>
      <c r="V253" s="8" t="s">
        <v>24</v>
      </c>
      <c r="W253" s="8">
        <v>0</v>
      </c>
      <c r="X253" s="8">
        <v>9</v>
      </c>
      <c r="Y253" s="8">
        <v>17155.32</v>
      </c>
      <c r="Z253" s="8">
        <v>9</v>
      </c>
      <c r="AA253" s="8">
        <v>17155.32</v>
      </c>
      <c r="AB253" s="8">
        <v>0</v>
      </c>
      <c r="AC253" s="8">
        <v>0</v>
      </c>
      <c r="AD253" s="8">
        <v>0</v>
      </c>
      <c r="AE253" s="8">
        <v>34310.639999999999</v>
      </c>
      <c r="AF253" s="8">
        <v>0</v>
      </c>
      <c r="AG253" s="8" t="s">
        <v>65</v>
      </c>
      <c r="AH253" s="8" t="s">
        <v>11</v>
      </c>
      <c r="AI253" s="8">
        <v>3926908</v>
      </c>
      <c r="AJ253" s="8" t="s">
        <v>60</v>
      </c>
      <c r="AK253" s="8">
        <v>1</v>
      </c>
      <c r="AL253" s="8">
        <v>0</v>
      </c>
      <c r="AM253" s="8" t="s">
        <v>1940</v>
      </c>
    </row>
    <row r="254" spans="7:39" ht="12.75" customHeight="1">
      <c r="G254" s="347"/>
      <c r="H254" s="348">
        <v>46363</v>
      </c>
      <c r="I254" s="8" t="s">
        <v>89</v>
      </c>
      <c r="J254" s="8" t="s">
        <v>91</v>
      </c>
      <c r="K254" s="8" t="s">
        <v>2990</v>
      </c>
      <c r="L254" s="8" t="s">
        <v>2540</v>
      </c>
      <c r="M254" s="8" t="s">
        <v>2991</v>
      </c>
      <c r="N254" s="7">
        <v>46333</v>
      </c>
      <c r="O254" s="8" t="s">
        <v>15</v>
      </c>
      <c r="P254" s="8" t="s">
        <v>57</v>
      </c>
      <c r="Q254" s="8" t="s">
        <v>57</v>
      </c>
      <c r="R254" s="8" t="s">
        <v>58</v>
      </c>
      <c r="S254" s="8" t="s">
        <v>16</v>
      </c>
      <c r="T254" s="9">
        <v>3287</v>
      </c>
      <c r="U254" s="9">
        <v>640077.51</v>
      </c>
      <c r="V254" s="8" t="s">
        <v>16</v>
      </c>
      <c r="W254" s="8">
        <v>754651.39</v>
      </c>
      <c r="X254" s="8">
        <v>9</v>
      </c>
      <c r="Y254" s="8">
        <v>57606.98</v>
      </c>
      <c r="Z254" s="8">
        <v>9</v>
      </c>
      <c r="AA254" s="8">
        <v>57606.98</v>
      </c>
      <c r="AB254" s="8">
        <v>0</v>
      </c>
      <c r="AC254" s="8">
        <v>0</v>
      </c>
      <c r="AD254" s="8">
        <v>0</v>
      </c>
      <c r="AE254" s="8">
        <v>115213.96</v>
      </c>
      <c r="AF254" s="8">
        <v>0</v>
      </c>
      <c r="AG254" s="8" t="s">
        <v>65</v>
      </c>
      <c r="AH254" s="8" t="s">
        <v>11</v>
      </c>
      <c r="AI254" s="8">
        <v>63053200</v>
      </c>
      <c r="AJ254" s="8" t="s">
        <v>60</v>
      </c>
      <c r="AK254" s="8">
        <v>1</v>
      </c>
      <c r="AL254" s="8">
        <v>0</v>
      </c>
      <c r="AM254" s="8" t="s">
        <v>1940</v>
      </c>
    </row>
    <row r="255" spans="7:39" ht="12.75" customHeight="1">
      <c r="G255" s="347"/>
      <c r="H255" s="348">
        <v>46363</v>
      </c>
      <c r="I255" s="8" t="s">
        <v>94</v>
      </c>
      <c r="J255" s="8" t="s">
        <v>96</v>
      </c>
      <c r="K255" s="8" t="s">
        <v>2992</v>
      </c>
      <c r="L255" s="8" t="s">
        <v>97</v>
      </c>
      <c r="M255" s="8" t="s">
        <v>2993</v>
      </c>
      <c r="N255" s="7">
        <v>46363</v>
      </c>
      <c r="O255" s="8" t="s">
        <v>2</v>
      </c>
      <c r="P255" s="8" t="s">
        <v>67</v>
      </c>
      <c r="Q255" s="8" t="s">
        <v>68</v>
      </c>
      <c r="R255" s="8" t="s">
        <v>69</v>
      </c>
      <c r="S255" s="8" t="s">
        <v>70</v>
      </c>
      <c r="T255" s="9">
        <v>24</v>
      </c>
      <c r="U255" s="9">
        <v>1152</v>
      </c>
      <c r="V255" s="8" t="s">
        <v>70</v>
      </c>
      <c r="W255" s="8">
        <v>1358.21</v>
      </c>
      <c r="X255" s="8">
        <v>9</v>
      </c>
      <c r="Y255" s="8">
        <v>103.68</v>
      </c>
      <c r="Z255" s="8">
        <v>9</v>
      </c>
      <c r="AA255" s="8">
        <v>103.68</v>
      </c>
      <c r="AB255" s="8">
        <v>0</v>
      </c>
      <c r="AC255" s="8">
        <v>0</v>
      </c>
      <c r="AD255" s="8">
        <v>0</v>
      </c>
      <c r="AE255" s="8">
        <v>207.36</v>
      </c>
      <c r="AF255" s="8">
        <v>0</v>
      </c>
      <c r="AG255" s="8" t="s">
        <v>74</v>
      </c>
      <c r="AH255" s="8" t="s">
        <v>11</v>
      </c>
      <c r="AI255" s="8">
        <v>73063090</v>
      </c>
      <c r="AJ255" s="8" t="s">
        <v>60</v>
      </c>
      <c r="AK255" s="8">
        <v>1</v>
      </c>
      <c r="AL255" s="8">
        <v>0</v>
      </c>
      <c r="AM255" s="8" t="s">
        <v>1940</v>
      </c>
    </row>
    <row r="256" spans="7:39" ht="12.75" customHeight="1">
      <c r="G256" s="347"/>
      <c r="H256" s="348">
        <v>46363</v>
      </c>
      <c r="I256" s="8" t="s">
        <v>94</v>
      </c>
      <c r="J256" s="8" t="s">
        <v>91</v>
      </c>
      <c r="K256" s="8" t="s">
        <v>2994</v>
      </c>
      <c r="L256" s="8" t="s">
        <v>98</v>
      </c>
      <c r="M256" s="8" t="s">
        <v>2995</v>
      </c>
      <c r="N256" s="7">
        <v>46363</v>
      </c>
      <c r="O256" s="8" t="s">
        <v>13</v>
      </c>
      <c r="P256" s="8" t="s">
        <v>24</v>
      </c>
      <c r="Q256" s="8" t="s">
        <v>79</v>
      </c>
      <c r="R256" s="8" t="s">
        <v>79</v>
      </c>
      <c r="S256" s="8" t="s">
        <v>24</v>
      </c>
      <c r="T256" s="9">
        <v>73</v>
      </c>
      <c r="U256" s="9">
        <v>10912.77</v>
      </c>
      <c r="V256" s="8" t="s">
        <v>24</v>
      </c>
      <c r="W256" s="8">
        <v>193662.67</v>
      </c>
      <c r="X256" s="8">
        <v>9</v>
      </c>
      <c r="Y256" s="8">
        <v>982.15</v>
      </c>
      <c r="Z256" s="8">
        <v>9</v>
      </c>
      <c r="AA256" s="8">
        <v>982.15</v>
      </c>
      <c r="AB256" s="8">
        <v>0</v>
      </c>
      <c r="AC256" s="8">
        <v>0</v>
      </c>
      <c r="AD256" s="8">
        <v>0</v>
      </c>
      <c r="AE256" s="8">
        <v>1964.3</v>
      </c>
      <c r="AF256" s="8">
        <v>0</v>
      </c>
      <c r="AG256" s="8" t="s">
        <v>74</v>
      </c>
      <c r="AH256" s="8" t="s">
        <v>11</v>
      </c>
      <c r="AI256" s="8">
        <v>3926908</v>
      </c>
      <c r="AJ256" s="8" t="s">
        <v>60</v>
      </c>
      <c r="AK256" s="8">
        <v>1</v>
      </c>
      <c r="AL256" s="8">
        <v>0</v>
      </c>
      <c r="AM256" s="8" t="s">
        <v>1940</v>
      </c>
    </row>
    <row r="257" spans="7:39" ht="12.75" customHeight="1">
      <c r="G257" s="347"/>
      <c r="H257" s="348">
        <v>46363</v>
      </c>
      <c r="I257" s="8" t="s">
        <v>94</v>
      </c>
      <c r="J257" s="8" t="s">
        <v>91</v>
      </c>
      <c r="K257" s="8" t="s">
        <v>2994</v>
      </c>
      <c r="L257" s="8" t="s">
        <v>98</v>
      </c>
      <c r="M257" s="8" t="s">
        <v>2995</v>
      </c>
      <c r="N257" s="7">
        <v>46363</v>
      </c>
      <c r="O257" s="8" t="s">
        <v>15</v>
      </c>
      <c r="P257" s="8" t="s">
        <v>2117</v>
      </c>
      <c r="Q257" s="8" t="s">
        <v>2117</v>
      </c>
      <c r="R257" s="8" t="s">
        <v>2117</v>
      </c>
      <c r="S257" s="347" t="s">
        <v>64</v>
      </c>
      <c r="T257" s="9">
        <v>435</v>
      </c>
      <c r="U257" s="9">
        <v>67311.899999999994</v>
      </c>
      <c r="V257" s="8" t="s">
        <v>2117</v>
      </c>
      <c r="W257" s="8">
        <v>0</v>
      </c>
      <c r="X257" s="8">
        <v>9</v>
      </c>
      <c r="Y257" s="8">
        <v>6058.07</v>
      </c>
      <c r="Z257" s="8">
        <v>9</v>
      </c>
      <c r="AA257" s="8">
        <v>6058.07</v>
      </c>
      <c r="AB257" s="8">
        <v>0</v>
      </c>
      <c r="AC257" s="8">
        <v>0</v>
      </c>
      <c r="AD257" s="8">
        <v>0</v>
      </c>
      <c r="AE257" s="8">
        <v>12116.14</v>
      </c>
      <c r="AF257" s="8">
        <v>0</v>
      </c>
      <c r="AG257" s="8" t="s">
        <v>74</v>
      </c>
      <c r="AH257" s="8" t="s">
        <v>11</v>
      </c>
      <c r="AI257" s="8">
        <v>39269080</v>
      </c>
      <c r="AJ257" s="8" t="s">
        <v>60</v>
      </c>
      <c r="AK257" s="8">
        <v>1</v>
      </c>
      <c r="AL257" s="8">
        <v>0</v>
      </c>
      <c r="AM257" s="8" t="s">
        <v>1940</v>
      </c>
    </row>
    <row r="258" spans="7:39" ht="12.75" customHeight="1">
      <c r="G258" s="347"/>
      <c r="H258" s="348">
        <v>46363</v>
      </c>
      <c r="I258" s="8" t="s">
        <v>94</v>
      </c>
      <c r="J258" s="8" t="s">
        <v>91</v>
      </c>
      <c r="K258" s="8" t="s">
        <v>2994</v>
      </c>
      <c r="L258" s="8" t="s">
        <v>98</v>
      </c>
      <c r="M258" s="8" t="s">
        <v>2995</v>
      </c>
      <c r="N258" s="7">
        <v>46363</v>
      </c>
      <c r="O258" s="8" t="s">
        <v>13</v>
      </c>
      <c r="P258" s="8" t="s">
        <v>62</v>
      </c>
      <c r="Q258" s="8" t="s">
        <v>63</v>
      </c>
      <c r="R258" s="8" t="s">
        <v>64</v>
      </c>
      <c r="S258" s="8" t="s">
        <v>19</v>
      </c>
      <c r="T258" s="9">
        <v>556</v>
      </c>
      <c r="U258" s="9">
        <v>86035.44</v>
      </c>
      <c r="V258" s="8" t="s">
        <v>19</v>
      </c>
      <c r="W258" s="8">
        <v>0</v>
      </c>
      <c r="X258" s="8">
        <v>9</v>
      </c>
      <c r="Y258" s="8">
        <v>7743.19</v>
      </c>
      <c r="Z258" s="8">
        <v>9</v>
      </c>
      <c r="AA258" s="8">
        <v>7743.19</v>
      </c>
      <c r="AB258" s="8">
        <v>0</v>
      </c>
      <c r="AC258" s="8">
        <v>0</v>
      </c>
      <c r="AD258" s="8">
        <v>0</v>
      </c>
      <c r="AE258" s="8">
        <v>15486.38</v>
      </c>
      <c r="AF258" s="8">
        <v>0</v>
      </c>
      <c r="AG258" s="8" t="s">
        <v>74</v>
      </c>
      <c r="AH258" s="8" t="s">
        <v>11</v>
      </c>
      <c r="AI258" s="8">
        <v>39269080</v>
      </c>
      <c r="AJ258" s="8" t="s">
        <v>60</v>
      </c>
      <c r="AK258" s="8">
        <v>1</v>
      </c>
      <c r="AL258" s="8">
        <v>0</v>
      </c>
      <c r="AM258" s="8" t="s">
        <v>1940</v>
      </c>
    </row>
    <row r="259" spans="7:39" ht="12.75" customHeight="1">
      <c r="G259" s="347"/>
      <c r="H259" s="348" t="s">
        <v>2996</v>
      </c>
      <c r="I259" s="8" t="s">
        <v>93</v>
      </c>
      <c r="J259" s="8" t="s">
        <v>91</v>
      </c>
      <c r="K259" s="8" t="s">
        <v>2997</v>
      </c>
      <c r="L259" s="8" t="s">
        <v>98</v>
      </c>
      <c r="M259" s="8" t="s">
        <v>2998</v>
      </c>
      <c r="N259" s="7">
        <v>46363</v>
      </c>
      <c r="O259" s="8" t="s">
        <v>13</v>
      </c>
      <c r="P259" s="8" t="s">
        <v>99</v>
      </c>
      <c r="Q259" s="8" t="s">
        <v>100</v>
      </c>
      <c r="R259" s="8" t="s">
        <v>101</v>
      </c>
      <c r="S259" s="8" t="s">
        <v>1617</v>
      </c>
      <c r="T259" s="9">
        <v>920</v>
      </c>
      <c r="U259" s="9">
        <v>141818</v>
      </c>
      <c r="V259" s="8" t="s">
        <v>1617</v>
      </c>
      <c r="W259" s="8">
        <v>441068.92</v>
      </c>
      <c r="X259" s="8">
        <v>2.5</v>
      </c>
      <c r="Y259" s="8">
        <v>3545.45</v>
      </c>
      <c r="Z259" s="8">
        <v>2.5</v>
      </c>
      <c r="AA259" s="8">
        <v>3545.45</v>
      </c>
      <c r="AB259" s="8">
        <v>0</v>
      </c>
      <c r="AC259" s="8">
        <v>0</v>
      </c>
      <c r="AD259" s="8">
        <v>0</v>
      </c>
      <c r="AE259" s="8">
        <v>7090.9</v>
      </c>
      <c r="AF259" s="8">
        <v>0</v>
      </c>
      <c r="AG259" s="8" t="s">
        <v>59</v>
      </c>
      <c r="AH259" s="8" t="s">
        <v>11</v>
      </c>
      <c r="AI259" s="8">
        <v>54026930</v>
      </c>
      <c r="AJ259" s="8" t="s">
        <v>60</v>
      </c>
      <c r="AK259" s="8">
        <v>1</v>
      </c>
      <c r="AL259" s="8">
        <v>0</v>
      </c>
      <c r="AM259" s="8" t="s">
        <v>1940</v>
      </c>
    </row>
    <row r="260" spans="7:39" ht="12.75" customHeight="1">
      <c r="G260" s="347"/>
      <c r="H260" s="348" t="s">
        <v>2996</v>
      </c>
      <c r="I260" s="8" t="s">
        <v>93</v>
      </c>
      <c r="J260" s="8" t="s">
        <v>91</v>
      </c>
      <c r="K260" s="8" t="s">
        <v>2997</v>
      </c>
      <c r="L260" s="8" t="s">
        <v>98</v>
      </c>
      <c r="M260" s="8" t="s">
        <v>2998</v>
      </c>
      <c r="N260" s="7">
        <v>46363</v>
      </c>
      <c r="O260" s="8" t="s">
        <v>13</v>
      </c>
      <c r="P260" s="8" t="s">
        <v>99</v>
      </c>
      <c r="Q260" s="8" t="s">
        <v>100</v>
      </c>
      <c r="R260" s="8" t="s">
        <v>101</v>
      </c>
      <c r="S260" s="8" t="s">
        <v>2585</v>
      </c>
      <c r="T260" s="9">
        <v>485</v>
      </c>
      <c r="U260" s="9">
        <v>73307.75</v>
      </c>
      <c r="V260" s="8" t="s">
        <v>2585</v>
      </c>
      <c r="W260" s="8">
        <v>0</v>
      </c>
      <c r="X260" s="8">
        <v>2.5</v>
      </c>
      <c r="Y260" s="8">
        <v>1832.69</v>
      </c>
      <c r="Z260" s="8">
        <v>2.5</v>
      </c>
      <c r="AA260" s="8">
        <v>1832.69</v>
      </c>
      <c r="AB260" s="8">
        <v>0</v>
      </c>
      <c r="AC260" s="8">
        <v>0</v>
      </c>
      <c r="AD260" s="8">
        <v>0</v>
      </c>
      <c r="AE260" s="8">
        <v>3665.38</v>
      </c>
      <c r="AF260" s="8">
        <v>0</v>
      </c>
      <c r="AG260" s="8" t="s">
        <v>59</v>
      </c>
      <c r="AH260" s="8" t="s">
        <v>11</v>
      </c>
      <c r="AI260" s="8">
        <v>54026930</v>
      </c>
      <c r="AJ260" s="8" t="s">
        <v>60</v>
      </c>
      <c r="AK260" s="8">
        <v>1</v>
      </c>
      <c r="AL260" s="8">
        <v>0</v>
      </c>
      <c r="AM260" s="8" t="s">
        <v>1940</v>
      </c>
    </row>
    <row r="261" spans="7:39" ht="12.75" customHeight="1">
      <c r="G261" s="347"/>
      <c r="H261" s="348" t="s">
        <v>2996</v>
      </c>
      <c r="I261" s="8" t="s">
        <v>93</v>
      </c>
      <c r="J261" s="8" t="s">
        <v>91</v>
      </c>
      <c r="K261" s="8" t="s">
        <v>2997</v>
      </c>
      <c r="L261" s="8" t="s">
        <v>98</v>
      </c>
      <c r="M261" s="8" t="s">
        <v>2998</v>
      </c>
      <c r="N261" s="7">
        <v>46363</v>
      </c>
      <c r="O261" s="8" t="s">
        <v>13</v>
      </c>
      <c r="P261" s="8" t="s">
        <v>62</v>
      </c>
      <c r="Q261" s="8" t="s">
        <v>63</v>
      </c>
      <c r="R261" s="8" t="s">
        <v>64</v>
      </c>
      <c r="S261" s="8" t="s">
        <v>19</v>
      </c>
      <c r="T261" s="9">
        <v>1080.0999999999999</v>
      </c>
      <c r="U261" s="9">
        <v>182698.92</v>
      </c>
      <c r="V261" s="8" t="s">
        <v>19</v>
      </c>
      <c r="W261" s="8">
        <v>0</v>
      </c>
      <c r="X261" s="8">
        <v>9</v>
      </c>
      <c r="Y261" s="8">
        <v>16442.900000000001</v>
      </c>
      <c r="Z261" s="8">
        <v>9</v>
      </c>
      <c r="AA261" s="8">
        <v>16442.900000000001</v>
      </c>
      <c r="AB261" s="8">
        <v>0</v>
      </c>
      <c r="AC261" s="8">
        <v>0</v>
      </c>
      <c r="AD261" s="8">
        <v>0</v>
      </c>
      <c r="AE261" s="8">
        <v>32885.800000000003</v>
      </c>
      <c r="AF261" s="8">
        <v>0</v>
      </c>
      <c r="AG261" s="8" t="s">
        <v>59</v>
      </c>
      <c r="AH261" s="8" t="s">
        <v>11</v>
      </c>
      <c r="AI261" s="8">
        <v>39269080</v>
      </c>
      <c r="AJ261" s="8" t="s">
        <v>60</v>
      </c>
      <c r="AK261" s="8">
        <v>1</v>
      </c>
      <c r="AL261" s="8">
        <v>0</v>
      </c>
      <c r="AM261" s="8" t="s">
        <v>1940</v>
      </c>
    </row>
    <row r="262" spans="7:39" ht="12.75" customHeight="1">
      <c r="G262" s="347"/>
      <c r="H262" s="348" t="s">
        <v>2996</v>
      </c>
      <c r="I262" s="8" t="s">
        <v>93</v>
      </c>
      <c r="J262" s="8" t="s">
        <v>91</v>
      </c>
      <c r="K262" s="8" t="s">
        <v>2999</v>
      </c>
      <c r="L262" s="8" t="s">
        <v>98</v>
      </c>
      <c r="M262" s="8" t="s">
        <v>3000</v>
      </c>
      <c r="N262" s="7">
        <v>46363</v>
      </c>
      <c r="O262" s="8" t="s">
        <v>8</v>
      </c>
      <c r="P262" s="8" t="s">
        <v>110</v>
      </c>
      <c r="Q262" s="8" t="s">
        <v>800</v>
      </c>
      <c r="R262" s="8" t="s">
        <v>800</v>
      </c>
      <c r="S262" s="8" t="s">
        <v>801</v>
      </c>
      <c r="T262" s="9">
        <v>170</v>
      </c>
      <c r="U262" s="9">
        <v>18360</v>
      </c>
      <c r="V262" s="8" t="s">
        <v>801</v>
      </c>
      <c r="W262" s="8">
        <v>21646.44</v>
      </c>
      <c r="X262" s="8">
        <v>9</v>
      </c>
      <c r="Y262" s="8">
        <v>1652.4</v>
      </c>
      <c r="Z262" s="8">
        <v>9</v>
      </c>
      <c r="AA262" s="8">
        <v>1652.4</v>
      </c>
      <c r="AB262" s="8">
        <v>0</v>
      </c>
      <c r="AC262" s="8">
        <v>0</v>
      </c>
      <c r="AD262" s="8">
        <v>0</v>
      </c>
      <c r="AE262" s="8">
        <v>3304.8</v>
      </c>
      <c r="AF262" s="8">
        <v>0</v>
      </c>
      <c r="AG262" s="8" t="s">
        <v>59</v>
      </c>
      <c r="AH262" s="8" t="s">
        <v>11</v>
      </c>
      <c r="AI262" s="8">
        <v>38140010</v>
      </c>
      <c r="AJ262" s="8" t="s">
        <v>60</v>
      </c>
      <c r="AK262" s="8">
        <v>1</v>
      </c>
      <c r="AL262" s="8">
        <v>0</v>
      </c>
      <c r="AM262" s="8" t="s">
        <v>1940</v>
      </c>
    </row>
    <row r="263" spans="7:39" ht="12.75" customHeight="1">
      <c r="G263" s="347"/>
      <c r="H263" s="348" t="s">
        <v>2996</v>
      </c>
      <c r="I263" s="8" t="s">
        <v>87</v>
      </c>
      <c r="J263" s="8" t="s">
        <v>96</v>
      </c>
      <c r="K263" s="8" t="s">
        <v>3001</v>
      </c>
      <c r="L263" s="8" t="s">
        <v>97</v>
      </c>
      <c r="M263" s="8" t="s">
        <v>3002</v>
      </c>
      <c r="N263" s="7" t="s">
        <v>2996</v>
      </c>
      <c r="O263" s="8" t="s">
        <v>2</v>
      </c>
      <c r="P263" s="8" t="s">
        <v>67</v>
      </c>
      <c r="Q263" s="8" t="s">
        <v>68</v>
      </c>
      <c r="R263" s="8" t="s">
        <v>69</v>
      </c>
      <c r="S263" s="8" t="s">
        <v>70</v>
      </c>
      <c r="T263" s="9">
        <v>284</v>
      </c>
      <c r="U263" s="9">
        <v>13632</v>
      </c>
      <c r="V263" s="8" t="s">
        <v>70</v>
      </c>
      <c r="W263" s="8">
        <v>16072.13</v>
      </c>
      <c r="X263" s="8">
        <v>9</v>
      </c>
      <c r="Y263" s="8">
        <v>1226.8800000000001</v>
      </c>
      <c r="Z263" s="8">
        <v>9</v>
      </c>
      <c r="AA263" s="8">
        <v>1226.8800000000001</v>
      </c>
      <c r="AB263" s="8">
        <v>0</v>
      </c>
      <c r="AC263" s="8">
        <v>0</v>
      </c>
      <c r="AD263" s="8">
        <v>0</v>
      </c>
      <c r="AE263" s="8">
        <v>2453.7600000000002</v>
      </c>
      <c r="AF263" s="8">
        <v>0</v>
      </c>
      <c r="AG263" s="8" t="s">
        <v>65</v>
      </c>
      <c r="AH263" s="8" t="s">
        <v>11</v>
      </c>
      <c r="AI263" s="8">
        <v>73063090</v>
      </c>
      <c r="AJ263" s="8" t="s">
        <v>60</v>
      </c>
      <c r="AK263" s="8">
        <v>1</v>
      </c>
      <c r="AL263" s="8">
        <v>0</v>
      </c>
      <c r="AM263" s="8" t="s">
        <v>1940</v>
      </c>
    </row>
    <row r="264" spans="7:39" ht="12.75" customHeight="1">
      <c r="G264" s="347"/>
      <c r="H264" s="348" t="s">
        <v>2996</v>
      </c>
      <c r="I264" s="8" t="s">
        <v>87</v>
      </c>
      <c r="J264" s="8" t="s">
        <v>91</v>
      </c>
      <c r="K264" s="8" t="s">
        <v>3003</v>
      </c>
      <c r="L264" s="8" t="s">
        <v>98</v>
      </c>
      <c r="M264" s="8" t="s">
        <v>3004</v>
      </c>
      <c r="N264" s="7" t="s">
        <v>2996</v>
      </c>
      <c r="O264" s="8" t="s">
        <v>13</v>
      </c>
      <c r="P264" s="8" t="s">
        <v>80</v>
      </c>
      <c r="Q264" s="8" t="s">
        <v>81</v>
      </c>
      <c r="R264" s="8" t="s">
        <v>82</v>
      </c>
      <c r="S264" s="8" t="s">
        <v>17</v>
      </c>
      <c r="T264" s="9">
        <v>4475</v>
      </c>
      <c r="U264" s="9">
        <v>817940.5</v>
      </c>
      <c r="V264" s="8" t="s">
        <v>17</v>
      </c>
      <c r="W264" s="8">
        <v>964351.84</v>
      </c>
      <c r="X264" s="8">
        <v>9</v>
      </c>
      <c r="Y264" s="8">
        <v>73614.64</v>
      </c>
      <c r="Z264" s="8">
        <v>9</v>
      </c>
      <c r="AA264" s="8">
        <v>73614.64</v>
      </c>
      <c r="AB264" s="8">
        <v>0</v>
      </c>
      <c r="AC264" s="8">
        <v>0</v>
      </c>
      <c r="AD264" s="8">
        <v>0</v>
      </c>
      <c r="AE264" s="8">
        <v>147229.28</v>
      </c>
      <c r="AF264" s="8">
        <v>0</v>
      </c>
      <c r="AG264" s="8" t="s">
        <v>65</v>
      </c>
      <c r="AH264" s="8" t="s">
        <v>11</v>
      </c>
      <c r="AI264" s="8">
        <v>39200000</v>
      </c>
      <c r="AJ264" s="8" t="s">
        <v>60</v>
      </c>
      <c r="AK264" s="8">
        <v>1</v>
      </c>
      <c r="AL264" s="8">
        <v>0</v>
      </c>
      <c r="AM264" s="8" t="s">
        <v>1940</v>
      </c>
    </row>
    <row r="265" spans="7:39" ht="12.75" customHeight="1">
      <c r="G265" s="347"/>
      <c r="H265" s="348" t="s">
        <v>2996</v>
      </c>
      <c r="I265" s="8" t="s">
        <v>87</v>
      </c>
      <c r="J265" s="8" t="s">
        <v>91</v>
      </c>
      <c r="K265" s="8" t="s">
        <v>3005</v>
      </c>
      <c r="L265" s="8" t="s">
        <v>98</v>
      </c>
      <c r="M265" s="8" t="s">
        <v>3006</v>
      </c>
      <c r="N265" s="7" t="s">
        <v>2996</v>
      </c>
      <c r="O265" s="8" t="s">
        <v>13</v>
      </c>
      <c r="P265" s="8" t="s">
        <v>62</v>
      </c>
      <c r="Q265" s="8" t="s">
        <v>63</v>
      </c>
      <c r="R265" s="8" t="s">
        <v>64</v>
      </c>
      <c r="S265" s="8" t="s">
        <v>19</v>
      </c>
      <c r="T265" s="9">
        <v>2404</v>
      </c>
      <c r="U265" s="9">
        <v>352161.96</v>
      </c>
      <c r="V265" s="8" t="s">
        <v>19</v>
      </c>
      <c r="W265" s="8">
        <v>2049762.77</v>
      </c>
      <c r="X265" s="8">
        <v>9</v>
      </c>
      <c r="Y265" s="8">
        <v>31694.58</v>
      </c>
      <c r="Z265" s="8">
        <v>9</v>
      </c>
      <c r="AA265" s="8">
        <v>31694.58</v>
      </c>
      <c r="AB265" s="8">
        <v>0</v>
      </c>
      <c r="AC265" s="8">
        <v>0</v>
      </c>
      <c r="AD265" s="8">
        <v>0</v>
      </c>
      <c r="AE265" s="8">
        <v>63389.16</v>
      </c>
      <c r="AF265" s="8">
        <v>0</v>
      </c>
      <c r="AG265" s="8" t="s">
        <v>65</v>
      </c>
      <c r="AH265" s="8" t="s">
        <v>11</v>
      </c>
      <c r="AI265" s="8">
        <v>39269080</v>
      </c>
      <c r="AJ265" s="8" t="s">
        <v>60</v>
      </c>
      <c r="AK265" s="8">
        <v>1</v>
      </c>
      <c r="AL265" s="8">
        <v>0</v>
      </c>
      <c r="AM265" s="8" t="s">
        <v>1940</v>
      </c>
    </row>
    <row r="266" spans="7:39" ht="12.75" customHeight="1">
      <c r="G266" s="347"/>
      <c r="H266" s="348" t="s">
        <v>2996</v>
      </c>
      <c r="I266" s="8" t="s">
        <v>87</v>
      </c>
      <c r="J266" s="8" t="s">
        <v>91</v>
      </c>
      <c r="K266" s="8" t="s">
        <v>3005</v>
      </c>
      <c r="L266" s="8" t="s">
        <v>98</v>
      </c>
      <c r="M266" s="8" t="s">
        <v>3006</v>
      </c>
      <c r="N266" s="7" t="s">
        <v>2996</v>
      </c>
      <c r="O266" s="8" t="s">
        <v>13</v>
      </c>
      <c r="P266" s="8" t="s">
        <v>62</v>
      </c>
      <c r="Q266" s="8" t="s">
        <v>63</v>
      </c>
      <c r="R266" s="8" t="s">
        <v>64</v>
      </c>
      <c r="S266" s="8" t="s">
        <v>19</v>
      </c>
      <c r="T266" s="9">
        <v>242</v>
      </c>
      <c r="U266" s="9">
        <v>35692.58</v>
      </c>
      <c r="V266" s="8" t="s">
        <v>19</v>
      </c>
      <c r="W266" s="8">
        <v>0</v>
      </c>
      <c r="X266" s="8">
        <v>9</v>
      </c>
      <c r="Y266" s="8">
        <v>3212.33</v>
      </c>
      <c r="Z266" s="8">
        <v>9</v>
      </c>
      <c r="AA266" s="8">
        <v>3212.33</v>
      </c>
      <c r="AB266" s="8">
        <v>0</v>
      </c>
      <c r="AC266" s="8">
        <v>0</v>
      </c>
      <c r="AD266" s="8">
        <v>0</v>
      </c>
      <c r="AE266" s="8">
        <v>6424.66</v>
      </c>
      <c r="AF266" s="8">
        <v>0</v>
      </c>
      <c r="AG266" s="8" t="s">
        <v>65</v>
      </c>
      <c r="AH266" s="8" t="s">
        <v>11</v>
      </c>
      <c r="AI266" s="8">
        <v>39269080</v>
      </c>
      <c r="AJ266" s="8" t="s">
        <v>60</v>
      </c>
      <c r="AK266" s="8">
        <v>1</v>
      </c>
      <c r="AL266" s="8">
        <v>0</v>
      </c>
      <c r="AM266" s="8" t="s">
        <v>1940</v>
      </c>
    </row>
    <row r="267" spans="7:39" ht="12.75" customHeight="1">
      <c r="G267" s="347"/>
      <c r="H267" s="348" t="s">
        <v>2996</v>
      </c>
      <c r="I267" s="8" t="s">
        <v>87</v>
      </c>
      <c r="J267" s="8" t="s">
        <v>91</v>
      </c>
      <c r="K267" s="8" t="s">
        <v>3005</v>
      </c>
      <c r="L267" s="8" t="s">
        <v>98</v>
      </c>
      <c r="M267" s="8" t="s">
        <v>3006</v>
      </c>
      <c r="N267" s="7" t="s">
        <v>2996</v>
      </c>
      <c r="O267" s="8" t="s">
        <v>13</v>
      </c>
      <c r="P267" s="8" t="s">
        <v>62</v>
      </c>
      <c r="Q267" s="8" t="s">
        <v>63</v>
      </c>
      <c r="R267" s="8" t="s">
        <v>64</v>
      </c>
      <c r="S267" s="8" t="s">
        <v>19</v>
      </c>
      <c r="T267" s="9">
        <v>5911</v>
      </c>
      <c r="U267" s="9">
        <v>854080.39</v>
      </c>
      <c r="V267" s="8" t="s">
        <v>19</v>
      </c>
      <c r="W267" s="8">
        <v>0</v>
      </c>
      <c r="X267" s="8">
        <v>9</v>
      </c>
      <c r="Y267" s="8">
        <v>76867.240000000005</v>
      </c>
      <c r="Z267" s="8">
        <v>9</v>
      </c>
      <c r="AA267" s="8">
        <v>76867.240000000005</v>
      </c>
      <c r="AB267" s="8">
        <v>0</v>
      </c>
      <c r="AC267" s="8">
        <v>0</v>
      </c>
      <c r="AD267" s="8">
        <v>0</v>
      </c>
      <c r="AE267" s="8">
        <v>153734.48000000001</v>
      </c>
      <c r="AF267" s="8">
        <v>0</v>
      </c>
      <c r="AG267" s="8" t="s">
        <v>65</v>
      </c>
      <c r="AH267" s="8" t="s">
        <v>11</v>
      </c>
      <c r="AI267" s="8">
        <v>39269080</v>
      </c>
      <c r="AJ267" s="8" t="s">
        <v>60</v>
      </c>
      <c r="AK267" s="8">
        <v>1</v>
      </c>
      <c r="AL267" s="8">
        <v>0</v>
      </c>
      <c r="AM267" s="8" t="s">
        <v>1940</v>
      </c>
    </row>
    <row r="268" spans="7:39" ht="12.75" customHeight="1">
      <c r="G268" s="347"/>
      <c r="H268" s="348" t="s">
        <v>2996</v>
      </c>
      <c r="I268" s="8" t="s">
        <v>87</v>
      </c>
      <c r="J268" s="8" t="s">
        <v>91</v>
      </c>
      <c r="K268" s="8" t="s">
        <v>3005</v>
      </c>
      <c r="L268" s="8" t="s">
        <v>98</v>
      </c>
      <c r="M268" s="8" t="s">
        <v>3006</v>
      </c>
      <c r="N268" s="7" t="s">
        <v>2996</v>
      </c>
      <c r="O268" s="8" t="s">
        <v>13</v>
      </c>
      <c r="P268" s="8" t="s">
        <v>62</v>
      </c>
      <c r="Q268" s="8" t="s">
        <v>76</v>
      </c>
      <c r="R268" s="8" t="s">
        <v>77</v>
      </c>
      <c r="S268" s="8" t="s">
        <v>21</v>
      </c>
      <c r="T268" s="9">
        <v>775</v>
      </c>
      <c r="U268" s="9">
        <v>117404.75</v>
      </c>
      <c r="V268" s="8" t="s">
        <v>21</v>
      </c>
      <c r="W268" s="8">
        <v>0</v>
      </c>
      <c r="X268" s="8">
        <v>9</v>
      </c>
      <c r="Y268" s="8">
        <v>10566.43</v>
      </c>
      <c r="Z268" s="8">
        <v>9</v>
      </c>
      <c r="AA268" s="8">
        <v>10566.43</v>
      </c>
      <c r="AB268" s="8">
        <v>0</v>
      </c>
      <c r="AC268" s="8">
        <v>0</v>
      </c>
      <c r="AD268" s="8">
        <v>0</v>
      </c>
      <c r="AE268" s="8">
        <v>21132.86</v>
      </c>
      <c r="AF268" s="8">
        <v>0</v>
      </c>
      <c r="AG268" s="8" t="s">
        <v>65</v>
      </c>
      <c r="AH268" s="8" t="s">
        <v>11</v>
      </c>
      <c r="AI268" s="8">
        <v>63053300</v>
      </c>
      <c r="AJ268" s="8" t="s">
        <v>60</v>
      </c>
      <c r="AK268" s="8">
        <v>1</v>
      </c>
      <c r="AL268" s="8">
        <v>0</v>
      </c>
      <c r="AM268" s="8" t="s">
        <v>1940</v>
      </c>
    </row>
    <row r="269" spans="7:39" ht="12.75" customHeight="1">
      <c r="G269" s="347"/>
      <c r="H269" s="348" t="s">
        <v>2996</v>
      </c>
      <c r="I269" s="8" t="s">
        <v>87</v>
      </c>
      <c r="J269" s="8" t="s">
        <v>91</v>
      </c>
      <c r="K269" s="8" t="s">
        <v>3005</v>
      </c>
      <c r="L269" s="8" t="s">
        <v>98</v>
      </c>
      <c r="M269" s="8" t="s">
        <v>3006</v>
      </c>
      <c r="N269" s="7" t="s">
        <v>2996</v>
      </c>
      <c r="O269" s="8" t="s">
        <v>13</v>
      </c>
      <c r="P269" s="8" t="s">
        <v>62</v>
      </c>
      <c r="Q269" s="8" t="s">
        <v>76</v>
      </c>
      <c r="R269" s="8" t="s">
        <v>77</v>
      </c>
      <c r="S269" s="8" t="s">
        <v>21</v>
      </c>
      <c r="T269" s="9">
        <v>246</v>
      </c>
      <c r="U269" s="9">
        <v>36528.54</v>
      </c>
      <c r="V269" s="8" t="s">
        <v>21</v>
      </c>
      <c r="W269" s="8">
        <v>0</v>
      </c>
      <c r="X269" s="8">
        <v>9</v>
      </c>
      <c r="Y269" s="8">
        <v>3287.57</v>
      </c>
      <c r="Z269" s="8">
        <v>9</v>
      </c>
      <c r="AA269" s="8">
        <v>3287.57</v>
      </c>
      <c r="AB269" s="8">
        <v>0</v>
      </c>
      <c r="AC269" s="8">
        <v>0</v>
      </c>
      <c r="AD269" s="8">
        <v>0</v>
      </c>
      <c r="AE269" s="8">
        <v>6575.14</v>
      </c>
      <c r="AF269" s="8">
        <v>0</v>
      </c>
      <c r="AG269" s="8" t="s">
        <v>65</v>
      </c>
      <c r="AH269" s="8" t="s">
        <v>11</v>
      </c>
      <c r="AI269" s="8">
        <v>63053300</v>
      </c>
      <c r="AJ269" s="8" t="s">
        <v>60</v>
      </c>
      <c r="AK269" s="8">
        <v>1</v>
      </c>
      <c r="AL269" s="8">
        <v>0</v>
      </c>
      <c r="AM269" s="8" t="s">
        <v>1940</v>
      </c>
    </row>
    <row r="270" spans="7:39" ht="12.75" customHeight="1">
      <c r="G270" s="347"/>
      <c r="H270" s="348" t="s">
        <v>2996</v>
      </c>
      <c r="I270" s="8" t="s">
        <v>87</v>
      </c>
      <c r="J270" s="8" t="s">
        <v>91</v>
      </c>
      <c r="K270" s="8" t="s">
        <v>3005</v>
      </c>
      <c r="L270" s="8" t="s">
        <v>98</v>
      </c>
      <c r="M270" s="8" t="s">
        <v>3006</v>
      </c>
      <c r="N270" s="7" t="s">
        <v>2996</v>
      </c>
      <c r="O270" s="8" t="s">
        <v>13</v>
      </c>
      <c r="P270" s="8" t="s">
        <v>24</v>
      </c>
      <c r="Q270" s="8" t="s">
        <v>79</v>
      </c>
      <c r="R270" s="8" t="s">
        <v>79</v>
      </c>
      <c r="S270" s="8" t="s">
        <v>24</v>
      </c>
      <c r="T270" s="9">
        <v>1501.8</v>
      </c>
      <c r="U270" s="9">
        <v>224504.08</v>
      </c>
      <c r="V270" s="8" t="s">
        <v>24</v>
      </c>
      <c r="W270" s="8">
        <v>0</v>
      </c>
      <c r="X270" s="8">
        <v>9</v>
      </c>
      <c r="Y270" s="8">
        <v>20205.37</v>
      </c>
      <c r="Z270" s="8">
        <v>9</v>
      </c>
      <c r="AA270" s="8">
        <v>20205.37</v>
      </c>
      <c r="AB270" s="8">
        <v>0</v>
      </c>
      <c r="AC270" s="8">
        <v>0</v>
      </c>
      <c r="AD270" s="8">
        <v>0</v>
      </c>
      <c r="AE270" s="8">
        <v>40410.74</v>
      </c>
      <c r="AF270" s="8">
        <v>0</v>
      </c>
      <c r="AG270" s="8" t="s">
        <v>65</v>
      </c>
      <c r="AH270" s="8" t="s">
        <v>11</v>
      </c>
      <c r="AI270" s="8">
        <v>3926908</v>
      </c>
      <c r="AJ270" s="8" t="s">
        <v>60</v>
      </c>
      <c r="AK270" s="8">
        <v>1</v>
      </c>
      <c r="AL270" s="8">
        <v>0</v>
      </c>
      <c r="AM270" s="8" t="s">
        <v>1940</v>
      </c>
    </row>
    <row r="271" spans="7:39" ht="12.75" customHeight="1">
      <c r="G271" s="347"/>
      <c r="H271" s="348" t="s">
        <v>2996</v>
      </c>
      <c r="I271" s="8" t="s">
        <v>87</v>
      </c>
      <c r="J271" s="8" t="s">
        <v>91</v>
      </c>
      <c r="K271" s="8" t="s">
        <v>3005</v>
      </c>
      <c r="L271" s="8" t="s">
        <v>98</v>
      </c>
      <c r="M271" s="8" t="s">
        <v>3006</v>
      </c>
      <c r="N271" s="7" t="s">
        <v>2996</v>
      </c>
      <c r="O271" s="8" t="s">
        <v>13</v>
      </c>
      <c r="P271" s="8" t="s">
        <v>24</v>
      </c>
      <c r="Q271" s="8" t="s">
        <v>79</v>
      </c>
      <c r="R271" s="8" t="s">
        <v>79</v>
      </c>
      <c r="S271" s="8" t="s">
        <v>24</v>
      </c>
      <c r="T271" s="9">
        <v>806.8</v>
      </c>
      <c r="U271" s="9">
        <v>118188.13</v>
      </c>
      <c r="V271" s="8" t="s">
        <v>24</v>
      </c>
      <c r="W271" s="8">
        <v>0</v>
      </c>
      <c r="X271" s="8">
        <v>9</v>
      </c>
      <c r="Y271" s="8">
        <v>10636.93</v>
      </c>
      <c r="Z271" s="8">
        <v>9</v>
      </c>
      <c r="AA271" s="8">
        <v>10636.93</v>
      </c>
      <c r="AB271" s="8">
        <v>0</v>
      </c>
      <c r="AC271" s="8">
        <v>0</v>
      </c>
      <c r="AD271" s="8">
        <v>0</v>
      </c>
      <c r="AE271" s="8">
        <v>21273.86</v>
      </c>
      <c r="AF271" s="8">
        <v>0</v>
      </c>
      <c r="AG271" s="8" t="s">
        <v>65</v>
      </c>
      <c r="AH271" s="8" t="s">
        <v>11</v>
      </c>
      <c r="AI271" s="8">
        <v>3926908</v>
      </c>
      <c r="AJ271" s="8" t="s">
        <v>60</v>
      </c>
      <c r="AK271" s="8">
        <v>1</v>
      </c>
      <c r="AL271" s="8">
        <v>0</v>
      </c>
      <c r="AM271" s="8" t="s">
        <v>1940</v>
      </c>
    </row>
    <row r="272" spans="7:39" ht="12.75" customHeight="1">
      <c r="G272" s="347"/>
      <c r="H272" s="348" t="s">
        <v>2996</v>
      </c>
      <c r="I272" s="8" t="s">
        <v>89</v>
      </c>
      <c r="J272" s="8" t="s">
        <v>96</v>
      </c>
      <c r="K272" s="8" t="s">
        <v>3007</v>
      </c>
      <c r="L272" s="8" t="s">
        <v>97</v>
      </c>
      <c r="M272" s="8" t="s">
        <v>3008</v>
      </c>
      <c r="N272" s="7">
        <v>46363</v>
      </c>
      <c r="O272" s="8" t="s">
        <v>2</v>
      </c>
      <c r="P272" s="8" t="s">
        <v>67</v>
      </c>
      <c r="Q272" s="8" t="s">
        <v>68</v>
      </c>
      <c r="R272" s="8" t="s">
        <v>69</v>
      </c>
      <c r="S272" s="8" t="s">
        <v>70</v>
      </c>
      <c r="T272" s="9">
        <v>19</v>
      </c>
      <c r="U272" s="9">
        <v>912</v>
      </c>
      <c r="V272" s="8" t="s">
        <v>70</v>
      </c>
      <c r="W272" s="8">
        <v>1075.25</v>
      </c>
      <c r="X272" s="8">
        <v>9</v>
      </c>
      <c r="Y272" s="8">
        <v>82.08</v>
      </c>
      <c r="Z272" s="8">
        <v>9</v>
      </c>
      <c r="AA272" s="8">
        <v>82.08</v>
      </c>
      <c r="AB272" s="8">
        <v>0</v>
      </c>
      <c r="AC272" s="8">
        <v>0</v>
      </c>
      <c r="AD272" s="8">
        <v>0</v>
      </c>
      <c r="AE272" s="8">
        <v>164.16</v>
      </c>
      <c r="AF272" s="8">
        <v>0</v>
      </c>
      <c r="AG272" s="8" t="s">
        <v>65</v>
      </c>
      <c r="AH272" s="8" t="s">
        <v>11</v>
      </c>
      <c r="AI272" s="8">
        <v>73063090</v>
      </c>
      <c r="AJ272" s="8" t="s">
        <v>60</v>
      </c>
      <c r="AK272" s="8">
        <v>1</v>
      </c>
      <c r="AL272" s="8">
        <v>0</v>
      </c>
      <c r="AM272" s="8" t="s">
        <v>1940</v>
      </c>
    </row>
    <row r="273" spans="7:39" ht="12.75" customHeight="1">
      <c r="G273" s="347"/>
      <c r="H273" s="348" t="s">
        <v>2996</v>
      </c>
      <c r="I273" s="8" t="s">
        <v>89</v>
      </c>
      <c r="J273" s="8" t="s">
        <v>91</v>
      </c>
      <c r="K273" s="8" t="s">
        <v>3009</v>
      </c>
      <c r="L273" s="8" t="s">
        <v>98</v>
      </c>
      <c r="M273" s="8" t="s">
        <v>3010</v>
      </c>
      <c r="N273" s="7">
        <v>46363</v>
      </c>
      <c r="O273" s="8" t="s">
        <v>13</v>
      </c>
      <c r="P273" s="8" t="s">
        <v>62</v>
      </c>
      <c r="Q273" s="8" t="s">
        <v>63</v>
      </c>
      <c r="R273" s="8" t="s">
        <v>64</v>
      </c>
      <c r="S273" s="8" t="s">
        <v>19</v>
      </c>
      <c r="T273" s="9">
        <v>914</v>
      </c>
      <c r="U273" s="9">
        <v>102002.4</v>
      </c>
      <c r="V273" s="8" t="s">
        <v>19</v>
      </c>
      <c r="W273" s="8">
        <v>120260.84</v>
      </c>
      <c r="X273" s="8">
        <v>9</v>
      </c>
      <c r="Y273" s="8">
        <v>9180.2199999999993</v>
      </c>
      <c r="Z273" s="8">
        <v>9</v>
      </c>
      <c r="AA273" s="8">
        <v>9180.2199999999993</v>
      </c>
      <c r="AB273" s="8">
        <v>0</v>
      </c>
      <c r="AC273" s="8">
        <v>0</v>
      </c>
      <c r="AD273" s="8">
        <v>0</v>
      </c>
      <c r="AE273" s="8">
        <v>18360.439999999999</v>
      </c>
      <c r="AF273" s="8">
        <v>0</v>
      </c>
      <c r="AG273" s="8" t="s">
        <v>65</v>
      </c>
      <c r="AH273" s="8" t="s">
        <v>11</v>
      </c>
      <c r="AI273" s="8">
        <v>39269080</v>
      </c>
      <c r="AJ273" s="8" t="s">
        <v>60</v>
      </c>
      <c r="AK273" s="8">
        <v>1</v>
      </c>
      <c r="AL273" s="8">
        <v>0</v>
      </c>
      <c r="AM273" s="8" t="s">
        <v>1940</v>
      </c>
    </row>
    <row r="274" spans="7:39" ht="12.75" customHeight="1">
      <c r="G274" s="347"/>
      <c r="H274" s="348" t="s">
        <v>2996</v>
      </c>
      <c r="I274" s="8" t="s">
        <v>94</v>
      </c>
      <c r="J274" s="8" t="s">
        <v>91</v>
      </c>
      <c r="K274" s="8" t="s">
        <v>3011</v>
      </c>
      <c r="L274" s="8" t="s">
        <v>98</v>
      </c>
      <c r="M274" s="8" t="s">
        <v>3012</v>
      </c>
      <c r="N274" s="7" t="s">
        <v>2996</v>
      </c>
      <c r="O274" s="8" t="s">
        <v>8</v>
      </c>
      <c r="P274" s="8" t="s">
        <v>110</v>
      </c>
      <c r="Q274" s="8" t="s">
        <v>800</v>
      </c>
      <c r="R274" s="8" t="s">
        <v>800</v>
      </c>
      <c r="S274" s="8" t="s">
        <v>801</v>
      </c>
      <c r="T274" s="9">
        <v>170</v>
      </c>
      <c r="U274" s="9">
        <v>47940</v>
      </c>
      <c r="V274" s="8" t="s">
        <v>801</v>
      </c>
      <c r="W274" s="8">
        <v>56521.26</v>
      </c>
      <c r="X274" s="8">
        <v>9</v>
      </c>
      <c r="Y274" s="8">
        <v>4314.6000000000004</v>
      </c>
      <c r="Z274" s="8">
        <v>9</v>
      </c>
      <c r="AA274" s="8">
        <v>4314.6000000000004</v>
      </c>
      <c r="AB274" s="8">
        <v>0</v>
      </c>
      <c r="AC274" s="8">
        <v>0</v>
      </c>
      <c r="AD274" s="8">
        <v>0</v>
      </c>
      <c r="AE274" s="8">
        <v>8629.2000000000007</v>
      </c>
      <c r="AF274" s="8">
        <v>0</v>
      </c>
      <c r="AG274" s="8" t="s">
        <v>74</v>
      </c>
      <c r="AH274" s="8" t="s">
        <v>11</v>
      </c>
      <c r="AI274" s="8">
        <v>38140010</v>
      </c>
      <c r="AJ274" s="8" t="s">
        <v>60</v>
      </c>
      <c r="AK274" s="8">
        <v>1</v>
      </c>
      <c r="AL274" s="8">
        <v>0</v>
      </c>
      <c r="AM274" s="8" t="s">
        <v>1940</v>
      </c>
    </row>
    <row r="275" spans="7:39" ht="12.75" customHeight="1">
      <c r="G275" s="347"/>
      <c r="H275" s="348" t="s">
        <v>3013</v>
      </c>
      <c r="I275" s="8" t="s">
        <v>87</v>
      </c>
      <c r="J275" s="8" t="s">
        <v>96</v>
      </c>
      <c r="K275" s="8" t="s">
        <v>3014</v>
      </c>
      <c r="L275" s="8" t="s">
        <v>97</v>
      </c>
      <c r="M275" s="8" t="s">
        <v>3015</v>
      </c>
      <c r="N275" s="7" t="s">
        <v>3013</v>
      </c>
      <c r="O275" s="8" t="s">
        <v>2</v>
      </c>
      <c r="P275" s="8" t="s">
        <v>67</v>
      </c>
      <c r="Q275" s="8" t="s">
        <v>68</v>
      </c>
      <c r="R275" s="8" t="s">
        <v>69</v>
      </c>
      <c r="S275" s="8" t="s">
        <v>70</v>
      </c>
      <c r="T275" s="9">
        <v>528</v>
      </c>
      <c r="U275" s="9">
        <v>25344</v>
      </c>
      <c r="V275" s="8" t="s">
        <v>70</v>
      </c>
      <c r="W275" s="8">
        <v>29880.58</v>
      </c>
      <c r="X275" s="8">
        <v>9</v>
      </c>
      <c r="Y275" s="8">
        <v>2280.96</v>
      </c>
      <c r="Z275" s="8">
        <v>9</v>
      </c>
      <c r="AA275" s="8">
        <v>2280.96</v>
      </c>
      <c r="AB275" s="8">
        <v>0</v>
      </c>
      <c r="AC275" s="8">
        <v>0</v>
      </c>
      <c r="AD275" s="8">
        <v>0</v>
      </c>
      <c r="AE275" s="8">
        <v>4561.92</v>
      </c>
      <c r="AF275" s="8">
        <v>0</v>
      </c>
      <c r="AG275" s="8" t="s">
        <v>65</v>
      </c>
      <c r="AH275" s="8" t="s">
        <v>11</v>
      </c>
      <c r="AI275" s="8">
        <v>73063090</v>
      </c>
      <c r="AJ275" s="8" t="s">
        <v>60</v>
      </c>
      <c r="AK275" s="8">
        <v>1</v>
      </c>
      <c r="AL275" s="8">
        <v>0</v>
      </c>
      <c r="AM275" s="8" t="s">
        <v>1940</v>
      </c>
    </row>
    <row r="276" spans="7:39" ht="12.75" customHeight="1">
      <c r="G276" s="347"/>
      <c r="H276" s="348" t="s">
        <v>3013</v>
      </c>
      <c r="I276" s="8" t="s">
        <v>87</v>
      </c>
      <c r="J276" s="8" t="s">
        <v>91</v>
      </c>
      <c r="K276" s="8" t="s">
        <v>3016</v>
      </c>
      <c r="L276" s="8" t="s">
        <v>98</v>
      </c>
      <c r="M276" s="8" t="s">
        <v>3017</v>
      </c>
      <c r="N276" s="7" t="s">
        <v>3013</v>
      </c>
      <c r="O276" s="8" t="s">
        <v>13</v>
      </c>
      <c r="P276" s="8" t="s">
        <v>62</v>
      </c>
      <c r="Q276" s="8" t="s">
        <v>76</v>
      </c>
      <c r="R276" s="8" t="s">
        <v>77</v>
      </c>
      <c r="S276" s="8" t="s">
        <v>21</v>
      </c>
      <c r="T276" s="9">
        <v>1722</v>
      </c>
      <c r="U276" s="9">
        <v>260865.78</v>
      </c>
      <c r="V276" s="8" t="s">
        <v>21</v>
      </c>
      <c r="W276" s="8">
        <v>307560.75</v>
      </c>
      <c r="X276" s="8">
        <v>9</v>
      </c>
      <c r="Y276" s="8">
        <v>23477.919999999998</v>
      </c>
      <c r="Z276" s="8">
        <v>9</v>
      </c>
      <c r="AA276" s="8">
        <v>23477.919999999998</v>
      </c>
      <c r="AB276" s="8">
        <v>0</v>
      </c>
      <c r="AC276" s="8">
        <v>0</v>
      </c>
      <c r="AD276" s="8">
        <v>0</v>
      </c>
      <c r="AE276" s="8">
        <v>46955.839999999997</v>
      </c>
      <c r="AF276" s="8">
        <v>0</v>
      </c>
      <c r="AG276" s="8" t="s">
        <v>65</v>
      </c>
      <c r="AH276" s="8" t="s">
        <v>11</v>
      </c>
      <c r="AI276" s="8">
        <v>63053300</v>
      </c>
      <c r="AJ276" s="8" t="s">
        <v>60</v>
      </c>
      <c r="AK276" s="8">
        <v>1</v>
      </c>
      <c r="AL276" s="8">
        <v>0</v>
      </c>
      <c r="AM276" s="8" t="s">
        <v>1940</v>
      </c>
    </row>
    <row r="277" spans="7:39" ht="12.75" customHeight="1">
      <c r="G277" s="347"/>
      <c r="H277" s="348" t="s">
        <v>3013</v>
      </c>
      <c r="I277" s="8" t="s">
        <v>87</v>
      </c>
      <c r="J277" s="8" t="s">
        <v>91</v>
      </c>
      <c r="K277" s="8" t="s">
        <v>3018</v>
      </c>
      <c r="L277" s="8" t="s">
        <v>98</v>
      </c>
      <c r="M277" s="8" t="s">
        <v>3019</v>
      </c>
      <c r="N277" s="7" t="s">
        <v>3013</v>
      </c>
      <c r="O277" s="8" t="s">
        <v>13</v>
      </c>
      <c r="P277" s="8" t="s">
        <v>80</v>
      </c>
      <c r="Q277" s="8" t="s">
        <v>81</v>
      </c>
      <c r="R277" s="8" t="s">
        <v>82</v>
      </c>
      <c r="S277" s="8" t="s">
        <v>17</v>
      </c>
      <c r="T277" s="9">
        <v>1655</v>
      </c>
      <c r="U277" s="9">
        <v>302500.90000000002</v>
      </c>
      <c r="V277" s="8" t="s">
        <v>17</v>
      </c>
      <c r="W277" s="8">
        <v>639141.39</v>
      </c>
      <c r="X277" s="8">
        <v>9</v>
      </c>
      <c r="Y277" s="8">
        <v>27225.08</v>
      </c>
      <c r="Z277" s="8">
        <v>9</v>
      </c>
      <c r="AA277" s="8">
        <v>27225.08</v>
      </c>
      <c r="AB277" s="8">
        <v>0</v>
      </c>
      <c r="AC277" s="8">
        <v>0</v>
      </c>
      <c r="AD277" s="8">
        <v>0</v>
      </c>
      <c r="AE277" s="8">
        <v>54450.16</v>
      </c>
      <c r="AF277" s="8">
        <v>0</v>
      </c>
      <c r="AG277" s="8" t="s">
        <v>65</v>
      </c>
      <c r="AH277" s="8" t="s">
        <v>11</v>
      </c>
      <c r="AI277" s="8">
        <v>39200000</v>
      </c>
      <c r="AJ277" s="8" t="s">
        <v>60</v>
      </c>
      <c r="AK277" s="8">
        <v>1</v>
      </c>
      <c r="AL277" s="8">
        <v>0</v>
      </c>
      <c r="AM277" s="8" t="s">
        <v>1940</v>
      </c>
    </row>
    <row r="278" spans="7:39" ht="12.75" customHeight="1">
      <c r="G278" s="347"/>
      <c r="H278" s="348" t="s">
        <v>3013</v>
      </c>
      <c r="I278" s="8" t="s">
        <v>87</v>
      </c>
      <c r="J278" s="8" t="s">
        <v>91</v>
      </c>
      <c r="K278" s="8" t="s">
        <v>3018</v>
      </c>
      <c r="L278" s="8" t="s">
        <v>98</v>
      </c>
      <c r="M278" s="8" t="s">
        <v>3019</v>
      </c>
      <c r="N278" s="7" t="s">
        <v>3013</v>
      </c>
      <c r="O278" s="8" t="s">
        <v>13</v>
      </c>
      <c r="P278" s="8" t="s">
        <v>24</v>
      </c>
      <c r="Q278" s="8" t="s">
        <v>79</v>
      </c>
      <c r="R278" s="8" t="s">
        <v>79</v>
      </c>
      <c r="S278" s="8" t="s">
        <v>24</v>
      </c>
      <c r="T278" s="9">
        <v>768.2</v>
      </c>
      <c r="U278" s="9">
        <v>114838.22</v>
      </c>
      <c r="V278" s="8" t="s">
        <v>24</v>
      </c>
      <c r="W278" s="8">
        <v>0</v>
      </c>
      <c r="X278" s="8">
        <v>9</v>
      </c>
      <c r="Y278" s="8">
        <v>10335.44</v>
      </c>
      <c r="Z278" s="8">
        <v>9</v>
      </c>
      <c r="AA278" s="8">
        <v>10335.44</v>
      </c>
      <c r="AB278" s="8">
        <v>0</v>
      </c>
      <c r="AC278" s="8">
        <v>0</v>
      </c>
      <c r="AD278" s="8">
        <v>0</v>
      </c>
      <c r="AE278" s="8">
        <v>20670.88</v>
      </c>
      <c r="AF278" s="8">
        <v>0</v>
      </c>
      <c r="AG278" s="8" t="s">
        <v>65</v>
      </c>
      <c r="AH278" s="8" t="s">
        <v>11</v>
      </c>
      <c r="AI278" s="8">
        <v>3926908</v>
      </c>
      <c r="AJ278" s="8" t="s">
        <v>60</v>
      </c>
      <c r="AK278" s="8">
        <v>1</v>
      </c>
      <c r="AL278" s="8">
        <v>0</v>
      </c>
      <c r="AM278" s="8" t="s">
        <v>1940</v>
      </c>
    </row>
    <row r="279" spans="7:39" ht="12.75" customHeight="1">
      <c r="G279" s="347"/>
      <c r="H279" s="348" t="s">
        <v>3013</v>
      </c>
      <c r="I279" s="8" t="s">
        <v>87</v>
      </c>
      <c r="J279" s="8" t="s">
        <v>91</v>
      </c>
      <c r="K279" s="8" t="s">
        <v>3018</v>
      </c>
      <c r="L279" s="8" t="s">
        <v>98</v>
      </c>
      <c r="M279" s="8" t="s">
        <v>3019</v>
      </c>
      <c r="N279" s="7" t="s">
        <v>3013</v>
      </c>
      <c r="O279" s="8" t="s">
        <v>13</v>
      </c>
      <c r="P279" s="8" t="s">
        <v>24</v>
      </c>
      <c r="Q279" s="8" t="s">
        <v>79</v>
      </c>
      <c r="R279" s="8" t="s">
        <v>79</v>
      </c>
      <c r="S279" s="8" t="s">
        <v>24</v>
      </c>
      <c r="T279" s="9">
        <v>851.7</v>
      </c>
      <c r="U279" s="9">
        <v>124765.53</v>
      </c>
      <c r="V279" s="8" t="s">
        <v>24</v>
      </c>
      <c r="W279" s="8">
        <v>0</v>
      </c>
      <c r="X279" s="8">
        <v>9</v>
      </c>
      <c r="Y279" s="8">
        <v>11228.9</v>
      </c>
      <c r="Z279" s="8">
        <v>9</v>
      </c>
      <c r="AA279" s="8">
        <v>11228.9</v>
      </c>
      <c r="AB279" s="8">
        <v>0</v>
      </c>
      <c r="AC279" s="8">
        <v>0</v>
      </c>
      <c r="AD279" s="8">
        <v>0</v>
      </c>
      <c r="AE279" s="8">
        <v>22457.8</v>
      </c>
      <c r="AF279" s="8">
        <v>0</v>
      </c>
      <c r="AG279" s="8" t="s">
        <v>65</v>
      </c>
      <c r="AH279" s="8" t="s">
        <v>11</v>
      </c>
      <c r="AI279" s="8">
        <v>3926908</v>
      </c>
      <c r="AJ279" s="8" t="s">
        <v>60</v>
      </c>
      <c r="AK279" s="8">
        <v>1</v>
      </c>
      <c r="AL279" s="8">
        <v>0</v>
      </c>
      <c r="AM279" s="8" t="s">
        <v>1940</v>
      </c>
    </row>
    <row r="280" spans="7:39" ht="12.75" customHeight="1">
      <c r="G280" s="347"/>
      <c r="H280" s="348" t="s">
        <v>3013</v>
      </c>
      <c r="I280" s="8" t="s">
        <v>87</v>
      </c>
      <c r="J280" s="8" t="s">
        <v>91</v>
      </c>
      <c r="K280" s="8" t="s">
        <v>3020</v>
      </c>
      <c r="L280" s="8" t="s">
        <v>98</v>
      </c>
      <c r="M280" s="8" t="s">
        <v>3021</v>
      </c>
      <c r="N280" s="7" t="s">
        <v>3013</v>
      </c>
      <c r="O280" s="8" t="s">
        <v>13</v>
      </c>
      <c r="P280" s="8" t="s">
        <v>62</v>
      </c>
      <c r="Q280" s="8" t="s">
        <v>63</v>
      </c>
      <c r="R280" s="8" t="s">
        <v>64</v>
      </c>
      <c r="S280" s="8" t="s">
        <v>19</v>
      </c>
      <c r="T280" s="9">
        <v>1790</v>
      </c>
      <c r="U280" s="9">
        <v>262217.09999999998</v>
      </c>
      <c r="V280" s="8" t="s">
        <v>19</v>
      </c>
      <c r="W280" s="8">
        <v>309153.96000000002</v>
      </c>
      <c r="X280" s="8">
        <v>9</v>
      </c>
      <c r="Y280" s="8">
        <v>23599.54</v>
      </c>
      <c r="Z280" s="8">
        <v>9</v>
      </c>
      <c r="AA280" s="8">
        <v>23599.54</v>
      </c>
      <c r="AB280" s="8">
        <v>0</v>
      </c>
      <c r="AC280" s="8">
        <v>0</v>
      </c>
      <c r="AD280" s="8">
        <v>0</v>
      </c>
      <c r="AE280" s="8">
        <v>47199.08</v>
      </c>
      <c r="AF280" s="8">
        <v>0</v>
      </c>
      <c r="AG280" s="8" t="s">
        <v>65</v>
      </c>
      <c r="AH280" s="8" t="s">
        <v>11</v>
      </c>
      <c r="AI280" s="8">
        <v>39269080</v>
      </c>
      <c r="AJ280" s="8" t="s">
        <v>60</v>
      </c>
      <c r="AK280" s="8">
        <v>1</v>
      </c>
      <c r="AL280" s="8">
        <v>0</v>
      </c>
      <c r="AM280" s="8" t="s">
        <v>1940</v>
      </c>
    </row>
    <row r="281" spans="7:39" ht="12.75" customHeight="1">
      <c r="G281" s="347"/>
      <c r="H281" s="348" t="s">
        <v>3013</v>
      </c>
      <c r="I281" s="8" t="s">
        <v>87</v>
      </c>
      <c r="J281" s="8" t="s">
        <v>91</v>
      </c>
      <c r="K281" s="8" t="s">
        <v>3022</v>
      </c>
      <c r="L281" s="8" t="s">
        <v>98</v>
      </c>
      <c r="M281" s="8" t="s">
        <v>3023</v>
      </c>
      <c r="N281" s="7" t="s">
        <v>3013</v>
      </c>
      <c r="O281" s="8" t="s">
        <v>13</v>
      </c>
      <c r="P281" s="8" t="s">
        <v>62</v>
      </c>
      <c r="Q281" s="8" t="s">
        <v>63</v>
      </c>
      <c r="R281" s="8" t="s">
        <v>64</v>
      </c>
      <c r="S281" s="8" t="s">
        <v>19</v>
      </c>
      <c r="T281" s="9">
        <v>945</v>
      </c>
      <c r="U281" s="9">
        <v>138433.04999999999</v>
      </c>
      <c r="V281" s="8" t="s">
        <v>19</v>
      </c>
      <c r="W281" s="8">
        <v>1319540.71</v>
      </c>
      <c r="X281" s="8">
        <v>9</v>
      </c>
      <c r="Y281" s="8">
        <v>12458.97</v>
      </c>
      <c r="Z281" s="8">
        <v>9</v>
      </c>
      <c r="AA281" s="8">
        <v>12458.97</v>
      </c>
      <c r="AB281" s="8">
        <v>0</v>
      </c>
      <c r="AC281" s="8">
        <v>0</v>
      </c>
      <c r="AD281" s="8">
        <v>0</v>
      </c>
      <c r="AE281" s="8">
        <v>24917.94</v>
      </c>
      <c r="AF281" s="8">
        <v>0</v>
      </c>
      <c r="AG281" s="8" t="s">
        <v>65</v>
      </c>
      <c r="AH281" s="8" t="s">
        <v>11</v>
      </c>
      <c r="AI281" s="8">
        <v>39269080</v>
      </c>
      <c r="AJ281" s="8" t="s">
        <v>60</v>
      </c>
      <c r="AK281" s="8">
        <v>1</v>
      </c>
      <c r="AL281" s="8">
        <v>0</v>
      </c>
      <c r="AM281" s="8" t="s">
        <v>1940</v>
      </c>
    </row>
    <row r="282" spans="7:39" ht="12.75" customHeight="1">
      <c r="G282" s="347"/>
      <c r="H282" s="348" t="s">
        <v>3013</v>
      </c>
      <c r="I282" s="8" t="s">
        <v>87</v>
      </c>
      <c r="J282" s="8" t="s">
        <v>91</v>
      </c>
      <c r="K282" s="8" t="s">
        <v>3022</v>
      </c>
      <c r="L282" s="8" t="s">
        <v>98</v>
      </c>
      <c r="M282" s="8" t="s">
        <v>3023</v>
      </c>
      <c r="N282" s="7" t="s">
        <v>3013</v>
      </c>
      <c r="O282" s="8" t="s">
        <v>13</v>
      </c>
      <c r="P282" s="8" t="s">
        <v>62</v>
      </c>
      <c r="Q282" s="8" t="s">
        <v>63</v>
      </c>
      <c r="R282" s="8" t="s">
        <v>64</v>
      </c>
      <c r="S282" s="8" t="s">
        <v>19</v>
      </c>
      <c r="T282" s="9">
        <v>665</v>
      </c>
      <c r="U282" s="9">
        <v>98080.85</v>
      </c>
      <c r="V282" s="8" t="s">
        <v>19</v>
      </c>
      <c r="W282" s="8">
        <v>0</v>
      </c>
      <c r="X282" s="8">
        <v>9</v>
      </c>
      <c r="Y282" s="8">
        <v>8827.2800000000007</v>
      </c>
      <c r="Z282" s="8">
        <v>9</v>
      </c>
      <c r="AA282" s="8">
        <v>8827.2800000000007</v>
      </c>
      <c r="AB282" s="8">
        <v>0</v>
      </c>
      <c r="AC282" s="8">
        <v>0</v>
      </c>
      <c r="AD282" s="8">
        <v>0</v>
      </c>
      <c r="AE282" s="8">
        <v>17654.560000000001</v>
      </c>
      <c r="AF282" s="8">
        <v>0</v>
      </c>
      <c r="AG282" s="8" t="s">
        <v>65</v>
      </c>
      <c r="AH282" s="8" t="s">
        <v>11</v>
      </c>
      <c r="AI282" s="8">
        <v>39269080</v>
      </c>
      <c r="AJ282" s="8" t="s">
        <v>60</v>
      </c>
      <c r="AK282" s="8">
        <v>1</v>
      </c>
      <c r="AL282" s="8">
        <v>0</v>
      </c>
      <c r="AM282" s="8" t="s">
        <v>1940</v>
      </c>
    </row>
    <row r="283" spans="7:39" ht="12.75" customHeight="1">
      <c r="G283" s="347"/>
      <c r="H283" s="348" t="s">
        <v>3013</v>
      </c>
      <c r="I283" s="8" t="s">
        <v>87</v>
      </c>
      <c r="J283" s="8" t="s">
        <v>91</v>
      </c>
      <c r="K283" s="8" t="s">
        <v>3022</v>
      </c>
      <c r="L283" s="8" t="s">
        <v>98</v>
      </c>
      <c r="M283" s="8" t="s">
        <v>3023</v>
      </c>
      <c r="N283" s="7" t="s">
        <v>3013</v>
      </c>
      <c r="O283" s="8" t="s">
        <v>13</v>
      </c>
      <c r="P283" s="8" t="s">
        <v>62</v>
      </c>
      <c r="Q283" s="8" t="s">
        <v>63</v>
      </c>
      <c r="R283" s="8" t="s">
        <v>64</v>
      </c>
      <c r="S283" s="8" t="s">
        <v>19</v>
      </c>
      <c r="T283" s="9">
        <v>6109</v>
      </c>
      <c r="U283" s="9">
        <v>882689.41</v>
      </c>
      <c r="V283" s="8" t="s">
        <v>19</v>
      </c>
      <c r="W283" s="8">
        <v>0</v>
      </c>
      <c r="X283" s="8">
        <v>9</v>
      </c>
      <c r="Y283" s="8">
        <v>79442.05</v>
      </c>
      <c r="Z283" s="8">
        <v>9</v>
      </c>
      <c r="AA283" s="8">
        <v>79442.05</v>
      </c>
      <c r="AB283" s="8">
        <v>0</v>
      </c>
      <c r="AC283" s="8">
        <v>0</v>
      </c>
      <c r="AD283" s="8">
        <v>0</v>
      </c>
      <c r="AE283" s="8">
        <v>158884.1</v>
      </c>
      <c r="AF283" s="8">
        <v>0</v>
      </c>
      <c r="AG283" s="8" t="s">
        <v>65</v>
      </c>
      <c r="AH283" s="8" t="s">
        <v>11</v>
      </c>
      <c r="AI283" s="8">
        <v>39269080</v>
      </c>
      <c r="AJ283" s="8" t="s">
        <v>60</v>
      </c>
      <c r="AK283" s="8">
        <v>1</v>
      </c>
      <c r="AL283" s="8">
        <v>0</v>
      </c>
      <c r="AM283" s="8" t="s">
        <v>1940</v>
      </c>
    </row>
    <row r="284" spans="7:39" ht="12.75" customHeight="1">
      <c r="G284" s="347"/>
      <c r="H284" s="348" t="s">
        <v>3013</v>
      </c>
      <c r="I284" s="8" t="s">
        <v>87</v>
      </c>
      <c r="J284" s="8" t="s">
        <v>91</v>
      </c>
      <c r="K284" s="8" t="s">
        <v>3024</v>
      </c>
      <c r="L284" s="8" t="s">
        <v>98</v>
      </c>
      <c r="M284" s="8" t="s">
        <v>3025</v>
      </c>
      <c r="N284" s="7" t="s">
        <v>3013</v>
      </c>
      <c r="O284" s="8" t="s">
        <v>15</v>
      </c>
      <c r="P284" s="8" t="s">
        <v>2117</v>
      </c>
      <c r="Q284" s="8" t="s">
        <v>2117</v>
      </c>
      <c r="R284" s="8" t="s">
        <v>2117</v>
      </c>
      <c r="S284" s="347" t="s">
        <v>64</v>
      </c>
      <c r="T284" s="9">
        <v>151.69999999999999</v>
      </c>
      <c r="U284" s="9">
        <v>22677.63</v>
      </c>
      <c r="V284" s="8" t="s">
        <v>2117</v>
      </c>
      <c r="W284" s="8">
        <v>1050872.8700000001</v>
      </c>
      <c r="X284" s="8">
        <v>9</v>
      </c>
      <c r="Y284" s="8">
        <v>2040.99</v>
      </c>
      <c r="Z284" s="8">
        <v>9</v>
      </c>
      <c r="AA284" s="8">
        <v>2040.99</v>
      </c>
      <c r="AB284" s="8">
        <v>0</v>
      </c>
      <c r="AC284" s="8">
        <v>0</v>
      </c>
      <c r="AD284" s="8">
        <v>0</v>
      </c>
      <c r="AE284" s="8">
        <v>4081.98</v>
      </c>
      <c r="AF284" s="8">
        <v>0</v>
      </c>
      <c r="AG284" s="8" t="s">
        <v>65</v>
      </c>
      <c r="AH284" s="8" t="s">
        <v>11</v>
      </c>
      <c r="AI284" s="8">
        <v>39269080</v>
      </c>
      <c r="AJ284" s="8" t="s">
        <v>60</v>
      </c>
      <c r="AK284" s="8">
        <v>1</v>
      </c>
      <c r="AL284" s="8">
        <v>0</v>
      </c>
      <c r="AM284" s="8" t="s">
        <v>1940</v>
      </c>
    </row>
    <row r="285" spans="7:39" ht="12.75" customHeight="1">
      <c r="G285" s="347"/>
      <c r="H285" s="348" t="s">
        <v>3013</v>
      </c>
      <c r="I285" s="8" t="s">
        <v>87</v>
      </c>
      <c r="J285" s="8" t="s">
        <v>91</v>
      </c>
      <c r="K285" s="8" t="s">
        <v>3024</v>
      </c>
      <c r="L285" s="8" t="s">
        <v>98</v>
      </c>
      <c r="M285" s="8" t="s">
        <v>3025</v>
      </c>
      <c r="N285" s="7" t="s">
        <v>3013</v>
      </c>
      <c r="O285" s="8" t="s">
        <v>13</v>
      </c>
      <c r="P285" s="8" t="s">
        <v>62</v>
      </c>
      <c r="Q285" s="8" t="s">
        <v>63</v>
      </c>
      <c r="R285" s="8" t="s">
        <v>64</v>
      </c>
      <c r="S285" s="8" t="s">
        <v>19</v>
      </c>
      <c r="T285" s="9">
        <v>2513</v>
      </c>
      <c r="U285" s="9">
        <v>363103.37</v>
      </c>
      <c r="V285" s="8" t="s">
        <v>19</v>
      </c>
      <c r="W285" s="8">
        <v>0</v>
      </c>
      <c r="X285" s="8">
        <v>9</v>
      </c>
      <c r="Y285" s="8">
        <v>32679.3</v>
      </c>
      <c r="Z285" s="8">
        <v>9</v>
      </c>
      <c r="AA285" s="8">
        <v>32679.3</v>
      </c>
      <c r="AB285" s="8">
        <v>0</v>
      </c>
      <c r="AC285" s="8">
        <v>0</v>
      </c>
      <c r="AD285" s="8">
        <v>0</v>
      </c>
      <c r="AE285" s="8">
        <v>65358.6</v>
      </c>
      <c r="AF285" s="8">
        <v>0</v>
      </c>
      <c r="AG285" s="8" t="s">
        <v>65</v>
      </c>
      <c r="AH285" s="8" t="s">
        <v>11</v>
      </c>
      <c r="AI285" s="8">
        <v>39269080</v>
      </c>
      <c r="AJ285" s="8" t="s">
        <v>60</v>
      </c>
      <c r="AK285" s="8">
        <v>1</v>
      </c>
      <c r="AL285" s="8">
        <v>0</v>
      </c>
      <c r="AM285" s="8" t="s">
        <v>1940</v>
      </c>
    </row>
    <row r="286" spans="7:39" ht="12.75" customHeight="1">
      <c r="G286" s="347"/>
      <c r="H286" s="348" t="s">
        <v>3013</v>
      </c>
      <c r="I286" s="8" t="s">
        <v>87</v>
      </c>
      <c r="J286" s="8" t="s">
        <v>91</v>
      </c>
      <c r="K286" s="8" t="s">
        <v>3024</v>
      </c>
      <c r="L286" s="8" t="s">
        <v>98</v>
      </c>
      <c r="M286" s="8" t="s">
        <v>3025</v>
      </c>
      <c r="N286" s="7" t="s">
        <v>3013</v>
      </c>
      <c r="O286" s="8" t="s">
        <v>13</v>
      </c>
      <c r="P286" s="8" t="s">
        <v>62</v>
      </c>
      <c r="Q286" s="8" t="s">
        <v>63</v>
      </c>
      <c r="R286" s="8" t="s">
        <v>64</v>
      </c>
      <c r="S286" s="8" t="s">
        <v>19</v>
      </c>
      <c r="T286" s="9">
        <v>989</v>
      </c>
      <c r="U286" s="9">
        <v>144878.60999999999</v>
      </c>
      <c r="V286" s="8" t="s">
        <v>19</v>
      </c>
      <c r="W286" s="8">
        <v>0</v>
      </c>
      <c r="X286" s="8">
        <v>9</v>
      </c>
      <c r="Y286" s="8">
        <v>13039.07</v>
      </c>
      <c r="Z286" s="8">
        <v>9</v>
      </c>
      <c r="AA286" s="8">
        <v>13039.07</v>
      </c>
      <c r="AB286" s="8">
        <v>0</v>
      </c>
      <c r="AC286" s="8">
        <v>0</v>
      </c>
      <c r="AD286" s="8">
        <v>0</v>
      </c>
      <c r="AE286" s="8">
        <v>26078.14</v>
      </c>
      <c r="AF286" s="8">
        <v>0</v>
      </c>
      <c r="AG286" s="8" t="s">
        <v>65</v>
      </c>
      <c r="AH286" s="8" t="s">
        <v>11</v>
      </c>
      <c r="AI286" s="8">
        <v>39269080</v>
      </c>
      <c r="AJ286" s="8" t="s">
        <v>60</v>
      </c>
      <c r="AK286" s="8">
        <v>1</v>
      </c>
      <c r="AL286" s="8">
        <v>0</v>
      </c>
      <c r="AM286" s="8" t="s">
        <v>1940</v>
      </c>
    </row>
    <row r="287" spans="7:39" ht="12.75" customHeight="1">
      <c r="G287" s="347"/>
      <c r="H287" s="348" t="s">
        <v>3013</v>
      </c>
      <c r="I287" s="8" t="s">
        <v>87</v>
      </c>
      <c r="J287" s="8" t="s">
        <v>91</v>
      </c>
      <c r="K287" s="8" t="s">
        <v>3024</v>
      </c>
      <c r="L287" s="8" t="s">
        <v>98</v>
      </c>
      <c r="M287" s="8" t="s">
        <v>3025</v>
      </c>
      <c r="N287" s="7" t="s">
        <v>3013</v>
      </c>
      <c r="O287" s="8" t="s">
        <v>13</v>
      </c>
      <c r="P287" s="8" t="s">
        <v>62</v>
      </c>
      <c r="Q287" s="8" t="s">
        <v>63</v>
      </c>
      <c r="R287" s="8" t="s">
        <v>64</v>
      </c>
      <c r="S287" s="8" t="s">
        <v>19</v>
      </c>
      <c r="T287" s="9">
        <v>477</v>
      </c>
      <c r="U287" s="9">
        <v>70352.73</v>
      </c>
      <c r="V287" s="8" t="s">
        <v>19</v>
      </c>
      <c r="W287" s="8">
        <v>0</v>
      </c>
      <c r="X287" s="8">
        <v>9</v>
      </c>
      <c r="Y287" s="8">
        <v>6331.75</v>
      </c>
      <c r="Z287" s="8">
        <v>9</v>
      </c>
      <c r="AA287" s="8">
        <v>6331.75</v>
      </c>
      <c r="AB287" s="8">
        <v>0</v>
      </c>
      <c r="AC287" s="8">
        <v>0</v>
      </c>
      <c r="AD287" s="8">
        <v>0</v>
      </c>
      <c r="AE287" s="8">
        <v>12663.5</v>
      </c>
      <c r="AF287" s="8">
        <v>0</v>
      </c>
      <c r="AG287" s="8" t="s">
        <v>65</v>
      </c>
      <c r="AH287" s="8" t="s">
        <v>11</v>
      </c>
      <c r="AI287" s="8">
        <v>39269080</v>
      </c>
      <c r="AJ287" s="8" t="s">
        <v>60</v>
      </c>
      <c r="AK287" s="8">
        <v>1</v>
      </c>
      <c r="AL287" s="8">
        <v>0</v>
      </c>
      <c r="AM287" s="8" t="s">
        <v>1940</v>
      </c>
    </row>
    <row r="288" spans="7:39" ht="12.75" customHeight="1">
      <c r="G288" s="347"/>
      <c r="H288" s="348" t="s">
        <v>3013</v>
      </c>
      <c r="I288" s="8" t="s">
        <v>87</v>
      </c>
      <c r="J288" s="8" t="s">
        <v>91</v>
      </c>
      <c r="K288" s="8" t="s">
        <v>3024</v>
      </c>
      <c r="L288" s="8" t="s">
        <v>98</v>
      </c>
      <c r="M288" s="8" t="s">
        <v>3025</v>
      </c>
      <c r="N288" s="7" t="s">
        <v>3013</v>
      </c>
      <c r="O288" s="8" t="s">
        <v>13</v>
      </c>
      <c r="P288" s="8" t="s">
        <v>62</v>
      </c>
      <c r="Q288" s="8" t="s">
        <v>63</v>
      </c>
      <c r="R288" s="8" t="s">
        <v>64</v>
      </c>
      <c r="S288" s="8" t="s">
        <v>2949</v>
      </c>
      <c r="T288" s="9">
        <v>718</v>
      </c>
      <c r="U288" s="9">
        <v>103743.82</v>
      </c>
      <c r="V288" s="8" t="s">
        <v>2949</v>
      </c>
      <c r="W288" s="8">
        <v>0</v>
      </c>
      <c r="X288" s="8">
        <v>9</v>
      </c>
      <c r="Y288" s="8">
        <v>9336.94</v>
      </c>
      <c r="Z288" s="8">
        <v>9</v>
      </c>
      <c r="AA288" s="8">
        <v>9336.94</v>
      </c>
      <c r="AB288" s="8">
        <v>0</v>
      </c>
      <c r="AC288" s="8">
        <v>0</v>
      </c>
      <c r="AD288" s="8">
        <v>0</v>
      </c>
      <c r="AE288" s="8">
        <v>18673.88</v>
      </c>
      <c r="AF288" s="8">
        <v>0</v>
      </c>
      <c r="AG288" s="8" t="s">
        <v>65</v>
      </c>
      <c r="AH288" s="8" t="s">
        <v>11</v>
      </c>
      <c r="AI288" s="8">
        <v>39269080</v>
      </c>
      <c r="AJ288" s="8" t="s">
        <v>60</v>
      </c>
      <c r="AK288" s="8">
        <v>1</v>
      </c>
      <c r="AL288" s="8">
        <v>0</v>
      </c>
      <c r="AM288" s="8" t="s">
        <v>1940</v>
      </c>
    </row>
    <row r="289" spans="7:39" ht="12.75" customHeight="1">
      <c r="G289" s="347"/>
      <c r="H289" s="348" t="s">
        <v>3013</v>
      </c>
      <c r="I289" s="8" t="s">
        <v>87</v>
      </c>
      <c r="J289" s="8" t="s">
        <v>91</v>
      </c>
      <c r="K289" s="8" t="s">
        <v>3024</v>
      </c>
      <c r="L289" s="8" t="s">
        <v>98</v>
      </c>
      <c r="M289" s="8" t="s">
        <v>3025</v>
      </c>
      <c r="N289" s="7" t="s">
        <v>3013</v>
      </c>
      <c r="O289" s="8" t="s">
        <v>13</v>
      </c>
      <c r="P289" s="8" t="s">
        <v>62</v>
      </c>
      <c r="Q289" s="8" t="s">
        <v>76</v>
      </c>
      <c r="R289" s="8" t="s">
        <v>77</v>
      </c>
      <c r="S289" s="8" t="s">
        <v>21</v>
      </c>
      <c r="T289" s="9">
        <v>1190</v>
      </c>
      <c r="U289" s="9">
        <v>176703.1</v>
      </c>
      <c r="V289" s="8" t="s">
        <v>21</v>
      </c>
      <c r="W289" s="8">
        <v>0</v>
      </c>
      <c r="X289" s="8">
        <v>9</v>
      </c>
      <c r="Y289" s="8">
        <v>15903.28</v>
      </c>
      <c r="Z289" s="8">
        <v>9</v>
      </c>
      <c r="AA289" s="8">
        <v>15903.28</v>
      </c>
      <c r="AB289" s="8">
        <v>0</v>
      </c>
      <c r="AC289" s="8">
        <v>0</v>
      </c>
      <c r="AD289" s="8">
        <v>0</v>
      </c>
      <c r="AE289" s="8">
        <v>31806.560000000001</v>
      </c>
      <c r="AF289" s="8">
        <v>0</v>
      </c>
      <c r="AG289" s="8" t="s">
        <v>65</v>
      </c>
      <c r="AH289" s="8" t="s">
        <v>11</v>
      </c>
      <c r="AI289" s="8">
        <v>63053300</v>
      </c>
      <c r="AJ289" s="8" t="s">
        <v>60</v>
      </c>
      <c r="AK289" s="8">
        <v>1</v>
      </c>
      <c r="AL289" s="8">
        <v>0</v>
      </c>
      <c r="AM289" s="8" t="s">
        <v>1940</v>
      </c>
    </row>
    <row r="290" spans="7:39" ht="12.75" customHeight="1">
      <c r="G290" s="347"/>
      <c r="H290" s="348" t="s">
        <v>3013</v>
      </c>
      <c r="I290" s="8" t="s">
        <v>87</v>
      </c>
      <c r="J290" s="8" t="s">
        <v>91</v>
      </c>
      <c r="K290" s="8" t="s">
        <v>3024</v>
      </c>
      <c r="L290" s="8" t="s">
        <v>98</v>
      </c>
      <c r="M290" s="8" t="s">
        <v>3025</v>
      </c>
      <c r="N290" s="7" t="s">
        <v>3013</v>
      </c>
      <c r="O290" s="8" t="s">
        <v>13</v>
      </c>
      <c r="P290" s="8" t="s">
        <v>24</v>
      </c>
      <c r="Q290" s="8" t="s">
        <v>79</v>
      </c>
      <c r="R290" s="8" t="s">
        <v>79</v>
      </c>
      <c r="S290" s="8" t="s">
        <v>24</v>
      </c>
      <c r="T290" s="9">
        <v>66</v>
      </c>
      <c r="U290" s="9">
        <v>9866.34</v>
      </c>
      <c r="V290" s="8" t="s">
        <v>24</v>
      </c>
      <c r="W290" s="8">
        <v>0</v>
      </c>
      <c r="X290" s="8">
        <v>9</v>
      </c>
      <c r="Y290" s="8">
        <v>887.97</v>
      </c>
      <c r="Z290" s="8">
        <v>9</v>
      </c>
      <c r="AA290" s="8">
        <v>887.97</v>
      </c>
      <c r="AB290" s="8">
        <v>0</v>
      </c>
      <c r="AC290" s="8">
        <v>0</v>
      </c>
      <c r="AD290" s="8">
        <v>0</v>
      </c>
      <c r="AE290" s="8">
        <v>1775.94</v>
      </c>
      <c r="AF290" s="8">
        <v>0</v>
      </c>
      <c r="AG290" s="8" t="s">
        <v>65</v>
      </c>
      <c r="AH290" s="8" t="s">
        <v>11</v>
      </c>
      <c r="AI290" s="8">
        <v>3926908</v>
      </c>
      <c r="AJ290" s="8" t="s">
        <v>60</v>
      </c>
      <c r="AK290" s="8">
        <v>1</v>
      </c>
      <c r="AL290" s="8">
        <v>0</v>
      </c>
      <c r="AM290" s="8" t="s">
        <v>1940</v>
      </c>
    </row>
    <row r="291" spans="7:39" ht="12.75" customHeight="1">
      <c r="G291" s="347"/>
      <c r="H291" s="348" t="s">
        <v>3013</v>
      </c>
      <c r="I291" s="8" t="s">
        <v>94</v>
      </c>
      <c r="J291" s="8" t="s">
        <v>96</v>
      </c>
      <c r="K291" s="8" t="s">
        <v>3026</v>
      </c>
      <c r="L291" s="8" t="s">
        <v>97</v>
      </c>
      <c r="M291" s="8" t="s">
        <v>3027</v>
      </c>
      <c r="N291" s="7" t="s">
        <v>3013</v>
      </c>
      <c r="O291" s="8" t="s">
        <v>2</v>
      </c>
      <c r="P291" s="8" t="s">
        <v>67</v>
      </c>
      <c r="Q291" s="8" t="s">
        <v>68</v>
      </c>
      <c r="R291" s="8" t="s">
        <v>69</v>
      </c>
      <c r="S291" s="8" t="s">
        <v>70</v>
      </c>
      <c r="T291" s="9">
        <v>74</v>
      </c>
      <c r="U291" s="9">
        <v>3552</v>
      </c>
      <c r="V291" s="8" t="s">
        <v>70</v>
      </c>
      <c r="W291" s="8">
        <v>4187.8100000000004</v>
      </c>
      <c r="X291" s="8">
        <v>9</v>
      </c>
      <c r="Y291" s="8">
        <v>319.68</v>
      </c>
      <c r="Z291" s="8">
        <v>9</v>
      </c>
      <c r="AA291" s="8">
        <v>319.68</v>
      </c>
      <c r="AB291" s="8">
        <v>0</v>
      </c>
      <c r="AC291" s="8">
        <v>0</v>
      </c>
      <c r="AD291" s="8">
        <v>0</v>
      </c>
      <c r="AE291" s="8">
        <v>639.36</v>
      </c>
      <c r="AF291" s="8">
        <v>0</v>
      </c>
      <c r="AG291" s="8" t="s">
        <v>74</v>
      </c>
      <c r="AH291" s="8" t="s">
        <v>11</v>
      </c>
      <c r="AI291" s="8">
        <v>73063090</v>
      </c>
      <c r="AJ291" s="8" t="s">
        <v>60</v>
      </c>
      <c r="AK291" s="8">
        <v>1</v>
      </c>
      <c r="AL291" s="8">
        <v>0</v>
      </c>
      <c r="AM291" s="8" t="s">
        <v>1940</v>
      </c>
    </row>
    <row r="292" spans="7:39" ht="12.75" customHeight="1">
      <c r="G292" s="347"/>
      <c r="H292" s="348" t="s">
        <v>3013</v>
      </c>
      <c r="I292" s="8" t="s">
        <v>94</v>
      </c>
      <c r="J292" s="8" t="s">
        <v>91</v>
      </c>
      <c r="K292" s="8" t="s">
        <v>3028</v>
      </c>
      <c r="L292" s="8" t="s">
        <v>98</v>
      </c>
      <c r="M292" s="8" t="s">
        <v>3029</v>
      </c>
      <c r="N292" s="7" t="s">
        <v>3013</v>
      </c>
      <c r="O292" s="8" t="s">
        <v>13</v>
      </c>
      <c r="P292" s="8" t="s">
        <v>62</v>
      </c>
      <c r="Q292" s="8" t="s">
        <v>63</v>
      </c>
      <c r="R292" s="8" t="s">
        <v>64</v>
      </c>
      <c r="S292" s="8" t="s">
        <v>19</v>
      </c>
      <c r="T292" s="9">
        <v>1071.5</v>
      </c>
      <c r="U292" s="9">
        <v>165803.91</v>
      </c>
      <c r="V292" s="8" t="s">
        <v>19</v>
      </c>
      <c r="W292" s="8">
        <v>206907.32</v>
      </c>
      <c r="X292" s="8">
        <v>9</v>
      </c>
      <c r="Y292" s="8">
        <v>14922.35</v>
      </c>
      <c r="Z292" s="8">
        <v>9</v>
      </c>
      <c r="AA292" s="8">
        <v>14922.35</v>
      </c>
      <c r="AB292" s="8">
        <v>0</v>
      </c>
      <c r="AC292" s="8">
        <v>0</v>
      </c>
      <c r="AD292" s="8">
        <v>0</v>
      </c>
      <c r="AE292" s="8">
        <v>29844.7</v>
      </c>
      <c r="AF292" s="8">
        <v>0</v>
      </c>
      <c r="AG292" s="8" t="s">
        <v>74</v>
      </c>
      <c r="AH292" s="8" t="s">
        <v>11</v>
      </c>
      <c r="AI292" s="8">
        <v>39269080</v>
      </c>
      <c r="AJ292" s="8" t="s">
        <v>60</v>
      </c>
      <c r="AK292" s="8">
        <v>1</v>
      </c>
      <c r="AL292" s="8">
        <v>0</v>
      </c>
      <c r="AM292" s="8" t="s">
        <v>1940</v>
      </c>
    </row>
    <row r="293" spans="7:39" ht="12.75" customHeight="1">
      <c r="G293" s="347"/>
      <c r="H293" s="348" t="s">
        <v>3013</v>
      </c>
      <c r="I293" s="8" t="s">
        <v>94</v>
      </c>
      <c r="J293" s="8" t="s">
        <v>91</v>
      </c>
      <c r="K293" s="8" t="s">
        <v>3028</v>
      </c>
      <c r="L293" s="8" t="s">
        <v>98</v>
      </c>
      <c r="M293" s="8" t="s">
        <v>3029</v>
      </c>
      <c r="N293" s="7" t="s">
        <v>3013</v>
      </c>
      <c r="O293" s="8" t="s">
        <v>13</v>
      </c>
      <c r="P293" s="8" t="s">
        <v>2198</v>
      </c>
      <c r="Q293" s="8" t="s">
        <v>123</v>
      </c>
      <c r="R293" s="8" t="s">
        <v>656</v>
      </c>
      <c r="S293" s="8" t="s">
        <v>12</v>
      </c>
      <c r="T293" s="9">
        <v>38</v>
      </c>
      <c r="U293" s="9">
        <v>9690</v>
      </c>
      <c r="V293" s="8" t="s">
        <v>12</v>
      </c>
      <c r="W293" s="8">
        <v>0</v>
      </c>
      <c r="X293" s="8">
        <v>9</v>
      </c>
      <c r="Y293" s="8">
        <v>872.1</v>
      </c>
      <c r="Z293" s="8">
        <v>9</v>
      </c>
      <c r="AA293" s="8">
        <v>872.1</v>
      </c>
      <c r="AB293" s="8">
        <v>0</v>
      </c>
      <c r="AC293" s="8">
        <v>0</v>
      </c>
      <c r="AD293" s="8">
        <v>0</v>
      </c>
      <c r="AE293" s="8">
        <v>1744.2</v>
      </c>
      <c r="AF293" s="8">
        <v>0</v>
      </c>
      <c r="AG293" s="8" t="s">
        <v>74</v>
      </c>
      <c r="AH293" s="8" t="s">
        <v>11</v>
      </c>
      <c r="AI293" s="8">
        <v>3920101</v>
      </c>
      <c r="AJ293" s="8" t="s">
        <v>60</v>
      </c>
      <c r="AK293" s="8">
        <v>1</v>
      </c>
      <c r="AL293" s="8">
        <v>0</v>
      </c>
      <c r="AM293" s="8" t="s">
        <v>1940</v>
      </c>
    </row>
    <row r="294" spans="7:39" ht="12.75" customHeight="1">
      <c r="G294" s="347"/>
      <c r="H294" s="348" t="s">
        <v>3030</v>
      </c>
      <c r="I294" s="8" t="s">
        <v>87</v>
      </c>
      <c r="J294" s="8" t="s">
        <v>96</v>
      </c>
      <c r="K294" s="8" t="s">
        <v>3031</v>
      </c>
      <c r="L294" s="8" t="s">
        <v>97</v>
      </c>
      <c r="M294" s="8" t="s">
        <v>3032</v>
      </c>
      <c r="N294" s="7" t="s">
        <v>3033</v>
      </c>
      <c r="O294" s="8" t="s">
        <v>2</v>
      </c>
      <c r="P294" s="8" t="s">
        <v>67</v>
      </c>
      <c r="Q294" s="8" t="s">
        <v>68</v>
      </c>
      <c r="R294" s="8" t="s">
        <v>69</v>
      </c>
      <c r="S294" s="8" t="s">
        <v>70</v>
      </c>
      <c r="T294" s="9">
        <v>349</v>
      </c>
      <c r="U294" s="9">
        <v>16752</v>
      </c>
      <c r="V294" s="8" t="s">
        <v>70</v>
      </c>
      <c r="W294" s="8">
        <v>19750.61</v>
      </c>
      <c r="X294" s="8">
        <v>9</v>
      </c>
      <c r="Y294" s="8">
        <v>1507.68</v>
      </c>
      <c r="Z294" s="8">
        <v>9</v>
      </c>
      <c r="AA294" s="8">
        <v>1507.68</v>
      </c>
      <c r="AB294" s="8">
        <v>0</v>
      </c>
      <c r="AC294" s="8">
        <v>0</v>
      </c>
      <c r="AD294" s="8">
        <v>0</v>
      </c>
      <c r="AE294" s="8">
        <v>3015.36</v>
      </c>
      <c r="AF294" s="8">
        <v>0</v>
      </c>
      <c r="AG294" s="8" t="s">
        <v>65</v>
      </c>
      <c r="AH294" s="8" t="s">
        <v>11</v>
      </c>
      <c r="AI294" s="8">
        <v>73063090</v>
      </c>
      <c r="AJ294" s="8" t="s">
        <v>60</v>
      </c>
      <c r="AK294" s="8">
        <v>1</v>
      </c>
      <c r="AL294" s="8">
        <v>0</v>
      </c>
      <c r="AM294" s="8" t="s">
        <v>1940</v>
      </c>
    </row>
    <row r="295" spans="7:39" ht="12.75" customHeight="1">
      <c r="G295" s="347"/>
      <c r="H295" s="348" t="s">
        <v>3030</v>
      </c>
      <c r="I295" s="8" t="s">
        <v>87</v>
      </c>
      <c r="J295" s="8" t="s">
        <v>96</v>
      </c>
      <c r="K295" s="8" t="s">
        <v>3034</v>
      </c>
      <c r="L295" s="8" t="s">
        <v>97</v>
      </c>
      <c r="M295" s="8" t="s">
        <v>3035</v>
      </c>
      <c r="N295" s="7" t="s">
        <v>3030</v>
      </c>
      <c r="O295" s="8" t="s">
        <v>2</v>
      </c>
      <c r="P295" s="8" t="s">
        <v>67</v>
      </c>
      <c r="Q295" s="8" t="s">
        <v>68</v>
      </c>
      <c r="R295" s="8" t="s">
        <v>69</v>
      </c>
      <c r="S295" s="8" t="s">
        <v>70</v>
      </c>
      <c r="T295" s="9">
        <v>366</v>
      </c>
      <c r="U295" s="9">
        <v>17568</v>
      </c>
      <c r="V295" s="8" t="s">
        <v>70</v>
      </c>
      <c r="W295" s="8">
        <v>20712.669999999998</v>
      </c>
      <c r="X295" s="8">
        <v>9</v>
      </c>
      <c r="Y295" s="8">
        <v>1581.12</v>
      </c>
      <c r="Z295" s="8">
        <v>9</v>
      </c>
      <c r="AA295" s="8">
        <v>1581.12</v>
      </c>
      <c r="AB295" s="8">
        <v>0</v>
      </c>
      <c r="AC295" s="8">
        <v>0</v>
      </c>
      <c r="AD295" s="8">
        <v>0</v>
      </c>
      <c r="AE295" s="8">
        <v>3162.24</v>
      </c>
      <c r="AF295" s="8">
        <v>0</v>
      </c>
      <c r="AG295" s="8" t="s">
        <v>65</v>
      </c>
      <c r="AH295" s="8" t="s">
        <v>11</v>
      </c>
      <c r="AI295" s="8">
        <v>73063090</v>
      </c>
      <c r="AJ295" s="8" t="s">
        <v>60</v>
      </c>
      <c r="AK295" s="8">
        <v>1</v>
      </c>
      <c r="AL295" s="8">
        <v>0</v>
      </c>
      <c r="AM295" s="8" t="s">
        <v>1940</v>
      </c>
    </row>
    <row r="296" spans="7:39" ht="12.75" customHeight="1">
      <c r="G296" s="347"/>
      <c r="H296" s="348" t="s">
        <v>3030</v>
      </c>
      <c r="I296" s="8" t="s">
        <v>87</v>
      </c>
      <c r="J296" s="8" t="s">
        <v>91</v>
      </c>
      <c r="K296" s="8" t="s">
        <v>3036</v>
      </c>
      <c r="L296" s="8" t="s">
        <v>98</v>
      </c>
      <c r="M296" s="8" t="s">
        <v>3037</v>
      </c>
      <c r="N296" s="7" t="s">
        <v>3033</v>
      </c>
      <c r="O296" s="8" t="s">
        <v>13</v>
      </c>
      <c r="P296" s="8" t="s">
        <v>80</v>
      </c>
      <c r="Q296" s="8" t="s">
        <v>81</v>
      </c>
      <c r="R296" s="8" t="s">
        <v>82</v>
      </c>
      <c r="S296" s="8" t="s">
        <v>17</v>
      </c>
      <c r="T296" s="9">
        <v>733</v>
      </c>
      <c r="U296" s="9">
        <v>136909.74</v>
      </c>
      <c r="V296" s="8" t="s">
        <v>17</v>
      </c>
      <c r="W296" s="8">
        <v>614023.32999999996</v>
      </c>
      <c r="X296" s="8">
        <v>9</v>
      </c>
      <c r="Y296" s="8">
        <v>12321.88</v>
      </c>
      <c r="Z296" s="8">
        <v>9</v>
      </c>
      <c r="AA296" s="8">
        <v>12321.88</v>
      </c>
      <c r="AB296" s="8">
        <v>0</v>
      </c>
      <c r="AC296" s="8">
        <v>0</v>
      </c>
      <c r="AD296" s="8">
        <v>0</v>
      </c>
      <c r="AE296" s="8">
        <v>24643.759999999998</v>
      </c>
      <c r="AF296" s="8">
        <v>0</v>
      </c>
      <c r="AG296" s="8" t="s">
        <v>65</v>
      </c>
      <c r="AH296" s="8" t="s">
        <v>11</v>
      </c>
      <c r="AI296" s="8">
        <v>39200000</v>
      </c>
      <c r="AJ296" s="8" t="s">
        <v>60</v>
      </c>
      <c r="AK296" s="8">
        <v>1</v>
      </c>
      <c r="AL296" s="8">
        <v>0</v>
      </c>
      <c r="AM296" s="8" t="s">
        <v>1940</v>
      </c>
    </row>
    <row r="297" spans="7:39" ht="12.75" customHeight="1">
      <c r="G297" s="347"/>
      <c r="H297" s="348" t="s">
        <v>3030</v>
      </c>
      <c r="I297" s="8" t="s">
        <v>87</v>
      </c>
      <c r="J297" s="8" t="s">
        <v>91</v>
      </c>
      <c r="K297" s="8" t="s">
        <v>3036</v>
      </c>
      <c r="L297" s="8" t="s">
        <v>98</v>
      </c>
      <c r="M297" s="8" t="s">
        <v>3037</v>
      </c>
      <c r="N297" s="7" t="s">
        <v>3033</v>
      </c>
      <c r="O297" s="8" t="s">
        <v>13</v>
      </c>
      <c r="P297" s="8" t="s">
        <v>62</v>
      </c>
      <c r="Q297" s="8" t="s">
        <v>63</v>
      </c>
      <c r="R297" s="8" t="s">
        <v>64</v>
      </c>
      <c r="S297" s="8" t="s">
        <v>19</v>
      </c>
      <c r="T297" s="9">
        <v>865</v>
      </c>
      <c r="U297" s="9">
        <v>124983.85</v>
      </c>
      <c r="V297" s="8" t="s">
        <v>19</v>
      </c>
      <c r="W297" s="8">
        <v>0</v>
      </c>
      <c r="X297" s="8">
        <v>9</v>
      </c>
      <c r="Y297" s="8">
        <v>11248.55</v>
      </c>
      <c r="Z297" s="8">
        <v>9</v>
      </c>
      <c r="AA297" s="8">
        <v>11248.55</v>
      </c>
      <c r="AB297" s="8">
        <v>0</v>
      </c>
      <c r="AC297" s="8">
        <v>0</v>
      </c>
      <c r="AD297" s="8">
        <v>0</v>
      </c>
      <c r="AE297" s="8">
        <v>22497.1</v>
      </c>
      <c r="AF297" s="8">
        <v>0</v>
      </c>
      <c r="AG297" s="8" t="s">
        <v>65</v>
      </c>
      <c r="AH297" s="8" t="s">
        <v>11</v>
      </c>
      <c r="AI297" s="8">
        <v>39269080</v>
      </c>
      <c r="AJ297" s="8" t="s">
        <v>60</v>
      </c>
      <c r="AK297" s="8">
        <v>1</v>
      </c>
      <c r="AL297" s="8">
        <v>0</v>
      </c>
      <c r="AM297" s="8" t="s">
        <v>1940</v>
      </c>
    </row>
    <row r="298" spans="7:39" ht="12.75" customHeight="1">
      <c r="G298" s="347"/>
      <c r="H298" s="348" t="s">
        <v>3030</v>
      </c>
      <c r="I298" s="8" t="s">
        <v>87</v>
      </c>
      <c r="J298" s="8" t="s">
        <v>91</v>
      </c>
      <c r="K298" s="8" t="s">
        <v>3036</v>
      </c>
      <c r="L298" s="8" t="s">
        <v>98</v>
      </c>
      <c r="M298" s="8" t="s">
        <v>3037</v>
      </c>
      <c r="N298" s="7" t="s">
        <v>3033</v>
      </c>
      <c r="O298" s="8" t="s">
        <v>13</v>
      </c>
      <c r="P298" s="8" t="s">
        <v>24</v>
      </c>
      <c r="Q298" s="8" t="s">
        <v>79</v>
      </c>
      <c r="R298" s="8" t="s">
        <v>79</v>
      </c>
      <c r="S298" s="8" t="s">
        <v>24</v>
      </c>
      <c r="T298" s="9">
        <v>910.3</v>
      </c>
      <c r="U298" s="9">
        <v>133349.85</v>
      </c>
      <c r="V298" s="8" t="s">
        <v>24</v>
      </c>
      <c r="W298" s="8">
        <v>0</v>
      </c>
      <c r="X298" s="8">
        <v>9</v>
      </c>
      <c r="Y298" s="8">
        <v>12001.49</v>
      </c>
      <c r="Z298" s="8">
        <v>9</v>
      </c>
      <c r="AA298" s="8">
        <v>12001.49</v>
      </c>
      <c r="AB298" s="8">
        <v>0</v>
      </c>
      <c r="AC298" s="8">
        <v>0</v>
      </c>
      <c r="AD298" s="8">
        <v>0</v>
      </c>
      <c r="AE298" s="8">
        <v>24002.98</v>
      </c>
      <c r="AF298" s="8">
        <v>0</v>
      </c>
      <c r="AG298" s="8" t="s">
        <v>65</v>
      </c>
      <c r="AH298" s="8" t="s">
        <v>11</v>
      </c>
      <c r="AI298" s="8">
        <v>3926908</v>
      </c>
      <c r="AJ298" s="8" t="s">
        <v>60</v>
      </c>
      <c r="AK298" s="8">
        <v>1</v>
      </c>
      <c r="AL298" s="8">
        <v>0</v>
      </c>
      <c r="AM298" s="8" t="s">
        <v>1940</v>
      </c>
    </row>
    <row r="299" spans="7:39" ht="12.75" customHeight="1">
      <c r="G299" s="347"/>
      <c r="H299" s="348" t="s">
        <v>3030</v>
      </c>
      <c r="I299" s="8" t="s">
        <v>87</v>
      </c>
      <c r="J299" s="8" t="s">
        <v>91</v>
      </c>
      <c r="K299" s="8" t="s">
        <v>3036</v>
      </c>
      <c r="L299" s="8" t="s">
        <v>98</v>
      </c>
      <c r="M299" s="8" t="s">
        <v>3037</v>
      </c>
      <c r="N299" s="7" t="s">
        <v>3033</v>
      </c>
      <c r="O299" s="8" t="s">
        <v>13</v>
      </c>
      <c r="P299" s="8" t="s">
        <v>24</v>
      </c>
      <c r="Q299" s="8" t="s">
        <v>79</v>
      </c>
      <c r="R299" s="8" t="s">
        <v>79</v>
      </c>
      <c r="S299" s="8" t="s">
        <v>24</v>
      </c>
      <c r="T299" s="9">
        <v>839.9</v>
      </c>
      <c r="U299" s="9">
        <v>125556.65</v>
      </c>
      <c r="V299" s="8" t="s">
        <v>24</v>
      </c>
      <c r="W299" s="8">
        <v>0</v>
      </c>
      <c r="X299" s="8">
        <v>9</v>
      </c>
      <c r="Y299" s="8">
        <v>11300.1</v>
      </c>
      <c r="Z299" s="8">
        <v>9</v>
      </c>
      <c r="AA299" s="8">
        <v>11300.1</v>
      </c>
      <c r="AB299" s="8">
        <v>0</v>
      </c>
      <c r="AC299" s="8">
        <v>0</v>
      </c>
      <c r="AD299" s="8">
        <v>0</v>
      </c>
      <c r="AE299" s="8">
        <v>22600.2</v>
      </c>
      <c r="AF299" s="8">
        <v>0</v>
      </c>
      <c r="AG299" s="8" t="s">
        <v>65</v>
      </c>
      <c r="AH299" s="8" t="s">
        <v>11</v>
      </c>
      <c r="AI299" s="8">
        <v>3926908</v>
      </c>
      <c r="AJ299" s="8" t="s">
        <v>60</v>
      </c>
      <c r="AK299" s="8">
        <v>1</v>
      </c>
      <c r="AL299" s="8">
        <v>0</v>
      </c>
      <c r="AM299" s="8" t="s">
        <v>1940</v>
      </c>
    </row>
    <row r="300" spans="7:39" ht="12.75" customHeight="1">
      <c r="G300" s="347"/>
      <c r="H300" s="348" t="s">
        <v>3030</v>
      </c>
      <c r="I300" s="8" t="s">
        <v>87</v>
      </c>
      <c r="J300" s="8" t="s">
        <v>91</v>
      </c>
      <c r="K300" s="8" t="s">
        <v>3038</v>
      </c>
      <c r="L300" s="8" t="s">
        <v>98</v>
      </c>
      <c r="M300" s="8" t="s">
        <v>3039</v>
      </c>
      <c r="N300" s="7" t="s">
        <v>3033</v>
      </c>
      <c r="O300" s="8" t="s">
        <v>13</v>
      </c>
      <c r="P300" s="8" t="s">
        <v>62</v>
      </c>
      <c r="Q300" s="8" t="s">
        <v>63</v>
      </c>
      <c r="R300" s="8" t="s">
        <v>64</v>
      </c>
      <c r="S300" s="8" t="s">
        <v>19</v>
      </c>
      <c r="T300" s="9">
        <v>4938</v>
      </c>
      <c r="U300" s="9">
        <v>713491.62</v>
      </c>
      <c r="V300" s="8" t="s">
        <v>19</v>
      </c>
      <c r="W300" s="8">
        <v>1763092.96</v>
      </c>
      <c r="X300" s="8">
        <v>9</v>
      </c>
      <c r="Y300" s="8">
        <v>64214.25</v>
      </c>
      <c r="Z300" s="8">
        <v>9</v>
      </c>
      <c r="AA300" s="8">
        <v>64214.25</v>
      </c>
      <c r="AB300" s="8">
        <v>0</v>
      </c>
      <c r="AC300" s="8">
        <v>0</v>
      </c>
      <c r="AD300" s="8">
        <v>0</v>
      </c>
      <c r="AE300" s="8">
        <v>128428.5</v>
      </c>
      <c r="AF300" s="8">
        <v>0</v>
      </c>
      <c r="AG300" s="8" t="s">
        <v>65</v>
      </c>
      <c r="AH300" s="8" t="s">
        <v>11</v>
      </c>
      <c r="AI300" s="8">
        <v>39269080</v>
      </c>
      <c r="AJ300" s="8" t="s">
        <v>60</v>
      </c>
      <c r="AK300" s="8">
        <v>1</v>
      </c>
      <c r="AL300" s="8">
        <v>0</v>
      </c>
      <c r="AM300" s="8" t="s">
        <v>1940</v>
      </c>
    </row>
    <row r="301" spans="7:39" ht="12.75" customHeight="1">
      <c r="G301" s="347"/>
      <c r="H301" s="348" t="s">
        <v>3030</v>
      </c>
      <c r="I301" s="8" t="s">
        <v>87</v>
      </c>
      <c r="J301" s="8" t="s">
        <v>91</v>
      </c>
      <c r="K301" s="8" t="s">
        <v>3038</v>
      </c>
      <c r="L301" s="8" t="s">
        <v>98</v>
      </c>
      <c r="M301" s="8" t="s">
        <v>3039</v>
      </c>
      <c r="N301" s="7" t="s">
        <v>3033</v>
      </c>
      <c r="O301" s="8" t="s">
        <v>13</v>
      </c>
      <c r="P301" s="8" t="s">
        <v>62</v>
      </c>
      <c r="Q301" s="8" t="s">
        <v>63</v>
      </c>
      <c r="R301" s="8" t="s">
        <v>64</v>
      </c>
      <c r="S301" s="8" t="s">
        <v>19</v>
      </c>
      <c r="T301" s="9">
        <v>891</v>
      </c>
      <c r="U301" s="9">
        <v>131413.59</v>
      </c>
      <c r="V301" s="8" t="s">
        <v>19</v>
      </c>
      <c r="W301" s="8">
        <v>0</v>
      </c>
      <c r="X301" s="8">
        <v>9</v>
      </c>
      <c r="Y301" s="8">
        <v>11827.22</v>
      </c>
      <c r="Z301" s="8">
        <v>9</v>
      </c>
      <c r="AA301" s="8">
        <v>11827.22</v>
      </c>
      <c r="AB301" s="8">
        <v>0</v>
      </c>
      <c r="AC301" s="8">
        <v>0</v>
      </c>
      <c r="AD301" s="8">
        <v>0</v>
      </c>
      <c r="AE301" s="8">
        <v>23654.44</v>
      </c>
      <c r="AF301" s="8">
        <v>0</v>
      </c>
      <c r="AG301" s="8" t="s">
        <v>65</v>
      </c>
      <c r="AH301" s="8" t="s">
        <v>11</v>
      </c>
      <c r="AI301" s="8">
        <v>39269080</v>
      </c>
      <c r="AJ301" s="8" t="s">
        <v>60</v>
      </c>
      <c r="AK301" s="8">
        <v>1</v>
      </c>
      <c r="AL301" s="8">
        <v>0</v>
      </c>
      <c r="AM301" s="8" t="s">
        <v>1940</v>
      </c>
    </row>
    <row r="302" spans="7:39" ht="12.75" customHeight="1">
      <c r="G302" s="347"/>
      <c r="H302" s="348" t="s">
        <v>3030</v>
      </c>
      <c r="I302" s="8" t="s">
        <v>87</v>
      </c>
      <c r="J302" s="8" t="s">
        <v>91</v>
      </c>
      <c r="K302" s="8" t="s">
        <v>3038</v>
      </c>
      <c r="L302" s="8" t="s">
        <v>98</v>
      </c>
      <c r="M302" s="8" t="s">
        <v>3039</v>
      </c>
      <c r="N302" s="7" t="s">
        <v>3033</v>
      </c>
      <c r="O302" s="8" t="s">
        <v>13</v>
      </c>
      <c r="P302" s="8" t="s">
        <v>62</v>
      </c>
      <c r="Q302" s="8" t="s">
        <v>63</v>
      </c>
      <c r="R302" s="8" t="s">
        <v>64</v>
      </c>
      <c r="S302" s="8" t="s">
        <v>19</v>
      </c>
      <c r="T302" s="9">
        <v>2916</v>
      </c>
      <c r="U302" s="9">
        <v>427164.84</v>
      </c>
      <c r="V302" s="8" t="s">
        <v>19</v>
      </c>
      <c r="W302" s="8">
        <v>0</v>
      </c>
      <c r="X302" s="8">
        <v>9</v>
      </c>
      <c r="Y302" s="8">
        <v>38444.839999999997</v>
      </c>
      <c r="Z302" s="8">
        <v>9</v>
      </c>
      <c r="AA302" s="8">
        <v>38444.839999999997</v>
      </c>
      <c r="AB302" s="8">
        <v>0</v>
      </c>
      <c r="AC302" s="8">
        <v>0</v>
      </c>
      <c r="AD302" s="8">
        <v>0</v>
      </c>
      <c r="AE302" s="8">
        <v>76889.679999999993</v>
      </c>
      <c r="AF302" s="8">
        <v>0</v>
      </c>
      <c r="AG302" s="8" t="s">
        <v>65</v>
      </c>
      <c r="AH302" s="8" t="s">
        <v>11</v>
      </c>
      <c r="AI302" s="8">
        <v>39269080</v>
      </c>
      <c r="AJ302" s="8" t="s">
        <v>60</v>
      </c>
      <c r="AK302" s="8">
        <v>1</v>
      </c>
      <c r="AL302" s="8">
        <v>0</v>
      </c>
      <c r="AM302" s="8" t="s">
        <v>1940</v>
      </c>
    </row>
    <row r="303" spans="7:39" ht="12.75" customHeight="1">
      <c r="G303" s="347"/>
      <c r="H303" s="348" t="s">
        <v>3030</v>
      </c>
      <c r="I303" s="8" t="s">
        <v>87</v>
      </c>
      <c r="J303" s="8" t="s">
        <v>91</v>
      </c>
      <c r="K303" s="8" t="s">
        <v>3038</v>
      </c>
      <c r="L303" s="8" t="s">
        <v>98</v>
      </c>
      <c r="M303" s="8" t="s">
        <v>3039</v>
      </c>
      <c r="N303" s="7" t="s">
        <v>3033</v>
      </c>
      <c r="O303" s="8" t="s">
        <v>13</v>
      </c>
      <c r="P303" s="8" t="s">
        <v>62</v>
      </c>
      <c r="Q303" s="8" t="s">
        <v>76</v>
      </c>
      <c r="R303" s="8" t="s">
        <v>77</v>
      </c>
      <c r="S303" s="8" t="s">
        <v>21</v>
      </c>
      <c r="T303" s="9">
        <v>486</v>
      </c>
      <c r="U303" s="9">
        <v>72166.14</v>
      </c>
      <c r="V303" s="8" t="s">
        <v>21</v>
      </c>
      <c r="W303" s="8">
        <v>0</v>
      </c>
      <c r="X303" s="8">
        <v>9</v>
      </c>
      <c r="Y303" s="8">
        <v>6494.95</v>
      </c>
      <c r="Z303" s="8">
        <v>9</v>
      </c>
      <c r="AA303" s="8">
        <v>6494.95</v>
      </c>
      <c r="AB303" s="8">
        <v>0</v>
      </c>
      <c r="AC303" s="8">
        <v>0</v>
      </c>
      <c r="AD303" s="8">
        <v>0</v>
      </c>
      <c r="AE303" s="8">
        <v>12989.9</v>
      </c>
      <c r="AF303" s="8">
        <v>0</v>
      </c>
      <c r="AG303" s="8" t="s">
        <v>65</v>
      </c>
      <c r="AH303" s="8" t="s">
        <v>11</v>
      </c>
      <c r="AI303" s="8">
        <v>63053300</v>
      </c>
      <c r="AJ303" s="8" t="s">
        <v>60</v>
      </c>
      <c r="AK303" s="8">
        <v>1</v>
      </c>
      <c r="AL303" s="8">
        <v>0</v>
      </c>
      <c r="AM303" s="8" t="s">
        <v>1940</v>
      </c>
    </row>
    <row r="304" spans="7:39" ht="12.75" customHeight="1">
      <c r="G304" s="347"/>
      <c r="H304" s="348" t="s">
        <v>3030</v>
      </c>
      <c r="I304" s="8" t="s">
        <v>87</v>
      </c>
      <c r="J304" s="8" t="s">
        <v>91</v>
      </c>
      <c r="K304" s="8" t="s">
        <v>3038</v>
      </c>
      <c r="L304" s="8" t="s">
        <v>98</v>
      </c>
      <c r="M304" s="8" t="s">
        <v>3039</v>
      </c>
      <c r="N304" s="7" t="s">
        <v>3033</v>
      </c>
      <c r="O304" s="8" t="s">
        <v>13</v>
      </c>
      <c r="P304" s="8" t="s">
        <v>62</v>
      </c>
      <c r="Q304" s="8" t="s">
        <v>76</v>
      </c>
      <c r="R304" s="8" t="s">
        <v>77</v>
      </c>
      <c r="S304" s="8" t="s">
        <v>21</v>
      </c>
      <c r="T304" s="9">
        <v>1032</v>
      </c>
      <c r="U304" s="9">
        <v>151177.68</v>
      </c>
      <c r="V304" s="8" t="s">
        <v>21</v>
      </c>
      <c r="W304" s="8">
        <v>0</v>
      </c>
      <c r="X304" s="8">
        <v>9</v>
      </c>
      <c r="Y304" s="8">
        <v>13605.99</v>
      </c>
      <c r="Z304" s="8">
        <v>9</v>
      </c>
      <c r="AA304" s="8">
        <v>13605.99</v>
      </c>
      <c r="AB304" s="8">
        <v>0</v>
      </c>
      <c r="AC304" s="8">
        <v>0</v>
      </c>
      <c r="AD304" s="8">
        <v>0</v>
      </c>
      <c r="AE304" s="8">
        <v>27211.98</v>
      </c>
      <c r="AF304" s="8">
        <v>0</v>
      </c>
      <c r="AG304" s="8" t="s">
        <v>65</v>
      </c>
      <c r="AH304" s="8" t="s">
        <v>11</v>
      </c>
      <c r="AI304" s="8">
        <v>63053300</v>
      </c>
      <c r="AJ304" s="8" t="s">
        <v>60</v>
      </c>
      <c r="AK304" s="8">
        <v>1</v>
      </c>
      <c r="AL304" s="8">
        <v>0</v>
      </c>
      <c r="AM304" s="8" t="s">
        <v>1940</v>
      </c>
    </row>
    <row r="305" spans="7:39" ht="12.75" customHeight="1">
      <c r="G305" s="347"/>
      <c r="H305" s="348" t="s">
        <v>3030</v>
      </c>
      <c r="I305" s="8" t="s">
        <v>87</v>
      </c>
      <c r="J305" s="8" t="s">
        <v>91</v>
      </c>
      <c r="K305" s="8" t="s">
        <v>3040</v>
      </c>
      <c r="L305" s="8" t="s">
        <v>98</v>
      </c>
      <c r="M305" s="8" t="s">
        <v>3041</v>
      </c>
      <c r="N305" s="7" t="s">
        <v>3030</v>
      </c>
      <c r="O305" s="8" t="s">
        <v>13</v>
      </c>
      <c r="P305" s="8" t="s">
        <v>62</v>
      </c>
      <c r="Q305" s="8" t="s">
        <v>63</v>
      </c>
      <c r="R305" s="8" t="s">
        <v>64</v>
      </c>
      <c r="S305" s="8" t="s">
        <v>19</v>
      </c>
      <c r="T305" s="9">
        <v>1708</v>
      </c>
      <c r="U305" s="9">
        <v>250204.92</v>
      </c>
      <c r="V305" s="8" t="s">
        <v>19</v>
      </c>
      <c r="W305" s="8">
        <v>1144891.02</v>
      </c>
      <c r="X305" s="8">
        <v>9</v>
      </c>
      <c r="Y305" s="8">
        <v>22518.44</v>
      </c>
      <c r="Z305" s="8">
        <v>9</v>
      </c>
      <c r="AA305" s="8">
        <v>22518.44</v>
      </c>
      <c r="AB305" s="8">
        <v>0</v>
      </c>
      <c r="AC305" s="8">
        <v>0</v>
      </c>
      <c r="AD305" s="8">
        <v>0</v>
      </c>
      <c r="AE305" s="8">
        <v>45036.88</v>
      </c>
      <c r="AF305" s="8">
        <v>0</v>
      </c>
      <c r="AG305" s="8" t="s">
        <v>65</v>
      </c>
      <c r="AH305" s="8" t="s">
        <v>11</v>
      </c>
      <c r="AI305" s="8">
        <v>39269080</v>
      </c>
      <c r="AJ305" s="8" t="s">
        <v>60</v>
      </c>
      <c r="AK305" s="8">
        <v>1</v>
      </c>
      <c r="AL305" s="8">
        <v>0</v>
      </c>
      <c r="AM305" s="8" t="s">
        <v>1940</v>
      </c>
    </row>
    <row r="306" spans="7:39" ht="12.75" customHeight="1">
      <c r="G306" s="347"/>
      <c r="H306" s="348" t="s">
        <v>3030</v>
      </c>
      <c r="I306" s="8" t="s">
        <v>87</v>
      </c>
      <c r="J306" s="8" t="s">
        <v>91</v>
      </c>
      <c r="K306" s="8" t="s">
        <v>3040</v>
      </c>
      <c r="L306" s="8" t="s">
        <v>98</v>
      </c>
      <c r="M306" s="8" t="s">
        <v>3041</v>
      </c>
      <c r="N306" s="7" t="s">
        <v>3030</v>
      </c>
      <c r="O306" s="8" t="s">
        <v>13</v>
      </c>
      <c r="P306" s="8" t="s">
        <v>62</v>
      </c>
      <c r="Q306" s="8" t="s">
        <v>63</v>
      </c>
      <c r="R306" s="8" t="s">
        <v>64</v>
      </c>
      <c r="S306" s="8" t="s">
        <v>19</v>
      </c>
      <c r="T306" s="9">
        <v>4791</v>
      </c>
      <c r="U306" s="9">
        <v>692251.59</v>
      </c>
      <c r="V306" s="8" t="s">
        <v>19</v>
      </c>
      <c r="W306" s="8">
        <v>0</v>
      </c>
      <c r="X306" s="8">
        <v>9</v>
      </c>
      <c r="Y306" s="8">
        <v>62302.64</v>
      </c>
      <c r="Z306" s="8">
        <v>9</v>
      </c>
      <c r="AA306" s="8">
        <v>62302.64</v>
      </c>
      <c r="AB306" s="8">
        <v>0</v>
      </c>
      <c r="AC306" s="8">
        <v>0</v>
      </c>
      <c r="AD306" s="8">
        <v>0</v>
      </c>
      <c r="AE306" s="8">
        <v>124605.28</v>
      </c>
      <c r="AF306" s="8">
        <v>0</v>
      </c>
      <c r="AG306" s="8" t="s">
        <v>65</v>
      </c>
      <c r="AH306" s="8" t="s">
        <v>11</v>
      </c>
      <c r="AI306" s="8">
        <v>39269080</v>
      </c>
      <c r="AJ306" s="8" t="s">
        <v>60</v>
      </c>
      <c r="AK306" s="8">
        <v>1</v>
      </c>
      <c r="AL306" s="8">
        <v>0</v>
      </c>
      <c r="AM306" s="8" t="s">
        <v>1940</v>
      </c>
    </row>
    <row r="307" spans="7:39" ht="12.75" customHeight="1">
      <c r="G307" s="347"/>
      <c r="H307" s="348" t="s">
        <v>3030</v>
      </c>
      <c r="I307" s="8" t="s">
        <v>87</v>
      </c>
      <c r="J307" s="8" t="s">
        <v>91</v>
      </c>
      <c r="K307" s="8" t="s">
        <v>3040</v>
      </c>
      <c r="L307" s="8" t="s">
        <v>98</v>
      </c>
      <c r="M307" s="8" t="s">
        <v>3041</v>
      </c>
      <c r="N307" s="7" t="s">
        <v>3030</v>
      </c>
      <c r="O307" s="8" t="s">
        <v>13</v>
      </c>
      <c r="P307" s="8" t="s">
        <v>62</v>
      </c>
      <c r="Q307" s="8" t="s">
        <v>63</v>
      </c>
      <c r="R307" s="8" t="s">
        <v>64</v>
      </c>
      <c r="S307" s="8" t="s">
        <v>19</v>
      </c>
      <c r="T307" s="9">
        <v>194</v>
      </c>
      <c r="U307" s="9">
        <v>28613.06</v>
      </c>
      <c r="V307" s="8" t="s">
        <v>19</v>
      </c>
      <c r="W307" s="8">
        <v>0</v>
      </c>
      <c r="X307" s="8">
        <v>9</v>
      </c>
      <c r="Y307" s="8">
        <v>2575.1799999999998</v>
      </c>
      <c r="Z307" s="8">
        <v>9</v>
      </c>
      <c r="AA307" s="8">
        <v>2575.1799999999998</v>
      </c>
      <c r="AB307" s="8">
        <v>0</v>
      </c>
      <c r="AC307" s="8">
        <v>0</v>
      </c>
      <c r="AD307" s="8">
        <v>0</v>
      </c>
      <c r="AE307" s="8">
        <v>5150.3599999999997</v>
      </c>
      <c r="AF307" s="8">
        <v>0</v>
      </c>
      <c r="AG307" s="8" t="s">
        <v>65</v>
      </c>
      <c r="AH307" s="8" t="s">
        <v>11</v>
      </c>
      <c r="AI307" s="8">
        <v>39269080</v>
      </c>
      <c r="AJ307" s="8" t="s">
        <v>60</v>
      </c>
      <c r="AK307" s="8">
        <v>1</v>
      </c>
      <c r="AL307" s="8">
        <v>0</v>
      </c>
      <c r="AM307" s="8" t="s">
        <v>1940</v>
      </c>
    </row>
    <row r="308" spans="7:39" ht="12.75" customHeight="1">
      <c r="G308" s="347"/>
      <c r="H308" s="348" t="s">
        <v>3030</v>
      </c>
      <c r="I308" s="8" t="s">
        <v>87</v>
      </c>
      <c r="J308" s="8" t="s">
        <v>91</v>
      </c>
      <c r="K308" s="8" t="s">
        <v>3042</v>
      </c>
      <c r="L308" s="8" t="s">
        <v>98</v>
      </c>
      <c r="M308" s="8" t="s">
        <v>3043</v>
      </c>
      <c r="N308" s="7" t="s">
        <v>3030</v>
      </c>
      <c r="O308" s="8" t="s">
        <v>13</v>
      </c>
      <c r="P308" s="8" t="s">
        <v>62</v>
      </c>
      <c r="Q308" s="8" t="s">
        <v>63</v>
      </c>
      <c r="R308" s="8" t="s">
        <v>64</v>
      </c>
      <c r="S308" s="8" t="s">
        <v>19</v>
      </c>
      <c r="T308" s="9">
        <v>1443</v>
      </c>
      <c r="U308" s="9">
        <v>208499.07</v>
      </c>
      <c r="V308" s="8" t="s">
        <v>19</v>
      </c>
      <c r="W308" s="8">
        <v>245820.41</v>
      </c>
      <c r="X308" s="8">
        <v>9</v>
      </c>
      <c r="Y308" s="8">
        <v>18764.919999999998</v>
      </c>
      <c r="Z308" s="8">
        <v>9</v>
      </c>
      <c r="AA308" s="8">
        <v>18764.919999999998</v>
      </c>
      <c r="AB308" s="8">
        <v>0</v>
      </c>
      <c r="AC308" s="8">
        <v>0</v>
      </c>
      <c r="AD308" s="8">
        <v>0</v>
      </c>
      <c r="AE308" s="8">
        <v>37529.839999999997</v>
      </c>
      <c r="AF308" s="8">
        <v>0</v>
      </c>
      <c r="AG308" s="8" t="s">
        <v>65</v>
      </c>
      <c r="AH308" s="8" t="s">
        <v>11</v>
      </c>
      <c r="AI308" s="8">
        <v>39269080</v>
      </c>
      <c r="AJ308" s="8" t="s">
        <v>60</v>
      </c>
      <c r="AK308" s="8">
        <v>1</v>
      </c>
      <c r="AL308" s="8">
        <v>0</v>
      </c>
      <c r="AM308" s="8" t="s">
        <v>1940</v>
      </c>
    </row>
    <row r="309" spans="7:39" ht="12.75" customHeight="1">
      <c r="G309" s="347"/>
      <c r="H309" s="348" t="s">
        <v>3030</v>
      </c>
      <c r="I309" s="8" t="s">
        <v>87</v>
      </c>
      <c r="J309" s="8" t="s">
        <v>91</v>
      </c>
      <c r="K309" s="8" t="s">
        <v>3044</v>
      </c>
      <c r="L309" s="8" t="s">
        <v>98</v>
      </c>
      <c r="M309" s="8" t="s">
        <v>3045</v>
      </c>
      <c r="N309" s="7" t="s">
        <v>3033</v>
      </c>
      <c r="O309" s="8" t="s">
        <v>8</v>
      </c>
      <c r="P309" s="8" t="s">
        <v>110</v>
      </c>
      <c r="Q309" s="8" t="s">
        <v>800</v>
      </c>
      <c r="R309" s="8" t="s">
        <v>800</v>
      </c>
      <c r="S309" s="8" t="s">
        <v>801</v>
      </c>
      <c r="T309" s="9">
        <v>49</v>
      </c>
      <c r="U309" s="9">
        <v>5292</v>
      </c>
      <c r="V309" s="8" t="s">
        <v>801</v>
      </c>
      <c r="W309" s="8">
        <v>6239.27</v>
      </c>
      <c r="X309" s="8">
        <v>9</v>
      </c>
      <c r="Y309" s="8">
        <v>476.28</v>
      </c>
      <c r="Z309" s="8">
        <v>9</v>
      </c>
      <c r="AA309" s="8">
        <v>476.28</v>
      </c>
      <c r="AB309" s="8">
        <v>0</v>
      </c>
      <c r="AC309" s="8">
        <v>0</v>
      </c>
      <c r="AD309" s="8">
        <v>0</v>
      </c>
      <c r="AE309" s="8">
        <v>952.56</v>
      </c>
      <c r="AF309" s="8">
        <v>0</v>
      </c>
      <c r="AG309" s="8" t="s">
        <v>65</v>
      </c>
      <c r="AH309" s="8" t="s">
        <v>11</v>
      </c>
      <c r="AI309" s="8">
        <v>38140010</v>
      </c>
      <c r="AJ309" s="8" t="s">
        <v>60</v>
      </c>
      <c r="AK309" s="8">
        <v>1</v>
      </c>
      <c r="AL309" s="8">
        <v>0</v>
      </c>
      <c r="AM309" s="8" t="s">
        <v>1940</v>
      </c>
    </row>
    <row r="310" spans="7:39" ht="12.75" customHeight="1">
      <c r="G310" s="347"/>
      <c r="H310" s="348" t="s">
        <v>3030</v>
      </c>
      <c r="I310" s="8" t="s">
        <v>87</v>
      </c>
      <c r="J310" s="8" t="s">
        <v>91</v>
      </c>
      <c r="K310" s="8" t="s">
        <v>3046</v>
      </c>
      <c r="L310" s="8" t="s">
        <v>98</v>
      </c>
      <c r="M310" s="8" t="s">
        <v>3047</v>
      </c>
      <c r="N310" s="7" t="s">
        <v>3030</v>
      </c>
      <c r="O310" s="8" t="s">
        <v>13</v>
      </c>
      <c r="P310" s="8" t="s">
        <v>24</v>
      </c>
      <c r="Q310" s="8" t="s">
        <v>79</v>
      </c>
      <c r="R310" s="8" t="s">
        <v>79</v>
      </c>
      <c r="S310" s="8" t="s">
        <v>24</v>
      </c>
      <c r="T310" s="9">
        <v>768.5</v>
      </c>
      <c r="U310" s="9">
        <v>112577.57</v>
      </c>
      <c r="V310" s="8" t="s">
        <v>24</v>
      </c>
      <c r="W310" s="8">
        <v>1219367.46</v>
      </c>
      <c r="X310" s="8">
        <v>9</v>
      </c>
      <c r="Y310" s="8">
        <v>10131.98</v>
      </c>
      <c r="Z310" s="8">
        <v>9</v>
      </c>
      <c r="AA310" s="8">
        <v>10131.98</v>
      </c>
      <c r="AB310" s="8">
        <v>0</v>
      </c>
      <c r="AC310" s="8">
        <v>0</v>
      </c>
      <c r="AD310" s="8">
        <v>0</v>
      </c>
      <c r="AE310" s="8">
        <v>20263.96</v>
      </c>
      <c r="AF310" s="8">
        <v>0</v>
      </c>
      <c r="AG310" s="8" t="s">
        <v>65</v>
      </c>
      <c r="AH310" s="8" t="s">
        <v>11</v>
      </c>
      <c r="AI310" s="8">
        <v>3926908</v>
      </c>
      <c r="AJ310" s="8" t="s">
        <v>60</v>
      </c>
      <c r="AK310" s="8">
        <v>1</v>
      </c>
      <c r="AL310" s="8">
        <v>0</v>
      </c>
      <c r="AM310" s="8" t="s">
        <v>1940</v>
      </c>
    </row>
    <row r="311" spans="7:39" ht="12.75" customHeight="1">
      <c r="G311" s="347"/>
      <c r="H311" s="348" t="s">
        <v>3030</v>
      </c>
      <c r="I311" s="8" t="s">
        <v>87</v>
      </c>
      <c r="J311" s="8" t="s">
        <v>91</v>
      </c>
      <c r="K311" s="8" t="s">
        <v>3046</v>
      </c>
      <c r="L311" s="8" t="s">
        <v>98</v>
      </c>
      <c r="M311" s="8" t="s">
        <v>3047</v>
      </c>
      <c r="N311" s="7" t="s">
        <v>3030</v>
      </c>
      <c r="O311" s="8" t="s">
        <v>13</v>
      </c>
      <c r="P311" s="8" t="s">
        <v>24</v>
      </c>
      <c r="Q311" s="8" t="s">
        <v>79</v>
      </c>
      <c r="R311" s="8" t="s">
        <v>79</v>
      </c>
      <c r="S311" s="8" t="s">
        <v>24</v>
      </c>
      <c r="T311" s="9">
        <v>1506.3</v>
      </c>
      <c r="U311" s="9">
        <v>225176.79</v>
      </c>
      <c r="V311" s="8" t="s">
        <v>24</v>
      </c>
      <c r="W311" s="8">
        <v>0</v>
      </c>
      <c r="X311" s="8">
        <v>9</v>
      </c>
      <c r="Y311" s="8">
        <v>20265.91</v>
      </c>
      <c r="Z311" s="8">
        <v>9</v>
      </c>
      <c r="AA311" s="8">
        <v>20265.91</v>
      </c>
      <c r="AB311" s="8">
        <v>0</v>
      </c>
      <c r="AC311" s="8">
        <v>0</v>
      </c>
      <c r="AD311" s="8">
        <v>0</v>
      </c>
      <c r="AE311" s="8">
        <v>40531.82</v>
      </c>
      <c r="AF311" s="8">
        <v>0</v>
      </c>
      <c r="AG311" s="8" t="s">
        <v>65</v>
      </c>
      <c r="AH311" s="8" t="s">
        <v>11</v>
      </c>
      <c r="AI311" s="8">
        <v>3926908</v>
      </c>
      <c r="AJ311" s="8" t="s">
        <v>60</v>
      </c>
      <c r="AK311" s="8">
        <v>1</v>
      </c>
      <c r="AL311" s="8">
        <v>0</v>
      </c>
      <c r="AM311" s="8" t="s">
        <v>1940</v>
      </c>
    </row>
    <row r="312" spans="7:39" ht="12.75" customHeight="1">
      <c r="G312" s="347"/>
      <c r="H312" s="348" t="s">
        <v>3030</v>
      </c>
      <c r="I312" s="8" t="s">
        <v>87</v>
      </c>
      <c r="J312" s="8" t="s">
        <v>91</v>
      </c>
      <c r="K312" s="8" t="s">
        <v>3046</v>
      </c>
      <c r="L312" s="8" t="s">
        <v>98</v>
      </c>
      <c r="M312" s="8" t="s">
        <v>3047</v>
      </c>
      <c r="N312" s="7" t="s">
        <v>3030</v>
      </c>
      <c r="O312" s="8" t="s">
        <v>13</v>
      </c>
      <c r="P312" s="8" t="s">
        <v>80</v>
      </c>
      <c r="Q312" s="8" t="s">
        <v>81</v>
      </c>
      <c r="R312" s="8" t="s">
        <v>82</v>
      </c>
      <c r="S312" s="8" t="s">
        <v>17</v>
      </c>
      <c r="T312" s="9">
        <v>1440</v>
      </c>
      <c r="U312" s="9">
        <v>268963.20000000001</v>
      </c>
      <c r="V312" s="8" t="s">
        <v>17</v>
      </c>
      <c r="W312" s="8">
        <v>0</v>
      </c>
      <c r="X312" s="8">
        <v>9</v>
      </c>
      <c r="Y312" s="8">
        <v>24206.69</v>
      </c>
      <c r="Z312" s="8">
        <v>9</v>
      </c>
      <c r="AA312" s="8">
        <v>24206.69</v>
      </c>
      <c r="AB312" s="8">
        <v>0</v>
      </c>
      <c r="AC312" s="8">
        <v>0</v>
      </c>
      <c r="AD312" s="8">
        <v>0</v>
      </c>
      <c r="AE312" s="8">
        <v>48413.38</v>
      </c>
      <c r="AF312" s="8">
        <v>0</v>
      </c>
      <c r="AG312" s="8" t="s">
        <v>65</v>
      </c>
      <c r="AH312" s="8" t="s">
        <v>11</v>
      </c>
      <c r="AI312" s="8">
        <v>39200000</v>
      </c>
      <c r="AJ312" s="8" t="s">
        <v>60</v>
      </c>
      <c r="AK312" s="8">
        <v>1</v>
      </c>
      <c r="AL312" s="8">
        <v>0</v>
      </c>
      <c r="AM312" s="8" t="s">
        <v>1940</v>
      </c>
    </row>
    <row r="313" spans="7:39" ht="12.75" customHeight="1">
      <c r="G313" s="347"/>
      <c r="H313" s="348" t="s">
        <v>3030</v>
      </c>
      <c r="I313" s="8" t="s">
        <v>87</v>
      </c>
      <c r="J313" s="8" t="s">
        <v>91</v>
      </c>
      <c r="K313" s="8" t="s">
        <v>3046</v>
      </c>
      <c r="L313" s="8" t="s">
        <v>98</v>
      </c>
      <c r="M313" s="8" t="s">
        <v>3047</v>
      </c>
      <c r="N313" s="7" t="s">
        <v>3030</v>
      </c>
      <c r="O313" s="8" t="s">
        <v>13</v>
      </c>
      <c r="P313" s="8" t="s">
        <v>62</v>
      </c>
      <c r="Q313" s="8" t="s">
        <v>63</v>
      </c>
      <c r="R313" s="8" t="s">
        <v>64</v>
      </c>
      <c r="S313" s="8" t="s">
        <v>19</v>
      </c>
      <c r="T313" s="9">
        <v>2000</v>
      </c>
      <c r="U313" s="9">
        <v>288980</v>
      </c>
      <c r="V313" s="8" t="s">
        <v>19</v>
      </c>
      <c r="W313" s="8">
        <v>0</v>
      </c>
      <c r="X313" s="8">
        <v>9</v>
      </c>
      <c r="Y313" s="8">
        <v>26008.2</v>
      </c>
      <c r="Z313" s="8">
        <v>9</v>
      </c>
      <c r="AA313" s="8">
        <v>26008.2</v>
      </c>
      <c r="AB313" s="8">
        <v>0</v>
      </c>
      <c r="AC313" s="8">
        <v>0</v>
      </c>
      <c r="AD313" s="8">
        <v>0</v>
      </c>
      <c r="AE313" s="8">
        <v>52016.4</v>
      </c>
      <c r="AF313" s="8">
        <v>0</v>
      </c>
      <c r="AG313" s="8" t="s">
        <v>65</v>
      </c>
      <c r="AH313" s="8" t="s">
        <v>11</v>
      </c>
      <c r="AI313" s="8">
        <v>39269080</v>
      </c>
      <c r="AJ313" s="8" t="s">
        <v>60</v>
      </c>
      <c r="AK313" s="8">
        <v>1</v>
      </c>
      <c r="AL313" s="8">
        <v>0</v>
      </c>
      <c r="AM313" s="8" t="s">
        <v>1940</v>
      </c>
    </row>
    <row r="314" spans="7:39" ht="12.75" customHeight="1">
      <c r="G314" s="347"/>
      <c r="H314" s="348" t="s">
        <v>3030</v>
      </c>
      <c r="I314" s="8" t="s">
        <v>87</v>
      </c>
      <c r="J314" s="8" t="s">
        <v>91</v>
      </c>
      <c r="K314" s="8" t="s">
        <v>3046</v>
      </c>
      <c r="L314" s="8" t="s">
        <v>98</v>
      </c>
      <c r="M314" s="8" t="s">
        <v>3047</v>
      </c>
      <c r="N314" s="7" t="s">
        <v>3030</v>
      </c>
      <c r="O314" s="8" t="s">
        <v>13</v>
      </c>
      <c r="P314" s="8" t="s">
        <v>62</v>
      </c>
      <c r="Q314" s="8" t="s">
        <v>76</v>
      </c>
      <c r="R314" s="8" t="s">
        <v>77</v>
      </c>
      <c r="S314" s="8" t="s">
        <v>21</v>
      </c>
      <c r="T314" s="9">
        <v>933</v>
      </c>
      <c r="U314" s="9">
        <v>138541.17000000001</v>
      </c>
      <c r="V314" s="8" t="s">
        <v>21</v>
      </c>
      <c r="W314" s="8">
        <v>0</v>
      </c>
      <c r="X314" s="8">
        <v>9</v>
      </c>
      <c r="Y314" s="8">
        <v>12468.71</v>
      </c>
      <c r="Z314" s="8">
        <v>9</v>
      </c>
      <c r="AA314" s="8">
        <v>12468.71</v>
      </c>
      <c r="AB314" s="8">
        <v>0</v>
      </c>
      <c r="AC314" s="8">
        <v>0</v>
      </c>
      <c r="AD314" s="8">
        <v>0</v>
      </c>
      <c r="AE314" s="8">
        <v>24937.42</v>
      </c>
      <c r="AF314" s="8">
        <v>0</v>
      </c>
      <c r="AG314" s="8" t="s">
        <v>65</v>
      </c>
      <c r="AH314" s="8" t="s">
        <v>11</v>
      </c>
      <c r="AI314" s="8">
        <v>63053300</v>
      </c>
      <c r="AJ314" s="8" t="s">
        <v>60</v>
      </c>
      <c r="AK314" s="8">
        <v>1</v>
      </c>
      <c r="AL314" s="8">
        <v>0</v>
      </c>
      <c r="AM314" s="8" t="s">
        <v>1940</v>
      </c>
    </row>
    <row r="315" spans="7:39" ht="12.75" customHeight="1">
      <c r="G315" s="347"/>
      <c r="H315" s="348" t="s">
        <v>3030</v>
      </c>
      <c r="I315" s="8" t="s">
        <v>89</v>
      </c>
      <c r="J315" s="8" t="s">
        <v>91</v>
      </c>
      <c r="K315" s="8" t="s">
        <v>3048</v>
      </c>
      <c r="L315" s="8" t="s">
        <v>2540</v>
      </c>
      <c r="M315" s="8" t="s">
        <v>3049</v>
      </c>
      <c r="N315" s="7" t="s">
        <v>3033</v>
      </c>
      <c r="O315" s="8" t="s">
        <v>15</v>
      </c>
      <c r="P315" s="8" t="s">
        <v>57</v>
      </c>
      <c r="Q315" s="8" t="s">
        <v>57</v>
      </c>
      <c r="R315" s="8" t="s">
        <v>58</v>
      </c>
      <c r="S315" s="8" t="s">
        <v>16</v>
      </c>
      <c r="T315" s="9">
        <v>2365</v>
      </c>
      <c r="U315" s="9">
        <v>486787.95</v>
      </c>
      <c r="V315" s="8" t="s">
        <v>16</v>
      </c>
      <c r="W315" s="8">
        <v>1868171.49</v>
      </c>
      <c r="X315" s="8">
        <v>9</v>
      </c>
      <c r="Y315" s="8">
        <v>43810.92</v>
      </c>
      <c r="Z315" s="8">
        <v>9</v>
      </c>
      <c r="AA315" s="8">
        <v>43810.92</v>
      </c>
      <c r="AB315" s="8">
        <v>0</v>
      </c>
      <c r="AC315" s="8">
        <v>0</v>
      </c>
      <c r="AD315" s="8">
        <v>0</v>
      </c>
      <c r="AE315" s="8">
        <v>87621.84</v>
      </c>
      <c r="AF315" s="8">
        <v>0</v>
      </c>
      <c r="AG315" s="8" t="s">
        <v>65</v>
      </c>
      <c r="AH315" s="8" t="s">
        <v>11</v>
      </c>
      <c r="AI315" s="8">
        <v>63053200</v>
      </c>
      <c r="AJ315" s="8" t="s">
        <v>60</v>
      </c>
      <c r="AK315" s="8">
        <v>1</v>
      </c>
      <c r="AL315" s="8">
        <v>0</v>
      </c>
      <c r="AM315" s="8" t="s">
        <v>1940</v>
      </c>
    </row>
    <row r="316" spans="7:39" ht="12.75" customHeight="1">
      <c r="G316" s="347"/>
      <c r="H316" s="348" t="s">
        <v>3030</v>
      </c>
      <c r="I316" s="8" t="s">
        <v>89</v>
      </c>
      <c r="J316" s="8" t="s">
        <v>91</v>
      </c>
      <c r="K316" s="8" t="s">
        <v>3048</v>
      </c>
      <c r="L316" s="8" t="s">
        <v>2540</v>
      </c>
      <c r="M316" s="8" t="s">
        <v>3049</v>
      </c>
      <c r="N316" s="7" t="s">
        <v>3033</v>
      </c>
      <c r="O316" s="8" t="s">
        <v>15</v>
      </c>
      <c r="P316" s="8" t="s">
        <v>57</v>
      </c>
      <c r="Q316" s="8" t="s">
        <v>57</v>
      </c>
      <c r="R316" s="8" t="s">
        <v>58</v>
      </c>
      <c r="S316" s="8" t="s">
        <v>16</v>
      </c>
      <c r="T316" s="9">
        <v>2041</v>
      </c>
      <c r="U316" s="9">
        <v>400321.74</v>
      </c>
      <c r="V316" s="8" t="s">
        <v>16</v>
      </c>
      <c r="W316" s="8">
        <v>0</v>
      </c>
      <c r="X316" s="8">
        <v>9</v>
      </c>
      <c r="Y316" s="8">
        <v>36028.959999999999</v>
      </c>
      <c r="Z316" s="8">
        <v>9</v>
      </c>
      <c r="AA316" s="8">
        <v>36028.959999999999</v>
      </c>
      <c r="AB316" s="8">
        <v>0</v>
      </c>
      <c r="AC316" s="8">
        <v>0</v>
      </c>
      <c r="AD316" s="8">
        <v>0</v>
      </c>
      <c r="AE316" s="8">
        <v>72057.919999999998</v>
      </c>
      <c r="AF316" s="8">
        <v>0</v>
      </c>
      <c r="AG316" s="8" t="s">
        <v>65</v>
      </c>
      <c r="AH316" s="8" t="s">
        <v>11</v>
      </c>
      <c r="AI316" s="8">
        <v>63053200</v>
      </c>
      <c r="AJ316" s="8" t="s">
        <v>60</v>
      </c>
      <c r="AK316" s="8">
        <v>1</v>
      </c>
      <c r="AL316" s="8">
        <v>0</v>
      </c>
      <c r="AM316" s="8" t="s">
        <v>1940</v>
      </c>
    </row>
    <row r="317" spans="7:39" ht="12.75" customHeight="1">
      <c r="G317" s="347"/>
      <c r="H317" s="348" t="s">
        <v>3030</v>
      </c>
      <c r="I317" s="8" t="s">
        <v>89</v>
      </c>
      <c r="J317" s="8" t="s">
        <v>91</v>
      </c>
      <c r="K317" s="8" t="s">
        <v>3048</v>
      </c>
      <c r="L317" s="8" t="s">
        <v>2540</v>
      </c>
      <c r="M317" s="8" t="s">
        <v>3049</v>
      </c>
      <c r="N317" s="7" t="s">
        <v>3033</v>
      </c>
      <c r="O317" s="8" t="s">
        <v>15</v>
      </c>
      <c r="P317" s="8" t="s">
        <v>57</v>
      </c>
      <c r="Q317" s="8" t="s">
        <v>57</v>
      </c>
      <c r="R317" s="8" t="s">
        <v>58</v>
      </c>
      <c r="S317" s="8" t="s">
        <v>16</v>
      </c>
      <c r="T317" s="9">
        <v>3590</v>
      </c>
      <c r="U317" s="9">
        <v>697429.3</v>
      </c>
      <c r="V317" s="8" t="s">
        <v>16</v>
      </c>
      <c r="W317" s="8">
        <v>0</v>
      </c>
      <c r="X317" s="8">
        <v>9</v>
      </c>
      <c r="Y317" s="8">
        <v>62768.639999999999</v>
      </c>
      <c r="Z317" s="8">
        <v>9</v>
      </c>
      <c r="AA317" s="8">
        <v>62768.639999999999</v>
      </c>
      <c r="AB317" s="8">
        <v>0</v>
      </c>
      <c r="AC317" s="8">
        <v>0</v>
      </c>
      <c r="AD317" s="8">
        <v>0</v>
      </c>
      <c r="AE317" s="8">
        <v>125537.28</v>
      </c>
      <c r="AF317" s="8">
        <v>0</v>
      </c>
      <c r="AG317" s="8" t="s">
        <v>65</v>
      </c>
      <c r="AH317" s="8" t="s">
        <v>11</v>
      </c>
      <c r="AI317" s="8">
        <v>63053200</v>
      </c>
      <c r="AJ317" s="8" t="s">
        <v>60</v>
      </c>
      <c r="AK317" s="8">
        <v>1</v>
      </c>
      <c r="AL317" s="8">
        <v>0</v>
      </c>
      <c r="AM317" s="8" t="s">
        <v>1940</v>
      </c>
    </row>
    <row r="318" spans="7:39" ht="12.75" customHeight="1">
      <c r="G318" s="347"/>
      <c r="H318" s="348" t="s">
        <v>3030</v>
      </c>
      <c r="I318" s="8" t="s">
        <v>94</v>
      </c>
      <c r="J318" s="8" t="s">
        <v>96</v>
      </c>
      <c r="K318" s="8" t="s">
        <v>3050</v>
      </c>
      <c r="L318" s="8" t="s">
        <v>97</v>
      </c>
      <c r="M318" s="8" t="s">
        <v>1529</v>
      </c>
      <c r="N318" s="7" t="s">
        <v>3030</v>
      </c>
      <c r="O318" s="8" t="s">
        <v>2</v>
      </c>
      <c r="P318" s="8" t="s">
        <v>67</v>
      </c>
      <c r="Q318" s="8" t="s">
        <v>68</v>
      </c>
      <c r="R318" s="8" t="s">
        <v>69</v>
      </c>
      <c r="S318" s="8" t="s">
        <v>70</v>
      </c>
      <c r="T318" s="9">
        <v>26</v>
      </c>
      <c r="U318" s="9">
        <v>1248</v>
      </c>
      <c r="V318" s="8" t="s">
        <v>70</v>
      </c>
      <c r="W318" s="8">
        <v>1471.39</v>
      </c>
      <c r="X318" s="8">
        <v>9</v>
      </c>
      <c r="Y318" s="8">
        <v>112.32</v>
      </c>
      <c r="Z318" s="8">
        <v>9</v>
      </c>
      <c r="AA318" s="8">
        <v>112.32</v>
      </c>
      <c r="AB318" s="8">
        <v>0</v>
      </c>
      <c r="AC318" s="8">
        <v>0</v>
      </c>
      <c r="AD318" s="8">
        <v>0</v>
      </c>
      <c r="AE318" s="8">
        <v>224.64</v>
      </c>
      <c r="AF318" s="8">
        <v>0</v>
      </c>
      <c r="AG318" s="8" t="s">
        <v>74</v>
      </c>
      <c r="AH318" s="8" t="s">
        <v>11</v>
      </c>
      <c r="AI318" s="8">
        <v>73063090</v>
      </c>
      <c r="AJ318" s="8" t="s">
        <v>60</v>
      </c>
      <c r="AK318" s="8">
        <v>1</v>
      </c>
      <c r="AL318" s="8">
        <v>0</v>
      </c>
      <c r="AM318" s="8" t="s">
        <v>1940</v>
      </c>
    </row>
    <row r="319" spans="7:39" ht="12.75" customHeight="1">
      <c r="G319" s="347"/>
      <c r="H319" s="348" t="s">
        <v>3030</v>
      </c>
      <c r="I319" s="8" t="s">
        <v>94</v>
      </c>
      <c r="J319" s="8" t="s">
        <v>91</v>
      </c>
      <c r="K319" s="8" t="s">
        <v>3051</v>
      </c>
      <c r="L319" s="8" t="s">
        <v>98</v>
      </c>
      <c r="M319" s="8" t="s">
        <v>1528</v>
      </c>
      <c r="N319" s="7" t="s">
        <v>3030</v>
      </c>
      <c r="O319" s="8" t="s">
        <v>13</v>
      </c>
      <c r="P319" s="8" t="s">
        <v>62</v>
      </c>
      <c r="Q319" s="8" t="s">
        <v>63</v>
      </c>
      <c r="R319" s="8" t="s">
        <v>64</v>
      </c>
      <c r="S319" s="8" t="s">
        <v>19</v>
      </c>
      <c r="T319" s="9">
        <v>554.1</v>
      </c>
      <c r="U319" s="9">
        <v>85741.43</v>
      </c>
      <c r="V319" s="8" t="s">
        <v>19</v>
      </c>
      <c r="W319" s="8">
        <v>186418.21</v>
      </c>
      <c r="X319" s="8">
        <v>9</v>
      </c>
      <c r="Y319" s="8">
        <v>7716.73</v>
      </c>
      <c r="Z319" s="8">
        <v>9</v>
      </c>
      <c r="AA319" s="8">
        <v>7716.73</v>
      </c>
      <c r="AB319" s="8">
        <v>0</v>
      </c>
      <c r="AC319" s="8">
        <v>0</v>
      </c>
      <c r="AD319" s="8">
        <v>0</v>
      </c>
      <c r="AE319" s="8">
        <v>15433.46</v>
      </c>
      <c r="AF319" s="8">
        <v>0</v>
      </c>
      <c r="AG319" s="8" t="s">
        <v>74</v>
      </c>
      <c r="AH319" s="8" t="s">
        <v>11</v>
      </c>
      <c r="AI319" s="8">
        <v>39269080</v>
      </c>
      <c r="AJ319" s="8" t="s">
        <v>60</v>
      </c>
      <c r="AK319" s="8">
        <v>1</v>
      </c>
      <c r="AL319" s="8">
        <v>0</v>
      </c>
      <c r="AM319" s="8" t="s">
        <v>1940</v>
      </c>
    </row>
    <row r="320" spans="7:39" ht="12.75" customHeight="1">
      <c r="G320" s="347"/>
      <c r="H320" s="348" t="s">
        <v>3030</v>
      </c>
      <c r="I320" s="8" t="s">
        <v>94</v>
      </c>
      <c r="J320" s="8" t="s">
        <v>91</v>
      </c>
      <c r="K320" s="8" t="s">
        <v>3051</v>
      </c>
      <c r="L320" s="8" t="s">
        <v>98</v>
      </c>
      <c r="M320" s="8" t="s">
        <v>1528</v>
      </c>
      <c r="N320" s="7" t="s">
        <v>3030</v>
      </c>
      <c r="O320" s="8" t="s">
        <v>15</v>
      </c>
      <c r="P320" s="8" t="s">
        <v>2117</v>
      </c>
      <c r="Q320" s="8" t="s">
        <v>2117</v>
      </c>
      <c r="R320" s="8" t="s">
        <v>2117</v>
      </c>
      <c r="S320" s="347" t="s">
        <v>64</v>
      </c>
      <c r="T320" s="9">
        <v>360</v>
      </c>
      <c r="U320" s="9">
        <v>55706.400000000001</v>
      </c>
      <c r="V320" s="8" t="s">
        <v>2117</v>
      </c>
      <c r="W320" s="8">
        <v>0</v>
      </c>
      <c r="X320" s="8">
        <v>9</v>
      </c>
      <c r="Y320" s="8">
        <v>5013.58</v>
      </c>
      <c r="Z320" s="8">
        <v>9</v>
      </c>
      <c r="AA320" s="8">
        <v>5013.58</v>
      </c>
      <c r="AB320" s="8">
        <v>0</v>
      </c>
      <c r="AC320" s="8">
        <v>0</v>
      </c>
      <c r="AD320" s="8">
        <v>0</v>
      </c>
      <c r="AE320" s="8">
        <v>10027.16</v>
      </c>
      <c r="AF320" s="8">
        <v>0</v>
      </c>
      <c r="AG320" s="8" t="s">
        <v>74</v>
      </c>
      <c r="AH320" s="8" t="s">
        <v>11</v>
      </c>
      <c r="AI320" s="8">
        <v>39269080</v>
      </c>
      <c r="AJ320" s="8" t="s">
        <v>60</v>
      </c>
      <c r="AK320" s="8">
        <v>1</v>
      </c>
      <c r="AL320" s="8">
        <v>0</v>
      </c>
      <c r="AM320" s="8" t="s">
        <v>1940</v>
      </c>
    </row>
    <row r="321" spans="7:39" ht="12.75" customHeight="1">
      <c r="G321" s="347"/>
      <c r="H321" s="348" t="s">
        <v>3030</v>
      </c>
      <c r="I321" s="8" t="s">
        <v>94</v>
      </c>
      <c r="J321" s="8" t="s">
        <v>91</v>
      </c>
      <c r="K321" s="8" t="s">
        <v>3051</v>
      </c>
      <c r="L321" s="8" t="s">
        <v>98</v>
      </c>
      <c r="M321" s="8" t="s">
        <v>1528</v>
      </c>
      <c r="N321" s="7" t="s">
        <v>3030</v>
      </c>
      <c r="O321" s="8" t="s">
        <v>13</v>
      </c>
      <c r="P321" s="8" t="s">
        <v>62</v>
      </c>
      <c r="Q321" s="8" t="s">
        <v>76</v>
      </c>
      <c r="R321" s="8" t="s">
        <v>77</v>
      </c>
      <c r="S321" s="8" t="s">
        <v>21</v>
      </c>
      <c r="T321" s="9">
        <v>105</v>
      </c>
      <c r="U321" s="9">
        <v>16667.7</v>
      </c>
      <c r="V321" s="8" t="s">
        <v>21</v>
      </c>
      <c r="W321" s="8">
        <v>0</v>
      </c>
      <c r="X321" s="8">
        <v>9</v>
      </c>
      <c r="Y321" s="8">
        <v>1500.09</v>
      </c>
      <c r="Z321" s="8">
        <v>9</v>
      </c>
      <c r="AA321" s="8">
        <v>1500.09</v>
      </c>
      <c r="AB321" s="8">
        <v>0</v>
      </c>
      <c r="AC321" s="8">
        <v>0</v>
      </c>
      <c r="AD321" s="8">
        <v>0</v>
      </c>
      <c r="AE321" s="8">
        <v>3000.18</v>
      </c>
      <c r="AF321" s="8">
        <v>0</v>
      </c>
      <c r="AG321" s="8" t="s">
        <v>74</v>
      </c>
      <c r="AH321" s="8" t="s">
        <v>11</v>
      </c>
      <c r="AI321" s="8">
        <v>63053300</v>
      </c>
      <c r="AJ321" s="8" t="s">
        <v>60</v>
      </c>
      <c r="AK321" s="8">
        <v>1</v>
      </c>
      <c r="AL321" s="8">
        <v>0</v>
      </c>
      <c r="AM321" s="8" t="s">
        <v>1940</v>
      </c>
    </row>
    <row r="322" spans="7:39" ht="12.75" customHeight="1">
      <c r="G322" s="347"/>
      <c r="H322" s="348" t="s">
        <v>3052</v>
      </c>
      <c r="I322" s="8" t="s">
        <v>103</v>
      </c>
      <c r="J322" s="8" t="s">
        <v>88</v>
      </c>
      <c r="K322" s="8" t="s">
        <v>3053</v>
      </c>
      <c r="L322" s="8" t="s">
        <v>2449</v>
      </c>
      <c r="M322" s="8" t="s">
        <v>3054</v>
      </c>
      <c r="N322" s="7" t="s">
        <v>3030</v>
      </c>
      <c r="O322" s="8" t="s">
        <v>13</v>
      </c>
      <c r="P322" s="8" t="s">
        <v>80</v>
      </c>
      <c r="Q322" s="8" t="s">
        <v>81</v>
      </c>
      <c r="R322" s="8" t="s">
        <v>417</v>
      </c>
      <c r="S322" s="8" t="s">
        <v>418</v>
      </c>
      <c r="T322" s="9">
        <v>448.5</v>
      </c>
      <c r="U322" s="9">
        <v>75298.67</v>
      </c>
      <c r="V322" s="8" t="s">
        <v>418</v>
      </c>
      <c r="W322" s="8">
        <v>319266.59000000003</v>
      </c>
      <c r="X322" s="8">
        <v>0</v>
      </c>
      <c r="Y322" s="8">
        <v>0</v>
      </c>
      <c r="Z322" s="8">
        <v>0</v>
      </c>
      <c r="AA322" s="8">
        <v>0</v>
      </c>
      <c r="AB322" s="8">
        <v>0</v>
      </c>
      <c r="AC322" s="8">
        <v>0</v>
      </c>
      <c r="AD322" s="8">
        <v>0</v>
      </c>
      <c r="AE322" s="8">
        <v>0</v>
      </c>
      <c r="AF322" s="8">
        <v>0</v>
      </c>
      <c r="AG322" s="8" t="s">
        <v>104</v>
      </c>
      <c r="AH322" s="8" t="s">
        <v>11</v>
      </c>
      <c r="AI322" s="8">
        <v>39232100</v>
      </c>
      <c r="AJ322" s="8" t="s">
        <v>60</v>
      </c>
      <c r="AK322" s="8">
        <v>1</v>
      </c>
      <c r="AL322" s="8">
        <v>0</v>
      </c>
      <c r="AM322" s="8" t="s">
        <v>1940</v>
      </c>
    </row>
    <row r="323" spans="7:39" ht="12.75" customHeight="1">
      <c r="G323" s="347"/>
      <c r="H323" s="348" t="s">
        <v>3052</v>
      </c>
      <c r="I323" s="8" t="s">
        <v>103</v>
      </c>
      <c r="J323" s="8" t="s">
        <v>88</v>
      </c>
      <c r="K323" s="8" t="s">
        <v>3053</v>
      </c>
      <c r="L323" s="8" t="s">
        <v>2449</v>
      </c>
      <c r="M323" s="8" t="s">
        <v>3054</v>
      </c>
      <c r="N323" s="7" t="s">
        <v>3030</v>
      </c>
      <c r="O323" s="8" t="s">
        <v>13</v>
      </c>
      <c r="P323" s="8" t="s">
        <v>62</v>
      </c>
      <c r="Q323" s="8" t="s">
        <v>63</v>
      </c>
      <c r="R323" s="8" t="s">
        <v>64</v>
      </c>
      <c r="S323" s="8" t="s">
        <v>19</v>
      </c>
      <c r="T323" s="9">
        <v>1559</v>
      </c>
      <c r="U323" s="9">
        <v>243967.91</v>
      </c>
      <c r="V323" s="8" t="s">
        <v>19</v>
      </c>
      <c r="W323" s="8">
        <v>0</v>
      </c>
      <c r="X323" s="8">
        <v>0</v>
      </c>
      <c r="Y323" s="8">
        <v>0</v>
      </c>
      <c r="Z323" s="8">
        <v>0</v>
      </c>
      <c r="AA323" s="8">
        <v>0</v>
      </c>
      <c r="AB323" s="8">
        <v>0</v>
      </c>
      <c r="AC323" s="8">
        <v>0</v>
      </c>
      <c r="AD323" s="8">
        <v>0</v>
      </c>
      <c r="AE323" s="8">
        <v>0</v>
      </c>
      <c r="AF323" s="8">
        <v>0</v>
      </c>
      <c r="AG323" s="8" t="s">
        <v>104</v>
      </c>
      <c r="AH323" s="8" t="s">
        <v>11</v>
      </c>
      <c r="AI323" s="8">
        <v>39269080</v>
      </c>
      <c r="AJ323" s="8" t="s">
        <v>60</v>
      </c>
      <c r="AK323" s="8">
        <v>1</v>
      </c>
      <c r="AL323" s="8">
        <v>0</v>
      </c>
      <c r="AM323" s="8" t="s">
        <v>1940</v>
      </c>
    </row>
    <row r="324" spans="7:39" ht="12.75" customHeight="1">
      <c r="G324" s="347"/>
      <c r="H324" s="348" t="s">
        <v>3052</v>
      </c>
      <c r="I324" s="8" t="s">
        <v>93</v>
      </c>
      <c r="J324" s="8" t="s">
        <v>96</v>
      </c>
      <c r="K324" s="8" t="s">
        <v>3055</v>
      </c>
      <c r="L324" s="8" t="s">
        <v>97</v>
      </c>
      <c r="M324" s="8" t="s">
        <v>3056</v>
      </c>
      <c r="N324" s="7">
        <v>46363</v>
      </c>
      <c r="O324" s="8" t="s">
        <v>2</v>
      </c>
      <c r="P324" s="8" t="s">
        <v>67</v>
      </c>
      <c r="Q324" s="8" t="s">
        <v>68</v>
      </c>
      <c r="R324" s="8" t="s">
        <v>69</v>
      </c>
      <c r="S324" s="8" t="s">
        <v>70</v>
      </c>
      <c r="T324" s="9">
        <v>36</v>
      </c>
      <c r="U324" s="9">
        <v>1728</v>
      </c>
      <c r="V324" s="8" t="s">
        <v>70</v>
      </c>
      <c r="W324" s="8">
        <v>2037.31</v>
      </c>
      <c r="X324" s="8">
        <v>9</v>
      </c>
      <c r="Y324" s="8">
        <v>155.52000000000001</v>
      </c>
      <c r="Z324" s="8">
        <v>9</v>
      </c>
      <c r="AA324" s="8">
        <v>155.52000000000001</v>
      </c>
      <c r="AB324" s="8">
        <v>0</v>
      </c>
      <c r="AC324" s="8">
        <v>0</v>
      </c>
      <c r="AD324" s="8">
        <v>0</v>
      </c>
      <c r="AE324" s="8">
        <v>311.04000000000002</v>
      </c>
      <c r="AF324" s="8">
        <v>0</v>
      </c>
      <c r="AG324" s="8" t="s">
        <v>59</v>
      </c>
      <c r="AH324" s="8" t="s">
        <v>11</v>
      </c>
      <c r="AI324" s="8">
        <v>73063090</v>
      </c>
      <c r="AJ324" s="8" t="s">
        <v>60</v>
      </c>
      <c r="AK324" s="8">
        <v>1</v>
      </c>
      <c r="AL324" s="8">
        <v>0</v>
      </c>
      <c r="AM324" s="8" t="s">
        <v>1940</v>
      </c>
    </row>
    <row r="325" spans="7:39" ht="12.75" customHeight="1">
      <c r="G325" s="347"/>
      <c r="H325" s="348" t="s">
        <v>3052</v>
      </c>
      <c r="I325" s="8" t="s">
        <v>87</v>
      </c>
      <c r="J325" s="8" t="s">
        <v>96</v>
      </c>
      <c r="K325" s="8" t="s">
        <v>3057</v>
      </c>
      <c r="L325" s="8" t="s">
        <v>97</v>
      </c>
      <c r="M325" s="8" t="s">
        <v>3058</v>
      </c>
      <c r="N325" s="7" t="s">
        <v>3052</v>
      </c>
      <c r="O325" s="8" t="s">
        <v>2</v>
      </c>
      <c r="P325" s="8" t="s">
        <v>67</v>
      </c>
      <c r="Q325" s="8" t="s">
        <v>68</v>
      </c>
      <c r="R325" s="8" t="s">
        <v>69</v>
      </c>
      <c r="S325" s="8" t="s">
        <v>70</v>
      </c>
      <c r="T325" s="9">
        <v>367</v>
      </c>
      <c r="U325" s="9">
        <v>17616</v>
      </c>
      <c r="V325" s="8" t="s">
        <v>70</v>
      </c>
      <c r="W325" s="8">
        <v>20769.259999999998</v>
      </c>
      <c r="X325" s="8">
        <v>9</v>
      </c>
      <c r="Y325" s="8">
        <v>1585.44</v>
      </c>
      <c r="Z325" s="8">
        <v>9</v>
      </c>
      <c r="AA325" s="8">
        <v>1585.44</v>
      </c>
      <c r="AB325" s="8">
        <v>0</v>
      </c>
      <c r="AC325" s="8">
        <v>0</v>
      </c>
      <c r="AD325" s="8">
        <v>0</v>
      </c>
      <c r="AE325" s="8">
        <v>3170.88</v>
      </c>
      <c r="AF325" s="8">
        <v>0</v>
      </c>
      <c r="AG325" s="8" t="s">
        <v>65</v>
      </c>
      <c r="AH325" s="8" t="s">
        <v>11</v>
      </c>
      <c r="AI325" s="8">
        <v>73063090</v>
      </c>
      <c r="AJ325" s="8" t="s">
        <v>60</v>
      </c>
      <c r="AK325" s="8">
        <v>1</v>
      </c>
      <c r="AL325" s="8">
        <v>0</v>
      </c>
      <c r="AM325" s="8" t="s">
        <v>1940</v>
      </c>
    </row>
    <row r="326" spans="7:39" ht="12.75" customHeight="1">
      <c r="G326" s="347"/>
      <c r="H326" s="348" t="s">
        <v>3052</v>
      </c>
      <c r="I326" s="8" t="s">
        <v>87</v>
      </c>
      <c r="J326" s="8" t="s">
        <v>91</v>
      </c>
      <c r="K326" s="8" t="s">
        <v>3059</v>
      </c>
      <c r="L326" s="8" t="s">
        <v>98</v>
      </c>
      <c r="M326" s="8" t="s">
        <v>3060</v>
      </c>
      <c r="N326" s="7" t="s">
        <v>3052</v>
      </c>
      <c r="O326" s="8" t="s">
        <v>13</v>
      </c>
      <c r="P326" s="8" t="s">
        <v>62</v>
      </c>
      <c r="Q326" s="8" t="s">
        <v>63</v>
      </c>
      <c r="R326" s="8" t="s">
        <v>64</v>
      </c>
      <c r="S326" s="8" t="s">
        <v>19</v>
      </c>
      <c r="T326" s="9">
        <v>4705</v>
      </c>
      <c r="U326" s="9">
        <v>679825.45</v>
      </c>
      <c r="V326" s="8" t="s">
        <v>19</v>
      </c>
      <c r="W326" s="8">
        <v>1359940.75</v>
      </c>
      <c r="X326" s="8">
        <v>9</v>
      </c>
      <c r="Y326" s="8">
        <v>61184.29</v>
      </c>
      <c r="Z326" s="8">
        <v>9</v>
      </c>
      <c r="AA326" s="8">
        <v>61184.29</v>
      </c>
      <c r="AB326" s="8">
        <v>0</v>
      </c>
      <c r="AC326" s="8">
        <v>0</v>
      </c>
      <c r="AD326" s="8">
        <v>0</v>
      </c>
      <c r="AE326" s="8">
        <v>122368.58</v>
      </c>
      <c r="AF326" s="8">
        <v>0</v>
      </c>
      <c r="AG326" s="8" t="s">
        <v>65</v>
      </c>
      <c r="AH326" s="8" t="s">
        <v>11</v>
      </c>
      <c r="AI326" s="8">
        <v>39269080</v>
      </c>
      <c r="AJ326" s="8" t="s">
        <v>60</v>
      </c>
      <c r="AK326" s="8">
        <v>1</v>
      </c>
      <c r="AL326" s="8">
        <v>0</v>
      </c>
      <c r="AM326" s="8" t="s">
        <v>1940</v>
      </c>
    </row>
    <row r="327" spans="7:39" ht="12.75" customHeight="1">
      <c r="G327" s="347"/>
      <c r="H327" s="348" t="s">
        <v>3052</v>
      </c>
      <c r="I327" s="8" t="s">
        <v>87</v>
      </c>
      <c r="J327" s="8" t="s">
        <v>91</v>
      </c>
      <c r="K327" s="8" t="s">
        <v>3059</v>
      </c>
      <c r="L327" s="8" t="s">
        <v>98</v>
      </c>
      <c r="M327" s="8" t="s">
        <v>3060</v>
      </c>
      <c r="N327" s="7" t="s">
        <v>3052</v>
      </c>
      <c r="O327" s="8" t="s">
        <v>13</v>
      </c>
      <c r="P327" s="8" t="s">
        <v>62</v>
      </c>
      <c r="Q327" s="8" t="s">
        <v>63</v>
      </c>
      <c r="R327" s="8" t="s">
        <v>64</v>
      </c>
      <c r="S327" s="8" t="s">
        <v>19</v>
      </c>
      <c r="T327" s="9">
        <v>251</v>
      </c>
      <c r="U327" s="9">
        <v>37019.99</v>
      </c>
      <c r="V327" s="8" t="s">
        <v>19</v>
      </c>
      <c r="W327" s="8">
        <v>0</v>
      </c>
      <c r="X327" s="8">
        <v>9</v>
      </c>
      <c r="Y327" s="8">
        <v>3331.8</v>
      </c>
      <c r="Z327" s="8">
        <v>9</v>
      </c>
      <c r="AA327" s="8">
        <v>3331.8</v>
      </c>
      <c r="AB327" s="8">
        <v>0</v>
      </c>
      <c r="AC327" s="8">
        <v>0</v>
      </c>
      <c r="AD327" s="8">
        <v>0</v>
      </c>
      <c r="AE327" s="8">
        <v>6663.6</v>
      </c>
      <c r="AF327" s="8">
        <v>0</v>
      </c>
      <c r="AG327" s="8" t="s">
        <v>65</v>
      </c>
      <c r="AH327" s="8" t="s">
        <v>11</v>
      </c>
      <c r="AI327" s="8">
        <v>39269080</v>
      </c>
      <c r="AJ327" s="8" t="s">
        <v>60</v>
      </c>
      <c r="AK327" s="8">
        <v>1</v>
      </c>
      <c r="AL327" s="8">
        <v>0</v>
      </c>
      <c r="AM327" s="8" t="s">
        <v>1940</v>
      </c>
    </row>
    <row r="328" spans="7:39" ht="12.75" customHeight="1">
      <c r="G328" s="347"/>
      <c r="H328" s="348" t="s">
        <v>3052</v>
      </c>
      <c r="I328" s="8" t="s">
        <v>87</v>
      </c>
      <c r="J328" s="8" t="s">
        <v>91</v>
      </c>
      <c r="K328" s="8" t="s">
        <v>3059</v>
      </c>
      <c r="L328" s="8" t="s">
        <v>98</v>
      </c>
      <c r="M328" s="8" t="s">
        <v>3060</v>
      </c>
      <c r="N328" s="7" t="s">
        <v>3052</v>
      </c>
      <c r="O328" s="8" t="s">
        <v>13</v>
      </c>
      <c r="P328" s="8" t="s">
        <v>62</v>
      </c>
      <c r="Q328" s="8" t="s">
        <v>63</v>
      </c>
      <c r="R328" s="8" t="s">
        <v>64</v>
      </c>
      <c r="S328" s="8" t="s">
        <v>19</v>
      </c>
      <c r="T328" s="9">
        <v>1826</v>
      </c>
      <c r="U328" s="9">
        <v>267490.74</v>
      </c>
      <c r="V328" s="8" t="s">
        <v>19</v>
      </c>
      <c r="W328" s="8">
        <v>0</v>
      </c>
      <c r="X328" s="8">
        <v>9</v>
      </c>
      <c r="Y328" s="8">
        <v>24074.17</v>
      </c>
      <c r="Z328" s="8">
        <v>9</v>
      </c>
      <c r="AA328" s="8">
        <v>24074.17</v>
      </c>
      <c r="AB328" s="8">
        <v>0</v>
      </c>
      <c r="AC328" s="8">
        <v>0</v>
      </c>
      <c r="AD328" s="8">
        <v>0</v>
      </c>
      <c r="AE328" s="8">
        <v>48148.34</v>
      </c>
      <c r="AF328" s="8">
        <v>0</v>
      </c>
      <c r="AG328" s="8" t="s">
        <v>65</v>
      </c>
      <c r="AH328" s="8" t="s">
        <v>11</v>
      </c>
      <c r="AI328" s="8">
        <v>39269080</v>
      </c>
      <c r="AJ328" s="8" t="s">
        <v>60</v>
      </c>
      <c r="AK328" s="8">
        <v>1</v>
      </c>
      <c r="AL328" s="8">
        <v>0</v>
      </c>
      <c r="AM328" s="8" t="s">
        <v>1940</v>
      </c>
    </row>
    <row r="329" spans="7:39" ht="12.75" customHeight="1">
      <c r="G329" s="347"/>
      <c r="H329" s="348" t="s">
        <v>3052</v>
      </c>
      <c r="I329" s="8" t="s">
        <v>87</v>
      </c>
      <c r="J329" s="8" t="s">
        <v>91</v>
      </c>
      <c r="K329" s="8" t="s">
        <v>3059</v>
      </c>
      <c r="L329" s="8" t="s">
        <v>98</v>
      </c>
      <c r="M329" s="8" t="s">
        <v>3060</v>
      </c>
      <c r="N329" s="7" t="s">
        <v>3052</v>
      </c>
      <c r="O329" s="8" t="s">
        <v>13</v>
      </c>
      <c r="P329" s="8" t="s">
        <v>62</v>
      </c>
      <c r="Q329" s="8" t="s">
        <v>76</v>
      </c>
      <c r="R329" s="8" t="s">
        <v>77</v>
      </c>
      <c r="S329" s="8" t="s">
        <v>21</v>
      </c>
      <c r="T329" s="9">
        <v>815</v>
      </c>
      <c r="U329" s="9">
        <v>119389.35</v>
      </c>
      <c r="V329" s="8" t="s">
        <v>21</v>
      </c>
      <c r="W329" s="8">
        <v>0</v>
      </c>
      <c r="X329" s="8">
        <v>9</v>
      </c>
      <c r="Y329" s="8">
        <v>10745.04</v>
      </c>
      <c r="Z329" s="8">
        <v>9</v>
      </c>
      <c r="AA329" s="8">
        <v>10745.04</v>
      </c>
      <c r="AB329" s="8">
        <v>0</v>
      </c>
      <c r="AC329" s="8">
        <v>0</v>
      </c>
      <c r="AD329" s="8">
        <v>0</v>
      </c>
      <c r="AE329" s="8">
        <v>21490.080000000002</v>
      </c>
      <c r="AF329" s="8">
        <v>0</v>
      </c>
      <c r="AG329" s="8" t="s">
        <v>65</v>
      </c>
      <c r="AH329" s="8" t="s">
        <v>11</v>
      </c>
      <c r="AI329" s="8">
        <v>63053300</v>
      </c>
      <c r="AJ329" s="8" t="s">
        <v>60</v>
      </c>
      <c r="AK329" s="8">
        <v>1</v>
      </c>
      <c r="AL329" s="8">
        <v>0</v>
      </c>
      <c r="AM329" s="8" t="s">
        <v>1940</v>
      </c>
    </row>
    <row r="330" spans="7:39" ht="12.75" customHeight="1">
      <c r="G330" s="347"/>
      <c r="H330" s="348" t="s">
        <v>3052</v>
      </c>
      <c r="I330" s="8" t="s">
        <v>87</v>
      </c>
      <c r="J330" s="8" t="s">
        <v>91</v>
      </c>
      <c r="K330" s="8" t="s">
        <v>3059</v>
      </c>
      <c r="L330" s="8" t="s">
        <v>98</v>
      </c>
      <c r="M330" s="8" t="s">
        <v>3060</v>
      </c>
      <c r="N330" s="7" t="s">
        <v>3052</v>
      </c>
      <c r="O330" s="8" t="s">
        <v>13</v>
      </c>
      <c r="P330" s="8" t="s">
        <v>62</v>
      </c>
      <c r="Q330" s="8" t="s">
        <v>76</v>
      </c>
      <c r="R330" s="8" t="s">
        <v>77</v>
      </c>
      <c r="S330" s="8" t="s">
        <v>21</v>
      </c>
      <c r="T330" s="9">
        <v>335</v>
      </c>
      <c r="U330" s="9">
        <v>49744.15</v>
      </c>
      <c r="V330" s="8" t="s">
        <v>21</v>
      </c>
      <c r="W330" s="8">
        <v>0</v>
      </c>
      <c r="X330" s="8">
        <v>9</v>
      </c>
      <c r="Y330" s="8">
        <v>4476.97</v>
      </c>
      <c r="Z330" s="8">
        <v>9</v>
      </c>
      <c r="AA330" s="8">
        <v>4476.97</v>
      </c>
      <c r="AB330" s="8">
        <v>0</v>
      </c>
      <c r="AC330" s="8">
        <v>0</v>
      </c>
      <c r="AD330" s="8">
        <v>0</v>
      </c>
      <c r="AE330" s="8">
        <v>8953.94</v>
      </c>
      <c r="AF330" s="8">
        <v>0</v>
      </c>
      <c r="AG330" s="8" t="s">
        <v>65</v>
      </c>
      <c r="AH330" s="8" t="s">
        <v>11</v>
      </c>
      <c r="AI330" s="8">
        <v>63053300</v>
      </c>
      <c r="AJ330" s="8" t="s">
        <v>60</v>
      </c>
      <c r="AK330" s="8">
        <v>1</v>
      </c>
      <c r="AL330" s="8">
        <v>0</v>
      </c>
      <c r="AM330" s="8" t="s">
        <v>1940</v>
      </c>
    </row>
    <row r="331" spans="7:39" ht="12.75" customHeight="1">
      <c r="G331" s="347"/>
      <c r="H331" s="348" t="s">
        <v>3052</v>
      </c>
      <c r="I331" s="8" t="s">
        <v>87</v>
      </c>
      <c r="J331" s="8" t="s">
        <v>91</v>
      </c>
      <c r="K331" s="8" t="s">
        <v>3061</v>
      </c>
      <c r="L331" s="8" t="s">
        <v>98</v>
      </c>
      <c r="M331" s="8" t="s">
        <v>3062</v>
      </c>
      <c r="N331" s="7" t="s">
        <v>3030</v>
      </c>
      <c r="O331" s="8" t="s">
        <v>13</v>
      </c>
      <c r="P331" s="8" t="s">
        <v>62</v>
      </c>
      <c r="Q331" s="8" t="s">
        <v>63</v>
      </c>
      <c r="R331" s="8" t="s">
        <v>64</v>
      </c>
      <c r="S331" s="8" t="s">
        <v>19</v>
      </c>
      <c r="T331" s="9">
        <v>12</v>
      </c>
      <c r="U331" s="9">
        <v>1757.88</v>
      </c>
      <c r="V331" s="8" t="s">
        <v>19</v>
      </c>
      <c r="W331" s="8">
        <v>2072.54</v>
      </c>
      <c r="X331" s="8">
        <v>9</v>
      </c>
      <c r="Y331" s="8">
        <v>158.21</v>
      </c>
      <c r="Z331" s="8">
        <v>9</v>
      </c>
      <c r="AA331" s="8">
        <v>158.21</v>
      </c>
      <c r="AB331" s="8">
        <v>0</v>
      </c>
      <c r="AC331" s="8">
        <v>0</v>
      </c>
      <c r="AD331" s="8">
        <v>0</v>
      </c>
      <c r="AE331" s="8">
        <v>316.42</v>
      </c>
      <c r="AF331" s="8">
        <v>0</v>
      </c>
      <c r="AG331" s="8" t="s">
        <v>65</v>
      </c>
      <c r="AH331" s="8" t="s">
        <v>11</v>
      </c>
      <c r="AI331" s="8">
        <v>39269080</v>
      </c>
      <c r="AJ331" s="8" t="s">
        <v>60</v>
      </c>
      <c r="AK331" s="8">
        <v>1</v>
      </c>
      <c r="AL331" s="8">
        <v>0</v>
      </c>
      <c r="AM331" s="8" t="s">
        <v>1940</v>
      </c>
    </row>
    <row r="332" spans="7:39" ht="12.75" customHeight="1">
      <c r="G332" s="347"/>
      <c r="H332" s="348" t="s">
        <v>3052</v>
      </c>
      <c r="I332" s="8" t="s">
        <v>87</v>
      </c>
      <c r="J332" s="8" t="s">
        <v>91</v>
      </c>
      <c r="K332" s="8" t="s">
        <v>3063</v>
      </c>
      <c r="L332" s="8" t="s">
        <v>98</v>
      </c>
      <c r="M332" s="8" t="s">
        <v>3064</v>
      </c>
      <c r="N332" s="7" t="s">
        <v>3052</v>
      </c>
      <c r="O332" s="8" t="s">
        <v>13</v>
      </c>
      <c r="P332" s="8" t="s">
        <v>62</v>
      </c>
      <c r="Q332" s="8" t="s">
        <v>63</v>
      </c>
      <c r="R332" s="8" t="s">
        <v>64</v>
      </c>
      <c r="S332" s="8" t="s">
        <v>19</v>
      </c>
      <c r="T332" s="9">
        <v>2119</v>
      </c>
      <c r="U332" s="9">
        <v>306174.31</v>
      </c>
      <c r="V332" s="8" t="s">
        <v>19</v>
      </c>
      <c r="W332" s="8">
        <v>951207.69</v>
      </c>
      <c r="X332" s="8">
        <v>9</v>
      </c>
      <c r="Y332" s="8">
        <v>27555.69</v>
      </c>
      <c r="Z332" s="8">
        <v>9</v>
      </c>
      <c r="AA332" s="8">
        <v>27555.69</v>
      </c>
      <c r="AB332" s="8">
        <v>0</v>
      </c>
      <c r="AC332" s="8">
        <v>0</v>
      </c>
      <c r="AD332" s="8">
        <v>0</v>
      </c>
      <c r="AE332" s="8">
        <v>55111.38</v>
      </c>
      <c r="AF332" s="8">
        <v>0</v>
      </c>
      <c r="AG332" s="8" t="s">
        <v>65</v>
      </c>
      <c r="AH332" s="8" t="s">
        <v>11</v>
      </c>
      <c r="AI332" s="8">
        <v>39269080</v>
      </c>
      <c r="AJ332" s="8" t="s">
        <v>60</v>
      </c>
      <c r="AK332" s="8">
        <v>1</v>
      </c>
      <c r="AL332" s="8">
        <v>0</v>
      </c>
      <c r="AM332" s="8" t="s">
        <v>1940</v>
      </c>
    </row>
    <row r="333" spans="7:39" ht="12.75" customHeight="1">
      <c r="G333" s="347"/>
      <c r="H333" s="348" t="s">
        <v>3052</v>
      </c>
      <c r="I333" s="8" t="s">
        <v>87</v>
      </c>
      <c r="J333" s="8" t="s">
        <v>91</v>
      </c>
      <c r="K333" s="8" t="s">
        <v>3063</v>
      </c>
      <c r="L333" s="8" t="s">
        <v>98</v>
      </c>
      <c r="M333" s="8" t="s">
        <v>3064</v>
      </c>
      <c r="N333" s="7" t="s">
        <v>3052</v>
      </c>
      <c r="O333" s="8" t="s">
        <v>13</v>
      </c>
      <c r="P333" s="8" t="s">
        <v>80</v>
      </c>
      <c r="Q333" s="8" t="s">
        <v>81</v>
      </c>
      <c r="R333" s="8" t="s">
        <v>82</v>
      </c>
      <c r="S333" s="8" t="s">
        <v>17</v>
      </c>
      <c r="T333" s="9">
        <v>1307</v>
      </c>
      <c r="U333" s="9">
        <v>244121.46</v>
      </c>
      <c r="V333" s="8" t="s">
        <v>17</v>
      </c>
      <c r="W333" s="8">
        <v>0</v>
      </c>
      <c r="X333" s="8">
        <v>9</v>
      </c>
      <c r="Y333" s="8">
        <v>21970.93</v>
      </c>
      <c r="Z333" s="8">
        <v>9</v>
      </c>
      <c r="AA333" s="8">
        <v>21970.93</v>
      </c>
      <c r="AB333" s="8">
        <v>0</v>
      </c>
      <c r="AC333" s="8">
        <v>0</v>
      </c>
      <c r="AD333" s="8">
        <v>0</v>
      </c>
      <c r="AE333" s="8">
        <v>43941.86</v>
      </c>
      <c r="AF333" s="8">
        <v>0</v>
      </c>
      <c r="AG333" s="8" t="s">
        <v>65</v>
      </c>
      <c r="AH333" s="8" t="s">
        <v>11</v>
      </c>
      <c r="AI333" s="8">
        <v>39200000</v>
      </c>
      <c r="AJ333" s="8" t="s">
        <v>60</v>
      </c>
      <c r="AK333" s="8">
        <v>1</v>
      </c>
      <c r="AL333" s="8">
        <v>0</v>
      </c>
      <c r="AM333" s="8" t="s">
        <v>1940</v>
      </c>
    </row>
    <row r="334" spans="7:39" ht="12.75" customHeight="1">
      <c r="G334" s="347"/>
      <c r="H334" s="348" t="s">
        <v>3052</v>
      </c>
      <c r="I334" s="8" t="s">
        <v>87</v>
      </c>
      <c r="J334" s="8" t="s">
        <v>91</v>
      </c>
      <c r="K334" s="8" t="s">
        <v>3063</v>
      </c>
      <c r="L334" s="8" t="s">
        <v>98</v>
      </c>
      <c r="M334" s="8" t="s">
        <v>3064</v>
      </c>
      <c r="N334" s="7" t="s">
        <v>3052</v>
      </c>
      <c r="O334" s="8" t="s">
        <v>13</v>
      </c>
      <c r="P334" s="8" t="s">
        <v>62</v>
      </c>
      <c r="Q334" s="8" t="s">
        <v>76</v>
      </c>
      <c r="R334" s="8" t="s">
        <v>77</v>
      </c>
      <c r="S334" s="8" t="s">
        <v>21</v>
      </c>
      <c r="T334" s="9">
        <v>700</v>
      </c>
      <c r="U334" s="9">
        <v>106043</v>
      </c>
      <c r="V334" s="8" t="s">
        <v>21</v>
      </c>
      <c r="W334" s="8">
        <v>0</v>
      </c>
      <c r="X334" s="8">
        <v>9</v>
      </c>
      <c r="Y334" s="8">
        <v>9543.8700000000008</v>
      </c>
      <c r="Z334" s="8">
        <v>9</v>
      </c>
      <c r="AA334" s="8">
        <v>9543.8700000000008</v>
      </c>
      <c r="AB334" s="8">
        <v>0</v>
      </c>
      <c r="AC334" s="8">
        <v>0</v>
      </c>
      <c r="AD334" s="8">
        <v>0</v>
      </c>
      <c r="AE334" s="8">
        <v>19087.740000000002</v>
      </c>
      <c r="AF334" s="8">
        <v>0</v>
      </c>
      <c r="AG334" s="8" t="s">
        <v>65</v>
      </c>
      <c r="AH334" s="8" t="s">
        <v>11</v>
      </c>
      <c r="AI334" s="8">
        <v>63053300</v>
      </c>
      <c r="AJ334" s="8" t="s">
        <v>60</v>
      </c>
      <c r="AK334" s="8">
        <v>1</v>
      </c>
      <c r="AL334" s="8">
        <v>0</v>
      </c>
      <c r="AM334" s="8" t="s">
        <v>1940</v>
      </c>
    </row>
    <row r="335" spans="7:39" ht="12.75" customHeight="1">
      <c r="G335" s="347"/>
      <c r="H335" s="348" t="s">
        <v>3052</v>
      </c>
      <c r="I335" s="8" t="s">
        <v>87</v>
      </c>
      <c r="J335" s="8" t="s">
        <v>91</v>
      </c>
      <c r="K335" s="8" t="s">
        <v>3063</v>
      </c>
      <c r="L335" s="8" t="s">
        <v>98</v>
      </c>
      <c r="M335" s="8" t="s">
        <v>3064</v>
      </c>
      <c r="N335" s="7" t="s">
        <v>3052</v>
      </c>
      <c r="O335" s="8" t="s">
        <v>13</v>
      </c>
      <c r="P335" s="8" t="s">
        <v>24</v>
      </c>
      <c r="Q335" s="8" t="s">
        <v>79</v>
      </c>
      <c r="R335" s="8" t="s">
        <v>79</v>
      </c>
      <c r="S335" s="8" t="s">
        <v>24</v>
      </c>
      <c r="T335" s="9">
        <v>306.8</v>
      </c>
      <c r="U335" s="9">
        <v>44943.13</v>
      </c>
      <c r="V335" s="8" t="s">
        <v>24</v>
      </c>
      <c r="W335" s="8">
        <v>0</v>
      </c>
      <c r="X335" s="8">
        <v>9</v>
      </c>
      <c r="Y335" s="8">
        <v>4044.88</v>
      </c>
      <c r="Z335" s="8">
        <v>9</v>
      </c>
      <c r="AA335" s="8">
        <v>4044.88</v>
      </c>
      <c r="AB335" s="8">
        <v>0</v>
      </c>
      <c r="AC335" s="8">
        <v>0</v>
      </c>
      <c r="AD335" s="8">
        <v>0</v>
      </c>
      <c r="AE335" s="8">
        <v>8089.76</v>
      </c>
      <c r="AF335" s="8">
        <v>0</v>
      </c>
      <c r="AG335" s="8" t="s">
        <v>65</v>
      </c>
      <c r="AH335" s="8" t="s">
        <v>11</v>
      </c>
      <c r="AI335" s="8">
        <v>3926908</v>
      </c>
      <c r="AJ335" s="8" t="s">
        <v>60</v>
      </c>
      <c r="AK335" s="8">
        <v>1</v>
      </c>
      <c r="AL335" s="8">
        <v>0</v>
      </c>
      <c r="AM335" s="8" t="s">
        <v>1940</v>
      </c>
    </row>
    <row r="336" spans="7:39" ht="12.75" customHeight="1">
      <c r="G336" s="347"/>
      <c r="H336" s="348" t="s">
        <v>3052</v>
      </c>
      <c r="I336" s="8" t="s">
        <v>87</v>
      </c>
      <c r="J336" s="8" t="s">
        <v>91</v>
      </c>
      <c r="K336" s="8" t="s">
        <v>3063</v>
      </c>
      <c r="L336" s="8" t="s">
        <v>98</v>
      </c>
      <c r="M336" s="8" t="s">
        <v>3064</v>
      </c>
      <c r="N336" s="7" t="s">
        <v>3052</v>
      </c>
      <c r="O336" s="8" t="s">
        <v>13</v>
      </c>
      <c r="P336" s="8" t="s">
        <v>24</v>
      </c>
      <c r="Q336" s="8" t="s">
        <v>79</v>
      </c>
      <c r="R336" s="8" t="s">
        <v>79</v>
      </c>
      <c r="S336" s="8" t="s">
        <v>24</v>
      </c>
      <c r="T336" s="9">
        <v>705.8</v>
      </c>
      <c r="U336" s="9">
        <v>105510.04</v>
      </c>
      <c r="V336" s="8" t="s">
        <v>24</v>
      </c>
      <c r="W336" s="8">
        <v>0</v>
      </c>
      <c r="X336" s="8">
        <v>9</v>
      </c>
      <c r="Y336" s="8">
        <v>9495.9</v>
      </c>
      <c r="Z336" s="8">
        <v>9</v>
      </c>
      <c r="AA336" s="8">
        <v>9495.9</v>
      </c>
      <c r="AB336" s="8">
        <v>0</v>
      </c>
      <c r="AC336" s="8">
        <v>0</v>
      </c>
      <c r="AD336" s="8">
        <v>0</v>
      </c>
      <c r="AE336" s="8">
        <v>18991.8</v>
      </c>
      <c r="AF336" s="8">
        <v>0</v>
      </c>
      <c r="AG336" s="8" t="s">
        <v>65</v>
      </c>
      <c r="AH336" s="8" t="s">
        <v>11</v>
      </c>
      <c r="AI336" s="8">
        <v>3926908</v>
      </c>
      <c r="AJ336" s="8" t="s">
        <v>60</v>
      </c>
      <c r="AK336" s="8">
        <v>1</v>
      </c>
      <c r="AL336" s="8">
        <v>0</v>
      </c>
      <c r="AM336" s="8" t="s">
        <v>1940</v>
      </c>
    </row>
    <row r="337" spans="7:39" ht="12.75" customHeight="1">
      <c r="G337" s="347"/>
      <c r="H337" s="348" t="s">
        <v>3052</v>
      </c>
      <c r="I337" s="8" t="s">
        <v>117</v>
      </c>
      <c r="J337" s="8" t="s">
        <v>113</v>
      </c>
      <c r="K337" s="8" t="s">
        <v>3065</v>
      </c>
      <c r="L337" s="8" t="s">
        <v>114</v>
      </c>
      <c r="M337" s="8" t="s">
        <v>3066</v>
      </c>
      <c r="N337" s="7" t="s">
        <v>3033</v>
      </c>
      <c r="O337" s="8" t="s">
        <v>4</v>
      </c>
      <c r="P337" s="8" t="s">
        <v>115</v>
      </c>
      <c r="Q337" s="8" t="s">
        <v>4</v>
      </c>
      <c r="R337" s="8" t="s">
        <v>4</v>
      </c>
      <c r="S337" s="8" t="s">
        <v>808</v>
      </c>
      <c r="T337" s="9">
        <v>140</v>
      </c>
      <c r="U337" s="9">
        <v>84000</v>
      </c>
      <c r="V337" s="8" t="s">
        <v>808</v>
      </c>
      <c r="W337" s="8">
        <v>168525</v>
      </c>
      <c r="X337" s="8">
        <v>2.5</v>
      </c>
      <c r="Y337" s="8">
        <v>2100</v>
      </c>
      <c r="Z337" s="8">
        <v>2.5</v>
      </c>
      <c r="AA337" s="8">
        <v>2100</v>
      </c>
      <c r="AB337" s="8">
        <v>0</v>
      </c>
      <c r="AC337" s="8">
        <v>0</v>
      </c>
      <c r="AD337" s="8">
        <v>0</v>
      </c>
      <c r="AE337" s="8">
        <v>4200</v>
      </c>
      <c r="AF337" s="8">
        <v>0</v>
      </c>
      <c r="AG337" s="8" t="s">
        <v>2574</v>
      </c>
      <c r="AH337" s="8" t="s">
        <v>1</v>
      </c>
      <c r="AI337" s="8">
        <v>44152000</v>
      </c>
      <c r="AJ337" s="8" t="s">
        <v>60</v>
      </c>
      <c r="AK337" s="8">
        <v>1</v>
      </c>
      <c r="AL337" s="8">
        <v>0</v>
      </c>
      <c r="AM337" s="8" t="s">
        <v>1940</v>
      </c>
    </row>
    <row r="338" spans="7:39" ht="12.75" customHeight="1">
      <c r="G338" s="347"/>
      <c r="H338" s="6" t="s">
        <v>3052</v>
      </c>
      <c r="I338" s="8" t="s">
        <v>117</v>
      </c>
      <c r="J338" s="8" t="s">
        <v>113</v>
      </c>
      <c r="K338" s="8" t="s">
        <v>3065</v>
      </c>
      <c r="L338" s="8" t="s">
        <v>114</v>
      </c>
      <c r="M338" s="8" t="s">
        <v>3066</v>
      </c>
      <c r="N338" s="7" t="s">
        <v>3033</v>
      </c>
      <c r="O338" s="8" t="s">
        <v>4</v>
      </c>
      <c r="P338" s="8" t="s">
        <v>115</v>
      </c>
      <c r="Q338" s="8" t="s">
        <v>115</v>
      </c>
      <c r="R338" s="8" t="s">
        <v>4</v>
      </c>
      <c r="S338" s="8" t="s">
        <v>2171</v>
      </c>
      <c r="T338" s="9">
        <v>100</v>
      </c>
      <c r="U338" s="9">
        <v>76500</v>
      </c>
      <c r="V338" s="8" t="s">
        <v>2171</v>
      </c>
      <c r="W338" s="8">
        <v>0</v>
      </c>
      <c r="X338" s="8">
        <v>2.5</v>
      </c>
      <c r="Y338" s="8">
        <v>1912.5</v>
      </c>
      <c r="Z338" s="8">
        <v>2.5</v>
      </c>
      <c r="AA338" s="8">
        <v>1912.5</v>
      </c>
      <c r="AB338" s="8">
        <v>0</v>
      </c>
      <c r="AC338" s="8">
        <v>0</v>
      </c>
      <c r="AD338" s="8">
        <v>0</v>
      </c>
      <c r="AE338" s="8">
        <v>3825</v>
      </c>
      <c r="AF338" s="8">
        <v>0</v>
      </c>
      <c r="AG338" s="8" t="s">
        <v>2574</v>
      </c>
      <c r="AH338" s="8" t="s">
        <v>1</v>
      </c>
      <c r="AI338" s="8">
        <v>44152000</v>
      </c>
      <c r="AJ338" s="8" t="s">
        <v>60</v>
      </c>
      <c r="AK338" s="8">
        <v>1</v>
      </c>
      <c r="AL338" s="8">
        <v>0</v>
      </c>
      <c r="AM338" s="8" t="s">
        <v>1940</v>
      </c>
    </row>
    <row r="339" spans="7:39" ht="12.75" customHeight="1">
      <c r="G339" s="347"/>
      <c r="H339" s="6" t="s">
        <v>3052</v>
      </c>
      <c r="I339" s="8" t="s">
        <v>2196</v>
      </c>
      <c r="J339" s="8" t="s">
        <v>113</v>
      </c>
      <c r="K339" s="8" t="s">
        <v>3067</v>
      </c>
      <c r="L339" s="8" t="s">
        <v>114</v>
      </c>
      <c r="M339" s="8" t="s">
        <v>3068</v>
      </c>
      <c r="N339" s="7" t="s">
        <v>3033</v>
      </c>
      <c r="O339" s="8" t="s">
        <v>4</v>
      </c>
      <c r="P339" s="8" t="s">
        <v>115</v>
      </c>
      <c r="Q339" s="8" t="s">
        <v>115</v>
      </c>
      <c r="R339" s="8" t="s">
        <v>4</v>
      </c>
      <c r="S339" s="8" t="s">
        <v>2171</v>
      </c>
      <c r="T339" s="9">
        <v>70</v>
      </c>
      <c r="U339" s="9">
        <v>47670</v>
      </c>
      <c r="V339" s="8" t="s">
        <v>2171</v>
      </c>
      <c r="W339" s="8">
        <v>50053.5</v>
      </c>
      <c r="X339" s="8">
        <v>2.5</v>
      </c>
      <c r="Y339" s="8">
        <v>1191.75</v>
      </c>
      <c r="Z339" s="8">
        <v>2.5</v>
      </c>
      <c r="AA339" s="8">
        <v>1191.75</v>
      </c>
      <c r="AB339" s="8">
        <v>0</v>
      </c>
      <c r="AC339" s="8">
        <v>0</v>
      </c>
      <c r="AD339" s="8">
        <v>0</v>
      </c>
      <c r="AE339" s="8">
        <v>2383.5</v>
      </c>
      <c r="AF339" s="8">
        <v>0</v>
      </c>
      <c r="AG339" s="8" t="s">
        <v>2197</v>
      </c>
      <c r="AH339" s="8" t="s">
        <v>1</v>
      </c>
      <c r="AI339" s="8">
        <v>44152000</v>
      </c>
      <c r="AJ339" s="8" t="s">
        <v>60</v>
      </c>
      <c r="AK339" s="8">
        <v>1</v>
      </c>
      <c r="AL339" s="8">
        <v>0</v>
      </c>
      <c r="AM339" s="8" t="s">
        <v>1940</v>
      </c>
    </row>
    <row r="340" spans="7:39" ht="12.75" customHeight="1">
      <c r="G340" s="347"/>
      <c r="H340" s="6" t="s">
        <v>3052</v>
      </c>
      <c r="I340" s="8" t="s">
        <v>2196</v>
      </c>
      <c r="J340" s="8" t="s">
        <v>113</v>
      </c>
      <c r="K340" s="8" t="s">
        <v>3069</v>
      </c>
      <c r="L340" s="8" t="s">
        <v>114</v>
      </c>
      <c r="M340" s="8" t="s">
        <v>3070</v>
      </c>
      <c r="N340" s="7" t="s">
        <v>3030</v>
      </c>
      <c r="O340" s="8" t="s">
        <v>4</v>
      </c>
      <c r="P340" s="8" t="s">
        <v>115</v>
      </c>
      <c r="Q340" s="8" t="s">
        <v>4</v>
      </c>
      <c r="R340" s="8" t="s">
        <v>4</v>
      </c>
      <c r="S340" s="8" t="s">
        <v>808</v>
      </c>
      <c r="T340" s="9">
        <v>200</v>
      </c>
      <c r="U340" s="9">
        <v>102800</v>
      </c>
      <c r="V340" s="8" t="s">
        <v>808</v>
      </c>
      <c r="W340" s="8">
        <v>107940</v>
      </c>
      <c r="X340" s="8">
        <v>2.5</v>
      </c>
      <c r="Y340" s="8">
        <v>2570</v>
      </c>
      <c r="Z340" s="8">
        <v>2.5</v>
      </c>
      <c r="AA340" s="8">
        <v>2570</v>
      </c>
      <c r="AB340" s="8">
        <v>0</v>
      </c>
      <c r="AC340" s="8">
        <v>0</v>
      </c>
      <c r="AD340" s="8">
        <v>0</v>
      </c>
      <c r="AE340" s="8">
        <v>5140</v>
      </c>
      <c r="AF340" s="8">
        <v>0</v>
      </c>
      <c r="AG340" s="8" t="s">
        <v>2197</v>
      </c>
      <c r="AH340" s="8" t="s">
        <v>1</v>
      </c>
      <c r="AI340" s="8">
        <v>44152000</v>
      </c>
      <c r="AJ340" s="8" t="s">
        <v>60</v>
      </c>
      <c r="AK340" s="8">
        <v>1</v>
      </c>
      <c r="AL340" s="8">
        <v>0</v>
      </c>
      <c r="AM340" s="8" t="s">
        <v>1940</v>
      </c>
    </row>
    <row r="341" spans="7:39" ht="12.75" customHeight="1">
      <c r="G341" s="347"/>
      <c r="H341" s="6" t="s">
        <v>3071</v>
      </c>
      <c r="I341" s="8" t="s">
        <v>2773</v>
      </c>
      <c r="J341" s="8" t="s">
        <v>96</v>
      </c>
      <c r="K341" s="8" t="s">
        <v>3072</v>
      </c>
      <c r="L341" s="8" t="s">
        <v>97</v>
      </c>
      <c r="M341" s="8">
        <v>276</v>
      </c>
      <c r="N341" s="7">
        <v>46272</v>
      </c>
      <c r="O341" s="8" t="s">
        <v>2</v>
      </c>
      <c r="P341" s="8" t="s">
        <v>3073</v>
      </c>
      <c r="Q341" s="8" t="s">
        <v>68</v>
      </c>
      <c r="R341" s="8" t="s">
        <v>69</v>
      </c>
      <c r="S341" s="8" t="s">
        <v>3074</v>
      </c>
      <c r="T341" s="9">
        <v>2</v>
      </c>
      <c r="U341" s="9">
        <v>39900</v>
      </c>
      <c r="V341" s="8" t="s">
        <v>3074</v>
      </c>
      <c r="W341" s="8">
        <v>47082</v>
      </c>
      <c r="X341" s="8">
        <v>9</v>
      </c>
      <c r="Y341" s="8">
        <v>3591</v>
      </c>
      <c r="Z341" s="8">
        <v>9</v>
      </c>
      <c r="AA341" s="8">
        <v>3591</v>
      </c>
      <c r="AB341" s="8">
        <v>0</v>
      </c>
      <c r="AC341" s="8">
        <v>0</v>
      </c>
      <c r="AD341" s="8">
        <v>0</v>
      </c>
      <c r="AE341" s="8">
        <v>7182</v>
      </c>
      <c r="AF341" s="8">
        <v>0</v>
      </c>
      <c r="AG341" s="8" t="s">
        <v>2777</v>
      </c>
      <c r="AH341" s="8" t="s">
        <v>1</v>
      </c>
      <c r="AI341" s="8">
        <v>84439100</v>
      </c>
      <c r="AJ341" s="8" t="s">
        <v>60</v>
      </c>
      <c r="AK341" s="8">
        <v>1</v>
      </c>
      <c r="AL341" s="8">
        <v>0</v>
      </c>
      <c r="AM341" s="8" t="s">
        <v>1940</v>
      </c>
    </row>
    <row r="342" spans="7:39" ht="12.75" customHeight="1">
      <c r="G342" s="347"/>
      <c r="H342" s="6" t="s">
        <v>3071</v>
      </c>
      <c r="I342" s="8" t="s">
        <v>2068</v>
      </c>
      <c r="J342" s="8" t="s">
        <v>96</v>
      </c>
      <c r="K342" s="8" t="s">
        <v>3075</v>
      </c>
      <c r="L342" s="8" t="s">
        <v>97</v>
      </c>
      <c r="M342" s="8">
        <v>26270975</v>
      </c>
      <c r="N342" s="7">
        <v>46333</v>
      </c>
      <c r="O342" s="8" t="s">
        <v>5</v>
      </c>
      <c r="P342" s="8" t="s">
        <v>108</v>
      </c>
      <c r="Q342" s="8" t="s">
        <v>68</v>
      </c>
      <c r="R342" s="8" t="s">
        <v>69</v>
      </c>
      <c r="S342" s="8" t="s">
        <v>2849</v>
      </c>
      <c r="T342" s="9">
        <v>420</v>
      </c>
      <c r="U342" s="9">
        <v>59640</v>
      </c>
      <c r="V342" s="8" t="s">
        <v>2849</v>
      </c>
      <c r="W342" s="8">
        <v>70375</v>
      </c>
      <c r="X342" s="8">
        <v>9</v>
      </c>
      <c r="Y342" s="8">
        <v>5367.6</v>
      </c>
      <c r="Z342" s="8">
        <v>9</v>
      </c>
      <c r="AA342" s="8">
        <v>5367.6</v>
      </c>
      <c r="AB342" s="8">
        <v>0</v>
      </c>
      <c r="AC342" s="8">
        <v>0</v>
      </c>
      <c r="AD342" s="8">
        <v>0</v>
      </c>
      <c r="AE342" s="8">
        <v>10735.2</v>
      </c>
      <c r="AF342" s="8">
        <v>0</v>
      </c>
      <c r="AG342" s="8" t="s">
        <v>2536</v>
      </c>
      <c r="AH342" s="8" t="s">
        <v>6</v>
      </c>
      <c r="AI342" s="8">
        <v>27109900</v>
      </c>
      <c r="AJ342" s="8" t="s">
        <v>60</v>
      </c>
      <c r="AK342" s="8">
        <v>1</v>
      </c>
      <c r="AL342" s="8">
        <v>0</v>
      </c>
      <c r="AM342" s="8" t="s">
        <v>1940</v>
      </c>
    </row>
    <row r="343" spans="7:39" ht="12.75" customHeight="1">
      <c r="G343" s="347"/>
      <c r="H343" s="6" t="s">
        <v>3071</v>
      </c>
      <c r="I343" s="8" t="s">
        <v>3076</v>
      </c>
      <c r="J343" s="8" t="s">
        <v>96</v>
      </c>
      <c r="K343" s="8" t="s">
        <v>3077</v>
      </c>
      <c r="L343" s="8" t="s">
        <v>97</v>
      </c>
      <c r="M343" s="8">
        <v>10190</v>
      </c>
      <c r="N343" s="7">
        <v>46179</v>
      </c>
      <c r="O343" s="8" t="s">
        <v>2</v>
      </c>
      <c r="P343" s="8" t="s">
        <v>112</v>
      </c>
      <c r="Q343" s="8" t="s">
        <v>68</v>
      </c>
      <c r="R343" s="8" t="s">
        <v>69</v>
      </c>
      <c r="S343" s="8" t="s">
        <v>3078</v>
      </c>
      <c r="T343" s="9">
        <v>1</v>
      </c>
      <c r="U343" s="9">
        <v>900</v>
      </c>
      <c r="V343" s="8" t="s">
        <v>3078</v>
      </c>
      <c r="W343" s="8">
        <v>1062</v>
      </c>
      <c r="X343" s="8">
        <v>9</v>
      </c>
      <c r="Y343" s="8">
        <v>81</v>
      </c>
      <c r="Z343" s="8">
        <v>9</v>
      </c>
      <c r="AA343" s="8">
        <v>81</v>
      </c>
      <c r="AB343" s="8">
        <v>0</v>
      </c>
      <c r="AC343" s="8">
        <v>0</v>
      </c>
      <c r="AD343" s="8">
        <v>0</v>
      </c>
      <c r="AE343" s="8">
        <v>162</v>
      </c>
      <c r="AF343" s="8">
        <v>0</v>
      </c>
      <c r="AG343" s="8" t="s">
        <v>3079</v>
      </c>
      <c r="AH343" s="8" t="s">
        <v>1</v>
      </c>
      <c r="AI343" s="8">
        <v>83024110</v>
      </c>
      <c r="AJ343" s="8" t="s">
        <v>60</v>
      </c>
      <c r="AK343" s="8">
        <v>1</v>
      </c>
      <c r="AL343" s="8">
        <v>0</v>
      </c>
      <c r="AM343" s="8" t="s">
        <v>1940</v>
      </c>
    </row>
    <row r="344" spans="7:39" ht="12.75" customHeight="1">
      <c r="G344" s="347"/>
      <c r="H344" s="6" t="s">
        <v>3071</v>
      </c>
      <c r="I344" s="8" t="s">
        <v>2572</v>
      </c>
      <c r="J344" s="8" t="s">
        <v>113</v>
      </c>
      <c r="K344" s="8" t="s">
        <v>3080</v>
      </c>
      <c r="L344" s="8" t="s">
        <v>114</v>
      </c>
      <c r="M344" s="8" t="s">
        <v>3081</v>
      </c>
      <c r="N344" s="7" t="s">
        <v>3013</v>
      </c>
      <c r="O344" s="8" t="s">
        <v>4</v>
      </c>
      <c r="P344" s="8" t="s">
        <v>115</v>
      </c>
      <c r="Q344" s="8" t="s">
        <v>115</v>
      </c>
      <c r="R344" s="8" t="s">
        <v>4</v>
      </c>
      <c r="S344" s="8" t="s">
        <v>663</v>
      </c>
      <c r="T344" s="9">
        <v>200</v>
      </c>
      <c r="U344" s="9">
        <v>155000</v>
      </c>
      <c r="V344" s="8" t="s">
        <v>663</v>
      </c>
      <c r="W344" s="8">
        <v>162750</v>
      </c>
      <c r="X344" s="8">
        <v>2.5</v>
      </c>
      <c r="Y344" s="8">
        <v>3875</v>
      </c>
      <c r="Z344" s="8">
        <v>2.5</v>
      </c>
      <c r="AA344" s="8">
        <v>3875</v>
      </c>
      <c r="AB344" s="8">
        <v>0</v>
      </c>
      <c r="AC344" s="8">
        <v>0</v>
      </c>
      <c r="AD344" s="8">
        <v>0</v>
      </c>
      <c r="AE344" s="8">
        <v>7750</v>
      </c>
      <c r="AF344" s="8">
        <v>0</v>
      </c>
      <c r="AG344" s="8" t="s">
        <v>2573</v>
      </c>
      <c r="AH344" s="8" t="s">
        <v>1</v>
      </c>
      <c r="AI344" s="8">
        <v>44152000</v>
      </c>
      <c r="AJ344" s="8" t="s">
        <v>60</v>
      </c>
      <c r="AK344" s="8">
        <v>1</v>
      </c>
      <c r="AL344" s="8">
        <v>0</v>
      </c>
      <c r="AM344" s="8" t="s">
        <v>1940</v>
      </c>
    </row>
    <row r="345" spans="7:39" ht="12.75" customHeight="1">
      <c r="G345" s="347"/>
      <c r="H345" s="6" t="s">
        <v>3071</v>
      </c>
      <c r="I345" s="8" t="s">
        <v>2389</v>
      </c>
      <c r="J345" s="8" t="s">
        <v>96</v>
      </c>
      <c r="K345" s="8" t="s">
        <v>3082</v>
      </c>
      <c r="L345" s="8" t="s">
        <v>97</v>
      </c>
      <c r="M345" s="8" t="s">
        <v>3083</v>
      </c>
      <c r="N345" s="7">
        <v>46241</v>
      </c>
      <c r="O345" s="8" t="s">
        <v>8</v>
      </c>
      <c r="P345" s="8" t="s">
        <v>659</v>
      </c>
      <c r="Q345" s="8" t="s">
        <v>68</v>
      </c>
      <c r="R345" s="8" t="s">
        <v>69</v>
      </c>
      <c r="S345" s="8" t="s">
        <v>3084</v>
      </c>
      <c r="T345" s="9">
        <v>9000</v>
      </c>
      <c r="U345" s="9">
        <v>24300</v>
      </c>
      <c r="V345" s="8" t="s">
        <v>3084</v>
      </c>
      <c r="W345" s="8">
        <v>29264</v>
      </c>
      <c r="X345" s="8">
        <v>9</v>
      </c>
      <c r="Y345" s="8">
        <v>2187</v>
      </c>
      <c r="Z345" s="8">
        <v>9</v>
      </c>
      <c r="AA345" s="8">
        <v>2187</v>
      </c>
      <c r="AB345" s="8">
        <v>0</v>
      </c>
      <c r="AC345" s="8">
        <v>0</v>
      </c>
      <c r="AD345" s="8">
        <v>90</v>
      </c>
      <c r="AE345" s="8">
        <v>4464</v>
      </c>
      <c r="AF345" s="8">
        <v>0</v>
      </c>
      <c r="AG345" s="8" t="s">
        <v>3085</v>
      </c>
      <c r="AH345" s="8" t="s">
        <v>1</v>
      </c>
      <c r="AI345" s="8">
        <v>39235090</v>
      </c>
      <c r="AJ345" s="8" t="s">
        <v>60</v>
      </c>
      <c r="AK345" s="8">
        <v>1</v>
      </c>
      <c r="AL345" s="8">
        <v>9000</v>
      </c>
      <c r="AM345" s="8" t="s">
        <v>1940</v>
      </c>
    </row>
    <row r="346" spans="7:39" ht="12.75" customHeight="1">
      <c r="G346" s="347"/>
      <c r="H346" s="6" t="s">
        <v>3071</v>
      </c>
      <c r="I346" s="8" t="s">
        <v>2437</v>
      </c>
      <c r="J346" s="8" t="s">
        <v>96</v>
      </c>
      <c r="K346" s="8" t="s">
        <v>3086</v>
      </c>
      <c r="L346" s="8" t="s">
        <v>97</v>
      </c>
      <c r="M346" s="8" t="s">
        <v>3087</v>
      </c>
      <c r="N346" s="7">
        <v>46272</v>
      </c>
      <c r="O346" s="8" t="s">
        <v>2</v>
      </c>
      <c r="P346" s="8" t="s">
        <v>3088</v>
      </c>
      <c r="Q346" s="8" t="s">
        <v>68</v>
      </c>
      <c r="R346" s="8" t="s">
        <v>69</v>
      </c>
      <c r="S346" s="8" t="s">
        <v>3089</v>
      </c>
      <c r="T346" s="9">
        <v>8</v>
      </c>
      <c r="U346" s="9">
        <v>12200</v>
      </c>
      <c r="V346" s="8" t="s">
        <v>3089</v>
      </c>
      <c r="W346" s="8">
        <v>30267</v>
      </c>
      <c r="X346" s="8">
        <v>9</v>
      </c>
      <c r="Y346" s="8">
        <v>1098</v>
      </c>
      <c r="Z346" s="8">
        <v>9</v>
      </c>
      <c r="AA346" s="8">
        <v>1098</v>
      </c>
      <c r="AB346" s="8">
        <v>0</v>
      </c>
      <c r="AC346" s="8">
        <v>0</v>
      </c>
      <c r="AD346" s="8">
        <v>45</v>
      </c>
      <c r="AE346" s="8">
        <v>2241</v>
      </c>
      <c r="AF346" s="8">
        <v>0</v>
      </c>
      <c r="AG346" s="8" t="s">
        <v>3090</v>
      </c>
      <c r="AH346" s="8" t="s">
        <v>1</v>
      </c>
      <c r="AI346" s="8">
        <v>853620</v>
      </c>
      <c r="AJ346" s="8" t="s">
        <v>60</v>
      </c>
      <c r="AK346" s="8">
        <v>1</v>
      </c>
      <c r="AL346" s="8">
        <v>0</v>
      </c>
      <c r="AM346" s="8" t="s">
        <v>1940</v>
      </c>
    </row>
    <row r="347" spans="7:39" ht="12.75" customHeight="1">
      <c r="G347" s="347"/>
      <c r="H347" s="6" t="s">
        <v>3071</v>
      </c>
      <c r="I347" s="8" t="s">
        <v>2437</v>
      </c>
      <c r="J347" s="8" t="s">
        <v>96</v>
      </c>
      <c r="K347" s="8" t="s">
        <v>3086</v>
      </c>
      <c r="L347" s="8" t="s">
        <v>97</v>
      </c>
      <c r="M347" s="8" t="s">
        <v>3087</v>
      </c>
      <c r="N347" s="7">
        <v>46272</v>
      </c>
      <c r="O347" s="8" t="s">
        <v>2</v>
      </c>
      <c r="P347" s="8" t="s">
        <v>3088</v>
      </c>
      <c r="Q347" s="8" t="s">
        <v>68</v>
      </c>
      <c r="R347" s="8" t="s">
        <v>69</v>
      </c>
      <c r="S347" s="8" t="s">
        <v>3091</v>
      </c>
      <c r="T347" s="9">
        <v>3</v>
      </c>
      <c r="U347" s="9">
        <v>13200</v>
      </c>
      <c r="V347" s="8" t="s">
        <v>3091</v>
      </c>
      <c r="W347" s="8">
        <v>0</v>
      </c>
      <c r="X347" s="8">
        <v>9</v>
      </c>
      <c r="Y347" s="8">
        <v>1188</v>
      </c>
      <c r="Z347" s="8">
        <v>9</v>
      </c>
      <c r="AA347" s="8">
        <v>1188</v>
      </c>
      <c r="AB347" s="8">
        <v>0</v>
      </c>
      <c r="AC347" s="8">
        <v>0</v>
      </c>
      <c r="AD347" s="8">
        <v>45</v>
      </c>
      <c r="AE347" s="8">
        <v>2421</v>
      </c>
      <c r="AF347" s="8">
        <v>0</v>
      </c>
      <c r="AG347" s="8" t="s">
        <v>3090</v>
      </c>
      <c r="AH347" s="8" t="s">
        <v>1</v>
      </c>
      <c r="AI347" s="8">
        <v>8536491</v>
      </c>
      <c r="AJ347" s="8" t="s">
        <v>60</v>
      </c>
      <c r="AK347" s="8">
        <v>1</v>
      </c>
      <c r="AL347" s="8">
        <v>0</v>
      </c>
      <c r="AM347" s="8" t="s">
        <v>1940</v>
      </c>
    </row>
    <row r="348" spans="7:39" ht="12.75" customHeight="1">
      <c r="G348" s="347"/>
      <c r="H348" s="6" t="s">
        <v>3071</v>
      </c>
      <c r="I348" s="8" t="s">
        <v>3092</v>
      </c>
      <c r="J348" s="8" t="s">
        <v>91</v>
      </c>
      <c r="K348" s="8" t="s">
        <v>3093</v>
      </c>
      <c r="L348" s="8" t="s">
        <v>98</v>
      </c>
      <c r="M348" s="8">
        <v>441</v>
      </c>
      <c r="N348" s="7" t="s">
        <v>3033</v>
      </c>
      <c r="O348" s="8" t="s">
        <v>13</v>
      </c>
      <c r="P348" s="8" t="s">
        <v>3094</v>
      </c>
      <c r="Q348" s="8" t="s">
        <v>68</v>
      </c>
      <c r="R348" s="8" t="s">
        <v>69</v>
      </c>
      <c r="S348" s="8" t="s">
        <v>3094</v>
      </c>
      <c r="T348" s="9">
        <v>2000</v>
      </c>
      <c r="U348" s="9">
        <v>69000</v>
      </c>
      <c r="V348" s="8" t="s">
        <v>3094</v>
      </c>
      <c r="W348" s="8">
        <v>74550</v>
      </c>
      <c r="X348" s="8">
        <v>2.5</v>
      </c>
      <c r="Y348" s="8">
        <v>1725</v>
      </c>
      <c r="Z348" s="8">
        <v>2.5</v>
      </c>
      <c r="AA348" s="8">
        <v>1725</v>
      </c>
      <c r="AB348" s="8">
        <v>0</v>
      </c>
      <c r="AC348" s="8">
        <v>0</v>
      </c>
      <c r="AD348" s="8">
        <v>100</v>
      </c>
      <c r="AE348" s="8">
        <v>3550</v>
      </c>
      <c r="AF348" s="8">
        <v>0</v>
      </c>
      <c r="AG348" s="8" t="s">
        <v>3095</v>
      </c>
      <c r="AH348" s="8" t="s">
        <v>3096</v>
      </c>
      <c r="AI348" s="8">
        <v>531010</v>
      </c>
      <c r="AJ348" s="8" t="s">
        <v>60</v>
      </c>
      <c r="AK348" s="8">
        <v>1</v>
      </c>
      <c r="AL348" s="8">
        <v>2000</v>
      </c>
      <c r="AM348" s="8" t="s">
        <v>1940</v>
      </c>
    </row>
    <row r="349" spans="7:39" ht="12.75" customHeight="1">
      <c r="G349" s="347"/>
      <c r="H349" s="6" t="s">
        <v>3071</v>
      </c>
      <c r="I349" s="8" t="s">
        <v>87</v>
      </c>
      <c r="J349" s="8" t="s">
        <v>96</v>
      </c>
      <c r="K349" s="8" t="s">
        <v>3097</v>
      </c>
      <c r="L349" s="8" t="s">
        <v>97</v>
      </c>
      <c r="M349" s="8" t="s">
        <v>3098</v>
      </c>
      <c r="N349" s="7" t="s">
        <v>3071</v>
      </c>
      <c r="O349" s="8" t="s">
        <v>2</v>
      </c>
      <c r="P349" s="8" t="s">
        <v>67</v>
      </c>
      <c r="Q349" s="8" t="s">
        <v>68</v>
      </c>
      <c r="R349" s="8" t="s">
        <v>69</v>
      </c>
      <c r="S349" s="8" t="s">
        <v>70</v>
      </c>
      <c r="T349" s="9">
        <v>376</v>
      </c>
      <c r="U349" s="9">
        <v>18048</v>
      </c>
      <c r="V349" s="8" t="s">
        <v>70</v>
      </c>
      <c r="W349" s="8">
        <v>21278.59</v>
      </c>
      <c r="X349" s="8">
        <v>9</v>
      </c>
      <c r="Y349" s="8">
        <v>1624.32</v>
      </c>
      <c r="Z349" s="8">
        <v>9</v>
      </c>
      <c r="AA349" s="8">
        <v>1624.32</v>
      </c>
      <c r="AB349" s="8">
        <v>0</v>
      </c>
      <c r="AC349" s="8">
        <v>0</v>
      </c>
      <c r="AD349" s="8">
        <v>0</v>
      </c>
      <c r="AE349" s="8">
        <v>3248.64</v>
      </c>
      <c r="AF349" s="8">
        <v>0</v>
      </c>
      <c r="AG349" s="8" t="s">
        <v>65</v>
      </c>
      <c r="AH349" s="8" t="s">
        <v>11</v>
      </c>
      <c r="AI349" s="8">
        <v>73063090</v>
      </c>
      <c r="AJ349" s="8" t="s">
        <v>60</v>
      </c>
      <c r="AK349" s="8">
        <v>1</v>
      </c>
      <c r="AL349" s="8">
        <v>0</v>
      </c>
      <c r="AM349" s="8" t="s">
        <v>1940</v>
      </c>
    </row>
    <row r="350" spans="7:39" ht="12.75" customHeight="1">
      <c r="G350" s="347"/>
      <c r="H350" s="6" t="s">
        <v>3071</v>
      </c>
      <c r="I350" s="8" t="s">
        <v>87</v>
      </c>
      <c r="J350" s="8" t="s">
        <v>91</v>
      </c>
      <c r="K350" s="8" t="s">
        <v>3099</v>
      </c>
      <c r="L350" s="8" t="s">
        <v>98</v>
      </c>
      <c r="M350" s="8" t="s">
        <v>3100</v>
      </c>
      <c r="N350" s="7" t="s">
        <v>3071</v>
      </c>
      <c r="O350" s="8" t="s">
        <v>13</v>
      </c>
      <c r="P350" s="8" t="s">
        <v>62</v>
      </c>
      <c r="Q350" s="8" t="s">
        <v>63</v>
      </c>
      <c r="R350" s="8" t="s">
        <v>64</v>
      </c>
      <c r="S350" s="8" t="s">
        <v>19</v>
      </c>
      <c r="T350" s="9">
        <v>6039</v>
      </c>
      <c r="U350" s="9">
        <v>872575.11</v>
      </c>
      <c r="V350" s="8" t="s">
        <v>19</v>
      </c>
      <c r="W350" s="8">
        <v>1373748.59</v>
      </c>
      <c r="X350" s="8">
        <v>9</v>
      </c>
      <c r="Y350" s="8">
        <v>78531.759999999995</v>
      </c>
      <c r="Z350" s="8">
        <v>9</v>
      </c>
      <c r="AA350" s="8">
        <v>78531.759999999995</v>
      </c>
      <c r="AB350" s="8">
        <v>0</v>
      </c>
      <c r="AC350" s="8">
        <v>0</v>
      </c>
      <c r="AD350" s="8">
        <v>0</v>
      </c>
      <c r="AE350" s="8">
        <v>157063.51999999999</v>
      </c>
      <c r="AF350" s="8">
        <v>0</v>
      </c>
      <c r="AG350" s="8" t="s">
        <v>65</v>
      </c>
      <c r="AH350" s="8" t="s">
        <v>11</v>
      </c>
      <c r="AI350" s="8">
        <v>39269080</v>
      </c>
      <c r="AJ350" s="8" t="s">
        <v>60</v>
      </c>
      <c r="AK350" s="8">
        <v>1</v>
      </c>
      <c r="AL350" s="8">
        <v>0</v>
      </c>
      <c r="AM350" s="8" t="s">
        <v>1940</v>
      </c>
    </row>
    <row r="351" spans="7:39" ht="12.75" customHeight="1">
      <c r="G351" s="347"/>
      <c r="H351" s="6" t="s">
        <v>3071</v>
      </c>
      <c r="I351" s="8" t="s">
        <v>87</v>
      </c>
      <c r="J351" s="8" t="s">
        <v>91</v>
      </c>
      <c r="K351" s="8" t="s">
        <v>3099</v>
      </c>
      <c r="L351" s="8" t="s">
        <v>98</v>
      </c>
      <c r="M351" s="8" t="s">
        <v>3100</v>
      </c>
      <c r="N351" s="7" t="s">
        <v>3071</v>
      </c>
      <c r="O351" s="8" t="s">
        <v>13</v>
      </c>
      <c r="P351" s="8" t="s">
        <v>62</v>
      </c>
      <c r="Q351" s="8" t="s">
        <v>63</v>
      </c>
      <c r="R351" s="8" t="s">
        <v>64</v>
      </c>
      <c r="S351" s="8" t="s">
        <v>19</v>
      </c>
      <c r="T351" s="9">
        <v>505</v>
      </c>
      <c r="U351" s="9">
        <v>74482.45</v>
      </c>
      <c r="V351" s="8" t="s">
        <v>19</v>
      </c>
      <c r="W351" s="8">
        <v>0</v>
      </c>
      <c r="X351" s="8">
        <v>9</v>
      </c>
      <c r="Y351" s="8">
        <v>6703.42</v>
      </c>
      <c r="Z351" s="8">
        <v>9</v>
      </c>
      <c r="AA351" s="8">
        <v>6703.42</v>
      </c>
      <c r="AB351" s="8">
        <v>0</v>
      </c>
      <c r="AC351" s="8">
        <v>0</v>
      </c>
      <c r="AD351" s="8">
        <v>0</v>
      </c>
      <c r="AE351" s="8">
        <v>13406.84</v>
      </c>
      <c r="AF351" s="8">
        <v>0</v>
      </c>
      <c r="AG351" s="8" t="s">
        <v>65</v>
      </c>
      <c r="AH351" s="8" t="s">
        <v>11</v>
      </c>
      <c r="AI351" s="8">
        <v>39269080</v>
      </c>
      <c r="AJ351" s="8" t="s">
        <v>60</v>
      </c>
      <c r="AK351" s="8">
        <v>1</v>
      </c>
      <c r="AL351" s="8">
        <v>0</v>
      </c>
      <c r="AM351" s="8" t="s">
        <v>1940</v>
      </c>
    </row>
    <row r="352" spans="7:39" ht="12.75" customHeight="1">
      <c r="G352" s="347"/>
      <c r="H352" s="6" t="s">
        <v>3071</v>
      </c>
      <c r="I352" s="8" t="s">
        <v>87</v>
      </c>
      <c r="J352" s="8" t="s">
        <v>91</v>
      </c>
      <c r="K352" s="8" t="s">
        <v>3099</v>
      </c>
      <c r="L352" s="8" t="s">
        <v>98</v>
      </c>
      <c r="M352" s="8" t="s">
        <v>3100</v>
      </c>
      <c r="N352" s="7" t="s">
        <v>3071</v>
      </c>
      <c r="O352" s="8" t="s">
        <v>13</v>
      </c>
      <c r="P352" s="8" t="s">
        <v>62</v>
      </c>
      <c r="Q352" s="8" t="s">
        <v>63</v>
      </c>
      <c r="R352" s="8" t="s">
        <v>64</v>
      </c>
      <c r="S352" s="8" t="s">
        <v>19</v>
      </c>
      <c r="T352" s="9">
        <v>1489</v>
      </c>
      <c r="U352" s="9">
        <v>218123.61</v>
      </c>
      <c r="V352" s="8" t="s">
        <v>19</v>
      </c>
      <c r="W352" s="8">
        <v>0</v>
      </c>
      <c r="X352" s="8">
        <v>9</v>
      </c>
      <c r="Y352" s="8">
        <v>19631.12</v>
      </c>
      <c r="Z352" s="8">
        <v>9</v>
      </c>
      <c r="AA352" s="8">
        <v>19631.12</v>
      </c>
      <c r="AB352" s="8">
        <v>0</v>
      </c>
      <c r="AC352" s="8">
        <v>0</v>
      </c>
      <c r="AD352" s="8">
        <v>0</v>
      </c>
      <c r="AE352" s="8">
        <v>39262.239999999998</v>
      </c>
      <c r="AF352" s="8">
        <v>0</v>
      </c>
      <c r="AG352" s="8" t="s">
        <v>65</v>
      </c>
      <c r="AH352" s="8" t="s">
        <v>11</v>
      </c>
      <c r="AI352" s="8">
        <v>39269080</v>
      </c>
      <c r="AJ352" s="8" t="s">
        <v>60</v>
      </c>
      <c r="AK352" s="8">
        <v>1</v>
      </c>
      <c r="AL352" s="8">
        <v>0</v>
      </c>
      <c r="AM352" s="8" t="s">
        <v>1940</v>
      </c>
    </row>
    <row r="353" spans="7:39" ht="12.75" customHeight="1">
      <c r="G353" s="347"/>
      <c r="H353" s="6" t="s">
        <v>3071</v>
      </c>
      <c r="I353" s="8" t="s">
        <v>87</v>
      </c>
      <c r="J353" s="8" t="s">
        <v>91</v>
      </c>
      <c r="K353" s="8" t="s">
        <v>3101</v>
      </c>
      <c r="L353" s="8" t="s">
        <v>98</v>
      </c>
      <c r="M353" s="8" t="s">
        <v>3102</v>
      </c>
      <c r="N353" s="7" t="s">
        <v>3071</v>
      </c>
      <c r="O353" s="8" t="s">
        <v>13</v>
      </c>
      <c r="P353" s="8" t="s">
        <v>62</v>
      </c>
      <c r="Q353" s="8" t="s">
        <v>63</v>
      </c>
      <c r="R353" s="8" t="s">
        <v>64</v>
      </c>
      <c r="S353" s="8" t="s">
        <v>19</v>
      </c>
      <c r="T353" s="9">
        <v>424</v>
      </c>
      <c r="U353" s="9">
        <v>61263.76</v>
      </c>
      <c r="V353" s="8" t="s">
        <v>19</v>
      </c>
      <c r="W353" s="8">
        <v>171669.57</v>
      </c>
      <c r="X353" s="8">
        <v>9</v>
      </c>
      <c r="Y353" s="8">
        <v>5513.74</v>
      </c>
      <c r="Z353" s="8">
        <v>9</v>
      </c>
      <c r="AA353" s="8">
        <v>5513.74</v>
      </c>
      <c r="AB353" s="8">
        <v>0</v>
      </c>
      <c r="AC353" s="8">
        <v>0</v>
      </c>
      <c r="AD353" s="8">
        <v>0</v>
      </c>
      <c r="AE353" s="8">
        <v>11027.48</v>
      </c>
      <c r="AF353" s="8">
        <v>0</v>
      </c>
      <c r="AG353" s="8" t="s">
        <v>65</v>
      </c>
      <c r="AH353" s="8" t="s">
        <v>11</v>
      </c>
      <c r="AI353" s="8">
        <v>39269080</v>
      </c>
      <c r="AJ353" s="8" t="s">
        <v>60</v>
      </c>
      <c r="AK353" s="8">
        <v>1</v>
      </c>
      <c r="AL353" s="8">
        <v>0</v>
      </c>
      <c r="AM353" s="8" t="s">
        <v>1940</v>
      </c>
    </row>
    <row r="354" spans="7:39" ht="12.75" customHeight="1">
      <c r="G354" s="347"/>
      <c r="H354" s="6" t="s">
        <v>3071</v>
      </c>
      <c r="I354" s="8" t="s">
        <v>87</v>
      </c>
      <c r="J354" s="8" t="s">
        <v>91</v>
      </c>
      <c r="K354" s="8" t="s">
        <v>3101</v>
      </c>
      <c r="L354" s="8" t="s">
        <v>98</v>
      </c>
      <c r="M354" s="8" t="s">
        <v>3102</v>
      </c>
      <c r="N354" s="8" t="s">
        <v>3071</v>
      </c>
      <c r="O354" s="8" t="s">
        <v>13</v>
      </c>
      <c r="P354" s="8" t="s">
        <v>62</v>
      </c>
      <c r="Q354" s="8" t="s">
        <v>76</v>
      </c>
      <c r="R354" s="8" t="s">
        <v>77</v>
      </c>
      <c r="S354" s="8" t="s">
        <v>21</v>
      </c>
      <c r="T354" s="9">
        <v>568</v>
      </c>
      <c r="U354" s="9">
        <v>84342.32</v>
      </c>
      <c r="V354" s="8" t="s">
        <v>21</v>
      </c>
      <c r="W354" s="8">
        <v>0</v>
      </c>
      <c r="X354" s="8">
        <v>9</v>
      </c>
      <c r="Y354" s="8">
        <v>7590.81</v>
      </c>
      <c r="Z354" s="8">
        <v>9</v>
      </c>
      <c r="AA354" s="8">
        <v>7590.81</v>
      </c>
      <c r="AB354" s="8">
        <v>0</v>
      </c>
      <c r="AC354" s="8">
        <v>0</v>
      </c>
      <c r="AD354" s="8">
        <v>0</v>
      </c>
      <c r="AE354" s="8">
        <v>15181.62</v>
      </c>
      <c r="AF354" s="8">
        <v>0</v>
      </c>
      <c r="AG354" s="8" t="s">
        <v>65</v>
      </c>
      <c r="AH354" s="8" t="s">
        <v>11</v>
      </c>
      <c r="AI354" s="8">
        <v>63053300</v>
      </c>
      <c r="AJ354" s="8" t="s">
        <v>60</v>
      </c>
      <c r="AK354" s="8">
        <v>1</v>
      </c>
      <c r="AL354" s="8">
        <v>0</v>
      </c>
      <c r="AM354" s="8" t="s">
        <v>1940</v>
      </c>
    </row>
    <row r="355" spans="7:39" ht="12.75" customHeight="1">
      <c r="G355" s="347"/>
      <c r="H355" s="6" t="s">
        <v>3071</v>
      </c>
      <c r="I355" s="8" t="s">
        <v>87</v>
      </c>
      <c r="J355" s="8" t="s">
        <v>91</v>
      </c>
      <c r="K355" s="8" t="s">
        <v>3103</v>
      </c>
      <c r="L355" s="8" t="s">
        <v>98</v>
      </c>
      <c r="M355" s="8" t="s">
        <v>3104</v>
      </c>
      <c r="N355" s="7" t="s">
        <v>3071</v>
      </c>
      <c r="O355" s="8" t="s">
        <v>13</v>
      </c>
      <c r="P355" s="8" t="s">
        <v>62</v>
      </c>
      <c r="Q355" s="8" t="s">
        <v>76</v>
      </c>
      <c r="R355" s="8" t="s">
        <v>77</v>
      </c>
      <c r="S355" s="8" t="s">
        <v>21</v>
      </c>
      <c r="T355" s="9">
        <v>659</v>
      </c>
      <c r="U355" s="9">
        <v>97854.91</v>
      </c>
      <c r="V355" s="8" t="s">
        <v>21</v>
      </c>
      <c r="W355" s="8">
        <v>115370.94</v>
      </c>
      <c r="X355" s="8">
        <v>9</v>
      </c>
      <c r="Y355" s="8">
        <v>8806.94</v>
      </c>
      <c r="Z355" s="8">
        <v>9</v>
      </c>
      <c r="AA355" s="8">
        <v>8806.94</v>
      </c>
      <c r="AB355" s="8">
        <v>0</v>
      </c>
      <c r="AC355" s="8">
        <v>0</v>
      </c>
      <c r="AD355" s="8">
        <v>0</v>
      </c>
      <c r="AE355" s="8">
        <v>17613.88</v>
      </c>
      <c r="AF355" s="8">
        <v>0</v>
      </c>
      <c r="AG355" s="8" t="s">
        <v>65</v>
      </c>
      <c r="AH355" s="8" t="s">
        <v>11</v>
      </c>
      <c r="AI355" s="8">
        <v>63053300</v>
      </c>
      <c r="AJ355" s="8" t="s">
        <v>60</v>
      </c>
      <c r="AK355" s="8">
        <v>1</v>
      </c>
      <c r="AL355" s="8">
        <v>0</v>
      </c>
      <c r="AM355" s="8" t="s">
        <v>1940</v>
      </c>
    </row>
    <row r="356" spans="7:39" ht="12.75" customHeight="1">
      <c r="G356" s="347"/>
      <c r="H356" s="6" t="s">
        <v>3071</v>
      </c>
      <c r="I356" s="8" t="s">
        <v>87</v>
      </c>
      <c r="J356" s="8" t="s">
        <v>91</v>
      </c>
      <c r="K356" s="8" t="s">
        <v>3105</v>
      </c>
      <c r="L356" s="8" t="s">
        <v>98</v>
      </c>
      <c r="M356" s="8" t="s">
        <v>3106</v>
      </c>
      <c r="N356" s="7" t="s">
        <v>3071</v>
      </c>
      <c r="O356" s="8" t="s">
        <v>13</v>
      </c>
      <c r="P356" s="8" t="s">
        <v>62</v>
      </c>
      <c r="Q356" s="8" t="s">
        <v>63</v>
      </c>
      <c r="R356" s="8" t="s">
        <v>64</v>
      </c>
      <c r="S356" s="8" t="s">
        <v>19</v>
      </c>
      <c r="T356" s="9">
        <v>2216</v>
      </c>
      <c r="U356" s="9">
        <v>324621.84000000003</v>
      </c>
      <c r="V356" s="8" t="s">
        <v>19</v>
      </c>
      <c r="W356" s="8">
        <v>456958.71999999997</v>
      </c>
      <c r="X356" s="8">
        <v>9</v>
      </c>
      <c r="Y356" s="8">
        <v>29215.97</v>
      </c>
      <c r="Z356" s="8">
        <v>9</v>
      </c>
      <c r="AA356" s="8">
        <v>29215.97</v>
      </c>
      <c r="AB356" s="8">
        <v>0</v>
      </c>
      <c r="AC356" s="8">
        <v>0</v>
      </c>
      <c r="AD356" s="8">
        <v>0</v>
      </c>
      <c r="AE356" s="8">
        <v>58431.94</v>
      </c>
      <c r="AF356" s="8">
        <v>0</v>
      </c>
      <c r="AG356" s="8" t="s">
        <v>65</v>
      </c>
      <c r="AH356" s="8" t="s">
        <v>11</v>
      </c>
      <c r="AI356" s="8">
        <v>39269080</v>
      </c>
      <c r="AJ356" s="8" t="s">
        <v>60</v>
      </c>
      <c r="AK356" s="8">
        <v>1</v>
      </c>
      <c r="AL356" s="8">
        <v>0</v>
      </c>
      <c r="AM356" s="8" t="s">
        <v>1940</v>
      </c>
    </row>
    <row r="357" spans="7:39" ht="12.75" customHeight="1">
      <c r="G357" s="347"/>
      <c r="H357" s="6" t="s">
        <v>3071</v>
      </c>
      <c r="I357" s="8" t="s">
        <v>87</v>
      </c>
      <c r="J357" s="8" t="s">
        <v>91</v>
      </c>
      <c r="K357" s="8" t="s">
        <v>3105</v>
      </c>
      <c r="L357" s="8" t="s">
        <v>98</v>
      </c>
      <c r="M357" s="8" t="s">
        <v>3106</v>
      </c>
      <c r="N357" s="7" t="s">
        <v>3071</v>
      </c>
      <c r="O357" s="8" t="s">
        <v>13</v>
      </c>
      <c r="P357" s="8" t="s">
        <v>62</v>
      </c>
      <c r="Q357" s="8" t="s">
        <v>76</v>
      </c>
      <c r="R357" s="8" t="s">
        <v>77</v>
      </c>
      <c r="S357" s="8" t="s">
        <v>21</v>
      </c>
      <c r="T357" s="9">
        <v>424</v>
      </c>
      <c r="U357" s="9">
        <v>62959.76</v>
      </c>
      <c r="V357" s="8" t="s">
        <v>21</v>
      </c>
      <c r="W357" s="8">
        <v>0</v>
      </c>
      <c r="X357" s="8">
        <v>9</v>
      </c>
      <c r="Y357" s="8">
        <v>5666.38</v>
      </c>
      <c r="Z357" s="8">
        <v>9</v>
      </c>
      <c r="AA357" s="8">
        <v>5666.38</v>
      </c>
      <c r="AB357" s="8">
        <v>0</v>
      </c>
      <c r="AC357" s="8">
        <v>0</v>
      </c>
      <c r="AD357" s="8">
        <v>0</v>
      </c>
      <c r="AE357" s="8">
        <v>11332.76</v>
      </c>
      <c r="AF357" s="8">
        <v>0</v>
      </c>
      <c r="AG357" s="8" t="s">
        <v>65</v>
      </c>
      <c r="AH357" s="8" t="s">
        <v>11</v>
      </c>
      <c r="AI357" s="8">
        <v>63053300</v>
      </c>
      <c r="AJ357" s="8" t="s">
        <v>60</v>
      </c>
      <c r="AK357" s="8">
        <v>1</v>
      </c>
      <c r="AL357" s="8">
        <v>0</v>
      </c>
      <c r="AM357" s="8" t="s">
        <v>1940</v>
      </c>
    </row>
    <row r="358" spans="7:39" ht="12.75" customHeight="1">
      <c r="G358" s="347"/>
      <c r="H358" s="6" t="s">
        <v>3071</v>
      </c>
      <c r="I358" s="8" t="s">
        <v>87</v>
      </c>
      <c r="J358" s="8" t="s">
        <v>91</v>
      </c>
      <c r="K358" s="8" t="s">
        <v>3107</v>
      </c>
      <c r="L358" s="8" t="s">
        <v>98</v>
      </c>
      <c r="M358" s="8" t="s">
        <v>3108</v>
      </c>
      <c r="N358" s="8" t="s">
        <v>3071</v>
      </c>
      <c r="O358" s="8" t="s">
        <v>13</v>
      </c>
      <c r="P358" s="8" t="s">
        <v>80</v>
      </c>
      <c r="Q358" s="8" t="s">
        <v>81</v>
      </c>
      <c r="R358" s="8" t="s">
        <v>82</v>
      </c>
      <c r="S358" s="8" t="s">
        <v>17</v>
      </c>
      <c r="T358" s="9">
        <v>1415</v>
      </c>
      <c r="U358" s="9">
        <v>264293.7</v>
      </c>
      <c r="V358" s="8" t="s">
        <v>17</v>
      </c>
      <c r="W358" s="8">
        <v>1058204.8</v>
      </c>
      <c r="X358" s="8">
        <v>9</v>
      </c>
      <c r="Y358" s="8">
        <v>23786.43</v>
      </c>
      <c r="Z358" s="8">
        <v>9</v>
      </c>
      <c r="AA358" s="8">
        <v>23786.43</v>
      </c>
      <c r="AB358" s="8">
        <v>0</v>
      </c>
      <c r="AC358" s="8">
        <v>0</v>
      </c>
      <c r="AD358" s="8">
        <v>0</v>
      </c>
      <c r="AE358" s="8">
        <v>47572.86</v>
      </c>
      <c r="AF358" s="8">
        <v>0</v>
      </c>
      <c r="AG358" s="8" t="s">
        <v>65</v>
      </c>
      <c r="AH358" s="8" t="s">
        <v>11</v>
      </c>
      <c r="AI358" s="8">
        <v>39200000</v>
      </c>
      <c r="AJ358" s="8" t="s">
        <v>60</v>
      </c>
      <c r="AK358" s="8">
        <v>1</v>
      </c>
      <c r="AL358" s="8">
        <v>0</v>
      </c>
      <c r="AM358" s="8" t="s">
        <v>1940</v>
      </c>
    </row>
    <row r="359" spans="7:39" ht="12.75" customHeight="1">
      <c r="G359" s="347"/>
      <c r="H359" s="6" t="s">
        <v>3071</v>
      </c>
      <c r="I359" s="8" t="s">
        <v>87</v>
      </c>
      <c r="J359" s="8" t="s">
        <v>91</v>
      </c>
      <c r="K359" s="8" t="s">
        <v>3107</v>
      </c>
      <c r="L359" s="8" t="s">
        <v>98</v>
      </c>
      <c r="M359" s="8" t="s">
        <v>3108</v>
      </c>
      <c r="N359" s="7" t="s">
        <v>3071</v>
      </c>
      <c r="O359" s="8" t="s">
        <v>13</v>
      </c>
      <c r="P359" s="8" t="s">
        <v>80</v>
      </c>
      <c r="Q359" s="8" t="s">
        <v>81</v>
      </c>
      <c r="R359" s="8" t="s">
        <v>82</v>
      </c>
      <c r="S359" s="8" t="s">
        <v>17</v>
      </c>
      <c r="T359" s="9">
        <v>372</v>
      </c>
      <c r="U359" s="9">
        <v>70970.16</v>
      </c>
      <c r="V359" s="8" t="s">
        <v>17</v>
      </c>
      <c r="W359" s="8">
        <v>0</v>
      </c>
      <c r="X359" s="8">
        <v>9</v>
      </c>
      <c r="Y359" s="8">
        <v>6387.31</v>
      </c>
      <c r="Z359" s="8">
        <v>9</v>
      </c>
      <c r="AA359" s="8">
        <v>6387.31</v>
      </c>
      <c r="AB359" s="8">
        <v>0</v>
      </c>
      <c r="AC359" s="8">
        <v>0</v>
      </c>
      <c r="AD359" s="8">
        <v>0</v>
      </c>
      <c r="AE359" s="8">
        <v>12774.62</v>
      </c>
      <c r="AF359" s="8">
        <v>0</v>
      </c>
      <c r="AG359" s="8" t="s">
        <v>65</v>
      </c>
      <c r="AH359" s="8" t="s">
        <v>11</v>
      </c>
      <c r="AI359" s="8">
        <v>39200000</v>
      </c>
      <c r="AJ359" s="8" t="s">
        <v>60</v>
      </c>
      <c r="AK359" s="8">
        <v>1</v>
      </c>
      <c r="AL359" s="8">
        <v>0</v>
      </c>
      <c r="AM359" s="8" t="s">
        <v>1940</v>
      </c>
    </row>
    <row r="360" spans="7:39" ht="12.75" customHeight="1">
      <c r="G360" s="347"/>
      <c r="H360" s="6" t="s">
        <v>3071</v>
      </c>
      <c r="I360" s="8" t="s">
        <v>87</v>
      </c>
      <c r="J360" s="8" t="s">
        <v>91</v>
      </c>
      <c r="K360" s="8" t="s">
        <v>3107</v>
      </c>
      <c r="L360" s="8" t="s">
        <v>98</v>
      </c>
      <c r="M360" s="8" t="s">
        <v>3108</v>
      </c>
      <c r="N360" s="7" t="s">
        <v>3071</v>
      </c>
      <c r="O360" s="8" t="s">
        <v>13</v>
      </c>
      <c r="P360" s="8" t="s">
        <v>24</v>
      </c>
      <c r="Q360" s="8" t="s">
        <v>79</v>
      </c>
      <c r="R360" s="8" t="s">
        <v>79</v>
      </c>
      <c r="S360" s="8" t="s">
        <v>24</v>
      </c>
      <c r="T360" s="9">
        <v>71</v>
      </c>
      <c r="U360" s="9">
        <v>12104.79</v>
      </c>
      <c r="V360" s="8" t="s">
        <v>24</v>
      </c>
      <c r="W360" s="8">
        <v>0</v>
      </c>
      <c r="X360" s="8">
        <v>9</v>
      </c>
      <c r="Y360" s="8">
        <v>1089.43</v>
      </c>
      <c r="Z360" s="8">
        <v>9</v>
      </c>
      <c r="AA360" s="8">
        <v>1089.43</v>
      </c>
      <c r="AB360" s="8">
        <v>0</v>
      </c>
      <c r="AC360" s="8">
        <v>0</v>
      </c>
      <c r="AD360" s="8">
        <v>0</v>
      </c>
      <c r="AE360" s="8">
        <v>2178.86</v>
      </c>
      <c r="AF360" s="8">
        <v>0</v>
      </c>
      <c r="AG360" s="8" t="s">
        <v>65</v>
      </c>
      <c r="AH360" s="8" t="s">
        <v>11</v>
      </c>
      <c r="AI360" s="8">
        <v>3926908</v>
      </c>
      <c r="AJ360" s="8" t="s">
        <v>60</v>
      </c>
      <c r="AK360" s="8">
        <v>1</v>
      </c>
      <c r="AL360" s="8">
        <v>0</v>
      </c>
      <c r="AM360" s="8" t="s">
        <v>1940</v>
      </c>
    </row>
    <row r="361" spans="7:39" ht="12.75" customHeight="1">
      <c r="G361" s="347"/>
      <c r="H361" s="6" t="s">
        <v>3071</v>
      </c>
      <c r="I361" s="8" t="s">
        <v>87</v>
      </c>
      <c r="J361" s="8" t="s">
        <v>91</v>
      </c>
      <c r="K361" s="8" t="s">
        <v>3107</v>
      </c>
      <c r="L361" s="8" t="s">
        <v>98</v>
      </c>
      <c r="M361" s="8" t="s">
        <v>3108</v>
      </c>
      <c r="N361" s="7" t="s">
        <v>3071</v>
      </c>
      <c r="O361" s="8" t="s">
        <v>13</v>
      </c>
      <c r="P361" s="8" t="s">
        <v>24</v>
      </c>
      <c r="Q361" s="8" t="s">
        <v>79</v>
      </c>
      <c r="R361" s="8" t="s">
        <v>79</v>
      </c>
      <c r="S361" s="8" t="s">
        <v>24</v>
      </c>
      <c r="T361" s="9">
        <v>430.7</v>
      </c>
      <c r="U361" s="9">
        <v>64385.34</v>
      </c>
      <c r="V361" s="8" t="s">
        <v>24</v>
      </c>
      <c r="W361" s="8">
        <v>0</v>
      </c>
      <c r="X361" s="8">
        <v>9</v>
      </c>
      <c r="Y361" s="8">
        <v>5794.68</v>
      </c>
      <c r="Z361" s="8">
        <v>9</v>
      </c>
      <c r="AA361" s="8">
        <v>5794.68</v>
      </c>
      <c r="AB361" s="8">
        <v>0</v>
      </c>
      <c r="AC361" s="8">
        <v>0</v>
      </c>
      <c r="AD361" s="8">
        <v>0</v>
      </c>
      <c r="AE361" s="8">
        <v>11589.36</v>
      </c>
      <c r="AF361" s="8">
        <v>0</v>
      </c>
      <c r="AG361" s="8" t="s">
        <v>65</v>
      </c>
      <c r="AH361" s="8" t="s">
        <v>11</v>
      </c>
      <c r="AI361" s="8">
        <v>3926908</v>
      </c>
      <c r="AJ361" s="8" t="s">
        <v>60</v>
      </c>
      <c r="AK361" s="8">
        <v>1</v>
      </c>
      <c r="AL361" s="8">
        <v>0</v>
      </c>
      <c r="AM361" s="8" t="s">
        <v>1940</v>
      </c>
    </row>
    <row r="362" spans="7:39" ht="12.75" customHeight="1">
      <c r="G362" s="347"/>
      <c r="H362" s="6" t="s">
        <v>3071</v>
      </c>
      <c r="I362" s="8" t="s">
        <v>87</v>
      </c>
      <c r="J362" s="8" t="s">
        <v>91</v>
      </c>
      <c r="K362" s="8" t="s">
        <v>3107</v>
      </c>
      <c r="L362" s="8" t="s">
        <v>98</v>
      </c>
      <c r="M362" s="8" t="s">
        <v>3108</v>
      </c>
      <c r="N362" s="7" t="s">
        <v>3071</v>
      </c>
      <c r="O362" s="8" t="s">
        <v>13</v>
      </c>
      <c r="P362" s="8" t="s">
        <v>24</v>
      </c>
      <c r="Q362" s="8" t="s">
        <v>79</v>
      </c>
      <c r="R362" s="8" t="s">
        <v>79</v>
      </c>
      <c r="S362" s="8" t="s">
        <v>24</v>
      </c>
      <c r="T362" s="9">
        <v>425.6</v>
      </c>
      <c r="U362" s="9">
        <v>62346.14</v>
      </c>
      <c r="V362" s="8" t="s">
        <v>24</v>
      </c>
      <c r="W362" s="8">
        <v>0</v>
      </c>
      <c r="X362" s="8">
        <v>9</v>
      </c>
      <c r="Y362" s="8">
        <v>5611.15</v>
      </c>
      <c r="Z362" s="8">
        <v>9</v>
      </c>
      <c r="AA362" s="8">
        <v>5611.15</v>
      </c>
      <c r="AB362" s="8">
        <v>0</v>
      </c>
      <c r="AC362" s="8">
        <v>0</v>
      </c>
      <c r="AD362" s="8">
        <v>0</v>
      </c>
      <c r="AE362" s="8">
        <v>11222.3</v>
      </c>
      <c r="AF362" s="8">
        <v>0</v>
      </c>
      <c r="AG362" s="8" t="s">
        <v>65</v>
      </c>
      <c r="AH362" s="8" t="s">
        <v>11</v>
      </c>
      <c r="AI362" s="8">
        <v>3926908</v>
      </c>
      <c r="AJ362" s="8" t="s">
        <v>60</v>
      </c>
      <c r="AK362" s="8">
        <v>1</v>
      </c>
      <c r="AL362" s="8">
        <v>0</v>
      </c>
      <c r="AM362" s="8" t="s">
        <v>1940</v>
      </c>
    </row>
    <row r="363" spans="7:39" ht="12.75" customHeight="1">
      <c r="G363" s="347"/>
      <c r="H363" s="6" t="s">
        <v>3071</v>
      </c>
      <c r="I363" s="8" t="s">
        <v>87</v>
      </c>
      <c r="J363" s="8" t="s">
        <v>91</v>
      </c>
      <c r="K363" s="8" t="s">
        <v>3107</v>
      </c>
      <c r="L363" s="8" t="s">
        <v>98</v>
      </c>
      <c r="M363" s="8" t="s">
        <v>3108</v>
      </c>
      <c r="N363" s="7" t="s">
        <v>3071</v>
      </c>
      <c r="O363" s="8" t="s">
        <v>13</v>
      </c>
      <c r="P363" s="8" t="s">
        <v>99</v>
      </c>
      <c r="Q363" s="8" t="s">
        <v>100</v>
      </c>
      <c r="R363" s="8" t="s">
        <v>101</v>
      </c>
      <c r="S363" s="8" t="s">
        <v>586</v>
      </c>
      <c r="T363" s="9">
        <v>805</v>
      </c>
      <c r="U363" s="9">
        <v>125974.45</v>
      </c>
      <c r="V363" s="8" t="s">
        <v>586</v>
      </c>
      <c r="W363" s="8">
        <v>0</v>
      </c>
      <c r="X363" s="8">
        <v>2.5</v>
      </c>
      <c r="Y363" s="8">
        <v>3149.36</v>
      </c>
      <c r="Z363" s="8">
        <v>2.5</v>
      </c>
      <c r="AA363" s="8">
        <v>3149.36</v>
      </c>
      <c r="AB363" s="8">
        <v>0</v>
      </c>
      <c r="AC363" s="8">
        <v>0</v>
      </c>
      <c r="AD363" s="8">
        <v>0</v>
      </c>
      <c r="AE363" s="8">
        <v>6298.72</v>
      </c>
      <c r="AF363" s="8">
        <v>0</v>
      </c>
      <c r="AG363" s="8" t="s">
        <v>65</v>
      </c>
      <c r="AH363" s="8" t="s">
        <v>3</v>
      </c>
      <c r="AI363" s="8">
        <v>540263</v>
      </c>
      <c r="AJ363" s="8" t="s">
        <v>60</v>
      </c>
      <c r="AK363" s="8">
        <v>1</v>
      </c>
      <c r="AL363" s="8">
        <v>0</v>
      </c>
      <c r="AM363" s="8" t="s">
        <v>1940</v>
      </c>
    </row>
    <row r="364" spans="7:39" ht="12.75" customHeight="1">
      <c r="G364" s="347"/>
      <c r="H364" s="6" t="s">
        <v>3071</v>
      </c>
      <c r="I364" s="8" t="s">
        <v>87</v>
      </c>
      <c r="J364" s="8" t="s">
        <v>91</v>
      </c>
      <c r="K364" s="8" t="s">
        <v>3107</v>
      </c>
      <c r="L364" s="8" t="s">
        <v>98</v>
      </c>
      <c r="M364" s="8" t="s">
        <v>3108</v>
      </c>
      <c r="N364" s="7" t="s">
        <v>3071</v>
      </c>
      <c r="O364" s="8" t="s">
        <v>13</v>
      </c>
      <c r="P364" s="8" t="s">
        <v>99</v>
      </c>
      <c r="Q364" s="8" t="s">
        <v>100</v>
      </c>
      <c r="R364" s="8" t="s">
        <v>101</v>
      </c>
      <c r="S364" s="8" t="s">
        <v>1303</v>
      </c>
      <c r="T364" s="9">
        <v>291.10000000000002</v>
      </c>
      <c r="U364" s="9">
        <v>46427.54</v>
      </c>
      <c r="V364" s="8" t="s">
        <v>1303</v>
      </c>
      <c r="W364" s="8">
        <v>0</v>
      </c>
      <c r="X364" s="8">
        <v>2.5</v>
      </c>
      <c r="Y364" s="8">
        <v>1160.69</v>
      </c>
      <c r="Z364" s="8">
        <v>2.5</v>
      </c>
      <c r="AA364" s="8">
        <v>1160.69</v>
      </c>
      <c r="AB364" s="8">
        <v>0</v>
      </c>
      <c r="AC364" s="8">
        <v>0</v>
      </c>
      <c r="AD364" s="8">
        <v>0</v>
      </c>
      <c r="AE364" s="8">
        <v>2321.38</v>
      </c>
      <c r="AF364" s="8">
        <v>0</v>
      </c>
      <c r="AG364" s="8" t="s">
        <v>65</v>
      </c>
      <c r="AH364" s="8" t="s">
        <v>3</v>
      </c>
      <c r="AI364" s="8">
        <v>54026930</v>
      </c>
      <c r="AJ364" s="8" t="s">
        <v>60</v>
      </c>
      <c r="AK364" s="8">
        <v>1</v>
      </c>
      <c r="AL364" s="8">
        <v>0</v>
      </c>
      <c r="AM364" s="8" t="s">
        <v>1940</v>
      </c>
    </row>
    <row r="365" spans="7:39" ht="12.75" customHeight="1">
      <c r="G365" s="347"/>
      <c r="H365" s="6" t="s">
        <v>3071</v>
      </c>
      <c r="I365" s="8" t="s">
        <v>87</v>
      </c>
      <c r="J365" s="8" t="s">
        <v>91</v>
      </c>
      <c r="K365" s="8" t="s">
        <v>3107</v>
      </c>
      <c r="L365" s="8" t="s">
        <v>98</v>
      </c>
      <c r="M365" s="8" t="s">
        <v>3108</v>
      </c>
      <c r="N365" s="7" t="s">
        <v>3071</v>
      </c>
      <c r="O365" s="8" t="s">
        <v>13</v>
      </c>
      <c r="P365" s="8" t="s">
        <v>62</v>
      </c>
      <c r="Q365" s="8" t="s">
        <v>63</v>
      </c>
      <c r="R365" s="8" t="s">
        <v>64</v>
      </c>
      <c r="S365" s="8" t="s">
        <v>19</v>
      </c>
      <c r="T365" s="9">
        <v>1869</v>
      </c>
      <c r="U365" s="9">
        <v>270051.81</v>
      </c>
      <c r="V365" s="8" t="s">
        <v>19</v>
      </c>
      <c r="W365" s="8">
        <v>0</v>
      </c>
      <c r="X365" s="8">
        <v>9</v>
      </c>
      <c r="Y365" s="8">
        <v>24304.66</v>
      </c>
      <c r="Z365" s="8">
        <v>9</v>
      </c>
      <c r="AA365" s="8">
        <v>24304.66</v>
      </c>
      <c r="AB365" s="8">
        <v>0</v>
      </c>
      <c r="AC365" s="8">
        <v>0</v>
      </c>
      <c r="AD365" s="8">
        <v>0</v>
      </c>
      <c r="AE365" s="8">
        <v>48609.32</v>
      </c>
      <c r="AF365" s="8">
        <v>0</v>
      </c>
      <c r="AG365" s="8" t="s">
        <v>65</v>
      </c>
      <c r="AH365" s="8" t="s">
        <v>11</v>
      </c>
      <c r="AI365" s="8">
        <v>39269080</v>
      </c>
      <c r="AJ365" s="8" t="s">
        <v>60</v>
      </c>
      <c r="AK365" s="8">
        <v>1</v>
      </c>
      <c r="AL365" s="8">
        <v>0</v>
      </c>
      <c r="AM365" s="8" t="s">
        <v>1940</v>
      </c>
    </row>
    <row r="366" spans="7:39" ht="12.75" customHeight="1">
      <c r="G366" s="347"/>
      <c r="H366" s="6" t="s">
        <v>3071</v>
      </c>
      <c r="I366" s="8" t="s">
        <v>2196</v>
      </c>
      <c r="J366" s="8" t="s">
        <v>113</v>
      </c>
      <c r="K366" s="8" t="s">
        <v>3109</v>
      </c>
      <c r="L366" s="8" t="s">
        <v>114</v>
      </c>
      <c r="M366" s="8" t="s">
        <v>3110</v>
      </c>
      <c r="N366" s="7">
        <v>46333</v>
      </c>
      <c r="O366" s="8" t="s">
        <v>4</v>
      </c>
      <c r="P366" s="8" t="s">
        <v>115</v>
      </c>
      <c r="Q366" s="8" t="s">
        <v>115</v>
      </c>
      <c r="R366" s="8" t="s">
        <v>4</v>
      </c>
      <c r="S366" s="8" t="s">
        <v>2171</v>
      </c>
      <c r="T366" s="9">
        <v>70</v>
      </c>
      <c r="U366" s="9">
        <v>47670</v>
      </c>
      <c r="V366" s="8" t="s">
        <v>2171</v>
      </c>
      <c r="W366" s="8">
        <v>50053.5</v>
      </c>
      <c r="X366" s="8">
        <v>2.5</v>
      </c>
      <c r="Y366" s="8">
        <v>1191.75</v>
      </c>
      <c r="Z366" s="8">
        <v>2.5</v>
      </c>
      <c r="AA366" s="8">
        <v>1191.75</v>
      </c>
      <c r="AB366" s="8">
        <v>0</v>
      </c>
      <c r="AC366" s="8">
        <v>0</v>
      </c>
      <c r="AD366" s="8">
        <v>0</v>
      </c>
      <c r="AE366" s="8">
        <v>2383.5</v>
      </c>
      <c r="AF366" s="8">
        <v>0</v>
      </c>
      <c r="AG366" s="8" t="s">
        <v>2197</v>
      </c>
      <c r="AH366" s="8" t="s">
        <v>1</v>
      </c>
      <c r="AI366" s="8">
        <v>44152000</v>
      </c>
      <c r="AJ366" s="8" t="s">
        <v>60</v>
      </c>
      <c r="AK366" s="8">
        <v>1</v>
      </c>
      <c r="AL366" s="8">
        <v>0</v>
      </c>
      <c r="AM366" s="8" t="s">
        <v>1940</v>
      </c>
    </row>
    <row r="367" spans="7:39" ht="12.75" customHeight="1">
      <c r="G367" s="347"/>
      <c r="H367" s="6" t="s">
        <v>3111</v>
      </c>
      <c r="I367" s="8" t="s">
        <v>107</v>
      </c>
      <c r="J367" s="8" t="s">
        <v>96</v>
      </c>
      <c r="K367" s="8" t="s">
        <v>3112</v>
      </c>
      <c r="L367" s="8" t="s">
        <v>97</v>
      </c>
      <c r="M367" s="8" t="s">
        <v>3113</v>
      </c>
      <c r="N367" s="7" t="s">
        <v>2996</v>
      </c>
      <c r="O367" s="8" t="s">
        <v>5</v>
      </c>
      <c r="P367" s="8" t="s">
        <v>108</v>
      </c>
      <c r="Q367" s="8" t="s">
        <v>68</v>
      </c>
      <c r="R367" s="8" t="s">
        <v>69</v>
      </c>
      <c r="S367" s="8" t="s">
        <v>589</v>
      </c>
      <c r="T367" s="9">
        <v>400</v>
      </c>
      <c r="U367" s="9">
        <v>39116</v>
      </c>
      <c r="V367" s="8" t="s">
        <v>589</v>
      </c>
      <c r="W367" s="8">
        <v>39116</v>
      </c>
      <c r="X367" s="8">
        <v>0</v>
      </c>
      <c r="Y367" s="8">
        <v>0</v>
      </c>
      <c r="Z367" s="8">
        <v>0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>
        <v>0</v>
      </c>
      <c r="AG367" s="8" t="s">
        <v>590</v>
      </c>
      <c r="AH367" s="8" t="s">
        <v>6</v>
      </c>
      <c r="AI367" s="8">
        <v>27101930</v>
      </c>
      <c r="AJ367" s="8" t="s">
        <v>60</v>
      </c>
      <c r="AK367" s="8">
        <v>1</v>
      </c>
      <c r="AL367" s="8">
        <v>0</v>
      </c>
      <c r="AM367" s="8" t="s">
        <v>1940</v>
      </c>
    </row>
    <row r="368" spans="7:39" ht="12.75" customHeight="1">
      <c r="G368" s="347"/>
      <c r="H368" s="6" t="s">
        <v>3111</v>
      </c>
      <c r="I368" s="8" t="s">
        <v>107</v>
      </c>
      <c r="J368" s="8" t="s">
        <v>96</v>
      </c>
      <c r="K368" s="8" t="s">
        <v>3114</v>
      </c>
      <c r="L368" s="8" t="s">
        <v>97</v>
      </c>
      <c r="M368" s="8" t="s">
        <v>3115</v>
      </c>
      <c r="N368" s="7" t="s">
        <v>2996</v>
      </c>
      <c r="O368" s="8" t="s">
        <v>5</v>
      </c>
      <c r="P368" s="8" t="s">
        <v>108</v>
      </c>
      <c r="Q368" s="8" t="s">
        <v>68</v>
      </c>
      <c r="R368" s="8" t="s">
        <v>69</v>
      </c>
      <c r="S368" s="8" t="s">
        <v>589</v>
      </c>
      <c r="T368" s="9">
        <v>200</v>
      </c>
      <c r="U368" s="9">
        <v>19558</v>
      </c>
      <c r="V368" s="8" t="s">
        <v>589</v>
      </c>
      <c r="W368" s="8">
        <v>19558</v>
      </c>
      <c r="X368" s="8">
        <v>0</v>
      </c>
      <c r="Y368" s="8">
        <v>0</v>
      </c>
      <c r="Z368" s="8">
        <v>0</v>
      </c>
      <c r="AA368" s="8">
        <v>0</v>
      </c>
      <c r="AB368" s="8">
        <v>0</v>
      </c>
      <c r="AC368" s="8">
        <v>0</v>
      </c>
      <c r="AD368" s="8">
        <v>0</v>
      </c>
      <c r="AE368" s="8">
        <v>0</v>
      </c>
      <c r="AF368" s="8">
        <v>0</v>
      </c>
      <c r="AG368" s="8" t="s">
        <v>590</v>
      </c>
      <c r="AH368" s="8" t="s">
        <v>6</v>
      </c>
      <c r="AI368" s="8">
        <v>27101930</v>
      </c>
      <c r="AJ368" s="8" t="s">
        <v>60</v>
      </c>
      <c r="AK368" s="8">
        <v>1</v>
      </c>
      <c r="AL368" s="8">
        <v>0</v>
      </c>
      <c r="AM368" s="8" t="s">
        <v>1940</v>
      </c>
    </row>
    <row r="369" spans="7:39" ht="12.75" customHeight="1">
      <c r="G369" s="347"/>
      <c r="H369" s="6" t="s">
        <v>3111</v>
      </c>
      <c r="I369" s="8" t="s">
        <v>87</v>
      </c>
      <c r="J369" s="8" t="s">
        <v>96</v>
      </c>
      <c r="K369" s="8" t="s">
        <v>3116</v>
      </c>
      <c r="L369" s="8" t="s">
        <v>97</v>
      </c>
      <c r="M369" s="8" t="s">
        <v>3117</v>
      </c>
      <c r="N369" s="7" t="s">
        <v>3111</v>
      </c>
      <c r="O369" s="8" t="s">
        <v>2</v>
      </c>
      <c r="P369" s="8" t="s">
        <v>67</v>
      </c>
      <c r="Q369" s="8" t="s">
        <v>68</v>
      </c>
      <c r="R369" s="8" t="s">
        <v>69</v>
      </c>
      <c r="S369" s="8" t="s">
        <v>70</v>
      </c>
      <c r="T369" s="9">
        <v>345</v>
      </c>
      <c r="U369" s="9">
        <v>16560</v>
      </c>
      <c r="V369" s="8" t="s">
        <v>70</v>
      </c>
      <c r="W369" s="8">
        <v>19524.240000000002</v>
      </c>
      <c r="X369" s="8">
        <v>9</v>
      </c>
      <c r="Y369" s="8">
        <v>1490.4</v>
      </c>
      <c r="Z369" s="8">
        <v>9</v>
      </c>
      <c r="AA369" s="8">
        <v>1490.4</v>
      </c>
      <c r="AB369" s="8">
        <v>0</v>
      </c>
      <c r="AC369" s="8">
        <v>0</v>
      </c>
      <c r="AD369" s="8">
        <v>0</v>
      </c>
      <c r="AE369" s="8">
        <v>2980.8</v>
      </c>
      <c r="AF369" s="8">
        <v>0</v>
      </c>
      <c r="AG369" s="8" t="s">
        <v>65</v>
      </c>
      <c r="AH369" s="8" t="s">
        <v>11</v>
      </c>
      <c r="AI369" s="8">
        <v>73063090</v>
      </c>
      <c r="AJ369" s="8" t="s">
        <v>60</v>
      </c>
      <c r="AK369" s="8">
        <v>1</v>
      </c>
      <c r="AL369" s="8">
        <v>0</v>
      </c>
      <c r="AM369" s="8" t="s">
        <v>1940</v>
      </c>
    </row>
    <row r="370" spans="7:39" ht="12.75" customHeight="1">
      <c r="G370" s="347"/>
      <c r="H370" s="6" t="s">
        <v>3111</v>
      </c>
      <c r="I370" s="8" t="s">
        <v>87</v>
      </c>
      <c r="J370" s="8" t="s">
        <v>91</v>
      </c>
      <c r="K370" s="8" t="s">
        <v>3118</v>
      </c>
      <c r="L370" s="8" t="s">
        <v>98</v>
      </c>
      <c r="M370" s="8" t="s">
        <v>3119</v>
      </c>
      <c r="N370" s="7" t="s">
        <v>3111</v>
      </c>
      <c r="O370" s="8" t="s">
        <v>13</v>
      </c>
      <c r="P370" s="8" t="s">
        <v>80</v>
      </c>
      <c r="Q370" s="8" t="s">
        <v>81</v>
      </c>
      <c r="R370" s="8" t="s">
        <v>82</v>
      </c>
      <c r="S370" s="8" t="s">
        <v>17</v>
      </c>
      <c r="T370" s="9">
        <v>1871</v>
      </c>
      <c r="U370" s="9">
        <v>341981.38</v>
      </c>
      <c r="V370" s="8" t="s">
        <v>17</v>
      </c>
      <c r="W370" s="8">
        <v>1477845.07</v>
      </c>
      <c r="X370" s="8">
        <v>9</v>
      </c>
      <c r="Y370" s="8">
        <v>30778.32</v>
      </c>
      <c r="Z370" s="8">
        <v>9</v>
      </c>
      <c r="AA370" s="8">
        <v>30778.32</v>
      </c>
      <c r="AB370" s="8">
        <v>0</v>
      </c>
      <c r="AC370" s="8">
        <v>0</v>
      </c>
      <c r="AD370" s="8">
        <v>0</v>
      </c>
      <c r="AE370" s="8">
        <v>61556.639999999999</v>
      </c>
      <c r="AF370" s="8">
        <v>0</v>
      </c>
      <c r="AG370" s="8" t="s">
        <v>65</v>
      </c>
      <c r="AH370" s="8" t="s">
        <v>11</v>
      </c>
      <c r="AI370" s="8">
        <v>39200000</v>
      </c>
      <c r="AJ370" s="8" t="s">
        <v>60</v>
      </c>
      <c r="AK370" s="8">
        <v>1</v>
      </c>
      <c r="AL370" s="8">
        <v>0</v>
      </c>
      <c r="AM370" s="8" t="s">
        <v>1940</v>
      </c>
    </row>
    <row r="371" spans="7:39" ht="12.75" customHeight="1">
      <c r="G371" s="347"/>
      <c r="H371" s="6" t="s">
        <v>3111</v>
      </c>
      <c r="I371" s="8" t="s">
        <v>87</v>
      </c>
      <c r="J371" s="8" t="s">
        <v>91</v>
      </c>
      <c r="K371" s="8" t="s">
        <v>3118</v>
      </c>
      <c r="L371" s="8" t="s">
        <v>98</v>
      </c>
      <c r="M371" s="8" t="s">
        <v>3119</v>
      </c>
      <c r="N371" s="7" t="s">
        <v>3111</v>
      </c>
      <c r="O371" s="8" t="s">
        <v>13</v>
      </c>
      <c r="P371" s="8" t="s">
        <v>80</v>
      </c>
      <c r="Q371" s="8" t="s">
        <v>81</v>
      </c>
      <c r="R371" s="8" t="s">
        <v>82</v>
      </c>
      <c r="S371" s="8" t="s">
        <v>17</v>
      </c>
      <c r="T371" s="9">
        <v>2517</v>
      </c>
      <c r="U371" s="9">
        <v>470125.26</v>
      </c>
      <c r="V371" s="8" t="s">
        <v>17</v>
      </c>
      <c r="W371" s="8">
        <v>0</v>
      </c>
      <c r="X371" s="8">
        <v>9</v>
      </c>
      <c r="Y371" s="8">
        <v>42311.27</v>
      </c>
      <c r="Z371" s="8">
        <v>9</v>
      </c>
      <c r="AA371" s="8">
        <v>42311.27</v>
      </c>
      <c r="AB371" s="8">
        <v>0</v>
      </c>
      <c r="AC371" s="8">
        <v>0</v>
      </c>
      <c r="AD371" s="8">
        <v>0</v>
      </c>
      <c r="AE371" s="8">
        <v>84622.54</v>
      </c>
      <c r="AF371" s="8">
        <v>0</v>
      </c>
      <c r="AG371" s="8" t="s">
        <v>65</v>
      </c>
      <c r="AH371" s="8" t="s">
        <v>11</v>
      </c>
      <c r="AI371" s="8">
        <v>39200000</v>
      </c>
      <c r="AJ371" s="8" t="s">
        <v>60</v>
      </c>
      <c r="AK371" s="8">
        <v>1</v>
      </c>
      <c r="AL371" s="8">
        <v>0</v>
      </c>
      <c r="AM371" s="8" t="s">
        <v>1940</v>
      </c>
    </row>
    <row r="372" spans="7:39" ht="12.75" customHeight="1">
      <c r="G372" s="347"/>
      <c r="H372" s="6" t="s">
        <v>3111</v>
      </c>
      <c r="I372" s="8" t="s">
        <v>87</v>
      </c>
      <c r="J372" s="8" t="s">
        <v>91</v>
      </c>
      <c r="K372" s="8" t="s">
        <v>3118</v>
      </c>
      <c r="L372" s="8" t="s">
        <v>98</v>
      </c>
      <c r="M372" s="8" t="s">
        <v>3119</v>
      </c>
      <c r="N372" s="7" t="s">
        <v>3111</v>
      </c>
      <c r="O372" s="8" t="s">
        <v>13</v>
      </c>
      <c r="P372" s="8" t="s">
        <v>80</v>
      </c>
      <c r="Q372" s="8" t="s">
        <v>81</v>
      </c>
      <c r="R372" s="8" t="s">
        <v>82</v>
      </c>
      <c r="S372" s="8" t="s">
        <v>17</v>
      </c>
      <c r="T372" s="9">
        <v>425</v>
      </c>
      <c r="U372" s="9">
        <v>81081.5</v>
      </c>
      <c r="V372" s="8" t="s">
        <v>17</v>
      </c>
      <c r="W372" s="8">
        <v>0</v>
      </c>
      <c r="X372" s="8">
        <v>9</v>
      </c>
      <c r="Y372" s="8">
        <v>7297.34</v>
      </c>
      <c r="Z372" s="8">
        <v>9</v>
      </c>
      <c r="AA372" s="8">
        <v>7297.34</v>
      </c>
      <c r="AB372" s="8">
        <v>0</v>
      </c>
      <c r="AC372" s="8">
        <v>0</v>
      </c>
      <c r="AD372" s="8">
        <v>0</v>
      </c>
      <c r="AE372" s="8">
        <v>14594.68</v>
      </c>
      <c r="AF372" s="8">
        <v>0</v>
      </c>
      <c r="AG372" s="8" t="s">
        <v>65</v>
      </c>
      <c r="AH372" s="8" t="s">
        <v>11</v>
      </c>
      <c r="AI372" s="8">
        <v>39200000</v>
      </c>
      <c r="AJ372" s="8" t="s">
        <v>60</v>
      </c>
      <c r="AK372" s="8">
        <v>1</v>
      </c>
      <c r="AL372" s="8">
        <v>0</v>
      </c>
      <c r="AM372" s="8" t="s">
        <v>1940</v>
      </c>
    </row>
    <row r="373" spans="7:39" ht="12.75" customHeight="1">
      <c r="G373" s="347"/>
      <c r="H373" s="6" t="s">
        <v>3111</v>
      </c>
      <c r="I373" s="8" t="s">
        <v>87</v>
      </c>
      <c r="J373" s="8" t="s">
        <v>91</v>
      </c>
      <c r="K373" s="8" t="s">
        <v>3118</v>
      </c>
      <c r="L373" s="8" t="s">
        <v>98</v>
      </c>
      <c r="M373" s="8" t="s">
        <v>3119</v>
      </c>
      <c r="N373" s="7" t="s">
        <v>3111</v>
      </c>
      <c r="O373" s="8" t="s">
        <v>13</v>
      </c>
      <c r="P373" s="8" t="s">
        <v>62</v>
      </c>
      <c r="Q373" s="8" t="s">
        <v>63</v>
      </c>
      <c r="R373" s="8" t="s">
        <v>64</v>
      </c>
      <c r="S373" s="8" t="s">
        <v>19</v>
      </c>
      <c r="T373" s="9">
        <v>253</v>
      </c>
      <c r="U373" s="9">
        <v>37061.97</v>
      </c>
      <c r="V373" s="8" t="s">
        <v>19</v>
      </c>
      <c r="W373" s="8">
        <v>0</v>
      </c>
      <c r="X373" s="8">
        <v>9</v>
      </c>
      <c r="Y373" s="8">
        <v>3335.58</v>
      </c>
      <c r="Z373" s="8">
        <v>9</v>
      </c>
      <c r="AA373" s="8">
        <v>3335.58</v>
      </c>
      <c r="AB373" s="8">
        <v>0</v>
      </c>
      <c r="AC373" s="8">
        <v>0</v>
      </c>
      <c r="AD373" s="8">
        <v>0</v>
      </c>
      <c r="AE373" s="8">
        <v>6671.16</v>
      </c>
      <c r="AF373" s="8">
        <v>0</v>
      </c>
      <c r="AG373" s="8" t="s">
        <v>65</v>
      </c>
      <c r="AH373" s="8" t="s">
        <v>11</v>
      </c>
      <c r="AI373" s="8">
        <v>39269080</v>
      </c>
      <c r="AJ373" s="8" t="s">
        <v>60</v>
      </c>
      <c r="AK373" s="8">
        <v>1</v>
      </c>
      <c r="AL373" s="8">
        <v>0</v>
      </c>
      <c r="AM373" s="8" t="s">
        <v>1940</v>
      </c>
    </row>
    <row r="374" spans="7:39" ht="12.75" customHeight="1">
      <c r="G374" s="347"/>
      <c r="H374" s="6" t="s">
        <v>3111</v>
      </c>
      <c r="I374" s="8" t="s">
        <v>87</v>
      </c>
      <c r="J374" s="8" t="s">
        <v>91</v>
      </c>
      <c r="K374" s="8" t="s">
        <v>3118</v>
      </c>
      <c r="L374" s="8" t="s">
        <v>98</v>
      </c>
      <c r="M374" s="8" t="s">
        <v>3119</v>
      </c>
      <c r="N374" s="7" t="s">
        <v>3111</v>
      </c>
      <c r="O374" s="8" t="s">
        <v>13</v>
      </c>
      <c r="P374" s="8" t="s">
        <v>62</v>
      </c>
      <c r="Q374" s="8" t="s">
        <v>63</v>
      </c>
      <c r="R374" s="8" t="s">
        <v>64</v>
      </c>
      <c r="S374" s="8" t="s">
        <v>19</v>
      </c>
      <c r="T374" s="9">
        <v>1866</v>
      </c>
      <c r="U374" s="9">
        <v>269618.34000000003</v>
      </c>
      <c r="V374" s="8" t="s">
        <v>19</v>
      </c>
      <c r="W374" s="8">
        <v>0</v>
      </c>
      <c r="X374" s="8">
        <v>9</v>
      </c>
      <c r="Y374" s="8">
        <v>24265.65</v>
      </c>
      <c r="Z374" s="8">
        <v>9</v>
      </c>
      <c r="AA374" s="8">
        <v>24265.65</v>
      </c>
      <c r="AB374" s="8">
        <v>0</v>
      </c>
      <c r="AC374" s="8">
        <v>0</v>
      </c>
      <c r="AD374" s="8">
        <v>0</v>
      </c>
      <c r="AE374" s="8">
        <v>48531.3</v>
      </c>
      <c r="AF374" s="8">
        <v>0</v>
      </c>
      <c r="AG374" s="8" t="s">
        <v>65</v>
      </c>
      <c r="AH374" s="8" t="s">
        <v>11</v>
      </c>
      <c r="AI374" s="8">
        <v>39269080</v>
      </c>
      <c r="AJ374" s="8" t="s">
        <v>60</v>
      </c>
      <c r="AK374" s="8">
        <v>1</v>
      </c>
      <c r="AL374" s="8">
        <v>0</v>
      </c>
      <c r="AM374" s="8" t="s">
        <v>1940</v>
      </c>
    </row>
    <row r="375" spans="7:39" ht="12.75" customHeight="1">
      <c r="G375" s="347"/>
      <c r="H375" s="6" t="s">
        <v>3111</v>
      </c>
      <c r="I375" s="8" t="s">
        <v>87</v>
      </c>
      <c r="J375" s="8" t="s">
        <v>91</v>
      </c>
      <c r="K375" s="8" t="s">
        <v>3118</v>
      </c>
      <c r="L375" s="8" t="s">
        <v>98</v>
      </c>
      <c r="M375" s="8" t="s">
        <v>3119</v>
      </c>
      <c r="N375" s="7" t="s">
        <v>3111</v>
      </c>
      <c r="O375" s="8" t="s">
        <v>13</v>
      </c>
      <c r="P375" s="8" t="s">
        <v>62</v>
      </c>
      <c r="Q375" s="8" t="s">
        <v>76</v>
      </c>
      <c r="R375" s="8" t="s">
        <v>77</v>
      </c>
      <c r="S375" s="8" t="s">
        <v>21</v>
      </c>
      <c r="T375" s="9">
        <v>361</v>
      </c>
      <c r="U375" s="9">
        <v>53604.89</v>
      </c>
      <c r="V375" s="8" t="s">
        <v>21</v>
      </c>
      <c r="W375" s="8">
        <v>0</v>
      </c>
      <c r="X375" s="8">
        <v>9</v>
      </c>
      <c r="Y375" s="8">
        <v>4824.4399999999996</v>
      </c>
      <c r="Z375" s="8">
        <v>9</v>
      </c>
      <c r="AA375" s="8">
        <v>4824.4399999999996</v>
      </c>
      <c r="AB375" s="8">
        <v>0</v>
      </c>
      <c r="AC375" s="8">
        <v>0</v>
      </c>
      <c r="AD375" s="8">
        <v>0</v>
      </c>
      <c r="AE375" s="8">
        <v>9648.8799999999992</v>
      </c>
      <c r="AF375" s="8">
        <v>0</v>
      </c>
      <c r="AG375" s="8" t="s">
        <v>65</v>
      </c>
      <c r="AH375" s="8" t="s">
        <v>11</v>
      </c>
      <c r="AI375" s="8">
        <v>63053300</v>
      </c>
      <c r="AJ375" s="8" t="s">
        <v>60</v>
      </c>
      <c r="AK375" s="8">
        <v>1</v>
      </c>
      <c r="AL375" s="8">
        <v>0</v>
      </c>
      <c r="AM375" s="8" t="s">
        <v>1940</v>
      </c>
    </row>
    <row r="376" spans="7:39" ht="12.75" customHeight="1">
      <c r="G376" s="347"/>
      <c r="H376" s="6" t="s">
        <v>3111</v>
      </c>
      <c r="I376" s="8" t="s">
        <v>87</v>
      </c>
      <c r="J376" s="8" t="s">
        <v>91</v>
      </c>
      <c r="K376" s="8" t="s">
        <v>3120</v>
      </c>
      <c r="L376" s="8" t="s">
        <v>98</v>
      </c>
      <c r="M376" s="8" t="s">
        <v>3121</v>
      </c>
      <c r="N376" s="7" t="s">
        <v>3111</v>
      </c>
      <c r="O376" s="8" t="s">
        <v>13</v>
      </c>
      <c r="P376" s="8" t="s">
        <v>62</v>
      </c>
      <c r="Q376" s="8" t="s">
        <v>63</v>
      </c>
      <c r="R376" s="8" t="s">
        <v>64</v>
      </c>
      <c r="S376" s="8" t="s">
        <v>19</v>
      </c>
      <c r="T376" s="9">
        <v>1147</v>
      </c>
      <c r="U376" s="9">
        <v>168024.03</v>
      </c>
      <c r="V376" s="8" t="s">
        <v>19</v>
      </c>
      <c r="W376" s="8">
        <v>1834062.9</v>
      </c>
      <c r="X376" s="8">
        <v>9</v>
      </c>
      <c r="Y376" s="8">
        <v>15122.16</v>
      </c>
      <c r="Z376" s="8">
        <v>9</v>
      </c>
      <c r="AA376" s="8">
        <v>15122.16</v>
      </c>
      <c r="AB376" s="8">
        <v>0</v>
      </c>
      <c r="AC376" s="8">
        <v>0</v>
      </c>
      <c r="AD376" s="8">
        <v>0</v>
      </c>
      <c r="AE376" s="8">
        <v>30244.32</v>
      </c>
      <c r="AF376" s="8">
        <v>0</v>
      </c>
      <c r="AG376" s="8" t="s">
        <v>65</v>
      </c>
      <c r="AH376" s="8" t="s">
        <v>11</v>
      </c>
      <c r="AI376" s="8">
        <v>39269080</v>
      </c>
      <c r="AJ376" s="8" t="s">
        <v>60</v>
      </c>
      <c r="AK376" s="8">
        <v>1</v>
      </c>
      <c r="AL376" s="8">
        <v>0</v>
      </c>
      <c r="AM376" s="8" t="s">
        <v>1940</v>
      </c>
    </row>
    <row r="377" spans="7:39" ht="12.75" customHeight="1">
      <c r="G377" s="347"/>
      <c r="H377" s="6" t="s">
        <v>3111</v>
      </c>
      <c r="I377" s="8" t="s">
        <v>87</v>
      </c>
      <c r="J377" s="8" t="s">
        <v>91</v>
      </c>
      <c r="K377" s="8" t="s">
        <v>3120</v>
      </c>
      <c r="L377" s="8" t="s">
        <v>98</v>
      </c>
      <c r="M377" s="8" t="s">
        <v>3121</v>
      </c>
      <c r="N377" s="7" t="s">
        <v>3111</v>
      </c>
      <c r="O377" s="8" t="s">
        <v>13</v>
      </c>
      <c r="P377" s="8" t="s">
        <v>62</v>
      </c>
      <c r="Q377" s="8" t="s">
        <v>63</v>
      </c>
      <c r="R377" s="8" t="s">
        <v>64</v>
      </c>
      <c r="S377" s="8" t="s">
        <v>19</v>
      </c>
      <c r="T377" s="9">
        <v>499</v>
      </c>
      <c r="U377" s="9">
        <v>73597.509999999995</v>
      </c>
      <c r="V377" s="8" t="s">
        <v>19</v>
      </c>
      <c r="W377" s="8">
        <v>0</v>
      </c>
      <c r="X377" s="8">
        <v>9</v>
      </c>
      <c r="Y377" s="8">
        <v>6623.78</v>
      </c>
      <c r="Z377" s="8">
        <v>9</v>
      </c>
      <c r="AA377" s="8">
        <v>6623.78</v>
      </c>
      <c r="AB377" s="8">
        <v>0</v>
      </c>
      <c r="AC377" s="8">
        <v>0</v>
      </c>
      <c r="AD377" s="8">
        <v>0</v>
      </c>
      <c r="AE377" s="8">
        <v>13247.56</v>
      </c>
      <c r="AF377" s="8">
        <v>0</v>
      </c>
      <c r="AG377" s="8" t="s">
        <v>65</v>
      </c>
      <c r="AH377" s="8" t="s">
        <v>11</v>
      </c>
      <c r="AI377" s="8">
        <v>39269080</v>
      </c>
      <c r="AJ377" s="8" t="s">
        <v>60</v>
      </c>
      <c r="AK377" s="8">
        <v>1</v>
      </c>
      <c r="AL377" s="8">
        <v>0</v>
      </c>
      <c r="AM377" s="8" t="s">
        <v>1940</v>
      </c>
    </row>
    <row r="378" spans="7:39" ht="12.75" customHeight="1">
      <c r="G378" s="347"/>
      <c r="H378" s="6" t="s">
        <v>3111</v>
      </c>
      <c r="I378" s="8" t="s">
        <v>87</v>
      </c>
      <c r="J378" s="8" t="s">
        <v>91</v>
      </c>
      <c r="K378" s="8" t="s">
        <v>3120</v>
      </c>
      <c r="L378" s="8" t="s">
        <v>98</v>
      </c>
      <c r="M378" s="8" t="s">
        <v>3121</v>
      </c>
      <c r="N378" s="7" t="s">
        <v>3111</v>
      </c>
      <c r="O378" s="8" t="s">
        <v>13</v>
      </c>
      <c r="P378" s="8" t="s">
        <v>62</v>
      </c>
      <c r="Q378" s="8" t="s">
        <v>63</v>
      </c>
      <c r="R378" s="8" t="s">
        <v>64</v>
      </c>
      <c r="S378" s="8" t="s">
        <v>19</v>
      </c>
      <c r="T378" s="9">
        <v>6933</v>
      </c>
      <c r="U378" s="9">
        <v>1001749.17</v>
      </c>
      <c r="V378" s="8" t="s">
        <v>19</v>
      </c>
      <c r="W378" s="8">
        <v>0</v>
      </c>
      <c r="X378" s="8">
        <v>9</v>
      </c>
      <c r="Y378" s="8">
        <v>90157.43</v>
      </c>
      <c r="Z378" s="8">
        <v>9</v>
      </c>
      <c r="AA378" s="8">
        <v>90157.43</v>
      </c>
      <c r="AB378" s="8">
        <v>0</v>
      </c>
      <c r="AC378" s="8">
        <v>0</v>
      </c>
      <c r="AD378" s="8">
        <v>0</v>
      </c>
      <c r="AE378" s="8">
        <v>180314.86</v>
      </c>
      <c r="AF378" s="8">
        <v>0</v>
      </c>
      <c r="AG378" s="8" t="s">
        <v>65</v>
      </c>
      <c r="AH378" s="8" t="s">
        <v>11</v>
      </c>
      <c r="AI378" s="8">
        <v>39269080</v>
      </c>
      <c r="AJ378" s="8" t="s">
        <v>60</v>
      </c>
      <c r="AK378" s="8">
        <v>1</v>
      </c>
      <c r="AL378" s="8">
        <v>0</v>
      </c>
      <c r="AM378" s="8" t="s">
        <v>1940</v>
      </c>
    </row>
    <row r="379" spans="7:39" ht="12.75" customHeight="1">
      <c r="G379" s="347"/>
      <c r="H379" s="6" t="s">
        <v>3111</v>
      </c>
      <c r="I379" s="8" t="s">
        <v>87</v>
      </c>
      <c r="J379" s="8" t="s">
        <v>91</v>
      </c>
      <c r="K379" s="8" t="s">
        <v>3120</v>
      </c>
      <c r="L379" s="8" t="s">
        <v>98</v>
      </c>
      <c r="M379" s="8" t="s">
        <v>3121</v>
      </c>
      <c r="N379" s="7" t="s">
        <v>3111</v>
      </c>
      <c r="O379" s="8" t="s">
        <v>13</v>
      </c>
      <c r="P379" s="8" t="s">
        <v>62</v>
      </c>
      <c r="Q379" s="8" t="s">
        <v>76</v>
      </c>
      <c r="R379" s="8" t="s">
        <v>77</v>
      </c>
      <c r="S379" s="8" t="s">
        <v>21</v>
      </c>
      <c r="T379" s="9">
        <v>1250</v>
      </c>
      <c r="U379" s="9">
        <v>189362.5</v>
      </c>
      <c r="V379" s="8" t="s">
        <v>21</v>
      </c>
      <c r="W379" s="8">
        <v>0</v>
      </c>
      <c r="X379" s="8">
        <v>9</v>
      </c>
      <c r="Y379" s="8">
        <v>17042.62</v>
      </c>
      <c r="Z379" s="8">
        <v>9</v>
      </c>
      <c r="AA379" s="8">
        <v>17042.62</v>
      </c>
      <c r="AB379" s="8">
        <v>0</v>
      </c>
      <c r="AC379" s="8">
        <v>0</v>
      </c>
      <c r="AD379" s="8">
        <v>0</v>
      </c>
      <c r="AE379" s="8">
        <v>34085.24</v>
      </c>
      <c r="AF379" s="8">
        <v>0</v>
      </c>
      <c r="AG379" s="8" t="s">
        <v>65</v>
      </c>
      <c r="AH379" s="8" t="s">
        <v>11</v>
      </c>
      <c r="AI379" s="8">
        <v>63053300</v>
      </c>
      <c r="AJ379" s="8" t="s">
        <v>60</v>
      </c>
      <c r="AK379" s="8">
        <v>1</v>
      </c>
      <c r="AL379" s="8">
        <v>0</v>
      </c>
      <c r="AM379" s="8" t="s">
        <v>1940</v>
      </c>
    </row>
    <row r="380" spans="7:39" ht="12.75" customHeight="1">
      <c r="G380" s="347"/>
      <c r="H380" s="6" t="s">
        <v>3111</v>
      </c>
      <c r="I380" s="8" t="s">
        <v>87</v>
      </c>
      <c r="J380" s="8" t="s">
        <v>91</v>
      </c>
      <c r="K380" s="8" t="s">
        <v>3120</v>
      </c>
      <c r="L380" s="8" t="s">
        <v>98</v>
      </c>
      <c r="M380" s="8" t="s">
        <v>3121</v>
      </c>
      <c r="N380" s="7" t="s">
        <v>3111</v>
      </c>
      <c r="O380" s="8" t="s">
        <v>13</v>
      </c>
      <c r="P380" s="8" t="s">
        <v>24</v>
      </c>
      <c r="Q380" s="8" t="s">
        <v>79</v>
      </c>
      <c r="R380" s="8" t="s">
        <v>79</v>
      </c>
      <c r="S380" s="8" t="s">
        <v>24</v>
      </c>
      <c r="T380" s="9">
        <v>165.9</v>
      </c>
      <c r="U380" s="9">
        <v>24800.39</v>
      </c>
      <c r="V380" s="8" t="s">
        <v>24</v>
      </c>
      <c r="W380" s="8">
        <v>0</v>
      </c>
      <c r="X380" s="8">
        <v>9</v>
      </c>
      <c r="Y380" s="8">
        <v>2232.04</v>
      </c>
      <c r="Z380" s="8">
        <v>9</v>
      </c>
      <c r="AA380" s="8">
        <v>2232.04</v>
      </c>
      <c r="AB380" s="8">
        <v>0</v>
      </c>
      <c r="AC380" s="8">
        <v>0</v>
      </c>
      <c r="AD380" s="8">
        <v>0</v>
      </c>
      <c r="AE380" s="8">
        <v>4464.08</v>
      </c>
      <c r="AF380" s="8">
        <v>0</v>
      </c>
      <c r="AG380" s="8" t="s">
        <v>65</v>
      </c>
      <c r="AH380" s="8" t="s">
        <v>11</v>
      </c>
      <c r="AI380" s="8">
        <v>3926908</v>
      </c>
      <c r="AJ380" s="8" t="s">
        <v>60</v>
      </c>
      <c r="AK380" s="8">
        <v>1</v>
      </c>
      <c r="AL380" s="8">
        <v>0</v>
      </c>
      <c r="AM380" s="8" t="s">
        <v>1940</v>
      </c>
    </row>
    <row r="381" spans="7:39" ht="12.75" customHeight="1">
      <c r="G381" s="347"/>
      <c r="H381" s="6" t="s">
        <v>3111</v>
      </c>
      <c r="I381" s="8" t="s">
        <v>87</v>
      </c>
      <c r="J381" s="8" t="s">
        <v>91</v>
      </c>
      <c r="K381" s="8" t="s">
        <v>3120</v>
      </c>
      <c r="L381" s="8" t="s">
        <v>98</v>
      </c>
      <c r="M381" s="8" t="s">
        <v>3121</v>
      </c>
      <c r="N381" s="7" t="s">
        <v>3111</v>
      </c>
      <c r="O381" s="8" t="s">
        <v>13</v>
      </c>
      <c r="P381" s="8" t="s">
        <v>24</v>
      </c>
      <c r="Q381" s="8" t="s">
        <v>79</v>
      </c>
      <c r="R381" s="8" t="s">
        <v>79</v>
      </c>
      <c r="S381" s="8" t="s">
        <v>24</v>
      </c>
      <c r="T381" s="9">
        <v>499</v>
      </c>
      <c r="U381" s="9">
        <v>73098.509999999995</v>
      </c>
      <c r="V381" s="8" t="s">
        <v>24</v>
      </c>
      <c r="W381" s="8">
        <v>0</v>
      </c>
      <c r="X381" s="8">
        <v>9</v>
      </c>
      <c r="Y381" s="8">
        <v>6578.87</v>
      </c>
      <c r="Z381" s="8">
        <v>9</v>
      </c>
      <c r="AA381" s="8">
        <v>6578.87</v>
      </c>
      <c r="AB381" s="8">
        <v>0</v>
      </c>
      <c r="AC381" s="8">
        <v>0</v>
      </c>
      <c r="AD381" s="8">
        <v>0</v>
      </c>
      <c r="AE381" s="8">
        <v>13157.74</v>
      </c>
      <c r="AF381" s="8">
        <v>0</v>
      </c>
      <c r="AG381" s="8" t="s">
        <v>65</v>
      </c>
      <c r="AH381" s="8" t="s">
        <v>11</v>
      </c>
      <c r="AI381" s="8">
        <v>3926908</v>
      </c>
      <c r="AJ381" s="8" t="s">
        <v>60</v>
      </c>
      <c r="AK381" s="8">
        <v>1</v>
      </c>
      <c r="AL381" s="8">
        <v>0</v>
      </c>
      <c r="AM381" s="8" t="s">
        <v>1940</v>
      </c>
    </row>
    <row r="382" spans="7:39" ht="12.75" customHeight="1">
      <c r="G382" s="347"/>
      <c r="H382" s="6" t="s">
        <v>3111</v>
      </c>
      <c r="I382" s="8" t="s">
        <v>87</v>
      </c>
      <c r="J382" s="8" t="s">
        <v>91</v>
      </c>
      <c r="K382" s="8" t="s">
        <v>3120</v>
      </c>
      <c r="L382" s="8" t="s">
        <v>98</v>
      </c>
      <c r="M382" s="8" t="s">
        <v>3121</v>
      </c>
      <c r="N382" s="7" t="s">
        <v>3111</v>
      </c>
      <c r="O382" s="8" t="s">
        <v>13</v>
      </c>
      <c r="P382" s="8" t="s">
        <v>24</v>
      </c>
      <c r="Q382" s="8" t="s">
        <v>79</v>
      </c>
      <c r="R382" s="8" t="s">
        <v>79</v>
      </c>
      <c r="S382" s="8" t="s">
        <v>24</v>
      </c>
      <c r="T382" s="9">
        <v>146.5</v>
      </c>
      <c r="U382" s="9">
        <v>24976.79</v>
      </c>
      <c r="V382" s="8" t="s">
        <v>24</v>
      </c>
      <c r="W382" s="8">
        <v>0</v>
      </c>
      <c r="X382" s="8">
        <v>9</v>
      </c>
      <c r="Y382" s="8">
        <v>2247.91</v>
      </c>
      <c r="Z382" s="8">
        <v>9</v>
      </c>
      <c r="AA382" s="8">
        <v>2247.91</v>
      </c>
      <c r="AB382" s="8">
        <v>0</v>
      </c>
      <c r="AC382" s="8">
        <v>0</v>
      </c>
      <c r="AD382" s="8">
        <v>0</v>
      </c>
      <c r="AE382" s="8">
        <v>4495.82</v>
      </c>
      <c r="AF382" s="8">
        <v>0</v>
      </c>
      <c r="AG382" s="8" t="s">
        <v>65</v>
      </c>
      <c r="AH382" s="8" t="s">
        <v>11</v>
      </c>
      <c r="AI382" s="8">
        <v>3926908</v>
      </c>
      <c r="AJ382" s="8" t="s">
        <v>60</v>
      </c>
      <c r="AK382" s="8">
        <v>1</v>
      </c>
      <c r="AL382" s="8">
        <v>0</v>
      </c>
      <c r="AM382" s="8" t="s">
        <v>1940</v>
      </c>
    </row>
    <row r="383" spans="7:39" ht="12.75" customHeight="1">
      <c r="G383" s="347"/>
      <c r="H383" s="6" t="s">
        <v>3111</v>
      </c>
      <c r="I383" s="8" t="s">
        <v>89</v>
      </c>
      <c r="J383" s="8" t="s">
        <v>91</v>
      </c>
      <c r="K383" s="8" t="s">
        <v>3122</v>
      </c>
      <c r="L383" s="8" t="s">
        <v>98</v>
      </c>
      <c r="M383" s="8" t="s">
        <v>3123</v>
      </c>
      <c r="N383" s="7" t="s">
        <v>3071</v>
      </c>
      <c r="O383" s="8" t="s">
        <v>15</v>
      </c>
      <c r="P383" s="8" t="s">
        <v>57</v>
      </c>
      <c r="Q383" s="8" t="s">
        <v>57</v>
      </c>
      <c r="R383" s="8" t="s">
        <v>58</v>
      </c>
      <c r="S383" s="8" t="s">
        <v>16</v>
      </c>
      <c r="T383" s="9">
        <v>1359</v>
      </c>
      <c r="U383" s="9">
        <v>263292.65999999997</v>
      </c>
      <c r="V383" s="8" t="s">
        <v>16</v>
      </c>
      <c r="W383" s="8">
        <v>1064403</v>
      </c>
      <c r="X383" s="8">
        <v>9</v>
      </c>
      <c r="Y383" s="8">
        <v>23696.34</v>
      </c>
      <c r="Z383" s="8">
        <v>9</v>
      </c>
      <c r="AA383" s="8">
        <v>23696.34</v>
      </c>
      <c r="AB383" s="8">
        <v>0</v>
      </c>
      <c r="AC383" s="8">
        <v>0</v>
      </c>
      <c r="AD383" s="8">
        <v>0</v>
      </c>
      <c r="AE383" s="8">
        <v>47392.68</v>
      </c>
      <c r="AF383" s="8">
        <v>0</v>
      </c>
      <c r="AG383" s="8" t="s">
        <v>65</v>
      </c>
      <c r="AH383" s="8" t="s">
        <v>11</v>
      </c>
      <c r="AI383" s="8">
        <v>63053200</v>
      </c>
      <c r="AJ383" s="8" t="s">
        <v>60</v>
      </c>
      <c r="AK383" s="8">
        <v>1</v>
      </c>
      <c r="AL383" s="8">
        <v>0</v>
      </c>
      <c r="AM383" s="8" t="s">
        <v>1940</v>
      </c>
    </row>
    <row r="384" spans="7:39" ht="12.75" customHeight="1">
      <c r="G384" s="347"/>
      <c r="H384" s="6" t="s">
        <v>3111</v>
      </c>
      <c r="I384" s="8" t="s">
        <v>89</v>
      </c>
      <c r="J384" s="8" t="s">
        <v>91</v>
      </c>
      <c r="K384" s="8" t="s">
        <v>3122</v>
      </c>
      <c r="L384" s="8" t="s">
        <v>98</v>
      </c>
      <c r="M384" s="8" t="s">
        <v>3123</v>
      </c>
      <c r="N384" s="7" t="s">
        <v>3071</v>
      </c>
      <c r="O384" s="8" t="s">
        <v>15</v>
      </c>
      <c r="P384" s="8" t="s">
        <v>57</v>
      </c>
      <c r="Q384" s="8" t="s">
        <v>57</v>
      </c>
      <c r="R384" s="8" t="s">
        <v>58</v>
      </c>
      <c r="S384" s="8" t="s">
        <v>16</v>
      </c>
      <c r="T384" s="9">
        <v>4147</v>
      </c>
      <c r="U384" s="9">
        <v>639508.87</v>
      </c>
      <c r="V384" s="8" t="s">
        <v>16</v>
      </c>
      <c r="W384" s="8">
        <v>0</v>
      </c>
      <c r="X384" s="8">
        <v>9</v>
      </c>
      <c r="Y384" s="8">
        <v>57555.8</v>
      </c>
      <c r="Z384" s="8">
        <v>9</v>
      </c>
      <c r="AA384" s="8">
        <v>57555.8</v>
      </c>
      <c r="AB384" s="8">
        <v>0</v>
      </c>
      <c r="AC384" s="8">
        <v>0</v>
      </c>
      <c r="AD384" s="8">
        <v>0</v>
      </c>
      <c r="AE384" s="8">
        <v>115111.6</v>
      </c>
      <c r="AF384" s="8">
        <v>0</v>
      </c>
      <c r="AG384" s="8" t="s">
        <v>65</v>
      </c>
      <c r="AH384" s="8" t="s">
        <v>11</v>
      </c>
      <c r="AI384" s="8">
        <v>63053200</v>
      </c>
      <c r="AJ384" s="8" t="s">
        <v>60</v>
      </c>
      <c r="AK384" s="8">
        <v>1</v>
      </c>
      <c r="AL384" s="8">
        <v>0</v>
      </c>
      <c r="AM384" s="8" t="s">
        <v>1940</v>
      </c>
    </row>
    <row r="385" spans="7:39" ht="12.75" customHeight="1">
      <c r="G385" s="347"/>
      <c r="H385" s="6" t="s">
        <v>3124</v>
      </c>
      <c r="I385" s="8" t="s">
        <v>2600</v>
      </c>
      <c r="J385" s="8" t="s">
        <v>96</v>
      </c>
      <c r="K385" s="8" t="s">
        <v>3125</v>
      </c>
      <c r="L385" s="8" t="s">
        <v>97</v>
      </c>
      <c r="M385" s="8" t="s">
        <v>3126</v>
      </c>
      <c r="N385" s="8" t="s">
        <v>3013</v>
      </c>
      <c r="O385" s="8" t="s">
        <v>2</v>
      </c>
      <c r="P385" s="8" t="s">
        <v>2587</v>
      </c>
      <c r="Q385" s="8" t="s">
        <v>68</v>
      </c>
      <c r="R385" s="8" t="s">
        <v>69</v>
      </c>
      <c r="S385" s="8" t="s">
        <v>3127</v>
      </c>
      <c r="T385" s="9">
        <v>30</v>
      </c>
      <c r="U385" s="9">
        <v>255</v>
      </c>
      <c r="V385" s="8" t="s">
        <v>3127</v>
      </c>
      <c r="W385" s="8">
        <v>2106</v>
      </c>
      <c r="X385" s="8">
        <v>9</v>
      </c>
      <c r="Y385" s="8">
        <v>22.95</v>
      </c>
      <c r="Z385" s="8">
        <v>9</v>
      </c>
      <c r="AA385" s="8">
        <v>22.95</v>
      </c>
      <c r="AB385" s="8">
        <v>0</v>
      </c>
      <c r="AC385" s="8">
        <v>0</v>
      </c>
      <c r="AD385" s="8">
        <v>0</v>
      </c>
      <c r="AE385" s="8">
        <v>45.9</v>
      </c>
      <c r="AF385" s="8">
        <v>0</v>
      </c>
      <c r="AG385" s="8" t="s">
        <v>2601</v>
      </c>
      <c r="AH385" s="8" t="s">
        <v>7</v>
      </c>
      <c r="AI385" s="8">
        <v>391990</v>
      </c>
      <c r="AJ385" s="8" t="s">
        <v>60</v>
      </c>
      <c r="AK385" s="8">
        <v>1</v>
      </c>
      <c r="AL385" s="8">
        <v>0</v>
      </c>
      <c r="AM385" s="8" t="s">
        <v>1940</v>
      </c>
    </row>
    <row r="386" spans="7:39" ht="12.75" customHeight="1">
      <c r="G386" s="347"/>
      <c r="H386" s="6" t="s">
        <v>3124</v>
      </c>
      <c r="I386" s="8" t="s">
        <v>2600</v>
      </c>
      <c r="J386" s="8" t="s">
        <v>96</v>
      </c>
      <c r="K386" s="8" t="s">
        <v>3125</v>
      </c>
      <c r="L386" s="8" t="s">
        <v>97</v>
      </c>
      <c r="M386" s="8" t="s">
        <v>3126</v>
      </c>
      <c r="N386" s="8" t="s">
        <v>3013</v>
      </c>
      <c r="O386" s="8" t="s">
        <v>2</v>
      </c>
      <c r="P386" s="8" t="s">
        <v>2587</v>
      </c>
      <c r="Q386" s="8" t="s">
        <v>68</v>
      </c>
      <c r="R386" s="8" t="s">
        <v>69</v>
      </c>
      <c r="S386" s="8" t="s">
        <v>3128</v>
      </c>
      <c r="T386" s="9">
        <v>30</v>
      </c>
      <c r="U386" s="9">
        <v>255</v>
      </c>
      <c r="V386" s="8" t="s">
        <v>3128</v>
      </c>
      <c r="W386" s="8">
        <v>0</v>
      </c>
      <c r="X386" s="8">
        <v>9</v>
      </c>
      <c r="Y386" s="8">
        <v>22.95</v>
      </c>
      <c r="Z386" s="8">
        <v>9</v>
      </c>
      <c r="AA386" s="8">
        <v>22.95</v>
      </c>
      <c r="AB386" s="8">
        <v>0</v>
      </c>
      <c r="AC386" s="8">
        <v>0</v>
      </c>
      <c r="AD386" s="8">
        <v>0</v>
      </c>
      <c r="AE386" s="8">
        <v>45.9</v>
      </c>
      <c r="AF386" s="8">
        <v>0</v>
      </c>
      <c r="AG386" s="8" t="s">
        <v>2601</v>
      </c>
      <c r="AH386" s="8" t="s">
        <v>7</v>
      </c>
      <c r="AI386" s="8">
        <v>391990</v>
      </c>
      <c r="AJ386" s="8" t="s">
        <v>60</v>
      </c>
      <c r="AK386" s="8">
        <v>1</v>
      </c>
      <c r="AL386" s="8">
        <v>0</v>
      </c>
      <c r="AM386" s="8" t="s">
        <v>1940</v>
      </c>
    </row>
    <row r="387" spans="7:39" ht="12.75" customHeight="1">
      <c r="G387" s="347"/>
      <c r="H387" s="6" t="s">
        <v>3124</v>
      </c>
      <c r="I387" s="8" t="s">
        <v>2600</v>
      </c>
      <c r="J387" s="8" t="s">
        <v>96</v>
      </c>
      <c r="K387" s="8" t="s">
        <v>3125</v>
      </c>
      <c r="L387" s="8" t="s">
        <v>97</v>
      </c>
      <c r="M387" s="8" t="s">
        <v>3126</v>
      </c>
      <c r="N387" s="7" t="s">
        <v>3013</v>
      </c>
      <c r="O387" s="8" t="s">
        <v>2</v>
      </c>
      <c r="P387" s="8" t="s">
        <v>2587</v>
      </c>
      <c r="Q387" s="8" t="s">
        <v>68</v>
      </c>
      <c r="R387" s="8" t="s">
        <v>69</v>
      </c>
      <c r="S387" s="8" t="s">
        <v>3129</v>
      </c>
      <c r="T387" s="9">
        <v>30</v>
      </c>
      <c r="U387" s="9">
        <v>255</v>
      </c>
      <c r="V387" s="8" t="s">
        <v>3129</v>
      </c>
      <c r="W387" s="8">
        <v>0</v>
      </c>
      <c r="X387" s="8">
        <v>9</v>
      </c>
      <c r="Y387" s="8">
        <v>22.95</v>
      </c>
      <c r="Z387" s="8">
        <v>9</v>
      </c>
      <c r="AA387" s="8">
        <v>22.95</v>
      </c>
      <c r="AB387" s="8">
        <v>0</v>
      </c>
      <c r="AC387" s="8">
        <v>0</v>
      </c>
      <c r="AD387" s="8">
        <v>0</v>
      </c>
      <c r="AE387" s="8">
        <v>45.9</v>
      </c>
      <c r="AF387" s="8">
        <v>0</v>
      </c>
      <c r="AG387" s="8" t="s">
        <v>2601</v>
      </c>
      <c r="AH387" s="8" t="s">
        <v>7</v>
      </c>
      <c r="AI387" s="8">
        <v>391990</v>
      </c>
      <c r="AJ387" s="8" t="s">
        <v>60</v>
      </c>
      <c r="AK387" s="8">
        <v>1</v>
      </c>
      <c r="AL387" s="8">
        <v>0</v>
      </c>
      <c r="AM387" s="8" t="s">
        <v>1940</v>
      </c>
    </row>
    <row r="388" spans="7:39" ht="12.75" customHeight="1">
      <c r="G388" s="347"/>
      <c r="H388" s="6" t="s">
        <v>3124</v>
      </c>
      <c r="I388" s="8" t="s">
        <v>2600</v>
      </c>
      <c r="J388" s="8" t="s">
        <v>96</v>
      </c>
      <c r="K388" s="8" t="s">
        <v>3125</v>
      </c>
      <c r="L388" s="8" t="s">
        <v>97</v>
      </c>
      <c r="M388" s="8" t="s">
        <v>3126</v>
      </c>
      <c r="N388" s="8" t="s">
        <v>3013</v>
      </c>
      <c r="O388" s="8" t="s">
        <v>2</v>
      </c>
      <c r="P388" s="8" t="s">
        <v>2587</v>
      </c>
      <c r="Q388" s="8" t="s">
        <v>68</v>
      </c>
      <c r="R388" s="8" t="s">
        <v>69</v>
      </c>
      <c r="S388" s="8" t="s">
        <v>3130</v>
      </c>
      <c r="T388" s="9">
        <v>90</v>
      </c>
      <c r="U388" s="9">
        <v>765</v>
      </c>
      <c r="V388" s="8" t="s">
        <v>3130</v>
      </c>
      <c r="W388" s="8">
        <v>0</v>
      </c>
      <c r="X388" s="8">
        <v>9</v>
      </c>
      <c r="Y388" s="8">
        <v>68.849999999999994</v>
      </c>
      <c r="Z388" s="8">
        <v>9</v>
      </c>
      <c r="AA388" s="8">
        <v>68.849999999999994</v>
      </c>
      <c r="AB388" s="8">
        <v>0</v>
      </c>
      <c r="AC388" s="8">
        <v>0</v>
      </c>
      <c r="AD388" s="8">
        <v>0</v>
      </c>
      <c r="AE388" s="8">
        <v>137.69999999999999</v>
      </c>
      <c r="AF388" s="8">
        <v>0</v>
      </c>
      <c r="AG388" s="8" t="s">
        <v>2601</v>
      </c>
      <c r="AH388" s="8" t="s">
        <v>7</v>
      </c>
      <c r="AI388" s="8">
        <v>391990</v>
      </c>
      <c r="AJ388" s="8" t="s">
        <v>60</v>
      </c>
      <c r="AK388" s="8">
        <v>1</v>
      </c>
      <c r="AL388" s="8">
        <v>0</v>
      </c>
      <c r="AM388" s="8" t="s">
        <v>1940</v>
      </c>
    </row>
    <row r="389" spans="7:39" ht="12.75" customHeight="1">
      <c r="G389" s="347"/>
      <c r="H389" s="6" t="s">
        <v>3124</v>
      </c>
      <c r="I389" s="8" t="s">
        <v>2600</v>
      </c>
      <c r="J389" s="8" t="s">
        <v>96</v>
      </c>
      <c r="K389" s="8" t="s">
        <v>3125</v>
      </c>
      <c r="L389" s="8" t="s">
        <v>97</v>
      </c>
      <c r="M389" s="8" t="s">
        <v>3126</v>
      </c>
      <c r="N389" s="8" t="s">
        <v>3013</v>
      </c>
      <c r="O389" s="8" t="s">
        <v>2</v>
      </c>
      <c r="P389" s="8" t="s">
        <v>2587</v>
      </c>
      <c r="Q389" s="8" t="s">
        <v>68</v>
      </c>
      <c r="R389" s="8" t="s">
        <v>69</v>
      </c>
      <c r="S389" s="8" t="s">
        <v>3131</v>
      </c>
      <c r="T389" s="9">
        <v>30</v>
      </c>
      <c r="U389" s="9">
        <v>255</v>
      </c>
      <c r="V389" s="8" t="s">
        <v>3131</v>
      </c>
      <c r="W389" s="8">
        <v>0</v>
      </c>
      <c r="X389" s="8">
        <v>9</v>
      </c>
      <c r="Y389" s="8">
        <v>22.95</v>
      </c>
      <c r="Z389" s="8">
        <v>9</v>
      </c>
      <c r="AA389" s="8">
        <v>22.95</v>
      </c>
      <c r="AB389" s="8">
        <v>0</v>
      </c>
      <c r="AC389" s="8">
        <v>0</v>
      </c>
      <c r="AD389" s="8">
        <v>0</v>
      </c>
      <c r="AE389" s="8">
        <v>45.9</v>
      </c>
      <c r="AF389" s="8">
        <v>0</v>
      </c>
      <c r="AG389" s="8" t="s">
        <v>2601</v>
      </c>
      <c r="AH389" s="8" t="s">
        <v>1</v>
      </c>
      <c r="AI389" s="8">
        <v>391990</v>
      </c>
      <c r="AJ389" s="8" t="s">
        <v>60</v>
      </c>
      <c r="AK389" s="8">
        <v>1</v>
      </c>
      <c r="AL389" s="8">
        <v>0</v>
      </c>
      <c r="AM389" s="8" t="s">
        <v>1940</v>
      </c>
    </row>
    <row r="390" spans="7:39" ht="12.75" customHeight="1">
      <c r="G390" s="347"/>
      <c r="H390" s="6" t="s">
        <v>3124</v>
      </c>
      <c r="I390" s="8" t="s">
        <v>105</v>
      </c>
      <c r="J390" s="8" t="s">
        <v>96</v>
      </c>
      <c r="K390" s="8" t="s">
        <v>3132</v>
      </c>
      <c r="L390" s="8" t="s">
        <v>97</v>
      </c>
      <c r="M390" s="8" t="s">
        <v>3133</v>
      </c>
      <c r="N390" s="7">
        <v>46333</v>
      </c>
      <c r="O390" s="8" t="s">
        <v>5</v>
      </c>
      <c r="P390" s="8" t="s">
        <v>106</v>
      </c>
      <c r="Q390" s="8" t="s">
        <v>68</v>
      </c>
      <c r="R390" s="8" t="s">
        <v>69</v>
      </c>
      <c r="S390" s="8" t="s">
        <v>2245</v>
      </c>
      <c r="T390" s="9">
        <v>11284</v>
      </c>
      <c r="U390" s="9">
        <v>3949.4</v>
      </c>
      <c r="V390" s="8" t="s">
        <v>2245</v>
      </c>
      <c r="W390" s="8">
        <v>8424</v>
      </c>
      <c r="X390" s="8">
        <v>9</v>
      </c>
      <c r="Y390" s="8">
        <v>355.45</v>
      </c>
      <c r="Z390" s="8">
        <v>9</v>
      </c>
      <c r="AA390" s="8">
        <v>355.45</v>
      </c>
      <c r="AB390" s="8">
        <v>0</v>
      </c>
      <c r="AC390" s="8">
        <v>0</v>
      </c>
      <c r="AD390" s="8">
        <v>0</v>
      </c>
      <c r="AE390" s="8">
        <v>710.9</v>
      </c>
      <c r="AF390" s="8">
        <v>0</v>
      </c>
      <c r="AG390" s="8" t="s">
        <v>3134</v>
      </c>
      <c r="AH390" s="8" t="s">
        <v>7</v>
      </c>
      <c r="AI390" s="8">
        <v>400200</v>
      </c>
      <c r="AJ390" s="8" t="s">
        <v>60</v>
      </c>
      <c r="AK390" s="8">
        <v>1</v>
      </c>
      <c r="AL390" s="8">
        <v>0</v>
      </c>
      <c r="AM390" s="8" t="s">
        <v>1940</v>
      </c>
    </row>
    <row r="391" spans="7:39" ht="12.75" customHeight="1">
      <c r="G391" s="347"/>
      <c r="H391" s="6" t="s">
        <v>3124</v>
      </c>
      <c r="I391" s="8" t="s">
        <v>105</v>
      </c>
      <c r="J391" s="8" t="s">
        <v>96</v>
      </c>
      <c r="K391" s="8" t="s">
        <v>3132</v>
      </c>
      <c r="L391" s="8" t="s">
        <v>97</v>
      </c>
      <c r="M391" s="8" t="s">
        <v>3133</v>
      </c>
      <c r="N391" s="7">
        <v>46333</v>
      </c>
      <c r="O391" s="8" t="s">
        <v>5</v>
      </c>
      <c r="P391" s="8" t="s">
        <v>106</v>
      </c>
      <c r="Q391" s="8" t="s">
        <v>68</v>
      </c>
      <c r="R391" s="8" t="s">
        <v>69</v>
      </c>
      <c r="S391" s="8" t="s">
        <v>9</v>
      </c>
      <c r="T391" s="9">
        <v>340.42500000000001</v>
      </c>
      <c r="U391" s="9">
        <v>476.6</v>
      </c>
      <c r="V391" s="8" t="s">
        <v>9</v>
      </c>
      <c r="W391" s="8">
        <v>0</v>
      </c>
      <c r="X391" s="8">
        <v>9</v>
      </c>
      <c r="Y391" s="8">
        <v>42.89</v>
      </c>
      <c r="Z391" s="8">
        <v>9</v>
      </c>
      <c r="AA391" s="8">
        <v>42.89</v>
      </c>
      <c r="AB391" s="8">
        <v>0</v>
      </c>
      <c r="AC391" s="8">
        <v>0</v>
      </c>
      <c r="AD391" s="8">
        <v>0</v>
      </c>
      <c r="AE391" s="8">
        <v>85.78</v>
      </c>
      <c r="AF391" s="8">
        <v>0</v>
      </c>
      <c r="AG391" s="8" t="s">
        <v>3134</v>
      </c>
      <c r="AH391" s="8" t="s">
        <v>10</v>
      </c>
      <c r="AI391" s="8">
        <v>37013000</v>
      </c>
      <c r="AJ391" s="8" t="s">
        <v>60</v>
      </c>
      <c r="AK391" s="8">
        <v>1</v>
      </c>
      <c r="AL391" s="8">
        <v>0</v>
      </c>
      <c r="AM391" s="8" t="s">
        <v>1940</v>
      </c>
    </row>
    <row r="392" spans="7:39" ht="12.75" customHeight="1">
      <c r="G392" s="347"/>
      <c r="H392" s="6" t="s">
        <v>3124</v>
      </c>
      <c r="I392" s="8" t="s">
        <v>105</v>
      </c>
      <c r="J392" s="8" t="s">
        <v>96</v>
      </c>
      <c r="K392" s="8" t="s">
        <v>3132</v>
      </c>
      <c r="L392" s="8" t="s">
        <v>97</v>
      </c>
      <c r="M392" s="8" t="s">
        <v>3133</v>
      </c>
      <c r="N392" s="7">
        <v>46333</v>
      </c>
      <c r="O392" s="8" t="s">
        <v>5</v>
      </c>
      <c r="P392" s="8" t="s">
        <v>106</v>
      </c>
      <c r="Q392" s="8" t="s">
        <v>68</v>
      </c>
      <c r="R392" s="8" t="s">
        <v>69</v>
      </c>
      <c r="S392" s="8" t="s">
        <v>9</v>
      </c>
      <c r="T392" s="9">
        <v>324.20999999999998</v>
      </c>
      <c r="U392" s="9">
        <v>453.89</v>
      </c>
      <c r="V392" s="8" t="s">
        <v>9</v>
      </c>
      <c r="W392" s="8">
        <v>0</v>
      </c>
      <c r="X392" s="8">
        <v>9</v>
      </c>
      <c r="Y392" s="8">
        <v>40.85</v>
      </c>
      <c r="Z392" s="8">
        <v>9</v>
      </c>
      <c r="AA392" s="8">
        <v>40.85</v>
      </c>
      <c r="AB392" s="8">
        <v>0</v>
      </c>
      <c r="AC392" s="8">
        <v>0</v>
      </c>
      <c r="AD392" s="8">
        <v>0</v>
      </c>
      <c r="AE392" s="8">
        <v>81.7</v>
      </c>
      <c r="AF392" s="8">
        <v>0</v>
      </c>
      <c r="AG392" s="8" t="s">
        <v>3134</v>
      </c>
      <c r="AH392" s="8" t="s">
        <v>10</v>
      </c>
      <c r="AI392" s="8">
        <v>37013000</v>
      </c>
      <c r="AJ392" s="8" t="s">
        <v>60</v>
      </c>
      <c r="AK392" s="8">
        <v>1</v>
      </c>
      <c r="AL392" s="8">
        <v>0</v>
      </c>
      <c r="AM392" s="8" t="s">
        <v>1940</v>
      </c>
    </row>
    <row r="393" spans="7:39" ht="12.75" customHeight="1">
      <c r="G393" s="347"/>
      <c r="H393" s="6" t="s">
        <v>3124</v>
      </c>
      <c r="I393" s="8" t="s">
        <v>105</v>
      </c>
      <c r="J393" s="8" t="s">
        <v>96</v>
      </c>
      <c r="K393" s="8" t="s">
        <v>3132</v>
      </c>
      <c r="L393" s="8" t="s">
        <v>97</v>
      </c>
      <c r="M393" s="8" t="s">
        <v>3133</v>
      </c>
      <c r="N393" s="7">
        <v>46333</v>
      </c>
      <c r="O393" s="8" t="s">
        <v>5</v>
      </c>
      <c r="P393" s="8" t="s">
        <v>106</v>
      </c>
      <c r="Q393" s="8" t="s">
        <v>68</v>
      </c>
      <c r="R393" s="8" t="s">
        <v>69</v>
      </c>
      <c r="S393" s="8" t="s">
        <v>9</v>
      </c>
      <c r="T393" s="9">
        <v>10</v>
      </c>
      <c r="U393" s="9">
        <v>14</v>
      </c>
      <c r="V393" s="8" t="s">
        <v>9</v>
      </c>
      <c r="W393" s="8">
        <v>0</v>
      </c>
      <c r="X393" s="8">
        <v>9</v>
      </c>
      <c r="Y393" s="8">
        <v>1.26</v>
      </c>
      <c r="Z393" s="8">
        <v>9</v>
      </c>
      <c r="AA393" s="8">
        <v>1.26</v>
      </c>
      <c r="AB393" s="8">
        <v>0</v>
      </c>
      <c r="AC393" s="8">
        <v>0</v>
      </c>
      <c r="AD393" s="8">
        <v>0</v>
      </c>
      <c r="AE393" s="8">
        <v>2.52</v>
      </c>
      <c r="AF393" s="8">
        <v>0</v>
      </c>
      <c r="AG393" s="8" t="s">
        <v>3134</v>
      </c>
      <c r="AH393" s="8" t="s">
        <v>10</v>
      </c>
      <c r="AI393" s="8">
        <v>37013000</v>
      </c>
      <c r="AJ393" s="8" t="s">
        <v>60</v>
      </c>
      <c r="AK393" s="8">
        <v>1</v>
      </c>
      <c r="AL393" s="8">
        <v>0</v>
      </c>
      <c r="AM393" s="8" t="s">
        <v>1940</v>
      </c>
    </row>
    <row r="394" spans="7:39" ht="12.75" customHeight="1">
      <c r="G394" s="347"/>
      <c r="H394" s="6" t="s">
        <v>3124</v>
      </c>
      <c r="I394" s="8" t="s">
        <v>105</v>
      </c>
      <c r="J394" s="8" t="s">
        <v>96</v>
      </c>
      <c r="K394" s="8" t="s">
        <v>3132</v>
      </c>
      <c r="L394" s="8" t="s">
        <v>97</v>
      </c>
      <c r="M394" s="8" t="s">
        <v>3133</v>
      </c>
      <c r="N394" s="7">
        <v>46333</v>
      </c>
      <c r="O394" s="8" t="s">
        <v>5</v>
      </c>
      <c r="P394" s="8" t="s">
        <v>106</v>
      </c>
      <c r="Q394" s="8" t="s">
        <v>68</v>
      </c>
      <c r="R394" s="8" t="s">
        <v>69</v>
      </c>
      <c r="S394" s="8" t="s">
        <v>9</v>
      </c>
      <c r="T394" s="9">
        <v>414</v>
      </c>
      <c r="U394" s="9">
        <v>579.6</v>
      </c>
      <c r="V394" s="8" t="s">
        <v>9</v>
      </c>
      <c r="W394" s="8">
        <v>0</v>
      </c>
      <c r="X394" s="8">
        <v>9</v>
      </c>
      <c r="Y394" s="8">
        <v>52.16</v>
      </c>
      <c r="Z394" s="8">
        <v>9</v>
      </c>
      <c r="AA394" s="8">
        <v>52.16</v>
      </c>
      <c r="AB394" s="8">
        <v>0</v>
      </c>
      <c r="AC394" s="8">
        <v>0</v>
      </c>
      <c r="AD394" s="8">
        <v>0</v>
      </c>
      <c r="AE394" s="8">
        <v>104.32</v>
      </c>
      <c r="AF394" s="8">
        <v>0</v>
      </c>
      <c r="AG394" s="8" t="s">
        <v>3134</v>
      </c>
      <c r="AH394" s="8" t="s">
        <v>10</v>
      </c>
      <c r="AI394" s="8">
        <v>37013000</v>
      </c>
      <c r="AJ394" s="8" t="s">
        <v>60</v>
      </c>
      <c r="AK394" s="8">
        <v>1</v>
      </c>
      <c r="AL394" s="8">
        <v>0</v>
      </c>
      <c r="AM394" s="8" t="s">
        <v>1940</v>
      </c>
    </row>
    <row r="395" spans="7:39" ht="12.75" customHeight="1">
      <c r="G395" s="347"/>
      <c r="H395" s="6" t="s">
        <v>3124</v>
      </c>
      <c r="I395" s="8" t="s">
        <v>105</v>
      </c>
      <c r="J395" s="8" t="s">
        <v>96</v>
      </c>
      <c r="K395" s="8" t="s">
        <v>3132</v>
      </c>
      <c r="L395" s="8" t="s">
        <v>97</v>
      </c>
      <c r="M395" s="8" t="s">
        <v>3133</v>
      </c>
      <c r="N395" s="7">
        <v>46333</v>
      </c>
      <c r="O395" s="8" t="s">
        <v>5</v>
      </c>
      <c r="P395" s="8" t="s">
        <v>106</v>
      </c>
      <c r="Q395" s="8" t="s">
        <v>68</v>
      </c>
      <c r="R395" s="8" t="s">
        <v>69</v>
      </c>
      <c r="S395" s="8" t="s">
        <v>9</v>
      </c>
      <c r="T395" s="9">
        <v>173.38200000000001</v>
      </c>
      <c r="U395" s="9">
        <v>242.73</v>
      </c>
      <c r="V395" s="8" t="s">
        <v>9</v>
      </c>
      <c r="W395" s="8">
        <v>0</v>
      </c>
      <c r="X395" s="8">
        <v>9</v>
      </c>
      <c r="Y395" s="8">
        <v>21.85</v>
      </c>
      <c r="Z395" s="8">
        <v>9</v>
      </c>
      <c r="AA395" s="8">
        <v>21.85</v>
      </c>
      <c r="AB395" s="8">
        <v>0</v>
      </c>
      <c r="AC395" s="8">
        <v>0</v>
      </c>
      <c r="AD395" s="8">
        <v>0</v>
      </c>
      <c r="AE395" s="8">
        <v>43.7</v>
      </c>
      <c r="AF395" s="8">
        <v>0</v>
      </c>
      <c r="AG395" s="8" t="s">
        <v>3134</v>
      </c>
      <c r="AH395" s="8" t="s">
        <v>10</v>
      </c>
      <c r="AI395" s="8">
        <v>37013000</v>
      </c>
      <c r="AJ395" s="8" t="s">
        <v>60</v>
      </c>
      <c r="AK395" s="8">
        <v>1</v>
      </c>
      <c r="AL395" s="8">
        <v>0</v>
      </c>
      <c r="AM395" s="8" t="s">
        <v>1940</v>
      </c>
    </row>
    <row r="396" spans="7:39" ht="12.75" customHeight="1">
      <c r="G396" s="347"/>
      <c r="H396" s="6" t="s">
        <v>3124</v>
      </c>
      <c r="I396" s="8" t="s">
        <v>105</v>
      </c>
      <c r="J396" s="8" t="s">
        <v>96</v>
      </c>
      <c r="K396" s="8" t="s">
        <v>3132</v>
      </c>
      <c r="L396" s="8" t="s">
        <v>97</v>
      </c>
      <c r="M396" s="8" t="s">
        <v>3133</v>
      </c>
      <c r="N396" s="7">
        <v>46333</v>
      </c>
      <c r="O396" s="8" t="s">
        <v>5</v>
      </c>
      <c r="P396" s="8" t="s">
        <v>106</v>
      </c>
      <c r="Q396" s="8" t="s">
        <v>68</v>
      </c>
      <c r="R396" s="8" t="s">
        <v>69</v>
      </c>
      <c r="S396" s="8" t="s">
        <v>9</v>
      </c>
      <c r="T396" s="9">
        <v>443.19</v>
      </c>
      <c r="U396" s="9">
        <v>620.47</v>
      </c>
      <c r="V396" s="8" t="s">
        <v>9</v>
      </c>
      <c r="W396" s="8">
        <v>0</v>
      </c>
      <c r="X396" s="8">
        <v>9</v>
      </c>
      <c r="Y396" s="8">
        <v>55.84</v>
      </c>
      <c r="Z396" s="8">
        <v>9</v>
      </c>
      <c r="AA396" s="8">
        <v>55.84</v>
      </c>
      <c r="AB396" s="8">
        <v>0</v>
      </c>
      <c r="AC396" s="8">
        <v>0</v>
      </c>
      <c r="AD396" s="8">
        <v>0</v>
      </c>
      <c r="AE396" s="8">
        <v>111.68</v>
      </c>
      <c r="AF396" s="8">
        <v>0</v>
      </c>
      <c r="AG396" s="8" t="s">
        <v>3134</v>
      </c>
      <c r="AH396" s="8" t="s">
        <v>10</v>
      </c>
      <c r="AI396" s="8">
        <v>37013000</v>
      </c>
      <c r="AJ396" s="8" t="s">
        <v>60</v>
      </c>
      <c r="AK396" s="8">
        <v>1</v>
      </c>
      <c r="AL396" s="8">
        <v>0</v>
      </c>
      <c r="AM396" s="8" t="s">
        <v>1940</v>
      </c>
    </row>
    <row r="397" spans="7:39" ht="12.75" customHeight="1">
      <c r="G397" s="347"/>
      <c r="H397" s="6" t="s">
        <v>3124</v>
      </c>
      <c r="I397" s="8" t="s">
        <v>105</v>
      </c>
      <c r="J397" s="8" t="s">
        <v>96</v>
      </c>
      <c r="K397" s="8" t="s">
        <v>3132</v>
      </c>
      <c r="L397" s="8" t="s">
        <v>97</v>
      </c>
      <c r="M397" s="8" t="s">
        <v>3133</v>
      </c>
      <c r="N397" s="7">
        <v>46333</v>
      </c>
      <c r="O397" s="8" t="s">
        <v>5</v>
      </c>
      <c r="P397" s="8" t="s">
        <v>106</v>
      </c>
      <c r="Q397" s="8" t="s">
        <v>68</v>
      </c>
      <c r="R397" s="8" t="s">
        <v>69</v>
      </c>
      <c r="S397" s="8" t="s">
        <v>9</v>
      </c>
      <c r="T397" s="9">
        <v>249.04</v>
      </c>
      <c r="U397" s="9">
        <v>348.66</v>
      </c>
      <c r="V397" s="8" t="s">
        <v>9</v>
      </c>
      <c r="W397" s="8">
        <v>0</v>
      </c>
      <c r="X397" s="8">
        <v>9</v>
      </c>
      <c r="Y397" s="8">
        <v>31.38</v>
      </c>
      <c r="Z397" s="8">
        <v>9</v>
      </c>
      <c r="AA397" s="8">
        <v>31.38</v>
      </c>
      <c r="AB397" s="8">
        <v>0</v>
      </c>
      <c r="AC397" s="8">
        <v>0</v>
      </c>
      <c r="AD397" s="8">
        <v>0</v>
      </c>
      <c r="AE397" s="8">
        <v>62.76</v>
      </c>
      <c r="AF397" s="8">
        <v>0</v>
      </c>
      <c r="AG397" s="8" t="s">
        <v>3134</v>
      </c>
      <c r="AH397" s="8" t="s">
        <v>10</v>
      </c>
      <c r="AI397" s="8">
        <v>37013000</v>
      </c>
      <c r="AJ397" s="8" t="s">
        <v>60</v>
      </c>
      <c r="AK397" s="8">
        <v>1</v>
      </c>
      <c r="AL397" s="8">
        <v>0</v>
      </c>
      <c r="AM397" s="8" t="s">
        <v>1940</v>
      </c>
    </row>
    <row r="398" spans="7:39" ht="12.75" customHeight="1">
      <c r="G398" s="347"/>
      <c r="H398" s="6" t="s">
        <v>3124</v>
      </c>
      <c r="I398" s="8" t="s">
        <v>105</v>
      </c>
      <c r="J398" s="8" t="s">
        <v>96</v>
      </c>
      <c r="K398" s="8" t="s">
        <v>3132</v>
      </c>
      <c r="L398" s="8" t="s">
        <v>97</v>
      </c>
      <c r="M398" s="8" t="s">
        <v>3133</v>
      </c>
      <c r="N398" s="7">
        <v>46333</v>
      </c>
      <c r="O398" s="8" t="s">
        <v>5</v>
      </c>
      <c r="P398" s="8" t="s">
        <v>106</v>
      </c>
      <c r="Q398" s="8" t="s">
        <v>68</v>
      </c>
      <c r="R398" s="8" t="s">
        <v>69</v>
      </c>
      <c r="S398" s="8" t="s">
        <v>9</v>
      </c>
      <c r="T398" s="9">
        <v>324.20999999999998</v>
      </c>
      <c r="U398" s="9">
        <v>453.89</v>
      </c>
      <c r="V398" s="8" t="s">
        <v>9</v>
      </c>
      <c r="W398" s="8">
        <v>0</v>
      </c>
      <c r="X398" s="8">
        <v>9</v>
      </c>
      <c r="Y398" s="8">
        <v>40.85</v>
      </c>
      <c r="Z398" s="8">
        <v>9</v>
      </c>
      <c r="AA398" s="8">
        <v>40.85</v>
      </c>
      <c r="AB398" s="8">
        <v>0</v>
      </c>
      <c r="AC398" s="8">
        <v>0</v>
      </c>
      <c r="AD398" s="8">
        <v>0</v>
      </c>
      <c r="AE398" s="8">
        <v>81.7</v>
      </c>
      <c r="AF398" s="8">
        <v>0</v>
      </c>
      <c r="AG398" s="8" t="s">
        <v>3134</v>
      </c>
      <c r="AH398" s="8" t="s">
        <v>10</v>
      </c>
      <c r="AI398" s="8">
        <v>37013000</v>
      </c>
      <c r="AJ398" s="8" t="s">
        <v>60</v>
      </c>
      <c r="AK398" s="8">
        <v>1</v>
      </c>
      <c r="AL398" s="8">
        <v>0</v>
      </c>
      <c r="AM398" s="8" t="s">
        <v>1940</v>
      </c>
    </row>
    <row r="399" spans="7:39" ht="12.75" customHeight="1">
      <c r="G399" s="347"/>
      <c r="H399" s="6" t="s">
        <v>3124</v>
      </c>
      <c r="I399" s="8" t="s">
        <v>2453</v>
      </c>
      <c r="J399" s="8" t="s">
        <v>96</v>
      </c>
      <c r="K399" s="8" t="s">
        <v>3135</v>
      </c>
      <c r="L399" s="8" t="s">
        <v>97</v>
      </c>
      <c r="M399" s="8" t="s">
        <v>3136</v>
      </c>
      <c r="N399" s="7" t="s">
        <v>3052</v>
      </c>
      <c r="O399" s="8" t="s">
        <v>2</v>
      </c>
      <c r="P399" s="8" t="s">
        <v>1697</v>
      </c>
      <c r="Q399" s="8" t="s">
        <v>68</v>
      </c>
      <c r="R399" s="8" t="s">
        <v>69</v>
      </c>
      <c r="S399" s="8" t="s">
        <v>3137</v>
      </c>
      <c r="T399" s="9">
        <v>100</v>
      </c>
      <c r="U399" s="9">
        <v>12800</v>
      </c>
      <c r="V399" s="8" t="s">
        <v>3137</v>
      </c>
      <c r="W399" s="8">
        <v>13440</v>
      </c>
      <c r="X399" s="8">
        <v>2.5</v>
      </c>
      <c r="Y399" s="8">
        <v>320</v>
      </c>
      <c r="Z399" s="8">
        <v>2.5</v>
      </c>
      <c r="AA399" s="8">
        <v>320</v>
      </c>
      <c r="AB399" s="8">
        <v>0</v>
      </c>
      <c r="AC399" s="8">
        <v>0</v>
      </c>
      <c r="AD399" s="8">
        <v>0</v>
      </c>
      <c r="AE399" s="8">
        <v>640</v>
      </c>
      <c r="AF399" s="8">
        <v>0</v>
      </c>
      <c r="AG399" s="8" t="s">
        <v>3138</v>
      </c>
      <c r="AH399" s="8" t="s">
        <v>1</v>
      </c>
      <c r="AI399" s="8">
        <v>8452309</v>
      </c>
      <c r="AJ399" s="8" t="s">
        <v>60</v>
      </c>
      <c r="AK399" s="8">
        <v>1</v>
      </c>
      <c r="AL399" s="8">
        <v>0</v>
      </c>
      <c r="AM399" s="8" t="s">
        <v>1940</v>
      </c>
    </row>
    <row r="400" spans="7:39" ht="12.75" customHeight="1">
      <c r="G400" s="347"/>
      <c r="H400" s="6" t="s">
        <v>3124</v>
      </c>
      <c r="I400" s="8" t="s">
        <v>2058</v>
      </c>
      <c r="J400" s="8" t="s">
        <v>96</v>
      </c>
      <c r="K400" s="8" t="s">
        <v>3139</v>
      </c>
      <c r="L400" s="8" t="s">
        <v>97</v>
      </c>
      <c r="M400" s="8" t="s">
        <v>3140</v>
      </c>
      <c r="N400" s="7">
        <v>46333</v>
      </c>
      <c r="O400" s="8" t="s">
        <v>2509</v>
      </c>
      <c r="P400" s="8" t="s">
        <v>2590</v>
      </c>
      <c r="Q400" s="8" t="s">
        <v>68</v>
      </c>
      <c r="R400" s="8" t="s">
        <v>69</v>
      </c>
      <c r="S400" s="8" t="s">
        <v>3141</v>
      </c>
      <c r="T400" s="9">
        <v>1</v>
      </c>
      <c r="U400" s="9">
        <v>720</v>
      </c>
      <c r="V400" s="8" t="s">
        <v>3141</v>
      </c>
      <c r="W400" s="8">
        <v>850</v>
      </c>
      <c r="X400" s="8">
        <v>9</v>
      </c>
      <c r="Y400" s="8">
        <v>64.8</v>
      </c>
      <c r="Z400" s="8">
        <v>9</v>
      </c>
      <c r="AA400" s="8">
        <v>64.8</v>
      </c>
      <c r="AB400" s="8">
        <v>0</v>
      </c>
      <c r="AC400" s="8">
        <v>0</v>
      </c>
      <c r="AD400" s="8">
        <v>0</v>
      </c>
      <c r="AE400" s="8">
        <v>129.6</v>
      </c>
      <c r="AF400" s="8">
        <v>0</v>
      </c>
      <c r="AG400" s="8" t="s">
        <v>2570</v>
      </c>
      <c r="AH400" s="8" t="s">
        <v>1</v>
      </c>
      <c r="AI400" s="8">
        <v>850710</v>
      </c>
      <c r="AJ400" s="8" t="s">
        <v>60</v>
      </c>
      <c r="AK400" s="8">
        <v>1</v>
      </c>
      <c r="AL400" s="8">
        <v>0</v>
      </c>
      <c r="AM400" s="8" t="s">
        <v>1940</v>
      </c>
    </row>
    <row r="401" spans="7:39" ht="12.75" customHeight="1">
      <c r="G401" s="347"/>
      <c r="H401" s="6" t="s">
        <v>3124</v>
      </c>
      <c r="I401" s="8" t="s">
        <v>87</v>
      </c>
      <c r="J401" s="8" t="s">
        <v>96</v>
      </c>
      <c r="K401" s="8" t="s">
        <v>3142</v>
      </c>
      <c r="L401" s="8" t="s">
        <v>97</v>
      </c>
      <c r="M401" s="8" t="s">
        <v>3143</v>
      </c>
      <c r="N401" s="7" t="s">
        <v>3124</v>
      </c>
      <c r="O401" s="8" t="s">
        <v>2</v>
      </c>
      <c r="P401" s="8" t="s">
        <v>67</v>
      </c>
      <c r="Q401" s="8" t="s">
        <v>68</v>
      </c>
      <c r="R401" s="8" t="s">
        <v>69</v>
      </c>
      <c r="S401" s="8" t="s">
        <v>70</v>
      </c>
      <c r="T401" s="9">
        <v>256</v>
      </c>
      <c r="U401" s="9">
        <v>12288</v>
      </c>
      <c r="V401" s="8" t="s">
        <v>70</v>
      </c>
      <c r="W401" s="8">
        <v>14487.55</v>
      </c>
      <c r="X401" s="8">
        <v>9</v>
      </c>
      <c r="Y401" s="8">
        <v>1105.92</v>
      </c>
      <c r="Z401" s="8">
        <v>9</v>
      </c>
      <c r="AA401" s="8">
        <v>1105.92</v>
      </c>
      <c r="AB401" s="8">
        <v>0</v>
      </c>
      <c r="AC401" s="8">
        <v>0</v>
      </c>
      <c r="AD401" s="8">
        <v>0</v>
      </c>
      <c r="AE401" s="8">
        <v>2211.84</v>
      </c>
      <c r="AF401" s="8">
        <v>0</v>
      </c>
      <c r="AG401" s="8" t="s">
        <v>65</v>
      </c>
      <c r="AH401" s="8" t="s">
        <v>11</v>
      </c>
      <c r="AI401" s="8">
        <v>73063090</v>
      </c>
      <c r="AJ401" s="8" t="s">
        <v>60</v>
      </c>
      <c r="AK401" s="8">
        <v>1</v>
      </c>
      <c r="AL401" s="8">
        <v>0</v>
      </c>
      <c r="AM401" s="8" t="s">
        <v>1940</v>
      </c>
    </row>
    <row r="402" spans="7:39" ht="12.75" customHeight="1">
      <c r="G402" s="347"/>
      <c r="H402" s="6" t="s">
        <v>3124</v>
      </c>
      <c r="I402" s="8" t="s">
        <v>87</v>
      </c>
      <c r="J402" s="8" t="s">
        <v>91</v>
      </c>
      <c r="K402" s="8" t="s">
        <v>3144</v>
      </c>
      <c r="L402" s="8" t="s">
        <v>98</v>
      </c>
      <c r="M402" s="8" t="s">
        <v>3145</v>
      </c>
      <c r="N402" s="7" t="s">
        <v>3124</v>
      </c>
      <c r="O402" s="8" t="s">
        <v>13</v>
      </c>
      <c r="P402" s="8" t="s">
        <v>62</v>
      </c>
      <c r="Q402" s="8" t="s">
        <v>63</v>
      </c>
      <c r="R402" s="8" t="s">
        <v>64</v>
      </c>
      <c r="S402" s="8" t="s">
        <v>19</v>
      </c>
      <c r="T402" s="9">
        <v>6419</v>
      </c>
      <c r="U402" s="9">
        <v>927481.31</v>
      </c>
      <c r="V402" s="8" t="s">
        <v>19</v>
      </c>
      <c r="W402" s="8">
        <v>1334355.51</v>
      </c>
      <c r="X402" s="8">
        <v>9</v>
      </c>
      <c r="Y402" s="8">
        <v>83473.320000000007</v>
      </c>
      <c r="Z402" s="8">
        <v>9</v>
      </c>
      <c r="AA402" s="8">
        <v>83473.320000000007</v>
      </c>
      <c r="AB402" s="8">
        <v>0</v>
      </c>
      <c r="AC402" s="8">
        <v>0</v>
      </c>
      <c r="AD402" s="8">
        <v>0</v>
      </c>
      <c r="AE402" s="8">
        <v>166946.64000000001</v>
      </c>
      <c r="AF402" s="8">
        <v>0</v>
      </c>
      <c r="AG402" s="8" t="s">
        <v>65</v>
      </c>
      <c r="AH402" s="8" t="s">
        <v>11</v>
      </c>
      <c r="AI402" s="8">
        <v>39269080</v>
      </c>
      <c r="AJ402" s="8" t="s">
        <v>60</v>
      </c>
      <c r="AK402" s="8">
        <v>1</v>
      </c>
      <c r="AL402" s="8">
        <v>0</v>
      </c>
      <c r="AM402" s="8" t="s">
        <v>1940</v>
      </c>
    </row>
    <row r="403" spans="7:39" ht="12.75" customHeight="1">
      <c r="G403" s="347"/>
      <c r="H403" s="6" t="s">
        <v>3124</v>
      </c>
      <c r="I403" s="8" t="s">
        <v>87</v>
      </c>
      <c r="J403" s="8" t="s">
        <v>91</v>
      </c>
      <c r="K403" s="8" t="s">
        <v>3144</v>
      </c>
      <c r="L403" s="8" t="s">
        <v>98</v>
      </c>
      <c r="M403" s="8" t="s">
        <v>3145</v>
      </c>
      <c r="N403" s="8" t="s">
        <v>3124</v>
      </c>
      <c r="O403" s="8" t="s">
        <v>13</v>
      </c>
      <c r="P403" s="8" t="s">
        <v>62</v>
      </c>
      <c r="Q403" s="8" t="s">
        <v>63</v>
      </c>
      <c r="R403" s="8" t="s">
        <v>64</v>
      </c>
      <c r="S403" s="8" t="s">
        <v>19</v>
      </c>
      <c r="T403" s="9">
        <v>227</v>
      </c>
      <c r="U403" s="9">
        <v>33480.230000000003</v>
      </c>
      <c r="V403" s="8" t="s">
        <v>19</v>
      </c>
      <c r="W403" s="8">
        <v>0</v>
      </c>
      <c r="X403" s="8">
        <v>9</v>
      </c>
      <c r="Y403" s="8">
        <v>3013.22</v>
      </c>
      <c r="Z403" s="8">
        <v>9</v>
      </c>
      <c r="AA403" s="8">
        <v>3013.22</v>
      </c>
      <c r="AB403" s="8">
        <v>0</v>
      </c>
      <c r="AC403" s="8">
        <v>0</v>
      </c>
      <c r="AD403" s="8">
        <v>0</v>
      </c>
      <c r="AE403" s="8">
        <v>6026.44</v>
      </c>
      <c r="AF403" s="8">
        <v>0</v>
      </c>
      <c r="AG403" s="8" t="s">
        <v>65</v>
      </c>
      <c r="AH403" s="8" t="s">
        <v>11</v>
      </c>
      <c r="AI403" s="8">
        <v>39269080</v>
      </c>
      <c r="AJ403" s="8" t="s">
        <v>60</v>
      </c>
      <c r="AK403" s="8">
        <v>1</v>
      </c>
      <c r="AL403" s="8">
        <v>0</v>
      </c>
      <c r="AM403" s="8" t="s">
        <v>1940</v>
      </c>
    </row>
    <row r="404" spans="7:39" ht="12.75" customHeight="1">
      <c r="G404" s="347"/>
      <c r="H404" s="6" t="s">
        <v>3124</v>
      </c>
      <c r="I404" s="8" t="s">
        <v>87</v>
      </c>
      <c r="J404" s="8" t="s">
        <v>91</v>
      </c>
      <c r="K404" s="8" t="s">
        <v>3144</v>
      </c>
      <c r="L404" s="8" t="s">
        <v>98</v>
      </c>
      <c r="M404" s="8" t="s">
        <v>3145</v>
      </c>
      <c r="N404" s="7" t="s">
        <v>3124</v>
      </c>
      <c r="O404" s="8" t="s">
        <v>13</v>
      </c>
      <c r="P404" s="8" t="s">
        <v>62</v>
      </c>
      <c r="Q404" s="8" t="s">
        <v>63</v>
      </c>
      <c r="R404" s="8" t="s">
        <v>64</v>
      </c>
      <c r="S404" s="8" t="s">
        <v>19</v>
      </c>
      <c r="T404" s="9">
        <v>1166</v>
      </c>
      <c r="U404" s="9">
        <v>170807.34</v>
      </c>
      <c r="V404" s="8" t="s">
        <v>19</v>
      </c>
      <c r="W404" s="8">
        <v>0</v>
      </c>
      <c r="X404" s="8">
        <v>9</v>
      </c>
      <c r="Y404" s="8">
        <v>15372.66</v>
      </c>
      <c r="Z404" s="8">
        <v>9</v>
      </c>
      <c r="AA404" s="8">
        <v>15372.66</v>
      </c>
      <c r="AB404" s="8">
        <v>0</v>
      </c>
      <c r="AC404" s="8">
        <v>0</v>
      </c>
      <c r="AD404" s="8">
        <v>0</v>
      </c>
      <c r="AE404" s="8">
        <v>30745.32</v>
      </c>
      <c r="AF404" s="8">
        <v>0</v>
      </c>
      <c r="AG404" s="8" t="s">
        <v>65</v>
      </c>
      <c r="AH404" s="8" t="s">
        <v>11</v>
      </c>
      <c r="AI404" s="8">
        <v>39269080</v>
      </c>
      <c r="AJ404" s="8" t="s">
        <v>60</v>
      </c>
      <c r="AK404" s="8">
        <v>1</v>
      </c>
      <c r="AL404" s="8">
        <v>0</v>
      </c>
      <c r="AM404" s="8" t="s">
        <v>1940</v>
      </c>
    </row>
    <row r="405" spans="7:39" ht="12.75" customHeight="1">
      <c r="G405" s="347"/>
      <c r="H405" s="6" t="s">
        <v>3124</v>
      </c>
      <c r="I405" s="8" t="s">
        <v>87</v>
      </c>
      <c r="J405" s="8" t="s">
        <v>91</v>
      </c>
      <c r="K405" s="8" t="s">
        <v>3146</v>
      </c>
      <c r="L405" s="8" t="s">
        <v>98</v>
      </c>
      <c r="M405" s="8" t="s">
        <v>3147</v>
      </c>
      <c r="N405" s="7" t="s">
        <v>3124</v>
      </c>
      <c r="O405" s="8" t="s">
        <v>13</v>
      </c>
      <c r="P405" s="8" t="s">
        <v>80</v>
      </c>
      <c r="Q405" s="8" t="s">
        <v>81</v>
      </c>
      <c r="R405" s="8" t="s">
        <v>82</v>
      </c>
      <c r="S405" s="8" t="s">
        <v>17</v>
      </c>
      <c r="T405" s="9">
        <v>1473</v>
      </c>
      <c r="U405" s="9">
        <v>269234.94</v>
      </c>
      <c r="V405" s="8" t="s">
        <v>17</v>
      </c>
      <c r="W405" s="8">
        <v>1017016.83</v>
      </c>
      <c r="X405" s="8">
        <v>9</v>
      </c>
      <c r="Y405" s="8">
        <v>24231.14</v>
      </c>
      <c r="Z405" s="8">
        <v>9</v>
      </c>
      <c r="AA405" s="8">
        <v>24231.14</v>
      </c>
      <c r="AB405" s="8">
        <v>0</v>
      </c>
      <c r="AC405" s="8">
        <v>0</v>
      </c>
      <c r="AD405" s="8">
        <v>0</v>
      </c>
      <c r="AE405" s="8">
        <v>48462.28</v>
      </c>
      <c r="AF405" s="8">
        <v>0</v>
      </c>
      <c r="AG405" s="8" t="s">
        <v>65</v>
      </c>
      <c r="AH405" s="8" t="s">
        <v>11</v>
      </c>
      <c r="AI405" s="8">
        <v>39200000</v>
      </c>
      <c r="AJ405" s="8" t="s">
        <v>60</v>
      </c>
      <c r="AK405" s="8">
        <v>1</v>
      </c>
      <c r="AL405" s="8">
        <v>0</v>
      </c>
      <c r="AM405" s="8" t="s">
        <v>1940</v>
      </c>
    </row>
    <row r="406" spans="7:39" ht="12.75" customHeight="1">
      <c r="G406" s="347"/>
      <c r="H406" s="6" t="s">
        <v>3124</v>
      </c>
      <c r="I406" s="8" t="s">
        <v>87</v>
      </c>
      <c r="J406" s="8" t="s">
        <v>91</v>
      </c>
      <c r="K406" s="8" t="s">
        <v>3146</v>
      </c>
      <c r="L406" s="8" t="s">
        <v>98</v>
      </c>
      <c r="M406" s="8" t="s">
        <v>3147</v>
      </c>
      <c r="N406" s="7" t="s">
        <v>3124</v>
      </c>
      <c r="O406" s="8" t="s">
        <v>13</v>
      </c>
      <c r="P406" s="8" t="s">
        <v>62</v>
      </c>
      <c r="Q406" s="8" t="s">
        <v>63</v>
      </c>
      <c r="R406" s="8" t="s">
        <v>64</v>
      </c>
      <c r="S406" s="8" t="s">
        <v>19</v>
      </c>
      <c r="T406" s="9">
        <v>2018</v>
      </c>
      <c r="U406" s="9">
        <v>291580.82</v>
      </c>
      <c r="V406" s="8" t="s">
        <v>19</v>
      </c>
      <c r="W406" s="8">
        <v>0</v>
      </c>
      <c r="X406" s="8">
        <v>9</v>
      </c>
      <c r="Y406" s="8">
        <v>26242.27</v>
      </c>
      <c r="Z406" s="8">
        <v>9</v>
      </c>
      <c r="AA406" s="8">
        <v>26242.27</v>
      </c>
      <c r="AB406" s="8">
        <v>0</v>
      </c>
      <c r="AC406" s="8">
        <v>0</v>
      </c>
      <c r="AD406" s="8">
        <v>0</v>
      </c>
      <c r="AE406" s="8">
        <v>52484.54</v>
      </c>
      <c r="AF406" s="8">
        <v>0</v>
      </c>
      <c r="AG406" s="8" t="s">
        <v>65</v>
      </c>
      <c r="AH406" s="8" t="s">
        <v>11</v>
      </c>
      <c r="AI406" s="8">
        <v>39269080</v>
      </c>
      <c r="AJ406" s="8" t="s">
        <v>60</v>
      </c>
      <c r="AK406" s="8">
        <v>1</v>
      </c>
      <c r="AL406" s="8">
        <v>0</v>
      </c>
      <c r="AM406" s="8" t="s">
        <v>1940</v>
      </c>
    </row>
    <row r="407" spans="7:39" ht="12.75" customHeight="1">
      <c r="G407" s="347"/>
      <c r="H407" s="6" t="s">
        <v>3124</v>
      </c>
      <c r="I407" s="8" t="s">
        <v>87</v>
      </c>
      <c r="J407" s="8" t="s">
        <v>91</v>
      </c>
      <c r="K407" s="8" t="s">
        <v>3146</v>
      </c>
      <c r="L407" s="8" t="s">
        <v>98</v>
      </c>
      <c r="M407" s="8" t="s">
        <v>3147</v>
      </c>
      <c r="N407" s="7" t="s">
        <v>3124</v>
      </c>
      <c r="O407" s="8" t="s">
        <v>13</v>
      </c>
      <c r="P407" s="8" t="s">
        <v>62</v>
      </c>
      <c r="Q407" s="8" t="s">
        <v>76</v>
      </c>
      <c r="R407" s="8" t="s">
        <v>77</v>
      </c>
      <c r="S407" s="8" t="s">
        <v>21</v>
      </c>
      <c r="T407" s="9">
        <v>305</v>
      </c>
      <c r="U407" s="9">
        <v>46204.45</v>
      </c>
      <c r="V407" s="8" t="s">
        <v>21</v>
      </c>
      <c r="W407" s="8">
        <v>0</v>
      </c>
      <c r="X407" s="8">
        <v>9</v>
      </c>
      <c r="Y407" s="8">
        <v>4158.3999999999996</v>
      </c>
      <c r="Z407" s="8">
        <v>9</v>
      </c>
      <c r="AA407" s="8">
        <v>4158.3999999999996</v>
      </c>
      <c r="AB407" s="8">
        <v>0</v>
      </c>
      <c r="AC407" s="8">
        <v>0</v>
      </c>
      <c r="AD407" s="8">
        <v>0</v>
      </c>
      <c r="AE407" s="8">
        <v>8316.7999999999993</v>
      </c>
      <c r="AF407" s="8">
        <v>0</v>
      </c>
      <c r="AG407" s="8" t="s">
        <v>65</v>
      </c>
      <c r="AH407" s="8" t="s">
        <v>11</v>
      </c>
      <c r="AI407" s="8">
        <v>63053300</v>
      </c>
      <c r="AJ407" s="8" t="s">
        <v>60</v>
      </c>
      <c r="AK407" s="8">
        <v>1</v>
      </c>
      <c r="AL407" s="8">
        <v>0</v>
      </c>
      <c r="AM407" s="8" t="s">
        <v>1940</v>
      </c>
    </row>
    <row r="408" spans="7:39" ht="12.75" customHeight="1">
      <c r="G408" s="347"/>
      <c r="H408" s="6" t="s">
        <v>3124</v>
      </c>
      <c r="I408" s="8" t="s">
        <v>87</v>
      </c>
      <c r="J408" s="8" t="s">
        <v>91</v>
      </c>
      <c r="K408" s="8" t="s">
        <v>3146</v>
      </c>
      <c r="L408" s="8" t="s">
        <v>98</v>
      </c>
      <c r="M408" s="8" t="s">
        <v>3147</v>
      </c>
      <c r="N408" s="7" t="s">
        <v>3124</v>
      </c>
      <c r="O408" s="8" t="s">
        <v>13</v>
      </c>
      <c r="P408" s="8" t="s">
        <v>62</v>
      </c>
      <c r="Q408" s="8" t="s">
        <v>76</v>
      </c>
      <c r="R408" s="8" t="s">
        <v>77</v>
      </c>
      <c r="S408" s="8" t="s">
        <v>21</v>
      </c>
      <c r="T408" s="9">
        <v>1193</v>
      </c>
      <c r="U408" s="9">
        <v>177148.57</v>
      </c>
      <c r="V408" s="8" t="s">
        <v>21</v>
      </c>
      <c r="W408" s="8">
        <v>0</v>
      </c>
      <c r="X408" s="8">
        <v>9</v>
      </c>
      <c r="Y408" s="8">
        <v>15943.37</v>
      </c>
      <c r="Z408" s="8">
        <v>9</v>
      </c>
      <c r="AA408" s="8">
        <v>15943.37</v>
      </c>
      <c r="AB408" s="8">
        <v>0</v>
      </c>
      <c r="AC408" s="8">
        <v>0</v>
      </c>
      <c r="AD408" s="8">
        <v>0</v>
      </c>
      <c r="AE408" s="8">
        <v>31886.74</v>
      </c>
      <c r="AF408" s="8">
        <v>0</v>
      </c>
      <c r="AG408" s="8" t="s">
        <v>65</v>
      </c>
      <c r="AH408" s="8" t="s">
        <v>11</v>
      </c>
      <c r="AI408" s="8">
        <v>63053300</v>
      </c>
      <c r="AJ408" s="8" t="s">
        <v>60</v>
      </c>
      <c r="AK408" s="8">
        <v>1</v>
      </c>
      <c r="AL408" s="8">
        <v>0</v>
      </c>
      <c r="AM408" s="8" t="s">
        <v>1940</v>
      </c>
    </row>
    <row r="409" spans="7:39" ht="12.75" customHeight="1">
      <c r="G409" s="347"/>
      <c r="H409" s="6" t="s">
        <v>3124</v>
      </c>
      <c r="I409" s="8" t="s">
        <v>87</v>
      </c>
      <c r="J409" s="8" t="s">
        <v>91</v>
      </c>
      <c r="K409" s="8" t="s">
        <v>3146</v>
      </c>
      <c r="L409" s="8" t="s">
        <v>98</v>
      </c>
      <c r="M409" s="8" t="s">
        <v>3147</v>
      </c>
      <c r="N409" s="7" t="s">
        <v>3124</v>
      </c>
      <c r="O409" s="8" t="s">
        <v>13</v>
      </c>
      <c r="P409" s="8" t="s">
        <v>24</v>
      </c>
      <c r="Q409" s="8" t="s">
        <v>79</v>
      </c>
      <c r="R409" s="8" t="s">
        <v>79</v>
      </c>
      <c r="S409" s="8" t="s">
        <v>24</v>
      </c>
      <c r="T409" s="9">
        <v>159.30000000000001</v>
      </c>
      <c r="U409" s="9">
        <v>27159.06</v>
      </c>
      <c r="V409" s="8" t="s">
        <v>24</v>
      </c>
      <c r="W409" s="8">
        <v>0</v>
      </c>
      <c r="X409" s="8">
        <v>9</v>
      </c>
      <c r="Y409" s="8">
        <v>2444.3200000000002</v>
      </c>
      <c r="Z409" s="8">
        <v>9</v>
      </c>
      <c r="AA409" s="8">
        <v>2444.3200000000002</v>
      </c>
      <c r="AB409" s="8">
        <v>0</v>
      </c>
      <c r="AC409" s="8">
        <v>0</v>
      </c>
      <c r="AD409" s="8">
        <v>0</v>
      </c>
      <c r="AE409" s="8">
        <v>4888.6400000000003</v>
      </c>
      <c r="AF409" s="8">
        <v>0</v>
      </c>
      <c r="AG409" s="8" t="s">
        <v>65</v>
      </c>
      <c r="AH409" s="8" t="s">
        <v>11</v>
      </c>
      <c r="AI409" s="8">
        <v>3926908</v>
      </c>
      <c r="AJ409" s="8" t="s">
        <v>60</v>
      </c>
      <c r="AK409" s="8">
        <v>1</v>
      </c>
      <c r="AL409" s="8">
        <v>0</v>
      </c>
      <c r="AM409" s="8" t="s">
        <v>1940</v>
      </c>
    </row>
    <row r="410" spans="7:39" ht="12.75" customHeight="1">
      <c r="G410" s="347"/>
      <c r="H410" s="6" t="s">
        <v>3124</v>
      </c>
      <c r="I410" s="8" t="s">
        <v>87</v>
      </c>
      <c r="J410" s="8" t="s">
        <v>91</v>
      </c>
      <c r="K410" s="8" t="s">
        <v>3146</v>
      </c>
      <c r="L410" s="8" t="s">
        <v>98</v>
      </c>
      <c r="M410" s="8" t="s">
        <v>3147</v>
      </c>
      <c r="N410" s="7" t="s">
        <v>3124</v>
      </c>
      <c r="O410" s="8" t="s">
        <v>13</v>
      </c>
      <c r="P410" s="8" t="s">
        <v>24</v>
      </c>
      <c r="Q410" s="8" t="s">
        <v>79</v>
      </c>
      <c r="R410" s="8" t="s">
        <v>79</v>
      </c>
      <c r="S410" s="8" t="s">
        <v>24</v>
      </c>
      <c r="T410" s="9">
        <v>164.6</v>
      </c>
      <c r="U410" s="9">
        <v>24606.05</v>
      </c>
      <c r="V410" s="8" t="s">
        <v>24</v>
      </c>
      <c r="W410" s="8">
        <v>0</v>
      </c>
      <c r="X410" s="8">
        <v>9</v>
      </c>
      <c r="Y410" s="8">
        <v>2214.54</v>
      </c>
      <c r="Z410" s="8">
        <v>9</v>
      </c>
      <c r="AA410" s="8">
        <v>2214.54</v>
      </c>
      <c r="AB410" s="8">
        <v>0</v>
      </c>
      <c r="AC410" s="8">
        <v>0</v>
      </c>
      <c r="AD410" s="8">
        <v>0</v>
      </c>
      <c r="AE410" s="8">
        <v>4429.08</v>
      </c>
      <c r="AF410" s="8">
        <v>0</v>
      </c>
      <c r="AG410" s="8" t="s">
        <v>65</v>
      </c>
      <c r="AH410" s="8" t="s">
        <v>11</v>
      </c>
      <c r="AI410" s="8">
        <v>3926908</v>
      </c>
      <c r="AJ410" s="8" t="s">
        <v>60</v>
      </c>
      <c r="AK410" s="8">
        <v>1</v>
      </c>
      <c r="AL410" s="8">
        <v>0</v>
      </c>
      <c r="AM410" s="8" t="s">
        <v>1940</v>
      </c>
    </row>
    <row r="411" spans="7:39" ht="12.75" customHeight="1">
      <c r="G411" s="347"/>
      <c r="H411" s="6" t="s">
        <v>3124</v>
      </c>
      <c r="I411" s="8" t="s">
        <v>87</v>
      </c>
      <c r="J411" s="8" t="s">
        <v>91</v>
      </c>
      <c r="K411" s="8" t="s">
        <v>3146</v>
      </c>
      <c r="L411" s="8" t="s">
        <v>98</v>
      </c>
      <c r="M411" s="8" t="s">
        <v>3147</v>
      </c>
      <c r="N411" s="8" t="s">
        <v>3124</v>
      </c>
      <c r="O411" s="8" t="s">
        <v>13</v>
      </c>
      <c r="P411" s="8" t="s">
        <v>24</v>
      </c>
      <c r="Q411" s="8" t="s">
        <v>79</v>
      </c>
      <c r="R411" s="8" t="s">
        <v>79</v>
      </c>
      <c r="S411" s="8" t="s">
        <v>24</v>
      </c>
      <c r="T411" s="9">
        <v>182.1</v>
      </c>
      <c r="U411" s="9">
        <v>26675.83</v>
      </c>
      <c r="V411" s="8" t="s">
        <v>24</v>
      </c>
      <c r="W411" s="8">
        <v>0</v>
      </c>
      <c r="X411" s="8">
        <v>9</v>
      </c>
      <c r="Y411" s="8">
        <v>2400.8200000000002</v>
      </c>
      <c r="Z411" s="8">
        <v>9</v>
      </c>
      <c r="AA411" s="8">
        <v>2400.8200000000002</v>
      </c>
      <c r="AB411" s="8">
        <v>0</v>
      </c>
      <c r="AC411" s="8">
        <v>0</v>
      </c>
      <c r="AD411" s="8">
        <v>0</v>
      </c>
      <c r="AE411" s="8">
        <v>4801.6400000000003</v>
      </c>
      <c r="AF411" s="8">
        <v>0</v>
      </c>
      <c r="AG411" s="8" t="s">
        <v>65</v>
      </c>
      <c r="AH411" s="8" t="s">
        <v>11</v>
      </c>
      <c r="AI411" s="8">
        <v>3926908</v>
      </c>
      <c r="AJ411" s="8" t="s">
        <v>60</v>
      </c>
      <c r="AK411" s="8">
        <v>1</v>
      </c>
      <c r="AL411" s="8">
        <v>0</v>
      </c>
      <c r="AM411" s="8" t="s">
        <v>1940</v>
      </c>
    </row>
    <row r="412" spans="7:39" ht="12.75" customHeight="1">
      <c r="G412" s="347"/>
      <c r="H412" s="6" t="s">
        <v>3124</v>
      </c>
      <c r="I412" s="8" t="s">
        <v>2248</v>
      </c>
      <c r="J412" s="8" t="s">
        <v>96</v>
      </c>
      <c r="K412" s="8" t="s">
        <v>3148</v>
      </c>
      <c r="L412" s="8" t="s">
        <v>97</v>
      </c>
      <c r="M412" s="8">
        <v>1445</v>
      </c>
      <c r="N412" s="8" t="s">
        <v>2996</v>
      </c>
      <c r="O412" s="8" t="s">
        <v>5</v>
      </c>
      <c r="P412" s="8" t="s">
        <v>106</v>
      </c>
      <c r="Q412" s="8" t="s">
        <v>68</v>
      </c>
      <c r="R412" s="8" t="s">
        <v>69</v>
      </c>
      <c r="S412" s="8" t="s">
        <v>2245</v>
      </c>
      <c r="T412" s="9">
        <v>1320</v>
      </c>
      <c r="U412" s="9">
        <v>462</v>
      </c>
      <c r="V412" s="8" t="s">
        <v>2245</v>
      </c>
      <c r="W412" s="8">
        <v>876</v>
      </c>
      <c r="X412" s="8">
        <v>9</v>
      </c>
      <c r="Y412" s="8">
        <v>41.58</v>
      </c>
      <c r="Z412" s="8">
        <v>9</v>
      </c>
      <c r="AA412" s="8">
        <v>41.58</v>
      </c>
      <c r="AB412" s="8">
        <v>0</v>
      </c>
      <c r="AC412" s="8">
        <v>0</v>
      </c>
      <c r="AD412" s="8">
        <v>0</v>
      </c>
      <c r="AE412" s="8">
        <v>83.16</v>
      </c>
      <c r="AF412" s="8">
        <v>0</v>
      </c>
      <c r="AG412" s="8" t="s">
        <v>2403</v>
      </c>
      <c r="AH412" s="8" t="s">
        <v>7</v>
      </c>
      <c r="AI412" s="8">
        <v>400200</v>
      </c>
      <c r="AJ412" s="8" t="s">
        <v>60</v>
      </c>
      <c r="AK412" s="8">
        <v>1</v>
      </c>
      <c r="AL412" s="8">
        <v>0</v>
      </c>
      <c r="AM412" s="8" t="s">
        <v>1940</v>
      </c>
    </row>
    <row r="413" spans="7:39" ht="12.75" customHeight="1">
      <c r="G413" s="347"/>
      <c r="H413" s="6" t="s">
        <v>3124</v>
      </c>
      <c r="I413" s="8" t="s">
        <v>2248</v>
      </c>
      <c r="J413" s="8" t="s">
        <v>96</v>
      </c>
      <c r="K413" s="8" t="s">
        <v>3148</v>
      </c>
      <c r="L413" s="8" t="s">
        <v>97</v>
      </c>
      <c r="M413" s="8">
        <v>1445</v>
      </c>
      <c r="N413" s="8" t="s">
        <v>2996</v>
      </c>
      <c r="O413" s="8" t="s">
        <v>5</v>
      </c>
      <c r="P413" s="8" t="s">
        <v>106</v>
      </c>
      <c r="Q413" s="8" t="s">
        <v>68</v>
      </c>
      <c r="R413" s="8" t="s">
        <v>69</v>
      </c>
      <c r="S413" s="8" t="s">
        <v>2245</v>
      </c>
      <c r="T413" s="9">
        <v>800</v>
      </c>
      <c r="U413" s="9">
        <v>280</v>
      </c>
      <c r="V413" s="8" t="s">
        <v>2245</v>
      </c>
      <c r="W413" s="8">
        <v>0</v>
      </c>
      <c r="X413" s="8">
        <v>9</v>
      </c>
      <c r="Y413" s="8">
        <v>25.2</v>
      </c>
      <c r="Z413" s="8">
        <v>9</v>
      </c>
      <c r="AA413" s="8">
        <v>25.2</v>
      </c>
      <c r="AB413" s="8">
        <v>0</v>
      </c>
      <c r="AC413" s="8">
        <v>0</v>
      </c>
      <c r="AD413" s="8">
        <v>0</v>
      </c>
      <c r="AE413" s="8">
        <v>50.4</v>
      </c>
      <c r="AF413" s="8">
        <v>0</v>
      </c>
      <c r="AG413" s="8" t="s">
        <v>2403</v>
      </c>
      <c r="AH413" s="8" t="s">
        <v>7</v>
      </c>
      <c r="AI413" s="8">
        <v>400200</v>
      </c>
      <c r="AJ413" s="8" t="s">
        <v>60</v>
      </c>
      <c r="AK413" s="8">
        <v>1</v>
      </c>
      <c r="AL413" s="8">
        <v>0</v>
      </c>
      <c r="AM413" s="8" t="s">
        <v>1940</v>
      </c>
    </row>
    <row r="414" spans="7:39" ht="12.75" customHeight="1">
      <c r="G414" s="347"/>
      <c r="H414" s="6" t="s">
        <v>3124</v>
      </c>
      <c r="I414" s="8" t="s">
        <v>2248</v>
      </c>
      <c r="J414" s="8" t="s">
        <v>96</v>
      </c>
      <c r="K414" s="8" t="s">
        <v>3149</v>
      </c>
      <c r="L414" s="8" t="s">
        <v>97</v>
      </c>
      <c r="M414" s="8">
        <v>1377</v>
      </c>
      <c r="N414" s="7">
        <v>46241</v>
      </c>
      <c r="O414" s="8" t="s">
        <v>5</v>
      </c>
      <c r="P414" s="8" t="s">
        <v>106</v>
      </c>
      <c r="Q414" s="8" t="s">
        <v>68</v>
      </c>
      <c r="R414" s="8" t="s">
        <v>69</v>
      </c>
      <c r="S414" s="8" t="s">
        <v>2245</v>
      </c>
      <c r="T414" s="9">
        <v>1680</v>
      </c>
      <c r="U414" s="9">
        <v>588</v>
      </c>
      <c r="V414" s="8" t="s">
        <v>2245</v>
      </c>
      <c r="W414" s="8">
        <v>1421</v>
      </c>
      <c r="X414" s="8">
        <v>9</v>
      </c>
      <c r="Y414" s="8">
        <v>52.92</v>
      </c>
      <c r="Z414" s="8">
        <v>9</v>
      </c>
      <c r="AA414" s="8">
        <v>52.92</v>
      </c>
      <c r="AB414" s="8">
        <v>0</v>
      </c>
      <c r="AC414" s="8">
        <v>0</v>
      </c>
      <c r="AD414" s="8">
        <v>0</v>
      </c>
      <c r="AE414" s="8">
        <v>105.84</v>
      </c>
      <c r="AF414" s="8">
        <v>0</v>
      </c>
      <c r="AG414" s="8" t="s">
        <v>2403</v>
      </c>
      <c r="AH414" s="8" t="s">
        <v>7</v>
      </c>
      <c r="AI414" s="8">
        <v>400200</v>
      </c>
      <c r="AJ414" s="8" t="s">
        <v>60</v>
      </c>
      <c r="AK414" s="8">
        <v>1</v>
      </c>
      <c r="AL414" s="8">
        <v>0</v>
      </c>
      <c r="AM414" s="8" t="s">
        <v>1940</v>
      </c>
    </row>
    <row r="415" spans="7:39" ht="12.75" customHeight="1">
      <c r="G415" s="347"/>
      <c r="H415" s="6" t="s">
        <v>3124</v>
      </c>
      <c r="I415" s="8" t="s">
        <v>2248</v>
      </c>
      <c r="J415" s="8" t="s">
        <v>96</v>
      </c>
      <c r="K415" s="8" t="s">
        <v>3149</v>
      </c>
      <c r="L415" s="8" t="s">
        <v>97</v>
      </c>
      <c r="M415" s="8">
        <v>1377</v>
      </c>
      <c r="N415" s="7">
        <v>46241</v>
      </c>
      <c r="O415" s="8" t="s">
        <v>5</v>
      </c>
      <c r="P415" s="8" t="s">
        <v>106</v>
      </c>
      <c r="Q415" s="8" t="s">
        <v>68</v>
      </c>
      <c r="R415" s="8" t="s">
        <v>69</v>
      </c>
      <c r="S415" s="8" t="s">
        <v>2245</v>
      </c>
      <c r="T415" s="9">
        <v>81</v>
      </c>
      <c r="U415" s="9">
        <v>28.35</v>
      </c>
      <c r="V415" s="8" t="s">
        <v>2245</v>
      </c>
      <c r="W415" s="8">
        <v>0</v>
      </c>
      <c r="X415" s="8">
        <v>9</v>
      </c>
      <c r="Y415" s="8">
        <v>2.5499999999999998</v>
      </c>
      <c r="Z415" s="8">
        <v>9</v>
      </c>
      <c r="AA415" s="8">
        <v>2.5499999999999998</v>
      </c>
      <c r="AB415" s="8">
        <v>0</v>
      </c>
      <c r="AC415" s="8">
        <v>0</v>
      </c>
      <c r="AD415" s="8">
        <v>0</v>
      </c>
      <c r="AE415" s="8">
        <v>5.0999999999999996</v>
      </c>
      <c r="AF415" s="8">
        <v>0</v>
      </c>
      <c r="AG415" s="8" t="s">
        <v>2403</v>
      </c>
      <c r="AH415" s="8" t="s">
        <v>7</v>
      </c>
      <c r="AI415" s="8">
        <v>400200</v>
      </c>
      <c r="AJ415" s="8" t="s">
        <v>60</v>
      </c>
      <c r="AK415" s="8">
        <v>1</v>
      </c>
      <c r="AL415" s="8">
        <v>0</v>
      </c>
      <c r="AM415" s="8" t="s">
        <v>1940</v>
      </c>
    </row>
    <row r="416" spans="7:39" ht="12.75" customHeight="1">
      <c r="G416" s="347"/>
      <c r="H416" s="6" t="s">
        <v>3124</v>
      </c>
      <c r="I416" s="8" t="s">
        <v>2248</v>
      </c>
      <c r="J416" s="8" t="s">
        <v>96</v>
      </c>
      <c r="K416" s="8" t="s">
        <v>3149</v>
      </c>
      <c r="L416" s="8" t="s">
        <v>97</v>
      </c>
      <c r="M416" s="8">
        <v>1377</v>
      </c>
      <c r="N416" s="7">
        <v>46241</v>
      </c>
      <c r="O416" s="8" t="s">
        <v>5</v>
      </c>
      <c r="P416" s="8" t="s">
        <v>106</v>
      </c>
      <c r="Q416" s="8" t="s">
        <v>68</v>
      </c>
      <c r="R416" s="8" t="s">
        <v>69</v>
      </c>
      <c r="S416" s="8" t="s">
        <v>2245</v>
      </c>
      <c r="T416" s="9">
        <v>1680</v>
      </c>
      <c r="U416" s="9">
        <v>588</v>
      </c>
      <c r="V416" s="8" t="s">
        <v>2245</v>
      </c>
      <c r="W416" s="8">
        <v>0</v>
      </c>
      <c r="X416" s="8">
        <v>9</v>
      </c>
      <c r="Y416" s="8">
        <v>52.92</v>
      </c>
      <c r="Z416" s="8">
        <v>9</v>
      </c>
      <c r="AA416" s="8">
        <v>52.92</v>
      </c>
      <c r="AB416" s="8">
        <v>0</v>
      </c>
      <c r="AC416" s="8">
        <v>0</v>
      </c>
      <c r="AD416" s="8">
        <v>0</v>
      </c>
      <c r="AE416" s="8">
        <v>105.84</v>
      </c>
      <c r="AF416" s="8">
        <v>0</v>
      </c>
      <c r="AG416" s="8" t="s">
        <v>2403</v>
      </c>
      <c r="AH416" s="8" t="s">
        <v>7</v>
      </c>
      <c r="AI416" s="8">
        <v>400200</v>
      </c>
      <c r="AJ416" s="8" t="s">
        <v>60</v>
      </c>
      <c r="AK416" s="8">
        <v>1</v>
      </c>
      <c r="AL416" s="8">
        <v>0</v>
      </c>
      <c r="AM416" s="8" t="s">
        <v>1940</v>
      </c>
    </row>
    <row r="417" spans="7:39" ht="12.75" customHeight="1">
      <c r="G417" s="347"/>
      <c r="H417" s="6" t="s">
        <v>3124</v>
      </c>
      <c r="I417" s="8" t="s">
        <v>2196</v>
      </c>
      <c r="J417" s="8" t="s">
        <v>113</v>
      </c>
      <c r="K417" s="8" t="s">
        <v>3150</v>
      </c>
      <c r="L417" s="8" t="s">
        <v>114</v>
      </c>
      <c r="M417" s="8" t="s">
        <v>3151</v>
      </c>
      <c r="N417" s="7" t="s">
        <v>3124</v>
      </c>
      <c r="O417" s="8" t="s">
        <v>4</v>
      </c>
      <c r="P417" s="8" t="s">
        <v>115</v>
      </c>
      <c r="Q417" s="8" t="s">
        <v>4</v>
      </c>
      <c r="R417" s="8" t="s">
        <v>4</v>
      </c>
      <c r="S417" s="8" t="s">
        <v>808</v>
      </c>
      <c r="T417" s="9">
        <v>180</v>
      </c>
      <c r="U417" s="9">
        <v>92520</v>
      </c>
      <c r="V417" s="8" t="s">
        <v>808</v>
      </c>
      <c r="W417" s="8">
        <v>107940</v>
      </c>
      <c r="X417" s="8">
        <v>2.5</v>
      </c>
      <c r="Y417" s="8">
        <v>2313</v>
      </c>
      <c r="Z417" s="8">
        <v>2.5</v>
      </c>
      <c r="AA417" s="8">
        <v>2313</v>
      </c>
      <c r="AB417" s="8">
        <v>0</v>
      </c>
      <c r="AC417" s="8">
        <v>0</v>
      </c>
      <c r="AD417" s="8">
        <v>0</v>
      </c>
      <c r="AE417" s="8">
        <v>4626</v>
      </c>
      <c r="AF417" s="8">
        <v>0</v>
      </c>
      <c r="AG417" s="8" t="s">
        <v>2197</v>
      </c>
      <c r="AH417" s="8" t="s">
        <v>1</v>
      </c>
      <c r="AI417" s="8">
        <v>44152000</v>
      </c>
      <c r="AJ417" s="8" t="s">
        <v>60</v>
      </c>
      <c r="AK417" s="8">
        <v>1</v>
      </c>
      <c r="AL417" s="8">
        <v>0</v>
      </c>
      <c r="AM417" s="8" t="s">
        <v>1940</v>
      </c>
    </row>
    <row r="418" spans="7:39" ht="12.75" customHeight="1">
      <c r="G418" s="347"/>
      <c r="H418" s="6" t="s">
        <v>3124</v>
      </c>
      <c r="I418" s="8" t="s">
        <v>2196</v>
      </c>
      <c r="J418" s="8" t="s">
        <v>113</v>
      </c>
      <c r="K418" s="8" t="s">
        <v>3150</v>
      </c>
      <c r="L418" s="8" t="s">
        <v>114</v>
      </c>
      <c r="M418" s="8" t="s">
        <v>3151</v>
      </c>
      <c r="N418" s="7" t="s">
        <v>3124</v>
      </c>
      <c r="O418" s="8" t="s">
        <v>4</v>
      </c>
      <c r="P418" s="8" t="s">
        <v>115</v>
      </c>
      <c r="Q418" s="8" t="s">
        <v>4</v>
      </c>
      <c r="R418" s="8" t="s">
        <v>4</v>
      </c>
      <c r="S418" s="8" t="s">
        <v>808</v>
      </c>
      <c r="T418" s="9">
        <v>20</v>
      </c>
      <c r="U418" s="9">
        <v>10280</v>
      </c>
      <c r="V418" s="8" t="s">
        <v>808</v>
      </c>
      <c r="W418" s="8">
        <v>0</v>
      </c>
      <c r="X418" s="8">
        <v>2.5</v>
      </c>
      <c r="Y418" s="8">
        <v>257</v>
      </c>
      <c r="Z418" s="8">
        <v>2.5</v>
      </c>
      <c r="AA418" s="8">
        <v>257</v>
      </c>
      <c r="AB418" s="8">
        <v>0</v>
      </c>
      <c r="AC418" s="8">
        <v>0</v>
      </c>
      <c r="AD418" s="8">
        <v>0</v>
      </c>
      <c r="AE418" s="8">
        <v>514</v>
      </c>
      <c r="AF418" s="8">
        <v>0</v>
      </c>
      <c r="AG418" s="8" t="s">
        <v>2197</v>
      </c>
      <c r="AH418" s="8" t="s">
        <v>1</v>
      </c>
      <c r="AI418" s="8">
        <v>44152000</v>
      </c>
      <c r="AJ418" s="8" t="s">
        <v>60</v>
      </c>
      <c r="AK418" s="8">
        <v>1</v>
      </c>
      <c r="AL418" s="8">
        <v>0</v>
      </c>
      <c r="AM418" s="8" t="s">
        <v>1940</v>
      </c>
    </row>
    <row r="419" spans="7:39" ht="12.75" customHeight="1">
      <c r="G419" s="347"/>
      <c r="H419" s="6" t="s">
        <v>3124</v>
      </c>
      <c r="I419" s="8" t="s">
        <v>774</v>
      </c>
      <c r="J419" s="8" t="s">
        <v>96</v>
      </c>
      <c r="K419" s="8" t="s">
        <v>3152</v>
      </c>
      <c r="L419" s="8" t="s">
        <v>97</v>
      </c>
      <c r="M419" s="8">
        <v>9440</v>
      </c>
      <c r="N419" s="7">
        <v>46210</v>
      </c>
      <c r="O419" s="8" t="s">
        <v>5</v>
      </c>
      <c r="P419" s="8" t="s">
        <v>106</v>
      </c>
      <c r="Q419" s="8" t="s">
        <v>68</v>
      </c>
      <c r="R419" s="8" t="s">
        <v>69</v>
      </c>
      <c r="S419" s="8" t="s">
        <v>9</v>
      </c>
      <c r="T419" s="9">
        <v>2060.11</v>
      </c>
      <c r="U419" s="9">
        <v>2369.13</v>
      </c>
      <c r="V419" s="8" t="s">
        <v>9</v>
      </c>
      <c r="W419" s="8">
        <v>14754</v>
      </c>
      <c r="X419" s="8">
        <v>9</v>
      </c>
      <c r="Y419" s="8">
        <v>213.22</v>
      </c>
      <c r="Z419" s="8">
        <v>9</v>
      </c>
      <c r="AA419" s="8">
        <v>213.22</v>
      </c>
      <c r="AB419" s="8">
        <v>0</v>
      </c>
      <c r="AC419" s="8">
        <v>0</v>
      </c>
      <c r="AD419" s="8">
        <v>0</v>
      </c>
      <c r="AE419" s="8">
        <v>426.44</v>
      </c>
      <c r="AF419" s="8">
        <v>0</v>
      </c>
      <c r="AG419" s="8" t="s">
        <v>2278</v>
      </c>
      <c r="AH419" s="8" t="s">
        <v>10</v>
      </c>
      <c r="AI419" s="8">
        <v>37013000</v>
      </c>
      <c r="AJ419" s="8" t="s">
        <v>60</v>
      </c>
      <c r="AK419" s="8">
        <v>1</v>
      </c>
      <c r="AL419" s="8">
        <v>0</v>
      </c>
      <c r="AM419" s="8" t="s">
        <v>1940</v>
      </c>
    </row>
    <row r="420" spans="7:39" ht="12.75" customHeight="1">
      <c r="G420" s="347"/>
      <c r="H420" s="6" t="s">
        <v>3124</v>
      </c>
      <c r="I420" s="8" t="s">
        <v>774</v>
      </c>
      <c r="J420" s="8" t="s">
        <v>96</v>
      </c>
      <c r="K420" s="8" t="s">
        <v>3152</v>
      </c>
      <c r="L420" s="8" t="s">
        <v>97</v>
      </c>
      <c r="M420" s="8">
        <v>9440</v>
      </c>
      <c r="N420" s="7">
        <v>46210</v>
      </c>
      <c r="O420" s="8" t="s">
        <v>5</v>
      </c>
      <c r="P420" s="8" t="s">
        <v>106</v>
      </c>
      <c r="Q420" s="8" t="s">
        <v>68</v>
      </c>
      <c r="R420" s="8" t="s">
        <v>69</v>
      </c>
      <c r="S420" s="8" t="s">
        <v>9</v>
      </c>
      <c r="T420" s="9">
        <v>1993.38</v>
      </c>
      <c r="U420" s="9">
        <v>2292.39</v>
      </c>
      <c r="V420" s="8" t="s">
        <v>9</v>
      </c>
      <c r="W420" s="8">
        <v>0</v>
      </c>
      <c r="X420" s="8">
        <v>9</v>
      </c>
      <c r="Y420" s="8">
        <v>206.31</v>
      </c>
      <c r="Z420" s="8">
        <v>9</v>
      </c>
      <c r="AA420" s="8">
        <v>206.31</v>
      </c>
      <c r="AB420" s="8">
        <v>0</v>
      </c>
      <c r="AC420" s="8">
        <v>0</v>
      </c>
      <c r="AD420" s="8">
        <v>0</v>
      </c>
      <c r="AE420" s="8">
        <v>412.62</v>
      </c>
      <c r="AF420" s="8">
        <v>0</v>
      </c>
      <c r="AG420" s="8" t="s">
        <v>2278</v>
      </c>
      <c r="AH420" s="8" t="s">
        <v>10</v>
      </c>
      <c r="AI420" s="8">
        <v>37013000</v>
      </c>
      <c r="AJ420" s="8" t="s">
        <v>60</v>
      </c>
      <c r="AK420" s="8">
        <v>1</v>
      </c>
      <c r="AL420" s="8">
        <v>0</v>
      </c>
      <c r="AM420" s="8" t="s">
        <v>1940</v>
      </c>
    </row>
    <row r="421" spans="7:39" ht="12.75" customHeight="1">
      <c r="G421" s="347"/>
      <c r="H421" s="6" t="s">
        <v>3124</v>
      </c>
      <c r="I421" s="8" t="s">
        <v>774</v>
      </c>
      <c r="J421" s="8" t="s">
        <v>96</v>
      </c>
      <c r="K421" s="8" t="s">
        <v>3152</v>
      </c>
      <c r="L421" s="8" t="s">
        <v>97</v>
      </c>
      <c r="M421" s="8">
        <v>9440</v>
      </c>
      <c r="N421" s="7">
        <v>46210</v>
      </c>
      <c r="O421" s="8" t="s">
        <v>5</v>
      </c>
      <c r="P421" s="8" t="s">
        <v>106</v>
      </c>
      <c r="Q421" s="8" t="s">
        <v>68</v>
      </c>
      <c r="R421" s="8" t="s">
        <v>69</v>
      </c>
      <c r="S421" s="8" t="s">
        <v>9</v>
      </c>
      <c r="T421" s="9">
        <v>3422.2</v>
      </c>
      <c r="U421" s="9">
        <v>3935.53</v>
      </c>
      <c r="V421" s="8" t="s">
        <v>9</v>
      </c>
      <c r="W421" s="8">
        <v>0</v>
      </c>
      <c r="X421" s="8">
        <v>9</v>
      </c>
      <c r="Y421" s="8">
        <v>354.2</v>
      </c>
      <c r="Z421" s="8">
        <v>9</v>
      </c>
      <c r="AA421" s="8">
        <v>354.2</v>
      </c>
      <c r="AB421" s="8">
        <v>0</v>
      </c>
      <c r="AC421" s="8">
        <v>0</v>
      </c>
      <c r="AD421" s="8">
        <v>0</v>
      </c>
      <c r="AE421" s="8">
        <v>708.4</v>
      </c>
      <c r="AF421" s="8">
        <v>0</v>
      </c>
      <c r="AG421" s="8" t="s">
        <v>2278</v>
      </c>
      <c r="AH421" s="8" t="s">
        <v>10</v>
      </c>
      <c r="AI421" s="8">
        <v>37013000</v>
      </c>
      <c r="AJ421" s="8" t="s">
        <v>60</v>
      </c>
      <c r="AK421" s="8">
        <v>1</v>
      </c>
      <c r="AL421" s="8">
        <v>0</v>
      </c>
      <c r="AM421" s="8" t="s">
        <v>1940</v>
      </c>
    </row>
    <row r="422" spans="7:39" ht="12.75" customHeight="1">
      <c r="G422" s="347"/>
      <c r="H422" s="6" t="s">
        <v>3124</v>
      </c>
      <c r="I422" s="8" t="s">
        <v>774</v>
      </c>
      <c r="J422" s="8" t="s">
        <v>96</v>
      </c>
      <c r="K422" s="8" t="s">
        <v>3152</v>
      </c>
      <c r="L422" s="8" t="s">
        <v>97</v>
      </c>
      <c r="M422" s="8">
        <v>9440</v>
      </c>
      <c r="N422" s="7">
        <v>46210</v>
      </c>
      <c r="O422" s="8" t="s">
        <v>5</v>
      </c>
      <c r="P422" s="8" t="s">
        <v>106</v>
      </c>
      <c r="Q422" s="8" t="s">
        <v>68</v>
      </c>
      <c r="R422" s="8" t="s">
        <v>69</v>
      </c>
      <c r="S422" s="8" t="s">
        <v>9</v>
      </c>
      <c r="T422" s="9">
        <v>3396.5</v>
      </c>
      <c r="U422" s="9">
        <v>3905.98</v>
      </c>
      <c r="V422" s="8" t="s">
        <v>9</v>
      </c>
      <c r="W422" s="8">
        <v>0</v>
      </c>
      <c r="X422" s="8">
        <v>9</v>
      </c>
      <c r="Y422" s="8">
        <v>351.54</v>
      </c>
      <c r="Z422" s="8">
        <v>9</v>
      </c>
      <c r="AA422" s="8">
        <v>351.54</v>
      </c>
      <c r="AB422" s="8">
        <v>0</v>
      </c>
      <c r="AC422" s="8">
        <v>0</v>
      </c>
      <c r="AD422" s="8">
        <v>0</v>
      </c>
      <c r="AE422" s="8">
        <v>703.08</v>
      </c>
      <c r="AF422" s="8">
        <v>0</v>
      </c>
      <c r="AG422" s="8" t="s">
        <v>2278</v>
      </c>
      <c r="AH422" s="8" t="s">
        <v>10</v>
      </c>
      <c r="AI422" s="8">
        <v>37013000</v>
      </c>
      <c r="AJ422" s="8" t="s">
        <v>60</v>
      </c>
      <c r="AK422" s="8">
        <v>1</v>
      </c>
      <c r="AL422" s="8">
        <v>0</v>
      </c>
      <c r="AM422" s="8" t="s">
        <v>1940</v>
      </c>
    </row>
    <row r="423" spans="7:39" ht="12.75" customHeight="1">
      <c r="G423" s="347"/>
      <c r="H423" s="6" t="s">
        <v>3153</v>
      </c>
      <c r="I423" s="8" t="s">
        <v>2246</v>
      </c>
      <c r="J423" s="8" t="s">
        <v>96</v>
      </c>
      <c r="K423" s="8" t="s">
        <v>3154</v>
      </c>
      <c r="L423" s="8" t="s">
        <v>97</v>
      </c>
      <c r="M423" s="8" t="s">
        <v>3155</v>
      </c>
      <c r="N423" s="7" t="s">
        <v>2996</v>
      </c>
      <c r="O423" s="8" t="s">
        <v>2</v>
      </c>
      <c r="P423" s="8" t="s">
        <v>1697</v>
      </c>
      <c r="Q423" s="8" t="s">
        <v>68</v>
      </c>
      <c r="R423" s="8" t="s">
        <v>69</v>
      </c>
      <c r="S423" s="8" t="s">
        <v>2597</v>
      </c>
      <c r="T423" s="9">
        <v>50</v>
      </c>
      <c r="U423" s="9">
        <v>6900</v>
      </c>
      <c r="V423" s="8" t="s">
        <v>2597</v>
      </c>
      <c r="W423" s="8">
        <v>15519</v>
      </c>
      <c r="X423" s="8">
        <v>2.5</v>
      </c>
      <c r="Y423" s="8">
        <v>172.5</v>
      </c>
      <c r="Z423" s="8">
        <v>2.5</v>
      </c>
      <c r="AA423" s="8">
        <v>172.5</v>
      </c>
      <c r="AB423" s="8">
        <v>0</v>
      </c>
      <c r="AC423" s="8">
        <v>0</v>
      </c>
      <c r="AD423" s="8">
        <v>7</v>
      </c>
      <c r="AE423" s="8">
        <v>352</v>
      </c>
      <c r="AF423" s="8">
        <v>0</v>
      </c>
      <c r="AG423" s="8" t="s">
        <v>2474</v>
      </c>
      <c r="AH423" s="8" t="s">
        <v>7</v>
      </c>
      <c r="AI423" s="8">
        <v>73181500</v>
      </c>
      <c r="AJ423" s="8" t="s">
        <v>60</v>
      </c>
      <c r="AK423" s="8">
        <v>1</v>
      </c>
      <c r="AL423" s="8">
        <v>0</v>
      </c>
      <c r="AM423" s="8" t="s">
        <v>1940</v>
      </c>
    </row>
    <row r="424" spans="7:39" ht="12.75" customHeight="1">
      <c r="G424" s="347"/>
      <c r="H424" s="6" t="s">
        <v>3153</v>
      </c>
      <c r="I424" s="8" t="s">
        <v>2246</v>
      </c>
      <c r="J424" s="8" t="s">
        <v>96</v>
      </c>
      <c r="K424" s="8" t="s">
        <v>3154</v>
      </c>
      <c r="L424" s="8" t="s">
        <v>97</v>
      </c>
      <c r="M424" s="8" t="s">
        <v>3155</v>
      </c>
      <c r="N424" s="8" t="s">
        <v>2996</v>
      </c>
      <c r="O424" s="8" t="s">
        <v>2</v>
      </c>
      <c r="P424" s="8" t="s">
        <v>1697</v>
      </c>
      <c r="Q424" s="8" t="s">
        <v>68</v>
      </c>
      <c r="R424" s="8" t="s">
        <v>69</v>
      </c>
      <c r="S424" s="8" t="s">
        <v>2598</v>
      </c>
      <c r="T424" s="9">
        <v>30</v>
      </c>
      <c r="U424" s="9">
        <v>7740</v>
      </c>
      <c r="V424" s="8" t="s">
        <v>2598</v>
      </c>
      <c r="W424" s="8">
        <v>0</v>
      </c>
      <c r="X424" s="8">
        <v>2.5</v>
      </c>
      <c r="Y424" s="8">
        <v>193.5</v>
      </c>
      <c r="Z424" s="8">
        <v>2.5</v>
      </c>
      <c r="AA424" s="8">
        <v>193.5</v>
      </c>
      <c r="AB424" s="8">
        <v>0</v>
      </c>
      <c r="AC424" s="8">
        <v>0</v>
      </c>
      <c r="AD424" s="8">
        <v>7</v>
      </c>
      <c r="AE424" s="8">
        <v>394</v>
      </c>
      <c r="AF424" s="8">
        <v>0</v>
      </c>
      <c r="AG424" s="8" t="s">
        <v>2474</v>
      </c>
      <c r="AH424" s="8" t="s">
        <v>7</v>
      </c>
      <c r="AI424" s="8">
        <v>84529099</v>
      </c>
      <c r="AJ424" s="8" t="s">
        <v>60</v>
      </c>
      <c r="AK424" s="8">
        <v>1</v>
      </c>
      <c r="AL424" s="8">
        <v>0</v>
      </c>
      <c r="AM424" s="8" t="s">
        <v>1940</v>
      </c>
    </row>
    <row r="425" spans="7:39" ht="12.75" customHeight="1">
      <c r="G425" s="347"/>
      <c r="H425" s="6" t="s">
        <v>3153</v>
      </c>
      <c r="I425" s="8" t="s">
        <v>2246</v>
      </c>
      <c r="J425" s="8" t="s">
        <v>96</v>
      </c>
      <c r="K425" s="8" t="s">
        <v>3156</v>
      </c>
      <c r="L425" s="8" t="s">
        <v>97</v>
      </c>
      <c r="M425" s="8" t="s">
        <v>3157</v>
      </c>
      <c r="N425" s="8" t="s">
        <v>3033</v>
      </c>
      <c r="O425" s="8" t="s">
        <v>2</v>
      </c>
      <c r="P425" s="8" t="s">
        <v>1697</v>
      </c>
      <c r="Q425" s="8" t="s">
        <v>68</v>
      </c>
      <c r="R425" s="8" t="s">
        <v>69</v>
      </c>
      <c r="S425" s="8" t="s">
        <v>2976</v>
      </c>
      <c r="T425" s="9">
        <v>10</v>
      </c>
      <c r="U425" s="9">
        <v>29080</v>
      </c>
      <c r="V425" s="8" t="s">
        <v>2976</v>
      </c>
      <c r="W425" s="8">
        <v>37832</v>
      </c>
      <c r="X425" s="8">
        <v>2.5</v>
      </c>
      <c r="Y425" s="8">
        <v>727</v>
      </c>
      <c r="Z425" s="8">
        <v>2.5</v>
      </c>
      <c r="AA425" s="8">
        <v>727</v>
      </c>
      <c r="AB425" s="8">
        <v>0</v>
      </c>
      <c r="AC425" s="8">
        <v>0</v>
      </c>
      <c r="AD425" s="8">
        <v>2.5</v>
      </c>
      <c r="AE425" s="8">
        <v>1456.5</v>
      </c>
      <c r="AF425" s="8">
        <v>0</v>
      </c>
      <c r="AG425" s="8" t="s">
        <v>2474</v>
      </c>
      <c r="AH425" s="8" t="s">
        <v>1</v>
      </c>
      <c r="AI425" s="8">
        <v>84529099</v>
      </c>
      <c r="AJ425" s="8" t="s">
        <v>60</v>
      </c>
      <c r="AK425" s="8">
        <v>1</v>
      </c>
      <c r="AL425" s="8">
        <v>0</v>
      </c>
      <c r="AM425" s="8" t="s">
        <v>1940</v>
      </c>
    </row>
    <row r="426" spans="7:39" ht="12.75" customHeight="1">
      <c r="G426" s="347"/>
      <c r="H426" s="6" t="s">
        <v>3153</v>
      </c>
      <c r="I426" s="8" t="s">
        <v>2246</v>
      </c>
      <c r="J426" s="8" t="s">
        <v>96</v>
      </c>
      <c r="K426" s="8" t="s">
        <v>3156</v>
      </c>
      <c r="L426" s="8" t="s">
        <v>97</v>
      </c>
      <c r="M426" s="8" t="s">
        <v>3157</v>
      </c>
      <c r="N426" s="8" t="s">
        <v>3033</v>
      </c>
      <c r="O426" s="8" t="s">
        <v>2</v>
      </c>
      <c r="P426" s="8" t="s">
        <v>1697</v>
      </c>
      <c r="Q426" s="8" t="s">
        <v>68</v>
      </c>
      <c r="R426" s="8" t="s">
        <v>69</v>
      </c>
      <c r="S426" s="8" t="s">
        <v>2597</v>
      </c>
      <c r="T426" s="9">
        <v>50</v>
      </c>
      <c r="U426" s="9">
        <v>6900</v>
      </c>
      <c r="V426" s="8" t="s">
        <v>2597</v>
      </c>
      <c r="W426" s="8">
        <v>0</v>
      </c>
      <c r="X426" s="8">
        <v>2.5</v>
      </c>
      <c r="Y426" s="8">
        <v>172.5</v>
      </c>
      <c r="Z426" s="8">
        <v>2.5</v>
      </c>
      <c r="AA426" s="8">
        <v>172.5</v>
      </c>
      <c r="AB426" s="8">
        <v>0</v>
      </c>
      <c r="AC426" s="8">
        <v>0</v>
      </c>
      <c r="AD426" s="8">
        <v>2.5</v>
      </c>
      <c r="AE426" s="8">
        <v>347.5</v>
      </c>
      <c r="AF426" s="8">
        <v>0</v>
      </c>
      <c r="AG426" s="8" t="s">
        <v>2474</v>
      </c>
      <c r="AH426" s="8" t="s">
        <v>7</v>
      </c>
      <c r="AI426" s="8">
        <v>73181500</v>
      </c>
      <c r="AJ426" s="8" t="s">
        <v>60</v>
      </c>
      <c r="AK426" s="8">
        <v>1</v>
      </c>
      <c r="AL426" s="8">
        <v>0</v>
      </c>
      <c r="AM426" s="8" t="s">
        <v>1940</v>
      </c>
    </row>
    <row r="427" spans="7:39" ht="12.75" customHeight="1">
      <c r="G427" s="347"/>
      <c r="H427" s="6" t="s">
        <v>3153</v>
      </c>
      <c r="I427" s="8" t="s">
        <v>87</v>
      </c>
      <c r="J427" s="8" t="s">
        <v>96</v>
      </c>
      <c r="K427" s="8" t="s">
        <v>3158</v>
      </c>
      <c r="L427" s="8" t="s">
        <v>97</v>
      </c>
      <c r="M427" s="8" t="s">
        <v>3159</v>
      </c>
      <c r="N427" s="8" t="s">
        <v>3153</v>
      </c>
      <c r="O427" s="8" t="s">
        <v>2</v>
      </c>
      <c r="P427" s="8" t="s">
        <v>67</v>
      </c>
      <c r="Q427" s="8" t="s">
        <v>68</v>
      </c>
      <c r="R427" s="8" t="s">
        <v>69</v>
      </c>
      <c r="S427" s="8" t="s">
        <v>70</v>
      </c>
      <c r="T427" s="9">
        <v>335</v>
      </c>
      <c r="U427" s="9">
        <v>16080</v>
      </c>
      <c r="V427" s="8" t="s">
        <v>70</v>
      </c>
      <c r="W427" s="8">
        <v>18958.32</v>
      </c>
      <c r="X427" s="8">
        <v>9</v>
      </c>
      <c r="Y427" s="8">
        <v>1447.2</v>
      </c>
      <c r="Z427" s="8">
        <v>9</v>
      </c>
      <c r="AA427" s="8">
        <v>1447.2</v>
      </c>
      <c r="AB427" s="8">
        <v>0</v>
      </c>
      <c r="AC427" s="8">
        <v>0</v>
      </c>
      <c r="AD427" s="8">
        <v>0</v>
      </c>
      <c r="AE427" s="8">
        <v>2894.4</v>
      </c>
      <c r="AF427" s="8">
        <v>0</v>
      </c>
      <c r="AG427" s="8" t="s">
        <v>65</v>
      </c>
      <c r="AH427" s="8" t="s">
        <v>11</v>
      </c>
      <c r="AI427" s="8">
        <v>73063090</v>
      </c>
      <c r="AJ427" s="8" t="s">
        <v>60</v>
      </c>
      <c r="AK427" s="8">
        <v>1</v>
      </c>
      <c r="AL427" s="8">
        <v>0</v>
      </c>
      <c r="AM427" s="8" t="s">
        <v>1940</v>
      </c>
    </row>
    <row r="428" spans="7:39" ht="12.75" customHeight="1">
      <c r="G428" s="347"/>
      <c r="H428" s="6" t="s">
        <v>3153</v>
      </c>
      <c r="I428" s="8" t="s">
        <v>87</v>
      </c>
      <c r="J428" s="8" t="s">
        <v>91</v>
      </c>
      <c r="K428" s="8" t="s">
        <v>3160</v>
      </c>
      <c r="L428" s="8" t="s">
        <v>98</v>
      </c>
      <c r="M428" s="8" t="s">
        <v>3161</v>
      </c>
      <c r="N428" s="8" t="s">
        <v>3153</v>
      </c>
      <c r="O428" s="8" t="s">
        <v>13</v>
      </c>
      <c r="P428" s="8" t="s">
        <v>62</v>
      </c>
      <c r="Q428" s="8" t="s">
        <v>63</v>
      </c>
      <c r="R428" s="8" t="s">
        <v>64</v>
      </c>
      <c r="S428" s="8" t="s">
        <v>19</v>
      </c>
      <c r="T428" s="9">
        <v>239</v>
      </c>
      <c r="U428" s="9">
        <v>34533.11</v>
      </c>
      <c r="V428" s="8" t="s">
        <v>19</v>
      </c>
      <c r="W428" s="8">
        <v>40714.54</v>
      </c>
      <c r="X428" s="8">
        <v>9</v>
      </c>
      <c r="Y428" s="8">
        <v>3107.98</v>
      </c>
      <c r="Z428" s="8">
        <v>9</v>
      </c>
      <c r="AA428" s="8">
        <v>3107.98</v>
      </c>
      <c r="AB428" s="8">
        <v>0</v>
      </c>
      <c r="AC428" s="8">
        <v>0</v>
      </c>
      <c r="AD428" s="8">
        <v>0</v>
      </c>
      <c r="AE428" s="8">
        <v>6215.96</v>
      </c>
      <c r="AF428" s="8">
        <v>0</v>
      </c>
      <c r="AG428" s="8" t="s">
        <v>65</v>
      </c>
      <c r="AH428" s="8" t="s">
        <v>11</v>
      </c>
      <c r="AI428" s="8">
        <v>39269080</v>
      </c>
      <c r="AJ428" s="8" t="s">
        <v>60</v>
      </c>
      <c r="AK428" s="8">
        <v>1</v>
      </c>
      <c r="AL428" s="8">
        <v>0</v>
      </c>
      <c r="AM428" s="8" t="s">
        <v>1940</v>
      </c>
    </row>
    <row r="429" spans="7:39" ht="12.75" customHeight="1">
      <c r="G429" s="347"/>
      <c r="H429" s="6" t="s">
        <v>3153</v>
      </c>
      <c r="I429" s="8" t="s">
        <v>87</v>
      </c>
      <c r="J429" s="8" t="s">
        <v>91</v>
      </c>
      <c r="K429" s="8" t="s">
        <v>3162</v>
      </c>
      <c r="L429" s="8" t="s">
        <v>98</v>
      </c>
      <c r="M429" s="8" t="s">
        <v>3163</v>
      </c>
      <c r="N429" s="8" t="s">
        <v>3153</v>
      </c>
      <c r="O429" s="8" t="s">
        <v>13</v>
      </c>
      <c r="P429" s="8" t="s">
        <v>62</v>
      </c>
      <c r="Q429" s="8" t="s">
        <v>63</v>
      </c>
      <c r="R429" s="8" t="s">
        <v>64</v>
      </c>
      <c r="S429" s="8" t="s">
        <v>19</v>
      </c>
      <c r="T429" s="9">
        <v>6657</v>
      </c>
      <c r="U429" s="9">
        <v>961869.93</v>
      </c>
      <c r="V429" s="8" t="s">
        <v>19</v>
      </c>
      <c r="W429" s="8">
        <v>1418309.31</v>
      </c>
      <c r="X429" s="8">
        <v>9</v>
      </c>
      <c r="Y429" s="8">
        <v>86568.29</v>
      </c>
      <c r="Z429" s="8">
        <v>9</v>
      </c>
      <c r="AA429" s="8">
        <v>86568.29</v>
      </c>
      <c r="AB429" s="8">
        <v>0</v>
      </c>
      <c r="AC429" s="8">
        <v>0</v>
      </c>
      <c r="AD429" s="8">
        <v>0</v>
      </c>
      <c r="AE429" s="8">
        <v>173136.58</v>
      </c>
      <c r="AF429" s="8">
        <v>0</v>
      </c>
      <c r="AG429" s="8" t="s">
        <v>65</v>
      </c>
      <c r="AH429" s="8" t="s">
        <v>11</v>
      </c>
      <c r="AI429" s="8">
        <v>39269080</v>
      </c>
      <c r="AJ429" s="8" t="s">
        <v>60</v>
      </c>
      <c r="AK429" s="8">
        <v>1</v>
      </c>
      <c r="AL429" s="8">
        <v>0</v>
      </c>
      <c r="AM429" s="8" t="s">
        <v>1940</v>
      </c>
    </row>
    <row r="430" spans="7:39" ht="12.75" customHeight="1">
      <c r="G430" s="347"/>
      <c r="H430" s="6" t="s">
        <v>3153</v>
      </c>
      <c r="I430" s="8" t="s">
        <v>87</v>
      </c>
      <c r="J430" s="8" t="s">
        <v>91</v>
      </c>
      <c r="K430" s="8" t="s">
        <v>3162</v>
      </c>
      <c r="L430" s="8" t="s">
        <v>98</v>
      </c>
      <c r="M430" s="8" t="s">
        <v>3163</v>
      </c>
      <c r="N430" s="8" t="s">
        <v>3153</v>
      </c>
      <c r="O430" s="8" t="s">
        <v>13</v>
      </c>
      <c r="P430" s="8" t="s">
        <v>62</v>
      </c>
      <c r="Q430" s="8" t="s">
        <v>63</v>
      </c>
      <c r="R430" s="8" t="s">
        <v>64</v>
      </c>
      <c r="S430" s="8" t="s">
        <v>19</v>
      </c>
      <c r="T430" s="9">
        <v>1072</v>
      </c>
      <c r="U430" s="9">
        <v>157037.28</v>
      </c>
      <c r="V430" s="8" t="s">
        <v>19</v>
      </c>
      <c r="W430" s="8">
        <v>0</v>
      </c>
      <c r="X430" s="8">
        <v>9</v>
      </c>
      <c r="Y430" s="8">
        <v>14133.36</v>
      </c>
      <c r="Z430" s="8">
        <v>9</v>
      </c>
      <c r="AA430" s="8">
        <v>14133.36</v>
      </c>
      <c r="AB430" s="8">
        <v>0</v>
      </c>
      <c r="AC430" s="8">
        <v>0</v>
      </c>
      <c r="AD430" s="8">
        <v>0</v>
      </c>
      <c r="AE430" s="8">
        <v>28266.720000000001</v>
      </c>
      <c r="AF430" s="8">
        <v>0</v>
      </c>
      <c r="AG430" s="8" t="s">
        <v>65</v>
      </c>
      <c r="AH430" s="8" t="s">
        <v>11</v>
      </c>
      <c r="AI430" s="8">
        <v>39269080</v>
      </c>
      <c r="AJ430" s="8" t="s">
        <v>60</v>
      </c>
      <c r="AK430" s="8">
        <v>1</v>
      </c>
      <c r="AL430" s="8">
        <v>0</v>
      </c>
      <c r="AM430" s="8" t="s">
        <v>1940</v>
      </c>
    </row>
    <row r="431" spans="7:39" ht="12.75" customHeight="1">
      <c r="G431" s="347"/>
      <c r="H431" s="6" t="s">
        <v>3153</v>
      </c>
      <c r="I431" s="8" t="s">
        <v>87</v>
      </c>
      <c r="J431" s="8" t="s">
        <v>91</v>
      </c>
      <c r="K431" s="8" t="s">
        <v>3162</v>
      </c>
      <c r="L431" s="8" t="s">
        <v>98</v>
      </c>
      <c r="M431" s="7" t="s">
        <v>3163</v>
      </c>
      <c r="N431" s="8" t="s">
        <v>3153</v>
      </c>
      <c r="O431" s="8" t="s">
        <v>13</v>
      </c>
      <c r="P431" s="8" t="s">
        <v>62</v>
      </c>
      <c r="Q431" s="8" t="s">
        <v>63</v>
      </c>
      <c r="R431" s="8" t="s">
        <v>64</v>
      </c>
      <c r="S431" s="8" t="s">
        <v>19</v>
      </c>
      <c r="T431" s="9">
        <v>570</v>
      </c>
      <c r="U431" s="9">
        <v>84069.3</v>
      </c>
      <c r="V431" s="8" t="s">
        <v>19</v>
      </c>
      <c r="W431" s="8">
        <v>0</v>
      </c>
      <c r="X431" s="8">
        <v>9</v>
      </c>
      <c r="Y431" s="8">
        <v>7566.24</v>
      </c>
      <c r="Z431" s="8">
        <v>9</v>
      </c>
      <c r="AA431" s="8">
        <v>7566.24</v>
      </c>
      <c r="AB431" s="8">
        <v>0</v>
      </c>
      <c r="AC431" s="8">
        <v>0</v>
      </c>
      <c r="AD431" s="8">
        <v>0</v>
      </c>
      <c r="AE431" s="8">
        <v>15132.48</v>
      </c>
      <c r="AF431" s="8">
        <v>0</v>
      </c>
      <c r="AG431" s="8" t="s">
        <v>65</v>
      </c>
      <c r="AH431" s="8" t="s">
        <v>11</v>
      </c>
      <c r="AI431" s="8">
        <v>39269080</v>
      </c>
      <c r="AJ431" s="8" t="s">
        <v>60</v>
      </c>
      <c r="AK431" s="8">
        <v>1</v>
      </c>
      <c r="AL431" s="8">
        <v>0</v>
      </c>
      <c r="AM431" s="8" t="s">
        <v>1940</v>
      </c>
    </row>
    <row r="432" spans="7:39" ht="12.75" customHeight="1">
      <c r="G432" s="347"/>
      <c r="H432" s="6" t="s">
        <v>3153</v>
      </c>
      <c r="I432" s="8" t="s">
        <v>87</v>
      </c>
      <c r="J432" s="8" t="s">
        <v>91</v>
      </c>
      <c r="K432" s="8" t="s">
        <v>3164</v>
      </c>
      <c r="L432" s="8" t="s">
        <v>98</v>
      </c>
      <c r="M432" s="8" t="s">
        <v>3165</v>
      </c>
      <c r="N432" s="8" t="s">
        <v>3153</v>
      </c>
      <c r="O432" s="8" t="s">
        <v>13</v>
      </c>
      <c r="P432" s="8" t="s">
        <v>80</v>
      </c>
      <c r="Q432" s="8" t="s">
        <v>81</v>
      </c>
      <c r="R432" s="8" t="s">
        <v>82</v>
      </c>
      <c r="S432" s="8" t="s">
        <v>17</v>
      </c>
      <c r="T432" s="9">
        <v>99</v>
      </c>
      <c r="U432" s="9">
        <v>18887.22</v>
      </c>
      <c r="V432" s="8" t="s">
        <v>17</v>
      </c>
      <c r="W432" s="8">
        <v>833507.33</v>
      </c>
      <c r="X432" s="8">
        <v>9</v>
      </c>
      <c r="Y432" s="8">
        <v>1699.85</v>
      </c>
      <c r="Z432" s="8">
        <v>9</v>
      </c>
      <c r="AA432" s="8">
        <v>1699.85</v>
      </c>
      <c r="AB432" s="8">
        <v>0</v>
      </c>
      <c r="AC432" s="8">
        <v>0</v>
      </c>
      <c r="AD432" s="8">
        <v>0</v>
      </c>
      <c r="AE432" s="8">
        <v>3399.7</v>
      </c>
      <c r="AF432" s="8">
        <v>0</v>
      </c>
      <c r="AG432" s="8" t="s">
        <v>65</v>
      </c>
      <c r="AH432" s="8" t="s">
        <v>11</v>
      </c>
      <c r="AI432" s="8">
        <v>39200000</v>
      </c>
      <c r="AJ432" s="8" t="s">
        <v>60</v>
      </c>
      <c r="AK432" s="8">
        <v>1</v>
      </c>
      <c r="AL432" s="8">
        <v>0</v>
      </c>
      <c r="AM432" s="8" t="s">
        <v>1940</v>
      </c>
    </row>
    <row r="433" spans="7:39" ht="12.75" customHeight="1">
      <c r="G433" s="347"/>
      <c r="H433" s="6" t="s">
        <v>3153</v>
      </c>
      <c r="I433" s="8" t="s">
        <v>87</v>
      </c>
      <c r="J433" s="8" t="s">
        <v>91</v>
      </c>
      <c r="K433" s="8" t="s">
        <v>3164</v>
      </c>
      <c r="L433" s="8" t="s">
        <v>98</v>
      </c>
      <c r="M433" s="8" t="s">
        <v>3165</v>
      </c>
      <c r="N433" s="7" t="s">
        <v>3153</v>
      </c>
      <c r="O433" s="8" t="s">
        <v>13</v>
      </c>
      <c r="P433" s="8" t="s">
        <v>80</v>
      </c>
      <c r="Q433" s="8" t="s">
        <v>81</v>
      </c>
      <c r="R433" s="8" t="s">
        <v>82</v>
      </c>
      <c r="S433" s="8" t="s">
        <v>17</v>
      </c>
      <c r="T433" s="9">
        <v>591</v>
      </c>
      <c r="U433" s="9">
        <v>110386.98</v>
      </c>
      <c r="V433" s="8" t="s">
        <v>17</v>
      </c>
      <c r="W433" s="8">
        <v>0</v>
      </c>
      <c r="X433" s="8">
        <v>9</v>
      </c>
      <c r="Y433" s="8">
        <v>9934.83</v>
      </c>
      <c r="Z433" s="8">
        <v>9</v>
      </c>
      <c r="AA433" s="8">
        <v>9934.83</v>
      </c>
      <c r="AB433" s="8">
        <v>0</v>
      </c>
      <c r="AC433" s="8">
        <v>0</v>
      </c>
      <c r="AD433" s="8">
        <v>0</v>
      </c>
      <c r="AE433" s="8">
        <v>19869.66</v>
      </c>
      <c r="AF433" s="8">
        <v>0</v>
      </c>
      <c r="AG433" s="8" t="s">
        <v>65</v>
      </c>
      <c r="AH433" s="8" t="s">
        <v>11</v>
      </c>
      <c r="AI433" s="8">
        <v>39200000</v>
      </c>
      <c r="AJ433" s="8" t="s">
        <v>60</v>
      </c>
      <c r="AK433" s="8">
        <v>1</v>
      </c>
      <c r="AL433" s="8">
        <v>0</v>
      </c>
      <c r="AM433" s="8" t="s">
        <v>1940</v>
      </c>
    </row>
    <row r="434" spans="7:39" ht="12.75" customHeight="1">
      <c r="G434" s="347"/>
      <c r="H434" s="6" t="s">
        <v>3153</v>
      </c>
      <c r="I434" s="8" t="s">
        <v>87</v>
      </c>
      <c r="J434" s="8" t="s">
        <v>91</v>
      </c>
      <c r="K434" s="8" t="s">
        <v>3164</v>
      </c>
      <c r="L434" s="8" t="s">
        <v>98</v>
      </c>
      <c r="M434" s="8" t="s">
        <v>3165</v>
      </c>
      <c r="N434" s="7" t="s">
        <v>3153</v>
      </c>
      <c r="O434" s="8" t="s">
        <v>13</v>
      </c>
      <c r="P434" s="8" t="s">
        <v>62</v>
      </c>
      <c r="Q434" s="8" t="s">
        <v>63</v>
      </c>
      <c r="R434" s="8" t="s">
        <v>64</v>
      </c>
      <c r="S434" s="8" t="s">
        <v>19</v>
      </c>
      <c r="T434" s="9">
        <v>1793</v>
      </c>
      <c r="U434" s="9">
        <v>259070.57</v>
      </c>
      <c r="V434" s="8" t="s">
        <v>19</v>
      </c>
      <c r="W434" s="8">
        <v>0</v>
      </c>
      <c r="X434" s="8">
        <v>9</v>
      </c>
      <c r="Y434" s="8">
        <v>23316.35</v>
      </c>
      <c r="Z434" s="8">
        <v>9</v>
      </c>
      <c r="AA434" s="8">
        <v>23316.35</v>
      </c>
      <c r="AB434" s="8">
        <v>0</v>
      </c>
      <c r="AC434" s="8">
        <v>0</v>
      </c>
      <c r="AD434" s="8">
        <v>0</v>
      </c>
      <c r="AE434" s="8">
        <v>46632.7</v>
      </c>
      <c r="AF434" s="8">
        <v>0</v>
      </c>
      <c r="AG434" s="8" t="s">
        <v>65</v>
      </c>
      <c r="AH434" s="8" t="s">
        <v>11</v>
      </c>
      <c r="AI434" s="8">
        <v>39269080</v>
      </c>
      <c r="AJ434" s="8" t="s">
        <v>60</v>
      </c>
      <c r="AK434" s="8">
        <v>1</v>
      </c>
      <c r="AL434" s="8">
        <v>0</v>
      </c>
      <c r="AM434" s="8" t="s">
        <v>1940</v>
      </c>
    </row>
    <row r="435" spans="7:39" ht="12.75" customHeight="1">
      <c r="G435" s="347"/>
      <c r="H435" s="6" t="s">
        <v>3153</v>
      </c>
      <c r="I435" s="8" t="s">
        <v>87</v>
      </c>
      <c r="J435" s="8" t="s">
        <v>91</v>
      </c>
      <c r="K435" s="8" t="s">
        <v>3164</v>
      </c>
      <c r="L435" s="8" t="s">
        <v>98</v>
      </c>
      <c r="M435" s="8" t="s">
        <v>3165</v>
      </c>
      <c r="N435" s="7" t="s">
        <v>3153</v>
      </c>
      <c r="O435" s="8" t="s">
        <v>13</v>
      </c>
      <c r="P435" s="8" t="s">
        <v>62</v>
      </c>
      <c r="Q435" s="8" t="s">
        <v>76</v>
      </c>
      <c r="R435" s="8" t="s">
        <v>77</v>
      </c>
      <c r="S435" s="8" t="s">
        <v>21</v>
      </c>
      <c r="T435" s="9">
        <v>712</v>
      </c>
      <c r="U435" s="9">
        <v>107860.88</v>
      </c>
      <c r="V435" s="8" t="s">
        <v>21</v>
      </c>
      <c r="W435" s="8">
        <v>0</v>
      </c>
      <c r="X435" s="8">
        <v>9</v>
      </c>
      <c r="Y435" s="8">
        <v>9707.48</v>
      </c>
      <c r="Z435" s="8">
        <v>9</v>
      </c>
      <c r="AA435" s="8">
        <v>9707.48</v>
      </c>
      <c r="AB435" s="8">
        <v>0</v>
      </c>
      <c r="AC435" s="8">
        <v>0</v>
      </c>
      <c r="AD435" s="8">
        <v>0</v>
      </c>
      <c r="AE435" s="8">
        <v>19414.96</v>
      </c>
      <c r="AF435" s="8">
        <v>0</v>
      </c>
      <c r="AG435" s="8" t="s">
        <v>65</v>
      </c>
      <c r="AH435" s="8" t="s">
        <v>11</v>
      </c>
      <c r="AI435" s="8">
        <v>63053300</v>
      </c>
      <c r="AJ435" s="8" t="s">
        <v>60</v>
      </c>
      <c r="AK435" s="8">
        <v>1</v>
      </c>
      <c r="AL435" s="8">
        <v>0</v>
      </c>
      <c r="AM435" s="8" t="s">
        <v>1940</v>
      </c>
    </row>
    <row r="436" spans="7:39" ht="12.75" customHeight="1">
      <c r="G436" s="347"/>
      <c r="H436" s="6" t="s">
        <v>3153</v>
      </c>
      <c r="I436" s="8" t="s">
        <v>87</v>
      </c>
      <c r="J436" s="8" t="s">
        <v>91</v>
      </c>
      <c r="K436" s="8" t="s">
        <v>3164</v>
      </c>
      <c r="L436" s="8" t="s">
        <v>98</v>
      </c>
      <c r="M436" s="8" t="s">
        <v>3165</v>
      </c>
      <c r="N436" s="7" t="s">
        <v>3153</v>
      </c>
      <c r="O436" s="8" t="s">
        <v>13</v>
      </c>
      <c r="P436" s="8" t="s">
        <v>62</v>
      </c>
      <c r="Q436" s="8" t="s">
        <v>76</v>
      </c>
      <c r="R436" s="8" t="s">
        <v>77</v>
      </c>
      <c r="S436" s="8" t="s">
        <v>21</v>
      </c>
      <c r="T436" s="9">
        <v>461</v>
      </c>
      <c r="U436" s="9">
        <v>68453.89</v>
      </c>
      <c r="V436" s="8" t="s">
        <v>21</v>
      </c>
      <c r="W436" s="8">
        <v>0</v>
      </c>
      <c r="X436" s="8">
        <v>9</v>
      </c>
      <c r="Y436" s="8">
        <v>6160.85</v>
      </c>
      <c r="Z436" s="8">
        <v>9</v>
      </c>
      <c r="AA436" s="8">
        <v>6160.85</v>
      </c>
      <c r="AB436" s="8">
        <v>0</v>
      </c>
      <c r="AC436" s="8">
        <v>0</v>
      </c>
      <c r="AD436" s="8">
        <v>0</v>
      </c>
      <c r="AE436" s="8">
        <v>12321.7</v>
      </c>
      <c r="AF436" s="8">
        <v>0</v>
      </c>
      <c r="AG436" s="8" t="s">
        <v>65</v>
      </c>
      <c r="AH436" s="8" t="s">
        <v>11</v>
      </c>
      <c r="AI436" s="8">
        <v>63053300</v>
      </c>
      <c r="AJ436" s="8" t="s">
        <v>60</v>
      </c>
      <c r="AK436" s="8">
        <v>1</v>
      </c>
      <c r="AL436" s="8">
        <v>0</v>
      </c>
      <c r="AM436" s="8" t="s">
        <v>1940</v>
      </c>
    </row>
    <row r="437" spans="7:39" ht="12.75" customHeight="1">
      <c r="G437" s="347"/>
      <c r="H437" s="6" t="s">
        <v>3153</v>
      </c>
      <c r="I437" s="8" t="s">
        <v>87</v>
      </c>
      <c r="J437" s="8" t="s">
        <v>91</v>
      </c>
      <c r="K437" s="8" t="s">
        <v>3164</v>
      </c>
      <c r="L437" s="8" t="s">
        <v>98</v>
      </c>
      <c r="M437" s="8" t="s">
        <v>3165</v>
      </c>
      <c r="N437" s="7" t="s">
        <v>3153</v>
      </c>
      <c r="O437" s="8" t="s">
        <v>13</v>
      </c>
      <c r="P437" s="8" t="s">
        <v>24</v>
      </c>
      <c r="Q437" s="8" t="s">
        <v>79</v>
      </c>
      <c r="R437" s="8" t="s">
        <v>79</v>
      </c>
      <c r="S437" s="8" t="s">
        <v>24</v>
      </c>
      <c r="T437" s="9">
        <v>164.8</v>
      </c>
      <c r="U437" s="9">
        <v>28096.75</v>
      </c>
      <c r="V437" s="8" t="s">
        <v>24</v>
      </c>
      <c r="W437" s="8">
        <v>0</v>
      </c>
      <c r="X437" s="8">
        <v>9</v>
      </c>
      <c r="Y437" s="8">
        <v>2528.71</v>
      </c>
      <c r="Z437" s="8">
        <v>9</v>
      </c>
      <c r="AA437" s="8">
        <v>2528.71</v>
      </c>
      <c r="AB437" s="8">
        <v>0</v>
      </c>
      <c r="AC437" s="8">
        <v>0</v>
      </c>
      <c r="AD437" s="8">
        <v>0</v>
      </c>
      <c r="AE437" s="8">
        <v>5057.42</v>
      </c>
      <c r="AF437" s="8">
        <v>0</v>
      </c>
      <c r="AG437" s="8" t="s">
        <v>65</v>
      </c>
      <c r="AH437" s="8" t="s">
        <v>11</v>
      </c>
      <c r="AI437" s="8">
        <v>3926908</v>
      </c>
      <c r="AJ437" s="8" t="s">
        <v>60</v>
      </c>
      <c r="AK437" s="8">
        <v>1</v>
      </c>
      <c r="AL437" s="8">
        <v>0</v>
      </c>
      <c r="AM437" s="8" t="s">
        <v>1940</v>
      </c>
    </row>
    <row r="438" spans="7:39" ht="12.75" customHeight="1">
      <c r="G438" s="347"/>
      <c r="H438" s="6" t="s">
        <v>3153</v>
      </c>
      <c r="I438" s="8" t="s">
        <v>87</v>
      </c>
      <c r="J438" s="8" t="s">
        <v>91</v>
      </c>
      <c r="K438" s="8" t="s">
        <v>3164</v>
      </c>
      <c r="L438" s="8" t="s">
        <v>98</v>
      </c>
      <c r="M438" s="8" t="s">
        <v>3165</v>
      </c>
      <c r="N438" s="7" t="s">
        <v>3153</v>
      </c>
      <c r="O438" s="8" t="s">
        <v>13</v>
      </c>
      <c r="P438" s="8" t="s">
        <v>24</v>
      </c>
      <c r="Q438" s="8" t="s">
        <v>79</v>
      </c>
      <c r="R438" s="8" t="s">
        <v>79</v>
      </c>
      <c r="S438" s="8" t="s">
        <v>24</v>
      </c>
      <c r="T438" s="9">
        <v>620.6</v>
      </c>
      <c r="U438" s="9">
        <v>92773.49</v>
      </c>
      <c r="V438" s="8" t="s">
        <v>24</v>
      </c>
      <c r="W438" s="8">
        <v>0</v>
      </c>
      <c r="X438" s="8">
        <v>9</v>
      </c>
      <c r="Y438" s="8">
        <v>8349.61</v>
      </c>
      <c r="Z438" s="8">
        <v>9</v>
      </c>
      <c r="AA438" s="8">
        <v>8349.61</v>
      </c>
      <c r="AB438" s="8">
        <v>0</v>
      </c>
      <c r="AC438" s="8">
        <v>0</v>
      </c>
      <c r="AD438" s="8">
        <v>0</v>
      </c>
      <c r="AE438" s="8">
        <v>16699.22</v>
      </c>
      <c r="AF438" s="8">
        <v>0</v>
      </c>
      <c r="AG438" s="8" t="s">
        <v>65</v>
      </c>
      <c r="AH438" s="8" t="s">
        <v>11</v>
      </c>
      <c r="AI438" s="8">
        <v>3926908</v>
      </c>
      <c r="AJ438" s="8" t="s">
        <v>60</v>
      </c>
      <c r="AK438" s="8">
        <v>1</v>
      </c>
      <c r="AL438" s="8">
        <v>0</v>
      </c>
      <c r="AM438" s="8" t="s">
        <v>1940</v>
      </c>
    </row>
    <row r="439" spans="7:39" ht="12.75" customHeight="1">
      <c r="G439" s="347"/>
      <c r="H439" s="6" t="s">
        <v>3153</v>
      </c>
      <c r="I439" s="8" t="s">
        <v>87</v>
      </c>
      <c r="J439" s="8" t="s">
        <v>91</v>
      </c>
      <c r="K439" s="8" t="s">
        <v>3164</v>
      </c>
      <c r="L439" s="8" t="s">
        <v>98</v>
      </c>
      <c r="M439" s="8" t="s">
        <v>3165</v>
      </c>
      <c r="N439" s="7" t="s">
        <v>3153</v>
      </c>
      <c r="O439" s="8" t="s">
        <v>13</v>
      </c>
      <c r="P439" s="8" t="s">
        <v>24</v>
      </c>
      <c r="Q439" s="8" t="s">
        <v>79</v>
      </c>
      <c r="R439" s="8" t="s">
        <v>79</v>
      </c>
      <c r="S439" s="8" t="s">
        <v>24</v>
      </c>
      <c r="T439" s="9">
        <v>146.30000000000001</v>
      </c>
      <c r="U439" s="9">
        <v>21431.49</v>
      </c>
      <c r="V439" s="8" t="s">
        <v>24</v>
      </c>
      <c r="W439" s="8">
        <v>0</v>
      </c>
      <c r="X439" s="8">
        <v>9</v>
      </c>
      <c r="Y439" s="8">
        <v>1928.83</v>
      </c>
      <c r="Z439" s="8">
        <v>9</v>
      </c>
      <c r="AA439" s="8">
        <v>1928.83</v>
      </c>
      <c r="AB439" s="8">
        <v>0</v>
      </c>
      <c r="AC439" s="8">
        <v>0</v>
      </c>
      <c r="AD439" s="8">
        <v>0</v>
      </c>
      <c r="AE439" s="8">
        <v>3857.66</v>
      </c>
      <c r="AF439" s="8">
        <v>0</v>
      </c>
      <c r="AG439" s="8" t="s">
        <v>65</v>
      </c>
      <c r="AH439" s="8" t="s">
        <v>11</v>
      </c>
      <c r="AI439" s="8">
        <v>3926908</v>
      </c>
      <c r="AJ439" s="8" t="s">
        <v>60</v>
      </c>
      <c r="AK439" s="8">
        <v>1</v>
      </c>
      <c r="AL439" s="8">
        <v>0</v>
      </c>
      <c r="AM439" s="8" t="s">
        <v>1940</v>
      </c>
    </row>
    <row r="440" spans="7:39" ht="12.75" customHeight="1">
      <c r="G440" s="347"/>
      <c r="H440" s="6" t="s">
        <v>3153</v>
      </c>
      <c r="I440" s="8" t="s">
        <v>94</v>
      </c>
      <c r="J440" s="8" t="s">
        <v>91</v>
      </c>
      <c r="K440" s="8" t="s">
        <v>3166</v>
      </c>
      <c r="L440" s="8" t="s">
        <v>98</v>
      </c>
      <c r="M440" s="8" t="s">
        <v>1531</v>
      </c>
      <c r="N440" s="7" t="s">
        <v>3153</v>
      </c>
      <c r="O440" s="8" t="s">
        <v>15</v>
      </c>
      <c r="P440" s="8" t="s">
        <v>2117</v>
      </c>
      <c r="Q440" s="8" t="s">
        <v>2117</v>
      </c>
      <c r="R440" s="8" t="s">
        <v>2117</v>
      </c>
      <c r="S440" s="347" t="s">
        <v>64</v>
      </c>
      <c r="T440" s="9">
        <v>243</v>
      </c>
      <c r="U440" s="9">
        <v>37601.82</v>
      </c>
      <c r="V440" s="8" t="s">
        <v>2117</v>
      </c>
      <c r="W440" s="8">
        <v>53885.38</v>
      </c>
      <c r="X440" s="8">
        <v>9</v>
      </c>
      <c r="Y440" s="8">
        <v>3384.16</v>
      </c>
      <c r="Z440" s="8">
        <v>9</v>
      </c>
      <c r="AA440" s="8">
        <v>3384.16</v>
      </c>
      <c r="AB440" s="8">
        <v>0</v>
      </c>
      <c r="AC440" s="8">
        <v>0</v>
      </c>
      <c r="AD440" s="8">
        <v>0</v>
      </c>
      <c r="AE440" s="8">
        <v>6768.32</v>
      </c>
      <c r="AF440" s="8">
        <v>0</v>
      </c>
      <c r="AG440" s="8" t="s">
        <v>74</v>
      </c>
      <c r="AH440" s="8" t="s">
        <v>11</v>
      </c>
      <c r="AI440" s="8">
        <v>39269080</v>
      </c>
      <c r="AJ440" s="8" t="s">
        <v>60</v>
      </c>
      <c r="AK440" s="8">
        <v>1</v>
      </c>
      <c r="AL440" s="8">
        <v>0</v>
      </c>
      <c r="AM440" s="8" t="s">
        <v>1940</v>
      </c>
    </row>
    <row r="441" spans="7:39" ht="12.75" customHeight="1">
      <c r="G441" s="347"/>
      <c r="H441" s="6" t="s">
        <v>3153</v>
      </c>
      <c r="I441" s="8" t="s">
        <v>94</v>
      </c>
      <c r="J441" s="8" t="s">
        <v>91</v>
      </c>
      <c r="K441" s="8" t="s">
        <v>3166</v>
      </c>
      <c r="L441" s="8" t="s">
        <v>98</v>
      </c>
      <c r="M441" s="8" t="s">
        <v>1531</v>
      </c>
      <c r="N441" s="7" t="s">
        <v>3153</v>
      </c>
      <c r="O441" s="8" t="s">
        <v>13</v>
      </c>
      <c r="P441" s="8" t="s">
        <v>80</v>
      </c>
      <c r="Q441" s="8" t="s">
        <v>81</v>
      </c>
      <c r="R441" s="8" t="s">
        <v>82</v>
      </c>
      <c r="S441" s="8" t="s">
        <v>17</v>
      </c>
      <c r="T441" s="9">
        <v>46.3</v>
      </c>
      <c r="U441" s="9">
        <v>8102.5</v>
      </c>
      <c r="V441" s="8" t="s">
        <v>17</v>
      </c>
      <c r="W441" s="8">
        <v>0</v>
      </c>
      <c r="X441" s="8">
        <v>9</v>
      </c>
      <c r="Y441" s="8">
        <v>729.22</v>
      </c>
      <c r="Z441" s="8">
        <v>9</v>
      </c>
      <c r="AA441" s="8">
        <v>729.22</v>
      </c>
      <c r="AB441" s="8">
        <v>0</v>
      </c>
      <c r="AC441" s="8">
        <v>0</v>
      </c>
      <c r="AD441" s="8">
        <v>0</v>
      </c>
      <c r="AE441" s="8">
        <v>1458.44</v>
      </c>
      <c r="AF441" s="8">
        <v>0</v>
      </c>
      <c r="AG441" s="8" t="s">
        <v>74</v>
      </c>
      <c r="AH441" s="8" t="s">
        <v>11</v>
      </c>
      <c r="AI441" s="8">
        <v>39200000</v>
      </c>
      <c r="AJ441" s="8" t="s">
        <v>60</v>
      </c>
      <c r="AK441" s="8">
        <v>1</v>
      </c>
      <c r="AL441" s="8">
        <v>0</v>
      </c>
      <c r="AM441" s="8" t="s">
        <v>1940</v>
      </c>
    </row>
    <row r="442" spans="7:39" ht="12.75" customHeight="1">
      <c r="G442" s="347"/>
      <c r="H442" s="6" t="s">
        <v>3167</v>
      </c>
      <c r="I442" s="8" t="s">
        <v>3168</v>
      </c>
      <c r="J442" s="8" t="s">
        <v>88</v>
      </c>
      <c r="K442" s="8" t="s">
        <v>3169</v>
      </c>
      <c r="L442" s="8" t="s">
        <v>2503</v>
      </c>
      <c r="M442" s="8" t="s">
        <v>3170</v>
      </c>
      <c r="N442" s="7" t="s">
        <v>3153</v>
      </c>
      <c r="O442" s="8" t="s">
        <v>15</v>
      </c>
      <c r="P442" s="8" t="s">
        <v>57</v>
      </c>
      <c r="Q442" s="8" t="s">
        <v>57</v>
      </c>
      <c r="R442" s="8" t="s">
        <v>58</v>
      </c>
      <c r="S442" s="8" t="s">
        <v>16</v>
      </c>
      <c r="T442" s="9">
        <v>1259.6400000000001</v>
      </c>
      <c r="U442" s="9">
        <v>237001.27</v>
      </c>
      <c r="V442" s="8" t="s">
        <v>16</v>
      </c>
      <c r="W442" s="8">
        <v>394723.71</v>
      </c>
      <c r="X442" s="8">
        <v>0</v>
      </c>
      <c r="Y442" s="8">
        <v>0</v>
      </c>
      <c r="Z442" s="8">
        <v>0</v>
      </c>
      <c r="AA442" s="8">
        <v>0</v>
      </c>
      <c r="AB442" s="8">
        <v>0</v>
      </c>
      <c r="AC442" s="8">
        <v>0</v>
      </c>
      <c r="AD442" s="8">
        <v>0</v>
      </c>
      <c r="AE442" s="8">
        <v>0</v>
      </c>
      <c r="AF442" s="8">
        <v>0</v>
      </c>
      <c r="AG442" s="8" t="s">
        <v>104</v>
      </c>
      <c r="AH442" s="8" t="s">
        <v>11</v>
      </c>
      <c r="AI442" s="8">
        <v>63053200</v>
      </c>
      <c r="AJ442" s="8" t="s">
        <v>60</v>
      </c>
      <c r="AK442" s="8">
        <v>1</v>
      </c>
      <c r="AL442" s="8">
        <v>0</v>
      </c>
      <c r="AM442" s="8" t="s">
        <v>1940</v>
      </c>
    </row>
    <row r="443" spans="7:39" ht="12.75" customHeight="1">
      <c r="G443" s="347"/>
      <c r="H443" s="6" t="s">
        <v>3167</v>
      </c>
      <c r="I443" s="8" t="s">
        <v>3168</v>
      </c>
      <c r="J443" s="8" t="s">
        <v>88</v>
      </c>
      <c r="K443" s="8" t="s">
        <v>3169</v>
      </c>
      <c r="L443" s="8" t="s">
        <v>2503</v>
      </c>
      <c r="M443" s="8" t="s">
        <v>3170</v>
      </c>
      <c r="N443" s="7" t="s">
        <v>3153</v>
      </c>
      <c r="O443" s="8" t="s">
        <v>15</v>
      </c>
      <c r="P443" s="8" t="s">
        <v>57</v>
      </c>
      <c r="Q443" s="8" t="s">
        <v>57</v>
      </c>
      <c r="R443" s="8" t="s">
        <v>58</v>
      </c>
      <c r="S443" s="8" t="s">
        <v>16</v>
      </c>
      <c r="T443" s="9">
        <v>858.26</v>
      </c>
      <c r="U443" s="9">
        <v>157722.44</v>
      </c>
      <c r="V443" s="8" t="s">
        <v>16</v>
      </c>
      <c r="W443" s="8">
        <v>0</v>
      </c>
      <c r="X443" s="8">
        <v>0</v>
      </c>
      <c r="Y443" s="8">
        <v>0</v>
      </c>
      <c r="Z443" s="8">
        <v>0</v>
      </c>
      <c r="AA443" s="8">
        <v>0</v>
      </c>
      <c r="AB443" s="8">
        <v>0</v>
      </c>
      <c r="AC443" s="8">
        <v>0</v>
      </c>
      <c r="AD443" s="8">
        <v>0</v>
      </c>
      <c r="AE443" s="8">
        <v>0</v>
      </c>
      <c r="AF443" s="8">
        <v>0</v>
      </c>
      <c r="AG443" s="8" t="s">
        <v>104</v>
      </c>
      <c r="AH443" s="8" t="s">
        <v>11</v>
      </c>
      <c r="AI443" s="8">
        <v>63053200</v>
      </c>
      <c r="AJ443" s="8" t="s">
        <v>60</v>
      </c>
      <c r="AK443" s="8">
        <v>1</v>
      </c>
      <c r="AL443" s="8">
        <v>0</v>
      </c>
      <c r="AM443" s="8" t="s">
        <v>1940</v>
      </c>
    </row>
    <row r="444" spans="7:39" ht="12.75" customHeight="1">
      <c r="G444" s="347"/>
      <c r="H444" s="6" t="s">
        <v>3167</v>
      </c>
      <c r="I444" s="8" t="s">
        <v>93</v>
      </c>
      <c r="J444" s="8" t="s">
        <v>96</v>
      </c>
      <c r="K444" s="8" t="s">
        <v>3171</v>
      </c>
      <c r="L444" s="8" t="s">
        <v>97</v>
      </c>
      <c r="M444" s="8" t="s">
        <v>1581</v>
      </c>
      <c r="N444" s="7" t="s">
        <v>3153</v>
      </c>
      <c r="O444" s="8" t="s">
        <v>2</v>
      </c>
      <c r="P444" s="8" t="s">
        <v>67</v>
      </c>
      <c r="Q444" s="8" t="s">
        <v>68</v>
      </c>
      <c r="R444" s="8" t="s">
        <v>69</v>
      </c>
      <c r="S444" s="8" t="s">
        <v>70</v>
      </c>
      <c r="T444" s="9">
        <v>21</v>
      </c>
      <c r="U444" s="9">
        <v>1008</v>
      </c>
      <c r="V444" s="8" t="s">
        <v>70</v>
      </c>
      <c r="W444" s="8">
        <v>1188.43</v>
      </c>
      <c r="X444" s="8">
        <v>9</v>
      </c>
      <c r="Y444" s="8">
        <v>90.72</v>
      </c>
      <c r="Z444" s="8">
        <v>9</v>
      </c>
      <c r="AA444" s="8">
        <v>90.72</v>
      </c>
      <c r="AB444" s="8">
        <v>0</v>
      </c>
      <c r="AC444" s="8">
        <v>0</v>
      </c>
      <c r="AD444" s="8">
        <v>0</v>
      </c>
      <c r="AE444" s="8">
        <v>181.44</v>
      </c>
      <c r="AF444" s="8">
        <v>0</v>
      </c>
      <c r="AG444" s="8" t="s">
        <v>59</v>
      </c>
      <c r="AH444" s="8" t="s">
        <v>11</v>
      </c>
      <c r="AI444" s="8">
        <v>73063090</v>
      </c>
      <c r="AJ444" s="8" t="s">
        <v>60</v>
      </c>
      <c r="AK444" s="8">
        <v>1</v>
      </c>
      <c r="AL444" s="8">
        <v>0</v>
      </c>
      <c r="AM444" s="8" t="s">
        <v>1940</v>
      </c>
    </row>
    <row r="445" spans="7:39" ht="12.75" customHeight="1">
      <c r="G445" s="347"/>
      <c r="H445" s="6" t="s">
        <v>3167</v>
      </c>
      <c r="I445" s="8" t="s">
        <v>93</v>
      </c>
      <c r="J445" s="8" t="s">
        <v>91</v>
      </c>
      <c r="K445" s="8" t="s">
        <v>3172</v>
      </c>
      <c r="L445" s="8" t="s">
        <v>98</v>
      </c>
      <c r="M445" s="8" t="s">
        <v>3173</v>
      </c>
      <c r="N445" s="7" t="s">
        <v>3153</v>
      </c>
      <c r="O445" s="8" t="s">
        <v>13</v>
      </c>
      <c r="P445" s="8" t="s">
        <v>99</v>
      </c>
      <c r="Q445" s="8" t="s">
        <v>100</v>
      </c>
      <c r="R445" s="8" t="s">
        <v>101</v>
      </c>
      <c r="S445" s="8" t="s">
        <v>1617</v>
      </c>
      <c r="T445" s="9">
        <v>955.7</v>
      </c>
      <c r="U445" s="9">
        <v>147321.16</v>
      </c>
      <c r="V445" s="8" t="s">
        <v>1617</v>
      </c>
      <c r="W445" s="8">
        <v>480401.34</v>
      </c>
      <c r="X445" s="8">
        <v>2.5</v>
      </c>
      <c r="Y445" s="8">
        <v>3683.03</v>
      </c>
      <c r="Z445" s="8">
        <v>2.5</v>
      </c>
      <c r="AA445" s="8">
        <v>3683.03</v>
      </c>
      <c r="AB445" s="8">
        <v>0</v>
      </c>
      <c r="AC445" s="8">
        <v>0</v>
      </c>
      <c r="AD445" s="8">
        <v>0</v>
      </c>
      <c r="AE445" s="8">
        <v>7366.06</v>
      </c>
      <c r="AF445" s="8">
        <v>0</v>
      </c>
      <c r="AG445" s="8" t="s">
        <v>59</v>
      </c>
      <c r="AH445" s="8" t="s">
        <v>11</v>
      </c>
      <c r="AI445" s="8">
        <v>54026930</v>
      </c>
      <c r="AJ445" s="8" t="s">
        <v>60</v>
      </c>
      <c r="AK445" s="8">
        <v>1</v>
      </c>
      <c r="AL445" s="8">
        <v>0</v>
      </c>
      <c r="AM445" s="8" t="s">
        <v>1940</v>
      </c>
    </row>
    <row r="446" spans="7:39" ht="12.75" customHeight="1">
      <c r="G446" s="347"/>
      <c r="H446" s="6" t="s">
        <v>3167</v>
      </c>
      <c r="I446" s="8" t="s">
        <v>93</v>
      </c>
      <c r="J446" s="8" t="s">
        <v>91</v>
      </c>
      <c r="K446" s="8" t="s">
        <v>3172</v>
      </c>
      <c r="L446" s="8" t="s">
        <v>98</v>
      </c>
      <c r="M446" s="8" t="s">
        <v>3173</v>
      </c>
      <c r="N446" s="7" t="s">
        <v>3153</v>
      </c>
      <c r="O446" s="8" t="s">
        <v>13</v>
      </c>
      <c r="P446" s="8" t="s">
        <v>99</v>
      </c>
      <c r="Q446" s="8" t="s">
        <v>100</v>
      </c>
      <c r="R446" s="8" t="s">
        <v>101</v>
      </c>
      <c r="S446" s="8" t="s">
        <v>2585</v>
      </c>
      <c r="T446" s="9">
        <v>456.8</v>
      </c>
      <c r="U446" s="9">
        <v>69045.320000000007</v>
      </c>
      <c r="V446" s="8" t="s">
        <v>2585</v>
      </c>
      <c r="W446" s="8">
        <v>0</v>
      </c>
      <c r="X446" s="8">
        <v>2.5</v>
      </c>
      <c r="Y446" s="8">
        <v>1726.13</v>
      </c>
      <c r="Z446" s="8">
        <v>2.5</v>
      </c>
      <c r="AA446" s="8">
        <v>1726.13</v>
      </c>
      <c r="AB446" s="8">
        <v>0</v>
      </c>
      <c r="AC446" s="8">
        <v>0</v>
      </c>
      <c r="AD446" s="8">
        <v>0</v>
      </c>
      <c r="AE446" s="8">
        <v>3452.26</v>
      </c>
      <c r="AF446" s="8">
        <v>0</v>
      </c>
      <c r="AG446" s="8" t="s">
        <v>59</v>
      </c>
      <c r="AH446" s="8" t="s">
        <v>11</v>
      </c>
      <c r="AI446" s="8">
        <v>54026930</v>
      </c>
      <c r="AJ446" s="8" t="s">
        <v>60</v>
      </c>
      <c r="AK446" s="8">
        <v>1</v>
      </c>
      <c r="AL446" s="8">
        <v>0</v>
      </c>
      <c r="AM446" s="8" t="s">
        <v>1940</v>
      </c>
    </row>
    <row r="447" spans="7:39" ht="12.75" customHeight="1">
      <c r="G447" s="347"/>
      <c r="H447" s="6" t="s">
        <v>3167</v>
      </c>
      <c r="I447" s="8" t="s">
        <v>93</v>
      </c>
      <c r="J447" s="8" t="s">
        <v>91</v>
      </c>
      <c r="K447" s="8" t="s">
        <v>3172</v>
      </c>
      <c r="L447" s="8" t="s">
        <v>98</v>
      </c>
      <c r="M447" s="8" t="s">
        <v>3173</v>
      </c>
      <c r="N447" s="7" t="s">
        <v>3153</v>
      </c>
      <c r="O447" s="8" t="s">
        <v>13</v>
      </c>
      <c r="P447" s="8" t="s">
        <v>62</v>
      </c>
      <c r="Q447" s="8" t="s">
        <v>63</v>
      </c>
      <c r="R447" s="8" t="s">
        <v>64</v>
      </c>
      <c r="S447" s="8" t="s">
        <v>19</v>
      </c>
      <c r="T447" s="9">
        <v>1270.8</v>
      </c>
      <c r="U447" s="9">
        <v>214955.82</v>
      </c>
      <c r="V447" s="8" t="s">
        <v>19</v>
      </c>
      <c r="W447" s="8">
        <v>0</v>
      </c>
      <c r="X447" s="8">
        <v>9</v>
      </c>
      <c r="Y447" s="8">
        <v>19346.02</v>
      </c>
      <c r="Z447" s="8">
        <v>9</v>
      </c>
      <c r="AA447" s="8">
        <v>19346.02</v>
      </c>
      <c r="AB447" s="8">
        <v>0</v>
      </c>
      <c r="AC447" s="8">
        <v>0</v>
      </c>
      <c r="AD447" s="8">
        <v>0</v>
      </c>
      <c r="AE447" s="8">
        <v>38692.04</v>
      </c>
      <c r="AF447" s="8">
        <v>0</v>
      </c>
      <c r="AG447" s="8" t="s">
        <v>59</v>
      </c>
      <c r="AH447" s="8" t="s">
        <v>11</v>
      </c>
      <c r="AI447" s="8">
        <v>39269080</v>
      </c>
      <c r="AJ447" s="8" t="s">
        <v>60</v>
      </c>
      <c r="AK447" s="8">
        <v>1</v>
      </c>
      <c r="AL447" s="8">
        <v>0</v>
      </c>
      <c r="AM447" s="8" t="s">
        <v>1940</v>
      </c>
    </row>
    <row r="448" spans="7:39" ht="12.75" customHeight="1">
      <c r="G448" s="347"/>
      <c r="H448" s="6" t="s">
        <v>3167</v>
      </c>
      <c r="I448" s="8" t="s">
        <v>2434</v>
      </c>
      <c r="J448" s="8" t="s">
        <v>96</v>
      </c>
      <c r="K448" s="8" t="s">
        <v>3174</v>
      </c>
      <c r="L448" s="8" t="s">
        <v>97</v>
      </c>
      <c r="M448" s="8" t="s">
        <v>3175</v>
      </c>
      <c r="N448" s="7" t="s">
        <v>3071</v>
      </c>
      <c r="O448" s="8" t="s">
        <v>2</v>
      </c>
      <c r="P448" s="8" t="s">
        <v>3176</v>
      </c>
      <c r="Q448" s="8" t="s">
        <v>68</v>
      </c>
      <c r="R448" s="8" t="s">
        <v>69</v>
      </c>
      <c r="S448" s="8" t="s">
        <v>3177</v>
      </c>
      <c r="T448" s="9">
        <v>200</v>
      </c>
      <c r="U448" s="9">
        <v>19000</v>
      </c>
      <c r="V448" s="8" t="s">
        <v>3177</v>
      </c>
      <c r="W448" s="8">
        <v>20160</v>
      </c>
      <c r="X448" s="8">
        <v>2.5</v>
      </c>
      <c r="Y448" s="8">
        <v>475</v>
      </c>
      <c r="Z448" s="8">
        <v>2.5</v>
      </c>
      <c r="AA448" s="8">
        <v>475</v>
      </c>
      <c r="AB448" s="8">
        <v>0</v>
      </c>
      <c r="AC448" s="8">
        <v>0</v>
      </c>
      <c r="AD448" s="8">
        <v>10</v>
      </c>
      <c r="AE448" s="8">
        <v>960</v>
      </c>
      <c r="AF448" s="8">
        <v>0</v>
      </c>
      <c r="AG448" s="8" t="s">
        <v>3178</v>
      </c>
      <c r="AH448" s="8" t="s">
        <v>1</v>
      </c>
      <c r="AI448" s="8">
        <v>73191020</v>
      </c>
      <c r="AJ448" s="8" t="s">
        <v>60</v>
      </c>
      <c r="AK448" s="8">
        <v>1</v>
      </c>
      <c r="AL448" s="8">
        <v>0</v>
      </c>
      <c r="AM448" s="8" t="s">
        <v>1940</v>
      </c>
    </row>
    <row r="449" spans="7:39" ht="12.75" customHeight="1">
      <c r="G449" s="347"/>
      <c r="H449" s="6" t="s">
        <v>3167</v>
      </c>
      <c r="I449" s="8" t="s">
        <v>87</v>
      </c>
      <c r="J449" s="8" t="s">
        <v>96</v>
      </c>
      <c r="K449" s="8" t="s">
        <v>3179</v>
      </c>
      <c r="L449" s="8" t="s">
        <v>97</v>
      </c>
      <c r="M449" s="8" t="s">
        <v>3180</v>
      </c>
      <c r="N449" s="7" t="s">
        <v>3167</v>
      </c>
      <c r="O449" s="8" t="s">
        <v>2</v>
      </c>
      <c r="P449" s="8" t="s">
        <v>67</v>
      </c>
      <c r="Q449" s="8" t="s">
        <v>68</v>
      </c>
      <c r="R449" s="8" t="s">
        <v>69</v>
      </c>
      <c r="S449" s="8" t="s">
        <v>70</v>
      </c>
      <c r="T449" s="9">
        <v>357</v>
      </c>
      <c r="U449" s="9">
        <v>17136</v>
      </c>
      <c r="V449" s="8" t="s">
        <v>70</v>
      </c>
      <c r="W449" s="8">
        <v>20203.34</v>
      </c>
      <c r="X449" s="8">
        <v>9</v>
      </c>
      <c r="Y449" s="8">
        <v>1542.24</v>
      </c>
      <c r="Z449" s="8">
        <v>9</v>
      </c>
      <c r="AA449" s="8">
        <v>1542.24</v>
      </c>
      <c r="AB449" s="8">
        <v>0</v>
      </c>
      <c r="AC449" s="8">
        <v>0</v>
      </c>
      <c r="AD449" s="8">
        <v>0</v>
      </c>
      <c r="AE449" s="8">
        <v>3084.48</v>
      </c>
      <c r="AF449" s="8">
        <v>0</v>
      </c>
      <c r="AG449" s="8" t="s">
        <v>65</v>
      </c>
      <c r="AH449" s="8" t="s">
        <v>11</v>
      </c>
      <c r="AI449" s="8">
        <v>73063090</v>
      </c>
      <c r="AJ449" s="8" t="s">
        <v>60</v>
      </c>
      <c r="AK449" s="8">
        <v>1</v>
      </c>
      <c r="AL449" s="8">
        <v>0</v>
      </c>
      <c r="AM449" s="8" t="s">
        <v>1940</v>
      </c>
    </row>
    <row r="450" spans="7:39" ht="12.75" customHeight="1">
      <c r="G450" s="347"/>
      <c r="H450" s="6" t="s">
        <v>3167</v>
      </c>
      <c r="I450" s="8" t="s">
        <v>87</v>
      </c>
      <c r="J450" s="8" t="s">
        <v>91</v>
      </c>
      <c r="K450" s="8" t="s">
        <v>3181</v>
      </c>
      <c r="L450" s="8" t="s">
        <v>98</v>
      </c>
      <c r="M450" s="8" t="s">
        <v>3182</v>
      </c>
      <c r="N450" s="7" t="s">
        <v>3167</v>
      </c>
      <c r="O450" s="8" t="s">
        <v>13</v>
      </c>
      <c r="P450" s="8" t="s">
        <v>62</v>
      </c>
      <c r="Q450" s="8" t="s">
        <v>76</v>
      </c>
      <c r="R450" s="8" t="s">
        <v>77</v>
      </c>
      <c r="S450" s="8" t="s">
        <v>21</v>
      </c>
      <c r="T450" s="9">
        <v>1345</v>
      </c>
      <c r="U450" s="9">
        <v>203754.05</v>
      </c>
      <c r="V450" s="8" t="s">
        <v>21</v>
      </c>
      <c r="W450" s="8">
        <v>1373657.92</v>
      </c>
      <c r="X450" s="8">
        <v>9</v>
      </c>
      <c r="Y450" s="8">
        <v>18337.86</v>
      </c>
      <c r="Z450" s="8">
        <v>9</v>
      </c>
      <c r="AA450" s="8">
        <v>18337.86</v>
      </c>
      <c r="AB450" s="8">
        <v>0</v>
      </c>
      <c r="AC450" s="8">
        <v>0</v>
      </c>
      <c r="AD450" s="8">
        <v>0</v>
      </c>
      <c r="AE450" s="8">
        <v>36675.72</v>
      </c>
      <c r="AF450" s="8">
        <v>0</v>
      </c>
      <c r="AG450" s="8" t="s">
        <v>65</v>
      </c>
      <c r="AH450" s="8" t="s">
        <v>11</v>
      </c>
      <c r="AI450" s="8">
        <v>63053300</v>
      </c>
      <c r="AJ450" s="8" t="s">
        <v>60</v>
      </c>
      <c r="AK450" s="8">
        <v>1</v>
      </c>
      <c r="AL450" s="8">
        <v>0</v>
      </c>
      <c r="AM450" s="8" t="s">
        <v>1940</v>
      </c>
    </row>
    <row r="451" spans="7:39" ht="12.75" customHeight="1">
      <c r="G451" s="347"/>
      <c r="H451" s="6" t="s">
        <v>3167</v>
      </c>
      <c r="I451" s="8" t="s">
        <v>87</v>
      </c>
      <c r="J451" s="8" t="s">
        <v>91</v>
      </c>
      <c r="K451" s="8" t="s">
        <v>3181</v>
      </c>
      <c r="L451" s="8" t="s">
        <v>98</v>
      </c>
      <c r="M451" s="8" t="s">
        <v>3182</v>
      </c>
      <c r="N451" s="7" t="s">
        <v>3167</v>
      </c>
      <c r="O451" s="8" t="s">
        <v>13</v>
      </c>
      <c r="P451" s="8" t="s">
        <v>62</v>
      </c>
      <c r="Q451" s="8" t="s">
        <v>76</v>
      </c>
      <c r="R451" s="8" t="s">
        <v>77</v>
      </c>
      <c r="S451" s="8" t="s">
        <v>21</v>
      </c>
      <c r="T451" s="9">
        <v>263</v>
      </c>
      <c r="U451" s="9">
        <v>39052.870000000003</v>
      </c>
      <c r="V451" s="8" t="s">
        <v>21</v>
      </c>
      <c r="W451" s="8">
        <v>0</v>
      </c>
      <c r="X451" s="8">
        <v>9</v>
      </c>
      <c r="Y451" s="8">
        <v>3514.76</v>
      </c>
      <c r="Z451" s="8">
        <v>9</v>
      </c>
      <c r="AA451" s="8">
        <v>3514.76</v>
      </c>
      <c r="AB451" s="8">
        <v>0</v>
      </c>
      <c r="AC451" s="8">
        <v>0</v>
      </c>
      <c r="AD451" s="8">
        <v>0</v>
      </c>
      <c r="AE451" s="8">
        <v>7029.52</v>
      </c>
      <c r="AF451" s="8">
        <v>0</v>
      </c>
      <c r="AG451" s="8" t="s">
        <v>65</v>
      </c>
      <c r="AH451" s="8" t="s">
        <v>11</v>
      </c>
      <c r="AI451" s="8">
        <v>63053300</v>
      </c>
      <c r="AJ451" s="8" t="s">
        <v>60</v>
      </c>
      <c r="AK451" s="8">
        <v>1</v>
      </c>
      <c r="AL451" s="8">
        <v>0</v>
      </c>
      <c r="AM451" s="8" t="s">
        <v>1940</v>
      </c>
    </row>
    <row r="452" spans="7:39" ht="12.75" customHeight="1">
      <c r="G452" s="347"/>
      <c r="H452" s="6" t="s">
        <v>3167</v>
      </c>
      <c r="I452" s="8" t="s">
        <v>87</v>
      </c>
      <c r="J452" s="8" t="s">
        <v>91</v>
      </c>
      <c r="K452" s="8" t="s">
        <v>3181</v>
      </c>
      <c r="L452" s="8" t="s">
        <v>98</v>
      </c>
      <c r="M452" s="8" t="s">
        <v>3182</v>
      </c>
      <c r="N452" s="7" t="s">
        <v>3167</v>
      </c>
      <c r="O452" s="8" t="s">
        <v>13</v>
      </c>
      <c r="P452" s="8" t="s">
        <v>62</v>
      </c>
      <c r="Q452" s="8" t="s">
        <v>63</v>
      </c>
      <c r="R452" s="8" t="s">
        <v>64</v>
      </c>
      <c r="S452" s="8" t="s">
        <v>19</v>
      </c>
      <c r="T452" s="9">
        <v>760</v>
      </c>
      <c r="U452" s="9">
        <v>111332.4</v>
      </c>
      <c r="V452" s="8" t="s">
        <v>19</v>
      </c>
      <c r="W452" s="8">
        <v>0</v>
      </c>
      <c r="X452" s="8">
        <v>9</v>
      </c>
      <c r="Y452" s="8">
        <v>10019.92</v>
      </c>
      <c r="Z452" s="8">
        <v>9</v>
      </c>
      <c r="AA452" s="8">
        <v>10019.92</v>
      </c>
      <c r="AB452" s="8">
        <v>0</v>
      </c>
      <c r="AC452" s="8">
        <v>0</v>
      </c>
      <c r="AD452" s="8">
        <v>0</v>
      </c>
      <c r="AE452" s="8">
        <v>20039.84</v>
      </c>
      <c r="AF452" s="8">
        <v>0</v>
      </c>
      <c r="AG452" s="8" t="s">
        <v>65</v>
      </c>
      <c r="AH452" s="8" t="s">
        <v>11</v>
      </c>
      <c r="AI452" s="8">
        <v>39269080</v>
      </c>
      <c r="AJ452" s="8" t="s">
        <v>60</v>
      </c>
      <c r="AK452" s="8">
        <v>1</v>
      </c>
      <c r="AL452" s="8">
        <v>0</v>
      </c>
      <c r="AM452" s="8" t="s">
        <v>1940</v>
      </c>
    </row>
    <row r="453" spans="7:39" ht="12.75" customHeight="1">
      <c r="G453" s="347"/>
      <c r="H453" s="6" t="s">
        <v>3167</v>
      </c>
      <c r="I453" s="8" t="s">
        <v>87</v>
      </c>
      <c r="J453" s="8" t="s">
        <v>91</v>
      </c>
      <c r="K453" s="8" t="s">
        <v>3181</v>
      </c>
      <c r="L453" s="8" t="s">
        <v>98</v>
      </c>
      <c r="M453" s="8" t="s">
        <v>3182</v>
      </c>
      <c r="N453" s="8" t="s">
        <v>3167</v>
      </c>
      <c r="O453" s="8" t="s">
        <v>13</v>
      </c>
      <c r="P453" s="8" t="s">
        <v>62</v>
      </c>
      <c r="Q453" s="8" t="s">
        <v>63</v>
      </c>
      <c r="R453" s="8" t="s">
        <v>64</v>
      </c>
      <c r="S453" s="8" t="s">
        <v>19</v>
      </c>
      <c r="T453" s="9">
        <v>5288</v>
      </c>
      <c r="U453" s="9">
        <v>764063.12</v>
      </c>
      <c r="V453" s="8" t="s">
        <v>19</v>
      </c>
      <c r="W453" s="8">
        <v>0</v>
      </c>
      <c r="X453" s="8">
        <v>9</v>
      </c>
      <c r="Y453" s="8">
        <v>68765.679999999993</v>
      </c>
      <c r="Z453" s="8">
        <v>9</v>
      </c>
      <c r="AA453" s="8">
        <v>68765.679999999993</v>
      </c>
      <c r="AB453" s="8">
        <v>0</v>
      </c>
      <c r="AC453" s="8">
        <v>0</v>
      </c>
      <c r="AD453" s="8">
        <v>0</v>
      </c>
      <c r="AE453" s="8">
        <v>137531.35999999999</v>
      </c>
      <c r="AF453" s="8">
        <v>0</v>
      </c>
      <c r="AG453" s="8" t="s">
        <v>65</v>
      </c>
      <c r="AH453" s="8" t="s">
        <v>11</v>
      </c>
      <c r="AI453" s="8">
        <v>39269080</v>
      </c>
      <c r="AJ453" s="8" t="s">
        <v>60</v>
      </c>
      <c r="AK453" s="8">
        <v>1</v>
      </c>
      <c r="AL453" s="8">
        <v>0</v>
      </c>
      <c r="AM453" s="8" t="s">
        <v>1940</v>
      </c>
    </row>
    <row r="454" spans="7:39" ht="12.75" customHeight="1">
      <c r="G454" s="347"/>
      <c r="H454" s="6" t="s">
        <v>3167</v>
      </c>
      <c r="I454" s="8" t="s">
        <v>87</v>
      </c>
      <c r="J454" s="8" t="s">
        <v>91</v>
      </c>
      <c r="K454" s="8" t="s">
        <v>3181</v>
      </c>
      <c r="L454" s="8" t="s">
        <v>98</v>
      </c>
      <c r="M454" s="8" t="s">
        <v>3182</v>
      </c>
      <c r="N454" s="8" t="s">
        <v>3167</v>
      </c>
      <c r="O454" s="8" t="s">
        <v>13</v>
      </c>
      <c r="P454" s="8" t="s">
        <v>62</v>
      </c>
      <c r="Q454" s="8" t="s">
        <v>63</v>
      </c>
      <c r="R454" s="8" t="s">
        <v>64</v>
      </c>
      <c r="S454" s="8" t="s">
        <v>19</v>
      </c>
      <c r="T454" s="9">
        <v>318</v>
      </c>
      <c r="U454" s="9">
        <v>46901.82</v>
      </c>
      <c r="V454" s="8" t="s">
        <v>19</v>
      </c>
      <c r="W454" s="8">
        <v>0</v>
      </c>
      <c r="X454" s="8">
        <v>9</v>
      </c>
      <c r="Y454" s="8">
        <v>4221.16</v>
      </c>
      <c r="Z454" s="8">
        <v>9</v>
      </c>
      <c r="AA454" s="8">
        <v>4221.16</v>
      </c>
      <c r="AB454" s="8">
        <v>0</v>
      </c>
      <c r="AC454" s="8">
        <v>0</v>
      </c>
      <c r="AD454" s="8">
        <v>0</v>
      </c>
      <c r="AE454" s="8">
        <v>8442.32</v>
      </c>
      <c r="AF454" s="8">
        <v>0</v>
      </c>
      <c r="AG454" s="8" t="s">
        <v>65</v>
      </c>
      <c r="AH454" s="8" t="s">
        <v>11</v>
      </c>
      <c r="AI454" s="8">
        <v>39269080</v>
      </c>
      <c r="AJ454" s="8" t="s">
        <v>60</v>
      </c>
      <c r="AK454" s="8">
        <v>1</v>
      </c>
      <c r="AL454" s="8">
        <v>0</v>
      </c>
      <c r="AM454" s="8" t="s">
        <v>1940</v>
      </c>
    </row>
    <row r="455" spans="7:39" ht="12.75" customHeight="1">
      <c r="G455" s="347"/>
      <c r="H455" s="6" t="s">
        <v>3167</v>
      </c>
      <c r="I455" s="8" t="s">
        <v>87</v>
      </c>
      <c r="J455" s="8" t="s">
        <v>91</v>
      </c>
      <c r="K455" s="8" t="s">
        <v>3183</v>
      </c>
      <c r="L455" s="8" t="s">
        <v>98</v>
      </c>
      <c r="M455" s="8" t="s">
        <v>3184</v>
      </c>
      <c r="N455" s="7" t="s">
        <v>3167</v>
      </c>
      <c r="O455" s="8" t="s">
        <v>13</v>
      </c>
      <c r="P455" s="8" t="s">
        <v>62</v>
      </c>
      <c r="Q455" s="8" t="s">
        <v>63</v>
      </c>
      <c r="R455" s="8" t="s">
        <v>64</v>
      </c>
      <c r="S455" s="8" t="s">
        <v>19</v>
      </c>
      <c r="T455" s="9">
        <v>1220</v>
      </c>
      <c r="U455" s="9">
        <v>176277.8</v>
      </c>
      <c r="V455" s="8" t="s">
        <v>19</v>
      </c>
      <c r="W455" s="8">
        <v>207831.52</v>
      </c>
      <c r="X455" s="8">
        <v>9</v>
      </c>
      <c r="Y455" s="8">
        <v>15865</v>
      </c>
      <c r="Z455" s="8">
        <v>9</v>
      </c>
      <c r="AA455" s="8">
        <v>15865</v>
      </c>
      <c r="AB455" s="8">
        <v>0</v>
      </c>
      <c r="AC455" s="8">
        <v>0</v>
      </c>
      <c r="AD455" s="8">
        <v>0</v>
      </c>
      <c r="AE455" s="8">
        <v>31730</v>
      </c>
      <c r="AF455" s="8">
        <v>0</v>
      </c>
      <c r="AG455" s="8" t="s">
        <v>65</v>
      </c>
      <c r="AH455" s="8" t="s">
        <v>11</v>
      </c>
      <c r="AI455" s="8">
        <v>39269080</v>
      </c>
      <c r="AJ455" s="8" t="s">
        <v>60</v>
      </c>
      <c r="AK455" s="8">
        <v>1</v>
      </c>
      <c r="AL455" s="8">
        <v>0</v>
      </c>
      <c r="AM455" s="8" t="s">
        <v>1940</v>
      </c>
    </row>
    <row r="456" spans="7:39" ht="12.75" customHeight="1">
      <c r="G456" s="347"/>
      <c r="H456" s="6" t="s">
        <v>3167</v>
      </c>
      <c r="I456" s="8" t="s">
        <v>87</v>
      </c>
      <c r="J456" s="8" t="s">
        <v>91</v>
      </c>
      <c r="K456" s="8" t="s">
        <v>3185</v>
      </c>
      <c r="L456" s="8" t="s">
        <v>98</v>
      </c>
      <c r="M456" s="8" t="s">
        <v>3186</v>
      </c>
      <c r="N456" s="8" t="s">
        <v>3167</v>
      </c>
      <c r="O456" s="8" t="s">
        <v>13</v>
      </c>
      <c r="P456" s="8" t="s">
        <v>80</v>
      </c>
      <c r="Q456" s="8" t="s">
        <v>81</v>
      </c>
      <c r="R456" s="8" t="s">
        <v>82</v>
      </c>
      <c r="S456" s="8" t="s">
        <v>17</v>
      </c>
      <c r="T456" s="9">
        <v>2186</v>
      </c>
      <c r="U456" s="9">
        <v>399557.08</v>
      </c>
      <c r="V456" s="8" t="s">
        <v>17</v>
      </c>
      <c r="W456" s="8">
        <v>1447725.94</v>
      </c>
      <c r="X456" s="8">
        <v>9</v>
      </c>
      <c r="Y456" s="8">
        <v>35960.14</v>
      </c>
      <c r="Z456" s="8">
        <v>9</v>
      </c>
      <c r="AA456" s="8">
        <v>35960.14</v>
      </c>
      <c r="AB456" s="8">
        <v>0</v>
      </c>
      <c r="AC456" s="8">
        <v>0</v>
      </c>
      <c r="AD456" s="8">
        <v>0</v>
      </c>
      <c r="AE456" s="8">
        <v>71920.28</v>
      </c>
      <c r="AF456" s="8">
        <v>0</v>
      </c>
      <c r="AG456" s="8" t="s">
        <v>65</v>
      </c>
      <c r="AH456" s="8" t="s">
        <v>11</v>
      </c>
      <c r="AI456" s="8">
        <v>39200000</v>
      </c>
      <c r="AJ456" s="8" t="s">
        <v>60</v>
      </c>
      <c r="AK456" s="8">
        <v>1</v>
      </c>
      <c r="AL456" s="8">
        <v>0</v>
      </c>
      <c r="AM456" s="8" t="s">
        <v>1940</v>
      </c>
    </row>
    <row r="457" spans="7:39" ht="12.75" customHeight="1">
      <c r="G457" s="347"/>
      <c r="H457" s="6" t="s">
        <v>3167</v>
      </c>
      <c r="I457" s="8" t="s">
        <v>87</v>
      </c>
      <c r="J457" s="8" t="s">
        <v>91</v>
      </c>
      <c r="K457" s="8" t="s">
        <v>3185</v>
      </c>
      <c r="L457" s="8" t="s">
        <v>98</v>
      </c>
      <c r="M457" s="8" t="s">
        <v>3186</v>
      </c>
      <c r="N457" s="7" t="s">
        <v>3167</v>
      </c>
      <c r="O457" s="8" t="s">
        <v>13</v>
      </c>
      <c r="P457" s="8" t="s">
        <v>80</v>
      </c>
      <c r="Q457" s="8" t="s">
        <v>81</v>
      </c>
      <c r="R457" s="8" t="s">
        <v>82</v>
      </c>
      <c r="S457" s="8" t="s">
        <v>17</v>
      </c>
      <c r="T457" s="9">
        <v>588</v>
      </c>
      <c r="U457" s="9">
        <v>109826.64</v>
      </c>
      <c r="V457" s="8" t="s">
        <v>17</v>
      </c>
      <c r="W457" s="8">
        <v>0</v>
      </c>
      <c r="X457" s="8">
        <v>9</v>
      </c>
      <c r="Y457" s="8">
        <v>9884.4</v>
      </c>
      <c r="Z457" s="8">
        <v>9</v>
      </c>
      <c r="AA457" s="8">
        <v>9884.4</v>
      </c>
      <c r="AB457" s="8">
        <v>0</v>
      </c>
      <c r="AC457" s="8">
        <v>0</v>
      </c>
      <c r="AD457" s="8">
        <v>0</v>
      </c>
      <c r="AE457" s="8">
        <v>19768.8</v>
      </c>
      <c r="AF457" s="8">
        <v>0</v>
      </c>
      <c r="AG457" s="8" t="s">
        <v>65</v>
      </c>
      <c r="AH457" s="8" t="s">
        <v>11</v>
      </c>
      <c r="AI457" s="8">
        <v>39200000</v>
      </c>
      <c r="AJ457" s="8" t="s">
        <v>60</v>
      </c>
      <c r="AK457" s="8">
        <v>1</v>
      </c>
      <c r="AL457" s="8">
        <v>0</v>
      </c>
      <c r="AM457" s="8" t="s">
        <v>1940</v>
      </c>
    </row>
    <row r="458" spans="7:39" ht="12.75" customHeight="1">
      <c r="G458" s="347"/>
      <c r="H458" s="6" t="s">
        <v>3167</v>
      </c>
      <c r="I458" s="8" t="s">
        <v>87</v>
      </c>
      <c r="J458" s="8" t="s">
        <v>91</v>
      </c>
      <c r="K458" s="8" t="s">
        <v>3185</v>
      </c>
      <c r="L458" s="8" t="s">
        <v>98</v>
      </c>
      <c r="M458" s="8" t="s">
        <v>3186</v>
      </c>
      <c r="N458" s="7" t="s">
        <v>3167</v>
      </c>
      <c r="O458" s="8" t="s">
        <v>13</v>
      </c>
      <c r="P458" s="8" t="s">
        <v>62</v>
      </c>
      <c r="Q458" s="8" t="s">
        <v>63</v>
      </c>
      <c r="R458" s="8" t="s">
        <v>64</v>
      </c>
      <c r="S458" s="8" t="s">
        <v>19</v>
      </c>
      <c r="T458" s="9">
        <v>633</v>
      </c>
      <c r="U458" s="9">
        <v>92728.17</v>
      </c>
      <c r="V458" s="8" t="s">
        <v>19</v>
      </c>
      <c r="W458" s="8">
        <v>0</v>
      </c>
      <c r="X458" s="8">
        <v>9</v>
      </c>
      <c r="Y458" s="8">
        <v>8345.5400000000009</v>
      </c>
      <c r="Z458" s="8">
        <v>9</v>
      </c>
      <c r="AA458" s="8">
        <v>8345.5400000000009</v>
      </c>
      <c r="AB458" s="8">
        <v>0</v>
      </c>
      <c r="AC458" s="8">
        <v>0</v>
      </c>
      <c r="AD458" s="8">
        <v>0</v>
      </c>
      <c r="AE458" s="8">
        <v>16691.080000000002</v>
      </c>
      <c r="AF458" s="8">
        <v>0</v>
      </c>
      <c r="AG458" s="8" t="s">
        <v>65</v>
      </c>
      <c r="AH458" s="8" t="s">
        <v>11</v>
      </c>
      <c r="AI458" s="8">
        <v>39269080</v>
      </c>
      <c r="AJ458" s="8" t="s">
        <v>60</v>
      </c>
      <c r="AK458" s="8">
        <v>1</v>
      </c>
      <c r="AL458" s="8">
        <v>0</v>
      </c>
      <c r="AM458" s="8" t="s">
        <v>1940</v>
      </c>
    </row>
    <row r="459" spans="7:39" ht="12.75" customHeight="1">
      <c r="G459" s="347"/>
      <c r="H459" s="6" t="s">
        <v>3167</v>
      </c>
      <c r="I459" s="8" t="s">
        <v>87</v>
      </c>
      <c r="J459" s="8" t="s">
        <v>91</v>
      </c>
      <c r="K459" s="8" t="s">
        <v>3185</v>
      </c>
      <c r="L459" s="8" t="s">
        <v>98</v>
      </c>
      <c r="M459" s="8" t="s">
        <v>3186</v>
      </c>
      <c r="N459" s="7" t="s">
        <v>3167</v>
      </c>
      <c r="O459" s="8" t="s">
        <v>13</v>
      </c>
      <c r="P459" s="8" t="s">
        <v>62</v>
      </c>
      <c r="Q459" s="8" t="s">
        <v>63</v>
      </c>
      <c r="R459" s="8" t="s">
        <v>64</v>
      </c>
      <c r="S459" s="8" t="s">
        <v>19</v>
      </c>
      <c r="T459" s="9">
        <v>215</v>
      </c>
      <c r="U459" s="9">
        <v>31710.35</v>
      </c>
      <c r="V459" s="8" t="s">
        <v>19</v>
      </c>
      <c r="W459" s="8">
        <v>0</v>
      </c>
      <c r="X459" s="8">
        <v>9</v>
      </c>
      <c r="Y459" s="8">
        <v>2853.93</v>
      </c>
      <c r="Z459" s="8">
        <v>9</v>
      </c>
      <c r="AA459" s="8">
        <v>2853.93</v>
      </c>
      <c r="AB459" s="8">
        <v>0</v>
      </c>
      <c r="AC459" s="8">
        <v>0</v>
      </c>
      <c r="AD459" s="8">
        <v>0</v>
      </c>
      <c r="AE459" s="8">
        <v>5707.86</v>
      </c>
      <c r="AF459" s="8">
        <v>0</v>
      </c>
      <c r="AG459" s="8" t="s">
        <v>65</v>
      </c>
      <c r="AH459" s="8" t="s">
        <v>11</v>
      </c>
      <c r="AI459" s="8">
        <v>39269080</v>
      </c>
      <c r="AJ459" s="8" t="s">
        <v>60</v>
      </c>
      <c r="AK459" s="8">
        <v>1</v>
      </c>
      <c r="AL459" s="8">
        <v>0</v>
      </c>
      <c r="AM459" s="8" t="s">
        <v>1940</v>
      </c>
    </row>
    <row r="460" spans="7:39" ht="12.75" customHeight="1">
      <c r="G460" s="347"/>
      <c r="H460" s="6" t="s">
        <v>3167</v>
      </c>
      <c r="I460" s="8" t="s">
        <v>87</v>
      </c>
      <c r="J460" s="8" t="s">
        <v>91</v>
      </c>
      <c r="K460" s="8" t="s">
        <v>3185</v>
      </c>
      <c r="L460" s="8" t="s">
        <v>98</v>
      </c>
      <c r="M460" s="8" t="s">
        <v>3186</v>
      </c>
      <c r="N460" s="7" t="s">
        <v>3167</v>
      </c>
      <c r="O460" s="8" t="s">
        <v>13</v>
      </c>
      <c r="P460" s="8" t="s">
        <v>62</v>
      </c>
      <c r="Q460" s="8" t="s">
        <v>63</v>
      </c>
      <c r="R460" s="8" t="s">
        <v>64</v>
      </c>
      <c r="S460" s="8" t="s">
        <v>19</v>
      </c>
      <c r="T460" s="9">
        <v>3002</v>
      </c>
      <c r="U460" s="9">
        <v>433758.98</v>
      </c>
      <c r="V460" s="8" t="s">
        <v>19</v>
      </c>
      <c r="W460" s="8">
        <v>0</v>
      </c>
      <c r="X460" s="8">
        <v>9</v>
      </c>
      <c r="Y460" s="8">
        <v>39038.31</v>
      </c>
      <c r="Z460" s="8">
        <v>9</v>
      </c>
      <c r="AA460" s="8">
        <v>39038.31</v>
      </c>
      <c r="AB460" s="8">
        <v>0</v>
      </c>
      <c r="AC460" s="8">
        <v>0</v>
      </c>
      <c r="AD460" s="8">
        <v>0</v>
      </c>
      <c r="AE460" s="8">
        <v>78076.62</v>
      </c>
      <c r="AF460" s="8">
        <v>0</v>
      </c>
      <c r="AG460" s="8" t="s">
        <v>65</v>
      </c>
      <c r="AH460" s="8" t="s">
        <v>11</v>
      </c>
      <c r="AI460" s="8">
        <v>39269080</v>
      </c>
      <c r="AJ460" s="8" t="s">
        <v>60</v>
      </c>
      <c r="AK460" s="8">
        <v>1</v>
      </c>
      <c r="AL460" s="8">
        <v>0</v>
      </c>
      <c r="AM460" s="8" t="s">
        <v>1940</v>
      </c>
    </row>
    <row r="461" spans="7:39" ht="12.75" customHeight="1">
      <c r="G461" s="347"/>
      <c r="H461" s="6" t="s">
        <v>3167</v>
      </c>
      <c r="I461" s="8" t="s">
        <v>87</v>
      </c>
      <c r="J461" s="8" t="s">
        <v>91</v>
      </c>
      <c r="K461" s="8" t="s">
        <v>3185</v>
      </c>
      <c r="L461" s="8" t="s">
        <v>98</v>
      </c>
      <c r="M461" s="8" t="s">
        <v>3186</v>
      </c>
      <c r="N461" s="7" t="s">
        <v>3167</v>
      </c>
      <c r="O461" s="8" t="s">
        <v>13</v>
      </c>
      <c r="P461" s="8" t="s">
        <v>24</v>
      </c>
      <c r="Q461" s="8" t="s">
        <v>79</v>
      </c>
      <c r="R461" s="8" t="s">
        <v>79</v>
      </c>
      <c r="S461" s="8" t="s">
        <v>24</v>
      </c>
      <c r="T461" s="9">
        <v>167</v>
      </c>
      <c r="U461" s="9">
        <v>28471.83</v>
      </c>
      <c r="V461" s="8" t="s">
        <v>24</v>
      </c>
      <c r="W461" s="8">
        <v>0</v>
      </c>
      <c r="X461" s="8">
        <v>9</v>
      </c>
      <c r="Y461" s="8">
        <v>2562.46</v>
      </c>
      <c r="Z461" s="8">
        <v>9</v>
      </c>
      <c r="AA461" s="8">
        <v>2562.46</v>
      </c>
      <c r="AB461" s="8">
        <v>0</v>
      </c>
      <c r="AC461" s="8">
        <v>0</v>
      </c>
      <c r="AD461" s="8">
        <v>0</v>
      </c>
      <c r="AE461" s="8">
        <v>5124.92</v>
      </c>
      <c r="AF461" s="8">
        <v>0</v>
      </c>
      <c r="AG461" s="8" t="s">
        <v>65</v>
      </c>
      <c r="AH461" s="8" t="s">
        <v>11</v>
      </c>
      <c r="AI461" s="8">
        <v>3926908</v>
      </c>
      <c r="AJ461" s="8" t="s">
        <v>60</v>
      </c>
      <c r="AK461" s="8">
        <v>1</v>
      </c>
      <c r="AL461" s="8">
        <v>0</v>
      </c>
      <c r="AM461" s="8" t="s">
        <v>1940</v>
      </c>
    </row>
    <row r="462" spans="7:39" ht="12.75" customHeight="1">
      <c r="G462" s="347"/>
      <c r="H462" s="6" t="s">
        <v>3167</v>
      </c>
      <c r="I462" s="8" t="s">
        <v>87</v>
      </c>
      <c r="J462" s="8" t="s">
        <v>91</v>
      </c>
      <c r="K462" s="8" t="s">
        <v>3185</v>
      </c>
      <c r="L462" s="8" t="s">
        <v>98</v>
      </c>
      <c r="M462" s="8" t="s">
        <v>3186</v>
      </c>
      <c r="N462" s="7" t="s">
        <v>3167</v>
      </c>
      <c r="O462" s="8" t="s">
        <v>13</v>
      </c>
      <c r="P462" s="8" t="s">
        <v>24</v>
      </c>
      <c r="Q462" s="8" t="s">
        <v>79</v>
      </c>
      <c r="R462" s="8" t="s">
        <v>79</v>
      </c>
      <c r="S462" s="8" t="s">
        <v>24</v>
      </c>
      <c r="T462" s="9">
        <v>377.2</v>
      </c>
      <c r="U462" s="9">
        <v>56387.63</v>
      </c>
      <c r="V462" s="8" t="s">
        <v>24</v>
      </c>
      <c r="W462" s="8">
        <v>0</v>
      </c>
      <c r="X462" s="8">
        <v>9</v>
      </c>
      <c r="Y462" s="8">
        <v>5074.8900000000003</v>
      </c>
      <c r="Z462" s="8">
        <v>9</v>
      </c>
      <c r="AA462" s="8">
        <v>5074.8900000000003</v>
      </c>
      <c r="AB462" s="8">
        <v>0</v>
      </c>
      <c r="AC462" s="8">
        <v>0</v>
      </c>
      <c r="AD462" s="8">
        <v>0</v>
      </c>
      <c r="AE462" s="8">
        <v>10149.780000000001</v>
      </c>
      <c r="AF462" s="8">
        <v>0</v>
      </c>
      <c r="AG462" s="8" t="s">
        <v>65</v>
      </c>
      <c r="AH462" s="8" t="s">
        <v>11</v>
      </c>
      <c r="AI462" s="8">
        <v>3926908</v>
      </c>
      <c r="AJ462" s="8" t="s">
        <v>60</v>
      </c>
      <c r="AK462" s="8">
        <v>1</v>
      </c>
      <c r="AL462" s="8">
        <v>0</v>
      </c>
      <c r="AM462" s="8" t="s">
        <v>1940</v>
      </c>
    </row>
    <row r="463" spans="7:39" ht="12.75" customHeight="1">
      <c r="G463" s="347"/>
      <c r="H463" s="6" t="s">
        <v>3167</v>
      </c>
      <c r="I463" s="8" t="s">
        <v>87</v>
      </c>
      <c r="J463" s="8" t="s">
        <v>91</v>
      </c>
      <c r="K463" s="8" t="s">
        <v>3185</v>
      </c>
      <c r="L463" s="8" t="s">
        <v>98</v>
      </c>
      <c r="M463" s="8" t="s">
        <v>3186</v>
      </c>
      <c r="N463" s="7" t="s">
        <v>3167</v>
      </c>
      <c r="O463" s="8" t="s">
        <v>13</v>
      </c>
      <c r="P463" s="8" t="s">
        <v>24</v>
      </c>
      <c r="Q463" s="8" t="s">
        <v>79</v>
      </c>
      <c r="R463" s="8" t="s">
        <v>79</v>
      </c>
      <c r="S463" s="8" t="s">
        <v>24</v>
      </c>
      <c r="T463" s="9">
        <v>515.29999999999995</v>
      </c>
      <c r="U463" s="9">
        <v>75486.3</v>
      </c>
      <c r="V463" s="8" t="s">
        <v>24</v>
      </c>
      <c r="W463" s="8">
        <v>0</v>
      </c>
      <c r="X463" s="8">
        <v>9</v>
      </c>
      <c r="Y463" s="8">
        <v>6793.77</v>
      </c>
      <c r="Z463" s="8">
        <v>9</v>
      </c>
      <c r="AA463" s="8">
        <v>6793.77</v>
      </c>
      <c r="AB463" s="8">
        <v>0</v>
      </c>
      <c r="AC463" s="8">
        <v>0</v>
      </c>
      <c r="AD463" s="8">
        <v>0</v>
      </c>
      <c r="AE463" s="8">
        <v>13587.54</v>
      </c>
      <c r="AF463" s="8">
        <v>0</v>
      </c>
      <c r="AG463" s="8" t="s">
        <v>65</v>
      </c>
      <c r="AH463" s="8" t="s">
        <v>11</v>
      </c>
      <c r="AI463" s="8">
        <v>3926908</v>
      </c>
      <c r="AJ463" s="8" t="s">
        <v>60</v>
      </c>
      <c r="AK463" s="8">
        <v>1</v>
      </c>
      <c r="AL463" s="8">
        <v>0</v>
      </c>
      <c r="AM463" s="8" t="s">
        <v>1940</v>
      </c>
    </row>
    <row r="464" spans="7:39" ht="12.75" customHeight="1">
      <c r="G464" s="347"/>
      <c r="H464" s="6" t="s">
        <v>3167</v>
      </c>
      <c r="I464" s="8" t="s">
        <v>2249</v>
      </c>
      <c r="J464" s="8" t="s">
        <v>96</v>
      </c>
      <c r="K464" s="8" t="s">
        <v>3187</v>
      </c>
      <c r="L464" s="8" t="s">
        <v>2250</v>
      </c>
      <c r="M464" s="8" t="s">
        <v>3188</v>
      </c>
      <c r="N464" s="7" t="s">
        <v>3052</v>
      </c>
      <c r="O464" s="8" t="s">
        <v>2</v>
      </c>
      <c r="P464" s="8" t="s">
        <v>1697</v>
      </c>
      <c r="Q464" s="8" t="s">
        <v>68</v>
      </c>
      <c r="R464" s="8" t="s">
        <v>69</v>
      </c>
      <c r="S464" s="8" t="s">
        <v>2977</v>
      </c>
      <c r="T464" s="9">
        <v>10</v>
      </c>
      <c r="U464" s="9">
        <v>10500</v>
      </c>
      <c r="V464" s="8" t="s">
        <v>2977</v>
      </c>
      <c r="W464" s="8">
        <v>65678</v>
      </c>
      <c r="X464" s="8">
        <v>0</v>
      </c>
      <c r="Y464" s="8">
        <v>0</v>
      </c>
      <c r="Z464" s="8">
        <v>0</v>
      </c>
      <c r="AA464" s="8">
        <v>0</v>
      </c>
      <c r="AB464" s="8">
        <v>5</v>
      </c>
      <c r="AC464" s="8">
        <v>525</v>
      </c>
      <c r="AD464" s="8">
        <v>26.25</v>
      </c>
      <c r="AE464" s="8">
        <v>551.25</v>
      </c>
      <c r="AF464" s="8">
        <v>0</v>
      </c>
      <c r="AG464" s="8" t="s">
        <v>2251</v>
      </c>
      <c r="AH464" s="8" t="s">
        <v>1</v>
      </c>
      <c r="AI464" s="8">
        <v>84529099</v>
      </c>
      <c r="AJ464" s="8" t="s">
        <v>60</v>
      </c>
      <c r="AK464" s="8">
        <v>1</v>
      </c>
      <c r="AL464" s="8">
        <v>0</v>
      </c>
      <c r="AM464" s="8" t="s">
        <v>1940</v>
      </c>
    </row>
    <row r="465" spans="7:39" ht="12.75" customHeight="1">
      <c r="G465" s="347"/>
      <c r="H465" s="6" t="s">
        <v>3167</v>
      </c>
      <c r="I465" s="8" t="s">
        <v>2249</v>
      </c>
      <c r="J465" s="8" t="s">
        <v>96</v>
      </c>
      <c r="K465" s="8" t="s">
        <v>3187</v>
      </c>
      <c r="L465" s="8" t="s">
        <v>2250</v>
      </c>
      <c r="M465" s="8" t="s">
        <v>3188</v>
      </c>
      <c r="N465" s="7" t="s">
        <v>3052</v>
      </c>
      <c r="O465" s="8" t="s">
        <v>2</v>
      </c>
      <c r="P465" s="8" t="s">
        <v>1697</v>
      </c>
      <c r="Q465" s="8" t="s">
        <v>68</v>
      </c>
      <c r="R465" s="8" t="s">
        <v>69</v>
      </c>
      <c r="S465" s="8" t="s">
        <v>3189</v>
      </c>
      <c r="T465" s="9">
        <v>10</v>
      </c>
      <c r="U465" s="9">
        <v>2500</v>
      </c>
      <c r="V465" s="8" t="s">
        <v>3189</v>
      </c>
      <c r="W465" s="8">
        <v>0</v>
      </c>
      <c r="X465" s="8">
        <v>0</v>
      </c>
      <c r="Y465" s="8">
        <v>0</v>
      </c>
      <c r="Z465" s="8">
        <v>0</v>
      </c>
      <c r="AA465" s="8">
        <v>0</v>
      </c>
      <c r="AB465" s="8">
        <v>5</v>
      </c>
      <c r="AC465" s="8">
        <v>125</v>
      </c>
      <c r="AD465" s="8">
        <v>26.25</v>
      </c>
      <c r="AE465" s="8">
        <v>151.25</v>
      </c>
      <c r="AF465" s="8">
        <v>0</v>
      </c>
      <c r="AG465" s="8" t="s">
        <v>2251</v>
      </c>
      <c r="AH465" s="8" t="s">
        <v>1</v>
      </c>
      <c r="AI465" s="8">
        <v>84529099</v>
      </c>
      <c r="AJ465" s="8" t="s">
        <v>60</v>
      </c>
      <c r="AK465" s="8">
        <v>1</v>
      </c>
      <c r="AL465" s="8">
        <v>0</v>
      </c>
      <c r="AM465" s="8" t="s">
        <v>1940</v>
      </c>
    </row>
    <row r="466" spans="7:39" ht="12.75" customHeight="1">
      <c r="G466" s="347"/>
      <c r="H466" s="6" t="s">
        <v>3167</v>
      </c>
      <c r="I466" s="8" t="s">
        <v>2249</v>
      </c>
      <c r="J466" s="8" t="s">
        <v>96</v>
      </c>
      <c r="K466" s="8" t="s">
        <v>3187</v>
      </c>
      <c r="L466" s="8" t="s">
        <v>2250</v>
      </c>
      <c r="M466" s="8" t="s">
        <v>3188</v>
      </c>
      <c r="N466" s="8" t="s">
        <v>3052</v>
      </c>
      <c r="O466" s="8" t="s">
        <v>2</v>
      </c>
      <c r="P466" s="8" t="s">
        <v>1697</v>
      </c>
      <c r="Q466" s="8" t="s">
        <v>68</v>
      </c>
      <c r="R466" s="8" t="s">
        <v>69</v>
      </c>
      <c r="S466" s="8" t="s">
        <v>2581</v>
      </c>
      <c r="T466" s="9">
        <v>8</v>
      </c>
      <c r="U466" s="9">
        <v>6800</v>
      </c>
      <c r="V466" s="8" t="s">
        <v>2581</v>
      </c>
      <c r="W466" s="8">
        <v>0</v>
      </c>
      <c r="X466" s="8">
        <v>0</v>
      </c>
      <c r="Y466" s="8">
        <v>0</v>
      </c>
      <c r="Z466" s="8">
        <v>0</v>
      </c>
      <c r="AA466" s="8">
        <v>0</v>
      </c>
      <c r="AB466" s="8">
        <v>5</v>
      </c>
      <c r="AC466" s="8">
        <v>340</v>
      </c>
      <c r="AD466" s="8">
        <v>26.25</v>
      </c>
      <c r="AE466" s="8">
        <v>366.25</v>
      </c>
      <c r="AF466" s="8">
        <v>0</v>
      </c>
      <c r="AG466" s="8" t="s">
        <v>2251</v>
      </c>
      <c r="AH466" s="8" t="s">
        <v>1</v>
      </c>
      <c r="AI466" s="8">
        <v>84529099</v>
      </c>
      <c r="AJ466" s="8" t="s">
        <v>60</v>
      </c>
      <c r="AK466" s="8">
        <v>1</v>
      </c>
      <c r="AL466" s="8">
        <v>0</v>
      </c>
      <c r="AM466" s="8" t="s">
        <v>1940</v>
      </c>
    </row>
    <row r="467" spans="7:39" ht="12.75" customHeight="1">
      <c r="G467" s="347"/>
      <c r="H467" s="6" t="s">
        <v>3167</v>
      </c>
      <c r="I467" s="8" t="s">
        <v>2249</v>
      </c>
      <c r="J467" s="8" t="s">
        <v>96</v>
      </c>
      <c r="K467" s="8" t="s">
        <v>3187</v>
      </c>
      <c r="L467" s="8" t="s">
        <v>2250</v>
      </c>
      <c r="M467" s="8" t="s">
        <v>3188</v>
      </c>
      <c r="N467" s="8" t="s">
        <v>3052</v>
      </c>
      <c r="O467" s="8" t="s">
        <v>2</v>
      </c>
      <c r="P467" s="8" t="s">
        <v>1697</v>
      </c>
      <c r="Q467" s="8" t="s">
        <v>68</v>
      </c>
      <c r="R467" s="8" t="s">
        <v>69</v>
      </c>
      <c r="S467" s="8" t="s">
        <v>3190</v>
      </c>
      <c r="T467" s="9">
        <v>10</v>
      </c>
      <c r="U467" s="9">
        <v>800</v>
      </c>
      <c r="V467" s="8" t="s">
        <v>3190</v>
      </c>
      <c r="W467" s="8">
        <v>0</v>
      </c>
      <c r="X467" s="8">
        <v>0</v>
      </c>
      <c r="Y467" s="8">
        <v>0</v>
      </c>
      <c r="Z467" s="8">
        <v>0</v>
      </c>
      <c r="AA467" s="8">
        <v>0</v>
      </c>
      <c r="AB467" s="8">
        <v>5</v>
      </c>
      <c r="AC467" s="8">
        <v>40</v>
      </c>
      <c r="AD467" s="8">
        <v>26.25</v>
      </c>
      <c r="AE467" s="8">
        <v>66.25</v>
      </c>
      <c r="AF467" s="8">
        <v>0</v>
      </c>
      <c r="AG467" s="8" t="s">
        <v>2251</v>
      </c>
      <c r="AH467" s="8" t="s">
        <v>1</v>
      </c>
      <c r="AI467" s="8">
        <v>84529099</v>
      </c>
      <c r="AJ467" s="8" t="s">
        <v>60</v>
      </c>
      <c r="AK467" s="8">
        <v>1</v>
      </c>
      <c r="AL467" s="8">
        <v>0</v>
      </c>
      <c r="AM467" s="8" t="s">
        <v>1940</v>
      </c>
    </row>
    <row r="468" spans="7:39" ht="12.75" customHeight="1">
      <c r="G468" s="347"/>
      <c r="H468" s="6" t="s">
        <v>3167</v>
      </c>
      <c r="I468" s="8" t="s">
        <v>2249</v>
      </c>
      <c r="J468" s="8" t="s">
        <v>96</v>
      </c>
      <c r="K468" s="8" t="s">
        <v>3187</v>
      </c>
      <c r="L468" s="8" t="s">
        <v>2250</v>
      </c>
      <c r="M468" s="8" t="s">
        <v>3188</v>
      </c>
      <c r="N468" s="8" t="s">
        <v>3052</v>
      </c>
      <c r="O468" s="8" t="s">
        <v>2</v>
      </c>
      <c r="P468" s="8" t="s">
        <v>112</v>
      </c>
      <c r="Q468" s="8" t="s">
        <v>68</v>
      </c>
      <c r="R468" s="8" t="s">
        <v>69</v>
      </c>
      <c r="S468" s="8" t="s">
        <v>3191</v>
      </c>
      <c r="T468" s="9">
        <v>20</v>
      </c>
      <c r="U468" s="9">
        <v>400</v>
      </c>
      <c r="V468" s="8" t="s">
        <v>3191</v>
      </c>
      <c r="W468" s="8">
        <v>0</v>
      </c>
      <c r="X468" s="8">
        <v>0</v>
      </c>
      <c r="Y468" s="8">
        <v>0</v>
      </c>
      <c r="Z468" s="8">
        <v>0</v>
      </c>
      <c r="AA468" s="8">
        <v>0</v>
      </c>
      <c r="AB468" s="8">
        <v>5</v>
      </c>
      <c r="AC468" s="8">
        <v>20</v>
      </c>
      <c r="AD468" s="8">
        <v>26.25</v>
      </c>
      <c r="AE468" s="8">
        <v>46.25</v>
      </c>
      <c r="AF468" s="8">
        <v>0</v>
      </c>
      <c r="AG468" s="8" t="s">
        <v>2251</v>
      </c>
      <c r="AH468" s="8" t="s">
        <v>1</v>
      </c>
      <c r="AI468" s="8">
        <v>73181500</v>
      </c>
      <c r="AJ468" s="8" t="s">
        <v>60</v>
      </c>
      <c r="AK468" s="8">
        <v>1</v>
      </c>
      <c r="AL468" s="8">
        <v>0</v>
      </c>
      <c r="AM468" s="8" t="s">
        <v>1940</v>
      </c>
    </row>
    <row r="469" spans="7:39" ht="12.75" customHeight="1">
      <c r="G469" s="347"/>
      <c r="H469" s="6" t="s">
        <v>3167</v>
      </c>
      <c r="I469" s="8" t="s">
        <v>2249</v>
      </c>
      <c r="J469" s="8" t="s">
        <v>96</v>
      </c>
      <c r="K469" s="8" t="s">
        <v>3187</v>
      </c>
      <c r="L469" s="8" t="s">
        <v>2250</v>
      </c>
      <c r="M469" s="8" t="s">
        <v>3188</v>
      </c>
      <c r="N469" s="8" t="s">
        <v>3052</v>
      </c>
      <c r="O469" s="8" t="s">
        <v>2</v>
      </c>
      <c r="P469" s="8" t="s">
        <v>1697</v>
      </c>
      <c r="Q469" s="8" t="s">
        <v>68</v>
      </c>
      <c r="R469" s="8" t="s">
        <v>69</v>
      </c>
      <c r="S469" s="8" t="s">
        <v>2905</v>
      </c>
      <c r="T469" s="9">
        <v>10</v>
      </c>
      <c r="U469" s="9">
        <v>25000</v>
      </c>
      <c r="V469" s="8" t="s">
        <v>2905</v>
      </c>
      <c r="W469" s="8">
        <v>0</v>
      </c>
      <c r="X469" s="8">
        <v>0</v>
      </c>
      <c r="Y469" s="8">
        <v>0</v>
      </c>
      <c r="Z469" s="8">
        <v>0</v>
      </c>
      <c r="AA469" s="8">
        <v>0</v>
      </c>
      <c r="AB469" s="8">
        <v>5</v>
      </c>
      <c r="AC469" s="8">
        <v>1250</v>
      </c>
      <c r="AD469" s="8">
        <v>26.25</v>
      </c>
      <c r="AE469" s="8">
        <v>1276.25</v>
      </c>
      <c r="AF469" s="8">
        <v>0</v>
      </c>
      <c r="AG469" s="8" t="s">
        <v>2251</v>
      </c>
      <c r="AH469" s="8" t="s">
        <v>1</v>
      </c>
      <c r="AI469" s="8">
        <v>84529099</v>
      </c>
      <c r="AJ469" s="8" t="s">
        <v>60</v>
      </c>
      <c r="AK469" s="8">
        <v>1</v>
      </c>
      <c r="AL469" s="8">
        <v>0</v>
      </c>
      <c r="AM469" s="8" t="s">
        <v>1940</v>
      </c>
    </row>
    <row r="470" spans="7:39" ht="12.75" customHeight="1">
      <c r="G470" s="347"/>
      <c r="H470" s="6" t="s">
        <v>3167</v>
      </c>
      <c r="I470" s="8" t="s">
        <v>2249</v>
      </c>
      <c r="J470" s="8" t="s">
        <v>96</v>
      </c>
      <c r="K470" s="8" t="s">
        <v>3187</v>
      </c>
      <c r="L470" s="8" t="s">
        <v>2250</v>
      </c>
      <c r="M470" s="8" t="s">
        <v>3188</v>
      </c>
      <c r="N470" s="8" t="s">
        <v>3052</v>
      </c>
      <c r="O470" s="8" t="s">
        <v>2</v>
      </c>
      <c r="P470" s="8" t="s">
        <v>1697</v>
      </c>
      <c r="Q470" s="8" t="s">
        <v>68</v>
      </c>
      <c r="R470" s="8" t="s">
        <v>69</v>
      </c>
      <c r="S470" s="8" t="s">
        <v>3192</v>
      </c>
      <c r="T470" s="9">
        <v>10</v>
      </c>
      <c r="U470" s="9">
        <v>2400</v>
      </c>
      <c r="V470" s="8" t="s">
        <v>3192</v>
      </c>
      <c r="W470" s="8">
        <v>0</v>
      </c>
      <c r="X470" s="8">
        <v>0</v>
      </c>
      <c r="Y470" s="8">
        <v>0</v>
      </c>
      <c r="Z470" s="8">
        <v>0</v>
      </c>
      <c r="AA470" s="8">
        <v>0</v>
      </c>
      <c r="AB470" s="8">
        <v>5</v>
      </c>
      <c r="AC470" s="8">
        <v>120</v>
      </c>
      <c r="AD470" s="8">
        <v>26.25</v>
      </c>
      <c r="AE470" s="8">
        <v>146.25</v>
      </c>
      <c r="AF470" s="8">
        <v>0</v>
      </c>
      <c r="AG470" s="8" t="s">
        <v>2251</v>
      </c>
      <c r="AH470" s="8" t="s">
        <v>1</v>
      </c>
      <c r="AI470" s="8">
        <v>84529099</v>
      </c>
      <c r="AJ470" s="8" t="s">
        <v>60</v>
      </c>
      <c r="AK470" s="8">
        <v>1</v>
      </c>
      <c r="AL470" s="8">
        <v>0</v>
      </c>
      <c r="AM470" s="8" t="s">
        <v>1940</v>
      </c>
    </row>
    <row r="471" spans="7:39" ht="12.75" customHeight="1">
      <c r="G471" s="347"/>
      <c r="H471" s="6" t="s">
        <v>3167</v>
      </c>
      <c r="I471" s="8" t="s">
        <v>2249</v>
      </c>
      <c r="J471" s="8" t="s">
        <v>96</v>
      </c>
      <c r="K471" s="8" t="s">
        <v>3187</v>
      </c>
      <c r="L471" s="8" t="s">
        <v>2250</v>
      </c>
      <c r="M471" s="8" t="s">
        <v>3188</v>
      </c>
      <c r="N471" s="8" t="s">
        <v>3052</v>
      </c>
      <c r="O471" s="8" t="s">
        <v>2</v>
      </c>
      <c r="P471" s="8" t="s">
        <v>1697</v>
      </c>
      <c r="Q471" s="8" t="s">
        <v>68</v>
      </c>
      <c r="R471" s="8" t="s">
        <v>69</v>
      </c>
      <c r="S471" s="8" t="s">
        <v>3193</v>
      </c>
      <c r="T471" s="9">
        <v>10</v>
      </c>
      <c r="U471" s="9">
        <v>2500</v>
      </c>
      <c r="V471" s="8" t="s">
        <v>3193</v>
      </c>
      <c r="W471" s="8">
        <v>0</v>
      </c>
      <c r="X471" s="8">
        <v>0</v>
      </c>
      <c r="Y471" s="8">
        <v>0</v>
      </c>
      <c r="Z471" s="8">
        <v>0</v>
      </c>
      <c r="AA471" s="8">
        <v>0</v>
      </c>
      <c r="AB471" s="8">
        <v>5</v>
      </c>
      <c r="AC471" s="8">
        <v>125</v>
      </c>
      <c r="AD471" s="8">
        <v>26.25</v>
      </c>
      <c r="AE471" s="8">
        <v>151.25</v>
      </c>
      <c r="AF471" s="8">
        <v>0</v>
      </c>
      <c r="AG471" s="8" t="s">
        <v>2251</v>
      </c>
      <c r="AH471" s="8" t="s">
        <v>1</v>
      </c>
      <c r="AI471" s="8">
        <v>84529099</v>
      </c>
      <c r="AJ471" s="8" t="s">
        <v>60</v>
      </c>
      <c r="AK471" s="8">
        <v>1</v>
      </c>
      <c r="AL471" s="8">
        <v>0</v>
      </c>
      <c r="AM471" s="8" t="s">
        <v>1940</v>
      </c>
    </row>
    <row r="472" spans="7:39" ht="12.75" customHeight="1">
      <c r="G472" s="347"/>
      <c r="H472" s="6" t="s">
        <v>3167</v>
      </c>
      <c r="I472" s="8" t="s">
        <v>2249</v>
      </c>
      <c r="J472" s="8" t="s">
        <v>96</v>
      </c>
      <c r="K472" s="8" t="s">
        <v>3187</v>
      </c>
      <c r="L472" s="8" t="s">
        <v>2250</v>
      </c>
      <c r="M472" s="8" t="s">
        <v>3188</v>
      </c>
      <c r="N472" s="7" t="s">
        <v>3052</v>
      </c>
      <c r="O472" s="8" t="s">
        <v>2</v>
      </c>
      <c r="P472" s="8" t="s">
        <v>1697</v>
      </c>
      <c r="Q472" s="8" t="s">
        <v>68</v>
      </c>
      <c r="R472" s="8" t="s">
        <v>69</v>
      </c>
      <c r="S472" s="8" t="s">
        <v>3194</v>
      </c>
      <c r="T472" s="9">
        <v>10</v>
      </c>
      <c r="U472" s="9">
        <v>5000</v>
      </c>
      <c r="V472" s="8" t="s">
        <v>3194</v>
      </c>
      <c r="W472" s="8">
        <v>0</v>
      </c>
      <c r="X472" s="8">
        <v>0</v>
      </c>
      <c r="Y472" s="8">
        <v>0</v>
      </c>
      <c r="Z472" s="8">
        <v>0</v>
      </c>
      <c r="AA472" s="8">
        <v>0</v>
      </c>
      <c r="AB472" s="8">
        <v>5</v>
      </c>
      <c r="AC472" s="8">
        <v>250</v>
      </c>
      <c r="AD472" s="8">
        <v>26.25</v>
      </c>
      <c r="AE472" s="8">
        <v>276.25</v>
      </c>
      <c r="AF472" s="8">
        <v>0</v>
      </c>
      <c r="AG472" s="8" t="s">
        <v>2251</v>
      </c>
      <c r="AH472" s="8" t="s">
        <v>1</v>
      </c>
      <c r="AI472" s="8">
        <v>84529099</v>
      </c>
      <c r="AJ472" s="8" t="s">
        <v>60</v>
      </c>
      <c r="AK472" s="8">
        <v>1</v>
      </c>
      <c r="AL472" s="8">
        <v>0</v>
      </c>
      <c r="AM472" s="8" t="s">
        <v>1940</v>
      </c>
    </row>
    <row r="473" spans="7:39" ht="12.75" customHeight="1">
      <c r="G473" s="347"/>
      <c r="H473" s="6" t="s">
        <v>3167</v>
      </c>
      <c r="I473" s="8" t="s">
        <v>2249</v>
      </c>
      <c r="J473" s="8" t="s">
        <v>96</v>
      </c>
      <c r="K473" s="8" t="s">
        <v>3187</v>
      </c>
      <c r="L473" s="8" t="s">
        <v>2250</v>
      </c>
      <c r="M473" s="8" t="s">
        <v>3188</v>
      </c>
      <c r="N473" s="8" t="s">
        <v>3052</v>
      </c>
      <c r="O473" s="8" t="s">
        <v>2</v>
      </c>
      <c r="P473" s="8" t="s">
        <v>112</v>
      </c>
      <c r="Q473" s="8" t="s">
        <v>68</v>
      </c>
      <c r="R473" s="8" t="s">
        <v>69</v>
      </c>
      <c r="S473" s="8" t="s">
        <v>3195</v>
      </c>
      <c r="T473" s="9">
        <v>25</v>
      </c>
      <c r="U473" s="9">
        <v>875</v>
      </c>
      <c r="V473" s="8" t="s">
        <v>3195</v>
      </c>
      <c r="W473" s="8">
        <v>0</v>
      </c>
      <c r="X473" s="8">
        <v>0</v>
      </c>
      <c r="Y473" s="8">
        <v>0</v>
      </c>
      <c r="Z473" s="8">
        <v>0</v>
      </c>
      <c r="AA473" s="8">
        <v>0</v>
      </c>
      <c r="AB473" s="8">
        <v>5</v>
      </c>
      <c r="AC473" s="8">
        <v>43.75</v>
      </c>
      <c r="AD473" s="8">
        <v>26.25</v>
      </c>
      <c r="AE473" s="8">
        <v>70</v>
      </c>
      <c r="AF473" s="8">
        <v>0</v>
      </c>
      <c r="AG473" s="8" t="s">
        <v>2251</v>
      </c>
      <c r="AH473" s="8" t="s">
        <v>7</v>
      </c>
      <c r="AI473" s="8">
        <v>84529099</v>
      </c>
      <c r="AJ473" s="8" t="s">
        <v>60</v>
      </c>
      <c r="AK473" s="8">
        <v>1</v>
      </c>
      <c r="AL473" s="8">
        <v>0</v>
      </c>
      <c r="AM473" s="8" t="s">
        <v>1940</v>
      </c>
    </row>
    <row r="474" spans="7:39" ht="12.75" customHeight="1">
      <c r="G474" s="347"/>
      <c r="H474" s="6" t="s">
        <v>3167</v>
      </c>
      <c r="I474" s="8" t="s">
        <v>2249</v>
      </c>
      <c r="J474" s="8" t="s">
        <v>96</v>
      </c>
      <c r="K474" s="8" t="s">
        <v>3187</v>
      </c>
      <c r="L474" s="8" t="s">
        <v>2250</v>
      </c>
      <c r="M474" s="8" t="s">
        <v>3188</v>
      </c>
      <c r="N474" s="8" t="s">
        <v>3052</v>
      </c>
      <c r="O474" s="8" t="s">
        <v>2</v>
      </c>
      <c r="P474" s="8" t="s">
        <v>1697</v>
      </c>
      <c r="Q474" s="8" t="s">
        <v>68</v>
      </c>
      <c r="R474" s="8" t="s">
        <v>69</v>
      </c>
      <c r="S474" s="8" t="s">
        <v>3196</v>
      </c>
      <c r="T474" s="9">
        <v>10</v>
      </c>
      <c r="U474" s="9">
        <v>1500</v>
      </c>
      <c r="V474" s="8" t="s">
        <v>3196</v>
      </c>
      <c r="W474" s="8">
        <v>0</v>
      </c>
      <c r="X474" s="8">
        <v>0</v>
      </c>
      <c r="Y474" s="8">
        <v>0</v>
      </c>
      <c r="Z474" s="8">
        <v>0</v>
      </c>
      <c r="AA474" s="8">
        <v>0</v>
      </c>
      <c r="AB474" s="8">
        <v>5</v>
      </c>
      <c r="AC474" s="8">
        <v>75</v>
      </c>
      <c r="AD474" s="8">
        <v>26.25</v>
      </c>
      <c r="AE474" s="8">
        <v>101.25</v>
      </c>
      <c r="AF474" s="8">
        <v>0</v>
      </c>
      <c r="AG474" s="8" t="s">
        <v>2251</v>
      </c>
      <c r="AH474" s="8" t="s">
        <v>1</v>
      </c>
      <c r="AI474" s="8">
        <v>84529099</v>
      </c>
      <c r="AJ474" s="8" t="s">
        <v>60</v>
      </c>
      <c r="AK474" s="8">
        <v>1</v>
      </c>
      <c r="AL474" s="8">
        <v>0</v>
      </c>
      <c r="AM474" s="8" t="s">
        <v>1940</v>
      </c>
    </row>
    <row r="475" spans="7:39" ht="12.75" customHeight="1">
      <c r="G475" s="347"/>
      <c r="H475" s="6" t="s">
        <v>3167</v>
      </c>
      <c r="I475" s="8" t="s">
        <v>2249</v>
      </c>
      <c r="J475" s="8" t="s">
        <v>96</v>
      </c>
      <c r="K475" s="8" t="s">
        <v>3187</v>
      </c>
      <c r="L475" s="8" t="s">
        <v>2250</v>
      </c>
      <c r="M475" s="8" t="s">
        <v>3188</v>
      </c>
      <c r="N475" s="8" t="s">
        <v>3052</v>
      </c>
      <c r="O475" s="8" t="s">
        <v>2</v>
      </c>
      <c r="P475" s="8" t="s">
        <v>1697</v>
      </c>
      <c r="Q475" s="8" t="s">
        <v>68</v>
      </c>
      <c r="R475" s="8" t="s">
        <v>69</v>
      </c>
      <c r="S475" s="8" t="s">
        <v>3197</v>
      </c>
      <c r="T475" s="9">
        <v>3</v>
      </c>
      <c r="U475" s="9">
        <v>3750</v>
      </c>
      <c r="V475" s="8" t="s">
        <v>3197</v>
      </c>
      <c r="W475" s="8">
        <v>0</v>
      </c>
      <c r="X475" s="8">
        <v>0</v>
      </c>
      <c r="Y475" s="8">
        <v>0</v>
      </c>
      <c r="Z475" s="8">
        <v>0</v>
      </c>
      <c r="AA475" s="8">
        <v>0</v>
      </c>
      <c r="AB475" s="8">
        <v>5</v>
      </c>
      <c r="AC475" s="8">
        <v>187.5</v>
      </c>
      <c r="AD475" s="8">
        <v>26.25</v>
      </c>
      <c r="AE475" s="8">
        <v>213.75</v>
      </c>
      <c r="AF475" s="8">
        <v>0</v>
      </c>
      <c r="AG475" s="8" t="s">
        <v>2251</v>
      </c>
      <c r="AH475" s="8" t="s">
        <v>1</v>
      </c>
      <c r="AI475" s="8">
        <v>84529099</v>
      </c>
      <c r="AJ475" s="8" t="s">
        <v>60</v>
      </c>
      <c r="AK475" s="8">
        <v>1</v>
      </c>
      <c r="AL475" s="8">
        <v>0</v>
      </c>
      <c r="AM475" s="8" t="s">
        <v>1940</v>
      </c>
    </row>
    <row r="476" spans="7:39" ht="12.75" customHeight="1">
      <c r="G476" s="347"/>
      <c r="H476" s="6" t="s">
        <v>3167</v>
      </c>
      <c r="I476" s="8" t="s">
        <v>2196</v>
      </c>
      <c r="J476" s="8" t="s">
        <v>113</v>
      </c>
      <c r="K476" s="8" t="s">
        <v>3198</v>
      </c>
      <c r="L476" s="8" t="s">
        <v>114</v>
      </c>
      <c r="M476" s="8" t="s">
        <v>3199</v>
      </c>
      <c r="N476" s="8" t="s">
        <v>3153</v>
      </c>
      <c r="O476" s="8" t="s">
        <v>4</v>
      </c>
      <c r="P476" s="8" t="s">
        <v>115</v>
      </c>
      <c r="Q476" s="8" t="s">
        <v>115</v>
      </c>
      <c r="R476" s="8" t="s">
        <v>4</v>
      </c>
      <c r="S476" s="8" t="s">
        <v>2171</v>
      </c>
      <c r="T476" s="9">
        <v>70</v>
      </c>
      <c r="U476" s="9">
        <v>47670</v>
      </c>
      <c r="V476" s="8" t="s">
        <v>2171</v>
      </c>
      <c r="W476" s="8">
        <v>50053.5</v>
      </c>
      <c r="X476" s="8">
        <v>2.5</v>
      </c>
      <c r="Y476" s="8">
        <v>1191.75</v>
      </c>
      <c r="Z476" s="8">
        <v>2.5</v>
      </c>
      <c r="AA476" s="8">
        <v>1191.75</v>
      </c>
      <c r="AB476" s="8">
        <v>0</v>
      </c>
      <c r="AC476" s="8">
        <v>0</v>
      </c>
      <c r="AD476" s="8">
        <v>0</v>
      </c>
      <c r="AE476" s="8">
        <v>2383.5</v>
      </c>
      <c r="AF476" s="8">
        <v>0</v>
      </c>
      <c r="AG476" s="8" t="s">
        <v>2197</v>
      </c>
      <c r="AH476" s="8" t="s">
        <v>1</v>
      </c>
      <c r="AI476" s="8">
        <v>44152000</v>
      </c>
      <c r="AJ476" s="8" t="s">
        <v>60</v>
      </c>
      <c r="AK476" s="8">
        <v>1</v>
      </c>
      <c r="AL476" s="8">
        <v>0</v>
      </c>
      <c r="AM476" s="8" t="s">
        <v>1940</v>
      </c>
    </row>
    <row r="477" spans="7:39" ht="12.75" customHeight="1">
      <c r="G477" s="347"/>
      <c r="H477" s="6" t="s">
        <v>3167</v>
      </c>
      <c r="I477" s="8" t="s">
        <v>109</v>
      </c>
      <c r="J477" s="8" t="s">
        <v>91</v>
      </c>
      <c r="K477" s="8" t="s">
        <v>3200</v>
      </c>
      <c r="L477" s="8" t="s">
        <v>657</v>
      </c>
      <c r="M477" s="8" t="s">
        <v>3201</v>
      </c>
      <c r="N477" s="7">
        <v>46363</v>
      </c>
      <c r="O477" s="8" t="s">
        <v>8</v>
      </c>
      <c r="P477" s="8" t="s">
        <v>110</v>
      </c>
      <c r="Q477" s="8" t="s">
        <v>800</v>
      </c>
      <c r="R477" s="8" t="s">
        <v>800</v>
      </c>
      <c r="S477" s="8" t="s">
        <v>801</v>
      </c>
      <c r="T477" s="9">
        <v>5100</v>
      </c>
      <c r="U477" s="9">
        <v>550800</v>
      </c>
      <c r="V477" s="8" t="s">
        <v>801</v>
      </c>
      <c r="W477" s="8">
        <v>649944</v>
      </c>
      <c r="X477" s="8">
        <v>0</v>
      </c>
      <c r="Y477" s="8">
        <v>0</v>
      </c>
      <c r="Z477" s="8">
        <v>0</v>
      </c>
      <c r="AA477" s="8">
        <v>0</v>
      </c>
      <c r="AB477" s="8">
        <v>18</v>
      </c>
      <c r="AC477" s="8">
        <v>99144</v>
      </c>
      <c r="AD477" s="8">
        <v>0</v>
      </c>
      <c r="AE477" s="8">
        <v>99144</v>
      </c>
      <c r="AF477" s="8">
        <v>0</v>
      </c>
      <c r="AG477" s="8" t="s">
        <v>658</v>
      </c>
      <c r="AH477" s="8" t="s">
        <v>11</v>
      </c>
      <c r="AI477" s="8">
        <v>38140010</v>
      </c>
      <c r="AJ477" s="8" t="s">
        <v>60</v>
      </c>
      <c r="AK477" s="8">
        <v>1</v>
      </c>
      <c r="AL477" s="8">
        <v>0</v>
      </c>
      <c r="AM477" s="8" t="s">
        <v>1940</v>
      </c>
    </row>
    <row r="478" spans="7:39" ht="12.75" customHeight="1">
      <c r="G478" s="347"/>
      <c r="H478" s="6" t="s">
        <v>3167</v>
      </c>
      <c r="I478" s="8" t="s">
        <v>109</v>
      </c>
      <c r="J478" s="8" t="s">
        <v>91</v>
      </c>
      <c r="K478" s="8" t="s">
        <v>3202</v>
      </c>
      <c r="L478" s="8" t="s">
        <v>657</v>
      </c>
      <c r="M478" s="8" t="s">
        <v>3203</v>
      </c>
      <c r="N478" s="8" t="s">
        <v>3030</v>
      </c>
      <c r="O478" s="8" t="s">
        <v>8</v>
      </c>
      <c r="P478" s="8" t="s">
        <v>110</v>
      </c>
      <c r="Q478" s="8" t="s">
        <v>110</v>
      </c>
      <c r="R478" s="8" t="s">
        <v>2575</v>
      </c>
      <c r="S478" s="8" t="s">
        <v>2580</v>
      </c>
      <c r="T478" s="9">
        <v>200</v>
      </c>
      <c r="U478" s="9">
        <v>55400</v>
      </c>
      <c r="V478" s="8" t="s">
        <v>2580</v>
      </c>
      <c r="W478" s="8">
        <v>352083</v>
      </c>
      <c r="X478" s="8">
        <v>0</v>
      </c>
      <c r="Y478" s="8">
        <v>0</v>
      </c>
      <c r="Z478" s="8">
        <v>0</v>
      </c>
      <c r="AA478" s="8">
        <v>0</v>
      </c>
      <c r="AB478" s="8">
        <v>18</v>
      </c>
      <c r="AC478" s="8">
        <v>9972</v>
      </c>
      <c r="AD478" s="8">
        <v>0</v>
      </c>
      <c r="AE478" s="8">
        <v>9972</v>
      </c>
      <c r="AF478" s="8">
        <v>0</v>
      </c>
      <c r="AG478" s="8" t="s">
        <v>658</v>
      </c>
      <c r="AH478" s="8" t="s">
        <v>11</v>
      </c>
      <c r="AI478" s="8">
        <v>32151910</v>
      </c>
      <c r="AJ478" s="8" t="s">
        <v>60</v>
      </c>
      <c r="AK478" s="8">
        <v>1</v>
      </c>
      <c r="AL478" s="8">
        <v>0</v>
      </c>
      <c r="AM478" s="8" t="s">
        <v>1940</v>
      </c>
    </row>
    <row r="479" spans="7:39" ht="12.75" customHeight="1">
      <c r="G479" s="347"/>
      <c r="H479" s="6" t="s">
        <v>3167</v>
      </c>
      <c r="I479" s="8" t="s">
        <v>109</v>
      </c>
      <c r="J479" s="8" t="s">
        <v>91</v>
      </c>
      <c r="K479" s="8" t="s">
        <v>3202</v>
      </c>
      <c r="L479" s="8" t="s">
        <v>657</v>
      </c>
      <c r="M479" s="8" t="s">
        <v>3203</v>
      </c>
      <c r="N479" s="7" t="s">
        <v>3030</v>
      </c>
      <c r="O479" s="8" t="s">
        <v>8</v>
      </c>
      <c r="P479" s="8" t="s">
        <v>110</v>
      </c>
      <c r="Q479" s="8" t="s">
        <v>110</v>
      </c>
      <c r="R479" s="8" t="s">
        <v>2575</v>
      </c>
      <c r="S479" s="8" t="s">
        <v>2607</v>
      </c>
      <c r="T479" s="9">
        <v>100</v>
      </c>
      <c r="U479" s="9">
        <v>31100</v>
      </c>
      <c r="V479" s="8" t="s">
        <v>2607</v>
      </c>
      <c r="W479" s="8">
        <v>0</v>
      </c>
      <c r="X479" s="8">
        <v>0</v>
      </c>
      <c r="Y479" s="8">
        <v>0</v>
      </c>
      <c r="Z479" s="8">
        <v>0</v>
      </c>
      <c r="AA479" s="8">
        <v>0</v>
      </c>
      <c r="AB479" s="8">
        <v>18</v>
      </c>
      <c r="AC479" s="8">
        <v>5598</v>
      </c>
      <c r="AD479" s="8">
        <v>0</v>
      </c>
      <c r="AE479" s="8">
        <v>5598</v>
      </c>
      <c r="AF479" s="8">
        <v>0</v>
      </c>
      <c r="AG479" s="8" t="s">
        <v>658</v>
      </c>
      <c r="AH479" s="8" t="s">
        <v>11</v>
      </c>
      <c r="AI479" s="8">
        <v>32151990</v>
      </c>
      <c r="AJ479" s="8" t="s">
        <v>60</v>
      </c>
      <c r="AK479" s="8">
        <v>1</v>
      </c>
      <c r="AL479" s="8">
        <v>0</v>
      </c>
      <c r="AM479" s="8" t="s">
        <v>1940</v>
      </c>
    </row>
    <row r="480" spans="7:39" ht="12.75" customHeight="1">
      <c r="G480" s="347"/>
      <c r="H480" s="6" t="s">
        <v>3167</v>
      </c>
      <c r="I480" s="8" t="s">
        <v>109</v>
      </c>
      <c r="J480" s="8" t="s">
        <v>91</v>
      </c>
      <c r="K480" s="8" t="s">
        <v>3202</v>
      </c>
      <c r="L480" s="8" t="s">
        <v>657</v>
      </c>
      <c r="M480" s="8" t="s">
        <v>3203</v>
      </c>
      <c r="N480" s="7" t="s">
        <v>3030</v>
      </c>
      <c r="O480" s="8" t="s">
        <v>8</v>
      </c>
      <c r="P480" s="8" t="s">
        <v>110</v>
      </c>
      <c r="Q480" s="8" t="s">
        <v>110</v>
      </c>
      <c r="R480" s="8" t="s">
        <v>2575</v>
      </c>
      <c r="S480" s="8" t="s">
        <v>2577</v>
      </c>
      <c r="T480" s="9">
        <v>150</v>
      </c>
      <c r="U480" s="9">
        <v>42300</v>
      </c>
      <c r="V480" s="8" t="s">
        <v>2577</v>
      </c>
      <c r="W480" s="8">
        <v>0</v>
      </c>
      <c r="X480" s="8">
        <v>0</v>
      </c>
      <c r="Y480" s="8">
        <v>0</v>
      </c>
      <c r="Z480" s="8">
        <v>0</v>
      </c>
      <c r="AA480" s="8">
        <v>0</v>
      </c>
      <c r="AB480" s="8">
        <v>18</v>
      </c>
      <c r="AC480" s="8">
        <v>7614</v>
      </c>
      <c r="AD480" s="8">
        <v>0</v>
      </c>
      <c r="AE480" s="8">
        <v>7614</v>
      </c>
      <c r="AF480" s="8">
        <v>0</v>
      </c>
      <c r="AG480" s="8" t="s">
        <v>658</v>
      </c>
      <c r="AH480" s="8" t="s">
        <v>11</v>
      </c>
      <c r="AI480" s="8">
        <v>84485900</v>
      </c>
      <c r="AJ480" s="8" t="s">
        <v>60</v>
      </c>
      <c r="AK480" s="8">
        <v>1</v>
      </c>
      <c r="AL480" s="8">
        <v>0</v>
      </c>
      <c r="AM480" s="8" t="s">
        <v>1940</v>
      </c>
    </row>
    <row r="481" spans="7:39" ht="12.75" customHeight="1">
      <c r="G481" s="347"/>
      <c r="H481" s="6" t="s">
        <v>3167</v>
      </c>
      <c r="I481" s="8" t="s">
        <v>109</v>
      </c>
      <c r="J481" s="8" t="s">
        <v>91</v>
      </c>
      <c r="K481" s="8" t="s">
        <v>3202</v>
      </c>
      <c r="L481" s="8" t="s">
        <v>657</v>
      </c>
      <c r="M481" s="8" t="s">
        <v>3203</v>
      </c>
      <c r="N481" s="7" t="s">
        <v>3030</v>
      </c>
      <c r="O481" s="8" t="s">
        <v>8</v>
      </c>
      <c r="P481" s="8" t="s">
        <v>110</v>
      </c>
      <c r="Q481" s="8" t="s">
        <v>110</v>
      </c>
      <c r="R481" s="8" t="s">
        <v>2575</v>
      </c>
      <c r="S481" s="8" t="s">
        <v>2578</v>
      </c>
      <c r="T481" s="9">
        <v>75</v>
      </c>
      <c r="U481" s="9">
        <v>21375</v>
      </c>
      <c r="V481" s="8" t="s">
        <v>2578</v>
      </c>
      <c r="W481" s="8">
        <v>0</v>
      </c>
      <c r="X481" s="8">
        <v>0</v>
      </c>
      <c r="Y481" s="8">
        <v>0</v>
      </c>
      <c r="Z481" s="8">
        <v>0</v>
      </c>
      <c r="AA481" s="8">
        <v>0</v>
      </c>
      <c r="AB481" s="8">
        <v>18</v>
      </c>
      <c r="AC481" s="8">
        <v>3847.5</v>
      </c>
      <c r="AD481" s="8">
        <v>0</v>
      </c>
      <c r="AE481" s="8">
        <v>3847.5</v>
      </c>
      <c r="AF481" s="8">
        <v>0</v>
      </c>
      <c r="AG481" s="8" t="s">
        <v>658</v>
      </c>
      <c r="AH481" s="8" t="s">
        <v>11</v>
      </c>
      <c r="AI481" s="8">
        <v>84529099</v>
      </c>
      <c r="AJ481" s="8" t="s">
        <v>60</v>
      </c>
      <c r="AK481" s="8">
        <v>1</v>
      </c>
      <c r="AL481" s="8">
        <v>0</v>
      </c>
      <c r="AM481" s="8" t="s">
        <v>1940</v>
      </c>
    </row>
    <row r="482" spans="7:39" ht="12.75" customHeight="1">
      <c r="G482" s="347"/>
      <c r="H482" s="6" t="s">
        <v>3167</v>
      </c>
      <c r="I482" s="8" t="s">
        <v>109</v>
      </c>
      <c r="J482" s="8" t="s">
        <v>91</v>
      </c>
      <c r="K482" s="8" t="s">
        <v>3202</v>
      </c>
      <c r="L482" s="8" t="s">
        <v>657</v>
      </c>
      <c r="M482" s="8" t="s">
        <v>3203</v>
      </c>
      <c r="N482" s="7" t="s">
        <v>3030</v>
      </c>
      <c r="O482" s="8" t="s">
        <v>8</v>
      </c>
      <c r="P482" s="8" t="s">
        <v>110</v>
      </c>
      <c r="Q482" s="8" t="s">
        <v>110</v>
      </c>
      <c r="R482" s="8" t="s">
        <v>2575</v>
      </c>
      <c r="S482" s="8" t="s">
        <v>2608</v>
      </c>
      <c r="T482" s="9">
        <v>50</v>
      </c>
      <c r="U482" s="9">
        <v>13850</v>
      </c>
      <c r="V482" s="8" t="s">
        <v>2608</v>
      </c>
      <c r="W482" s="8">
        <v>0</v>
      </c>
      <c r="X482" s="8">
        <v>0</v>
      </c>
      <c r="Y482" s="8">
        <v>0</v>
      </c>
      <c r="Z482" s="8">
        <v>0</v>
      </c>
      <c r="AA482" s="8">
        <v>0</v>
      </c>
      <c r="AB482" s="8">
        <v>18</v>
      </c>
      <c r="AC482" s="8">
        <v>2493</v>
      </c>
      <c r="AD482" s="8">
        <v>0</v>
      </c>
      <c r="AE482" s="8">
        <v>2493</v>
      </c>
      <c r="AF482" s="8">
        <v>0</v>
      </c>
      <c r="AG482" s="8" t="s">
        <v>658</v>
      </c>
      <c r="AH482" s="8" t="s">
        <v>11</v>
      </c>
      <c r="AI482" s="8">
        <v>84529099</v>
      </c>
      <c r="AJ482" s="8" t="s">
        <v>60</v>
      </c>
      <c r="AK482" s="8">
        <v>1</v>
      </c>
      <c r="AL482" s="8">
        <v>0</v>
      </c>
      <c r="AM482" s="8" t="s">
        <v>1940</v>
      </c>
    </row>
    <row r="483" spans="7:39" ht="12.75" customHeight="1">
      <c r="G483" s="347"/>
      <c r="H483" s="6" t="s">
        <v>3167</v>
      </c>
      <c r="I483" s="8" t="s">
        <v>109</v>
      </c>
      <c r="J483" s="8" t="s">
        <v>91</v>
      </c>
      <c r="K483" s="8" t="s">
        <v>3202</v>
      </c>
      <c r="L483" s="8" t="s">
        <v>657</v>
      </c>
      <c r="M483" s="8" t="s">
        <v>3203</v>
      </c>
      <c r="N483" s="7" t="s">
        <v>3030</v>
      </c>
      <c r="O483" s="8" t="s">
        <v>8</v>
      </c>
      <c r="P483" s="8" t="s">
        <v>110</v>
      </c>
      <c r="Q483" s="8" t="s">
        <v>110</v>
      </c>
      <c r="R483" s="8" t="s">
        <v>2575</v>
      </c>
      <c r="S483" s="8" t="s">
        <v>2579</v>
      </c>
      <c r="T483" s="9">
        <v>100</v>
      </c>
      <c r="U483" s="9">
        <v>27700</v>
      </c>
      <c r="V483" s="8" t="s">
        <v>2579</v>
      </c>
      <c r="W483" s="8">
        <v>0</v>
      </c>
      <c r="X483" s="8">
        <v>0</v>
      </c>
      <c r="Y483" s="8">
        <v>0</v>
      </c>
      <c r="Z483" s="8">
        <v>0</v>
      </c>
      <c r="AA483" s="8">
        <v>0</v>
      </c>
      <c r="AB483" s="8">
        <v>18</v>
      </c>
      <c r="AC483" s="8">
        <v>4986</v>
      </c>
      <c r="AD483" s="8">
        <v>0</v>
      </c>
      <c r="AE483" s="8">
        <v>4986</v>
      </c>
      <c r="AF483" s="8">
        <v>0</v>
      </c>
      <c r="AG483" s="8" t="s">
        <v>658</v>
      </c>
      <c r="AH483" s="8" t="s">
        <v>11</v>
      </c>
      <c r="AI483" s="8">
        <v>32151910</v>
      </c>
      <c r="AJ483" s="8" t="s">
        <v>60</v>
      </c>
      <c r="AK483" s="8">
        <v>1</v>
      </c>
      <c r="AL483" s="8">
        <v>0</v>
      </c>
      <c r="AM483" s="8" t="s">
        <v>1940</v>
      </c>
    </row>
    <row r="484" spans="7:39" ht="12.75" customHeight="1">
      <c r="G484" s="347"/>
      <c r="H484" s="6" t="s">
        <v>3167</v>
      </c>
      <c r="I484" s="8" t="s">
        <v>109</v>
      </c>
      <c r="J484" s="8" t="s">
        <v>91</v>
      </c>
      <c r="K484" s="8" t="s">
        <v>3202</v>
      </c>
      <c r="L484" s="8" t="s">
        <v>657</v>
      </c>
      <c r="M484" s="8" t="s">
        <v>3203</v>
      </c>
      <c r="N484" s="7" t="s">
        <v>3030</v>
      </c>
      <c r="O484" s="8" t="s">
        <v>8</v>
      </c>
      <c r="P484" s="8" t="s">
        <v>110</v>
      </c>
      <c r="Q484" s="8" t="s">
        <v>110</v>
      </c>
      <c r="R484" s="8" t="s">
        <v>2575</v>
      </c>
      <c r="S484" s="8" t="s">
        <v>2576</v>
      </c>
      <c r="T484" s="9">
        <v>150</v>
      </c>
      <c r="U484" s="9">
        <v>41550</v>
      </c>
      <c r="V484" s="8" t="s">
        <v>2576</v>
      </c>
      <c r="W484" s="8">
        <v>0</v>
      </c>
      <c r="X484" s="8">
        <v>0</v>
      </c>
      <c r="Y484" s="8">
        <v>0</v>
      </c>
      <c r="Z484" s="8">
        <v>0</v>
      </c>
      <c r="AA484" s="8">
        <v>0</v>
      </c>
      <c r="AB484" s="8">
        <v>18</v>
      </c>
      <c r="AC484" s="8">
        <v>7479</v>
      </c>
      <c r="AD484" s="8">
        <v>0</v>
      </c>
      <c r="AE484" s="8">
        <v>7479</v>
      </c>
      <c r="AF484" s="8">
        <v>0</v>
      </c>
      <c r="AG484" s="8" t="s">
        <v>658</v>
      </c>
      <c r="AH484" s="8" t="s">
        <v>11</v>
      </c>
      <c r="AI484" s="8">
        <v>32151910</v>
      </c>
      <c r="AJ484" s="8" t="s">
        <v>60</v>
      </c>
      <c r="AK484" s="8">
        <v>1</v>
      </c>
      <c r="AL484" s="8">
        <v>0</v>
      </c>
      <c r="AM484" s="8" t="s">
        <v>1940</v>
      </c>
    </row>
    <row r="485" spans="7:39" ht="12.75" customHeight="1">
      <c r="G485" s="347"/>
      <c r="H485" s="6" t="s">
        <v>3167</v>
      </c>
      <c r="I485" s="8" t="s">
        <v>109</v>
      </c>
      <c r="J485" s="8" t="s">
        <v>91</v>
      </c>
      <c r="K485" s="8" t="s">
        <v>3202</v>
      </c>
      <c r="L485" s="8" t="s">
        <v>657</v>
      </c>
      <c r="M485" s="8" t="s">
        <v>3203</v>
      </c>
      <c r="N485" s="7" t="s">
        <v>3030</v>
      </c>
      <c r="O485" s="8" t="s">
        <v>8</v>
      </c>
      <c r="P485" s="8" t="s">
        <v>110</v>
      </c>
      <c r="Q485" s="8" t="s">
        <v>110</v>
      </c>
      <c r="R485" s="8" t="s">
        <v>2575</v>
      </c>
      <c r="S485" s="8" t="s">
        <v>2606</v>
      </c>
      <c r="T485" s="9">
        <v>300</v>
      </c>
      <c r="U485" s="9">
        <v>65100</v>
      </c>
      <c r="V485" s="8" t="s">
        <v>2606</v>
      </c>
      <c r="W485" s="8">
        <v>0</v>
      </c>
      <c r="X485" s="8">
        <v>0</v>
      </c>
      <c r="Y485" s="8">
        <v>0</v>
      </c>
      <c r="Z485" s="8">
        <v>0</v>
      </c>
      <c r="AA485" s="8">
        <v>0</v>
      </c>
      <c r="AB485" s="8">
        <v>18</v>
      </c>
      <c r="AC485" s="8">
        <v>11718</v>
      </c>
      <c r="AD485" s="8">
        <v>0</v>
      </c>
      <c r="AE485" s="8">
        <v>11718</v>
      </c>
      <c r="AF485" s="8">
        <v>0</v>
      </c>
      <c r="AG485" s="8" t="s">
        <v>658</v>
      </c>
      <c r="AH485" s="8" t="s">
        <v>11</v>
      </c>
      <c r="AI485" s="8">
        <v>32151910</v>
      </c>
      <c r="AJ485" s="8" t="s">
        <v>60</v>
      </c>
      <c r="AK485" s="8">
        <v>1</v>
      </c>
      <c r="AL485" s="8">
        <v>0</v>
      </c>
      <c r="AM485" s="8" t="s">
        <v>1940</v>
      </c>
    </row>
    <row r="486" spans="7:39" ht="12.75" customHeight="1">
      <c r="G486" s="347"/>
      <c r="H486" s="6" t="s">
        <v>3204</v>
      </c>
      <c r="I486" s="8" t="s">
        <v>87</v>
      </c>
      <c r="J486" s="8" t="s">
        <v>96</v>
      </c>
      <c r="K486" s="8" t="s">
        <v>3205</v>
      </c>
      <c r="L486" s="8" t="s">
        <v>97</v>
      </c>
      <c r="M486" s="8" t="s">
        <v>3206</v>
      </c>
      <c r="N486" s="7" t="s">
        <v>3204</v>
      </c>
      <c r="O486" s="8" t="s">
        <v>2</v>
      </c>
      <c r="P486" s="8" t="s">
        <v>67</v>
      </c>
      <c r="Q486" s="8" t="s">
        <v>68</v>
      </c>
      <c r="R486" s="8" t="s">
        <v>69</v>
      </c>
      <c r="S486" s="8" t="s">
        <v>70</v>
      </c>
      <c r="T486" s="9">
        <v>314</v>
      </c>
      <c r="U486" s="9">
        <v>15072</v>
      </c>
      <c r="V486" s="8" t="s">
        <v>70</v>
      </c>
      <c r="W486" s="8">
        <v>17769.89</v>
      </c>
      <c r="X486" s="8">
        <v>9</v>
      </c>
      <c r="Y486" s="8">
        <v>1356.48</v>
      </c>
      <c r="Z486" s="8">
        <v>9</v>
      </c>
      <c r="AA486" s="8">
        <v>1356.48</v>
      </c>
      <c r="AB486" s="8">
        <v>0</v>
      </c>
      <c r="AC486" s="8">
        <v>0</v>
      </c>
      <c r="AD486" s="8">
        <v>0</v>
      </c>
      <c r="AE486" s="8">
        <v>2712.96</v>
      </c>
      <c r="AF486" s="8">
        <v>0</v>
      </c>
      <c r="AG486" s="8" t="s">
        <v>65</v>
      </c>
      <c r="AH486" s="8" t="s">
        <v>11</v>
      </c>
      <c r="AI486" s="8">
        <v>73063090</v>
      </c>
      <c r="AJ486" s="8" t="s">
        <v>60</v>
      </c>
      <c r="AK486" s="8">
        <v>1</v>
      </c>
      <c r="AL486" s="8">
        <v>0</v>
      </c>
      <c r="AM486" s="8" t="s">
        <v>1940</v>
      </c>
    </row>
    <row r="487" spans="7:39" ht="12.75" customHeight="1">
      <c r="G487" s="347"/>
      <c r="H487" s="6" t="s">
        <v>3204</v>
      </c>
      <c r="I487" s="8" t="s">
        <v>87</v>
      </c>
      <c r="J487" s="8" t="s">
        <v>91</v>
      </c>
      <c r="K487" s="8" t="s">
        <v>3207</v>
      </c>
      <c r="L487" s="8" t="s">
        <v>98</v>
      </c>
      <c r="M487" s="8" t="s">
        <v>3208</v>
      </c>
      <c r="N487" s="7" t="s">
        <v>3204</v>
      </c>
      <c r="O487" s="8" t="s">
        <v>15</v>
      </c>
      <c r="P487" s="8" t="s">
        <v>57</v>
      </c>
      <c r="Q487" s="8" t="s">
        <v>57</v>
      </c>
      <c r="R487" s="8" t="s">
        <v>58</v>
      </c>
      <c r="S487" s="8" t="s">
        <v>16</v>
      </c>
      <c r="T487" s="9">
        <v>789</v>
      </c>
      <c r="U487" s="9">
        <v>150738.45000000001</v>
      </c>
      <c r="V487" s="8" t="s">
        <v>16</v>
      </c>
      <c r="W487" s="8">
        <v>1416295.56</v>
      </c>
      <c r="X487" s="8">
        <v>9</v>
      </c>
      <c r="Y487" s="8">
        <v>13566.46</v>
      </c>
      <c r="Z487" s="8">
        <v>9</v>
      </c>
      <c r="AA487" s="8">
        <v>13566.46</v>
      </c>
      <c r="AB487" s="8">
        <v>0</v>
      </c>
      <c r="AC487" s="8">
        <v>0</v>
      </c>
      <c r="AD487" s="8">
        <v>0</v>
      </c>
      <c r="AE487" s="8">
        <v>27132.92</v>
      </c>
      <c r="AF487" s="8">
        <v>0</v>
      </c>
      <c r="AG487" s="8" t="s">
        <v>65</v>
      </c>
      <c r="AH487" s="8" t="s">
        <v>11</v>
      </c>
      <c r="AI487" s="8">
        <v>63053200</v>
      </c>
      <c r="AJ487" s="8" t="s">
        <v>60</v>
      </c>
      <c r="AK487" s="8">
        <v>1</v>
      </c>
      <c r="AL487" s="8">
        <v>0</v>
      </c>
      <c r="AM487" s="8" t="s">
        <v>1940</v>
      </c>
    </row>
    <row r="488" spans="7:39">
      <c r="G488" s="347"/>
      <c r="H488" s="6" t="s">
        <v>3204</v>
      </c>
      <c r="I488" s="8" t="s">
        <v>87</v>
      </c>
      <c r="J488" s="8" t="s">
        <v>91</v>
      </c>
      <c r="K488" s="8" t="s">
        <v>3207</v>
      </c>
      <c r="L488" s="8" t="s">
        <v>98</v>
      </c>
      <c r="M488" s="8" t="s">
        <v>3208</v>
      </c>
      <c r="N488" s="8" t="s">
        <v>3204</v>
      </c>
      <c r="O488" s="8" t="s">
        <v>15</v>
      </c>
      <c r="P488" s="8" t="s">
        <v>57</v>
      </c>
      <c r="Q488" s="8" t="s">
        <v>57</v>
      </c>
      <c r="R488" s="8" t="s">
        <v>58</v>
      </c>
      <c r="S488" s="8" t="s">
        <v>16</v>
      </c>
      <c r="T488" s="9">
        <v>1180</v>
      </c>
      <c r="U488" s="9">
        <v>258113.2</v>
      </c>
      <c r="V488" s="8" t="s">
        <v>16</v>
      </c>
      <c r="W488" s="8">
        <v>0</v>
      </c>
      <c r="X488" s="8">
        <v>9</v>
      </c>
      <c r="Y488" s="8">
        <v>23230.19</v>
      </c>
      <c r="Z488" s="8">
        <v>9</v>
      </c>
      <c r="AA488" s="8">
        <v>23230.19</v>
      </c>
      <c r="AB488" s="8">
        <v>0</v>
      </c>
      <c r="AC488" s="8">
        <v>0</v>
      </c>
      <c r="AD488" s="8">
        <v>0</v>
      </c>
      <c r="AE488" s="8">
        <v>46460.38</v>
      </c>
      <c r="AF488" s="8">
        <v>0</v>
      </c>
      <c r="AG488" s="8" t="s">
        <v>65</v>
      </c>
      <c r="AH488" s="8" t="s">
        <v>11</v>
      </c>
      <c r="AI488" s="8">
        <v>63053200</v>
      </c>
      <c r="AJ488" s="8" t="s">
        <v>60</v>
      </c>
      <c r="AK488" s="8">
        <v>1</v>
      </c>
      <c r="AL488" s="8">
        <v>0</v>
      </c>
      <c r="AM488" s="8" t="s">
        <v>1940</v>
      </c>
    </row>
    <row r="489" spans="7:39">
      <c r="G489" s="347"/>
      <c r="H489" s="6" t="s">
        <v>3204</v>
      </c>
      <c r="I489" s="8" t="s">
        <v>87</v>
      </c>
      <c r="J489" s="8" t="s">
        <v>91</v>
      </c>
      <c r="K489" s="8" t="s">
        <v>3207</v>
      </c>
      <c r="L489" s="8" t="s">
        <v>98</v>
      </c>
      <c r="M489" s="8" t="s">
        <v>3208</v>
      </c>
      <c r="N489" s="8" t="s">
        <v>3204</v>
      </c>
      <c r="O489" s="8" t="s">
        <v>15</v>
      </c>
      <c r="P489" s="8" t="s">
        <v>57</v>
      </c>
      <c r="Q489" s="8" t="s">
        <v>57</v>
      </c>
      <c r="R489" s="8" t="s">
        <v>58</v>
      </c>
      <c r="S489" s="8" t="s">
        <v>16</v>
      </c>
      <c r="T489" s="9">
        <v>2767</v>
      </c>
      <c r="U489" s="9">
        <v>540588.79</v>
      </c>
      <c r="V489" s="8" t="s">
        <v>16</v>
      </c>
      <c r="W489" s="8">
        <v>0</v>
      </c>
      <c r="X489" s="8">
        <v>9</v>
      </c>
      <c r="Y489" s="8">
        <v>48652.99</v>
      </c>
      <c r="Z489" s="8">
        <v>9</v>
      </c>
      <c r="AA489" s="8">
        <v>48652.99</v>
      </c>
      <c r="AB489" s="8">
        <v>0</v>
      </c>
      <c r="AC489" s="8">
        <v>0</v>
      </c>
      <c r="AD489" s="8">
        <v>0</v>
      </c>
      <c r="AE489" s="8">
        <v>97305.98</v>
      </c>
      <c r="AF489" s="8">
        <v>0</v>
      </c>
      <c r="AG489" s="8" t="s">
        <v>65</v>
      </c>
      <c r="AH489" s="8" t="s">
        <v>11</v>
      </c>
      <c r="AI489" s="8">
        <v>63053200</v>
      </c>
      <c r="AJ489" s="8" t="s">
        <v>60</v>
      </c>
      <c r="AK489" s="8">
        <v>1</v>
      </c>
      <c r="AL489" s="8">
        <v>0</v>
      </c>
      <c r="AM489" s="8" t="s">
        <v>1940</v>
      </c>
    </row>
    <row r="490" spans="7:39">
      <c r="G490" s="347"/>
      <c r="H490" s="6" t="s">
        <v>3204</v>
      </c>
      <c r="I490" s="8" t="s">
        <v>87</v>
      </c>
      <c r="J490" s="8" t="s">
        <v>91</v>
      </c>
      <c r="K490" s="8" t="s">
        <v>3207</v>
      </c>
      <c r="L490" s="8" t="s">
        <v>98</v>
      </c>
      <c r="M490" s="8" t="s">
        <v>3208</v>
      </c>
      <c r="N490" s="8" t="s">
        <v>3204</v>
      </c>
      <c r="O490" s="8" t="s">
        <v>15</v>
      </c>
      <c r="P490" s="8" t="s">
        <v>57</v>
      </c>
      <c r="Q490" s="8" t="s">
        <v>57</v>
      </c>
      <c r="R490" s="8" t="s">
        <v>58</v>
      </c>
      <c r="S490" s="8" t="s">
        <v>16</v>
      </c>
      <c r="T490" s="9">
        <v>1183</v>
      </c>
      <c r="U490" s="9">
        <v>242526.83</v>
      </c>
      <c r="V490" s="8" t="s">
        <v>16</v>
      </c>
      <c r="W490" s="8">
        <v>0</v>
      </c>
      <c r="X490" s="8">
        <v>9</v>
      </c>
      <c r="Y490" s="8">
        <v>21827.41</v>
      </c>
      <c r="Z490" s="8">
        <v>9</v>
      </c>
      <c r="AA490" s="8">
        <v>21827.41</v>
      </c>
      <c r="AB490" s="8">
        <v>0</v>
      </c>
      <c r="AC490" s="8">
        <v>0</v>
      </c>
      <c r="AD490" s="8">
        <v>0</v>
      </c>
      <c r="AE490" s="8">
        <v>43654.82</v>
      </c>
      <c r="AF490" s="8">
        <v>0</v>
      </c>
      <c r="AG490" s="8" t="s">
        <v>65</v>
      </c>
      <c r="AH490" s="8" t="s">
        <v>11</v>
      </c>
      <c r="AI490" s="8">
        <v>63053200</v>
      </c>
      <c r="AJ490" s="8" t="s">
        <v>60</v>
      </c>
      <c r="AK490" s="8">
        <v>1</v>
      </c>
      <c r="AL490" s="8">
        <v>0</v>
      </c>
      <c r="AM490" s="8" t="s">
        <v>1940</v>
      </c>
    </row>
    <row r="491" spans="7:39">
      <c r="G491" s="347"/>
      <c r="H491" s="6" t="s">
        <v>3204</v>
      </c>
      <c r="I491" s="8" t="s">
        <v>87</v>
      </c>
      <c r="J491" s="8" t="s">
        <v>91</v>
      </c>
      <c r="K491" s="8" t="s">
        <v>3207</v>
      </c>
      <c r="L491" s="8" t="s">
        <v>98</v>
      </c>
      <c r="M491" s="8" t="s">
        <v>3208</v>
      </c>
      <c r="N491" s="8" t="s">
        <v>3204</v>
      </c>
      <c r="O491" s="8" t="s">
        <v>15</v>
      </c>
      <c r="P491" s="8" t="s">
        <v>57</v>
      </c>
      <c r="Q491" s="8" t="s">
        <v>57</v>
      </c>
      <c r="R491" s="8" t="s">
        <v>58</v>
      </c>
      <c r="S491" s="8" t="s">
        <v>16</v>
      </c>
      <c r="T491" s="8">
        <v>52</v>
      </c>
      <c r="U491" s="9">
        <v>9301.24</v>
      </c>
      <c r="V491" s="8" t="s">
        <v>16</v>
      </c>
      <c r="W491" s="8">
        <v>0</v>
      </c>
      <c r="X491" s="8">
        <v>9</v>
      </c>
      <c r="Y491" s="8">
        <v>837.11</v>
      </c>
      <c r="Z491" s="8">
        <v>9</v>
      </c>
      <c r="AA491" s="8">
        <v>837.11</v>
      </c>
      <c r="AB491" s="8">
        <v>0</v>
      </c>
      <c r="AC491" s="8">
        <v>0</v>
      </c>
      <c r="AD491" s="8">
        <v>0</v>
      </c>
      <c r="AE491" s="8">
        <v>1674.22</v>
      </c>
      <c r="AF491" s="8">
        <v>0</v>
      </c>
      <c r="AG491" s="8" t="s">
        <v>65</v>
      </c>
      <c r="AH491" s="8" t="s">
        <v>11</v>
      </c>
      <c r="AI491" s="8">
        <v>63053200</v>
      </c>
      <c r="AJ491" s="8" t="s">
        <v>60</v>
      </c>
      <c r="AK491" s="8">
        <v>1</v>
      </c>
      <c r="AL491" s="8">
        <v>0</v>
      </c>
      <c r="AM491" s="8" t="s">
        <v>1940</v>
      </c>
    </row>
    <row r="492" spans="7:39">
      <c r="G492" s="347"/>
      <c r="H492" s="6" t="s">
        <v>3204</v>
      </c>
      <c r="I492" s="8" t="s">
        <v>87</v>
      </c>
      <c r="J492" s="8" t="s">
        <v>91</v>
      </c>
      <c r="K492" s="8" t="s">
        <v>3209</v>
      </c>
      <c r="L492" s="8" t="s">
        <v>98</v>
      </c>
      <c r="M492" s="8" t="s">
        <v>3210</v>
      </c>
      <c r="N492" s="8" t="s">
        <v>3204</v>
      </c>
      <c r="O492" s="8" t="s">
        <v>13</v>
      </c>
      <c r="P492" s="8" t="s">
        <v>62</v>
      </c>
      <c r="Q492" s="8" t="s">
        <v>63</v>
      </c>
      <c r="R492" s="8" t="s">
        <v>64</v>
      </c>
      <c r="S492" s="8" t="s">
        <v>19</v>
      </c>
      <c r="T492" s="9">
        <v>6034</v>
      </c>
      <c r="U492" s="8">
        <v>871852.66</v>
      </c>
      <c r="V492" s="8" t="s">
        <v>19</v>
      </c>
      <c r="W492" s="8">
        <v>1277457.98</v>
      </c>
      <c r="X492" s="8">
        <v>9</v>
      </c>
      <c r="Y492" s="8">
        <v>78466.740000000005</v>
      </c>
      <c r="Z492" s="8">
        <v>9</v>
      </c>
      <c r="AA492" s="8">
        <v>78466.740000000005</v>
      </c>
      <c r="AB492" s="8">
        <v>0</v>
      </c>
      <c r="AC492" s="8">
        <v>0</v>
      </c>
      <c r="AD492" s="8">
        <v>0</v>
      </c>
      <c r="AE492" s="8">
        <v>156933.48000000001</v>
      </c>
      <c r="AF492" s="8">
        <v>0</v>
      </c>
      <c r="AG492" s="8" t="s">
        <v>65</v>
      </c>
      <c r="AH492" s="8" t="s">
        <v>11</v>
      </c>
      <c r="AI492" s="8">
        <v>39269080</v>
      </c>
      <c r="AJ492" s="8" t="s">
        <v>60</v>
      </c>
      <c r="AK492" s="8">
        <v>1</v>
      </c>
      <c r="AL492" s="8">
        <v>0</v>
      </c>
      <c r="AM492" s="8" t="s">
        <v>1940</v>
      </c>
    </row>
    <row r="493" spans="7:39">
      <c r="G493" s="347"/>
      <c r="H493" s="6" t="s">
        <v>3204</v>
      </c>
      <c r="I493" s="8" t="s">
        <v>87</v>
      </c>
      <c r="J493" s="8" t="s">
        <v>91</v>
      </c>
      <c r="K493" s="8" t="s">
        <v>3209</v>
      </c>
      <c r="L493" s="8" t="s">
        <v>98</v>
      </c>
      <c r="M493" s="8" t="s">
        <v>3210</v>
      </c>
      <c r="N493" s="8" t="s">
        <v>3204</v>
      </c>
      <c r="O493" s="8" t="s">
        <v>13</v>
      </c>
      <c r="P493" s="8" t="s">
        <v>62</v>
      </c>
      <c r="Q493" s="8" t="s">
        <v>63</v>
      </c>
      <c r="R493" s="8" t="s">
        <v>64</v>
      </c>
      <c r="S493" s="8" t="s">
        <v>19</v>
      </c>
      <c r="T493" s="9">
        <v>1171</v>
      </c>
      <c r="U493" s="9">
        <v>171539.79</v>
      </c>
      <c r="V493" s="8" t="s">
        <v>19</v>
      </c>
      <c r="W493" s="8">
        <v>0</v>
      </c>
      <c r="X493" s="8">
        <v>9</v>
      </c>
      <c r="Y493" s="8">
        <v>15438.58</v>
      </c>
      <c r="Z493" s="8">
        <v>9</v>
      </c>
      <c r="AA493" s="8">
        <v>15438.58</v>
      </c>
      <c r="AB493" s="8">
        <v>0</v>
      </c>
      <c r="AC493" s="8">
        <v>0</v>
      </c>
      <c r="AD493" s="8">
        <v>0</v>
      </c>
      <c r="AE493" s="8">
        <v>30877.16</v>
      </c>
      <c r="AF493" s="8">
        <v>0</v>
      </c>
      <c r="AG493" s="8" t="s">
        <v>65</v>
      </c>
      <c r="AH493" s="8" t="s">
        <v>11</v>
      </c>
      <c r="AI493" s="8">
        <v>39269080</v>
      </c>
      <c r="AJ493" s="8" t="s">
        <v>60</v>
      </c>
      <c r="AK493" s="8">
        <v>1</v>
      </c>
      <c r="AL493" s="8">
        <v>0</v>
      </c>
      <c r="AM493" s="8" t="s">
        <v>1940</v>
      </c>
    </row>
    <row r="494" spans="7:39">
      <c r="G494" s="347"/>
      <c r="H494" s="6" t="s">
        <v>3204</v>
      </c>
      <c r="I494" s="8" t="s">
        <v>87</v>
      </c>
      <c r="J494" s="8" t="s">
        <v>91</v>
      </c>
      <c r="K494" s="8" t="s">
        <v>3209</v>
      </c>
      <c r="L494" s="8" t="s">
        <v>98</v>
      </c>
      <c r="M494" s="8" t="s">
        <v>3210</v>
      </c>
      <c r="N494" s="8" t="s">
        <v>3204</v>
      </c>
      <c r="O494" s="8" t="s">
        <v>13</v>
      </c>
      <c r="P494" s="8" t="s">
        <v>62</v>
      </c>
      <c r="Q494" s="8" t="s">
        <v>63</v>
      </c>
      <c r="R494" s="8" t="s">
        <v>64</v>
      </c>
      <c r="S494" s="8" t="s">
        <v>19</v>
      </c>
      <c r="T494" s="9">
        <v>272</v>
      </c>
      <c r="U494" s="9">
        <v>40117.279999999999</v>
      </c>
      <c r="V494" s="8" t="s">
        <v>19</v>
      </c>
      <c r="W494" s="8">
        <v>0</v>
      </c>
      <c r="X494" s="8">
        <v>9</v>
      </c>
      <c r="Y494" s="8">
        <v>3610.56</v>
      </c>
      <c r="Z494" s="8">
        <v>9</v>
      </c>
      <c r="AA494" s="8">
        <v>3610.56</v>
      </c>
      <c r="AB494" s="8">
        <v>0</v>
      </c>
      <c r="AC494" s="8">
        <v>0</v>
      </c>
      <c r="AD494" s="8">
        <v>0</v>
      </c>
      <c r="AE494" s="8">
        <v>7221.12</v>
      </c>
      <c r="AF494" s="8">
        <v>0</v>
      </c>
      <c r="AG494" s="8" t="s">
        <v>65</v>
      </c>
      <c r="AH494" s="8" t="s">
        <v>11</v>
      </c>
      <c r="AI494" s="8">
        <v>39269080</v>
      </c>
      <c r="AJ494" s="8" t="s">
        <v>60</v>
      </c>
      <c r="AK494" s="8">
        <v>1</v>
      </c>
      <c r="AL494" s="8">
        <v>0</v>
      </c>
      <c r="AM494" s="8" t="s">
        <v>1940</v>
      </c>
    </row>
    <row r="495" spans="7:39">
      <c r="G495" s="347"/>
      <c r="H495" s="6" t="s">
        <v>3204</v>
      </c>
      <c r="I495" s="8" t="s">
        <v>87</v>
      </c>
      <c r="J495" s="8" t="s">
        <v>91</v>
      </c>
      <c r="K495" s="8" t="s">
        <v>3211</v>
      </c>
      <c r="L495" s="8" t="s">
        <v>98</v>
      </c>
      <c r="M495" s="8" t="s">
        <v>3212</v>
      </c>
      <c r="N495" s="8" t="s">
        <v>3167</v>
      </c>
      <c r="O495" s="8" t="s">
        <v>13</v>
      </c>
      <c r="P495" s="8" t="s">
        <v>62</v>
      </c>
      <c r="Q495" s="8" t="s">
        <v>63</v>
      </c>
      <c r="R495" s="8" t="s">
        <v>64</v>
      </c>
      <c r="S495" s="8" t="s">
        <v>19</v>
      </c>
      <c r="T495" s="9">
        <v>2652</v>
      </c>
      <c r="U495" s="9">
        <v>388491.48</v>
      </c>
      <c r="V495" s="8" t="s">
        <v>19</v>
      </c>
      <c r="W495" s="8">
        <v>458031.45</v>
      </c>
      <c r="X495" s="8">
        <v>9</v>
      </c>
      <c r="Y495" s="8">
        <v>34964.230000000003</v>
      </c>
      <c r="Z495" s="8">
        <v>9</v>
      </c>
      <c r="AA495" s="8">
        <v>34964.230000000003</v>
      </c>
      <c r="AB495" s="8">
        <v>0</v>
      </c>
      <c r="AC495" s="8">
        <v>0</v>
      </c>
      <c r="AD495" s="8">
        <v>0</v>
      </c>
      <c r="AE495" s="8">
        <v>69928.460000000006</v>
      </c>
      <c r="AF495" s="8">
        <v>0</v>
      </c>
      <c r="AG495" s="8" t="s">
        <v>65</v>
      </c>
      <c r="AH495" s="8" t="s">
        <v>11</v>
      </c>
      <c r="AI495" s="8">
        <v>39269080</v>
      </c>
      <c r="AJ495" s="8" t="s">
        <v>60</v>
      </c>
      <c r="AK495" s="8">
        <v>1</v>
      </c>
      <c r="AL495" s="8">
        <v>0</v>
      </c>
      <c r="AM495" s="8" t="s">
        <v>1940</v>
      </c>
    </row>
    <row r="496" spans="7:39">
      <c r="G496" s="347"/>
      <c r="H496" s="6" t="s">
        <v>3204</v>
      </c>
      <c r="I496" s="8" t="s">
        <v>87</v>
      </c>
      <c r="J496" s="8" t="s">
        <v>91</v>
      </c>
      <c r="K496" s="8" t="s">
        <v>3213</v>
      </c>
      <c r="L496" s="8" t="s">
        <v>98</v>
      </c>
      <c r="M496" s="8" t="s">
        <v>3214</v>
      </c>
      <c r="N496" s="8" t="s">
        <v>3204</v>
      </c>
      <c r="O496" s="8" t="s">
        <v>13</v>
      </c>
      <c r="P496" s="8" t="s">
        <v>62</v>
      </c>
      <c r="Q496" s="8" t="s">
        <v>63</v>
      </c>
      <c r="R496" s="8" t="s">
        <v>64</v>
      </c>
      <c r="S496" s="8" t="s">
        <v>19</v>
      </c>
      <c r="T496" s="9">
        <v>1638</v>
      </c>
      <c r="U496" s="9">
        <v>236674.62</v>
      </c>
      <c r="V496" s="8" t="s">
        <v>19</v>
      </c>
      <c r="W496" s="8">
        <v>788826.67</v>
      </c>
      <c r="X496" s="8">
        <v>9</v>
      </c>
      <c r="Y496" s="8">
        <v>21300.720000000001</v>
      </c>
      <c r="Z496" s="8">
        <v>9</v>
      </c>
      <c r="AA496" s="8">
        <v>21300.720000000001</v>
      </c>
      <c r="AB496" s="8">
        <v>0</v>
      </c>
      <c r="AC496" s="8">
        <v>0</v>
      </c>
      <c r="AD496" s="8">
        <v>0</v>
      </c>
      <c r="AE496" s="8">
        <v>42601.440000000002</v>
      </c>
      <c r="AF496" s="8">
        <v>0</v>
      </c>
      <c r="AG496" s="8" t="s">
        <v>65</v>
      </c>
      <c r="AH496" s="8" t="s">
        <v>11</v>
      </c>
      <c r="AI496" s="8">
        <v>39269080</v>
      </c>
      <c r="AJ496" s="8" t="s">
        <v>60</v>
      </c>
      <c r="AK496" s="8">
        <v>1</v>
      </c>
      <c r="AL496" s="8">
        <v>0</v>
      </c>
      <c r="AM496" s="8" t="s">
        <v>1940</v>
      </c>
    </row>
    <row r="497" spans="7:39">
      <c r="G497" s="347"/>
      <c r="H497" s="6" t="s">
        <v>3204</v>
      </c>
      <c r="I497" s="8" t="s">
        <v>87</v>
      </c>
      <c r="J497" s="8" t="s">
        <v>91</v>
      </c>
      <c r="K497" s="8" t="s">
        <v>3213</v>
      </c>
      <c r="L497" s="8" t="s">
        <v>98</v>
      </c>
      <c r="M497" s="8" t="s">
        <v>3214</v>
      </c>
      <c r="N497" s="8" t="s">
        <v>3204</v>
      </c>
      <c r="O497" s="8" t="s">
        <v>13</v>
      </c>
      <c r="P497" s="8" t="s">
        <v>62</v>
      </c>
      <c r="Q497" s="8" t="s">
        <v>76</v>
      </c>
      <c r="R497" s="8" t="s">
        <v>77</v>
      </c>
      <c r="S497" s="8" t="s">
        <v>21</v>
      </c>
      <c r="T497" s="8">
        <v>268</v>
      </c>
      <c r="U497" s="9">
        <v>39795.32</v>
      </c>
      <c r="V497" s="8" t="s">
        <v>21</v>
      </c>
      <c r="W497" s="8">
        <v>0</v>
      </c>
      <c r="X497" s="8">
        <v>9</v>
      </c>
      <c r="Y497" s="8">
        <v>3581.58</v>
      </c>
      <c r="Z497" s="8">
        <v>9</v>
      </c>
      <c r="AA497" s="8">
        <v>3581.58</v>
      </c>
      <c r="AB497" s="8">
        <v>0</v>
      </c>
      <c r="AC497" s="8">
        <v>0</v>
      </c>
      <c r="AD497" s="8">
        <v>0</v>
      </c>
      <c r="AE497" s="8">
        <v>7163.16</v>
      </c>
      <c r="AF497" s="8">
        <v>0</v>
      </c>
      <c r="AG497" s="8" t="s">
        <v>65</v>
      </c>
      <c r="AH497" s="8" t="s">
        <v>11</v>
      </c>
      <c r="AI497" s="8">
        <v>63053300</v>
      </c>
      <c r="AJ497" s="8" t="s">
        <v>60</v>
      </c>
      <c r="AK497" s="8">
        <v>1</v>
      </c>
      <c r="AL497" s="8">
        <v>0</v>
      </c>
      <c r="AM497" s="8" t="s">
        <v>1940</v>
      </c>
    </row>
    <row r="498" spans="7:39">
      <c r="G498" s="347"/>
      <c r="H498" s="6" t="s">
        <v>3204</v>
      </c>
      <c r="I498" s="8" t="s">
        <v>87</v>
      </c>
      <c r="J498" s="8" t="s">
        <v>91</v>
      </c>
      <c r="K498" s="8" t="s">
        <v>3213</v>
      </c>
      <c r="L498" s="8" t="s">
        <v>98</v>
      </c>
      <c r="M498" s="8" t="s">
        <v>3214</v>
      </c>
      <c r="N498" s="8" t="s">
        <v>3204</v>
      </c>
      <c r="O498" s="8" t="s">
        <v>13</v>
      </c>
      <c r="P498" s="8" t="s">
        <v>24</v>
      </c>
      <c r="Q498" s="8" t="s">
        <v>79</v>
      </c>
      <c r="R498" s="8" t="s">
        <v>79</v>
      </c>
      <c r="S498" s="8" t="s">
        <v>24</v>
      </c>
      <c r="T498" s="9">
        <v>163.4</v>
      </c>
      <c r="U498" s="9">
        <v>27858.07</v>
      </c>
      <c r="V498" s="8" t="s">
        <v>24</v>
      </c>
      <c r="W498" s="8">
        <v>0</v>
      </c>
      <c r="X498" s="8">
        <v>9</v>
      </c>
      <c r="Y498" s="8">
        <v>2507.23</v>
      </c>
      <c r="Z498" s="8">
        <v>9</v>
      </c>
      <c r="AA498" s="8">
        <v>2507.23</v>
      </c>
      <c r="AB498" s="8">
        <v>0</v>
      </c>
      <c r="AC498" s="8">
        <v>0</v>
      </c>
      <c r="AD498" s="8">
        <v>0</v>
      </c>
      <c r="AE498" s="8">
        <v>5014.46</v>
      </c>
      <c r="AF498" s="8">
        <v>0</v>
      </c>
      <c r="AG498" s="8" t="s">
        <v>65</v>
      </c>
      <c r="AH498" s="8" t="s">
        <v>11</v>
      </c>
      <c r="AI498" s="8">
        <v>3926908</v>
      </c>
      <c r="AJ498" s="8" t="s">
        <v>60</v>
      </c>
      <c r="AK498" s="8">
        <v>1</v>
      </c>
      <c r="AL498" s="8">
        <v>0</v>
      </c>
      <c r="AM498" s="8" t="s">
        <v>1940</v>
      </c>
    </row>
    <row r="499" spans="7:39">
      <c r="G499" s="347"/>
      <c r="H499" s="6" t="s">
        <v>3204</v>
      </c>
      <c r="I499" s="8" t="s">
        <v>87</v>
      </c>
      <c r="J499" s="8" t="s">
        <v>91</v>
      </c>
      <c r="K499" s="8" t="s">
        <v>3213</v>
      </c>
      <c r="L499" s="8" t="s">
        <v>98</v>
      </c>
      <c r="M499" s="8" t="s">
        <v>3214</v>
      </c>
      <c r="N499" s="8" t="s">
        <v>3204</v>
      </c>
      <c r="O499" s="8" t="s">
        <v>13</v>
      </c>
      <c r="P499" s="8" t="s">
        <v>24</v>
      </c>
      <c r="Q499" s="8" t="s">
        <v>79</v>
      </c>
      <c r="R499" s="8" t="s">
        <v>79</v>
      </c>
      <c r="S499" s="8" t="s">
        <v>24</v>
      </c>
      <c r="T499" s="9">
        <v>391.7</v>
      </c>
      <c r="U499" s="9">
        <v>58555.23</v>
      </c>
      <c r="V499" s="8" t="s">
        <v>24</v>
      </c>
      <c r="W499" s="8">
        <v>0</v>
      </c>
      <c r="X499" s="8">
        <v>9</v>
      </c>
      <c r="Y499" s="8">
        <v>5269.97</v>
      </c>
      <c r="Z499" s="8">
        <v>9</v>
      </c>
      <c r="AA499" s="8">
        <v>5269.97</v>
      </c>
      <c r="AB499" s="8">
        <v>0</v>
      </c>
      <c r="AC499" s="8">
        <v>0</v>
      </c>
      <c r="AD499" s="8">
        <v>0</v>
      </c>
      <c r="AE499" s="8">
        <v>10539.94</v>
      </c>
      <c r="AF499" s="8">
        <v>0</v>
      </c>
      <c r="AG499" s="8" t="s">
        <v>65</v>
      </c>
      <c r="AH499" s="8" t="s">
        <v>11</v>
      </c>
      <c r="AI499" s="8">
        <v>3926908</v>
      </c>
      <c r="AJ499" s="8" t="s">
        <v>60</v>
      </c>
      <c r="AK499" s="8">
        <v>1</v>
      </c>
      <c r="AL499" s="8">
        <v>0</v>
      </c>
      <c r="AM499" s="8" t="s">
        <v>1940</v>
      </c>
    </row>
    <row r="500" spans="7:39">
      <c r="G500" s="347"/>
      <c r="H500" s="6" t="s">
        <v>3204</v>
      </c>
      <c r="I500" s="8" t="s">
        <v>87</v>
      </c>
      <c r="J500" s="8" t="s">
        <v>91</v>
      </c>
      <c r="K500" s="8" t="s">
        <v>3213</v>
      </c>
      <c r="L500" s="8" t="s">
        <v>98</v>
      </c>
      <c r="M500" s="8" t="s">
        <v>3214</v>
      </c>
      <c r="N500" s="8" t="s">
        <v>3204</v>
      </c>
      <c r="O500" s="8" t="s">
        <v>13</v>
      </c>
      <c r="P500" s="8" t="s">
        <v>24</v>
      </c>
      <c r="Q500" s="8" t="s">
        <v>79</v>
      </c>
      <c r="R500" s="8" t="s">
        <v>79</v>
      </c>
      <c r="S500" s="8" t="s">
        <v>24</v>
      </c>
      <c r="T500" s="8">
        <v>568</v>
      </c>
      <c r="U500" s="9">
        <v>83206.320000000007</v>
      </c>
      <c r="V500" s="8" t="s">
        <v>24</v>
      </c>
      <c r="W500" s="8">
        <v>0</v>
      </c>
      <c r="X500" s="8">
        <v>9</v>
      </c>
      <c r="Y500" s="8">
        <v>7488.57</v>
      </c>
      <c r="Z500" s="8">
        <v>9</v>
      </c>
      <c r="AA500" s="8">
        <v>7488.57</v>
      </c>
      <c r="AB500" s="8">
        <v>0</v>
      </c>
      <c r="AC500" s="8">
        <v>0</v>
      </c>
      <c r="AD500" s="8">
        <v>0</v>
      </c>
      <c r="AE500" s="8">
        <v>14977.14</v>
      </c>
      <c r="AF500" s="8">
        <v>0</v>
      </c>
      <c r="AG500" s="8" t="s">
        <v>65</v>
      </c>
      <c r="AH500" s="8" t="s">
        <v>11</v>
      </c>
      <c r="AI500" s="8">
        <v>3926908</v>
      </c>
      <c r="AJ500" s="8" t="s">
        <v>60</v>
      </c>
      <c r="AK500" s="8">
        <v>1</v>
      </c>
      <c r="AL500" s="8">
        <v>0</v>
      </c>
      <c r="AM500" s="8" t="s">
        <v>1940</v>
      </c>
    </row>
    <row r="501" spans="7:39">
      <c r="G501" s="347"/>
      <c r="H501" s="6" t="s">
        <v>3204</v>
      </c>
      <c r="I501" s="8" t="s">
        <v>87</v>
      </c>
      <c r="J501" s="8" t="s">
        <v>91</v>
      </c>
      <c r="K501" s="8" t="s">
        <v>3213</v>
      </c>
      <c r="L501" s="8" t="s">
        <v>98</v>
      </c>
      <c r="M501" s="8" t="s">
        <v>3214</v>
      </c>
      <c r="N501" s="8" t="s">
        <v>3204</v>
      </c>
      <c r="O501" s="8" t="s">
        <v>13</v>
      </c>
      <c r="P501" s="8" t="s">
        <v>99</v>
      </c>
      <c r="Q501" s="8" t="s">
        <v>100</v>
      </c>
      <c r="R501" s="8" t="s">
        <v>101</v>
      </c>
      <c r="S501" s="8" t="s">
        <v>586</v>
      </c>
      <c r="T501" s="9">
        <v>754.7</v>
      </c>
      <c r="U501" s="8">
        <v>118103</v>
      </c>
      <c r="V501" s="8" t="s">
        <v>586</v>
      </c>
      <c r="W501" s="8">
        <v>0</v>
      </c>
      <c r="X501" s="8">
        <v>2.5</v>
      </c>
      <c r="Y501" s="8">
        <v>2952.58</v>
      </c>
      <c r="Z501" s="8">
        <v>2.5</v>
      </c>
      <c r="AA501" s="8">
        <v>2952.58</v>
      </c>
      <c r="AB501" s="8">
        <v>0</v>
      </c>
      <c r="AC501" s="8">
        <v>0</v>
      </c>
      <c r="AD501" s="8">
        <v>0</v>
      </c>
      <c r="AE501" s="8">
        <v>5905.16</v>
      </c>
      <c r="AF501" s="8">
        <v>0</v>
      </c>
      <c r="AG501" s="8" t="s">
        <v>65</v>
      </c>
      <c r="AH501" s="8" t="s">
        <v>3</v>
      </c>
      <c r="AI501" s="8">
        <v>540263</v>
      </c>
      <c r="AJ501" s="8" t="s">
        <v>60</v>
      </c>
      <c r="AK501" s="8">
        <v>1</v>
      </c>
      <c r="AL501" s="8">
        <v>0</v>
      </c>
      <c r="AM501" s="8" t="s">
        <v>1940</v>
      </c>
    </row>
    <row r="502" spans="7:39">
      <c r="G502" s="347"/>
      <c r="H502" s="6" t="s">
        <v>3204</v>
      </c>
      <c r="I502" s="8" t="s">
        <v>87</v>
      </c>
      <c r="J502" s="8" t="s">
        <v>91</v>
      </c>
      <c r="K502" s="8" t="s">
        <v>3213</v>
      </c>
      <c r="L502" s="8" t="s">
        <v>98</v>
      </c>
      <c r="M502" s="8" t="s">
        <v>3214</v>
      </c>
      <c r="N502" s="8" t="s">
        <v>3204</v>
      </c>
      <c r="O502" s="8" t="s">
        <v>13</v>
      </c>
      <c r="P502" s="8" t="s">
        <v>99</v>
      </c>
      <c r="Q502" s="8" t="s">
        <v>100</v>
      </c>
      <c r="R502" s="8" t="s">
        <v>101</v>
      </c>
      <c r="S502" s="8" t="s">
        <v>1303</v>
      </c>
      <c r="T502" s="9">
        <v>830.8</v>
      </c>
      <c r="U502" s="8">
        <v>132504.29</v>
      </c>
      <c r="V502" s="8" t="s">
        <v>1303</v>
      </c>
      <c r="W502" s="8">
        <v>0</v>
      </c>
      <c r="X502" s="8">
        <v>2.5</v>
      </c>
      <c r="Y502" s="8">
        <v>3312.61</v>
      </c>
      <c r="Z502" s="8">
        <v>2.5</v>
      </c>
      <c r="AA502" s="8">
        <v>3312.61</v>
      </c>
      <c r="AB502" s="8">
        <v>0</v>
      </c>
      <c r="AC502" s="8">
        <v>0</v>
      </c>
      <c r="AD502" s="8">
        <v>0</v>
      </c>
      <c r="AE502" s="8">
        <v>6625.22</v>
      </c>
      <c r="AF502" s="8">
        <v>0</v>
      </c>
      <c r="AG502" s="8" t="s">
        <v>65</v>
      </c>
      <c r="AH502" s="8" t="s">
        <v>3</v>
      </c>
      <c r="AI502" s="8">
        <v>54026930</v>
      </c>
      <c r="AJ502" s="8" t="s">
        <v>60</v>
      </c>
      <c r="AK502" s="8">
        <v>1</v>
      </c>
      <c r="AL502" s="8">
        <v>0</v>
      </c>
      <c r="AM502" s="8" t="s">
        <v>1940</v>
      </c>
    </row>
    <row r="503" spans="7:39">
      <c r="G503" s="347"/>
      <c r="H503" s="6" t="s">
        <v>3204</v>
      </c>
      <c r="I503" s="8" t="s">
        <v>94</v>
      </c>
      <c r="J503" s="8" t="s">
        <v>96</v>
      </c>
      <c r="K503" s="8" t="s">
        <v>3215</v>
      </c>
      <c r="L503" s="8" t="s">
        <v>97</v>
      </c>
      <c r="M503" s="8" t="s">
        <v>3216</v>
      </c>
      <c r="N503" s="8" t="s">
        <v>3204</v>
      </c>
      <c r="O503" s="8" t="s">
        <v>2</v>
      </c>
      <c r="P503" s="8" t="s">
        <v>67</v>
      </c>
      <c r="Q503" s="8" t="s">
        <v>68</v>
      </c>
      <c r="R503" s="8" t="s">
        <v>69</v>
      </c>
      <c r="S503" s="8" t="s">
        <v>70</v>
      </c>
      <c r="T503" s="8">
        <v>10</v>
      </c>
      <c r="U503" s="9">
        <v>480</v>
      </c>
      <c r="V503" s="8" t="s">
        <v>70</v>
      </c>
      <c r="W503" s="8">
        <v>565.91999999999996</v>
      </c>
      <c r="X503" s="8">
        <v>9</v>
      </c>
      <c r="Y503" s="8">
        <v>43.2</v>
      </c>
      <c r="Z503" s="8">
        <v>9</v>
      </c>
      <c r="AA503" s="8">
        <v>43.2</v>
      </c>
      <c r="AB503" s="8">
        <v>0</v>
      </c>
      <c r="AC503" s="8">
        <v>0</v>
      </c>
      <c r="AD503" s="8">
        <v>0</v>
      </c>
      <c r="AE503" s="8">
        <v>86.4</v>
      </c>
      <c r="AF503" s="8">
        <v>0</v>
      </c>
      <c r="AG503" s="8" t="s">
        <v>74</v>
      </c>
      <c r="AH503" s="8" t="s">
        <v>11</v>
      </c>
      <c r="AI503" s="8">
        <v>73063090</v>
      </c>
      <c r="AJ503" s="8" t="s">
        <v>60</v>
      </c>
      <c r="AK503" s="8">
        <v>1</v>
      </c>
      <c r="AL503" s="8">
        <v>0</v>
      </c>
      <c r="AM503" s="8" t="s">
        <v>1940</v>
      </c>
    </row>
    <row r="504" spans="7:39">
      <c r="G504" s="347"/>
      <c r="H504" s="6" t="s">
        <v>3204</v>
      </c>
      <c r="I504" s="8" t="s">
        <v>94</v>
      </c>
      <c r="J504" s="8" t="s">
        <v>96</v>
      </c>
      <c r="K504" s="8" t="s">
        <v>3217</v>
      </c>
      <c r="L504" s="8" t="s">
        <v>97</v>
      </c>
      <c r="M504" s="8" t="s">
        <v>3218</v>
      </c>
      <c r="N504" s="8" t="s">
        <v>3204</v>
      </c>
      <c r="O504" s="8" t="s">
        <v>13</v>
      </c>
      <c r="P504" s="8" t="s">
        <v>80</v>
      </c>
      <c r="Q504" s="8" t="s">
        <v>81</v>
      </c>
      <c r="R504" s="8" t="s">
        <v>69</v>
      </c>
      <c r="S504" s="8" t="s">
        <v>2192</v>
      </c>
      <c r="T504" s="9">
        <v>37.700000000000003</v>
      </c>
      <c r="U504" s="9">
        <v>9990.5</v>
      </c>
      <c r="V504" s="8" t="s">
        <v>2192</v>
      </c>
      <c r="W504" s="8">
        <v>11778.79</v>
      </c>
      <c r="X504" s="8">
        <v>9</v>
      </c>
      <c r="Y504" s="8">
        <v>899.14</v>
      </c>
      <c r="Z504" s="8">
        <v>9</v>
      </c>
      <c r="AA504" s="8">
        <v>899.14</v>
      </c>
      <c r="AB504" s="8">
        <v>0</v>
      </c>
      <c r="AC504" s="8">
        <v>0</v>
      </c>
      <c r="AD504" s="8">
        <v>0</v>
      </c>
      <c r="AE504" s="8">
        <v>1798.28</v>
      </c>
      <c r="AF504" s="8">
        <v>0</v>
      </c>
      <c r="AG504" s="8" t="s">
        <v>74</v>
      </c>
      <c r="AH504" s="8" t="s">
        <v>11</v>
      </c>
      <c r="AI504" s="8">
        <v>3920101</v>
      </c>
      <c r="AJ504" s="8" t="s">
        <v>60</v>
      </c>
      <c r="AK504" s="8">
        <v>1</v>
      </c>
      <c r="AL504" s="8">
        <v>0</v>
      </c>
      <c r="AM504" s="8" t="s">
        <v>1940</v>
      </c>
    </row>
    <row r="505" spans="7:39">
      <c r="G505" s="347"/>
      <c r="H505" s="6" t="s">
        <v>3204</v>
      </c>
      <c r="I505" s="8" t="s">
        <v>94</v>
      </c>
      <c r="J505" s="8" t="s">
        <v>96</v>
      </c>
      <c r="K505" s="8" t="s">
        <v>3219</v>
      </c>
      <c r="L505" s="8" t="s">
        <v>97</v>
      </c>
      <c r="M505" s="8" t="s">
        <v>3220</v>
      </c>
      <c r="N505" s="7" t="s">
        <v>3204</v>
      </c>
      <c r="O505" s="8" t="s">
        <v>2</v>
      </c>
      <c r="P505" s="8" t="s">
        <v>3176</v>
      </c>
      <c r="Q505" s="8" t="s">
        <v>68</v>
      </c>
      <c r="R505" s="8" t="s">
        <v>69</v>
      </c>
      <c r="S505" s="8" t="s">
        <v>3221</v>
      </c>
      <c r="T505" s="9">
        <v>150</v>
      </c>
      <c r="U505" s="9">
        <v>27070.5</v>
      </c>
      <c r="V505" s="8" t="s">
        <v>3221</v>
      </c>
      <c r="W505" s="8">
        <v>28396.95</v>
      </c>
      <c r="X505" s="8">
        <v>2.5</v>
      </c>
      <c r="Y505" s="8">
        <v>676.76</v>
      </c>
      <c r="Z505" s="8">
        <v>2.5</v>
      </c>
      <c r="AA505" s="8">
        <v>676.76</v>
      </c>
      <c r="AB505" s="8">
        <v>0</v>
      </c>
      <c r="AC505" s="8">
        <v>0</v>
      </c>
      <c r="AD505" s="8">
        <v>0</v>
      </c>
      <c r="AE505" s="8">
        <v>1353.52</v>
      </c>
      <c r="AF505" s="8">
        <v>0</v>
      </c>
      <c r="AG505" s="8" t="s">
        <v>74</v>
      </c>
      <c r="AH505" s="8" t="s">
        <v>1</v>
      </c>
      <c r="AI505" s="8">
        <v>84529099</v>
      </c>
      <c r="AJ505" s="8" t="s">
        <v>60</v>
      </c>
      <c r="AK505" s="8">
        <v>1</v>
      </c>
      <c r="AL505" s="8">
        <v>0</v>
      </c>
      <c r="AM505" s="8" t="s">
        <v>1940</v>
      </c>
    </row>
    <row r="506" spans="7:39">
      <c r="G506" s="347"/>
      <c r="H506" s="6" t="s">
        <v>3204</v>
      </c>
      <c r="I506" s="8" t="s">
        <v>94</v>
      </c>
      <c r="J506" s="8" t="s">
        <v>91</v>
      </c>
      <c r="K506" s="8" t="s">
        <v>3222</v>
      </c>
      <c r="L506" s="8" t="s">
        <v>98</v>
      </c>
      <c r="M506" s="8" t="s">
        <v>3223</v>
      </c>
      <c r="N506" s="7" t="s">
        <v>3204</v>
      </c>
      <c r="O506" s="8" t="s">
        <v>13</v>
      </c>
      <c r="P506" s="8" t="s">
        <v>62</v>
      </c>
      <c r="Q506" s="8" t="s">
        <v>76</v>
      </c>
      <c r="R506" s="8" t="s">
        <v>77</v>
      </c>
      <c r="S506" s="8" t="s">
        <v>21</v>
      </c>
      <c r="T506" s="8">
        <v>238.8</v>
      </c>
      <c r="U506" s="9">
        <v>38623.51</v>
      </c>
      <c r="V506" s="8" t="s">
        <v>21</v>
      </c>
      <c r="W506" s="8">
        <v>84217.04</v>
      </c>
      <c r="X506" s="8">
        <v>9</v>
      </c>
      <c r="Y506" s="8">
        <v>3476.12</v>
      </c>
      <c r="Z506" s="8">
        <v>9</v>
      </c>
      <c r="AA506" s="8">
        <v>3476.12</v>
      </c>
      <c r="AB506" s="8">
        <v>0</v>
      </c>
      <c r="AC506" s="8">
        <v>0</v>
      </c>
      <c r="AD506" s="8">
        <v>0</v>
      </c>
      <c r="AE506" s="8">
        <v>6952.24</v>
      </c>
      <c r="AF506" s="8">
        <v>0</v>
      </c>
      <c r="AG506" s="8" t="s">
        <v>74</v>
      </c>
      <c r="AH506" s="8" t="s">
        <v>11</v>
      </c>
      <c r="AI506" s="8">
        <v>63053300</v>
      </c>
      <c r="AJ506" s="8" t="s">
        <v>60</v>
      </c>
      <c r="AK506" s="8">
        <v>1</v>
      </c>
      <c r="AL506" s="8">
        <v>0</v>
      </c>
      <c r="AM506" s="8" t="s">
        <v>1940</v>
      </c>
    </row>
    <row r="507" spans="7:39">
      <c r="G507" s="347"/>
      <c r="H507" s="6" t="s">
        <v>3204</v>
      </c>
      <c r="I507" s="8" t="s">
        <v>94</v>
      </c>
      <c r="J507" s="8" t="s">
        <v>91</v>
      </c>
      <c r="K507" s="8" t="s">
        <v>3222</v>
      </c>
      <c r="L507" s="8" t="s">
        <v>98</v>
      </c>
      <c r="M507" s="8" t="s">
        <v>3223</v>
      </c>
      <c r="N507" s="7" t="s">
        <v>3204</v>
      </c>
      <c r="O507" s="8" t="s">
        <v>13</v>
      </c>
      <c r="P507" s="8" t="s">
        <v>62</v>
      </c>
      <c r="Q507" s="8" t="s">
        <v>76</v>
      </c>
      <c r="R507" s="8" t="s">
        <v>77</v>
      </c>
      <c r="S507" s="8" t="s">
        <v>21</v>
      </c>
      <c r="T507" s="8">
        <v>78</v>
      </c>
      <c r="U507" s="9">
        <v>12381.72</v>
      </c>
      <c r="V507" s="8" t="s">
        <v>21</v>
      </c>
      <c r="W507" s="8">
        <v>0</v>
      </c>
      <c r="X507" s="8">
        <v>9</v>
      </c>
      <c r="Y507" s="8">
        <v>1114.3499999999999</v>
      </c>
      <c r="Z507" s="8">
        <v>9</v>
      </c>
      <c r="AA507" s="8">
        <v>1114.3499999999999</v>
      </c>
      <c r="AB507" s="8">
        <v>0</v>
      </c>
      <c r="AC507" s="8">
        <v>0</v>
      </c>
      <c r="AD507" s="8">
        <v>0</v>
      </c>
      <c r="AE507" s="8">
        <v>2228.6999999999998</v>
      </c>
      <c r="AF507" s="8">
        <v>0</v>
      </c>
      <c r="AG507" s="8" t="s">
        <v>74</v>
      </c>
      <c r="AH507" s="8" t="s">
        <v>11</v>
      </c>
      <c r="AI507" s="8">
        <v>63053300</v>
      </c>
      <c r="AJ507" s="8" t="s">
        <v>60</v>
      </c>
      <c r="AK507" s="8">
        <v>1</v>
      </c>
      <c r="AL507" s="8">
        <v>0</v>
      </c>
      <c r="AM507" s="8" t="s">
        <v>1940</v>
      </c>
    </row>
    <row r="508" spans="7:39">
      <c r="G508" s="347"/>
      <c r="H508" s="6" t="s">
        <v>3204</v>
      </c>
      <c r="I508" s="8" t="s">
        <v>94</v>
      </c>
      <c r="J508" s="8" t="s">
        <v>91</v>
      </c>
      <c r="K508" s="8" t="s">
        <v>3222</v>
      </c>
      <c r="L508" s="8" t="s">
        <v>98</v>
      </c>
      <c r="M508" s="8" t="s">
        <v>3223</v>
      </c>
      <c r="N508" s="7" t="s">
        <v>3204</v>
      </c>
      <c r="O508" s="8" t="s">
        <v>15</v>
      </c>
      <c r="P508" s="8" t="s">
        <v>2117</v>
      </c>
      <c r="Q508" s="8" t="s">
        <v>2117</v>
      </c>
      <c r="R508" s="8" t="s">
        <v>2117</v>
      </c>
      <c r="S508" s="347" t="s">
        <v>64</v>
      </c>
      <c r="T508" s="8">
        <v>132</v>
      </c>
      <c r="U508" s="9">
        <v>20425.68</v>
      </c>
      <c r="V508" s="8" t="s">
        <v>2117</v>
      </c>
      <c r="W508" s="8">
        <v>0</v>
      </c>
      <c r="X508" s="8">
        <v>9</v>
      </c>
      <c r="Y508" s="8">
        <v>1838.31</v>
      </c>
      <c r="Z508" s="8">
        <v>9</v>
      </c>
      <c r="AA508" s="8">
        <v>1838.31</v>
      </c>
      <c r="AB508" s="8">
        <v>0</v>
      </c>
      <c r="AC508" s="8">
        <v>0</v>
      </c>
      <c r="AD508" s="8">
        <v>0</v>
      </c>
      <c r="AE508" s="8">
        <v>3676.62</v>
      </c>
      <c r="AF508" s="8">
        <v>0</v>
      </c>
      <c r="AG508" s="8" t="s">
        <v>74</v>
      </c>
      <c r="AH508" s="8" t="s">
        <v>11</v>
      </c>
      <c r="AI508" s="8">
        <v>39269080</v>
      </c>
      <c r="AJ508" s="8" t="s">
        <v>60</v>
      </c>
      <c r="AK508" s="8">
        <v>1</v>
      </c>
      <c r="AL508" s="8">
        <v>0</v>
      </c>
      <c r="AM508" s="8" t="s">
        <v>1940</v>
      </c>
    </row>
    <row r="509" spans="7:39">
      <c r="G509" s="347"/>
      <c r="H509" s="6" t="s">
        <v>3224</v>
      </c>
      <c r="I509" s="8" t="s">
        <v>93</v>
      </c>
      <c r="J509" s="8" t="s">
        <v>91</v>
      </c>
      <c r="K509" s="8" t="s">
        <v>3225</v>
      </c>
      <c r="L509" s="8" t="s">
        <v>98</v>
      </c>
      <c r="M509" s="8" t="s">
        <v>3226</v>
      </c>
      <c r="N509" s="7" t="s">
        <v>3204</v>
      </c>
      <c r="O509" s="8" t="s">
        <v>15</v>
      </c>
      <c r="P509" s="8" t="s">
        <v>57</v>
      </c>
      <c r="Q509" s="8" t="s">
        <v>57</v>
      </c>
      <c r="R509" s="8" t="s">
        <v>58</v>
      </c>
      <c r="S509" s="8" t="s">
        <v>16</v>
      </c>
      <c r="T509" s="8">
        <v>426</v>
      </c>
      <c r="U509" s="9">
        <v>80496.960000000006</v>
      </c>
      <c r="V509" s="8" t="s">
        <v>16</v>
      </c>
      <c r="W509" s="8">
        <v>2071486.94</v>
      </c>
      <c r="X509" s="8">
        <v>9</v>
      </c>
      <c r="Y509" s="8">
        <v>7244.73</v>
      </c>
      <c r="Z509" s="8">
        <v>9</v>
      </c>
      <c r="AA509" s="8">
        <v>7244.73</v>
      </c>
      <c r="AB509" s="8">
        <v>0</v>
      </c>
      <c r="AC509" s="8">
        <v>0</v>
      </c>
      <c r="AD509" s="8">
        <v>0</v>
      </c>
      <c r="AE509" s="8">
        <v>14489.46</v>
      </c>
      <c r="AF509" s="8">
        <v>0</v>
      </c>
      <c r="AG509" s="8" t="s">
        <v>59</v>
      </c>
      <c r="AH509" s="8" t="s">
        <v>11</v>
      </c>
      <c r="AI509" s="8">
        <v>63053200</v>
      </c>
      <c r="AJ509" s="8" t="s">
        <v>60</v>
      </c>
      <c r="AK509" s="8">
        <v>1</v>
      </c>
      <c r="AL509" s="8">
        <v>0</v>
      </c>
      <c r="AM509" s="8" t="s">
        <v>1940</v>
      </c>
    </row>
    <row r="510" spans="7:39">
      <c r="G510" s="347"/>
      <c r="H510" s="6" t="s">
        <v>3224</v>
      </c>
      <c r="I510" s="8" t="s">
        <v>93</v>
      </c>
      <c r="J510" s="8" t="s">
        <v>91</v>
      </c>
      <c r="K510" s="8" t="s">
        <v>3225</v>
      </c>
      <c r="L510" s="8" t="s">
        <v>98</v>
      </c>
      <c r="M510" s="8" t="s">
        <v>3226</v>
      </c>
      <c r="N510" s="8" t="s">
        <v>3204</v>
      </c>
      <c r="O510" s="8" t="s">
        <v>15</v>
      </c>
      <c r="P510" s="8" t="s">
        <v>57</v>
      </c>
      <c r="Q510" s="8" t="s">
        <v>57</v>
      </c>
      <c r="R510" s="8" t="s">
        <v>58</v>
      </c>
      <c r="S510" s="8" t="s">
        <v>16</v>
      </c>
      <c r="T510" s="9">
        <v>8940.7999999999993</v>
      </c>
      <c r="U510" s="9">
        <v>1676489.41</v>
      </c>
      <c r="V510" s="8" t="s">
        <v>16</v>
      </c>
      <c r="W510" s="8">
        <v>0</v>
      </c>
      <c r="X510" s="8">
        <v>9</v>
      </c>
      <c r="Y510" s="8">
        <v>150884.04999999999</v>
      </c>
      <c r="Z510" s="8">
        <v>9</v>
      </c>
      <c r="AA510" s="8">
        <v>150884.04999999999</v>
      </c>
      <c r="AB510" s="8">
        <v>0</v>
      </c>
      <c r="AC510" s="8">
        <v>0</v>
      </c>
      <c r="AD510" s="8">
        <v>0</v>
      </c>
      <c r="AE510" s="8">
        <v>301768.09999999998</v>
      </c>
      <c r="AF510" s="8">
        <v>0</v>
      </c>
      <c r="AG510" s="8" t="s">
        <v>59</v>
      </c>
      <c r="AH510" s="8" t="s">
        <v>11</v>
      </c>
      <c r="AI510" s="8">
        <v>63053200</v>
      </c>
      <c r="AJ510" s="8" t="s">
        <v>60</v>
      </c>
      <c r="AK510" s="8">
        <v>1</v>
      </c>
      <c r="AL510" s="8">
        <v>0</v>
      </c>
      <c r="AM510" s="8" t="s">
        <v>1940</v>
      </c>
    </row>
    <row r="511" spans="7:39">
      <c r="G511" s="347"/>
      <c r="H511" s="6" t="s">
        <v>3224</v>
      </c>
      <c r="I511" s="8" t="s">
        <v>87</v>
      </c>
      <c r="J511" s="8" t="s">
        <v>96</v>
      </c>
      <c r="K511" s="8" t="s">
        <v>3227</v>
      </c>
      <c r="L511" s="8" t="s">
        <v>97</v>
      </c>
      <c r="M511" s="8" t="s">
        <v>3228</v>
      </c>
      <c r="N511" s="8" t="s">
        <v>3224</v>
      </c>
      <c r="O511" s="8" t="s">
        <v>2</v>
      </c>
      <c r="P511" s="8" t="s">
        <v>67</v>
      </c>
      <c r="Q511" s="8" t="s">
        <v>68</v>
      </c>
      <c r="R511" s="8" t="s">
        <v>69</v>
      </c>
      <c r="S511" s="8" t="s">
        <v>70</v>
      </c>
      <c r="T511" s="9">
        <v>478</v>
      </c>
      <c r="U511" s="9">
        <v>22944</v>
      </c>
      <c r="V511" s="8" t="s">
        <v>70</v>
      </c>
      <c r="W511" s="8">
        <v>27050.98</v>
      </c>
      <c r="X511" s="8">
        <v>9</v>
      </c>
      <c r="Y511" s="8">
        <v>2064.96</v>
      </c>
      <c r="Z511" s="8">
        <v>9</v>
      </c>
      <c r="AA511" s="8">
        <v>2064.96</v>
      </c>
      <c r="AB511" s="8">
        <v>0</v>
      </c>
      <c r="AC511" s="8">
        <v>0</v>
      </c>
      <c r="AD511" s="8">
        <v>0</v>
      </c>
      <c r="AE511" s="8">
        <v>4129.92</v>
      </c>
      <c r="AF511" s="8">
        <v>0</v>
      </c>
      <c r="AG511" s="8" t="s">
        <v>65</v>
      </c>
      <c r="AH511" s="8" t="s">
        <v>11</v>
      </c>
      <c r="AI511" s="8">
        <v>73063090</v>
      </c>
      <c r="AJ511" s="8" t="s">
        <v>60</v>
      </c>
      <c r="AK511" s="8">
        <v>1</v>
      </c>
      <c r="AL511" s="8">
        <v>0</v>
      </c>
      <c r="AM511" s="8" t="s">
        <v>1940</v>
      </c>
    </row>
    <row r="512" spans="7:39">
      <c r="G512" s="347"/>
      <c r="H512" s="6" t="s">
        <v>3224</v>
      </c>
      <c r="I512" s="8" t="s">
        <v>87</v>
      </c>
      <c r="J512" s="8" t="s">
        <v>91</v>
      </c>
      <c r="K512" s="8" t="s">
        <v>3229</v>
      </c>
      <c r="L512" s="8" t="s">
        <v>98</v>
      </c>
      <c r="M512" s="8" t="s">
        <v>3230</v>
      </c>
      <c r="N512" s="8" t="s">
        <v>3224</v>
      </c>
      <c r="O512" s="8" t="s">
        <v>13</v>
      </c>
      <c r="P512" s="8" t="s">
        <v>62</v>
      </c>
      <c r="Q512" s="8" t="s">
        <v>63</v>
      </c>
      <c r="R512" s="8" t="s">
        <v>64</v>
      </c>
      <c r="S512" s="8" t="s">
        <v>19</v>
      </c>
      <c r="T512" s="9">
        <v>4703</v>
      </c>
      <c r="U512" s="9">
        <v>679536.47</v>
      </c>
      <c r="V512" s="8" t="s">
        <v>19</v>
      </c>
      <c r="W512" s="8">
        <v>995030.37</v>
      </c>
      <c r="X512" s="8">
        <v>9</v>
      </c>
      <c r="Y512" s="8">
        <v>61158.28</v>
      </c>
      <c r="Z512" s="8">
        <v>9</v>
      </c>
      <c r="AA512" s="8">
        <v>61158.28</v>
      </c>
      <c r="AB512" s="8">
        <v>0</v>
      </c>
      <c r="AC512" s="8">
        <v>0</v>
      </c>
      <c r="AD512" s="8">
        <v>0</v>
      </c>
      <c r="AE512" s="8">
        <v>122316.56</v>
      </c>
      <c r="AF512" s="8">
        <v>0</v>
      </c>
      <c r="AG512" s="8" t="s">
        <v>65</v>
      </c>
      <c r="AH512" s="8" t="s">
        <v>11</v>
      </c>
      <c r="AI512" s="8">
        <v>39269080</v>
      </c>
      <c r="AJ512" s="8" t="s">
        <v>60</v>
      </c>
      <c r="AK512" s="8">
        <v>1</v>
      </c>
      <c r="AL512" s="8">
        <v>0</v>
      </c>
      <c r="AM512" s="8" t="s">
        <v>1940</v>
      </c>
    </row>
    <row r="513" spans="7:39">
      <c r="G513" s="347"/>
      <c r="H513" s="6" t="s">
        <v>3224</v>
      </c>
      <c r="I513" s="8" t="s">
        <v>87</v>
      </c>
      <c r="J513" s="8" t="s">
        <v>91</v>
      </c>
      <c r="K513" s="8" t="s">
        <v>3229</v>
      </c>
      <c r="L513" s="8" t="s">
        <v>98</v>
      </c>
      <c r="M513" s="8" t="s">
        <v>3230</v>
      </c>
      <c r="N513" s="7" t="s">
        <v>3224</v>
      </c>
      <c r="O513" s="8" t="s">
        <v>13</v>
      </c>
      <c r="P513" s="8" t="s">
        <v>62</v>
      </c>
      <c r="Q513" s="8" t="s">
        <v>76</v>
      </c>
      <c r="R513" s="8" t="s">
        <v>77</v>
      </c>
      <c r="S513" s="8" t="s">
        <v>21</v>
      </c>
      <c r="T513" s="8">
        <v>357</v>
      </c>
      <c r="U513" s="9">
        <v>53010.93</v>
      </c>
      <c r="V513" s="8" t="s">
        <v>21</v>
      </c>
      <c r="W513" s="8">
        <v>0</v>
      </c>
      <c r="X513" s="8">
        <v>9</v>
      </c>
      <c r="Y513" s="8">
        <v>4770.9799999999996</v>
      </c>
      <c r="Z513" s="8">
        <v>9</v>
      </c>
      <c r="AA513" s="8">
        <v>4770.9799999999996</v>
      </c>
      <c r="AB513" s="8">
        <v>0</v>
      </c>
      <c r="AC513" s="8">
        <v>0</v>
      </c>
      <c r="AD513" s="8">
        <v>0</v>
      </c>
      <c r="AE513" s="8">
        <v>9541.9599999999991</v>
      </c>
      <c r="AF513" s="8">
        <v>0</v>
      </c>
      <c r="AG513" s="8" t="s">
        <v>65</v>
      </c>
      <c r="AH513" s="8" t="s">
        <v>11</v>
      </c>
      <c r="AI513" s="8">
        <v>63053300</v>
      </c>
      <c r="AJ513" s="8" t="s">
        <v>60</v>
      </c>
      <c r="AK513" s="8">
        <v>1</v>
      </c>
      <c r="AL513" s="8">
        <v>0</v>
      </c>
      <c r="AM513" s="8" t="s">
        <v>1940</v>
      </c>
    </row>
    <row r="514" spans="7:39">
      <c r="G514" s="347"/>
      <c r="H514" s="6" t="s">
        <v>3224</v>
      </c>
      <c r="I514" s="8" t="s">
        <v>87</v>
      </c>
      <c r="J514" s="8" t="s">
        <v>91</v>
      </c>
      <c r="K514" s="8" t="s">
        <v>3229</v>
      </c>
      <c r="L514" s="8" t="s">
        <v>98</v>
      </c>
      <c r="M514" s="8" t="s">
        <v>3230</v>
      </c>
      <c r="N514" s="7" t="s">
        <v>3224</v>
      </c>
      <c r="O514" s="8" t="s">
        <v>13</v>
      </c>
      <c r="P514" s="8" t="s">
        <v>24</v>
      </c>
      <c r="Q514" s="8" t="s">
        <v>79</v>
      </c>
      <c r="R514" s="8" t="s">
        <v>79</v>
      </c>
      <c r="S514" s="8" t="s">
        <v>24</v>
      </c>
      <c r="T514" s="8">
        <v>448.8</v>
      </c>
      <c r="U514" s="9">
        <v>65744.710000000006</v>
      </c>
      <c r="V514" s="8" t="s">
        <v>24</v>
      </c>
      <c r="W514" s="8">
        <v>0</v>
      </c>
      <c r="X514" s="8">
        <v>9</v>
      </c>
      <c r="Y514" s="8">
        <v>5917.02</v>
      </c>
      <c r="Z514" s="8">
        <v>9</v>
      </c>
      <c r="AA514" s="8">
        <v>5917.02</v>
      </c>
      <c r="AB514" s="8">
        <v>0</v>
      </c>
      <c r="AC514" s="8">
        <v>0</v>
      </c>
      <c r="AD514" s="8">
        <v>0</v>
      </c>
      <c r="AE514" s="8">
        <v>11834.04</v>
      </c>
      <c r="AF514" s="8">
        <v>0</v>
      </c>
      <c r="AG514" s="8" t="s">
        <v>65</v>
      </c>
      <c r="AH514" s="8" t="s">
        <v>11</v>
      </c>
      <c r="AI514" s="8">
        <v>3926908</v>
      </c>
      <c r="AJ514" s="8" t="s">
        <v>60</v>
      </c>
      <c r="AK514" s="8">
        <v>1</v>
      </c>
      <c r="AL514" s="8">
        <v>0</v>
      </c>
      <c r="AM514" s="8" t="s">
        <v>1940</v>
      </c>
    </row>
    <row r="515" spans="7:39">
      <c r="G515" s="347"/>
      <c r="H515" s="6" t="s">
        <v>3224</v>
      </c>
      <c r="I515" s="8" t="s">
        <v>87</v>
      </c>
      <c r="J515" s="8" t="s">
        <v>91</v>
      </c>
      <c r="K515" s="8" t="s">
        <v>3229</v>
      </c>
      <c r="L515" s="8" t="s">
        <v>98</v>
      </c>
      <c r="M515" s="8" t="s">
        <v>3230</v>
      </c>
      <c r="N515" s="7" t="s">
        <v>3224</v>
      </c>
      <c r="O515" s="8" t="s">
        <v>13</v>
      </c>
      <c r="P515" s="8" t="s">
        <v>24</v>
      </c>
      <c r="Q515" s="8" t="s">
        <v>79</v>
      </c>
      <c r="R515" s="8" t="s">
        <v>79</v>
      </c>
      <c r="S515" s="8" t="s">
        <v>24</v>
      </c>
      <c r="T515" s="9">
        <v>305.5</v>
      </c>
      <c r="U515" s="9">
        <v>45669.2</v>
      </c>
      <c r="V515" s="8" t="s">
        <v>24</v>
      </c>
      <c r="W515" s="8">
        <v>0</v>
      </c>
      <c r="X515" s="8">
        <v>9</v>
      </c>
      <c r="Y515" s="8">
        <v>4110.2299999999996</v>
      </c>
      <c r="Z515" s="8">
        <v>9</v>
      </c>
      <c r="AA515" s="8">
        <v>4110.2299999999996</v>
      </c>
      <c r="AB515" s="8">
        <v>0</v>
      </c>
      <c r="AC515" s="8">
        <v>0</v>
      </c>
      <c r="AD515" s="8">
        <v>0</v>
      </c>
      <c r="AE515" s="8">
        <v>8220.4599999999991</v>
      </c>
      <c r="AF515" s="8">
        <v>0</v>
      </c>
      <c r="AG515" s="8" t="s">
        <v>65</v>
      </c>
      <c r="AH515" s="8" t="s">
        <v>11</v>
      </c>
      <c r="AI515" s="8">
        <v>3926908</v>
      </c>
      <c r="AJ515" s="8" t="s">
        <v>60</v>
      </c>
      <c r="AK515" s="8">
        <v>1</v>
      </c>
      <c r="AL515" s="8">
        <v>0</v>
      </c>
      <c r="AM515" s="8" t="s">
        <v>1940</v>
      </c>
    </row>
    <row r="516" spans="7:39">
      <c r="G516" s="347"/>
      <c r="H516" s="6" t="s">
        <v>3224</v>
      </c>
      <c r="I516" s="8" t="s">
        <v>87</v>
      </c>
      <c r="J516" s="8" t="s">
        <v>91</v>
      </c>
      <c r="K516" s="8" t="s">
        <v>3231</v>
      </c>
      <c r="L516" s="8" t="s">
        <v>98</v>
      </c>
      <c r="M516" s="8" t="s">
        <v>3232</v>
      </c>
      <c r="N516" s="8" t="s">
        <v>3224</v>
      </c>
      <c r="O516" s="8" t="s">
        <v>13</v>
      </c>
      <c r="P516" s="8" t="s">
        <v>62</v>
      </c>
      <c r="Q516" s="8" t="s">
        <v>76</v>
      </c>
      <c r="R516" s="8" t="s">
        <v>77</v>
      </c>
      <c r="S516" s="8" t="s">
        <v>21</v>
      </c>
      <c r="T516" s="9">
        <v>1652</v>
      </c>
      <c r="U516" s="9">
        <v>250261.48</v>
      </c>
      <c r="V516" s="8" t="s">
        <v>21</v>
      </c>
      <c r="W516" s="8">
        <v>1504068.25</v>
      </c>
      <c r="X516" s="8">
        <v>9</v>
      </c>
      <c r="Y516" s="8">
        <v>22523.53</v>
      </c>
      <c r="Z516" s="8">
        <v>9</v>
      </c>
      <c r="AA516" s="8">
        <v>22523.53</v>
      </c>
      <c r="AB516" s="8">
        <v>0</v>
      </c>
      <c r="AC516" s="8">
        <v>0</v>
      </c>
      <c r="AD516" s="8">
        <v>0</v>
      </c>
      <c r="AE516" s="8">
        <v>45047.06</v>
      </c>
      <c r="AF516" s="8">
        <v>0</v>
      </c>
      <c r="AG516" s="8" t="s">
        <v>65</v>
      </c>
      <c r="AH516" s="8" t="s">
        <v>11</v>
      </c>
      <c r="AI516" s="8">
        <v>63053300</v>
      </c>
      <c r="AJ516" s="8" t="s">
        <v>60</v>
      </c>
      <c r="AK516" s="8">
        <v>1</v>
      </c>
      <c r="AL516" s="8">
        <v>0</v>
      </c>
      <c r="AM516" s="8" t="s">
        <v>1940</v>
      </c>
    </row>
    <row r="517" spans="7:39">
      <c r="G517" s="347"/>
      <c r="H517" s="6" t="s">
        <v>3224</v>
      </c>
      <c r="I517" s="8" t="s">
        <v>87</v>
      </c>
      <c r="J517" s="8" t="s">
        <v>91</v>
      </c>
      <c r="K517" s="8" t="s">
        <v>3231</v>
      </c>
      <c r="L517" s="8" t="s">
        <v>98</v>
      </c>
      <c r="M517" s="8" t="s">
        <v>3232</v>
      </c>
      <c r="N517" s="8" t="s">
        <v>3224</v>
      </c>
      <c r="O517" s="8" t="s">
        <v>13</v>
      </c>
      <c r="P517" s="8" t="s">
        <v>62</v>
      </c>
      <c r="Q517" s="8" t="s">
        <v>63</v>
      </c>
      <c r="R517" s="8" t="s">
        <v>64</v>
      </c>
      <c r="S517" s="8" t="s">
        <v>19</v>
      </c>
      <c r="T517" s="9">
        <v>5651</v>
      </c>
      <c r="U517" s="9">
        <v>816512.99</v>
      </c>
      <c r="V517" s="8" t="s">
        <v>19</v>
      </c>
      <c r="W517" s="8">
        <v>0</v>
      </c>
      <c r="X517" s="8">
        <v>9</v>
      </c>
      <c r="Y517" s="8">
        <v>73486.17</v>
      </c>
      <c r="Z517" s="8">
        <v>9</v>
      </c>
      <c r="AA517" s="8">
        <v>73486.17</v>
      </c>
      <c r="AB517" s="8">
        <v>0</v>
      </c>
      <c r="AC517" s="8">
        <v>0</v>
      </c>
      <c r="AD517" s="8">
        <v>0</v>
      </c>
      <c r="AE517" s="8">
        <v>146972.34</v>
      </c>
      <c r="AF517" s="8">
        <v>0</v>
      </c>
      <c r="AG517" s="8" t="s">
        <v>65</v>
      </c>
      <c r="AH517" s="8" t="s">
        <v>11</v>
      </c>
      <c r="AI517" s="8">
        <v>39269080</v>
      </c>
      <c r="AJ517" s="8" t="s">
        <v>60</v>
      </c>
      <c r="AK517" s="8">
        <v>1</v>
      </c>
      <c r="AL517" s="8">
        <v>0</v>
      </c>
      <c r="AM517" s="8" t="s">
        <v>1940</v>
      </c>
    </row>
    <row r="518" spans="7:39">
      <c r="G518" s="347"/>
      <c r="H518" s="6" t="s">
        <v>3224</v>
      </c>
      <c r="I518" s="8" t="s">
        <v>87</v>
      </c>
      <c r="J518" s="8" t="s">
        <v>91</v>
      </c>
      <c r="K518" s="8" t="s">
        <v>3231</v>
      </c>
      <c r="L518" s="8" t="s">
        <v>98</v>
      </c>
      <c r="M518" s="8" t="s">
        <v>3232</v>
      </c>
      <c r="N518" s="8" t="s">
        <v>3224</v>
      </c>
      <c r="O518" s="8" t="s">
        <v>13</v>
      </c>
      <c r="P518" s="8" t="s">
        <v>62</v>
      </c>
      <c r="Q518" s="8" t="s">
        <v>63</v>
      </c>
      <c r="R518" s="8" t="s">
        <v>64</v>
      </c>
      <c r="S518" s="8" t="s">
        <v>19</v>
      </c>
      <c r="T518" s="8">
        <v>339</v>
      </c>
      <c r="U518" s="9">
        <v>49999.11</v>
      </c>
      <c r="V518" s="8" t="s">
        <v>19</v>
      </c>
      <c r="W518" s="8">
        <v>0</v>
      </c>
      <c r="X518" s="8">
        <v>9</v>
      </c>
      <c r="Y518" s="8">
        <v>4499.92</v>
      </c>
      <c r="Z518" s="8">
        <v>9</v>
      </c>
      <c r="AA518" s="8">
        <v>4499.92</v>
      </c>
      <c r="AB518" s="8">
        <v>0</v>
      </c>
      <c r="AC518" s="8">
        <v>0</v>
      </c>
      <c r="AD518" s="8">
        <v>0</v>
      </c>
      <c r="AE518" s="8">
        <v>8999.84</v>
      </c>
      <c r="AF518" s="8">
        <v>0</v>
      </c>
      <c r="AG518" s="8" t="s">
        <v>65</v>
      </c>
      <c r="AH518" s="8" t="s">
        <v>11</v>
      </c>
      <c r="AI518" s="8">
        <v>39269080</v>
      </c>
      <c r="AJ518" s="8" t="s">
        <v>60</v>
      </c>
      <c r="AK518" s="8">
        <v>1</v>
      </c>
      <c r="AL518" s="8">
        <v>0</v>
      </c>
      <c r="AM518" s="8" t="s">
        <v>1940</v>
      </c>
    </row>
    <row r="519" spans="7:39">
      <c r="G519" s="347"/>
      <c r="H519" s="6" t="s">
        <v>3224</v>
      </c>
      <c r="I519" s="8" t="s">
        <v>87</v>
      </c>
      <c r="J519" s="8" t="s">
        <v>91</v>
      </c>
      <c r="K519" s="8" t="s">
        <v>3231</v>
      </c>
      <c r="L519" s="8" t="s">
        <v>98</v>
      </c>
      <c r="M519" s="8" t="s">
        <v>3232</v>
      </c>
      <c r="N519" s="8" t="s">
        <v>3224</v>
      </c>
      <c r="O519" s="8" t="s">
        <v>13</v>
      </c>
      <c r="P519" s="8" t="s">
        <v>62</v>
      </c>
      <c r="Q519" s="8" t="s">
        <v>63</v>
      </c>
      <c r="R519" s="8" t="s">
        <v>64</v>
      </c>
      <c r="S519" s="8" t="s">
        <v>19</v>
      </c>
      <c r="T519" s="9">
        <v>1085</v>
      </c>
      <c r="U519" s="9">
        <v>158941.65</v>
      </c>
      <c r="V519" s="8" t="s">
        <v>19</v>
      </c>
      <c r="W519" s="8">
        <v>0</v>
      </c>
      <c r="X519" s="8">
        <v>9</v>
      </c>
      <c r="Y519" s="8">
        <v>14304.75</v>
      </c>
      <c r="Z519" s="8">
        <v>9</v>
      </c>
      <c r="AA519" s="8">
        <v>14304.75</v>
      </c>
      <c r="AB519" s="8">
        <v>0</v>
      </c>
      <c r="AC519" s="8">
        <v>0</v>
      </c>
      <c r="AD519" s="8">
        <v>0</v>
      </c>
      <c r="AE519" s="8">
        <v>28609.5</v>
      </c>
      <c r="AF519" s="8">
        <v>0</v>
      </c>
      <c r="AG519" s="8" t="s">
        <v>65</v>
      </c>
      <c r="AH519" s="8" t="s">
        <v>11</v>
      </c>
      <c r="AI519" s="8">
        <v>39269080</v>
      </c>
      <c r="AJ519" s="8" t="s">
        <v>60</v>
      </c>
      <c r="AK519" s="8">
        <v>1</v>
      </c>
      <c r="AL519" s="8">
        <v>0</v>
      </c>
      <c r="AM519" s="8" t="s">
        <v>1940</v>
      </c>
    </row>
    <row r="520" spans="7:39">
      <c r="G520" s="347"/>
      <c r="H520" s="6" t="s">
        <v>3224</v>
      </c>
      <c r="I520" s="8" t="s">
        <v>94</v>
      </c>
      <c r="J520" s="8" t="s">
        <v>96</v>
      </c>
      <c r="K520" s="8" t="s">
        <v>3233</v>
      </c>
      <c r="L520" s="8" t="s">
        <v>97</v>
      </c>
      <c r="M520" s="8" t="s">
        <v>3234</v>
      </c>
      <c r="N520" s="8" t="s">
        <v>3224</v>
      </c>
      <c r="O520" s="8" t="s">
        <v>2</v>
      </c>
      <c r="P520" s="8" t="s">
        <v>67</v>
      </c>
      <c r="Q520" s="8" t="s">
        <v>68</v>
      </c>
      <c r="R520" s="8" t="s">
        <v>69</v>
      </c>
      <c r="S520" s="8" t="s">
        <v>70</v>
      </c>
      <c r="T520" s="9">
        <v>17</v>
      </c>
      <c r="U520" s="9">
        <v>816</v>
      </c>
      <c r="V520" s="8" t="s">
        <v>70</v>
      </c>
      <c r="W520" s="8">
        <v>962.06</v>
      </c>
      <c r="X520" s="8">
        <v>9</v>
      </c>
      <c r="Y520" s="8">
        <v>73.44</v>
      </c>
      <c r="Z520" s="8">
        <v>9</v>
      </c>
      <c r="AA520" s="8">
        <v>73.44</v>
      </c>
      <c r="AB520" s="8">
        <v>0</v>
      </c>
      <c r="AC520" s="8">
        <v>0</v>
      </c>
      <c r="AD520" s="8">
        <v>0</v>
      </c>
      <c r="AE520" s="8">
        <v>146.88</v>
      </c>
      <c r="AF520" s="8">
        <v>0</v>
      </c>
      <c r="AG520" s="8" t="s">
        <v>74</v>
      </c>
      <c r="AH520" s="8" t="s">
        <v>11</v>
      </c>
      <c r="AI520" s="8">
        <v>73063090</v>
      </c>
      <c r="AJ520" s="8" t="s">
        <v>60</v>
      </c>
      <c r="AK520" s="8">
        <v>1</v>
      </c>
      <c r="AL520" s="8">
        <v>0</v>
      </c>
      <c r="AM520" s="8" t="s">
        <v>1940</v>
      </c>
    </row>
    <row r="521" spans="7:39">
      <c r="G521" s="347"/>
      <c r="H521" s="6" t="s">
        <v>3224</v>
      </c>
      <c r="I521" s="8" t="s">
        <v>94</v>
      </c>
      <c r="J521" s="8" t="s">
        <v>91</v>
      </c>
      <c r="K521" s="8" t="s">
        <v>3235</v>
      </c>
      <c r="L521" s="8" t="s">
        <v>98</v>
      </c>
      <c r="M521" s="8" t="s">
        <v>3236</v>
      </c>
      <c r="N521" s="8" t="s">
        <v>3224</v>
      </c>
      <c r="O521" s="8" t="s">
        <v>15</v>
      </c>
      <c r="P521" s="8" t="s">
        <v>2117</v>
      </c>
      <c r="Q521" s="8" t="s">
        <v>2117</v>
      </c>
      <c r="R521" s="8" t="s">
        <v>2117</v>
      </c>
      <c r="S521" s="347" t="s">
        <v>64</v>
      </c>
      <c r="T521" s="9">
        <v>86</v>
      </c>
      <c r="U521" s="9">
        <v>13307.64</v>
      </c>
      <c r="V521" s="8" t="s">
        <v>2117</v>
      </c>
      <c r="W521" s="8">
        <v>79019.28</v>
      </c>
      <c r="X521" s="8">
        <v>9</v>
      </c>
      <c r="Y521" s="8">
        <v>1197.69</v>
      </c>
      <c r="Z521" s="8">
        <v>9</v>
      </c>
      <c r="AA521" s="8">
        <v>1197.69</v>
      </c>
      <c r="AB521" s="8">
        <v>0</v>
      </c>
      <c r="AC521" s="8">
        <v>0</v>
      </c>
      <c r="AD521" s="8">
        <v>0</v>
      </c>
      <c r="AE521" s="8">
        <v>2395.38</v>
      </c>
      <c r="AF521" s="8">
        <v>0</v>
      </c>
      <c r="AG521" s="8" t="s">
        <v>74</v>
      </c>
      <c r="AH521" s="8" t="s">
        <v>11</v>
      </c>
      <c r="AI521" s="8">
        <v>39269080</v>
      </c>
      <c r="AJ521" s="8" t="s">
        <v>60</v>
      </c>
      <c r="AK521" s="8">
        <v>1</v>
      </c>
      <c r="AL521" s="8">
        <v>0</v>
      </c>
      <c r="AM521" s="8" t="s">
        <v>1940</v>
      </c>
    </row>
    <row r="522" spans="7:39">
      <c r="G522" s="347"/>
      <c r="H522" s="6" t="s">
        <v>3224</v>
      </c>
      <c r="I522" s="8" t="s">
        <v>94</v>
      </c>
      <c r="J522" s="8" t="s">
        <v>91</v>
      </c>
      <c r="K522" s="8" t="s">
        <v>3235</v>
      </c>
      <c r="L522" s="8" t="s">
        <v>98</v>
      </c>
      <c r="M522" s="8" t="s">
        <v>3236</v>
      </c>
      <c r="N522" s="8" t="s">
        <v>3224</v>
      </c>
      <c r="O522" s="8" t="s">
        <v>13</v>
      </c>
      <c r="P522" s="8" t="s">
        <v>62</v>
      </c>
      <c r="Q522" s="8" t="s">
        <v>76</v>
      </c>
      <c r="R522" s="8" t="s">
        <v>77</v>
      </c>
      <c r="S522" s="8" t="s">
        <v>21</v>
      </c>
      <c r="T522" s="9">
        <v>210</v>
      </c>
      <c r="U522" s="9">
        <v>33335.4</v>
      </c>
      <c r="V522" s="8" t="s">
        <v>21</v>
      </c>
      <c r="W522" s="8">
        <v>0</v>
      </c>
      <c r="X522" s="8">
        <v>9</v>
      </c>
      <c r="Y522" s="8">
        <v>3000.19</v>
      </c>
      <c r="Z522" s="8">
        <v>9</v>
      </c>
      <c r="AA522" s="8">
        <v>3000.19</v>
      </c>
      <c r="AB522" s="8">
        <v>0</v>
      </c>
      <c r="AC522" s="8">
        <v>0</v>
      </c>
      <c r="AD522" s="8">
        <v>0</v>
      </c>
      <c r="AE522" s="8">
        <v>6000.38</v>
      </c>
      <c r="AF522" s="8">
        <v>0</v>
      </c>
      <c r="AG522" s="8" t="s">
        <v>74</v>
      </c>
      <c r="AH522" s="8" t="s">
        <v>11</v>
      </c>
      <c r="AI522" s="8">
        <v>63053300</v>
      </c>
      <c r="AJ522" s="8" t="s">
        <v>60</v>
      </c>
      <c r="AK522" s="8">
        <v>1</v>
      </c>
      <c r="AL522" s="8">
        <v>0</v>
      </c>
      <c r="AM522" s="8" t="s">
        <v>1940</v>
      </c>
    </row>
    <row r="523" spans="7:39">
      <c r="G523" s="347"/>
      <c r="H523" s="6" t="s">
        <v>3224</v>
      </c>
      <c r="I523" s="8" t="s">
        <v>94</v>
      </c>
      <c r="J523" s="8" t="s">
        <v>91</v>
      </c>
      <c r="K523" s="8" t="s">
        <v>3235</v>
      </c>
      <c r="L523" s="8" t="s">
        <v>98</v>
      </c>
      <c r="M523" s="8" t="s">
        <v>3236</v>
      </c>
      <c r="N523" s="8" t="s">
        <v>3224</v>
      </c>
      <c r="O523" s="8" t="s">
        <v>13</v>
      </c>
      <c r="P523" s="8" t="s">
        <v>62</v>
      </c>
      <c r="Q523" s="8" t="s">
        <v>76</v>
      </c>
      <c r="R523" s="8" t="s">
        <v>77</v>
      </c>
      <c r="S523" s="8" t="s">
        <v>21</v>
      </c>
      <c r="T523" s="9">
        <v>126</v>
      </c>
      <c r="U523" s="9">
        <v>20379.240000000002</v>
      </c>
      <c r="V523" s="8" t="s">
        <v>21</v>
      </c>
      <c r="W523" s="8">
        <v>0</v>
      </c>
      <c r="X523" s="8">
        <v>9</v>
      </c>
      <c r="Y523" s="8">
        <v>1834.13</v>
      </c>
      <c r="Z523" s="8">
        <v>9</v>
      </c>
      <c r="AA523" s="8">
        <v>1834.13</v>
      </c>
      <c r="AB523" s="8">
        <v>0</v>
      </c>
      <c r="AC523" s="8">
        <v>0</v>
      </c>
      <c r="AD523" s="8">
        <v>0</v>
      </c>
      <c r="AE523" s="8">
        <v>3668.26</v>
      </c>
      <c r="AF523" s="8">
        <v>0</v>
      </c>
      <c r="AG523" s="8" t="s">
        <v>74</v>
      </c>
      <c r="AH523" s="8" t="s">
        <v>11</v>
      </c>
      <c r="AI523" s="8">
        <v>63053300</v>
      </c>
      <c r="AJ523" s="8" t="s">
        <v>60</v>
      </c>
      <c r="AK523" s="8">
        <v>1</v>
      </c>
      <c r="AL523" s="8">
        <v>0</v>
      </c>
      <c r="AM523" s="8" t="s">
        <v>1940</v>
      </c>
    </row>
    <row r="524" spans="7:39">
      <c r="G524" s="347"/>
      <c r="H524" s="10" t="s">
        <v>3237</v>
      </c>
      <c r="I524" s="347" t="s">
        <v>87</v>
      </c>
      <c r="J524" s="347" t="s">
        <v>96</v>
      </c>
      <c r="K524" s="347" t="s">
        <v>3238</v>
      </c>
      <c r="L524" s="347" t="s">
        <v>97</v>
      </c>
      <c r="M524" s="347" t="s">
        <v>3239</v>
      </c>
      <c r="N524" s="347" t="s">
        <v>3237</v>
      </c>
      <c r="O524" s="347" t="s">
        <v>2</v>
      </c>
      <c r="P524" s="347" t="s">
        <v>67</v>
      </c>
      <c r="Q524" s="347" t="s">
        <v>68</v>
      </c>
      <c r="R524" s="347" t="s">
        <v>69</v>
      </c>
      <c r="S524" s="347" t="s">
        <v>70</v>
      </c>
      <c r="T524" s="347">
        <v>341</v>
      </c>
      <c r="U524" s="350">
        <v>16368</v>
      </c>
      <c r="V524" s="347" t="s">
        <v>70</v>
      </c>
      <c r="W524" s="347">
        <v>19297.87</v>
      </c>
      <c r="X524" s="347">
        <v>9</v>
      </c>
      <c r="Y524" s="347">
        <v>1473.12</v>
      </c>
      <c r="Z524" s="347">
        <v>9</v>
      </c>
      <c r="AA524" s="347">
        <v>1473.12</v>
      </c>
      <c r="AB524" s="347">
        <v>0</v>
      </c>
      <c r="AC524" s="347">
        <v>0</v>
      </c>
      <c r="AD524" s="347">
        <v>0</v>
      </c>
      <c r="AE524" s="347">
        <v>2946.24</v>
      </c>
      <c r="AF524" s="347">
        <v>0</v>
      </c>
      <c r="AG524" s="347" t="s">
        <v>65</v>
      </c>
      <c r="AH524" s="347" t="s">
        <v>11</v>
      </c>
      <c r="AI524" s="347">
        <v>73063090</v>
      </c>
      <c r="AJ524" s="347" t="s">
        <v>60</v>
      </c>
      <c r="AK524" s="347">
        <v>1</v>
      </c>
      <c r="AL524" s="347">
        <v>0</v>
      </c>
      <c r="AM524" s="347" t="s">
        <v>1940</v>
      </c>
    </row>
    <row r="525" spans="7:39">
      <c r="G525" s="347"/>
      <c r="H525" s="10" t="s">
        <v>3237</v>
      </c>
      <c r="I525" s="347" t="s">
        <v>87</v>
      </c>
      <c r="J525" s="347" t="s">
        <v>91</v>
      </c>
      <c r="K525" s="347" t="s">
        <v>3240</v>
      </c>
      <c r="L525" s="347" t="s">
        <v>98</v>
      </c>
      <c r="M525" s="347" t="s">
        <v>3241</v>
      </c>
      <c r="N525" s="347" t="s">
        <v>3237</v>
      </c>
      <c r="O525" s="347" t="s">
        <v>13</v>
      </c>
      <c r="P525" s="347" t="s">
        <v>62</v>
      </c>
      <c r="Q525" s="347" t="s">
        <v>63</v>
      </c>
      <c r="R525" s="347" t="s">
        <v>64</v>
      </c>
      <c r="S525" s="347" t="s">
        <v>19</v>
      </c>
      <c r="T525" s="350">
        <v>1109</v>
      </c>
      <c r="U525" s="347">
        <v>160239.41</v>
      </c>
      <c r="V525" s="347" t="s">
        <v>19</v>
      </c>
      <c r="W525" s="347">
        <v>642863.81999999995</v>
      </c>
      <c r="X525" s="347">
        <v>9</v>
      </c>
      <c r="Y525" s="347">
        <v>14421.55</v>
      </c>
      <c r="Z525" s="347">
        <v>9</v>
      </c>
      <c r="AA525" s="347">
        <v>14421.55</v>
      </c>
      <c r="AB525" s="347">
        <v>0</v>
      </c>
      <c r="AC525" s="347">
        <v>0</v>
      </c>
      <c r="AD525" s="347">
        <v>0</v>
      </c>
      <c r="AE525" s="347">
        <v>28843.1</v>
      </c>
      <c r="AF525" s="347">
        <v>0</v>
      </c>
      <c r="AG525" s="347" t="s">
        <v>65</v>
      </c>
      <c r="AH525" s="347" t="s">
        <v>11</v>
      </c>
      <c r="AI525" s="347">
        <v>39269080</v>
      </c>
      <c r="AJ525" s="347" t="s">
        <v>60</v>
      </c>
      <c r="AK525" s="347">
        <v>1</v>
      </c>
      <c r="AL525" s="347">
        <v>0</v>
      </c>
      <c r="AM525" s="347" t="s">
        <v>1940</v>
      </c>
    </row>
    <row r="526" spans="7:39">
      <c r="G526" s="347"/>
      <c r="H526" s="10" t="s">
        <v>3237</v>
      </c>
      <c r="I526" s="347" t="s">
        <v>87</v>
      </c>
      <c r="J526" s="347" t="s">
        <v>91</v>
      </c>
      <c r="K526" s="347" t="s">
        <v>3240</v>
      </c>
      <c r="L526" s="347" t="s">
        <v>98</v>
      </c>
      <c r="M526" s="347" t="s">
        <v>3241</v>
      </c>
      <c r="N526" s="347" t="s">
        <v>3237</v>
      </c>
      <c r="O526" s="347" t="s">
        <v>13</v>
      </c>
      <c r="P526" s="347" t="s">
        <v>62</v>
      </c>
      <c r="Q526" s="347" t="s">
        <v>76</v>
      </c>
      <c r="R526" s="347" t="s">
        <v>77</v>
      </c>
      <c r="S526" s="347" t="s">
        <v>21</v>
      </c>
      <c r="T526" s="347">
        <v>548</v>
      </c>
      <c r="U526" s="350">
        <v>81372.52</v>
      </c>
      <c r="V526" s="347" t="s">
        <v>21</v>
      </c>
      <c r="W526" s="347">
        <v>0</v>
      </c>
      <c r="X526" s="347">
        <v>9</v>
      </c>
      <c r="Y526" s="347">
        <v>7323.53</v>
      </c>
      <c r="Z526" s="347">
        <v>9</v>
      </c>
      <c r="AA526" s="347">
        <v>7323.53</v>
      </c>
      <c r="AB526" s="347">
        <v>0</v>
      </c>
      <c r="AC526" s="347">
        <v>0</v>
      </c>
      <c r="AD526" s="347">
        <v>0</v>
      </c>
      <c r="AE526" s="347">
        <v>14647.06</v>
      </c>
      <c r="AF526" s="347">
        <v>0</v>
      </c>
      <c r="AG526" s="347" t="s">
        <v>65</v>
      </c>
      <c r="AH526" s="347" t="s">
        <v>11</v>
      </c>
      <c r="AI526" s="347">
        <v>63053300</v>
      </c>
      <c r="AJ526" s="347" t="s">
        <v>60</v>
      </c>
      <c r="AK526" s="347">
        <v>1</v>
      </c>
      <c r="AL526" s="347">
        <v>0</v>
      </c>
      <c r="AM526" s="347" t="s">
        <v>1940</v>
      </c>
    </row>
    <row r="527" spans="7:39">
      <c r="G527" s="347"/>
      <c r="H527" s="10" t="s">
        <v>3237</v>
      </c>
      <c r="I527" s="347" t="s">
        <v>87</v>
      </c>
      <c r="J527" s="347" t="s">
        <v>91</v>
      </c>
      <c r="K527" s="347" t="s">
        <v>3240</v>
      </c>
      <c r="L527" s="347" t="s">
        <v>98</v>
      </c>
      <c r="M527" s="347" t="s">
        <v>3241</v>
      </c>
      <c r="N527" s="347" t="s">
        <v>3237</v>
      </c>
      <c r="O527" s="347" t="s">
        <v>13</v>
      </c>
      <c r="P527" s="347" t="s">
        <v>24</v>
      </c>
      <c r="Q527" s="347" t="s">
        <v>79</v>
      </c>
      <c r="R527" s="347" t="s">
        <v>79</v>
      </c>
      <c r="S527" s="347" t="s">
        <v>24</v>
      </c>
      <c r="T527" s="350">
        <v>1276.3</v>
      </c>
      <c r="U527" s="347">
        <v>190794.09</v>
      </c>
      <c r="V527" s="347" t="s">
        <v>24</v>
      </c>
      <c r="W527" s="347">
        <v>0</v>
      </c>
      <c r="X527" s="347">
        <v>9</v>
      </c>
      <c r="Y527" s="347">
        <v>17171.47</v>
      </c>
      <c r="Z527" s="347">
        <v>9</v>
      </c>
      <c r="AA527" s="347">
        <v>17171.47</v>
      </c>
      <c r="AB527" s="347">
        <v>0</v>
      </c>
      <c r="AC527" s="347">
        <v>0</v>
      </c>
      <c r="AD527" s="347">
        <v>0</v>
      </c>
      <c r="AE527" s="347">
        <v>34342.94</v>
      </c>
      <c r="AF527" s="347">
        <v>0</v>
      </c>
      <c r="AG527" s="347" t="s">
        <v>65</v>
      </c>
      <c r="AH527" s="347" t="s">
        <v>11</v>
      </c>
      <c r="AI527" s="347">
        <v>3926908</v>
      </c>
      <c r="AJ527" s="347" t="s">
        <v>60</v>
      </c>
      <c r="AK527" s="347">
        <v>1</v>
      </c>
      <c r="AL527" s="347">
        <v>0</v>
      </c>
      <c r="AM527" s="347" t="s">
        <v>1940</v>
      </c>
    </row>
    <row r="528" spans="7:39">
      <c r="G528" s="347"/>
      <c r="H528" s="10" t="s">
        <v>3237</v>
      </c>
      <c r="I528" s="347" t="s">
        <v>87</v>
      </c>
      <c r="J528" s="347" t="s">
        <v>91</v>
      </c>
      <c r="K528" s="347" t="s">
        <v>3240</v>
      </c>
      <c r="L528" s="347" t="s">
        <v>98</v>
      </c>
      <c r="M528" s="347" t="s">
        <v>3241</v>
      </c>
      <c r="N528" s="347" t="s">
        <v>3237</v>
      </c>
      <c r="O528" s="347" t="s">
        <v>13</v>
      </c>
      <c r="P528" s="347" t="s">
        <v>24</v>
      </c>
      <c r="Q528" s="347" t="s">
        <v>79</v>
      </c>
      <c r="R528" s="347" t="s">
        <v>79</v>
      </c>
      <c r="S528" s="347" t="s">
        <v>24</v>
      </c>
      <c r="T528" s="347">
        <v>770.4</v>
      </c>
      <c r="U528" s="347">
        <v>112855.9</v>
      </c>
      <c r="V528" s="347" t="s">
        <v>24</v>
      </c>
      <c r="W528" s="347">
        <v>0</v>
      </c>
      <c r="X528" s="347">
        <v>9</v>
      </c>
      <c r="Y528" s="347">
        <v>10157.030000000001</v>
      </c>
      <c r="Z528" s="347">
        <v>9</v>
      </c>
      <c r="AA528" s="347">
        <v>10157.030000000001</v>
      </c>
      <c r="AB528" s="347">
        <v>0</v>
      </c>
      <c r="AC528" s="347">
        <v>0</v>
      </c>
      <c r="AD528" s="347">
        <v>0</v>
      </c>
      <c r="AE528" s="347">
        <v>20314.060000000001</v>
      </c>
      <c r="AF528" s="347">
        <v>0</v>
      </c>
      <c r="AG528" s="347" t="s">
        <v>65</v>
      </c>
      <c r="AH528" s="347" t="s">
        <v>11</v>
      </c>
      <c r="AI528" s="347">
        <v>3926908</v>
      </c>
      <c r="AJ528" s="347" t="s">
        <v>60</v>
      </c>
      <c r="AK528" s="347">
        <v>1</v>
      </c>
      <c r="AL528" s="347">
        <v>0</v>
      </c>
      <c r="AM528" s="347" t="s">
        <v>1940</v>
      </c>
    </row>
    <row r="529" spans="7:39">
      <c r="G529" s="347"/>
      <c r="H529" s="10" t="s">
        <v>3237</v>
      </c>
      <c r="I529" s="347" t="s">
        <v>87</v>
      </c>
      <c r="J529" s="347" t="s">
        <v>91</v>
      </c>
      <c r="K529" s="347" t="s">
        <v>3242</v>
      </c>
      <c r="L529" s="347" t="s">
        <v>98</v>
      </c>
      <c r="M529" s="347" t="s">
        <v>3243</v>
      </c>
      <c r="N529" s="347" t="s">
        <v>3237</v>
      </c>
      <c r="O529" s="347" t="s">
        <v>13</v>
      </c>
      <c r="P529" s="347" t="s">
        <v>62</v>
      </c>
      <c r="Q529" s="347" t="s">
        <v>63</v>
      </c>
      <c r="R529" s="347" t="s">
        <v>64</v>
      </c>
      <c r="S529" s="347" t="s">
        <v>19</v>
      </c>
      <c r="T529" s="350">
        <v>7719</v>
      </c>
      <c r="U529" s="350">
        <v>1115318.31</v>
      </c>
      <c r="V529" s="347" t="s">
        <v>19</v>
      </c>
      <c r="W529" s="347">
        <v>1404424.95</v>
      </c>
      <c r="X529" s="347">
        <v>9</v>
      </c>
      <c r="Y529" s="347">
        <v>100378.65</v>
      </c>
      <c r="Z529" s="347">
        <v>9</v>
      </c>
      <c r="AA529" s="347">
        <v>100378.65</v>
      </c>
      <c r="AB529" s="347">
        <v>0</v>
      </c>
      <c r="AC529" s="347">
        <v>0</v>
      </c>
      <c r="AD529" s="347">
        <v>0</v>
      </c>
      <c r="AE529" s="347">
        <v>200757.3</v>
      </c>
      <c r="AF529" s="347">
        <v>0</v>
      </c>
      <c r="AG529" s="347" t="s">
        <v>65</v>
      </c>
      <c r="AH529" s="347" t="s">
        <v>11</v>
      </c>
      <c r="AI529" s="347">
        <v>39269080</v>
      </c>
      <c r="AJ529" s="347" t="s">
        <v>60</v>
      </c>
      <c r="AK529" s="347">
        <v>1</v>
      </c>
      <c r="AL529" s="347">
        <v>0</v>
      </c>
      <c r="AM529" s="347" t="s">
        <v>1940</v>
      </c>
    </row>
    <row r="530" spans="7:39">
      <c r="G530" s="347"/>
      <c r="H530" s="10" t="s">
        <v>3237</v>
      </c>
      <c r="I530" s="347" t="s">
        <v>87</v>
      </c>
      <c r="J530" s="347" t="s">
        <v>91</v>
      </c>
      <c r="K530" s="347" t="s">
        <v>3242</v>
      </c>
      <c r="L530" s="347" t="s">
        <v>98</v>
      </c>
      <c r="M530" s="347" t="s">
        <v>3243</v>
      </c>
      <c r="N530" s="347" t="s">
        <v>3237</v>
      </c>
      <c r="O530" s="347" t="s">
        <v>13</v>
      </c>
      <c r="P530" s="347" t="s">
        <v>62</v>
      </c>
      <c r="Q530" s="347" t="s">
        <v>63</v>
      </c>
      <c r="R530" s="347" t="s">
        <v>64</v>
      </c>
      <c r="S530" s="347" t="s">
        <v>19</v>
      </c>
      <c r="T530" s="350">
        <v>518</v>
      </c>
      <c r="U530" s="350">
        <v>75881.820000000007</v>
      </c>
      <c r="V530" s="347" t="s">
        <v>19</v>
      </c>
      <c r="W530" s="347">
        <v>0</v>
      </c>
      <c r="X530" s="347">
        <v>9</v>
      </c>
      <c r="Y530" s="347">
        <v>6829.36</v>
      </c>
      <c r="Z530" s="347">
        <v>9</v>
      </c>
      <c r="AA530" s="347">
        <v>6829.36</v>
      </c>
      <c r="AB530" s="347">
        <v>0</v>
      </c>
      <c r="AC530" s="347">
        <v>0</v>
      </c>
      <c r="AD530" s="347">
        <v>0</v>
      </c>
      <c r="AE530" s="347">
        <v>13658.72</v>
      </c>
      <c r="AF530" s="347">
        <v>0</v>
      </c>
      <c r="AG530" s="347" t="s">
        <v>65</v>
      </c>
      <c r="AH530" s="347" t="s">
        <v>11</v>
      </c>
      <c r="AI530" s="347">
        <v>39269080</v>
      </c>
      <c r="AJ530" s="347" t="s">
        <v>60</v>
      </c>
      <c r="AK530" s="347">
        <v>1</v>
      </c>
      <c r="AL530" s="347">
        <v>0</v>
      </c>
      <c r="AM530" s="347" t="s">
        <v>1940</v>
      </c>
    </row>
    <row r="531" spans="7:39">
      <c r="G531" s="347"/>
      <c r="H531" s="10" t="s">
        <v>3237</v>
      </c>
      <c r="I531" s="347" t="s">
        <v>2196</v>
      </c>
      <c r="J531" s="347" t="s">
        <v>113</v>
      </c>
      <c r="K531" s="347" t="s">
        <v>3244</v>
      </c>
      <c r="L531" s="347" t="s">
        <v>114</v>
      </c>
      <c r="M531" s="347" t="s">
        <v>3245</v>
      </c>
      <c r="N531" s="347" t="s">
        <v>3204</v>
      </c>
      <c r="O531" s="347" t="s">
        <v>4</v>
      </c>
      <c r="P531" s="347" t="s">
        <v>115</v>
      </c>
      <c r="Q531" s="347" t="s">
        <v>115</v>
      </c>
      <c r="R531" s="347" t="s">
        <v>4</v>
      </c>
      <c r="S531" s="347" t="s">
        <v>663</v>
      </c>
      <c r="T531" s="350">
        <v>50</v>
      </c>
      <c r="U531" s="350">
        <v>40150</v>
      </c>
      <c r="V531" s="347" t="s">
        <v>663</v>
      </c>
      <c r="W531" s="347">
        <v>96128</v>
      </c>
      <c r="X531" s="347">
        <v>2.5</v>
      </c>
      <c r="Y531" s="347">
        <v>1003.75</v>
      </c>
      <c r="Z531" s="347">
        <v>2.5</v>
      </c>
      <c r="AA531" s="347">
        <v>1003.75</v>
      </c>
      <c r="AB531" s="347">
        <v>0</v>
      </c>
      <c r="AC531" s="347">
        <v>0</v>
      </c>
      <c r="AD531" s="347">
        <v>0</v>
      </c>
      <c r="AE531" s="347">
        <v>2007.5</v>
      </c>
      <c r="AF531" s="347">
        <v>0</v>
      </c>
      <c r="AG531" s="347" t="s">
        <v>2197</v>
      </c>
      <c r="AH531" s="347" t="s">
        <v>1</v>
      </c>
      <c r="AI531" s="347">
        <v>44152000</v>
      </c>
      <c r="AJ531" s="347" t="s">
        <v>60</v>
      </c>
      <c r="AK531" s="347">
        <v>1</v>
      </c>
      <c r="AL531" s="347">
        <v>0</v>
      </c>
      <c r="AM531" s="347" t="s">
        <v>1940</v>
      </c>
    </row>
    <row r="532" spans="7:39">
      <c r="G532" s="347"/>
      <c r="H532" s="10" t="s">
        <v>3237</v>
      </c>
      <c r="I532" s="347" t="s">
        <v>2196</v>
      </c>
      <c r="J532" s="347" t="s">
        <v>113</v>
      </c>
      <c r="K532" s="347" t="s">
        <v>3244</v>
      </c>
      <c r="L532" s="347" t="s">
        <v>114</v>
      </c>
      <c r="M532" s="347" t="s">
        <v>3245</v>
      </c>
      <c r="N532" s="347" t="s">
        <v>3204</v>
      </c>
      <c r="O532" s="347" t="s">
        <v>4</v>
      </c>
      <c r="P532" s="347" t="s">
        <v>115</v>
      </c>
      <c r="Q532" s="347" t="s">
        <v>4</v>
      </c>
      <c r="R532" s="347" t="s">
        <v>4</v>
      </c>
      <c r="S532" s="347" t="s">
        <v>808</v>
      </c>
      <c r="T532" s="350">
        <v>100</v>
      </c>
      <c r="U532" s="350">
        <v>51400</v>
      </c>
      <c r="V532" s="347" t="s">
        <v>808</v>
      </c>
      <c r="W532" s="347">
        <v>0</v>
      </c>
      <c r="X532" s="347">
        <v>2.5</v>
      </c>
      <c r="Y532" s="347">
        <v>1285</v>
      </c>
      <c r="Z532" s="347">
        <v>2.5</v>
      </c>
      <c r="AA532" s="347">
        <v>1285</v>
      </c>
      <c r="AB532" s="347">
        <v>0</v>
      </c>
      <c r="AC532" s="347">
        <v>0</v>
      </c>
      <c r="AD532" s="347">
        <v>0</v>
      </c>
      <c r="AE532" s="347">
        <v>2570</v>
      </c>
      <c r="AF532" s="347">
        <v>0</v>
      </c>
      <c r="AG532" s="347" t="s">
        <v>2197</v>
      </c>
      <c r="AH532" s="347" t="s">
        <v>1</v>
      </c>
      <c r="AI532" s="347">
        <v>44152000</v>
      </c>
      <c r="AJ532" s="347" t="s">
        <v>60</v>
      </c>
      <c r="AK532" s="347">
        <v>1</v>
      </c>
      <c r="AL532" s="347">
        <v>0</v>
      </c>
      <c r="AM532" s="347" t="s">
        <v>1940</v>
      </c>
    </row>
    <row r="533" spans="7:39">
      <c r="G533" s="347"/>
      <c r="H533" s="10" t="s">
        <v>3237</v>
      </c>
      <c r="I533" s="347" t="s">
        <v>2196</v>
      </c>
      <c r="J533" s="347" t="s">
        <v>96</v>
      </c>
      <c r="K533" s="347" t="s">
        <v>3246</v>
      </c>
      <c r="L533" s="347" t="s">
        <v>114</v>
      </c>
      <c r="M533" s="347" t="s">
        <v>3247</v>
      </c>
      <c r="N533" s="347" t="s">
        <v>3204</v>
      </c>
      <c r="O533" s="347" t="s">
        <v>4</v>
      </c>
      <c r="P533" s="347" t="s">
        <v>115</v>
      </c>
      <c r="Q533" s="347" t="s">
        <v>115</v>
      </c>
      <c r="R533" s="347" t="s">
        <v>4</v>
      </c>
      <c r="S533" s="347" t="s">
        <v>2171</v>
      </c>
      <c r="T533" s="350">
        <v>70</v>
      </c>
      <c r="U533" s="350">
        <v>47670</v>
      </c>
      <c r="V533" s="347" t="s">
        <v>2171</v>
      </c>
      <c r="W533" s="347">
        <v>50054</v>
      </c>
      <c r="X533" s="347">
        <v>2.5</v>
      </c>
      <c r="Y533" s="347">
        <v>1191.75</v>
      </c>
      <c r="Z533" s="347">
        <v>2.5</v>
      </c>
      <c r="AA533" s="347">
        <v>1191.75</v>
      </c>
      <c r="AB533" s="347">
        <v>0</v>
      </c>
      <c r="AC533" s="347">
        <v>0</v>
      </c>
      <c r="AD533" s="347">
        <v>0</v>
      </c>
      <c r="AE533" s="347">
        <v>2383.5</v>
      </c>
      <c r="AF533" s="347">
        <v>0</v>
      </c>
      <c r="AG533" s="347" t="s">
        <v>2197</v>
      </c>
      <c r="AH533" s="347" t="s">
        <v>1</v>
      </c>
      <c r="AI533" s="347">
        <v>44152000</v>
      </c>
      <c r="AJ533" s="347" t="s">
        <v>60</v>
      </c>
      <c r="AK533" s="347">
        <v>1</v>
      </c>
      <c r="AL533" s="347">
        <v>0</v>
      </c>
      <c r="AM533" s="347" t="s">
        <v>1940</v>
      </c>
    </row>
    <row r="534" spans="7:39">
      <c r="G534" s="347"/>
      <c r="H534" s="10" t="s">
        <v>3248</v>
      </c>
      <c r="I534" s="347" t="s">
        <v>87</v>
      </c>
      <c r="J534" s="347" t="s">
        <v>96</v>
      </c>
      <c r="K534" s="347" t="s">
        <v>3249</v>
      </c>
      <c r="L534" s="347" t="s">
        <v>97</v>
      </c>
      <c r="M534" s="347" t="s">
        <v>3250</v>
      </c>
      <c r="N534" s="347" t="s">
        <v>3248</v>
      </c>
      <c r="O534" s="347" t="s">
        <v>2</v>
      </c>
      <c r="P534" s="347" t="s">
        <v>67</v>
      </c>
      <c r="Q534" s="347" t="s">
        <v>68</v>
      </c>
      <c r="R534" s="347" t="s">
        <v>69</v>
      </c>
      <c r="S534" s="347" t="s">
        <v>70</v>
      </c>
      <c r="T534" s="350">
        <v>356</v>
      </c>
      <c r="U534" s="350">
        <v>17088</v>
      </c>
      <c r="V534" s="347" t="s">
        <v>70</v>
      </c>
      <c r="W534" s="347">
        <v>20146.75</v>
      </c>
      <c r="X534" s="347">
        <v>9</v>
      </c>
      <c r="Y534" s="347">
        <v>1537.92</v>
      </c>
      <c r="Z534" s="347">
        <v>9</v>
      </c>
      <c r="AA534" s="347">
        <v>1537.92</v>
      </c>
      <c r="AB534" s="347">
        <v>0</v>
      </c>
      <c r="AC534" s="347">
        <v>0</v>
      </c>
      <c r="AD534" s="347">
        <v>0</v>
      </c>
      <c r="AE534" s="347">
        <v>3075.84</v>
      </c>
      <c r="AF534" s="347">
        <v>0</v>
      </c>
      <c r="AG534" s="347" t="s">
        <v>65</v>
      </c>
      <c r="AH534" s="347" t="s">
        <v>11</v>
      </c>
      <c r="AI534" s="347">
        <v>73063090</v>
      </c>
      <c r="AJ534" s="347" t="s">
        <v>60</v>
      </c>
      <c r="AK534" s="347">
        <v>1</v>
      </c>
      <c r="AL534" s="347">
        <v>0</v>
      </c>
      <c r="AM534" s="347" t="s">
        <v>1940</v>
      </c>
    </row>
    <row r="535" spans="7:39">
      <c r="G535" s="347"/>
      <c r="H535" s="10" t="s">
        <v>3248</v>
      </c>
      <c r="I535" s="347" t="s">
        <v>87</v>
      </c>
      <c r="J535" s="347" t="s">
        <v>91</v>
      </c>
      <c r="K535" s="347" t="s">
        <v>3251</v>
      </c>
      <c r="L535" s="347" t="s">
        <v>98</v>
      </c>
      <c r="M535" s="347" t="s">
        <v>3252</v>
      </c>
      <c r="N535" s="347" t="s">
        <v>3248</v>
      </c>
      <c r="O535" s="347" t="s">
        <v>15</v>
      </c>
      <c r="P535" s="347" t="s">
        <v>2117</v>
      </c>
      <c r="Q535" s="347" t="s">
        <v>2117</v>
      </c>
      <c r="R535" s="8" t="s">
        <v>2117</v>
      </c>
      <c r="S535" s="347" t="s">
        <v>64</v>
      </c>
      <c r="T535" s="347">
        <v>597</v>
      </c>
      <c r="U535" s="350">
        <v>93424.53</v>
      </c>
      <c r="V535" s="347" t="s">
        <v>2117</v>
      </c>
      <c r="W535" s="347">
        <v>1160870.53</v>
      </c>
      <c r="X535" s="347">
        <v>9</v>
      </c>
      <c r="Y535" s="347">
        <v>8408.2099999999991</v>
      </c>
      <c r="Z535" s="347">
        <v>9</v>
      </c>
      <c r="AA535" s="347">
        <v>8408.2099999999991</v>
      </c>
      <c r="AB535" s="347">
        <v>0</v>
      </c>
      <c r="AC535" s="347">
        <v>0</v>
      </c>
      <c r="AD535" s="347">
        <v>0</v>
      </c>
      <c r="AE535" s="347">
        <v>16816.419999999998</v>
      </c>
      <c r="AF535" s="347">
        <v>0</v>
      </c>
      <c r="AG535" s="347" t="s">
        <v>65</v>
      </c>
      <c r="AH535" s="347" t="s">
        <v>11</v>
      </c>
      <c r="AI535" s="347">
        <v>39269080</v>
      </c>
      <c r="AJ535" s="347" t="s">
        <v>60</v>
      </c>
      <c r="AK535" s="347">
        <v>1</v>
      </c>
      <c r="AL535" s="347">
        <v>0</v>
      </c>
      <c r="AM535" s="347" t="s">
        <v>1940</v>
      </c>
    </row>
    <row r="536" spans="7:39">
      <c r="G536" s="347"/>
      <c r="H536" s="10" t="s">
        <v>3248</v>
      </c>
      <c r="I536" s="347" t="s">
        <v>87</v>
      </c>
      <c r="J536" s="347" t="s">
        <v>91</v>
      </c>
      <c r="K536" s="347" t="s">
        <v>3251</v>
      </c>
      <c r="L536" s="347" t="s">
        <v>98</v>
      </c>
      <c r="M536" s="347" t="s">
        <v>3252</v>
      </c>
      <c r="N536" s="347" t="s">
        <v>3248</v>
      </c>
      <c r="O536" s="347" t="s">
        <v>13</v>
      </c>
      <c r="P536" s="347" t="s">
        <v>62</v>
      </c>
      <c r="Q536" s="347" t="s">
        <v>63</v>
      </c>
      <c r="R536" s="347" t="s">
        <v>64</v>
      </c>
      <c r="S536" s="347" t="s">
        <v>19</v>
      </c>
      <c r="T536" s="347">
        <v>274</v>
      </c>
      <c r="U536" s="350">
        <v>40412.26</v>
      </c>
      <c r="V536" s="347" t="s">
        <v>19</v>
      </c>
      <c r="W536" s="347">
        <v>0</v>
      </c>
      <c r="X536" s="347">
        <v>9</v>
      </c>
      <c r="Y536" s="347">
        <v>3637.1</v>
      </c>
      <c r="Z536" s="347">
        <v>9</v>
      </c>
      <c r="AA536" s="347">
        <v>3637.1</v>
      </c>
      <c r="AB536" s="347">
        <v>0</v>
      </c>
      <c r="AC536" s="347">
        <v>0</v>
      </c>
      <c r="AD536" s="347">
        <v>0</v>
      </c>
      <c r="AE536" s="347">
        <v>7274.2</v>
      </c>
      <c r="AF536" s="347">
        <v>0</v>
      </c>
      <c r="AG536" s="347" t="s">
        <v>65</v>
      </c>
      <c r="AH536" s="347" t="s">
        <v>11</v>
      </c>
      <c r="AI536" s="347">
        <v>39269080</v>
      </c>
      <c r="AJ536" s="347" t="s">
        <v>60</v>
      </c>
      <c r="AK536" s="347">
        <v>1</v>
      </c>
      <c r="AL536" s="347">
        <v>0</v>
      </c>
      <c r="AM536" s="347" t="s">
        <v>1940</v>
      </c>
    </row>
    <row r="537" spans="7:39">
      <c r="G537" s="347"/>
      <c r="H537" s="10" t="s">
        <v>3248</v>
      </c>
      <c r="I537" s="347" t="s">
        <v>87</v>
      </c>
      <c r="J537" s="347" t="s">
        <v>91</v>
      </c>
      <c r="K537" s="347" t="s">
        <v>3251</v>
      </c>
      <c r="L537" s="347" t="s">
        <v>98</v>
      </c>
      <c r="M537" s="347" t="s">
        <v>3252</v>
      </c>
      <c r="N537" s="347" t="s">
        <v>3248</v>
      </c>
      <c r="O537" s="347" t="s">
        <v>13</v>
      </c>
      <c r="P537" s="347" t="s">
        <v>62</v>
      </c>
      <c r="Q537" s="347" t="s">
        <v>63</v>
      </c>
      <c r="R537" s="347" t="s">
        <v>64</v>
      </c>
      <c r="S537" s="347" t="s">
        <v>19</v>
      </c>
      <c r="T537" s="350">
        <v>5141</v>
      </c>
      <c r="U537" s="350">
        <v>742823.09</v>
      </c>
      <c r="V537" s="347" t="s">
        <v>19</v>
      </c>
      <c r="W537" s="347">
        <v>0</v>
      </c>
      <c r="X537" s="347">
        <v>9</v>
      </c>
      <c r="Y537" s="347">
        <v>66854.080000000002</v>
      </c>
      <c r="Z537" s="347">
        <v>9</v>
      </c>
      <c r="AA537" s="347">
        <v>66854.080000000002</v>
      </c>
      <c r="AB537" s="347">
        <v>0</v>
      </c>
      <c r="AC537" s="347">
        <v>0</v>
      </c>
      <c r="AD537" s="347">
        <v>0</v>
      </c>
      <c r="AE537" s="347">
        <v>133708.16</v>
      </c>
      <c r="AF537" s="347">
        <v>0</v>
      </c>
      <c r="AG537" s="347" t="s">
        <v>65</v>
      </c>
      <c r="AH537" s="347" t="s">
        <v>11</v>
      </c>
      <c r="AI537" s="347">
        <v>39269080</v>
      </c>
      <c r="AJ537" s="347" t="s">
        <v>60</v>
      </c>
      <c r="AK537" s="347">
        <v>1</v>
      </c>
      <c r="AL537" s="347">
        <v>0</v>
      </c>
      <c r="AM537" s="347" t="s">
        <v>1940</v>
      </c>
    </row>
    <row r="538" spans="7:39">
      <c r="G538" s="347"/>
      <c r="H538" s="10" t="s">
        <v>3248</v>
      </c>
      <c r="I538" s="347" t="s">
        <v>87</v>
      </c>
      <c r="J538" s="347" t="s">
        <v>91</v>
      </c>
      <c r="K538" s="347" t="s">
        <v>3251</v>
      </c>
      <c r="L538" s="347" t="s">
        <v>98</v>
      </c>
      <c r="M538" s="347" t="s">
        <v>3252</v>
      </c>
      <c r="N538" s="347" t="s">
        <v>3248</v>
      </c>
      <c r="O538" s="347" t="s">
        <v>13</v>
      </c>
      <c r="P538" s="347" t="s">
        <v>62</v>
      </c>
      <c r="Q538" s="347" t="s">
        <v>63</v>
      </c>
      <c r="R538" s="347" t="s">
        <v>64</v>
      </c>
      <c r="S538" s="347" t="s">
        <v>19</v>
      </c>
      <c r="T538" s="347">
        <v>737</v>
      </c>
      <c r="U538" s="347">
        <v>107963.13</v>
      </c>
      <c r="V538" s="347" t="s">
        <v>19</v>
      </c>
      <c r="W538" s="347">
        <v>0</v>
      </c>
      <c r="X538" s="347">
        <v>9</v>
      </c>
      <c r="Y538" s="347">
        <v>9716.68</v>
      </c>
      <c r="Z538" s="347">
        <v>9</v>
      </c>
      <c r="AA538" s="347">
        <v>9716.68</v>
      </c>
      <c r="AB538" s="347">
        <v>0</v>
      </c>
      <c r="AC538" s="347">
        <v>0</v>
      </c>
      <c r="AD538" s="347">
        <v>0</v>
      </c>
      <c r="AE538" s="347">
        <v>19433.36</v>
      </c>
      <c r="AF538" s="347">
        <v>0</v>
      </c>
      <c r="AG538" s="347" t="s">
        <v>65</v>
      </c>
      <c r="AH538" s="347" t="s">
        <v>11</v>
      </c>
      <c r="AI538" s="347">
        <v>39269080</v>
      </c>
      <c r="AJ538" s="347" t="s">
        <v>60</v>
      </c>
      <c r="AK538" s="347">
        <v>1</v>
      </c>
      <c r="AL538" s="347">
        <v>0</v>
      </c>
      <c r="AM538" s="347" t="s">
        <v>1940</v>
      </c>
    </row>
    <row r="539" spans="7:39">
      <c r="G539" s="347"/>
      <c r="H539" s="10" t="s">
        <v>3248</v>
      </c>
      <c r="I539" s="347" t="s">
        <v>87</v>
      </c>
      <c r="J539" s="347" t="s">
        <v>91</v>
      </c>
      <c r="K539" s="347" t="s">
        <v>3253</v>
      </c>
      <c r="L539" s="347" t="s">
        <v>98</v>
      </c>
      <c r="M539" s="347" t="s">
        <v>3254</v>
      </c>
      <c r="N539" s="347" t="s">
        <v>3248</v>
      </c>
      <c r="O539" s="347" t="s">
        <v>13</v>
      </c>
      <c r="P539" s="347" t="s">
        <v>62</v>
      </c>
      <c r="Q539" s="347" t="s">
        <v>63</v>
      </c>
      <c r="R539" s="347" t="s">
        <v>64</v>
      </c>
      <c r="S539" s="347" t="s">
        <v>19</v>
      </c>
      <c r="T539" s="347">
        <v>576</v>
      </c>
      <c r="U539" s="350">
        <v>83226.240000000005</v>
      </c>
      <c r="V539" s="347" t="s">
        <v>19</v>
      </c>
      <c r="W539" s="347">
        <v>148899.82999999999</v>
      </c>
      <c r="X539" s="347">
        <v>9</v>
      </c>
      <c r="Y539" s="347">
        <v>7490.36</v>
      </c>
      <c r="Z539" s="347">
        <v>9</v>
      </c>
      <c r="AA539" s="347">
        <v>7490.36</v>
      </c>
      <c r="AB539" s="347">
        <v>0</v>
      </c>
      <c r="AC539" s="347">
        <v>0</v>
      </c>
      <c r="AD539" s="347">
        <v>0</v>
      </c>
      <c r="AE539" s="347">
        <v>14980.72</v>
      </c>
      <c r="AF539" s="347">
        <v>0</v>
      </c>
      <c r="AG539" s="347" t="s">
        <v>65</v>
      </c>
      <c r="AH539" s="347" t="s">
        <v>11</v>
      </c>
      <c r="AI539" s="347">
        <v>39269080</v>
      </c>
      <c r="AJ539" s="347" t="s">
        <v>60</v>
      </c>
      <c r="AK539" s="347">
        <v>1</v>
      </c>
      <c r="AL539" s="347">
        <v>0</v>
      </c>
      <c r="AM539" s="347" t="s">
        <v>1940</v>
      </c>
    </row>
    <row r="540" spans="7:39">
      <c r="G540" s="347"/>
      <c r="H540" s="10" t="s">
        <v>3248</v>
      </c>
      <c r="I540" s="347" t="s">
        <v>87</v>
      </c>
      <c r="J540" s="347" t="s">
        <v>91</v>
      </c>
      <c r="K540" s="347" t="s">
        <v>3253</v>
      </c>
      <c r="L540" s="347" t="s">
        <v>98</v>
      </c>
      <c r="M540" s="347" t="s">
        <v>3254</v>
      </c>
      <c r="N540" s="347" t="s">
        <v>3248</v>
      </c>
      <c r="O540" s="347" t="s">
        <v>13</v>
      </c>
      <c r="P540" s="347" t="s">
        <v>62</v>
      </c>
      <c r="Q540" s="347" t="s">
        <v>63</v>
      </c>
      <c r="R540" s="347" t="s">
        <v>64</v>
      </c>
      <c r="S540" s="347" t="s">
        <v>19</v>
      </c>
      <c r="T540" s="347">
        <v>292</v>
      </c>
      <c r="U540" s="350">
        <v>43067.08</v>
      </c>
      <c r="V540" s="347" t="s">
        <v>19</v>
      </c>
      <c r="W540" s="347">
        <v>0</v>
      </c>
      <c r="X540" s="347">
        <v>9</v>
      </c>
      <c r="Y540" s="347">
        <v>3876.04</v>
      </c>
      <c r="Z540" s="347">
        <v>9</v>
      </c>
      <c r="AA540" s="347">
        <v>3876.04</v>
      </c>
      <c r="AB540" s="347">
        <v>0</v>
      </c>
      <c r="AC540" s="347">
        <v>0</v>
      </c>
      <c r="AD540" s="347">
        <v>0</v>
      </c>
      <c r="AE540" s="347">
        <v>7752.08</v>
      </c>
      <c r="AF540" s="347">
        <v>0</v>
      </c>
      <c r="AG540" s="347" t="s">
        <v>65</v>
      </c>
      <c r="AH540" s="347" t="s">
        <v>11</v>
      </c>
      <c r="AI540" s="347">
        <v>39269080</v>
      </c>
      <c r="AJ540" s="347" t="s">
        <v>60</v>
      </c>
      <c r="AK540" s="347">
        <v>1</v>
      </c>
      <c r="AL540" s="347">
        <v>0</v>
      </c>
      <c r="AM540" s="347" t="s">
        <v>1940</v>
      </c>
    </row>
    <row r="541" spans="7:39">
      <c r="G541" s="347"/>
      <c r="H541" s="10" t="s">
        <v>3248</v>
      </c>
      <c r="I541" s="347" t="s">
        <v>87</v>
      </c>
      <c r="J541" s="347" t="s">
        <v>91</v>
      </c>
      <c r="K541" s="347" t="s">
        <v>3255</v>
      </c>
      <c r="L541" s="347" t="s">
        <v>98</v>
      </c>
      <c r="M541" s="347" t="s">
        <v>3256</v>
      </c>
      <c r="N541" s="347" t="s">
        <v>3248</v>
      </c>
      <c r="O541" s="347" t="s">
        <v>13</v>
      </c>
      <c r="P541" s="347" t="s">
        <v>24</v>
      </c>
      <c r="Q541" s="347" t="s">
        <v>79</v>
      </c>
      <c r="R541" s="347" t="s">
        <v>79</v>
      </c>
      <c r="S541" s="347" t="s">
        <v>24</v>
      </c>
      <c r="T541" s="350">
        <v>1321.8</v>
      </c>
      <c r="U541" s="350">
        <v>197595.88</v>
      </c>
      <c r="V541" s="347" t="s">
        <v>24</v>
      </c>
      <c r="W541" s="347">
        <v>2169852.9300000002</v>
      </c>
      <c r="X541" s="347">
        <v>9</v>
      </c>
      <c r="Y541" s="347">
        <v>17783.63</v>
      </c>
      <c r="Z541" s="347">
        <v>9</v>
      </c>
      <c r="AA541" s="347">
        <v>17783.63</v>
      </c>
      <c r="AB541" s="347">
        <v>0</v>
      </c>
      <c r="AC541" s="347">
        <v>0</v>
      </c>
      <c r="AD541" s="347">
        <v>0</v>
      </c>
      <c r="AE541" s="347">
        <v>35567.26</v>
      </c>
      <c r="AF541" s="347">
        <v>0</v>
      </c>
      <c r="AG541" s="347" t="s">
        <v>65</v>
      </c>
      <c r="AH541" s="347" t="s">
        <v>11</v>
      </c>
      <c r="AI541" s="347">
        <v>3926908</v>
      </c>
      <c r="AJ541" s="347" t="s">
        <v>60</v>
      </c>
      <c r="AK541" s="347">
        <v>1</v>
      </c>
      <c r="AL541" s="347">
        <v>0</v>
      </c>
      <c r="AM541" s="347" t="s">
        <v>1940</v>
      </c>
    </row>
    <row r="542" spans="7:39">
      <c r="G542" s="347"/>
      <c r="H542" s="10" t="s">
        <v>3248</v>
      </c>
      <c r="I542" s="347" t="s">
        <v>87</v>
      </c>
      <c r="J542" s="347" t="s">
        <v>91</v>
      </c>
      <c r="K542" s="347" t="s">
        <v>3255</v>
      </c>
      <c r="L542" s="347" t="s">
        <v>98</v>
      </c>
      <c r="M542" s="347" t="s">
        <v>3256</v>
      </c>
      <c r="N542" s="347" t="s">
        <v>3248</v>
      </c>
      <c r="O542" s="347" t="s">
        <v>13</v>
      </c>
      <c r="P542" s="347" t="s">
        <v>24</v>
      </c>
      <c r="Q542" s="347" t="s">
        <v>79</v>
      </c>
      <c r="R542" s="347" t="s">
        <v>79</v>
      </c>
      <c r="S542" s="347" t="s">
        <v>24</v>
      </c>
      <c r="T542" s="350">
        <v>1004.3</v>
      </c>
      <c r="U542" s="347">
        <v>147119.91</v>
      </c>
      <c r="V542" s="347" t="s">
        <v>24</v>
      </c>
      <c r="W542" s="347">
        <v>0</v>
      </c>
      <c r="X542" s="347">
        <v>9</v>
      </c>
      <c r="Y542" s="347">
        <v>13240.79</v>
      </c>
      <c r="Z542" s="347">
        <v>9</v>
      </c>
      <c r="AA542" s="347">
        <v>13240.79</v>
      </c>
      <c r="AB542" s="347">
        <v>0</v>
      </c>
      <c r="AC542" s="347">
        <v>0</v>
      </c>
      <c r="AD542" s="347">
        <v>0</v>
      </c>
      <c r="AE542" s="347">
        <v>26481.58</v>
      </c>
      <c r="AF542" s="347">
        <v>0</v>
      </c>
      <c r="AG542" s="347" t="s">
        <v>65</v>
      </c>
      <c r="AH542" s="347" t="s">
        <v>11</v>
      </c>
      <c r="AI542" s="347">
        <v>3926908</v>
      </c>
      <c r="AJ542" s="347" t="s">
        <v>60</v>
      </c>
      <c r="AK542" s="347">
        <v>1</v>
      </c>
      <c r="AL542" s="347">
        <v>0</v>
      </c>
      <c r="AM542" s="347" t="s">
        <v>1940</v>
      </c>
    </row>
    <row r="543" spans="7:39">
      <c r="G543" s="347"/>
      <c r="H543" s="10" t="s">
        <v>3248</v>
      </c>
      <c r="I543" s="347" t="s">
        <v>87</v>
      </c>
      <c r="J543" s="347" t="s">
        <v>91</v>
      </c>
      <c r="K543" s="347" t="s">
        <v>3255</v>
      </c>
      <c r="L543" s="347" t="s">
        <v>98</v>
      </c>
      <c r="M543" s="347" t="s">
        <v>3256</v>
      </c>
      <c r="N543" s="347" t="s">
        <v>3248</v>
      </c>
      <c r="O543" s="347" t="s">
        <v>13</v>
      </c>
      <c r="P543" s="347" t="s">
        <v>80</v>
      </c>
      <c r="Q543" s="347" t="s">
        <v>81</v>
      </c>
      <c r="R543" s="347" t="s">
        <v>82</v>
      </c>
      <c r="S543" s="347" t="s">
        <v>17</v>
      </c>
      <c r="T543" s="350">
        <v>4383.3999999999996</v>
      </c>
      <c r="U543" s="347">
        <v>801197.85</v>
      </c>
      <c r="V543" s="347" t="s">
        <v>17</v>
      </c>
      <c r="W543" s="347">
        <v>0</v>
      </c>
      <c r="X543" s="347">
        <v>9</v>
      </c>
      <c r="Y543" s="347">
        <v>72107.81</v>
      </c>
      <c r="Z543" s="347">
        <v>9</v>
      </c>
      <c r="AA543" s="347">
        <v>72107.81</v>
      </c>
      <c r="AB543" s="347">
        <v>0</v>
      </c>
      <c r="AC543" s="347">
        <v>0</v>
      </c>
      <c r="AD543" s="347">
        <v>0</v>
      </c>
      <c r="AE543" s="347">
        <v>144215.62</v>
      </c>
      <c r="AF543" s="347">
        <v>0</v>
      </c>
      <c r="AG543" s="347" t="s">
        <v>65</v>
      </c>
      <c r="AH543" s="347" t="s">
        <v>11</v>
      </c>
      <c r="AI543" s="347">
        <v>39200000</v>
      </c>
      <c r="AJ543" s="347" t="s">
        <v>60</v>
      </c>
      <c r="AK543" s="347">
        <v>1</v>
      </c>
      <c r="AL543" s="347">
        <v>0</v>
      </c>
      <c r="AM543" s="347" t="s">
        <v>1940</v>
      </c>
    </row>
    <row r="544" spans="7:39">
      <c r="G544" s="347"/>
      <c r="H544" s="10" t="s">
        <v>3248</v>
      </c>
      <c r="I544" s="347" t="s">
        <v>87</v>
      </c>
      <c r="J544" s="347" t="s">
        <v>91</v>
      </c>
      <c r="K544" s="347" t="s">
        <v>3255</v>
      </c>
      <c r="L544" s="347" t="s">
        <v>98</v>
      </c>
      <c r="M544" s="347" t="s">
        <v>3256</v>
      </c>
      <c r="N544" s="347" t="s">
        <v>3248</v>
      </c>
      <c r="O544" s="347" t="s">
        <v>13</v>
      </c>
      <c r="P544" s="347" t="s">
        <v>80</v>
      </c>
      <c r="Q544" s="347" t="s">
        <v>81</v>
      </c>
      <c r="R544" s="347" t="s">
        <v>82</v>
      </c>
      <c r="S544" s="347" t="s">
        <v>17</v>
      </c>
      <c r="T544" s="350">
        <v>133</v>
      </c>
      <c r="U544" s="350">
        <v>24708.74</v>
      </c>
      <c r="V544" s="347" t="s">
        <v>17</v>
      </c>
      <c r="W544" s="347">
        <v>0</v>
      </c>
      <c r="X544" s="347">
        <v>9</v>
      </c>
      <c r="Y544" s="347">
        <v>2223.79</v>
      </c>
      <c r="Z544" s="347">
        <v>9</v>
      </c>
      <c r="AA544" s="347">
        <v>2223.79</v>
      </c>
      <c r="AB544" s="347">
        <v>0</v>
      </c>
      <c r="AC544" s="347">
        <v>0</v>
      </c>
      <c r="AD544" s="347">
        <v>0</v>
      </c>
      <c r="AE544" s="347">
        <v>4447.58</v>
      </c>
      <c r="AF544" s="347">
        <v>0</v>
      </c>
      <c r="AG544" s="347" t="s">
        <v>65</v>
      </c>
      <c r="AH544" s="347" t="s">
        <v>11</v>
      </c>
      <c r="AI544" s="347">
        <v>39200000</v>
      </c>
      <c r="AJ544" s="347" t="s">
        <v>60</v>
      </c>
      <c r="AK544" s="347">
        <v>1</v>
      </c>
      <c r="AL544" s="347">
        <v>0</v>
      </c>
      <c r="AM544" s="347" t="s">
        <v>1940</v>
      </c>
    </row>
    <row r="545" spans="7:39">
      <c r="G545" s="347"/>
      <c r="H545" s="10" t="s">
        <v>3248</v>
      </c>
      <c r="I545" s="347" t="s">
        <v>87</v>
      </c>
      <c r="J545" s="347" t="s">
        <v>91</v>
      </c>
      <c r="K545" s="347" t="s">
        <v>3255</v>
      </c>
      <c r="L545" s="347" t="s">
        <v>98</v>
      </c>
      <c r="M545" s="347" t="s">
        <v>3256</v>
      </c>
      <c r="N545" s="347" t="s">
        <v>3248</v>
      </c>
      <c r="O545" s="347" t="s">
        <v>13</v>
      </c>
      <c r="P545" s="347" t="s">
        <v>80</v>
      </c>
      <c r="Q545" s="347" t="s">
        <v>81</v>
      </c>
      <c r="R545" s="347" t="s">
        <v>82</v>
      </c>
      <c r="S545" s="347" t="s">
        <v>17</v>
      </c>
      <c r="T545" s="347">
        <v>81</v>
      </c>
      <c r="U545" s="350">
        <v>15129.18</v>
      </c>
      <c r="V545" s="347" t="s">
        <v>17</v>
      </c>
      <c r="W545" s="347">
        <v>0</v>
      </c>
      <c r="X545" s="347">
        <v>9</v>
      </c>
      <c r="Y545" s="347">
        <v>1361.63</v>
      </c>
      <c r="Z545" s="347">
        <v>9</v>
      </c>
      <c r="AA545" s="347">
        <v>1361.63</v>
      </c>
      <c r="AB545" s="347">
        <v>0</v>
      </c>
      <c r="AC545" s="347">
        <v>0</v>
      </c>
      <c r="AD545" s="347">
        <v>0</v>
      </c>
      <c r="AE545" s="347">
        <v>2723.26</v>
      </c>
      <c r="AF545" s="347">
        <v>0</v>
      </c>
      <c r="AG545" s="347" t="s">
        <v>65</v>
      </c>
      <c r="AH545" s="347" t="s">
        <v>11</v>
      </c>
      <c r="AI545" s="347">
        <v>39200000</v>
      </c>
      <c r="AJ545" s="347" t="s">
        <v>60</v>
      </c>
      <c r="AK545" s="347">
        <v>1</v>
      </c>
      <c r="AL545" s="347">
        <v>0</v>
      </c>
      <c r="AM545" s="347" t="s">
        <v>1940</v>
      </c>
    </row>
    <row r="546" spans="7:39">
      <c r="G546" s="347"/>
      <c r="H546" s="10" t="s">
        <v>3248</v>
      </c>
      <c r="I546" s="347" t="s">
        <v>87</v>
      </c>
      <c r="J546" s="347" t="s">
        <v>91</v>
      </c>
      <c r="K546" s="347" t="s">
        <v>3255</v>
      </c>
      <c r="L546" s="347" t="s">
        <v>98</v>
      </c>
      <c r="M546" s="347" t="s">
        <v>3256</v>
      </c>
      <c r="N546" s="347" t="s">
        <v>3248</v>
      </c>
      <c r="O546" s="347" t="s">
        <v>13</v>
      </c>
      <c r="P546" s="347" t="s">
        <v>62</v>
      </c>
      <c r="Q546" s="347" t="s">
        <v>63</v>
      </c>
      <c r="R546" s="347" t="s">
        <v>64</v>
      </c>
      <c r="S546" s="347" t="s">
        <v>19</v>
      </c>
      <c r="T546" s="350">
        <v>1418</v>
      </c>
      <c r="U546" s="350">
        <v>204886.82</v>
      </c>
      <c r="V546" s="347" t="s">
        <v>19</v>
      </c>
      <c r="W546" s="347">
        <v>0</v>
      </c>
      <c r="X546" s="347">
        <v>9</v>
      </c>
      <c r="Y546" s="347">
        <v>18439.810000000001</v>
      </c>
      <c r="Z546" s="347">
        <v>9</v>
      </c>
      <c r="AA546" s="347">
        <v>18439.810000000001</v>
      </c>
      <c r="AB546" s="347">
        <v>0</v>
      </c>
      <c r="AC546" s="347">
        <v>0</v>
      </c>
      <c r="AD546" s="347">
        <v>0</v>
      </c>
      <c r="AE546" s="347">
        <v>36879.620000000003</v>
      </c>
      <c r="AF546" s="347">
        <v>0</v>
      </c>
      <c r="AG546" s="347" t="s">
        <v>65</v>
      </c>
      <c r="AH546" s="347" t="s">
        <v>11</v>
      </c>
      <c r="AI546" s="347">
        <v>39269080</v>
      </c>
      <c r="AJ546" s="347" t="s">
        <v>60</v>
      </c>
      <c r="AK546" s="347">
        <v>1</v>
      </c>
      <c r="AL546" s="347">
        <v>0</v>
      </c>
      <c r="AM546" s="347" t="s">
        <v>1940</v>
      </c>
    </row>
    <row r="547" spans="7:39">
      <c r="G547" s="347"/>
      <c r="H547" s="10" t="s">
        <v>3248</v>
      </c>
      <c r="I547" s="347" t="s">
        <v>87</v>
      </c>
      <c r="J547" s="347" t="s">
        <v>91</v>
      </c>
      <c r="K547" s="347" t="s">
        <v>3255</v>
      </c>
      <c r="L547" s="347" t="s">
        <v>98</v>
      </c>
      <c r="M547" s="347" t="s">
        <v>3256</v>
      </c>
      <c r="N547" s="347" t="s">
        <v>3248</v>
      </c>
      <c r="O547" s="347" t="s">
        <v>13</v>
      </c>
      <c r="P547" s="347" t="s">
        <v>62</v>
      </c>
      <c r="Q547" s="347" t="s">
        <v>76</v>
      </c>
      <c r="R547" s="347" t="s">
        <v>77</v>
      </c>
      <c r="S547" s="347" t="s">
        <v>21</v>
      </c>
      <c r="T547" s="350">
        <v>2377</v>
      </c>
      <c r="U547" s="350">
        <v>360091.73</v>
      </c>
      <c r="V547" s="347" t="s">
        <v>21</v>
      </c>
      <c r="W547" s="347">
        <v>0</v>
      </c>
      <c r="X547" s="347">
        <v>9</v>
      </c>
      <c r="Y547" s="347">
        <v>32408.26</v>
      </c>
      <c r="Z547" s="347">
        <v>9</v>
      </c>
      <c r="AA547" s="347">
        <v>32408.26</v>
      </c>
      <c r="AB547" s="347">
        <v>0</v>
      </c>
      <c r="AC547" s="347">
        <v>0</v>
      </c>
      <c r="AD547" s="347">
        <v>0</v>
      </c>
      <c r="AE547" s="347">
        <v>64816.52</v>
      </c>
      <c r="AF547" s="347">
        <v>0</v>
      </c>
      <c r="AG547" s="347" t="s">
        <v>65</v>
      </c>
      <c r="AH547" s="347" t="s">
        <v>11</v>
      </c>
      <c r="AI547" s="347">
        <v>63053300</v>
      </c>
      <c r="AJ547" s="347" t="s">
        <v>60</v>
      </c>
      <c r="AK547" s="347">
        <v>1</v>
      </c>
      <c r="AL547" s="347">
        <v>0</v>
      </c>
      <c r="AM547" s="347" t="s">
        <v>1940</v>
      </c>
    </row>
    <row r="548" spans="7:39">
      <c r="G548" s="347"/>
      <c r="H548" s="10" t="s">
        <v>3248</v>
      </c>
      <c r="I548" s="347" t="s">
        <v>87</v>
      </c>
      <c r="J548" s="347" t="s">
        <v>91</v>
      </c>
      <c r="K548" s="347" t="s">
        <v>3255</v>
      </c>
      <c r="L548" s="347" t="s">
        <v>98</v>
      </c>
      <c r="M548" s="347" t="s">
        <v>3256</v>
      </c>
      <c r="N548" s="347" t="s">
        <v>3248</v>
      </c>
      <c r="O548" s="347" t="s">
        <v>13</v>
      </c>
      <c r="P548" s="347" t="s">
        <v>62</v>
      </c>
      <c r="Q548" s="347" t="s">
        <v>76</v>
      </c>
      <c r="R548" s="347" t="s">
        <v>77</v>
      </c>
      <c r="S548" s="347" t="s">
        <v>21</v>
      </c>
      <c r="T548" s="347">
        <v>604</v>
      </c>
      <c r="U548" s="350">
        <v>89687.96</v>
      </c>
      <c r="V548" s="347" t="s">
        <v>21</v>
      </c>
      <c r="W548" s="347">
        <v>0</v>
      </c>
      <c r="X548" s="347">
        <v>9</v>
      </c>
      <c r="Y548" s="347">
        <v>8071.92</v>
      </c>
      <c r="Z548" s="347">
        <v>9</v>
      </c>
      <c r="AA548" s="347">
        <v>8071.92</v>
      </c>
      <c r="AB548" s="347">
        <v>0</v>
      </c>
      <c r="AC548" s="347">
        <v>0</v>
      </c>
      <c r="AD548" s="347">
        <v>0</v>
      </c>
      <c r="AE548" s="347">
        <v>16143.84</v>
      </c>
      <c r="AF548" s="347">
        <v>0</v>
      </c>
      <c r="AG548" s="347" t="s">
        <v>65</v>
      </c>
      <c r="AH548" s="347" t="s">
        <v>11</v>
      </c>
      <c r="AI548" s="347">
        <v>63053300</v>
      </c>
      <c r="AJ548" s="347" t="s">
        <v>60</v>
      </c>
      <c r="AK548" s="347">
        <v>1</v>
      </c>
      <c r="AL548" s="347">
        <v>0</v>
      </c>
      <c r="AM548" s="347" t="s">
        <v>1940</v>
      </c>
    </row>
    <row r="549" spans="7:39">
      <c r="G549" s="347"/>
      <c r="H549" s="10" t="s">
        <v>3257</v>
      </c>
      <c r="I549" s="347" t="s">
        <v>87</v>
      </c>
      <c r="J549" s="347" t="s">
        <v>96</v>
      </c>
      <c r="K549" s="347" t="s">
        <v>3258</v>
      </c>
      <c r="L549" s="347" t="s">
        <v>97</v>
      </c>
      <c r="M549" s="347" t="s">
        <v>3259</v>
      </c>
      <c r="N549" s="347" t="s">
        <v>3257</v>
      </c>
      <c r="O549" s="347" t="s">
        <v>2</v>
      </c>
      <c r="P549" s="347" t="s">
        <v>67</v>
      </c>
      <c r="Q549" s="347" t="s">
        <v>68</v>
      </c>
      <c r="R549" s="347" t="s">
        <v>69</v>
      </c>
      <c r="S549" s="347" t="s">
        <v>70</v>
      </c>
      <c r="T549" s="347">
        <v>432</v>
      </c>
      <c r="U549" s="350">
        <v>20736</v>
      </c>
      <c r="V549" s="347" t="s">
        <v>70</v>
      </c>
      <c r="W549" s="347">
        <v>24447.74</v>
      </c>
      <c r="X549" s="347">
        <v>9</v>
      </c>
      <c r="Y549" s="347">
        <v>1866.24</v>
      </c>
      <c r="Z549" s="347">
        <v>9</v>
      </c>
      <c r="AA549" s="347">
        <v>1866.24</v>
      </c>
      <c r="AB549" s="347">
        <v>0</v>
      </c>
      <c r="AC549" s="347">
        <v>0</v>
      </c>
      <c r="AD549" s="347">
        <v>0</v>
      </c>
      <c r="AE549" s="347">
        <v>3732.48</v>
      </c>
      <c r="AF549" s="347">
        <v>0</v>
      </c>
      <c r="AG549" s="347" t="s">
        <v>65</v>
      </c>
      <c r="AH549" s="347" t="s">
        <v>11</v>
      </c>
      <c r="AI549" s="347">
        <v>73063090</v>
      </c>
      <c r="AJ549" s="347" t="s">
        <v>60</v>
      </c>
      <c r="AK549" s="347">
        <v>1</v>
      </c>
      <c r="AL549" s="347">
        <v>0</v>
      </c>
      <c r="AM549" s="347" t="s">
        <v>1940</v>
      </c>
    </row>
    <row r="550" spans="7:39">
      <c r="G550" s="347"/>
      <c r="H550" s="10" t="s">
        <v>3257</v>
      </c>
      <c r="I550" s="347" t="s">
        <v>87</v>
      </c>
      <c r="J550" s="347" t="s">
        <v>91</v>
      </c>
      <c r="K550" s="347" t="s">
        <v>3260</v>
      </c>
      <c r="L550" s="347" t="s">
        <v>98</v>
      </c>
      <c r="M550" s="347" t="s">
        <v>3261</v>
      </c>
      <c r="N550" s="347" t="s">
        <v>3257</v>
      </c>
      <c r="O550" s="347" t="s">
        <v>13</v>
      </c>
      <c r="P550" s="347" t="s">
        <v>62</v>
      </c>
      <c r="Q550" s="347" t="s">
        <v>63</v>
      </c>
      <c r="R550" s="347" t="s">
        <v>64</v>
      </c>
      <c r="S550" s="347" t="s">
        <v>19</v>
      </c>
      <c r="T550" s="350">
        <v>5977</v>
      </c>
      <c r="U550" s="350">
        <v>863616.73</v>
      </c>
      <c r="V550" s="347" t="s">
        <v>19</v>
      </c>
      <c r="W550" s="347">
        <v>1151710.29</v>
      </c>
      <c r="X550" s="347">
        <v>9</v>
      </c>
      <c r="Y550" s="347">
        <v>77725.509999999995</v>
      </c>
      <c r="Z550" s="347">
        <v>9</v>
      </c>
      <c r="AA550" s="347">
        <v>77725.509999999995</v>
      </c>
      <c r="AB550" s="347">
        <v>0</v>
      </c>
      <c r="AC550" s="347">
        <v>0</v>
      </c>
      <c r="AD550" s="347">
        <v>0</v>
      </c>
      <c r="AE550" s="347">
        <v>155451.01999999999</v>
      </c>
      <c r="AF550" s="347">
        <v>0</v>
      </c>
      <c r="AG550" s="347" t="s">
        <v>65</v>
      </c>
      <c r="AH550" s="347" t="s">
        <v>11</v>
      </c>
      <c r="AI550" s="347">
        <v>39269080</v>
      </c>
      <c r="AJ550" s="347" t="s">
        <v>60</v>
      </c>
      <c r="AK550" s="347">
        <v>1</v>
      </c>
      <c r="AL550" s="347">
        <v>0</v>
      </c>
      <c r="AM550" s="347" t="s">
        <v>1940</v>
      </c>
    </row>
    <row r="551" spans="7:39">
      <c r="G551" s="347"/>
      <c r="H551" s="10" t="s">
        <v>3257</v>
      </c>
      <c r="I551" s="347" t="s">
        <v>87</v>
      </c>
      <c r="J551" s="347" t="s">
        <v>91</v>
      </c>
      <c r="K551" s="347" t="s">
        <v>3260</v>
      </c>
      <c r="L551" s="347" t="s">
        <v>98</v>
      </c>
      <c r="M551" s="347" t="s">
        <v>3261</v>
      </c>
      <c r="N551" s="347" t="s">
        <v>3257</v>
      </c>
      <c r="O551" s="347" t="s">
        <v>13</v>
      </c>
      <c r="P551" s="347" t="s">
        <v>62</v>
      </c>
      <c r="Q551" s="347" t="s">
        <v>63</v>
      </c>
      <c r="R551" s="347" t="s">
        <v>64</v>
      </c>
      <c r="S551" s="347" t="s">
        <v>19</v>
      </c>
      <c r="T551" s="350">
        <v>773</v>
      </c>
      <c r="U551" s="347">
        <v>113236.77</v>
      </c>
      <c r="V551" s="347" t="s">
        <v>19</v>
      </c>
      <c r="W551" s="347">
        <v>0</v>
      </c>
      <c r="X551" s="347">
        <v>9</v>
      </c>
      <c r="Y551" s="347">
        <v>10191.31</v>
      </c>
      <c r="Z551" s="347">
        <v>9</v>
      </c>
      <c r="AA551" s="347">
        <v>10191.31</v>
      </c>
      <c r="AB551" s="347">
        <v>0</v>
      </c>
      <c r="AC551" s="347">
        <v>0</v>
      </c>
      <c r="AD551" s="347">
        <v>0</v>
      </c>
      <c r="AE551" s="347">
        <v>20382.62</v>
      </c>
      <c r="AF551" s="347">
        <v>0</v>
      </c>
      <c r="AG551" s="347" t="s">
        <v>65</v>
      </c>
      <c r="AH551" s="347" t="s">
        <v>11</v>
      </c>
      <c r="AI551" s="347">
        <v>39269080</v>
      </c>
      <c r="AJ551" s="347" t="s">
        <v>60</v>
      </c>
      <c r="AK551" s="347">
        <v>1</v>
      </c>
      <c r="AL551" s="347">
        <v>0</v>
      </c>
      <c r="AM551" s="347" t="s">
        <v>1940</v>
      </c>
    </row>
    <row r="552" spans="7:39">
      <c r="G552" s="347"/>
      <c r="H552" s="10" t="s">
        <v>3257</v>
      </c>
      <c r="I552" s="347" t="s">
        <v>87</v>
      </c>
      <c r="J552" s="347" t="s">
        <v>91</v>
      </c>
      <c r="K552" s="347" t="s">
        <v>3262</v>
      </c>
      <c r="L552" s="347" t="s">
        <v>98</v>
      </c>
      <c r="M552" s="347" t="s">
        <v>3263</v>
      </c>
      <c r="N552" s="347" t="s">
        <v>3257</v>
      </c>
      <c r="O552" s="347" t="s">
        <v>13</v>
      </c>
      <c r="P552" s="347" t="s">
        <v>24</v>
      </c>
      <c r="Q552" s="347" t="s">
        <v>79</v>
      </c>
      <c r="R552" s="347" t="s">
        <v>79</v>
      </c>
      <c r="S552" s="347" t="s">
        <v>24</v>
      </c>
      <c r="T552" s="350">
        <v>675</v>
      </c>
      <c r="U552" s="350">
        <v>98880.75</v>
      </c>
      <c r="V552" s="347" t="s">
        <v>24</v>
      </c>
      <c r="W552" s="347">
        <v>1747684.48</v>
      </c>
      <c r="X552" s="347">
        <v>9</v>
      </c>
      <c r="Y552" s="347">
        <v>8899.27</v>
      </c>
      <c r="Z552" s="347">
        <v>9</v>
      </c>
      <c r="AA552" s="347">
        <v>8899.27</v>
      </c>
      <c r="AB552" s="347">
        <v>0</v>
      </c>
      <c r="AC552" s="347">
        <v>0</v>
      </c>
      <c r="AD552" s="347">
        <v>0</v>
      </c>
      <c r="AE552" s="347">
        <v>17798.54</v>
      </c>
      <c r="AF552" s="347">
        <v>0</v>
      </c>
      <c r="AG552" s="347" t="s">
        <v>65</v>
      </c>
      <c r="AH552" s="347" t="s">
        <v>11</v>
      </c>
      <c r="AI552" s="347">
        <v>3926908</v>
      </c>
      <c r="AJ552" s="347" t="s">
        <v>60</v>
      </c>
      <c r="AK552" s="347">
        <v>1</v>
      </c>
      <c r="AL552" s="347">
        <v>0</v>
      </c>
      <c r="AM552" s="347" t="s">
        <v>1940</v>
      </c>
    </row>
    <row r="553" spans="7:39">
      <c r="G553" s="347"/>
      <c r="H553" s="10" t="s">
        <v>3257</v>
      </c>
      <c r="I553" s="347" t="s">
        <v>87</v>
      </c>
      <c r="J553" s="347" t="s">
        <v>91</v>
      </c>
      <c r="K553" s="347" t="s">
        <v>3262</v>
      </c>
      <c r="L553" s="347" t="s">
        <v>98</v>
      </c>
      <c r="M553" s="347" t="s">
        <v>3263</v>
      </c>
      <c r="N553" s="347" t="s">
        <v>3257</v>
      </c>
      <c r="O553" s="347" t="s">
        <v>13</v>
      </c>
      <c r="P553" s="347" t="s">
        <v>80</v>
      </c>
      <c r="Q553" s="347" t="s">
        <v>81</v>
      </c>
      <c r="R553" s="347" t="s">
        <v>82</v>
      </c>
      <c r="S553" s="347" t="s">
        <v>17</v>
      </c>
      <c r="T553" s="350">
        <v>1041</v>
      </c>
      <c r="U553" s="347">
        <v>190273.98</v>
      </c>
      <c r="V553" s="347" t="s">
        <v>17</v>
      </c>
      <c r="W553" s="347">
        <v>0</v>
      </c>
      <c r="X553" s="347">
        <v>9</v>
      </c>
      <c r="Y553" s="347">
        <v>17124.66</v>
      </c>
      <c r="Z553" s="347">
        <v>9</v>
      </c>
      <c r="AA553" s="347">
        <v>17124.66</v>
      </c>
      <c r="AB553" s="347">
        <v>0</v>
      </c>
      <c r="AC553" s="347">
        <v>0</v>
      </c>
      <c r="AD553" s="347">
        <v>0</v>
      </c>
      <c r="AE553" s="347">
        <v>34249.32</v>
      </c>
      <c r="AF553" s="347">
        <v>0</v>
      </c>
      <c r="AG553" s="347" t="s">
        <v>65</v>
      </c>
      <c r="AH553" s="347" t="s">
        <v>11</v>
      </c>
      <c r="AI553" s="347">
        <v>39200000</v>
      </c>
      <c r="AJ553" s="347" t="s">
        <v>60</v>
      </c>
      <c r="AK553" s="347">
        <v>1</v>
      </c>
      <c r="AL553" s="347">
        <v>0</v>
      </c>
      <c r="AM553" s="347" t="s">
        <v>1940</v>
      </c>
    </row>
    <row r="554" spans="7:39">
      <c r="G554" s="347"/>
      <c r="H554" s="10" t="s">
        <v>3257</v>
      </c>
      <c r="I554" s="347" t="s">
        <v>87</v>
      </c>
      <c r="J554" s="347" t="s">
        <v>91</v>
      </c>
      <c r="K554" s="347" t="s">
        <v>3262</v>
      </c>
      <c r="L554" s="347" t="s">
        <v>98</v>
      </c>
      <c r="M554" s="347" t="s">
        <v>3263</v>
      </c>
      <c r="N554" s="347" t="s">
        <v>3257</v>
      </c>
      <c r="O554" s="347" t="s">
        <v>13</v>
      </c>
      <c r="P554" s="347" t="s">
        <v>80</v>
      </c>
      <c r="Q554" s="347" t="s">
        <v>81</v>
      </c>
      <c r="R554" s="347" t="s">
        <v>82</v>
      </c>
      <c r="S554" s="347" t="s">
        <v>17</v>
      </c>
      <c r="T554" s="347">
        <v>80</v>
      </c>
      <c r="U554" s="350">
        <v>14942.4</v>
      </c>
      <c r="V554" s="347" t="s">
        <v>17</v>
      </c>
      <c r="W554" s="347">
        <v>0</v>
      </c>
      <c r="X554" s="347">
        <v>9</v>
      </c>
      <c r="Y554" s="347">
        <v>1344.82</v>
      </c>
      <c r="Z554" s="347">
        <v>9</v>
      </c>
      <c r="AA554" s="347">
        <v>1344.82</v>
      </c>
      <c r="AB554" s="347">
        <v>0</v>
      </c>
      <c r="AC554" s="347">
        <v>0</v>
      </c>
      <c r="AD554" s="347">
        <v>0</v>
      </c>
      <c r="AE554" s="347">
        <v>2689.64</v>
      </c>
      <c r="AF554" s="347">
        <v>0</v>
      </c>
      <c r="AG554" s="347" t="s">
        <v>65</v>
      </c>
      <c r="AH554" s="347" t="s">
        <v>11</v>
      </c>
      <c r="AI554" s="347">
        <v>39200000</v>
      </c>
      <c r="AJ554" s="347" t="s">
        <v>60</v>
      </c>
      <c r="AK554" s="347">
        <v>1</v>
      </c>
      <c r="AL554" s="347">
        <v>0</v>
      </c>
      <c r="AM554" s="347" t="s">
        <v>1940</v>
      </c>
    </row>
    <row r="555" spans="7:39">
      <c r="G555" s="347"/>
      <c r="H555" s="10" t="s">
        <v>3257</v>
      </c>
      <c r="I555" s="347" t="s">
        <v>87</v>
      </c>
      <c r="J555" s="347" t="s">
        <v>91</v>
      </c>
      <c r="K555" s="347" t="s">
        <v>3262</v>
      </c>
      <c r="L555" s="347" t="s">
        <v>98</v>
      </c>
      <c r="M555" s="347" t="s">
        <v>3263</v>
      </c>
      <c r="N555" s="347" t="s">
        <v>3257</v>
      </c>
      <c r="O555" s="347" t="s">
        <v>13</v>
      </c>
      <c r="P555" s="347" t="s">
        <v>62</v>
      </c>
      <c r="Q555" s="347" t="s">
        <v>63</v>
      </c>
      <c r="R555" s="347" t="s">
        <v>64</v>
      </c>
      <c r="S555" s="347" t="s">
        <v>19</v>
      </c>
      <c r="T555" s="350">
        <v>3102</v>
      </c>
      <c r="U555" s="350">
        <v>448207.98</v>
      </c>
      <c r="V555" s="347" t="s">
        <v>19</v>
      </c>
      <c r="W555" s="347">
        <v>0</v>
      </c>
      <c r="X555" s="347">
        <v>9</v>
      </c>
      <c r="Y555" s="347">
        <v>40338.720000000001</v>
      </c>
      <c r="Z555" s="347">
        <v>9</v>
      </c>
      <c r="AA555" s="347">
        <v>40338.720000000001</v>
      </c>
      <c r="AB555" s="347">
        <v>0</v>
      </c>
      <c r="AC555" s="347">
        <v>0</v>
      </c>
      <c r="AD555" s="347">
        <v>0</v>
      </c>
      <c r="AE555" s="347">
        <v>80677.440000000002</v>
      </c>
      <c r="AF555" s="347">
        <v>0</v>
      </c>
      <c r="AG555" s="347" t="s">
        <v>65</v>
      </c>
      <c r="AH555" s="347" t="s">
        <v>11</v>
      </c>
      <c r="AI555" s="347">
        <v>39269080</v>
      </c>
      <c r="AJ555" s="347" t="s">
        <v>60</v>
      </c>
      <c r="AK555" s="347">
        <v>1</v>
      </c>
      <c r="AL555" s="347">
        <v>0</v>
      </c>
      <c r="AM555" s="347" t="s">
        <v>1940</v>
      </c>
    </row>
    <row r="556" spans="7:39">
      <c r="G556" s="347"/>
      <c r="H556" s="10" t="s">
        <v>3257</v>
      </c>
      <c r="I556" s="347" t="s">
        <v>87</v>
      </c>
      <c r="J556" s="347" t="s">
        <v>91</v>
      </c>
      <c r="K556" s="347" t="s">
        <v>3262</v>
      </c>
      <c r="L556" s="347" t="s">
        <v>98</v>
      </c>
      <c r="M556" s="347" t="s">
        <v>3263</v>
      </c>
      <c r="N556" s="347" t="s">
        <v>3257</v>
      </c>
      <c r="O556" s="347" t="s">
        <v>13</v>
      </c>
      <c r="P556" s="347" t="s">
        <v>62</v>
      </c>
      <c r="Q556" s="347" t="s">
        <v>76</v>
      </c>
      <c r="R556" s="347" t="s">
        <v>77</v>
      </c>
      <c r="S556" s="347" t="s">
        <v>21</v>
      </c>
      <c r="T556" s="350">
        <v>1281</v>
      </c>
      <c r="U556" s="350">
        <v>187653.69</v>
      </c>
      <c r="V556" s="347" t="s">
        <v>21</v>
      </c>
      <c r="W556" s="347">
        <v>0</v>
      </c>
      <c r="X556" s="347">
        <v>9</v>
      </c>
      <c r="Y556" s="347">
        <v>16888.830000000002</v>
      </c>
      <c r="Z556" s="347">
        <v>9</v>
      </c>
      <c r="AA556" s="347">
        <v>16888.830000000002</v>
      </c>
      <c r="AB556" s="347">
        <v>0</v>
      </c>
      <c r="AC556" s="347">
        <v>0</v>
      </c>
      <c r="AD556" s="347">
        <v>0</v>
      </c>
      <c r="AE556" s="347">
        <v>33777.660000000003</v>
      </c>
      <c r="AF556" s="347">
        <v>0</v>
      </c>
      <c r="AG556" s="347" t="s">
        <v>65</v>
      </c>
      <c r="AH556" s="347" t="s">
        <v>11</v>
      </c>
      <c r="AI556" s="347">
        <v>63053300</v>
      </c>
      <c r="AJ556" s="347" t="s">
        <v>60</v>
      </c>
      <c r="AK556" s="347">
        <v>1</v>
      </c>
      <c r="AL556" s="347">
        <v>0</v>
      </c>
      <c r="AM556" s="347" t="s">
        <v>1940</v>
      </c>
    </row>
    <row r="557" spans="7:39">
      <c r="G557" s="347"/>
      <c r="H557" s="10" t="s">
        <v>3257</v>
      </c>
      <c r="I557" s="347" t="s">
        <v>87</v>
      </c>
      <c r="J557" s="347" t="s">
        <v>91</v>
      </c>
      <c r="K557" s="347" t="s">
        <v>3262</v>
      </c>
      <c r="L557" s="347" t="s">
        <v>98</v>
      </c>
      <c r="M557" s="347" t="s">
        <v>3263</v>
      </c>
      <c r="N557" s="347" t="s">
        <v>3257</v>
      </c>
      <c r="O557" s="347" t="s">
        <v>13</v>
      </c>
      <c r="P557" s="347" t="s">
        <v>62</v>
      </c>
      <c r="Q557" s="347" t="s">
        <v>76</v>
      </c>
      <c r="R557" s="347" t="s">
        <v>77</v>
      </c>
      <c r="S557" s="347" t="s">
        <v>21</v>
      </c>
      <c r="T557" s="347">
        <v>793</v>
      </c>
      <c r="U557" s="347">
        <v>120131.57</v>
      </c>
      <c r="V557" s="347" t="s">
        <v>21</v>
      </c>
      <c r="W557" s="347">
        <v>0</v>
      </c>
      <c r="X557" s="347">
        <v>9</v>
      </c>
      <c r="Y557" s="347">
        <v>10811.84</v>
      </c>
      <c r="Z557" s="347">
        <v>9</v>
      </c>
      <c r="AA557" s="347">
        <v>10811.84</v>
      </c>
      <c r="AB557" s="347">
        <v>0</v>
      </c>
      <c r="AC557" s="347">
        <v>0</v>
      </c>
      <c r="AD557" s="347">
        <v>0</v>
      </c>
      <c r="AE557" s="347">
        <v>21623.68</v>
      </c>
      <c r="AF557" s="347">
        <v>0</v>
      </c>
      <c r="AG557" s="347" t="s">
        <v>65</v>
      </c>
      <c r="AH557" s="347" t="s">
        <v>11</v>
      </c>
      <c r="AI557" s="347">
        <v>63053300</v>
      </c>
      <c r="AJ557" s="347" t="s">
        <v>60</v>
      </c>
      <c r="AK557" s="347">
        <v>1</v>
      </c>
      <c r="AL557" s="347">
        <v>0</v>
      </c>
      <c r="AM557" s="347" t="s">
        <v>1940</v>
      </c>
    </row>
    <row r="558" spans="7:39">
      <c r="G558" s="347"/>
      <c r="H558" s="10" t="s">
        <v>3257</v>
      </c>
      <c r="I558" s="347" t="s">
        <v>87</v>
      </c>
      <c r="J558" s="347" t="s">
        <v>91</v>
      </c>
      <c r="K558" s="347" t="s">
        <v>3262</v>
      </c>
      <c r="L558" s="347" t="s">
        <v>98</v>
      </c>
      <c r="M558" s="347" t="s">
        <v>3263</v>
      </c>
      <c r="N558" s="347" t="s">
        <v>3257</v>
      </c>
      <c r="O558" s="347" t="s">
        <v>13</v>
      </c>
      <c r="P558" s="347" t="s">
        <v>62</v>
      </c>
      <c r="Q558" s="347" t="s">
        <v>76</v>
      </c>
      <c r="R558" s="347" t="s">
        <v>77</v>
      </c>
      <c r="S558" s="347" t="s">
        <v>21</v>
      </c>
      <c r="T558" s="350">
        <v>1602</v>
      </c>
      <c r="U558" s="350">
        <v>242686.98</v>
      </c>
      <c r="V558" s="347" t="s">
        <v>21</v>
      </c>
      <c r="W558" s="347">
        <v>0</v>
      </c>
      <c r="X558" s="347">
        <v>9</v>
      </c>
      <c r="Y558" s="347">
        <v>21841.83</v>
      </c>
      <c r="Z558" s="347">
        <v>9</v>
      </c>
      <c r="AA558" s="347">
        <v>21841.83</v>
      </c>
      <c r="AB558" s="347">
        <v>0</v>
      </c>
      <c r="AC558" s="347">
        <v>0</v>
      </c>
      <c r="AD558" s="347">
        <v>0</v>
      </c>
      <c r="AE558" s="347">
        <v>43683.66</v>
      </c>
      <c r="AF558" s="347">
        <v>0</v>
      </c>
      <c r="AG558" s="347" t="s">
        <v>65</v>
      </c>
      <c r="AH558" s="347" t="s">
        <v>11</v>
      </c>
      <c r="AI558" s="347">
        <v>63053300</v>
      </c>
      <c r="AJ558" s="347" t="s">
        <v>60</v>
      </c>
      <c r="AK558" s="347">
        <v>1</v>
      </c>
      <c r="AL558" s="347">
        <v>0</v>
      </c>
      <c r="AM558" s="347" t="s">
        <v>1940</v>
      </c>
    </row>
    <row r="559" spans="7:39">
      <c r="G559" s="347"/>
      <c r="H559" s="10" t="s">
        <v>3257</v>
      </c>
      <c r="I559" s="347" t="s">
        <v>87</v>
      </c>
      <c r="J559" s="347" t="s">
        <v>91</v>
      </c>
      <c r="K559" s="347" t="s">
        <v>3262</v>
      </c>
      <c r="L559" s="347" t="s">
        <v>98</v>
      </c>
      <c r="M559" s="347" t="s">
        <v>3263</v>
      </c>
      <c r="N559" s="347" t="s">
        <v>3257</v>
      </c>
      <c r="O559" s="347" t="s">
        <v>13</v>
      </c>
      <c r="P559" s="347" t="s">
        <v>24</v>
      </c>
      <c r="Q559" s="347" t="s">
        <v>79</v>
      </c>
      <c r="R559" s="347" t="s">
        <v>79</v>
      </c>
      <c r="S559" s="347" t="s">
        <v>24</v>
      </c>
      <c r="T559" s="350">
        <v>1201.2</v>
      </c>
      <c r="U559" s="350">
        <v>179567.39</v>
      </c>
      <c r="V559" s="347" t="s">
        <v>24</v>
      </c>
      <c r="W559" s="347">
        <v>0</v>
      </c>
      <c r="X559" s="347">
        <v>9</v>
      </c>
      <c r="Y559" s="347">
        <v>16161.06</v>
      </c>
      <c r="Z559" s="347">
        <v>9</v>
      </c>
      <c r="AA559" s="347">
        <v>16161.06</v>
      </c>
      <c r="AB559" s="347">
        <v>0</v>
      </c>
      <c r="AC559" s="347">
        <v>0</v>
      </c>
      <c r="AD559" s="347">
        <v>0</v>
      </c>
      <c r="AE559" s="347">
        <v>32322.12</v>
      </c>
      <c r="AF559" s="347">
        <v>0</v>
      </c>
      <c r="AG559" s="347" t="s">
        <v>65</v>
      </c>
      <c r="AH559" s="347" t="s">
        <v>11</v>
      </c>
      <c r="AI559" s="347">
        <v>3926908</v>
      </c>
      <c r="AJ559" s="347" t="s">
        <v>60</v>
      </c>
      <c r="AK559" s="347">
        <v>1</v>
      </c>
      <c r="AL559" s="347">
        <v>0</v>
      </c>
      <c r="AM559" s="347" t="s">
        <v>1940</v>
      </c>
    </row>
    <row r="560" spans="7:39">
      <c r="G560" s="347"/>
      <c r="H560" s="10" t="s">
        <v>3264</v>
      </c>
      <c r="I560" s="347" t="s">
        <v>107</v>
      </c>
      <c r="J560" s="347" t="s">
        <v>96</v>
      </c>
      <c r="K560" s="347" t="s">
        <v>3265</v>
      </c>
      <c r="L560" s="347" t="s">
        <v>97</v>
      </c>
      <c r="M560" s="347" t="s">
        <v>3266</v>
      </c>
      <c r="N560" s="347" t="s">
        <v>3237</v>
      </c>
      <c r="O560" s="347" t="s">
        <v>5</v>
      </c>
      <c r="P560" s="347" t="s">
        <v>108</v>
      </c>
      <c r="Q560" s="347" t="s">
        <v>68</v>
      </c>
      <c r="R560" s="347" t="s">
        <v>69</v>
      </c>
      <c r="S560" s="347" t="s">
        <v>589</v>
      </c>
      <c r="T560" s="347">
        <v>400</v>
      </c>
      <c r="U560" s="350">
        <v>39116</v>
      </c>
      <c r="V560" s="347" t="s">
        <v>589</v>
      </c>
      <c r="W560" s="347">
        <v>39116</v>
      </c>
      <c r="X560" s="347">
        <v>0</v>
      </c>
      <c r="Y560" s="347">
        <v>0</v>
      </c>
      <c r="Z560" s="347">
        <v>0</v>
      </c>
      <c r="AA560" s="347">
        <v>0</v>
      </c>
      <c r="AB560" s="347">
        <v>0</v>
      </c>
      <c r="AC560" s="347">
        <v>0</v>
      </c>
      <c r="AD560" s="347">
        <v>0</v>
      </c>
      <c r="AE560" s="347">
        <v>0</v>
      </c>
      <c r="AF560" s="347">
        <v>0</v>
      </c>
      <c r="AG560" s="347" t="s">
        <v>590</v>
      </c>
      <c r="AH560" s="347" t="s">
        <v>6</v>
      </c>
      <c r="AI560" s="347">
        <v>27101930</v>
      </c>
      <c r="AJ560" s="347" t="s">
        <v>60</v>
      </c>
      <c r="AK560" s="347">
        <v>1</v>
      </c>
      <c r="AL560" s="347">
        <v>0</v>
      </c>
      <c r="AM560" s="347" t="s">
        <v>1940</v>
      </c>
    </row>
    <row r="561" spans="7:39">
      <c r="G561" s="347"/>
      <c r="H561" s="10" t="s">
        <v>3264</v>
      </c>
      <c r="I561" s="347" t="s">
        <v>107</v>
      </c>
      <c r="J561" s="347" t="s">
        <v>96</v>
      </c>
      <c r="K561" s="347" t="s">
        <v>3267</v>
      </c>
      <c r="L561" s="347" t="s">
        <v>97</v>
      </c>
      <c r="M561" s="347" t="s">
        <v>3268</v>
      </c>
      <c r="N561" s="347" t="s">
        <v>3237</v>
      </c>
      <c r="O561" s="347" t="s">
        <v>5</v>
      </c>
      <c r="P561" s="347" t="s">
        <v>108</v>
      </c>
      <c r="Q561" s="347" t="s">
        <v>68</v>
      </c>
      <c r="R561" s="347" t="s">
        <v>69</v>
      </c>
      <c r="S561" s="347" t="s">
        <v>589</v>
      </c>
      <c r="T561" s="347">
        <v>200</v>
      </c>
      <c r="U561" s="350">
        <v>19558</v>
      </c>
      <c r="V561" s="347" t="s">
        <v>589</v>
      </c>
      <c r="W561" s="347">
        <v>19558</v>
      </c>
      <c r="X561" s="347">
        <v>0</v>
      </c>
      <c r="Y561" s="347">
        <v>0</v>
      </c>
      <c r="Z561" s="347">
        <v>0</v>
      </c>
      <c r="AA561" s="347">
        <v>0</v>
      </c>
      <c r="AB561" s="347">
        <v>0</v>
      </c>
      <c r="AC561" s="347">
        <v>0</v>
      </c>
      <c r="AD561" s="347">
        <v>0</v>
      </c>
      <c r="AE561" s="347">
        <v>0</v>
      </c>
      <c r="AF561" s="347">
        <v>0</v>
      </c>
      <c r="AG561" s="347" t="s">
        <v>590</v>
      </c>
      <c r="AH561" s="347" t="s">
        <v>6</v>
      </c>
      <c r="AI561" s="347">
        <v>27101930</v>
      </c>
      <c r="AJ561" s="347" t="s">
        <v>60</v>
      </c>
      <c r="AK561" s="347">
        <v>1</v>
      </c>
      <c r="AL561" s="347">
        <v>0</v>
      </c>
      <c r="AM561" s="347" t="s">
        <v>1940</v>
      </c>
    </row>
    <row r="562" spans="7:39">
      <c r="G562" s="347"/>
      <c r="H562" s="10" t="s">
        <v>3264</v>
      </c>
      <c r="I562" s="347" t="s">
        <v>103</v>
      </c>
      <c r="J562" s="347" t="s">
        <v>88</v>
      </c>
      <c r="K562" s="347" t="s">
        <v>3269</v>
      </c>
      <c r="L562" s="347" t="s">
        <v>2449</v>
      </c>
      <c r="M562" s="347" t="s">
        <v>3270</v>
      </c>
      <c r="N562" s="347" t="s">
        <v>3257</v>
      </c>
      <c r="O562" s="347" t="s">
        <v>13</v>
      </c>
      <c r="P562" s="347" t="s">
        <v>80</v>
      </c>
      <c r="Q562" s="347" t="s">
        <v>81</v>
      </c>
      <c r="R562" s="8" t="s">
        <v>417</v>
      </c>
      <c r="S562" s="347" t="s">
        <v>418</v>
      </c>
      <c r="T562" s="347">
        <v>591</v>
      </c>
      <c r="U562" s="350">
        <v>95990.22</v>
      </c>
      <c r="V562" s="347" t="s">
        <v>418</v>
      </c>
      <c r="W562" s="347">
        <v>95990.22</v>
      </c>
      <c r="X562" s="347">
        <v>0</v>
      </c>
      <c r="Y562" s="347">
        <v>0</v>
      </c>
      <c r="Z562" s="347">
        <v>0</v>
      </c>
      <c r="AA562" s="347">
        <v>0</v>
      </c>
      <c r="AB562" s="347">
        <v>0</v>
      </c>
      <c r="AC562" s="347">
        <v>0</v>
      </c>
      <c r="AD562" s="347">
        <v>0</v>
      </c>
      <c r="AE562" s="347">
        <v>0</v>
      </c>
      <c r="AF562" s="347">
        <v>0</v>
      </c>
      <c r="AG562" s="347" t="s">
        <v>104</v>
      </c>
      <c r="AH562" s="347" t="s">
        <v>11</v>
      </c>
      <c r="AI562" s="347">
        <v>39232100</v>
      </c>
      <c r="AJ562" s="347" t="s">
        <v>60</v>
      </c>
      <c r="AK562" s="347">
        <v>1</v>
      </c>
      <c r="AL562" s="347">
        <v>0</v>
      </c>
      <c r="AM562" s="347" t="s">
        <v>1940</v>
      </c>
    </row>
    <row r="563" spans="7:39">
      <c r="G563" s="347"/>
      <c r="H563" s="10" t="s">
        <v>3264</v>
      </c>
      <c r="I563" s="347" t="s">
        <v>2586</v>
      </c>
      <c r="J563" s="347" t="s">
        <v>96</v>
      </c>
      <c r="K563" s="347" t="s">
        <v>3271</v>
      </c>
      <c r="L563" s="347" t="s">
        <v>97</v>
      </c>
      <c r="M563" s="347" t="s">
        <v>3272</v>
      </c>
      <c r="N563" s="347" t="s">
        <v>3167</v>
      </c>
      <c r="O563" s="347" t="s">
        <v>2</v>
      </c>
      <c r="P563" s="347" t="s">
        <v>112</v>
      </c>
      <c r="Q563" s="347" t="s">
        <v>68</v>
      </c>
      <c r="R563" s="347" t="s">
        <v>69</v>
      </c>
      <c r="S563" s="347" t="s">
        <v>3273</v>
      </c>
      <c r="T563" s="347">
        <v>210</v>
      </c>
      <c r="U563" s="350">
        <v>5880</v>
      </c>
      <c r="V563" s="347" t="s">
        <v>3273</v>
      </c>
      <c r="W563" s="347">
        <v>6938</v>
      </c>
      <c r="X563" s="347">
        <v>9</v>
      </c>
      <c r="Y563" s="347">
        <v>529.20000000000005</v>
      </c>
      <c r="Z563" s="347">
        <v>9</v>
      </c>
      <c r="AA563" s="347">
        <v>529.20000000000005</v>
      </c>
      <c r="AB563" s="347">
        <v>0</v>
      </c>
      <c r="AC563" s="347">
        <v>0</v>
      </c>
      <c r="AD563" s="347">
        <v>0</v>
      </c>
      <c r="AE563" s="347">
        <v>1058.4000000000001</v>
      </c>
      <c r="AF563" s="347">
        <v>0</v>
      </c>
      <c r="AG563" s="347" t="s">
        <v>2588</v>
      </c>
      <c r="AH563" s="347" t="s">
        <v>2571</v>
      </c>
      <c r="AI563" s="347">
        <v>391713</v>
      </c>
      <c r="AJ563" s="347" t="s">
        <v>60</v>
      </c>
      <c r="AK563" s="347">
        <v>1</v>
      </c>
      <c r="AL563" s="347">
        <v>0</v>
      </c>
      <c r="AM563" s="347" t="s">
        <v>1940</v>
      </c>
    </row>
    <row r="564" spans="7:39">
      <c r="G564" s="347"/>
      <c r="H564" s="10" t="s">
        <v>3264</v>
      </c>
      <c r="I564" s="347" t="s">
        <v>2451</v>
      </c>
      <c r="J564" s="347" t="s">
        <v>96</v>
      </c>
      <c r="K564" s="347" t="s">
        <v>3274</v>
      </c>
      <c r="L564" s="347" t="s">
        <v>97</v>
      </c>
      <c r="M564" s="347">
        <v>1196</v>
      </c>
      <c r="N564" s="347" t="s">
        <v>3224</v>
      </c>
      <c r="O564" s="347" t="s">
        <v>5</v>
      </c>
      <c r="P564" s="347" t="s">
        <v>3275</v>
      </c>
      <c r="Q564" s="347" t="s">
        <v>68</v>
      </c>
      <c r="R564" s="347" t="s">
        <v>69</v>
      </c>
      <c r="S564" s="347" t="s">
        <v>3276</v>
      </c>
      <c r="T564" s="347">
        <v>100</v>
      </c>
      <c r="U564" s="350">
        <v>1200</v>
      </c>
      <c r="V564" s="347" t="s">
        <v>3276</v>
      </c>
      <c r="W564" s="347">
        <v>1416</v>
      </c>
      <c r="X564" s="347">
        <v>9</v>
      </c>
      <c r="Y564" s="347">
        <v>108</v>
      </c>
      <c r="Z564" s="347">
        <v>9</v>
      </c>
      <c r="AA564" s="347">
        <v>108</v>
      </c>
      <c r="AB564" s="347">
        <v>0</v>
      </c>
      <c r="AC564" s="347">
        <v>0</v>
      </c>
      <c r="AD564" s="347">
        <v>0</v>
      </c>
      <c r="AE564" s="347">
        <v>216</v>
      </c>
      <c r="AF564" s="347">
        <v>0</v>
      </c>
      <c r="AG564" s="347" t="s">
        <v>3277</v>
      </c>
      <c r="AH564" s="347" t="s">
        <v>1</v>
      </c>
      <c r="AI564" s="347">
        <v>68042290</v>
      </c>
      <c r="AJ564" s="347" t="s">
        <v>60</v>
      </c>
      <c r="AK564" s="347">
        <v>1</v>
      </c>
      <c r="AL564" s="347">
        <v>0</v>
      </c>
      <c r="AM564" s="347" t="s">
        <v>1940</v>
      </c>
    </row>
    <row r="565" spans="7:39">
      <c r="G565" s="347"/>
      <c r="H565" s="10" t="s">
        <v>3264</v>
      </c>
      <c r="I565" s="347" t="s">
        <v>87</v>
      </c>
      <c r="J565" s="347" t="s">
        <v>96</v>
      </c>
      <c r="K565" s="347" t="s">
        <v>3278</v>
      </c>
      <c r="L565" s="347" t="s">
        <v>97</v>
      </c>
      <c r="M565" s="347" t="s">
        <v>3279</v>
      </c>
      <c r="N565" s="347" t="s">
        <v>3264</v>
      </c>
      <c r="O565" s="347" t="s">
        <v>2</v>
      </c>
      <c r="P565" s="347" t="s">
        <v>67</v>
      </c>
      <c r="Q565" s="347" t="s">
        <v>68</v>
      </c>
      <c r="R565" s="347" t="s">
        <v>69</v>
      </c>
      <c r="S565" s="347" t="s">
        <v>70</v>
      </c>
      <c r="T565" s="347">
        <v>351</v>
      </c>
      <c r="U565" s="350">
        <v>16848</v>
      </c>
      <c r="V565" s="347" t="s">
        <v>70</v>
      </c>
      <c r="W565" s="347">
        <v>19863.79</v>
      </c>
      <c r="X565" s="347">
        <v>9</v>
      </c>
      <c r="Y565" s="347">
        <v>1516.32</v>
      </c>
      <c r="Z565" s="347">
        <v>9</v>
      </c>
      <c r="AA565" s="347">
        <v>1516.32</v>
      </c>
      <c r="AB565" s="347">
        <v>0</v>
      </c>
      <c r="AC565" s="347">
        <v>0</v>
      </c>
      <c r="AD565" s="347">
        <v>0</v>
      </c>
      <c r="AE565" s="347">
        <v>3032.64</v>
      </c>
      <c r="AF565" s="347">
        <v>0</v>
      </c>
      <c r="AG565" s="347" t="s">
        <v>65</v>
      </c>
      <c r="AH565" s="347" t="s">
        <v>11</v>
      </c>
      <c r="AI565" s="347">
        <v>73063090</v>
      </c>
      <c r="AJ565" s="347" t="s">
        <v>60</v>
      </c>
      <c r="AK565" s="347">
        <v>1</v>
      </c>
      <c r="AL565" s="347">
        <v>0</v>
      </c>
      <c r="AM565" s="347" t="s">
        <v>1940</v>
      </c>
    </row>
    <row r="566" spans="7:39">
      <c r="G566" s="347"/>
      <c r="H566" s="10" t="s">
        <v>3264</v>
      </c>
      <c r="I566" s="347" t="s">
        <v>87</v>
      </c>
      <c r="J566" s="347" t="s">
        <v>91</v>
      </c>
      <c r="K566" s="347" t="s">
        <v>3280</v>
      </c>
      <c r="L566" s="347" t="s">
        <v>98</v>
      </c>
      <c r="M566" s="347" t="s">
        <v>3281</v>
      </c>
      <c r="N566" s="347" t="s">
        <v>3264</v>
      </c>
      <c r="O566" s="347" t="s">
        <v>13</v>
      </c>
      <c r="P566" s="347" t="s">
        <v>62</v>
      </c>
      <c r="Q566" s="347" t="s">
        <v>63</v>
      </c>
      <c r="R566" s="347" t="s">
        <v>64</v>
      </c>
      <c r="S566" s="347" t="s">
        <v>19</v>
      </c>
      <c r="T566" s="350">
        <v>7183</v>
      </c>
      <c r="U566" s="350">
        <v>1037871.67</v>
      </c>
      <c r="V566" s="347" t="s">
        <v>19</v>
      </c>
      <c r="W566" s="347">
        <v>1449557.04</v>
      </c>
      <c r="X566" s="347">
        <v>9</v>
      </c>
      <c r="Y566" s="347">
        <v>93408.45</v>
      </c>
      <c r="Z566" s="347">
        <v>9</v>
      </c>
      <c r="AA566" s="347">
        <v>93408.45</v>
      </c>
      <c r="AB566" s="347">
        <v>0</v>
      </c>
      <c r="AC566" s="347">
        <v>0</v>
      </c>
      <c r="AD566" s="347">
        <v>0</v>
      </c>
      <c r="AE566" s="347">
        <v>186816.9</v>
      </c>
      <c r="AF566" s="347">
        <v>0</v>
      </c>
      <c r="AG566" s="347" t="s">
        <v>65</v>
      </c>
      <c r="AH566" s="347" t="s">
        <v>11</v>
      </c>
      <c r="AI566" s="347">
        <v>39269080</v>
      </c>
      <c r="AJ566" s="347" t="s">
        <v>60</v>
      </c>
      <c r="AK566" s="347">
        <v>1</v>
      </c>
      <c r="AL566" s="347">
        <v>0</v>
      </c>
      <c r="AM566" s="347" t="s">
        <v>1940</v>
      </c>
    </row>
    <row r="567" spans="7:39">
      <c r="G567" s="347"/>
      <c r="H567" s="10" t="s">
        <v>3264</v>
      </c>
      <c r="I567" s="347" t="s">
        <v>87</v>
      </c>
      <c r="J567" s="347" t="s">
        <v>91</v>
      </c>
      <c r="K567" s="347" t="s">
        <v>3280</v>
      </c>
      <c r="L567" s="347" t="s">
        <v>98</v>
      </c>
      <c r="M567" s="347" t="s">
        <v>3281</v>
      </c>
      <c r="N567" s="347" t="s">
        <v>3264</v>
      </c>
      <c r="O567" s="347" t="s">
        <v>13</v>
      </c>
      <c r="P567" s="347" t="s">
        <v>62</v>
      </c>
      <c r="Q567" s="347" t="s">
        <v>63</v>
      </c>
      <c r="R567" s="347" t="s">
        <v>64</v>
      </c>
      <c r="S567" s="347" t="s">
        <v>19</v>
      </c>
      <c r="T567" s="347">
        <v>146</v>
      </c>
      <c r="U567" s="350">
        <v>21533.54</v>
      </c>
      <c r="V567" s="347" t="s">
        <v>19</v>
      </c>
      <c r="W567" s="347">
        <v>0</v>
      </c>
      <c r="X567" s="347">
        <v>9</v>
      </c>
      <c r="Y567" s="347">
        <v>1938.02</v>
      </c>
      <c r="Z567" s="347">
        <v>9</v>
      </c>
      <c r="AA567" s="347">
        <v>1938.02</v>
      </c>
      <c r="AB567" s="347">
        <v>0</v>
      </c>
      <c r="AC567" s="347">
        <v>0</v>
      </c>
      <c r="AD567" s="347">
        <v>0</v>
      </c>
      <c r="AE567" s="347">
        <v>3876.04</v>
      </c>
      <c r="AF567" s="347">
        <v>0</v>
      </c>
      <c r="AG567" s="347" t="s">
        <v>65</v>
      </c>
      <c r="AH567" s="347" t="s">
        <v>11</v>
      </c>
      <c r="AI567" s="347">
        <v>39269080</v>
      </c>
      <c r="AJ567" s="347" t="s">
        <v>60</v>
      </c>
      <c r="AK567" s="347">
        <v>1</v>
      </c>
      <c r="AL567" s="347">
        <v>0</v>
      </c>
      <c r="AM567" s="347" t="s">
        <v>1940</v>
      </c>
    </row>
    <row r="568" spans="7:39">
      <c r="G568" s="347"/>
      <c r="H568" s="10" t="s">
        <v>3264</v>
      </c>
      <c r="I568" s="347" t="s">
        <v>87</v>
      </c>
      <c r="J568" s="347" t="s">
        <v>91</v>
      </c>
      <c r="K568" s="347" t="s">
        <v>3280</v>
      </c>
      <c r="L568" s="347" t="s">
        <v>98</v>
      </c>
      <c r="M568" s="347" t="s">
        <v>3281</v>
      </c>
      <c r="N568" s="347" t="s">
        <v>3264</v>
      </c>
      <c r="O568" s="347" t="s">
        <v>13</v>
      </c>
      <c r="P568" s="347" t="s">
        <v>62</v>
      </c>
      <c r="Q568" s="347" t="s">
        <v>63</v>
      </c>
      <c r="R568" s="347" t="s">
        <v>64</v>
      </c>
      <c r="S568" s="347" t="s">
        <v>19</v>
      </c>
      <c r="T568" s="350">
        <v>1161</v>
      </c>
      <c r="U568" s="347">
        <v>170074.89</v>
      </c>
      <c r="V568" s="347" t="s">
        <v>19</v>
      </c>
      <c r="W568" s="347">
        <v>0</v>
      </c>
      <c r="X568" s="347">
        <v>9</v>
      </c>
      <c r="Y568" s="347">
        <v>15306.74</v>
      </c>
      <c r="Z568" s="347">
        <v>9</v>
      </c>
      <c r="AA568" s="347">
        <v>15306.74</v>
      </c>
      <c r="AB568" s="347">
        <v>0</v>
      </c>
      <c r="AC568" s="347">
        <v>0</v>
      </c>
      <c r="AD568" s="347">
        <v>0</v>
      </c>
      <c r="AE568" s="347">
        <v>30613.48</v>
      </c>
      <c r="AF568" s="347">
        <v>0</v>
      </c>
      <c r="AG568" s="347" t="s">
        <v>65</v>
      </c>
      <c r="AH568" s="347" t="s">
        <v>11</v>
      </c>
      <c r="AI568" s="347">
        <v>39269080</v>
      </c>
      <c r="AJ568" s="347" t="s">
        <v>60</v>
      </c>
      <c r="AK568" s="347">
        <v>1</v>
      </c>
      <c r="AL568" s="347">
        <v>0</v>
      </c>
      <c r="AM568" s="347" t="s">
        <v>1940</v>
      </c>
    </row>
    <row r="569" spans="7:39">
      <c r="G569" s="347"/>
      <c r="H569" s="10" t="s">
        <v>3264</v>
      </c>
      <c r="I569" s="347" t="s">
        <v>87</v>
      </c>
      <c r="J569" s="347" t="s">
        <v>91</v>
      </c>
      <c r="K569" s="347" t="s">
        <v>3282</v>
      </c>
      <c r="L569" s="347" t="s">
        <v>98</v>
      </c>
      <c r="M569" s="347" t="s">
        <v>3283</v>
      </c>
      <c r="N569" s="347" t="s">
        <v>3264</v>
      </c>
      <c r="O569" s="347" t="s">
        <v>13</v>
      </c>
      <c r="P569" s="347" t="s">
        <v>62</v>
      </c>
      <c r="Q569" s="347" t="s">
        <v>63</v>
      </c>
      <c r="R569" s="347" t="s">
        <v>64</v>
      </c>
      <c r="S569" s="347" t="s">
        <v>19</v>
      </c>
      <c r="T569" s="350">
        <v>97</v>
      </c>
      <c r="U569" s="350">
        <v>14209.53</v>
      </c>
      <c r="V569" s="347" t="s">
        <v>19</v>
      </c>
      <c r="W569" s="347">
        <v>16753.04</v>
      </c>
      <c r="X569" s="347">
        <v>9</v>
      </c>
      <c r="Y569" s="347">
        <v>1278.8599999999999</v>
      </c>
      <c r="Z569" s="347">
        <v>9</v>
      </c>
      <c r="AA569" s="347">
        <v>1278.8599999999999</v>
      </c>
      <c r="AB569" s="347">
        <v>0</v>
      </c>
      <c r="AC569" s="347">
        <v>0</v>
      </c>
      <c r="AD569" s="347">
        <v>0</v>
      </c>
      <c r="AE569" s="347">
        <v>2557.7199999999998</v>
      </c>
      <c r="AF569" s="347">
        <v>0</v>
      </c>
      <c r="AG569" s="347" t="s">
        <v>65</v>
      </c>
      <c r="AH569" s="347" t="s">
        <v>11</v>
      </c>
      <c r="AI569" s="347">
        <v>39269080</v>
      </c>
      <c r="AJ569" s="347" t="s">
        <v>60</v>
      </c>
      <c r="AK569" s="347">
        <v>1</v>
      </c>
      <c r="AL569" s="347">
        <v>0</v>
      </c>
      <c r="AM569" s="347" t="s">
        <v>1940</v>
      </c>
    </row>
    <row r="570" spans="7:39">
      <c r="G570" s="347"/>
      <c r="H570" s="10" t="s">
        <v>3264</v>
      </c>
      <c r="I570" s="347" t="s">
        <v>87</v>
      </c>
      <c r="J570" s="347" t="s">
        <v>91</v>
      </c>
      <c r="K570" s="347" t="s">
        <v>3284</v>
      </c>
      <c r="L570" s="347" t="s">
        <v>98</v>
      </c>
      <c r="M570" s="347" t="s">
        <v>3285</v>
      </c>
      <c r="N570" s="347" t="s">
        <v>3264</v>
      </c>
      <c r="O570" s="347" t="s">
        <v>8</v>
      </c>
      <c r="P570" s="347" t="s">
        <v>659</v>
      </c>
      <c r="Q570" s="347" t="s">
        <v>659</v>
      </c>
      <c r="R570" s="347" t="s">
        <v>4</v>
      </c>
      <c r="S570" s="347" t="s">
        <v>778</v>
      </c>
      <c r="T570" s="350">
        <v>3000</v>
      </c>
      <c r="U570" s="350">
        <v>10600.2</v>
      </c>
      <c r="V570" s="347" t="s">
        <v>778</v>
      </c>
      <c r="W570" s="347">
        <v>1116754.72</v>
      </c>
      <c r="X570" s="347">
        <v>9</v>
      </c>
      <c r="Y570" s="347">
        <v>954.02</v>
      </c>
      <c r="Z570" s="347">
        <v>9</v>
      </c>
      <c r="AA570" s="347">
        <v>954.02</v>
      </c>
      <c r="AB570" s="347">
        <v>0</v>
      </c>
      <c r="AC570" s="347">
        <v>0</v>
      </c>
      <c r="AD570" s="347">
        <v>0</v>
      </c>
      <c r="AE570" s="347">
        <v>1908.04</v>
      </c>
      <c r="AF570" s="347">
        <v>0</v>
      </c>
      <c r="AG570" s="347" t="s">
        <v>65</v>
      </c>
      <c r="AH570" s="347" t="s">
        <v>1</v>
      </c>
      <c r="AI570" s="347">
        <v>39232100</v>
      </c>
      <c r="AJ570" s="347" t="s">
        <v>60</v>
      </c>
      <c r="AK570" s="347">
        <v>1</v>
      </c>
      <c r="AL570" s="347">
        <v>3000</v>
      </c>
      <c r="AM570" s="347" t="s">
        <v>1940</v>
      </c>
    </row>
    <row r="571" spans="7:39">
      <c r="G571" s="347"/>
      <c r="H571" s="10" t="s">
        <v>3264</v>
      </c>
      <c r="I571" s="347" t="s">
        <v>87</v>
      </c>
      <c r="J571" s="347" t="s">
        <v>91</v>
      </c>
      <c r="K571" s="347" t="s">
        <v>3284</v>
      </c>
      <c r="L571" s="347" t="s">
        <v>98</v>
      </c>
      <c r="M571" s="347" t="s">
        <v>3285</v>
      </c>
      <c r="N571" s="347" t="s">
        <v>3264</v>
      </c>
      <c r="O571" s="347" t="s">
        <v>13</v>
      </c>
      <c r="P571" s="347" t="s">
        <v>80</v>
      </c>
      <c r="Q571" s="347" t="s">
        <v>81</v>
      </c>
      <c r="R571" s="347" t="s">
        <v>82</v>
      </c>
      <c r="S571" s="347" t="s">
        <v>17</v>
      </c>
      <c r="T571" s="350">
        <v>3256</v>
      </c>
      <c r="U571" s="347">
        <v>595131.68000000005</v>
      </c>
      <c r="V571" s="347" t="s">
        <v>17</v>
      </c>
      <c r="W571" s="347">
        <v>0</v>
      </c>
      <c r="X571" s="347">
        <v>9</v>
      </c>
      <c r="Y571" s="347">
        <v>53561.85</v>
      </c>
      <c r="Z571" s="347">
        <v>9</v>
      </c>
      <c r="AA571" s="347">
        <v>53561.85</v>
      </c>
      <c r="AB571" s="347">
        <v>0</v>
      </c>
      <c r="AC571" s="347">
        <v>0</v>
      </c>
      <c r="AD571" s="347">
        <v>0</v>
      </c>
      <c r="AE571" s="347">
        <v>107123.7</v>
      </c>
      <c r="AF571" s="347">
        <v>0</v>
      </c>
      <c r="AG571" s="347" t="s">
        <v>65</v>
      </c>
      <c r="AH571" s="347" t="s">
        <v>11</v>
      </c>
      <c r="AI571" s="347">
        <v>39200000</v>
      </c>
      <c r="AJ571" s="347" t="s">
        <v>60</v>
      </c>
      <c r="AK571" s="347">
        <v>1</v>
      </c>
      <c r="AL571" s="347">
        <v>3256</v>
      </c>
      <c r="AM571" s="347" t="s">
        <v>1940</v>
      </c>
    </row>
    <row r="572" spans="7:39">
      <c r="G572" s="347"/>
      <c r="H572" s="10" t="s">
        <v>3264</v>
      </c>
      <c r="I572" s="347" t="s">
        <v>87</v>
      </c>
      <c r="J572" s="347" t="s">
        <v>91</v>
      </c>
      <c r="K572" s="347" t="s">
        <v>3284</v>
      </c>
      <c r="L572" s="347" t="s">
        <v>98</v>
      </c>
      <c r="M572" s="347" t="s">
        <v>3285</v>
      </c>
      <c r="N572" s="347" t="s">
        <v>3264</v>
      </c>
      <c r="O572" s="347" t="s">
        <v>13</v>
      </c>
      <c r="P572" s="347" t="s">
        <v>62</v>
      </c>
      <c r="Q572" s="347" t="s">
        <v>76</v>
      </c>
      <c r="R572" s="347" t="s">
        <v>77</v>
      </c>
      <c r="S572" s="347" t="s">
        <v>21</v>
      </c>
      <c r="T572" s="347">
        <v>829</v>
      </c>
      <c r="U572" s="347">
        <v>125585.21</v>
      </c>
      <c r="V572" s="347" t="s">
        <v>21</v>
      </c>
      <c r="W572" s="347">
        <v>0</v>
      </c>
      <c r="X572" s="347">
        <v>9</v>
      </c>
      <c r="Y572" s="347">
        <v>11302.67</v>
      </c>
      <c r="Z572" s="347">
        <v>9</v>
      </c>
      <c r="AA572" s="347">
        <v>11302.67</v>
      </c>
      <c r="AB572" s="347">
        <v>0</v>
      </c>
      <c r="AC572" s="347">
        <v>0</v>
      </c>
      <c r="AD572" s="347">
        <v>0</v>
      </c>
      <c r="AE572" s="347">
        <v>22605.34</v>
      </c>
      <c r="AF572" s="347">
        <v>0</v>
      </c>
      <c r="AG572" s="347" t="s">
        <v>65</v>
      </c>
      <c r="AH572" s="347" t="s">
        <v>11</v>
      </c>
      <c r="AI572" s="347">
        <v>63053300</v>
      </c>
      <c r="AJ572" s="347" t="s">
        <v>60</v>
      </c>
      <c r="AK572" s="347">
        <v>1</v>
      </c>
      <c r="AL572" s="347">
        <v>829</v>
      </c>
      <c r="AM572" s="347" t="s">
        <v>1940</v>
      </c>
    </row>
    <row r="573" spans="7:39">
      <c r="G573" s="347"/>
      <c r="H573" s="10" t="s">
        <v>3264</v>
      </c>
      <c r="I573" s="347" t="s">
        <v>87</v>
      </c>
      <c r="J573" s="347" t="s">
        <v>91</v>
      </c>
      <c r="K573" s="347" t="s">
        <v>3284</v>
      </c>
      <c r="L573" s="347" t="s">
        <v>98</v>
      </c>
      <c r="M573" s="347" t="s">
        <v>3285</v>
      </c>
      <c r="N573" s="347" t="s">
        <v>3264</v>
      </c>
      <c r="O573" s="347" t="s">
        <v>13</v>
      </c>
      <c r="P573" s="347" t="s">
        <v>24</v>
      </c>
      <c r="Q573" s="347" t="s">
        <v>79</v>
      </c>
      <c r="R573" s="347" t="s">
        <v>79</v>
      </c>
      <c r="S573" s="347" t="s">
        <v>24</v>
      </c>
      <c r="T573" s="347">
        <v>870.7</v>
      </c>
      <c r="U573" s="350">
        <v>130160.94</v>
      </c>
      <c r="V573" s="347" t="s">
        <v>24</v>
      </c>
      <c r="W573" s="347">
        <v>0</v>
      </c>
      <c r="X573" s="347">
        <v>9</v>
      </c>
      <c r="Y573" s="347">
        <v>11714.48</v>
      </c>
      <c r="Z573" s="347">
        <v>9</v>
      </c>
      <c r="AA573" s="347">
        <v>11714.48</v>
      </c>
      <c r="AB573" s="347">
        <v>0</v>
      </c>
      <c r="AC573" s="347">
        <v>0</v>
      </c>
      <c r="AD573" s="347">
        <v>0</v>
      </c>
      <c r="AE573" s="347">
        <v>23428.959999999999</v>
      </c>
      <c r="AF573" s="347">
        <v>0</v>
      </c>
      <c r="AG573" s="347" t="s">
        <v>65</v>
      </c>
      <c r="AH573" s="347" t="s">
        <v>11</v>
      </c>
      <c r="AI573" s="347">
        <v>3926908</v>
      </c>
      <c r="AJ573" s="347" t="s">
        <v>60</v>
      </c>
      <c r="AK573" s="347">
        <v>1</v>
      </c>
      <c r="AL573" s="347">
        <v>870.7</v>
      </c>
      <c r="AM573" s="347" t="s">
        <v>1940</v>
      </c>
    </row>
    <row r="574" spans="7:39">
      <c r="G574" s="347"/>
      <c r="H574" s="10" t="s">
        <v>3264</v>
      </c>
      <c r="I574" s="347" t="s">
        <v>87</v>
      </c>
      <c r="J574" s="347" t="s">
        <v>91</v>
      </c>
      <c r="K574" s="347" t="s">
        <v>3284</v>
      </c>
      <c r="L574" s="347" t="s">
        <v>98</v>
      </c>
      <c r="M574" s="347" t="s">
        <v>3285</v>
      </c>
      <c r="N574" s="347" t="s">
        <v>3264</v>
      </c>
      <c r="O574" s="347" t="s">
        <v>13</v>
      </c>
      <c r="P574" s="347" t="s">
        <v>24</v>
      </c>
      <c r="Q574" s="347" t="s">
        <v>79</v>
      </c>
      <c r="R574" s="347" t="s">
        <v>79</v>
      </c>
      <c r="S574" s="347" t="s">
        <v>24</v>
      </c>
      <c r="T574" s="350">
        <v>585.20000000000005</v>
      </c>
      <c r="U574" s="350">
        <v>85725.95</v>
      </c>
      <c r="V574" s="347" t="s">
        <v>24</v>
      </c>
      <c r="W574" s="347">
        <v>0</v>
      </c>
      <c r="X574" s="347">
        <v>9</v>
      </c>
      <c r="Y574" s="347">
        <v>7715.34</v>
      </c>
      <c r="Z574" s="347">
        <v>9</v>
      </c>
      <c r="AA574" s="347">
        <v>7715.34</v>
      </c>
      <c r="AB574" s="347">
        <v>0</v>
      </c>
      <c r="AC574" s="347">
        <v>0</v>
      </c>
      <c r="AD574" s="347">
        <v>0</v>
      </c>
      <c r="AE574" s="347">
        <v>15430.68</v>
      </c>
      <c r="AF574" s="347">
        <v>0</v>
      </c>
      <c r="AG574" s="347" t="s">
        <v>65</v>
      </c>
      <c r="AH574" s="347" t="s">
        <v>11</v>
      </c>
      <c r="AI574" s="347">
        <v>3926908</v>
      </c>
      <c r="AJ574" s="347" t="s">
        <v>60</v>
      </c>
      <c r="AK574" s="347">
        <v>1</v>
      </c>
      <c r="AL574" s="347">
        <v>585.20000000000005</v>
      </c>
      <c r="AM574" s="347" t="s">
        <v>1940</v>
      </c>
    </row>
    <row r="575" spans="7:39">
      <c r="G575" s="347"/>
      <c r="H575" s="10" t="s">
        <v>3264</v>
      </c>
      <c r="I575" s="347" t="s">
        <v>87</v>
      </c>
      <c r="J575" s="347" t="s">
        <v>91</v>
      </c>
      <c r="K575" s="347" t="s">
        <v>3286</v>
      </c>
      <c r="L575" s="347" t="s">
        <v>98</v>
      </c>
      <c r="M575" s="347" t="s">
        <v>3287</v>
      </c>
      <c r="N575" s="347" t="s">
        <v>3264</v>
      </c>
      <c r="O575" s="347" t="s">
        <v>13</v>
      </c>
      <c r="P575" s="347" t="s">
        <v>24</v>
      </c>
      <c r="Q575" s="347" t="s">
        <v>79</v>
      </c>
      <c r="R575" s="347" t="s">
        <v>79</v>
      </c>
      <c r="S575" s="347" t="s">
        <v>24</v>
      </c>
      <c r="T575" s="347">
        <v>31.5</v>
      </c>
      <c r="U575" s="350">
        <v>4708.9399999999996</v>
      </c>
      <c r="V575" s="347" t="s">
        <v>24</v>
      </c>
      <c r="W575" s="347">
        <v>608149.38</v>
      </c>
      <c r="X575" s="347">
        <v>9</v>
      </c>
      <c r="Y575" s="347">
        <v>423.8</v>
      </c>
      <c r="Z575" s="347">
        <v>9</v>
      </c>
      <c r="AA575" s="347">
        <v>423.8</v>
      </c>
      <c r="AB575" s="347">
        <v>0</v>
      </c>
      <c r="AC575" s="347">
        <v>0</v>
      </c>
      <c r="AD575" s="347">
        <v>0</v>
      </c>
      <c r="AE575" s="347">
        <v>847.6</v>
      </c>
      <c r="AF575" s="347">
        <v>0</v>
      </c>
      <c r="AG575" s="347" t="s">
        <v>65</v>
      </c>
      <c r="AH575" s="347" t="s">
        <v>11</v>
      </c>
      <c r="AI575" s="347">
        <v>3926908</v>
      </c>
      <c r="AJ575" s="347" t="s">
        <v>60</v>
      </c>
      <c r="AK575" s="347">
        <v>1</v>
      </c>
      <c r="AL575" s="347">
        <v>0</v>
      </c>
      <c r="AM575" s="347" t="s">
        <v>1940</v>
      </c>
    </row>
    <row r="576" spans="7:39">
      <c r="G576" s="347"/>
      <c r="H576" s="10" t="s">
        <v>3264</v>
      </c>
      <c r="I576" s="347" t="s">
        <v>87</v>
      </c>
      <c r="J576" s="347" t="s">
        <v>91</v>
      </c>
      <c r="K576" s="347" t="s">
        <v>3286</v>
      </c>
      <c r="L576" s="347" t="s">
        <v>98</v>
      </c>
      <c r="M576" s="347" t="s">
        <v>3287</v>
      </c>
      <c r="N576" s="347" t="s">
        <v>3264</v>
      </c>
      <c r="O576" s="347" t="s">
        <v>13</v>
      </c>
      <c r="P576" s="347" t="s">
        <v>62</v>
      </c>
      <c r="Q576" s="347" t="s">
        <v>63</v>
      </c>
      <c r="R576" s="347" t="s">
        <v>64</v>
      </c>
      <c r="S576" s="347" t="s">
        <v>19</v>
      </c>
      <c r="T576" s="350">
        <v>1988</v>
      </c>
      <c r="U576" s="347">
        <v>287246.12</v>
      </c>
      <c r="V576" s="347" t="s">
        <v>19</v>
      </c>
      <c r="W576" s="347">
        <v>0</v>
      </c>
      <c r="X576" s="347">
        <v>9</v>
      </c>
      <c r="Y576" s="347">
        <v>25852.15</v>
      </c>
      <c r="Z576" s="347">
        <v>9</v>
      </c>
      <c r="AA576" s="347">
        <v>25852.15</v>
      </c>
      <c r="AB576" s="347">
        <v>0</v>
      </c>
      <c r="AC576" s="347">
        <v>0</v>
      </c>
      <c r="AD576" s="347">
        <v>0</v>
      </c>
      <c r="AE576" s="347">
        <v>51704.3</v>
      </c>
      <c r="AF576" s="347">
        <v>0</v>
      </c>
      <c r="AG576" s="347" t="s">
        <v>65</v>
      </c>
      <c r="AH576" s="347" t="s">
        <v>11</v>
      </c>
      <c r="AI576" s="347">
        <v>39269080</v>
      </c>
      <c r="AJ576" s="347" t="s">
        <v>60</v>
      </c>
      <c r="AK576" s="347">
        <v>1</v>
      </c>
      <c r="AL576" s="347">
        <v>0</v>
      </c>
      <c r="AM576" s="347" t="s">
        <v>1940</v>
      </c>
    </row>
    <row r="577" spans="7:39">
      <c r="G577" s="347"/>
      <c r="H577" s="10" t="s">
        <v>3264</v>
      </c>
      <c r="I577" s="347" t="s">
        <v>87</v>
      </c>
      <c r="J577" s="347" t="s">
        <v>91</v>
      </c>
      <c r="K577" s="347" t="s">
        <v>3286</v>
      </c>
      <c r="L577" s="347" t="s">
        <v>98</v>
      </c>
      <c r="M577" s="347" t="s">
        <v>3287</v>
      </c>
      <c r="N577" s="347" t="s">
        <v>3264</v>
      </c>
      <c r="O577" s="347" t="s">
        <v>13</v>
      </c>
      <c r="P577" s="347" t="s">
        <v>80</v>
      </c>
      <c r="Q577" s="347" t="s">
        <v>81</v>
      </c>
      <c r="R577" s="347" t="s">
        <v>82</v>
      </c>
      <c r="S577" s="347" t="s">
        <v>17</v>
      </c>
      <c r="T577" s="350">
        <v>558</v>
      </c>
      <c r="U577" s="347">
        <v>101991.24</v>
      </c>
      <c r="V577" s="347" t="s">
        <v>17</v>
      </c>
      <c r="W577" s="347">
        <v>0</v>
      </c>
      <c r="X577" s="347">
        <v>9</v>
      </c>
      <c r="Y577" s="347">
        <v>9179.2099999999991</v>
      </c>
      <c r="Z577" s="347">
        <v>9</v>
      </c>
      <c r="AA577" s="347">
        <v>9179.2099999999991</v>
      </c>
      <c r="AB577" s="347">
        <v>0</v>
      </c>
      <c r="AC577" s="347">
        <v>0</v>
      </c>
      <c r="AD577" s="347">
        <v>0</v>
      </c>
      <c r="AE577" s="347">
        <v>18358.419999999998</v>
      </c>
      <c r="AF577" s="347">
        <v>0</v>
      </c>
      <c r="AG577" s="347" t="s">
        <v>65</v>
      </c>
      <c r="AH577" s="347" t="s">
        <v>11</v>
      </c>
      <c r="AI577" s="347">
        <v>39200000</v>
      </c>
      <c r="AJ577" s="347" t="s">
        <v>60</v>
      </c>
      <c r="AK577" s="347">
        <v>1</v>
      </c>
      <c r="AL577" s="347">
        <v>0</v>
      </c>
      <c r="AM577" s="347" t="s">
        <v>1940</v>
      </c>
    </row>
    <row r="578" spans="7:39">
      <c r="G578" s="347"/>
      <c r="H578" s="10" t="s">
        <v>3264</v>
      </c>
      <c r="I578" s="347" t="s">
        <v>87</v>
      </c>
      <c r="J578" s="347" t="s">
        <v>91</v>
      </c>
      <c r="K578" s="347" t="s">
        <v>3286</v>
      </c>
      <c r="L578" s="347" t="s">
        <v>98</v>
      </c>
      <c r="M578" s="347" t="s">
        <v>3287</v>
      </c>
      <c r="N578" s="347" t="s">
        <v>3264</v>
      </c>
      <c r="O578" s="347" t="s">
        <v>13</v>
      </c>
      <c r="P578" s="347" t="s">
        <v>80</v>
      </c>
      <c r="Q578" s="347" t="s">
        <v>81</v>
      </c>
      <c r="R578" s="347" t="s">
        <v>82</v>
      </c>
      <c r="S578" s="347" t="s">
        <v>17</v>
      </c>
      <c r="T578" s="350">
        <v>656</v>
      </c>
      <c r="U578" s="347">
        <v>121871.67999999999</v>
      </c>
      <c r="V578" s="347" t="s">
        <v>17</v>
      </c>
      <c r="W578" s="347">
        <v>0</v>
      </c>
      <c r="X578" s="347">
        <v>9</v>
      </c>
      <c r="Y578" s="347">
        <v>10968.45</v>
      </c>
      <c r="Z578" s="347">
        <v>9</v>
      </c>
      <c r="AA578" s="347">
        <v>10968.45</v>
      </c>
      <c r="AB578" s="347">
        <v>0</v>
      </c>
      <c r="AC578" s="347">
        <v>0</v>
      </c>
      <c r="AD578" s="347">
        <v>0</v>
      </c>
      <c r="AE578" s="347">
        <v>21936.9</v>
      </c>
      <c r="AF578" s="347">
        <v>0</v>
      </c>
      <c r="AG578" s="347" t="s">
        <v>65</v>
      </c>
      <c r="AH578" s="347" t="s">
        <v>11</v>
      </c>
      <c r="AI578" s="347">
        <v>39200000</v>
      </c>
      <c r="AJ578" s="347" t="s">
        <v>60</v>
      </c>
      <c r="AK578" s="347">
        <v>1</v>
      </c>
      <c r="AL578" s="347">
        <v>0</v>
      </c>
      <c r="AM578" s="347" t="s">
        <v>1940</v>
      </c>
    </row>
    <row r="579" spans="7:39">
      <c r="G579" s="347"/>
      <c r="H579" s="10" t="s">
        <v>3264</v>
      </c>
      <c r="I579" s="347" t="s">
        <v>94</v>
      </c>
      <c r="J579" s="347" t="s">
        <v>91</v>
      </c>
      <c r="K579" s="347" t="s">
        <v>3288</v>
      </c>
      <c r="L579" s="347" t="s">
        <v>98</v>
      </c>
      <c r="M579" s="347" t="s">
        <v>3289</v>
      </c>
      <c r="N579" s="347" t="s">
        <v>3264</v>
      </c>
      <c r="O579" s="347" t="s">
        <v>15</v>
      </c>
      <c r="P579" s="347" t="s">
        <v>57</v>
      </c>
      <c r="Q579" s="347" t="s">
        <v>57</v>
      </c>
      <c r="R579" s="347" t="s">
        <v>58</v>
      </c>
      <c r="S579" s="347" t="s">
        <v>16</v>
      </c>
      <c r="T579" s="350">
        <v>3232</v>
      </c>
      <c r="U579" s="347">
        <v>753799.36</v>
      </c>
      <c r="V579" s="347" t="s">
        <v>16</v>
      </c>
      <c r="W579" s="347">
        <v>2319417.4300000002</v>
      </c>
      <c r="X579" s="347">
        <v>9</v>
      </c>
      <c r="Y579" s="347">
        <v>67841.94</v>
      </c>
      <c r="Z579" s="347">
        <v>9</v>
      </c>
      <c r="AA579" s="347">
        <v>67841.94</v>
      </c>
      <c r="AB579" s="347">
        <v>0</v>
      </c>
      <c r="AC579" s="347">
        <v>0</v>
      </c>
      <c r="AD579" s="347">
        <v>0</v>
      </c>
      <c r="AE579" s="347">
        <v>135683.88</v>
      </c>
      <c r="AF579" s="347">
        <v>0</v>
      </c>
      <c r="AG579" s="347" t="s">
        <v>74</v>
      </c>
      <c r="AH579" s="347" t="s">
        <v>11</v>
      </c>
      <c r="AI579" s="347">
        <v>63053200</v>
      </c>
      <c r="AJ579" s="347" t="s">
        <v>60</v>
      </c>
      <c r="AK579" s="347">
        <v>1</v>
      </c>
      <c r="AL579" s="347">
        <v>0</v>
      </c>
      <c r="AM579" s="347" t="s">
        <v>1940</v>
      </c>
    </row>
    <row r="580" spans="7:39">
      <c r="G580" s="347"/>
      <c r="H580" s="10" t="s">
        <v>3264</v>
      </c>
      <c r="I580" s="347" t="s">
        <v>94</v>
      </c>
      <c r="J580" s="347" t="s">
        <v>91</v>
      </c>
      <c r="K580" s="347" t="s">
        <v>3288</v>
      </c>
      <c r="L580" s="347" t="s">
        <v>98</v>
      </c>
      <c r="M580" s="347" t="s">
        <v>3289</v>
      </c>
      <c r="N580" s="347" t="s">
        <v>3264</v>
      </c>
      <c r="O580" s="347" t="s">
        <v>15</v>
      </c>
      <c r="P580" s="347" t="s">
        <v>57</v>
      </c>
      <c r="Q580" s="347" t="s">
        <v>57</v>
      </c>
      <c r="R580" s="347" t="s">
        <v>58</v>
      </c>
      <c r="S580" s="347" t="s">
        <v>16</v>
      </c>
      <c r="T580" s="350">
        <v>1752</v>
      </c>
      <c r="U580" s="347">
        <v>362278.56</v>
      </c>
      <c r="V580" s="347" t="s">
        <v>16</v>
      </c>
      <c r="W580" s="347">
        <v>0</v>
      </c>
      <c r="X580" s="347">
        <v>9</v>
      </c>
      <c r="Y580" s="347">
        <v>32605.07</v>
      </c>
      <c r="Z580" s="347">
        <v>9</v>
      </c>
      <c r="AA580" s="347">
        <v>32605.07</v>
      </c>
      <c r="AB580" s="347">
        <v>0</v>
      </c>
      <c r="AC580" s="347">
        <v>0</v>
      </c>
      <c r="AD580" s="347">
        <v>0</v>
      </c>
      <c r="AE580" s="347">
        <v>65210.14</v>
      </c>
      <c r="AF580" s="347">
        <v>0</v>
      </c>
      <c r="AG580" s="347" t="s">
        <v>74</v>
      </c>
      <c r="AH580" s="347" t="s">
        <v>11</v>
      </c>
      <c r="AI580" s="347">
        <v>63053200</v>
      </c>
      <c r="AJ580" s="347" t="s">
        <v>60</v>
      </c>
      <c r="AK580" s="347">
        <v>1</v>
      </c>
      <c r="AL580" s="347">
        <v>0</v>
      </c>
      <c r="AM580" s="347" t="s">
        <v>1940</v>
      </c>
    </row>
    <row r="581" spans="7:39">
      <c r="G581" s="347"/>
      <c r="H581" s="10" t="s">
        <v>3264</v>
      </c>
      <c r="I581" s="347" t="s">
        <v>94</v>
      </c>
      <c r="J581" s="347" t="s">
        <v>91</v>
      </c>
      <c r="K581" s="347" t="s">
        <v>3288</v>
      </c>
      <c r="L581" s="347" t="s">
        <v>98</v>
      </c>
      <c r="M581" s="347" t="s">
        <v>3289</v>
      </c>
      <c r="N581" s="396" t="s">
        <v>3264</v>
      </c>
      <c r="O581" s="347" t="s">
        <v>15</v>
      </c>
      <c r="P581" s="347" t="s">
        <v>57</v>
      </c>
      <c r="Q581" s="347" t="s">
        <v>57</v>
      </c>
      <c r="R581" s="347" t="s">
        <v>58</v>
      </c>
      <c r="S581" s="347" t="s">
        <v>16</v>
      </c>
      <c r="T581" s="350">
        <v>1685</v>
      </c>
      <c r="U581" s="350">
        <v>330681.25</v>
      </c>
      <c r="V581" s="347" t="s">
        <v>16</v>
      </c>
      <c r="W581" s="347">
        <v>0</v>
      </c>
      <c r="X581" s="347">
        <v>9</v>
      </c>
      <c r="Y581" s="347">
        <v>29761.31</v>
      </c>
      <c r="Z581" s="347">
        <v>9</v>
      </c>
      <c r="AA581" s="347">
        <v>29761.31</v>
      </c>
      <c r="AB581" s="347">
        <v>0</v>
      </c>
      <c r="AC581" s="347">
        <v>0</v>
      </c>
      <c r="AD581" s="347">
        <v>0</v>
      </c>
      <c r="AE581" s="347">
        <v>59522.62</v>
      </c>
      <c r="AF581" s="347">
        <v>0</v>
      </c>
      <c r="AG581" s="347" t="s">
        <v>74</v>
      </c>
      <c r="AH581" s="347" t="s">
        <v>11</v>
      </c>
      <c r="AI581" s="347">
        <v>63053200</v>
      </c>
      <c r="AJ581" s="347" t="s">
        <v>60</v>
      </c>
      <c r="AK581" s="347">
        <v>1</v>
      </c>
      <c r="AL581" s="347">
        <v>0</v>
      </c>
      <c r="AM581" s="347" t="s">
        <v>1940</v>
      </c>
    </row>
    <row r="582" spans="7:39">
      <c r="G582" s="347"/>
      <c r="H582" s="10" t="s">
        <v>3264</v>
      </c>
      <c r="I582" s="347" t="s">
        <v>94</v>
      </c>
      <c r="J582" s="347" t="s">
        <v>91</v>
      </c>
      <c r="K582" s="347" t="s">
        <v>3288</v>
      </c>
      <c r="L582" s="347" t="s">
        <v>98</v>
      </c>
      <c r="M582" s="347" t="s">
        <v>3289</v>
      </c>
      <c r="N582" s="347" t="s">
        <v>3264</v>
      </c>
      <c r="O582" s="347" t="s">
        <v>15</v>
      </c>
      <c r="P582" s="347" t="s">
        <v>57</v>
      </c>
      <c r="Q582" s="347" t="s">
        <v>57</v>
      </c>
      <c r="R582" s="347" t="s">
        <v>58</v>
      </c>
      <c r="S582" s="347" t="s">
        <v>16</v>
      </c>
      <c r="T582" s="350">
        <v>2433</v>
      </c>
      <c r="U582" s="350">
        <v>520516.02</v>
      </c>
      <c r="V582" s="347" t="s">
        <v>16</v>
      </c>
      <c r="W582" s="347">
        <v>0</v>
      </c>
      <c r="X582" s="347">
        <v>9</v>
      </c>
      <c r="Y582" s="347">
        <v>46846.44</v>
      </c>
      <c r="Z582" s="347">
        <v>9</v>
      </c>
      <c r="AA582" s="347">
        <v>46846.44</v>
      </c>
      <c r="AB582" s="347">
        <v>0</v>
      </c>
      <c r="AC582" s="347">
        <v>0</v>
      </c>
      <c r="AD582" s="347">
        <v>0</v>
      </c>
      <c r="AE582" s="347">
        <v>93692.88</v>
      </c>
      <c r="AF582" s="347">
        <v>0</v>
      </c>
      <c r="AG582" s="347" t="s">
        <v>74</v>
      </c>
      <c r="AH582" s="347" t="s">
        <v>11</v>
      </c>
      <c r="AI582" s="347">
        <v>63053200</v>
      </c>
      <c r="AJ582" s="347" t="s">
        <v>60</v>
      </c>
      <c r="AK582" s="347">
        <v>1</v>
      </c>
      <c r="AL582" s="347">
        <v>0</v>
      </c>
      <c r="AM582" s="347" t="s">
        <v>1940</v>
      </c>
    </row>
    <row r="583" spans="7:39">
      <c r="G583" s="347"/>
      <c r="H583" s="10" t="s">
        <v>3264</v>
      </c>
      <c r="I583" s="347" t="s">
        <v>94</v>
      </c>
      <c r="J583" s="347" t="s">
        <v>91</v>
      </c>
      <c r="K583" s="347" t="s">
        <v>3290</v>
      </c>
      <c r="L583" s="347" t="s">
        <v>98</v>
      </c>
      <c r="M583" s="347" t="s">
        <v>3291</v>
      </c>
      <c r="N583" s="347" t="s">
        <v>3264</v>
      </c>
      <c r="O583" s="347" t="s">
        <v>15</v>
      </c>
      <c r="P583" s="347" t="s">
        <v>2117</v>
      </c>
      <c r="Q583" s="347" t="s">
        <v>2117</v>
      </c>
      <c r="R583" s="8" t="s">
        <v>2117</v>
      </c>
      <c r="S583" s="347" t="s">
        <v>64</v>
      </c>
      <c r="T583" s="347">
        <v>273</v>
      </c>
      <c r="U583" s="350">
        <v>42244.02</v>
      </c>
      <c r="V583" s="347" t="s">
        <v>2117</v>
      </c>
      <c r="W583" s="347">
        <v>49805.7</v>
      </c>
      <c r="X583" s="347">
        <v>9</v>
      </c>
      <c r="Y583" s="347">
        <v>3801.96</v>
      </c>
      <c r="Z583" s="347">
        <v>9</v>
      </c>
      <c r="AA583" s="347">
        <v>3801.96</v>
      </c>
      <c r="AB583" s="347">
        <v>0</v>
      </c>
      <c r="AC583" s="347">
        <v>0</v>
      </c>
      <c r="AD583" s="347">
        <v>0</v>
      </c>
      <c r="AE583" s="347">
        <v>7603.92</v>
      </c>
      <c r="AF583" s="347">
        <v>0</v>
      </c>
      <c r="AG583" s="347" t="s">
        <v>74</v>
      </c>
      <c r="AH583" s="347" t="s">
        <v>11</v>
      </c>
      <c r="AI583" s="347">
        <v>39269080</v>
      </c>
      <c r="AJ583" s="347" t="s">
        <v>60</v>
      </c>
      <c r="AK583" s="347">
        <v>1</v>
      </c>
      <c r="AL583" s="347">
        <v>0</v>
      </c>
      <c r="AM583" s="347" t="s">
        <v>1940</v>
      </c>
    </row>
    <row r="584" spans="7:39">
      <c r="G584" s="347"/>
      <c r="H584" s="10" t="s">
        <v>3264</v>
      </c>
      <c r="I584" s="347" t="s">
        <v>2249</v>
      </c>
      <c r="J584" s="347" t="s">
        <v>96</v>
      </c>
      <c r="K584" s="347" t="s">
        <v>3292</v>
      </c>
      <c r="L584" s="347" t="s">
        <v>2250</v>
      </c>
      <c r="M584" s="347" t="s">
        <v>3293</v>
      </c>
      <c r="N584" s="347" t="s">
        <v>3224</v>
      </c>
      <c r="O584" s="347" t="s">
        <v>2</v>
      </c>
      <c r="P584" s="347" t="s">
        <v>1697</v>
      </c>
      <c r="Q584" s="347" t="s">
        <v>68</v>
      </c>
      <c r="R584" s="347" t="s">
        <v>69</v>
      </c>
      <c r="S584" s="347" t="s">
        <v>2596</v>
      </c>
      <c r="T584" s="347">
        <v>50</v>
      </c>
      <c r="U584" s="350">
        <v>15000</v>
      </c>
      <c r="V584" s="347" t="s">
        <v>2596</v>
      </c>
      <c r="W584" s="347">
        <v>15855</v>
      </c>
      <c r="X584" s="347">
        <v>0</v>
      </c>
      <c r="Y584" s="347">
        <v>0</v>
      </c>
      <c r="Z584" s="347">
        <v>0</v>
      </c>
      <c r="AA584" s="347">
        <v>0</v>
      </c>
      <c r="AB584" s="347">
        <v>5</v>
      </c>
      <c r="AC584" s="347">
        <v>750</v>
      </c>
      <c r="AD584" s="347">
        <v>5</v>
      </c>
      <c r="AE584" s="347">
        <v>755</v>
      </c>
      <c r="AF584" s="347">
        <v>0</v>
      </c>
      <c r="AG584" s="347" t="s">
        <v>2251</v>
      </c>
      <c r="AH584" s="347" t="s">
        <v>1</v>
      </c>
      <c r="AI584" s="347">
        <v>84529099</v>
      </c>
      <c r="AJ584" s="347" t="s">
        <v>60</v>
      </c>
      <c r="AK584" s="347">
        <v>1</v>
      </c>
      <c r="AL584" s="347">
        <v>0</v>
      </c>
      <c r="AM584" s="347" t="s">
        <v>1940</v>
      </c>
    </row>
    <row r="585" spans="7:39">
      <c r="G585" s="347"/>
      <c r="H585" s="10" t="s">
        <v>3264</v>
      </c>
      <c r="I585" s="347" t="s">
        <v>2249</v>
      </c>
      <c r="J585" s="347" t="s">
        <v>96</v>
      </c>
      <c r="K585" s="347" t="s">
        <v>3294</v>
      </c>
      <c r="L585" s="347" t="s">
        <v>2250</v>
      </c>
      <c r="M585" s="347" t="s">
        <v>3295</v>
      </c>
      <c r="N585" s="347" t="s">
        <v>3224</v>
      </c>
      <c r="O585" s="347" t="s">
        <v>2</v>
      </c>
      <c r="P585" s="347" t="s">
        <v>112</v>
      </c>
      <c r="Q585" s="347" t="s">
        <v>68</v>
      </c>
      <c r="R585" s="347" t="s">
        <v>69</v>
      </c>
      <c r="S585" s="347" t="s">
        <v>3296</v>
      </c>
      <c r="T585" s="347">
        <v>20</v>
      </c>
      <c r="U585" s="350">
        <v>4500</v>
      </c>
      <c r="V585" s="347" t="s">
        <v>3296</v>
      </c>
      <c r="W585" s="347">
        <v>5198</v>
      </c>
      <c r="X585" s="347">
        <v>0</v>
      </c>
      <c r="Y585" s="347">
        <v>0</v>
      </c>
      <c r="Z585" s="347">
        <v>0</v>
      </c>
      <c r="AA585" s="347">
        <v>0</v>
      </c>
      <c r="AB585" s="347">
        <v>5</v>
      </c>
      <c r="AC585" s="347">
        <v>225</v>
      </c>
      <c r="AD585" s="347">
        <v>2.5</v>
      </c>
      <c r="AE585" s="347">
        <v>227.5</v>
      </c>
      <c r="AF585" s="347">
        <v>0</v>
      </c>
      <c r="AG585" s="347" t="s">
        <v>2251</v>
      </c>
      <c r="AH585" s="347" t="s">
        <v>1</v>
      </c>
      <c r="AI585" s="347">
        <v>845290</v>
      </c>
      <c r="AJ585" s="347" t="s">
        <v>60</v>
      </c>
      <c r="AK585" s="347">
        <v>1</v>
      </c>
      <c r="AL585" s="347">
        <v>0</v>
      </c>
      <c r="AM585" s="347" t="s">
        <v>1940</v>
      </c>
    </row>
    <row r="586" spans="7:39">
      <c r="G586" s="347"/>
      <c r="H586" s="10" t="s">
        <v>3264</v>
      </c>
      <c r="I586" s="347" t="s">
        <v>2249</v>
      </c>
      <c r="J586" s="347" t="s">
        <v>96</v>
      </c>
      <c r="K586" s="347" t="s">
        <v>3294</v>
      </c>
      <c r="L586" s="347" t="s">
        <v>2250</v>
      </c>
      <c r="M586" s="347" t="s">
        <v>3295</v>
      </c>
      <c r="N586" s="347" t="s">
        <v>3224</v>
      </c>
      <c r="O586" s="347" t="s">
        <v>2</v>
      </c>
      <c r="P586" s="347" t="s">
        <v>1697</v>
      </c>
      <c r="Q586" s="347" t="s">
        <v>68</v>
      </c>
      <c r="R586" s="347" t="s">
        <v>69</v>
      </c>
      <c r="S586" s="347" t="s">
        <v>3297</v>
      </c>
      <c r="T586" s="347">
        <v>20</v>
      </c>
      <c r="U586" s="347">
        <v>400</v>
      </c>
      <c r="V586" s="347" t="s">
        <v>3297</v>
      </c>
      <c r="W586" s="347">
        <v>0</v>
      </c>
      <c r="X586" s="347">
        <v>0</v>
      </c>
      <c r="Y586" s="347">
        <v>0</v>
      </c>
      <c r="Z586" s="347">
        <v>0</v>
      </c>
      <c r="AA586" s="347">
        <v>0</v>
      </c>
      <c r="AB586" s="347">
        <v>5</v>
      </c>
      <c r="AC586" s="347">
        <v>20</v>
      </c>
      <c r="AD586" s="347">
        <v>2.5</v>
      </c>
      <c r="AE586" s="347">
        <v>22.5</v>
      </c>
      <c r="AF586" s="347">
        <v>0</v>
      </c>
      <c r="AG586" s="347" t="s">
        <v>2251</v>
      </c>
      <c r="AH586" s="347" t="s">
        <v>1</v>
      </c>
      <c r="AI586" s="347">
        <v>73181500</v>
      </c>
      <c r="AJ586" s="347" t="s">
        <v>60</v>
      </c>
      <c r="AK586" s="347">
        <v>1</v>
      </c>
      <c r="AL586" s="347">
        <v>0</v>
      </c>
      <c r="AM586" s="347" t="s">
        <v>1940</v>
      </c>
    </row>
    <row r="587" spans="7:39">
      <c r="G587" s="347"/>
      <c r="H587" s="10" t="s">
        <v>3264</v>
      </c>
      <c r="I587" s="347" t="s">
        <v>2249</v>
      </c>
      <c r="J587" s="347" t="s">
        <v>96</v>
      </c>
      <c r="K587" s="347" t="s">
        <v>3298</v>
      </c>
      <c r="L587" s="347" t="s">
        <v>2250</v>
      </c>
      <c r="M587" s="347" t="s">
        <v>3299</v>
      </c>
      <c r="N587" s="347" t="s">
        <v>3224</v>
      </c>
      <c r="O587" s="347" t="s">
        <v>2</v>
      </c>
      <c r="P587" s="347" t="s">
        <v>112</v>
      </c>
      <c r="Q587" s="347" t="s">
        <v>68</v>
      </c>
      <c r="R587" s="347" t="s">
        <v>69</v>
      </c>
      <c r="S587" s="347" t="s">
        <v>3195</v>
      </c>
      <c r="T587" s="350">
        <v>15</v>
      </c>
      <c r="U587" s="350">
        <v>525</v>
      </c>
      <c r="V587" s="347" t="s">
        <v>3195</v>
      </c>
      <c r="W587" s="347">
        <v>20816</v>
      </c>
      <c r="X587" s="347">
        <v>0</v>
      </c>
      <c r="Y587" s="347">
        <v>0</v>
      </c>
      <c r="Z587" s="347">
        <v>0</v>
      </c>
      <c r="AA587" s="347">
        <v>0</v>
      </c>
      <c r="AB587" s="347">
        <v>5</v>
      </c>
      <c r="AC587" s="347">
        <v>26.25</v>
      </c>
      <c r="AD587" s="347">
        <v>7.5</v>
      </c>
      <c r="AE587" s="347">
        <v>33.75</v>
      </c>
      <c r="AF587" s="347">
        <v>0</v>
      </c>
      <c r="AG587" s="347" t="s">
        <v>2251</v>
      </c>
      <c r="AH587" s="347" t="s">
        <v>7</v>
      </c>
      <c r="AI587" s="347">
        <v>84529099</v>
      </c>
      <c r="AJ587" s="347" t="s">
        <v>60</v>
      </c>
      <c r="AK587" s="347">
        <v>1</v>
      </c>
      <c r="AL587" s="347">
        <v>0</v>
      </c>
      <c r="AM587" s="347" t="s">
        <v>1940</v>
      </c>
    </row>
    <row r="588" spans="7:39">
      <c r="G588" s="347"/>
      <c r="H588" s="10" t="s">
        <v>3264</v>
      </c>
      <c r="I588" s="347" t="s">
        <v>2249</v>
      </c>
      <c r="J588" s="347" t="s">
        <v>96</v>
      </c>
      <c r="K588" s="347" t="s">
        <v>3298</v>
      </c>
      <c r="L588" s="347" t="s">
        <v>2250</v>
      </c>
      <c r="M588" s="347" t="s">
        <v>3299</v>
      </c>
      <c r="N588" s="347" t="s">
        <v>3224</v>
      </c>
      <c r="O588" s="347" t="s">
        <v>2</v>
      </c>
      <c r="P588" s="347" t="s">
        <v>112</v>
      </c>
      <c r="Q588" s="347" t="s">
        <v>68</v>
      </c>
      <c r="R588" s="347" t="s">
        <v>69</v>
      </c>
      <c r="S588" s="347" t="s">
        <v>3195</v>
      </c>
      <c r="T588" s="350">
        <v>20</v>
      </c>
      <c r="U588" s="350">
        <v>700</v>
      </c>
      <c r="V588" s="347" t="s">
        <v>3195</v>
      </c>
      <c r="W588" s="347">
        <v>0</v>
      </c>
      <c r="X588" s="347">
        <v>0</v>
      </c>
      <c r="Y588" s="347">
        <v>0</v>
      </c>
      <c r="Z588" s="347">
        <v>0</v>
      </c>
      <c r="AA588" s="347">
        <v>0</v>
      </c>
      <c r="AB588" s="347">
        <v>5</v>
      </c>
      <c r="AC588" s="347">
        <v>35</v>
      </c>
      <c r="AD588" s="347">
        <v>7.5</v>
      </c>
      <c r="AE588" s="347">
        <v>42.5</v>
      </c>
      <c r="AF588" s="347">
        <v>0</v>
      </c>
      <c r="AG588" s="347" t="s">
        <v>2251</v>
      </c>
      <c r="AH588" s="347" t="s">
        <v>7</v>
      </c>
      <c r="AI588" s="347">
        <v>84529099</v>
      </c>
      <c r="AJ588" s="347" t="s">
        <v>60</v>
      </c>
      <c r="AK588" s="347">
        <v>1</v>
      </c>
      <c r="AL588" s="347">
        <v>0</v>
      </c>
      <c r="AM588" s="347" t="s">
        <v>1940</v>
      </c>
    </row>
    <row r="589" spans="7:39">
      <c r="G589" s="347"/>
      <c r="H589" s="10" t="s">
        <v>3264</v>
      </c>
      <c r="I589" s="347" t="s">
        <v>2249</v>
      </c>
      <c r="J589" s="347" t="s">
        <v>96</v>
      </c>
      <c r="K589" s="347" t="s">
        <v>3298</v>
      </c>
      <c r="L589" s="347" t="s">
        <v>2250</v>
      </c>
      <c r="M589" s="347" t="s">
        <v>3299</v>
      </c>
      <c r="N589" s="347" t="s">
        <v>3224</v>
      </c>
      <c r="O589" s="347" t="s">
        <v>2</v>
      </c>
      <c r="P589" s="347" t="s">
        <v>112</v>
      </c>
      <c r="Q589" s="347" t="s">
        <v>68</v>
      </c>
      <c r="R589" s="347" t="s">
        <v>69</v>
      </c>
      <c r="S589" s="347" t="s">
        <v>3300</v>
      </c>
      <c r="T589" s="347">
        <v>20</v>
      </c>
      <c r="U589" s="347">
        <v>400</v>
      </c>
      <c r="V589" s="347" t="s">
        <v>3300</v>
      </c>
      <c r="W589" s="347">
        <v>0</v>
      </c>
      <c r="X589" s="347">
        <v>0</v>
      </c>
      <c r="Y589" s="347">
        <v>0</v>
      </c>
      <c r="Z589" s="347">
        <v>0</v>
      </c>
      <c r="AA589" s="347">
        <v>0</v>
      </c>
      <c r="AB589" s="347">
        <v>5</v>
      </c>
      <c r="AC589" s="347">
        <v>20</v>
      </c>
      <c r="AD589" s="347">
        <v>7.5</v>
      </c>
      <c r="AE589" s="347">
        <v>27.5</v>
      </c>
      <c r="AF589" s="347">
        <v>0</v>
      </c>
      <c r="AG589" s="347" t="s">
        <v>2251</v>
      </c>
      <c r="AH589" s="347" t="s">
        <v>7</v>
      </c>
      <c r="AI589" s="347">
        <v>73182990</v>
      </c>
      <c r="AJ589" s="347" t="s">
        <v>60</v>
      </c>
      <c r="AK589" s="347">
        <v>1</v>
      </c>
      <c r="AL589" s="347">
        <v>0</v>
      </c>
      <c r="AM589" s="347" t="s">
        <v>1940</v>
      </c>
    </row>
    <row r="590" spans="7:39">
      <c r="G590" s="347"/>
      <c r="H590" s="10" t="s">
        <v>3264</v>
      </c>
      <c r="I590" s="347" t="s">
        <v>2249</v>
      </c>
      <c r="J590" s="347" t="s">
        <v>96</v>
      </c>
      <c r="K590" s="347" t="s">
        <v>3298</v>
      </c>
      <c r="L590" s="347" t="s">
        <v>2250</v>
      </c>
      <c r="M590" s="347" t="s">
        <v>3299</v>
      </c>
      <c r="N590" s="347" t="s">
        <v>3224</v>
      </c>
      <c r="O590" s="347" t="s">
        <v>2</v>
      </c>
      <c r="P590" s="347" t="s">
        <v>112</v>
      </c>
      <c r="Q590" s="347" t="s">
        <v>68</v>
      </c>
      <c r="R590" s="347" t="s">
        <v>69</v>
      </c>
      <c r="S590" s="347" t="s">
        <v>3301</v>
      </c>
      <c r="T590" s="347">
        <v>10</v>
      </c>
      <c r="U590" s="350">
        <v>200</v>
      </c>
      <c r="V590" s="347" t="s">
        <v>3301</v>
      </c>
      <c r="W590" s="347">
        <v>0</v>
      </c>
      <c r="X590" s="347">
        <v>0</v>
      </c>
      <c r="Y590" s="347">
        <v>0</v>
      </c>
      <c r="Z590" s="347">
        <v>0</v>
      </c>
      <c r="AA590" s="347">
        <v>0</v>
      </c>
      <c r="AB590" s="347">
        <v>5</v>
      </c>
      <c r="AC590" s="347">
        <v>10</v>
      </c>
      <c r="AD590" s="347">
        <v>7.5</v>
      </c>
      <c r="AE590" s="347">
        <v>17.5</v>
      </c>
      <c r="AF590" s="347">
        <v>0</v>
      </c>
      <c r="AG590" s="347" t="s">
        <v>2251</v>
      </c>
      <c r="AH590" s="347" t="s">
        <v>1</v>
      </c>
      <c r="AI590" s="347">
        <v>84529099</v>
      </c>
      <c r="AJ590" s="347" t="s">
        <v>60</v>
      </c>
      <c r="AK590" s="347">
        <v>1</v>
      </c>
      <c r="AL590" s="347">
        <v>0</v>
      </c>
      <c r="AM590" s="347" t="s">
        <v>1940</v>
      </c>
    </row>
    <row r="591" spans="7:39">
      <c r="G591" s="347"/>
      <c r="H591" s="10" t="s">
        <v>3264</v>
      </c>
      <c r="I591" s="347" t="s">
        <v>2249</v>
      </c>
      <c r="J591" s="347" t="s">
        <v>96</v>
      </c>
      <c r="K591" s="347" t="s">
        <v>3298</v>
      </c>
      <c r="L591" s="347" t="s">
        <v>2250</v>
      </c>
      <c r="M591" s="347" t="s">
        <v>3299</v>
      </c>
      <c r="N591" s="347" t="s">
        <v>3224</v>
      </c>
      <c r="O591" s="347" t="s">
        <v>2</v>
      </c>
      <c r="P591" s="347" t="s">
        <v>112</v>
      </c>
      <c r="Q591" s="347" t="s">
        <v>68</v>
      </c>
      <c r="R591" s="347" t="s">
        <v>69</v>
      </c>
      <c r="S591" s="347" t="s">
        <v>3301</v>
      </c>
      <c r="T591" s="350">
        <v>10</v>
      </c>
      <c r="U591" s="347">
        <v>200</v>
      </c>
      <c r="V591" s="347" t="s">
        <v>3301</v>
      </c>
      <c r="W591" s="347">
        <v>0</v>
      </c>
      <c r="X591" s="347">
        <v>0</v>
      </c>
      <c r="Y591" s="347">
        <v>0</v>
      </c>
      <c r="Z591" s="347">
        <v>0</v>
      </c>
      <c r="AA591" s="347">
        <v>0</v>
      </c>
      <c r="AB591" s="347">
        <v>5</v>
      </c>
      <c r="AC591" s="347">
        <v>10</v>
      </c>
      <c r="AD591" s="347">
        <v>7.5</v>
      </c>
      <c r="AE591" s="347">
        <v>17.5</v>
      </c>
      <c r="AF591" s="347">
        <v>0</v>
      </c>
      <c r="AG591" s="347" t="s">
        <v>2251</v>
      </c>
      <c r="AH591" s="347" t="s">
        <v>1</v>
      </c>
      <c r="AI591" s="347">
        <v>84529099</v>
      </c>
      <c r="AJ591" s="347" t="s">
        <v>60</v>
      </c>
      <c r="AK591" s="347">
        <v>1</v>
      </c>
      <c r="AL591" s="347">
        <v>0</v>
      </c>
      <c r="AM591" s="347" t="s">
        <v>1940</v>
      </c>
    </row>
    <row r="592" spans="7:39">
      <c r="G592" s="347"/>
      <c r="H592" s="10" t="s">
        <v>3264</v>
      </c>
      <c r="I592" s="347" t="s">
        <v>2249</v>
      </c>
      <c r="J592" s="347" t="s">
        <v>96</v>
      </c>
      <c r="K592" s="347" t="s">
        <v>3298</v>
      </c>
      <c r="L592" s="347" t="s">
        <v>2250</v>
      </c>
      <c r="M592" s="347" t="s">
        <v>3299</v>
      </c>
      <c r="N592" s="347" t="s">
        <v>3224</v>
      </c>
      <c r="O592" s="347" t="s">
        <v>2</v>
      </c>
      <c r="P592" s="347" t="s">
        <v>1697</v>
      </c>
      <c r="Q592" s="347" t="s">
        <v>68</v>
      </c>
      <c r="R592" s="347" t="s">
        <v>69</v>
      </c>
      <c r="S592" s="347" t="s">
        <v>3302</v>
      </c>
      <c r="T592" s="350">
        <v>10</v>
      </c>
      <c r="U592" s="350">
        <v>12000</v>
      </c>
      <c r="V592" s="347" t="s">
        <v>3302</v>
      </c>
      <c r="W592" s="347">
        <v>0</v>
      </c>
      <c r="X592" s="347">
        <v>0</v>
      </c>
      <c r="Y592" s="347">
        <v>0</v>
      </c>
      <c r="Z592" s="347">
        <v>0</v>
      </c>
      <c r="AA592" s="347">
        <v>0</v>
      </c>
      <c r="AB592" s="347">
        <v>5</v>
      </c>
      <c r="AC592" s="347">
        <v>600</v>
      </c>
      <c r="AD592" s="347">
        <v>7.5</v>
      </c>
      <c r="AE592" s="347">
        <v>607.5</v>
      </c>
      <c r="AF592" s="347">
        <v>0</v>
      </c>
      <c r="AG592" s="347" t="s">
        <v>2251</v>
      </c>
      <c r="AH592" s="347" t="s">
        <v>1</v>
      </c>
      <c r="AI592" s="347">
        <v>84529099</v>
      </c>
      <c r="AJ592" s="347" t="s">
        <v>60</v>
      </c>
      <c r="AK592" s="347">
        <v>1</v>
      </c>
      <c r="AL592" s="347">
        <v>0</v>
      </c>
      <c r="AM592" s="347" t="s">
        <v>1940</v>
      </c>
    </row>
    <row r="593" spans="7:39">
      <c r="G593" s="347"/>
      <c r="H593" s="10" t="s">
        <v>3264</v>
      </c>
      <c r="I593" s="347" t="s">
        <v>2249</v>
      </c>
      <c r="J593" s="347" t="s">
        <v>96</v>
      </c>
      <c r="K593" s="347" t="s">
        <v>3298</v>
      </c>
      <c r="L593" s="347" t="s">
        <v>2250</v>
      </c>
      <c r="M593" s="347" t="s">
        <v>3299</v>
      </c>
      <c r="N593" s="347" t="s">
        <v>3224</v>
      </c>
      <c r="O593" s="347" t="s">
        <v>2</v>
      </c>
      <c r="P593" s="347" t="s">
        <v>1697</v>
      </c>
      <c r="Q593" s="347" t="s">
        <v>68</v>
      </c>
      <c r="R593" s="347" t="s">
        <v>69</v>
      </c>
      <c r="S593" s="347" t="s">
        <v>2977</v>
      </c>
      <c r="T593" s="350">
        <v>3</v>
      </c>
      <c r="U593" s="350">
        <v>3150</v>
      </c>
      <c r="V593" s="347" t="s">
        <v>2977</v>
      </c>
      <c r="W593" s="347">
        <v>0</v>
      </c>
      <c r="X593" s="347">
        <v>0</v>
      </c>
      <c r="Y593" s="347">
        <v>0</v>
      </c>
      <c r="Z593" s="347">
        <v>0</v>
      </c>
      <c r="AA593" s="347">
        <v>0</v>
      </c>
      <c r="AB593" s="347">
        <v>5</v>
      </c>
      <c r="AC593" s="347">
        <v>157.5</v>
      </c>
      <c r="AD593" s="347">
        <v>7.5</v>
      </c>
      <c r="AE593" s="347">
        <v>165</v>
      </c>
      <c r="AF593" s="347">
        <v>0</v>
      </c>
      <c r="AG593" s="347" t="s">
        <v>2251</v>
      </c>
      <c r="AH593" s="347" t="s">
        <v>1</v>
      </c>
      <c r="AI593" s="347">
        <v>84529099</v>
      </c>
      <c r="AJ593" s="347" t="s">
        <v>60</v>
      </c>
      <c r="AK593" s="347">
        <v>1</v>
      </c>
      <c r="AL593" s="347">
        <v>0</v>
      </c>
      <c r="AM593" s="347" t="s">
        <v>1940</v>
      </c>
    </row>
    <row r="594" spans="7:39">
      <c r="G594" s="347"/>
      <c r="H594" s="10" t="s">
        <v>3264</v>
      </c>
      <c r="I594" s="347" t="s">
        <v>2249</v>
      </c>
      <c r="J594" s="347" t="s">
        <v>96</v>
      </c>
      <c r="K594" s="347" t="s">
        <v>3298</v>
      </c>
      <c r="L594" s="347" t="s">
        <v>2250</v>
      </c>
      <c r="M594" s="347" t="s">
        <v>3299</v>
      </c>
      <c r="N594" s="347" t="s">
        <v>3224</v>
      </c>
      <c r="O594" s="347" t="s">
        <v>2</v>
      </c>
      <c r="P594" s="347" t="s">
        <v>1697</v>
      </c>
      <c r="Q594" s="347" t="s">
        <v>68</v>
      </c>
      <c r="R594" s="347" t="s">
        <v>69</v>
      </c>
      <c r="S594" s="347" t="s">
        <v>3193</v>
      </c>
      <c r="T594" s="347">
        <v>10</v>
      </c>
      <c r="U594" s="350">
        <v>2500</v>
      </c>
      <c r="V594" s="347" t="s">
        <v>3193</v>
      </c>
      <c r="W594" s="347">
        <v>0</v>
      </c>
      <c r="X594" s="347">
        <v>0</v>
      </c>
      <c r="Y594" s="347">
        <v>0</v>
      </c>
      <c r="Z594" s="347">
        <v>0</v>
      </c>
      <c r="AA594" s="347">
        <v>0</v>
      </c>
      <c r="AB594" s="347">
        <v>5</v>
      </c>
      <c r="AC594" s="347">
        <v>125</v>
      </c>
      <c r="AD594" s="347">
        <v>7.5</v>
      </c>
      <c r="AE594" s="347">
        <v>132.5</v>
      </c>
      <c r="AF594" s="347">
        <v>0</v>
      </c>
      <c r="AG594" s="347" t="s">
        <v>2251</v>
      </c>
      <c r="AH594" s="347" t="s">
        <v>1</v>
      </c>
      <c r="AI594" s="347">
        <v>84529099</v>
      </c>
      <c r="AJ594" s="347" t="s">
        <v>60</v>
      </c>
      <c r="AK594" s="347">
        <v>1</v>
      </c>
      <c r="AL594" s="347">
        <v>0</v>
      </c>
      <c r="AM594" s="347" t="s">
        <v>1940</v>
      </c>
    </row>
    <row r="595" spans="7:39">
      <c r="G595" s="347"/>
      <c r="H595" s="10" t="s">
        <v>3264</v>
      </c>
      <c r="I595" s="347" t="s">
        <v>117</v>
      </c>
      <c r="J595" s="347" t="s">
        <v>113</v>
      </c>
      <c r="K595" s="347" t="s">
        <v>3303</v>
      </c>
      <c r="L595" s="347" t="s">
        <v>114</v>
      </c>
      <c r="M595" s="347" t="s">
        <v>3304</v>
      </c>
      <c r="N595" s="396">
        <v>46029</v>
      </c>
      <c r="O595" s="347" t="s">
        <v>4</v>
      </c>
      <c r="P595" s="347" t="s">
        <v>115</v>
      </c>
      <c r="Q595" s="347" t="s">
        <v>115</v>
      </c>
      <c r="R595" s="347" t="s">
        <v>4</v>
      </c>
      <c r="S595" s="347" t="s">
        <v>3305</v>
      </c>
      <c r="T595" s="350">
        <v>55</v>
      </c>
      <c r="U595" s="350">
        <v>67375</v>
      </c>
      <c r="V595" s="347" t="s">
        <v>3305</v>
      </c>
      <c r="W595" s="347">
        <v>70744</v>
      </c>
      <c r="X595" s="347">
        <v>2.5</v>
      </c>
      <c r="Y595" s="347">
        <v>1684.38</v>
      </c>
      <c r="Z595" s="347">
        <v>2.5</v>
      </c>
      <c r="AA595" s="347">
        <v>1684.38</v>
      </c>
      <c r="AB595" s="347">
        <v>0</v>
      </c>
      <c r="AC595" s="347">
        <v>0</v>
      </c>
      <c r="AD595" s="347">
        <v>0</v>
      </c>
      <c r="AE595" s="347">
        <v>3368.76</v>
      </c>
      <c r="AF595" s="347">
        <v>0</v>
      </c>
      <c r="AG595" s="347" t="s">
        <v>2574</v>
      </c>
      <c r="AH595" s="347" t="s">
        <v>1</v>
      </c>
      <c r="AI595" s="347">
        <v>44152000</v>
      </c>
      <c r="AJ595" s="347" t="s">
        <v>60</v>
      </c>
      <c r="AK595" s="347">
        <v>1</v>
      </c>
      <c r="AL595" s="347">
        <v>0</v>
      </c>
      <c r="AM595" s="347" t="s">
        <v>1940</v>
      </c>
    </row>
    <row r="596" spans="7:39">
      <c r="G596" s="347"/>
      <c r="H596" s="10" t="s">
        <v>3306</v>
      </c>
      <c r="I596" s="347" t="s">
        <v>2475</v>
      </c>
      <c r="J596" s="347" t="s">
        <v>96</v>
      </c>
      <c r="K596" s="347" t="s">
        <v>3307</v>
      </c>
      <c r="L596" s="347" t="s">
        <v>97</v>
      </c>
      <c r="M596" s="347">
        <v>1118</v>
      </c>
      <c r="N596" s="347" t="s">
        <v>3306</v>
      </c>
      <c r="O596" s="347" t="s">
        <v>5</v>
      </c>
      <c r="P596" s="347" t="s">
        <v>111</v>
      </c>
      <c r="Q596" s="347" t="s">
        <v>68</v>
      </c>
      <c r="R596" s="347" t="s">
        <v>69</v>
      </c>
      <c r="S596" s="347" t="s">
        <v>2476</v>
      </c>
      <c r="T596" s="347">
        <v>600</v>
      </c>
      <c r="U596" s="350">
        <v>9600</v>
      </c>
      <c r="V596" s="347" t="s">
        <v>2476</v>
      </c>
      <c r="W596" s="347">
        <v>10080</v>
      </c>
      <c r="X596" s="347">
        <v>2.5</v>
      </c>
      <c r="Y596" s="347">
        <v>240</v>
      </c>
      <c r="Z596" s="347">
        <v>2.5</v>
      </c>
      <c r="AA596" s="347">
        <v>240</v>
      </c>
      <c r="AB596" s="347">
        <v>0</v>
      </c>
      <c r="AC596" s="347">
        <v>0</v>
      </c>
      <c r="AD596" s="347">
        <v>0</v>
      </c>
      <c r="AE596" s="347">
        <v>480</v>
      </c>
      <c r="AF596" s="347">
        <v>0</v>
      </c>
      <c r="AG596" s="347" t="s">
        <v>2477</v>
      </c>
      <c r="AH596" s="347" t="s">
        <v>11</v>
      </c>
      <c r="AI596" s="347">
        <v>631090</v>
      </c>
      <c r="AJ596" s="347" t="s">
        <v>60</v>
      </c>
      <c r="AK596" s="347">
        <v>1</v>
      </c>
      <c r="AL596" s="347">
        <v>0</v>
      </c>
      <c r="AM596" s="347" t="s">
        <v>1940</v>
      </c>
    </row>
    <row r="597" spans="7:39">
      <c r="G597" s="347"/>
      <c r="H597" s="10" t="s">
        <v>3306</v>
      </c>
      <c r="I597" s="347" t="s">
        <v>2451</v>
      </c>
      <c r="J597" s="347" t="s">
        <v>96</v>
      </c>
      <c r="K597" s="347" t="s">
        <v>3308</v>
      </c>
      <c r="L597" s="347" t="s">
        <v>97</v>
      </c>
      <c r="M597" s="347">
        <v>1236</v>
      </c>
      <c r="N597" s="347" t="s">
        <v>3257</v>
      </c>
      <c r="O597" s="347" t="s">
        <v>2</v>
      </c>
      <c r="P597" s="347" t="s">
        <v>112</v>
      </c>
      <c r="Q597" s="347" t="s">
        <v>68</v>
      </c>
      <c r="R597" s="347" t="s">
        <v>69</v>
      </c>
      <c r="S597" s="347" t="s">
        <v>3309</v>
      </c>
      <c r="T597" s="347">
        <v>10</v>
      </c>
      <c r="U597" s="350">
        <v>300</v>
      </c>
      <c r="V597" s="347" t="s">
        <v>3309</v>
      </c>
      <c r="W597" s="347">
        <v>354</v>
      </c>
      <c r="X597" s="347">
        <v>9</v>
      </c>
      <c r="Y597" s="347">
        <v>27</v>
      </c>
      <c r="Z597" s="347">
        <v>9</v>
      </c>
      <c r="AA597" s="347">
        <v>27</v>
      </c>
      <c r="AB597" s="347">
        <v>0</v>
      </c>
      <c r="AC597" s="347">
        <v>0</v>
      </c>
      <c r="AD597" s="347">
        <v>0</v>
      </c>
      <c r="AE597" s="347">
        <v>54</v>
      </c>
      <c r="AF597" s="347">
        <v>0</v>
      </c>
      <c r="AG597" s="347" t="s">
        <v>3277</v>
      </c>
      <c r="AH597" s="347" t="s">
        <v>7</v>
      </c>
      <c r="AI597" s="347">
        <v>9603010</v>
      </c>
      <c r="AJ597" s="347" t="s">
        <v>60</v>
      </c>
      <c r="AK597" s="347">
        <v>1</v>
      </c>
      <c r="AL597" s="347">
        <v>0</v>
      </c>
      <c r="AM597" s="347" t="s">
        <v>1940</v>
      </c>
    </row>
    <row r="598" spans="7:39">
      <c r="G598" s="347"/>
      <c r="H598" s="10" t="s">
        <v>3306</v>
      </c>
      <c r="I598" s="347" t="s">
        <v>87</v>
      </c>
      <c r="J598" s="347" t="s">
        <v>96</v>
      </c>
      <c r="K598" s="347" t="s">
        <v>3310</v>
      </c>
      <c r="L598" s="347" t="s">
        <v>97</v>
      </c>
      <c r="M598" s="347" t="s">
        <v>3311</v>
      </c>
      <c r="N598" s="347" t="s">
        <v>3306</v>
      </c>
      <c r="O598" s="347" t="s">
        <v>2</v>
      </c>
      <c r="P598" s="347" t="s">
        <v>67</v>
      </c>
      <c r="Q598" s="347" t="s">
        <v>68</v>
      </c>
      <c r="R598" s="347" t="s">
        <v>69</v>
      </c>
      <c r="S598" s="347" t="s">
        <v>70</v>
      </c>
      <c r="T598" s="347">
        <v>320</v>
      </c>
      <c r="U598" s="350">
        <v>15360</v>
      </c>
      <c r="V598" s="347" t="s">
        <v>70</v>
      </c>
      <c r="W598" s="347">
        <v>18109.439999999999</v>
      </c>
      <c r="X598" s="347">
        <v>9</v>
      </c>
      <c r="Y598" s="347">
        <v>1382.4</v>
      </c>
      <c r="Z598" s="347">
        <v>9</v>
      </c>
      <c r="AA598" s="347">
        <v>1382.4</v>
      </c>
      <c r="AB598" s="347">
        <v>0</v>
      </c>
      <c r="AC598" s="347">
        <v>0</v>
      </c>
      <c r="AD598" s="347">
        <v>0</v>
      </c>
      <c r="AE598" s="347">
        <v>2764.8</v>
      </c>
      <c r="AF598" s="347">
        <v>0</v>
      </c>
      <c r="AG598" s="347" t="s">
        <v>65</v>
      </c>
      <c r="AH598" s="347" t="s">
        <v>11</v>
      </c>
      <c r="AI598" s="347">
        <v>73063090</v>
      </c>
      <c r="AJ598" s="347" t="s">
        <v>60</v>
      </c>
      <c r="AK598" s="347">
        <v>1</v>
      </c>
      <c r="AL598" s="347">
        <v>0</v>
      </c>
      <c r="AM598" s="347" t="s">
        <v>1940</v>
      </c>
    </row>
    <row r="599" spans="7:39">
      <c r="G599" s="347"/>
      <c r="H599" s="10" t="s">
        <v>3306</v>
      </c>
      <c r="I599" s="347" t="s">
        <v>87</v>
      </c>
      <c r="J599" s="347" t="s">
        <v>91</v>
      </c>
      <c r="K599" s="347" t="s">
        <v>3312</v>
      </c>
      <c r="L599" s="347" t="s">
        <v>98</v>
      </c>
      <c r="M599" s="347" t="s">
        <v>3313</v>
      </c>
      <c r="N599" s="347" t="s">
        <v>3306</v>
      </c>
      <c r="O599" s="347" t="s">
        <v>13</v>
      </c>
      <c r="P599" s="347" t="s">
        <v>62</v>
      </c>
      <c r="Q599" s="347" t="s">
        <v>63</v>
      </c>
      <c r="R599" s="347" t="s">
        <v>64</v>
      </c>
      <c r="S599" s="347" t="s">
        <v>19</v>
      </c>
      <c r="T599" s="350">
        <v>1400</v>
      </c>
      <c r="U599" s="350">
        <v>202286</v>
      </c>
      <c r="V599" s="347" t="s">
        <v>19</v>
      </c>
      <c r="W599" s="347">
        <v>238495.19</v>
      </c>
      <c r="X599" s="347">
        <v>9</v>
      </c>
      <c r="Y599" s="347">
        <v>18205.740000000002</v>
      </c>
      <c r="Z599" s="347">
        <v>9</v>
      </c>
      <c r="AA599" s="347">
        <v>18205.740000000002</v>
      </c>
      <c r="AB599" s="347">
        <v>0</v>
      </c>
      <c r="AC599" s="347">
        <v>0</v>
      </c>
      <c r="AD599" s="347">
        <v>0</v>
      </c>
      <c r="AE599" s="347">
        <v>36411.480000000003</v>
      </c>
      <c r="AF599" s="347">
        <v>0</v>
      </c>
      <c r="AG599" s="347" t="s">
        <v>65</v>
      </c>
      <c r="AH599" s="347" t="s">
        <v>11</v>
      </c>
      <c r="AI599" s="347">
        <v>39269080</v>
      </c>
      <c r="AJ599" s="347" t="s">
        <v>60</v>
      </c>
      <c r="AK599" s="347">
        <v>1</v>
      </c>
      <c r="AL599" s="347">
        <v>0</v>
      </c>
      <c r="AM599" s="347" t="s">
        <v>1940</v>
      </c>
    </row>
    <row r="600" spans="7:39">
      <c r="G600" s="347"/>
      <c r="H600" s="10" t="s">
        <v>3306</v>
      </c>
      <c r="I600" s="347" t="s">
        <v>87</v>
      </c>
      <c r="J600" s="347" t="s">
        <v>91</v>
      </c>
      <c r="K600" s="347" t="s">
        <v>3314</v>
      </c>
      <c r="L600" s="347" t="s">
        <v>98</v>
      </c>
      <c r="M600" s="347" t="s">
        <v>3315</v>
      </c>
      <c r="N600" s="347" t="s">
        <v>3306</v>
      </c>
      <c r="O600" s="347" t="s">
        <v>13</v>
      </c>
      <c r="P600" s="347" t="s">
        <v>62</v>
      </c>
      <c r="Q600" s="347" t="s">
        <v>63</v>
      </c>
      <c r="R600" s="347" t="s">
        <v>64</v>
      </c>
      <c r="S600" s="347" t="s">
        <v>19</v>
      </c>
      <c r="T600" s="350">
        <v>1175</v>
      </c>
      <c r="U600" s="347">
        <v>169775.75</v>
      </c>
      <c r="V600" s="347" t="s">
        <v>19</v>
      </c>
      <c r="W600" s="347">
        <v>200165.61</v>
      </c>
      <c r="X600" s="347">
        <v>9</v>
      </c>
      <c r="Y600" s="347">
        <v>15279.82</v>
      </c>
      <c r="Z600" s="347">
        <v>9</v>
      </c>
      <c r="AA600" s="347">
        <v>15279.82</v>
      </c>
      <c r="AB600" s="347">
        <v>0</v>
      </c>
      <c r="AC600" s="347">
        <v>0</v>
      </c>
      <c r="AD600" s="347">
        <v>0</v>
      </c>
      <c r="AE600" s="347">
        <v>30559.64</v>
      </c>
      <c r="AF600" s="347">
        <v>0</v>
      </c>
      <c r="AG600" s="347" t="s">
        <v>65</v>
      </c>
      <c r="AH600" s="347" t="s">
        <v>11</v>
      </c>
      <c r="AI600" s="347">
        <v>39269080</v>
      </c>
      <c r="AJ600" s="347" t="s">
        <v>60</v>
      </c>
      <c r="AK600" s="347">
        <v>1</v>
      </c>
      <c r="AL600" s="347">
        <v>0</v>
      </c>
      <c r="AM600" s="347" t="s">
        <v>1940</v>
      </c>
    </row>
    <row r="601" spans="7:39">
      <c r="G601" s="347"/>
      <c r="H601" s="10" t="s">
        <v>3306</v>
      </c>
      <c r="I601" s="347" t="s">
        <v>87</v>
      </c>
      <c r="J601" s="347" t="s">
        <v>91</v>
      </c>
      <c r="K601" s="347" t="s">
        <v>3316</v>
      </c>
      <c r="L601" s="347" t="s">
        <v>98</v>
      </c>
      <c r="M601" s="347" t="s">
        <v>3317</v>
      </c>
      <c r="N601" s="347" t="s">
        <v>3306</v>
      </c>
      <c r="O601" s="347" t="s">
        <v>13</v>
      </c>
      <c r="P601" s="347" t="s">
        <v>80</v>
      </c>
      <c r="Q601" s="347" t="s">
        <v>81</v>
      </c>
      <c r="R601" s="347" t="s">
        <v>82</v>
      </c>
      <c r="S601" s="347" t="s">
        <v>17</v>
      </c>
      <c r="T601" s="350">
        <v>7634</v>
      </c>
      <c r="U601" s="347">
        <v>1395342.52</v>
      </c>
      <c r="V601" s="347" t="s">
        <v>17</v>
      </c>
      <c r="W601" s="347">
        <v>1927458.33</v>
      </c>
      <c r="X601" s="347">
        <v>9</v>
      </c>
      <c r="Y601" s="347">
        <v>125580.83</v>
      </c>
      <c r="Z601" s="347">
        <v>9</v>
      </c>
      <c r="AA601" s="347">
        <v>125580.83</v>
      </c>
      <c r="AB601" s="347">
        <v>0</v>
      </c>
      <c r="AC601" s="347">
        <v>0</v>
      </c>
      <c r="AD601" s="347">
        <v>0</v>
      </c>
      <c r="AE601" s="347">
        <v>251161.66</v>
      </c>
      <c r="AF601" s="347">
        <v>0</v>
      </c>
      <c r="AG601" s="347" t="s">
        <v>65</v>
      </c>
      <c r="AH601" s="347" t="s">
        <v>11</v>
      </c>
      <c r="AI601" s="347">
        <v>39200000</v>
      </c>
      <c r="AJ601" s="347" t="s">
        <v>60</v>
      </c>
      <c r="AK601" s="347">
        <v>1</v>
      </c>
      <c r="AL601" s="347">
        <v>0</v>
      </c>
      <c r="AM601" s="347" t="s">
        <v>1940</v>
      </c>
    </row>
    <row r="602" spans="7:39">
      <c r="G602" s="347"/>
      <c r="H602" s="10" t="s">
        <v>3306</v>
      </c>
      <c r="I602" s="347" t="s">
        <v>87</v>
      </c>
      <c r="J602" s="347" t="s">
        <v>91</v>
      </c>
      <c r="K602" s="347" t="s">
        <v>3316</v>
      </c>
      <c r="L602" s="347" t="s">
        <v>98</v>
      </c>
      <c r="M602" s="347" t="s">
        <v>3317</v>
      </c>
      <c r="N602" s="347" t="s">
        <v>3306</v>
      </c>
      <c r="O602" s="347" t="s">
        <v>8</v>
      </c>
      <c r="P602" s="347" t="s">
        <v>659</v>
      </c>
      <c r="Q602" s="347" t="s">
        <v>659</v>
      </c>
      <c r="R602" s="347" t="s">
        <v>4</v>
      </c>
      <c r="S602" s="347" t="s">
        <v>778</v>
      </c>
      <c r="T602" s="350">
        <v>15400</v>
      </c>
      <c r="U602" s="350">
        <v>55931.26</v>
      </c>
      <c r="V602" s="347" t="s">
        <v>778</v>
      </c>
      <c r="W602" s="347">
        <v>0</v>
      </c>
      <c r="X602" s="347">
        <v>9</v>
      </c>
      <c r="Y602" s="347">
        <v>5033.8100000000004</v>
      </c>
      <c r="Z602" s="347">
        <v>9</v>
      </c>
      <c r="AA602" s="347">
        <v>5033.8100000000004</v>
      </c>
      <c r="AB602" s="347">
        <v>0</v>
      </c>
      <c r="AC602" s="347">
        <v>0</v>
      </c>
      <c r="AD602" s="347">
        <v>0</v>
      </c>
      <c r="AE602" s="347">
        <v>10067.620000000001</v>
      </c>
      <c r="AF602" s="347">
        <v>0</v>
      </c>
      <c r="AG602" s="347" t="s">
        <v>65</v>
      </c>
      <c r="AH602" s="347" t="s">
        <v>1</v>
      </c>
      <c r="AI602" s="347">
        <v>39232100</v>
      </c>
      <c r="AJ602" s="347" t="s">
        <v>60</v>
      </c>
      <c r="AK602" s="347">
        <v>1</v>
      </c>
      <c r="AL602" s="347">
        <v>306</v>
      </c>
      <c r="AM602" s="347" t="s">
        <v>1940</v>
      </c>
    </row>
    <row r="603" spans="7:39">
      <c r="G603" s="347"/>
      <c r="H603" s="10" t="s">
        <v>3306</v>
      </c>
      <c r="I603" s="347" t="s">
        <v>87</v>
      </c>
      <c r="J603" s="347" t="s">
        <v>91</v>
      </c>
      <c r="K603" s="347" t="s">
        <v>3316</v>
      </c>
      <c r="L603" s="347" t="s">
        <v>98</v>
      </c>
      <c r="M603" s="347" t="s">
        <v>3317</v>
      </c>
      <c r="N603" s="347" t="s">
        <v>3306</v>
      </c>
      <c r="O603" s="347" t="s">
        <v>13</v>
      </c>
      <c r="P603" s="347" t="s">
        <v>24</v>
      </c>
      <c r="Q603" s="347" t="s">
        <v>79</v>
      </c>
      <c r="R603" s="347" t="s">
        <v>79</v>
      </c>
      <c r="S603" s="347" t="s">
        <v>24</v>
      </c>
      <c r="T603" s="347">
        <v>97.1</v>
      </c>
      <c r="U603" s="350">
        <v>14224.18</v>
      </c>
      <c r="V603" s="347" t="s">
        <v>24</v>
      </c>
      <c r="W603" s="347">
        <v>0</v>
      </c>
      <c r="X603" s="347">
        <v>9</v>
      </c>
      <c r="Y603" s="347">
        <v>1280.18</v>
      </c>
      <c r="Z603" s="347">
        <v>9</v>
      </c>
      <c r="AA603" s="347">
        <v>1280.18</v>
      </c>
      <c r="AB603" s="347">
        <v>0</v>
      </c>
      <c r="AC603" s="347">
        <v>0</v>
      </c>
      <c r="AD603" s="347">
        <v>0</v>
      </c>
      <c r="AE603" s="347">
        <v>2560.36</v>
      </c>
      <c r="AF603" s="347">
        <v>0</v>
      </c>
      <c r="AG603" s="347" t="s">
        <v>65</v>
      </c>
      <c r="AH603" s="347" t="s">
        <v>11</v>
      </c>
      <c r="AI603" s="347">
        <v>3926908</v>
      </c>
      <c r="AJ603" s="347" t="s">
        <v>60</v>
      </c>
      <c r="AK603" s="347">
        <v>1</v>
      </c>
      <c r="AL603" s="347">
        <v>0</v>
      </c>
      <c r="AM603" s="347" t="s">
        <v>1940</v>
      </c>
    </row>
    <row r="604" spans="7:39">
      <c r="G604" s="347"/>
      <c r="H604" s="10" t="s">
        <v>3306</v>
      </c>
      <c r="I604" s="347" t="s">
        <v>87</v>
      </c>
      <c r="J604" s="347" t="s">
        <v>91</v>
      </c>
      <c r="K604" s="347" t="s">
        <v>3316</v>
      </c>
      <c r="L604" s="347" t="s">
        <v>98</v>
      </c>
      <c r="M604" s="347" t="s">
        <v>3317</v>
      </c>
      <c r="N604" s="347" t="s">
        <v>3306</v>
      </c>
      <c r="O604" s="347" t="s">
        <v>13</v>
      </c>
      <c r="P604" s="347" t="s">
        <v>24</v>
      </c>
      <c r="Q604" s="347" t="s">
        <v>79</v>
      </c>
      <c r="R604" s="347" t="s">
        <v>79</v>
      </c>
      <c r="S604" s="347" t="s">
        <v>24</v>
      </c>
      <c r="T604" s="350">
        <v>1132.7</v>
      </c>
      <c r="U604" s="347">
        <v>169327.32</v>
      </c>
      <c r="V604" s="347" t="s">
        <v>24</v>
      </c>
      <c r="W604" s="347">
        <v>0</v>
      </c>
      <c r="X604" s="347">
        <v>9</v>
      </c>
      <c r="Y604" s="347">
        <v>15239.46</v>
      </c>
      <c r="Z604" s="347">
        <v>9</v>
      </c>
      <c r="AA604" s="347">
        <v>15239.46</v>
      </c>
      <c r="AB604" s="347">
        <v>0</v>
      </c>
      <c r="AC604" s="347">
        <v>0</v>
      </c>
      <c r="AD604" s="347">
        <v>0</v>
      </c>
      <c r="AE604" s="347">
        <v>30478.92</v>
      </c>
      <c r="AF604" s="347">
        <v>0</v>
      </c>
      <c r="AG604" s="347" t="s">
        <v>65</v>
      </c>
      <c r="AH604" s="347" t="s">
        <v>11</v>
      </c>
      <c r="AI604" s="347">
        <v>3926908</v>
      </c>
      <c r="AJ604" s="347" t="s">
        <v>60</v>
      </c>
      <c r="AK604" s="347">
        <v>1</v>
      </c>
      <c r="AL604" s="347">
        <v>0</v>
      </c>
      <c r="AM604" s="347" t="s">
        <v>1940</v>
      </c>
    </row>
    <row r="605" spans="7:39">
      <c r="G605" s="347"/>
      <c r="H605" s="10" t="s">
        <v>3306</v>
      </c>
      <c r="I605" s="347" t="s">
        <v>87</v>
      </c>
      <c r="J605" s="347" t="s">
        <v>91</v>
      </c>
      <c r="K605" s="347" t="s">
        <v>3318</v>
      </c>
      <c r="L605" s="347" t="s">
        <v>98</v>
      </c>
      <c r="M605" s="347" t="s">
        <v>3319</v>
      </c>
      <c r="N605" s="347" t="s">
        <v>3306</v>
      </c>
      <c r="O605" s="347" t="s">
        <v>13</v>
      </c>
      <c r="P605" s="347" t="s">
        <v>62</v>
      </c>
      <c r="Q605" s="347" t="s">
        <v>76</v>
      </c>
      <c r="R605" s="347" t="s">
        <v>77</v>
      </c>
      <c r="S605" s="347" t="s">
        <v>21</v>
      </c>
      <c r="T605" s="347">
        <v>525</v>
      </c>
      <c r="U605" s="350">
        <v>77957.25</v>
      </c>
      <c r="V605" s="347" t="s">
        <v>21</v>
      </c>
      <c r="W605" s="347">
        <v>1690228.08</v>
      </c>
      <c r="X605" s="347">
        <v>9</v>
      </c>
      <c r="Y605" s="347">
        <v>7016.15</v>
      </c>
      <c r="Z605" s="347">
        <v>9</v>
      </c>
      <c r="AA605" s="347">
        <v>7016.15</v>
      </c>
      <c r="AB605" s="347">
        <v>0</v>
      </c>
      <c r="AC605" s="347">
        <v>0</v>
      </c>
      <c r="AD605" s="347">
        <v>0</v>
      </c>
      <c r="AE605" s="347">
        <v>14032.3</v>
      </c>
      <c r="AF605" s="347">
        <v>0</v>
      </c>
      <c r="AG605" s="347" t="s">
        <v>65</v>
      </c>
      <c r="AH605" s="347" t="s">
        <v>11</v>
      </c>
      <c r="AI605" s="347">
        <v>63053300</v>
      </c>
      <c r="AJ605" s="347" t="s">
        <v>60</v>
      </c>
      <c r="AK605" s="347">
        <v>1</v>
      </c>
      <c r="AL605" s="347">
        <v>0</v>
      </c>
      <c r="AM605" s="347" t="s">
        <v>1940</v>
      </c>
    </row>
    <row r="606" spans="7:39">
      <c r="G606" s="347"/>
      <c r="H606" s="10" t="s">
        <v>3306</v>
      </c>
      <c r="I606" s="347" t="s">
        <v>87</v>
      </c>
      <c r="J606" s="347" t="s">
        <v>91</v>
      </c>
      <c r="K606" s="347" t="s">
        <v>3318</v>
      </c>
      <c r="L606" s="347" t="s">
        <v>98</v>
      </c>
      <c r="M606" s="347" t="s">
        <v>3319</v>
      </c>
      <c r="N606" s="347" t="s">
        <v>3306</v>
      </c>
      <c r="O606" s="347" t="s">
        <v>13</v>
      </c>
      <c r="P606" s="347" t="s">
        <v>62</v>
      </c>
      <c r="Q606" s="347" t="s">
        <v>63</v>
      </c>
      <c r="R606" s="347" t="s">
        <v>64</v>
      </c>
      <c r="S606" s="347" t="s">
        <v>19</v>
      </c>
      <c r="T606" s="350">
        <v>8039</v>
      </c>
      <c r="U606" s="350">
        <v>1161555.1100000001</v>
      </c>
      <c r="V606" s="347" t="s">
        <v>19</v>
      </c>
      <c r="W606" s="347">
        <v>0</v>
      </c>
      <c r="X606" s="347">
        <v>9</v>
      </c>
      <c r="Y606" s="347">
        <v>104539.96</v>
      </c>
      <c r="Z606" s="347">
        <v>9</v>
      </c>
      <c r="AA606" s="347">
        <v>104539.96</v>
      </c>
      <c r="AB606" s="347">
        <v>0</v>
      </c>
      <c r="AC606" s="347">
        <v>0</v>
      </c>
      <c r="AD606" s="347">
        <v>0</v>
      </c>
      <c r="AE606" s="347">
        <v>209079.92</v>
      </c>
      <c r="AF606" s="347">
        <v>0</v>
      </c>
      <c r="AG606" s="347" t="s">
        <v>65</v>
      </c>
      <c r="AH606" s="347" t="s">
        <v>11</v>
      </c>
      <c r="AI606" s="347">
        <v>39269080</v>
      </c>
      <c r="AJ606" s="347" t="s">
        <v>60</v>
      </c>
      <c r="AK606" s="347">
        <v>1</v>
      </c>
      <c r="AL606" s="347">
        <v>0</v>
      </c>
      <c r="AM606" s="347" t="s">
        <v>1940</v>
      </c>
    </row>
    <row r="607" spans="7:39">
      <c r="G607" s="347"/>
      <c r="H607" s="10" t="s">
        <v>3306</v>
      </c>
      <c r="I607" s="347" t="s">
        <v>87</v>
      </c>
      <c r="J607" s="347" t="s">
        <v>91</v>
      </c>
      <c r="K607" s="347" t="s">
        <v>3318</v>
      </c>
      <c r="L607" s="347" t="s">
        <v>98</v>
      </c>
      <c r="M607" s="347" t="s">
        <v>3319</v>
      </c>
      <c r="N607" s="347" t="s">
        <v>3306</v>
      </c>
      <c r="O607" s="347" t="s">
        <v>13</v>
      </c>
      <c r="P607" s="347" t="s">
        <v>62</v>
      </c>
      <c r="Q607" s="347" t="s">
        <v>63</v>
      </c>
      <c r="R607" s="347" t="s">
        <v>64</v>
      </c>
      <c r="S607" s="347" t="s">
        <v>19</v>
      </c>
      <c r="T607" s="350">
        <v>1325</v>
      </c>
      <c r="U607" s="347">
        <v>194099.25</v>
      </c>
      <c r="V607" s="347" t="s">
        <v>19</v>
      </c>
      <c r="W607" s="347">
        <v>0</v>
      </c>
      <c r="X607" s="347">
        <v>9</v>
      </c>
      <c r="Y607" s="347">
        <v>17468.93</v>
      </c>
      <c r="Z607" s="347">
        <v>9</v>
      </c>
      <c r="AA607" s="347">
        <v>17468.93</v>
      </c>
      <c r="AB607" s="347">
        <v>0</v>
      </c>
      <c r="AC607" s="347">
        <v>0</v>
      </c>
      <c r="AD607" s="347">
        <v>0</v>
      </c>
      <c r="AE607" s="347">
        <v>34937.86</v>
      </c>
      <c r="AF607" s="347">
        <v>0</v>
      </c>
      <c r="AG607" s="347" t="s">
        <v>65</v>
      </c>
      <c r="AH607" s="347" t="s">
        <v>11</v>
      </c>
      <c r="AI607" s="347">
        <v>39269080</v>
      </c>
      <c r="AJ607" s="347" t="s">
        <v>60</v>
      </c>
      <c r="AK607" s="347">
        <v>1</v>
      </c>
      <c r="AL607" s="347">
        <v>0</v>
      </c>
      <c r="AM607" s="347" t="s">
        <v>1940</v>
      </c>
    </row>
    <row r="608" spans="7:39">
      <c r="G608" s="347"/>
      <c r="H608" s="10" t="s">
        <v>3306</v>
      </c>
      <c r="I608" s="347" t="s">
        <v>116</v>
      </c>
      <c r="J608" s="347" t="s">
        <v>96</v>
      </c>
      <c r="K608" s="347" t="s">
        <v>3320</v>
      </c>
      <c r="L608" s="347" t="s">
        <v>97</v>
      </c>
      <c r="M608" s="347" t="s">
        <v>3321</v>
      </c>
      <c r="N608" s="347" t="s">
        <v>3167</v>
      </c>
      <c r="O608" s="347" t="s">
        <v>5</v>
      </c>
      <c r="P608" s="347" t="s">
        <v>111</v>
      </c>
      <c r="Q608" s="347" t="s">
        <v>68</v>
      </c>
      <c r="R608" s="347" t="s">
        <v>69</v>
      </c>
      <c r="S608" s="347" t="s">
        <v>3322</v>
      </c>
      <c r="T608" s="347">
        <v>20</v>
      </c>
      <c r="U608" s="350">
        <v>1400</v>
      </c>
      <c r="V608" s="347" t="s">
        <v>3322</v>
      </c>
      <c r="W608" s="347">
        <v>24124.7</v>
      </c>
      <c r="X608" s="347">
        <v>9</v>
      </c>
      <c r="Y608" s="347">
        <v>126</v>
      </c>
      <c r="Z608" s="347">
        <v>9</v>
      </c>
      <c r="AA608" s="347">
        <v>126</v>
      </c>
      <c r="AB608" s="347">
        <v>0</v>
      </c>
      <c r="AC608" s="347">
        <v>0</v>
      </c>
      <c r="AD608" s="347">
        <v>0</v>
      </c>
      <c r="AE608" s="347">
        <v>252</v>
      </c>
      <c r="AF608" s="347">
        <v>0</v>
      </c>
      <c r="AG608" s="347" t="s">
        <v>2116</v>
      </c>
      <c r="AH608" s="347" t="s">
        <v>1</v>
      </c>
      <c r="AI608" s="347">
        <v>96032900</v>
      </c>
      <c r="AJ608" s="347" t="s">
        <v>60</v>
      </c>
      <c r="AK608" s="347">
        <v>1</v>
      </c>
      <c r="AL608" s="347">
        <v>0</v>
      </c>
      <c r="AM608" s="347" t="s">
        <v>1940</v>
      </c>
    </row>
    <row r="609" spans="7:39">
      <c r="G609" s="347"/>
      <c r="H609" s="10" t="s">
        <v>3306</v>
      </c>
      <c r="I609" s="347" t="s">
        <v>116</v>
      </c>
      <c r="J609" s="347" t="s">
        <v>96</v>
      </c>
      <c r="K609" s="347" t="s">
        <v>3320</v>
      </c>
      <c r="L609" s="347" t="s">
        <v>97</v>
      </c>
      <c r="M609" s="347" t="s">
        <v>3321</v>
      </c>
      <c r="N609" s="347" t="s">
        <v>3167</v>
      </c>
      <c r="O609" s="347" t="s">
        <v>2593</v>
      </c>
      <c r="P609" s="347" t="s">
        <v>2594</v>
      </c>
      <c r="Q609" s="347" t="s">
        <v>68</v>
      </c>
      <c r="R609" s="347" t="s">
        <v>69</v>
      </c>
      <c r="S609" s="347" t="s">
        <v>3323</v>
      </c>
      <c r="T609" s="350">
        <v>200</v>
      </c>
      <c r="U609" s="347">
        <v>640</v>
      </c>
      <c r="V609" s="347" t="s">
        <v>3323</v>
      </c>
      <c r="W609" s="347">
        <v>0</v>
      </c>
      <c r="X609" s="347">
        <v>9</v>
      </c>
      <c r="Y609" s="347">
        <v>57.6</v>
      </c>
      <c r="Z609" s="347">
        <v>9</v>
      </c>
      <c r="AA609" s="347">
        <v>57.6</v>
      </c>
      <c r="AB609" s="347">
        <v>0</v>
      </c>
      <c r="AC609" s="347">
        <v>0</v>
      </c>
      <c r="AD609" s="347">
        <v>0</v>
      </c>
      <c r="AE609" s="347">
        <v>115.2</v>
      </c>
      <c r="AF609" s="347">
        <v>0</v>
      </c>
      <c r="AG609" s="347" t="s">
        <v>2116</v>
      </c>
      <c r="AH609" s="347" t="s">
        <v>1</v>
      </c>
      <c r="AI609" s="347">
        <v>84522100</v>
      </c>
      <c r="AJ609" s="347" t="s">
        <v>60</v>
      </c>
      <c r="AK609" s="347">
        <v>1</v>
      </c>
      <c r="AL609" s="347">
        <v>0</v>
      </c>
      <c r="AM609" s="347" t="s">
        <v>1940</v>
      </c>
    </row>
    <row r="610" spans="7:39">
      <c r="G610" s="347"/>
      <c r="H610" s="10" t="s">
        <v>3306</v>
      </c>
      <c r="I610" s="347" t="s">
        <v>116</v>
      </c>
      <c r="J610" s="347" t="s">
        <v>96</v>
      </c>
      <c r="K610" s="347" t="s">
        <v>3320</v>
      </c>
      <c r="L610" s="347" t="s">
        <v>97</v>
      </c>
      <c r="M610" s="347" t="s">
        <v>3321</v>
      </c>
      <c r="N610" s="347" t="s">
        <v>3167</v>
      </c>
      <c r="O610" s="347" t="s">
        <v>5</v>
      </c>
      <c r="P610" s="347" t="s">
        <v>3324</v>
      </c>
      <c r="Q610" s="347" t="s">
        <v>68</v>
      </c>
      <c r="R610" s="347" t="s">
        <v>69</v>
      </c>
      <c r="S610" s="347" t="s">
        <v>3325</v>
      </c>
      <c r="T610" s="347">
        <v>20</v>
      </c>
      <c r="U610" s="350">
        <v>500</v>
      </c>
      <c r="V610" s="347" t="s">
        <v>3325</v>
      </c>
      <c r="W610" s="347">
        <v>0</v>
      </c>
      <c r="X610" s="347">
        <v>9</v>
      </c>
      <c r="Y610" s="347">
        <v>45</v>
      </c>
      <c r="Z610" s="347">
        <v>9</v>
      </c>
      <c r="AA610" s="347">
        <v>45</v>
      </c>
      <c r="AB610" s="347">
        <v>0</v>
      </c>
      <c r="AC610" s="347">
        <v>0</v>
      </c>
      <c r="AD610" s="347">
        <v>0</v>
      </c>
      <c r="AE610" s="347">
        <v>90</v>
      </c>
      <c r="AF610" s="347">
        <v>0</v>
      </c>
      <c r="AG610" s="347" t="s">
        <v>2116</v>
      </c>
      <c r="AH610" s="347" t="s">
        <v>1</v>
      </c>
      <c r="AI610" s="347">
        <v>96031000</v>
      </c>
      <c r="AJ610" s="347" t="s">
        <v>60</v>
      </c>
      <c r="AK610" s="347">
        <v>1</v>
      </c>
      <c r="AL610" s="347">
        <v>0</v>
      </c>
      <c r="AM610" s="347" t="s">
        <v>1940</v>
      </c>
    </row>
    <row r="611" spans="7:39">
      <c r="G611" s="347"/>
      <c r="H611" s="10" t="s">
        <v>3306</v>
      </c>
      <c r="I611" s="347" t="s">
        <v>116</v>
      </c>
      <c r="J611" s="347" t="s">
        <v>96</v>
      </c>
      <c r="K611" s="347" t="s">
        <v>3320</v>
      </c>
      <c r="L611" s="347" t="s">
        <v>97</v>
      </c>
      <c r="M611" s="347" t="s">
        <v>3321</v>
      </c>
      <c r="N611" s="347" t="s">
        <v>3167</v>
      </c>
      <c r="O611" s="347" t="s">
        <v>5</v>
      </c>
      <c r="P611" s="347" t="s">
        <v>111</v>
      </c>
      <c r="Q611" s="347" t="s">
        <v>68</v>
      </c>
      <c r="R611" s="347" t="s">
        <v>69</v>
      </c>
      <c r="S611" s="347" t="s">
        <v>3326</v>
      </c>
      <c r="T611" s="350">
        <v>50</v>
      </c>
      <c r="U611" s="350">
        <v>2100</v>
      </c>
      <c r="V611" s="347" t="s">
        <v>3326</v>
      </c>
      <c r="W611" s="347">
        <v>0</v>
      </c>
      <c r="X611" s="347">
        <v>0</v>
      </c>
      <c r="Y611" s="347">
        <v>0</v>
      </c>
      <c r="Z611" s="347">
        <v>0</v>
      </c>
      <c r="AA611" s="347">
        <v>0</v>
      </c>
      <c r="AB611" s="347">
        <v>0</v>
      </c>
      <c r="AC611" s="347">
        <v>0</v>
      </c>
      <c r="AD611" s="347">
        <v>0</v>
      </c>
      <c r="AE611" s="347">
        <v>0</v>
      </c>
      <c r="AF611" s="347">
        <v>0</v>
      </c>
      <c r="AG611" s="347" t="s">
        <v>2116</v>
      </c>
      <c r="AH611" s="347" t="s">
        <v>1</v>
      </c>
      <c r="AI611" s="347">
        <v>96031000</v>
      </c>
      <c r="AJ611" s="347" t="s">
        <v>60</v>
      </c>
      <c r="AK611" s="347">
        <v>1</v>
      </c>
      <c r="AL611" s="347">
        <v>0</v>
      </c>
      <c r="AM611" s="347" t="s">
        <v>1940</v>
      </c>
    </row>
    <row r="612" spans="7:39">
      <c r="G612" s="347"/>
      <c r="H612" s="10" t="s">
        <v>3306</v>
      </c>
      <c r="I612" s="347" t="s">
        <v>116</v>
      </c>
      <c r="J612" s="347" t="s">
        <v>96</v>
      </c>
      <c r="K612" s="347" t="s">
        <v>3320</v>
      </c>
      <c r="L612" s="347" t="s">
        <v>97</v>
      </c>
      <c r="M612" s="347" t="s">
        <v>3321</v>
      </c>
      <c r="N612" s="347" t="s">
        <v>3167</v>
      </c>
      <c r="O612" s="347" t="s">
        <v>2593</v>
      </c>
      <c r="P612" s="347" t="s">
        <v>2594</v>
      </c>
      <c r="Q612" s="347" t="s">
        <v>68</v>
      </c>
      <c r="R612" s="347" t="s">
        <v>69</v>
      </c>
      <c r="S612" s="347" t="s">
        <v>3327</v>
      </c>
      <c r="T612" s="347">
        <v>30</v>
      </c>
      <c r="U612" s="350">
        <v>1260</v>
      </c>
      <c r="V612" s="347" t="s">
        <v>3327</v>
      </c>
      <c r="W612" s="347">
        <v>0</v>
      </c>
      <c r="X612" s="347">
        <v>9</v>
      </c>
      <c r="Y612" s="347">
        <v>113.4</v>
      </c>
      <c r="Z612" s="347">
        <v>9</v>
      </c>
      <c r="AA612" s="347">
        <v>113.4</v>
      </c>
      <c r="AB612" s="347">
        <v>0</v>
      </c>
      <c r="AC612" s="347">
        <v>0</v>
      </c>
      <c r="AD612" s="347">
        <v>0</v>
      </c>
      <c r="AE612" s="347">
        <v>226.8</v>
      </c>
      <c r="AF612" s="347">
        <v>0</v>
      </c>
      <c r="AG612" s="347" t="s">
        <v>2116</v>
      </c>
      <c r="AH612" s="347" t="s">
        <v>1</v>
      </c>
      <c r="AI612" s="347">
        <v>48196000</v>
      </c>
      <c r="AJ612" s="347" t="s">
        <v>60</v>
      </c>
      <c r="AK612" s="347">
        <v>1</v>
      </c>
      <c r="AL612" s="347">
        <v>0</v>
      </c>
      <c r="AM612" s="347" t="s">
        <v>1940</v>
      </c>
    </row>
    <row r="613" spans="7:39">
      <c r="G613" s="347"/>
      <c r="H613" s="10" t="s">
        <v>3306</v>
      </c>
      <c r="I613" s="347" t="s">
        <v>116</v>
      </c>
      <c r="J613" s="347" t="s">
        <v>96</v>
      </c>
      <c r="K613" s="347" t="s">
        <v>3320</v>
      </c>
      <c r="L613" s="347" t="s">
        <v>97</v>
      </c>
      <c r="M613" s="347" t="s">
        <v>3321</v>
      </c>
      <c r="N613" s="347" t="s">
        <v>3167</v>
      </c>
      <c r="O613" s="347" t="s">
        <v>2593</v>
      </c>
      <c r="P613" s="347" t="s">
        <v>2594</v>
      </c>
      <c r="Q613" s="347" t="s">
        <v>68</v>
      </c>
      <c r="R613" s="347" t="s">
        <v>69</v>
      </c>
      <c r="S613" s="347" t="s">
        <v>3328</v>
      </c>
      <c r="T613" s="350">
        <v>10</v>
      </c>
      <c r="U613" s="347">
        <v>700</v>
      </c>
      <c r="V613" s="347" t="s">
        <v>3328</v>
      </c>
      <c r="W613" s="347">
        <v>0</v>
      </c>
      <c r="X613" s="347">
        <v>9</v>
      </c>
      <c r="Y613" s="347">
        <v>63</v>
      </c>
      <c r="Z613" s="347">
        <v>9</v>
      </c>
      <c r="AA613" s="347">
        <v>63</v>
      </c>
      <c r="AB613" s="347">
        <v>0</v>
      </c>
      <c r="AC613" s="347">
        <v>0</v>
      </c>
      <c r="AD613" s="347">
        <v>0</v>
      </c>
      <c r="AE613" s="347">
        <v>126</v>
      </c>
      <c r="AF613" s="347">
        <v>0</v>
      </c>
      <c r="AG613" s="347" t="s">
        <v>2116</v>
      </c>
      <c r="AH613" s="347" t="s">
        <v>7</v>
      </c>
      <c r="AI613" s="347">
        <v>482090</v>
      </c>
      <c r="AJ613" s="347" t="s">
        <v>60</v>
      </c>
      <c r="AK613" s="347">
        <v>1</v>
      </c>
      <c r="AL613" s="347">
        <v>0</v>
      </c>
      <c r="AM613" s="347" t="s">
        <v>1940</v>
      </c>
    </row>
    <row r="614" spans="7:39">
      <c r="G614" s="347"/>
      <c r="H614" s="10" t="s">
        <v>3306</v>
      </c>
      <c r="I614" s="347" t="s">
        <v>116</v>
      </c>
      <c r="J614" s="347" t="s">
        <v>96</v>
      </c>
      <c r="K614" s="347" t="s">
        <v>3320</v>
      </c>
      <c r="L614" s="347" t="s">
        <v>97</v>
      </c>
      <c r="M614" s="347" t="s">
        <v>3321</v>
      </c>
      <c r="N614" s="347" t="s">
        <v>3167</v>
      </c>
      <c r="O614" s="347" t="s">
        <v>2593</v>
      </c>
      <c r="P614" s="347" t="s">
        <v>2594</v>
      </c>
      <c r="Q614" s="347" t="s">
        <v>68</v>
      </c>
      <c r="R614" s="347" t="s">
        <v>69</v>
      </c>
      <c r="S614" s="347" t="s">
        <v>3329</v>
      </c>
      <c r="T614" s="347">
        <v>20</v>
      </c>
      <c r="U614" s="350">
        <v>190</v>
      </c>
      <c r="V614" s="347" t="s">
        <v>3329</v>
      </c>
      <c r="W614" s="347">
        <v>0</v>
      </c>
      <c r="X614" s="347">
        <v>9</v>
      </c>
      <c r="Y614" s="347">
        <v>17.100000000000001</v>
      </c>
      <c r="Z614" s="347">
        <v>9</v>
      </c>
      <c r="AA614" s="347">
        <v>17.100000000000001</v>
      </c>
      <c r="AB614" s="347">
        <v>0</v>
      </c>
      <c r="AC614" s="347">
        <v>0</v>
      </c>
      <c r="AD614" s="347">
        <v>0</v>
      </c>
      <c r="AE614" s="347">
        <v>34.200000000000003</v>
      </c>
      <c r="AF614" s="347">
        <v>0</v>
      </c>
      <c r="AG614" s="347" t="s">
        <v>2116</v>
      </c>
      <c r="AH614" s="347" t="s">
        <v>7</v>
      </c>
      <c r="AI614" s="347">
        <v>48203000</v>
      </c>
      <c r="AJ614" s="347" t="s">
        <v>60</v>
      </c>
      <c r="AK614" s="347">
        <v>1</v>
      </c>
      <c r="AL614" s="347">
        <v>0</v>
      </c>
      <c r="AM614" s="347" t="s">
        <v>1940</v>
      </c>
    </row>
    <row r="615" spans="7:39">
      <c r="G615" s="347"/>
      <c r="H615" s="10" t="s">
        <v>3306</v>
      </c>
      <c r="I615" s="347" t="s">
        <v>116</v>
      </c>
      <c r="J615" s="347" t="s">
        <v>96</v>
      </c>
      <c r="K615" s="347" t="s">
        <v>3320</v>
      </c>
      <c r="L615" s="347" t="s">
        <v>97</v>
      </c>
      <c r="M615" s="347" t="s">
        <v>3321</v>
      </c>
      <c r="N615" s="347" t="s">
        <v>3167</v>
      </c>
      <c r="O615" s="347" t="s">
        <v>2593</v>
      </c>
      <c r="P615" s="347" t="s">
        <v>2594</v>
      </c>
      <c r="Q615" s="347" t="s">
        <v>68</v>
      </c>
      <c r="R615" s="347" t="s">
        <v>69</v>
      </c>
      <c r="S615" s="347" t="s">
        <v>3330</v>
      </c>
      <c r="T615" s="350">
        <v>30</v>
      </c>
      <c r="U615" s="350">
        <v>6000</v>
      </c>
      <c r="V615" s="347" t="s">
        <v>3330</v>
      </c>
      <c r="W615" s="347">
        <v>0</v>
      </c>
      <c r="X615" s="347">
        <v>9</v>
      </c>
      <c r="Y615" s="347">
        <v>540</v>
      </c>
      <c r="Z615" s="347">
        <v>9</v>
      </c>
      <c r="AA615" s="347">
        <v>540</v>
      </c>
      <c r="AB615" s="347">
        <v>0</v>
      </c>
      <c r="AC615" s="347">
        <v>0</v>
      </c>
      <c r="AD615" s="347">
        <v>0</v>
      </c>
      <c r="AE615" s="347">
        <v>1080</v>
      </c>
      <c r="AF615" s="347">
        <v>0</v>
      </c>
      <c r="AG615" s="347" t="s">
        <v>2116</v>
      </c>
      <c r="AH615" s="347" t="s">
        <v>3331</v>
      </c>
      <c r="AI615" s="347">
        <v>480256</v>
      </c>
      <c r="AJ615" s="347" t="s">
        <v>60</v>
      </c>
      <c r="AK615" s="347">
        <v>1</v>
      </c>
      <c r="AL615" s="347">
        <v>0</v>
      </c>
      <c r="AM615" s="347" t="s">
        <v>1940</v>
      </c>
    </row>
    <row r="616" spans="7:39">
      <c r="G616" s="347"/>
      <c r="H616" s="10" t="s">
        <v>3306</v>
      </c>
      <c r="I616" s="347" t="s">
        <v>116</v>
      </c>
      <c r="J616" s="347" t="s">
        <v>96</v>
      </c>
      <c r="K616" s="347" t="s">
        <v>3320</v>
      </c>
      <c r="L616" s="347" t="s">
        <v>97</v>
      </c>
      <c r="M616" s="347" t="s">
        <v>3321</v>
      </c>
      <c r="N616" s="347" t="s">
        <v>3167</v>
      </c>
      <c r="O616" s="347" t="s">
        <v>2593</v>
      </c>
      <c r="P616" s="347" t="s">
        <v>2594</v>
      </c>
      <c r="Q616" s="347" t="s">
        <v>68</v>
      </c>
      <c r="R616" s="347" t="s">
        <v>69</v>
      </c>
      <c r="S616" s="347" t="s">
        <v>3332</v>
      </c>
      <c r="T616" s="347">
        <v>10</v>
      </c>
      <c r="U616" s="347">
        <v>900</v>
      </c>
      <c r="V616" s="347" t="s">
        <v>3332</v>
      </c>
      <c r="W616" s="347">
        <v>0</v>
      </c>
      <c r="X616" s="347">
        <v>9</v>
      </c>
      <c r="Y616" s="347">
        <v>81</v>
      </c>
      <c r="Z616" s="347">
        <v>9</v>
      </c>
      <c r="AA616" s="347">
        <v>81</v>
      </c>
      <c r="AB616" s="347">
        <v>0</v>
      </c>
      <c r="AC616" s="347">
        <v>0</v>
      </c>
      <c r="AD616" s="347">
        <v>0</v>
      </c>
      <c r="AE616" s="347">
        <v>162</v>
      </c>
      <c r="AF616" s="347">
        <v>0</v>
      </c>
      <c r="AG616" s="347" t="s">
        <v>2116</v>
      </c>
      <c r="AH616" s="347" t="s">
        <v>1</v>
      </c>
      <c r="AI616" s="347">
        <v>96161010</v>
      </c>
      <c r="AJ616" s="347" t="s">
        <v>60</v>
      </c>
      <c r="AK616" s="347">
        <v>1</v>
      </c>
      <c r="AL616" s="347">
        <v>0</v>
      </c>
      <c r="AM616" s="347" t="s">
        <v>1940</v>
      </c>
    </row>
    <row r="617" spans="7:39">
      <c r="G617" s="347"/>
      <c r="H617" s="10" t="s">
        <v>3306</v>
      </c>
      <c r="I617" s="347" t="s">
        <v>116</v>
      </c>
      <c r="J617" s="347" t="s">
        <v>96</v>
      </c>
      <c r="K617" s="347" t="s">
        <v>3320</v>
      </c>
      <c r="L617" s="347" t="s">
        <v>97</v>
      </c>
      <c r="M617" s="347" t="s">
        <v>3321</v>
      </c>
      <c r="N617" s="347" t="s">
        <v>3167</v>
      </c>
      <c r="O617" s="347" t="s">
        <v>5</v>
      </c>
      <c r="P617" s="347" t="s">
        <v>3324</v>
      </c>
      <c r="Q617" s="347" t="s">
        <v>68</v>
      </c>
      <c r="R617" s="347" t="s">
        <v>69</v>
      </c>
      <c r="S617" s="347" t="s">
        <v>3333</v>
      </c>
      <c r="T617" s="347">
        <v>50</v>
      </c>
      <c r="U617" s="350">
        <v>850</v>
      </c>
      <c r="V617" s="347" t="s">
        <v>3333</v>
      </c>
      <c r="W617" s="347">
        <v>0</v>
      </c>
      <c r="X617" s="347">
        <v>9</v>
      </c>
      <c r="Y617" s="347">
        <v>76.5</v>
      </c>
      <c r="Z617" s="347">
        <v>9</v>
      </c>
      <c r="AA617" s="347">
        <v>76.5</v>
      </c>
      <c r="AB617" s="347">
        <v>0</v>
      </c>
      <c r="AC617" s="347">
        <v>0</v>
      </c>
      <c r="AD617" s="347">
        <v>0</v>
      </c>
      <c r="AE617" s="347">
        <v>153</v>
      </c>
      <c r="AF617" s="347">
        <v>0</v>
      </c>
      <c r="AG617" s="347" t="s">
        <v>2116</v>
      </c>
      <c r="AH617" s="347" t="s">
        <v>6</v>
      </c>
      <c r="AI617" s="347">
        <v>340290</v>
      </c>
      <c r="AJ617" s="347" t="s">
        <v>60</v>
      </c>
      <c r="AK617" s="347">
        <v>1</v>
      </c>
      <c r="AL617" s="347">
        <v>0</v>
      </c>
      <c r="AM617" s="347" t="s">
        <v>1940</v>
      </c>
    </row>
    <row r="618" spans="7:39">
      <c r="G618" s="347"/>
      <c r="H618" s="10" t="s">
        <v>3306</v>
      </c>
      <c r="I618" s="347" t="s">
        <v>116</v>
      </c>
      <c r="J618" s="347" t="s">
        <v>96</v>
      </c>
      <c r="K618" s="347" t="s">
        <v>3320</v>
      </c>
      <c r="L618" s="347" t="s">
        <v>97</v>
      </c>
      <c r="M618" s="347" t="s">
        <v>3321</v>
      </c>
      <c r="N618" s="347" t="s">
        <v>3167</v>
      </c>
      <c r="O618" s="347" t="s">
        <v>2593</v>
      </c>
      <c r="P618" s="347" t="s">
        <v>2594</v>
      </c>
      <c r="Q618" s="347" t="s">
        <v>68</v>
      </c>
      <c r="R618" s="347" t="s">
        <v>69</v>
      </c>
      <c r="S618" s="347" t="s">
        <v>2595</v>
      </c>
      <c r="T618" s="347">
        <v>600</v>
      </c>
      <c r="U618" s="350">
        <v>5700</v>
      </c>
      <c r="V618" s="347" t="s">
        <v>2595</v>
      </c>
      <c r="W618" s="347">
        <v>0</v>
      </c>
      <c r="X618" s="347">
        <v>9</v>
      </c>
      <c r="Y618" s="347">
        <v>513</v>
      </c>
      <c r="Z618" s="347">
        <v>9</v>
      </c>
      <c r="AA618" s="347">
        <v>513</v>
      </c>
      <c r="AB618" s="347">
        <v>0</v>
      </c>
      <c r="AC618" s="347">
        <v>0</v>
      </c>
      <c r="AD618" s="347">
        <v>0</v>
      </c>
      <c r="AE618" s="347">
        <v>1026</v>
      </c>
      <c r="AF618" s="347">
        <v>0</v>
      </c>
      <c r="AG618" s="347" t="s">
        <v>2116</v>
      </c>
      <c r="AH618" s="347" t="s">
        <v>1</v>
      </c>
      <c r="AI618" s="347">
        <v>96082000</v>
      </c>
      <c r="AJ618" s="347" t="s">
        <v>60</v>
      </c>
      <c r="AK618" s="347">
        <v>1</v>
      </c>
      <c r="AL618" s="347">
        <v>0</v>
      </c>
      <c r="AM618" s="347" t="s">
        <v>1940</v>
      </c>
    </row>
    <row r="619" spans="7:39">
      <c r="G619" s="347"/>
      <c r="H619" s="10" t="s">
        <v>3306</v>
      </c>
      <c r="I619" s="347" t="s">
        <v>116</v>
      </c>
      <c r="J619" s="347" t="s">
        <v>96</v>
      </c>
      <c r="K619" s="347" t="s">
        <v>3320</v>
      </c>
      <c r="L619" s="347" t="s">
        <v>97</v>
      </c>
      <c r="M619" s="347" t="s">
        <v>3321</v>
      </c>
      <c r="N619" s="347" t="s">
        <v>3167</v>
      </c>
      <c r="O619" s="347" t="s">
        <v>2593</v>
      </c>
      <c r="P619" s="347" t="s">
        <v>2594</v>
      </c>
      <c r="Q619" s="347" t="s">
        <v>68</v>
      </c>
      <c r="R619" s="347" t="s">
        <v>69</v>
      </c>
      <c r="S619" s="347" t="s">
        <v>3334</v>
      </c>
      <c r="T619" s="350">
        <v>5</v>
      </c>
      <c r="U619" s="347">
        <v>150</v>
      </c>
      <c r="V619" s="347" t="s">
        <v>3334</v>
      </c>
      <c r="W619" s="347">
        <v>0</v>
      </c>
      <c r="X619" s="347">
        <v>9</v>
      </c>
      <c r="Y619" s="347">
        <v>13.5</v>
      </c>
      <c r="Z619" s="347">
        <v>9</v>
      </c>
      <c r="AA619" s="347">
        <v>13.5</v>
      </c>
      <c r="AB619" s="347">
        <v>0</v>
      </c>
      <c r="AC619" s="347">
        <v>0</v>
      </c>
      <c r="AD619" s="347">
        <v>0</v>
      </c>
      <c r="AE619" s="347">
        <v>27</v>
      </c>
      <c r="AF619" s="347">
        <v>0</v>
      </c>
      <c r="AG619" s="347" t="s">
        <v>2116</v>
      </c>
      <c r="AH619" s="347" t="s">
        <v>7</v>
      </c>
      <c r="AI619" s="347">
        <v>853600</v>
      </c>
      <c r="AJ619" s="347" t="s">
        <v>60</v>
      </c>
      <c r="AK619" s="347">
        <v>1</v>
      </c>
      <c r="AL619" s="347">
        <v>0</v>
      </c>
      <c r="AM619" s="347" t="s">
        <v>1940</v>
      </c>
    </row>
    <row r="620" spans="7:39">
      <c r="G620" s="347"/>
      <c r="H620" s="10" t="s">
        <v>3306</v>
      </c>
      <c r="I620" s="347" t="s">
        <v>116</v>
      </c>
      <c r="J620" s="347" t="s">
        <v>96</v>
      </c>
      <c r="K620" s="347" t="s">
        <v>3320</v>
      </c>
      <c r="L620" s="347" t="s">
        <v>97</v>
      </c>
      <c r="M620" s="347" t="s">
        <v>3321</v>
      </c>
      <c r="N620" s="347" t="s">
        <v>3167</v>
      </c>
      <c r="O620" s="347" t="s">
        <v>2</v>
      </c>
      <c r="P620" s="347" t="s">
        <v>3335</v>
      </c>
      <c r="Q620" s="347" t="s">
        <v>68</v>
      </c>
      <c r="R620" s="347" t="s">
        <v>69</v>
      </c>
      <c r="S620" s="347" t="s">
        <v>3336</v>
      </c>
      <c r="T620" s="347">
        <v>15</v>
      </c>
      <c r="U620" s="347">
        <v>375</v>
      </c>
      <c r="V620" s="347" t="s">
        <v>3336</v>
      </c>
      <c r="W620" s="347">
        <v>0</v>
      </c>
      <c r="X620" s="347">
        <v>9</v>
      </c>
      <c r="Y620" s="347">
        <v>33.75</v>
      </c>
      <c r="Z620" s="347">
        <v>9</v>
      </c>
      <c r="AA620" s="347">
        <v>33.75</v>
      </c>
      <c r="AB620" s="347">
        <v>0</v>
      </c>
      <c r="AC620" s="347">
        <v>0</v>
      </c>
      <c r="AD620" s="347">
        <v>0</v>
      </c>
      <c r="AE620" s="347">
        <v>67.5</v>
      </c>
      <c r="AF620" s="347">
        <v>0</v>
      </c>
      <c r="AG620" s="347" t="s">
        <v>2116</v>
      </c>
      <c r="AH620" s="347" t="s">
        <v>1</v>
      </c>
      <c r="AI620" s="347">
        <v>39249090</v>
      </c>
      <c r="AJ620" s="347" t="s">
        <v>60</v>
      </c>
      <c r="AK620" s="347">
        <v>1</v>
      </c>
      <c r="AL620" s="347">
        <v>0</v>
      </c>
      <c r="AM620" s="347" t="s">
        <v>1940</v>
      </c>
    </row>
    <row r="621" spans="7:39">
      <c r="G621" s="347"/>
      <c r="H621" s="10" t="s">
        <v>3306</v>
      </c>
      <c r="I621" s="347" t="s">
        <v>116</v>
      </c>
      <c r="J621" s="347" t="s">
        <v>96</v>
      </c>
      <c r="K621" s="347" t="s">
        <v>3337</v>
      </c>
      <c r="L621" s="347" t="s">
        <v>97</v>
      </c>
      <c r="M621" s="347" t="s">
        <v>3338</v>
      </c>
      <c r="N621" s="347" t="s">
        <v>3237</v>
      </c>
      <c r="O621" s="347" t="s">
        <v>2</v>
      </c>
      <c r="P621" s="347" t="s">
        <v>3339</v>
      </c>
      <c r="Q621" s="347" t="s">
        <v>68</v>
      </c>
      <c r="R621" s="347" t="s">
        <v>69</v>
      </c>
      <c r="S621" s="347" t="s">
        <v>3340</v>
      </c>
      <c r="T621" s="347">
        <v>500</v>
      </c>
      <c r="U621" s="350">
        <v>2800</v>
      </c>
      <c r="V621" s="347" t="s">
        <v>3340</v>
      </c>
      <c r="W621" s="347">
        <v>3304</v>
      </c>
      <c r="X621" s="347">
        <v>9</v>
      </c>
      <c r="Y621" s="347">
        <v>252</v>
      </c>
      <c r="Z621" s="347">
        <v>9</v>
      </c>
      <c r="AA621" s="347">
        <v>252</v>
      </c>
      <c r="AB621" s="347">
        <v>0</v>
      </c>
      <c r="AC621" s="347">
        <v>0</v>
      </c>
      <c r="AD621" s="347">
        <v>0</v>
      </c>
      <c r="AE621" s="347">
        <v>504</v>
      </c>
      <c r="AF621" s="347">
        <v>0</v>
      </c>
      <c r="AG621" s="347" t="s">
        <v>2116</v>
      </c>
      <c r="AH621" s="347" t="s">
        <v>7</v>
      </c>
      <c r="AI621" s="347">
        <v>82121010</v>
      </c>
      <c r="AJ621" s="347" t="s">
        <v>60</v>
      </c>
      <c r="AK621" s="347">
        <v>1</v>
      </c>
      <c r="AL621" s="347">
        <v>0</v>
      </c>
      <c r="AM621" s="347" t="s">
        <v>1940</v>
      </c>
    </row>
    <row r="622" spans="7:39">
      <c r="G622" s="347"/>
      <c r="H622" s="10" t="s">
        <v>3341</v>
      </c>
      <c r="I622" s="347" t="s">
        <v>87</v>
      </c>
      <c r="J622" s="347" t="s">
        <v>96</v>
      </c>
      <c r="K622" s="347" t="s">
        <v>3342</v>
      </c>
      <c r="L622" s="347" t="s">
        <v>97</v>
      </c>
      <c r="M622" s="347" t="s">
        <v>3343</v>
      </c>
      <c r="N622" s="347" t="s">
        <v>3341</v>
      </c>
      <c r="O622" s="347" t="s">
        <v>2</v>
      </c>
      <c r="P622" s="347" t="s">
        <v>67</v>
      </c>
      <c r="Q622" s="347" t="s">
        <v>68</v>
      </c>
      <c r="R622" s="347" t="s">
        <v>69</v>
      </c>
      <c r="S622" s="347" t="s">
        <v>70</v>
      </c>
      <c r="T622" s="347">
        <v>265</v>
      </c>
      <c r="U622" s="350">
        <v>12720</v>
      </c>
      <c r="V622" s="347" t="s">
        <v>70</v>
      </c>
      <c r="W622" s="347">
        <v>14996.88</v>
      </c>
      <c r="X622" s="347">
        <v>9</v>
      </c>
      <c r="Y622" s="347">
        <v>1144.8</v>
      </c>
      <c r="Z622" s="347">
        <v>9</v>
      </c>
      <c r="AA622" s="347">
        <v>1144.8</v>
      </c>
      <c r="AB622" s="347">
        <v>0</v>
      </c>
      <c r="AC622" s="347">
        <v>0</v>
      </c>
      <c r="AD622" s="347">
        <v>0</v>
      </c>
      <c r="AE622" s="347">
        <v>2289.6</v>
      </c>
      <c r="AF622" s="347">
        <v>0</v>
      </c>
      <c r="AG622" s="347" t="s">
        <v>65</v>
      </c>
      <c r="AH622" s="347" t="s">
        <v>11</v>
      </c>
      <c r="AI622" s="347">
        <v>73063090</v>
      </c>
      <c r="AJ622" s="347" t="s">
        <v>60</v>
      </c>
      <c r="AK622" s="347">
        <v>1</v>
      </c>
      <c r="AL622" s="347">
        <v>0</v>
      </c>
      <c r="AM622" s="347" t="s">
        <v>1940</v>
      </c>
    </row>
    <row r="623" spans="7:39">
      <c r="G623" s="347"/>
      <c r="H623" s="10" t="s">
        <v>3341</v>
      </c>
      <c r="I623" s="347" t="s">
        <v>87</v>
      </c>
      <c r="J623" s="347" t="s">
        <v>91</v>
      </c>
      <c r="K623" s="347" t="s">
        <v>3344</v>
      </c>
      <c r="L623" s="347" t="s">
        <v>98</v>
      </c>
      <c r="M623" s="347" t="s">
        <v>3345</v>
      </c>
      <c r="N623" s="347" t="s">
        <v>3341</v>
      </c>
      <c r="O623" s="347" t="s">
        <v>13</v>
      </c>
      <c r="P623" s="347" t="s">
        <v>62</v>
      </c>
      <c r="Q623" s="347" t="s">
        <v>63</v>
      </c>
      <c r="R623" s="347" t="s">
        <v>64</v>
      </c>
      <c r="S623" s="347" t="s">
        <v>19</v>
      </c>
      <c r="T623" s="347">
        <v>682</v>
      </c>
      <c r="U623" s="350">
        <v>99906.18</v>
      </c>
      <c r="V623" s="347" t="s">
        <v>19</v>
      </c>
      <c r="W623" s="347">
        <v>266646.31</v>
      </c>
      <c r="X623" s="347">
        <v>9</v>
      </c>
      <c r="Y623" s="347">
        <v>8991.56</v>
      </c>
      <c r="Z623" s="347">
        <v>9</v>
      </c>
      <c r="AA623" s="347">
        <v>8991.56</v>
      </c>
      <c r="AB623" s="347">
        <v>0</v>
      </c>
      <c r="AC623" s="347">
        <v>0</v>
      </c>
      <c r="AD623" s="347">
        <v>0</v>
      </c>
      <c r="AE623" s="347">
        <v>17983.12</v>
      </c>
      <c r="AF623" s="347">
        <v>0</v>
      </c>
      <c r="AG623" s="347" t="s">
        <v>65</v>
      </c>
      <c r="AH623" s="347" t="s">
        <v>11</v>
      </c>
      <c r="AI623" s="347">
        <v>39269080</v>
      </c>
      <c r="AJ623" s="347" t="s">
        <v>60</v>
      </c>
      <c r="AK623" s="347">
        <v>1</v>
      </c>
      <c r="AL623" s="347">
        <v>0</v>
      </c>
      <c r="AM623" s="347" t="s">
        <v>1940</v>
      </c>
    </row>
    <row r="624" spans="7:39">
      <c r="G624" s="347"/>
      <c r="H624" s="10" t="s">
        <v>3341</v>
      </c>
      <c r="I624" s="347" t="s">
        <v>87</v>
      </c>
      <c r="J624" s="347" t="s">
        <v>91</v>
      </c>
      <c r="K624" s="347" t="s">
        <v>3344</v>
      </c>
      <c r="L624" s="347" t="s">
        <v>98</v>
      </c>
      <c r="M624" s="347" t="s">
        <v>3345</v>
      </c>
      <c r="N624" s="347" t="s">
        <v>3341</v>
      </c>
      <c r="O624" s="347" t="s">
        <v>13</v>
      </c>
      <c r="P624" s="347" t="s">
        <v>62</v>
      </c>
      <c r="Q624" s="347" t="s">
        <v>63</v>
      </c>
      <c r="R624" s="347" t="s">
        <v>64</v>
      </c>
      <c r="S624" s="347" t="s">
        <v>19</v>
      </c>
      <c r="T624" s="347">
        <v>510</v>
      </c>
      <c r="U624" s="350">
        <v>73689.899999999994</v>
      </c>
      <c r="V624" s="347" t="s">
        <v>19</v>
      </c>
      <c r="W624" s="347">
        <v>0</v>
      </c>
      <c r="X624" s="347">
        <v>9</v>
      </c>
      <c r="Y624" s="347">
        <v>6632.09</v>
      </c>
      <c r="Z624" s="347">
        <v>9</v>
      </c>
      <c r="AA624" s="347">
        <v>6632.09</v>
      </c>
      <c r="AB624" s="347">
        <v>0</v>
      </c>
      <c r="AC624" s="347">
        <v>0</v>
      </c>
      <c r="AD624" s="347">
        <v>0</v>
      </c>
      <c r="AE624" s="347">
        <v>13264.18</v>
      </c>
      <c r="AF624" s="347">
        <v>0</v>
      </c>
      <c r="AG624" s="347" t="s">
        <v>65</v>
      </c>
      <c r="AH624" s="347" t="s">
        <v>11</v>
      </c>
      <c r="AI624" s="347">
        <v>39269080</v>
      </c>
      <c r="AJ624" s="347" t="s">
        <v>60</v>
      </c>
      <c r="AK624" s="347">
        <v>1</v>
      </c>
      <c r="AL624" s="347">
        <v>0</v>
      </c>
      <c r="AM624" s="347" t="s">
        <v>1940</v>
      </c>
    </row>
    <row r="625" spans="7:39">
      <c r="G625" s="347"/>
      <c r="H625" s="10" t="s">
        <v>3341</v>
      </c>
      <c r="I625" s="347" t="s">
        <v>87</v>
      </c>
      <c r="J625" s="347" t="s">
        <v>91</v>
      </c>
      <c r="K625" s="347" t="s">
        <v>3344</v>
      </c>
      <c r="L625" s="347" t="s">
        <v>98</v>
      </c>
      <c r="M625" s="347" t="s">
        <v>3345</v>
      </c>
      <c r="N625" s="347" t="s">
        <v>3341</v>
      </c>
      <c r="O625" s="347" t="s">
        <v>13</v>
      </c>
      <c r="P625" s="347" t="s">
        <v>62</v>
      </c>
      <c r="Q625" s="347" t="s">
        <v>76</v>
      </c>
      <c r="R625" s="347" t="s">
        <v>77</v>
      </c>
      <c r="S625" s="347" t="s">
        <v>21</v>
      </c>
      <c r="T625" s="350">
        <v>347</v>
      </c>
      <c r="U625" s="350">
        <v>52567.03</v>
      </c>
      <c r="V625" s="347" t="s">
        <v>21</v>
      </c>
      <c r="W625" s="347">
        <v>0</v>
      </c>
      <c r="X625" s="347">
        <v>9</v>
      </c>
      <c r="Y625" s="347">
        <v>4731.03</v>
      </c>
      <c r="Z625" s="347">
        <v>9</v>
      </c>
      <c r="AA625" s="347">
        <v>4731.03</v>
      </c>
      <c r="AB625" s="347">
        <v>0</v>
      </c>
      <c r="AC625" s="347">
        <v>0</v>
      </c>
      <c r="AD625" s="347">
        <v>0</v>
      </c>
      <c r="AE625" s="347">
        <v>9462.06</v>
      </c>
      <c r="AF625" s="347">
        <v>0</v>
      </c>
      <c r="AG625" s="347" t="s">
        <v>65</v>
      </c>
      <c r="AH625" s="347" t="s">
        <v>11</v>
      </c>
      <c r="AI625" s="347">
        <v>63053300</v>
      </c>
      <c r="AJ625" s="347" t="s">
        <v>60</v>
      </c>
      <c r="AK625" s="347">
        <v>1</v>
      </c>
      <c r="AL625" s="347">
        <v>0</v>
      </c>
      <c r="AM625" s="347" t="s">
        <v>1940</v>
      </c>
    </row>
    <row r="626" spans="7:39">
      <c r="G626" s="347"/>
      <c r="H626" s="10" t="s">
        <v>3341</v>
      </c>
      <c r="I626" s="347" t="s">
        <v>87</v>
      </c>
      <c r="J626" s="347" t="s">
        <v>91</v>
      </c>
      <c r="K626" s="347" t="s">
        <v>3346</v>
      </c>
      <c r="L626" s="347" t="s">
        <v>98</v>
      </c>
      <c r="M626" s="347" t="s">
        <v>3347</v>
      </c>
      <c r="N626" s="347" t="s">
        <v>3341</v>
      </c>
      <c r="O626" s="347" t="s">
        <v>13</v>
      </c>
      <c r="P626" s="347" t="s">
        <v>62</v>
      </c>
      <c r="Q626" s="347" t="s">
        <v>63</v>
      </c>
      <c r="R626" s="347" t="s">
        <v>64</v>
      </c>
      <c r="S626" s="347" t="s">
        <v>19</v>
      </c>
      <c r="T626" s="350">
        <v>747</v>
      </c>
      <c r="U626" s="347">
        <v>109428.03</v>
      </c>
      <c r="V626" s="347" t="s">
        <v>19</v>
      </c>
      <c r="W626" s="347">
        <v>1419329.78</v>
      </c>
      <c r="X626" s="347">
        <v>9</v>
      </c>
      <c r="Y626" s="347">
        <v>9848.52</v>
      </c>
      <c r="Z626" s="347">
        <v>9</v>
      </c>
      <c r="AA626" s="347">
        <v>9848.52</v>
      </c>
      <c r="AB626" s="347">
        <v>0</v>
      </c>
      <c r="AC626" s="347">
        <v>0</v>
      </c>
      <c r="AD626" s="347">
        <v>0</v>
      </c>
      <c r="AE626" s="347">
        <v>19697.04</v>
      </c>
      <c r="AF626" s="347">
        <v>0</v>
      </c>
      <c r="AG626" s="347" t="s">
        <v>65</v>
      </c>
      <c r="AH626" s="347" t="s">
        <v>11</v>
      </c>
      <c r="AI626" s="347">
        <v>39269080</v>
      </c>
      <c r="AJ626" s="347" t="s">
        <v>60</v>
      </c>
      <c r="AK626" s="347">
        <v>1</v>
      </c>
      <c r="AL626" s="347">
        <v>0</v>
      </c>
      <c r="AM626" s="347" t="s">
        <v>1940</v>
      </c>
    </row>
    <row r="627" spans="7:39">
      <c r="G627" s="347"/>
      <c r="H627" s="10" t="s">
        <v>3341</v>
      </c>
      <c r="I627" s="347" t="s">
        <v>87</v>
      </c>
      <c r="J627" s="347" t="s">
        <v>91</v>
      </c>
      <c r="K627" s="347" t="s">
        <v>3346</v>
      </c>
      <c r="L627" s="347" t="s">
        <v>98</v>
      </c>
      <c r="M627" s="347" t="s">
        <v>3347</v>
      </c>
      <c r="N627" s="347" t="s">
        <v>3341</v>
      </c>
      <c r="O627" s="347" t="s">
        <v>13</v>
      </c>
      <c r="P627" s="347" t="s">
        <v>62</v>
      </c>
      <c r="Q627" s="347" t="s">
        <v>63</v>
      </c>
      <c r="R627" s="347" t="s">
        <v>64</v>
      </c>
      <c r="S627" s="347" t="s">
        <v>19</v>
      </c>
      <c r="T627" s="350">
        <v>6983</v>
      </c>
      <c r="U627" s="350">
        <v>1008973.67</v>
      </c>
      <c r="V627" s="347" t="s">
        <v>19</v>
      </c>
      <c r="W627" s="347">
        <v>0</v>
      </c>
      <c r="X627" s="347">
        <v>9</v>
      </c>
      <c r="Y627" s="347">
        <v>90807.63</v>
      </c>
      <c r="Z627" s="347">
        <v>9</v>
      </c>
      <c r="AA627" s="347">
        <v>90807.63</v>
      </c>
      <c r="AB627" s="347">
        <v>0</v>
      </c>
      <c r="AC627" s="347">
        <v>0</v>
      </c>
      <c r="AD627" s="347">
        <v>0</v>
      </c>
      <c r="AE627" s="347">
        <v>181615.26</v>
      </c>
      <c r="AF627" s="347">
        <v>0</v>
      </c>
      <c r="AG627" s="347" t="s">
        <v>65</v>
      </c>
      <c r="AH627" s="347" t="s">
        <v>11</v>
      </c>
      <c r="AI627" s="347">
        <v>39269080</v>
      </c>
      <c r="AJ627" s="347" t="s">
        <v>60</v>
      </c>
      <c r="AK627" s="347">
        <v>1</v>
      </c>
      <c r="AL627" s="347">
        <v>0</v>
      </c>
      <c r="AM627" s="347" t="s">
        <v>1940</v>
      </c>
    </row>
    <row r="628" spans="7:39">
      <c r="G628" s="347"/>
      <c r="H628" s="10" t="s">
        <v>3341</v>
      </c>
      <c r="I628" s="347" t="s">
        <v>87</v>
      </c>
      <c r="J628" s="347" t="s">
        <v>91</v>
      </c>
      <c r="K628" s="347" t="s">
        <v>3346</v>
      </c>
      <c r="L628" s="347" t="s">
        <v>98</v>
      </c>
      <c r="M628" s="347" t="s">
        <v>3347</v>
      </c>
      <c r="N628" s="347" t="s">
        <v>3341</v>
      </c>
      <c r="O628" s="347" t="s">
        <v>13</v>
      </c>
      <c r="P628" s="347" t="s">
        <v>62</v>
      </c>
      <c r="Q628" s="347" t="s">
        <v>76</v>
      </c>
      <c r="R628" s="347" t="s">
        <v>77</v>
      </c>
      <c r="S628" s="347" t="s">
        <v>21</v>
      </c>
      <c r="T628" s="350">
        <v>564</v>
      </c>
      <c r="U628" s="350">
        <v>85440.36</v>
      </c>
      <c r="V628" s="347" t="s">
        <v>21</v>
      </c>
      <c r="W628" s="347">
        <v>0</v>
      </c>
      <c r="X628" s="347">
        <v>9</v>
      </c>
      <c r="Y628" s="347">
        <v>7689.63</v>
      </c>
      <c r="Z628" s="347">
        <v>9</v>
      </c>
      <c r="AA628" s="347">
        <v>7689.3</v>
      </c>
      <c r="AB628" s="347">
        <v>0</v>
      </c>
      <c r="AC628" s="347">
        <v>0</v>
      </c>
      <c r="AD628" s="347">
        <v>0</v>
      </c>
      <c r="AE628" s="347">
        <v>15378.93</v>
      </c>
      <c r="AF628" s="347">
        <v>0</v>
      </c>
      <c r="AG628" s="347" t="s">
        <v>65</v>
      </c>
      <c r="AH628" s="347" t="s">
        <v>11</v>
      </c>
      <c r="AI628" s="347">
        <v>63053300</v>
      </c>
      <c r="AJ628" s="347" t="s">
        <v>60</v>
      </c>
      <c r="AK628" s="347">
        <v>1</v>
      </c>
      <c r="AL628" s="347">
        <v>0</v>
      </c>
      <c r="AM628" s="347" t="s">
        <v>1940</v>
      </c>
    </row>
    <row r="629" spans="7:39">
      <c r="G629" s="347"/>
      <c r="H629" s="10" t="s">
        <v>3341</v>
      </c>
      <c r="I629" s="347" t="s">
        <v>87</v>
      </c>
      <c r="J629" s="347" t="s">
        <v>91</v>
      </c>
      <c r="K629" s="347" t="s">
        <v>3348</v>
      </c>
      <c r="L629" s="347" t="s">
        <v>98</v>
      </c>
      <c r="M629" s="347" t="s">
        <v>3349</v>
      </c>
      <c r="N629" s="347" t="s">
        <v>3341</v>
      </c>
      <c r="O629" s="347" t="s">
        <v>15</v>
      </c>
      <c r="P629" s="347" t="s">
        <v>2117</v>
      </c>
      <c r="Q629" s="347" t="s">
        <v>2117</v>
      </c>
      <c r="R629" s="8" t="s">
        <v>2117</v>
      </c>
      <c r="S629" s="347" t="s">
        <v>64</v>
      </c>
      <c r="T629" s="347">
        <v>280</v>
      </c>
      <c r="U629" s="350">
        <v>42417.2</v>
      </c>
      <c r="V629" s="347" t="s">
        <v>2117</v>
      </c>
      <c r="W629" s="347">
        <v>1614125.54</v>
      </c>
      <c r="X629" s="347">
        <v>9</v>
      </c>
      <c r="Y629" s="347">
        <v>3817.55</v>
      </c>
      <c r="Z629" s="347">
        <v>9</v>
      </c>
      <c r="AA629" s="347">
        <v>3817.55</v>
      </c>
      <c r="AB629" s="347">
        <v>0</v>
      </c>
      <c r="AC629" s="347">
        <v>0</v>
      </c>
      <c r="AD629" s="347">
        <v>0</v>
      </c>
      <c r="AE629" s="347">
        <v>7635.1</v>
      </c>
      <c r="AF629" s="347">
        <v>0</v>
      </c>
      <c r="AG629" s="347" t="s">
        <v>65</v>
      </c>
      <c r="AH629" s="347" t="s">
        <v>11</v>
      </c>
      <c r="AI629" s="347">
        <v>39269080</v>
      </c>
      <c r="AJ629" s="347" t="s">
        <v>60</v>
      </c>
      <c r="AK629" s="347">
        <v>1</v>
      </c>
      <c r="AL629" s="347">
        <v>0</v>
      </c>
      <c r="AM629" s="347" t="s">
        <v>1940</v>
      </c>
    </row>
    <row r="630" spans="7:39">
      <c r="G630" s="347"/>
      <c r="H630" s="10" t="s">
        <v>3341</v>
      </c>
      <c r="I630" s="347" t="s">
        <v>87</v>
      </c>
      <c r="J630" s="347" t="s">
        <v>91</v>
      </c>
      <c r="K630" s="347" t="s">
        <v>3348</v>
      </c>
      <c r="L630" s="347" t="s">
        <v>98</v>
      </c>
      <c r="M630" s="347" t="s">
        <v>3349</v>
      </c>
      <c r="N630" s="347" t="s">
        <v>3341</v>
      </c>
      <c r="O630" s="347" t="s">
        <v>13</v>
      </c>
      <c r="P630" s="347" t="s">
        <v>80</v>
      </c>
      <c r="Q630" s="347" t="s">
        <v>81</v>
      </c>
      <c r="R630" s="8" t="s">
        <v>82</v>
      </c>
      <c r="S630" s="8" t="s">
        <v>17</v>
      </c>
      <c r="T630" s="350">
        <v>3340.5</v>
      </c>
      <c r="U630" s="350">
        <v>610576.59</v>
      </c>
      <c r="V630" s="347" t="s">
        <v>17</v>
      </c>
      <c r="W630" s="347">
        <v>0</v>
      </c>
      <c r="X630" s="347">
        <v>9</v>
      </c>
      <c r="Y630" s="347">
        <v>54951.89</v>
      </c>
      <c r="Z630" s="347">
        <v>9</v>
      </c>
      <c r="AA630" s="347">
        <v>54951.89</v>
      </c>
      <c r="AB630" s="347">
        <v>0</v>
      </c>
      <c r="AC630" s="347">
        <v>0</v>
      </c>
      <c r="AD630" s="347">
        <v>0</v>
      </c>
      <c r="AE630" s="347">
        <v>109903.78</v>
      </c>
      <c r="AF630" s="347">
        <v>0</v>
      </c>
      <c r="AG630" s="347" t="s">
        <v>65</v>
      </c>
      <c r="AH630" s="347" t="s">
        <v>11</v>
      </c>
      <c r="AI630" s="347">
        <v>39200000</v>
      </c>
      <c r="AJ630" s="347" t="s">
        <v>60</v>
      </c>
      <c r="AK630" s="347">
        <v>1</v>
      </c>
      <c r="AL630" s="347">
        <v>0</v>
      </c>
      <c r="AM630" s="347" t="s">
        <v>1940</v>
      </c>
    </row>
    <row r="631" spans="7:39">
      <c r="G631" s="347"/>
      <c r="H631" s="10" t="s">
        <v>3341</v>
      </c>
      <c r="I631" s="347" t="s">
        <v>87</v>
      </c>
      <c r="J631" s="347" t="s">
        <v>91</v>
      </c>
      <c r="K631" s="347" t="s">
        <v>3348</v>
      </c>
      <c r="L631" s="347" t="s">
        <v>98</v>
      </c>
      <c r="M631" s="347" t="s">
        <v>3349</v>
      </c>
      <c r="N631" s="347" t="s">
        <v>3341</v>
      </c>
      <c r="O631" s="347" t="s">
        <v>13</v>
      </c>
      <c r="P631" s="347" t="s">
        <v>62</v>
      </c>
      <c r="Q631" s="347" t="s">
        <v>63</v>
      </c>
      <c r="R631" s="347" t="s">
        <v>64</v>
      </c>
      <c r="S631" s="347" t="s">
        <v>19</v>
      </c>
      <c r="T631" s="350">
        <v>1173</v>
      </c>
      <c r="U631" s="350">
        <v>169486.77</v>
      </c>
      <c r="V631" s="347" t="s">
        <v>19</v>
      </c>
      <c r="W631" s="347">
        <v>0</v>
      </c>
      <c r="X631" s="347">
        <v>9</v>
      </c>
      <c r="Y631" s="347">
        <v>15253.81</v>
      </c>
      <c r="Z631" s="347">
        <v>9</v>
      </c>
      <c r="AA631" s="347">
        <v>15253.81</v>
      </c>
      <c r="AB631" s="347">
        <v>0</v>
      </c>
      <c r="AC631" s="347">
        <v>0</v>
      </c>
      <c r="AD631" s="347">
        <v>0</v>
      </c>
      <c r="AE631" s="347">
        <v>30507.62</v>
      </c>
      <c r="AF631" s="347">
        <v>0</v>
      </c>
      <c r="AG631" s="347" t="s">
        <v>65</v>
      </c>
      <c r="AH631" s="347" t="s">
        <v>11</v>
      </c>
      <c r="AI631" s="347">
        <v>39269080</v>
      </c>
      <c r="AJ631" s="347" t="s">
        <v>60</v>
      </c>
      <c r="AK631" s="347">
        <v>1</v>
      </c>
      <c r="AL631" s="347">
        <v>0</v>
      </c>
      <c r="AM631" s="347" t="s">
        <v>1940</v>
      </c>
    </row>
    <row r="632" spans="7:39">
      <c r="G632" s="347"/>
      <c r="H632" s="10" t="s">
        <v>3341</v>
      </c>
      <c r="I632" s="347" t="s">
        <v>87</v>
      </c>
      <c r="J632" s="347" t="s">
        <v>91</v>
      </c>
      <c r="K632" s="347" t="s">
        <v>3348</v>
      </c>
      <c r="L632" s="347" t="s">
        <v>98</v>
      </c>
      <c r="M632" s="347" t="s">
        <v>3349</v>
      </c>
      <c r="N632" s="347" t="s">
        <v>3341</v>
      </c>
      <c r="O632" s="347" t="s">
        <v>13</v>
      </c>
      <c r="P632" s="347" t="s">
        <v>62</v>
      </c>
      <c r="Q632" s="347" t="s">
        <v>76</v>
      </c>
      <c r="R632" s="347" t="s">
        <v>77</v>
      </c>
      <c r="S632" s="347" t="s">
        <v>21</v>
      </c>
      <c r="T632" s="347">
        <v>694</v>
      </c>
      <c r="U632" s="350">
        <v>105134.06</v>
      </c>
      <c r="V632" s="347" t="s">
        <v>21</v>
      </c>
      <c r="W632" s="347">
        <v>0</v>
      </c>
      <c r="X632" s="347">
        <v>9</v>
      </c>
      <c r="Y632" s="347">
        <v>9462.07</v>
      </c>
      <c r="Z632" s="347">
        <v>9</v>
      </c>
      <c r="AA632" s="347">
        <v>9462.07</v>
      </c>
      <c r="AB632" s="347">
        <v>0</v>
      </c>
      <c r="AC632" s="347">
        <v>0</v>
      </c>
      <c r="AD632" s="347">
        <v>0</v>
      </c>
      <c r="AE632" s="347">
        <v>18924.14</v>
      </c>
      <c r="AF632" s="347">
        <v>0</v>
      </c>
      <c r="AG632" s="347" t="s">
        <v>65</v>
      </c>
      <c r="AH632" s="347" t="s">
        <v>11</v>
      </c>
      <c r="AI632" s="347">
        <v>63053300</v>
      </c>
      <c r="AJ632" s="347" t="s">
        <v>60</v>
      </c>
      <c r="AK632" s="347">
        <v>1</v>
      </c>
      <c r="AL632" s="347">
        <v>0</v>
      </c>
      <c r="AM632" s="347" t="s">
        <v>1940</v>
      </c>
    </row>
    <row r="633" spans="7:39">
      <c r="G633" s="347"/>
      <c r="H633" s="10" t="s">
        <v>3341</v>
      </c>
      <c r="I633" s="347" t="s">
        <v>87</v>
      </c>
      <c r="J633" s="347" t="s">
        <v>91</v>
      </c>
      <c r="K633" s="347" t="s">
        <v>3348</v>
      </c>
      <c r="L633" s="347" t="s">
        <v>98</v>
      </c>
      <c r="M633" s="347" t="s">
        <v>3349</v>
      </c>
      <c r="N633" s="347" t="s">
        <v>3341</v>
      </c>
      <c r="O633" s="347" t="s">
        <v>13</v>
      </c>
      <c r="P633" s="347" t="s">
        <v>24</v>
      </c>
      <c r="Q633" s="347" t="s">
        <v>79</v>
      </c>
      <c r="R633" s="347" t="s">
        <v>79</v>
      </c>
      <c r="S633" s="347" t="s">
        <v>24</v>
      </c>
      <c r="T633" s="350">
        <v>1133.5</v>
      </c>
      <c r="U633" s="347">
        <v>169446.92</v>
      </c>
      <c r="V633" s="347" t="s">
        <v>24</v>
      </c>
      <c r="W633" s="347">
        <v>0</v>
      </c>
      <c r="X633" s="347">
        <v>9</v>
      </c>
      <c r="Y633" s="347">
        <v>15250.22</v>
      </c>
      <c r="Z633" s="347">
        <v>9</v>
      </c>
      <c r="AA633" s="347">
        <v>15250.22</v>
      </c>
      <c r="AB633" s="347">
        <v>0</v>
      </c>
      <c r="AC633" s="347">
        <v>0</v>
      </c>
      <c r="AD633" s="347">
        <v>0</v>
      </c>
      <c r="AE633" s="347">
        <v>30500.44</v>
      </c>
      <c r="AF633" s="347">
        <v>0</v>
      </c>
      <c r="AG633" s="347" t="s">
        <v>65</v>
      </c>
      <c r="AH633" s="347" t="s">
        <v>11</v>
      </c>
      <c r="AI633" s="347">
        <v>3926908</v>
      </c>
      <c r="AJ633" s="347" t="s">
        <v>60</v>
      </c>
      <c r="AK633" s="347">
        <v>1</v>
      </c>
      <c r="AL633" s="347">
        <v>0</v>
      </c>
      <c r="AM633" s="347" t="s">
        <v>1940</v>
      </c>
    </row>
    <row r="634" spans="7:39">
      <c r="G634" s="347"/>
      <c r="H634" s="10" t="s">
        <v>3341</v>
      </c>
      <c r="I634" s="347" t="s">
        <v>87</v>
      </c>
      <c r="J634" s="347" t="s">
        <v>91</v>
      </c>
      <c r="K634" s="347" t="s">
        <v>3348</v>
      </c>
      <c r="L634" s="347" t="s">
        <v>98</v>
      </c>
      <c r="M634" s="347" t="s">
        <v>3349</v>
      </c>
      <c r="N634" s="347" t="s">
        <v>3341</v>
      </c>
      <c r="O634" s="347" t="s">
        <v>13</v>
      </c>
      <c r="P634" s="347" t="s">
        <v>24</v>
      </c>
      <c r="Q634" s="347" t="s">
        <v>79</v>
      </c>
      <c r="R634" s="347" t="s">
        <v>79</v>
      </c>
      <c r="S634" s="347" t="s">
        <v>24</v>
      </c>
      <c r="T634" s="347">
        <v>634</v>
      </c>
      <c r="U634" s="350">
        <v>92874.66</v>
      </c>
      <c r="V634" s="347" t="s">
        <v>24</v>
      </c>
      <c r="W634" s="347">
        <v>0</v>
      </c>
      <c r="X634" s="347">
        <v>9</v>
      </c>
      <c r="Y634" s="347">
        <v>8358.7199999999993</v>
      </c>
      <c r="Z634" s="347">
        <v>9</v>
      </c>
      <c r="AA634" s="347">
        <v>8358.7199999999993</v>
      </c>
      <c r="AB634" s="347">
        <v>0</v>
      </c>
      <c r="AC634" s="347">
        <v>0</v>
      </c>
      <c r="AD634" s="347">
        <v>0</v>
      </c>
      <c r="AE634" s="347">
        <v>16717.439999999999</v>
      </c>
      <c r="AF634" s="347">
        <v>0</v>
      </c>
      <c r="AG634" s="347" t="s">
        <v>65</v>
      </c>
      <c r="AH634" s="347" t="s">
        <v>11</v>
      </c>
      <c r="AI634" s="347">
        <v>3926908</v>
      </c>
      <c r="AJ634" s="347" t="s">
        <v>60</v>
      </c>
      <c r="AK634" s="347">
        <v>1</v>
      </c>
      <c r="AL634" s="347">
        <v>0</v>
      </c>
      <c r="AM634" s="347" t="s">
        <v>1940</v>
      </c>
    </row>
    <row r="635" spans="7:39">
      <c r="G635" s="347"/>
      <c r="H635" s="10" t="s">
        <v>3341</v>
      </c>
      <c r="I635" s="347" t="s">
        <v>87</v>
      </c>
      <c r="J635" s="347" t="s">
        <v>91</v>
      </c>
      <c r="K635" s="347" t="s">
        <v>3348</v>
      </c>
      <c r="L635" s="347" t="s">
        <v>98</v>
      </c>
      <c r="M635" s="347" t="s">
        <v>3349</v>
      </c>
      <c r="N635" s="347" t="s">
        <v>3341</v>
      </c>
      <c r="O635" s="347" t="s">
        <v>13</v>
      </c>
      <c r="P635" s="347" t="s">
        <v>99</v>
      </c>
      <c r="Q635" s="347" t="s">
        <v>100</v>
      </c>
      <c r="R635" s="347" t="s">
        <v>101</v>
      </c>
      <c r="S635" s="347" t="s">
        <v>586</v>
      </c>
      <c r="T635" s="350">
        <v>470.5</v>
      </c>
      <c r="U635" s="350">
        <v>73628.55</v>
      </c>
      <c r="V635" s="347" t="s">
        <v>586</v>
      </c>
      <c r="W635" s="347">
        <v>0</v>
      </c>
      <c r="X635" s="347">
        <v>2.5</v>
      </c>
      <c r="Y635" s="347">
        <v>1840.71</v>
      </c>
      <c r="Z635" s="347">
        <v>2.5</v>
      </c>
      <c r="AA635" s="347">
        <v>1840.71</v>
      </c>
      <c r="AB635" s="347">
        <v>0</v>
      </c>
      <c r="AC635" s="347">
        <v>0</v>
      </c>
      <c r="AD635" s="347">
        <v>0</v>
      </c>
      <c r="AE635" s="347">
        <v>3681.42</v>
      </c>
      <c r="AF635" s="347">
        <v>0</v>
      </c>
      <c r="AG635" s="347" t="s">
        <v>65</v>
      </c>
      <c r="AH635" s="347" t="s">
        <v>3</v>
      </c>
      <c r="AI635" s="347">
        <v>540263</v>
      </c>
      <c r="AJ635" s="347" t="s">
        <v>60</v>
      </c>
      <c r="AK635" s="347">
        <v>1</v>
      </c>
      <c r="AL635" s="347">
        <v>0</v>
      </c>
      <c r="AM635" s="347" t="s">
        <v>1940</v>
      </c>
    </row>
    <row r="636" spans="7:39">
      <c r="G636" s="347"/>
      <c r="H636" s="10" t="s">
        <v>3341</v>
      </c>
      <c r="I636" s="347" t="s">
        <v>87</v>
      </c>
      <c r="J636" s="347" t="s">
        <v>91</v>
      </c>
      <c r="K636" s="347" t="s">
        <v>3348</v>
      </c>
      <c r="L636" s="347" t="s">
        <v>98</v>
      </c>
      <c r="M636" s="347" t="s">
        <v>3349</v>
      </c>
      <c r="N636" s="347" t="s">
        <v>3341</v>
      </c>
      <c r="O636" s="347" t="s">
        <v>13</v>
      </c>
      <c r="P636" s="347" t="s">
        <v>99</v>
      </c>
      <c r="Q636" s="347" t="s">
        <v>100</v>
      </c>
      <c r="R636" s="347" t="s">
        <v>101</v>
      </c>
      <c r="S636" s="347" t="s">
        <v>1303</v>
      </c>
      <c r="T636" s="350">
        <v>800.66</v>
      </c>
      <c r="U636" s="347">
        <v>127697.26</v>
      </c>
      <c r="V636" s="347" t="s">
        <v>1303</v>
      </c>
      <c r="W636" s="347">
        <v>0</v>
      </c>
      <c r="X636" s="347">
        <v>2.5</v>
      </c>
      <c r="Y636" s="347">
        <v>3192.43</v>
      </c>
      <c r="Z636" s="347">
        <v>2.5</v>
      </c>
      <c r="AA636" s="347">
        <v>3192.43</v>
      </c>
      <c r="AB636" s="347">
        <v>0</v>
      </c>
      <c r="AC636" s="347">
        <v>0</v>
      </c>
      <c r="AD636" s="347">
        <v>0</v>
      </c>
      <c r="AE636" s="347">
        <v>6384.86</v>
      </c>
      <c r="AF636" s="347">
        <v>0</v>
      </c>
      <c r="AG636" s="347" t="s">
        <v>65</v>
      </c>
      <c r="AH636" s="347" t="s">
        <v>3</v>
      </c>
      <c r="AI636" s="347">
        <v>54026930</v>
      </c>
      <c r="AJ636" s="347" t="s">
        <v>60</v>
      </c>
      <c r="AK636" s="347">
        <v>1</v>
      </c>
      <c r="AL636" s="347">
        <v>0</v>
      </c>
      <c r="AM636" s="347" t="s">
        <v>1940</v>
      </c>
    </row>
    <row r="637" spans="7:39">
      <c r="G637" s="347"/>
      <c r="H637" s="10" t="s">
        <v>3341</v>
      </c>
      <c r="I637" s="347" t="s">
        <v>94</v>
      </c>
      <c r="J637" s="347" t="s">
        <v>96</v>
      </c>
      <c r="K637" s="347" t="s">
        <v>3350</v>
      </c>
      <c r="L637" s="347" t="s">
        <v>97</v>
      </c>
      <c r="M637" s="347" t="s">
        <v>1541</v>
      </c>
      <c r="N637" s="347" t="s">
        <v>3341</v>
      </c>
      <c r="O637" s="347" t="s">
        <v>2</v>
      </c>
      <c r="P637" s="347" t="s">
        <v>67</v>
      </c>
      <c r="Q637" s="347" t="s">
        <v>68</v>
      </c>
      <c r="R637" s="347" t="s">
        <v>69</v>
      </c>
      <c r="S637" s="347" t="s">
        <v>70</v>
      </c>
      <c r="T637" s="347">
        <v>53</v>
      </c>
      <c r="U637" s="350">
        <v>2544</v>
      </c>
      <c r="V637" s="347" t="s">
        <v>70</v>
      </c>
      <c r="W637" s="347">
        <v>2999.38</v>
      </c>
      <c r="X637" s="347">
        <v>9</v>
      </c>
      <c r="Y637" s="347">
        <v>228.96</v>
      </c>
      <c r="Z637" s="347">
        <v>9</v>
      </c>
      <c r="AA637" s="347">
        <v>228.96</v>
      </c>
      <c r="AB637" s="347">
        <v>0</v>
      </c>
      <c r="AC637" s="347">
        <v>0</v>
      </c>
      <c r="AD637" s="347">
        <v>0</v>
      </c>
      <c r="AE637" s="347">
        <v>457.92</v>
      </c>
      <c r="AF637" s="347">
        <v>0</v>
      </c>
      <c r="AG637" s="347" t="s">
        <v>74</v>
      </c>
      <c r="AH637" s="347" t="s">
        <v>11</v>
      </c>
      <c r="AI637" s="347">
        <v>73063090</v>
      </c>
      <c r="AJ637" s="347" t="s">
        <v>60</v>
      </c>
      <c r="AK637" s="347">
        <v>1</v>
      </c>
      <c r="AL637" s="347">
        <v>0</v>
      </c>
      <c r="AM637" s="347" t="s">
        <v>1940</v>
      </c>
    </row>
    <row r="638" spans="7:39">
      <c r="G638" s="347"/>
      <c r="H638" s="10" t="s">
        <v>3341</v>
      </c>
      <c r="I638" s="347" t="s">
        <v>94</v>
      </c>
      <c r="J638" s="347" t="s">
        <v>91</v>
      </c>
      <c r="K638" s="347" t="s">
        <v>3351</v>
      </c>
      <c r="L638" s="347" t="s">
        <v>98</v>
      </c>
      <c r="M638" s="347" t="s">
        <v>1539</v>
      </c>
      <c r="N638" s="347" t="s">
        <v>3341</v>
      </c>
      <c r="O638" s="347" t="s">
        <v>15</v>
      </c>
      <c r="P638" s="347" t="s">
        <v>2117</v>
      </c>
      <c r="Q638" s="347" t="s">
        <v>2117</v>
      </c>
      <c r="R638" s="8" t="s">
        <v>2117</v>
      </c>
      <c r="S638" s="347" t="s">
        <v>64</v>
      </c>
      <c r="T638" s="347">
        <v>210</v>
      </c>
      <c r="U638" s="350">
        <v>32495.4</v>
      </c>
      <c r="V638" s="347" t="s">
        <v>2117</v>
      </c>
      <c r="W638" s="347">
        <v>219425.26</v>
      </c>
      <c r="X638" s="347">
        <v>9</v>
      </c>
      <c r="Y638" s="347">
        <v>2924.59</v>
      </c>
      <c r="Z638" s="347">
        <v>9</v>
      </c>
      <c r="AA638" s="347">
        <v>2924.59</v>
      </c>
      <c r="AB638" s="347">
        <v>0</v>
      </c>
      <c r="AC638" s="347">
        <v>0</v>
      </c>
      <c r="AD638" s="347">
        <v>0</v>
      </c>
      <c r="AE638" s="347">
        <v>5849.18</v>
      </c>
      <c r="AF638" s="347">
        <v>0</v>
      </c>
      <c r="AG638" s="347" t="s">
        <v>74</v>
      </c>
      <c r="AH638" s="347" t="s">
        <v>11</v>
      </c>
      <c r="AI638" s="347">
        <v>39269080</v>
      </c>
      <c r="AJ638" s="347" t="s">
        <v>60</v>
      </c>
      <c r="AK638" s="347">
        <v>1</v>
      </c>
      <c r="AL638" s="347">
        <v>0</v>
      </c>
      <c r="AM638" s="347" t="s">
        <v>1940</v>
      </c>
    </row>
    <row r="639" spans="7:39">
      <c r="G639" s="347"/>
      <c r="H639" s="10" t="s">
        <v>3341</v>
      </c>
      <c r="I639" s="347" t="s">
        <v>94</v>
      </c>
      <c r="J639" s="347" t="s">
        <v>91</v>
      </c>
      <c r="K639" s="347" t="s">
        <v>3351</v>
      </c>
      <c r="L639" s="347" t="s">
        <v>98</v>
      </c>
      <c r="M639" s="347" t="s">
        <v>1539</v>
      </c>
      <c r="N639" s="347" t="s">
        <v>3341</v>
      </c>
      <c r="O639" s="347" t="s">
        <v>13</v>
      </c>
      <c r="P639" s="347" t="s">
        <v>62</v>
      </c>
      <c r="Q639" s="347" t="s">
        <v>63</v>
      </c>
      <c r="R639" s="347" t="s">
        <v>64</v>
      </c>
      <c r="S639" s="347" t="s">
        <v>19</v>
      </c>
      <c r="T639" s="347">
        <v>370.5</v>
      </c>
      <c r="U639" s="350">
        <v>57331.17</v>
      </c>
      <c r="V639" s="347" t="s">
        <v>19</v>
      </c>
      <c r="W639" s="347">
        <v>0</v>
      </c>
      <c r="X639" s="347">
        <v>9</v>
      </c>
      <c r="Y639" s="347">
        <v>5159.8100000000004</v>
      </c>
      <c r="Z639" s="347">
        <v>9</v>
      </c>
      <c r="AA639" s="347">
        <v>5159.8100000000004</v>
      </c>
      <c r="AB639" s="347">
        <v>0</v>
      </c>
      <c r="AC639" s="347">
        <v>0</v>
      </c>
      <c r="AD639" s="347">
        <v>0</v>
      </c>
      <c r="AE639" s="347">
        <v>10319.620000000001</v>
      </c>
      <c r="AF639" s="347">
        <v>0</v>
      </c>
      <c r="AG639" s="347" t="s">
        <v>74</v>
      </c>
      <c r="AH639" s="347" t="s">
        <v>11</v>
      </c>
      <c r="AI639" s="347">
        <v>39269080</v>
      </c>
      <c r="AJ639" s="347" t="s">
        <v>60</v>
      </c>
      <c r="AK639" s="347">
        <v>1</v>
      </c>
      <c r="AL639" s="347">
        <v>0</v>
      </c>
      <c r="AM639" s="347" t="s">
        <v>1940</v>
      </c>
    </row>
    <row r="640" spans="7:39">
      <c r="G640" s="347"/>
      <c r="H640" s="10" t="s">
        <v>3341</v>
      </c>
      <c r="I640" s="347" t="s">
        <v>94</v>
      </c>
      <c r="J640" s="347" t="s">
        <v>91</v>
      </c>
      <c r="K640" s="347" t="s">
        <v>3351</v>
      </c>
      <c r="L640" s="347" t="s">
        <v>98</v>
      </c>
      <c r="M640" s="347" t="s">
        <v>1539</v>
      </c>
      <c r="N640" s="347" t="s">
        <v>3341</v>
      </c>
      <c r="O640" s="347" t="s">
        <v>13</v>
      </c>
      <c r="P640" s="347" t="s">
        <v>62</v>
      </c>
      <c r="Q640" s="347" t="s">
        <v>76</v>
      </c>
      <c r="R640" s="347" t="s">
        <v>77</v>
      </c>
      <c r="S640" s="347" t="s">
        <v>21</v>
      </c>
      <c r="T640" s="347">
        <v>307</v>
      </c>
      <c r="U640" s="350">
        <v>48733.18</v>
      </c>
      <c r="V640" s="347" t="s">
        <v>21</v>
      </c>
      <c r="W640" s="347">
        <v>0</v>
      </c>
      <c r="X640" s="347">
        <v>9</v>
      </c>
      <c r="Y640" s="347">
        <v>4385.99</v>
      </c>
      <c r="Z640" s="347">
        <v>9</v>
      </c>
      <c r="AA640" s="347">
        <v>4385.99</v>
      </c>
      <c r="AB640" s="347">
        <v>0</v>
      </c>
      <c r="AC640" s="347">
        <v>0</v>
      </c>
      <c r="AD640" s="347">
        <v>0</v>
      </c>
      <c r="AE640" s="347">
        <v>8771.98</v>
      </c>
      <c r="AF640" s="347">
        <v>0</v>
      </c>
      <c r="AG640" s="347" t="s">
        <v>74</v>
      </c>
      <c r="AH640" s="347" t="s">
        <v>11</v>
      </c>
      <c r="AI640" s="347">
        <v>63053300</v>
      </c>
      <c r="AJ640" s="347" t="s">
        <v>60</v>
      </c>
      <c r="AK640" s="347">
        <v>1</v>
      </c>
      <c r="AL640" s="347">
        <v>0</v>
      </c>
      <c r="AM640" s="347" t="s">
        <v>1940</v>
      </c>
    </row>
    <row r="641" spans="7:39">
      <c r="G641" s="347"/>
      <c r="H641" s="10" t="s">
        <v>3341</v>
      </c>
      <c r="I641" s="347" t="s">
        <v>94</v>
      </c>
      <c r="J641" s="347" t="s">
        <v>91</v>
      </c>
      <c r="K641" s="347" t="s">
        <v>3351</v>
      </c>
      <c r="L641" s="347" t="s">
        <v>98</v>
      </c>
      <c r="M641" s="347" t="s">
        <v>1539</v>
      </c>
      <c r="N641" s="347" t="s">
        <v>3341</v>
      </c>
      <c r="O641" s="347" t="s">
        <v>13</v>
      </c>
      <c r="P641" s="347" t="s">
        <v>62</v>
      </c>
      <c r="Q641" s="347" t="s">
        <v>76</v>
      </c>
      <c r="R641" s="347" t="s">
        <v>77</v>
      </c>
      <c r="S641" s="347" t="s">
        <v>21</v>
      </c>
      <c r="T641" s="347">
        <v>294</v>
      </c>
      <c r="U641" s="350">
        <v>47551.56</v>
      </c>
      <c r="V641" s="347" t="s">
        <v>21</v>
      </c>
      <c r="W641" s="347">
        <v>0</v>
      </c>
      <c r="X641" s="347">
        <v>9</v>
      </c>
      <c r="Y641" s="347">
        <v>4279.6400000000003</v>
      </c>
      <c r="Z641" s="347">
        <v>9</v>
      </c>
      <c r="AA641" s="347">
        <v>4279.6400000000003</v>
      </c>
      <c r="AB641" s="347">
        <v>0</v>
      </c>
      <c r="AC641" s="347">
        <v>0</v>
      </c>
      <c r="AD641" s="347">
        <v>0</v>
      </c>
      <c r="AE641" s="347">
        <v>8559.2800000000007</v>
      </c>
      <c r="AF641" s="347">
        <v>0</v>
      </c>
      <c r="AG641" s="347" t="s">
        <v>74</v>
      </c>
      <c r="AH641" s="347" t="s">
        <v>11</v>
      </c>
      <c r="AI641" s="347">
        <v>63053300</v>
      </c>
      <c r="AJ641" s="347" t="s">
        <v>60</v>
      </c>
      <c r="AK641" s="347">
        <v>1</v>
      </c>
      <c r="AL641" s="347">
        <v>0</v>
      </c>
      <c r="AM641" s="347" t="s">
        <v>1940</v>
      </c>
    </row>
    <row r="642" spans="7:39">
      <c r="G642" s="347"/>
      <c r="H642" s="10" t="s">
        <v>3352</v>
      </c>
      <c r="I642" s="347" t="s">
        <v>93</v>
      </c>
      <c r="J642" s="347" t="s">
        <v>91</v>
      </c>
      <c r="K642" s="347" t="s">
        <v>3353</v>
      </c>
      <c r="L642" s="347" t="s">
        <v>98</v>
      </c>
      <c r="M642" s="347" t="s">
        <v>1583</v>
      </c>
      <c r="N642" s="347" t="s">
        <v>3341</v>
      </c>
      <c r="O642" s="347" t="s">
        <v>13</v>
      </c>
      <c r="P642" s="347" t="s">
        <v>99</v>
      </c>
      <c r="Q642" s="347" t="s">
        <v>100</v>
      </c>
      <c r="R642" s="347" t="s">
        <v>101</v>
      </c>
      <c r="S642" s="347" t="s">
        <v>1617</v>
      </c>
      <c r="T642" s="347">
        <v>432.2</v>
      </c>
      <c r="U642" s="350">
        <v>66623.63</v>
      </c>
      <c r="V642" s="347" t="s">
        <v>1617</v>
      </c>
      <c r="W642" s="347">
        <v>300684.44</v>
      </c>
      <c r="X642" s="347">
        <v>2.5</v>
      </c>
      <c r="Y642" s="347">
        <v>1665.59</v>
      </c>
      <c r="Z642" s="347">
        <v>2.5</v>
      </c>
      <c r="AA642" s="347">
        <v>1665.59</v>
      </c>
      <c r="AB642" s="347">
        <v>0</v>
      </c>
      <c r="AC642" s="347">
        <v>0</v>
      </c>
      <c r="AD642" s="347">
        <v>0</v>
      </c>
      <c r="AE642" s="347">
        <v>3331.18</v>
      </c>
      <c r="AF642" s="347">
        <v>0</v>
      </c>
      <c r="AG642" s="347" t="s">
        <v>59</v>
      </c>
      <c r="AH642" s="347" t="s">
        <v>11</v>
      </c>
      <c r="AI642" s="347">
        <v>54026930</v>
      </c>
      <c r="AJ642" s="347" t="s">
        <v>60</v>
      </c>
      <c r="AK642" s="347">
        <v>1</v>
      </c>
      <c r="AL642" s="347">
        <v>0</v>
      </c>
      <c r="AM642" s="347" t="s">
        <v>1940</v>
      </c>
    </row>
    <row r="643" spans="7:39">
      <c r="G643" s="347"/>
      <c r="H643" s="10" t="s">
        <v>3352</v>
      </c>
      <c r="I643" s="347" t="s">
        <v>93</v>
      </c>
      <c r="J643" s="347" t="s">
        <v>91</v>
      </c>
      <c r="K643" s="347" t="s">
        <v>3353</v>
      </c>
      <c r="L643" s="347" t="s">
        <v>98</v>
      </c>
      <c r="M643" s="347" t="s">
        <v>1583</v>
      </c>
      <c r="N643" s="347" t="s">
        <v>3341</v>
      </c>
      <c r="O643" s="347" t="s">
        <v>13</v>
      </c>
      <c r="P643" s="347" t="s">
        <v>99</v>
      </c>
      <c r="Q643" s="347" t="s">
        <v>100</v>
      </c>
      <c r="R643" s="347" t="s">
        <v>101</v>
      </c>
      <c r="S643" s="347" t="s">
        <v>2585</v>
      </c>
      <c r="T643" s="347">
        <v>270</v>
      </c>
      <c r="U643" s="350">
        <v>40810.5</v>
      </c>
      <c r="V643" s="347" t="s">
        <v>2585</v>
      </c>
      <c r="W643" s="347">
        <v>0</v>
      </c>
      <c r="X643" s="347">
        <v>2.5</v>
      </c>
      <c r="Y643" s="347">
        <v>1020.26</v>
      </c>
      <c r="Z643" s="347">
        <v>2.5</v>
      </c>
      <c r="AA643" s="347">
        <v>1020.26</v>
      </c>
      <c r="AB643" s="347">
        <v>0</v>
      </c>
      <c r="AC643" s="347">
        <v>0</v>
      </c>
      <c r="AD643" s="347">
        <v>0</v>
      </c>
      <c r="AE643" s="347">
        <v>2040.52</v>
      </c>
      <c r="AF643" s="347">
        <v>0</v>
      </c>
      <c r="AG643" s="347" t="s">
        <v>59</v>
      </c>
      <c r="AH643" s="347" t="s">
        <v>11</v>
      </c>
      <c r="AI643" s="347">
        <v>54026930</v>
      </c>
      <c r="AJ643" s="347" t="s">
        <v>60</v>
      </c>
      <c r="AK643" s="347">
        <v>1</v>
      </c>
      <c r="AL643" s="347">
        <v>0</v>
      </c>
      <c r="AM643" s="347" t="s">
        <v>1940</v>
      </c>
    </row>
    <row r="644" spans="7:39">
      <c r="G644" s="347"/>
      <c r="H644" s="10" t="s">
        <v>3352</v>
      </c>
      <c r="I644" s="347" t="s">
        <v>93</v>
      </c>
      <c r="J644" s="347" t="s">
        <v>91</v>
      </c>
      <c r="K644" s="347" t="s">
        <v>3353</v>
      </c>
      <c r="L644" s="347" t="s">
        <v>98</v>
      </c>
      <c r="M644" s="347" t="s">
        <v>1583</v>
      </c>
      <c r="N644" s="347" t="s">
        <v>3341</v>
      </c>
      <c r="O644" s="347" t="s">
        <v>13</v>
      </c>
      <c r="P644" s="347" t="s">
        <v>62</v>
      </c>
      <c r="Q644" s="347" t="s">
        <v>63</v>
      </c>
      <c r="R644" s="347" t="s">
        <v>64</v>
      </c>
      <c r="S644" s="347" t="s">
        <v>19</v>
      </c>
      <c r="T644" s="347">
        <v>926.2</v>
      </c>
      <c r="U644" s="350">
        <v>159445.32999999999</v>
      </c>
      <c r="V644" s="347" t="s">
        <v>19</v>
      </c>
      <c r="W644" s="347">
        <v>0</v>
      </c>
      <c r="X644" s="347">
        <v>9</v>
      </c>
      <c r="Y644" s="347">
        <v>14350.08</v>
      </c>
      <c r="Z644" s="347">
        <v>9</v>
      </c>
      <c r="AA644" s="347">
        <v>14350.08</v>
      </c>
      <c r="AB644" s="347">
        <v>0</v>
      </c>
      <c r="AC644" s="347">
        <v>0</v>
      </c>
      <c r="AD644" s="347">
        <v>0</v>
      </c>
      <c r="AE644" s="347">
        <v>28700.16</v>
      </c>
      <c r="AF644" s="347">
        <v>0</v>
      </c>
      <c r="AG644" s="347" t="s">
        <v>59</v>
      </c>
      <c r="AH644" s="347" t="s">
        <v>11</v>
      </c>
      <c r="AI644" s="347">
        <v>39269080</v>
      </c>
      <c r="AJ644" s="347" t="s">
        <v>60</v>
      </c>
      <c r="AK644" s="347">
        <v>1</v>
      </c>
      <c r="AL644" s="347">
        <v>0</v>
      </c>
      <c r="AM644" s="347" t="s">
        <v>1940</v>
      </c>
    </row>
    <row r="645" spans="7:39">
      <c r="G645" s="347"/>
      <c r="H645" s="10" t="s">
        <v>3352</v>
      </c>
      <c r="I645" s="347" t="s">
        <v>87</v>
      </c>
      <c r="J645" s="347" t="s">
        <v>91</v>
      </c>
      <c r="K645" s="347" t="s">
        <v>3354</v>
      </c>
      <c r="L645" s="347" t="s">
        <v>98</v>
      </c>
      <c r="M645" s="347" t="s">
        <v>3355</v>
      </c>
      <c r="N645" s="347" t="s">
        <v>3341</v>
      </c>
      <c r="O645" s="347" t="s">
        <v>15</v>
      </c>
      <c r="P645" s="347" t="s">
        <v>2117</v>
      </c>
      <c r="Q645" s="347" t="s">
        <v>2117</v>
      </c>
      <c r="R645" s="8" t="s">
        <v>2117</v>
      </c>
      <c r="S645" s="347" t="s">
        <v>77</v>
      </c>
      <c r="T645" s="350">
        <v>1534</v>
      </c>
      <c r="U645" s="350">
        <v>240055.66</v>
      </c>
      <c r="V645" s="347" t="s">
        <v>2117</v>
      </c>
      <c r="W645" s="347">
        <v>292380.45</v>
      </c>
      <c r="X645" s="347">
        <v>9</v>
      </c>
      <c r="Y645" s="347">
        <v>21605.01</v>
      </c>
      <c r="Z645" s="347">
        <v>9</v>
      </c>
      <c r="AA645" s="347">
        <v>21605.01</v>
      </c>
      <c r="AB645" s="347">
        <v>0</v>
      </c>
      <c r="AC645" s="347">
        <v>0</v>
      </c>
      <c r="AD645" s="347">
        <v>0</v>
      </c>
      <c r="AE645" s="347">
        <v>43210.02</v>
      </c>
      <c r="AF645" s="347">
        <v>0</v>
      </c>
      <c r="AG645" s="347" t="s">
        <v>65</v>
      </c>
      <c r="AH645" s="347" t="s">
        <v>11</v>
      </c>
      <c r="AI645" s="347">
        <v>39269080</v>
      </c>
      <c r="AJ645" s="347" t="s">
        <v>60</v>
      </c>
      <c r="AK645" s="347">
        <v>1</v>
      </c>
      <c r="AL645" s="347">
        <v>0</v>
      </c>
      <c r="AM645" s="347" t="s">
        <v>1940</v>
      </c>
    </row>
    <row r="646" spans="7:39">
      <c r="G646" s="347"/>
      <c r="H646" s="10" t="s">
        <v>3352</v>
      </c>
      <c r="I646" s="347" t="s">
        <v>87</v>
      </c>
      <c r="J646" s="347" t="s">
        <v>91</v>
      </c>
      <c r="K646" s="347" t="s">
        <v>3354</v>
      </c>
      <c r="L646" s="347" t="s">
        <v>98</v>
      </c>
      <c r="M646" s="347" t="s">
        <v>3355</v>
      </c>
      <c r="N646" s="347" t="s">
        <v>3341</v>
      </c>
      <c r="O646" s="347" t="s">
        <v>15</v>
      </c>
      <c r="P646" s="347" t="s">
        <v>2117</v>
      </c>
      <c r="Q646" s="347" t="s">
        <v>2117</v>
      </c>
      <c r="R646" s="8" t="s">
        <v>2117</v>
      </c>
      <c r="S646" s="347" t="s">
        <v>79</v>
      </c>
      <c r="T646" s="347">
        <v>46</v>
      </c>
      <c r="U646" s="350">
        <v>7934.54</v>
      </c>
      <c r="V646" s="347" t="s">
        <v>2117</v>
      </c>
      <c r="W646" s="347">
        <v>0</v>
      </c>
      <c r="X646" s="347">
        <v>9</v>
      </c>
      <c r="Y646" s="347">
        <v>714.11</v>
      </c>
      <c r="Z646" s="347">
        <v>9</v>
      </c>
      <c r="AA646" s="347">
        <v>714.11</v>
      </c>
      <c r="AB646" s="347">
        <v>0</v>
      </c>
      <c r="AC646" s="347">
        <v>0</v>
      </c>
      <c r="AD646" s="347">
        <v>0</v>
      </c>
      <c r="AE646" s="347">
        <v>1428.22</v>
      </c>
      <c r="AF646" s="347">
        <v>0</v>
      </c>
      <c r="AG646" s="347" t="s">
        <v>65</v>
      </c>
      <c r="AH646" s="347" t="s">
        <v>11</v>
      </c>
      <c r="AI646" s="347">
        <v>39269080</v>
      </c>
      <c r="AJ646" s="347" t="s">
        <v>60</v>
      </c>
      <c r="AK646" s="347">
        <v>1</v>
      </c>
      <c r="AL646" s="347">
        <v>0</v>
      </c>
      <c r="AM646" s="347" t="s">
        <v>1940</v>
      </c>
    </row>
    <row r="647" spans="7:39">
      <c r="G647" s="347"/>
      <c r="H647" s="10" t="s">
        <v>3352</v>
      </c>
      <c r="I647" s="347" t="s">
        <v>87</v>
      </c>
      <c r="J647" s="347" t="s">
        <v>91</v>
      </c>
      <c r="K647" s="347" t="s">
        <v>3356</v>
      </c>
      <c r="L647" s="347" t="s">
        <v>98</v>
      </c>
      <c r="M647" s="347" t="s">
        <v>3357</v>
      </c>
      <c r="N647" s="347" t="s">
        <v>3352</v>
      </c>
      <c r="O647" s="347" t="s">
        <v>15</v>
      </c>
      <c r="P647" s="347" t="s">
        <v>2117</v>
      </c>
      <c r="Q647" s="347" t="s">
        <v>2117</v>
      </c>
      <c r="R647" s="8" t="s">
        <v>2117</v>
      </c>
      <c r="S647" s="347" t="s">
        <v>77</v>
      </c>
      <c r="T647" s="347">
        <v>251</v>
      </c>
      <c r="U647" s="350">
        <v>39278.99</v>
      </c>
      <c r="V647" s="347" t="s">
        <v>2117</v>
      </c>
      <c r="W647" s="347">
        <v>1545205.75</v>
      </c>
      <c r="X647" s="347">
        <v>9</v>
      </c>
      <c r="Y647" s="347">
        <v>3535.11</v>
      </c>
      <c r="Z647" s="347">
        <v>9</v>
      </c>
      <c r="AA647" s="347">
        <v>3535.11</v>
      </c>
      <c r="AB647" s="347">
        <v>0</v>
      </c>
      <c r="AC647" s="347">
        <v>0</v>
      </c>
      <c r="AD647" s="347">
        <v>0</v>
      </c>
      <c r="AE647" s="347">
        <v>7070.22</v>
      </c>
      <c r="AF647" s="347">
        <v>0</v>
      </c>
      <c r="AG647" s="347" t="s">
        <v>65</v>
      </c>
      <c r="AH647" s="347" t="s">
        <v>11</v>
      </c>
      <c r="AI647" s="347">
        <v>39269080</v>
      </c>
      <c r="AJ647" s="347" t="s">
        <v>60</v>
      </c>
      <c r="AK647" s="347">
        <v>1</v>
      </c>
      <c r="AL647" s="347">
        <v>0</v>
      </c>
      <c r="AM647" s="347" t="s">
        <v>1940</v>
      </c>
    </row>
    <row r="648" spans="7:39">
      <c r="G648" s="347"/>
      <c r="H648" s="10" t="s">
        <v>3352</v>
      </c>
      <c r="I648" s="347" t="s">
        <v>87</v>
      </c>
      <c r="J648" s="347" t="s">
        <v>91</v>
      </c>
      <c r="K648" s="347" t="s">
        <v>3356</v>
      </c>
      <c r="L648" s="347" t="s">
        <v>98</v>
      </c>
      <c r="M648" s="347" t="s">
        <v>3357</v>
      </c>
      <c r="N648" s="347" t="s">
        <v>3352</v>
      </c>
      <c r="O648" s="347" t="s">
        <v>8</v>
      </c>
      <c r="P648" s="347" t="s">
        <v>659</v>
      </c>
      <c r="Q648" s="347" t="s">
        <v>659</v>
      </c>
      <c r="R648" s="347" t="s">
        <v>4</v>
      </c>
      <c r="S648" s="347" t="s">
        <v>778</v>
      </c>
      <c r="T648" s="350">
        <v>20400</v>
      </c>
      <c r="U648" s="350">
        <v>68544</v>
      </c>
      <c r="V648" s="347" t="s">
        <v>778</v>
      </c>
      <c r="W648" s="347">
        <v>0</v>
      </c>
      <c r="X648" s="347">
        <v>9</v>
      </c>
      <c r="Y648" s="347">
        <v>6168.96</v>
      </c>
      <c r="Z648" s="347">
        <v>9</v>
      </c>
      <c r="AA648" s="347">
        <v>6168.96</v>
      </c>
      <c r="AB648" s="347">
        <v>0</v>
      </c>
      <c r="AC648" s="347">
        <v>0</v>
      </c>
      <c r="AD648" s="347">
        <v>0</v>
      </c>
      <c r="AE648" s="347">
        <v>12337.92</v>
      </c>
      <c r="AF648" s="347">
        <v>0</v>
      </c>
      <c r="AG648" s="347" t="s">
        <v>65</v>
      </c>
      <c r="AH648" s="347" t="s">
        <v>1</v>
      </c>
      <c r="AI648" s="347">
        <v>39232100</v>
      </c>
      <c r="AJ648" s="347" t="s">
        <v>60</v>
      </c>
      <c r="AK648" s="347">
        <v>1</v>
      </c>
      <c r="AL648" s="347">
        <v>375</v>
      </c>
      <c r="AM648" s="347" t="s">
        <v>1940</v>
      </c>
    </row>
    <row r="649" spans="7:39">
      <c r="G649" s="347"/>
      <c r="H649" s="10" t="s">
        <v>3352</v>
      </c>
      <c r="I649" s="347" t="s">
        <v>87</v>
      </c>
      <c r="J649" s="347" t="s">
        <v>91</v>
      </c>
      <c r="K649" s="347" t="s">
        <v>3356</v>
      </c>
      <c r="L649" s="347" t="s">
        <v>98</v>
      </c>
      <c r="M649" s="347" t="s">
        <v>3357</v>
      </c>
      <c r="N649" s="347" t="s">
        <v>3352</v>
      </c>
      <c r="O649" s="347" t="s">
        <v>13</v>
      </c>
      <c r="P649" s="347" t="s">
        <v>80</v>
      </c>
      <c r="Q649" s="347" t="s">
        <v>81</v>
      </c>
      <c r="R649" s="347" t="s">
        <v>82</v>
      </c>
      <c r="S649" s="347" t="s">
        <v>17</v>
      </c>
      <c r="T649" s="350">
        <v>1136.26</v>
      </c>
      <c r="U649" s="350">
        <v>207685.6</v>
      </c>
      <c r="V649" s="347" t="s">
        <v>17</v>
      </c>
      <c r="W649" s="347">
        <v>0</v>
      </c>
      <c r="X649" s="347">
        <v>9</v>
      </c>
      <c r="Y649" s="347">
        <v>18691.7</v>
      </c>
      <c r="Z649" s="347">
        <v>9</v>
      </c>
      <c r="AA649" s="347">
        <v>18691.7</v>
      </c>
      <c r="AB649" s="347">
        <v>0</v>
      </c>
      <c r="AC649" s="347">
        <v>0</v>
      </c>
      <c r="AD649" s="347">
        <v>0</v>
      </c>
      <c r="AE649" s="347">
        <v>37383.4</v>
      </c>
      <c r="AF649" s="347">
        <v>0</v>
      </c>
      <c r="AG649" s="347" t="s">
        <v>65</v>
      </c>
      <c r="AH649" s="347" t="s">
        <v>11</v>
      </c>
      <c r="AI649" s="347">
        <v>39200000</v>
      </c>
      <c r="AJ649" s="347" t="s">
        <v>60</v>
      </c>
      <c r="AK649" s="347">
        <v>1</v>
      </c>
      <c r="AL649" s="347">
        <v>0</v>
      </c>
      <c r="AM649" s="347" t="s">
        <v>1940</v>
      </c>
    </row>
    <row r="650" spans="7:39">
      <c r="G650" s="347"/>
      <c r="H650" s="10" t="s">
        <v>3352</v>
      </c>
      <c r="I650" s="347" t="s">
        <v>87</v>
      </c>
      <c r="J650" s="347" t="s">
        <v>91</v>
      </c>
      <c r="K650" s="347" t="s">
        <v>3356</v>
      </c>
      <c r="L650" s="347" t="s">
        <v>98</v>
      </c>
      <c r="M650" s="347" t="s">
        <v>3357</v>
      </c>
      <c r="N650" s="347" t="s">
        <v>3352</v>
      </c>
      <c r="O650" s="347" t="s">
        <v>13</v>
      </c>
      <c r="P650" s="347" t="s">
        <v>62</v>
      </c>
      <c r="Q650" s="347" t="s">
        <v>63</v>
      </c>
      <c r="R650" s="347" t="s">
        <v>64</v>
      </c>
      <c r="S650" s="347" t="s">
        <v>19</v>
      </c>
      <c r="T650" s="347">
        <v>663</v>
      </c>
      <c r="U650" s="350">
        <v>97122.87</v>
      </c>
      <c r="V650" s="347" t="s">
        <v>19</v>
      </c>
      <c r="W650" s="347">
        <v>0</v>
      </c>
      <c r="X650" s="347">
        <v>9</v>
      </c>
      <c r="Y650" s="347">
        <v>8741.06</v>
      </c>
      <c r="Z650" s="347">
        <v>9</v>
      </c>
      <c r="AA650" s="347">
        <v>8741.06</v>
      </c>
      <c r="AB650" s="347">
        <v>0</v>
      </c>
      <c r="AC650" s="347">
        <v>0</v>
      </c>
      <c r="AD650" s="347">
        <v>0</v>
      </c>
      <c r="AE650" s="347">
        <v>17482.12</v>
      </c>
      <c r="AF650" s="347">
        <v>0</v>
      </c>
      <c r="AG650" s="347" t="s">
        <v>65</v>
      </c>
      <c r="AH650" s="347" t="s">
        <v>11</v>
      </c>
      <c r="AI650" s="347">
        <v>39269080</v>
      </c>
      <c r="AJ650" s="347" t="s">
        <v>60</v>
      </c>
      <c r="AK650" s="347">
        <v>1</v>
      </c>
      <c r="AL650" s="347">
        <v>0</v>
      </c>
      <c r="AM650" s="347" t="s">
        <v>1940</v>
      </c>
    </row>
    <row r="651" spans="7:39">
      <c r="G651" s="347"/>
      <c r="H651" s="10" t="s">
        <v>3352</v>
      </c>
      <c r="I651" s="347" t="s">
        <v>87</v>
      </c>
      <c r="J651" s="347" t="s">
        <v>91</v>
      </c>
      <c r="K651" s="347" t="s">
        <v>3356</v>
      </c>
      <c r="L651" s="347" t="s">
        <v>98</v>
      </c>
      <c r="M651" s="347" t="s">
        <v>3357</v>
      </c>
      <c r="N651" s="347" t="s">
        <v>3352</v>
      </c>
      <c r="O651" s="347" t="s">
        <v>13</v>
      </c>
      <c r="P651" s="347" t="s">
        <v>62</v>
      </c>
      <c r="Q651" s="347" t="s">
        <v>63</v>
      </c>
      <c r="R651" s="347" t="s">
        <v>64</v>
      </c>
      <c r="S651" s="347" t="s">
        <v>19</v>
      </c>
      <c r="T651" s="347">
        <v>565</v>
      </c>
      <c r="U651" s="350">
        <v>81636.850000000006</v>
      </c>
      <c r="V651" s="347" t="s">
        <v>19</v>
      </c>
      <c r="W651" s="347">
        <v>0</v>
      </c>
      <c r="X651" s="347">
        <v>9</v>
      </c>
      <c r="Y651" s="347">
        <v>7347.32</v>
      </c>
      <c r="Z651" s="347">
        <v>9</v>
      </c>
      <c r="AA651" s="347">
        <v>7347.32</v>
      </c>
      <c r="AB651" s="347">
        <v>0</v>
      </c>
      <c r="AC651" s="347">
        <v>0</v>
      </c>
      <c r="AD651" s="347">
        <v>0</v>
      </c>
      <c r="AE651" s="347">
        <v>14694.64</v>
      </c>
      <c r="AF651" s="347">
        <v>0</v>
      </c>
      <c r="AG651" s="347" t="s">
        <v>65</v>
      </c>
      <c r="AH651" s="347" t="s">
        <v>11</v>
      </c>
      <c r="AI651" s="347">
        <v>39269080</v>
      </c>
      <c r="AJ651" s="347" t="s">
        <v>60</v>
      </c>
      <c r="AK651" s="347">
        <v>1</v>
      </c>
      <c r="AL651" s="347">
        <v>0</v>
      </c>
      <c r="AM651" s="347" t="s">
        <v>1940</v>
      </c>
    </row>
    <row r="652" spans="7:39">
      <c r="G652" s="347"/>
      <c r="H652" s="10" t="s">
        <v>3352</v>
      </c>
      <c r="I652" s="347" t="s">
        <v>87</v>
      </c>
      <c r="J652" s="347" t="s">
        <v>91</v>
      </c>
      <c r="K652" s="347" t="s">
        <v>3356</v>
      </c>
      <c r="L652" s="347" t="s">
        <v>98</v>
      </c>
      <c r="M652" s="347" t="s">
        <v>3357</v>
      </c>
      <c r="N652" s="347" t="s">
        <v>3352</v>
      </c>
      <c r="O652" s="347" t="s">
        <v>13</v>
      </c>
      <c r="P652" s="347" t="s">
        <v>62</v>
      </c>
      <c r="Q652" s="347" t="s">
        <v>76</v>
      </c>
      <c r="R652" s="347" t="s">
        <v>77</v>
      </c>
      <c r="S652" s="347" t="s">
        <v>21</v>
      </c>
      <c r="T652" s="350">
        <v>1012</v>
      </c>
      <c r="U652" s="350">
        <v>150271.88</v>
      </c>
      <c r="V652" s="347" t="s">
        <v>21</v>
      </c>
      <c r="W652" s="347">
        <v>0</v>
      </c>
      <c r="X652" s="347">
        <v>9</v>
      </c>
      <c r="Y652" s="347">
        <v>13524.47</v>
      </c>
      <c r="Z652" s="347">
        <v>9</v>
      </c>
      <c r="AA652" s="347">
        <v>13524.47</v>
      </c>
      <c r="AB652" s="347">
        <v>0</v>
      </c>
      <c r="AC652" s="347">
        <v>0</v>
      </c>
      <c r="AD652" s="347">
        <v>0</v>
      </c>
      <c r="AE652" s="347">
        <v>27048.94</v>
      </c>
      <c r="AF652" s="347">
        <v>0</v>
      </c>
      <c r="AG652" s="347" t="s">
        <v>65</v>
      </c>
      <c r="AH652" s="347" t="s">
        <v>11</v>
      </c>
      <c r="AI652" s="347">
        <v>63053300</v>
      </c>
      <c r="AJ652" s="347" t="s">
        <v>60</v>
      </c>
      <c r="AK652" s="347">
        <v>1</v>
      </c>
      <c r="AL652" s="347">
        <v>0</v>
      </c>
      <c r="AM652" s="347" t="s">
        <v>1940</v>
      </c>
    </row>
    <row r="653" spans="7:39">
      <c r="G653" s="347"/>
      <c r="H653" s="10" t="s">
        <v>3352</v>
      </c>
      <c r="I653" s="347" t="s">
        <v>87</v>
      </c>
      <c r="J653" s="347" t="s">
        <v>91</v>
      </c>
      <c r="K653" s="347" t="s">
        <v>3356</v>
      </c>
      <c r="L653" s="347" t="s">
        <v>98</v>
      </c>
      <c r="M653" s="347" t="s">
        <v>3357</v>
      </c>
      <c r="N653" s="347" t="s">
        <v>3352</v>
      </c>
      <c r="O653" s="347" t="s">
        <v>13</v>
      </c>
      <c r="P653" s="347" t="s">
        <v>62</v>
      </c>
      <c r="Q653" s="347" t="s">
        <v>76</v>
      </c>
      <c r="R653" s="347" t="s">
        <v>77</v>
      </c>
      <c r="S653" s="347" t="s">
        <v>21</v>
      </c>
      <c r="T653" s="350">
        <v>1084</v>
      </c>
      <c r="U653" s="350">
        <v>158795.16</v>
      </c>
      <c r="V653" s="347" t="s">
        <v>21</v>
      </c>
      <c r="W653" s="347">
        <v>0</v>
      </c>
      <c r="X653" s="347">
        <v>9</v>
      </c>
      <c r="Y653" s="347">
        <v>14291.56</v>
      </c>
      <c r="Z653" s="347">
        <v>9</v>
      </c>
      <c r="AA653" s="347">
        <v>14291.56</v>
      </c>
      <c r="AB653" s="347">
        <v>0</v>
      </c>
      <c r="AC653" s="347">
        <v>0</v>
      </c>
      <c r="AD653" s="347">
        <v>0</v>
      </c>
      <c r="AE653" s="347">
        <v>28583.119999999999</v>
      </c>
      <c r="AF653" s="347">
        <v>0</v>
      </c>
      <c r="AG653" s="347" t="s">
        <v>65</v>
      </c>
      <c r="AH653" s="347" t="s">
        <v>11</v>
      </c>
      <c r="AI653" s="347">
        <v>63053300</v>
      </c>
      <c r="AJ653" s="347" t="s">
        <v>60</v>
      </c>
      <c r="AK653" s="347">
        <v>1</v>
      </c>
      <c r="AL653" s="347">
        <v>0</v>
      </c>
      <c r="AM653" s="347" t="s">
        <v>1940</v>
      </c>
    </row>
    <row r="654" spans="7:39">
      <c r="G654" s="347"/>
      <c r="H654" s="10" t="s">
        <v>3352</v>
      </c>
      <c r="I654" s="347" t="s">
        <v>87</v>
      </c>
      <c r="J654" s="347" t="s">
        <v>91</v>
      </c>
      <c r="K654" s="347" t="s">
        <v>3356</v>
      </c>
      <c r="L654" s="347" t="s">
        <v>98</v>
      </c>
      <c r="M654" s="347" t="s">
        <v>3357</v>
      </c>
      <c r="N654" s="347" t="s">
        <v>3352</v>
      </c>
      <c r="O654" s="347" t="s">
        <v>13</v>
      </c>
      <c r="P654" s="347" t="s">
        <v>62</v>
      </c>
      <c r="Q654" s="347" t="s">
        <v>76</v>
      </c>
      <c r="R654" s="347" t="s">
        <v>77</v>
      </c>
      <c r="S654" s="347" t="s">
        <v>21</v>
      </c>
      <c r="T654" s="350">
        <v>1590</v>
      </c>
      <c r="U654" s="350">
        <v>240869.1</v>
      </c>
      <c r="V654" s="347" t="s">
        <v>21</v>
      </c>
      <c r="W654" s="347">
        <v>0</v>
      </c>
      <c r="X654" s="347">
        <v>9</v>
      </c>
      <c r="Y654" s="347">
        <v>21678.22</v>
      </c>
      <c r="Z654" s="347">
        <v>9</v>
      </c>
      <c r="AA654" s="347">
        <v>21678.22</v>
      </c>
      <c r="AB654" s="347">
        <v>0</v>
      </c>
      <c r="AC654" s="347">
        <v>0</v>
      </c>
      <c r="AD654" s="347">
        <v>0</v>
      </c>
      <c r="AE654" s="347">
        <v>43356.44</v>
      </c>
      <c r="AF654" s="347">
        <v>0</v>
      </c>
      <c r="AG654" s="347" t="s">
        <v>65</v>
      </c>
      <c r="AH654" s="347" t="s">
        <v>11</v>
      </c>
      <c r="AI654" s="347">
        <v>63053300</v>
      </c>
      <c r="AJ654" s="347" t="s">
        <v>60</v>
      </c>
      <c r="AK654" s="347">
        <v>1</v>
      </c>
      <c r="AL654" s="347">
        <v>0</v>
      </c>
      <c r="AM654" s="347" t="s">
        <v>1940</v>
      </c>
    </row>
    <row r="655" spans="7:39">
      <c r="G655" s="347"/>
      <c r="H655" s="10" t="s">
        <v>3352</v>
      </c>
      <c r="I655" s="347" t="s">
        <v>87</v>
      </c>
      <c r="J655" s="347" t="s">
        <v>91</v>
      </c>
      <c r="K655" s="347" t="s">
        <v>3356</v>
      </c>
      <c r="L655" s="347" t="s">
        <v>98</v>
      </c>
      <c r="M655" s="347" t="s">
        <v>3357</v>
      </c>
      <c r="N655" s="347" t="s">
        <v>3352</v>
      </c>
      <c r="O655" s="347" t="s">
        <v>13</v>
      </c>
      <c r="P655" s="347" t="s">
        <v>24</v>
      </c>
      <c r="Q655" s="347" t="s">
        <v>79</v>
      </c>
      <c r="R655" s="347" t="s">
        <v>79</v>
      </c>
      <c r="S655" s="347" t="s">
        <v>24</v>
      </c>
      <c r="T655" s="350">
        <v>753.1</v>
      </c>
      <c r="U655" s="347">
        <v>110321.62</v>
      </c>
      <c r="V655" s="347" t="s">
        <v>24</v>
      </c>
      <c r="W655" s="347">
        <v>0</v>
      </c>
      <c r="X655" s="347">
        <v>9</v>
      </c>
      <c r="Y655" s="347">
        <v>9928.9500000000007</v>
      </c>
      <c r="Z655" s="347">
        <v>9</v>
      </c>
      <c r="AA655" s="347">
        <v>9928.9500000000007</v>
      </c>
      <c r="AB655" s="347">
        <v>0</v>
      </c>
      <c r="AC655" s="347">
        <v>0</v>
      </c>
      <c r="AD655" s="347">
        <v>0</v>
      </c>
      <c r="AE655" s="347">
        <v>19857.900000000001</v>
      </c>
      <c r="AF655" s="347">
        <v>0</v>
      </c>
      <c r="AG655" s="347" t="s">
        <v>65</v>
      </c>
      <c r="AH655" s="347" t="s">
        <v>11</v>
      </c>
      <c r="AI655" s="347">
        <v>3926908</v>
      </c>
      <c r="AJ655" s="347" t="s">
        <v>60</v>
      </c>
      <c r="AK655" s="347">
        <v>1</v>
      </c>
      <c r="AL655" s="347">
        <v>0</v>
      </c>
      <c r="AM655" s="347" t="s">
        <v>1940</v>
      </c>
    </row>
    <row r="656" spans="7:39">
      <c r="G656" s="347"/>
      <c r="H656" s="10" t="s">
        <v>3352</v>
      </c>
      <c r="I656" s="347" t="s">
        <v>87</v>
      </c>
      <c r="J656" s="347" t="s">
        <v>91</v>
      </c>
      <c r="K656" s="347" t="s">
        <v>3356</v>
      </c>
      <c r="L656" s="347" t="s">
        <v>98</v>
      </c>
      <c r="M656" s="347" t="s">
        <v>3357</v>
      </c>
      <c r="N656" s="347" t="s">
        <v>3352</v>
      </c>
      <c r="O656" s="347" t="s">
        <v>13</v>
      </c>
      <c r="P656" s="347" t="s">
        <v>24</v>
      </c>
      <c r="Q656" s="347" t="s">
        <v>79</v>
      </c>
      <c r="R656" s="347" t="s">
        <v>79</v>
      </c>
      <c r="S656" s="347" t="s">
        <v>24</v>
      </c>
      <c r="T656" s="350">
        <v>1044.0999999999999</v>
      </c>
      <c r="U656" s="347">
        <v>156082.51</v>
      </c>
      <c r="V656" s="347" t="s">
        <v>24</v>
      </c>
      <c r="W656" s="347">
        <v>0</v>
      </c>
      <c r="X656" s="347">
        <v>9</v>
      </c>
      <c r="Y656" s="347">
        <v>14047.43</v>
      </c>
      <c r="Z656" s="347">
        <v>9</v>
      </c>
      <c r="AA656" s="347">
        <v>14047.43</v>
      </c>
      <c r="AB656" s="347">
        <v>0</v>
      </c>
      <c r="AC656" s="347">
        <v>0</v>
      </c>
      <c r="AD656" s="347">
        <v>0</v>
      </c>
      <c r="AE656" s="347">
        <v>28094.86</v>
      </c>
      <c r="AF656" s="347">
        <v>0</v>
      </c>
      <c r="AG656" s="347" t="s">
        <v>65</v>
      </c>
      <c r="AH656" s="347" t="s">
        <v>11</v>
      </c>
      <c r="AI656" s="347">
        <v>3926908</v>
      </c>
      <c r="AJ656" s="347" t="s">
        <v>60</v>
      </c>
      <c r="AK656" s="347">
        <v>1</v>
      </c>
      <c r="AL656" s="347">
        <v>0</v>
      </c>
      <c r="AM656" s="347" t="s">
        <v>1940</v>
      </c>
    </row>
    <row r="657" spans="7:39">
      <c r="G657" s="347"/>
      <c r="H657" s="10" t="s">
        <v>3352</v>
      </c>
      <c r="I657" s="347" t="s">
        <v>87</v>
      </c>
      <c r="J657" s="347" t="s">
        <v>91</v>
      </c>
      <c r="K657" s="347" t="s">
        <v>3358</v>
      </c>
      <c r="L657" s="347" t="s">
        <v>98</v>
      </c>
      <c r="M657" s="347" t="s">
        <v>3359</v>
      </c>
      <c r="N657" s="347" t="s">
        <v>3352</v>
      </c>
      <c r="O657" s="347" t="s">
        <v>13</v>
      </c>
      <c r="P657" s="347" t="s">
        <v>24</v>
      </c>
      <c r="Q657" s="347" t="s">
        <v>79</v>
      </c>
      <c r="R657" s="347" t="s">
        <v>79</v>
      </c>
      <c r="S657" s="347" t="s">
        <v>24</v>
      </c>
      <c r="T657" s="347">
        <v>70.2</v>
      </c>
      <c r="U657" s="350">
        <v>10494.2</v>
      </c>
      <c r="V657" s="347" t="s">
        <v>24</v>
      </c>
      <c r="W657" s="347">
        <v>1385764.27</v>
      </c>
      <c r="X657" s="347">
        <v>9</v>
      </c>
      <c r="Y657" s="347">
        <v>944.48</v>
      </c>
      <c r="Z657" s="347">
        <v>9</v>
      </c>
      <c r="AA657" s="347">
        <v>944.48</v>
      </c>
      <c r="AB657" s="347">
        <v>0</v>
      </c>
      <c r="AC657" s="347">
        <v>0</v>
      </c>
      <c r="AD657" s="347">
        <v>0</v>
      </c>
      <c r="AE657" s="347">
        <v>1888.96</v>
      </c>
      <c r="AF657" s="347">
        <v>0</v>
      </c>
      <c r="AG657" s="347" t="s">
        <v>65</v>
      </c>
      <c r="AH657" s="347" t="s">
        <v>11</v>
      </c>
      <c r="AI657" s="347">
        <v>3926908</v>
      </c>
      <c r="AJ657" s="347" t="s">
        <v>60</v>
      </c>
      <c r="AK657" s="347">
        <v>1</v>
      </c>
      <c r="AL657" s="347">
        <v>0</v>
      </c>
      <c r="AM657" s="347" t="s">
        <v>1940</v>
      </c>
    </row>
    <row r="658" spans="7:39">
      <c r="G658" s="347"/>
      <c r="H658" s="10" t="s">
        <v>3352</v>
      </c>
      <c r="I658" s="347" t="s">
        <v>87</v>
      </c>
      <c r="J658" s="347" t="s">
        <v>91</v>
      </c>
      <c r="K658" s="347" t="s">
        <v>3358</v>
      </c>
      <c r="L658" s="347" t="s">
        <v>98</v>
      </c>
      <c r="M658" s="347" t="s">
        <v>3359</v>
      </c>
      <c r="N658" s="347" t="s">
        <v>3352</v>
      </c>
      <c r="O658" s="347" t="s">
        <v>13</v>
      </c>
      <c r="P658" s="347" t="s">
        <v>62</v>
      </c>
      <c r="Q658" s="347" t="s">
        <v>63</v>
      </c>
      <c r="R658" s="347" t="s">
        <v>64</v>
      </c>
      <c r="S658" s="347" t="s">
        <v>19</v>
      </c>
      <c r="T658" s="350">
        <v>8062</v>
      </c>
      <c r="U658" s="347">
        <v>1164878.3799999999</v>
      </c>
      <c r="V658" s="347" t="s">
        <v>19</v>
      </c>
      <c r="W658" s="347">
        <v>0</v>
      </c>
      <c r="X658" s="347">
        <v>9</v>
      </c>
      <c r="Y658" s="347">
        <v>104839.05</v>
      </c>
      <c r="Z658" s="347">
        <v>9</v>
      </c>
      <c r="AA658" s="347">
        <v>104839.05</v>
      </c>
      <c r="AB658" s="347">
        <v>0</v>
      </c>
      <c r="AC658" s="347">
        <v>0</v>
      </c>
      <c r="AD658" s="347">
        <v>0</v>
      </c>
      <c r="AE658" s="347">
        <v>209678.1</v>
      </c>
      <c r="AF658" s="347">
        <v>0</v>
      </c>
      <c r="AG658" s="347" t="s">
        <v>65</v>
      </c>
      <c r="AH658" s="347" t="s">
        <v>11</v>
      </c>
      <c r="AI658" s="347">
        <v>39269080</v>
      </c>
      <c r="AJ658" s="347" t="s">
        <v>60</v>
      </c>
      <c r="AK658" s="347">
        <v>1</v>
      </c>
      <c r="AL658" s="347">
        <v>0</v>
      </c>
      <c r="AM658" s="347" t="s">
        <v>1940</v>
      </c>
    </row>
    <row r="659" spans="7:39">
      <c r="G659" s="347"/>
      <c r="H659" s="10" t="s">
        <v>3352</v>
      </c>
      <c r="I659" s="347" t="s">
        <v>87</v>
      </c>
      <c r="J659" s="347" t="s">
        <v>91</v>
      </c>
      <c r="K659" s="347" t="s">
        <v>3360</v>
      </c>
      <c r="L659" s="347" t="s">
        <v>98</v>
      </c>
      <c r="M659" s="347" t="s">
        <v>3361</v>
      </c>
      <c r="N659" s="347" t="s">
        <v>3352</v>
      </c>
      <c r="O659" s="347" t="s">
        <v>13</v>
      </c>
      <c r="P659" s="347" t="s">
        <v>62</v>
      </c>
      <c r="Q659" s="347" t="s">
        <v>63</v>
      </c>
      <c r="R659" s="347" t="s">
        <v>64</v>
      </c>
      <c r="S659" s="347" t="s">
        <v>19</v>
      </c>
      <c r="T659" s="350">
        <v>1289</v>
      </c>
      <c r="U659" s="347">
        <v>186247.61</v>
      </c>
      <c r="V659" s="347" t="s">
        <v>19</v>
      </c>
      <c r="W659" s="347">
        <v>227975.35</v>
      </c>
      <c r="X659" s="347">
        <v>9</v>
      </c>
      <c r="Y659" s="347">
        <v>16762.28</v>
      </c>
      <c r="Z659" s="347">
        <v>9</v>
      </c>
      <c r="AA659" s="347">
        <v>16762.28</v>
      </c>
      <c r="AB659" s="347">
        <v>0</v>
      </c>
      <c r="AC659" s="347">
        <v>0</v>
      </c>
      <c r="AD659" s="347">
        <v>0</v>
      </c>
      <c r="AE659" s="347">
        <v>33524.559999999998</v>
      </c>
      <c r="AF659" s="347">
        <v>0</v>
      </c>
      <c r="AG659" s="347" t="s">
        <v>65</v>
      </c>
      <c r="AH659" s="347" t="s">
        <v>11</v>
      </c>
      <c r="AI659" s="347">
        <v>39269080</v>
      </c>
      <c r="AJ659" s="347" t="s">
        <v>60</v>
      </c>
      <c r="AK659" s="347">
        <v>1</v>
      </c>
      <c r="AL659" s="347">
        <v>0</v>
      </c>
      <c r="AM659" s="347" t="s">
        <v>1940</v>
      </c>
    </row>
    <row r="660" spans="7:39">
      <c r="G660" s="347"/>
      <c r="H660" s="10" t="s">
        <v>3352</v>
      </c>
      <c r="I660" s="347" t="s">
        <v>87</v>
      </c>
      <c r="J660" s="347" t="s">
        <v>91</v>
      </c>
      <c r="K660" s="347" t="s">
        <v>3360</v>
      </c>
      <c r="L660" s="347" t="s">
        <v>98</v>
      </c>
      <c r="M660" s="347" t="s">
        <v>3361</v>
      </c>
      <c r="N660" s="347" t="s">
        <v>3352</v>
      </c>
      <c r="O660" s="347" t="s">
        <v>13</v>
      </c>
      <c r="P660" s="347" t="s">
        <v>24</v>
      </c>
      <c r="Q660" s="347" t="s">
        <v>79</v>
      </c>
      <c r="R660" s="347" t="s">
        <v>79</v>
      </c>
      <c r="S660" s="347" t="s">
        <v>24</v>
      </c>
      <c r="T660" s="350">
        <v>47.6</v>
      </c>
      <c r="U660" s="350">
        <v>7115.72</v>
      </c>
      <c r="V660" s="347" t="s">
        <v>24</v>
      </c>
      <c r="W660" s="347">
        <v>0</v>
      </c>
      <c r="X660" s="347">
        <v>9</v>
      </c>
      <c r="Y660" s="347">
        <v>640.41999999999996</v>
      </c>
      <c r="Z660" s="347">
        <v>9</v>
      </c>
      <c r="AA660" s="347">
        <v>640.41999999999996</v>
      </c>
      <c r="AB660" s="347">
        <v>0</v>
      </c>
      <c r="AC660" s="347">
        <v>0</v>
      </c>
      <c r="AD660" s="347">
        <v>0</v>
      </c>
      <c r="AE660" s="347">
        <v>1280.8399999999999</v>
      </c>
      <c r="AF660" s="347">
        <v>0</v>
      </c>
      <c r="AG660" s="347" t="s">
        <v>65</v>
      </c>
      <c r="AH660" s="347" t="s">
        <v>11</v>
      </c>
      <c r="AI660" s="347">
        <v>3926908</v>
      </c>
      <c r="AJ660" s="347" t="s">
        <v>60</v>
      </c>
      <c r="AK660" s="347">
        <v>1</v>
      </c>
      <c r="AL660" s="347">
        <v>0</v>
      </c>
      <c r="AM660" s="347" t="s">
        <v>1940</v>
      </c>
    </row>
    <row r="661" spans="7:39">
      <c r="G661" s="347"/>
      <c r="H661" s="10" t="s">
        <v>3352</v>
      </c>
      <c r="I661" s="347" t="s">
        <v>774</v>
      </c>
      <c r="J661" s="347" t="s">
        <v>96</v>
      </c>
      <c r="K661" s="347" t="s">
        <v>3362</v>
      </c>
      <c r="L661" s="347" t="s">
        <v>97</v>
      </c>
      <c r="M661" s="347">
        <v>9552</v>
      </c>
      <c r="N661" s="347" t="s">
        <v>3153</v>
      </c>
      <c r="O661" s="347" t="s">
        <v>5</v>
      </c>
      <c r="P661" s="347" t="s">
        <v>106</v>
      </c>
      <c r="Q661" s="347" t="s">
        <v>68</v>
      </c>
      <c r="R661" s="347" t="s">
        <v>69</v>
      </c>
      <c r="S661" s="347" t="s">
        <v>9</v>
      </c>
      <c r="T661" s="347">
        <v>395.79300000000001</v>
      </c>
      <c r="U661" s="347">
        <v>455.16</v>
      </c>
      <c r="V661" s="347" t="s">
        <v>9</v>
      </c>
      <c r="W661" s="347">
        <v>5146</v>
      </c>
      <c r="X661" s="347">
        <v>9</v>
      </c>
      <c r="Y661" s="347">
        <v>40.96</v>
      </c>
      <c r="Z661" s="347">
        <v>9</v>
      </c>
      <c r="AA661" s="347">
        <v>40.96</v>
      </c>
      <c r="AB661" s="347">
        <v>0</v>
      </c>
      <c r="AC661" s="347">
        <v>0</v>
      </c>
      <c r="AD661" s="347">
        <v>0</v>
      </c>
      <c r="AE661" s="347">
        <v>81.92</v>
      </c>
      <c r="AF661" s="347">
        <v>0</v>
      </c>
      <c r="AG661" s="347" t="s">
        <v>2278</v>
      </c>
      <c r="AH661" s="347" t="s">
        <v>10</v>
      </c>
      <c r="AI661" s="347">
        <v>37013000</v>
      </c>
      <c r="AJ661" s="347" t="s">
        <v>60</v>
      </c>
      <c r="AK661" s="347">
        <v>1</v>
      </c>
      <c r="AL661" s="347">
        <v>0</v>
      </c>
      <c r="AM661" s="347" t="s">
        <v>1940</v>
      </c>
    </row>
    <row r="662" spans="7:39">
      <c r="G662" s="347"/>
      <c r="H662" s="10" t="s">
        <v>3352</v>
      </c>
      <c r="I662" s="347" t="s">
        <v>774</v>
      </c>
      <c r="J662" s="347" t="s">
        <v>96</v>
      </c>
      <c r="K662" s="347" t="s">
        <v>3362</v>
      </c>
      <c r="L662" s="347" t="s">
        <v>97</v>
      </c>
      <c r="M662" s="347">
        <v>9552</v>
      </c>
      <c r="N662" s="347" t="s">
        <v>3153</v>
      </c>
      <c r="O662" s="347" t="s">
        <v>5</v>
      </c>
      <c r="P662" s="347" t="s">
        <v>106</v>
      </c>
      <c r="Q662" s="347" t="s">
        <v>68</v>
      </c>
      <c r="R662" s="347" t="s">
        <v>69</v>
      </c>
      <c r="S662" s="347" t="s">
        <v>9</v>
      </c>
      <c r="T662" s="347">
        <v>283.18</v>
      </c>
      <c r="U662" s="350">
        <v>325.66000000000003</v>
      </c>
      <c r="V662" s="347" t="s">
        <v>9</v>
      </c>
      <c r="W662" s="347">
        <v>0</v>
      </c>
      <c r="X662" s="347">
        <v>9</v>
      </c>
      <c r="Y662" s="347">
        <v>29.31</v>
      </c>
      <c r="Z662" s="347">
        <v>9</v>
      </c>
      <c r="AA662" s="347">
        <v>29.31</v>
      </c>
      <c r="AB662" s="347">
        <v>0</v>
      </c>
      <c r="AC662" s="347">
        <v>0</v>
      </c>
      <c r="AD662" s="347">
        <v>0</v>
      </c>
      <c r="AE662" s="347">
        <v>58.62</v>
      </c>
      <c r="AF662" s="347">
        <v>0</v>
      </c>
      <c r="AG662" s="347" t="s">
        <v>2278</v>
      </c>
      <c r="AH662" s="347" t="s">
        <v>10</v>
      </c>
      <c r="AI662" s="347">
        <v>37013000</v>
      </c>
      <c r="AJ662" s="347" t="s">
        <v>60</v>
      </c>
      <c r="AK662" s="347">
        <v>1</v>
      </c>
      <c r="AL662" s="347">
        <v>0</v>
      </c>
      <c r="AM662" s="347" t="s">
        <v>1940</v>
      </c>
    </row>
    <row r="663" spans="7:39">
      <c r="G663" s="347"/>
      <c r="H663" s="10" t="s">
        <v>3352</v>
      </c>
      <c r="I663" s="347" t="s">
        <v>774</v>
      </c>
      <c r="J663" s="347" t="s">
        <v>96</v>
      </c>
      <c r="K663" s="347" t="s">
        <v>3362</v>
      </c>
      <c r="L663" s="347" t="s">
        <v>97</v>
      </c>
      <c r="M663" s="347">
        <v>9552</v>
      </c>
      <c r="N663" s="347" t="s">
        <v>3153</v>
      </c>
      <c r="O663" s="347" t="s">
        <v>5</v>
      </c>
      <c r="P663" s="347" t="s">
        <v>106</v>
      </c>
      <c r="Q663" s="347" t="s">
        <v>68</v>
      </c>
      <c r="R663" s="347" t="s">
        <v>69</v>
      </c>
      <c r="S663" s="347" t="s">
        <v>9</v>
      </c>
      <c r="T663" s="350">
        <v>3113.46</v>
      </c>
      <c r="U663" s="350">
        <v>3580.48</v>
      </c>
      <c r="V663" s="347" t="s">
        <v>9</v>
      </c>
      <c r="W663" s="347">
        <v>0</v>
      </c>
      <c r="X663" s="347">
        <v>9</v>
      </c>
      <c r="Y663" s="347">
        <v>322.24</v>
      </c>
      <c r="Z663" s="347">
        <v>9</v>
      </c>
      <c r="AA663" s="347">
        <v>322.24</v>
      </c>
      <c r="AB663" s="347">
        <v>0</v>
      </c>
      <c r="AC663" s="347">
        <v>0</v>
      </c>
      <c r="AD663" s="347">
        <v>0</v>
      </c>
      <c r="AE663" s="347">
        <v>644.48</v>
      </c>
      <c r="AF663" s="347">
        <v>0</v>
      </c>
      <c r="AG663" s="347" t="s">
        <v>2278</v>
      </c>
      <c r="AH663" s="347" t="s">
        <v>10</v>
      </c>
      <c r="AI663" s="347">
        <v>37013000</v>
      </c>
      <c r="AJ663" s="347" t="s">
        <v>60</v>
      </c>
      <c r="AK663" s="347">
        <v>1</v>
      </c>
      <c r="AL663" s="347">
        <v>0</v>
      </c>
      <c r="AM663" s="347" t="s">
        <v>1940</v>
      </c>
    </row>
    <row r="664" spans="7:39">
      <c r="G664" s="347"/>
      <c r="H664" s="10" t="s">
        <v>3352</v>
      </c>
      <c r="I664" s="347" t="s">
        <v>774</v>
      </c>
      <c r="J664" s="347" t="s">
        <v>96</v>
      </c>
      <c r="K664" s="347" t="s">
        <v>3363</v>
      </c>
      <c r="L664" s="347" t="s">
        <v>97</v>
      </c>
      <c r="M664" s="347">
        <v>9591</v>
      </c>
      <c r="N664" s="347" t="s">
        <v>3264</v>
      </c>
      <c r="O664" s="347" t="s">
        <v>5</v>
      </c>
      <c r="P664" s="347" t="s">
        <v>106</v>
      </c>
      <c r="Q664" s="347" t="s">
        <v>68</v>
      </c>
      <c r="R664" s="347" t="s">
        <v>69</v>
      </c>
      <c r="S664" s="347" t="s">
        <v>9</v>
      </c>
      <c r="T664" s="347">
        <v>311.58</v>
      </c>
      <c r="U664" s="350">
        <v>358.32</v>
      </c>
      <c r="V664" s="347" t="s">
        <v>9</v>
      </c>
      <c r="W664" s="347">
        <v>1622</v>
      </c>
      <c r="X664" s="347">
        <v>9</v>
      </c>
      <c r="Y664" s="347">
        <v>32.25</v>
      </c>
      <c r="Z664" s="347">
        <v>9</v>
      </c>
      <c r="AA664" s="347">
        <v>32.25</v>
      </c>
      <c r="AB664" s="347">
        <v>0</v>
      </c>
      <c r="AC664" s="347">
        <v>0</v>
      </c>
      <c r="AD664" s="347">
        <v>0</v>
      </c>
      <c r="AE664" s="347">
        <v>64.5</v>
      </c>
      <c r="AF664" s="347">
        <v>0</v>
      </c>
      <c r="AG664" s="347" t="s">
        <v>2278</v>
      </c>
      <c r="AH664" s="347" t="s">
        <v>10</v>
      </c>
      <c r="AI664" s="347">
        <v>37013000</v>
      </c>
      <c r="AJ664" s="347" t="s">
        <v>60</v>
      </c>
      <c r="AK664" s="347">
        <v>1</v>
      </c>
      <c r="AL664" s="347">
        <v>0</v>
      </c>
      <c r="AM664" s="347" t="s">
        <v>1940</v>
      </c>
    </row>
    <row r="665" spans="7:39">
      <c r="G665" s="347"/>
      <c r="H665" s="10" t="s">
        <v>3352</v>
      </c>
      <c r="I665" s="347" t="s">
        <v>774</v>
      </c>
      <c r="J665" s="347" t="s">
        <v>96</v>
      </c>
      <c r="K665" s="347" t="s">
        <v>3363</v>
      </c>
      <c r="L665" s="347" t="s">
        <v>97</v>
      </c>
      <c r="M665" s="347">
        <v>9591</v>
      </c>
      <c r="N665" s="347" t="s">
        <v>3264</v>
      </c>
      <c r="O665" s="347" t="s">
        <v>5</v>
      </c>
      <c r="P665" s="347" t="s">
        <v>106</v>
      </c>
      <c r="Q665" s="347" t="s">
        <v>68</v>
      </c>
      <c r="R665" s="347" t="s">
        <v>69</v>
      </c>
      <c r="S665" s="347" t="s">
        <v>9</v>
      </c>
      <c r="T665" s="347">
        <v>884</v>
      </c>
      <c r="U665" s="350">
        <v>1016.6</v>
      </c>
      <c r="V665" s="347" t="s">
        <v>9</v>
      </c>
      <c r="W665" s="347">
        <v>0</v>
      </c>
      <c r="X665" s="347">
        <v>9</v>
      </c>
      <c r="Y665" s="347">
        <v>91.49</v>
      </c>
      <c r="Z665" s="347">
        <v>9</v>
      </c>
      <c r="AA665" s="347">
        <v>91.49</v>
      </c>
      <c r="AB665" s="347">
        <v>0</v>
      </c>
      <c r="AC665" s="347">
        <v>0</v>
      </c>
      <c r="AD665" s="347">
        <v>0</v>
      </c>
      <c r="AE665" s="347">
        <v>182.98</v>
      </c>
      <c r="AF665" s="347">
        <v>0</v>
      </c>
      <c r="AG665" s="347" t="s">
        <v>2278</v>
      </c>
      <c r="AH665" s="347" t="s">
        <v>10</v>
      </c>
      <c r="AI665" s="347">
        <v>37013000</v>
      </c>
      <c r="AJ665" s="347" t="s">
        <v>60</v>
      </c>
      <c r="AK665" s="347">
        <v>1</v>
      </c>
      <c r="AL665" s="347">
        <v>0</v>
      </c>
      <c r="AM665" s="347" t="s">
        <v>1940</v>
      </c>
    </row>
    <row r="666" spans="7:39">
      <c r="G666" s="347"/>
      <c r="H666" s="10" t="s">
        <v>3352</v>
      </c>
      <c r="I666" s="347" t="s">
        <v>774</v>
      </c>
      <c r="J666" s="347" t="s">
        <v>96</v>
      </c>
      <c r="K666" s="347" t="s">
        <v>3364</v>
      </c>
      <c r="L666" s="347" t="s">
        <v>97</v>
      </c>
      <c r="M666" s="347">
        <v>9485</v>
      </c>
      <c r="N666" s="347" t="s">
        <v>2996</v>
      </c>
      <c r="O666" s="347" t="s">
        <v>5</v>
      </c>
      <c r="P666" s="347" t="s">
        <v>106</v>
      </c>
      <c r="Q666" s="347" t="s">
        <v>68</v>
      </c>
      <c r="R666" s="347" t="s">
        <v>69</v>
      </c>
      <c r="S666" s="347" t="s">
        <v>9</v>
      </c>
      <c r="T666" s="350">
        <v>1802</v>
      </c>
      <c r="U666" s="350">
        <v>2072.3000000000002</v>
      </c>
      <c r="V666" s="347" t="s">
        <v>9</v>
      </c>
      <c r="W666" s="347">
        <v>2445.31</v>
      </c>
      <c r="X666" s="347">
        <v>9</v>
      </c>
      <c r="Y666" s="347">
        <v>186.51</v>
      </c>
      <c r="Z666" s="347">
        <v>9</v>
      </c>
      <c r="AA666" s="347">
        <v>186.51</v>
      </c>
      <c r="AB666" s="347">
        <v>0</v>
      </c>
      <c r="AC666" s="347">
        <v>0</v>
      </c>
      <c r="AD666" s="347">
        <v>0</v>
      </c>
      <c r="AE666" s="347">
        <v>373.02</v>
      </c>
      <c r="AF666" s="347">
        <v>0</v>
      </c>
      <c r="AG666" s="347" t="s">
        <v>2278</v>
      </c>
      <c r="AH666" s="347" t="s">
        <v>10</v>
      </c>
      <c r="AI666" s="347">
        <v>37013000</v>
      </c>
      <c r="AJ666" s="347" t="s">
        <v>60</v>
      </c>
      <c r="AK666" s="347">
        <v>1</v>
      </c>
      <c r="AL666" s="347">
        <v>0</v>
      </c>
      <c r="AM666" s="347" t="s">
        <v>1940</v>
      </c>
    </row>
    <row r="667" spans="7:39">
      <c r="G667" s="347"/>
      <c r="H667" s="10" t="s">
        <v>3352</v>
      </c>
      <c r="I667" s="347" t="s">
        <v>774</v>
      </c>
      <c r="J667" s="347" t="s">
        <v>96</v>
      </c>
      <c r="K667" s="347" t="s">
        <v>3365</v>
      </c>
      <c r="L667" s="347" t="s">
        <v>97</v>
      </c>
      <c r="M667" s="347">
        <v>9526</v>
      </c>
      <c r="N667" s="347" t="s">
        <v>3052</v>
      </c>
      <c r="O667" s="347" t="s">
        <v>5</v>
      </c>
      <c r="P667" s="347" t="s">
        <v>106</v>
      </c>
      <c r="Q667" s="347" t="s">
        <v>68</v>
      </c>
      <c r="R667" s="347" t="s">
        <v>69</v>
      </c>
      <c r="S667" s="347" t="s">
        <v>9</v>
      </c>
      <c r="T667" s="347">
        <v>775.35</v>
      </c>
      <c r="U667" s="350">
        <v>891.65</v>
      </c>
      <c r="V667" s="347" t="s">
        <v>9</v>
      </c>
      <c r="W667" s="347">
        <v>1052</v>
      </c>
      <c r="X667" s="347">
        <v>9</v>
      </c>
      <c r="Y667" s="347">
        <v>80.25</v>
      </c>
      <c r="Z667" s="347">
        <v>9</v>
      </c>
      <c r="AA667" s="347">
        <v>80.25</v>
      </c>
      <c r="AB667" s="347">
        <v>0</v>
      </c>
      <c r="AC667" s="347">
        <v>0</v>
      </c>
      <c r="AD667" s="347">
        <v>0</v>
      </c>
      <c r="AE667" s="347">
        <v>160.5</v>
      </c>
      <c r="AF667" s="347">
        <v>0</v>
      </c>
      <c r="AG667" s="347" t="s">
        <v>2278</v>
      </c>
      <c r="AH667" s="347" t="s">
        <v>10</v>
      </c>
      <c r="AI667" s="347">
        <v>37013000</v>
      </c>
      <c r="AJ667" s="347" t="s">
        <v>60</v>
      </c>
      <c r="AK667" s="347">
        <v>1</v>
      </c>
      <c r="AL667" s="347">
        <v>0</v>
      </c>
      <c r="AM667" s="347" t="s">
        <v>1940</v>
      </c>
    </row>
    <row r="668" spans="7:39">
      <c r="G668" s="347"/>
      <c r="H668" s="10" t="s">
        <v>3352</v>
      </c>
      <c r="I668" s="347" t="s">
        <v>774</v>
      </c>
      <c r="J668" s="347" t="s">
        <v>96</v>
      </c>
      <c r="K668" s="347" t="s">
        <v>3366</v>
      </c>
      <c r="L668" s="347" t="s">
        <v>97</v>
      </c>
      <c r="M668" s="347">
        <v>9578</v>
      </c>
      <c r="N668" s="347" t="s">
        <v>3257</v>
      </c>
      <c r="O668" s="347" t="s">
        <v>5</v>
      </c>
      <c r="P668" s="347" t="s">
        <v>106</v>
      </c>
      <c r="Q668" s="347" t="s">
        <v>68</v>
      </c>
      <c r="R668" s="347" t="s">
        <v>69</v>
      </c>
      <c r="S668" s="347" t="s">
        <v>9</v>
      </c>
      <c r="T668" s="350">
        <v>299.02</v>
      </c>
      <c r="U668" s="347">
        <v>343.87</v>
      </c>
      <c r="V668" s="347" t="s">
        <v>9</v>
      </c>
      <c r="W668" s="347">
        <v>3301</v>
      </c>
      <c r="X668" s="347">
        <v>9</v>
      </c>
      <c r="Y668" s="347">
        <v>30.95</v>
      </c>
      <c r="Z668" s="347">
        <v>9</v>
      </c>
      <c r="AA668" s="347">
        <v>30.95</v>
      </c>
      <c r="AB668" s="347">
        <v>0</v>
      </c>
      <c r="AC668" s="347">
        <v>0</v>
      </c>
      <c r="AD668" s="347">
        <v>0</v>
      </c>
      <c r="AE668" s="347">
        <v>61.9</v>
      </c>
      <c r="AF668" s="347">
        <v>0</v>
      </c>
      <c r="AG668" s="347" t="s">
        <v>2278</v>
      </c>
      <c r="AH668" s="347" t="s">
        <v>10</v>
      </c>
      <c r="AI668" s="347">
        <v>37013000</v>
      </c>
      <c r="AJ668" s="347" t="s">
        <v>60</v>
      </c>
      <c r="AK668" s="347">
        <v>1</v>
      </c>
      <c r="AL668" s="347">
        <v>0</v>
      </c>
      <c r="AM668" s="347" t="s">
        <v>1940</v>
      </c>
    </row>
    <row r="669" spans="7:39">
      <c r="G669" s="347"/>
      <c r="H669" s="10" t="s">
        <v>3352</v>
      </c>
      <c r="I669" s="347" t="s">
        <v>774</v>
      </c>
      <c r="J669" s="347" t="s">
        <v>96</v>
      </c>
      <c r="K669" s="347" t="s">
        <v>3366</v>
      </c>
      <c r="L669" s="347" t="s">
        <v>97</v>
      </c>
      <c r="M669" s="347">
        <v>9578</v>
      </c>
      <c r="N669" s="347" t="s">
        <v>3257</v>
      </c>
      <c r="O669" s="347" t="s">
        <v>5</v>
      </c>
      <c r="P669" s="347" t="s">
        <v>106</v>
      </c>
      <c r="Q669" s="347" t="s">
        <v>68</v>
      </c>
      <c r="R669" s="347" t="s">
        <v>69</v>
      </c>
      <c r="S669" s="347" t="s">
        <v>9</v>
      </c>
      <c r="T669" s="350">
        <v>1500</v>
      </c>
      <c r="U669" s="350">
        <v>1725</v>
      </c>
      <c r="V669" s="347" t="s">
        <v>9</v>
      </c>
      <c r="W669" s="347">
        <v>0</v>
      </c>
      <c r="X669" s="347">
        <v>9</v>
      </c>
      <c r="Y669" s="347">
        <v>155.25</v>
      </c>
      <c r="Z669" s="347">
        <v>9</v>
      </c>
      <c r="AA669" s="347">
        <v>155.25</v>
      </c>
      <c r="AB669" s="347">
        <v>0</v>
      </c>
      <c r="AC669" s="347">
        <v>0</v>
      </c>
      <c r="AD669" s="347">
        <v>0</v>
      </c>
      <c r="AE669" s="347">
        <v>310.5</v>
      </c>
      <c r="AF669" s="347">
        <v>0</v>
      </c>
      <c r="AG669" s="347" t="s">
        <v>2278</v>
      </c>
      <c r="AH669" s="347" t="s">
        <v>10</v>
      </c>
      <c r="AI669" s="347">
        <v>37013000</v>
      </c>
      <c r="AJ669" s="347" t="s">
        <v>60</v>
      </c>
      <c r="AK669" s="347">
        <v>1</v>
      </c>
      <c r="AL669" s="347">
        <v>0</v>
      </c>
      <c r="AM669" s="347" t="s">
        <v>1940</v>
      </c>
    </row>
    <row r="670" spans="7:39">
      <c r="G670" s="347"/>
      <c r="H670" s="10" t="s">
        <v>3352</v>
      </c>
      <c r="I670" s="347" t="s">
        <v>774</v>
      </c>
      <c r="J670" s="347" t="s">
        <v>96</v>
      </c>
      <c r="K670" s="347" t="s">
        <v>3366</v>
      </c>
      <c r="L670" s="347" t="s">
        <v>97</v>
      </c>
      <c r="M670" s="347">
        <v>9578</v>
      </c>
      <c r="N670" s="347" t="s">
        <v>3257</v>
      </c>
      <c r="O670" s="347" t="s">
        <v>5</v>
      </c>
      <c r="P670" s="347" t="s">
        <v>106</v>
      </c>
      <c r="Q670" s="347" t="s">
        <v>68</v>
      </c>
      <c r="R670" s="347" t="s">
        <v>69</v>
      </c>
      <c r="S670" s="347" t="s">
        <v>9</v>
      </c>
      <c r="T670" s="347">
        <v>228.72</v>
      </c>
      <c r="U670" s="350">
        <v>263.02999999999997</v>
      </c>
      <c r="V670" s="347" t="s">
        <v>9</v>
      </c>
      <c r="W670" s="347">
        <v>0</v>
      </c>
      <c r="X670" s="347">
        <v>9</v>
      </c>
      <c r="Y670" s="347">
        <v>23.67</v>
      </c>
      <c r="Z670" s="347">
        <v>9</v>
      </c>
      <c r="AA670" s="347">
        <v>23.67</v>
      </c>
      <c r="AB670" s="347">
        <v>0</v>
      </c>
      <c r="AC670" s="347">
        <v>0</v>
      </c>
      <c r="AD670" s="347">
        <v>0</v>
      </c>
      <c r="AE670" s="347">
        <v>47.34</v>
      </c>
      <c r="AF670" s="347">
        <v>0</v>
      </c>
      <c r="AG670" s="347" t="s">
        <v>2278</v>
      </c>
      <c r="AH670" s="347" t="s">
        <v>10</v>
      </c>
      <c r="AI670" s="347">
        <v>37013000</v>
      </c>
      <c r="AJ670" s="347" t="s">
        <v>60</v>
      </c>
      <c r="AK670" s="347">
        <v>1</v>
      </c>
      <c r="AL670" s="347">
        <v>0</v>
      </c>
      <c r="AM670" s="347" t="s">
        <v>1940</v>
      </c>
    </row>
    <row r="671" spans="7:39">
      <c r="G671" s="347"/>
      <c r="H671" s="10" t="s">
        <v>3352</v>
      </c>
      <c r="I671" s="347" t="s">
        <v>774</v>
      </c>
      <c r="J671" s="347" t="s">
        <v>96</v>
      </c>
      <c r="K671" s="347" t="s">
        <v>3366</v>
      </c>
      <c r="L671" s="347" t="s">
        <v>97</v>
      </c>
      <c r="M671" s="347">
        <v>9578</v>
      </c>
      <c r="N671" s="347" t="s">
        <v>3257</v>
      </c>
      <c r="O671" s="347" t="s">
        <v>5</v>
      </c>
      <c r="P671" s="347" t="s">
        <v>106</v>
      </c>
      <c r="Q671" s="347" t="s">
        <v>68</v>
      </c>
      <c r="R671" s="347" t="s">
        <v>69</v>
      </c>
      <c r="S671" s="347" t="s">
        <v>9</v>
      </c>
      <c r="T671" s="350">
        <v>93.82</v>
      </c>
      <c r="U671" s="347">
        <v>107.89</v>
      </c>
      <c r="V671" s="347" t="s">
        <v>9</v>
      </c>
      <c r="W671" s="347">
        <v>0</v>
      </c>
      <c r="X671" s="347">
        <v>9</v>
      </c>
      <c r="Y671" s="347">
        <v>9.7100000000000009</v>
      </c>
      <c r="Z671" s="347">
        <v>9</v>
      </c>
      <c r="AA671" s="347">
        <v>9.7100000000000009</v>
      </c>
      <c r="AB671" s="347">
        <v>0</v>
      </c>
      <c r="AC671" s="347">
        <v>0</v>
      </c>
      <c r="AD671" s="347">
        <v>0</v>
      </c>
      <c r="AE671" s="347">
        <v>19.420000000000002</v>
      </c>
      <c r="AF671" s="347">
        <v>0</v>
      </c>
      <c r="AG671" s="347" t="s">
        <v>2278</v>
      </c>
      <c r="AH671" s="347" t="s">
        <v>10</v>
      </c>
      <c r="AI671" s="347">
        <v>37013000</v>
      </c>
      <c r="AJ671" s="347" t="s">
        <v>60</v>
      </c>
      <c r="AK671" s="347">
        <v>1</v>
      </c>
      <c r="AL671" s="347">
        <v>0</v>
      </c>
      <c r="AM671" s="347" t="s">
        <v>1940</v>
      </c>
    </row>
    <row r="672" spans="7:39">
      <c r="G672" s="347"/>
      <c r="H672" s="10" t="s">
        <v>3352</v>
      </c>
      <c r="I672" s="347" t="s">
        <v>774</v>
      </c>
      <c r="J672" s="347" t="s">
        <v>96</v>
      </c>
      <c r="K672" s="347" t="s">
        <v>3366</v>
      </c>
      <c r="L672" s="347" t="s">
        <v>97</v>
      </c>
      <c r="M672" s="347">
        <v>9578</v>
      </c>
      <c r="N672" s="347" t="s">
        <v>3257</v>
      </c>
      <c r="O672" s="347" t="s">
        <v>5</v>
      </c>
      <c r="P672" s="347" t="s">
        <v>106</v>
      </c>
      <c r="Q672" s="347" t="s">
        <v>68</v>
      </c>
      <c r="R672" s="347" t="s">
        <v>69</v>
      </c>
      <c r="S672" s="347" t="s">
        <v>9</v>
      </c>
      <c r="T672" s="347">
        <v>311.32</v>
      </c>
      <c r="U672" s="350">
        <v>358.02</v>
      </c>
      <c r="V672" s="347" t="s">
        <v>9</v>
      </c>
      <c r="W672" s="347">
        <v>0</v>
      </c>
      <c r="X672" s="347">
        <v>9</v>
      </c>
      <c r="Y672" s="347">
        <v>32.22</v>
      </c>
      <c r="Z672" s="347">
        <v>9</v>
      </c>
      <c r="AA672" s="347">
        <v>32.22</v>
      </c>
      <c r="AB672" s="347">
        <v>0</v>
      </c>
      <c r="AC672" s="347">
        <v>0</v>
      </c>
      <c r="AD672" s="347">
        <v>0</v>
      </c>
      <c r="AE672" s="347">
        <v>64.44</v>
      </c>
      <c r="AF672" s="347">
        <v>0</v>
      </c>
      <c r="AG672" s="347" t="s">
        <v>2278</v>
      </c>
      <c r="AH672" s="347" t="s">
        <v>10</v>
      </c>
      <c r="AI672" s="347">
        <v>37013000</v>
      </c>
      <c r="AJ672" s="347" t="s">
        <v>60</v>
      </c>
      <c r="AK672" s="347">
        <v>1</v>
      </c>
      <c r="AL672" s="347">
        <v>0</v>
      </c>
      <c r="AM672" s="347" t="s">
        <v>1940</v>
      </c>
    </row>
    <row r="673" spans="7:39">
      <c r="G673" s="347"/>
      <c r="H673" s="10" t="s">
        <v>3352</v>
      </c>
      <c r="I673" s="347" t="s">
        <v>774</v>
      </c>
      <c r="J673" s="347" t="s">
        <v>96</v>
      </c>
      <c r="K673" s="347" t="s">
        <v>3367</v>
      </c>
      <c r="L673" s="347" t="s">
        <v>97</v>
      </c>
      <c r="M673" s="347">
        <v>9564</v>
      </c>
      <c r="N673" s="347" t="s">
        <v>3167</v>
      </c>
      <c r="O673" s="347" t="s">
        <v>5</v>
      </c>
      <c r="P673" s="347" t="s">
        <v>106</v>
      </c>
      <c r="Q673" s="347" t="s">
        <v>68</v>
      </c>
      <c r="R673" s="347" t="s">
        <v>69</v>
      </c>
      <c r="S673" s="347" t="s">
        <v>9</v>
      </c>
      <c r="T673" s="350">
        <v>156.13</v>
      </c>
      <c r="U673" s="347">
        <v>179.55</v>
      </c>
      <c r="V673" s="347" t="s">
        <v>9</v>
      </c>
      <c r="W673" s="347">
        <v>10719</v>
      </c>
      <c r="X673" s="347">
        <v>9</v>
      </c>
      <c r="Y673" s="347">
        <v>16.16</v>
      </c>
      <c r="Z673" s="347">
        <v>9</v>
      </c>
      <c r="AA673" s="347">
        <v>16.16</v>
      </c>
      <c r="AB673" s="347">
        <v>0</v>
      </c>
      <c r="AC673" s="347">
        <v>0</v>
      </c>
      <c r="AD673" s="347">
        <v>0</v>
      </c>
      <c r="AE673" s="347">
        <v>32.32</v>
      </c>
      <c r="AF673" s="347">
        <v>0</v>
      </c>
      <c r="AG673" s="347" t="s">
        <v>2278</v>
      </c>
      <c r="AH673" s="347" t="s">
        <v>10</v>
      </c>
      <c r="AI673" s="347">
        <v>37013000</v>
      </c>
      <c r="AJ673" s="347" t="s">
        <v>60</v>
      </c>
      <c r="AK673" s="347">
        <v>1</v>
      </c>
      <c r="AL673" s="347">
        <v>0</v>
      </c>
      <c r="AM673" s="347" t="s">
        <v>1940</v>
      </c>
    </row>
    <row r="674" spans="7:39">
      <c r="G674" s="347"/>
      <c r="H674" s="10" t="s">
        <v>3352</v>
      </c>
      <c r="I674" s="347" t="s">
        <v>774</v>
      </c>
      <c r="J674" s="347" t="s">
        <v>96</v>
      </c>
      <c r="K674" s="347" t="s">
        <v>3367</v>
      </c>
      <c r="L674" s="347" t="s">
        <v>97</v>
      </c>
      <c r="M674" s="347">
        <v>9564</v>
      </c>
      <c r="N674" s="347" t="s">
        <v>3167</v>
      </c>
      <c r="O674" s="347" t="s">
        <v>5</v>
      </c>
      <c r="P674" s="347" t="s">
        <v>106</v>
      </c>
      <c r="Q674" s="347" t="s">
        <v>68</v>
      </c>
      <c r="R674" s="347" t="s">
        <v>69</v>
      </c>
      <c r="S674" s="347" t="s">
        <v>9</v>
      </c>
      <c r="T674" s="347">
        <v>324.52</v>
      </c>
      <c r="U674" s="350">
        <v>373.2</v>
      </c>
      <c r="V674" s="347" t="s">
        <v>9</v>
      </c>
      <c r="W674" s="347">
        <v>0</v>
      </c>
      <c r="X674" s="347">
        <v>9</v>
      </c>
      <c r="Y674" s="347">
        <v>33.590000000000003</v>
      </c>
      <c r="Z674" s="347">
        <v>9</v>
      </c>
      <c r="AA674" s="347">
        <v>33.590000000000003</v>
      </c>
      <c r="AB674" s="347">
        <v>0</v>
      </c>
      <c r="AC674" s="347">
        <v>0</v>
      </c>
      <c r="AD674" s="347">
        <v>0</v>
      </c>
      <c r="AE674" s="347">
        <v>67.180000000000007</v>
      </c>
      <c r="AF674" s="347">
        <v>0</v>
      </c>
      <c r="AG674" s="347" t="s">
        <v>2278</v>
      </c>
      <c r="AH674" s="347" t="s">
        <v>10</v>
      </c>
      <c r="AI674" s="347">
        <v>37013000</v>
      </c>
      <c r="AJ674" s="347" t="s">
        <v>60</v>
      </c>
      <c r="AK674" s="347">
        <v>1</v>
      </c>
      <c r="AL674" s="347">
        <v>0</v>
      </c>
      <c r="AM674" s="347" t="s">
        <v>1940</v>
      </c>
    </row>
    <row r="675" spans="7:39">
      <c r="G675" s="347"/>
      <c r="H675" s="10" t="s">
        <v>3352</v>
      </c>
      <c r="I675" s="347" t="s">
        <v>774</v>
      </c>
      <c r="J675" s="347" t="s">
        <v>96</v>
      </c>
      <c r="K675" s="347" t="s">
        <v>3367</v>
      </c>
      <c r="L675" s="347" t="s">
        <v>97</v>
      </c>
      <c r="M675" s="347">
        <v>9564</v>
      </c>
      <c r="N675" s="347" t="s">
        <v>3167</v>
      </c>
      <c r="O675" s="347" t="s">
        <v>5</v>
      </c>
      <c r="P675" s="347" t="s">
        <v>106</v>
      </c>
      <c r="Q675" s="347" t="s">
        <v>68</v>
      </c>
      <c r="R675" s="347" t="s">
        <v>69</v>
      </c>
      <c r="S675" s="347" t="s">
        <v>9</v>
      </c>
      <c r="T675" s="347">
        <v>424.03</v>
      </c>
      <c r="U675" s="350">
        <v>487.63</v>
      </c>
      <c r="V675" s="347" t="s">
        <v>9</v>
      </c>
      <c r="W675" s="347">
        <v>0</v>
      </c>
      <c r="X675" s="347">
        <v>9</v>
      </c>
      <c r="Y675" s="347">
        <v>43.89</v>
      </c>
      <c r="Z675" s="347">
        <v>9</v>
      </c>
      <c r="AA675" s="347">
        <v>43.89</v>
      </c>
      <c r="AB675" s="347">
        <v>0</v>
      </c>
      <c r="AC675" s="347">
        <v>0</v>
      </c>
      <c r="AD675" s="347">
        <v>0</v>
      </c>
      <c r="AE675" s="347">
        <v>87.78</v>
      </c>
      <c r="AF675" s="347">
        <v>0</v>
      </c>
      <c r="AG675" s="347" t="s">
        <v>2278</v>
      </c>
      <c r="AH675" s="347" t="s">
        <v>10</v>
      </c>
      <c r="AI675" s="347">
        <v>37013000</v>
      </c>
      <c r="AJ675" s="347" t="s">
        <v>60</v>
      </c>
      <c r="AK675" s="347">
        <v>1</v>
      </c>
      <c r="AL675" s="347">
        <v>0</v>
      </c>
      <c r="AM675" s="347" t="s">
        <v>1940</v>
      </c>
    </row>
    <row r="676" spans="7:39">
      <c r="G676" s="347"/>
      <c r="H676" s="10" t="s">
        <v>3352</v>
      </c>
      <c r="I676" s="347" t="s">
        <v>774</v>
      </c>
      <c r="J676" s="347" t="s">
        <v>96</v>
      </c>
      <c r="K676" s="347" t="s">
        <v>3367</v>
      </c>
      <c r="L676" s="347" t="s">
        <v>97</v>
      </c>
      <c r="M676" s="347">
        <v>9564</v>
      </c>
      <c r="N676" s="347" t="s">
        <v>3167</v>
      </c>
      <c r="O676" s="347" t="s">
        <v>5</v>
      </c>
      <c r="P676" s="347" t="s">
        <v>106</v>
      </c>
      <c r="Q676" s="347" t="s">
        <v>68</v>
      </c>
      <c r="R676" s="347" t="s">
        <v>69</v>
      </c>
      <c r="S676" s="347" t="s">
        <v>9</v>
      </c>
      <c r="T676" s="350">
        <v>6994.65</v>
      </c>
      <c r="U676" s="350">
        <v>8043.85</v>
      </c>
      <c r="V676" s="347" t="s">
        <v>9</v>
      </c>
      <c r="W676" s="347">
        <v>0</v>
      </c>
      <c r="X676" s="347">
        <v>9</v>
      </c>
      <c r="Y676" s="347">
        <v>723.95</v>
      </c>
      <c r="Z676" s="347">
        <v>9</v>
      </c>
      <c r="AA676" s="347">
        <v>723.95</v>
      </c>
      <c r="AB676" s="347">
        <v>0</v>
      </c>
      <c r="AC676" s="347">
        <v>0</v>
      </c>
      <c r="AD676" s="347">
        <v>0</v>
      </c>
      <c r="AE676" s="347">
        <v>1447.9</v>
      </c>
      <c r="AF676" s="347">
        <v>0</v>
      </c>
      <c r="AG676" s="347" t="s">
        <v>2278</v>
      </c>
      <c r="AH676" s="347" t="s">
        <v>10</v>
      </c>
      <c r="AI676" s="347">
        <v>37013000</v>
      </c>
      <c r="AJ676" s="347" t="s">
        <v>60</v>
      </c>
      <c r="AK676" s="347">
        <v>1</v>
      </c>
      <c r="AL676" s="347">
        <v>0</v>
      </c>
      <c r="AM676" s="347" t="s">
        <v>1940</v>
      </c>
    </row>
    <row r="677" spans="7:39">
      <c r="G677" s="347"/>
      <c r="H677" s="10" t="s">
        <v>3352</v>
      </c>
      <c r="I677" s="347" t="s">
        <v>774</v>
      </c>
      <c r="J677" s="347" t="s">
        <v>96</v>
      </c>
      <c r="K677" s="347" t="s">
        <v>3368</v>
      </c>
      <c r="L677" s="347" t="s">
        <v>97</v>
      </c>
      <c r="M677" s="347">
        <v>9602</v>
      </c>
      <c r="N677" s="347" t="s">
        <v>3306</v>
      </c>
      <c r="O677" s="347" t="s">
        <v>5</v>
      </c>
      <c r="P677" s="347" t="s">
        <v>106</v>
      </c>
      <c r="Q677" s="347" t="s">
        <v>68</v>
      </c>
      <c r="R677" s="347" t="s">
        <v>69</v>
      </c>
      <c r="S677" s="347" t="s">
        <v>9</v>
      </c>
      <c r="T677" s="347">
        <v>138.22</v>
      </c>
      <c r="U677" s="350">
        <v>158.94999999999999</v>
      </c>
      <c r="V677" s="347" t="s">
        <v>9</v>
      </c>
      <c r="W677" s="347">
        <v>258</v>
      </c>
      <c r="X677" s="347">
        <v>9</v>
      </c>
      <c r="Y677" s="347">
        <v>14.31</v>
      </c>
      <c r="Z677" s="347">
        <v>9</v>
      </c>
      <c r="AA677" s="347">
        <v>14.31</v>
      </c>
      <c r="AB677" s="347">
        <v>0</v>
      </c>
      <c r="AC677" s="347">
        <v>0</v>
      </c>
      <c r="AD677" s="347">
        <v>10.8</v>
      </c>
      <c r="AE677" s="347">
        <v>39.42</v>
      </c>
      <c r="AF677" s="347">
        <v>0</v>
      </c>
      <c r="AG677" s="347" t="s">
        <v>2278</v>
      </c>
      <c r="AH677" s="347" t="s">
        <v>10</v>
      </c>
      <c r="AI677" s="347">
        <v>37013000</v>
      </c>
      <c r="AJ677" s="347" t="s">
        <v>60</v>
      </c>
      <c r="AK677" s="347">
        <v>1</v>
      </c>
      <c r="AL677" s="347">
        <v>0</v>
      </c>
      <c r="AM677" s="347" t="s">
        <v>1940</v>
      </c>
    </row>
    <row r="678" spans="7:39">
      <c r="G678" s="347"/>
      <c r="I678" s="347"/>
      <c r="J678" s="347"/>
      <c r="K678" s="347"/>
      <c r="L678" s="347"/>
      <c r="M678" s="347"/>
      <c r="N678" s="347"/>
      <c r="O678" s="347"/>
      <c r="P678" s="347"/>
      <c r="Q678" s="347"/>
      <c r="R678" s="8"/>
      <c r="S678" s="347"/>
      <c r="T678" s="350"/>
      <c r="U678" s="350"/>
      <c r="V678" s="347"/>
      <c r="W678" s="347"/>
      <c r="X678" s="347"/>
      <c r="Y678" s="347"/>
      <c r="Z678" s="347"/>
      <c r="AA678" s="347"/>
      <c r="AB678" s="347"/>
      <c r="AC678" s="347"/>
      <c r="AD678" s="347"/>
      <c r="AE678" s="347"/>
      <c r="AF678" s="347"/>
      <c r="AG678" s="347"/>
      <c r="AH678" s="347"/>
      <c r="AI678" s="347"/>
      <c r="AJ678" s="347"/>
      <c r="AK678" s="347"/>
      <c r="AL678" s="347"/>
      <c r="AM678" s="347"/>
    </row>
    <row r="679" spans="7:39">
      <c r="G679" s="347"/>
      <c r="I679" s="347"/>
      <c r="J679" s="347"/>
      <c r="K679" s="347"/>
      <c r="L679" s="347"/>
      <c r="M679" s="347"/>
      <c r="N679" s="347"/>
      <c r="O679" s="347"/>
      <c r="P679" s="347"/>
      <c r="Q679" s="347"/>
      <c r="R679" s="347"/>
      <c r="S679" s="347"/>
      <c r="T679" s="350"/>
      <c r="U679" s="347"/>
      <c r="V679" s="347"/>
      <c r="W679" s="347"/>
      <c r="X679" s="347"/>
      <c r="Y679" s="347"/>
      <c r="Z679" s="347"/>
      <c r="AA679" s="347"/>
      <c r="AB679" s="347"/>
      <c r="AC679" s="347"/>
      <c r="AD679" s="347"/>
      <c r="AE679" s="347"/>
      <c r="AF679" s="347"/>
      <c r="AG679" s="347"/>
      <c r="AH679" s="347"/>
      <c r="AI679" s="347"/>
      <c r="AJ679" s="347"/>
      <c r="AK679" s="347"/>
      <c r="AL679" s="347"/>
      <c r="AM679" s="347"/>
    </row>
  </sheetData>
  <autoFilter ref="H23:AL679"/>
  <mergeCells count="1">
    <mergeCell ref="A22:D22"/>
  </mergeCells>
  <pageMargins left="0.7" right="0.7" top="0.75" bottom="0.75" header="0.3" footer="0.3"/>
  <pageSetup orientation="portrait" verticalDpi="0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M151"/>
  <sheetViews>
    <sheetView workbookViewId="0">
      <selection activeCell="D37" sqref="D37"/>
    </sheetView>
  </sheetViews>
  <sheetFormatPr defaultRowHeight="12.75"/>
  <cols>
    <col min="1" max="1" width="38.42578125" style="1" bestFit="1" customWidth="1"/>
    <col min="2" max="3" width="14.85546875" style="1" customWidth="1"/>
    <col min="4" max="4" width="12" style="1" bestFit="1" customWidth="1"/>
    <col min="5" max="5" width="12.140625" style="1" bestFit="1" customWidth="1"/>
    <col min="6" max="6" width="12.5703125" style="1" bestFit="1" customWidth="1"/>
    <col min="7" max="7" width="10.5703125" style="1" bestFit="1" customWidth="1"/>
    <col min="8" max="8" width="10.7109375" style="1" bestFit="1" customWidth="1"/>
    <col min="9" max="9" width="27.140625" style="1" bestFit="1" customWidth="1"/>
    <col min="10" max="10" width="10.5703125" style="1" customWidth="1"/>
    <col min="11" max="11" width="15" style="10" bestFit="1" customWidth="1"/>
    <col min="12" max="12" width="42.28515625" style="1" bestFit="1" customWidth="1"/>
    <col min="13" max="13" width="15.5703125" style="1" bestFit="1" customWidth="1"/>
    <col min="14" max="14" width="12" style="1" bestFit="1" customWidth="1"/>
    <col min="15" max="15" width="13.42578125" style="1" bestFit="1" customWidth="1"/>
    <col min="16" max="16" width="18" style="1" bestFit="1" customWidth="1"/>
    <col min="17" max="17" width="15.85546875" style="1" bestFit="1" customWidth="1"/>
    <col min="18" max="18" width="21.5703125" style="1" bestFit="1" customWidth="1"/>
    <col min="19" max="19" width="30.28515625" style="1" bestFit="1" customWidth="1"/>
    <col min="20" max="20" width="10.140625" style="1" bestFit="1" customWidth="1"/>
    <col min="21" max="21" width="13.42578125" style="1" bestFit="1" customWidth="1"/>
    <col min="22" max="22" width="29.7109375" style="1" customWidth="1"/>
    <col min="23" max="23" width="11.42578125" style="1" bestFit="1" customWidth="1"/>
    <col min="24" max="24" width="10" style="1" bestFit="1" customWidth="1"/>
    <col min="25" max="25" width="9.7109375" style="1" bestFit="1" customWidth="1"/>
    <col min="26" max="26" width="9.85546875" style="1" bestFit="1" customWidth="1"/>
    <col min="27" max="27" width="9.5703125" style="1" bestFit="1" customWidth="1"/>
    <col min="28" max="28" width="9.42578125" style="1" bestFit="1" customWidth="1"/>
    <col min="29" max="29" width="9.140625" style="1"/>
    <col min="30" max="30" width="11.140625" style="1" bestFit="1" customWidth="1"/>
    <col min="31" max="31" width="10" style="1" bestFit="1" customWidth="1"/>
    <col min="32" max="32" width="4.140625" style="1" bestFit="1" customWidth="1"/>
    <col min="33" max="33" width="18.140625" style="1" bestFit="1" customWidth="1"/>
    <col min="34" max="34" width="4.85546875" style="1" bestFit="1" customWidth="1"/>
    <col min="35" max="35" width="9.7109375" style="1" bestFit="1" customWidth="1"/>
    <col min="36" max="36" width="9.5703125" style="1" bestFit="1" customWidth="1"/>
    <col min="37" max="37" width="8.42578125" style="1" bestFit="1" customWidth="1"/>
    <col min="38" max="38" width="8" style="1" bestFit="1" customWidth="1"/>
    <col min="39" max="16384" width="9.140625" style="1"/>
  </cols>
  <sheetData>
    <row r="1" spans="1:39" ht="15">
      <c r="A1" s="3" t="s">
        <v>83</v>
      </c>
      <c r="B1" s="369" t="s">
        <v>85</v>
      </c>
      <c r="C1" s="369" t="s">
        <v>239</v>
      </c>
    </row>
    <row r="2" spans="1:39" ht="15">
      <c r="A2" s="425" t="s">
        <v>72</v>
      </c>
      <c r="B2" s="288">
        <v>27775</v>
      </c>
      <c r="C2" s="4">
        <v>333300</v>
      </c>
      <c r="D2" s="124">
        <f>+GETPIVOTDATA("Sum of Amount",$A$1,"sales Group Name","HDPE/PP Plastik Waste")/GETPIVOTDATA("Sum of Quantity",$A$1,"sales Group Name","HDPE/PP Plastik Waste")</f>
        <v>12</v>
      </c>
      <c r="F2" s="258"/>
      <c r="G2" s="261"/>
      <c r="H2" s="261"/>
      <c r="I2" s="264"/>
      <c r="J2" s="264"/>
      <c r="K2" s="373"/>
      <c r="L2" s="262"/>
      <c r="M2" s="276"/>
    </row>
    <row r="3" spans="1:39" ht="15">
      <c r="A3" s="425" t="s">
        <v>58</v>
      </c>
      <c r="B3" s="288">
        <v>595287.70000000007</v>
      </c>
      <c r="C3" s="4">
        <v>135754101.69999999</v>
      </c>
      <c r="D3" s="124">
        <f>+GETPIVOTDATA("Sum of Amount",$A$1,"sales Group Name","JUMBO BAG")/GETPIVOTDATA("Sum of Quantity",$A$1,"sales Group Name","JUMBO BAG")</f>
        <v>228.0478862573508</v>
      </c>
      <c r="E3" s="124"/>
      <c r="F3" s="262"/>
      <c r="G3" s="261"/>
      <c r="H3" s="261"/>
      <c r="I3" s="265"/>
      <c r="J3" s="265"/>
      <c r="K3" s="373"/>
      <c r="L3" s="262"/>
      <c r="M3" s="276"/>
    </row>
    <row r="4" spans="1:39" ht="15">
      <c r="A4" s="425" t="s">
        <v>64</v>
      </c>
      <c r="B4" s="288">
        <v>1850</v>
      </c>
      <c r="C4" s="4">
        <v>286960.25</v>
      </c>
      <c r="D4" s="124">
        <f>+GETPIVOTDATA("Sum of Amount",$A$1,"sales Group Name","PP Woven Fabric")/GETPIVOTDATA("Sum of Quantity",$A$1,"sales Group Name","PP Woven Fabric")</f>
        <v>155.11364864864865</v>
      </c>
      <c r="E4" s="256"/>
      <c r="F4" s="260"/>
      <c r="G4" s="275"/>
      <c r="H4" s="275"/>
      <c r="I4" s="265"/>
      <c r="J4" s="275"/>
      <c r="K4" s="373"/>
      <c r="L4" s="262"/>
      <c r="M4" s="276"/>
    </row>
    <row r="5" spans="1:39" ht="15">
      <c r="A5" s="425" t="s">
        <v>82</v>
      </c>
      <c r="B5" s="205">
        <v>26</v>
      </c>
      <c r="C5" s="4">
        <v>4709.8999999999996</v>
      </c>
      <c r="D5" s="124">
        <f>+GETPIVOTDATA("Sum of Amount",$A$1,"sales Group Name","LLDPE Bags")/GETPIVOTDATA("Sum of Quantity",$A$1,"sales Group Name","LLDPE Bags")</f>
        <v>181.14999999999998</v>
      </c>
      <c r="F5" s="275">
        <f>+D3*0.95</f>
        <v>216.64549194448324</v>
      </c>
      <c r="G5" s="275"/>
      <c r="H5" s="275"/>
      <c r="I5" s="265"/>
      <c r="J5" s="275"/>
      <c r="K5" s="373"/>
      <c r="L5" s="262"/>
      <c r="M5" s="276"/>
    </row>
    <row r="6" spans="1:39" ht="15">
      <c r="A6" s="425" t="s">
        <v>101</v>
      </c>
      <c r="B6" s="205">
        <v>132</v>
      </c>
      <c r="C6" s="4">
        <v>21338.68</v>
      </c>
      <c r="D6" s="124">
        <f>+GETPIVOTDATA("Sum of Amount",$A$1,"sales Group Name","PP Filament Yarn")/GETPIVOTDATA("Sum of Quantity",$A$1,"sales Group Name","PP Filament Yarn")</f>
        <v>161.65666666666667</v>
      </c>
      <c r="F6" s="259"/>
      <c r="G6" s="275"/>
      <c r="H6" s="275"/>
      <c r="I6" s="265"/>
      <c r="J6" s="275"/>
      <c r="K6" s="373"/>
      <c r="L6" s="262"/>
      <c r="M6" s="276"/>
    </row>
    <row r="7" spans="1:39" ht="15">
      <c r="A7" s="425" t="s">
        <v>800</v>
      </c>
      <c r="B7" s="205">
        <v>510</v>
      </c>
      <c r="C7" s="4">
        <v>84660</v>
      </c>
      <c r="D7" s="124">
        <f>+GETPIVOTDATA("Sum of Amount",$A$1,"sales Group Name","Thinner")/GETPIVOTDATA("Sum of Quantity",$A$1,"sales Group Name","Thinner")</f>
        <v>166</v>
      </c>
      <c r="F7" s="258"/>
      <c r="G7" s="262"/>
      <c r="H7" s="262"/>
      <c r="I7" s="263"/>
      <c r="J7" s="262"/>
      <c r="K7" s="262"/>
      <c r="L7" s="264"/>
      <c r="M7" s="276"/>
    </row>
    <row r="8" spans="1:39" ht="15">
      <c r="A8" s="425" t="s">
        <v>79</v>
      </c>
      <c r="B8" s="205">
        <v>191.9</v>
      </c>
      <c r="C8" s="4">
        <v>28687.13</v>
      </c>
      <c r="D8" s="124">
        <f>+GETPIVOTDATA("Sum of Amount",$A$1,"sales Group Name","PP Webbing")/GETPIVOTDATA("Sum of Quantity",$A$1,"sales Group Name","PP Webbing")</f>
        <v>149.48999478895257</v>
      </c>
      <c r="F8" s="258"/>
      <c r="G8" s="262"/>
      <c r="H8" s="260"/>
      <c r="I8" s="265"/>
      <c r="J8" s="262"/>
      <c r="K8" s="260"/>
      <c r="L8" s="265"/>
      <c r="M8" s="260"/>
    </row>
    <row r="9" spans="1:39" ht="15">
      <c r="A9" s="425" t="s">
        <v>2117</v>
      </c>
      <c r="B9" s="205">
        <v>9077</v>
      </c>
      <c r="C9" s="4">
        <v>261688.38</v>
      </c>
      <c r="D9" s="124">
        <f>+GETPIVOTDATA("Sum of Amount",$A$1,"sales Group Name","FIBC WIP")/GETPIVOTDATA("Sum of Quantity",$A$1,"sales Group Name","FIBC WIP")</f>
        <v>28.829831442106425</v>
      </c>
      <c r="F9" s="124"/>
      <c r="G9" s="124"/>
    </row>
    <row r="10" spans="1:39" ht="15">
      <c r="A10" s="425" t="s">
        <v>84</v>
      </c>
      <c r="B10" s="4">
        <v>634849.60000000009</v>
      </c>
      <c r="C10" s="4">
        <v>136775446.03999999</v>
      </c>
      <c r="D10" s="124"/>
      <c r="E10" s="106"/>
    </row>
    <row r="11" spans="1:39" ht="15">
      <c r="A11"/>
      <c r="B11"/>
      <c r="C11"/>
      <c r="D11" s="124"/>
    </row>
    <row r="12" spans="1:39" ht="15">
      <c r="A12"/>
      <c r="B12"/>
      <c r="C12"/>
      <c r="D12" s="124"/>
    </row>
    <row r="13" spans="1:39" ht="15">
      <c r="A13"/>
      <c r="B13"/>
      <c r="C13"/>
      <c r="D13" s="124"/>
    </row>
    <row r="14" spans="1:39" ht="15">
      <c r="A14" s="174"/>
      <c r="B14" s="174"/>
      <c r="C14" s="174"/>
    </row>
    <row r="15" spans="1:39" ht="15">
      <c r="A15" s="464" t="s">
        <v>300</v>
      </c>
      <c r="B15" s="464"/>
      <c r="C15" s="464"/>
      <c r="D15" s="464"/>
    </row>
    <row r="16" spans="1:39" ht="15">
      <c r="A16" s="408" t="s">
        <v>83</v>
      </c>
      <c r="B16" s="409" t="s">
        <v>239</v>
      </c>
      <c r="C16" s="187" t="s">
        <v>297</v>
      </c>
      <c r="D16" s="187" t="s">
        <v>298</v>
      </c>
      <c r="G16" s="347"/>
      <c r="H16" s="5" t="s">
        <v>25</v>
      </c>
      <c r="I16" s="5" t="s">
        <v>26</v>
      </c>
      <c r="J16" s="5" t="s">
        <v>27</v>
      </c>
      <c r="K16" s="5" t="s">
        <v>28</v>
      </c>
      <c r="L16" s="5" t="s">
        <v>29</v>
      </c>
      <c r="M16" s="5" t="s">
        <v>30</v>
      </c>
      <c r="N16" s="5" t="s">
        <v>31</v>
      </c>
      <c r="O16" s="5" t="s">
        <v>32</v>
      </c>
      <c r="P16" s="5" t="s">
        <v>33</v>
      </c>
      <c r="Q16" s="5" t="s">
        <v>34</v>
      </c>
      <c r="R16" s="5" t="s">
        <v>35</v>
      </c>
      <c r="S16" s="5" t="s">
        <v>36</v>
      </c>
      <c r="T16" s="5" t="s">
        <v>37</v>
      </c>
      <c r="U16" s="5" t="s">
        <v>38</v>
      </c>
      <c r="V16" s="5" t="s">
        <v>39</v>
      </c>
      <c r="W16" s="5" t="s">
        <v>40</v>
      </c>
      <c r="X16" s="5" t="s">
        <v>41</v>
      </c>
      <c r="Y16" s="5" t="s">
        <v>42</v>
      </c>
      <c r="Z16" s="5" t="s">
        <v>43</v>
      </c>
      <c r="AA16" s="5" t="s">
        <v>44</v>
      </c>
      <c r="AB16" s="5" t="s">
        <v>45</v>
      </c>
      <c r="AC16" s="5" t="s">
        <v>46</v>
      </c>
      <c r="AD16" s="5" t="s">
        <v>47</v>
      </c>
      <c r="AE16" s="5" t="s">
        <v>48</v>
      </c>
      <c r="AF16" s="5" t="s">
        <v>49</v>
      </c>
      <c r="AG16" s="5" t="s">
        <v>50</v>
      </c>
      <c r="AH16" s="5" t="s">
        <v>0</v>
      </c>
      <c r="AI16" s="5" t="s">
        <v>51</v>
      </c>
      <c r="AJ16" s="5" t="s">
        <v>52</v>
      </c>
      <c r="AK16" s="5" t="s">
        <v>53</v>
      </c>
      <c r="AL16" s="5" t="s">
        <v>54</v>
      </c>
      <c r="AM16" s="5" t="s">
        <v>1939</v>
      </c>
    </row>
    <row r="17" spans="1:39" ht="15" customHeight="1">
      <c r="A17" s="410" t="s">
        <v>2692</v>
      </c>
      <c r="B17" s="405">
        <v>2058956.97</v>
      </c>
      <c r="C17" s="25">
        <f>+'Trail Balance-JULY26'!D128</f>
        <v>2058956.96</v>
      </c>
      <c r="D17" s="23">
        <f>+GETPIVOTDATA("Amount",$A$16,"Type","Sales - Kasez - Mfg - U/B")-C17</f>
        <v>1.0000000009313226E-2</v>
      </c>
      <c r="G17" s="347"/>
      <c r="H17" s="7">
        <v>46029</v>
      </c>
      <c r="I17" s="8" t="s">
        <v>61</v>
      </c>
      <c r="J17" s="8" t="s">
        <v>56</v>
      </c>
      <c r="K17" s="6">
        <v>137</v>
      </c>
      <c r="L17" s="8" t="s">
        <v>1698</v>
      </c>
      <c r="M17" s="8" t="s">
        <v>3369</v>
      </c>
      <c r="N17" s="7">
        <v>46029</v>
      </c>
      <c r="O17" s="8" t="s">
        <v>15</v>
      </c>
      <c r="P17" s="8" t="s">
        <v>57</v>
      </c>
      <c r="Q17" s="8" t="s">
        <v>57</v>
      </c>
      <c r="R17" s="8" t="s">
        <v>58</v>
      </c>
      <c r="S17" s="8" t="s">
        <v>14</v>
      </c>
      <c r="T17" s="9">
        <v>855</v>
      </c>
      <c r="U17" s="9">
        <v>179746.65</v>
      </c>
      <c r="V17" s="8" t="s">
        <v>3370</v>
      </c>
      <c r="W17" s="8">
        <v>1449554.58</v>
      </c>
      <c r="X17" s="8">
        <v>9</v>
      </c>
      <c r="Y17" s="8">
        <v>16177.2</v>
      </c>
      <c r="Z17" s="8">
        <v>9</v>
      </c>
      <c r="AA17" s="8">
        <v>16177.2</v>
      </c>
      <c r="AB17" s="8">
        <v>0</v>
      </c>
      <c r="AC17" s="8">
        <v>0</v>
      </c>
      <c r="AD17" s="8">
        <v>0</v>
      </c>
      <c r="AE17" s="8">
        <v>32354.400000000001</v>
      </c>
      <c r="AF17" s="8">
        <v>0</v>
      </c>
      <c r="AG17" s="8" t="s">
        <v>65</v>
      </c>
      <c r="AH17" s="8" t="s">
        <v>3</v>
      </c>
      <c r="AI17" s="8">
        <v>63053200</v>
      </c>
      <c r="AJ17" s="8" t="s">
        <v>60</v>
      </c>
      <c r="AK17" s="8">
        <v>1</v>
      </c>
      <c r="AL17" s="8">
        <v>855</v>
      </c>
      <c r="AM17" s="8" t="s">
        <v>1940</v>
      </c>
    </row>
    <row r="18" spans="1:39" ht="15" customHeight="1">
      <c r="A18" s="404" t="s">
        <v>75</v>
      </c>
      <c r="B18" s="406">
        <v>3117803.77</v>
      </c>
      <c r="C18" s="25">
        <f>+'Trail Balance-JULY26'!D137</f>
        <v>3117803.77</v>
      </c>
      <c r="D18" s="23">
        <f>+GETPIVOTDATA("Amount",$A$16,"Type","Sales - Within State - Traded Goods")-C18</f>
        <v>0</v>
      </c>
      <c r="E18" s="347"/>
      <c r="F18" s="347"/>
      <c r="G18" s="347"/>
      <c r="H18" s="7">
        <v>46029</v>
      </c>
      <c r="I18" s="8" t="s">
        <v>61</v>
      </c>
      <c r="J18" s="8" t="s">
        <v>56</v>
      </c>
      <c r="K18" s="6">
        <v>137</v>
      </c>
      <c r="L18" s="8" t="s">
        <v>1698</v>
      </c>
      <c r="M18" s="8" t="s">
        <v>3369</v>
      </c>
      <c r="N18" s="7">
        <v>46029</v>
      </c>
      <c r="O18" s="8" t="s">
        <v>15</v>
      </c>
      <c r="P18" s="8" t="s">
        <v>57</v>
      </c>
      <c r="Q18" s="8" t="s">
        <v>57</v>
      </c>
      <c r="R18" s="8" t="s">
        <v>58</v>
      </c>
      <c r="S18" s="8" t="s">
        <v>16</v>
      </c>
      <c r="T18" s="9">
        <v>415</v>
      </c>
      <c r="U18" s="9">
        <v>110618.25</v>
      </c>
      <c r="V18" s="8" t="s">
        <v>3371</v>
      </c>
      <c r="W18" s="8">
        <v>0</v>
      </c>
      <c r="X18" s="8">
        <v>9</v>
      </c>
      <c r="Y18" s="8">
        <v>9955.64</v>
      </c>
      <c r="Z18" s="8">
        <v>9</v>
      </c>
      <c r="AA18" s="8">
        <v>9955.64</v>
      </c>
      <c r="AB18" s="8">
        <v>0</v>
      </c>
      <c r="AC18" s="8">
        <v>0</v>
      </c>
      <c r="AD18" s="8">
        <v>0</v>
      </c>
      <c r="AE18" s="8">
        <v>19911.28</v>
      </c>
      <c r="AF18" s="8">
        <v>0</v>
      </c>
      <c r="AG18" s="8" t="s">
        <v>65</v>
      </c>
      <c r="AH18" s="8" t="s">
        <v>3</v>
      </c>
      <c r="AI18" s="8">
        <v>63053200</v>
      </c>
      <c r="AJ18" s="8" t="s">
        <v>60</v>
      </c>
      <c r="AK18" s="8">
        <v>1</v>
      </c>
      <c r="AL18" s="8">
        <v>415</v>
      </c>
      <c r="AM18" s="8" t="s">
        <v>1940</v>
      </c>
    </row>
    <row r="19" spans="1:39" ht="15" customHeight="1">
      <c r="A19" s="404" t="s">
        <v>1698</v>
      </c>
      <c r="B19" s="406">
        <v>19349307.109999999</v>
      </c>
      <c r="C19" s="25">
        <f>+'Trail Balance-JULY26'!D130</f>
        <v>19349307.109999999</v>
      </c>
      <c r="D19" s="23">
        <f>+GETPIVOTDATA("Amount",$A$16,"Type","Sales - Within State  Manufactured Goods")-C19</f>
        <v>0</v>
      </c>
      <c r="E19" s="347"/>
      <c r="F19" s="347"/>
      <c r="G19" s="347"/>
      <c r="H19" s="7">
        <v>46029</v>
      </c>
      <c r="I19" s="8" t="s">
        <v>61</v>
      </c>
      <c r="J19" s="8" t="s">
        <v>56</v>
      </c>
      <c r="K19" s="6">
        <v>137</v>
      </c>
      <c r="L19" s="8" t="s">
        <v>1698</v>
      </c>
      <c r="M19" s="8" t="s">
        <v>3369</v>
      </c>
      <c r="N19" s="7">
        <v>46029</v>
      </c>
      <c r="O19" s="8" t="s">
        <v>15</v>
      </c>
      <c r="P19" s="8" t="s">
        <v>57</v>
      </c>
      <c r="Q19" s="8" t="s">
        <v>57</v>
      </c>
      <c r="R19" s="8" t="s">
        <v>58</v>
      </c>
      <c r="S19" s="8" t="s">
        <v>16</v>
      </c>
      <c r="T19" s="9">
        <v>431</v>
      </c>
      <c r="U19" s="9">
        <v>109780.01</v>
      </c>
      <c r="V19" s="8" t="s">
        <v>3372</v>
      </c>
      <c r="W19" s="8">
        <v>0</v>
      </c>
      <c r="X19" s="8">
        <v>9</v>
      </c>
      <c r="Y19" s="8">
        <v>9880.2000000000007</v>
      </c>
      <c r="Z19" s="8">
        <v>9</v>
      </c>
      <c r="AA19" s="8">
        <v>9880.2000000000007</v>
      </c>
      <c r="AB19" s="8">
        <v>0</v>
      </c>
      <c r="AC19" s="8">
        <v>0</v>
      </c>
      <c r="AD19" s="8">
        <v>0</v>
      </c>
      <c r="AE19" s="8">
        <v>19760.400000000001</v>
      </c>
      <c r="AF19" s="8">
        <v>0</v>
      </c>
      <c r="AG19" s="8" t="s">
        <v>65</v>
      </c>
      <c r="AH19" s="8" t="s">
        <v>3</v>
      </c>
      <c r="AI19" s="8">
        <v>63053200</v>
      </c>
      <c r="AJ19" s="8" t="s">
        <v>60</v>
      </c>
      <c r="AK19" s="8">
        <v>1</v>
      </c>
      <c r="AL19" s="8">
        <v>431</v>
      </c>
      <c r="AM19" s="8" t="s">
        <v>1940</v>
      </c>
    </row>
    <row r="20" spans="1:39" ht="15" customHeight="1">
      <c r="A20" s="404" t="s">
        <v>2372</v>
      </c>
      <c r="B20" s="406">
        <v>49412158.199999996</v>
      </c>
      <c r="C20" s="25">
        <f>+'Trail Balance-JULY26'!D132</f>
        <v>49412158.200000003</v>
      </c>
      <c r="D20" s="23">
        <f>+GETPIVOTDATA("Amount",$A$16,"Type","Sales - Direct Export - Mfg - U/R")-C20</f>
        <v>0</v>
      </c>
      <c r="E20" s="347"/>
      <c r="F20" s="347"/>
      <c r="G20" s="347"/>
      <c r="H20" s="7">
        <v>46029</v>
      </c>
      <c r="I20" s="8" t="s">
        <v>61</v>
      </c>
      <c r="J20" s="8" t="s">
        <v>56</v>
      </c>
      <c r="K20" s="6">
        <v>137</v>
      </c>
      <c r="L20" s="8" t="s">
        <v>1698</v>
      </c>
      <c r="M20" s="8" t="s">
        <v>3369</v>
      </c>
      <c r="N20" s="7">
        <v>46029</v>
      </c>
      <c r="O20" s="8" t="s">
        <v>15</v>
      </c>
      <c r="P20" s="8" t="s">
        <v>57</v>
      </c>
      <c r="Q20" s="8" t="s">
        <v>57</v>
      </c>
      <c r="R20" s="8" t="s">
        <v>58</v>
      </c>
      <c r="S20" s="8" t="s">
        <v>16</v>
      </c>
      <c r="T20" s="9">
        <v>462</v>
      </c>
      <c r="U20" s="9">
        <v>115786.44</v>
      </c>
      <c r="V20" s="8" t="s">
        <v>3371</v>
      </c>
      <c r="W20" s="8">
        <v>0</v>
      </c>
      <c r="X20" s="8">
        <v>9</v>
      </c>
      <c r="Y20" s="8">
        <v>10420.780000000001</v>
      </c>
      <c r="Z20" s="8">
        <v>9</v>
      </c>
      <c r="AA20" s="8">
        <v>10420.780000000001</v>
      </c>
      <c r="AB20" s="8">
        <v>0</v>
      </c>
      <c r="AC20" s="8">
        <v>0</v>
      </c>
      <c r="AD20" s="8">
        <v>0</v>
      </c>
      <c r="AE20" s="8">
        <v>20841.560000000001</v>
      </c>
      <c r="AF20" s="8">
        <v>0</v>
      </c>
      <c r="AG20" s="8" t="s">
        <v>65</v>
      </c>
      <c r="AH20" s="8" t="s">
        <v>3</v>
      </c>
      <c r="AI20" s="8">
        <v>63053200</v>
      </c>
      <c r="AJ20" s="8" t="s">
        <v>60</v>
      </c>
      <c r="AK20" s="8">
        <v>1</v>
      </c>
      <c r="AL20" s="8">
        <v>462</v>
      </c>
      <c r="AM20" s="8" t="s">
        <v>1940</v>
      </c>
    </row>
    <row r="21" spans="1:39" ht="15" customHeight="1">
      <c r="A21" s="404" t="s">
        <v>2231</v>
      </c>
      <c r="B21" s="406">
        <v>383952</v>
      </c>
      <c r="C21" s="25">
        <f>+'Trail Balance-JULY26'!D138</f>
        <v>383952</v>
      </c>
      <c r="D21" s="23">
        <f>+GETPIVOTDATA("Amount",$A$16,"Type","Sales - Waste &amp; Scrape")-C21</f>
        <v>0</v>
      </c>
      <c r="E21" s="347"/>
      <c r="F21" s="347"/>
      <c r="G21" s="347"/>
      <c r="H21" s="7">
        <v>46029</v>
      </c>
      <c r="I21" s="8" t="s">
        <v>61</v>
      </c>
      <c r="J21" s="8" t="s">
        <v>56</v>
      </c>
      <c r="K21" s="6">
        <v>137</v>
      </c>
      <c r="L21" s="8" t="s">
        <v>1698</v>
      </c>
      <c r="M21" s="8" t="s">
        <v>3369</v>
      </c>
      <c r="N21" s="7">
        <v>46029</v>
      </c>
      <c r="O21" s="8" t="s">
        <v>15</v>
      </c>
      <c r="P21" s="8" t="s">
        <v>57</v>
      </c>
      <c r="Q21" s="8" t="s">
        <v>57</v>
      </c>
      <c r="R21" s="8" t="s">
        <v>58</v>
      </c>
      <c r="S21" s="8" t="s">
        <v>16</v>
      </c>
      <c r="T21" s="9">
        <v>838</v>
      </c>
      <c r="U21" s="9">
        <v>203809.98</v>
      </c>
      <c r="V21" s="8" t="s">
        <v>3372</v>
      </c>
      <c r="W21" s="8">
        <v>0</v>
      </c>
      <c r="X21" s="8">
        <v>9</v>
      </c>
      <c r="Y21" s="8">
        <v>18342.900000000001</v>
      </c>
      <c r="Z21" s="8">
        <v>9</v>
      </c>
      <c r="AA21" s="8">
        <v>18342.900000000001</v>
      </c>
      <c r="AB21" s="8">
        <v>0</v>
      </c>
      <c r="AC21" s="8">
        <v>0</v>
      </c>
      <c r="AD21" s="8">
        <v>0</v>
      </c>
      <c r="AE21" s="8">
        <v>36685.800000000003</v>
      </c>
      <c r="AF21" s="8">
        <v>0</v>
      </c>
      <c r="AG21" s="8" t="s">
        <v>65</v>
      </c>
      <c r="AH21" s="8" t="s">
        <v>3</v>
      </c>
      <c r="AI21" s="8">
        <v>63053200</v>
      </c>
      <c r="AJ21" s="8" t="s">
        <v>60</v>
      </c>
      <c r="AK21" s="8">
        <v>1</v>
      </c>
      <c r="AL21" s="8">
        <v>838</v>
      </c>
      <c r="AM21" s="8" t="s">
        <v>1940</v>
      </c>
    </row>
    <row r="22" spans="1:39" ht="15" customHeight="1">
      <c r="A22" s="404" t="s">
        <v>2374</v>
      </c>
      <c r="B22" s="406">
        <v>12043513.23</v>
      </c>
      <c r="C22" s="25">
        <f>+'Trail Balance-JULY26'!D129</f>
        <v>12043513.23</v>
      </c>
      <c r="D22" s="23">
        <f>+GETPIVOTDATA("Amount",$A$16,"Type","Sales - Merchant Export")-C22</f>
        <v>0</v>
      </c>
      <c r="E22" s="347"/>
      <c r="F22" s="347"/>
      <c r="G22" s="347"/>
      <c r="H22" s="7">
        <v>46029</v>
      </c>
      <c r="I22" s="8" t="s">
        <v>61</v>
      </c>
      <c r="J22" s="8" t="s">
        <v>56</v>
      </c>
      <c r="K22" s="6">
        <v>137</v>
      </c>
      <c r="L22" s="8" t="s">
        <v>1698</v>
      </c>
      <c r="M22" s="8" t="s">
        <v>3369</v>
      </c>
      <c r="N22" s="7">
        <v>46029</v>
      </c>
      <c r="O22" s="8" t="s">
        <v>15</v>
      </c>
      <c r="P22" s="8" t="s">
        <v>57</v>
      </c>
      <c r="Q22" s="8" t="s">
        <v>57</v>
      </c>
      <c r="R22" s="8" t="s">
        <v>58</v>
      </c>
      <c r="S22" s="8" t="s">
        <v>16</v>
      </c>
      <c r="T22" s="9">
        <v>1329</v>
      </c>
      <c r="U22" s="9">
        <v>311025.87</v>
      </c>
      <c r="V22" s="8" t="s">
        <v>3371</v>
      </c>
      <c r="W22" s="8">
        <v>0</v>
      </c>
      <c r="X22" s="8">
        <v>9</v>
      </c>
      <c r="Y22" s="8">
        <v>27992.33</v>
      </c>
      <c r="Z22" s="8">
        <v>9</v>
      </c>
      <c r="AA22" s="8">
        <v>27992.33</v>
      </c>
      <c r="AB22" s="8">
        <v>0</v>
      </c>
      <c r="AC22" s="8">
        <v>0</v>
      </c>
      <c r="AD22" s="8">
        <v>0</v>
      </c>
      <c r="AE22" s="8">
        <v>55984.66</v>
      </c>
      <c r="AF22" s="8">
        <v>0</v>
      </c>
      <c r="AG22" s="8" t="s">
        <v>65</v>
      </c>
      <c r="AH22" s="8" t="s">
        <v>3</v>
      </c>
      <c r="AI22" s="8">
        <v>63053200</v>
      </c>
      <c r="AJ22" s="8" t="s">
        <v>60</v>
      </c>
      <c r="AK22" s="8">
        <v>1</v>
      </c>
      <c r="AL22" s="8">
        <v>1329</v>
      </c>
      <c r="AM22" s="8" t="s">
        <v>1940</v>
      </c>
    </row>
    <row r="23" spans="1:39" ht="15" customHeight="1">
      <c r="A23" s="404" t="s">
        <v>2693</v>
      </c>
      <c r="B23" s="406">
        <v>50894794.75999999</v>
      </c>
      <c r="C23" s="25">
        <f>+'Trail Balance-JULY26'!D131</f>
        <v>50894794.759999998</v>
      </c>
      <c r="D23" s="23">
        <f>+GETPIVOTDATA("Amount",$A$16,"Type","Sales - Direct Export - Mfg - U/B")-C23</f>
        <v>0</v>
      </c>
      <c r="E23" s="347"/>
      <c r="F23" s="347"/>
      <c r="G23" s="347"/>
      <c r="H23" s="7">
        <v>46029</v>
      </c>
      <c r="I23" s="8" t="s">
        <v>61</v>
      </c>
      <c r="J23" s="8" t="s">
        <v>56</v>
      </c>
      <c r="K23" s="6">
        <v>137</v>
      </c>
      <c r="L23" s="8" t="s">
        <v>1698</v>
      </c>
      <c r="M23" s="8" t="s">
        <v>3369</v>
      </c>
      <c r="N23" s="7">
        <v>46029</v>
      </c>
      <c r="O23" s="8" t="s">
        <v>15</v>
      </c>
      <c r="P23" s="8" t="s">
        <v>57</v>
      </c>
      <c r="Q23" s="8" t="s">
        <v>57</v>
      </c>
      <c r="R23" s="8" t="s">
        <v>58</v>
      </c>
      <c r="S23" s="8" t="s">
        <v>16</v>
      </c>
      <c r="T23" s="9">
        <v>826</v>
      </c>
      <c r="U23" s="9">
        <v>198710.82</v>
      </c>
      <c r="V23" s="8" t="s">
        <v>3372</v>
      </c>
      <c r="W23" s="8">
        <v>0</v>
      </c>
      <c r="X23" s="8">
        <v>9</v>
      </c>
      <c r="Y23" s="8">
        <v>17883.97</v>
      </c>
      <c r="Z23" s="8">
        <v>9</v>
      </c>
      <c r="AA23" s="8">
        <v>17883.97</v>
      </c>
      <c r="AB23" s="8">
        <v>0</v>
      </c>
      <c r="AC23" s="8">
        <v>0</v>
      </c>
      <c r="AD23" s="8">
        <v>0</v>
      </c>
      <c r="AE23" s="8">
        <v>35767.94</v>
      </c>
      <c r="AF23" s="8">
        <v>0</v>
      </c>
      <c r="AG23" s="8" t="s">
        <v>65</v>
      </c>
      <c r="AH23" s="8" t="s">
        <v>3</v>
      </c>
      <c r="AI23" s="8">
        <v>63053200</v>
      </c>
      <c r="AJ23" s="8" t="s">
        <v>60</v>
      </c>
      <c r="AK23" s="8">
        <v>1</v>
      </c>
      <c r="AL23" s="8">
        <v>826</v>
      </c>
      <c r="AM23" s="8" t="s">
        <v>1940</v>
      </c>
    </row>
    <row r="24" spans="1:39" ht="15" customHeight="1">
      <c r="A24" s="411" t="s">
        <v>2612</v>
      </c>
      <c r="B24" s="407">
        <v>48000</v>
      </c>
      <c r="C24" s="25">
        <f>+'Trail Balance-JULY26'!D136</f>
        <v>48000</v>
      </c>
      <c r="D24" s="23">
        <f>+GETPIVOTDATA("Amount",$A$16,"Type","Sales - Kasez - Trading - U/B")-C24</f>
        <v>0</v>
      </c>
      <c r="E24" s="347"/>
      <c r="F24" s="347"/>
      <c r="G24" s="347"/>
      <c r="H24" s="7">
        <v>46029</v>
      </c>
      <c r="I24" s="8" t="s">
        <v>61</v>
      </c>
      <c r="J24" s="8" t="s">
        <v>56</v>
      </c>
      <c r="K24" s="6">
        <v>138</v>
      </c>
      <c r="L24" s="8" t="s">
        <v>75</v>
      </c>
      <c r="M24" s="8" t="s">
        <v>3373</v>
      </c>
      <c r="N24" s="7">
        <v>46029</v>
      </c>
      <c r="O24" s="8" t="s">
        <v>13</v>
      </c>
      <c r="P24" s="8" t="s">
        <v>99</v>
      </c>
      <c r="Q24" s="8" t="s">
        <v>100</v>
      </c>
      <c r="R24" s="8" t="s">
        <v>101</v>
      </c>
      <c r="S24" s="8" t="s">
        <v>1303</v>
      </c>
      <c r="T24" s="9">
        <v>88</v>
      </c>
      <c r="U24" s="9">
        <v>14321.12</v>
      </c>
      <c r="V24" s="8" t="s">
        <v>1303</v>
      </c>
      <c r="W24" s="8">
        <v>15022.86</v>
      </c>
      <c r="X24" s="8">
        <v>2.5</v>
      </c>
      <c r="Y24" s="8">
        <v>358.03</v>
      </c>
      <c r="Z24" s="8">
        <v>2.5</v>
      </c>
      <c r="AA24" s="8">
        <v>358.03</v>
      </c>
      <c r="AB24" s="8">
        <v>0</v>
      </c>
      <c r="AC24" s="8">
        <v>0</v>
      </c>
      <c r="AD24" s="8">
        <v>0</v>
      </c>
      <c r="AE24" s="8">
        <v>716.06</v>
      </c>
      <c r="AF24" s="8">
        <v>0</v>
      </c>
      <c r="AG24" s="8" t="s">
        <v>65</v>
      </c>
      <c r="AH24" s="8" t="s">
        <v>3</v>
      </c>
      <c r="AI24" s="8">
        <v>54026300</v>
      </c>
      <c r="AJ24" s="8" t="s">
        <v>60</v>
      </c>
      <c r="AK24" s="8">
        <v>1</v>
      </c>
      <c r="AL24" s="8">
        <v>88</v>
      </c>
      <c r="AM24" s="8" t="s">
        <v>1940</v>
      </c>
    </row>
    <row r="25" spans="1:39" ht="15" customHeight="1">
      <c r="A25" s="404" t="s">
        <v>84</v>
      </c>
      <c r="B25" s="25">
        <v>137308486.03999999</v>
      </c>
      <c r="C25" s="369"/>
      <c r="D25" s="347"/>
      <c r="E25" s="347"/>
      <c r="F25" s="347"/>
      <c r="G25" s="347"/>
      <c r="H25" s="7">
        <v>46029</v>
      </c>
      <c r="I25" s="8" t="s">
        <v>2544</v>
      </c>
      <c r="J25" s="8" t="s">
        <v>2242</v>
      </c>
      <c r="K25" s="6" t="s">
        <v>3374</v>
      </c>
      <c r="L25" s="8" t="s">
        <v>2372</v>
      </c>
      <c r="M25" s="8" t="s">
        <v>3374</v>
      </c>
      <c r="N25" s="7">
        <v>46029</v>
      </c>
      <c r="O25" s="8" t="s">
        <v>15</v>
      </c>
      <c r="P25" s="8" t="s">
        <v>57</v>
      </c>
      <c r="Q25" s="8" t="s">
        <v>57</v>
      </c>
      <c r="R25" s="8" t="s">
        <v>58</v>
      </c>
      <c r="S25" s="8" t="s">
        <v>16</v>
      </c>
      <c r="T25" s="9">
        <v>19351</v>
      </c>
      <c r="U25" s="9">
        <v>4855238.6100000003</v>
      </c>
      <c r="V25" s="8" t="s">
        <v>2541</v>
      </c>
      <c r="W25" s="8">
        <v>5166701.5999999996</v>
      </c>
      <c r="X25" s="8">
        <v>0</v>
      </c>
      <c r="Y25" s="8">
        <v>0</v>
      </c>
      <c r="Z25" s="8">
        <v>0</v>
      </c>
      <c r="AA25" s="8">
        <v>0</v>
      </c>
      <c r="AB25" s="8">
        <v>18</v>
      </c>
      <c r="AC25" s="8">
        <v>873942.97400000005</v>
      </c>
      <c r="AD25" s="8">
        <v>0</v>
      </c>
      <c r="AE25" s="8">
        <v>873942.97400000005</v>
      </c>
      <c r="AF25" s="8">
        <v>0</v>
      </c>
      <c r="AG25" s="8" t="s">
        <v>2279</v>
      </c>
      <c r="AH25" s="8" t="s">
        <v>3</v>
      </c>
      <c r="AI25" s="8">
        <v>63053200</v>
      </c>
      <c r="AJ25" s="8" t="s">
        <v>2545</v>
      </c>
      <c r="AK25" s="8">
        <v>123.7</v>
      </c>
      <c r="AL25" s="8">
        <v>19351</v>
      </c>
      <c r="AM25" s="8" t="s">
        <v>2546</v>
      </c>
    </row>
    <row r="26" spans="1:39" ht="15" customHeight="1">
      <c r="A26"/>
      <c r="B26"/>
      <c r="C26" s="369"/>
      <c r="D26" s="347"/>
      <c r="E26" s="347"/>
      <c r="F26" s="347"/>
      <c r="G26" s="347"/>
      <c r="H26" s="7">
        <v>46029</v>
      </c>
      <c r="I26" s="8" t="s">
        <v>2544</v>
      </c>
      <c r="J26" s="8" t="s">
        <v>2242</v>
      </c>
      <c r="K26" s="6" t="s">
        <v>3375</v>
      </c>
      <c r="L26" s="8" t="s">
        <v>2372</v>
      </c>
      <c r="M26" s="8" t="s">
        <v>3375</v>
      </c>
      <c r="N26" s="7">
        <v>46029</v>
      </c>
      <c r="O26" s="8" t="s">
        <v>15</v>
      </c>
      <c r="P26" s="8" t="s">
        <v>57</v>
      </c>
      <c r="Q26" s="8" t="s">
        <v>57</v>
      </c>
      <c r="R26" s="8" t="s">
        <v>58</v>
      </c>
      <c r="S26" s="8" t="s">
        <v>16</v>
      </c>
      <c r="T26" s="9">
        <v>19049</v>
      </c>
      <c r="U26" s="9">
        <v>4503569.4000000004</v>
      </c>
      <c r="V26" s="8" t="s">
        <v>2541</v>
      </c>
      <c r="W26" s="8">
        <v>4814856.74</v>
      </c>
      <c r="X26" s="8">
        <v>0</v>
      </c>
      <c r="Y26" s="8">
        <v>0</v>
      </c>
      <c r="Z26" s="8">
        <v>0</v>
      </c>
      <c r="AA26" s="8">
        <v>0</v>
      </c>
      <c r="AB26" s="8">
        <v>18</v>
      </c>
      <c r="AC26" s="8">
        <v>810642.46779999998</v>
      </c>
      <c r="AD26" s="8">
        <v>0</v>
      </c>
      <c r="AE26" s="8">
        <v>810642.46779999998</v>
      </c>
      <c r="AF26" s="8">
        <v>0</v>
      </c>
      <c r="AG26" s="8" t="s">
        <v>2279</v>
      </c>
      <c r="AH26" s="8" t="s">
        <v>3</v>
      </c>
      <c r="AI26" s="8">
        <v>63053200</v>
      </c>
      <c r="AJ26" s="8" t="s">
        <v>2545</v>
      </c>
      <c r="AK26" s="8">
        <v>123.7</v>
      </c>
      <c r="AL26" s="8">
        <v>19049</v>
      </c>
      <c r="AM26" s="8" t="s">
        <v>2546</v>
      </c>
    </row>
    <row r="27" spans="1:39" ht="15" customHeight="1">
      <c r="A27"/>
      <c r="B27"/>
      <c r="C27" s="347"/>
      <c r="D27" s="347"/>
      <c r="E27" s="347"/>
      <c r="F27" s="347"/>
      <c r="G27" s="347"/>
      <c r="H27" s="7">
        <v>46060</v>
      </c>
      <c r="I27" s="8" t="s">
        <v>61</v>
      </c>
      <c r="J27" s="8" t="s">
        <v>56</v>
      </c>
      <c r="K27" s="6">
        <v>139</v>
      </c>
      <c r="L27" s="8" t="s">
        <v>75</v>
      </c>
      <c r="M27" s="8" t="s">
        <v>3376</v>
      </c>
      <c r="N27" s="7">
        <v>46060</v>
      </c>
      <c r="O27" s="8" t="s">
        <v>2</v>
      </c>
      <c r="P27" s="8" t="s">
        <v>67</v>
      </c>
      <c r="Q27" s="8" t="s">
        <v>68</v>
      </c>
      <c r="R27" s="8" t="s">
        <v>69</v>
      </c>
      <c r="S27" s="8" t="s">
        <v>70</v>
      </c>
      <c r="T27" s="9">
        <v>1480</v>
      </c>
      <c r="U27" s="9">
        <v>71040</v>
      </c>
      <c r="V27" s="8" t="s">
        <v>591</v>
      </c>
      <c r="W27" s="8">
        <v>83756.160000000003</v>
      </c>
      <c r="X27" s="8">
        <v>9</v>
      </c>
      <c r="Y27" s="8">
        <v>6393.6</v>
      </c>
      <c r="Z27" s="8">
        <v>9</v>
      </c>
      <c r="AA27" s="8">
        <v>6393.6</v>
      </c>
      <c r="AB27" s="8">
        <v>0</v>
      </c>
      <c r="AC27" s="8">
        <v>0</v>
      </c>
      <c r="AD27" s="8">
        <v>0</v>
      </c>
      <c r="AE27" s="8">
        <v>12787.2</v>
      </c>
      <c r="AF27" s="8">
        <v>0</v>
      </c>
      <c r="AG27" s="8" t="s">
        <v>65</v>
      </c>
      <c r="AH27" s="8" t="s">
        <v>3</v>
      </c>
      <c r="AI27" s="8">
        <v>73063090</v>
      </c>
      <c r="AJ27" s="8" t="s">
        <v>60</v>
      </c>
      <c r="AK27" s="8">
        <v>1</v>
      </c>
      <c r="AL27" s="8">
        <v>1480</v>
      </c>
      <c r="AM27" s="8" t="s">
        <v>1940</v>
      </c>
    </row>
    <row r="28" spans="1:39" ht="15" customHeight="1">
      <c r="A28"/>
      <c r="B28"/>
      <c r="C28" s="347"/>
      <c r="D28" s="347"/>
      <c r="E28" s="347"/>
      <c r="F28" s="347"/>
      <c r="G28" s="347"/>
      <c r="H28" s="7">
        <v>46060</v>
      </c>
      <c r="I28" s="8" t="s">
        <v>61</v>
      </c>
      <c r="J28" s="8" t="s">
        <v>56</v>
      </c>
      <c r="K28" s="6">
        <v>140</v>
      </c>
      <c r="L28" s="8" t="s">
        <v>2231</v>
      </c>
      <c r="M28" s="8" t="s">
        <v>3377</v>
      </c>
      <c r="N28" s="7">
        <v>46060</v>
      </c>
      <c r="O28" s="8" t="s">
        <v>13</v>
      </c>
      <c r="P28" s="8" t="s">
        <v>71</v>
      </c>
      <c r="Q28" s="8" t="s">
        <v>71</v>
      </c>
      <c r="R28" s="8" t="s">
        <v>72</v>
      </c>
      <c r="S28" s="8" t="s">
        <v>22</v>
      </c>
      <c r="T28" s="9">
        <v>2078</v>
      </c>
      <c r="U28" s="9">
        <v>24936</v>
      </c>
      <c r="V28" s="8" t="s">
        <v>22</v>
      </c>
      <c r="W28" s="8">
        <v>30012.97</v>
      </c>
      <c r="X28" s="8">
        <v>9</v>
      </c>
      <c r="Y28" s="8">
        <v>2244.2399999999998</v>
      </c>
      <c r="Z28" s="8">
        <v>9</v>
      </c>
      <c r="AA28" s="8">
        <v>2244.2399999999998</v>
      </c>
      <c r="AB28" s="8">
        <v>0</v>
      </c>
      <c r="AC28" s="8">
        <v>0</v>
      </c>
      <c r="AD28" s="8">
        <v>0</v>
      </c>
      <c r="AE28" s="8">
        <v>4488.4799999999996</v>
      </c>
      <c r="AF28" s="8">
        <v>588.49</v>
      </c>
      <c r="AG28" s="8" t="s">
        <v>65</v>
      </c>
      <c r="AH28" s="8" t="s">
        <v>3</v>
      </c>
      <c r="AI28" s="8">
        <v>39159029</v>
      </c>
      <c r="AJ28" s="8" t="s">
        <v>60</v>
      </c>
      <c r="AK28" s="8">
        <v>1</v>
      </c>
      <c r="AL28" s="8">
        <v>2078</v>
      </c>
      <c r="AM28" s="8" t="s">
        <v>1940</v>
      </c>
    </row>
    <row r="29" spans="1:39" ht="15" customHeight="1">
      <c r="A29"/>
      <c r="B29"/>
      <c r="C29" s="347"/>
      <c r="D29" s="347"/>
      <c r="E29" s="347"/>
      <c r="F29" s="347"/>
      <c r="G29" s="347"/>
      <c r="H29" s="7">
        <v>46088</v>
      </c>
      <c r="I29" s="8" t="s">
        <v>61</v>
      </c>
      <c r="J29" s="8" t="s">
        <v>56</v>
      </c>
      <c r="K29" s="6">
        <v>141</v>
      </c>
      <c r="L29" s="8" t="s">
        <v>75</v>
      </c>
      <c r="M29" s="8" t="s">
        <v>3378</v>
      </c>
      <c r="N29" s="7">
        <v>46088</v>
      </c>
      <c r="O29" s="8" t="s">
        <v>13</v>
      </c>
      <c r="P29" s="8" t="s">
        <v>62</v>
      </c>
      <c r="Q29" s="8" t="s">
        <v>63</v>
      </c>
      <c r="R29" s="8" t="s">
        <v>64</v>
      </c>
      <c r="S29" s="8" t="s">
        <v>19</v>
      </c>
      <c r="T29" s="9">
        <v>291</v>
      </c>
      <c r="U29" s="9">
        <v>42992.34</v>
      </c>
      <c r="V29" s="8" t="s">
        <v>3379</v>
      </c>
      <c r="W29" s="8">
        <v>50687.97</v>
      </c>
      <c r="X29" s="8">
        <v>9</v>
      </c>
      <c r="Y29" s="8">
        <v>3869.31</v>
      </c>
      <c r="Z29" s="8">
        <v>9</v>
      </c>
      <c r="AA29" s="8">
        <v>3869.31</v>
      </c>
      <c r="AB29" s="8">
        <v>0</v>
      </c>
      <c r="AC29" s="8">
        <v>0</v>
      </c>
      <c r="AD29" s="8">
        <v>0</v>
      </c>
      <c r="AE29" s="8">
        <v>7738.62</v>
      </c>
      <c r="AF29" s="8">
        <v>0</v>
      </c>
      <c r="AG29" s="8" t="s">
        <v>65</v>
      </c>
      <c r="AH29" s="8" t="s">
        <v>3</v>
      </c>
      <c r="AI29" s="8">
        <v>39269080</v>
      </c>
      <c r="AJ29" s="8" t="s">
        <v>60</v>
      </c>
      <c r="AK29" s="8">
        <v>1</v>
      </c>
      <c r="AL29" s="8">
        <v>291</v>
      </c>
      <c r="AM29" s="8" t="s">
        <v>1940</v>
      </c>
    </row>
    <row r="30" spans="1:39" ht="15" customHeight="1">
      <c r="A30"/>
      <c r="B30"/>
      <c r="C30" s="347"/>
      <c r="D30" s="347"/>
      <c r="E30" s="347"/>
      <c r="F30" s="347"/>
      <c r="G30" s="347"/>
      <c r="H30" s="7">
        <v>46088</v>
      </c>
      <c r="I30" s="8" t="s">
        <v>61</v>
      </c>
      <c r="J30" s="8" t="s">
        <v>56</v>
      </c>
      <c r="K30" s="6">
        <v>142</v>
      </c>
      <c r="L30" s="8" t="s">
        <v>75</v>
      </c>
      <c r="M30" s="8" t="s">
        <v>3380</v>
      </c>
      <c r="N30" s="7">
        <v>46088</v>
      </c>
      <c r="O30" s="8" t="s">
        <v>13</v>
      </c>
      <c r="P30" s="8" t="s">
        <v>80</v>
      </c>
      <c r="Q30" s="8" t="s">
        <v>81</v>
      </c>
      <c r="R30" s="8" t="s">
        <v>82</v>
      </c>
      <c r="S30" s="8" t="s">
        <v>17</v>
      </c>
      <c r="T30" s="9">
        <v>26</v>
      </c>
      <c r="U30" s="9">
        <v>4709.8999999999996</v>
      </c>
      <c r="V30" s="8" t="s">
        <v>3381</v>
      </c>
      <c r="W30" s="8">
        <v>5552.97</v>
      </c>
      <c r="X30" s="8">
        <v>9</v>
      </c>
      <c r="Y30" s="8">
        <v>423.89</v>
      </c>
      <c r="Z30" s="8">
        <v>9</v>
      </c>
      <c r="AA30" s="8">
        <v>423.89</v>
      </c>
      <c r="AB30" s="8">
        <v>0</v>
      </c>
      <c r="AC30" s="8">
        <v>0</v>
      </c>
      <c r="AD30" s="8">
        <v>0</v>
      </c>
      <c r="AE30" s="8">
        <v>847.78</v>
      </c>
      <c r="AF30" s="8">
        <v>0</v>
      </c>
      <c r="AG30" s="8" t="s">
        <v>65</v>
      </c>
      <c r="AH30" s="8" t="s">
        <v>3</v>
      </c>
      <c r="AI30" s="8">
        <v>39232100</v>
      </c>
      <c r="AJ30" s="8" t="s">
        <v>60</v>
      </c>
      <c r="AK30" s="8">
        <v>1</v>
      </c>
      <c r="AL30" s="8">
        <v>26</v>
      </c>
      <c r="AM30" s="8" t="s">
        <v>1940</v>
      </c>
    </row>
    <row r="31" spans="1:39" ht="15" customHeight="1">
      <c r="A31"/>
      <c r="B31"/>
      <c r="C31" s="347"/>
      <c r="D31" s="347"/>
      <c r="E31" s="347"/>
      <c r="F31" s="347"/>
      <c r="G31" s="347"/>
      <c r="H31" s="7">
        <v>46119</v>
      </c>
      <c r="I31" s="8" t="s">
        <v>61</v>
      </c>
      <c r="J31" s="8" t="s">
        <v>56</v>
      </c>
      <c r="K31" s="6">
        <v>143</v>
      </c>
      <c r="L31" s="8" t="s">
        <v>1698</v>
      </c>
      <c r="M31" s="8" t="s">
        <v>3382</v>
      </c>
      <c r="N31" s="7">
        <v>46119</v>
      </c>
      <c r="O31" s="8" t="s">
        <v>15</v>
      </c>
      <c r="P31" s="8" t="s">
        <v>57</v>
      </c>
      <c r="Q31" s="8" t="s">
        <v>57</v>
      </c>
      <c r="R31" s="8" t="s">
        <v>58</v>
      </c>
      <c r="S31" s="8" t="s">
        <v>16</v>
      </c>
      <c r="T31" s="9">
        <v>9965</v>
      </c>
      <c r="U31" s="9">
        <v>2073218.25</v>
      </c>
      <c r="V31" s="8" t="s">
        <v>3383</v>
      </c>
      <c r="W31" s="8">
        <v>2444324.31</v>
      </c>
      <c r="X31" s="8">
        <v>9</v>
      </c>
      <c r="Y31" s="8">
        <v>186589.64</v>
      </c>
      <c r="Z31" s="8">
        <v>9</v>
      </c>
      <c r="AA31" s="8">
        <v>186589.64</v>
      </c>
      <c r="AB31" s="8">
        <v>0</v>
      </c>
      <c r="AC31" s="8">
        <v>0</v>
      </c>
      <c r="AD31" s="8">
        <v>0</v>
      </c>
      <c r="AE31" s="8">
        <v>373179.28</v>
      </c>
      <c r="AF31" s="8">
        <v>0</v>
      </c>
      <c r="AG31" s="8" t="s">
        <v>65</v>
      </c>
      <c r="AH31" s="8" t="s">
        <v>3</v>
      </c>
      <c r="AI31" s="8">
        <v>63053200</v>
      </c>
      <c r="AJ31" s="8" t="s">
        <v>60</v>
      </c>
      <c r="AK31" s="8">
        <v>1</v>
      </c>
      <c r="AL31" s="8">
        <v>9965</v>
      </c>
      <c r="AM31" s="8" t="s">
        <v>1940</v>
      </c>
    </row>
    <row r="32" spans="1:39" ht="15" customHeight="1">
      <c r="A32"/>
      <c r="B32"/>
      <c r="C32" s="347"/>
      <c r="D32" s="347"/>
      <c r="E32" s="347"/>
      <c r="F32" s="347"/>
      <c r="G32" s="347"/>
      <c r="H32" s="7">
        <v>46119</v>
      </c>
      <c r="I32" s="8" t="s">
        <v>61</v>
      </c>
      <c r="J32" s="8" t="s">
        <v>56</v>
      </c>
      <c r="K32" s="6">
        <v>144</v>
      </c>
      <c r="L32" s="8" t="s">
        <v>1698</v>
      </c>
      <c r="M32" s="8" t="s">
        <v>3384</v>
      </c>
      <c r="N32" s="7">
        <v>46119</v>
      </c>
      <c r="O32" s="8" t="s">
        <v>15</v>
      </c>
      <c r="P32" s="8" t="s">
        <v>57</v>
      </c>
      <c r="Q32" s="8" t="s">
        <v>57</v>
      </c>
      <c r="R32" s="8" t="s">
        <v>58</v>
      </c>
      <c r="S32" s="8" t="s">
        <v>16</v>
      </c>
      <c r="T32" s="9">
        <v>2634</v>
      </c>
      <c r="U32" s="9">
        <v>585669.9</v>
      </c>
      <c r="V32" s="8" t="s">
        <v>3385</v>
      </c>
      <c r="W32" s="8">
        <v>5614673.7599999998</v>
      </c>
      <c r="X32" s="8">
        <v>9</v>
      </c>
      <c r="Y32" s="8">
        <v>52710.29</v>
      </c>
      <c r="Z32" s="8">
        <v>9</v>
      </c>
      <c r="AA32" s="8">
        <v>52710.29</v>
      </c>
      <c r="AB32" s="8">
        <v>0</v>
      </c>
      <c r="AC32" s="8">
        <v>0</v>
      </c>
      <c r="AD32" s="8">
        <v>0</v>
      </c>
      <c r="AE32" s="8">
        <v>105420.58</v>
      </c>
      <c r="AF32" s="8">
        <v>0</v>
      </c>
      <c r="AG32" s="8" t="s">
        <v>65</v>
      </c>
      <c r="AH32" s="8" t="s">
        <v>3</v>
      </c>
      <c r="AI32" s="8">
        <v>63053200</v>
      </c>
      <c r="AJ32" s="8" t="s">
        <v>60</v>
      </c>
      <c r="AK32" s="8">
        <v>1</v>
      </c>
      <c r="AL32" s="8">
        <v>2634</v>
      </c>
      <c r="AM32" s="8" t="s">
        <v>1940</v>
      </c>
    </row>
    <row r="33" spans="1:39" ht="15" customHeight="1">
      <c r="A33"/>
      <c r="B33"/>
      <c r="C33" s="347"/>
      <c r="D33" s="347"/>
      <c r="E33" s="347"/>
      <c r="F33" s="347"/>
      <c r="G33" s="347"/>
      <c r="H33" s="7">
        <v>46119</v>
      </c>
      <c r="I33" s="8" t="s">
        <v>61</v>
      </c>
      <c r="J33" s="8" t="s">
        <v>56</v>
      </c>
      <c r="K33" s="6">
        <v>144</v>
      </c>
      <c r="L33" s="8" t="s">
        <v>1698</v>
      </c>
      <c r="M33" s="8" t="s">
        <v>3384</v>
      </c>
      <c r="N33" s="7">
        <v>46119</v>
      </c>
      <c r="O33" s="8" t="s">
        <v>15</v>
      </c>
      <c r="P33" s="8" t="s">
        <v>57</v>
      </c>
      <c r="Q33" s="8" t="s">
        <v>57</v>
      </c>
      <c r="R33" s="8" t="s">
        <v>58</v>
      </c>
      <c r="S33" s="8" t="s">
        <v>16</v>
      </c>
      <c r="T33" s="9">
        <v>4150</v>
      </c>
      <c r="U33" s="9">
        <v>932422</v>
      </c>
      <c r="V33" s="8" t="s">
        <v>2390</v>
      </c>
      <c r="W33" s="8">
        <v>0</v>
      </c>
      <c r="X33" s="8">
        <v>9</v>
      </c>
      <c r="Y33" s="8">
        <v>83917.98</v>
      </c>
      <c r="Z33" s="8">
        <v>9</v>
      </c>
      <c r="AA33" s="8">
        <v>83917.98</v>
      </c>
      <c r="AB33" s="8">
        <v>0</v>
      </c>
      <c r="AC33" s="8">
        <v>0</v>
      </c>
      <c r="AD33" s="8">
        <v>0</v>
      </c>
      <c r="AE33" s="8">
        <v>167835.96</v>
      </c>
      <c r="AF33" s="8">
        <v>0</v>
      </c>
      <c r="AG33" s="8" t="s">
        <v>65</v>
      </c>
      <c r="AH33" s="8" t="s">
        <v>3</v>
      </c>
      <c r="AI33" s="8">
        <v>63053200</v>
      </c>
      <c r="AJ33" s="8" t="s">
        <v>60</v>
      </c>
      <c r="AK33" s="8">
        <v>1</v>
      </c>
      <c r="AL33" s="8">
        <v>4150</v>
      </c>
      <c r="AM33" s="8" t="s">
        <v>1940</v>
      </c>
    </row>
    <row r="34" spans="1:39" ht="15" customHeight="1">
      <c r="A34"/>
      <c r="B34"/>
      <c r="C34" s="347"/>
      <c r="D34" s="347"/>
      <c r="E34" s="347"/>
      <c r="F34" s="347"/>
      <c r="G34" s="347"/>
      <c r="H34" s="7">
        <v>46119</v>
      </c>
      <c r="I34" s="8" t="s">
        <v>61</v>
      </c>
      <c r="J34" s="8" t="s">
        <v>56</v>
      </c>
      <c r="K34" s="6">
        <v>144</v>
      </c>
      <c r="L34" s="8" t="s">
        <v>1698</v>
      </c>
      <c r="M34" s="8" t="s">
        <v>3384</v>
      </c>
      <c r="N34" s="7">
        <v>46119</v>
      </c>
      <c r="O34" s="8" t="s">
        <v>15</v>
      </c>
      <c r="P34" s="8" t="s">
        <v>57</v>
      </c>
      <c r="Q34" s="8" t="s">
        <v>57</v>
      </c>
      <c r="R34" s="8" t="s">
        <v>58</v>
      </c>
      <c r="S34" s="8" t="s">
        <v>16</v>
      </c>
      <c r="T34" s="9">
        <v>875</v>
      </c>
      <c r="U34" s="9">
        <v>202781.25</v>
      </c>
      <c r="V34" s="8" t="s">
        <v>2390</v>
      </c>
      <c r="W34" s="8">
        <v>0</v>
      </c>
      <c r="X34" s="8">
        <v>9</v>
      </c>
      <c r="Y34" s="8">
        <v>18250.310000000001</v>
      </c>
      <c r="Z34" s="8">
        <v>9</v>
      </c>
      <c r="AA34" s="8">
        <v>18250.310000000001</v>
      </c>
      <c r="AB34" s="8">
        <v>0</v>
      </c>
      <c r="AC34" s="8">
        <v>0</v>
      </c>
      <c r="AD34" s="8">
        <v>0</v>
      </c>
      <c r="AE34" s="8">
        <v>36500.620000000003</v>
      </c>
      <c r="AF34" s="8">
        <v>0</v>
      </c>
      <c r="AG34" s="8" t="s">
        <v>65</v>
      </c>
      <c r="AH34" s="8" t="s">
        <v>3</v>
      </c>
      <c r="AI34" s="8">
        <v>63053200</v>
      </c>
      <c r="AJ34" s="8" t="s">
        <v>60</v>
      </c>
      <c r="AK34" s="8">
        <v>1</v>
      </c>
      <c r="AL34" s="8">
        <v>875</v>
      </c>
      <c r="AM34" s="8" t="s">
        <v>1940</v>
      </c>
    </row>
    <row r="35" spans="1:39" ht="15" customHeight="1">
      <c r="A35"/>
      <c r="B35"/>
      <c r="C35" s="347"/>
      <c r="D35" s="347"/>
      <c r="E35" s="347"/>
      <c r="F35" s="347"/>
      <c r="G35" s="347"/>
      <c r="H35" s="7">
        <v>46119</v>
      </c>
      <c r="I35" s="8" t="s">
        <v>61</v>
      </c>
      <c r="J35" s="8" t="s">
        <v>56</v>
      </c>
      <c r="K35" s="6">
        <v>144</v>
      </c>
      <c r="L35" s="8" t="s">
        <v>1698</v>
      </c>
      <c r="M35" s="8" t="s">
        <v>3384</v>
      </c>
      <c r="N35" s="7">
        <v>46119</v>
      </c>
      <c r="O35" s="8" t="s">
        <v>15</v>
      </c>
      <c r="P35" s="8" t="s">
        <v>57</v>
      </c>
      <c r="Q35" s="8" t="s">
        <v>57</v>
      </c>
      <c r="R35" s="8" t="s">
        <v>58</v>
      </c>
      <c r="S35" s="8" t="s">
        <v>16</v>
      </c>
      <c r="T35" s="9">
        <v>433</v>
      </c>
      <c r="U35" s="9">
        <v>101360.97</v>
      </c>
      <c r="V35" s="8" t="s">
        <v>2390</v>
      </c>
      <c r="W35" s="8">
        <v>0</v>
      </c>
      <c r="X35" s="8">
        <v>9</v>
      </c>
      <c r="Y35" s="8">
        <v>9122.49</v>
      </c>
      <c r="Z35" s="8">
        <v>9</v>
      </c>
      <c r="AA35" s="8">
        <v>9122.49</v>
      </c>
      <c r="AB35" s="8">
        <v>0</v>
      </c>
      <c r="AC35" s="8">
        <v>0</v>
      </c>
      <c r="AD35" s="8">
        <v>0</v>
      </c>
      <c r="AE35" s="8">
        <v>18244.98</v>
      </c>
      <c r="AF35" s="8">
        <v>0</v>
      </c>
      <c r="AG35" s="8" t="s">
        <v>65</v>
      </c>
      <c r="AH35" s="8" t="s">
        <v>3</v>
      </c>
      <c r="AI35" s="8">
        <v>63053200</v>
      </c>
      <c r="AJ35" s="8" t="s">
        <v>60</v>
      </c>
      <c r="AK35" s="8">
        <v>1</v>
      </c>
      <c r="AL35" s="8">
        <v>433</v>
      </c>
      <c r="AM35" s="8" t="s">
        <v>1940</v>
      </c>
    </row>
    <row r="36" spans="1:39" ht="15" customHeight="1">
      <c r="A36"/>
      <c r="B36"/>
      <c r="C36" s="347"/>
      <c r="D36" s="347"/>
      <c r="E36" s="347"/>
      <c r="F36" s="347"/>
      <c r="G36" s="347"/>
      <c r="H36" s="7">
        <v>46119</v>
      </c>
      <c r="I36" s="8" t="s">
        <v>61</v>
      </c>
      <c r="J36" s="8" t="s">
        <v>56</v>
      </c>
      <c r="K36" s="6">
        <v>144</v>
      </c>
      <c r="L36" s="8" t="s">
        <v>1698</v>
      </c>
      <c r="M36" s="8" t="s">
        <v>3384</v>
      </c>
      <c r="N36" s="7">
        <v>46119</v>
      </c>
      <c r="O36" s="8" t="s">
        <v>15</v>
      </c>
      <c r="P36" s="8" t="s">
        <v>57</v>
      </c>
      <c r="Q36" s="8" t="s">
        <v>57</v>
      </c>
      <c r="R36" s="8" t="s">
        <v>58</v>
      </c>
      <c r="S36" s="8" t="s">
        <v>16</v>
      </c>
      <c r="T36" s="9">
        <v>878</v>
      </c>
      <c r="U36" s="9">
        <v>202800.44</v>
      </c>
      <c r="V36" s="8" t="s">
        <v>2390</v>
      </c>
      <c r="W36" s="8">
        <v>0</v>
      </c>
      <c r="X36" s="8">
        <v>9</v>
      </c>
      <c r="Y36" s="8">
        <v>18252.04</v>
      </c>
      <c r="Z36" s="8">
        <v>9</v>
      </c>
      <c r="AA36" s="8">
        <v>18252.04</v>
      </c>
      <c r="AB36" s="8">
        <v>0</v>
      </c>
      <c r="AC36" s="8">
        <v>0</v>
      </c>
      <c r="AD36" s="8">
        <v>0</v>
      </c>
      <c r="AE36" s="8">
        <v>36504.080000000002</v>
      </c>
      <c r="AF36" s="8">
        <v>0</v>
      </c>
      <c r="AG36" s="8" t="s">
        <v>65</v>
      </c>
      <c r="AH36" s="8" t="s">
        <v>3</v>
      </c>
      <c r="AI36" s="8">
        <v>63053200</v>
      </c>
      <c r="AJ36" s="8" t="s">
        <v>60</v>
      </c>
      <c r="AK36" s="8">
        <v>1</v>
      </c>
      <c r="AL36" s="8">
        <v>878</v>
      </c>
      <c r="AM36" s="8" t="s">
        <v>1940</v>
      </c>
    </row>
    <row r="37" spans="1:39" ht="15" customHeight="1">
      <c r="A37"/>
      <c r="B37"/>
      <c r="C37" s="347"/>
      <c r="D37" s="347"/>
      <c r="E37" s="347"/>
      <c r="F37" s="347"/>
      <c r="G37" s="347"/>
      <c r="H37" s="7">
        <v>46119</v>
      </c>
      <c r="I37" s="8" t="s">
        <v>61</v>
      </c>
      <c r="J37" s="8" t="s">
        <v>56</v>
      </c>
      <c r="K37" s="6">
        <v>144</v>
      </c>
      <c r="L37" s="8" t="s">
        <v>1698</v>
      </c>
      <c r="M37" s="8" t="s">
        <v>3384</v>
      </c>
      <c r="N37" s="7">
        <v>46119</v>
      </c>
      <c r="O37" s="8" t="s">
        <v>15</v>
      </c>
      <c r="P37" s="8" t="s">
        <v>57</v>
      </c>
      <c r="Q37" s="8" t="s">
        <v>57</v>
      </c>
      <c r="R37" s="8" t="s">
        <v>58</v>
      </c>
      <c r="S37" s="8" t="s">
        <v>16</v>
      </c>
      <c r="T37" s="9">
        <v>895</v>
      </c>
      <c r="U37" s="9">
        <v>202914.4</v>
      </c>
      <c r="V37" s="8" t="s">
        <v>2390</v>
      </c>
      <c r="W37" s="8">
        <v>0</v>
      </c>
      <c r="X37" s="8">
        <v>9</v>
      </c>
      <c r="Y37" s="8">
        <v>18262.3</v>
      </c>
      <c r="Z37" s="8">
        <v>9</v>
      </c>
      <c r="AA37" s="8">
        <v>18262.3</v>
      </c>
      <c r="AB37" s="8">
        <v>0</v>
      </c>
      <c r="AC37" s="8">
        <v>0</v>
      </c>
      <c r="AD37" s="8">
        <v>0</v>
      </c>
      <c r="AE37" s="8">
        <v>36524.6</v>
      </c>
      <c r="AF37" s="8">
        <v>0</v>
      </c>
      <c r="AG37" s="8" t="s">
        <v>65</v>
      </c>
      <c r="AH37" s="8" t="s">
        <v>3</v>
      </c>
      <c r="AI37" s="8">
        <v>63053200</v>
      </c>
      <c r="AJ37" s="8" t="s">
        <v>60</v>
      </c>
      <c r="AK37" s="8">
        <v>1</v>
      </c>
      <c r="AL37" s="8">
        <v>895</v>
      </c>
      <c r="AM37" s="8" t="s">
        <v>1940</v>
      </c>
    </row>
    <row r="38" spans="1:39" ht="15" customHeight="1">
      <c r="A38"/>
      <c r="B38"/>
      <c r="C38" s="347"/>
      <c r="D38" s="347"/>
      <c r="E38" s="347"/>
      <c r="F38" s="347"/>
      <c r="G38" s="347"/>
      <c r="H38" s="7">
        <v>46119</v>
      </c>
      <c r="I38" s="8" t="s">
        <v>61</v>
      </c>
      <c r="J38" s="8" t="s">
        <v>56</v>
      </c>
      <c r="K38" s="6">
        <v>144</v>
      </c>
      <c r="L38" s="8" t="s">
        <v>1698</v>
      </c>
      <c r="M38" s="8" t="s">
        <v>3384</v>
      </c>
      <c r="N38" s="7">
        <v>46119</v>
      </c>
      <c r="O38" s="8" t="s">
        <v>15</v>
      </c>
      <c r="P38" s="8" t="s">
        <v>57</v>
      </c>
      <c r="Q38" s="8" t="s">
        <v>57</v>
      </c>
      <c r="R38" s="8" t="s">
        <v>58</v>
      </c>
      <c r="S38" s="8" t="s">
        <v>16</v>
      </c>
      <c r="T38" s="9">
        <v>1733</v>
      </c>
      <c r="U38" s="9">
        <v>405435.35</v>
      </c>
      <c r="V38" s="8" t="s">
        <v>2390</v>
      </c>
      <c r="W38" s="8">
        <v>0</v>
      </c>
      <c r="X38" s="8">
        <v>9</v>
      </c>
      <c r="Y38" s="8">
        <v>36489.18</v>
      </c>
      <c r="Z38" s="8">
        <v>9</v>
      </c>
      <c r="AA38" s="8">
        <v>36489.18</v>
      </c>
      <c r="AB38" s="8">
        <v>0</v>
      </c>
      <c r="AC38" s="8">
        <v>0</v>
      </c>
      <c r="AD38" s="8">
        <v>0</v>
      </c>
      <c r="AE38" s="8">
        <v>72978.36</v>
      </c>
      <c r="AF38" s="8">
        <v>0</v>
      </c>
      <c r="AG38" s="8" t="s">
        <v>65</v>
      </c>
      <c r="AH38" s="8" t="s">
        <v>3</v>
      </c>
      <c r="AI38" s="8">
        <v>63053200</v>
      </c>
      <c r="AJ38" s="8" t="s">
        <v>60</v>
      </c>
      <c r="AK38" s="8">
        <v>1</v>
      </c>
      <c r="AL38" s="8">
        <v>1733</v>
      </c>
      <c r="AM38" s="8" t="s">
        <v>1940</v>
      </c>
    </row>
    <row r="39" spans="1:39" ht="15" customHeight="1">
      <c r="A39"/>
      <c r="B39"/>
      <c r="C39" s="347"/>
      <c r="D39" s="347"/>
      <c r="E39" s="347"/>
      <c r="F39" s="347"/>
      <c r="G39" s="347"/>
      <c r="H39" s="7">
        <v>46119</v>
      </c>
      <c r="I39" s="8" t="s">
        <v>61</v>
      </c>
      <c r="J39" s="8" t="s">
        <v>56</v>
      </c>
      <c r="K39" s="6">
        <v>144</v>
      </c>
      <c r="L39" s="8" t="s">
        <v>1698</v>
      </c>
      <c r="M39" s="8" t="s">
        <v>3384</v>
      </c>
      <c r="N39" s="7">
        <v>46119</v>
      </c>
      <c r="O39" s="8" t="s">
        <v>15</v>
      </c>
      <c r="P39" s="8" t="s">
        <v>57</v>
      </c>
      <c r="Q39" s="8" t="s">
        <v>57</v>
      </c>
      <c r="R39" s="8" t="s">
        <v>58</v>
      </c>
      <c r="S39" s="8" t="s">
        <v>16</v>
      </c>
      <c r="T39" s="9">
        <v>3900</v>
      </c>
      <c r="U39" s="9">
        <v>912249</v>
      </c>
      <c r="V39" s="8" t="s">
        <v>2390</v>
      </c>
      <c r="W39" s="8">
        <v>0</v>
      </c>
      <c r="X39" s="8">
        <v>9</v>
      </c>
      <c r="Y39" s="8">
        <v>82102.41</v>
      </c>
      <c r="Z39" s="8">
        <v>9</v>
      </c>
      <c r="AA39" s="8">
        <v>82102.41</v>
      </c>
      <c r="AB39" s="8">
        <v>0</v>
      </c>
      <c r="AC39" s="8">
        <v>0</v>
      </c>
      <c r="AD39" s="8">
        <v>0</v>
      </c>
      <c r="AE39" s="8">
        <v>164204.82</v>
      </c>
      <c r="AF39" s="8">
        <v>0</v>
      </c>
      <c r="AG39" s="8" t="s">
        <v>65</v>
      </c>
      <c r="AH39" s="8" t="s">
        <v>3</v>
      </c>
      <c r="AI39" s="8">
        <v>63053200</v>
      </c>
      <c r="AJ39" s="8" t="s">
        <v>60</v>
      </c>
      <c r="AK39" s="8">
        <v>1</v>
      </c>
      <c r="AL39" s="8">
        <v>3900</v>
      </c>
      <c r="AM39" s="8" t="s">
        <v>1940</v>
      </c>
    </row>
    <row r="40" spans="1:39" ht="15" customHeight="1">
      <c r="A40"/>
      <c r="B40"/>
      <c r="C40" s="347"/>
      <c r="D40" s="347"/>
      <c r="E40" s="347"/>
      <c r="F40" s="347"/>
      <c r="G40" s="347"/>
      <c r="H40" s="7">
        <v>46119</v>
      </c>
      <c r="I40" s="8" t="s">
        <v>61</v>
      </c>
      <c r="J40" s="8" t="s">
        <v>56</v>
      </c>
      <c r="K40" s="6">
        <v>144</v>
      </c>
      <c r="L40" s="8" t="s">
        <v>1698</v>
      </c>
      <c r="M40" s="8" t="s">
        <v>3384</v>
      </c>
      <c r="N40" s="7">
        <v>46119</v>
      </c>
      <c r="O40" s="8" t="s">
        <v>15</v>
      </c>
      <c r="P40" s="8" t="s">
        <v>57</v>
      </c>
      <c r="Q40" s="8" t="s">
        <v>57</v>
      </c>
      <c r="R40" s="8" t="s">
        <v>58</v>
      </c>
      <c r="S40" s="8" t="s">
        <v>16</v>
      </c>
      <c r="T40" s="9">
        <v>5239</v>
      </c>
      <c r="U40" s="9">
        <v>1216600.58</v>
      </c>
      <c r="V40" s="8" t="s">
        <v>2390</v>
      </c>
      <c r="W40" s="8">
        <v>0</v>
      </c>
      <c r="X40" s="8">
        <v>9</v>
      </c>
      <c r="Y40" s="8">
        <v>109494.05</v>
      </c>
      <c r="Z40" s="8">
        <v>9</v>
      </c>
      <c r="AA40" s="8">
        <v>109494.05</v>
      </c>
      <c r="AB40" s="8">
        <v>0</v>
      </c>
      <c r="AC40" s="8">
        <v>0</v>
      </c>
      <c r="AD40" s="8">
        <v>0</v>
      </c>
      <c r="AE40" s="8">
        <v>218988.1</v>
      </c>
      <c r="AF40" s="8">
        <v>0</v>
      </c>
      <c r="AG40" s="8" t="s">
        <v>65</v>
      </c>
      <c r="AH40" s="8" t="s">
        <v>3</v>
      </c>
      <c r="AI40" s="8">
        <v>63053200</v>
      </c>
      <c r="AJ40" s="8" t="s">
        <v>60</v>
      </c>
      <c r="AK40" s="8">
        <v>1</v>
      </c>
      <c r="AL40" s="8">
        <v>5239</v>
      </c>
      <c r="AM40" s="8" t="s">
        <v>1940</v>
      </c>
    </row>
    <row r="41" spans="1:39" ht="15" customHeight="1">
      <c r="A41"/>
      <c r="B41"/>
      <c r="C41" s="347"/>
      <c r="D41" s="347"/>
      <c r="E41" s="347"/>
      <c r="F41" s="347"/>
      <c r="G41" s="347"/>
      <c r="H41" s="7">
        <v>46119</v>
      </c>
      <c r="I41" s="8" t="s">
        <v>61</v>
      </c>
      <c r="J41" s="8" t="s">
        <v>56</v>
      </c>
      <c r="K41" s="6">
        <v>145</v>
      </c>
      <c r="L41" s="8" t="s">
        <v>2231</v>
      </c>
      <c r="M41" s="8" t="s">
        <v>3386</v>
      </c>
      <c r="N41" s="7">
        <v>46119</v>
      </c>
      <c r="O41" s="8" t="s">
        <v>13</v>
      </c>
      <c r="P41" s="8" t="s">
        <v>71</v>
      </c>
      <c r="Q41" s="8" t="s">
        <v>71</v>
      </c>
      <c r="R41" s="8" t="s">
        <v>72</v>
      </c>
      <c r="S41" s="8" t="s">
        <v>22</v>
      </c>
      <c r="T41" s="9">
        <v>3147</v>
      </c>
      <c r="U41" s="9">
        <v>37764</v>
      </c>
      <c r="V41" s="8" t="s">
        <v>22</v>
      </c>
      <c r="W41" s="8">
        <v>45452.75</v>
      </c>
      <c r="X41" s="8">
        <v>9</v>
      </c>
      <c r="Y41" s="8">
        <v>3398.76</v>
      </c>
      <c r="Z41" s="8">
        <v>9</v>
      </c>
      <c r="AA41" s="8">
        <v>3398.76</v>
      </c>
      <c r="AB41" s="8">
        <v>0</v>
      </c>
      <c r="AC41" s="8">
        <v>0</v>
      </c>
      <c r="AD41" s="8">
        <v>0</v>
      </c>
      <c r="AE41" s="8">
        <v>6797.52</v>
      </c>
      <c r="AF41" s="8">
        <v>891.23</v>
      </c>
      <c r="AG41" s="8" t="s">
        <v>65</v>
      </c>
      <c r="AH41" s="8" t="s">
        <v>3</v>
      </c>
      <c r="AI41" s="8">
        <v>39159029</v>
      </c>
      <c r="AJ41" s="8" t="s">
        <v>60</v>
      </c>
      <c r="AK41" s="8">
        <v>1</v>
      </c>
      <c r="AL41" s="8">
        <v>3147</v>
      </c>
      <c r="AM41" s="8" t="s">
        <v>1940</v>
      </c>
    </row>
    <row r="42" spans="1:39" ht="15" customHeight="1">
      <c r="A42"/>
      <c r="B42"/>
      <c r="C42" s="347"/>
      <c r="D42" s="347"/>
      <c r="E42" s="347"/>
      <c r="F42" s="347"/>
      <c r="G42" s="347"/>
      <c r="H42" s="7">
        <v>46119</v>
      </c>
      <c r="I42" s="8" t="s">
        <v>61</v>
      </c>
      <c r="J42" s="8" t="s">
        <v>56</v>
      </c>
      <c r="K42" s="6">
        <v>146</v>
      </c>
      <c r="L42" s="8" t="s">
        <v>75</v>
      </c>
      <c r="M42" s="8" t="s">
        <v>3387</v>
      </c>
      <c r="N42" s="7">
        <v>46119</v>
      </c>
      <c r="O42" s="8" t="s">
        <v>15</v>
      </c>
      <c r="P42" s="8" t="s">
        <v>2117</v>
      </c>
      <c r="Q42" s="8" t="s">
        <v>2117</v>
      </c>
      <c r="R42" s="347" t="s">
        <v>2117</v>
      </c>
      <c r="S42" s="8" t="s">
        <v>64</v>
      </c>
      <c r="T42" s="9">
        <v>283</v>
      </c>
      <c r="U42" s="9">
        <v>7924</v>
      </c>
      <c r="V42" s="8" t="s">
        <v>2440</v>
      </c>
      <c r="W42" s="8">
        <v>9342.4</v>
      </c>
      <c r="X42" s="8">
        <v>9</v>
      </c>
      <c r="Y42" s="8">
        <v>713.16</v>
      </c>
      <c r="Z42" s="8">
        <v>9</v>
      </c>
      <c r="AA42" s="8">
        <v>713.16</v>
      </c>
      <c r="AB42" s="8">
        <v>0</v>
      </c>
      <c r="AC42" s="8">
        <v>0</v>
      </c>
      <c r="AD42" s="8">
        <v>0</v>
      </c>
      <c r="AE42" s="8">
        <v>1426.32</v>
      </c>
      <c r="AF42" s="8">
        <v>0</v>
      </c>
      <c r="AG42" s="8" t="s">
        <v>65</v>
      </c>
      <c r="AH42" s="8" t="s">
        <v>3</v>
      </c>
      <c r="AI42" s="8">
        <v>39269080</v>
      </c>
      <c r="AJ42" s="8" t="s">
        <v>60</v>
      </c>
      <c r="AK42" s="8">
        <v>1</v>
      </c>
      <c r="AL42" s="8">
        <v>283</v>
      </c>
      <c r="AM42" s="8" t="s">
        <v>1940</v>
      </c>
    </row>
    <row r="43" spans="1:39" ht="15" customHeight="1">
      <c r="A43"/>
      <c r="B43"/>
      <c r="C43" s="347"/>
      <c r="D43" s="347"/>
      <c r="E43" s="347"/>
      <c r="F43" s="347"/>
      <c r="G43" s="347"/>
      <c r="H43" s="7">
        <v>46119</v>
      </c>
      <c r="I43" s="8" t="s">
        <v>61</v>
      </c>
      <c r="J43" s="8" t="s">
        <v>56</v>
      </c>
      <c r="K43" s="6">
        <v>147</v>
      </c>
      <c r="L43" s="8" t="s">
        <v>1698</v>
      </c>
      <c r="M43" s="8" t="s">
        <v>3388</v>
      </c>
      <c r="N43" s="7">
        <v>46119</v>
      </c>
      <c r="O43" s="8" t="s">
        <v>15</v>
      </c>
      <c r="P43" s="8" t="s">
        <v>57</v>
      </c>
      <c r="Q43" s="8" t="s">
        <v>57</v>
      </c>
      <c r="R43" s="8" t="s">
        <v>58</v>
      </c>
      <c r="S43" s="8" t="s">
        <v>16</v>
      </c>
      <c r="T43" s="9">
        <v>2228</v>
      </c>
      <c r="U43" s="9">
        <v>436843.96</v>
      </c>
      <c r="V43" s="8" t="s">
        <v>3389</v>
      </c>
      <c r="W43" s="8">
        <v>1431446.02</v>
      </c>
      <c r="X43" s="8">
        <v>9</v>
      </c>
      <c r="Y43" s="8">
        <v>39315.96</v>
      </c>
      <c r="Z43" s="8">
        <v>9</v>
      </c>
      <c r="AA43" s="8">
        <v>39315.96</v>
      </c>
      <c r="AB43" s="8">
        <v>0</v>
      </c>
      <c r="AC43" s="8">
        <v>0</v>
      </c>
      <c r="AD43" s="8">
        <v>0</v>
      </c>
      <c r="AE43" s="8">
        <v>78631.92</v>
      </c>
      <c r="AF43" s="8">
        <v>0</v>
      </c>
      <c r="AG43" s="8" t="s">
        <v>65</v>
      </c>
      <c r="AH43" s="8" t="s">
        <v>3</v>
      </c>
      <c r="AI43" s="8">
        <v>63053200</v>
      </c>
      <c r="AJ43" s="8" t="s">
        <v>60</v>
      </c>
      <c r="AK43" s="8">
        <v>1</v>
      </c>
      <c r="AL43" s="8">
        <v>2228</v>
      </c>
      <c r="AM43" s="8" t="s">
        <v>1940</v>
      </c>
    </row>
    <row r="44" spans="1:39" ht="15" customHeight="1">
      <c r="A44"/>
      <c r="B44"/>
      <c r="C44" s="347"/>
      <c r="D44" s="347"/>
      <c r="E44" s="347"/>
      <c r="F44" s="347"/>
      <c r="G44" s="347"/>
      <c r="H44" s="7">
        <v>46119</v>
      </c>
      <c r="I44" s="8" t="s">
        <v>61</v>
      </c>
      <c r="J44" s="8" t="s">
        <v>56</v>
      </c>
      <c r="K44" s="6">
        <v>147</v>
      </c>
      <c r="L44" s="8" t="s">
        <v>1698</v>
      </c>
      <c r="M44" s="8" t="s">
        <v>3388</v>
      </c>
      <c r="N44" s="7">
        <v>46119</v>
      </c>
      <c r="O44" s="8" t="s">
        <v>15</v>
      </c>
      <c r="P44" s="8" t="s">
        <v>57</v>
      </c>
      <c r="Q44" s="8" t="s">
        <v>57</v>
      </c>
      <c r="R44" s="8" t="s">
        <v>58</v>
      </c>
      <c r="S44" s="8" t="s">
        <v>16</v>
      </c>
      <c r="T44" s="9">
        <v>3736</v>
      </c>
      <c r="U44" s="9">
        <v>777274.8</v>
      </c>
      <c r="V44" s="8" t="s">
        <v>3383</v>
      </c>
      <c r="W44" s="8">
        <v>0</v>
      </c>
      <c r="X44" s="8">
        <v>9</v>
      </c>
      <c r="Y44" s="8">
        <v>69954.73</v>
      </c>
      <c r="Z44" s="8">
        <v>9</v>
      </c>
      <c r="AA44" s="8">
        <v>69954.73</v>
      </c>
      <c r="AB44" s="8">
        <v>0</v>
      </c>
      <c r="AC44" s="8">
        <v>0</v>
      </c>
      <c r="AD44" s="8">
        <v>0</v>
      </c>
      <c r="AE44" s="8">
        <v>139909.46</v>
      </c>
      <c r="AF44" s="8">
        <v>0</v>
      </c>
      <c r="AG44" s="8" t="s">
        <v>65</v>
      </c>
      <c r="AH44" s="8" t="s">
        <v>3</v>
      </c>
      <c r="AI44" s="8">
        <v>63053200</v>
      </c>
      <c r="AJ44" s="8" t="s">
        <v>60</v>
      </c>
      <c r="AK44" s="8">
        <v>1</v>
      </c>
      <c r="AL44" s="8">
        <v>3736</v>
      </c>
      <c r="AM44" s="8" t="s">
        <v>1940</v>
      </c>
    </row>
    <row r="45" spans="1:39" ht="15" customHeight="1">
      <c r="A45"/>
      <c r="B45"/>
      <c r="C45" s="347"/>
      <c r="D45" s="347"/>
      <c r="E45" s="347"/>
      <c r="F45" s="347"/>
      <c r="G45" s="347"/>
      <c r="H45" s="7">
        <v>46149</v>
      </c>
      <c r="I45" s="8" t="s">
        <v>2392</v>
      </c>
      <c r="J45" s="8" t="s">
        <v>2242</v>
      </c>
      <c r="K45" s="6" t="s">
        <v>3390</v>
      </c>
      <c r="L45" s="8" t="s">
        <v>2372</v>
      </c>
      <c r="M45" s="8" t="s">
        <v>3390</v>
      </c>
      <c r="N45" s="7">
        <v>46149</v>
      </c>
      <c r="O45" s="8" t="s">
        <v>15</v>
      </c>
      <c r="P45" s="8" t="s">
        <v>57</v>
      </c>
      <c r="Q45" s="8" t="s">
        <v>57</v>
      </c>
      <c r="R45" s="8" t="s">
        <v>58</v>
      </c>
      <c r="S45" s="8" t="s">
        <v>14</v>
      </c>
      <c r="T45" s="9">
        <v>18272</v>
      </c>
      <c r="U45" s="9">
        <v>4039200</v>
      </c>
      <c r="V45" s="8" t="s">
        <v>2307</v>
      </c>
      <c r="W45" s="8">
        <v>4039200</v>
      </c>
      <c r="X45" s="8">
        <v>0</v>
      </c>
      <c r="Y45" s="8">
        <v>0</v>
      </c>
      <c r="Z45" s="8">
        <v>0</v>
      </c>
      <c r="AA45" s="8">
        <v>0</v>
      </c>
      <c r="AB45" s="8">
        <v>18</v>
      </c>
      <c r="AC45" s="8">
        <v>727056</v>
      </c>
      <c r="AD45" s="8">
        <v>0</v>
      </c>
      <c r="AE45" s="8">
        <v>727056</v>
      </c>
      <c r="AF45" s="8">
        <v>0</v>
      </c>
      <c r="AG45" s="8" t="s">
        <v>2279</v>
      </c>
      <c r="AH45" s="8" t="s">
        <v>3</v>
      </c>
      <c r="AI45" s="8">
        <v>63053200</v>
      </c>
      <c r="AJ45" s="8" t="s">
        <v>2243</v>
      </c>
      <c r="AK45" s="8">
        <v>93.5</v>
      </c>
      <c r="AL45" s="8">
        <v>18272</v>
      </c>
      <c r="AM45" s="8" t="s">
        <v>2393</v>
      </c>
    </row>
    <row r="46" spans="1:39" ht="15" customHeight="1">
      <c r="A46"/>
      <c r="B46"/>
      <c r="C46" s="347"/>
      <c r="D46" s="347"/>
      <c r="E46" s="347"/>
      <c r="F46" s="347"/>
      <c r="G46" s="347"/>
      <c r="H46" s="7">
        <v>46149</v>
      </c>
      <c r="I46" s="8" t="s">
        <v>61</v>
      </c>
      <c r="J46" s="8" t="s">
        <v>56</v>
      </c>
      <c r="K46" s="6">
        <v>148</v>
      </c>
      <c r="L46" s="8" t="s">
        <v>1698</v>
      </c>
      <c r="M46" s="8" t="s">
        <v>3391</v>
      </c>
      <c r="N46" s="7">
        <v>46149</v>
      </c>
      <c r="O46" s="8" t="s">
        <v>15</v>
      </c>
      <c r="P46" s="8" t="s">
        <v>57</v>
      </c>
      <c r="Q46" s="8" t="s">
        <v>57</v>
      </c>
      <c r="R46" s="8" t="s">
        <v>58</v>
      </c>
      <c r="S46" s="8" t="s">
        <v>14</v>
      </c>
      <c r="T46" s="344">
        <v>4615</v>
      </c>
      <c r="U46" s="9">
        <v>990517.45</v>
      </c>
      <c r="V46" s="8" t="s">
        <v>3392</v>
      </c>
      <c r="W46" s="8">
        <v>2291739.2599999998</v>
      </c>
      <c r="X46" s="8">
        <v>9</v>
      </c>
      <c r="Y46" s="8">
        <v>89146.57</v>
      </c>
      <c r="Z46" s="8">
        <v>9</v>
      </c>
      <c r="AA46" s="8">
        <v>89146.57</v>
      </c>
      <c r="AB46" s="8">
        <v>0</v>
      </c>
      <c r="AC46" s="8">
        <v>0</v>
      </c>
      <c r="AD46" s="8">
        <v>0</v>
      </c>
      <c r="AE46" s="8">
        <v>178293.14</v>
      </c>
      <c r="AF46" s="8">
        <v>0</v>
      </c>
      <c r="AG46" s="8" t="s">
        <v>65</v>
      </c>
      <c r="AH46" s="8" t="s">
        <v>3</v>
      </c>
      <c r="AI46" s="8">
        <v>63053200</v>
      </c>
      <c r="AJ46" s="8" t="s">
        <v>60</v>
      </c>
      <c r="AK46" s="8">
        <v>1</v>
      </c>
      <c r="AL46" s="8">
        <v>4615</v>
      </c>
      <c r="AM46" s="8" t="s">
        <v>1940</v>
      </c>
    </row>
    <row r="47" spans="1:39" ht="15" customHeight="1">
      <c r="A47"/>
      <c r="B47"/>
      <c r="C47" s="347"/>
      <c r="D47" s="347"/>
      <c r="E47" s="347"/>
      <c r="F47" s="347"/>
      <c r="G47" s="347"/>
      <c r="H47" s="7">
        <v>46149</v>
      </c>
      <c r="I47" s="8" t="s">
        <v>61</v>
      </c>
      <c r="J47" s="8" t="s">
        <v>56</v>
      </c>
      <c r="K47" s="6">
        <v>148</v>
      </c>
      <c r="L47" s="8" t="s">
        <v>1698</v>
      </c>
      <c r="M47" s="8" t="s">
        <v>3391</v>
      </c>
      <c r="N47" s="7">
        <v>46149</v>
      </c>
      <c r="O47" s="8" t="s">
        <v>15</v>
      </c>
      <c r="P47" s="8" t="s">
        <v>57</v>
      </c>
      <c r="Q47" s="8" t="s">
        <v>57</v>
      </c>
      <c r="R47" s="8" t="s">
        <v>58</v>
      </c>
      <c r="S47" s="8" t="s">
        <v>14</v>
      </c>
      <c r="T47" s="9">
        <v>4525</v>
      </c>
      <c r="U47" s="9">
        <v>953281.75</v>
      </c>
      <c r="V47" s="8" t="s">
        <v>3393</v>
      </c>
      <c r="W47" s="8">
        <v>0</v>
      </c>
      <c r="X47" s="8">
        <v>9</v>
      </c>
      <c r="Y47" s="8">
        <v>85795.36</v>
      </c>
      <c r="Z47" s="8">
        <v>9</v>
      </c>
      <c r="AA47" s="8">
        <v>85795.36</v>
      </c>
      <c r="AB47" s="8">
        <v>0</v>
      </c>
      <c r="AC47" s="8">
        <v>0</v>
      </c>
      <c r="AD47" s="8">
        <v>0</v>
      </c>
      <c r="AE47" s="8">
        <v>171590.72</v>
      </c>
      <c r="AF47" s="8">
        <v>0</v>
      </c>
      <c r="AG47" s="8" t="s">
        <v>65</v>
      </c>
      <c r="AH47" s="8" t="s">
        <v>3</v>
      </c>
      <c r="AI47" s="8">
        <v>63053200</v>
      </c>
      <c r="AJ47" s="8" t="s">
        <v>60</v>
      </c>
      <c r="AK47" s="8">
        <v>1</v>
      </c>
      <c r="AL47" s="8">
        <v>4525</v>
      </c>
      <c r="AM47" s="8" t="s">
        <v>1940</v>
      </c>
    </row>
    <row r="48" spans="1:39" ht="15" customHeight="1">
      <c r="A48"/>
      <c r="B48"/>
      <c r="C48" s="347"/>
      <c r="D48" s="347"/>
      <c r="E48" s="347"/>
      <c r="F48" s="347"/>
      <c r="G48" s="347"/>
      <c r="H48" s="7">
        <v>46149</v>
      </c>
      <c r="I48" s="8" t="s">
        <v>61</v>
      </c>
      <c r="J48" s="8" t="s">
        <v>56</v>
      </c>
      <c r="K48" s="6">
        <v>149</v>
      </c>
      <c r="L48" s="8" t="s">
        <v>75</v>
      </c>
      <c r="M48" s="8" t="s">
        <v>3394</v>
      </c>
      <c r="N48" s="7">
        <v>46149</v>
      </c>
      <c r="O48" s="8" t="s">
        <v>15</v>
      </c>
      <c r="P48" s="8" t="s">
        <v>2117</v>
      </c>
      <c r="Q48" s="8" t="s">
        <v>2117</v>
      </c>
      <c r="R48" s="347" t="s">
        <v>2117</v>
      </c>
      <c r="S48" s="8" t="s">
        <v>64</v>
      </c>
      <c r="T48" s="9">
        <v>710</v>
      </c>
      <c r="U48" s="9">
        <v>19880</v>
      </c>
      <c r="V48" s="8" t="s">
        <v>2440</v>
      </c>
      <c r="W48" s="8">
        <v>23438.52</v>
      </c>
      <c r="X48" s="8">
        <v>9</v>
      </c>
      <c r="Y48" s="8">
        <v>1789.2</v>
      </c>
      <c r="Z48" s="8">
        <v>9</v>
      </c>
      <c r="AA48" s="8">
        <v>1789.2</v>
      </c>
      <c r="AB48" s="8">
        <v>0</v>
      </c>
      <c r="AC48" s="8">
        <v>0</v>
      </c>
      <c r="AD48" s="8">
        <v>0</v>
      </c>
      <c r="AE48" s="8">
        <v>3578.4</v>
      </c>
      <c r="AF48" s="8">
        <v>0</v>
      </c>
      <c r="AG48" s="8" t="s">
        <v>65</v>
      </c>
      <c r="AH48" s="8" t="s">
        <v>3</v>
      </c>
      <c r="AI48" s="8">
        <v>39269080</v>
      </c>
      <c r="AJ48" s="8" t="s">
        <v>60</v>
      </c>
      <c r="AK48" s="8">
        <v>1</v>
      </c>
      <c r="AL48" s="8">
        <v>710</v>
      </c>
      <c r="AM48" s="8" t="s">
        <v>1940</v>
      </c>
    </row>
    <row r="49" spans="1:39" ht="15" customHeight="1">
      <c r="A49"/>
      <c r="B49"/>
      <c r="C49" s="347"/>
      <c r="D49" s="347"/>
      <c r="E49" s="347"/>
      <c r="F49" s="347"/>
      <c r="G49" s="347"/>
      <c r="H49" s="7">
        <v>46149</v>
      </c>
      <c r="I49" s="8" t="s">
        <v>61</v>
      </c>
      <c r="J49" s="8" t="s">
        <v>56</v>
      </c>
      <c r="K49" s="6">
        <v>150</v>
      </c>
      <c r="L49" s="8" t="s">
        <v>1698</v>
      </c>
      <c r="M49" s="8" t="s">
        <v>3395</v>
      </c>
      <c r="N49" s="7">
        <v>46149</v>
      </c>
      <c r="O49" s="8" t="s">
        <v>15</v>
      </c>
      <c r="P49" s="8" t="s">
        <v>57</v>
      </c>
      <c r="Q49" s="8" t="s">
        <v>57</v>
      </c>
      <c r="R49" s="8" t="s">
        <v>58</v>
      </c>
      <c r="S49" s="8" t="s">
        <v>14</v>
      </c>
      <c r="T49" s="9">
        <v>10138</v>
      </c>
      <c r="U49" s="9">
        <v>2095423.22</v>
      </c>
      <c r="V49" s="8" t="s">
        <v>3396</v>
      </c>
      <c r="W49" s="8">
        <v>2470503.98</v>
      </c>
      <c r="X49" s="8">
        <v>9</v>
      </c>
      <c r="Y49" s="8">
        <v>188588.09</v>
      </c>
      <c r="Z49" s="8">
        <v>9</v>
      </c>
      <c r="AA49" s="8">
        <v>188588.09</v>
      </c>
      <c r="AB49" s="8">
        <v>0</v>
      </c>
      <c r="AC49" s="8">
        <v>0</v>
      </c>
      <c r="AD49" s="8">
        <v>0</v>
      </c>
      <c r="AE49" s="8">
        <v>377176.18</v>
      </c>
      <c r="AF49" s="8">
        <v>0</v>
      </c>
      <c r="AG49" s="8" t="s">
        <v>65</v>
      </c>
      <c r="AH49" s="8" t="s">
        <v>3</v>
      </c>
      <c r="AI49" s="8">
        <v>63053200</v>
      </c>
      <c r="AJ49" s="8" t="s">
        <v>60</v>
      </c>
      <c r="AK49" s="8">
        <v>1</v>
      </c>
      <c r="AL49" s="8">
        <v>10138</v>
      </c>
      <c r="AM49" s="8" t="s">
        <v>1940</v>
      </c>
    </row>
    <row r="50" spans="1:39" ht="15" customHeight="1">
      <c r="A50"/>
      <c r="B50"/>
      <c r="C50" s="347"/>
      <c r="D50" s="347"/>
      <c r="E50" s="347"/>
      <c r="F50" s="347"/>
      <c r="G50" s="347"/>
      <c r="H50" s="7">
        <v>46180</v>
      </c>
      <c r="I50" s="8" t="s">
        <v>61</v>
      </c>
      <c r="J50" s="8" t="s">
        <v>56</v>
      </c>
      <c r="K50" s="6">
        <v>151</v>
      </c>
      <c r="L50" s="8" t="s">
        <v>75</v>
      </c>
      <c r="M50" s="8" t="s">
        <v>3397</v>
      </c>
      <c r="N50" s="7">
        <v>46180</v>
      </c>
      <c r="O50" s="8" t="s">
        <v>8</v>
      </c>
      <c r="P50" s="8" t="s">
        <v>110</v>
      </c>
      <c r="Q50" s="8" t="s">
        <v>800</v>
      </c>
      <c r="R50" s="8" t="s">
        <v>800</v>
      </c>
      <c r="S50" s="8" t="s">
        <v>801</v>
      </c>
      <c r="T50" s="9">
        <v>170</v>
      </c>
      <c r="U50" s="9">
        <v>18360</v>
      </c>
      <c r="V50" s="8" t="s">
        <v>801</v>
      </c>
      <c r="W50" s="8">
        <v>21646.44</v>
      </c>
      <c r="X50" s="8">
        <v>9</v>
      </c>
      <c r="Y50" s="8">
        <v>1652.4</v>
      </c>
      <c r="Z50" s="8">
        <v>9</v>
      </c>
      <c r="AA50" s="8">
        <v>1652.4</v>
      </c>
      <c r="AB50" s="8">
        <v>0</v>
      </c>
      <c r="AC50" s="8">
        <v>0</v>
      </c>
      <c r="AD50" s="8">
        <v>0</v>
      </c>
      <c r="AE50" s="8">
        <v>3304.8</v>
      </c>
      <c r="AF50" s="8">
        <v>0</v>
      </c>
      <c r="AG50" s="8" t="s">
        <v>65</v>
      </c>
      <c r="AH50" s="8" t="s">
        <v>3</v>
      </c>
      <c r="AI50" s="8">
        <v>38140011</v>
      </c>
      <c r="AJ50" s="8" t="s">
        <v>60</v>
      </c>
      <c r="AK50" s="8">
        <v>1</v>
      </c>
      <c r="AL50" s="8">
        <v>170</v>
      </c>
      <c r="AM50" s="8" t="s">
        <v>1940</v>
      </c>
    </row>
    <row r="51" spans="1:39" ht="15" customHeight="1">
      <c r="A51"/>
      <c r="B51"/>
      <c r="C51" s="347"/>
      <c r="D51" s="347"/>
      <c r="E51" s="347"/>
      <c r="F51" s="347"/>
      <c r="G51" s="347"/>
      <c r="H51" s="7">
        <v>46210</v>
      </c>
      <c r="I51" s="8" t="s">
        <v>61</v>
      </c>
      <c r="J51" s="8" t="s">
        <v>56</v>
      </c>
      <c r="K51" s="6">
        <v>152</v>
      </c>
      <c r="L51" s="8" t="s">
        <v>75</v>
      </c>
      <c r="M51" s="8" t="s">
        <v>3398</v>
      </c>
      <c r="N51" s="7">
        <v>46210</v>
      </c>
      <c r="O51" s="8" t="s">
        <v>2</v>
      </c>
      <c r="P51" s="8" t="s">
        <v>67</v>
      </c>
      <c r="Q51" s="8" t="s">
        <v>68</v>
      </c>
      <c r="R51" s="8" t="s">
        <v>69</v>
      </c>
      <c r="S51" s="8" t="s">
        <v>70</v>
      </c>
      <c r="T51" s="9">
        <v>1291</v>
      </c>
      <c r="U51" s="9">
        <v>61968</v>
      </c>
      <c r="V51" s="8" t="s">
        <v>591</v>
      </c>
      <c r="W51" s="8">
        <v>73060.27</v>
      </c>
      <c r="X51" s="8">
        <v>9</v>
      </c>
      <c r="Y51" s="8">
        <v>5577.12</v>
      </c>
      <c r="Z51" s="8">
        <v>9</v>
      </c>
      <c r="AA51" s="8">
        <v>5577.12</v>
      </c>
      <c r="AB51" s="8">
        <v>0</v>
      </c>
      <c r="AC51" s="8">
        <v>0</v>
      </c>
      <c r="AD51" s="8">
        <v>0</v>
      </c>
      <c r="AE51" s="8">
        <v>11154.24</v>
      </c>
      <c r="AF51" s="8">
        <v>0</v>
      </c>
      <c r="AG51" s="8" t="s">
        <v>65</v>
      </c>
      <c r="AH51" s="8" t="s">
        <v>3</v>
      </c>
      <c r="AI51" s="8">
        <v>73063090</v>
      </c>
      <c r="AJ51" s="8" t="s">
        <v>60</v>
      </c>
      <c r="AK51" s="8">
        <v>1</v>
      </c>
      <c r="AL51" s="8">
        <v>1291</v>
      </c>
      <c r="AM51" s="8" t="s">
        <v>1940</v>
      </c>
    </row>
    <row r="52" spans="1:39" ht="15" customHeight="1">
      <c r="A52"/>
      <c r="B52"/>
      <c r="C52" s="347"/>
      <c r="D52" s="347"/>
      <c r="E52" s="347"/>
      <c r="F52" s="347"/>
      <c r="G52" s="347"/>
      <c r="H52" s="7">
        <v>46210</v>
      </c>
      <c r="I52" s="8" t="s">
        <v>61</v>
      </c>
      <c r="J52" s="8" t="s">
        <v>56</v>
      </c>
      <c r="K52" s="6">
        <v>153</v>
      </c>
      <c r="L52" s="8" t="s">
        <v>2231</v>
      </c>
      <c r="M52" s="8" t="s">
        <v>3399</v>
      </c>
      <c r="N52" s="7">
        <v>46210</v>
      </c>
      <c r="O52" s="8" t="s">
        <v>13</v>
      </c>
      <c r="P52" s="8" t="s">
        <v>71</v>
      </c>
      <c r="Q52" s="8" t="s">
        <v>71</v>
      </c>
      <c r="R52" s="8" t="s">
        <v>72</v>
      </c>
      <c r="S52" s="8" t="s">
        <v>22</v>
      </c>
      <c r="T52" s="9">
        <v>1884</v>
      </c>
      <c r="U52" s="9">
        <v>22608</v>
      </c>
      <c r="V52" s="8" t="s">
        <v>22</v>
      </c>
      <c r="W52" s="8">
        <v>27210.99</v>
      </c>
      <c r="X52" s="8">
        <v>9</v>
      </c>
      <c r="Y52" s="8">
        <v>2034.72</v>
      </c>
      <c r="Z52" s="8">
        <v>9</v>
      </c>
      <c r="AA52" s="8">
        <v>2034.72</v>
      </c>
      <c r="AB52" s="8">
        <v>0</v>
      </c>
      <c r="AC52" s="8">
        <v>0</v>
      </c>
      <c r="AD52" s="8">
        <v>0</v>
      </c>
      <c r="AE52" s="8">
        <v>4069.44</v>
      </c>
      <c r="AF52" s="8">
        <v>533.54999999999995</v>
      </c>
      <c r="AG52" s="8" t="s">
        <v>65</v>
      </c>
      <c r="AH52" s="8" t="s">
        <v>3</v>
      </c>
      <c r="AI52" s="8">
        <v>39159029</v>
      </c>
      <c r="AJ52" s="8" t="s">
        <v>60</v>
      </c>
      <c r="AK52" s="8">
        <v>1</v>
      </c>
      <c r="AL52" s="8">
        <v>1884</v>
      </c>
      <c r="AM52" s="8" t="s">
        <v>1940</v>
      </c>
    </row>
    <row r="53" spans="1:39" ht="15" customHeight="1">
      <c r="A53"/>
      <c r="B53"/>
      <c r="C53" s="347"/>
      <c r="D53" s="347"/>
      <c r="E53" s="347"/>
      <c r="F53" s="347"/>
      <c r="G53" s="347"/>
      <c r="H53" s="7">
        <v>46210</v>
      </c>
      <c r="I53" s="8" t="s">
        <v>61</v>
      </c>
      <c r="J53" s="8" t="s">
        <v>56</v>
      </c>
      <c r="K53" s="6">
        <v>154</v>
      </c>
      <c r="L53" s="8" t="s">
        <v>75</v>
      </c>
      <c r="M53" s="8" t="s">
        <v>3400</v>
      </c>
      <c r="N53" s="7">
        <v>46210</v>
      </c>
      <c r="O53" s="8" t="s">
        <v>15</v>
      </c>
      <c r="P53" s="8" t="s">
        <v>2117</v>
      </c>
      <c r="Q53" s="8" t="s">
        <v>2117</v>
      </c>
      <c r="R53" s="347" t="s">
        <v>2117</v>
      </c>
      <c r="S53" s="8" t="s">
        <v>64</v>
      </c>
      <c r="T53" s="9">
        <v>795</v>
      </c>
      <c r="U53" s="9">
        <v>22260</v>
      </c>
      <c r="V53" s="8" t="s">
        <v>2616</v>
      </c>
      <c r="W53" s="8">
        <v>26244.54</v>
      </c>
      <c r="X53" s="8">
        <v>9</v>
      </c>
      <c r="Y53" s="8">
        <v>2003.4</v>
      </c>
      <c r="Z53" s="8">
        <v>9</v>
      </c>
      <c r="AA53" s="8">
        <v>2003.4</v>
      </c>
      <c r="AB53" s="8">
        <v>0</v>
      </c>
      <c r="AC53" s="8">
        <v>0</v>
      </c>
      <c r="AD53" s="8">
        <v>0</v>
      </c>
      <c r="AE53" s="8">
        <v>4006.8</v>
      </c>
      <c r="AF53" s="8">
        <v>0</v>
      </c>
      <c r="AG53" s="8" t="s">
        <v>65</v>
      </c>
      <c r="AH53" s="8" t="s">
        <v>3</v>
      </c>
      <c r="AI53" s="8">
        <v>39269080</v>
      </c>
      <c r="AJ53" s="8" t="s">
        <v>60</v>
      </c>
      <c r="AK53" s="8">
        <v>1</v>
      </c>
      <c r="AL53" s="8">
        <v>795</v>
      </c>
      <c r="AM53" s="8" t="s">
        <v>1940</v>
      </c>
    </row>
    <row r="54" spans="1:39" ht="15" customHeight="1">
      <c r="A54"/>
      <c r="B54"/>
      <c r="C54" s="347"/>
      <c r="D54" s="347"/>
      <c r="E54" s="347"/>
      <c r="F54" s="347"/>
      <c r="G54" s="347"/>
      <c r="H54" s="7">
        <v>46210</v>
      </c>
      <c r="I54" s="8" t="s">
        <v>61</v>
      </c>
      <c r="J54" s="8" t="s">
        <v>56</v>
      </c>
      <c r="K54" s="6">
        <v>155</v>
      </c>
      <c r="L54" s="8" t="s">
        <v>1698</v>
      </c>
      <c r="M54" s="8" t="s">
        <v>3401</v>
      </c>
      <c r="N54" s="7">
        <v>46210</v>
      </c>
      <c r="O54" s="8" t="s">
        <v>15</v>
      </c>
      <c r="P54" s="8" t="s">
        <v>57</v>
      </c>
      <c r="Q54" s="8" t="s">
        <v>57</v>
      </c>
      <c r="R54" s="8" t="s">
        <v>58</v>
      </c>
      <c r="S54" s="8" t="s">
        <v>16</v>
      </c>
      <c r="T54" s="9">
        <v>2705</v>
      </c>
      <c r="U54" s="9">
        <v>556878.35</v>
      </c>
      <c r="V54" s="8" t="s">
        <v>2611</v>
      </c>
      <c r="W54" s="8">
        <v>2709620.2</v>
      </c>
      <c r="X54" s="8">
        <v>9</v>
      </c>
      <c r="Y54" s="8">
        <v>50119.05</v>
      </c>
      <c r="Z54" s="8">
        <v>9</v>
      </c>
      <c r="AA54" s="8">
        <v>50119.05</v>
      </c>
      <c r="AB54" s="8">
        <v>0</v>
      </c>
      <c r="AC54" s="8">
        <v>0</v>
      </c>
      <c r="AD54" s="8">
        <v>0</v>
      </c>
      <c r="AE54" s="8">
        <v>100238.1</v>
      </c>
      <c r="AF54" s="8">
        <v>0</v>
      </c>
      <c r="AG54" s="8" t="s">
        <v>65</v>
      </c>
      <c r="AH54" s="8" t="s">
        <v>3</v>
      </c>
      <c r="AI54" s="8">
        <v>63053200</v>
      </c>
      <c r="AJ54" s="8" t="s">
        <v>60</v>
      </c>
      <c r="AK54" s="8">
        <v>1</v>
      </c>
      <c r="AL54" s="8">
        <v>2705</v>
      </c>
      <c r="AM54" s="8" t="s">
        <v>1940</v>
      </c>
    </row>
    <row r="55" spans="1:39" ht="15" customHeight="1">
      <c r="A55"/>
      <c r="B55"/>
      <c r="C55" s="347"/>
      <c r="D55" s="347"/>
      <c r="E55" s="347"/>
      <c r="F55" s="347"/>
      <c r="G55" s="347"/>
      <c r="H55" s="7">
        <v>46210</v>
      </c>
      <c r="I55" s="8" t="s">
        <v>61</v>
      </c>
      <c r="J55" s="8" t="s">
        <v>56</v>
      </c>
      <c r="K55" s="6">
        <v>155</v>
      </c>
      <c r="L55" s="8" t="s">
        <v>1698</v>
      </c>
      <c r="M55" s="8" t="s">
        <v>3401</v>
      </c>
      <c r="N55" s="7">
        <v>46210</v>
      </c>
      <c r="O55" s="8" t="s">
        <v>15</v>
      </c>
      <c r="P55" s="8" t="s">
        <v>57</v>
      </c>
      <c r="Q55" s="8" t="s">
        <v>57</v>
      </c>
      <c r="R55" s="8" t="s">
        <v>58</v>
      </c>
      <c r="S55" s="8" t="s">
        <v>16</v>
      </c>
      <c r="T55" s="9">
        <v>1357</v>
      </c>
      <c r="U55" s="9">
        <v>286639.11</v>
      </c>
      <c r="V55" s="8" t="s">
        <v>2611</v>
      </c>
      <c r="W55" s="8">
        <v>0</v>
      </c>
      <c r="X55" s="8">
        <v>9</v>
      </c>
      <c r="Y55" s="8">
        <v>25797.52</v>
      </c>
      <c r="Z55" s="8">
        <v>9</v>
      </c>
      <c r="AA55" s="8">
        <v>25797.52</v>
      </c>
      <c r="AB55" s="8">
        <v>0</v>
      </c>
      <c r="AC55" s="8">
        <v>0</v>
      </c>
      <c r="AD55" s="8">
        <v>0</v>
      </c>
      <c r="AE55" s="8">
        <v>51595.040000000001</v>
      </c>
      <c r="AF55" s="8">
        <v>0</v>
      </c>
      <c r="AG55" s="8" t="s">
        <v>65</v>
      </c>
      <c r="AH55" s="8" t="s">
        <v>3</v>
      </c>
      <c r="AI55" s="8">
        <v>63053200</v>
      </c>
      <c r="AJ55" s="8" t="s">
        <v>60</v>
      </c>
      <c r="AK55" s="8">
        <v>1</v>
      </c>
      <c r="AL55" s="8">
        <v>1357</v>
      </c>
      <c r="AM55" s="8" t="s">
        <v>1940</v>
      </c>
    </row>
    <row r="56" spans="1:39" ht="15" customHeight="1">
      <c r="A56"/>
      <c r="B56"/>
      <c r="C56" s="347"/>
      <c r="D56" s="347"/>
      <c r="E56" s="347"/>
      <c r="F56" s="347"/>
      <c r="G56" s="347"/>
      <c r="H56" s="7">
        <v>46210</v>
      </c>
      <c r="I56" s="8" t="s">
        <v>61</v>
      </c>
      <c r="J56" s="8" t="s">
        <v>56</v>
      </c>
      <c r="K56" s="6">
        <v>155</v>
      </c>
      <c r="L56" s="8" t="s">
        <v>1698</v>
      </c>
      <c r="M56" s="8" t="s">
        <v>3401</v>
      </c>
      <c r="N56" s="7">
        <v>46210</v>
      </c>
      <c r="O56" s="8" t="s">
        <v>15</v>
      </c>
      <c r="P56" s="8" t="s">
        <v>57</v>
      </c>
      <c r="Q56" s="8" t="s">
        <v>57</v>
      </c>
      <c r="R56" s="8" t="s">
        <v>58</v>
      </c>
      <c r="S56" s="8" t="s">
        <v>16</v>
      </c>
      <c r="T56" s="9">
        <v>1819</v>
      </c>
      <c r="U56" s="9">
        <v>382062.76</v>
      </c>
      <c r="V56" s="8" t="s">
        <v>2611</v>
      </c>
      <c r="W56" s="8">
        <v>0</v>
      </c>
      <c r="X56" s="8">
        <v>9</v>
      </c>
      <c r="Y56" s="8">
        <v>34385.65</v>
      </c>
      <c r="Z56" s="8">
        <v>9</v>
      </c>
      <c r="AA56" s="8">
        <v>34385.65</v>
      </c>
      <c r="AB56" s="8">
        <v>0</v>
      </c>
      <c r="AC56" s="8">
        <v>0</v>
      </c>
      <c r="AD56" s="8">
        <v>0</v>
      </c>
      <c r="AE56" s="8">
        <v>68771.3</v>
      </c>
      <c r="AF56" s="8">
        <v>0</v>
      </c>
      <c r="AG56" s="8" t="s">
        <v>65</v>
      </c>
      <c r="AH56" s="8" t="s">
        <v>3</v>
      </c>
      <c r="AI56" s="8">
        <v>63053200</v>
      </c>
      <c r="AJ56" s="8" t="s">
        <v>60</v>
      </c>
      <c r="AK56" s="8">
        <v>1</v>
      </c>
      <c r="AL56" s="8">
        <v>1819</v>
      </c>
      <c r="AM56" s="8" t="s">
        <v>1940</v>
      </c>
    </row>
    <row r="57" spans="1:39" ht="15" customHeight="1">
      <c r="A57"/>
      <c r="B57"/>
      <c r="C57" s="347"/>
      <c r="D57" s="347"/>
      <c r="E57" s="347"/>
      <c r="F57" s="347"/>
      <c r="G57" s="347"/>
      <c r="H57" s="7">
        <v>46210</v>
      </c>
      <c r="I57" s="8" t="s">
        <v>61</v>
      </c>
      <c r="J57" s="8" t="s">
        <v>56</v>
      </c>
      <c r="K57" s="6">
        <v>155</v>
      </c>
      <c r="L57" s="8" t="s">
        <v>1698</v>
      </c>
      <c r="M57" s="8" t="s">
        <v>3401</v>
      </c>
      <c r="N57" s="7">
        <v>46210</v>
      </c>
      <c r="O57" s="8" t="s">
        <v>15</v>
      </c>
      <c r="P57" s="8" t="s">
        <v>57</v>
      </c>
      <c r="Q57" s="8" t="s">
        <v>57</v>
      </c>
      <c r="R57" s="8" t="s">
        <v>58</v>
      </c>
      <c r="S57" s="8" t="s">
        <v>16</v>
      </c>
      <c r="T57" s="9">
        <v>891</v>
      </c>
      <c r="U57" s="9">
        <v>191262.06</v>
      </c>
      <c r="V57" s="8" t="s">
        <v>2611</v>
      </c>
      <c r="W57" s="8">
        <v>0</v>
      </c>
      <c r="X57" s="8">
        <v>9</v>
      </c>
      <c r="Y57" s="8">
        <v>17213.59</v>
      </c>
      <c r="Z57" s="8">
        <v>9</v>
      </c>
      <c r="AA57" s="8">
        <v>17213.59</v>
      </c>
      <c r="AB57" s="8">
        <v>0</v>
      </c>
      <c r="AC57" s="8">
        <v>0</v>
      </c>
      <c r="AD57" s="8">
        <v>0</v>
      </c>
      <c r="AE57" s="8">
        <v>34427.18</v>
      </c>
      <c r="AF57" s="8">
        <v>0</v>
      </c>
      <c r="AG57" s="8" t="s">
        <v>65</v>
      </c>
      <c r="AH57" s="8" t="s">
        <v>3</v>
      </c>
      <c r="AI57" s="8">
        <v>63053200</v>
      </c>
      <c r="AJ57" s="8" t="s">
        <v>60</v>
      </c>
      <c r="AK57" s="8">
        <v>1</v>
      </c>
      <c r="AL57" s="8">
        <v>891</v>
      </c>
      <c r="AM57" s="8" t="s">
        <v>1940</v>
      </c>
    </row>
    <row r="58" spans="1:39" ht="15" customHeight="1">
      <c r="A58"/>
      <c r="B58"/>
      <c r="C58" s="347"/>
      <c r="D58" s="347"/>
      <c r="E58" s="347"/>
      <c r="F58" s="347"/>
      <c r="G58" s="347"/>
      <c r="H58" s="7">
        <v>46210</v>
      </c>
      <c r="I58" s="8" t="s">
        <v>61</v>
      </c>
      <c r="J58" s="8" t="s">
        <v>56</v>
      </c>
      <c r="K58" s="6">
        <v>155</v>
      </c>
      <c r="L58" s="8" t="s">
        <v>1698</v>
      </c>
      <c r="M58" s="8" t="s">
        <v>3401</v>
      </c>
      <c r="N58" s="7">
        <v>46210</v>
      </c>
      <c r="O58" s="8" t="s">
        <v>15</v>
      </c>
      <c r="P58" s="8" t="s">
        <v>57</v>
      </c>
      <c r="Q58" s="8" t="s">
        <v>57</v>
      </c>
      <c r="R58" s="8" t="s">
        <v>58</v>
      </c>
      <c r="S58" s="8" t="s">
        <v>16</v>
      </c>
      <c r="T58" s="9">
        <v>4020</v>
      </c>
      <c r="U58" s="9">
        <v>780804.6</v>
      </c>
      <c r="V58" s="8" t="s">
        <v>2611</v>
      </c>
      <c r="W58" s="8">
        <v>0</v>
      </c>
      <c r="X58" s="8">
        <v>9</v>
      </c>
      <c r="Y58" s="8">
        <v>70272.41</v>
      </c>
      <c r="Z58" s="8">
        <v>9</v>
      </c>
      <c r="AA58" s="8">
        <v>70272.41</v>
      </c>
      <c r="AB58" s="8">
        <v>0</v>
      </c>
      <c r="AC58" s="8">
        <v>0</v>
      </c>
      <c r="AD58" s="8">
        <v>0</v>
      </c>
      <c r="AE58" s="8">
        <v>140544.82</v>
      </c>
      <c r="AF58" s="8">
        <v>0</v>
      </c>
      <c r="AG58" s="8" t="s">
        <v>65</v>
      </c>
      <c r="AH58" s="8" t="s">
        <v>3</v>
      </c>
      <c r="AI58" s="8">
        <v>63053200</v>
      </c>
      <c r="AJ58" s="8" t="s">
        <v>60</v>
      </c>
      <c r="AK58" s="8">
        <v>1</v>
      </c>
      <c r="AL58" s="8">
        <v>4020</v>
      </c>
      <c r="AM58" s="8" t="s">
        <v>1940</v>
      </c>
    </row>
    <row r="59" spans="1:39" ht="15" customHeight="1">
      <c r="A59"/>
      <c r="B59"/>
      <c r="C59" s="347"/>
      <c r="D59" s="347"/>
      <c r="E59" s="347"/>
      <c r="F59" s="347"/>
      <c r="G59" s="347"/>
      <c r="H59" s="7">
        <v>46210</v>
      </c>
      <c r="I59" s="8" t="s">
        <v>61</v>
      </c>
      <c r="J59" s="8" t="s">
        <v>56</v>
      </c>
      <c r="K59" s="6">
        <v>155</v>
      </c>
      <c r="L59" s="8" t="s">
        <v>1698</v>
      </c>
      <c r="M59" s="8" t="s">
        <v>3401</v>
      </c>
      <c r="N59" s="7">
        <v>46210</v>
      </c>
      <c r="O59" s="8" t="s">
        <v>15</v>
      </c>
      <c r="P59" s="8" t="s">
        <v>57</v>
      </c>
      <c r="Q59" s="8" t="s">
        <v>57</v>
      </c>
      <c r="R59" s="8" t="s">
        <v>58</v>
      </c>
      <c r="S59" s="8" t="s">
        <v>16</v>
      </c>
      <c r="T59" s="9">
        <v>508</v>
      </c>
      <c r="U59" s="9">
        <v>100589.08</v>
      </c>
      <c r="V59" s="8" t="s">
        <v>2611</v>
      </c>
      <c r="W59" s="8">
        <v>0</v>
      </c>
      <c r="X59" s="8">
        <v>9</v>
      </c>
      <c r="Y59" s="8">
        <v>9053.02</v>
      </c>
      <c r="Z59" s="8">
        <v>9</v>
      </c>
      <c r="AA59" s="8">
        <v>9053.02</v>
      </c>
      <c r="AB59" s="8">
        <v>0</v>
      </c>
      <c r="AC59" s="8">
        <v>0</v>
      </c>
      <c r="AD59" s="8">
        <v>0</v>
      </c>
      <c r="AE59" s="8">
        <v>18106.04</v>
      </c>
      <c r="AF59" s="8">
        <v>0</v>
      </c>
      <c r="AG59" s="8" t="s">
        <v>65</v>
      </c>
      <c r="AH59" s="8" t="s">
        <v>3</v>
      </c>
      <c r="AI59" s="8">
        <v>63053200</v>
      </c>
      <c r="AJ59" s="8" t="s">
        <v>60</v>
      </c>
      <c r="AK59" s="8">
        <v>1</v>
      </c>
      <c r="AL59" s="8">
        <v>508</v>
      </c>
      <c r="AM59" s="8" t="s">
        <v>1940</v>
      </c>
    </row>
    <row r="60" spans="1:39" ht="15" customHeight="1">
      <c r="A60"/>
      <c r="B60"/>
      <c r="C60" s="347"/>
      <c r="D60" s="347"/>
      <c r="E60" s="347"/>
      <c r="F60" s="347"/>
      <c r="G60" s="347"/>
      <c r="H60" s="7">
        <v>46272</v>
      </c>
      <c r="I60" s="8" t="s">
        <v>2392</v>
      </c>
      <c r="J60" s="8" t="s">
        <v>2242</v>
      </c>
      <c r="K60" s="6" t="s">
        <v>3402</v>
      </c>
      <c r="L60" s="8" t="s">
        <v>2693</v>
      </c>
      <c r="M60" s="8" t="s">
        <v>3402</v>
      </c>
      <c r="N60" s="7">
        <v>46272</v>
      </c>
      <c r="O60" s="8" t="s">
        <v>15</v>
      </c>
      <c r="P60" s="8" t="s">
        <v>57</v>
      </c>
      <c r="Q60" s="8" t="s">
        <v>57</v>
      </c>
      <c r="R60" s="8" t="s">
        <v>58</v>
      </c>
      <c r="S60" s="8" t="s">
        <v>14</v>
      </c>
      <c r="T60" s="9">
        <v>18338</v>
      </c>
      <c r="U60" s="9">
        <v>4443120</v>
      </c>
      <c r="V60" s="8" t="s">
        <v>2307</v>
      </c>
      <c r="W60" s="8">
        <v>4443120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 t="s">
        <v>2279</v>
      </c>
      <c r="AH60" s="8" t="s">
        <v>3</v>
      </c>
      <c r="AI60" s="8">
        <v>63053200</v>
      </c>
      <c r="AJ60" s="8" t="s">
        <v>2243</v>
      </c>
      <c r="AK60" s="8">
        <v>93.5</v>
      </c>
      <c r="AL60" s="8">
        <v>18338</v>
      </c>
      <c r="AM60" s="8" t="s">
        <v>2393</v>
      </c>
    </row>
    <row r="61" spans="1:39" ht="15" customHeight="1">
      <c r="A61"/>
      <c r="B61"/>
      <c r="C61" s="347"/>
      <c r="D61" s="347"/>
      <c r="E61" s="347"/>
      <c r="F61" s="347"/>
      <c r="G61" s="347"/>
      <c r="H61" s="7">
        <v>46272</v>
      </c>
      <c r="I61" s="8" t="s">
        <v>3403</v>
      </c>
      <c r="J61" s="8" t="s">
        <v>2242</v>
      </c>
      <c r="K61" s="6" t="s">
        <v>3404</v>
      </c>
      <c r="L61" s="8" t="s">
        <v>2693</v>
      </c>
      <c r="M61" s="8" t="s">
        <v>3404</v>
      </c>
      <c r="N61" s="7">
        <v>46272</v>
      </c>
      <c r="O61" s="8" t="s">
        <v>15</v>
      </c>
      <c r="P61" s="8" t="s">
        <v>57</v>
      </c>
      <c r="Q61" s="8" t="s">
        <v>57</v>
      </c>
      <c r="R61" s="8" t="s">
        <v>58</v>
      </c>
      <c r="S61" s="8" t="s">
        <v>14</v>
      </c>
      <c r="T61" s="9">
        <v>15412</v>
      </c>
      <c r="U61" s="9">
        <v>4082257.94</v>
      </c>
      <c r="V61" s="8" t="s">
        <v>2307</v>
      </c>
      <c r="W61" s="8">
        <v>4444454.5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 t="s">
        <v>2279</v>
      </c>
      <c r="AH61" s="8" t="s">
        <v>3</v>
      </c>
      <c r="AI61" s="8">
        <v>63053200</v>
      </c>
      <c r="AJ61" s="8"/>
      <c r="AK61" s="8">
        <v>105.4</v>
      </c>
      <c r="AL61" s="8">
        <v>15412</v>
      </c>
      <c r="AM61" s="8" t="s">
        <v>2615</v>
      </c>
    </row>
    <row r="62" spans="1:39" ht="15" customHeight="1">
      <c r="A62"/>
      <c r="B62"/>
      <c r="C62" s="347"/>
      <c r="D62" s="347"/>
      <c r="E62" s="347"/>
      <c r="F62" s="347"/>
      <c r="G62" s="347"/>
      <c r="H62" s="7">
        <v>46272</v>
      </c>
      <c r="I62" s="8" t="s">
        <v>232</v>
      </c>
      <c r="J62" s="8" t="s">
        <v>2542</v>
      </c>
      <c r="K62" s="6" t="s">
        <v>3405</v>
      </c>
      <c r="L62" s="8" t="s">
        <v>2612</v>
      </c>
      <c r="M62" s="8" t="s">
        <v>3405</v>
      </c>
      <c r="N62" s="7">
        <v>46272</v>
      </c>
      <c r="O62" s="8" t="s">
        <v>5</v>
      </c>
      <c r="P62" s="8" t="s">
        <v>5</v>
      </c>
      <c r="Q62" s="8" t="s">
        <v>5</v>
      </c>
      <c r="R62" s="8" t="s">
        <v>69</v>
      </c>
      <c r="S62" s="8" t="s">
        <v>2602</v>
      </c>
      <c r="T62" s="9">
        <v>100</v>
      </c>
      <c r="U62" s="9">
        <v>32000</v>
      </c>
      <c r="V62" s="8" t="s">
        <v>3406</v>
      </c>
      <c r="W62" s="8">
        <v>31968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 t="s">
        <v>2543</v>
      </c>
      <c r="AH62" s="8" t="s">
        <v>3</v>
      </c>
      <c r="AI62" s="8">
        <v>35069999</v>
      </c>
      <c r="AJ62" s="8" t="s">
        <v>60</v>
      </c>
      <c r="AK62" s="8">
        <v>1</v>
      </c>
      <c r="AL62" s="8">
        <v>100</v>
      </c>
      <c r="AM62" s="8" t="s">
        <v>1940</v>
      </c>
    </row>
    <row r="63" spans="1:39" ht="15" customHeight="1">
      <c r="A63"/>
      <c r="B63"/>
      <c r="C63" s="347"/>
      <c r="D63" s="347"/>
      <c r="E63" s="347"/>
      <c r="F63" s="347"/>
      <c r="G63" s="347"/>
      <c r="H63" s="7">
        <v>46272</v>
      </c>
      <c r="I63" s="8" t="s">
        <v>61</v>
      </c>
      <c r="J63" s="8" t="s">
        <v>56</v>
      </c>
      <c r="K63" s="6">
        <v>156</v>
      </c>
      <c r="L63" s="8" t="s">
        <v>75</v>
      </c>
      <c r="M63" s="8" t="s">
        <v>3407</v>
      </c>
      <c r="N63" s="7">
        <v>46272</v>
      </c>
      <c r="O63" s="8" t="s">
        <v>15</v>
      </c>
      <c r="P63" s="8" t="s">
        <v>2117</v>
      </c>
      <c r="Q63" s="8" t="s">
        <v>2117</v>
      </c>
      <c r="R63" s="347" t="s">
        <v>2117</v>
      </c>
      <c r="S63" s="8" t="s">
        <v>79</v>
      </c>
      <c r="T63" s="9">
        <v>62</v>
      </c>
      <c r="U63" s="9">
        <v>9268.3799999999992</v>
      </c>
      <c r="V63" s="8" t="s">
        <v>3408</v>
      </c>
      <c r="W63" s="8">
        <v>10927.41</v>
      </c>
      <c r="X63" s="8">
        <v>9</v>
      </c>
      <c r="Y63" s="8">
        <v>834.15</v>
      </c>
      <c r="Z63" s="8">
        <v>9</v>
      </c>
      <c r="AA63" s="8">
        <v>834.15</v>
      </c>
      <c r="AB63" s="8">
        <v>0</v>
      </c>
      <c r="AC63" s="8">
        <v>0</v>
      </c>
      <c r="AD63" s="8">
        <v>0</v>
      </c>
      <c r="AE63" s="8">
        <v>1668.3</v>
      </c>
      <c r="AF63" s="8">
        <v>0</v>
      </c>
      <c r="AG63" s="8" t="s">
        <v>65</v>
      </c>
      <c r="AH63" s="8" t="s">
        <v>3</v>
      </c>
      <c r="AI63" s="8">
        <v>39269080</v>
      </c>
      <c r="AJ63" s="8" t="s">
        <v>60</v>
      </c>
      <c r="AK63" s="8">
        <v>1</v>
      </c>
      <c r="AL63" s="8">
        <v>62</v>
      </c>
      <c r="AM63" s="8" t="s">
        <v>1940</v>
      </c>
    </row>
    <row r="64" spans="1:39" ht="15" customHeight="1">
      <c r="A64"/>
      <c r="B64"/>
      <c r="C64" s="347"/>
      <c r="D64" s="347"/>
      <c r="E64" s="347"/>
      <c r="F64" s="347"/>
      <c r="G64" s="347"/>
      <c r="H64" s="7">
        <v>46272</v>
      </c>
      <c r="I64" s="8" t="s">
        <v>2306</v>
      </c>
      <c r="J64" s="8" t="s">
        <v>2242</v>
      </c>
      <c r="K64" s="6" t="s">
        <v>3409</v>
      </c>
      <c r="L64" s="8" t="s">
        <v>2693</v>
      </c>
      <c r="M64" s="8" t="s">
        <v>3409</v>
      </c>
      <c r="N64" s="7">
        <v>46272</v>
      </c>
      <c r="O64" s="8" t="s">
        <v>15</v>
      </c>
      <c r="P64" s="8" t="s">
        <v>57</v>
      </c>
      <c r="Q64" s="8" t="s">
        <v>57</v>
      </c>
      <c r="R64" s="8" t="s">
        <v>58</v>
      </c>
      <c r="S64" s="8" t="s">
        <v>14</v>
      </c>
      <c r="T64" s="9">
        <v>18962</v>
      </c>
      <c r="U64" s="9">
        <v>4924424.34</v>
      </c>
      <c r="V64" s="8" t="s">
        <v>2307</v>
      </c>
      <c r="W64" s="8">
        <v>5317124.34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 t="s">
        <v>2279</v>
      </c>
      <c r="AH64" s="8" t="s">
        <v>3</v>
      </c>
      <c r="AI64" s="8">
        <v>63053200</v>
      </c>
      <c r="AJ64" s="8" t="s">
        <v>2243</v>
      </c>
      <c r="AK64" s="8">
        <v>93.5</v>
      </c>
      <c r="AL64" s="8">
        <v>18962</v>
      </c>
      <c r="AM64" s="8" t="s">
        <v>2308</v>
      </c>
    </row>
    <row r="65" spans="1:39" ht="15" customHeight="1">
      <c r="A65"/>
      <c r="B65"/>
      <c r="C65" s="347"/>
      <c r="D65" s="347"/>
      <c r="E65" s="347"/>
      <c r="F65" s="347"/>
      <c r="G65" s="347"/>
      <c r="H65" s="7">
        <v>46272</v>
      </c>
      <c r="I65" s="8" t="s">
        <v>2306</v>
      </c>
      <c r="J65" s="8" t="s">
        <v>2242</v>
      </c>
      <c r="K65" s="6" t="s">
        <v>3410</v>
      </c>
      <c r="L65" s="8" t="s">
        <v>2693</v>
      </c>
      <c r="M65" s="8" t="s">
        <v>3410</v>
      </c>
      <c r="N65" s="7">
        <v>46272</v>
      </c>
      <c r="O65" s="8" t="s">
        <v>15</v>
      </c>
      <c r="P65" s="8" t="s">
        <v>57</v>
      </c>
      <c r="Q65" s="8" t="s">
        <v>57</v>
      </c>
      <c r="R65" s="8" t="s">
        <v>58</v>
      </c>
      <c r="S65" s="8" t="s">
        <v>16</v>
      </c>
      <c r="T65" s="9">
        <v>18805</v>
      </c>
      <c r="U65" s="9">
        <v>4186182</v>
      </c>
      <c r="V65" s="8" t="s">
        <v>2541</v>
      </c>
      <c r="W65" s="8">
        <v>4578882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 t="s">
        <v>2279</v>
      </c>
      <c r="AH65" s="8" t="s">
        <v>3</v>
      </c>
      <c r="AI65" s="8">
        <v>63053200</v>
      </c>
      <c r="AJ65" s="8" t="s">
        <v>2243</v>
      </c>
      <c r="AK65" s="8">
        <v>93.5</v>
      </c>
      <c r="AL65" s="8">
        <v>18805</v>
      </c>
      <c r="AM65" s="8" t="s">
        <v>2308</v>
      </c>
    </row>
    <row r="66" spans="1:39" ht="12.75" customHeight="1">
      <c r="C66" s="347"/>
      <c r="D66" s="347"/>
      <c r="E66" s="347"/>
      <c r="F66" s="347"/>
      <c r="G66" s="347"/>
      <c r="H66" s="7">
        <v>46272</v>
      </c>
      <c r="I66" s="8" t="s">
        <v>2306</v>
      </c>
      <c r="J66" s="8" t="s">
        <v>2242</v>
      </c>
      <c r="K66" s="6" t="s">
        <v>3411</v>
      </c>
      <c r="L66" s="8" t="s">
        <v>2693</v>
      </c>
      <c r="M66" s="8" t="s">
        <v>3411</v>
      </c>
      <c r="N66" s="7">
        <v>46272</v>
      </c>
      <c r="O66" s="8" t="s">
        <v>15</v>
      </c>
      <c r="P66" s="8" t="s">
        <v>57</v>
      </c>
      <c r="Q66" s="8" t="s">
        <v>57</v>
      </c>
      <c r="R66" s="8" t="s">
        <v>58</v>
      </c>
      <c r="S66" s="8" t="s">
        <v>14</v>
      </c>
      <c r="T66" s="9">
        <v>19241</v>
      </c>
      <c r="U66" s="9">
        <v>4767508.9000000004</v>
      </c>
      <c r="V66" s="8" t="s">
        <v>2307</v>
      </c>
      <c r="W66" s="8">
        <v>5160208.9000000004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 t="s">
        <v>2279</v>
      </c>
      <c r="AH66" s="8" t="s">
        <v>3</v>
      </c>
      <c r="AI66" s="8">
        <v>63053200</v>
      </c>
      <c r="AJ66" s="8" t="s">
        <v>2243</v>
      </c>
      <c r="AK66" s="8">
        <v>93.5</v>
      </c>
      <c r="AL66" s="8">
        <v>19241</v>
      </c>
      <c r="AM66" s="8" t="s">
        <v>2308</v>
      </c>
    </row>
    <row r="67" spans="1:39" ht="12.75" customHeight="1">
      <c r="C67" s="347"/>
      <c r="D67" s="347"/>
      <c r="E67" s="347"/>
      <c r="F67" s="347"/>
      <c r="G67" s="347"/>
      <c r="H67" s="7">
        <v>46272</v>
      </c>
      <c r="I67" s="8" t="s">
        <v>2306</v>
      </c>
      <c r="J67" s="8" t="s">
        <v>2242</v>
      </c>
      <c r="K67" s="6" t="s">
        <v>3412</v>
      </c>
      <c r="L67" s="8" t="s">
        <v>2693</v>
      </c>
      <c r="M67" s="8" t="s">
        <v>3412</v>
      </c>
      <c r="N67" s="7">
        <v>46272</v>
      </c>
      <c r="O67" s="8" t="s">
        <v>15</v>
      </c>
      <c r="P67" s="8" t="s">
        <v>57</v>
      </c>
      <c r="Q67" s="8" t="s">
        <v>57</v>
      </c>
      <c r="R67" s="8" t="s">
        <v>58</v>
      </c>
      <c r="S67" s="8" t="s">
        <v>14</v>
      </c>
      <c r="T67" s="9">
        <v>18985</v>
      </c>
      <c r="U67" s="9">
        <v>3107940</v>
      </c>
      <c r="V67" s="8" t="s">
        <v>2307</v>
      </c>
      <c r="W67" s="8">
        <v>3500640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 t="s">
        <v>2279</v>
      </c>
      <c r="AH67" s="8" t="s">
        <v>3</v>
      </c>
      <c r="AI67" s="8">
        <v>63053200</v>
      </c>
      <c r="AJ67" s="8" t="s">
        <v>2243</v>
      </c>
      <c r="AK67" s="8">
        <v>93.5</v>
      </c>
      <c r="AL67" s="8">
        <v>18985</v>
      </c>
      <c r="AM67" s="8" t="s">
        <v>2308</v>
      </c>
    </row>
    <row r="68" spans="1:39" ht="12.75" customHeight="1">
      <c r="C68" s="347"/>
      <c r="D68" s="347"/>
      <c r="E68" s="347"/>
      <c r="F68" s="347"/>
      <c r="G68" s="347"/>
      <c r="H68" s="7">
        <v>46272</v>
      </c>
      <c r="I68" s="8" t="s">
        <v>2306</v>
      </c>
      <c r="J68" s="8" t="s">
        <v>2242</v>
      </c>
      <c r="K68" s="6" t="s">
        <v>3413</v>
      </c>
      <c r="L68" s="8" t="s">
        <v>2693</v>
      </c>
      <c r="M68" s="8" t="s">
        <v>3413</v>
      </c>
      <c r="N68" s="7">
        <v>46272</v>
      </c>
      <c r="O68" s="8" t="s">
        <v>15</v>
      </c>
      <c r="P68" s="8" t="s">
        <v>57</v>
      </c>
      <c r="Q68" s="8" t="s">
        <v>57</v>
      </c>
      <c r="R68" s="8" t="s">
        <v>58</v>
      </c>
      <c r="S68" s="8" t="s">
        <v>14</v>
      </c>
      <c r="T68" s="9">
        <v>19141</v>
      </c>
      <c r="U68" s="9">
        <v>4303898.5</v>
      </c>
      <c r="V68" s="8" t="s">
        <v>2307</v>
      </c>
      <c r="W68" s="8">
        <v>4696598.5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 t="s">
        <v>2279</v>
      </c>
      <c r="AH68" s="8" t="s">
        <v>3</v>
      </c>
      <c r="AI68" s="8">
        <v>63053200</v>
      </c>
      <c r="AJ68" s="8" t="s">
        <v>2243</v>
      </c>
      <c r="AK68" s="8">
        <v>93.5</v>
      </c>
      <c r="AL68" s="8">
        <v>19141</v>
      </c>
      <c r="AM68" s="8" t="s">
        <v>2308</v>
      </c>
    </row>
    <row r="69" spans="1:39" ht="12.75" customHeight="1">
      <c r="C69" s="347"/>
      <c r="D69" s="347"/>
      <c r="E69" s="347"/>
      <c r="F69" s="347"/>
      <c r="G69" s="347"/>
      <c r="H69" s="7">
        <v>46302</v>
      </c>
      <c r="I69" s="8" t="s">
        <v>2547</v>
      </c>
      <c r="J69" s="8" t="s">
        <v>2242</v>
      </c>
      <c r="K69" s="6" t="s">
        <v>3414</v>
      </c>
      <c r="L69" s="8" t="s">
        <v>2693</v>
      </c>
      <c r="M69" s="8" t="s">
        <v>3414</v>
      </c>
      <c r="N69" s="7">
        <v>46302</v>
      </c>
      <c r="O69" s="8" t="s">
        <v>15</v>
      </c>
      <c r="P69" s="8" t="s">
        <v>57</v>
      </c>
      <c r="Q69" s="8" t="s">
        <v>57</v>
      </c>
      <c r="R69" s="8" t="s">
        <v>58</v>
      </c>
      <c r="S69" s="8" t="s">
        <v>14</v>
      </c>
      <c r="T69" s="9">
        <v>20148</v>
      </c>
      <c r="U69" s="9">
        <v>4623909.7300000004</v>
      </c>
      <c r="V69" s="8" t="s">
        <v>2307</v>
      </c>
      <c r="W69" s="8">
        <v>5313792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 t="s">
        <v>2279</v>
      </c>
      <c r="AH69" s="8" t="s">
        <v>3</v>
      </c>
      <c r="AI69" s="8">
        <v>63053200</v>
      </c>
      <c r="AJ69" s="8" t="s">
        <v>2243</v>
      </c>
      <c r="AK69" s="8">
        <v>93.5</v>
      </c>
      <c r="AL69" s="8">
        <v>20148</v>
      </c>
      <c r="AM69" s="8" t="s">
        <v>2548</v>
      </c>
    </row>
    <row r="70" spans="1:39" ht="12.75" customHeight="1">
      <c r="C70" s="347"/>
      <c r="D70" s="347"/>
      <c r="E70" s="347"/>
      <c r="F70" s="347"/>
      <c r="G70" s="347"/>
      <c r="H70" s="7">
        <v>46302</v>
      </c>
      <c r="I70" s="8" t="s">
        <v>61</v>
      </c>
      <c r="J70" s="8" t="s">
        <v>56</v>
      </c>
      <c r="K70" s="6">
        <v>157</v>
      </c>
      <c r="L70" s="8" t="s">
        <v>75</v>
      </c>
      <c r="M70" s="8" t="s">
        <v>3415</v>
      </c>
      <c r="N70" s="7">
        <v>46302</v>
      </c>
      <c r="O70" s="8" t="s">
        <v>13</v>
      </c>
      <c r="P70" s="8" t="s">
        <v>24</v>
      </c>
      <c r="Q70" s="8" t="s">
        <v>79</v>
      </c>
      <c r="R70" s="8" t="s">
        <v>79</v>
      </c>
      <c r="S70" s="8" t="s">
        <v>24</v>
      </c>
      <c r="T70" s="9">
        <v>191.9</v>
      </c>
      <c r="U70" s="9">
        <v>28687.13</v>
      </c>
      <c r="V70" s="8" t="s">
        <v>3408</v>
      </c>
      <c r="W70" s="8">
        <v>33822.120000000003</v>
      </c>
      <c r="X70" s="8">
        <v>9</v>
      </c>
      <c r="Y70" s="8">
        <v>2581.84</v>
      </c>
      <c r="Z70" s="8">
        <v>9</v>
      </c>
      <c r="AA70" s="8">
        <v>2581.84</v>
      </c>
      <c r="AB70" s="8">
        <v>0</v>
      </c>
      <c r="AC70" s="8">
        <v>0</v>
      </c>
      <c r="AD70" s="8">
        <v>0</v>
      </c>
      <c r="AE70" s="8">
        <v>5163.68</v>
      </c>
      <c r="AF70" s="8">
        <v>0</v>
      </c>
      <c r="AG70" s="8" t="s">
        <v>65</v>
      </c>
      <c r="AH70" s="8" t="s">
        <v>3</v>
      </c>
      <c r="AI70" s="8">
        <v>39269080</v>
      </c>
      <c r="AJ70" s="8" t="s">
        <v>60</v>
      </c>
      <c r="AK70" s="8">
        <v>1</v>
      </c>
      <c r="AL70" s="8">
        <v>191.9</v>
      </c>
      <c r="AM70" s="8" t="s">
        <v>1940</v>
      </c>
    </row>
    <row r="71" spans="1:39" ht="12.75" customHeight="1">
      <c r="C71" s="347"/>
      <c r="D71" s="347"/>
      <c r="E71" s="347"/>
      <c r="F71" s="347"/>
      <c r="G71" s="347"/>
      <c r="H71" s="7">
        <v>46302</v>
      </c>
      <c r="I71" s="8" t="s">
        <v>61</v>
      </c>
      <c r="J71" s="8" t="s">
        <v>56</v>
      </c>
      <c r="K71" s="6">
        <v>158</v>
      </c>
      <c r="L71" s="8" t="s">
        <v>75</v>
      </c>
      <c r="M71" s="8" t="s">
        <v>3416</v>
      </c>
      <c r="N71" s="7">
        <v>46302</v>
      </c>
      <c r="O71" s="8" t="s">
        <v>13</v>
      </c>
      <c r="P71" s="8" t="s">
        <v>99</v>
      </c>
      <c r="Q71" s="8" t="s">
        <v>100</v>
      </c>
      <c r="R71" s="8" t="s">
        <v>101</v>
      </c>
      <c r="S71" s="8" t="s">
        <v>1303</v>
      </c>
      <c r="T71" s="9">
        <v>44</v>
      </c>
      <c r="U71" s="9">
        <v>7017.56</v>
      </c>
      <c r="V71" s="8" t="s">
        <v>1303</v>
      </c>
      <c r="W71" s="8">
        <v>7361.42</v>
      </c>
      <c r="X71" s="8">
        <v>2.5</v>
      </c>
      <c r="Y71" s="8">
        <v>175.44</v>
      </c>
      <c r="Z71" s="8">
        <v>2.5</v>
      </c>
      <c r="AA71" s="8">
        <v>175.44</v>
      </c>
      <c r="AB71" s="8">
        <v>0</v>
      </c>
      <c r="AC71" s="8">
        <v>0</v>
      </c>
      <c r="AD71" s="8">
        <v>0</v>
      </c>
      <c r="AE71" s="8">
        <v>350.88</v>
      </c>
      <c r="AF71" s="8">
        <v>0</v>
      </c>
      <c r="AG71" s="8" t="s">
        <v>65</v>
      </c>
      <c r="AH71" s="8" t="s">
        <v>3</v>
      </c>
      <c r="AI71" s="8">
        <v>54026930</v>
      </c>
      <c r="AJ71" s="8" t="s">
        <v>60</v>
      </c>
      <c r="AK71" s="8">
        <v>1</v>
      </c>
      <c r="AL71" s="8">
        <v>44</v>
      </c>
      <c r="AM71" s="8" t="s">
        <v>1940</v>
      </c>
    </row>
    <row r="72" spans="1:39" ht="12.75" customHeight="1">
      <c r="C72" s="347"/>
      <c r="D72" s="347"/>
      <c r="E72" s="347"/>
      <c r="F72" s="347"/>
      <c r="G72" s="347"/>
      <c r="H72" s="7">
        <v>46333</v>
      </c>
      <c r="I72" s="8" t="s">
        <v>61</v>
      </c>
      <c r="J72" s="8" t="s">
        <v>56</v>
      </c>
      <c r="K72" s="6">
        <v>159</v>
      </c>
      <c r="L72" s="8" t="s">
        <v>75</v>
      </c>
      <c r="M72" s="8" t="s">
        <v>3417</v>
      </c>
      <c r="N72" s="7">
        <v>46333</v>
      </c>
      <c r="O72" s="8" t="s">
        <v>2</v>
      </c>
      <c r="P72" s="8" t="s">
        <v>67</v>
      </c>
      <c r="Q72" s="8" t="s">
        <v>68</v>
      </c>
      <c r="R72" s="8" t="s">
        <v>69</v>
      </c>
      <c r="S72" s="8" t="s">
        <v>70</v>
      </c>
      <c r="T72" s="9">
        <v>1047</v>
      </c>
      <c r="U72" s="9">
        <v>50256</v>
      </c>
      <c r="V72" s="8" t="s">
        <v>3418</v>
      </c>
      <c r="W72" s="8">
        <v>59251.82</v>
      </c>
      <c r="X72" s="8">
        <v>9</v>
      </c>
      <c r="Y72" s="8">
        <v>4523.04</v>
      </c>
      <c r="Z72" s="8">
        <v>9</v>
      </c>
      <c r="AA72" s="8">
        <v>4523.04</v>
      </c>
      <c r="AB72" s="8">
        <v>0</v>
      </c>
      <c r="AC72" s="8">
        <v>0</v>
      </c>
      <c r="AD72" s="8">
        <v>0</v>
      </c>
      <c r="AE72" s="8">
        <v>9046.08</v>
      </c>
      <c r="AF72" s="8">
        <v>0</v>
      </c>
      <c r="AG72" s="8" t="s">
        <v>65</v>
      </c>
      <c r="AH72" s="8" t="s">
        <v>3</v>
      </c>
      <c r="AI72" s="8">
        <v>73063090</v>
      </c>
      <c r="AJ72" s="8" t="s">
        <v>60</v>
      </c>
      <c r="AK72" s="8">
        <v>1</v>
      </c>
      <c r="AL72" s="8">
        <v>1047</v>
      </c>
      <c r="AM72" s="8" t="s">
        <v>1940</v>
      </c>
    </row>
    <row r="73" spans="1:39" ht="12.75" customHeight="1">
      <c r="C73" s="347"/>
      <c r="D73" s="347"/>
      <c r="E73" s="347"/>
      <c r="F73" s="347"/>
      <c r="G73" s="347"/>
      <c r="H73" s="7">
        <v>46333</v>
      </c>
      <c r="I73" s="8" t="s">
        <v>61</v>
      </c>
      <c r="J73" s="8" t="s">
        <v>56</v>
      </c>
      <c r="K73" s="6">
        <v>160</v>
      </c>
      <c r="L73" s="8" t="s">
        <v>2231</v>
      </c>
      <c r="M73" s="8" t="s">
        <v>3419</v>
      </c>
      <c r="N73" s="7">
        <v>46333</v>
      </c>
      <c r="O73" s="8" t="s">
        <v>13</v>
      </c>
      <c r="P73" s="8" t="s">
        <v>71</v>
      </c>
      <c r="Q73" s="8" t="s">
        <v>71</v>
      </c>
      <c r="R73" s="8" t="s">
        <v>72</v>
      </c>
      <c r="S73" s="8" t="s">
        <v>22</v>
      </c>
      <c r="T73" s="9">
        <v>3493</v>
      </c>
      <c r="U73" s="9">
        <v>41916</v>
      </c>
      <c r="V73" s="8" t="s">
        <v>22</v>
      </c>
      <c r="W73" s="8">
        <v>50450.1</v>
      </c>
      <c r="X73" s="8">
        <v>9</v>
      </c>
      <c r="Y73" s="8">
        <v>3772.44</v>
      </c>
      <c r="Z73" s="8">
        <v>9</v>
      </c>
      <c r="AA73" s="8">
        <v>3772.44</v>
      </c>
      <c r="AB73" s="8">
        <v>0</v>
      </c>
      <c r="AC73" s="8">
        <v>0</v>
      </c>
      <c r="AD73" s="8">
        <v>0</v>
      </c>
      <c r="AE73" s="8">
        <v>7544.88</v>
      </c>
      <c r="AF73" s="8">
        <v>989.22</v>
      </c>
      <c r="AG73" s="8" t="s">
        <v>65</v>
      </c>
      <c r="AH73" s="8" t="s">
        <v>3</v>
      </c>
      <c r="AI73" s="8">
        <v>39159029</v>
      </c>
      <c r="AJ73" s="8" t="s">
        <v>60</v>
      </c>
      <c r="AK73" s="8">
        <v>1</v>
      </c>
      <c r="AL73" s="8">
        <v>3493</v>
      </c>
      <c r="AM73" s="8" t="s">
        <v>1940</v>
      </c>
    </row>
    <row r="74" spans="1:39" ht="12.75" customHeight="1">
      <c r="C74" s="347"/>
      <c r="D74" s="347"/>
      <c r="E74" s="347"/>
      <c r="F74" s="347"/>
      <c r="G74" s="347"/>
      <c r="H74" s="7">
        <v>46333</v>
      </c>
      <c r="I74" s="8" t="s">
        <v>61</v>
      </c>
      <c r="J74" s="8" t="s">
        <v>56</v>
      </c>
      <c r="K74" s="6">
        <v>161</v>
      </c>
      <c r="L74" s="8" t="s">
        <v>1698</v>
      </c>
      <c r="M74" s="8" t="s">
        <v>3420</v>
      </c>
      <c r="N74" s="7">
        <v>46333</v>
      </c>
      <c r="O74" s="8" t="s">
        <v>15</v>
      </c>
      <c r="P74" s="8" t="s">
        <v>57</v>
      </c>
      <c r="Q74" s="8" t="s">
        <v>57</v>
      </c>
      <c r="R74" s="8" t="s">
        <v>58</v>
      </c>
      <c r="S74" s="8" t="s">
        <v>14</v>
      </c>
      <c r="T74" s="9">
        <v>1421</v>
      </c>
      <c r="U74" s="9">
        <v>303980.32</v>
      </c>
      <c r="V74" s="8" t="s">
        <v>3396</v>
      </c>
      <c r="W74" s="8">
        <v>1869394.24</v>
      </c>
      <c r="X74" s="8">
        <v>9</v>
      </c>
      <c r="Y74" s="8">
        <v>27358.23</v>
      </c>
      <c r="Z74" s="8">
        <v>9</v>
      </c>
      <c r="AA74" s="8">
        <v>27358.23</v>
      </c>
      <c r="AB74" s="8">
        <v>0</v>
      </c>
      <c r="AC74" s="8">
        <v>0</v>
      </c>
      <c r="AD74" s="8">
        <v>0</v>
      </c>
      <c r="AE74" s="8">
        <v>54716.46</v>
      </c>
      <c r="AF74" s="8">
        <v>0</v>
      </c>
      <c r="AG74" s="8" t="s">
        <v>65</v>
      </c>
      <c r="AH74" s="8" t="s">
        <v>3</v>
      </c>
      <c r="AI74" s="8">
        <v>63053200</v>
      </c>
      <c r="AJ74" s="8" t="s">
        <v>60</v>
      </c>
      <c r="AK74" s="8">
        <v>1</v>
      </c>
      <c r="AL74" s="8">
        <v>1421</v>
      </c>
      <c r="AM74" s="8" t="s">
        <v>1940</v>
      </c>
    </row>
    <row r="75" spans="1:39" ht="12.75" customHeight="1">
      <c r="C75" s="347"/>
      <c r="D75" s="347"/>
      <c r="E75" s="347"/>
      <c r="F75" s="347"/>
      <c r="G75" s="347"/>
      <c r="H75" s="7">
        <v>46333</v>
      </c>
      <c r="I75" s="8" t="s">
        <v>61</v>
      </c>
      <c r="J75" s="8" t="s">
        <v>56</v>
      </c>
      <c r="K75" s="6">
        <v>161</v>
      </c>
      <c r="L75" s="8" t="s">
        <v>1698</v>
      </c>
      <c r="M75" s="8" t="s">
        <v>3420</v>
      </c>
      <c r="N75" s="7">
        <v>46333</v>
      </c>
      <c r="O75" s="8" t="s">
        <v>15</v>
      </c>
      <c r="P75" s="8" t="s">
        <v>57</v>
      </c>
      <c r="Q75" s="8" t="s">
        <v>57</v>
      </c>
      <c r="R75" s="8" t="s">
        <v>58</v>
      </c>
      <c r="S75" s="8" t="s">
        <v>14</v>
      </c>
      <c r="T75" s="9">
        <v>1725</v>
      </c>
      <c r="U75" s="9">
        <v>403339.5</v>
      </c>
      <c r="V75" s="8" t="s">
        <v>3421</v>
      </c>
      <c r="W75" s="8">
        <v>0</v>
      </c>
      <c r="X75" s="8">
        <v>9</v>
      </c>
      <c r="Y75" s="8">
        <v>36300.559999999998</v>
      </c>
      <c r="Z75" s="8">
        <v>9</v>
      </c>
      <c r="AA75" s="8">
        <v>36300.559999999998</v>
      </c>
      <c r="AB75" s="8">
        <v>0</v>
      </c>
      <c r="AC75" s="8">
        <v>0</v>
      </c>
      <c r="AD75" s="8">
        <v>0</v>
      </c>
      <c r="AE75" s="8">
        <v>72601.119999999995</v>
      </c>
      <c r="AF75" s="8">
        <v>0</v>
      </c>
      <c r="AG75" s="8" t="s">
        <v>65</v>
      </c>
      <c r="AH75" s="8" t="s">
        <v>3</v>
      </c>
      <c r="AI75" s="8">
        <v>63053200</v>
      </c>
      <c r="AJ75" s="8" t="s">
        <v>60</v>
      </c>
      <c r="AK75" s="8">
        <v>1</v>
      </c>
      <c r="AL75" s="8">
        <v>1725</v>
      </c>
      <c r="AM75" s="8" t="s">
        <v>1940</v>
      </c>
    </row>
    <row r="76" spans="1:39" ht="12.75" customHeight="1">
      <c r="C76" s="347"/>
      <c r="D76" s="347"/>
      <c r="E76" s="347"/>
      <c r="F76" s="347"/>
      <c r="G76" s="347"/>
      <c r="H76" s="396">
        <v>46333</v>
      </c>
      <c r="I76" s="347" t="s">
        <v>61</v>
      </c>
      <c r="J76" s="347" t="s">
        <v>56</v>
      </c>
      <c r="K76" s="10">
        <v>161</v>
      </c>
      <c r="L76" s="347" t="s">
        <v>1698</v>
      </c>
      <c r="M76" s="347" t="s">
        <v>3420</v>
      </c>
      <c r="N76" s="396">
        <v>46333</v>
      </c>
      <c r="O76" s="347" t="s">
        <v>15</v>
      </c>
      <c r="P76" s="347" t="s">
        <v>57</v>
      </c>
      <c r="Q76" s="347" t="s">
        <v>57</v>
      </c>
      <c r="R76" s="8" t="s">
        <v>58</v>
      </c>
      <c r="S76" s="8" t="s">
        <v>16</v>
      </c>
      <c r="T76" s="350">
        <v>4532</v>
      </c>
      <c r="U76" s="350">
        <v>878256.28</v>
      </c>
      <c r="V76" s="347" t="s">
        <v>2611</v>
      </c>
      <c r="W76" s="347">
        <v>0</v>
      </c>
      <c r="X76" s="347">
        <v>9</v>
      </c>
      <c r="Y76" s="347">
        <v>79043.070000000007</v>
      </c>
      <c r="Z76" s="347">
        <v>9</v>
      </c>
      <c r="AA76" s="347">
        <v>79043.070000000007</v>
      </c>
      <c r="AB76" s="347">
        <v>0</v>
      </c>
      <c r="AC76" s="347">
        <v>0</v>
      </c>
      <c r="AD76" s="347">
        <v>0</v>
      </c>
      <c r="AE76" s="347">
        <v>158086.14000000001</v>
      </c>
      <c r="AF76" s="347">
        <v>0</v>
      </c>
      <c r="AG76" s="347" t="s">
        <v>65</v>
      </c>
      <c r="AH76" s="347" t="s">
        <v>3</v>
      </c>
      <c r="AI76" s="347">
        <v>63053200</v>
      </c>
      <c r="AJ76" s="347" t="s">
        <v>60</v>
      </c>
      <c r="AK76" s="347">
        <v>1</v>
      </c>
      <c r="AL76" s="347">
        <v>4532</v>
      </c>
      <c r="AM76" s="8" t="s">
        <v>1940</v>
      </c>
    </row>
    <row r="77" spans="1:39" ht="12.75" customHeight="1">
      <c r="C77" s="347"/>
      <c r="D77" s="347"/>
      <c r="E77" s="347"/>
      <c r="F77" s="347"/>
      <c r="G77" s="347"/>
      <c r="H77" s="347" t="s">
        <v>2996</v>
      </c>
      <c r="I77" s="347" t="s">
        <v>2306</v>
      </c>
      <c r="J77" s="347" t="s">
        <v>2242</v>
      </c>
      <c r="K77" s="10" t="s">
        <v>3422</v>
      </c>
      <c r="L77" s="347" t="s">
        <v>2693</v>
      </c>
      <c r="M77" s="347" t="s">
        <v>3422</v>
      </c>
      <c r="N77" s="347" t="s">
        <v>2996</v>
      </c>
      <c r="O77" s="347" t="s">
        <v>15</v>
      </c>
      <c r="P77" s="347" t="s">
        <v>57</v>
      </c>
      <c r="Q77" s="347" t="s">
        <v>57</v>
      </c>
      <c r="R77" s="8" t="s">
        <v>58</v>
      </c>
      <c r="S77" s="8" t="s">
        <v>14</v>
      </c>
      <c r="T77" s="350">
        <v>18757</v>
      </c>
      <c r="U77" s="350">
        <v>4084080</v>
      </c>
      <c r="V77" s="347" t="s">
        <v>2307</v>
      </c>
      <c r="W77" s="347">
        <v>4476780</v>
      </c>
      <c r="X77" s="347">
        <v>0</v>
      </c>
      <c r="Y77" s="347">
        <v>0</v>
      </c>
      <c r="Z77" s="347">
        <v>0</v>
      </c>
      <c r="AA77" s="347">
        <v>0</v>
      </c>
      <c r="AB77" s="347">
        <v>0</v>
      </c>
      <c r="AC77" s="347">
        <v>0</v>
      </c>
      <c r="AD77" s="347">
        <v>0</v>
      </c>
      <c r="AE77" s="347">
        <v>0</v>
      </c>
      <c r="AF77" s="347">
        <v>0</v>
      </c>
      <c r="AG77" s="347" t="s">
        <v>2279</v>
      </c>
      <c r="AH77" s="347" t="s">
        <v>3</v>
      </c>
      <c r="AI77" s="347">
        <v>63053200</v>
      </c>
      <c r="AJ77" s="347" t="s">
        <v>2243</v>
      </c>
      <c r="AK77" s="347">
        <v>93.5</v>
      </c>
      <c r="AL77" s="347">
        <v>18757</v>
      </c>
      <c r="AM77" s="8" t="s">
        <v>2308</v>
      </c>
    </row>
    <row r="78" spans="1:39" ht="12.75" customHeight="1">
      <c r="C78" s="347"/>
      <c r="D78" s="347"/>
      <c r="E78" s="347"/>
      <c r="F78" s="347"/>
      <c r="G78" s="347"/>
      <c r="H78" s="347" t="s">
        <v>3013</v>
      </c>
      <c r="I78" s="347" t="s">
        <v>66</v>
      </c>
      <c r="J78" s="347" t="s">
        <v>2242</v>
      </c>
      <c r="K78" s="10" t="s">
        <v>3423</v>
      </c>
      <c r="L78" s="347" t="s">
        <v>2692</v>
      </c>
      <c r="M78" s="347" t="s">
        <v>3423</v>
      </c>
      <c r="N78" s="347" t="s">
        <v>3013</v>
      </c>
      <c r="O78" s="347" t="s">
        <v>15</v>
      </c>
      <c r="P78" s="347" t="s">
        <v>57</v>
      </c>
      <c r="Q78" s="347" t="s">
        <v>57</v>
      </c>
      <c r="R78" s="8" t="s">
        <v>58</v>
      </c>
      <c r="S78" s="8" t="s">
        <v>14</v>
      </c>
      <c r="T78" s="350">
        <v>3974</v>
      </c>
      <c r="U78" s="350">
        <v>833652.55</v>
      </c>
      <c r="V78" s="347" t="s">
        <v>3424</v>
      </c>
      <c r="W78" s="347">
        <v>2056898.09</v>
      </c>
      <c r="X78" s="347">
        <v>0</v>
      </c>
      <c r="Y78" s="347">
        <v>0</v>
      </c>
      <c r="Z78" s="347">
        <v>0</v>
      </c>
      <c r="AA78" s="347">
        <v>0</v>
      </c>
      <c r="AB78" s="347">
        <v>0</v>
      </c>
      <c r="AC78" s="347">
        <v>0</v>
      </c>
      <c r="AD78" s="347">
        <v>0</v>
      </c>
      <c r="AE78" s="347">
        <v>0</v>
      </c>
      <c r="AF78" s="347">
        <v>0</v>
      </c>
      <c r="AG78" s="347" t="s">
        <v>3425</v>
      </c>
      <c r="AH78" s="347" t="s">
        <v>3</v>
      </c>
      <c r="AI78" s="347">
        <v>63053200</v>
      </c>
      <c r="AJ78" s="347" t="s">
        <v>2243</v>
      </c>
      <c r="AK78" s="347">
        <v>93.5</v>
      </c>
      <c r="AL78" s="347">
        <v>3974</v>
      </c>
      <c r="AM78" s="8" t="s">
        <v>1940</v>
      </c>
    </row>
    <row r="79" spans="1:39" ht="12.75" customHeight="1">
      <c r="C79" s="347"/>
      <c r="D79" s="347"/>
      <c r="E79" s="347"/>
      <c r="F79" s="347"/>
      <c r="G79" s="347"/>
      <c r="H79" s="347" t="s">
        <v>3013</v>
      </c>
      <c r="I79" s="347" t="s">
        <v>66</v>
      </c>
      <c r="J79" s="347" t="s">
        <v>2242</v>
      </c>
      <c r="K79" s="10" t="s">
        <v>3423</v>
      </c>
      <c r="L79" s="347" t="s">
        <v>2692</v>
      </c>
      <c r="M79" s="347" t="s">
        <v>3423</v>
      </c>
      <c r="N79" s="347" t="s">
        <v>3013</v>
      </c>
      <c r="O79" s="347" t="s">
        <v>15</v>
      </c>
      <c r="P79" s="347" t="s">
        <v>57</v>
      </c>
      <c r="Q79" s="347" t="s">
        <v>57</v>
      </c>
      <c r="R79" s="8" t="s">
        <v>58</v>
      </c>
      <c r="S79" s="8" t="s">
        <v>16</v>
      </c>
      <c r="T79" s="350">
        <v>4993</v>
      </c>
      <c r="U79" s="350">
        <v>1047414.12</v>
      </c>
      <c r="V79" s="347" t="s">
        <v>3424</v>
      </c>
      <c r="W79" s="347">
        <v>0</v>
      </c>
      <c r="X79" s="347">
        <v>0</v>
      </c>
      <c r="Y79" s="347">
        <v>0</v>
      </c>
      <c r="Z79" s="347">
        <v>0</v>
      </c>
      <c r="AA79" s="347">
        <v>0</v>
      </c>
      <c r="AB79" s="347">
        <v>0</v>
      </c>
      <c r="AC79" s="347">
        <v>0</v>
      </c>
      <c r="AD79" s="347">
        <v>0</v>
      </c>
      <c r="AE79" s="347">
        <v>0</v>
      </c>
      <c r="AF79" s="347">
        <v>0</v>
      </c>
      <c r="AG79" s="347" t="s">
        <v>3425</v>
      </c>
      <c r="AH79" s="347" t="s">
        <v>3</v>
      </c>
      <c r="AI79" s="347">
        <v>63053200</v>
      </c>
      <c r="AJ79" s="347" t="s">
        <v>2243</v>
      </c>
      <c r="AK79" s="347">
        <v>93.5</v>
      </c>
      <c r="AL79" s="347">
        <v>4993</v>
      </c>
      <c r="AM79" s="8" t="s">
        <v>1940</v>
      </c>
    </row>
    <row r="80" spans="1:39" ht="12.75" customHeight="1">
      <c r="C80" s="347"/>
      <c r="D80" s="347"/>
      <c r="E80" s="347"/>
      <c r="F80" s="347"/>
      <c r="G80" s="347"/>
      <c r="H80" s="347" t="s">
        <v>3013</v>
      </c>
      <c r="I80" s="347" t="s">
        <v>66</v>
      </c>
      <c r="J80" s="347" t="s">
        <v>2242</v>
      </c>
      <c r="K80" s="10" t="s">
        <v>3423</v>
      </c>
      <c r="L80" s="347" t="s">
        <v>2692</v>
      </c>
      <c r="M80" s="347" t="s">
        <v>3423</v>
      </c>
      <c r="N80" s="347" t="s">
        <v>3013</v>
      </c>
      <c r="O80" s="347" t="s">
        <v>15</v>
      </c>
      <c r="P80" s="347" t="s">
        <v>57</v>
      </c>
      <c r="Q80" s="347" t="s">
        <v>57</v>
      </c>
      <c r="R80" s="347" t="s">
        <v>58</v>
      </c>
      <c r="S80" s="347" t="s">
        <v>16</v>
      </c>
      <c r="T80" s="350">
        <v>848</v>
      </c>
      <c r="U80" s="350">
        <v>177890.3</v>
      </c>
      <c r="V80" s="347" t="s">
        <v>3424</v>
      </c>
      <c r="W80" s="347">
        <v>0</v>
      </c>
      <c r="X80" s="347">
        <v>0</v>
      </c>
      <c r="Y80" s="347">
        <v>0</v>
      </c>
      <c r="Z80" s="347">
        <v>0</v>
      </c>
      <c r="AA80" s="347">
        <v>0</v>
      </c>
      <c r="AB80" s="347">
        <v>0</v>
      </c>
      <c r="AC80" s="347">
        <v>0</v>
      </c>
      <c r="AD80" s="347">
        <v>0</v>
      </c>
      <c r="AE80" s="347">
        <v>0</v>
      </c>
      <c r="AF80" s="347">
        <v>0</v>
      </c>
      <c r="AG80" s="347" t="s">
        <v>3425</v>
      </c>
      <c r="AH80" s="347" t="s">
        <v>3</v>
      </c>
      <c r="AI80" s="347">
        <v>63053200</v>
      </c>
      <c r="AJ80" s="347" t="s">
        <v>2243</v>
      </c>
      <c r="AK80" s="347">
        <v>93.5</v>
      </c>
      <c r="AL80" s="347">
        <v>848</v>
      </c>
      <c r="AM80" s="8" t="s">
        <v>1940</v>
      </c>
    </row>
    <row r="81" spans="7:39" ht="12.75" customHeight="1">
      <c r="G81" s="347"/>
      <c r="H81" s="347" t="s">
        <v>3013</v>
      </c>
      <c r="I81" s="347" t="s">
        <v>232</v>
      </c>
      <c r="J81" s="347" t="s">
        <v>2542</v>
      </c>
      <c r="K81" s="10" t="s">
        <v>3426</v>
      </c>
      <c r="L81" s="347" t="s">
        <v>2612</v>
      </c>
      <c r="M81" s="347" t="s">
        <v>3426</v>
      </c>
      <c r="N81" s="347" t="s">
        <v>3013</v>
      </c>
      <c r="O81" s="347" t="s">
        <v>5</v>
      </c>
      <c r="P81" s="347" t="s">
        <v>5</v>
      </c>
      <c r="Q81" s="347" t="s">
        <v>5</v>
      </c>
      <c r="R81" s="8" t="s">
        <v>69</v>
      </c>
      <c r="S81" s="8" t="s">
        <v>2602</v>
      </c>
      <c r="T81" s="350">
        <v>50</v>
      </c>
      <c r="U81" s="350">
        <v>16000</v>
      </c>
      <c r="V81" s="347" t="s">
        <v>2602</v>
      </c>
      <c r="W81" s="347">
        <v>15984</v>
      </c>
      <c r="X81" s="347"/>
      <c r="Y81" s="347">
        <v>0</v>
      </c>
      <c r="Z81" s="347"/>
      <c r="AA81" s="347">
        <v>0</v>
      </c>
      <c r="AB81" s="347"/>
      <c r="AC81" s="347">
        <v>0</v>
      </c>
      <c r="AD81" s="347">
        <v>0</v>
      </c>
      <c r="AE81" s="347">
        <v>0</v>
      </c>
      <c r="AF81" s="347">
        <v>0</v>
      </c>
      <c r="AG81" s="347" t="s">
        <v>2543</v>
      </c>
      <c r="AH81" s="347" t="s">
        <v>3</v>
      </c>
      <c r="AI81" s="347">
        <v>35069999</v>
      </c>
      <c r="AJ81" s="347" t="s">
        <v>60</v>
      </c>
      <c r="AK81" s="347">
        <v>1</v>
      </c>
      <c r="AL81" s="347">
        <v>50</v>
      </c>
      <c r="AM81" s="8" t="s">
        <v>1940</v>
      </c>
    </row>
    <row r="82" spans="7:39" ht="12.75" customHeight="1">
      <c r="G82" s="347"/>
      <c r="H82" s="347" t="s">
        <v>3013</v>
      </c>
      <c r="I82" s="347" t="s">
        <v>61</v>
      </c>
      <c r="J82" s="347" t="s">
        <v>56</v>
      </c>
      <c r="K82" s="10">
        <v>162</v>
      </c>
      <c r="L82" s="347" t="s">
        <v>2231</v>
      </c>
      <c r="M82" s="347" t="s">
        <v>3427</v>
      </c>
      <c r="N82" s="347" t="s">
        <v>3013</v>
      </c>
      <c r="O82" s="347" t="s">
        <v>13</v>
      </c>
      <c r="P82" s="347" t="s">
        <v>71</v>
      </c>
      <c r="Q82" s="347" t="s">
        <v>71</v>
      </c>
      <c r="R82" s="8" t="s">
        <v>72</v>
      </c>
      <c r="S82" s="8" t="s">
        <v>22</v>
      </c>
      <c r="T82" s="350">
        <v>2902</v>
      </c>
      <c r="U82" s="350">
        <v>34824</v>
      </c>
      <c r="V82" s="347" t="s">
        <v>22</v>
      </c>
      <c r="W82" s="347">
        <v>41914.17</v>
      </c>
      <c r="X82" s="347">
        <v>9</v>
      </c>
      <c r="Y82" s="347">
        <v>3134.16</v>
      </c>
      <c r="Z82" s="347">
        <v>9</v>
      </c>
      <c r="AA82" s="347">
        <v>3134.16</v>
      </c>
      <c r="AB82" s="347">
        <v>0</v>
      </c>
      <c r="AC82" s="347">
        <v>0</v>
      </c>
      <c r="AD82" s="347">
        <v>0</v>
      </c>
      <c r="AE82" s="347">
        <v>6268.32</v>
      </c>
      <c r="AF82" s="347">
        <v>821.85</v>
      </c>
      <c r="AG82" s="347" t="s">
        <v>65</v>
      </c>
      <c r="AH82" s="347" t="s">
        <v>3</v>
      </c>
      <c r="AI82" s="347">
        <v>39159029</v>
      </c>
      <c r="AJ82" s="347" t="s">
        <v>60</v>
      </c>
      <c r="AK82" s="347">
        <v>1</v>
      </c>
      <c r="AL82" s="347">
        <v>2902</v>
      </c>
      <c r="AM82" s="8" t="s">
        <v>1940</v>
      </c>
    </row>
    <row r="83" spans="7:39" ht="12.75" customHeight="1">
      <c r="G83" s="347"/>
      <c r="H83" s="347" t="s">
        <v>3013</v>
      </c>
      <c r="I83" s="347" t="s">
        <v>61</v>
      </c>
      <c r="J83" s="347" t="s">
        <v>56</v>
      </c>
      <c r="K83" s="10">
        <v>163</v>
      </c>
      <c r="L83" s="347" t="s">
        <v>75</v>
      </c>
      <c r="M83" s="347" t="s">
        <v>3428</v>
      </c>
      <c r="N83" s="347" t="s">
        <v>3013</v>
      </c>
      <c r="O83" s="347" t="s">
        <v>15</v>
      </c>
      <c r="P83" s="347" t="s">
        <v>2117</v>
      </c>
      <c r="Q83" s="347" t="s">
        <v>2117</v>
      </c>
      <c r="R83" s="347" t="s">
        <v>2117</v>
      </c>
      <c r="S83" s="8" t="s">
        <v>64</v>
      </c>
      <c r="T83" s="350">
        <v>2018</v>
      </c>
      <c r="U83" s="350">
        <v>56504</v>
      </c>
      <c r="V83" s="347" t="s">
        <v>2440</v>
      </c>
      <c r="W83" s="347">
        <v>66618.22</v>
      </c>
      <c r="X83" s="347">
        <v>9</v>
      </c>
      <c r="Y83" s="347">
        <v>5085.3599999999997</v>
      </c>
      <c r="Z83" s="347">
        <v>9</v>
      </c>
      <c r="AA83" s="347">
        <v>5085.3599999999997</v>
      </c>
      <c r="AB83" s="347">
        <v>0</v>
      </c>
      <c r="AC83" s="347">
        <v>0</v>
      </c>
      <c r="AD83" s="347">
        <v>0</v>
      </c>
      <c r="AE83" s="347">
        <v>10170.719999999999</v>
      </c>
      <c r="AF83" s="347">
        <v>0</v>
      </c>
      <c r="AG83" s="347" t="s">
        <v>65</v>
      </c>
      <c r="AH83" s="347" t="s">
        <v>3</v>
      </c>
      <c r="AI83" s="347">
        <v>39269080</v>
      </c>
      <c r="AJ83" s="347" t="s">
        <v>60</v>
      </c>
      <c r="AK83" s="347">
        <v>1</v>
      </c>
      <c r="AL83" s="347">
        <v>2018</v>
      </c>
      <c r="AM83" s="8" t="s">
        <v>1940</v>
      </c>
    </row>
    <row r="84" spans="7:39" ht="12.75" customHeight="1">
      <c r="G84" s="347"/>
      <c r="H84" s="347" t="s">
        <v>3033</v>
      </c>
      <c r="I84" s="347" t="s">
        <v>61</v>
      </c>
      <c r="J84" s="347" t="s">
        <v>56</v>
      </c>
      <c r="K84" s="10">
        <v>164</v>
      </c>
      <c r="L84" s="347" t="s">
        <v>1698</v>
      </c>
      <c r="M84" s="347" t="s">
        <v>3429</v>
      </c>
      <c r="N84" s="347" t="s">
        <v>3033</v>
      </c>
      <c r="O84" s="347" t="s">
        <v>15</v>
      </c>
      <c r="P84" s="347" t="s">
        <v>57</v>
      </c>
      <c r="Q84" s="347" t="s">
        <v>57</v>
      </c>
      <c r="R84" s="8" t="s">
        <v>58</v>
      </c>
      <c r="S84" s="8" t="s">
        <v>16</v>
      </c>
      <c r="T84" s="350">
        <v>893</v>
      </c>
      <c r="U84" s="350">
        <v>191235.95</v>
      </c>
      <c r="V84" s="347" t="s">
        <v>2611</v>
      </c>
      <c r="W84" s="347">
        <v>1697947.08</v>
      </c>
      <c r="X84" s="347">
        <v>9</v>
      </c>
      <c r="Y84" s="347">
        <v>17211.240000000002</v>
      </c>
      <c r="Z84" s="347">
        <v>9</v>
      </c>
      <c r="AA84" s="347">
        <v>17211.240000000002</v>
      </c>
      <c r="AB84" s="347">
        <v>0</v>
      </c>
      <c r="AC84" s="347">
        <v>0</v>
      </c>
      <c r="AD84" s="347">
        <v>0</v>
      </c>
      <c r="AE84" s="347">
        <v>34422.480000000003</v>
      </c>
      <c r="AF84" s="347">
        <v>0</v>
      </c>
      <c r="AG84" s="347" t="s">
        <v>65</v>
      </c>
      <c r="AH84" s="347" t="s">
        <v>3</v>
      </c>
      <c r="AI84" s="347">
        <v>63053200</v>
      </c>
      <c r="AJ84" s="347" t="s">
        <v>60</v>
      </c>
      <c r="AK84" s="347">
        <v>1</v>
      </c>
      <c r="AL84" s="347">
        <v>893</v>
      </c>
      <c r="AM84" s="8" t="s">
        <v>1940</v>
      </c>
    </row>
    <row r="85" spans="7:39" ht="12.75" customHeight="1">
      <c r="G85" s="347"/>
      <c r="H85" s="347" t="s">
        <v>3033</v>
      </c>
      <c r="I85" s="347" t="s">
        <v>61</v>
      </c>
      <c r="J85" s="347" t="s">
        <v>56</v>
      </c>
      <c r="K85" s="10">
        <v>164</v>
      </c>
      <c r="L85" s="347" t="s">
        <v>1698</v>
      </c>
      <c r="M85" s="347" t="s">
        <v>3429</v>
      </c>
      <c r="N85" s="347" t="s">
        <v>3033</v>
      </c>
      <c r="O85" s="347" t="s">
        <v>15</v>
      </c>
      <c r="P85" s="347" t="s">
        <v>57</v>
      </c>
      <c r="Q85" s="347" t="s">
        <v>57</v>
      </c>
      <c r="R85" s="8" t="s">
        <v>58</v>
      </c>
      <c r="S85" s="8" t="s">
        <v>16</v>
      </c>
      <c r="T85" s="350">
        <v>1795</v>
      </c>
      <c r="U85" s="350">
        <v>382370.9</v>
      </c>
      <c r="V85" s="347" t="s">
        <v>2611</v>
      </c>
      <c r="W85" s="347">
        <v>0</v>
      </c>
      <c r="X85" s="347">
        <v>9</v>
      </c>
      <c r="Y85" s="347">
        <v>34413.379999999997</v>
      </c>
      <c r="Z85" s="347">
        <v>9</v>
      </c>
      <c r="AA85" s="347">
        <v>34413.379999999997</v>
      </c>
      <c r="AB85" s="347">
        <v>0</v>
      </c>
      <c r="AC85" s="347">
        <v>0</v>
      </c>
      <c r="AD85" s="347">
        <v>0</v>
      </c>
      <c r="AE85" s="347">
        <v>68826.759999999995</v>
      </c>
      <c r="AF85" s="347">
        <v>0</v>
      </c>
      <c r="AG85" s="347" t="s">
        <v>65</v>
      </c>
      <c r="AH85" s="347" t="s">
        <v>3</v>
      </c>
      <c r="AI85" s="347">
        <v>63053200</v>
      </c>
      <c r="AJ85" s="347" t="s">
        <v>60</v>
      </c>
      <c r="AK85" s="347">
        <v>1</v>
      </c>
      <c r="AL85" s="347">
        <v>1795</v>
      </c>
      <c r="AM85" s="8" t="s">
        <v>1940</v>
      </c>
    </row>
    <row r="86" spans="7:39" ht="12.75" customHeight="1">
      <c r="G86" s="347"/>
      <c r="H86" s="347" t="s">
        <v>3033</v>
      </c>
      <c r="I86" s="347" t="s">
        <v>61</v>
      </c>
      <c r="J86" s="347" t="s">
        <v>56</v>
      </c>
      <c r="K86" s="10">
        <v>164</v>
      </c>
      <c r="L86" s="347" t="s">
        <v>1698</v>
      </c>
      <c r="M86" s="347" t="s">
        <v>3429</v>
      </c>
      <c r="N86" s="347" t="s">
        <v>3033</v>
      </c>
      <c r="O86" s="347" t="s">
        <v>15</v>
      </c>
      <c r="P86" s="347" t="s">
        <v>57</v>
      </c>
      <c r="Q86" s="347" t="s">
        <v>57</v>
      </c>
      <c r="R86" s="347" t="s">
        <v>58</v>
      </c>
      <c r="S86" s="347" t="s">
        <v>16</v>
      </c>
      <c r="T86" s="350">
        <v>1006</v>
      </c>
      <c r="U86" s="350">
        <v>195184.12</v>
      </c>
      <c r="V86" s="347" t="s">
        <v>2611</v>
      </c>
      <c r="W86" s="347">
        <v>0</v>
      </c>
      <c r="X86" s="347">
        <v>9</v>
      </c>
      <c r="Y86" s="347">
        <v>17566.57</v>
      </c>
      <c r="Z86" s="347">
        <v>9</v>
      </c>
      <c r="AA86" s="347">
        <v>17566.57</v>
      </c>
      <c r="AB86" s="347">
        <v>0</v>
      </c>
      <c r="AC86" s="347">
        <v>0</v>
      </c>
      <c r="AD86" s="347">
        <v>0</v>
      </c>
      <c r="AE86" s="347">
        <v>35133.14</v>
      </c>
      <c r="AF86" s="347">
        <v>0</v>
      </c>
      <c r="AG86" s="347" t="s">
        <v>65</v>
      </c>
      <c r="AH86" s="347" t="s">
        <v>3</v>
      </c>
      <c r="AI86" s="347">
        <v>63053200</v>
      </c>
      <c r="AJ86" s="347" t="s">
        <v>60</v>
      </c>
      <c r="AK86" s="347">
        <v>1</v>
      </c>
      <c r="AL86" s="347">
        <v>1006</v>
      </c>
      <c r="AM86" s="8" t="s">
        <v>1940</v>
      </c>
    </row>
    <row r="87" spans="7:39" ht="12.75" customHeight="1">
      <c r="G87" s="347"/>
      <c r="H87" s="8" t="s">
        <v>3033</v>
      </c>
      <c r="I87" s="8" t="s">
        <v>61</v>
      </c>
      <c r="J87" s="8" t="s">
        <v>56</v>
      </c>
      <c r="K87" s="6">
        <v>164</v>
      </c>
      <c r="L87" s="8" t="s">
        <v>1698</v>
      </c>
      <c r="M87" s="8" t="s">
        <v>3429</v>
      </c>
      <c r="N87" s="8" t="s">
        <v>3033</v>
      </c>
      <c r="O87" s="8" t="s">
        <v>15</v>
      </c>
      <c r="P87" s="8" t="s">
        <v>57</v>
      </c>
      <c r="Q87" s="8" t="s">
        <v>57</v>
      </c>
      <c r="R87" s="8" t="s">
        <v>58</v>
      </c>
      <c r="S87" s="8" t="s">
        <v>16</v>
      </c>
      <c r="T87" s="9">
        <v>504</v>
      </c>
      <c r="U87" s="9">
        <v>100638.72</v>
      </c>
      <c r="V87" s="8" t="s">
        <v>2611</v>
      </c>
      <c r="W87" s="8">
        <v>0</v>
      </c>
      <c r="X87" s="8">
        <v>9</v>
      </c>
      <c r="Y87" s="8">
        <v>9057.48</v>
      </c>
      <c r="Z87" s="8">
        <v>9</v>
      </c>
      <c r="AA87" s="8">
        <v>9057.48</v>
      </c>
      <c r="AB87" s="8">
        <v>0</v>
      </c>
      <c r="AC87" s="8">
        <v>0</v>
      </c>
      <c r="AD87" s="8">
        <v>0</v>
      </c>
      <c r="AE87" s="8">
        <v>18114.96</v>
      </c>
      <c r="AF87" s="8">
        <v>0</v>
      </c>
      <c r="AG87" s="8" t="s">
        <v>65</v>
      </c>
      <c r="AH87" s="8" t="s">
        <v>3</v>
      </c>
      <c r="AI87" s="8">
        <v>63053200</v>
      </c>
      <c r="AJ87" s="8" t="s">
        <v>60</v>
      </c>
      <c r="AK87" s="8">
        <v>1</v>
      </c>
      <c r="AL87" s="8">
        <v>504</v>
      </c>
      <c r="AM87" s="8" t="s">
        <v>1940</v>
      </c>
    </row>
    <row r="88" spans="7:39" ht="12.75" customHeight="1">
      <c r="G88" s="347"/>
      <c r="H88" s="8" t="s">
        <v>3033</v>
      </c>
      <c r="I88" s="8" t="s">
        <v>61</v>
      </c>
      <c r="J88" s="8" t="s">
        <v>56</v>
      </c>
      <c r="K88" s="6">
        <v>164</v>
      </c>
      <c r="L88" s="8" t="s">
        <v>1698</v>
      </c>
      <c r="M88" s="8" t="s">
        <v>3429</v>
      </c>
      <c r="N88" s="8" t="s">
        <v>3033</v>
      </c>
      <c r="O88" s="8" t="s">
        <v>15</v>
      </c>
      <c r="P88" s="8" t="s">
        <v>57</v>
      </c>
      <c r="Q88" s="8" t="s">
        <v>57</v>
      </c>
      <c r="R88" s="8" t="s">
        <v>58</v>
      </c>
      <c r="S88" s="8" t="s">
        <v>16</v>
      </c>
      <c r="T88" s="9">
        <v>448</v>
      </c>
      <c r="U88" s="9">
        <v>92848</v>
      </c>
      <c r="V88" s="8" t="s">
        <v>2611</v>
      </c>
      <c r="W88" s="8">
        <v>0</v>
      </c>
      <c r="X88" s="8">
        <v>9</v>
      </c>
      <c r="Y88" s="8">
        <v>8356.32</v>
      </c>
      <c r="Z88" s="8">
        <v>9</v>
      </c>
      <c r="AA88" s="8">
        <v>8356.32</v>
      </c>
      <c r="AB88" s="8">
        <v>0</v>
      </c>
      <c r="AC88" s="8">
        <v>0</v>
      </c>
      <c r="AD88" s="8">
        <v>0</v>
      </c>
      <c r="AE88" s="8">
        <v>16712.64</v>
      </c>
      <c r="AF88" s="8">
        <v>0</v>
      </c>
      <c r="AG88" s="8" t="s">
        <v>65</v>
      </c>
      <c r="AH88" s="8" t="s">
        <v>3</v>
      </c>
      <c r="AI88" s="8">
        <v>63053200</v>
      </c>
      <c r="AJ88" s="8" t="s">
        <v>60</v>
      </c>
      <c r="AK88" s="8">
        <v>1</v>
      </c>
      <c r="AL88" s="8">
        <v>448</v>
      </c>
      <c r="AM88" s="8" t="s">
        <v>1940</v>
      </c>
    </row>
    <row r="89" spans="7:39" ht="12.75" customHeight="1">
      <c r="G89" s="347"/>
      <c r="H89" s="7" t="s">
        <v>3033</v>
      </c>
      <c r="I89" s="8" t="s">
        <v>61</v>
      </c>
      <c r="J89" s="8" t="s">
        <v>56</v>
      </c>
      <c r="K89" s="6">
        <v>164</v>
      </c>
      <c r="L89" s="8" t="s">
        <v>1698</v>
      </c>
      <c r="M89" s="8" t="s">
        <v>3429</v>
      </c>
      <c r="N89" s="7" t="s">
        <v>3033</v>
      </c>
      <c r="O89" s="8" t="s">
        <v>15</v>
      </c>
      <c r="P89" s="8" t="s">
        <v>57</v>
      </c>
      <c r="Q89" s="8" t="s">
        <v>57</v>
      </c>
      <c r="R89" s="8" t="s">
        <v>58</v>
      </c>
      <c r="S89" s="8" t="s">
        <v>16</v>
      </c>
      <c r="T89" s="9">
        <v>450</v>
      </c>
      <c r="U89" s="9">
        <v>95575.5</v>
      </c>
      <c r="V89" s="8" t="s">
        <v>2611</v>
      </c>
      <c r="W89" s="8">
        <v>0</v>
      </c>
      <c r="X89" s="8">
        <v>9</v>
      </c>
      <c r="Y89" s="8">
        <v>8601.7999999999993</v>
      </c>
      <c r="Z89" s="8">
        <v>9</v>
      </c>
      <c r="AA89" s="8">
        <v>8601.7999999999993</v>
      </c>
      <c r="AB89" s="8">
        <v>0</v>
      </c>
      <c r="AC89" s="8">
        <v>0</v>
      </c>
      <c r="AD89" s="8">
        <v>0</v>
      </c>
      <c r="AE89" s="8">
        <v>17203.599999999999</v>
      </c>
      <c r="AF89" s="8">
        <v>0</v>
      </c>
      <c r="AG89" s="8" t="s">
        <v>65</v>
      </c>
      <c r="AH89" s="8" t="s">
        <v>3</v>
      </c>
      <c r="AI89" s="8">
        <v>63053200</v>
      </c>
      <c r="AJ89" s="8" t="s">
        <v>60</v>
      </c>
      <c r="AK89" s="8">
        <v>1</v>
      </c>
      <c r="AL89" s="8">
        <v>450</v>
      </c>
      <c r="AM89" s="8" t="s">
        <v>1940</v>
      </c>
    </row>
    <row r="90" spans="7:39" ht="12.75" customHeight="1">
      <c r="G90" s="347"/>
      <c r="H90" s="7" t="s">
        <v>3033</v>
      </c>
      <c r="I90" s="8" t="s">
        <v>61</v>
      </c>
      <c r="J90" s="8" t="s">
        <v>56</v>
      </c>
      <c r="K90" s="6">
        <v>164</v>
      </c>
      <c r="L90" s="8" t="s">
        <v>1698</v>
      </c>
      <c r="M90" s="8" t="s">
        <v>3429</v>
      </c>
      <c r="N90" s="7" t="s">
        <v>3033</v>
      </c>
      <c r="O90" s="8" t="s">
        <v>15</v>
      </c>
      <c r="P90" s="8" t="s">
        <v>57</v>
      </c>
      <c r="Q90" s="8" t="s">
        <v>57</v>
      </c>
      <c r="R90" s="8" t="s">
        <v>58</v>
      </c>
      <c r="S90" s="8" t="s">
        <v>16</v>
      </c>
      <c r="T90" s="9">
        <v>1799</v>
      </c>
      <c r="U90" s="9">
        <v>382305.49</v>
      </c>
      <c r="V90" s="8" t="s">
        <v>2611</v>
      </c>
      <c r="W90" s="8">
        <v>0</v>
      </c>
      <c r="X90" s="8">
        <v>9</v>
      </c>
      <c r="Y90" s="8">
        <v>34407.49</v>
      </c>
      <c r="Z90" s="8">
        <v>9</v>
      </c>
      <c r="AA90" s="8">
        <v>34407.49</v>
      </c>
      <c r="AB90" s="8">
        <v>0</v>
      </c>
      <c r="AC90" s="8">
        <v>0</v>
      </c>
      <c r="AD90" s="8">
        <v>0</v>
      </c>
      <c r="AE90" s="8">
        <v>68814.98</v>
      </c>
      <c r="AF90" s="8">
        <v>0</v>
      </c>
      <c r="AG90" s="8" t="s">
        <v>65</v>
      </c>
      <c r="AH90" s="8" t="s">
        <v>3</v>
      </c>
      <c r="AI90" s="8">
        <v>63053200</v>
      </c>
      <c r="AJ90" s="8" t="s">
        <v>60</v>
      </c>
      <c r="AK90" s="8">
        <v>1</v>
      </c>
      <c r="AL90" s="8">
        <v>1799</v>
      </c>
      <c r="AM90" s="8" t="s">
        <v>1940</v>
      </c>
    </row>
    <row r="91" spans="7:39" ht="12.75" customHeight="1">
      <c r="G91" s="347"/>
      <c r="H91" s="7" t="s">
        <v>3033</v>
      </c>
      <c r="I91" s="8" t="s">
        <v>61</v>
      </c>
      <c r="J91" s="8" t="s">
        <v>56</v>
      </c>
      <c r="K91" s="6">
        <v>165</v>
      </c>
      <c r="L91" s="8" t="s">
        <v>75</v>
      </c>
      <c r="M91" s="8" t="s">
        <v>3430</v>
      </c>
      <c r="N91" s="7" t="s">
        <v>3033</v>
      </c>
      <c r="O91" s="8" t="s">
        <v>2</v>
      </c>
      <c r="P91" s="8" t="s">
        <v>67</v>
      </c>
      <c r="Q91" s="8" t="s">
        <v>68</v>
      </c>
      <c r="R91" s="8" t="s">
        <v>69</v>
      </c>
      <c r="S91" s="8" t="s">
        <v>70</v>
      </c>
      <c r="T91" s="9">
        <v>964</v>
      </c>
      <c r="U91" s="9">
        <v>46272</v>
      </c>
      <c r="V91" s="8" t="s">
        <v>591</v>
      </c>
      <c r="W91" s="8">
        <v>54554.69</v>
      </c>
      <c r="X91" s="8">
        <v>9</v>
      </c>
      <c r="Y91" s="8">
        <v>4164.4799999999996</v>
      </c>
      <c r="Z91" s="8">
        <v>9</v>
      </c>
      <c r="AA91" s="8">
        <v>4164.4799999999996</v>
      </c>
      <c r="AB91" s="8">
        <v>0</v>
      </c>
      <c r="AC91" s="8">
        <v>0</v>
      </c>
      <c r="AD91" s="8">
        <v>0</v>
      </c>
      <c r="AE91" s="8">
        <v>8328.9599999999991</v>
      </c>
      <c r="AF91" s="8">
        <v>0</v>
      </c>
      <c r="AG91" s="8" t="s">
        <v>65</v>
      </c>
      <c r="AH91" s="8" t="s">
        <v>3</v>
      </c>
      <c r="AI91" s="8">
        <v>73063090</v>
      </c>
      <c r="AJ91" s="8" t="s">
        <v>60</v>
      </c>
      <c r="AK91" s="8">
        <v>1</v>
      </c>
      <c r="AL91" s="8">
        <v>964</v>
      </c>
      <c r="AM91" s="8" t="s">
        <v>1940</v>
      </c>
    </row>
    <row r="92" spans="7:39" ht="12.75" customHeight="1">
      <c r="G92" s="347"/>
      <c r="H92" s="7" t="s">
        <v>3033</v>
      </c>
      <c r="I92" s="8" t="s">
        <v>61</v>
      </c>
      <c r="J92" s="8" t="s">
        <v>56</v>
      </c>
      <c r="K92" s="6">
        <v>166</v>
      </c>
      <c r="L92" s="8" t="s">
        <v>2231</v>
      </c>
      <c r="M92" s="8" t="s">
        <v>3431</v>
      </c>
      <c r="N92" s="7" t="s">
        <v>3033</v>
      </c>
      <c r="O92" s="8" t="s">
        <v>13</v>
      </c>
      <c r="P92" s="8" t="s">
        <v>71</v>
      </c>
      <c r="Q92" s="8" t="s">
        <v>71</v>
      </c>
      <c r="R92" s="8" t="s">
        <v>72</v>
      </c>
      <c r="S92" s="8" t="s">
        <v>22</v>
      </c>
      <c r="T92" s="9">
        <v>2360</v>
      </c>
      <c r="U92" s="9">
        <v>28320</v>
      </c>
      <c r="V92" s="8" t="s">
        <v>22</v>
      </c>
      <c r="W92" s="8">
        <v>34085.949999999997</v>
      </c>
      <c r="X92" s="8">
        <v>9</v>
      </c>
      <c r="Y92" s="8">
        <v>2548.8000000000002</v>
      </c>
      <c r="Z92" s="8">
        <v>9</v>
      </c>
      <c r="AA92" s="8">
        <v>2548.8000000000002</v>
      </c>
      <c r="AB92" s="8">
        <v>0</v>
      </c>
      <c r="AC92" s="8">
        <v>0</v>
      </c>
      <c r="AD92" s="8">
        <v>0</v>
      </c>
      <c r="AE92" s="8">
        <v>5097.6000000000004</v>
      </c>
      <c r="AF92" s="8">
        <v>668.35</v>
      </c>
      <c r="AG92" s="8" t="s">
        <v>65</v>
      </c>
      <c r="AH92" s="8" t="s">
        <v>3</v>
      </c>
      <c r="AI92" s="8">
        <v>39159029</v>
      </c>
      <c r="AJ92" s="8" t="s">
        <v>60</v>
      </c>
      <c r="AK92" s="8">
        <v>1</v>
      </c>
      <c r="AL92" s="8">
        <v>2360</v>
      </c>
      <c r="AM92" s="8" t="s">
        <v>1940</v>
      </c>
    </row>
    <row r="93" spans="7:39" ht="12.75" customHeight="1">
      <c r="G93" s="347"/>
      <c r="H93" s="7" t="s">
        <v>3030</v>
      </c>
      <c r="I93" s="8" t="s">
        <v>2392</v>
      </c>
      <c r="J93" s="8" t="s">
        <v>2242</v>
      </c>
      <c r="K93" s="6" t="s">
        <v>3432</v>
      </c>
      <c r="L93" s="8" t="s">
        <v>2693</v>
      </c>
      <c r="M93" s="8" t="s">
        <v>3432</v>
      </c>
      <c r="N93" s="7" t="s">
        <v>3030</v>
      </c>
      <c r="O93" s="8" t="s">
        <v>15</v>
      </c>
      <c r="P93" s="8" t="s">
        <v>57</v>
      </c>
      <c r="Q93" s="8" t="s">
        <v>57</v>
      </c>
      <c r="R93" s="8" t="s">
        <v>58</v>
      </c>
      <c r="S93" s="8" t="s">
        <v>14</v>
      </c>
      <c r="T93" s="9">
        <v>7665</v>
      </c>
      <c r="U93" s="9">
        <v>1683000</v>
      </c>
      <c r="V93" s="8" t="s">
        <v>3433</v>
      </c>
      <c r="W93" s="8">
        <v>4133756.55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 t="s">
        <v>2279</v>
      </c>
      <c r="AH93" s="8" t="s">
        <v>3</v>
      </c>
      <c r="AI93" s="8">
        <v>63053200</v>
      </c>
      <c r="AJ93" s="8" t="s">
        <v>2243</v>
      </c>
      <c r="AK93" s="8">
        <v>93.5</v>
      </c>
      <c r="AL93" s="8">
        <v>7665</v>
      </c>
      <c r="AM93" s="8" t="s">
        <v>2393</v>
      </c>
    </row>
    <row r="94" spans="7:39" ht="12.75" customHeight="1">
      <c r="G94" s="347"/>
      <c r="H94" s="7" t="s">
        <v>3030</v>
      </c>
      <c r="I94" s="8" t="s">
        <v>2392</v>
      </c>
      <c r="J94" s="8" t="s">
        <v>2242</v>
      </c>
      <c r="K94" s="6" t="s">
        <v>3432</v>
      </c>
      <c r="L94" s="8" t="s">
        <v>2693</v>
      </c>
      <c r="M94" s="8" t="s">
        <v>3432</v>
      </c>
      <c r="N94" s="7" t="s">
        <v>3030</v>
      </c>
      <c r="O94" s="8" t="s">
        <v>15</v>
      </c>
      <c r="P94" s="8" t="s">
        <v>57</v>
      </c>
      <c r="Q94" s="8" t="s">
        <v>57</v>
      </c>
      <c r="R94" s="8" t="s">
        <v>58</v>
      </c>
      <c r="S94" s="8" t="s">
        <v>16</v>
      </c>
      <c r="T94" s="9">
        <v>11283</v>
      </c>
      <c r="U94" s="9">
        <v>2450756.5499999998</v>
      </c>
      <c r="V94" s="8" t="s">
        <v>2541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 t="s">
        <v>2279</v>
      </c>
      <c r="AH94" s="8" t="s">
        <v>3</v>
      </c>
      <c r="AI94" s="8">
        <v>63053200</v>
      </c>
      <c r="AJ94" s="8" t="s">
        <v>2243</v>
      </c>
      <c r="AK94" s="8">
        <v>93.5</v>
      </c>
      <c r="AL94" s="8">
        <v>11283</v>
      </c>
      <c r="AM94" s="8" t="s">
        <v>2393</v>
      </c>
    </row>
    <row r="95" spans="7:39" ht="12.75" customHeight="1">
      <c r="G95" s="347"/>
      <c r="H95" s="7" t="s">
        <v>3052</v>
      </c>
      <c r="I95" s="8" t="s">
        <v>61</v>
      </c>
      <c r="J95" s="8" t="s">
        <v>56</v>
      </c>
      <c r="K95" s="6">
        <v>167</v>
      </c>
      <c r="L95" s="8" t="s">
        <v>75</v>
      </c>
      <c r="M95" s="8" t="s">
        <v>3434</v>
      </c>
      <c r="N95" s="7" t="s">
        <v>3052</v>
      </c>
      <c r="O95" s="8" t="s">
        <v>13</v>
      </c>
      <c r="P95" s="8" t="s">
        <v>62</v>
      </c>
      <c r="Q95" s="8" t="s">
        <v>63</v>
      </c>
      <c r="R95" s="8" t="s">
        <v>64</v>
      </c>
      <c r="S95" s="8" t="s">
        <v>19</v>
      </c>
      <c r="T95" s="9">
        <v>1559</v>
      </c>
      <c r="U95" s="9">
        <v>243967.91</v>
      </c>
      <c r="V95" s="8" t="s">
        <v>3435</v>
      </c>
      <c r="W95" s="8">
        <v>287882.13</v>
      </c>
      <c r="X95" s="8">
        <v>9</v>
      </c>
      <c r="Y95" s="8">
        <v>21957.11</v>
      </c>
      <c r="Z95" s="8">
        <v>9</v>
      </c>
      <c r="AA95" s="8">
        <v>21957.11</v>
      </c>
      <c r="AB95" s="8">
        <v>0</v>
      </c>
      <c r="AC95" s="8">
        <v>0</v>
      </c>
      <c r="AD95" s="8">
        <v>0</v>
      </c>
      <c r="AE95" s="8">
        <v>43914.22</v>
      </c>
      <c r="AF95" s="8">
        <v>0</v>
      </c>
      <c r="AG95" s="8" t="s">
        <v>65</v>
      </c>
      <c r="AH95" s="8" t="s">
        <v>3</v>
      </c>
      <c r="AI95" s="8">
        <v>39269080</v>
      </c>
      <c r="AJ95" s="8" t="s">
        <v>60</v>
      </c>
      <c r="AK95" s="8">
        <v>1</v>
      </c>
      <c r="AL95" s="8">
        <v>1559</v>
      </c>
      <c r="AM95" s="8" t="s">
        <v>1940</v>
      </c>
    </row>
    <row r="96" spans="7:39" ht="12.75" customHeight="1">
      <c r="G96" s="347"/>
      <c r="H96" s="7" t="s">
        <v>3052</v>
      </c>
      <c r="I96" s="8" t="s">
        <v>2306</v>
      </c>
      <c r="J96" s="8" t="s">
        <v>2242</v>
      </c>
      <c r="K96" s="6" t="s">
        <v>3436</v>
      </c>
      <c r="L96" s="8" t="s">
        <v>2693</v>
      </c>
      <c r="M96" s="8" t="s">
        <v>3436</v>
      </c>
      <c r="N96" s="7" t="s">
        <v>3052</v>
      </c>
      <c r="O96" s="8" t="s">
        <v>15</v>
      </c>
      <c r="P96" s="8" t="s">
        <v>57</v>
      </c>
      <c r="Q96" s="8" t="s">
        <v>57</v>
      </c>
      <c r="R96" s="8" t="s">
        <v>58</v>
      </c>
      <c r="S96" s="8" t="s">
        <v>14</v>
      </c>
      <c r="T96" s="9">
        <v>18525</v>
      </c>
      <c r="U96" s="9">
        <v>4118858.4</v>
      </c>
      <c r="V96" s="8" t="s">
        <v>2307</v>
      </c>
      <c r="W96" s="8">
        <v>4567473.4000000004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 t="s">
        <v>2279</v>
      </c>
      <c r="AH96" s="8" t="s">
        <v>3</v>
      </c>
      <c r="AI96" s="8">
        <v>63053200</v>
      </c>
      <c r="AJ96" s="8" t="s">
        <v>2243</v>
      </c>
      <c r="AK96" s="8">
        <v>95.45</v>
      </c>
      <c r="AL96" s="8">
        <v>18525</v>
      </c>
      <c r="AM96" s="8" t="s">
        <v>2308</v>
      </c>
    </row>
    <row r="97" spans="7:39" ht="12.75" customHeight="1">
      <c r="G97" s="347"/>
      <c r="H97" s="7" t="s">
        <v>3071</v>
      </c>
      <c r="I97" s="8" t="s">
        <v>61</v>
      </c>
      <c r="J97" s="8" t="s">
        <v>56</v>
      </c>
      <c r="K97" s="6">
        <v>168</v>
      </c>
      <c r="L97" s="8" t="s">
        <v>75</v>
      </c>
      <c r="M97" s="8" t="s">
        <v>3437</v>
      </c>
      <c r="N97" s="7" t="s">
        <v>3071</v>
      </c>
      <c r="O97" s="8" t="s">
        <v>2</v>
      </c>
      <c r="P97" s="8" t="s">
        <v>67</v>
      </c>
      <c r="Q97" s="8" t="s">
        <v>68</v>
      </c>
      <c r="R97" s="8" t="s">
        <v>69</v>
      </c>
      <c r="S97" s="8" t="s">
        <v>70</v>
      </c>
      <c r="T97" s="9">
        <v>675</v>
      </c>
      <c r="U97" s="9">
        <v>32400</v>
      </c>
      <c r="V97" s="8" t="s">
        <v>591</v>
      </c>
      <c r="W97" s="8">
        <v>38199.599999999999</v>
      </c>
      <c r="X97" s="8">
        <v>9</v>
      </c>
      <c r="Y97" s="8">
        <v>2916</v>
      </c>
      <c r="Z97" s="8">
        <v>9</v>
      </c>
      <c r="AA97" s="8">
        <v>2916</v>
      </c>
      <c r="AB97" s="8">
        <v>0</v>
      </c>
      <c r="AC97" s="8">
        <v>0</v>
      </c>
      <c r="AD97" s="8">
        <v>0</v>
      </c>
      <c r="AE97" s="8">
        <v>5832</v>
      </c>
      <c r="AF97" s="8">
        <v>0</v>
      </c>
      <c r="AG97" s="8" t="s">
        <v>65</v>
      </c>
      <c r="AH97" s="8" t="s">
        <v>3</v>
      </c>
      <c r="AI97" s="8">
        <v>73063090</v>
      </c>
      <c r="AJ97" s="8" t="s">
        <v>60</v>
      </c>
      <c r="AK97" s="8">
        <v>1</v>
      </c>
      <c r="AL97" s="8">
        <v>675</v>
      </c>
      <c r="AM97" s="8" t="s">
        <v>1940</v>
      </c>
    </row>
    <row r="98" spans="7:39" ht="12.75" customHeight="1">
      <c r="G98" s="347"/>
      <c r="H98" s="7" t="s">
        <v>3071</v>
      </c>
      <c r="I98" s="8" t="s">
        <v>61</v>
      </c>
      <c r="J98" s="8" t="s">
        <v>56</v>
      </c>
      <c r="K98" s="6">
        <v>169</v>
      </c>
      <c r="L98" s="8" t="s">
        <v>2231</v>
      </c>
      <c r="M98" s="8" t="s">
        <v>3438</v>
      </c>
      <c r="N98" s="7" t="s">
        <v>3071</v>
      </c>
      <c r="O98" s="8" t="s">
        <v>13</v>
      </c>
      <c r="P98" s="8" t="s">
        <v>71</v>
      </c>
      <c r="Q98" s="8" t="s">
        <v>71</v>
      </c>
      <c r="R98" s="8" t="s">
        <v>72</v>
      </c>
      <c r="S98" s="8" t="s">
        <v>22</v>
      </c>
      <c r="T98" s="9">
        <v>2260</v>
      </c>
      <c r="U98" s="9">
        <v>27120</v>
      </c>
      <c r="V98" s="8" t="s">
        <v>22</v>
      </c>
      <c r="W98" s="8">
        <v>32641.63</v>
      </c>
      <c r="X98" s="8">
        <v>9</v>
      </c>
      <c r="Y98" s="8">
        <v>2440.8000000000002</v>
      </c>
      <c r="Z98" s="8">
        <v>9</v>
      </c>
      <c r="AA98" s="8">
        <v>2440.8000000000002</v>
      </c>
      <c r="AB98" s="8">
        <v>0</v>
      </c>
      <c r="AC98" s="8">
        <v>0</v>
      </c>
      <c r="AD98" s="8">
        <v>0</v>
      </c>
      <c r="AE98" s="8">
        <v>4881.6000000000004</v>
      </c>
      <c r="AF98" s="8">
        <v>640.03</v>
      </c>
      <c r="AG98" s="8" t="s">
        <v>65</v>
      </c>
      <c r="AH98" s="8" t="s">
        <v>3</v>
      </c>
      <c r="AI98" s="8">
        <v>39159029</v>
      </c>
      <c r="AJ98" s="8" t="s">
        <v>60</v>
      </c>
      <c r="AK98" s="8">
        <v>1</v>
      </c>
      <c r="AL98" s="8">
        <v>2260</v>
      </c>
      <c r="AM98" s="8" t="s">
        <v>1940</v>
      </c>
    </row>
    <row r="99" spans="7:39" ht="12.75" customHeight="1">
      <c r="G99" s="347"/>
      <c r="H99" s="7" t="s">
        <v>3071</v>
      </c>
      <c r="I99" s="8" t="s">
        <v>2306</v>
      </c>
      <c r="J99" s="8" t="s">
        <v>2242</v>
      </c>
      <c r="K99" s="6" t="s">
        <v>3439</v>
      </c>
      <c r="L99" s="8" t="s">
        <v>2693</v>
      </c>
      <c r="M99" s="8" t="s">
        <v>3439</v>
      </c>
      <c r="N99" s="7" t="s">
        <v>3071</v>
      </c>
      <c r="O99" s="8" t="s">
        <v>15</v>
      </c>
      <c r="P99" s="8" t="s">
        <v>57</v>
      </c>
      <c r="Q99" s="8" t="s">
        <v>57</v>
      </c>
      <c r="R99" s="8" t="s">
        <v>58</v>
      </c>
      <c r="S99" s="8" t="s">
        <v>14</v>
      </c>
      <c r="T99" s="9">
        <v>18648</v>
      </c>
      <c r="U99" s="9">
        <v>4118858.4</v>
      </c>
      <c r="V99" s="8" t="s">
        <v>2307</v>
      </c>
      <c r="W99" s="8">
        <v>4567473.4000000004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 t="s">
        <v>2279</v>
      </c>
      <c r="AH99" s="8" t="s">
        <v>3</v>
      </c>
      <c r="AI99" s="8">
        <v>63053200</v>
      </c>
      <c r="AJ99" s="8" t="s">
        <v>2243</v>
      </c>
      <c r="AK99" s="8">
        <v>95.45</v>
      </c>
      <c r="AL99" s="8">
        <v>18648</v>
      </c>
      <c r="AM99" s="8" t="s">
        <v>2308</v>
      </c>
    </row>
    <row r="100" spans="7:39" ht="12.75" customHeight="1">
      <c r="G100" s="347"/>
      <c r="H100" s="7" t="s">
        <v>3111</v>
      </c>
      <c r="I100" s="8" t="s">
        <v>61</v>
      </c>
      <c r="J100" s="8" t="s">
        <v>56</v>
      </c>
      <c r="K100" s="6">
        <v>170</v>
      </c>
      <c r="L100" s="8" t="s">
        <v>75</v>
      </c>
      <c r="M100" s="8" t="s">
        <v>3440</v>
      </c>
      <c r="N100" s="7" t="s">
        <v>3111</v>
      </c>
      <c r="O100" s="8" t="s">
        <v>15</v>
      </c>
      <c r="P100" s="8" t="s">
        <v>2117</v>
      </c>
      <c r="Q100" s="8" t="s">
        <v>2117</v>
      </c>
      <c r="R100" s="347" t="s">
        <v>2117</v>
      </c>
      <c r="S100" s="8" t="s">
        <v>64</v>
      </c>
      <c r="T100" s="9">
        <v>1866</v>
      </c>
      <c r="U100" s="9">
        <v>52248</v>
      </c>
      <c r="V100" s="8" t="s">
        <v>2440</v>
      </c>
      <c r="W100" s="8">
        <v>61600.39</v>
      </c>
      <c r="X100" s="8">
        <v>9</v>
      </c>
      <c r="Y100" s="8">
        <v>4702.32</v>
      </c>
      <c r="Z100" s="8">
        <v>9</v>
      </c>
      <c r="AA100" s="8">
        <v>4702.32</v>
      </c>
      <c r="AB100" s="8">
        <v>0</v>
      </c>
      <c r="AC100" s="8">
        <v>0</v>
      </c>
      <c r="AD100" s="8">
        <v>0</v>
      </c>
      <c r="AE100" s="8">
        <v>9404.64</v>
      </c>
      <c r="AF100" s="8">
        <v>0</v>
      </c>
      <c r="AG100" s="8" t="s">
        <v>65</v>
      </c>
      <c r="AH100" s="8" t="s">
        <v>3</v>
      </c>
      <c r="AI100" s="8">
        <v>39269080</v>
      </c>
      <c r="AJ100" s="8" t="s">
        <v>60</v>
      </c>
      <c r="AK100" s="8">
        <v>1</v>
      </c>
      <c r="AL100" s="8">
        <v>1866</v>
      </c>
      <c r="AM100" s="8" t="s">
        <v>1940</v>
      </c>
    </row>
    <row r="101" spans="7:39" ht="12.75" customHeight="1">
      <c r="G101" s="347"/>
      <c r="H101" s="7" t="s">
        <v>3111</v>
      </c>
      <c r="I101" s="8" t="s">
        <v>61</v>
      </c>
      <c r="J101" s="8" t="s">
        <v>56</v>
      </c>
      <c r="K101" s="6">
        <v>171</v>
      </c>
      <c r="L101" s="8" t="s">
        <v>2231</v>
      </c>
      <c r="M101" s="8" t="s">
        <v>3441</v>
      </c>
      <c r="N101" s="7" t="s">
        <v>3111</v>
      </c>
      <c r="O101" s="8" t="s">
        <v>13</v>
      </c>
      <c r="P101" s="8" t="s">
        <v>71</v>
      </c>
      <c r="Q101" s="8" t="s">
        <v>71</v>
      </c>
      <c r="R101" s="8" t="s">
        <v>72</v>
      </c>
      <c r="S101" s="8" t="s">
        <v>22</v>
      </c>
      <c r="T101" s="9">
        <v>1974</v>
      </c>
      <c r="U101" s="9">
        <v>23688</v>
      </c>
      <c r="V101" s="8" t="s">
        <v>22</v>
      </c>
      <c r="W101" s="8">
        <v>28510.880000000001</v>
      </c>
      <c r="X101" s="8">
        <v>9</v>
      </c>
      <c r="Y101" s="8">
        <v>2131.92</v>
      </c>
      <c r="Z101" s="8">
        <v>9</v>
      </c>
      <c r="AA101" s="8">
        <v>2131.92</v>
      </c>
      <c r="AB101" s="8">
        <v>0</v>
      </c>
      <c r="AC101" s="8">
        <v>0</v>
      </c>
      <c r="AD101" s="8">
        <v>0</v>
      </c>
      <c r="AE101" s="8">
        <v>4263.84</v>
      </c>
      <c r="AF101" s="8">
        <v>559.04</v>
      </c>
      <c r="AG101" s="8" t="s">
        <v>65</v>
      </c>
      <c r="AH101" s="8" t="s">
        <v>3</v>
      </c>
      <c r="AI101" s="8">
        <v>39159029</v>
      </c>
      <c r="AJ101" s="8" t="s">
        <v>60</v>
      </c>
      <c r="AK101" s="8">
        <v>1</v>
      </c>
      <c r="AL101" s="8">
        <v>1974</v>
      </c>
      <c r="AM101" s="8" t="s">
        <v>1940</v>
      </c>
    </row>
    <row r="102" spans="7:39" ht="12.75" customHeight="1">
      <c r="G102" s="347"/>
      <c r="H102" s="7" t="s">
        <v>3124</v>
      </c>
      <c r="I102" s="8" t="s">
        <v>61</v>
      </c>
      <c r="J102" s="8" t="s">
        <v>56</v>
      </c>
      <c r="K102" s="6">
        <v>172</v>
      </c>
      <c r="L102" s="8" t="s">
        <v>75</v>
      </c>
      <c r="M102" s="8" t="s">
        <v>3442</v>
      </c>
      <c r="N102" s="7" t="s">
        <v>3124</v>
      </c>
      <c r="O102" s="8" t="s">
        <v>2</v>
      </c>
      <c r="P102" s="8" t="s">
        <v>67</v>
      </c>
      <c r="Q102" s="8" t="s">
        <v>68</v>
      </c>
      <c r="R102" s="8" t="s">
        <v>69</v>
      </c>
      <c r="S102" s="8" t="s">
        <v>70</v>
      </c>
      <c r="T102" s="9">
        <v>731</v>
      </c>
      <c r="U102" s="9">
        <v>35088</v>
      </c>
      <c r="V102" s="8" t="s">
        <v>591</v>
      </c>
      <c r="W102" s="8">
        <v>41368.75</v>
      </c>
      <c r="X102" s="8">
        <v>9</v>
      </c>
      <c r="Y102" s="8">
        <v>3157.92</v>
      </c>
      <c r="Z102" s="8">
        <v>9</v>
      </c>
      <c r="AA102" s="8">
        <v>3157.92</v>
      </c>
      <c r="AB102" s="8">
        <v>0</v>
      </c>
      <c r="AC102" s="8">
        <v>0</v>
      </c>
      <c r="AD102" s="8">
        <v>0</v>
      </c>
      <c r="AE102" s="8">
        <v>6315.84</v>
      </c>
      <c r="AF102" s="8">
        <v>0</v>
      </c>
      <c r="AG102" s="8" t="s">
        <v>65</v>
      </c>
      <c r="AH102" s="8" t="s">
        <v>3</v>
      </c>
      <c r="AI102" s="8">
        <v>73063090</v>
      </c>
      <c r="AJ102" s="8" t="s">
        <v>60</v>
      </c>
      <c r="AK102" s="8">
        <v>1</v>
      </c>
      <c r="AL102" s="8">
        <v>731</v>
      </c>
      <c r="AM102" s="8" t="s">
        <v>1940</v>
      </c>
    </row>
    <row r="103" spans="7:39" ht="12.75" customHeight="1">
      <c r="G103" s="347"/>
      <c r="H103" s="7" t="s">
        <v>3124</v>
      </c>
      <c r="I103" s="8" t="s">
        <v>73</v>
      </c>
      <c r="J103" s="8" t="s">
        <v>56</v>
      </c>
      <c r="K103" s="6">
        <v>173</v>
      </c>
      <c r="L103" s="8" t="s">
        <v>75</v>
      </c>
      <c r="M103" s="8" t="s">
        <v>3443</v>
      </c>
      <c r="N103" s="7" t="s">
        <v>3124</v>
      </c>
      <c r="O103" s="8" t="s">
        <v>8</v>
      </c>
      <c r="P103" s="8" t="s">
        <v>110</v>
      </c>
      <c r="Q103" s="8" t="s">
        <v>800</v>
      </c>
      <c r="R103" s="8" t="s">
        <v>800</v>
      </c>
      <c r="S103" s="8" t="s">
        <v>801</v>
      </c>
      <c r="T103" s="9">
        <v>170</v>
      </c>
      <c r="U103" s="9">
        <v>47940</v>
      </c>
      <c r="V103" s="8" t="s">
        <v>801</v>
      </c>
      <c r="W103" s="8">
        <v>56521.26</v>
      </c>
      <c r="X103" s="8">
        <v>9</v>
      </c>
      <c r="Y103" s="8">
        <v>4314.6000000000004</v>
      </c>
      <c r="Z103" s="8">
        <v>9</v>
      </c>
      <c r="AA103" s="8">
        <v>4314.6000000000004</v>
      </c>
      <c r="AB103" s="8">
        <v>0</v>
      </c>
      <c r="AC103" s="8">
        <v>0</v>
      </c>
      <c r="AD103" s="8">
        <v>0</v>
      </c>
      <c r="AE103" s="8">
        <v>8629.2000000000007</v>
      </c>
      <c r="AF103" s="8">
        <v>0</v>
      </c>
      <c r="AG103" s="8" t="s">
        <v>74</v>
      </c>
      <c r="AH103" s="8" t="s">
        <v>3</v>
      </c>
      <c r="AI103" s="8">
        <v>38140011</v>
      </c>
      <c r="AJ103" s="8" t="s">
        <v>60</v>
      </c>
      <c r="AK103" s="8">
        <v>1</v>
      </c>
      <c r="AL103" s="8">
        <v>170</v>
      </c>
      <c r="AM103" s="8" t="s">
        <v>1940</v>
      </c>
    </row>
    <row r="104" spans="7:39" ht="12.75" customHeight="1">
      <c r="G104" s="347"/>
      <c r="H104" s="7" t="s">
        <v>3124</v>
      </c>
      <c r="I104" s="8" t="s">
        <v>2306</v>
      </c>
      <c r="J104" s="8" t="s">
        <v>2242</v>
      </c>
      <c r="K104" s="6" t="s">
        <v>3444</v>
      </c>
      <c r="L104" s="8" t="s">
        <v>2372</v>
      </c>
      <c r="M104" s="8" t="s">
        <v>3444</v>
      </c>
      <c r="N104" s="7" t="s">
        <v>3124</v>
      </c>
      <c r="O104" s="8" t="s">
        <v>15</v>
      </c>
      <c r="P104" s="8" t="s">
        <v>57</v>
      </c>
      <c r="Q104" s="8" t="s">
        <v>57</v>
      </c>
      <c r="R104" s="8" t="s">
        <v>58</v>
      </c>
      <c r="S104" s="8" t="s">
        <v>16</v>
      </c>
      <c r="T104" s="9">
        <v>18455</v>
      </c>
      <c r="U104" s="9">
        <v>4727638.5</v>
      </c>
      <c r="V104" s="8" t="s">
        <v>2541</v>
      </c>
      <c r="W104" s="8">
        <v>5176253.5</v>
      </c>
      <c r="X104" s="8">
        <v>0</v>
      </c>
      <c r="Y104" s="8">
        <v>0</v>
      </c>
      <c r="Z104" s="8">
        <v>0</v>
      </c>
      <c r="AA104" s="8">
        <v>0</v>
      </c>
      <c r="AB104" s="8">
        <v>18</v>
      </c>
      <c r="AC104" s="8">
        <v>850974.93</v>
      </c>
      <c r="AD104" s="8">
        <v>0</v>
      </c>
      <c r="AE104" s="8">
        <v>850974.93</v>
      </c>
      <c r="AF104" s="8">
        <v>0</v>
      </c>
      <c r="AG104" s="8" t="s">
        <v>2279</v>
      </c>
      <c r="AH104" s="8" t="s">
        <v>3</v>
      </c>
      <c r="AI104" s="8">
        <v>63053200</v>
      </c>
      <c r="AJ104" s="8" t="s">
        <v>2243</v>
      </c>
      <c r="AK104" s="8">
        <v>95.45</v>
      </c>
      <c r="AL104" s="8">
        <v>18455</v>
      </c>
      <c r="AM104" s="8" t="s">
        <v>2308</v>
      </c>
    </row>
    <row r="105" spans="7:39">
      <c r="G105" s="347"/>
      <c r="H105" s="7" t="s">
        <v>3153</v>
      </c>
      <c r="I105" s="8" t="s">
        <v>61</v>
      </c>
      <c r="J105" s="8" t="s">
        <v>56</v>
      </c>
      <c r="K105" s="6">
        <v>174</v>
      </c>
      <c r="L105" s="8" t="s">
        <v>75</v>
      </c>
      <c r="M105" s="8" t="s">
        <v>3445</v>
      </c>
      <c r="N105" s="7" t="s">
        <v>3153</v>
      </c>
      <c r="O105" s="8" t="s">
        <v>2</v>
      </c>
      <c r="P105" s="8" t="s">
        <v>67</v>
      </c>
      <c r="Q105" s="8" t="s">
        <v>68</v>
      </c>
      <c r="R105" s="8" t="s">
        <v>69</v>
      </c>
      <c r="S105" s="8" t="s">
        <v>70</v>
      </c>
      <c r="T105" s="9">
        <v>704</v>
      </c>
      <c r="U105" s="9">
        <v>33792</v>
      </c>
      <c r="V105" s="8" t="s">
        <v>591</v>
      </c>
      <c r="W105" s="8">
        <v>39840.769999999997</v>
      </c>
      <c r="X105" s="8">
        <v>9</v>
      </c>
      <c r="Y105" s="8">
        <v>3041.28</v>
      </c>
      <c r="Z105" s="8">
        <v>9</v>
      </c>
      <c r="AA105" s="8">
        <v>3041.28</v>
      </c>
      <c r="AB105" s="8">
        <v>0</v>
      </c>
      <c r="AC105" s="8">
        <v>0</v>
      </c>
      <c r="AD105" s="8">
        <v>0</v>
      </c>
      <c r="AE105" s="8">
        <v>6082.56</v>
      </c>
      <c r="AF105" s="8">
        <v>0</v>
      </c>
      <c r="AG105" s="8" t="s">
        <v>65</v>
      </c>
      <c r="AH105" s="8" t="s">
        <v>3</v>
      </c>
      <c r="AI105" s="8">
        <v>73063090</v>
      </c>
      <c r="AJ105" s="8" t="s">
        <v>60</v>
      </c>
      <c r="AK105" s="8">
        <v>1</v>
      </c>
      <c r="AL105" s="8">
        <v>704</v>
      </c>
      <c r="AM105" s="8" t="s">
        <v>1940</v>
      </c>
    </row>
    <row r="106" spans="7:39">
      <c r="G106" s="347"/>
      <c r="H106" s="347" t="s">
        <v>3153</v>
      </c>
      <c r="I106" s="347" t="s">
        <v>61</v>
      </c>
      <c r="J106" s="347" t="s">
        <v>56</v>
      </c>
      <c r="K106" s="10">
        <v>175</v>
      </c>
      <c r="L106" s="347" t="s">
        <v>2231</v>
      </c>
      <c r="M106" s="347" t="s">
        <v>3446</v>
      </c>
      <c r="N106" s="347" t="s">
        <v>3153</v>
      </c>
      <c r="O106" s="347" t="s">
        <v>13</v>
      </c>
      <c r="P106" s="347" t="s">
        <v>71</v>
      </c>
      <c r="Q106" s="347" t="s">
        <v>71</v>
      </c>
      <c r="R106" s="347" t="s">
        <v>72</v>
      </c>
      <c r="S106" s="347" t="s">
        <v>22</v>
      </c>
      <c r="T106" s="350">
        <v>2426</v>
      </c>
      <c r="U106" s="350">
        <v>29112</v>
      </c>
      <c r="V106" s="347" t="s">
        <v>22</v>
      </c>
      <c r="W106" s="347">
        <v>35039.199999999997</v>
      </c>
      <c r="X106" s="347">
        <v>9</v>
      </c>
      <c r="Y106" s="347">
        <v>2620.08</v>
      </c>
      <c r="Z106" s="347">
        <v>9</v>
      </c>
      <c r="AA106" s="347">
        <v>2620.08</v>
      </c>
      <c r="AB106" s="347">
        <v>0</v>
      </c>
      <c r="AC106" s="347">
        <v>0</v>
      </c>
      <c r="AD106" s="347">
        <v>0</v>
      </c>
      <c r="AE106" s="347">
        <v>5240.16</v>
      </c>
      <c r="AF106" s="347">
        <v>687.04</v>
      </c>
      <c r="AG106" s="347" t="s">
        <v>65</v>
      </c>
      <c r="AH106" s="347" t="s">
        <v>3</v>
      </c>
      <c r="AI106" s="347">
        <v>39159029</v>
      </c>
      <c r="AJ106" s="347" t="s">
        <v>60</v>
      </c>
      <c r="AK106" s="347">
        <v>1</v>
      </c>
      <c r="AL106" s="347">
        <v>2426</v>
      </c>
      <c r="AM106" s="347" t="s">
        <v>1940</v>
      </c>
    </row>
    <row r="107" spans="7:39">
      <c r="G107" s="347"/>
      <c r="H107" s="347" t="s">
        <v>3153</v>
      </c>
      <c r="I107" s="347" t="s">
        <v>61</v>
      </c>
      <c r="J107" s="347" t="s">
        <v>56</v>
      </c>
      <c r="K107" s="10">
        <v>176</v>
      </c>
      <c r="L107" s="347" t="s">
        <v>75</v>
      </c>
      <c r="M107" s="347" t="s">
        <v>3447</v>
      </c>
      <c r="N107" s="347" t="s">
        <v>3153</v>
      </c>
      <c r="O107" s="347" t="s">
        <v>15</v>
      </c>
      <c r="P107" s="347" t="s">
        <v>2117</v>
      </c>
      <c r="Q107" s="347" t="s">
        <v>2117</v>
      </c>
      <c r="R107" s="347" t="s">
        <v>2117</v>
      </c>
      <c r="S107" s="8" t="s">
        <v>64</v>
      </c>
      <c r="T107" s="350">
        <v>1534</v>
      </c>
      <c r="U107" s="350">
        <v>42952</v>
      </c>
      <c r="V107" s="347" t="s">
        <v>2440</v>
      </c>
      <c r="W107" s="347">
        <v>50640.41</v>
      </c>
      <c r="X107" s="347">
        <v>9</v>
      </c>
      <c r="Y107" s="347">
        <v>3865.68</v>
      </c>
      <c r="Z107" s="347">
        <v>9</v>
      </c>
      <c r="AA107" s="347">
        <v>3865.68</v>
      </c>
      <c r="AB107" s="347">
        <v>0</v>
      </c>
      <c r="AC107" s="347">
        <v>0</v>
      </c>
      <c r="AD107" s="347">
        <v>0</v>
      </c>
      <c r="AE107" s="347">
        <v>7731.36</v>
      </c>
      <c r="AF107" s="347">
        <v>0</v>
      </c>
      <c r="AG107" s="347" t="s">
        <v>65</v>
      </c>
      <c r="AH107" s="347" t="s">
        <v>3</v>
      </c>
      <c r="AI107" s="347">
        <v>39269080</v>
      </c>
      <c r="AJ107" s="347" t="s">
        <v>60</v>
      </c>
      <c r="AK107" s="347">
        <v>1</v>
      </c>
      <c r="AL107" s="347">
        <v>1534</v>
      </c>
      <c r="AM107" s="347" t="s">
        <v>1940</v>
      </c>
    </row>
    <row r="108" spans="7:39">
      <c r="G108" s="347"/>
      <c r="H108" s="347" t="s">
        <v>3153</v>
      </c>
      <c r="I108" s="347" t="s">
        <v>61</v>
      </c>
      <c r="J108" s="347" t="s">
        <v>56</v>
      </c>
      <c r="K108" s="10">
        <v>177</v>
      </c>
      <c r="L108" s="347" t="s">
        <v>1698</v>
      </c>
      <c r="M108" s="347" t="s">
        <v>3448</v>
      </c>
      <c r="N108" s="347" t="s">
        <v>3153</v>
      </c>
      <c r="O108" s="347" t="s">
        <v>15</v>
      </c>
      <c r="P108" s="347" t="s">
        <v>57</v>
      </c>
      <c r="Q108" s="347" t="s">
        <v>57</v>
      </c>
      <c r="R108" s="347" t="s">
        <v>58</v>
      </c>
      <c r="S108" s="347" t="s">
        <v>16</v>
      </c>
      <c r="T108" s="350">
        <v>1031</v>
      </c>
      <c r="U108" s="347">
        <v>199333.54</v>
      </c>
      <c r="V108" s="347" t="s">
        <v>3449</v>
      </c>
      <c r="W108" s="347">
        <v>833629.68</v>
      </c>
      <c r="X108" s="347">
        <v>9</v>
      </c>
      <c r="Y108" s="347">
        <v>17940.02</v>
      </c>
      <c r="Z108" s="347">
        <v>9</v>
      </c>
      <c r="AA108" s="347">
        <v>17940.02</v>
      </c>
      <c r="AB108" s="347">
        <v>0</v>
      </c>
      <c r="AC108" s="347">
        <v>0</v>
      </c>
      <c r="AD108" s="347">
        <v>0</v>
      </c>
      <c r="AE108" s="347">
        <v>35880.04</v>
      </c>
      <c r="AF108" s="347">
        <v>0</v>
      </c>
      <c r="AG108" s="347" t="s">
        <v>65</v>
      </c>
      <c r="AH108" s="347" t="s">
        <v>3</v>
      </c>
      <c r="AI108" s="347">
        <v>63053200</v>
      </c>
      <c r="AJ108" s="347" t="s">
        <v>60</v>
      </c>
      <c r="AK108" s="347">
        <v>1</v>
      </c>
      <c r="AL108" s="347">
        <v>1031</v>
      </c>
      <c r="AM108" s="347" t="s">
        <v>1940</v>
      </c>
    </row>
    <row r="109" spans="7:39">
      <c r="G109" s="347"/>
      <c r="H109" s="347" t="s">
        <v>3153</v>
      </c>
      <c r="I109" s="347" t="s">
        <v>61</v>
      </c>
      <c r="J109" s="347" t="s">
        <v>56</v>
      </c>
      <c r="K109" s="10">
        <v>177</v>
      </c>
      <c r="L109" s="347" t="s">
        <v>1698</v>
      </c>
      <c r="M109" s="347" t="s">
        <v>3448</v>
      </c>
      <c r="N109" s="347" t="s">
        <v>3153</v>
      </c>
      <c r="O109" s="347" t="s">
        <v>15</v>
      </c>
      <c r="P109" s="347" t="s">
        <v>57</v>
      </c>
      <c r="Q109" s="347" t="s">
        <v>57</v>
      </c>
      <c r="R109" s="347" t="s">
        <v>58</v>
      </c>
      <c r="S109" s="347" t="s">
        <v>16</v>
      </c>
      <c r="T109" s="347">
        <v>837</v>
      </c>
      <c r="U109" s="347">
        <v>175945.77</v>
      </c>
      <c r="V109" s="347" t="s">
        <v>3383</v>
      </c>
      <c r="W109" s="347">
        <v>0</v>
      </c>
      <c r="X109" s="347">
        <v>9</v>
      </c>
      <c r="Y109" s="347">
        <v>15835.12</v>
      </c>
      <c r="Z109" s="347">
        <v>9</v>
      </c>
      <c r="AA109" s="347">
        <v>15835.12</v>
      </c>
      <c r="AB109" s="347">
        <v>0</v>
      </c>
      <c r="AC109" s="347">
        <v>0</v>
      </c>
      <c r="AD109" s="347">
        <v>0</v>
      </c>
      <c r="AE109" s="347">
        <v>31670.240000000002</v>
      </c>
      <c r="AF109" s="347">
        <v>0</v>
      </c>
      <c r="AG109" s="347" t="s">
        <v>65</v>
      </c>
      <c r="AH109" s="347" t="s">
        <v>3</v>
      </c>
      <c r="AI109" s="347">
        <v>63053200</v>
      </c>
      <c r="AJ109" s="347" t="s">
        <v>60</v>
      </c>
      <c r="AK109" s="347">
        <v>1</v>
      </c>
      <c r="AL109" s="347">
        <v>837</v>
      </c>
      <c r="AM109" s="347" t="s">
        <v>1940</v>
      </c>
    </row>
    <row r="110" spans="7:39">
      <c r="G110" s="347"/>
      <c r="H110" s="347" t="s">
        <v>3153</v>
      </c>
      <c r="I110" s="347" t="s">
        <v>61</v>
      </c>
      <c r="J110" s="347" t="s">
        <v>56</v>
      </c>
      <c r="K110" s="10">
        <v>177</v>
      </c>
      <c r="L110" s="347" t="s">
        <v>1698</v>
      </c>
      <c r="M110" s="347" t="s">
        <v>3448</v>
      </c>
      <c r="N110" s="347" t="s">
        <v>3153</v>
      </c>
      <c r="O110" s="347" t="s">
        <v>15</v>
      </c>
      <c r="P110" s="347" t="s">
        <v>57</v>
      </c>
      <c r="Q110" s="347" t="s">
        <v>57</v>
      </c>
      <c r="R110" s="347" t="s">
        <v>58</v>
      </c>
      <c r="S110" s="347" t="s">
        <v>16</v>
      </c>
      <c r="T110" s="347">
        <v>788</v>
      </c>
      <c r="U110" s="347">
        <v>175936.76</v>
      </c>
      <c r="V110" s="347" t="s">
        <v>2170</v>
      </c>
      <c r="W110" s="347">
        <v>0</v>
      </c>
      <c r="X110" s="347">
        <v>9</v>
      </c>
      <c r="Y110" s="347">
        <v>15834.31</v>
      </c>
      <c r="Z110" s="347">
        <v>9</v>
      </c>
      <c r="AA110" s="347">
        <v>15834.31</v>
      </c>
      <c r="AB110" s="347">
        <v>0</v>
      </c>
      <c r="AC110" s="347">
        <v>0</v>
      </c>
      <c r="AD110" s="347">
        <v>0</v>
      </c>
      <c r="AE110" s="347">
        <v>31668.62</v>
      </c>
      <c r="AF110" s="347">
        <v>0</v>
      </c>
      <c r="AG110" s="347" t="s">
        <v>65</v>
      </c>
      <c r="AH110" s="347" t="s">
        <v>3</v>
      </c>
      <c r="AI110" s="347">
        <v>63053200</v>
      </c>
      <c r="AJ110" s="347" t="s">
        <v>60</v>
      </c>
      <c r="AK110" s="347">
        <v>1</v>
      </c>
      <c r="AL110" s="347">
        <v>788</v>
      </c>
      <c r="AM110" s="347" t="s">
        <v>1940</v>
      </c>
    </row>
    <row r="111" spans="7:39">
      <c r="G111" s="347"/>
      <c r="H111" s="347" t="s">
        <v>3153</v>
      </c>
      <c r="I111" s="347" t="s">
        <v>61</v>
      </c>
      <c r="J111" s="347" t="s">
        <v>56</v>
      </c>
      <c r="K111" s="10">
        <v>177</v>
      </c>
      <c r="L111" s="347" t="s">
        <v>1698</v>
      </c>
      <c r="M111" s="347" t="s">
        <v>3448</v>
      </c>
      <c r="N111" s="347" t="s">
        <v>3153</v>
      </c>
      <c r="O111" s="347" t="s">
        <v>15</v>
      </c>
      <c r="P111" s="347" t="s">
        <v>57</v>
      </c>
      <c r="Q111" s="347" t="s">
        <v>57</v>
      </c>
      <c r="R111" s="347" t="s">
        <v>58</v>
      </c>
      <c r="S111" s="347" t="s">
        <v>16</v>
      </c>
      <c r="T111" s="347">
        <v>778</v>
      </c>
      <c r="U111" s="347">
        <v>155848.95999999999</v>
      </c>
      <c r="V111" s="347" t="s">
        <v>2170</v>
      </c>
      <c r="W111" s="347">
        <v>0</v>
      </c>
      <c r="X111" s="347">
        <v>9</v>
      </c>
      <c r="Y111" s="347">
        <v>14026.41</v>
      </c>
      <c r="Z111" s="347">
        <v>9</v>
      </c>
      <c r="AA111" s="347">
        <v>14026.41</v>
      </c>
      <c r="AB111" s="347">
        <v>0</v>
      </c>
      <c r="AC111" s="347">
        <v>0</v>
      </c>
      <c r="AD111" s="347">
        <v>0</v>
      </c>
      <c r="AE111" s="347">
        <v>28052.82</v>
      </c>
      <c r="AF111" s="347">
        <v>0</v>
      </c>
      <c r="AG111" s="347" t="s">
        <v>65</v>
      </c>
      <c r="AH111" s="347" t="s">
        <v>3</v>
      </c>
      <c r="AI111" s="347">
        <v>63053200</v>
      </c>
      <c r="AJ111" s="347" t="s">
        <v>60</v>
      </c>
      <c r="AK111" s="347">
        <v>1</v>
      </c>
      <c r="AL111" s="347">
        <v>778</v>
      </c>
      <c r="AM111" s="347" t="s">
        <v>1940</v>
      </c>
    </row>
    <row r="112" spans="7:39">
      <c r="G112" s="347"/>
      <c r="H112" s="347" t="s">
        <v>3153</v>
      </c>
      <c r="I112" s="347" t="s">
        <v>2306</v>
      </c>
      <c r="J112" s="347" t="s">
        <v>2242</v>
      </c>
      <c r="K112" s="10" t="s">
        <v>3450</v>
      </c>
      <c r="L112" s="347" t="s">
        <v>2372</v>
      </c>
      <c r="M112" s="347" t="s">
        <v>3450</v>
      </c>
      <c r="N112" s="347" t="s">
        <v>3153</v>
      </c>
      <c r="O112" s="347" t="s">
        <v>15</v>
      </c>
      <c r="P112" s="347" t="s">
        <v>57</v>
      </c>
      <c r="Q112" s="347" t="s">
        <v>57</v>
      </c>
      <c r="R112" s="347" t="s">
        <v>58</v>
      </c>
      <c r="S112" s="347" t="s">
        <v>14</v>
      </c>
      <c r="T112" s="350">
        <v>18167</v>
      </c>
      <c r="U112" s="347">
        <v>4829922.72</v>
      </c>
      <c r="V112" s="347" t="s">
        <v>2307</v>
      </c>
      <c r="W112" s="347">
        <v>5278537.72</v>
      </c>
      <c r="X112" s="347">
        <v>0</v>
      </c>
      <c r="Y112" s="347">
        <v>0</v>
      </c>
      <c r="Z112" s="347">
        <v>0</v>
      </c>
      <c r="AA112" s="347">
        <v>0</v>
      </c>
      <c r="AB112" s="347">
        <v>18</v>
      </c>
      <c r="AC112" s="347">
        <v>869386.08959999995</v>
      </c>
      <c r="AD112" s="347">
        <v>0</v>
      </c>
      <c r="AE112" s="347">
        <v>869386.08959999995</v>
      </c>
      <c r="AF112" s="347">
        <v>0</v>
      </c>
      <c r="AG112" s="347" t="s">
        <v>2279</v>
      </c>
      <c r="AH112" s="347" t="s">
        <v>3</v>
      </c>
      <c r="AI112" s="347">
        <v>63053200</v>
      </c>
      <c r="AJ112" s="347" t="s">
        <v>2243</v>
      </c>
      <c r="AK112" s="347">
        <v>95.45</v>
      </c>
      <c r="AL112" s="347">
        <v>18167</v>
      </c>
      <c r="AM112" s="347" t="s">
        <v>2308</v>
      </c>
    </row>
    <row r="113" spans="7:39">
      <c r="G113" s="347"/>
      <c r="H113" s="347" t="s">
        <v>3167</v>
      </c>
      <c r="I113" s="347" t="s">
        <v>61</v>
      </c>
      <c r="J113" s="347" t="s">
        <v>56</v>
      </c>
      <c r="K113" s="10">
        <v>178</v>
      </c>
      <c r="L113" s="347" t="s">
        <v>75</v>
      </c>
      <c r="M113" s="347" t="s">
        <v>3451</v>
      </c>
      <c r="N113" s="347" t="s">
        <v>3167</v>
      </c>
      <c r="O113" s="347" t="s">
        <v>2</v>
      </c>
      <c r="P113" s="347" t="s">
        <v>67</v>
      </c>
      <c r="Q113" s="347" t="s">
        <v>68</v>
      </c>
      <c r="R113" s="347" t="s">
        <v>69</v>
      </c>
      <c r="S113" s="347" t="s">
        <v>70</v>
      </c>
      <c r="T113" s="347">
        <v>185</v>
      </c>
      <c r="U113" s="350">
        <v>8880</v>
      </c>
      <c r="V113" s="347" t="s">
        <v>591</v>
      </c>
      <c r="W113" s="347">
        <v>10469.52</v>
      </c>
      <c r="X113" s="347">
        <v>9</v>
      </c>
      <c r="Y113" s="347">
        <v>799.2</v>
      </c>
      <c r="Z113" s="347">
        <v>9</v>
      </c>
      <c r="AA113" s="347">
        <v>799.2</v>
      </c>
      <c r="AB113" s="347">
        <v>0</v>
      </c>
      <c r="AC113" s="347">
        <v>0</v>
      </c>
      <c r="AD113" s="347">
        <v>0</v>
      </c>
      <c r="AE113" s="347">
        <v>1598.4</v>
      </c>
      <c r="AF113" s="347">
        <v>0</v>
      </c>
      <c r="AG113" s="347" t="s">
        <v>65</v>
      </c>
      <c r="AH113" s="347" t="s">
        <v>3</v>
      </c>
      <c r="AI113" s="347">
        <v>73063090</v>
      </c>
      <c r="AJ113" s="347" t="s">
        <v>60</v>
      </c>
      <c r="AK113" s="347">
        <v>1</v>
      </c>
      <c r="AL113" s="347">
        <v>185</v>
      </c>
      <c r="AM113" s="347" t="s">
        <v>1940</v>
      </c>
    </row>
    <row r="114" spans="7:39">
      <c r="G114" s="347"/>
      <c r="H114" s="347" t="s">
        <v>3167</v>
      </c>
      <c r="I114" s="347" t="s">
        <v>61</v>
      </c>
      <c r="J114" s="347" t="s">
        <v>56</v>
      </c>
      <c r="K114" s="10">
        <v>179</v>
      </c>
      <c r="L114" s="347" t="s">
        <v>75</v>
      </c>
      <c r="M114" s="347" t="s">
        <v>3452</v>
      </c>
      <c r="N114" s="347" t="s">
        <v>3167</v>
      </c>
      <c r="O114" s="347" t="s">
        <v>8</v>
      </c>
      <c r="P114" s="347" t="s">
        <v>110</v>
      </c>
      <c r="Q114" s="347" t="s">
        <v>800</v>
      </c>
      <c r="R114" s="347" t="s">
        <v>800</v>
      </c>
      <c r="S114" s="347" t="s">
        <v>801</v>
      </c>
      <c r="T114" s="347">
        <v>170</v>
      </c>
      <c r="U114" s="350">
        <v>18360</v>
      </c>
      <c r="V114" s="347" t="s">
        <v>801</v>
      </c>
      <c r="W114" s="347">
        <v>21646.44</v>
      </c>
      <c r="X114" s="347">
        <v>9</v>
      </c>
      <c r="Y114" s="347">
        <v>1652.4</v>
      </c>
      <c r="Z114" s="347">
        <v>9</v>
      </c>
      <c r="AA114" s="347">
        <v>1652.4</v>
      </c>
      <c r="AB114" s="347">
        <v>0</v>
      </c>
      <c r="AC114" s="347">
        <v>0</v>
      </c>
      <c r="AD114" s="347">
        <v>0</v>
      </c>
      <c r="AE114" s="347">
        <v>3304.8</v>
      </c>
      <c r="AF114" s="347">
        <v>0</v>
      </c>
      <c r="AG114" s="347" t="s">
        <v>65</v>
      </c>
      <c r="AH114" s="347" t="s">
        <v>3</v>
      </c>
      <c r="AI114" s="347">
        <v>38140011</v>
      </c>
      <c r="AJ114" s="347" t="s">
        <v>60</v>
      </c>
      <c r="AK114" s="347">
        <v>1</v>
      </c>
      <c r="AL114" s="347">
        <v>170</v>
      </c>
      <c r="AM114" s="347" t="s">
        <v>1940</v>
      </c>
    </row>
    <row r="115" spans="7:39">
      <c r="G115" s="347"/>
      <c r="H115" s="347" t="s">
        <v>3204</v>
      </c>
      <c r="I115" s="347" t="s">
        <v>61</v>
      </c>
      <c r="J115" s="347" t="s">
        <v>56</v>
      </c>
      <c r="K115" s="10">
        <v>180</v>
      </c>
      <c r="L115" s="347" t="s">
        <v>75</v>
      </c>
      <c r="M115" s="347" t="s">
        <v>3453</v>
      </c>
      <c r="N115" s="347" t="s">
        <v>3204</v>
      </c>
      <c r="O115" s="347" t="s">
        <v>2</v>
      </c>
      <c r="P115" s="347" t="s">
        <v>67</v>
      </c>
      <c r="Q115" s="347" t="s">
        <v>68</v>
      </c>
      <c r="R115" s="347" t="s">
        <v>69</v>
      </c>
      <c r="S115" s="347" t="s">
        <v>70</v>
      </c>
      <c r="T115" s="347">
        <v>474</v>
      </c>
      <c r="U115" s="350">
        <v>22752</v>
      </c>
      <c r="V115" s="347" t="s">
        <v>591</v>
      </c>
      <c r="W115" s="347">
        <v>26824.61</v>
      </c>
      <c r="X115" s="347">
        <v>9</v>
      </c>
      <c r="Y115" s="347">
        <v>2047.68</v>
      </c>
      <c r="Z115" s="347">
        <v>9</v>
      </c>
      <c r="AA115" s="347">
        <v>2047.68</v>
      </c>
      <c r="AB115" s="347">
        <v>0</v>
      </c>
      <c r="AC115" s="347">
        <v>0</v>
      </c>
      <c r="AD115" s="347">
        <v>0</v>
      </c>
      <c r="AE115" s="347">
        <v>4095.36</v>
      </c>
      <c r="AF115" s="347">
        <v>0</v>
      </c>
      <c r="AG115" s="347" t="s">
        <v>65</v>
      </c>
      <c r="AH115" s="347" t="s">
        <v>3</v>
      </c>
      <c r="AI115" s="347">
        <v>73063090</v>
      </c>
      <c r="AJ115" s="347" t="s">
        <v>60</v>
      </c>
      <c r="AK115" s="347">
        <v>1</v>
      </c>
      <c r="AL115" s="347">
        <v>474</v>
      </c>
      <c r="AM115" s="347" t="s">
        <v>1940</v>
      </c>
    </row>
    <row r="116" spans="7:39">
      <c r="G116" s="347"/>
      <c r="H116" s="347" t="s">
        <v>3224</v>
      </c>
      <c r="I116" s="347" t="s">
        <v>61</v>
      </c>
      <c r="J116" s="347" t="s">
        <v>56</v>
      </c>
      <c r="K116" s="10">
        <v>181</v>
      </c>
      <c r="L116" s="347" t="s">
        <v>75</v>
      </c>
      <c r="M116" s="347" t="s">
        <v>3454</v>
      </c>
      <c r="N116" s="347" t="s">
        <v>3224</v>
      </c>
      <c r="O116" s="347" t="s">
        <v>2</v>
      </c>
      <c r="P116" s="347" t="s">
        <v>67</v>
      </c>
      <c r="Q116" s="347" t="s">
        <v>68</v>
      </c>
      <c r="R116" s="347" t="s">
        <v>69</v>
      </c>
      <c r="S116" s="347" t="s">
        <v>70</v>
      </c>
      <c r="T116" s="347">
        <v>456</v>
      </c>
      <c r="U116" s="350">
        <v>21888</v>
      </c>
      <c r="V116" s="347" t="s">
        <v>591</v>
      </c>
      <c r="W116" s="347">
        <v>25805.95</v>
      </c>
      <c r="X116" s="347">
        <v>9</v>
      </c>
      <c r="Y116" s="347">
        <v>1969.92</v>
      </c>
      <c r="Z116" s="347">
        <v>9</v>
      </c>
      <c r="AA116" s="347">
        <v>1969.92</v>
      </c>
      <c r="AB116" s="347">
        <v>0</v>
      </c>
      <c r="AC116" s="347">
        <v>0</v>
      </c>
      <c r="AD116" s="347">
        <v>0</v>
      </c>
      <c r="AE116" s="347">
        <v>3939.84</v>
      </c>
      <c r="AF116" s="347">
        <v>0</v>
      </c>
      <c r="AG116" s="347" t="s">
        <v>65</v>
      </c>
      <c r="AH116" s="347" t="s">
        <v>3</v>
      </c>
      <c r="AI116" s="347">
        <v>73063090</v>
      </c>
      <c r="AJ116" s="347" t="s">
        <v>60</v>
      </c>
      <c r="AK116" s="347">
        <v>1</v>
      </c>
      <c r="AL116" s="347">
        <v>456</v>
      </c>
      <c r="AM116" s="347" t="s">
        <v>1940</v>
      </c>
    </row>
    <row r="117" spans="7:39">
      <c r="G117" s="347"/>
      <c r="H117" s="347" t="s">
        <v>3224</v>
      </c>
      <c r="I117" s="347" t="s">
        <v>61</v>
      </c>
      <c r="J117" s="347" t="s">
        <v>56</v>
      </c>
      <c r="K117" s="10">
        <v>182</v>
      </c>
      <c r="L117" s="347" t="s">
        <v>75</v>
      </c>
      <c r="M117" s="347" t="s">
        <v>3455</v>
      </c>
      <c r="N117" s="347" t="s">
        <v>3224</v>
      </c>
      <c r="O117" s="347" t="s">
        <v>15</v>
      </c>
      <c r="P117" s="347" t="s">
        <v>57</v>
      </c>
      <c r="Q117" s="347" t="s">
        <v>57</v>
      </c>
      <c r="R117" s="347" t="s">
        <v>58</v>
      </c>
      <c r="S117" s="347" t="s">
        <v>16</v>
      </c>
      <c r="T117" s="347">
        <v>426</v>
      </c>
      <c r="U117" s="350">
        <v>91338.66</v>
      </c>
      <c r="V117" s="347" t="s">
        <v>3456</v>
      </c>
      <c r="W117" s="347">
        <v>2352542.92</v>
      </c>
      <c r="X117" s="347">
        <v>9</v>
      </c>
      <c r="Y117" s="347">
        <v>8220.48</v>
      </c>
      <c r="Z117" s="347">
        <v>9</v>
      </c>
      <c r="AA117" s="347">
        <v>8220.48</v>
      </c>
      <c r="AB117" s="347">
        <v>0</v>
      </c>
      <c r="AC117" s="347">
        <v>0</v>
      </c>
      <c r="AD117" s="347">
        <v>0</v>
      </c>
      <c r="AE117" s="347">
        <v>16440.96</v>
      </c>
      <c r="AF117" s="347">
        <v>0</v>
      </c>
      <c r="AG117" s="347" t="s">
        <v>65</v>
      </c>
      <c r="AH117" s="347" t="s">
        <v>3</v>
      </c>
      <c r="AI117" s="347">
        <v>63053200</v>
      </c>
      <c r="AJ117" s="347" t="s">
        <v>60</v>
      </c>
      <c r="AK117" s="347">
        <v>1</v>
      </c>
      <c r="AL117" s="347">
        <v>426</v>
      </c>
      <c r="AM117" s="347" t="s">
        <v>1940</v>
      </c>
    </row>
    <row r="118" spans="7:39">
      <c r="G118" s="347"/>
      <c r="H118" s="347" t="s">
        <v>3224</v>
      </c>
      <c r="I118" s="347" t="s">
        <v>61</v>
      </c>
      <c r="J118" s="347" t="s">
        <v>56</v>
      </c>
      <c r="K118" s="10">
        <v>182</v>
      </c>
      <c r="L118" s="347" t="s">
        <v>75</v>
      </c>
      <c r="M118" s="347" t="s">
        <v>3455</v>
      </c>
      <c r="N118" s="347" t="s">
        <v>3224</v>
      </c>
      <c r="O118" s="347" t="s">
        <v>15</v>
      </c>
      <c r="P118" s="347" t="s">
        <v>57</v>
      </c>
      <c r="Q118" s="347" t="s">
        <v>57</v>
      </c>
      <c r="R118" s="347" t="s">
        <v>58</v>
      </c>
      <c r="S118" s="347" t="s">
        <v>16</v>
      </c>
      <c r="T118" s="350">
        <v>8940.7999999999993</v>
      </c>
      <c r="U118" s="347">
        <v>1904032.77</v>
      </c>
      <c r="V118" s="347" t="s">
        <v>3456</v>
      </c>
      <c r="W118" s="347">
        <v>0</v>
      </c>
      <c r="X118" s="347">
        <v>9</v>
      </c>
      <c r="Y118" s="347">
        <v>171362.95</v>
      </c>
      <c r="Z118" s="347">
        <v>9</v>
      </c>
      <c r="AA118" s="347">
        <v>171362.95</v>
      </c>
      <c r="AB118" s="347">
        <v>0</v>
      </c>
      <c r="AC118" s="347">
        <v>0</v>
      </c>
      <c r="AD118" s="347">
        <v>0</v>
      </c>
      <c r="AE118" s="347">
        <v>342725.9</v>
      </c>
      <c r="AF118" s="347">
        <v>0</v>
      </c>
      <c r="AG118" s="347" t="s">
        <v>65</v>
      </c>
      <c r="AH118" s="347" t="s">
        <v>3</v>
      </c>
      <c r="AI118" s="347">
        <v>63053200</v>
      </c>
      <c r="AJ118" s="347" t="s">
        <v>60</v>
      </c>
      <c r="AK118" s="347">
        <v>1</v>
      </c>
      <c r="AL118" s="347">
        <v>8940.7999999999993</v>
      </c>
      <c r="AM118" s="347" t="s">
        <v>1940</v>
      </c>
    </row>
    <row r="119" spans="7:39">
      <c r="G119" s="347"/>
      <c r="H119" s="347" t="s">
        <v>3224</v>
      </c>
      <c r="I119" s="347" t="s">
        <v>2544</v>
      </c>
      <c r="J119" s="347" t="s">
        <v>2242</v>
      </c>
      <c r="K119" s="10" t="s">
        <v>3457</v>
      </c>
      <c r="L119" s="347" t="s">
        <v>2372</v>
      </c>
      <c r="M119" s="347" t="s">
        <v>3457</v>
      </c>
      <c r="N119" s="347" t="s">
        <v>3224</v>
      </c>
      <c r="O119" s="347" t="s">
        <v>15</v>
      </c>
      <c r="P119" s="347" t="s">
        <v>57</v>
      </c>
      <c r="Q119" s="347" t="s">
        <v>57</v>
      </c>
      <c r="R119" s="347" t="s">
        <v>58</v>
      </c>
      <c r="S119" s="347" t="s">
        <v>16</v>
      </c>
      <c r="T119" s="350">
        <v>18977.900000000001</v>
      </c>
      <c r="U119" s="347">
        <v>4025862.83</v>
      </c>
      <c r="V119" s="347" t="s">
        <v>2541</v>
      </c>
      <c r="W119" s="347">
        <v>4443292.01</v>
      </c>
      <c r="X119" s="347">
        <v>0</v>
      </c>
      <c r="Y119" s="347">
        <v>0</v>
      </c>
      <c r="Z119" s="347">
        <v>0</v>
      </c>
      <c r="AA119" s="347">
        <v>0</v>
      </c>
      <c r="AB119" s="347">
        <v>18</v>
      </c>
      <c r="AC119" s="347">
        <v>724655.33559999999</v>
      </c>
      <c r="AD119" s="347">
        <v>0</v>
      </c>
      <c r="AE119" s="347">
        <v>724655.33559999999</v>
      </c>
      <c r="AF119" s="347">
        <v>0</v>
      </c>
      <c r="AG119" s="347" t="s">
        <v>2279</v>
      </c>
      <c r="AH119" s="347" t="s">
        <v>3</v>
      </c>
      <c r="AI119" s="347">
        <v>63053200</v>
      </c>
      <c r="AJ119" s="347" t="s">
        <v>2545</v>
      </c>
      <c r="AK119" s="347">
        <v>128.30000000000001</v>
      </c>
      <c r="AL119" s="347">
        <v>18977.900000000001</v>
      </c>
      <c r="AM119" s="347" t="s">
        <v>2546</v>
      </c>
    </row>
    <row r="120" spans="7:39">
      <c r="G120" s="347"/>
      <c r="H120" s="347" t="s">
        <v>3248</v>
      </c>
      <c r="I120" s="347" t="s">
        <v>61</v>
      </c>
      <c r="J120" s="347" t="s">
        <v>56</v>
      </c>
      <c r="K120" s="10">
        <v>183</v>
      </c>
      <c r="L120" s="347" t="s">
        <v>2231</v>
      </c>
      <c r="M120" s="347" t="s">
        <v>3458</v>
      </c>
      <c r="N120" s="347" t="s">
        <v>3248</v>
      </c>
      <c r="O120" s="347" t="s">
        <v>13</v>
      </c>
      <c r="P120" s="347" t="s">
        <v>71</v>
      </c>
      <c r="Q120" s="347" t="s">
        <v>71</v>
      </c>
      <c r="R120" s="347" t="s">
        <v>72</v>
      </c>
      <c r="S120" s="347" t="s">
        <v>22</v>
      </c>
      <c r="T120" s="350">
        <v>5251</v>
      </c>
      <c r="U120" s="350">
        <v>63012</v>
      </c>
      <c r="V120" s="347" t="s">
        <v>22</v>
      </c>
      <c r="W120" s="347">
        <v>75841.240000000005</v>
      </c>
      <c r="X120" s="347">
        <v>9</v>
      </c>
      <c r="Y120" s="347">
        <v>5671.08</v>
      </c>
      <c r="Z120" s="347">
        <v>9</v>
      </c>
      <c r="AA120" s="347">
        <v>5671.08</v>
      </c>
      <c r="AB120" s="347">
        <v>0</v>
      </c>
      <c r="AC120" s="347">
        <v>0</v>
      </c>
      <c r="AD120" s="347">
        <v>0</v>
      </c>
      <c r="AE120" s="347">
        <v>11342.16</v>
      </c>
      <c r="AF120" s="347">
        <v>1487.08</v>
      </c>
      <c r="AG120" s="347" t="s">
        <v>65</v>
      </c>
      <c r="AH120" s="347" t="s">
        <v>3</v>
      </c>
      <c r="AI120" s="347">
        <v>39159029</v>
      </c>
      <c r="AJ120" s="347" t="s">
        <v>60</v>
      </c>
      <c r="AK120" s="347">
        <v>1</v>
      </c>
      <c r="AL120" s="347">
        <v>5251</v>
      </c>
      <c r="AM120" s="347" t="s">
        <v>1940</v>
      </c>
    </row>
    <row r="121" spans="7:39">
      <c r="G121" s="347"/>
      <c r="H121" s="347" t="s">
        <v>3248</v>
      </c>
      <c r="I121" s="347" t="s">
        <v>61</v>
      </c>
      <c r="J121" s="347" t="s">
        <v>56</v>
      </c>
      <c r="K121" s="10">
        <v>185</v>
      </c>
      <c r="L121" s="347" t="s">
        <v>75</v>
      </c>
      <c r="M121" s="347" t="s">
        <v>3459</v>
      </c>
      <c r="N121" s="347" t="s">
        <v>3248</v>
      </c>
      <c r="O121" s="347" t="s">
        <v>2</v>
      </c>
      <c r="P121" s="347" t="s">
        <v>67</v>
      </c>
      <c r="Q121" s="347" t="s">
        <v>68</v>
      </c>
      <c r="R121" s="347" t="s">
        <v>69</v>
      </c>
      <c r="S121" s="347" t="s">
        <v>70</v>
      </c>
      <c r="T121" s="347">
        <v>640</v>
      </c>
      <c r="U121" s="350">
        <v>30720</v>
      </c>
      <c r="V121" s="347" t="s">
        <v>591</v>
      </c>
      <c r="W121" s="347">
        <v>36218.879999999997</v>
      </c>
      <c r="X121" s="347">
        <v>9</v>
      </c>
      <c r="Y121" s="347">
        <v>2764.8</v>
      </c>
      <c r="Z121" s="347">
        <v>9</v>
      </c>
      <c r="AA121" s="347">
        <v>2764.8</v>
      </c>
      <c r="AB121" s="347">
        <v>0</v>
      </c>
      <c r="AC121" s="347">
        <v>0</v>
      </c>
      <c r="AD121" s="347">
        <v>0</v>
      </c>
      <c r="AE121" s="347">
        <v>5529.6</v>
      </c>
      <c r="AF121" s="347">
        <v>0</v>
      </c>
      <c r="AG121" s="347" t="s">
        <v>65</v>
      </c>
      <c r="AH121" s="347" t="s">
        <v>3</v>
      </c>
      <c r="AI121" s="347">
        <v>73063090</v>
      </c>
      <c r="AJ121" s="347" t="s">
        <v>60</v>
      </c>
      <c r="AK121" s="347">
        <v>1</v>
      </c>
      <c r="AL121" s="347">
        <v>640</v>
      </c>
      <c r="AM121" s="347" t="s">
        <v>1940</v>
      </c>
    </row>
    <row r="122" spans="7:39">
      <c r="G122" s="347"/>
      <c r="H122" s="347" t="s">
        <v>3248</v>
      </c>
      <c r="I122" s="347" t="s">
        <v>61</v>
      </c>
      <c r="J122" s="347" t="s">
        <v>56</v>
      </c>
      <c r="K122" s="10">
        <v>186</v>
      </c>
      <c r="L122" s="347" t="s">
        <v>2231</v>
      </c>
      <c r="M122" s="347" t="s">
        <v>3460</v>
      </c>
      <c r="N122" s="347" t="s">
        <v>3248</v>
      </c>
      <c r="O122" s="347" t="s">
        <v>15</v>
      </c>
      <c r="P122" s="347" t="s">
        <v>2117</v>
      </c>
      <c r="Q122" s="347" t="s">
        <v>2117</v>
      </c>
      <c r="R122" s="347" t="s">
        <v>2117</v>
      </c>
      <c r="S122" s="347" t="s">
        <v>72</v>
      </c>
      <c r="T122" s="350">
        <v>1809</v>
      </c>
      <c r="U122" s="350">
        <v>50652</v>
      </c>
      <c r="V122" s="347" t="s">
        <v>2440</v>
      </c>
      <c r="W122" s="347">
        <v>60964.75</v>
      </c>
      <c r="X122" s="347">
        <v>9</v>
      </c>
      <c r="Y122" s="347">
        <v>4558.68</v>
      </c>
      <c r="Z122" s="347">
        <v>9</v>
      </c>
      <c r="AA122" s="347">
        <v>4558.68</v>
      </c>
      <c r="AB122" s="347">
        <v>0</v>
      </c>
      <c r="AC122" s="347">
        <v>0</v>
      </c>
      <c r="AD122" s="347">
        <v>0</v>
      </c>
      <c r="AE122" s="347">
        <v>9117.36</v>
      </c>
      <c r="AF122" s="347">
        <v>1195.3900000000001</v>
      </c>
      <c r="AG122" s="347" t="s">
        <v>65</v>
      </c>
      <c r="AH122" s="347" t="s">
        <v>3</v>
      </c>
      <c r="AI122" s="347">
        <v>39159029</v>
      </c>
      <c r="AJ122" s="347" t="s">
        <v>60</v>
      </c>
      <c r="AK122" s="347">
        <v>1</v>
      </c>
      <c r="AL122" s="347">
        <v>1809</v>
      </c>
      <c r="AM122" s="347" t="s">
        <v>1940</v>
      </c>
    </row>
    <row r="123" spans="7:39">
      <c r="G123" s="347"/>
      <c r="H123" s="347" t="s">
        <v>3257</v>
      </c>
      <c r="I123" s="347" t="s">
        <v>61</v>
      </c>
      <c r="J123" s="347" t="s">
        <v>56</v>
      </c>
      <c r="K123" s="10">
        <v>187</v>
      </c>
      <c r="L123" s="347" t="s">
        <v>75</v>
      </c>
      <c r="M123" s="347" t="s">
        <v>3461</v>
      </c>
      <c r="N123" s="347" t="s">
        <v>3257</v>
      </c>
      <c r="O123" s="347" t="s">
        <v>2</v>
      </c>
      <c r="P123" s="347" t="s">
        <v>67</v>
      </c>
      <c r="Q123" s="347" t="s">
        <v>68</v>
      </c>
      <c r="R123" s="347" t="s">
        <v>69</v>
      </c>
      <c r="S123" s="347" t="s">
        <v>70</v>
      </c>
      <c r="T123" s="347">
        <v>246</v>
      </c>
      <c r="U123" s="350">
        <v>11808</v>
      </c>
      <c r="V123" s="347" t="s">
        <v>591</v>
      </c>
      <c r="W123" s="347">
        <v>13921.63</v>
      </c>
      <c r="X123" s="347">
        <v>9</v>
      </c>
      <c r="Y123" s="347">
        <v>1062.72</v>
      </c>
      <c r="Z123" s="347">
        <v>9</v>
      </c>
      <c r="AA123" s="347">
        <v>1062.72</v>
      </c>
      <c r="AB123" s="347">
        <v>0</v>
      </c>
      <c r="AC123" s="347">
        <v>0</v>
      </c>
      <c r="AD123" s="347">
        <v>0</v>
      </c>
      <c r="AE123" s="347">
        <v>2125.44</v>
      </c>
      <c r="AF123" s="347">
        <v>0</v>
      </c>
      <c r="AG123" s="347" t="s">
        <v>65</v>
      </c>
      <c r="AH123" s="347" t="s">
        <v>3</v>
      </c>
      <c r="AI123" s="347">
        <v>73063090</v>
      </c>
      <c r="AJ123" s="347" t="s">
        <v>60</v>
      </c>
      <c r="AK123" s="347">
        <v>1</v>
      </c>
      <c r="AL123" s="347">
        <v>246</v>
      </c>
      <c r="AM123" s="347" t="s">
        <v>1940</v>
      </c>
    </row>
    <row r="124" spans="7:39">
      <c r="G124" s="347"/>
      <c r="H124" s="347" t="s">
        <v>3264</v>
      </c>
      <c r="I124" s="347" t="s">
        <v>78</v>
      </c>
      <c r="J124" s="347" t="s">
        <v>56</v>
      </c>
      <c r="K124" s="10" t="s">
        <v>3462</v>
      </c>
      <c r="L124" s="347" t="s">
        <v>2374</v>
      </c>
      <c r="M124" s="347" t="s">
        <v>3462</v>
      </c>
      <c r="N124" s="347" t="s">
        <v>3264</v>
      </c>
      <c r="O124" s="347" t="s">
        <v>15</v>
      </c>
      <c r="P124" s="347" t="s">
        <v>57</v>
      </c>
      <c r="Q124" s="347" t="s">
        <v>57</v>
      </c>
      <c r="R124" s="347" t="s">
        <v>58</v>
      </c>
      <c r="S124" s="347" t="s">
        <v>16</v>
      </c>
      <c r="T124" s="350">
        <v>3280</v>
      </c>
      <c r="U124" s="347">
        <v>811668.8</v>
      </c>
      <c r="V124" s="347" t="s">
        <v>3463</v>
      </c>
      <c r="W124" s="347">
        <v>4138427.3</v>
      </c>
      <c r="X124" s="347">
        <v>0.05</v>
      </c>
      <c r="Y124" s="347">
        <v>405.83</v>
      </c>
      <c r="Z124" s="347">
        <v>0.05</v>
      </c>
      <c r="AA124" s="347">
        <v>405.83</v>
      </c>
      <c r="AB124" s="347">
        <v>0</v>
      </c>
      <c r="AC124" s="347">
        <v>0</v>
      </c>
      <c r="AD124" s="347">
        <v>0</v>
      </c>
      <c r="AE124" s="347">
        <v>811.66</v>
      </c>
      <c r="AF124" s="347">
        <v>-4138.3999999999996</v>
      </c>
      <c r="AG124" s="347" t="s">
        <v>59</v>
      </c>
      <c r="AH124" s="347" t="s">
        <v>3</v>
      </c>
      <c r="AI124" s="347">
        <v>63053200</v>
      </c>
      <c r="AJ124" s="347" t="s">
        <v>60</v>
      </c>
      <c r="AK124" s="347">
        <v>1</v>
      </c>
      <c r="AL124" s="347">
        <v>3280</v>
      </c>
      <c r="AM124" s="347" t="s">
        <v>1940</v>
      </c>
    </row>
    <row r="125" spans="7:39">
      <c r="G125" s="347"/>
      <c r="H125" s="347" t="s">
        <v>3264</v>
      </c>
      <c r="I125" s="347" t="s">
        <v>78</v>
      </c>
      <c r="J125" s="347" t="s">
        <v>56</v>
      </c>
      <c r="K125" s="10" t="s">
        <v>3462</v>
      </c>
      <c r="L125" s="347" t="s">
        <v>2374</v>
      </c>
      <c r="M125" s="347" t="s">
        <v>3462</v>
      </c>
      <c r="N125" s="347" t="s">
        <v>3264</v>
      </c>
      <c r="O125" s="347" t="s">
        <v>15</v>
      </c>
      <c r="P125" s="347" t="s">
        <v>57</v>
      </c>
      <c r="Q125" s="347" t="s">
        <v>57</v>
      </c>
      <c r="R125" s="347" t="s">
        <v>58</v>
      </c>
      <c r="S125" s="347" t="s">
        <v>16</v>
      </c>
      <c r="T125" s="350">
        <v>1752</v>
      </c>
      <c r="U125" s="347">
        <v>409144.56</v>
      </c>
      <c r="V125" s="347" t="s">
        <v>3464</v>
      </c>
      <c r="W125" s="347">
        <v>0</v>
      </c>
      <c r="X125" s="347">
        <v>0.05</v>
      </c>
      <c r="Y125" s="347">
        <v>204.57</v>
      </c>
      <c r="Z125" s="347">
        <v>0.05</v>
      </c>
      <c r="AA125" s="347">
        <v>204.57</v>
      </c>
      <c r="AB125" s="347">
        <v>0</v>
      </c>
      <c r="AC125" s="347">
        <v>0</v>
      </c>
      <c r="AD125" s="347">
        <v>0</v>
      </c>
      <c r="AE125" s="347">
        <v>409.14</v>
      </c>
      <c r="AF125" s="347">
        <v>-4138.3999999999996</v>
      </c>
      <c r="AG125" s="347" t="s">
        <v>59</v>
      </c>
      <c r="AH125" s="347" t="s">
        <v>3</v>
      </c>
      <c r="AI125" s="347">
        <v>63053200</v>
      </c>
      <c r="AJ125" s="347" t="s">
        <v>60</v>
      </c>
      <c r="AK125" s="347">
        <v>1</v>
      </c>
      <c r="AL125" s="347">
        <v>1752</v>
      </c>
      <c r="AM125" s="347" t="s">
        <v>1940</v>
      </c>
    </row>
    <row r="126" spans="7:39">
      <c r="G126" s="347"/>
      <c r="H126" s="347" t="s">
        <v>3264</v>
      </c>
      <c r="I126" s="347" t="s">
        <v>78</v>
      </c>
      <c r="J126" s="347" t="s">
        <v>56</v>
      </c>
      <c r="K126" s="10" t="s">
        <v>3462</v>
      </c>
      <c r="L126" s="347" t="s">
        <v>2374</v>
      </c>
      <c r="M126" s="347" t="s">
        <v>3462</v>
      </c>
      <c r="N126" s="347" t="s">
        <v>3264</v>
      </c>
      <c r="O126" s="347" t="s">
        <v>15</v>
      </c>
      <c r="P126" s="347" t="s">
        <v>57</v>
      </c>
      <c r="Q126" s="347" t="s">
        <v>57</v>
      </c>
      <c r="R126" s="347" t="s">
        <v>58</v>
      </c>
      <c r="S126" s="347" t="s">
        <v>16</v>
      </c>
      <c r="T126" s="350">
        <v>3909</v>
      </c>
      <c r="U126" s="347">
        <v>787507.14</v>
      </c>
      <c r="V126" s="347" t="s">
        <v>2170</v>
      </c>
      <c r="W126" s="347">
        <v>0</v>
      </c>
      <c r="X126" s="347">
        <v>0.05</v>
      </c>
      <c r="Y126" s="347">
        <v>393.75</v>
      </c>
      <c r="Z126" s="347">
        <v>0.05</v>
      </c>
      <c r="AA126" s="347">
        <v>393.75</v>
      </c>
      <c r="AB126" s="347">
        <v>0</v>
      </c>
      <c r="AC126" s="347">
        <v>0</v>
      </c>
      <c r="AD126" s="347">
        <v>0</v>
      </c>
      <c r="AE126" s="347">
        <v>787.5</v>
      </c>
      <c r="AF126" s="347">
        <v>-4138.3999999999996</v>
      </c>
      <c r="AG126" s="347" t="s">
        <v>59</v>
      </c>
      <c r="AH126" s="347" t="s">
        <v>3</v>
      </c>
      <c r="AI126" s="347">
        <v>63053200</v>
      </c>
      <c r="AJ126" s="347" t="s">
        <v>60</v>
      </c>
      <c r="AK126" s="347">
        <v>1</v>
      </c>
      <c r="AL126" s="347">
        <v>3909</v>
      </c>
      <c r="AM126" s="347" t="s">
        <v>1940</v>
      </c>
    </row>
    <row r="127" spans="7:39">
      <c r="G127" s="347"/>
      <c r="H127" s="347" t="s">
        <v>3264</v>
      </c>
      <c r="I127" s="347" t="s">
        <v>78</v>
      </c>
      <c r="J127" s="347" t="s">
        <v>56</v>
      </c>
      <c r="K127" s="10" t="s">
        <v>3462</v>
      </c>
      <c r="L127" s="347" t="s">
        <v>2374</v>
      </c>
      <c r="M127" s="347" t="s">
        <v>3462</v>
      </c>
      <c r="N127" s="347" t="s">
        <v>3264</v>
      </c>
      <c r="O127" s="347" t="s">
        <v>15</v>
      </c>
      <c r="P127" s="347" t="s">
        <v>57</v>
      </c>
      <c r="Q127" s="347" t="s">
        <v>57</v>
      </c>
      <c r="R127" s="347" t="s">
        <v>58</v>
      </c>
      <c r="S127" s="347" t="s">
        <v>16</v>
      </c>
      <c r="T127" s="350">
        <v>1774</v>
      </c>
      <c r="U127" s="347">
        <v>334647.36</v>
      </c>
      <c r="V127" s="347" t="s">
        <v>2170</v>
      </c>
      <c r="W127" s="347">
        <v>0</v>
      </c>
      <c r="X127" s="347">
        <v>0.05</v>
      </c>
      <c r="Y127" s="347">
        <v>167.32</v>
      </c>
      <c r="Z127" s="347">
        <v>0.05</v>
      </c>
      <c r="AA127" s="347">
        <v>167.32</v>
      </c>
      <c r="AB127" s="347">
        <v>0</v>
      </c>
      <c r="AC127" s="347">
        <v>0</v>
      </c>
      <c r="AD127" s="347">
        <v>0</v>
      </c>
      <c r="AE127" s="347">
        <v>334.64</v>
      </c>
      <c r="AF127" s="347">
        <v>-4138.3999999999996</v>
      </c>
      <c r="AG127" s="347" t="s">
        <v>59</v>
      </c>
      <c r="AH127" s="347" t="s">
        <v>3</v>
      </c>
      <c r="AI127" s="347">
        <v>63053200</v>
      </c>
      <c r="AJ127" s="347" t="s">
        <v>60</v>
      </c>
      <c r="AK127" s="347">
        <v>1</v>
      </c>
      <c r="AL127" s="347">
        <v>1774</v>
      </c>
      <c r="AM127" s="347" t="s">
        <v>1940</v>
      </c>
    </row>
    <row r="128" spans="7:39">
      <c r="G128" s="347"/>
      <c r="H128" s="347" t="s">
        <v>3264</v>
      </c>
      <c r="I128" s="347" t="s">
        <v>78</v>
      </c>
      <c r="J128" s="347" t="s">
        <v>56</v>
      </c>
      <c r="K128" s="10" t="s">
        <v>3462</v>
      </c>
      <c r="L128" s="347" t="s">
        <v>2374</v>
      </c>
      <c r="M128" s="347" t="s">
        <v>3462</v>
      </c>
      <c r="N128" s="347" t="s">
        <v>3264</v>
      </c>
      <c r="O128" s="347" t="s">
        <v>15</v>
      </c>
      <c r="P128" s="347" t="s">
        <v>57</v>
      </c>
      <c r="Q128" s="347" t="s">
        <v>57</v>
      </c>
      <c r="R128" s="347" t="s">
        <v>58</v>
      </c>
      <c r="S128" s="347" t="s">
        <v>16</v>
      </c>
      <c r="T128" s="350">
        <v>2940</v>
      </c>
      <c r="U128" s="347">
        <v>581884.80000000005</v>
      </c>
      <c r="V128" s="347" t="s">
        <v>3465</v>
      </c>
      <c r="W128" s="347">
        <v>0</v>
      </c>
      <c r="X128" s="347">
        <v>0.05</v>
      </c>
      <c r="Y128" s="347">
        <v>290.94</v>
      </c>
      <c r="Z128" s="347">
        <v>0.05</v>
      </c>
      <c r="AA128" s="347">
        <v>290.94</v>
      </c>
      <c r="AB128" s="347">
        <v>0</v>
      </c>
      <c r="AC128" s="347">
        <v>0</v>
      </c>
      <c r="AD128" s="347">
        <v>0</v>
      </c>
      <c r="AE128" s="347">
        <v>581.88</v>
      </c>
      <c r="AF128" s="347">
        <v>-4138.3999999999996</v>
      </c>
      <c r="AG128" s="347" t="s">
        <v>59</v>
      </c>
      <c r="AH128" s="347" t="s">
        <v>3</v>
      </c>
      <c r="AI128" s="347">
        <v>63053200</v>
      </c>
      <c r="AJ128" s="347" t="s">
        <v>60</v>
      </c>
      <c r="AK128" s="347">
        <v>1</v>
      </c>
      <c r="AL128" s="347">
        <v>2940</v>
      </c>
      <c r="AM128" s="347" t="s">
        <v>1940</v>
      </c>
    </row>
    <row r="129" spans="7:39">
      <c r="G129" s="347"/>
      <c r="H129" s="347" t="s">
        <v>3264</v>
      </c>
      <c r="I129" s="347" t="s">
        <v>78</v>
      </c>
      <c r="J129" s="347" t="s">
        <v>56</v>
      </c>
      <c r="K129" s="10" t="s">
        <v>3462</v>
      </c>
      <c r="L129" s="347" t="s">
        <v>2374</v>
      </c>
      <c r="M129" s="347" t="s">
        <v>3462</v>
      </c>
      <c r="N129" s="347" t="s">
        <v>3264</v>
      </c>
      <c r="O129" s="347" t="s">
        <v>15</v>
      </c>
      <c r="P129" s="347" t="s">
        <v>57</v>
      </c>
      <c r="Q129" s="347" t="s">
        <v>57</v>
      </c>
      <c r="R129" s="347" t="s">
        <v>58</v>
      </c>
      <c r="S129" s="347" t="s">
        <v>16</v>
      </c>
      <c r="T129" s="347">
        <v>399</v>
      </c>
      <c r="U129" s="350">
        <v>76939.17</v>
      </c>
      <c r="V129" s="347" t="s">
        <v>2170</v>
      </c>
      <c r="W129" s="347">
        <v>0</v>
      </c>
      <c r="X129" s="347">
        <v>0.05</v>
      </c>
      <c r="Y129" s="347">
        <v>38.47</v>
      </c>
      <c r="Z129" s="347">
        <v>0.05</v>
      </c>
      <c r="AA129" s="347">
        <v>38.47</v>
      </c>
      <c r="AB129" s="347">
        <v>0</v>
      </c>
      <c r="AC129" s="347">
        <v>0</v>
      </c>
      <c r="AD129" s="347">
        <v>0</v>
      </c>
      <c r="AE129" s="347">
        <v>76.94</v>
      </c>
      <c r="AF129" s="347">
        <v>-4138.3999999999996</v>
      </c>
      <c r="AG129" s="347" t="s">
        <v>59</v>
      </c>
      <c r="AH129" s="347" t="s">
        <v>3</v>
      </c>
      <c r="AI129" s="347">
        <v>63053200</v>
      </c>
      <c r="AJ129" s="347" t="s">
        <v>60</v>
      </c>
      <c r="AK129" s="347">
        <v>1</v>
      </c>
      <c r="AL129" s="347">
        <v>399</v>
      </c>
      <c r="AM129" s="347" t="s">
        <v>1940</v>
      </c>
    </row>
    <row r="130" spans="7:39">
      <c r="G130" s="347"/>
      <c r="H130" s="347" t="s">
        <v>3264</v>
      </c>
      <c r="I130" s="347" t="s">
        <v>78</v>
      </c>
      <c r="J130" s="347" t="s">
        <v>56</v>
      </c>
      <c r="K130" s="10" t="s">
        <v>3462</v>
      </c>
      <c r="L130" s="347" t="s">
        <v>2374</v>
      </c>
      <c r="M130" s="347" t="s">
        <v>3462</v>
      </c>
      <c r="N130" s="347" t="s">
        <v>3264</v>
      </c>
      <c r="O130" s="347" t="s">
        <v>15</v>
      </c>
      <c r="P130" s="347" t="s">
        <v>57</v>
      </c>
      <c r="Q130" s="347" t="s">
        <v>57</v>
      </c>
      <c r="R130" s="347" t="s">
        <v>58</v>
      </c>
      <c r="S130" s="347" t="s">
        <v>16</v>
      </c>
      <c r="T130" s="347">
        <v>396</v>
      </c>
      <c r="U130" s="350">
        <v>86941.8</v>
      </c>
      <c r="V130" s="347" t="s">
        <v>3466</v>
      </c>
      <c r="W130" s="347">
        <v>0</v>
      </c>
      <c r="X130" s="347">
        <v>0.05</v>
      </c>
      <c r="Y130" s="347">
        <v>43.47</v>
      </c>
      <c r="Z130" s="347">
        <v>0.05</v>
      </c>
      <c r="AA130" s="347">
        <v>43.47</v>
      </c>
      <c r="AB130" s="347">
        <v>0</v>
      </c>
      <c r="AC130" s="347">
        <v>0</v>
      </c>
      <c r="AD130" s="347">
        <v>0</v>
      </c>
      <c r="AE130" s="347">
        <v>86.94</v>
      </c>
      <c r="AF130" s="347">
        <v>-4138.3999999999996</v>
      </c>
      <c r="AG130" s="347" t="s">
        <v>59</v>
      </c>
      <c r="AH130" s="347" t="s">
        <v>3</v>
      </c>
      <c r="AI130" s="347">
        <v>63053200</v>
      </c>
      <c r="AJ130" s="347" t="s">
        <v>60</v>
      </c>
      <c r="AK130" s="347">
        <v>1</v>
      </c>
      <c r="AL130" s="347">
        <v>396</v>
      </c>
      <c r="AM130" s="347" t="s">
        <v>1940</v>
      </c>
    </row>
    <row r="131" spans="7:39">
      <c r="G131" s="347"/>
      <c r="H131" s="347" t="s">
        <v>3264</v>
      </c>
      <c r="I131" s="347" t="s">
        <v>78</v>
      </c>
      <c r="J131" s="347" t="s">
        <v>56</v>
      </c>
      <c r="K131" s="10" t="s">
        <v>3462</v>
      </c>
      <c r="L131" s="347" t="s">
        <v>2374</v>
      </c>
      <c r="M131" s="347" t="s">
        <v>3462</v>
      </c>
      <c r="N131" s="347" t="s">
        <v>3264</v>
      </c>
      <c r="O131" s="347" t="s">
        <v>15</v>
      </c>
      <c r="P131" s="347" t="s">
        <v>57</v>
      </c>
      <c r="Q131" s="347" t="s">
        <v>57</v>
      </c>
      <c r="R131" s="347" t="s">
        <v>58</v>
      </c>
      <c r="S131" s="347" t="s">
        <v>16</v>
      </c>
      <c r="T131" s="350">
        <v>3407</v>
      </c>
      <c r="U131" s="347">
        <v>673938.67</v>
      </c>
      <c r="V131" s="347" t="s">
        <v>2170</v>
      </c>
      <c r="W131" s="347">
        <v>0</v>
      </c>
      <c r="X131" s="347">
        <v>0.05</v>
      </c>
      <c r="Y131" s="347">
        <v>336.97</v>
      </c>
      <c r="Z131" s="347">
        <v>0.05</v>
      </c>
      <c r="AA131" s="347">
        <v>336.97</v>
      </c>
      <c r="AB131" s="347">
        <v>0</v>
      </c>
      <c r="AC131" s="347">
        <v>0</v>
      </c>
      <c r="AD131" s="347">
        <v>0</v>
      </c>
      <c r="AE131" s="347">
        <v>673.94</v>
      </c>
      <c r="AF131" s="347">
        <v>-4138.3999999999996</v>
      </c>
      <c r="AG131" s="347" t="s">
        <v>59</v>
      </c>
      <c r="AH131" s="347" t="s">
        <v>3</v>
      </c>
      <c r="AI131" s="347">
        <v>63053200</v>
      </c>
      <c r="AJ131" s="347" t="s">
        <v>60</v>
      </c>
      <c r="AK131" s="347">
        <v>1</v>
      </c>
      <c r="AL131" s="347">
        <v>3407</v>
      </c>
      <c r="AM131" s="347" t="s">
        <v>1940</v>
      </c>
    </row>
    <row r="132" spans="7:39">
      <c r="G132" s="347"/>
      <c r="H132" s="347" t="s">
        <v>3264</v>
      </c>
      <c r="I132" s="347" t="s">
        <v>78</v>
      </c>
      <c r="J132" s="347" t="s">
        <v>56</v>
      </c>
      <c r="K132" s="10" t="s">
        <v>3462</v>
      </c>
      <c r="L132" s="347" t="s">
        <v>2374</v>
      </c>
      <c r="M132" s="347" t="s">
        <v>3462</v>
      </c>
      <c r="N132" s="347" t="s">
        <v>3264</v>
      </c>
      <c r="O132" s="347" t="s">
        <v>15</v>
      </c>
      <c r="P132" s="347" t="s">
        <v>57</v>
      </c>
      <c r="Q132" s="347" t="s">
        <v>57</v>
      </c>
      <c r="R132" s="347" t="s">
        <v>58</v>
      </c>
      <c r="S132" s="347" t="s">
        <v>16</v>
      </c>
      <c r="T132" s="350">
        <v>1685</v>
      </c>
      <c r="U132" s="347">
        <v>375755</v>
      </c>
      <c r="V132" s="347" t="s">
        <v>2170</v>
      </c>
      <c r="W132" s="347">
        <v>0</v>
      </c>
      <c r="X132" s="347">
        <v>0.05</v>
      </c>
      <c r="Y132" s="347">
        <v>187.88</v>
      </c>
      <c r="Z132" s="347">
        <v>0.05</v>
      </c>
      <c r="AA132" s="347">
        <v>187.88</v>
      </c>
      <c r="AB132" s="347">
        <v>0</v>
      </c>
      <c r="AC132" s="347">
        <v>0</v>
      </c>
      <c r="AD132" s="347">
        <v>0</v>
      </c>
      <c r="AE132" s="347">
        <v>375.76</v>
      </c>
      <c r="AF132" s="347">
        <v>-4138.3999999999996</v>
      </c>
      <c r="AG132" s="347" t="s">
        <v>59</v>
      </c>
      <c r="AH132" s="347" t="s">
        <v>3</v>
      </c>
      <c r="AI132" s="347">
        <v>63053200</v>
      </c>
      <c r="AJ132" s="347" t="s">
        <v>60</v>
      </c>
      <c r="AK132" s="347">
        <v>1</v>
      </c>
      <c r="AL132" s="347">
        <v>1685</v>
      </c>
      <c r="AM132" s="347" t="s">
        <v>1940</v>
      </c>
    </row>
    <row r="133" spans="7:39">
      <c r="G133" s="347"/>
      <c r="H133" s="347" t="s">
        <v>3264</v>
      </c>
      <c r="I133" s="347" t="s">
        <v>78</v>
      </c>
      <c r="J133" s="347" t="s">
        <v>56</v>
      </c>
      <c r="K133" s="10" t="s">
        <v>3467</v>
      </c>
      <c r="L133" s="347" t="s">
        <v>2374</v>
      </c>
      <c r="M133" s="347" t="s">
        <v>3467</v>
      </c>
      <c r="N133" s="347" t="s">
        <v>3264</v>
      </c>
      <c r="O133" s="347" t="s">
        <v>15</v>
      </c>
      <c r="P133" s="347" t="s">
        <v>57</v>
      </c>
      <c r="Q133" s="347" t="s">
        <v>57</v>
      </c>
      <c r="R133" s="347" t="s">
        <v>58</v>
      </c>
      <c r="S133" s="347" t="s">
        <v>16</v>
      </c>
      <c r="T133" s="350">
        <v>4226</v>
      </c>
      <c r="U133" s="347">
        <v>1003886.3</v>
      </c>
      <c r="V133" s="347" t="s">
        <v>3468</v>
      </c>
      <c r="W133" s="347">
        <v>3818755.68</v>
      </c>
      <c r="X133" s="347">
        <v>0.05</v>
      </c>
      <c r="Y133" s="347">
        <v>501.94</v>
      </c>
      <c r="Z133" s="347">
        <v>0.05</v>
      </c>
      <c r="AA133" s="347">
        <v>501.94</v>
      </c>
      <c r="AB133" s="347">
        <v>0</v>
      </c>
      <c r="AC133" s="347">
        <v>0</v>
      </c>
      <c r="AD133" s="347">
        <v>0</v>
      </c>
      <c r="AE133" s="347">
        <v>1003.88</v>
      </c>
      <c r="AF133" s="347">
        <v>0</v>
      </c>
      <c r="AG133" s="347" t="s">
        <v>59</v>
      </c>
      <c r="AH133" s="347" t="s">
        <v>3</v>
      </c>
      <c r="AI133" s="347">
        <v>63053200</v>
      </c>
      <c r="AJ133" s="347" t="s">
        <v>60</v>
      </c>
      <c r="AK133" s="347">
        <v>1</v>
      </c>
      <c r="AL133" s="347">
        <v>4226</v>
      </c>
      <c r="AM133" s="347" t="s">
        <v>1940</v>
      </c>
    </row>
    <row r="134" spans="7:39">
      <c r="G134" s="347"/>
      <c r="H134" s="347" t="s">
        <v>3264</v>
      </c>
      <c r="I134" s="347" t="s">
        <v>78</v>
      </c>
      <c r="J134" s="347" t="s">
        <v>56</v>
      </c>
      <c r="K134" s="10" t="s">
        <v>3467</v>
      </c>
      <c r="L134" s="347" t="s">
        <v>2374</v>
      </c>
      <c r="M134" s="347" t="s">
        <v>3467</v>
      </c>
      <c r="N134" s="347" t="s">
        <v>3264</v>
      </c>
      <c r="O134" s="347" t="s">
        <v>15</v>
      </c>
      <c r="P134" s="347" t="s">
        <v>57</v>
      </c>
      <c r="Q134" s="347" t="s">
        <v>57</v>
      </c>
      <c r="R134" s="347" t="s">
        <v>58</v>
      </c>
      <c r="S134" s="347" t="s">
        <v>16</v>
      </c>
      <c r="T134" s="350">
        <v>4720</v>
      </c>
      <c r="U134" s="347">
        <v>956366.4</v>
      </c>
      <c r="V134" s="347" t="s">
        <v>2170</v>
      </c>
      <c r="W134" s="347">
        <v>0</v>
      </c>
      <c r="X134" s="347">
        <v>0.05</v>
      </c>
      <c r="Y134" s="347">
        <v>478.18</v>
      </c>
      <c r="Z134" s="347">
        <v>0.05</v>
      </c>
      <c r="AA134" s="347">
        <v>478.18</v>
      </c>
      <c r="AB134" s="347">
        <v>0</v>
      </c>
      <c r="AC134" s="347">
        <v>0</v>
      </c>
      <c r="AD134" s="347">
        <v>0</v>
      </c>
      <c r="AE134" s="347">
        <v>956.36</v>
      </c>
      <c r="AF134" s="347">
        <v>0</v>
      </c>
      <c r="AG134" s="347" t="s">
        <v>59</v>
      </c>
      <c r="AH134" s="347" t="s">
        <v>3</v>
      </c>
      <c r="AI134" s="347">
        <v>63053200</v>
      </c>
      <c r="AJ134" s="347" t="s">
        <v>60</v>
      </c>
      <c r="AK134" s="347">
        <v>1</v>
      </c>
      <c r="AL134" s="347">
        <v>4720</v>
      </c>
      <c r="AM134" s="347" t="s">
        <v>1940</v>
      </c>
    </row>
    <row r="135" spans="7:39">
      <c r="G135" s="347"/>
      <c r="H135" s="347" t="s">
        <v>3264</v>
      </c>
      <c r="I135" s="347" t="s">
        <v>78</v>
      </c>
      <c r="J135" s="347" t="s">
        <v>56</v>
      </c>
      <c r="K135" s="10" t="s">
        <v>3467</v>
      </c>
      <c r="L135" s="347" t="s">
        <v>2374</v>
      </c>
      <c r="M135" s="347" t="s">
        <v>3467</v>
      </c>
      <c r="N135" s="347" t="s">
        <v>3264</v>
      </c>
      <c r="O135" s="347" t="s">
        <v>15</v>
      </c>
      <c r="P135" s="347" t="s">
        <v>57</v>
      </c>
      <c r="Q135" s="347" t="s">
        <v>57</v>
      </c>
      <c r="R135" s="347" t="s">
        <v>58</v>
      </c>
      <c r="S135" s="347" t="s">
        <v>16</v>
      </c>
      <c r="T135" s="350">
        <v>4420</v>
      </c>
      <c r="U135" s="347">
        <v>890055.4</v>
      </c>
      <c r="V135" s="347" t="s">
        <v>2170</v>
      </c>
      <c r="W135" s="347">
        <v>0</v>
      </c>
      <c r="X135" s="347">
        <v>0.05</v>
      </c>
      <c r="Y135" s="347">
        <v>445.03</v>
      </c>
      <c r="Z135" s="347">
        <v>0.05</v>
      </c>
      <c r="AA135" s="347">
        <v>445.03</v>
      </c>
      <c r="AB135" s="347">
        <v>0</v>
      </c>
      <c r="AC135" s="347">
        <v>0</v>
      </c>
      <c r="AD135" s="347">
        <v>0</v>
      </c>
      <c r="AE135" s="347">
        <v>890.06</v>
      </c>
      <c r="AF135" s="347">
        <v>0</v>
      </c>
      <c r="AG135" s="347" t="s">
        <v>59</v>
      </c>
      <c r="AH135" s="347" t="s">
        <v>3</v>
      </c>
      <c r="AI135" s="347">
        <v>63053200</v>
      </c>
      <c r="AJ135" s="347" t="s">
        <v>60</v>
      </c>
      <c r="AK135" s="347">
        <v>1</v>
      </c>
      <c r="AL135" s="347">
        <v>4420</v>
      </c>
      <c r="AM135" s="347" t="s">
        <v>1940</v>
      </c>
    </row>
    <row r="136" spans="7:39">
      <c r="G136" s="347"/>
      <c r="H136" s="347" t="s">
        <v>3264</v>
      </c>
      <c r="I136" s="347" t="s">
        <v>78</v>
      </c>
      <c r="J136" s="347" t="s">
        <v>56</v>
      </c>
      <c r="K136" s="10" t="s">
        <v>3467</v>
      </c>
      <c r="L136" s="347" t="s">
        <v>2374</v>
      </c>
      <c r="M136" s="347" t="s">
        <v>3467</v>
      </c>
      <c r="N136" s="347" t="s">
        <v>3264</v>
      </c>
      <c r="O136" s="347" t="s">
        <v>15</v>
      </c>
      <c r="P136" s="347" t="s">
        <v>57</v>
      </c>
      <c r="Q136" s="347" t="s">
        <v>57</v>
      </c>
      <c r="R136" s="347" t="s">
        <v>58</v>
      </c>
      <c r="S136" s="347" t="s">
        <v>16</v>
      </c>
      <c r="T136" s="350">
        <v>1169</v>
      </c>
      <c r="U136" s="347">
        <v>244963.95</v>
      </c>
      <c r="V136" s="347" t="s">
        <v>3466</v>
      </c>
      <c r="W136" s="347">
        <v>0</v>
      </c>
      <c r="X136" s="347">
        <v>0.05</v>
      </c>
      <c r="Y136" s="347">
        <v>122.48</v>
      </c>
      <c r="Z136" s="347">
        <v>0.05</v>
      </c>
      <c r="AA136" s="347">
        <v>122.48</v>
      </c>
      <c r="AB136" s="347">
        <v>0</v>
      </c>
      <c r="AC136" s="347">
        <v>0</v>
      </c>
      <c r="AD136" s="347">
        <v>0</v>
      </c>
      <c r="AE136" s="347">
        <v>244.96</v>
      </c>
      <c r="AF136" s="347">
        <v>0</v>
      </c>
      <c r="AG136" s="347" t="s">
        <v>59</v>
      </c>
      <c r="AH136" s="347" t="s">
        <v>3</v>
      </c>
      <c r="AI136" s="347">
        <v>63053200</v>
      </c>
      <c r="AJ136" s="347" t="s">
        <v>60</v>
      </c>
      <c r="AK136" s="347">
        <v>1</v>
      </c>
      <c r="AL136" s="347">
        <v>1169</v>
      </c>
      <c r="AM136" s="347" t="s">
        <v>1940</v>
      </c>
    </row>
    <row r="137" spans="7:39">
      <c r="G137" s="347"/>
      <c r="H137" s="347" t="s">
        <v>3264</v>
      </c>
      <c r="I137" s="347" t="s">
        <v>78</v>
      </c>
      <c r="J137" s="347" t="s">
        <v>56</v>
      </c>
      <c r="K137" s="10" t="s">
        <v>3467</v>
      </c>
      <c r="L137" s="347" t="s">
        <v>2374</v>
      </c>
      <c r="M137" s="347" t="s">
        <v>3467</v>
      </c>
      <c r="N137" s="347" t="s">
        <v>3264</v>
      </c>
      <c r="O137" s="347" t="s">
        <v>15</v>
      </c>
      <c r="P137" s="347" t="s">
        <v>57</v>
      </c>
      <c r="Q137" s="347" t="s">
        <v>57</v>
      </c>
      <c r="R137" s="347" t="s">
        <v>58</v>
      </c>
      <c r="S137" s="347" t="s">
        <v>16</v>
      </c>
      <c r="T137" s="350">
        <v>1168</v>
      </c>
      <c r="U137" s="347">
        <v>297454.56</v>
      </c>
      <c r="V137" s="347" t="s">
        <v>2617</v>
      </c>
      <c r="W137" s="347">
        <v>0</v>
      </c>
      <c r="X137" s="347">
        <v>0.05</v>
      </c>
      <c r="Y137" s="347">
        <v>148.72999999999999</v>
      </c>
      <c r="Z137" s="347">
        <v>0.05</v>
      </c>
      <c r="AA137" s="347">
        <v>148.72999999999999</v>
      </c>
      <c r="AB137" s="347">
        <v>0</v>
      </c>
      <c r="AC137" s="347">
        <v>0</v>
      </c>
      <c r="AD137" s="347">
        <v>0</v>
      </c>
      <c r="AE137" s="347">
        <v>297.45999999999998</v>
      </c>
      <c r="AF137" s="347">
        <v>0</v>
      </c>
      <c r="AG137" s="347" t="s">
        <v>59</v>
      </c>
      <c r="AH137" s="347" t="s">
        <v>3</v>
      </c>
      <c r="AI137" s="347">
        <v>63053200</v>
      </c>
      <c r="AJ137" s="347" t="s">
        <v>60</v>
      </c>
      <c r="AK137" s="347">
        <v>1</v>
      </c>
      <c r="AL137" s="347">
        <v>1168</v>
      </c>
      <c r="AM137" s="347" t="s">
        <v>1940</v>
      </c>
    </row>
    <row r="138" spans="7:39">
      <c r="G138" s="347"/>
      <c r="H138" s="347" t="s">
        <v>3264</v>
      </c>
      <c r="I138" s="347" t="s">
        <v>78</v>
      </c>
      <c r="J138" s="347" t="s">
        <v>56</v>
      </c>
      <c r="K138" s="10" t="s">
        <v>3467</v>
      </c>
      <c r="L138" s="347" t="s">
        <v>2374</v>
      </c>
      <c r="M138" s="347" t="s">
        <v>3467</v>
      </c>
      <c r="N138" s="347" t="s">
        <v>3264</v>
      </c>
      <c r="O138" s="347" t="s">
        <v>15</v>
      </c>
      <c r="P138" s="347" t="s">
        <v>57</v>
      </c>
      <c r="Q138" s="347" t="s">
        <v>57</v>
      </c>
      <c r="R138" s="347" t="s">
        <v>58</v>
      </c>
      <c r="S138" s="347" t="s">
        <v>16</v>
      </c>
      <c r="T138" s="350">
        <v>2157</v>
      </c>
      <c r="U138" s="347">
        <v>426029.07</v>
      </c>
      <c r="V138" s="347" t="s">
        <v>2170</v>
      </c>
      <c r="W138" s="347">
        <v>0</v>
      </c>
      <c r="X138" s="347">
        <v>0.05</v>
      </c>
      <c r="Y138" s="347">
        <v>213.01</v>
      </c>
      <c r="Z138" s="347">
        <v>0.05</v>
      </c>
      <c r="AA138" s="347">
        <v>213.01</v>
      </c>
      <c r="AB138" s="347">
        <v>0</v>
      </c>
      <c r="AC138" s="347">
        <v>0</v>
      </c>
      <c r="AD138" s="347">
        <v>0</v>
      </c>
      <c r="AE138" s="347">
        <v>426.02</v>
      </c>
      <c r="AF138" s="347">
        <v>0</v>
      </c>
      <c r="AG138" s="347" t="s">
        <v>59</v>
      </c>
      <c r="AH138" s="347" t="s">
        <v>3</v>
      </c>
      <c r="AI138" s="347">
        <v>63053200</v>
      </c>
      <c r="AJ138" s="347" t="s">
        <v>60</v>
      </c>
      <c r="AK138" s="347">
        <v>1</v>
      </c>
      <c r="AL138" s="347">
        <v>2157</v>
      </c>
      <c r="AM138" s="347" t="s">
        <v>1940</v>
      </c>
    </row>
    <row r="139" spans="7:39">
      <c r="G139" s="347"/>
      <c r="H139" s="347" t="s">
        <v>3264</v>
      </c>
      <c r="I139" s="347" t="s">
        <v>2306</v>
      </c>
      <c r="J139" s="347" t="s">
        <v>2242</v>
      </c>
      <c r="K139" s="10" t="s">
        <v>3469</v>
      </c>
      <c r="L139" s="347" t="s">
        <v>2372</v>
      </c>
      <c r="M139" s="347" t="s">
        <v>3469</v>
      </c>
      <c r="N139" s="347" t="s">
        <v>3264</v>
      </c>
      <c r="O139" s="347" t="s">
        <v>15</v>
      </c>
      <c r="P139" s="347" t="s">
        <v>57</v>
      </c>
      <c r="Q139" s="347" t="s">
        <v>57</v>
      </c>
      <c r="R139" s="347" t="s">
        <v>58</v>
      </c>
      <c r="S139" s="347" t="s">
        <v>14</v>
      </c>
      <c r="T139" s="350">
        <v>17932</v>
      </c>
      <c r="U139" s="347">
        <v>4829922.72</v>
      </c>
      <c r="V139" s="347" t="s">
        <v>2307</v>
      </c>
      <c r="W139" s="347">
        <v>5345352.72</v>
      </c>
      <c r="X139" s="347">
        <v>0</v>
      </c>
      <c r="Y139" s="347">
        <v>0</v>
      </c>
      <c r="Z139" s="347">
        <v>0</v>
      </c>
      <c r="AA139" s="347">
        <v>0</v>
      </c>
      <c r="AB139" s="347">
        <v>18</v>
      </c>
      <c r="AC139" s="347">
        <v>869386.08959999995</v>
      </c>
      <c r="AD139" s="347">
        <v>0</v>
      </c>
      <c r="AE139" s="347">
        <v>869386.08959999995</v>
      </c>
      <c r="AF139" s="347">
        <v>0</v>
      </c>
      <c r="AG139" s="347" t="s">
        <v>2279</v>
      </c>
      <c r="AH139" s="347" t="s">
        <v>3</v>
      </c>
      <c r="AI139" s="347">
        <v>63053200</v>
      </c>
      <c r="AJ139" s="347" t="s">
        <v>2243</v>
      </c>
      <c r="AK139" s="347">
        <v>95.45</v>
      </c>
      <c r="AL139" s="347">
        <v>17932</v>
      </c>
      <c r="AM139" s="347" t="s">
        <v>2308</v>
      </c>
    </row>
    <row r="140" spans="7:39">
      <c r="G140" s="347"/>
      <c r="H140" s="347" t="s">
        <v>3264</v>
      </c>
      <c r="I140" s="347" t="s">
        <v>2373</v>
      </c>
      <c r="J140" s="347" t="s">
        <v>2242</v>
      </c>
      <c r="K140" s="10" t="s">
        <v>3470</v>
      </c>
      <c r="L140" s="347" t="s">
        <v>2372</v>
      </c>
      <c r="M140" s="347" t="s">
        <v>3470</v>
      </c>
      <c r="N140" s="347" t="s">
        <v>3264</v>
      </c>
      <c r="O140" s="347" t="s">
        <v>15</v>
      </c>
      <c r="P140" s="347" t="s">
        <v>57</v>
      </c>
      <c r="Q140" s="347" t="s">
        <v>57</v>
      </c>
      <c r="R140" s="347" t="s">
        <v>58</v>
      </c>
      <c r="S140" s="347" t="s">
        <v>14</v>
      </c>
      <c r="T140" s="350">
        <v>14422</v>
      </c>
      <c r="U140" s="347">
        <v>3970096.19</v>
      </c>
      <c r="V140" s="347" t="s">
        <v>2307</v>
      </c>
      <c r="W140" s="347">
        <v>5481879.6299999999</v>
      </c>
      <c r="X140" s="347">
        <v>0</v>
      </c>
      <c r="Y140" s="347">
        <v>0</v>
      </c>
      <c r="Z140" s="347">
        <v>0</v>
      </c>
      <c r="AA140" s="347">
        <v>0</v>
      </c>
      <c r="AB140" s="347">
        <v>18</v>
      </c>
      <c r="AC140" s="347">
        <v>714616.96900000004</v>
      </c>
      <c r="AD140" s="347">
        <v>0</v>
      </c>
      <c r="AE140" s="347">
        <v>714616.96900000004</v>
      </c>
      <c r="AF140" s="347">
        <v>0</v>
      </c>
      <c r="AG140" s="347" t="s">
        <v>2279</v>
      </c>
      <c r="AH140" s="347" t="s">
        <v>3</v>
      </c>
      <c r="AI140" s="347">
        <v>63053200</v>
      </c>
      <c r="AJ140" s="347" t="s">
        <v>2243</v>
      </c>
      <c r="AK140" s="347">
        <v>95.45</v>
      </c>
      <c r="AL140" s="347">
        <v>14422</v>
      </c>
      <c r="AM140" s="347" t="s">
        <v>2613</v>
      </c>
    </row>
    <row r="141" spans="7:39">
      <c r="G141" s="347"/>
      <c r="H141" s="347" t="s">
        <v>3264</v>
      </c>
      <c r="I141" s="347" t="s">
        <v>2373</v>
      </c>
      <c r="J141" s="347" t="s">
        <v>2242</v>
      </c>
      <c r="K141" s="10" t="s">
        <v>3470</v>
      </c>
      <c r="L141" s="347" t="s">
        <v>2372</v>
      </c>
      <c r="M141" s="347" t="s">
        <v>3470</v>
      </c>
      <c r="N141" s="347" t="s">
        <v>3264</v>
      </c>
      <c r="O141" s="347" t="s">
        <v>15</v>
      </c>
      <c r="P141" s="347" t="s">
        <v>57</v>
      </c>
      <c r="Q141" s="347" t="s">
        <v>57</v>
      </c>
      <c r="R141" s="347" t="s">
        <v>58</v>
      </c>
      <c r="S141" s="347" t="s">
        <v>16</v>
      </c>
      <c r="T141" s="350">
        <v>3238</v>
      </c>
      <c r="U141" s="347">
        <v>891358.44</v>
      </c>
      <c r="V141" s="347" t="s">
        <v>2541</v>
      </c>
      <c r="W141" s="347">
        <v>0</v>
      </c>
      <c r="X141" s="347">
        <v>0</v>
      </c>
      <c r="Y141" s="347">
        <v>0</v>
      </c>
      <c r="Z141" s="347">
        <v>0</v>
      </c>
      <c r="AA141" s="347">
        <v>0</v>
      </c>
      <c r="AB141" s="347">
        <v>18</v>
      </c>
      <c r="AC141" s="347">
        <v>160444.76850000001</v>
      </c>
      <c r="AD141" s="347">
        <v>0</v>
      </c>
      <c r="AE141" s="347">
        <v>160444.76850000001</v>
      </c>
      <c r="AF141" s="347">
        <v>0</v>
      </c>
      <c r="AG141" s="347" t="s">
        <v>2279</v>
      </c>
      <c r="AH141" s="347" t="s">
        <v>3</v>
      </c>
      <c r="AI141" s="347">
        <v>63053200</v>
      </c>
      <c r="AJ141" s="347" t="s">
        <v>2243</v>
      </c>
      <c r="AK141" s="347">
        <v>95.45</v>
      </c>
      <c r="AL141" s="347">
        <v>3238</v>
      </c>
      <c r="AM141" s="347" t="s">
        <v>2613</v>
      </c>
    </row>
    <row r="142" spans="7:39">
      <c r="G142" s="347"/>
      <c r="H142" s="347" t="s">
        <v>3306</v>
      </c>
      <c r="I142" s="347" t="s">
        <v>61</v>
      </c>
      <c r="J142" s="347" t="s">
        <v>56</v>
      </c>
      <c r="K142" s="10">
        <v>188</v>
      </c>
      <c r="L142" s="347" t="s">
        <v>75</v>
      </c>
      <c r="M142" s="347" t="s">
        <v>3471</v>
      </c>
      <c r="N142" s="347" t="s">
        <v>3306</v>
      </c>
      <c r="O142" s="347" t="s">
        <v>2</v>
      </c>
      <c r="P142" s="347" t="s">
        <v>67</v>
      </c>
      <c r="Q142" s="347" t="s">
        <v>68</v>
      </c>
      <c r="R142" s="347" t="s">
        <v>69</v>
      </c>
      <c r="S142" s="347" t="s">
        <v>70</v>
      </c>
      <c r="T142" s="347">
        <v>617</v>
      </c>
      <c r="U142" s="350">
        <v>29616</v>
      </c>
      <c r="V142" s="347" t="s">
        <v>591</v>
      </c>
      <c r="W142" s="347">
        <v>34917.26</v>
      </c>
      <c r="X142" s="347">
        <v>9</v>
      </c>
      <c r="Y142" s="347">
        <v>2665.44</v>
      </c>
      <c r="Z142" s="347">
        <v>9</v>
      </c>
      <c r="AA142" s="347">
        <v>2665.44</v>
      </c>
      <c r="AB142" s="347">
        <v>0</v>
      </c>
      <c r="AC142" s="347">
        <v>0</v>
      </c>
      <c r="AD142" s="347">
        <v>0</v>
      </c>
      <c r="AE142" s="347">
        <v>5330.88</v>
      </c>
      <c r="AF142" s="347">
        <v>0</v>
      </c>
      <c r="AG142" s="347" t="s">
        <v>65</v>
      </c>
      <c r="AH142" s="347" t="s">
        <v>3</v>
      </c>
      <c r="AI142" s="347">
        <v>73063090</v>
      </c>
      <c r="AJ142" s="347" t="s">
        <v>60</v>
      </c>
      <c r="AK142" s="347">
        <v>1</v>
      </c>
      <c r="AL142" s="347">
        <v>617</v>
      </c>
      <c r="AM142" s="347" t="s">
        <v>1940</v>
      </c>
    </row>
    <row r="143" spans="7:39">
      <c r="G143" s="347"/>
      <c r="H143" s="347" t="s">
        <v>3306</v>
      </c>
      <c r="I143" s="347" t="s">
        <v>2306</v>
      </c>
      <c r="J143" s="347" t="s">
        <v>2242</v>
      </c>
      <c r="K143" s="10" t="s">
        <v>3472</v>
      </c>
      <c r="L143" s="347" t="s">
        <v>2372</v>
      </c>
      <c r="M143" s="347" t="s">
        <v>3472</v>
      </c>
      <c r="N143" s="347" t="s">
        <v>3306</v>
      </c>
      <c r="O143" s="347" t="s">
        <v>15</v>
      </c>
      <c r="P143" s="347" t="s">
        <v>57</v>
      </c>
      <c r="Q143" s="347" t="s">
        <v>57</v>
      </c>
      <c r="R143" s="347" t="s">
        <v>58</v>
      </c>
      <c r="S143" s="347" t="s">
        <v>14</v>
      </c>
      <c r="T143" s="350">
        <v>15749</v>
      </c>
      <c r="U143" s="347">
        <v>3638355</v>
      </c>
      <c r="V143" s="347" t="s">
        <v>2307</v>
      </c>
      <c r="W143" s="347">
        <v>4900445.95</v>
      </c>
      <c r="X143" s="347">
        <v>0</v>
      </c>
      <c r="Y143" s="347">
        <v>0</v>
      </c>
      <c r="Z143" s="347">
        <v>0</v>
      </c>
      <c r="AA143" s="347">
        <v>0</v>
      </c>
      <c r="AB143" s="347">
        <v>18</v>
      </c>
      <c r="AC143" s="347">
        <v>654903.44900000002</v>
      </c>
      <c r="AD143" s="347">
        <v>0</v>
      </c>
      <c r="AE143" s="347">
        <v>654903.44900000002</v>
      </c>
      <c r="AF143" s="347">
        <v>0</v>
      </c>
      <c r="AG143" s="347" t="s">
        <v>2279</v>
      </c>
      <c r="AH143" s="347" t="s">
        <v>3</v>
      </c>
      <c r="AI143" s="347">
        <v>63053200</v>
      </c>
      <c r="AJ143" s="347" t="s">
        <v>2243</v>
      </c>
      <c r="AK143" s="347">
        <v>95.45</v>
      </c>
      <c r="AL143" s="347">
        <v>15749</v>
      </c>
      <c r="AM143" s="347" t="s">
        <v>2308</v>
      </c>
    </row>
    <row r="144" spans="7:39">
      <c r="G144" s="347"/>
      <c r="H144" s="347" t="s">
        <v>3306</v>
      </c>
      <c r="I144" s="347" t="s">
        <v>2306</v>
      </c>
      <c r="J144" s="347" t="s">
        <v>2242</v>
      </c>
      <c r="K144" s="10" t="s">
        <v>3472</v>
      </c>
      <c r="L144" s="347" t="s">
        <v>2372</v>
      </c>
      <c r="M144" s="347" t="s">
        <v>3472</v>
      </c>
      <c r="N144" s="347" t="s">
        <v>3306</v>
      </c>
      <c r="O144" s="347" t="s">
        <v>15</v>
      </c>
      <c r="P144" s="347" t="s">
        <v>57</v>
      </c>
      <c r="Q144" s="347" t="s">
        <v>57</v>
      </c>
      <c r="R144" s="347" t="s">
        <v>58</v>
      </c>
      <c r="S144" s="347" t="s">
        <v>16</v>
      </c>
      <c r="T144" s="350">
        <v>3232</v>
      </c>
      <c r="U144" s="347">
        <v>746660.95</v>
      </c>
      <c r="V144" s="347" t="s">
        <v>2541</v>
      </c>
      <c r="W144" s="347">
        <v>0</v>
      </c>
      <c r="X144" s="347">
        <v>0</v>
      </c>
      <c r="Y144" s="347">
        <v>0</v>
      </c>
      <c r="Z144" s="347">
        <v>0</v>
      </c>
      <c r="AA144" s="347">
        <v>0</v>
      </c>
      <c r="AB144" s="347">
        <v>18</v>
      </c>
      <c r="AC144" s="347">
        <v>134399.32699999999</v>
      </c>
      <c r="AD144" s="347">
        <v>0</v>
      </c>
      <c r="AE144" s="347">
        <v>134399.32699999999</v>
      </c>
      <c r="AF144" s="347">
        <v>0</v>
      </c>
      <c r="AG144" s="347" t="s">
        <v>2279</v>
      </c>
      <c r="AH144" s="347" t="s">
        <v>3</v>
      </c>
      <c r="AI144" s="347">
        <v>63053200</v>
      </c>
      <c r="AJ144" s="347" t="s">
        <v>2243</v>
      </c>
      <c r="AK144" s="347">
        <v>95.45</v>
      </c>
      <c r="AL144" s="347">
        <v>3232</v>
      </c>
      <c r="AM144" s="347" t="s">
        <v>2308</v>
      </c>
    </row>
    <row r="145" spans="7:39">
      <c r="G145" s="347"/>
      <c r="H145" s="347" t="s">
        <v>3306</v>
      </c>
      <c r="I145" s="347" t="s">
        <v>2373</v>
      </c>
      <c r="J145" s="347" t="s">
        <v>2242</v>
      </c>
      <c r="K145" s="10" t="s">
        <v>3473</v>
      </c>
      <c r="L145" s="347" t="s">
        <v>2372</v>
      </c>
      <c r="M145" s="347" t="s">
        <v>3473</v>
      </c>
      <c r="N145" s="347" t="s">
        <v>3306</v>
      </c>
      <c r="O145" s="347" t="s">
        <v>15</v>
      </c>
      <c r="P145" s="347" t="s">
        <v>57</v>
      </c>
      <c r="Q145" s="347" t="s">
        <v>57</v>
      </c>
      <c r="R145" s="347" t="s">
        <v>58</v>
      </c>
      <c r="S145" s="347" t="s">
        <v>14</v>
      </c>
      <c r="T145" s="350">
        <v>18683</v>
      </c>
      <c r="U145" s="347">
        <v>4235474.4400000004</v>
      </c>
      <c r="V145" s="347" t="s">
        <v>2307</v>
      </c>
      <c r="W145" s="347">
        <v>4855899.4400000004</v>
      </c>
      <c r="X145" s="347">
        <v>0</v>
      </c>
      <c r="Y145" s="347">
        <v>0</v>
      </c>
      <c r="Z145" s="347">
        <v>0</v>
      </c>
      <c r="AA145" s="347">
        <v>0</v>
      </c>
      <c r="AB145" s="347">
        <v>18</v>
      </c>
      <c r="AC145" s="347">
        <v>762385.39870000002</v>
      </c>
      <c r="AD145" s="347">
        <v>0</v>
      </c>
      <c r="AE145" s="347">
        <v>762385.39875000005</v>
      </c>
      <c r="AF145" s="347">
        <v>0</v>
      </c>
      <c r="AG145" s="347" t="s">
        <v>2279</v>
      </c>
      <c r="AH145" s="347" t="s">
        <v>3</v>
      </c>
      <c r="AI145" s="347">
        <v>63053200</v>
      </c>
      <c r="AJ145" s="347" t="s">
        <v>2243</v>
      </c>
      <c r="AK145" s="347">
        <v>95.45</v>
      </c>
      <c r="AL145" s="347">
        <v>18683</v>
      </c>
      <c r="AM145" s="347" t="s">
        <v>2613</v>
      </c>
    </row>
    <row r="146" spans="7:39">
      <c r="G146" s="347"/>
      <c r="H146" s="347" t="s">
        <v>3352</v>
      </c>
      <c r="I146" s="347" t="s">
        <v>78</v>
      </c>
      <c r="J146" s="347" t="s">
        <v>56</v>
      </c>
      <c r="K146" s="10" t="s">
        <v>3474</v>
      </c>
      <c r="L146" s="347" t="s">
        <v>2374</v>
      </c>
      <c r="M146" s="347" t="s">
        <v>3474</v>
      </c>
      <c r="N146" s="347" t="s">
        <v>3352</v>
      </c>
      <c r="O146" s="347" t="s">
        <v>15</v>
      </c>
      <c r="P146" s="347" t="s">
        <v>57</v>
      </c>
      <c r="Q146" s="347" t="s">
        <v>57</v>
      </c>
      <c r="R146" s="347" t="s">
        <v>58</v>
      </c>
      <c r="S146" s="347" t="s">
        <v>16</v>
      </c>
      <c r="T146" s="350">
        <v>2433</v>
      </c>
      <c r="U146" s="347">
        <v>585598.77</v>
      </c>
      <c r="V146" s="347" t="s">
        <v>3475</v>
      </c>
      <c r="W146" s="347">
        <v>4086330.25</v>
      </c>
      <c r="X146" s="347">
        <v>0.05</v>
      </c>
      <c r="Y146" s="347">
        <v>292.8</v>
      </c>
      <c r="Z146" s="347">
        <v>0.05</v>
      </c>
      <c r="AA146" s="347">
        <v>292.8</v>
      </c>
      <c r="AB146" s="347">
        <v>0</v>
      </c>
      <c r="AC146" s="347">
        <v>0</v>
      </c>
      <c r="AD146" s="347">
        <v>0</v>
      </c>
      <c r="AE146" s="347">
        <v>585.6</v>
      </c>
      <c r="AF146" s="347">
        <v>0</v>
      </c>
      <c r="AG146" s="347" t="s">
        <v>59</v>
      </c>
      <c r="AH146" s="347" t="s">
        <v>3</v>
      </c>
      <c r="AI146" s="347">
        <v>63053200</v>
      </c>
      <c r="AJ146" s="347" t="s">
        <v>60</v>
      </c>
      <c r="AK146" s="347">
        <v>1</v>
      </c>
      <c r="AL146" s="347">
        <v>2433</v>
      </c>
      <c r="AM146" s="347" t="s">
        <v>1940</v>
      </c>
    </row>
    <row r="147" spans="7:39">
      <c r="G147" s="347"/>
      <c r="H147" s="347" t="s">
        <v>3352</v>
      </c>
      <c r="I147" s="347" t="s">
        <v>78</v>
      </c>
      <c r="J147" s="347" t="s">
        <v>56</v>
      </c>
      <c r="K147" s="10" t="s">
        <v>3474</v>
      </c>
      <c r="L147" s="347" t="s">
        <v>2374</v>
      </c>
      <c r="M147" s="347" t="s">
        <v>3474</v>
      </c>
      <c r="N147" s="347" t="s">
        <v>3352</v>
      </c>
      <c r="O147" s="347" t="s">
        <v>15</v>
      </c>
      <c r="P147" s="347" t="s">
        <v>57</v>
      </c>
      <c r="Q147" s="347" t="s">
        <v>57</v>
      </c>
      <c r="R147" s="347" t="s">
        <v>58</v>
      </c>
      <c r="S147" s="347" t="s">
        <v>16</v>
      </c>
      <c r="T147" s="350">
        <v>10325</v>
      </c>
      <c r="U147" s="347">
        <v>2000159</v>
      </c>
      <c r="V147" s="347" t="s">
        <v>2170</v>
      </c>
      <c r="W147" s="347">
        <v>0</v>
      </c>
      <c r="X147" s="347">
        <v>0.05</v>
      </c>
      <c r="Y147" s="347">
        <v>1000.08</v>
      </c>
      <c r="Z147" s="347">
        <v>0.05</v>
      </c>
      <c r="AA147" s="347">
        <v>1000.08</v>
      </c>
      <c r="AB147" s="347">
        <v>0</v>
      </c>
      <c r="AC147" s="347">
        <v>0</v>
      </c>
      <c r="AD147" s="347">
        <v>0</v>
      </c>
      <c r="AE147" s="347">
        <v>2000.16</v>
      </c>
      <c r="AF147" s="347">
        <v>0</v>
      </c>
      <c r="AG147" s="347" t="s">
        <v>59</v>
      </c>
      <c r="AH147" s="347" t="s">
        <v>3</v>
      </c>
      <c r="AI147" s="347">
        <v>63053200</v>
      </c>
      <c r="AJ147" s="347" t="s">
        <v>60</v>
      </c>
      <c r="AK147" s="347">
        <v>1</v>
      </c>
      <c r="AL147" s="347">
        <v>10325</v>
      </c>
      <c r="AM147" s="347" t="s">
        <v>1940</v>
      </c>
    </row>
    <row r="148" spans="7:39">
      <c r="G148" s="347"/>
      <c r="H148" s="347" t="s">
        <v>3352</v>
      </c>
      <c r="I148" s="347" t="s">
        <v>78</v>
      </c>
      <c r="J148" s="347" t="s">
        <v>56</v>
      </c>
      <c r="K148" s="10" t="s">
        <v>3474</v>
      </c>
      <c r="L148" s="347" t="s">
        <v>2374</v>
      </c>
      <c r="M148" s="347" t="s">
        <v>3474</v>
      </c>
      <c r="N148" s="347" t="s">
        <v>3352</v>
      </c>
      <c r="O148" s="347" t="s">
        <v>15</v>
      </c>
      <c r="P148" s="347" t="s">
        <v>57</v>
      </c>
      <c r="Q148" s="347" t="s">
        <v>57</v>
      </c>
      <c r="R148" s="347" t="s">
        <v>58</v>
      </c>
      <c r="S148" s="347" t="s">
        <v>16</v>
      </c>
      <c r="T148" s="350">
        <v>7822</v>
      </c>
      <c r="U148" s="347">
        <v>1500572.48</v>
      </c>
      <c r="V148" s="347" t="s">
        <v>2170</v>
      </c>
      <c r="W148" s="347">
        <v>0</v>
      </c>
      <c r="X148" s="347">
        <v>0.05</v>
      </c>
      <c r="Y148" s="347">
        <v>750.29</v>
      </c>
      <c r="Z148" s="347">
        <v>0.05</v>
      </c>
      <c r="AA148" s="347">
        <v>750.29</v>
      </c>
      <c r="AB148" s="347">
        <v>0</v>
      </c>
      <c r="AC148" s="347">
        <v>0</v>
      </c>
      <c r="AD148" s="347">
        <v>0</v>
      </c>
      <c r="AE148" s="347">
        <v>1500.58</v>
      </c>
      <c r="AF148" s="347">
        <v>0</v>
      </c>
      <c r="AG148" s="347" t="s">
        <v>59</v>
      </c>
      <c r="AH148" s="347" t="s">
        <v>3</v>
      </c>
      <c r="AI148" s="347">
        <v>63053200</v>
      </c>
      <c r="AJ148" s="347" t="s">
        <v>60</v>
      </c>
      <c r="AK148" s="347">
        <v>1</v>
      </c>
      <c r="AL148" s="347">
        <v>7822</v>
      </c>
      <c r="AM148" s="347" t="s">
        <v>1940</v>
      </c>
    </row>
    <row r="149" spans="7:39">
      <c r="G149" s="347"/>
      <c r="H149" s="347" t="s">
        <v>3352</v>
      </c>
      <c r="I149" s="347" t="s">
        <v>61</v>
      </c>
      <c r="J149" s="347" t="s">
        <v>56</v>
      </c>
      <c r="K149" s="10">
        <v>189</v>
      </c>
      <c r="L149" s="347" t="s">
        <v>75</v>
      </c>
      <c r="M149" s="347" t="s">
        <v>3476</v>
      </c>
      <c r="N149" s="347" t="s">
        <v>3352</v>
      </c>
      <c r="O149" s="347" t="s">
        <v>2</v>
      </c>
      <c r="P149" s="347" t="s">
        <v>67</v>
      </c>
      <c r="Q149" s="347" t="s">
        <v>68</v>
      </c>
      <c r="R149" s="347" t="s">
        <v>69</v>
      </c>
      <c r="S149" s="347" t="s">
        <v>70</v>
      </c>
      <c r="T149" s="347">
        <v>595</v>
      </c>
      <c r="U149" s="350">
        <v>28560</v>
      </c>
      <c r="V149" s="347" t="s">
        <v>591</v>
      </c>
      <c r="W149" s="347">
        <v>33672.239999999998</v>
      </c>
      <c r="X149" s="347">
        <v>9</v>
      </c>
      <c r="Y149" s="347">
        <v>2570.4</v>
      </c>
      <c r="Z149" s="347">
        <v>9</v>
      </c>
      <c r="AA149" s="347">
        <v>2570.4</v>
      </c>
      <c r="AB149" s="347">
        <v>0</v>
      </c>
      <c r="AC149" s="347">
        <v>0</v>
      </c>
      <c r="AD149" s="347">
        <v>0</v>
      </c>
      <c r="AE149" s="347">
        <v>5140.8</v>
      </c>
      <c r="AF149" s="347">
        <v>0</v>
      </c>
      <c r="AG149" s="347" t="s">
        <v>65</v>
      </c>
      <c r="AH149" s="347" t="s">
        <v>3</v>
      </c>
      <c r="AI149" s="347">
        <v>73063090</v>
      </c>
      <c r="AJ149" s="347" t="s">
        <v>60</v>
      </c>
      <c r="AK149" s="347">
        <v>1</v>
      </c>
      <c r="AL149" s="347">
        <v>595</v>
      </c>
      <c r="AM149" s="347" t="s">
        <v>1940</v>
      </c>
    </row>
    <row r="150" spans="7:39">
      <c r="G150" s="347"/>
      <c r="H150" s="347" t="s">
        <v>3352</v>
      </c>
      <c r="I150" s="347" t="s">
        <v>2306</v>
      </c>
      <c r="J150" s="347" t="s">
        <v>2242</v>
      </c>
      <c r="K150" s="10" t="s">
        <v>3477</v>
      </c>
      <c r="L150" s="347" t="s">
        <v>2372</v>
      </c>
      <c r="M150" s="347" t="s">
        <v>3477</v>
      </c>
      <c r="N150" s="347" t="s">
        <v>3352</v>
      </c>
      <c r="O150" s="347" t="s">
        <v>15</v>
      </c>
      <c r="P150" s="347" t="s">
        <v>57</v>
      </c>
      <c r="Q150" s="347" t="s">
        <v>57</v>
      </c>
      <c r="R150" s="347" t="s">
        <v>58</v>
      </c>
      <c r="S150" s="347" t="s">
        <v>14</v>
      </c>
      <c r="T150" s="350">
        <v>18279</v>
      </c>
      <c r="U150" s="347">
        <v>4118858.4</v>
      </c>
      <c r="V150" s="347" t="s">
        <v>2307</v>
      </c>
      <c r="W150" s="347">
        <v>4634288.4000000004</v>
      </c>
      <c r="X150" s="347">
        <v>0</v>
      </c>
      <c r="Y150" s="347">
        <v>0</v>
      </c>
      <c r="Z150" s="347">
        <v>0</v>
      </c>
      <c r="AA150" s="347">
        <v>0</v>
      </c>
      <c r="AB150" s="347">
        <v>18</v>
      </c>
      <c r="AC150" s="347">
        <v>741394.51199999999</v>
      </c>
      <c r="AD150" s="347">
        <v>0</v>
      </c>
      <c r="AE150" s="347">
        <v>741394.51199999999</v>
      </c>
      <c r="AF150" s="347">
        <v>0</v>
      </c>
      <c r="AG150" s="347" t="s">
        <v>2279</v>
      </c>
      <c r="AH150" s="347" t="s">
        <v>3</v>
      </c>
      <c r="AI150" s="347">
        <v>63053200</v>
      </c>
      <c r="AJ150" s="347" t="s">
        <v>2243</v>
      </c>
      <c r="AK150" s="347">
        <v>95.45</v>
      </c>
      <c r="AL150" s="347">
        <v>18279</v>
      </c>
      <c r="AM150" s="347" t="s">
        <v>2308</v>
      </c>
    </row>
    <row r="151" spans="7:39">
      <c r="G151" s="347"/>
      <c r="H151" s="347"/>
      <c r="I151" s="347"/>
      <c r="J151" s="347"/>
      <c r="L151" s="347"/>
      <c r="M151" s="347"/>
      <c r="N151" s="347"/>
      <c r="O151" s="347"/>
      <c r="P151" s="347"/>
      <c r="Q151" s="347"/>
      <c r="R151" s="347"/>
      <c r="S151" s="347"/>
      <c r="T151" s="350">
        <v>645104.6</v>
      </c>
      <c r="U151" s="347">
        <v>137308486.03</v>
      </c>
      <c r="V151" s="347"/>
      <c r="W151" s="347">
        <v>150433692.93000001</v>
      </c>
      <c r="X151" s="347"/>
      <c r="Y151" s="347">
        <v>2061230.4</v>
      </c>
      <c r="Z151" s="347"/>
      <c r="AA151" s="347">
        <v>2061230.4</v>
      </c>
      <c r="AB151" s="347"/>
      <c r="AC151" s="347">
        <v>8894188.3100000005</v>
      </c>
      <c r="AD151" s="347">
        <v>0</v>
      </c>
      <c r="AE151" s="347">
        <v>13016649.109999999</v>
      </c>
      <c r="AF151" s="347">
        <v>-28184.33</v>
      </c>
      <c r="AG151" s="347"/>
      <c r="AH151" s="347"/>
      <c r="AI151" s="347"/>
      <c r="AJ151" s="347"/>
      <c r="AK151" s="347"/>
      <c r="AL151" s="347"/>
      <c r="AM151" s="347"/>
    </row>
  </sheetData>
  <autoFilter ref="H16:AL151">
    <sortState ref="H17:AL220">
      <sortCondition ref="I16:I220"/>
    </sortState>
  </autoFilter>
  <mergeCells count="1">
    <mergeCell ref="A15:D15"/>
  </mergeCells>
  <pageMargins left="0.7" right="0.7" top="0.75" bottom="0.75" header="0.3" footer="0.3"/>
  <pageSetup orientation="portrait" verticalDpi="0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334"/>
  <sheetViews>
    <sheetView topLeftCell="A115" workbookViewId="0">
      <selection activeCell="E24" sqref="E24"/>
    </sheetView>
  </sheetViews>
  <sheetFormatPr defaultRowHeight="12"/>
  <cols>
    <col min="1" max="1" width="44.28515625" style="20" bestFit="1" customWidth="1"/>
    <col min="2" max="2" width="30" style="94" bestFit="1" customWidth="1"/>
    <col min="3" max="3" width="13" style="20" bestFit="1" customWidth="1"/>
    <col min="4" max="4" width="12.5703125" style="20" bestFit="1" customWidth="1"/>
    <col min="5" max="5" width="15.42578125" style="94" bestFit="1" customWidth="1"/>
    <col min="6" max="6" width="9.140625" style="20"/>
    <col min="7" max="7" width="26" style="20" bestFit="1" customWidth="1"/>
    <col min="8" max="8" width="15.42578125" style="20" bestFit="1" customWidth="1"/>
    <col min="9" max="9" width="14.85546875" style="20" bestFit="1" customWidth="1"/>
    <col min="10" max="16384" width="9.140625" style="20"/>
  </cols>
  <sheetData>
    <row r="1" spans="1:5" ht="12.75">
      <c r="A1" s="436"/>
      <c r="B1" s="437" t="s">
        <v>2216</v>
      </c>
      <c r="C1" s="437"/>
      <c r="D1" s="437"/>
      <c r="E1" s="437"/>
    </row>
    <row r="2" spans="1:5" ht="12.75">
      <c r="A2" s="438" t="s">
        <v>254</v>
      </c>
      <c r="B2" s="437" t="s">
        <v>10003</v>
      </c>
      <c r="C2" s="437"/>
      <c r="D2" s="437"/>
      <c r="E2" s="437"/>
    </row>
    <row r="3" spans="1:5" ht="12.75">
      <c r="A3" s="436"/>
      <c r="B3" s="437" t="s">
        <v>217</v>
      </c>
      <c r="C3" s="437" t="s">
        <v>255</v>
      </c>
      <c r="D3" s="437"/>
      <c r="E3" s="437" t="s">
        <v>220</v>
      </c>
    </row>
    <row r="4" spans="1:5" ht="12.75">
      <c r="A4" s="439"/>
      <c r="B4" s="437"/>
      <c r="C4" s="440" t="s">
        <v>218</v>
      </c>
      <c r="D4" s="440" t="s">
        <v>219</v>
      </c>
      <c r="E4" s="437"/>
    </row>
    <row r="5" spans="1:5" ht="12.75">
      <c r="A5" s="441" t="s">
        <v>2232</v>
      </c>
      <c r="B5" s="442">
        <v>742627.38</v>
      </c>
      <c r="C5" s="443"/>
      <c r="D5" s="443"/>
      <c r="E5" s="442">
        <v>742627.38</v>
      </c>
    </row>
    <row r="6" spans="1:5" ht="12.75">
      <c r="A6" s="441" t="s">
        <v>2664</v>
      </c>
      <c r="B6" s="442">
        <v>86338.15</v>
      </c>
      <c r="C6" s="443">
        <v>36373.51</v>
      </c>
      <c r="D6" s="443"/>
      <c r="E6" s="442">
        <v>122711.66</v>
      </c>
    </row>
    <row r="7" spans="1:5" ht="12.75">
      <c r="A7" s="441" t="s">
        <v>2446</v>
      </c>
      <c r="B7" s="442">
        <v>47453</v>
      </c>
      <c r="C7" s="443"/>
      <c r="D7" s="443"/>
      <c r="E7" s="442">
        <v>47453</v>
      </c>
    </row>
    <row r="8" spans="1:5" ht="12.75">
      <c r="A8" s="441" t="s">
        <v>10004</v>
      </c>
      <c r="B8" s="442">
        <v>-0.01</v>
      </c>
      <c r="C8" s="443">
        <v>9074912.8399999999</v>
      </c>
      <c r="D8" s="443">
        <v>90</v>
      </c>
      <c r="E8" s="442">
        <v>9074822.8300000001</v>
      </c>
    </row>
    <row r="9" spans="1:5" ht="12.75">
      <c r="A9" s="441" t="s">
        <v>2487</v>
      </c>
      <c r="B9" s="442"/>
      <c r="C9" s="443">
        <v>98</v>
      </c>
      <c r="D9" s="443">
        <v>98</v>
      </c>
      <c r="E9" s="442"/>
    </row>
    <row r="10" spans="1:5" ht="12.75">
      <c r="A10" s="441" t="s">
        <v>10005</v>
      </c>
      <c r="B10" s="442"/>
      <c r="C10" s="443">
        <v>305084.77</v>
      </c>
      <c r="D10" s="443"/>
      <c r="E10" s="442">
        <v>305084.77</v>
      </c>
    </row>
    <row r="11" spans="1:5" ht="12.75">
      <c r="A11" s="441" t="s">
        <v>10006</v>
      </c>
      <c r="B11" s="442">
        <v>-0.01</v>
      </c>
      <c r="C11" s="443">
        <v>9074912.5099999998</v>
      </c>
      <c r="D11" s="443">
        <v>90</v>
      </c>
      <c r="E11" s="442">
        <v>9074822.5</v>
      </c>
    </row>
    <row r="12" spans="1:5" ht="12.75">
      <c r="A12" s="441" t="s">
        <v>2258</v>
      </c>
      <c r="B12" s="442">
        <v>33848589.259999998</v>
      </c>
      <c r="C12" s="443"/>
      <c r="D12" s="443"/>
      <c r="E12" s="442">
        <v>33848589.259999998</v>
      </c>
    </row>
    <row r="13" spans="1:5" ht="12.75">
      <c r="A13" s="441" t="s">
        <v>2378</v>
      </c>
      <c r="B13" s="442">
        <v>60425028.109999999</v>
      </c>
      <c r="C13" s="443">
        <v>8894188.4100000001</v>
      </c>
      <c r="D13" s="443"/>
      <c r="E13" s="442">
        <v>69319216.519999996</v>
      </c>
    </row>
    <row r="14" spans="1:5" ht="12.75">
      <c r="A14" s="441" t="s">
        <v>481</v>
      </c>
      <c r="B14" s="442">
        <v>12386</v>
      </c>
      <c r="C14" s="443"/>
      <c r="D14" s="443"/>
      <c r="E14" s="442">
        <v>12386</v>
      </c>
    </row>
    <row r="15" spans="1:5" ht="12.75">
      <c r="A15" s="441" t="s">
        <v>2259</v>
      </c>
      <c r="B15" s="442">
        <v>7588</v>
      </c>
      <c r="C15" s="443">
        <v>7716</v>
      </c>
      <c r="D15" s="443">
        <v>7588</v>
      </c>
      <c r="E15" s="442">
        <v>7716</v>
      </c>
    </row>
    <row r="16" spans="1:5" ht="12.75">
      <c r="A16" s="441" t="s">
        <v>2313</v>
      </c>
      <c r="B16" s="442">
        <v>271713.94</v>
      </c>
      <c r="C16" s="443">
        <v>16225</v>
      </c>
      <c r="D16" s="443"/>
      <c r="E16" s="442">
        <v>287938.94</v>
      </c>
    </row>
    <row r="17" spans="1:5" ht="12.75">
      <c r="A17" s="441" t="s">
        <v>257</v>
      </c>
      <c r="B17" s="442">
        <v>1690000</v>
      </c>
      <c r="C17" s="443"/>
      <c r="D17" s="443"/>
      <c r="E17" s="442">
        <v>1690000</v>
      </c>
    </row>
    <row r="18" spans="1:5" ht="12.75">
      <c r="A18" s="441" t="s">
        <v>2260</v>
      </c>
      <c r="B18" s="442">
        <v>10000</v>
      </c>
      <c r="C18" s="443"/>
      <c r="D18" s="443"/>
      <c r="E18" s="442">
        <v>10000</v>
      </c>
    </row>
    <row r="19" spans="1:5" ht="12.75">
      <c r="A19" s="441" t="s">
        <v>2194</v>
      </c>
      <c r="B19" s="442">
        <v>-38500</v>
      </c>
      <c r="C19" s="443">
        <v>53500</v>
      </c>
      <c r="D19" s="443"/>
      <c r="E19" s="442">
        <v>15000</v>
      </c>
    </row>
    <row r="20" spans="1:5" ht="12.75">
      <c r="A20" s="441" t="s">
        <v>2395</v>
      </c>
      <c r="B20" s="442"/>
      <c r="C20" s="443"/>
      <c r="D20" s="443">
        <v>36817</v>
      </c>
      <c r="E20" s="442">
        <v>-36817</v>
      </c>
    </row>
    <row r="21" spans="1:5" ht="12.75">
      <c r="A21" s="441" t="s">
        <v>258</v>
      </c>
      <c r="B21" s="442">
        <v>26091</v>
      </c>
      <c r="C21" s="443">
        <v>51291</v>
      </c>
      <c r="D21" s="443">
        <v>47206</v>
      </c>
      <c r="E21" s="442">
        <v>30176</v>
      </c>
    </row>
    <row r="22" spans="1:5" ht="12.75">
      <c r="A22" s="441" t="s">
        <v>365</v>
      </c>
      <c r="B22" s="442">
        <v>84715498.269999996</v>
      </c>
      <c r="C22" s="443"/>
      <c r="D22" s="443"/>
      <c r="E22" s="442">
        <v>84715498.269999996</v>
      </c>
    </row>
    <row r="23" spans="1:5" ht="12.75">
      <c r="A23" s="441" t="s">
        <v>10007</v>
      </c>
      <c r="B23" s="442">
        <v>932117.04</v>
      </c>
      <c r="C23" s="443"/>
      <c r="D23" s="443"/>
      <c r="E23" s="442">
        <v>932117.04</v>
      </c>
    </row>
    <row r="24" spans="1:5" ht="12.75">
      <c r="A24" s="441" t="s">
        <v>66</v>
      </c>
      <c r="B24" s="442">
        <v>25161007.629999999</v>
      </c>
      <c r="C24" s="443">
        <v>2056898.09</v>
      </c>
      <c r="D24" s="443">
        <v>5603716.1100000003</v>
      </c>
      <c r="E24" s="442">
        <v>21614189.609999999</v>
      </c>
    </row>
    <row r="25" spans="1:5" ht="12.75">
      <c r="A25" s="441" t="s">
        <v>78</v>
      </c>
      <c r="B25" s="442">
        <v>126658643.97</v>
      </c>
      <c r="C25" s="443">
        <v>12043513.23</v>
      </c>
      <c r="D25" s="443"/>
      <c r="E25" s="442">
        <v>138702157.19999999</v>
      </c>
    </row>
    <row r="26" spans="1:5" ht="12.75">
      <c r="A26" s="441" t="s">
        <v>61</v>
      </c>
      <c r="B26" s="442"/>
      <c r="C26" s="443">
        <v>26891797.050000001</v>
      </c>
      <c r="D26" s="443"/>
      <c r="E26" s="442">
        <v>26891797.050000001</v>
      </c>
    </row>
    <row r="27" spans="1:5" ht="12.75">
      <c r="A27" s="441" t="s">
        <v>226</v>
      </c>
      <c r="B27" s="442"/>
      <c r="C27" s="443"/>
      <c r="D27" s="443"/>
      <c r="E27" s="442"/>
    </row>
    <row r="28" spans="1:5" ht="12.75">
      <c r="A28" s="441" t="s">
        <v>222</v>
      </c>
      <c r="B28" s="442">
        <v>-2750310.78</v>
      </c>
      <c r="C28" s="443"/>
      <c r="D28" s="443">
        <v>408766.61</v>
      </c>
      <c r="E28" s="442">
        <v>-3159077.39</v>
      </c>
    </row>
    <row r="29" spans="1:5" ht="12.75">
      <c r="A29" s="441" t="s">
        <v>73</v>
      </c>
      <c r="B29" s="442">
        <v>49783548.920000002</v>
      </c>
      <c r="C29" s="443">
        <v>56521.26</v>
      </c>
      <c r="D29" s="443"/>
      <c r="E29" s="442">
        <v>49840070.18</v>
      </c>
    </row>
    <row r="30" spans="1:5" ht="12.75">
      <c r="A30" s="441" t="s">
        <v>2169</v>
      </c>
      <c r="B30" s="442">
        <v>-497207</v>
      </c>
      <c r="C30" s="443"/>
      <c r="D30" s="443"/>
      <c r="E30" s="442">
        <v>-497207</v>
      </c>
    </row>
    <row r="31" spans="1:5" ht="12.75">
      <c r="A31" s="441" t="s">
        <v>2392</v>
      </c>
      <c r="B31" s="442">
        <v>39291784.700000003</v>
      </c>
      <c r="C31" s="443">
        <v>12616076.550000001</v>
      </c>
      <c r="D31" s="443">
        <v>42812821</v>
      </c>
      <c r="E31" s="442">
        <v>9095040.25</v>
      </c>
    </row>
    <row r="32" spans="1:5" ht="12.75">
      <c r="A32" s="441" t="s">
        <v>3403</v>
      </c>
      <c r="B32" s="442"/>
      <c r="C32" s="443">
        <v>4444454.5</v>
      </c>
      <c r="D32" s="443"/>
      <c r="E32" s="442">
        <v>4444454.5</v>
      </c>
    </row>
    <row r="33" spans="1:5" ht="12.75">
      <c r="A33" s="441" t="s">
        <v>2454</v>
      </c>
      <c r="B33" s="442">
        <v>3729278.63</v>
      </c>
      <c r="C33" s="443"/>
      <c r="D33" s="443"/>
      <c r="E33" s="442">
        <v>3729278.63</v>
      </c>
    </row>
    <row r="34" spans="1:5" ht="12.75">
      <c r="A34" s="441" t="s">
        <v>2547</v>
      </c>
      <c r="B34" s="442">
        <v>10837862.4</v>
      </c>
      <c r="C34" s="443">
        <v>5313792</v>
      </c>
      <c r="D34" s="443">
        <v>10833810.029999999</v>
      </c>
      <c r="E34" s="442">
        <v>5317844.37</v>
      </c>
    </row>
    <row r="35" spans="1:5" ht="12.75">
      <c r="A35" s="441" t="s">
        <v>232</v>
      </c>
      <c r="B35" s="442">
        <v>22079.83</v>
      </c>
      <c r="C35" s="443">
        <v>47952</v>
      </c>
      <c r="D35" s="443"/>
      <c r="E35" s="442">
        <v>70031.83</v>
      </c>
    </row>
    <row r="36" spans="1:5" ht="12.75">
      <c r="A36" s="441" t="s">
        <v>2544</v>
      </c>
      <c r="B36" s="442">
        <v>12825328.26</v>
      </c>
      <c r="C36" s="443">
        <v>14424850.35</v>
      </c>
      <c r="D36" s="443"/>
      <c r="E36" s="442">
        <v>27250178.609999999</v>
      </c>
    </row>
    <row r="37" spans="1:5" ht="12.75">
      <c r="A37" s="441" t="s">
        <v>2306</v>
      </c>
      <c r="B37" s="442">
        <v>16644009.18</v>
      </c>
      <c r="C37" s="443">
        <v>62200058.829999998</v>
      </c>
      <c r="D37" s="443">
        <v>20844115.579999998</v>
      </c>
      <c r="E37" s="442">
        <v>57999952.43</v>
      </c>
    </row>
    <row r="38" spans="1:5" ht="12.75">
      <c r="A38" s="441" t="s">
        <v>2391</v>
      </c>
      <c r="B38" s="442"/>
      <c r="C38" s="443"/>
      <c r="D38" s="443"/>
      <c r="E38" s="442"/>
    </row>
    <row r="39" spans="1:5" ht="12.75">
      <c r="A39" s="441" t="s">
        <v>2483</v>
      </c>
      <c r="B39" s="442"/>
      <c r="C39" s="443"/>
      <c r="D39" s="443"/>
      <c r="E39" s="442"/>
    </row>
    <row r="40" spans="1:5" ht="12.75">
      <c r="A40" s="441" t="s">
        <v>2373</v>
      </c>
      <c r="B40" s="442">
        <v>18891732.600000001</v>
      </c>
      <c r="C40" s="443">
        <v>10337779.07</v>
      </c>
      <c r="D40" s="443">
        <v>18891732.600000001</v>
      </c>
      <c r="E40" s="442">
        <v>10337779.07</v>
      </c>
    </row>
    <row r="41" spans="1:5" ht="12.75">
      <c r="A41" s="441" t="s">
        <v>2614</v>
      </c>
      <c r="B41" s="442">
        <v>4745520</v>
      </c>
      <c r="C41" s="443"/>
      <c r="D41" s="443">
        <v>4745520</v>
      </c>
      <c r="E41" s="442"/>
    </row>
    <row r="42" spans="1:5" ht="12.75">
      <c r="A42" s="441" t="s">
        <v>2371</v>
      </c>
      <c r="B42" s="442">
        <v>10000</v>
      </c>
      <c r="C42" s="443"/>
      <c r="D42" s="443"/>
      <c r="E42" s="442">
        <v>10000</v>
      </c>
    </row>
    <row r="43" spans="1:5" ht="12.75">
      <c r="A43" s="441" t="s">
        <v>2488</v>
      </c>
      <c r="B43" s="442">
        <v>100000</v>
      </c>
      <c r="C43" s="443"/>
      <c r="D43" s="443"/>
      <c r="E43" s="442">
        <v>100000</v>
      </c>
    </row>
    <row r="44" spans="1:5" ht="12.75">
      <c r="A44" s="441" t="s">
        <v>2261</v>
      </c>
      <c r="B44" s="442">
        <v>1681000</v>
      </c>
      <c r="C44" s="443"/>
      <c r="D44" s="443"/>
      <c r="E44" s="442">
        <v>1681000</v>
      </c>
    </row>
    <row r="45" spans="1:5" ht="12.75">
      <c r="A45" s="441" t="s">
        <v>2281</v>
      </c>
      <c r="B45" s="442">
        <v>14000</v>
      </c>
      <c r="C45" s="443"/>
      <c r="D45" s="443"/>
      <c r="E45" s="442">
        <v>14000</v>
      </c>
    </row>
    <row r="46" spans="1:5" ht="12.75">
      <c r="A46" s="441" t="s">
        <v>2314</v>
      </c>
      <c r="B46" s="442">
        <v>34492.44</v>
      </c>
      <c r="C46" s="443"/>
      <c r="D46" s="443"/>
      <c r="E46" s="442">
        <v>34492.44</v>
      </c>
    </row>
    <row r="47" spans="1:5" ht="12.75">
      <c r="A47" s="441" t="s">
        <v>2489</v>
      </c>
      <c r="B47" s="442">
        <v>52886</v>
      </c>
      <c r="C47" s="443">
        <v>100</v>
      </c>
      <c r="D47" s="443"/>
      <c r="E47" s="442">
        <v>52986</v>
      </c>
    </row>
    <row r="48" spans="1:5" ht="12.75">
      <c r="A48" s="441" t="s">
        <v>285</v>
      </c>
      <c r="B48" s="442">
        <v>12.42</v>
      </c>
      <c r="C48" s="443">
        <v>13.18</v>
      </c>
      <c r="D48" s="443">
        <v>7.33</v>
      </c>
      <c r="E48" s="442">
        <v>18.27</v>
      </c>
    </row>
    <row r="49" spans="1:5" ht="12.75">
      <c r="A49" s="441" t="s">
        <v>2490</v>
      </c>
      <c r="B49" s="442">
        <v>10163.379999999999</v>
      </c>
      <c r="C49" s="443"/>
      <c r="D49" s="443"/>
      <c r="E49" s="442">
        <v>10163.379999999999</v>
      </c>
    </row>
    <row r="50" spans="1:5" ht="12.75">
      <c r="A50" s="441" t="s">
        <v>2491</v>
      </c>
      <c r="B50" s="442">
        <v>75199</v>
      </c>
      <c r="C50" s="443"/>
      <c r="D50" s="443"/>
      <c r="E50" s="442">
        <v>75199</v>
      </c>
    </row>
    <row r="51" spans="1:5" ht="12.75">
      <c r="A51" s="441" t="s">
        <v>2665</v>
      </c>
      <c r="B51" s="442">
        <v>16350</v>
      </c>
      <c r="C51" s="443">
        <v>2480</v>
      </c>
      <c r="D51" s="443"/>
      <c r="E51" s="442">
        <v>18830</v>
      </c>
    </row>
    <row r="52" spans="1:5" ht="12.75">
      <c r="A52" s="441" t="s">
        <v>286</v>
      </c>
      <c r="B52" s="442">
        <v>27171.62</v>
      </c>
      <c r="C52" s="443">
        <v>6392.24</v>
      </c>
      <c r="D52" s="443"/>
      <c r="E52" s="442">
        <v>33563.86</v>
      </c>
    </row>
    <row r="53" spans="1:5" ht="12.75">
      <c r="A53" s="441" t="s">
        <v>2666</v>
      </c>
      <c r="B53" s="442">
        <v>4880</v>
      </c>
      <c r="C53" s="443">
        <v>3020</v>
      </c>
      <c r="D53" s="443"/>
      <c r="E53" s="442">
        <v>7900</v>
      </c>
    </row>
    <row r="54" spans="1:5" ht="12.75">
      <c r="A54" s="441" t="s">
        <v>2667</v>
      </c>
      <c r="B54" s="442">
        <v>-16840</v>
      </c>
      <c r="C54" s="443"/>
      <c r="D54" s="443">
        <v>1550</v>
      </c>
      <c r="E54" s="442">
        <v>-18390</v>
      </c>
    </row>
    <row r="55" spans="1:5" ht="12.75">
      <c r="A55" s="441" t="s">
        <v>287</v>
      </c>
      <c r="B55" s="442">
        <v>43281.5</v>
      </c>
      <c r="C55" s="443">
        <v>22806.99</v>
      </c>
      <c r="D55" s="443">
        <v>24150</v>
      </c>
      <c r="E55" s="442">
        <v>41938.49</v>
      </c>
    </row>
    <row r="56" spans="1:5" ht="12.75">
      <c r="A56" s="441" t="s">
        <v>2668</v>
      </c>
      <c r="B56" s="442">
        <v>14348537</v>
      </c>
      <c r="C56" s="443">
        <v>7562933</v>
      </c>
      <c r="D56" s="443"/>
      <c r="E56" s="442">
        <v>21911470</v>
      </c>
    </row>
    <row r="57" spans="1:5" ht="12.75">
      <c r="A57" s="441" t="s">
        <v>2312</v>
      </c>
      <c r="B57" s="442">
        <v>1417249.91</v>
      </c>
      <c r="C57" s="443">
        <v>408766.61</v>
      </c>
      <c r="D57" s="443"/>
      <c r="E57" s="442">
        <v>1826016.52</v>
      </c>
    </row>
    <row r="58" spans="1:5" ht="12.75">
      <c r="A58" s="441" t="s">
        <v>288</v>
      </c>
      <c r="B58" s="442">
        <v>1181250</v>
      </c>
      <c r="C58" s="443">
        <v>393750</v>
      </c>
      <c r="D58" s="443"/>
      <c r="E58" s="442">
        <v>1575000</v>
      </c>
    </row>
    <row r="59" spans="1:5" ht="12.75">
      <c r="A59" s="441" t="s">
        <v>2214</v>
      </c>
      <c r="B59" s="442">
        <v>439032</v>
      </c>
      <c r="C59" s="443">
        <v>146344</v>
      </c>
      <c r="D59" s="443"/>
      <c r="E59" s="442">
        <v>585376</v>
      </c>
    </row>
    <row r="60" spans="1:5" ht="12.75">
      <c r="A60" s="441" t="s">
        <v>10008</v>
      </c>
      <c r="B60" s="442"/>
      <c r="C60" s="443">
        <v>46775</v>
      </c>
      <c r="D60" s="443"/>
      <c r="E60" s="442">
        <v>46775</v>
      </c>
    </row>
    <row r="61" spans="1:5" ht="12.75">
      <c r="A61" s="441" t="s">
        <v>289</v>
      </c>
      <c r="B61" s="442">
        <v>47400</v>
      </c>
      <c r="C61" s="443">
        <v>26350</v>
      </c>
      <c r="D61" s="443"/>
      <c r="E61" s="442">
        <v>73750</v>
      </c>
    </row>
    <row r="62" spans="1:5" ht="12.75">
      <c r="A62" s="441" t="s">
        <v>290</v>
      </c>
      <c r="B62" s="442">
        <v>323363.5</v>
      </c>
      <c r="C62" s="443">
        <v>102838.5</v>
      </c>
      <c r="D62" s="443"/>
      <c r="E62" s="442">
        <v>426202</v>
      </c>
    </row>
    <row r="63" spans="1:5" ht="12.75">
      <c r="A63" s="441" t="s">
        <v>2669</v>
      </c>
      <c r="B63" s="442">
        <v>4630</v>
      </c>
      <c r="C63" s="443">
        <v>4590</v>
      </c>
      <c r="D63" s="443"/>
      <c r="E63" s="442">
        <v>9220</v>
      </c>
    </row>
    <row r="64" spans="1:5" ht="12.75">
      <c r="A64" s="441" t="s">
        <v>2459</v>
      </c>
      <c r="B64" s="442">
        <v>3300</v>
      </c>
      <c r="C64" s="443"/>
      <c r="D64" s="443"/>
      <c r="E64" s="442">
        <v>3300</v>
      </c>
    </row>
    <row r="65" spans="1:5" ht="12.75">
      <c r="A65" s="441" t="s">
        <v>2061</v>
      </c>
      <c r="B65" s="442">
        <v>233330</v>
      </c>
      <c r="C65" s="443">
        <v>148340</v>
      </c>
      <c r="D65" s="443"/>
      <c r="E65" s="442">
        <v>381670</v>
      </c>
    </row>
    <row r="66" spans="1:5" ht="12.75">
      <c r="A66" s="441" t="s">
        <v>2262</v>
      </c>
      <c r="B66" s="442">
        <v>18780</v>
      </c>
      <c r="C66" s="443">
        <v>8500</v>
      </c>
      <c r="D66" s="443"/>
      <c r="E66" s="442">
        <v>27280</v>
      </c>
    </row>
    <row r="67" spans="1:5" ht="12.75">
      <c r="A67" s="441" t="s">
        <v>2062</v>
      </c>
      <c r="B67" s="442">
        <v>179734.06</v>
      </c>
      <c r="C67" s="443">
        <v>22600</v>
      </c>
      <c r="D67" s="443"/>
      <c r="E67" s="442">
        <v>202334.06</v>
      </c>
    </row>
    <row r="68" spans="1:5" ht="12.75">
      <c r="A68" s="441" t="s">
        <v>2449</v>
      </c>
      <c r="B68" s="442">
        <v>556815.4</v>
      </c>
      <c r="C68" s="443">
        <v>737284.43</v>
      </c>
      <c r="D68" s="443"/>
      <c r="E68" s="442">
        <v>1294099.83</v>
      </c>
    </row>
    <row r="69" spans="1:5" ht="12.75">
      <c r="A69" s="441" t="s">
        <v>2503</v>
      </c>
      <c r="B69" s="442">
        <v>1543316.72</v>
      </c>
      <c r="C69" s="443">
        <v>394723.71</v>
      </c>
      <c r="D69" s="443"/>
      <c r="E69" s="442">
        <v>1938040.43</v>
      </c>
    </row>
    <row r="70" spans="1:5" ht="12.75">
      <c r="A70" s="441" t="s">
        <v>114</v>
      </c>
      <c r="B70" s="442">
        <v>4516367.9000000004</v>
      </c>
      <c r="C70" s="443">
        <v>1190255</v>
      </c>
      <c r="D70" s="443"/>
      <c r="E70" s="442">
        <v>5706622.9000000004</v>
      </c>
    </row>
    <row r="71" spans="1:5" ht="12.75">
      <c r="A71" s="441" t="s">
        <v>657</v>
      </c>
      <c r="B71" s="442">
        <v>2265210</v>
      </c>
      <c r="C71" s="443">
        <v>849175</v>
      </c>
      <c r="D71" s="443"/>
      <c r="E71" s="442">
        <v>3114385</v>
      </c>
    </row>
    <row r="72" spans="1:5" ht="12.75">
      <c r="A72" s="441" t="s">
        <v>98</v>
      </c>
      <c r="B72" s="442">
        <v>229161260.28</v>
      </c>
      <c r="C72" s="443">
        <v>89309381.329999998</v>
      </c>
      <c r="D72" s="443"/>
      <c r="E72" s="442">
        <v>318470641.61000001</v>
      </c>
    </row>
    <row r="73" spans="1:5" ht="12.75">
      <c r="A73" s="441" t="s">
        <v>2670</v>
      </c>
      <c r="B73" s="442">
        <v>858116.82</v>
      </c>
      <c r="C73" s="443"/>
      <c r="D73" s="443"/>
      <c r="E73" s="442">
        <v>858116.82</v>
      </c>
    </row>
    <row r="74" spans="1:5" ht="12.75">
      <c r="A74" s="441" t="s">
        <v>2250</v>
      </c>
      <c r="B74" s="442">
        <v>405232</v>
      </c>
      <c r="C74" s="443">
        <v>344891</v>
      </c>
      <c r="D74" s="443"/>
      <c r="E74" s="442">
        <v>750123</v>
      </c>
    </row>
    <row r="75" spans="1:5" ht="12.75">
      <c r="A75" s="441" t="s">
        <v>97</v>
      </c>
      <c r="B75" s="442">
        <v>3717541.65</v>
      </c>
      <c r="C75" s="443">
        <v>1235657.4099999999</v>
      </c>
      <c r="D75" s="443"/>
      <c r="E75" s="442">
        <v>4953199.0599999996</v>
      </c>
    </row>
    <row r="76" spans="1:5" ht="12.75">
      <c r="A76" s="441" t="s">
        <v>2540</v>
      </c>
      <c r="B76" s="442">
        <v>2901319.49</v>
      </c>
      <c r="C76" s="443">
        <v>2224616.5</v>
      </c>
      <c r="D76" s="443"/>
      <c r="E76" s="442">
        <v>5125935.99</v>
      </c>
    </row>
    <row r="77" spans="1:5" ht="12.75">
      <c r="A77" s="441" t="s">
        <v>291</v>
      </c>
      <c r="B77" s="442">
        <v>51980</v>
      </c>
      <c r="C77" s="443">
        <v>19080</v>
      </c>
      <c r="D77" s="443"/>
      <c r="E77" s="442">
        <v>71060</v>
      </c>
    </row>
    <row r="78" spans="1:5" ht="12.75">
      <c r="A78" s="441" t="s">
        <v>2057</v>
      </c>
      <c r="B78" s="442">
        <v>106400</v>
      </c>
      <c r="C78" s="443">
        <v>41800</v>
      </c>
      <c r="D78" s="443"/>
      <c r="E78" s="442">
        <v>148200</v>
      </c>
    </row>
    <row r="79" spans="1:5" ht="12.75">
      <c r="A79" s="441" t="s">
        <v>2311</v>
      </c>
      <c r="B79" s="442"/>
      <c r="C79" s="443">
        <v>10497</v>
      </c>
      <c r="D79" s="443"/>
      <c r="E79" s="442">
        <v>10497</v>
      </c>
    </row>
    <row r="80" spans="1:5" ht="12.75">
      <c r="A80" s="441" t="s">
        <v>2520</v>
      </c>
      <c r="B80" s="442">
        <v>1327</v>
      </c>
      <c r="C80" s="443">
        <v>499</v>
      </c>
      <c r="D80" s="443"/>
      <c r="E80" s="442">
        <v>1826</v>
      </c>
    </row>
    <row r="81" spans="1:9" ht="12.75">
      <c r="A81" s="441" t="s">
        <v>2671</v>
      </c>
      <c r="B81" s="442">
        <v>928</v>
      </c>
      <c r="C81" s="443">
        <v>300</v>
      </c>
      <c r="D81" s="443"/>
      <c r="E81" s="442">
        <v>1228</v>
      </c>
    </row>
    <row r="82" spans="1:9" ht="12.75">
      <c r="A82" s="441" t="s">
        <v>292</v>
      </c>
      <c r="B82" s="442">
        <v>3900</v>
      </c>
      <c r="C82" s="443">
        <v>2060</v>
      </c>
      <c r="D82" s="443"/>
      <c r="E82" s="442">
        <v>5960</v>
      </c>
    </row>
    <row r="83" spans="1:9" ht="12.75">
      <c r="A83" s="441" t="s">
        <v>2215</v>
      </c>
      <c r="B83" s="442">
        <v>5909</v>
      </c>
      <c r="C83" s="443">
        <v>7068.8</v>
      </c>
      <c r="D83" s="443"/>
      <c r="E83" s="442">
        <v>12977.8</v>
      </c>
    </row>
    <row r="84" spans="1:9" ht="12.75">
      <c r="A84" s="441" t="s">
        <v>2063</v>
      </c>
      <c r="B84" s="442">
        <v>1310</v>
      </c>
      <c r="C84" s="443">
        <v>474</v>
      </c>
      <c r="D84" s="443"/>
      <c r="E84" s="442">
        <v>1784</v>
      </c>
    </row>
    <row r="85" spans="1:9" ht="12.75">
      <c r="A85" s="441" t="s">
        <v>293</v>
      </c>
      <c r="B85" s="442">
        <v>236250</v>
      </c>
      <c r="C85" s="443">
        <v>78750</v>
      </c>
      <c r="D85" s="443"/>
      <c r="E85" s="442">
        <v>315000</v>
      </c>
    </row>
    <row r="86" spans="1:9" ht="12.75">
      <c r="A86" s="441" t="s">
        <v>294</v>
      </c>
      <c r="B86" s="442">
        <v>-25.76</v>
      </c>
      <c r="C86" s="443">
        <v>3.31</v>
      </c>
      <c r="D86" s="443">
        <v>7.49</v>
      </c>
      <c r="E86" s="442">
        <v>-29.94</v>
      </c>
    </row>
    <row r="87" spans="1:9" ht="12.75">
      <c r="A87" s="441" t="s">
        <v>2672</v>
      </c>
      <c r="B87" s="442">
        <v>140870</v>
      </c>
      <c r="C87" s="443">
        <v>55677</v>
      </c>
      <c r="D87" s="443"/>
      <c r="E87" s="442">
        <v>196547</v>
      </c>
    </row>
    <row r="88" spans="1:9" ht="12.75">
      <c r="A88" s="441" t="s">
        <v>2673</v>
      </c>
      <c r="B88" s="442">
        <v>35145.64</v>
      </c>
      <c r="C88" s="443">
        <v>805.92</v>
      </c>
      <c r="D88" s="443"/>
      <c r="E88" s="442">
        <v>35951.56</v>
      </c>
    </row>
    <row r="89" spans="1:9" ht="12.75">
      <c r="A89" s="441" t="s">
        <v>2674</v>
      </c>
      <c r="B89" s="442">
        <v>7960</v>
      </c>
      <c r="C89" s="443">
        <v>6000</v>
      </c>
      <c r="D89" s="443"/>
      <c r="E89" s="442">
        <v>13960</v>
      </c>
    </row>
    <row r="90" spans="1:9" ht="12.75">
      <c r="A90" s="441" t="s">
        <v>2233</v>
      </c>
      <c r="B90" s="442">
        <v>66210</v>
      </c>
      <c r="C90" s="443">
        <v>11274</v>
      </c>
      <c r="D90" s="443"/>
      <c r="E90" s="442">
        <v>77484</v>
      </c>
    </row>
    <row r="91" spans="1:9" ht="12.75">
      <c r="A91" s="441" t="s">
        <v>2521</v>
      </c>
      <c r="B91" s="442">
        <v>6850</v>
      </c>
      <c r="C91" s="443">
        <v>1730</v>
      </c>
      <c r="D91" s="443"/>
      <c r="E91" s="442">
        <v>8580</v>
      </c>
    </row>
    <row r="92" spans="1:9" ht="12.75">
      <c r="A92" s="441" t="s">
        <v>2064</v>
      </c>
      <c r="B92" s="442">
        <v>47967.25</v>
      </c>
      <c r="C92" s="443">
        <v>184807.5</v>
      </c>
      <c r="D92" s="443"/>
      <c r="E92" s="442">
        <v>232774.75</v>
      </c>
    </row>
    <row r="93" spans="1:9" ht="15">
      <c r="A93" s="441" t="s">
        <v>2675</v>
      </c>
      <c r="B93" s="442">
        <v>527240</v>
      </c>
      <c r="C93" s="443">
        <v>163170</v>
      </c>
      <c r="D93" s="443"/>
      <c r="E93" s="442">
        <v>690410</v>
      </c>
      <c r="G93" s="369"/>
      <c r="H93" s="369"/>
      <c r="I93" s="369"/>
    </row>
    <row r="94" spans="1:9" ht="15">
      <c r="A94" s="441" t="s">
        <v>2676</v>
      </c>
      <c r="B94" s="442">
        <v>5356</v>
      </c>
      <c r="C94" s="443">
        <v>2794</v>
      </c>
      <c r="D94" s="443"/>
      <c r="E94" s="442">
        <v>8150</v>
      </c>
      <c r="G94" s="370"/>
      <c r="H94" s="367"/>
      <c r="I94" s="367"/>
    </row>
    <row r="95" spans="1:9" ht="15">
      <c r="A95" s="441" t="s">
        <v>775</v>
      </c>
      <c r="B95" s="442">
        <v>96842</v>
      </c>
      <c r="C95" s="443">
        <v>33221</v>
      </c>
      <c r="D95" s="443"/>
      <c r="E95" s="442">
        <v>130063</v>
      </c>
      <c r="G95" s="370"/>
      <c r="H95" s="4"/>
      <c r="I95" s="367"/>
    </row>
    <row r="96" spans="1:9" ht="15">
      <c r="A96" s="441" t="s">
        <v>2677</v>
      </c>
      <c r="B96" s="442">
        <v>467790</v>
      </c>
      <c r="C96" s="443"/>
      <c r="D96" s="443"/>
      <c r="E96" s="442">
        <v>467790</v>
      </c>
      <c r="G96" s="370"/>
      <c r="H96" s="367"/>
      <c r="I96" s="367"/>
    </row>
    <row r="97" spans="1:9" ht="15">
      <c r="A97" s="441" t="s">
        <v>2678</v>
      </c>
      <c r="B97" s="442">
        <v>779601</v>
      </c>
      <c r="C97" s="443"/>
      <c r="D97" s="443"/>
      <c r="E97" s="442">
        <v>779601</v>
      </c>
      <c r="G97" s="370"/>
      <c r="H97" s="367"/>
      <c r="I97" s="367"/>
    </row>
    <row r="98" spans="1:9" ht="15">
      <c r="A98" s="441" t="s">
        <v>2679</v>
      </c>
      <c r="B98" s="442">
        <v>1385</v>
      </c>
      <c r="C98" s="443"/>
      <c r="D98" s="443"/>
      <c r="E98" s="442">
        <v>1385</v>
      </c>
      <c r="G98" s="370"/>
      <c r="H98" s="4"/>
      <c r="I98" s="367"/>
    </row>
    <row r="99" spans="1:9" ht="15">
      <c r="A99" s="441" t="s">
        <v>2680</v>
      </c>
      <c r="B99" s="442">
        <v>208223</v>
      </c>
      <c r="C99" s="443"/>
      <c r="D99" s="443"/>
      <c r="E99" s="442">
        <v>208223</v>
      </c>
      <c r="G99" s="370"/>
      <c r="H99" s="367"/>
      <c r="I99" s="367"/>
    </row>
    <row r="100" spans="1:9" ht="15">
      <c r="A100" s="441" t="s">
        <v>2681</v>
      </c>
      <c r="B100" s="442">
        <v>311845</v>
      </c>
      <c r="C100" s="443"/>
      <c r="D100" s="443"/>
      <c r="E100" s="442">
        <v>311845</v>
      </c>
      <c r="G100" s="370"/>
      <c r="H100" s="367"/>
      <c r="I100" s="367"/>
    </row>
    <row r="101" spans="1:9" ht="15">
      <c r="A101" s="441" t="s">
        <v>2682</v>
      </c>
      <c r="B101" s="442">
        <v>82803</v>
      </c>
      <c r="C101" s="443"/>
      <c r="D101" s="443"/>
      <c r="E101" s="442">
        <v>82803</v>
      </c>
      <c r="G101" s="370"/>
      <c r="H101" s="4"/>
      <c r="I101" s="367"/>
    </row>
    <row r="102" spans="1:9" ht="15">
      <c r="A102" s="441" t="s">
        <v>2683</v>
      </c>
      <c r="B102" s="442">
        <v>2800</v>
      </c>
      <c r="C102" s="443"/>
      <c r="D102" s="443"/>
      <c r="E102" s="442">
        <v>2800</v>
      </c>
      <c r="G102" s="370"/>
      <c r="H102" s="4"/>
      <c r="I102" s="367"/>
    </row>
    <row r="103" spans="1:9" ht="15">
      <c r="A103" s="441" t="s">
        <v>2263</v>
      </c>
      <c r="B103" s="442">
        <v>35750</v>
      </c>
      <c r="C103" s="443">
        <v>19360</v>
      </c>
      <c r="D103" s="443"/>
      <c r="E103" s="442">
        <v>55110</v>
      </c>
      <c r="G103" s="370"/>
      <c r="H103" s="367"/>
      <c r="I103" s="367"/>
    </row>
    <row r="104" spans="1:9" ht="15">
      <c r="A104" s="441" t="s">
        <v>2684</v>
      </c>
      <c r="B104" s="442">
        <v>11766</v>
      </c>
      <c r="C104" s="443"/>
      <c r="D104" s="443"/>
      <c r="E104" s="442">
        <v>11766</v>
      </c>
      <c r="G104" s="370"/>
      <c r="H104" s="367"/>
      <c r="I104" s="367"/>
    </row>
    <row r="105" spans="1:9" ht="15">
      <c r="A105" s="441" t="s">
        <v>2685</v>
      </c>
      <c r="B105" s="442">
        <v>-65006</v>
      </c>
      <c r="C105" s="443"/>
      <c r="D105" s="443">
        <v>6600</v>
      </c>
      <c r="E105" s="442">
        <v>-71606</v>
      </c>
      <c r="G105" s="370"/>
      <c r="H105" s="367"/>
      <c r="I105" s="367"/>
    </row>
    <row r="106" spans="1:9" ht="15">
      <c r="A106" s="441" t="s">
        <v>2686</v>
      </c>
      <c r="B106" s="442">
        <v>994045</v>
      </c>
      <c r="C106" s="443"/>
      <c r="D106" s="443"/>
      <c r="E106" s="442">
        <v>994045</v>
      </c>
      <c r="G106" s="370"/>
      <c r="H106" s="367"/>
      <c r="I106" s="367"/>
    </row>
    <row r="107" spans="1:9" ht="15">
      <c r="A107" s="441" t="s">
        <v>2687</v>
      </c>
      <c r="B107" s="442">
        <v>422989</v>
      </c>
      <c r="C107" s="443"/>
      <c r="D107" s="443"/>
      <c r="E107" s="442">
        <v>422989</v>
      </c>
      <c r="G107" s="370"/>
      <c r="H107" s="367"/>
      <c r="I107" s="367"/>
    </row>
    <row r="108" spans="1:9" ht="12.75">
      <c r="A108" s="441" t="s">
        <v>295</v>
      </c>
      <c r="B108" s="442">
        <v>59455</v>
      </c>
      <c r="C108" s="443">
        <v>14283</v>
      </c>
      <c r="D108" s="443"/>
      <c r="E108" s="442">
        <v>73738</v>
      </c>
    </row>
    <row r="109" spans="1:9" ht="12.75">
      <c r="A109" s="441" t="s">
        <v>2460</v>
      </c>
      <c r="B109" s="442">
        <v>55179</v>
      </c>
      <c r="C109" s="443">
        <v>12743</v>
      </c>
      <c r="D109" s="443"/>
      <c r="E109" s="442">
        <v>67922</v>
      </c>
    </row>
    <row r="110" spans="1:9" ht="12.75">
      <c r="A110" s="441" t="s">
        <v>2379</v>
      </c>
      <c r="B110" s="442">
        <v>80477.759999999995</v>
      </c>
      <c r="C110" s="443">
        <v>50156.55</v>
      </c>
      <c r="D110" s="443"/>
      <c r="E110" s="442">
        <v>130634.31</v>
      </c>
    </row>
    <row r="111" spans="1:9" ht="12.75">
      <c r="A111" s="441" t="s">
        <v>2264</v>
      </c>
      <c r="B111" s="442">
        <v>35177.589999999997</v>
      </c>
      <c r="C111" s="443">
        <v>19693.61</v>
      </c>
      <c r="D111" s="443"/>
      <c r="E111" s="442">
        <v>54871.199999999997</v>
      </c>
    </row>
    <row r="112" spans="1:9" ht="12.75">
      <c r="A112" s="441" t="s">
        <v>2461</v>
      </c>
      <c r="B112" s="442">
        <v>-1545145.27</v>
      </c>
      <c r="C112" s="443"/>
      <c r="D112" s="443">
        <v>775821.24</v>
      </c>
      <c r="E112" s="442">
        <v>-2320966.5099999998</v>
      </c>
    </row>
    <row r="113" spans="1:5" ht="12.75">
      <c r="A113" s="441" t="s">
        <v>2492</v>
      </c>
      <c r="B113" s="442">
        <v>90905.75</v>
      </c>
      <c r="C113" s="443"/>
      <c r="D113" s="443"/>
      <c r="E113" s="442">
        <v>90905.75</v>
      </c>
    </row>
    <row r="114" spans="1:5" ht="12.75">
      <c r="A114" s="441" t="s">
        <v>2493</v>
      </c>
      <c r="B114" s="442">
        <v>129174.38</v>
      </c>
      <c r="C114" s="443"/>
      <c r="D114" s="443"/>
      <c r="E114" s="442">
        <v>129174.38</v>
      </c>
    </row>
    <row r="115" spans="1:5" ht="12.75">
      <c r="A115" s="441" t="s">
        <v>2688</v>
      </c>
      <c r="B115" s="442">
        <v>54</v>
      </c>
      <c r="C115" s="443">
        <v>34</v>
      </c>
      <c r="D115" s="443"/>
      <c r="E115" s="442">
        <v>88</v>
      </c>
    </row>
    <row r="116" spans="1:5" ht="12.75">
      <c r="A116" s="441" t="s">
        <v>2265</v>
      </c>
      <c r="B116" s="442">
        <v>1585</v>
      </c>
      <c r="C116" s="443">
        <v>840</v>
      </c>
      <c r="D116" s="443"/>
      <c r="E116" s="442">
        <v>2425</v>
      </c>
    </row>
    <row r="117" spans="1:5" ht="12.75">
      <c r="A117" s="441" t="s">
        <v>2689</v>
      </c>
      <c r="B117" s="442">
        <v>15000</v>
      </c>
      <c r="C117" s="443">
        <v>7500</v>
      </c>
      <c r="D117" s="443"/>
      <c r="E117" s="442">
        <v>22500</v>
      </c>
    </row>
    <row r="118" spans="1:5" ht="12.75">
      <c r="A118" s="441" t="s">
        <v>2522</v>
      </c>
      <c r="B118" s="442">
        <v>1536</v>
      </c>
      <c r="C118" s="443"/>
      <c r="D118" s="443"/>
      <c r="E118" s="442">
        <v>1536</v>
      </c>
    </row>
    <row r="119" spans="1:5" ht="12.75">
      <c r="A119" s="441" t="s">
        <v>2690</v>
      </c>
      <c r="B119" s="442">
        <v>3600</v>
      </c>
      <c r="C119" s="443"/>
      <c r="D119" s="443"/>
      <c r="E119" s="442">
        <v>3600</v>
      </c>
    </row>
    <row r="120" spans="1:5" ht="12.75">
      <c r="A120" s="441" t="s">
        <v>2315</v>
      </c>
      <c r="B120" s="442">
        <v>-983197.04</v>
      </c>
      <c r="C120" s="443">
        <v>476756.74</v>
      </c>
      <c r="D120" s="443">
        <v>9030058.3399999999</v>
      </c>
      <c r="E120" s="442">
        <v>-9536498.6400000006</v>
      </c>
    </row>
    <row r="121" spans="1:5" ht="12.75">
      <c r="A121" s="441" t="s">
        <v>2691</v>
      </c>
      <c r="B121" s="442">
        <v>2500</v>
      </c>
      <c r="C121" s="443">
        <v>2500</v>
      </c>
      <c r="D121" s="443"/>
      <c r="E121" s="442">
        <v>5000</v>
      </c>
    </row>
    <row r="122" spans="1:5" ht="12.75">
      <c r="A122" s="441" t="s">
        <v>2523</v>
      </c>
      <c r="B122" s="442">
        <v>238.55</v>
      </c>
      <c r="C122" s="443"/>
      <c r="D122" s="443"/>
      <c r="E122" s="442">
        <v>238.55</v>
      </c>
    </row>
    <row r="123" spans="1:5" ht="12.75">
      <c r="A123" s="441" t="s">
        <v>10009</v>
      </c>
      <c r="B123" s="442"/>
      <c r="C123" s="443">
        <v>10400</v>
      </c>
      <c r="D123" s="443"/>
      <c r="E123" s="442">
        <v>10400</v>
      </c>
    </row>
    <row r="124" spans="1:5" ht="12.75">
      <c r="A124" s="441" t="s">
        <v>296</v>
      </c>
      <c r="B124" s="442">
        <v>2501930.38</v>
      </c>
      <c r="C124" s="443">
        <v>3195262.74</v>
      </c>
      <c r="D124" s="443">
        <v>1000</v>
      </c>
      <c r="E124" s="442">
        <v>5696193.1200000001</v>
      </c>
    </row>
    <row r="125" spans="1:5" ht="12.75">
      <c r="A125" s="441" t="s">
        <v>664</v>
      </c>
      <c r="B125" s="442">
        <v>20000</v>
      </c>
      <c r="C125" s="443">
        <v>23500</v>
      </c>
      <c r="D125" s="443"/>
      <c r="E125" s="442">
        <v>43500</v>
      </c>
    </row>
    <row r="126" spans="1:5" ht="12.75">
      <c r="A126" s="441" t="s">
        <v>776</v>
      </c>
      <c r="B126" s="442">
        <v>79600</v>
      </c>
      <c r="C126" s="443">
        <v>36340</v>
      </c>
      <c r="D126" s="443"/>
      <c r="E126" s="442">
        <v>115940</v>
      </c>
    </row>
    <row r="127" spans="1:5" ht="12.75">
      <c r="A127" s="441" t="s">
        <v>10010</v>
      </c>
      <c r="B127" s="442"/>
      <c r="C127" s="443">
        <v>12729.6</v>
      </c>
      <c r="D127" s="443"/>
      <c r="E127" s="442">
        <v>12729.6</v>
      </c>
    </row>
    <row r="128" spans="1:5" ht="12.75">
      <c r="A128" s="441" t="s">
        <v>2692</v>
      </c>
      <c r="B128" s="442">
        <v>-3580103.28</v>
      </c>
      <c r="C128" s="443"/>
      <c r="D128" s="443">
        <v>2058956.96</v>
      </c>
      <c r="E128" s="442">
        <v>-5639060.2400000002</v>
      </c>
    </row>
    <row r="129" spans="1:5" ht="12.75">
      <c r="A129" s="441" t="s">
        <v>2374</v>
      </c>
      <c r="B129" s="442">
        <v>-26833281.399999999</v>
      </c>
      <c r="C129" s="443"/>
      <c r="D129" s="443">
        <v>12043513.23</v>
      </c>
      <c r="E129" s="442">
        <v>-38876794.630000003</v>
      </c>
    </row>
    <row r="130" spans="1:5" ht="12.75">
      <c r="A130" s="441" t="s">
        <v>284</v>
      </c>
      <c r="B130" s="442">
        <v>-61657951.289999999</v>
      </c>
      <c r="C130" s="443"/>
      <c r="D130" s="443">
        <v>19349307.109999999</v>
      </c>
      <c r="E130" s="442">
        <v>-81007258.400000006</v>
      </c>
    </row>
    <row r="131" spans="1:5" ht="12.75">
      <c r="A131" s="441" t="s">
        <v>2693</v>
      </c>
      <c r="B131" s="442">
        <v>-10325489.640000001</v>
      </c>
      <c r="C131" s="443"/>
      <c r="D131" s="443">
        <v>50894794.759999998</v>
      </c>
      <c r="E131" s="442">
        <v>-61220284.399999999</v>
      </c>
    </row>
    <row r="132" spans="1:5" ht="12.75">
      <c r="A132" s="441" t="s">
        <v>2372</v>
      </c>
      <c r="B132" s="442">
        <v>-193336674.22999999</v>
      </c>
      <c r="C132" s="443"/>
      <c r="D132" s="443">
        <v>49412158.200000003</v>
      </c>
      <c r="E132" s="442">
        <v>-242748832.43000001</v>
      </c>
    </row>
    <row r="133" spans="1:5" ht="12.75">
      <c r="A133" s="441" t="s">
        <v>2511</v>
      </c>
      <c r="B133" s="442">
        <v>-16901.919999999998</v>
      </c>
      <c r="C133" s="443"/>
      <c r="D133" s="443"/>
      <c r="E133" s="442">
        <v>-16901.919999999998</v>
      </c>
    </row>
    <row r="134" spans="1:5" ht="12.75">
      <c r="A134" s="441" t="s">
        <v>2510</v>
      </c>
      <c r="B134" s="442">
        <v>-920350.28</v>
      </c>
      <c r="C134" s="443"/>
      <c r="D134" s="443"/>
      <c r="E134" s="442">
        <v>-920350.28</v>
      </c>
    </row>
    <row r="135" spans="1:5" ht="12.75">
      <c r="A135" s="441" t="s">
        <v>2512</v>
      </c>
      <c r="B135" s="442">
        <v>-15600</v>
      </c>
      <c r="C135" s="443"/>
      <c r="D135" s="443"/>
      <c r="E135" s="442">
        <v>-15600</v>
      </c>
    </row>
    <row r="136" spans="1:5" ht="12.75">
      <c r="A136" s="441" t="s">
        <v>2612</v>
      </c>
      <c r="B136" s="442">
        <v>-22080</v>
      </c>
      <c r="C136" s="443"/>
      <c r="D136" s="443">
        <v>48000</v>
      </c>
      <c r="E136" s="442">
        <v>-70080</v>
      </c>
    </row>
    <row r="137" spans="1:5" ht="12.75">
      <c r="A137" s="441" t="s">
        <v>75</v>
      </c>
      <c r="B137" s="442">
        <v>-4186384.26</v>
      </c>
      <c r="C137" s="443"/>
      <c r="D137" s="443">
        <v>3117803.77</v>
      </c>
      <c r="E137" s="442">
        <v>-7304188.0300000003</v>
      </c>
    </row>
    <row r="138" spans="1:5" ht="12.75">
      <c r="A138" s="441" t="s">
        <v>2231</v>
      </c>
      <c r="B138" s="442">
        <v>-1113492</v>
      </c>
      <c r="C138" s="443"/>
      <c r="D138" s="443">
        <v>383952</v>
      </c>
      <c r="E138" s="442">
        <v>-1497444</v>
      </c>
    </row>
    <row r="139" spans="1:5" ht="12.75">
      <c r="A139" s="441" t="s">
        <v>261</v>
      </c>
      <c r="B139" s="442"/>
      <c r="C139" s="443"/>
      <c r="D139" s="443">
        <v>2061230.4</v>
      </c>
      <c r="E139" s="442">
        <v>-2061230.4</v>
      </c>
    </row>
    <row r="140" spans="1:5" ht="12.75">
      <c r="A140" s="441" t="s">
        <v>2380</v>
      </c>
      <c r="B140" s="442">
        <v>-0.02</v>
      </c>
      <c r="C140" s="443"/>
      <c r="D140" s="443">
        <v>8894188.4100000001</v>
      </c>
      <c r="E140" s="442">
        <v>-8894188.4299999997</v>
      </c>
    </row>
    <row r="141" spans="1:5" ht="12.75">
      <c r="A141" s="441" t="s">
        <v>262</v>
      </c>
      <c r="B141" s="442"/>
      <c r="C141" s="443"/>
      <c r="D141" s="443">
        <v>2061230.4</v>
      </c>
      <c r="E141" s="442">
        <v>-2061230.4</v>
      </c>
    </row>
    <row r="142" spans="1:5" ht="12.75">
      <c r="A142" s="441" t="s">
        <v>2266</v>
      </c>
      <c r="B142" s="442">
        <v>-6800</v>
      </c>
      <c r="C142" s="443">
        <v>33800</v>
      </c>
      <c r="D142" s="443">
        <v>27000</v>
      </c>
      <c r="E142" s="442"/>
    </row>
    <row r="143" spans="1:5" ht="12.75">
      <c r="A143" s="441" t="s">
        <v>2524</v>
      </c>
      <c r="B143" s="442"/>
      <c r="C143" s="443"/>
      <c r="D143" s="443">
        <v>9061.27</v>
      </c>
      <c r="E143" s="442">
        <v>-9061.27</v>
      </c>
    </row>
    <row r="144" spans="1:5" ht="12.75">
      <c r="A144" s="441" t="s">
        <v>263</v>
      </c>
      <c r="B144" s="442"/>
      <c r="C144" s="443"/>
      <c r="D144" s="443">
        <v>111332</v>
      </c>
      <c r="E144" s="442">
        <v>-111332</v>
      </c>
    </row>
    <row r="145" spans="1:5" ht="12.75">
      <c r="A145" s="441" t="s">
        <v>264</v>
      </c>
      <c r="B145" s="442"/>
      <c r="C145" s="443"/>
      <c r="D145" s="443">
        <v>61884</v>
      </c>
      <c r="E145" s="442">
        <v>-61884</v>
      </c>
    </row>
    <row r="146" spans="1:5" ht="12.75">
      <c r="A146" s="441" t="s">
        <v>265</v>
      </c>
      <c r="B146" s="442"/>
      <c r="C146" s="443"/>
      <c r="D146" s="443">
        <v>750</v>
      </c>
      <c r="E146" s="442">
        <v>-750</v>
      </c>
    </row>
    <row r="147" spans="1:5" ht="12.75">
      <c r="A147" s="441" t="s">
        <v>266</v>
      </c>
      <c r="B147" s="442"/>
      <c r="C147" s="443"/>
      <c r="D147" s="443">
        <v>91999.24</v>
      </c>
      <c r="E147" s="442">
        <v>-91999.24</v>
      </c>
    </row>
    <row r="148" spans="1:5" ht="12.75">
      <c r="A148" s="441" t="s">
        <v>2267</v>
      </c>
      <c r="B148" s="442">
        <v>-231664</v>
      </c>
      <c r="C148" s="443"/>
      <c r="D148" s="443"/>
      <c r="E148" s="442">
        <v>-231664</v>
      </c>
    </row>
    <row r="149" spans="1:5" ht="12.75">
      <c r="A149" s="441" t="s">
        <v>2694</v>
      </c>
      <c r="B149" s="442">
        <v>-33221</v>
      </c>
      <c r="C149" s="443">
        <v>33221</v>
      </c>
      <c r="D149" s="443"/>
      <c r="E149" s="442"/>
    </row>
    <row r="150" spans="1:5" ht="12.75">
      <c r="A150" s="441" t="s">
        <v>2417</v>
      </c>
      <c r="B150" s="442">
        <v>-36845</v>
      </c>
      <c r="C150" s="443"/>
      <c r="D150" s="443"/>
      <c r="E150" s="442">
        <v>-36845</v>
      </c>
    </row>
    <row r="151" spans="1:5" ht="12.75">
      <c r="A151" s="441" t="s">
        <v>2268</v>
      </c>
      <c r="B151" s="442"/>
      <c r="C151" s="443">
        <v>76952</v>
      </c>
      <c r="D151" s="443">
        <v>76952</v>
      </c>
      <c r="E151" s="442"/>
    </row>
    <row r="152" spans="1:5" ht="12.75">
      <c r="A152" s="441" t="s">
        <v>2269</v>
      </c>
      <c r="B152" s="442">
        <v>-991664</v>
      </c>
      <c r="C152" s="443">
        <v>966477</v>
      </c>
      <c r="D152" s="443"/>
      <c r="E152" s="442">
        <v>-25187</v>
      </c>
    </row>
    <row r="153" spans="1:5" ht="12.75">
      <c r="A153" s="441" t="s">
        <v>250</v>
      </c>
      <c r="B153" s="442">
        <v>-25296</v>
      </c>
      <c r="C153" s="443">
        <v>198</v>
      </c>
      <c r="D153" s="443">
        <v>23394</v>
      </c>
      <c r="E153" s="442">
        <v>-48492</v>
      </c>
    </row>
    <row r="154" spans="1:5" ht="12.75">
      <c r="A154" s="441" t="s">
        <v>117</v>
      </c>
      <c r="B154" s="442">
        <v>-569158</v>
      </c>
      <c r="C154" s="443">
        <v>309860</v>
      </c>
      <c r="D154" s="443">
        <v>239269</v>
      </c>
      <c r="E154" s="442">
        <v>-498567</v>
      </c>
    </row>
    <row r="155" spans="1:5" ht="12.75">
      <c r="A155" s="441" t="s">
        <v>2582</v>
      </c>
      <c r="B155" s="442">
        <v>-17110</v>
      </c>
      <c r="C155" s="443"/>
      <c r="D155" s="443"/>
      <c r="E155" s="442">
        <v>-17110</v>
      </c>
    </row>
    <row r="156" spans="1:5" ht="12.75">
      <c r="A156" s="441" t="s">
        <v>2413</v>
      </c>
      <c r="B156" s="442">
        <v>-41300</v>
      </c>
      <c r="C156" s="443">
        <v>16166</v>
      </c>
      <c r="D156" s="443"/>
      <c r="E156" s="442">
        <v>-25134</v>
      </c>
    </row>
    <row r="157" spans="1:5" ht="12.75">
      <c r="A157" s="441" t="s">
        <v>2773</v>
      </c>
      <c r="B157" s="442"/>
      <c r="C157" s="443"/>
      <c r="D157" s="443">
        <v>77998</v>
      </c>
      <c r="E157" s="442">
        <v>-77998</v>
      </c>
    </row>
    <row r="158" spans="1:5" ht="12.75">
      <c r="A158" s="441" t="s">
        <v>2068</v>
      </c>
      <c r="B158" s="442">
        <v>-8995</v>
      </c>
      <c r="C158" s="443"/>
      <c r="D158" s="443">
        <v>70375</v>
      </c>
      <c r="E158" s="442">
        <v>-79370</v>
      </c>
    </row>
    <row r="159" spans="1:5" ht="12.75">
      <c r="A159" s="441" t="s">
        <v>2600</v>
      </c>
      <c r="B159" s="442">
        <v>-12508</v>
      </c>
      <c r="C159" s="443"/>
      <c r="D159" s="443">
        <v>2106</v>
      </c>
      <c r="E159" s="442">
        <v>-14614</v>
      </c>
    </row>
    <row r="160" spans="1:5" ht="12.75">
      <c r="A160" s="441" t="s">
        <v>2246</v>
      </c>
      <c r="B160" s="442">
        <v>-90947.96</v>
      </c>
      <c r="C160" s="443">
        <v>90949</v>
      </c>
      <c r="D160" s="443">
        <v>88329</v>
      </c>
      <c r="E160" s="442">
        <v>-88327.96</v>
      </c>
    </row>
    <row r="161" spans="1:5" ht="12.75">
      <c r="A161" s="441" t="s">
        <v>3076</v>
      </c>
      <c r="B161" s="442"/>
      <c r="C161" s="443">
        <v>1062</v>
      </c>
      <c r="D161" s="443">
        <v>1062</v>
      </c>
      <c r="E161" s="442"/>
    </row>
    <row r="162" spans="1:5" ht="12.75">
      <c r="A162" s="441" t="s">
        <v>2244</v>
      </c>
      <c r="B162" s="442">
        <v>-216579</v>
      </c>
      <c r="C162" s="443"/>
      <c r="D162" s="443"/>
      <c r="E162" s="442">
        <v>-216579</v>
      </c>
    </row>
    <row r="163" spans="1:5" ht="12.75">
      <c r="A163" s="441" t="s">
        <v>2508</v>
      </c>
      <c r="B163" s="442">
        <v>-4857</v>
      </c>
      <c r="C163" s="443">
        <v>4857</v>
      </c>
      <c r="D163" s="443">
        <v>3093</v>
      </c>
      <c r="E163" s="442">
        <v>-3093</v>
      </c>
    </row>
    <row r="164" spans="1:5" ht="12.75">
      <c r="A164" s="441" t="s">
        <v>2304</v>
      </c>
      <c r="B164" s="442">
        <v>-590</v>
      </c>
      <c r="C164" s="443">
        <v>590</v>
      </c>
      <c r="D164" s="443"/>
      <c r="E164" s="442"/>
    </row>
    <row r="165" spans="1:5" ht="12.75">
      <c r="A165" s="441" t="s">
        <v>2422</v>
      </c>
      <c r="B165" s="442">
        <v>-334530</v>
      </c>
      <c r="C165" s="443">
        <v>334530</v>
      </c>
      <c r="D165" s="443"/>
      <c r="E165" s="442"/>
    </row>
    <row r="166" spans="1:5" ht="12.75">
      <c r="A166" s="441" t="s">
        <v>105</v>
      </c>
      <c r="B166" s="442">
        <v>-1854</v>
      </c>
      <c r="C166" s="443">
        <v>1854</v>
      </c>
      <c r="D166" s="443">
        <v>10906</v>
      </c>
      <c r="E166" s="442">
        <v>-10906</v>
      </c>
    </row>
    <row r="167" spans="1:5" ht="12.75">
      <c r="A167" s="441" t="s">
        <v>2695</v>
      </c>
      <c r="B167" s="442"/>
      <c r="C167" s="443"/>
      <c r="D167" s="443">
        <v>4814</v>
      </c>
      <c r="E167" s="442">
        <v>-4814</v>
      </c>
    </row>
    <row r="168" spans="1:5" ht="12.75">
      <c r="A168" s="441" t="s">
        <v>2435</v>
      </c>
      <c r="B168" s="442">
        <v>-47908</v>
      </c>
      <c r="C168" s="443">
        <v>47908</v>
      </c>
      <c r="D168" s="443"/>
      <c r="E168" s="442"/>
    </row>
    <row r="169" spans="1:5" ht="12.75">
      <c r="A169" s="441" t="s">
        <v>2475</v>
      </c>
      <c r="B169" s="442">
        <v>-30240</v>
      </c>
      <c r="C169" s="443">
        <v>10080</v>
      </c>
      <c r="D169" s="443">
        <v>20160</v>
      </c>
      <c r="E169" s="442">
        <v>-40320</v>
      </c>
    </row>
    <row r="170" spans="1:5" ht="12.75">
      <c r="A170" s="441" t="s">
        <v>2423</v>
      </c>
      <c r="B170" s="442"/>
      <c r="C170" s="443"/>
      <c r="D170" s="443"/>
      <c r="E170" s="442"/>
    </row>
    <row r="171" spans="1:5" ht="12.75">
      <c r="A171" s="441" t="s">
        <v>2389</v>
      </c>
      <c r="B171" s="442"/>
      <c r="C171" s="443"/>
      <c r="D171" s="443">
        <v>29264</v>
      </c>
      <c r="E171" s="442">
        <v>-29264</v>
      </c>
    </row>
    <row r="172" spans="1:5" ht="12.75">
      <c r="A172" s="441" t="s">
        <v>2404</v>
      </c>
      <c r="B172" s="442">
        <v>-8905</v>
      </c>
      <c r="C172" s="443">
        <v>3314</v>
      </c>
      <c r="D172" s="443">
        <v>171</v>
      </c>
      <c r="E172" s="442">
        <v>-5762</v>
      </c>
    </row>
    <row r="173" spans="1:5" ht="12.75">
      <c r="A173" s="441" t="s">
        <v>2405</v>
      </c>
      <c r="B173" s="442">
        <v>-7785.72</v>
      </c>
      <c r="C173" s="443">
        <v>7785</v>
      </c>
      <c r="D173" s="443"/>
      <c r="E173" s="442">
        <v>-0.72</v>
      </c>
    </row>
    <row r="174" spans="1:5" ht="12.75">
      <c r="A174" s="441" t="s">
        <v>2473</v>
      </c>
      <c r="B174" s="442">
        <v>-354</v>
      </c>
      <c r="C174" s="443"/>
      <c r="D174" s="443"/>
      <c r="E174" s="442">
        <v>-354</v>
      </c>
    </row>
    <row r="175" spans="1:5" ht="12.75">
      <c r="A175" s="441" t="s">
        <v>2402</v>
      </c>
      <c r="B175" s="442"/>
      <c r="C175" s="443">
        <v>5587</v>
      </c>
      <c r="D175" s="443">
        <v>5587</v>
      </c>
      <c r="E175" s="442"/>
    </row>
    <row r="176" spans="1:5" ht="12.75">
      <c r="A176" s="441" t="s">
        <v>2453</v>
      </c>
      <c r="B176" s="442"/>
      <c r="C176" s="443"/>
      <c r="D176" s="443">
        <v>13440</v>
      </c>
      <c r="E176" s="442">
        <v>-13440</v>
      </c>
    </row>
    <row r="177" spans="1:5" ht="12.75">
      <c r="A177" s="441" t="s">
        <v>2437</v>
      </c>
      <c r="B177" s="442"/>
      <c r="C177" s="443"/>
      <c r="D177" s="443">
        <v>30267</v>
      </c>
      <c r="E177" s="442">
        <v>-30267</v>
      </c>
    </row>
    <row r="178" spans="1:5" ht="12.75">
      <c r="A178" s="441" t="s">
        <v>2414</v>
      </c>
      <c r="B178" s="442">
        <v>-3469</v>
      </c>
      <c r="C178" s="443"/>
      <c r="D178" s="443"/>
      <c r="E178" s="442">
        <v>-3469</v>
      </c>
    </row>
    <row r="179" spans="1:5" ht="12.75">
      <c r="A179" s="441" t="s">
        <v>2586</v>
      </c>
      <c r="B179" s="442">
        <v>-4720</v>
      </c>
      <c r="C179" s="443">
        <v>4720</v>
      </c>
      <c r="D179" s="443">
        <v>6938</v>
      </c>
      <c r="E179" s="442">
        <v>-6938</v>
      </c>
    </row>
    <row r="180" spans="1:5" ht="12.75">
      <c r="A180" s="441" t="s">
        <v>2934</v>
      </c>
      <c r="B180" s="442"/>
      <c r="C180" s="443"/>
      <c r="D180" s="443">
        <v>637</v>
      </c>
      <c r="E180" s="442">
        <v>-637</v>
      </c>
    </row>
    <row r="181" spans="1:5" ht="12.75">
      <c r="A181" s="441" t="s">
        <v>2247</v>
      </c>
      <c r="B181" s="442">
        <v>-14137</v>
      </c>
      <c r="C181" s="443">
        <v>11098</v>
      </c>
      <c r="D181" s="443"/>
      <c r="E181" s="442">
        <v>-3039</v>
      </c>
    </row>
    <row r="182" spans="1:5" ht="12.75">
      <c r="A182" s="441" t="s">
        <v>2280</v>
      </c>
      <c r="B182" s="442"/>
      <c r="C182" s="443"/>
      <c r="D182" s="443"/>
      <c r="E182" s="442"/>
    </row>
    <row r="183" spans="1:5" ht="12.75">
      <c r="A183" s="441" t="s">
        <v>2059</v>
      </c>
      <c r="B183" s="442">
        <v>-112561</v>
      </c>
      <c r="C183" s="443">
        <v>112561</v>
      </c>
      <c r="D183" s="443"/>
      <c r="E183" s="442"/>
    </row>
    <row r="184" spans="1:5" ht="12.75">
      <c r="A184" s="441" t="s">
        <v>2058</v>
      </c>
      <c r="B184" s="442">
        <v>-44127</v>
      </c>
      <c r="C184" s="443">
        <v>38527</v>
      </c>
      <c r="D184" s="443">
        <v>850</v>
      </c>
      <c r="E184" s="442">
        <v>-6450</v>
      </c>
    </row>
    <row r="185" spans="1:5" ht="12.75">
      <c r="A185" s="441" t="s">
        <v>2494</v>
      </c>
      <c r="B185" s="442">
        <v>-1770</v>
      </c>
      <c r="C185" s="443">
        <v>1770</v>
      </c>
      <c r="D185" s="443"/>
      <c r="E185" s="442"/>
    </row>
    <row r="186" spans="1:5" ht="12.75">
      <c r="A186" s="441" t="s">
        <v>2434</v>
      </c>
      <c r="B186" s="442"/>
      <c r="C186" s="443"/>
      <c r="D186" s="443">
        <v>20160</v>
      </c>
      <c r="E186" s="442">
        <v>-20160</v>
      </c>
    </row>
    <row r="187" spans="1:5" ht="12.75">
      <c r="A187" s="441" t="s">
        <v>2452</v>
      </c>
      <c r="B187" s="442">
        <v>-27132</v>
      </c>
      <c r="C187" s="443">
        <v>27132</v>
      </c>
      <c r="D187" s="443">
        <v>59850</v>
      </c>
      <c r="E187" s="442">
        <v>-59850</v>
      </c>
    </row>
    <row r="188" spans="1:5" ht="12.75">
      <c r="A188" s="441" t="s">
        <v>2696</v>
      </c>
      <c r="B188" s="442">
        <v>-14758</v>
      </c>
      <c r="C188" s="443">
        <v>14758</v>
      </c>
      <c r="D188" s="443"/>
      <c r="E188" s="442"/>
    </row>
    <row r="189" spans="1:5" ht="12.75">
      <c r="A189" s="441" t="s">
        <v>2697</v>
      </c>
      <c r="B189" s="442">
        <v>0.78</v>
      </c>
      <c r="C189" s="443"/>
      <c r="D189" s="443"/>
      <c r="E189" s="442">
        <v>0.78</v>
      </c>
    </row>
    <row r="190" spans="1:5" ht="12.75">
      <c r="A190" s="441" t="s">
        <v>2451</v>
      </c>
      <c r="B190" s="442"/>
      <c r="C190" s="443"/>
      <c r="D190" s="443">
        <v>9245</v>
      </c>
      <c r="E190" s="442">
        <v>-9245</v>
      </c>
    </row>
    <row r="191" spans="1:5" ht="12.75">
      <c r="A191" s="441" t="s">
        <v>2305</v>
      </c>
      <c r="B191" s="442">
        <v>-7955</v>
      </c>
      <c r="C191" s="443">
        <v>6797</v>
      </c>
      <c r="D191" s="443"/>
      <c r="E191" s="442">
        <v>-1158</v>
      </c>
    </row>
    <row r="192" spans="1:5" ht="12.75">
      <c r="A192" s="441" t="s">
        <v>2506</v>
      </c>
      <c r="B192" s="442">
        <v>-72853</v>
      </c>
      <c r="C192" s="443">
        <v>81526</v>
      </c>
      <c r="D192" s="443">
        <v>185280</v>
      </c>
      <c r="E192" s="442">
        <v>-176607</v>
      </c>
    </row>
    <row r="193" spans="1:5" ht="12.75">
      <c r="A193" s="441" t="s">
        <v>271</v>
      </c>
      <c r="B193" s="442">
        <v>-5012</v>
      </c>
      <c r="C193" s="443">
        <v>5012</v>
      </c>
      <c r="D193" s="443">
        <v>1617</v>
      </c>
      <c r="E193" s="442">
        <v>-1617</v>
      </c>
    </row>
    <row r="194" spans="1:5" ht="12.75">
      <c r="A194" s="441" t="s">
        <v>116</v>
      </c>
      <c r="B194" s="442">
        <v>-84036.82</v>
      </c>
      <c r="C194" s="443"/>
      <c r="D194" s="443">
        <v>29222.3</v>
      </c>
      <c r="E194" s="442">
        <v>-113259.12</v>
      </c>
    </row>
    <row r="195" spans="1:5" ht="12.75">
      <c r="A195" s="441" t="s">
        <v>2438</v>
      </c>
      <c r="B195" s="442">
        <v>-2788</v>
      </c>
      <c r="C195" s="443"/>
      <c r="D195" s="443"/>
      <c r="E195" s="442">
        <v>-2788</v>
      </c>
    </row>
    <row r="196" spans="1:5" ht="12.75">
      <c r="A196" s="441" t="s">
        <v>2249</v>
      </c>
      <c r="B196" s="442">
        <v>-40793.9</v>
      </c>
      <c r="C196" s="443">
        <v>40793.5</v>
      </c>
      <c r="D196" s="443">
        <v>206451</v>
      </c>
      <c r="E196" s="442">
        <v>-206451.4</v>
      </c>
    </row>
    <row r="197" spans="1:5" ht="12.75">
      <c r="A197" s="441" t="s">
        <v>252</v>
      </c>
      <c r="B197" s="442">
        <v>-108815</v>
      </c>
      <c r="C197" s="443">
        <v>85308</v>
      </c>
      <c r="D197" s="443">
        <v>97954</v>
      </c>
      <c r="E197" s="442">
        <v>-121461</v>
      </c>
    </row>
    <row r="198" spans="1:5" ht="12.75">
      <c r="A198" s="441" t="s">
        <v>2482</v>
      </c>
      <c r="B198" s="442"/>
      <c r="C198" s="443"/>
      <c r="D198" s="443"/>
      <c r="E198" s="442"/>
    </row>
    <row r="199" spans="1:5" ht="12.75">
      <c r="A199" s="441" t="s">
        <v>2603</v>
      </c>
      <c r="B199" s="442">
        <v>-22643</v>
      </c>
      <c r="C199" s="443"/>
      <c r="D199" s="443"/>
      <c r="E199" s="442">
        <v>-22643</v>
      </c>
    </row>
    <row r="200" spans="1:5" ht="12.75">
      <c r="A200" s="441" t="s">
        <v>2698</v>
      </c>
      <c r="B200" s="442">
        <v>-12173</v>
      </c>
      <c r="C200" s="443"/>
      <c r="D200" s="443"/>
      <c r="E200" s="442">
        <v>-12173</v>
      </c>
    </row>
    <row r="201" spans="1:5" ht="12.75">
      <c r="A201" s="441" t="s">
        <v>2248</v>
      </c>
      <c r="B201" s="442">
        <v>-15547</v>
      </c>
      <c r="C201" s="443">
        <v>6046</v>
      </c>
      <c r="D201" s="443">
        <v>10732</v>
      </c>
      <c r="E201" s="442">
        <v>-20233</v>
      </c>
    </row>
    <row r="202" spans="1:5" ht="12.75">
      <c r="A202" s="441" t="s">
        <v>2196</v>
      </c>
      <c r="B202" s="442">
        <v>-1728426</v>
      </c>
      <c r="C202" s="443">
        <v>1533882</v>
      </c>
      <c r="D202" s="443">
        <v>768433.5</v>
      </c>
      <c r="E202" s="442">
        <v>-962977.5</v>
      </c>
    </row>
    <row r="203" spans="1:5" ht="12.75">
      <c r="A203" s="441" t="s">
        <v>2450</v>
      </c>
      <c r="B203" s="442">
        <v>-15629</v>
      </c>
      <c r="C203" s="443">
        <v>7552</v>
      </c>
      <c r="D203" s="443"/>
      <c r="E203" s="442">
        <v>-8077</v>
      </c>
    </row>
    <row r="204" spans="1:5" ht="12.75">
      <c r="A204" s="441" t="s">
        <v>2592</v>
      </c>
      <c r="B204" s="442">
        <v>-46719</v>
      </c>
      <c r="C204" s="443">
        <v>46719</v>
      </c>
      <c r="D204" s="443"/>
      <c r="E204" s="442"/>
    </row>
    <row r="205" spans="1:5" ht="12.75">
      <c r="A205" s="441" t="s">
        <v>2584</v>
      </c>
      <c r="B205" s="442">
        <v>-33907</v>
      </c>
      <c r="C205" s="443">
        <v>5452</v>
      </c>
      <c r="D205" s="443"/>
      <c r="E205" s="442">
        <v>-28455</v>
      </c>
    </row>
    <row r="206" spans="1:5" ht="12.75">
      <c r="A206" s="441" t="s">
        <v>2270</v>
      </c>
      <c r="B206" s="442">
        <v>-6397.53</v>
      </c>
      <c r="C206" s="443"/>
      <c r="D206" s="443"/>
      <c r="E206" s="442">
        <v>-6397.53</v>
      </c>
    </row>
    <row r="207" spans="1:5" ht="12.75">
      <c r="A207" s="441" t="s">
        <v>2610</v>
      </c>
      <c r="B207" s="442">
        <v>-4444</v>
      </c>
      <c r="C207" s="443"/>
      <c r="D207" s="443"/>
      <c r="E207" s="442">
        <v>-4444</v>
      </c>
    </row>
    <row r="208" spans="1:5" ht="12.75">
      <c r="A208" s="441" t="s">
        <v>774</v>
      </c>
      <c r="B208" s="442">
        <v>-151378.64000000001</v>
      </c>
      <c r="C208" s="443">
        <v>58929.68</v>
      </c>
      <c r="D208" s="443">
        <v>53692.31</v>
      </c>
      <c r="E208" s="442">
        <v>-146141.26999999999</v>
      </c>
    </row>
    <row r="209" spans="1:5" ht="12.75">
      <c r="A209" s="441" t="s">
        <v>2591</v>
      </c>
      <c r="B209" s="442">
        <v>-64680</v>
      </c>
      <c r="C209" s="443">
        <v>64680</v>
      </c>
      <c r="D209" s="443"/>
      <c r="E209" s="442"/>
    </row>
    <row r="210" spans="1:5" ht="12.75">
      <c r="A210" s="441" t="s">
        <v>2699</v>
      </c>
      <c r="B210" s="442">
        <v>-14420</v>
      </c>
      <c r="C210" s="443">
        <v>14420</v>
      </c>
      <c r="D210" s="443"/>
      <c r="E210" s="442"/>
    </row>
    <row r="211" spans="1:5" ht="12.75">
      <c r="A211" s="441" t="s">
        <v>2539</v>
      </c>
      <c r="B211" s="442">
        <v>-4484</v>
      </c>
      <c r="C211" s="443"/>
      <c r="D211" s="443"/>
      <c r="E211" s="442">
        <v>-4484</v>
      </c>
    </row>
    <row r="212" spans="1:5" ht="12.75">
      <c r="A212" s="441" t="s">
        <v>109</v>
      </c>
      <c r="B212" s="442">
        <v>-3461902</v>
      </c>
      <c r="C212" s="443">
        <v>2154314</v>
      </c>
      <c r="D212" s="443">
        <v>1002027</v>
      </c>
      <c r="E212" s="442">
        <v>-2309615</v>
      </c>
    </row>
    <row r="213" spans="1:5" ht="12.75">
      <c r="A213" s="441" t="s">
        <v>2504</v>
      </c>
      <c r="B213" s="442">
        <v>-8301</v>
      </c>
      <c r="C213" s="443">
        <v>8301</v>
      </c>
      <c r="D213" s="443">
        <v>37353</v>
      </c>
      <c r="E213" s="442">
        <v>-37353</v>
      </c>
    </row>
    <row r="214" spans="1:5" ht="12.75">
      <c r="A214" s="441" t="s">
        <v>2479</v>
      </c>
      <c r="B214" s="442">
        <v>-12901</v>
      </c>
      <c r="C214" s="443">
        <v>12901</v>
      </c>
      <c r="D214" s="443"/>
      <c r="E214" s="442"/>
    </row>
    <row r="215" spans="1:5" ht="12.75">
      <c r="A215" s="441" t="s">
        <v>2418</v>
      </c>
      <c r="B215" s="442">
        <v>-183138</v>
      </c>
      <c r="C215" s="443">
        <v>185061</v>
      </c>
      <c r="D215" s="443">
        <v>116376</v>
      </c>
      <c r="E215" s="442">
        <v>-114453</v>
      </c>
    </row>
    <row r="216" spans="1:5" ht="12.75">
      <c r="A216" s="441" t="s">
        <v>2700</v>
      </c>
      <c r="B216" s="442">
        <v>-42121</v>
      </c>
      <c r="C216" s="443">
        <v>33585</v>
      </c>
      <c r="D216" s="443">
        <v>951</v>
      </c>
      <c r="E216" s="442">
        <v>-9487</v>
      </c>
    </row>
    <row r="217" spans="1:5" ht="12.75">
      <c r="A217" s="441" t="s">
        <v>2410</v>
      </c>
      <c r="B217" s="442">
        <v>-406876</v>
      </c>
      <c r="C217" s="443">
        <v>244126</v>
      </c>
      <c r="D217" s="443">
        <v>244125</v>
      </c>
      <c r="E217" s="442">
        <v>-406875</v>
      </c>
    </row>
    <row r="218" spans="1:5" ht="12.75">
      <c r="A218" s="441" t="s">
        <v>2701</v>
      </c>
      <c r="B218" s="442">
        <v>-2590980</v>
      </c>
      <c r="C218" s="443"/>
      <c r="D218" s="443"/>
      <c r="E218" s="442">
        <v>-2590980</v>
      </c>
    </row>
    <row r="219" spans="1:5" ht="12.75">
      <c r="A219" s="441" t="s">
        <v>2495</v>
      </c>
      <c r="B219" s="442">
        <v>-2644764</v>
      </c>
      <c r="C219" s="443"/>
      <c r="D219" s="443">
        <v>1196270</v>
      </c>
      <c r="E219" s="442">
        <v>-3841034</v>
      </c>
    </row>
    <row r="220" spans="1:5" ht="12.75">
      <c r="A220" s="441" t="s">
        <v>2462</v>
      </c>
      <c r="B220" s="442">
        <v>-9220</v>
      </c>
      <c r="C220" s="443">
        <v>30420</v>
      </c>
      <c r="D220" s="443">
        <v>25016</v>
      </c>
      <c r="E220" s="442">
        <v>-3816</v>
      </c>
    </row>
    <row r="221" spans="1:5" ht="12.75">
      <c r="A221" s="441" t="s">
        <v>2496</v>
      </c>
      <c r="B221" s="442">
        <v>-2950</v>
      </c>
      <c r="C221" s="443"/>
      <c r="D221" s="443"/>
      <c r="E221" s="442">
        <v>-2950</v>
      </c>
    </row>
    <row r="222" spans="1:5" ht="12.75">
      <c r="A222" s="441" t="s">
        <v>107</v>
      </c>
      <c r="B222" s="442"/>
      <c r="C222" s="443">
        <v>176022</v>
      </c>
      <c r="D222" s="443">
        <v>176022</v>
      </c>
      <c r="E222" s="442"/>
    </row>
    <row r="223" spans="1:5" ht="12.75">
      <c r="A223" s="441" t="s">
        <v>103</v>
      </c>
      <c r="B223" s="442">
        <v>179480.69</v>
      </c>
      <c r="C223" s="443"/>
      <c r="D223" s="443">
        <v>737284.44</v>
      </c>
      <c r="E223" s="442">
        <v>-557803.75</v>
      </c>
    </row>
    <row r="224" spans="1:5" ht="12.75">
      <c r="A224" s="441" t="s">
        <v>2396</v>
      </c>
      <c r="B224" s="442">
        <v>33640</v>
      </c>
      <c r="C224" s="443">
        <v>60552</v>
      </c>
      <c r="D224" s="443"/>
      <c r="E224" s="442">
        <v>94192</v>
      </c>
    </row>
    <row r="225" spans="1:5" ht="12.75">
      <c r="A225" s="441" t="s">
        <v>2525</v>
      </c>
      <c r="B225" s="442"/>
      <c r="C225" s="443"/>
      <c r="D225" s="443"/>
      <c r="E225" s="442"/>
    </row>
    <row r="226" spans="1:5" ht="12.75">
      <c r="A226" s="441" t="s">
        <v>2426</v>
      </c>
      <c r="B226" s="442"/>
      <c r="C226" s="443">
        <v>147200</v>
      </c>
      <c r="D226" s="443">
        <v>147200</v>
      </c>
      <c r="E226" s="442"/>
    </row>
    <row r="227" spans="1:5" ht="12.75">
      <c r="A227" s="441" t="s">
        <v>3092</v>
      </c>
      <c r="B227" s="442"/>
      <c r="C227" s="443">
        <v>74550</v>
      </c>
      <c r="D227" s="443">
        <v>74550</v>
      </c>
      <c r="E227" s="442"/>
    </row>
    <row r="228" spans="1:5" ht="12.75">
      <c r="A228" s="441" t="s">
        <v>2397</v>
      </c>
      <c r="B228" s="442">
        <v>-77280</v>
      </c>
      <c r="C228" s="443">
        <v>77280</v>
      </c>
      <c r="D228" s="443"/>
      <c r="E228" s="442"/>
    </row>
    <row r="229" spans="1:5" ht="12.75">
      <c r="A229" s="441" t="s">
        <v>2481</v>
      </c>
      <c r="B229" s="442">
        <v>-3776</v>
      </c>
      <c r="C229" s="443"/>
      <c r="D229" s="443"/>
      <c r="E229" s="442">
        <v>-3776</v>
      </c>
    </row>
    <row r="230" spans="1:5" ht="12.75">
      <c r="A230" s="441" t="s">
        <v>2463</v>
      </c>
      <c r="B230" s="442">
        <v>-8590</v>
      </c>
      <c r="C230" s="443">
        <v>9710</v>
      </c>
      <c r="D230" s="443">
        <v>1120</v>
      </c>
      <c r="E230" s="442"/>
    </row>
    <row r="231" spans="1:5" ht="12.75">
      <c r="A231" s="441" t="s">
        <v>270</v>
      </c>
      <c r="B231" s="442">
        <v>-34211</v>
      </c>
      <c r="C231" s="443">
        <v>22132</v>
      </c>
      <c r="D231" s="443">
        <v>13303</v>
      </c>
      <c r="E231" s="442">
        <v>-25382</v>
      </c>
    </row>
    <row r="232" spans="1:5" ht="12.75">
      <c r="A232" s="441" t="s">
        <v>87</v>
      </c>
      <c r="B232" s="442">
        <v>-343243699.94</v>
      </c>
      <c r="C232" s="443">
        <v>108213072</v>
      </c>
      <c r="D232" s="443">
        <v>95391804.609999999</v>
      </c>
      <c r="E232" s="442">
        <v>-330422432.55000001</v>
      </c>
    </row>
    <row r="233" spans="1:5" ht="12.75">
      <c r="A233" s="441" t="s">
        <v>89</v>
      </c>
      <c r="B233" s="442">
        <v>8805586.0600000005</v>
      </c>
      <c r="C233" s="443"/>
      <c r="D233" s="443">
        <v>4965105.38</v>
      </c>
      <c r="E233" s="442">
        <v>3840480.68</v>
      </c>
    </row>
    <row r="234" spans="1:5" ht="12.75">
      <c r="A234" s="441" t="s">
        <v>221</v>
      </c>
      <c r="B234" s="442">
        <v>2704495</v>
      </c>
      <c r="C234" s="443">
        <v>408358</v>
      </c>
      <c r="D234" s="443"/>
      <c r="E234" s="442">
        <v>3112853</v>
      </c>
    </row>
    <row r="235" spans="1:5" ht="12.75">
      <c r="A235" s="441" t="s">
        <v>94</v>
      </c>
      <c r="B235" s="442">
        <v>-15259071.43</v>
      </c>
      <c r="C235" s="443"/>
      <c r="D235" s="443">
        <v>4267341.7300000004</v>
      </c>
      <c r="E235" s="442">
        <v>-19526413.16</v>
      </c>
    </row>
    <row r="236" spans="1:5" ht="12.75">
      <c r="A236" s="441" t="s">
        <v>2162</v>
      </c>
      <c r="B236" s="442">
        <v>-9534</v>
      </c>
      <c r="C236" s="443">
        <v>9534</v>
      </c>
      <c r="D236" s="443">
        <v>1500</v>
      </c>
      <c r="E236" s="442">
        <v>-1500</v>
      </c>
    </row>
    <row r="237" spans="1:5" ht="12.75">
      <c r="A237" s="441" t="s">
        <v>10011</v>
      </c>
      <c r="B237" s="442"/>
      <c r="C237" s="443">
        <v>250745</v>
      </c>
      <c r="D237" s="443">
        <v>539786</v>
      </c>
      <c r="E237" s="442">
        <v>-289041</v>
      </c>
    </row>
    <row r="238" spans="1:5" ht="12.75">
      <c r="A238" s="441" t="s">
        <v>2381</v>
      </c>
      <c r="B238" s="442">
        <v>-19447</v>
      </c>
      <c r="C238" s="443">
        <v>19447</v>
      </c>
      <c r="D238" s="443">
        <v>9723</v>
      </c>
      <c r="E238" s="442">
        <v>-9723</v>
      </c>
    </row>
    <row r="239" spans="1:5" ht="12.75">
      <c r="A239" s="441" t="s">
        <v>2382</v>
      </c>
      <c r="B239" s="442">
        <v>-11484</v>
      </c>
      <c r="C239" s="443">
        <v>11946</v>
      </c>
      <c r="D239" s="443">
        <v>27258</v>
      </c>
      <c r="E239" s="442">
        <v>-26796</v>
      </c>
    </row>
    <row r="240" spans="1:5" ht="12.75">
      <c r="A240" s="441" t="s">
        <v>2478</v>
      </c>
      <c r="B240" s="442">
        <v>-22598</v>
      </c>
      <c r="C240" s="443"/>
      <c r="D240" s="443"/>
      <c r="E240" s="442">
        <v>-22598</v>
      </c>
    </row>
    <row r="241" spans="1:5" ht="12.75">
      <c r="A241" s="441" t="s">
        <v>2702</v>
      </c>
      <c r="B241" s="442">
        <v>-18956</v>
      </c>
      <c r="C241" s="443">
        <v>18956</v>
      </c>
      <c r="D241" s="443"/>
      <c r="E241" s="442"/>
    </row>
    <row r="242" spans="1:5" ht="12.75">
      <c r="A242" s="441" t="s">
        <v>2663</v>
      </c>
      <c r="B242" s="442">
        <v>-39983</v>
      </c>
      <c r="C242" s="443"/>
      <c r="D242" s="443"/>
      <c r="E242" s="442">
        <v>-39983</v>
      </c>
    </row>
    <row r="243" spans="1:5" ht="12.75">
      <c r="A243" s="441" t="s">
        <v>2447</v>
      </c>
      <c r="B243" s="442">
        <v>-100302</v>
      </c>
      <c r="C243" s="443">
        <v>125495</v>
      </c>
      <c r="D243" s="443">
        <v>66476</v>
      </c>
      <c r="E243" s="442">
        <v>-41283</v>
      </c>
    </row>
    <row r="244" spans="1:5" ht="12.75">
      <c r="A244" s="441" t="s">
        <v>272</v>
      </c>
      <c r="B244" s="442">
        <v>-13817</v>
      </c>
      <c r="C244" s="443">
        <v>4225</v>
      </c>
      <c r="D244" s="443">
        <v>7080</v>
      </c>
      <c r="E244" s="442">
        <v>-16672</v>
      </c>
    </row>
    <row r="245" spans="1:5" ht="12.75">
      <c r="A245" s="441" t="s">
        <v>10012</v>
      </c>
      <c r="B245" s="442"/>
      <c r="C245" s="443">
        <v>1375</v>
      </c>
      <c r="D245" s="443">
        <v>162212</v>
      </c>
      <c r="E245" s="442">
        <v>-160837</v>
      </c>
    </row>
    <row r="246" spans="1:5" ht="12.75">
      <c r="A246" s="441" t="s">
        <v>2464</v>
      </c>
      <c r="B246" s="442">
        <v>-99064</v>
      </c>
      <c r="C246" s="443">
        <v>456</v>
      </c>
      <c r="D246" s="443">
        <v>26904</v>
      </c>
      <c r="E246" s="442">
        <v>-125512</v>
      </c>
    </row>
    <row r="247" spans="1:5" ht="12.75">
      <c r="A247" s="441" t="s">
        <v>2398</v>
      </c>
      <c r="B247" s="442">
        <v>-4711</v>
      </c>
      <c r="C247" s="443">
        <v>4711</v>
      </c>
      <c r="D247" s="443"/>
      <c r="E247" s="442"/>
    </row>
    <row r="248" spans="1:5" ht="12.75">
      <c r="A248" s="441" t="s">
        <v>2411</v>
      </c>
      <c r="B248" s="442">
        <v>-5400</v>
      </c>
      <c r="C248" s="443"/>
      <c r="D248" s="443"/>
      <c r="E248" s="442">
        <v>-5400</v>
      </c>
    </row>
    <row r="249" spans="1:5" ht="12.75">
      <c r="A249" s="441" t="s">
        <v>2271</v>
      </c>
      <c r="B249" s="442">
        <v>-162508</v>
      </c>
      <c r="C249" s="443">
        <v>164140</v>
      </c>
      <c r="D249" s="443">
        <v>163170</v>
      </c>
      <c r="E249" s="442">
        <v>-161538</v>
      </c>
    </row>
    <row r="250" spans="1:5" ht="12.75">
      <c r="A250" s="441" t="s">
        <v>2703</v>
      </c>
      <c r="B250" s="442"/>
      <c r="C250" s="443">
        <v>340</v>
      </c>
      <c r="D250" s="443">
        <v>340</v>
      </c>
      <c r="E250" s="442"/>
    </row>
    <row r="251" spans="1:5" ht="12.75">
      <c r="A251" s="441" t="s">
        <v>10013</v>
      </c>
      <c r="B251" s="442"/>
      <c r="C251" s="443">
        <v>100</v>
      </c>
      <c r="D251" s="443">
        <v>10000</v>
      </c>
      <c r="E251" s="442">
        <v>-9900</v>
      </c>
    </row>
    <row r="252" spans="1:5" ht="12.75">
      <c r="A252" s="441" t="s">
        <v>2497</v>
      </c>
      <c r="B252" s="442"/>
      <c r="C252" s="443">
        <v>39273</v>
      </c>
      <c r="D252" s="443">
        <v>39273</v>
      </c>
      <c r="E252" s="442"/>
    </row>
    <row r="253" spans="1:5" ht="12.75">
      <c r="A253" s="441" t="s">
        <v>2704</v>
      </c>
      <c r="B253" s="442"/>
      <c r="C253" s="443">
        <v>831475</v>
      </c>
      <c r="D253" s="443">
        <v>831475</v>
      </c>
      <c r="E253" s="442"/>
    </row>
    <row r="254" spans="1:5" ht="12.75">
      <c r="A254" s="441" t="s">
        <v>2399</v>
      </c>
      <c r="B254" s="442"/>
      <c r="C254" s="443">
        <v>123282</v>
      </c>
      <c r="D254" s="443">
        <v>123282</v>
      </c>
      <c r="E254" s="442"/>
    </row>
    <row r="255" spans="1:5" ht="12.75">
      <c r="A255" s="441" t="s">
        <v>10014</v>
      </c>
      <c r="B255" s="442"/>
      <c r="C255" s="443">
        <v>270</v>
      </c>
      <c r="D255" s="443">
        <v>270</v>
      </c>
      <c r="E255" s="442"/>
    </row>
    <row r="256" spans="1:5" ht="12.75">
      <c r="A256" s="441" t="s">
        <v>2705</v>
      </c>
      <c r="B256" s="442"/>
      <c r="C256" s="443">
        <v>1260</v>
      </c>
      <c r="D256" s="443">
        <v>1260</v>
      </c>
      <c r="E256" s="442"/>
    </row>
    <row r="257" spans="1:5" ht="12.75">
      <c r="A257" s="441" t="s">
        <v>10015</v>
      </c>
      <c r="B257" s="442"/>
      <c r="C257" s="443">
        <v>1973280</v>
      </c>
      <c r="D257" s="443">
        <v>1973280</v>
      </c>
      <c r="E257" s="442"/>
    </row>
    <row r="258" spans="1:5" ht="12.75">
      <c r="A258" s="441" t="s">
        <v>2400</v>
      </c>
      <c r="B258" s="442">
        <v>-17400</v>
      </c>
      <c r="C258" s="443">
        <v>14500</v>
      </c>
      <c r="D258" s="443"/>
      <c r="E258" s="442">
        <v>-2900</v>
      </c>
    </row>
    <row r="259" spans="1:5" ht="12.75">
      <c r="A259" s="441" t="s">
        <v>10016</v>
      </c>
      <c r="B259" s="442"/>
      <c r="C259" s="443">
        <v>1478</v>
      </c>
      <c r="D259" s="443">
        <v>35105</v>
      </c>
      <c r="E259" s="442">
        <v>-33627</v>
      </c>
    </row>
    <row r="260" spans="1:5" ht="12.75">
      <c r="A260" s="441" t="s">
        <v>2706</v>
      </c>
      <c r="B260" s="442"/>
      <c r="C260" s="443">
        <v>135</v>
      </c>
      <c r="D260" s="443">
        <v>13500</v>
      </c>
      <c r="E260" s="442">
        <v>-13365</v>
      </c>
    </row>
    <row r="261" spans="1:5" ht="12.75">
      <c r="A261" s="441" t="s">
        <v>2526</v>
      </c>
      <c r="B261" s="442">
        <v>-36746</v>
      </c>
      <c r="C261" s="443"/>
      <c r="D261" s="443"/>
      <c r="E261" s="442">
        <v>-36746</v>
      </c>
    </row>
    <row r="262" spans="1:5" ht="12.75">
      <c r="A262" s="441" t="s">
        <v>2707</v>
      </c>
      <c r="B262" s="442"/>
      <c r="C262" s="443">
        <v>1176</v>
      </c>
      <c r="D262" s="443">
        <v>1176</v>
      </c>
      <c r="E262" s="442"/>
    </row>
    <row r="263" spans="1:5" ht="12.75">
      <c r="A263" s="441" t="s">
        <v>2383</v>
      </c>
      <c r="B263" s="442">
        <v>-6570518</v>
      </c>
      <c r="C263" s="443"/>
      <c r="D263" s="443"/>
      <c r="E263" s="442">
        <v>-6570518</v>
      </c>
    </row>
    <row r="264" spans="1:5" ht="12.75">
      <c r="A264" s="441" t="s">
        <v>2527</v>
      </c>
      <c r="B264" s="442">
        <v>-500547</v>
      </c>
      <c r="C264" s="443"/>
      <c r="D264" s="443"/>
      <c r="E264" s="442">
        <v>-500547</v>
      </c>
    </row>
    <row r="265" spans="1:5" ht="12.75">
      <c r="A265" s="441" t="s">
        <v>2427</v>
      </c>
      <c r="B265" s="442"/>
      <c r="C265" s="443">
        <v>302798.5</v>
      </c>
      <c r="D265" s="443">
        <v>302798.5</v>
      </c>
      <c r="E265" s="442"/>
    </row>
    <row r="266" spans="1:5" ht="12.75">
      <c r="A266" s="441" t="s">
        <v>2498</v>
      </c>
      <c r="B266" s="442">
        <v>-19531.599999999999</v>
      </c>
      <c r="C266" s="443"/>
      <c r="D266" s="443"/>
      <c r="E266" s="442">
        <v>-19531.599999999999</v>
      </c>
    </row>
    <row r="267" spans="1:5" ht="12.75">
      <c r="A267" s="441" t="s">
        <v>2272</v>
      </c>
      <c r="B267" s="442">
        <v>-22667.93</v>
      </c>
      <c r="C267" s="443"/>
      <c r="D267" s="443"/>
      <c r="E267" s="442">
        <v>-22667.93</v>
      </c>
    </row>
    <row r="268" spans="1:5" ht="12.75">
      <c r="A268" s="441" t="s">
        <v>3168</v>
      </c>
      <c r="B268" s="442"/>
      <c r="C268" s="443"/>
      <c r="D268" s="443">
        <v>394723.71</v>
      </c>
      <c r="E268" s="442">
        <v>-394723.71</v>
      </c>
    </row>
    <row r="269" spans="1:5" ht="12.75">
      <c r="A269" s="441" t="s">
        <v>93</v>
      </c>
      <c r="B269" s="442">
        <v>5697700.1799999997</v>
      </c>
      <c r="C269" s="443"/>
      <c r="D269" s="443">
        <v>3616060.03</v>
      </c>
      <c r="E269" s="442">
        <v>2081640.15</v>
      </c>
    </row>
    <row r="270" spans="1:5" ht="12.75">
      <c r="A270" s="441" t="s">
        <v>2589</v>
      </c>
      <c r="B270" s="442"/>
      <c r="C270" s="443">
        <v>21240</v>
      </c>
      <c r="D270" s="443">
        <v>21240</v>
      </c>
      <c r="E270" s="442"/>
    </row>
    <row r="271" spans="1:5" ht="12.75">
      <c r="A271" s="441" t="s">
        <v>2708</v>
      </c>
      <c r="B271" s="442">
        <v>-2340</v>
      </c>
      <c r="C271" s="443">
        <v>2340</v>
      </c>
      <c r="D271" s="443">
        <v>1140</v>
      </c>
      <c r="E271" s="442">
        <v>-1140</v>
      </c>
    </row>
    <row r="272" spans="1:5" ht="12.75">
      <c r="A272" s="441" t="s">
        <v>2709</v>
      </c>
      <c r="B272" s="442">
        <v>-3888</v>
      </c>
      <c r="C272" s="443"/>
      <c r="D272" s="443"/>
      <c r="E272" s="442">
        <v>-3888</v>
      </c>
    </row>
    <row r="273" spans="1:5" ht="12.75">
      <c r="A273" s="441" t="s">
        <v>275</v>
      </c>
      <c r="B273" s="442">
        <v>-10936</v>
      </c>
      <c r="C273" s="443">
        <v>215159</v>
      </c>
      <c r="D273" s="443">
        <v>223283</v>
      </c>
      <c r="E273" s="442">
        <v>-19060</v>
      </c>
    </row>
    <row r="274" spans="1:5" ht="12.75">
      <c r="A274" s="441" t="s">
        <v>10017</v>
      </c>
      <c r="B274" s="442"/>
      <c r="C274" s="443">
        <v>897</v>
      </c>
      <c r="D274" s="443">
        <v>52938</v>
      </c>
      <c r="E274" s="442">
        <v>-52041</v>
      </c>
    </row>
    <row r="275" spans="1:5" ht="12.75">
      <c r="A275" s="441" t="s">
        <v>2428</v>
      </c>
      <c r="B275" s="442">
        <v>128020</v>
      </c>
      <c r="C275" s="443"/>
      <c r="D275" s="443">
        <v>408766.61</v>
      </c>
      <c r="E275" s="442">
        <v>-280746.61</v>
      </c>
    </row>
    <row r="276" spans="1:5" ht="12.75">
      <c r="A276" s="441" t="s">
        <v>2284</v>
      </c>
      <c r="B276" s="442">
        <v>-3383434</v>
      </c>
      <c r="C276" s="443"/>
      <c r="D276" s="443"/>
      <c r="E276" s="442">
        <v>-3383434</v>
      </c>
    </row>
    <row r="277" spans="1:5" ht="12.75">
      <c r="A277" s="441" t="s">
        <v>267</v>
      </c>
      <c r="B277" s="442">
        <v>107052</v>
      </c>
      <c r="C277" s="443">
        <v>2911734</v>
      </c>
      <c r="D277" s="443">
        <v>2854166</v>
      </c>
      <c r="E277" s="442">
        <v>164620</v>
      </c>
    </row>
    <row r="278" spans="1:5" ht="12.75">
      <c r="A278" s="441" t="s">
        <v>2165</v>
      </c>
      <c r="B278" s="442">
        <v>-10548</v>
      </c>
      <c r="C278" s="443">
        <v>1258765</v>
      </c>
      <c r="D278" s="443">
        <v>1295897</v>
      </c>
      <c r="E278" s="442">
        <v>-47680</v>
      </c>
    </row>
    <row r="279" spans="1:5" ht="12.75">
      <c r="A279" s="441" t="s">
        <v>2710</v>
      </c>
      <c r="B279" s="442">
        <v>-10128</v>
      </c>
      <c r="C279" s="443"/>
      <c r="D279" s="443">
        <v>10270</v>
      </c>
      <c r="E279" s="442">
        <v>-20398</v>
      </c>
    </row>
    <row r="280" spans="1:5" ht="12.75">
      <c r="A280" s="441" t="s">
        <v>2273</v>
      </c>
      <c r="B280" s="442">
        <v>-53697</v>
      </c>
      <c r="C280" s="443">
        <v>54254</v>
      </c>
      <c r="D280" s="443">
        <v>55677</v>
      </c>
      <c r="E280" s="442">
        <v>-55120</v>
      </c>
    </row>
    <row r="281" spans="1:5" ht="12.75">
      <c r="A281" s="441" t="s">
        <v>387</v>
      </c>
      <c r="B281" s="442">
        <v>7304</v>
      </c>
      <c r="C281" s="443">
        <v>96871</v>
      </c>
      <c r="D281" s="443">
        <v>101097</v>
      </c>
      <c r="E281" s="442">
        <v>3078</v>
      </c>
    </row>
    <row r="282" spans="1:5" ht="12.75">
      <c r="A282" s="441" t="s">
        <v>2274</v>
      </c>
      <c r="B282" s="442">
        <v>-6000</v>
      </c>
      <c r="C282" s="443">
        <v>6750</v>
      </c>
      <c r="D282" s="443">
        <v>7500</v>
      </c>
      <c r="E282" s="442">
        <v>-6750</v>
      </c>
    </row>
    <row r="283" spans="1:5" ht="12.75">
      <c r="A283" s="441" t="s">
        <v>2211</v>
      </c>
      <c r="B283" s="442">
        <v>-9872</v>
      </c>
      <c r="C283" s="443"/>
      <c r="D283" s="443">
        <v>9956</v>
      </c>
      <c r="E283" s="442">
        <v>-19828</v>
      </c>
    </row>
    <row r="284" spans="1:5" ht="12.75">
      <c r="A284" s="441" t="s">
        <v>610</v>
      </c>
      <c r="B284" s="442">
        <v>-30195</v>
      </c>
      <c r="C284" s="443"/>
      <c r="D284" s="443"/>
      <c r="E284" s="442">
        <v>-30195</v>
      </c>
    </row>
    <row r="285" spans="1:5" ht="12.75">
      <c r="A285" s="441" t="s">
        <v>2316</v>
      </c>
      <c r="B285" s="442">
        <v>-34848</v>
      </c>
      <c r="C285" s="443">
        <v>35264</v>
      </c>
      <c r="D285" s="443">
        <v>41600</v>
      </c>
      <c r="E285" s="442">
        <v>-41184</v>
      </c>
    </row>
    <row r="286" spans="1:5" ht="12.75">
      <c r="A286" s="441" t="s">
        <v>269</v>
      </c>
      <c r="B286" s="442">
        <v>-57544</v>
      </c>
      <c r="C286" s="443">
        <v>1058425</v>
      </c>
      <c r="D286" s="443">
        <v>1088757</v>
      </c>
      <c r="E286" s="442">
        <v>-87876</v>
      </c>
    </row>
    <row r="287" spans="1:5" ht="12.75">
      <c r="A287" s="441" t="s">
        <v>10018</v>
      </c>
      <c r="B287" s="442"/>
      <c r="C287" s="443">
        <v>74340</v>
      </c>
      <c r="D287" s="443">
        <v>74340</v>
      </c>
      <c r="E287" s="442"/>
    </row>
    <row r="288" spans="1:5" ht="12.75">
      <c r="A288" s="441" t="s">
        <v>2465</v>
      </c>
      <c r="B288" s="442"/>
      <c r="C288" s="443"/>
      <c r="D288" s="443">
        <v>5981</v>
      </c>
      <c r="E288" s="442">
        <v>-5981</v>
      </c>
    </row>
    <row r="289" spans="1:5" ht="12.75">
      <c r="A289" s="441" t="s">
        <v>276</v>
      </c>
      <c r="B289" s="442"/>
      <c r="C289" s="443">
        <v>681450</v>
      </c>
      <c r="D289" s="443">
        <v>681450</v>
      </c>
      <c r="E289" s="442"/>
    </row>
    <row r="290" spans="1:5" ht="12.75">
      <c r="A290" s="441" t="s">
        <v>277</v>
      </c>
      <c r="B290" s="442">
        <v>-294887.02</v>
      </c>
      <c r="C290" s="443">
        <v>711156.5</v>
      </c>
      <c r="D290" s="443">
        <v>431165</v>
      </c>
      <c r="E290" s="442">
        <v>-14895.52</v>
      </c>
    </row>
    <row r="291" spans="1:5" ht="12.75">
      <c r="A291" s="441" t="s">
        <v>2069</v>
      </c>
      <c r="B291" s="442"/>
      <c r="C291" s="443">
        <v>48786</v>
      </c>
      <c r="D291" s="443">
        <v>48786</v>
      </c>
      <c r="E291" s="442"/>
    </row>
    <row r="292" spans="1:5" ht="12.75">
      <c r="A292" s="441" t="s">
        <v>278</v>
      </c>
      <c r="B292" s="442">
        <v>71600</v>
      </c>
      <c r="C292" s="443">
        <v>306745</v>
      </c>
      <c r="D292" s="443">
        <v>268503</v>
      </c>
      <c r="E292" s="442">
        <v>109842</v>
      </c>
    </row>
    <row r="293" spans="1:5" ht="12.75">
      <c r="A293" s="441" t="s">
        <v>392</v>
      </c>
      <c r="B293" s="442">
        <v>72275</v>
      </c>
      <c r="C293" s="443">
        <v>687317</v>
      </c>
      <c r="D293" s="443">
        <v>656543</v>
      </c>
      <c r="E293" s="442">
        <v>103049</v>
      </c>
    </row>
    <row r="294" spans="1:5" ht="12.75">
      <c r="A294" s="441" t="s">
        <v>279</v>
      </c>
      <c r="B294" s="442">
        <v>138482</v>
      </c>
      <c r="C294" s="443">
        <v>1764227</v>
      </c>
      <c r="D294" s="443">
        <v>1683753</v>
      </c>
      <c r="E294" s="442">
        <v>218956</v>
      </c>
    </row>
    <row r="295" spans="1:5" ht="12.75">
      <c r="A295" s="441" t="s">
        <v>280</v>
      </c>
      <c r="B295" s="442">
        <v>-5540</v>
      </c>
      <c r="C295" s="443">
        <v>5540</v>
      </c>
      <c r="D295" s="443">
        <v>8500</v>
      </c>
      <c r="E295" s="442">
        <v>-8500</v>
      </c>
    </row>
    <row r="296" spans="1:5" ht="12.75">
      <c r="A296" s="441" t="s">
        <v>281</v>
      </c>
      <c r="B296" s="442">
        <v>134120</v>
      </c>
      <c r="C296" s="443">
        <v>684363</v>
      </c>
      <c r="D296" s="443">
        <v>724853</v>
      </c>
      <c r="E296" s="442">
        <v>93630</v>
      </c>
    </row>
    <row r="297" spans="1:5" ht="12.75">
      <c r="A297" s="441" t="s">
        <v>10019</v>
      </c>
      <c r="B297" s="442"/>
      <c r="C297" s="443">
        <v>175000</v>
      </c>
      <c r="D297" s="443">
        <v>175000</v>
      </c>
      <c r="E297" s="442"/>
    </row>
    <row r="298" spans="1:5" ht="12.75">
      <c r="A298" s="441" t="s">
        <v>2599</v>
      </c>
      <c r="B298" s="442">
        <v>-11677</v>
      </c>
      <c r="C298" s="443">
        <v>11677</v>
      </c>
      <c r="D298" s="443"/>
      <c r="E298" s="442"/>
    </row>
    <row r="299" spans="1:5" ht="12.75">
      <c r="A299" s="441" t="s">
        <v>2275</v>
      </c>
      <c r="B299" s="442">
        <v>-5800</v>
      </c>
      <c r="C299" s="443">
        <v>5900</v>
      </c>
      <c r="D299" s="443">
        <v>5900</v>
      </c>
      <c r="E299" s="442">
        <v>-5800</v>
      </c>
    </row>
    <row r="300" spans="1:5" ht="12.75">
      <c r="A300" s="441" t="s">
        <v>2401</v>
      </c>
      <c r="B300" s="442"/>
      <c r="C300" s="443">
        <v>508</v>
      </c>
      <c r="D300" s="443">
        <v>508</v>
      </c>
      <c r="E300" s="442"/>
    </row>
    <row r="301" spans="1:5" ht="12.75">
      <c r="A301" s="441" t="s">
        <v>2285</v>
      </c>
      <c r="B301" s="442"/>
      <c r="C301" s="443">
        <v>10400</v>
      </c>
      <c r="D301" s="443">
        <v>10400</v>
      </c>
      <c r="E301" s="442"/>
    </row>
    <row r="302" spans="1:5" ht="12.75">
      <c r="A302" s="441" t="s">
        <v>10020</v>
      </c>
      <c r="B302" s="442"/>
      <c r="C302" s="443">
        <v>12386</v>
      </c>
      <c r="D302" s="443">
        <v>12386</v>
      </c>
      <c r="E302" s="442"/>
    </row>
    <row r="303" spans="1:5" ht="12.75">
      <c r="A303" s="441" t="s">
        <v>10021</v>
      </c>
      <c r="B303" s="442"/>
      <c r="C303" s="443">
        <v>610</v>
      </c>
      <c r="D303" s="443">
        <v>610</v>
      </c>
      <c r="E303" s="442"/>
    </row>
    <row r="304" spans="1:5" ht="12.75">
      <c r="A304" s="441" t="s">
        <v>2234</v>
      </c>
      <c r="B304" s="442">
        <v>-267928152.56</v>
      </c>
      <c r="C304" s="443">
        <v>14282076.9</v>
      </c>
      <c r="D304" s="443">
        <v>136506723.58000001</v>
      </c>
      <c r="E304" s="442">
        <v>-390152799.24000001</v>
      </c>
    </row>
    <row r="305" spans="1:5" ht="12.75">
      <c r="A305" s="441" t="s">
        <v>2419</v>
      </c>
      <c r="B305" s="442">
        <v>2102561.02</v>
      </c>
      <c r="C305" s="443"/>
      <c r="D305" s="443"/>
      <c r="E305" s="442">
        <v>2102561.02</v>
      </c>
    </row>
    <row r="306" spans="1:5" ht="12.75">
      <c r="A306" s="441" t="s">
        <v>10022</v>
      </c>
      <c r="B306" s="442"/>
      <c r="C306" s="443">
        <v>4840455.9000000004</v>
      </c>
      <c r="D306" s="443">
        <v>5505.9</v>
      </c>
      <c r="E306" s="442">
        <v>4834950</v>
      </c>
    </row>
    <row r="307" spans="1:5" ht="12.75">
      <c r="A307" s="441" t="s">
        <v>2466</v>
      </c>
      <c r="B307" s="442">
        <v>2398937</v>
      </c>
      <c r="C307" s="443"/>
      <c r="D307" s="443"/>
      <c r="E307" s="442">
        <v>2398937</v>
      </c>
    </row>
    <row r="308" spans="1:5" ht="12.75">
      <c r="A308" s="441" t="s">
        <v>2528</v>
      </c>
      <c r="B308" s="442">
        <v>5921082</v>
      </c>
      <c r="C308" s="443"/>
      <c r="D308" s="443"/>
      <c r="E308" s="442">
        <v>5921082</v>
      </c>
    </row>
    <row r="309" spans="1:5" ht="12.75">
      <c r="A309" s="441" t="s">
        <v>2711</v>
      </c>
      <c r="B309" s="442">
        <v>20287134.390000001</v>
      </c>
      <c r="C309" s="443"/>
      <c r="D309" s="443"/>
      <c r="E309" s="442">
        <v>20287134.390000001</v>
      </c>
    </row>
    <row r="310" spans="1:5" ht="12.75">
      <c r="A310" s="441" t="s">
        <v>2712</v>
      </c>
      <c r="B310" s="442">
        <v>7610342</v>
      </c>
      <c r="C310" s="443"/>
      <c r="D310" s="443"/>
      <c r="E310" s="442">
        <v>7610342</v>
      </c>
    </row>
    <row r="311" spans="1:5" ht="12.75">
      <c r="A311" s="441" t="s">
        <v>2713</v>
      </c>
      <c r="B311" s="442">
        <v>33725606</v>
      </c>
      <c r="C311" s="443"/>
      <c r="D311" s="443"/>
      <c r="E311" s="442">
        <v>33725606</v>
      </c>
    </row>
    <row r="312" spans="1:5" ht="12.75">
      <c r="A312" s="441" t="s">
        <v>2714</v>
      </c>
      <c r="B312" s="442">
        <v>55389273</v>
      </c>
      <c r="C312" s="443">
        <v>86013015.150000006</v>
      </c>
      <c r="D312" s="443">
        <v>20222.150000000001</v>
      </c>
      <c r="E312" s="442">
        <v>141382066</v>
      </c>
    </row>
    <row r="313" spans="1:5" ht="12.75">
      <c r="A313" s="441" t="s">
        <v>2715</v>
      </c>
      <c r="B313" s="442">
        <v>16119813</v>
      </c>
      <c r="C313" s="443">
        <v>7596929.5999999996</v>
      </c>
      <c r="D313" s="443">
        <v>5231.6000000000004</v>
      </c>
      <c r="E313" s="442">
        <v>23711511</v>
      </c>
    </row>
    <row r="314" spans="1:5" ht="12.75">
      <c r="A314" s="441" t="s">
        <v>2499</v>
      </c>
      <c r="B314" s="442">
        <v>7640118.1699999999</v>
      </c>
      <c r="C314" s="443"/>
      <c r="D314" s="443"/>
      <c r="E314" s="442">
        <v>7640118.1699999999</v>
      </c>
    </row>
    <row r="315" spans="1:5" ht="12.75">
      <c r="A315" s="441" t="s">
        <v>2716</v>
      </c>
      <c r="B315" s="442">
        <v>11115513</v>
      </c>
      <c r="C315" s="443"/>
      <c r="D315" s="443"/>
      <c r="E315" s="442">
        <v>11115513</v>
      </c>
    </row>
    <row r="316" spans="1:5" ht="12.75">
      <c r="A316" s="441" t="s">
        <v>2420</v>
      </c>
      <c r="B316" s="442">
        <v>3484942.59</v>
      </c>
      <c r="C316" s="443"/>
      <c r="D316" s="443"/>
      <c r="E316" s="442">
        <v>3484942.59</v>
      </c>
    </row>
    <row r="317" spans="1:5" ht="12.75">
      <c r="A317" s="441" t="s">
        <v>2412</v>
      </c>
      <c r="B317" s="442">
        <v>844557.16</v>
      </c>
      <c r="C317" s="443"/>
      <c r="D317" s="443"/>
      <c r="E317" s="442">
        <v>844557.16</v>
      </c>
    </row>
    <row r="318" spans="1:5" ht="12.75">
      <c r="A318" s="441" t="s">
        <v>2448</v>
      </c>
      <c r="B318" s="442">
        <v>3624691.33</v>
      </c>
      <c r="C318" s="443"/>
      <c r="D318" s="443"/>
      <c r="E318" s="442">
        <v>3624691.33</v>
      </c>
    </row>
    <row r="319" spans="1:5" ht="12.75">
      <c r="A319" s="441" t="s">
        <v>2429</v>
      </c>
      <c r="B319" s="442">
        <v>3361868.84</v>
      </c>
      <c r="C319" s="443"/>
      <c r="D319" s="443"/>
      <c r="E319" s="442">
        <v>3361868.84</v>
      </c>
    </row>
    <row r="320" spans="1:5" ht="12.75">
      <c r="A320" s="441" t="s">
        <v>2430</v>
      </c>
      <c r="B320" s="442">
        <v>3479390.21</v>
      </c>
      <c r="C320" s="443"/>
      <c r="D320" s="443"/>
      <c r="E320" s="442">
        <v>3479390.21</v>
      </c>
    </row>
    <row r="321" spans="1:5" ht="12.75">
      <c r="A321" s="441" t="s">
        <v>2431</v>
      </c>
      <c r="B321" s="442">
        <v>17186142</v>
      </c>
      <c r="C321" s="443"/>
      <c r="D321" s="443"/>
      <c r="E321" s="442">
        <v>17186142</v>
      </c>
    </row>
    <row r="322" spans="1:5" ht="12.75">
      <c r="A322" s="441" t="s">
        <v>2467</v>
      </c>
      <c r="B322" s="442">
        <v>6707819.7800000003</v>
      </c>
      <c r="C322" s="443"/>
      <c r="D322" s="443"/>
      <c r="E322" s="442">
        <v>6707819.7800000003</v>
      </c>
    </row>
    <row r="323" spans="1:5" ht="12.75">
      <c r="A323" s="441" t="s">
        <v>2384</v>
      </c>
      <c r="B323" s="442">
        <v>992218.82</v>
      </c>
      <c r="C323" s="443"/>
      <c r="D323" s="443"/>
      <c r="E323" s="442">
        <v>992218.82</v>
      </c>
    </row>
    <row r="324" spans="1:5" ht="12.75">
      <c r="A324" s="441" t="s">
        <v>2468</v>
      </c>
      <c r="B324" s="442">
        <v>3323896.73</v>
      </c>
      <c r="C324" s="443"/>
      <c r="D324" s="443"/>
      <c r="E324" s="442">
        <v>3323896.73</v>
      </c>
    </row>
    <row r="325" spans="1:5" ht="12.75">
      <c r="A325" s="441" t="s">
        <v>2469</v>
      </c>
      <c r="B325" s="442">
        <v>12051789.369999999</v>
      </c>
      <c r="C325" s="443"/>
      <c r="D325" s="443"/>
      <c r="E325" s="442">
        <v>12051789.369999999</v>
      </c>
    </row>
    <row r="326" spans="1:5" ht="12.75">
      <c r="A326" s="441" t="s">
        <v>2500</v>
      </c>
      <c r="B326" s="442">
        <v>8894306.1899999995</v>
      </c>
      <c r="C326" s="443"/>
      <c r="D326" s="443"/>
      <c r="E326" s="442">
        <v>8894306.1899999995</v>
      </c>
    </row>
    <row r="327" spans="1:5" ht="12.75">
      <c r="A327" s="441" t="s">
        <v>2501</v>
      </c>
      <c r="B327" s="442">
        <v>6565484.04</v>
      </c>
      <c r="C327" s="443"/>
      <c r="D327" s="443"/>
      <c r="E327" s="442">
        <v>6565484.04</v>
      </c>
    </row>
    <row r="328" spans="1:5" ht="12.75">
      <c r="A328" s="441" t="s">
        <v>2421</v>
      </c>
      <c r="B328" s="442">
        <v>13539814.51</v>
      </c>
      <c r="C328" s="443"/>
      <c r="D328" s="443"/>
      <c r="E328" s="442">
        <v>13539814.51</v>
      </c>
    </row>
    <row r="329" spans="1:5" ht="12.75">
      <c r="A329" s="441" t="s">
        <v>2432</v>
      </c>
      <c r="B329" s="442">
        <v>10393553.869999999</v>
      </c>
      <c r="C329" s="443"/>
      <c r="D329" s="443"/>
      <c r="E329" s="442">
        <v>10393553.869999999</v>
      </c>
    </row>
    <row r="330" spans="1:5" ht="12.75">
      <c r="A330" s="441" t="s">
        <v>2470</v>
      </c>
      <c r="B330" s="442">
        <v>3048845</v>
      </c>
      <c r="C330" s="443"/>
      <c r="D330" s="443"/>
      <c r="E330" s="442">
        <v>3048845</v>
      </c>
    </row>
    <row r="331" spans="1:5" ht="12.75">
      <c r="A331" s="441" t="s">
        <v>2471</v>
      </c>
      <c r="B331" s="442">
        <v>-0.28000000000000003</v>
      </c>
      <c r="C331" s="443"/>
      <c r="D331" s="443"/>
      <c r="E331" s="442">
        <v>-0.28000000000000003</v>
      </c>
    </row>
    <row r="332" spans="1:5" ht="12.75">
      <c r="A332" s="441" t="s">
        <v>2502</v>
      </c>
      <c r="B332" s="442">
        <v>-33221</v>
      </c>
      <c r="C332" s="443"/>
      <c r="D332" s="443"/>
      <c r="E332" s="442">
        <v>-33221</v>
      </c>
    </row>
    <row r="333" spans="1:5" ht="12.75">
      <c r="A333" s="441" t="s">
        <v>2276</v>
      </c>
      <c r="B333" s="442">
        <v>-82377628.870000005</v>
      </c>
      <c r="C333" s="443">
        <v>0.06</v>
      </c>
      <c r="D333" s="443"/>
      <c r="E333" s="442">
        <v>-82377628.810000002</v>
      </c>
    </row>
    <row r="334" spans="1:5" ht="12.75">
      <c r="A334" s="444" t="s">
        <v>84</v>
      </c>
      <c r="B334" s="445">
        <v>2.5331974029541016E-7</v>
      </c>
      <c r="C334" s="446">
        <v>531088126.43000013</v>
      </c>
      <c r="D334" s="446">
        <v>531088126.43000007</v>
      </c>
      <c r="E334" s="445">
        <v>-1.0430812835693359E-7</v>
      </c>
    </row>
  </sheetData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 filterMode="1"/>
  <dimension ref="B3:E31"/>
  <sheetViews>
    <sheetView zoomScaleNormal="100" workbookViewId="0">
      <selection activeCell="C9" activeCellId="1" sqref="C7 C9"/>
    </sheetView>
  </sheetViews>
  <sheetFormatPr defaultRowHeight="15"/>
  <cols>
    <col min="2" max="2" width="54.5703125" bestFit="1" customWidth="1"/>
    <col min="3" max="3" width="17.140625" bestFit="1" customWidth="1"/>
    <col min="4" max="4" width="25.85546875" style="11" bestFit="1" customWidth="1"/>
    <col min="5" max="5" width="12.28515625" customWidth="1"/>
  </cols>
  <sheetData>
    <row r="3" spans="2:4">
      <c r="B3" s="220" t="s">
        <v>83</v>
      </c>
      <c r="C3" s="221" t="s">
        <v>215</v>
      </c>
      <c r="D3" s="323"/>
    </row>
    <row r="4" spans="2:4">
      <c r="B4" s="425" t="s">
        <v>418</v>
      </c>
      <c r="C4" s="288">
        <v>2442.5</v>
      </c>
      <c r="D4" s="356" t="s">
        <v>240</v>
      </c>
    </row>
    <row r="5" spans="2:4">
      <c r="B5" s="425" t="s">
        <v>16</v>
      </c>
      <c r="C5" s="288">
        <v>43346.7</v>
      </c>
      <c r="D5" s="355" t="s">
        <v>234</v>
      </c>
    </row>
    <row r="6" spans="2:4">
      <c r="B6" s="425" t="s">
        <v>17</v>
      </c>
      <c r="C6" s="288">
        <v>92085.959999999992</v>
      </c>
      <c r="D6" s="357" t="s">
        <v>240</v>
      </c>
    </row>
    <row r="7" spans="2:4">
      <c r="B7" s="425" t="s">
        <v>19</v>
      </c>
      <c r="C7" s="288">
        <v>330428.3</v>
      </c>
      <c r="D7" s="354" t="s">
        <v>237</v>
      </c>
    </row>
    <row r="8" spans="2:4">
      <c r="B8" s="425" t="s">
        <v>24</v>
      </c>
      <c r="C8" s="288">
        <v>50926.799999999996</v>
      </c>
      <c r="D8" s="353" t="s">
        <v>238</v>
      </c>
    </row>
    <row r="9" spans="2:4">
      <c r="B9" s="425" t="s">
        <v>21</v>
      </c>
      <c r="C9" s="288">
        <v>51178.8</v>
      </c>
      <c r="D9" s="353" t="s">
        <v>236</v>
      </c>
    </row>
    <row r="10" spans="2:4">
      <c r="B10" s="207" t="s">
        <v>586</v>
      </c>
      <c r="C10" s="288">
        <v>3305</v>
      </c>
      <c r="D10" s="476" t="s">
        <v>235</v>
      </c>
    </row>
    <row r="11" spans="2:4">
      <c r="B11" s="207" t="s">
        <v>1617</v>
      </c>
      <c r="C11" s="288">
        <v>4079.5</v>
      </c>
      <c r="D11" s="477"/>
    </row>
    <row r="12" spans="2:4">
      <c r="B12" s="425" t="s">
        <v>801</v>
      </c>
      <c r="C12" s="288">
        <v>5489</v>
      </c>
      <c r="D12" s="366" t="s">
        <v>857</v>
      </c>
    </row>
    <row r="13" spans="2:4" ht="15" hidden="1" customHeight="1">
      <c r="B13" s="425" t="s">
        <v>778</v>
      </c>
      <c r="C13" s="288">
        <v>71500</v>
      </c>
      <c r="D13" s="354" t="s">
        <v>3847</v>
      </c>
    </row>
    <row r="14" spans="2:4">
      <c r="B14" s="425" t="s">
        <v>1303</v>
      </c>
      <c r="C14" s="288">
        <v>1922.56</v>
      </c>
      <c r="D14" s="361" t="s">
        <v>235</v>
      </c>
    </row>
    <row r="15" spans="2:4">
      <c r="B15" s="425" t="s">
        <v>12</v>
      </c>
      <c r="C15" s="288">
        <v>82.5</v>
      </c>
      <c r="D15" s="362" t="s">
        <v>240</v>
      </c>
    </row>
    <row r="16" spans="2:4">
      <c r="B16" s="425" t="s">
        <v>2117</v>
      </c>
      <c r="C16" s="288">
        <v>8451.7000000000007</v>
      </c>
      <c r="D16" s="384" t="s">
        <v>2117</v>
      </c>
    </row>
    <row r="17" spans="2:5">
      <c r="B17" s="425" t="s">
        <v>2580</v>
      </c>
      <c r="C17" s="288">
        <v>200</v>
      </c>
      <c r="D17" s="476" t="s">
        <v>2631</v>
      </c>
    </row>
    <row r="18" spans="2:5" ht="15" customHeight="1">
      <c r="B18" s="425" t="s">
        <v>2577</v>
      </c>
      <c r="C18" s="288">
        <v>150</v>
      </c>
      <c r="D18" s="478"/>
    </row>
    <row r="19" spans="2:5">
      <c r="B19" s="425" t="s">
        <v>2578</v>
      </c>
      <c r="C19" s="288">
        <v>75</v>
      </c>
      <c r="D19" s="478"/>
    </row>
    <row r="20" spans="2:5">
      <c r="B20" s="425" t="s">
        <v>2579</v>
      </c>
      <c r="C20" s="288">
        <v>100</v>
      </c>
      <c r="D20" s="478"/>
      <c r="E20" s="97" t="s">
        <v>231</v>
      </c>
    </row>
    <row r="21" spans="2:5">
      <c r="B21" s="425" t="s">
        <v>2576</v>
      </c>
      <c r="C21" s="288">
        <v>150</v>
      </c>
      <c r="D21" s="477"/>
      <c r="E21" t="s">
        <v>231</v>
      </c>
    </row>
    <row r="22" spans="2:5">
      <c r="B22" s="425" t="s">
        <v>2585</v>
      </c>
      <c r="C22" s="288">
        <v>1721.8</v>
      </c>
      <c r="D22" s="424" t="s">
        <v>235</v>
      </c>
    </row>
    <row r="23" spans="2:5">
      <c r="B23" s="425" t="s">
        <v>2607</v>
      </c>
      <c r="C23" s="288">
        <v>100</v>
      </c>
      <c r="D23" s="479" t="s">
        <v>2631</v>
      </c>
      <c r="E23" t="s">
        <v>231</v>
      </c>
    </row>
    <row r="24" spans="2:5">
      <c r="B24" s="425" t="s">
        <v>2606</v>
      </c>
      <c r="C24" s="288">
        <v>300</v>
      </c>
      <c r="D24" s="480"/>
      <c r="E24" s="97" t="s">
        <v>231</v>
      </c>
    </row>
    <row r="25" spans="2:5">
      <c r="B25" s="425" t="s">
        <v>2608</v>
      </c>
      <c r="C25" s="288">
        <v>75</v>
      </c>
      <c r="D25" s="481"/>
    </row>
    <row r="26" spans="2:5">
      <c r="B26" s="425" t="s">
        <v>2949</v>
      </c>
      <c r="C26" s="288">
        <v>1128</v>
      </c>
      <c r="D26" s="397" t="s">
        <v>237</v>
      </c>
    </row>
    <row r="27" spans="2:5" ht="15" hidden="1" customHeight="1">
      <c r="B27" s="425" t="s">
        <v>3094</v>
      </c>
      <c r="C27" s="288">
        <v>2000</v>
      </c>
      <c r="D27" s="423" t="s">
        <v>3846</v>
      </c>
    </row>
    <row r="28" spans="2:5">
      <c r="B28" s="71" t="s">
        <v>84</v>
      </c>
      <c r="C28" s="25">
        <v>671239.12</v>
      </c>
      <c r="D28" s="304"/>
    </row>
    <row r="29" spans="2:5" ht="15" customHeight="1"/>
    <row r="30" spans="2:5" ht="15" customHeight="1"/>
    <row r="31" spans="2:5" ht="15" customHeight="1"/>
  </sheetData>
  <autoFilter ref="B3:E31">
    <filterColumn colId="0">
      <filters blank="1">
        <filter val="DOC Pouch"/>
        <filter val="FIBC Bags With UV Without Liner"/>
        <filter val="FIBC WIP"/>
        <filter val="Grand Total"/>
        <filter val="Ink Vyankatesh Poly Black VLX 579"/>
        <filter val="Ink Vyankatesh Poly Green 355C VLX 619"/>
        <filter val="Ink Vyankatesh Poly Opaque White OPEQUE WHITE VLX 624"/>
        <filter val="Ink Vyankatesh Poly Process Blue VLX 643"/>
        <filter val="Ink Vyankatesh Poly Process Yellow VLX 671"/>
        <filter val="Ink Vyankatesh Poly Red Pantone 032C"/>
        <filter val="Ink Vyankatesh Poly Robbin Red VLX 876"/>
        <filter val="Ink Vyankatesh Red 485c"/>
        <filter val="LDPE/LLDPE Bags/Liner"/>
        <filter val="LDPE/LLDPE Film"/>
        <filter val="PP Fibrillated Tape Twisted 3200 Blue"/>
        <filter val="PP Fibrillated Tape Twisted 3200 MW"/>
        <filter val="PP Lam Fabric With UV"/>
        <filter val="PP MF Yarn Twisted 3000 Denier UV Deep Blue"/>
        <filter val="PP MF Yarn Twisted 3000 Denier UV NW"/>
        <filter val="PP UL Fabric With UV"/>
        <filter val="PP UL Fabric Without UV"/>
        <filter val="Thinner Vyankatesh Thinner"/>
        <filter val="Webbing"/>
      </filters>
    </filterColumn>
  </autoFilter>
  <mergeCells count="3">
    <mergeCell ref="D10:D11"/>
    <mergeCell ref="D17:D21"/>
    <mergeCell ref="D23:D25"/>
  </mergeCells>
  <pageMargins left="0.7" right="0.7" top="0.75" bottom="0.75" header="0.3" footer="0.3"/>
  <pageSetup orientation="portrait" verticalDpi="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BP450"/>
  <sheetViews>
    <sheetView topLeftCell="B436" workbookViewId="0">
      <selection activeCell="I15" sqref="I15"/>
    </sheetView>
  </sheetViews>
  <sheetFormatPr defaultRowHeight="12"/>
  <cols>
    <col min="1" max="1" width="9.140625" style="20"/>
    <col min="2" max="2" width="29.85546875" style="20" bestFit="1" customWidth="1"/>
    <col min="3" max="3" width="10.7109375" style="20" bestFit="1" customWidth="1"/>
    <col min="4" max="4" width="17.5703125" style="20" bestFit="1" customWidth="1"/>
    <col min="5" max="5" width="13" style="20" bestFit="1" customWidth="1"/>
    <col min="6" max="6" width="31.140625" style="20" customWidth="1"/>
    <col min="7" max="7" width="10.85546875" style="20" customWidth="1"/>
    <col min="8" max="8" width="18" style="20" bestFit="1" customWidth="1"/>
    <col min="9" max="9" width="13.28515625" style="20" bestFit="1" customWidth="1"/>
    <col min="10" max="10" width="13.85546875" style="20" bestFit="1" customWidth="1"/>
    <col min="11" max="11" width="8.85546875" style="20" bestFit="1" customWidth="1"/>
    <col min="12" max="12" width="12" style="20" bestFit="1" customWidth="1"/>
    <col min="13" max="13" width="14.85546875" style="20" bestFit="1" customWidth="1"/>
    <col min="14" max="14" width="15.5703125" style="20" bestFit="1" customWidth="1"/>
    <col min="15" max="15" width="23.42578125" style="20" bestFit="1" customWidth="1"/>
    <col min="16" max="17" width="38.42578125" style="20" bestFit="1" customWidth="1"/>
    <col min="18" max="18" width="16.7109375" style="20" bestFit="1" customWidth="1"/>
    <col min="19" max="19" width="15.42578125" style="20" bestFit="1" customWidth="1"/>
    <col min="20" max="20" width="12.7109375" style="20" bestFit="1" customWidth="1"/>
    <col min="21" max="21" width="20.140625" style="20" bestFit="1" customWidth="1"/>
    <col min="22" max="22" width="10.140625" style="20" bestFit="1" customWidth="1"/>
    <col min="23" max="23" width="11.140625" style="20" bestFit="1" customWidth="1"/>
    <col min="24" max="24" width="12.140625" style="20" bestFit="1" customWidth="1"/>
    <col min="25" max="25" width="16.7109375" style="20" bestFit="1" customWidth="1"/>
    <col min="26" max="26" width="12.140625" style="20" bestFit="1" customWidth="1"/>
    <col min="27" max="27" width="16.140625" style="20" bestFit="1" customWidth="1"/>
    <col min="28" max="28" width="12.28515625" style="20" bestFit="1" customWidth="1"/>
    <col min="29" max="29" width="9.5703125" style="20" bestFit="1" customWidth="1"/>
    <col min="30" max="30" width="19.85546875" style="20" bestFit="1" customWidth="1"/>
    <col min="31" max="31" width="21" style="20" bestFit="1" customWidth="1"/>
    <col min="32" max="32" width="11.85546875" style="20" bestFit="1" customWidth="1"/>
    <col min="33" max="33" width="12.85546875" style="20" bestFit="1" customWidth="1"/>
    <col min="34" max="34" width="16.7109375" style="20" bestFit="1" customWidth="1"/>
    <col min="35" max="35" width="18.28515625" style="20" bestFit="1" customWidth="1"/>
    <col min="36" max="36" width="19.5703125" style="20" bestFit="1" customWidth="1"/>
    <col min="37" max="37" width="17.42578125" style="20" bestFit="1" customWidth="1"/>
    <col min="38" max="38" width="14.5703125" style="20" bestFit="1" customWidth="1"/>
    <col min="39" max="39" width="17.42578125" style="20" bestFit="1" customWidth="1"/>
    <col min="40" max="40" width="11.28515625" style="20" bestFit="1" customWidth="1"/>
    <col min="41" max="41" width="11.42578125" style="20" bestFit="1" customWidth="1"/>
    <col min="42" max="42" width="13" style="20" bestFit="1" customWidth="1"/>
    <col min="43" max="43" width="15.5703125" style="20" bestFit="1" customWidth="1"/>
    <col min="44" max="44" width="14.28515625" style="20" bestFit="1" customWidth="1"/>
    <col min="45" max="45" width="17.28515625" style="20" bestFit="1" customWidth="1"/>
    <col min="46" max="46" width="14.140625" style="20" bestFit="1" customWidth="1"/>
    <col min="47" max="47" width="14.7109375" style="20" bestFit="1" customWidth="1"/>
    <col min="48" max="48" width="15.140625" style="20" bestFit="1" customWidth="1"/>
    <col min="49" max="49" width="18.140625" style="20" bestFit="1" customWidth="1"/>
    <col min="50" max="50" width="18.28515625" style="20" bestFit="1" customWidth="1"/>
    <col min="51" max="51" width="14.42578125" style="20" bestFit="1" customWidth="1"/>
    <col min="52" max="52" width="13.5703125" style="20" bestFit="1" customWidth="1"/>
    <col min="53" max="53" width="16.28515625" style="20" bestFit="1" customWidth="1"/>
    <col min="54" max="54" width="17.140625" style="20" bestFit="1" customWidth="1"/>
    <col min="55" max="55" width="18.7109375" style="20" bestFit="1" customWidth="1"/>
    <col min="56" max="56" width="16.42578125" style="20" bestFit="1" customWidth="1"/>
    <col min="57" max="57" width="13.42578125" style="20" bestFit="1" customWidth="1"/>
    <col min="58" max="58" width="16.140625" style="20" bestFit="1" customWidth="1"/>
    <col min="59" max="59" width="12.28515625" style="20" bestFit="1" customWidth="1"/>
    <col min="60" max="60" width="16" style="20" bestFit="1" customWidth="1"/>
    <col min="61" max="61" width="12.140625" style="20" bestFit="1" customWidth="1"/>
    <col min="62" max="62" width="15.85546875" style="20" bestFit="1" customWidth="1"/>
    <col min="63" max="63" width="11.7109375" style="20" bestFit="1" customWidth="1"/>
    <col min="64" max="64" width="15.42578125" style="20" bestFit="1" customWidth="1"/>
    <col min="65" max="65" width="14.28515625" style="20" bestFit="1" customWidth="1"/>
    <col min="66" max="66" width="12.28515625" style="20" bestFit="1" customWidth="1"/>
    <col min="67" max="67" width="11.85546875" style="20" bestFit="1" customWidth="1"/>
    <col min="68" max="68" width="10.5703125" style="20" bestFit="1" customWidth="1"/>
    <col min="69" max="16384" width="9.140625" style="20"/>
  </cols>
  <sheetData>
    <row r="1" spans="1:68">
      <c r="A1" s="64"/>
      <c r="B1" s="117" t="s">
        <v>161</v>
      </c>
      <c r="C1" s="117" t="s">
        <v>25</v>
      </c>
      <c r="D1" s="117" t="s">
        <v>165</v>
      </c>
      <c r="E1" s="117" t="s">
        <v>166</v>
      </c>
      <c r="F1" s="117" t="s">
        <v>167</v>
      </c>
      <c r="G1" s="117" t="s">
        <v>592</v>
      </c>
      <c r="H1" s="117" t="s">
        <v>168</v>
      </c>
      <c r="I1" s="117" t="s">
        <v>169</v>
      </c>
      <c r="J1" s="117" t="s">
        <v>170</v>
      </c>
      <c r="K1" s="117" t="s">
        <v>0</v>
      </c>
      <c r="L1" s="117" t="s">
        <v>171</v>
      </c>
      <c r="M1" s="117" t="s">
        <v>172</v>
      </c>
      <c r="N1" s="117" t="s">
        <v>173</v>
      </c>
      <c r="O1" s="117" t="s">
        <v>174</v>
      </c>
      <c r="P1" s="117" t="s">
        <v>175</v>
      </c>
      <c r="Q1" s="117" t="s">
        <v>176</v>
      </c>
      <c r="R1" s="117" t="s">
        <v>177</v>
      </c>
      <c r="S1" s="117" t="s">
        <v>178</v>
      </c>
      <c r="T1" s="117" t="s">
        <v>179</v>
      </c>
      <c r="U1" s="117" t="s">
        <v>180</v>
      </c>
      <c r="V1" s="117" t="s">
        <v>181</v>
      </c>
      <c r="W1" s="117" t="s">
        <v>182</v>
      </c>
      <c r="X1" s="117" t="s">
        <v>38</v>
      </c>
      <c r="Y1" s="117" t="s">
        <v>183</v>
      </c>
      <c r="Z1" s="117" t="s">
        <v>158</v>
      </c>
      <c r="AA1" s="117" t="s">
        <v>593</v>
      </c>
      <c r="AB1" s="117" t="s">
        <v>143</v>
      </c>
      <c r="AC1" s="117" t="s">
        <v>594</v>
      </c>
      <c r="AD1" s="117" t="s">
        <v>184</v>
      </c>
      <c r="AE1" s="117" t="s">
        <v>185</v>
      </c>
      <c r="AF1" s="117" t="s">
        <v>595</v>
      </c>
      <c r="AG1" s="117" t="s">
        <v>596</v>
      </c>
      <c r="AH1" s="117" t="s">
        <v>597</v>
      </c>
      <c r="AI1" s="117" t="s">
        <v>598</v>
      </c>
      <c r="AJ1" s="117" t="s">
        <v>599</v>
      </c>
      <c r="AK1" s="117" t="s">
        <v>600</v>
      </c>
      <c r="AL1" s="117" t="s">
        <v>601</v>
      </c>
      <c r="AM1" s="117" t="s">
        <v>602</v>
      </c>
      <c r="AN1" s="117" t="s">
        <v>603</v>
      </c>
      <c r="AO1" s="117" t="s">
        <v>604</v>
      </c>
      <c r="AP1" s="117" t="s">
        <v>605</v>
      </c>
      <c r="AQ1" s="117" t="s">
        <v>606</v>
      </c>
      <c r="AR1" s="117" t="s">
        <v>607</v>
      </c>
      <c r="AS1" s="117" t="s">
        <v>608</v>
      </c>
      <c r="AT1" s="117" t="s">
        <v>186</v>
      </c>
      <c r="AU1" s="117" t="s">
        <v>162</v>
      </c>
      <c r="AV1" s="117" t="s">
        <v>163</v>
      </c>
      <c r="AW1" s="117" t="s">
        <v>164</v>
      </c>
      <c r="AX1" s="117" t="s">
        <v>187</v>
      </c>
      <c r="AY1" s="64" t="s">
        <v>188</v>
      </c>
      <c r="AZ1" s="64" t="s">
        <v>189</v>
      </c>
      <c r="BA1" s="64" t="s">
        <v>190</v>
      </c>
      <c r="BB1" s="64" t="s">
        <v>191</v>
      </c>
      <c r="BC1" s="64" t="s">
        <v>192</v>
      </c>
      <c r="BD1" s="64" t="s">
        <v>193</v>
      </c>
      <c r="BE1" s="64" t="s">
        <v>194</v>
      </c>
      <c r="BF1" s="64" t="s">
        <v>195</v>
      </c>
      <c r="BG1" s="64" t="s">
        <v>196</v>
      </c>
      <c r="BH1" s="64" t="s">
        <v>197</v>
      </c>
      <c r="BI1" s="64" t="s">
        <v>198</v>
      </c>
      <c r="BJ1" s="64" t="s">
        <v>199</v>
      </c>
      <c r="BK1" s="64" t="s">
        <v>200</v>
      </c>
      <c r="BL1" s="64" t="s">
        <v>201</v>
      </c>
      <c r="BM1" s="64" t="s">
        <v>202</v>
      </c>
      <c r="BN1" s="64" t="s">
        <v>203</v>
      </c>
      <c r="BO1" s="64" t="s">
        <v>204</v>
      </c>
      <c r="BP1" s="64" t="s">
        <v>205</v>
      </c>
    </row>
    <row r="2" spans="1:68">
      <c r="A2" s="65"/>
      <c r="B2" s="20" t="s">
        <v>2216</v>
      </c>
      <c r="C2" s="111">
        <v>46029</v>
      </c>
      <c r="D2" s="20" t="s">
        <v>3542</v>
      </c>
      <c r="E2" s="20" t="s">
        <v>18</v>
      </c>
      <c r="F2" s="20" t="s">
        <v>19</v>
      </c>
      <c r="H2" s="20" t="s">
        <v>2625</v>
      </c>
      <c r="I2" s="20">
        <v>70000</v>
      </c>
      <c r="J2" s="20">
        <v>2836</v>
      </c>
      <c r="K2" s="20" t="s">
        <v>11</v>
      </c>
      <c r="L2" s="20">
        <v>2836</v>
      </c>
      <c r="M2" s="20">
        <v>46103</v>
      </c>
      <c r="N2" s="20">
        <v>2836</v>
      </c>
      <c r="O2" s="20" t="s">
        <v>2201</v>
      </c>
      <c r="P2" s="20" t="s">
        <v>87</v>
      </c>
      <c r="Q2" s="20" t="s">
        <v>87</v>
      </c>
      <c r="R2" s="111" t="s">
        <v>2760</v>
      </c>
      <c r="S2" s="111">
        <v>46029</v>
      </c>
      <c r="T2" s="20" t="s">
        <v>206</v>
      </c>
      <c r="U2" s="20" t="s">
        <v>207</v>
      </c>
      <c r="V2" s="20" t="s">
        <v>2759</v>
      </c>
      <c r="W2" s="20">
        <v>149.74</v>
      </c>
      <c r="X2" s="20">
        <v>149.74</v>
      </c>
      <c r="Y2" s="111" t="s">
        <v>2760</v>
      </c>
      <c r="Z2" s="111">
        <v>46029</v>
      </c>
      <c r="AB2" s="20" t="s">
        <v>212</v>
      </c>
      <c r="AD2" s="20" t="s">
        <v>2167</v>
      </c>
      <c r="AE2" s="20" t="s">
        <v>3543</v>
      </c>
      <c r="AF2" s="20">
        <v>0</v>
      </c>
      <c r="AG2" s="20">
        <v>0</v>
      </c>
      <c r="AH2" s="20">
        <v>0</v>
      </c>
      <c r="AI2" s="20">
        <v>0</v>
      </c>
      <c r="AJ2" s="20">
        <v>0</v>
      </c>
      <c r="AK2" s="111" t="s">
        <v>609</v>
      </c>
      <c r="AL2" s="20">
        <v>0</v>
      </c>
      <c r="AM2" s="20">
        <v>0</v>
      </c>
      <c r="AN2" s="20">
        <v>0</v>
      </c>
      <c r="AO2" s="20">
        <v>0</v>
      </c>
      <c r="AP2" s="20">
        <v>0</v>
      </c>
      <c r="AR2" s="20">
        <v>0</v>
      </c>
      <c r="AS2" s="20">
        <v>0</v>
      </c>
      <c r="AT2" s="20">
        <v>1728555.18</v>
      </c>
      <c r="AU2" s="20" t="s">
        <v>13</v>
      </c>
      <c r="AV2" s="20" t="s">
        <v>62</v>
      </c>
      <c r="AW2" s="111" t="s">
        <v>63</v>
      </c>
      <c r="AX2" s="20" t="s">
        <v>208</v>
      </c>
      <c r="AY2" s="19" t="s">
        <v>209</v>
      </c>
      <c r="AZ2" s="19">
        <v>0</v>
      </c>
      <c r="BA2" s="19">
        <v>424662.64</v>
      </c>
      <c r="BB2" s="19">
        <v>739</v>
      </c>
      <c r="BC2" s="66">
        <v>46029</v>
      </c>
      <c r="BD2" s="19" t="s">
        <v>65</v>
      </c>
      <c r="BE2" s="19" t="s">
        <v>210</v>
      </c>
      <c r="BF2" s="19" t="s">
        <v>210</v>
      </c>
      <c r="BG2" s="19">
        <v>9</v>
      </c>
      <c r="BH2" s="19">
        <v>38219.64</v>
      </c>
      <c r="BI2" s="19">
        <v>9</v>
      </c>
      <c r="BJ2" s="19">
        <v>38219.64</v>
      </c>
      <c r="BK2" s="19">
        <v>0</v>
      </c>
      <c r="BL2" s="19">
        <v>0</v>
      </c>
      <c r="BM2" s="19">
        <v>1728555.18</v>
      </c>
      <c r="BN2" s="19">
        <v>602137996771</v>
      </c>
      <c r="BO2" s="66">
        <v>46204</v>
      </c>
      <c r="BP2" s="19">
        <v>0</v>
      </c>
    </row>
    <row r="3" spans="1:68">
      <c r="A3" s="65"/>
      <c r="B3" s="20" t="s">
        <v>2216</v>
      </c>
      <c r="C3" s="111">
        <v>46029</v>
      </c>
      <c r="D3" s="20" t="s">
        <v>3542</v>
      </c>
      <c r="E3" s="20" t="s">
        <v>18</v>
      </c>
      <c r="F3" s="20" t="s">
        <v>19</v>
      </c>
      <c r="H3" s="20" t="s">
        <v>2625</v>
      </c>
      <c r="I3" s="20">
        <v>150000</v>
      </c>
      <c r="J3" s="20">
        <v>6027</v>
      </c>
      <c r="K3" s="20" t="s">
        <v>11</v>
      </c>
      <c r="L3" s="20">
        <v>6027</v>
      </c>
      <c r="M3" s="20">
        <v>92868</v>
      </c>
      <c r="N3" s="20">
        <v>6027</v>
      </c>
      <c r="O3" s="20" t="s">
        <v>2201</v>
      </c>
      <c r="P3" s="20" t="s">
        <v>87</v>
      </c>
      <c r="Q3" s="20" t="s">
        <v>87</v>
      </c>
      <c r="R3" s="111" t="s">
        <v>2760</v>
      </c>
      <c r="S3" s="111">
        <v>46029</v>
      </c>
      <c r="T3" s="20" t="s">
        <v>206</v>
      </c>
      <c r="U3" s="20" t="s">
        <v>207</v>
      </c>
      <c r="V3" s="20" t="s">
        <v>2759</v>
      </c>
      <c r="W3" s="20">
        <v>147.74</v>
      </c>
      <c r="X3" s="20">
        <v>147.74</v>
      </c>
      <c r="Y3" s="111" t="s">
        <v>2760</v>
      </c>
      <c r="Z3" s="111">
        <v>46029</v>
      </c>
      <c r="AB3" s="20" t="s">
        <v>212</v>
      </c>
      <c r="AD3" s="20" t="s">
        <v>2167</v>
      </c>
      <c r="AE3" s="20" t="s">
        <v>3543</v>
      </c>
      <c r="AF3" s="20">
        <v>0</v>
      </c>
      <c r="AG3" s="20">
        <v>0</v>
      </c>
      <c r="AH3" s="20">
        <v>0</v>
      </c>
      <c r="AI3" s="20">
        <v>0</v>
      </c>
      <c r="AJ3" s="20">
        <v>0</v>
      </c>
      <c r="AK3" s="111" t="s">
        <v>609</v>
      </c>
      <c r="AL3" s="20">
        <v>0</v>
      </c>
      <c r="AM3" s="20">
        <v>0</v>
      </c>
      <c r="AN3" s="20">
        <v>0</v>
      </c>
      <c r="AO3" s="20">
        <v>0</v>
      </c>
      <c r="AP3" s="20">
        <v>0</v>
      </c>
      <c r="AR3" s="20">
        <v>0</v>
      </c>
      <c r="AS3" s="20">
        <v>0</v>
      </c>
      <c r="AT3" s="20">
        <v>1728555.18</v>
      </c>
      <c r="AU3" s="20" t="s">
        <v>13</v>
      </c>
      <c r="AV3" s="20" t="s">
        <v>62</v>
      </c>
      <c r="AW3" s="111" t="s">
        <v>63</v>
      </c>
      <c r="AX3" s="20" t="s">
        <v>208</v>
      </c>
      <c r="AY3" s="19" t="s">
        <v>209</v>
      </c>
      <c r="AZ3" s="19">
        <v>0</v>
      </c>
      <c r="BA3" s="19">
        <v>890428.98</v>
      </c>
      <c r="BB3" s="19">
        <v>739</v>
      </c>
      <c r="BC3" s="66">
        <v>46029</v>
      </c>
      <c r="BD3" s="19" t="s">
        <v>65</v>
      </c>
      <c r="BE3" s="19" t="s">
        <v>210</v>
      </c>
      <c r="BF3" s="19" t="s">
        <v>210</v>
      </c>
      <c r="BG3" s="19">
        <v>9</v>
      </c>
      <c r="BH3" s="19">
        <v>80138.61</v>
      </c>
      <c r="BI3" s="19">
        <v>9</v>
      </c>
      <c r="BJ3" s="19">
        <v>80138.61</v>
      </c>
      <c r="BK3" s="19">
        <v>0</v>
      </c>
      <c r="BL3" s="19">
        <v>0</v>
      </c>
      <c r="BM3" s="19">
        <v>0</v>
      </c>
      <c r="BN3" s="19">
        <v>602137996771</v>
      </c>
      <c r="BO3" s="66">
        <v>46204</v>
      </c>
      <c r="BP3" s="19">
        <v>0</v>
      </c>
    </row>
    <row r="4" spans="1:68">
      <c r="A4" s="65"/>
      <c r="B4" s="20" t="s">
        <v>2216</v>
      </c>
      <c r="C4" s="111">
        <v>46029</v>
      </c>
      <c r="D4" s="20" t="s">
        <v>3542</v>
      </c>
      <c r="E4" s="20" t="s">
        <v>18</v>
      </c>
      <c r="F4" s="20" t="s">
        <v>19</v>
      </c>
      <c r="H4" s="20" t="s">
        <v>2625</v>
      </c>
      <c r="I4" s="20">
        <v>40000</v>
      </c>
      <c r="J4" s="20">
        <v>697</v>
      </c>
      <c r="K4" s="20" t="s">
        <v>11</v>
      </c>
      <c r="L4" s="20">
        <v>697</v>
      </c>
      <c r="M4" s="20">
        <v>34467</v>
      </c>
      <c r="N4" s="20">
        <v>697</v>
      </c>
      <c r="O4" s="20" t="s">
        <v>2201</v>
      </c>
      <c r="P4" s="20" t="s">
        <v>87</v>
      </c>
      <c r="Q4" s="20" t="s">
        <v>87</v>
      </c>
      <c r="R4" s="111" t="s">
        <v>2760</v>
      </c>
      <c r="S4" s="111">
        <v>46029</v>
      </c>
      <c r="T4" s="20" t="s">
        <v>206</v>
      </c>
      <c r="U4" s="20" t="s">
        <v>207</v>
      </c>
      <c r="V4" s="20" t="s">
        <v>2759</v>
      </c>
      <c r="W4" s="20">
        <v>150.74</v>
      </c>
      <c r="X4" s="20">
        <v>150.74</v>
      </c>
      <c r="Y4" s="111" t="s">
        <v>2760</v>
      </c>
      <c r="Z4" s="111">
        <v>46029</v>
      </c>
      <c r="AB4" s="20" t="s">
        <v>212</v>
      </c>
      <c r="AD4" s="20" t="s">
        <v>2167</v>
      </c>
      <c r="AE4" s="20" t="s">
        <v>3543</v>
      </c>
      <c r="AF4" s="20">
        <v>0</v>
      </c>
      <c r="AG4" s="20">
        <v>0</v>
      </c>
      <c r="AH4" s="20">
        <v>0</v>
      </c>
      <c r="AI4" s="20">
        <v>0</v>
      </c>
      <c r="AJ4" s="20">
        <v>0</v>
      </c>
      <c r="AK4" s="111" t="s">
        <v>609</v>
      </c>
      <c r="AL4" s="20">
        <v>0</v>
      </c>
      <c r="AM4" s="20">
        <v>0</v>
      </c>
      <c r="AN4" s="20">
        <v>0</v>
      </c>
      <c r="AO4" s="20">
        <v>0</v>
      </c>
      <c r="AP4" s="20">
        <v>0</v>
      </c>
      <c r="AR4" s="20">
        <v>0</v>
      </c>
      <c r="AS4" s="20">
        <v>0</v>
      </c>
      <c r="AT4" s="20">
        <v>1728555.18</v>
      </c>
      <c r="AU4" s="20" t="s">
        <v>13</v>
      </c>
      <c r="AV4" s="20" t="s">
        <v>62</v>
      </c>
      <c r="AW4" s="111" t="s">
        <v>63</v>
      </c>
      <c r="AX4" s="20" t="s">
        <v>208</v>
      </c>
      <c r="AY4" s="19" t="s">
        <v>209</v>
      </c>
      <c r="AZ4" s="19">
        <v>0</v>
      </c>
      <c r="BA4" s="19">
        <v>105065.78</v>
      </c>
      <c r="BB4" s="19">
        <v>739</v>
      </c>
      <c r="BC4" s="66">
        <v>46029</v>
      </c>
      <c r="BD4" s="19" t="s">
        <v>65</v>
      </c>
      <c r="BE4" s="19" t="s">
        <v>210</v>
      </c>
      <c r="BF4" s="19" t="s">
        <v>210</v>
      </c>
      <c r="BG4" s="19">
        <v>9</v>
      </c>
      <c r="BH4" s="19">
        <v>9455.92</v>
      </c>
      <c r="BI4" s="19">
        <v>9</v>
      </c>
      <c r="BJ4" s="19">
        <v>9455.92</v>
      </c>
      <c r="BK4" s="19">
        <v>0</v>
      </c>
      <c r="BL4" s="19">
        <v>0</v>
      </c>
      <c r="BM4" s="19">
        <v>0</v>
      </c>
      <c r="BN4" s="19">
        <v>602137996771</v>
      </c>
      <c r="BO4" s="66">
        <v>46204</v>
      </c>
      <c r="BP4" s="19">
        <v>0</v>
      </c>
    </row>
    <row r="5" spans="1:68">
      <c r="A5" s="65"/>
      <c r="B5" s="20" t="s">
        <v>2216</v>
      </c>
      <c r="C5" s="111">
        <v>46029</v>
      </c>
      <c r="D5" s="20" t="s">
        <v>3542</v>
      </c>
      <c r="E5" s="20" t="s">
        <v>20</v>
      </c>
      <c r="F5" s="20" t="s">
        <v>21</v>
      </c>
      <c r="H5" s="20" t="s">
        <v>2625</v>
      </c>
      <c r="I5" s="20">
        <v>8000</v>
      </c>
      <c r="J5" s="20">
        <v>289</v>
      </c>
      <c r="K5" s="20" t="s">
        <v>11</v>
      </c>
      <c r="L5" s="341">
        <v>289</v>
      </c>
      <c r="M5" s="20">
        <v>5058</v>
      </c>
      <c r="N5" s="20">
        <v>289</v>
      </c>
      <c r="O5" s="20" t="s">
        <v>2201</v>
      </c>
      <c r="P5" s="20" t="s">
        <v>87</v>
      </c>
      <c r="Q5" s="20" t="s">
        <v>87</v>
      </c>
      <c r="R5" s="111" t="s">
        <v>2760</v>
      </c>
      <c r="S5" s="111">
        <v>46029</v>
      </c>
      <c r="T5" s="20" t="s">
        <v>206</v>
      </c>
      <c r="U5" s="20" t="s">
        <v>207</v>
      </c>
      <c r="V5" s="20" t="s">
        <v>2759</v>
      </c>
      <c r="W5" s="20">
        <v>154.74</v>
      </c>
      <c r="X5" s="20">
        <v>154.74</v>
      </c>
      <c r="Y5" s="111" t="s">
        <v>2760</v>
      </c>
      <c r="Z5" s="111">
        <v>46029</v>
      </c>
      <c r="AB5" s="20" t="s">
        <v>212</v>
      </c>
      <c r="AD5" s="20" t="s">
        <v>2167</v>
      </c>
      <c r="AE5" s="20" t="s">
        <v>3543</v>
      </c>
      <c r="AF5" s="20">
        <v>0</v>
      </c>
      <c r="AG5" s="20">
        <v>0</v>
      </c>
      <c r="AH5" s="20">
        <v>0</v>
      </c>
      <c r="AI5" s="20">
        <v>0</v>
      </c>
      <c r="AJ5" s="20">
        <v>0</v>
      </c>
      <c r="AK5" s="111" t="s">
        <v>609</v>
      </c>
      <c r="AL5" s="20">
        <v>0</v>
      </c>
      <c r="AM5" s="20">
        <v>0</v>
      </c>
      <c r="AN5" s="20">
        <v>0</v>
      </c>
      <c r="AO5" s="20">
        <v>0</v>
      </c>
      <c r="AP5" s="20">
        <v>0</v>
      </c>
      <c r="AR5" s="20">
        <v>0</v>
      </c>
      <c r="AS5" s="20">
        <v>0</v>
      </c>
      <c r="AT5" s="20">
        <v>1728555.18</v>
      </c>
      <c r="AU5" s="20" t="s">
        <v>13</v>
      </c>
      <c r="AV5" s="20" t="s">
        <v>62</v>
      </c>
      <c r="AW5" s="111" t="s">
        <v>76</v>
      </c>
      <c r="AX5" s="20" t="s">
        <v>208</v>
      </c>
      <c r="AY5" s="19" t="s">
        <v>209</v>
      </c>
      <c r="AZ5" s="19">
        <v>0</v>
      </c>
      <c r="BA5" s="19">
        <v>44719.86</v>
      </c>
      <c r="BB5" s="19">
        <v>739</v>
      </c>
      <c r="BC5" s="66">
        <v>46029</v>
      </c>
      <c r="BD5" s="19" t="s">
        <v>65</v>
      </c>
      <c r="BE5" s="19" t="s">
        <v>210</v>
      </c>
      <c r="BF5" s="19" t="s">
        <v>210</v>
      </c>
      <c r="BG5" s="19">
        <v>9</v>
      </c>
      <c r="BH5" s="19">
        <v>4024.79</v>
      </c>
      <c r="BI5" s="19">
        <v>9</v>
      </c>
      <c r="BJ5" s="19">
        <v>4024.79</v>
      </c>
      <c r="BK5" s="19">
        <v>0</v>
      </c>
      <c r="BL5" s="19">
        <v>0</v>
      </c>
      <c r="BM5" s="19">
        <v>0</v>
      </c>
      <c r="BN5" s="19">
        <v>602137996771</v>
      </c>
      <c r="BO5" s="66">
        <v>46204</v>
      </c>
      <c r="BP5" s="19">
        <v>0</v>
      </c>
    </row>
    <row r="6" spans="1:68">
      <c r="A6" s="65"/>
      <c r="B6" s="20" t="s">
        <v>2216</v>
      </c>
      <c r="C6" s="111">
        <v>46029</v>
      </c>
      <c r="D6" s="20" t="s">
        <v>3544</v>
      </c>
      <c r="E6" s="20" t="s">
        <v>20</v>
      </c>
      <c r="F6" s="20" t="s">
        <v>21</v>
      </c>
      <c r="H6" s="20" t="s">
        <v>2625</v>
      </c>
      <c r="I6" s="20">
        <v>8000</v>
      </c>
      <c r="J6" s="20">
        <v>400</v>
      </c>
      <c r="K6" s="20" t="s">
        <v>11</v>
      </c>
      <c r="L6" s="20">
        <v>400</v>
      </c>
      <c r="M6" s="20">
        <v>4658</v>
      </c>
      <c r="N6" s="20">
        <v>400</v>
      </c>
      <c r="O6" s="20" t="s">
        <v>2203</v>
      </c>
      <c r="P6" s="20" t="s">
        <v>87</v>
      </c>
      <c r="Q6" s="20" t="s">
        <v>87</v>
      </c>
      <c r="R6" s="111" t="s">
        <v>2762</v>
      </c>
      <c r="S6" s="111">
        <v>46029</v>
      </c>
      <c r="T6" s="20" t="s">
        <v>206</v>
      </c>
      <c r="U6" s="20" t="s">
        <v>207</v>
      </c>
      <c r="V6" s="20" t="s">
        <v>2761</v>
      </c>
      <c r="W6" s="20">
        <v>154.74</v>
      </c>
      <c r="X6" s="20">
        <v>154.74</v>
      </c>
      <c r="Y6" s="111" t="s">
        <v>2762</v>
      </c>
      <c r="Z6" s="111">
        <v>46029</v>
      </c>
      <c r="AB6" s="20" t="s">
        <v>212</v>
      </c>
      <c r="AD6" s="20" t="s">
        <v>213</v>
      </c>
      <c r="AE6" s="20" t="s">
        <v>212</v>
      </c>
      <c r="AF6" s="20">
        <v>0</v>
      </c>
      <c r="AG6" s="20">
        <v>0</v>
      </c>
      <c r="AH6" s="20">
        <v>0</v>
      </c>
      <c r="AI6" s="20">
        <v>0</v>
      </c>
      <c r="AJ6" s="20">
        <v>0</v>
      </c>
      <c r="AK6" s="111" t="s">
        <v>609</v>
      </c>
      <c r="AL6" s="20">
        <v>0</v>
      </c>
      <c r="AM6" s="20">
        <v>0</v>
      </c>
      <c r="AN6" s="20">
        <v>0</v>
      </c>
      <c r="AO6" s="20">
        <v>0</v>
      </c>
      <c r="AP6" s="20">
        <v>0</v>
      </c>
      <c r="AR6" s="20">
        <v>0</v>
      </c>
      <c r="AS6" s="20">
        <v>0</v>
      </c>
      <c r="AT6" s="20">
        <v>1323569.5</v>
      </c>
      <c r="AU6" s="20" t="s">
        <v>13</v>
      </c>
      <c r="AV6" s="20" t="s">
        <v>62</v>
      </c>
      <c r="AW6" s="111" t="s">
        <v>76</v>
      </c>
      <c r="AX6" s="20" t="s">
        <v>208</v>
      </c>
      <c r="AY6" s="19" t="s">
        <v>209</v>
      </c>
      <c r="AZ6" s="19">
        <v>0</v>
      </c>
      <c r="BA6" s="19">
        <v>61896</v>
      </c>
      <c r="BB6" s="19">
        <v>741</v>
      </c>
      <c r="BC6" s="66">
        <v>46029</v>
      </c>
      <c r="BD6" s="19" t="s">
        <v>65</v>
      </c>
      <c r="BE6" s="19" t="s">
        <v>210</v>
      </c>
      <c r="BF6" s="19" t="s">
        <v>210</v>
      </c>
      <c r="BG6" s="19">
        <v>9</v>
      </c>
      <c r="BH6" s="19">
        <v>5570.64</v>
      </c>
      <c r="BI6" s="19">
        <v>9</v>
      </c>
      <c r="BJ6" s="19">
        <v>5570.64</v>
      </c>
      <c r="BK6" s="19">
        <v>0</v>
      </c>
      <c r="BL6" s="19">
        <v>0</v>
      </c>
      <c r="BM6" s="19">
        <v>1323569.5</v>
      </c>
      <c r="BN6" s="19">
        <v>642138014933</v>
      </c>
      <c r="BO6" s="66">
        <v>46204</v>
      </c>
      <c r="BP6" s="19">
        <v>0</v>
      </c>
    </row>
    <row r="7" spans="1:68">
      <c r="A7" s="65"/>
      <c r="B7" s="20" t="s">
        <v>2216</v>
      </c>
      <c r="C7" s="111">
        <v>46029</v>
      </c>
      <c r="D7" s="20" t="s">
        <v>3544</v>
      </c>
      <c r="E7" s="20" t="s">
        <v>20</v>
      </c>
      <c r="F7" s="20" t="s">
        <v>21</v>
      </c>
      <c r="H7" s="20" t="s">
        <v>3545</v>
      </c>
      <c r="I7" s="20">
        <v>571</v>
      </c>
      <c r="J7" s="20">
        <v>571</v>
      </c>
      <c r="K7" s="20" t="s">
        <v>11</v>
      </c>
      <c r="L7" s="20">
        <v>571</v>
      </c>
      <c r="M7" s="20">
        <v>0</v>
      </c>
      <c r="N7" s="20">
        <v>571</v>
      </c>
      <c r="O7" s="20" t="s">
        <v>2203</v>
      </c>
      <c r="P7" s="20" t="s">
        <v>87</v>
      </c>
      <c r="Q7" s="20" t="s">
        <v>87</v>
      </c>
      <c r="R7" s="111" t="s">
        <v>2762</v>
      </c>
      <c r="S7" s="111">
        <v>46029</v>
      </c>
      <c r="T7" s="20" t="s">
        <v>206</v>
      </c>
      <c r="U7" s="20" t="s">
        <v>207</v>
      </c>
      <c r="V7" s="20" t="s">
        <v>2761</v>
      </c>
      <c r="W7" s="20">
        <v>154.74</v>
      </c>
      <c r="X7" s="20">
        <v>154.74</v>
      </c>
      <c r="Y7" s="111" t="s">
        <v>2762</v>
      </c>
      <c r="Z7" s="111">
        <v>46029</v>
      </c>
      <c r="AB7" s="20" t="s">
        <v>212</v>
      </c>
      <c r="AD7" s="20" t="s">
        <v>213</v>
      </c>
      <c r="AE7" s="20" t="s">
        <v>212</v>
      </c>
      <c r="AF7" s="20">
        <v>0</v>
      </c>
      <c r="AG7" s="20">
        <v>0</v>
      </c>
      <c r="AH7" s="20">
        <v>0</v>
      </c>
      <c r="AI7" s="20">
        <v>0</v>
      </c>
      <c r="AJ7" s="20">
        <v>0</v>
      </c>
      <c r="AK7" s="111" t="s">
        <v>609</v>
      </c>
      <c r="AL7" s="20">
        <v>0</v>
      </c>
      <c r="AM7" s="20">
        <v>0</v>
      </c>
      <c r="AN7" s="20">
        <v>0</v>
      </c>
      <c r="AO7" s="20">
        <v>0</v>
      </c>
      <c r="AP7" s="20">
        <v>0</v>
      </c>
      <c r="AR7" s="20">
        <v>0</v>
      </c>
      <c r="AS7" s="20">
        <v>0</v>
      </c>
      <c r="AT7" s="20">
        <v>1323569.5</v>
      </c>
      <c r="AU7" s="20" t="s">
        <v>13</v>
      </c>
      <c r="AV7" s="20" t="s">
        <v>62</v>
      </c>
      <c r="AW7" s="111" t="s">
        <v>76</v>
      </c>
      <c r="AX7" s="20" t="s">
        <v>208</v>
      </c>
      <c r="AY7" s="19" t="s">
        <v>209</v>
      </c>
      <c r="AZ7" s="19">
        <v>0</v>
      </c>
      <c r="BA7" s="19">
        <v>88356.54</v>
      </c>
      <c r="BB7" s="19">
        <v>741</v>
      </c>
      <c r="BC7" s="66">
        <v>46029</v>
      </c>
      <c r="BD7" s="19" t="s">
        <v>65</v>
      </c>
      <c r="BE7" s="19" t="s">
        <v>210</v>
      </c>
      <c r="BF7" s="19" t="s">
        <v>210</v>
      </c>
      <c r="BG7" s="19">
        <v>9</v>
      </c>
      <c r="BH7" s="19">
        <v>7952.09</v>
      </c>
      <c r="BI7" s="19">
        <v>9</v>
      </c>
      <c r="BJ7" s="19">
        <v>7952.09</v>
      </c>
      <c r="BK7" s="19">
        <v>0</v>
      </c>
      <c r="BL7" s="19">
        <v>0</v>
      </c>
      <c r="BM7" s="19">
        <v>0</v>
      </c>
      <c r="BN7" s="19">
        <v>642138014933</v>
      </c>
      <c r="BO7" s="66">
        <v>46204</v>
      </c>
      <c r="BP7" s="19">
        <v>0</v>
      </c>
    </row>
    <row r="8" spans="1:68">
      <c r="A8" s="65"/>
      <c r="B8" s="20" t="s">
        <v>2216</v>
      </c>
      <c r="C8" s="111">
        <v>46029</v>
      </c>
      <c r="D8" s="20" t="s">
        <v>3544</v>
      </c>
      <c r="E8" s="20" t="s">
        <v>18</v>
      </c>
      <c r="F8" s="20" t="s">
        <v>19</v>
      </c>
      <c r="H8" s="20" t="s">
        <v>2625</v>
      </c>
      <c r="I8" s="20">
        <v>150000</v>
      </c>
      <c r="J8" s="20">
        <v>392</v>
      </c>
      <c r="K8" s="20" t="s">
        <v>11</v>
      </c>
      <c r="L8" s="20">
        <v>392</v>
      </c>
      <c r="M8" s="20">
        <v>92476</v>
      </c>
      <c r="N8" s="20">
        <v>392</v>
      </c>
      <c r="O8" s="20" t="s">
        <v>2203</v>
      </c>
      <c r="P8" s="20" t="s">
        <v>87</v>
      </c>
      <c r="Q8" s="20" t="s">
        <v>87</v>
      </c>
      <c r="R8" s="111" t="s">
        <v>2762</v>
      </c>
      <c r="S8" s="111">
        <v>46029</v>
      </c>
      <c r="T8" s="20" t="s">
        <v>206</v>
      </c>
      <c r="U8" s="20" t="s">
        <v>207</v>
      </c>
      <c r="V8" s="20" t="s">
        <v>2761</v>
      </c>
      <c r="W8" s="20">
        <v>147.74</v>
      </c>
      <c r="X8" s="20">
        <v>147.74</v>
      </c>
      <c r="Y8" s="111" t="s">
        <v>2762</v>
      </c>
      <c r="Z8" s="111">
        <v>46029</v>
      </c>
      <c r="AB8" s="20" t="s">
        <v>212</v>
      </c>
      <c r="AD8" s="20" t="s">
        <v>213</v>
      </c>
      <c r="AE8" s="20" t="s">
        <v>212</v>
      </c>
      <c r="AF8" s="20">
        <v>0</v>
      </c>
      <c r="AG8" s="20">
        <v>0</v>
      </c>
      <c r="AH8" s="20">
        <v>0</v>
      </c>
      <c r="AI8" s="20">
        <v>0</v>
      </c>
      <c r="AJ8" s="20">
        <v>0</v>
      </c>
      <c r="AK8" s="111" t="s">
        <v>609</v>
      </c>
      <c r="AL8" s="20">
        <v>0</v>
      </c>
      <c r="AM8" s="20">
        <v>0</v>
      </c>
      <c r="AN8" s="20">
        <v>0</v>
      </c>
      <c r="AO8" s="20">
        <v>0</v>
      </c>
      <c r="AP8" s="20">
        <v>0</v>
      </c>
      <c r="AR8" s="20">
        <v>0</v>
      </c>
      <c r="AS8" s="20">
        <v>0</v>
      </c>
      <c r="AT8" s="20">
        <v>1323569.5</v>
      </c>
      <c r="AU8" s="20" t="s">
        <v>13</v>
      </c>
      <c r="AV8" s="20" t="s">
        <v>62</v>
      </c>
      <c r="AW8" s="111" t="s">
        <v>63</v>
      </c>
      <c r="AX8" s="20" t="s">
        <v>208</v>
      </c>
      <c r="AY8" s="19" t="s">
        <v>209</v>
      </c>
      <c r="AZ8" s="19">
        <v>0</v>
      </c>
      <c r="BA8" s="19">
        <v>57914.080000000002</v>
      </c>
      <c r="BB8" s="19">
        <v>741</v>
      </c>
      <c r="BC8" s="66">
        <v>46029</v>
      </c>
      <c r="BD8" s="19" t="s">
        <v>65</v>
      </c>
      <c r="BE8" s="19" t="s">
        <v>210</v>
      </c>
      <c r="BF8" s="19" t="s">
        <v>210</v>
      </c>
      <c r="BG8" s="19">
        <v>9</v>
      </c>
      <c r="BH8" s="19">
        <v>5212.2700000000004</v>
      </c>
      <c r="BI8" s="19">
        <v>9</v>
      </c>
      <c r="BJ8" s="19">
        <v>5212.2700000000004</v>
      </c>
      <c r="BK8" s="19">
        <v>0</v>
      </c>
      <c r="BL8" s="19">
        <v>0</v>
      </c>
      <c r="BM8" s="19">
        <v>0</v>
      </c>
      <c r="BN8" s="19">
        <v>642138014933</v>
      </c>
      <c r="BO8" s="66">
        <v>46204</v>
      </c>
      <c r="BP8" s="19">
        <v>0</v>
      </c>
    </row>
    <row r="9" spans="1:68">
      <c r="A9" s="65"/>
      <c r="B9" s="20" t="s">
        <v>2216</v>
      </c>
      <c r="C9" s="111">
        <v>46029</v>
      </c>
      <c r="D9" s="20" t="s">
        <v>3544</v>
      </c>
      <c r="E9" s="20" t="s">
        <v>160</v>
      </c>
      <c r="F9" s="20" t="s">
        <v>17</v>
      </c>
      <c r="H9" s="20" t="s">
        <v>3545</v>
      </c>
      <c r="I9" s="20">
        <v>3917</v>
      </c>
      <c r="J9" s="20">
        <v>3917</v>
      </c>
      <c r="K9" s="20" t="s">
        <v>11</v>
      </c>
      <c r="L9" s="20">
        <v>3917</v>
      </c>
      <c r="M9" s="20">
        <v>0</v>
      </c>
      <c r="N9" s="20">
        <v>3917</v>
      </c>
      <c r="O9" s="20" t="s">
        <v>2203</v>
      </c>
      <c r="P9" s="20" t="s">
        <v>87</v>
      </c>
      <c r="Q9" s="20" t="s">
        <v>87</v>
      </c>
      <c r="R9" s="111" t="s">
        <v>2762</v>
      </c>
      <c r="S9" s="111">
        <v>46029</v>
      </c>
      <c r="T9" s="20" t="s">
        <v>206</v>
      </c>
      <c r="U9" s="20" t="s">
        <v>207</v>
      </c>
      <c r="V9" s="20" t="s">
        <v>2761</v>
      </c>
      <c r="W9" s="20">
        <v>181.15</v>
      </c>
      <c r="X9" s="20">
        <v>181.15</v>
      </c>
      <c r="Y9" s="111" t="s">
        <v>2762</v>
      </c>
      <c r="Z9" s="111">
        <v>46029</v>
      </c>
      <c r="AB9" s="20" t="s">
        <v>212</v>
      </c>
      <c r="AD9" s="20" t="s">
        <v>213</v>
      </c>
      <c r="AE9" s="20" t="s">
        <v>212</v>
      </c>
      <c r="AF9" s="20">
        <v>0</v>
      </c>
      <c r="AG9" s="20">
        <v>0</v>
      </c>
      <c r="AH9" s="20">
        <v>0</v>
      </c>
      <c r="AI9" s="20">
        <v>0</v>
      </c>
      <c r="AJ9" s="20">
        <v>0</v>
      </c>
      <c r="AK9" s="111" t="s">
        <v>609</v>
      </c>
      <c r="AL9" s="20">
        <v>0</v>
      </c>
      <c r="AM9" s="20">
        <v>0</v>
      </c>
      <c r="AN9" s="20">
        <v>0</v>
      </c>
      <c r="AO9" s="20">
        <v>0</v>
      </c>
      <c r="AP9" s="20">
        <v>0</v>
      </c>
      <c r="AR9" s="20">
        <v>0</v>
      </c>
      <c r="AS9" s="20">
        <v>0</v>
      </c>
      <c r="AT9" s="20">
        <v>1323569.5</v>
      </c>
      <c r="AU9" s="20" t="s">
        <v>13</v>
      </c>
      <c r="AV9" s="20" t="s">
        <v>80</v>
      </c>
      <c r="AW9" s="111" t="s">
        <v>81</v>
      </c>
      <c r="AX9" s="20" t="s">
        <v>208</v>
      </c>
      <c r="AY9" s="19" t="s">
        <v>209</v>
      </c>
      <c r="AZ9" s="19">
        <v>0</v>
      </c>
      <c r="BA9" s="19">
        <v>709564.55</v>
      </c>
      <c r="BB9" s="19">
        <v>741</v>
      </c>
      <c r="BC9" s="66">
        <v>46029</v>
      </c>
      <c r="BD9" s="19" t="s">
        <v>65</v>
      </c>
      <c r="BE9" s="19" t="s">
        <v>210</v>
      </c>
      <c r="BF9" s="19" t="s">
        <v>210</v>
      </c>
      <c r="BG9" s="19">
        <v>9</v>
      </c>
      <c r="BH9" s="19">
        <v>63860.81</v>
      </c>
      <c r="BI9" s="19">
        <v>9</v>
      </c>
      <c r="BJ9" s="19">
        <v>63860.81</v>
      </c>
      <c r="BK9" s="19">
        <v>0</v>
      </c>
      <c r="BL9" s="19">
        <v>0</v>
      </c>
      <c r="BM9" s="19">
        <v>0</v>
      </c>
      <c r="BN9" s="19">
        <v>642138014933</v>
      </c>
      <c r="BO9" s="66">
        <v>46204</v>
      </c>
      <c r="BP9" s="19">
        <v>0</v>
      </c>
    </row>
    <row r="10" spans="1:68">
      <c r="A10" s="65"/>
      <c r="B10" s="20" t="s">
        <v>2216</v>
      </c>
      <c r="C10" s="111">
        <v>46029</v>
      </c>
      <c r="D10" s="20" t="s">
        <v>3544</v>
      </c>
      <c r="E10" s="20" t="s">
        <v>23</v>
      </c>
      <c r="F10" s="20" t="s">
        <v>24</v>
      </c>
      <c r="H10" s="20" t="s">
        <v>2625</v>
      </c>
      <c r="I10" s="20">
        <v>15000</v>
      </c>
      <c r="J10" s="20">
        <v>236.8</v>
      </c>
      <c r="K10" s="20" t="s">
        <v>11</v>
      </c>
      <c r="L10" s="20">
        <v>236.8</v>
      </c>
      <c r="M10" s="20">
        <v>11199.4</v>
      </c>
      <c r="N10" s="20">
        <v>236.8</v>
      </c>
      <c r="O10" s="20" t="s">
        <v>2203</v>
      </c>
      <c r="P10" s="20" t="s">
        <v>87</v>
      </c>
      <c r="Q10" s="20" t="s">
        <v>87</v>
      </c>
      <c r="R10" s="111" t="s">
        <v>2762</v>
      </c>
      <c r="S10" s="111">
        <v>46029</v>
      </c>
      <c r="T10" s="20" t="s">
        <v>206</v>
      </c>
      <c r="U10" s="20" t="s">
        <v>207</v>
      </c>
      <c r="V10" s="20" t="s">
        <v>2761</v>
      </c>
      <c r="W10" s="20">
        <v>149.74</v>
      </c>
      <c r="X10" s="20">
        <v>149.74</v>
      </c>
      <c r="Y10" s="111" t="s">
        <v>2762</v>
      </c>
      <c r="Z10" s="111">
        <v>46029</v>
      </c>
      <c r="AB10" s="20" t="s">
        <v>212</v>
      </c>
      <c r="AD10" s="20" t="s">
        <v>213</v>
      </c>
      <c r="AE10" s="20" t="s">
        <v>212</v>
      </c>
      <c r="AF10" s="20">
        <v>0</v>
      </c>
      <c r="AG10" s="20">
        <v>0</v>
      </c>
      <c r="AH10" s="20">
        <v>0</v>
      </c>
      <c r="AI10" s="20">
        <v>0</v>
      </c>
      <c r="AJ10" s="20">
        <v>0</v>
      </c>
      <c r="AK10" s="111" t="s">
        <v>609</v>
      </c>
      <c r="AL10" s="20">
        <v>0</v>
      </c>
      <c r="AM10" s="20">
        <v>0</v>
      </c>
      <c r="AN10" s="20">
        <v>0</v>
      </c>
      <c r="AO10" s="20">
        <v>0</v>
      </c>
      <c r="AP10" s="20">
        <v>0</v>
      </c>
      <c r="AR10" s="20">
        <v>0</v>
      </c>
      <c r="AS10" s="20">
        <v>0</v>
      </c>
      <c r="AT10" s="20">
        <v>1323569.5</v>
      </c>
      <c r="AU10" s="20" t="s">
        <v>13</v>
      </c>
      <c r="AV10" s="20" t="s">
        <v>24</v>
      </c>
      <c r="AW10" s="111" t="s">
        <v>79</v>
      </c>
      <c r="AX10" s="20" t="s">
        <v>208</v>
      </c>
      <c r="AY10" s="19" t="s">
        <v>209</v>
      </c>
      <c r="AZ10" s="19">
        <v>0</v>
      </c>
      <c r="BA10" s="19">
        <v>35458.43</v>
      </c>
      <c r="BB10" s="19">
        <v>741</v>
      </c>
      <c r="BC10" s="66">
        <v>46029</v>
      </c>
      <c r="BD10" s="19" t="s">
        <v>65</v>
      </c>
      <c r="BE10" s="19" t="s">
        <v>210</v>
      </c>
      <c r="BF10" s="19" t="s">
        <v>210</v>
      </c>
      <c r="BG10" s="19">
        <v>9</v>
      </c>
      <c r="BH10" s="19">
        <v>3191.26</v>
      </c>
      <c r="BI10" s="19">
        <v>9</v>
      </c>
      <c r="BJ10" s="19">
        <v>3191.26</v>
      </c>
      <c r="BK10" s="19">
        <v>0</v>
      </c>
      <c r="BL10" s="19">
        <v>0</v>
      </c>
      <c r="BM10" s="19">
        <v>0</v>
      </c>
      <c r="BN10" s="19">
        <v>642138014933</v>
      </c>
      <c r="BO10" s="66">
        <v>46204</v>
      </c>
      <c r="BP10" s="19">
        <v>0</v>
      </c>
    </row>
    <row r="11" spans="1:68">
      <c r="A11" s="65"/>
      <c r="B11" s="20" t="s">
        <v>2216</v>
      </c>
      <c r="C11" s="111">
        <v>46029</v>
      </c>
      <c r="D11" s="20" t="s">
        <v>3544</v>
      </c>
      <c r="E11" s="20" t="s">
        <v>23</v>
      </c>
      <c r="F11" s="20" t="s">
        <v>24</v>
      </c>
      <c r="H11" s="20" t="s">
        <v>2625</v>
      </c>
      <c r="I11" s="20">
        <v>30000</v>
      </c>
      <c r="J11" s="20">
        <v>1091.9000000000001</v>
      </c>
      <c r="K11" s="20" t="s">
        <v>11</v>
      </c>
      <c r="L11" s="20">
        <v>1091.9000000000001</v>
      </c>
      <c r="M11" s="20">
        <v>17643.099999999999</v>
      </c>
      <c r="N11" s="20">
        <v>1091.9000000000001</v>
      </c>
      <c r="O11" s="20" t="s">
        <v>2203</v>
      </c>
      <c r="P11" s="20" t="s">
        <v>87</v>
      </c>
      <c r="Q11" s="20" t="s">
        <v>87</v>
      </c>
      <c r="R11" s="111" t="s">
        <v>2762</v>
      </c>
      <c r="S11" s="111">
        <v>46029</v>
      </c>
      <c r="T11" s="20" t="s">
        <v>206</v>
      </c>
      <c r="U11" s="20" t="s">
        <v>207</v>
      </c>
      <c r="V11" s="20" t="s">
        <v>2761</v>
      </c>
      <c r="W11" s="20">
        <v>152.74</v>
      </c>
      <c r="X11" s="20">
        <v>152.74</v>
      </c>
      <c r="Y11" s="111" t="s">
        <v>2762</v>
      </c>
      <c r="Z11" s="111">
        <v>46029</v>
      </c>
      <c r="AB11" s="20" t="s">
        <v>212</v>
      </c>
      <c r="AD11" s="20" t="s">
        <v>213</v>
      </c>
      <c r="AE11" s="20" t="s">
        <v>212</v>
      </c>
      <c r="AF11" s="20">
        <v>0</v>
      </c>
      <c r="AG11" s="20">
        <v>0</v>
      </c>
      <c r="AH11" s="20">
        <v>0</v>
      </c>
      <c r="AI11" s="20">
        <v>0</v>
      </c>
      <c r="AJ11" s="20">
        <v>0</v>
      </c>
      <c r="AK11" s="111" t="s">
        <v>609</v>
      </c>
      <c r="AL11" s="20">
        <v>0</v>
      </c>
      <c r="AM11" s="20">
        <v>0</v>
      </c>
      <c r="AN11" s="20">
        <v>0</v>
      </c>
      <c r="AO11" s="20">
        <v>0</v>
      </c>
      <c r="AP11" s="20">
        <v>0</v>
      </c>
      <c r="AR11" s="20">
        <v>0</v>
      </c>
      <c r="AS11" s="20">
        <v>0</v>
      </c>
      <c r="AT11" s="20">
        <v>1323569.5</v>
      </c>
      <c r="AU11" s="20" t="s">
        <v>13</v>
      </c>
      <c r="AV11" s="20" t="s">
        <v>24</v>
      </c>
      <c r="AW11" s="111" t="s">
        <v>79</v>
      </c>
      <c r="AX11" s="20" t="s">
        <v>208</v>
      </c>
      <c r="AY11" s="19" t="s">
        <v>209</v>
      </c>
      <c r="AZ11" s="19">
        <v>0</v>
      </c>
      <c r="BA11" s="19">
        <v>166776.81</v>
      </c>
      <c r="BB11" s="19">
        <v>741</v>
      </c>
      <c r="BC11" s="66">
        <v>46029</v>
      </c>
      <c r="BD11" s="19" t="s">
        <v>65</v>
      </c>
      <c r="BE11" s="19" t="s">
        <v>210</v>
      </c>
      <c r="BF11" s="19" t="s">
        <v>210</v>
      </c>
      <c r="BG11" s="19">
        <v>9</v>
      </c>
      <c r="BH11" s="19">
        <v>15009.91</v>
      </c>
      <c r="BI11" s="19">
        <v>9</v>
      </c>
      <c r="BJ11" s="19">
        <v>15009.91</v>
      </c>
      <c r="BK11" s="19">
        <v>0</v>
      </c>
      <c r="BL11" s="19">
        <v>0</v>
      </c>
      <c r="BM11" s="19">
        <v>0</v>
      </c>
      <c r="BN11" s="19">
        <v>642138014933</v>
      </c>
      <c r="BO11" s="66">
        <v>46204</v>
      </c>
      <c r="BP11" s="19">
        <v>0</v>
      </c>
    </row>
    <row r="12" spans="1:68">
      <c r="A12" s="65"/>
      <c r="B12" s="20" t="s">
        <v>2216</v>
      </c>
      <c r="C12" s="111">
        <v>46029</v>
      </c>
      <c r="D12" s="20" t="s">
        <v>3544</v>
      </c>
      <c r="E12" s="20" t="s">
        <v>23</v>
      </c>
      <c r="F12" s="20" t="s">
        <v>24</v>
      </c>
      <c r="H12" s="20" t="s">
        <v>2625</v>
      </c>
      <c r="I12" s="20">
        <v>500</v>
      </c>
      <c r="J12" s="20">
        <v>9.8000000000000007</v>
      </c>
      <c r="K12" s="20" t="s">
        <v>11</v>
      </c>
      <c r="L12" s="20">
        <v>9.8000000000000007</v>
      </c>
      <c r="M12" s="20">
        <v>486.8</v>
      </c>
      <c r="N12" s="20">
        <v>9.8000000000000007</v>
      </c>
      <c r="O12" s="20" t="s">
        <v>2203</v>
      </c>
      <c r="P12" s="20" t="s">
        <v>87</v>
      </c>
      <c r="Q12" s="20" t="s">
        <v>87</v>
      </c>
      <c r="R12" s="111" t="s">
        <v>2762</v>
      </c>
      <c r="S12" s="111">
        <v>46029</v>
      </c>
      <c r="T12" s="20" t="s">
        <v>206</v>
      </c>
      <c r="U12" s="20" t="s">
        <v>207</v>
      </c>
      <c r="V12" s="20" t="s">
        <v>2761</v>
      </c>
      <c r="W12" s="20">
        <v>173.74</v>
      </c>
      <c r="X12" s="20">
        <v>173.74</v>
      </c>
      <c r="Y12" s="111" t="s">
        <v>2762</v>
      </c>
      <c r="Z12" s="111">
        <v>46029</v>
      </c>
      <c r="AB12" s="20" t="s">
        <v>212</v>
      </c>
      <c r="AD12" s="20" t="s">
        <v>213</v>
      </c>
      <c r="AE12" s="20" t="s">
        <v>212</v>
      </c>
      <c r="AF12" s="20">
        <v>0</v>
      </c>
      <c r="AG12" s="20">
        <v>0</v>
      </c>
      <c r="AH12" s="20">
        <v>0</v>
      </c>
      <c r="AI12" s="20">
        <v>0</v>
      </c>
      <c r="AJ12" s="20">
        <v>0</v>
      </c>
      <c r="AK12" s="111" t="s">
        <v>609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R12" s="20">
        <v>0</v>
      </c>
      <c r="AS12" s="20">
        <v>0</v>
      </c>
      <c r="AT12" s="20">
        <v>1323569.5</v>
      </c>
      <c r="AU12" s="20" t="s">
        <v>13</v>
      </c>
      <c r="AV12" s="20" t="s">
        <v>24</v>
      </c>
      <c r="AW12" s="111" t="s">
        <v>79</v>
      </c>
      <c r="AX12" s="20" t="s">
        <v>208</v>
      </c>
      <c r="AY12" s="19" t="s">
        <v>209</v>
      </c>
      <c r="AZ12" s="19">
        <v>0</v>
      </c>
      <c r="BA12" s="19">
        <v>1702.65</v>
      </c>
      <c r="BB12" s="19">
        <v>741</v>
      </c>
      <c r="BC12" s="66">
        <v>46029</v>
      </c>
      <c r="BD12" s="19" t="s">
        <v>65</v>
      </c>
      <c r="BE12" s="19" t="s">
        <v>210</v>
      </c>
      <c r="BF12" s="19" t="s">
        <v>210</v>
      </c>
      <c r="BG12" s="19">
        <v>9</v>
      </c>
      <c r="BH12" s="19">
        <v>153.24</v>
      </c>
      <c r="BI12" s="19">
        <v>9</v>
      </c>
      <c r="BJ12" s="19">
        <v>153.24</v>
      </c>
      <c r="BK12" s="19">
        <v>0</v>
      </c>
      <c r="BL12" s="19">
        <v>0</v>
      </c>
      <c r="BM12" s="19">
        <v>0</v>
      </c>
      <c r="BN12" s="19">
        <v>642138014933</v>
      </c>
      <c r="BO12" s="66">
        <v>46204</v>
      </c>
      <c r="BP12" s="19">
        <v>0</v>
      </c>
    </row>
    <row r="13" spans="1:68">
      <c r="A13" s="65"/>
      <c r="B13" s="20" t="s">
        <v>2216</v>
      </c>
      <c r="C13" s="111">
        <v>46060</v>
      </c>
      <c r="D13" s="20" t="s">
        <v>3546</v>
      </c>
      <c r="E13" s="20" t="s">
        <v>2519</v>
      </c>
      <c r="F13" s="20" t="s">
        <v>2117</v>
      </c>
      <c r="H13" s="20" t="s">
        <v>3547</v>
      </c>
      <c r="I13" s="20">
        <v>500</v>
      </c>
      <c r="J13" s="20">
        <v>500</v>
      </c>
      <c r="K13" s="20" t="s">
        <v>11</v>
      </c>
      <c r="L13" s="20">
        <v>500</v>
      </c>
      <c r="M13" s="20">
        <v>0</v>
      </c>
      <c r="N13" s="20">
        <v>500</v>
      </c>
      <c r="O13" s="20" t="s">
        <v>212</v>
      </c>
      <c r="P13" s="20" t="s">
        <v>87</v>
      </c>
      <c r="Q13" s="20" t="s">
        <v>87</v>
      </c>
      <c r="R13" s="111" t="s">
        <v>2766</v>
      </c>
      <c r="S13" s="111">
        <v>46029</v>
      </c>
      <c r="T13" s="20" t="s">
        <v>206</v>
      </c>
      <c r="U13" s="20" t="s">
        <v>207</v>
      </c>
      <c r="V13" s="20" t="s">
        <v>2765</v>
      </c>
      <c r="W13" s="20">
        <v>157.74</v>
      </c>
      <c r="X13" s="20">
        <v>157.74</v>
      </c>
      <c r="Y13" s="111" t="s">
        <v>2766</v>
      </c>
      <c r="Z13" s="111">
        <v>46029</v>
      </c>
      <c r="AB13" s="20" t="s">
        <v>212</v>
      </c>
      <c r="AD13" s="20" t="s">
        <v>213</v>
      </c>
      <c r="AE13" s="20" t="s">
        <v>212</v>
      </c>
      <c r="AF13" s="20">
        <v>0</v>
      </c>
      <c r="AG13" s="20">
        <v>0</v>
      </c>
      <c r="AH13" s="20">
        <v>0</v>
      </c>
      <c r="AI13" s="20">
        <v>0</v>
      </c>
      <c r="AJ13" s="20">
        <v>0</v>
      </c>
      <c r="AK13" s="111" t="s">
        <v>609</v>
      </c>
      <c r="AL13" s="20">
        <v>0</v>
      </c>
      <c r="AM13" s="20">
        <v>0</v>
      </c>
      <c r="AN13" s="20">
        <v>0</v>
      </c>
      <c r="AO13" s="20">
        <v>0</v>
      </c>
      <c r="AP13" s="20">
        <v>0</v>
      </c>
      <c r="AR13" s="20">
        <v>0</v>
      </c>
      <c r="AS13" s="20">
        <v>0</v>
      </c>
      <c r="AT13" s="20">
        <v>355750.86</v>
      </c>
      <c r="AU13" s="20" t="s">
        <v>15</v>
      </c>
      <c r="AV13" s="20" t="s">
        <v>2117</v>
      </c>
      <c r="AW13" s="111" t="s">
        <v>2117</v>
      </c>
      <c r="AX13" s="20" t="s">
        <v>208</v>
      </c>
      <c r="AY13" s="19" t="s">
        <v>209</v>
      </c>
      <c r="AZ13" s="19">
        <v>0</v>
      </c>
      <c r="BA13" s="19">
        <v>78870</v>
      </c>
      <c r="BB13" s="19">
        <v>749</v>
      </c>
      <c r="BC13" s="66">
        <v>46060</v>
      </c>
      <c r="BD13" s="19" t="s">
        <v>65</v>
      </c>
      <c r="BE13" s="19" t="s">
        <v>210</v>
      </c>
      <c r="BF13" s="19" t="s">
        <v>210</v>
      </c>
      <c r="BG13" s="19">
        <v>9</v>
      </c>
      <c r="BH13" s="19">
        <v>7098.3</v>
      </c>
      <c r="BI13" s="19">
        <v>9</v>
      </c>
      <c r="BJ13" s="19">
        <v>7098.3</v>
      </c>
      <c r="BK13" s="19">
        <v>0</v>
      </c>
      <c r="BL13" s="19">
        <v>0</v>
      </c>
      <c r="BM13" s="19">
        <v>355750.86</v>
      </c>
      <c r="BN13" s="19">
        <v>652138107489</v>
      </c>
      <c r="BO13" s="66">
        <v>46204</v>
      </c>
      <c r="BP13" s="19">
        <v>0</v>
      </c>
    </row>
    <row r="14" spans="1:68">
      <c r="A14" s="65"/>
      <c r="B14" s="20" t="s">
        <v>2216</v>
      </c>
      <c r="C14" s="111">
        <v>46060</v>
      </c>
      <c r="D14" s="20" t="s">
        <v>3546</v>
      </c>
      <c r="E14" s="20" t="s">
        <v>2519</v>
      </c>
      <c r="F14" s="20" t="s">
        <v>2117</v>
      </c>
      <c r="H14" s="20" t="s">
        <v>3547</v>
      </c>
      <c r="I14" s="20">
        <v>594</v>
      </c>
      <c r="J14" s="20">
        <v>594</v>
      </c>
      <c r="K14" s="20" t="s">
        <v>11</v>
      </c>
      <c r="L14" s="20">
        <v>594</v>
      </c>
      <c r="M14" s="20">
        <v>0</v>
      </c>
      <c r="N14" s="20">
        <v>594</v>
      </c>
      <c r="O14" s="20" t="s">
        <v>212</v>
      </c>
      <c r="P14" s="20" t="s">
        <v>87</v>
      </c>
      <c r="Q14" s="20" t="s">
        <v>87</v>
      </c>
      <c r="R14" s="111" t="s">
        <v>2766</v>
      </c>
      <c r="S14" s="111">
        <v>46029</v>
      </c>
      <c r="T14" s="20" t="s">
        <v>206</v>
      </c>
      <c r="U14" s="20" t="s">
        <v>207</v>
      </c>
      <c r="V14" s="20" t="s">
        <v>2765</v>
      </c>
      <c r="W14" s="20">
        <v>159.74</v>
      </c>
      <c r="X14" s="20">
        <v>159.74</v>
      </c>
      <c r="Y14" s="111" t="s">
        <v>2766</v>
      </c>
      <c r="Z14" s="111">
        <v>46029</v>
      </c>
      <c r="AB14" s="20" t="s">
        <v>212</v>
      </c>
      <c r="AD14" s="20" t="s">
        <v>213</v>
      </c>
      <c r="AE14" s="20" t="s">
        <v>212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111" t="s">
        <v>609</v>
      </c>
      <c r="AL14" s="20">
        <v>0</v>
      </c>
      <c r="AM14" s="20">
        <v>0</v>
      </c>
      <c r="AN14" s="20">
        <v>0</v>
      </c>
      <c r="AO14" s="20">
        <v>0</v>
      </c>
      <c r="AP14" s="20">
        <v>0</v>
      </c>
      <c r="AR14" s="20">
        <v>0</v>
      </c>
      <c r="AS14" s="20">
        <v>0</v>
      </c>
      <c r="AT14" s="20">
        <v>355750.86</v>
      </c>
      <c r="AU14" s="20" t="s">
        <v>15</v>
      </c>
      <c r="AV14" s="20" t="s">
        <v>2117</v>
      </c>
      <c r="AW14" s="111" t="s">
        <v>2117</v>
      </c>
      <c r="AX14" s="20" t="s">
        <v>208</v>
      </c>
      <c r="AY14" s="19" t="s">
        <v>209</v>
      </c>
      <c r="AZ14" s="19">
        <v>0</v>
      </c>
      <c r="BA14" s="19">
        <v>94885.56</v>
      </c>
      <c r="BB14" s="19">
        <v>749</v>
      </c>
      <c r="BC14" s="66">
        <v>46060</v>
      </c>
      <c r="BD14" s="19" t="s">
        <v>65</v>
      </c>
      <c r="BE14" s="19" t="s">
        <v>210</v>
      </c>
      <c r="BF14" s="19" t="s">
        <v>210</v>
      </c>
      <c r="BG14" s="19">
        <v>9</v>
      </c>
      <c r="BH14" s="19">
        <v>8539.7000000000007</v>
      </c>
      <c r="BI14" s="19">
        <v>9</v>
      </c>
      <c r="BJ14" s="19">
        <v>8539.7000000000007</v>
      </c>
      <c r="BK14" s="19">
        <v>0</v>
      </c>
      <c r="BL14" s="19">
        <v>0</v>
      </c>
      <c r="BM14" s="19">
        <v>0</v>
      </c>
      <c r="BN14" s="19">
        <v>652138107489</v>
      </c>
      <c r="BO14" s="66">
        <v>46204</v>
      </c>
      <c r="BP14" s="19">
        <v>0</v>
      </c>
    </row>
    <row r="15" spans="1:68">
      <c r="A15" s="65"/>
      <c r="B15" s="20" t="s">
        <v>2216</v>
      </c>
      <c r="C15" s="111">
        <v>46060</v>
      </c>
      <c r="D15" s="20" t="s">
        <v>3546</v>
      </c>
      <c r="E15" s="20" t="s">
        <v>18</v>
      </c>
      <c r="F15" s="20" t="s">
        <v>19</v>
      </c>
      <c r="H15" s="20" t="s">
        <v>2625</v>
      </c>
      <c r="I15" s="20">
        <v>70000</v>
      </c>
      <c r="J15" s="20">
        <v>491</v>
      </c>
      <c r="K15" s="20" t="s">
        <v>11</v>
      </c>
      <c r="L15" s="20">
        <v>491</v>
      </c>
      <c r="M15" s="20">
        <v>45612</v>
      </c>
      <c r="N15" s="20">
        <v>491</v>
      </c>
      <c r="O15" s="20" t="s">
        <v>212</v>
      </c>
      <c r="P15" s="20" t="s">
        <v>87</v>
      </c>
      <c r="Q15" s="20" t="s">
        <v>87</v>
      </c>
      <c r="R15" s="111" t="s">
        <v>2766</v>
      </c>
      <c r="S15" s="111">
        <v>46029</v>
      </c>
      <c r="T15" s="20" t="s">
        <v>206</v>
      </c>
      <c r="U15" s="20" t="s">
        <v>207</v>
      </c>
      <c r="V15" s="20" t="s">
        <v>2765</v>
      </c>
      <c r="W15" s="20">
        <v>149.74</v>
      </c>
      <c r="X15" s="20">
        <v>149.74</v>
      </c>
      <c r="Y15" s="111" t="s">
        <v>2766</v>
      </c>
      <c r="Z15" s="111">
        <v>46029</v>
      </c>
      <c r="AB15" s="20" t="s">
        <v>212</v>
      </c>
      <c r="AD15" s="20" t="s">
        <v>213</v>
      </c>
      <c r="AE15" s="20" t="s">
        <v>212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111" t="s">
        <v>609</v>
      </c>
      <c r="AL15" s="20">
        <v>0</v>
      </c>
      <c r="AM15" s="20">
        <v>0</v>
      </c>
      <c r="AN15" s="20">
        <v>0</v>
      </c>
      <c r="AO15" s="20">
        <v>0</v>
      </c>
      <c r="AP15" s="20">
        <v>0</v>
      </c>
      <c r="AR15" s="20">
        <v>0</v>
      </c>
      <c r="AS15" s="20">
        <v>0</v>
      </c>
      <c r="AT15" s="20">
        <v>355750.86</v>
      </c>
      <c r="AU15" s="20" t="s">
        <v>13</v>
      </c>
      <c r="AV15" s="20" t="s">
        <v>62</v>
      </c>
      <c r="AW15" s="111" t="s">
        <v>63</v>
      </c>
      <c r="AX15" s="20" t="s">
        <v>208</v>
      </c>
      <c r="AY15" s="19" t="s">
        <v>209</v>
      </c>
      <c r="AZ15" s="19">
        <v>0</v>
      </c>
      <c r="BA15" s="19">
        <v>73522.34</v>
      </c>
      <c r="BB15" s="19">
        <v>749</v>
      </c>
      <c r="BC15" s="66">
        <v>46060</v>
      </c>
      <c r="BD15" s="19" t="s">
        <v>65</v>
      </c>
      <c r="BE15" s="19" t="s">
        <v>210</v>
      </c>
      <c r="BF15" s="19" t="s">
        <v>210</v>
      </c>
      <c r="BG15" s="19">
        <v>9</v>
      </c>
      <c r="BH15" s="19">
        <v>6617.01</v>
      </c>
      <c r="BI15" s="19">
        <v>9</v>
      </c>
      <c r="BJ15" s="19">
        <v>6617.01</v>
      </c>
      <c r="BK15" s="19">
        <v>0</v>
      </c>
      <c r="BL15" s="19">
        <v>0</v>
      </c>
      <c r="BM15" s="19">
        <v>0</v>
      </c>
      <c r="BN15" s="19">
        <v>652138107489</v>
      </c>
      <c r="BO15" s="66">
        <v>46204</v>
      </c>
      <c r="BP15" s="19">
        <v>0</v>
      </c>
    </row>
    <row r="16" spans="1:68">
      <c r="A16" s="65"/>
      <c r="B16" s="20" t="s">
        <v>2216</v>
      </c>
      <c r="C16" s="111">
        <v>46060</v>
      </c>
      <c r="D16" s="20" t="s">
        <v>3546</v>
      </c>
      <c r="E16" s="20" t="s">
        <v>20</v>
      </c>
      <c r="F16" s="20" t="s">
        <v>21</v>
      </c>
      <c r="H16" s="20" t="s">
        <v>2625</v>
      </c>
      <c r="I16" s="20">
        <v>10000</v>
      </c>
      <c r="J16" s="20">
        <v>362</v>
      </c>
      <c r="K16" s="20" t="s">
        <v>11</v>
      </c>
      <c r="L16" s="20">
        <v>362</v>
      </c>
      <c r="M16" s="20">
        <v>8144</v>
      </c>
      <c r="N16" s="20">
        <v>362</v>
      </c>
      <c r="O16" s="20" t="s">
        <v>212</v>
      </c>
      <c r="P16" s="20" t="s">
        <v>87</v>
      </c>
      <c r="Q16" s="20" t="s">
        <v>87</v>
      </c>
      <c r="R16" s="111" t="s">
        <v>2766</v>
      </c>
      <c r="S16" s="111">
        <v>46029</v>
      </c>
      <c r="T16" s="20" t="s">
        <v>206</v>
      </c>
      <c r="U16" s="20" t="s">
        <v>207</v>
      </c>
      <c r="V16" s="20" t="s">
        <v>2765</v>
      </c>
      <c r="W16" s="20">
        <v>149.74</v>
      </c>
      <c r="X16" s="20">
        <v>149.74</v>
      </c>
      <c r="Y16" s="111" t="s">
        <v>2766</v>
      </c>
      <c r="Z16" s="111">
        <v>46029</v>
      </c>
      <c r="AB16" s="20" t="s">
        <v>212</v>
      </c>
      <c r="AD16" s="20" t="s">
        <v>213</v>
      </c>
      <c r="AE16" s="20" t="s">
        <v>212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111" t="s">
        <v>609</v>
      </c>
      <c r="AL16" s="20">
        <v>0</v>
      </c>
      <c r="AM16" s="20">
        <v>0</v>
      </c>
      <c r="AN16" s="20">
        <v>0</v>
      </c>
      <c r="AO16" s="20">
        <v>0</v>
      </c>
      <c r="AP16" s="20">
        <v>0</v>
      </c>
      <c r="AR16" s="20">
        <v>0</v>
      </c>
      <c r="AS16" s="20">
        <v>0</v>
      </c>
      <c r="AT16" s="20">
        <v>355750.86</v>
      </c>
      <c r="AU16" s="20" t="s">
        <v>13</v>
      </c>
      <c r="AV16" s="20" t="s">
        <v>62</v>
      </c>
      <c r="AW16" s="111" t="s">
        <v>76</v>
      </c>
      <c r="AX16" s="20" t="s">
        <v>208</v>
      </c>
      <c r="AY16" s="19" t="s">
        <v>209</v>
      </c>
      <c r="AZ16" s="19">
        <v>0</v>
      </c>
      <c r="BA16" s="19">
        <v>54205.88</v>
      </c>
      <c r="BB16" s="19">
        <v>749</v>
      </c>
      <c r="BC16" s="66">
        <v>46060</v>
      </c>
      <c r="BD16" s="19" t="s">
        <v>65</v>
      </c>
      <c r="BE16" s="19" t="s">
        <v>210</v>
      </c>
      <c r="BF16" s="19" t="s">
        <v>210</v>
      </c>
      <c r="BG16" s="19">
        <v>9</v>
      </c>
      <c r="BH16" s="19">
        <v>4878.53</v>
      </c>
      <c r="BI16" s="19">
        <v>9</v>
      </c>
      <c r="BJ16" s="19">
        <v>4878.53</v>
      </c>
      <c r="BK16" s="19">
        <v>0</v>
      </c>
      <c r="BL16" s="19">
        <v>0</v>
      </c>
      <c r="BM16" s="19">
        <v>0</v>
      </c>
      <c r="BN16" s="19">
        <v>652138107489</v>
      </c>
      <c r="BO16" s="66">
        <v>46204</v>
      </c>
      <c r="BP16" s="19">
        <v>0</v>
      </c>
    </row>
    <row r="17" spans="1:68">
      <c r="A17" s="65"/>
      <c r="B17" s="20" t="s">
        <v>2216</v>
      </c>
      <c r="C17" s="111">
        <v>46060</v>
      </c>
      <c r="D17" s="20" t="s">
        <v>3548</v>
      </c>
      <c r="E17" s="20" t="s">
        <v>20</v>
      </c>
      <c r="F17" s="20" t="s">
        <v>21</v>
      </c>
      <c r="H17" s="20" t="s">
        <v>3549</v>
      </c>
      <c r="I17" s="20">
        <v>1268</v>
      </c>
      <c r="J17" s="20">
        <v>1268</v>
      </c>
      <c r="K17" s="20" t="s">
        <v>11</v>
      </c>
      <c r="L17" s="20">
        <v>1268</v>
      </c>
      <c r="M17" s="20">
        <v>0</v>
      </c>
      <c r="N17" s="20">
        <v>1268</v>
      </c>
      <c r="O17" s="20" t="s">
        <v>2201</v>
      </c>
      <c r="P17" s="20" t="s">
        <v>87</v>
      </c>
      <c r="Q17" s="20" t="s">
        <v>87</v>
      </c>
      <c r="R17" s="111" t="s">
        <v>2768</v>
      </c>
      <c r="S17" s="111">
        <v>46060</v>
      </c>
      <c r="T17" s="20" t="s">
        <v>206</v>
      </c>
      <c r="U17" s="20" t="s">
        <v>207</v>
      </c>
      <c r="V17" s="20" t="s">
        <v>2767</v>
      </c>
      <c r="W17" s="20">
        <v>154.74</v>
      </c>
      <c r="X17" s="20">
        <v>154.74</v>
      </c>
      <c r="Y17" s="111" t="s">
        <v>2768</v>
      </c>
      <c r="Z17" s="111">
        <v>46060</v>
      </c>
      <c r="AB17" s="20" t="s">
        <v>212</v>
      </c>
      <c r="AD17" s="20" t="s">
        <v>213</v>
      </c>
      <c r="AE17" s="20" t="s">
        <v>212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111" t="s">
        <v>609</v>
      </c>
      <c r="AL17" s="20">
        <v>0</v>
      </c>
      <c r="AM17" s="20">
        <v>0</v>
      </c>
      <c r="AN17" s="20">
        <v>0</v>
      </c>
      <c r="AO17" s="20">
        <v>0</v>
      </c>
      <c r="AP17" s="20">
        <v>0</v>
      </c>
      <c r="AR17" s="20">
        <v>0</v>
      </c>
      <c r="AS17" s="20">
        <v>0</v>
      </c>
      <c r="AT17" s="20">
        <v>1682386.71</v>
      </c>
      <c r="AU17" s="20" t="s">
        <v>13</v>
      </c>
      <c r="AV17" s="20" t="s">
        <v>62</v>
      </c>
      <c r="AW17" s="111" t="s">
        <v>76</v>
      </c>
      <c r="AX17" s="20" t="s">
        <v>208</v>
      </c>
      <c r="AY17" s="19" t="s">
        <v>209</v>
      </c>
      <c r="AZ17" s="19">
        <v>0</v>
      </c>
      <c r="BA17" s="19">
        <v>196210.32</v>
      </c>
      <c r="BB17" s="19">
        <v>750</v>
      </c>
      <c r="BC17" s="66">
        <v>46060</v>
      </c>
      <c r="BD17" s="19" t="s">
        <v>65</v>
      </c>
      <c r="BE17" s="19" t="s">
        <v>210</v>
      </c>
      <c r="BF17" s="19" t="s">
        <v>210</v>
      </c>
      <c r="BG17" s="19">
        <v>9</v>
      </c>
      <c r="BH17" s="19">
        <v>17658.93</v>
      </c>
      <c r="BI17" s="19">
        <v>9</v>
      </c>
      <c r="BJ17" s="19">
        <v>17658.93</v>
      </c>
      <c r="BK17" s="19">
        <v>0</v>
      </c>
      <c r="BL17" s="19">
        <v>0</v>
      </c>
      <c r="BM17" s="19">
        <v>1682386.71</v>
      </c>
      <c r="BN17" s="19">
        <v>638010091231</v>
      </c>
      <c r="BO17" s="66">
        <v>46205</v>
      </c>
      <c r="BP17" s="19">
        <v>0</v>
      </c>
    </row>
    <row r="18" spans="1:68">
      <c r="A18" s="65"/>
      <c r="B18" s="20" t="s">
        <v>2216</v>
      </c>
      <c r="C18" s="111">
        <v>46060</v>
      </c>
      <c r="D18" s="20" t="s">
        <v>3548</v>
      </c>
      <c r="E18" s="20" t="s">
        <v>20</v>
      </c>
      <c r="F18" s="20" t="s">
        <v>21</v>
      </c>
      <c r="H18" s="20" t="s">
        <v>2625</v>
      </c>
      <c r="I18" s="20">
        <v>10000</v>
      </c>
      <c r="J18" s="20">
        <v>341</v>
      </c>
      <c r="K18" s="20" t="s">
        <v>11</v>
      </c>
      <c r="L18" s="20">
        <v>341</v>
      </c>
      <c r="M18" s="20">
        <v>9659</v>
      </c>
      <c r="N18" s="20">
        <v>341</v>
      </c>
      <c r="O18" s="20" t="s">
        <v>2201</v>
      </c>
      <c r="P18" s="20" t="s">
        <v>87</v>
      </c>
      <c r="Q18" s="20" t="s">
        <v>87</v>
      </c>
      <c r="R18" s="111" t="s">
        <v>2768</v>
      </c>
      <c r="S18" s="111">
        <v>46060</v>
      </c>
      <c r="T18" s="20" t="s">
        <v>206</v>
      </c>
      <c r="U18" s="20" t="s">
        <v>207</v>
      </c>
      <c r="V18" s="20" t="s">
        <v>2767</v>
      </c>
      <c r="W18" s="20">
        <v>151.74</v>
      </c>
      <c r="X18" s="20">
        <v>151.74</v>
      </c>
      <c r="Y18" s="111" t="s">
        <v>2768</v>
      </c>
      <c r="Z18" s="111">
        <v>46060</v>
      </c>
      <c r="AB18" s="20" t="s">
        <v>212</v>
      </c>
      <c r="AD18" s="20" t="s">
        <v>213</v>
      </c>
      <c r="AE18" s="20" t="s">
        <v>212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111" t="s">
        <v>609</v>
      </c>
      <c r="AL18" s="20">
        <v>0</v>
      </c>
      <c r="AM18" s="20">
        <v>0</v>
      </c>
      <c r="AN18" s="20">
        <v>0</v>
      </c>
      <c r="AO18" s="20">
        <v>0</v>
      </c>
      <c r="AP18" s="20">
        <v>0</v>
      </c>
      <c r="AR18" s="20">
        <v>0</v>
      </c>
      <c r="AS18" s="20">
        <v>0</v>
      </c>
      <c r="AT18" s="20">
        <v>1682386.71</v>
      </c>
      <c r="AU18" s="20" t="s">
        <v>13</v>
      </c>
      <c r="AV18" s="20" t="s">
        <v>62</v>
      </c>
      <c r="AW18" s="111" t="s">
        <v>76</v>
      </c>
      <c r="AX18" s="20" t="s">
        <v>208</v>
      </c>
      <c r="AY18" s="19" t="s">
        <v>209</v>
      </c>
      <c r="AZ18" s="19">
        <v>0</v>
      </c>
      <c r="BA18" s="19">
        <v>51743.34</v>
      </c>
      <c r="BB18" s="19">
        <v>750</v>
      </c>
      <c r="BC18" s="66">
        <v>46060</v>
      </c>
      <c r="BD18" s="19" t="s">
        <v>65</v>
      </c>
      <c r="BE18" s="19" t="s">
        <v>210</v>
      </c>
      <c r="BF18" s="19" t="s">
        <v>210</v>
      </c>
      <c r="BG18" s="19">
        <v>9</v>
      </c>
      <c r="BH18" s="19">
        <v>4656.8999999999996</v>
      </c>
      <c r="BI18" s="19">
        <v>9</v>
      </c>
      <c r="BJ18" s="19">
        <v>4656.8999999999996</v>
      </c>
      <c r="BK18" s="19">
        <v>0</v>
      </c>
      <c r="BL18" s="19">
        <v>0</v>
      </c>
      <c r="BM18" s="19">
        <v>0</v>
      </c>
      <c r="BN18" s="19">
        <v>638010091231</v>
      </c>
      <c r="BO18" s="66">
        <v>46205</v>
      </c>
      <c r="BP18" s="19">
        <v>0</v>
      </c>
    </row>
    <row r="19" spans="1:68">
      <c r="A19" s="65"/>
      <c r="B19" s="20" t="s">
        <v>2216</v>
      </c>
      <c r="C19" s="111">
        <v>46060</v>
      </c>
      <c r="D19" s="20" t="s">
        <v>3548</v>
      </c>
      <c r="E19" s="20" t="s">
        <v>20</v>
      </c>
      <c r="F19" s="20" t="s">
        <v>21</v>
      </c>
      <c r="H19" s="20" t="s">
        <v>2625</v>
      </c>
      <c r="I19" s="20">
        <v>8000</v>
      </c>
      <c r="J19" s="20">
        <v>320</v>
      </c>
      <c r="K19" s="20" t="s">
        <v>11</v>
      </c>
      <c r="L19" s="20">
        <v>320</v>
      </c>
      <c r="M19" s="20">
        <v>4338</v>
      </c>
      <c r="N19" s="20">
        <v>320</v>
      </c>
      <c r="O19" s="20" t="s">
        <v>2201</v>
      </c>
      <c r="P19" s="20" t="s">
        <v>87</v>
      </c>
      <c r="Q19" s="20" t="s">
        <v>87</v>
      </c>
      <c r="R19" s="111" t="s">
        <v>2768</v>
      </c>
      <c r="S19" s="111">
        <v>46060</v>
      </c>
      <c r="T19" s="20" t="s">
        <v>206</v>
      </c>
      <c r="U19" s="20" t="s">
        <v>207</v>
      </c>
      <c r="V19" s="20" t="s">
        <v>2767</v>
      </c>
      <c r="W19" s="20">
        <v>154.74</v>
      </c>
      <c r="X19" s="20">
        <v>154.74</v>
      </c>
      <c r="Y19" s="111" t="s">
        <v>2768</v>
      </c>
      <c r="Z19" s="111">
        <v>46060</v>
      </c>
      <c r="AB19" s="20" t="s">
        <v>212</v>
      </c>
      <c r="AD19" s="20" t="s">
        <v>213</v>
      </c>
      <c r="AE19" s="20" t="s">
        <v>212</v>
      </c>
      <c r="AF19" s="20">
        <v>0</v>
      </c>
      <c r="AG19" s="20">
        <v>0</v>
      </c>
      <c r="AH19" s="20">
        <v>0</v>
      </c>
      <c r="AI19" s="20">
        <v>0</v>
      </c>
      <c r="AJ19" s="20">
        <v>0</v>
      </c>
      <c r="AK19" s="111" t="s">
        <v>609</v>
      </c>
      <c r="AL19" s="20">
        <v>0</v>
      </c>
      <c r="AM19" s="20">
        <v>0</v>
      </c>
      <c r="AN19" s="20">
        <v>0</v>
      </c>
      <c r="AO19" s="20">
        <v>0</v>
      </c>
      <c r="AP19" s="20">
        <v>0</v>
      </c>
      <c r="AR19" s="20">
        <v>0</v>
      </c>
      <c r="AS19" s="20">
        <v>0</v>
      </c>
      <c r="AT19" s="20">
        <v>1682386.71</v>
      </c>
      <c r="AU19" s="20" t="s">
        <v>13</v>
      </c>
      <c r="AV19" s="20" t="s">
        <v>62</v>
      </c>
      <c r="AW19" s="111" t="s">
        <v>76</v>
      </c>
      <c r="AX19" s="20" t="s">
        <v>208</v>
      </c>
      <c r="AY19" s="19" t="s">
        <v>209</v>
      </c>
      <c r="AZ19" s="19">
        <v>0</v>
      </c>
      <c r="BA19" s="19">
        <v>49516.800000000003</v>
      </c>
      <c r="BB19" s="19">
        <v>750</v>
      </c>
      <c r="BC19" s="66">
        <v>46060</v>
      </c>
      <c r="BD19" s="19" t="s">
        <v>65</v>
      </c>
      <c r="BE19" s="19" t="s">
        <v>210</v>
      </c>
      <c r="BF19" s="19" t="s">
        <v>210</v>
      </c>
      <c r="BG19" s="19">
        <v>9</v>
      </c>
      <c r="BH19" s="19">
        <v>4456.51</v>
      </c>
      <c r="BI19" s="19">
        <v>9</v>
      </c>
      <c r="BJ19" s="19">
        <v>4456.51</v>
      </c>
      <c r="BK19" s="19">
        <v>0</v>
      </c>
      <c r="BL19" s="19">
        <v>0</v>
      </c>
      <c r="BM19" s="19">
        <v>0</v>
      </c>
      <c r="BN19" s="19">
        <v>638010091231</v>
      </c>
      <c r="BO19" s="66">
        <v>46205</v>
      </c>
      <c r="BP19" s="19">
        <v>0</v>
      </c>
    </row>
    <row r="20" spans="1:68">
      <c r="A20" s="65"/>
      <c r="B20" s="20" t="s">
        <v>2216</v>
      </c>
      <c r="C20" s="111">
        <v>46060</v>
      </c>
      <c r="D20" s="20" t="s">
        <v>3548</v>
      </c>
      <c r="E20" s="20" t="s">
        <v>20</v>
      </c>
      <c r="F20" s="20" t="s">
        <v>21</v>
      </c>
      <c r="H20" s="20" t="s">
        <v>2625</v>
      </c>
      <c r="I20" s="20">
        <v>10000</v>
      </c>
      <c r="J20" s="20">
        <v>215</v>
      </c>
      <c r="K20" s="20" t="s">
        <v>11</v>
      </c>
      <c r="L20" s="20">
        <v>215</v>
      </c>
      <c r="M20" s="20">
        <v>7929</v>
      </c>
      <c r="N20" s="20">
        <v>215</v>
      </c>
      <c r="O20" s="20" t="s">
        <v>2201</v>
      </c>
      <c r="P20" s="20" t="s">
        <v>87</v>
      </c>
      <c r="Q20" s="20" t="s">
        <v>87</v>
      </c>
      <c r="R20" s="111" t="s">
        <v>2768</v>
      </c>
      <c r="S20" s="111">
        <v>46060</v>
      </c>
      <c r="T20" s="20" t="s">
        <v>206</v>
      </c>
      <c r="U20" s="20" t="s">
        <v>207</v>
      </c>
      <c r="V20" s="20" t="s">
        <v>2767</v>
      </c>
      <c r="W20" s="20">
        <v>149.74</v>
      </c>
      <c r="X20" s="20">
        <v>149.74</v>
      </c>
      <c r="Y20" s="111" t="s">
        <v>2768</v>
      </c>
      <c r="Z20" s="111">
        <v>46060</v>
      </c>
      <c r="AB20" s="20" t="s">
        <v>212</v>
      </c>
      <c r="AD20" s="20" t="s">
        <v>213</v>
      </c>
      <c r="AE20" s="20" t="s">
        <v>212</v>
      </c>
      <c r="AF20" s="20">
        <v>0</v>
      </c>
      <c r="AG20" s="20">
        <v>0</v>
      </c>
      <c r="AH20" s="20">
        <v>0</v>
      </c>
      <c r="AI20" s="20">
        <v>0</v>
      </c>
      <c r="AJ20" s="20">
        <v>0</v>
      </c>
      <c r="AK20" s="111" t="s">
        <v>609</v>
      </c>
      <c r="AL20" s="20">
        <v>0</v>
      </c>
      <c r="AM20" s="20">
        <v>0</v>
      </c>
      <c r="AN20" s="20">
        <v>0</v>
      </c>
      <c r="AO20" s="20">
        <v>0</v>
      </c>
      <c r="AP20" s="20">
        <v>0</v>
      </c>
      <c r="AR20" s="20">
        <v>0</v>
      </c>
      <c r="AS20" s="20">
        <v>0</v>
      </c>
      <c r="AT20" s="20">
        <v>1682386.71</v>
      </c>
      <c r="AU20" s="20" t="s">
        <v>13</v>
      </c>
      <c r="AV20" s="20" t="s">
        <v>62</v>
      </c>
      <c r="AW20" s="111" t="s">
        <v>76</v>
      </c>
      <c r="AX20" s="20" t="s">
        <v>208</v>
      </c>
      <c r="AY20" s="19" t="s">
        <v>209</v>
      </c>
      <c r="AZ20" s="19">
        <v>0</v>
      </c>
      <c r="BA20" s="19">
        <v>32194.1</v>
      </c>
      <c r="BB20" s="19">
        <v>750</v>
      </c>
      <c r="BC20" s="66">
        <v>46060</v>
      </c>
      <c r="BD20" s="19" t="s">
        <v>65</v>
      </c>
      <c r="BE20" s="19" t="s">
        <v>210</v>
      </c>
      <c r="BF20" s="19" t="s">
        <v>210</v>
      </c>
      <c r="BG20" s="19">
        <v>9</v>
      </c>
      <c r="BH20" s="19">
        <v>2897.47</v>
      </c>
      <c r="BI20" s="19">
        <v>9</v>
      </c>
      <c r="BJ20" s="19">
        <v>2897.47</v>
      </c>
      <c r="BK20" s="19">
        <v>0</v>
      </c>
      <c r="BL20" s="19">
        <v>0</v>
      </c>
      <c r="BM20" s="19">
        <v>0</v>
      </c>
      <c r="BN20" s="19">
        <v>638010091231</v>
      </c>
      <c r="BO20" s="66">
        <v>46205</v>
      </c>
      <c r="BP20" s="19">
        <v>0</v>
      </c>
    </row>
    <row r="21" spans="1:68">
      <c r="A21" s="65"/>
      <c r="B21" s="20" t="s">
        <v>2216</v>
      </c>
      <c r="C21" s="111">
        <v>46060</v>
      </c>
      <c r="D21" s="20" t="s">
        <v>3548</v>
      </c>
      <c r="E21" s="20" t="s">
        <v>18</v>
      </c>
      <c r="F21" s="20" t="s">
        <v>19</v>
      </c>
      <c r="H21" s="20" t="s">
        <v>2625</v>
      </c>
      <c r="I21" s="20">
        <v>70000</v>
      </c>
      <c r="J21" s="20">
        <v>3266</v>
      </c>
      <c r="K21" s="20" t="s">
        <v>11</v>
      </c>
      <c r="L21" s="20">
        <v>3266</v>
      </c>
      <c r="M21" s="20">
        <v>42346</v>
      </c>
      <c r="N21" s="20">
        <v>3266</v>
      </c>
      <c r="O21" s="20" t="s">
        <v>2201</v>
      </c>
      <c r="P21" s="20" t="s">
        <v>87</v>
      </c>
      <c r="Q21" s="20" t="s">
        <v>87</v>
      </c>
      <c r="R21" s="111" t="s">
        <v>2768</v>
      </c>
      <c r="S21" s="111">
        <v>46060</v>
      </c>
      <c r="T21" s="20" t="s">
        <v>206</v>
      </c>
      <c r="U21" s="20" t="s">
        <v>207</v>
      </c>
      <c r="V21" s="20" t="s">
        <v>2767</v>
      </c>
      <c r="W21" s="20">
        <v>149.74</v>
      </c>
      <c r="X21" s="20">
        <v>149.74</v>
      </c>
      <c r="Y21" s="111" t="s">
        <v>2768</v>
      </c>
      <c r="Z21" s="111">
        <v>46060</v>
      </c>
      <c r="AB21" s="20" t="s">
        <v>212</v>
      </c>
      <c r="AD21" s="20" t="s">
        <v>213</v>
      </c>
      <c r="AE21" s="20" t="s">
        <v>212</v>
      </c>
      <c r="AF21" s="20">
        <v>0</v>
      </c>
      <c r="AG21" s="20">
        <v>0</v>
      </c>
      <c r="AH21" s="20">
        <v>0</v>
      </c>
      <c r="AI21" s="20">
        <v>0</v>
      </c>
      <c r="AJ21" s="20">
        <v>0</v>
      </c>
      <c r="AK21" s="111" t="s">
        <v>609</v>
      </c>
      <c r="AL21" s="20">
        <v>0</v>
      </c>
      <c r="AM21" s="20">
        <v>0</v>
      </c>
      <c r="AN21" s="20">
        <v>0</v>
      </c>
      <c r="AO21" s="20">
        <v>0</v>
      </c>
      <c r="AP21" s="20">
        <v>0</v>
      </c>
      <c r="AR21" s="20">
        <v>0</v>
      </c>
      <c r="AS21" s="20">
        <v>0</v>
      </c>
      <c r="AT21" s="20">
        <v>1682386.71</v>
      </c>
      <c r="AU21" s="20" t="s">
        <v>13</v>
      </c>
      <c r="AV21" s="20" t="s">
        <v>62</v>
      </c>
      <c r="AW21" s="111" t="s">
        <v>63</v>
      </c>
      <c r="AX21" s="20" t="s">
        <v>208</v>
      </c>
      <c r="AY21" s="19" t="s">
        <v>209</v>
      </c>
      <c r="AZ21" s="19">
        <v>0</v>
      </c>
      <c r="BA21" s="19">
        <v>489050.84</v>
      </c>
      <c r="BB21" s="19">
        <v>750</v>
      </c>
      <c r="BC21" s="66">
        <v>46060</v>
      </c>
      <c r="BD21" s="19" t="s">
        <v>65</v>
      </c>
      <c r="BE21" s="19" t="s">
        <v>210</v>
      </c>
      <c r="BF21" s="19" t="s">
        <v>210</v>
      </c>
      <c r="BG21" s="19">
        <v>9</v>
      </c>
      <c r="BH21" s="19">
        <v>44014.58</v>
      </c>
      <c r="BI21" s="19">
        <v>9</v>
      </c>
      <c r="BJ21" s="19">
        <v>44014.58</v>
      </c>
      <c r="BK21" s="19">
        <v>0</v>
      </c>
      <c r="BL21" s="19">
        <v>0</v>
      </c>
      <c r="BM21" s="19">
        <v>0</v>
      </c>
      <c r="BN21" s="19">
        <v>638010091231</v>
      </c>
      <c r="BO21" s="66">
        <v>46205</v>
      </c>
      <c r="BP21" s="19">
        <v>0</v>
      </c>
    </row>
    <row r="22" spans="1:68">
      <c r="A22" s="65"/>
      <c r="B22" s="20" t="s">
        <v>2216</v>
      </c>
      <c r="C22" s="111">
        <v>46060</v>
      </c>
      <c r="D22" s="20" t="s">
        <v>3548</v>
      </c>
      <c r="E22" s="20" t="s">
        <v>18</v>
      </c>
      <c r="F22" s="20" t="s">
        <v>19</v>
      </c>
      <c r="H22" s="20" t="s">
        <v>2625</v>
      </c>
      <c r="I22" s="20">
        <v>150000</v>
      </c>
      <c r="J22" s="20">
        <v>3302</v>
      </c>
      <c r="K22" s="20" t="s">
        <v>11</v>
      </c>
      <c r="L22" s="20">
        <v>3302</v>
      </c>
      <c r="M22" s="20">
        <v>89174</v>
      </c>
      <c r="N22" s="20">
        <v>3302</v>
      </c>
      <c r="O22" s="20" t="s">
        <v>2201</v>
      </c>
      <c r="P22" s="20" t="s">
        <v>87</v>
      </c>
      <c r="Q22" s="20" t="s">
        <v>87</v>
      </c>
      <c r="R22" s="111" t="s">
        <v>2768</v>
      </c>
      <c r="S22" s="111">
        <v>46060</v>
      </c>
      <c r="T22" s="20" t="s">
        <v>206</v>
      </c>
      <c r="U22" s="20" t="s">
        <v>207</v>
      </c>
      <c r="V22" s="20" t="s">
        <v>2767</v>
      </c>
      <c r="W22" s="20">
        <v>147.74</v>
      </c>
      <c r="X22" s="20">
        <v>147.74</v>
      </c>
      <c r="Y22" s="111" t="s">
        <v>2768</v>
      </c>
      <c r="Z22" s="111">
        <v>46060</v>
      </c>
      <c r="AB22" s="20" t="s">
        <v>212</v>
      </c>
      <c r="AD22" s="20" t="s">
        <v>213</v>
      </c>
      <c r="AE22" s="20" t="s">
        <v>212</v>
      </c>
      <c r="AF22" s="20">
        <v>0</v>
      </c>
      <c r="AG22" s="20">
        <v>0</v>
      </c>
      <c r="AH22" s="20">
        <v>0</v>
      </c>
      <c r="AI22" s="20">
        <v>0</v>
      </c>
      <c r="AJ22" s="20">
        <v>0</v>
      </c>
      <c r="AK22" s="111" t="s">
        <v>609</v>
      </c>
      <c r="AL22" s="20">
        <v>0</v>
      </c>
      <c r="AM22" s="20">
        <v>0</v>
      </c>
      <c r="AN22" s="20">
        <v>0</v>
      </c>
      <c r="AO22" s="20">
        <v>0</v>
      </c>
      <c r="AP22" s="20">
        <v>0</v>
      </c>
      <c r="AR22" s="20">
        <v>0</v>
      </c>
      <c r="AS22" s="20">
        <v>0</v>
      </c>
      <c r="AT22" s="20">
        <v>1682386.71</v>
      </c>
      <c r="AU22" s="20" t="s">
        <v>13</v>
      </c>
      <c r="AV22" s="20" t="s">
        <v>62</v>
      </c>
      <c r="AW22" s="111" t="s">
        <v>63</v>
      </c>
      <c r="AX22" s="20" t="s">
        <v>208</v>
      </c>
      <c r="AY22" s="19" t="s">
        <v>209</v>
      </c>
      <c r="AZ22" s="19">
        <v>0</v>
      </c>
      <c r="BA22" s="19">
        <v>487837.48</v>
      </c>
      <c r="BB22" s="19">
        <v>750</v>
      </c>
      <c r="BC22" s="66">
        <v>46060</v>
      </c>
      <c r="BD22" s="19" t="s">
        <v>65</v>
      </c>
      <c r="BE22" s="19" t="s">
        <v>210</v>
      </c>
      <c r="BF22" s="19" t="s">
        <v>210</v>
      </c>
      <c r="BG22" s="19">
        <v>9</v>
      </c>
      <c r="BH22" s="19">
        <v>43905.37</v>
      </c>
      <c r="BI22" s="19">
        <v>9</v>
      </c>
      <c r="BJ22" s="19">
        <v>43905.37</v>
      </c>
      <c r="BK22" s="19">
        <v>0</v>
      </c>
      <c r="BL22" s="19">
        <v>0</v>
      </c>
      <c r="BM22" s="19">
        <v>0</v>
      </c>
      <c r="BN22" s="19">
        <v>638010091231</v>
      </c>
      <c r="BO22" s="66">
        <v>46205</v>
      </c>
      <c r="BP22" s="19">
        <v>0</v>
      </c>
    </row>
    <row r="23" spans="1:68">
      <c r="A23" s="65"/>
      <c r="B23" s="20" t="s">
        <v>2216</v>
      </c>
      <c r="C23" s="111">
        <v>46060</v>
      </c>
      <c r="D23" s="20" t="s">
        <v>3548</v>
      </c>
      <c r="E23" s="20" t="s">
        <v>18</v>
      </c>
      <c r="F23" s="20" t="s">
        <v>19</v>
      </c>
      <c r="H23" s="20" t="s">
        <v>2625</v>
      </c>
      <c r="I23" s="20">
        <v>40000</v>
      </c>
      <c r="J23" s="20">
        <v>268</v>
      </c>
      <c r="K23" s="20" t="s">
        <v>11</v>
      </c>
      <c r="L23" s="20">
        <v>268</v>
      </c>
      <c r="M23" s="20">
        <v>34199</v>
      </c>
      <c r="N23" s="20">
        <v>268</v>
      </c>
      <c r="O23" s="20" t="s">
        <v>2201</v>
      </c>
      <c r="P23" s="20" t="s">
        <v>87</v>
      </c>
      <c r="Q23" s="20" t="s">
        <v>87</v>
      </c>
      <c r="R23" s="111" t="s">
        <v>2768</v>
      </c>
      <c r="S23" s="111">
        <v>46060</v>
      </c>
      <c r="T23" s="20" t="s">
        <v>206</v>
      </c>
      <c r="U23" s="20" t="s">
        <v>207</v>
      </c>
      <c r="V23" s="20" t="s">
        <v>2767</v>
      </c>
      <c r="W23" s="20">
        <v>150.74</v>
      </c>
      <c r="X23" s="20">
        <v>150.74</v>
      </c>
      <c r="Y23" s="111" t="s">
        <v>2768</v>
      </c>
      <c r="Z23" s="111">
        <v>46060</v>
      </c>
      <c r="AB23" s="20" t="s">
        <v>212</v>
      </c>
      <c r="AD23" s="20" t="s">
        <v>213</v>
      </c>
      <c r="AE23" s="20" t="s">
        <v>212</v>
      </c>
      <c r="AF23" s="20">
        <v>0</v>
      </c>
      <c r="AG23" s="20">
        <v>0</v>
      </c>
      <c r="AH23" s="20">
        <v>0</v>
      </c>
      <c r="AI23" s="20">
        <v>0</v>
      </c>
      <c r="AJ23" s="20">
        <v>0</v>
      </c>
      <c r="AK23" s="111" t="s">
        <v>609</v>
      </c>
      <c r="AL23" s="20">
        <v>0</v>
      </c>
      <c r="AM23" s="20">
        <v>0</v>
      </c>
      <c r="AN23" s="20">
        <v>0</v>
      </c>
      <c r="AO23" s="20">
        <v>0</v>
      </c>
      <c r="AP23" s="20">
        <v>0</v>
      </c>
      <c r="AR23" s="20">
        <v>0</v>
      </c>
      <c r="AS23" s="20">
        <v>0</v>
      </c>
      <c r="AT23" s="20">
        <v>1682386.71</v>
      </c>
      <c r="AU23" s="20" t="s">
        <v>13</v>
      </c>
      <c r="AV23" s="20" t="s">
        <v>62</v>
      </c>
      <c r="AW23" s="111" t="s">
        <v>63</v>
      </c>
      <c r="AX23" s="20" t="s">
        <v>208</v>
      </c>
      <c r="AY23" s="19" t="s">
        <v>209</v>
      </c>
      <c r="AZ23" s="19">
        <v>0</v>
      </c>
      <c r="BA23" s="19">
        <v>40398.32</v>
      </c>
      <c r="BB23" s="19">
        <v>750</v>
      </c>
      <c r="BC23" s="66">
        <v>46060</v>
      </c>
      <c r="BD23" s="19" t="s">
        <v>65</v>
      </c>
      <c r="BE23" s="19" t="s">
        <v>210</v>
      </c>
      <c r="BF23" s="19" t="s">
        <v>210</v>
      </c>
      <c r="BG23" s="19">
        <v>9</v>
      </c>
      <c r="BH23" s="19">
        <v>3635.85</v>
      </c>
      <c r="BI23" s="19">
        <v>9</v>
      </c>
      <c r="BJ23" s="19">
        <v>3635.85</v>
      </c>
      <c r="BK23" s="19">
        <v>0</v>
      </c>
      <c r="BL23" s="19">
        <v>0</v>
      </c>
      <c r="BM23" s="19">
        <v>0</v>
      </c>
      <c r="BN23" s="19">
        <v>638010091231</v>
      </c>
      <c r="BO23" s="66">
        <v>46205</v>
      </c>
      <c r="BP23" s="19">
        <v>0</v>
      </c>
    </row>
    <row r="24" spans="1:68">
      <c r="A24" s="65"/>
      <c r="B24" s="20" t="s">
        <v>2216</v>
      </c>
      <c r="C24" s="111">
        <v>46060</v>
      </c>
      <c r="D24" s="20" t="s">
        <v>3548</v>
      </c>
      <c r="E24" s="20" t="s">
        <v>160</v>
      </c>
      <c r="F24" s="20" t="s">
        <v>17</v>
      </c>
      <c r="H24" s="20" t="s">
        <v>2625</v>
      </c>
      <c r="I24" s="20">
        <v>30000</v>
      </c>
      <c r="J24" s="20">
        <v>435</v>
      </c>
      <c r="K24" s="20" t="s">
        <v>11</v>
      </c>
      <c r="L24" s="20">
        <v>435</v>
      </c>
      <c r="M24" s="20">
        <v>2564.38</v>
      </c>
      <c r="N24" s="20">
        <v>435</v>
      </c>
      <c r="O24" s="20" t="s">
        <v>2201</v>
      </c>
      <c r="P24" s="20" t="s">
        <v>87</v>
      </c>
      <c r="Q24" s="20" t="s">
        <v>87</v>
      </c>
      <c r="R24" s="111" t="s">
        <v>2768</v>
      </c>
      <c r="S24" s="111">
        <v>46060</v>
      </c>
      <c r="T24" s="20" t="s">
        <v>206</v>
      </c>
      <c r="U24" s="20" t="s">
        <v>207</v>
      </c>
      <c r="V24" s="20" t="s">
        <v>2767</v>
      </c>
      <c r="W24" s="20">
        <v>181.15</v>
      </c>
      <c r="X24" s="20">
        <v>181.15</v>
      </c>
      <c r="Y24" s="111" t="s">
        <v>2768</v>
      </c>
      <c r="Z24" s="111">
        <v>46060</v>
      </c>
      <c r="AB24" s="20" t="s">
        <v>212</v>
      </c>
      <c r="AD24" s="20" t="s">
        <v>213</v>
      </c>
      <c r="AE24" s="20" t="s">
        <v>212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111" t="s">
        <v>609</v>
      </c>
      <c r="AL24" s="20">
        <v>0</v>
      </c>
      <c r="AM24" s="20">
        <v>0</v>
      </c>
      <c r="AN24" s="20">
        <v>0</v>
      </c>
      <c r="AO24" s="20">
        <v>0</v>
      </c>
      <c r="AP24" s="20">
        <v>0</v>
      </c>
      <c r="AR24" s="20">
        <v>0</v>
      </c>
      <c r="AS24" s="20">
        <v>0</v>
      </c>
      <c r="AT24" s="20">
        <v>1682386.71</v>
      </c>
      <c r="AU24" s="20" t="s">
        <v>13</v>
      </c>
      <c r="AV24" s="20" t="s">
        <v>80</v>
      </c>
      <c r="AW24" s="111" t="s">
        <v>81</v>
      </c>
      <c r="AX24" s="20" t="s">
        <v>208</v>
      </c>
      <c r="AY24" s="19" t="s">
        <v>209</v>
      </c>
      <c r="AZ24" s="19">
        <v>0</v>
      </c>
      <c r="BA24" s="19">
        <v>78800.25</v>
      </c>
      <c r="BB24" s="19">
        <v>750</v>
      </c>
      <c r="BC24" s="66">
        <v>46060</v>
      </c>
      <c r="BD24" s="19" t="s">
        <v>65</v>
      </c>
      <c r="BE24" s="19" t="s">
        <v>210</v>
      </c>
      <c r="BF24" s="19" t="s">
        <v>210</v>
      </c>
      <c r="BG24" s="19">
        <v>9</v>
      </c>
      <c r="BH24" s="19">
        <v>7092.02</v>
      </c>
      <c r="BI24" s="19">
        <v>9</v>
      </c>
      <c r="BJ24" s="19">
        <v>7092.02</v>
      </c>
      <c r="BK24" s="19">
        <v>0</v>
      </c>
      <c r="BL24" s="19">
        <v>0</v>
      </c>
      <c r="BM24" s="19">
        <v>0</v>
      </c>
      <c r="BN24" s="19">
        <v>638010091231</v>
      </c>
      <c r="BO24" s="66">
        <v>46205</v>
      </c>
      <c r="BP24" s="19">
        <v>0</v>
      </c>
    </row>
    <row r="25" spans="1:68">
      <c r="A25" s="65"/>
      <c r="B25" s="20" t="s">
        <v>2216</v>
      </c>
      <c r="C25" s="111">
        <v>46060</v>
      </c>
      <c r="D25" s="20" t="s">
        <v>3550</v>
      </c>
      <c r="E25" s="20" t="s">
        <v>160</v>
      </c>
      <c r="F25" s="20" t="s">
        <v>17</v>
      </c>
      <c r="H25" s="20" t="s">
        <v>2625</v>
      </c>
      <c r="I25" s="20">
        <v>10000</v>
      </c>
      <c r="J25" s="20">
        <v>7060</v>
      </c>
      <c r="K25" s="20" t="s">
        <v>11</v>
      </c>
      <c r="L25" s="20">
        <v>7060</v>
      </c>
      <c r="M25" s="20">
        <v>2940</v>
      </c>
      <c r="N25" s="20">
        <v>7060</v>
      </c>
      <c r="O25" s="20" t="s">
        <v>2203</v>
      </c>
      <c r="P25" s="20" t="s">
        <v>87</v>
      </c>
      <c r="Q25" s="20" t="s">
        <v>87</v>
      </c>
      <c r="R25" s="111" t="s">
        <v>2770</v>
      </c>
      <c r="S25" s="111">
        <v>46060</v>
      </c>
      <c r="T25" s="20" t="s">
        <v>206</v>
      </c>
      <c r="U25" s="20" t="s">
        <v>207</v>
      </c>
      <c r="V25" s="20" t="s">
        <v>2769</v>
      </c>
      <c r="W25" s="20">
        <v>185.15</v>
      </c>
      <c r="X25" s="20">
        <v>185.15016662802401</v>
      </c>
      <c r="Y25" s="111" t="s">
        <v>2770</v>
      </c>
      <c r="Z25" s="111">
        <v>46060</v>
      </c>
      <c r="AB25" s="20" t="s">
        <v>212</v>
      </c>
      <c r="AD25" s="20" t="s">
        <v>213</v>
      </c>
      <c r="AE25" s="20" t="s">
        <v>212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111" t="s">
        <v>609</v>
      </c>
      <c r="AL25" s="20">
        <v>0</v>
      </c>
      <c r="AM25" s="20">
        <v>0</v>
      </c>
      <c r="AN25" s="20">
        <v>0</v>
      </c>
      <c r="AO25" s="20">
        <v>0</v>
      </c>
      <c r="AP25" s="20">
        <v>0</v>
      </c>
      <c r="AR25" s="20">
        <v>0</v>
      </c>
      <c r="AS25" s="20">
        <v>0</v>
      </c>
      <c r="AT25" s="20">
        <v>1906748.21</v>
      </c>
      <c r="AU25" s="20" t="s">
        <v>13</v>
      </c>
      <c r="AV25" s="20" t="s">
        <v>80</v>
      </c>
      <c r="AW25" s="111" t="s">
        <v>81</v>
      </c>
      <c r="AX25" s="20" t="s">
        <v>208</v>
      </c>
      <c r="AY25" s="19" t="s">
        <v>209</v>
      </c>
      <c r="AZ25" s="19">
        <v>0</v>
      </c>
      <c r="BA25" s="19">
        <v>1307160.18</v>
      </c>
      <c r="BB25" s="19">
        <v>752</v>
      </c>
      <c r="BC25" s="66">
        <v>46060</v>
      </c>
      <c r="BD25" s="19" t="s">
        <v>65</v>
      </c>
      <c r="BE25" s="19" t="s">
        <v>210</v>
      </c>
      <c r="BF25" s="19" t="s">
        <v>210</v>
      </c>
      <c r="BG25" s="19">
        <v>9</v>
      </c>
      <c r="BH25" s="19">
        <v>117644.31</v>
      </c>
      <c r="BI25" s="19">
        <v>9</v>
      </c>
      <c r="BJ25" s="19">
        <v>117644.31</v>
      </c>
      <c r="BK25" s="19">
        <v>0</v>
      </c>
      <c r="BL25" s="19">
        <v>0</v>
      </c>
      <c r="BM25" s="19">
        <v>1906748.21</v>
      </c>
      <c r="BN25" s="19">
        <v>662138581660</v>
      </c>
      <c r="BO25" s="66">
        <v>46205</v>
      </c>
      <c r="BP25" s="19">
        <v>0</v>
      </c>
    </row>
    <row r="26" spans="1:68">
      <c r="A26" s="65"/>
      <c r="B26" s="20" t="s">
        <v>2216</v>
      </c>
      <c r="C26" s="111">
        <v>46060</v>
      </c>
      <c r="D26" s="20" t="s">
        <v>3550</v>
      </c>
      <c r="E26" s="20" t="s">
        <v>855</v>
      </c>
      <c r="F26" s="20" t="s">
        <v>778</v>
      </c>
      <c r="H26" s="20" t="s">
        <v>3551</v>
      </c>
      <c r="I26" s="20">
        <v>22400</v>
      </c>
      <c r="J26" s="20">
        <v>22400</v>
      </c>
      <c r="K26" s="20" t="s">
        <v>1</v>
      </c>
      <c r="L26" s="20">
        <v>22400</v>
      </c>
      <c r="M26" s="20">
        <v>0</v>
      </c>
      <c r="N26" s="20">
        <v>22400</v>
      </c>
      <c r="O26" s="20" t="s">
        <v>2203</v>
      </c>
      <c r="P26" s="20" t="s">
        <v>87</v>
      </c>
      <c r="Q26" s="20" t="s">
        <v>87</v>
      </c>
      <c r="R26" s="111" t="s">
        <v>2770</v>
      </c>
      <c r="S26" s="111">
        <v>46060</v>
      </c>
      <c r="T26" s="20" t="s">
        <v>206</v>
      </c>
      <c r="U26" s="20" t="s">
        <v>207</v>
      </c>
      <c r="V26" s="20" t="s">
        <v>2769</v>
      </c>
      <c r="W26" s="20">
        <v>3.2387999999999999</v>
      </c>
      <c r="X26" s="20">
        <v>3.2388029147979598</v>
      </c>
      <c r="Y26" s="111" t="s">
        <v>2770</v>
      </c>
      <c r="Z26" s="111">
        <v>46060</v>
      </c>
      <c r="AB26" s="20" t="s">
        <v>212</v>
      </c>
      <c r="AD26" s="20" t="s">
        <v>213</v>
      </c>
      <c r="AE26" s="20" t="s">
        <v>212</v>
      </c>
      <c r="AF26" s="20">
        <v>0</v>
      </c>
      <c r="AG26" s="20">
        <v>0</v>
      </c>
      <c r="AH26" s="20">
        <v>0</v>
      </c>
      <c r="AI26" s="20">
        <v>0</v>
      </c>
      <c r="AJ26" s="20">
        <v>0</v>
      </c>
      <c r="AK26" s="111" t="s">
        <v>609</v>
      </c>
      <c r="AL26" s="20">
        <v>0</v>
      </c>
      <c r="AM26" s="20">
        <v>0</v>
      </c>
      <c r="AN26" s="20">
        <v>0</v>
      </c>
      <c r="AO26" s="20">
        <v>0</v>
      </c>
      <c r="AP26" s="20">
        <v>0</v>
      </c>
      <c r="AR26" s="20">
        <v>0</v>
      </c>
      <c r="AS26" s="20">
        <v>0</v>
      </c>
      <c r="AT26" s="20">
        <v>1906748.21</v>
      </c>
      <c r="AU26" s="20" t="s">
        <v>8</v>
      </c>
      <c r="AV26" s="20" t="s">
        <v>659</v>
      </c>
      <c r="AW26" s="111" t="s">
        <v>659</v>
      </c>
      <c r="AX26" s="20" t="s">
        <v>208</v>
      </c>
      <c r="AY26" s="19" t="s">
        <v>856</v>
      </c>
      <c r="AZ26" s="19">
        <v>0</v>
      </c>
      <c r="BA26" s="19">
        <v>72549.19</v>
      </c>
      <c r="BB26" s="19">
        <v>752</v>
      </c>
      <c r="BC26" s="66">
        <v>46060</v>
      </c>
      <c r="BD26" s="19" t="s">
        <v>65</v>
      </c>
      <c r="BE26" s="19" t="s">
        <v>210</v>
      </c>
      <c r="BF26" s="19" t="s">
        <v>210</v>
      </c>
      <c r="BG26" s="19">
        <v>9</v>
      </c>
      <c r="BH26" s="19">
        <v>6529.42</v>
      </c>
      <c r="BI26" s="19">
        <v>9</v>
      </c>
      <c r="BJ26" s="19">
        <v>6529.42</v>
      </c>
      <c r="BK26" s="19">
        <v>0</v>
      </c>
      <c r="BL26" s="19">
        <v>0</v>
      </c>
      <c r="BM26" s="19">
        <v>0</v>
      </c>
      <c r="BN26" s="19">
        <v>662138581660</v>
      </c>
      <c r="BO26" s="66">
        <v>46205</v>
      </c>
      <c r="BP26" s="19">
        <v>0</v>
      </c>
    </row>
    <row r="27" spans="1:68">
      <c r="A27" s="65"/>
      <c r="B27" s="20" t="s">
        <v>2216</v>
      </c>
      <c r="C27" s="111">
        <v>46060</v>
      </c>
      <c r="D27" s="20" t="s">
        <v>3550</v>
      </c>
      <c r="E27" s="20" t="s">
        <v>23</v>
      </c>
      <c r="F27" s="20" t="s">
        <v>24</v>
      </c>
      <c r="H27" s="20" t="s">
        <v>2625</v>
      </c>
      <c r="I27" s="20">
        <v>15000</v>
      </c>
      <c r="J27" s="20">
        <v>191.2</v>
      </c>
      <c r="K27" s="20" t="s">
        <v>11</v>
      </c>
      <c r="L27" s="20">
        <v>191.2</v>
      </c>
      <c r="M27" s="20">
        <v>11008.2</v>
      </c>
      <c r="N27" s="20">
        <v>191.2</v>
      </c>
      <c r="O27" s="20" t="s">
        <v>2203</v>
      </c>
      <c r="P27" s="20" t="s">
        <v>87</v>
      </c>
      <c r="Q27" s="20" t="s">
        <v>87</v>
      </c>
      <c r="R27" s="111" t="s">
        <v>2770</v>
      </c>
      <c r="S27" s="111">
        <v>46060</v>
      </c>
      <c r="T27" s="20" t="s">
        <v>206</v>
      </c>
      <c r="U27" s="20" t="s">
        <v>207</v>
      </c>
      <c r="V27" s="20" t="s">
        <v>2769</v>
      </c>
      <c r="W27" s="20">
        <v>149.74</v>
      </c>
      <c r="X27" s="20">
        <v>149.74013476035799</v>
      </c>
      <c r="Y27" s="111" t="s">
        <v>2770</v>
      </c>
      <c r="Z27" s="111">
        <v>46060</v>
      </c>
      <c r="AB27" s="20" t="s">
        <v>212</v>
      </c>
      <c r="AD27" s="20" t="s">
        <v>213</v>
      </c>
      <c r="AE27" s="20" t="s">
        <v>212</v>
      </c>
      <c r="AF27" s="20">
        <v>0</v>
      </c>
      <c r="AG27" s="20">
        <v>0</v>
      </c>
      <c r="AH27" s="20">
        <v>0</v>
      </c>
      <c r="AI27" s="20">
        <v>0</v>
      </c>
      <c r="AJ27" s="20">
        <v>0</v>
      </c>
      <c r="AK27" s="111" t="s">
        <v>609</v>
      </c>
      <c r="AL27" s="20">
        <v>0</v>
      </c>
      <c r="AM27" s="20">
        <v>0</v>
      </c>
      <c r="AN27" s="20">
        <v>0</v>
      </c>
      <c r="AO27" s="20">
        <v>0</v>
      </c>
      <c r="AP27" s="20">
        <v>0</v>
      </c>
      <c r="AR27" s="20">
        <v>0</v>
      </c>
      <c r="AS27" s="20">
        <v>0</v>
      </c>
      <c r="AT27" s="20">
        <v>1906748.21</v>
      </c>
      <c r="AU27" s="20" t="s">
        <v>13</v>
      </c>
      <c r="AV27" s="20" t="s">
        <v>24</v>
      </c>
      <c r="AW27" s="111" t="s">
        <v>79</v>
      </c>
      <c r="AX27" s="20" t="s">
        <v>208</v>
      </c>
      <c r="AY27" s="19" t="s">
        <v>209</v>
      </c>
      <c r="AZ27" s="19">
        <v>0</v>
      </c>
      <c r="BA27" s="19">
        <v>28630.31</v>
      </c>
      <c r="BB27" s="19">
        <v>752</v>
      </c>
      <c r="BC27" s="66">
        <v>46060</v>
      </c>
      <c r="BD27" s="19" t="s">
        <v>65</v>
      </c>
      <c r="BE27" s="19" t="s">
        <v>210</v>
      </c>
      <c r="BF27" s="19" t="s">
        <v>210</v>
      </c>
      <c r="BG27" s="19">
        <v>9</v>
      </c>
      <c r="BH27" s="19">
        <v>2576.73</v>
      </c>
      <c r="BI27" s="19">
        <v>9</v>
      </c>
      <c r="BJ27" s="19">
        <v>2576.73</v>
      </c>
      <c r="BK27" s="19">
        <v>0</v>
      </c>
      <c r="BL27" s="19">
        <v>0</v>
      </c>
      <c r="BM27" s="19">
        <v>0</v>
      </c>
      <c r="BN27" s="19">
        <v>662138581660</v>
      </c>
      <c r="BO27" s="66">
        <v>46205</v>
      </c>
      <c r="BP27" s="19">
        <v>0</v>
      </c>
    </row>
    <row r="28" spans="1:68">
      <c r="A28" s="65"/>
      <c r="B28" s="20" t="s">
        <v>2216</v>
      </c>
      <c r="C28" s="111">
        <v>46060</v>
      </c>
      <c r="D28" s="20" t="s">
        <v>3550</v>
      </c>
      <c r="E28" s="20" t="s">
        <v>23</v>
      </c>
      <c r="F28" s="20" t="s">
        <v>24</v>
      </c>
      <c r="H28" s="20" t="s">
        <v>2625</v>
      </c>
      <c r="I28" s="20">
        <v>30000</v>
      </c>
      <c r="J28" s="20">
        <v>1351.1</v>
      </c>
      <c r="K28" s="20" t="s">
        <v>11</v>
      </c>
      <c r="L28" s="20">
        <v>1351.1</v>
      </c>
      <c r="M28" s="20">
        <v>16292</v>
      </c>
      <c r="N28" s="20">
        <v>1351.1</v>
      </c>
      <c r="O28" s="20" t="s">
        <v>2203</v>
      </c>
      <c r="P28" s="20" t="s">
        <v>87</v>
      </c>
      <c r="Q28" s="20" t="s">
        <v>87</v>
      </c>
      <c r="R28" s="111" t="s">
        <v>2770</v>
      </c>
      <c r="S28" s="111">
        <v>46060</v>
      </c>
      <c r="T28" s="20" t="s">
        <v>206</v>
      </c>
      <c r="U28" s="20" t="s">
        <v>207</v>
      </c>
      <c r="V28" s="20" t="s">
        <v>2769</v>
      </c>
      <c r="W28" s="20">
        <v>152.74</v>
      </c>
      <c r="X28" s="20">
        <v>152.74013746024499</v>
      </c>
      <c r="Y28" s="111" t="s">
        <v>2770</v>
      </c>
      <c r="Z28" s="111">
        <v>46060</v>
      </c>
      <c r="AB28" s="20" t="s">
        <v>212</v>
      </c>
      <c r="AD28" s="20" t="s">
        <v>213</v>
      </c>
      <c r="AE28" s="20" t="s">
        <v>212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111" t="s">
        <v>609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R28" s="20">
        <v>0</v>
      </c>
      <c r="AS28" s="20">
        <v>0</v>
      </c>
      <c r="AT28" s="20">
        <v>1906748.21</v>
      </c>
      <c r="AU28" s="20" t="s">
        <v>13</v>
      </c>
      <c r="AV28" s="20" t="s">
        <v>24</v>
      </c>
      <c r="AW28" s="111" t="s">
        <v>79</v>
      </c>
      <c r="AX28" s="20" t="s">
        <v>208</v>
      </c>
      <c r="AY28" s="19" t="s">
        <v>209</v>
      </c>
      <c r="AZ28" s="19">
        <v>0</v>
      </c>
      <c r="BA28" s="19">
        <v>206367.2</v>
      </c>
      <c r="BB28" s="19">
        <v>752</v>
      </c>
      <c r="BC28" s="66">
        <v>46060</v>
      </c>
      <c r="BD28" s="19" t="s">
        <v>65</v>
      </c>
      <c r="BE28" s="19" t="s">
        <v>210</v>
      </c>
      <c r="BF28" s="19" t="s">
        <v>210</v>
      </c>
      <c r="BG28" s="19">
        <v>9</v>
      </c>
      <c r="BH28" s="19">
        <v>18573.03</v>
      </c>
      <c r="BI28" s="19">
        <v>9</v>
      </c>
      <c r="BJ28" s="19">
        <v>18573.03</v>
      </c>
      <c r="BK28" s="19">
        <v>0</v>
      </c>
      <c r="BL28" s="19">
        <v>0</v>
      </c>
      <c r="BM28" s="19">
        <v>0</v>
      </c>
      <c r="BN28" s="19">
        <v>662138581660</v>
      </c>
      <c r="BO28" s="66">
        <v>46205</v>
      </c>
      <c r="BP28" s="19">
        <v>0</v>
      </c>
    </row>
    <row r="29" spans="1:68">
      <c r="A29" s="65"/>
      <c r="B29" s="20" t="s">
        <v>2216</v>
      </c>
      <c r="C29" s="111">
        <v>46060</v>
      </c>
      <c r="D29" s="20" t="s">
        <v>3550</v>
      </c>
      <c r="E29" s="20" t="s">
        <v>23</v>
      </c>
      <c r="F29" s="20" t="s">
        <v>24</v>
      </c>
      <c r="H29" s="20" t="s">
        <v>2625</v>
      </c>
      <c r="I29" s="20">
        <v>500</v>
      </c>
      <c r="J29" s="20">
        <v>6.8</v>
      </c>
      <c r="K29" s="20" t="s">
        <v>11</v>
      </c>
      <c r="L29" s="20">
        <v>6.8</v>
      </c>
      <c r="M29" s="20">
        <v>480</v>
      </c>
      <c r="N29" s="20">
        <v>6.8</v>
      </c>
      <c r="O29" s="20" t="s">
        <v>2203</v>
      </c>
      <c r="P29" s="20" t="s">
        <v>87</v>
      </c>
      <c r="Q29" s="20" t="s">
        <v>87</v>
      </c>
      <c r="R29" s="111" t="s">
        <v>2770</v>
      </c>
      <c r="S29" s="111">
        <v>46060</v>
      </c>
      <c r="T29" s="20" t="s">
        <v>206</v>
      </c>
      <c r="U29" s="20" t="s">
        <v>207</v>
      </c>
      <c r="V29" s="20" t="s">
        <v>2769</v>
      </c>
      <c r="W29" s="20">
        <v>173.74</v>
      </c>
      <c r="X29" s="20">
        <v>173.74015635945401</v>
      </c>
      <c r="Y29" s="111" t="s">
        <v>2770</v>
      </c>
      <c r="Z29" s="111">
        <v>46060</v>
      </c>
      <c r="AB29" s="20" t="s">
        <v>212</v>
      </c>
      <c r="AD29" s="20" t="s">
        <v>213</v>
      </c>
      <c r="AE29" s="20" t="s">
        <v>212</v>
      </c>
      <c r="AF29" s="20">
        <v>0</v>
      </c>
      <c r="AG29" s="20">
        <v>0</v>
      </c>
      <c r="AH29" s="20">
        <v>0</v>
      </c>
      <c r="AI29" s="20">
        <v>0</v>
      </c>
      <c r="AJ29" s="20">
        <v>0</v>
      </c>
      <c r="AK29" s="111" t="s">
        <v>609</v>
      </c>
      <c r="AL29" s="20">
        <v>0</v>
      </c>
      <c r="AM29" s="20">
        <v>0</v>
      </c>
      <c r="AN29" s="20">
        <v>0</v>
      </c>
      <c r="AO29" s="20">
        <v>0</v>
      </c>
      <c r="AP29" s="20">
        <v>0</v>
      </c>
      <c r="AR29" s="20">
        <v>0</v>
      </c>
      <c r="AS29" s="20">
        <v>0</v>
      </c>
      <c r="AT29" s="20">
        <v>1906748.21</v>
      </c>
      <c r="AU29" s="20" t="s">
        <v>13</v>
      </c>
      <c r="AV29" s="20" t="s">
        <v>24</v>
      </c>
      <c r="AW29" s="111" t="s">
        <v>79</v>
      </c>
      <c r="AX29" s="20" t="s">
        <v>208</v>
      </c>
      <c r="AY29" s="19" t="s">
        <v>209</v>
      </c>
      <c r="AZ29" s="19">
        <v>0</v>
      </c>
      <c r="BA29" s="19">
        <v>1181.43</v>
      </c>
      <c r="BB29" s="19">
        <v>752</v>
      </c>
      <c r="BC29" s="66">
        <v>46060</v>
      </c>
      <c r="BD29" s="19" t="s">
        <v>65</v>
      </c>
      <c r="BE29" s="19" t="s">
        <v>210</v>
      </c>
      <c r="BF29" s="19" t="s">
        <v>210</v>
      </c>
      <c r="BG29" s="19">
        <v>9</v>
      </c>
      <c r="BH29" s="19">
        <v>106.33</v>
      </c>
      <c r="BI29" s="19">
        <v>9</v>
      </c>
      <c r="BJ29" s="19">
        <v>106.33</v>
      </c>
      <c r="BK29" s="19">
        <v>0</v>
      </c>
      <c r="BL29" s="19">
        <v>0</v>
      </c>
      <c r="BM29" s="19">
        <v>0</v>
      </c>
      <c r="BN29" s="19">
        <v>662138581660</v>
      </c>
      <c r="BO29" s="66">
        <v>46205</v>
      </c>
      <c r="BP29" s="19">
        <v>0</v>
      </c>
    </row>
    <row r="30" spans="1:68">
      <c r="A30" s="65"/>
      <c r="B30" s="20" t="s">
        <v>2216</v>
      </c>
      <c r="C30" s="111">
        <v>46060</v>
      </c>
      <c r="D30" s="20" t="s">
        <v>3552</v>
      </c>
      <c r="E30" s="20" t="s">
        <v>160</v>
      </c>
      <c r="F30" s="20" t="s">
        <v>17</v>
      </c>
      <c r="H30" s="20" t="s">
        <v>3553</v>
      </c>
      <c r="I30" s="20">
        <v>60</v>
      </c>
      <c r="J30" s="20">
        <v>60</v>
      </c>
      <c r="K30" s="20" t="s">
        <v>11</v>
      </c>
      <c r="L30" s="20">
        <v>60</v>
      </c>
      <c r="M30" s="20">
        <v>0</v>
      </c>
      <c r="N30" s="20">
        <v>60</v>
      </c>
      <c r="O30" s="20" t="s">
        <v>3554</v>
      </c>
      <c r="P30" s="20" t="s">
        <v>94</v>
      </c>
      <c r="Q30" s="20" t="s">
        <v>94</v>
      </c>
      <c r="R30" s="111" t="s">
        <v>2772</v>
      </c>
      <c r="S30" s="111">
        <v>46060</v>
      </c>
      <c r="T30" s="20" t="s">
        <v>206</v>
      </c>
      <c r="U30" s="20" t="s">
        <v>207</v>
      </c>
      <c r="V30" s="20" t="s">
        <v>2771</v>
      </c>
      <c r="W30" s="20">
        <v>193</v>
      </c>
      <c r="X30" s="20">
        <v>193</v>
      </c>
      <c r="Y30" s="111" t="s">
        <v>2772</v>
      </c>
      <c r="Z30" s="111">
        <v>46060</v>
      </c>
      <c r="AB30" s="20" t="s">
        <v>212</v>
      </c>
      <c r="AD30" s="20" t="s">
        <v>213</v>
      </c>
      <c r="AE30" s="20" t="s">
        <v>212</v>
      </c>
      <c r="AF30" s="20">
        <v>0</v>
      </c>
      <c r="AG30" s="20">
        <v>0</v>
      </c>
      <c r="AH30" s="20">
        <v>0</v>
      </c>
      <c r="AI30" s="20">
        <v>0</v>
      </c>
      <c r="AJ30" s="20">
        <v>0</v>
      </c>
      <c r="AK30" s="111" t="s">
        <v>609</v>
      </c>
      <c r="AL30" s="20">
        <v>0</v>
      </c>
      <c r="AM30" s="20">
        <v>0</v>
      </c>
      <c r="AN30" s="20">
        <v>0</v>
      </c>
      <c r="AO30" s="20">
        <v>0</v>
      </c>
      <c r="AP30" s="20">
        <v>0</v>
      </c>
      <c r="AR30" s="20">
        <v>0</v>
      </c>
      <c r="AS30" s="20">
        <v>0</v>
      </c>
      <c r="AT30" s="20">
        <v>13664.4</v>
      </c>
      <c r="AU30" s="20" t="s">
        <v>13</v>
      </c>
      <c r="AV30" s="20" t="s">
        <v>80</v>
      </c>
      <c r="AW30" s="111" t="s">
        <v>81</v>
      </c>
      <c r="AX30" s="20" t="s">
        <v>208</v>
      </c>
      <c r="AY30" s="19" t="s">
        <v>209</v>
      </c>
      <c r="AZ30" s="19">
        <v>0</v>
      </c>
      <c r="BA30" s="19">
        <v>11580</v>
      </c>
      <c r="BB30" s="19">
        <v>753</v>
      </c>
      <c r="BC30" s="66">
        <v>46060</v>
      </c>
      <c r="BD30" s="19" t="s">
        <v>74</v>
      </c>
      <c r="BE30" s="19" t="s">
        <v>210</v>
      </c>
      <c r="BF30" s="19" t="s">
        <v>210</v>
      </c>
      <c r="BG30" s="19">
        <v>9</v>
      </c>
      <c r="BH30" s="19">
        <v>1042.2</v>
      </c>
      <c r="BI30" s="19">
        <v>9</v>
      </c>
      <c r="BJ30" s="19">
        <v>1042.2</v>
      </c>
      <c r="BK30" s="19">
        <v>0</v>
      </c>
      <c r="BL30" s="19">
        <v>0</v>
      </c>
      <c r="BM30" s="19">
        <v>13664.4</v>
      </c>
      <c r="BN30" s="19">
        <v>652138744608</v>
      </c>
      <c r="BO30" s="66">
        <v>46205</v>
      </c>
      <c r="BP30" s="19">
        <v>0</v>
      </c>
    </row>
    <row r="31" spans="1:68">
      <c r="A31" s="65"/>
      <c r="B31" s="20" t="s">
        <v>2216</v>
      </c>
      <c r="C31" s="111">
        <v>46088</v>
      </c>
      <c r="D31" s="20" t="s">
        <v>3555</v>
      </c>
      <c r="E31" s="20" t="s">
        <v>214</v>
      </c>
      <c r="F31" s="20" t="s">
        <v>12</v>
      </c>
      <c r="H31" s="20" t="s">
        <v>3556</v>
      </c>
      <c r="I31" s="20">
        <v>44.5</v>
      </c>
      <c r="J31" s="20">
        <v>44.5</v>
      </c>
      <c r="K31" s="20" t="s">
        <v>11</v>
      </c>
      <c r="L31" s="20">
        <v>44.5</v>
      </c>
      <c r="M31" s="20">
        <v>0</v>
      </c>
      <c r="N31" s="20">
        <v>44.5</v>
      </c>
      <c r="O31" s="20" t="s">
        <v>3554</v>
      </c>
      <c r="P31" s="20" t="s">
        <v>94</v>
      </c>
      <c r="Q31" s="20" t="s">
        <v>94</v>
      </c>
      <c r="R31" s="111" t="s">
        <v>2793</v>
      </c>
      <c r="S31" s="111">
        <v>46088</v>
      </c>
      <c r="T31" s="20" t="s">
        <v>206</v>
      </c>
      <c r="U31" s="20" t="s">
        <v>207</v>
      </c>
      <c r="V31" s="20" t="s">
        <v>2792</v>
      </c>
      <c r="W31" s="20">
        <v>248</v>
      </c>
      <c r="X31" s="20">
        <v>248</v>
      </c>
      <c r="Y31" s="111" t="s">
        <v>2793</v>
      </c>
      <c r="Z31" s="111">
        <v>46088</v>
      </c>
      <c r="AB31" s="20" t="s">
        <v>2376</v>
      </c>
      <c r="AD31" s="20" t="s">
        <v>2376</v>
      </c>
      <c r="AE31" s="20" t="s">
        <v>2376</v>
      </c>
      <c r="AF31" s="20">
        <v>0</v>
      </c>
      <c r="AG31" s="20">
        <v>0</v>
      </c>
      <c r="AH31" s="20">
        <v>0</v>
      </c>
      <c r="AI31" s="20">
        <v>0</v>
      </c>
      <c r="AJ31" s="20">
        <v>0</v>
      </c>
      <c r="AK31" s="111" t="s">
        <v>609</v>
      </c>
      <c r="AL31" s="20">
        <v>0</v>
      </c>
      <c r="AM31" s="20">
        <v>0</v>
      </c>
      <c r="AN31" s="20">
        <v>0</v>
      </c>
      <c r="AO31" s="20">
        <v>0</v>
      </c>
      <c r="AP31" s="20">
        <v>0</v>
      </c>
      <c r="AR31" s="20">
        <v>0</v>
      </c>
      <c r="AS31" s="20">
        <v>0</v>
      </c>
      <c r="AT31" s="20">
        <v>13022.48</v>
      </c>
      <c r="AU31" s="20" t="s">
        <v>13</v>
      </c>
      <c r="AV31" s="20" t="s">
        <v>2198</v>
      </c>
      <c r="AW31" s="111" t="s">
        <v>123</v>
      </c>
      <c r="AX31" s="20" t="s">
        <v>208</v>
      </c>
      <c r="AY31" s="19" t="s">
        <v>209</v>
      </c>
      <c r="AZ31" s="19">
        <v>0</v>
      </c>
      <c r="BA31" s="19">
        <v>11036</v>
      </c>
      <c r="BB31" s="19">
        <v>755</v>
      </c>
      <c r="BC31" s="66">
        <v>46088</v>
      </c>
      <c r="BD31" s="19" t="s">
        <v>74</v>
      </c>
      <c r="BE31" s="19" t="s">
        <v>210</v>
      </c>
      <c r="BF31" s="19" t="s">
        <v>210</v>
      </c>
      <c r="BG31" s="19">
        <v>9</v>
      </c>
      <c r="BH31" s="19">
        <v>993.24</v>
      </c>
      <c r="BI31" s="19">
        <v>9</v>
      </c>
      <c r="BJ31" s="19">
        <v>993.24</v>
      </c>
      <c r="BK31" s="19">
        <v>0</v>
      </c>
      <c r="BL31" s="19">
        <v>0</v>
      </c>
      <c r="BM31" s="19">
        <v>13022.48</v>
      </c>
      <c r="BN31" s="19">
        <v>662139088492</v>
      </c>
      <c r="BO31" s="66">
        <v>46206</v>
      </c>
      <c r="BP31" s="19">
        <v>0</v>
      </c>
    </row>
    <row r="32" spans="1:68">
      <c r="A32" s="65"/>
      <c r="B32" s="20" t="s">
        <v>2216</v>
      </c>
      <c r="C32" s="111">
        <v>46088</v>
      </c>
      <c r="D32" s="20" t="s">
        <v>3557</v>
      </c>
      <c r="E32" s="20" t="s">
        <v>18</v>
      </c>
      <c r="F32" s="20" t="s">
        <v>19</v>
      </c>
      <c r="H32" s="20" t="s">
        <v>2625</v>
      </c>
      <c r="I32" s="20">
        <v>70000</v>
      </c>
      <c r="J32" s="20">
        <v>3472</v>
      </c>
      <c r="K32" s="20" t="s">
        <v>11</v>
      </c>
      <c r="L32" s="20">
        <v>3472</v>
      </c>
      <c r="M32" s="20">
        <v>38874</v>
      </c>
      <c r="N32" s="20">
        <v>3472</v>
      </c>
      <c r="O32" s="20" t="s">
        <v>2203</v>
      </c>
      <c r="P32" s="20" t="s">
        <v>87</v>
      </c>
      <c r="Q32" s="20" t="s">
        <v>87</v>
      </c>
      <c r="R32" s="111" t="s">
        <v>2789</v>
      </c>
      <c r="S32" s="111">
        <v>46088</v>
      </c>
      <c r="T32" s="20" t="s">
        <v>206</v>
      </c>
      <c r="U32" s="20" t="s">
        <v>207</v>
      </c>
      <c r="V32" s="20" t="s">
        <v>2788</v>
      </c>
      <c r="W32" s="20">
        <v>149.74</v>
      </c>
      <c r="X32" s="20">
        <v>149.74</v>
      </c>
      <c r="Y32" s="111" t="s">
        <v>2789</v>
      </c>
      <c r="Z32" s="111">
        <v>46088</v>
      </c>
      <c r="AB32" s="20" t="s">
        <v>2376</v>
      </c>
      <c r="AD32" s="20" t="s">
        <v>2376</v>
      </c>
      <c r="AE32" s="20" t="s">
        <v>2376</v>
      </c>
      <c r="AF32" s="20">
        <v>0</v>
      </c>
      <c r="AG32" s="20">
        <v>0</v>
      </c>
      <c r="AH32" s="20">
        <v>0</v>
      </c>
      <c r="AI32" s="20">
        <v>0</v>
      </c>
      <c r="AJ32" s="20">
        <v>0</v>
      </c>
      <c r="AK32" s="111" t="s">
        <v>609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R32" s="20">
        <v>0</v>
      </c>
      <c r="AS32" s="20">
        <v>0</v>
      </c>
      <c r="AT32" s="20">
        <v>1309809.1000000001</v>
      </c>
      <c r="AU32" s="20" t="s">
        <v>13</v>
      </c>
      <c r="AV32" s="20" t="s">
        <v>62</v>
      </c>
      <c r="AW32" s="111" t="s">
        <v>63</v>
      </c>
      <c r="AX32" s="20" t="s">
        <v>208</v>
      </c>
      <c r="AY32" s="19" t="s">
        <v>209</v>
      </c>
      <c r="AZ32" s="19">
        <v>0</v>
      </c>
      <c r="BA32" s="19">
        <v>519897.28</v>
      </c>
      <c r="BB32" s="19">
        <v>754</v>
      </c>
      <c r="BC32" s="66">
        <v>46088</v>
      </c>
      <c r="BD32" s="19" t="s">
        <v>65</v>
      </c>
      <c r="BE32" s="19" t="s">
        <v>210</v>
      </c>
      <c r="BF32" s="19" t="s">
        <v>210</v>
      </c>
      <c r="BG32" s="19">
        <v>9</v>
      </c>
      <c r="BH32" s="19">
        <v>46790.76</v>
      </c>
      <c r="BI32" s="19">
        <v>9</v>
      </c>
      <c r="BJ32" s="19">
        <v>46790.76</v>
      </c>
      <c r="BK32" s="19">
        <v>0</v>
      </c>
      <c r="BL32" s="19">
        <v>0</v>
      </c>
      <c r="BM32" s="19">
        <v>1309809.1000000001</v>
      </c>
      <c r="BN32" s="19">
        <v>692139019747</v>
      </c>
      <c r="BO32" s="66">
        <v>46206</v>
      </c>
      <c r="BP32" s="19">
        <v>0</v>
      </c>
    </row>
    <row r="33" spans="1:68">
      <c r="A33" s="65"/>
      <c r="B33" s="20" t="s">
        <v>2216</v>
      </c>
      <c r="C33" s="111">
        <v>46088</v>
      </c>
      <c r="D33" s="20" t="s">
        <v>3557</v>
      </c>
      <c r="E33" s="20" t="s">
        <v>18</v>
      </c>
      <c r="F33" s="20" t="s">
        <v>19</v>
      </c>
      <c r="H33" s="20" t="s">
        <v>2625</v>
      </c>
      <c r="I33" s="20">
        <v>150000</v>
      </c>
      <c r="J33" s="20">
        <v>3429</v>
      </c>
      <c r="K33" s="20" t="s">
        <v>11</v>
      </c>
      <c r="L33" s="20">
        <v>3429</v>
      </c>
      <c r="M33" s="20">
        <v>85745</v>
      </c>
      <c r="N33" s="20">
        <v>3429</v>
      </c>
      <c r="O33" s="20" t="s">
        <v>2203</v>
      </c>
      <c r="P33" s="20" t="s">
        <v>87</v>
      </c>
      <c r="Q33" s="20" t="s">
        <v>87</v>
      </c>
      <c r="R33" s="111" t="s">
        <v>2789</v>
      </c>
      <c r="S33" s="111">
        <v>46088</v>
      </c>
      <c r="T33" s="20" t="s">
        <v>206</v>
      </c>
      <c r="U33" s="20" t="s">
        <v>207</v>
      </c>
      <c r="V33" s="20" t="s">
        <v>2788</v>
      </c>
      <c r="W33" s="20">
        <v>147.74</v>
      </c>
      <c r="X33" s="20">
        <v>147.74</v>
      </c>
      <c r="Y33" s="111" t="s">
        <v>2789</v>
      </c>
      <c r="Z33" s="111">
        <v>46088</v>
      </c>
      <c r="AB33" s="20" t="s">
        <v>2376</v>
      </c>
      <c r="AD33" s="20" t="s">
        <v>2376</v>
      </c>
      <c r="AE33" s="20" t="s">
        <v>2376</v>
      </c>
      <c r="AF33" s="20">
        <v>0</v>
      </c>
      <c r="AG33" s="20">
        <v>0</v>
      </c>
      <c r="AH33" s="20">
        <v>0</v>
      </c>
      <c r="AI33" s="20">
        <v>0</v>
      </c>
      <c r="AJ33" s="20">
        <v>0</v>
      </c>
      <c r="AK33" s="111" t="s">
        <v>609</v>
      </c>
      <c r="AL33" s="20">
        <v>0</v>
      </c>
      <c r="AM33" s="20">
        <v>0</v>
      </c>
      <c r="AN33" s="20">
        <v>0</v>
      </c>
      <c r="AO33" s="20">
        <v>0</v>
      </c>
      <c r="AP33" s="20">
        <v>0</v>
      </c>
      <c r="AR33" s="20">
        <v>0</v>
      </c>
      <c r="AS33" s="20">
        <v>0</v>
      </c>
      <c r="AT33" s="20">
        <v>1309809.1000000001</v>
      </c>
      <c r="AU33" s="20" t="s">
        <v>13</v>
      </c>
      <c r="AV33" s="20" t="s">
        <v>62</v>
      </c>
      <c r="AW33" s="111" t="s">
        <v>63</v>
      </c>
      <c r="AX33" s="20" t="s">
        <v>208</v>
      </c>
      <c r="AY33" s="19" t="s">
        <v>209</v>
      </c>
      <c r="AZ33" s="19">
        <v>0</v>
      </c>
      <c r="BA33" s="19">
        <v>506600.46</v>
      </c>
      <c r="BB33" s="19">
        <v>754</v>
      </c>
      <c r="BC33" s="66">
        <v>46088</v>
      </c>
      <c r="BD33" s="19" t="s">
        <v>65</v>
      </c>
      <c r="BE33" s="19" t="s">
        <v>210</v>
      </c>
      <c r="BF33" s="19" t="s">
        <v>210</v>
      </c>
      <c r="BG33" s="19">
        <v>9</v>
      </c>
      <c r="BH33" s="19">
        <v>45594.04</v>
      </c>
      <c r="BI33" s="19">
        <v>9</v>
      </c>
      <c r="BJ33" s="19">
        <v>45594.04</v>
      </c>
      <c r="BK33" s="19">
        <v>0</v>
      </c>
      <c r="BL33" s="19">
        <v>0</v>
      </c>
      <c r="BM33" s="19">
        <v>0</v>
      </c>
      <c r="BN33" s="19">
        <v>692139019747</v>
      </c>
      <c r="BO33" s="66">
        <v>46206</v>
      </c>
      <c r="BP33" s="19">
        <v>0</v>
      </c>
    </row>
    <row r="34" spans="1:68">
      <c r="A34" s="65"/>
      <c r="B34" s="20" t="s">
        <v>2216</v>
      </c>
      <c r="C34" s="111">
        <v>46088</v>
      </c>
      <c r="D34" s="20" t="s">
        <v>3557</v>
      </c>
      <c r="E34" s="20" t="s">
        <v>18</v>
      </c>
      <c r="F34" s="20" t="s">
        <v>19</v>
      </c>
      <c r="H34" s="20" t="s">
        <v>2625</v>
      </c>
      <c r="I34" s="20">
        <v>40000</v>
      </c>
      <c r="J34" s="20">
        <v>554</v>
      </c>
      <c r="K34" s="20" t="s">
        <v>11</v>
      </c>
      <c r="L34" s="20">
        <v>554</v>
      </c>
      <c r="M34" s="20">
        <v>33645</v>
      </c>
      <c r="N34" s="20">
        <v>554</v>
      </c>
      <c r="O34" s="20" t="s">
        <v>2203</v>
      </c>
      <c r="P34" s="20" t="s">
        <v>87</v>
      </c>
      <c r="Q34" s="20" t="s">
        <v>87</v>
      </c>
      <c r="R34" s="111" t="s">
        <v>2789</v>
      </c>
      <c r="S34" s="111">
        <v>46088</v>
      </c>
      <c r="T34" s="20" t="s">
        <v>206</v>
      </c>
      <c r="U34" s="20" t="s">
        <v>207</v>
      </c>
      <c r="V34" s="20" t="s">
        <v>2788</v>
      </c>
      <c r="W34" s="20">
        <v>150.74</v>
      </c>
      <c r="X34" s="20">
        <v>150.74</v>
      </c>
      <c r="Y34" s="111" t="s">
        <v>2789</v>
      </c>
      <c r="Z34" s="111">
        <v>46088</v>
      </c>
      <c r="AB34" s="20" t="s">
        <v>2376</v>
      </c>
      <c r="AD34" s="20" t="s">
        <v>2376</v>
      </c>
      <c r="AE34" s="20" t="s">
        <v>2376</v>
      </c>
      <c r="AF34" s="20">
        <v>0</v>
      </c>
      <c r="AG34" s="20">
        <v>0</v>
      </c>
      <c r="AH34" s="20">
        <v>0</v>
      </c>
      <c r="AI34" s="20">
        <v>0</v>
      </c>
      <c r="AJ34" s="20">
        <v>0</v>
      </c>
      <c r="AK34" s="111" t="s">
        <v>609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R34" s="20">
        <v>0</v>
      </c>
      <c r="AS34" s="20">
        <v>0</v>
      </c>
      <c r="AT34" s="20">
        <v>1309809.1000000001</v>
      </c>
      <c r="AU34" s="20" t="s">
        <v>13</v>
      </c>
      <c r="AV34" s="20" t="s">
        <v>62</v>
      </c>
      <c r="AW34" s="111" t="s">
        <v>63</v>
      </c>
      <c r="AX34" s="20" t="s">
        <v>208</v>
      </c>
      <c r="AY34" s="19" t="s">
        <v>209</v>
      </c>
      <c r="AZ34" s="19">
        <v>0</v>
      </c>
      <c r="BA34" s="19">
        <v>83509.960000000006</v>
      </c>
      <c r="BB34" s="19">
        <v>754</v>
      </c>
      <c r="BC34" s="66">
        <v>46088</v>
      </c>
      <c r="BD34" s="19" t="s">
        <v>65</v>
      </c>
      <c r="BE34" s="19" t="s">
        <v>210</v>
      </c>
      <c r="BF34" s="19" t="s">
        <v>210</v>
      </c>
      <c r="BG34" s="19">
        <v>9</v>
      </c>
      <c r="BH34" s="19">
        <v>7515.9</v>
      </c>
      <c r="BI34" s="19">
        <v>9</v>
      </c>
      <c r="BJ34" s="19">
        <v>7515.9</v>
      </c>
      <c r="BK34" s="19">
        <v>0</v>
      </c>
      <c r="BL34" s="19">
        <v>0</v>
      </c>
      <c r="BM34" s="19">
        <v>0</v>
      </c>
      <c r="BN34" s="19">
        <v>692139019747</v>
      </c>
      <c r="BO34" s="66">
        <v>46206</v>
      </c>
      <c r="BP34" s="19">
        <v>0</v>
      </c>
    </row>
    <row r="35" spans="1:68">
      <c r="A35" s="65"/>
      <c r="B35" s="20" t="s">
        <v>2216</v>
      </c>
      <c r="C35" s="111">
        <v>46088</v>
      </c>
      <c r="D35" s="20" t="s">
        <v>3558</v>
      </c>
      <c r="E35" s="20" t="s">
        <v>18</v>
      </c>
      <c r="F35" s="20" t="s">
        <v>19</v>
      </c>
      <c r="H35" s="20" t="s">
        <v>2625</v>
      </c>
      <c r="I35" s="20">
        <v>150000</v>
      </c>
      <c r="J35" s="20">
        <v>1648</v>
      </c>
      <c r="K35" s="20" t="s">
        <v>11</v>
      </c>
      <c r="L35" s="20">
        <v>1648</v>
      </c>
      <c r="M35" s="20">
        <v>84097</v>
      </c>
      <c r="N35" s="20">
        <v>1648</v>
      </c>
      <c r="O35" s="20" t="s">
        <v>2201</v>
      </c>
      <c r="P35" s="20" t="s">
        <v>87</v>
      </c>
      <c r="Q35" s="20" t="s">
        <v>87</v>
      </c>
      <c r="R35" s="111" t="s">
        <v>2791</v>
      </c>
      <c r="S35" s="111">
        <v>46088</v>
      </c>
      <c r="T35" s="20" t="s">
        <v>206</v>
      </c>
      <c r="U35" s="20" t="s">
        <v>207</v>
      </c>
      <c r="V35" s="20" t="s">
        <v>2790</v>
      </c>
      <c r="W35" s="20">
        <v>147.74</v>
      </c>
      <c r="X35" s="20">
        <v>147.73999930304501</v>
      </c>
      <c r="Y35" s="111" t="s">
        <v>2791</v>
      </c>
      <c r="Z35" s="111">
        <v>46088</v>
      </c>
      <c r="AB35" s="20" t="s">
        <v>2376</v>
      </c>
      <c r="AD35" s="20" t="s">
        <v>2376</v>
      </c>
      <c r="AE35" s="20" t="s">
        <v>2376</v>
      </c>
      <c r="AF35" s="20">
        <v>0</v>
      </c>
      <c r="AG35" s="20">
        <v>0</v>
      </c>
      <c r="AH35" s="20">
        <v>0</v>
      </c>
      <c r="AI35" s="20">
        <v>0</v>
      </c>
      <c r="AJ35" s="20">
        <v>0</v>
      </c>
      <c r="AK35" s="111" t="s">
        <v>609</v>
      </c>
      <c r="AL35" s="20">
        <v>0</v>
      </c>
      <c r="AM35" s="20">
        <v>0</v>
      </c>
      <c r="AN35" s="20">
        <v>0</v>
      </c>
      <c r="AO35" s="20">
        <v>0</v>
      </c>
      <c r="AP35" s="20">
        <v>0</v>
      </c>
      <c r="AR35" s="20">
        <v>0</v>
      </c>
      <c r="AS35" s="20">
        <v>0</v>
      </c>
      <c r="AT35" s="20">
        <v>1695833.07</v>
      </c>
      <c r="AU35" s="20" t="s">
        <v>13</v>
      </c>
      <c r="AV35" s="20" t="s">
        <v>62</v>
      </c>
      <c r="AW35" s="111" t="s">
        <v>63</v>
      </c>
      <c r="AX35" s="20" t="s">
        <v>208</v>
      </c>
      <c r="AY35" s="19" t="s">
        <v>209</v>
      </c>
      <c r="AZ35" s="19">
        <v>0</v>
      </c>
      <c r="BA35" s="19">
        <v>243475.52</v>
      </c>
      <c r="BB35" s="19">
        <v>757</v>
      </c>
      <c r="BC35" s="66">
        <v>46088</v>
      </c>
      <c r="BD35" s="19" t="s">
        <v>65</v>
      </c>
      <c r="BE35" s="19" t="s">
        <v>210</v>
      </c>
      <c r="BF35" s="19" t="s">
        <v>210</v>
      </c>
      <c r="BG35" s="19">
        <v>9</v>
      </c>
      <c r="BH35" s="19">
        <v>21912.799999999999</v>
      </c>
      <c r="BI35" s="19">
        <v>9</v>
      </c>
      <c r="BJ35" s="19">
        <v>21912.799999999999</v>
      </c>
      <c r="BK35" s="19">
        <v>0</v>
      </c>
      <c r="BL35" s="19">
        <v>0</v>
      </c>
      <c r="BM35" s="19">
        <v>1695833.07</v>
      </c>
      <c r="BN35" s="19">
        <v>672139136855</v>
      </c>
      <c r="BO35" s="66">
        <v>46206</v>
      </c>
      <c r="BP35" s="19">
        <v>0</v>
      </c>
    </row>
    <row r="36" spans="1:68">
      <c r="A36" s="65"/>
      <c r="B36" s="20" t="s">
        <v>2216</v>
      </c>
      <c r="C36" s="111">
        <v>46088</v>
      </c>
      <c r="D36" s="20" t="s">
        <v>3558</v>
      </c>
      <c r="E36" s="20" t="s">
        <v>160</v>
      </c>
      <c r="F36" s="20" t="s">
        <v>17</v>
      </c>
      <c r="H36" s="20" t="s">
        <v>2625</v>
      </c>
      <c r="I36" s="20">
        <v>10000</v>
      </c>
      <c r="J36" s="20">
        <v>1730</v>
      </c>
      <c r="K36" s="20" t="s">
        <v>11</v>
      </c>
      <c r="L36" s="20">
        <v>1730</v>
      </c>
      <c r="M36" s="20">
        <v>1210</v>
      </c>
      <c r="N36" s="20">
        <v>1730</v>
      </c>
      <c r="O36" s="20" t="s">
        <v>2201</v>
      </c>
      <c r="P36" s="20" t="s">
        <v>87</v>
      </c>
      <c r="Q36" s="20" t="s">
        <v>87</v>
      </c>
      <c r="R36" s="111" t="s">
        <v>2791</v>
      </c>
      <c r="S36" s="111">
        <v>46088</v>
      </c>
      <c r="T36" s="20" t="s">
        <v>206</v>
      </c>
      <c r="U36" s="20" t="s">
        <v>207</v>
      </c>
      <c r="V36" s="20" t="s">
        <v>2790</v>
      </c>
      <c r="W36" s="20">
        <v>185.15</v>
      </c>
      <c r="X36" s="20">
        <v>185.14999912656501</v>
      </c>
      <c r="Y36" s="111" t="s">
        <v>2791</v>
      </c>
      <c r="Z36" s="111">
        <v>46088</v>
      </c>
      <c r="AB36" s="20" t="s">
        <v>2376</v>
      </c>
      <c r="AD36" s="20" t="s">
        <v>2376</v>
      </c>
      <c r="AE36" s="20" t="s">
        <v>2376</v>
      </c>
      <c r="AF36" s="20">
        <v>0</v>
      </c>
      <c r="AG36" s="20">
        <v>0</v>
      </c>
      <c r="AH36" s="20">
        <v>0</v>
      </c>
      <c r="AI36" s="20">
        <v>0</v>
      </c>
      <c r="AJ36" s="20">
        <v>0</v>
      </c>
      <c r="AK36" s="111" t="s">
        <v>609</v>
      </c>
      <c r="AL36" s="20">
        <v>0</v>
      </c>
      <c r="AM36" s="20">
        <v>0</v>
      </c>
      <c r="AN36" s="20">
        <v>0</v>
      </c>
      <c r="AO36" s="20">
        <v>0</v>
      </c>
      <c r="AP36" s="20">
        <v>0</v>
      </c>
      <c r="AR36" s="20">
        <v>0</v>
      </c>
      <c r="AS36" s="20">
        <v>0</v>
      </c>
      <c r="AT36" s="20">
        <v>1695833.07</v>
      </c>
      <c r="AU36" s="20" t="s">
        <v>13</v>
      </c>
      <c r="AV36" s="20" t="s">
        <v>80</v>
      </c>
      <c r="AW36" s="111" t="s">
        <v>81</v>
      </c>
      <c r="AX36" s="20" t="s">
        <v>208</v>
      </c>
      <c r="AY36" s="19" t="s">
        <v>209</v>
      </c>
      <c r="AZ36" s="19">
        <v>0</v>
      </c>
      <c r="BA36" s="19">
        <v>320309.5</v>
      </c>
      <c r="BB36" s="19">
        <v>757</v>
      </c>
      <c r="BC36" s="66">
        <v>46088</v>
      </c>
      <c r="BD36" s="19" t="s">
        <v>65</v>
      </c>
      <c r="BE36" s="19" t="s">
        <v>210</v>
      </c>
      <c r="BF36" s="19" t="s">
        <v>210</v>
      </c>
      <c r="BG36" s="19">
        <v>9</v>
      </c>
      <c r="BH36" s="19">
        <v>28827.86</v>
      </c>
      <c r="BI36" s="19">
        <v>9</v>
      </c>
      <c r="BJ36" s="19">
        <v>28827.86</v>
      </c>
      <c r="BK36" s="19">
        <v>0</v>
      </c>
      <c r="BL36" s="19">
        <v>0</v>
      </c>
      <c r="BM36" s="19">
        <v>0</v>
      </c>
      <c r="BN36" s="19">
        <v>672139136855</v>
      </c>
      <c r="BO36" s="66">
        <v>46206</v>
      </c>
      <c r="BP36" s="19">
        <v>0</v>
      </c>
    </row>
    <row r="37" spans="1:68">
      <c r="A37" s="65"/>
      <c r="B37" s="20" t="s">
        <v>2216</v>
      </c>
      <c r="C37" s="111">
        <v>46088</v>
      </c>
      <c r="D37" s="20" t="s">
        <v>3558</v>
      </c>
      <c r="E37" s="20" t="s">
        <v>160</v>
      </c>
      <c r="F37" s="20" t="s">
        <v>17</v>
      </c>
      <c r="H37" s="20" t="s">
        <v>3559</v>
      </c>
      <c r="I37" s="20">
        <v>3398</v>
      </c>
      <c r="J37" s="20">
        <v>3398</v>
      </c>
      <c r="K37" s="20" t="s">
        <v>11</v>
      </c>
      <c r="L37" s="20">
        <v>3398</v>
      </c>
      <c r="M37" s="20">
        <v>0</v>
      </c>
      <c r="N37" s="20">
        <v>3398</v>
      </c>
      <c r="O37" s="20" t="s">
        <v>2201</v>
      </c>
      <c r="P37" s="20" t="s">
        <v>87</v>
      </c>
      <c r="Q37" s="20" t="s">
        <v>87</v>
      </c>
      <c r="R37" s="111" t="s">
        <v>2791</v>
      </c>
      <c r="S37" s="111">
        <v>46088</v>
      </c>
      <c r="T37" s="20" t="s">
        <v>206</v>
      </c>
      <c r="U37" s="20" t="s">
        <v>207</v>
      </c>
      <c r="V37" s="20" t="s">
        <v>2790</v>
      </c>
      <c r="W37" s="20">
        <v>181.15</v>
      </c>
      <c r="X37" s="20">
        <v>181.149999145435</v>
      </c>
      <c r="Y37" s="111" t="s">
        <v>2791</v>
      </c>
      <c r="Z37" s="111">
        <v>46088</v>
      </c>
      <c r="AB37" s="20" t="s">
        <v>2376</v>
      </c>
      <c r="AD37" s="20" t="s">
        <v>2376</v>
      </c>
      <c r="AE37" s="20" t="s">
        <v>2376</v>
      </c>
      <c r="AF37" s="20">
        <v>0</v>
      </c>
      <c r="AG37" s="20">
        <v>0</v>
      </c>
      <c r="AH37" s="20">
        <v>0</v>
      </c>
      <c r="AI37" s="20">
        <v>0</v>
      </c>
      <c r="AJ37" s="20">
        <v>0</v>
      </c>
      <c r="AK37" s="111" t="s">
        <v>609</v>
      </c>
      <c r="AL37" s="20">
        <v>0</v>
      </c>
      <c r="AM37" s="20">
        <v>0</v>
      </c>
      <c r="AN37" s="20">
        <v>0</v>
      </c>
      <c r="AO37" s="20">
        <v>0</v>
      </c>
      <c r="AP37" s="20">
        <v>0</v>
      </c>
      <c r="AR37" s="20">
        <v>0</v>
      </c>
      <c r="AS37" s="20">
        <v>0</v>
      </c>
      <c r="AT37" s="20">
        <v>1695833.07</v>
      </c>
      <c r="AU37" s="20" t="s">
        <v>13</v>
      </c>
      <c r="AV37" s="20" t="s">
        <v>80</v>
      </c>
      <c r="AW37" s="111" t="s">
        <v>81</v>
      </c>
      <c r="AX37" s="20" t="s">
        <v>208</v>
      </c>
      <c r="AY37" s="19" t="s">
        <v>209</v>
      </c>
      <c r="AZ37" s="19">
        <v>0</v>
      </c>
      <c r="BA37" s="19">
        <v>615547.69999999995</v>
      </c>
      <c r="BB37" s="19">
        <v>757</v>
      </c>
      <c r="BC37" s="66">
        <v>46088</v>
      </c>
      <c r="BD37" s="19" t="s">
        <v>65</v>
      </c>
      <c r="BE37" s="19" t="s">
        <v>210</v>
      </c>
      <c r="BF37" s="19" t="s">
        <v>210</v>
      </c>
      <c r="BG37" s="19">
        <v>9</v>
      </c>
      <c r="BH37" s="19">
        <v>55399.29</v>
      </c>
      <c r="BI37" s="19">
        <v>9</v>
      </c>
      <c r="BJ37" s="19">
        <v>55399.29</v>
      </c>
      <c r="BK37" s="19">
        <v>0</v>
      </c>
      <c r="BL37" s="19">
        <v>0</v>
      </c>
      <c r="BM37" s="19">
        <v>0</v>
      </c>
      <c r="BN37" s="19">
        <v>672139136855</v>
      </c>
      <c r="BO37" s="66">
        <v>46206</v>
      </c>
      <c r="BP37" s="19">
        <v>0</v>
      </c>
    </row>
    <row r="38" spans="1:68">
      <c r="A38" s="65"/>
      <c r="B38" s="20" t="s">
        <v>2216</v>
      </c>
      <c r="C38" s="111">
        <v>46088</v>
      </c>
      <c r="D38" s="20" t="s">
        <v>3558</v>
      </c>
      <c r="E38" s="20" t="s">
        <v>23</v>
      </c>
      <c r="F38" s="20" t="s">
        <v>24</v>
      </c>
      <c r="H38" s="20" t="s">
        <v>2625</v>
      </c>
      <c r="I38" s="20">
        <v>15000</v>
      </c>
      <c r="J38" s="20">
        <v>192.1</v>
      </c>
      <c r="K38" s="20" t="s">
        <v>11</v>
      </c>
      <c r="L38" s="20">
        <v>192.1</v>
      </c>
      <c r="M38" s="20">
        <v>10816.1</v>
      </c>
      <c r="N38" s="20">
        <v>192.1</v>
      </c>
      <c r="O38" s="20" t="s">
        <v>2201</v>
      </c>
      <c r="P38" s="20" t="s">
        <v>87</v>
      </c>
      <c r="Q38" s="20" t="s">
        <v>87</v>
      </c>
      <c r="R38" s="111" t="s">
        <v>2791</v>
      </c>
      <c r="S38" s="111">
        <v>46088</v>
      </c>
      <c r="T38" s="20" t="s">
        <v>206</v>
      </c>
      <c r="U38" s="20" t="s">
        <v>207</v>
      </c>
      <c r="V38" s="20" t="s">
        <v>2790</v>
      </c>
      <c r="W38" s="20">
        <v>149.74</v>
      </c>
      <c r="X38" s="20">
        <v>149.73999929361</v>
      </c>
      <c r="Y38" s="111" t="s">
        <v>2791</v>
      </c>
      <c r="Z38" s="111">
        <v>46088</v>
      </c>
      <c r="AB38" s="20" t="s">
        <v>2376</v>
      </c>
      <c r="AD38" s="20" t="s">
        <v>2376</v>
      </c>
      <c r="AE38" s="20" t="s">
        <v>2376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111" t="s">
        <v>609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R38" s="20">
        <v>0</v>
      </c>
      <c r="AS38" s="20">
        <v>0</v>
      </c>
      <c r="AT38" s="20">
        <v>1695833.07</v>
      </c>
      <c r="AU38" s="20" t="s">
        <v>13</v>
      </c>
      <c r="AV38" s="20" t="s">
        <v>24</v>
      </c>
      <c r="AW38" s="111" t="s">
        <v>79</v>
      </c>
      <c r="AX38" s="20" t="s">
        <v>208</v>
      </c>
      <c r="AY38" s="19" t="s">
        <v>209</v>
      </c>
      <c r="AZ38" s="19">
        <v>0</v>
      </c>
      <c r="BA38" s="19">
        <v>28765.05</v>
      </c>
      <c r="BB38" s="19">
        <v>757</v>
      </c>
      <c r="BC38" s="66">
        <v>46088</v>
      </c>
      <c r="BD38" s="19" t="s">
        <v>65</v>
      </c>
      <c r="BE38" s="19" t="s">
        <v>210</v>
      </c>
      <c r="BF38" s="19" t="s">
        <v>210</v>
      </c>
      <c r="BG38" s="19">
        <v>9</v>
      </c>
      <c r="BH38" s="19">
        <v>2588.85</v>
      </c>
      <c r="BI38" s="19">
        <v>9</v>
      </c>
      <c r="BJ38" s="19">
        <v>2588.85</v>
      </c>
      <c r="BK38" s="19">
        <v>0</v>
      </c>
      <c r="BL38" s="19">
        <v>0</v>
      </c>
      <c r="BM38" s="19">
        <v>0</v>
      </c>
      <c r="BN38" s="19">
        <v>672139136855</v>
      </c>
      <c r="BO38" s="66">
        <v>46206</v>
      </c>
      <c r="BP38" s="19">
        <v>0</v>
      </c>
    </row>
    <row r="39" spans="1:68">
      <c r="A39" s="65"/>
      <c r="B39" s="20" t="s">
        <v>2216</v>
      </c>
      <c r="C39" s="111">
        <v>46088</v>
      </c>
      <c r="D39" s="20" t="s">
        <v>3558</v>
      </c>
      <c r="E39" s="20" t="s">
        <v>23</v>
      </c>
      <c r="F39" s="20" t="s">
        <v>24</v>
      </c>
      <c r="H39" s="20" t="s">
        <v>2625</v>
      </c>
      <c r="I39" s="20">
        <v>30000</v>
      </c>
      <c r="J39" s="20">
        <v>1499.6</v>
      </c>
      <c r="K39" s="20" t="s">
        <v>11</v>
      </c>
      <c r="L39" s="20">
        <v>1499.6</v>
      </c>
      <c r="M39" s="20">
        <v>14792.4</v>
      </c>
      <c r="N39" s="20">
        <v>1499.6</v>
      </c>
      <c r="O39" s="20" t="s">
        <v>2201</v>
      </c>
      <c r="P39" s="20" t="s">
        <v>87</v>
      </c>
      <c r="Q39" s="20" t="s">
        <v>87</v>
      </c>
      <c r="R39" s="111" t="s">
        <v>2791</v>
      </c>
      <c r="S39" s="111">
        <v>46088</v>
      </c>
      <c r="T39" s="20" t="s">
        <v>206</v>
      </c>
      <c r="U39" s="20" t="s">
        <v>207</v>
      </c>
      <c r="V39" s="20" t="s">
        <v>2790</v>
      </c>
      <c r="W39" s="20">
        <v>152.74</v>
      </c>
      <c r="X39" s="20">
        <v>152.73999927945701</v>
      </c>
      <c r="Y39" s="111" t="s">
        <v>2791</v>
      </c>
      <c r="Z39" s="111">
        <v>46088</v>
      </c>
      <c r="AB39" s="20" t="s">
        <v>2376</v>
      </c>
      <c r="AD39" s="20" t="s">
        <v>2376</v>
      </c>
      <c r="AE39" s="20" t="s">
        <v>2376</v>
      </c>
      <c r="AF39" s="20">
        <v>0</v>
      </c>
      <c r="AG39" s="20">
        <v>0</v>
      </c>
      <c r="AH39" s="20">
        <v>0</v>
      </c>
      <c r="AI39" s="20">
        <v>0</v>
      </c>
      <c r="AJ39" s="20">
        <v>0</v>
      </c>
      <c r="AK39" s="111" t="s">
        <v>609</v>
      </c>
      <c r="AL39" s="20">
        <v>0</v>
      </c>
      <c r="AM39" s="20">
        <v>0</v>
      </c>
      <c r="AN39" s="20">
        <v>0</v>
      </c>
      <c r="AO39" s="20">
        <v>0</v>
      </c>
      <c r="AP39" s="20">
        <v>0</v>
      </c>
      <c r="AR39" s="20">
        <v>0</v>
      </c>
      <c r="AS39" s="20">
        <v>0</v>
      </c>
      <c r="AT39" s="20">
        <v>1695833.07</v>
      </c>
      <c r="AU39" s="20" t="s">
        <v>13</v>
      </c>
      <c r="AV39" s="20" t="s">
        <v>24</v>
      </c>
      <c r="AW39" s="111" t="s">
        <v>79</v>
      </c>
      <c r="AX39" s="20" t="s">
        <v>208</v>
      </c>
      <c r="AY39" s="19" t="s">
        <v>209</v>
      </c>
      <c r="AZ39" s="19">
        <v>0</v>
      </c>
      <c r="BA39" s="19">
        <v>229048.9</v>
      </c>
      <c r="BB39" s="19">
        <v>757</v>
      </c>
      <c r="BC39" s="66">
        <v>46088</v>
      </c>
      <c r="BD39" s="19" t="s">
        <v>65</v>
      </c>
      <c r="BE39" s="19" t="s">
        <v>210</v>
      </c>
      <c r="BF39" s="19" t="s">
        <v>210</v>
      </c>
      <c r="BG39" s="19">
        <v>9</v>
      </c>
      <c r="BH39" s="19">
        <v>20614.400000000001</v>
      </c>
      <c r="BI39" s="19">
        <v>9</v>
      </c>
      <c r="BJ39" s="19">
        <v>20614.400000000001</v>
      </c>
      <c r="BK39" s="19">
        <v>0</v>
      </c>
      <c r="BL39" s="19">
        <v>0</v>
      </c>
      <c r="BM39" s="19">
        <v>0</v>
      </c>
      <c r="BN39" s="19">
        <v>672139136855</v>
      </c>
      <c r="BO39" s="66">
        <v>46206</v>
      </c>
      <c r="BP39" s="19">
        <v>0</v>
      </c>
    </row>
    <row r="40" spans="1:68">
      <c r="A40" s="65"/>
      <c r="B40" s="20" t="s">
        <v>2216</v>
      </c>
      <c r="C40" s="111">
        <v>46119</v>
      </c>
      <c r="D40" s="20" t="s">
        <v>3560</v>
      </c>
      <c r="E40" s="20" t="s">
        <v>160</v>
      </c>
      <c r="F40" s="20" t="s">
        <v>17</v>
      </c>
      <c r="H40" s="20" t="s">
        <v>3561</v>
      </c>
      <c r="I40" s="20">
        <v>6269</v>
      </c>
      <c r="J40" s="20">
        <v>6269</v>
      </c>
      <c r="K40" s="20" t="s">
        <v>11</v>
      </c>
      <c r="L40" s="20">
        <v>6269</v>
      </c>
      <c r="M40" s="20">
        <v>0</v>
      </c>
      <c r="N40" s="20">
        <v>6269</v>
      </c>
      <c r="O40" s="20" t="s">
        <v>2203</v>
      </c>
      <c r="P40" s="20" t="s">
        <v>87</v>
      </c>
      <c r="Q40" s="20" t="s">
        <v>87</v>
      </c>
      <c r="R40" s="111" t="s">
        <v>2795</v>
      </c>
      <c r="S40" s="111">
        <v>46119</v>
      </c>
      <c r="T40" s="20" t="s">
        <v>206</v>
      </c>
      <c r="U40" s="20" t="s">
        <v>207</v>
      </c>
      <c r="V40" s="20" t="s">
        <v>2794</v>
      </c>
      <c r="W40" s="20">
        <v>181.15</v>
      </c>
      <c r="X40" s="20">
        <v>181.15</v>
      </c>
      <c r="Y40" s="111" t="s">
        <v>2795</v>
      </c>
      <c r="Z40" s="111">
        <v>46119</v>
      </c>
      <c r="AB40" s="20" t="s">
        <v>2376</v>
      </c>
      <c r="AD40" s="20" t="s">
        <v>2376</v>
      </c>
      <c r="AE40" s="20" t="s">
        <v>2376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111" t="s">
        <v>609</v>
      </c>
      <c r="AL40" s="20">
        <v>0</v>
      </c>
      <c r="AM40" s="20">
        <v>0</v>
      </c>
      <c r="AN40" s="20">
        <v>0</v>
      </c>
      <c r="AO40" s="20">
        <v>0</v>
      </c>
      <c r="AP40" s="20">
        <v>0</v>
      </c>
      <c r="AR40" s="20">
        <v>0</v>
      </c>
      <c r="AS40" s="20">
        <v>0</v>
      </c>
      <c r="AT40" s="20">
        <v>1487514.6</v>
      </c>
      <c r="AU40" s="20" t="s">
        <v>13</v>
      </c>
      <c r="AV40" s="20" t="s">
        <v>80</v>
      </c>
      <c r="AW40" s="111" t="s">
        <v>81</v>
      </c>
      <c r="AX40" s="20" t="s">
        <v>208</v>
      </c>
      <c r="AY40" s="19" t="s">
        <v>209</v>
      </c>
      <c r="AZ40" s="19">
        <v>0</v>
      </c>
      <c r="BA40" s="19">
        <v>1135629.3500000001</v>
      </c>
      <c r="BB40" s="19">
        <v>760</v>
      </c>
      <c r="BC40" s="66">
        <v>46119</v>
      </c>
      <c r="BD40" s="19" t="s">
        <v>65</v>
      </c>
      <c r="BE40" s="19" t="s">
        <v>210</v>
      </c>
      <c r="BF40" s="19" t="s">
        <v>210</v>
      </c>
      <c r="BG40" s="19">
        <v>9</v>
      </c>
      <c r="BH40" s="19">
        <v>102206.64</v>
      </c>
      <c r="BI40" s="19">
        <v>9</v>
      </c>
      <c r="BJ40" s="19">
        <v>102206.64</v>
      </c>
      <c r="BK40" s="19">
        <v>0</v>
      </c>
      <c r="BL40" s="19">
        <v>0</v>
      </c>
      <c r="BM40" s="19">
        <v>1487514.6</v>
      </c>
      <c r="BN40" s="19">
        <v>602139723346</v>
      </c>
      <c r="BO40" s="66">
        <v>46207</v>
      </c>
      <c r="BP40" s="19">
        <v>0</v>
      </c>
    </row>
    <row r="41" spans="1:68">
      <c r="A41" s="65"/>
      <c r="B41" s="20" t="s">
        <v>2216</v>
      </c>
      <c r="C41" s="111">
        <v>46119</v>
      </c>
      <c r="D41" s="20" t="s">
        <v>3560</v>
      </c>
      <c r="E41" s="20" t="s">
        <v>160</v>
      </c>
      <c r="F41" s="20" t="s">
        <v>17</v>
      </c>
      <c r="H41" s="20" t="s">
        <v>3561</v>
      </c>
      <c r="I41" s="20">
        <v>675</v>
      </c>
      <c r="J41" s="20">
        <v>675</v>
      </c>
      <c r="K41" s="20" t="s">
        <v>11</v>
      </c>
      <c r="L41" s="20">
        <v>675</v>
      </c>
      <c r="M41" s="20">
        <v>0</v>
      </c>
      <c r="N41" s="20">
        <v>675</v>
      </c>
      <c r="O41" s="20" t="s">
        <v>2203</v>
      </c>
      <c r="P41" s="20" t="s">
        <v>87</v>
      </c>
      <c r="Q41" s="20" t="s">
        <v>87</v>
      </c>
      <c r="R41" s="111" t="s">
        <v>2795</v>
      </c>
      <c r="S41" s="111">
        <v>46119</v>
      </c>
      <c r="T41" s="20" t="s">
        <v>206</v>
      </c>
      <c r="U41" s="20" t="s">
        <v>207</v>
      </c>
      <c r="V41" s="20" t="s">
        <v>2794</v>
      </c>
      <c r="W41" s="20">
        <v>185.15</v>
      </c>
      <c r="X41" s="20">
        <v>185.15</v>
      </c>
      <c r="Y41" s="111" t="s">
        <v>2795</v>
      </c>
      <c r="Z41" s="111">
        <v>46119</v>
      </c>
      <c r="AB41" s="20" t="s">
        <v>2376</v>
      </c>
      <c r="AD41" s="20" t="s">
        <v>2376</v>
      </c>
      <c r="AE41" s="20" t="s">
        <v>2376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111" t="s">
        <v>609</v>
      </c>
      <c r="AL41" s="20">
        <v>0</v>
      </c>
      <c r="AM41" s="20">
        <v>0</v>
      </c>
      <c r="AN41" s="20">
        <v>0</v>
      </c>
      <c r="AO41" s="20">
        <v>0</v>
      </c>
      <c r="AP41" s="20">
        <v>0</v>
      </c>
      <c r="AR41" s="20">
        <v>0</v>
      </c>
      <c r="AS41" s="20">
        <v>0</v>
      </c>
      <c r="AT41" s="20">
        <v>1487514.6</v>
      </c>
      <c r="AU41" s="20" t="s">
        <v>13</v>
      </c>
      <c r="AV41" s="20" t="s">
        <v>80</v>
      </c>
      <c r="AW41" s="111" t="s">
        <v>81</v>
      </c>
      <c r="AX41" s="20" t="s">
        <v>208</v>
      </c>
      <c r="AY41" s="19" t="s">
        <v>209</v>
      </c>
      <c r="AZ41" s="19">
        <v>0</v>
      </c>
      <c r="BA41" s="19">
        <v>124976.25</v>
      </c>
      <c r="BB41" s="19">
        <v>760</v>
      </c>
      <c r="BC41" s="66">
        <v>46119</v>
      </c>
      <c r="BD41" s="19" t="s">
        <v>65</v>
      </c>
      <c r="BE41" s="19" t="s">
        <v>210</v>
      </c>
      <c r="BF41" s="19" t="s">
        <v>210</v>
      </c>
      <c r="BG41" s="19">
        <v>9</v>
      </c>
      <c r="BH41" s="19">
        <v>11247.86</v>
      </c>
      <c r="BI41" s="19">
        <v>9</v>
      </c>
      <c r="BJ41" s="19">
        <v>11247.86</v>
      </c>
      <c r="BK41" s="19">
        <v>0</v>
      </c>
      <c r="BL41" s="19">
        <v>0</v>
      </c>
      <c r="BM41" s="19">
        <v>0</v>
      </c>
      <c r="BN41" s="19">
        <v>602139723346</v>
      </c>
      <c r="BO41" s="66">
        <v>46207</v>
      </c>
      <c r="BP41" s="19">
        <v>0</v>
      </c>
    </row>
    <row r="42" spans="1:68">
      <c r="A42" s="65"/>
      <c r="B42" s="20" t="s">
        <v>2216</v>
      </c>
      <c r="C42" s="111">
        <v>46119</v>
      </c>
      <c r="D42" s="20" t="s">
        <v>3562</v>
      </c>
      <c r="E42" s="20" t="s">
        <v>2519</v>
      </c>
      <c r="F42" s="20" t="s">
        <v>2117</v>
      </c>
      <c r="H42" s="20" t="s">
        <v>3563</v>
      </c>
      <c r="I42" s="20">
        <v>560</v>
      </c>
      <c r="J42" s="20">
        <v>560</v>
      </c>
      <c r="K42" s="20" t="s">
        <v>11</v>
      </c>
      <c r="L42" s="20">
        <v>560</v>
      </c>
      <c r="M42" s="20">
        <v>0</v>
      </c>
      <c r="N42" s="20">
        <v>560</v>
      </c>
      <c r="O42" s="20" t="s">
        <v>2433</v>
      </c>
      <c r="P42" s="20" t="s">
        <v>94</v>
      </c>
      <c r="Q42" s="20" t="s">
        <v>94</v>
      </c>
      <c r="R42" s="111" t="s">
        <v>2803</v>
      </c>
      <c r="S42" s="111">
        <v>46119</v>
      </c>
      <c r="T42" s="20" t="s">
        <v>206</v>
      </c>
      <c r="U42" s="20" t="s">
        <v>207</v>
      </c>
      <c r="V42" s="20" t="s">
        <v>2802</v>
      </c>
      <c r="W42" s="20">
        <v>149.41</v>
      </c>
      <c r="X42" s="20">
        <v>149.41</v>
      </c>
      <c r="Y42" s="111" t="s">
        <v>2803</v>
      </c>
      <c r="Z42" s="111">
        <v>46119</v>
      </c>
      <c r="AB42" s="20" t="s">
        <v>2376</v>
      </c>
      <c r="AD42" s="20" t="s">
        <v>2376</v>
      </c>
      <c r="AE42" s="20" t="s">
        <v>2376</v>
      </c>
      <c r="AF42" s="20">
        <v>0</v>
      </c>
      <c r="AG42" s="20">
        <v>0</v>
      </c>
      <c r="AH42" s="20">
        <v>0</v>
      </c>
      <c r="AI42" s="20">
        <v>0</v>
      </c>
      <c r="AJ42" s="20">
        <v>0</v>
      </c>
      <c r="AK42" s="111" t="s">
        <v>609</v>
      </c>
      <c r="AL42" s="20">
        <v>0</v>
      </c>
      <c r="AM42" s="20">
        <v>0</v>
      </c>
      <c r="AN42" s="20">
        <v>0</v>
      </c>
      <c r="AO42" s="20">
        <v>0</v>
      </c>
      <c r="AP42" s="20">
        <v>0</v>
      </c>
      <c r="AR42" s="20">
        <v>0</v>
      </c>
      <c r="AS42" s="20">
        <v>0</v>
      </c>
      <c r="AT42" s="20">
        <v>98730.12</v>
      </c>
      <c r="AU42" s="20" t="s">
        <v>15</v>
      </c>
      <c r="AV42" s="20" t="s">
        <v>2117</v>
      </c>
      <c r="AW42" s="111" t="s">
        <v>2117</v>
      </c>
      <c r="AX42" s="20" t="s">
        <v>208</v>
      </c>
      <c r="AY42" s="19" t="s">
        <v>209</v>
      </c>
      <c r="AZ42" s="19">
        <v>0</v>
      </c>
      <c r="BA42" s="19">
        <v>83669.600000000006</v>
      </c>
      <c r="BB42" s="19">
        <v>762</v>
      </c>
      <c r="BC42" s="66">
        <v>46119</v>
      </c>
      <c r="BD42" s="19" t="s">
        <v>74</v>
      </c>
      <c r="BE42" s="19" t="s">
        <v>210</v>
      </c>
      <c r="BF42" s="19" t="s">
        <v>210</v>
      </c>
      <c r="BG42" s="19">
        <v>9</v>
      </c>
      <c r="BH42" s="19">
        <v>7530.26</v>
      </c>
      <c r="BI42" s="19">
        <v>9</v>
      </c>
      <c r="BJ42" s="19">
        <v>7530.26</v>
      </c>
      <c r="BK42" s="19">
        <v>0</v>
      </c>
      <c r="BL42" s="19">
        <v>0</v>
      </c>
      <c r="BM42" s="19">
        <v>98730.12</v>
      </c>
      <c r="BN42" s="19">
        <v>672139926847</v>
      </c>
      <c r="BO42" s="66">
        <v>46207</v>
      </c>
      <c r="BP42" s="19">
        <v>0</v>
      </c>
    </row>
    <row r="43" spans="1:68">
      <c r="A43" s="65"/>
      <c r="B43" s="20" t="s">
        <v>2216</v>
      </c>
      <c r="C43" s="111">
        <v>46119</v>
      </c>
      <c r="D43" s="20" t="s">
        <v>3564</v>
      </c>
      <c r="E43" s="20" t="s">
        <v>2519</v>
      </c>
      <c r="F43" s="20" t="s">
        <v>2117</v>
      </c>
      <c r="H43" s="20" t="s">
        <v>3565</v>
      </c>
      <c r="I43" s="20">
        <v>250</v>
      </c>
      <c r="J43" s="20">
        <v>250</v>
      </c>
      <c r="K43" s="20" t="s">
        <v>11</v>
      </c>
      <c r="L43" s="20">
        <v>250</v>
      </c>
      <c r="M43" s="20">
        <v>0</v>
      </c>
      <c r="N43" s="20">
        <v>250</v>
      </c>
      <c r="O43" s="20" t="s">
        <v>2442</v>
      </c>
      <c r="P43" s="20" t="s">
        <v>87</v>
      </c>
      <c r="Q43" s="20" t="s">
        <v>87</v>
      </c>
      <c r="R43" s="111" t="s">
        <v>2797</v>
      </c>
      <c r="S43" s="111">
        <v>46088</v>
      </c>
      <c r="T43" s="20" t="s">
        <v>206</v>
      </c>
      <c r="U43" s="20" t="s">
        <v>207</v>
      </c>
      <c r="V43" s="20" t="s">
        <v>2796</v>
      </c>
      <c r="W43" s="20">
        <v>157.74</v>
      </c>
      <c r="X43" s="20">
        <v>157.74</v>
      </c>
      <c r="Y43" s="111" t="s">
        <v>2797</v>
      </c>
      <c r="Z43" s="111">
        <v>46088</v>
      </c>
      <c r="AB43" s="20" t="s">
        <v>2376</v>
      </c>
      <c r="AD43" s="20" t="s">
        <v>2376</v>
      </c>
      <c r="AE43" s="20" t="s">
        <v>2376</v>
      </c>
      <c r="AF43" s="20">
        <v>0</v>
      </c>
      <c r="AG43" s="20">
        <v>0</v>
      </c>
      <c r="AH43" s="20">
        <v>0</v>
      </c>
      <c r="AI43" s="20">
        <v>0</v>
      </c>
      <c r="AJ43" s="20">
        <v>0</v>
      </c>
      <c r="AK43" s="111" t="s">
        <v>609</v>
      </c>
      <c r="AL43" s="20">
        <v>0</v>
      </c>
      <c r="AM43" s="20">
        <v>0</v>
      </c>
      <c r="AN43" s="20">
        <v>0</v>
      </c>
      <c r="AO43" s="20">
        <v>0</v>
      </c>
      <c r="AP43" s="20">
        <v>0</v>
      </c>
      <c r="AR43" s="20">
        <v>0</v>
      </c>
      <c r="AS43" s="20">
        <v>0</v>
      </c>
      <c r="AT43" s="20">
        <v>294825.09999999998</v>
      </c>
      <c r="AU43" s="20" t="s">
        <v>15</v>
      </c>
      <c r="AV43" s="20" t="s">
        <v>2117</v>
      </c>
      <c r="AW43" s="111" t="s">
        <v>2117</v>
      </c>
      <c r="AX43" s="20" t="s">
        <v>208</v>
      </c>
      <c r="AY43" s="19" t="s">
        <v>209</v>
      </c>
      <c r="AZ43" s="19">
        <v>0</v>
      </c>
      <c r="BA43" s="19">
        <v>39435</v>
      </c>
      <c r="BB43" s="19">
        <v>758</v>
      </c>
      <c r="BC43" s="66">
        <v>46119</v>
      </c>
      <c r="BD43" s="19" t="s">
        <v>65</v>
      </c>
      <c r="BE43" s="19" t="s">
        <v>210</v>
      </c>
      <c r="BF43" s="19" t="s">
        <v>210</v>
      </c>
      <c r="BG43" s="19">
        <v>9</v>
      </c>
      <c r="BH43" s="19">
        <v>3549.15</v>
      </c>
      <c r="BI43" s="19">
        <v>9</v>
      </c>
      <c r="BJ43" s="19">
        <v>3549.15</v>
      </c>
      <c r="BK43" s="19">
        <v>0</v>
      </c>
      <c r="BL43" s="19">
        <v>0</v>
      </c>
      <c r="BM43" s="19">
        <v>294825.09999999998</v>
      </c>
      <c r="BN43" s="19">
        <v>602139202874</v>
      </c>
      <c r="BO43" s="66">
        <v>46206</v>
      </c>
      <c r="BP43" s="19">
        <v>0</v>
      </c>
    </row>
    <row r="44" spans="1:68">
      <c r="A44" s="65"/>
      <c r="B44" s="20" t="s">
        <v>2216</v>
      </c>
      <c r="C44" s="111">
        <v>46119</v>
      </c>
      <c r="D44" s="20" t="s">
        <v>3564</v>
      </c>
      <c r="E44" s="20" t="s">
        <v>2519</v>
      </c>
      <c r="F44" s="20" t="s">
        <v>2117</v>
      </c>
      <c r="H44" s="20" t="s">
        <v>3565</v>
      </c>
      <c r="I44" s="20">
        <v>123</v>
      </c>
      <c r="J44" s="20">
        <v>123</v>
      </c>
      <c r="K44" s="20" t="s">
        <v>11</v>
      </c>
      <c r="L44" s="20">
        <v>123</v>
      </c>
      <c r="M44" s="20">
        <v>0</v>
      </c>
      <c r="N44" s="20">
        <v>123</v>
      </c>
      <c r="O44" s="20" t="s">
        <v>2442</v>
      </c>
      <c r="P44" s="20" t="s">
        <v>87</v>
      </c>
      <c r="Q44" s="20" t="s">
        <v>87</v>
      </c>
      <c r="R44" s="111" t="s">
        <v>2797</v>
      </c>
      <c r="S44" s="111">
        <v>46088</v>
      </c>
      <c r="T44" s="20" t="s">
        <v>206</v>
      </c>
      <c r="U44" s="20" t="s">
        <v>207</v>
      </c>
      <c r="V44" s="20" t="s">
        <v>2796</v>
      </c>
      <c r="W44" s="20">
        <v>159.74</v>
      </c>
      <c r="X44" s="20">
        <v>159.74</v>
      </c>
      <c r="Y44" s="111" t="s">
        <v>2797</v>
      </c>
      <c r="Z44" s="111">
        <v>46088</v>
      </c>
      <c r="AB44" s="20" t="s">
        <v>2376</v>
      </c>
      <c r="AD44" s="20" t="s">
        <v>2376</v>
      </c>
      <c r="AE44" s="20" t="s">
        <v>2376</v>
      </c>
      <c r="AF44" s="20">
        <v>0</v>
      </c>
      <c r="AG44" s="20">
        <v>0</v>
      </c>
      <c r="AH44" s="20">
        <v>0</v>
      </c>
      <c r="AI44" s="20">
        <v>0</v>
      </c>
      <c r="AJ44" s="20">
        <v>0</v>
      </c>
      <c r="AK44" s="111" t="s">
        <v>609</v>
      </c>
      <c r="AL44" s="20">
        <v>0</v>
      </c>
      <c r="AM44" s="20">
        <v>0</v>
      </c>
      <c r="AN44" s="20">
        <v>0</v>
      </c>
      <c r="AO44" s="20">
        <v>0</v>
      </c>
      <c r="AP44" s="20">
        <v>0</v>
      </c>
      <c r="AR44" s="20">
        <v>0</v>
      </c>
      <c r="AS44" s="20">
        <v>0</v>
      </c>
      <c r="AT44" s="20">
        <v>294825.09999999998</v>
      </c>
      <c r="AU44" s="20" t="s">
        <v>15</v>
      </c>
      <c r="AV44" s="20" t="s">
        <v>2117</v>
      </c>
      <c r="AW44" s="111" t="s">
        <v>2117</v>
      </c>
      <c r="AX44" s="20" t="s">
        <v>208</v>
      </c>
      <c r="AY44" s="19" t="s">
        <v>209</v>
      </c>
      <c r="AZ44" s="19">
        <v>0</v>
      </c>
      <c r="BA44" s="19">
        <v>19648.02</v>
      </c>
      <c r="BB44" s="19">
        <v>758</v>
      </c>
      <c r="BC44" s="66">
        <v>46119</v>
      </c>
      <c r="BD44" s="19" t="s">
        <v>65</v>
      </c>
      <c r="BE44" s="19" t="s">
        <v>210</v>
      </c>
      <c r="BF44" s="19" t="s">
        <v>210</v>
      </c>
      <c r="BG44" s="19">
        <v>9</v>
      </c>
      <c r="BH44" s="19">
        <v>1768.32</v>
      </c>
      <c r="BI44" s="19">
        <v>9</v>
      </c>
      <c r="BJ44" s="19">
        <v>1768.32</v>
      </c>
      <c r="BK44" s="19">
        <v>0</v>
      </c>
      <c r="BL44" s="19">
        <v>0</v>
      </c>
      <c r="BM44" s="19">
        <v>0</v>
      </c>
      <c r="BN44" s="19">
        <v>602139202874</v>
      </c>
      <c r="BO44" s="66">
        <v>46206</v>
      </c>
      <c r="BP44" s="19">
        <v>0</v>
      </c>
    </row>
    <row r="45" spans="1:68">
      <c r="A45" s="65"/>
      <c r="B45" s="20" t="s">
        <v>2216</v>
      </c>
      <c r="C45" s="111">
        <v>46119</v>
      </c>
      <c r="D45" s="20" t="s">
        <v>3564</v>
      </c>
      <c r="E45" s="20" t="s">
        <v>18</v>
      </c>
      <c r="F45" s="20" t="s">
        <v>19</v>
      </c>
      <c r="H45" s="20" t="s">
        <v>3565</v>
      </c>
      <c r="I45" s="20">
        <v>992</v>
      </c>
      <c r="J45" s="20">
        <v>992</v>
      </c>
      <c r="K45" s="20" t="s">
        <v>11</v>
      </c>
      <c r="L45" s="20">
        <v>992</v>
      </c>
      <c r="M45" s="20">
        <v>0</v>
      </c>
      <c r="N45" s="20">
        <v>992</v>
      </c>
      <c r="O45" s="20" t="s">
        <v>2442</v>
      </c>
      <c r="P45" s="20" t="s">
        <v>87</v>
      </c>
      <c r="Q45" s="20" t="s">
        <v>87</v>
      </c>
      <c r="R45" s="111" t="s">
        <v>2797</v>
      </c>
      <c r="S45" s="111">
        <v>46088</v>
      </c>
      <c r="T45" s="20" t="s">
        <v>206</v>
      </c>
      <c r="U45" s="20" t="s">
        <v>207</v>
      </c>
      <c r="V45" s="20" t="s">
        <v>2796</v>
      </c>
      <c r="W45" s="20">
        <v>149.74</v>
      </c>
      <c r="X45" s="20">
        <v>149.74</v>
      </c>
      <c r="Y45" s="111" t="s">
        <v>2797</v>
      </c>
      <c r="Z45" s="111">
        <v>46088</v>
      </c>
      <c r="AB45" s="20" t="s">
        <v>2376</v>
      </c>
      <c r="AD45" s="20" t="s">
        <v>2376</v>
      </c>
      <c r="AE45" s="20" t="s">
        <v>2376</v>
      </c>
      <c r="AF45" s="20">
        <v>0</v>
      </c>
      <c r="AG45" s="20">
        <v>0</v>
      </c>
      <c r="AH45" s="20">
        <v>0</v>
      </c>
      <c r="AI45" s="20">
        <v>0</v>
      </c>
      <c r="AJ45" s="20">
        <v>0</v>
      </c>
      <c r="AK45" s="111" t="s">
        <v>609</v>
      </c>
      <c r="AL45" s="20">
        <v>0</v>
      </c>
      <c r="AM45" s="20">
        <v>0</v>
      </c>
      <c r="AN45" s="20">
        <v>0</v>
      </c>
      <c r="AO45" s="20">
        <v>0</v>
      </c>
      <c r="AP45" s="20">
        <v>0</v>
      </c>
      <c r="AR45" s="20">
        <v>0</v>
      </c>
      <c r="AS45" s="20">
        <v>0</v>
      </c>
      <c r="AT45" s="20">
        <v>294825.09999999998</v>
      </c>
      <c r="AU45" s="20" t="s">
        <v>13</v>
      </c>
      <c r="AV45" s="20" t="s">
        <v>62</v>
      </c>
      <c r="AW45" s="111" t="s">
        <v>63</v>
      </c>
      <c r="AX45" s="20" t="s">
        <v>208</v>
      </c>
      <c r="AY45" s="19" t="s">
        <v>209</v>
      </c>
      <c r="AZ45" s="19">
        <v>0</v>
      </c>
      <c r="BA45" s="19">
        <v>148542.07999999999</v>
      </c>
      <c r="BB45" s="19">
        <v>758</v>
      </c>
      <c r="BC45" s="66">
        <v>46119</v>
      </c>
      <c r="BD45" s="19" t="s">
        <v>65</v>
      </c>
      <c r="BE45" s="19" t="s">
        <v>210</v>
      </c>
      <c r="BF45" s="19" t="s">
        <v>210</v>
      </c>
      <c r="BG45" s="19">
        <v>9</v>
      </c>
      <c r="BH45" s="19">
        <v>13368.79</v>
      </c>
      <c r="BI45" s="19">
        <v>9</v>
      </c>
      <c r="BJ45" s="19">
        <v>13368.79</v>
      </c>
      <c r="BK45" s="19">
        <v>0</v>
      </c>
      <c r="BL45" s="19">
        <v>0</v>
      </c>
      <c r="BM45" s="19">
        <v>0</v>
      </c>
      <c r="BN45" s="19">
        <v>602139202874</v>
      </c>
      <c r="BO45" s="66">
        <v>46206</v>
      </c>
      <c r="BP45" s="19">
        <v>0</v>
      </c>
    </row>
    <row r="46" spans="1:68">
      <c r="A46" s="65"/>
      <c r="B46" s="20" t="s">
        <v>2216</v>
      </c>
      <c r="C46" s="111">
        <v>46119</v>
      </c>
      <c r="D46" s="20" t="s">
        <v>3564</v>
      </c>
      <c r="E46" s="20" t="s">
        <v>20</v>
      </c>
      <c r="F46" s="20" t="s">
        <v>21</v>
      </c>
      <c r="H46" s="20" t="s">
        <v>3565</v>
      </c>
      <c r="I46" s="20">
        <v>282</v>
      </c>
      <c r="J46" s="20">
        <v>282</v>
      </c>
      <c r="K46" s="20" t="s">
        <v>11</v>
      </c>
      <c r="L46" s="20">
        <v>282</v>
      </c>
      <c r="M46" s="20">
        <v>0</v>
      </c>
      <c r="N46" s="20">
        <v>282</v>
      </c>
      <c r="O46" s="20" t="s">
        <v>2442</v>
      </c>
      <c r="P46" s="20" t="s">
        <v>87</v>
      </c>
      <c r="Q46" s="20" t="s">
        <v>87</v>
      </c>
      <c r="R46" s="111" t="s">
        <v>2797</v>
      </c>
      <c r="S46" s="111">
        <v>46088</v>
      </c>
      <c r="T46" s="20" t="s">
        <v>206</v>
      </c>
      <c r="U46" s="20" t="s">
        <v>207</v>
      </c>
      <c r="V46" s="20" t="s">
        <v>2796</v>
      </c>
      <c r="W46" s="20">
        <v>149.74</v>
      </c>
      <c r="X46" s="20">
        <v>149.74</v>
      </c>
      <c r="Y46" s="111" t="s">
        <v>2797</v>
      </c>
      <c r="Z46" s="111">
        <v>46088</v>
      </c>
      <c r="AB46" s="20" t="s">
        <v>2376</v>
      </c>
      <c r="AD46" s="20" t="s">
        <v>2376</v>
      </c>
      <c r="AE46" s="20" t="s">
        <v>2376</v>
      </c>
      <c r="AF46" s="20">
        <v>0</v>
      </c>
      <c r="AG46" s="20">
        <v>0</v>
      </c>
      <c r="AH46" s="20">
        <v>0</v>
      </c>
      <c r="AI46" s="20">
        <v>0</v>
      </c>
      <c r="AJ46" s="20">
        <v>0</v>
      </c>
      <c r="AK46" s="111" t="s">
        <v>609</v>
      </c>
      <c r="AL46" s="20">
        <v>0</v>
      </c>
      <c r="AM46" s="20">
        <v>0</v>
      </c>
      <c r="AN46" s="20">
        <v>0</v>
      </c>
      <c r="AO46" s="20">
        <v>0</v>
      </c>
      <c r="AP46" s="20">
        <v>0</v>
      </c>
      <c r="AR46" s="20">
        <v>0</v>
      </c>
      <c r="AS46" s="20">
        <v>0</v>
      </c>
      <c r="AT46" s="20">
        <v>294825.09999999998</v>
      </c>
      <c r="AU46" s="20" t="s">
        <v>13</v>
      </c>
      <c r="AV46" s="20" t="s">
        <v>62</v>
      </c>
      <c r="AW46" s="111" t="s">
        <v>76</v>
      </c>
      <c r="AX46" s="20" t="s">
        <v>208</v>
      </c>
      <c r="AY46" s="19" t="s">
        <v>209</v>
      </c>
      <c r="AZ46" s="19">
        <v>0</v>
      </c>
      <c r="BA46" s="19">
        <v>42226.68</v>
      </c>
      <c r="BB46" s="19">
        <v>758</v>
      </c>
      <c r="BC46" s="66">
        <v>46119</v>
      </c>
      <c r="BD46" s="19" t="s">
        <v>65</v>
      </c>
      <c r="BE46" s="19" t="s">
        <v>210</v>
      </c>
      <c r="BF46" s="19" t="s">
        <v>210</v>
      </c>
      <c r="BG46" s="19">
        <v>9</v>
      </c>
      <c r="BH46" s="19">
        <v>3800.4</v>
      </c>
      <c r="BI46" s="19">
        <v>9</v>
      </c>
      <c r="BJ46" s="19">
        <v>3800.4</v>
      </c>
      <c r="BK46" s="19">
        <v>0</v>
      </c>
      <c r="BL46" s="19">
        <v>0</v>
      </c>
      <c r="BM46" s="19">
        <v>0</v>
      </c>
      <c r="BN46" s="19">
        <v>602139202874</v>
      </c>
      <c r="BO46" s="66">
        <v>46206</v>
      </c>
      <c r="BP46" s="19">
        <v>0</v>
      </c>
    </row>
    <row r="47" spans="1:68">
      <c r="A47" s="65"/>
      <c r="B47" s="20" t="s">
        <v>2216</v>
      </c>
      <c r="C47" s="111">
        <v>46119</v>
      </c>
      <c r="D47" s="20" t="s">
        <v>3566</v>
      </c>
      <c r="E47" s="20" t="s">
        <v>20</v>
      </c>
      <c r="F47" s="20" t="s">
        <v>21</v>
      </c>
      <c r="H47" s="20" t="s">
        <v>2625</v>
      </c>
      <c r="I47" s="20">
        <v>10000</v>
      </c>
      <c r="J47" s="20">
        <v>373</v>
      </c>
      <c r="K47" s="20" t="s">
        <v>11</v>
      </c>
      <c r="L47" s="20">
        <v>373</v>
      </c>
      <c r="M47" s="20">
        <v>9286</v>
      </c>
      <c r="N47" s="20">
        <v>373</v>
      </c>
      <c r="O47" s="20" t="s">
        <v>2203</v>
      </c>
      <c r="P47" s="20" t="s">
        <v>87</v>
      </c>
      <c r="Q47" s="20" t="s">
        <v>87</v>
      </c>
      <c r="R47" s="111" t="s">
        <v>2799</v>
      </c>
      <c r="S47" s="111">
        <v>46119</v>
      </c>
      <c r="T47" s="20" t="s">
        <v>206</v>
      </c>
      <c r="U47" s="20" t="s">
        <v>207</v>
      </c>
      <c r="V47" s="20" t="s">
        <v>2798</v>
      </c>
      <c r="W47" s="20">
        <v>151.74</v>
      </c>
      <c r="X47" s="20">
        <v>151.74</v>
      </c>
      <c r="Y47" s="111" t="s">
        <v>2799</v>
      </c>
      <c r="Z47" s="111">
        <v>46119</v>
      </c>
      <c r="AB47" s="20" t="s">
        <v>2376</v>
      </c>
      <c r="AD47" s="20" t="s">
        <v>2376</v>
      </c>
      <c r="AE47" s="20" t="s">
        <v>2376</v>
      </c>
      <c r="AF47" s="20">
        <v>0</v>
      </c>
      <c r="AG47" s="20">
        <v>0</v>
      </c>
      <c r="AH47" s="20">
        <v>0</v>
      </c>
      <c r="AI47" s="20">
        <v>0</v>
      </c>
      <c r="AJ47" s="20">
        <v>0</v>
      </c>
      <c r="AK47" s="111" t="s">
        <v>609</v>
      </c>
      <c r="AL47" s="20">
        <v>0</v>
      </c>
      <c r="AM47" s="20">
        <v>0</v>
      </c>
      <c r="AN47" s="20">
        <v>0</v>
      </c>
      <c r="AO47" s="20">
        <v>0</v>
      </c>
      <c r="AP47" s="20">
        <v>0</v>
      </c>
      <c r="AR47" s="20">
        <v>0</v>
      </c>
      <c r="AS47" s="20">
        <v>0</v>
      </c>
      <c r="AT47" s="20">
        <v>1460791.16</v>
      </c>
      <c r="AU47" s="20" t="s">
        <v>13</v>
      </c>
      <c r="AV47" s="20" t="s">
        <v>62</v>
      </c>
      <c r="AW47" s="111" t="s">
        <v>76</v>
      </c>
      <c r="AX47" s="20" t="s">
        <v>208</v>
      </c>
      <c r="AY47" s="19" t="s">
        <v>209</v>
      </c>
      <c r="AZ47" s="19">
        <v>0</v>
      </c>
      <c r="BA47" s="19">
        <v>56599.02</v>
      </c>
      <c r="BB47" s="19">
        <v>759</v>
      </c>
      <c r="BC47" s="66">
        <v>46119</v>
      </c>
      <c r="BD47" s="19" t="s">
        <v>65</v>
      </c>
      <c r="BE47" s="19" t="s">
        <v>210</v>
      </c>
      <c r="BF47" s="19" t="s">
        <v>210</v>
      </c>
      <c r="BG47" s="19">
        <v>9</v>
      </c>
      <c r="BH47" s="19">
        <v>5093.91</v>
      </c>
      <c r="BI47" s="19">
        <v>9</v>
      </c>
      <c r="BJ47" s="19">
        <v>5093.91</v>
      </c>
      <c r="BK47" s="19">
        <v>0</v>
      </c>
      <c r="BL47" s="19">
        <v>0</v>
      </c>
      <c r="BM47" s="19">
        <v>1460791.16</v>
      </c>
      <c r="BN47" s="19">
        <v>652139599614</v>
      </c>
      <c r="BO47" s="66">
        <v>46207</v>
      </c>
      <c r="BP47" s="19">
        <v>0</v>
      </c>
    </row>
    <row r="48" spans="1:68">
      <c r="A48" s="65"/>
      <c r="B48" s="20" t="s">
        <v>2216</v>
      </c>
      <c r="C48" s="111">
        <v>46119</v>
      </c>
      <c r="D48" s="20" t="s">
        <v>3566</v>
      </c>
      <c r="E48" s="20" t="s">
        <v>18</v>
      </c>
      <c r="F48" s="20" t="s">
        <v>19</v>
      </c>
      <c r="H48" s="20" t="s">
        <v>2625</v>
      </c>
      <c r="I48" s="20">
        <v>70000</v>
      </c>
      <c r="J48" s="20">
        <v>2760</v>
      </c>
      <c r="K48" s="20" t="s">
        <v>11</v>
      </c>
      <c r="L48" s="20">
        <v>2760</v>
      </c>
      <c r="M48" s="20">
        <v>36114</v>
      </c>
      <c r="N48" s="20">
        <v>2760</v>
      </c>
      <c r="O48" s="20" t="s">
        <v>2203</v>
      </c>
      <c r="P48" s="20" t="s">
        <v>87</v>
      </c>
      <c r="Q48" s="20" t="s">
        <v>87</v>
      </c>
      <c r="R48" s="111" t="s">
        <v>2799</v>
      </c>
      <c r="S48" s="111">
        <v>46119</v>
      </c>
      <c r="T48" s="20" t="s">
        <v>206</v>
      </c>
      <c r="U48" s="20" t="s">
        <v>207</v>
      </c>
      <c r="V48" s="20" t="s">
        <v>2798</v>
      </c>
      <c r="W48" s="20">
        <v>149.74</v>
      </c>
      <c r="X48" s="20">
        <v>149.74</v>
      </c>
      <c r="Y48" s="111" t="s">
        <v>2799</v>
      </c>
      <c r="Z48" s="111">
        <v>46119</v>
      </c>
      <c r="AB48" s="20" t="s">
        <v>2376</v>
      </c>
      <c r="AD48" s="20" t="s">
        <v>2376</v>
      </c>
      <c r="AE48" s="20" t="s">
        <v>2376</v>
      </c>
      <c r="AF48" s="20">
        <v>0</v>
      </c>
      <c r="AG48" s="20">
        <v>0</v>
      </c>
      <c r="AH48" s="20">
        <v>0</v>
      </c>
      <c r="AI48" s="20">
        <v>0</v>
      </c>
      <c r="AJ48" s="20">
        <v>0</v>
      </c>
      <c r="AK48" s="111" t="s">
        <v>609</v>
      </c>
      <c r="AL48" s="20">
        <v>0</v>
      </c>
      <c r="AM48" s="20">
        <v>0</v>
      </c>
      <c r="AN48" s="20">
        <v>0</v>
      </c>
      <c r="AO48" s="20">
        <v>0</v>
      </c>
      <c r="AP48" s="20">
        <v>0</v>
      </c>
      <c r="AR48" s="20">
        <v>0</v>
      </c>
      <c r="AS48" s="20">
        <v>0</v>
      </c>
      <c r="AT48" s="20">
        <v>1460791.16</v>
      </c>
      <c r="AU48" s="20" t="s">
        <v>13</v>
      </c>
      <c r="AV48" s="20" t="s">
        <v>62</v>
      </c>
      <c r="AW48" s="111" t="s">
        <v>63</v>
      </c>
      <c r="AX48" s="20" t="s">
        <v>208</v>
      </c>
      <c r="AY48" s="19" t="s">
        <v>209</v>
      </c>
      <c r="AZ48" s="19">
        <v>0</v>
      </c>
      <c r="BA48" s="19">
        <v>413282.4</v>
      </c>
      <c r="BB48" s="19">
        <v>759</v>
      </c>
      <c r="BC48" s="66">
        <v>46119</v>
      </c>
      <c r="BD48" s="19" t="s">
        <v>65</v>
      </c>
      <c r="BE48" s="19" t="s">
        <v>210</v>
      </c>
      <c r="BF48" s="19" t="s">
        <v>210</v>
      </c>
      <c r="BG48" s="19">
        <v>9</v>
      </c>
      <c r="BH48" s="19">
        <v>37195.42</v>
      </c>
      <c r="BI48" s="19">
        <v>9</v>
      </c>
      <c r="BJ48" s="19">
        <v>37195.42</v>
      </c>
      <c r="BK48" s="19">
        <v>0</v>
      </c>
      <c r="BL48" s="19">
        <v>0</v>
      </c>
      <c r="BM48" s="19">
        <v>0</v>
      </c>
      <c r="BN48" s="19">
        <v>652139599614</v>
      </c>
      <c r="BO48" s="66">
        <v>46207</v>
      </c>
      <c r="BP48" s="19">
        <v>0</v>
      </c>
    </row>
    <row r="49" spans="1:68">
      <c r="A49" s="65"/>
      <c r="B49" s="20" t="s">
        <v>2216</v>
      </c>
      <c r="C49" s="111">
        <v>46119</v>
      </c>
      <c r="D49" s="20" t="s">
        <v>3566</v>
      </c>
      <c r="E49" s="20" t="s">
        <v>18</v>
      </c>
      <c r="F49" s="20" t="s">
        <v>19</v>
      </c>
      <c r="H49" s="20" t="s">
        <v>2625</v>
      </c>
      <c r="I49" s="20">
        <v>150000</v>
      </c>
      <c r="J49" s="20">
        <v>4252</v>
      </c>
      <c r="K49" s="20" t="s">
        <v>11</v>
      </c>
      <c r="L49" s="20">
        <v>4252</v>
      </c>
      <c r="M49" s="20">
        <v>79845</v>
      </c>
      <c r="N49" s="20">
        <v>4252</v>
      </c>
      <c r="O49" s="20" t="s">
        <v>2203</v>
      </c>
      <c r="P49" s="20" t="s">
        <v>87</v>
      </c>
      <c r="Q49" s="20" t="s">
        <v>87</v>
      </c>
      <c r="R49" s="111" t="s">
        <v>2799</v>
      </c>
      <c r="S49" s="111">
        <v>46119</v>
      </c>
      <c r="T49" s="20" t="s">
        <v>206</v>
      </c>
      <c r="U49" s="20" t="s">
        <v>207</v>
      </c>
      <c r="V49" s="20" t="s">
        <v>2798</v>
      </c>
      <c r="W49" s="20">
        <v>147.74</v>
      </c>
      <c r="X49" s="20">
        <v>147.74</v>
      </c>
      <c r="Y49" s="111" t="s">
        <v>2799</v>
      </c>
      <c r="Z49" s="111">
        <v>46119</v>
      </c>
      <c r="AB49" s="20" t="s">
        <v>2376</v>
      </c>
      <c r="AD49" s="20" t="s">
        <v>2376</v>
      </c>
      <c r="AE49" s="20" t="s">
        <v>2376</v>
      </c>
      <c r="AF49" s="20">
        <v>0</v>
      </c>
      <c r="AG49" s="20">
        <v>0</v>
      </c>
      <c r="AH49" s="20">
        <v>0</v>
      </c>
      <c r="AI49" s="20">
        <v>0</v>
      </c>
      <c r="AJ49" s="20">
        <v>0</v>
      </c>
      <c r="AK49" s="111" t="s">
        <v>609</v>
      </c>
      <c r="AL49" s="20">
        <v>0</v>
      </c>
      <c r="AM49" s="20">
        <v>0</v>
      </c>
      <c r="AN49" s="20">
        <v>0</v>
      </c>
      <c r="AO49" s="20">
        <v>0</v>
      </c>
      <c r="AP49" s="20">
        <v>0</v>
      </c>
      <c r="AR49" s="20">
        <v>0</v>
      </c>
      <c r="AS49" s="20">
        <v>0</v>
      </c>
      <c r="AT49" s="20">
        <v>1460791.16</v>
      </c>
      <c r="AU49" s="20" t="s">
        <v>13</v>
      </c>
      <c r="AV49" s="20" t="s">
        <v>62</v>
      </c>
      <c r="AW49" s="111" t="s">
        <v>63</v>
      </c>
      <c r="AX49" s="20" t="s">
        <v>208</v>
      </c>
      <c r="AY49" s="19" t="s">
        <v>209</v>
      </c>
      <c r="AZ49" s="19">
        <v>0</v>
      </c>
      <c r="BA49" s="19">
        <v>628190.48</v>
      </c>
      <c r="BB49" s="19">
        <v>759</v>
      </c>
      <c r="BC49" s="66">
        <v>46119</v>
      </c>
      <c r="BD49" s="19" t="s">
        <v>65</v>
      </c>
      <c r="BE49" s="19" t="s">
        <v>210</v>
      </c>
      <c r="BF49" s="19" t="s">
        <v>210</v>
      </c>
      <c r="BG49" s="19">
        <v>9</v>
      </c>
      <c r="BH49" s="19">
        <v>56537.14</v>
      </c>
      <c r="BI49" s="19">
        <v>9</v>
      </c>
      <c r="BJ49" s="19">
        <v>56537.14</v>
      </c>
      <c r="BK49" s="19">
        <v>0</v>
      </c>
      <c r="BL49" s="19">
        <v>0</v>
      </c>
      <c r="BM49" s="19">
        <v>0</v>
      </c>
      <c r="BN49" s="19">
        <v>652139599614</v>
      </c>
      <c r="BO49" s="66">
        <v>46207</v>
      </c>
      <c r="BP49" s="19">
        <v>0</v>
      </c>
    </row>
    <row r="50" spans="1:68">
      <c r="A50" s="65"/>
      <c r="B50" s="20" t="s">
        <v>2216</v>
      </c>
      <c r="C50" s="111">
        <v>46119</v>
      </c>
      <c r="D50" s="20" t="s">
        <v>3566</v>
      </c>
      <c r="E50" s="20" t="s">
        <v>18</v>
      </c>
      <c r="F50" s="20" t="s">
        <v>19</v>
      </c>
      <c r="H50" s="20" t="s">
        <v>2625</v>
      </c>
      <c r="I50" s="20">
        <v>40000</v>
      </c>
      <c r="J50" s="20">
        <v>928</v>
      </c>
      <c r="K50" s="20" t="s">
        <v>11</v>
      </c>
      <c r="L50" s="20">
        <v>928</v>
      </c>
      <c r="M50" s="20">
        <v>32717</v>
      </c>
      <c r="N50" s="20">
        <v>928</v>
      </c>
      <c r="O50" s="20" t="s">
        <v>2203</v>
      </c>
      <c r="P50" s="20" t="s">
        <v>87</v>
      </c>
      <c r="Q50" s="20" t="s">
        <v>87</v>
      </c>
      <c r="R50" s="111" t="s">
        <v>2799</v>
      </c>
      <c r="S50" s="111">
        <v>46119</v>
      </c>
      <c r="T50" s="20" t="s">
        <v>206</v>
      </c>
      <c r="U50" s="20" t="s">
        <v>207</v>
      </c>
      <c r="V50" s="20" t="s">
        <v>2798</v>
      </c>
      <c r="W50" s="20">
        <v>150.74</v>
      </c>
      <c r="X50" s="20">
        <v>150.74</v>
      </c>
      <c r="Y50" s="111" t="s">
        <v>2799</v>
      </c>
      <c r="Z50" s="111">
        <v>46119</v>
      </c>
      <c r="AB50" s="20" t="s">
        <v>2376</v>
      </c>
      <c r="AD50" s="20" t="s">
        <v>2376</v>
      </c>
      <c r="AE50" s="20" t="s">
        <v>2376</v>
      </c>
      <c r="AF50" s="20">
        <v>0</v>
      </c>
      <c r="AG50" s="20">
        <v>0</v>
      </c>
      <c r="AH50" s="20">
        <v>0</v>
      </c>
      <c r="AI50" s="20">
        <v>0</v>
      </c>
      <c r="AJ50" s="20">
        <v>0</v>
      </c>
      <c r="AK50" s="111" t="s">
        <v>609</v>
      </c>
      <c r="AL50" s="20">
        <v>0</v>
      </c>
      <c r="AM50" s="20">
        <v>0</v>
      </c>
      <c r="AN50" s="20">
        <v>0</v>
      </c>
      <c r="AO50" s="20">
        <v>0</v>
      </c>
      <c r="AP50" s="20">
        <v>0</v>
      </c>
      <c r="AR50" s="20">
        <v>0</v>
      </c>
      <c r="AS50" s="20">
        <v>0</v>
      </c>
      <c r="AT50" s="20">
        <v>1460791.16</v>
      </c>
      <c r="AU50" s="20" t="s">
        <v>13</v>
      </c>
      <c r="AV50" s="20" t="s">
        <v>62</v>
      </c>
      <c r="AW50" s="111" t="s">
        <v>63</v>
      </c>
      <c r="AX50" s="20" t="s">
        <v>208</v>
      </c>
      <c r="AY50" s="19" t="s">
        <v>209</v>
      </c>
      <c r="AZ50" s="19">
        <v>0</v>
      </c>
      <c r="BA50" s="19">
        <v>139886.72</v>
      </c>
      <c r="BB50" s="19">
        <v>759</v>
      </c>
      <c r="BC50" s="66">
        <v>46119</v>
      </c>
      <c r="BD50" s="19" t="s">
        <v>65</v>
      </c>
      <c r="BE50" s="19" t="s">
        <v>210</v>
      </c>
      <c r="BF50" s="19" t="s">
        <v>210</v>
      </c>
      <c r="BG50" s="19">
        <v>9</v>
      </c>
      <c r="BH50" s="19">
        <v>12589.8</v>
      </c>
      <c r="BI50" s="19">
        <v>9</v>
      </c>
      <c r="BJ50" s="19">
        <v>12589.8</v>
      </c>
      <c r="BK50" s="19">
        <v>0</v>
      </c>
      <c r="BL50" s="19">
        <v>0</v>
      </c>
      <c r="BM50" s="19">
        <v>0</v>
      </c>
      <c r="BN50" s="19">
        <v>652139599614</v>
      </c>
      <c r="BO50" s="66">
        <v>46207</v>
      </c>
      <c r="BP50" s="19">
        <v>0</v>
      </c>
    </row>
    <row r="51" spans="1:68">
      <c r="A51" s="65"/>
      <c r="B51" s="20" t="s">
        <v>2216</v>
      </c>
      <c r="C51" s="111">
        <v>46119</v>
      </c>
      <c r="D51" s="20" t="s">
        <v>3567</v>
      </c>
      <c r="E51" s="20" t="s">
        <v>20</v>
      </c>
      <c r="F51" s="20" t="s">
        <v>21</v>
      </c>
      <c r="H51" s="20" t="s">
        <v>2625</v>
      </c>
      <c r="I51" s="20">
        <v>10000</v>
      </c>
      <c r="J51" s="20">
        <v>508</v>
      </c>
      <c r="K51" s="20" t="s">
        <v>11</v>
      </c>
      <c r="L51" s="20">
        <v>508</v>
      </c>
      <c r="M51" s="20">
        <v>8778</v>
      </c>
      <c r="N51" s="20">
        <v>508</v>
      </c>
      <c r="O51" s="20" t="s">
        <v>2201</v>
      </c>
      <c r="P51" s="20" t="s">
        <v>87</v>
      </c>
      <c r="Q51" s="20" t="s">
        <v>87</v>
      </c>
      <c r="R51" s="111" t="s">
        <v>2801</v>
      </c>
      <c r="S51" s="111">
        <v>46119</v>
      </c>
      <c r="T51" s="20" t="s">
        <v>206</v>
      </c>
      <c r="U51" s="20" t="s">
        <v>207</v>
      </c>
      <c r="V51" s="20" t="s">
        <v>2800</v>
      </c>
      <c r="W51" s="20">
        <v>151.74</v>
      </c>
      <c r="X51" s="20">
        <v>151.74000115167399</v>
      </c>
      <c r="Y51" s="111" t="s">
        <v>2801</v>
      </c>
      <c r="Z51" s="111">
        <v>46119</v>
      </c>
      <c r="AB51" s="20" t="s">
        <v>2376</v>
      </c>
      <c r="AD51" s="20" t="s">
        <v>2376</v>
      </c>
      <c r="AE51" s="20" t="s">
        <v>2376</v>
      </c>
      <c r="AF51" s="20">
        <v>0</v>
      </c>
      <c r="AG51" s="20">
        <v>0</v>
      </c>
      <c r="AH51" s="20">
        <v>0</v>
      </c>
      <c r="AI51" s="20">
        <v>0</v>
      </c>
      <c r="AJ51" s="20">
        <v>0</v>
      </c>
      <c r="AK51" s="111" t="s">
        <v>609</v>
      </c>
      <c r="AL51" s="20">
        <v>0</v>
      </c>
      <c r="AM51" s="20">
        <v>0</v>
      </c>
      <c r="AN51" s="20">
        <v>0</v>
      </c>
      <c r="AO51" s="20">
        <v>0</v>
      </c>
      <c r="AP51" s="20">
        <v>0</v>
      </c>
      <c r="AR51" s="20">
        <v>0</v>
      </c>
      <c r="AS51" s="20">
        <v>0</v>
      </c>
      <c r="AT51" s="20">
        <v>527024.11</v>
      </c>
      <c r="AU51" s="20" t="s">
        <v>13</v>
      </c>
      <c r="AV51" s="20" t="s">
        <v>62</v>
      </c>
      <c r="AW51" s="111" t="s">
        <v>76</v>
      </c>
      <c r="AX51" s="20" t="s">
        <v>208</v>
      </c>
      <c r="AY51" s="19" t="s">
        <v>209</v>
      </c>
      <c r="AZ51" s="19">
        <v>0</v>
      </c>
      <c r="BA51" s="19">
        <v>77083.92</v>
      </c>
      <c r="BB51" s="19">
        <v>761</v>
      </c>
      <c r="BC51" s="66">
        <v>46119</v>
      </c>
      <c r="BD51" s="19" t="s">
        <v>65</v>
      </c>
      <c r="BE51" s="19" t="s">
        <v>210</v>
      </c>
      <c r="BF51" s="19" t="s">
        <v>210</v>
      </c>
      <c r="BG51" s="19">
        <v>9</v>
      </c>
      <c r="BH51" s="19">
        <v>6937.55</v>
      </c>
      <c r="BI51" s="19">
        <v>9</v>
      </c>
      <c r="BJ51" s="19">
        <v>6937.55</v>
      </c>
      <c r="BK51" s="19">
        <v>0</v>
      </c>
      <c r="BL51" s="19">
        <v>0</v>
      </c>
      <c r="BM51" s="19">
        <v>527024.11</v>
      </c>
      <c r="BN51" s="19">
        <v>692139714996</v>
      </c>
      <c r="BO51" s="66">
        <v>46207</v>
      </c>
      <c r="BP51" s="19">
        <v>0</v>
      </c>
    </row>
    <row r="52" spans="1:68">
      <c r="A52" s="65"/>
      <c r="B52" s="20" t="s">
        <v>2216</v>
      </c>
      <c r="C52" s="111">
        <v>46119</v>
      </c>
      <c r="D52" s="20" t="s">
        <v>3567</v>
      </c>
      <c r="E52" s="20" t="s">
        <v>23</v>
      </c>
      <c r="F52" s="20" t="s">
        <v>24</v>
      </c>
      <c r="H52" s="20" t="s">
        <v>2625</v>
      </c>
      <c r="I52" s="20">
        <v>15000</v>
      </c>
      <c r="J52" s="20">
        <v>320.39999999999998</v>
      </c>
      <c r="K52" s="20" t="s">
        <v>11</v>
      </c>
      <c r="L52" s="20">
        <v>320.39999999999998</v>
      </c>
      <c r="M52" s="20">
        <v>10495.7</v>
      </c>
      <c r="N52" s="20">
        <v>320.39999999999998</v>
      </c>
      <c r="O52" s="20" t="s">
        <v>2201</v>
      </c>
      <c r="P52" s="20" t="s">
        <v>87</v>
      </c>
      <c r="Q52" s="20" t="s">
        <v>87</v>
      </c>
      <c r="R52" s="111" t="s">
        <v>2801</v>
      </c>
      <c r="S52" s="111">
        <v>46119</v>
      </c>
      <c r="T52" s="20" t="s">
        <v>206</v>
      </c>
      <c r="U52" s="20" t="s">
        <v>207</v>
      </c>
      <c r="V52" s="20" t="s">
        <v>2800</v>
      </c>
      <c r="W52" s="20">
        <v>149.74</v>
      </c>
      <c r="X52" s="20">
        <v>149.74000113649399</v>
      </c>
      <c r="Y52" s="111" t="s">
        <v>2801</v>
      </c>
      <c r="Z52" s="111">
        <v>46119</v>
      </c>
      <c r="AB52" s="20" t="s">
        <v>2376</v>
      </c>
      <c r="AD52" s="20" t="s">
        <v>2376</v>
      </c>
      <c r="AE52" s="20" t="s">
        <v>2376</v>
      </c>
      <c r="AF52" s="20">
        <v>0</v>
      </c>
      <c r="AG52" s="20">
        <v>0</v>
      </c>
      <c r="AH52" s="20">
        <v>0</v>
      </c>
      <c r="AI52" s="20">
        <v>0</v>
      </c>
      <c r="AJ52" s="20">
        <v>0</v>
      </c>
      <c r="AK52" s="111" t="s">
        <v>609</v>
      </c>
      <c r="AL52" s="20">
        <v>0</v>
      </c>
      <c r="AM52" s="20">
        <v>0</v>
      </c>
      <c r="AN52" s="20">
        <v>0</v>
      </c>
      <c r="AO52" s="20">
        <v>0</v>
      </c>
      <c r="AP52" s="20">
        <v>0</v>
      </c>
      <c r="AR52" s="20">
        <v>0</v>
      </c>
      <c r="AS52" s="20">
        <v>0</v>
      </c>
      <c r="AT52" s="20">
        <v>527024.11</v>
      </c>
      <c r="AU52" s="20" t="s">
        <v>13</v>
      </c>
      <c r="AV52" s="20" t="s">
        <v>24</v>
      </c>
      <c r="AW52" s="111" t="s">
        <v>79</v>
      </c>
      <c r="AX52" s="20" t="s">
        <v>208</v>
      </c>
      <c r="AY52" s="19" t="s">
        <v>209</v>
      </c>
      <c r="AZ52" s="19">
        <v>0</v>
      </c>
      <c r="BA52" s="19">
        <v>47976.7</v>
      </c>
      <c r="BB52" s="19">
        <v>761</v>
      </c>
      <c r="BC52" s="66">
        <v>46119</v>
      </c>
      <c r="BD52" s="19" t="s">
        <v>65</v>
      </c>
      <c r="BE52" s="19" t="s">
        <v>210</v>
      </c>
      <c r="BF52" s="19" t="s">
        <v>210</v>
      </c>
      <c r="BG52" s="19">
        <v>9</v>
      </c>
      <c r="BH52" s="19">
        <v>4317.8999999999996</v>
      </c>
      <c r="BI52" s="19">
        <v>9</v>
      </c>
      <c r="BJ52" s="19">
        <v>4317.8999999999996</v>
      </c>
      <c r="BK52" s="19">
        <v>0</v>
      </c>
      <c r="BL52" s="19">
        <v>0</v>
      </c>
      <c r="BM52" s="19">
        <v>0</v>
      </c>
      <c r="BN52" s="19">
        <v>692139714996</v>
      </c>
      <c r="BO52" s="66">
        <v>46207</v>
      </c>
      <c r="BP52" s="19">
        <v>0</v>
      </c>
    </row>
    <row r="53" spans="1:68">
      <c r="A53" s="65"/>
      <c r="B53" s="20" t="s">
        <v>2216</v>
      </c>
      <c r="C53" s="111">
        <v>46119</v>
      </c>
      <c r="D53" s="20" t="s">
        <v>3567</v>
      </c>
      <c r="E53" s="20" t="s">
        <v>23</v>
      </c>
      <c r="F53" s="20" t="s">
        <v>24</v>
      </c>
      <c r="H53" s="20" t="s">
        <v>2625</v>
      </c>
      <c r="I53" s="20">
        <v>30000</v>
      </c>
      <c r="J53" s="20">
        <v>2090.1</v>
      </c>
      <c r="K53" s="20" t="s">
        <v>11</v>
      </c>
      <c r="L53" s="20">
        <v>2090.1</v>
      </c>
      <c r="M53" s="20">
        <v>12702.3</v>
      </c>
      <c r="N53" s="20">
        <v>2090.1</v>
      </c>
      <c r="O53" s="20" t="s">
        <v>2201</v>
      </c>
      <c r="P53" s="20" t="s">
        <v>87</v>
      </c>
      <c r="Q53" s="20" t="s">
        <v>87</v>
      </c>
      <c r="R53" s="111" t="s">
        <v>2801</v>
      </c>
      <c r="S53" s="111">
        <v>46119</v>
      </c>
      <c r="T53" s="20" t="s">
        <v>206</v>
      </c>
      <c r="U53" s="20" t="s">
        <v>207</v>
      </c>
      <c r="V53" s="20" t="s">
        <v>2800</v>
      </c>
      <c r="W53" s="20">
        <v>152.74</v>
      </c>
      <c r="X53" s="20">
        <v>152.74000115926401</v>
      </c>
      <c r="Y53" s="111" t="s">
        <v>2801</v>
      </c>
      <c r="Z53" s="111">
        <v>46119</v>
      </c>
      <c r="AB53" s="20" t="s">
        <v>2376</v>
      </c>
      <c r="AD53" s="20" t="s">
        <v>2376</v>
      </c>
      <c r="AE53" s="20" t="s">
        <v>2376</v>
      </c>
      <c r="AF53" s="20">
        <v>0</v>
      </c>
      <c r="AG53" s="20">
        <v>0</v>
      </c>
      <c r="AH53" s="20">
        <v>0</v>
      </c>
      <c r="AI53" s="20">
        <v>0</v>
      </c>
      <c r="AJ53" s="20">
        <v>0</v>
      </c>
      <c r="AK53" s="111" t="s">
        <v>609</v>
      </c>
      <c r="AL53" s="20">
        <v>0</v>
      </c>
      <c r="AM53" s="20">
        <v>0</v>
      </c>
      <c r="AN53" s="20">
        <v>0</v>
      </c>
      <c r="AO53" s="20">
        <v>0</v>
      </c>
      <c r="AP53" s="20">
        <v>0</v>
      </c>
      <c r="AR53" s="20">
        <v>0</v>
      </c>
      <c r="AS53" s="20">
        <v>0</v>
      </c>
      <c r="AT53" s="20">
        <v>527024.11</v>
      </c>
      <c r="AU53" s="20" t="s">
        <v>13</v>
      </c>
      <c r="AV53" s="20" t="s">
        <v>24</v>
      </c>
      <c r="AW53" s="111" t="s">
        <v>79</v>
      </c>
      <c r="AX53" s="20" t="s">
        <v>208</v>
      </c>
      <c r="AY53" s="19" t="s">
        <v>209</v>
      </c>
      <c r="AZ53" s="19">
        <v>0</v>
      </c>
      <c r="BA53" s="19">
        <v>319241.88</v>
      </c>
      <c r="BB53" s="19">
        <v>761</v>
      </c>
      <c r="BC53" s="66">
        <v>46119</v>
      </c>
      <c r="BD53" s="19" t="s">
        <v>65</v>
      </c>
      <c r="BE53" s="19" t="s">
        <v>210</v>
      </c>
      <c r="BF53" s="19" t="s">
        <v>210</v>
      </c>
      <c r="BG53" s="19">
        <v>9</v>
      </c>
      <c r="BH53" s="19">
        <v>28731.77</v>
      </c>
      <c r="BI53" s="19">
        <v>9</v>
      </c>
      <c r="BJ53" s="19">
        <v>28731.77</v>
      </c>
      <c r="BK53" s="19">
        <v>0</v>
      </c>
      <c r="BL53" s="19">
        <v>0</v>
      </c>
      <c r="BM53" s="19">
        <v>0</v>
      </c>
      <c r="BN53" s="19">
        <v>692139714996</v>
      </c>
      <c r="BO53" s="66">
        <v>46207</v>
      </c>
      <c r="BP53" s="19">
        <v>0</v>
      </c>
    </row>
    <row r="54" spans="1:68">
      <c r="A54" s="65"/>
      <c r="B54" s="20" t="s">
        <v>2216</v>
      </c>
      <c r="C54" s="111">
        <v>46119</v>
      </c>
      <c r="D54" s="20" t="s">
        <v>3567</v>
      </c>
      <c r="E54" s="20" t="s">
        <v>23</v>
      </c>
      <c r="F54" s="20" t="s">
        <v>24</v>
      </c>
      <c r="H54" s="20" t="s">
        <v>2625</v>
      </c>
      <c r="I54" s="20">
        <v>500</v>
      </c>
      <c r="J54" s="20">
        <v>13.4</v>
      </c>
      <c r="K54" s="20" t="s">
        <v>11</v>
      </c>
      <c r="L54" s="20">
        <v>13.4</v>
      </c>
      <c r="M54" s="20">
        <v>466.6</v>
      </c>
      <c r="N54" s="20">
        <v>13.4</v>
      </c>
      <c r="O54" s="20" t="s">
        <v>2201</v>
      </c>
      <c r="P54" s="20" t="s">
        <v>87</v>
      </c>
      <c r="Q54" s="20" t="s">
        <v>87</v>
      </c>
      <c r="R54" s="111" t="s">
        <v>2801</v>
      </c>
      <c r="S54" s="111">
        <v>46119</v>
      </c>
      <c r="T54" s="20" t="s">
        <v>206</v>
      </c>
      <c r="U54" s="20" t="s">
        <v>207</v>
      </c>
      <c r="V54" s="20" t="s">
        <v>2800</v>
      </c>
      <c r="W54" s="20">
        <v>173.74</v>
      </c>
      <c r="X54" s="20">
        <v>173.74000131864901</v>
      </c>
      <c r="Y54" s="111" t="s">
        <v>2801</v>
      </c>
      <c r="Z54" s="111">
        <v>46119</v>
      </c>
      <c r="AB54" s="20" t="s">
        <v>2376</v>
      </c>
      <c r="AD54" s="20" t="s">
        <v>2376</v>
      </c>
      <c r="AE54" s="20" t="s">
        <v>2376</v>
      </c>
      <c r="AF54" s="20">
        <v>0</v>
      </c>
      <c r="AG54" s="20">
        <v>0</v>
      </c>
      <c r="AH54" s="20">
        <v>0</v>
      </c>
      <c r="AI54" s="20">
        <v>0</v>
      </c>
      <c r="AJ54" s="20">
        <v>0</v>
      </c>
      <c r="AK54" s="111" t="s">
        <v>609</v>
      </c>
      <c r="AL54" s="20">
        <v>0</v>
      </c>
      <c r="AM54" s="20">
        <v>0</v>
      </c>
      <c r="AN54" s="20">
        <v>0</v>
      </c>
      <c r="AO54" s="20">
        <v>0</v>
      </c>
      <c r="AP54" s="20">
        <v>0</v>
      </c>
      <c r="AR54" s="20">
        <v>0</v>
      </c>
      <c r="AS54" s="20">
        <v>0</v>
      </c>
      <c r="AT54" s="20">
        <v>527024.11</v>
      </c>
      <c r="AU54" s="20" t="s">
        <v>13</v>
      </c>
      <c r="AV54" s="20" t="s">
        <v>24</v>
      </c>
      <c r="AW54" s="111" t="s">
        <v>79</v>
      </c>
      <c r="AX54" s="20" t="s">
        <v>208</v>
      </c>
      <c r="AY54" s="19" t="s">
        <v>209</v>
      </c>
      <c r="AZ54" s="19">
        <v>0</v>
      </c>
      <c r="BA54" s="19">
        <v>2328.12</v>
      </c>
      <c r="BB54" s="19">
        <v>761</v>
      </c>
      <c r="BC54" s="66">
        <v>46119</v>
      </c>
      <c r="BD54" s="19" t="s">
        <v>65</v>
      </c>
      <c r="BE54" s="19" t="s">
        <v>210</v>
      </c>
      <c r="BF54" s="19" t="s">
        <v>210</v>
      </c>
      <c r="BG54" s="19">
        <v>9</v>
      </c>
      <c r="BH54" s="19">
        <v>209.53</v>
      </c>
      <c r="BI54" s="19">
        <v>9</v>
      </c>
      <c r="BJ54" s="19">
        <v>209.53</v>
      </c>
      <c r="BK54" s="19">
        <v>0</v>
      </c>
      <c r="BL54" s="19">
        <v>0</v>
      </c>
      <c r="BM54" s="19">
        <v>0</v>
      </c>
      <c r="BN54" s="19">
        <v>692139714996</v>
      </c>
      <c r="BO54" s="66">
        <v>46207</v>
      </c>
      <c r="BP54" s="19">
        <v>0</v>
      </c>
    </row>
    <row r="55" spans="1:68">
      <c r="A55" s="65"/>
      <c r="B55" s="20" t="s">
        <v>2216</v>
      </c>
      <c r="C55" s="111">
        <v>46149</v>
      </c>
      <c r="D55" s="20" t="s">
        <v>3568</v>
      </c>
      <c r="E55" s="20" t="s">
        <v>18</v>
      </c>
      <c r="F55" s="20" t="s">
        <v>19</v>
      </c>
      <c r="H55" s="20" t="s">
        <v>2625</v>
      </c>
      <c r="I55" s="20">
        <v>70000</v>
      </c>
      <c r="J55" s="20">
        <v>601</v>
      </c>
      <c r="K55" s="20" t="s">
        <v>11</v>
      </c>
      <c r="L55" s="20">
        <v>601</v>
      </c>
      <c r="M55" s="20">
        <v>35513</v>
      </c>
      <c r="N55" s="20">
        <v>601</v>
      </c>
      <c r="O55" s="20" t="s">
        <v>2200</v>
      </c>
      <c r="P55" s="20" t="s">
        <v>87</v>
      </c>
      <c r="Q55" s="20" t="s">
        <v>87</v>
      </c>
      <c r="R55" s="111" t="s">
        <v>2813</v>
      </c>
      <c r="S55" s="111">
        <v>46119</v>
      </c>
      <c r="T55" s="20" t="s">
        <v>206</v>
      </c>
      <c r="U55" s="20" t="s">
        <v>207</v>
      </c>
      <c r="V55" s="20" t="s">
        <v>2812</v>
      </c>
      <c r="W55" s="20">
        <v>149.74</v>
      </c>
      <c r="X55" s="20">
        <v>149.74</v>
      </c>
      <c r="Y55" s="111" t="s">
        <v>2813</v>
      </c>
      <c r="Z55" s="111">
        <v>46119</v>
      </c>
      <c r="AB55" s="20" t="s">
        <v>2376</v>
      </c>
      <c r="AD55" s="20" t="s">
        <v>2376</v>
      </c>
      <c r="AE55" s="20" t="s">
        <v>2376</v>
      </c>
      <c r="AF55" s="20">
        <v>0</v>
      </c>
      <c r="AG55" s="20">
        <v>0</v>
      </c>
      <c r="AH55" s="20">
        <v>0</v>
      </c>
      <c r="AI55" s="20">
        <v>0</v>
      </c>
      <c r="AJ55" s="20">
        <v>0</v>
      </c>
      <c r="AK55" s="111" t="s">
        <v>609</v>
      </c>
      <c r="AL55" s="20">
        <v>0</v>
      </c>
      <c r="AM55" s="20">
        <v>0</v>
      </c>
      <c r="AN55" s="20">
        <v>0</v>
      </c>
      <c r="AO55" s="20">
        <v>0</v>
      </c>
      <c r="AP55" s="20">
        <v>0</v>
      </c>
      <c r="AR55" s="20">
        <v>0</v>
      </c>
      <c r="AS55" s="20">
        <v>0</v>
      </c>
      <c r="AT55" s="20">
        <v>106192.62</v>
      </c>
      <c r="AU55" s="20" t="s">
        <v>13</v>
      </c>
      <c r="AV55" s="20" t="s">
        <v>62</v>
      </c>
      <c r="AW55" s="111" t="s">
        <v>63</v>
      </c>
      <c r="AX55" s="20" t="s">
        <v>208</v>
      </c>
      <c r="AY55" s="19" t="s">
        <v>209</v>
      </c>
      <c r="AZ55" s="19">
        <v>0</v>
      </c>
      <c r="BA55" s="19">
        <v>89993.74</v>
      </c>
      <c r="BB55" s="19">
        <v>764</v>
      </c>
      <c r="BC55" s="66">
        <v>46149</v>
      </c>
      <c r="BD55" s="19" t="s">
        <v>65</v>
      </c>
      <c r="BE55" s="19" t="s">
        <v>210</v>
      </c>
      <c r="BF55" s="19" t="s">
        <v>210</v>
      </c>
      <c r="BG55" s="19">
        <v>9</v>
      </c>
      <c r="BH55" s="19">
        <v>8099.44</v>
      </c>
      <c r="BI55" s="19">
        <v>9</v>
      </c>
      <c r="BJ55" s="19">
        <v>8099.44</v>
      </c>
      <c r="BK55" s="19">
        <v>0</v>
      </c>
      <c r="BL55" s="19">
        <v>0</v>
      </c>
      <c r="BM55" s="19">
        <v>106192.62</v>
      </c>
      <c r="BN55" s="19">
        <v>642139738199</v>
      </c>
      <c r="BO55" s="66">
        <v>46207</v>
      </c>
      <c r="BP55" s="19">
        <v>0</v>
      </c>
    </row>
    <row r="56" spans="1:68">
      <c r="A56" s="65"/>
      <c r="B56" s="20" t="s">
        <v>2216</v>
      </c>
      <c r="C56" s="111">
        <v>46149</v>
      </c>
      <c r="D56" s="20" t="s">
        <v>3569</v>
      </c>
      <c r="E56" s="20" t="s">
        <v>18</v>
      </c>
      <c r="F56" s="20" t="s">
        <v>19</v>
      </c>
      <c r="H56" s="20" t="s">
        <v>3570</v>
      </c>
      <c r="I56" s="20">
        <v>433</v>
      </c>
      <c r="J56" s="20">
        <v>433</v>
      </c>
      <c r="K56" s="20" t="s">
        <v>11</v>
      </c>
      <c r="L56" s="20">
        <v>433</v>
      </c>
      <c r="M56" s="20">
        <v>0</v>
      </c>
      <c r="N56" s="20">
        <v>433</v>
      </c>
      <c r="O56" s="20" t="s">
        <v>2623</v>
      </c>
      <c r="P56" s="20" t="s">
        <v>87</v>
      </c>
      <c r="Q56" s="20" t="s">
        <v>87</v>
      </c>
      <c r="R56" s="111" t="s">
        <v>2815</v>
      </c>
      <c r="S56" s="111">
        <v>46149</v>
      </c>
      <c r="T56" s="20" t="s">
        <v>206</v>
      </c>
      <c r="U56" s="20" t="s">
        <v>207</v>
      </c>
      <c r="V56" s="20" t="s">
        <v>2814</v>
      </c>
      <c r="W56" s="20">
        <v>144.49</v>
      </c>
      <c r="X56" s="20">
        <v>144.49</v>
      </c>
      <c r="Y56" s="111" t="s">
        <v>2815</v>
      </c>
      <c r="Z56" s="111">
        <v>46149</v>
      </c>
      <c r="AB56" s="20" t="s">
        <v>2376</v>
      </c>
      <c r="AD56" s="20" t="s">
        <v>2376</v>
      </c>
      <c r="AE56" s="20" t="s">
        <v>2376</v>
      </c>
      <c r="AF56" s="20">
        <v>0</v>
      </c>
      <c r="AG56" s="20">
        <v>0</v>
      </c>
      <c r="AH56" s="20">
        <v>0</v>
      </c>
      <c r="AI56" s="20">
        <v>0</v>
      </c>
      <c r="AJ56" s="20">
        <v>0</v>
      </c>
      <c r="AK56" s="111" t="s">
        <v>609</v>
      </c>
      <c r="AL56" s="20">
        <v>0</v>
      </c>
      <c r="AM56" s="20">
        <v>0</v>
      </c>
      <c r="AN56" s="20">
        <v>0</v>
      </c>
      <c r="AO56" s="20">
        <v>0</v>
      </c>
      <c r="AP56" s="20">
        <v>0</v>
      </c>
      <c r="AR56" s="20">
        <v>0</v>
      </c>
      <c r="AS56" s="20">
        <v>0</v>
      </c>
      <c r="AT56" s="20">
        <v>177168.46</v>
      </c>
      <c r="AU56" s="20" t="s">
        <v>13</v>
      </c>
      <c r="AV56" s="20" t="s">
        <v>62</v>
      </c>
      <c r="AW56" s="111" t="s">
        <v>63</v>
      </c>
      <c r="AX56" s="20" t="s">
        <v>208</v>
      </c>
      <c r="AY56" s="19" t="s">
        <v>209</v>
      </c>
      <c r="AZ56" s="19">
        <v>0</v>
      </c>
      <c r="BA56" s="19">
        <v>62564.17</v>
      </c>
      <c r="BB56" s="19">
        <v>769</v>
      </c>
      <c r="BC56" s="66">
        <v>46149</v>
      </c>
      <c r="BD56" s="19" t="s">
        <v>65</v>
      </c>
      <c r="BE56" s="19" t="s">
        <v>210</v>
      </c>
      <c r="BF56" s="19" t="s">
        <v>210</v>
      </c>
      <c r="BG56" s="19">
        <v>9</v>
      </c>
      <c r="BH56" s="19">
        <v>5630.78</v>
      </c>
      <c r="BI56" s="19">
        <v>9</v>
      </c>
      <c r="BJ56" s="19">
        <v>5630.78</v>
      </c>
      <c r="BK56" s="19">
        <v>0</v>
      </c>
      <c r="BL56" s="19">
        <v>0</v>
      </c>
      <c r="BM56" s="19">
        <v>177168.46</v>
      </c>
      <c r="BN56" s="19">
        <v>612140261445</v>
      </c>
      <c r="BO56" s="66">
        <v>46208</v>
      </c>
      <c r="BP56" s="19">
        <v>0</v>
      </c>
    </row>
    <row r="57" spans="1:68">
      <c r="A57" s="65"/>
      <c r="B57" s="20" t="s">
        <v>2216</v>
      </c>
      <c r="C57" s="111">
        <v>46149</v>
      </c>
      <c r="D57" s="20" t="s">
        <v>3569</v>
      </c>
      <c r="E57" s="20" t="s">
        <v>18</v>
      </c>
      <c r="F57" s="20" t="s">
        <v>19</v>
      </c>
      <c r="H57" s="20" t="s">
        <v>3570</v>
      </c>
      <c r="I57" s="20">
        <v>238</v>
      </c>
      <c r="J57" s="20">
        <v>238</v>
      </c>
      <c r="K57" s="20" t="s">
        <v>11</v>
      </c>
      <c r="L57" s="20">
        <v>238</v>
      </c>
      <c r="M57" s="20">
        <v>0</v>
      </c>
      <c r="N57" s="20">
        <v>238</v>
      </c>
      <c r="O57" s="20" t="s">
        <v>2623</v>
      </c>
      <c r="P57" s="20" t="s">
        <v>87</v>
      </c>
      <c r="Q57" s="20" t="s">
        <v>87</v>
      </c>
      <c r="R57" s="111" t="s">
        <v>2815</v>
      </c>
      <c r="S57" s="111">
        <v>46149</v>
      </c>
      <c r="T57" s="20" t="s">
        <v>206</v>
      </c>
      <c r="U57" s="20" t="s">
        <v>207</v>
      </c>
      <c r="V57" s="20" t="s">
        <v>2814</v>
      </c>
      <c r="W57" s="20">
        <v>146.49</v>
      </c>
      <c r="X57" s="20">
        <v>146.49</v>
      </c>
      <c r="Y57" s="111" t="s">
        <v>2815</v>
      </c>
      <c r="Z57" s="111">
        <v>46149</v>
      </c>
      <c r="AB57" s="20" t="s">
        <v>2376</v>
      </c>
      <c r="AD57" s="20" t="s">
        <v>2376</v>
      </c>
      <c r="AE57" s="20" t="s">
        <v>2376</v>
      </c>
      <c r="AF57" s="20">
        <v>0</v>
      </c>
      <c r="AG57" s="20">
        <v>0</v>
      </c>
      <c r="AH57" s="20">
        <v>0</v>
      </c>
      <c r="AI57" s="20">
        <v>0</v>
      </c>
      <c r="AJ57" s="20">
        <v>0</v>
      </c>
      <c r="AK57" s="111" t="s">
        <v>609</v>
      </c>
      <c r="AL57" s="20">
        <v>0</v>
      </c>
      <c r="AM57" s="20">
        <v>0</v>
      </c>
      <c r="AN57" s="20">
        <v>0</v>
      </c>
      <c r="AO57" s="20">
        <v>0</v>
      </c>
      <c r="AP57" s="20">
        <v>0</v>
      </c>
      <c r="AR57" s="20">
        <v>0</v>
      </c>
      <c r="AS57" s="20">
        <v>0</v>
      </c>
      <c r="AT57" s="20">
        <v>177168.46</v>
      </c>
      <c r="AU57" s="20" t="s">
        <v>13</v>
      </c>
      <c r="AV57" s="20" t="s">
        <v>62</v>
      </c>
      <c r="AW57" s="111" t="s">
        <v>63</v>
      </c>
      <c r="AX57" s="20" t="s">
        <v>208</v>
      </c>
      <c r="AY57" s="19" t="s">
        <v>209</v>
      </c>
      <c r="AZ57" s="19">
        <v>0</v>
      </c>
      <c r="BA57" s="19">
        <v>34864.620000000003</v>
      </c>
      <c r="BB57" s="19">
        <v>769</v>
      </c>
      <c r="BC57" s="66">
        <v>46149</v>
      </c>
      <c r="BD57" s="19" t="s">
        <v>65</v>
      </c>
      <c r="BE57" s="19" t="s">
        <v>210</v>
      </c>
      <c r="BF57" s="19" t="s">
        <v>210</v>
      </c>
      <c r="BG57" s="19">
        <v>9</v>
      </c>
      <c r="BH57" s="19">
        <v>3137.82</v>
      </c>
      <c r="BI57" s="19">
        <v>9</v>
      </c>
      <c r="BJ57" s="19">
        <v>3137.82</v>
      </c>
      <c r="BK57" s="19">
        <v>0</v>
      </c>
      <c r="BL57" s="19">
        <v>0</v>
      </c>
      <c r="BM57" s="19">
        <v>0</v>
      </c>
      <c r="BN57" s="19">
        <v>612140261445</v>
      </c>
      <c r="BO57" s="66">
        <v>46208</v>
      </c>
      <c r="BP57" s="19">
        <v>0</v>
      </c>
    </row>
    <row r="58" spans="1:68">
      <c r="A58" s="65"/>
      <c r="B58" s="20" t="s">
        <v>2216</v>
      </c>
      <c r="C58" s="111">
        <v>46149</v>
      </c>
      <c r="D58" s="20" t="s">
        <v>3569</v>
      </c>
      <c r="E58" s="20" t="s">
        <v>20</v>
      </c>
      <c r="F58" s="20" t="s">
        <v>21</v>
      </c>
      <c r="H58" s="20" t="s">
        <v>3570</v>
      </c>
      <c r="I58" s="20">
        <v>355</v>
      </c>
      <c r="J58" s="20">
        <v>355</v>
      </c>
      <c r="K58" s="20" t="s">
        <v>11</v>
      </c>
      <c r="L58" s="20">
        <v>355</v>
      </c>
      <c r="M58" s="20">
        <v>0</v>
      </c>
      <c r="N58" s="20">
        <v>355</v>
      </c>
      <c r="O58" s="20" t="s">
        <v>2623</v>
      </c>
      <c r="P58" s="20" t="s">
        <v>87</v>
      </c>
      <c r="Q58" s="20" t="s">
        <v>87</v>
      </c>
      <c r="R58" s="111" t="s">
        <v>2815</v>
      </c>
      <c r="S58" s="111">
        <v>46149</v>
      </c>
      <c r="T58" s="20" t="s">
        <v>206</v>
      </c>
      <c r="U58" s="20" t="s">
        <v>207</v>
      </c>
      <c r="V58" s="20" t="s">
        <v>2814</v>
      </c>
      <c r="W58" s="20">
        <v>148.49</v>
      </c>
      <c r="X58" s="20">
        <v>148.49</v>
      </c>
      <c r="Y58" s="111" t="s">
        <v>2815</v>
      </c>
      <c r="Z58" s="111">
        <v>46149</v>
      </c>
      <c r="AB58" s="20" t="s">
        <v>2376</v>
      </c>
      <c r="AD58" s="20" t="s">
        <v>2376</v>
      </c>
      <c r="AE58" s="20" t="s">
        <v>2376</v>
      </c>
      <c r="AF58" s="20">
        <v>0</v>
      </c>
      <c r="AG58" s="20">
        <v>0</v>
      </c>
      <c r="AH58" s="20">
        <v>0</v>
      </c>
      <c r="AI58" s="20">
        <v>0</v>
      </c>
      <c r="AJ58" s="20">
        <v>0</v>
      </c>
      <c r="AK58" s="111" t="s">
        <v>609</v>
      </c>
      <c r="AL58" s="20">
        <v>0</v>
      </c>
      <c r="AM58" s="20">
        <v>0</v>
      </c>
      <c r="AN58" s="20">
        <v>0</v>
      </c>
      <c r="AO58" s="20">
        <v>0</v>
      </c>
      <c r="AP58" s="20">
        <v>0</v>
      </c>
      <c r="AR58" s="20">
        <v>0</v>
      </c>
      <c r="AS58" s="20">
        <v>0</v>
      </c>
      <c r="AT58" s="20">
        <v>177168.46</v>
      </c>
      <c r="AU58" s="20" t="s">
        <v>13</v>
      </c>
      <c r="AV58" s="20" t="s">
        <v>62</v>
      </c>
      <c r="AW58" s="111" t="s">
        <v>76</v>
      </c>
      <c r="AX58" s="20" t="s">
        <v>208</v>
      </c>
      <c r="AY58" s="19" t="s">
        <v>209</v>
      </c>
      <c r="AZ58" s="19">
        <v>0</v>
      </c>
      <c r="BA58" s="19">
        <v>52713.95</v>
      </c>
      <c r="BB58" s="19">
        <v>769</v>
      </c>
      <c r="BC58" s="66">
        <v>46149</v>
      </c>
      <c r="BD58" s="19" t="s">
        <v>65</v>
      </c>
      <c r="BE58" s="19" t="s">
        <v>210</v>
      </c>
      <c r="BF58" s="19" t="s">
        <v>210</v>
      </c>
      <c r="BG58" s="19">
        <v>9</v>
      </c>
      <c r="BH58" s="19">
        <v>4744.26</v>
      </c>
      <c r="BI58" s="19">
        <v>9</v>
      </c>
      <c r="BJ58" s="19">
        <v>4744.26</v>
      </c>
      <c r="BK58" s="19">
        <v>0</v>
      </c>
      <c r="BL58" s="19">
        <v>0</v>
      </c>
      <c r="BM58" s="19">
        <v>0</v>
      </c>
      <c r="BN58" s="19">
        <v>612140261445</v>
      </c>
      <c r="BO58" s="66">
        <v>46208</v>
      </c>
      <c r="BP58" s="19">
        <v>0</v>
      </c>
    </row>
    <row r="59" spans="1:68">
      <c r="A59" s="65"/>
      <c r="B59" s="20" t="s">
        <v>2216</v>
      </c>
      <c r="C59" s="111">
        <v>46149</v>
      </c>
      <c r="D59" s="20" t="s">
        <v>3571</v>
      </c>
      <c r="E59" s="20" t="s">
        <v>1618</v>
      </c>
      <c r="F59" s="20" t="s">
        <v>1617</v>
      </c>
      <c r="H59" s="20" t="s">
        <v>3572</v>
      </c>
      <c r="I59" s="20">
        <v>1340</v>
      </c>
      <c r="J59" s="20">
        <v>1340</v>
      </c>
      <c r="K59" s="20" t="s">
        <v>11</v>
      </c>
      <c r="L59" s="20">
        <v>1340</v>
      </c>
      <c r="M59" s="20">
        <v>0</v>
      </c>
      <c r="N59" s="20">
        <v>1340</v>
      </c>
      <c r="O59" s="20" t="s">
        <v>3573</v>
      </c>
      <c r="P59" s="20" t="s">
        <v>93</v>
      </c>
      <c r="Q59" s="20" t="s">
        <v>93</v>
      </c>
      <c r="R59" s="111" t="s">
        <v>2809</v>
      </c>
      <c r="S59" s="111">
        <v>46119</v>
      </c>
      <c r="T59" s="20" t="s">
        <v>206</v>
      </c>
      <c r="U59" s="20" t="s">
        <v>207</v>
      </c>
      <c r="V59" s="20" t="s">
        <v>2808</v>
      </c>
      <c r="W59" s="20">
        <v>154.15</v>
      </c>
      <c r="X59" s="20">
        <v>154.15</v>
      </c>
      <c r="Y59" s="111" t="s">
        <v>2809</v>
      </c>
      <c r="Z59" s="111">
        <v>46119</v>
      </c>
      <c r="AB59" s="20" t="s">
        <v>2376</v>
      </c>
      <c r="AD59" s="20" t="s">
        <v>2376</v>
      </c>
      <c r="AE59" s="20" t="s">
        <v>2376</v>
      </c>
      <c r="AF59" s="20">
        <v>0</v>
      </c>
      <c r="AG59" s="20">
        <v>0</v>
      </c>
      <c r="AH59" s="20">
        <v>0</v>
      </c>
      <c r="AI59" s="20">
        <v>0</v>
      </c>
      <c r="AJ59" s="20">
        <v>0</v>
      </c>
      <c r="AK59" s="111" t="s">
        <v>609</v>
      </c>
      <c r="AL59" s="20">
        <v>0</v>
      </c>
      <c r="AM59" s="20">
        <v>0</v>
      </c>
      <c r="AN59" s="20">
        <v>0</v>
      </c>
      <c r="AO59" s="20">
        <v>0</v>
      </c>
      <c r="AP59" s="20">
        <v>0</v>
      </c>
      <c r="AR59" s="20">
        <v>0</v>
      </c>
      <c r="AS59" s="20">
        <v>0</v>
      </c>
      <c r="AT59" s="20">
        <v>297829.86</v>
      </c>
      <c r="AU59" s="20" t="s">
        <v>13</v>
      </c>
      <c r="AV59" s="20" t="s">
        <v>99</v>
      </c>
      <c r="AW59" s="111" t="s">
        <v>100</v>
      </c>
      <c r="AX59" s="20" t="s">
        <v>208</v>
      </c>
      <c r="AY59" s="19" t="s">
        <v>209</v>
      </c>
      <c r="AZ59" s="19">
        <v>0</v>
      </c>
      <c r="BA59" s="19">
        <v>206561</v>
      </c>
      <c r="BB59" s="19">
        <v>767</v>
      </c>
      <c r="BC59" s="66">
        <v>46149</v>
      </c>
      <c r="BD59" s="19" t="s">
        <v>59</v>
      </c>
      <c r="BE59" s="19" t="s">
        <v>210</v>
      </c>
      <c r="BF59" s="19" t="s">
        <v>210</v>
      </c>
      <c r="BG59" s="19">
        <v>2.5</v>
      </c>
      <c r="BH59" s="19">
        <v>5164.0200000000004</v>
      </c>
      <c r="BI59" s="19">
        <v>2.5</v>
      </c>
      <c r="BJ59" s="19">
        <v>5164.0200000000004</v>
      </c>
      <c r="BK59" s="19">
        <v>0</v>
      </c>
      <c r="BL59" s="19">
        <v>0</v>
      </c>
      <c r="BM59" s="19">
        <v>297829.86</v>
      </c>
      <c r="BN59" s="19">
        <v>672139987956</v>
      </c>
      <c r="BO59" s="66">
        <v>46207</v>
      </c>
      <c r="BP59" s="19">
        <v>0</v>
      </c>
    </row>
    <row r="60" spans="1:68">
      <c r="A60" s="65"/>
      <c r="B60" s="20" t="s">
        <v>2216</v>
      </c>
      <c r="C60" s="111">
        <v>46149</v>
      </c>
      <c r="D60" s="20" t="s">
        <v>3571</v>
      </c>
      <c r="E60" s="20" t="s">
        <v>2622</v>
      </c>
      <c r="F60" s="20" t="s">
        <v>2585</v>
      </c>
      <c r="H60" s="20" t="s">
        <v>3572</v>
      </c>
      <c r="I60" s="20">
        <v>510</v>
      </c>
      <c r="J60" s="20">
        <v>510</v>
      </c>
      <c r="K60" s="20" t="s">
        <v>11</v>
      </c>
      <c r="L60" s="20">
        <v>510</v>
      </c>
      <c r="M60" s="20">
        <v>0</v>
      </c>
      <c r="N60" s="20">
        <v>510</v>
      </c>
      <c r="O60" s="20" t="s">
        <v>3573</v>
      </c>
      <c r="P60" s="20" t="s">
        <v>93</v>
      </c>
      <c r="Q60" s="20" t="s">
        <v>93</v>
      </c>
      <c r="R60" s="111" t="s">
        <v>2809</v>
      </c>
      <c r="S60" s="111">
        <v>46119</v>
      </c>
      <c r="T60" s="20" t="s">
        <v>206</v>
      </c>
      <c r="U60" s="20" t="s">
        <v>207</v>
      </c>
      <c r="V60" s="20" t="s">
        <v>2808</v>
      </c>
      <c r="W60" s="20">
        <v>151.15</v>
      </c>
      <c r="X60" s="20">
        <v>151.15</v>
      </c>
      <c r="Y60" s="111" t="s">
        <v>2809</v>
      </c>
      <c r="Z60" s="111">
        <v>46119</v>
      </c>
      <c r="AB60" s="20" t="s">
        <v>2376</v>
      </c>
      <c r="AD60" s="20" t="s">
        <v>2376</v>
      </c>
      <c r="AE60" s="20" t="s">
        <v>2376</v>
      </c>
      <c r="AF60" s="20">
        <v>0</v>
      </c>
      <c r="AG60" s="20">
        <v>0</v>
      </c>
      <c r="AH60" s="20">
        <v>0</v>
      </c>
      <c r="AI60" s="20">
        <v>0</v>
      </c>
      <c r="AJ60" s="20">
        <v>0</v>
      </c>
      <c r="AK60" s="111" t="s">
        <v>609</v>
      </c>
      <c r="AL60" s="20">
        <v>0</v>
      </c>
      <c r="AM60" s="20">
        <v>0</v>
      </c>
      <c r="AN60" s="20">
        <v>0</v>
      </c>
      <c r="AO60" s="20">
        <v>0</v>
      </c>
      <c r="AP60" s="20">
        <v>0</v>
      </c>
      <c r="AR60" s="20">
        <v>0</v>
      </c>
      <c r="AS60" s="20">
        <v>0</v>
      </c>
      <c r="AT60" s="20">
        <v>297829.86</v>
      </c>
      <c r="AU60" s="20" t="s">
        <v>13</v>
      </c>
      <c r="AV60" s="20" t="s">
        <v>99</v>
      </c>
      <c r="AW60" s="111" t="s">
        <v>100</v>
      </c>
      <c r="AX60" s="20" t="s">
        <v>208</v>
      </c>
      <c r="AY60" s="19" t="s">
        <v>209</v>
      </c>
      <c r="AZ60" s="19">
        <v>0</v>
      </c>
      <c r="BA60" s="19">
        <v>77086.5</v>
      </c>
      <c r="BB60" s="19">
        <v>767</v>
      </c>
      <c r="BC60" s="66">
        <v>46149</v>
      </c>
      <c r="BD60" s="19" t="s">
        <v>59</v>
      </c>
      <c r="BE60" s="19" t="s">
        <v>210</v>
      </c>
      <c r="BF60" s="19" t="s">
        <v>210</v>
      </c>
      <c r="BG60" s="19">
        <v>2.5</v>
      </c>
      <c r="BH60" s="19">
        <v>1927.16</v>
      </c>
      <c r="BI60" s="19">
        <v>2.5</v>
      </c>
      <c r="BJ60" s="19">
        <v>1927.16</v>
      </c>
      <c r="BK60" s="19">
        <v>0</v>
      </c>
      <c r="BL60" s="19">
        <v>0</v>
      </c>
      <c r="BM60" s="19">
        <v>0</v>
      </c>
      <c r="BN60" s="19">
        <v>672139987956</v>
      </c>
      <c r="BO60" s="66">
        <v>46207</v>
      </c>
      <c r="BP60" s="19">
        <v>0</v>
      </c>
    </row>
    <row r="61" spans="1:68">
      <c r="A61" s="65"/>
      <c r="B61" s="20" t="s">
        <v>2216</v>
      </c>
      <c r="C61" s="111">
        <v>46149</v>
      </c>
      <c r="D61" s="20" t="s">
        <v>3574</v>
      </c>
      <c r="E61" s="20" t="s">
        <v>423</v>
      </c>
      <c r="F61" s="20" t="s">
        <v>418</v>
      </c>
      <c r="H61" s="20" t="s">
        <v>3575</v>
      </c>
      <c r="I61" s="20">
        <v>407</v>
      </c>
      <c r="J61" s="20">
        <v>407</v>
      </c>
      <c r="K61" s="20" t="s">
        <v>11</v>
      </c>
      <c r="L61" s="20">
        <v>407</v>
      </c>
      <c r="M61" s="20">
        <v>0</v>
      </c>
      <c r="N61" s="20">
        <v>407</v>
      </c>
      <c r="O61" s="20" t="s">
        <v>2626</v>
      </c>
      <c r="P61" s="20" t="s">
        <v>103</v>
      </c>
      <c r="Q61" s="20" t="s">
        <v>103</v>
      </c>
      <c r="R61" s="111" t="s">
        <v>2807</v>
      </c>
      <c r="S61" s="111">
        <v>46088</v>
      </c>
      <c r="T61" s="20" t="s">
        <v>206</v>
      </c>
      <c r="U61" s="20" t="s">
        <v>207</v>
      </c>
      <c r="V61" s="20" t="s">
        <v>2806</v>
      </c>
      <c r="W61" s="20">
        <v>192.99</v>
      </c>
      <c r="X61" s="20">
        <v>192.99</v>
      </c>
      <c r="Y61" s="111" t="s">
        <v>2807</v>
      </c>
      <c r="Z61" s="111">
        <v>46088</v>
      </c>
      <c r="AB61" s="20" t="s">
        <v>2376</v>
      </c>
      <c r="AD61" s="20" t="s">
        <v>2376</v>
      </c>
      <c r="AE61" s="20" t="s">
        <v>2376</v>
      </c>
      <c r="AF61" s="20">
        <v>0</v>
      </c>
      <c r="AG61" s="20">
        <v>0</v>
      </c>
      <c r="AH61" s="20">
        <v>0</v>
      </c>
      <c r="AI61" s="20">
        <v>0</v>
      </c>
      <c r="AJ61" s="20">
        <v>0</v>
      </c>
      <c r="AK61" s="111" t="s">
        <v>609</v>
      </c>
      <c r="AL61" s="20">
        <v>0</v>
      </c>
      <c r="AM61" s="20">
        <v>0</v>
      </c>
      <c r="AN61" s="20">
        <v>0</v>
      </c>
      <c r="AO61" s="20">
        <v>0</v>
      </c>
      <c r="AP61" s="20">
        <v>0</v>
      </c>
      <c r="AR61" s="20">
        <v>0</v>
      </c>
      <c r="AS61" s="20">
        <v>0</v>
      </c>
      <c r="AT61" s="20">
        <v>78546.929999999993</v>
      </c>
      <c r="AU61" s="20" t="s">
        <v>13</v>
      </c>
      <c r="AV61" s="20" t="s">
        <v>80</v>
      </c>
      <c r="AW61" s="111" t="s">
        <v>81</v>
      </c>
      <c r="AX61" s="20" t="s">
        <v>208</v>
      </c>
      <c r="AY61" s="19" t="s">
        <v>209</v>
      </c>
      <c r="AZ61" s="19">
        <v>0</v>
      </c>
      <c r="BA61" s="19">
        <v>78546.929999999993</v>
      </c>
      <c r="BB61" s="19">
        <v>9</v>
      </c>
      <c r="BC61" s="66">
        <v>46149</v>
      </c>
      <c r="BD61" s="19" t="s">
        <v>104</v>
      </c>
      <c r="BE61" s="19" t="s">
        <v>210</v>
      </c>
      <c r="BF61" s="19" t="s">
        <v>210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>
        <v>0</v>
      </c>
      <c r="BM61" s="19">
        <v>78546.929999999993</v>
      </c>
      <c r="BN61" s="19">
        <v>652139355962</v>
      </c>
      <c r="BO61" s="66">
        <v>46206</v>
      </c>
      <c r="BP61" s="19">
        <v>0</v>
      </c>
    </row>
    <row r="62" spans="1:68">
      <c r="A62" s="65"/>
      <c r="B62" s="20" t="s">
        <v>2216</v>
      </c>
      <c r="C62" s="111">
        <v>46149</v>
      </c>
      <c r="D62" s="20" t="s">
        <v>3576</v>
      </c>
      <c r="E62" s="20" t="s">
        <v>160</v>
      </c>
      <c r="F62" s="20" t="s">
        <v>17</v>
      </c>
      <c r="H62" s="20" t="s">
        <v>3577</v>
      </c>
      <c r="I62" s="20">
        <v>9208</v>
      </c>
      <c r="J62" s="20">
        <v>9208</v>
      </c>
      <c r="K62" s="20" t="s">
        <v>11</v>
      </c>
      <c r="L62" s="20">
        <v>9208</v>
      </c>
      <c r="M62" s="20">
        <v>0</v>
      </c>
      <c r="N62" s="20">
        <v>9208</v>
      </c>
      <c r="O62" s="20" t="s">
        <v>2203</v>
      </c>
      <c r="P62" s="20" t="s">
        <v>87</v>
      </c>
      <c r="Q62" s="20" t="s">
        <v>87</v>
      </c>
      <c r="R62" s="111" t="s">
        <v>2817</v>
      </c>
      <c r="S62" s="111">
        <v>46149</v>
      </c>
      <c r="T62" s="20" t="s">
        <v>206</v>
      </c>
      <c r="U62" s="20" t="s">
        <v>207</v>
      </c>
      <c r="V62" s="20" t="s">
        <v>2816</v>
      </c>
      <c r="W62" s="20">
        <v>186.78</v>
      </c>
      <c r="X62" s="20">
        <v>186.78013445515799</v>
      </c>
      <c r="Y62" s="111" t="s">
        <v>2817</v>
      </c>
      <c r="Z62" s="111">
        <v>46149</v>
      </c>
      <c r="AB62" s="20" t="s">
        <v>2376</v>
      </c>
      <c r="AD62" s="20" t="s">
        <v>2376</v>
      </c>
      <c r="AE62" s="20" t="s">
        <v>2376</v>
      </c>
      <c r="AF62" s="20">
        <v>0</v>
      </c>
      <c r="AG62" s="20">
        <v>0</v>
      </c>
      <c r="AH62" s="20">
        <v>0</v>
      </c>
      <c r="AI62" s="20">
        <v>0</v>
      </c>
      <c r="AJ62" s="20">
        <v>0</v>
      </c>
      <c r="AK62" s="111" t="s">
        <v>609</v>
      </c>
      <c r="AL62" s="20">
        <v>0</v>
      </c>
      <c r="AM62" s="20">
        <v>0</v>
      </c>
      <c r="AN62" s="20">
        <v>0</v>
      </c>
      <c r="AO62" s="20">
        <v>0</v>
      </c>
      <c r="AP62" s="20">
        <v>0</v>
      </c>
      <c r="AR62" s="20">
        <v>0</v>
      </c>
      <c r="AS62" s="20">
        <v>0</v>
      </c>
      <c r="AT62" s="20">
        <v>2139311.06</v>
      </c>
      <c r="AU62" s="20" t="s">
        <v>13</v>
      </c>
      <c r="AV62" s="20" t="s">
        <v>80</v>
      </c>
      <c r="AW62" s="111" t="s">
        <v>81</v>
      </c>
      <c r="AX62" s="20" t="s">
        <v>208</v>
      </c>
      <c r="AY62" s="19" t="s">
        <v>209</v>
      </c>
      <c r="AZ62" s="19">
        <v>0</v>
      </c>
      <c r="BA62" s="19">
        <v>1719871.48</v>
      </c>
      <c r="BB62" s="19">
        <v>768</v>
      </c>
      <c r="BC62" s="66">
        <v>46149</v>
      </c>
      <c r="BD62" s="19" t="s">
        <v>65</v>
      </c>
      <c r="BE62" s="19" t="s">
        <v>210</v>
      </c>
      <c r="BF62" s="19" t="s">
        <v>210</v>
      </c>
      <c r="BG62" s="19">
        <v>9</v>
      </c>
      <c r="BH62" s="19">
        <v>154788.32</v>
      </c>
      <c r="BI62" s="19">
        <v>9</v>
      </c>
      <c r="BJ62" s="19">
        <v>154788.32</v>
      </c>
      <c r="BK62" s="19">
        <v>0</v>
      </c>
      <c r="BL62" s="19">
        <v>0</v>
      </c>
      <c r="BM62" s="19">
        <v>2139311.06</v>
      </c>
      <c r="BN62" s="19">
        <v>622140221611</v>
      </c>
      <c r="BO62" s="66">
        <v>46208</v>
      </c>
      <c r="BP62" s="19">
        <v>0</v>
      </c>
    </row>
    <row r="63" spans="1:68">
      <c r="A63" s="65"/>
      <c r="B63" s="20" t="s">
        <v>2216</v>
      </c>
      <c r="C63" s="111">
        <v>46149</v>
      </c>
      <c r="D63" s="20" t="s">
        <v>3576</v>
      </c>
      <c r="E63" s="20" t="s">
        <v>160</v>
      </c>
      <c r="F63" s="20" t="s">
        <v>17</v>
      </c>
      <c r="H63" s="20" t="s">
        <v>3577</v>
      </c>
      <c r="I63" s="20">
        <v>285</v>
      </c>
      <c r="J63" s="20">
        <v>285</v>
      </c>
      <c r="K63" s="20" t="s">
        <v>11</v>
      </c>
      <c r="L63" s="20">
        <v>285</v>
      </c>
      <c r="M63" s="20">
        <v>0</v>
      </c>
      <c r="N63" s="20">
        <v>285</v>
      </c>
      <c r="O63" s="20" t="s">
        <v>2203</v>
      </c>
      <c r="P63" s="20" t="s">
        <v>87</v>
      </c>
      <c r="Q63" s="20" t="s">
        <v>87</v>
      </c>
      <c r="R63" s="111" t="s">
        <v>2817</v>
      </c>
      <c r="S63" s="111">
        <v>46149</v>
      </c>
      <c r="T63" s="20" t="s">
        <v>206</v>
      </c>
      <c r="U63" s="20" t="s">
        <v>207</v>
      </c>
      <c r="V63" s="20" t="s">
        <v>2816</v>
      </c>
      <c r="W63" s="20">
        <v>182.78</v>
      </c>
      <c r="X63" s="20">
        <v>182.780131575724</v>
      </c>
      <c r="Y63" s="111" t="s">
        <v>2817</v>
      </c>
      <c r="Z63" s="111">
        <v>46149</v>
      </c>
      <c r="AB63" s="20" t="s">
        <v>2376</v>
      </c>
      <c r="AD63" s="20" t="s">
        <v>2376</v>
      </c>
      <c r="AE63" s="20" t="s">
        <v>2376</v>
      </c>
      <c r="AF63" s="20">
        <v>0</v>
      </c>
      <c r="AG63" s="20">
        <v>0</v>
      </c>
      <c r="AH63" s="20">
        <v>0</v>
      </c>
      <c r="AI63" s="20">
        <v>0</v>
      </c>
      <c r="AJ63" s="20">
        <v>0</v>
      </c>
      <c r="AK63" s="111" t="s">
        <v>609</v>
      </c>
      <c r="AL63" s="20">
        <v>0</v>
      </c>
      <c r="AM63" s="20">
        <v>0</v>
      </c>
      <c r="AN63" s="20">
        <v>0</v>
      </c>
      <c r="AO63" s="20">
        <v>0</v>
      </c>
      <c r="AP63" s="20">
        <v>0</v>
      </c>
      <c r="AR63" s="20">
        <v>0</v>
      </c>
      <c r="AS63" s="20">
        <v>0</v>
      </c>
      <c r="AT63" s="20">
        <v>2139311.06</v>
      </c>
      <c r="AU63" s="20" t="s">
        <v>13</v>
      </c>
      <c r="AV63" s="20" t="s">
        <v>80</v>
      </c>
      <c r="AW63" s="111" t="s">
        <v>81</v>
      </c>
      <c r="AX63" s="20" t="s">
        <v>208</v>
      </c>
      <c r="AY63" s="19" t="s">
        <v>209</v>
      </c>
      <c r="AZ63" s="19">
        <v>0</v>
      </c>
      <c r="BA63" s="19">
        <v>52092.34</v>
      </c>
      <c r="BB63" s="19">
        <v>768</v>
      </c>
      <c r="BC63" s="66">
        <v>46149</v>
      </c>
      <c r="BD63" s="19" t="s">
        <v>65</v>
      </c>
      <c r="BE63" s="19" t="s">
        <v>210</v>
      </c>
      <c r="BF63" s="19" t="s">
        <v>210</v>
      </c>
      <c r="BG63" s="19">
        <v>9</v>
      </c>
      <c r="BH63" s="19">
        <v>4688.3100000000004</v>
      </c>
      <c r="BI63" s="19">
        <v>9</v>
      </c>
      <c r="BJ63" s="19">
        <v>4688.3100000000004</v>
      </c>
      <c r="BK63" s="19">
        <v>0</v>
      </c>
      <c r="BL63" s="19">
        <v>0</v>
      </c>
      <c r="BM63" s="19">
        <v>0</v>
      </c>
      <c r="BN63" s="19">
        <v>622140221611</v>
      </c>
      <c r="BO63" s="66">
        <v>46208</v>
      </c>
      <c r="BP63" s="19">
        <v>0</v>
      </c>
    </row>
    <row r="64" spans="1:68">
      <c r="A64" s="65"/>
      <c r="B64" s="20" t="s">
        <v>2216</v>
      </c>
      <c r="C64" s="111">
        <v>46149</v>
      </c>
      <c r="D64" s="20" t="s">
        <v>3576</v>
      </c>
      <c r="E64" s="20" t="s">
        <v>160</v>
      </c>
      <c r="F64" s="20" t="s">
        <v>17</v>
      </c>
      <c r="H64" s="20" t="s">
        <v>3577</v>
      </c>
      <c r="I64" s="20">
        <v>23</v>
      </c>
      <c r="J64" s="20">
        <v>23</v>
      </c>
      <c r="K64" s="20" t="s">
        <v>11</v>
      </c>
      <c r="L64" s="20">
        <v>23</v>
      </c>
      <c r="M64" s="20">
        <v>0</v>
      </c>
      <c r="N64" s="20">
        <v>23</v>
      </c>
      <c r="O64" s="20" t="s">
        <v>2203</v>
      </c>
      <c r="P64" s="20" t="s">
        <v>87</v>
      </c>
      <c r="Q64" s="20" t="s">
        <v>87</v>
      </c>
      <c r="R64" s="111" t="s">
        <v>2817</v>
      </c>
      <c r="S64" s="111">
        <v>46149</v>
      </c>
      <c r="T64" s="20" t="s">
        <v>206</v>
      </c>
      <c r="U64" s="20" t="s">
        <v>207</v>
      </c>
      <c r="V64" s="20" t="s">
        <v>2816</v>
      </c>
      <c r="W64" s="20">
        <v>193.78</v>
      </c>
      <c r="X64" s="20">
        <v>193.780139494167</v>
      </c>
      <c r="Y64" s="111" t="s">
        <v>2817</v>
      </c>
      <c r="Z64" s="111">
        <v>46149</v>
      </c>
      <c r="AB64" s="20" t="s">
        <v>2376</v>
      </c>
      <c r="AD64" s="20" t="s">
        <v>2376</v>
      </c>
      <c r="AE64" s="20" t="s">
        <v>2376</v>
      </c>
      <c r="AF64" s="20">
        <v>0</v>
      </c>
      <c r="AG64" s="20">
        <v>0</v>
      </c>
      <c r="AH64" s="20">
        <v>0</v>
      </c>
      <c r="AI64" s="20">
        <v>0</v>
      </c>
      <c r="AJ64" s="20">
        <v>0</v>
      </c>
      <c r="AK64" s="111" t="s">
        <v>609</v>
      </c>
      <c r="AL64" s="20">
        <v>0</v>
      </c>
      <c r="AM64" s="20">
        <v>0</v>
      </c>
      <c r="AN64" s="20">
        <v>0</v>
      </c>
      <c r="AO64" s="20">
        <v>0</v>
      </c>
      <c r="AP64" s="20">
        <v>0</v>
      </c>
      <c r="AR64" s="20">
        <v>0</v>
      </c>
      <c r="AS64" s="20">
        <v>0</v>
      </c>
      <c r="AT64" s="20">
        <v>2139311.06</v>
      </c>
      <c r="AU64" s="20" t="s">
        <v>13</v>
      </c>
      <c r="AV64" s="20" t="s">
        <v>80</v>
      </c>
      <c r="AW64" s="111" t="s">
        <v>81</v>
      </c>
      <c r="AX64" s="20" t="s">
        <v>208</v>
      </c>
      <c r="AY64" s="19" t="s">
        <v>209</v>
      </c>
      <c r="AZ64" s="19">
        <v>0</v>
      </c>
      <c r="BA64" s="19">
        <v>4456.9399999999996</v>
      </c>
      <c r="BB64" s="19">
        <v>768</v>
      </c>
      <c r="BC64" s="66">
        <v>46149</v>
      </c>
      <c r="BD64" s="19" t="s">
        <v>65</v>
      </c>
      <c r="BE64" s="19" t="s">
        <v>210</v>
      </c>
      <c r="BF64" s="19" t="s">
        <v>210</v>
      </c>
      <c r="BG64" s="19">
        <v>9</v>
      </c>
      <c r="BH64" s="19">
        <v>401.12</v>
      </c>
      <c r="BI64" s="19">
        <v>9</v>
      </c>
      <c r="BJ64" s="19">
        <v>401.12</v>
      </c>
      <c r="BK64" s="19">
        <v>0</v>
      </c>
      <c r="BL64" s="19">
        <v>0</v>
      </c>
      <c r="BM64" s="19">
        <v>0</v>
      </c>
      <c r="BN64" s="19">
        <v>622140221611</v>
      </c>
      <c r="BO64" s="66">
        <v>46208</v>
      </c>
      <c r="BP64" s="19">
        <v>0</v>
      </c>
    </row>
    <row r="65" spans="1:68">
      <c r="A65" s="65"/>
      <c r="B65" s="20" t="s">
        <v>2216</v>
      </c>
      <c r="C65" s="111">
        <v>46149</v>
      </c>
      <c r="D65" s="20" t="s">
        <v>3576</v>
      </c>
      <c r="E65" s="20" t="s">
        <v>855</v>
      </c>
      <c r="F65" s="20" t="s">
        <v>778</v>
      </c>
      <c r="H65" s="20" t="s">
        <v>3577</v>
      </c>
      <c r="I65" s="20">
        <v>10300</v>
      </c>
      <c r="J65" s="20">
        <v>10300</v>
      </c>
      <c r="K65" s="20" t="s">
        <v>1</v>
      </c>
      <c r="L65" s="20">
        <v>10300</v>
      </c>
      <c r="M65" s="20">
        <v>0</v>
      </c>
      <c r="N65" s="20">
        <v>10300</v>
      </c>
      <c r="O65" s="20" t="s">
        <v>2203</v>
      </c>
      <c r="P65" s="20" t="s">
        <v>87</v>
      </c>
      <c r="Q65" s="20" t="s">
        <v>87</v>
      </c>
      <c r="R65" s="111" t="s">
        <v>2817</v>
      </c>
      <c r="S65" s="111">
        <v>46149</v>
      </c>
      <c r="T65" s="20" t="s">
        <v>206</v>
      </c>
      <c r="U65" s="20" t="s">
        <v>207</v>
      </c>
      <c r="V65" s="20" t="s">
        <v>2816</v>
      </c>
      <c r="W65" s="20">
        <v>3.5489999999999999</v>
      </c>
      <c r="X65" s="20">
        <v>3.5490025547775801</v>
      </c>
      <c r="Y65" s="111" t="s">
        <v>2817</v>
      </c>
      <c r="Z65" s="111">
        <v>46149</v>
      </c>
      <c r="AB65" s="20" t="s">
        <v>2376</v>
      </c>
      <c r="AD65" s="20" t="s">
        <v>2376</v>
      </c>
      <c r="AE65" s="20" t="s">
        <v>2376</v>
      </c>
      <c r="AF65" s="20">
        <v>0</v>
      </c>
      <c r="AG65" s="20">
        <v>0</v>
      </c>
      <c r="AH65" s="20">
        <v>0</v>
      </c>
      <c r="AI65" s="20">
        <v>0</v>
      </c>
      <c r="AJ65" s="20">
        <v>0</v>
      </c>
      <c r="AK65" s="111" t="s">
        <v>609</v>
      </c>
      <c r="AL65" s="20">
        <v>0</v>
      </c>
      <c r="AM65" s="20">
        <v>0</v>
      </c>
      <c r="AN65" s="20">
        <v>0</v>
      </c>
      <c r="AO65" s="20">
        <v>0</v>
      </c>
      <c r="AP65" s="20">
        <v>0</v>
      </c>
      <c r="AR65" s="20">
        <v>0</v>
      </c>
      <c r="AS65" s="20">
        <v>0</v>
      </c>
      <c r="AT65" s="20">
        <v>2139311.06</v>
      </c>
      <c r="AU65" s="20" t="s">
        <v>8</v>
      </c>
      <c r="AV65" s="20" t="s">
        <v>659</v>
      </c>
      <c r="AW65" s="111" t="s">
        <v>659</v>
      </c>
      <c r="AX65" s="20" t="s">
        <v>208</v>
      </c>
      <c r="AY65" s="19" t="s">
        <v>856</v>
      </c>
      <c r="AZ65" s="19">
        <v>0</v>
      </c>
      <c r="BA65" s="19">
        <v>36554.730000000003</v>
      </c>
      <c r="BB65" s="19">
        <v>768</v>
      </c>
      <c r="BC65" s="66">
        <v>46149</v>
      </c>
      <c r="BD65" s="19" t="s">
        <v>65</v>
      </c>
      <c r="BE65" s="19" t="s">
        <v>210</v>
      </c>
      <c r="BF65" s="19" t="s">
        <v>210</v>
      </c>
      <c r="BG65" s="19">
        <v>9</v>
      </c>
      <c r="BH65" s="19">
        <v>3289.92</v>
      </c>
      <c r="BI65" s="19">
        <v>9</v>
      </c>
      <c r="BJ65" s="19">
        <v>3289.92</v>
      </c>
      <c r="BK65" s="19">
        <v>0</v>
      </c>
      <c r="BL65" s="19">
        <v>0</v>
      </c>
      <c r="BM65" s="19">
        <v>0</v>
      </c>
      <c r="BN65" s="19">
        <v>622140221611</v>
      </c>
      <c r="BO65" s="66">
        <v>46208</v>
      </c>
      <c r="BP65" s="19">
        <v>0</v>
      </c>
    </row>
    <row r="66" spans="1:68">
      <c r="A66" s="65"/>
      <c r="B66" s="20" t="s">
        <v>2216</v>
      </c>
      <c r="C66" s="111">
        <v>46149</v>
      </c>
      <c r="D66" s="20" t="s">
        <v>3578</v>
      </c>
      <c r="E66" s="20" t="s">
        <v>20</v>
      </c>
      <c r="F66" s="20" t="s">
        <v>21</v>
      </c>
      <c r="H66" s="20" t="s">
        <v>3579</v>
      </c>
      <c r="I66" s="20">
        <v>832</v>
      </c>
      <c r="J66" s="20">
        <v>832</v>
      </c>
      <c r="K66" s="20" t="s">
        <v>11</v>
      </c>
      <c r="L66" s="20">
        <v>832</v>
      </c>
      <c r="M66" s="20">
        <v>0</v>
      </c>
      <c r="N66" s="20">
        <v>832</v>
      </c>
      <c r="O66" s="20" t="s">
        <v>2201</v>
      </c>
      <c r="P66" s="20" t="s">
        <v>87</v>
      </c>
      <c r="Q66" s="20" t="s">
        <v>87</v>
      </c>
      <c r="R66" s="111" t="s">
        <v>2819</v>
      </c>
      <c r="S66" s="111">
        <v>46149</v>
      </c>
      <c r="T66" s="20" t="s">
        <v>206</v>
      </c>
      <c r="U66" s="20" t="s">
        <v>207</v>
      </c>
      <c r="V66" s="20" t="s">
        <v>2818</v>
      </c>
      <c r="W66" s="20">
        <v>146.49</v>
      </c>
      <c r="X66" s="20">
        <v>146.490000346405</v>
      </c>
      <c r="Y66" s="111" t="s">
        <v>2819</v>
      </c>
      <c r="Z66" s="111">
        <v>46149</v>
      </c>
      <c r="AB66" s="20" t="s">
        <v>2376</v>
      </c>
      <c r="AD66" s="20" t="s">
        <v>2376</v>
      </c>
      <c r="AE66" s="20" t="s">
        <v>2376</v>
      </c>
      <c r="AF66" s="20">
        <v>0</v>
      </c>
      <c r="AG66" s="20">
        <v>0</v>
      </c>
      <c r="AH66" s="20">
        <v>0</v>
      </c>
      <c r="AI66" s="20">
        <v>0</v>
      </c>
      <c r="AJ66" s="20">
        <v>0</v>
      </c>
      <c r="AK66" s="111" t="s">
        <v>609</v>
      </c>
      <c r="AL66" s="20">
        <v>0</v>
      </c>
      <c r="AM66" s="20">
        <v>0</v>
      </c>
      <c r="AN66" s="20">
        <v>0</v>
      </c>
      <c r="AO66" s="20">
        <v>0</v>
      </c>
      <c r="AP66" s="20">
        <v>0</v>
      </c>
      <c r="AR66" s="20">
        <v>0</v>
      </c>
      <c r="AS66" s="20">
        <v>0</v>
      </c>
      <c r="AT66" s="20">
        <v>2114434.2799999998</v>
      </c>
      <c r="AU66" s="20" t="s">
        <v>13</v>
      </c>
      <c r="AV66" s="20" t="s">
        <v>62</v>
      </c>
      <c r="AW66" s="111" t="s">
        <v>76</v>
      </c>
      <c r="AX66" s="20" t="s">
        <v>208</v>
      </c>
      <c r="AY66" s="19" t="s">
        <v>209</v>
      </c>
      <c r="AZ66" s="19">
        <v>0</v>
      </c>
      <c r="BA66" s="19">
        <v>121879.67999999999</v>
      </c>
      <c r="BB66" s="19">
        <v>765</v>
      </c>
      <c r="BC66" s="66">
        <v>46149</v>
      </c>
      <c r="BD66" s="19" t="s">
        <v>65</v>
      </c>
      <c r="BE66" s="19" t="s">
        <v>210</v>
      </c>
      <c r="BF66" s="19" t="s">
        <v>210</v>
      </c>
      <c r="BG66" s="19">
        <v>9</v>
      </c>
      <c r="BH66" s="19">
        <v>10969.17</v>
      </c>
      <c r="BI66" s="19">
        <v>9</v>
      </c>
      <c r="BJ66" s="19">
        <v>10969.17</v>
      </c>
      <c r="BK66" s="19">
        <v>0</v>
      </c>
      <c r="BL66" s="19">
        <v>0</v>
      </c>
      <c r="BM66" s="19">
        <v>2114434.2799999998</v>
      </c>
      <c r="BN66" s="19">
        <v>692140167569</v>
      </c>
      <c r="BO66" s="66">
        <v>46208</v>
      </c>
      <c r="BP66" s="19">
        <v>0</v>
      </c>
    </row>
    <row r="67" spans="1:68">
      <c r="A67" s="65"/>
      <c r="B67" s="20" t="s">
        <v>2216</v>
      </c>
      <c r="C67" s="111">
        <v>46149</v>
      </c>
      <c r="D67" s="20" t="s">
        <v>3578</v>
      </c>
      <c r="E67" s="20" t="s">
        <v>20</v>
      </c>
      <c r="F67" s="20" t="s">
        <v>21</v>
      </c>
      <c r="H67" s="20" t="s">
        <v>3579</v>
      </c>
      <c r="I67" s="20">
        <v>1791</v>
      </c>
      <c r="J67" s="20">
        <v>1791</v>
      </c>
      <c r="K67" s="20" t="s">
        <v>11</v>
      </c>
      <c r="L67" s="20">
        <v>1791</v>
      </c>
      <c r="M67" s="20">
        <v>0</v>
      </c>
      <c r="N67" s="20">
        <v>1791</v>
      </c>
      <c r="O67" s="20" t="s">
        <v>2201</v>
      </c>
      <c r="P67" s="20" t="s">
        <v>87</v>
      </c>
      <c r="Q67" s="20" t="s">
        <v>87</v>
      </c>
      <c r="R67" s="111" t="s">
        <v>2819</v>
      </c>
      <c r="S67" s="111">
        <v>46149</v>
      </c>
      <c r="T67" s="20" t="s">
        <v>206</v>
      </c>
      <c r="U67" s="20" t="s">
        <v>207</v>
      </c>
      <c r="V67" s="20" t="s">
        <v>2818</v>
      </c>
      <c r="W67" s="20">
        <v>151.49</v>
      </c>
      <c r="X67" s="20">
        <v>151.490000358228</v>
      </c>
      <c r="Y67" s="111" t="s">
        <v>2819</v>
      </c>
      <c r="Z67" s="111">
        <v>46149</v>
      </c>
      <c r="AB67" s="20" t="s">
        <v>2376</v>
      </c>
      <c r="AD67" s="20" t="s">
        <v>2376</v>
      </c>
      <c r="AE67" s="20" t="s">
        <v>2376</v>
      </c>
      <c r="AF67" s="20">
        <v>0</v>
      </c>
      <c r="AG67" s="20">
        <v>0</v>
      </c>
      <c r="AH67" s="20">
        <v>0</v>
      </c>
      <c r="AI67" s="20">
        <v>0</v>
      </c>
      <c r="AJ67" s="20">
        <v>0</v>
      </c>
      <c r="AK67" s="111" t="s">
        <v>609</v>
      </c>
      <c r="AL67" s="20">
        <v>0</v>
      </c>
      <c r="AM67" s="20">
        <v>0</v>
      </c>
      <c r="AN67" s="20">
        <v>0</v>
      </c>
      <c r="AO67" s="20">
        <v>0</v>
      </c>
      <c r="AP67" s="20">
        <v>0</v>
      </c>
      <c r="AR67" s="20">
        <v>0</v>
      </c>
      <c r="AS67" s="20">
        <v>0</v>
      </c>
      <c r="AT67" s="20">
        <v>2114434.2799999998</v>
      </c>
      <c r="AU67" s="20" t="s">
        <v>13</v>
      </c>
      <c r="AV67" s="20" t="s">
        <v>62</v>
      </c>
      <c r="AW67" s="111" t="s">
        <v>76</v>
      </c>
      <c r="AX67" s="20" t="s">
        <v>208</v>
      </c>
      <c r="AY67" s="19" t="s">
        <v>209</v>
      </c>
      <c r="AZ67" s="19">
        <v>0</v>
      </c>
      <c r="BA67" s="19">
        <v>271318.59000000003</v>
      </c>
      <c r="BB67" s="19">
        <v>765</v>
      </c>
      <c r="BC67" s="66">
        <v>46149</v>
      </c>
      <c r="BD67" s="19" t="s">
        <v>65</v>
      </c>
      <c r="BE67" s="19" t="s">
        <v>210</v>
      </c>
      <c r="BF67" s="19" t="s">
        <v>210</v>
      </c>
      <c r="BG67" s="19">
        <v>9</v>
      </c>
      <c r="BH67" s="19">
        <v>24418.67</v>
      </c>
      <c r="BI67" s="19">
        <v>9</v>
      </c>
      <c r="BJ67" s="19">
        <v>24418.67</v>
      </c>
      <c r="BK67" s="19">
        <v>0</v>
      </c>
      <c r="BL67" s="19">
        <v>0</v>
      </c>
      <c r="BM67" s="19">
        <v>0</v>
      </c>
      <c r="BN67" s="19">
        <v>692140167569</v>
      </c>
      <c r="BO67" s="66">
        <v>46208</v>
      </c>
      <c r="BP67" s="19">
        <v>0</v>
      </c>
    </row>
    <row r="68" spans="1:68">
      <c r="A68" s="65"/>
      <c r="B68" s="20" t="s">
        <v>2216</v>
      </c>
      <c r="C68" s="111">
        <v>46149</v>
      </c>
      <c r="D68" s="20" t="s">
        <v>3578</v>
      </c>
      <c r="E68" s="20" t="s">
        <v>18</v>
      </c>
      <c r="F68" s="20" t="s">
        <v>19</v>
      </c>
      <c r="H68" s="20" t="s">
        <v>3579</v>
      </c>
      <c r="I68" s="20">
        <v>2873</v>
      </c>
      <c r="J68" s="20">
        <v>2873</v>
      </c>
      <c r="K68" s="20" t="s">
        <v>11</v>
      </c>
      <c r="L68" s="20">
        <v>2873</v>
      </c>
      <c r="M68" s="20">
        <v>0</v>
      </c>
      <c r="N68" s="20">
        <v>2873</v>
      </c>
      <c r="O68" s="20" t="s">
        <v>2201</v>
      </c>
      <c r="P68" s="20" t="s">
        <v>87</v>
      </c>
      <c r="Q68" s="20" t="s">
        <v>87</v>
      </c>
      <c r="R68" s="111" t="s">
        <v>2819</v>
      </c>
      <c r="S68" s="111">
        <v>46149</v>
      </c>
      <c r="T68" s="20" t="s">
        <v>206</v>
      </c>
      <c r="U68" s="20" t="s">
        <v>207</v>
      </c>
      <c r="V68" s="20" t="s">
        <v>2818</v>
      </c>
      <c r="W68" s="20">
        <v>146.49</v>
      </c>
      <c r="X68" s="20">
        <v>146.490000346405</v>
      </c>
      <c r="Y68" s="111" t="s">
        <v>2819</v>
      </c>
      <c r="Z68" s="111">
        <v>46149</v>
      </c>
      <c r="AB68" s="20" t="s">
        <v>2376</v>
      </c>
      <c r="AD68" s="20" t="s">
        <v>2376</v>
      </c>
      <c r="AE68" s="20" t="s">
        <v>2376</v>
      </c>
      <c r="AF68" s="20">
        <v>0</v>
      </c>
      <c r="AG68" s="20">
        <v>0</v>
      </c>
      <c r="AH68" s="20">
        <v>0</v>
      </c>
      <c r="AI68" s="20">
        <v>0</v>
      </c>
      <c r="AJ68" s="20">
        <v>0</v>
      </c>
      <c r="AK68" s="111" t="s">
        <v>609</v>
      </c>
      <c r="AL68" s="20">
        <v>0</v>
      </c>
      <c r="AM68" s="20">
        <v>0</v>
      </c>
      <c r="AN68" s="20">
        <v>0</v>
      </c>
      <c r="AO68" s="20">
        <v>0</v>
      </c>
      <c r="AP68" s="20">
        <v>0</v>
      </c>
      <c r="AR68" s="20">
        <v>0</v>
      </c>
      <c r="AS68" s="20">
        <v>0</v>
      </c>
      <c r="AT68" s="20">
        <v>2114434.2799999998</v>
      </c>
      <c r="AU68" s="20" t="s">
        <v>13</v>
      </c>
      <c r="AV68" s="20" t="s">
        <v>62</v>
      </c>
      <c r="AW68" s="111" t="s">
        <v>63</v>
      </c>
      <c r="AX68" s="20" t="s">
        <v>208</v>
      </c>
      <c r="AY68" s="19" t="s">
        <v>209</v>
      </c>
      <c r="AZ68" s="19">
        <v>0</v>
      </c>
      <c r="BA68" s="19">
        <v>420865.77</v>
      </c>
      <c r="BB68" s="19">
        <v>765</v>
      </c>
      <c r="BC68" s="66">
        <v>46149</v>
      </c>
      <c r="BD68" s="19" t="s">
        <v>65</v>
      </c>
      <c r="BE68" s="19" t="s">
        <v>210</v>
      </c>
      <c r="BF68" s="19" t="s">
        <v>210</v>
      </c>
      <c r="BG68" s="19">
        <v>9</v>
      </c>
      <c r="BH68" s="19">
        <v>37877.919999999998</v>
      </c>
      <c r="BI68" s="19">
        <v>9</v>
      </c>
      <c r="BJ68" s="19">
        <v>37877.919999999998</v>
      </c>
      <c r="BK68" s="19">
        <v>0</v>
      </c>
      <c r="BL68" s="19">
        <v>0</v>
      </c>
      <c r="BM68" s="19">
        <v>0</v>
      </c>
      <c r="BN68" s="19">
        <v>692140167569</v>
      </c>
      <c r="BO68" s="66">
        <v>46208</v>
      </c>
      <c r="BP68" s="19">
        <v>0</v>
      </c>
    </row>
    <row r="69" spans="1:68">
      <c r="A69" s="65"/>
      <c r="B69" s="20" t="s">
        <v>2216</v>
      </c>
      <c r="C69" s="111">
        <v>46149</v>
      </c>
      <c r="D69" s="20" t="s">
        <v>3578</v>
      </c>
      <c r="E69" s="20" t="s">
        <v>18</v>
      </c>
      <c r="F69" s="20" t="s">
        <v>19</v>
      </c>
      <c r="H69" s="20" t="s">
        <v>3579</v>
      </c>
      <c r="I69" s="20">
        <v>1100</v>
      </c>
      <c r="J69" s="20">
        <v>1100</v>
      </c>
      <c r="K69" s="20" t="s">
        <v>11</v>
      </c>
      <c r="L69" s="20">
        <v>1100</v>
      </c>
      <c r="M69" s="20">
        <v>0</v>
      </c>
      <c r="N69" s="20">
        <v>1100</v>
      </c>
      <c r="O69" s="20" t="s">
        <v>2201</v>
      </c>
      <c r="P69" s="20" t="s">
        <v>87</v>
      </c>
      <c r="Q69" s="20" t="s">
        <v>87</v>
      </c>
      <c r="R69" s="111" t="s">
        <v>2819</v>
      </c>
      <c r="S69" s="111">
        <v>46149</v>
      </c>
      <c r="T69" s="20" t="s">
        <v>206</v>
      </c>
      <c r="U69" s="20" t="s">
        <v>207</v>
      </c>
      <c r="V69" s="20" t="s">
        <v>2818</v>
      </c>
      <c r="W69" s="20">
        <v>147.49</v>
      </c>
      <c r="X69" s="20">
        <v>147.490000348769</v>
      </c>
      <c r="Y69" s="111" t="s">
        <v>2819</v>
      </c>
      <c r="Z69" s="111">
        <v>46149</v>
      </c>
      <c r="AB69" s="20" t="s">
        <v>2376</v>
      </c>
      <c r="AD69" s="20" t="s">
        <v>2376</v>
      </c>
      <c r="AE69" s="20" t="s">
        <v>2376</v>
      </c>
      <c r="AF69" s="20">
        <v>0</v>
      </c>
      <c r="AG69" s="20">
        <v>0</v>
      </c>
      <c r="AH69" s="20">
        <v>0</v>
      </c>
      <c r="AI69" s="20">
        <v>0</v>
      </c>
      <c r="AJ69" s="20">
        <v>0</v>
      </c>
      <c r="AK69" s="111" t="s">
        <v>609</v>
      </c>
      <c r="AL69" s="20">
        <v>0</v>
      </c>
      <c r="AM69" s="20">
        <v>0</v>
      </c>
      <c r="AN69" s="20">
        <v>0</v>
      </c>
      <c r="AO69" s="20">
        <v>0</v>
      </c>
      <c r="AP69" s="20">
        <v>0</v>
      </c>
      <c r="AR69" s="20">
        <v>0</v>
      </c>
      <c r="AS69" s="20">
        <v>0</v>
      </c>
      <c r="AT69" s="20">
        <v>2114434.2799999998</v>
      </c>
      <c r="AU69" s="20" t="s">
        <v>13</v>
      </c>
      <c r="AV69" s="20" t="s">
        <v>62</v>
      </c>
      <c r="AW69" s="111" t="s">
        <v>63</v>
      </c>
      <c r="AX69" s="20" t="s">
        <v>208</v>
      </c>
      <c r="AY69" s="19" t="s">
        <v>209</v>
      </c>
      <c r="AZ69" s="19">
        <v>0</v>
      </c>
      <c r="BA69" s="19">
        <v>162239</v>
      </c>
      <c r="BB69" s="19">
        <v>765</v>
      </c>
      <c r="BC69" s="66">
        <v>46149</v>
      </c>
      <c r="BD69" s="19" t="s">
        <v>65</v>
      </c>
      <c r="BE69" s="19" t="s">
        <v>210</v>
      </c>
      <c r="BF69" s="19" t="s">
        <v>210</v>
      </c>
      <c r="BG69" s="19">
        <v>9</v>
      </c>
      <c r="BH69" s="19">
        <v>14601.51</v>
      </c>
      <c r="BI69" s="19">
        <v>9</v>
      </c>
      <c r="BJ69" s="19">
        <v>14601.51</v>
      </c>
      <c r="BK69" s="19">
        <v>0</v>
      </c>
      <c r="BL69" s="19">
        <v>0</v>
      </c>
      <c r="BM69" s="19">
        <v>0</v>
      </c>
      <c r="BN69" s="19">
        <v>692140167569</v>
      </c>
      <c r="BO69" s="66">
        <v>46208</v>
      </c>
      <c r="BP69" s="19">
        <v>0</v>
      </c>
    </row>
    <row r="70" spans="1:68">
      <c r="A70" s="65"/>
      <c r="B70" s="20" t="s">
        <v>2216</v>
      </c>
      <c r="C70" s="111">
        <v>46149</v>
      </c>
      <c r="D70" s="20" t="s">
        <v>3578</v>
      </c>
      <c r="E70" s="20" t="s">
        <v>18</v>
      </c>
      <c r="F70" s="20" t="s">
        <v>19</v>
      </c>
      <c r="H70" s="20" t="s">
        <v>3579</v>
      </c>
      <c r="I70" s="20">
        <v>3785</v>
      </c>
      <c r="J70" s="20">
        <v>3785</v>
      </c>
      <c r="K70" s="20" t="s">
        <v>11</v>
      </c>
      <c r="L70" s="20">
        <v>3785</v>
      </c>
      <c r="M70" s="20">
        <v>0</v>
      </c>
      <c r="N70" s="20">
        <v>3785</v>
      </c>
      <c r="O70" s="20" t="s">
        <v>2201</v>
      </c>
      <c r="P70" s="20" t="s">
        <v>87</v>
      </c>
      <c r="Q70" s="20" t="s">
        <v>87</v>
      </c>
      <c r="R70" s="111" t="s">
        <v>2819</v>
      </c>
      <c r="S70" s="111">
        <v>46149</v>
      </c>
      <c r="T70" s="20" t="s">
        <v>206</v>
      </c>
      <c r="U70" s="20" t="s">
        <v>207</v>
      </c>
      <c r="V70" s="20" t="s">
        <v>2818</v>
      </c>
      <c r="W70" s="20">
        <v>144.49</v>
      </c>
      <c r="X70" s="20">
        <v>144.490000341675</v>
      </c>
      <c r="Y70" s="111" t="s">
        <v>2819</v>
      </c>
      <c r="Z70" s="111">
        <v>46149</v>
      </c>
      <c r="AB70" s="20" t="s">
        <v>2376</v>
      </c>
      <c r="AD70" s="20" t="s">
        <v>2376</v>
      </c>
      <c r="AE70" s="20" t="s">
        <v>2376</v>
      </c>
      <c r="AF70" s="20">
        <v>0</v>
      </c>
      <c r="AG70" s="20">
        <v>0</v>
      </c>
      <c r="AH70" s="20">
        <v>0</v>
      </c>
      <c r="AI70" s="20">
        <v>0</v>
      </c>
      <c r="AJ70" s="20">
        <v>0</v>
      </c>
      <c r="AK70" s="111" t="s">
        <v>609</v>
      </c>
      <c r="AL70" s="20">
        <v>0</v>
      </c>
      <c r="AM70" s="20">
        <v>0</v>
      </c>
      <c r="AN70" s="20">
        <v>0</v>
      </c>
      <c r="AO70" s="20">
        <v>0</v>
      </c>
      <c r="AP70" s="20">
        <v>0</v>
      </c>
      <c r="AR70" s="20">
        <v>0</v>
      </c>
      <c r="AS70" s="20">
        <v>0</v>
      </c>
      <c r="AT70" s="20">
        <v>2114434.2799999998</v>
      </c>
      <c r="AU70" s="20" t="s">
        <v>13</v>
      </c>
      <c r="AV70" s="20" t="s">
        <v>62</v>
      </c>
      <c r="AW70" s="111" t="s">
        <v>63</v>
      </c>
      <c r="AX70" s="20" t="s">
        <v>208</v>
      </c>
      <c r="AY70" s="19" t="s">
        <v>209</v>
      </c>
      <c r="AZ70" s="19">
        <v>0</v>
      </c>
      <c r="BA70" s="19">
        <v>546894.65</v>
      </c>
      <c r="BB70" s="19">
        <v>765</v>
      </c>
      <c r="BC70" s="66">
        <v>46149</v>
      </c>
      <c r="BD70" s="19" t="s">
        <v>65</v>
      </c>
      <c r="BE70" s="19" t="s">
        <v>210</v>
      </c>
      <c r="BF70" s="19" t="s">
        <v>210</v>
      </c>
      <c r="BG70" s="19">
        <v>9</v>
      </c>
      <c r="BH70" s="19">
        <v>49220.52</v>
      </c>
      <c r="BI70" s="19">
        <v>9</v>
      </c>
      <c r="BJ70" s="19">
        <v>49220.52</v>
      </c>
      <c r="BK70" s="19">
        <v>0</v>
      </c>
      <c r="BL70" s="19">
        <v>0</v>
      </c>
      <c r="BM70" s="19">
        <v>0</v>
      </c>
      <c r="BN70" s="19">
        <v>692140167569</v>
      </c>
      <c r="BO70" s="66">
        <v>46208</v>
      </c>
      <c r="BP70" s="19">
        <v>0</v>
      </c>
    </row>
    <row r="71" spans="1:68">
      <c r="A71" s="65"/>
      <c r="B71" s="20" t="s">
        <v>2216</v>
      </c>
      <c r="C71" s="111">
        <v>46149</v>
      </c>
      <c r="D71" s="20" t="s">
        <v>3578</v>
      </c>
      <c r="E71" s="20" t="s">
        <v>23</v>
      </c>
      <c r="F71" s="20" t="s">
        <v>24</v>
      </c>
      <c r="H71" s="20" t="s">
        <v>3579</v>
      </c>
      <c r="I71" s="20">
        <v>5.5</v>
      </c>
      <c r="J71" s="20">
        <v>5.5</v>
      </c>
      <c r="K71" s="20" t="s">
        <v>11</v>
      </c>
      <c r="L71" s="20">
        <v>5.5</v>
      </c>
      <c r="M71" s="20">
        <v>0</v>
      </c>
      <c r="N71" s="20">
        <v>5.5</v>
      </c>
      <c r="O71" s="20" t="s">
        <v>2201</v>
      </c>
      <c r="P71" s="20" t="s">
        <v>87</v>
      </c>
      <c r="Q71" s="20" t="s">
        <v>87</v>
      </c>
      <c r="R71" s="111" t="s">
        <v>2819</v>
      </c>
      <c r="S71" s="111">
        <v>46149</v>
      </c>
      <c r="T71" s="20" t="s">
        <v>206</v>
      </c>
      <c r="U71" s="20" t="s">
        <v>207</v>
      </c>
      <c r="V71" s="20" t="s">
        <v>2818</v>
      </c>
      <c r="W71" s="20">
        <v>170.49</v>
      </c>
      <c r="X71" s="20">
        <v>170.49000040315701</v>
      </c>
      <c r="Y71" s="111" t="s">
        <v>2819</v>
      </c>
      <c r="Z71" s="111">
        <v>46149</v>
      </c>
      <c r="AB71" s="20" t="s">
        <v>2376</v>
      </c>
      <c r="AD71" s="20" t="s">
        <v>2376</v>
      </c>
      <c r="AE71" s="20" t="s">
        <v>2376</v>
      </c>
      <c r="AF71" s="20">
        <v>0</v>
      </c>
      <c r="AG71" s="20">
        <v>0</v>
      </c>
      <c r="AH71" s="20">
        <v>0</v>
      </c>
      <c r="AI71" s="20">
        <v>0</v>
      </c>
      <c r="AJ71" s="20">
        <v>0</v>
      </c>
      <c r="AK71" s="111" t="s">
        <v>609</v>
      </c>
      <c r="AL71" s="20">
        <v>0</v>
      </c>
      <c r="AM71" s="20">
        <v>0</v>
      </c>
      <c r="AN71" s="20">
        <v>0</v>
      </c>
      <c r="AO71" s="20">
        <v>0</v>
      </c>
      <c r="AP71" s="20">
        <v>0</v>
      </c>
      <c r="AR71" s="20">
        <v>0</v>
      </c>
      <c r="AS71" s="20">
        <v>0</v>
      </c>
      <c r="AT71" s="20">
        <v>2114434.2799999998</v>
      </c>
      <c r="AU71" s="20" t="s">
        <v>13</v>
      </c>
      <c r="AV71" s="20" t="s">
        <v>24</v>
      </c>
      <c r="AW71" s="111" t="s">
        <v>79</v>
      </c>
      <c r="AX71" s="20" t="s">
        <v>208</v>
      </c>
      <c r="AY71" s="19" t="s">
        <v>209</v>
      </c>
      <c r="AZ71" s="19">
        <v>0</v>
      </c>
      <c r="BA71" s="19">
        <v>937.7</v>
      </c>
      <c r="BB71" s="19">
        <v>765</v>
      </c>
      <c r="BC71" s="66">
        <v>46149</v>
      </c>
      <c r="BD71" s="19" t="s">
        <v>65</v>
      </c>
      <c r="BE71" s="19" t="s">
        <v>210</v>
      </c>
      <c r="BF71" s="19" t="s">
        <v>210</v>
      </c>
      <c r="BG71" s="19">
        <v>9</v>
      </c>
      <c r="BH71" s="19">
        <v>84.39</v>
      </c>
      <c r="BI71" s="19">
        <v>9</v>
      </c>
      <c r="BJ71" s="19">
        <v>84.39</v>
      </c>
      <c r="BK71" s="19">
        <v>0</v>
      </c>
      <c r="BL71" s="19">
        <v>0</v>
      </c>
      <c r="BM71" s="19">
        <v>0</v>
      </c>
      <c r="BN71" s="19">
        <v>692140167569</v>
      </c>
      <c r="BO71" s="66">
        <v>46208</v>
      </c>
      <c r="BP71" s="19">
        <v>0</v>
      </c>
    </row>
    <row r="72" spans="1:68">
      <c r="A72" s="65"/>
      <c r="B72" s="20" t="s">
        <v>2216</v>
      </c>
      <c r="C72" s="111">
        <v>46149</v>
      </c>
      <c r="D72" s="20" t="s">
        <v>3578</v>
      </c>
      <c r="E72" s="20" t="s">
        <v>23</v>
      </c>
      <c r="F72" s="20" t="s">
        <v>24</v>
      </c>
      <c r="H72" s="20" t="s">
        <v>3579</v>
      </c>
      <c r="I72" s="20">
        <v>1212.2</v>
      </c>
      <c r="J72" s="20">
        <v>1212.2</v>
      </c>
      <c r="K72" s="20" t="s">
        <v>11</v>
      </c>
      <c r="L72" s="20">
        <v>1212.2</v>
      </c>
      <c r="M72" s="20">
        <v>0</v>
      </c>
      <c r="N72" s="20">
        <v>1212.2</v>
      </c>
      <c r="O72" s="20" t="s">
        <v>2201</v>
      </c>
      <c r="P72" s="20" t="s">
        <v>87</v>
      </c>
      <c r="Q72" s="20" t="s">
        <v>87</v>
      </c>
      <c r="R72" s="111" t="s">
        <v>2819</v>
      </c>
      <c r="S72" s="111">
        <v>46149</v>
      </c>
      <c r="T72" s="20" t="s">
        <v>206</v>
      </c>
      <c r="U72" s="20" t="s">
        <v>207</v>
      </c>
      <c r="V72" s="20" t="s">
        <v>2818</v>
      </c>
      <c r="W72" s="20">
        <v>149.49</v>
      </c>
      <c r="X72" s="20">
        <v>149.490000353499</v>
      </c>
      <c r="Y72" s="111" t="s">
        <v>2819</v>
      </c>
      <c r="Z72" s="111">
        <v>46149</v>
      </c>
      <c r="AB72" s="20" t="s">
        <v>2376</v>
      </c>
      <c r="AD72" s="20" t="s">
        <v>2376</v>
      </c>
      <c r="AE72" s="20" t="s">
        <v>2376</v>
      </c>
      <c r="AF72" s="20">
        <v>0</v>
      </c>
      <c r="AG72" s="20">
        <v>0</v>
      </c>
      <c r="AH72" s="20">
        <v>0</v>
      </c>
      <c r="AI72" s="20">
        <v>0</v>
      </c>
      <c r="AJ72" s="20">
        <v>0</v>
      </c>
      <c r="AK72" s="111" t="s">
        <v>609</v>
      </c>
      <c r="AL72" s="20">
        <v>0</v>
      </c>
      <c r="AM72" s="20">
        <v>0</v>
      </c>
      <c r="AN72" s="20">
        <v>0</v>
      </c>
      <c r="AO72" s="20">
        <v>0</v>
      </c>
      <c r="AP72" s="20">
        <v>0</v>
      </c>
      <c r="AR72" s="20">
        <v>0</v>
      </c>
      <c r="AS72" s="20">
        <v>0</v>
      </c>
      <c r="AT72" s="20">
        <v>2114434.2799999998</v>
      </c>
      <c r="AU72" s="20" t="s">
        <v>13</v>
      </c>
      <c r="AV72" s="20" t="s">
        <v>24</v>
      </c>
      <c r="AW72" s="111" t="s">
        <v>79</v>
      </c>
      <c r="AX72" s="20" t="s">
        <v>208</v>
      </c>
      <c r="AY72" s="19" t="s">
        <v>209</v>
      </c>
      <c r="AZ72" s="19">
        <v>0</v>
      </c>
      <c r="BA72" s="19">
        <v>181211.78</v>
      </c>
      <c r="BB72" s="19">
        <v>765</v>
      </c>
      <c r="BC72" s="66">
        <v>46149</v>
      </c>
      <c r="BD72" s="19" t="s">
        <v>65</v>
      </c>
      <c r="BE72" s="19" t="s">
        <v>210</v>
      </c>
      <c r="BF72" s="19" t="s">
        <v>210</v>
      </c>
      <c r="BG72" s="19">
        <v>9</v>
      </c>
      <c r="BH72" s="19">
        <v>16309.06</v>
      </c>
      <c r="BI72" s="19">
        <v>9</v>
      </c>
      <c r="BJ72" s="19">
        <v>16309.06</v>
      </c>
      <c r="BK72" s="19">
        <v>0</v>
      </c>
      <c r="BL72" s="19">
        <v>0</v>
      </c>
      <c r="BM72" s="19">
        <v>0</v>
      </c>
      <c r="BN72" s="19">
        <v>692140167569</v>
      </c>
      <c r="BO72" s="66">
        <v>46208</v>
      </c>
      <c r="BP72" s="19">
        <v>0</v>
      </c>
    </row>
    <row r="73" spans="1:68">
      <c r="A73" s="65"/>
      <c r="B73" s="20" t="s">
        <v>2216</v>
      </c>
      <c r="C73" s="111">
        <v>46149</v>
      </c>
      <c r="D73" s="20" t="s">
        <v>3578</v>
      </c>
      <c r="E73" s="20" t="s">
        <v>23</v>
      </c>
      <c r="F73" s="20" t="s">
        <v>24</v>
      </c>
      <c r="H73" s="20" t="s">
        <v>3579</v>
      </c>
      <c r="I73" s="20">
        <v>590.79999999999995</v>
      </c>
      <c r="J73" s="20">
        <v>590.79999999999995</v>
      </c>
      <c r="K73" s="20" t="s">
        <v>11</v>
      </c>
      <c r="L73" s="20">
        <v>590.79999999999995</v>
      </c>
      <c r="M73" s="20">
        <v>0</v>
      </c>
      <c r="N73" s="20">
        <v>590.79999999999995</v>
      </c>
      <c r="O73" s="20" t="s">
        <v>2201</v>
      </c>
      <c r="P73" s="20" t="s">
        <v>87</v>
      </c>
      <c r="Q73" s="20" t="s">
        <v>87</v>
      </c>
      <c r="R73" s="111" t="s">
        <v>2819</v>
      </c>
      <c r="S73" s="111">
        <v>46149</v>
      </c>
      <c r="T73" s="20" t="s">
        <v>206</v>
      </c>
      <c r="U73" s="20" t="s">
        <v>207</v>
      </c>
      <c r="V73" s="20" t="s">
        <v>2818</v>
      </c>
      <c r="W73" s="20">
        <v>146.49</v>
      </c>
      <c r="X73" s="20">
        <v>146.490000346405</v>
      </c>
      <c r="Y73" s="111" t="s">
        <v>2819</v>
      </c>
      <c r="Z73" s="111">
        <v>46149</v>
      </c>
      <c r="AB73" s="20" t="s">
        <v>2376</v>
      </c>
      <c r="AD73" s="20" t="s">
        <v>2376</v>
      </c>
      <c r="AE73" s="20" t="s">
        <v>2376</v>
      </c>
      <c r="AF73" s="20">
        <v>0</v>
      </c>
      <c r="AG73" s="20">
        <v>0</v>
      </c>
      <c r="AH73" s="20">
        <v>0</v>
      </c>
      <c r="AI73" s="20">
        <v>0</v>
      </c>
      <c r="AJ73" s="20">
        <v>0</v>
      </c>
      <c r="AK73" s="111" t="s">
        <v>609</v>
      </c>
      <c r="AL73" s="20">
        <v>0</v>
      </c>
      <c r="AM73" s="20">
        <v>0</v>
      </c>
      <c r="AN73" s="20">
        <v>0</v>
      </c>
      <c r="AO73" s="20">
        <v>0</v>
      </c>
      <c r="AP73" s="20">
        <v>0</v>
      </c>
      <c r="AR73" s="20">
        <v>0</v>
      </c>
      <c r="AS73" s="20">
        <v>0</v>
      </c>
      <c r="AT73" s="20">
        <v>2114434.2799999998</v>
      </c>
      <c r="AU73" s="20" t="s">
        <v>13</v>
      </c>
      <c r="AV73" s="20" t="s">
        <v>24</v>
      </c>
      <c r="AW73" s="111" t="s">
        <v>79</v>
      </c>
      <c r="AX73" s="20" t="s">
        <v>208</v>
      </c>
      <c r="AY73" s="19" t="s">
        <v>209</v>
      </c>
      <c r="AZ73" s="19">
        <v>0</v>
      </c>
      <c r="BA73" s="19">
        <v>86546.29</v>
      </c>
      <c r="BB73" s="19">
        <v>765</v>
      </c>
      <c r="BC73" s="66">
        <v>46149</v>
      </c>
      <c r="BD73" s="19" t="s">
        <v>65</v>
      </c>
      <c r="BE73" s="19" t="s">
        <v>210</v>
      </c>
      <c r="BF73" s="19" t="s">
        <v>210</v>
      </c>
      <c r="BG73" s="19">
        <v>9</v>
      </c>
      <c r="BH73" s="19">
        <v>7789.17</v>
      </c>
      <c r="BI73" s="19">
        <v>9</v>
      </c>
      <c r="BJ73" s="19">
        <v>7789.17</v>
      </c>
      <c r="BK73" s="19">
        <v>0</v>
      </c>
      <c r="BL73" s="19">
        <v>0</v>
      </c>
      <c r="BM73" s="19">
        <v>0</v>
      </c>
      <c r="BN73" s="19">
        <v>692140167569</v>
      </c>
      <c r="BO73" s="66">
        <v>46208</v>
      </c>
      <c r="BP73" s="19">
        <v>0</v>
      </c>
    </row>
    <row r="74" spans="1:68">
      <c r="A74" s="65"/>
      <c r="B74" s="20" t="s">
        <v>2216</v>
      </c>
      <c r="C74" s="111">
        <v>46180</v>
      </c>
      <c r="D74" s="20" t="s">
        <v>3580</v>
      </c>
      <c r="E74" s="20" t="s">
        <v>2519</v>
      </c>
      <c r="F74" s="20" t="s">
        <v>2117</v>
      </c>
      <c r="H74" s="20" t="s">
        <v>3581</v>
      </c>
      <c r="I74" s="20">
        <v>411</v>
      </c>
      <c r="J74" s="20">
        <v>411</v>
      </c>
      <c r="K74" s="20" t="s">
        <v>11</v>
      </c>
      <c r="L74" s="20">
        <v>411</v>
      </c>
      <c r="M74" s="20">
        <v>0</v>
      </c>
      <c r="N74" s="20">
        <v>411</v>
      </c>
      <c r="O74" s="20" t="s">
        <v>2204</v>
      </c>
      <c r="P74" s="20" t="s">
        <v>94</v>
      </c>
      <c r="Q74" s="20" t="s">
        <v>94</v>
      </c>
      <c r="R74" s="111" t="s">
        <v>1318</v>
      </c>
      <c r="S74" s="111">
        <v>46180</v>
      </c>
      <c r="T74" s="20" t="s">
        <v>206</v>
      </c>
      <c r="U74" s="20" t="s">
        <v>207</v>
      </c>
      <c r="V74" s="20" t="s">
        <v>2850</v>
      </c>
      <c r="W74" s="20">
        <v>154.74</v>
      </c>
      <c r="X74" s="20">
        <v>154.74</v>
      </c>
      <c r="Y74" s="111" t="s">
        <v>1317</v>
      </c>
      <c r="Z74" s="111">
        <v>46180</v>
      </c>
      <c r="AB74" s="20" t="s">
        <v>2376</v>
      </c>
      <c r="AD74" s="20" t="s">
        <v>2376</v>
      </c>
      <c r="AE74" s="20" t="s">
        <v>2376</v>
      </c>
      <c r="AF74" s="20">
        <v>0</v>
      </c>
      <c r="AG74" s="20">
        <v>0</v>
      </c>
      <c r="AH74" s="20">
        <v>0</v>
      </c>
      <c r="AI74" s="20">
        <v>0</v>
      </c>
      <c r="AJ74" s="20">
        <v>0</v>
      </c>
      <c r="AK74" s="111" t="s">
        <v>609</v>
      </c>
      <c r="AL74" s="20">
        <v>0</v>
      </c>
      <c r="AM74" s="20">
        <v>0</v>
      </c>
      <c r="AN74" s="20">
        <v>0</v>
      </c>
      <c r="AO74" s="20">
        <v>0</v>
      </c>
      <c r="AP74" s="20">
        <v>0</v>
      </c>
      <c r="AR74" s="20">
        <v>0</v>
      </c>
      <c r="AS74" s="20">
        <v>0</v>
      </c>
      <c r="AT74" s="20">
        <v>117042.24000000001</v>
      </c>
      <c r="AU74" s="20" t="s">
        <v>15</v>
      </c>
      <c r="AV74" s="20" t="s">
        <v>2117</v>
      </c>
      <c r="AW74" s="111" t="s">
        <v>2117</v>
      </c>
      <c r="AX74" s="20" t="s">
        <v>208</v>
      </c>
      <c r="AY74" s="19" t="s">
        <v>209</v>
      </c>
      <c r="AZ74" s="19">
        <v>0</v>
      </c>
      <c r="BA74" s="19">
        <v>63598.14</v>
      </c>
      <c r="BB74" s="19">
        <v>779</v>
      </c>
      <c r="BC74" s="66">
        <v>46180</v>
      </c>
      <c r="BD74" s="19" t="s">
        <v>74</v>
      </c>
      <c r="BE74" s="19" t="s">
        <v>210</v>
      </c>
      <c r="BF74" s="19" t="s">
        <v>210</v>
      </c>
      <c r="BG74" s="19">
        <v>9</v>
      </c>
      <c r="BH74" s="19">
        <v>5723.83</v>
      </c>
      <c r="BI74" s="19">
        <v>9</v>
      </c>
      <c r="BJ74" s="19">
        <v>5723.83</v>
      </c>
      <c r="BK74" s="19">
        <v>0</v>
      </c>
      <c r="BL74" s="19">
        <v>0</v>
      </c>
      <c r="BM74" s="19">
        <v>117042.24000000001</v>
      </c>
      <c r="BN74" s="19">
        <v>652140699143</v>
      </c>
      <c r="BO74" s="66">
        <v>46209</v>
      </c>
      <c r="BP74" s="19">
        <v>0</v>
      </c>
    </row>
    <row r="75" spans="1:68">
      <c r="A75" s="65"/>
      <c r="B75" s="20" t="s">
        <v>2216</v>
      </c>
      <c r="C75" s="111">
        <v>46180</v>
      </c>
      <c r="D75" s="20" t="s">
        <v>3580</v>
      </c>
      <c r="E75" s="20" t="s">
        <v>18</v>
      </c>
      <c r="F75" s="20" t="s">
        <v>19</v>
      </c>
      <c r="H75" s="20" t="s">
        <v>3581</v>
      </c>
      <c r="I75" s="20">
        <v>230</v>
      </c>
      <c r="J75" s="20">
        <v>230</v>
      </c>
      <c r="K75" s="20" t="s">
        <v>11</v>
      </c>
      <c r="L75" s="20">
        <v>230</v>
      </c>
      <c r="M75" s="20">
        <v>0</v>
      </c>
      <c r="N75" s="20">
        <v>230</v>
      </c>
      <c r="O75" s="20" t="s">
        <v>2204</v>
      </c>
      <c r="P75" s="20" t="s">
        <v>94</v>
      </c>
      <c r="Q75" s="20" t="s">
        <v>94</v>
      </c>
      <c r="R75" s="111" t="s">
        <v>1318</v>
      </c>
      <c r="S75" s="111">
        <v>46180</v>
      </c>
      <c r="T75" s="20" t="s">
        <v>206</v>
      </c>
      <c r="U75" s="20" t="s">
        <v>207</v>
      </c>
      <c r="V75" s="20" t="s">
        <v>2850</v>
      </c>
      <c r="W75" s="20">
        <v>154.74</v>
      </c>
      <c r="X75" s="20">
        <v>154.74</v>
      </c>
      <c r="Y75" s="111" t="s">
        <v>1317</v>
      </c>
      <c r="Z75" s="111">
        <v>46180</v>
      </c>
      <c r="AB75" s="20" t="s">
        <v>2376</v>
      </c>
      <c r="AD75" s="20" t="s">
        <v>2376</v>
      </c>
      <c r="AE75" s="20" t="s">
        <v>2376</v>
      </c>
      <c r="AF75" s="20">
        <v>0</v>
      </c>
      <c r="AG75" s="20">
        <v>0</v>
      </c>
      <c r="AH75" s="20">
        <v>0</v>
      </c>
      <c r="AI75" s="20">
        <v>0</v>
      </c>
      <c r="AJ75" s="20">
        <v>0</v>
      </c>
      <c r="AK75" s="111" t="s">
        <v>609</v>
      </c>
      <c r="AL75" s="20">
        <v>0</v>
      </c>
      <c r="AM75" s="20">
        <v>0</v>
      </c>
      <c r="AN75" s="20">
        <v>0</v>
      </c>
      <c r="AO75" s="20">
        <v>0</v>
      </c>
      <c r="AP75" s="20">
        <v>0</v>
      </c>
      <c r="AR75" s="20">
        <v>0</v>
      </c>
      <c r="AS75" s="20">
        <v>0</v>
      </c>
      <c r="AT75" s="20">
        <v>117042.24000000001</v>
      </c>
      <c r="AU75" s="20" t="s">
        <v>13</v>
      </c>
      <c r="AV75" s="20" t="s">
        <v>62</v>
      </c>
      <c r="AW75" s="111" t="s">
        <v>63</v>
      </c>
      <c r="AX75" s="20" t="s">
        <v>208</v>
      </c>
      <c r="AY75" s="19" t="s">
        <v>209</v>
      </c>
      <c r="AZ75" s="19">
        <v>0</v>
      </c>
      <c r="BA75" s="19">
        <v>35590.199999999997</v>
      </c>
      <c r="BB75" s="19">
        <v>779</v>
      </c>
      <c r="BC75" s="66">
        <v>46180</v>
      </c>
      <c r="BD75" s="19" t="s">
        <v>74</v>
      </c>
      <c r="BE75" s="19" t="s">
        <v>210</v>
      </c>
      <c r="BF75" s="19" t="s">
        <v>210</v>
      </c>
      <c r="BG75" s="19">
        <v>9</v>
      </c>
      <c r="BH75" s="19">
        <v>3203.12</v>
      </c>
      <c r="BI75" s="19">
        <v>9</v>
      </c>
      <c r="BJ75" s="19">
        <v>3203.12</v>
      </c>
      <c r="BK75" s="19">
        <v>0</v>
      </c>
      <c r="BL75" s="19">
        <v>0</v>
      </c>
      <c r="BM75" s="19">
        <v>0</v>
      </c>
      <c r="BN75" s="19">
        <v>652140699143</v>
      </c>
      <c r="BO75" s="66">
        <v>46209</v>
      </c>
      <c r="BP75" s="19">
        <v>0</v>
      </c>
    </row>
    <row r="76" spans="1:68">
      <c r="A76" s="65"/>
      <c r="B76" s="20" t="s">
        <v>2216</v>
      </c>
      <c r="C76" s="111">
        <v>46180</v>
      </c>
      <c r="D76" s="20" t="s">
        <v>3582</v>
      </c>
      <c r="E76" s="20" t="s">
        <v>160</v>
      </c>
      <c r="F76" s="20" t="s">
        <v>17</v>
      </c>
      <c r="H76" s="20" t="s">
        <v>3583</v>
      </c>
      <c r="I76" s="20">
        <v>3556.1</v>
      </c>
      <c r="J76" s="20">
        <v>3556.1</v>
      </c>
      <c r="K76" s="20" t="s">
        <v>11</v>
      </c>
      <c r="L76" s="20">
        <v>3556.1</v>
      </c>
      <c r="M76" s="20">
        <v>0</v>
      </c>
      <c r="N76" s="20">
        <v>3556.1</v>
      </c>
      <c r="O76" s="20" t="s">
        <v>2203</v>
      </c>
      <c r="P76" s="20" t="s">
        <v>87</v>
      </c>
      <c r="Q76" s="20" t="s">
        <v>87</v>
      </c>
      <c r="R76" s="111" t="s">
        <v>2843</v>
      </c>
      <c r="S76" s="111">
        <v>46180</v>
      </c>
      <c r="T76" s="20" t="s">
        <v>206</v>
      </c>
      <c r="U76" s="20" t="s">
        <v>207</v>
      </c>
      <c r="V76" s="20" t="s">
        <v>2842</v>
      </c>
      <c r="W76" s="20">
        <v>182.78</v>
      </c>
      <c r="X76" s="20">
        <v>182.78000045439899</v>
      </c>
      <c r="Y76" s="111" t="s">
        <v>2843</v>
      </c>
      <c r="Z76" s="111">
        <v>46180</v>
      </c>
      <c r="AB76" s="20" t="s">
        <v>2376</v>
      </c>
      <c r="AD76" s="20" t="s">
        <v>2376</v>
      </c>
      <c r="AE76" s="20" t="s">
        <v>2376</v>
      </c>
      <c r="AF76" s="20">
        <v>0</v>
      </c>
      <c r="AG76" s="20">
        <v>0</v>
      </c>
      <c r="AH76" s="20">
        <v>0</v>
      </c>
      <c r="AI76" s="20">
        <v>0</v>
      </c>
      <c r="AJ76" s="20">
        <v>0</v>
      </c>
      <c r="AK76" s="111" t="s">
        <v>609</v>
      </c>
      <c r="AL76" s="20">
        <v>0</v>
      </c>
      <c r="AM76" s="20">
        <v>0</v>
      </c>
      <c r="AN76" s="20">
        <v>0</v>
      </c>
      <c r="AO76" s="20">
        <v>0</v>
      </c>
      <c r="AP76" s="20">
        <v>0</v>
      </c>
      <c r="AR76" s="20">
        <v>0</v>
      </c>
      <c r="AS76" s="20">
        <v>0</v>
      </c>
      <c r="AT76" s="20">
        <v>804490.68</v>
      </c>
      <c r="AU76" s="20" t="s">
        <v>13</v>
      </c>
      <c r="AV76" s="20" t="s">
        <v>80</v>
      </c>
      <c r="AW76" s="111" t="s">
        <v>81</v>
      </c>
      <c r="AX76" s="20" t="s">
        <v>208</v>
      </c>
      <c r="AY76" s="19" t="s">
        <v>209</v>
      </c>
      <c r="AZ76" s="19">
        <v>0</v>
      </c>
      <c r="BA76" s="19">
        <v>649983.96</v>
      </c>
      <c r="BB76" s="19">
        <v>775</v>
      </c>
      <c r="BC76" s="66">
        <v>46180</v>
      </c>
      <c r="BD76" s="19" t="s">
        <v>65</v>
      </c>
      <c r="BE76" s="19" t="s">
        <v>210</v>
      </c>
      <c r="BF76" s="19" t="s">
        <v>210</v>
      </c>
      <c r="BG76" s="19">
        <v>9</v>
      </c>
      <c r="BH76" s="19">
        <v>58498.559999999998</v>
      </c>
      <c r="BI76" s="19">
        <v>9</v>
      </c>
      <c r="BJ76" s="19">
        <v>58498.559999999998</v>
      </c>
      <c r="BK76" s="19">
        <v>0</v>
      </c>
      <c r="BL76" s="19">
        <v>0</v>
      </c>
      <c r="BM76" s="19">
        <v>804490.68</v>
      </c>
      <c r="BN76" s="19">
        <v>652140624244</v>
      </c>
      <c r="BO76" s="66">
        <v>46209</v>
      </c>
      <c r="BP76" s="19">
        <v>0</v>
      </c>
    </row>
    <row r="77" spans="1:68">
      <c r="A77" s="65"/>
      <c r="B77" s="20" t="s">
        <v>2216</v>
      </c>
      <c r="C77" s="111">
        <v>46180</v>
      </c>
      <c r="D77" s="20" t="s">
        <v>3582</v>
      </c>
      <c r="E77" s="20" t="s">
        <v>18</v>
      </c>
      <c r="F77" s="20" t="s">
        <v>19</v>
      </c>
      <c r="H77" s="20" t="s">
        <v>3583</v>
      </c>
      <c r="I77" s="20">
        <v>220</v>
      </c>
      <c r="J77" s="20">
        <v>220</v>
      </c>
      <c r="K77" s="20" t="s">
        <v>11</v>
      </c>
      <c r="L77" s="20">
        <v>220</v>
      </c>
      <c r="M77" s="20">
        <v>0</v>
      </c>
      <c r="N77" s="20">
        <v>220</v>
      </c>
      <c r="O77" s="20" t="s">
        <v>2203</v>
      </c>
      <c r="P77" s="20" t="s">
        <v>87</v>
      </c>
      <c r="Q77" s="20" t="s">
        <v>87</v>
      </c>
      <c r="R77" s="111" t="s">
        <v>2843</v>
      </c>
      <c r="S77" s="111">
        <v>46180</v>
      </c>
      <c r="T77" s="20" t="s">
        <v>206</v>
      </c>
      <c r="U77" s="20" t="s">
        <v>207</v>
      </c>
      <c r="V77" s="20" t="s">
        <v>2842</v>
      </c>
      <c r="W77" s="20">
        <v>144.49</v>
      </c>
      <c r="X77" s="20">
        <v>144.49000035920901</v>
      </c>
      <c r="Y77" s="111" t="s">
        <v>2843</v>
      </c>
      <c r="Z77" s="111">
        <v>46180</v>
      </c>
      <c r="AB77" s="20" t="s">
        <v>2376</v>
      </c>
      <c r="AD77" s="20" t="s">
        <v>2376</v>
      </c>
      <c r="AE77" s="20" t="s">
        <v>2376</v>
      </c>
      <c r="AF77" s="20">
        <v>0</v>
      </c>
      <c r="AG77" s="20">
        <v>0</v>
      </c>
      <c r="AH77" s="20">
        <v>0</v>
      </c>
      <c r="AI77" s="20">
        <v>0</v>
      </c>
      <c r="AJ77" s="20">
        <v>0</v>
      </c>
      <c r="AK77" s="111" t="s">
        <v>609</v>
      </c>
      <c r="AL77" s="20">
        <v>0</v>
      </c>
      <c r="AM77" s="20">
        <v>0</v>
      </c>
      <c r="AN77" s="20">
        <v>0</v>
      </c>
      <c r="AO77" s="20">
        <v>0</v>
      </c>
      <c r="AP77" s="20">
        <v>0</v>
      </c>
      <c r="AR77" s="20">
        <v>0</v>
      </c>
      <c r="AS77" s="20">
        <v>0</v>
      </c>
      <c r="AT77" s="20">
        <v>804490.68</v>
      </c>
      <c r="AU77" s="20" t="s">
        <v>13</v>
      </c>
      <c r="AV77" s="20" t="s">
        <v>62</v>
      </c>
      <c r="AW77" s="111" t="s">
        <v>63</v>
      </c>
      <c r="AX77" s="20" t="s">
        <v>208</v>
      </c>
      <c r="AY77" s="19" t="s">
        <v>209</v>
      </c>
      <c r="AZ77" s="19">
        <v>0</v>
      </c>
      <c r="BA77" s="19">
        <v>31787.8</v>
      </c>
      <c r="BB77" s="19">
        <v>775</v>
      </c>
      <c r="BC77" s="66">
        <v>46180</v>
      </c>
      <c r="BD77" s="19" t="s">
        <v>65</v>
      </c>
      <c r="BE77" s="19" t="s">
        <v>210</v>
      </c>
      <c r="BF77" s="19" t="s">
        <v>210</v>
      </c>
      <c r="BG77" s="19">
        <v>9</v>
      </c>
      <c r="BH77" s="19">
        <v>2860.9</v>
      </c>
      <c r="BI77" s="19">
        <v>9</v>
      </c>
      <c r="BJ77" s="19">
        <v>2860.9</v>
      </c>
      <c r="BK77" s="19">
        <v>0</v>
      </c>
      <c r="BL77" s="19">
        <v>0</v>
      </c>
      <c r="BM77" s="19">
        <v>0</v>
      </c>
      <c r="BN77" s="19">
        <v>652140624244</v>
      </c>
      <c r="BO77" s="66">
        <v>46209</v>
      </c>
      <c r="BP77" s="19">
        <v>0</v>
      </c>
    </row>
    <row r="78" spans="1:68">
      <c r="A78" s="65"/>
      <c r="B78" s="20" t="s">
        <v>2216</v>
      </c>
      <c r="C78" s="111">
        <v>46180</v>
      </c>
      <c r="D78" s="20" t="s">
        <v>3584</v>
      </c>
      <c r="E78" s="20" t="s">
        <v>18</v>
      </c>
      <c r="F78" s="20" t="s">
        <v>19</v>
      </c>
      <c r="H78" s="20" t="s">
        <v>3585</v>
      </c>
      <c r="I78" s="20">
        <v>3213</v>
      </c>
      <c r="J78" s="20">
        <v>3213</v>
      </c>
      <c r="K78" s="20" t="s">
        <v>11</v>
      </c>
      <c r="L78" s="20">
        <v>3213</v>
      </c>
      <c r="M78" s="20">
        <v>0</v>
      </c>
      <c r="N78" s="20">
        <v>3213</v>
      </c>
      <c r="O78" s="20" t="s">
        <v>2201</v>
      </c>
      <c r="P78" s="20" t="s">
        <v>87</v>
      </c>
      <c r="Q78" s="20" t="s">
        <v>87</v>
      </c>
      <c r="R78" s="111" t="s">
        <v>2845</v>
      </c>
      <c r="S78" s="111">
        <v>46180</v>
      </c>
      <c r="T78" s="20" t="s">
        <v>206</v>
      </c>
      <c r="U78" s="20" t="s">
        <v>207</v>
      </c>
      <c r="V78" s="20" t="s">
        <v>2844</v>
      </c>
      <c r="W78" s="20">
        <v>144.49</v>
      </c>
      <c r="X78" s="20">
        <v>144.489999539438</v>
      </c>
      <c r="Y78" s="111" t="s">
        <v>2845</v>
      </c>
      <c r="Z78" s="111">
        <v>46180</v>
      </c>
      <c r="AB78" s="20" t="s">
        <v>2376</v>
      </c>
      <c r="AD78" s="20" t="s">
        <v>2376</v>
      </c>
      <c r="AE78" s="20" t="s">
        <v>2376</v>
      </c>
      <c r="AF78" s="20">
        <v>0</v>
      </c>
      <c r="AG78" s="20">
        <v>0</v>
      </c>
      <c r="AH78" s="20">
        <v>0</v>
      </c>
      <c r="AI78" s="20">
        <v>0</v>
      </c>
      <c r="AJ78" s="20">
        <v>0</v>
      </c>
      <c r="AK78" s="111" t="s">
        <v>609</v>
      </c>
      <c r="AL78" s="20">
        <v>0</v>
      </c>
      <c r="AM78" s="20">
        <v>0</v>
      </c>
      <c r="AN78" s="20">
        <v>0</v>
      </c>
      <c r="AO78" s="20">
        <v>0</v>
      </c>
      <c r="AP78" s="20">
        <v>0</v>
      </c>
      <c r="AR78" s="20">
        <v>0</v>
      </c>
      <c r="AS78" s="20">
        <v>0</v>
      </c>
      <c r="AT78" s="20">
        <v>1568628.15</v>
      </c>
      <c r="AU78" s="20" t="s">
        <v>13</v>
      </c>
      <c r="AV78" s="20" t="s">
        <v>62</v>
      </c>
      <c r="AW78" s="111" t="s">
        <v>63</v>
      </c>
      <c r="AX78" s="20" t="s">
        <v>208</v>
      </c>
      <c r="AY78" s="19" t="s">
        <v>209</v>
      </c>
      <c r="AZ78" s="19">
        <v>0</v>
      </c>
      <c r="BA78" s="19">
        <v>464246.37</v>
      </c>
      <c r="BB78" s="19">
        <v>772</v>
      </c>
      <c r="BC78" s="66">
        <v>46180</v>
      </c>
      <c r="BD78" s="19" t="s">
        <v>65</v>
      </c>
      <c r="BE78" s="19" t="s">
        <v>210</v>
      </c>
      <c r="BF78" s="19" t="s">
        <v>210</v>
      </c>
      <c r="BG78" s="19">
        <v>9</v>
      </c>
      <c r="BH78" s="19">
        <v>41782.17</v>
      </c>
      <c r="BI78" s="19">
        <v>9</v>
      </c>
      <c r="BJ78" s="19">
        <v>41782.17</v>
      </c>
      <c r="BK78" s="19">
        <v>0</v>
      </c>
      <c r="BL78" s="19">
        <v>0</v>
      </c>
      <c r="BM78" s="19">
        <v>1568628.15</v>
      </c>
      <c r="BN78" s="19">
        <v>662140413179</v>
      </c>
      <c r="BO78" s="66">
        <v>46209</v>
      </c>
      <c r="BP78" s="19">
        <v>0</v>
      </c>
    </row>
    <row r="79" spans="1:68">
      <c r="A79" s="65"/>
      <c r="B79" s="20" t="s">
        <v>2216</v>
      </c>
      <c r="C79" s="111">
        <v>46180</v>
      </c>
      <c r="D79" s="20" t="s">
        <v>3584</v>
      </c>
      <c r="E79" s="20" t="s">
        <v>18</v>
      </c>
      <c r="F79" s="20" t="s">
        <v>19</v>
      </c>
      <c r="H79" s="20" t="s">
        <v>3585</v>
      </c>
      <c r="I79" s="20">
        <v>1153</v>
      </c>
      <c r="J79" s="20">
        <v>1153</v>
      </c>
      <c r="K79" s="20" t="s">
        <v>11</v>
      </c>
      <c r="L79" s="20">
        <v>1153</v>
      </c>
      <c r="M79" s="20">
        <v>0</v>
      </c>
      <c r="N79" s="20">
        <v>1153</v>
      </c>
      <c r="O79" s="20" t="s">
        <v>2201</v>
      </c>
      <c r="P79" s="20" t="s">
        <v>87</v>
      </c>
      <c r="Q79" s="20" t="s">
        <v>87</v>
      </c>
      <c r="R79" s="111" t="s">
        <v>2845</v>
      </c>
      <c r="S79" s="111">
        <v>46180</v>
      </c>
      <c r="T79" s="20" t="s">
        <v>206</v>
      </c>
      <c r="U79" s="20" t="s">
        <v>207</v>
      </c>
      <c r="V79" s="20" t="s">
        <v>2844</v>
      </c>
      <c r="W79" s="20">
        <v>147.49</v>
      </c>
      <c r="X79" s="20">
        <v>147.489999529876</v>
      </c>
      <c r="Y79" s="111" t="s">
        <v>2845</v>
      </c>
      <c r="Z79" s="111">
        <v>46180</v>
      </c>
      <c r="AB79" s="20" t="s">
        <v>2376</v>
      </c>
      <c r="AD79" s="20" t="s">
        <v>2376</v>
      </c>
      <c r="AE79" s="20" t="s">
        <v>2376</v>
      </c>
      <c r="AF79" s="20">
        <v>0</v>
      </c>
      <c r="AG79" s="20">
        <v>0</v>
      </c>
      <c r="AH79" s="20">
        <v>0</v>
      </c>
      <c r="AI79" s="20">
        <v>0</v>
      </c>
      <c r="AJ79" s="20">
        <v>0</v>
      </c>
      <c r="AK79" s="111" t="s">
        <v>609</v>
      </c>
      <c r="AL79" s="20">
        <v>0</v>
      </c>
      <c r="AM79" s="20">
        <v>0</v>
      </c>
      <c r="AN79" s="20">
        <v>0</v>
      </c>
      <c r="AO79" s="20">
        <v>0</v>
      </c>
      <c r="AP79" s="20">
        <v>0</v>
      </c>
      <c r="AR79" s="20">
        <v>0</v>
      </c>
      <c r="AS79" s="20">
        <v>0</v>
      </c>
      <c r="AT79" s="20">
        <v>1568628.15</v>
      </c>
      <c r="AU79" s="20" t="s">
        <v>13</v>
      </c>
      <c r="AV79" s="20" t="s">
        <v>62</v>
      </c>
      <c r="AW79" s="111" t="s">
        <v>63</v>
      </c>
      <c r="AX79" s="20" t="s">
        <v>208</v>
      </c>
      <c r="AY79" s="19" t="s">
        <v>209</v>
      </c>
      <c r="AZ79" s="19">
        <v>0</v>
      </c>
      <c r="BA79" s="19">
        <v>170055.97</v>
      </c>
      <c r="BB79" s="19">
        <v>772</v>
      </c>
      <c r="BC79" s="66">
        <v>46180</v>
      </c>
      <c r="BD79" s="19" t="s">
        <v>65</v>
      </c>
      <c r="BE79" s="19" t="s">
        <v>210</v>
      </c>
      <c r="BF79" s="19" t="s">
        <v>210</v>
      </c>
      <c r="BG79" s="19">
        <v>9</v>
      </c>
      <c r="BH79" s="19">
        <v>15305.04</v>
      </c>
      <c r="BI79" s="19">
        <v>9</v>
      </c>
      <c r="BJ79" s="19">
        <v>15305.04</v>
      </c>
      <c r="BK79" s="19">
        <v>0</v>
      </c>
      <c r="BL79" s="19">
        <v>0</v>
      </c>
      <c r="BM79" s="19">
        <v>0</v>
      </c>
      <c r="BN79" s="19">
        <v>662140413179</v>
      </c>
      <c r="BO79" s="66">
        <v>46209</v>
      </c>
      <c r="BP79" s="19">
        <v>0</v>
      </c>
    </row>
    <row r="80" spans="1:68">
      <c r="A80" s="65"/>
      <c r="B80" s="20" t="s">
        <v>2216</v>
      </c>
      <c r="C80" s="111">
        <v>46180</v>
      </c>
      <c r="D80" s="20" t="s">
        <v>3584</v>
      </c>
      <c r="E80" s="20" t="s">
        <v>18</v>
      </c>
      <c r="F80" s="20" t="s">
        <v>19</v>
      </c>
      <c r="H80" s="20" t="s">
        <v>3585</v>
      </c>
      <c r="I80" s="20">
        <v>2826</v>
      </c>
      <c r="J80" s="20">
        <v>2826</v>
      </c>
      <c r="K80" s="20" t="s">
        <v>11</v>
      </c>
      <c r="L80" s="20">
        <v>2826</v>
      </c>
      <c r="M80" s="20">
        <v>0</v>
      </c>
      <c r="N80" s="20">
        <v>2826</v>
      </c>
      <c r="O80" s="20" t="s">
        <v>2201</v>
      </c>
      <c r="P80" s="20" t="s">
        <v>87</v>
      </c>
      <c r="Q80" s="20" t="s">
        <v>87</v>
      </c>
      <c r="R80" s="111" t="s">
        <v>2845</v>
      </c>
      <c r="S80" s="111">
        <v>46180</v>
      </c>
      <c r="T80" s="20" t="s">
        <v>206</v>
      </c>
      <c r="U80" s="20" t="s">
        <v>207</v>
      </c>
      <c r="V80" s="20" t="s">
        <v>2844</v>
      </c>
      <c r="W80" s="20">
        <v>146.49</v>
      </c>
      <c r="X80" s="20">
        <v>146.48999953306301</v>
      </c>
      <c r="Y80" s="111" t="s">
        <v>2845</v>
      </c>
      <c r="Z80" s="111">
        <v>46180</v>
      </c>
      <c r="AB80" s="20" t="s">
        <v>2376</v>
      </c>
      <c r="AD80" s="20" t="s">
        <v>2376</v>
      </c>
      <c r="AE80" s="20" t="s">
        <v>2376</v>
      </c>
      <c r="AF80" s="20">
        <v>0</v>
      </c>
      <c r="AG80" s="20">
        <v>0</v>
      </c>
      <c r="AH80" s="20">
        <v>0</v>
      </c>
      <c r="AI80" s="20">
        <v>0</v>
      </c>
      <c r="AJ80" s="20">
        <v>0</v>
      </c>
      <c r="AK80" s="111" t="s">
        <v>609</v>
      </c>
      <c r="AL80" s="20">
        <v>0</v>
      </c>
      <c r="AM80" s="20">
        <v>0</v>
      </c>
      <c r="AN80" s="20">
        <v>0</v>
      </c>
      <c r="AO80" s="20">
        <v>0</v>
      </c>
      <c r="AP80" s="20">
        <v>0</v>
      </c>
      <c r="AR80" s="20">
        <v>0</v>
      </c>
      <c r="AS80" s="20">
        <v>0</v>
      </c>
      <c r="AT80" s="20">
        <v>1568628.15</v>
      </c>
      <c r="AU80" s="20" t="s">
        <v>13</v>
      </c>
      <c r="AV80" s="20" t="s">
        <v>62</v>
      </c>
      <c r="AW80" s="111" t="s">
        <v>63</v>
      </c>
      <c r="AX80" s="20" t="s">
        <v>208</v>
      </c>
      <c r="AY80" s="19" t="s">
        <v>209</v>
      </c>
      <c r="AZ80" s="19">
        <v>0</v>
      </c>
      <c r="BA80" s="19">
        <v>413980.74</v>
      </c>
      <c r="BB80" s="19">
        <v>772</v>
      </c>
      <c r="BC80" s="66">
        <v>46180</v>
      </c>
      <c r="BD80" s="19" t="s">
        <v>65</v>
      </c>
      <c r="BE80" s="19" t="s">
        <v>210</v>
      </c>
      <c r="BF80" s="19" t="s">
        <v>210</v>
      </c>
      <c r="BG80" s="19">
        <v>9</v>
      </c>
      <c r="BH80" s="19">
        <v>37258.269999999997</v>
      </c>
      <c r="BI80" s="19">
        <v>9</v>
      </c>
      <c r="BJ80" s="19">
        <v>37258.269999999997</v>
      </c>
      <c r="BK80" s="19">
        <v>0</v>
      </c>
      <c r="BL80" s="19">
        <v>0</v>
      </c>
      <c r="BM80" s="19">
        <v>0</v>
      </c>
      <c r="BN80" s="19">
        <v>662140413179</v>
      </c>
      <c r="BO80" s="66">
        <v>46209</v>
      </c>
      <c r="BP80" s="19">
        <v>0</v>
      </c>
    </row>
    <row r="81" spans="1:68">
      <c r="A81" s="65"/>
      <c r="B81" s="20" t="s">
        <v>2216</v>
      </c>
      <c r="C81" s="111">
        <v>46180</v>
      </c>
      <c r="D81" s="20" t="s">
        <v>3584</v>
      </c>
      <c r="E81" s="20" t="s">
        <v>23</v>
      </c>
      <c r="F81" s="20" t="s">
        <v>24</v>
      </c>
      <c r="H81" s="20" t="s">
        <v>3585</v>
      </c>
      <c r="I81" s="20">
        <v>5.8</v>
      </c>
      <c r="J81" s="20">
        <v>5.8</v>
      </c>
      <c r="K81" s="20" t="s">
        <v>11</v>
      </c>
      <c r="L81" s="20">
        <v>5.8</v>
      </c>
      <c r="M81" s="20">
        <v>0</v>
      </c>
      <c r="N81" s="20">
        <v>5.8</v>
      </c>
      <c r="O81" s="20" t="s">
        <v>2201</v>
      </c>
      <c r="P81" s="20" t="s">
        <v>87</v>
      </c>
      <c r="Q81" s="20" t="s">
        <v>87</v>
      </c>
      <c r="R81" s="111" t="s">
        <v>2845</v>
      </c>
      <c r="S81" s="111">
        <v>46180</v>
      </c>
      <c r="T81" s="20" t="s">
        <v>206</v>
      </c>
      <c r="U81" s="20" t="s">
        <v>207</v>
      </c>
      <c r="V81" s="20" t="s">
        <v>2844</v>
      </c>
      <c r="W81" s="20">
        <v>170.49</v>
      </c>
      <c r="X81" s="20">
        <v>170.489999456563</v>
      </c>
      <c r="Y81" s="111" t="s">
        <v>2845</v>
      </c>
      <c r="Z81" s="111">
        <v>46180</v>
      </c>
      <c r="AB81" s="20" t="s">
        <v>2376</v>
      </c>
      <c r="AD81" s="20" t="s">
        <v>2376</v>
      </c>
      <c r="AE81" s="20" t="s">
        <v>2376</v>
      </c>
      <c r="AF81" s="20">
        <v>0</v>
      </c>
      <c r="AG81" s="20">
        <v>0</v>
      </c>
      <c r="AH81" s="20">
        <v>0</v>
      </c>
      <c r="AI81" s="20">
        <v>0</v>
      </c>
      <c r="AJ81" s="20">
        <v>0</v>
      </c>
      <c r="AK81" s="111" t="s">
        <v>609</v>
      </c>
      <c r="AL81" s="20">
        <v>0</v>
      </c>
      <c r="AM81" s="20">
        <v>0</v>
      </c>
      <c r="AN81" s="20">
        <v>0</v>
      </c>
      <c r="AO81" s="20">
        <v>0</v>
      </c>
      <c r="AP81" s="20">
        <v>0</v>
      </c>
      <c r="AR81" s="20">
        <v>0</v>
      </c>
      <c r="AS81" s="20">
        <v>0</v>
      </c>
      <c r="AT81" s="20">
        <v>1568628.15</v>
      </c>
      <c r="AU81" s="20" t="s">
        <v>13</v>
      </c>
      <c r="AV81" s="20" t="s">
        <v>24</v>
      </c>
      <c r="AW81" s="111" t="s">
        <v>79</v>
      </c>
      <c r="AX81" s="20" t="s">
        <v>208</v>
      </c>
      <c r="AY81" s="19" t="s">
        <v>209</v>
      </c>
      <c r="AZ81" s="19">
        <v>0</v>
      </c>
      <c r="BA81" s="19">
        <v>988.84</v>
      </c>
      <c r="BB81" s="19">
        <v>772</v>
      </c>
      <c r="BC81" s="66">
        <v>46180</v>
      </c>
      <c r="BD81" s="19" t="s">
        <v>65</v>
      </c>
      <c r="BE81" s="19" t="s">
        <v>210</v>
      </c>
      <c r="BF81" s="19" t="s">
        <v>210</v>
      </c>
      <c r="BG81" s="19">
        <v>9</v>
      </c>
      <c r="BH81" s="19">
        <v>89</v>
      </c>
      <c r="BI81" s="19">
        <v>9</v>
      </c>
      <c r="BJ81" s="19">
        <v>89</v>
      </c>
      <c r="BK81" s="19">
        <v>0</v>
      </c>
      <c r="BL81" s="19">
        <v>0</v>
      </c>
      <c r="BM81" s="19">
        <v>0</v>
      </c>
      <c r="BN81" s="19">
        <v>662140413179</v>
      </c>
      <c r="BO81" s="66">
        <v>46209</v>
      </c>
      <c r="BP81" s="19">
        <v>0</v>
      </c>
    </row>
    <row r="82" spans="1:68">
      <c r="A82" s="65"/>
      <c r="B82" s="20" t="s">
        <v>2216</v>
      </c>
      <c r="C82" s="111">
        <v>46180</v>
      </c>
      <c r="D82" s="20" t="s">
        <v>3584</v>
      </c>
      <c r="E82" s="20" t="s">
        <v>23</v>
      </c>
      <c r="F82" s="20" t="s">
        <v>24</v>
      </c>
      <c r="H82" s="20" t="s">
        <v>3585</v>
      </c>
      <c r="I82" s="20">
        <v>706.1</v>
      </c>
      <c r="J82" s="20">
        <v>706.1</v>
      </c>
      <c r="K82" s="20" t="s">
        <v>11</v>
      </c>
      <c r="L82" s="20">
        <v>706.1</v>
      </c>
      <c r="M82" s="20">
        <v>0</v>
      </c>
      <c r="N82" s="20">
        <v>706.1</v>
      </c>
      <c r="O82" s="20" t="s">
        <v>2201</v>
      </c>
      <c r="P82" s="20" t="s">
        <v>87</v>
      </c>
      <c r="Q82" s="20" t="s">
        <v>87</v>
      </c>
      <c r="R82" s="111" t="s">
        <v>2845</v>
      </c>
      <c r="S82" s="111">
        <v>46180</v>
      </c>
      <c r="T82" s="20" t="s">
        <v>206</v>
      </c>
      <c r="U82" s="20" t="s">
        <v>207</v>
      </c>
      <c r="V82" s="20" t="s">
        <v>2844</v>
      </c>
      <c r="W82" s="20">
        <v>146.49</v>
      </c>
      <c r="X82" s="20">
        <v>146.48999953306301</v>
      </c>
      <c r="Y82" s="111" t="s">
        <v>2845</v>
      </c>
      <c r="Z82" s="111">
        <v>46180</v>
      </c>
      <c r="AB82" s="20" t="s">
        <v>2376</v>
      </c>
      <c r="AD82" s="20" t="s">
        <v>2376</v>
      </c>
      <c r="AE82" s="20" t="s">
        <v>2376</v>
      </c>
      <c r="AF82" s="20">
        <v>0</v>
      </c>
      <c r="AG82" s="20">
        <v>0</v>
      </c>
      <c r="AH82" s="20">
        <v>0</v>
      </c>
      <c r="AI82" s="20">
        <v>0</v>
      </c>
      <c r="AJ82" s="20">
        <v>0</v>
      </c>
      <c r="AK82" s="111" t="s">
        <v>609</v>
      </c>
      <c r="AL82" s="20">
        <v>0</v>
      </c>
      <c r="AM82" s="20">
        <v>0</v>
      </c>
      <c r="AN82" s="20">
        <v>0</v>
      </c>
      <c r="AO82" s="20">
        <v>0</v>
      </c>
      <c r="AP82" s="20">
        <v>0</v>
      </c>
      <c r="AR82" s="20">
        <v>0</v>
      </c>
      <c r="AS82" s="20">
        <v>0</v>
      </c>
      <c r="AT82" s="20">
        <v>1568628.15</v>
      </c>
      <c r="AU82" s="20" t="s">
        <v>13</v>
      </c>
      <c r="AV82" s="20" t="s">
        <v>24</v>
      </c>
      <c r="AW82" s="111" t="s">
        <v>79</v>
      </c>
      <c r="AX82" s="20" t="s">
        <v>208</v>
      </c>
      <c r="AY82" s="19" t="s">
        <v>209</v>
      </c>
      <c r="AZ82" s="19">
        <v>0</v>
      </c>
      <c r="BA82" s="19">
        <v>103436.59</v>
      </c>
      <c r="BB82" s="19">
        <v>772</v>
      </c>
      <c r="BC82" s="66">
        <v>46180</v>
      </c>
      <c r="BD82" s="19" t="s">
        <v>65</v>
      </c>
      <c r="BE82" s="19" t="s">
        <v>210</v>
      </c>
      <c r="BF82" s="19" t="s">
        <v>210</v>
      </c>
      <c r="BG82" s="19">
        <v>9</v>
      </c>
      <c r="BH82" s="19">
        <v>9309.2900000000009</v>
      </c>
      <c r="BI82" s="19">
        <v>9</v>
      </c>
      <c r="BJ82" s="19">
        <v>9309.2900000000009</v>
      </c>
      <c r="BK82" s="19">
        <v>0</v>
      </c>
      <c r="BL82" s="19">
        <v>0</v>
      </c>
      <c r="BM82" s="19">
        <v>0</v>
      </c>
      <c r="BN82" s="19">
        <v>662140413179</v>
      </c>
      <c r="BO82" s="66">
        <v>46209</v>
      </c>
      <c r="BP82" s="19">
        <v>0</v>
      </c>
    </row>
    <row r="83" spans="1:68">
      <c r="A83" s="65"/>
      <c r="B83" s="20" t="s">
        <v>2216</v>
      </c>
      <c r="C83" s="111">
        <v>46180</v>
      </c>
      <c r="D83" s="20" t="s">
        <v>3584</v>
      </c>
      <c r="E83" s="20" t="s">
        <v>23</v>
      </c>
      <c r="F83" s="20" t="s">
        <v>24</v>
      </c>
      <c r="H83" s="20" t="s">
        <v>3585</v>
      </c>
      <c r="I83" s="20">
        <v>1181.5999999999999</v>
      </c>
      <c r="J83" s="20">
        <v>1181.5999999999999</v>
      </c>
      <c r="K83" s="20" t="s">
        <v>11</v>
      </c>
      <c r="L83" s="20">
        <v>1181.5999999999999</v>
      </c>
      <c r="M83" s="20">
        <v>0</v>
      </c>
      <c r="N83" s="20">
        <v>1181.5999999999999</v>
      </c>
      <c r="O83" s="20" t="s">
        <v>2201</v>
      </c>
      <c r="P83" s="20" t="s">
        <v>87</v>
      </c>
      <c r="Q83" s="20" t="s">
        <v>87</v>
      </c>
      <c r="R83" s="111" t="s">
        <v>2845</v>
      </c>
      <c r="S83" s="111">
        <v>46180</v>
      </c>
      <c r="T83" s="20" t="s">
        <v>206</v>
      </c>
      <c r="U83" s="20" t="s">
        <v>207</v>
      </c>
      <c r="V83" s="20" t="s">
        <v>2844</v>
      </c>
      <c r="W83" s="20">
        <v>149.49</v>
      </c>
      <c r="X83" s="20">
        <v>149.48999952350101</v>
      </c>
      <c r="Y83" s="111" t="s">
        <v>2845</v>
      </c>
      <c r="Z83" s="111">
        <v>46180</v>
      </c>
      <c r="AB83" s="20" t="s">
        <v>2376</v>
      </c>
      <c r="AD83" s="20" t="s">
        <v>2376</v>
      </c>
      <c r="AE83" s="20" t="s">
        <v>2376</v>
      </c>
      <c r="AF83" s="20">
        <v>0</v>
      </c>
      <c r="AG83" s="20">
        <v>0</v>
      </c>
      <c r="AH83" s="20">
        <v>0</v>
      </c>
      <c r="AI83" s="20">
        <v>0</v>
      </c>
      <c r="AJ83" s="20">
        <v>0</v>
      </c>
      <c r="AK83" s="111" t="s">
        <v>609</v>
      </c>
      <c r="AL83" s="20">
        <v>0</v>
      </c>
      <c r="AM83" s="20">
        <v>0</v>
      </c>
      <c r="AN83" s="20">
        <v>0</v>
      </c>
      <c r="AO83" s="20">
        <v>0</v>
      </c>
      <c r="AP83" s="20">
        <v>0</v>
      </c>
      <c r="AR83" s="20">
        <v>0</v>
      </c>
      <c r="AS83" s="20">
        <v>0</v>
      </c>
      <c r="AT83" s="20">
        <v>1568628.15</v>
      </c>
      <c r="AU83" s="20" t="s">
        <v>13</v>
      </c>
      <c r="AV83" s="20" t="s">
        <v>24</v>
      </c>
      <c r="AW83" s="111" t="s">
        <v>79</v>
      </c>
      <c r="AX83" s="20" t="s">
        <v>208</v>
      </c>
      <c r="AY83" s="19" t="s">
        <v>209</v>
      </c>
      <c r="AZ83" s="19">
        <v>0</v>
      </c>
      <c r="BA83" s="19">
        <v>176637.38</v>
      </c>
      <c r="BB83" s="19">
        <v>772</v>
      </c>
      <c r="BC83" s="66">
        <v>46180</v>
      </c>
      <c r="BD83" s="19" t="s">
        <v>65</v>
      </c>
      <c r="BE83" s="19" t="s">
        <v>210</v>
      </c>
      <c r="BF83" s="19" t="s">
        <v>210</v>
      </c>
      <c r="BG83" s="19">
        <v>9</v>
      </c>
      <c r="BH83" s="19">
        <v>15897.36</v>
      </c>
      <c r="BI83" s="19">
        <v>9</v>
      </c>
      <c r="BJ83" s="19">
        <v>15897.36</v>
      </c>
      <c r="BK83" s="19">
        <v>0</v>
      </c>
      <c r="BL83" s="19">
        <v>0</v>
      </c>
      <c r="BM83" s="19">
        <v>0</v>
      </c>
      <c r="BN83" s="19">
        <v>662140413179</v>
      </c>
      <c r="BO83" s="66">
        <v>46209</v>
      </c>
      <c r="BP83" s="19">
        <v>0</v>
      </c>
    </row>
    <row r="84" spans="1:68">
      <c r="A84" s="65"/>
      <c r="B84" s="20" t="s">
        <v>2216</v>
      </c>
      <c r="C84" s="111">
        <v>46210</v>
      </c>
      <c r="D84" s="20" t="s">
        <v>3586</v>
      </c>
      <c r="E84" s="20" t="s">
        <v>18</v>
      </c>
      <c r="F84" s="20" t="s">
        <v>19</v>
      </c>
      <c r="H84" s="20" t="s">
        <v>3587</v>
      </c>
      <c r="I84" s="20">
        <v>762</v>
      </c>
      <c r="J84" s="20">
        <v>762</v>
      </c>
      <c r="K84" s="20" t="s">
        <v>11</v>
      </c>
      <c r="L84" s="20">
        <v>762</v>
      </c>
      <c r="M84" s="20">
        <v>0</v>
      </c>
      <c r="N84" s="20">
        <v>762</v>
      </c>
      <c r="O84" s="20" t="s">
        <v>2204</v>
      </c>
      <c r="P84" s="20" t="s">
        <v>94</v>
      </c>
      <c r="Q84" s="20" t="s">
        <v>94</v>
      </c>
      <c r="R84" s="111" t="s">
        <v>1320</v>
      </c>
      <c r="S84" s="111">
        <v>46210</v>
      </c>
      <c r="T84" s="20" t="s">
        <v>206</v>
      </c>
      <c r="U84" s="20" t="s">
        <v>207</v>
      </c>
      <c r="V84" s="20" t="s">
        <v>2873</v>
      </c>
      <c r="W84" s="20">
        <v>154.74</v>
      </c>
      <c r="X84" s="20">
        <v>154.74</v>
      </c>
      <c r="Y84" s="111" t="s">
        <v>1320</v>
      </c>
      <c r="Z84" s="111">
        <v>46210</v>
      </c>
      <c r="AB84" s="20" t="s">
        <v>2376</v>
      </c>
      <c r="AD84" s="20" t="s">
        <v>2376</v>
      </c>
      <c r="AE84" s="20" t="s">
        <v>2376</v>
      </c>
      <c r="AF84" s="20">
        <v>0</v>
      </c>
      <c r="AG84" s="20">
        <v>0</v>
      </c>
      <c r="AH84" s="20">
        <v>0</v>
      </c>
      <c r="AI84" s="20">
        <v>0</v>
      </c>
      <c r="AJ84" s="20">
        <v>0</v>
      </c>
      <c r="AK84" s="111" t="s">
        <v>609</v>
      </c>
      <c r="AL84" s="20">
        <v>0</v>
      </c>
      <c r="AM84" s="20">
        <v>0</v>
      </c>
      <c r="AN84" s="20">
        <v>0</v>
      </c>
      <c r="AO84" s="20">
        <v>0</v>
      </c>
      <c r="AP84" s="20">
        <v>0</v>
      </c>
      <c r="AR84" s="20">
        <v>0</v>
      </c>
      <c r="AS84" s="20">
        <v>0</v>
      </c>
      <c r="AT84" s="20">
        <v>190444.7</v>
      </c>
      <c r="AU84" s="20" t="s">
        <v>13</v>
      </c>
      <c r="AV84" s="20" t="s">
        <v>62</v>
      </c>
      <c r="AW84" s="111" t="s">
        <v>63</v>
      </c>
      <c r="AX84" s="20" t="s">
        <v>208</v>
      </c>
      <c r="AY84" s="19" t="s">
        <v>209</v>
      </c>
      <c r="AZ84" s="19">
        <v>0</v>
      </c>
      <c r="BA84" s="19">
        <v>117911.88</v>
      </c>
      <c r="BB84" s="19">
        <v>794</v>
      </c>
      <c r="BC84" s="66">
        <v>46210</v>
      </c>
      <c r="BD84" s="19" t="s">
        <v>74</v>
      </c>
      <c r="BE84" s="19" t="s">
        <v>210</v>
      </c>
      <c r="BF84" s="19" t="s">
        <v>210</v>
      </c>
      <c r="BG84" s="19">
        <v>9</v>
      </c>
      <c r="BH84" s="19">
        <v>10612.07</v>
      </c>
      <c r="BI84" s="19">
        <v>9</v>
      </c>
      <c r="BJ84" s="19">
        <v>10612.07</v>
      </c>
      <c r="BK84" s="19">
        <v>0</v>
      </c>
      <c r="BL84" s="19">
        <v>0</v>
      </c>
      <c r="BM84" s="19">
        <v>190444.7</v>
      </c>
      <c r="BN84" s="19">
        <v>622141283045</v>
      </c>
      <c r="BO84" s="66">
        <v>46210</v>
      </c>
      <c r="BP84" s="19">
        <v>0</v>
      </c>
    </row>
    <row r="85" spans="1:68">
      <c r="A85" s="65"/>
      <c r="B85" s="20" t="s">
        <v>2216</v>
      </c>
      <c r="C85" s="111">
        <v>46210</v>
      </c>
      <c r="D85" s="20" t="s">
        <v>3586</v>
      </c>
      <c r="E85" s="20" t="s">
        <v>2519</v>
      </c>
      <c r="F85" s="20" t="s">
        <v>2117</v>
      </c>
      <c r="H85" s="20" t="s">
        <v>3587</v>
      </c>
      <c r="I85" s="20">
        <v>281</v>
      </c>
      <c r="J85" s="20">
        <v>281</v>
      </c>
      <c r="K85" s="20" t="s">
        <v>11</v>
      </c>
      <c r="L85" s="20">
        <v>281</v>
      </c>
      <c r="M85" s="20">
        <v>0</v>
      </c>
      <c r="N85" s="20">
        <v>281</v>
      </c>
      <c r="O85" s="20" t="s">
        <v>2204</v>
      </c>
      <c r="P85" s="20" t="s">
        <v>94</v>
      </c>
      <c r="Q85" s="20" t="s">
        <v>94</v>
      </c>
      <c r="R85" s="111" t="s">
        <v>1320</v>
      </c>
      <c r="S85" s="111">
        <v>46210</v>
      </c>
      <c r="T85" s="20" t="s">
        <v>206</v>
      </c>
      <c r="U85" s="20" t="s">
        <v>207</v>
      </c>
      <c r="V85" s="20" t="s">
        <v>2873</v>
      </c>
      <c r="W85" s="20">
        <v>154.74</v>
      </c>
      <c r="X85" s="20">
        <v>154.74</v>
      </c>
      <c r="Y85" s="111" t="s">
        <v>1320</v>
      </c>
      <c r="Z85" s="111">
        <v>46210</v>
      </c>
      <c r="AB85" s="20" t="s">
        <v>2376</v>
      </c>
      <c r="AD85" s="20" t="s">
        <v>2376</v>
      </c>
      <c r="AE85" s="20" t="s">
        <v>2376</v>
      </c>
      <c r="AF85" s="20">
        <v>0</v>
      </c>
      <c r="AG85" s="20">
        <v>0</v>
      </c>
      <c r="AH85" s="20">
        <v>0</v>
      </c>
      <c r="AI85" s="20">
        <v>0</v>
      </c>
      <c r="AJ85" s="20">
        <v>0</v>
      </c>
      <c r="AK85" s="111" t="s">
        <v>609</v>
      </c>
      <c r="AL85" s="20">
        <v>0</v>
      </c>
      <c r="AM85" s="20">
        <v>0</v>
      </c>
      <c r="AN85" s="20">
        <v>0</v>
      </c>
      <c r="AO85" s="20">
        <v>0</v>
      </c>
      <c r="AP85" s="20">
        <v>0</v>
      </c>
      <c r="AR85" s="20">
        <v>0</v>
      </c>
      <c r="AS85" s="20">
        <v>0</v>
      </c>
      <c r="AT85" s="20">
        <v>190444.7</v>
      </c>
      <c r="AU85" s="20" t="s">
        <v>15</v>
      </c>
      <c r="AV85" s="20" t="s">
        <v>2117</v>
      </c>
      <c r="AW85" s="111" t="s">
        <v>2117</v>
      </c>
      <c r="AX85" s="20" t="s">
        <v>208</v>
      </c>
      <c r="AY85" s="19" t="s">
        <v>209</v>
      </c>
      <c r="AZ85" s="19">
        <v>0</v>
      </c>
      <c r="BA85" s="19">
        <v>43481.94</v>
      </c>
      <c r="BB85" s="19">
        <v>794</v>
      </c>
      <c r="BC85" s="66">
        <v>46210</v>
      </c>
      <c r="BD85" s="19" t="s">
        <v>74</v>
      </c>
      <c r="BE85" s="19" t="s">
        <v>210</v>
      </c>
      <c r="BF85" s="19" t="s">
        <v>210</v>
      </c>
      <c r="BG85" s="19">
        <v>9</v>
      </c>
      <c r="BH85" s="19">
        <v>3913.37</v>
      </c>
      <c r="BI85" s="19">
        <v>9</v>
      </c>
      <c r="BJ85" s="19">
        <v>3913.37</v>
      </c>
      <c r="BK85" s="19">
        <v>0</v>
      </c>
      <c r="BL85" s="19">
        <v>0</v>
      </c>
      <c r="BM85" s="19">
        <v>0</v>
      </c>
      <c r="BN85" s="19">
        <v>622141283045</v>
      </c>
      <c r="BO85" s="66">
        <v>46210</v>
      </c>
      <c r="BP85" s="19">
        <v>0</v>
      </c>
    </row>
    <row r="86" spans="1:68">
      <c r="A86" s="65"/>
      <c r="B86" s="20" t="s">
        <v>2216</v>
      </c>
      <c r="C86" s="111">
        <v>46210</v>
      </c>
      <c r="D86" s="20" t="s">
        <v>3588</v>
      </c>
      <c r="E86" s="20" t="s">
        <v>160</v>
      </c>
      <c r="F86" s="20" t="s">
        <v>17</v>
      </c>
      <c r="H86" s="20" t="s">
        <v>3589</v>
      </c>
      <c r="I86" s="20">
        <v>193</v>
      </c>
      <c r="J86" s="20">
        <v>193</v>
      </c>
      <c r="K86" s="20" t="s">
        <v>11</v>
      </c>
      <c r="L86" s="20">
        <v>193</v>
      </c>
      <c r="M86" s="20">
        <v>0</v>
      </c>
      <c r="N86" s="20">
        <v>193</v>
      </c>
      <c r="O86" s="20" t="s">
        <v>2433</v>
      </c>
      <c r="P86" s="20" t="s">
        <v>87</v>
      </c>
      <c r="Q86" s="20" t="s">
        <v>87</v>
      </c>
      <c r="R86" s="111" t="s">
        <v>2861</v>
      </c>
      <c r="S86" s="111">
        <v>46210</v>
      </c>
      <c r="T86" s="20" t="s">
        <v>206</v>
      </c>
      <c r="U86" s="20" t="s">
        <v>207</v>
      </c>
      <c r="V86" s="20" t="s">
        <v>2860</v>
      </c>
      <c r="W86" s="20">
        <v>182.78</v>
      </c>
      <c r="X86" s="20">
        <v>182.78</v>
      </c>
      <c r="Y86" s="111" t="s">
        <v>2861</v>
      </c>
      <c r="Z86" s="111">
        <v>46210</v>
      </c>
      <c r="AB86" s="20" t="s">
        <v>2376</v>
      </c>
      <c r="AD86" s="20" t="s">
        <v>2376</v>
      </c>
      <c r="AE86" s="20" t="s">
        <v>2376</v>
      </c>
      <c r="AF86" s="20">
        <v>0</v>
      </c>
      <c r="AG86" s="20">
        <v>0</v>
      </c>
      <c r="AH86" s="20">
        <v>0</v>
      </c>
      <c r="AI86" s="20">
        <v>0</v>
      </c>
      <c r="AJ86" s="20">
        <v>0</v>
      </c>
      <c r="AK86" s="111" t="s">
        <v>609</v>
      </c>
      <c r="AL86" s="20">
        <v>0</v>
      </c>
      <c r="AM86" s="20">
        <v>0</v>
      </c>
      <c r="AN86" s="20">
        <v>0</v>
      </c>
      <c r="AO86" s="20">
        <v>0</v>
      </c>
      <c r="AP86" s="20">
        <v>0</v>
      </c>
      <c r="AR86" s="20">
        <v>0</v>
      </c>
      <c r="AS86" s="20">
        <v>0</v>
      </c>
      <c r="AT86" s="20">
        <v>41626.32</v>
      </c>
      <c r="AU86" s="20" t="s">
        <v>13</v>
      </c>
      <c r="AV86" s="20" t="s">
        <v>80</v>
      </c>
      <c r="AW86" s="111" t="s">
        <v>81</v>
      </c>
      <c r="AX86" s="20" t="s">
        <v>208</v>
      </c>
      <c r="AY86" s="19" t="s">
        <v>209</v>
      </c>
      <c r="AZ86" s="19">
        <v>0</v>
      </c>
      <c r="BA86" s="19">
        <v>35276.54</v>
      </c>
      <c r="BB86" s="19">
        <v>791</v>
      </c>
      <c r="BC86" s="66">
        <v>46210</v>
      </c>
      <c r="BD86" s="19" t="s">
        <v>65</v>
      </c>
      <c r="BE86" s="19" t="s">
        <v>210</v>
      </c>
      <c r="BF86" s="19" t="s">
        <v>210</v>
      </c>
      <c r="BG86" s="19">
        <v>9</v>
      </c>
      <c r="BH86" s="19">
        <v>3174.89</v>
      </c>
      <c r="BI86" s="19">
        <v>9</v>
      </c>
      <c r="BJ86" s="19">
        <v>3174.89</v>
      </c>
      <c r="BK86" s="19">
        <v>0</v>
      </c>
      <c r="BL86" s="19">
        <v>0</v>
      </c>
      <c r="BM86" s="19">
        <v>41626.32</v>
      </c>
      <c r="BN86" s="19">
        <v>662141155762</v>
      </c>
      <c r="BO86" s="66">
        <v>46210</v>
      </c>
      <c r="BP86" s="19">
        <v>0</v>
      </c>
    </row>
    <row r="87" spans="1:68">
      <c r="A87" s="65"/>
      <c r="B87" s="20" t="s">
        <v>2216</v>
      </c>
      <c r="C87" s="111">
        <v>46210</v>
      </c>
      <c r="D87" s="20" t="s">
        <v>3590</v>
      </c>
      <c r="E87" s="20" t="s">
        <v>18</v>
      </c>
      <c r="F87" s="20" t="s">
        <v>19</v>
      </c>
      <c r="H87" s="20" t="s">
        <v>3591</v>
      </c>
      <c r="I87" s="20">
        <v>1093</v>
      </c>
      <c r="J87" s="20">
        <v>1093</v>
      </c>
      <c r="K87" s="20" t="s">
        <v>11</v>
      </c>
      <c r="L87" s="20">
        <v>1093</v>
      </c>
      <c r="M87" s="20">
        <v>0</v>
      </c>
      <c r="N87" s="20">
        <v>1093</v>
      </c>
      <c r="O87" s="20" t="s">
        <v>2200</v>
      </c>
      <c r="P87" s="20" t="s">
        <v>87</v>
      </c>
      <c r="Q87" s="20" t="s">
        <v>87</v>
      </c>
      <c r="R87" s="111" t="s">
        <v>2863</v>
      </c>
      <c r="S87" s="111">
        <v>46210</v>
      </c>
      <c r="T87" s="20" t="s">
        <v>206</v>
      </c>
      <c r="U87" s="20" t="s">
        <v>207</v>
      </c>
      <c r="V87" s="20" t="s">
        <v>2862</v>
      </c>
      <c r="W87" s="20">
        <v>146.49</v>
      </c>
      <c r="X87" s="20">
        <v>146.49</v>
      </c>
      <c r="Y87" s="111" t="s">
        <v>2863</v>
      </c>
      <c r="Z87" s="111">
        <v>46210</v>
      </c>
      <c r="AB87" s="20" t="s">
        <v>2376</v>
      </c>
      <c r="AD87" s="20" t="s">
        <v>2376</v>
      </c>
      <c r="AE87" s="20" t="s">
        <v>2376</v>
      </c>
      <c r="AF87" s="20">
        <v>0</v>
      </c>
      <c r="AG87" s="20">
        <v>0</v>
      </c>
      <c r="AH87" s="20">
        <v>0</v>
      </c>
      <c r="AI87" s="20">
        <v>0</v>
      </c>
      <c r="AJ87" s="20">
        <v>0</v>
      </c>
      <c r="AK87" s="111" t="s">
        <v>609</v>
      </c>
      <c r="AL87" s="20">
        <v>0</v>
      </c>
      <c r="AM87" s="20">
        <v>0</v>
      </c>
      <c r="AN87" s="20">
        <v>0</v>
      </c>
      <c r="AO87" s="20">
        <v>0</v>
      </c>
      <c r="AP87" s="20">
        <v>0</v>
      </c>
      <c r="AR87" s="20">
        <v>0</v>
      </c>
      <c r="AS87" s="20">
        <v>0</v>
      </c>
      <c r="AT87" s="20">
        <v>188934.01</v>
      </c>
      <c r="AU87" s="20" t="s">
        <v>13</v>
      </c>
      <c r="AV87" s="20" t="s">
        <v>62</v>
      </c>
      <c r="AW87" s="111" t="s">
        <v>63</v>
      </c>
      <c r="AX87" s="20" t="s">
        <v>208</v>
      </c>
      <c r="AY87" s="19" t="s">
        <v>209</v>
      </c>
      <c r="AZ87" s="19">
        <v>0</v>
      </c>
      <c r="BA87" s="19">
        <v>160113.57</v>
      </c>
      <c r="BB87" s="19">
        <v>789</v>
      </c>
      <c r="BC87" s="66">
        <v>46210</v>
      </c>
      <c r="BD87" s="19" t="s">
        <v>65</v>
      </c>
      <c r="BE87" s="19" t="s">
        <v>210</v>
      </c>
      <c r="BF87" s="19" t="s">
        <v>210</v>
      </c>
      <c r="BG87" s="19">
        <v>9</v>
      </c>
      <c r="BH87" s="19">
        <v>14410.22</v>
      </c>
      <c r="BI87" s="19">
        <v>9</v>
      </c>
      <c r="BJ87" s="19">
        <v>14410.22</v>
      </c>
      <c r="BK87" s="19">
        <v>0</v>
      </c>
      <c r="BL87" s="19">
        <v>0</v>
      </c>
      <c r="BM87" s="19">
        <v>188934.01</v>
      </c>
      <c r="BN87" s="19">
        <v>602141031084</v>
      </c>
      <c r="BO87" s="66">
        <v>46210</v>
      </c>
      <c r="BP87" s="19">
        <v>0</v>
      </c>
    </row>
    <row r="88" spans="1:68">
      <c r="A88" s="65"/>
      <c r="B88" s="20" t="s">
        <v>2216</v>
      </c>
      <c r="C88" s="111">
        <v>46210</v>
      </c>
      <c r="D88" s="20" t="s">
        <v>3592</v>
      </c>
      <c r="E88" s="20" t="s">
        <v>18</v>
      </c>
      <c r="F88" s="20" t="s">
        <v>19</v>
      </c>
      <c r="H88" s="20" t="s">
        <v>3593</v>
      </c>
      <c r="I88" s="20">
        <v>410</v>
      </c>
      <c r="J88" s="20">
        <v>410</v>
      </c>
      <c r="K88" s="20" t="s">
        <v>11</v>
      </c>
      <c r="L88" s="20">
        <v>410</v>
      </c>
      <c r="M88" s="20">
        <v>0</v>
      </c>
      <c r="N88" s="20">
        <v>410</v>
      </c>
      <c r="O88" s="20" t="s">
        <v>2203</v>
      </c>
      <c r="P88" s="20" t="s">
        <v>87</v>
      </c>
      <c r="Q88" s="20" t="s">
        <v>87</v>
      </c>
      <c r="R88" s="111" t="s">
        <v>2865</v>
      </c>
      <c r="S88" s="111">
        <v>46180</v>
      </c>
      <c r="T88" s="20" t="s">
        <v>206</v>
      </c>
      <c r="U88" s="20" t="s">
        <v>207</v>
      </c>
      <c r="V88" s="20" t="s">
        <v>2864</v>
      </c>
      <c r="W88" s="20">
        <v>144.49</v>
      </c>
      <c r="X88" s="20">
        <v>144.49</v>
      </c>
      <c r="Y88" s="111" t="s">
        <v>2865</v>
      </c>
      <c r="Z88" s="111">
        <v>46180</v>
      </c>
      <c r="AB88" s="20" t="s">
        <v>2376</v>
      </c>
      <c r="AD88" s="20" t="s">
        <v>2376</v>
      </c>
      <c r="AE88" s="20" t="s">
        <v>2376</v>
      </c>
      <c r="AF88" s="20">
        <v>0</v>
      </c>
      <c r="AG88" s="20">
        <v>0</v>
      </c>
      <c r="AH88" s="20">
        <v>0</v>
      </c>
      <c r="AI88" s="20">
        <v>0</v>
      </c>
      <c r="AJ88" s="20">
        <v>0</v>
      </c>
      <c r="AK88" s="111" t="s">
        <v>609</v>
      </c>
      <c r="AL88" s="20">
        <v>0</v>
      </c>
      <c r="AM88" s="20">
        <v>0</v>
      </c>
      <c r="AN88" s="20">
        <v>0</v>
      </c>
      <c r="AO88" s="20">
        <v>0</v>
      </c>
      <c r="AP88" s="20">
        <v>0</v>
      </c>
      <c r="AR88" s="20">
        <v>0</v>
      </c>
      <c r="AS88" s="20">
        <v>0</v>
      </c>
      <c r="AT88" s="20">
        <v>69904.259999999995</v>
      </c>
      <c r="AU88" s="20" t="s">
        <v>13</v>
      </c>
      <c r="AV88" s="20" t="s">
        <v>62</v>
      </c>
      <c r="AW88" s="111" t="s">
        <v>63</v>
      </c>
      <c r="AX88" s="20" t="s">
        <v>208</v>
      </c>
      <c r="AY88" s="19" t="s">
        <v>209</v>
      </c>
      <c r="AZ88" s="19">
        <v>0</v>
      </c>
      <c r="BA88" s="19">
        <v>59240.9</v>
      </c>
      <c r="BB88" s="19">
        <v>787</v>
      </c>
      <c r="BC88" s="66">
        <v>46210</v>
      </c>
      <c r="BD88" s="19" t="s">
        <v>65</v>
      </c>
      <c r="BE88" s="19" t="s">
        <v>210</v>
      </c>
      <c r="BF88" s="19" t="s">
        <v>210</v>
      </c>
      <c r="BG88" s="19">
        <v>9</v>
      </c>
      <c r="BH88" s="19">
        <v>5331.68</v>
      </c>
      <c r="BI88" s="19">
        <v>9</v>
      </c>
      <c r="BJ88" s="19">
        <v>5331.68</v>
      </c>
      <c r="BK88" s="19">
        <v>0</v>
      </c>
      <c r="BL88" s="19">
        <v>0</v>
      </c>
      <c r="BM88" s="19">
        <v>69904.259999999995</v>
      </c>
      <c r="BN88" s="19">
        <v>642140659988</v>
      </c>
      <c r="BO88" s="66">
        <v>46209</v>
      </c>
      <c r="BP88" s="19">
        <v>0</v>
      </c>
    </row>
    <row r="89" spans="1:68">
      <c r="A89" s="65"/>
      <c r="B89" s="20" t="s">
        <v>2216</v>
      </c>
      <c r="C89" s="111">
        <v>46210</v>
      </c>
      <c r="D89" s="20" t="s">
        <v>3594</v>
      </c>
      <c r="E89" s="20" t="s">
        <v>160</v>
      </c>
      <c r="F89" s="20" t="s">
        <v>17</v>
      </c>
      <c r="H89" s="20" t="s">
        <v>3595</v>
      </c>
      <c r="I89" s="20">
        <v>1036</v>
      </c>
      <c r="J89" s="20">
        <v>1036</v>
      </c>
      <c r="K89" s="20" t="s">
        <v>11</v>
      </c>
      <c r="L89" s="20">
        <v>1036</v>
      </c>
      <c r="M89" s="20">
        <v>0</v>
      </c>
      <c r="N89" s="20">
        <v>1036</v>
      </c>
      <c r="O89" s="20" t="s">
        <v>2203</v>
      </c>
      <c r="P89" s="20" t="s">
        <v>87</v>
      </c>
      <c r="Q89" s="20" t="s">
        <v>87</v>
      </c>
      <c r="R89" s="111" t="s">
        <v>2867</v>
      </c>
      <c r="S89" s="111">
        <v>46210</v>
      </c>
      <c r="T89" s="20" t="s">
        <v>206</v>
      </c>
      <c r="U89" s="20" t="s">
        <v>207</v>
      </c>
      <c r="V89" s="20" t="s">
        <v>2866</v>
      </c>
      <c r="W89" s="20">
        <v>182.78</v>
      </c>
      <c r="X89" s="20">
        <v>182.780002768662</v>
      </c>
      <c r="Y89" s="111" t="s">
        <v>2867</v>
      </c>
      <c r="Z89" s="111">
        <v>46210</v>
      </c>
      <c r="AB89" s="20" t="s">
        <v>2376</v>
      </c>
      <c r="AD89" s="20" t="s">
        <v>2376</v>
      </c>
      <c r="AE89" s="20" t="s">
        <v>2376</v>
      </c>
      <c r="AF89" s="20">
        <v>0</v>
      </c>
      <c r="AG89" s="20">
        <v>0</v>
      </c>
      <c r="AH89" s="20">
        <v>0</v>
      </c>
      <c r="AI89" s="20">
        <v>0</v>
      </c>
      <c r="AJ89" s="20">
        <v>0</v>
      </c>
      <c r="AK89" s="111" t="s">
        <v>609</v>
      </c>
      <c r="AL89" s="20">
        <v>0</v>
      </c>
      <c r="AM89" s="20">
        <v>0</v>
      </c>
      <c r="AN89" s="20">
        <v>0</v>
      </c>
      <c r="AO89" s="20">
        <v>0</v>
      </c>
      <c r="AP89" s="20">
        <v>0</v>
      </c>
      <c r="AR89" s="20">
        <v>0</v>
      </c>
      <c r="AS89" s="20">
        <v>0</v>
      </c>
      <c r="AT89" s="20">
        <v>462122.11</v>
      </c>
      <c r="AU89" s="20" t="s">
        <v>13</v>
      </c>
      <c r="AV89" s="20" t="s">
        <v>80</v>
      </c>
      <c r="AW89" s="111" t="s">
        <v>81</v>
      </c>
      <c r="AX89" s="20" t="s">
        <v>208</v>
      </c>
      <c r="AY89" s="19" t="s">
        <v>209</v>
      </c>
      <c r="AZ89" s="19">
        <v>0</v>
      </c>
      <c r="BA89" s="19">
        <v>189360.08</v>
      </c>
      <c r="BB89" s="19">
        <v>793</v>
      </c>
      <c r="BC89" s="66">
        <v>46210</v>
      </c>
      <c r="BD89" s="19" t="s">
        <v>65</v>
      </c>
      <c r="BE89" s="19" t="s">
        <v>210</v>
      </c>
      <c r="BF89" s="19" t="s">
        <v>210</v>
      </c>
      <c r="BG89" s="19">
        <v>9</v>
      </c>
      <c r="BH89" s="19">
        <v>17042.41</v>
      </c>
      <c r="BI89" s="19">
        <v>9</v>
      </c>
      <c r="BJ89" s="19">
        <v>17042.41</v>
      </c>
      <c r="BK89" s="19">
        <v>0</v>
      </c>
      <c r="BL89" s="19">
        <v>0</v>
      </c>
      <c r="BM89" s="19">
        <v>462122.11</v>
      </c>
      <c r="BN89" s="19">
        <v>672141162299</v>
      </c>
      <c r="BO89" s="66">
        <v>46210</v>
      </c>
      <c r="BP89" s="19">
        <v>0</v>
      </c>
    </row>
    <row r="90" spans="1:68">
      <c r="A90" s="65"/>
      <c r="B90" s="20" t="s">
        <v>2216</v>
      </c>
      <c r="C90" s="111">
        <v>46210</v>
      </c>
      <c r="D90" s="20" t="s">
        <v>3594</v>
      </c>
      <c r="E90" s="20" t="s">
        <v>23</v>
      </c>
      <c r="F90" s="20" t="s">
        <v>24</v>
      </c>
      <c r="H90" s="20" t="s">
        <v>3595</v>
      </c>
      <c r="I90" s="20">
        <v>882.3</v>
      </c>
      <c r="J90" s="20">
        <v>882.3</v>
      </c>
      <c r="K90" s="20" t="s">
        <v>11</v>
      </c>
      <c r="L90" s="20">
        <v>882.3</v>
      </c>
      <c r="M90" s="20">
        <v>0</v>
      </c>
      <c r="N90" s="20">
        <v>882.3</v>
      </c>
      <c r="O90" s="20" t="s">
        <v>2203</v>
      </c>
      <c r="P90" s="20" t="s">
        <v>87</v>
      </c>
      <c r="Q90" s="20" t="s">
        <v>87</v>
      </c>
      <c r="R90" s="111" t="s">
        <v>2867</v>
      </c>
      <c r="S90" s="111">
        <v>46210</v>
      </c>
      <c r="T90" s="20" t="s">
        <v>206</v>
      </c>
      <c r="U90" s="20" t="s">
        <v>207</v>
      </c>
      <c r="V90" s="20" t="s">
        <v>2866</v>
      </c>
      <c r="W90" s="20">
        <v>149.49</v>
      </c>
      <c r="X90" s="20">
        <v>149.49000226440199</v>
      </c>
      <c r="Y90" s="111" t="s">
        <v>2867</v>
      </c>
      <c r="Z90" s="111">
        <v>46210</v>
      </c>
      <c r="AB90" s="20" t="s">
        <v>2376</v>
      </c>
      <c r="AD90" s="20" t="s">
        <v>2376</v>
      </c>
      <c r="AE90" s="20" t="s">
        <v>2376</v>
      </c>
      <c r="AF90" s="20">
        <v>0</v>
      </c>
      <c r="AG90" s="20">
        <v>0</v>
      </c>
      <c r="AH90" s="20">
        <v>0</v>
      </c>
      <c r="AI90" s="20">
        <v>0</v>
      </c>
      <c r="AJ90" s="20">
        <v>0</v>
      </c>
      <c r="AK90" s="111" t="s">
        <v>609</v>
      </c>
      <c r="AL90" s="20">
        <v>0</v>
      </c>
      <c r="AM90" s="20">
        <v>0</v>
      </c>
      <c r="AN90" s="20">
        <v>0</v>
      </c>
      <c r="AO90" s="20">
        <v>0</v>
      </c>
      <c r="AP90" s="20">
        <v>0</v>
      </c>
      <c r="AR90" s="20">
        <v>0</v>
      </c>
      <c r="AS90" s="20">
        <v>0</v>
      </c>
      <c r="AT90" s="20">
        <v>462122.11</v>
      </c>
      <c r="AU90" s="20" t="s">
        <v>13</v>
      </c>
      <c r="AV90" s="20" t="s">
        <v>24</v>
      </c>
      <c r="AW90" s="111" t="s">
        <v>79</v>
      </c>
      <c r="AX90" s="20" t="s">
        <v>208</v>
      </c>
      <c r="AY90" s="19" t="s">
        <v>209</v>
      </c>
      <c r="AZ90" s="19">
        <v>0</v>
      </c>
      <c r="BA90" s="19">
        <v>131895.03</v>
      </c>
      <c r="BB90" s="19">
        <v>793</v>
      </c>
      <c r="BC90" s="66">
        <v>46210</v>
      </c>
      <c r="BD90" s="19" t="s">
        <v>65</v>
      </c>
      <c r="BE90" s="19" t="s">
        <v>210</v>
      </c>
      <c r="BF90" s="19" t="s">
        <v>210</v>
      </c>
      <c r="BG90" s="19">
        <v>9</v>
      </c>
      <c r="BH90" s="19">
        <v>11870.55</v>
      </c>
      <c r="BI90" s="19">
        <v>9</v>
      </c>
      <c r="BJ90" s="19">
        <v>11870.55</v>
      </c>
      <c r="BK90" s="19">
        <v>0</v>
      </c>
      <c r="BL90" s="19">
        <v>0</v>
      </c>
      <c r="BM90" s="19">
        <v>0</v>
      </c>
      <c r="BN90" s="19">
        <v>672141162299</v>
      </c>
      <c r="BO90" s="66">
        <v>46210</v>
      </c>
      <c r="BP90" s="19">
        <v>0</v>
      </c>
    </row>
    <row r="91" spans="1:68">
      <c r="A91" s="65"/>
      <c r="B91" s="20" t="s">
        <v>2216</v>
      </c>
      <c r="C91" s="111">
        <v>46210</v>
      </c>
      <c r="D91" s="20" t="s">
        <v>3594</v>
      </c>
      <c r="E91" s="20" t="s">
        <v>23</v>
      </c>
      <c r="F91" s="20" t="s">
        <v>24</v>
      </c>
      <c r="H91" s="20" t="s">
        <v>3595</v>
      </c>
      <c r="I91" s="20">
        <v>480.4</v>
      </c>
      <c r="J91" s="20">
        <v>480.4</v>
      </c>
      <c r="K91" s="20" t="s">
        <v>11</v>
      </c>
      <c r="L91" s="20">
        <v>480.4</v>
      </c>
      <c r="M91" s="20">
        <v>0</v>
      </c>
      <c r="N91" s="20">
        <v>480.4</v>
      </c>
      <c r="O91" s="20" t="s">
        <v>2203</v>
      </c>
      <c r="P91" s="20" t="s">
        <v>87</v>
      </c>
      <c r="Q91" s="20" t="s">
        <v>87</v>
      </c>
      <c r="R91" s="111" t="s">
        <v>2867</v>
      </c>
      <c r="S91" s="111">
        <v>46210</v>
      </c>
      <c r="T91" s="20" t="s">
        <v>206</v>
      </c>
      <c r="U91" s="20" t="s">
        <v>207</v>
      </c>
      <c r="V91" s="20" t="s">
        <v>2866</v>
      </c>
      <c r="W91" s="20">
        <v>146.49</v>
      </c>
      <c r="X91" s="20">
        <v>146.49000221895901</v>
      </c>
      <c r="Y91" s="111" t="s">
        <v>2867</v>
      </c>
      <c r="Z91" s="111">
        <v>46210</v>
      </c>
      <c r="AB91" s="20" t="s">
        <v>2376</v>
      </c>
      <c r="AD91" s="20" t="s">
        <v>2376</v>
      </c>
      <c r="AE91" s="20" t="s">
        <v>2376</v>
      </c>
      <c r="AF91" s="20">
        <v>0</v>
      </c>
      <c r="AG91" s="20">
        <v>0</v>
      </c>
      <c r="AH91" s="20">
        <v>0</v>
      </c>
      <c r="AI91" s="20">
        <v>0</v>
      </c>
      <c r="AJ91" s="20">
        <v>0</v>
      </c>
      <c r="AK91" s="111" t="s">
        <v>609</v>
      </c>
      <c r="AL91" s="20">
        <v>0</v>
      </c>
      <c r="AM91" s="20">
        <v>0</v>
      </c>
      <c r="AN91" s="20">
        <v>0</v>
      </c>
      <c r="AO91" s="20">
        <v>0</v>
      </c>
      <c r="AP91" s="20">
        <v>0</v>
      </c>
      <c r="AR91" s="20">
        <v>0</v>
      </c>
      <c r="AS91" s="20">
        <v>0</v>
      </c>
      <c r="AT91" s="20">
        <v>462122.11</v>
      </c>
      <c r="AU91" s="20" t="s">
        <v>13</v>
      </c>
      <c r="AV91" s="20" t="s">
        <v>24</v>
      </c>
      <c r="AW91" s="111" t="s">
        <v>79</v>
      </c>
      <c r="AX91" s="20" t="s">
        <v>208</v>
      </c>
      <c r="AY91" s="19" t="s">
        <v>209</v>
      </c>
      <c r="AZ91" s="19">
        <v>0</v>
      </c>
      <c r="BA91" s="19">
        <v>70373.8</v>
      </c>
      <c r="BB91" s="19">
        <v>793</v>
      </c>
      <c r="BC91" s="66">
        <v>46210</v>
      </c>
      <c r="BD91" s="19" t="s">
        <v>65</v>
      </c>
      <c r="BE91" s="19" t="s">
        <v>210</v>
      </c>
      <c r="BF91" s="19" t="s">
        <v>210</v>
      </c>
      <c r="BG91" s="19">
        <v>9</v>
      </c>
      <c r="BH91" s="19">
        <v>6333.64</v>
      </c>
      <c r="BI91" s="19">
        <v>9</v>
      </c>
      <c r="BJ91" s="19">
        <v>6333.64</v>
      </c>
      <c r="BK91" s="19">
        <v>0</v>
      </c>
      <c r="BL91" s="19">
        <v>0</v>
      </c>
      <c r="BM91" s="19">
        <v>0</v>
      </c>
      <c r="BN91" s="19">
        <v>672141162299</v>
      </c>
      <c r="BO91" s="66">
        <v>46210</v>
      </c>
      <c r="BP91" s="19">
        <v>0</v>
      </c>
    </row>
    <row r="92" spans="1:68">
      <c r="A92" s="65"/>
      <c r="B92" s="20" t="s">
        <v>2216</v>
      </c>
      <c r="C92" s="111">
        <v>46210</v>
      </c>
      <c r="D92" s="20" t="s">
        <v>3596</v>
      </c>
      <c r="E92" s="20" t="s">
        <v>18</v>
      </c>
      <c r="F92" s="20" t="s">
        <v>19</v>
      </c>
      <c r="H92" s="20" t="s">
        <v>3597</v>
      </c>
      <c r="I92" s="20">
        <v>3931</v>
      </c>
      <c r="J92" s="20">
        <v>3931</v>
      </c>
      <c r="K92" s="20" t="s">
        <v>11</v>
      </c>
      <c r="L92" s="20">
        <v>3931</v>
      </c>
      <c r="M92" s="20">
        <v>0</v>
      </c>
      <c r="N92" s="20">
        <v>3931</v>
      </c>
      <c r="O92" s="20" t="s">
        <v>2201</v>
      </c>
      <c r="P92" s="20" t="s">
        <v>87</v>
      </c>
      <c r="Q92" s="20" t="s">
        <v>87</v>
      </c>
      <c r="R92" s="111" t="s">
        <v>2869</v>
      </c>
      <c r="S92" s="111">
        <v>46210</v>
      </c>
      <c r="T92" s="20" t="s">
        <v>206</v>
      </c>
      <c r="U92" s="20" t="s">
        <v>207</v>
      </c>
      <c r="V92" s="20" t="s">
        <v>2868</v>
      </c>
      <c r="W92" s="20">
        <v>146.49</v>
      </c>
      <c r="X92" s="20">
        <v>146.49</v>
      </c>
      <c r="Y92" s="111" t="s">
        <v>2869</v>
      </c>
      <c r="Z92" s="111">
        <v>46210</v>
      </c>
      <c r="AB92" s="20" t="s">
        <v>2376</v>
      </c>
      <c r="AD92" s="20" t="s">
        <v>2376</v>
      </c>
      <c r="AE92" s="20" t="s">
        <v>2376</v>
      </c>
      <c r="AF92" s="20">
        <v>0</v>
      </c>
      <c r="AG92" s="20">
        <v>0</v>
      </c>
      <c r="AH92" s="20">
        <v>0</v>
      </c>
      <c r="AI92" s="20">
        <v>0</v>
      </c>
      <c r="AJ92" s="20">
        <v>0</v>
      </c>
      <c r="AK92" s="111" t="s">
        <v>609</v>
      </c>
      <c r="AL92" s="20">
        <v>0</v>
      </c>
      <c r="AM92" s="20">
        <v>0</v>
      </c>
      <c r="AN92" s="20">
        <v>0</v>
      </c>
      <c r="AO92" s="20">
        <v>0</v>
      </c>
      <c r="AP92" s="20">
        <v>0</v>
      </c>
      <c r="AR92" s="20">
        <v>0</v>
      </c>
      <c r="AS92" s="20">
        <v>0</v>
      </c>
      <c r="AT92" s="20">
        <v>1339864.26</v>
      </c>
      <c r="AU92" s="20" t="s">
        <v>13</v>
      </c>
      <c r="AV92" s="20" t="s">
        <v>62</v>
      </c>
      <c r="AW92" s="111" t="s">
        <v>63</v>
      </c>
      <c r="AX92" s="20" t="s">
        <v>208</v>
      </c>
      <c r="AY92" s="19" t="s">
        <v>209</v>
      </c>
      <c r="AZ92" s="19">
        <v>0</v>
      </c>
      <c r="BA92" s="19">
        <v>575852.18999999994</v>
      </c>
      <c r="BB92" s="19">
        <v>788</v>
      </c>
      <c r="BC92" s="66">
        <v>46210</v>
      </c>
      <c r="BD92" s="19" t="s">
        <v>65</v>
      </c>
      <c r="BE92" s="19" t="s">
        <v>210</v>
      </c>
      <c r="BF92" s="19" t="s">
        <v>210</v>
      </c>
      <c r="BG92" s="19">
        <v>9</v>
      </c>
      <c r="BH92" s="19">
        <v>51826.7</v>
      </c>
      <c r="BI92" s="19">
        <v>9</v>
      </c>
      <c r="BJ92" s="19">
        <v>51826.7</v>
      </c>
      <c r="BK92" s="19">
        <v>0</v>
      </c>
      <c r="BL92" s="19">
        <v>0</v>
      </c>
      <c r="BM92" s="19">
        <v>1339864.26</v>
      </c>
      <c r="BN92" s="19">
        <v>602140989135</v>
      </c>
      <c r="BO92" s="66">
        <v>46210</v>
      </c>
      <c r="BP92" s="19">
        <v>0</v>
      </c>
    </row>
    <row r="93" spans="1:68">
      <c r="A93" s="65"/>
      <c r="B93" s="20" t="s">
        <v>2216</v>
      </c>
      <c r="C93" s="111">
        <v>46210</v>
      </c>
      <c r="D93" s="20" t="s">
        <v>3596</v>
      </c>
      <c r="E93" s="20" t="s">
        <v>18</v>
      </c>
      <c r="F93" s="20" t="s">
        <v>19</v>
      </c>
      <c r="H93" s="20" t="s">
        <v>3597</v>
      </c>
      <c r="I93" s="20">
        <v>2786</v>
      </c>
      <c r="J93" s="20">
        <v>2786</v>
      </c>
      <c r="K93" s="20" t="s">
        <v>11</v>
      </c>
      <c r="L93" s="20">
        <v>2786</v>
      </c>
      <c r="M93" s="20">
        <v>0</v>
      </c>
      <c r="N93" s="20">
        <v>2786</v>
      </c>
      <c r="O93" s="20" t="s">
        <v>2201</v>
      </c>
      <c r="P93" s="20" t="s">
        <v>87</v>
      </c>
      <c r="Q93" s="20" t="s">
        <v>87</v>
      </c>
      <c r="R93" s="111" t="s">
        <v>2869</v>
      </c>
      <c r="S93" s="111">
        <v>46210</v>
      </c>
      <c r="T93" s="20" t="s">
        <v>206</v>
      </c>
      <c r="U93" s="20" t="s">
        <v>207</v>
      </c>
      <c r="V93" s="20" t="s">
        <v>2868</v>
      </c>
      <c r="W93" s="20">
        <v>144.49</v>
      </c>
      <c r="X93" s="20">
        <v>144.49</v>
      </c>
      <c r="Y93" s="111" t="s">
        <v>2869</v>
      </c>
      <c r="Z93" s="111">
        <v>46210</v>
      </c>
      <c r="AB93" s="20" t="s">
        <v>2376</v>
      </c>
      <c r="AD93" s="20" t="s">
        <v>2376</v>
      </c>
      <c r="AE93" s="20" t="s">
        <v>2376</v>
      </c>
      <c r="AF93" s="20">
        <v>0</v>
      </c>
      <c r="AG93" s="20">
        <v>0</v>
      </c>
      <c r="AH93" s="20">
        <v>0</v>
      </c>
      <c r="AI93" s="20">
        <v>0</v>
      </c>
      <c r="AJ93" s="20">
        <v>0</v>
      </c>
      <c r="AK93" s="111" t="s">
        <v>609</v>
      </c>
      <c r="AL93" s="20">
        <v>0</v>
      </c>
      <c r="AM93" s="20">
        <v>0</v>
      </c>
      <c r="AN93" s="20">
        <v>0</v>
      </c>
      <c r="AO93" s="20">
        <v>0</v>
      </c>
      <c r="AP93" s="20">
        <v>0</v>
      </c>
      <c r="AR93" s="20">
        <v>0</v>
      </c>
      <c r="AS93" s="20">
        <v>0</v>
      </c>
      <c r="AT93" s="20">
        <v>1339864.26</v>
      </c>
      <c r="AU93" s="20" t="s">
        <v>13</v>
      </c>
      <c r="AV93" s="20" t="s">
        <v>62</v>
      </c>
      <c r="AW93" s="111" t="s">
        <v>63</v>
      </c>
      <c r="AX93" s="20" t="s">
        <v>208</v>
      </c>
      <c r="AY93" s="19" t="s">
        <v>209</v>
      </c>
      <c r="AZ93" s="19">
        <v>0</v>
      </c>
      <c r="BA93" s="19">
        <v>402549.14</v>
      </c>
      <c r="BB93" s="19">
        <v>788</v>
      </c>
      <c r="BC93" s="66">
        <v>46210</v>
      </c>
      <c r="BD93" s="19" t="s">
        <v>65</v>
      </c>
      <c r="BE93" s="19" t="s">
        <v>210</v>
      </c>
      <c r="BF93" s="19" t="s">
        <v>210</v>
      </c>
      <c r="BG93" s="19">
        <v>9</v>
      </c>
      <c r="BH93" s="19">
        <v>36229.42</v>
      </c>
      <c r="BI93" s="19">
        <v>9</v>
      </c>
      <c r="BJ93" s="19">
        <v>36229.42</v>
      </c>
      <c r="BK93" s="19">
        <v>0</v>
      </c>
      <c r="BL93" s="19">
        <v>0</v>
      </c>
      <c r="BM93" s="19">
        <v>0</v>
      </c>
      <c r="BN93" s="19">
        <v>602140989135</v>
      </c>
      <c r="BO93" s="66">
        <v>46210</v>
      </c>
      <c r="BP93" s="19">
        <v>0</v>
      </c>
    </row>
    <row r="94" spans="1:68">
      <c r="A94" s="65"/>
      <c r="B94" s="20" t="s">
        <v>2216</v>
      </c>
      <c r="C94" s="111">
        <v>46210</v>
      </c>
      <c r="D94" s="20" t="s">
        <v>3596</v>
      </c>
      <c r="E94" s="20" t="s">
        <v>18</v>
      </c>
      <c r="F94" s="20" t="s">
        <v>19</v>
      </c>
      <c r="H94" s="20" t="s">
        <v>3597</v>
      </c>
      <c r="I94" s="20">
        <v>1065</v>
      </c>
      <c r="J94" s="20">
        <v>1065</v>
      </c>
      <c r="K94" s="20" t="s">
        <v>11</v>
      </c>
      <c r="L94" s="20">
        <v>1065</v>
      </c>
      <c r="M94" s="20">
        <v>0</v>
      </c>
      <c r="N94" s="20">
        <v>1065</v>
      </c>
      <c r="O94" s="20" t="s">
        <v>2201</v>
      </c>
      <c r="P94" s="20" t="s">
        <v>87</v>
      </c>
      <c r="Q94" s="20" t="s">
        <v>87</v>
      </c>
      <c r="R94" s="111" t="s">
        <v>2869</v>
      </c>
      <c r="S94" s="111">
        <v>46210</v>
      </c>
      <c r="T94" s="20" t="s">
        <v>206</v>
      </c>
      <c r="U94" s="20" t="s">
        <v>207</v>
      </c>
      <c r="V94" s="20" t="s">
        <v>2868</v>
      </c>
      <c r="W94" s="20">
        <v>147.49</v>
      </c>
      <c r="X94" s="20">
        <v>147.49</v>
      </c>
      <c r="Y94" s="111" t="s">
        <v>2869</v>
      </c>
      <c r="Z94" s="111">
        <v>46210</v>
      </c>
      <c r="AB94" s="20" t="s">
        <v>2376</v>
      </c>
      <c r="AD94" s="20" t="s">
        <v>2376</v>
      </c>
      <c r="AE94" s="20" t="s">
        <v>2376</v>
      </c>
      <c r="AF94" s="20">
        <v>0</v>
      </c>
      <c r="AG94" s="20">
        <v>0</v>
      </c>
      <c r="AH94" s="20">
        <v>0</v>
      </c>
      <c r="AI94" s="20">
        <v>0</v>
      </c>
      <c r="AJ94" s="20">
        <v>0</v>
      </c>
      <c r="AK94" s="111" t="s">
        <v>609</v>
      </c>
      <c r="AL94" s="20">
        <v>0</v>
      </c>
      <c r="AM94" s="20">
        <v>0</v>
      </c>
      <c r="AN94" s="20">
        <v>0</v>
      </c>
      <c r="AO94" s="20">
        <v>0</v>
      </c>
      <c r="AP94" s="20">
        <v>0</v>
      </c>
      <c r="AR94" s="20">
        <v>0</v>
      </c>
      <c r="AS94" s="20">
        <v>0</v>
      </c>
      <c r="AT94" s="20">
        <v>1339864.26</v>
      </c>
      <c r="AU94" s="20" t="s">
        <v>13</v>
      </c>
      <c r="AV94" s="20" t="s">
        <v>62</v>
      </c>
      <c r="AW94" s="111" t="s">
        <v>63</v>
      </c>
      <c r="AX94" s="20" t="s">
        <v>208</v>
      </c>
      <c r="AY94" s="19" t="s">
        <v>209</v>
      </c>
      <c r="AZ94" s="19">
        <v>0</v>
      </c>
      <c r="BA94" s="19">
        <v>157076.85</v>
      </c>
      <c r="BB94" s="19">
        <v>788</v>
      </c>
      <c r="BC94" s="66">
        <v>46210</v>
      </c>
      <c r="BD94" s="19" t="s">
        <v>65</v>
      </c>
      <c r="BE94" s="19" t="s">
        <v>210</v>
      </c>
      <c r="BF94" s="19" t="s">
        <v>210</v>
      </c>
      <c r="BG94" s="19">
        <v>9</v>
      </c>
      <c r="BH94" s="19">
        <v>14136.92</v>
      </c>
      <c r="BI94" s="19">
        <v>9</v>
      </c>
      <c r="BJ94" s="19">
        <v>14136.92</v>
      </c>
      <c r="BK94" s="19">
        <v>0</v>
      </c>
      <c r="BL94" s="19">
        <v>0</v>
      </c>
      <c r="BM94" s="19">
        <v>0</v>
      </c>
      <c r="BN94" s="19">
        <v>602140989135</v>
      </c>
      <c r="BO94" s="66">
        <v>46210</v>
      </c>
      <c r="BP94" s="19">
        <v>0</v>
      </c>
    </row>
    <row r="95" spans="1:68">
      <c r="A95" s="65"/>
      <c r="B95" s="20" t="s">
        <v>2216</v>
      </c>
      <c r="C95" s="111">
        <v>46210</v>
      </c>
      <c r="D95" s="20" t="s">
        <v>3598</v>
      </c>
      <c r="E95" s="20" t="s">
        <v>20</v>
      </c>
      <c r="F95" s="20" t="s">
        <v>21</v>
      </c>
      <c r="H95" s="20" t="s">
        <v>3599</v>
      </c>
      <c r="I95" s="20">
        <v>406</v>
      </c>
      <c r="J95" s="20">
        <v>406</v>
      </c>
      <c r="K95" s="20" t="s">
        <v>11</v>
      </c>
      <c r="L95" s="20">
        <v>406</v>
      </c>
      <c r="M95" s="20">
        <v>0</v>
      </c>
      <c r="N95" s="20">
        <v>406</v>
      </c>
      <c r="O95" s="20" t="s">
        <v>2201</v>
      </c>
      <c r="P95" s="20" t="s">
        <v>87</v>
      </c>
      <c r="Q95" s="20" t="s">
        <v>87</v>
      </c>
      <c r="R95" s="111" t="s">
        <v>2871</v>
      </c>
      <c r="S95" s="111">
        <v>46210</v>
      </c>
      <c r="T95" s="20" t="s">
        <v>206</v>
      </c>
      <c r="U95" s="20" t="s">
        <v>207</v>
      </c>
      <c r="V95" s="20" t="s">
        <v>2870</v>
      </c>
      <c r="W95" s="20">
        <v>149.49</v>
      </c>
      <c r="X95" s="20">
        <v>149.49</v>
      </c>
      <c r="Y95" s="111" t="s">
        <v>2871</v>
      </c>
      <c r="Z95" s="111">
        <v>46210</v>
      </c>
      <c r="AB95" s="20" t="s">
        <v>2376</v>
      </c>
      <c r="AD95" s="20" t="s">
        <v>2376</v>
      </c>
      <c r="AE95" s="20" t="s">
        <v>2376</v>
      </c>
      <c r="AF95" s="20">
        <v>0</v>
      </c>
      <c r="AG95" s="20">
        <v>0</v>
      </c>
      <c r="AH95" s="20">
        <v>0</v>
      </c>
      <c r="AI95" s="20">
        <v>0</v>
      </c>
      <c r="AJ95" s="20">
        <v>0</v>
      </c>
      <c r="AK95" s="111" t="s">
        <v>609</v>
      </c>
      <c r="AL95" s="20">
        <v>0</v>
      </c>
      <c r="AM95" s="20">
        <v>0</v>
      </c>
      <c r="AN95" s="20">
        <v>0</v>
      </c>
      <c r="AO95" s="20">
        <v>0</v>
      </c>
      <c r="AP95" s="20">
        <v>0</v>
      </c>
      <c r="AR95" s="20">
        <v>0</v>
      </c>
      <c r="AS95" s="20">
        <v>0</v>
      </c>
      <c r="AT95" s="20">
        <v>659196.13</v>
      </c>
      <c r="AU95" s="20" t="s">
        <v>13</v>
      </c>
      <c r="AV95" s="20" t="s">
        <v>62</v>
      </c>
      <c r="AW95" s="111" t="s">
        <v>76</v>
      </c>
      <c r="AX95" s="20" t="s">
        <v>208</v>
      </c>
      <c r="AY95" s="19" t="s">
        <v>209</v>
      </c>
      <c r="AZ95" s="19">
        <v>0</v>
      </c>
      <c r="BA95" s="19">
        <v>60692.94</v>
      </c>
      <c r="BB95" s="19">
        <v>790</v>
      </c>
      <c r="BC95" s="66">
        <v>46210</v>
      </c>
      <c r="BD95" s="19" t="s">
        <v>65</v>
      </c>
      <c r="BE95" s="19" t="s">
        <v>210</v>
      </c>
      <c r="BF95" s="19" t="s">
        <v>210</v>
      </c>
      <c r="BG95" s="19">
        <v>9</v>
      </c>
      <c r="BH95" s="19">
        <v>5462.36</v>
      </c>
      <c r="BI95" s="19">
        <v>9</v>
      </c>
      <c r="BJ95" s="19">
        <v>5462.36</v>
      </c>
      <c r="BK95" s="19">
        <v>0</v>
      </c>
      <c r="BL95" s="19">
        <v>0</v>
      </c>
      <c r="BM95" s="19">
        <v>659196.13</v>
      </c>
      <c r="BN95" s="19">
        <v>652141068595</v>
      </c>
      <c r="BO95" s="66">
        <v>46210</v>
      </c>
      <c r="BP95" s="19">
        <v>0</v>
      </c>
    </row>
    <row r="96" spans="1:68">
      <c r="A96" s="65"/>
      <c r="B96" s="20" t="s">
        <v>2216</v>
      </c>
      <c r="C96" s="111">
        <v>46210</v>
      </c>
      <c r="D96" s="20" t="s">
        <v>3598</v>
      </c>
      <c r="E96" s="20" t="s">
        <v>20</v>
      </c>
      <c r="F96" s="20" t="s">
        <v>21</v>
      </c>
      <c r="H96" s="20" t="s">
        <v>3599</v>
      </c>
      <c r="I96" s="20">
        <v>1739</v>
      </c>
      <c r="J96" s="20">
        <v>1739</v>
      </c>
      <c r="K96" s="20" t="s">
        <v>11</v>
      </c>
      <c r="L96" s="20">
        <v>1739</v>
      </c>
      <c r="M96" s="20">
        <v>0</v>
      </c>
      <c r="N96" s="20">
        <v>1739</v>
      </c>
      <c r="O96" s="20" t="s">
        <v>2201</v>
      </c>
      <c r="P96" s="20" t="s">
        <v>87</v>
      </c>
      <c r="Q96" s="20" t="s">
        <v>87</v>
      </c>
      <c r="R96" s="111" t="s">
        <v>2871</v>
      </c>
      <c r="S96" s="111">
        <v>46210</v>
      </c>
      <c r="T96" s="20" t="s">
        <v>206</v>
      </c>
      <c r="U96" s="20" t="s">
        <v>207</v>
      </c>
      <c r="V96" s="20" t="s">
        <v>2870</v>
      </c>
      <c r="W96" s="20">
        <v>151.49</v>
      </c>
      <c r="X96" s="20">
        <v>151.49</v>
      </c>
      <c r="Y96" s="111" t="s">
        <v>2871</v>
      </c>
      <c r="Z96" s="111">
        <v>46210</v>
      </c>
      <c r="AB96" s="20" t="s">
        <v>2376</v>
      </c>
      <c r="AD96" s="20" t="s">
        <v>2376</v>
      </c>
      <c r="AE96" s="20" t="s">
        <v>2376</v>
      </c>
      <c r="AF96" s="20">
        <v>0</v>
      </c>
      <c r="AG96" s="20">
        <v>0</v>
      </c>
      <c r="AH96" s="20">
        <v>0</v>
      </c>
      <c r="AI96" s="20">
        <v>0</v>
      </c>
      <c r="AJ96" s="20">
        <v>0</v>
      </c>
      <c r="AK96" s="111" t="s">
        <v>609</v>
      </c>
      <c r="AL96" s="20">
        <v>0</v>
      </c>
      <c r="AM96" s="20">
        <v>0</v>
      </c>
      <c r="AN96" s="20">
        <v>0</v>
      </c>
      <c r="AO96" s="20">
        <v>0</v>
      </c>
      <c r="AP96" s="20">
        <v>0</v>
      </c>
      <c r="AR96" s="20">
        <v>0</v>
      </c>
      <c r="AS96" s="20">
        <v>0</v>
      </c>
      <c r="AT96" s="20">
        <v>659196.13</v>
      </c>
      <c r="AU96" s="20" t="s">
        <v>13</v>
      </c>
      <c r="AV96" s="20" t="s">
        <v>62</v>
      </c>
      <c r="AW96" s="111" t="s">
        <v>76</v>
      </c>
      <c r="AX96" s="20" t="s">
        <v>208</v>
      </c>
      <c r="AY96" s="19" t="s">
        <v>209</v>
      </c>
      <c r="AZ96" s="19">
        <v>0</v>
      </c>
      <c r="BA96" s="19">
        <v>263441.11</v>
      </c>
      <c r="BB96" s="19">
        <v>790</v>
      </c>
      <c r="BC96" s="66">
        <v>46210</v>
      </c>
      <c r="BD96" s="19" t="s">
        <v>65</v>
      </c>
      <c r="BE96" s="19" t="s">
        <v>210</v>
      </c>
      <c r="BF96" s="19" t="s">
        <v>210</v>
      </c>
      <c r="BG96" s="19">
        <v>9</v>
      </c>
      <c r="BH96" s="19">
        <v>23709.7</v>
      </c>
      <c r="BI96" s="19">
        <v>9</v>
      </c>
      <c r="BJ96" s="19">
        <v>23709.7</v>
      </c>
      <c r="BK96" s="19">
        <v>0</v>
      </c>
      <c r="BL96" s="19">
        <v>0</v>
      </c>
      <c r="BM96" s="19">
        <v>0</v>
      </c>
      <c r="BN96" s="19">
        <v>652141068595</v>
      </c>
      <c r="BO96" s="66">
        <v>46210</v>
      </c>
      <c r="BP96" s="19">
        <v>0</v>
      </c>
    </row>
    <row r="97" spans="1:68">
      <c r="A97" s="65"/>
      <c r="B97" s="20" t="s">
        <v>2216</v>
      </c>
      <c r="C97" s="111">
        <v>46210</v>
      </c>
      <c r="D97" s="20" t="s">
        <v>3598</v>
      </c>
      <c r="E97" s="20" t="s">
        <v>160</v>
      </c>
      <c r="F97" s="20" t="s">
        <v>17</v>
      </c>
      <c r="H97" s="20" t="s">
        <v>3599</v>
      </c>
      <c r="I97" s="20">
        <v>1283</v>
      </c>
      <c r="J97" s="20">
        <v>1283</v>
      </c>
      <c r="K97" s="20" t="s">
        <v>11</v>
      </c>
      <c r="L97" s="20">
        <v>1283</v>
      </c>
      <c r="M97" s="20">
        <v>0</v>
      </c>
      <c r="N97" s="20">
        <v>1283</v>
      </c>
      <c r="O97" s="20" t="s">
        <v>2201</v>
      </c>
      <c r="P97" s="20" t="s">
        <v>87</v>
      </c>
      <c r="Q97" s="20" t="s">
        <v>87</v>
      </c>
      <c r="R97" s="111" t="s">
        <v>2871</v>
      </c>
      <c r="S97" s="111">
        <v>46210</v>
      </c>
      <c r="T97" s="20" t="s">
        <v>206</v>
      </c>
      <c r="U97" s="20" t="s">
        <v>207</v>
      </c>
      <c r="V97" s="20" t="s">
        <v>2870</v>
      </c>
      <c r="W97" s="20">
        <v>182.78</v>
      </c>
      <c r="X97" s="20">
        <v>182.78</v>
      </c>
      <c r="Y97" s="111" t="s">
        <v>2871</v>
      </c>
      <c r="Z97" s="111">
        <v>46210</v>
      </c>
      <c r="AB97" s="20" t="s">
        <v>2376</v>
      </c>
      <c r="AD97" s="20" t="s">
        <v>2376</v>
      </c>
      <c r="AE97" s="20" t="s">
        <v>2376</v>
      </c>
      <c r="AF97" s="20">
        <v>0</v>
      </c>
      <c r="AG97" s="20">
        <v>0</v>
      </c>
      <c r="AH97" s="20">
        <v>0</v>
      </c>
      <c r="AI97" s="20">
        <v>0</v>
      </c>
      <c r="AJ97" s="20">
        <v>0</v>
      </c>
      <c r="AK97" s="20" t="s">
        <v>609</v>
      </c>
      <c r="AL97" s="20">
        <v>0</v>
      </c>
      <c r="AM97" s="20">
        <v>0</v>
      </c>
      <c r="AN97" s="20">
        <v>0</v>
      </c>
      <c r="AO97" s="20">
        <v>0</v>
      </c>
      <c r="AP97" s="20">
        <v>0</v>
      </c>
      <c r="AR97" s="20">
        <v>0</v>
      </c>
      <c r="AS97" s="20">
        <v>0</v>
      </c>
      <c r="AT97" s="20">
        <v>659196.13</v>
      </c>
      <c r="AU97" s="20" t="s">
        <v>13</v>
      </c>
      <c r="AV97" s="20" t="s">
        <v>80</v>
      </c>
      <c r="AW97" s="111" t="s">
        <v>81</v>
      </c>
      <c r="AX97" s="20" t="s">
        <v>208</v>
      </c>
      <c r="AY97" s="19" t="s">
        <v>209</v>
      </c>
      <c r="AZ97" s="19">
        <v>0</v>
      </c>
      <c r="BA97" s="19">
        <v>234506.74</v>
      </c>
      <c r="BB97" s="19">
        <v>790</v>
      </c>
      <c r="BC97" s="66">
        <v>46210</v>
      </c>
      <c r="BD97" s="19" t="s">
        <v>65</v>
      </c>
      <c r="BE97" s="19" t="s">
        <v>210</v>
      </c>
      <c r="BF97" s="19" t="s">
        <v>210</v>
      </c>
      <c r="BG97" s="19">
        <v>9</v>
      </c>
      <c r="BH97" s="19">
        <v>21105.61</v>
      </c>
      <c r="BI97" s="19">
        <v>9</v>
      </c>
      <c r="BJ97" s="19">
        <v>21105.61</v>
      </c>
      <c r="BK97" s="19">
        <v>0</v>
      </c>
      <c r="BL97" s="19">
        <v>0</v>
      </c>
      <c r="BM97" s="19">
        <v>0</v>
      </c>
      <c r="BN97" s="19">
        <v>652141068595</v>
      </c>
      <c r="BO97" s="66">
        <v>46210</v>
      </c>
      <c r="BP97" s="19">
        <v>0</v>
      </c>
    </row>
    <row r="98" spans="1:68">
      <c r="A98" s="65"/>
      <c r="B98" s="20" t="s">
        <v>2216</v>
      </c>
      <c r="C98" s="111">
        <v>46241</v>
      </c>
      <c r="D98" s="20" t="s">
        <v>3600</v>
      </c>
      <c r="E98" s="20" t="s">
        <v>18</v>
      </c>
      <c r="F98" s="20" t="s">
        <v>19</v>
      </c>
      <c r="H98" s="20" t="s">
        <v>3601</v>
      </c>
      <c r="I98" s="20">
        <v>8789.9</v>
      </c>
      <c r="J98" s="20">
        <v>8789.9</v>
      </c>
      <c r="K98" s="20" t="s">
        <v>11</v>
      </c>
      <c r="L98" s="20">
        <v>8789.9</v>
      </c>
      <c r="M98" s="20">
        <v>0</v>
      </c>
      <c r="N98" s="20">
        <v>8789.9</v>
      </c>
      <c r="O98" s="20" t="s">
        <v>3602</v>
      </c>
      <c r="P98" s="20" t="s">
        <v>89</v>
      </c>
      <c r="Q98" s="20" t="s">
        <v>89</v>
      </c>
      <c r="R98" s="20" t="s">
        <v>2893</v>
      </c>
      <c r="S98" s="111">
        <v>46210</v>
      </c>
      <c r="T98" s="20" t="s">
        <v>206</v>
      </c>
      <c r="U98" s="20" t="s">
        <v>207</v>
      </c>
      <c r="V98" s="20" t="s">
        <v>2892</v>
      </c>
      <c r="W98" s="20">
        <v>111.6</v>
      </c>
      <c r="X98" s="20">
        <v>111.6</v>
      </c>
      <c r="Y98" s="20" t="s">
        <v>2893</v>
      </c>
      <c r="Z98" s="111">
        <v>46210</v>
      </c>
      <c r="AB98" s="20" t="s">
        <v>2376</v>
      </c>
      <c r="AD98" s="20" t="s">
        <v>2376</v>
      </c>
      <c r="AE98" s="20" t="s">
        <v>2376</v>
      </c>
      <c r="AF98" s="20">
        <v>0</v>
      </c>
      <c r="AG98" s="20">
        <v>0</v>
      </c>
      <c r="AH98" s="20">
        <v>0</v>
      </c>
      <c r="AI98" s="20">
        <v>0</v>
      </c>
      <c r="AJ98" s="20">
        <v>0</v>
      </c>
      <c r="AK98" s="20" t="s">
        <v>609</v>
      </c>
      <c r="AL98" s="20">
        <v>0</v>
      </c>
      <c r="AM98" s="20">
        <v>0</v>
      </c>
      <c r="AN98" s="20">
        <v>0</v>
      </c>
      <c r="AO98" s="20">
        <v>0</v>
      </c>
      <c r="AP98" s="20">
        <v>0</v>
      </c>
      <c r="AR98" s="20">
        <v>0</v>
      </c>
      <c r="AS98" s="20">
        <v>0</v>
      </c>
      <c r="AT98" s="20">
        <v>1157524.3600000001</v>
      </c>
      <c r="AU98" s="20" t="s">
        <v>13</v>
      </c>
      <c r="AV98" s="20" t="s">
        <v>62</v>
      </c>
      <c r="AW98" s="111" t="s">
        <v>63</v>
      </c>
      <c r="AX98" s="20" t="s">
        <v>208</v>
      </c>
      <c r="AY98" s="19" t="s">
        <v>209</v>
      </c>
      <c r="AZ98" s="19">
        <v>0</v>
      </c>
      <c r="BA98" s="19">
        <v>980952.84</v>
      </c>
      <c r="BB98" s="19">
        <v>796</v>
      </c>
      <c r="BC98" s="66">
        <v>46241</v>
      </c>
      <c r="BD98" s="19" t="s">
        <v>65</v>
      </c>
      <c r="BE98" s="19" t="s">
        <v>210</v>
      </c>
      <c r="BF98" s="19" t="s">
        <v>210</v>
      </c>
      <c r="BG98" s="19">
        <v>9</v>
      </c>
      <c r="BH98" s="19">
        <v>88285.759999999995</v>
      </c>
      <c r="BI98" s="19">
        <v>9</v>
      </c>
      <c r="BJ98" s="19">
        <v>88285.759999999995</v>
      </c>
      <c r="BK98" s="19">
        <v>0</v>
      </c>
      <c r="BL98" s="19">
        <v>0</v>
      </c>
      <c r="BM98" s="19">
        <v>1157524.3600000001</v>
      </c>
      <c r="BN98" s="19">
        <v>652140826767</v>
      </c>
      <c r="BO98" s="66">
        <v>46211</v>
      </c>
      <c r="BP98" s="19">
        <v>0</v>
      </c>
    </row>
    <row r="99" spans="1:68">
      <c r="A99" s="65"/>
      <c r="B99" s="20" t="s">
        <v>2216</v>
      </c>
      <c r="C99" s="111">
        <v>46241</v>
      </c>
      <c r="D99" s="20" t="s">
        <v>3603</v>
      </c>
      <c r="E99" s="20" t="s">
        <v>160</v>
      </c>
      <c r="F99" s="20" t="s">
        <v>17</v>
      </c>
      <c r="H99" s="20" t="s">
        <v>3604</v>
      </c>
      <c r="I99" s="20">
        <v>1155</v>
      </c>
      <c r="J99" s="20">
        <v>1155</v>
      </c>
      <c r="K99" s="20" t="s">
        <v>11</v>
      </c>
      <c r="L99" s="20">
        <v>1155</v>
      </c>
      <c r="M99" s="20">
        <v>0</v>
      </c>
      <c r="N99" s="20">
        <v>1155</v>
      </c>
      <c r="O99" s="20" t="s">
        <v>2204</v>
      </c>
      <c r="P99" s="20" t="s">
        <v>87</v>
      </c>
      <c r="Q99" s="20" t="s">
        <v>87</v>
      </c>
      <c r="R99" s="20" t="s">
        <v>2881</v>
      </c>
      <c r="S99" s="111">
        <v>46241</v>
      </c>
      <c r="T99" s="20" t="s">
        <v>206</v>
      </c>
      <c r="U99" s="20" t="s">
        <v>207</v>
      </c>
      <c r="V99" s="20" t="s">
        <v>2880</v>
      </c>
      <c r="W99" s="20">
        <v>182.78</v>
      </c>
      <c r="X99" s="20">
        <v>182.78</v>
      </c>
      <c r="Y99" s="20" t="s">
        <v>2881</v>
      </c>
      <c r="Z99" s="111">
        <v>46241</v>
      </c>
      <c r="AB99" s="20" t="s">
        <v>2376</v>
      </c>
      <c r="AD99" s="20" t="s">
        <v>2376</v>
      </c>
      <c r="AE99" s="20" t="s">
        <v>2376</v>
      </c>
      <c r="AF99" s="20">
        <v>0</v>
      </c>
      <c r="AG99" s="20">
        <v>0</v>
      </c>
      <c r="AH99" s="20">
        <v>0</v>
      </c>
      <c r="AI99" s="20">
        <v>0</v>
      </c>
      <c r="AJ99" s="20">
        <v>0</v>
      </c>
      <c r="AK99" s="20" t="s">
        <v>609</v>
      </c>
      <c r="AL99" s="20">
        <v>0</v>
      </c>
      <c r="AM99" s="20">
        <v>0</v>
      </c>
      <c r="AN99" s="20">
        <v>0</v>
      </c>
      <c r="AO99" s="20">
        <v>0</v>
      </c>
      <c r="AP99" s="20">
        <v>0</v>
      </c>
      <c r="AR99" s="20">
        <v>0</v>
      </c>
      <c r="AS99" s="20">
        <v>0</v>
      </c>
      <c r="AT99" s="20">
        <v>249110.86</v>
      </c>
      <c r="AU99" s="20" t="s">
        <v>13</v>
      </c>
      <c r="AV99" s="20" t="s">
        <v>80</v>
      </c>
      <c r="AW99" s="111" t="s">
        <v>81</v>
      </c>
      <c r="AX99" s="20" t="s">
        <v>208</v>
      </c>
      <c r="AY99" s="19" t="s">
        <v>209</v>
      </c>
      <c r="AZ99" s="19">
        <v>0</v>
      </c>
      <c r="BA99" s="19">
        <v>211110.9</v>
      </c>
      <c r="BB99" s="19">
        <v>805</v>
      </c>
      <c r="BC99" s="66">
        <v>46241</v>
      </c>
      <c r="BD99" s="19" t="s">
        <v>65</v>
      </c>
      <c r="BE99" s="19" t="s">
        <v>210</v>
      </c>
      <c r="BF99" s="19" t="s">
        <v>210</v>
      </c>
      <c r="BG99" s="19">
        <v>9</v>
      </c>
      <c r="BH99" s="19">
        <v>18999.98</v>
      </c>
      <c r="BI99" s="19">
        <v>9</v>
      </c>
      <c r="BJ99" s="19">
        <v>18999.98</v>
      </c>
      <c r="BK99" s="19">
        <v>0</v>
      </c>
      <c r="BL99" s="19">
        <v>0</v>
      </c>
      <c r="BM99" s="19">
        <v>249110.86</v>
      </c>
      <c r="BN99" s="19">
        <v>662141822387</v>
      </c>
      <c r="BO99" s="66">
        <v>46211</v>
      </c>
      <c r="BP99" s="19">
        <v>0</v>
      </c>
    </row>
    <row r="100" spans="1:68">
      <c r="A100" s="65"/>
      <c r="B100" s="20" t="s">
        <v>2216</v>
      </c>
      <c r="C100" s="111">
        <v>46241</v>
      </c>
      <c r="D100" s="20" t="s">
        <v>3605</v>
      </c>
      <c r="E100" s="20" t="s">
        <v>2519</v>
      </c>
      <c r="F100" s="20" t="s">
        <v>2117</v>
      </c>
      <c r="H100" s="20" t="s">
        <v>3606</v>
      </c>
      <c r="I100" s="20">
        <v>295</v>
      </c>
      <c r="J100" s="20">
        <v>295</v>
      </c>
      <c r="K100" s="20" t="s">
        <v>11</v>
      </c>
      <c r="L100" s="20">
        <v>295</v>
      </c>
      <c r="M100" s="20">
        <v>0</v>
      </c>
      <c r="N100" s="20">
        <v>295</v>
      </c>
      <c r="O100" s="20" t="s">
        <v>2204</v>
      </c>
      <c r="P100" s="20" t="s">
        <v>94</v>
      </c>
      <c r="Q100" s="20" t="s">
        <v>94</v>
      </c>
      <c r="R100" s="20" t="s">
        <v>2897</v>
      </c>
      <c r="S100" s="111">
        <v>46241</v>
      </c>
      <c r="T100" s="20" t="s">
        <v>206</v>
      </c>
      <c r="U100" s="20" t="s">
        <v>207</v>
      </c>
      <c r="V100" s="20" t="s">
        <v>2896</v>
      </c>
      <c r="W100" s="20">
        <v>154.74</v>
      </c>
      <c r="X100" s="20">
        <v>154.74</v>
      </c>
      <c r="Y100" s="20" t="s">
        <v>2897</v>
      </c>
      <c r="Z100" s="111">
        <v>46241</v>
      </c>
      <c r="AB100" s="20" t="s">
        <v>2376</v>
      </c>
      <c r="AD100" s="20" t="s">
        <v>2376</v>
      </c>
      <c r="AE100" s="20" t="s">
        <v>2376</v>
      </c>
      <c r="AF100" s="20">
        <v>0</v>
      </c>
      <c r="AG100" s="20">
        <v>0</v>
      </c>
      <c r="AH100" s="20">
        <v>0</v>
      </c>
      <c r="AI100" s="20">
        <v>0</v>
      </c>
      <c r="AJ100" s="20">
        <v>0</v>
      </c>
      <c r="AK100" s="20" t="s">
        <v>609</v>
      </c>
      <c r="AL100" s="20">
        <v>0</v>
      </c>
      <c r="AM100" s="20">
        <v>0</v>
      </c>
      <c r="AN100" s="20">
        <v>0</v>
      </c>
      <c r="AO100" s="20">
        <v>0</v>
      </c>
      <c r="AP100" s="20">
        <v>0</v>
      </c>
      <c r="AR100" s="20">
        <v>0</v>
      </c>
      <c r="AS100" s="20">
        <v>0</v>
      </c>
      <c r="AT100" s="20">
        <v>156401.62</v>
      </c>
      <c r="AU100" s="20" t="s">
        <v>15</v>
      </c>
      <c r="AV100" s="20" t="s">
        <v>2117</v>
      </c>
      <c r="AW100" s="111" t="s">
        <v>2117</v>
      </c>
      <c r="AX100" s="20" t="s">
        <v>208</v>
      </c>
      <c r="AY100" s="19" t="s">
        <v>209</v>
      </c>
      <c r="AZ100" s="19">
        <v>0</v>
      </c>
      <c r="BA100" s="19">
        <v>45648.3</v>
      </c>
      <c r="BB100" s="19">
        <v>804</v>
      </c>
      <c r="BC100" s="66">
        <v>46241</v>
      </c>
      <c r="BD100" s="19" t="s">
        <v>74</v>
      </c>
      <c r="BE100" s="19" t="s">
        <v>210</v>
      </c>
      <c r="BF100" s="19" t="s">
        <v>210</v>
      </c>
      <c r="BG100" s="19">
        <v>9</v>
      </c>
      <c r="BH100" s="19">
        <v>4108.3500000000004</v>
      </c>
      <c r="BI100" s="19">
        <v>9</v>
      </c>
      <c r="BJ100" s="19">
        <v>4108.3500000000004</v>
      </c>
      <c r="BK100" s="19">
        <v>0</v>
      </c>
      <c r="BL100" s="19">
        <v>0</v>
      </c>
      <c r="BM100" s="19">
        <v>156401.62</v>
      </c>
      <c r="BN100" s="19">
        <v>682141709859</v>
      </c>
      <c r="BO100" s="66">
        <v>46211</v>
      </c>
      <c r="BP100" s="19">
        <v>0</v>
      </c>
    </row>
    <row r="101" spans="1:68">
      <c r="A101" s="65"/>
      <c r="B101" s="20" t="s">
        <v>2216</v>
      </c>
      <c r="C101" s="111">
        <v>46241</v>
      </c>
      <c r="D101" s="20" t="s">
        <v>3605</v>
      </c>
      <c r="E101" s="20" t="s">
        <v>20</v>
      </c>
      <c r="F101" s="20" t="s">
        <v>21</v>
      </c>
      <c r="H101" s="20" t="s">
        <v>3606</v>
      </c>
      <c r="I101" s="20">
        <v>215</v>
      </c>
      <c r="J101" s="20">
        <v>215</v>
      </c>
      <c r="K101" s="20" t="s">
        <v>11</v>
      </c>
      <c r="L101" s="20">
        <v>215</v>
      </c>
      <c r="M101" s="20">
        <v>0</v>
      </c>
      <c r="N101" s="20">
        <v>215</v>
      </c>
      <c r="O101" s="20" t="s">
        <v>2204</v>
      </c>
      <c r="P101" s="20" t="s">
        <v>94</v>
      </c>
      <c r="Q101" s="20" t="s">
        <v>94</v>
      </c>
      <c r="R101" s="20" t="s">
        <v>2897</v>
      </c>
      <c r="S101" s="111">
        <v>46241</v>
      </c>
      <c r="T101" s="20" t="s">
        <v>206</v>
      </c>
      <c r="U101" s="20" t="s">
        <v>207</v>
      </c>
      <c r="V101" s="20" t="s">
        <v>2896</v>
      </c>
      <c r="W101" s="20">
        <v>158.74</v>
      </c>
      <c r="X101" s="20">
        <v>158.74</v>
      </c>
      <c r="Y101" s="20" t="s">
        <v>2897</v>
      </c>
      <c r="Z101" s="111">
        <v>46241</v>
      </c>
      <c r="AB101" s="20" t="s">
        <v>2376</v>
      </c>
      <c r="AD101" s="20" t="s">
        <v>2376</v>
      </c>
      <c r="AE101" s="20" t="s">
        <v>2376</v>
      </c>
      <c r="AF101" s="20">
        <v>0</v>
      </c>
      <c r="AG101" s="20">
        <v>0</v>
      </c>
      <c r="AH101" s="20">
        <v>0</v>
      </c>
      <c r="AI101" s="20">
        <v>0</v>
      </c>
      <c r="AJ101" s="20">
        <v>0</v>
      </c>
      <c r="AK101" s="20" t="s">
        <v>609</v>
      </c>
      <c r="AL101" s="20">
        <v>0</v>
      </c>
      <c r="AM101" s="20">
        <v>0</v>
      </c>
      <c r="AN101" s="20">
        <v>0</v>
      </c>
      <c r="AO101" s="20">
        <v>0</v>
      </c>
      <c r="AP101" s="20">
        <v>0</v>
      </c>
      <c r="AR101" s="20">
        <v>0</v>
      </c>
      <c r="AS101" s="20">
        <v>0</v>
      </c>
      <c r="AT101" s="20">
        <v>156401.62</v>
      </c>
      <c r="AU101" s="20" t="s">
        <v>13</v>
      </c>
      <c r="AV101" s="20" t="s">
        <v>62</v>
      </c>
      <c r="AW101" s="111" t="s">
        <v>76</v>
      </c>
      <c r="AX101" s="20" t="s">
        <v>208</v>
      </c>
      <c r="AY101" s="19" t="s">
        <v>209</v>
      </c>
      <c r="AZ101" s="19">
        <v>0</v>
      </c>
      <c r="BA101" s="19">
        <v>34129.1</v>
      </c>
      <c r="BB101" s="19">
        <v>804</v>
      </c>
      <c r="BC101" s="66">
        <v>46241</v>
      </c>
      <c r="BD101" s="19" t="s">
        <v>74</v>
      </c>
      <c r="BE101" s="19" t="s">
        <v>210</v>
      </c>
      <c r="BF101" s="19" t="s">
        <v>210</v>
      </c>
      <c r="BG101" s="19">
        <v>9</v>
      </c>
      <c r="BH101" s="19">
        <v>3071.62</v>
      </c>
      <c r="BI101" s="19">
        <v>9</v>
      </c>
      <c r="BJ101" s="19">
        <v>3071.62</v>
      </c>
      <c r="BK101" s="19">
        <v>0</v>
      </c>
      <c r="BL101" s="19">
        <v>0</v>
      </c>
      <c r="BM101" s="19">
        <v>0</v>
      </c>
      <c r="BN101" s="19">
        <v>682141709859</v>
      </c>
      <c r="BO101" s="66">
        <v>46211</v>
      </c>
      <c r="BP101" s="19">
        <v>0</v>
      </c>
    </row>
    <row r="102" spans="1:68">
      <c r="A102" s="65"/>
      <c r="B102" s="20" t="s">
        <v>2216</v>
      </c>
      <c r="C102" s="111">
        <v>46241</v>
      </c>
      <c r="D102" s="20" t="s">
        <v>3605</v>
      </c>
      <c r="E102" s="20" t="s">
        <v>18</v>
      </c>
      <c r="F102" s="20" t="s">
        <v>19</v>
      </c>
      <c r="H102" s="20" t="s">
        <v>3606</v>
      </c>
      <c r="I102" s="20">
        <v>341</v>
      </c>
      <c r="J102" s="20">
        <v>341</v>
      </c>
      <c r="K102" s="20" t="s">
        <v>11</v>
      </c>
      <c r="L102" s="20">
        <v>341</v>
      </c>
      <c r="M102" s="20">
        <v>0</v>
      </c>
      <c r="N102" s="20">
        <v>341</v>
      </c>
      <c r="O102" s="20" t="s">
        <v>2204</v>
      </c>
      <c r="P102" s="20" t="s">
        <v>94</v>
      </c>
      <c r="Q102" s="20" t="s">
        <v>94</v>
      </c>
      <c r="R102" s="20" t="s">
        <v>2897</v>
      </c>
      <c r="S102" s="111">
        <v>46241</v>
      </c>
      <c r="T102" s="20" t="s">
        <v>206</v>
      </c>
      <c r="U102" s="20" t="s">
        <v>207</v>
      </c>
      <c r="V102" s="20" t="s">
        <v>2896</v>
      </c>
      <c r="W102" s="20">
        <v>154.74</v>
      </c>
      <c r="X102" s="20">
        <v>154.74</v>
      </c>
      <c r="Y102" s="20" t="s">
        <v>2897</v>
      </c>
      <c r="Z102" s="111">
        <v>46241</v>
      </c>
      <c r="AB102" s="20" t="s">
        <v>2376</v>
      </c>
      <c r="AD102" s="20" t="s">
        <v>2376</v>
      </c>
      <c r="AE102" s="20" t="s">
        <v>2376</v>
      </c>
      <c r="AF102" s="20">
        <v>0</v>
      </c>
      <c r="AG102" s="20">
        <v>0</v>
      </c>
      <c r="AH102" s="20">
        <v>0</v>
      </c>
      <c r="AI102" s="20">
        <v>0</v>
      </c>
      <c r="AJ102" s="20">
        <v>0</v>
      </c>
      <c r="AK102" s="20" t="s">
        <v>609</v>
      </c>
      <c r="AL102" s="20">
        <v>0</v>
      </c>
      <c r="AM102" s="20">
        <v>0</v>
      </c>
      <c r="AN102" s="20">
        <v>0</v>
      </c>
      <c r="AO102" s="20">
        <v>0</v>
      </c>
      <c r="AP102" s="20">
        <v>0</v>
      </c>
      <c r="AR102" s="20">
        <v>0</v>
      </c>
      <c r="AS102" s="20">
        <v>0</v>
      </c>
      <c r="AT102" s="20">
        <v>156401.62</v>
      </c>
      <c r="AU102" s="20" t="s">
        <v>13</v>
      </c>
      <c r="AV102" s="20" t="s">
        <v>62</v>
      </c>
      <c r="AW102" s="111" t="s">
        <v>63</v>
      </c>
      <c r="AX102" s="20" t="s">
        <v>208</v>
      </c>
      <c r="AY102" s="19" t="s">
        <v>209</v>
      </c>
      <c r="AZ102" s="19">
        <v>0</v>
      </c>
      <c r="BA102" s="19">
        <v>52766.34</v>
      </c>
      <c r="BB102" s="19">
        <v>804</v>
      </c>
      <c r="BC102" s="66">
        <v>46241</v>
      </c>
      <c r="BD102" s="19" t="s">
        <v>74</v>
      </c>
      <c r="BE102" s="19" t="s">
        <v>210</v>
      </c>
      <c r="BF102" s="19" t="s">
        <v>210</v>
      </c>
      <c r="BG102" s="19">
        <v>9</v>
      </c>
      <c r="BH102" s="19">
        <v>4748.97</v>
      </c>
      <c r="BI102" s="19">
        <v>9</v>
      </c>
      <c r="BJ102" s="19">
        <v>4748.97</v>
      </c>
      <c r="BK102" s="19">
        <v>0</v>
      </c>
      <c r="BL102" s="19">
        <v>0</v>
      </c>
      <c r="BM102" s="19">
        <v>0</v>
      </c>
      <c r="BN102" s="19">
        <v>682141709859</v>
      </c>
      <c r="BO102" s="66">
        <v>46211</v>
      </c>
      <c r="BP102" s="19">
        <v>0</v>
      </c>
    </row>
    <row r="103" spans="1:68">
      <c r="A103" s="65"/>
      <c r="B103" s="20" t="s">
        <v>2216</v>
      </c>
      <c r="C103" s="111">
        <v>46241</v>
      </c>
      <c r="D103" s="20" t="s">
        <v>3607</v>
      </c>
      <c r="E103" s="20" t="s">
        <v>160</v>
      </c>
      <c r="F103" s="20" t="s">
        <v>17</v>
      </c>
      <c r="H103" s="20" t="s">
        <v>3608</v>
      </c>
      <c r="I103" s="20">
        <v>2566</v>
      </c>
      <c r="J103" s="20">
        <v>2566</v>
      </c>
      <c r="K103" s="20" t="s">
        <v>11</v>
      </c>
      <c r="L103" s="20">
        <v>2566</v>
      </c>
      <c r="M103" s="20">
        <v>0</v>
      </c>
      <c r="N103" s="20">
        <v>2566</v>
      </c>
      <c r="O103" s="20" t="s">
        <v>2203</v>
      </c>
      <c r="P103" s="20" t="s">
        <v>87</v>
      </c>
      <c r="Q103" s="20" t="s">
        <v>87</v>
      </c>
      <c r="R103" s="20" t="s">
        <v>2883</v>
      </c>
      <c r="S103" s="111">
        <v>46241</v>
      </c>
      <c r="T103" s="20" t="s">
        <v>206</v>
      </c>
      <c r="U103" s="20" t="s">
        <v>207</v>
      </c>
      <c r="V103" s="20" t="s">
        <v>2882</v>
      </c>
      <c r="W103" s="20">
        <v>182.78</v>
      </c>
      <c r="X103" s="20">
        <v>182.78</v>
      </c>
      <c r="Y103" s="20" t="s">
        <v>2883</v>
      </c>
      <c r="Z103" s="111">
        <v>46241</v>
      </c>
      <c r="AB103" s="20" t="s">
        <v>2376</v>
      </c>
      <c r="AD103" s="20" t="s">
        <v>2376</v>
      </c>
      <c r="AE103" s="20" t="s">
        <v>2376</v>
      </c>
      <c r="AF103" s="20">
        <v>0</v>
      </c>
      <c r="AG103" s="20">
        <v>0</v>
      </c>
      <c r="AH103" s="20">
        <v>0</v>
      </c>
      <c r="AI103" s="20">
        <v>0</v>
      </c>
      <c r="AJ103" s="20">
        <v>0</v>
      </c>
      <c r="AK103" s="20" t="s">
        <v>609</v>
      </c>
      <c r="AL103" s="20">
        <v>0</v>
      </c>
      <c r="AM103" s="20">
        <v>0</v>
      </c>
      <c r="AN103" s="20">
        <v>0</v>
      </c>
      <c r="AO103" s="20">
        <v>0</v>
      </c>
      <c r="AP103" s="20">
        <v>0</v>
      </c>
      <c r="AR103" s="20">
        <v>0</v>
      </c>
      <c r="AS103" s="20">
        <v>0</v>
      </c>
      <c r="AT103" s="20">
        <v>553435.9</v>
      </c>
      <c r="AU103" s="20" t="s">
        <v>13</v>
      </c>
      <c r="AV103" s="20" t="s">
        <v>80</v>
      </c>
      <c r="AW103" s="111" t="s">
        <v>81</v>
      </c>
      <c r="AX103" s="20" t="s">
        <v>208</v>
      </c>
      <c r="AY103" s="19" t="s">
        <v>209</v>
      </c>
      <c r="AZ103" s="19">
        <v>0</v>
      </c>
      <c r="BA103" s="19">
        <v>469013.48</v>
      </c>
      <c r="BB103" s="19">
        <v>800</v>
      </c>
      <c r="BC103" s="66">
        <v>46241</v>
      </c>
      <c r="BD103" s="19" t="s">
        <v>65</v>
      </c>
      <c r="BE103" s="19" t="s">
        <v>210</v>
      </c>
      <c r="BF103" s="19" t="s">
        <v>210</v>
      </c>
      <c r="BG103" s="19">
        <v>9</v>
      </c>
      <c r="BH103" s="19">
        <v>42211.21</v>
      </c>
      <c r="BI103" s="19">
        <v>9</v>
      </c>
      <c r="BJ103" s="19">
        <v>42211.21</v>
      </c>
      <c r="BK103" s="19">
        <v>0</v>
      </c>
      <c r="BL103" s="19">
        <v>0</v>
      </c>
      <c r="BM103" s="19">
        <v>553435.9</v>
      </c>
      <c r="BN103" s="19">
        <v>662141612944</v>
      </c>
      <c r="BO103" s="66">
        <v>46211</v>
      </c>
      <c r="BP103" s="19">
        <v>0</v>
      </c>
    </row>
    <row r="104" spans="1:68">
      <c r="A104" s="65"/>
      <c r="B104" s="20" t="s">
        <v>2216</v>
      </c>
      <c r="C104" s="111">
        <v>46241</v>
      </c>
      <c r="D104" s="20" t="s">
        <v>3609</v>
      </c>
      <c r="E104" s="20" t="s">
        <v>160</v>
      </c>
      <c r="F104" s="20" t="s">
        <v>17</v>
      </c>
      <c r="H104" s="20" t="s">
        <v>3610</v>
      </c>
      <c r="I104" s="20">
        <v>745</v>
      </c>
      <c r="J104" s="20">
        <v>745</v>
      </c>
      <c r="K104" s="20" t="s">
        <v>11</v>
      </c>
      <c r="L104" s="20">
        <v>745</v>
      </c>
      <c r="M104" s="20">
        <v>0</v>
      </c>
      <c r="N104" s="20">
        <v>745</v>
      </c>
      <c r="O104" s="20" t="s">
        <v>2201</v>
      </c>
      <c r="P104" s="20" t="s">
        <v>87</v>
      </c>
      <c r="Q104" s="20" t="s">
        <v>87</v>
      </c>
      <c r="R104" s="20" t="s">
        <v>2885</v>
      </c>
      <c r="S104" s="111">
        <v>46241</v>
      </c>
      <c r="T104" s="20" t="s">
        <v>206</v>
      </c>
      <c r="U104" s="20" t="s">
        <v>207</v>
      </c>
      <c r="V104" s="20" t="s">
        <v>2884</v>
      </c>
      <c r="W104" s="20">
        <v>182.78</v>
      </c>
      <c r="X104" s="20">
        <v>182.78</v>
      </c>
      <c r="Y104" s="20" t="s">
        <v>2885</v>
      </c>
      <c r="Z104" s="111">
        <v>46241</v>
      </c>
      <c r="AB104" s="20" t="s">
        <v>2376</v>
      </c>
      <c r="AD104" s="20" t="s">
        <v>2376</v>
      </c>
      <c r="AE104" s="20" t="s">
        <v>2376</v>
      </c>
      <c r="AF104" s="20">
        <v>0</v>
      </c>
      <c r="AG104" s="20">
        <v>0</v>
      </c>
      <c r="AH104" s="20">
        <v>0</v>
      </c>
      <c r="AI104" s="20">
        <v>0</v>
      </c>
      <c r="AJ104" s="20">
        <v>0</v>
      </c>
      <c r="AK104" s="20" t="s">
        <v>609</v>
      </c>
      <c r="AL104" s="20">
        <v>0</v>
      </c>
      <c r="AM104" s="20">
        <v>0</v>
      </c>
      <c r="AN104" s="20">
        <v>0</v>
      </c>
      <c r="AO104" s="20">
        <v>0</v>
      </c>
      <c r="AP104" s="20">
        <v>0</v>
      </c>
      <c r="AR104" s="20">
        <v>0</v>
      </c>
      <c r="AS104" s="20">
        <v>0</v>
      </c>
      <c r="AT104" s="20">
        <v>160681.9</v>
      </c>
      <c r="AU104" s="20" t="s">
        <v>13</v>
      </c>
      <c r="AV104" s="20" t="s">
        <v>80</v>
      </c>
      <c r="AW104" s="111" t="s">
        <v>81</v>
      </c>
      <c r="AX104" s="20" t="s">
        <v>208</v>
      </c>
      <c r="AY104" s="19" t="s">
        <v>209</v>
      </c>
      <c r="AZ104" s="19">
        <v>0</v>
      </c>
      <c r="BA104" s="19">
        <v>136171.1</v>
      </c>
      <c r="BB104" s="19">
        <v>802</v>
      </c>
      <c r="BC104" s="66">
        <v>46241</v>
      </c>
      <c r="BD104" s="19" t="s">
        <v>65</v>
      </c>
      <c r="BE104" s="19" t="s">
        <v>210</v>
      </c>
      <c r="BF104" s="19" t="s">
        <v>210</v>
      </c>
      <c r="BG104" s="19">
        <v>9</v>
      </c>
      <c r="BH104" s="19">
        <v>12255.4</v>
      </c>
      <c r="BI104" s="19">
        <v>9</v>
      </c>
      <c r="BJ104" s="19">
        <v>12255.4</v>
      </c>
      <c r="BK104" s="19">
        <v>0</v>
      </c>
      <c r="BL104" s="19">
        <v>0</v>
      </c>
      <c r="BM104" s="19">
        <v>160681.9</v>
      </c>
      <c r="BN104" s="19">
        <v>682141642273</v>
      </c>
      <c r="BO104" s="66">
        <v>46211</v>
      </c>
      <c r="BP104" s="19">
        <v>0</v>
      </c>
    </row>
    <row r="105" spans="1:68">
      <c r="A105" s="65"/>
      <c r="B105" s="20" t="s">
        <v>2216</v>
      </c>
      <c r="C105" s="111">
        <v>46241</v>
      </c>
      <c r="D105" s="20" t="s">
        <v>3611</v>
      </c>
      <c r="E105" s="20" t="s">
        <v>18</v>
      </c>
      <c r="F105" s="20" t="s">
        <v>19</v>
      </c>
      <c r="H105" s="20" t="s">
        <v>3612</v>
      </c>
      <c r="I105" s="20">
        <v>2569</v>
      </c>
      <c r="J105" s="20">
        <v>2569</v>
      </c>
      <c r="K105" s="20" t="s">
        <v>11</v>
      </c>
      <c r="L105" s="20">
        <v>2569</v>
      </c>
      <c r="M105" s="20">
        <v>0</v>
      </c>
      <c r="N105" s="20">
        <v>2569</v>
      </c>
      <c r="O105" s="20" t="s">
        <v>2203</v>
      </c>
      <c r="P105" s="20" t="s">
        <v>87</v>
      </c>
      <c r="Q105" s="20" t="s">
        <v>87</v>
      </c>
      <c r="R105" s="20" t="s">
        <v>2887</v>
      </c>
      <c r="S105" s="111">
        <v>46241</v>
      </c>
      <c r="T105" s="20" t="s">
        <v>206</v>
      </c>
      <c r="U105" s="20" t="s">
        <v>207</v>
      </c>
      <c r="V105" s="20" t="s">
        <v>2886</v>
      </c>
      <c r="W105" s="20">
        <v>146.49</v>
      </c>
      <c r="X105" s="20">
        <v>146.49</v>
      </c>
      <c r="Y105" s="20" t="s">
        <v>2887</v>
      </c>
      <c r="Z105" s="111">
        <v>46241</v>
      </c>
      <c r="AB105" s="20" t="s">
        <v>2376</v>
      </c>
      <c r="AD105" s="20" t="s">
        <v>2376</v>
      </c>
      <c r="AE105" s="20" t="s">
        <v>2376</v>
      </c>
      <c r="AF105" s="20">
        <v>0</v>
      </c>
      <c r="AG105" s="20">
        <v>0</v>
      </c>
      <c r="AH105" s="20">
        <v>0</v>
      </c>
      <c r="AI105" s="20">
        <v>0</v>
      </c>
      <c r="AJ105" s="20">
        <v>0</v>
      </c>
      <c r="AK105" s="20" t="s">
        <v>609</v>
      </c>
      <c r="AL105" s="20">
        <v>0</v>
      </c>
      <c r="AM105" s="20">
        <v>0</v>
      </c>
      <c r="AN105" s="20">
        <v>0</v>
      </c>
      <c r="AO105" s="20">
        <v>0</v>
      </c>
      <c r="AP105" s="20">
        <v>0</v>
      </c>
      <c r="AR105" s="20">
        <v>0</v>
      </c>
      <c r="AS105" s="20">
        <v>0</v>
      </c>
      <c r="AT105" s="20">
        <v>1233280.19</v>
      </c>
      <c r="AU105" s="20" t="s">
        <v>13</v>
      </c>
      <c r="AV105" s="20" t="s">
        <v>62</v>
      </c>
      <c r="AW105" s="111" t="s">
        <v>63</v>
      </c>
      <c r="AX105" s="20" t="s">
        <v>208</v>
      </c>
      <c r="AY105" s="19" t="s">
        <v>209</v>
      </c>
      <c r="AZ105" s="19">
        <v>0</v>
      </c>
      <c r="BA105" s="19">
        <v>376332.81</v>
      </c>
      <c r="BB105" s="19">
        <v>397</v>
      </c>
      <c r="BC105" s="66">
        <v>46241</v>
      </c>
      <c r="BD105" s="19" t="s">
        <v>65</v>
      </c>
      <c r="BE105" s="19" t="s">
        <v>210</v>
      </c>
      <c r="BF105" s="19" t="s">
        <v>210</v>
      </c>
      <c r="BG105" s="19">
        <v>9</v>
      </c>
      <c r="BH105" s="19">
        <v>33869.949999999997</v>
      </c>
      <c r="BI105" s="19">
        <v>9</v>
      </c>
      <c r="BJ105" s="19">
        <v>33869.949999999997</v>
      </c>
      <c r="BK105" s="19">
        <v>0</v>
      </c>
      <c r="BL105" s="19">
        <v>0</v>
      </c>
      <c r="BM105" s="19">
        <v>1233280.19</v>
      </c>
      <c r="BN105" s="19">
        <v>672141162299</v>
      </c>
      <c r="BO105" s="66">
        <v>46210</v>
      </c>
      <c r="BP105" s="19">
        <v>0</v>
      </c>
    </row>
    <row r="106" spans="1:68">
      <c r="A106" s="65"/>
      <c r="B106" s="20" t="s">
        <v>2216</v>
      </c>
      <c r="C106" s="111">
        <v>46241</v>
      </c>
      <c r="D106" s="20" t="s">
        <v>3611</v>
      </c>
      <c r="E106" s="20" t="s">
        <v>18</v>
      </c>
      <c r="F106" s="20" t="s">
        <v>19</v>
      </c>
      <c r="H106" s="20" t="s">
        <v>3612</v>
      </c>
      <c r="I106" s="20">
        <v>907</v>
      </c>
      <c r="J106" s="20">
        <v>907</v>
      </c>
      <c r="K106" s="20" t="s">
        <v>11</v>
      </c>
      <c r="L106" s="20">
        <v>907</v>
      </c>
      <c r="M106" s="20">
        <v>0</v>
      </c>
      <c r="N106" s="20">
        <v>907</v>
      </c>
      <c r="O106" s="20" t="s">
        <v>2203</v>
      </c>
      <c r="P106" s="20" t="s">
        <v>87</v>
      </c>
      <c r="Q106" s="20" t="s">
        <v>87</v>
      </c>
      <c r="R106" s="20" t="s">
        <v>2887</v>
      </c>
      <c r="S106" s="111">
        <v>46241</v>
      </c>
      <c r="T106" s="20" t="s">
        <v>206</v>
      </c>
      <c r="U106" s="20" t="s">
        <v>207</v>
      </c>
      <c r="V106" s="20" t="s">
        <v>2886</v>
      </c>
      <c r="W106" s="20">
        <v>147.49</v>
      </c>
      <c r="X106" s="20">
        <v>147.49</v>
      </c>
      <c r="Y106" s="20" t="s">
        <v>2887</v>
      </c>
      <c r="Z106" s="111">
        <v>46241</v>
      </c>
      <c r="AB106" s="20" t="s">
        <v>2376</v>
      </c>
      <c r="AD106" s="20" t="s">
        <v>2376</v>
      </c>
      <c r="AE106" s="20" t="s">
        <v>2376</v>
      </c>
      <c r="AF106" s="20">
        <v>0</v>
      </c>
      <c r="AG106" s="20">
        <v>0</v>
      </c>
      <c r="AH106" s="20">
        <v>0</v>
      </c>
      <c r="AI106" s="20">
        <v>0</v>
      </c>
      <c r="AJ106" s="20">
        <v>0</v>
      </c>
      <c r="AK106" s="20" t="s">
        <v>609</v>
      </c>
      <c r="AL106" s="20">
        <v>0</v>
      </c>
      <c r="AM106" s="20">
        <v>0</v>
      </c>
      <c r="AN106" s="20">
        <v>0</v>
      </c>
      <c r="AO106" s="20">
        <v>0</v>
      </c>
      <c r="AP106" s="20">
        <v>0</v>
      </c>
      <c r="AR106" s="20">
        <v>0</v>
      </c>
      <c r="AS106" s="20">
        <v>0</v>
      </c>
      <c r="AT106" s="20">
        <v>1233280.19</v>
      </c>
      <c r="AU106" s="20" t="s">
        <v>13</v>
      </c>
      <c r="AV106" s="20" t="s">
        <v>62</v>
      </c>
      <c r="AW106" s="111" t="s">
        <v>63</v>
      </c>
      <c r="AX106" s="20" t="s">
        <v>208</v>
      </c>
      <c r="AY106" s="19" t="s">
        <v>209</v>
      </c>
      <c r="AZ106" s="19">
        <v>0</v>
      </c>
      <c r="BA106" s="19">
        <v>133773.43</v>
      </c>
      <c r="BB106" s="19">
        <v>397</v>
      </c>
      <c r="BC106" s="66">
        <v>46241</v>
      </c>
      <c r="BD106" s="19" t="s">
        <v>65</v>
      </c>
      <c r="BE106" s="19" t="s">
        <v>210</v>
      </c>
      <c r="BF106" s="19" t="s">
        <v>210</v>
      </c>
      <c r="BG106" s="19">
        <v>9</v>
      </c>
      <c r="BH106" s="19">
        <v>12039.61</v>
      </c>
      <c r="BI106" s="19">
        <v>9</v>
      </c>
      <c r="BJ106" s="19">
        <v>12039.61</v>
      </c>
      <c r="BK106" s="19">
        <v>0</v>
      </c>
      <c r="BL106" s="19">
        <v>0</v>
      </c>
      <c r="BM106" s="19">
        <v>0</v>
      </c>
      <c r="BN106" s="19">
        <v>672141162299</v>
      </c>
      <c r="BO106" s="66">
        <v>46210</v>
      </c>
      <c r="BP106" s="19">
        <v>0</v>
      </c>
    </row>
    <row r="107" spans="1:68">
      <c r="A107" s="65"/>
      <c r="B107" s="20" t="s">
        <v>2216</v>
      </c>
      <c r="C107" s="111">
        <v>46241</v>
      </c>
      <c r="D107" s="20" t="s">
        <v>3611</v>
      </c>
      <c r="E107" s="20" t="s">
        <v>18</v>
      </c>
      <c r="F107" s="20" t="s">
        <v>19</v>
      </c>
      <c r="H107" s="20" t="s">
        <v>3612</v>
      </c>
      <c r="I107" s="20">
        <v>3703</v>
      </c>
      <c r="J107" s="20">
        <v>3703</v>
      </c>
      <c r="K107" s="20" t="s">
        <v>11</v>
      </c>
      <c r="L107" s="20">
        <v>3703</v>
      </c>
      <c r="M107" s="20">
        <v>0</v>
      </c>
      <c r="N107" s="20">
        <v>3703</v>
      </c>
      <c r="O107" s="20" t="s">
        <v>2203</v>
      </c>
      <c r="P107" s="20" t="s">
        <v>87</v>
      </c>
      <c r="Q107" s="20" t="s">
        <v>87</v>
      </c>
      <c r="R107" s="20" t="s">
        <v>2887</v>
      </c>
      <c r="S107" s="111">
        <v>46241</v>
      </c>
      <c r="T107" s="20" t="s">
        <v>206</v>
      </c>
      <c r="U107" s="20" t="s">
        <v>207</v>
      </c>
      <c r="V107" s="20" t="s">
        <v>2886</v>
      </c>
      <c r="W107" s="20">
        <v>144.49</v>
      </c>
      <c r="X107" s="20">
        <v>144.49</v>
      </c>
      <c r="Y107" s="20" t="s">
        <v>2887</v>
      </c>
      <c r="Z107" s="111">
        <v>46241</v>
      </c>
      <c r="AB107" s="20" t="s">
        <v>2376</v>
      </c>
      <c r="AD107" s="20" t="s">
        <v>2376</v>
      </c>
      <c r="AE107" s="20" t="s">
        <v>2376</v>
      </c>
      <c r="AF107" s="20">
        <v>0</v>
      </c>
      <c r="AG107" s="20">
        <v>0</v>
      </c>
      <c r="AH107" s="20">
        <v>0</v>
      </c>
      <c r="AI107" s="20">
        <v>0</v>
      </c>
      <c r="AJ107" s="20">
        <v>0</v>
      </c>
      <c r="AK107" s="20" t="s">
        <v>609</v>
      </c>
      <c r="AL107" s="20">
        <v>0</v>
      </c>
      <c r="AM107" s="20">
        <v>0</v>
      </c>
      <c r="AN107" s="20">
        <v>0</v>
      </c>
      <c r="AO107" s="20">
        <v>0</v>
      </c>
      <c r="AP107" s="20">
        <v>0</v>
      </c>
      <c r="AR107" s="20">
        <v>0</v>
      </c>
      <c r="AS107" s="20">
        <v>0</v>
      </c>
      <c r="AT107" s="20">
        <v>1233280.19</v>
      </c>
      <c r="AU107" s="20" t="s">
        <v>13</v>
      </c>
      <c r="AV107" s="20" t="s">
        <v>62</v>
      </c>
      <c r="AW107" s="111" t="s">
        <v>63</v>
      </c>
      <c r="AX107" s="20" t="s">
        <v>208</v>
      </c>
      <c r="AY107" s="19" t="s">
        <v>209</v>
      </c>
      <c r="AZ107" s="19">
        <v>0</v>
      </c>
      <c r="BA107" s="19">
        <v>535046.47</v>
      </c>
      <c r="BB107" s="19">
        <v>397</v>
      </c>
      <c r="BC107" s="66">
        <v>46241</v>
      </c>
      <c r="BD107" s="19" t="s">
        <v>65</v>
      </c>
      <c r="BE107" s="19" t="s">
        <v>210</v>
      </c>
      <c r="BF107" s="19" t="s">
        <v>210</v>
      </c>
      <c r="BG107" s="19">
        <v>9</v>
      </c>
      <c r="BH107" s="19">
        <v>48154.18</v>
      </c>
      <c r="BI107" s="19">
        <v>9</v>
      </c>
      <c r="BJ107" s="19">
        <v>48154.18</v>
      </c>
      <c r="BK107" s="19">
        <v>0</v>
      </c>
      <c r="BL107" s="19">
        <v>0</v>
      </c>
      <c r="BM107" s="19">
        <v>0</v>
      </c>
      <c r="BN107" s="19">
        <v>672141162299</v>
      </c>
      <c r="BO107" s="66">
        <v>46210</v>
      </c>
      <c r="BP107" s="19">
        <v>0</v>
      </c>
    </row>
    <row r="108" spans="1:68">
      <c r="A108" s="65"/>
      <c r="B108" s="20" t="s">
        <v>2216</v>
      </c>
      <c r="C108" s="111">
        <v>46241</v>
      </c>
      <c r="D108" s="20" t="s">
        <v>3613</v>
      </c>
      <c r="E108" s="20" t="s">
        <v>18</v>
      </c>
      <c r="F108" s="20" t="s">
        <v>19</v>
      </c>
      <c r="H108" s="20" t="s">
        <v>3614</v>
      </c>
      <c r="I108" s="20">
        <v>990</v>
      </c>
      <c r="J108" s="20">
        <v>990</v>
      </c>
      <c r="K108" s="20" t="s">
        <v>11</v>
      </c>
      <c r="L108" s="20">
        <v>990</v>
      </c>
      <c r="M108" s="20">
        <v>0</v>
      </c>
      <c r="N108" s="20">
        <v>990</v>
      </c>
      <c r="O108" s="20" t="s">
        <v>2201</v>
      </c>
      <c r="P108" s="20" t="s">
        <v>87</v>
      </c>
      <c r="Q108" s="20" t="s">
        <v>87</v>
      </c>
      <c r="R108" s="20" t="s">
        <v>2889</v>
      </c>
      <c r="S108" s="111">
        <v>46241</v>
      </c>
      <c r="T108" s="20" t="s">
        <v>206</v>
      </c>
      <c r="U108" s="20" t="s">
        <v>207</v>
      </c>
      <c r="V108" s="20" t="s">
        <v>2888</v>
      </c>
      <c r="W108" s="20">
        <v>146.49</v>
      </c>
      <c r="X108" s="20">
        <v>146.49</v>
      </c>
      <c r="Y108" s="20" t="s">
        <v>2889</v>
      </c>
      <c r="Z108" s="111">
        <v>46241</v>
      </c>
      <c r="AB108" s="20" t="s">
        <v>2376</v>
      </c>
      <c r="AD108" s="20" t="s">
        <v>2376</v>
      </c>
      <c r="AE108" s="20" t="s">
        <v>2376</v>
      </c>
      <c r="AF108" s="20">
        <v>0</v>
      </c>
      <c r="AG108" s="20">
        <v>0</v>
      </c>
      <c r="AH108" s="20">
        <v>0</v>
      </c>
      <c r="AI108" s="20">
        <v>0</v>
      </c>
      <c r="AJ108" s="20">
        <v>0</v>
      </c>
      <c r="AK108" s="20" t="s">
        <v>609</v>
      </c>
      <c r="AL108" s="20">
        <v>0</v>
      </c>
      <c r="AM108" s="20">
        <v>0</v>
      </c>
      <c r="AN108" s="20">
        <v>0</v>
      </c>
      <c r="AO108" s="20">
        <v>0</v>
      </c>
      <c r="AP108" s="20">
        <v>0</v>
      </c>
      <c r="AR108" s="20">
        <v>0</v>
      </c>
      <c r="AS108" s="20">
        <v>0</v>
      </c>
      <c r="AT108" s="20">
        <v>301546.09999999998</v>
      </c>
      <c r="AU108" s="20" t="s">
        <v>13</v>
      </c>
      <c r="AV108" s="20" t="s">
        <v>62</v>
      </c>
      <c r="AW108" s="111" t="s">
        <v>63</v>
      </c>
      <c r="AX108" s="20" t="s">
        <v>208</v>
      </c>
      <c r="AY108" s="19" t="s">
        <v>209</v>
      </c>
      <c r="AZ108" s="19">
        <v>0</v>
      </c>
      <c r="BA108" s="19">
        <v>145025.1</v>
      </c>
      <c r="BB108" s="19">
        <v>801</v>
      </c>
      <c r="BC108" s="66">
        <v>46241</v>
      </c>
      <c r="BD108" s="19" t="s">
        <v>65</v>
      </c>
      <c r="BE108" s="19" t="s">
        <v>210</v>
      </c>
      <c r="BF108" s="19" t="s">
        <v>210</v>
      </c>
      <c r="BG108" s="19">
        <v>9</v>
      </c>
      <c r="BH108" s="19">
        <v>13052.26</v>
      </c>
      <c r="BI108" s="19">
        <v>9</v>
      </c>
      <c r="BJ108" s="19">
        <v>13052.26</v>
      </c>
      <c r="BK108" s="19">
        <v>0</v>
      </c>
      <c r="BL108" s="19">
        <v>0</v>
      </c>
      <c r="BM108" s="19">
        <v>301546.09999999998</v>
      </c>
      <c r="BN108" s="19">
        <v>612141619078</v>
      </c>
      <c r="BO108" s="66">
        <v>46211</v>
      </c>
      <c r="BP108" s="19">
        <v>0</v>
      </c>
    </row>
    <row r="109" spans="1:68">
      <c r="A109" s="65"/>
      <c r="B109" s="20" t="s">
        <v>2216</v>
      </c>
      <c r="C109" s="111">
        <v>46241</v>
      </c>
      <c r="D109" s="20" t="s">
        <v>3613</v>
      </c>
      <c r="E109" s="20" t="s">
        <v>18</v>
      </c>
      <c r="F109" s="20" t="s">
        <v>19</v>
      </c>
      <c r="H109" s="20" t="s">
        <v>3614</v>
      </c>
      <c r="I109" s="20">
        <v>216</v>
      </c>
      <c r="J109" s="20">
        <v>216</v>
      </c>
      <c r="K109" s="20" t="s">
        <v>11</v>
      </c>
      <c r="L109" s="20">
        <v>216</v>
      </c>
      <c r="M109" s="20">
        <v>0</v>
      </c>
      <c r="N109" s="20">
        <v>216</v>
      </c>
      <c r="O109" s="20" t="s">
        <v>2201</v>
      </c>
      <c r="P109" s="20" t="s">
        <v>87</v>
      </c>
      <c r="Q109" s="20" t="s">
        <v>87</v>
      </c>
      <c r="R109" s="20" t="s">
        <v>2889</v>
      </c>
      <c r="S109" s="111">
        <v>46241</v>
      </c>
      <c r="T109" s="20" t="s">
        <v>206</v>
      </c>
      <c r="U109" s="20" t="s">
        <v>207</v>
      </c>
      <c r="V109" s="20" t="s">
        <v>2888</v>
      </c>
      <c r="W109" s="20">
        <v>147.49</v>
      </c>
      <c r="X109" s="20">
        <v>147.49</v>
      </c>
      <c r="Y109" s="20" t="s">
        <v>2889</v>
      </c>
      <c r="Z109" s="111">
        <v>46241</v>
      </c>
      <c r="AB109" s="20" t="s">
        <v>2376</v>
      </c>
      <c r="AD109" s="20" t="s">
        <v>2376</v>
      </c>
      <c r="AE109" s="20" t="s">
        <v>2376</v>
      </c>
      <c r="AF109" s="20">
        <v>0</v>
      </c>
      <c r="AG109" s="20">
        <v>0</v>
      </c>
      <c r="AH109" s="20">
        <v>0</v>
      </c>
      <c r="AI109" s="20">
        <v>0</v>
      </c>
      <c r="AJ109" s="20">
        <v>0</v>
      </c>
      <c r="AK109" s="20" t="s">
        <v>609</v>
      </c>
      <c r="AL109" s="20">
        <v>0</v>
      </c>
      <c r="AM109" s="20">
        <v>0</v>
      </c>
      <c r="AN109" s="20">
        <v>0</v>
      </c>
      <c r="AO109" s="20">
        <v>0</v>
      </c>
      <c r="AP109" s="20">
        <v>0</v>
      </c>
      <c r="AR109" s="20">
        <v>0</v>
      </c>
      <c r="AS109" s="20">
        <v>0</v>
      </c>
      <c r="AT109" s="20">
        <v>301546.09999999998</v>
      </c>
      <c r="AU109" s="20" t="s">
        <v>13</v>
      </c>
      <c r="AV109" s="20" t="s">
        <v>62</v>
      </c>
      <c r="AW109" s="111" t="s">
        <v>63</v>
      </c>
      <c r="AX109" s="20" t="s">
        <v>208</v>
      </c>
      <c r="AY109" s="19" t="s">
        <v>209</v>
      </c>
      <c r="AZ109" s="19">
        <v>0</v>
      </c>
      <c r="BA109" s="19">
        <v>31857.84</v>
      </c>
      <c r="BB109" s="19">
        <v>801</v>
      </c>
      <c r="BC109" s="66">
        <v>46241</v>
      </c>
      <c r="BD109" s="19" t="s">
        <v>65</v>
      </c>
      <c r="BE109" s="19" t="s">
        <v>210</v>
      </c>
      <c r="BF109" s="19" t="s">
        <v>210</v>
      </c>
      <c r="BG109" s="19">
        <v>9</v>
      </c>
      <c r="BH109" s="19">
        <v>2867.21</v>
      </c>
      <c r="BI109" s="19">
        <v>9</v>
      </c>
      <c r="BJ109" s="19">
        <v>2867.21</v>
      </c>
      <c r="BK109" s="19">
        <v>0</v>
      </c>
      <c r="BL109" s="19">
        <v>0</v>
      </c>
      <c r="BM109" s="19">
        <v>0</v>
      </c>
      <c r="BN109" s="19">
        <v>612141619078</v>
      </c>
      <c r="BO109" s="66">
        <v>46211</v>
      </c>
      <c r="BP109" s="19">
        <v>0</v>
      </c>
    </row>
    <row r="110" spans="1:68">
      <c r="A110" s="65"/>
      <c r="B110" s="20" t="s">
        <v>2216</v>
      </c>
      <c r="C110" s="111">
        <v>46241</v>
      </c>
      <c r="D110" s="20" t="s">
        <v>3613</v>
      </c>
      <c r="E110" s="20" t="s">
        <v>18</v>
      </c>
      <c r="F110" s="20" t="s">
        <v>19</v>
      </c>
      <c r="H110" s="20" t="s">
        <v>3614</v>
      </c>
      <c r="I110" s="20">
        <v>220</v>
      </c>
      <c r="J110" s="20">
        <v>220</v>
      </c>
      <c r="K110" s="20" t="s">
        <v>11</v>
      </c>
      <c r="L110" s="20">
        <v>220</v>
      </c>
      <c r="M110" s="20">
        <v>0</v>
      </c>
      <c r="N110" s="20">
        <v>220</v>
      </c>
      <c r="O110" s="20" t="s">
        <v>2201</v>
      </c>
      <c r="P110" s="20" t="s">
        <v>87</v>
      </c>
      <c r="Q110" s="20" t="s">
        <v>87</v>
      </c>
      <c r="R110" s="20" t="s">
        <v>2889</v>
      </c>
      <c r="S110" s="111">
        <v>46241</v>
      </c>
      <c r="T110" s="20" t="s">
        <v>206</v>
      </c>
      <c r="U110" s="20" t="s">
        <v>207</v>
      </c>
      <c r="V110" s="20" t="s">
        <v>2888</v>
      </c>
      <c r="W110" s="20">
        <v>144.49</v>
      </c>
      <c r="X110" s="20">
        <v>144.49</v>
      </c>
      <c r="Y110" s="20" t="s">
        <v>2889</v>
      </c>
      <c r="Z110" s="111">
        <v>46241</v>
      </c>
      <c r="AB110" s="20" t="s">
        <v>2376</v>
      </c>
      <c r="AD110" s="20" t="s">
        <v>2376</v>
      </c>
      <c r="AE110" s="20" t="s">
        <v>2376</v>
      </c>
      <c r="AF110" s="20">
        <v>0</v>
      </c>
      <c r="AG110" s="20">
        <v>0</v>
      </c>
      <c r="AH110" s="20">
        <v>0</v>
      </c>
      <c r="AI110" s="20">
        <v>0</v>
      </c>
      <c r="AJ110" s="20">
        <v>0</v>
      </c>
      <c r="AK110" s="20" t="s">
        <v>609</v>
      </c>
      <c r="AL110" s="20">
        <v>0</v>
      </c>
      <c r="AM110" s="20">
        <v>0</v>
      </c>
      <c r="AN110" s="20">
        <v>0</v>
      </c>
      <c r="AO110" s="20">
        <v>0</v>
      </c>
      <c r="AP110" s="20">
        <v>0</v>
      </c>
      <c r="AR110" s="20">
        <v>0</v>
      </c>
      <c r="AS110" s="20">
        <v>0</v>
      </c>
      <c r="AT110" s="20">
        <v>301546.09999999998</v>
      </c>
      <c r="AU110" s="20" t="s">
        <v>13</v>
      </c>
      <c r="AV110" s="20" t="s">
        <v>62</v>
      </c>
      <c r="AW110" s="111" t="s">
        <v>63</v>
      </c>
      <c r="AX110" s="20" t="s">
        <v>208</v>
      </c>
      <c r="AY110" s="19" t="s">
        <v>209</v>
      </c>
      <c r="AZ110" s="19">
        <v>0</v>
      </c>
      <c r="BA110" s="19">
        <v>31787.8</v>
      </c>
      <c r="BB110" s="19">
        <v>801</v>
      </c>
      <c r="BC110" s="66">
        <v>46241</v>
      </c>
      <c r="BD110" s="19" t="s">
        <v>65</v>
      </c>
      <c r="BE110" s="19" t="s">
        <v>210</v>
      </c>
      <c r="BF110" s="19" t="s">
        <v>210</v>
      </c>
      <c r="BG110" s="19">
        <v>9</v>
      </c>
      <c r="BH110" s="19">
        <v>2860.9</v>
      </c>
      <c r="BI110" s="19">
        <v>9</v>
      </c>
      <c r="BJ110" s="19">
        <v>2860.9</v>
      </c>
      <c r="BK110" s="19">
        <v>0</v>
      </c>
      <c r="BL110" s="19">
        <v>0</v>
      </c>
      <c r="BM110" s="19">
        <v>0</v>
      </c>
      <c r="BN110" s="19">
        <v>612141619078</v>
      </c>
      <c r="BO110" s="66">
        <v>46211</v>
      </c>
      <c r="BP110" s="19">
        <v>0</v>
      </c>
    </row>
    <row r="111" spans="1:68">
      <c r="A111" s="65"/>
      <c r="B111" s="20" t="s">
        <v>2216</v>
      </c>
      <c r="C111" s="111">
        <v>46241</v>
      </c>
      <c r="D111" s="20" t="s">
        <v>3613</v>
      </c>
      <c r="E111" s="20" t="s">
        <v>20</v>
      </c>
      <c r="F111" s="20" t="s">
        <v>21</v>
      </c>
      <c r="H111" s="20" t="s">
        <v>3614</v>
      </c>
      <c r="I111" s="20">
        <v>320</v>
      </c>
      <c r="J111" s="20">
        <v>320</v>
      </c>
      <c r="K111" s="20" t="s">
        <v>11</v>
      </c>
      <c r="L111" s="20">
        <v>320</v>
      </c>
      <c r="M111" s="20">
        <v>0</v>
      </c>
      <c r="N111" s="20">
        <v>320</v>
      </c>
      <c r="O111" s="20" t="s">
        <v>2201</v>
      </c>
      <c r="P111" s="20" t="s">
        <v>87</v>
      </c>
      <c r="Q111" s="20" t="s">
        <v>87</v>
      </c>
      <c r="R111" s="20" t="s">
        <v>2889</v>
      </c>
      <c r="S111" s="111">
        <v>46241</v>
      </c>
      <c r="T111" s="20" t="s">
        <v>206</v>
      </c>
      <c r="U111" s="20" t="s">
        <v>207</v>
      </c>
      <c r="V111" s="20" t="s">
        <v>2888</v>
      </c>
      <c r="W111" s="20">
        <v>146.49</v>
      </c>
      <c r="X111" s="20">
        <v>146.49</v>
      </c>
      <c r="Y111" s="20" t="s">
        <v>2889</v>
      </c>
      <c r="Z111" s="111">
        <v>46241</v>
      </c>
      <c r="AB111" s="20" t="s">
        <v>2376</v>
      </c>
      <c r="AD111" s="20" t="s">
        <v>2376</v>
      </c>
      <c r="AE111" s="20" t="s">
        <v>2376</v>
      </c>
      <c r="AF111" s="20">
        <v>0</v>
      </c>
      <c r="AG111" s="20">
        <v>0</v>
      </c>
      <c r="AH111" s="20">
        <v>0</v>
      </c>
      <c r="AI111" s="20">
        <v>0</v>
      </c>
      <c r="AJ111" s="20">
        <v>0</v>
      </c>
      <c r="AK111" s="20" t="s">
        <v>609</v>
      </c>
      <c r="AL111" s="20">
        <v>0</v>
      </c>
      <c r="AM111" s="20">
        <v>0</v>
      </c>
      <c r="AN111" s="20">
        <v>0</v>
      </c>
      <c r="AO111" s="20">
        <v>0</v>
      </c>
      <c r="AP111" s="20">
        <v>0</v>
      </c>
      <c r="AR111" s="20">
        <v>0</v>
      </c>
      <c r="AS111" s="20">
        <v>0</v>
      </c>
      <c r="AT111" s="20">
        <v>301546.09999999998</v>
      </c>
      <c r="AU111" s="20" t="s">
        <v>13</v>
      </c>
      <c r="AV111" s="20" t="s">
        <v>62</v>
      </c>
      <c r="AW111" s="111" t="s">
        <v>76</v>
      </c>
      <c r="AX111" s="20" t="s">
        <v>208</v>
      </c>
      <c r="AY111" s="19" t="s">
        <v>209</v>
      </c>
      <c r="AZ111" s="19">
        <v>0</v>
      </c>
      <c r="BA111" s="19">
        <v>46876.800000000003</v>
      </c>
      <c r="BB111" s="19">
        <v>801</v>
      </c>
      <c r="BC111" s="66">
        <v>46241</v>
      </c>
      <c r="BD111" s="19" t="s">
        <v>65</v>
      </c>
      <c r="BE111" s="19" t="s">
        <v>210</v>
      </c>
      <c r="BF111" s="19" t="s">
        <v>210</v>
      </c>
      <c r="BG111" s="19">
        <v>9</v>
      </c>
      <c r="BH111" s="19">
        <v>4218.91</v>
      </c>
      <c r="BI111" s="19">
        <v>9</v>
      </c>
      <c r="BJ111" s="19">
        <v>4218.91</v>
      </c>
      <c r="BK111" s="19">
        <v>0</v>
      </c>
      <c r="BL111" s="19">
        <v>0</v>
      </c>
      <c r="BM111" s="19">
        <v>0</v>
      </c>
      <c r="BN111" s="19">
        <v>612141619078</v>
      </c>
      <c r="BO111" s="66">
        <v>46211</v>
      </c>
      <c r="BP111" s="19">
        <v>0</v>
      </c>
    </row>
    <row r="112" spans="1:68">
      <c r="A112" s="65"/>
      <c r="B112" s="20" t="s">
        <v>2216</v>
      </c>
      <c r="C112" s="111">
        <v>46241</v>
      </c>
      <c r="D112" s="20" t="s">
        <v>3615</v>
      </c>
      <c r="E112" s="20" t="s">
        <v>1618</v>
      </c>
      <c r="F112" s="20" t="s">
        <v>1617</v>
      </c>
      <c r="H112" s="20" t="s">
        <v>3616</v>
      </c>
      <c r="I112" s="20">
        <v>431.6</v>
      </c>
      <c r="J112" s="20">
        <v>431.6</v>
      </c>
      <c r="K112" s="20" t="s">
        <v>11</v>
      </c>
      <c r="L112" s="20">
        <v>431.6</v>
      </c>
      <c r="M112" s="20">
        <v>0</v>
      </c>
      <c r="N112" s="20">
        <v>431.6</v>
      </c>
      <c r="O112" s="20" t="s">
        <v>2203</v>
      </c>
      <c r="P112" s="20" t="s">
        <v>87</v>
      </c>
      <c r="Q112" s="20" t="s">
        <v>87</v>
      </c>
      <c r="R112" s="20" t="s">
        <v>2891</v>
      </c>
      <c r="S112" s="111">
        <v>46241</v>
      </c>
      <c r="T112" s="20" t="s">
        <v>206</v>
      </c>
      <c r="U112" s="20" t="s">
        <v>207</v>
      </c>
      <c r="V112" s="20" t="s">
        <v>2890</v>
      </c>
      <c r="W112" s="20">
        <v>159.49</v>
      </c>
      <c r="X112" s="20">
        <v>159.48999861732699</v>
      </c>
      <c r="Y112" s="20" t="s">
        <v>2891</v>
      </c>
      <c r="Z112" s="111">
        <v>46241</v>
      </c>
      <c r="AB112" s="20" t="s">
        <v>2376</v>
      </c>
      <c r="AD112" s="20" t="s">
        <v>2376</v>
      </c>
      <c r="AE112" s="20" t="s">
        <v>2376</v>
      </c>
      <c r="AF112" s="20">
        <v>0</v>
      </c>
      <c r="AG112" s="20">
        <v>0</v>
      </c>
      <c r="AH112" s="20">
        <v>0</v>
      </c>
      <c r="AI112" s="20">
        <v>0</v>
      </c>
      <c r="AJ112" s="20">
        <v>0</v>
      </c>
      <c r="AK112" s="20" t="s">
        <v>609</v>
      </c>
      <c r="AL112" s="20">
        <v>0</v>
      </c>
      <c r="AM112" s="20">
        <v>0</v>
      </c>
      <c r="AN112" s="20">
        <v>0</v>
      </c>
      <c r="AO112" s="20">
        <v>0</v>
      </c>
      <c r="AP112" s="20">
        <v>0</v>
      </c>
      <c r="AR112" s="20">
        <v>0</v>
      </c>
      <c r="AS112" s="20">
        <v>0</v>
      </c>
      <c r="AT112" s="20">
        <v>692094.44</v>
      </c>
      <c r="AU112" s="20" t="s">
        <v>13</v>
      </c>
      <c r="AV112" s="20" t="s">
        <v>99</v>
      </c>
      <c r="AW112" s="111" t="s">
        <v>100</v>
      </c>
      <c r="AX112" s="20" t="s">
        <v>208</v>
      </c>
      <c r="AY112" s="19" t="s">
        <v>209</v>
      </c>
      <c r="AZ112" s="19">
        <v>0</v>
      </c>
      <c r="BA112" s="19">
        <v>68835.88</v>
      </c>
      <c r="BB112" s="19">
        <v>798</v>
      </c>
      <c r="BC112" s="66">
        <v>46241</v>
      </c>
      <c r="BD112" s="19" t="s">
        <v>65</v>
      </c>
      <c r="BE112" s="19" t="s">
        <v>210</v>
      </c>
      <c r="BF112" s="19" t="s">
        <v>210</v>
      </c>
      <c r="BG112" s="19">
        <v>2.5</v>
      </c>
      <c r="BH112" s="19">
        <v>1720.9</v>
      </c>
      <c r="BI112" s="19">
        <v>2.5</v>
      </c>
      <c r="BJ112" s="19">
        <v>1720.9</v>
      </c>
      <c r="BK112" s="19">
        <v>0</v>
      </c>
      <c r="BL112" s="19">
        <v>0</v>
      </c>
      <c r="BM112" s="19">
        <v>692094.44</v>
      </c>
      <c r="BN112" s="19">
        <v>622141554503</v>
      </c>
      <c r="BO112" s="66">
        <v>46211</v>
      </c>
      <c r="BP112" s="19">
        <v>0</v>
      </c>
    </row>
    <row r="113" spans="1:68">
      <c r="A113" s="65"/>
      <c r="B113" s="20" t="s">
        <v>2216</v>
      </c>
      <c r="C113" s="111">
        <v>46241</v>
      </c>
      <c r="D113" s="20" t="s">
        <v>3615</v>
      </c>
      <c r="E113" s="20" t="s">
        <v>587</v>
      </c>
      <c r="F113" s="20" t="s">
        <v>586</v>
      </c>
      <c r="H113" s="20" t="s">
        <v>3616</v>
      </c>
      <c r="I113" s="20">
        <v>1274.8</v>
      </c>
      <c r="J113" s="20">
        <v>1274.8</v>
      </c>
      <c r="K113" s="20" t="s">
        <v>3</v>
      </c>
      <c r="L113" s="20">
        <v>1274.8</v>
      </c>
      <c r="M113" s="20">
        <v>0</v>
      </c>
      <c r="N113" s="20">
        <v>1274.8</v>
      </c>
      <c r="O113" s="20" t="s">
        <v>2203</v>
      </c>
      <c r="P113" s="20" t="s">
        <v>87</v>
      </c>
      <c r="Q113" s="20" t="s">
        <v>87</v>
      </c>
      <c r="R113" s="20" t="s">
        <v>2891</v>
      </c>
      <c r="S113" s="111">
        <v>46241</v>
      </c>
      <c r="T113" s="20" t="s">
        <v>206</v>
      </c>
      <c r="U113" s="20" t="s">
        <v>207</v>
      </c>
      <c r="V113" s="20" t="s">
        <v>2890</v>
      </c>
      <c r="W113" s="20">
        <v>156.49</v>
      </c>
      <c r="X113" s="20">
        <v>156.48999864333501</v>
      </c>
      <c r="Y113" s="20" t="s">
        <v>2891</v>
      </c>
      <c r="Z113" s="111">
        <v>46241</v>
      </c>
      <c r="AB113" s="20" t="s">
        <v>2376</v>
      </c>
      <c r="AD113" s="20" t="s">
        <v>2376</v>
      </c>
      <c r="AE113" s="20" t="s">
        <v>2376</v>
      </c>
      <c r="AF113" s="20">
        <v>0</v>
      </c>
      <c r="AG113" s="20">
        <v>0</v>
      </c>
      <c r="AH113" s="20">
        <v>0</v>
      </c>
      <c r="AI113" s="20">
        <v>0</v>
      </c>
      <c r="AJ113" s="20">
        <v>0</v>
      </c>
      <c r="AK113" s="20" t="s">
        <v>609</v>
      </c>
      <c r="AL113" s="20">
        <v>0</v>
      </c>
      <c r="AM113" s="20">
        <v>0</v>
      </c>
      <c r="AN113" s="20">
        <v>0</v>
      </c>
      <c r="AO113" s="20">
        <v>0</v>
      </c>
      <c r="AP113" s="20">
        <v>0</v>
      </c>
      <c r="AR113" s="20">
        <v>0</v>
      </c>
      <c r="AS113" s="20">
        <v>0</v>
      </c>
      <c r="AT113" s="20">
        <v>692094.44</v>
      </c>
      <c r="AU113" s="20" t="s">
        <v>13</v>
      </c>
      <c r="AV113" s="20" t="s">
        <v>99</v>
      </c>
      <c r="AW113" s="111" t="s">
        <v>100</v>
      </c>
      <c r="AX113" s="20" t="s">
        <v>208</v>
      </c>
      <c r="AY113" s="19"/>
      <c r="AZ113" s="19">
        <v>0</v>
      </c>
      <c r="BA113" s="19">
        <v>199493.45</v>
      </c>
      <c r="BB113" s="19">
        <v>798</v>
      </c>
      <c r="BC113" s="66">
        <v>46241</v>
      </c>
      <c r="BD113" s="19" t="s">
        <v>65</v>
      </c>
      <c r="BE113" s="19" t="s">
        <v>210</v>
      </c>
      <c r="BF113" s="19" t="s">
        <v>210</v>
      </c>
      <c r="BG113" s="19">
        <v>2.5</v>
      </c>
      <c r="BH113" s="19">
        <v>4987.34</v>
      </c>
      <c r="BI113" s="19">
        <v>2.5</v>
      </c>
      <c r="BJ113" s="19">
        <v>4987.34</v>
      </c>
      <c r="BK113" s="19">
        <v>0</v>
      </c>
      <c r="BL113" s="19">
        <v>0</v>
      </c>
      <c r="BM113" s="19">
        <v>0</v>
      </c>
      <c r="BN113" s="19">
        <v>622141554503</v>
      </c>
      <c r="BO113" s="66">
        <v>46211</v>
      </c>
      <c r="BP113" s="19">
        <v>0</v>
      </c>
    </row>
    <row r="114" spans="1:68">
      <c r="A114" s="65"/>
      <c r="B114" s="20" t="s">
        <v>2216</v>
      </c>
      <c r="C114" s="111">
        <v>46241</v>
      </c>
      <c r="D114" s="20" t="s">
        <v>3615</v>
      </c>
      <c r="E114" s="20" t="s">
        <v>23</v>
      </c>
      <c r="F114" s="20" t="s">
        <v>24</v>
      </c>
      <c r="H114" s="20" t="s">
        <v>3616</v>
      </c>
      <c r="I114" s="20">
        <v>1020.7</v>
      </c>
      <c r="J114" s="20">
        <v>1020.7</v>
      </c>
      <c r="K114" s="20" t="s">
        <v>11</v>
      </c>
      <c r="L114" s="20">
        <v>1020.7</v>
      </c>
      <c r="M114" s="20">
        <v>0</v>
      </c>
      <c r="N114" s="20">
        <v>1020.7</v>
      </c>
      <c r="O114" s="20" t="s">
        <v>2203</v>
      </c>
      <c r="P114" s="20" t="s">
        <v>87</v>
      </c>
      <c r="Q114" s="20" t="s">
        <v>87</v>
      </c>
      <c r="R114" s="20" t="s">
        <v>2891</v>
      </c>
      <c r="S114" s="111">
        <v>46241</v>
      </c>
      <c r="T114" s="20" t="s">
        <v>206</v>
      </c>
      <c r="U114" s="20" t="s">
        <v>207</v>
      </c>
      <c r="V114" s="20" t="s">
        <v>2890</v>
      </c>
      <c r="W114" s="20">
        <v>149.49</v>
      </c>
      <c r="X114" s="20">
        <v>149.48999870402099</v>
      </c>
      <c r="Y114" s="20" t="s">
        <v>2891</v>
      </c>
      <c r="Z114" s="111">
        <v>46241</v>
      </c>
      <c r="AB114" s="20" t="s">
        <v>2376</v>
      </c>
      <c r="AD114" s="20" t="s">
        <v>2376</v>
      </c>
      <c r="AE114" s="20" t="s">
        <v>2376</v>
      </c>
      <c r="AF114" s="20">
        <v>0</v>
      </c>
      <c r="AG114" s="20">
        <v>0</v>
      </c>
      <c r="AH114" s="20">
        <v>0</v>
      </c>
      <c r="AI114" s="20">
        <v>0</v>
      </c>
      <c r="AJ114" s="20">
        <v>0</v>
      </c>
      <c r="AK114" s="20" t="s">
        <v>609</v>
      </c>
      <c r="AL114" s="20">
        <v>0</v>
      </c>
      <c r="AM114" s="20">
        <v>0</v>
      </c>
      <c r="AN114" s="20">
        <v>0</v>
      </c>
      <c r="AO114" s="20">
        <v>0</v>
      </c>
      <c r="AP114" s="20">
        <v>0</v>
      </c>
      <c r="AR114" s="20">
        <v>0</v>
      </c>
      <c r="AS114" s="20">
        <v>0</v>
      </c>
      <c r="AT114" s="20">
        <v>692094.44</v>
      </c>
      <c r="AU114" s="20" t="s">
        <v>13</v>
      </c>
      <c r="AV114" s="20" t="s">
        <v>24</v>
      </c>
      <c r="AW114" s="111" t="s">
        <v>79</v>
      </c>
      <c r="AX114" s="20" t="s">
        <v>208</v>
      </c>
      <c r="AY114" s="19" t="s">
        <v>209</v>
      </c>
      <c r="AZ114" s="19">
        <v>0</v>
      </c>
      <c r="BA114" s="19">
        <v>152584.44</v>
      </c>
      <c r="BB114" s="19">
        <v>798</v>
      </c>
      <c r="BC114" s="66">
        <v>46241</v>
      </c>
      <c r="BD114" s="19" t="s">
        <v>65</v>
      </c>
      <c r="BE114" s="19" t="s">
        <v>210</v>
      </c>
      <c r="BF114" s="19" t="s">
        <v>210</v>
      </c>
      <c r="BG114" s="19">
        <v>9</v>
      </c>
      <c r="BH114" s="19">
        <v>13732.6</v>
      </c>
      <c r="BI114" s="19">
        <v>9</v>
      </c>
      <c r="BJ114" s="19">
        <v>13732.6</v>
      </c>
      <c r="BK114" s="19">
        <v>0</v>
      </c>
      <c r="BL114" s="19">
        <v>0</v>
      </c>
      <c r="BM114" s="19">
        <v>0</v>
      </c>
      <c r="BN114" s="19">
        <v>622141554503</v>
      </c>
      <c r="BO114" s="66">
        <v>46211</v>
      </c>
      <c r="BP114" s="19">
        <v>0</v>
      </c>
    </row>
    <row r="115" spans="1:68">
      <c r="A115" s="65"/>
      <c r="B115" s="20" t="s">
        <v>2216</v>
      </c>
      <c r="C115" s="111">
        <v>46241</v>
      </c>
      <c r="D115" s="20" t="s">
        <v>3615</v>
      </c>
      <c r="E115" s="20" t="s">
        <v>23</v>
      </c>
      <c r="F115" s="20" t="s">
        <v>24</v>
      </c>
      <c r="H115" s="20" t="s">
        <v>3616</v>
      </c>
      <c r="I115" s="20">
        <v>1332.3</v>
      </c>
      <c r="J115" s="20">
        <v>1332.3</v>
      </c>
      <c r="K115" s="20" t="s">
        <v>11</v>
      </c>
      <c r="L115" s="20">
        <v>1332.3</v>
      </c>
      <c r="M115" s="20">
        <v>0</v>
      </c>
      <c r="N115" s="20">
        <v>1332.3</v>
      </c>
      <c r="O115" s="20" t="s">
        <v>2203</v>
      </c>
      <c r="P115" s="20" t="s">
        <v>87</v>
      </c>
      <c r="Q115" s="20" t="s">
        <v>87</v>
      </c>
      <c r="R115" s="20" t="s">
        <v>2891</v>
      </c>
      <c r="S115" s="111">
        <v>46241</v>
      </c>
      <c r="T115" s="20" t="s">
        <v>206</v>
      </c>
      <c r="U115" s="20" t="s">
        <v>207</v>
      </c>
      <c r="V115" s="20" t="s">
        <v>2890</v>
      </c>
      <c r="W115" s="20">
        <v>146.49</v>
      </c>
      <c r="X115" s="20">
        <v>146.48999873002899</v>
      </c>
      <c r="Y115" s="20" t="s">
        <v>2891</v>
      </c>
      <c r="Z115" s="111">
        <v>46241</v>
      </c>
      <c r="AB115" s="20" t="s">
        <v>2376</v>
      </c>
      <c r="AD115" s="20" t="s">
        <v>2376</v>
      </c>
      <c r="AE115" s="20" t="s">
        <v>2376</v>
      </c>
      <c r="AF115" s="20">
        <v>0</v>
      </c>
      <c r="AG115" s="20">
        <v>0</v>
      </c>
      <c r="AH115" s="20">
        <v>0</v>
      </c>
      <c r="AI115" s="20">
        <v>0</v>
      </c>
      <c r="AJ115" s="20">
        <v>0</v>
      </c>
      <c r="AK115" s="20" t="s">
        <v>609</v>
      </c>
      <c r="AL115" s="20">
        <v>0</v>
      </c>
      <c r="AM115" s="20">
        <v>0</v>
      </c>
      <c r="AN115" s="20">
        <v>0</v>
      </c>
      <c r="AO115" s="20">
        <v>0</v>
      </c>
      <c r="AP115" s="20">
        <v>0</v>
      </c>
      <c r="AR115" s="20">
        <v>0</v>
      </c>
      <c r="AS115" s="20">
        <v>0</v>
      </c>
      <c r="AT115" s="20">
        <v>692094.44</v>
      </c>
      <c r="AU115" s="20" t="s">
        <v>13</v>
      </c>
      <c r="AV115" s="20" t="s">
        <v>24</v>
      </c>
      <c r="AW115" s="111" t="s">
        <v>79</v>
      </c>
      <c r="AX115" s="20" t="s">
        <v>208</v>
      </c>
      <c r="AY115" s="19" t="s">
        <v>209</v>
      </c>
      <c r="AZ115" s="19">
        <v>0</v>
      </c>
      <c r="BA115" s="19">
        <v>195168.63</v>
      </c>
      <c r="BB115" s="19">
        <v>798</v>
      </c>
      <c r="BC115" s="66">
        <v>46241</v>
      </c>
      <c r="BD115" s="19" t="s">
        <v>65</v>
      </c>
      <c r="BE115" s="19" t="s">
        <v>210</v>
      </c>
      <c r="BF115" s="19" t="s">
        <v>210</v>
      </c>
      <c r="BG115" s="19">
        <v>9</v>
      </c>
      <c r="BH115" s="19">
        <v>17565.18</v>
      </c>
      <c r="BI115" s="19">
        <v>9</v>
      </c>
      <c r="BJ115" s="19">
        <v>17565.18</v>
      </c>
      <c r="BK115" s="19">
        <v>0</v>
      </c>
      <c r="BL115" s="19">
        <v>0</v>
      </c>
      <c r="BM115" s="19">
        <v>0</v>
      </c>
      <c r="BN115" s="19">
        <v>622141554503</v>
      </c>
      <c r="BO115" s="66">
        <v>46211</v>
      </c>
      <c r="BP115" s="19">
        <v>0</v>
      </c>
    </row>
    <row r="116" spans="1:68">
      <c r="A116" s="65"/>
      <c r="B116" s="20" t="s">
        <v>2216</v>
      </c>
      <c r="C116" s="111">
        <v>46241</v>
      </c>
      <c r="D116" s="20" t="s">
        <v>3617</v>
      </c>
      <c r="E116" s="20" t="s">
        <v>423</v>
      </c>
      <c r="F116" s="20" t="s">
        <v>418</v>
      </c>
      <c r="H116" s="20" t="s">
        <v>3618</v>
      </c>
      <c r="I116" s="20">
        <v>930</v>
      </c>
      <c r="J116" s="20">
        <v>930</v>
      </c>
      <c r="K116" s="20" t="s">
        <v>11</v>
      </c>
      <c r="L116" s="20">
        <v>930</v>
      </c>
      <c r="M116" s="20">
        <v>0</v>
      </c>
      <c r="N116" s="20">
        <v>930</v>
      </c>
      <c r="O116" s="20" t="s">
        <v>3619</v>
      </c>
      <c r="P116" s="20" t="s">
        <v>103</v>
      </c>
      <c r="Q116" s="20" t="s">
        <v>103</v>
      </c>
      <c r="R116" s="20" t="s">
        <v>2877</v>
      </c>
      <c r="S116" s="111" t="s">
        <v>2569</v>
      </c>
      <c r="T116" s="20" t="s">
        <v>206</v>
      </c>
      <c r="U116" s="20" t="s">
        <v>207</v>
      </c>
      <c r="V116" s="20" t="s">
        <v>2876</v>
      </c>
      <c r="W116" s="20">
        <v>192.99</v>
      </c>
      <c r="X116" s="20">
        <v>192.99</v>
      </c>
      <c r="Y116" s="20" t="s">
        <v>2877</v>
      </c>
      <c r="Z116" s="111" t="s">
        <v>2569</v>
      </c>
      <c r="AB116" s="20" t="s">
        <v>3620</v>
      </c>
      <c r="AD116" s="20" t="s">
        <v>2441</v>
      </c>
      <c r="AE116" s="20" t="s">
        <v>2376</v>
      </c>
      <c r="AF116" s="20">
        <v>0</v>
      </c>
      <c r="AG116" s="20">
        <v>0</v>
      </c>
      <c r="AH116" s="20">
        <v>0</v>
      </c>
      <c r="AI116" s="20">
        <v>0</v>
      </c>
      <c r="AJ116" s="20">
        <v>0</v>
      </c>
      <c r="AK116" s="20" t="s">
        <v>609</v>
      </c>
      <c r="AL116" s="20">
        <v>0</v>
      </c>
      <c r="AM116" s="20">
        <v>0</v>
      </c>
      <c r="AN116" s="20">
        <v>0</v>
      </c>
      <c r="AO116" s="20">
        <v>0</v>
      </c>
      <c r="AP116" s="20">
        <v>0</v>
      </c>
      <c r="AR116" s="20">
        <v>0</v>
      </c>
      <c r="AS116" s="20">
        <v>0</v>
      </c>
      <c r="AT116" s="20">
        <v>179480.7</v>
      </c>
      <c r="AU116" s="20" t="s">
        <v>13</v>
      </c>
      <c r="AV116" s="20" t="s">
        <v>80</v>
      </c>
      <c r="AW116" s="111" t="s">
        <v>81</v>
      </c>
      <c r="AX116" s="20" t="s">
        <v>208</v>
      </c>
      <c r="AY116" s="19" t="s">
        <v>209</v>
      </c>
      <c r="AZ116" s="19">
        <v>0</v>
      </c>
      <c r="BA116" s="19">
        <v>179480.7</v>
      </c>
      <c r="BB116" s="19">
        <v>11</v>
      </c>
      <c r="BC116" s="66">
        <v>46241</v>
      </c>
      <c r="BD116" s="19" t="s">
        <v>104</v>
      </c>
      <c r="BE116" s="19" t="s">
        <v>210</v>
      </c>
      <c r="BF116" s="19" t="s">
        <v>210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>
        <v>0</v>
      </c>
      <c r="BM116" s="19">
        <v>179480.7</v>
      </c>
      <c r="BN116" s="19">
        <v>682135986004</v>
      </c>
      <c r="BO116" s="66">
        <v>46200</v>
      </c>
      <c r="BP116" s="19">
        <v>0</v>
      </c>
    </row>
    <row r="117" spans="1:68">
      <c r="A117" s="65"/>
      <c r="B117" s="20" t="s">
        <v>2216</v>
      </c>
      <c r="C117" s="111">
        <v>46272</v>
      </c>
      <c r="D117" s="20" t="s">
        <v>3621</v>
      </c>
      <c r="E117" s="20" t="s">
        <v>18</v>
      </c>
      <c r="F117" s="20" t="s">
        <v>19</v>
      </c>
      <c r="H117" s="20" t="s">
        <v>3622</v>
      </c>
      <c r="I117" s="20">
        <v>745</v>
      </c>
      <c r="J117" s="20">
        <v>745</v>
      </c>
      <c r="K117" s="20" t="s">
        <v>11</v>
      </c>
      <c r="L117" s="20">
        <v>745</v>
      </c>
      <c r="M117" s="20">
        <v>0</v>
      </c>
      <c r="N117" s="20">
        <v>745</v>
      </c>
      <c r="O117" s="20" t="s">
        <v>2204</v>
      </c>
      <c r="P117" s="20" t="s">
        <v>87</v>
      </c>
      <c r="Q117" s="20" t="s">
        <v>87</v>
      </c>
      <c r="R117" s="20" t="s">
        <v>2916</v>
      </c>
      <c r="S117" s="111">
        <v>46272</v>
      </c>
      <c r="T117" s="20" t="s">
        <v>206</v>
      </c>
      <c r="U117" s="20" t="s">
        <v>207</v>
      </c>
      <c r="V117" s="20" t="s">
        <v>2915</v>
      </c>
      <c r="W117" s="20">
        <v>144.49</v>
      </c>
      <c r="X117" s="20">
        <v>144.49</v>
      </c>
      <c r="Y117" s="20" t="s">
        <v>2916</v>
      </c>
      <c r="Z117" s="111">
        <v>46272</v>
      </c>
      <c r="AB117" s="20" t="s">
        <v>2376</v>
      </c>
      <c r="AD117" s="20" t="s">
        <v>2376</v>
      </c>
      <c r="AE117" s="20" t="s">
        <v>2376</v>
      </c>
      <c r="AF117" s="20">
        <v>0</v>
      </c>
      <c r="AG117" s="20">
        <v>0</v>
      </c>
      <c r="AH117" s="20">
        <v>0</v>
      </c>
      <c r="AI117" s="20">
        <v>0</v>
      </c>
      <c r="AJ117" s="20">
        <v>0</v>
      </c>
      <c r="AK117" s="20" t="s">
        <v>609</v>
      </c>
      <c r="AL117" s="20">
        <v>0</v>
      </c>
      <c r="AM117" s="20">
        <v>0</v>
      </c>
      <c r="AN117" s="20">
        <v>0</v>
      </c>
      <c r="AO117" s="20">
        <v>0</v>
      </c>
      <c r="AP117" s="20">
        <v>0</v>
      </c>
      <c r="AR117" s="20">
        <v>0</v>
      </c>
      <c r="AS117" s="20">
        <v>0</v>
      </c>
      <c r="AT117" s="20">
        <v>127021.15</v>
      </c>
      <c r="AU117" s="20" t="s">
        <v>13</v>
      </c>
      <c r="AV117" s="20" t="s">
        <v>62</v>
      </c>
      <c r="AW117" s="111" t="s">
        <v>63</v>
      </c>
      <c r="AX117" s="20" t="s">
        <v>208</v>
      </c>
      <c r="AY117" s="19" t="s">
        <v>209</v>
      </c>
      <c r="AZ117" s="19">
        <v>0</v>
      </c>
      <c r="BA117" s="19">
        <v>107645.05</v>
      </c>
      <c r="BB117" s="19">
        <v>813</v>
      </c>
      <c r="BC117" s="66">
        <v>46272</v>
      </c>
      <c r="BD117" s="19" t="s">
        <v>65</v>
      </c>
      <c r="BE117" s="19" t="s">
        <v>210</v>
      </c>
      <c r="BF117" s="19" t="s">
        <v>210</v>
      </c>
      <c r="BG117" s="19">
        <v>9</v>
      </c>
      <c r="BH117" s="19">
        <v>9688.0499999999993</v>
      </c>
      <c r="BI117" s="19">
        <v>9</v>
      </c>
      <c r="BJ117" s="19">
        <v>9688.0499999999993</v>
      </c>
      <c r="BK117" s="19">
        <v>0</v>
      </c>
      <c r="BL117" s="19">
        <v>0</v>
      </c>
      <c r="BM117" s="19">
        <v>127021.15</v>
      </c>
      <c r="BN117" s="19">
        <v>692142287612</v>
      </c>
      <c r="BO117" s="66">
        <v>46212</v>
      </c>
      <c r="BP117" s="19">
        <v>0</v>
      </c>
    </row>
    <row r="118" spans="1:68">
      <c r="A118" s="65"/>
      <c r="B118" s="20" t="s">
        <v>2216</v>
      </c>
      <c r="C118" s="111">
        <v>46272</v>
      </c>
      <c r="D118" s="20" t="s">
        <v>3623</v>
      </c>
      <c r="E118" s="20" t="s">
        <v>18</v>
      </c>
      <c r="F118" s="20" t="s">
        <v>19</v>
      </c>
      <c r="H118" s="20" t="s">
        <v>3622</v>
      </c>
      <c r="I118" s="20">
        <v>3885</v>
      </c>
      <c r="J118" s="20">
        <v>3885</v>
      </c>
      <c r="K118" s="20" t="s">
        <v>11</v>
      </c>
      <c r="L118" s="20">
        <v>3885</v>
      </c>
      <c r="M118" s="20">
        <v>0</v>
      </c>
      <c r="N118" s="20">
        <v>3885</v>
      </c>
      <c r="O118" s="20" t="s">
        <v>2203</v>
      </c>
      <c r="P118" s="20" t="s">
        <v>87</v>
      </c>
      <c r="Q118" s="20" t="s">
        <v>87</v>
      </c>
      <c r="R118" s="20" t="s">
        <v>2918</v>
      </c>
      <c r="S118" s="111">
        <v>46272</v>
      </c>
      <c r="T118" s="20" t="s">
        <v>206</v>
      </c>
      <c r="U118" s="20" t="s">
        <v>207</v>
      </c>
      <c r="V118" s="20" t="s">
        <v>2917</v>
      </c>
      <c r="W118" s="20">
        <v>146.49</v>
      </c>
      <c r="X118" s="20">
        <v>146.49</v>
      </c>
      <c r="Y118" s="20" t="s">
        <v>2918</v>
      </c>
      <c r="Z118" s="111">
        <v>46272</v>
      </c>
      <c r="AB118" s="20" t="s">
        <v>2376</v>
      </c>
      <c r="AD118" s="20" t="s">
        <v>2376</v>
      </c>
      <c r="AE118" s="20" t="s">
        <v>2376</v>
      </c>
      <c r="AF118" s="20">
        <v>0</v>
      </c>
      <c r="AG118" s="20">
        <v>0</v>
      </c>
      <c r="AH118" s="20">
        <v>0</v>
      </c>
      <c r="AI118" s="20">
        <v>0</v>
      </c>
      <c r="AJ118" s="20">
        <v>0</v>
      </c>
      <c r="AK118" s="20" t="s">
        <v>609</v>
      </c>
      <c r="AL118" s="20">
        <v>0</v>
      </c>
      <c r="AM118" s="20">
        <v>0</v>
      </c>
      <c r="AN118" s="20">
        <v>0</v>
      </c>
      <c r="AO118" s="20">
        <v>0</v>
      </c>
      <c r="AP118" s="20">
        <v>0</v>
      </c>
      <c r="AR118" s="20">
        <v>0</v>
      </c>
      <c r="AS118" s="20">
        <v>0</v>
      </c>
      <c r="AT118" s="20">
        <v>1274726.17</v>
      </c>
      <c r="AU118" s="20" t="s">
        <v>13</v>
      </c>
      <c r="AV118" s="20" t="s">
        <v>62</v>
      </c>
      <c r="AW118" s="111" t="s">
        <v>63</v>
      </c>
      <c r="AX118" s="20" t="s">
        <v>208</v>
      </c>
      <c r="AY118" s="19" t="s">
        <v>209</v>
      </c>
      <c r="AZ118" s="19">
        <v>0</v>
      </c>
      <c r="BA118" s="19">
        <v>569113.65</v>
      </c>
      <c r="BB118" s="19">
        <v>806</v>
      </c>
      <c r="BC118" s="66">
        <v>46272</v>
      </c>
      <c r="BD118" s="19" t="s">
        <v>65</v>
      </c>
      <c r="BE118" s="19" t="s">
        <v>210</v>
      </c>
      <c r="BF118" s="19" t="s">
        <v>210</v>
      </c>
      <c r="BG118" s="19">
        <v>9</v>
      </c>
      <c r="BH118" s="19">
        <v>51220.23</v>
      </c>
      <c r="BI118" s="19">
        <v>9</v>
      </c>
      <c r="BJ118" s="19">
        <v>51220.23</v>
      </c>
      <c r="BK118" s="19">
        <v>0</v>
      </c>
      <c r="BL118" s="19">
        <v>0</v>
      </c>
      <c r="BM118" s="19">
        <v>1274726.17</v>
      </c>
      <c r="BN118" s="19">
        <v>682141945536</v>
      </c>
      <c r="BO118" s="66">
        <v>46212</v>
      </c>
      <c r="BP118" s="19">
        <v>0</v>
      </c>
    </row>
    <row r="119" spans="1:68">
      <c r="A119" s="65"/>
      <c r="B119" s="20" t="s">
        <v>2216</v>
      </c>
      <c r="C119" s="111">
        <v>46272</v>
      </c>
      <c r="D119" s="20" t="s">
        <v>3623</v>
      </c>
      <c r="E119" s="20" t="s">
        <v>18</v>
      </c>
      <c r="F119" s="20" t="s">
        <v>19</v>
      </c>
      <c r="H119" s="20" t="s">
        <v>3622</v>
      </c>
      <c r="I119" s="20">
        <v>660</v>
      </c>
      <c r="J119" s="20">
        <v>660</v>
      </c>
      <c r="K119" s="20" t="s">
        <v>11</v>
      </c>
      <c r="L119" s="20">
        <v>660</v>
      </c>
      <c r="M119" s="20">
        <v>0</v>
      </c>
      <c r="N119" s="20">
        <v>660</v>
      </c>
      <c r="O119" s="20" t="s">
        <v>2203</v>
      </c>
      <c r="P119" s="20" t="s">
        <v>87</v>
      </c>
      <c r="Q119" s="20" t="s">
        <v>87</v>
      </c>
      <c r="R119" s="20" t="s">
        <v>2918</v>
      </c>
      <c r="S119" s="111">
        <v>46272</v>
      </c>
      <c r="T119" s="20" t="s">
        <v>206</v>
      </c>
      <c r="U119" s="20" t="s">
        <v>207</v>
      </c>
      <c r="V119" s="20" t="s">
        <v>2917</v>
      </c>
      <c r="W119" s="20">
        <v>147.49</v>
      </c>
      <c r="X119" s="20">
        <v>147.49</v>
      </c>
      <c r="Y119" s="20" t="s">
        <v>2918</v>
      </c>
      <c r="Z119" s="111">
        <v>46272</v>
      </c>
      <c r="AB119" s="20" t="s">
        <v>2376</v>
      </c>
      <c r="AD119" s="20" t="s">
        <v>2376</v>
      </c>
      <c r="AE119" s="20" t="s">
        <v>2376</v>
      </c>
      <c r="AF119" s="20">
        <v>0</v>
      </c>
      <c r="AG119" s="20">
        <v>0</v>
      </c>
      <c r="AH119" s="20">
        <v>0</v>
      </c>
      <c r="AI119" s="20">
        <v>0</v>
      </c>
      <c r="AJ119" s="20">
        <v>0</v>
      </c>
      <c r="AK119" s="20" t="s">
        <v>609</v>
      </c>
      <c r="AL119" s="20">
        <v>0</v>
      </c>
      <c r="AM119" s="20">
        <v>0</v>
      </c>
      <c r="AN119" s="20">
        <v>0</v>
      </c>
      <c r="AO119" s="20">
        <v>0</v>
      </c>
      <c r="AP119" s="20">
        <v>0</v>
      </c>
      <c r="AR119" s="20">
        <v>0</v>
      </c>
      <c r="AS119" s="20">
        <v>0</v>
      </c>
      <c r="AT119" s="20">
        <v>1274726.17</v>
      </c>
      <c r="AU119" s="20" t="s">
        <v>13</v>
      </c>
      <c r="AV119" s="20" t="s">
        <v>62</v>
      </c>
      <c r="AW119" s="111" t="s">
        <v>63</v>
      </c>
      <c r="AX119" s="20" t="s">
        <v>208</v>
      </c>
      <c r="AY119" s="19" t="s">
        <v>209</v>
      </c>
      <c r="AZ119" s="19">
        <v>0</v>
      </c>
      <c r="BA119" s="19">
        <v>97343.4</v>
      </c>
      <c r="BB119" s="19">
        <v>806</v>
      </c>
      <c r="BC119" s="66">
        <v>46272</v>
      </c>
      <c r="BD119" s="19" t="s">
        <v>65</v>
      </c>
      <c r="BE119" s="19" t="s">
        <v>210</v>
      </c>
      <c r="BF119" s="19" t="s">
        <v>210</v>
      </c>
      <c r="BG119" s="19">
        <v>9</v>
      </c>
      <c r="BH119" s="19">
        <v>8760.91</v>
      </c>
      <c r="BI119" s="19">
        <v>9</v>
      </c>
      <c r="BJ119" s="19">
        <v>8760.91</v>
      </c>
      <c r="BK119" s="19">
        <v>0</v>
      </c>
      <c r="BL119" s="19">
        <v>0</v>
      </c>
      <c r="BM119" s="19">
        <v>0</v>
      </c>
      <c r="BN119" s="19">
        <v>682141945536</v>
      </c>
      <c r="BO119" s="66">
        <v>46212</v>
      </c>
      <c r="BP119" s="19">
        <v>0</v>
      </c>
    </row>
    <row r="120" spans="1:68">
      <c r="A120" s="65"/>
      <c r="B120" s="20" t="s">
        <v>2216</v>
      </c>
      <c r="C120" s="111">
        <v>46272</v>
      </c>
      <c r="D120" s="20" t="s">
        <v>3623</v>
      </c>
      <c r="E120" s="20" t="s">
        <v>18</v>
      </c>
      <c r="F120" s="20" t="s">
        <v>19</v>
      </c>
      <c r="H120" s="20" t="s">
        <v>3622</v>
      </c>
      <c r="I120" s="20">
        <v>2864</v>
      </c>
      <c r="J120" s="20">
        <v>2864</v>
      </c>
      <c r="K120" s="20" t="s">
        <v>11</v>
      </c>
      <c r="L120" s="20">
        <v>2864</v>
      </c>
      <c r="M120" s="20">
        <v>0</v>
      </c>
      <c r="N120" s="20">
        <v>2864</v>
      </c>
      <c r="O120" s="20" t="s">
        <v>2203</v>
      </c>
      <c r="P120" s="20" t="s">
        <v>87</v>
      </c>
      <c r="Q120" s="20" t="s">
        <v>87</v>
      </c>
      <c r="R120" s="20" t="s">
        <v>2918</v>
      </c>
      <c r="S120" s="111">
        <v>46272</v>
      </c>
      <c r="T120" s="20" t="s">
        <v>206</v>
      </c>
      <c r="U120" s="20" t="s">
        <v>207</v>
      </c>
      <c r="V120" s="20" t="s">
        <v>2917</v>
      </c>
      <c r="W120" s="20">
        <v>144.49</v>
      </c>
      <c r="X120" s="20">
        <v>144.49</v>
      </c>
      <c r="Y120" s="20" t="s">
        <v>2918</v>
      </c>
      <c r="Z120" s="111">
        <v>46272</v>
      </c>
      <c r="AB120" s="20" t="s">
        <v>2376</v>
      </c>
      <c r="AD120" s="20" t="s">
        <v>2376</v>
      </c>
      <c r="AE120" s="20" t="s">
        <v>2376</v>
      </c>
      <c r="AF120" s="20">
        <v>0</v>
      </c>
      <c r="AG120" s="20">
        <v>0</v>
      </c>
      <c r="AH120" s="20">
        <v>0</v>
      </c>
      <c r="AI120" s="20">
        <v>0</v>
      </c>
      <c r="AJ120" s="20">
        <v>0</v>
      </c>
      <c r="AK120" s="20" t="s">
        <v>609</v>
      </c>
      <c r="AL120" s="20">
        <v>0</v>
      </c>
      <c r="AM120" s="20">
        <v>0</v>
      </c>
      <c r="AN120" s="20">
        <v>0</v>
      </c>
      <c r="AO120" s="20">
        <v>0</v>
      </c>
      <c r="AP120" s="20">
        <v>0</v>
      </c>
      <c r="AR120" s="20">
        <v>0</v>
      </c>
      <c r="AS120" s="20">
        <v>0</v>
      </c>
      <c r="AT120" s="20">
        <v>1274726.17</v>
      </c>
      <c r="AU120" s="20" t="s">
        <v>13</v>
      </c>
      <c r="AV120" s="20" t="s">
        <v>62</v>
      </c>
      <c r="AW120" s="111" t="s">
        <v>63</v>
      </c>
      <c r="AX120" s="20" t="s">
        <v>208</v>
      </c>
      <c r="AY120" s="19" t="s">
        <v>209</v>
      </c>
      <c r="AZ120" s="19">
        <v>0</v>
      </c>
      <c r="BA120" s="19">
        <v>413819.36</v>
      </c>
      <c r="BB120" s="19">
        <v>806</v>
      </c>
      <c r="BC120" s="66">
        <v>46272</v>
      </c>
      <c r="BD120" s="19" t="s">
        <v>65</v>
      </c>
      <c r="BE120" s="19" t="s">
        <v>210</v>
      </c>
      <c r="BF120" s="19" t="s">
        <v>210</v>
      </c>
      <c r="BG120" s="19">
        <v>9</v>
      </c>
      <c r="BH120" s="19">
        <v>37243.74</v>
      </c>
      <c r="BI120" s="19">
        <v>9</v>
      </c>
      <c r="BJ120" s="19">
        <v>37243.74</v>
      </c>
      <c r="BK120" s="19">
        <v>0</v>
      </c>
      <c r="BL120" s="19">
        <v>0</v>
      </c>
      <c r="BM120" s="19">
        <v>0</v>
      </c>
      <c r="BN120" s="19">
        <v>682141945536</v>
      </c>
      <c r="BO120" s="66">
        <v>46212</v>
      </c>
      <c r="BP120" s="19">
        <v>0</v>
      </c>
    </row>
    <row r="121" spans="1:68">
      <c r="A121" s="65"/>
      <c r="B121" s="20" t="s">
        <v>2216</v>
      </c>
      <c r="C121" s="111">
        <v>46272</v>
      </c>
      <c r="D121" s="20" t="s">
        <v>3624</v>
      </c>
      <c r="E121" s="20" t="s">
        <v>18</v>
      </c>
      <c r="F121" s="20" t="s">
        <v>19</v>
      </c>
      <c r="H121" s="20" t="s">
        <v>3625</v>
      </c>
      <c r="I121" s="20">
        <v>391</v>
      </c>
      <c r="J121" s="20">
        <v>391</v>
      </c>
      <c r="K121" s="20" t="s">
        <v>11</v>
      </c>
      <c r="L121" s="20">
        <v>391</v>
      </c>
      <c r="M121" s="20">
        <v>0</v>
      </c>
      <c r="N121" s="20">
        <v>391</v>
      </c>
      <c r="O121" s="20" t="s">
        <v>2201</v>
      </c>
      <c r="P121" s="20" t="s">
        <v>87</v>
      </c>
      <c r="Q121" s="20" t="s">
        <v>87</v>
      </c>
      <c r="R121" s="20" t="s">
        <v>2920</v>
      </c>
      <c r="S121" s="111">
        <v>46272</v>
      </c>
      <c r="T121" s="20" t="s">
        <v>206</v>
      </c>
      <c r="U121" s="20" t="s">
        <v>207</v>
      </c>
      <c r="V121" s="20" t="s">
        <v>2919</v>
      </c>
      <c r="W121" s="20">
        <v>146.49</v>
      </c>
      <c r="X121" s="20">
        <v>146.48999941117501</v>
      </c>
      <c r="Y121" s="20" t="s">
        <v>2920</v>
      </c>
      <c r="Z121" s="111">
        <v>46272</v>
      </c>
      <c r="AB121" s="20" t="s">
        <v>2376</v>
      </c>
      <c r="AD121" s="20" t="s">
        <v>2376</v>
      </c>
      <c r="AE121" s="20" t="s">
        <v>2376</v>
      </c>
      <c r="AF121" s="20">
        <v>0</v>
      </c>
      <c r="AG121" s="20">
        <v>0</v>
      </c>
      <c r="AH121" s="20">
        <v>0</v>
      </c>
      <c r="AI121" s="20">
        <v>0</v>
      </c>
      <c r="AJ121" s="20">
        <v>0</v>
      </c>
      <c r="AK121" s="20" t="s">
        <v>609</v>
      </c>
      <c r="AL121" s="20">
        <v>0</v>
      </c>
      <c r="AM121" s="20">
        <v>0</v>
      </c>
      <c r="AN121" s="20">
        <v>0</v>
      </c>
      <c r="AO121" s="20">
        <v>0</v>
      </c>
      <c r="AP121" s="20">
        <v>0</v>
      </c>
      <c r="AR121" s="20">
        <v>0</v>
      </c>
      <c r="AS121" s="20">
        <v>0</v>
      </c>
      <c r="AT121" s="20">
        <v>1492700.71</v>
      </c>
      <c r="AU121" s="20" t="s">
        <v>13</v>
      </c>
      <c r="AV121" s="20" t="s">
        <v>62</v>
      </c>
      <c r="AW121" s="111" t="s">
        <v>63</v>
      </c>
      <c r="AX121" s="20" t="s">
        <v>208</v>
      </c>
      <c r="AY121" s="19" t="s">
        <v>209</v>
      </c>
      <c r="AZ121" s="19">
        <v>0</v>
      </c>
      <c r="BA121" s="19">
        <v>57277.59</v>
      </c>
      <c r="BB121" s="19">
        <v>812</v>
      </c>
      <c r="BC121" s="66">
        <v>46272</v>
      </c>
      <c r="BD121" s="19" t="s">
        <v>65</v>
      </c>
      <c r="BE121" s="19" t="s">
        <v>210</v>
      </c>
      <c r="BF121" s="19" t="s">
        <v>210</v>
      </c>
      <c r="BG121" s="19">
        <v>9</v>
      </c>
      <c r="BH121" s="19">
        <v>5154.9799999999996</v>
      </c>
      <c r="BI121" s="19">
        <v>9</v>
      </c>
      <c r="BJ121" s="19">
        <v>5154.9799999999996</v>
      </c>
      <c r="BK121" s="19">
        <v>0</v>
      </c>
      <c r="BL121" s="19">
        <v>0</v>
      </c>
      <c r="BM121" s="19">
        <v>1492700.71</v>
      </c>
      <c r="BN121" s="19">
        <v>682142055933</v>
      </c>
      <c r="BO121" s="66">
        <v>46212</v>
      </c>
      <c r="BP121" s="19">
        <v>0</v>
      </c>
    </row>
    <row r="122" spans="1:68">
      <c r="A122" s="65"/>
      <c r="B122" s="20" t="s">
        <v>2216</v>
      </c>
      <c r="C122" s="111">
        <v>46272</v>
      </c>
      <c r="D122" s="20" t="s">
        <v>3624</v>
      </c>
      <c r="E122" s="20" t="s">
        <v>18</v>
      </c>
      <c r="F122" s="20" t="s">
        <v>19</v>
      </c>
      <c r="H122" s="20" t="s">
        <v>3625</v>
      </c>
      <c r="I122" s="20">
        <v>1402</v>
      </c>
      <c r="J122" s="20">
        <v>1402</v>
      </c>
      <c r="K122" s="20" t="s">
        <v>11</v>
      </c>
      <c r="L122" s="20">
        <v>1402</v>
      </c>
      <c r="M122" s="20">
        <v>0</v>
      </c>
      <c r="N122" s="20">
        <v>1402</v>
      </c>
      <c r="O122" s="20" t="s">
        <v>2201</v>
      </c>
      <c r="P122" s="20" t="s">
        <v>87</v>
      </c>
      <c r="Q122" s="20" t="s">
        <v>87</v>
      </c>
      <c r="R122" s="20" t="s">
        <v>2920</v>
      </c>
      <c r="S122" s="111">
        <v>46272</v>
      </c>
      <c r="T122" s="20" t="s">
        <v>206</v>
      </c>
      <c r="U122" s="20" t="s">
        <v>207</v>
      </c>
      <c r="V122" s="20" t="s">
        <v>2919</v>
      </c>
      <c r="W122" s="20">
        <v>144.49</v>
      </c>
      <c r="X122" s="20">
        <v>144.489999419214</v>
      </c>
      <c r="Y122" s="20" t="s">
        <v>2920</v>
      </c>
      <c r="Z122" s="111">
        <v>46272</v>
      </c>
      <c r="AB122" s="20" t="s">
        <v>2376</v>
      </c>
      <c r="AD122" s="20" t="s">
        <v>2376</v>
      </c>
      <c r="AE122" s="20" t="s">
        <v>2376</v>
      </c>
      <c r="AF122" s="20">
        <v>0</v>
      </c>
      <c r="AG122" s="20">
        <v>0</v>
      </c>
      <c r="AH122" s="20">
        <v>0</v>
      </c>
      <c r="AI122" s="20">
        <v>0</v>
      </c>
      <c r="AJ122" s="20">
        <v>0</v>
      </c>
      <c r="AK122" s="20" t="s">
        <v>609</v>
      </c>
      <c r="AL122" s="20">
        <v>0</v>
      </c>
      <c r="AM122" s="20">
        <v>0</v>
      </c>
      <c r="AN122" s="20">
        <v>0</v>
      </c>
      <c r="AO122" s="20">
        <v>0</v>
      </c>
      <c r="AP122" s="20">
        <v>0</v>
      </c>
      <c r="AR122" s="20">
        <v>0</v>
      </c>
      <c r="AS122" s="20">
        <v>0</v>
      </c>
      <c r="AT122" s="20">
        <v>1492700.71</v>
      </c>
      <c r="AU122" s="20" t="s">
        <v>13</v>
      </c>
      <c r="AV122" s="20" t="s">
        <v>62</v>
      </c>
      <c r="AW122" s="111" t="s">
        <v>63</v>
      </c>
      <c r="AX122" s="20" t="s">
        <v>208</v>
      </c>
      <c r="AY122" s="19" t="s">
        <v>209</v>
      </c>
      <c r="AZ122" s="19">
        <v>0</v>
      </c>
      <c r="BA122" s="19">
        <v>202574.98</v>
      </c>
      <c r="BB122" s="19">
        <v>812</v>
      </c>
      <c r="BC122" s="66">
        <v>46272</v>
      </c>
      <c r="BD122" s="19" t="s">
        <v>65</v>
      </c>
      <c r="BE122" s="19" t="s">
        <v>210</v>
      </c>
      <c r="BF122" s="19" t="s">
        <v>210</v>
      </c>
      <c r="BG122" s="19">
        <v>9</v>
      </c>
      <c r="BH122" s="19">
        <v>18231.75</v>
      </c>
      <c r="BI122" s="19">
        <v>9</v>
      </c>
      <c r="BJ122" s="19">
        <v>18231.75</v>
      </c>
      <c r="BK122" s="19">
        <v>0</v>
      </c>
      <c r="BL122" s="19">
        <v>0</v>
      </c>
      <c r="BM122" s="19">
        <v>0</v>
      </c>
      <c r="BN122" s="19">
        <v>682142055933</v>
      </c>
      <c r="BO122" s="66">
        <v>46212</v>
      </c>
      <c r="BP122" s="19">
        <v>0</v>
      </c>
    </row>
    <row r="123" spans="1:68">
      <c r="A123" s="65"/>
      <c r="B123" s="20" t="s">
        <v>2216</v>
      </c>
      <c r="C123" s="111">
        <v>46272</v>
      </c>
      <c r="D123" s="20" t="s">
        <v>3624</v>
      </c>
      <c r="E123" s="20" t="s">
        <v>20</v>
      </c>
      <c r="F123" s="20" t="s">
        <v>21</v>
      </c>
      <c r="H123" s="20" t="s">
        <v>3625</v>
      </c>
      <c r="I123" s="20">
        <v>614</v>
      </c>
      <c r="J123" s="20">
        <v>614</v>
      </c>
      <c r="K123" s="20" t="s">
        <v>11</v>
      </c>
      <c r="L123" s="20">
        <v>614</v>
      </c>
      <c r="M123" s="20">
        <v>0</v>
      </c>
      <c r="N123" s="20">
        <v>614</v>
      </c>
      <c r="O123" s="20" t="s">
        <v>2201</v>
      </c>
      <c r="P123" s="20" t="s">
        <v>87</v>
      </c>
      <c r="Q123" s="20" t="s">
        <v>87</v>
      </c>
      <c r="R123" s="20" t="s">
        <v>2920</v>
      </c>
      <c r="S123" s="111">
        <v>46272</v>
      </c>
      <c r="T123" s="20" t="s">
        <v>206</v>
      </c>
      <c r="U123" s="20" t="s">
        <v>207</v>
      </c>
      <c r="V123" s="20" t="s">
        <v>2919</v>
      </c>
      <c r="W123" s="20">
        <v>151.49</v>
      </c>
      <c r="X123" s="20">
        <v>151.48999939107699</v>
      </c>
      <c r="Y123" s="20" t="s">
        <v>2920</v>
      </c>
      <c r="Z123" s="111">
        <v>46272</v>
      </c>
      <c r="AB123" s="20" t="s">
        <v>2376</v>
      </c>
      <c r="AD123" s="20" t="s">
        <v>2376</v>
      </c>
      <c r="AE123" s="20" t="s">
        <v>2376</v>
      </c>
      <c r="AF123" s="20">
        <v>0</v>
      </c>
      <c r="AG123" s="20">
        <v>0</v>
      </c>
      <c r="AH123" s="20">
        <v>0</v>
      </c>
      <c r="AI123" s="20">
        <v>0</v>
      </c>
      <c r="AJ123" s="20">
        <v>0</v>
      </c>
      <c r="AK123" s="20" t="s">
        <v>609</v>
      </c>
      <c r="AL123" s="20">
        <v>0</v>
      </c>
      <c r="AM123" s="20">
        <v>0</v>
      </c>
      <c r="AN123" s="20">
        <v>0</v>
      </c>
      <c r="AO123" s="20">
        <v>0</v>
      </c>
      <c r="AP123" s="20">
        <v>0</v>
      </c>
      <c r="AR123" s="20">
        <v>0</v>
      </c>
      <c r="AS123" s="20">
        <v>0</v>
      </c>
      <c r="AT123" s="20">
        <v>1492700.71</v>
      </c>
      <c r="AU123" s="20" t="s">
        <v>13</v>
      </c>
      <c r="AV123" s="20" t="s">
        <v>62</v>
      </c>
      <c r="AW123" s="111" t="s">
        <v>76</v>
      </c>
      <c r="AX123" s="20" t="s">
        <v>208</v>
      </c>
      <c r="AY123" s="19" t="s">
        <v>209</v>
      </c>
      <c r="AZ123" s="19">
        <v>0</v>
      </c>
      <c r="BA123" s="19">
        <v>93014.86</v>
      </c>
      <c r="BB123" s="19">
        <v>812</v>
      </c>
      <c r="BC123" s="66">
        <v>46272</v>
      </c>
      <c r="BD123" s="19" t="s">
        <v>65</v>
      </c>
      <c r="BE123" s="19" t="s">
        <v>210</v>
      </c>
      <c r="BF123" s="19" t="s">
        <v>210</v>
      </c>
      <c r="BG123" s="19">
        <v>9</v>
      </c>
      <c r="BH123" s="19">
        <v>8371.34</v>
      </c>
      <c r="BI123" s="19">
        <v>9</v>
      </c>
      <c r="BJ123" s="19">
        <v>8371.34</v>
      </c>
      <c r="BK123" s="19">
        <v>0</v>
      </c>
      <c r="BL123" s="19">
        <v>0</v>
      </c>
      <c r="BM123" s="19">
        <v>0</v>
      </c>
      <c r="BN123" s="19">
        <v>682142055933</v>
      </c>
      <c r="BO123" s="66">
        <v>46212</v>
      </c>
      <c r="BP123" s="19">
        <v>0</v>
      </c>
    </row>
    <row r="124" spans="1:68">
      <c r="A124" s="65"/>
      <c r="B124" s="20" t="s">
        <v>2216</v>
      </c>
      <c r="C124" s="111">
        <v>46272</v>
      </c>
      <c r="D124" s="20" t="s">
        <v>3624</v>
      </c>
      <c r="E124" s="20" t="s">
        <v>160</v>
      </c>
      <c r="F124" s="20" t="s">
        <v>17</v>
      </c>
      <c r="H124" s="20" t="s">
        <v>3625</v>
      </c>
      <c r="I124" s="20">
        <v>3320</v>
      </c>
      <c r="J124" s="20">
        <v>3320</v>
      </c>
      <c r="K124" s="20" t="s">
        <v>11</v>
      </c>
      <c r="L124" s="20">
        <v>3320</v>
      </c>
      <c r="M124" s="20">
        <v>0</v>
      </c>
      <c r="N124" s="20">
        <v>3320</v>
      </c>
      <c r="O124" s="20" t="s">
        <v>2201</v>
      </c>
      <c r="P124" s="20" t="s">
        <v>87</v>
      </c>
      <c r="Q124" s="20" t="s">
        <v>87</v>
      </c>
      <c r="R124" s="20" t="s">
        <v>2920</v>
      </c>
      <c r="S124" s="111">
        <v>46272</v>
      </c>
      <c r="T124" s="20" t="s">
        <v>206</v>
      </c>
      <c r="U124" s="20" t="s">
        <v>207</v>
      </c>
      <c r="V124" s="20" t="s">
        <v>2919</v>
      </c>
      <c r="W124" s="20">
        <v>182.78</v>
      </c>
      <c r="X124" s="20">
        <v>182.77999926530501</v>
      </c>
      <c r="Y124" s="20" t="s">
        <v>2920</v>
      </c>
      <c r="Z124" s="111">
        <v>46272</v>
      </c>
      <c r="AB124" s="20" t="s">
        <v>2376</v>
      </c>
      <c r="AD124" s="20" t="s">
        <v>2376</v>
      </c>
      <c r="AE124" s="20" t="s">
        <v>2376</v>
      </c>
      <c r="AF124" s="20">
        <v>0</v>
      </c>
      <c r="AG124" s="20">
        <v>0</v>
      </c>
      <c r="AH124" s="20">
        <v>0</v>
      </c>
      <c r="AI124" s="20">
        <v>0</v>
      </c>
      <c r="AJ124" s="20">
        <v>0</v>
      </c>
      <c r="AK124" s="20" t="s">
        <v>609</v>
      </c>
      <c r="AL124" s="20">
        <v>0</v>
      </c>
      <c r="AM124" s="20">
        <v>0</v>
      </c>
      <c r="AN124" s="20">
        <v>0</v>
      </c>
      <c r="AO124" s="20">
        <v>0</v>
      </c>
      <c r="AP124" s="20">
        <v>0</v>
      </c>
      <c r="AR124" s="20">
        <v>0</v>
      </c>
      <c r="AS124" s="20">
        <v>0</v>
      </c>
      <c r="AT124" s="20">
        <v>1492700.71</v>
      </c>
      <c r="AU124" s="20" t="s">
        <v>13</v>
      </c>
      <c r="AV124" s="20" t="s">
        <v>80</v>
      </c>
      <c r="AW124" s="111" t="s">
        <v>81</v>
      </c>
      <c r="AX124" s="20" t="s">
        <v>208</v>
      </c>
      <c r="AY124" s="19" t="s">
        <v>209</v>
      </c>
      <c r="AZ124" s="19">
        <v>0</v>
      </c>
      <c r="BA124" s="19">
        <v>606829.6</v>
      </c>
      <c r="BB124" s="19">
        <v>812</v>
      </c>
      <c r="BC124" s="66">
        <v>46272</v>
      </c>
      <c r="BD124" s="19" t="s">
        <v>65</v>
      </c>
      <c r="BE124" s="19" t="s">
        <v>210</v>
      </c>
      <c r="BF124" s="19" t="s">
        <v>210</v>
      </c>
      <c r="BG124" s="19">
        <v>9</v>
      </c>
      <c r="BH124" s="19">
        <v>54614.66</v>
      </c>
      <c r="BI124" s="19">
        <v>9</v>
      </c>
      <c r="BJ124" s="19">
        <v>54614.66</v>
      </c>
      <c r="BK124" s="19">
        <v>0</v>
      </c>
      <c r="BL124" s="19">
        <v>0</v>
      </c>
      <c r="BM124" s="19">
        <v>0</v>
      </c>
      <c r="BN124" s="19">
        <v>682142055933</v>
      </c>
      <c r="BO124" s="66">
        <v>46212</v>
      </c>
      <c r="BP124" s="19">
        <v>0</v>
      </c>
    </row>
    <row r="125" spans="1:68">
      <c r="A125" s="65"/>
      <c r="B125" s="20" t="s">
        <v>2216</v>
      </c>
      <c r="C125" s="111">
        <v>46272</v>
      </c>
      <c r="D125" s="20" t="s">
        <v>3624</v>
      </c>
      <c r="E125" s="20" t="s">
        <v>23</v>
      </c>
      <c r="F125" s="20" t="s">
        <v>24</v>
      </c>
      <c r="H125" s="20" t="s">
        <v>3625</v>
      </c>
      <c r="I125" s="20">
        <v>1109.7</v>
      </c>
      <c r="J125" s="20">
        <v>1109.7</v>
      </c>
      <c r="K125" s="20" t="s">
        <v>11</v>
      </c>
      <c r="L125" s="20">
        <v>1109.7</v>
      </c>
      <c r="M125" s="20">
        <v>0</v>
      </c>
      <c r="N125" s="20">
        <v>1109.7</v>
      </c>
      <c r="O125" s="20" t="s">
        <v>2201</v>
      </c>
      <c r="P125" s="20" t="s">
        <v>87</v>
      </c>
      <c r="Q125" s="20" t="s">
        <v>87</v>
      </c>
      <c r="R125" s="20" t="s">
        <v>2920</v>
      </c>
      <c r="S125" s="111">
        <v>46272</v>
      </c>
      <c r="T125" s="20" t="s">
        <v>206</v>
      </c>
      <c r="U125" s="20" t="s">
        <v>207</v>
      </c>
      <c r="V125" s="20" t="s">
        <v>2919</v>
      </c>
      <c r="W125" s="20">
        <v>149.49</v>
      </c>
      <c r="X125" s="20">
        <v>149.48999939911599</v>
      </c>
      <c r="Y125" s="20" t="s">
        <v>2920</v>
      </c>
      <c r="Z125" s="111">
        <v>46272</v>
      </c>
      <c r="AB125" s="20" t="s">
        <v>2376</v>
      </c>
      <c r="AD125" s="20" t="s">
        <v>2376</v>
      </c>
      <c r="AE125" s="20" t="s">
        <v>2376</v>
      </c>
      <c r="AF125" s="20">
        <v>0</v>
      </c>
      <c r="AG125" s="20">
        <v>0</v>
      </c>
      <c r="AH125" s="20">
        <v>0</v>
      </c>
      <c r="AI125" s="20">
        <v>0</v>
      </c>
      <c r="AJ125" s="20">
        <v>0</v>
      </c>
      <c r="AK125" s="20" t="s">
        <v>609</v>
      </c>
      <c r="AL125" s="20">
        <v>0</v>
      </c>
      <c r="AM125" s="20">
        <v>0</v>
      </c>
      <c r="AN125" s="20">
        <v>0</v>
      </c>
      <c r="AO125" s="20">
        <v>0</v>
      </c>
      <c r="AP125" s="20">
        <v>0</v>
      </c>
      <c r="AR125" s="20">
        <v>0</v>
      </c>
      <c r="AS125" s="20">
        <v>0</v>
      </c>
      <c r="AT125" s="20">
        <v>1492700.71</v>
      </c>
      <c r="AU125" s="20" t="s">
        <v>13</v>
      </c>
      <c r="AV125" s="20" t="s">
        <v>24</v>
      </c>
      <c r="AW125" s="111" t="s">
        <v>79</v>
      </c>
      <c r="AX125" s="20" t="s">
        <v>208</v>
      </c>
      <c r="AY125" s="19" t="s">
        <v>209</v>
      </c>
      <c r="AZ125" s="19">
        <v>0</v>
      </c>
      <c r="BA125" s="19">
        <v>165889.04999999999</v>
      </c>
      <c r="BB125" s="19">
        <v>812</v>
      </c>
      <c r="BC125" s="66">
        <v>46272</v>
      </c>
      <c r="BD125" s="19" t="s">
        <v>65</v>
      </c>
      <c r="BE125" s="19" t="s">
        <v>210</v>
      </c>
      <c r="BF125" s="19" t="s">
        <v>210</v>
      </c>
      <c r="BG125" s="19">
        <v>9</v>
      </c>
      <c r="BH125" s="19">
        <v>14930.01</v>
      </c>
      <c r="BI125" s="19">
        <v>9</v>
      </c>
      <c r="BJ125" s="19">
        <v>14930.01</v>
      </c>
      <c r="BK125" s="19">
        <v>0</v>
      </c>
      <c r="BL125" s="19">
        <v>0</v>
      </c>
      <c r="BM125" s="19">
        <v>0</v>
      </c>
      <c r="BN125" s="19">
        <v>682142055933</v>
      </c>
      <c r="BO125" s="66">
        <v>46212</v>
      </c>
      <c r="BP125" s="19">
        <v>0</v>
      </c>
    </row>
    <row r="126" spans="1:68">
      <c r="A126" s="65"/>
      <c r="B126" s="20" t="s">
        <v>2216</v>
      </c>
      <c r="C126" s="111">
        <v>46272</v>
      </c>
      <c r="D126" s="20" t="s">
        <v>3624</v>
      </c>
      <c r="E126" s="20" t="s">
        <v>23</v>
      </c>
      <c r="F126" s="20" t="s">
        <v>24</v>
      </c>
      <c r="H126" s="20" t="s">
        <v>3625</v>
      </c>
      <c r="I126" s="20">
        <v>951.7</v>
      </c>
      <c r="J126" s="20">
        <v>951.7</v>
      </c>
      <c r="K126" s="20" t="s">
        <v>11</v>
      </c>
      <c r="L126" s="20">
        <v>951.7</v>
      </c>
      <c r="M126" s="20">
        <v>0</v>
      </c>
      <c r="N126" s="20">
        <v>951.7</v>
      </c>
      <c r="O126" s="20" t="s">
        <v>2201</v>
      </c>
      <c r="P126" s="20" t="s">
        <v>87</v>
      </c>
      <c r="Q126" s="20" t="s">
        <v>87</v>
      </c>
      <c r="R126" s="20" t="s">
        <v>2920</v>
      </c>
      <c r="S126" s="111">
        <v>46272</v>
      </c>
      <c r="T126" s="20" t="s">
        <v>206</v>
      </c>
      <c r="U126" s="20" t="s">
        <v>207</v>
      </c>
      <c r="V126" s="20" t="s">
        <v>2919</v>
      </c>
      <c r="W126" s="20">
        <v>146.49</v>
      </c>
      <c r="X126" s="20">
        <v>146.48999941117501</v>
      </c>
      <c r="Y126" s="20" t="s">
        <v>2920</v>
      </c>
      <c r="Z126" s="111">
        <v>46272</v>
      </c>
      <c r="AB126" s="20" t="s">
        <v>2376</v>
      </c>
      <c r="AD126" s="20" t="s">
        <v>2376</v>
      </c>
      <c r="AE126" s="20" t="s">
        <v>2376</v>
      </c>
      <c r="AF126" s="20">
        <v>0</v>
      </c>
      <c r="AG126" s="20">
        <v>0</v>
      </c>
      <c r="AH126" s="20">
        <v>0</v>
      </c>
      <c r="AI126" s="20">
        <v>0</v>
      </c>
      <c r="AJ126" s="20">
        <v>0</v>
      </c>
      <c r="AK126" s="20" t="s">
        <v>609</v>
      </c>
      <c r="AL126" s="20">
        <v>0</v>
      </c>
      <c r="AM126" s="20">
        <v>0</v>
      </c>
      <c r="AN126" s="20">
        <v>0</v>
      </c>
      <c r="AO126" s="20">
        <v>0</v>
      </c>
      <c r="AP126" s="20">
        <v>0</v>
      </c>
      <c r="AR126" s="20">
        <v>0</v>
      </c>
      <c r="AS126" s="20">
        <v>0</v>
      </c>
      <c r="AT126" s="20">
        <v>1492700.71</v>
      </c>
      <c r="AU126" s="20" t="s">
        <v>13</v>
      </c>
      <c r="AV126" s="20" t="s">
        <v>24</v>
      </c>
      <c r="AW126" s="111" t="s">
        <v>79</v>
      </c>
      <c r="AX126" s="20" t="s">
        <v>208</v>
      </c>
      <c r="AY126" s="19" t="s">
        <v>209</v>
      </c>
      <c r="AZ126" s="19">
        <v>0</v>
      </c>
      <c r="BA126" s="19">
        <v>139414.53</v>
      </c>
      <c r="BB126" s="19">
        <v>812</v>
      </c>
      <c r="BC126" s="66">
        <v>46272</v>
      </c>
      <c r="BD126" s="19" t="s">
        <v>65</v>
      </c>
      <c r="BE126" s="19" t="s">
        <v>210</v>
      </c>
      <c r="BF126" s="19" t="s">
        <v>210</v>
      </c>
      <c r="BG126" s="19">
        <v>9</v>
      </c>
      <c r="BH126" s="19">
        <v>12547.31</v>
      </c>
      <c r="BI126" s="19">
        <v>9</v>
      </c>
      <c r="BJ126" s="19">
        <v>12547.31</v>
      </c>
      <c r="BK126" s="19">
        <v>0</v>
      </c>
      <c r="BL126" s="19">
        <v>0</v>
      </c>
      <c r="BM126" s="19">
        <v>0</v>
      </c>
      <c r="BN126" s="19">
        <v>682142055933</v>
      </c>
      <c r="BO126" s="66">
        <v>46212</v>
      </c>
      <c r="BP126" s="19">
        <v>0</v>
      </c>
    </row>
    <row r="127" spans="1:68">
      <c r="A127" s="65"/>
      <c r="B127" s="20" t="s">
        <v>2216</v>
      </c>
      <c r="C127" s="111">
        <v>46302</v>
      </c>
      <c r="D127" s="20" t="s">
        <v>3626</v>
      </c>
      <c r="E127" s="20" t="s">
        <v>2519</v>
      </c>
      <c r="F127" s="20" t="s">
        <v>2117</v>
      </c>
      <c r="H127" s="20" t="s">
        <v>3627</v>
      </c>
      <c r="I127" s="20">
        <v>604</v>
      </c>
      <c r="J127" s="20">
        <v>604</v>
      </c>
      <c r="K127" s="20" t="s">
        <v>11</v>
      </c>
      <c r="L127" s="20">
        <v>604</v>
      </c>
      <c r="M127" s="20">
        <v>0</v>
      </c>
      <c r="N127" s="20">
        <v>604</v>
      </c>
      <c r="O127" s="20" t="s">
        <v>2204</v>
      </c>
      <c r="P127" s="20" t="s">
        <v>94</v>
      </c>
      <c r="Q127" s="20" t="s">
        <v>94</v>
      </c>
      <c r="R127" s="20" t="s">
        <v>2953</v>
      </c>
      <c r="S127" s="111">
        <v>46272</v>
      </c>
      <c r="T127" s="20" t="s">
        <v>206</v>
      </c>
      <c r="U127" s="20" t="s">
        <v>207</v>
      </c>
      <c r="V127" s="20" t="s">
        <v>2952</v>
      </c>
      <c r="W127" s="20">
        <v>154.74</v>
      </c>
      <c r="X127" s="20">
        <v>154.74000183194499</v>
      </c>
      <c r="Y127" s="20" t="s">
        <v>2953</v>
      </c>
      <c r="Z127" s="111">
        <v>46272</v>
      </c>
      <c r="AB127" s="20" t="s">
        <v>2376</v>
      </c>
      <c r="AD127" s="20" t="s">
        <v>2376</v>
      </c>
      <c r="AE127" s="20" t="s">
        <v>2376</v>
      </c>
      <c r="AF127" s="20">
        <v>0</v>
      </c>
      <c r="AG127" s="20">
        <v>0</v>
      </c>
      <c r="AH127" s="20">
        <v>0</v>
      </c>
      <c r="AI127" s="20">
        <v>0</v>
      </c>
      <c r="AJ127" s="20">
        <v>0</v>
      </c>
      <c r="AK127" s="20" t="s">
        <v>609</v>
      </c>
      <c r="AL127" s="20">
        <v>0</v>
      </c>
      <c r="AM127" s="20">
        <v>0</v>
      </c>
      <c r="AN127" s="20">
        <v>0</v>
      </c>
      <c r="AO127" s="20">
        <v>0</v>
      </c>
      <c r="AP127" s="20">
        <v>0</v>
      </c>
      <c r="AR127" s="20">
        <v>0</v>
      </c>
      <c r="AS127" s="20">
        <v>0</v>
      </c>
      <c r="AT127" s="20">
        <v>168935.23</v>
      </c>
      <c r="AU127" s="20" t="s">
        <v>15</v>
      </c>
      <c r="AV127" s="20" t="s">
        <v>2117</v>
      </c>
      <c r="AW127" s="111" t="s">
        <v>2117</v>
      </c>
      <c r="AX127" s="20" t="s">
        <v>208</v>
      </c>
      <c r="AY127" s="19" t="s">
        <v>209</v>
      </c>
      <c r="AZ127" s="19">
        <v>0</v>
      </c>
      <c r="BA127" s="19">
        <v>93462.96</v>
      </c>
      <c r="BB127" s="19">
        <v>814</v>
      </c>
      <c r="BC127" s="66">
        <v>46302</v>
      </c>
      <c r="BD127" s="19" t="s">
        <v>74</v>
      </c>
      <c r="BE127" s="19" t="s">
        <v>210</v>
      </c>
      <c r="BF127" s="19" t="s">
        <v>210</v>
      </c>
      <c r="BG127" s="19">
        <v>9</v>
      </c>
      <c r="BH127" s="19">
        <v>8411.67</v>
      </c>
      <c r="BI127" s="19">
        <v>9</v>
      </c>
      <c r="BJ127" s="19">
        <v>8411.67</v>
      </c>
      <c r="BK127" s="19">
        <v>0</v>
      </c>
      <c r="BL127" s="19">
        <v>0</v>
      </c>
      <c r="BM127" s="19">
        <v>168935.23</v>
      </c>
      <c r="BN127" s="19">
        <v>642142230596</v>
      </c>
      <c r="BO127" s="66">
        <v>46212</v>
      </c>
      <c r="BP127" s="19">
        <v>0</v>
      </c>
    </row>
    <row r="128" spans="1:68">
      <c r="A128" s="65"/>
      <c r="B128" s="20" t="s">
        <v>2216</v>
      </c>
      <c r="C128" s="111">
        <v>46302</v>
      </c>
      <c r="D128" s="20" t="s">
        <v>3626</v>
      </c>
      <c r="E128" s="20" t="s">
        <v>18</v>
      </c>
      <c r="F128" s="20" t="s">
        <v>19</v>
      </c>
      <c r="H128" s="20" t="s">
        <v>3627</v>
      </c>
      <c r="I128" s="20">
        <v>321.2</v>
      </c>
      <c r="J128" s="20">
        <v>321.2</v>
      </c>
      <c r="K128" s="20" t="s">
        <v>11</v>
      </c>
      <c r="L128" s="20">
        <v>321.2</v>
      </c>
      <c r="M128" s="20">
        <v>0</v>
      </c>
      <c r="N128" s="20">
        <v>321.2</v>
      </c>
      <c r="O128" s="20" t="s">
        <v>2204</v>
      </c>
      <c r="P128" s="20" t="s">
        <v>94</v>
      </c>
      <c r="Q128" s="20" t="s">
        <v>94</v>
      </c>
      <c r="R128" s="20" t="s">
        <v>2953</v>
      </c>
      <c r="S128" s="111">
        <v>46272</v>
      </c>
      <c r="T128" s="20" t="s">
        <v>206</v>
      </c>
      <c r="U128" s="20" t="s">
        <v>207</v>
      </c>
      <c r="V128" s="20" t="s">
        <v>2952</v>
      </c>
      <c r="W128" s="20">
        <v>154.74</v>
      </c>
      <c r="X128" s="20">
        <v>154.74000183194499</v>
      </c>
      <c r="Y128" s="20" t="s">
        <v>2953</v>
      </c>
      <c r="Z128" s="111">
        <v>46272</v>
      </c>
      <c r="AB128" s="20" t="s">
        <v>2376</v>
      </c>
      <c r="AD128" s="20" t="s">
        <v>2376</v>
      </c>
      <c r="AE128" s="20" t="s">
        <v>2376</v>
      </c>
      <c r="AF128" s="20">
        <v>0</v>
      </c>
      <c r="AG128" s="20">
        <v>0</v>
      </c>
      <c r="AH128" s="20">
        <v>0</v>
      </c>
      <c r="AI128" s="20">
        <v>0</v>
      </c>
      <c r="AJ128" s="20">
        <v>0</v>
      </c>
      <c r="AK128" s="20" t="s">
        <v>609</v>
      </c>
      <c r="AL128" s="20">
        <v>0</v>
      </c>
      <c r="AM128" s="20">
        <v>0</v>
      </c>
      <c r="AN128" s="20">
        <v>0</v>
      </c>
      <c r="AO128" s="20">
        <v>0</v>
      </c>
      <c r="AP128" s="20">
        <v>0</v>
      </c>
      <c r="AR128" s="20">
        <v>0</v>
      </c>
      <c r="AS128" s="20">
        <v>0</v>
      </c>
      <c r="AT128" s="20">
        <v>168935.23</v>
      </c>
      <c r="AU128" s="20" t="s">
        <v>13</v>
      </c>
      <c r="AV128" s="20" t="s">
        <v>62</v>
      </c>
      <c r="AW128" s="111" t="s">
        <v>63</v>
      </c>
      <c r="AX128" s="20" t="s">
        <v>208</v>
      </c>
      <c r="AY128" s="19" t="s">
        <v>209</v>
      </c>
      <c r="AZ128" s="19">
        <v>0</v>
      </c>
      <c r="BA128" s="19">
        <v>49702.49</v>
      </c>
      <c r="BB128" s="19">
        <v>814</v>
      </c>
      <c r="BC128" s="66">
        <v>46302</v>
      </c>
      <c r="BD128" s="19" t="s">
        <v>74</v>
      </c>
      <c r="BE128" s="19" t="s">
        <v>210</v>
      </c>
      <c r="BF128" s="19" t="s">
        <v>210</v>
      </c>
      <c r="BG128" s="19">
        <v>9</v>
      </c>
      <c r="BH128" s="19">
        <v>4473.22</v>
      </c>
      <c r="BI128" s="19">
        <v>9</v>
      </c>
      <c r="BJ128" s="19">
        <v>4473.22</v>
      </c>
      <c r="BK128" s="19">
        <v>0</v>
      </c>
      <c r="BL128" s="19">
        <v>0</v>
      </c>
      <c r="BM128" s="19">
        <v>0</v>
      </c>
      <c r="BN128" s="19">
        <v>642142230596</v>
      </c>
      <c r="BO128" s="66">
        <v>46212</v>
      </c>
      <c r="BP128" s="19">
        <v>0</v>
      </c>
    </row>
    <row r="129" spans="1:68">
      <c r="A129" s="65"/>
      <c r="B129" s="20" t="s">
        <v>2216</v>
      </c>
      <c r="C129" s="111">
        <v>46302</v>
      </c>
      <c r="D129" s="20" t="s">
        <v>3628</v>
      </c>
      <c r="E129" s="20" t="s">
        <v>18</v>
      </c>
      <c r="F129" s="20" t="s">
        <v>19</v>
      </c>
      <c r="H129" s="20" t="s">
        <v>3629</v>
      </c>
      <c r="I129" s="20">
        <v>1353</v>
      </c>
      <c r="J129" s="20">
        <v>1353</v>
      </c>
      <c r="K129" s="20" t="s">
        <v>11</v>
      </c>
      <c r="L129" s="20">
        <v>1353</v>
      </c>
      <c r="M129" s="20">
        <v>0</v>
      </c>
      <c r="N129" s="20">
        <v>1353</v>
      </c>
      <c r="O129" s="20" t="s">
        <v>2200</v>
      </c>
      <c r="P129" s="20" t="s">
        <v>87</v>
      </c>
      <c r="Q129" s="20" t="s">
        <v>87</v>
      </c>
      <c r="R129" s="20" t="s">
        <v>2940</v>
      </c>
      <c r="S129" s="111">
        <v>46272</v>
      </c>
      <c r="T129" s="20" t="s">
        <v>206</v>
      </c>
      <c r="U129" s="20" t="s">
        <v>207</v>
      </c>
      <c r="V129" s="20" t="s">
        <v>2939</v>
      </c>
      <c r="W129" s="20">
        <v>146.49</v>
      </c>
      <c r="X129" s="20">
        <v>146.49</v>
      </c>
      <c r="Y129" s="20" t="s">
        <v>2940</v>
      </c>
      <c r="Z129" s="111">
        <v>46272</v>
      </c>
      <c r="AB129" s="20" t="s">
        <v>2376</v>
      </c>
      <c r="AD129" s="20" t="s">
        <v>2376</v>
      </c>
      <c r="AE129" s="20" t="s">
        <v>2376</v>
      </c>
      <c r="AF129" s="20">
        <v>0</v>
      </c>
      <c r="AG129" s="20">
        <v>0</v>
      </c>
      <c r="AH129" s="20">
        <v>0</v>
      </c>
      <c r="AI129" s="20">
        <v>0</v>
      </c>
      <c r="AJ129" s="20">
        <v>0</v>
      </c>
      <c r="AK129" s="20" t="s">
        <v>609</v>
      </c>
      <c r="AL129" s="20">
        <v>0</v>
      </c>
      <c r="AM129" s="20">
        <v>0</v>
      </c>
      <c r="AN129" s="20">
        <v>0</v>
      </c>
      <c r="AO129" s="20">
        <v>0</v>
      </c>
      <c r="AP129" s="20">
        <v>0</v>
      </c>
      <c r="AR129" s="20">
        <v>0</v>
      </c>
      <c r="AS129" s="20">
        <v>0</v>
      </c>
      <c r="AT129" s="20">
        <v>233877.15</v>
      </c>
      <c r="AU129" s="20" t="s">
        <v>13</v>
      </c>
      <c r="AV129" s="20" t="s">
        <v>62</v>
      </c>
      <c r="AW129" s="111" t="s">
        <v>63</v>
      </c>
      <c r="AX129" s="20" t="s">
        <v>208</v>
      </c>
      <c r="AY129" s="19" t="s">
        <v>209</v>
      </c>
      <c r="AZ129" s="19">
        <v>0</v>
      </c>
      <c r="BA129" s="19">
        <v>198200.97</v>
      </c>
      <c r="BB129" s="19">
        <v>816</v>
      </c>
      <c r="BC129" s="66">
        <v>46302</v>
      </c>
      <c r="BD129" s="19" t="s">
        <v>65</v>
      </c>
      <c r="BE129" s="19" t="s">
        <v>210</v>
      </c>
      <c r="BF129" s="19" t="s">
        <v>210</v>
      </c>
      <c r="BG129" s="19">
        <v>9</v>
      </c>
      <c r="BH129" s="19">
        <v>17838.09</v>
      </c>
      <c r="BI129" s="19">
        <v>9</v>
      </c>
      <c r="BJ129" s="19">
        <v>17838.09</v>
      </c>
      <c r="BK129" s="19">
        <v>0</v>
      </c>
      <c r="BL129" s="19">
        <v>0</v>
      </c>
      <c r="BM129" s="19">
        <v>233877.15</v>
      </c>
      <c r="BN129" s="19">
        <v>652141972014</v>
      </c>
      <c r="BO129" s="66">
        <v>46212</v>
      </c>
      <c r="BP129" s="19">
        <v>0</v>
      </c>
    </row>
    <row r="130" spans="1:68">
      <c r="A130" s="65"/>
      <c r="B130" s="20" t="s">
        <v>2216</v>
      </c>
      <c r="C130" s="111">
        <v>46302</v>
      </c>
      <c r="D130" s="20" t="s">
        <v>3630</v>
      </c>
      <c r="E130" s="20" t="s">
        <v>18</v>
      </c>
      <c r="F130" s="20" t="s">
        <v>19</v>
      </c>
      <c r="H130" s="20" t="s">
        <v>3629</v>
      </c>
      <c r="I130" s="20">
        <v>247</v>
      </c>
      <c r="J130" s="20">
        <v>247</v>
      </c>
      <c r="K130" s="20" t="s">
        <v>11</v>
      </c>
      <c r="L130" s="20">
        <v>247</v>
      </c>
      <c r="M130" s="20">
        <v>0</v>
      </c>
      <c r="N130" s="20">
        <v>247</v>
      </c>
      <c r="O130" s="20" t="s">
        <v>2203</v>
      </c>
      <c r="P130" s="20" t="s">
        <v>87</v>
      </c>
      <c r="Q130" s="20" t="s">
        <v>87</v>
      </c>
      <c r="R130" s="20" t="s">
        <v>2942</v>
      </c>
      <c r="S130" s="111">
        <v>46302</v>
      </c>
      <c r="T130" s="20" t="s">
        <v>206</v>
      </c>
      <c r="U130" s="20" t="s">
        <v>207</v>
      </c>
      <c r="V130" s="20" t="s">
        <v>2941</v>
      </c>
      <c r="W130" s="20">
        <v>146.49</v>
      </c>
      <c r="X130" s="20">
        <v>146.49</v>
      </c>
      <c r="Y130" s="20" t="s">
        <v>2942</v>
      </c>
      <c r="Z130" s="111">
        <v>46302</v>
      </c>
      <c r="AB130" s="20" t="s">
        <v>2376</v>
      </c>
      <c r="AD130" s="20" t="s">
        <v>2376</v>
      </c>
      <c r="AE130" s="20" t="s">
        <v>2376</v>
      </c>
      <c r="AF130" s="20">
        <v>0</v>
      </c>
      <c r="AG130" s="20">
        <v>0</v>
      </c>
      <c r="AH130" s="20">
        <v>0</v>
      </c>
      <c r="AI130" s="20">
        <v>0</v>
      </c>
      <c r="AJ130" s="20">
        <v>0</v>
      </c>
      <c r="AK130" s="20" t="s">
        <v>609</v>
      </c>
      <c r="AL130" s="20">
        <v>0</v>
      </c>
      <c r="AM130" s="20">
        <v>0</v>
      </c>
      <c r="AN130" s="20">
        <v>0</v>
      </c>
      <c r="AO130" s="20">
        <v>0</v>
      </c>
      <c r="AP130" s="20">
        <v>0</v>
      </c>
      <c r="AR130" s="20">
        <v>0</v>
      </c>
      <c r="AS130" s="20">
        <v>0</v>
      </c>
      <c r="AT130" s="20">
        <v>42695.97</v>
      </c>
      <c r="AU130" s="20" t="s">
        <v>13</v>
      </c>
      <c r="AV130" s="20" t="s">
        <v>62</v>
      </c>
      <c r="AW130" s="111" t="s">
        <v>63</v>
      </c>
      <c r="AX130" s="20" t="s">
        <v>208</v>
      </c>
      <c r="AY130" s="19" t="s">
        <v>209</v>
      </c>
      <c r="AZ130" s="19">
        <v>0</v>
      </c>
      <c r="BA130" s="19">
        <v>36183.03</v>
      </c>
      <c r="BB130" s="19">
        <v>826</v>
      </c>
      <c r="BC130" s="66">
        <v>46302</v>
      </c>
      <c r="BD130" s="19" t="s">
        <v>65</v>
      </c>
      <c r="BE130" s="19" t="s">
        <v>210</v>
      </c>
      <c r="BF130" s="19" t="s">
        <v>210</v>
      </c>
      <c r="BG130" s="19">
        <v>9</v>
      </c>
      <c r="BH130" s="19">
        <v>3256.47</v>
      </c>
      <c r="BI130" s="19">
        <v>9</v>
      </c>
      <c r="BJ130" s="19">
        <v>3256.47</v>
      </c>
      <c r="BK130" s="19">
        <v>0</v>
      </c>
      <c r="BL130" s="19">
        <v>0</v>
      </c>
      <c r="BM130" s="19">
        <v>42695.97</v>
      </c>
      <c r="BN130" s="19">
        <v>652142737652</v>
      </c>
      <c r="BO130" s="66">
        <v>46213</v>
      </c>
      <c r="BP130" s="19">
        <v>0</v>
      </c>
    </row>
    <row r="131" spans="1:68">
      <c r="A131" s="65"/>
      <c r="B131" s="20" t="s">
        <v>2216</v>
      </c>
      <c r="C131" s="111">
        <v>46302</v>
      </c>
      <c r="D131" s="20" t="s">
        <v>3631</v>
      </c>
      <c r="E131" s="20" t="s">
        <v>18</v>
      </c>
      <c r="F131" s="20" t="s">
        <v>19</v>
      </c>
      <c r="H131" s="20" t="s">
        <v>3632</v>
      </c>
      <c r="I131" s="20">
        <v>3402</v>
      </c>
      <c r="J131" s="20">
        <v>3402</v>
      </c>
      <c r="K131" s="20" t="s">
        <v>11</v>
      </c>
      <c r="L131" s="20">
        <v>3402</v>
      </c>
      <c r="M131" s="20">
        <v>0</v>
      </c>
      <c r="N131" s="20">
        <v>3402</v>
      </c>
      <c r="O131" s="20" t="s">
        <v>2203</v>
      </c>
      <c r="P131" s="20" t="s">
        <v>87</v>
      </c>
      <c r="Q131" s="20" t="s">
        <v>87</v>
      </c>
      <c r="R131" s="20" t="s">
        <v>2944</v>
      </c>
      <c r="S131" s="111">
        <v>46302</v>
      </c>
      <c r="T131" s="20" t="s">
        <v>206</v>
      </c>
      <c r="U131" s="20" t="s">
        <v>207</v>
      </c>
      <c r="V131" s="20" t="s">
        <v>2943</v>
      </c>
      <c r="W131" s="20">
        <v>144.49</v>
      </c>
      <c r="X131" s="20">
        <v>144.49</v>
      </c>
      <c r="Y131" s="20" t="s">
        <v>2944</v>
      </c>
      <c r="Z131" s="111">
        <v>46302</v>
      </c>
      <c r="AB131" s="20" t="s">
        <v>2376</v>
      </c>
      <c r="AD131" s="20" t="s">
        <v>2376</v>
      </c>
      <c r="AE131" s="20" t="s">
        <v>2376</v>
      </c>
      <c r="AF131" s="20">
        <v>0</v>
      </c>
      <c r="AG131" s="20">
        <v>0</v>
      </c>
      <c r="AH131" s="20">
        <v>0</v>
      </c>
      <c r="AI131" s="20">
        <v>0</v>
      </c>
      <c r="AJ131" s="20">
        <v>0</v>
      </c>
      <c r="AK131" s="20" t="s">
        <v>609</v>
      </c>
      <c r="AL131" s="20">
        <v>0</v>
      </c>
      <c r="AM131" s="20">
        <v>0</v>
      </c>
      <c r="AN131" s="20">
        <v>0</v>
      </c>
      <c r="AO131" s="20">
        <v>0</v>
      </c>
      <c r="AP131" s="20">
        <v>0</v>
      </c>
      <c r="AR131" s="20">
        <v>0</v>
      </c>
      <c r="AS131" s="20">
        <v>0</v>
      </c>
      <c r="AT131" s="20">
        <v>1508735.92</v>
      </c>
      <c r="AU131" s="20" t="s">
        <v>13</v>
      </c>
      <c r="AV131" s="20" t="s">
        <v>62</v>
      </c>
      <c r="AW131" s="111" t="s">
        <v>63</v>
      </c>
      <c r="AX131" s="20" t="s">
        <v>208</v>
      </c>
      <c r="AY131" s="19" t="s">
        <v>209</v>
      </c>
      <c r="AZ131" s="19">
        <v>0</v>
      </c>
      <c r="BA131" s="19">
        <v>491554.98</v>
      </c>
      <c r="BB131" s="19">
        <v>817</v>
      </c>
      <c r="BC131" s="66">
        <v>46302</v>
      </c>
      <c r="BD131" s="19" t="s">
        <v>65</v>
      </c>
      <c r="BE131" s="19" t="s">
        <v>210</v>
      </c>
      <c r="BF131" s="19" t="s">
        <v>210</v>
      </c>
      <c r="BG131" s="19">
        <v>9</v>
      </c>
      <c r="BH131" s="19">
        <v>44239.95</v>
      </c>
      <c r="BI131" s="19">
        <v>9</v>
      </c>
      <c r="BJ131" s="19">
        <v>44239.95</v>
      </c>
      <c r="BK131" s="19">
        <v>0</v>
      </c>
      <c r="BL131" s="19">
        <v>0</v>
      </c>
      <c r="BM131" s="19">
        <v>1508735.92</v>
      </c>
      <c r="BN131" s="19">
        <v>602142604898</v>
      </c>
      <c r="BO131" s="66">
        <v>46213</v>
      </c>
      <c r="BP131" s="19">
        <v>0</v>
      </c>
    </row>
    <row r="132" spans="1:68">
      <c r="A132" s="65"/>
      <c r="B132" s="20" t="s">
        <v>2216</v>
      </c>
      <c r="C132" s="111">
        <v>46302</v>
      </c>
      <c r="D132" s="20" t="s">
        <v>3631</v>
      </c>
      <c r="E132" s="20" t="s">
        <v>18</v>
      </c>
      <c r="F132" s="20" t="s">
        <v>19</v>
      </c>
      <c r="H132" s="20" t="s">
        <v>3632</v>
      </c>
      <c r="I132" s="20">
        <v>895</v>
      </c>
      <c r="J132" s="20">
        <v>895</v>
      </c>
      <c r="K132" s="20" t="s">
        <v>11</v>
      </c>
      <c r="L132" s="20">
        <v>895</v>
      </c>
      <c r="M132" s="20">
        <v>0</v>
      </c>
      <c r="N132" s="20">
        <v>895</v>
      </c>
      <c r="O132" s="20" t="s">
        <v>2203</v>
      </c>
      <c r="P132" s="20" t="s">
        <v>87</v>
      </c>
      <c r="Q132" s="20" t="s">
        <v>87</v>
      </c>
      <c r="R132" s="20" t="s">
        <v>2944</v>
      </c>
      <c r="S132" s="111">
        <v>46302</v>
      </c>
      <c r="T132" s="20" t="s">
        <v>206</v>
      </c>
      <c r="U132" s="20" t="s">
        <v>207</v>
      </c>
      <c r="V132" s="20" t="s">
        <v>2943</v>
      </c>
      <c r="W132" s="20">
        <v>147.49</v>
      </c>
      <c r="X132" s="20">
        <v>147.49</v>
      </c>
      <c r="Y132" s="20" t="s">
        <v>2944</v>
      </c>
      <c r="Z132" s="111">
        <v>46302</v>
      </c>
      <c r="AB132" s="20" t="s">
        <v>2376</v>
      </c>
      <c r="AD132" s="20" t="s">
        <v>2376</v>
      </c>
      <c r="AE132" s="20" t="s">
        <v>2376</v>
      </c>
      <c r="AF132" s="20">
        <v>0</v>
      </c>
      <c r="AG132" s="20">
        <v>0</v>
      </c>
      <c r="AH132" s="20">
        <v>0</v>
      </c>
      <c r="AI132" s="20">
        <v>0</v>
      </c>
      <c r="AJ132" s="20">
        <v>0</v>
      </c>
      <c r="AK132" s="20" t="s">
        <v>609</v>
      </c>
      <c r="AL132" s="20">
        <v>0</v>
      </c>
      <c r="AM132" s="20">
        <v>0</v>
      </c>
      <c r="AN132" s="20">
        <v>0</v>
      </c>
      <c r="AO132" s="20">
        <v>0</v>
      </c>
      <c r="AP132" s="20">
        <v>0</v>
      </c>
      <c r="AR132" s="20">
        <v>0</v>
      </c>
      <c r="AS132" s="20">
        <v>0</v>
      </c>
      <c r="AT132" s="20">
        <v>1508735.92</v>
      </c>
      <c r="AU132" s="20" t="s">
        <v>13</v>
      </c>
      <c r="AV132" s="20" t="s">
        <v>62</v>
      </c>
      <c r="AW132" s="111" t="s">
        <v>63</v>
      </c>
      <c r="AX132" s="20" t="s">
        <v>208</v>
      </c>
      <c r="AY132" s="19" t="s">
        <v>209</v>
      </c>
      <c r="AZ132" s="19">
        <v>0</v>
      </c>
      <c r="BA132" s="19">
        <v>132003.54999999999</v>
      </c>
      <c r="BB132" s="19">
        <v>817</v>
      </c>
      <c r="BC132" s="66">
        <v>46302</v>
      </c>
      <c r="BD132" s="19" t="s">
        <v>65</v>
      </c>
      <c r="BE132" s="19" t="s">
        <v>210</v>
      </c>
      <c r="BF132" s="19" t="s">
        <v>210</v>
      </c>
      <c r="BG132" s="19">
        <v>9</v>
      </c>
      <c r="BH132" s="19">
        <v>11880.32</v>
      </c>
      <c r="BI132" s="19">
        <v>9</v>
      </c>
      <c r="BJ132" s="19">
        <v>11880.32</v>
      </c>
      <c r="BK132" s="19">
        <v>0</v>
      </c>
      <c r="BL132" s="19">
        <v>0</v>
      </c>
      <c r="BM132" s="19">
        <v>0</v>
      </c>
      <c r="BN132" s="19">
        <v>602142604898</v>
      </c>
      <c r="BO132" s="66">
        <v>46213</v>
      </c>
      <c r="BP132" s="19">
        <v>0</v>
      </c>
    </row>
    <row r="133" spans="1:68">
      <c r="A133" s="65"/>
      <c r="B133" s="20" t="s">
        <v>2216</v>
      </c>
      <c r="C133" s="111">
        <v>46302</v>
      </c>
      <c r="D133" s="20" t="s">
        <v>3631</v>
      </c>
      <c r="E133" s="20" t="s">
        <v>18</v>
      </c>
      <c r="F133" s="20" t="s">
        <v>19</v>
      </c>
      <c r="H133" s="20" t="s">
        <v>3632</v>
      </c>
      <c r="I133" s="20">
        <v>3123</v>
      </c>
      <c r="J133" s="20">
        <v>3123</v>
      </c>
      <c r="K133" s="20" t="s">
        <v>11</v>
      </c>
      <c r="L133" s="20">
        <v>3123</v>
      </c>
      <c r="M133" s="20">
        <v>0</v>
      </c>
      <c r="N133" s="20">
        <v>3123</v>
      </c>
      <c r="O133" s="20" t="s">
        <v>2203</v>
      </c>
      <c r="P133" s="20" t="s">
        <v>87</v>
      </c>
      <c r="Q133" s="20" t="s">
        <v>87</v>
      </c>
      <c r="R133" s="20" t="s">
        <v>2944</v>
      </c>
      <c r="S133" s="111">
        <v>46302</v>
      </c>
      <c r="T133" s="20" t="s">
        <v>206</v>
      </c>
      <c r="U133" s="20" t="s">
        <v>207</v>
      </c>
      <c r="V133" s="20" t="s">
        <v>2943</v>
      </c>
      <c r="W133" s="20">
        <v>146.49</v>
      </c>
      <c r="X133" s="20">
        <v>146.49</v>
      </c>
      <c r="Y133" s="20" t="s">
        <v>2944</v>
      </c>
      <c r="Z133" s="111">
        <v>46302</v>
      </c>
      <c r="AB133" s="20" t="s">
        <v>2376</v>
      </c>
      <c r="AD133" s="20" t="s">
        <v>2376</v>
      </c>
      <c r="AE133" s="20" t="s">
        <v>2376</v>
      </c>
      <c r="AF133" s="20">
        <v>0</v>
      </c>
      <c r="AG133" s="20">
        <v>0</v>
      </c>
      <c r="AH133" s="20">
        <v>0</v>
      </c>
      <c r="AI133" s="20">
        <v>0</v>
      </c>
      <c r="AJ133" s="20">
        <v>0</v>
      </c>
      <c r="AK133" s="20" t="s">
        <v>609</v>
      </c>
      <c r="AL133" s="20">
        <v>0</v>
      </c>
      <c r="AM133" s="20">
        <v>0</v>
      </c>
      <c r="AN133" s="20">
        <v>0</v>
      </c>
      <c r="AO133" s="20">
        <v>0</v>
      </c>
      <c r="AP133" s="20">
        <v>0</v>
      </c>
      <c r="AR133" s="20">
        <v>0</v>
      </c>
      <c r="AS133" s="20">
        <v>0</v>
      </c>
      <c r="AT133" s="20">
        <v>1508735.92</v>
      </c>
      <c r="AU133" s="20" t="s">
        <v>13</v>
      </c>
      <c r="AV133" s="20" t="s">
        <v>62</v>
      </c>
      <c r="AW133" s="111" t="s">
        <v>63</v>
      </c>
      <c r="AX133" s="20" t="s">
        <v>208</v>
      </c>
      <c r="AY133" s="19" t="s">
        <v>209</v>
      </c>
      <c r="AZ133" s="19">
        <v>0</v>
      </c>
      <c r="BA133" s="19">
        <v>457488.27</v>
      </c>
      <c r="BB133" s="19">
        <v>817</v>
      </c>
      <c r="BC133" s="66">
        <v>46302</v>
      </c>
      <c r="BD133" s="19" t="s">
        <v>65</v>
      </c>
      <c r="BE133" s="19" t="s">
        <v>210</v>
      </c>
      <c r="BF133" s="19" t="s">
        <v>210</v>
      </c>
      <c r="BG133" s="19">
        <v>9</v>
      </c>
      <c r="BH133" s="19">
        <v>41173.94</v>
      </c>
      <c r="BI133" s="19">
        <v>9</v>
      </c>
      <c r="BJ133" s="19">
        <v>41173.94</v>
      </c>
      <c r="BK133" s="19">
        <v>0</v>
      </c>
      <c r="BL133" s="19">
        <v>0</v>
      </c>
      <c r="BM133" s="19">
        <v>0</v>
      </c>
      <c r="BN133" s="19">
        <v>602142604898</v>
      </c>
      <c r="BO133" s="66">
        <v>46213</v>
      </c>
      <c r="BP133" s="19">
        <v>0</v>
      </c>
    </row>
    <row r="134" spans="1:68">
      <c r="A134" s="65"/>
      <c r="B134" s="20" t="s">
        <v>2216</v>
      </c>
      <c r="C134" s="111">
        <v>46302</v>
      </c>
      <c r="D134" s="20" t="s">
        <v>3631</v>
      </c>
      <c r="E134" s="20" t="s">
        <v>20</v>
      </c>
      <c r="F134" s="20" t="s">
        <v>21</v>
      </c>
      <c r="H134" s="20" t="s">
        <v>3632</v>
      </c>
      <c r="I134" s="20">
        <v>1304</v>
      </c>
      <c r="J134" s="20">
        <v>1304</v>
      </c>
      <c r="K134" s="20" t="s">
        <v>11</v>
      </c>
      <c r="L134" s="20">
        <v>1304</v>
      </c>
      <c r="M134" s="20">
        <v>0</v>
      </c>
      <c r="N134" s="20">
        <v>1304</v>
      </c>
      <c r="O134" s="20" t="s">
        <v>2203</v>
      </c>
      <c r="P134" s="20" t="s">
        <v>87</v>
      </c>
      <c r="Q134" s="20" t="s">
        <v>87</v>
      </c>
      <c r="R134" s="20" t="s">
        <v>2944</v>
      </c>
      <c r="S134" s="111">
        <v>46302</v>
      </c>
      <c r="T134" s="20" t="s">
        <v>206</v>
      </c>
      <c r="U134" s="20" t="s">
        <v>207</v>
      </c>
      <c r="V134" s="20" t="s">
        <v>2943</v>
      </c>
      <c r="W134" s="20">
        <v>151.49</v>
      </c>
      <c r="X134" s="20">
        <v>151.49</v>
      </c>
      <c r="Y134" s="20" t="s">
        <v>2944</v>
      </c>
      <c r="Z134" s="111">
        <v>46302</v>
      </c>
      <c r="AB134" s="20" t="s">
        <v>2376</v>
      </c>
      <c r="AD134" s="20" t="s">
        <v>2376</v>
      </c>
      <c r="AE134" s="20" t="s">
        <v>2376</v>
      </c>
      <c r="AF134" s="20">
        <v>0</v>
      </c>
      <c r="AG134" s="20">
        <v>0</v>
      </c>
      <c r="AH134" s="20">
        <v>0</v>
      </c>
      <c r="AI134" s="20">
        <v>0</v>
      </c>
      <c r="AJ134" s="20">
        <v>0</v>
      </c>
      <c r="AK134" s="20" t="s">
        <v>609</v>
      </c>
      <c r="AL134" s="20">
        <v>0</v>
      </c>
      <c r="AM134" s="20">
        <v>0</v>
      </c>
      <c r="AN134" s="20">
        <v>0</v>
      </c>
      <c r="AO134" s="20">
        <v>0</v>
      </c>
      <c r="AP134" s="20">
        <v>0</v>
      </c>
      <c r="AR134" s="20">
        <v>0</v>
      </c>
      <c r="AS134" s="20">
        <v>0</v>
      </c>
      <c r="AT134" s="20">
        <v>1508735.92</v>
      </c>
      <c r="AU134" s="20" t="s">
        <v>13</v>
      </c>
      <c r="AV134" s="20" t="s">
        <v>62</v>
      </c>
      <c r="AW134" s="111" t="s">
        <v>76</v>
      </c>
      <c r="AX134" s="20" t="s">
        <v>208</v>
      </c>
      <c r="AY134" s="19" t="s">
        <v>209</v>
      </c>
      <c r="AZ134" s="19">
        <v>0</v>
      </c>
      <c r="BA134" s="19">
        <v>197542.96</v>
      </c>
      <c r="BB134" s="19">
        <v>817</v>
      </c>
      <c r="BC134" s="66">
        <v>46302</v>
      </c>
      <c r="BD134" s="19" t="s">
        <v>65</v>
      </c>
      <c r="BE134" s="19" t="s">
        <v>210</v>
      </c>
      <c r="BF134" s="19" t="s">
        <v>210</v>
      </c>
      <c r="BG134" s="19">
        <v>9</v>
      </c>
      <c r="BH134" s="19">
        <v>17778.87</v>
      </c>
      <c r="BI134" s="19">
        <v>9</v>
      </c>
      <c r="BJ134" s="19">
        <v>17778.87</v>
      </c>
      <c r="BK134" s="19">
        <v>0</v>
      </c>
      <c r="BL134" s="19">
        <v>0</v>
      </c>
      <c r="BM134" s="19">
        <v>0</v>
      </c>
      <c r="BN134" s="19">
        <v>602142604898</v>
      </c>
      <c r="BO134" s="66">
        <v>46213</v>
      </c>
      <c r="BP134" s="19">
        <v>0</v>
      </c>
    </row>
    <row r="135" spans="1:68">
      <c r="A135" s="65"/>
      <c r="B135" s="20" t="s">
        <v>2216</v>
      </c>
      <c r="C135" s="111">
        <v>46302</v>
      </c>
      <c r="D135" s="20" t="s">
        <v>3633</v>
      </c>
      <c r="E135" s="20" t="s">
        <v>18</v>
      </c>
      <c r="F135" s="20" t="s">
        <v>19</v>
      </c>
      <c r="H135" s="20" t="s">
        <v>3634</v>
      </c>
      <c r="I135" s="20">
        <v>254</v>
      </c>
      <c r="J135" s="20">
        <v>254</v>
      </c>
      <c r="K135" s="20" t="s">
        <v>11</v>
      </c>
      <c r="L135" s="20">
        <v>254</v>
      </c>
      <c r="M135" s="20">
        <v>0</v>
      </c>
      <c r="N135" s="20">
        <v>254</v>
      </c>
      <c r="O135" s="20" t="s">
        <v>2201</v>
      </c>
      <c r="P135" s="20" t="s">
        <v>87</v>
      </c>
      <c r="Q135" s="20" t="s">
        <v>87</v>
      </c>
      <c r="R135" s="20" t="s">
        <v>2946</v>
      </c>
      <c r="S135" s="111">
        <v>46302</v>
      </c>
      <c r="T135" s="20" t="s">
        <v>206</v>
      </c>
      <c r="U135" s="20" t="s">
        <v>207</v>
      </c>
      <c r="V135" s="20" t="s">
        <v>2945</v>
      </c>
      <c r="W135" s="20">
        <v>146.49</v>
      </c>
      <c r="X135" s="20">
        <v>146.49</v>
      </c>
      <c r="Y135" s="20" t="s">
        <v>2946</v>
      </c>
      <c r="Z135" s="111">
        <v>46302</v>
      </c>
      <c r="AB135" s="20" t="s">
        <v>2376</v>
      </c>
      <c r="AD135" s="20" t="s">
        <v>2376</v>
      </c>
      <c r="AE135" s="20" t="s">
        <v>2376</v>
      </c>
      <c r="AF135" s="20">
        <v>0</v>
      </c>
      <c r="AG135" s="20">
        <v>0</v>
      </c>
      <c r="AH135" s="20">
        <v>0</v>
      </c>
      <c r="AI135" s="20">
        <v>0</v>
      </c>
      <c r="AJ135" s="20">
        <v>0</v>
      </c>
      <c r="AK135" s="20" t="s">
        <v>609</v>
      </c>
      <c r="AL135" s="20">
        <v>0</v>
      </c>
      <c r="AM135" s="20">
        <v>0</v>
      </c>
      <c r="AN135" s="20">
        <v>0</v>
      </c>
      <c r="AO135" s="20">
        <v>0</v>
      </c>
      <c r="AP135" s="20">
        <v>0</v>
      </c>
      <c r="AR135" s="20">
        <v>0</v>
      </c>
      <c r="AS135" s="20">
        <v>0</v>
      </c>
      <c r="AT135" s="20">
        <v>330320.65000000002</v>
      </c>
      <c r="AU135" s="20" t="s">
        <v>13</v>
      </c>
      <c r="AV135" s="20" t="s">
        <v>62</v>
      </c>
      <c r="AW135" s="111" t="s">
        <v>63</v>
      </c>
      <c r="AX135" s="20" t="s">
        <v>208</v>
      </c>
      <c r="AY135" s="19" t="s">
        <v>209</v>
      </c>
      <c r="AZ135" s="19">
        <v>0</v>
      </c>
      <c r="BA135" s="19">
        <v>37208.46</v>
      </c>
      <c r="BB135" s="19">
        <v>818</v>
      </c>
      <c r="BC135" s="66">
        <v>46302</v>
      </c>
      <c r="BD135" s="19" t="s">
        <v>65</v>
      </c>
      <c r="BE135" s="19" t="s">
        <v>210</v>
      </c>
      <c r="BF135" s="19" t="s">
        <v>210</v>
      </c>
      <c r="BG135" s="19">
        <v>9</v>
      </c>
      <c r="BH135" s="19">
        <v>3348.76</v>
      </c>
      <c r="BI135" s="19">
        <v>9</v>
      </c>
      <c r="BJ135" s="19">
        <v>3348.76</v>
      </c>
      <c r="BK135" s="19">
        <v>0</v>
      </c>
      <c r="BL135" s="19">
        <v>0</v>
      </c>
      <c r="BM135" s="19">
        <v>330320.65000000002</v>
      </c>
      <c r="BN135" s="19">
        <v>692142701310</v>
      </c>
      <c r="BO135" s="66">
        <v>46213</v>
      </c>
      <c r="BP135" s="19">
        <v>0</v>
      </c>
    </row>
    <row r="136" spans="1:68">
      <c r="A136" s="65"/>
      <c r="B136" s="20" t="s">
        <v>2216</v>
      </c>
      <c r="C136" s="111">
        <v>46302</v>
      </c>
      <c r="D136" s="20" t="s">
        <v>3633</v>
      </c>
      <c r="E136" s="20" t="s">
        <v>18</v>
      </c>
      <c r="F136" s="20" t="s">
        <v>19</v>
      </c>
      <c r="H136" s="20" t="s">
        <v>3634</v>
      </c>
      <c r="I136" s="20">
        <v>343</v>
      </c>
      <c r="J136" s="20">
        <v>343</v>
      </c>
      <c r="K136" s="20" t="s">
        <v>11</v>
      </c>
      <c r="L136" s="20">
        <v>343</v>
      </c>
      <c r="M136" s="20">
        <v>0</v>
      </c>
      <c r="N136" s="20">
        <v>343</v>
      </c>
      <c r="O136" s="20" t="s">
        <v>2201</v>
      </c>
      <c r="P136" s="20" t="s">
        <v>87</v>
      </c>
      <c r="Q136" s="20" t="s">
        <v>87</v>
      </c>
      <c r="R136" s="20" t="s">
        <v>2946</v>
      </c>
      <c r="S136" s="111">
        <v>46302</v>
      </c>
      <c r="T136" s="20" t="s">
        <v>206</v>
      </c>
      <c r="U136" s="20" t="s">
        <v>207</v>
      </c>
      <c r="V136" s="20" t="s">
        <v>2945</v>
      </c>
      <c r="W136" s="20">
        <v>144.49</v>
      </c>
      <c r="X136" s="20">
        <v>144.49</v>
      </c>
      <c r="Y136" s="20" t="s">
        <v>2946</v>
      </c>
      <c r="Z136" s="111">
        <v>46302</v>
      </c>
      <c r="AB136" s="20" t="s">
        <v>2376</v>
      </c>
      <c r="AD136" s="20" t="s">
        <v>2376</v>
      </c>
      <c r="AE136" s="20" t="s">
        <v>2376</v>
      </c>
      <c r="AF136" s="20">
        <v>0</v>
      </c>
      <c r="AG136" s="20">
        <v>0</v>
      </c>
      <c r="AH136" s="20">
        <v>0</v>
      </c>
      <c r="AI136" s="20">
        <v>0</v>
      </c>
      <c r="AJ136" s="20">
        <v>0</v>
      </c>
      <c r="AK136" s="20" t="s">
        <v>609</v>
      </c>
      <c r="AL136" s="20">
        <v>0</v>
      </c>
      <c r="AM136" s="20">
        <v>0</v>
      </c>
      <c r="AN136" s="20">
        <v>0</v>
      </c>
      <c r="AO136" s="20">
        <v>0</v>
      </c>
      <c r="AP136" s="20">
        <v>0</v>
      </c>
      <c r="AR136" s="20">
        <v>0</v>
      </c>
      <c r="AS136" s="20">
        <v>0</v>
      </c>
      <c r="AT136" s="20">
        <v>330320.65000000002</v>
      </c>
      <c r="AU136" s="20" t="s">
        <v>13</v>
      </c>
      <c r="AV136" s="20" t="s">
        <v>62</v>
      </c>
      <c r="AW136" s="111" t="s">
        <v>63</v>
      </c>
      <c r="AX136" s="20" t="s">
        <v>208</v>
      </c>
      <c r="AY136" s="19" t="s">
        <v>209</v>
      </c>
      <c r="AZ136" s="19">
        <v>0</v>
      </c>
      <c r="BA136" s="19">
        <v>49560.07</v>
      </c>
      <c r="BB136" s="19">
        <v>818</v>
      </c>
      <c r="BC136" s="66">
        <v>46302</v>
      </c>
      <c r="BD136" s="19" t="s">
        <v>65</v>
      </c>
      <c r="BE136" s="19" t="s">
        <v>210</v>
      </c>
      <c r="BF136" s="19" t="s">
        <v>210</v>
      </c>
      <c r="BG136" s="19">
        <v>9</v>
      </c>
      <c r="BH136" s="19">
        <v>4460.41</v>
      </c>
      <c r="BI136" s="19">
        <v>9</v>
      </c>
      <c r="BJ136" s="19">
        <v>4460.41</v>
      </c>
      <c r="BK136" s="19">
        <v>0</v>
      </c>
      <c r="BL136" s="19">
        <v>0</v>
      </c>
      <c r="BM136" s="19">
        <v>0</v>
      </c>
      <c r="BN136" s="19">
        <v>692142701310</v>
      </c>
      <c r="BO136" s="66">
        <v>46213</v>
      </c>
      <c r="BP136" s="19">
        <v>0</v>
      </c>
    </row>
    <row r="137" spans="1:68">
      <c r="A137" s="65"/>
      <c r="B137" s="20" t="s">
        <v>2216</v>
      </c>
      <c r="C137" s="111">
        <v>46302</v>
      </c>
      <c r="D137" s="20" t="s">
        <v>3633</v>
      </c>
      <c r="E137" s="20" t="s">
        <v>160</v>
      </c>
      <c r="F137" s="20" t="s">
        <v>17</v>
      </c>
      <c r="H137" s="20" t="s">
        <v>3634</v>
      </c>
      <c r="I137" s="20">
        <v>357</v>
      </c>
      <c r="J137" s="20">
        <v>357</v>
      </c>
      <c r="K137" s="20" t="s">
        <v>11</v>
      </c>
      <c r="L137" s="20">
        <v>357</v>
      </c>
      <c r="M137" s="20">
        <v>0</v>
      </c>
      <c r="N137" s="20">
        <v>357</v>
      </c>
      <c r="O137" s="20" t="s">
        <v>2201</v>
      </c>
      <c r="P137" s="20" t="s">
        <v>87</v>
      </c>
      <c r="Q137" s="20" t="s">
        <v>87</v>
      </c>
      <c r="R137" s="20" t="s">
        <v>2946</v>
      </c>
      <c r="S137" s="111">
        <v>46302</v>
      </c>
      <c r="T137" s="20" t="s">
        <v>206</v>
      </c>
      <c r="U137" s="20" t="s">
        <v>207</v>
      </c>
      <c r="V137" s="20" t="s">
        <v>2945</v>
      </c>
      <c r="W137" s="20">
        <v>186.78</v>
      </c>
      <c r="X137" s="20">
        <v>186.78</v>
      </c>
      <c r="Y137" s="20" t="s">
        <v>2946</v>
      </c>
      <c r="Z137" s="111">
        <v>46302</v>
      </c>
      <c r="AB137" s="20" t="s">
        <v>2376</v>
      </c>
      <c r="AD137" s="20" t="s">
        <v>2376</v>
      </c>
      <c r="AE137" s="20" t="s">
        <v>2376</v>
      </c>
      <c r="AF137" s="20">
        <v>0</v>
      </c>
      <c r="AG137" s="20">
        <v>0</v>
      </c>
      <c r="AH137" s="20">
        <v>0</v>
      </c>
      <c r="AI137" s="20">
        <v>0</v>
      </c>
      <c r="AJ137" s="20">
        <v>0</v>
      </c>
      <c r="AK137" s="20" t="s">
        <v>609</v>
      </c>
      <c r="AL137" s="20">
        <v>0</v>
      </c>
      <c r="AM137" s="20">
        <v>0</v>
      </c>
      <c r="AN137" s="20">
        <v>0</v>
      </c>
      <c r="AO137" s="20">
        <v>0</v>
      </c>
      <c r="AP137" s="20">
        <v>0</v>
      </c>
      <c r="AR137" s="20">
        <v>0</v>
      </c>
      <c r="AS137" s="20">
        <v>0</v>
      </c>
      <c r="AT137" s="20">
        <v>330320.65000000002</v>
      </c>
      <c r="AU137" s="20" t="s">
        <v>13</v>
      </c>
      <c r="AV137" s="20" t="s">
        <v>80</v>
      </c>
      <c r="AW137" s="111" t="s">
        <v>81</v>
      </c>
      <c r="AX137" s="20" t="s">
        <v>208</v>
      </c>
      <c r="AY137" s="19" t="s">
        <v>209</v>
      </c>
      <c r="AZ137" s="19">
        <v>0</v>
      </c>
      <c r="BA137" s="19">
        <v>66680.460000000006</v>
      </c>
      <c r="BB137" s="19">
        <v>818</v>
      </c>
      <c r="BC137" s="66">
        <v>46302</v>
      </c>
      <c r="BD137" s="19" t="s">
        <v>65</v>
      </c>
      <c r="BE137" s="19" t="s">
        <v>210</v>
      </c>
      <c r="BF137" s="19" t="s">
        <v>210</v>
      </c>
      <c r="BG137" s="19">
        <v>9</v>
      </c>
      <c r="BH137" s="19">
        <v>6001.24</v>
      </c>
      <c r="BI137" s="19">
        <v>9</v>
      </c>
      <c r="BJ137" s="19">
        <v>6001.24</v>
      </c>
      <c r="BK137" s="19">
        <v>0</v>
      </c>
      <c r="BL137" s="19">
        <v>0</v>
      </c>
      <c r="BM137" s="19">
        <v>0</v>
      </c>
      <c r="BN137" s="19">
        <v>692142701310</v>
      </c>
      <c r="BO137" s="66">
        <v>46213</v>
      </c>
      <c r="BP137" s="19">
        <v>0</v>
      </c>
    </row>
    <row r="138" spans="1:68">
      <c r="A138" s="65"/>
      <c r="B138" s="20" t="s">
        <v>2216</v>
      </c>
      <c r="C138" s="111">
        <v>46302</v>
      </c>
      <c r="D138" s="20" t="s">
        <v>3633</v>
      </c>
      <c r="E138" s="20" t="s">
        <v>160</v>
      </c>
      <c r="F138" s="20" t="s">
        <v>17</v>
      </c>
      <c r="H138" s="20" t="s">
        <v>3634</v>
      </c>
      <c r="I138" s="20">
        <v>692</v>
      </c>
      <c r="J138" s="20">
        <v>692</v>
      </c>
      <c r="K138" s="20" t="s">
        <v>11</v>
      </c>
      <c r="L138" s="20">
        <v>692</v>
      </c>
      <c r="M138" s="20">
        <v>0</v>
      </c>
      <c r="N138" s="20">
        <v>692</v>
      </c>
      <c r="O138" s="20" t="s">
        <v>2201</v>
      </c>
      <c r="P138" s="20" t="s">
        <v>87</v>
      </c>
      <c r="Q138" s="20" t="s">
        <v>87</v>
      </c>
      <c r="R138" s="20" t="s">
        <v>2946</v>
      </c>
      <c r="S138" s="111">
        <v>46302</v>
      </c>
      <c r="T138" s="20" t="s">
        <v>206</v>
      </c>
      <c r="U138" s="20" t="s">
        <v>207</v>
      </c>
      <c r="V138" s="20" t="s">
        <v>2945</v>
      </c>
      <c r="W138" s="20">
        <v>182.78</v>
      </c>
      <c r="X138" s="20">
        <v>182.78</v>
      </c>
      <c r="Y138" s="20" t="s">
        <v>2946</v>
      </c>
      <c r="Z138" s="111">
        <v>46302</v>
      </c>
      <c r="AB138" s="20" t="s">
        <v>2376</v>
      </c>
      <c r="AD138" s="20" t="s">
        <v>2376</v>
      </c>
      <c r="AE138" s="20" t="s">
        <v>2376</v>
      </c>
      <c r="AF138" s="20">
        <v>0</v>
      </c>
      <c r="AG138" s="20">
        <v>0</v>
      </c>
      <c r="AH138" s="20">
        <v>0</v>
      </c>
      <c r="AI138" s="20">
        <v>0</v>
      </c>
      <c r="AJ138" s="20">
        <v>0</v>
      </c>
      <c r="AK138" s="20" t="s">
        <v>609</v>
      </c>
      <c r="AL138" s="20">
        <v>0</v>
      </c>
      <c r="AM138" s="20">
        <v>0</v>
      </c>
      <c r="AN138" s="20">
        <v>0</v>
      </c>
      <c r="AO138" s="20">
        <v>0</v>
      </c>
      <c r="AP138" s="20">
        <v>0</v>
      </c>
      <c r="AR138" s="20">
        <v>0</v>
      </c>
      <c r="AS138" s="20">
        <v>0</v>
      </c>
      <c r="AT138" s="20">
        <v>330320.65000000002</v>
      </c>
      <c r="AU138" s="20" t="s">
        <v>13</v>
      </c>
      <c r="AV138" s="20" t="s">
        <v>80</v>
      </c>
      <c r="AW138" s="111" t="s">
        <v>81</v>
      </c>
      <c r="AX138" s="20" t="s">
        <v>208</v>
      </c>
      <c r="AY138" s="19" t="s">
        <v>209</v>
      </c>
      <c r="AZ138" s="19">
        <v>0</v>
      </c>
      <c r="BA138" s="19">
        <v>126483.76</v>
      </c>
      <c r="BB138" s="19">
        <v>818</v>
      </c>
      <c r="BC138" s="66">
        <v>46302</v>
      </c>
      <c r="BD138" s="19" t="s">
        <v>65</v>
      </c>
      <c r="BE138" s="19" t="s">
        <v>210</v>
      </c>
      <c r="BF138" s="19" t="s">
        <v>210</v>
      </c>
      <c r="BG138" s="19">
        <v>9</v>
      </c>
      <c r="BH138" s="19">
        <v>11383.54</v>
      </c>
      <c r="BI138" s="19">
        <v>9</v>
      </c>
      <c r="BJ138" s="19">
        <v>11383.54</v>
      </c>
      <c r="BK138" s="19">
        <v>0</v>
      </c>
      <c r="BL138" s="19">
        <v>0</v>
      </c>
      <c r="BM138" s="19">
        <v>0</v>
      </c>
      <c r="BN138" s="19">
        <v>692142701310</v>
      </c>
      <c r="BO138" s="66">
        <v>46213</v>
      </c>
      <c r="BP138" s="19">
        <v>0</v>
      </c>
    </row>
    <row r="139" spans="1:68">
      <c r="A139" s="65"/>
      <c r="B139" s="20" t="s">
        <v>2216</v>
      </c>
      <c r="C139" s="111">
        <v>46302</v>
      </c>
      <c r="D139" s="20" t="s">
        <v>3635</v>
      </c>
      <c r="E139" s="20" t="s">
        <v>18</v>
      </c>
      <c r="F139" s="20" t="s">
        <v>19</v>
      </c>
      <c r="H139" s="20" t="s">
        <v>3636</v>
      </c>
      <c r="I139" s="20">
        <v>549</v>
      </c>
      <c r="J139" s="20">
        <v>549</v>
      </c>
      <c r="K139" s="20" t="s">
        <v>11</v>
      </c>
      <c r="L139" s="20">
        <v>549</v>
      </c>
      <c r="M139" s="20">
        <v>0</v>
      </c>
      <c r="N139" s="20">
        <v>549</v>
      </c>
      <c r="O139" s="20" t="s">
        <v>2203</v>
      </c>
      <c r="P139" s="20" t="s">
        <v>87</v>
      </c>
      <c r="Q139" s="20" t="s">
        <v>87</v>
      </c>
      <c r="R139" s="20" t="s">
        <v>2948</v>
      </c>
      <c r="S139" s="111">
        <v>46302</v>
      </c>
      <c r="T139" s="20" t="s">
        <v>206</v>
      </c>
      <c r="U139" s="20" t="s">
        <v>207</v>
      </c>
      <c r="V139" s="20" t="s">
        <v>2947</v>
      </c>
      <c r="W139" s="20">
        <v>144.49</v>
      </c>
      <c r="X139" s="20">
        <v>144.489999212767</v>
      </c>
      <c r="Y139" s="20" t="s">
        <v>2948</v>
      </c>
      <c r="Z139" s="111">
        <v>46302</v>
      </c>
      <c r="AB139" s="20" t="s">
        <v>2376</v>
      </c>
      <c r="AD139" s="20" t="s">
        <v>2376</v>
      </c>
      <c r="AE139" s="20" t="s">
        <v>2376</v>
      </c>
      <c r="AF139" s="20">
        <v>0</v>
      </c>
      <c r="AG139" s="20">
        <v>0</v>
      </c>
      <c r="AH139" s="20">
        <v>0</v>
      </c>
      <c r="AI139" s="20">
        <v>0</v>
      </c>
      <c r="AJ139" s="20">
        <v>0</v>
      </c>
      <c r="AK139" s="20" t="s">
        <v>609</v>
      </c>
      <c r="AL139" s="20">
        <v>0</v>
      </c>
      <c r="AM139" s="20">
        <v>0</v>
      </c>
      <c r="AN139" s="20">
        <v>0</v>
      </c>
      <c r="AO139" s="20">
        <v>0</v>
      </c>
      <c r="AP139" s="20">
        <v>0</v>
      </c>
      <c r="AR139" s="20">
        <v>0</v>
      </c>
      <c r="AS139" s="20">
        <v>0</v>
      </c>
      <c r="AT139" s="20">
        <v>550624.86</v>
      </c>
      <c r="AU139" s="20" t="s">
        <v>13</v>
      </c>
      <c r="AV139" s="20" t="s">
        <v>62</v>
      </c>
      <c r="AW139" s="111" t="s">
        <v>63</v>
      </c>
      <c r="AX139" s="20" t="s">
        <v>208</v>
      </c>
      <c r="AY139" s="19" t="s">
        <v>209</v>
      </c>
      <c r="AZ139" s="19">
        <v>0</v>
      </c>
      <c r="BA139" s="19">
        <v>79325.009999999995</v>
      </c>
      <c r="BB139" s="19">
        <v>825</v>
      </c>
      <c r="BC139" s="66">
        <v>46302</v>
      </c>
      <c r="BD139" s="19" t="s">
        <v>65</v>
      </c>
      <c r="BE139" s="19" t="s">
        <v>210</v>
      </c>
      <c r="BF139" s="19" t="s">
        <v>210</v>
      </c>
      <c r="BG139" s="19">
        <v>9</v>
      </c>
      <c r="BH139" s="19">
        <v>7139.25</v>
      </c>
      <c r="BI139" s="19">
        <v>9</v>
      </c>
      <c r="BJ139" s="19">
        <v>7139.25</v>
      </c>
      <c r="BK139" s="19">
        <v>0</v>
      </c>
      <c r="BL139" s="19">
        <v>0</v>
      </c>
      <c r="BM139" s="19">
        <v>550624.86</v>
      </c>
      <c r="BN139" s="19">
        <v>602142730065</v>
      </c>
      <c r="BO139" s="66">
        <v>46213</v>
      </c>
      <c r="BP139" s="19">
        <v>0</v>
      </c>
    </row>
    <row r="140" spans="1:68">
      <c r="A140" s="65"/>
      <c r="B140" s="20" t="s">
        <v>2216</v>
      </c>
      <c r="C140" s="111">
        <v>46302</v>
      </c>
      <c r="D140" s="20" t="s">
        <v>3635</v>
      </c>
      <c r="E140" s="20" t="s">
        <v>1712</v>
      </c>
      <c r="F140" s="20" t="s">
        <v>2949</v>
      </c>
      <c r="H140" s="20" t="s">
        <v>3636</v>
      </c>
      <c r="I140" s="20">
        <v>410</v>
      </c>
      <c r="J140" s="20">
        <v>410</v>
      </c>
      <c r="K140" s="20" t="s">
        <v>11</v>
      </c>
      <c r="L140" s="20">
        <v>410</v>
      </c>
      <c r="M140" s="20">
        <v>0</v>
      </c>
      <c r="N140" s="20">
        <v>410</v>
      </c>
      <c r="O140" s="20" t="s">
        <v>2203</v>
      </c>
      <c r="P140" s="20" t="s">
        <v>87</v>
      </c>
      <c r="Q140" s="20" t="s">
        <v>87</v>
      </c>
      <c r="R140" s="20" t="s">
        <v>2948</v>
      </c>
      <c r="S140" s="111">
        <v>46302</v>
      </c>
      <c r="T140" s="20" t="s">
        <v>206</v>
      </c>
      <c r="U140" s="20" t="s">
        <v>207</v>
      </c>
      <c r="V140" s="20" t="s">
        <v>2947</v>
      </c>
      <c r="W140" s="20">
        <v>144.49</v>
      </c>
      <c r="X140" s="20">
        <v>144.489999212767</v>
      </c>
      <c r="Y140" s="20" t="s">
        <v>2948</v>
      </c>
      <c r="Z140" s="111">
        <v>46302</v>
      </c>
      <c r="AB140" s="20" t="s">
        <v>2376</v>
      </c>
      <c r="AD140" s="20" t="s">
        <v>2376</v>
      </c>
      <c r="AE140" s="20" t="s">
        <v>2376</v>
      </c>
      <c r="AF140" s="20">
        <v>0</v>
      </c>
      <c r="AG140" s="20">
        <v>0</v>
      </c>
      <c r="AH140" s="20">
        <v>0</v>
      </c>
      <c r="AI140" s="20">
        <v>0</v>
      </c>
      <c r="AJ140" s="20">
        <v>0</v>
      </c>
      <c r="AK140" s="20" t="s">
        <v>609</v>
      </c>
      <c r="AL140" s="20">
        <v>0</v>
      </c>
      <c r="AM140" s="20">
        <v>0</v>
      </c>
      <c r="AN140" s="20">
        <v>0</v>
      </c>
      <c r="AO140" s="20">
        <v>0</v>
      </c>
      <c r="AP140" s="20">
        <v>0</v>
      </c>
      <c r="AR140" s="20">
        <v>0</v>
      </c>
      <c r="AS140" s="20">
        <v>0</v>
      </c>
      <c r="AT140" s="20">
        <v>550624.86</v>
      </c>
      <c r="AU140" s="20" t="s">
        <v>13</v>
      </c>
      <c r="AV140" s="20" t="s">
        <v>62</v>
      </c>
      <c r="AW140" s="111" t="s">
        <v>63</v>
      </c>
      <c r="AX140" s="20" t="s">
        <v>208</v>
      </c>
      <c r="AY140" s="19" t="s">
        <v>209</v>
      </c>
      <c r="AZ140" s="19">
        <v>0</v>
      </c>
      <c r="BA140" s="19">
        <v>59240.9</v>
      </c>
      <c r="BB140" s="19">
        <v>825</v>
      </c>
      <c r="BC140" s="66">
        <v>46302</v>
      </c>
      <c r="BD140" s="19" t="s">
        <v>65</v>
      </c>
      <c r="BE140" s="19" t="s">
        <v>210</v>
      </c>
      <c r="BF140" s="19" t="s">
        <v>210</v>
      </c>
      <c r="BG140" s="19">
        <v>9</v>
      </c>
      <c r="BH140" s="19">
        <v>5331.68</v>
      </c>
      <c r="BI140" s="19">
        <v>9</v>
      </c>
      <c r="BJ140" s="19">
        <v>5331.68</v>
      </c>
      <c r="BK140" s="19">
        <v>0</v>
      </c>
      <c r="BL140" s="19">
        <v>0</v>
      </c>
      <c r="BM140" s="19">
        <v>0</v>
      </c>
      <c r="BN140" s="19">
        <v>602142730065</v>
      </c>
      <c r="BO140" s="66">
        <v>46213</v>
      </c>
      <c r="BP140" s="19">
        <v>0</v>
      </c>
    </row>
    <row r="141" spans="1:68">
      <c r="A141" s="65"/>
      <c r="B141" s="20" t="s">
        <v>2216</v>
      </c>
      <c r="C141" s="111">
        <v>46302</v>
      </c>
      <c r="D141" s="20" t="s">
        <v>3635</v>
      </c>
      <c r="E141" s="20" t="s">
        <v>23</v>
      </c>
      <c r="F141" s="20" t="s">
        <v>24</v>
      </c>
      <c r="H141" s="20" t="s">
        <v>3636</v>
      </c>
      <c r="I141" s="20">
        <v>1357.8</v>
      </c>
      <c r="J141" s="20">
        <v>1357.8</v>
      </c>
      <c r="K141" s="20" t="s">
        <v>11</v>
      </c>
      <c r="L141" s="20">
        <v>1357.8</v>
      </c>
      <c r="M141" s="20">
        <v>0</v>
      </c>
      <c r="N141" s="20">
        <v>1357.8</v>
      </c>
      <c r="O141" s="20" t="s">
        <v>2203</v>
      </c>
      <c r="P141" s="20" t="s">
        <v>87</v>
      </c>
      <c r="Q141" s="20" t="s">
        <v>87</v>
      </c>
      <c r="R141" s="20" t="s">
        <v>2948</v>
      </c>
      <c r="S141" s="111">
        <v>46302</v>
      </c>
      <c r="T141" s="20" t="s">
        <v>206</v>
      </c>
      <c r="U141" s="20" t="s">
        <v>207</v>
      </c>
      <c r="V141" s="20" t="s">
        <v>2947</v>
      </c>
      <c r="W141" s="20">
        <v>149.49</v>
      </c>
      <c r="X141" s="20">
        <v>149.48999918552499</v>
      </c>
      <c r="Y141" s="20" t="s">
        <v>2948</v>
      </c>
      <c r="Z141" s="111">
        <v>46302</v>
      </c>
      <c r="AB141" s="20" t="s">
        <v>2376</v>
      </c>
      <c r="AD141" s="20" t="s">
        <v>2376</v>
      </c>
      <c r="AE141" s="20" t="s">
        <v>2376</v>
      </c>
      <c r="AF141" s="20">
        <v>0</v>
      </c>
      <c r="AG141" s="20">
        <v>0</v>
      </c>
      <c r="AH141" s="20">
        <v>0</v>
      </c>
      <c r="AI141" s="20">
        <v>0</v>
      </c>
      <c r="AJ141" s="20">
        <v>0</v>
      </c>
      <c r="AK141" s="20" t="s">
        <v>609</v>
      </c>
      <c r="AL141" s="20">
        <v>0</v>
      </c>
      <c r="AM141" s="20">
        <v>0</v>
      </c>
      <c r="AN141" s="20">
        <v>0</v>
      </c>
      <c r="AO141" s="20">
        <v>0</v>
      </c>
      <c r="AP141" s="20">
        <v>0</v>
      </c>
      <c r="AR141" s="20">
        <v>0</v>
      </c>
      <c r="AS141" s="20">
        <v>0</v>
      </c>
      <c r="AT141" s="20">
        <v>550624.86</v>
      </c>
      <c r="AU141" s="20" t="s">
        <v>13</v>
      </c>
      <c r="AV141" s="20" t="s">
        <v>24</v>
      </c>
      <c r="AW141" s="111" t="s">
        <v>79</v>
      </c>
      <c r="AX141" s="20" t="s">
        <v>208</v>
      </c>
      <c r="AY141" s="19" t="s">
        <v>209</v>
      </c>
      <c r="AZ141" s="19">
        <v>0</v>
      </c>
      <c r="BA141" s="19">
        <v>202977.52</v>
      </c>
      <c r="BB141" s="19">
        <v>825</v>
      </c>
      <c r="BC141" s="66">
        <v>46302</v>
      </c>
      <c r="BD141" s="19" t="s">
        <v>65</v>
      </c>
      <c r="BE141" s="19" t="s">
        <v>210</v>
      </c>
      <c r="BF141" s="19" t="s">
        <v>210</v>
      </c>
      <c r="BG141" s="19">
        <v>9</v>
      </c>
      <c r="BH141" s="19">
        <v>18267.98</v>
      </c>
      <c r="BI141" s="19">
        <v>9</v>
      </c>
      <c r="BJ141" s="19">
        <v>18267.98</v>
      </c>
      <c r="BK141" s="19">
        <v>0</v>
      </c>
      <c r="BL141" s="19">
        <v>0</v>
      </c>
      <c r="BM141" s="19">
        <v>0</v>
      </c>
      <c r="BN141" s="19">
        <v>602142730065</v>
      </c>
      <c r="BO141" s="66">
        <v>46213</v>
      </c>
      <c r="BP141" s="19">
        <v>0</v>
      </c>
    </row>
    <row r="142" spans="1:68">
      <c r="A142" s="65"/>
      <c r="B142" s="20" t="s">
        <v>2216</v>
      </c>
      <c r="C142" s="111">
        <v>46302</v>
      </c>
      <c r="D142" s="20" t="s">
        <v>3635</v>
      </c>
      <c r="E142" s="20" t="s">
        <v>23</v>
      </c>
      <c r="F142" s="20" t="s">
        <v>24</v>
      </c>
      <c r="H142" s="20" t="s">
        <v>3636</v>
      </c>
      <c r="I142" s="20">
        <v>853.9</v>
      </c>
      <c r="J142" s="20">
        <v>853.9</v>
      </c>
      <c r="K142" s="20" t="s">
        <v>11</v>
      </c>
      <c r="L142" s="20">
        <v>853.9</v>
      </c>
      <c r="M142" s="20">
        <v>0</v>
      </c>
      <c r="N142" s="20">
        <v>853.9</v>
      </c>
      <c r="O142" s="20" t="s">
        <v>2203</v>
      </c>
      <c r="P142" s="20" t="s">
        <v>87</v>
      </c>
      <c r="Q142" s="20" t="s">
        <v>87</v>
      </c>
      <c r="R142" s="20" t="s">
        <v>2948</v>
      </c>
      <c r="S142" s="111">
        <v>46302</v>
      </c>
      <c r="T142" s="20" t="s">
        <v>206</v>
      </c>
      <c r="U142" s="20" t="s">
        <v>207</v>
      </c>
      <c r="V142" s="20" t="s">
        <v>2947</v>
      </c>
      <c r="W142" s="20">
        <v>146.49</v>
      </c>
      <c r="X142" s="20">
        <v>146.48999920187001</v>
      </c>
      <c r="Y142" s="20" t="s">
        <v>2948</v>
      </c>
      <c r="Z142" s="111">
        <v>46302</v>
      </c>
      <c r="AB142" s="20" t="s">
        <v>2376</v>
      </c>
      <c r="AD142" s="20" t="s">
        <v>2376</v>
      </c>
      <c r="AE142" s="20" t="s">
        <v>2376</v>
      </c>
      <c r="AF142" s="20">
        <v>0</v>
      </c>
      <c r="AG142" s="20">
        <v>0</v>
      </c>
      <c r="AH142" s="20">
        <v>0</v>
      </c>
      <c r="AI142" s="20">
        <v>0</v>
      </c>
      <c r="AJ142" s="20">
        <v>0</v>
      </c>
      <c r="AK142" s="20" t="s">
        <v>609</v>
      </c>
      <c r="AL142" s="20">
        <v>0</v>
      </c>
      <c r="AM142" s="20">
        <v>0</v>
      </c>
      <c r="AN142" s="20">
        <v>0</v>
      </c>
      <c r="AO142" s="20">
        <v>0</v>
      </c>
      <c r="AP142" s="20">
        <v>0</v>
      </c>
      <c r="AR142" s="20">
        <v>0</v>
      </c>
      <c r="AS142" s="20">
        <v>0</v>
      </c>
      <c r="AT142" s="20">
        <v>550624.86</v>
      </c>
      <c r="AU142" s="20" t="s">
        <v>13</v>
      </c>
      <c r="AV142" s="20" t="s">
        <v>24</v>
      </c>
      <c r="AW142" s="111" t="s">
        <v>79</v>
      </c>
      <c r="AX142" s="20" t="s">
        <v>208</v>
      </c>
      <c r="AY142" s="19" t="s">
        <v>209</v>
      </c>
      <c r="AZ142" s="19">
        <v>0</v>
      </c>
      <c r="BA142" s="19">
        <v>125087.81</v>
      </c>
      <c r="BB142" s="19">
        <v>825</v>
      </c>
      <c r="BC142" s="66">
        <v>46302</v>
      </c>
      <c r="BD142" s="19" t="s">
        <v>65</v>
      </c>
      <c r="BE142" s="19" t="s">
        <v>210</v>
      </c>
      <c r="BF142" s="19" t="s">
        <v>210</v>
      </c>
      <c r="BG142" s="19">
        <v>9</v>
      </c>
      <c r="BH142" s="19">
        <v>11257.9</v>
      </c>
      <c r="BI142" s="19">
        <v>9</v>
      </c>
      <c r="BJ142" s="19">
        <v>11257.9</v>
      </c>
      <c r="BK142" s="19">
        <v>0</v>
      </c>
      <c r="BL142" s="19">
        <v>0</v>
      </c>
      <c r="BM142" s="19">
        <v>0</v>
      </c>
      <c r="BN142" s="19">
        <v>602142730065</v>
      </c>
      <c r="BO142" s="66">
        <v>46213</v>
      </c>
      <c r="BP142" s="19">
        <v>0</v>
      </c>
    </row>
    <row r="143" spans="1:68">
      <c r="A143" s="65"/>
      <c r="B143" s="20" t="s">
        <v>2216</v>
      </c>
      <c r="C143" s="111">
        <v>46333</v>
      </c>
      <c r="D143" s="20" t="s">
        <v>3637</v>
      </c>
      <c r="E143" s="20" t="s">
        <v>18</v>
      </c>
      <c r="F143" s="20" t="s">
        <v>19</v>
      </c>
      <c r="H143" s="20" t="s">
        <v>3638</v>
      </c>
      <c r="I143" s="20">
        <v>1173</v>
      </c>
      <c r="J143" s="20">
        <v>1173</v>
      </c>
      <c r="K143" s="20" t="s">
        <v>11</v>
      </c>
      <c r="L143" s="20">
        <v>1173</v>
      </c>
      <c r="M143" s="20">
        <v>0</v>
      </c>
      <c r="N143" s="20">
        <v>1173</v>
      </c>
      <c r="O143" s="20" t="s">
        <v>2204</v>
      </c>
      <c r="P143" s="20" t="s">
        <v>87</v>
      </c>
      <c r="Q143" s="20" t="s">
        <v>87</v>
      </c>
      <c r="R143" s="20" t="s">
        <v>2963</v>
      </c>
      <c r="S143" s="111">
        <v>46333</v>
      </c>
      <c r="T143" s="20" t="s">
        <v>206</v>
      </c>
      <c r="U143" s="20" t="s">
        <v>207</v>
      </c>
      <c r="V143" s="20" t="s">
        <v>2962</v>
      </c>
      <c r="W143" s="20">
        <v>144.49</v>
      </c>
      <c r="X143" s="20">
        <v>144.49</v>
      </c>
      <c r="Y143" s="20" t="s">
        <v>2963</v>
      </c>
      <c r="Z143" s="111">
        <v>46333</v>
      </c>
      <c r="AB143" s="20" t="s">
        <v>2376</v>
      </c>
      <c r="AD143" s="20" t="s">
        <v>2376</v>
      </c>
      <c r="AE143" s="20" t="s">
        <v>2376</v>
      </c>
      <c r="AF143" s="20">
        <v>0</v>
      </c>
      <c r="AG143" s="20">
        <v>0</v>
      </c>
      <c r="AH143" s="20">
        <v>0</v>
      </c>
      <c r="AI143" s="20">
        <v>0</v>
      </c>
      <c r="AJ143" s="20">
        <v>0</v>
      </c>
      <c r="AK143" s="20" t="s">
        <v>609</v>
      </c>
      <c r="AL143" s="20">
        <v>0</v>
      </c>
      <c r="AM143" s="20">
        <v>0</v>
      </c>
      <c r="AN143" s="20">
        <v>0</v>
      </c>
      <c r="AO143" s="20">
        <v>0</v>
      </c>
      <c r="AP143" s="20">
        <v>0</v>
      </c>
      <c r="AR143" s="20">
        <v>0</v>
      </c>
      <c r="AS143" s="20">
        <v>0</v>
      </c>
      <c r="AT143" s="20">
        <v>199994.39</v>
      </c>
      <c r="AU143" s="20" t="s">
        <v>13</v>
      </c>
      <c r="AV143" s="20" t="s">
        <v>62</v>
      </c>
      <c r="AW143" s="111" t="s">
        <v>63</v>
      </c>
      <c r="AX143" s="20" t="s">
        <v>208</v>
      </c>
      <c r="AY143" s="19" t="s">
        <v>209</v>
      </c>
      <c r="AZ143" s="19">
        <v>0</v>
      </c>
      <c r="BA143" s="19">
        <v>169486.77</v>
      </c>
      <c r="BB143" s="19">
        <v>831</v>
      </c>
      <c r="BC143" s="66">
        <v>46333</v>
      </c>
      <c r="BD143" s="19" t="s">
        <v>65</v>
      </c>
      <c r="BE143" s="19" t="s">
        <v>210</v>
      </c>
      <c r="BF143" s="19" t="s">
        <v>210</v>
      </c>
      <c r="BG143" s="19">
        <v>9</v>
      </c>
      <c r="BH143" s="19">
        <v>15253.81</v>
      </c>
      <c r="BI143" s="19">
        <v>9</v>
      </c>
      <c r="BJ143" s="19">
        <v>15253.81</v>
      </c>
      <c r="BK143" s="19">
        <v>0</v>
      </c>
      <c r="BL143" s="19">
        <v>0</v>
      </c>
      <c r="BM143" s="19">
        <v>199994.39</v>
      </c>
      <c r="BN143" s="19">
        <v>652143239438</v>
      </c>
      <c r="BO143" s="66">
        <v>46214</v>
      </c>
      <c r="BP143" s="19">
        <v>0</v>
      </c>
    </row>
    <row r="144" spans="1:68">
      <c r="A144" s="65"/>
      <c r="B144" s="20" t="s">
        <v>2216</v>
      </c>
      <c r="C144" s="111">
        <v>46333</v>
      </c>
      <c r="D144" s="20" t="s">
        <v>3639</v>
      </c>
      <c r="E144" s="20" t="s">
        <v>160</v>
      </c>
      <c r="F144" s="20" t="s">
        <v>17</v>
      </c>
      <c r="H144" s="20" t="s">
        <v>3638</v>
      </c>
      <c r="I144" s="20">
        <v>21.4</v>
      </c>
      <c r="J144" s="20">
        <v>21.4</v>
      </c>
      <c r="K144" s="20" t="s">
        <v>11</v>
      </c>
      <c r="L144" s="20">
        <v>21.4</v>
      </c>
      <c r="M144" s="20">
        <v>0</v>
      </c>
      <c r="N144" s="20">
        <v>21.4</v>
      </c>
      <c r="O144" s="20" t="s">
        <v>3640</v>
      </c>
      <c r="P144" s="20" t="s">
        <v>87</v>
      </c>
      <c r="Q144" s="20" t="s">
        <v>87</v>
      </c>
      <c r="R144" s="20" t="s">
        <v>2965</v>
      </c>
      <c r="S144" s="111">
        <v>46333</v>
      </c>
      <c r="T144" s="20" t="s">
        <v>206</v>
      </c>
      <c r="U144" s="20" t="s">
        <v>207</v>
      </c>
      <c r="V144" s="20" t="s">
        <v>2964</v>
      </c>
      <c r="W144" s="20">
        <v>182.78</v>
      </c>
      <c r="X144" s="20">
        <v>182.77992079820601</v>
      </c>
      <c r="Y144" s="20" t="s">
        <v>2965</v>
      </c>
      <c r="Z144" s="111">
        <v>46333</v>
      </c>
      <c r="AB144" s="20" t="s">
        <v>2376</v>
      </c>
      <c r="AD144" s="20" t="s">
        <v>2376</v>
      </c>
      <c r="AE144" s="20" t="s">
        <v>2376</v>
      </c>
      <c r="AF144" s="20">
        <v>0</v>
      </c>
      <c r="AG144" s="20">
        <v>0</v>
      </c>
      <c r="AH144" s="20">
        <v>0</v>
      </c>
      <c r="AI144" s="20">
        <v>0</v>
      </c>
      <c r="AJ144" s="20">
        <v>0</v>
      </c>
      <c r="AK144" s="20" t="s">
        <v>609</v>
      </c>
      <c r="AL144" s="20">
        <v>0</v>
      </c>
      <c r="AM144" s="20">
        <v>0</v>
      </c>
      <c r="AN144" s="20">
        <v>0</v>
      </c>
      <c r="AO144" s="20">
        <v>0</v>
      </c>
      <c r="AP144" s="20">
        <v>0</v>
      </c>
      <c r="AR144" s="20">
        <v>0</v>
      </c>
      <c r="AS144" s="20">
        <v>0</v>
      </c>
      <c r="AT144" s="20">
        <v>4615.55</v>
      </c>
      <c r="AU144" s="20" t="s">
        <v>13</v>
      </c>
      <c r="AV144" s="20" t="s">
        <v>80</v>
      </c>
      <c r="AW144" s="111" t="s">
        <v>81</v>
      </c>
      <c r="AX144" s="20" t="s">
        <v>208</v>
      </c>
      <c r="AY144" s="19" t="s">
        <v>209</v>
      </c>
      <c r="AZ144" s="19">
        <v>0</v>
      </c>
      <c r="BA144" s="19">
        <v>3911.49</v>
      </c>
      <c r="BB144" s="19">
        <v>832</v>
      </c>
      <c r="BC144" s="66">
        <v>46333</v>
      </c>
      <c r="BD144" s="19" t="s">
        <v>65</v>
      </c>
      <c r="BE144" s="19" t="s">
        <v>210</v>
      </c>
      <c r="BF144" s="19" t="s">
        <v>210</v>
      </c>
      <c r="BG144" s="19">
        <v>9</v>
      </c>
      <c r="BH144" s="19">
        <v>352.03</v>
      </c>
      <c r="BI144" s="19">
        <v>9</v>
      </c>
      <c r="BJ144" s="19">
        <v>352.03</v>
      </c>
      <c r="BK144" s="19">
        <v>0</v>
      </c>
      <c r="BL144" s="19">
        <v>0</v>
      </c>
      <c r="BM144" s="19">
        <v>4615.55</v>
      </c>
      <c r="BN144" s="19">
        <v>682143496834</v>
      </c>
      <c r="BO144" s="66">
        <v>46214</v>
      </c>
      <c r="BP144" s="19">
        <v>0</v>
      </c>
    </row>
    <row r="145" spans="1:68">
      <c r="A145" s="65"/>
      <c r="B145" s="20" t="s">
        <v>2216</v>
      </c>
      <c r="C145" s="111">
        <v>46333</v>
      </c>
      <c r="D145" s="20" t="s">
        <v>3641</v>
      </c>
      <c r="E145" s="20" t="s">
        <v>2630</v>
      </c>
      <c r="F145" s="20" t="s">
        <v>2608</v>
      </c>
      <c r="H145" s="20" t="s">
        <v>3642</v>
      </c>
      <c r="I145" s="20">
        <v>25</v>
      </c>
      <c r="J145" s="20">
        <v>25</v>
      </c>
      <c r="K145" s="20" t="s">
        <v>11</v>
      </c>
      <c r="L145" s="20">
        <v>25</v>
      </c>
      <c r="M145" s="20">
        <v>0</v>
      </c>
      <c r="N145" s="20">
        <v>25</v>
      </c>
      <c r="O145" s="20" t="s">
        <v>2203</v>
      </c>
      <c r="P145" s="20" t="s">
        <v>87</v>
      </c>
      <c r="Q145" s="20" t="s">
        <v>87</v>
      </c>
      <c r="R145" s="20" t="s">
        <v>2967</v>
      </c>
      <c r="S145" s="111">
        <v>46333</v>
      </c>
      <c r="T145" s="20" t="s">
        <v>206</v>
      </c>
      <c r="U145" s="20" t="s">
        <v>207</v>
      </c>
      <c r="V145" s="20" t="s">
        <v>2966</v>
      </c>
      <c r="W145" s="20">
        <v>275</v>
      </c>
      <c r="X145" s="20">
        <v>275</v>
      </c>
      <c r="Y145" s="20" t="s">
        <v>2967</v>
      </c>
      <c r="Z145" s="111">
        <v>46333</v>
      </c>
      <c r="AB145" s="20" t="s">
        <v>2376</v>
      </c>
      <c r="AD145" s="20" t="s">
        <v>2376</v>
      </c>
      <c r="AE145" s="20" t="s">
        <v>2376</v>
      </c>
      <c r="AF145" s="20">
        <v>0</v>
      </c>
      <c r="AG145" s="20">
        <v>0</v>
      </c>
      <c r="AH145" s="20">
        <v>0</v>
      </c>
      <c r="AI145" s="20">
        <v>0</v>
      </c>
      <c r="AJ145" s="20">
        <v>0</v>
      </c>
      <c r="AK145" s="20" t="s">
        <v>609</v>
      </c>
      <c r="AL145" s="20">
        <v>0</v>
      </c>
      <c r="AM145" s="20">
        <v>0</v>
      </c>
      <c r="AN145" s="20">
        <v>0</v>
      </c>
      <c r="AO145" s="20">
        <v>0</v>
      </c>
      <c r="AP145" s="20">
        <v>0</v>
      </c>
      <c r="AR145" s="20">
        <v>0</v>
      </c>
      <c r="AS145" s="20">
        <v>0</v>
      </c>
      <c r="AT145" s="20">
        <v>8112.5</v>
      </c>
      <c r="AU145" s="20" t="s">
        <v>8</v>
      </c>
      <c r="AV145" s="20" t="s">
        <v>110</v>
      </c>
      <c r="AW145" s="111" t="s">
        <v>110</v>
      </c>
      <c r="AX145" s="20" t="s">
        <v>208</v>
      </c>
      <c r="AY145" s="19" t="s">
        <v>209</v>
      </c>
      <c r="AZ145" s="19">
        <v>0</v>
      </c>
      <c r="BA145" s="19">
        <v>6875</v>
      </c>
      <c r="BB145" s="19">
        <v>833</v>
      </c>
      <c r="BC145" s="66">
        <v>46333</v>
      </c>
      <c r="BD145" s="19" t="s">
        <v>65</v>
      </c>
      <c r="BE145" s="19" t="s">
        <v>210</v>
      </c>
      <c r="BF145" s="19" t="s">
        <v>210</v>
      </c>
      <c r="BG145" s="19">
        <v>9</v>
      </c>
      <c r="BH145" s="19">
        <v>618.75</v>
      </c>
      <c r="BI145" s="19">
        <v>9</v>
      </c>
      <c r="BJ145" s="19">
        <v>618.75</v>
      </c>
      <c r="BK145" s="19">
        <v>0</v>
      </c>
      <c r="BL145" s="19">
        <v>0</v>
      </c>
      <c r="BM145" s="19">
        <v>8112.5</v>
      </c>
      <c r="BN145" s="19">
        <v>642143482097</v>
      </c>
      <c r="BO145" s="66">
        <v>46214</v>
      </c>
      <c r="BP145" s="19">
        <v>0</v>
      </c>
    </row>
    <row r="146" spans="1:68">
      <c r="A146" s="65"/>
      <c r="B146" s="20" t="s">
        <v>2216</v>
      </c>
      <c r="C146" s="111">
        <v>46333</v>
      </c>
      <c r="D146" s="20" t="s">
        <v>3643</v>
      </c>
      <c r="E146" s="20" t="s">
        <v>18</v>
      </c>
      <c r="F146" s="20" t="s">
        <v>19</v>
      </c>
      <c r="H146" s="20" t="s">
        <v>3644</v>
      </c>
      <c r="I146" s="20">
        <v>2176</v>
      </c>
      <c r="J146" s="20">
        <v>2176</v>
      </c>
      <c r="K146" s="20" t="s">
        <v>11</v>
      </c>
      <c r="L146" s="20">
        <v>2176</v>
      </c>
      <c r="M146" s="20">
        <v>0</v>
      </c>
      <c r="N146" s="20">
        <v>2176</v>
      </c>
      <c r="O146" s="20" t="s">
        <v>2201</v>
      </c>
      <c r="P146" s="20" t="s">
        <v>87</v>
      </c>
      <c r="Q146" s="20" t="s">
        <v>87</v>
      </c>
      <c r="R146" s="20" t="s">
        <v>2969</v>
      </c>
      <c r="S146" s="111">
        <v>46333</v>
      </c>
      <c r="T146" s="20" t="s">
        <v>206</v>
      </c>
      <c r="U146" s="20" t="s">
        <v>207</v>
      </c>
      <c r="V146" s="20" t="s">
        <v>2968</v>
      </c>
      <c r="W146" s="20">
        <v>146.49</v>
      </c>
      <c r="X146" s="20">
        <v>146.49000042924999</v>
      </c>
      <c r="Y146" s="20" t="s">
        <v>2969</v>
      </c>
      <c r="Z146" s="111">
        <v>46333</v>
      </c>
      <c r="AB146" s="20" t="s">
        <v>2376</v>
      </c>
      <c r="AD146" s="20" t="s">
        <v>2376</v>
      </c>
      <c r="AE146" s="20" t="s">
        <v>2376</v>
      </c>
      <c r="AF146" s="20">
        <v>0</v>
      </c>
      <c r="AG146" s="20">
        <v>0</v>
      </c>
      <c r="AH146" s="20">
        <v>0</v>
      </c>
      <c r="AI146" s="20">
        <v>0</v>
      </c>
      <c r="AJ146" s="20">
        <v>0</v>
      </c>
      <c r="AK146" s="20" t="s">
        <v>609</v>
      </c>
      <c r="AL146" s="20">
        <v>0</v>
      </c>
      <c r="AM146" s="20">
        <v>0</v>
      </c>
      <c r="AN146" s="20">
        <v>0</v>
      </c>
      <c r="AO146" s="20">
        <v>0</v>
      </c>
      <c r="AP146" s="20">
        <v>0</v>
      </c>
      <c r="AR146" s="20">
        <v>0</v>
      </c>
      <c r="AS146" s="20">
        <v>0</v>
      </c>
      <c r="AT146" s="20">
        <v>2047617.29</v>
      </c>
      <c r="AU146" s="20" t="s">
        <v>13</v>
      </c>
      <c r="AV146" s="20" t="s">
        <v>62</v>
      </c>
      <c r="AW146" s="111" t="s">
        <v>63</v>
      </c>
      <c r="AX146" s="20" t="s">
        <v>208</v>
      </c>
      <c r="AY146" s="19" t="s">
        <v>209</v>
      </c>
      <c r="AZ146" s="19">
        <v>0</v>
      </c>
      <c r="BA146" s="19">
        <v>318762.23999999999</v>
      </c>
      <c r="BB146" s="19">
        <v>830</v>
      </c>
      <c r="BC146" s="66">
        <v>46333</v>
      </c>
      <c r="BD146" s="19" t="s">
        <v>65</v>
      </c>
      <c r="BE146" s="19" t="s">
        <v>210</v>
      </c>
      <c r="BF146" s="19" t="s">
        <v>210</v>
      </c>
      <c r="BG146" s="19">
        <v>9</v>
      </c>
      <c r="BH146" s="19">
        <v>28688.6</v>
      </c>
      <c r="BI146" s="19">
        <v>9</v>
      </c>
      <c r="BJ146" s="19">
        <v>28688.6</v>
      </c>
      <c r="BK146" s="19">
        <v>0</v>
      </c>
      <c r="BL146" s="19">
        <v>0</v>
      </c>
      <c r="BM146" s="19">
        <v>2047617.29</v>
      </c>
      <c r="BN146" s="19">
        <v>652143281963</v>
      </c>
      <c r="BO146" s="66">
        <v>46214</v>
      </c>
      <c r="BP146" s="19">
        <v>0</v>
      </c>
    </row>
    <row r="147" spans="1:68">
      <c r="A147" s="65"/>
      <c r="B147" s="20" t="s">
        <v>2216</v>
      </c>
      <c r="C147" s="111">
        <v>46333</v>
      </c>
      <c r="D147" s="20" t="s">
        <v>3643</v>
      </c>
      <c r="E147" s="20" t="s">
        <v>18</v>
      </c>
      <c r="F147" s="20" t="s">
        <v>19</v>
      </c>
      <c r="H147" s="20" t="s">
        <v>3644</v>
      </c>
      <c r="I147" s="20">
        <v>1167</v>
      </c>
      <c r="J147" s="20">
        <v>1167</v>
      </c>
      <c r="K147" s="20" t="s">
        <v>11</v>
      </c>
      <c r="L147" s="20">
        <v>1167</v>
      </c>
      <c r="M147" s="20">
        <v>0</v>
      </c>
      <c r="N147" s="20">
        <v>1167</v>
      </c>
      <c r="O147" s="20" t="s">
        <v>2201</v>
      </c>
      <c r="P147" s="20" t="s">
        <v>87</v>
      </c>
      <c r="Q147" s="20" t="s">
        <v>87</v>
      </c>
      <c r="R147" s="20" t="s">
        <v>2969</v>
      </c>
      <c r="S147" s="111">
        <v>46333</v>
      </c>
      <c r="T147" s="20" t="s">
        <v>206</v>
      </c>
      <c r="U147" s="20" t="s">
        <v>207</v>
      </c>
      <c r="V147" s="20" t="s">
        <v>2968</v>
      </c>
      <c r="W147" s="20">
        <v>147.49</v>
      </c>
      <c r="X147" s="20">
        <v>147.49000043218001</v>
      </c>
      <c r="Y147" s="20" t="s">
        <v>2969</v>
      </c>
      <c r="Z147" s="111">
        <v>46333</v>
      </c>
      <c r="AB147" s="20" t="s">
        <v>2376</v>
      </c>
      <c r="AD147" s="20" t="s">
        <v>2376</v>
      </c>
      <c r="AE147" s="20" t="s">
        <v>2376</v>
      </c>
      <c r="AF147" s="20">
        <v>0</v>
      </c>
      <c r="AG147" s="20">
        <v>0</v>
      </c>
      <c r="AH147" s="20">
        <v>0</v>
      </c>
      <c r="AI147" s="20">
        <v>0</v>
      </c>
      <c r="AJ147" s="20">
        <v>0</v>
      </c>
      <c r="AK147" s="20" t="s">
        <v>609</v>
      </c>
      <c r="AL147" s="20">
        <v>0</v>
      </c>
      <c r="AM147" s="20">
        <v>0</v>
      </c>
      <c r="AN147" s="20">
        <v>0</v>
      </c>
      <c r="AO147" s="20">
        <v>0</v>
      </c>
      <c r="AP147" s="20">
        <v>0</v>
      </c>
      <c r="AR147" s="20">
        <v>0</v>
      </c>
      <c r="AS147" s="20">
        <v>0</v>
      </c>
      <c r="AT147" s="20">
        <v>2047617.29</v>
      </c>
      <c r="AU147" s="20" t="s">
        <v>13</v>
      </c>
      <c r="AV147" s="20" t="s">
        <v>62</v>
      </c>
      <c r="AW147" s="111" t="s">
        <v>63</v>
      </c>
      <c r="AX147" s="20" t="s">
        <v>208</v>
      </c>
      <c r="AY147" s="19" t="s">
        <v>209</v>
      </c>
      <c r="AZ147" s="19">
        <v>0</v>
      </c>
      <c r="BA147" s="19">
        <v>172120.83</v>
      </c>
      <c r="BB147" s="19">
        <v>830</v>
      </c>
      <c r="BC147" s="66">
        <v>46333</v>
      </c>
      <c r="BD147" s="19" t="s">
        <v>65</v>
      </c>
      <c r="BE147" s="19" t="s">
        <v>210</v>
      </c>
      <c r="BF147" s="19" t="s">
        <v>210</v>
      </c>
      <c r="BG147" s="19">
        <v>9</v>
      </c>
      <c r="BH147" s="19">
        <v>15490.87</v>
      </c>
      <c r="BI147" s="19">
        <v>9</v>
      </c>
      <c r="BJ147" s="19">
        <v>15490.87</v>
      </c>
      <c r="BK147" s="19">
        <v>0</v>
      </c>
      <c r="BL147" s="19">
        <v>0</v>
      </c>
      <c r="BM147" s="19">
        <v>0</v>
      </c>
      <c r="BN147" s="19">
        <v>652143281963</v>
      </c>
      <c r="BO147" s="66">
        <v>46214</v>
      </c>
      <c r="BP147" s="19">
        <v>0</v>
      </c>
    </row>
    <row r="148" spans="1:68">
      <c r="A148" s="65"/>
      <c r="B148" s="20" t="s">
        <v>2216</v>
      </c>
      <c r="C148" s="111">
        <v>46333</v>
      </c>
      <c r="D148" s="20" t="s">
        <v>3643</v>
      </c>
      <c r="E148" s="20" t="s">
        <v>18</v>
      </c>
      <c r="F148" s="20" t="s">
        <v>19</v>
      </c>
      <c r="H148" s="20" t="s">
        <v>3644</v>
      </c>
      <c r="I148" s="20">
        <v>4517</v>
      </c>
      <c r="J148" s="20">
        <v>4517</v>
      </c>
      <c r="K148" s="20" t="s">
        <v>11</v>
      </c>
      <c r="L148" s="20">
        <v>4517</v>
      </c>
      <c r="M148" s="20">
        <v>0</v>
      </c>
      <c r="N148" s="20">
        <v>4517</v>
      </c>
      <c r="O148" s="20" t="s">
        <v>2201</v>
      </c>
      <c r="P148" s="20" t="s">
        <v>87</v>
      </c>
      <c r="Q148" s="20" t="s">
        <v>87</v>
      </c>
      <c r="R148" s="20" t="s">
        <v>2969</v>
      </c>
      <c r="S148" s="111">
        <v>46333</v>
      </c>
      <c r="T148" s="20" t="s">
        <v>206</v>
      </c>
      <c r="U148" s="20" t="s">
        <v>207</v>
      </c>
      <c r="V148" s="20" t="s">
        <v>2968</v>
      </c>
      <c r="W148" s="20">
        <v>144.49</v>
      </c>
      <c r="X148" s="20">
        <v>144.49000042339</v>
      </c>
      <c r="Y148" s="20" t="s">
        <v>2969</v>
      </c>
      <c r="Z148" s="111">
        <v>46333</v>
      </c>
      <c r="AB148" s="20" t="s">
        <v>2376</v>
      </c>
      <c r="AD148" s="20" t="s">
        <v>2376</v>
      </c>
      <c r="AE148" s="20" t="s">
        <v>2376</v>
      </c>
      <c r="AF148" s="20">
        <v>0</v>
      </c>
      <c r="AG148" s="20">
        <v>0</v>
      </c>
      <c r="AH148" s="20">
        <v>0</v>
      </c>
      <c r="AI148" s="20">
        <v>0</v>
      </c>
      <c r="AJ148" s="20">
        <v>0</v>
      </c>
      <c r="AK148" s="20" t="s">
        <v>609</v>
      </c>
      <c r="AL148" s="20">
        <v>0</v>
      </c>
      <c r="AM148" s="20">
        <v>0</v>
      </c>
      <c r="AN148" s="20">
        <v>0</v>
      </c>
      <c r="AO148" s="20">
        <v>0</v>
      </c>
      <c r="AP148" s="20">
        <v>0</v>
      </c>
      <c r="AR148" s="20">
        <v>0</v>
      </c>
      <c r="AS148" s="20">
        <v>0</v>
      </c>
      <c r="AT148" s="20">
        <v>2047617.29</v>
      </c>
      <c r="AU148" s="20" t="s">
        <v>13</v>
      </c>
      <c r="AV148" s="20" t="s">
        <v>62</v>
      </c>
      <c r="AW148" s="111" t="s">
        <v>63</v>
      </c>
      <c r="AX148" s="20" t="s">
        <v>208</v>
      </c>
      <c r="AY148" s="19" t="s">
        <v>209</v>
      </c>
      <c r="AZ148" s="19">
        <v>0</v>
      </c>
      <c r="BA148" s="19">
        <v>652661.32999999996</v>
      </c>
      <c r="BB148" s="19">
        <v>830</v>
      </c>
      <c r="BC148" s="66">
        <v>46333</v>
      </c>
      <c r="BD148" s="19" t="s">
        <v>65</v>
      </c>
      <c r="BE148" s="19" t="s">
        <v>210</v>
      </c>
      <c r="BF148" s="19" t="s">
        <v>210</v>
      </c>
      <c r="BG148" s="19">
        <v>9</v>
      </c>
      <c r="BH148" s="19">
        <v>58739.519999999997</v>
      </c>
      <c r="BI148" s="19">
        <v>9</v>
      </c>
      <c r="BJ148" s="19">
        <v>58739.519999999997</v>
      </c>
      <c r="BK148" s="19">
        <v>0</v>
      </c>
      <c r="BL148" s="19">
        <v>0</v>
      </c>
      <c r="BM148" s="19">
        <v>0</v>
      </c>
      <c r="BN148" s="19">
        <v>652143281963</v>
      </c>
      <c r="BO148" s="66">
        <v>46214</v>
      </c>
      <c r="BP148" s="19">
        <v>0</v>
      </c>
    </row>
    <row r="149" spans="1:68">
      <c r="A149" s="65"/>
      <c r="B149" s="20" t="s">
        <v>2216</v>
      </c>
      <c r="C149" s="111">
        <v>46333</v>
      </c>
      <c r="D149" s="20" t="s">
        <v>3643</v>
      </c>
      <c r="E149" s="20" t="s">
        <v>20</v>
      </c>
      <c r="F149" s="20" t="s">
        <v>21</v>
      </c>
      <c r="H149" s="20" t="s">
        <v>3644</v>
      </c>
      <c r="I149" s="20">
        <v>1756</v>
      </c>
      <c r="J149" s="20">
        <v>1756</v>
      </c>
      <c r="K149" s="20" t="s">
        <v>11</v>
      </c>
      <c r="L149" s="20">
        <v>1756</v>
      </c>
      <c r="M149" s="20">
        <v>0</v>
      </c>
      <c r="N149" s="20">
        <v>1756</v>
      </c>
      <c r="O149" s="20" t="s">
        <v>2201</v>
      </c>
      <c r="P149" s="20" t="s">
        <v>87</v>
      </c>
      <c r="Q149" s="20" t="s">
        <v>87</v>
      </c>
      <c r="R149" s="20" t="s">
        <v>2969</v>
      </c>
      <c r="S149" s="111">
        <v>46333</v>
      </c>
      <c r="T149" s="20" t="s">
        <v>206</v>
      </c>
      <c r="U149" s="20" t="s">
        <v>207</v>
      </c>
      <c r="V149" s="20" t="s">
        <v>2968</v>
      </c>
      <c r="W149" s="20">
        <v>151.49</v>
      </c>
      <c r="X149" s="20">
        <v>151.49000044390101</v>
      </c>
      <c r="Y149" s="20" t="s">
        <v>2969</v>
      </c>
      <c r="Z149" s="111">
        <v>46333</v>
      </c>
      <c r="AB149" s="20" t="s">
        <v>2376</v>
      </c>
      <c r="AD149" s="20" t="s">
        <v>2376</v>
      </c>
      <c r="AE149" s="20" t="s">
        <v>2376</v>
      </c>
      <c r="AF149" s="20">
        <v>0</v>
      </c>
      <c r="AG149" s="20">
        <v>0</v>
      </c>
      <c r="AH149" s="20">
        <v>0</v>
      </c>
      <c r="AI149" s="20">
        <v>0</v>
      </c>
      <c r="AJ149" s="20">
        <v>0</v>
      </c>
      <c r="AK149" s="20" t="s">
        <v>609</v>
      </c>
      <c r="AL149" s="20">
        <v>0</v>
      </c>
      <c r="AM149" s="20">
        <v>0</v>
      </c>
      <c r="AN149" s="20">
        <v>0</v>
      </c>
      <c r="AO149" s="20">
        <v>0</v>
      </c>
      <c r="AP149" s="20">
        <v>0</v>
      </c>
      <c r="AR149" s="20">
        <v>0</v>
      </c>
      <c r="AS149" s="20">
        <v>0</v>
      </c>
      <c r="AT149" s="20">
        <v>2047617.29</v>
      </c>
      <c r="AU149" s="20" t="s">
        <v>13</v>
      </c>
      <c r="AV149" s="20" t="s">
        <v>62</v>
      </c>
      <c r="AW149" s="111" t="s">
        <v>76</v>
      </c>
      <c r="AX149" s="20" t="s">
        <v>208</v>
      </c>
      <c r="AY149" s="19" t="s">
        <v>209</v>
      </c>
      <c r="AZ149" s="19">
        <v>0</v>
      </c>
      <c r="BA149" s="19">
        <v>266016.44</v>
      </c>
      <c r="BB149" s="19">
        <v>830</v>
      </c>
      <c r="BC149" s="66">
        <v>46333</v>
      </c>
      <c r="BD149" s="19" t="s">
        <v>65</v>
      </c>
      <c r="BE149" s="19" t="s">
        <v>210</v>
      </c>
      <c r="BF149" s="19" t="s">
        <v>210</v>
      </c>
      <c r="BG149" s="19">
        <v>9</v>
      </c>
      <c r="BH149" s="19">
        <v>23941.48</v>
      </c>
      <c r="BI149" s="19">
        <v>9</v>
      </c>
      <c r="BJ149" s="19">
        <v>23941.48</v>
      </c>
      <c r="BK149" s="19">
        <v>0</v>
      </c>
      <c r="BL149" s="19">
        <v>0</v>
      </c>
      <c r="BM149" s="19">
        <v>0</v>
      </c>
      <c r="BN149" s="19">
        <v>652143281963</v>
      </c>
      <c r="BO149" s="66">
        <v>46214</v>
      </c>
      <c r="BP149" s="19">
        <v>0</v>
      </c>
    </row>
    <row r="150" spans="1:68">
      <c r="A150" s="65"/>
      <c r="B150" s="20" t="s">
        <v>2216</v>
      </c>
      <c r="C150" s="111">
        <v>46333</v>
      </c>
      <c r="D150" s="20" t="s">
        <v>3643</v>
      </c>
      <c r="E150" s="20" t="s">
        <v>23</v>
      </c>
      <c r="F150" s="20" t="s">
        <v>24</v>
      </c>
      <c r="H150" s="20" t="s">
        <v>3644</v>
      </c>
      <c r="I150" s="20">
        <v>1358.2</v>
      </c>
      <c r="J150" s="20">
        <v>1358.2</v>
      </c>
      <c r="K150" s="20" t="s">
        <v>11</v>
      </c>
      <c r="L150" s="20">
        <v>1358.2</v>
      </c>
      <c r="M150" s="20">
        <v>0</v>
      </c>
      <c r="N150" s="20">
        <v>1358.2</v>
      </c>
      <c r="O150" s="20" t="s">
        <v>2201</v>
      </c>
      <c r="P150" s="20" t="s">
        <v>87</v>
      </c>
      <c r="Q150" s="20" t="s">
        <v>87</v>
      </c>
      <c r="R150" s="20" t="s">
        <v>2969</v>
      </c>
      <c r="S150" s="111">
        <v>46333</v>
      </c>
      <c r="T150" s="20" t="s">
        <v>206</v>
      </c>
      <c r="U150" s="20" t="s">
        <v>207</v>
      </c>
      <c r="V150" s="20" t="s">
        <v>2968</v>
      </c>
      <c r="W150" s="20">
        <v>149.49</v>
      </c>
      <c r="X150" s="20">
        <v>149.49000043804099</v>
      </c>
      <c r="Y150" s="20" t="s">
        <v>2969</v>
      </c>
      <c r="Z150" s="111">
        <v>46333</v>
      </c>
      <c r="AB150" s="20" t="s">
        <v>2376</v>
      </c>
      <c r="AD150" s="20" t="s">
        <v>2376</v>
      </c>
      <c r="AE150" s="20" t="s">
        <v>2376</v>
      </c>
      <c r="AF150" s="20">
        <v>0</v>
      </c>
      <c r="AG150" s="20">
        <v>0</v>
      </c>
      <c r="AH150" s="20">
        <v>0</v>
      </c>
      <c r="AI150" s="20">
        <v>0</v>
      </c>
      <c r="AJ150" s="20">
        <v>0</v>
      </c>
      <c r="AK150" s="20" t="s">
        <v>609</v>
      </c>
      <c r="AL150" s="20">
        <v>0</v>
      </c>
      <c r="AM150" s="20">
        <v>0</v>
      </c>
      <c r="AN150" s="20">
        <v>0</v>
      </c>
      <c r="AO150" s="20">
        <v>0</v>
      </c>
      <c r="AP150" s="20">
        <v>0</v>
      </c>
      <c r="AR150" s="20">
        <v>0</v>
      </c>
      <c r="AS150" s="20">
        <v>0</v>
      </c>
      <c r="AT150" s="20">
        <v>2047617.29</v>
      </c>
      <c r="AU150" s="20" t="s">
        <v>13</v>
      </c>
      <c r="AV150" s="20" t="s">
        <v>24</v>
      </c>
      <c r="AW150" s="111" t="s">
        <v>79</v>
      </c>
      <c r="AX150" s="20" t="s">
        <v>208</v>
      </c>
      <c r="AY150" s="19" t="s">
        <v>209</v>
      </c>
      <c r="AZ150" s="19">
        <v>0</v>
      </c>
      <c r="BA150" s="19">
        <v>203037.32</v>
      </c>
      <c r="BB150" s="19">
        <v>830</v>
      </c>
      <c r="BC150" s="66">
        <v>46333</v>
      </c>
      <c r="BD150" s="19" t="s">
        <v>65</v>
      </c>
      <c r="BE150" s="19" t="s">
        <v>210</v>
      </c>
      <c r="BF150" s="19" t="s">
        <v>210</v>
      </c>
      <c r="BG150" s="19">
        <v>9</v>
      </c>
      <c r="BH150" s="19">
        <v>18273.36</v>
      </c>
      <c r="BI150" s="19">
        <v>9</v>
      </c>
      <c r="BJ150" s="19">
        <v>18273.36</v>
      </c>
      <c r="BK150" s="19">
        <v>0</v>
      </c>
      <c r="BL150" s="19">
        <v>0</v>
      </c>
      <c r="BM150" s="19">
        <v>0</v>
      </c>
      <c r="BN150" s="19">
        <v>652143281963</v>
      </c>
      <c r="BO150" s="66">
        <v>46214</v>
      </c>
      <c r="BP150" s="19">
        <v>0</v>
      </c>
    </row>
    <row r="151" spans="1:68">
      <c r="A151" s="65"/>
      <c r="B151" s="20" t="s">
        <v>2216</v>
      </c>
      <c r="C151" s="111">
        <v>46333</v>
      </c>
      <c r="D151" s="20" t="s">
        <v>3643</v>
      </c>
      <c r="E151" s="20" t="s">
        <v>23</v>
      </c>
      <c r="F151" s="20" t="s">
        <v>24</v>
      </c>
      <c r="H151" s="20" t="s">
        <v>3644</v>
      </c>
      <c r="I151" s="20">
        <v>837.4</v>
      </c>
      <c r="J151" s="20">
        <v>837.4</v>
      </c>
      <c r="K151" s="20" t="s">
        <v>11</v>
      </c>
      <c r="L151" s="20">
        <v>837.4</v>
      </c>
      <c r="M151" s="20">
        <v>0</v>
      </c>
      <c r="N151" s="20">
        <v>837.4</v>
      </c>
      <c r="O151" s="20" t="s">
        <v>2201</v>
      </c>
      <c r="P151" s="20" t="s">
        <v>87</v>
      </c>
      <c r="Q151" s="20" t="s">
        <v>87</v>
      </c>
      <c r="R151" s="20" t="s">
        <v>2969</v>
      </c>
      <c r="S151" s="111">
        <v>46333</v>
      </c>
      <c r="T151" s="20" t="s">
        <v>206</v>
      </c>
      <c r="U151" s="20" t="s">
        <v>207</v>
      </c>
      <c r="V151" s="20" t="s">
        <v>2968</v>
      </c>
      <c r="W151" s="20">
        <v>146.49</v>
      </c>
      <c r="X151" s="20">
        <v>146.49000042924999</v>
      </c>
      <c r="Y151" s="20" t="s">
        <v>2969</v>
      </c>
      <c r="Z151" s="111">
        <v>46333</v>
      </c>
      <c r="AB151" s="20" t="s">
        <v>2376</v>
      </c>
      <c r="AD151" s="20" t="s">
        <v>2376</v>
      </c>
      <c r="AE151" s="20" t="s">
        <v>2376</v>
      </c>
      <c r="AF151" s="20">
        <v>0</v>
      </c>
      <c r="AG151" s="20">
        <v>0</v>
      </c>
      <c r="AH151" s="20">
        <v>0</v>
      </c>
      <c r="AI151" s="20">
        <v>0</v>
      </c>
      <c r="AJ151" s="20">
        <v>0</v>
      </c>
      <c r="AK151" s="20" t="s">
        <v>609</v>
      </c>
      <c r="AL151" s="20">
        <v>0</v>
      </c>
      <c r="AM151" s="20">
        <v>0</v>
      </c>
      <c r="AN151" s="20">
        <v>0</v>
      </c>
      <c r="AO151" s="20">
        <v>0</v>
      </c>
      <c r="AP151" s="20">
        <v>0</v>
      </c>
      <c r="AR151" s="20">
        <v>0</v>
      </c>
      <c r="AS151" s="20">
        <v>0</v>
      </c>
      <c r="AT151" s="20">
        <v>2047617.29</v>
      </c>
      <c r="AU151" s="20" t="s">
        <v>13</v>
      </c>
      <c r="AV151" s="20" t="s">
        <v>24</v>
      </c>
      <c r="AW151" s="111" t="s">
        <v>79</v>
      </c>
      <c r="AX151" s="20" t="s">
        <v>208</v>
      </c>
      <c r="AY151" s="19" t="s">
        <v>209</v>
      </c>
      <c r="AZ151" s="19">
        <v>0</v>
      </c>
      <c r="BA151" s="19">
        <v>122670.73</v>
      </c>
      <c r="BB151" s="19">
        <v>830</v>
      </c>
      <c r="BC151" s="66">
        <v>46333</v>
      </c>
      <c r="BD151" s="19" t="s">
        <v>65</v>
      </c>
      <c r="BE151" s="19" t="s">
        <v>210</v>
      </c>
      <c r="BF151" s="19" t="s">
        <v>210</v>
      </c>
      <c r="BG151" s="19">
        <v>9</v>
      </c>
      <c r="BH151" s="19">
        <v>11040.37</v>
      </c>
      <c r="BI151" s="19">
        <v>9</v>
      </c>
      <c r="BJ151" s="19">
        <v>11040.37</v>
      </c>
      <c r="BK151" s="19">
        <v>0</v>
      </c>
      <c r="BL151" s="19">
        <v>0</v>
      </c>
      <c r="BM151" s="19">
        <v>0</v>
      </c>
      <c r="BN151" s="19">
        <v>652143281963</v>
      </c>
      <c r="BO151" s="66">
        <v>46214</v>
      </c>
      <c r="BP151" s="19">
        <v>0</v>
      </c>
    </row>
    <row r="152" spans="1:68">
      <c r="A152" s="65"/>
      <c r="B152" s="20" t="s">
        <v>2216</v>
      </c>
      <c r="C152" s="111">
        <v>46363</v>
      </c>
      <c r="D152" s="20" t="s">
        <v>3645</v>
      </c>
      <c r="E152" s="20" t="s">
        <v>211</v>
      </c>
      <c r="F152" s="20" t="s">
        <v>16</v>
      </c>
      <c r="H152" s="20" t="s">
        <v>3646</v>
      </c>
      <c r="I152" s="20">
        <v>3287</v>
      </c>
      <c r="J152" s="20">
        <v>3287</v>
      </c>
      <c r="K152" s="20" t="s">
        <v>11</v>
      </c>
      <c r="L152" s="20">
        <v>3287</v>
      </c>
      <c r="M152" s="20">
        <v>0</v>
      </c>
      <c r="N152" s="20">
        <v>3287</v>
      </c>
      <c r="O152" s="20" t="s">
        <v>3619</v>
      </c>
      <c r="P152" s="20" t="s">
        <v>89</v>
      </c>
      <c r="Q152" s="20" t="s">
        <v>89</v>
      </c>
      <c r="R152" s="20" t="s">
        <v>2991</v>
      </c>
      <c r="S152" s="111">
        <v>46333</v>
      </c>
      <c r="T152" s="20" t="s">
        <v>206</v>
      </c>
      <c r="U152" s="20" t="s">
        <v>207</v>
      </c>
      <c r="V152" s="20" t="s">
        <v>2990</v>
      </c>
      <c r="W152" s="20">
        <v>194.73</v>
      </c>
      <c r="X152" s="20">
        <v>194.73</v>
      </c>
      <c r="Y152" s="20" t="s">
        <v>2991</v>
      </c>
      <c r="Z152" s="111">
        <v>46333</v>
      </c>
      <c r="AB152" s="20" t="s">
        <v>2376</v>
      </c>
      <c r="AD152" s="20" t="s">
        <v>2376</v>
      </c>
      <c r="AE152" s="20" t="s">
        <v>2376</v>
      </c>
      <c r="AF152" s="20">
        <v>0</v>
      </c>
      <c r="AG152" s="20">
        <v>0</v>
      </c>
      <c r="AH152" s="20">
        <v>0</v>
      </c>
      <c r="AI152" s="20">
        <v>0</v>
      </c>
      <c r="AJ152" s="20">
        <v>0</v>
      </c>
      <c r="AK152" s="20" t="s">
        <v>609</v>
      </c>
      <c r="AL152" s="20">
        <v>0</v>
      </c>
      <c r="AM152" s="20">
        <v>0</v>
      </c>
      <c r="AN152" s="20">
        <v>0</v>
      </c>
      <c r="AO152" s="20">
        <v>0</v>
      </c>
      <c r="AP152" s="20">
        <v>0</v>
      </c>
      <c r="AR152" s="20">
        <v>0</v>
      </c>
      <c r="AS152" s="20">
        <v>0</v>
      </c>
      <c r="AT152" s="20">
        <v>755291.47</v>
      </c>
      <c r="AU152" s="20" t="s">
        <v>15</v>
      </c>
      <c r="AV152" s="20" t="s">
        <v>57</v>
      </c>
      <c r="AW152" s="111" t="s">
        <v>57</v>
      </c>
      <c r="AX152" s="20" t="s">
        <v>15</v>
      </c>
      <c r="AY152" s="19" t="s">
        <v>209</v>
      </c>
      <c r="AZ152" s="19">
        <v>0</v>
      </c>
      <c r="BA152" s="19">
        <v>640077.51</v>
      </c>
      <c r="BB152" s="19">
        <v>835</v>
      </c>
      <c r="BC152" s="66">
        <v>46363</v>
      </c>
      <c r="BD152" s="19" t="s">
        <v>65</v>
      </c>
      <c r="BE152" s="19" t="s">
        <v>210</v>
      </c>
      <c r="BF152" s="19" t="s">
        <v>210</v>
      </c>
      <c r="BG152" s="19">
        <v>9</v>
      </c>
      <c r="BH152" s="19">
        <v>57606.98</v>
      </c>
      <c r="BI152" s="19">
        <v>9</v>
      </c>
      <c r="BJ152" s="19">
        <v>57606.98</v>
      </c>
      <c r="BK152" s="19">
        <v>0</v>
      </c>
      <c r="BL152" s="19">
        <v>0</v>
      </c>
      <c r="BM152" s="19">
        <v>755291.47</v>
      </c>
      <c r="BN152" s="19">
        <v>642143379674</v>
      </c>
      <c r="BO152" s="66">
        <v>46214</v>
      </c>
      <c r="BP152" s="19">
        <v>0</v>
      </c>
    </row>
    <row r="153" spans="1:68">
      <c r="A153" s="65"/>
      <c r="B153" s="20" t="s">
        <v>2216</v>
      </c>
      <c r="C153" s="111">
        <v>46363</v>
      </c>
      <c r="D153" s="20" t="s">
        <v>3647</v>
      </c>
      <c r="E153" s="20" t="s">
        <v>2519</v>
      </c>
      <c r="F153" s="20" t="s">
        <v>2117</v>
      </c>
      <c r="H153" s="20" t="s">
        <v>3648</v>
      </c>
      <c r="I153" s="20">
        <v>435</v>
      </c>
      <c r="J153" s="20">
        <v>435</v>
      </c>
      <c r="K153" s="20" t="s">
        <v>11</v>
      </c>
      <c r="L153" s="20">
        <v>435</v>
      </c>
      <c r="M153" s="20">
        <v>0</v>
      </c>
      <c r="N153" s="20">
        <v>435</v>
      </c>
      <c r="O153" s="20" t="s">
        <v>2623</v>
      </c>
      <c r="P153" s="20" t="s">
        <v>94</v>
      </c>
      <c r="Q153" s="20" t="s">
        <v>94</v>
      </c>
      <c r="R153" s="20" t="s">
        <v>2995</v>
      </c>
      <c r="S153" s="111">
        <v>46363</v>
      </c>
      <c r="T153" s="20" t="s">
        <v>206</v>
      </c>
      <c r="U153" s="20" t="s">
        <v>207</v>
      </c>
      <c r="V153" s="20" t="s">
        <v>2994</v>
      </c>
      <c r="W153" s="20">
        <v>154.74</v>
      </c>
      <c r="X153" s="20">
        <v>154.74</v>
      </c>
      <c r="Y153" s="20" t="s">
        <v>2995</v>
      </c>
      <c r="Z153" s="111">
        <v>46363</v>
      </c>
      <c r="AB153" s="20" t="s">
        <v>2376</v>
      </c>
      <c r="AD153" s="20" t="s">
        <v>2376</v>
      </c>
      <c r="AE153" s="20" t="s">
        <v>2376</v>
      </c>
      <c r="AF153" s="20">
        <v>0</v>
      </c>
      <c r="AG153" s="20">
        <v>0</v>
      </c>
      <c r="AH153" s="20">
        <v>0</v>
      </c>
      <c r="AI153" s="20">
        <v>0</v>
      </c>
      <c r="AJ153" s="20">
        <v>0</v>
      </c>
      <c r="AK153" s="20" t="s">
        <v>609</v>
      </c>
      <c r="AL153" s="20">
        <v>0</v>
      </c>
      <c r="AM153" s="20">
        <v>0</v>
      </c>
      <c r="AN153" s="20">
        <v>0</v>
      </c>
      <c r="AO153" s="20">
        <v>0</v>
      </c>
      <c r="AP153" s="20">
        <v>0</v>
      </c>
      <c r="AR153" s="20">
        <v>0</v>
      </c>
      <c r="AS153" s="20">
        <v>0</v>
      </c>
      <c r="AT153" s="20">
        <v>193826.93</v>
      </c>
      <c r="AU153" s="20" t="s">
        <v>15</v>
      </c>
      <c r="AV153" s="20" t="s">
        <v>2117</v>
      </c>
      <c r="AW153" s="111" t="s">
        <v>2117</v>
      </c>
      <c r="AX153" s="20" t="s">
        <v>208</v>
      </c>
      <c r="AY153" s="19" t="s">
        <v>209</v>
      </c>
      <c r="AZ153" s="19">
        <v>0</v>
      </c>
      <c r="BA153" s="19">
        <v>67311.899999999994</v>
      </c>
      <c r="BB153" s="19">
        <v>840</v>
      </c>
      <c r="BC153" s="66">
        <v>46363</v>
      </c>
      <c r="BD153" s="19" t="s">
        <v>74</v>
      </c>
      <c r="BE153" s="19" t="s">
        <v>210</v>
      </c>
      <c r="BF153" s="19" t="s">
        <v>210</v>
      </c>
      <c r="BG153" s="19">
        <v>9</v>
      </c>
      <c r="BH153" s="19">
        <v>6058.07</v>
      </c>
      <c r="BI153" s="19">
        <v>9</v>
      </c>
      <c r="BJ153" s="19">
        <v>6058.07</v>
      </c>
      <c r="BK153" s="19">
        <v>0</v>
      </c>
      <c r="BL153" s="19">
        <v>0</v>
      </c>
      <c r="BM153" s="19">
        <v>193826.93</v>
      </c>
      <c r="BN153" s="19">
        <v>692144065665</v>
      </c>
      <c r="BO153" s="66">
        <v>46216</v>
      </c>
      <c r="BP153" s="19">
        <v>0</v>
      </c>
    </row>
    <row r="154" spans="1:68">
      <c r="A154" s="65"/>
      <c r="B154" s="20" t="s">
        <v>2216</v>
      </c>
      <c r="C154" s="111">
        <v>46363</v>
      </c>
      <c r="D154" s="20" t="s">
        <v>3647</v>
      </c>
      <c r="E154" s="20" t="s">
        <v>23</v>
      </c>
      <c r="F154" s="20" t="s">
        <v>24</v>
      </c>
      <c r="H154" s="20" t="s">
        <v>3648</v>
      </c>
      <c r="I154" s="20">
        <v>73</v>
      </c>
      <c r="J154" s="20">
        <v>73</v>
      </c>
      <c r="K154" s="20" t="s">
        <v>11</v>
      </c>
      <c r="L154" s="20">
        <v>73</v>
      </c>
      <c r="M154" s="20">
        <v>0</v>
      </c>
      <c r="N154" s="20">
        <v>73</v>
      </c>
      <c r="O154" s="20" t="s">
        <v>2623</v>
      </c>
      <c r="P154" s="20" t="s">
        <v>94</v>
      </c>
      <c r="Q154" s="20" t="s">
        <v>94</v>
      </c>
      <c r="R154" s="20" t="s">
        <v>2995</v>
      </c>
      <c r="S154" s="111">
        <v>46363</v>
      </c>
      <c r="T154" s="20" t="s">
        <v>206</v>
      </c>
      <c r="U154" s="20" t="s">
        <v>207</v>
      </c>
      <c r="V154" s="20" t="s">
        <v>2994</v>
      </c>
      <c r="W154" s="20">
        <v>149.49</v>
      </c>
      <c r="X154" s="20">
        <v>149.49</v>
      </c>
      <c r="Y154" s="20" t="s">
        <v>2995</v>
      </c>
      <c r="Z154" s="111">
        <v>46363</v>
      </c>
      <c r="AB154" s="20" t="s">
        <v>2376</v>
      </c>
      <c r="AD154" s="20" t="s">
        <v>2376</v>
      </c>
      <c r="AE154" s="20" t="s">
        <v>2376</v>
      </c>
      <c r="AF154" s="20">
        <v>0</v>
      </c>
      <c r="AG154" s="20">
        <v>0</v>
      </c>
      <c r="AH154" s="20">
        <v>0</v>
      </c>
      <c r="AI154" s="20">
        <v>0</v>
      </c>
      <c r="AJ154" s="20">
        <v>0</v>
      </c>
      <c r="AK154" s="20" t="s">
        <v>609</v>
      </c>
      <c r="AL154" s="20">
        <v>0</v>
      </c>
      <c r="AM154" s="20">
        <v>0</v>
      </c>
      <c r="AN154" s="20">
        <v>0</v>
      </c>
      <c r="AO154" s="20">
        <v>0</v>
      </c>
      <c r="AP154" s="20">
        <v>0</v>
      </c>
      <c r="AR154" s="20">
        <v>0</v>
      </c>
      <c r="AS154" s="20">
        <v>0</v>
      </c>
      <c r="AT154" s="20">
        <v>193826.93</v>
      </c>
      <c r="AU154" s="20" t="s">
        <v>13</v>
      </c>
      <c r="AV154" s="20" t="s">
        <v>24</v>
      </c>
      <c r="AW154" s="111" t="s">
        <v>79</v>
      </c>
      <c r="AX154" s="20" t="s">
        <v>208</v>
      </c>
      <c r="AY154" s="19" t="s">
        <v>209</v>
      </c>
      <c r="AZ154" s="19">
        <v>0</v>
      </c>
      <c r="BA154" s="19">
        <v>10912.77</v>
      </c>
      <c r="BB154" s="19">
        <v>840</v>
      </c>
      <c r="BC154" s="66">
        <v>46363</v>
      </c>
      <c r="BD154" s="19" t="s">
        <v>74</v>
      </c>
      <c r="BE154" s="19" t="s">
        <v>210</v>
      </c>
      <c r="BF154" s="19" t="s">
        <v>210</v>
      </c>
      <c r="BG154" s="19">
        <v>9</v>
      </c>
      <c r="BH154" s="19">
        <v>982.15</v>
      </c>
      <c r="BI154" s="19">
        <v>9</v>
      </c>
      <c r="BJ154" s="19">
        <v>982.15</v>
      </c>
      <c r="BK154" s="19">
        <v>0</v>
      </c>
      <c r="BL154" s="19">
        <v>0</v>
      </c>
      <c r="BM154" s="19">
        <v>0</v>
      </c>
      <c r="BN154" s="19">
        <v>692144065665</v>
      </c>
      <c r="BO154" s="66">
        <v>46216</v>
      </c>
      <c r="BP154" s="19">
        <v>0</v>
      </c>
    </row>
    <row r="155" spans="1:68">
      <c r="A155" s="65"/>
      <c r="B155" s="20" t="s">
        <v>2216</v>
      </c>
      <c r="C155" s="111">
        <v>46363</v>
      </c>
      <c r="D155" s="20" t="s">
        <v>3647</v>
      </c>
      <c r="E155" s="20" t="s">
        <v>18</v>
      </c>
      <c r="F155" s="20" t="s">
        <v>19</v>
      </c>
      <c r="H155" s="20" t="s">
        <v>3648</v>
      </c>
      <c r="I155" s="20">
        <v>556</v>
      </c>
      <c r="J155" s="20">
        <v>556</v>
      </c>
      <c r="K155" s="20" t="s">
        <v>11</v>
      </c>
      <c r="L155" s="20">
        <v>556</v>
      </c>
      <c r="M155" s="20">
        <v>0</v>
      </c>
      <c r="N155" s="20">
        <v>556</v>
      </c>
      <c r="O155" s="20" t="s">
        <v>2623</v>
      </c>
      <c r="P155" s="20" t="s">
        <v>94</v>
      </c>
      <c r="Q155" s="20" t="s">
        <v>94</v>
      </c>
      <c r="R155" s="20" t="s">
        <v>2995</v>
      </c>
      <c r="S155" s="111">
        <v>46363</v>
      </c>
      <c r="T155" s="20" t="s">
        <v>206</v>
      </c>
      <c r="U155" s="20" t="s">
        <v>207</v>
      </c>
      <c r="V155" s="20" t="s">
        <v>2994</v>
      </c>
      <c r="W155" s="20">
        <v>154.74</v>
      </c>
      <c r="X155" s="20">
        <v>154.74</v>
      </c>
      <c r="Y155" s="20" t="s">
        <v>2995</v>
      </c>
      <c r="Z155" s="111">
        <v>46363</v>
      </c>
      <c r="AB155" s="20" t="s">
        <v>2376</v>
      </c>
      <c r="AD155" s="20" t="s">
        <v>2376</v>
      </c>
      <c r="AE155" s="20" t="s">
        <v>2376</v>
      </c>
      <c r="AF155" s="20">
        <v>0</v>
      </c>
      <c r="AG155" s="20">
        <v>0</v>
      </c>
      <c r="AH155" s="20">
        <v>0</v>
      </c>
      <c r="AI155" s="20">
        <v>0</v>
      </c>
      <c r="AJ155" s="20">
        <v>0</v>
      </c>
      <c r="AK155" s="20" t="s">
        <v>609</v>
      </c>
      <c r="AL155" s="20">
        <v>0</v>
      </c>
      <c r="AM155" s="20">
        <v>0</v>
      </c>
      <c r="AN155" s="20">
        <v>0</v>
      </c>
      <c r="AO155" s="20">
        <v>0</v>
      </c>
      <c r="AP155" s="20">
        <v>0</v>
      </c>
      <c r="AR155" s="20">
        <v>0</v>
      </c>
      <c r="AS155" s="20">
        <v>0</v>
      </c>
      <c r="AT155" s="20">
        <v>193826.93</v>
      </c>
      <c r="AU155" s="20" t="s">
        <v>13</v>
      </c>
      <c r="AV155" s="20" t="s">
        <v>62</v>
      </c>
      <c r="AW155" s="111" t="s">
        <v>63</v>
      </c>
      <c r="AX155" s="20" t="s">
        <v>208</v>
      </c>
      <c r="AY155" s="19" t="s">
        <v>209</v>
      </c>
      <c r="AZ155" s="19">
        <v>0</v>
      </c>
      <c r="BA155" s="19">
        <v>86035.44</v>
      </c>
      <c r="BB155" s="19">
        <v>840</v>
      </c>
      <c r="BC155" s="66">
        <v>46363</v>
      </c>
      <c r="BD155" s="19" t="s">
        <v>74</v>
      </c>
      <c r="BE155" s="19" t="s">
        <v>210</v>
      </c>
      <c r="BF155" s="19" t="s">
        <v>210</v>
      </c>
      <c r="BG155" s="19">
        <v>9</v>
      </c>
      <c r="BH155" s="19">
        <v>7743.19</v>
      </c>
      <c r="BI155" s="19">
        <v>9</v>
      </c>
      <c r="BJ155" s="19">
        <v>7743.19</v>
      </c>
      <c r="BK155" s="19">
        <v>0</v>
      </c>
      <c r="BL155" s="19">
        <v>0</v>
      </c>
      <c r="BM155" s="19">
        <v>0</v>
      </c>
      <c r="BN155" s="19">
        <v>692144065665</v>
      </c>
      <c r="BO155" s="66">
        <v>46216</v>
      </c>
      <c r="BP155" s="19">
        <v>0</v>
      </c>
    </row>
    <row r="156" spans="1:68">
      <c r="A156" s="65"/>
      <c r="B156" s="20" t="s">
        <v>2216</v>
      </c>
      <c r="C156" s="111">
        <v>46363</v>
      </c>
      <c r="D156" s="20" t="s">
        <v>3649</v>
      </c>
      <c r="E156" s="20" t="s">
        <v>18</v>
      </c>
      <c r="F156" s="20" t="s">
        <v>19</v>
      </c>
      <c r="H156" s="20" t="s">
        <v>3650</v>
      </c>
      <c r="I156" s="20">
        <v>2879</v>
      </c>
      <c r="J156" s="20">
        <v>2879</v>
      </c>
      <c r="K156" s="20" t="s">
        <v>11</v>
      </c>
      <c r="L156" s="20">
        <v>2879</v>
      </c>
      <c r="M156" s="20">
        <v>0</v>
      </c>
      <c r="N156" s="20">
        <v>2879</v>
      </c>
      <c r="O156" s="20" t="s">
        <v>2203</v>
      </c>
      <c r="P156" s="20" t="s">
        <v>87</v>
      </c>
      <c r="Q156" s="20" t="s">
        <v>87</v>
      </c>
      <c r="R156" s="20" t="s">
        <v>2985</v>
      </c>
      <c r="S156" s="111">
        <v>46363</v>
      </c>
      <c r="T156" s="20" t="s">
        <v>206</v>
      </c>
      <c r="U156" s="20" t="s">
        <v>207</v>
      </c>
      <c r="V156" s="20" t="s">
        <v>2984</v>
      </c>
      <c r="W156" s="20">
        <v>146.49</v>
      </c>
      <c r="X156" s="20">
        <v>146.49</v>
      </c>
      <c r="Y156" s="20" t="s">
        <v>2985</v>
      </c>
      <c r="Z156" s="111">
        <v>46363</v>
      </c>
      <c r="AB156" s="20" t="s">
        <v>2376</v>
      </c>
      <c r="AD156" s="20" t="s">
        <v>2376</v>
      </c>
      <c r="AE156" s="20" t="s">
        <v>2376</v>
      </c>
      <c r="AF156" s="20">
        <v>0</v>
      </c>
      <c r="AG156" s="20">
        <v>0</v>
      </c>
      <c r="AH156" s="20">
        <v>0</v>
      </c>
      <c r="AI156" s="20">
        <v>0</v>
      </c>
      <c r="AJ156" s="20">
        <v>0</v>
      </c>
      <c r="AK156" s="20" t="s">
        <v>609</v>
      </c>
      <c r="AL156" s="20">
        <v>0</v>
      </c>
      <c r="AM156" s="20">
        <v>0</v>
      </c>
      <c r="AN156" s="20">
        <v>0</v>
      </c>
      <c r="AO156" s="20">
        <v>0</v>
      </c>
      <c r="AP156" s="20">
        <v>0</v>
      </c>
      <c r="AR156" s="20">
        <v>0</v>
      </c>
      <c r="AS156" s="20">
        <v>0</v>
      </c>
      <c r="AT156" s="20">
        <v>1355961.56</v>
      </c>
      <c r="AU156" s="20" t="s">
        <v>13</v>
      </c>
      <c r="AV156" s="20" t="s">
        <v>62</v>
      </c>
      <c r="AW156" s="111" t="s">
        <v>63</v>
      </c>
      <c r="AX156" s="20" t="s">
        <v>208</v>
      </c>
      <c r="AY156" s="19" t="s">
        <v>209</v>
      </c>
      <c r="AZ156" s="19">
        <v>0</v>
      </c>
      <c r="BA156" s="19">
        <v>421744.71</v>
      </c>
      <c r="BB156" s="19">
        <v>834</v>
      </c>
      <c r="BC156" s="66">
        <v>46363</v>
      </c>
      <c r="BD156" s="19" t="s">
        <v>65</v>
      </c>
      <c r="BE156" s="19" t="s">
        <v>210</v>
      </c>
      <c r="BF156" s="19" t="s">
        <v>210</v>
      </c>
      <c r="BG156" s="19">
        <v>9</v>
      </c>
      <c r="BH156" s="19">
        <v>37957.019999999997</v>
      </c>
      <c r="BI156" s="19">
        <v>9</v>
      </c>
      <c r="BJ156" s="19">
        <v>37957.019999999997</v>
      </c>
      <c r="BK156" s="19">
        <v>0</v>
      </c>
      <c r="BL156" s="19">
        <v>0</v>
      </c>
      <c r="BM156" s="19">
        <v>1355961.56</v>
      </c>
      <c r="BN156" s="19">
        <v>652143828322</v>
      </c>
      <c r="BO156" s="66">
        <v>46215</v>
      </c>
      <c r="BP156" s="19">
        <v>0</v>
      </c>
    </row>
    <row r="157" spans="1:68">
      <c r="A157" s="65"/>
      <c r="B157" s="20" t="s">
        <v>2216</v>
      </c>
      <c r="C157" s="111">
        <v>46363</v>
      </c>
      <c r="D157" s="20" t="s">
        <v>3649</v>
      </c>
      <c r="E157" s="20" t="s">
        <v>18</v>
      </c>
      <c r="F157" s="20" t="s">
        <v>19</v>
      </c>
      <c r="H157" s="20" t="s">
        <v>3650</v>
      </c>
      <c r="I157" s="20">
        <v>4489</v>
      </c>
      <c r="J157" s="20">
        <v>4489</v>
      </c>
      <c r="K157" s="20" t="s">
        <v>11</v>
      </c>
      <c r="L157" s="20">
        <v>4489</v>
      </c>
      <c r="M157" s="20">
        <v>0</v>
      </c>
      <c r="N157" s="20">
        <v>4489</v>
      </c>
      <c r="O157" s="20" t="s">
        <v>2203</v>
      </c>
      <c r="P157" s="20" t="s">
        <v>87</v>
      </c>
      <c r="Q157" s="20" t="s">
        <v>87</v>
      </c>
      <c r="R157" s="20" t="s">
        <v>2985</v>
      </c>
      <c r="S157" s="111">
        <v>46363</v>
      </c>
      <c r="T157" s="20" t="s">
        <v>206</v>
      </c>
      <c r="U157" s="20" t="s">
        <v>207</v>
      </c>
      <c r="V157" s="20" t="s">
        <v>2984</v>
      </c>
      <c r="W157" s="20">
        <v>144.49</v>
      </c>
      <c r="X157" s="20">
        <v>144.49</v>
      </c>
      <c r="Y157" s="20" t="s">
        <v>2985</v>
      </c>
      <c r="Z157" s="111">
        <v>46363</v>
      </c>
      <c r="AB157" s="20" t="s">
        <v>2376</v>
      </c>
      <c r="AD157" s="20" t="s">
        <v>2376</v>
      </c>
      <c r="AE157" s="20" t="s">
        <v>2376</v>
      </c>
      <c r="AF157" s="20">
        <v>0</v>
      </c>
      <c r="AG157" s="20">
        <v>0</v>
      </c>
      <c r="AH157" s="20">
        <v>0</v>
      </c>
      <c r="AI157" s="20">
        <v>0</v>
      </c>
      <c r="AJ157" s="20">
        <v>0</v>
      </c>
      <c r="AK157" s="20" t="s">
        <v>609</v>
      </c>
      <c r="AL157" s="20">
        <v>0</v>
      </c>
      <c r="AM157" s="20">
        <v>0</v>
      </c>
      <c r="AN157" s="20">
        <v>0</v>
      </c>
      <c r="AO157" s="20">
        <v>0</v>
      </c>
      <c r="AP157" s="20">
        <v>0</v>
      </c>
      <c r="AR157" s="20">
        <v>0</v>
      </c>
      <c r="AS157" s="20">
        <v>0</v>
      </c>
      <c r="AT157" s="20">
        <v>1355961.56</v>
      </c>
      <c r="AU157" s="20" t="s">
        <v>13</v>
      </c>
      <c r="AV157" s="20" t="s">
        <v>62</v>
      </c>
      <c r="AW157" s="111" t="s">
        <v>63</v>
      </c>
      <c r="AX157" s="20" t="s">
        <v>208</v>
      </c>
      <c r="AY157" s="19" t="s">
        <v>209</v>
      </c>
      <c r="AZ157" s="19">
        <v>0</v>
      </c>
      <c r="BA157" s="19">
        <v>648615.61</v>
      </c>
      <c r="BB157" s="19">
        <v>834</v>
      </c>
      <c r="BC157" s="66">
        <v>46363</v>
      </c>
      <c r="BD157" s="19" t="s">
        <v>65</v>
      </c>
      <c r="BE157" s="19" t="s">
        <v>210</v>
      </c>
      <c r="BF157" s="19" t="s">
        <v>210</v>
      </c>
      <c r="BG157" s="19">
        <v>9</v>
      </c>
      <c r="BH157" s="19">
        <v>58375.4</v>
      </c>
      <c r="BI157" s="19">
        <v>9</v>
      </c>
      <c r="BJ157" s="19">
        <v>58375.4</v>
      </c>
      <c r="BK157" s="19">
        <v>0</v>
      </c>
      <c r="BL157" s="19">
        <v>0</v>
      </c>
      <c r="BM157" s="19">
        <v>0</v>
      </c>
      <c r="BN157" s="19">
        <v>652143828322</v>
      </c>
      <c r="BO157" s="66">
        <v>46215</v>
      </c>
      <c r="BP157" s="19">
        <v>0</v>
      </c>
    </row>
    <row r="158" spans="1:68">
      <c r="A158" s="65"/>
      <c r="B158" s="20" t="s">
        <v>2216</v>
      </c>
      <c r="C158" s="111">
        <v>46363</v>
      </c>
      <c r="D158" s="20" t="s">
        <v>3649</v>
      </c>
      <c r="E158" s="20" t="s">
        <v>18</v>
      </c>
      <c r="F158" s="20" t="s">
        <v>19</v>
      </c>
      <c r="H158" s="20" t="s">
        <v>3650</v>
      </c>
      <c r="I158" s="20">
        <v>534</v>
      </c>
      <c r="J158" s="20">
        <v>534</v>
      </c>
      <c r="K158" s="20" t="s">
        <v>11</v>
      </c>
      <c r="L158" s="20">
        <v>534</v>
      </c>
      <c r="M158" s="20">
        <v>0</v>
      </c>
      <c r="N158" s="20">
        <v>534</v>
      </c>
      <c r="O158" s="20" t="s">
        <v>2203</v>
      </c>
      <c r="P158" s="20" t="s">
        <v>87</v>
      </c>
      <c r="Q158" s="20" t="s">
        <v>87</v>
      </c>
      <c r="R158" s="20" t="s">
        <v>2985</v>
      </c>
      <c r="S158" s="111">
        <v>46363</v>
      </c>
      <c r="T158" s="20" t="s">
        <v>206</v>
      </c>
      <c r="U158" s="20" t="s">
        <v>207</v>
      </c>
      <c r="V158" s="20" t="s">
        <v>2984</v>
      </c>
      <c r="W158" s="20">
        <v>147.49</v>
      </c>
      <c r="X158" s="20">
        <v>147.49</v>
      </c>
      <c r="Y158" s="20" t="s">
        <v>2985</v>
      </c>
      <c r="Z158" s="111">
        <v>46363</v>
      </c>
      <c r="AB158" s="20" t="s">
        <v>2376</v>
      </c>
      <c r="AD158" s="20" t="s">
        <v>2376</v>
      </c>
      <c r="AE158" s="20" t="s">
        <v>2376</v>
      </c>
      <c r="AF158" s="20">
        <v>0</v>
      </c>
      <c r="AG158" s="20">
        <v>0</v>
      </c>
      <c r="AH158" s="20">
        <v>0</v>
      </c>
      <c r="AI158" s="20">
        <v>0</v>
      </c>
      <c r="AJ158" s="20">
        <v>0</v>
      </c>
      <c r="AK158" s="20" t="s">
        <v>609</v>
      </c>
      <c r="AL158" s="20">
        <v>0</v>
      </c>
      <c r="AM158" s="20">
        <v>0</v>
      </c>
      <c r="AN158" s="20">
        <v>0</v>
      </c>
      <c r="AO158" s="20">
        <v>0</v>
      </c>
      <c r="AP158" s="20">
        <v>0</v>
      </c>
      <c r="AR158" s="20">
        <v>0</v>
      </c>
      <c r="AS158" s="20">
        <v>0</v>
      </c>
      <c r="AT158" s="20">
        <v>1355961.56</v>
      </c>
      <c r="AU158" s="20" t="s">
        <v>13</v>
      </c>
      <c r="AV158" s="20" t="s">
        <v>62</v>
      </c>
      <c r="AW158" s="111" t="s">
        <v>63</v>
      </c>
      <c r="AX158" s="20" t="s">
        <v>208</v>
      </c>
      <c r="AY158" s="19" t="s">
        <v>209</v>
      </c>
      <c r="AZ158" s="19">
        <v>0</v>
      </c>
      <c r="BA158" s="19">
        <v>78759.66</v>
      </c>
      <c r="BB158" s="19">
        <v>834</v>
      </c>
      <c r="BC158" s="66">
        <v>46363</v>
      </c>
      <c r="BD158" s="19" t="s">
        <v>65</v>
      </c>
      <c r="BE158" s="19" t="s">
        <v>210</v>
      </c>
      <c r="BF158" s="19" t="s">
        <v>210</v>
      </c>
      <c r="BG158" s="19">
        <v>9</v>
      </c>
      <c r="BH158" s="19">
        <v>7088.37</v>
      </c>
      <c r="BI158" s="19">
        <v>9</v>
      </c>
      <c r="BJ158" s="19">
        <v>7088.37</v>
      </c>
      <c r="BK158" s="19">
        <v>0</v>
      </c>
      <c r="BL158" s="19">
        <v>0</v>
      </c>
      <c r="BM158" s="19">
        <v>0</v>
      </c>
      <c r="BN158" s="19">
        <v>652143828322</v>
      </c>
      <c r="BO158" s="66">
        <v>46215</v>
      </c>
      <c r="BP158" s="19">
        <v>0</v>
      </c>
    </row>
    <row r="159" spans="1:68">
      <c r="A159" s="65"/>
      <c r="B159" s="20" t="s">
        <v>2216</v>
      </c>
      <c r="C159" s="111">
        <v>46363</v>
      </c>
      <c r="D159" s="20" t="s">
        <v>3651</v>
      </c>
      <c r="E159" s="20" t="s">
        <v>18</v>
      </c>
      <c r="F159" s="20" t="s">
        <v>19</v>
      </c>
      <c r="H159" s="20" t="s">
        <v>3652</v>
      </c>
      <c r="I159" s="20">
        <v>2099</v>
      </c>
      <c r="J159" s="20">
        <v>2099</v>
      </c>
      <c r="K159" s="20" t="s">
        <v>11</v>
      </c>
      <c r="L159" s="20">
        <v>2099</v>
      </c>
      <c r="M159" s="20">
        <v>0</v>
      </c>
      <c r="N159" s="20">
        <v>2099</v>
      </c>
      <c r="O159" s="20" t="s">
        <v>2200</v>
      </c>
      <c r="P159" s="20" t="s">
        <v>87</v>
      </c>
      <c r="Q159" s="20" t="s">
        <v>87</v>
      </c>
      <c r="R159" s="20" t="s">
        <v>2987</v>
      </c>
      <c r="S159" s="111">
        <v>46363</v>
      </c>
      <c r="T159" s="20" t="s">
        <v>206</v>
      </c>
      <c r="U159" s="20" t="s">
        <v>207</v>
      </c>
      <c r="V159" s="20" t="s">
        <v>2986</v>
      </c>
      <c r="W159" s="20">
        <v>146.49</v>
      </c>
      <c r="X159" s="20">
        <v>146.49</v>
      </c>
      <c r="Y159" s="20" t="s">
        <v>2987</v>
      </c>
      <c r="Z159" s="111">
        <v>46363</v>
      </c>
      <c r="AB159" s="20" t="s">
        <v>2376</v>
      </c>
      <c r="AD159" s="20" t="s">
        <v>2376</v>
      </c>
      <c r="AE159" s="20" t="s">
        <v>2376</v>
      </c>
      <c r="AF159" s="20">
        <v>0</v>
      </c>
      <c r="AG159" s="20">
        <v>0</v>
      </c>
      <c r="AH159" s="20">
        <v>0</v>
      </c>
      <c r="AI159" s="20">
        <v>0</v>
      </c>
      <c r="AJ159" s="20">
        <v>0</v>
      </c>
      <c r="AK159" s="20" t="s">
        <v>609</v>
      </c>
      <c r="AL159" s="20">
        <v>0</v>
      </c>
      <c r="AM159" s="20">
        <v>0</v>
      </c>
      <c r="AN159" s="20">
        <v>0</v>
      </c>
      <c r="AO159" s="20">
        <v>0</v>
      </c>
      <c r="AP159" s="20">
        <v>0</v>
      </c>
      <c r="AR159" s="20">
        <v>0</v>
      </c>
      <c r="AS159" s="20">
        <v>0</v>
      </c>
      <c r="AT159" s="20">
        <v>405964.44</v>
      </c>
      <c r="AU159" s="20" t="s">
        <v>13</v>
      </c>
      <c r="AV159" s="20" t="s">
        <v>62</v>
      </c>
      <c r="AW159" s="111" t="s">
        <v>63</v>
      </c>
      <c r="AX159" s="20" t="s">
        <v>208</v>
      </c>
      <c r="AY159" s="19" t="s">
        <v>209</v>
      </c>
      <c r="AZ159" s="19">
        <v>0</v>
      </c>
      <c r="BA159" s="19">
        <v>307482.51</v>
      </c>
      <c r="BB159" s="19">
        <v>838</v>
      </c>
      <c r="BC159" s="66">
        <v>46363</v>
      </c>
      <c r="BD159" s="19" t="s">
        <v>65</v>
      </c>
      <c r="BE159" s="19" t="s">
        <v>210</v>
      </c>
      <c r="BF159" s="19" t="s">
        <v>210</v>
      </c>
      <c r="BG159" s="19">
        <v>9</v>
      </c>
      <c r="BH159" s="19">
        <v>27673.43</v>
      </c>
      <c r="BI159" s="19">
        <v>9</v>
      </c>
      <c r="BJ159" s="19">
        <v>27673.43</v>
      </c>
      <c r="BK159" s="19">
        <v>0</v>
      </c>
      <c r="BL159" s="19">
        <v>0</v>
      </c>
      <c r="BM159" s="19">
        <v>405964.44</v>
      </c>
      <c r="BN159" s="19">
        <v>672143859162</v>
      </c>
      <c r="BO159" s="66">
        <v>46215</v>
      </c>
      <c r="BP159" s="19">
        <v>0</v>
      </c>
    </row>
    <row r="160" spans="1:68">
      <c r="A160" s="65"/>
      <c r="B160" s="20" t="s">
        <v>2216</v>
      </c>
      <c r="C160" s="111">
        <v>46363</v>
      </c>
      <c r="D160" s="20" t="s">
        <v>3651</v>
      </c>
      <c r="E160" s="20" t="s">
        <v>2519</v>
      </c>
      <c r="F160" s="20" t="s">
        <v>2117</v>
      </c>
      <c r="H160" s="20" t="s">
        <v>3652</v>
      </c>
      <c r="I160" s="20">
        <v>125</v>
      </c>
      <c r="J160" s="20">
        <v>125</v>
      </c>
      <c r="K160" s="20" t="s">
        <v>11</v>
      </c>
      <c r="L160" s="20">
        <v>125</v>
      </c>
      <c r="M160" s="20">
        <v>0</v>
      </c>
      <c r="N160" s="20">
        <v>125</v>
      </c>
      <c r="O160" s="20" t="s">
        <v>2200</v>
      </c>
      <c r="P160" s="20" t="s">
        <v>87</v>
      </c>
      <c r="Q160" s="20" t="s">
        <v>87</v>
      </c>
      <c r="R160" s="20" t="s">
        <v>2987</v>
      </c>
      <c r="S160" s="111">
        <v>46363</v>
      </c>
      <c r="T160" s="20" t="s">
        <v>206</v>
      </c>
      <c r="U160" s="20" t="s">
        <v>207</v>
      </c>
      <c r="V160" s="20" t="s">
        <v>2986</v>
      </c>
      <c r="W160" s="20">
        <v>156.49</v>
      </c>
      <c r="X160" s="20">
        <v>156.49</v>
      </c>
      <c r="Y160" s="20" t="s">
        <v>2987</v>
      </c>
      <c r="Z160" s="111">
        <v>46363</v>
      </c>
      <c r="AB160" s="20" t="s">
        <v>2376</v>
      </c>
      <c r="AD160" s="20" t="s">
        <v>2376</v>
      </c>
      <c r="AE160" s="20" t="s">
        <v>2376</v>
      </c>
      <c r="AF160" s="20">
        <v>0</v>
      </c>
      <c r="AG160" s="20">
        <v>0</v>
      </c>
      <c r="AH160" s="20">
        <v>0</v>
      </c>
      <c r="AI160" s="20">
        <v>0</v>
      </c>
      <c r="AJ160" s="20">
        <v>0</v>
      </c>
      <c r="AK160" s="20" t="s">
        <v>609</v>
      </c>
      <c r="AL160" s="20">
        <v>0</v>
      </c>
      <c r="AM160" s="20">
        <v>0</v>
      </c>
      <c r="AN160" s="20">
        <v>0</v>
      </c>
      <c r="AO160" s="20">
        <v>0</v>
      </c>
      <c r="AP160" s="20">
        <v>0</v>
      </c>
      <c r="AR160" s="20">
        <v>0</v>
      </c>
      <c r="AS160" s="20">
        <v>0</v>
      </c>
      <c r="AT160" s="20">
        <v>405964.44</v>
      </c>
      <c r="AU160" s="20" t="s">
        <v>15</v>
      </c>
      <c r="AV160" s="20" t="s">
        <v>2117</v>
      </c>
      <c r="AW160" s="111" t="s">
        <v>2117</v>
      </c>
      <c r="AX160" s="20" t="s">
        <v>208</v>
      </c>
      <c r="AY160" s="19" t="s">
        <v>209</v>
      </c>
      <c r="AZ160" s="19">
        <v>0</v>
      </c>
      <c r="BA160" s="19">
        <v>19561.25</v>
      </c>
      <c r="BB160" s="19">
        <v>838</v>
      </c>
      <c r="BC160" s="66">
        <v>46363</v>
      </c>
      <c r="BD160" s="19" t="s">
        <v>65</v>
      </c>
      <c r="BE160" s="19" t="s">
        <v>210</v>
      </c>
      <c r="BF160" s="19" t="s">
        <v>210</v>
      </c>
      <c r="BG160" s="19">
        <v>9</v>
      </c>
      <c r="BH160" s="19">
        <v>1760.51</v>
      </c>
      <c r="BI160" s="19">
        <v>9</v>
      </c>
      <c r="BJ160" s="19">
        <v>1760.51</v>
      </c>
      <c r="BK160" s="19">
        <v>0</v>
      </c>
      <c r="BL160" s="19">
        <v>0</v>
      </c>
      <c r="BM160" s="19">
        <v>0</v>
      </c>
      <c r="BN160" s="19">
        <v>672143859162</v>
      </c>
      <c r="BO160" s="66">
        <v>46215</v>
      </c>
      <c r="BP160" s="19">
        <v>0</v>
      </c>
    </row>
    <row r="161" spans="1:68">
      <c r="A161" s="65"/>
      <c r="B161" s="20" t="s">
        <v>2216</v>
      </c>
      <c r="C161" s="111">
        <v>46363</v>
      </c>
      <c r="D161" s="20" t="s">
        <v>3651</v>
      </c>
      <c r="E161" s="20" t="s">
        <v>2519</v>
      </c>
      <c r="F161" s="20" t="s">
        <v>2117</v>
      </c>
      <c r="H161" s="20" t="s">
        <v>3652</v>
      </c>
      <c r="I161" s="20">
        <v>110</v>
      </c>
      <c r="J161" s="20">
        <v>110</v>
      </c>
      <c r="K161" s="20" t="s">
        <v>11</v>
      </c>
      <c r="L161" s="20">
        <v>110</v>
      </c>
      <c r="M161" s="20">
        <v>0</v>
      </c>
      <c r="N161" s="20">
        <v>110</v>
      </c>
      <c r="O161" s="20" t="s">
        <v>2200</v>
      </c>
      <c r="P161" s="20" t="s">
        <v>87</v>
      </c>
      <c r="Q161" s="20" t="s">
        <v>87</v>
      </c>
      <c r="R161" s="20" t="s">
        <v>2987</v>
      </c>
      <c r="S161" s="111">
        <v>46363</v>
      </c>
      <c r="T161" s="20" t="s">
        <v>206</v>
      </c>
      <c r="U161" s="20" t="s">
        <v>207</v>
      </c>
      <c r="V161" s="20" t="s">
        <v>2986</v>
      </c>
      <c r="W161" s="20">
        <v>154.49</v>
      </c>
      <c r="X161" s="20">
        <v>154.49</v>
      </c>
      <c r="Y161" s="20" t="s">
        <v>2987</v>
      </c>
      <c r="Z161" s="111">
        <v>46363</v>
      </c>
      <c r="AB161" s="20" t="s">
        <v>2376</v>
      </c>
      <c r="AD161" s="20" t="s">
        <v>2376</v>
      </c>
      <c r="AE161" s="20" t="s">
        <v>2376</v>
      </c>
      <c r="AF161" s="20">
        <v>0</v>
      </c>
      <c r="AG161" s="20">
        <v>0</v>
      </c>
      <c r="AH161" s="20">
        <v>0</v>
      </c>
      <c r="AI161" s="20">
        <v>0</v>
      </c>
      <c r="AJ161" s="20">
        <v>0</v>
      </c>
      <c r="AK161" s="20" t="s">
        <v>609</v>
      </c>
      <c r="AL161" s="20">
        <v>0</v>
      </c>
      <c r="AM161" s="20">
        <v>0</v>
      </c>
      <c r="AN161" s="20">
        <v>0</v>
      </c>
      <c r="AO161" s="20">
        <v>0</v>
      </c>
      <c r="AP161" s="20">
        <v>0</v>
      </c>
      <c r="AR161" s="20">
        <v>0</v>
      </c>
      <c r="AS161" s="20">
        <v>0</v>
      </c>
      <c r="AT161" s="20">
        <v>405964.44</v>
      </c>
      <c r="AU161" s="20" t="s">
        <v>15</v>
      </c>
      <c r="AV161" s="20" t="s">
        <v>2117</v>
      </c>
      <c r="AW161" s="111" t="s">
        <v>2117</v>
      </c>
      <c r="AX161" s="20" t="s">
        <v>208</v>
      </c>
      <c r="AY161" s="19" t="s">
        <v>209</v>
      </c>
      <c r="AZ161" s="19">
        <v>0</v>
      </c>
      <c r="BA161" s="19">
        <v>16993.900000000001</v>
      </c>
      <c r="BB161" s="19">
        <v>838</v>
      </c>
      <c r="BC161" s="66">
        <v>46363</v>
      </c>
      <c r="BD161" s="19" t="s">
        <v>65</v>
      </c>
      <c r="BE161" s="19" t="s">
        <v>210</v>
      </c>
      <c r="BF161" s="19" t="s">
        <v>210</v>
      </c>
      <c r="BG161" s="19">
        <v>9</v>
      </c>
      <c r="BH161" s="19">
        <v>1529.45</v>
      </c>
      <c r="BI161" s="19">
        <v>9</v>
      </c>
      <c r="BJ161" s="19">
        <v>1529.45</v>
      </c>
      <c r="BK161" s="19">
        <v>0</v>
      </c>
      <c r="BL161" s="19">
        <v>0</v>
      </c>
      <c r="BM161" s="19">
        <v>0</v>
      </c>
      <c r="BN161" s="19">
        <v>672143859162</v>
      </c>
      <c r="BO161" s="66">
        <v>46215</v>
      </c>
      <c r="BP161" s="19">
        <v>0</v>
      </c>
    </row>
    <row r="162" spans="1:68">
      <c r="A162" s="65"/>
      <c r="B162" s="20" t="s">
        <v>2216</v>
      </c>
      <c r="C162" s="111">
        <v>46363</v>
      </c>
      <c r="D162" s="20" t="s">
        <v>3653</v>
      </c>
      <c r="E162" s="20" t="s">
        <v>160</v>
      </c>
      <c r="F162" s="20" t="s">
        <v>17</v>
      </c>
      <c r="H162" s="20" t="s">
        <v>3654</v>
      </c>
      <c r="I162" s="20">
        <v>554</v>
      </c>
      <c r="J162" s="20">
        <v>554</v>
      </c>
      <c r="K162" s="20" t="s">
        <v>11</v>
      </c>
      <c r="L162" s="20">
        <v>554</v>
      </c>
      <c r="M162" s="20">
        <v>0</v>
      </c>
      <c r="N162" s="20">
        <v>554</v>
      </c>
      <c r="O162" s="20" t="s">
        <v>2201</v>
      </c>
      <c r="P162" s="20" t="s">
        <v>87</v>
      </c>
      <c r="Q162" s="20" t="s">
        <v>87</v>
      </c>
      <c r="R162" s="20" t="s">
        <v>2989</v>
      </c>
      <c r="S162" s="111">
        <v>46363</v>
      </c>
      <c r="T162" s="20" t="s">
        <v>206</v>
      </c>
      <c r="U162" s="20" t="s">
        <v>207</v>
      </c>
      <c r="V162" s="20" t="s">
        <v>2988</v>
      </c>
      <c r="W162" s="20">
        <v>182.78</v>
      </c>
      <c r="X162" s="20">
        <v>182.78000010932899</v>
      </c>
      <c r="Y162" s="20" t="s">
        <v>2989</v>
      </c>
      <c r="Z162" s="111">
        <v>46363</v>
      </c>
      <c r="AB162" s="20" t="s">
        <v>2376</v>
      </c>
      <c r="AD162" s="20" t="s">
        <v>2376</v>
      </c>
      <c r="AE162" s="20" t="s">
        <v>2376</v>
      </c>
      <c r="AF162" s="20">
        <v>0</v>
      </c>
      <c r="AG162" s="20">
        <v>0</v>
      </c>
      <c r="AH162" s="20">
        <v>0</v>
      </c>
      <c r="AI162" s="20">
        <v>0</v>
      </c>
      <c r="AJ162" s="20">
        <v>0</v>
      </c>
      <c r="AK162" s="20" t="s">
        <v>609</v>
      </c>
      <c r="AL162" s="20">
        <v>0</v>
      </c>
      <c r="AM162" s="20">
        <v>0</v>
      </c>
      <c r="AN162" s="20">
        <v>0</v>
      </c>
      <c r="AO162" s="20">
        <v>0</v>
      </c>
      <c r="AP162" s="20">
        <v>0</v>
      </c>
      <c r="AR162" s="20">
        <v>0</v>
      </c>
      <c r="AS162" s="20">
        <v>0</v>
      </c>
      <c r="AT162" s="20">
        <v>1671827.99</v>
      </c>
      <c r="AU162" s="20" t="s">
        <v>13</v>
      </c>
      <c r="AV162" s="20" t="s">
        <v>80</v>
      </c>
      <c r="AW162" s="111" t="s">
        <v>81</v>
      </c>
      <c r="AX162" s="20" t="s">
        <v>208</v>
      </c>
      <c r="AY162" s="19" t="s">
        <v>209</v>
      </c>
      <c r="AZ162" s="19">
        <v>0</v>
      </c>
      <c r="BA162" s="19">
        <v>101260.12</v>
      </c>
      <c r="BB162" s="19">
        <v>836</v>
      </c>
      <c r="BC162" s="66">
        <v>46363</v>
      </c>
      <c r="BD162" s="19" t="s">
        <v>65</v>
      </c>
      <c r="BE162" s="19" t="s">
        <v>210</v>
      </c>
      <c r="BF162" s="19" t="s">
        <v>210</v>
      </c>
      <c r="BG162" s="19">
        <v>9</v>
      </c>
      <c r="BH162" s="19">
        <v>9113.41</v>
      </c>
      <c r="BI162" s="19">
        <v>9</v>
      </c>
      <c r="BJ162" s="19">
        <v>9113.41</v>
      </c>
      <c r="BK162" s="19">
        <v>0</v>
      </c>
      <c r="BL162" s="19">
        <v>0</v>
      </c>
      <c r="BM162" s="19">
        <v>1671827.99</v>
      </c>
      <c r="BN162" s="19">
        <v>682143873699</v>
      </c>
      <c r="BO162" s="66">
        <v>46215</v>
      </c>
      <c r="BP162" s="19">
        <v>0</v>
      </c>
    </row>
    <row r="163" spans="1:68">
      <c r="A163" s="65"/>
      <c r="B163" s="20" t="s">
        <v>2216</v>
      </c>
      <c r="C163" s="111">
        <v>46363</v>
      </c>
      <c r="D163" s="20" t="s">
        <v>3653</v>
      </c>
      <c r="E163" s="20" t="s">
        <v>160</v>
      </c>
      <c r="F163" s="20" t="s">
        <v>17</v>
      </c>
      <c r="H163" s="20" t="s">
        <v>3654</v>
      </c>
      <c r="I163" s="20">
        <v>55</v>
      </c>
      <c r="J163" s="20">
        <v>55</v>
      </c>
      <c r="K163" s="20" t="s">
        <v>11</v>
      </c>
      <c r="L163" s="20">
        <v>55</v>
      </c>
      <c r="M163" s="20">
        <v>0</v>
      </c>
      <c r="N163" s="20">
        <v>55</v>
      </c>
      <c r="O163" s="20" t="s">
        <v>2201</v>
      </c>
      <c r="P163" s="20" t="s">
        <v>87</v>
      </c>
      <c r="Q163" s="20" t="s">
        <v>87</v>
      </c>
      <c r="R163" s="20" t="s">
        <v>2989</v>
      </c>
      <c r="S163" s="111">
        <v>46363</v>
      </c>
      <c r="T163" s="20" t="s">
        <v>206</v>
      </c>
      <c r="U163" s="20" t="s">
        <v>207</v>
      </c>
      <c r="V163" s="20" t="s">
        <v>2988</v>
      </c>
      <c r="W163" s="20">
        <v>185.78</v>
      </c>
      <c r="X163" s="20">
        <v>185.780000111124</v>
      </c>
      <c r="Y163" s="20" t="s">
        <v>2989</v>
      </c>
      <c r="Z163" s="111">
        <v>46363</v>
      </c>
      <c r="AB163" s="20" t="s">
        <v>2376</v>
      </c>
      <c r="AD163" s="20" t="s">
        <v>2376</v>
      </c>
      <c r="AE163" s="20" t="s">
        <v>2376</v>
      </c>
      <c r="AF163" s="20">
        <v>0</v>
      </c>
      <c r="AG163" s="20">
        <v>0</v>
      </c>
      <c r="AH163" s="20">
        <v>0</v>
      </c>
      <c r="AI163" s="20">
        <v>0</v>
      </c>
      <c r="AJ163" s="20">
        <v>0</v>
      </c>
      <c r="AK163" s="20" t="s">
        <v>609</v>
      </c>
      <c r="AL163" s="20">
        <v>0</v>
      </c>
      <c r="AM163" s="20">
        <v>0</v>
      </c>
      <c r="AN163" s="20">
        <v>0</v>
      </c>
      <c r="AO163" s="20">
        <v>0</v>
      </c>
      <c r="AP163" s="20">
        <v>0</v>
      </c>
      <c r="AR163" s="20">
        <v>0</v>
      </c>
      <c r="AS163" s="20">
        <v>0</v>
      </c>
      <c r="AT163" s="20">
        <v>1671827.99</v>
      </c>
      <c r="AU163" s="20" t="s">
        <v>13</v>
      </c>
      <c r="AV163" s="20" t="s">
        <v>80</v>
      </c>
      <c r="AW163" s="111" t="s">
        <v>81</v>
      </c>
      <c r="AX163" s="20" t="s">
        <v>208</v>
      </c>
      <c r="AY163" s="19" t="s">
        <v>209</v>
      </c>
      <c r="AZ163" s="19">
        <v>0</v>
      </c>
      <c r="BA163" s="19">
        <v>10217.9</v>
      </c>
      <c r="BB163" s="19">
        <v>836</v>
      </c>
      <c r="BC163" s="66">
        <v>46363</v>
      </c>
      <c r="BD163" s="19" t="s">
        <v>65</v>
      </c>
      <c r="BE163" s="19" t="s">
        <v>210</v>
      </c>
      <c r="BF163" s="19" t="s">
        <v>210</v>
      </c>
      <c r="BG163" s="19">
        <v>9</v>
      </c>
      <c r="BH163" s="19">
        <v>919.61</v>
      </c>
      <c r="BI163" s="19">
        <v>9</v>
      </c>
      <c r="BJ163" s="19">
        <v>919.61</v>
      </c>
      <c r="BK163" s="19">
        <v>0</v>
      </c>
      <c r="BL163" s="19">
        <v>0</v>
      </c>
      <c r="BM163" s="19">
        <v>0</v>
      </c>
      <c r="BN163" s="19">
        <v>682143873699</v>
      </c>
      <c r="BO163" s="66">
        <v>46215</v>
      </c>
      <c r="BP163" s="19">
        <v>0</v>
      </c>
    </row>
    <row r="164" spans="1:68">
      <c r="A164" s="65"/>
      <c r="B164" s="20" t="s">
        <v>2216</v>
      </c>
      <c r="C164" s="111">
        <v>46363</v>
      </c>
      <c r="D164" s="20" t="s">
        <v>3653</v>
      </c>
      <c r="E164" s="20" t="s">
        <v>423</v>
      </c>
      <c r="F164" s="20" t="s">
        <v>418</v>
      </c>
      <c r="H164" s="20" t="s">
        <v>3654</v>
      </c>
      <c r="I164" s="20">
        <v>66</v>
      </c>
      <c r="J164" s="20">
        <v>66</v>
      </c>
      <c r="K164" s="20" t="s">
        <v>11</v>
      </c>
      <c r="L164" s="20">
        <v>66</v>
      </c>
      <c r="M164" s="20">
        <v>0</v>
      </c>
      <c r="N164" s="20">
        <v>66</v>
      </c>
      <c r="O164" s="20" t="s">
        <v>2201</v>
      </c>
      <c r="P164" s="20" t="s">
        <v>87</v>
      </c>
      <c r="Q164" s="20" t="s">
        <v>87</v>
      </c>
      <c r="R164" s="20" t="s">
        <v>2989</v>
      </c>
      <c r="S164" s="111">
        <v>46363</v>
      </c>
      <c r="T164" s="20" t="s">
        <v>206</v>
      </c>
      <c r="U164" s="20" t="s">
        <v>207</v>
      </c>
      <c r="V164" s="20" t="s">
        <v>2988</v>
      </c>
      <c r="W164" s="20">
        <v>182.78</v>
      </c>
      <c r="X164" s="20">
        <v>182.78000010932899</v>
      </c>
      <c r="Y164" s="20" t="s">
        <v>2989</v>
      </c>
      <c r="Z164" s="111">
        <v>46363</v>
      </c>
      <c r="AB164" s="20" t="s">
        <v>2376</v>
      </c>
      <c r="AD164" s="20" t="s">
        <v>2376</v>
      </c>
      <c r="AE164" s="20" t="s">
        <v>2376</v>
      </c>
      <c r="AF164" s="20">
        <v>0</v>
      </c>
      <c r="AG164" s="20">
        <v>0</v>
      </c>
      <c r="AH164" s="20">
        <v>0</v>
      </c>
      <c r="AI164" s="20">
        <v>0</v>
      </c>
      <c r="AJ164" s="20">
        <v>0</v>
      </c>
      <c r="AK164" s="20" t="s">
        <v>609</v>
      </c>
      <c r="AL164" s="20">
        <v>0</v>
      </c>
      <c r="AM164" s="20">
        <v>0</v>
      </c>
      <c r="AN164" s="20">
        <v>0</v>
      </c>
      <c r="AO164" s="20">
        <v>0</v>
      </c>
      <c r="AP164" s="20">
        <v>0</v>
      </c>
      <c r="AR164" s="20">
        <v>0</v>
      </c>
      <c r="AS164" s="20">
        <v>0</v>
      </c>
      <c r="AT164" s="20">
        <v>1671827.99</v>
      </c>
      <c r="AU164" s="20" t="s">
        <v>13</v>
      </c>
      <c r="AV164" s="20" t="s">
        <v>80</v>
      </c>
      <c r="AW164" s="111" t="s">
        <v>81</v>
      </c>
      <c r="AX164" s="20" t="s">
        <v>208</v>
      </c>
      <c r="AY164" s="19" t="s">
        <v>209</v>
      </c>
      <c r="AZ164" s="19">
        <v>0</v>
      </c>
      <c r="BA164" s="19">
        <v>12063.48</v>
      </c>
      <c r="BB164" s="19">
        <v>836</v>
      </c>
      <c r="BC164" s="66">
        <v>46363</v>
      </c>
      <c r="BD164" s="19" t="s">
        <v>65</v>
      </c>
      <c r="BE164" s="19" t="s">
        <v>210</v>
      </c>
      <c r="BF164" s="19" t="s">
        <v>210</v>
      </c>
      <c r="BG164" s="19">
        <v>9</v>
      </c>
      <c r="BH164" s="19">
        <v>1085.71</v>
      </c>
      <c r="BI164" s="19">
        <v>9</v>
      </c>
      <c r="BJ164" s="19">
        <v>1085.71</v>
      </c>
      <c r="BK164" s="19">
        <v>0</v>
      </c>
      <c r="BL164" s="19">
        <v>0</v>
      </c>
      <c r="BM164" s="19">
        <v>0</v>
      </c>
      <c r="BN164" s="19">
        <v>682143873699</v>
      </c>
      <c r="BO164" s="66">
        <v>46215</v>
      </c>
      <c r="BP164" s="19">
        <v>0</v>
      </c>
    </row>
    <row r="165" spans="1:68">
      <c r="A165" s="65"/>
      <c r="B165" s="20" t="s">
        <v>2216</v>
      </c>
      <c r="C165" s="111">
        <v>46363</v>
      </c>
      <c r="D165" s="20" t="s">
        <v>3653</v>
      </c>
      <c r="E165" s="20" t="s">
        <v>18</v>
      </c>
      <c r="F165" s="20" t="s">
        <v>19</v>
      </c>
      <c r="H165" s="20" t="s">
        <v>3654</v>
      </c>
      <c r="I165" s="20">
        <v>633</v>
      </c>
      <c r="J165" s="20">
        <v>633</v>
      </c>
      <c r="K165" s="20" t="s">
        <v>11</v>
      </c>
      <c r="L165" s="20">
        <v>633</v>
      </c>
      <c r="M165" s="20">
        <v>0</v>
      </c>
      <c r="N165" s="20">
        <v>633</v>
      </c>
      <c r="O165" s="20" t="s">
        <v>2201</v>
      </c>
      <c r="P165" s="20" t="s">
        <v>87</v>
      </c>
      <c r="Q165" s="20" t="s">
        <v>87</v>
      </c>
      <c r="R165" s="20" t="s">
        <v>2989</v>
      </c>
      <c r="S165" s="111">
        <v>46363</v>
      </c>
      <c r="T165" s="20" t="s">
        <v>206</v>
      </c>
      <c r="U165" s="20" t="s">
        <v>207</v>
      </c>
      <c r="V165" s="20" t="s">
        <v>2988</v>
      </c>
      <c r="W165" s="20">
        <v>147.49</v>
      </c>
      <c r="X165" s="20">
        <v>147.490000088221</v>
      </c>
      <c r="Y165" s="20" t="s">
        <v>2989</v>
      </c>
      <c r="Z165" s="111">
        <v>46363</v>
      </c>
      <c r="AB165" s="20" t="s">
        <v>2376</v>
      </c>
      <c r="AD165" s="20" t="s">
        <v>2376</v>
      </c>
      <c r="AE165" s="20" t="s">
        <v>2376</v>
      </c>
      <c r="AF165" s="20">
        <v>0</v>
      </c>
      <c r="AG165" s="20">
        <v>0</v>
      </c>
      <c r="AH165" s="20">
        <v>0</v>
      </c>
      <c r="AI165" s="20">
        <v>0</v>
      </c>
      <c r="AJ165" s="20">
        <v>0</v>
      </c>
      <c r="AK165" s="20" t="s">
        <v>609</v>
      </c>
      <c r="AL165" s="20">
        <v>0</v>
      </c>
      <c r="AM165" s="20">
        <v>0</v>
      </c>
      <c r="AN165" s="20">
        <v>0</v>
      </c>
      <c r="AO165" s="20">
        <v>0</v>
      </c>
      <c r="AP165" s="20">
        <v>0</v>
      </c>
      <c r="AR165" s="20">
        <v>0</v>
      </c>
      <c r="AS165" s="20">
        <v>0</v>
      </c>
      <c r="AT165" s="20">
        <v>1671827.99</v>
      </c>
      <c r="AU165" s="20" t="s">
        <v>13</v>
      </c>
      <c r="AV165" s="20" t="s">
        <v>62</v>
      </c>
      <c r="AW165" s="111" t="s">
        <v>63</v>
      </c>
      <c r="AX165" s="20" t="s">
        <v>208</v>
      </c>
      <c r="AY165" s="19" t="s">
        <v>209</v>
      </c>
      <c r="AZ165" s="19">
        <v>0</v>
      </c>
      <c r="BA165" s="19">
        <v>93361.17</v>
      </c>
      <c r="BB165" s="19">
        <v>836</v>
      </c>
      <c r="BC165" s="66">
        <v>46363</v>
      </c>
      <c r="BD165" s="19" t="s">
        <v>65</v>
      </c>
      <c r="BE165" s="19" t="s">
        <v>210</v>
      </c>
      <c r="BF165" s="19" t="s">
        <v>210</v>
      </c>
      <c r="BG165" s="19">
        <v>9</v>
      </c>
      <c r="BH165" s="19">
        <v>8402.51</v>
      </c>
      <c r="BI165" s="19">
        <v>9</v>
      </c>
      <c r="BJ165" s="19">
        <v>8402.51</v>
      </c>
      <c r="BK165" s="19">
        <v>0</v>
      </c>
      <c r="BL165" s="19">
        <v>0</v>
      </c>
      <c r="BM165" s="19">
        <v>0</v>
      </c>
      <c r="BN165" s="19">
        <v>682143873699</v>
      </c>
      <c r="BO165" s="66">
        <v>46215</v>
      </c>
      <c r="BP165" s="19">
        <v>0</v>
      </c>
    </row>
    <row r="166" spans="1:68">
      <c r="A166" s="65"/>
      <c r="B166" s="20" t="s">
        <v>2216</v>
      </c>
      <c r="C166" s="111">
        <v>46363</v>
      </c>
      <c r="D166" s="20" t="s">
        <v>3653</v>
      </c>
      <c r="E166" s="20" t="s">
        <v>18</v>
      </c>
      <c r="F166" s="20" t="s">
        <v>19</v>
      </c>
      <c r="H166" s="20" t="s">
        <v>3654</v>
      </c>
      <c r="I166" s="20">
        <v>2346</v>
      </c>
      <c r="J166" s="20">
        <v>2346</v>
      </c>
      <c r="K166" s="20" t="s">
        <v>11</v>
      </c>
      <c r="L166" s="20">
        <v>2346</v>
      </c>
      <c r="M166" s="20">
        <v>0</v>
      </c>
      <c r="N166" s="20">
        <v>2346</v>
      </c>
      <c r="O166" s="20" t="s">
        <v>2201</v>
      </c>
      <c r="P166" s="20" t="s">
        <v>87</v>
      </c>
      <c r="Q166" s="20" t="s">
        <v>87</v>
      </c>
      <c r="R166" s="20" t="s">
        <v>2989</v>
      </c>
      <c r="S166" s="111">
        <v>46363</v>
      </c>
      <c r="T166" s="20" t="s">
        <v>206</v>
      </c>
      <c r="U166" s="20" t="s">
        <v>207</v>
      </c>
      <c r="V166" s="20" t="s">
        <v>2988</v>
      </c>
      <c r="W166" s="20">
        <v>144.49</v>
      </c>
      <c r="X166" s="20">
        <v>144.49000008642599</v>
      </c>
      <c r="Y166" s="20" t="s">
        <v>2989</v>
      </c>
      <c r="Z166" s="111">
        <v>46363</v>
      </c>
      <c r="AB166" s="20" t="s">
        <v>2376</v>
      </c>
      <c r="AD166" s="20" t="s">
        <v>2376</v>
      </c>
      <c r="AE166" s="20" t="s">
        <v>2376</v>
      </c>
      <c r="AF166" s="20">
        <v>0</v>
      </c>
      <c r="AG166" s="20">
        <v>0</v>
      </c>
      <c r="AH166" s="20">
        <v>0</v>
      </c>
      <c r="AI166" s="20">
        <v>0</v>
      </c>
      <c r="AJ166" s="20">
        <v>0</v>
      </c>
      <c r="AK166" s="20" t="s">
        <v>609</v>
      </c>
      <c r="AL166" s="20">
        <v>0</v>
      </c>
      <c r="AM166" s="20">
        <v>0</v>
      </c>
      <c r="AN166" s="20">
        <v>0</v>
      </c>
      <c r="AO166" s="20">
        <v>0</v>
      </c>
      <c r="AP166" s="20">
        <v>0</v>
      </c>
      <c r="AR166" s="20">
        <v>0</v>
      </c>
      <c r="AS166" s="20">
        <v>0</v>
      </c>
      <c r="AT166" s="20">
        <v>1671827.99</v>
      </c>
      <c r="AU166" s="20" t="s">
        <v>13</v>
      </c>
      <c r="AV166" s="20" t="s">
        <v>62</v>
      </c>
      <c r="AW166" s="111" t="s">
        <v>63</v>
      </c>
      <c r="AX166" s="20" t="s">
        <v>208</v>
      </c>
      <c r="AY166" s="19" t="s">
        <v>209</v>
      </c>
      <c r="AZ166" s="19">
        <v>0</v>
      </c>
      <c r="BA166" s="19">
        <v>338973.54</v>
      </c>
      <c r="BB166" s="19">
        <v>836</v>
      </c>
      <c r="BC166" s="66">
        <v>46363</v>
      </c>
      <c r="BD166" s="19" t="s">
        <v>65</v>
      </c>
      <c r="BE166" s="19" t="s">
        <v>210</v>
      </c>
      <c r="BF166" s="19" t="s">
        <v>210</v>
      </c>
      <c r="BG166" s="19">
        <v>9</v>
      </c>
      <c r="BH166" s="19">
        <v>30507.62</v>
      </c>
      <c r="BI166" s="19">
        <v>9</v>
      </c>
      <c r="BJ166" s="19">
        <v>30507.62</v>
      </c>
      <c r="BK166" s="19">
        <v>0</v>
      </c>
      <c r="BL166" s="19">
        <v>0</v>
      </c>
      <c r="BM166" s="19">
        <v>0</v>
      </c>
      <c r="BN166" s="19">
        <v>682143873699</v>
      </c>
      <c r="BO166" s="66">
        <v>46215</v>
      </c>
      <c r="BP166" s="19">
        <v>0</v>
      </c>
    </row>
    <row r="167" spans="1:68">
      <c r="A167" s="65"/>
      <c r="B167" s="20" t="s">
        <v>2216</v>
      </c>
      <c r="C167" s="111">
        <v>46363</v>
      </c>
      <c r="D167" s="20" t="s">
        <v>3653</v>
      </c>
      <c r="E167" s="20" t="s">
        <v>20</v>
      </c>
      <c r="F167" s="20" t="s">
        <v>21</v>
      </c>
      <c r="H167" s="20" t="s">
        <v>3654</v>
      </c>
      <c r="I167" s="20">
        <v>2959</v>
      </c>
      <c r="J167" s="20">
        <v>2959</v>
      </c>
      <c r="K167" s="20" t="s">
        <v>11</v>
      </c>
      <c r="L167" s="20">
        <v>2959</v>
      </c>
      <c r="M167" s="20">
        <v>0</v>
      </c>
      <c r="N167" s="20">
        <v>2959</v>
      </c>
      <c r="O167" s="20" t="s">
        <v>2201</v>
      </c>
      <c r="P167" s="20" t="s">
        <v>87</v>
      </c>
      <c r="Q167" s="20" t="s">
        <v>87</v>
      </c>
      <c r="R167" s="20" t="s">
        <v>2989</v>
      </c>
      <c r="S167" s="111">
        <v>46363</v>
      </c>
      <c r="T167" s="20" t="s">
        <v>206</v>
      </c>
      <c r="U167" s="20" t="s">
        <v>207</v>
      </c>
      <c r="V167" s="20" t="s">
        <v>2988</v>
      </c>
      <c r="W167" s="20">
        <v>146.49</v>
      </c>
      <c r="X167" s="20">
        <v>146.490000087623</v>
      </c>
      <c r="Y167" s="20" t="s">
        <v>2989</v>
      </c>
      <c r="Z167" s="111">
        <v>46363</v>
      </c>
      <c r="AB167" s="20" t="s">
        <v>2376</v>
      </c>
      <c r="AD167" s="20" t="s">
        <v>2376</v>
      </c>
      <c r="AE167" s="20" t="s">
        <v>2376</v>
      </c>
      <c r="AF167" s="20">
        <v>0</v>
      </c>
      <c r="AG167" s="20">
        <v>0</v>
      </c>
      <c r="AH167" s="20">
        <v>0</v>
      </c>
      <c r="AI167" s="20">
        <v>0</v>
      </c>
      <c r="AJ167" s="20">
        <v>0</v>
      </c>
      <c r="AK167" s="20" t="s">
        <v>609</v>
      </c>
      <c r="AL167" s="20">
        <v>0</v>
      </c>
      <c r="AM167" s="20">
        <v>0</v>
      </c>
      <c r="AN167" s="20">
        <v>0</v>
      </c>
      <c r="AO167" s="20">
        <v>0</v>
      </c>
      <c r="AP167" s="20">
        <v>0</v>
      </c>
      <c r="AR167" s="20">
        <v>0</v>
      </c>
      <c r="AS167" s="20">
        <v>0</v>
      </c>
      <c r="AT167" s="20">
        <v>1671827.99</v>
      </c>
      <c r="AU167" s="20" t="s">
        <v>13</v>
      </c>
      <c r="AV167" s="20" t="s">
        <v>62</v>
      </c>
      <c r="AW167" s="111" t="s">
        <v>76</v>
      </c>
      <c r="AX167" s="20" t="s">
        <v>208</v>
      </c>
      <c r="AY167" s="19" t="s">
        <v>209</v>
      </c>
      <c r="AZ167" s="19">
        <v>0</v>
      </c>
      <c r="BA167" s="19">
        <v>433463.91</v>
      </c>
      <c r="BB167" s="19">
        <v>836</v>
      </c>
      <c r="BC167" s="66">
        <v>46363</v>
      </c>
      <c r="BD167" s="19" t="s">
        <v>65</v>
      </c>
      <c r="BE167" s="19" t="s">
        <v>210</v>
      </c>
      <c r="BF167" s="19" t="s">
        <v>210</v>
      </c>
      <c r="BG167" s="19">
        <v>9</v>
      </c>
      <c r="BH167" s="19">
        <v>39011.75</v>
      </c>
      <c r="BI167" s="19">
        <v>9</v>
      </c>
      <c r="BJ167" s="19">
        <v>39011.75</v>
      </c>
      <c r="BK167" s="19">
        <v>0</v>
      </c>
      <c r="BL167" s="19">
        <v>0</v>
      </c>
      <c r="BM167" s="19">
        <v>0</v>
      </c>
      <c r="BN167" s="19">
        <v>682143873699</v>
      </c>
      <c r="BO167" s="66">
        <v>46215</v>
      </c>
      <c r="BP167" s="19">
        <v>0</v>
      </c>
    </row>
    <row r="168" spans="1:68">
      <c r="A168" s="65"/>
      <c r="B168" s="20" t="s">
        <v>2216</v>
      </c>
      <c r="C168" s="111">
        <v>46363</v>
      </c>
      <c r="D168" s="20" t="s">
        <v>3653</v>
      </c>
      <c r="E168" s="20" t="s">
        <v>20</v>
      </c>
      <c r="F168" s="20" t="s">
        <v>21</v>
      </c>
      <c r="H168" s="20" t="s">
        <v>3654</v>
      </c>
      <c r="I168" s="20">
        <v>698</v>
      </c>
      <c r="J168" s="20">
        <v>698</v>
      </c>
      <c r="K168" s="20" t="s">
        <v>11</v>
      </c>
      <c r="L168" s="20">
        <v>698</v>
      </c>
      <c r="M168" s="20">
        <v>0</v>
      </c>
      <c r="N168" s="20">
        <v>698</v>
      </c>
      <c r="O168" s="20" t="s">
        <v>2201</v>
      </c>
      <c r="P168" s="20" t="s">
        <v>87</v>
      </c>
      <c r="Q168" s="20" t="s">
        <v>87</v>
      </c>
      <c r="R168" s="20" t="s">
        <v>2989</v>
      </c>
      <c r="S168" s="111">
        <v>46363</v>
      </c>
      <c r="T168" s="20" t="s">
        <v>206</v>
      </c>
      <c r="U168" s="20" t="s">
        <v>207</v>
      </c>
      <c r="V168" s="20" t="s">
        <v>2988</v>
      </c>
      <c r="W168" s="20">
        <v>151.49</v>
      </c>
      <c r="X168" s="20">
        <v>151.49000009061299</v>
      </c>
      <c r="Y168" s="20" t="s">
        <v>2989</v>
      </c>
      <c r="Z168" s="111">
        <v>46363</v>
      </c>
      <c r="AB168" s="20" t="s">
        <v>2376</v>
      </c>
      <c r="AD168" s="20" t="s">
        <v>2376</v>
      </c>
      <c r="AE168" s="20" t="s">
        <v>2376</v>
      </c>
      <c r="AF168" s="20">
        <v>0</v>
      </c>
      <c r="AG168" s="20">
        <v>0</v>
      </c>
      <c r="AH168" s="20">
        <v>0</v>
      </c>
      <c r="AI168" s="20">
        <v>0</v>
      </c>
      <c r="AJ168" s="20">
        <v>0</v>
      </c>
      <c r="AK168" s="20" t="s">
        <v>609</v>
      </c>
      <c r="AL168" s="20">
        <v>0</v>
      </c>
      <c r="AM168" s="20">
        <v>0</v>
      </c>
      <c r="AN168" s="20">
        <v>0</v>
      </c>
      <c r="AO168" s="20">
        <v>0</v>
      </c>
      <c r="AP168" s="20">
        <v>0</v>
      </c>
      <c r="AR168" s="20">
        <v>0</v>
      </c>
      <c r="AS168" s="20">
        <v>0</v>
      </c>
      <c r="AT168" s="20">
        <v>1671827.99</v>
      </c>
      <c r="AU168" s="20" t="s">
        <v>13</v>
      </c>
      <c r="AV168" s="20" t="s">
        <v>62</v>
      </c>
      <c r="AW168" s="111" t="s">
        <v>76</v>
      </c>
      <c r="AX168" s="20" t="s">
        <v>208</v>
      </c>
      <c r="AY168" s="19" t="s">
        <v>209</v>
      </c>
      <c r="AZ168" s="19">
        <v>0</v>
      </c>
      <c r="BA168" s="19">
        <v>105740.02</v>
      </c>
      <c r="BB168" s="19">
        <v>836</v>
      </c>
      <c r="BC168" s="66">
        <v>46363</v>
      </c>
      <c r="BD168" s="19" t="s">
        <v>65</v>
      </c>
      <c r="BE168" s="19" t="s">
        <v>210</v>
      </c>
      <c r="BF168" s="19" t="s">
        <v>210</v>
      </c>
      <c r="BG168" s="19">
        <v>9</v>
      </c>
      <c r="BH168" s="19">
        <v>9516.6</v>
      </c>
      <c r="BI168" s="19">
        <v>9</v>
      </c>
      <c r="BJ168" s="19">
        <v>9516.6</v>
      </c>
      <c r="BK168" s="19">
        <v>0</v>
      </c>
      <c r="BL168" s="19">
        <v>0</v>
      </c>
      <c r="BM168" s="19">
        <v>0</v>
      </c>
      <c r="BN168" s="19">
        <v>682143873699</v>
      </c>
      <c r="BO168" s="66">
        <v>46215</v>
      </c>
      <c r="BP168" s="19">
        <v>0</v>
      </c>
    </row>
    <row r="169" spans="1:68">
      <c r="A169" s="65"/>
      <c r="B169" s="20" t="s">
        <v>2216</v>
      </c>
      <c r="C169" s="111">
        <v>46363</v>
      </c>
      <c r="D169" s="20" t="s">
        <v>3653</v>
      </c>
      <c r="E169" s="20" t="s">
        <v>23</v>
      </c>
      <c r="F169" s="20" t="s">
        <v>24</v>
      </c>
      <c r="H169" s="20" t="s">
        <v>3654</v>
      </c>
      <c r="I169" s="20">
        <v>1275.0999999999999</v>
      </c>
      <c r="J169" s="20">
        <v>1275.0999999999999</v>
      </c>
      <c r="K169" s="20" t="s">
        <v>11</v>
      </c>
      <c r="L169" s="20">
        <v>1275.0999999999999</v>
      </c>
      <c r="M169" s="20">
        <v>0</v>
      </c>
      <c r="N169" s="20">
        <v>1275.0999999999999</v>
      </c>
      <c r="O169" s="20" t="s">
        <v>2201</v>
      </c>
      <c r="P169" s="20" t="s">
        <v>87</v>
      </c>
      <c r="Q169" s="20" t="s">
        <v>87</v>
      </c>
      <c r="R169" s="20" t="s">
        <v>2989</v>
      </c>
      <c r="S169" s="111">
        <v>46363</v>
      </c>
      <c r="T169" s="20" t="s">
        <v>206</v>
      </c>
      <c r="U169" s="20" t="s">
        <v>207</v>
      </c>
      <c r="V169" s="20" t="s">
        <v>2988</v>
      </c>
      <c r="W169" s="20">
        <v>149.49</v>
      </c>
      <c r="X169" s="20">
        <v>149.49000008941701</v>
      </c>
      <c r="Y169" s="20" t="s">
        <v>2989</v>
      </c>
      <c r="Z169" s="111">
        <v>46363</v>
      </c>
      <c r="AB169" s="20" t="s">
        <v>2376</v>
      </c>
      <c r="AD169" s="20" t="s">
        <v>2376</v>
      </c>
      <c r="AE169" s="20" t="s">
        <v>2376</v>
      </c>
      <c r="AF169" s="20">
        <v>0</v>
      </c>
      <c r="AG169" s="20">
        <v>0</v>
      </c>
      <c r="AH169" s="20">
        <v>0</v>
      </c>
      <c r="AI169" s="20">
        <v>0</v>
      </c>
      <c r="AJ169" s="20">
        <v>0</v>
      </c>
      <c r="AK169" s="20" t="s">
        <v>609</v>
      </c>
      <c r="AL169" s="20">
        <v>0</v>
      </c>
      <c r="AM169" s="20">
        <v>0</v>
      </c>
      <c r="AN169" s="20">
        <v>0</v>
      </c>
      <c r="AO169" s="20">
        <v>0</v>
      </c>
      <c r="AP169" s="20">
        <v>0</v>
      </c>
      <c r="AR169" s="20">
        <v>0</v>
      </c>
      <c r="AS169" s="20">
        <v>0</v>
      </c>
      <c r="AT169" s="20">
        <v>1671827.99</v>
      </c>
      <c r="AU169" s="20" t="s">
        <v>13</v>
      </c>
      <c r="AV169" s="20" t="s">
        <v>24</v>
      </c>
      <c r="AW169" s="111" t="s">
        <v>79</v>
      </c>
      <c r="AX169" s="20" t="s">
        <v>208</v>
      </c>
      <c r="AY169" s="19" t="s">
        <v>209</v>
      </c>
      <c r="AZ169" s="19">
        <v>0</v>
      </c>
      <c r="BA169" s="19">
        <v>190614.7</v>
      </c>
      <c r="BB169" s="19">
        <v>836</v>
      </c>
      <c r="BC169" s="66">
        <v>46363</v>
      </c>
      <c r="BD169" s="19" t="s">
        <v>65</v>
      </c>
      <c r="BE169" s="19" t="s">
        <v>210</v>
      </c>
      <c r="BF169" s="19" t="s">
        <v>210</v>
      </c>
      <c r="BG169" s="19">
        <v>9</v>
      </c>
      <c r="BH169" s="19">
        <v>17155.32</v>
      </c>
      <c r="BI169" s="19">
        <v>9</v>
      </c>
      <c r="BJ169" s="19">
        <v>17155.32</v>
      </c>
      <c r="BK169" s="19">
        <v>0</v>
      </c>
      <c r="BL169" s="19">
        <v>0</v>
      </c>
      <c r="BM169" s="19">
        <v>0</v>
      </c>
      <c r="BN169" s="19">
        <v>682143873699</v>
      </c>
      <c r="BO169" s="66">
        <v>46215</v>
      </c>
      <c r="BP169" s="19">
        <v>0</v>
      </c>
    </row>
    <row r="170" spans="1:68">
      <c r="A170" s="65"/>
      <c r="B170" s="20" t="s">
        <v>2216</v>
      </c>
      <c r="C170" s="111">
        <v>46363</v>
      </c>
      <c r="D170" s="20" t="s">
        <v>3653</v>
      </c>
      <c r="E170" s="20" t="s">
        <v>23</v>
      </c>
      <c r="F170" s="20" t="s">
        <v>24</v>
      </c>
      <c r="H170" s="20" t="s">
        <v>3654</v>
      </c>
      <c r="I170" s="20">
        <v>895</v>
      </c>
      <c r="J170" s="20">
        <v>895</v>
      </c>
      <c r="K170" s="20" t="s">
        <v>11</v>
      </c>
      <c r="L170" s="20">
        <v>895</v>
      </c>
      <c r="M170" s="20">
        <v>0</v>
      </c>
      <c r="N170" s="20">
        <v>895</v>
      </c>
      <c r="O170" s="20" t="s">
        <v>2201</v>
      </c>
      <c r="P170" s="20" t="s">
        <v>87</v>
      </c>
      <c r="Q170" s="20" t="s">
        <v>87</v>
      </c>
      <c r="R170" s="20" t="s">
        <v>2989</v>
      </c>
      <c r="S170" s="111">
        <v>46363</v>
      </c>
      <c r="T170" s="20" t="s">
        <v>206</v>
      </c>
      <c r="U170" s="20" t="s">
        <v>207</v>
      </c>
      <c r="V170" s="20" t="s">
        <v>2988</v>
      </c>
      <c r="W170" s="20">
        <v>146.49</v>
      </c>
      <c r="X170" s="20">
        <v>146.490000087623</v>
      </c>
      <c r="Y170" s="20" t="s">
        <v>2989</v>
      </c>
      <c r="Z170" s="111">
        <v>46363</v>
      </c>
      <c r="AB170" s="20" t="s">
        <v>2376</v>
      </c>
      <c r="AD170" s="20" t="s">
        <v>2376</v>
      </c>
      <c r="AE170" s="20" t="s">
        <v>2376</v>
      </c>
      <c r="AF170" s="20">
        <v>0</v>
      </c>
      <c r="AG170" s="20">
        <v>0</v>
      </c>
      <c r="AH170" s="20">
        <v>0</v>
      </c>
      <c r="AI170" s="20">
        <v>0</v>
      </c>
      <c r="AJ170" s="20">
        <v>0</v>
      </c>
      <c r="AK170" s="20" t="s">
        <v>609</v>
      </c>
      <c r="AL170" s="20">
        <v>0</v>
      </c>
      <c r="AM170" s="20">
        <v>0</v>
      </c>
      <c r="AN170" s="20">
        <v>0</v>
      </c>
      <c r="AO170" s="20">
        <v>0</v>
      </c>
      <c r="AP170" s="20">
        <v>0</v>
      </c>
      <c r="AR170" s="20">
        <v>0</v>
      </c>
      <c r="AS170" s="20">
        <v>0</v>
      </c>
      <c r="AT170" s="20">
        <v>1671827.99</v>
      </c>
      <c r="AU170" s="20" t="s">
        <v>13</v>
      </c>
      <c r="AV170" s="20" t="s">
        <v>24</v>
      </c>
      <c r="AW170" s="111" t="s">
        <v>79</v>
      </c>
      <c r="AX170" s="20" t="s">
        <v>208</v>
      </c>
      <c r="AY170" s="19" t="s">
        <v>209</v>
      </c>
      <c r="AZ170" s="19">
        <v>0</v>
      </c>
      <c r="BA170" s="19">
        <v>131108.54999999999</v>
      </c>
      <c r="BB170" s="19">
        <v>836</v>
      </c>
      <c r="BC170" s="66">
        <v>46363</v>
      </c>
      <c r="BD170" s="19" t="s">
        <v>65</v>
      </c>
      <c r="BE170" s="19" t="s">
        <v>210</v>
      </c>
      <c r="BF170" s="19" t="s">
        <v>210</v>
      </c>
      <c r="BG170" s="19">
        <v>9</v>
      </c>
      <c r="BH170" s="19">
        <v>11799.77</v>
      </c>
      <c r="BI170" s="19">
        <v>9</v>
      </c>
      <c r="BJ170" s="19">
        <v>11799.77</v>
      </c>
      <c r="BK170" s="19">
        <v>0</v>
      </c>
      <c r="BL170" s="19">
        <v>0</v>
      </c>
      <c r="BM170" s="19">
        <v>0</v>
      </c>
      <c r="BN170" s="19">
        <v>682143873699</v>
      </c>
      <c r="BO170" s="66">
        <v>46215</v>
      </c>
      <c r="BP170" s="19">
        <v>0</v>
      </c>
    </row>
    <row r="171" spans="1:68">
      <c r="A171" s="65"/>
      <c r="B171" s="20" t="s">
        <v>2216</v>
      </c>
      <c r="C171" s="111" t="s">
        <v>2996</v>
      </c>
      <c r="D171" s="20" t="s">
        <v>3655</v>
      </c>
      <c r="E171" s="20" t="s">
        <v>18</v>
      </c>
      <c r="F171" s="20" t="s">
        <v>19</v>
      </c>
      <c r="H171" s="20" t="s">
        <v>3656</v>
      </c>
      <c r="I171" s="20">
        <v>914</v>
      </c>
      <c r="J171" s="20">
        <v>914</v>
      </c>
      <c r="K171" s="20" t="s">
        <v>11</v>
      </c>
      <c r="L171" s="20">
        <v>914</v>
      </c>
      <c r="M171" s="20">
        <v>0</v>
      </c>
      <c r="N171" s="20">
        <v>914</v>
      </c>
      <c r="O171" s="20" t="s">
        <v>3657</v>
      </c>
      <c r="P171" s="20" t="s">
        <v>89</v>
      </c>
      <c r="Q171" s="20" t="s">
        <v>89</v>
      </c>
      <c r="R171" s="20" t="s">
        <v>3010</v>
      </c>
      <c r="S171" s="111" t="s">
        <v>2996</v>
      </c>
      <c r="T171" s="20" t="s">
        <v>206</v>
      </c>
      <c r="U171" s="20" t="s">
        <v>207</v>
      </c>
      <c r="V171" s="20" t="s">
        <v>3009</v>
      </c>
      <c r="W171" s="20">
        <v>111.6</v>
      </c>
      <c r="X171" s="20">
        <v>111.6</v>
      </c>
      <c r="Y171" s="20" t="s">
        <v>3010</v>
      </c>
      <c r="Z171" s="111">
        <v>46363</v>
      </c>
      <c r="AB171" s="20" t="s">
        <v>2376</v>
      </c>
      <c r="AD171" s="20" t="s">
        <v>2376</v>
      </c>
      <c r="AE171" s="20" t="s">
        <v>2376</v>
      </c>
      <c r="AF171" s="20">
        <v>0</v>
      </c>
      <c r="AG171" s="20">
        <v>0</v>
      </c>
      <c r="AH171" s="20">
        <v>0</v>
      </c>
      <c r="AI171" s="20">
        <v>0</v>
      </c>
      <c r="AJ171" s="20">
        <v>0</v>
      </c>
      <c r="AK171" s="20" t="s">
        <v>609</v>
      </c>
      <c r="AL171" s="20">
        <v>0</v>
      </c>
      <c r="AM171" s="20">
        <v>0</v>
      </c>
      <c r="AN171" s="20">
        <v>0</v>
      </c>
      <c r="AO171" s="20">
        <v>0</v>
      </c>
      <c r="AP171" s="20">
        <v>0</v>
      </c>
      <c r="AR171" s="20">
        <v>0</v>
      </c>
      <c r="AS171" s="20">
        <v>0</v>
      </c>
      <c r="AT171" s="20">
        <v>120362.84</v>
      </c>
      <c r="AU171" s="20" t="s">
        <v>13</v>
      </c>
      <c r="AV171" s="20" t="s">
        <v>62</v>
      </c>
      <c r="AW171" s="111" t="s">
        <v>63</v>
      </c>
      <c r="AX171" s="20" t="s">
        <v>208</v>
      </c>
      <c r="AY171" s="19" t="s">
        <v>209</v>
      </c>
      <c r="AZ171" s="19">
        <v>0</v>
      </c>
      <c r="BA171" s="19">
        <v>102002.4</v>
      </c>
      <c r="BB171" s="19">
        <v>846</v>
      </c>
      <c r="BC171" s="66" t="s">
        <v>2996</v>
      </c>
      <c r="BD171" s="19" t="s">
        <v>65</v>
      </c>
      <c r="BE171" s="19" t="s">
        <v>210</v>
      </c>
      <c r="BF171" s="19" t="s">
        <v>210</v>
      </c>
      <c r="BG171" s="19">
        <v>9</v>
      </c>
      <c r="BH171" s="19">
        <v>9180.2199999999993</v>
      </c>
      <c r="BI171" s="19">
        <v>9</v>
      </c>
      <c r="BJ171" s="19">
        <v>9180.2199999999993</v>
      </c>
      <c r="BK171" s="19">
        <v>0</v>
      </c>
      <c r="BL171" s="19">
        <v>0</v>
      </c>
      <c r="BM171" s="19">
        <v>120362.84</v>
      </c>
      <c r="BN171" s="19">
        <v>692143942190</v>
      </c>
      <c r="BO171" s="66">
        <v>46215</v>
      </c>
      <c r="BP171" s="19">
        <v>0</v>
      </c>
    </row>
    <row r="172" spans="1:68">
      <c r="A172" s="65"/>
      <c r="B172" s="20" t="s">
        <v>2216</v>
      </c>
      <c r="C172" s="111" t="s">
        <v>2996</v>
      </c>
      <c r="D172" s="20" t="s">
        <v>3658</v>
      </c>
      <c r="E172" s="20" t="s">
        <v>160</v>
      </c>
      <c r="F172" s="20" t="s">
        <v>17</v>
      </c>
      <c r="H172" s="20" t="s">
        <v>3659</v>
      </c>
      <c r="I172" s="20">
        <v>4475</v>
      </c>
      <c r="J172" s="20">
        <v>4475</v>
      </c>
      <c r="K172" s="20" t="s">
        <v>11</v>
      </c>
      <c r="L172" s="20">
        <v>4475</v>
      </c>
      <c r="M172" s="20">
        <v>0</v>
      </c>
      <c r="N172" s="20">
        <v>4475</v>
      </c>
      <c r="O172" s="20" t="s">
        <v>2203</v>
      </c>
      <c r="P172" s="20" t="s">
        <v>87</v>
      </c>
      <c r="Q172" s="20" t="s">
        <v>87</v>
      </c>
      <c r="R172" s="20" t="s">
        <v>3004</v>
      </c>
      <c r="S172" s="111" t="s">
        <v>2996</v>
      </c>
      <c r="T172" s="20" t="s">
        <v>206</v>
      </c>
      <c r="U172" s="20" t="s">
        <v>207</v>
      </c>
      <c r="V172" s="20" t="s">
        <v>3003</v>
      </c>
      <c r="W172" s="20">
        <v>182.78</v>
      </c>
      <c r="X172" s="20">
        <v>182.78</v>
      </c>
      <c r="Y172" s="20" t="s">
        <v>3004</v>
      </c>
      <c r="Z172" s="111" t="s">
        <v>2996</v>
      </c>
      <c r="AB172" s="20" t="s">
        <v>2376</v>
      </c>
      <c r="AD172" s="20" t="s">
        <v>2376</v>
      </c>
      <c r="AE172" s="20" t="s">
        <v>2376</v>
      </c>
      <c r="AF172" s="20">
        <v>0</v>
      </c>
      <c r="AG172" s="20">
        <v>0</v>
      </c>
      <c r="AH172" s="20">
        <v>0</v>
      </c>
      <c r="AI172" s="20">
        <v>0</v>
      </c>
      <c r="AJ172" s="20">
        <v>0</v>
      </c>
      <c r="AK172" s="20" t="s">
        <v>609</v>
      </c>
      <c r="AL172" s="20">
        <v>0</v>
      </c>
      <c r="AM172" s="20">
        <v>0</v>
      </c>
      <c r="AN172" s="20">
        <v>0</v>
      </c>
      <c r="AO172" s="20">
        <v>0</v>
      </c>
      <c r="AP172" s="20">
        <v>0</v>
      </c>
      <c r="AR172" s="20">
        <v>0</v>
      </c>
      <c r="AS172" s="20">
        <v>0</v>
      </c>
      <c r="AT172" s="20">
        <v>965169.78</v>
      </c>
      <c r="AU172" s="20" t="s">
        <v>13</v>
      </c>
      <c r="AV172" s="20" t="s">
        <v>80</v>
      </c>
      <c r="AW172" s="111" t="s">
        <v>81</v>
      </c>
      <c r="AX172" s="20" t="s">
        <v>208</v>
      </c>
      <c r="AY172" s="19" t="s">
        <v>209</v>
      </c>
      <c r="AZ172" s="19">
        <v>0</v>
      </c>
      <c r="BA172" s="19">
        <v>817940.5</v>
      </c>
      <c r="BB172" s="19">
        <v>848</v>
      </c>
      <c r="BC172" s="66" t="s">
        <v>2996</v>
      </c>
      <c r="BD172" s="19" t="s">
        <v>65</v>
      </c>
      <c r="BE172" s="19" t="s">
        <v>210</v>
      </c>
      <c r="BF172" s="19" t="s">
        <v>210</v>
      </c>
      <c r="BG172" s="19">
        <v>9</v>
      </c>
      <c r="BH172" s="19">
        <v>73614.64</v>
      </c>
      <c r="BI172" s="19">
        <v>9</v>
      </c>
      <c r="BJ172" s="19">
        <v>73614.64</v>
      </c>
      <c r="BK172" s="19">
        <v>0</v>
      </c>
      <c r="BL172" s="19">
        <v>0</v>
      </c>
      <c r="BM172" s="19">
        <v>965169.78</v>
      </c>
      <c r="BN172" s="19">
        <v>682144172300</v>
      </c>
      <c r="BO172" s="66">
        <v>46216</v>
      </c>
      <c r="BP172" s="19">
        <v>0</v>
      </c>
    </row>
    <row r="173" spans="1:68">
      <c r="A173" s="65"/>
      <c r="B173" s="20" t="s">
        <v>2216</v>
      </c>
      <c r="C173" s="111" t="s">
        <v>2996</v>
      </c>
      <c r="D173" s="20" t="s">
        <v>3660</v>
      </c>
      <c r="E173" s="20" t="s">
        <v>18</v>
      </c>
      <c r="F173" s="20" t="s">
        <v>19</v>
      </c>
      <c r="H173" s="20" t="s">
        <v>3661</v>
      </c>
      <c r="I173" s="20">
        <v>1080.0999999999999</v>
      </c>
      <c r="J173" s="20">
        <v>1080.0999999999999</v>
      </c>
      <c r="K173" s="20" t="s">
        <v>11</v>
      </c>
      <c r="L173" s="20">
        <v>1080.0999999999999</v>
      </c>
      <c r="M173" s="20">
        <v>0</v>
      </c>
      <c r="N173" s="20">
        <v>1080.0999999999999</v>
      </c>
      <c r="O173" s="20" t="s">
        <v>3662</v>
      </c>
      <c r="P173" s="20" t="s">
        <v>93</v>
      </c>
      <c r="Q173" s="20" t="s">
        <v>93</v>
      </c>
      <c r="R173" s="20" t="s">
        <v>2998</v>
      </c>
      <c r="S173" s="111" t="s">
        <v>2996</v>
      </c>
      <c r="T173" s="20" t="s">
        <v>206</v>
      </c>
      <c r="U173" s="20" t="s">
        <v>207</v>
      </c>
      <c r="V173" s="20" t="s">
        <v>2997</v>
      </c>
      <c r="W173" s="20">
        <v>169.15</v>
      </c>
      <c r="X173" s="20">
        <v>169.14999808422701</v>
      </c>
      <c r="Y173" s="20" t="s">
        <v>2998</v>
      </c>
      <c r="Z173" s="111">
        <v>46363</v>
      </c>
      <c r="AB173" s="20" t="s">
        <v>2376</v>
      </c>
      <c r="AD173" s="20" t="s">
        <v>2376</v>
      </c>
      <c r="AE173" s="20" t="s">
        <v>2376</v>
      </c>
      <c r="AF173" s="20">
        <v>0</v>
      </c>
      <c r="AG173" s="20">
        <v>0</v>
      </c>
      <c r="AH173" s="20">
        <v>0</v>
      </c>
      <c r="AI173" s="20">
        <v>0</v>
      </c>
      <c r="AJ173" s="20">
        <v>0</v>
      </c>
      <c r="AK173" s="20" t="s">
        <v>609</v>
      </c>
      <c r="AL173" s="20">
        <v>0</v>
      </c>
      <c r="AM173" s="20">
        <v>0</v>
      </c>
      <c r="AN173" s="20">
        <v>0</v>
      </c>
      <c r="AO173" s="20">
        <v>0</v>
      </c>
      <c r="AP173" s="20">
        <v>0</v>
      </c>
      <c r="AR173" s="20">
        <v>0</v>
      </c>
      <c r="AS173" s="20">
        <v>0</v>
      </c>
      <c r="AT173" s="20">
        <v>441466.74</v>
      </c>
      <c r="AU173" s="20" t="s">
        <v>13</v>
      </c>
      <c r="AV173" s="20" t="s">
        <v>62</v>
      </c>
      <c r="AW173" s="111" t="s">
        <v>63</v>
      </c>
      <c r="AX173" s="20" t="s">
        <v>208</v>
      </c>
      <c r="AY173" s="19" t="s">
        <v>209</v>
      </c>
      <c r="AZ173" s="19">
        <v>0</v>
      </c>
      <c r="BA173" s="19">
        <v>182698.91</v>
      </c>
      <c r="BB173" s="19">
        <v>844</v>
      </c>
      <c r="BC173" s="66" t="s">
        <v>2996</v>
      </c>
      <c r="BD173" s="19" t="s">
        <v>59</v>
      </c>
      <c r="BE173" s="19" t="s">
        <v>210</v>
      </c>
      <c r="BF173" s="19" t="s">
        <v>210</v>
      </c>
      <c r="BG173" s="19">
        <v>9</v>
      </c>
      <c r="BH173" s="19">
        <v>16442.900000000001</v>
      </c>
      <c r="BI173" s="19">
        <v>9</v>
      </c>
      <c r="BJ173" s="19">
        <v>16442.900000000001</v>
      </c>
      <c r="BK173" s="19">
        <v>0</v>
      </c>
      <c r="BL173" s="19">
        <v>0</v>
      </c>
      <c r="BM173" s="19">
        <v>441466.74</v>
      </c>
      <c r="BN173" s="19">
        <v>662143937126</v>
      </c>
      <c r="BO173" s="66">
        <v>46215</v>
      </c>
      <c r="BP173" s="19">
        <v>0</v>
      </c>
    </row>
    <row r="174" spans="1:68">
      <c r="A174" s="65"/>
      <c r="B174" s="20" t="s">
        <v>2216</v>
      </c>
      <c r="C174" s="111" t="s">
        <v>2996</v>
      </c>
      <c r="D174" s="20" t="s">
        <v>3660</v>
      </c>
      <c r="E174" s="20" t="s">
        <v>1618</v>
      </c>
      <c r="F174" s="20" t="s">
        <v>1617</v>
      </c>
      <c r="H174" s="20" t="s">
        <v>3661</v>
      </c>
      <c r="I174" s="20">
        <v>920</v>
      </c>
      <c r="J174" s="20">
        <v>920</v>
      </c>
      <c r="K174" s="20" t="s">
        <v>11</v>
      </c>
      <c r="L174" s="20">
        <v>920</v>
      </c>
      <c r="M174" s="20">
        <v>0</v>
      </c>
      <c r="N174" s="20">
        <v>920</v>
      </c>
      <c r="O174" s="20" t="s">
        <v>3662</v>
      </c>
      <c r="P174" s="20" t="s">
        <v>93</v>
      </c>
      <c r="Q174" s="20" t="s">
        <v>93</v>
      </c>
      <c r="R174" s="20" t="s">
        <v>2998</v>
      </c>
      <c r="S174" s="111" t="s">
        <v>2996</v>
      </c>
      <c r="T174" s="20" t="s">
        <v>206</v>
      </c>
      <c r="U174" s="20" t="s">
        <v>207</v>
      </c>
      <c r="V174" s="20" t="s">
        <v>2997</v>
      </c>
      <c r="W174" s="20">
        <v>154.15</v>
      </c>
      <c r="X174" s="20">
        <v>154.14999825411499</v>
      </c>
      <c r="Y174" s="20" t="s">
        <v>2998</v>
      </c>
      <c r="Z174" s="111">
        <v>46363</v>
      </c>
      <c r="AB174" s="20" t="s">
        <v>2376</v>
      </c>
      <c r="AD174" s="20" t="s">
        <v>2376</v>
      </c>
      <c r="AE174" s="20" t="s">
        <v>2376</v>
      </c>
      <c r="AF174" s="20">
        <v>0</v>
      </c>
      <c r="AG174" s="20">
        <v>0</v>
      </c>
      <c r="AH174" s="20">
        <v>0</v>
      </c>
      <c r="AI174" s="20">
        <v>0</v>
      </c>
      <c r="AJ174" s="20">
        <v>0</v>
      </c>
      <c r="AK174" s="20" t="s">
        <v>609</v>
      </c>
      <c r="AL174" s="20">
        <v>0</v>
      </c>
      <c r="AM174" s="20">
        <v>0</v>
      </c>
      <c r="AN174" s="20">
        <v>0</v>
      </c>
      <c r="AO174" s="20">
        <v>0</v>
      </c>
      <c r="AP174" s="20">
        <v>0</v>
      </c>
      <c r="AR174" s="20">
        <v>0</v>
      </c>
      <c r="AS174" s="20">
        <v>0</v>
      </c>
      <c r="AT174" s="20">
        <v>441466.74</v>
      </c>
      <c r="AU174" s="20" t="s">
        <v>13</v>
      </c>
      <c r="AV174" s="20" t="s">
        <v>99</v>
      </c>
      <c r="AW174" s="111" t="s">
        <v>100</v>
      </c>
      <c r="AX174" s="20" t="s">
        <v>208</v>
      </c>
      <c r="AY174" s="19" t="s">
        <v>209</v>
      </c>
      <c r="AZ174" s="19">
        <v>0</v>
      </c>
      <c r="BA174" s="19">
        <v>141818</v>
      </c>
      <c r="BB174" s="19">
        <v>844</v>
      </c>
      <c r="BC174" s="66" t="s">
        <v>2996</v>
      </c>
      <c r="BD174" s="19" t="s">
        <v>59</v>
      </c>
      <c r="BE174" s="19" t="s">
        <v>210</v>
      </c>
      <c r="BF174" s="19" t="s">
        <v>210</v>
      </c>
      <c r="BG174" s="19">
        <v>2.5</v>
      </c>
      <c r="BH174" s="19">
        <v>3545.45</v>
      </c>
      <c r="BI174" s="19">
        <v>2.5</v>
      </c>
      <c r="BJ174" s="19">
        <v>3545.45</v>
      </c>
      <c r="BK174" s="19">
        <v>0</v>
      </c>
      <c r="BL174" s="19">
        <v>0</v>
      </c>
      <c r="BM174" s="19">
        <v>0</v>
      </c>
      <c r="BN174" s="19">
        <v>662143937126</v>
      </c>
      <c r="BO174" s="66">
        <v>46215</v>
      </c>
      <c r="BP174" s="19">
        <v>0</v>
      </c>
    </row>
    <row r="175" spans="1:68">
      <c r="A175" s="65"/>
      <c r="B175" s="20" t="s">
        <v>2216</v>
      </c>
      <c r="C175" s="111" t="s">
        <v>2996</v>
      </c>
      <c r="D175" s="20" t="s">
        <v>3660</v>
      </c>
      <c r="E175" s="20" t="s">
        <v>2622</v>
      </c>
      <c r="F175" s="20" t="s">
        <v>2585</v>
      </c>
      <c r="H175" s="20" t="s">
        <v>3661</v>
      </c>
      <c r="I175" s="20">
        <v>485</v>
      </c>
      <c r="J175" s="20">
        <v>485</v>
      </c>
      <c r="K175" s="20" t="s">
        <v>11</v>
      </c>
      <c r="L175" s="20">
        <v>485</v>
      </c>
      <c r="M175" s="20">
        <v>0</v>
      </c>
      <c r="N175" s="20">
        <v>485</v>
      </c>
      <c r="O175" s="20" t="s">
        <v>3662</v>
      </c>
      <c r="P175" s="20" t="s">
        <v>93</v>
      </c>
      <c r="Q175" s="20" t="s">
        <v>93</v>
      </c>
      <c r="R175" s="20" t="s">
        <v>2998</v>
      </c>
      <c r="S175" s="111" t="s">
        <v>2996</v>
      </c>
      <c r="T175" s="20" t="s">
        <v>206</v>
      </c>
      <c r="U175" s="20" t="s">
        <v>207</v>
      </c>
      <c r="V175" s="20" t="s">
        <v>2997</v>
      </c>
      <c r="W175" s="20">
        <v>151.15</v>
      </c>
      <c r="X175" s="20">
        <v>151.149998288093</v>
      </c>
      <c r="Y175" s="20" t="s">
        <v>2998</v>
      </c>
      <c r="Z175" s="111">
        <v>46363</v>
      </c>
      <c r="AB175" s="20" t="s">
        <v>2376</v>
      </c>
      <c r="AD175" s="20" t="s">
        <v>2376</v>
      </c>
      <c r="AE175" s="20" t="s">
        <v>2376</v>
      </c>
      <c r="AF175" s="20">
        <v>0</v>
      </c>
      <c r="AG175" s="20">
        <v>0</v>
      </c>
      <c r="AH175" s="20">
        <v>0</v>
      </c>
      <c r="AI175" s="20">
        <v>0</v>
      </c>
      <c r="AJ175" s="20">
        <v>0</v>
      </c>
      <c r="AK175" s="20" t="s">
        <v>609</v>
      </c>
      <c r="AL175" s="20">
        <v>0</v>
      </c>
      <c r="AM175" s="20">
        <v>0</v>
      </c>
      <c r="AN175" s="20">
        <v>0</v>
      </c>
      <c r="AO175" s="20">
        <v>0</v>
      </c>
      <c r="AP175" s="20">
        <v>0</v>
      </c>
      <c r="AR175" s="20">
        <v>0</v>
      </c>
      <c r="AS175" s="20">
        <v>0</v>
      </c>
      <c r="AT175" s="20">
        <v>441466.74</v>
      </c>
      <c r="AU175" s="20" t="s">
        <v>13</v>
      </c>
      <c r="AV175" s="20" t="s">
        <v>99</v>
      </c>
      <c r="AW175" s="111" t="s">
        <v>100</v>
      </c>
      <c r="AX175" s="20" t="s">
        <v>208</v>
      </c>
      <c r="AY175" s="19" t="s">
        <v>209</v>
      </c>
      <c r="AZ175" s="19">
        <v>0</v>
      </c>
      <c r="BA175" s="19">
        <v>73307.75</v>
      </c>
      <c r="BB175" s="19">
        <v>844</v>
      </c>
      <c r="BC175" s="66" t="s">
        <v>2996</v>
      </c>
      <c r="BD175" s="19" t="s">
        <v>59</v>
      </c>
      <c r="BE175" s="19" t="s">
        <v>210</v>
      </c>
      <c r="BF175" s="19" t="s">
        <v>210</v>
      </c>
      <c r="BG175" s="19">
        <v>2.5</v>
      </c>
      <c r="BH175" s="19">
        <v>1832.69</v>
      </c>
      <c r="BI175" s="19">
        <v>2.5</v>
      </c>
      <c r="BJ175" s="19">
        <v>1832.69</v>
      </c>
      <c r="BK175" s="19">
        <v>0</v>
      </c>
      <c r="BL175" s="19">
        <v>0</v>
      </c>
      <c r="BM175" s="19">
        <v>0</v>
      </c>
      <c r="BN175" s="19">
        <v>662143937126</v>
      </c>
      <c r="BO175" s="66">
        <v>46215</v>
      </c>
      <c r="BP175" s="19">
        <v>0</v>
      </c>
    </row>
    <row r="176" spans="1:68">
      <c r="A176" s="65"/>
      <c r="B176" s="20" t="s">
        <v>2216</v>
      </c>
      <c r="C176" s="111" t="s">
        <v>2996</v>
      </c>
      <c r="D176" s="20" t="s">
        <v>3663</v>
      </c>
      <c r="E176" s="20" t="s">
        <v>854</v>
      </c>
      <c r="F176" s="20" t="s">
        <v>801</v>
      </c>
      <c r="H176" s="20" t="s">
        <v>3664</v>
      </c>
      <c r="I176" s="20">
        <v>170</v>
      </c>
      <c r="J176" s="20">
        <v>170</v>
      </c>
      <c r="K176" s="20" t="s">
        <v>11</v>
      </c>
      <c r="L176" s="20">
        <v>170</v>
      </c>
      <c r="M176" s="20">
        <v>0</v>
      </c>
      <c r="N176" s="20">
        <v>170</v>
      </c>
      <c r="O176" s="20" t="s">
        <v>3662</v>
      </c>
      <c r="P176" s="20" t="s">
        <v>93</v>
      </c>
      <c r="Q176" s="20" t="s">
        <v>93</v>
      </c>
      <c r="R176" s="20" t="s">
        <v>3000</v>
      </c>
      <c r="S176" s="111">
        <v>46363</v>
      </c>
      <c r="T176" s="20" t="s">
        <v>206</v>
      </c>
      <c r="U176" s="20" t="s">
        <v>207</v>
      </c>
      <c r="V176" s="20" t="s">
        <v>2999</v>
      </c>
      <c r="W176" s="20">
        <v>108</v>
      </c>
      <c r="X176" s="20">
        <v>108</v>
      </c>
      <c r="Y176" s="20" t="s">
        <v>3000</v>
      </c>
      <c r="Z176" s="111">
        <v>46363</v>
      </c>
      <c r="AB176" s="20" t="s">
        <v>2376</v>
      </c>
      <c r="AD176" s="20" t="s">
        <v>2376</v>
      </c>
      <c r="AE176" s="20" t="s">
        <v>2376</v>
      </c>
      <c r="AF176" s="20">
        <v>0</v>
      </c>
      <c r="AG176" s="20">
        <v>0</v>
      </c>
      <c r="AH176" s="20">
        <v>0</v>
      </c>
      <c r="AI176" s="20">
        <v>0</v>
      </c>
      <c r="AJ176" s="20">
        <v>0</v>
      </c>
      <c r="AK176" s="20" t="s">
        <v>609</v>
      </c>
      <c r="AL176" s="20">
        <v>0</v>
      </c>
      <c r="AM176" s="20">
        <v>0</v>
      </c>
      <c r="AN176" s="20">
        <v>0</v>
      </c>
      <c r="AO176" s="20">
        <v>0</v>
      </c>
      <c r="AP176" s="20">
        <v>0</v>
      </c>
      <c r="AR176" s="20">
        <v>0</v>
      </c>
      <c r="AS176" s="20">
        <v>0</v>
      </c>
      <c r="AT176" s="20">
        <v>21664.799999999999</v>
      </c>
      <c r="AU176" s="20" t="s">
        <v>8</v>
      </c>
      <c r="AV176" s="20" t="s">
        <v>110</v>
      </c>
      <c r="AW176" s="111" t="s">
        <v>800</v>
      </c>
      <c r="AX176" s="20" t="s">
        <v>208</v>
      </c>
      <c r="AY176" s="19" t="s">
        <v>209</v>
      </c>
      <c r="AZ176" s="19">
        <v>0</v>
      </c>
      <c r="BA176" s="19">
        <v>18360</v>
      </c>
      <c r="BB176" s="19">
        <v>842</v>
      </c>
      <c r="BC176" s="66" t="s">
        <v>2996</v>
      </c>
      <c r="BD176" s="19" t="s">
        <v>59</v>
      </c>
      <c r="BE176" s="19" t="s">
        <v>210</v>
      </c>
      <c r="BF176" s="19" t="s">
        <v>210</v>
      </c>
      <c r="BG176" s="19">
        <v>9</v>
      </c>
      <c r="BH176" s="19">
        <v>1652.4</v>
      </c>
      <c r="BI176" s="19">
        <v>9</v>
      </c>
      <c r="BJ176" s="19">
        <v>1652.4</v>
      </c>
      <c r="BK176" s="19">
        <v>0</v>
      </c>
      <c r="BL176" s="19">
        <v>0</v>
      </c>
      <c r="BM176" s="19">
        <v>21664.799999999999</v>
      </c>
      <c r="BN176" s="19">
        <v>652143935804</v>
      </c>
      <c r="BO176" s="66">
        <v>46215</v>
      </c>
      <c r="BP176" s="19">
        <v>0</v>
      </c>
    </row>
    <row r="177" spans="1:68">
      <c r="A177" s="65"/>
      <c r="B177" s="20" t="s">
        <v>2216</v>
      </c>
      <c r="C177" s="111" t="s">
        <v>2996</v>
      </c>
      <c r="D177" s="20" t="s">
        <v>3665</v>
      </c>
      <c r="E177" s="20" t="s">
        <v>20</v>
      </c>
      <c r="F177" s="20" t="s">
        <v>21</v>
      </c>
      <c r="H177" s="20" t="s">
        <v>3666</v>
      </c>
      <c r="I177" s="20">
        <v>775</v>
      </c>
      <c r="J177" s="20">
        <v>775</v>
      </c>
      <c r="K177" s="20" t="s">
        <v>11</v>
      </c>
      <c r="L177" s="20">
        <v>775</v>
      </c>
      <c r="M177" s="20">
        <v>0</v>
      </c>
      <c r="N177" s="20">
        <v>775</v>
      </c>
      <c r="O177" s="20" t="s">
        <v>3667</v>
      </c>
      <c r="P177" s="20" t="s">
        <v>87</v>
      </c>
      <c r="Q177" s="20" t="s">
        <v>87</v>
      </c>
      <c r="R177" s="20" t="s">
        <v>3006</v>
      </c>
      <c r="S177" s="111" t="s">
        <v>2996</v>
      </c>
      <c r="T177" s="20" t="s">
        <v>206</v>
      </c>
      <c r="U177" s="20" t="s">
        <v>207</v>
      </c>
      <c r="V177" s="20" t="s">
        <v>3005</v>
      </c>
      <c r="W177" s="20">
        <v>151.49</v>
      </c>
      <c r="X177" s="20">
        <v>151.489999704626</v>
      </c>
      <c r="Y177" s="20" t="s">
        <v>3006</v>
      </c>
      <c r="Z177" s="111" t="s">
        <v>2996</v>
      </c>
      <c r="AB177" s="20" t="s">
        <v>2376</v>
      </c>
      <c r="AD177" s="20" t="s">
        <v>2376</v>
      </c>
      <c r="AE177" s="20" t="s">
        <v>2376</v>
      </c>
      <c r="AF177" s="20">
        <v>0</v>
      </c>
      <c r="AG177" s="20">
        <v>0</v>
      </c>
      <c r="AH177" s="20">
        <v>0</v>
      </c>
      <c r="AI177" s="20">
        <v>0</v>
      </c>
      <c r="AJ177" s="20">
        <v>0</v>
      </c>
      <c r="AK177" s="20" t="s">
        <v>609</v>
      </c>
      <c r="AL177" s="20">
        <v>0</v>
      </c>
      <c r="AM177" s="20">
        <v>0</v>
      </c>
      <c r="AN177" s="20">
        <v>0</v>
      </c>
      <c r="AO177" s="20">
        <v>0</v>
      </c>
      <c r="AP177" s="20">
        <v>0</v>
      </c>
      <c r="AR177" s="20">
        <v>0</v>
      </c>
      <c r="AS177" s="20">
        <v>0</v>
      </c>
      <c r="AT177" s="20">
        <v>2051501.33</v>
      </c>
      <c r="AU177" s="20" t="s">
        <v>13</v>
      </c>
      <c r="AV177" s="20" t="s">
        <v>62</v>
      </c>
      <c r="AW177" s="111" t="s">
        <v>76</v>
      </c>
      <c r="AX177" s="20" t="s">
        <v>208</v>
      </c>
      <c r="AY177" s="19" t="s">
        <v>209</v>
      </c>
      <c r="AZ177" s="19">
        <v>0</v>
      </c>
      <c r="BA177" s="19">
        <v>117404.75</v>
      </c>
      <c r="BB177" s="19">
        <v>845</v>
      </c>
      <c r="BC177" s="66" t="s">
        <v>2996</v>
      </c>
      <c r="BD177" s="19" t="s">
        <v>65</v>
      </c>
      <c r="BE177" s="19" t="s">
        <v>210</v>
      </c>
      <c r="BF177" s="19" t="s">
        <v>210</v>
      </c>
      <c r="BG177" s="19">
        <v>9</v>
      </c>
      <c r="BH177" s="19">
        <v>10566.43</v>
      </c>
      <c r="BI177" s="19">
        <v>9</v>
      </c>
      <c r="BJ177" s="19">
        <v>10566.43</v>
      </c>
      <c r="BK177" s="19">
        <v>0</v>
      </c>
      <c r="BL177" s="19">
        <v>0</v>
      </c>
      <c r="BM177" s="19">
        <v>2051501.33</v>
      </c>
      <c r="BN177" s="19">
        <v>682144120648</v>
      </c>
      <c r="BO177" s="66">
        <v>46216</v>
      </c>
      <c r="BP177" s="19">
        <v>0</v>
      </c>
    </row>
    <row r="178" spans="1:68">
      <c r="A178" s="65"/>
      <c r="B178" s="20" t="s">
        <v>2216</v>
      </c>
      <c r="C178" s="111" t="s">
        <v>2996</v>
      </c>
      <c r="D178" s="20" t="s">
        <v>3665</v>
      </c>
      <c r="E178" s="20" t="s">
        <v>20</v>
      </c>
      <c r="F178" s="20" t="s">
        <v>21</v>
      </c>
      <c r="H178" s="20" t="s">
        <v>3666</v>
      </c>
      <c r="I178" s="20">
        <v>246</v>
      </c>
      <c r="J178" s="20">
        <v>246</v>
      </c>
      <c r="K178" s="20" t="s">
        <v>11</v>
      </c>
      <c r="L178" s="20">
        <v>246</v>
      </c>
      <c r="M178" s="20">
        <v>0</v>
      </c>
      <c r="N178" s="20">
        <v>246</v>
      </c>
      <c r="O178" s="20" t="s">
        <v>3667</v>
      </c>
      <c r="P178" s="20" t="s">
        <v>87</v>
      </c>
      <c r="Q178" s="20" t="s">
        <v>87</v>
      </c>
      <c r="R178" s="20" t="s">
        <v>3006</v>
      </c>
      <c r="S178" s="111" t="s">
        <v>2996</v>
      </c>
      <c r="T178" s="20" t="s">
        <v>206</v>
      </c>
      <c r="U178" s="20" t="s">
        <v>207</v>
      </c>
      <c r="V178" s="20" t="s">
        <v>3005</v>
      </c>
      <c r="W178" s="20">
        <v>148.49</v>
      </c>
      <c r="X178" s="20">
        <v>148.48999971047499</v>
      </c>
      <c r="Y178" s="20" t="s">
        <v>3006</v>
      </c>
      <c r="Z178" s="111" t="s">
        <v>2996</v>
      </c>
      <c r="AB178" s="20" t="s">
        <v>2376</v>
      </c>
      <c r="AD178" s="20" t="s">
        <v>2376</v>
      </c>
      <c r="AE178" s="20" t="s">
        <v>2376</v>
      </c>
      <c r="AF178" s="20">
        <v>0</v>
      </c>
      <c r="AG178" s="20">
        <v>0</v>
      </c>
      <c r="AH178" s="20">
        <v>0</v>
      </c>
      <c r="AI178" s="20">
        <v>0</v>
      </c>
      <c r="AJ178" s="20">
        <v>0</v>
      </c>
      <c r="AK178" s="20" t="s">
        <v>609</v>
      </c>
      <c r="AL178" s="20">
        <v>0</v>
      </c>
      <c r="AM178" s="20">
        <v>0</v>
      </c>
      <c r="AN178" s="20">
        <v>0</v>
      </c>
      <c r="AO178" s="20">
        <v>0</v>
      </c>
      <c r="AP178" s="20">
        <v>0</v>
      </c>
      <c r="AR178" s="20">
        <v>0</v>
      </c>
      <c r="AS178" s="20">
        <v>0</v>
      </c>
      <c r="AT178" s="20">
        <v>2051501.33</v>
      </c>
      <c r="AU178" s="20" t="s">
        <v>13</v>
      </c>
      <c r="AV178" s="20" t="s">
        <v>62</v>
      </c>
      <c r="AW178" s="111" t="s">
        <v>76</v>
      </c>
      <c r="AX178" s="20" t="s">
        <v>208</v>
      </c>
      <c r="AY178" s="19" t="s">
        <v>209</v>
      </c>
      <c r="AZ178" s="19">
        <v>0</v>
      </c>
      <c r="BA178" s="19">
        <v>36528.54</v>
      </c>
      <c r="BB178" s="19">
        <v>845</v>
      </c>
      <c r="BC178" s="66" t="s">
        <v>2996</v>
      </c>
      <c r="BD178" s="19" t="s">
        <v>65</v>
      </c>
      <c r="BE178" s="19" t="s">
        <v>210</v>
      </c>
      <c r="BF178" s="19" t="s">
        <v>210</v>
      </c>
      <c r="BG178" s="19">
        <v>9</v>
      </c>
      <c r="BH178" s="19">
        <v>3287.57</v>
      </c>
      <c r="BI178" s="19">
        <v>9</v>
      </c>
      <c r="BJ178" s="19">
        <v>3287.57</v>
      </c>
      <c r="BK178" s="19">
        <v>0</v>
      </c>
      <c r="BL178" s="19">
        <v>0</v>
      </c>
      <c r="BM178" s="19">
        <v>0</v>
      </c>
      <c r="BN178" s="19">
        <v>682144120648</v>
      </c>
      <c r="BO178" s="66">
        <v>46216</v>
      </c>
      <c r="BP178" s="19">
        <v>0</v>
      </c>
    </row>
    <row r="179" spans="1:68">
      <c r="A179" s="65"/>
      <c r="B179" s="20" t="s">
        <v>2216</v>
      </c>
      <c r="C179" s="111" t="s">
        <v>2996</v>
      </c>
      <c r="D179" s="20" t="s">
        <v>3665</v>
      </c>
      <c r="E179" s="20" t="s">
        <v>18</v>
      </c>
      <c r="F179" s="20" t="s">
        <v>19</v>
      </c>
      <c r="H179" s="20" t="s">
        <v>3666</v>
      </c>
      <c r="I179" s="20">
        <v>2404</v>
      </c>
      <c r="J179" s="20">
        <v>2404</v>
      </c>
      <c r="K179" s="20" t="s">
        <v>11</v>
      </c>
      <c r="L179" s="20">
        <v>2404</v>
      </c>
      <c r="M179" s="20">
        <v>0</v>
      </c>
      <c r="N179" s="20">
        <v>2404</v>
      </c>
      <c r="O179" s="20" t="s">
        <v>3667</v>
      </c>
      <c r="P179" s="20" t="s">
        <v>87</v>
      </c>
      <c r="Q179" s="20" t="s">
        <v>87</v>
      </c>
      <c r="R179" s="20" t="s">
        <v>3006</v>
      </c>
      <c r="S179" s="111" t="s">
        <v>2996</v>
      </c>
      <c r="T179" s="20" t="s">
        <v>206</v>
      </c>
      <c r="U179" s="20" t="s">
        <v>207</v>
      </c>
      <c r="V179" s="20" t="s">
        <v>3005</v>
      </c>
      <c r="W179" s="20">
        <v>146.49</v>
      </c>
      <c r="X179" s="20">
        <v>146.48999971437499</v>
      </c>
      <c r="Y179" s="20" t="s">
        <v>3006</v>
      </c>
      <c r="Z179" s="111" t="s">
        <v>2996</v>
      </c>
      <c r="AB179" s="20" t="s">
        <v>2376</v>
      </c>
      <c r="AD179" s="20" t="s">
        <v>2376</v>
      </c>
      <c r="AE179" s="20" t="s">
        <v>2376</v>
      </c>
      <c r="AF179" s="20">
        <v>0</v>
      </c>
      <c r="AG179" s="20">
        <v>0</v>
      </c>
      <c r="AH179" s="20">
        <v>0</v>
      </c>
      <c r="AI179" s="20">
        <v>0</v>
      </c>
      <c r="AJ179" s="20">
        <v>0</v>
      </c>
      <c r="AK179" s="20" t="s">
        <v>609</v>
      </c>
      <c r="AL179" s="20">
        <v>0</v>
      </c>
      <c r="AM179" s="20">
        <v>0</v>
      </c>
      <c r="AN179" s="20">
        <v>0</v>
      </c>
      <c r="AO179" s="20">
        <v>0</v>
      </c>
      <c r="AP179" s="20">
        <v>0</v>
      </c>
      <c r="AR179" s="20">
        <v>0</v>
      </c>
      <c r="AS179" s="20">
        <v>0</v>
      </c>
      <c r="AT179" s="20">
        <v>2051501.33</v>
      </c>
      <c r="AU179" s="20" t="s">
        <v>13</v>
      </c>
      <c r="AV179" s="20" t="s">
        <v>62</v>
      </c>
      <c r="AW179" s="111" t="s">
        <v>63</v>
      </c>
      <c r="AX179" s="20" t="s">
        <v>208</v>
      </c>
      <c r="AY179" s="19" t="s">
        <v>209</v>
      </c>
      <c r="AZ179" s="19">
        <v>0</v>
      </c>
      <c r="BA179" s="19">
        <v>352161.96</v>
      </c>
      <c r="BB179" s="19">
        <v>845</v>
      </c>
      <c r="BC179" s="66" t="s">
        <v>2996</v>
      </c>
      <c r="BD179" s="19" t="s">
        <v>65</v>
      </c>
      <c r="BE179" s="19" t="s">
        <v>210</v>
      </c>
      <c r="BF179" s="19" t="s">
        <v>210</v>
      </c>
      <c r="BG179" s="19">
        <v>9</v>
      </c>
      <c r="BH179" s="19">
        <v>31694.58</v>
      </c>
      <c r="BI179" s="19">
        <v>9</v>
      </c>
      <c r="BJ179" s="19">
        <v>31694.58</v>
      </c>
      <c r="BK179" s="19">
        <v>0</v>
      </c>
      <c r="BL179" s="19">
        <v>0</v>
      </c>
      <c r="BM179" s="19">
        <v>0</v>
      </c>
      <c r="BN179" s="19">
        <v>682144120648</v>
      </c>
      <c r="BO179" s="66">
        <v>46216</v>
      </c>
      <c r="BP179" s="19">
        <v>0</v>
      </c>
    </row>
    <row r="180" spans="1:68">
      <c r="A180" s="65"/>
      <c r="B180" s="20" t="s">
        <v>2216</v>
      </c>
      <c r="C180" s="111" t="s">
        <v>2996</v>
      </c>
      <c r="D180" s="20" t="s">
        <v>3665</v>
      </c>
      <c r="E180" s="20" t="s">
        <v>18</v>
      </c>
      <c r="F180" s="20" t="s">
        <v>19</v>
      </c>
      <c r="H180" s="20" t="s">
        <v>3666</v>
      </c>
      <c r="I180" s="20">
        <v>242</v>
      </c>
      <c r="J180" s="20">
        <v>242</v>
      </c>
      <c r="K180" s="20" t="s">
        <v>11</v>
      </c>
      <c r="L180" s="20">
        <v>242</v>
      </c>
      <c r="M180" s="20">
        <v>0</v>
      </c>
      <c r="N180" s="20">
        <v>242</v>
      </c>
      <c r="O180" s="20" t="s">
        <v>3667</v>
      </c>
      <c r="P180" s="20" t="s">
        <v>87</v>
      </c>
      <c r="Q180" s="20" t="s">
        <v>87</v>
      </c>
      <c r="R180" s="20" t="s">
        <v>3006</v>
      </c>
      <c r="S180" s="111" t="s">
        <v>2996</v>
      </c>
      <c r="T180" s="20" t="s">
        <v>206</v>
      </c>
      <c r="U180" s="20" t="s">
        <v>207</v>
      </c>
      <c r="V180" s="20" t="s">
        <v>3005</v>
      </c>
      <c r="W180" s="20">
        <v>147.49</v>
      </c>
      <c r="X180" s="20">
        <v>147.489999712425</v>
      </c>
      <c r="Y180" s="20" t="s">
        <v>3006</v>
      </c>
      <c r="Z180" s="111" t="s">
        <v>2996</v>
      </c>
      <c r="AB180" s="20" t="s">
        <v>2376</v>
      </c>
      <c r="AD180" s="20" t="s">
        <v>2376</v>
      </c>
      <c r="AE180" s="20" t="s">
        <v>2376</v>
      </c>
      <c r="AF180" s="20">
        <v>0</v>
      </c>
      <c r="AG180" s="20">
        <v>0</v>
      </c>
      <c r="AH180" s="20">
        <v>0</v>
      </c>
      <c r="AI180" s="20">
        <v>0</v>
      </c>
      <c r="AJ180" s="20">
        <v>0</v>
      </c>
      <c r="AK180" s="20" t="s">
        <v>609</v>
      </c>
      <c r="AL180" s="20">
        <v>0</v>
      </c>
      <c r="AM180" s="20">
        <v>0</v>
      </c>
      <c r="AN180" s="20">
        <v>0</v>
      </c>
      <c r="AO180" s="20">
        <v>0</v>
      </c>
      <c r="AP180" s="20">
        <v>0</v>
      </c>
      <c r="AR180" s="20">
        <v>0</v>
      </c>
      <c r="AS180" s="20">
        <v>0</v>
      </c>
      <c r="AT180" s="20">
        <v>2051501.33</v>
      </c>
      <c r="AU180" s="20" t="s">
        <v>13</v>
      </c>
      <c r="AV180" s="20" t="s">
        <v>62</v>
      </c>
      <c r="AW180" s="111" t="s">
        <v>63</v>
      </c>
      <c r="AX180" s="20" t="s">
        <v>208</v>
      </c>
      <c r="AY180" s="19" t="s">
        <v>209</v>
      </c>
      <c r="AZ180" s="19">
        <v>0</v>
      </c>
      <c r="BA180" s="19">
        <v>35692.58</v>
      </c>
      <c r="BB180" s="19">
        <v>845</v>
      </c>
      <c r="BC180" s="66" t="s">
        <v>2996</v>
      </c>
      <c r="BD180" s="19" t="s">
        <v>65</v>
      </c>
      <c r="BE180" s="19" t="s">
        <v>210</v>
      </c>
      <c r="BF180" s="19" t="s">
        <v>210</v>
      </c>
      <c r="BG180" s="19">
        <v>9</v>
      </c>
      <c r="BH180" s="19">
        <v>3212.33</v>
      </c>
      <c r="BI180" s="19">
        <v>9</v>
      </c>
      <c r="BJ180" s="19">
        <v>3212.33</v>
      </c>
      <c r="BK180" s="19">
        <v>0</v>
      </c>
      <c r="BL180" s="19">
        <v>0</v>
      </c>
      <c r="BM180" s="19">
        <v>0</v>
      </c>
      <c r="BN180" s="19">
        <v>682144120648</v>
      </c>
      <c r="BO180" s="66">
        <v>46216</v>
      </c>
      <c r="BP180" s="19">
        <v>0</v>
      </c>
    </row>
    <row r="181" spans="1:68">
      <c r="A181" s="65"/>
      <c r="B181" s="20" t="s">
        <v>2216</v>
      </c>
      <c r="C181" s="111" t="s">
        <v>2996</v>
      </c>
      <c r="D181" s="20" t="s">
        <v>3665</v>
      </c>
      <c r="E181" s="20" t="s">
        <v>18</v>
      </c>
      <c r="F181" s="20" t="s">
        <v>19</v>
      </c>
      <c r="H181" s="20" t="s">
        <v>3666</v>
      </c>
      <c r="I181" s="20">
        <v>5911</v>
      </c>
      <c r="J181" s="20">
        <v>5911</v>
      </c>
      <c r="K181" s="20" t="s">
        <v>11</v>
      </c>
      <c r="L181" s="20">
        <v>5911</v>
      </c>
      <c r="M181" s="20">
        <v>0</v>
      </c>
      <c r="N181" s="20">
        <v>5911</v>
      </c>
      <c r="O181" s="20" t="s">
        <v>3667</v>
      </c>
      <c r="P181" s="20" t="s">
        <v>87</v>
      </c>
      <c r="Q181" s="20" t="s">
        <v>87</v>
      </c>
      <c r="R181" s="20" t="s">
        <v>3006</v>
      </c>
      <c r="S181" s="111" t="s">
        <v>2996</v>
      </c>
      <c r="T181" s="20" t="s">
        <v>206</v>
      </c>
      <c r="U181" s="20" t="s">
        <v>207</v>
      </c>
      <c r="V181" s="20" t="s">
        <v>3005</v>
      </c>
      <c r="W181" s="20">
        <v>144.49</v>
      </c>
      <c r="X181" s="20">
        <v>144.48999971827499</v>
      </c>
      <c r="Y181" s="20" t="s">
        <v>3006</v>
      </c>
      <c r="Z181" s="111" t="s">
        <v>2996</v>
      </c>
      <c r="AB181" s="20" t="s">
        <v>2376</v>
      </c>
      <c r="AD181" s="20" t="s">
        <v>2376</v>
      </c>
      <c r="AE181" s="20" t="s">
        <v>2376</v>
      </c>
      <c r="AF181" s="20">
        <v>0</v>
      </c>
      <c r="AG181" s="20">
        <v>0</v>
      </c>
      <c r="AH181" s="20">
        <v>0</v>
      </c>
      <c r="AI181" s="20">
        <v>0</v>
      </c>
      <c r="AJ181" s="20">
        <v>0</v>
      </c>
      <c r="AK181" s="20" t="s">
        <v>609</v>
      </c>
      <c r="AL181" s="20">
        <v>0</v>
      </c>
      <c r="AM181" s="20">
        <v>0</v>
      </c>
      <c r="AN181" s="20">
        <v>0</v>
      </c>
      <c r="AO181" s="20">
        <v>0</v>
      </c>
      <c r="AP181" s="20">
        <v>0</v>
      </c>
      <c r="AR181" s="20">
        <v>0</v>
      </c>
      <c r="AS181" s="20">
        <v>0</v>
      </c>
      <c r="AT181" s="20">
        <v>2051501.33</v>
      </c>
      <c r="AU181" s="20" t="s">
        <v>13</v>
      </c>
      <c r="AV181" s="20" t="s">
        <v>62</v>
      </c>
      <c r="AW181" s="111" t="s">
        <v>63</v>
      </c>
      <c r="AX181" s="20" t="s">
        <v>208</v>
      </c>
      <c r="AY181" s="19" t="s">
        <v>209</v>
      </c>
      <c r="AZ181" s="19">
        <v>0</v>
      </c>
      <c r="BA181" s="19">
        <v>854080.39</v>
      </c>
      <c r="BB181" s="19">
        <v>845</v>
      </c>
      <c r="BC181" s="66" t="s">
        <v>2996</v>
      </c>
      <c r="BD181" s="19" t="s">
        <v>65</v>
      </c>
      <c r="BE181" s="19" t="s">
        <v>210</v>
      </c>
      <c r="BF181" s="19" t="s">
        <v>210</v>
      </c>
      <c r="BG181" s="19">
        <v>9</v>
      </c>
      <c r="BH181" s="19">
        <v>76867.240000000005</v>
      </c>
      <c r="BI181" s="19">
        <v>9</v>
      </c>
      <c r="BJ181" s="19">
        <v>76867.240000000005</v>
      </c>
      <c r="BK181" s="19">
        <v>0</v>
      </c>
      <c r="BL181" s="19">
        <v>0</v>
      </c>
      <c r="BM181" s="19">
        <v>0</v>
      </c>
      <c r="BN181" s="19">
        <v>682144120648</v>
      </c>
      <c r="BO181" s="66">
        <v>46216</v>
      </c>
      <c r="BP181" s="19">
        <v>0</v>
      </c>
    </row>
    <row r="182" spans="1:68">
      <c r="A182" s="65"/>
      <c r="B182" s="20" t="s">
        <v>2216</v>
      </c>
      <c r="C182" s="111" t="s">
        <v>2996</v>
      </c>
      <c r="D182" s="20" t="s">
        <v>3665</v>
      </c>
      <c r="E182" s="20" t="s">
        <v>23</v>
      </c>
      <c r="F182" s="20" t="s">
        <v>24</v>
      </c>
      <c r="H182" s="20" t="s">
        <v>3666</v>
      </c>
      <c r="I182" s="20">
        <v>1501.8</v>
      </c>
      <c r="J182" s="20">
        <v>1501.8</v>
      </c>
      <c r="K182" s="20" t="s">
        <v>11</v>
      </c>
      <c r="L182" s="20">
        <v>1501.8</v>
      </c>
      <c r="M182" s="20">
        <v>0</v>
      </c>
      <c r="N182" s="20">
        <v>1501.8</v>
      </c>
      <c r="O182" s="20" t="s">
        <v>3667</v>
      </c>
      <c r="P182" s="20" t="s">
        <v>87</v>
      </c>
      <c r="Q182" s="20" t="s">
        <v>87</v>
      </c>
      <c r="R182" s="20" t="s">
        <v>3006</v>
      </c>
      <c r="S182" s="111" t="s">
        <v>2996</v>
      </c>
      <c r="T182" s="20" t="s">
        <v>206</v>
      </c>
      <c r="U182" s="20" t="s">
        <v>207</v>
      </c>
      <c r="V182" s="20" t="s">
        <v>3005</v>
      </c>
      <c r="W182" s="20">
        <v>149.49</v>
      </c>
      <c r="X182" s="20">
        <v>149.489999708526</v>
      </c>
      <c r="Y182" s="20" t="s">
        <v>3006</v>
      </c>
      <c r="Z182" s="111" t="s">
        <v>2996</v>
      </c>
      <c r="AB182" s="20" t="s">
        <v>2376</v>
      </c>
      <c r="AD182" s="20" t="s">
        <v>2376</v>
      </c>
      <c r="AE182" s="20" t="s">
        <v>2376</v>
      </c>
      <c r="AF182" s="20">
        <v>0</v>
      </c>
      <c r="AG182" s="20">
        <v>0</v>
      </c>
      <c r="AH182" s="20">
        <v>0</v>
      </c>
      <c r="AI182" s="20">
        <v>0</v>
      </c>
      <c r="AJ182" s="20">
        <v>0</v>
      </c>
      <c r="AK182" s="20" t="s">
        <v>609</v>
      </c>
      <c r="AL182" s="20">
        <v>0</v>
      </c>
      <c r="AM182" s="20">
        <v>0</v>
      </c>
      <c r="AN182" s="20">
        <v>0</v>
      </c>
      <c r="AO182" s="20">
        <v>0</v>
      </c>
      <c r="AP182" s="20">
        <v>0</v>
      </c>
      <c r="AR182" s="20">
        <v>0</v>
      </c>
      <c r="AS182" s="20">
        <v>0</v>
      </c>
      <c r="AT182" s="20">
        <v>2051501.33</v>
      </c>
      <c r="AU182" s="20" t="s">
        <v>13</v>
      </c>
      <c r="AV182" s="20" t="s">
        <v>24</v>
      </c>
      <c r="AW182" s="111" t="s">
        <v>79</v>
      </c>
      <c r="AX182" s="20" t="s">
        <v>208</v>
      </c>
      <c r="AY182" s="19" t="s">
        <v>209</v>
      </c>
      <c r="AZ182" s="19">
        <v>0</v>
      </c>
      <c r="BA182" s="19">
        <v>224504.08</v>
      </c>
      <c r="BB182" s="19">
        <v>845</v>
      </c>
      <c r="BC182" s="66" t="s">
        <v>2996</v>
      </c>
      <c r="BD182" s="19" t="s">
        <v>65</v>
      </c>
      <c r="BE182" s="19" t="s">
        <v>210</v>
      </c>
      <c r="BF182" s="19" t="s">
        <v>210</v>
      </c>
      <c r="BG182" s="19">
        <v>9</v>
      </c>
      <c r="BH182" s="19">
        <v>20205.37</v>
      </c>
      <c r="BI182" s="19">
        <v>9</v>
      </c>
      <c r="BJ182" s="19">
        <v>20205.37</v>
      </c>
      <c r="BK182" s="19">
        <v>0</v>
      </c>
      <c r="BL182" s="19">
        <v>0</v>
      </c>
      <c r="BM182" s="19">
        <v>0</v>
      </c>
      <c r="BN182" s="19">
        <v>682144120648</v>
      </c>
      <c r="BO182" s="66">
        <v>46216</v>
      </c>
      <c r="BP182" s="19">
        <v>0</v>
      </c>
    </row>
    <row r="183" spans="1:68">
      <c r="A183" s="65"/>
      <c r="B183" s="20" t="s">
        <v>2216</v>
      </c>
      <c r="C183" s="111" t="s">
        <v>2996</v>
      </c>
      <c r="D183" s="20" t="s">
        <v>3665</v>
      </c>
      <c r="E183" s="20" t="s">
        <v>23</v>
      </c>
      <c r="F183" s="20" t="s">
        <v>24</v>
      </c>
      <c r="H183" s="20" t="s">
        <v>3666</v>
      </c>
      <c r="I183" s="20">
        <v>806.8</v>
      </c>
      <c r="J183" s="20">
        <v>806.8</v>
      </c>
      <c r="K183" s="20" t="s">
        <v>11</v>
      </c>
      <c r="L183" s="20">
        <v>806.8</v>
      </c>
      <c r="M183" s="20">
        <v>0</v>
      </c>
      <c r="N183" s="20">
        <v>806.8</v>
      </c>
      <c r="O183" s="20" t="s">
        <v>3667</v>
      </c>
      <c r="P183" s="20" t="s">
        <v>87</v>
      </c>
      <c r="Q183" s="20" t="s">
        <v>87</v>
      </c>
      <c r="R183" s="20" t="s">
        <v>3006</v>
      </c>
      <c r="S183" s="111" t="s">
        <v>2996</v>
      </c>
      <c r="T183" s="20" t="s">
        <v>206</v>
      </c>
      <c r="U183" s="20" t="s">
        <v>207</v>
      </c>
      <c r="V183" s="20" t="s">
        <v>3005</v>
      </c>
      <c r="W183" s="20">
        <v>146.49</v>
      </c>
      <c r="X183" s="20">
        <v>146.48999971437499</v>
      </c>
      <c r="Y183" s="20" t="s">
        <v>3006</v>
      </c>
      <c r="Z183" s="111" t="s">
        <v>2996</v>
      </c>
      <c r="AB183" s="20" t="s">
        <v>2376</v>
      </c>
      <c r="AD183" s="20" t="s">
        <v>2376</v>
      </c>
      <c r="AE183" s="20" t="s">
        <v>2376</v>
      </c>
      <c r="AF183" s="20">
        <v>0</v>
      </c>
      <c r="AG183" s="20">
        <v>0</v>
      </c>
      <c r="AH183" s="20">
        <v>0</v>
      </c>
      <c r="AI183" s="20">
        <v>0</v>
      </c>
      <c r="AJ183" s="20">
        <v>0</v>
      </c>
      <c r="AK183" s="20" t="s">
        <v>609</v>
      </c>
      <c r="AL183" s="20">
        <v>0</v>
      </c>
      <c r="AM183" s="20">
        <v>0</v>
      </c>
      <c r="AN183" s="20">
        <v>0</v>
      </c>
      <c r="AO183" s="20">
        <v>0</v>
      </c>
      <c r="AP183" s="20">
        <v>0</v>
      </c>
      <c r="AR183" s="20">
        <v>0</v>
      </c>
      <c r="AS183" s="20">
        <v>0</v>
      </c>
      <c r="AT183" s="20">
        <v>2051501.33</v>
      </c>
      <c r="AU183" s="20" t="s">
        <v>13</v>
      </c>
      <c r="AV183" s="20" t="s">
        <v>24</v>
      </c>
      <c r="AW183" s="111" t="s">
        <v>79</v>
      </c>
      <c r="AX183" s="20" t="s">
        <v>208</v>
      </c>
      <c r="AY183" s="19" t="s">
        <v>209</v>
      </c>
      <c r="AZ183" s="19">
        <v>0</v>
      </c>
      <c r="BA183" s="19">
        <v>118188.13</v>
      </c>
      <c r="BB183" s="19">
        <v>845</v>
      </c>
      <c r="BC183" s="66" t="s">
        <v>2996</v>
      </c>
      <c r="BD183" s="19" t="s">
        <v>65</v>
      </c>
      <c r="BE183" s="19" t="s">
        <v>210</v>
      </c>
      <c r="BF183" s="19" t="s">
        <v>210</v>
      </c>
      <c r="BG183" s="19">
        <v>9</v>
      </c>
      <c r="BH183" s="19">
        <v>10636.93</v>
      </c>
      <c r="BI183" s="19">
        <v>9</v>
      </c>
      <c r="BJ183" s="19">
        <v>10636.93</v>
      </c>
      <c r="BK183" s="19">
        <v>0</v>
      </c>
      <c r="BL183" s="19">
        <v>0</v>
      </c>
      <c r="BM183" s="19">
        <v>0</v>
      </c>
      <c r="BN183" s="19">
        <v>682144120648</v>
      </c>
      <c r="BO183" s="66">
        <v>46216</v>
      </c>
      <c r="BP183" s="19">
        <v>0</v>
      </c>
    </row>
    <row r="184" spans="1:68">
      <c r="A184" s="65"/>
      <c r="B184" s="20" t="s">
        <v>2216</v>
      </c>
      <c r="C184" s="111" t="s">
        <v>2996</v>
      </c>
      <c r="D184" s="20" t="s">
        <v>3668</v>
      </c>
      <c r="E184" s="20" t="s">
        <v>854</v>
      </c>
      <c r="F184" s="20" t="s">
        <v>801</v>
      </c>
      <c r="H184" s="20" t="s">
        <v>3669</v>
      </c>
      <c r="I184" s="20">
        <v>170</v>
      </c>
      <c r="J184" s="20">
        <v>170</v>
      </c>
      <c r="K184" s="20" t="s">
        <v>11</v>
      </c>
      <c r="L184" s="20">
        <v>170</v>
      </c>
      <c r="M184" s="20">
        <v>0</v>
      </c>
      <c r="N184" s="20">
        <v>170</v>
      </c>
      <c r="O184" s="20" t="s">
        <v>3670</v>
      </c>
      <c r="P184" s="20" t="s">
        <v>94</v>
      </c>
      <c r="Q184" s="20" t="s">
        <v>94</v>
      </c>
      <c r="R184" s="20" t="s">
        <v>3012</v>
      </c>
      <c r="S184" s="111" t="s">
        <v>2996</v>
      </c>
      <c r="T184" s="20" t="s">
        <v>206</v>
      </c>
      <c r="U184" s="20" t="s">
        <v>207</v>
      </c>
      <c r="V184" s="20" t="s">
        <v>3011</v>
      </c>
      <c r="W184" s="20">
        <v>282</v>
      </c>
      <c r="X184" s="20">
        <v>282</v>
      </c>
      <c r="Y184" s="20" t="s">
        <v>3012</v>
      </c>
      <c r="Z184" s="111" t="s">
        <v>2996</v>
      </c>
      <c r="AB184" s="20" t="s">
        <v>2376</v>
      </c>
      <c r="AD184" s="20" t="s">
        <v>2376</v>
      </c>
      <c r="AE184" s="20" t="s">
        <v>2376</v>
      </c>
      <c r="AF184" s="20">
        <v>0</v>
      </c>
      <c r="AG184" s="20">
        <v>0</v>
      </c>
      <c r="AH184" s="20">
        <v>0</v>
      </c>
      <c r="AI184" s="20">
        <v>0</v>
      </c>
      <c r="AJ184" s="20">
        <v>0</v>
      </c>
      <c r="AK184" s="20" t="s">
        <v>609</v>
      </c>
      <c r="AL184" s="20">
        <v>0</v>
      </c>
      <c r="AM184" s="20">
        <v>0</v>
      </c>
      <c r="AN184" s="20">
        <v>0</v>
      </c>
      <c r="AO184" s="20">
        <v>0</v>
      </c>
      <c r="AP184" s="20">
        <v>0</v>
      </c>
      <c r="AR184" s="20">
        <v>0</v>
      </c>
      <c r="AS184" s="20">
        <v>0</v>
      </c>
      <c r="AT184" s="20">
        <v>56569.2</v>
      </c>
      <c r="AU184" s="20" t="s">
        <v>8</v>
      </c>
      <c r="AV184" s="20" t="s">
        <v>110</v>
      </c>
      <c r="AW184" s="111" t="s">
        <v>800</v>
      </c>
      <c r="AX184" s="20" t="s">
        <v>208</v>
      </c>
      <c r="AY184" s="19" t="s">
        <v>209</v>
      </c>
      <c r="AZ184" s="19">
        <v>0</v>
      </c>
      <c r="BA184" s="19">
        <v>47940</v>
      </c>
      <c r="BB184" s="19">
        <v>858</v>
      </c>
      <c r="BC184" s="66" t="s">
        <v>3013</v>
      </c>
      <c r="BD184" s="19" t="s">
        <v>74</v>
      </c>
      <c r="BE184" s="19" t="s">
        <v>210</v>
      </c>
      <c r="BF184" s="19" t="s">
        <v>210</v>
      </c>
      <c r="BG184" s="19">
        <v>9</v>
      </c>
      <c r="BH184" s="19">
        <v>4314.6000000000004</v>
      </c>
      <c r="BI184" s="19">
        <v>9</v>
      </c>
      <c r="BJ184" s="19">
        <v>4314.6000000000004</v>
      </c>
      <c r="BK184" s="19">
        <v>0</v>
      </c>
      <c r="BL184" s="19">
        <v>0</v>
      </c>
      <c r="BM184" s="19">
        <v>56569.2</v>
      </c>
      <c r="BN184" s="19">
        <v>602144116250</v>
      </c>
      <c r="BO184" s="66">
        <v>46216</v>
      </c>
      <c r="BP184" s="19">
        <v>0</v>
      </c>
    </row>
    <row r="185" spans="1:68">
      <c r="A185" s="65"/>
      <c r="B185" s="20" t="s">
        <v>2216</v>
      </c>
      <c r="C185" s="111" t="s">
        <v>3013</v>
      </c>
      <c r="D185" s="20" t="s">
        <v>3671</v>
      </c>
      <c r="E185" s="20" t="s">
        <v>18</v>
      </c>
      <c r="F185" s="20" t="s">
        <v>19</v>
      </c>
      <c r="H185" s="20" t="s">
        <v>3672</v>
      </c>
      <c r="I185" s="20">
        <v>1071.5</v>
      </c>
      <c r="J185" s="20">
        <v>1071.5</v>
      </c>
      <c r="K185" s="20" t="s">
        <v>11</v>
      </c>
      <c r="L185" s="20">
        <v>1071.5</v>
      </c>
      <c r="M185" s="20">
        <v>0</v>
      </c>
      <c r="N185" s="20">
        <v>1071.5</v>
      </c>
      <c r="O185" s="20" t="s">
        <v>3673</v>
      </c>
      <c r="P185" s="20" t="s">
        <v>94</v>
      </c>
      <c r="Q185" s="20" t="s">
        <v>94</v>
      </c>
      <c r="R185" s="20" t="s">
        <v>3029</v>
      </c>
      <c r="S185" s="111" t="s">
        <v>3013</v>
      </c>
      <c r="T185" s="20" t="s">
        <v>206</v>
      </c>
      <c r="U185" s="20" t="s">
        <v>207</v>
      </c>
      <c r="V185" s="20" t="s">
        <v>3028</v>
      </c>
      <c r="W185" s="20">
        <v>154.74</v>
      </c>
      <c r="X185" s="20">
        <v>154.74</v>
      </c>
      <c r="Y185" s="20" t="s">
        <v>3029</v>
      </c>
      <c r="Z185" s="111" t="s">
        <v>3013</v>
      </c>
      <c r="AB185" s="20" t="s">
        <v>2376</v>
      </c>
      <c r="AD185" s="20" t="s">
        <v>2376</v>
      </c>
      <c r="AE185" s="20" t="s">
        <v>2376</v>
      </c>
      <c r="AF185" s="20">
        <v>0</v>
      </c>
      <c r="AG185" s="20">
        <v>0</v>
      </c>
      <c r="AH185" s="20">
        <v>0</v>
      </c>
      <c r="AI185" s="20">
        <v>0</v>
      </c>
      <c r="AJ185" s="20">
        <v>0</v>
      </c>
      <c r="AK185" s="20" t="s">
        <v>609</v>
      </c>
      <c r="AL185" s="20">
        <v>0</v>
      </c>
      <c r="AM185" s="20">
        <v>0</v>
      </c>
      <c r="AN185" s="20">
        <v>0</v>
      </c>
      <c r="AO185" s="20">
        <v>0</v>
      </c>
      <c r="AP185" s="20">
        <v>0</v>
      </c>
      <c r="AR185" s="20">
        <v>0</v>
      </c>
      <c r="AS185" s="20">
        <v>0</v>
      </c>
      <c r="AT185" s="20">
        <v>207082.81</v>
      </c>
      <c r="AU185" s="20" t="s">
        <v>13</v>
      </c>
      <c r="AV185" s="20" t="s">
        <v>62</v>
      </c>
      <c r="AW185" s="111" t="s">
        <v>63</v>
      </c>
      <c r="AX185" s="20" t="s">
        <v>208</v>
      </c>
      <c r="AY185" s="19" t="s">
        <v>209</v>
      </c>
      <c r="AZ185" s="19">
        <v>0</v>
      </c>
      <c r="BA185" s="19">
        <v>165803.91</v>
      </c>
      <c r="BB185" s="19">
        <v>855</v>
      </c>
      <c r="BC185" s="66" t="s">
        <v>3013</v>
      </c>
      <c r="BD185" s="19" t="s">
        <v>74</v>
      </c>
      <c r="BE185" s="19" t="s">
        <v>210</v>
      </c>
      <c r="BF185" s="19" t="s">
        <v>210</v>
      </c>
      <c r="BG185" s="19">
        <v>9</v>
      </c>
      <c r="BH185" s="19">
        <v>14922.35</v>
      </c>
      <c r="BI185" s="19">
        <v>9</v>
      </c>
      <c r="BJ185" s="19">
        <v>14922.35</v>
      </c>
      <c r="BK185" s="19">
        <v>0</v>
      </c>
      <c r="BL185" s="19">
        <v>0</v>
      </c>
      <c r="BM185" s="19">
        <v>207082.81</v>
      </c>
      <c r="BN185" s="19">
        <v>602144757819</v>
      </c>
      <c r="BO185" s="66">
        <v>46217</v>
      </c>
      <c r="BP185" s="19">
        <v>0</v>
      </c>
    </row>
    <row r="186" spans="1:68">
      <c r="A186" s="65"/>
      <c r="B186" s="20" t="s">
        <v>2216</v>
      </c>
      <c r="C186" s="111" t="s">
        <v>3013</v>
      </c>
      <c r="D186" s="20" t="s">
        <v>3671</v>
      </c>
      <c r="E186" s="20" t="s">
        <v>214</v>
      </c>
      <c r="F186" s="20" t="s">
        <v>12</v>
      </c>
      <c r="H186" s="20" t="s">
        <v>3672</v>
      </c>
      <c r="I186" s="20">
        <v>38</v>
      </c>
      <c r="J186" s="20">
        <v>38</v>
      </c>
      <c r="K186" s="20" t="s">
        <v>11</v>
      </c>
      <c r="L186" s="20">
        <v>38</v>
      </c>
      <c r="M186" s="20">
        <v>0</v>
      </c>
      <c r="N186" s="20">
        <v>38</v>
      </c>
      <c r="O186" s="20" t="s">
        <v>3673</v>
      </c>
      <c r="P186" s="20" t="s">
        <v>94</v>
      </c>
      <c r="Q186" s="20" t="s">
        <v>94</v>
      </c>
      <c r="R186" s="20" t="s">
        <v>3029</v>
      </c>
      <c r="S186" s="111" t="s">
        <v>3013</v>
      </c>
      <c r="T186" s="20" t="s">
        <v>206</v>
      </c>
      <c r="U186" s="20" t="s">
        <v>207</v>
      </c>
      <c r="V186" s="20" t="s">
        <v>3028</v>
      </c>
      <c r="W186" s="20">
        <v>255</v>
      </c>
      <c r="X186" s="20">
        <v>255</v>
      </c>
      <c r="Y186" s="20" t="s">
        <v>3029</v>
      </c>
      <c r="Z186" s="111" t="s">
        <v>3013</v>
      </c>
      <c r="AB186" s="20" t="s">
        <v>2376</v>
      </c>
      <c r="AD186" s="20" t="s">
        <v>2376</v>
      </c>
      <c r="AE186" s="20" t="s">
        <v>2376</v>
      </c>
      <c r="AF186" s="20">
        <v>0</v>
      </c>
      <c r="AG186" s="20">
        <v>0</v>
      </c>
      <c r="AH186" s="20">
        <v>0</v>
      </c>
      <c r="AI186" s="20">
        <v>0</v>
      </c>
      <c r="AJ186" s="20">
        <v>0</v>
      </c>
      <c r="AK186" s="20" t="s">
        <v>609</v>
      </c>
      <c r="AL186" s="20">
        <v>0</v>
      </c>
      <c r="AM186" s="20">
        <v>0</v>
      </c>
      <c r="AN186" s="20">
        <v>0</v>
      </c>
      <c r="AO186" s="20">
        <v>0</v>
      </c>
      <c r="AP186" s="20">
        <v>0</v>
      </c>
      <c r="AR186" s="20">
        <v>0</v>
      </c>
      <c r="AS186" s="20">
        <v>0</v>
      </c>
      <c r="AT186" s="20">
        <v>207082.81</v>
      </c>
      <c r="AU186" s="20" t="s">
        <v>13</v>
      </c>
      <c r="AV186" s="20" t="s">
        <v>2198</v>
      </c>
      <c r="AW186" s="111" t="s">
        <v>123</v>
      </c>
      <c r="AX186" s="20" t="s">
        <v>208</v>
      </c>
      <c r="AY186" s="19" t="s">
        <v>209</v>
      </c>
      <c r="AZ186" s="19">
        <v>0</v>
      </c>
      <c r="BA186" s="19">
        <v>9690</v>
      </c>
      <c r="BB186" s="19">
        <v>855</v>
      </c>
      <c r="BC186" s="66" t="s">
        <v>3013</v>
      </c>
      <c r="BD186" s="19" t="s">
        <v>74</v>
      </c>
      <c r="BE186" s="19" t="s">
        <v>210</v>
      </c>
      <c r="BF186" s="19" t="s">
        <v>210</v>
      </c>
      <c r="BG186" s="19">
        <v>9</v>
      </c>
      <c r="BH186" s="19">
        <v>872.1</v>
      </c>
      <c r="BI186" s="19">
        <v>9</v>
      </c>
      <c r="BJ186" s="19">
        <v>872.1</v>
      </c>
      <c r="BK186" s="19">
        <v>0</v>
      </c>
      <c r="BL186" s="19">
        <v>0</v>
      </c>
      <c r="BM186" s="19">
        <v>0</v>
      </c>
      <c r="BN186" s="19">
        <v>602144757819</v>
      </c>
      <c r="BO186" s="66">
        <v>46217</v>
      </c>
      <c r="BP186" s="19">
        <v>0</v>
      </c>
    </row>
    <row r="187" spans="1:68">
      <c r="A187" s="65"/>
      <c r="B187" s="20" t="s">
        <v>2216</v>
      </c>
      <c r="C187" s="111" t="s">
        <v>3013</v>
      </c>
      <c r="D187" s="20" t="s">
        <v>3674</v>
      </c>
      <c r="E187" s="20" t="s">
        <v>20</v>
      </c>
      <c r="F187" s="20" t="s">
        <v>21</v>
      </c>
      <c r="H187" s="20" t="s">
        <v>3675</v>
      </c>
      <c r="I187" s="20">
        <v>1722</v>
      </c>
      <c r="J187" s="20">
        <v>1722</v>
      </c>
      <c r="K187" s="20" t="s">
        <v>11</v>
      </c>
      <c r="L187" s="20">
        <v>1722</v>
      </c>
      <c r="M187" s="20">
        <v>0</v>
      </c>
      <c r="N187" s="20">
        <v>1722</v>
      </c>
      <c r="O187" s="20" t="s">
        <v>2203</v>
      </c>
      <c r="P187" s="20" t="s">
        <v>87</v>
      </c>
      <c r="Q187" s="20" t="s">
        <v>87</v>
      </c>
      <c r="R187" s="20" t="s">
        <v>3017</v>
      </c>
      <c r="S187" s="111" t="s">
        <v>3013</v>
      </c>
      <c r="T187" s="20" t="s">
        <v>206</v>
      </c>
      <c r="U187" s="20" t="s">
        <v>207</v>
      </c>
      <c r="V187" s="20" t="s">
        <v>3016</v>
      </c>
      <c r="W187" s="20">
        <v>151.49</v>
      </c>
      <c r="X187" s="20">
        <v>151.49</v>
      </c>
      <c r="Y187" s="20" t="s">
        <v>3017</v>
      </c>
      <c r="Z187" s="111" t="s">
        <v>3013</v>
      </c>
      <c r="AB187" s="20" t="s">
        <v>2376</v>
      </c>
      <c r="AD187" s="20" t="s">
        <v>2376</v>
      </c>
      <c r="AE187" s="20" t="s">
        <v>2376</v>
      </c>
      <c r="AF187" s="20">
        <v>0</v>
      </c>
      <c r="AG187" s="20">
        <v>0</v>
      </c>
      <c r="AH187" s="20">
        <v>0</v>
      </c>
      <c r="AI187" s="20">
        <v>0</v>
      </c>
      <c r="AJ187" s="20">
        <v>0</v>
      </c>
      <c r="AK187" s="20" t="s">
        <v>609</v>
      </c>
      <c r="AL187" s="20">
        <v>0</v>
      </c>
      <c r="AM187" s="20">
        <v>0</v>
      </c>
      <c r="AN187" s="20">
        <v>0</v>
      </c>
      <c r="AO187" s="20">
        <v>0</v>
      </c>
      <c r="AP187" s="20">
        <v>0</v>
      </c>
      <c r="AR187" s="20">
        <v>0</v>
      </c>
      <c r="AS187" s="20">
        <v>0</v>
      </c>
      <c r="AT187" s="20">
        <v>307821.62</v>
      </c>
      <c r="AU187" s="20" t="s">
        <v>13</v>
      </c>
      <c r="AV187" s="20" t="s">
        <v>62</v>
      </c>
      <c r="AW187" s="111" t="s">
        <v>76</v>
      </c>
      <c r="AX187" s="20" t="s">
        <v>208</v>
      </c>
      <c r="AY187" s="19" t="s">
        <v>209</v>
      </c>
      <c r="AZ187" s="19">
        <v>0</v>
      </c>
      <c r="BA187" s="19">
        <v>260865.78</v>
      </c>
      <c r="BB187" s="19">
        <v>851</v>
      </c>
      <c r="BC187" s="66" t="s">
        <v>3013</v>
      </c>
      <c r="BD187" s="19" t="s">
        <v>65</v>
      </c>
      <c r="BE187" s="19" t="s">
        <v>210</v>
      </c>
      <c r="BF187" s="19" t="s">
        <v>210</v>
      </c>
      <c r="BG187" s="19">
        <v>9</v>
      </c>
      <c r="BH187" s="19">
        <v>23477.919999999998</v>
      </c>
      <c r="BI187" s="19">
        <v>9</v>
      </c>
      <c r="BJ187" s="19">
        <v>23477.919999999998</v>
      </c>
      <c r="BK187" s="19">
        <v>0</v>
      </c>
      <c r="BL187" s="19">
        <v>0</v>
      </c>
      <c r="BM187" s="19">
        <v>307821.62</v>
      </c>
      <c r="BN187" s="19">
        <v>682144880081</v>
      </c>
      <c r="BO187" s="66">
        <v>46217</v>
      </c>
      <c r="BP187" s="19">
        <v>0</v>
      </c>
    </row>
    <row r="188" spans="1:68">
      <c r="A188" s="65"/>
      <c r="B188" s="20" t="s">
        <v>2216</v>
      </c>
      <c r="C188" s="111" t="s">
        <v>3013</v>
      </c>
      <c r="D188" s="20" t="s">
        <v>3676</v>
      </c>
      <c r="E188" s="20" t="s">
        <v>160</v>
      </c>
      <c r="F188" s="20" t="s">
        <v>17</v>
      </c>
      <c r="H188" s="20" t="s">
        <v>3677</v>
      </c>
      <c r="I188" s="20">
        <v>1655</v>
      </c>
      <c r="J188" s="20">
        <v>1655</v>
      </c>
      <c r="K188" s="20" t="s">
        <v>11</v>
      </c>
      <c r="L188" s="20">
        <v>1655</v>
      </c>
      <c r="M188" s="20">
        <v>0</v>
      </c>
      <c r="N188" s="20">
        <v>1655</v>
      </c>
      <c r="O188" s="20" t="s">
        <v>2203</v>
      </c>
      <c r="P188" s="20" t="s">
        <v>87</v>
      </c>
      <c r="Q188" s="20" t="s">
        <v>87</v>
      </c>
      <c r="R188" s="20" t="s">
        <v>3019</v>
      </c>
      <c r="S188" s="111" t="s">
        <v>3013</v>
      </c>
      <c r="T188" s="20" t="s">
        <v>206</v>
      </c>
      <c r="U188" s="20" t="s">
        <v>207</v>
      </c>
      <c r="V188" s="20" t="s">
        <v>3018</v>
      </c>
      <c r="W188" s="20">
        <v>182.78</v>
      </c>
      <c r="X188" s="20">
        <v>182.77999971426499</v>
      </c>
      <c r="Y188" s="20" t="s">
        <v>3019</v>
      </c>
      <c r="Z188" s="111" t="s">
        <v>3013</v>
      </c>
      <c r="AB188" s="20" t="s">
        <v>2376</v>
      </c>
      <c r="AD188" s="20" t="s">
        <v>2376</v>
      </c>
      <c r="AE188" s="20" t="s">
        <v>2376</v>
      </c>
      <c r="AF188" s="20">
        <v>0</v>
      </c>
      <c r="AG188" s="20">
        <v>0</v>
      </c>
      <c r="AH188" s="20">
        <v>0</v>
      </c>
      <c r="AI188" s="20">
        <v>0</v>
      </c>
      <c r="AJ188" s="20">
        <v>0</v>
      </c>
      <c r="AK188" s="20" t="s">
        <v>609</v>
      </c>
      <c r="AL188" s="20">
        <v>0</v>
      </c>
      <c r="AM188" s="20">
        <v>0</v>
      </c>
      <c r="AN188" s="20">
        <v>0</v>
      </c>
      <c r="AO188" s="20">
        <v>0</v>
      </c>
      <c r="AP188" s="20">
        <v>0</v>
      </c>
      <c r="AR188" s="20">
        <v>0</v>
      </c>
      <c r="AS188" s="20">
        <v>0</v>
      </c>
      <c r="AT188" s="20">
        <v>639683.49</v>
      </c>
      <c r="AU188" s="20" t="s">
        <v>13</v>
      </c>
      <c r="AV188" s="20" t="s">
        <v>80</v>
      </c>
      <c r="AW188" s="111" t="s">
        <v>81</v>
      </c>
      <c r="AX188" s="20" t="s">
        <v>208</v>
      </c>
      <c r="AY188" s="19" t="s">
        <v>209</v>
      </c>
      <c r="AZ188" s="19">
        <v>0</v>
      </c>
      <c r="BA188" s="19">
        <v>302500.90000000002</v>
      </c>
      <c r="BB188" s="19">
        <v>850</v>
      </c>
      <c r="BC188" s="66" t="s">
        <v>3013</v>
      </c>
      <c r="BD188" s="19" t="s">
        <v>65</v>
      </c>
      <c r="BE188" s="19" t="s">
        <v>210</v>
      </c>
      <c r="BF188" s="19" t="s">
        <v>210</v>
      </c>
      <c r="BG188" s="19">
        <v>9</v>
      </c>
      <c r="BH188" s="19">
        <v>27225.08</v>
      </c>
      <c r="BI188" s="19">
        <v>9</v>
      </c>
      <c r="BJ188" s="19">
        <v>27225.08</v>
      </c>
      <c r="BK188" s="19">
        <v>0</v>
      </c>
      <c r="BL188" s="19">
        <v>0</v>
      </c>
      <c r="BM188" s="19">
        <v>639683.49</v>
      </c>
      <c r="BN188" s="19">
        <v>682144867620</v>
      </c>
      <c r="BO188" s="66">
        <v>46217</v>
      </c>
      <c r="BP188" s="19">
        <v>0</v>
      </c>
    </row>
    <row r="189" spans="1:68">
      <c r="A189" s="65"/>
      <c r="B189" s="20" t="s">
        <v>2216</v>
      </c>
      <c r="C189" s="111" t="s">
        <v>3013</v>
      </c>
      <c r="D189" s="20" t="s">
        <v>3676</v>
      </c>
      <c r="E189" s="20" t="s">
        <v>23</v>
      </c>
      <c r="F189" s="20" t="s">
        <v>24</v>
      </c>
      <c r="H189" s="20" t="s">
        <v>3677</v>
      </c>
      <c r="I189" s="20">
        <v>768.2</v>
      </c>
      <c r="J189" s="20">
        <v>768.2</v>
      </c>
      <c r="K189" s="20" t="s">
        <v>11</v>
      </c>
      <c r="L189" s="20">
        <v>768.2</v>
      </c>
      <c r="M189" s="20">
        <v>0</v>
      </c>
      <c r="N189" s="20">
        <v>768.2</v>
      </c>
      <c r="O189" s="20" t="s">
        <v>2203</v>
      </c>
      <c r="P189" s="20" t="s">
        <v>87</v>
      </c>
      <c r="Q189" s="20" t="s">
        <v>87</v>
      </c>
      <c r="R189" s="20" t="s">
        <v>3019</v>
      </c>
      <c r="S189" s="111" t="s">
        <v>3013</v>
      </c>
      <c r="T189" s="20" t="s">
        <v>206</v>
      </c>
      <c r="U189" s="20" t="s">
        <v>207</v>
      </c>
      <c r="V189" s="20" t="s">
        <v>3018</v>
      </c>
      <c r="W189" s="20">
        <v>149.49</v>
      </c>
      <c r="X189" s="20">
        <v>149.489999766306</v>
      </c>
      <c r="Y189" s="20" t="s">
        <v>3019</v>
      </c>
      <c r="Z189" s="111" t="s">
        <v>3013</v>
      </c>
      <c r="AB189" s="20" t="s">
        <v>2376</v>
      </c>
      <c r="AD189" s="20" t="s">
        <v>2376</v>
      </c>
      <c r="AE189" s="20" t="s">
        <v>2376</v>
      </c>
      <c r="AF189" s="20">
        <v>0</v>
      </c>
      <c r="AG189" s="20">
        <v>0</v>
      </c>
      <c r="AH189" s="20">
        <v>0</v>
      </c>
      <c r="AI189" s="20">
        <v>0</v>
      </c>
      <c r="AJ189" s="20">
        <v>0</v>
      </c>
      <c r="AK189" s="20" t="s">
        <v>609</v>
      </c>
      <c r="AL189" s="20">
        <v>0</v>
      </c>
      <c r="AM189" s="20">
        <v>0</v>
      </c>
      <c r="AN189" s="20">
        <v>0</v>
      </c>
      <c r="AO189" s="20">
        <v>0</v>
      </c>
      <c r="AP189" s="20">
        <v>0</v>
      </c>
      <c r="AR189" s="20">
        <v>0</v>
      </c>
      <c r="AS189" s="20">
        <v>0</v>
      </c>
      <c r="AT189" s="20">
        <v>639683.49</v>
      </c>
      <c r="AU189" s="20" t="s">
        <v>13</v>
      </c>
      <c r="AV189" s="20" t="s">
        <v>24</v>
      </c>
      <c r="AW189" s="111" t="s">
        <v>79</v>
      </c>
      <c r="AX189" s="20" t="s">
        <v>208</v>
      </c>
      <c r="AY189" s="19" t="s">
        <v>209</v>
      </c>
      <c r="AZ189" s="19">
        <v>0</v>
      </c>
      <c r="BA189" s="19">
        <v>114838.22</v>
      </c>
      <c r="BB189" s="19">
        <v>850</v>
      </c>
      <c r="BC189" s="66" t="s">
        <v>3013</v>
      </c>
      <c r="BD189" s="19" t="s">
        <v>65</v>
      </c>
      <c r="BE189" s="19" t="s">
        <v>210</v>
      </c>
      <c r="BF189" s="19" t="s">
        <v>210</v>
      </c>
      <c r="BG189" s="19">
        <v>9</v>
      </c>
      <c r="BH189" s="19">
        <v>10335.44</v>
      </c>
      <c r="BI189" s="19">
        <v>9</v>
      </c>
      <c r="BJ189" s="19">
        <v>10335.44</v>
      </c>
      <c r="BK189" s="19">
        <v>0</v>
      </c>
      <c r="BL189" s="19">
        <v>0</v>
      </c>
      <c r="BM189" s="19">
        <v>0</v>
      </c>
      <c r="BN189" s="19">
        <v>682144867620</v>
      </c>
      <c r="BO189" s="66">
        <v>46217</v>
      </c>
      <c r="BP189" s="19">
        <v>0</v>
      </c>
    </row>
    <row r="190" spans="1:68">
      <c r="A190" s="65"/>
      <c r="B190" s="20" t="s">
        <v>2216</v>
      </c>
      <c r="C190" s="111" t="s">
        <v>3013</v>
      </c>
      <c r="D190" s="20" t="s">
        <v>3676</v>
      </c>
      <c r="E190" s="20" t="s">
        <v>23</v>
      </c>
      <c r="F190" s="20" t="s">
        <v>24</v>
      </c>
      <c r="H190" s="20" t="s">
        <v>3677</v>
      </c>
      <c r="I190" s="20">
        <v>851.7</v>
      </c>
      <c r="J190" s="20">
        <v>851.7</v>
      </c>
      <c r="K190" s="20" t="s">
        <v>11</v>
      </c>
      <c r="L190" s="20">
        <v>851.7</v>
      </c>
      <c r="M190" s="20">
        <v>0</v>
      </c>
      <c r="N190" s="20">
        <v>851.7</v>
      </c>
      <c r="O190" s="20" t="s">
        <v>2203</v>
      </c>
      <c r="P190" s="20" t="s">
        <v>87</v>
      </c>
      <c r="Q190" s="20" t="s">
        <v>87</v>
      </c>
      <c r="R190" s="20" t="s">
        <v>3019</v>
      </c>
      <c r="S190" s="111" t="s">
        <v>3013</v>
      </c>
      <c r="T190" s="20" t="s">
        <v>206</v>
      </c>
      <c r="U190" s="20" t="s">
        <v>207</v>
      </c>
      <c r="V190" s="20" t="s">
        <v>3018</v>
      </c>
      <c r="W190" s="20">
        <v>146.49</v>
      </c>
      <c r="X190" s="20">
        <v>146.48999977099601</v>
      </c>
      <c r="Y190" s="20" t="s">
        <v>3019</v>
      </c>
      <c r="Z190" s="111" t="s">
        <v>3013</v>
      </c>
      <c r="AB190" s="20" t="s">
        <v>2376</v>
      </c>
      <c r="AD190" s="20" t="s">
        <v>2376</v>
      </c>
      <c r="AE190" s="20" t="s">
        <v>2376</v>
      </c>
      <c r="AF190" s="20">
        <v>0</v>
      </c>
      <c r="AG190" s="20">
        <v>0</v>
      </c>
      <c r="AH190" s="20">
        <v>0</v>
      </c>
      <c r="AI190" s="20">
        <v>0</v>
      </c>
      <c r="AJ190" s="20">
        <v>0</v>
      </c>
      <c r="AK190" s="20" t="s">
        <v>609</v>
      </c>
      <c r="AL190" s="20">
        <v>0</v>
      </c>
      <c r="AM190" s="20">
        <v>0</v>
      </c>
      <c r="AN190" s="20">
        <v>0</v>
      </c>
      <c r="AO190" s="20">
        <v>0</v>
      </c>
      <c r="AP190" s="20">
        <v>0</v>
      </c>
      <c r="AR190" s="20">
        <v>0</v>
      </c>
      <c r="AS190" s="20">
        <v>0</v>
      </c>
      <c r="AT190" s="20">
        <v>639683.49</v>
      </c>
      <c r="AU190" s="20" t="s">
        <v>13</v>
      </c>
      <c r="AV190" s="20" t="s">
        <v>24</v>
      </c>
      <c r="AW190" s="111" t="s">
        <v>79</v>
      </c>
      <c r="AX190" s="20" t="s">
        <v>208</v>
      </c>
      <c r="AY190" s="19" t="s">
        <v>209</v>
      </c>
      <c r="AZ190" s="19">
        <v>0</v>
      </c>
      <c r="BA190" s="19">
        <v>124765.53</v>
      </c>
      <c r="BB190" s="19">
        <v>850</v>
      </c>
      <c r="BC190" s="66" t="s">
        <v>3013</v>
      </c>
      <c r="BD190" s="19" t="s">
        <v>65</v>
      </c>
      <c r="BE190" s="19" t="s">
        <v>210</v>
      </c>
      <c r="BF190" s="19" t="s">
        <v>210</v>
      </c>
      <c r="BG190" s="19">
        <v>9</v>
      </c>
      <c r="BH190" s="19">
        <v>11228.9</v>
      </c>
      <c r="BI190" s="19">
        <v>9</v>
      </c>
      <c r="BJ190" s="19">
        <v>11228.9</v>
      </c>
      <c r="BK190" s="19">
        <v>0</v>
      </c>
      <c r="BL190" s="19">
        <v>0</v>
      </c>
      <c r="BM190" s="19">
        <v>0</v>
      </c>
      <c r="BN190" s="19">
        <v>682144867620</v>
      </c>
      <c r="BO190" s="66">
        <v>46217</v>
      </c>
      <c r="BP190" s="19">
        <v>0</v>
      </c>
    </row>
    <row r="191" spans="1:68">
      <c r="A191" s="65"/>
      <c r="B191" s="20" t="s">
        <v>2216</v>
      </c>
      <c r="C191" s="111" t="s">
        <v>3013</v>
      </c>
      <c r="D191" s="20" t="s">
        <v>3678</v>
      </c>
      <c r="E191" s="20" t="s">
        <v>18</v>
      </c>
      <c r="F191" s="20" t="s">
        <v>19</v>
      </c>
      <c r="H191" s="20" t="s">
        <v>3679</v>
      </c>
      <c r="I191" s="20">
        <v>1790</v>
      </c>
      <c r="J191" s="20">
        <v>1790</v>
      </c>
      <c r="K191" s="20" t="s">
        <v>11</v>
      </c>
      <c r="L191" s="20">
        <v>1790</v>
      </c>
      <c r="M191" s="20">
        <v>0</v>
      </c>
      <c r="N191" s="20">
        <v>1790</v>
      </c>
      <c r="O191" s="20" t="s">
        <v>2442</v>
      </c>
      <c r="P191" s="20" t="s">
        <v>87</v>
      </c>
      <c r="Q191" s="20" t="s">
        <v>87</v>
      </c>
      <c r="R191" s="20" t="s">
        <v>3021</v>
      </c>
      <c r="S191" s="111" t="s">
        <v>3013</v>
      </c>
      <c r="T191" s="20" t="s">
        <v>206</v>
      </c>
      <c r="U191" s="20" t="s">
        <v>207</v>
      </c>
      <c r="V191" s="20" t="s">
        <v>3020</v>
      </c>
      <c r="W191" s="20">
        <v>146.49</v>
      </c>
      <c r="X191" s="20">
        <v>146.49</v>
      </c>
      <c r="Y191" s="20" t="s">
        <v>3021</v>
      </c>
      <c r="Z191" s="111" t="s">
        <v>3013</v>
      </c>
      <c r="AB191" s="20" t="s">
        <v>2376</v>
      </c>
      <c r="AD191" s="20" t="s">
        <v>2376</v>
      </c>
      <c r="AE191" s="20" t="s">
        <v>2376</v>
      </c>
      <c r="AF191" s="20">
        <v>0</v>
      </c>
      <c r="AG191" s="20">
        <v>0</v>
      </c>
      <c r="AH191" s="20">
        <v>0</v>
      </c>
      <c r="AI191" s="20">
        <v>0</v>
      </c>
      <c r="AJ191" s="20">
        <v>0</v>
      </c>
      <c r="AK191" s="20" t="s">
        <v>609</v>
      </c>
      <c r="AL191" s="20">
        <v>0</v>
      </c>
      <c r="AM191" s="20">
        <v>0</v>
      </c>
      <c r="AN191" s="20">
        <v>0</v>
      </c>
      <c r="AO191" s="20">
        <v>0</v>
      </c>
      <c r="AP191" s="20">
        <v>0</v>
      </c>
      <c r="AR191" s="20">
        <v>0</v>
      </c>
      <c r="AS191" s="20">
        <v>0</v>
      </c>
      <c r="AT191" s="20">
        <v>309416.18</v>
      </c>
      <c r="AU191" s="20" t="s">
        <v>13</v>
      </c>
      <c r="AV191" s="20" t="s">
        <v>62</v>
      </c>
      <c r="AW191" s="111" t="s">
        <v>63</v>
      </c>
      <c r="AX191" s="20" t="s">
        <v>208</v>
      </c>
      <c r="AY191" s="19" t="s">
        <v>209</v>
      </c>
      <c r="AZ191" s="19">
        <v>0</v>
      </c>
      <c r="BA191" s="19">
        <v>262217.09999999998</v>
      </c>
      <c r="BB191" s="19">
        <v>857</v>
      </c>
      <c r="BC191" s="66" t="s">
        <v>3013</v>
      </c>
      <c r="BD191" s="19" t="s">
        <v>65</v>
      </c>
      <c r="BE191" s="19" t="s">
        <v>210</v>
      </c>
      <c r="BF191" s="19" t="s">
        <v>210</v>
      </c>
      <c r="BG191" s="19">
        <v>9</v>
      </c>
      <c r="BH191" s="19">
        <v>23599.54</v>
      </c>
      <c r="BI191" s="19">
        <v>9</v>
      </c>
      <c r="BJ191" s="19">
        <v>23599.54</v>
      </c>
      <c r="BK191" s="19">
        <v>0</v>
      </c>
      <c r="BL191" s="19">
        <v>0</v>
      </c>
      <c r="BM191" s="19">
        <v>309416.18</v>
      </c>
      <c r="BN191" s="19">
        <v>612144920261</v>
      </c>
      <c r="BO191" s="66">
        <v>46217</v>
      </c>
      <c r="BP191" s="19">
        <v>0</v>
      </c>
    </row>
    <row r="192" spans="1:68">
      <c r="A192" s="65"/>
      <c r="B192" s="20" t="s">
        <v>2216</v>
      </c>
      <c r="C192" s="111" t="s">
        <v>3013</v>
      </c>
      <c r="D192" s="20" t="s">
        <v>3680</v>
      </c>
      <c r="E192" s="20" t="s">
        <v>18</v>
      </c>
      <c r="F192" s="20" t="s">
        <v>19</v>
      </c>
      <c r="H192" s="20" t="s">
        <v>3681</v>
      </c>
      <c r="I192" s="20">
        <v>945</v>
      </c>
      <c r="J192" s="20">
        <v>945</v>
      </c>
      <c r="K192" s="20" t="s">
        <v>11</v>
      </c>
      <c r="L192" s="20">
        <v>945</v>
      </c>
      <c r="M192" s="20">
        <v>0</v>
      </c>
      <c r="N192" s="20">
        <v>945</v>
      </c>
      <c r="O192" s="20" t="s">
        <v>2203</v>
      </c>
      <c r="P192" s="20" t="s">
        <v>87</v>
      </c>
      <c r="Q192" s="20" t="s">
        <v>87</v>
      </c>
      <c r="R192" s="20" t="s">
        <v>3023</v>
      </c>
      <c r="S192" s="111" t="s">
        <v>3013</v>
      </c>
      <c r="T192" s="20" t="s">
        <v>206</v>
      </c>
      <c r="U192" s="20" t="s">
        <v>207</v>
      </c>
      <c r="V192" s="20" t="s">
        <v>3022</v>
      </c>
      <c r="W192" s="20">
        <v>146.49</v>
      </c>
      <c r="X192" s="20">
        <v>146.49</v>
      </c>
      <c r="Y192" s="20" t="s">
        <v>3023</v>
      </c>
      <c r="Z192" s="111" t="s">
        <v>3013</v>
      </c>
      <c r="AB192" s="20" t="s">
        <v>2376</v>
      </c>
      <c r="AD192" s="20" t="s">
        <v>2376</v>
      </c>
      <c r="AE192" s="20" t="s">
        <v>2376</v>
      </c>
      <c r="AF192" s="20">
        <v>0</v>
      </c>
      <c r="AG192" s="20">
        <v>0</v>
      </c>
      <c r="AH192" s="20">
        <v>0</v>
      </c>
      <c r="AI192" s="20">
        <v>0</v>
      </c>
      <c r="AJ192" s="20">
        <v>0</v>
      </c>
      <c r="AK192" s="20" t="s">
        <v>609</v>
      </c>
      <c r="AL192" s="20">
        <v>0</v>
      </c>
      <c r="AM192" s="20">
        <v>0</v>
      </c>
      <c r="AN192" s="20">
        <v>0</v>
      </c>
      <c r="AO192" s="20">
        <v>0</v>
      </c>
      <c r="AP192" s="20">
        <v>0</v>
      </c>
      <c r="AR192" s="20">
        <v>0</v>
      </c>
      <c r="AS192" s="20">
        <v>0</v>
      </c>
      <c r="AT192" s="20">
        <v>1320659.9099999999</v>
      </c>
      <c r="AU192" s="20" t="s">
        <v>13</v>
      </c>
      <c r="AV192" s="20" t="s">
        <v>62</v>
      </c>
      <c r="AW192" s="111" t="s">
        <v>63</v>
      </c>
      <c r="AX192" s="20" t="s">
        <v>208</v>
      </c>
      <c r="AY192" s="19" t="s">
        <v>209</v>
      </c>
      <c r="AZ192" s="19">
        <v>0</v>
      </c>
      <c r="BA192" s="19">
        <v>138433.04999999999</v>
      </c>
      <c r="BB192" s="19">
        <v>854</v>
      </c>
      <c r="BC192" s="66" t="s">
        <v>3013</v>
      </c>
      <c r="BD192" s="19" t="s">
        <v>65</v>
      </c>
      <c r="BE192" s="19" t="s">
        <v>210</v>
      </c>
      <c r="BF192" s="19" t="s">
        <v>210</v>
      </c>
      <c r="BG192" s="19">
        <v>9</v>
      </c>
      <c r="BH192" s="19">
        <v>12458.97</v>
      </c>
      <c r="BI192" s="19">
        <v>9</v>
      </c>
      <c r="BJ192" s="19">
        <v>12458.97</v>
      </c>
      <c r="BK192" s="19">
        <v>0</v>
      </c>
      <c r="BL192" s="19">
        <v>0</v>
      </c>
      <c r="BM192" s="19">
        <v>1320659.9099999999</v>
      </c>
      <c r="BN192" s="19">
        <v>672144732466</v>
      </c>
      <c r="BO192" s="66">
        <v>46217</v>
      </c>
      <c r="BP192" s="19">
        <v>0</v>
      </c>
    </row>
    <row r="193" spans="1:68">
      <c r="A193" s="65"/>
      <c r="B193" s="20" t="s">
        <v>2216</v>
      </c>
      <c r="C193" s="111" t="s">
        <v>3013</v>
      </c>
      <c r="D193" s="20" t="s">
        <v>3680</v>
      </c>
      <c r="E193" s="20" t="s">
        <v>18</v>
      </c>
      <c r="F193" s="20" t="s">
        <v>19</v>
      </c>
      <c r="H193" s="20" t="s">
        <v>3681</v>
      </c>
      <c r="I193" s="20">
        <v>665</v>
      </c>
      <c r="J193" s="20">
        <v>665</v>
      </c>
      <c r="K193" s="20" t="s">
        <v>11</v>
      </c>
      <c r="L193" s="20">
        <v>665</v>
      </c>
      <c r="M193" s="20">
        <v>0</v>
      </c>
      <c r="N193" s="20">
        <v>665</v>
      </c>
      <c r="O193" s="20" t="s">
        <v>2203</v>
      </c>
      <c r="P193" s="20" t="s">
        <v>87</v>
      </c>
      <c r="Q193" s="20" t="s">
        <v>87</v>
      </c>
      <c r="R193" s="20" t="s">
        <v>3023</v>
      </c>
      <c r="S193" s="111" t="s">
        <v>3013</v>
      </c>
      <c r="T193" s="20" t="s">
        <v>206</v>
      </c>
      <c r="U193" s="20" t="s">
        <v>207</v>
      </c>
      <c r="V193" s="20" t="s">
        <v>3022</v>
      </c>
      <c r="W193" s="20">
        <v>147.49</v>
      </c>
      <c r="X193" s="20">
        <v>147.49</v>
      </c>
      <c r="Y193" s="20" t="s">
        <v>3023</v>
      </c>
      <c r="Z193" s="111" t="s">
        <v>3013</v>
      </c>
      <c r="AB193" s="20" t="s">
        <v>2376</v>
      </c>
      <c r="AD193" s="20" t="s">
        <v>2376</v>
      </c>
      <c r="AE193" s="20" t="s">
        <v>2376</v>
      </c>
      <c r="AF193" s="20">
        <v>0</v>
      </c>
      <c r="AG193" s="20">
        <v>0</v>
      </c>
      <c r="AH193" s="20">
        <v>0</v>
      </c>
      <c r="AI193" s="20">
        <v>0</v>
      </c>
      <c r="AJ193" s="20">
        <v>0</v>
      </c>
      <c r="AK193" s="20" t="s">
        <v>609</v>
      </c>
      <c r="AL193" s="20">
        <v>0</v>
      </c>
      <c r="AM193" s="20">
        <v>0</v>
      </c>
      <c r="AN193" s="20">
        <v>0</v>
      </c>
      <c r="AO193" s="20">
        <v>0</v>
      </c>
      <c r="AP193" s="20">
        <v>0</v>
      </c>
      <c r="AR193" s="20">
        <v>0</v>
      </c>
      <c r="AS193" s="20">
        <v>0</v>
      </c>
      <c r="AT193" s="20">
        <v>1320659.9099999999</v>
      </c>
      <c r="AU193" s="20" t="s">
        <v>13</v>
      </c>
      <c r="AV193" s="20" t="s">
        <v>62</v>
      </c>
      <c r="AW193" s="111" t="s">
        <v>63</v>
      </c>
      <c r="AX193" s="20" t="s">
        <v>208</v>
      </c>
      <c r="AY193" s="19" t="s">
        <v>209</v>
      </c>
      <c r="AZ193" s="19">
        <v>0</v>
      </c>
      <c r="BA193" s="19">
        <v>98080.85</v>
      </c>
      <c r="BB193" s="19">
        <v>854</v>
      </c>
      <c r="BC193" s="66" t="s">
        <v>3013</v>
      </c>
      <c r="BD193" s="19" t="s">
        <v>65</v>
      </c>
      <c r="BE193" s="19" t="s">
        <v>210</v>
      </c>
      <c r="BF193" s="19" t="s">
        <v>210</v>
      </c>
      <c r="BG193" s="19">
        <v>9</v>
      </c>
      <c r="BH193" s="19">
        <v>8827.2800000000007</v>
      </c>
      <c r="BI193" s="19">
        <v>9</v>
      </c>
      <c r="BJ193" s="19">
        <v>8827.2800000000007</v>
      </c>
      <c r="BK193" s="19">
        <v>0</v>
      </c>
      <c r="BL193" s="19">
        <v>0</v>
      </c>
      <c r="BM193" s="19">
        <v>0</v>
      </c>
      <c r="BN193" s="19">
        <v>672144732466</v>
      </c>
      <c r="BO193" s="66">
        <v>46217</v>
      </c>
      <c r="BP193" s="19">
        <v>0</v>
      </c>
    </row>
    <row r="194" spans="1:68">
      <c r="A194" s="65"/>
      <c r="B194" s="20" t="s">
        <v>2216</v>
      </c>
      <c r="C194" s="111" t="s">
        <v>3013</v>
      </c>
      <c r="D194" s="20" t="s">
        <v>3680</v>
      </c>
      <c r="E194" s="20" t="s">
        <v>18</v>
      </c>
      <c r="F194" s="20" t="s">
        <v>19</v>
      </c>
      <c r="H194" s="20" t="s">
        <v>3681</v>
      </c>
      <c r="I194" s="20">
        <v>6109</v>
      </c>
      <c r="J194" s="20">
        <v>6109</v>
      </c>
      <c r="K194" s="20" t="s">
        <v>11</v>
      </c>
      <c r="L194" s="20">
        <v>6109</v>
      </c>
      <c r="M194" s="20">
        <v>0</v>
      </c>
      <c r="N194" s="20">
        <v>6109</v>
      </c>
      <c r="O194" s="20" t="s">
        <v>2203</v>
      </c>
      <c r="P194" s="20" t="s">
        <v>87</v>
      </c>
      <c r="Q194" s="20" t="s">
        <v>87</v>
      </c>
      <c r="R194" s="20" t="s">
        <v>3023</v>
      </c>
      <c r="S194" s="111" t="s">
        <v>3013</v>
      </c>
      <c r="T194" s="20" t="s">
        <v>206</v>
      </c>
      <c r="U194" s="20" t="s">
        <v>207</v>
      </c>
      <c r="V194" s="20" t="s">
        <v>3022</v>
      </c>
      <c r="W194" s="20">
        <v>144.49</v>
      </c>
      <c r="X194" s="20">
        <v>144.49</v>
      </c>
      <c r="Y194" s="20" t="s">
        <v>3023</v>
      </c>
      <c r="Z194" s="111" t="s">
        <v>3013</v>
      </c>
      <c r="AB194" s="20" t="s">
        <v>2376</v>
      </c>
      <c r="AD194" s="20" t="s">
        <v>2376</v>
      </c>
      <c r="AE194" s="20" t="s">
        <v>2376</v>
      </c>
      <c r="AF194" s="20">
        <v>0</v>
      </c>
      <c r="AG194" s="20">
        <v>0</v>
      </c>
      <c r="AH194" s="20">
        <v>0</v>
      </c>
      <c r="AI194" s="20">
        <v>0</v>
      </c>
      <c r="AJ194" s="20">
        <v>0</v>
      </c>
      <c r="AK194" s="20" t="s">
        <v>609</v>
      </c>
      <c r="AL194" s="20">
        <v>0</v>
      </c>
      <c r="AM194" s="20">
        <v>0</v>
      </c>
      <c r="AN194" s="20">
        <v>0</v>
      </c>
      <c r="AO194" s="20">
        <v>0</v>
      </c>
      <c r="AP194" s="20">
        <v>0</v>
      </c>
      <c r="AR194" s="20">
        <v>0</v>
      </c>
      <c r="AS194" s="20">
        <v>0</v>
      </c>
      <c r="AT194" s="20">
        <v>1320659.9099999999</v>
      </c>
      <c r="AU194" s="20" t="s">
        <v>13</v>
      </c>
      <c r="AV194" s="20" t="s">
        <v>62</v>
      </c>
      <c r="AW194" s="111" t="s">
        <v>63</v>
      </c>
      <c r="AX194" s="20" t="s">
        <v>208</v>
      </c>
      <c r="AY194" s="19" t="s">
        <v>209</v>
      </c>
      <c r="AZ194" s="19">
        <v>0</v>
      </c>
      <c r="BA194" s="19">
        <v>882689.41</v>
      </c>
      <c r="BB194" s="19">
        <v>854</v>
      </c>
      <c r="BC194" s="66" t="s">
        <v>3013</v>
      </c>
      <c r="BD194" s="19" t="s">
        <v>65</v>
      </c>
      <c r="BE194" s="19" t="s">
        <v>210</v>
      </c>
      <c r="BF194" s="19" t="s">
        <v>210</v>
      </c>
      <c r="BG194" s="19">
        <v>9</v>
      </c>
      <c r="BH194" s="19">
        <v>79442.05</v>
      </c>
      <c r="BI194" s="19">
        <v>9</v>
      </c>
      <c r="BJ194" s="19">
        <v>79442.05</v>
      </c>
      <c r="BK194" s="19">
        <v>0</v>
      </c>
      <c r="BL194" s="19">
        <v>0</v>
      </c>
      <c r="BM194" s="19">
        <v>0</v>
      </c>
      <c r="BN194" s="19">
        <v>672144732466</v>
      </c>
      <c r="BO194" s="66">
        <v>46217</v>
      </c>
      <c r="BP194" s="19">
        <v>0</v>
      </c>
    </row>
    <row r="195" spans="1:68">
      <c r="A195" s="65"/>
      <c r="B195" s="20" t="s">
        <v>2216</v>
      </c>
      <c r="C195" s="111" t="s">
        <v>3013</v>
      </c>
      <c r="D195" s="20" t="s">
        <v>3682</v>
      </c>
      <c r="E195" s="20" t="s">
        <v>18</v>
      </c>
      <c r="F195" s="20" t="s">
        <v>19</v>
      </c>
      <c r="H195" s="20" t="s">
        <v>3683</v>
      </c>
      <c r="I195" s="20">
        <v>2513</v>
      </c>
      <c r="J195" s="20">
        <v>2513</v>
      </c>
      <c r="K195" s="20" t="s">
        <v>11</v>
      </c>
      <c r="L195" s="20">
        <v>2513</v>
      </c>
      <c r="M195" s="20">
        <v>0</v>
      </c>
      <c r="N195" s="20">
        <v>2513</v>
      </c>
      <c r="O195" s="20" t="s">
        <v>2201</v>
      </c>
      <c r="P195" s="20" t="s">
        <v>87</v>
      </c>
      <c r="Q195" s="20" t="s">
        <v>87</v>
      </c>
      <c r="R195" s="20" t="s">
        <v>3025</v>
      </c>
      <c r="S195" s="111" t="s">
        <v>3013</v>
      </c>
      <c r="T195" s="20" t="s">
        <v>206</v>
      </c>
      <c r="U195" s="20" t="s">
        <v>207</v>
      </c>
      <c r="V195" s="20" t="s">
        <v>3024</v>
      </c>
      <c r="W195" s="20">
        <v>144.49</v>
      </c>
      <c r="X195" s="20">
        <v>144.48999958786399</v>
      </c>
      <c r="Y195" s="20" t="s">
        <v>3025</v>
      </c>
      <c r="Z195" s="111" t="s">
        <v>3013</v>
      </c>
      <c r="AB195" s="20" t="s">
        <v>2376</v>
      </c>
      <c r="AD195" s="20" t="s">
        <v>2376</v>
      </c>
      <c r="AE195" s="20" t="s">
        <v>2376</v>
      </c>
      <c r="AF195" s="20">
        <v>0</v>
      </c>
      <c r="AG195" s="20">
        <v>0</v>
      </c>
      <c r="AH195" s="20">
        <v>0</v>
      </c>
      <c r="AI195" s="20">
        <v>0</v>
      </c>
      <c r="AJ195" s="20">
        <v>0</v>
      </c>
      <c r="AK195" s="20" t="s">
        <v>609</v>
      </c>
      <c r="AL195" s="20">
        <v>0</v>
      </c>
      <c r="AM195" s="20">
        <v>0</v>
      </c>
      <c r="AN195" s="20">
        <v>0</v>
      </c>
      <c r="AO195" s="20">
        <v>0</v>
      </c>
      <c r="AP195" s="20">
        <v>0</v>
      </c>
      <c r="AR195" s="20">
        <v>0</v>
      </c>
      <c r="AS195" s="20">
        <v>0</v>
      </c>
      <c r="AT195" s="20">
        <v>1051764.2</v>
      </c>
      <c r="AU195" s="20" t="s">
        <v>13</v>
      </c>
      <c r="AV195" s="20" t="s">
        <v>62</v>
      </c>
      <c r="AW195" s="111" t="s">
        <v>63</v>
      </c>
      <c r="AX195" s="20" t="s">
        <v>208</v>
      </c>
      <c r="AY195" s="19" t="s">
        <v>209</v>
      </c>
      <c r="AZ195" s="19">
        <v>0</v>
      </c>
      <c r="BA195" s="19">
        <v>363103.37</v>
      </c>
      <c r="BB195" s="19">
        <v>853</v>
      </c>
      <c r="BC195" s="66" t="s">
        <v>3013</v>
      </c>
      <c r="BD195" s="19" t="s">
        <v>65</v>
      </c>
      <c r="BE195" s="19" t="s">
        <v>210</v>
      </c>
      <c r="BF195" s="19" t="s">
        <v>210</v>
      </c>
      <c r="BG195" s="19">
        <v>9</v>
      </c>
      <c r="BH195" s="19">
        <v>32679.3</v>
      </c>
      <c r="BI195" s="19">
        <v>9</v>
      </c>
      <c r="BJ195" s="19">
        <v>32679.3</v>
      </c>
      <c r="BK195" s="19">
        <v>0</v>
      </c>
      <c r="BL195" s="19">
        <v>0</v>
      </c>
      <c r="BM195" s="19">
        <v>1051764.2</v>
      </c>
      <c r="BN195" s="19">
        <v>622144815366</v>
      </c>
      <c r="BO195" s="66">
        <v>46217</v>
      </c>
      <c r="BP195" s="19">
        <v>0</v>
      </c>
    </row>
    <row r="196" spans="1:68">
      <c r="A196" s="65"/>
      <c r="B196" s="20" t="s">
        <v>2216</v>
      </c>
      <c r="C196" s="111" t="s">
        <v>3013</v>
      </c>
      <c r="D196" s="20" t="s">
        <v>3682</v>
      </c>
      <c r="E196" s="20" t="s">
        <v>18</v>
      </c>
      <c r="F196" s="20" t="s">
        <v>19</v>
      </c>
      <c r="H196" s="20" t="s">
        <v>3683</v>
      </c>
      <c r="I196" s="20">
        <v>989</v>
      </c>
      <c r="J196" s="20">
        <v>989</v>
      </c>
      <c r="K196" s="20" t="s">
        <v>11</v>
      </c>
      <c r="L196" s="20">
        <v>989</v>
      </c>
      <c r="M196" s="20">
        <v>0</v>
      </c>
      <c r="N196" s="20">
        <v>989</v>
      </c>
      <c r="O196" s="20" t="s">
        <v>2201</v>
      </c>
      <c r="P196" s="20" t="s">
        <v>87</v>
      </c>
      <c r="Q196" s="20" t="s">
        <v>87</v>
      </c>
      <c r="R196" s="20" t="s">
        <v>3025</v>
      </c>
      <c r="S196" s="111" t="s">
        <v>3013</v>
      </c>
      <c r="T196" s="20" t="s">
        <v>206</v>
      </c>
      <c r="U196" s="20" t="s">
        <v>207</v>
      </c>
      <c r="V196" s="20" t="s">
        <v>3024</v>
      </c>
      <c r="W196" s="20">
        <v>146.49</v>
      </c>
      <c r="X196" s="20">
        <v>146.48999958215899</v>
      </c>
      <c r="Y196" s="20" t="s">
        <v>3025</v>
      </c>
      <c r="Z196" s="111" t="s">
        <v>3013</v>
      </c>
      <c r="AB196" s="20" t="s">
        <v>2376</v>
      </c>
      <c r="AD196" s="20" t="s">
        <v>2376</v>
      </c>
      <c r="AE196" s="20" t="s">
        <v>2376</v>
      </c>
      <c r="AF196" s="20">
        <v>0</v>
      </c>
      <c r="AG196" s="20">
        <v>0</v>
      </c>
      <c r="AH196" s="20">
        <v>0</v>
      </c>
      <c r="AI196" s="20">
        <v>0</v>
      </c>
      <c r="AJ196" s="20">
        <v>0</v>
      </c>
      <c r="AK196" s="20" t="s">
        <v>609</v>
      </c>
      <c r="AL196" s="20">
        <v>0</v>
      </c>
      <c r="AM196" s="20">
        <v>0</v>
      </c>
      <c r="AN196" s="20">
        <v>0</v>
      </c>
      <c r="AO196" s="20">
        <v>0</v>
      </c>
      <c r="AP196" s="20">
        <v>0</v>
      </c>
      <c r="AR196" s="20">
        <v>0</v>
      </c>
      <c r="AS196" s="20">
        <v>0</v>
      </c>
      <c r="AT196" s="20">
        <v>1051764.2</v>
      </c>
      <c r="AU196" s="20" t="s">
        <v>13</v>
      </c>
      <c r="AV196" s="20" t="s">
        <v>62</v>
      </c>
      <c r="AW196" s="111" t="s">
        <v>63</v>
      </c>
      <c r="AX196" s="20" t="s">
        <v>208</v>
      </c>
      <c r="AY196" s="19" t="s">
        <v>209</v>
      </c>
      <c r="AZ196" s="19">
        <v>0</v>
      </c>
      <c r="BA196" s="19">
        <v>144878.60999999999</v>
      </c>
      <c r="BB196" s="19">
        <v>853</v>
      </c>
      <c r="BC196" s="66" t="s">
        <v>3013</v>
      </c>
      <c r="BD196" s="19" t="s">
        <v>65</v>
      </c>
      <c r="BE196" s="19" t="s">
        <v>210</v>
      </c>
      <c r="BF196" s="19" t="s">
        <v>210</v>
      </c>
      <c r="BG196" s="19">
        <v>9</v>
      </c>
      <c r="BH196" s="19">
        <v>13039.07</v>
      </c>
      <c r="BI196" s="19">
        <v>9</v>
      </c>
      <c r="BJ196" s="19">
        <v>13039.07</v>
      </c>
      <c r="BK196" s="19">
        <v>0</v>
      </c>
      <c r="BL196" s="19">
        <v>0</v>
      </c>
      <c r="BM196" s="19">
        <v>0</v>
      </c>
      <c r="BN196" s="19">
        <v>622144815366</v>
      </c>
      <c r="BO196" s="66">
        <v>46217</v>
      </c>
      <c r="BP196" s="19">
        <v>0</v>
      </c>
    </row>
    <row r="197" spans="1:68">
      <c r="A197" s="65"/>
      <c r="B197" s="20" t="s">
        <v>2216</v>
      </c>
      <c r="C197" s="111" t="s">
        <v>3013</v>
      </c>
      <c r="D197" s="20" t="s">
        <v>3682</v>
      </c>
      <c r="E197" s="20" t="s">
        <v>18</v>
      </c>
      <c r="F197" s="20" t="s">
        <v>19</v>
      </c>
      <c r="H197" s="20" t="s">
        <v>3683</v>
      </c>
      <c r="I197" s="20">
        <v>477</v>
      </c>
      <c r="J197" s="20">
        <v>477</v>
      </c>
      <c r="K197" s="20" t="s">
        <v>11</v>
      </c>
      <c r="L197" s="20">
        <v>477</v>
      </c>
      <c r="M197" s="20">
        <v>0</v>
      </c>
      <c r="N197" s="20">
        <v>477</v>
      </c>
      <c r="O197" s="20" t="s">
        <v>2201</v>
      </c>
      <c r="P197" s="20" t="s">
        <v>87</v>
      </c>
      <c r="Q197" s="20" t="s">
        <v>87</v>
      </c>
      <c r="R197" s="20" t="s">
        <v>3025</v>
      </c>
      <c r="S197" s="111" t="s">
        <v>3013</v>
      </c>
      <c r="T197" s="20" t="s">
        <v>206</v>
      </c>
      <c r="U197" s="20" t="s">
        <v>207</v>
      </c>
      <c r="V197" s="20" t="s">
        <v>3024</v>
      </c>
      <c r="W197" s="20">
        <v>147.49</v>
      </c>
      <c r="X197" s="20">
        <v>147.48999957930701</v>
      </c>
      <c r="Y197" s="20" t="s">
        <v>3025</v>
      </c>
      <c r="Z197" s="111" t="s">
        <v>3013</v>
      </c>
      <c r="AB197" s="20" t="s">
        <v>2376</v>
      </c>
      <c r="AD197" s="20" t="s">
        <v>2376</v>
      </c>
      <c r="AE197" s="20" t="s">
        <v>2376</v>
      </c>
      <c r="AF197" s="20">
        <v>0</v>
      </c>
      <c r="AG197" s="20">
        <v>0</v>
      </c>
      <c r="AH197" s="20">
        <v>0</v>
      </c>
      <c r="AI197" s="20">
        <v>0</v>
      </c>
      <c r="AJ197" s="20">
        <v>0</v>
      </c>
      <c r="AK197" s="20" t="s">
        <v>609</v>
      </c>
      <c r="AL197" s="20">
        <v>0</v>
      </c>
      <c r="AM197" s="20">
        <v>0</v>
      </c>
      <c r="AN197" s="20">
        <v>0</v>
      </c>
      <c r="AO197" s="20">
        <v>0</v>
      </c>
      <c r="AP197" s="20">
        <v>0</v>
      </c>
      <c r="AR197" s="20">
        <v>0</v>
      </c>
      <c r="AS197" s="20">
        <v>0</v>
      </c>
      <c r="AT197" s="20">
        <v>1051764.2</v>
      </c>
      <c r="AU197" s="20" t="s">
        <v>13</v>
      </c>
      <c r="AV197" s="20" t="s">
        <v>62</v>
      </c>
      <c r="AW197" s="111" t="s">
        <v>63</v>
      </c>
      <c r="AX197" s="20" t="s">
        <v>208</v>
      </c>
      <c r="AY197" s="19" t="s">
        <v>209</v>
      </c>
      <c r="AZ197" s="19">
        <v>0</v>
      </c>
      <c r="BA197" s="19">
        <v>70352.73</v>
      </c>
      <c r="BB197" s="19">
        <v>853</v>
      </c>
      <c r="BC197" s="66" t="s">
        <v>3013</v>
      </c>
      <c r="BD197" s="19" t="s">
        <v>65</v>
      </c>
      <c r="BE197" s="19" t="s">
        <v>210</v>
      </c>
      <c r="BF197" s="19" t="s">
        <v>210</v>
      </c>
      <c r="BG197" s="19">
        <v>9</v>
      </c>
      <c r="BH197" s="19">
        <v>6331.75</v>
      </c>
      <c r="BI197" s="19">
        <v>9</v>
      </c>
      <c r="BJ197" s="19">
        <v>6331.75</v>
      </c>
      <c r="BK197" s="19">
        <v>0</v>
      </c>
      <c r="BL197" s="19">
        <v>0</v>
      </c>
      <c r="BM197" s="19">
        <v>0</v>
      </c>
      <c r="BN197" s="19">
        <v>622144815366</v>
      </c>
      <c r="BO197" s="66">
        <v>46217</v>
      </c>
      <c r="BP197" s="19">
        <v>0</v>
      </c>
    </row>
    <row r="198" spans="1:68">
      <c r="A198" s="65"/>
      <c r="B198" s="20" t="s">
        <v>2216</v>
      </c>
      <c r="C198" s="111" t="s">
        <v>3013</v>
      </c>
      <c r="D198" s="20" t="s">
        <v>3682</v>
      </c>
      <c r="E198" s="20" t="s">
        <v>1712</v>
      </c>
      <c r="F198" s="20" t="s">
        <v>2949</v>
      </c>
      <c r="H198" s="20" t="s">
        <v>3683</v>
      </c>
      <c r="I198" s="20">
        <v>718</v>
      </c>
      <c r="J198" s="20">
        <v>718</v>
      </c>
      <c r="K198" s="20" t="s">
        <v>11</v>
      </c>
      <c r="L198" s="20">
        <v>718</v>
      </c>
      <c r="M198" s="20">
        <v>0</v>
      </c>
      <c r="N198" s="20">
        <v>718</v>
      </c>
      <c r="O198" s="20" t="s">
        <v>2201</v>
      </c>
      <c r="P198" s="20" t="s">
        <v>87</v>
      </c>
      <c r="Q198" s="20" t="s">
        <v>87</v>
      </c>
      <c r="R198" s="20" t="s">
        <v>3025</v>
      </c>
      <c r="S198" s="111" t="s">
        <v>3013</v>
      </c>
      <c r="T198" s="20" t="s">
        <v>206</v>
      </c>
      <c r="U198" s="20" t="s">
        <v>207</v>
      </c>
      <c r="V198" s="20" t="s">
        <v>3024</v>
      </c>
      <c r="W198" s="20">
        <v>144.49</v>
      </c>
      <c r="X198" s="20">
        <v>144.48999958786399</v>
      </c>
      <c r="Y198" s="20" t="s">
        <v>3025</v>
      </c>
      <c r="Z198" s="111" t="s">
        <v>3013</v>
      </c>
      <c r="AB198" s="20" t="s">
        <v>2376</v>
      </c>
      <c r="AD198" s="20" t="s">
        <v>2376</v>
      </c>
      <c r="AE198" s="20" t="s">
        <v>2376</v>
      </c>
      <c r="AF198" s="20">
        <v>0</v>
      </c>
      <c r="AG198" s="20">
        <v>0</v>
      </c>
      <c r="AH198" s="20">
        <v>0</v>
      </c>
      <c r="AI198" s="20">
        <v>0</v>
      </c>
      <c r="AJ198" s="20">
        <v>0</v>
      </c>
      <c r="AK198" s="20" t="s">
        <v>609</v>
      </c>
      <c r="AL198" s="20">
        <v>0</v>
      </c>
      <c r="AM198" s="20">
        <v>0</v>
      </c>
      <c r="AN198" s="20">
        <v>0</v>
      </c>
      <c r="AO198" s="20">
        <v>0</v>
      </c>
      <c r="AP198" s="20">
        <v>0</v>
      </c>
      <c r="AR198" s="20">
        <v>0</v>
      </c>
      <c r="AS198" s="20">
        <v>0</v>
      </c>
      <c r="AT198" s="20">
        <v>1051764.2</v>
      </c>
      <c r="AU198" s="20" t="s">
        <v>13</v>
      </c>
      <c r="AV198" s="20" t="s">
        <v>62</v>
      </c>
      <c r="AW198" s="111" t="s">
        <v>63</v>
      </c>
      <c r="AX198" s="20" t="s">
        <v>208</v>
      </c>
      <c r="AY198" s="19" t="s">
        <v>209</v>
      </c>
      <c r="AZ198" s="19">
        <v>0</v>
      </c>
      <c r="BA198" s="19">
        <v>103743.82</v>
      </c>
      <c r="BB198" s="19">
        <v>853</v>
      </c>
      <c r="BC198" s="66" t="s">
        <v>3013</v>
      </c>
      <c r="BD198" s="19" t="s">
        <v>65</v>
      </c>
      <c r="BE198" s="19" t="s">
        <v>210</v>
      </c>
      <c r="BF198" s="19" t="s">
        <v>210</v>
      </c>
      <c r="BG198" s="19">
        <v>9</v>
      </c>
      <c r="BH198" s="19">
        <v>9336.94</v>
      </c>
      <c r="BI198" s="19">
        <v>9</v>
      </c>
      <c r="BJ198" s="19">
        <v>9336.94</v>
      </c>
      <c r="BK198" s="19">
        <v>0</v>
      </c>
      <c r="BL198" s="19">
        <v>0</v>
      </c>
      <c r="BM198" s="19">
        <v>0</v>
      </c>
      <c r="BN198" s="19">
        <v>622144815366</v>
      </c>
      <c r="BO198" s="66">
        <v>46217</v>
      </c>
      <c r="BP198" s="19">
        <v>0</v>
      </c>
    </row>
    <row r="199" spans="1:68">
      <c r="A199" s="65"/>
      <c r="B199" s="20" t="s">
        <v>2216</v>
      </c>
      <c r="C199" s="111" t="s">
        <v>3013</v>
      </c>
      <c r="D199" s="20" t="s">
        <v>3682</v>
      </c>
      <c r="E199" s="20" t="s">
        <v>20</v>
      </c>
      <c r="F199" s="20" t="s">
        <v>21</v>
      </c>
      <c r="H199" s="20" t="s">
        <v>3683</v>
      </c>
      <c r="I199" s="20">
        <v>1190</v>
      </c>
      <c r="J199" s="20">
        <v>1190</v>
      </c>
      <c r="K199" s="20" t="s">
        <v>11</v>
      </c>
      <c r="L199" s="20">
        <v>1190</v>
      </c>
      <c r="M199" s="20">
        <v>0</v>
      </c>
      <c r="N199" s="20">
        <v>1190</v>
      </c>
      <c r="O199" s="20" t="s">
        <v>2201</v>
      </c>
      <c r="P199" s="20" t="s">
        <v>87</v>
      </c>
      <c r="Q199" s="20" t="s">
        <v>87</v>
      </c>
      <c r="R199" s="20" t="s">
        <v>3025</v>
      </c>
      <c r="S199" s="111" t="s">
        <v>3013</v>
      </c>
      <c r="T199" s="20" t="s">
        <v>206</v>
      </c>
      <c r="U199" s="20" t="s">
        <v>207</v>
      </c>
      <c r="V199" s="20" t="s">
        <v>3024</v>
      </c>
      <c r="W199" s="20">
        <v>148.49</v>
      </c>
      <c r="X199" s="20">
        <v>148.48999957645401</v>
      </c>
      <c r="Y199" s="20" t="s">
        <v>3025</v>
      </c>
      <c r="Z199" s="111" t="s">
        <v>3013</v>
      </c>
      <c r="AB199" s="20" t="s">
        <v>2376</v>
      </c>
      <c r="AD199" s="20" t="s">
        <v>2376</v>
      </c>
      <c r="AE199" s="20" t="s">
        <v>2376</v>
      </c>
      <c r="AF199" s="20">
        <v>0</v>
      </c>
      <c r="AG199" s="20">
        <v>0</v>
      </c>
      <c r="AH199" s="20">
        <v>0</v>
      </c>
      <c r="AI199" s="20">
        <v>0</v>
      </c>
      <c r="AJ199" s="20">
        <v>0</v>
      </c>
      <c r="AK199" s="20" t="s">
        <v>609</v>
      </c>
      <c r="AL199" s="20">
        <v>0</v>
      </c>
      <c r="AM199" s="20">
        <v>0</v>
      </c>
      <c r="AN199" s="20">
        <v>0</v>
      </c>
      <c r="AO199" s="20">
        <v>0</v>
      </c>
      <c r="AP199" s="20">
        <v>0</v>
      </c>
      <c r="AR199" s="20">
        <v>0</v>
      </c>
      <c r="AS199" s="20">
        <v>0</v>
      </c>
      <c r="AT199" s="20">
        <v>1051764.2</v>
      </c>
      <c r="AU199" s="20" t="s">
        <v>13</v>
      </c>
      <c r="AV199" s="20" t="s">
        <v>62</v>
      </c>
      <c r="AW199" s="111" t="s">
        <v>76</v>
      </c>
      <c r="AX199" s="20" t="s">
        <v>208</v>
      </c>
      <c r="AY199" s="19" t="s">
        <v>209</v>
      </c>
      <c r="AZ199" s="19">
        <v>0</v>
      </c>
      <c r="BA199" s="19">
        <v>176703.1</v>
      </c>
      <c r="BB199" s="19">
        <v>853</v>
      </c>
      <c r="BC199" s="66" t="s">
        <v>3013</v>
      </c>
      <c r="BD199" s="19" t="s">
        <v>65</v>
      </c>
      <c r="BE199" s="19" t="s">
        <v>210</v>
      </c>
      <c r="BF199" s="19" t="s">
        <v>210</v>
      </c>
      <c r="BG199" s="19">
        <v>9</v>
      </c>
      <c r="BH199" s="19">
        <v>15903.28</v>
      </c>
      <c r="BI199" s="19">
        <v>9</v>
      </c>
      <c r="BJ199" s="19">
        <v>15903.28</v>
      </c>
      <c r="BK199" s="19">
        <v>0</v>
      </c>
      <c r="BL199" s="19">
        <v>0</v>
      </c>
      <c r="BM199" s="19">
        <v>0</v>
      </c>
      <c r="BN199" s="19">
        <v>622144815366</v>
      </c>
      <c r="BO199" s="66">
        <v>46217</v>
      </c>
      <c r="BP199" s="19">
        <v>0</v>
      </c>
    </row>
    <row r="200" spans="1:68">
      <c r="A200" s="65"/>
      <c r="B200" s="20" t="s">
        <v>2216</v>
      </c>
      <c r="C200" s="111" t="s">
        <v>3013</v>
      </c>
      <c r="D200" s="20" t="s">
        <v>3682</v>
      </c>
      <c r="E200" s="20" t="s">
        <v>2519</v>
      </c>
      <c r="F200" s="20" t="s">
        <v>2117</v>
      </c>
      <c r="H200" s="20" t="s">
        <v>3683</v>
      </c>
      <c r="I200" s="20">
        <v>151.69999999999999</v>
      </c>
      <c r="J200" s="20">
        <v>151.69999999999999</v>
      </c>
      <c r="K200" s="20" t="s">
        <v>11</v>
      </c>
      <c r="L200" s="20">
        <v>151.69999999999999</v>
      </c>
      <c r="M200" s="20">
        <v>0</v>
      </c>
      <c r="N200" s="20">
        <v>151.69999999999999</v>
      </c>
      <c r="O200" s="20" t="s">
        <v>2201</v>
      </c>
      <c r="P200" s="20" t="s">
        <v>87</v>
      </c>
      <c r="Q200" s="20" t="s">
        <v>87</v>
      </c>
      <c r="R200" s="20" t="s">
        <v>3025</v>
      </c>
      <c r="S200" s="111" t="s">
        <v>3013</v>
      </c>
      <c r="T200" s="20" t="s">
        <v>206</v>
      </c>
      <c r="U200" s="20" t="s">
        <v>207</v>
      </c>
      <c r="V200" s="20" t="s">
        <v>3024</v>
      </c>
      <c r="W200" s="20">
        <v>149.49</v>
      </c>
      <c r="X200" s="20">
        <v>149.48999957360201</v>
      </c>
      <c r="Y200" s="20" t="s">
        <v>3025</v>
      </c>
      <c r="Z200" s="111" t="s">
        <v>3013</v>
      </c>
      <c r="AB200" s="20" t="s">
        <v>2376</v>
      </c>
      <c r="AD200" s="20" t="s">
        <v>2376</v>
      </c>
      <c r="AE200" s="20" t="s">
        <v>2376</v>
      </c>
      <c r="AF200" s="20">
        <v>0</v>
      </c>
      <c r="AG200" s="20">
        <v>0</v>
      </c>
      <c r="AH200" s="20">
        <v>0</v>
      </c>
      <c r="AI200" s="20">
        <v>0</v>
      </c>
      <c r="AJ200" s="20">
        <v>0</v>
      </c>
      <c r="AK200" s="20" t="s">
        <v>609</v>
      </c>
      <c r="AL200" s="20">
        <v>0</v>
      </c>
      <c r="AM200" s="20">
        <v>0</v>
      </c>
      <c r="AN200" s="20">
        <v>0</v>
      </c>
      <c r="AO200" s="20">
        <v>0</v>
      </c>
      <c r="AP200" s="20">
        <v>0</v>
      </c>
      <c r="AR200" s="20">
        <v>0</v>
      </c>
      <c r="AS200" s="20">
        <v>0</v>
      </c>
      <c r="AT200" s="20">
        <v>1051764.2</v>
      </c>
      <c r="AU200" s="20" t="s">
        <v>15</v>
      </c>
      <c r="AV200" s="20" t="s">
        <v>2117</v>
      </c>
      <c r="AW200" s="111" t="s">
        <v>2117</v>
      </c>
      <c r="AX200" s="20" t="s">
        <v>208</v>
      </c>
      <c r="AY200" s="19" t="s">
        <v>209</v>
      </c>
      <c r="AZ200" s="19">
        <v>0</v>
      </c>
      <c r="BA200" s="19">
        <v>22677.63</v>
      </c>
      <c r="BB200" s="19">
        <v>853</v>
      </c>
      <c r="BC200" s="66" t="s">
        <v>3013</v>
      </c>
      <c r="BD200" s="19" t="s">
        <v>65</v>
      </c>
      <c r="BE200" s="19" t="s">
        <v>210</v>
      </c>
      <c r="BF200" s="19" t="s">
        <v>210</v>
      </c>
      <c r="BG200" s="19">
        <v>9</v>
      </c>
      <c r="BH200" s="19">
        <v>2040.99</v>
      </c>
      <c r="BI200" s="19">
        <v>9</v>
      </c>
      <c r="BJ200" s="19">
        <v>2040.99</v>
      </c>
      <c r="BK200" s="19">
        <v>0</v>
      </c>
      <c r="BL200" s="19">
        <v>0</v>
      </c>
      <c r="BM200" s="19">
        <v>0</v>
      </c>
      <c r="BN200" s="19">
        <v>622144815366</v>
      </c>
      <c r="BO200" s="66">
        <v>46217</v>
      </c>
      <c r="BP200" s="19">
        <v>0</v>
      </c>
    </row>
    <row r="201" spans="1:68">
      <c r="A201" s="65"/>
      <c r="B201" s="20" t="s">
        <v>2216</v>
      </c>
      <c r="C201" s="111" t="s">
        <v>3013</v>
      </c>
      <c r="D201" s="20" t="s">
        <v>3682</v>
      </c>
      <c r="E201" s="20" t="s">
        <v>23</v>
      </c>
      <c r="F201" s="20" t="s">
        <v>24</v>
      </c>
      <c r="H201" s="20" t="s">
        <v>3683</v>
      </c>
      <c r="I201" s="20">
        <v>66</v>
      </c>
      <c r="J201" s="20">
        <v>66</v>
      </c>
      <c r="K201" s="20" t="s">
        <v>11</v>
      </c>
      <c r="L201" s="20">
        <v>66</v>
      </c>
      <c r="M201" s="20">
        <v>0</v>
      </c>
      <c r="N201" s="20">
        <v>66</v>
      </c>
      <c r="O201" s="20" t="s">
        <v>2201</v>
      </c>
      <c r="P201" s="20" t="s">
        <v>87</v>
      </c>
      <c r="Q201" s="20" t="s">
        <v>87</v>
      </c>
      <c r="R201" s="20" t="s">
        <v>3025</v>
      </c>
      <c r="S201" s="111" t="s">
        <v>3013</v>
      </c>
      <c r="T201" s="20" t="s">
        <v>206</v>
      </c>
      <c r="U201" s="20" t="s">
        <v>207</v>
      </c>
      <c r="V201" s="20" t="s">
        <v>3024</v>
      </c>
      <c r="W201" s="20">
        <v>149.49</v>
      </c>
      <c r="X201" s="20">
        <v>149.48999957360201</v>
      </c>
      <c r="Y201" s="20" t="s">
        <v>3025</v>
      </c>
      <c r="Z201" s="111" t="s">
        <v>3013</v>
      </c>
      <c r="AB201" s="20" t="s">
        <v>2376</v>
      </c>
      <c r="AD201" s="20" t="s">
        <v>2376</v>
      </c>
      <c r="AE201" s="20" t="s">
        <v>2376</v>
      </c>
      <c r="AF201" s="20">
        <v>0</v>
      </c>
      <c r="AG201" s="20">
        <v>0</v>
      </c>
      <c r="AH201" s="20">
        <v>0</v>
      </c>
      <c r="AI201" s="20">
        <v>0</v>
      </c>
      <c r="AJ201" s="20">
        <v>0</v>
      </c>
      <c r="AK201" s="20" t="s">
        <v>609</v>
      </c>
      <c r="AL201" s="20">
        <v>0</v>
      </c>
      <c r="AM201" s="20">
        <v>0</v>
      </c>
      <c r="AN201" s="20">
        <v>0</v>
      </c>
      <c r="AO201" s="20">
        <v>0</v>
      </c>
      <c r="AP201" s="20">
        <v>0</v>
      </c>
      <c r="AR201" s="20">
        <v>0</v>
      </c>
      <c r="AS201" s="20">
        <v>0</v>
      </c>
      <c r="AT201" s="20">
        <v>1051764.2</v>
      </c>
      <c r="AU201" s="20" t="s">
        <v>13</v>
      </c>
      <c r="AV201" s="20" t="s">
        <v>24</v>
      </c>
      <c r="AW201" s="111" t="s">
        <v>79</v>
      </c>
      <c r="AX201" s="20" t="s">
        <v>208</v>
      </c>
      <c r="AY201" s="19" t="s">
        <v>209</v>
      </c>
      <c r="AZ201" s="19">
        <v>0</v>
      </c>
      <c r="BA201" s="19">
        <v>9866.34</v>
      </c>
      <c r="BB201" s="19">
        <v>853</v>
      </c>
      <c r="BC201" s="66" t="s">
        <v>3013</v>
      </c>
      <c r="BD201" s="19" t="s">
        <v>65</v>
      </c>
      <c r="BE201" s="19" t="s">
        <v>210</v>
      </c>
      <c r="BF201" s="19" t="s">
        <v>210</v>
      </c>
      <c r="BG201" s="19">
        <v>9</v>
      </c>
      <c r="BH201" s="19">
        <v>887.97</v>
      </c>
      <c r="BI201" s="19">
        <v>9</v>
      </c>
      <c r="BJ201" s="19">
        <v>887.97</v>
      </c>
      <c r="BK201" s="19">
        <v>0</v>
      </c>
      <c r="BL201" s="19">
        <v>0</v>
      </c>
      <c r="BM201" s="19">
        <v>0</v>
      </c>
      <c r="BN201" s="19">
        <v>622144815366</v>
      </c>
      <c r="BO201" s="66">
        <v>46217</v>
      </c>
      <c r="BP201" s="19">
        <v>0</v>
      </c>
    </row>
    <row r="202" spans="1:68">
      <c r="A202" s="65"/>
      <c r="B202" s="20" t="s">
        <v>2216</v>
      </c>
      <c r="C202" s="111" t="s">
        <v>3030</v>
      </c>
      <c r="D202" s="20" t="s">
        <v>3684</v>
      </c>
      <c r="E202" s="20" t="s">
        <v>211</v>
      </c>
      <c r="F202" s="20" t="s">
        <v>16</v>
      </c>
      <c r="H202" s="20" t="s">
        <v>3685</v>
      </c>
      <c r="I202" s="20">
        <v>2365</v>
      </c>
      <c r="J202" s="20">
        <v>2365</v>
      </c>
      <c r="K202" s="20" t="s">
        <v>11</v>
      </c>
      <c r="L202" s="20">
        <v>2365</v>
      </c>
      <c r="M202" s="20">
        <v>0</v>
      </c>
      <c r="N202" s="20">
        <v>2365</v>
      </c>
      <c r="O202" s="20" t="s">
        <v>3686</v>
      </c>
      <c r="P202" s="20" t="s">
        <v>89</v>
      </c>
      <c r="Q202" s="20" t="s">
        <v>89</v>
      </c>
      <c r="R202" s="20" t="s">
        <v>3049</v>
      </c>
      <c r="S202" s="111" t="s">
        <v>3033</v>
      </c>
      <c r="T202" s="20" t="s">
        <v>206</v>
      </c>
      <c r="U202" s="20" t="s">
        <v>207</v>
      </c>
      <c r="V202" s="20" t="s">
        <v>3048</v>
      </c>
      <c r="W202" s="20">
        <v>205.83</v>
      </c>
      <c r="X202" s="20">
        <v>205.83</v>
      </c>
      <c r="Y202" s="20" t="s">
        <v>3049</v>
      </c>
      <c r="Z202" s="111" t="s">
        <v>3033</v>
      </c>
      <c r="AB202" s="20" t="s">
        <v>2376</v>
      </c>
      <c r="AD202" s="20" t="s">
        <v>2376</v>
      </c>
      <c r="AE202" s="20" t="s">
        <v>2376</v>
      </c>
      <c r="AF202" s="20">
        <v>0</v>
      </c>
      <c r="AG202" s="20">
        <v>0</v>
      </c>
      <c r="AH202" s="20">
        <v>0</v>
      </c>
      <c r="AI202" s="20">
        <v>0</v>
      </c>
      <c r="AJ202" s="20">
        <v>0</v>
      </c>
      <c r="AK202" s="20" t="s">
        <v>609</v>
      </c>
      <c r="AL202" s="20">
        <v>0</v>
      </c>
      <c r="AM202" s="20">
        <v>0</v>
      </c>
      <c r="AN202" s="20">
        <v>0</v>
      </c>
      <c r="AO202" s="20">
        <v>0</v>
      </c>
      <c r="AP202" s="20">
        <v>0</v>
      </c>
      <c r="AR202" s="20">
        <v>0</v>
      </c>
      <c r="AS202" s="20">
        <v>0</v>
      </c>
      <c r="AT202" s="20">
        <v>1869756.03</v>
      </c>
      <c r="AU202" s="20" t="s">
        <v>15</v>
      </c>
      <c r="AV202" s="20" t="s">
        <v>57</v>
      </c>
      <c r="AW202" s="111" t="s">
        <v>57</v>
      </c>
      <c r="AX202" s="20" t="s">
        <v>15</v>
      </c>
      <c r="AY202" s="19" t="s">
        <v>209</v>
      </c>
      <c r="AZ202" s="19">
        <v>0</v>
      </c>
      <c r="BA202" s="19">
        <v>486787.95</v>
      </c>
      <c r="BB202" s="19">
        <v>863</v>
      </c>
      <c r="BC202" s="66" t="s">
        <v>3030</v>
      </c>
      <c r="BD202" s="19" t="s">
        <v>65</v>
      </c>
      <c r="BE202" s="19" t="s">
        <v>210</v>
      </c>
      <c r="BF202" s="19" t="s">
        <v>210</v>
      </c>
      <c r="BG202" s="19">
        <v>9</v>
      </c>
      <c r="BH202" s="19">
        <v>43810.92</v>
      </c>
      <c r="BI202" s="19">
        <v>9</v>
      </c>
      <c r="BJ202" s="19">
        <v>43810.92</v>
      </c>
      <c r="BK202" s="19">
        <v>0</v>
      </c>
      <c r="BL202" s="19">
        <v>0</v>
      </c>
      <c r="BM202" s="19">
        <v>1869756.03</v>
      </c>
      <c r="BN202" s="19">
        <v>682145596893</v>
      </c>
      <c r="BO202" s="66">
        <v>46218</v>
      </c>
      <c r="BP202" s="19">
        <v>0</v>
      </c>
    </row>
    <row r="203" spans="1:68">
      <c r="A203" s="65"/>
      <c r="B203" s="20" t="s">
        <v>2216</v>
      </c>
      <c r="C203" s="111" t="s">
        <v>3030</v>
      </c>
      <c r="D203" s="20" t="s">
        <v>3684</v>
      </c>
      <c r="E203" s="20" t="s">
        <v>211</v>
      </c>
      <c r="F203" s="20" t="s">
        <v>16</v>
      </c>
      <c r="H203" s="20" t="s">
        <v>3685</v>
      </c>
      <c r="I203" s="20">
        <v>2041</v>
      </c>
      <c r="J203" s="20">
        <v>2041</v>
      </c>
      <c r="K203" s="20" t="s">
        <v>11</v>
      </c>
      <c r="L203" s="20">
        <v>2041</v>
      </c>
      <c r="M203" s="20">
        <v>0</v>
      </c>
      <c r="N203" s="20">
        <v>2041</v>
      </c>
      <c r="O203" s="20" t="s">
        <v>3686</v>
      </c>
      <c r="P203" s="20" t="s">
        <v>89</v>
      </c>
      <c r="Q203" s="20" t="s">
        <v>89</v>
      </c>
      <c r="R203" s="20" t="s">
        <v>3049</v>
      </c>
      <c r="S203" s="111" t="s">
        <v>3033</v>
      </c>
      <c r="T203" s="20" t="s">
        <v>206</v>
      </c>
      <c r="U203" s="20" t="s">
        <v>207</v>
      </c>
      <c r="V203" s="20" t="s">
        <v>3048</v>
      </c>
      <c r="W203" s="20">
        <v>196.14</v>
      </c>
      <c r="X203" s="20">
        <v>196.14</v>
      </c>
      <c r="Y203" s="20" t="s">
        <v>3049</v>
      </c>
      <c r="Z203" s="111" t="s">
        <v>3033</v>
      </c>
      <c r="AB203" s="20" t="s">
        <v>2376</v>
      </c>
      <c r="AD203" s="20" t="s">
        <v>2376</v>
      </c>
      <c r="AE203" s="20" t="s">
        <v>2376</v>
      </c>
      <c r="AF203" s="20">
        <v>0</v>
      </c>
      <c r="AG203" s="20">
        <v>0</v>
      </c>
      <c r="AH203" s="20">
        <v>0</v>
      </c>
      <c r="AI203" s="20">
        <v>0</v>
      </c>
      <c r="AJ203" s="20">
        <v>0</v>
      </c>
      <c r="AK203" s="20" t="s">
        <v>609</v>
      </c>
      <c r="AL203" s="20">
        <v>0</v>
      </c>
      <c r="AM203" s="20">
        <v>0</v>
      </c>
      <c r="AN203" s="20">
        <v>0</v>
      </c>
      <c r="AO203" s="20">
        <v>0</v>
      </c>
      <c r="AP203" s="20">
        <v>0</v>
      </c>
      <c r="AR203" s="20">
        <v>0</v>
      </c>
      <c r="AS203" s="20">
        <v>0</v>
      </c>
      <c r="AT203" s="20">
        <v>1869756.03</v>
      </c>
      <c r="AU203" s="20" t="s">
        <v>15</v>
      </c>
      <c r="AV203" s="20" t="s">
        <v>57</v>
      </c>
      <c r="AW203" s="111" t="s">
        <v>57</v>
      </c>
      <c r="AX203" s="20" t="s">
        <v>15</v>
      </c>
      <c r="AY203" s="19" t="s">
        <v>209</v>
      </c>
      <c r="AZ203" s="19">
        <v>0</v>
      </c>
      <c r="BA203" s="19">
        <v>400321.74</v>
      </c>
      <c r="BB203" s="19">
        <v>863</v>
      </c>
      <c r="BC203" s="66" t="s">
        <v>3030</v>
      </c>
      <c r="BD203" s="19" t="s">
        <v>65</v>
      </c>
      <c r="BE203" s="19" t="s">
        <v>210</v>
      </c>
      <c r="BF203" s="19" t="s">
        <v>210</v>
      </c>
      <c r="BG203" s="19">
        <v>9</v>
      </c>
      <c r="BH203" s="19">
        <v>36028.959999999999</v>
      </c>
      <c r="BI203" s="19">
        <v>9</v>
      </c>
      <c r="BJ203" s="19">
        <v>36028.959999999999</v>
      </c>
      <c r="BK203" s="19">
        <v>0</v>
      </c>
      <c r="BL203" s="19">
        <v>0</v>
      </c>
      <c r="BM203" s="19">
        <v>0</v>
      </c>
      <c r="BN203" s="19">
        <v>682145596893</v>
      </c>
      <c r="BO203" s="66">
        <v>46218</v>
      </c>
      <c r="BP203" s="19">
        <v>0</v>
      </c>
    </row>
    <row r="204" spans="1:68">
      <c r="A204" s="65"/>
      <c r="B204" s="20" t="s">
        <v>2216</v>
      </c>
      <c r="C204" s="111" t="s">
        <v>3030</v>
      </c>
      <c r="D204" s="20" t="s">
        <v>3684</v>
      </c>
      <c r="E204" s="20" t="s">
        <v>211</v>
      </c>
      <c r="F204" s="20" t="s">
        <v>16</v>
      </c>
      <c r="H204" s="20" t="s">
        <v>3685</v>
      </c>
      <c r="I204" s="20">
        <v>3590</v>
      </c>
      <c r="J204" s="20">
        <v>3590</v>
      </c>
      <c r="K204" s="20" t="s">
        <v>11</v>
      </c>
      <c r="L204" s="20">
        <v>3590</v>
      </c>
      <c r="M204" s="20">
        <v>0</v>
      </c>
      <c r="N204" s="20">
        <v>3590</v>
      </c>
      <c r="O204" s="20" t="s">
        <v>3686</v>
      </c>
      <c r="P204" s="20" t="s">
        <v>89</v>
      </c>
      <c r="Q204" s="20" t="s">
        <v>89</v>
      </c>
      <c r="R204" s="20" t="s">
        <v>3049</v>
      </c>
      <c r="S204" s="111" t="s">
        <v>3033</v>
      </c>
      <c r="T204" s="20" t="s">
        <v>206</v>
      </c>
      <c r="U204" s="20" t="s">
        <v>207</v>
      </c>
      <c r="V204" s="20" t="s">
        <v>3048</v>
      </c>
      <c r="W204" s="20">
        <v>194.27</v>
      </c>
      <c r="X204" s="20">
        <v>194.27</v>
      </c>
      <c r="Y204" s="20" t="s">
        <v>3049</v>
      </c>
      <c r="Z204" s="111" t="s">
        <v>3033</v>
      </c>
      <c r="AB204" s="20" t="s">
        <v>2376</v>
      </c>
      <c r="AD204" s="20" t="s">
        <v>2376</v>
      </c>
      <c r="AE204" s="20" t="s">
        <v>2376</v>
      </c>
      <c r="AF204" s="20">
        <v>0</v>
      </c>
      <c r="AG204" s="20">
        <v>0</v>
      </c>
      <c r="AH204" s="20">
        <v>0</v>
      </c>
      <c r="AI204" s="20">
        <v>0</v>
      </c>
      <c r="AJ204" s="20">
        <v>0</v>
      </c>
      <c r="AK204" s="20" t="s">
        <v>609</v>
      </c>
      <c r="AL204" s="20">
        <v>0</v>
      </c>
      <c r="AM204" s="20">
        <v>0</v>
      </c>
      <c r="AN204" s="20">
        <v>0</v>
      </c>
      <c r="AO204" s="20">
        <v>0</v>
      </c>
      <c r="AP204" s="20">
        <v>0</v>
      </c>
      <c r="AR204" s="20">
        <v>0</v>
      </c>
      <c r="AS204" s="20">
        <v>0</v>
      </c>
      <c r="AT204" s="20">
        <v>1869756.03</v>
      </c>
      <c r="AU204" s="20" t="s">
        <v>15</v>
      </c>
      <c r="AV204" s="20" t="s">
        <v>57</v>
      </c>
      <c r="AW204" s="111" t="s">
        <v>57</v>
      </c>
      <c r="AX204" s="20" t="s">
        <v>15</v>
      </c>
      <c r="AY204" s="19" t="s">
        <v>209</v>
      </c>
      <c r="AZ204" s="19">
        <v>0</v>
      </c>
      <c r="BA204" s="19">
        <v>697429.3</v>
      </c>
      <c r="BB204" s="19">
        <v>863</v>
      </c>
      <c r="BC204" s="66" t="s">
        <v>3030</v>
      </c>
      <c r="BD204" s="19" t="s">
        <v>65</v>
      </c>
      <c r="BE204" s="19" t="s">
        <v>210</v>
      </c>
      <c r="BF204" s="19" t="s">
        <v>210</v>
      </c>
      <c r="BG204" s="19">
        <v>9</v>
      </c>
      <c r="BH204" s="19">
        <v>62768.639999999999</v>
      </c>
      <c r="BI204" s="19">
        <v>9</v>
      </c>
      <c r="BJ204" s="19">
        <v>62768.639999999999</v>
      </c>
      <c r="BK204" s="19">
        <v>0</v>
      </c>
      <c r="BL204" s="19">
        <v>0</v>
      </c>
      <c r="BM204" s="19">
        <v>0</v>
      </c>
      <c r="BN204" s="19">
        <v>682145596893</v>
      </c>
      <c r="BO204" s="66">
        <v>46218</v>
      </c>
      <c r="BP204" s="19">
        <v>0</v>
      </c>
    </row>
    <row r="205" spans="1:68">
      <c r="A205" s="65"/>
      <c r="B205" s="20" t="s">
        <v>2216</v>
      </c>
      <c r="C205" s="111" t="s">
        <v>3030</v>
      </c>
      <c r="D205" s="20" t="s">
        <v>3687</v>
      </c>
      <c r="E205" s="20" t="s">
        <v>23</v>
      </c>
      <c r="F205" s="20" t="s">
        <v>24</v>
      </c>
      <c r="H205" s="20" t="s">
        <v>3688</v>
      </c>
      <c r="I205" s="20">
        <v>910.3</v>
      </c>
      <c r="J205" s="20">
        <v>910.3</v>
      </c>
      <c r="K205" s="20" t="s">
        <v>11</v>
      </c>
      <c r="L205" s="20">
        <v>910.3</v>
      </c>
      <c r="M205" s="20">
        <v>0</v>
      </c>
      <c r="N205" s="20">
        <v>910.3</v>
      </c>
      <c r="O205" s="20" t="s">
        <v>2203</v>
      </c>
      <c r="P205" s="20" t="s">
        <v>87</v>
      </c>
      <c r="Q205" s="20" t="s">
        <v>87</v>
      </c>
      <c r="R205" s="20" t="s">
        <v>3037</v>
      </c>
      <c r="S205" s="111" t="s">
        <v>3033</v>
      </c>
      <c r="T205" s="20" t="s">
        <v>206</v>
      </c>
      <c r="U205" s="20" t="s">
        <v>207</v>
      </c>
      <c r="V205" s="20" t="s">
        <v>3036</v>
      </c>
      <c r="W205" s="20">
        <v>146.49</v>
      </c>
      <c r="X205" s="20">
        <v>146.490000476744</v>
      </c>
      <c r="Y205" s="20" t="s">
        <v>3037</v>
      </c>
      <c r="Z205" s="111" t="s">
        <v>3033</v>
      </c>
      <c r="AB205" s="20" t="s">
        <v>2376</v>
      </c>
      <c r="AD205" s="20" t="s">
        <v>2376</v>
      </c>
      <c r="AE205" s="20" t="s">
        <v>2376</v>
      </c>
      <c r="AF205" s="20">
        <v>0</v>
      </c>
      <c r="AG205" s="20">
        <v>0</v>
      </c>
      <c r="AH205" s="20">
        <v>0</v>
      </c>
      <c r="AI205" s="20">
        <v>0</v>
      </c>
      <c r="AJ205" s="20">
        <v>0</v>
      </c>
      <c r="AK205" s="20" t="s">
        <v>609</v>
      </c>
      <c r="AL205" s="20">
        <v>0</v>
      </c>
      <c r="AM205" s="20">
        <v>0</v>
      </c>
      <c r="AN205" s="20">
        <v>0</v>
      </c>
      <c r="AO205" s="20">
        <v>0</v>
      </c>
      <c r="AP205" s="20">
        <v>0</v>
      </c>
      <c r="AR205" s="20">
        <v>0</v>
      </c>
      <c r="AS205" s="20">
        <v>0</v>
      </c>
      <c r="AT205" s="20">
        <v>614544.13</v>
      </c>
      <c r="AU205" s="20" t="s">
        <v>13</v>
      </c>
      <c r="AV205" s="20" t="s">
        <v>24</v>
      </c>
      <c r="AW205" s="111" t="s">
        <v>79</v>
      </c>
      <c r="AX205" s="20" t="s">
        <v>208</v>
      </c>
      <c r="AY205" s="19" t="s">
        <v>209</v>
      </c>
      <c r="AZ205" s="19">
        <v>0</v>
      </c>
      <c r="BA205" s="19">
        <v>133349.85</v>
      </c>
      <c r="BB205" s="19">
        <v>861</v>
      </c>
      <c r="BC205" s="66" t="s">
        <v>3033</v>
      </c>
      <c r="BD205" s="19" t="s">
        <v>65</v>
      </c>
      <c r="BE205" s="19" t="s">
        <v>210</v>
      </c>
      <c r="BF205" s="19" t="s">
        <v>210</v>
      </c>
      <c r="BG205" s="19">
        <v>9</v>
      </c>
      <c r="BH205" s="19">
        <v>12001.49</v>
      </c>
      <c r="BI205" s="19">
        <v>9</v>
      </c>
      <c r="BJ205" s="19">
        <v>12001.49</v>
      </c>
      <c r="BK205" s="19">
        <v>0</v>
      </c>
      <c r="BL205" s="19">
        <v>0</v>
      </c>
      <c r="BM205" s="19">
        <v>614544.13</v>
      </c>
      <c r="BN205" s="19">
        <v>612145492561</v>
      </c>
      <c r="BO205" s="66">
        <v>46218</v>
      </c>
      <c r="BP205" s="19">
        <v>0</v>
      </c>
    </row>
    <row r="206" spans="1:68">
      <c r="A206" s="65"/>
      <c r="B206" s="20" t="s">
        <v>2216</v>
      </c>
      <c r="C206" s="111" t="s">
        <v>3030</v>
      </c>
      <c r="D206" s="20" t="s">
        <v>3687</v>
      </c>
      <c r="E206" s="20" t="s">
        <v>23</v>
      </c>
      <c r="F206" s="20" t="s">
        <v>24</v>
      </c>
      <c r="H206" s="20" t="s">
        <v>3688</v>
      </c>
      <c r="I206" s="20">
        <v>839.9</v>
      </c>
      <c r="J206" s="20">
        <v>839.9</v>
      </c>
      <c r="K206" s="20" t="s">
        <v>11</v>
      </c>
      <c r="L206" s="20">
        <v>839.9</v>
      </c>
      <c r="M206" s="20">
        <v>0</v>
      </c>
      <c r="N206" s="20">
        <v>839.9</v>
      </c>
      <c r="O206" s="20" t="s">
        <v>2203</v>
      </c>
      <c r="P206" s="20" t="s">
        <v>87</v>
      </c>
      <c r="Q206" s="20" t="s">
        <v>87</v>
      </c>
      <c r="R206" s="20" t="s">
        <v>3037</v>
      </c>
      <c r="S206" s="111" t="s">
        <v>3033</v>
      </c>
      <c r="T206" s="20" t="s">
        <v>206</v>
      </c>
      <c r="U206" s="20" t="s">
        <v>207</v>
      </c>
      <c r="V206" s="20" t="s">
        <v>3036</v>
      </c>
      <c r="W206" s="20">
        <v>149.49</v>
      </c>
      <c r="X206" s="20">
        <v>149.490000486507</v>
      </c>
      <c r="Y206" s="20" t="s">
        <v>3037</v>
      </c>
      <c r="Z206" s="111" t="s">
        <v>3033</v>
      </c>
      <c r="AB206" s="20" t="s">
        <v>2376</v>
      </c>
      <c r="AD206" s="20" t="s">
        <v>2376</v>
      </c>
      <c r="AE206" s="20" t="s">
        <v>2376</v>
      </c>
      <c r="AF206" s="20">
        <v>0</v>
      </c>
      <c r="AG206" s="20">
        <v>0</v>
      </c>
      <c r="AH206" s="20">
        <v>0</v>
      </c>
      <c r="AI206" s="20">
        <v>0</v>
      </c>
      <c r="AJ206" s="20">
        <v>0</v>
      </c>
      <c r="AK206" s="20" t="s">
        <v>609</v>
      </c>
      <c r="AL206" s="20">
        <v>0</v>
      </c>
      <c r="AM206" s="20">
        <v>0</v>
      </c>
      <c r="AN206" s="20">
        <v>0</v>
      </c>
      <c r="AO206" s="20">
        <v>0</v>
      </c>
      <c r="AP206" s="20">
        <v>0</v>
      </c>
      <c r="AR206" s="20">
        <v>0</v>
      </c>
      <c r="AS206" s="20">
        <v>0</v>
      </c>
      <c r="AT206" s="20">
        <v>614544.13</v>
      </c>
      <c r="AU206" s="20" t="s">
        <v>13</v>
      </c>
      <c r="AV206" s="20" t="s">
        <v>24</v>
      </c>
      <c r="AW206" s="111" t="s">
        <v>79</v>
      </c>
      <c r="AX206" s="20" t="s">
        <v>208</v>
      </c>
      <c r="AY206" s="19" t="s">
        <v>209</v>
      </c>
      <c r="AZ206" s="19">
        <v>0</v>
      </c>
      <c r="BA206" s="19">
        <v>125556.65</v>
      </c>
      <c r="BB206" s="19">
        <v>861</v>
      </c>
      <c r="BC206" s="66" t="s">
        <v>3033</v>
      </c>
      <c r="BD206" s="19" t="s">
        <v>65</v>
      </c>
      <c r="BE206" s="19" t="s">
        <v>210</v>
      </c>
      <c r="BF206" s="19" t="s">
        <v>210</v>
      </c>
      <c r="BG206" s="19">
        <v>9</v>
      </c>
      <c r="BH206" s="19">
        <v>11300.1</v>
      </c>
      <c r="BI206" s="19">
        <v>9</v>
      </c>
      <c r="BJ206" s="19">
        <v>11300.1</v>
      </c>
      <c r="BK206" s="19">
        <v>0</v>
      </c>
      <c r="BL206" s="19">
        <v>0</v>
      </c>
      <c r="BM206" s="19">
        <v>0</v>
      </c>
      <c r="BN206" s="19">
        <v>612145492561</v>
      </c>
      <c r="BO206" s="66">
        <v>46218</v>
      </c>
      <c r="BP206" s="19">
        <v>0</v>
      </c>
    </row>
    <row r="207" spans="1:68">
      <c r="A207" s="65"/>
      <c r="B207" s="20" t="s">
        <v>2216</v>
      </c>
      <c r="C207" s="111" t="s">
        <v>3030</v>
      </c>
      <c r="D207" s="20" t="s">
        <v>3687</v>
      </c>
      <c r="E207" s="20" t="s">
        <v>160</v>
      </c>
      <c r="F207" s="20" t="s">
        <v>17</v>
      </c>
      <c r="H207" s="20" t="s">
        <v>3688</v>
      </c>
      <c r="I207" s="20">
        <v>733</v>
      </c>
      <c r="J207" s="20">
        <v>733</v>
      </c>
      <c r="K207" s="20" t="s">
        <v>11</v>
      </c>
      <c r="L207" s="20">
        <v>733</v>
      </c>
      <c r="M207" s="20">
        <v>0</v>
      </c>
      <c r="N207" s="20">
        <v>733</v>
      </c>
      <c r="O207" s="20" t="s">
        <v>2203</v>
      </c>
      <c r="P207" s="20" t="s">
        <v>87</v>
      </c>
      <c r="Q207" s="20" t="s">
        <v>87</v>
      </c>
      <c r="R207" s="20" t="s">
        <v>3037</v>
      </c>
      <c r="S207" s="111" t="s">
        <v>3033</v>
      </c>
      <c r="T207" s="20" t="s">
        <v>206</v>
      </c>
      <c r="U207" s="20" t="s">
        <v>207</v>
      </c>
      <c r="V207" s="20" t="s">
        <v>3036</v>
      </c>
      <c r="W207" s="20">
        <v>186.78</v>
      </c>
      <c r="X207" s="20">
        <v>186.78000060786499</v>
      </c>
      <c r="Y207" s="20" t="s">
        <v>3037</v>
      </c>
      <c r="Z207" s="111" t="s">
        <v>3033</v>
      </c>
      <c r="AB207" s="20" t="s">
        <v>2376</v>
      </c>
      <c r="AD207" s="20" t="s">
        <v>2376</v>
      </c>
      <c r="AE207" s="20" t="s">
        <v>2376</v>
      </c>
      <c r="AF207" s="20">
        <v>0</v>
      </c>
      <c r="AG207" s="20">
        <v>0</v>
      </c>
      <c r="AH207" s="20">
        <v>0</v>
      </c>
      <c r="AI207" s="20">
        <v>0</v>
      </c>
      <c r="AJ207" s="20">
        <v>0</v>
      </c>
      <c r="AK207" s="20" t="s">
        <v>609</v>
      </c>
      <c r="AL207" s="20">
        <v>0</v>
      </c>
      <c r="AM207" s="20">
        <v>0</v>
      </c>
      <c r="AN207" s="20">
        <v>0</v>
      </c>
      <c r="AO207" s="20">
        <v>0</v>
      </c>
      <c r="AP207" s="20">
        <v>0</v>
      </c>
      <c r="AR207" s="20">
        <v>0</v>
      </c>
      <c r="AS207" s="20">
        <v>0</v>
      </c>
      <c r="AT207" s="20">
        <v>614544.13</v>
      </c>
      <c r="AU207" s="20" t="s">
        <v>13</v>
      </c>
      <c r="AV207" s="20" t="s">
        <v>80</v>
      </c>
      <c r="AW207" s="111" t="s">
        <v>81</v>
      </c>
      <c r="AX207" s="20" t="s">
        <v>208</v>
      </c>
      <c r="AY207" s="19" t="s">
        <v>209</v>
      </c>
      <c r="AZ207" s="19">
        <v>0</v>
      </c>
      <c r="BA207" s="19">
        <v>136909.74</v>
      </c>
      <c r="BB207" s="19">
        <v>861</v>
      </c>
      <c r="BC207" s="66" t="s">
        <v>3033</v>
      </c>
      <c r="BD207" s="19" t="s">
        <v>65</v>
      </c>
      <c r="BE207" s="19" t="s">
        <v>210</v>
      </c>
      <c r="BF207" s="19" t="s">
        <v>210</v>
      </c>
      <c r="BG207" s="19">
        <v>9</v>
      </c>
      <c r="BH207" s="19">
        <v>12321.88</v>
      </c>
      <c r="BI207" s="19">
        <v>9</v>
      </c>
      <c r="BJ207" s="19">
        <v>12321.88</v>
      </c>
      <c r="BK207" s="19">
        <v>0</v>
      </c>
      <c r="BL207" s="19">
        <v>0</v>
      </c>
      <c r="BM207" s="19">
        <v>0</v>
      </c>
      <c r="BN207" s="19">
        <v>612145492561</v>
      </c>
      <c r="BO207" s="66">
        <v>46218</v>
      </c>
      <c r="BP207" s="19">
        <v>0</v>
      </c>
    </row>
    <row r="208" spans="1:68">
      <c r="A208" s="65"/>
      <c r="B208" s="20" t="s">
        <v>2216</v>
      </c>
      <c r="C208" s="111" t="s">
        <v>3030</v>
      </c>
      <c r="D208" s="20" t="s">
        <v>3687</v>
      </c>
      <c r="E208" s="20" t="s">
        <v>18</v>
      </c>
      <c r="F208" s="20" t="s">
        <v>19</v>
      </c>
      <c r="H208" s="20" t="s">
        <v>3688</v>
      </c>
      <c r="I208" s="20">
        <v>865</v>
      </c>
      <c r="J208" s="20">
        <v>865</v>
      </c>
      <c r="K208" s="20" t="s">
        <v>11</v>
      </c>
      <c r="L208" s="20">
        <v>865</v>
      </c>
      <c r="M208" s="20">
        <v>0</v>
      </c>
      <c r="N208" s="20">
        <v>865</v>
      </c>
      <c r="O208" s="20" t="s">
        <v>2203</v>
      </c>
      <c r="P208" s="20" t="s">
        <v>87</v>
      </c>
      <c r="Q208" s="20" t="s">
        <v>87</v>
      </c>
      <c r="R208" s="20" t="s">
        <v>3037</v>
      </c>
      <c r="S208" s="111" t="s">
        <v>3033</v>
      </c>
      <c r="T208" s="20" t="s">
        <v>206</v>
      </c>
      <c r="U208" s="20" t="s">
        <v>207</v>
      </c>
      <c r="V208" s="20" t="s">
        <v>3036</v>
      </c>
      <c r="W208" s="20">
        <v>144.49</v>
      </c>
      <c r="X208" s="20">
        <v>144.490000470235</v>
      </c>
      <c r="Y208" s="20" t="s">
        <v>3037</v>
      </c>
      <c r="Z208" s="111" t="s">
        <v>3033</v>
      </c>
      <c r="AB208" s="20" t="s">
        <v>2376</v>
      </c>
      <c r="AD208" s="20" t="s">
        <v>2376</v>
      </c>
      <c r="AE208" s="20" t="s">
        <v>2376</v>
      </c>
      <c r="AF208" s="20">
        <v>0</v>
      </c>
      <c r="AG208" s="20">
        <v>0</v>
      </c>
      <c r="AH208" s="20">
        <v>0</v>
      </c>
      <c r="AI208" s="20">
        <v>0</v>
      </c>
      <c r="AJ208" s="20">
        <v>0</v>
      </c>
      <c r="AK208" s="20" t="s">
        <v>609</v>
      </c>
      <c r="AL208" s="20">
        <v>0</v>
      </c>
      <c r="AM208" s="20">
        <v>0</v>
      </c>
      <c r="AN208" s="20">
        <v>0</v>
      </c>
      <c r="AO208" s="20">
        <v>0</v>
      </c>
      <c r="AP208" s="20">
        <v>0</v>
      </c>
      <c r="AR208" s="20">
        <v>0</v>
      </c>
      <c r="AS208" s="20">
        <v>0</v>
      </c>
      <c r="AT208" s="20">
        <v>614544.13</v>
      </c>
      <c r="AU208" s="20" t="s">
        <v>13</v>
      </c>
      <c r="AV208" s="20" t="s">
        <v>62</v>
      </c>
      <c r="AW208" s="111" t="s">
        <v>63</v>
      </c>
      <c r="AX208" s="20" t="s">
        <v>208</v>
      </c>
      <c r="AY208" s="19" t="s">
        <v>209</v>
      </c>
      <c r="AZ208" s="19">
        <v>0</v>
      </c>
      <c r="BA208" s="19">
        <v>124983.85</v>
      </c>
      <c r="BB208" s="19">
        <v>861</v>
      </c>
      <c r="BC208" s="66" t="s">
        <v>3033</v>
      </c>
      <c r="BD208" s="19" t="s">
        <v>65</v>
      </c>
      <c r="BE208" s="19" t="s">
        <v>210</v>
      </c>
      <c r="BF208" s="19" t="s">
        <v>210</v>
      </c>
      <c r="BG208" s="19">
        <v>9</v>
      </c>
      <c r="BH208" s="19">
        <v>11248.55</v>
      </c>
      <c r="BI208" s="19">
        <v>9</v>
      </c>
      <c r="BJ208" s="19">
        <v>11248.55</v>
      </c>
      <c r="BK208" s="19">
        <v>0</v>
      </c>
      <c r="BL208" s="19">
        <v>0</v>
      </c>
      <c r="BM208" s="19">
        <v>0</v>
      </c>
      <c r="BN208" s="19">
        <v>612145492561</v>
      </c>
      <c r="BO208" s="66">
        <v>46218</v>
      </c>
      <c r="BP208" s="19">
        <v>0</v>
      </c>
    </row>
    <row r="209" spans="1:68">
      <c r="A209" s="65"/>
      <c r="B209" s="20" t="s">
        <v>2216</v>
      </c>
      <c r="C209" s="20" t="s">
        <v>3030</v>
      </c>
      <c r="D209" s="20" t="s">
        <v>3689</v>
      </c>
      <c r="E209" s="20" t="s">
        <v>18</v>
      </c>
      <c r="F209" s="20" t="s">
        <v>19</v>
      </c>
      <c r="H209" s="20" t="s">
        <v>3690</v>
      </c>
      <c r="I209" s="20">
        <v>4938</v>
      </c>
      <c r="J209" s="20">
        <v>4938</v>
      </c>
      <c r="K209" s="20" t="s">
        <v>11</v>
      </c>
      <c r="L209" s="20">
        <v>4938</v>
      </c>
      <c r="M209" s="20">
        <v>0</v>
      </c>
      <c r="N209" s="20">
        <v>4938</v>
      </c>
      <c r="O209" s="20" t="s">
        <v>2201</v>
      </c>
      <c r="P209" s="20" t="s">
        <v>87</v>
      </c>
      <c r="Q209" s="20" t="s">
        <v>87</v>
      </c>
      <c r="R209" s="20" t="s">
        <v>3039</v>
      </c>
      <c r="S209" s="20" t="s">
        <v>3033</v>
      </c>
      <c r="T209" s="20" t="s">
        <v>206</v>
      </c>
      <c r="U209" s="20" t="s">
        <v>207</v>
      </c>
      <c r="V209" s="20" t="s">
        <v>3038</v>
      </c>
      <c r="W209" s="20">
        <v>144.49</v>
      </c>
      <c r="X209" s="20">
        <v>144.49</v>
      </c>
      <c r="Y209" s="20" t="s">
        <v>3039</v>
      </c>
      <c r="Z209" s="20" t="s">
        <v>3033</v>
      </c>
      <c r="AB209" s="20" t="s">
        <v>2376</v>
      </c>
      <c r="AD209" s="20" t="s">
        <v>2376</v>
      </c>
      <c r="AE209" s="20" t="s">
        <v>2376</v>
      </c>
      <c r="AF209" s="20">
        <v>0</v>
      </c>
      <c r="AG209" s="20">
        <v>0</v>
      </c>
      <c r="AH209" s="20">
        <v>0</v>
      </c>
      <c r="AI209" s="20">
        <v>0</v>
      </c>
      <c r="AJ209" s="20">
        <v>0</v>
      </c>
      <c r="AK209" s="20" t="s">
        <v>609</v>
      </c>
      <c r="AL209" s="20">
        <v>0</v>
      </c>
      <c r="AM209" s="20">
        <v>0</v>
      </c>
      <c r="AN209" s="20">
        <v>0</v>
      </c>
      <c r="AO209" s="20">
        <v>0</v>
      </c>
      <c r="AP209" s="20">
        <v>0</v>
      </c>
      <c r="AR209" s="20">
        <v>0</v>
      </c>
      <c r="AS209" s="20">
        <v>0</v>
      </c>
      <c r="AT209" s="20">
        <v>1764588.37</v>
      </c>
      <c r="AU209" s="20" t="s">
        <v>13</v>
      </c>
      <c r="AV209" s="20" t="s">
        <v>62</v>
      </c>
      <c r="AW209" s="111" t="s">
        <v>63</v>
      </c>
      <c r="AX209" s="20" t="s">
        <v>208</v>
      </c>
      <c r="AY209" s="19" t="s">
        <v>209</v>
      </c>
      <c r="AZ209" s="19">
        <v>0</v>
      </c>
      <c r="BA209" s="19">
        <v>713491.62</v>
      </c>
      <c r="BB209" s="19">
        <v>860</v>
      </c>
      <c r="BC209" s="19" t="s">
        <v>3033</v>
      </c>
      <c r="BD209" s="19" t="s">
        <v>65</v>
      </c>
      <c r="BE209" s="19" t="s">
        <v>210</v>
      </c>
      <c r="BF209" s="19" t="s">
        <v>210</v>
      </c>
      <c r="BG209" s="19">
        <v>9</v>
      </c>
      <c r="BH209" s="19">
        <v>64214.25</v>
      </c>
      <c r="BI209" s="19">
        <v>9</v>
      </c>
      <c r="BJ209" s="19">
        <v>64214.25</v>
      </c>
      <c r="BK209" s="19">
        <v>0</v>
      </c>
      <c r="BL209" s="19">
        <v>0</v>
      </c>
      <c r="BM209" s="19">
        <v>1764588.37</v>
      </c>
      <c r="BN209" s="19">
        <v>612145452453</v>
      </c>
      <c r="BO209" s="66">
        <v>46218</v>
      </c>
      <c r="BP209" s="19">
        <v>0</v>
      </c>
    </row>
    <row r="210" spans="1:68">
      <c r="A210" s="65"/>
      <c r="B210" s="20" t="s">
        <v>2216</v>
      </c>
      <c r="C210" s="20" t="s">
        <v>3030</v>
      </c>
      <c r="D210" s="20" t="s">
        <v>3689</v>
      </c>
      <c r="E210" s="20" t="s">
        <v>18</v>
      </c>
      <c r="F210" s="20" t="s">
        <v>19</v>
      </c>
      <c r="H210" s="20" t="s">
        <v>3690</v>
      </c>
      <c r="I210" s="20">
        <v>891</v>
      </c>
      <c r="J210" s="20">
        <v>891</v>
      </c>
      <c r="K210" s="20" t="s">
        <v>11</v>
      </c>
      <c r="L210" s="20">
        <v>891</v>
      </c>
      <c r="M210" s="20">
        <v>0</v>
      </c>
      <c r="N210" s="20">
        <v>891</v>
      </c>
      <c r="O210" s="20" t="s">
        <v>2201</v>
      </c>
      <c r="P210" s="20" t="s">
        <v>87</v>
      </c>
      <c r="Q210" s="20" t="s">
        <v>87</v>
      </c>
      <c r="R210" s="20" t="s">
        <v>3039</v>
      </c>
      <c r="S210" s="20" t="s">
        <v>3033</v>
      </c>
      <c r="T210" s="20" t="s">
        <v>206</v>
      </c>
      <c r="U210" s="20" t="s">
        <v>207</v>
      </c>
      <c r="V210" s="20" t="s">
        <v>3038</v>
      </c>
      <c r="W210" s="20">
        <v>147.49</v>
      </c>
      <c r="X210" s="20">
        <v>147.49</v>
      </c>
      <c r="Y210" s="20" t="s">
        <v>3039</v>
      </c>
      <c r="Z210" s="20" t="s">
        <v>3033</v>
      </c>
      <c r="AB210" s="20" t="s">
        <v>2376</v>
      </c>
      <c r="AD210" s="20" t="s">
        <v>2376</v>
      </c>
      <c r="AE210" s="20" t="s">
        <v>2376</v>
      </c>
      <c r="AF210" s="20">
        <v>0</v>
      </c>
      <c r="AG210" s="20">
        <v>0</v>
      </c>
      <c r="AH210" s="20">
        <v>0</v>
      </c>
      <c r="AI210" s="20">
        <v>0</v>
      </c>
      <c r="AJ210" s="20">
        <v>0</v>
      </c>
      <c r="AK210" s="20" t="s">
        <v>609</v>
      </c>
      <c r="AL210" s="20">
        <v>0</v>
      </c>
      <c r="AM210" s="20">
        <v>0</v>
      </c>
      <c r="AN210" s="20">
        <v>0</v>
      </c>
      <c r="AO210" s="20">
        <v>0</v>
      </c>
      <c r="AP210" s="20">
        <v>0</v>
      </c>
      <c r="AR210" s="20">
        <v>0</v>
      </c>
      <c r="AS210" s="20">
        <v>0</v>
      </c>
      <c r="AT210" s="20">
        <v>1764588.37</v>
      </c>
      <c r="AU210" s="20" t="s">
        <v>13</v>
      </c>
      <c r="AV210" s="20" t="s">
        <v>62</v>
      </c>
      <c r="AW210" s="111" t="s">
        <v>63</v>
      </c>
      <c r="AX210" s="20" t="s">
        <v>208</v>
      </c>
      <c r="AY210" s="19" t="s">
        <v>209</v>
      </c>
      <c r="AZ210" s="19">
        <v>0</v>
      </c>
      <c r="BA210" s="19">
        <v>131413.59</v>
      </c>
      <c r="BB210" s="19">
        <v>860</v>
      </c>
      <c r="BC210" s="19" t="s">
        <v>3033</v>
      </c>
      <c r="BD210" s="19" t="s">
        <v>65</v>
      </c>
      <c r="BE210" s="19" t="s">
        <v>210</v>
      </c>
      <c r="BF210" s="19" t="s">
        <v>210</v>
      </c>
      <c r="BG210" s="19">
        <v>9</v>
      </c>
      <c r="BH210" s="19">
        <v>11827.22</v>
      </c>
      <c r="BI210" s="19">
        <v>9</v>
      </c>
      <c r="BJ210" s="19">
        <v>11827.22</v>
      </c>
      <c r="BK210" s="19">
        <v>0</v>
      </c>
      <c r="BL210" s="19">
        <v>0</v>
      </c>
      <c r="BM210" s="19">
        <v>0</v>
      </c>
      <c r="BN210" s="19">
        <v>612145452453</v>
      </c>
      <c r="BO210" s="66">
        <v>46218</v>
      </c>
      <c r="BP210" s="19">
        <v>0</v>
      </c>
    </row>
    <row r="211" spans="1:68">
      <c r="A211" s="65"/>
      <c r="B211" s="20" t="s">
        <v>2216</v>
      </c>
      <c r="C211" s="20" t="s">
        <v>3030</v>
      </c>
      <c r="D211" s="20" t="s">
        <v>3689</v>
      </c>
      <c r="E211" s="20" t="s">
        <v>18</v>
      </c>
      <c r="F211" s="20" t="s">
        <v>19</v>
      </c>
      <c r="H211" s="20" t="s">
        <v>3690</v>
      </c>
      <c r="I211" s="20">
        <v>2916</v>
      </c>
      <c r="J211" s="20">
        <v>2916</v>
      </c>
      <c r="K211" s="20" t="s">
        <v>11</v>
      </c>
      <c r="L211" s="20">
        <v>2916</v>
      </c>
      <c r="M211" s="20">
        <v>0</v>
      </c>
      <c r="N211" s="20">
        <v>2916</v>
      </c>
      <c r="O211" s="20" t="s">
        <v>2201</v>
      </c>
      <c r="P211" s="20" t="s">
        <v>87</v>
      </c>
      <c r="Q211" s="20" t="s">
        <v>87</v>
      </c>
      <c r="R211" s="20" t="s">
        <v>3039</v>
      </c>
      <c r="S211" s="20" t="s">
        <v>3033</v>
      </c>
      <c r="T211" s="20" t="s">
        <v>206</v>
      </c>
      <c r="U211" s="20" t="s">
        <v>207</v>
      </c>
      <c r="V211" s="20" t="s">
        <v>3038</v>
      </c>
      <c r="W211" s="20">
        <v>146.49</v>
      </c>
      <c r="X211" s="20">
        <v>146.49</v>
      </c>
      <c r="Y211" s="20" t="s">
        <v>3039</v>
      </c>
      <c r="Z211" s="20" t="s">
        <v>3033</v>
      </c>
      <c r="AB211" s="20" t="s">
        <v>2376</v>
      </c>
      <c r="AD211" s="20" t="s">
        <v>2376</v>
      </c>
      <c r="AE211" s="20" t="s">
        <v>2376</v>
      </c>
      <c r="AF211" s="20">
        <v>0</v>
      </c>
      <c r="AG211" s="20">
        <v>0</v>
      </c>
      <c r="AH211" s="20">
        <v>0</v>
      </c>
      <c r="AI211" s="20">
        <v>0</v>
      </c>
      <c r="AJ211" s="20">
        <v>0</v>
      </c>
      <c r="AK211" s="20" t="s">
        <v>609</v>
      </c>
      <c r="AL211" s="20">
        <v>0</v>
      </c>
      <c r="AM211" s="20">
        <v>0</v>
      </c>
      <c r="AN211" s="20">
        <v>0</v>
      </c>
      <c r="AO211" s="20">
        <v>0</v>
      </c>
      <c r="AP211" s="20">
        <v>0</v>
      </c>
      <c r="AR211" s="20">
        <v>0</v>
      </c>
      <c r="AS211" s="20">
        <v>0</v>
      </c>
      <c r="AT211" s="20">
        <v>1764588.37</v>
      </c>
      <c r="AU211" s="20" t="s">
        <v>13</v>
      </c>
      <c r="AV211" s="20" t="s">
        <v>62</v>
      </c>
      <c r="AW211" s="111" t="s">
        <v>63</v>
      </c>
      <c r="AX211" s="20" t="s">
        <v>208</v>
      </c>
      <c r="AY211" s="19" t="s">
        <v>209</v>
      </c>
      <c r="AZ211" s="19">
        <v>0</v>
      </c>
      <c r="BA211" s="19">
        <v>427164.84</v>
      </c>
      <c r="BB211" s="19">
        <v>860</v>
      </c>
      <c r="BC211" s="19" t="s">
        <v>3033</v>
      </c>
      <c r="BD211" s="19" t="s">
        <v>65</v>
      </c>
      <c r="BE211" s="19" t="s">
        <v>210</v>
      </c>
      <c r="BF211" s="19" t="s">
        <v>210</v>
      </c>
      <c r="BG211" s="19">
        <v>9</v>
      </c>
      <c r="BH211" s="19">
        <v>38444.839999999997</v>
      </c>
      <c r="BI211" s="19">
        <v>9</v>
      </c>
      <c r="BJ211" s="19">
        <v>38444.839999999997</v>
      </c>
      <c r="BK211" s="19">
        <v>0</v>
      </c>
      <c r="BL211" s="19">
        <v>0</v>
      </c>
      <c r="BM211" s="19">
        <v>0</v>
      </c>
      <c r="BN211" s="19">
        <v>612145452453</v>
      </c>
      <c r="BO211" s="66">
        <v>46218</v>
      </c>
      <c r="BP211" s="19">
        <v>0</v>
      </c>
    </row>
    <row r="212" spans="1:68">
      <c r="A212" s="65"/>
      <c r="B212" s="20" t="s">
        <v>2216</v>
      </c>
      <c r="C212" s="20" t="s">
        <v>3030</v>
      </c>
      <c r="D212" s="20" t="s">
        <v>3689</v>
      </c>
      <c r="E212" s="20" t="s">
        <v>20</v>
      </c>
      <c r="F212" s="20" t="s">
        <v>21</v>
      </c>
      <c r="H212" s="20" t="s">
        <v>3690</v>
      </c>
      <c r="I212" s="20">
        <v>486</v>
      </c>
      <c r="J212" s="20">
        <v>486</v>
      </c>
      <c r="K212" s="20" t="s">
        <v>11</v>
      </c>
      <c r="L212" s="20">
        <v>486</v>
      </c>
      <c r="M212" s="20">
        <v>0</v>
      </c>
      <c r="N212" s="20">
        <v>486</v>
      </c>
      <c r="O212" s="20" t="s">
        <v>2201</v>
      </c>
      <c r="P212" s="20" t="s">
        <v>87</v>
      </c>
      <c r="Q212" s="20" t="s">
        <v>87</v>
      </c>
      <c r="R212" s="20" t="s">
        <v>3039</v>
      </c>
      <c r="S212" s="111" t="s">
        <v>3033</v>
      </c>
      <c r="T212" s="20" t="s">
        <v>206</v>
      </c>
      <c r="U212" s="20" t="s">
        <v>207</v>
      </c>
      <c r="V212" s="20" t="s">
        <v>3038</v>
      </c>
      <c r="W212" s="20">
        <v>148.49</v>
      </c>
      <c r="X212" s="20">
        <v>148.49</v>
      </c>
      <c r="Y212" s="20" t="s">
        <v>3039</v>
      </c>
      <c r="Z212" s="111" t="s">
        <v>3033</v>
      </c>
      <c r="AB212" s="20" t="s">
        <v>2376</v>
      </c>
      <c r="AD212" s="20" t="s">
        <v>2376</v>
      </c>
      <c r="AE212" s="20" t="s">
        <v>2376</v>
      </c>
      <c r="AF212" s="20">
        <v>0</v>
      </c>
      <c r="AG212" s="20">
        <v>0</v>
      </c>
      <c r="AH212" s="20">
        <v>0</v>
      </c>
      <c r="AI212" s="20">
        <v>0</v>
      </c>
      <c r="AJ212" s="20">
        <v>0</v>
      </c>
      <c r="AK212" s="20" t="s">
        <v>609</v>
      </c>
      <c r="AL212" s="20">
        <v>0</v>
      </c>
      <c r="AM212" s="20">
        <v>0</v>
      </c>
      <c r="AN212" s="20">
        <v>0</v>
      </c>
      <c r="AO212" s="20">
        <v>0</v>
      </c>
      <c r="AP212" s="20">
        <v>0</v>
      </c>
      <c r="AR212" s="20">
        <v>0</v>
      </c>
      <c r="AS212" s="20">
        <v>0</v>
      </c>
      <c r="AT212" s="20">
        <v>1764588.37</v>
      </c>
      <c r="AU212" s="20" t="s">
        <v>13</v>
      </c>
      <c r="AV212" s="20" t="s">
        <v>62</v>
      </c>
      <c r="AW212" s="111" t="s">
        <v>76</v>
      </c>
      <c r="AX212" s="20" t="s">
        <v>208</v>
      </c>
      <c r="AY212" s="19" t="s">
        <v>209</v>
      </c>
      <c r="AZ212" s="19">
        <v>0</v>
      </c>
      <c r="BA212" s="19">
        <v>72166.14</v>
      </c>
      <c r="BB212" s="19">
        <v>860</v>
      </c>
      <c r="BC212" s="19" t="s">
        <v>3033</v>
      </c>
      <c r="BD212" s="19" t="s">
        <v>65</v>
      </c>
      <c r="BE212" s="19" t="s">
        <v>210</v>
      </c>
      <c r="BF212" s="19" t="s">
        <v>210</v>
      </c>
      <c r="BG212" s="19">
        <v>9</v>
      </c>
      <c r="BH212" s="19">
        <v>6494.95</v>
      </c>
      <c r="BI212" s="19">
        <v>9</v>
      </c>
      <c r="BJ212" s="19">
        <v>6494.95</v>
      </c>
      <c r="BK212" s="19">
        <v>0</v>
      </c>
      <c r="BL212" s="19">
        <v>0</v>
      </c>
      <c r="BM212" s="19">
        <v>0</v>
      </c>
      <c r="BN212" s="19">
        <v>612145452453</v>
      </c>
      <c r="BO212" s="66">
        <v>46218</v>
      </c>
      <c r="BP212" s="19">
        <v>0</v>
      </c>
    </row>
    <row r="213" spans="1:68">
      <c r="A213" s="65"/>
      <c r="B213" s="20" t="s">
        <v>2216</v>
      </c>
      <c r="C213" s="20" t="s">
        <v>3030</v>
      </c>
      <c r="D213" s="20" t="s">
        <v>3689</v>
      </c>
      <c r="E213" s="20" t="s">
        <v>20</v>
      </c>
      <c r="F213" s="20" t="s">
        <v>21</v>
      </c>
      <c r="H213" s="20" t="s">
        <v>3690</v>
      </c>
      <c r="I213" s="20">
        <v>1032</v>
      </c>
      <c r="J213" s="20">
        <v>1032</v>
      </c>
      <c r="K213" s="20" t="s">
        <v>11</v>
      </c>
      <c r="L213" s="20">
        <v>1032</v>
      </c>
      <c r="M213" s="20">
        <v>0</v>
      </c>
      <c r="N213" s="20">
        <v>1032</v>
      </c>
      <c r="O213" s="20" t="s">
        <v>2201</v>
      </c>
      <c r="P213" s="20" t="s">
        <v>87</v>
      </c>
      <c r="Q213" s="20" t="s">
        <v>87</v>
      </c>
      <c r="R213" s="20" t="s">
        <v>3039</v>
      </c>
      <c r="S213" s="111" t="s">
        <v>3033</v>
      </c>
      <c r="T213" s="20" t="s">
        <v>206</v>
      </c>
      <c r="U213" s="20" t="s">
        <v>207</v>
      </c>
      <c r="V213" s="20" t="s">
        <v>3038</v>
      </c>
      <c r="W213" s="20">
        <v>146.49</v>
      </c>
      <c r="X213" s="20">
        <v>146.49</v>
      </c>
      <c r="Y213" s="20" t="s">
        <v>3039</v>
      </c>
      <c r="Z213" s="111" t="s">
        <v>3033</v>
      </c>
      <c r="AB213" s="20" t="s">
        <v>2376</v>
      </c>
      <c r="AD213" s="20" t="s">
        <v>2376</v>
      </c>
      <c r="AE213" s="20" t="s">
        <v>2376</v>
      </c>
      <c r="AF213" s="20">
        <v>0</v>
      </c>
      <c r="AG213" s="20">
        <v>0</v>
      </c>
      <c r="AH213" s="20">
        <v>0</v>
      </c>
      <c r="AI213" s="20">
        <v>0</v>
      </c>
      <c r="AJ213" s="20">
        <v>0</v>
      </c>
      <c r="AK213" s="20" t="s">
        <v>609</v>
      </c>
      <c r="AL213" s="20">
        <v>0</v>
      </c>
      <c r="AM213" s="20">
        <v>0</v>
      </c>
      <c r="AN213" s="20">
        <v>0</v>
      </c>
      <c r="AO213" s="20">
        <v>0</v>
      </c>
      <c r="AP213" s="20">
        <v>0</v>
      </c>
      <c r="AR213" s="20">
        <v>0</v>
      </c>
      <c r="AS213" s="20">
        <v>0</v>
      </c>
      <c r="AT213" s="20">
        <v>1764588.37</v>
      </c>
      <c r="AU213" s="20" t="s">
        <v>13</v>
      </c>
      <c r="AV213" s="20" t="s">
        <v>62</v>
      </c>
      <c r="AW213" s="111" t="s">
        <v>76</v>
      </c>
      <c r="AX213" s="20" t="s">
        <v>208</v>
      </c>
      <c r="AY213" s="19" t="s">
        <v>209</v>
      </c>
      <c r="AZ213" s="19">
        <v>0</v>
      </c>
      <c r="BA213" s="19">
        <v>151177.68</v>
      </c>
      <c r="BB213" s="19">
        <v>860</v>
      </c>
      <c r="BC213" s="19" t="s">
        <v>3033</v>
      </c>
      <c r="BD213" s="19" t="s">
        <v>65</v>
      </c>
      <c r="BE213" s="19" t="s">
        <v>210</v>
      </c>
      <c r="BF213" s="19" t="s">
        <v>210</v>
      </c>
      <c r="BG213" s="19">
        <v>9</v>
      </c>
      <c r="BH213" s="19">
        <v>13605.99</v>
      </c>
      <c r="BI213" s="19">
        <v>9</v>
      </c>
      <c r="BJ213" s="19">
        <v>13605.99</v>
      </c>
      <c r="BK213" s="19">
        <v>0</v>
      </c>
      <c r="BL213" s="19">
        <v>0</v>
      </c>
      <c r="BM213" s="19">
        <v>0</v>
      </c>
      <c r="BN213" s="19">
        <v>612145452453</v>
      </c>
      <c r="BO213" s="66">
        <v>46218</v>
      </c>
      <c r="BP213" s="19">
        <v>0</v>
      </c>
    </row>
    <row r="214" spans="1:68">
      <c r="A214" s="65"/>
      <c r="B214" s="20" t="s">
        <v>2216</v>
      </c>
      <c r="C214" s="20" t="s">
        <v>3030</v>
      </c>
      <c r="D214" s="20" t="s">
        <v>3691</v>
      </c>
      <c r="E214" s="20" t="s">
        <v>2519</v>
      </c>
      <c r="F214" s="20" t="s">
        <v>2117</v>
      </c>
      <c r="H214" s="20" t="s">
        <v>3692</v>
      </c>
      <c r="I214" s="20">
        <v>360</v>
      </c>
      <c r="J214" s="20">
        <v>360</v>
      </c>
      <c r="K214" s="20" t="s">
        <v>11</v>
      </c>
      <c r="L214" s="20">
        <v>360</v>
      </c>
      <c r="M214" s="20">
        <v>0</v>
      </c>
      <c r="N214" s="20">
        <v>360</v>
      </c>
      <c r="O214" s="20" t="s">
        <v>2204</v>
      </c>
      <c r="P214" s="20" t="s">
        <v>94</v>
      </c>
      <c r="Q214" s="20" t="s">
        <v>94</v>
      </c>
      <c r="R214" s="20" t="s">
        <v>1528</v>
      </c>
      <c r="S214" s="111" t="s">
        <v>3030</v>
      </c>
      <c r="T214" s="20" t="s">
        <v>206</v>
      </c>
      <c r="U214" s="20" t="s">
        <v>207</v>
      </c>
      <c r="V214" s="20" t="s">
        <v>3051</v>
      </c>
      <c r="W214" s="20">
        <v>154.74</v>
      </c>
      <c r="X214" s="20">
        <v>154.739996682537</v>
      </c>
      <c r="Y214" s="20" t="s">
        <v>1528</v>
      </c>
      <c r="Z214" s="111" t="s">
        <v>3030</v>
      </c>
      <c r="AB214" s="20" t="s">
        <v>2376</v>
      </c>
      <c r="AD214" s="20" t="s">
        <v>2376</v>
      </c>
      <c r="AE214" s="20" t="s">
        <v>2376</v>
      </c>
      <c r="AF214" s="20">
        <v>0</v>
      </c>
      <c r="AG214" s="20">
        <v>0</v>
      </c>
      <c r="AH214" s="20">
        <v>0</v>
      </c>
      <c r="AI214" s="20">
        <v>0</v>
      </c>
      <c r="AJ214" s="20">
        <v>0</v>
      </c>
      <c r="AK214" s="20" t="s">
        <v>609</v>
      </c>
      <c r="AL214" s="20">
        <v>0</v>
      </c>
      <c r="AM214" s="20">
        <v>0</v>
      </c>
      <c r="AN214" s="20">
        <v>0</v>
      </c>
      <c r="AO214" s="20">
        <v>0</v>
      </c>
      <c r="AP214" s="20">
        <v>0</v>
      </c>
      <c r="AR214" s="20">
        <v>0</v>
      </c>
      <c r="AS214" s="20">
        <v>0</v>
      </c>
      <c r="AT214" s="20">
        <v>186576.33</v>
      </c>
      <c r="AU214" s="20" t="s">
        <v>15</v>
      </c>
      <c r="AV214" s="20" t="s">
        <v>2117</v>
      </c>
      <c r="AW214" s="111" t="s">
        <v>2117</v>
      </c>
      <c r="AX214" s="20" t="s">
        <v>208</v>
      </c>
      <c r="AY214" s="19" t="s">
        <v>209</v>
      </c>
      <c r="AZ214" s="19">
        <v>0</v>
      </c>
      <c r="BA214" s="19">
        <v>55706.400000000001</v>
      </c>
      <c r="BB214" s="19">
        <v>872</v>
      </c>
      <c r="BC214" s="19" t="s">
        <v>3030</v>
      </c>
      <c r="BD214" s="19" t="s">
        <v>74</v>
      </c>
      <c r="BE214" s="19" t="s">
        <v>210</v>
      </c>
      <c r="BF214" s="19" t="s">
        <v>210</v>
      </c>
      <c r="BG214" s="19">
        <v>9</v>
      </c>
      <c r="BH214" s="19">
        <v>5013.58</v>
      </c>
      <c r="BI214" s="19">
        <v>9</v>
      </c>
      <c r="BJ214" s="19">
        <v>5013.58</v>
      </c>
      <c r="BK214" s="19">
        <v>0</v>
      </c>
      <c r="BL214" s="19">
        <v>0</v>
      </c>
      <c r="BM214" s="19">
        <v>186576.33</v>
      </c>
      <c r="BN214" s="19">
        <v>632146234067</v>
      </c>
      <c r="BO214" s="66">
        <v>46219</v>
      </c>
      <c r="BP214" s="19">
        <v>0</v>
      </c>
    </row>
    <row r="215" spans="1:68">
      <c r="A215" s="65"/>
      <c r="B215" s="20" t="s">
        <v>2216</v>
      </c>
      <c r="C215" s="20" t="s">
        <v>3030</v>
      </c>
      <c r="D215" s="20" t="s">
        <v>3691</v>
      </c>
      <c r="E215" s="20" t="s">
        <v>20</v>
      </c>
      <c r="F215" s="20" t="s">
        <v>21</v>
      </c>
      <c r="H215" s="20" t="s">
        <v>3692</v>
      </c>
      <c r="I215" s="20">
        <v>105</v>
      </c>
      <c r="J215" s="20">
        <v>105</v>
      </c>
      <c r="K215" s="20" t="s">
        <v>11</v>
      </c>
      <c r="L215" s="20">
        <v>105</v>
      </c>
      <c r="M215" s="20">
        <v>0</v>
      </c>
      <c r="N215" s="20">
        <v>105</v>
      </c>
      <c r="O215" s="20" t="s">
        <v>2204</v>
      </c>
      <c r="P215" s="20" t="s">
        <v>94</v>
      </c>
      <c r="Q215" s="20" t="s">
        <v>94</v>
      </c>
      <c r="R215" s="20" t="s">
        <v>1528</v>
      </c>
      <c r="S215" s="20" t="s">
        <v>3030</v>
      </c>
      <c r="T215" s="20" t="s">
        <v>206</v>
      </c>
      <c r="U215" s="20" t="s">
        <v>207</v>
      </c>
      <c r="V215" s="20" t="s">
        <v>3051</v>
      </c>
      <c r="W215" s="20">
        <v>158.74</v>
      </c>
      <c r="X215" s="20">
        <v>158.73999659678199</v>
      </c>
      <c r="Y215" s="20" t="s">
        <v>1528</v>
      </c>
      <c r="Z215" s="20" t="s">
        <v>3030</v>
      </c>
      <c r="AB215" s="20" t="s">
        <v>2376</v>
      </c>
      <c r="AD215" s="20" t="s">
        <v>2376</v>
      </c>
      <c r="AE215" s="20" t="s">
        <v>2376</v>
      </c>
      <c r="AF215" s="20">
        <v>0</v>
      </c>
      <c r="AG215" s="20">
        <v>0</v>
      </c>
      <c r="AH215" s="20">
        <v>0</v>
      </c>
      <c r="AI215" s="20">
        <v>0</v>
      </c>
      <c r="AJ215" s="20">
        <v>0</v>
      </c>
      <c r="AK215" s="20" t="s">
        <v>609</v>
      </c>
      <c r="AL215" s="20">
        <v>0</v>
      </c>
      <c r="AM215" s="20">
        <v>0</v>
      </c>
      <c r="AN215" s="20">
        <v>0</v>
      </c>
      <c r="AO215" s="20">
        <v>0</v>
      </c>
      <c r="AP215" s="20">
        <v>0</v>
      </c>
      <c r="AR215" s="20">
        <v>0</v>
      </c>
      <c r="AS215" s="20">
        <v>0</v>
      </c>
      <c r="AT215" s="20">
        <v>186576.33</v>
      </c>
      <c r="AU215" s="20" t="s">
        <v>13</v>
      </c>
      <c r="AV215" s="20" t="s">
        <v>62</v>
      </c>
      <c r="AW215" s="111" t="s">
        <v>76</v>
      </c>
      <c r="AX215" s="20" t="s">
        <v>208</v>
      </c>
      <c r="AY215" s="19" t="s">
        <v>209</v>
      </c>
      <c r="AZ215" s="19">
        <v>0</v>
      </c>
      <c r="BA215" s="19">
        <v>16667.7</v>
      </c>
      <c r="BB215" s="19">
        <v>872</v>
      </c>
      <c r="BC215" s="19" t="s">
        <v>3030</v>
      </c>
      <c r="BD215" s="19" t="s">
        <v>74</v>
      </c>
      <c r="BE215" s="19" t="s">
        <v>210</v>
      </c>
      <c r="BF215" s="19" t="s">
        <v>210</v>
      </c>
      <c r="BG215" s="19">
        <v>9</v>
      </c>
      <c r="BH215" s="19">
        <v>1500.09</v>
      </c>
      <c r="BI215" s="19">
        <v>9</v>
      </c>
      <c r="BJ215" s="19">
        <v>1500.09</v>
      </c>
      <c r="BK215" s="19">
        <v>0</v>
      </c>
      <c r="BL215" s="19">
        <v>0</v>
      </c>
      <c r="BM215" s="19">
        <v>0</v>
      </c>
      <c r="BN215" s="19">
        <v>632146234067</v>
      </c>
      <c r="BO215" s="66">
        <v>46219</v>
      </c>
      <c r="BP215" s="19">
        <v>0</v>
      </c>
    </row>
    <row r="216" spans="1:68">
      <c r="A216" s="65"/>
      <c r="B216" s="20" t="s">
        <v>2216</v>
      </c>
      <c r="C216" s="20" t="s">
        <v>3030</v>
      </c>
      <c r="D216" s="20" t="s">
        <v>3691</v>
      </c>
      <c r="E216" s="20" t="s">
        <v>18</v>
      </c>
      <c r="F216" s="20" t="s">
        <v>19</v>
      </c>
      <c r="H216" s="20" t="s">
        <v>3692</v>
      </c>
      <c r="I216" s="20">
        <v>554.1</v>
      </c>
      <c r="J216" s="20">
        <v>554.1</v>
      </c>
      <c r="K216" s="20" t="s">
        <v>11</v>
      </c>
      <c r="L216" s="20">
        <v>554.1</v>
      </c>
      <c r="M216" s="20">
        <v>0</v>
      </c>
      <c r="N216" s="20">
        <v>554.1</v>
      </c>
      <c r="O216" s="20" t="s">
        <v>2204</v>
      </c>
      <c r="P216" s="20" t="s">
        <v>94</v>
      </c>
      <c r="Q216" s="20" t="s">
        <v>94</v>
      </c>
      <c r="R216" s="20" t="s">
        <v>1528</v>
      </c>
      <c r="S216" s="20" t="s">
        <v>3030</v>
      </c>
      <c r="T216" s="20" t="s">
        <v>206</v>
      </c>
      <c r="U216" s="20" t="s">
        <v>207</v>
      </c>
      <c r="V216" s="20" t="s">
        <v>3051</v>
      </c>
      <c r="W216" s="20">
        <v>154.74</v>
      </c>
      <c r="X216" s="20">
        <v>154.739996682537</v>
      </c>
      <c r="Y216" s="20" t="s">
        <v>1528</v>
      </c>
      <c r="Z216" s="20" t="s">
        <v>3030</v>
      </c>
      <c r="AB216" s="20" t="s">
        <v>2376</v>
      </c>
      <c r="AD216" s="20" t="s">
        <v>2376</v>
      </c>
      <c r="AE216" s="20" t="s">
        <v>2376</v>
      </c>
      <c r="AF216" s="20">
        <v>0</v>
      </c>
      <c r="AG216" s="20">
        <v>0</v>
      </c>
      <c r="AH216" s="20">
        <v>0</v>
      </c>
      <c r="AI216" s="20">
        <v>0</v>
      </c>
      <c r="AJ216" s="20">
        <v>0</v>
      </c>
      <c r="AK216" s="20" t="s">
        <v>609</v>
      </c>
      <c r="AL216" s="20">
        <v>0</v>
      </c>
      <c r="AM216" s="20">
        <v>0</v>
      </c>
      <c r="AN216" s="20">
        <v>0</v>
      </c>
      <c r="AO216" s="20">
        <v>0</v>
      </c>
      <c r="AP216" s="20">
        <v>0</v>
      </c>
      <c r="AR216" s="20">
        <v>0</v>
      </c>
      <c r="AS216" s="20">
        <v>0</v>
      </c>
      <c r="AT216" s="20">
        <v>186576.33</v>
      </c>
      <c r="AU216" s="20" t="s">
        <v>13</v>
      </c>
      <c r="AV216" s="20" t="s">
        <v>62</v>
      </c>
      <c r="AW216" s="111" t="s">
        <v>63</v>
      </c>
      <c r="AX216" s="20" t="s">
        <v>208</v>
      </c>
      <c r="AY216" s="19" t="s">
        <v>209</v>
      </c>
      <c r="AZ216" s="19">
        <v>0</v>
      </c>
      <c r="BA216" s="19">
        <v>85741.43</v>
      </c>
      <c r="BB216" s="19">
        <v>872</v>
      </c>
      <c r="BC216" s="19" t="s">
        <v>3030</v>
      </c>
      <c r="BD216" s="19" t="s">
        <v>74</v>
      </c>
      <c r="BE216" s="19" t="s">
        <v>210</v>
      </c>
      <c r="BF216" s="19" t="s">
        <v>210</v>
      </c>
      <c r="BG216" s="19">
        <v>9</v>
      </c>
      <c r="BH216" s="19">
        <v>7716.73</v>
      </c>
      <c r="BI216" s="19">
        <v>9</v>
      </c>
      <c r="BJ216" s="19">
        <v>7716.73</v>
      </c>
      <c r="BK216" s="19">
        <v>0</v>
      </c>
      <c r="BL216" s="19">
        <v>0</v>
      </c>
      <c r="BM216" s="19">
        <v>0</v>
      </c>
      <c r="BN216" s="19">
        <v>632146234067</v>
      </c>
      <c r="BO216" s="66">
        <v>46219</v>
      </c>
      <c r="BP216" s="19">
        <v>0</v>
      </c>
    </row>
    <row r="217" spans="1:68">
      <c r="A217" s="65"/>
      <c r="B217" s="20" t="s">
        <v>2216</v>
      </c>
      <c r="C217" s="20" t="s">
        <v>3030</v>
      </c>
      <c r="D217" s="20" t="s">
        <v>3693</v>
      </c>
      <c r="E217" s="20" t="s">
        <v>18</v>
      </c>
      <c r="F217" s="20" t="s">
        <v>19</v>
      </c>
      <c r="H217" s="20" t="s">
        <v>3694</v>
      </c>
      <c r="I217" s="20">
        <v>4791</v>
      </c>
      <c r="J217" s="20">
        <v>4791</v>
      </c>
      <c r="K217" s="20" t="s">
        <v>11</v>
      </c>
      <c r="L217" s="20">
        <v>4791</v>
      </c>
      <c r="M217" s="20">
        <v>0</v>
      </c>
      <c r="N217" s="20">
        <v>4791</v>
      </c>
      <c r="O217" s="20" t="s">
        <v>2201</v>
      </c>
      <c r="P217" s="20" t="s">
        <v>87</v>
      </c>
      <c r="Q217" s="20" t="s">
        <v>87</v>
      </c>
      <c r="R217" s="20" t="s">
        <v>3041</v>
      </c>
      <c r="S217" s="111" t="s">
        <v>3030</v>
      </c>
      <c r="T217" s="20" t="s">
        <v>206</v>
      </c>
      <c r="U217" s="20" t="s">
        <v>207</v>
      </c>
      <c r="V217" s="20" t="s">
        <v>3040</v>
      </c>
      <c r="W217" s="20">
        <v>144.49</v>
      </c>
      <c r="X217" s="20">
        <v>144.49</v>
      </c>
      <c r="Y217" s="20" t="s">
        <v>3041</v>
      </c>
      <c r="Z217" s="111" t="s">
        <v>3030</v>
      </c>
      <c r="AB217" s="20" t="s">
        <v>2376</v>
      </c>
      <c r="AD217" s="20" t="s">
        <v>2376</v>
      </c>
      <c r="AE217" s="20" t="s">
        <v>2376</v>
      </c>
      <c r="AF217" s="20">
        <v>0</v>
      </c>
      <c r="AG217" s="20">
        <v>0</v>
      </c>
      <c r="AH217" s="20">
        <v>0</v>
      </c>
      <c r="AI217" s="20">
        <v>0</v>
      </c>
      <c r="AJ217" s="20">
        <v>0</v>
      </c>
      <c r="AK217" s="20" t="s">
        <v>609</v>
      </c>
      <c r="AL217" s="20">
        <v>0</v>
      </c>
      <c r="AM217" s="20">
        <v>0</v>
      </c>
      <c r="AN217" s="20">
        <v>0</v>
      </c>
      <c r="AO217" s="20">
        <v>0</v>
      </c>
      <c r="AP217" s="20">
        <v>0</v>
      </c>
      <c r="AR217" s="20">
        <v>0</v>
      </c>
      <c r="AS217" s="20">
        <v>0</v>
      </c>
      <c r="AT217" s="20">
        <v>1145862.0900000001</v>
      </c>
      <c r="AU217" s="20" t="s">
        <v>13</v>
      </c>
      <c r="AV217" s="20" t="s">
        <v>62</v>
      </c>
      <c r="AW217" s="111" t="s">
        <v>63</v>
      </c>
      <c r="AX217" s="20" t="s">
        <v>208</v>
      </c>
      <c r="AY217" s="19" t="s">
        <v>209</v>
      </c>
      <c r="AZ217" s="19">
        <v>0</v>
      </c>
      <c r="BA217" s="19">
        <v>692251.59</v>
      </c>
      <c r="BB217" s="19">
        <v>864</v>
      </c>
      <c r="BC217" s="19" t="s">
        <v>3030</v>
      </c>
      <c r="BD217" s="19" t="s">
        <v>65</v>
      </c>
      <c r="BE217" s="19" t="s">
        <v>210</v>
      </c>
      <c r="BF217" s="19" t="s">
        <v>210</v>
      </c>
      <c r="BG217" s="19">
        <v>9</v>
      </c>
      <c r="BH217" s="19">
        <v>62302.64</v>
      </c>
      <c r="BI217" s="19">
        <v>9</v>
      </c>
      <c r="BJ217" s="19">
        <v>62302.64</v>
      </c>
      <c r="BK217" s="19">
        <v>0</v>
      </c>
      <c r="BL217" s="19">
        <v>0</v>
      </c>
      <c r="BM217" s="19">
        <v>1145862.0900000001</v>
      </c>
      <c r="BN217" s="19">
        <v>632146043140</v>
      </c>
      <c r="BO217" s="66">
        <v>46219</v>
      </c>
      <c r="BP217" s="19">
        <v>0</v>
      </c>
    </row>
    <row r="218" spans="1:68">
      <c r="A218" s="65"/>
      <c r="B218" s="20" t="s">
        <v>2216</v>
      </c>
      <c r="C218" s="20" t="s">
        <v>3030</v>
      </c>
      <c r="D218" s="20" t="s">
        <v>3693</v>
      </c>
      <c r="E218" s="20" t="s">
        <v>18</v>
      </c>
      <c r="F218" s="20" t="s">
        <v>19</v>
      </c>
      <c r="H218" s="20" t="s">
        <v>3694</v>
      </c>
      <c r="I218" s="20">
        <v>194</v>
      </c>
      <c r="J218" s="20">
        <v>194</v>
      </c>
      <c r="K218" s="20" t="s">
        <v>11</v>
      </c>
      <c r="L218" s="20">
        <v>194</v>
      </c>
      <c r="M218" s="20">
        <v>0</v>
      </c>
      <c r="N218" s="20">
        <v>194</v>
      </c>
      <c r="O218" s="20" t="s">
        <v>2201</v>
      </c>
      <c r="P218" s="20" t="s">
        <v>87</v>
      </c>
      <c r="Q218" s="20" t="s">
        <v>87</v>
      </c>
      <c r="R218" s="20" t="s">
        <v>3041</v>
      </c>
      <c r="S218" s="20" t="s">
        <v>3030</v>
      </c>
      <c r="T218" s="20" t="s">
        <v>206</v>
      </c>
      <c r="U218" s="20" t="s">
        <v>207</v>
      </c>
      <c r="V218" s="20" t="s">
        <v>3040</v>
      </c>
      <c r="W218" s="20">
        <v>147.49</v>
      </c>
      <c r="X218" s="20">
        <v>147.49</v>
      </c>
      <c r="Y218" s="20" t="s">
        <v>3041</v>
      </c>
      <c r="Z218" s="20" t="s">
        <v>3030</v>
      </c>
      <c r="AB218" s="20" t="s">
        <v>2376</v>
      </c>
      <c r="AD218" s="20" t="s">
        <v>2376</v>
      </c>
      <c r="AE218" s="20" t="s">
        <v>2376</v>
      </c>
      <c r="AF218" s="20">
        <v>0</v>
      </c>
      <c r="AG218" s="20">
        <v>0</v>
      </c>
      <c r="AH218" s="20">
        <v>0</v>
      </c>
      <c r="AI218" s="20">
        <v>0</v>
      </c>
      <c r="AJ218" s="20">
        <v>0</v>
      </c>
      <c r="AK218" s="20" t="s">
        <v>609</v>
      </c>
      <c r="AL218" s="20">
        <v>0</v>
      </c>
      <c r="AM218" s="20">
        <v>0</v>
      </c>
      <c r="AN218" s="20">
        <v>0</v>
      </c>
      <c r="AO218" s="20">
        <v>0</v>
      </c>
      <c r="AP218" s="20">
        <v>0</v>
      </c>
      <c r="AR218" s="20">
        <v>0</v>
      </c>
      <c r="AS218" s="20">
        <v>0</v>
      </c>
      <c r="AT218" s="20">
        <v>1145862.0900000001</v>
      </c>
      <c r="AU218" s="20" t="s">
        <v>13</v>
      </c>
      <c r="AV218" s="20" t="s">
        <v>62</v>
      </c>
      <c r="AW218" s="111" t="s">
        <v>63</v>
      </c>
      <c r="AX218" s="20" t="s">
        <v>208</v>
      </c>
      <c r="AY218" s="19" t="s">
        <v>209</v>
      </c>
      <c r="AZ218" s="19">
        <v>0</v>
      </c>
      <c r="BA218" s="19">
        <v>28613.06</v>
      </c>
      <c r="BB218" s="19">
        <v>864</v>
      </c>
      <c r="BC218" s="19" t="s">
        <v>3030</v>
      </c>
      <c r="BD218" s="19" t="s">
        <v>65</v>
      </c>
      <c r="BE218" s="19" t="s">
        <v>210</v>
      </c>
      <c r="BF218" s="19" t="s">
        <v>210</v>
      </c>
      <c r="BG218" s="19">
        <v>9</v>
      </c>
      <c r="BH218" s="19">
        <v>2575.1799999999998</v>
      </c>
      <c r="BI218" s="19">
        <v>9</v>
      </c>
      <c r="BJ218" s="19">
        <v>2575.1799999999998</v>
      </c>
      <c r="BK218" s="19">
        <v>0</v>
      </c>
      <c r="BL218" s="19">
        <v>0</v>
      </c>
      <c r="BM218" s="19">
        <v>0</v>
      </c>
      <c r="BN218" s="19">
        <v>632146043140</v>
      </c>
      <c r="BO218" s="66">
        <v>46219</v>
      </c>
      <c r="BP218" s="19">
        <v>0</v>
      </c>
    </row>
    <row r="219" spans="1:68">
      <c r="A219" s="65"/>
      <c r="B219" s="20" t="s">
        <v>2216</v>
      </c>
      <c r="C219" s="20" t="s">
        <v>3030</v>
      </c>
      <c r="D219" s="20" t="s">
        <v>3693</v>
      </c>
      <c r="E219" s="20" t="s">
        <v>18</v>
      </c>
      <c r="F219" s="20" t="s">
        <v>19</v>
      </c>
      <c r="H219" s="20" t="s">
        <v>3694</v>
      </c>
      <c r="I219" s="20">
        <v>1708</v>
      </c>
      <c r="J219" s="20">
        <v>1708</v>
      </c>
      <c r="K219" s="20" t="s">
        <v>11</v>
      </c>
      <c r="L219" s="20">
        <v>1708</v>
      </c>
      <c r="M219" s="20">
        <v>0</v>
      </c>
      <c r="N219" s="20">
        <v>1708</v>
      </c>
      <c r="O219" s="20" t="s">
        <v>2201</v>
      </c>
      <c r="P219" s="20" t="s">
        <v>87</v>
      </c>
      <c r="Q219" s="20" t="s">
        <v>87</v>
      </c>
      <c r="R219" s="20" t="s">
        <v>3041</v>
      </c>
      <c r="S219" s="20" t="s">
        <v>3030</v>
      </c>
      <c r="T219" s="20" t="s">
        <v>206</v>
      </c>
      <c r="U219" s="20" t="s">
        <v>207</v>
      </c>
      <c r="V219" s="20" t="s">
        <v>3040</v>
      </c>
      <c r="W219" s="20">
        <v>146.49</v>
      </c>
      <c r="X219" s="20">
        <v>146.49</v>
      </c>
      <c r="Y219" s="20" t="s">
        <v>3041</v>
      </c>
      <c r="Z219" s="20" t="s">
        <v>3030</v>
      </c>
      <c r="AB219" s="20" t="s">
        <v>2376</v>
      </c>
      <c r="AD219" s="20" t="s">
        <v>2376</v>
      </c>
      <c r="AE219" s="20" t="s">
        <v>2376</v>
      </c>
      <c r="AF219" s="20">
        <v>0</v>
      </c>
      <c r="AG219" s="20">
        <v>0</v>
      </c>
      <c r="AH219" s="20">
        <v>0</v>
      </c>
      <c r="AI219" s="20">
        <v>0</v>
      </c>
      <c r="AJ219" s="20">
        <v>0</v>
      </c>
      <c r="AK219" s="20" t="s">
        <v>609</v>
      </c>
      <c r="AL219" s="20">
        <v>0</v>
      </c>
      <c r="AM219" s="20">
        <v>0</v>
      </c>
      <c r="AN219" s="20">
        <v>0</v>
      </c>
      <c r="AO219" s="20">
        <v>0</v>
      </c>
      <c r="AP219" s="20">
        <v>0</v>
      </c>
      <c r="AR219" s="20">
        <v>0</v>
      </c>
      <c r="AS219" s="20">
        <v>0</v>
      </c>
      <c r="AT219" s="20">
        <v>1145862.0900000001</v>
      </c>
      <c r="AU219" s="20" t="s">
        <v>13</v>
      </c>
      <c r="AV219" s="20" t="s">
        <v>62</v>
      </c>
      <c r="AW219" s="111" t="s">
        <v>63</v>
      </c>
      <c r="AX219" s="20" t="s">
        <v>208</v>
      </c>
      <c r="AY219" s="19" t="s">
        <v>209</v>
      </c>
      <c r="AZ219" s="19">
        <v>0</v>
      </c>
      <c r="BA219" s="19">
        <v>250204.92</v>
      </c>
      <c r="BB219" s="19">
        <v>864</v>
      </c>
      <c r="BC219" s="19" t="s">
        <v>3030</v>
      </c>
      <c r="BD219" s="19" t="s">
        <v>65</v>
      </c>
      <c r="BE219" s="19" t="s">
        <v>210</v>
      </c>
      <c r="BF219" s="19" t="s">
        <v>210</v>
      </c>
      <c r="BG219" s="19">
        <v>9</v>
      </c>
      <c r="BH219" s="19">
        <v>22518.44</v>
      </c>
      <c r="BI219" s="19">
        <v>9</v>
      </c>
      <c r="BJ219" s="19">
        <v>22518.44</v>
      </c>
      <c r="BK219" s="19">
        <v>0</v>
      </c>
      <c r="BL219" s="19">
        <v>0</v>
      </c>
      <c r="BM219" s="19">
        <v>0</v>
      </c>
      <c r="BN219" s="19">
        <v>632146043140</v>
      </c>
      <c r="BO219" s="66">
        <v>46219</v>
      </c>
      <c r="BP219" s="19">
        <v>0</v>
      </c>
    </row>
    <row r="220" spans="1:68">
      <c r="A220" s="65"/>
      <c r="B220" s="20" t="s">
        <v>2216</v>
      </c>
      <c r="C220" s="20" t="s">
        <v>3030</v>
      </c>
      <c r="D220" s="20" t="s">
        <v>3695</v>
      </c>
      <c r="E220" s="20" t="s">
        <v>18</v>
      </c>
      <c r="F220" s="20" t="s">
        <v>19</v>
      </c>
      <c r="H220" s="20" t="s">
        <v>3694</v>
      </c>
      <c r="I220" s="20">
        <v>1443</v>
      </c>
      <c r="J220" s="20">
        <v>1443</v>
      </c>
      <c r="K220" s="20" t="s">
        <v>11</v>
      </c>
      <c r="L220" s="20">
        <v>1443</v>
      </c>
      <c r="M220" s="20">
        <v>0</v>
      </c>
      <c r="N220" s="20">
        <v>1443</v>
      </c>
      <c r="O220" s="20" t="s">
        <v>3696</v>
      </c>
      <c r="P220" s="20" t="s">
        <v>87</v>
      </c>
      <c r="Q220" s="20" t="s">
        <v>87</v>
      </c>
      <c r="R220" s="20" t="s">
        <v>3043</v>
      </c>
      <c r="S220" s="20" t="s">
        <v>3030</v>
      </c>
      <c r="T220" s="20" t="s">
        <v>206</v>
      </c>
      <c r="U220" s="20" t="s">
        <v>207</v>
      </c>
      <c r="V220" s="20" t="s">
        <v>3042</v>
      </c>
      <c r="W220" s="20">
        <v>144.49</v>
      </c>
      <c r="X220" s="20">
        <v>144.49</v>
      </c>
      <c r="Y220" s="20" t="s">
        <v>3043</v>
      </c>
      <c r="Z220" s="20" t="s">
        <v>3030</v>
      </c>
      <c r="AB220" s="20" t="s">
        <v>2376</v>
      </c>
      <c r="AD220" s="20" t="s">
        <v>2376</v>
      </c>
      <c r="AE220" s="20" t="s">
        <v>2376</v>
      </c>
      <c r="AF220" s="20">
        <v>0</v>
      </c>
      <c r="AG220" s="20">
        <v>0</v>
      </c>
      <c r="AH220" s="20">
        <v>0</v>
      </c>
      <c r="AI220" s="20">
        <v>0</v>
      </c>
      <c r="AJ220" s="20">
        <v>0</v>
      </c>
      <c r="AK220" s="20" t="s">
        <v>609</v>
      </c>
      <c r="AL220" s="20">
        <v>0</v>
      </c>
      <c r="AM220" s="20">
        <v>0</v>
      </c>
      <c r="AN220" s="20">
        <v>0</v>
      </c>
      <c r="AO220" s="20">
        <v>0</v>
      </c>
      <c r="AP220" s="20">
        <v>0</v>
      </c>
      <c r="AR220" s="20">
        <v>0</v>
      </c>
      <c r="AS220" s="20">
        <v>0</v>
      </c>
      <c r="AT220" s="20">
        <v>246028.91</v>
      </c>
      <c r="AU220" s="20" t="s">
        <v>13</v>
      </c>
      <c r="AV220" s="20" t="s">
        <v>62</v>
      </c>
      <c r="AW220" s="111" t="s">
        <v>63</v>
      </c>
      <c r="AX220" s="20" t="s">
        <v>208</v>
      </c>
      <c r="AY220" s="19" t="s">
        <v>209</v>
      </c>
      <c r="AZ220" s="19">
        <v>0</v>
      </c>
      <c r="BA220" s="19">
        <v>208499.07</v>
      </c>
      <c r="BB220" s="19">
        <v>869</v>
      </c>
      <c r="BC220" s="19" t="s">
        <v>3030</v>
      </c>
      <c r="BD220" s="19" t="s">
        <v>65</v>
      </c>
      <c r="BE220" s="19" t="s">
        <v>210</v>
      </c>
      <c r="BF220" s="19" t="s">
        <v>210</v>
      </c>
      <c r="BG220" s="19">
        <v>9</v>
      </c>
      <c r="BH220" s="19">
        <v>18764.919999999998</v>
      </c>
      <c r="BI220" s="19">
        <v>9</v>
      </c>
      <c r="BJ220" s="19">
        <v>18764.919999999998</v>
      </c>
      <c r="BK220" s="19">
        <v>0</v>
      </c>
      <c r="BL220" s="19">
        <v>0</v>
      </c>
      <c r="BM220" s="19">
        <v>246028.91</v>
      </c>
      <c r="BN220" s="19">
        <v>682146026919</v>
      </c>
      <c r="BO220" s="66">
        <v>46219</v>
      </c>
      <c r="BP220" s="19">
        <v>0</v>
      </c>
    </row>
    <row r="221" spans="1:68">
      <c r="A221" s="65"/>
      <c r="B221" s="20" t="s">
        <v>2216</v>
      </c>
      <c r="C221" s="20" t="s">
        <v>3030</v>
      </c>
      <c r="D221" s="20" t="s">
        <v>3697</v>
      </c>
      <c r="E221" s="20" t="s">
        <v>854</v>
      </c>
      <c r="F221" s="20" t="s">
        <v>801</v>
      </c>
      <c r="H221" s="20" t="s">
        <v>3698</v>
      </c>
      <c r="I221" s="20">
        <v>49</v>
      </c>
      <c r="J221" s="20">
        <v>49</v>
      </c>
      <c r="K221" s="20" t="s">
        <v>11</v>
      </c>
      <c r="L221" s="20">
        <v>49</v>
      </c>
      <c r="M221" s="20">
        <v>0</v>
      </c>
      <c r="N221" s="20">
        <v>49</v>
      </c>
      <c r="O221" s="20" t="s">
        <v>2433</v>
      </c>
      <c r="P221" s="20" t="s">
        <v>87</v>
      </c>
      <c r="Q221" s="20" t="s">
        <v>87</v>
      </c>
      <c r="R221" s="20" t="s">
        <v>3045</v>
      </c>
      <c r="S221" s="111" t="s">
        <v>3033</v>
      </c>
      <c r="T221" s="20" t="s">
        <v>206</v>
      </c>
      <c r="U221" s="20" t="s">
        <v>207</v>
      </c>
      <c r="V221" s="20" t="s">
        <v>3044</v>
      </c>
      <c r="W221" s="20">
        <v>108</v>
      </c>
      <c r="X221" s="20">
        <v>108</v>
      </c>
      <c r="Y221" s="20" t="s">
        <v>3045</v>
      </c>
      <c r="Z221" s="111" t="s">
        <v>3033</v>
      </c>
      <c r="AB221" s="20" t="s">
        <v>2376</v>
      </c>
      <c r="AD221" s="20" t="s">
        <v>2376</v>
      </c>
      <c r="AE221" s="20" t="s">
        <v>2376</v>
      </c>
      <c r="AF221" s="20">
        <v>0</v>
      </c>
      <c r="AG221" s="20">
        <v>0</v>
      </c>
      <c r="AH221" s="20">
        <v>0</v>
      </c>
      <c r="AI221" s="20">
        <v>0</v>
      </c>
      <c r="AJ221" s="20">
        <v>0</v>
      </c>
      <c r="AK221" s="20" t="s">
        <v>609</v>
      </c>
      <c r="AL221" s="20">
        <v>0</v>
      </c>
      <c r="AM221" s="20">
        <v>0</v>
      </c>
      <c r="AN221" s="20">
        <v>0</v>
      </c>
      <c r="AO221" s="20">
        <v>0</v>
      </c>
      <c r="AP221" s="20">
        <v>0</v>
      </c>
      <c r="AR221" s="20">
        <v>0</v>
      </c>
      <c r="AS221" s="20">
        <v>0</v>
      </c>
      <c r="AT221" s="20">
        <v>6244.56</v>
      </c>
      <c r="AU221" s="20" t="s">
        <v>8</v>
      </c>
      <c r="AV221" s="20" t="s">
        <v>110</v>
      </c>
      <c r="AW221" s="111" t="s">
        <v>800</v>
      </c>
      <c r="AX221" s="20" t="s">
        <v>208</v>
      </c>
      <c r="AY221" s="19" t="s">
        <v>209</v>
      </c>
      <c r="AZ221" s="19">
        <v>0</v>
      </c>
      <c r="BA221" s="19">
        <v>5292</v>
      </c>
      <c r="BB221" s="19">
        <v>868</v>
      </c>
      <c r="BC221" s="19" t="s">
        <v>3030</v>
      </c>
      <c r="BD221" s="19" t="s">
        <v>65</v>
      </c>
      <c r="BE221" s="19" t="s">
        <v>210</v>
      </c>
      <c r="BF221" s="19" t="s">
        <v>210</v>
      </c>
      <c r="BG221" s="19">
        <v>9</v>
      </c>
      <c r="BH221" s="19">
        <v>476.28</v>
      </c>
      <c r="BI221" s="19">
        <v>9</v>
      </c>
      <c r="BJ221" s="19">
        <v>476.28</v>
      </c>
      <c r="BK221" s="19">
        <v>0</v>
      </c>
      <c r="BL221" s="19">
        <v>0</v>
      </c>
      <c r="BM221" s="19">
        <v>6244.56</v>
      </c>
      <c r="BN221" s="19">
        <v>672145544039</v>
      </c>
      <c r="BO221" s="66">
        <v>46218</v>
      </c>
      <c r="BP221" s="19">
        <v>0</v>
      </c>
    </row>
    <row r="222" spans="1:68">
      <c r="A222" s="65"/>
      <c r="B222" s="20" t="s">
        <v>2216</v>
      </c>
      <c r="C222" s="20" t="s">
        <v>3030</v>
      </c>
      <c r="D222" s="20" t="s">
        <v>3699</v>
      </c>
      <c r="E222" s="20" t="s">
        <v>160</v>
      </c>
      <c r="F222" s="20" t="s">
        <v>17</v>
      </c>
      <c r="H222" s="20" t="s">
        <v>3700</v>
      </c>
      <c r="I222" s="20">
        <v>1440</v>
      </c>
      <c r="J222" s="20">
        <v>1440</v>
      </c>
      <c r="K222" s="20" t="s">
        <v>11</v>
      </c>
      <c r="L222" s="20">
        <v>1440</v>
      </c>
      <c r="M222" s="20">
        <v>0</v>
      </c>
      <c r="N222" s="20">
        <v>1440</v>
      </c>
      <c r="O222" s="20" t="s">
        <v>2200</v>
      </c>
      <c r="P222" s="20" t="s">
        <v>87</v>
      </c>
      <c r="Q222" s="20" t="s">
        <v>87</v>
      </c>
      <c r="R222" s="20" t="s">
        <v>3047</v>
      </c>
      <c r="S222" s="111" t="s">
        <v>3030</v>
      </c>
      <c r="T222" s="20" t="s">
        <v>206</v>
      </c>
      <c r="U222" s="20" t="s">
        <v>207</v>
      </c>
      <c r="V222" s="20" t="s">
        <v>3046</v>
      </c>
      <c r="W222" s="20">
        <v>186.78</v>
      </c>
      <c r="X222" s="20">
        <v>186.77999969390399</v>
      </c>
      <c r="Y222" s="20" t="s">
        <v>3047</v>
      </c>
      <c r="Z222" s="111" t="s">
        <v>3030</v>
      </c>
      <c r="AB222" s="20" t="s">
        <v>2376</v>
      </c>
      <c r="AD222" s="20" t="s">
        <v>2376</v>
      </c>
      <c r="AE222" s="20" t="s">
        <v>2376</v>
      </c>
      <c r="AF222" s="20">
        <v>0</v>
      </c>
      <c r="AG222" s="20">
        <v>0</v>
      </c>
      <c r="AH222" s="20">
        <v>0</v>
      </c>
      <c r="AI222" s="20">
        <v>0</v>
      </c>
      <c r="AJ222" s="20">
        <v>0</v>
      </c>
      <c r="AK222" s="20" t="s">
        <v>609</v>
      </c>
      <c r="AL222" s="20">
        <v>0</v>
      </c>
      <c r="AM222" s="20">
        <v>0</v>
      </c>
      <c r="AN222" s="20">
        <v>0</v>
      </c>
      <c r="AO222" s="20">
        <v>0</v>
      </c>
      <c r="AP222" s="20">
        <v>0</v>
      </c>
      <c r="AR222" s="20">
        <v>0</v>
      </c>
      <c r="AS222" s="20">
        <v>0</v>
      </c>
      <c r="AT222" s="20">
        <v>1220401.7</v>
      </c>
      <c r="AU222" s="20" t="s">
        <v>13</v>
      </c>
      <c r="AV222" s="20" t="s">
        <v>80</v>
      </c>
      <c r="AW222" s="111" t="s">
        <v>81</v>
      </c>
      <c r="AX222" s="20" t="s">
        <v>208</v>
      </c>
      <c r="AY222" s="19" t="s">
        <v>209</v>
      </c>
      <c r="AZ222" s="19">
        <v>0</v>
      </c>
      <c r="BA222" s="19">
        <v>268963.20000000001</v>
      </c>
      <c r="BB222" s="19">
        <v>871</v>
      </c>
      <c r="BC222" s="19" t="s">
        <v>3030</v>
      </c>
      <c r="BD222" s="19" t="s">
        <v>65</v>
      </c>
      <c r="BE222" s="19" t="s">
        <v>210</v>
      </c>
      <c r="BF222" s="19" t="s">
        <v>210</v>
      </c>
      <c r="BG222" s="19">
        <v>9</v>
      </c>
      <c r="BH222" s="19">
        <v>24206.69</v>
      </c>
      <c r="BI222" s="19">
        <v>9</v>
      </c>
      <c r="BJ222" s="19">
        <v>24206.69</v>
      </c>
      <c r="BK222" s="19">
        <v>0</v>
      </c>
      <c r="BL222" s="19">
        <v>0</v>
      </c>
      <c r="BM222" s="19">
        <v>1220401.7</v>
      </c>
      <c r="BN222" s="19">
        <v>662146140875</v>
      </c>
      <c r="BO222" s="66">
        <v>46219</v>
      </c>
      <c r="BP222" s="19">
        <v>0</v>
      </c>
    </row>
    <row r="223" spans="1:68">
      <c r="A223" s="65"/>
      <c r="B223" s="20" t="s">
        <v>2216</v>
      </c>
      <c r="C223" s="20" t="s">
        <v>3030</v>
      </c>
      <c r="D223" s="20" t="s">
        <v>3699</v>
      </c>
      <c r="E223" s="20" t="s">
        <v>20</v>
      </c>
      <c r="F223" s="20" t="s">
        <v>21</v>
      </c>
      <c r="H223" s="20" t="s">
        <v>3700</v>
      </c>
      <c r="I223" s="20">
        <v>933</v>
      </c>
      <c r="J223" s="20">
        <v>933</v>
      </c>
      <c r="K223" s="20" t="s">
        <v>11</v>
      </c>
      <c r="L223" s="20">
        <v>933</v>
      </c>
      <c r="M223" s="20">
        <v>0</v>
      </c>
      <c r="N223" s="20">
        <v>933</v>
      </c>
      <c r="O223" s="20" t="s">
        <v>2200</v>
      </c>
      <c r="P223" s="20" t="s">
        <v>87</v>
      </c>
      <c r="Q223" s="20" t="s">
        <v>87</v>
      </c>
      <c r="R223" s="20" t="s">
        <v>3047</v>
      </c>
      <c r="S223" s="111" t="s">
        <v>3030</v>
      </c>
      <c r="T223" s="20" t="s">
        <v>206</v>
      </c>
      <c r="U223" s="20" t="s">
        <v>207</v>
      </c>
      <c r="V223" s="20" t="s">
        <v>3046</v>
      </c>
      <c r="W223" s="20">
        <v>148.49</v>
      </c>
      <c r="X223" s="20">
        <v>148.48999975665399</v>
      </c>
      <c r="Y223" s="20" t="s">
        <v>3047</v>
      </c>
      <c r="Z223" s="111" t="s">
        <v>3030</v>
      </c>
      <c r="AB223" s="20" t="s">
        <v>2376</v>
      </c>
      <c r="AD223" s="20" t="s">
        <v>2376</v>
      </c>
      <c r="AE223" s="20" t="s">
        <v>2376</v>
      </c>
      <c r="AF223" s="20">
        <v>0</v>
      </c>
      <c r="AG223" s="20">
        <v>0</v>
      </c>
      <c r="AH223" s="20">
        <v>0</v>
      </c>
      <c r="AI223" s="20">
        <v>0</v>
      </c>
      <c r="AJ223" s="20">
        <v>0</v>
      </c>
      <c r="AK223" s="20" t="s">
        <v>609</v>
      </c>
      <c r="AL223" s="20">
        <v>0</v>
      </c>
      <c r="AM223" s="20">
        <v>0</v>
      </c>
      <c r="AN223" s="20">
        <v>0</v>
      </c>
      <c r="AO223" s="20">
        <v>0</v>
      </c>
      <c r="AP223" s="20">
        <v>0</v>
      </c>
      <c r="AR223" s="20">
        <v>0</v>
      </c>
      <c r="AS223" s="20">
        <v>0</v>
      </c>
      <c r="AT223" s="20">
        <v>1220401.7</v>
      </c>
      <c r="AU223" s="20" t="s">
        <v>13</v>
      </c>
      <c r="AV223" s="20" t="s">
        <v>62</v>
      </c>
      <c r="AW223" s="111" t="s">
        <v>76</v>
      </c>
      <c r="AX223" s="20" t="s">
        <v>208</v>
      </c>
      <c r="AY223" s="19" t="s">
        <v>209</v>
      </c>
      <c r="AZ223" s="19">
        <v>0</v>
      </c>
      <c r="BA223" s="19">
        <v>138541.17000000001</v>
      </c>
      <c r="BB223" s="19">
        <v>871</v>
      </c>
      <c r="BC223" s="19" t="s">
        <v>3030</v>
      </c>
      <c r="BD223" s="19" t="s">
        <v>65</v>
      </c>
      <c r="BE223" s="19" t="s">
        <v>210</v>
      </c>
      <c r="BF223" s="19" t="s">
        <v>210</v>
      </c>
      <c r="BG223" s="19">
        <v>9</v>
      </c>
      <c r="BH223" s="19">
        <v>12468.71</v>
      </c>
      <c r="BI223" s="19">
        <v>9</v>
      </c>
      <c r="BJ223" s="19">
        <v>12468.71</v>
      </c>
      <c r="BK223" s="19">
        <v>0</v>
      </c>
      <c r="BL223" s="19">
        <v>0</v>
      </c>
      <c r="BM223" s="19">
        <v>0</v>
      </c>
      <c r="BN223" s="19">
        <v>662146140875</v>
      </c>
      <c r="BO223" s="66">
        <v>46219</v>
      </c>
      <c r="BP223" s="19">
        <v>0</v>
      </c>
    </row>
    <row r="224" spans="1:68">
      <c r="A224" s="65"/>
      <c r="B224" s="20" t="s">
        <v>2216</v>
      </c>
      <c r="C224" s="20" t="s">
        <v>3030</v>
      </c>
      <c r="D224" s="20" t="s">
        <v>3699</v>
      </c>
      <c r="E224" s="20" t="s">
        <v>18</v>
      </c>
      <c r="F224" s="20" t="s">
        <v>19</v>
      </c>
      <c r="H224" s="20" t="s">
        <v>3700</v>
      </c>
      <c r="I224" s="20">
        <v>2000</v>
      </c>
      <c r="J224" s="20">
        <v>2000</v>
      </c>
      <c r="K224" s="20" t="s">
        <v>11</v>
      </c>
      <c r="L224" s="20">
        <v>2000</v>
      </c>
      <c r="M224" s="20">
        <v>0</v>
      </c>
      <c r="N224" s="20">
        <v>2000</v>
      </c>
      <c r="O224" s="20" t="s">
        <v>2200</v>
      </c>
      <c r="P224" s="20" t="s">
        <v>87</v>
      </c>
      <c r="Q224" s="20" t="s">
        <v>87</v>
      </c>
      <c r="R224" s="20" t="s">
        <v>3047</v>
      </c>
      <c r="S224" s="111" t="s">
        <v>3030</v>
      </c>
      <c r="T224" s="20" t="s">
        <v>206</v>
      </c>
      <c r="U224" s="20" t="s">
        <v>207</v>
      </c>
      <c r="V224" s="20" t="s">
        <v>3046</v>
      </c>
      <c r="W224" s="20">
        <v>144.49</v>
      </c>
      <c r="X224" s="20">
        <v>144.489999763209</v>
      </c>
      <c r="Y224" s="20" t="s">
        <v>3047</v>
      </c>
      <c r="Z224" s="111" t="s">
        <v>3030</v>
      </c>
      <c r="AB224" s="20" t="s">
        <v>2376</v>
      </c>
      <c r="AD224" s="20" t="s">
        <v>2376</v>
      </c>
      <c r="AE224" s="20" t="s">
        <v>2376</v>
      </c>
      <c r="AF224" s="20">
        <v>0</v>
      </c>
      <c r="AG224" s="20">
        <v>0</v>
      </c>
      <c r="AH224" s="20">
        <v>0</v>
      </c>
      <c r="AI224" s="20">
        <v>0</v>
      </c>
      <c r="AJ224" s="20">
        <v>0</v>
      </c>
      <c r="AK224" s="20" t="s">
        <v>609</v>
      </c>
      <c r="AL224" s="20">
        <v>0</v>
      </c>
      <c r="AM224" s="20">
        <v>0</v>
      </c>
      <c r="AN224" s="20">
        <v>0</v>
      </c>
      <c r="AO224" s="20">
        <v>0</v>
      </c>
      <c r="AP224" s="20">
        <v>0</v>
      </c>
      <c r="AR224" s="20">
        <v>0</v>
      </c>
      <c r="AS224" s="20">
        <v>0</v>
      </c>
      <c r="AT224" s="20">
        <v>1220401.7</v>
      </c>
      <c r="AU224" s="20" t="s">
        <v>13</v>
      </c>
      <c r="AV224" s="20" t="s">
        <v>62</v>
      </c>
      <c r="AW224" s="111" t="s">
        <v>63</v>
      </c>
      <c r="AX224" s="20" t="s">
        <v>208</v>
      </c>
      <c r="AY224" s="19" t="s">
        <v>209</v>
      </c>
      <c r="AZ224" s="19">
        <v>0</v>
      </c>
      <c r="BA224" s="19">
        <v>288980</v>
      </c>
      <c r="BB224" s="19">
        <v>871</v>
      </c>
      <c r="BC224" s="19" t="s">
        <v>3030</v>
      </c>
      <c r="BD224" s="19" t="s">
        <v>65</v>
      </c>
      <c r="BE224" s="19" t="s">
        <v>210</v>
      </c>
      <c r="BF224" s="19" t="s">
        <v>210</v>
      </c>
      <c r="BG224" s="19">
        <v>9</v>
      </c>
      <c r="BH224" s="19">
        <v>26008.2</v>
      </c>
      <c r="BI224" s="19">
        <v>9</v>
      </c>
      <c r="BJ224" s="19">
        <v>26008.2</v>
      </c>
      <c r="BK224" s="19">
        <v>0</v>
      </c>
      <c r="BL224" s="19">
        <v>0</v>
      </c>
      <c r="BM224" s="19">
        <v>0</v>
      </c>
      <c r="BN224" s="19">
        <v>662146140875</v>
      </c>
      <c r="BO224" s="66">
        <v>46219</v>
      </c>
      <c r="BP224" s="19">
        <v>0</v>
      </c>
    </row>
    <row r="225" spans="1:68">
      <c r="A225" s="65"/>
      <c r="B225" s="20" t="s">
        <v>2216</v>
      </c>
      <c r="C225" s="20" t="s">
        <v>3030</v>
      </c>
      <c r="D225" s="20" t="s">
        <v>3699</v>
      </c>
      <c r="E225" s="20" t="s">
        <v>23</v>
      </c>
      <c r="F225" s="20" t="s">
        <v>24</v>
      </c>
      <c r="H225" s="20" t="s">
        <v>3700</v>
      </c>
      <c r="I225" s="20">
        <v>768.5</v>
      </c>
      <c r="J225" s="20">
        <v>768.5</v>
      </c>
      <c r="K225" s="20" t="s">
        <v>11</v>
      </c>
      <c r="L225" s="20">
        <v>768.5</v>
      </c>
      <c r="M225" s="20">
        <v>0</v>
      </c>
      <c r="N225" s="20">
        <v>768.5</v>
      </c>
      <c r="O225" s="20" t="s">
        <v>2200</v>
      </c>
      <c r="P225" s="20" t="s">
        <v>87</v>
      </c>
      <c r="Q225" s="20" t="s">
        <v>87</v>
      </c>
      <c r="R225" s="20" t="s">
        <v>3047</v>
      </c>
      <c r="S225" s="111" t="s">
        <v>3030</v>
      </c>
      <c r="T225" s="20" t="s">
        <v>206</v>
      </c>
      <c r="U225" s="20" t="s">
        <v>207</v>
      </c>
      <c r="V225" s="20" t="s">
        <v>3046</v>
      </c>
      <c r="W225" s="20">
        <v>146.49</v>
      </c>
      <c r="X225" s="20">
        <v>146.48999975993101</v>
      </c>
      <c r="Y225" s="20" t="s">
        <v>3047</v>
      </c>
      <c r="Z225" s="111" t="s">
        <v>3030</v>
      </c>
      <c r="AB225" s="20" t="s">
        <v>2376</v>
      </c>
      <c r="AD225" s="20" t="s">
        <v>2376</v>
      </c>
      <c r="AE225" s="20" t="s">
        <v>2376</v>
      </c>
      <c r="AF225" s="20">
        <v>0</v>
      </c>
      <c r="AG225" s="20">
        <v>0</v>
      </c>
      <c r="AH225" s="20">
        <v>0</v>
      </c>
      <c r="AI225" s="20">
        <v>0</v>
      </c>
      <c r="AJ225" s="20">
        <v>0</v>
      </c>
      <c r="AK225" s="20" t="s">
        <v>609</v>
      </c>
      <c r="AL225" s="20">
        <v>0</v>
      </c>
      <c r="AM225" s="20">
        <v>0</v>
      </c>
      <c r="AN225" s="20">
        <v>0</v>
      </c>
      <c r="AO225" s="20">
        <v>0</v>
      </c>
      <c r="AP225" s="20">
        <v>0</v>
      </c>
      <c r="AR225" s="20">
        <v>0</v>
      </c>
      <c r="AS225" s="20">
        <v>0</v>
      </c>
      <c r="AT225" s="20">
        <v>1220401.7</v>
      </c>
      <c r="AU225" s="20" t="s">
        <v>13</v>
      </c>
      <c r="AV225" s="20" t="s">
        <v>24</v>
      </c>
      <c r="AW225" s="111" t="s">
        <v>79</v>
      </c>
      <c r="AX225" s="20" t="s">
        <v>208</v>
      </c>
      <c r="AY225" s="19" t="s">
        <v>209</v>
      </c>
      <c r="AZ225" s="19">
        <v>0</v>
      </c>
      <c r="BA225" s="19">
        <v>112577.56</v>
      </c>
      <c r="BB225" s="19">
        <v>871</v>
      </c>
      <c r="BC225" s="19" t="s">
        <v>3030</v>
      </c>
      <c r="BD225" s="19" t="s">
        <v>65</v>
      </c>
      <c r="BE225" s="19" t="s">
        <v>210</v>
      </c>
      <c r="BF225" s="19" t="s">
        <v>210</v>
      </c>
      <c r="BG225" s="19">
        <v>9</v>
      </c>
      <c r="BH225" s="19">
        <v>10131.98</v>
      </c>
      <c r="BI225" s="19">
        <v>9</v>
      </c>
      <c r="BJ225" s="19">
        <v>10131.98</v>
      </c>
      <c r="BK225" s="19">
        <v>0</v>
      </c>
      <c r="BL225" s="19">
        <v>0</v>
      </c>
      <c r="BM225" s="19">
        <v>0</v>
      </c>
      <c r="BN225" s="19">
        <v>662146140875</v>
      </c>
      <c r="BO225" s="66">
        <v>46219</v>
      </c>
      <c r="BP225" s="19">
        <v>0</v>
      </c>
    </row>
    <row r="226" spans="1:68">
      <c r="A226" s="65"/>
      <c r="B226" s="20" t="s">
        <v>2216</v>
      </c>
      <c r="C226" s="20" t="s">
        <v>3030</v>
      </c>
      <c r="D226" s="20" t="s">
        <v>3699</v>
      </c>
      <c r="E226" s="20" t="s">
        <v>23</v>
      </c>
      <c r="F226" s="20" t="s">
        <v>24</v>
      </c>
      <c r="H226" s="20" t="s">
        <v>3700</v>
      </c>
      <c r="I226" s="20">
        <v>1506.3</v>
      </c>
      <c r="J226" s="20">
        <v>1506.3</v>
      </c>
      <c r="K226" s="20" t="s">
        <v>11</v>
      </c>
      <c r="L226" s="20">
        <v>1506.3</v>
      </c>
      <c r="M226" s="20">
        <v>0</v>
      </c>
      <c r="N226" s="20">
        <v>1506.3</v>
      </c>
      <c r="O226" s="20" t="s">
        <v>2200</v>
      </c>
      <c r="P226" s="20" t="s">
        <v>87</v>
      </c>
      <c r="Q226" s="20" t="s">
        <v>87</v>
      </c>
      <c r="R226" s="20" t="s">
        <v>3047</v>
      </c>
      <c r="S226" s="111" t="s">
        <v>3030</v>
      </c>
      <c r="T226" s="20" t="s">
        <v>206</v>
      </c>
      <c r="U226" s="20" t="s">
        <v>207</v>
      </c>
      <c r="V226" s="20" t="s">
        <v>3046</v>
      </c>
      <c r="W226" s="20">
        <v>149.49</v>
      </c>
      <c r="X226" s="20">
        <v>149.48999975501499</v>
      </c>
      <c r="Y226" s="20" t="s">
        <v>3047</v>
      </c>
      <c r="Z226" s="111" t="s">
        <v>3030</v>
      </c>
      <c r="AB226" s="20" t="s">
        <v>2376</v>
      </c>
      <c r="AD226" s="20" t="s">
        <v>2376</v>
      </c>
      <c r="AE226" s="20" t="s">
        <v>2376</v>
      </c>
      <c r="AF226" s="20">
        <v>0</v>
      </c>
      <c r="AG226" s="20">
        <v>0</v>
      </c>
      <c r="AH226" s="20">
        <v>0</v>
      </c>
      <c r="AI226" s="20">
        <v>0</v>
      </c>
      <c r="AJ226" s="20">
        <v>0</v>
      </c>
      <c r="AK226" s="20" t="s">
        <v>609</v>
      </c>
      <c r="AL226" s="20">
        <v>0</v>
      </c>
      <c r="AM226" s="20">
        <v>0</v>
      </c>
      <c r="AN226" s="20">
        <v>0</v>
      </c>
      <c r="AO226" s="20">
        <v>0</v>
      </c>
      <c r="AP226" s="20">
        <v>0</v>
      </c>
      <c r="AR226" s="20">
        <v>0</v>
      </c>
      <c r="AS226" s="20">
        <v>0</v>
      </c>
      <c r="AT226" s="20">
        <v>1220401.7</v>
      </c>
      <c r="AU226" s="20" t="s">
        <v>13</v>
      </c>
      <c r="AV226" s="20" t="s">
        <v>24</v>
      </c>
      <c r="AW226" s="111" t="s">
        <v>79</v>
      </c>
      <c r="AX226" s="20" t="s">
        <v>208</v>
      </c>
      <c r="AY226" s="19" t="s">
        <v>209</v>
      </c>
      <c r="AZ226" s="19">
        <v>0</v>
      </c>
      <c r="BA226" s="19">
        <v>225176.79</v>
      </c>
      <c r="BB226" s="19">
        <v>871</v>
      </c>
      <c r="BC226" s="19" t="s">
        <v>3030</v>
      </c>
      <c r="BD226" s="19" t="s">
        <v>65</v>
      </c>
      <c r="BE226" s="19" t="s">
        <v>210</v>
      </c>
      <c r="BF226" s="19" t="s">
        <v>210</v>
      </c>
      <c r="BG226" s="19">
        <v>9</v>
      </c>
      <c r="BH226" s="19">
        <v>20265.91</v>
      </c>
      <c r="BI226" s="19">
        <v>9</v>
      </c>
      <c r="BJ226" s="19">
        <v>20265.91</v>
      </c>
      <c r="BK226" s="19">
        <v>0</v>
      </c>
      <c r="BL226" s="19">
        <v>0</v>
      </c>
      <c r="BM226" s="19">
        <v>0</v>
      </c>
      <c r="BN226" s="19">
        <v>662146140875</v>
      </c>
      <c r="BO226" s="66">
        <v>46219</v>
      </c>
      <c r="BP226" s="19">
        <v>0</v>
      </c>
    </row>
    <row r="227" spans="1:68">
      <c r="A227" s="65"/>
      <c r="B227" s="20" t="s">
        <v>2216</v>
      </c>
      <c r="C227" s="20" t="s">
        <v>3052</v>
      </c>
      <c r="D227" s="20" t="s">
        <v>3701</v>
      </c>
      <c r="E227" s="20" t="s">
        <v>423</v>
      </c>
      <c r="F227" s="20" t="s">
        <v>418</v>
      </c>
      <c r="H227" s="20" t="s">
        <v>3702</v>
      </c>
      <c r="I227" s="20">
        <v>448.5</v>
      </c>
      <c r="J227" s="20">
        <v>448.5</v>
      </c>
      <c r="K227" s="20" t="s">
        <v>11</v>
      </c>
      <c r="L227" s="20">
        <v>448.5</v>
      </c>
      <c r="M227" s="20">
        <v>0</v>
      </c>
      <c r="N227" s="20">
        <v>448.5</v>
      </c>
      <c r="O227" s="20" t="s">
        <v>2624</v>
      </c>
      <c r="P227" s="20" t="s">
        <v>103</v>
      </c>
      <c r="Q227" s="20" t="s">
        <v>103</v>
      </c>
      <c r="R227" s="20" t="s">
        <v>3054</v>
      </c>
      <c r="S227" s="111" t="s">
        <v>3030</v>
      </c>
      <c r="T227" s="20" t="s">
        <v>206</v>
      </c>
      <c r="U227" s="20" t="s">
        <v>207</v>
      </c>
      <c r="V227" s="20" t="s">
        <v>3053</v>
      </c>
      <c r="W227" s="20">
        <v>167.89</v>
      </c>
      <c r="X227" s="20">
        <v>167.89000262930799</v>
      </c>
      <c r="Y227" s="20" t="s">
        <v>3054</v>
      </c>
      <c r="Z227" s="111" t="s">
        <v>3030</v>
      </c>
      <c r="AB227" s="20" t="s">
        <v>2376</v>
      </c>
      <c r="AD227" s="20" t="s">
        <v>2376</v>
      </c>
      <c r="AE227" s="20" t="s">
        <v>2376</v>
      </c>
      <c r="AF227" s="20">
        <v>0</v>
      </c>
      <c r="AG227" s="20">
        <v>0</v>
      </c>
      <c r="AH227" s="20">
        <v>0</v>
      </c>
      <c r="AI227" s="20">
        <v>0</v>
      </c>
      <c r="AJ227" s="20">
        <v>0</v>
      </c>
      <c r="AK227" s="20" t="s">
        <v>609</v>
      </c>
      <c r="AL227" s="20">
        <v>0</v>
      </c>
      <c r="AM227" s="20">
        <v>0</v>
      </c>
      <c r="AN227" s="20">
        <v>0</v>
      </c>
      <c r="AO227" s="20">
        <v>0</v>
      </c>
      <c r="AP227" s="20">
        <v>0</v>
      </c>
      <c r="AR227" s="20">
        <v>0</v>
      </c>
      <c r="AS227" s="20">
        <v>0</v>
      </c>
      <c r="AT227" s="20">
        <v>319266.58</v>
      </c>
      <c r="AU227" s="20" t="s">
        <v>13</v>
      </c>
      <c r="AV227" s="20" t="s">
        <v>80</v>
      </c>
      <c r="AW227" s="111" t="s">
        <v>81</v>
      </c>
      <c r="AX227" s="20" t="s">
        <v>208</v>
      </c>
      <c r="AY227" s="19" t="s">
        <v>209</v>
      </c>
      <c r="AZ227" s="19">
        <v>0</v>
      </c>
      <c r="BA227" s="19">
        <v>75298.67</v>
      </c>
      <c r="BB227" s="19">
        <v>12</v>
      </c>
      <c r="BC227" s="19" t="s">
        <v>3052</v>
      </c>
      <c r="BD227" s="19" t="s">
        <v>104</v>
      </c>
      <c r="BE227" s="19" t="s">
        <v>210</v>
      </c>
      <c r="BF227" s="19" t="s">
        <v>210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>
        <v>0</v>
      </c>
      <c r="BM227" s="19">
        <v>319266.58</v>
      </c>
      <c r="BN227" s="19">
        <v>652146368940</v>
      </c>
      <c r="BO227" s="66">
        <v>46219</v>
      </c>
      <c r="BP227" s="19">
        <v>0</v>
      </c>
    </row>
    <row r="228" spans="1:68">
      <c r="A228" s="65"/>
      <c r="B228" s="20" t="s">
        <v>2216</v>
      </c>
      <c r="C228" s="20" t="s">
        <v>3052</v>
      </c>
      <c r="D228" s="20" t="s">
        <v>3701</v>
      </c>
      <c r="E228" s="20" t="s">
        <v>18</v>
      </c>
      <c r="F228" s="20" t="s">
        <v>19</v>
      </c>
      <c r="H228" s="20" t="s">
        <v>3702</v>
      </c>
      <c r="I228" s="20">
        <v>1559</v>
      </c>
      <c r="J228" s="20">
        <v>1559</v>
      </c>
      <c r="K228" s="20" t="s">
        <v>11</v>
      </c>
      <c r="L228" s="20">
        <v>1559</v>
      </c>
      <c r="M228" s="20">
        <v>0</v>
      </c>
      <c r="N228" s="20">
        <v>1559</v>
      </c>
      <c r="O228" s="20" t="s">
        <v>2624</v>
      </c>
      <c r="P228" s="20" t="s">
        <v>103</v>
      </c>
      <c r="Q228" s="20" t="s">
        <v>103</v>
      </c>
      <c r="R228" s="20" t="s">
        <v>3054</v>
      </c>
      <c r="S228" s="111" t="s">
        <v>3030</v>
      </c>
      <c r="T228" s="20" t="s">
        <v>206</v>
      </c>
      <c r="U228" s="20" t="s">
        <v>207</v>
      </c>
      <c r="V228" s="20" t="s">
        <v>3053</v>
      </c>
      <c r="W228" s="20">
        <v>156.49</v>
      </c>
      <c r="X228" s="20">
        <v>156.49000245077301</v>
      </c>
      <c r="Y228" s="20" t="s">
        <v>3054</v>
      </c>
      <c r="Z228" s="111" t="s">
        <v>3030</v>
      </c>
      <c r="AB228" s="20" t="s">
        <v>2376</v>
      </c>
      <c r="AD228" s="20" t="s">
        <v>2376</v>
      </c>
      <c r="AE228" s="20" t="s">
        <v>2376</v>
      </c>
      <c r="AF228" s="20">
        <v>0</v>
      </c>
      <c r="AG228" s="20">
        <v>0</v>
      </c>
      <c r="AH228" s="20">
        <v>0</v>
      </c>
      <c r="AI228" s="20">
        <v>0</v>
      </c>
      <c r="AJ228" s="20">
        <v>0</v>
      </c>
      <c r="AK228" s="20" t="s">
        <v>609</v>
      </c>
      <c r="AL228" s="20">
        <v>0</v>
      </c>
      <c r="AM228" s="20">
        <v>0</v>
      </c>
      <c r="AN228" s="20">
        <v>0</v>
      </c>
      <c r="AO228" s="20">
        <v>0</v>
      </c>
      <c r="AP228" s="20">
        <v>0</v>
      </c>
      <c r="AR228" s="20">
        <v>0</v>
      </c>
      <c r="AS228" s="20">
        <v>0</v>
      </c>
      <c r="AT228" s="20">
        <v>319266.58</v>
      </c>
      <c r="AU228" s="20" t="s">
        <v>13</v>
      </c>
      <c r="AV228" s="20" t="s">
        <v>62</v>
      </c>
      <c r="AW228" s="111" t="s">
        <v>63</v>
      </c>
      <c r="AX228" s="20" t="s">
        <v>208</v>
      </c>
      <c r="AY228" s="19" t="s">
        <v>209</v>
      </c>
      <c r="AZ228" s="19">
        <v>0</v>
      </c>
      <c r="BA228" s="19">
        <v>243967.91</v>
      </c>
      <c r="BB228" s="19">
        <v>12</v>
      </c>
      <c r="BC228" s="19" t="s">
        <v>3052</v>
      </c>
      <c r="BD228" s="19" t="s">
        <v>104</v>
      </c>
      <c r="BE228" s="19" t="s">
        <v>210</v>
      </c>
      <c r="BF228" s="19" t="s">
        <v>210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>
        <v>0</v>
      </c>
      <c r="BM228" s="19">
        <v>0</v>
      </c>
      <c r="BN228" s="19">
        <v>652146368940</v>
      </c>
      <c r="BO228" s="66">
        <v>46219</v>
      </c>
      <c r="BP228" s="19">
        <v>0</v>
      </c>
    </row>
    <row r="229" spans="1:68">
      <c r="A229" s="65"/>
      <c r="B229" s="20" t="s">
        <v>2216</v>
      </c>
      <c r="C229" s="20" t="s">
        <v>3052</v>
      </c>
      <c r="D229" s="20" t="s">
        <v>3703</v>
      </c>
      <c r="E229" s="20" t="s">
        <v>18</v>
      </c>
      <c r="F229" s="20" t="s">
        <v>19</v>
      </c>
      <c r="H229" s="20" t="s">
        <v>3704</v>
      </c>
      <c r="I229" s="20">
        <v>4705</v>
      </c>
      <c r="J229" s="20">
        <v>4705</v>
      </c>
      <c r="K229" s="20" t="s">
        <v>11</v>
      </c>
      <c r="L229" s="20">
        <v>4705</v>
      </c>
      <c r="M229" s="20">
        <v>0</v>
      </c>
      <c r="N229" s="20">
        <v>4705</v>
      </c>
      <c r="O229" s="20" t="s">
        <v>2203</v>
      </c>
      <c r="P229" s="20" t="s">
        <v>87</v>
      </c>
      <c r="Q229" s="20" t="s">
        <v>87</v>
      </c>
      <c r="R229" s="20" t="s">
        <v>3060</v>
      </c>
      <c r="S229" s="111" t="s">
        <v>3052</v>
      </c>
      <c r="T229" s="20" t="s">
        <v>206</v>
      </c>
      <c r="U229" s="20" t="s">
        <v>207</v>
      </c>
      <c r="V229" s="20" t="s">
        <v>3059</v>
      </c>
      <c r="W229" s="20">
        <v>144.49</v>
      </c>
      <c r="X229" s="20">
        <v>144.49</v>
      </c>
      <c r="Y229" s="20" t="s">
        <v>3060</v>
      </c>
      <c r="Z229" s="111" t="s">
        <v>3052</v>
      </c>
      <c r="AB229" s="20" t="s">
        <v>2376</v>
      </c>
      <c r="AD229" s="20" t="s">
        <v>2376</v>
      </c>
      <c r="AE229" s="20" t="s">
        <v>2376</v>
      </c>
      <c r="AF229" s="20">
        <v>0</v>
      </c>
      <c r="AG229" s="20">
        <v>0</v>
      </c>
      <c r="AH229" s="20">
        <v>0</v>
      </c>
      <c r="AI229" s="20">
        <v>0</v>
      </c>
      <c r="AJ229" s="20">
        <v>0</v>
      </c>
      <c r="AK229" s="20" t="s">
        <v>609</v>
      </c>
      <c r="AL229" s="20">
        <v>0</v>
      </c>
      <c r="AM229" s="20">
        <v>0</v>
      </c>
      <c r="AN229" s="20">
        <v>0</v>
      </c>
      <c r="AO229" s="20">
        <v>0</v>
      </c>
      <c r="AP229" s="20">
        <v>0</v>
      </c>
      <c r="AR229" s="20">
        <v>0</v>
      </c>
      <c r="AS229" s="20">
        <v>0</v>
      </c>
      <c r="AT229" s="20">
        <v>1361094.22</v>
      </c>
      <c r="AU229" s="20" t="s">
        <v>13</v>
      </c>
      <c r="AV229" s="20" t="s">
        <v>62</v>
      </c>
      <c r="AW229" s="111" t="s">
        <v>63</v>
      </c>
      <c r="AX229" s="20" t="s">
        <v>8</v>
      </c>
      <c r="AY229" s="19" t="s">
        <v>209</v>
      </c>
      <c r="AZ229" s="19">
        <v>0</v>
      </c>
      <c r="BA229" s="19">
        <v>679825.45</v>
      </c>
      <c r="BB229" s="19">
        <v>874</v>
      </c>
      <c r="BC229" s="19" t="s">
        <v>3052</v>
      </c>
      <c r="BD229" s="19" t="s">
        <v>65</v>
      </c>
      <c r="BE229" s="19" t="s">
        <v>210</v>
      </c>
      <c r="BF229" s="19" t="s">
        <v>210</v>
      </c>
      <c r="BG229" s="19">
        <v>9</v>
      </c>
      <c r="BH229" s="19">
        <v>61184.29</v>
      </c>
      <c r="BI229" s="19">
        <v>9</v>
      </c>
      <c r="BJ229" s="19">
        <v>61184.29</v>
      </c>
      <c r="BK229" s="19">
        <v>0</v>
      </c>
      <c r="BL229" s="19">
        <v>0</v>
      </c>
      <c r="BM229" s="19">
        <v>1361094.22</v>
      </c>
      <c r="BN229" s="19">
        <v>692146608300</v>
      </c>
      <c r="BO229" s="66">
        <v>46220</v>
      </c>
      <c r="BP229" s="19">
        <v>0</v>
      </c>
    </row>
    <row r="230" spans="1:68">
      <c r="A230" s="65"/>
      <c r="B230" s="20" t="s">
        <v>2216</v>
      </c>
      <c r="C230" s="20" t="s">
        <v>3052</v>
      </c>
      <c r="D230" s="20" t="s">
        <v>3703</v>
      </c>
      <c r="E230" s="20" t="s">
        <v>18</v>
      </c>
      <c r="F230" s="20" t="s">
        <v>19</v>
      </c>
      <c r="H230" s="20" t="s">
        <v>3704</v>
      </c>
      <c r="I230" s="20">
        <v>251</v>
      </c>
      <c r="J230" s="20">
        <v>251</v>
      </c>
      <c r="K230" s="20" t="s">
        <v>11</v>
      </c>
      <c r="L230" s="20">
        <v>251</v>
      </c>
      <c r="M230" s="20">
        <v>0</v>
      </c>
      <c r="N230" s="20">
        <v>251</v>
      </c>
      <c r="O230" s="20" t="s">
        <v>2203</v>
      </c>
      <c r="P230" s="20" t="s">
        <v>87</v>
      </c>
      <c r="Q230" s="20" t="s">
        <v>87</v>
      </c>
      <c r="R230" s="20" t="s">
        <v>3060</v>
      </c>
      <c r="S230" s="111" t="s">
        <v>3052</v>
      </c>
      <c r="T230" s="20" t="s">
        <v>206</v>
      </c>
      <c r="U230" s="20" t="s">
        <v>207</v>
      </c>
      <c r="V230" s="20" t="s">
        <v>3059</v>
      </c>
      <c r="W230" s="20">
        <v>147.49</v>
      </c>
      <c r="X230" s="20">
        <v>147.49</v>
      </c>
      <c r="Y230" s="20" t="s">
        <v>3060</v>
      </c>
      <c r="Z230" s="111" t="s">
        <v>3052</v>
      </c>
      <c r="AB230" s="20" t="s">
        <v>2376</v>
      </c>
      <c r="AD230" s="20" t="s">
        <v>2376</v>
      </c>
      <c r="AE230" s="20" t="s">
        <v>2376</v>
      </c>
      <c r="AF230" s="20">
        <v>0</v>
      </c>
      <c r="AG230" s="20">
        <v>0</v>
      </c>
      <c r="AH230" s="20">
        <v>0</v>
      </c>
      <c r="AI230" s="20">
        <v>0</v>
      </c>
      <c r="AJ230" s="20">
        <v>0</v>
      </c>
      <c r="AK230" s="20" t="s">
        <v>609</v>
      </c>
      <c r="AL230" s="20">
        <v>0</v>
      </c>
      <c r="AM230" s="20">
        <v>0</v>
      </c>
      <c r="AN230" s="20">
        <v>0</v>
      </c>
      <c r="AO230" s="20">
        <v>0</v>
      </c>
      <c r="AP230" s="20">
        <v>0</v>
      </c>
      <c r="AR230" s="20">
        <v>0</v>
      </c>
      <c r="AS230" s="20">
        <v>0</v>
      </c>
      <c r="AT230" s="20">
        <v>1361094.22</v>
      </c>
      <c r="AU230" s="20" t="s">
        <v>13</v>
      </c>
      <c r="AV230" s="20" t="s">
        <v>62</v>
      </c>
      <c r="AW230" s="111" t="s">
        <v>63</v>
      </c>
      <c r="AX230" s="20" t="s">
        <v>8</v>
      </c>
      <c r="AY230" s="19" t="s">
        <v>209</v>
      </c>
      <c r="AZ230" s="19">
        <v>0</v>
      </c>
      <c r="BA230" s="19">
        <v>37019.99</v>
      </c>
      <c r="BB230" s="19">
        <v>874</v>
      </c>
      <c r="BC230" s="19" t="s">
        <v>3052</v>
      </c>
      <c r="BD230" s="19" t="s">
        <v>65</v>
      </c>
      <c r="BE230" s="19" t="s">
        <v>210</v>
      </c>
      <c r="BF230" s="19" t="s">
        <v>210</v>
      </c>
      <c r="BG230" s="19">
        <v>9</v>
      </c>
      <c r="BH230" s="19">
        <v>3331.8</v>
      </c>
      <c r="BI230" s="19">
        <v>9</v>
      </c>
      <c r="BJ230" s="19">
        <v>3331.8</v>
      </c>
      <c r="BK230" s="19">
        <v>0</v>
      </c>
      <c r="BL230" s="19">
        <v>0</v>
      </c>
      <c r="BM230" s="19">
        <v>0</v>
      </c>
      <c r="BN230" s="19">
        <v>692146608300</v>
      </c>
      <c r="BO230" s="66">
        <v>46220</v>
      </c>
      <c r="BP230" s="19">
        <v>0</v>
      </c>
    </row>
    <row r="231" spans="1:68">
      <c r="A231" s="65"/>
      <c r="B231" s="20" t="s">
        <v>2216</v>
      </c>
      <c r="C231" s="20" t="s">
        <v>3052</v>
      </c>
      <c r="D231" s="20" t="s">
        <v>3703</v>
      </c>
      <c r="E231" s="20" t="s">
        <v>18</v>
      </c>
      <c r="F231" s="20" t="s">
        <v>19</v>
      </c>
      <c r="H231" s="20" t="s">
        <v>3704</v>
      </c>
      <c r="I231" s="20">
        <v>1826</v>
      </c>
      <c r="J231" s="20">
        <v>1826</v>
      </c>
      <c r="K231" s="20" t="s">
        <v>11</v>
      </c>
      <c r="L231" s="20">
        <v>1826</v>
      </c>
      <c r="M231" s="20">
        <v>0</v>
      </c>
      <c r="N231" s="20">
        <v>1826</v>
      </c>
      <c r="O231" s="20" t="s">
        <v>2203</v>
      </c>
      <c r="P231" s="20" t="s">
        <v>87</v>
      </c>
      <c r="Q231" s="20" t="s">
        <v>87</v>
      </c>
      <c r="R231" s="20" t="s">
        <v>3060</v>
      </c>
      <c r="S231" s="111" t="s">
        <v>3052</v>
      </c>
      <c r="T231" s="20" t="s">
        <v>206</v>
      </c>
      <c r="U231" s="20" t="s">
        <v>207</v>
      </c>
      <c r="V231" s="20" t="s">
        <v>3059</v>
      </c>
      <c r="W231" s="20">
        <v>146.49</v>
      </c>
      <c r="X231" s="20">
        <v>146.49</v>
      </c>
      <c r="Y231" s="20" t="s">
        <v>3060</v>
      </c>
      <c r="Z231" s="111" t="s">
        <v>3052</v>
      </c>
      <c r="AB231" s="20" t="s">
        <v>2376</v>
      </c>
      <c r="AD231" s="20" t="s">
        <v>2376</v>
      </c>
      <c r="AE231" s="20" t="s">
        <v>2376</v>
      </c>
      <c r="AF231" s="20">
        <v>0</v>
      </c>
      <c r="AG231" s="20">
        <v>0</v>
      </c>
      <c r="AH231" s="20">
        <v>0</v>
      </c>
      <c r="AI231" s="20">
        <v>0</v>
      </c>
      <c r="AJ231" s="20">
        <v>0</v>
      </c>
      <c r="AK231" s="20" t="s">
        <v>609</v>
      </c>
      <c r="AL231" s="20">
        <v>0</v>
      </c>
      <c r="AM231" s="20">
        <v>0</v>
      </c>
      <c r="AN231" s="20">
        <v>0</v>
      </c>
      <c r="AO231" s="20">
        <v>0</v>
      </c>
      <c r="AP231" s="20">
        <v>0</v>
      </c>
      <c r="AR231" s="20">
        <v>0</v>
      </c>
      <c r="AS231" s="20">
        <v>0</v>
      </c>
      <c r="AT231" s="20">
        <v>1361094.22</v>
      </c>
      <c r="AU231" s="20" t="s">
        <v>13</v>
      </c>
      <c r="AV231" s="20" t="s">
        <v>62</v>
      </c>
      <c r="AW231" s="111" t="s">
        <v>63</v>
      </c>
      <c r="AX231" s="20" t="s">
        <v>8</v>
      </c>
      <c r="AY231" s="19" t="s">
        <v>209</v>
      </c>
      <c r="AZ231" s="19">
        <v>0</v>
      </c>
      <c r="BA231" s="19">
        <v>267490.74</v>
      </c>
      <c r="BB231" s="19">
        <v>874</v>
      </c>
      <c r="BC231" s="19" t="s">
        <v>3052</v>
      </c>
      <c r="BD231" s="19" t="s">
        <v>65</v>
      </c>
      <c r="BE231" s="19" t="s">
        <v>210</v>
      </c>
      <c r="BF231" s="19" t="s">
        <v>210</v>
      </c>
      <c r="BG231" s="19">
        <v>9</v>
      </c>
      <c r="BH231" s="19">
        <v>24074.17</v>
      </c>
      <c r="BI231" s="19">
        <v>9</v>
      </c>
      <c r="BJ231" s="19">
        <v>24074.17</v>
      </c>
      <c r="BK231" s="19">
        <v>0</v>
      </c>
      <c r="BL231" s="19">
        <v>0</v>
      </c>
      <c r="BM231" s="19">
        <v>0</v>
      </c>
      <c r="BN231" s="19">
        <v>692146608300</v>
      </c>
      <c r="BO231" s="66">
        <v>46220</v>
      </c>
      <c r="BP231" s="19">
        <v>0</v>
      </c>
    </row>
    <row r="232" spans="1:68">
      <c r="A232" s="65"/>
      <c r="B232" s="20" t="s">
        <v>2216</v>
      </c>
      <c r="C232" s="20" t="s">
        <v>3052</v>
      </c>
      <c r="D232" s="20" t="s">
        <v>3703</v>
      </c>
      <c r="E232" s="20" t="s">
        <v>20</v>
      </c>
      <c r="F232" s="20" t="s">
        <v>21</v>
      </c>
      <c r="H232" s="20" t="s">
        <v>3704</v>
      </c>
      <c r="I232" s="20">
        <v>815</v>
      </c>
      <c r="J232" s="20">
        <v>815</v>
      </c>
      <c r="K232" s="20" t="s">
        <v>11</v>
      </c>
      <c r="L232" s="20">
        <v>815</v>
      </c>
      <c r="M232" s="20">
        <v>0</v>
      </c>
      <c r="N232" s="20">
        <v>815</v>
      </c>
      <c r="O232" s="20" t="s">
        <v>2203</v>
      </c>
      <c r="P232" s="20" t="s">
        <v>87</v>
      </c>
      <c r="Q232" s="20" t="s">
        <v>87</v>
      </c>
      <c r="R232" s="20" t="s">
        <v>3060</v>
      </c>
      <c r="S232" s="111" t="s">
        <v>3052</v>
      </c>
      <c r="T232" s="20" t="s">
        <v>206</v>
      </c>
      <c r="U232" s="20" t="s">
        <v>207</v>
      </c>
      <c r="V232" s="20" t="s">
        <v>3059</v>
      </c>
      <c r="W232" s="20">
        <v>146.49</v>
      </c>
      <c r="X232" s="20">
        <v>146.49</v>
      </c>
      <c r="Y232" s="20" t="s">
        <v>3060</v>
      </c>
      <c r="Z232" s="111" t="s">
        <v>3052</v>
      </c>
      <c r="AB232" s="20" t="s">
        <v>2376</v>
      </c>
      <c r="AD232" s="20" t="s">
        <v>2376</v>
      </c>
      <c r="AE232" s="20" t="s">
        <v>2376</v>
      </c>
      <c r="AF232" s="20">
        <v>0</v>
      </c>
      <c r="AG232" s="20">
        <v>0</v>
      </c>
      <c r="AH232" s="20">
        <v>0</v>
      </c>
      <c r="AI232" s="20">
        <v>0</v>
      </c>
      <c r="AJ232" s="20">
        <v>0</v>
      </c>
      <c r="AK232" s="20" t="s">
        <v>609</v>
      </c>
      <c r="AL232" s="20">
        <v>0</v>
      </c>
      <c r="AM232" s="20">
        <v>0</v>
      </c>
      <c r="AN232" s="20">
        <v>0</v>
      </c>
      <c r="AO232" s="20">
        <v>0</v>
      </c>
      <c r="AP232" s="20">
        <v>0</v>
      </c>
      <c r="AR232" s="20">
        <v>0</v>
      </c>
      <c r="AS232" s="20">
        <v>0</v>
      </c>
      <c r="AT232" s="20">
        <v>1361094.22</v>
      </c>
      <c r="AU232" s="20" t="s">
        <v>13</v>
      </c>
      <c r="AV232" s="20" t="s">
        <v>62</v>
      </c>
      <c r="AW232" s="111" t="s">
        <v>76</v>
      </c>
      <c r="AX232" s="20" t="s">
        <v>8</v>
      </c>
      <c r="AY232" s="19" t="s">
        <v>209</v>
      </c>
      <c r="AZ232" s="19">
        <v>0</v>
      </c>
      <c r="BA232" s="19">
        <v>119389.35</v>
      </c>
      <c r="BB232" s="19">
        <v>874</v>
      </c>
      <c r="BC232" s="19" t="s">
        <v>3052</v>
      </c>
      <c r="BD232" s="19" t="s">
        <v>65</v>
      </c>
      <c r="BE232" s="19" t="s">
        <v>210</v>
      </c>
      <c r="BF232" s="19" t="s">
        <v>210</v>
      </c>
      <c r="BG232" s="19">
        <v>9</v>
      </c>
      <c r="BH232" s="19">
        <v>10745.04</v>
      </c>
      <c r="BI232" s="19">
        <v>9</v>
      </c>
      <c r="BJ232" s="19">
        <v>10745.04</v>
      </c>
      <c r="BK232" s="19">
        <v>0</v>
      </c>
      <c r="BL232" s="19">
        <v>0</v>
      </c>
      <c r="BM232" s="19">
        <v>0</v>
      </c>
      <c r="BN232" s="19">
        <v>692146608300</v>
      </c>
      <c r="BO232" s="66">
        <v>46220</v>
      </c>
      <c r="BP232" s="19">
        <v>0</v>
      </c>
    </row>
    <row r="233" spans="1:68">
      <c r="A233" s="65"/>
      <c r="B233" s="20" t="s">
        <v>2216</v>
      </c>
      <c r="C233" s="20" t="s">
        <v>3052</v>
      </c>
      <c r="D233" s="20" t="s">
        <v>3703</v>
      </c>
      <c r="E233" s="20" t="s">
        <v>20</v>
      </c>
      <c r="F233" s="20" t="s">
        <v>21</v>
      </c>
      <c r="H233" s="20" t="s">
        <v>3704</v>
      </c>
      <c r="I233" s="20">
        <v>335</v>
      </c>
      <c r="J233" s="20">
        <v>335</v>
      </c>
      <c r="K233" s="20" t="s">
        <v>11</v>
      </c>
      <c r="L233" s="20">
        <v>335</v>
      </c>
      <c r="M233" s="20">
        <v>0</v>
      </c>
      <c r="N233" s="20">
        <v>335</v>
      </c>
      <c r="O233" s="20" t="s">
        <v>2203</v>
      </c>
      <c r="P233" s="20" t="s">
        <v>87</v>
      </c>
      <c r="Q233" s="20" t="s">
        <v>87</v>
      </c>
      <c r="R233" s="20" t="s">
        <v>3060</v>
      </c>
      <c r="S233" s="111" t="s">
        <v>3052</v>
      </c>
      <c r="T233" s="20" t="s">
        <v>206</v>
      </c>
      <c r="U233" s="20" t="s">
        <v>207</v>
      </c>
      <c r="V233" s="20" t="s">
        <v>3059</v>
      </c>
      <c r="W233" s="20">
        <v>148.49</v>
      </c>
      <c r="X233" s="20">
        <v>148.49</v>
      </c>
      <c r="Y233" s="20" t="s">
        <v>3060</v>
      </c>
      <c r="Z233" s="111" t="s">
        <v>3052</v>
      </c>
      <c r="AB233" s="20" t="s">
        <v>2376</v>
      </c>
      <c r="AD233" s="20" t="s">
        <v>2376</v>
      </c>
      <c r="AE233" s="20" t="s">
        <v>2376</v>
      </c>
      <c r="AF233" s="20">
        <v>0</v>
      </c>
      <c r="AG233" s="20">
        <v>0</v>
      </c>
      <c r="AH233" s="20">
        <v>0</v>
      </c>
      <c r="AI233" s="20">
        <v>0</v>
      </c>
      <c r="AJ233" s="20">
        <v>0</v>
      </c>
      <c r="AK233" s="20" t="s">
        <v>609</v>
      </c>
      <c r="AL233" s="20">
        <v>0</v>
      </c>
      <c r="AM233" s="20">
        <v>0</v>
      </c>
      <c r="AN233" s="20">
        <v>0</v>
      </c>
      <c r="AO233" s="20">
        <v>0</v>
      </c>
      <c r="AP233" s="20">
        <v>0</v>
      </c>
      <c r="AR233" s="20">
        <v>0</v>
      </c>
      <c r="AS233" s="20">
        <v>0</v>
      </c>
      <c r="AT233" s="20">
        <v>1361094.22</v>
      </c>
      <c r="AU233" s="20" t="s">
        <v>13</v>
      </c>
      <c r="AV233" s="20" t="s">
        <v>62</v>
      </c>
      <c r="AW233" s="111" t="s">
        <v>76</v>
      </c>
      <c r="AX233" s="20" t="s">
        <v>8</v>
      </c>
      <c r="AY233" s="19" t="s">
        <v>209</v>
      </c>
      <c r="AZ233" s="19">
        <v>0</v>
      </c>
      <c r="BA233" s="19">
        <v>49744.15</v>
      </c>
      <c r="BB233" s="19">
        <v>874</v>
      </c>
      <c r="BC233" s="19" t="s">
        <v>3052</v>
      </c>
      <c r="BD233" s="19" t="s">
        <v>65</v>
      </c>
      <c r="BE233" s="19" t="s">
        <v>210</v>
      </c>
      <c r="BF233" s="19" t="s">
        <v>210</v>
      </c>
      <c r="BG233" s="19">
        <v>9</v>
      </c>
      <c r="BH233" s="19">
        <v>4476.97</v>
      </c>
      <c r="BI233" s="19">
        <v>9</v>
      </c>
      <c r="BJ233" s="19">
        <v>4476.97</v>
      </c>
      <c r="BK233" s="19">
        <v>0</v>
      </c>
      <c r="BL233" s="19">
        <v>0</v>
      </c>
      <c r="BM233" s="19">
        <v>0</v>
      </c>
      <c r="BN233" s="19">
        <v>692146608300</v>
      </c>
      <c r="BO233" s="66">
        <v>46220</v>
      </c>
      <c r="BP233" s="19">
        <v>0</v>
      </c>
    </row>
    <row r="234" spans="1:68">
      <c r="A234" s="65"/>
      <c r="B234" s="20" t="s">
        <v>2216</v>
      </c>
      <c r="C234" s="20" t="s">
        <v>3052</v>
      </c>
      <c r="D234" s="20" t="s">
        <v>3705</v>
      </c>
      <c r="E234" s="20" t="s">
        <v>18</v>
      </c>
      <c r="F234" s="20" t="s">
        <v>19</v>
      </c>
      <c r="H234" s="20" t="s">
        <v>3704</v>
      </c>
      <c r="I234" s="20">
        <v>12</v>
      </c>
      <c r="J234" s="20">
        <v>12</v>
      </c>
      <c r="K234" s="20" t="s">
        <v>11</v>
      </c>
      <c r="L234" s="20">
        <v>12</v>
      </c>
      <c r="M234" s="20">
        <v>0</v>
      </c>
      <c r="N234" s="20">
        <v>12</v>
      </c>
      <c r="O234" s="20" t="s">
        <v>2442</v>
      </c>
      <c r="P234" s="20" t="s">
        <v>87</v>
      </c>
      <c r="Q234" s="20" t="s">
        <v>87</v>
      </c>
      <c r="R234" s="20" t="s">
        <v>3062</v>
      </c>
      <c r="S234" s="111" t="s">
        <v>3030</v>
      </c>
      <c r="T234" s="20" t="s">
        <v>206</v>
      </c>
      <c r="U234" s="20" t="s">
        <v>207</v>
      </c>
      <c r="V234" s="20" t="s">
        <v>3061</v>
      </c>
      <c r="W234" s="20">
        <v>146.49</v>
      </c>
      <c r="X234" s="20">
        <v>146.49</v>
      </c>
      <c r="Y234" s="20" t="s">
        <v>3062</v>
      </c>
      <c r="Z234" s="111" t="s">
        <v>3030</v>
      </c>
      <c r="AB234" s="20" t="s">
        <v>2376</v>
      </c>
      <c r="AD234" s="20" t="s">
        <v>2376</v>
      </c>
      <c r="AE234" s="20" t="s">
        <v>2376</v>
      </c>
      <c r="AF234" s="20">
        <v>0</v>
      </c>
      <c r="AG234" s="20">
        <v>0</v>
      </c>
      <c r="AH234" s="20">
        <v>0</v>
      </c>
      <c r="AI234" s="20">
        <v>0</v>
      </c>
      <c r="AJ234" s="20">
        <v>0</v>
      </c>
      <c r="AK234" s="20" t="s">
        <v>609</v>
      </c>
      <c r="AL234" s="20">
        <v>0</v>
      </c>
      <c r="AM234" s="20">
        <v>0</v>
      </c>
      <c r="AN234" s="20">
        <v>0</v>
      </c>
      <c r="AO234" s="20">
        <v>0</v>
      </c>
      <c r="AP234" s="20">
        <v>0</v>
      </c>
      <c r="AR234" s="20">
        <v>0</v>
      </c>
      <c r="AS234" s="20">
        <v>0</v>
      </c>
      <c r="AT234" s="20">
        <v>2074.3000000000002</v>
      </c>
      <c r="AU234" s="20" t="s">
        <v>13</v>
      </c>
      <c r="AV234" s="20" t="s">
        <v>62</v>
      </c>
      <c r="AW234" s="111" t="s">
        <v>63</v>
      </c>
      <c r="AX234" s="20" t="s">
        <v>8</v>
      </c>
      <c r="AY234" s="19" t="s">
        <v>209</v>
      </c>
      <c r="AZ234" s="19">
        <v>0</v>
      </c>
      <c r="BA234" s="19">
        <v>1757.88</v>
      </c>
      <c r="BB234" s="19">
        <v>875</v>
      </c>
      <c r="BC234" s="19" t="s">
        <v>3052</v>
      </c>
      <c r="BD234" s="19" t="s">
        <v>65</v>
      </c>
      <c r="BE234" s="19" t="s">
        <v>210</v>
      </c>
      <c r="BF234" s="19" t="s">
        <v>210</v>
      </c>
      <c r="BG234" s="19">
        <v>9</v>
      </c>
      <c r="BH234" s="19">
        <v>158.21</v>
      </c>
      <c r="BI234" s="19">
        <v>9</v>
      </c>
      <c r="BJ234" s="19">
        <v>158.21</v>
      </c>
      <c r="BK234" s="19">
        <v>0</v>
      </c>
      <c r="BL234" s="19">
        <v>0</v>
      </c>
      <c r="BM234" s="19">
        <v>2074.3000000000002</v>
      </c>
      <c r="BN234" s="19">
        <v>602146474929</v>
      </c>
      <c r="BO234" s="66">
        <v>46219</v>
      </c>
      <c r="BP234" s="19">
        <v>0</v>
      </c>
    </row>
    <row r="235" spans="1:68">
      <c r="A235" s="65"/>
      <c r="B235" s="20" t="s">
        <v>2216</v>
      </c>
      <c r="C235" s="20" t="s">
        <v>3052</v>
      </c>
      <c r="D235" s="20" t="s">
        <v>3706</v>
      </c>
      <c r="E235" s="20" t="s">
        <v>160</v>
      </c>
      <c r="F235" s="20" t="s">
        <v>17</v>
      </c>
      <c r="H235" s="20" t="s">
        <v>3707</v>
      </c>
      <c r="I235" s="20">
        <v>1307</v>
      </c>
      <c r="J235" s="20">
        <v>1307</v>
      </c>
      <c r="K235" s="20" t="s">
        <v>11</v>
      </c>
      <c r="L235" s="20">
        <v>1307</v>
      </c>
      <c r="M235" s="20">
        <v>0</v>
      </c>
      <c r="N235" s="20">
        <v>1307</v>
      </c>
      <c r="O235" s="20" t="s">
        <v>2203</v>
      </c>
      <c r="P235" s="20" t="s">
        <v>87</v>
      </c>
      <c r="Q235" s="20" t="s">
        <v>87</v>
      </c>
      <c r="R235" s="20" t="s">
        <v>3064</v>
      </c>
      <c r="S235" s="111" t="s">
        <v>3052</v>
      </c>
      <c r="T235" s="20" t="s">
        <v>206</v>
      </c>
      <c r="U235" s="20" t="s">
        <v>207</v>
      </c>
      <c r="V235" s="20" t="s">
        <v>3063</v>
      </c>
      <c r="W235" s="20">
        <v>186.78</v>
      </c>
      <c r="X235" s="20">
        <v>186.77999921522201</v>
      </c>
      <c r="Y235" s="20" t="s">
        <v>3064</v>
      </c>
      <c r="Z235" s="111" t="s">
        <v>3052</v>
      </c>
      <c r="AB235" s="20" t="s">
        <v>2376</v>
      </c>
      <c r="AD235" s="20" t="s">
        <v>2376</v>
      </c>
      <c r="AE235" s="20" t="s">
        <v>2376</v>
      </c>
      <c r="AF235" s="20">
        <v>0</v>
      </c>
      <c r="AG235" s="20">
        <v>0</v>
      </c>
      <c r="AH235" s="20">
        <v>0</v>
      </c>
      <c r="AI235" s="20">
        <v>0</v>
      </c>
      <c r="AJ235" s="20">
        <v>0</v>
      </c>
      <c r="AK235" s="20" t="s">
        <v>609</v>
      </c>
      <c r="AL235" s="20">
        <v>0</v>
      </c>
      <c r="AM235" s="20">
        <v>0</v>
      </c>
      <c r="AN235" s="20">
        <v>0</v>
      </c>
      <c r="AO235" s="20">
        <v>0</v>
      </c>
      <c r="AP235" s="20">
        <v>0</v>
      </c>
      <c r="AR235" s="20">
        <v>0</v>
      </c>
      <c r="AS235" s="20">
        <v>0</v>
      </c>
      <c r="AT235" s="20">
        <v>952014.48</v>
      </c>
      <c r="AU235" s="20" t="s">
        <v>13</v>
      </c>
      <c r="AV235" s="20" t="s">
        <v>80</v>
      </c>
      <c r="AW235" s="111" t="s">
        <v>81</v>
      </c>
      <c r="AX235" s="20" t="s">
        <v>208</v>
      </c>
      <c r="AY235" s="19" t="s">
        <v>209</v>
      </c>
      <c r="AZ235" s="19">
        <v>0</v>
      </c>
      <c r="BA235" s="19">
        <v>244121.46</v>
      </c>
      <c r="BB235" s="19">
        <v>876</v>
      </c>
      <c r="BC235" s="19" t="s">
        <v>3052</v>
      </c>
      <c r="BD235" s="19" t="s">
        <v>65</v>
      </c>
      <c r="BE235" s="19" t="s">
        <v>210</v>
      </c>
      <c r="BF235" s="19" t="s">
        <v>210</v>
      </c>
      <c r="BG235" s="19">
        <v>9</v>
      </c>
      <c r="BH235" s="19">
        <v>21970.93</v>
      </c>
      <c r="BI235" s="19">
        <v>9</v>
      </c>
      <c r="BJ235" s="19">
        <v>21970.93</v>
      </c>
      <c r="BK235" s="19">
        <v>0</v>
      </c>
      <c r="BL235" s="19">
        <v>0</v>
      </c>
      <c r="BM235" s="19">
        <v>952014.48</v>
      </c>
      <c r="BN235" s="19">
        <v>692146738749</v>
      </c>
      <c r="BO235" s="66">
        <v>46220</v>
      </c>
      <c r="BP235" s="19">
        <v>0</v>
      </c>
    </row>
    <row r="236" spans="1:68">
      <c r="A236" s="65"/>
      <c r="B236" s="20" t="s">
        <v>2216</v>
      </c>
      <c r="C236" s="20" t="s">
        <v>3052</v>
      </c>
      <c r="D236" s="20" t="s">
        <v>3706</v>
      </c>
      <c r="E236" s="20" t="s">
        <v>20</v>
      </c>
      <c r="F236" s="20" t="s">
        <v>21</v>
      </c>
      <c r="H236" s="20" t="s">
        <v>3707</v>
      </c>
      <c r="I236" s="20">
        <v>700</v>
      </c>
      <c r="J236" s="20">
        <v>700</v>
      </c>
      <c r="K236" s="20" t="s">
        <v>11</v>
      </c>
      <c r="L236" s="20">
        <v>700</v>
      </c>
      <c r="M236" s="20">
        <v>0</v>
      </c>
      <c r="N236" s="20">
        <v>700</v>
      </c>
      <c r="O236" s="20" t="s">
        <v>2203</v>
      </c>
      <c r="P236" s="20" t="s">
        <v>87</v>
      </c>
      <c r="Q236" s="20" t="s">
        <v>87</v>
      </c>
      <c r="R236" s="20" t="s">
        <v>3064</v>
      </c>
      <c r="S236" s="111" t="s">
        <v>3052</v>
      </c>
      <c r="T236" s="20" t="s">
        <v>206</v>
      </c>
      <c r="U236" s="20" t="s">
        <v>207</v>
      </c>
      <c r="V236" s="20" t="s">
        <v>3063</v>
      </c>
      <c r="W236" s="20">
        <v>151.49</v>
      </c>
      <c r="X236" s="20">
        <v>151.48999936349699</v>
      </c>
      <c r="Y236" s="20" t="s">
        <v>3064</v>
      </c>
      <c r="Z236" s="111" t="s">
        <v>3052</v>
      </c>
      <c r="AB236" s="20" t="s">
        <v>2376</v>
      </c>
      <c r="AD236" s="20" t="s">
        <v>2376</v>
      </c>
      <c r="AE236" s="20" t="s">
        <v>2376</v>
      </c>
      <c r="AF236" s="20">
        <v>0</v>
      </c>
      <c r="AG236" s="20">
        <v>0</v>
      </c>
      <c r="AH236" s="20">
        <v>0</v>
      </c>
      <c r="AI236" s="20">
        <v>0</v>
      </c>
      <c r="AJ236" s="20">
        <v>0</v>
      </c>
      <c r="AK236" s="20" t="s">
        <v>609</v>
      </c>
      <c r="AL236" s="20">
        <v>0</v>
      </c>
      <c r="AM236" s="20">
        <v>0</v>
      </c>
      <c r="AN236" s="20">
        <v>0</v>
      </c>
      <c r="AO236" s="20">
        <v>0</v>
      </c>
      <c r="AP236" s="20">
        <v>0</v>
      </c>
      <c r="AR236" s="20">
        <v>0</v>
      </c>
      <c r="AS236" s="20">
        <v>0</v>
      </c>
      <c r="AT236" s="20">
        <v>952014.48</v>
      </c>
      <c r="AU236" s="20" t="s">
        <v>13</v>
      </c>
      <c r="AV236" s="20" t="s">
        <v>62</v>
      </c>
      <c r="AW236" s="111" t="s">
        <v>76</v>
      </c>
      <c r="AX236" s="20" t="s">
        <v>208</v>
      </c>
      <c r="AY236" s="19" t="s">
        <v>209</v>
      </c>
      <c r="AZ236" s="19">
        <v>0</v>
      </c>
      <c r="BA236" s="19">
        <v>106043</v>
      </c>
      <c r="BB236" s="19">
        <v>876</v>
      </c>
      <c r="BC236" s="19" t="s">
        <v>3052</v>
      </c>
      <c r="BD236" s="19" t="s">
        <v>65</v>
      </c>
      <c r="BE236" s="19" t="s">
        <v>210</v>
      </c>
      <c r="BF236" s="19" t="s">
        <v>210</v>
      </c>
      <c r="BG236" s="19">
        <v>9</v>
      </c>
      <c r="BH236" s="19">
        <v>9543.8700000000008</v>
      </c>
      <c r="BI236" s="19">
        <v>9</v>
      </c>
      <c r="BJ236" s="19">
        <v>9543.8700000000008</v>
      </c>
      <c r="BK236" s="19">
        <v>0</v>
      </c>
      <c r="BL236" s="19">
        <v>0</v>
      </c>
      <c r="BM236" s="19">
        <v>0</v>
      </c>
      <c r="BN236" s="19">
        <v>692146738749</v>
      </c>
      <c r="BO236" s="66">
        <v>46220</v>
      </c>
      <c r="BP236" s="19">
        <v>0</v>
      </c>
    </row>
    <row r="237" spans="1:68">
      <c r="A237" s="65"/>
      <c r="B237" s="20" t="s">
        <v>2216</v>
      </c>
      <c r="C237" s="20" t="s">
        <v>3052</v>
      </c>
      <c r="D237" s="20" t="s">
        <v>3706</v>
      </c>
      <c r="E237" s="20" t="s">
        <v>18</v>
      </c>
      <c r="F237" s="20" t="s">
        <v>19</v>
      </c>
      <c r="H237" s="20" t="s">
        <v>3707</v>
      </c>
      <c r="I237" s="20">
        <v>2119</v>
      </c>
      <c r="J237" s="20">
        <v>2119</v>
      </c>
      <c r="K237" s="20" t="s">
        <v>11</v>
      </c>
      <c r="L237" s="20">
        <v>2119</v>
      </c>
      <c r="M237" s="20">
        <v>0</v>
      </c>
      <c r="N237" s="20">
        <v>2119</v>
      </c>
      <c r="O237" s="20" t="s">
        <v>2203</v>
      </c>
      <c r="P237" s="20" t="s">
        <v>87</v>
      </c>
      <c r="Q237" s="20" t="s">
        <v>87</v>
      </c>
      <c r="R237" s="20" t="s">
        <v>3064</v>
      </c>
      <c r="S237" s="111" t="s">
        <v>3052</v>
      </c>
      <c r="T237" s="20" t="s">
        <v>206</v>
      </c>
      <c r="U237" s="20" t="s">
        <v>207</v>
      </c>
      <c r="V237" s="20" t="s">
        <v>3063</v>
      </c>
      <c r="W237" s="20">
        <v>144.49</v>
      </c>
      <c r="X237" s="20">
        <v>144.489999392908</v>
      </c>
      <c r="Y237" s="20" t="s">
        <v>3064</v>
      </c>
      <c r="Z237" s="111" t="s">
        <v>3052</v>
      </c>
      <c r="AB237" s="20" t="s">
        <v>2376</v>
      </c>
      <c r="AD237" s="20" t="s">
        <v>2376</v>
      </c>
      <c r="AE237" s="20" t="s">
        <v>2376</v>
      </c>
      <c r="AF237" s="20">
        <v>0</v>
      </c>
      <c r="AG237" s="20">
        <v>0</v>
      </c>
      <c r="AH237" s="20">
        <v>0</v>
      </c>
      <c r="AI237" s="20">
        <v>0</v>
      </c>
      <c r="AJ237" s="20">
        <v>0</v>
      </c>
      <c r="AK237" s="20" t="s">
        <v>609</v>
      </c>
      <c r="AL237" s="20">
        <v>0</v>
      </c>
      <c r="AM237" s="20">
        <v>0</v>
      </c>
      <c r="AN237" s="20">
        <v>0</v>
      </c>
      <c r="AO237" s="20">
        <v>0</v>
      </c>
      <c r="AP237" s="20">
        <v>0</v>
      </c>
      <c r="AR237" s="20">
        <v>0</v>
      </c>
      <c r="AS237" s="20">
        <v>0</v>
      </c>
      <c r="AT237" s="20">
        <v>952014.48</v>
      </c>
      <c r="AU237" s="20" t="s">
        <v>13</v>
      </c>
      <c r="AV237" s="20" t="s">
        <v>62</v>
      </c>
      <c r="AW237" s="111" t="s">
        <v>63</v>
      </c>
      <c r="AX237" s="20" t="s">
        <v>208</v>
      </c>
      <c r="AY237" s="19" t="s">
        <v>209</v>
      </c>
      <c r="AZ237" s="19">
        <v>0</v>
      </c>
      <c r="BA237" s="19">
        <v>306174.31</v>
      </c>
      <c r="BB237" s="19">
        <v>876</v>
      </c>
      <c r="BC237" s="19" t="s">
        <v>3052</v>
      </c>
      <c r="BD237" s="19" t="s">
        <v>65</v>
      </c>
      <c r="BE237" s="19" t="s">
        <v>210</v>
      </c>
      <c r="BF237" s="19" t="s">
        <v>210</v>
      </c>
      <c r="BG237" s="19">
        <v>9</v>
      </c>
      <c r="BH237" s="19">
        <v>27555.69</v>
      </c>
      <c r="BI237" s="19">
        <v>9</v>
      </c>
      <c r="BJ237" s="19">
        <v>27555.69</v>
      </c>
      <c r="BK237" s="19">
        <v>0</v>
      </c>
      <c r="BL237" s="19">
        <v>0</v>
      </c>
      <c r="BM237" s="19">
        <v>0</v>
      </c>
      <c r="BN237" s="19">
        <v>692146738749</v>
      </c>
      <c r="BO237" s="66">
        <v>46220</v>
      </c>
      <c r="BP237" s="19">
        <v>0</v>
      </c>
    </row>
    <row r="238" spans="1:68">
      <c r="A238" s="65"/>
      <c r="B238" s="20" t="s">
        <v>2216</v>
      </c>
      <c r="C238" s="20" t="s">
        <v>3052</v>
      </c>
      <c r="D238" s="20" t="s">
        <v>3706</v>
      </c>
      <c r="E238" s="20" t="s">
        <v>23</v>
      </c>
      <c r="F238" s="20" t="s">
        <v>24</v>
      </c>
      <c r="H238" s="20" t="s">
        <v>3707</v>
      </c>
      <c r="I238" s="20">
        <v>306.8</v>
      </c>
      <c r="J238" s="20">
        <v>306.8</v>
      </c>
      <c r="K238" s="20" t="s">
        <v>11</v>
      </c>
      <c r="L238" s="20">
        <v>306.8</v>
      </c>
      <c r="M238" s="20">
        <v>0</v>
      </c>
      <c r="N238" s="20">
        <v>306.8</v>
      </c>
      <c r="O238" s="20" t="s">
        <v>2203</v>
      </c>
      <c r="P238" s="20" t="s">
        <v>87</v>
      </c>
      <c r="Q238" s="20" t="s">
        <v>87</v>
      </c>
      <c r="R238" s="20" t="s">
        <v>3064</v>
      </c>
      <c r="S238" s="111" t="s">
        <v>3052</v>
      </c>
      <c r="T238" s="20" t="s">
        <v>206</v>
      </c>
      <c r="U238" s="20" t="s">
        <v>207</v>
      </c>
      <c r="V238" s="20" t="s">
        <v>3063</v>
      </c>
      <c r="W238" s="20">
        <v>146.49</v>
      </c>
      <c r="X238" s="20">
        <v>146.48999938450501</v>
      </c>
      <c r="Y238" s="20" t="s">
        <v>3064</v>
      </c>
      <c r="Z238" s="111" t="s">
        <v>3052</v>
      </c>
      <c r="AB238" s="20" t="s">
        <v>2376</v>
      </c>
      <c r="AD238" s="20" t="s">
        <v>2376</v>
      </c>
      <c r="AE238" s="20" t="s">
        <v>2376</v>
      </c>
      <c r="AF238" s="20">
        <v>0</v>
      </c>
      <c r="AG238" s="20">
        <v>0</v>
      </c>
      <c r="AH238" s="20">
        <v>0</v>
      </c>
      <c r="AI238" s="20">
        <v>0</v>
      </c>
      <c r="AJ238" s="20">
        <v>0</v>
      </c>
      <c r="AK238" s="20" t="s">
        <v>609</v>
      </c>
      <c r="AL238" s="20">
        <v>0</v>
      </c>
      <c r="AM238" s="20">
        <v>0</v>
      </c>
      <c r="AN238" s="20">
        <v>0</v>
      </c>
      <c r="AO238" s="20">
        <v>0</v>
      </c>
      <c r="AP238" s="20">
        <v>0</v>
      </c>
      <c r="AR238" s="20">
        <v>0</v>
      </c>
      <c r="AS238" s="20">
        <v>0</v>
      </c>
      <c r="AT238" s="20">
        <v>952014.48</v>
      </c>
      <c r="AU238" s="20" t="s">
        <v>13</v>
      </c>
      <c r="AV238" s="20" t="s">
        <v>24</v>
      </c>
      <c r="AW238" s="111" t="s">
        <v>79</v>
      </c>
      <c r="AX238" s="20" t="s">
        <v>208</v>
      </c>
      <c r="AY238" s="19" t="s">
        <v>209</v>
      </c>
      <c r="AZ238" s="19">
        <v>0</v>
      </c>
      <c r="BA238" s="19">
        <v>44943.13</v>
      </c>
      <c r="BB238" s="19">
        <v>876</v>
      </c>
      <c r="BC238" s="19" t="s">
        <v>3052</v>
      </c>
      <c r="BD238" s="19" t="s">
        <v>65</v>
      </c>
      <c r="BE238" s="19" t="s">
        <v>210</v>
      </c>
      <c r="BF238" s="19" t="s">
        <v>210</v>
      </c>
      <c r="BG238" s="19">
        <v>9</v>
      </c>
      <c r="BH238" s="19">
        <v>4044.88</v>
      </c>
      <c r="BI238" s="19">
        <v>9</v>
      </c>
      <c r="BJ238" s="19">
        <v>4044.88</v>
      </c>
      <c r="BK238" s="19">
        <v>0</v>
      </c>
      <c r="BL238" s="19">
        <v>0</v>
      </c>
      <c r="BM238" s="19">
        <v>0</v>
      </c>
      <c r="BN238" s="19">
        <v>692146738749</v>
      </c>
      <c r="BO238" s="66">
        <v>46220</v>
      </c>
      <c r="BP238" s="19">
        <v>0</v>
      </c>
    </row>
    <row r="239" spans="1:68">
      <c r="A239" s="65"/>
      <c r="B239" s="20" t="s">
        <v>2216</v>
      </c>
      <c r="C239" s="20" t="s">
        <v>3052</v>
      </c>
      <c r="D239" s="20" t="s">
        <v>3706</v>
      </c>
      <c r="E239" s="20" t="s">
        <v>23</v>
      </c>
      <c r="F239" s="20" t="s">
        <v>24</v>
      </c>
      <c r="H239" s="20" t="s">
        <v>3707</v>
      </c>
      <c r="I239" s="20">
        <v>705.8</v>
      </c>
      <c r="J239" s="20">
        <v>705.8</v>
      </c>
      <c r="K239" s="20" t="s">
        <v>11</v>
      </c>
      <c r="L239" s="20">
        <v>705.8</v>
      </c>
      <c r="M239" s="20">
        <v>0</v>
      </c>
      <c r="N239" s="20">
        <v>705.8</v>
      </c>
      <c r="O239" s="20" t="s">
        <v>2203</v>
      </c>
      <c r="P239" s="20" t="s">
        <v>87</v>
      </c>
      <c r="Q239" s="20" t="s">
        <v>87</v>
      </c>
      <c r="R239" s="20" t="s">
        <v>3064</v>
      </c>
      <c r="S239" s="111" t="s">
        <v>3052</v>
      </c>
      <c r="T239" s="20" t="s">
        <v>206</v>
      </c>
      <c r="U239" s="20" t="s">
        <v>207</v>
      </c>
      <c r="V239" s="20" t="s">
        <v>3063</v>
      </c>
      <c r="W239" s="20">
        <v>149.49</v>
      </c>
      <c r="X239" s="20">
        <v>149.48999937190001</v>
      </c>
      <c r="Y239" s="20" t="s">
        <v>3064</v>
      </c>
      <c r="Z239" s="111" t="s">
        <v>3052</v>
      </c>
      <c r="AB239" s="20" t="s">
        <v>2376</v>
      </c>
      <c r="AD239" s="20" t="s">
        <v>2376</v>
      </c>
      <c r="AE239" s="20" t="s">
        <v>2376</v>
      </c>
      <c r="AF239" s="20">
        <v>0</v>
      </c>
      <c r="AG239" s="20">
        <v>0</v>
      </c>
      <c r="AH239" s="20">
        <v>0</v>
      </c>
      <c r="AI239" s="20">
        <v>0</v>
      </c>
      <c r="AJ239" s="20">
        <v>0</v>
      </c>
      <c r="AK239" s="20" t="s">
        <v>609</v>
      </c>
      <c r="AL239" s="20">
        <v>0</v>
      </c>
      <c r="AM239" s="20">
        <v>0</v>
      </c>
      <c r="AN239" s="20">
        <v>0</v>
      </c>
      <c r="AO239" s="20">
        <v>0</v>
      </c>
      <c r="AP239" s="20">
        <v>0</v>
      </c>
      <c r="AR239" s="20">
        <v>0</v>
      </c>
      <c r="AS239" s="20">
        <v>0</v>
      </c>
      <c r="AT239" s="20">
        <v>952014.48</v>
      </c>
      <c r="AU239" s="20" t="s">
        <v>13</v>
      </c>
      <c r="AV239" s="20" t="s">
        <v>24</v>
      </c>
      <c r="AW239" s="111" t="s">
        <v>79</v>
      </c>
      <c r="AX239" s="20" t="s">
        <v>208</v>
      </c>
      <c r="AY239" s="19" t="s">
        <v>209</v>
      </c>
      <c r="AZ239" s="19">
        <v>0</v>
      </c>
      <c r="BA239" s="19">
        <v>105510.04</v>
      </c>
      <c r="BB239" s="19">
        <v>876</v>
      </c>
      <c r="BC239" s="19" t="s">
        <v>3052</v>
      </c>
      <c r="BD239" s="19" t="s">
        <v>65</v>
      </c>
      <c r="BE239" s="19" t="s">
        <v>210</v>
      </c>
      <c r="BF239" s="19" t="s">
        <v>210</v>
      </c>
      <c r="BG239" s="19">
        <v>9</v>
      </c>
      <c r="BH239" s="19">
        <v>9495.9</v>
      </c>
      <c r="BI239" s="19">
        <v>9</v>
      </c>
      <c r="BJ239" s="19">
        <v>9495.9</v>
      </c>
      <c r="BK239" s="19">
        <v>0</v>
      </c>
      <c r="BL239" s="19">
        <v>0</v>
      </c>
      <c r="BM239" s="19">
        <v>0</v>
      </c>
      <c r="BN239" s="19">
        <v>692146738749</v>
      </c>
      <c r="BO239" s="66">
        <v>46220</v>
      </c>
      <c r="BP239" s="19">
        <v>0</v>
      </c>
    </row>
    <row r="240" spans="1:68">
      <c r="A240" s="65"/>
      <c r="B240" s="20" t="s">
        <v>2216</v>
      </c>
      <c r="C240" s="20" t="s">
        <v>3071</v>
      </c>
      <c r="D240" s="20" t="s">
        <v>3708</v>
      </c>
      <c r="E240" s="20" t="s">
        <v>3709</v>
      </c>
      <c r="F240" s="20" t="s">
        <v>3094</v>
      </c>
      <c r="G240" s="20" t="s">
        <v>3710</v>
      </c>
      <c r="H240" s="20" t="s">
        <v>3711</v>
      </c>
      <c r="I240" s="20">
        <v>2000</v>
      </c>
      <c r="J240" s="20">
        <v>2000</v>
      </c>
      <c r="K240" s="20" t="s">
        <v>3096</v>
      </c>
      <c r="L240" s="20">
        <v>2000</v>
      </c>
      <c r="M240" s="20">
        <v>0</v>
      </c>
      <c r="N240" s="20">
        <v>2000</v>
      </c>
      <c r="O240" s="20" t="s">
        <v>2416</v>
      </c>
      <c r="P240" s="20" t="s">
        <v>3092</v>
      </c>
      <c r="Q240" s="20" t="s">
        <v>3092</v>
      </c>
      <c r="R240" s="20">
        <v>441</v>
      </c>
      <c r="S240" s="111" t="s">
        <v>3033</v>
      </c>
      <c r="T240" s="20" t="s">
        <v>206</v>
      </c>
      <c r="U240" s="20" t="s">
        <v>207</v>
      </c>
      <c r="V240" s="20" t="s">
        <v>3093</v>
      </c>
      <c r="W240" s="20">
        <v>34.5</v>
      </c>
      <c r="X240" s="20">
        <v>35.5</v>
      </c>
      <c r="Y240" s="20">
        <v>441</v>
      </c>
      <c r="Z240" s="111" t="s">
        <v>3033</v>
      </c>
      <c r="AB240" s="20" t="s">
        <v>2376</v>
      </c>
      <c r="AD240" s="20" t="s">
        <v>3712</v>
      </c>
      <c r="AE240" s="20" t="s">
        <v>3713</v>
      </c>
      <c r="AF240" s="20">
        <v>0</v>
      </c>
      <c r="AG240" s="20">
        <v>0</v>
      </c>
      <c r="AH240" s="20">
        <v>0</v>
      </c>
      <c r="AI240" s="20">
        <v>0</v>
      </c>
      <c r="AJ240" s="20">
        <v>0</v>
      </c>
      <c r="AK240" s="20" t="s">
        <v>609</v>
      </c>
      <c r="AL240" s="20">
        <v>0</v>
      </c>
      <c r="AM240" s="20">
        <v>0</v>
      </c>
      <c r="AN240" s="20">
        <v>0</v>
      </c>
      <c r="AO240" s="20">
        <v>2000</v>
      </c>
      <c r="AP240" s="20">
        <v>0</v>
      </c>
      <c r="AQ240" s="20" t="s">
        <v>3714</v>
      </c>
      <c r="AR240" s="20">
        <v>100</v>
      </c>
      <c r="AS240" s="20">
        <v>0</v>
      </c>
      <c r="AT240" s="20">
        <v>74550</v>
      </c>
      <c r="AU240" s="20" t="s">
        <v>13</v>
      </c>
      <c r="AV240" s="20" t="s">
        <v>3094</v>
      </c>
      <c r="AW240" s="111"/>
      <c r="AX240" s="20" t="s">
        <v>208</v>
      </c>
      <c r="AY240" s="19" t="s">
        <v>3715</v>
      </c>
      <c r="AZ240" s="19">
        <v>0</v>
      </c>
      <c r="BA240" s="19">
        <v>71000</v>
      </c>
      <c r="BB240" s="19">
        <v>880</v>
      </c>
      <c r="BC240" s="19" t="s">
        <v>3071</v>
      </c>
      <c r="BD240" s="19" t="s">
        <v>3095</v>
      </c>
      <c r="BE240" s="19" t="s">
        <v>210</v>
      </c>
      <c r="BF240" s="19" t="s">
        <v>3716</v>
      </c>
      <c r="BG240" s="19">
        <v>2.5</v>
      </c>
      <c r="BH240" s="19">
        <v>1725</v>
      </c>
      <c r="BI240" s="19">
        <v>2.5</v>
      </c>
      <c r="BJ240" s="19">
        <v>1725</v>
      </c>
      <c r="BK240" s="19">
        <v>0</v>
      </c>
      <c r="BL240" s="19">
        <v>0</v>
      </c>
      <c r="BM240" s="19">
        <v>74550</v>
      </c>
      <c r="BN240" s="19">
        <v>632145595923</v>
      </c>
      <c r="BO240" s="66">
        <v>46218</v>
      </c>
      <c r="BP240" s="19">
        <v>0</v>
      </c>
    </row>
    <row r="241" spans="1:68">
      <c r="A241" s="65"/>
      <c r="B241" s="20" t="s">
        <v>2216</v>
      </c>
      <c r="C241" s="20" t="s">
        <v>3071</v>
      </c>
      <c r="D241" s="20" t="s">
        <v>3717</v>
      </c>
      <c r="E241" s="20" t="s">
        <v>18</v>
      </c>
      <c r="F241" s="20" t="s">
        <v>19</v>
      </c>
      <c r="H241" s="20" t="s">
        <v>3718</v>
      </c>
      <c r="I241" s="20">
        <v>6039</v>
      </c>
      <c r="J241" s="20">
        <v>6039</v>
      </c>
      <c r="K241" s="20" t="s">
        <v>11</v>
      </c>
      <c r="L241" s="20">
        <v>6039</v>
      </c>
      <c r="M241" s="20">
        <v>0</v>
      </c>
      <c r="N241" s="20">
        <v>6039</v>
      </c>
      <c r="O241" s="20" t="s">
        <v>2203</v>
      </c>
      <c r="P241" s="20" t="s">
        <v>87</v>
      </c>
      <c r="Q241" s="20" t="s">
        <v>87</v>
      </c>
      <c r="R241" s="20" t="s">
        <v>3100</v>
      </c>
      <c r="S241" s="20" t="s">
        <v>3071</v>
      </c>
      <c r="T241" s="20" t="s">
        <v>206</v>
      </c>
      <c r="U241" s="20" t="s">
        <v>207</v>
      </c>
      <c r="V241" s="20" t="s">
        <v>3099</v>
      </c>
      <c r="W241" s="20">
        <v>144.49</v>
      </c>
      <c r="X241" s="20">
        <v>144.49</v>
      </c>
      <c r="Y241" s="20" t="s">
        <v>3100</v>
      </c>
      <c r="Z241" s="20" t="s">
        <v>3071</v>
      </c>
      <c r="AB241" s="20" t="s">
        <v>2376</v>
      </c>
      <c r="AD241" s="20" t="s">
        <v>2376</v>
      </c>
      <c r="AE241" s="20" t="s">
        <v>2376</v>
      </c>
      <c r="AF241" s="20">
        <v>0</v>
      </c>
      <c r="AG241" s="20">
        <v>0</v>
      </c>
      <c r="AH241" s="20">
        <v>0</v>
      </c>
      <c r="AI241" s="20">
        <v>0</v>
      </c>
      <c r="AJ241" s="20">
        <v>0</v>
      </c>
      <c r="AK241" s="20" t="s">
        <v>609</v>
      </c>
      <c r="AL241" s="20">
        <v>0</v>
      </c>
      <c r="AM241" s="20">
        <v>0</v>
      </c>
      <c r="AN241" s="20">
        <v>0</v>
      </c>
      <c r="AO241" s="20">
        <v>0</v>
      </c>
      <c r="AP241" s="20">
        <v>0</v>
      </c>
      <c r="AR241" s="20">
        <v>0</v>
      </c>
      <c r="AS241" s="20">
        <v>0</v>
      </c>
      <c r="AT241" s="20">
        <v>1374913.77</v>
      </c>
      <c r="AU241" s="20" t="s">
        <v>13</v>
      </c>
      <c r="AV241" s="20" t="s">
        <v>62</v>
      </c>
      <c r="AW241" s="111" t="s">
        <v>63</v>
      </c>
      <c r="AX241" s="20" t="s">
        <v>208</v>
      </c>
      <c r="AY241" s="19" t="s">
        <v>209</v>
      </c>
      <c r="AZ241" s="19">
        <v>0</v>
      </c>
      <c r="BA241" s="19">
        <v>872575.11</v>
      </c>
      <c r="BB241" s="19">
        <v>890</v>
      </c>
      <c r="BC241" s="19" t="s">
        <v>3071</v>
      </c>
      <c r="BD241" s="19" t="s">
        <v>65</v>
      </c>
      <c r="BE241" s="19" t="s">
        <v>210</v>
      </c>
      <c r="BF241" s="19" t="s">
        <v>210</v>
      </c>
      <c r="BG241" s="19">
        <v>9</v>
      </c>
      <c r="BH241" s="19">
        <v>78531.759999999995</v>
      </c>
      <c r="BI241" s="19">
        <v>9</v>
      </c>
      <c r="BJ241" s="19">
        <v>78531.759999999995</v>
      </c>
      <c r="BK241" s="19">
        <v>0</v>
      </c>
      <c r="BL241" s="19">
        <v>0</v>
      </c>
      <c r="BM241" s="19">
        <v>1374913.77</v>
      </c>
      <c r="BN241" s="19">
        <v>692147266661</v>
      </c>
      <c r="BO241" s="66">
        <v>46221</v>
      </c>
      <c r="BP241" s="19">
        <v>0</v>
      </c>
    </row>
    <row r="242" spans="1:68">
      <c r="A242" s="65"/>
      <c r="B242" s="20" t="s">
        <v>2216</v>
      </c>
      <c r="C242" s="20" t="s">
        <v>3071</v>
      </c>
      <c r="D242" s="20" t="s">
        <v>3717</v>
      </c>
      <c r="E242" s="20" t="s">
        <v>18</v>
      </c>
      <c r="F242" s="20" t="s">
        <v>19</v>
      </c>
      <c r="H242" s="20" t="s">
        <v>3718</v>
      </c>
      <c r="I242" s="20">
        <v>505</v>
      </c>
      <c r="J242" s="20">
        <v>505</v>
      </c>
      <c r="K242" s="20" t="s">
        <v>11</v>
      </c>
      <c r="L242" s="20">
        <v>505</v>
      </c>
      <c r="M242" s="20">
        <v>0</v>
      </c>
      <c r="N242" s="20">
        <v>505</v>
      </c>
      <c r="O242" s="20" t="s">
        <v>2203</v>
      </c>
      <c r="P242" s="20" t="s">
        <v>87</v>
      </c>
      <c r="Q242" s="20" t="s">
        <v>87</v>
      </c>
      <c r="R242" s="20" t="s">
        <v>3100</v>
      </c>
      <c r="S242" s="20" t="s">
        <v>3071</v>
      </c>
      <c r="T242" s="20" t="s">
        <v>206</v>
      </c>
      <c r="U242" s="20" t="s">
        <v>207</v>
      </c>
      <c r="V242" s="20" t="s">
        <v>3099</v>
      </c>
      <c r="W242" s="20">
        <v>147.49</v>
      </c>
      <c r="X242" s="20">
        <v>147.49</v>
      </c>
      <c r="Y242" s="20" t="s">
        <v>3100</v>
      </c>
      <c r="Z242" s="20" t="s">
        <v>3071</v>
      </c>
      <c r="AB242" s="20" t="s">
        <v>2376</v>
      </c>
      <c r="AD242" s="20" t="s">
        <v>2376</v>
      </c>
      <c r="AE242" s="20" t="s">
        <v>2376</v>
      </c>
      <c r="AF242" s="20">
        <v>0</v>
      </c>
      <c r="AG242" s="20">
        <v>0</v>
      </c>
      <c r="AH242" s="20">
        <v>0</v>
      </c>
      <c r="AI242" s="20">
        <v>0</v>
      </c>
      <c r="AJ242" s="20">
        <v>0</v>
      </c>
      <c r="AK242" s="20" t="s">
        <v>609</v>
      </c>
      <c r="AL242" s="20">
        <v>0</v>
      </c>
      <c r="AM242" s="20">
        <v>0</v>
      </c>
      <c r="AN242" s="20">
        <v>0</v>
      </c>
      <c r="AO242" s="20">
        <v>0</v>
      </c>
      <c r="AP242" s="20">
        <v>0</v>
      </c>
      <c r="AR242" s="20">
        <v>0</v>
      </c>
      <c r="AS242" s="20">
        <v>0</v>
      </c>
      <c r="AT242" s="20">
        <v>1374913.77</v>
      </c>
      <c r="AU242" s="20" t="s">
        <v>13</v>
      </c>
      <c r="AV242" s="20" t="s">
        <v>62</v>
      </c>
      <c r="AW242" s="111" t="s">
        <v>63</v>
      </c>
      <c r="AX242" s="20" t="s">
        <v>208</v>
      </c>
      <c r="AY242" s="19" t="s">
        <v>209</v>
      </c>
      <c r="AZ242" s="19">
        <v>0</v>
      </c>
      <c r="BA242" s="19">
        <v>74482.45</v>
      </c>
      <c r="BB242" s="19">
        <v>890</v>
      </c>
      <c r="BC242" s="19" t="s">
        <v>3071</v>
      </c>
      <c r="BD242" s="19" t="s">
        <v>65</v>
      </c>
      <c r="BE242" s="19" t="s">
        <v>210</v>
      </c>
      <c r="BF242" s="19" t="s">
        <v>210</v>
      </c>
      <c r="BG242" s="19">
        <v>9</v>
      </c>
      <c r="BH242" s="19">
        <v>6703.42</v>
      </c>
      <c r="BI242" s="19">
        <v>9</v>
      </c>
      <c r="BJ242" s="19">
        <v>6703.42</v>
      </c>
      <c r="BK242" s="19">
        <v>0</v>
      </c>
      <c r="BL242" s="19">
        <v>0</v>
      </c>
      <c r="BM242" s="19">
        <v>0</v>
      </c>
      <c r="BN242" s="19">
        <v>692147266661</v>
      </c>
      <c r="BO242" s="66">
        <v>46221</v>
      </c>
      <c r="BP242" s="19">
        <v>0</v>
      </c>
    </row>
    <row r="243" spans="1:68">
      <c r="A243" s="65"/>
      <c r="B243" s="20" t="s">
        <v>2216</v>
      </c>
      <c r="C243" s="20" t="s">
        <v>3071</v>
      </c>
      <c r="D243" s="20" t="s">
        <v>3717</v>
      </c>
      <c r="E243" s="20" t="s">
        <v>18</v>
      </c>
      <c r="F243" s="20" t="s">
        <v>19</v>
      </c>
      <c r="H243" s="20" t="s">
        <v>3718</v>
      </c>
      <c r="I243" s="20">
        <v>1489</v>
      </c>
      <c r="J243" s="20">
        <v>1489</v>
      </c>
      <c r="K243" s="20" t="s">
        <v>11</v>
      </c>
      <c r="L243" s="20">
        <v>1489</v>
      </c>
      <c r="M243" s="20">
        <v>0</v>
      </c>
      <c r="N243" s="20">
        <v>1489</v>
      </c>
      <c r="O243" s="20" t="s">
        <v>2203</v>
      </c>
      <c r="P243" s="20" t="s">
        <v>87</v>
      </c>
      <c r="Q243" s="20" t="s">
        <v>87</v>
      </c>
      <c r="R243" s="20" t="s">
        <v>3100</v>
      </c>
      <c r="S243" s="20" t="s">
        <v>3071</v>
      </c>
      <c r="T243" s="20" t="s">
        <v>206</v>
      </c>
      <c r="U243" s="20" t="s">
        <v>207</v>
      </c>
      <c r="V243" s="20" t="s">
        <v>3099</v>
      </c>
      <c r="W243" s="20">
        <v>146.49</v>
      </c>
      <c r="X243" s="20">
        <v>146.49</v>
      </c>
      <c r="Y243" s="20" t="s">
        <v>3100</v>
      </c>
      <c r="Z243" s="20" t="s">
        <v>3071</v>
      </c>
      <c r="AB243" s="20" t="s">
        <v>2376</v>
      </c>
      <c r="AD243" s="20" t="s">
        <v>2376</v>
      </c>
      <c r="AE243" s="20" t="s">
        <v>2376</v>
      </c>
      <c r="AF243" s="20">
        <v>0</v>
      </c>
      <c r="AG243" s="20">
        <v>0</v>
      </c>
      <c r="AH243" s="20">
        <v>0</v>
      </c>
      <c r="AI243" s="20">
        <v>0</v>
      </c>
      <c r="AJ243" s="20">
        <v>0</v>
      </c>
      <c r="AK243" s="20" t="s">
        <v>609</v>
      </c>
      <c r="AL243" s="20">
        <v>0</v>
      </c>
      <c r="AM243" s="20">
        <v>0</v>
      </c>
      <c r="AN243" s="20">
        <v>0</v>
      </c>
      <c r="AO243" s="20">
        <v>0</v>
      </c>
      <c r="AP243" s="20">
        <v>0</v>
      </c>
      <c r="AR243" s="20">
        <v>0</v>
      </c>
      <c r="AS243" s="20">
        <v>0</v>
      </c>
      <c r="AT243" s="20">
        <v>1374913.77</v>
      </c>
      <c r="AU243" s="20" t="s">
        <v>13</v>
      </c>
      <c r="AV243" s="20" t="s">
        <v>62</v>
      </c>
      <c r="AW243" s="111" t="s">
        <v>63</v>
      </c>
      <c r="AX243" s="20" t="s">
        <v>208</v>
      </c>
      <c r="AY243" s="19" t="s">
        <v>209</v>
      </c>
      <c r="AZ243" s="19">
        <v>0</v>
      </c>
      <c r="BA243" s="19">
        <v>218123.61</v>
      </c>
      <c r="BB243" s="19">
        <v>890</v>
      </c>
      <c r="BC243" s="19" t="s">
        <v>3071</v>
      </c>
      <c r="BD243" s="19" t="s">
        <v>65</v>
      </c>
      <c r="BE243" s="19" t="s">
        <v>210</v>
      </c>
      <c r="BF243" s="19" t="s">
        <v>210</v>
      </c>
      <c r="BG243" s="19">
        <v>9</v>
      </c>
      <c r="BH243" s="19">
        <v>19631.12</v>
      </c>
      <c r="BI243" s="19">
        <v>9</v>
      </c>
      <c r="BJ243" s="19">
        <v>19631.12</v>
      </c>
      <c r="BK243" s="19">
        <v>0</v>
      </c>
      <c r="BL243" s="19">
        <v>0</v>
      </c>
      <c r="BM243" s="19">
        <v>0</v>
      </c>
      <c r="BN243" s="19">
        <v>692147266661</v>
      </c>
      <c r="BO243" s="66">
        <v>46221</v>
      </c>
      <c r="BP243" s="19">
        <v>0</v>
      </c>
    </row>
    <row r="244" spans="1:68">
      <c r="A244" s="65"/>
      <c r="B244" s="19" t="s">
        <v>2216</v>
      </c>
      <c r="C244" s="19" t="s">
        <v>3071</v>
      </c>
      <c r="D244" s="19" t="s">
        <v>3719</v>
      </c>
      <c r="E244" s="19" t="s">
        <v>18</v>
      </c>
      <c r="F244" s="19" t="s">
        <v>19</v>
      </c>
      <c r="G244" s="19"/>
      <c r="H244" s="19" t="s">
        <v>3718</v>
      </c>
      <c r="I244" s="19">
        <v>424</v>
      </c>
      <c r="J244" s="19">
        <v>424</v>
      </c>
      <c r="K244" s="19" t="s">
        <v>11</v>
      </c>
      <c r="L244" s="19">
        <v>424</v>
      </c>
      <c r="M244" s="19">
        <v>0</v>
      </c>
      <c r="N244" s="19">
        <v>424</v>
      </c>
      <c r="O244" s="19" t="s">
        <v>2204</v>
      </c>
      <c r="P244" s="19" t="s">
        <v>87</v>
      </c>
      <c r="Q244" s="19" t="s">
        <v>87</v>
      </c>
      <c r="R244" s="19" t="s">
        <v>3102</v>
      </c>
      <c r="S244" s="66" t="s">
        <v>3071</v>
      </c>
      <c r="T244" s="19" t="s">
        <v>206</v>
      </c>
      <c r="U244" s="19" t="s">
        <v>207</v>
      </c>
      <c r="V244" s="19" t="s">
        <v>3101</v>
      </c>
      <c r="W244" s="19">
        <v>144.49</v>
      </c>
      <c r="X244" s="112">
        <v>144.49</v>
      </c>
      <c r="Y244" s="19" t="s">
        <v>3102</v>
      </c>
      <c r="Z244" s="66" t="s">
        <v>3071</v>
      </c>
      <c r="AA244" s="19"/>
      <c r="AB244" s="19" t="s">
        <v>2376</v>
      </c>
      <c r="AC244" s="19"/>
      <c r="AD244" s="19" t="s">
        <v>2376</v>
      </c>
      <c r="AE244" s="19" t="s">
        <v>2376</v>
      </c>
      <c r="AF244" s="19">
        <v>0</v>
      </c>
      <c r="AG244" s="19">
        <v>0</v>
      </c>
      <c r="AH244" s="19">
        <v>0</v>
      </c>
      <c r="AI244" s="19">
        <v>0</v>
      </c>
      <c r="AJ244" s="19">
        <v>0</v>
      </c>
      <c r="AK244" s="19" t="s">
        <v>609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/>
      <c r="AR244" s="19">
        <v>0</v>
      </c>
      <c r="AS244" s="19">
        <v>0</v>
      </c>
      <c r="AT244" s="19">
        <v>171815.18</v>
      </c>
      <c r="AU244" s="19" t="s">
        <v>13</v>
      </c>
      <c r="AV244" s="19" t="s">
        <v>62</v>
      </c>
      <c r="AW244" s="19" t="s">
        <v>63</v>
      </c>
      <c r="AX244" s="19" t="s">
        <v>208</v>
      </c>
      <c r="AY244" s="19" t="s">
        <v>209</v>
      </c>
      <c r="AZ244" s="19">
        <v>0</v>
      </c>
      <c r="BA244" s="19">
        <v>61263.76</v>
      </c>
      <c r="BB244" s="19">
        <v>906</v>
      </c>
      <c r="BC244" s="66" t="s">
        <v>3071</v>
      </c>
      <c r="BD244" s="19" t="s">
        <v>65</v>
      </c>
      <c r="BE244" s="19" t="s">
        <v>210</v>
      </c>
      <c r="BF244" s="19" t="s">
        <v>210</v>
      </c>
      <c r="BG244" s="19">
        <v>9</v>
      </c>
      <c r="BH244" s="19">
        <v>5513.74</v>
      </c>
      <c r="BI244" s="19">
        <v>9</v>
      </c>
      <c r="BJ244" s="19">
        <v>5513.74</v>
      </c>
      <c r="BK244" s="19">
        <v>0</v>
      </c>
      <c r="BL244" s="19">
        <v>0</v>
      </c>
      <c r="BM244" s="19">
        <v>171815.18</v>
      </c>
      <c r="BN244" s="19">
        <v>632147750195</v>
      </c>
      <c r="BO244" s="66">
        <v>46221</v>
      </c>
      <c r="BP244" s="19">
        <v>0</v>
      </c>
    </row>
    <row r="245" spans="1:68">
      <c r="A245" s="65"/>
      <c r="B245" s="19" t="s">
        <v>2216</v>
      </c>
      <c r="C245" s="19" t="s">
        <v>3071</v>
      </c>
      <c r="D245" s="19" t="s">
        <v>3719</v>
      </c>
      <c r="E245" s="19" t="s">
        <v>20</v>
      </c>
      <c r="F245" s="19" t="s">
        <v>21</v>
      </c>
      <c r="G245" s="19"/>
      <c r="H245" s="19" t="s">
        <v>3718</v>
      </c>
      <c r="I245" s="19">
        <v>568</v>
      </c>
      <c r="J245" s="19">
        <v>568</v>
      </c>
      <c r="K245" s="19" t="s">
        <v>11</v>
      </c>
      <c r="L245" s="19">
        <v>568</v>
      </c>
      <c r="M245" s="19">
        <v>0</v>
      </c>
      <c r="N245" s="19">
        <v>568</v>
      </c>
      <c r="O245" s="19" t="s">
        <v>2204</v>
      </c>
      <c r="P245" s="19" t="s">
        <v>87</v>
      </c>
      <c r="Q245" s="19" t="s">
        <v>87</v>
      </c>
      <c r="R245" s="19" t="s">
        <v>3102</v>
      </c>
      <c r="S245" s="19" t="s">
        <v>3071</v>
      </c>
      <c r="T245" s="19" t="s">
        <v>206</v>
      </c>
      <c r="U245" s="19" t="s">
        <v>207</v>
      </c>
      <c r="V245" s="19" t="s">
        <v>3101</v>
      </c>
      <c r="W245" s="19">
        <v>148.49</v>
      </c>
      <c r="X245" s="112">
        <v>148.49</v>
      </c>
      <c r="Y245" s="19" t="s">
        <v>3102</v>
      </c>
      <c r="Z245" s="19" t="s">
        <v>3071</v>
      </c>
      <c r="AA245" s="19"/>
      <c r="AB245" s="19" t="s">
        <v>2376</v>
      </c>
      <c r="AC245" s="19"/>
      <c r="AD245" s="19" t="s">
        <v>2376</v>
      </c>
      <c r="AE245" s="19" t="s">
        <v>2376</v>
      </c>
      <c r="AF245" s="19">
        <v>0</v>
      </c>
      <c r="AG245" s="19">
        <v>0</v>
      </c>
      <c r="AH245" s="19">
        <v>0</v>
      </c>
      <c r="AI245" s="19">
        <v>0</v>
      </c>
      <c r="AJ245" s="19">
        <v>0</v>
      </c>
      <c r="AK245" s="19" t="s">
        <v>609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/>
      <c r="AR245" s="19">
        <v>0</v>
      </c>
      <c r="AS245" s="19">
        <v>0</v>
      </c>
      <c r="AT245" s="19">
        <v>171815.18</v>
      </c>
      <c r="AU245" s="19" t="s">
        <v>13</v>
      </c>
      <c r="AV245" s="19" t="s">
        <v>62</v>
      </c>
      <c r="AW245" s="19" t="s">
        <v>76</v>
      </c>
      <c r="AX245" s="19" t="s">
        <v>208</v>
      </c>
      <c r="AY245" s="19" t="s">
        <v>209</v>
      </c>
      <c r="AZ245" s="19">
        <v>0</v>
      </c>
      <c r="BA245" s="19">
        <v>84342.32</v>
      </c>
      <c r="BB245" s="19">
        <v>906</v>
      </c>
      <c r="BC245" s="19" t="s">
        <v>3071</v>
      </c>
      <c r="BD245" s="19" t="s">
        <v>65</v>
      </c>
      <c r="BE245" s="19" t="s">
        <v>210</v>
      </c>
      <c r="BF245" s="19" t="s">
        <v>210</v>
      </c>
      <c r="BG245" s="19">
        <v>9</v>
      </c>
      <c r="BH245" s="19">
        <v>7590.81</v>
      </c>
      <c r="BI245" s="19">
        <v>9</v>
      </c>
      <c r="BJ245" s="19">
        <v>7590.81</v>
      </c>
      <c r="BK245" s="19">
        <v>0</v>
      </c>
      <c r="BL245" s="19">
        <v>0</v>
      </c>
      <c r="BM245" s="19">
        <v>0</v>
      </c>
      <c r="BN245" s="19">
        <v>632147750195</v>
      </c>
      <c r="BO245" s="66">
        <v>46221</v>
      </c>
      <c r="BP245" s="19">
        <v>0</v>
      </c>
    </row>
    <row r="246" spans="1:68">
      <c r="A246" s="65"/>
      <c r="B246" s="19" t="s">
        <v>2216</v>
      </c>
      <c r="C246" s="19" t="s">
        <v>3071</v>
      </c>
      <c r="D246" s="19" t="s">
        <v>3720</v>
      </c>
      <c r="E246" s="19" t="s">
        <v>20</v>
      </c>
      <c r="F246" s="19" t="s">
        <v>21</v>
      </c>
      <c r="G246" s="19"/>
      <c r="H246" s="19" t="s">
        <v>3718</v>
      </c>
      <c r="I246" s="19">
        <v>659</v>
      </c>
      <c r="J246" s="19">
        <v>659</v>
      </c>
      <c r="K246" s="19" t="s">
        <v>11</v>
      </c>
      <c r="L246" s="19">
        <v>659</v>
      </c>
      <c r="M246" s="19">
        <v>0</v>
      </c>
      <c r="N246" s="19">
        <v>659</v>
      </c>
      <c r="O246" s="19" t="s">
        <v>2204</v>
      </c>
      <c r="P246" s="19" t="s">
        <v>87</v>
      </c>
      <c r="Q246" s="19" t="s">
        <v>87</v>
      </c>
      <c r="R246" s="19" t="s">
        <v>3104</v>
      </c>
      <c r="S246" s="19" t="s">
        <v>3071</v>
      </c>
      <c r="T246" s="19" t="s">
        <v>206</v>
      </c>
      <c r="U246" s="19" t="s">
        <v>207</v>
      </c>
      <c r="V246" s="19" t="s">
        <v>3103</v>
      </c>
      <c r="W246" s="19">
        <v>148.49</v>
      </c>
      <c r="X246" s="112">
        <v>148.49</v>
      </c>
      <c r="Y246" s="19" t="s">
        <v>3104</v>
      </c>
      <c r="Z246" s="19" t="s">
        <v>3071</v>
      </c>
      <c r="AA246" s="19"/>
      <c r="AB246" s="19" t="s">
        <v>2376</v>
      </c>
      <c r="AC246" s="19"/>
      <c r="AD246" s="19" t="s">
        <v>2376</v>
      </c>
      <c r="AE246" s="19" t="s">
        <v>2376</v>
      </c>
      <c r="AF246" s="19">
        <v>0</v>
      </c>
      <c r="AG246" s="19">
        <v>0</v>
      </c>
      <c r="AH246" s="19">
        <v>0</v>
      </c>
      <c r="AI246" s="19">
        <v>0</v>
      </c>
      <c r="AJ246" s="19">
        <v>0</v>
      </c>
      <c r="AK246" s="19" t="s">
        <v>609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/>
      <c r="AR246" s="19">
        <v>0</v>
      </c>
      <c r="AS246" s="19">
        <v>0</v>
      </c>
      <c r="AT246" s="19">
        <v>115468.79</v>
      </c>
      <c r="AU246" s="19" t="s">
        <v>13</v>
      </c>
      <c r="AV246" s="19" t="s">
        <v>62</v>
      </c>
      <c r="AW246" s="19" t="s">
        <v>76</v>
      </c>
      <c r="AX246" s="19" t="s">
        <v>208</v>
      </c>
      <c r="AY246" s="19" t="s">
        <v>209</v>
      </c>
      <c r="AZ246" s="19">
        <v>0</v>
      </c>
      <c r="BA246" s="19">
        <v>97854.91</v>
      </c>
      <c r="BB246" s="19">
        <v>906</v>
      </c>
      <c r="BC246" s="19" t="s">
        <v>3071</v>
      </c>
      <c r="BD246" s="19" t="s">
        <v>65</v>
      </c>
      <c r="BE246" s="19" t="s">
        <v>210</v>
      </c>
      <c r="BF246" s="19" t="s">
        <v>210</v>
      </c>
      <c r="BG246" s="19">
        <v>9</v>
      </c>
      <c r="BH246" s="19">
        <v>8806.94</v>
      </c>
      <c r="BI246" s="19">
        <v>9</v>
      </c>
      <c r="BJ246" s="19">
        <v>8806.94</v>
      </c>
      <c r="BK246" s="19">
        <v>0</v>
      </c>
      <c r="BL246" s="19">
        <v>0</v>
      </c>
      <c r="BM246" s="19">
        <v>115468.79</v>
      </c>
      <c r="BN246" s="19">
        <v>602147766362</v>
      </c>
      <c r="BO246" s="66">
        <v>46221</v>
      </c>
      <c r="BP246" s="19">
        <v>0</v>
      </c>
    </row>
    <row r="247" spans="1:68">
      <c r="A247" s="65"/>
      <c r="B247" s="19" t="s">
        <v>2216</v>
      </c>
      <c r="C247" s="19" t="s">
        <v>3071</v>
      </c>
      <c r="D247" s="19" t="s">
        <v>3721</v>
      </c>
      <c r="E247" s="19" t="s">
        <v>20</v>
      </c>
      <c r="F247" s="19" t="s">
        <v>21</v>
      </c>
      <c r="G247" s="19"/>
      <c r="H247" s="19" t="s">
        <v>3718</v>
      </c>
      <c r="I247" s="19">
        <v>424</v>
      </c>
      <c r="J247" s="19">
        <v>424</v>
      </c>
      <c r="K247" s="19" t="s">
        <v>11</v>
      </c>
      <c r="L247" s="19">
        <v>424</v>
      </c>
      <c r="M247" s="19">
        <v>0</v>
      </c>
      <c r="N247" s="19">
        <v>424</v>
      </c>
      <c r="O247" s="19" t="s">
        <v>3722</v>
      </c>
      <c r="P247" s="19" t="s">
        <v>87</v>
      </c>
      <c r="Q247" s="19" t="s">
        <v>87</v>
      </c>
      <c r="R247" s="19" t="s">
        <v>3106</v>
      </c>
      <c r="S247" s="19" t="s">
        <v>3071</v>
      </c>
      <c r="T247" s="19" t="s">
        <v>206</v>
      </c>
      <c r="U247" s="19" t="s">
        <v>207</v>
      </c>
      <c r="V247" s="19" t="s">
        <v>3105</v>
      </c>
      <c r="W247" s="19">
        <v>148.49</v>
      </c>
      <c r="X247" s="112">
        <v>148.49</v>
      </c>
      <c r="Y247" s="19" t="s">
        <v>3106</v>
      </c>
      <c r="Z247" s="19" t="s">
        <v>3071</v>
      </c>
      <c r="AA247" s="19"/>
      <c r="AB247" s="19" t="s">
        <v>2376</v>
      </c>
      <c r="AC247" s="19"/>
      <c r="AD247" s="19" t="s">
        <v>3723</v>
      </c>
      <c r="AE247" s="19" t="s">
        <v>2376</v>
      </c>
      <c r="AF247" s="19">
        <v>0</v>
      </c>
      <c r="AG247" s="19">
        <v>0</v>
      </c>
      <c r="AH247" s="19">
        <v>0</v>
      </c>
      <c r="AI247" s="19">
        <v>0</v>
      </c>
      <c r="AJ247" s="19">
        <v>0</v>
      </c>
      <c r="AK247" s="19" t="s">
        <v>609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/>
      <c r="AR247" s="19">
        <v>0</v>
      </c>
      <c r="AS247" s="19">
        <v>0</v>
      </c>
      <c r="AT247" s="19">
        <v>457346.3</v>
      </c>
      <c r="AU247" s="19" t="s">
        <v>13</v>
      </c>
      <c r="AV247" s="19" t="s">
        <v>62</v>
      </c>
      <c r="AW247" s="19" t="s">
        <v>76</v>
      </c>
      <c r="AX247" s="19" t="s">
        <v>208</v>
      </c>
      <c r="AY247" s="19" t="s">
        <v>209</v>
      </c>
      <c r="AZ247" s="19">
        <v>0</v>
      </c>
      <c r="BA247" s="19">
        <v>62959.76</v>
      </c>
      <c r="BB247" s="19">
        <v>891</v>
      </c>
      <c r="BC247" s="19" t="s">
        <v>3071</v>
      </c>
      <c r="BD247" s="19" t="s">
        <v>65</v>
      </c>
      <c r="BE247" s="19" t="s">
        <v>210</v>
      </c>
      <c r="BF247" s="19" t="s">
        <v>210</v>
      </c>
      <c r="BG247" s="19">
        <v>9</v>
      </c>
      <c r="BH247" s="19">
        <v>5666.38</v>
      </c>
      <c r="BI247" s="19">
        <v>9</v>
      </c>
      <c r="BJ247" s="19">
        <v>5666.38</v>
      </c>
      <c r="BK247" s="19">
        <v>0</v>
      </c>
      <c r="BL247" s="19">
        <v>0</v>
      </c>
      <c r="BM247" s="19">
        <v>457346.3</v>
      </c>
      <c r="BN247" s="19">
        <v>692147252800</v>
      </c>
      <c r="BO247" s="66">
        <v>46221</v>
      </c>
      <c r="BP247" s="19">
        <v>0</v>
      </c>
    </row>
    <row r="248" spans="1:68">
      <c r="A248" s="65"/>
      <c r="B248" s="19" t="s">
        <v>2216</v>
      </c>
      <c r="C248" s="19" t="s">
        <v>3071</v>
      </c>
      <c r="D248" s="19" t="s">
        <v>3721</v>
      </c>
      <c r="E248" s="19" t="s">
        <v>18</v>
      </c>
      <c r="F248" s="19" t="s">
        <v>19</v>
      </c>
      <c r="G248" s="19"/>
      <c r="H248" s="19" t="s">
        <v>3718</v>
      </c>
      <c r="I248" s="19">
        <v>2216</v>
      </c>
      <c r="J248" s="19">
        <v>2216</v>
      </c>
      <c r="K248" s="19" t="s">
        <v>11</v>
      </c>
      <c r="L248" s="19">
        <v>2216</v>
      </c>
      <c r="M248" s="19">
        <v>0</v>
      </c>
      <c r="N248" s="19">
        <v>2216</v>
      </c>
      <c r="O248" s="19" t="s">
        <v>3722</v>
      </c>
      <c r="P248" s="19" t="s">
        <v>87</v>
      </c>
      <c r="Q248" s="19" t="s">
        <v>87</v>
      </c>
      <c r="R248" s="19" t="s">
        <v>3106</v>
      </c>
      <c r="S248" s="66" t="s">
        <v>3071</v>
      </c>
      <c r="T248" s="19" t="s">
        <v>206</v>
      </c>
      <c r="U248" s="19" t="s">
        <v>207</v>
      </c>
      <c r="V248" s="19" t="s">
        <v>3105</v>
      </c>
      <c r="W248" s="19">
        <v>146.49</v>
      </c>
      <c r="X248" s="112">
        <v>146.49</v>
      </c>
      <c r="Y248" s="19" t="s">
        <v>3106</v>
      </c>
      <c r="Z248" s="66" t="s">
        <v>3071</v>
      </c>
      <c r="AA248" s="19"/>
      <c r="AB248" s="19" t="s">
        <v>2376</v>
      </c>
      <c r="AC248" s="19"/>
      <c r="AD248" s="19" t="s">
        <v>3723</v>
      </c>
      <c r="AE248" s="19" t="s">
        <v>2376</v>
      </c>
      <c r="AF248" s="19">
        <v>0</v>
      </c>
      <c r="AG248" s="19">
        <v>0</v>
      </c>
      <c r="AH248" s="19">
        <v>0</v>
      </c>
      <c r="AI248" s="19">
        <v>0</v>
      </c>
      <c r="AJ248" s="19">
        <v>0</v>
      </c>
      <c r="AK248" s="19" t="s">
        <v>609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/>
      <c r="AR248" s="19">
        <v>0</v>
      </c>
      <c r="AS248" s="19">
        <v>0</v>
      </c>
      <c r="AT248" s="19">
        <v>457346.3</v>
      </c>
      <c r="AU248" s="19" t="s">
        <v>13</v>
      </c>
      <c r="AV248" s="19" t="s">
        <v>62</v>
      </c>
      <c r="AW248" s="19" t="s">
        <v>63</v>
      </c>
      <c r="AX248" s="19" t="s">
        <v>208</v>
      </c>
      <c r="AY248" s="19" t="s">
        <v>209</v>
      </c>
      <c r="AZ248" s="19">
        <v>0</v>
      </c>
      <c r="BA248" s="19">
        <v>324621.84000000003</v>
      </c>
      <c r="BB248" s="19">
        <v>891</v>
      </c>
      <c r="BC248" s="19" t="s">
        <v>3071</v>
      </c>
      <c r="BD248" s="19" t="s">
        <v>65</v>
      </c>
      <c r="BE248" s="19" t="s">
        <v>210</v>
      </c>
      <c r="BF248" s="19" t="s">
        <v>210</v>
      </c>
      <c r="BG248" s="19">
        <v>9</v>
      </c>
      <c r="BH248" s="19">
        <v>29215.97</v>
      </c>
      <c r="BI248" s="19">
        <v>9</v>
      </c>
      <c r="BJ248" s="19">
        <v>29215.97</v>
      </c>
      <c r="BK248" s="19">
        <v>0</v>
      </c>
      <c r="BL248" s="19">
        <v>0</v>
      </c>
      <c r="BM248" s="19">
        <v>0</v>
      </c>
      <c r="BN248" s="19">
        <v>692147252800</v>
      </c>
      <c r="BO248" s="66">
        <v>46221</v>
      </c>
      <c r="BP248" s="19">
        <v>0</v>
      </c>
    </row>
    <row r="249" spans="1:68">
      <c r="A249" s="65"/>
      <c r="B249" s="19" t="s">
        <v>2216</v>
      </c>
      <c r="C249" s="19" t="s">
        <v>3071</v>
      </c>
      <c r="D249" s="19" t="s">
        <v>3724</v>
      </c>
      <c r="E249" s="19" t="s">
        <v>160</v>
      </c>
      <c r="F249" s="19" t="s">
        <v>17</v>
      </c>
      <c r="G249" s="19"/>
      <c r="H249" s="19" t="s">
        <v>3725</v>
      </c>
      <c r="I249" s="19">
        <v>372</v>
      </c>
      <c r="J249" s="19">
        <v>372</v>
      </c>
      <c r="K249" s="19" t="s">
        <v>11</v>
      </c>
      <c r="L249" s="19">
        <v>372</v>
      </c>
      <c r="M249" s="19">
        <v>0</v>
      </c>
      <c r="N249" s="19">
        <v>372</v>
      </c>
      <c r="O249" s="19" t="s">
        <v>2203</v>
      </c>
      <c r="P249" s="19" t="s">
        <v>87</v>
      </c>
      <c r="Q249" s="19" t="s">
        <v>87</v>
      </c>
      <c r="R249" s="19" t="s">
        <v>3108</v>
      </c>
      <c r="S249" s="66" t="s">
        <v>3071</v>
      </c>
      <c r="T249" s="19" t="s">
        <v>206</v>
      </c>
      <c r="U249" s="19" t="s">
        <v>207</v>
      </c>
      <c r="V249" s="19" t="s">
        <v>3107</v>
      </c>
      <c r="W249" s="19">
        <v>190.78</v>
      </c>
      <c r="X249" s="112">
        <v>190.77999891921701</v>
      </c>
      <c r="Y249" s="19" t="s">
        <v>3108</v>
      </c>
      <c r="Z249" s="66" t="s">
        <v>3071</v>
      </c>
      <c r="AA249" s="19"/>
      <c r="AB249" s="19" t="s">
        <v>2376</v>
      </c>
      <c r="AC249" s="19"/>
      <c r="AD249" s="19" t="s">
        <v>2376</v>
      </c>
      <c r="AE249" s="19" t="s">
        <v>2376</v>
      </c>
      <c r="AF249" s="19">
        <v>0</v>
      </c>
      <c r="AG249" s="19">
        <v>0</v>
      </c>
      <c r="AH249" s="19">
        <v>0</v>
      </c>
      <c r="AI249" s="19">
        <v>0</v>
      </c>
      <c r="AJ249" s="19">
        <v>0</v>
      </c>
      <c r="AK249" s="19" t="s">
        <v>609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/>
      <c r="AR249" s="19">
        <v>0</v>
      </c>
      <c r="AS249" s="19">
        <v>0</v>
      </c>
      <c r="AT249" s="19">
        <v>1059121.3500000001</v>
      </c>
      <c r="AU249" s="19" t="s">
        <v>13</v>
      </c>
      <c r="AV249" s="19" t="s">
        <v>80</v>
      </c>
      <c r="AW249" s="19" t="s">
        <v>81</v>
      </c>
      <c r="AX249" s="19" t="s">
        <v>208</v>
      </c>
      <c r="AY249" s="19" t="s">
        <v>209</v>
      </c>
      <c r="AZ249" s="19">
        <v>0</v>
      </c>
      <c r="BA249" s="19">
        <v>70970.16</v>
      </c>
      <c r="BB249" s="19">
        <v>902</v>
      </c>
      <c r="BC249" s="19" t="s">
        <v>3071</v>
      </c>
      <c r="BD249" s="19" t="s">
        <v>65</v>
      </c>
      <c r="BE249" s="19" t="s">
        <v>210</v>
      </c>
      <c r="BF249" s="19" t="s">
        <v>210</v>
      </c>
      <c r="BG249" s="19">
        <v>9</v>
      </c>
      <c r="BH249" s="19">
        <v>6387.31</v>
      </c>
      <c r="BI249" s="19">
        <v>9</v>
      </c>
      <c r="BJ249" s="19">
        <v>6387.31</v>
      </c>
      <c r="BK249" s="19">
        <v>0</v>
      </c>
      <c r="BL249" s="19">
        <v>0</v>
      </c>
      <c r="BM249" s="19">
        <v>1059121.3500000001</v>
      </c>
      <c r="BN249" s="19">
        <v>622147484147</v>
      </c>
      <c r="BO249" s="66">
        <v>46221</v>
      </c>
      <c r="BP249" s="19">
        <v>0</v>
      </c>
    </row>
    <row r="250" spans="1:68">
      <c r="A250" s="65"/>
      <c r="B250" s="19" t="s">
        <v>2216</v>
      </c>
      <c r="C250" s="19" t="s">
        <v>3071</v>
      </c>
      <c r="D250" s="19" t="s">
        <v>3724</v>
      </c>
      <c r="E250" s="19" t="s">
        <v>160</v>
      </c>
      <c r="F250" s="19" t="s">
        <v>17</v>
      </c>
      <c r="G250" s="19"/>
      <c r="H250" s="19" t="s">
        <v>3725</v>
      </c>
      <c r="I250" s="19">
        <v>1415</v>
      </c>
      <c r="J250" s="19">
        <v>1415</v>
      </c>
      <c r="K250" s="19" t="s">
        <v>11</v>
      </c>
      <c r="L250" s="19">
        <v>1415</v>
      </c>
      <c r="M250" s="19">
        <v>0</v>
      </c>
      <c r="N250" s="19">
        <v>1415</v>
      </c>
      <c r="O250" s="19" t="s">
        <v>2203</v>
      </c>
      <c r="P250" s="19" t="s">
        <v>87</v>
      </c>
      <c r="Q250" s="19" t="s">
        <v>87</v>
      </c>
      <c r="R250" s="19" t="s">
        <v>3108</v>
      </c>
      <c r="S250" s="66" t="s">
        <v>3071</v>
      </c>
      <c r="T250" s="19" t="s">
        <v>206</v>
      </c>
      <c r="U250" s="19" t="s">
        <v>207</v>
      </c>
      <c r="V250" s="19" t="s">
        <v>3107</v>
      </c>
      <c r="W250" s="19">
        <v>186.78</v>
      </c>
      <c r="X250" s="19">
        <v>186.77999894187801</v>
      </c>
      <c r="Y250" s="19" t="s">
        <v>3108</v>
      </c>
      <c r="Z250" s="66" t="s">
        <v>3071</v>
      </c>
      <c r="AA250" s="19"/>
      <c r="AB250" s="19" t="s">
        <v>2376</v>
      </c>
      <c r="AC250" s="19"/>
      <c r="AD250" s="19" t="s">
        <v>2376</v>
      </c>
      <c r="AE250" s="19" t="s">
        <v>2376</v>
      </c>
      <c r="AF250" s="19">
        <v>0</v>
      </c>
      <c r="AG250" s="19">
        <v>0</v>
      </c>
      <c r="AH250" s="19">
        <v>0</v>
      </c>
      <c r="AI250" s="19">
        <v>0</v>
      </c>
      <c r="AJ250" s="19">
        <v>0</v>
      </c>
      <c r="AK250" s="19" t="s">
        <v>609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/>
      <c r="AR250" s="19">
        <v>0</v>
      </c>
      <c r="AS250" s="19">
        <v>0</v>
      </c>
      <c r="AT250" s="19">
        <v>1059121.3500000001</v>
      </c>
      <c r="AU250" s="19" t="s">
        <v>13</v>
      </c>
      <c r="AV250" s="19" t="s">
        <v>80</v>
      </c>
      <c r="AW250" s="19" t="s">
        <v>81</v>
      </c>
      <c r="AX250" s="19" t="s">
        <v>208</v>
      </c>
      <c r="AY250" s="19" t="s">
        <v>209</v>
      </c>
      <c r="AZ250" s="19">
        <v>0</v>
      </c>
      <c r="BA250" s="19">
        <v>264293.7</v>
      </c>
      <c r="BB250" s="19">
        <v>902</v>
      </c>
      <c r="BC250" s="19" t="s">
        <v>3071</v>
      </c>
      <c r="BD250" s="19" t="s">
        <v>65</v>
      </c>
      <c r="BE250" s="19" t="s">
        <v>210</v>
      </c>
      <c r="BF250" s="19" t="s">
        <v>210</v>
      </c>
      <c r="BG250" s="19">
        <v>9</v>
      </c>
      <c r="BH250" s="19">
        <v>23786.43</v>
      </c>
      <c r="BI250" s="19">
        <v>9</v>
      </c>
      <c r="BJ250" s="19">
        <v>23786.43</v>
      </c>
      <c r="BK250" s="19">
        <v>0</v>
      </c>
      <c r="BL250" s="19">
        <v>0</v>
      </c>
      <c r="BM250" s="19">
        <v>0</v>
      </c>
      <c r="BN250" s="19">
        <v>622147484147</v>
      </c>
      <c r="BO250" s="66">
        <v>46221</v>
      </c>
      <c r="BP250" s="19">
        <v>0</v>
      </c>
    </row>
    <row r="251" spans="1:68">
      <c r="A251" s="65"/>
      <c r="B251" s="19" t="s">
        <v>2216</v>
      </c>
      <c r="C251" s="19" t="s">
        <v>3071</v>
      </c>
      <c r="D251" s="19" t="s">
        <v>3724</v>
      </c>
      <c r="E251" s="19" t="s">
        <v>18</v>
      </c>
      <c r="F251" s="19" t="s">
        <v>19</v>
      </c>
      <c r="G251" s="19"/>
      <c r="H251" s="19" t="s">
        <v>3725</v>
      </c>
      <c r="I251" s="19">
        <v>1869</v>
      </c>
      <c r="J251" s="19">
        <v>1869</v>
      </c>
      <c r="K251" s="19" t="s">
        <v>11</v>
      </c>
      <c r="L251" s="19">
        <v>1869</v>
      </c>
      <c r="M251" s="19">
        <v>0</v>
      </c>
      <c r="N251" s="19">
        <v>1869</v>
      </c>
      <c r="O251" s="19" t="s">
        <v>2203</v>
      </c>
      <c r="P251" s="19" t="s">
        <v>87</v>
      </c>
      <c r="Q251" s="19" t="s">
        <v>87</v>
      </c>
      <c r="R251" s="19" t="s">
        <v>3108</v>
      </c>
      <c r="S251" s="66" t="s">
        <v>3071</v>
      </c>
      <c r="T251" s="19" t="s">
        <v>206</v>
      </c>
      <c r="U251" s="19" t="s">
        <v>207</v>
      </c>
      <c r="V251" s="19" t="s">
        <v>3107</v>
      </c>
      <c r="W251" s="19">
        <v>144.49</v>
      </c>
      <c r="X251" s="19">
        <v>144.48999918145401</v>
      </c>
      <c r="Y251" s="19" t="s">
        <v>3108</v>
      </c>
      <c r="Z251" s="66" t="s">
        <v>3071</v>
      </c>
      <c r="AA251" s="19"/>
      <c r="AB251" s="19" t="s">
        <v>2376</v>
      </c>
      <c r="AC251" s="19"/>
      <c r="AD251" s="19" t="s">
        <v>2376</v>
      </c>
      <c r="AE251" s="19" t="s">
        <v>2376</v>
      </c>
      <c r="AF251" s="19">
        <v>0</v>
      </c>
      <c r="AG251" s="19">
        <v>0</v>
      </c>
      <c r="AH251" s="19">
        <v>0</v>
      </c>
      <c r="AI251" s="19">
        <v>0</v>
      </c>
      <c r="AJ251" s="19">
        <v>0</v>
      </c>
      <c r="AK251" s="19" t="s">
        <v>609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/>
      <c r="AR251" s="19">
        <v>0</v>
      </c>
      <c r="AS251" s="19">
        <v>0</v>
      </c>
      <c r="AT251" s="19">
        <v>1059121.3500000001</v>
      </c>
      <c r="AU251" s="19" t="s">
        <v>13</v>
      </c>
      <c r="AV251" s="19" t="s">
        <v>62</v>
      </c>
      <c r="AW251" s="19" t="s">
        <v>63</v>
      </c>
      <c r="AX251" s="19" t="s">
        <v>208</v>
      </c>
      <c r="AY251" s="19" t="s">
        <v>209</v>
      </c>
      <c r="AZ251" s="19">
        <v>0</v>
      </c>
      <c r="BA251" s="19">
        <v>270051.81</v>
      </c>
      <c r="BB251" s="19">
        <v>902</v>
      </c>
      <c r="BC251" s="19" t="s">
        <v>3071</v>
      </c>
      <c r="BD251" s="19" t="s">
        <v>65</v>
      </c>
      <c r="BE251" s="19" t="s">
        <v>210</v>
      </c>
      <c r="BF251" s="19" t="s">
        <v>210</v>
      </c>
      <c r="BG251" s="19">
        <v>9</v>
      </c>
      <c r="BH251" s="19">
        <v>24304.66</v>
      </c>
      <c r="BI251" s="19">
        <v>9</v>
      </c>
      <c r="BJ251" s="19">
        <v>24304.66</v>
      </c>
      <c r="BK251" s="19">
        <v>0</v>
      </c>
      <c r="BL251" s="19">
        <v>0</v>
      </c>
      <c r="BM251" s="19">
        <v>0</v>
      </c>
      <c r="BN251" s="19">
        <v>622147484147</v>
      </c>
      <c r="BO251" s="66">
        <v>46221</v>
      </c>
      <c r="BP251" s="19">
        <v>0</v>
      </c>
    </row>
    <row r="252" spans="1:68">
      <c r="A252" s="65"/>
      <c r="B252" s="19" t="s">
        <v>2216</v>
      </c>
      <c r="C252" s="19" t="s">
        <v>3071</v>
      </c>
      <c r="D252" s="19" t="s">
        <v>3724</v>
      </c>
      <c r="E252" s="19" t="s">
        <v>23</v>
      </c>
      <c r="F252" s="19" t="s">
        <v>24</v>
      </c>
      <c r="G252" s="19"/>
      <c r="H252" s="19" t="s">
        <v>3725</v>
      </c>
      <c r="I252" s="19">
        <v>425.6</v>
      </c>
      <c r="J252" s="19">
        <v>425.6</v>
      </c>
      <c r="K252" s="19" t="s">
        <v>11</v>
      </c>
      <c r="L252" s="19">
        <v>425.6</v>
      </c>
      <c r="M252" s="19">
        <v>0</v>
      </c>
      <c r="N252" s="19">
        <v>425.6</v>
      </c>
      <c r="O252" s="19" t="s">
        <v>2203</v>
      </c>
      <c r="P252" s="19" t="s">
        <v>87</v>
      </c>
      <c r="Q252" s="19" t="s">
        <v>87</v>
      </c>
      <c r="R252" s="19" t="s">
        <v>3108</v>
      </c>
      <c r="S252" s="66" t="s">
        <v>3071</v>
      </c>
      <c r="T252" s="19" t="s">
        <v>206</v>
      </c>
      <c r="U252" s="19" t="s">
        <v>207</v>
      </c>
      <c r="V252" s="19" t="s">
        <v>3107</v>
      </c>
      <c r="W252" s="19">
        <v>146.49</v>
      </c>
      <c r="X252" s="19">
        <v>146.48999917012301</v>
      </c>
      <c r="Y252" s="19" t="s">
        <v>3108</v>
      </c>
      <c r="Z252" s="66" t="s">
        <v>3071</v>
      </c>
      <c r="AA252" s="19"/>
      <c r="AB252" s="19" t="s">
        <v>2376</v>
      </c>
      <c r="AC252" s="19"/>
      <c r="AD252" s="19" t="s">
        <v>2376</v>
      </c>
      <c r="AE252" s="19" t="s">
        <v>2376</v>
      </c>
      <c r="AF252" s="19">
        <v>0</v>
      </c>
      <c r="AG252" s="19">
        <v>0</v>
      </c>
      <c r="AH252" s="19">
        <v>0</v>
      </c>
      <c r="AI252" s="19">
        <v>0</v>
      </c>
      <c r="AJ252" s="19">
        <v>0</v>
      </c>
      <c r="AK252" s="19" t="s">
        <v>609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/>
      <c r="AR252" s="19">
        <v>0</v>
      </c>
      <c r="AS252" s="19">
        <v>0</v>
      </c>
      <c r="AT252" s="19">
        <v>1059121.3500000001</v>
      </c>
      <c r="AU252" s="19" t="s">
        <v>13</v>
      </c>
      <c r="AV252" s="19" t="s">
        <v>24</v>
      </c>
      <c r="AW252" s="19" t="s">
        <v>79</v>
      </c>
      <c r="AX252" s="19" t="s">
        <v>208</v>
      </c>
      <c r="AY252" s="19" t="s">
        <v>209</v>
      </c>
      <c r="AZ252" s="19">
        <v>0</v>
      </c>
      <c r="BA252" s="19">
        <v>62346.14</v>
      </c>
      <c r="BB252" s="19">
        <v>902</v>
      </c>
      <c r="BC252" s="66" t="s">
        <v>3071</v>
      </c>
      <c r="BD252" s="19" t="s">
        <v>65</v>
      </c>
      <c r="BE252" s="19" t="s">
        <v>210</v>
      </c>
      <c r="BF252" s="19" t="s">
        <v>210</v>
      </c>
      <c r="BG252" s="19">
        <v>9</v>
      </c>
      <c r="BH252" s="19">
        <v>5611.15</v>
      </c>
      <c r="BI252" s="19">
        <v>9</v>
      </c>
      <c r="BJ252" s="19">
        <v>5611.15</v>
      </c>
      <c r="BK252" s="19">
        <v>0</v>
      </c>
      <c r="BL252" s="19">
        <v>0</v>
      </c>
      <c r="BM252" s="19">
        <v>0</v>
      </c>
      <c r="BN252" s="19">
        <v>622147484147</v>
      </c>
      <c r="BO252" s="66">
        <v>46221</v>
      </c>
      <c r="BP252" s="19">
        <v>0</v>
      </c>
    </row>
    <row r="253" spans="1:68">
      <c r="B253" s="20" t="s">
        <v>2216</v>
      </c>
      <c r="C253" s="20" t="s">
        <v>3071</v>
      </c>
      <c r="D253" s="20" t="s">
        <v>3724</v>
      </c>
      <c r="E253" s="20" t="s">
        <v>23</v>
      </c>
      <c r="F253" s="20" t="s">
        <v>24</v>
      </c>
      <c r="H253" s="20" t="s">
        <v>3725</v>
      </c>
      <c r="I253" s="20">
        <v>71</v>
      </c>
      <c r="J253" s="20">
        <v>71</v>
      </c>
      <c r="K253" s="20" t="s">
        <v>11</v>
      </c>
      <c r="L253" s="20">
        <v>71</v>
      </c>
      <c r="M253" s="20">
        <v>0</v>
      </c>
      <c r="N253" s="20">
        <v>71</v>
      </c>
      <c r="O253" s="20" t="s">
        <v>2203</v>
      </c>
      <c r="P253" s="20" t="s">
        <v>87</v>
      </c>
      <c r="Q253" s="20" t="s">
        <v>87</v>
      </c>
      <c r="R253" s="20" t="s">
        <v>3108</v>
      </c>
      <c r="S253" s="111" t="s">
        <v>3071</v>
      </c>
      <c r="T253" s="20" t="s">
        <v>206</v>
      </c>
      <c r="U253" s="20" t="s">
        <v>207</v>
      </c>
      <c r="V253" s="20" t="s">
        <v>3107</v>
      </c>
      <c r="W253" s="20">
        <v>170.49</v>
      </c>
      <c r="X253" s="20">
        <v>170.489999034162</v>
      </c>
      <c r="Y253" s="20" t="s">
        <v>3108</v>
      </c>
      <c r="Z253" s="111" t="s">
        <v>3071</v>
      </c>
      <c r="AB253" s="20" t="s">
        <v>2376</v>
      </c>
      <c r="AD253" s="20" t="s">
        <v>2376</v>
      </c>
      <c r="AE253" s="20" t="s">
        <v>2376</v>
      </c>
      <c r="AF253" s="20">
        <v>0</v>
      </c>
      <c r="AG253" s="20">
        <v>0</v>
      </c>
      <c r="AH253" s="20">
        <v>0</v>
      </c>
      <c r="AI253" s="20">
        <v>0</v>
      </c>
      <c r="AJ253" s="20">
        <v>0</v>
      </c>
      <c r="AK253" s="20" t="s">
        <v>609</v>
      </c>
      <c r="AL253" s="20">
        <v>0</v>
      </c>
      <c r="AM253" s="20">
        <v>0</v>
      </c>
      <c r="AN253" s="20">
        <v>0</v>
      </c>
      <c r="AO253" s="20">
        <v>0</v>
      </c>
      <c r="AP253" s="20">
        <v>0</v>
      </c>
      <c r="AR253" s="20">
        <v>0</v>
      </c>
      <c r="AS253" s="20">
        <v>0</v>
      </c>
      <c r="AT253" s="20">
        <v>1059121.3500000001</v>
      </c>
      <c r="AU253" s="20" t="s">
        <v>13</v>
      </c>
      <c r="AV253" s="20" t="s">
        <v>24</v>
      </c>
      <c r="AW253" s="20" t="s">
        <v>79</v>
      </c>
      <c r="AX253" s="20" t="s">
        <v>208</v>
      </c>
      <c r="AY253" s="20" t="s">
        <v>209</v>
      </c>
      <c r="AZ253" s="20">
        <v>0</v>
      </c>
      <c r="BA253" s="20">
        <v>12104.79</v>
      </c>
      <c r="BB253" s="20">
        <v>902</v>
      </c>
      <c r="BC253" s="20" t="s">
        <v>3071</v>
      </c>
      <c r="BD253" s="20" t="s">
        <v>65</v>
      </c>
      <c r="BE253" s="20" t="s">
        <v>210</v>
      </c>
      <c r="BF253" s="20" t="s">
        <v>210</v>
      </c>
      <c r="BG253" s="20">
        <v>9</v>
      </c>
      <c r="BH253" s="20">
        <v>1089.43</v>
      </c>
      <c r="BI253" s="20">
        <v>9</v>
      </c>
      <c r="BJ253" s="20">
        <v>1089.43</v>
      </c>
      <c r="BK253" s="20">
        <v>0</v>
      </c>
      <c r="BL253" s="20">
        <v>0</v>
      </c>
      <c r="BM253" s="20">
        <v>0</v>
      </c>
      <c r="BN253" s="20">
        <v>622147484147</v>
      </c>
      <c r="BO253" s="111">
        <v>46221</v>
      </c>
      <c r="BP253" s="20">
        <v>0</v>
      </c>
    </row>
    <row r="254" spans="1:68">
      <c r="B254" s="20" t="s">
        <v>2216</v>
      </c>
      <c r="C254" s="20" t="s">
        <v>3071</v>
      </c>
      <c r="D254" s="20" t="s">
        <v>3724</v>
      </c>
      <c r="E254" s="20" t="s">
        <v>23</v>
      </c>
      <c r="F254" s="20" t="s">
        <v>24</v>
      </c>
      <c r="H254" s="20" t="s">
        <v>3725</v>
      </c>
      <c r="I254" s="20">
        <v>430.7</v>
      </c>
      <c r="J254" s="20">
        <v>430.7</v>
      </c>
      <c r="K254" s="20" t="s">
        <v>11</v>
      </c>
      <c r="L254" s="20">
        <v>430.7</v>
      </c>
      <c r="M254" s="20">
        <v>0</v>
      </c>
      <c r="N254" s="20">
        <v>430.7</v>
      </c>
      <c r="O254" s="20" t="s">
        <v>2203</v>
      </c>
      <c r="P254" s="20" t="s">
        <v>87</v>
      </c>
      <c r="Q254" s="20" t="s">
        <v>87</v>
      </c>
      <c r="R254" s="20" t="s">
        <v>3108</v>
      </c>
      <c r="S254" s="111" t="s">
        <v>3071</v>
      </c>
      <c r="T254" s="20" t="s">
        <v>206</v>
      </c>
      <c r="U254" s="20" t="s">
        <v>207</v>
      </c>
      <c r="V254" s="20" t="s">
        <v>3107</v>
      </c>
      <c r="W254" s="20">
        <v>149.49</v>
      </c>
      <c r="X254" s="20">
        <v>149.489999153128</v>
      </c>
      <c r="Y254" s="20" t="s">
        <v>3108</v>
      </c>
      <c r="Z254" s="111" t="s">
        <v>3071</v>
      </c>
      <c r="AB254" s="20" t="s">
        <v>2376</v>
      </c>
      <c r="AD254" s="20" t="s">
        <v>2376</v>
      </c>
      <c r="AE254" s="20" t="s">
        <v>2376</v>
      </c>
      <c r="AF254" s="20">
        <v>0</v>
      </c>
      <c r="AG254" s="20">
        <v>0</v>
      </c>
      <c r="AH254" s="20">
        <v>0</v>
      </c>
      <c r="AI254" s="20">
        <v>0</v>
      </c>
      <c r="AJ254" s="20">
        <v>0</v>
      </c>
      <c r="AK254" s="20" t="s">
        <v>609</v>
      </c>
      <c r="AL254" s="20">
        <v>0</v>
      </c>
      <c r="AM254" s="20">
        <v>0</v>
      </c>
      <c r="AN254" s="20">
        <v>0</v>
      </c>
      <c r="AO254" s="20">
        <v>0</v>
      </c>
      <c r="AP254" s="20">
        <v>0</v>
      </c>
      <c r="AR254" s="20">
        <v>0</v>
      </c>
      <c r="AS254" s="20">
        <v>0</v>
      </c>
      <c r="AT254" s="20">
        <v>1059121.3500000001</v>
      </c>
      <c r="AU254" s="20" t="s">
        <v>13</v>
      </c>
      <c r="AV254" s="20" t="s">
        <v>24</v>
      </c>
      <c r="AW254" s="20" t="s">
        <v>79</v>
      </c>
      <c r="AX254" s="20" t="s">
        <v>208</v>
      </c>
      <c r="AY254" s="20" t="s">
        <v>209</v>
      </c>
      <c r="AZ254" s="20">
        <v>0</v>
      </c>
      <c r="BA254" s="20">
        <v>64385.34</v>
      </c>
      <c r="BB254" s="20">
        <v>902</v>
      </c>
      <c r="BC254" s="20" t="s">
        <v>3071</v>
      </c>
      <c r="BD254" s="20" t="s">
        <v>65</v>
      </c>
      <c r="BE254" s="20" t="s">
        <v>210</v>
      </c>
      <c r="BF254" s="20" t="s">
        <v>210</v>
      </c>
      <c r="BG254" s="20">
        <v>9</v>
      </c>
      <c r="BH254" s="20">
        <v>5794.68</v>
      </c>
      <c r="BI254" s="20">
        <v>9</v>
      </c>
      <c r="BJ254" s="20">
        <v>5794.68</v>
      </c>
      <c r="BK254" s="20">
        <v>0</v>
      </c>
      <c r="BL254" s="20">
        <v>0</v>
      </c>
      <c r="BM254" s="20">
        <v>0</v>
      </c>
      <c r="BN254" s="20">
        <v>622147484147</v>
      </c>
      <c r="BO254" s="111">
        <v>46221</v>
      </c>
      <c r="BP254" s="20">
        <v>0</v>
      </c>
    </row>
    <row r="255" spans="1:68">
      <c r="B255" s="20" t="s">
        <v>2216</v>
      </c>
      <c r="C255" s="20" t="s">
        <v>3071</v>
      </c>
      <c r="D255" s="20" t="s">
        <v>3724</v>
      </c>
      <c r="E255" s="20" t="s">
        <v>1359</v>
      </c>
      <c r="F255" s="20" t="s">
        <v>1303</v>
      </c>
      <c r="H255" s="20" t="s">
        <v>3725</v>
      </c>
      <c r="I255" s="20">
        <v>291.10000000000002</v>
      </c>
      <c r="J255" s="20">
        <v>291.10000000000002</v>
      </c>
      <c r="K255" s="20" t="s">
        <v>3</v>
      </c>
      <c r="L255" s="20">
        <v>291.10000000000002</v>
      </c>
      <c r="M255" s="20">
        <v>0</v>
      </c>
      <c r="N255" s="20">
        <v>291.10000000000002</v>
      </c>
      <c r="O255" s="20" t="s">
        <v>2203</v>
      </c>
      <c r="P255" s="20" t="s">
        <v>87</v>
      </c>
      <c r="Q255" s="20" t="s">
        <v>87</v>
      </c>
      <c r="R255" s="20" t="s">
        <v>3108</v>
      </c>
      <c r="S255" s="111" t="s">
        <v>3071</v>
      </c>
      <c r="T255" s="20" t="s">
        <v>206</v>
      </c>
      <c r="U255" s="20" t="s">
        <v>207</v>
      </c>
      <c r="V255" s="20" t="s">
        <v>3107</v>
      </c>
      <c r="W255" s="20">
        <v>159.49</v>
      </c>
      <c r="X255" s="20">
        <v>159.48999909647799</v>
      </c>
      <c r="Y255" s="20" t="s">
        <v>3108</v>
      </c>
      <c r="Z255" s="111" t="s">
        <v>3071</v>
      </c>
      <c r="AB255" s="20" t="s">
        <v>2376</v>
      </c>
      <c r="AD255" s="20" t="s">
        <v>2376</v>
      </c>
      <c r="AE255" s="20" t="s">
        <v>2376</v>
      </c>
      <c r="AF255" s="20">
        <v>0</v>
      </c>
      <c r="AG255" s="20">
        <v>0</v>
      </c>
      <c r="AH255" s="20">
        <v>0</v>
      </c>
      <c r="AI255" s="20">
        <v>0</v>
      </c>
      <c r="AJ255" s="20">
        <v>0</v>
      </c>
      <c r="AK255" s="20" t="s">
        <v>609</v>
      </c>
      <c r="AL255" s="20">
        <v>0</v>
      </c>
      <c r="AM255" s="20">
        <v>0</v>
      </c>
      <c r="AN255" s="20">
        <v>0</v>
      </c>
      <c r="AO255" s="20">
        <v>0</v>
      </c>
      <c r="AP255" s="20">
        <v>0</v>
      </c>
      <c r="AR255" s="20">
        <v>0</v>
      </c>
      <c r="AS255" s="20">
        <v>0</v>
      </c>
      <c r="AT255" s="20">
        <v>1059121.3500000001</v>
      </c>
      <c r="AU255" s="20" t="s">
        <v>13</v>
      </c>
      <c r="AV255" s="20" t="s">
        <v>99</v>
      </c>
      <c r="AW255" s="20" t="s">
        <v>100</v>
      </c>
      <c r="AX255" s="20" t="s">
        <v>208</v>
      </c>
      <c r="AZ255" s="20">
        <v>0</v>
      </c>
      <c r="BA255" s="20">
        <v>46427.54</v>
      </c>
      <c r="BB255" s="20">
        <v>902</v>
      </c>
      <c r="BC255" s="20" t="s">
        <v>3071</v>
      </c>
      <c r="BD255" s="20" t="s">
        <v>65</v>
      </c>
      <c r="BE255" s="20" t="s">
        <v>210</v>
      </c>
      <c r="BF255" s="20" t="s">
        <v>210</v>
      </c>
      <c r="BG255" s="20">
        <v>2.5</v>
      </c>
      <c r="BH255" s="20">
        <v>1160.69</v>
      </c>
      <c r="BI255" s="20">
        <v>2.5</v>
      </c>
      <c r="BJ255" s="20">
        <v>1160.69</v>
      </c>
      <c r="BK255" s="20">
        <v>0</v>
      </c>
      <c r="BL255" s="20">
        <v>0</v>
      </c>
      <c r="BM255" s="20">
        <v>0</v>
      </c>
      <c r="BN255" s="20">
        <v>622147484147</v>
      </c>
      <c r="BO255" s="111">
        <v>46221</v>
      </c>
      <c r="BP255" s="20">
        <v>0</v>
      </c>
    </row>
    <row r="256" spans="1:68">
      <c r="B256" s="20" t="s">
        <v>2216</v>
      </c>
      <c r="C256" s="20" t="s">
        <v>3071</v>
      </c>
      <c r="D256" s="20" t="s">
        <v>3724</v>
      </c>
      <c r="E256" s="20" t="s">
        <v>587</v>
      </c>
      <c r="F256" s="20" t="s">
        <v>586</v>
      </c>
      <c r="H256" s="20" t="s">
        <v>3725</v>
      </c>
      <c r="I256" s="20">
        <v>805</v>
      </c>
      <c r="J256" s="20">
        <v>805</v>
      </c>
      <c r="K256" s="20" t="s">
        <v>3</v>
      </c>
      <c r="L256" s="20">
        <v>805</v>
      </c>
      <c r="M256" s="20">
        <v>0</v>
      </c>
      <c r="N256" s="20">
        <v>805</v>
      </c>
      <c r="O256" s="20" t="s">
        <v>2203</v>
      </c>
      <c r="P256" s="20" t="s">
        <v>87</v>
      </c>
      <c r="Q256" s="20" t="s">
        <v>87</v>
      </c>
      <c r="R256" s="20" t="s">
        <v>3108</v>
      </c>
      <c r="S256" s="111" t="s">
        <v>3071</v>
      </c>
      <c r="T256" s="20" t="s">
        <v>206</v>
      </c>
      <c r="U256" s="20" t="s">
        <v>207</v>
      </c>
      <c r="V256" s="20" t="s">
        <v>3107</v>
      </c>
      <c r="W256" s="20">
        <v>156.49</v>
      </c>
      <c r="X256" s="20">
        <v>156.489999113473</v>
      </c>
      <c r="Y256" s="20" t="s">
        <v>3108</v>
      </c>
      <c r="Z256" s="111" t="s">
        <v>3071</v>
      </c>
      <c r="AB256" s="20" t="s">
        <v>2376</v>
      </c>
      <c r="AD256" s="20" t="s">
        <v>2376</v>
      </c>
      <c r="AE256" s="20" t="s">
        <v>2376</v>
      </c>
      <c r="AF256" s="20">
        <v>0</v>
      </c>
      <c r="AG256" s="20">
        <v>0</v>
      </c>
      <c r="AH256" s="20">
        <v>0</v>
      </c>
      <c r="AI256" s="20">
        <v>0</v>
      </c>
      <c r="AJ256" s="20">
        <v>0</v>
      </c>
      <c r="AK256" s="20" t="s">
        <v>609</v>
      </c>
      <c r="AL256" s="20">
        <v>0</v>
      </c>
      <c r="AM256" s="20">
        <v>0</v>
      </c>
      <c r="AN256" s="20">
        <v>0</v>
      </c>
      <c r="AO256" s="20">
        <v>0</v>
      </c>
      <c r="AP256" s="20">
        <v>0</v>
      </c>
      <c r="AR256" s="20">
        <v>0</v>
      </c>
      <c r="AS256" s="20">
        <v>0</v>
      </c>
      <c r="AT256" s="20">
        <v>1059121.3500000001</v>
      </c>
      <c r="AU256" s="20" t="s">
        <v>13</v>
      </c>
      <c r="AV256" s="20" t="s">
        <v>99</v>
      </c>
      <c r="AW256" s="20" t="s">
        <v>100</v>
      </c>
      <c r="AX256" s="20" t="s">
        <v>208</v>
      </c>
      <c r="AZ256" s="20">
        <v>0</v>
      </c>
      <c r="BA256" s="20">
        <v>125974.45</v>
      </c>
      <c r="BB256" s="20">
        <v>902</v>
      </c>
      <c r="BC256" s="20" t="s">
        <v>3071</v>
      </c>
      <c r="BD256" s="20" t="s">
        <v>65</v>
      </c>
      <c r="BE256" s="20" t="s">
        <v>210</v>
      </c>
      <c r="BF256" s="20" t="s">
        <v>210</v>
      </c>
      <c r="BG256" s="20">
        <v>2.5</v>
      </c>
      <c r="BH256" s="20">
        <v>3149.36</v>
      </c>
      <c r="BI256" s="20">
        <v>2.5</v>
      </c>
      <c r="BJ256" s="20">
        <v>3149.36</v>
      </c>
      <c r="BK256" s="20">
        <v>0</v>
      </c>
      <c r="BL256" s="20">
        <v>0</v>
      </c>
      <c r="BM256" s="20">
        <v>0</v>
      </c>
      <c r="BN256" s="20">
        <v>622147484147</v>
      </c>
      <c r="BO256" s="111">
        <v>46221</v>
      </c>
      <c r="BP256" s="20">
        <v>0</v>
      </c>
    </row>
    <row r="257" spans="2:68">
      <c r="B257" s="20" t="s">
        <v>2216</v>
      </c>
      <c r="C257" s="20" t="s">
        <v>3111</v>
      </c>
      <c r="D257" s="20" t="s">
        <v>3726</v>
      </c>
      <c r="E257" s="20" t="s">
        <v>211</v>
      </c>
      <c r="F257" s="20" t="s">
        <v>16</v>
      </c>
      <c r="H257" s="20" t="s">
        <v>3727</v>
      </c>
      <c r="I257" s="20">
        <v>1359</v>
      </c>
      <c r="J257" s="20">
        <v>1359</v>
      </c>
      <c r="K257" s="20" t="s">
        <v>11</v>
      </c>
      <c r="L257" s="20">
        <v>1359</v>
      </c>
      <c r="M257" s="20">
        <v>0</v>
      </c>
      <c r="N257" s="20">
        <v>1359</v>
      </c>
      <c r="O257" s="20" t="s">
        <v>3619</v>
      </c>
      <c r="P257" s="20" t="s">
        <v>89</v>
      </c>
      <c r="Q257" s="20" t="s">
        <v>89</v>
      </c>
      <c r="R257" s="20" t="s">
        <v>3123</v>
      </c>
      <c r="S257" s="111" t="s">
        <v>3071</v>
      </c>
      <c r="T257" s="20" t="s">
        <v>206</v>
      </c>
      <c r="U257" s="20" t="s">
        <v>207</v>
      </c>
      <c r="V257" s="20" t="s">
        <v>3122</v>
      </c>
      <c r="W257" s="20">
        <v>193.74</v>
      </c>
      <c r="X257" s="20">
        <v>193.73999818136701</v>
      </c>
      <c r="Y257" s="20" t="s">
        <v>3123</v>
      </c>
      <c r="Z257" s="111" t="s">
        <v>3071</v>
      </c>
      <c r="AB257" s="20" t="s">
        <v>2376</v>
      </c>
      <c r="AD257" s="20" t="s">
        <v>2376</v>
      </c>
      <c r="AE257" s="20" t="s">
        <v>2376</v>
      </c>
      <c r="AF257" s="20">
        <v>0</v>
      </c>
      <c r="AG257" s="20">
        <v>0</v>
      </c>
      <c r="AH257" s="20">
        <v>0</v>
      </c>
      <c r="AI257" s="20">
        <v>0</v>
      </c>
      <c r="AJ257" s="20">
        <v>0</v>
      </c>
      <c r="AK257" s="20" t="s">
        <v>609</v>
      </c>
      <c r="AL257" s="20">
        <v>0</v>
      </c>
      <c r="AM257" s="20">
        <v>0</v>
      </c>
      <c r="AN257" s="20">
        <v>0</v>
      </c>
      <c r="AO257" s="20">
        <v>0</v>
      </c>
      <c r="AP257" s="20">
        <v>0</v>
      </c>
      <c r="AR257" s="20">
        <v>0</v>
      </c>
      <c r="AS257" s="20">
        <v>0</v>
      </c>
      <c r="AT257" s="20">
        <v>1065305.8</v>
      </c>
      <c r="AU257" s="20" t="s">
        <v>15</v>
      </c>
      <c r="AV257" s="20" t="s">
        <v>57</v>
      </c>
      <c r="AW257" s="20" t="s">
        <v>57</v>
      </c>
      <c r="AX257" s="20" t="s">
        <v>15</v>
      </c>
      <c r="AY257" s="20" t="s">
        <v>209</v>
      </c>
      <c r="AZ257" s="20">
        <v>0</v>
      </c>
      <c r="BA257" s="20">
        <v>263292.65999999997</v>
      </c>
      <c r="BB257" s="20">
        <v>907</v>
      </c>
      <c r="BC257" s="20" t="s">
        <v>3111</v>
      </c>
      <c r="BD257" s="20" t="s">
        <v>65</v>
      </c>
      <c r="BE257" s="20" t="s">
        <v>210</v>
      </c>
      <c r="BF257" s="20" t="s">
        <v>210</v>
      </c>
      <c r="BG257" s="20">
        <v>9</v>
      </c>
      <c r="BH257" s="20">
        <v>23696.34</v>
      </c>
      <c r="BI257" s="20">
        <v>9</v>
      </c>
      <c r="BJ257" s="20">
        <v>23696.34</v>
      </c>
      <c r="BK257" s="20">
        <v>0</v>
      </c>
      <c r="BL257" s="20">
        <v>0</v>
      </c>
      <c r="BM257" s="20">
        <v>1065305.8</v>
      </c>
      <c r="BN257" s="20">
        <v>632147583645</v>
      </c>
      <c r="BO257" s="111">
        <v>46221</v>
      </c>
      <c r="BP257" s="20">
        <v>0</v>
      </c>
    </row>
    <row r="258" spans="2:68">
      <c r="B258" s="20" t="s">
        <v>2216</v>
      </c>
      <c r="C258" s="20" t="s">
        <v>3111</v>
      </c>
      <c r="D258" s="20" t="s">
        <v>3726</v>
      </c>
      <c r="E258" s="20" t="s">
        <v>211</v>
      </c>
      <c r="F258" s="20" t="s">
        <v>16</v>
      </c>
      <c r="H258" s="20" t="s">
        <v>3727</v>
      </c>
      <c r="I258" s="20">
        <v>4147</v>
      </c>
      <c r="J258" s="20">
        <v>4147</v>
      </c>
      <c r="K258" s="20" t="s">
        <v>11</v>
      </c>
      <c r="L258" s="20">
        <v>4147</v>
      </c>
      <c r="M258" s="20">
        <v>0</v>
      </c>
      <c r="N258" s="20">
        <v>4147</v>
      </c>
      <c r="O258" s="20" t="s">
        <v>3619</v>
      </c>
      <c r="P258" s="20" t="s">
        <v>89</v>
      </c>
      <c r="Q258" s="20" t="s">
        <v>89</v>
      </c>
      <c r="R258" s="20" t="s">
        <v>3123</v>
      </c>
      <c r="S258" s="111" t="s">
        <v>3071</v>
      </c>
      <c r="T258" s="20" t="s">
        <v>206</v>
      </c>
      <c r="U258" s="20" t="s">
        <v>207</v>
      </c>
      <c r="V258" s="20" t="s">
        <v>3122</v>
      </c>
      <c r="W258" s="20">
        <v>154.21</v>
      </c>
      <c r="X258" s="20">
        <v>154.209998552434</v>
      </c>
      <c r="Y258" s="20" t="s">
        <v>3123</v>
      </c>
      <c r="Z258" s="111" t="s">
        <v>3071</v>
      </c>
      <c r="AB258" s="20" t="s">
        <v>2376</v>
      </c>
      <c r="AD258" s="20" t="s">
        <v>2376</v>
      </c>
      <c r="AE258" s="20" t="s">
        <v>2376</v>
      </c>
      <c r="AF258" s="20">
        <v>0</v>
      </c>
      <c r="AG258" s="20">
        <v>0</v>
      </c>
      <c r="AH258" s="20">
        <v>0</v>
      </c>
      <c r="AI258" s="20">
        <v>0</v>
      </c>
      <c r="AJ258" s="20">
        <v>0</v>
      </c>
      <c r="AK258" s="20" t="s">
        <v>609</v>
      </c>
      <c r="AL258" s="20">
        <v>0</v>
      </c>
      <c r="AM258" s="20">
        <v>0</v>
      </c>
      <c r="AN258" s="20">
        <v>0</v>
      </c>
      <c r="AO258" s="20">
        <v>0</v>
      </c>
      <c r="AP258" s="20">
        <v>0</v>
      </c>
      <c r="AR258" s="20">
        <v>0</v>
      </c>
      <c r="AS258" s="20">
        <v>0</v>
      </c>
      <c r="AT258" s="20">
        <v>1065305.8</v>
      </c>
      <c r="AU258" s="20" t="s">
        <v>15</v>
      </c>
      <c r="AV258" s="20" t="s">
        <v>57</v>
      </c>
      <c r="AW258" s="20" t="s">
        <v>57</v>
      </c>
      <c r="AX258" s="20" t="s">
        <v>15</v>
      </c>
      <c r="AY258" s="20" t="s">
        <v>209</v>
      </c>
      <c r="AZ258" s="20">
        <v>0</v>
      </c>
      <c r="BA258" s="20">
        <v>639508.86</v>
      </c>
      <c r="BB258" s="20">
        <v>907</v>
      </c>
      <c r="BC258" s="20" t="s">
        <v>3111</v>
      </c>
      <c r="BD258" s="20" t="s">
        <v>65</v>
      </c>
      <c r="BE258" s="20" t="s">
        <v>210</v>
      </c>
      <c r="BF258" s="20" t="s">
        <v>210</v>
      </c>
      <c r="BG258" s="20">
        <v>9</v>
      </c>
      <c r="BH258" s="20">
        <v>57555.8</v>
      </c>
      <c r="BI258" s="20">
        <v>9</v>
      </c>
      <c r="BJ258" s="20">
        <v>57555.8</v>
      </c>
      <c r="BK258" s="20">
        <v>0</v>
      </c>
      <c r="BL258" s="20">
        <v>0</v>
      </c>
      <c r="BM258" s="20">
        <v>0</v>
      </c>
      <c r="BN258" s="20">
        <v>632147583645</v>
      </c>
      <c r="BO258" s="111">
        <v>46221</v>
      </c>
      <c r="BP258" s="20">
        <v>0</v>
      </c>
    </row>
    <row r="259" spans="2:68">
      <c r="B259" s="20" t="s">
        <v>2216</v>
      </c>
      <c r="C259" s="20" t="s">
        <v>3111</v>
      </c>
      <c r="D259" s="20" t="s">
        <v>3728</v>
      </c>
      <c r="E259" s="20" t="s">
        <v>160</v>
      </c>
      <c r="F259" s="20" t="s">
        <v>17</v>
      </c>
      <c r="H259" s="20" t="s">
        <v>3729</v>
      </c>
      <c r="I259" s="20">
        <v>1871</v>
      </c>
      <c r="J259" s="20">
        <v>1871</v>
      </c>
      <c r="K259" s="20" t="s">
        <v>11</v>
      </c>
      <c r="L259" s="20">
        <v>1871</v>
      </c>
      <c r="M259" s="20">
        <v>0</v>
      </c>
      <c r="N259" s="20">
        <v>1871</v>
      </c>
      <c r="O259" s="20" t="s">
        <v>2203</v>
      </c>
      <c r="P259" s="20" t="s">
        <v>87</v>
      </c>
      <c r="Q259" s="20" t="s">
        <v>87</v>
      </c>
      <c r="R259" s="20" t="s">
        <v>3119</v>
      </c>
      <c r="S259" s="20" t="s">
        <v>3111</v>
      </c>
      <c r="T259" s="20" t="s">
        <v>206</v>
      </c>
      <c r="U259" s="20" t="s">
        <v>207</v>
      </c>
      <c r="V259" s="20" t="s">
        <v>3118</v>
      </c>
      <c r="W259" s="20">
        <v>182.78</v>
      </c>
      <c r="X259" s="20">
        <v>182.78</v>
      </c>
      <c r="Y259" s="20" t="s">
        <v>3119</v>
      </c>
      <c r="Z259" s="20" t="s">
        <v>3111</v>
      </c>
      <c r="AB259" s="20" t="s">
        <v>2376</v>
      </c>
      <c r="AD259" s="20" t="s">
        <v>2376</v>
      </c>
      <c r="AE259" s="20" t="s">
        <v>2376</v>
      </c>
      <c r="AF259" s="20">
        <v>0</v>
      </c>
      <c r="AG259" s="20">
        <v>0</v>
      </c>
      <c r="AH259" s="20">
        <v>0</v>
      </c>
      <c r="AI259" s="20">
        <v>0</v>
      </c>
      <c r="AJ259" s="20">
        <v>0</v>
      </c>
      <c r="AK259" s="20" t="s">
        <v>609</v>
      </c>
      <c r="AL259" s="20">
        <v>0</v>
      </c>
      <c r="AM259" s="20">
        <v>0</v>
      </c>
      <c r="AN259" s="20">
        <v>0</v>
      </c>
      <c r="AO259" s="20">
        <v>0</v>
      </c>
      <c r="AP259" s="20">
        <v>0</v>
      </c>
      <c r="AR259" s="20">
        <v>0</v>
      </c>
      <c r="AS259" s="20">
        <v>0</v>
      </c>
      <c r="AT259" s="20">
        <v>1479098.54</v>
      </c>
      <c r="AU259" s="20" t="s">
        <v>13</v>
      </c>
      <c r="AV259" s="20" t="s">
        <v>80</v>
      </c>
      <c r="AW259" s="20" t="s">
        <v>81</v>
      </c>
      <c r="AX259" s="20" t="s">
        <v>208</v>
      </c>
      <c r="AY259" s="20" t="s">
        <v>209</v>
      </c>
      <c r="AZ259" s="20">
        <v>0</v>
      </c>
      <c r="BA259" s="20">
        <v>341981.38</v>
      </c>
      <c r="BB259" s="20">
        <v>910</v>
      </c>
      <c r="BC259" s="20" t="s">
        <v>3111</v>
      </c>
      <c r="BD259" s="20" t="s">
        <v>65</v>
      </c>
      <c r="BE259" s="20" t="s">
        <v>210</v>
      </c>
      <c r="BF259" s="20" t="s">
        <v>210</v>
      </c>
      <c r="BG259" s="20">
        <v>9</v>
      </c>
      <c r="BH259" s="20">
        <v>30778.32</v>
      </c>
      <c r="BI259" s="20">
        <v>9</v>
      </c>
      <c r="BJ259" s="20">
        <v>30778.32</v>
      </c>
      <c r="BK259" s="20">
        <v>0</v>
      </c>
      <c r="BL259" s="20">
        <v>0</v>
      </c>
      <c r="BM259" s="20">
        <v>1479098.54</v>
      </c>
      <c r="BN259" s="20">
        <v>682147945514</v>
      </c>
      <c r="BO259" s="111">
        <v>46222</v>
      </c>
      <c r="BP259" s="20">
        <v>0</v>
      </c>
    </row>
    <row r="260" spans="2:68">
      <c r="B260" s="20" t="s">
        <v>2216</v>
      </c>
      <c r="C260" s="20" t="s">
        <v>3111</v>
      </c>
      <c r="D260" s="20" t="s">
        <v>3728</v>
      </c>
      <c r="E260" s="20" t="s">
        <v>160</v>
      </c>
      <c r="F260" s="20" t="s">
        <v>17</v>
      </c>
      <c r="H260" s="20" t="s">
        <v>3729</v>
      </c>
      <c r="I260" s="20">
        <v>2517</v>
      </c>
      <c r="J260" s="20">
        <v>2517</v>
      </c>
      <c r="K260" s="20" t="s">
        <v>11</v>
      </c>
      <c r="L260" s="20">
        <v>2517</v>
      </c>
      <c r="M260" s="20">
        <v>0</v>
      </c>
      <c r="N260" s="20">
        <v>2517</v>
      </c>
      <c r="O260" s="20" t="s">
        <v>2203</v>
      </c>
      <c r="P260" s="20" t="s">
        <v>87</v>
      </c>
      <c r="Q260" s="20" t="s">
        <v>87</v>
      </c>
      <c r="R260" s="20" t="s">
        <v>3119</v>
      </c>
      <c r="S260" s="20" t="s">
        <v>3111</v>
      </c>
      <c r="T260" s="20" t="s">
        <v>206</v>
      </c>
      <c r="U260" s="20" t="s">
        <v>207</v>
      </c>
      <c r="V260" s="20" t="s">
        <v>3118</v>
      </c>
      <c r="W260" s="20">
        <v>186.78</v>
      </c>
      <c r="X260" s="20">
        <v>186.78</v>
      </c>
      <c r="Y260" s="20" t="s">
        <v>3119</v>
      </c>
      <c r="Z260" s="20" t="s">
        <v>3111</v>
      </c>
      <c r="AB260" s="20" t="s">
        <v>2376</v>
      </c>
      <c r="AD260" s="20" t="s">
        <v>2376</v>
      </c>
      <c r="AE260" s="20" t="s">
        <v>2376</v>
      </c>
      <c r="AF260" s="20">
        <v>0</v>
      </c>
      <c r="AG260" s="20">
        <v>0</v>
      </c>
      <c r="AH260" s="20">
        <v>0</v>
      </c>
      <c r="AI260" s="20">
        <v>0</v>
      </c>
      <c r="AJ260" s="20">
        <v>0</v>
      </c>
      <c r="AK260" s="20" t="s">
        <v>609</v>
      </c>
      <c r="AL260" s="20">
        <v>0</v>
      </c>
      <c r="AM260" s="20">
        <v>0</v>
      </c>
      <c r="AN260" s="20">
        <v>0</v>
      </c>
      <c r="AO260" s="20">
        <v>0</v>
      </c>
      <c r="AP260" s="20">
        <v>0</v>
      </c>
      <c r="AR260" s="20">
        <v>0</v>
      </c>
      <c r="AS260" s="20">
        <v>0</v>
      </c>
      <c r="AT260" s="20">
        <v>1479098.54</v>
      </c>
      <c r="AU260" s="20" t="s">
        <v>13</v>
      </c>
      <c r="AV260" s="20" t="s">
        <v>80</v>
      </c>
      <c r="AW260" s="20" t="s">
        <v>81</v>
      </c>
      <c r="AX260" s="20" t="s">
        <v>208</v>
      </c>
      <c r="AY260" s="20" t="s">
        <v>209</v>
      </c>
      <c r="AZ260" s="20">
        <v>0</v>
      </c>
      <c r="BA260" s="20">
        <v>470125.26</v>
      </c>
      <c r="BB260" s="20">
        <v>910</v>
      </c>
      <c r="BC260" s="20" t="s">
        <v>3111</v>
      </c>
      <c r="BD260" s="20" t="s">
        <v>65</v>
      </c>
      <c r="BE260" s="20" t="s">
        <v>210</v>
      </c>
      <c r="BF260" s="20" t="s">
        <v>210</v>
      </c>
      <c r="BG260" s="20">
        <v>9</v>
      </c>
      <c r="BH260" s="20">
        <v>42311.27</v>
      </c>
      <c r="BI260" s="20">
        <v>9</v>
      </c>
      <c r="BJ260" s="20">
        <v>42311.27</v>
      </c>
      <c r="BK260" s="20">
        <v>0</v>
      </c>
      <c r="BL260" s="20">
        <v>0</v>
      </c>
      <c r="BM260" s="20">
        <v>0</v>
      </c>
      <c r="BN260" s="20">
        <v>682147945514</v>
      </c>
      <c r="BO260" s="111">
        <v>46222</v>
      </c>
      <c r="BP260" s="20">
        <v>0</v>
      </c>
    </row>
    <row r="261" spans="2:68">
      <c r="B261" s="20" t="s">
        <v>2216</v>
      </c>
      <c r="C261" s="20" t="s">
        <v>3111</v>
      </c>
      <c r="D261" s="20" t="s">
        <v>3728</v>
      </c>
      <c r="E261" s="20" t="s">
        <v>160</v>
      </c>
      <c r="F261" s="20" t="s">
        <v>17</v>
      </c>
      <c r="H261" s="20" t="s">
        <v>3729</v>
      </c>
      <c r="I261" s="20">
        <v>425</v>
      </c>
      <c r="J261" s="20">
        <v>425</v>
      </c>
      <c r="K261" s="20" t="s">
        <v>11</v>
      </c>
      <c r="L261" s="20">
        <v>425</v>
      </c>
      <c r="M261" s="20">
        <v>0</v>
      </c>
      <c r="N261" s="20">
        <v>425</v>
      </c>
      <c r="O261" s="20" t="s">
        <v>2203</v>
      </c>
      <c r="P261" s="20" t="s">
        <v>87</v>
      </c>
      <c r="Q261" s="20" t="s">
        <v>87</v>
      </c>
      <c r="R261" s="20" t="s">
        <v>3119</v>
      </c>
      <c r="S261" s="20" t="s">
        <v>3111</v>
      </c>
      <c r="T261" s="20" t="s">
        <v>206</v>
      </c>
      <c r="U261" s="20" t="s">
        <v>207</v>
      </c>
      <c r="V261" s="20" t="s">
        <v>3118</v>
      </c>
      <c r="W261" s="20">
        <v>190.78</v>
      </c>
      <c r="X261" s="20">
        <v>190.78</v>
      </c>
      <c r="Y261" s="20" t="s">
        <v>3119</v>
      </c>
      <c r="Z261" s="20" t="s">
        <v>3111</v>
      </c>
      <c r="AB261" s="20" t="s">
        <v>2376</v>
      </c>
      <c r="AD261" s="20" t="s">
        <v>2376</v>
      </c>
      <c r="AE261" s="20" t="s">
        <v>2376</v>
      </c>
      <c r="AF261" s="20">
        <v>0</v>
      </c>
      <c r="AG261" s="20">
        <v>0</v>
      </c>
      <c r="AH261" s="20">
        <v>0</v>
      </c>
      <c r="AI261" s="20">
        <v>0</v>
      </c>
      <c r="AJ261" s="20">
        <v>0</v>
      </c>
      <c r="AK261" s="20" t="s">
        <v>609</v>
      </c>
      <c r="AL261" s="20">
        <v>0</v>
      </c>
      <c r="AM261" s="20">
        <v>0</v>
      </c>
      <c r="AN261" s="20">
        <v>0</v>
      </c>
      <c r="AO261" s="20">
        <v>0</v>
      </c>
      <c r="AP261" s="20">
        <v>0</v>
      </c>
      <c r="AR261" s="20">
        <v>0</v>
      </c>
      <c r="AS261" s="20">
        <v>0</v>
      </c>
      <c r="AT261" s="20">
        <v>1479098.54</v>
      </c>
      <c r="AU261" s="20" t="s">
        <v>13</v>
      </c>
      <c r="AV261" s="20" t="s">
        <v>80</v>
      </c>
      <c r="AW261" s="20" t="s">
        <v>81</v>
      </c>
      <c r="AX261" s="20" t="s">
        <v>208</v>
      </c>
      <c r="AY261" s="20" t="s">
        <v>209</v>
      </c>
      <c r="AZ261" s="20">
        <v>0</v>
      </c>
      <c r="BA261" s="20">
        <v>81081.5</v>
      </c>
      <c r="BB261" s="20">
        <v>910</v>
      </c>
      <c r="BC261" s="20" t="s">
        <v>3111</v>
      </c>
      <c r="BD261" s="20" t="s">
        <v>65</v>
      </c>
      <c r="BE261" s="20" t="s">
        <v>210</v>
      </c>
      <c r="BF261" s="20" t="s">
        <v>210</v>
      </c>
      <c r="BG261" s="20">
        <v>9</v>
      </c>
      <c r="BH261" s="20">
        <v>7297.34</v>
      </c>
      <c r="BI261" s="20">
        <v>9</v>
      </c>
      <c r="BJ261" s="20">
        <v>7297.34</v>
      </c>
      <c r="BK261" s="20">
        <v>0</v>
      </c>
      <c r="BL261" s="20">
        <v>0</v>
      </c>
      <c r="BM261" s="20">
        <v>0</v>
      </c>
      <c r="BN261" s="20">
        <v>682147945514</v>
      </c>
      <c r="BO261" s="111">
        <v>46222</v>
      </c>
      <c r="BP261" s="20">
        <v>0</v>
      </c>
    </row>
    <row r="262" spans="2:68">
      <c r="B262" s="20" t="s">
        <v>2216</v>
      </c>
      <c r="C262" s="20" t="s">
        <v>3111</v>
      </c>
      <c r="D262" s="20" t="s">
        <v>3728</v>
      </c>
      <c r="E262" s="20" t="s">
        <v>18</v>
      </c>
      <c r="F262" s="20" t="s">
        <v>19</v>
      </c>
      <c r="H262" s="20" t="s">
        <v>3729</v>
      </c>
      <c r="I262" s="20">
        <v>253</v>
      </c>
      <c r="J262" s="20">
        <v>253</v>
      </c>
      <c r="K262" s="20" t="s">
        <v>11</v>
      </c>
      <c r="L262" s="20">
        <v>253</v>
      </c>
      <c r="M262" s="20">
        <v>0</v>
      </c>
      <c r="N262" s="20">
        <v>253</v>
      </c>
      <c r="O262" s="20" t="s">
        <v>2203</v>
      </c>
      <c r="P262" s="20" t="s">
        <v>87</v>
      </c>
      <c r="Q262" s="20" t="s">
        <v>87</v>
      </c>
      <c r="R262" s="20" t="s">
        <v>3119</v>
      </c>
      <c r="S262" s="20" t="s">
        <v>3111</v>
      </c>
      <c r="T262" s="20" t="s">
        <v>206</v>
      </c>
      <c r="U262" s="20" t="s">
        <v>207</v>
      </c>
      <c r="V262" s="20" t="s">
        <v>3118</v>
      </c>
      <c r="W262" s="20">
        <v>146.49</v>
      </c>
      <c r="X262" s="20">
        <v>146.49</v>
      </c>
      <c r="Y262" s="20" t="s">
        <v>3119</v>
      </c>
      <c r="Z262" s="20" t="s">
        <v>3111</v>
      </c>
      <c r="AB262" s="20" t="s">
        <v>2376</v>
      </c>
      <c r="AD262" s="20" t="s">
        <v>2376</v>
      </c>
      <c r="AE262" s="20" t="s">
        <v>2376</v>
      </c>
      <c r="AF262" s="20">
        <v>0</v>
      </c>
      <c r="AG262" s="20">
        <v>0</v>
      </c>
      <c r="AH262" s="20">
        <v>0</v>
      </c>
      <c r="AI262" s="20">
        <v>0</v>
      </c>
      <c r="AJ262" s="20">
        <v>0</v>
      </c>
      <c r="AK262" s="20" t="s">
        <v>609</v>
      </c>
      <c r="AL262" s="20">
        <v>0</v>
      </c>
      <c r="AM262" s="20">
        <v>0</v>
      </c>
      <c r="AN262" s="20">
        <v>0</v>
      </c>
      <c r="AO262" s="20">
        <v>0</v>
      </c>
      <c r="AP262" s="20">
        <v>0</v>
      </c>
      <c r="AR262" s="20">
        <v>0</v>
      </c>
      <c r="AS262" s="20">
        <v>0</v>
      </c>
      <c r="AT262" s="20">
        <v>1479098.54</v>
      </c>
      <c r="AU262" s="20" t="s">
        <v>13</v>
      </c>
      <c r="AV262" s="20" t="s">
        <v>62</v>
      </c>
      <c r="AW262" s="20" t="s">
        <v>63</v>
      </c>
      <c r="AX262" s="20" t="s">
        <v>208</v>
      </c>
      <c r="AY262" s="20" t="s">
        <v>209</v>
      </c>
      <c r="AZ262" s="20">
        <v>0</v>
      </c>
      <c r="BA262" s="20">
        <v>37061.97</v>
      </c>
      <c r="BB262" s="20">
        <v>910</v>
      </c>
      <c r="BC262" s="20" t="s">
        <v>3111</v>
      </c>
      <c r="BD262" s="20" t="s">
        <v>65</v>
      </c>
      <c r="BE262" s="20" t="s">
        <v>210</v>
      </c>
      <c r="BF262" s="20" t="s">
        <v>210</v>
      </c>
      <c r="BG262" s="20">
        <v>9</v>
      </c>
      <c r="BH262" s="20">
        <v>3335.58</v>
      </c>
      <c r="BI262" s="20">
        <v>9</v>
      </c>
      <c r="BJ262" s="20">
        <v>3335.58</v>
      </c>
      <c r="BK262" s="20">
        <v>0</v>
      </c>
      <c r="BL262" s="20">
        <v>0</v>
      </c>
      <c r="BM262" s="20">
        <v>0</v>
      </c>
      <c r="BN262" s="20">
        <v>682147945514</v>
      </c>
      <c r="BO262" s="111">
        <v>46222</v>
      </c>
      <c r="BP262" s="20">
        <v>0</v>
      </c>
    </row>
    <row r="263" spans="2:68">
      <c r="B263" s="20" t="s">
        <v>2216</v>
      </c>
      <c r="C263" s="20" t="s">
        <v>3111</v>
      </c>
      <c r="D263" s="20" t="s">
        <v>3728</v>
      </c>
      <c r="E263" s="20" t="s">
        <v>18</v>
      </c>
      <c r="F263" s="20" t="s">
        <v>19</v>
      </c>
      <c r="H263" s="20" t="s">
        <v>3729</v>
      </c>
      <c r="I263" s="20">
        <v>1866</v>
      </c>
      <c r="J263" s="20">
        <v>1866</v>
      </c>
      <c r="K263" s="20" t="s">
        <v>11</v>
      </c>
      <c r="L263" s="20">
        <v>1866</v>
      </c>
      <c r="M263" s="20">
        <v>0</v>
      </c>
      <c r="N263" s="20">
        <v>1866</v>
      </c>
      <c r="O263" s="20" t="s">
        <v>2203</v>
      </c>
      <c r="P263" s="20" t="s">
        <v>87</v>
      </c>
      <c r="Q263" s="20" t="s">
        <v>87</v>
      </c>
      <c r="R263" s="20" t="s">
        <v>3119</v>
      </c>
      <c r="S263" s="111" t="s">
        <v>3111</v>
      </c>
      <c r="T263" s="20" t="s">
        <v>206</v>
      </c>
      <c r="U263" s="20" t="s">
        <v>207</v>
      </c>
      <c r="V263" s="20" t="s">
        <v>3118</v>
      </c>
      <c r="W263" s="20">
        <v>144.49</v>
      </c>
      <c r="X263" s="20">
        <v>144.49</v>
      </c>
      <c r="Y263" s="20" t="s">
        <v>3119</v>
      </c>
      <c r="Z263" s="111" t="s">
        <v>3111</v>
      </c>
      <c r="AB263" s="20" t="s">
        <v>2376</v>
      </c>
      <c r="AD263" s="20" t="s">
        <v>2376</v>
      </c>
      <c r="AE263" s="20" t="s">
        <v>2376</v>
      </c>
      <c r="AF263" s="20">
        <v>0</v>
      </c>
      <c r="AG263" s="20">
        <v>0</v>
      </c>
      <c r="AH263" s="20">
        <v>0</v>
      </c>
      <c r="AI263" s="20">
        <v>0</v>
      </c>
      <c r="AJ263" s="20">
        <v>0</v>
      </c>
      <c r="AK263" s="20" t="s">
        <v>609</v>
      </c>
      <c r="AL263" s="20">
        <v>0</v>
      </c>
      <c r="AM263" s="20">
        <v>0</v>
      </c>
      <c r="AN263" s="20">
        <v>0</v>
      </c>
      <c r="AO263" s="20">
        <v>0</v>
      </c>
      <c r="AP263" s="20">
        <v>0</v>
      </c>
      <c r="AR263" s="20">
        <v>0</v>
      </c>
      <c r="AS263" s="20">
        <v>0</v>
      </c>
      <c r="AT263" s="20">
        <v>1479098.54</v>
      </c>
      <c r="AU263" s="20" t="s">
        <v>13</v>
      </c>
      <c r="AV263" s="20" t="s">
        <v>62</v>
      </c>
      <c r="AW263" s="20" t="s">
        <v>63</v>
      </c>
      <c r="AX263" s="20" t="s">
        <v>208</v>
      </c>
      <c r="AY263" s="20" t="s">
        <v>209</v>
      </c>
      <c r="AZ263" s="20">
        <v>0</v>
      </c>
      <c r="BA263" s="20">
        <v>269618.34000000003</v>
      </c>
      <c r="BB263" s="20">
        <v>910</v>
      </c>
      <c r="BC263" s="20" t="s">
        <v>3111</v>
      </c>
      <c r="BD263" s="20" t="s">
        <v>65</v>
      </c>
      <c r="BE263" s="20" t="s">
        <v>210</v>
      </c>
      <c r="BF263" s="20" t="s">
        <v>210</v>
      </c>
      <c r="BG263" s="20">
        <v>9</v>
      </c>
      <c r="BH263" s="20">
        <v>24265.65</v>
      </c>
      <c r="BI263" s="20">
        <v>9</v>
      </c>
      <c r="BJ263" s="20">
        <v>24265.65</v>
      </c>
      <c r="BK263" s="20">
        <v>0</v>
      </c>
      <c r="BL263" s="20">
        <v>0</v>
      </c>
      <c r="BM263" s="20">
        <v>0</v>
      </c>
      <c r="BN263" s="20">
        <v>682147945514</v>
      </c>
      <c r="BO263" s="111">
        <v>46222</v>
      </c>
      <c r="BP263" s="20">
        <v>0</v>
      </c>
    </row>
    <row r="264" spans="2:68">
      <c r="B264" s="20" t="s">
        <v>2216</v>
      </c>
      <c r="C264" s="20" t="s">
        <v>3111</v>
      </c>
      <c r="D264" s="20" t="s">
        <v>3728</v>
      </c>
      <c r="E264" s="20" t="s">
        <v>20</v>
      </c>
      <c r="F264" s="20" t="s">
        <v>21</v>
      </c>
      <c r="H264" s="20" t="s">
        <v>3729</v>
      </c>
      <c r="I264" s="20">
        <v>361</v>
      </c>
      <c r="J264" s="20">
        <v>361</v>
      </c>
      <c r="K264" s="20" t="s">
        <v>11</v>
      </c>
      <c r="L264" s="20">
        <v>361</v>
      </c>
      <c r="M264" s="20">
        <v>0</v>
      </c>
      <c r="N264" s="20">
        <v>361</v>
      </c>
      <c r="O264" s="20" t="s">
        <v>2203</v>
      </c>
      <c r="P264" s="20" t="s">
        <v>87</v>
      </c>
      <c r="Q264" s="20" t="s">
        <v>87</v>
      </c>
      <c r="R264" s="20" t="s">
        <v>3119</v>
      </c>
      <c r="S264" s="111" t="s">
        <v>3111</v>
      </c>
      <c r="T264" s="20" t="s">
        <v>206</v>
      </c>
      <c r="U264" s="20" t="s">
        <v>207</v>
      </c>
      <c r="V264" s="20" t="s">
        <v>3118</v>
      </c>
      <c r="W264" s="20">
        <v>148.49</v>
      </c>
      <c r="X264" s="20">
        <v>148.49</v>
      </c>
      <c r="Y264" s="20" t="s">
        <v>3119</v>
      </c>
      <c r="Z264" s="111" t="s">
        <v>3111</v>
      </c>
      <c r="AB264" s="20" t="s">
        <v>2376</v>
      </c>
      <c r="AD264" s="20" t="s">
        <v>2376</v>
      </c>
      <c r="AE264" s="20" t="s">
        <v>2376</v>
      </c>
      <c r="AF264" s="20">
        <v>0</v>
      </c>
      <c r="AG264" s="20">
        <v>0</v>
      </c>
      <c r="AH264" s="20">
        <v>0</v>
      </c>
      <c r="AI264" s="20">
        <v>0</v>
      </c>
      <c r="AJ264" s="20">
        <v>0</v>
      </c>
      <c r="AK264" s="20" t="s">
        <v>609</v>
      </c>
      <c r="AL264" s="20">
        <v>0</v>
      </c>
      <c r="AM264" s="20">
        <v>0</v>
      </c>
      <c r="AN264" s="20">
        <v>0</v>
      </c>
      <c r="AO264" s="20">
        <v>0</v>
      </c>
      <c r="AP264" s="20">
        <v>0</v>
      </c>
      <c r="AR264" s="20">
        <v>0</v>
      </c>
      <c r="AS264" s="20">
        <v>0</v>
      </c>
      <c r="AT264" s="20">
        <v>1479098.54</v>
      </c>
      <c r="AU264" s="20" t="s">
        <v>13</v>
      </c>
      <c r="AV264" s="20" t="s">
        <v>62</v>
      </c>
      <c r="AW264" s="20" t="s">
        <v>76</v>
      </c>
      <c r="AX264" s="20" t="s">
        <v>208</v>
      </c>
      <c r="AY264" s="20" t="s">
        <v>209</v>
      </c>
      <c r="AZ264" s="20">
        <v>0</v>
      </c>
      <c r="BA264" s="20">
        <v>53604.89</v>
      </c>
      <c r="BB264" s="20">
        <v>910</v>
      </c>
      <c r="BC264" s="20" t="s">
        <v>3111</v>
      </c>
      <c r="BD264" s="20" t="s">
        <v>65</v>
      </c>
      <c r="BE264" s="20" t="s">
        <v>210</v>
      </c>
      <c r="BF264" s="20" t="s">
        <v>210</v>
      </c>
      <c r="BG264" s="20">
        <v>9</v>
      </c>
      <c r="BH264" s="20">
        <v>4824.4399999999996</v>
      </c>
      <c r="BI264" s="20">
        <v>9</v>
      </c>
      <c r="BJ264" s="20">
        <v>4824.4399999999996</v>
      </c>
      <c r="BK264" s="20">
        <v>0</v>
      </c>
      <c r="BL264" s="20">
        <v>0</v>
      </c>
      <c r="BM264" s="20">
        <v>0</v>
      </c>
      <c r="BN264" s="20">
        <v>682147945514</v>
      </c>
      <c r="BO264" s="111">
        <v>46222</v>
      </c>
      <c r="BP264" s="20">
        <v>0</v>
      </c>
    </row>
    <row r="265" spans="2:68">
      <c r="B265" s="20" t="s">
        <v>2216</v>
      </c>
      <c r="C265" s="20" t="s">
        <v>3111</v>
      </c>
      <c r="D265" s="20" t="s">
        <v>3730</v>
      </c>
      <c r="E265" s="20" t="s">
        <v>20</v>
      </c>
      <c r="F265" s="20" t="s">
        <v>21</v>
      </c>
      <c r="H265" s="20" t="s">
        <v>3731</v>
      </c>
      <c r="I265" s="20">
        <v>1250</v>
      </c>
      <c r="J265" s="20">
        <v>1250</v>
      </c>
      <c r="K265" s="20" t="s">
        <v>11</v>
      </c>
      <c r="L265" s="20">
        <v>1250</v>
      </c>
      <c r="M265" s="20">
        <v>0</v>
      </c>
      <c r="N265" s="20">
        <v>1250</v>
      </c>
      <c r="O265" s="20" t="s">
        <v>2201</v>
      </c>
      <c r="P265" s="20" t="s">
        <v>87</v>
      </c>
      <c r="Q265" s="20" t="s">
        <v>87</v>
      </c>
      <c r="R265" s="20" t="s">
        <v>3121</v>
      </c>
      <c r="S265" s="111" t="s">
        <v>3111</v>
      </c>
      <c r="T265" s="20" t="s">
        <v>206</v>
      </c>
      <c r="U265" s="20" t="s">
        <v>207</v>
      </c>
      <c r="V265" s="20" t="s">
        <v>3120</v>
      </c>
      <c r="W265" s="20">
        <v>151.49</v>
      </c>
      <c r="X265" s="20">
        <v>151.48999950483201</v>
      </c>
      <c r="Y265" s="20" t="s">
        <v>3121</v>
      </c>
      <c r="Z265" s="111" t="s">
        <v>3111</v>
      </c>
      <c r="AB265" s="20" t="s">
        <v>2376</v>
      </c>
      <c r="AD265" s="20" t="s">
        <v>2376</v>
      </c>
      <c r="AE265" s="20" t="s">
        <v>2376</v>
      </c>
      <c r="AF265" s="20">
        <v>0</v>
      </c>
      <c r="AG265" s="20">
        <v>0</v>
      </c>
      <c r="AH265" s="20">
        <v>0</v>
      </c>
      <c r="AI265" s="20">
        <v>0</v>
      </c>
      <c r="AJ265" s="20">
        <v>0</v>
      </c>
      <c r="AK265" s="20" t="s">
        <v>609</v>
      </c>
      <c r="AL265" s="20">
        <v>0</v>
      </c>
      <c r="AM265" s="20">
        <v>0</v>
      </c>
      <c r="AN265" s="20">
        <v>0</v>
      </c>
      <c r="AO265" s="20">
        <v>0</v>
      </c>
      <c r="AP265" s="20">
        <v>0</v>
      </c>
      <c r="AR265" s="20">
        <v>0</v>
      </c>
      <c r="AS265" s="20">
        <v>0</v>
      </c>
      <c r="AT265" s="20">
        <v>1835618.51</v>
      </c>
      <c r="AU265" s="20" t="s">
        <v>13</v>
      </c>
      <c r="AV265" s="20" t="s">
        <v>62</v>
      </c>
      <c r="AW265" s="20" t="s">
        <v>76</v>
      </c>
      <c r="AX265" s="20" t="s">
        <v>208</v>
      </c>
      <c r="AY265" s="20" t="s">
        <v>209</v>
      </c>
      <c r="AZ265" s="20">
        <v>0</v>
      </c>
      <c r="BA265" s="20">
        <v>189362.5</v>
      </c>
      <c r="BB265" s="20">
        <v>908</v>
      </c>
      <c r="BC265" s="20" t="s">
        <v>3111</v>
      </c>
      <c r="BD265" s="20" t="s">
        <v>65</v>
      </c>
      <c r="BE265" s="20" t="s">
        <v>210</v>
      </c>
      <c r="BF265" s="20" t="s">
        <v>210</v>
      </c>
      <c r="BG265" s="20">
        <v>9</v>
      </c>
      <c r="BH265" s="20">
        <v>17042.62</v>
      </c>
      <c r="BI265" s="20">
        <v>9</v>
      </c>
      <c r="BJ265" s="20">
        <v>17042.62</v>
      </c>
      <c r="BK265" s="20">
        <v>0</v>
      </c>
      <c r="BL265" s="20">
        <v>0</v>
      </c>
      <c r="BM265" s="20">
        <v>1835618.51</v>
      </c>
      <c r="BN265" s="20">
        <v>682147916833</v>
      </c>
      <c r="BO265" s="111">
        <v>46222</v>
      </c>
      <c r="BP265" s="20">
        <v>0</v>
      </c>
    </row>
    <row r="266" spans="2:68">
      <c r="B266" s="20" t="s">
        <v>2216</v>
      </c>
      <c r="C266" s="20" t="s">
        <v>3111</v>
      </c>
      <c r="D266" s="20" t="s">
        <v>3730</v>
      </c>
      <c r="E266" s="20" t="s">
        <v>18</v>
      </c>
      <c r="F266" s="20" t="s">
        <v>19</v>
      </c>
      <c r="H266" s="20" t="s">
        <v>3731</v>
      </c>
      <c r="I266" s="20">
        <v>1147</v>
      </c>
      <c r="J266" s="20">
        <v>1147</v>
      </c>
      <c r="K266" s="20" t="s">
        <v>11</v>
      </c>
      <c r="L266" s="20">
        <v>1147</v>
      </c>
      <c r="M266" s="20">
        <v>0</v>
      </c>
      <c r="N266" s="20">
        <v>1147</v>
      </c>
      <c r="O266" s="20" t="s">
        <v>2201</v>
      </c>
      <c r="P266" s="20" t="s">
        <v>87</v>
      </c>
      <c r="Q266" s="20" t="s">
        <v>87</v>
      </c>
      <c r="R266" s="20" t="s">
        <v>3121</v>
      </c>
      <c r="S266" s="111" t="s">
        <v>3111</v>
      </c>
      <c r="T266" s="20" t="s">
        <v>206</v>
      </c>
      <c r="U266" s="20" t="s">
        <v>207</v>
      </c>
      <c r="V266" s="20" t="s">
        <v>3120</v>
      </c>
      <c r="W266" s="20">
        <v>146.49</v>
      </c>
      <c r="X266" s="20">
        <v>146.48999952117501</v>
      </c>
      <c r="Y266" s="20" t="s">
        <v>3121</v>
      </c>
      <c r="Z266" s="111" t="s">
        <v>3111</v>
      </c>
      <c r="AB266" s="20" t="s">
        <v>2376</v>
      </c>
      <c r="AD266" s="20" t="s">
        <v>2376</v>
      </c>
      <c r="AE266" s="20" t="s">
        <v>2376</v>
      </c>
      <c r="AF266" s="20">
        <v>0</v>
      </c>
      <c r="AG266" s="20">
        <v>0</v>
      </c>
      <c r="AH266" s="20">
        <v>0</v>
      </c>
      <c r="AI266" s="20">
        <v>0</v>
      </c>
      <c r="AJ266" s="20">
        <v>0</v>
      </c>
      <c r="AK266" s="20" t="s">
        <v>609</v>
      </c>
      <c r="AL266" s="20">
        <v>0</v>
      </c>
      <c r="AM266" s="20">
        <v>0</v>
      </c>
      <c r="AN266" s="20">
        <v>0</v>
      </c>
      <c r="AO266" s="20">
        <v>0</v>
      </c>
      <c r="AP266" s="20">
        <v>0</v>
      </c>
      <c r="AR266" s="20">
        <v>0</v>
      </c>
      <c r="AS266" s="20">
        <v>0</v>
      </c>
      <c r="AT266" s="20">
        <v>1835618.51</v>
      </c>
      <c r="AU266" s="20" t="s">
        <v>13</v>
      </c>
      <c r="AV266" s="20" t="s">
        <v>62</v>
      </c>
      <c r="AW266" s="20" t="s">
        <v>63</v>
      </c>
      <c r="AX266" s="20" t="s">
        <v>208</v>
      </c>
      <c r="AY266" s="20" t="s">
        <v>209</v>
      </c>
      <c r="AZ266" s="20">
        <v>0</v>
      </c>
      <c r="BA266" s="20">
        <v>168024.03</v>
      </c>
      <c r="BB266" s="20">
        <v>908</v>
      </c>
      <c r="BC266" s="20" t="s">
        <v>3111</v>
      </c>
      <c r="BD266" s="20" t="s">
        <v>65</v>
      </c>
      <c r="BE266" s="20" t="s">
        <v>210</v>
      </c>
      <c r="BF266" s="20" t="s">
        <v>210</v>
      </c>
      <c r="BG266" s="20">
        <v>9</v>
      </c>
      <c r="BH266" s="20">
        <v>15122.16</v>
      </c>
      <c r="BI266" s="20">
        <v>9</v>
      </c>
      <c r="BJ266" s="20">
        <v>15122.16</v>
      </c>
      <c r="BK266" s="20">
        <v>0</v>
      </c>
      <c r="BL266" s="20">
        <v>0</v>
      </c>
      <c r="BM266" s="20">
        <v>0</v>
      </c>
      <c r="BN266" s="20">
        <v>682147916833</v>
      </c>
      <c r="BO266" s="111">
        <v>46222</v>
      </c>
      <c r="BP266" s="20">
        <v>0</v>
      </c>
    </row>
    <row r="267" spans="2:68">
      <c r="B267" s="20" t="s">
        <v>2216</v>
      </c>
      <c r="C267" s="20" t="s">
        <v>3111</v>
      </c>
      <c r="D267" s="20" t="s">
        <v>3730</v>
      </c>
      <c r="E267" s="20" t="s">
        <v>18</v>
      </c>
      <c r="F267" s="20" t="s">
        <v>19</v>
      </c>
      <c r="H267" s="20" t="s">
        <v>3731</v>
      </c>
      <c r="I267" s="20">
        <v>499</v>
      </c>
      <c r="J267" s="20">
        <v>499</v>
      </c>
      <c r="K267" s="20" t="s">
        <v>11</v>
      </c>
      <c r="L267" s="20">
        <v>499</v>
      </c>
      <c r="M267" s="20">
        <v>0</v>
      </c>
      <c r="N267" s="20">
        <v>499</v>
      </c>
      <c r="O267" s="20" t="s">
        <v>2201</v>
      </c>
      <c r="P267" s="20" t="s">
        <v>87</v>
      </c>
      <c r="Q267" s="20" t="s">
        <v>87</v>
      </c>
      <c r="R267" s="20" t="s">
        <v>3121</v>
      </c>
      <c r="S267" s="111" t="s">
        <v>3111</v>
      </c>
      <c r="T267" s="20" t="s">
        <v>206</v>
      </c>
      <c r="U267" s="20" t="s">
        <v>207</v>
      </c>
      <c r="V267" s="20" t="s">
        <v>3120</v>
      </c>
      <c r="W267" s="20">
        <v>147.49</v>
      </c>
      <c r="X267" s="20">
        <v>147.489999517906</v>
      </c>
      <c r="Y267" s="20" t="s">
        <v>3121</v>
      </c>
      <c r="Z267" s="111" t="s">
        <v>3111</v>
      </c>
      <c r="AB267" s="20" t="s">
        <v>2376</v>
      </c>
      <c r="AD267" s="20" t="s">
        <v>2376</v>
      </c>
      <c r="AE267" s="20" t="s">
        <v>2376</v>
      </c>
      <c r="AF267" s="20">
        <v>0</v>
      </c>
      <c r="AG267" s="20">
        <v>0</v>
      </c>
      <c r="AH267" s="20">
        <v>0</v>
      </c>
      <c r="AI267" s="20">
        <v>0</v>
      </c>
      <c r="AJ267" s="20">
        <v>0</v>
      </c>
      <c r="AK267" s="20" t="s">
        <v>609</v>
      </c>
      <c r="AL267" s="20">
        <v>0</v>
      </c>
      <c r="AM267" s="20">
        <v>0</v>
      </c>
      <c r="AN267" s="20">
        <v>0</v>
      </c>
      <c r="AO267" s="20">
        <v>0</v>
      </c>
      <c r="AP267" s="20">
        <v>0</v>
      </c>
      <c r="AR267" s="20">
        <v>0</v>
      </c>
      <c r="AS267" s="20">
        <v>0</v>
      </c>
      <c r="AT267" s="20">
        <v>1835618.51</v>
      </c>
      <c r="AU267" s="20" t="s">
        <v>13</v>
      </c>
      <c r="AV267" s="20" t="s">
        <v>62</v>
      </c>
      <c r="AW267" s="20" t="s">
        <v>63</v>
      </c>
      <c r="AX267" s="20" t="s">
        <v>208</v>
      </c>
      <c r="AY267" s="20" t="s">
        <v>209</v>
      </c>
      <c r="AZ267" s="20">
        <v>0</v>
      </c>
      <c r="BA267" s="20">
        <v>73597.509999999995</v>
      </c>
      <c r="BB267" s="20">
        <v>908</v>
      </c>
      <c r="BC267" s="20" t="s">
        <v>3111</v>
      </c>
      <c r="BD267" s="20" t="s">
        <v>65</v>
      </c>
      <c r="BE267" s="20" t="s">
        <v>210</v>
      </c>
      <c r="BF267" s="20" t="s">
        <v>210</v>
      </c>
      <c r="BG267" s="20">
        <v>9</v>
      </c>
      <c r="BH267" s="20">
        <v>6623.78</v>
      </c>
      <c r="BI267" s="20">
        <v>9</v>
      </c>
      <c r="BJ267" s="20">
        <v>6623.78</v>
      </c>
      <c r="BK267" s="20">
        <v>0</v>
      </c>
      <c r="BL267" s="20">
        <v>0</v>
      </c>
      <c r="BM267" s="20">
        <v>0</v>
      </c>
      <c r="BN267" s="20">
        <v>682147916833</v>
      </c>
      <c r="BO267" s="111">
        <v>46222</v>
      </c>
      <c r="BP267" s="20">
        <v>0</v>
      </c>
    </row>
    <row r="268" spans="2:68">
      <c r="B268" s="20" t="s">
        <v>2216</v>
      </c>
      <c r="C268" s="20" t="s">
        <v>3111</v>
      </c>
      <c r="D268" s="20" t="s">
        <v>3730</v>
      </c>
      <c r="E268" s="20" t="s">
        <v>18</v>
      </c>
      <c r="F268" s="20" t="s">
        <v>19</v>
      </c>
      <c r="H268" s="20" t="s">
        <v>3731</v>
      </c>
      <c r="I268" s="20">
        <v>6933</v>
      </c>
      <c r="J268" s="20">
        <v>6933</v>
      </c>
      <c r="K268" s="20" t="s">
        <v>11</v>
      </c>
      <c r="L268" s="20">
        <v>6933</v>
      </c>
      <c r="M268" s="20">
        <v>0</v>
      </c>
      <c r="N268" s="20">
        <v>6933</v>
      </c>
      <c r="O268" s="20" t="s">
        <v>2201</v>
      </c>
      <c r="P268" s="20" t="s">
        <v>87</v>
      </c>
      <c r="Q268" s="20" t="s">
        <v>87</v>
      </c>
      <c r="R268" s="20" t="s">
        <v>3121</v>
      </c>
      <c r="S268" s="111" t="s">
        <v>3111</v>
      </c>
      <c r="T268" s="20" t="s">
        <v>206</v>
      </c>
      <c r="U268" s="20" t="s">
        <v>207</v>
      </c>
      <c r="V268" s="20" t="s">
        <v>3120</v>
      </c>
      <c r="W268" s="20">
        <v>144.49</v>
      </c>
      <c r="X268" s="20">
        <v>144.489999527712</v>
      </c>
      <c r="Y268" s="20" t="s">
        <v>3121</v>
      </c>
      <c r="Z268" s="111" t="s">
        <v>3111</v>
      </c>
      <c r="AB268" s="20" t="s">
        <v>2376</v>
      </c>
      <c r="AD268" s="20" t="s">
        <v>2376</v>
      </c>
      <c r="AE268" s="20" t="s">
        <v>2376</v>
      </c>
      <c r="AF268" s="20">
        <v>0</v>
      </c>
      <c r="AG268" s="20">
        <v>0</v>
      </c>
      <c r="AH268" s="20">
        <v>0</v>
      </c>
      <c r="AI268" s="20">
        <v>0</v>
      </c>
      <c r="AJ268" s="20">
        <v>0</v>
      </c>
      <c r="AK268" s="20" t="s">
        <v>609</v>
      </c>
      <c r="AL268" s="20">
        <v>0</v>
      </c>
      <c r="AM268" s="20">
        <v>0</v>
      </c>
      <c r="AN268" s="20">
        <v>0</v>
      </c>
      <c r="AO268" s="20">
        <v>0</v>
      </c>
      <c r="AP268" s="20">
        <v>0</v>
      </c>
      <c r="AR268" s="20">
        <v>0</v>
      </c>
      <c r="AS268" s="20">
        <v>0</v>
      </c>
      <c r="AT268" s="20">
        <v>1835618.51</v>
      </c>
      <c r="AU268" s="20" t="s">
        <v>13</v>
      </c>
      <c r="AV268" s="20" t="s">
        <v>62</v>
      </c>
      <c r="AW268" s="20" t="s">
        <v>63</v>
      </c>
      <c r="AX268" s="20" t="s">
        <v>208</v>
      </c>
      <c r="AY268" s="20" t="s">
        <v>209</v>
      </c>
      <c r="AZ268" s="20">
        <v>0</v>
      </c>
      <c r="BA268" s="20">
        <v>1001749.17</v>
      </c>
      <c r="BB268" s="20">
        <v>908</v>
      </c>
      <c r="BC268" s="20" t="s">
        <v>3111</v>
      </c>
      <c r="BD268" s="20" t="s">
        <v>65</v>
      </c>
      <c r="BE268" s="20" t="s">
        <v>210</v>
      </c>
      <c r="BF268" s="20" t="s">
        <v>210</v>
      </c>
      <c r="BG268" s="20">
        <v>9</v>
      </c>
      <c r="BH268" s="20">
        <v>90157.43</v>
      </c>
      <c r="BI268" s="20">
        <v>9</v>
      </c>
      <c r="BJ268" s="20">
        <v>90157.43</v>
      </c>
      <c r="BK268" s="20">
        <v>0</v>
      </c>
      <c r="BL268" s="20">
        <v>0</v>
      </c>
      <c r="BM268" s="20">
        <v>0</v>
      </c>
      <c r="BN268" s="20">
        <v>682147916833</v>
      </c>
      <c r="BO268" s="111">
        <v>46222</v>
      </c>
      <c r="BP268" s="20">
        <v>0</v>
      </c>
    </row>
    <row r="269" spans="2:68">
      <c r="B269" s="20" t="s">
        <v>2216</v>
      </c>
      <c r="C269" s="20" t="s">
        <v>3111</v>
      </c>
      <c r="D269" s="20" t="s">
        <v>3730</v>
      </c>
      <c r="E269" s="20" t="s">
        <v>23</v>
      </c>
      <c r="F269" s="20" t="s">
        <v>24</v>
      </c>
      <c r="H269" s="20" t="s">
        <v>3731</v>
      </c>
      <c r="I269" s="20">
        <v>165.9</v>
      </c>
      <c r="J269" s="20">
        <v>165.9</v>
      </c>
      <c r="K269" s="20" t="s">
        <v>11</v>
      </c>
      <c r="L269" s="20">
        <v>165.9</v>
      </c>
      <c r="M269" s="20">
        <v>0</v>
      </c>
      <c r="N269" s="20">
        <v>165.9</v>
      </c>
      <c r="O269" s="20" t="s">
        <v>2201</v>
      </c>
      <c r="P269" s="20" t="s">
        <v>87</v>
      </c>
      <c r="Q269" s="20" t="s">
        <v>87</v>
      </c>
      <c r="R269" s="20" t="s">
        <v>3121</v>
      </c>
      <c r="S269" s="111" t="s">
        <v>3111</v>
      </c>
      <c r="T269" s="20" t="s">
        <v>206</v>
      </c>
      <c r="U269" s="20" t="s">
        <v>207</v>
      </c>
      <c r="V269" s="20" t="s">
        <v>3120</v>
      </c>
      <c r="W269" s="20">
        <v>149.49</v>
      </c>
      <c r="X269" s="20">
        <v>149.48999951136901</v>
      </c>
      <c r="Y269" s="20" t="s">
        <v>3121</v>
      </c>
      <c r="Z269" s="111" t="s">
        <v>3111</v>
      </c>
      <c r="AB269" s="20" t="s">
        <v>2376</v>
      </c>
      <c r="AD269" s="20" t="s">
        <v>2376</v>
      </c>
      <c r="AE269" s="20" t="s">
        <v>2376</v>
      </c>
      <c r="AF269" s="20">
        <v>0</v>
      </c>
      <c r="AG269" s="20">
        <v>0</v>
      </c>
      <c r="AH269" s="20">
        <v>0</v>
      </c>
      <c r="AI269" s="20">
        <v>0</v>
      </c>
      <c r="AJ269" s="20">
        <v>0</v>
      </c>
      <c r="AK269" s="20" t="s">
        <v>609</v>
      </c>
      <c r="AL269" s="20">
        <v>0</v>
      </c>
      <c r="AM269" s="20">
        <v>0</v>
      </c>
      <c r="AN269" s="20">
        <v>0</v>
      </c>
      <c r="AO269" s="20">
        <v>0</v>
      </c>
      <c r="AP269" s="20">
        <v>0</v>
      </c>
      <c r="AR269" s="20">
        <v>0</v>
      </c>
      <c r="AS269" s="20">
        <v>0</v>
      </c>
      <c r="AT269" s="20">
        <v>1835618.51</v>
      </c>
      <c r="AU269" s="20" t="s">
        <v>13</v>
      </c>
      <c r="AV269" s="20" t="s">
        <v>24</v>
      </c>
      <c r="AW269" s="20" t="s">
        <v>79</v>
      </c>
      <c r="AX269" s="20" t="s">
        <v>208</v>
      </c>
      <c r="AY269" s="20" t="s">
        <v>209</v>
      </c>
      <c r="AZ269" s="20">
        <v>0</v>
      </c>
      <c r="BA269" s="20">
        <v>24800.39</v>
      </c>
      <c r="BB269" s="20">
        <v>908</v>
      </c>
      <c r="BC269" s="20" t="s">
        <v>3111</v>
      </c>
      <c r="BD269" s="20" t="s">
        <v>65</v>
      </c>
      <c r="BE269" s="20" t="s">
        <v>210</v>
      </c>
      <c r="BF269" s="20" t="s">
        <v>210</v>
      </c>
      <c r="BG269" s="20">
        <v>9</v>
      </c>
      <c r="BH269" s="20">
        <v>2232.04</v>
      </c>
      <c r="BI269" s="20">
        <v>9</v>
      </c>
      <c r="BJ269" s="20">
        <v>2232.04</v>
      </c>
      <c r="BK269" s="20">
        <v>0</v>
      </c>
      <c r="BL269" s="20">
        <v>0</v>
      </c>
      <c r="BM269" s="20">
        <v>0</v>
      </c>
      <c r="BN269" s="20">
        <v>682147916833</v>
      </c>
      <c r="BO269" s="111">
        <v>46222</v>
      </c>
      <c r="BP269" s="20">
        <v>0</v>
      </c>
    </row>
    <row r="270" spans="2:68">
      <c r="B270" s="20" t="s">
        <v>2216</v>
      </c>
      <c r="C270" s="20" t="s">
        <v>3111</v>
      </c>
      <c r="D270" s="20" t="s">
        <v>3730</v>
      </c>
      <c r="E270" s="20" t="s">
        <v>23</v>
      </c>
      <c r="F270" s="20" t="s">
        <v>24</v>
      </c>
      <c r="H270" s="20" t="s">
        <v>3731</v>
      </c>
      <c r="I270" s="20">
        <v>499</v>
      </c>
      <c r="J270" s="20">
        <v>499</v>
      </c>
      <c r="K270" s="20" t="s">
        <v>11</v>
      </c>
      <c r="L270" s="20">
        <v>499</v>
      </c>
      <c r="M270" s="20">
        <v>0</v>
      </c>
      <c r="N270" s="20">
        <v>499</v>
      </c>
      <c r="O270" s="20" t="s">
        <v>2201</v>
      </c>
      <c r="P270" s="20" t="s">
        <v>87</v>
      </c>
      <c r="Q270" s="20" t="s">
        <v>87</v>
      </c>
      <c r="R270" s="20" t="s">
        <v>3121</v>
      </c>
      <c r="S270" s="111" t="s">
        <v>3111</v>
      </c>
      <c r="T270" s="20" t="s">
        <v>206</v>
      </c>
      <c r="U270" s="20" t="s">
        <v>207</v>
      </c>
      <c r="V270" s="20" t="s">
        <v>3120</v>
      </c>
      <c r="W270" s="20">
        <v>146.49</v>
      </c>
      <c r="X270" s="20">
        <v>146.48999952117501</v>
      </c>
      <c r="Y270" s="20" t="s">
        <v>3121</v>
      </c>
      <c r="Z270" s="111" t="s">
        <v>3111</v>
      </c>
      <c r="AB270" s="20" t="s">
        <v>2376</v>
      </c>
      <c r="AD270" s="20" t="s">
        <v>2376</v>
      </c>
      <c r="AE270" s="20" t="s">
        <v>2376</v>
      </c>
      <c r="AF270" s="20">
        <v>0</v>
      </c>
      <c r="AG270" s="20">
        <v>0</v>
      </c>
      <c r="AH270" s="20">
        <v>0</v>
      </c>
      <c r="AI270" s="20">
        <v>0</v>
      </c>
      <c r="AJ270" s="20">
        <v>0</v>
      </c>
      <c r="AK270" s="20" t="s">
        <v>609</v>
      </c>
      <c r="AL270" s="20">
        <v>0</v>
      </c>
      <c r="AM270" s="20">
        <v>0</v>
      </c>
      <c r="AN270" s="20">
        <v>0</v>
      </c>
      <c r="AO270" s="20">
        <v>0</v>
      </c>
      <c r="AP270" s="20">
        <v>0</v>
      </c>
      <c r="AR270" s="20">
        <v>0</v>
      </c>
      <c r="AS270" s="20">
        <v>0</v>
      </c>
      <c r="AT270" s="20">
        <v>1835618.51</v>
      </c>
      <c r="AU270" s="20" t="s">
        <v>13</v>
      </c>
      <c r="AV270" s="20" t="s">
        <v>24</v>
      </c>
      <c r="AW270" s="20" t="s">
        <v>79</v>
      </c>
      <c r="AX270" s="20" t="s">
        <v>208</v>
      </c>
      <c r="AY270" s="20" t="s">
        <v>209</v>
      </c>
      <c r="AZ270" s="20">
        <v>0</v>
      </c>
      <c r="BA270" s="20">
        <v>73098.509999999995</v>
      </c>
      <c r="BB270" s="20">
        <v>908</v>
      </c>
      <c r="BC270" s="20" t="s">
        <v>3111</v>
      </c>
      <c r="BD270" s="20" t="s">
        <v>65</v>
      </c>
      <c r="BE270" s="20" t="s">
        <v>210</v>
      </c>
      <c r="BF270" s="20" t="s">
        <v>210</v>
      </c>
      <c r="BG270" s="20">
        <v>9</v>
      </c>
      <c r="BH270" s="20">
        <v>6578.87</v>
      </c>
      <c r="BI270" s="20">
        <v>9</v>
      </c>
      <c r="BJ270" s="20">
        <v>6578.87</v>
      </c>
      <c r="BK270" s="20">
        <v>0</v>
      </c>
      <c r="BL270" s="20">
        <v>0</v>
      </c>
      <c r="BM270" s="20">
        <v>0</v>
      </c>
      <c r="BN270" s="20">
        <v>682147916833</v>
      </c>
      <c r="BO270" s="111">
        <v>46222</v>
      </c>
      <c r="BP270" s="20">
        <v>0</v>
      </c>
    </row>
    <row r="271" spans="2:68">
      <c r="B271" s="20" t="s">
        <v>2216</v>
      </c>
      <c r="C271" s="20" t="s">
        <v>3111</v>
      </c>
      <c r="D271" s="20" t="s">
        <v>3730</v>
      </c>
      <c r="E271" s="20" t="s">
        <v>23</v>
      </c>
      <c r="F271" s="20" t="s">
        <v>24</v>
      </c>
      <c r="H271" s="20" t="s">
        <v>3731</v>
      </c>
      <c r="I271" s="20">
        <v>146.5</v>
      </c>
      <c r="J271" s="20">
        <v>146.5</v>
      </c>
      <c r="K271" s="20" t="s">
        <v>11</v>
      </c>
      <c r="L271" s="20">
        <v>146.5</v>
      </c>
      <c r="M271" s="20">
        <v>0</v>
      </c>
      <c r="N271" s="20">
        <v>146.5</v>
      </c>
      <c r="O271" s="20" t="s">
        <v>2201</v>
      </c>
      <c r="P271" s="20" t="s">
        <v>87</v>
      </c>
      <c r="Q271" s="20" t="s">
        <v>87</v>
      </c>
      <c r="R271" s="20" t="s">
        <v>3121</v>
      </c>
      <c r="S271" s="111" t="s">
        <v>3111</v>
      </c>
      <c r="T271" s="20" t="s">
        <v>206</v>
      </c>
      <c r="U271" s="20" t="s">
        <v>207</v>
      </c>
      <c r="V271" s="20" t="s">
        <v>3120</v>
      </c>
      <c r="W271" s="20">
        <v>170.49</v>
      </c>
      <c r="X271" s="20">
        <v>170.489999442727</v>
      </c>
      <c r="Y271" s="20" t="s">
        <v>3121</v>
      </c>
      <c r="Z271" s="111" t="s">
        <v>3111</v>
      </c>
      <c r="AB271" s="20" t="s">
        <v>2376</v>
      </c>
      <c r="AD271" s="20" t="s">
        <v>2376</v>
      </c>
      <c r="AE271" s="20" t="s">
        <v>2376</v>
      </c>
      <c r="AF271" s="20">
        <v>0</v>
      </c>
      <c r="AG271" s="20">
        <v>0</v>
      </c>
      <c r="AH271" s="20">
        <v>0</v>
      </c>
      <c r="AI271" s="20">
        <v>0</v>
      </c>
      <c r="AJ271" s="20">
        <v>0</v>
      </c>
      <c r="AK271" s="20" t="s">
        <v>609</v>
      </c>
      <c r="AL271" s="20">
        <v>0</v>
      </c>
      <c r="AM271" s="20">
        <v>0</v>
      </c>
      <c r="AN271" s="20">
        <v>0</v>
      </c>
      <c r="AO271" s="20">
        <v>0</v>
      </c>
      <c r="AP271" s="20">
        <v>0</v>
      </c>
      <c r="AR271" s="20">
        <v>0</v>
      </c>
      <c r="AS271" s="20">
        <v>0</v>
      </c>
      <c r="AT271" s="20">
        <v>1835618.51</v>
      </c>
      <c r="AU271" s="20" t="s">
        <v>13</v>
      </c>
      <c r="AV271" s="20" t="s">
        <v>24</v>
      </c>
      <c r="AW271" s="20" t="s">
        <v>79</v>
      </c>
      <c r="AX271" s="20" t="s">
        <v>208</v>
      </c>
      <c r="AY271" s="20" t="s">
        <v>209</v>
      </c>
      <c r="AZ271" s="20">
        <v>0</v>
      </c>
      <c r="BA271" s="20">
        <v>24976.78</v>
      </c>
      <c r="BB271" s="20">
        <v>908</v>
      </c>
      <c r="BC271" s="20" t="s">
        <v>3111</v>
      </c>
      <c r="BD271" s="20" t="s">
        <v>65</v>
      </c>
      <c r="BE271" s="20" t="s">
        <v>210</v>
      </c>
      <c r="BF271" s="20" t="s">
        <v>210</v>
      </c>
      <c r="BG271" s="20">
        <v>9</v>
      </c>
      <c r="BH271" s="20">
        <v>2247.91</v>
      </c>
      <c r="BI271" s="20">
        <v>9</v>
      </c>
      <c r="BJ271" s="20">
        <v>2247.91</v>
      </c>
      <c r="BK271" s="20">
        <v>0</v>
      </c>
      <c r="BL271" s="20">
        <v>0</v>
      </c>
      <c r="BM271" s="20">
        <v>0</v>
      </c>
      <c r="BN271" s="20">
        <v>682147916833</v>
      </c>
      <c r="BO271" s="111">
        <v>46222</v>
      </c>
      <c r="BP271" s="20">
        <v>0</v>
      </c>
    </row>
    <row r="272" spans="2:68">
      <c r="B272" s="20" t="s">
        <v>2216</v>
      </c>
      <c r="C272" s="20" t="s">
        <v>3124</v>
      </c>
      <c r="D272" s="20" t="s">
        <v>3732</v>
      </c>
      <c r="E272" s="20" t="s">
        <v>18</v>
      </c>
      <c r="F272" s="20" t="s">
        <v>19</v>
      </c>
      <c r="H272" s="20" t="s">
        <v>3733</v>
      </c>
      <c r="I272" s="20">
        <v>6419</v>
      </c>
      <c r="J272" s="20">
        <v>6419</v>
      </c>
      <c r="K272" s="20" t="s">
        <v>11</v>
      </c>
      <c r="L272" s="20">
        <v>6419</v>
      </c>
      <c r="M272" s="20">
        <v>0</v>
      </c>
      <c r="N272" s="20">
        <v>6419</v>
      </c>
      <c r="O272" s="20" t="s">
        <v>2203</v>
      </c>
      <c r="P272" s="20" t="s">
        <v>87</v>
      </c>
      <c r="Q272" s="20" t="s">
        <v>87</v>
      </c>
      <c r="R272" s="20" t="s">
        <v>3145</v>
      </c>
      <c r="S272" s="111" t="s">
        <v>3124</v>
      </c>
      <c r="T272" s="20" t="s">
        <v>206</v>
      </c>
      <c r="U272" s="20" t="s">
        <v>207</v>
      </c>
      <c r="V272" s="20" t="s">
        <v>3144</v>
      </c>
      <c r="W272" s="20">
        <v>144.49</v>
      </c>
      <c r="X272" s="20">
        <v>144.49</v>
      </c>
      <c r="Y272" s="20" t="s">
        <v>3145</v>
      </c>
      <c r="Z272" s="111" t="s">
        <v>3124</v>
      </c>
      <c r="AB272" s="20" t="s">
        <v>2376</v>
      </c>
      <c r="AD272" s="20" t="s">
        <v>2376</v>
      </c>
      <c r="AE272" s="20" t="s">
        <v>2376</v>
      </c>
      <c r="AF272" s="20">
        <v>0</v>
      </c>
      <c r="AG272" s="20">
        <v>0</v>
      </c>
      <c r="AH272" s="20">
        <v>0</v>
      </c>
      <c r="AI272" s="20">
        <v>0</v>
      </c>
      <c r="AJ272" s="20">
        <v>0</v>
      </c>
      <c r="AK272" s="20" t="s">
        <v>609</v>
      </c>
      <c r="AL272" s="20">
        <v>0</v>
      </c>
      <c r="AM272" s="20">
        <v>0</v>
      </c>
      <c r="AN272" s="20">
        <v>0</v>
      </c>
      <c r="AO272" s="20">
        <v>0</v>
      </c>
      <c r="AP272" s="20">
        <v>0</v>
      </c>
      <c r="AR272" s="20">
        <v>0</v>
      </c>
      <c r="AS272" s="20">
        <v>0</v>
      </c>
      <c r="AT272" s="20">
        <v>1335487.28</v>
      </c>
      <c r="AU272" s="20" t="s">
        <v>13</v>
      </c>
      <c r="AV272" s="20" t="s">
        <v>62</v>
      </c>
      <c r="AW272" s="20" t="s">
        <v>63</v>
      </c>
      <c r="AX272" s="20" t="s">
        <v>208</v>
      </c>
      <c r="AY272" s="20" t="s">
        <v>209</v>
      </c>
      <c r="AZ272" s="20">
        <v>0</v>
      </c>
      <c r="BA272" s="20">
        <v>927481.31</v>
      </c>
      <c r="BB272" s="20">
        <v>911</v>
      </c>
      <c r="BC272" s="20" t="s">
        <v>3124</v>
      </c>
      <c r="BD272" s="20" t="s">
        <v>65</v>
      </c>
      <c r="BE272" s="20" t="s">
        <v>210</v>
      </c>
      <c r="BF272" s="20" t="s">
        <v>210</v>
      </c>
      <c r="BG272" s="20">
        <v>9</v>
      </c>
      <c r="BH272" s="20">
        <v>83473.320000000007</v>
      </c>
      <c r="BI272" s="20">
        <v>9</v>
      </c>
      <c r="BJ272" s="20">
        <v>83473.320000000007</v>
      </c>
      <c r="BK272" s="20">
        <v>0</v>
      </c>
      <c r="BL272" s="20">
        <v>0</v>
      </c>
      <c r="BM272" s="20">
        <v>1335487.28</v>
      </c>
      <c r="BN272" s="20">
        <v>682148163582</v>
      </c>
      <c r="BO272" s="111">
        <v>46223</v>
      </c>
      <c r="BP272" s="20">
        <v>0</v>
      </c>
    </row>
    <row r="273" spans="2:68">
      <c r="B273" s="20" t="s">
        <v>2216</v>
      </c>
      <c r="C273" s="20" t="s">
        <v>3124</v>
      </c>
      <c r="D273" s="20" t="s">
        <v>3732</v>
      </c>
      <c r="E273" s="20" t="s">
        <v>18</v>
      </c>
      <c r="F273" s="20" t="s">
        <v>19</v>
      </c>
      <c r="H273" s="20" t="s">
        <v>3733</v>
      </c>
      <c r="I273" s="20">
        <v>227</v>
      </c>
      <c r="J273" s="20">
        <v>227</v>
      </c>
      <c r="K273" s="20" t="s">
        <v>11</v>
      </c>
      <c r="L273" s="20">
        <v>227</v>
      </c>
      <c r="M273" s="20">
        <v>0</v>
      </c>
      <c r="N273" s="20">
        <v>227</v>
      </c>
      <c r="O273" s="20" t="s">
        <v>2203</v>
      </c>
      <c r="P273" s="20" t="s">
        <v>87</v>
      </c>
      <c r="Q273" s="20" t="s">
        <v>87</v>
      </c>
      <c r="R273" s="20" t="s">
        <v>3145</v>
      </c>
      <c r="S273" s="111" t="s">
        <v>3124</v>
      </c>
      <c r="T273" s="20" t="s">
        <v>206</v>
      </c>
      <c r="U273" s="20" t="s">
        <v>207</v>
      </c>
      <c r="V273" s="20" t="s">
        <v>3144</v>
      </c>
      <c r="W273" s="20">
        <v>147.49</v>
      </c>
      <c r="X273" s="20">
        <v>147.49</v>
      </c>
      <c r="Y273" s="20" t="s">
        <v>3145</v>
      </c>
      <c r="Z273" s="111" t="s">
        <v>3124</v>
      </c>
      <c r="AB273" s="20" t="s">
        <v>2376</v>
      </c>
      <c r="AD273" s="20" t="s">
        <v>2376</v>
      </c>
      <c r="AE273" s="20" t="s">
        <v>2376</v>
      </c>
      <c r="AF273" s="20">
        <v>0</v>
      </c>
      <c r="AG273" s="20">
        <v>0</v>
      </c>
      <c r="AH273" s="20">
        <v>0</v>
      </c>
      <c r="AI273" s="20">
        <v>0</v>
      </c>
      <c r="AJ273" s="20">
        <v>0</v>
      </c>
      <c r="AK273" s="20" t="s">
        <v>609</v>
      </c>
      <c r="AL273" s="20">
        <v>0</v>
      </c>
      <c r="AM273" s="20">
        <v>0</v>
      </c>
      <c r="AN273" s="20">
        <v>0</v>
      </c>
      <c r="AO273" s="20">
        <v>0</v>
      </c>
      <c r="AP273" s="20">
        <v>0</v>
      </c>
      <c r="AR273" s="20">
        <v>0</v>
      </c>
      <c r="AS273" s="20">
        <v>0</v>
      </c>
      <c r="AT273" s="20">
        <v>1335487.28</v>
      </c>
      <c r="AU273" s="20" t="s">
        <v>13</v>
      </c>
      <c r="AV273" s="20" t="s">
        <v>62</v>
      </c>
      <c r="AW273" s="20" t="s">
        <v>63</v>
      </c>
      <c r="AX273" s="20" t="s">
        <v>208</v>
      </c>
      <c r="AY273" s="20" t="s">
        <v>209</v>
      </c>
      <c r="AZ273" s="20">
        <v>0</v>
      </c>
      <c r="BA273" s="20">
        <v>33480.230000000003</v>
      </c>
      <c r="BB273" s="20">
        <v>911</v>
      </c>
      <c r="BC273" s="20" t="s">
        <v>3124</v>
      </c>
      <c r="BD273" s="20" t="s">
        <v>65</v>
      </c>
      <c r="BE273" s="20" t="s">
        <v>210</v>
      </c>
      <c r="BF273" s="20" t="s">
        <v>210</v>
      </c>
      <c r="BG273" s="20">
        <v>9</v>
      </c>
      <c r="BH273" s="20">
        <v>3013.22</v>
      </c>
      <c r="BI273" s="20">
        <v>9</v>
      </c>
      <c r="BJ273" s="20">
        <v>3013.22</v>
      </c>
      <c r="BK273" s="20">
        <v>0</v>
      </c>
      <c r="BL273" s="20">
        <v>0</v>
      </c>
      <c r="BM273" s="20">
        <v>0</v>
      </c>
      <c r="BN273" s="20">
        <v>682148163582</v>
      </c>
      <c r="BO273" s="111">
        <v>46223</v>
      </c>
      <c r="BP273" s="20">
        <v>0</v>
      </c>
    </row>
    <row r="274" spans="2:68">
      <c r="B274" s="20" t="s">
        <v>2216</v>
      </c>
      <c r="C274" s="20" t="s">
        <v>3124</v>
      </c>
      <c r="D274" s="20" t="s">
        <v>3732</v>
      </c>
      <c r="E274" s="20" t="s">
        <v>18</v>
      </c>
      <c r="F274" s="20" t="s">
        <v>19</v>
      </c>
      <c r="H274" s="20" t="s">
        <v>3733</v>
      </c>
      <c r="I274" s="20">
        <v>1166</v>
      </c>
      <c r="J274" s="20">
        <v>1166</v>
      </c>
      <c r="K274" s="20" t="s">
        <v>11</v>
      </c>
      <c r="L274" s="20">
        <v>1166</v>
      </c>
      <c r="M274" s="20">
        <v>0</v>
      </c>
      <c r="N274" s="20">
        <v>1166</v>
      </c>
      <c r="O274" s="20" t="s">
        <v>2203</v>
      </c>
      <c r="P274" s="20" t="s">
        <v>87</v>
      </c>
      <c r="Q274" s="20" t="s">
        <v>87</v>
      </c>
      <c r="R274" s="20" t="s">
        <v>3145</v>
      </c>
      <c r="S274" s="111" t="s">
        <v>3124</v>
      </c>
      <c r="T274" s="20" t="s">
        <v>206</v>
      </c>
      <c r="U274" s="20" t="s">
        <v>207</v>
      </c>
      <c r="V274" s="20" t="s">
        <v>3144</v>
      </c>
      <c r="W274" s="20">
        <v>146.49</v>
      </c>
      <c r="X274" s="20">
        <v>146.49</v>
      </c>
      <c r="Y274" s="20" t="s">
        <v>3145</v>
      </c>
      <c r="Z274" s="111" t="s">
        <v>3124</v>
      </c>
      <c r="AB274" s="20" t="s">
        <v>2376</v>
      </c>
      <c r="AD274" s="20" t="s">
        <v>2376</v>
      </c>
      <c r="AE274" s="20" t="s">
        <v>2376</v>
      </c>
      <c r="AF274" s="20">
        <v>0</v>
      </c>
      <c r="AG274" s="20">
        <v>0</v>
      </c>
      <c r="AH274" s="20">
        <v>0</v>
      </c>
      <c r="AI274" s="20">
        <v>0</v>
      </c>
      <c r="AJ274" s="20">
        <v>0</v>
      </c>
      <c r="AK274" s="20" t="s">
        <v>609</v>
      </c>
      <c r="AL274" s="20">
        <v>0</v>
      </c>
      <c r="AM274" s="20">
        <v>0</v>
      </c>
      <c r="AN274" s="20">
        <v>0</v>
      </c>
      <c r="AO274" s="20">
        <v>0</v>
      </c>
      <c r="AP274" s="20">
        <v>0</v>
      </c>
      <c r="AR274" s="20">
        <v>0</v>
      </c>
      <c r="AS274" s="20">
        <v>0</v>
      </c>
      <c r="AT274" s="20">
        <v>1335487.28</v>
      </c>
      <c r="AU274" s="20" t="s">
        <v>13</v>
      </c>
      <c r="AV274" s="20" t="s">
        <v>62</v>
      </c>
      <c r="AW274" s="20" t="s">
        <v>63</v>
      </c>
      <c r="AX274" s="20" t="s">
        <v>208</v>
      </c>
      <c r="AY274" s="20" t="s">
        <v>209</v>
      </c>
      <c r="AZ274" s="20">
        <v>0</v>
      </c>
      <c r="BA274" s="20">
        <v>170807.34</v>
      </c>
      <c r="BB274" s="20">
        <v>911</v>
      </c>
      <c r="BC274" s="20" t="s">
        <v>3124</v>
      </c>
      <c r="BD274" s="20" t="s">
        <v>65</v>
      </c>
      <c r="BE274" s="20" t="s">
        <v>210</v>
      </c>
      <c r="BF274" s="20" t="s">
        <v>210</v>
      </c>
      <c r="BG274" s="20">
        <v>9</v>
      </c>
      <c r="BH274" s="20">
        <v>15372.66</v>
      </c>
      <c r="BI274" s="20">
        <v>9</v>
      </c>
      <c r="BJ274" s="20">
        <v>15372.66</v>
      </c>
      <c r="BK274" s="20">
        <v>0</v>
      </c>
      <c r="BL274" s="20">
        <v>0</v>
      </c>
      <c r="BM274" s="20">
        <v>0</v>
      </c>
      <c r="BN274" s="20">
        <v>682148163582</v>
      </c>
      <c r="BO274" s="111">
        <v>46223</v>
      </c>
      <c r="BP274" s="20">
        <v>0</v>
      </c>
    </row>
    <row r="275" spans="2:68">
      <c r="B275" s="20" t="s">
        <v>2216</v>
      </c>
      <c r="C275" s="20" t="s">
        <v>3124</v>
      </c>
      <c r="D275" s="20" t="s">
        <v>3734</v>
      </c>
      <c r="E275" s="20" t="s">
        <v>18</v>
      </c>
      <c r="F275" s="20" t="s">
        <v>19</v>
      </c>
      <c r="H275" s="20" t="s">
        <v>3735</v>
      </c>
      <c r="I275" s="20">
        <v>2018</v>
      </c>
      <c r="J275" s="20">
        <v>2018</v>
      </c>
      <c r="K275" s="20" t="s">
        <v>11</v>
      </c>
      <c r="L275" s="20">
        <v>2018</v>
      </c>
      <c r="M275" s="20">
        <v>0</v>
      </c>
      <c r="N275" s="20">
        <v>2018</v>
      </c>
      <c r="O275" s="20" t="s">
        <v>2203</v>
      </c>
      <c r="P275" s="20" t="s">
        <v>87</v>
      </c>
      <c r="Q275" s="20" t="s">
        <v>87</v>
      </c>
      <c r="R275" s="20" t="s">
        <v>3147</v>
      </c>
      <c r="S275" s="111" t="s">
        <v>3124</v>
      </c>
      <c r="T275" s="20" t="s">
        <v>206</v>
      </c>
      <c r="U275" s="20" t="s">
        <v>207</v>
      </c>
      <c r="V275" s="20" t="s">
        <v>3146</v>
      </c>
      <c r="W275" s="20">
        <v>144.49</v>
      </c>
      <c r="X275" s="20">
        <v>144.49</v>
      </c>
      <c r="Y275" s="20" t="s">
        <v>3147</v>
      </c>
      <c r="Z275" s="111" t="s">
        <v>3124</v>
      </c>
      <c r="AB275" s="20" t="s">
        <v>2376</v>
      </c>
      <c r="AD275" s="20" t="s">
        <v>2376</v>
      </c>
      <c r="AE275" s="20" t="s">
        <v>2376</v>
      </c>
      <c r="AF275" s="20">
        <v>0</v>
      </c>
      <c r="AG275" s="20">
        <v>0</v>
      </c>
      <c r="AH275" s="20">
        <v>0</v>
      </c>
      <c r="AI275" s="20">
        <v>0</v>
      </c>
      <c r="AJ275" s="20">
        <v>0</v>
      </c>
      <c r="AK275" s="20" t="s">
        <v>609</v>
      </c>
      <c r="AL275" s="20">
        <v>0</v>
      </c>
      <c r="AM275" s="20">
        <v>0</v>
      </c>
      <c r="AN275" s="20">
        <v>0</v>
      </c>
      <c r="AO275" s="20">
        <v>0</v>
      </c>
      <c r="AP275" s="20">
        <v>0</v>
      </c>
      <c r="AR275" s="20">
        <v>0</v>
      </c>
      <c r="AS275" s="20">
        <v>0</v>
      </c>
      <c r="AT275" s="20">
        <v>1017879.44</v>
      </c>
      <c r="AU275" s="20" t="s">
        <v>13</v>
      </c>
      <c r="AV275" s="20" t="s">
        <v>62</v>
      </c>
      <c r="AW275" s="20" t="s">
        <v>63</v>
      </c>
      <c r="AX275" s="20" t="s">
        <v>208</v>
      </c>
      <c r="AY275" s="20" t="s">
        <v>209</v>
      </c>
      <c r="AZ275" s="20">
        <v>0</v>
      </c>
      <c r="BA275" s="20">
        <v>291580.82</v>
      </c>
      <c r="BB275" s="20">
        <v>914</v>
      </c>
      <c r="BC275" s="20" t="s">
        <v>3124</v>
      </c>
      <c r="BD275" s="20" t="s">
        <v>65</v>
      </c>
      <c r="BE275" s="20" t="s">
        <v>210</v>
      </c>
      <c r="BF275" s="20" t="s">
        <v>210</v>
      </c>
      <c r="BG275" s="20">
        <v>9</v>
      </c>
      <c r="BH275" s="20">
        <v>26242.27</v>
      </c>
      <c r="BI275" s="20">
        <v>9</v>
      </c>
      <c r="BJ275" s="20">
        <v>26242.27</v>
      </c>
      <c r="BK275" s="20">
        <v>0</v>
      </c>
      <c r="BL275" s="20">
        <v>0</v>
      </c>
      <c r="BM275" s="20">
        <v>1017879.44</v>
      </c>
      <c r="BN275" s="20">
        <v>612148391450</v>
      </c>
      <c r="BO275" s="111">
        <v>46223</v>
      </c>
      <c r="BP275" s="20">
        <v>0</v>
      </c>
    </row>
    <row r="276" spans="2:68">
      <c r="B276" s="20" t="s">
        <v>2216</v>
      </c>
      <c r="C276" s="20" t="s">
        <v>3124</v>
      </c>
      <c r="D276" s="20" t="s">
        <v>3734</v>
      </c>
      <c r="E276" s="20" t="s">
        <v>160</v>
      </c>
      <c r="F276" s="20" t="s">
        <v>17</v>
      </c>
      <c r="H276" s="20" t="s">
        <v>3735</v>
      </c>
      <c r="I276" s="20">
        <v>1473</v>
      </c>
      <c r="J276" s="20">
        <v>1473</v>
      </c>
      <c r="K276" s="20" t="s">
        <v>11</v>
      </c>
      <c r="L276" s="20">
        <v>1473</v>
      </c>
      <c r="M276" s="20">
        <v>0</v>
      </c>
      <c r="N276" s="20">
        <v>1473</v>
      </c>
      <c r="O276" s="20" t="s">
        <v>2203</v>
      </c>
      <c r="P276" s="20" t="s">
        <v>87</v>
      </c>
      <c r="Q276" s="20" t="s">
        <v>87</v>
      </c>
      <c r="R276" s="20" t="s">
        <v>3147</v>
      </c>
      <c r="S276" s="111" t="s">
        <v>3124</v>
      </c>
      <c r="T276" s="20" t="s">
        <v>206</v>
      </c>
      <c r="U276" s="20" t="s">
        <v>207</v>
      </c>
      <c r="V276" s="20" t="s">
        <v>3146</v>
      </c>
      <c r="W276" s="20">
        <v>182.78</v>
      </c>
      <c r="X276" s="20">
        <v>182.78</v>
      </c>
      <c r="Y276" s="20" t="s">
        <v>3147</v>
      </c>
      <c r="Z276" s="111" t="s">
        <v>3124</v>
      </c>
      <c r="AB276" s="20" t="s">
        <v>2376</v>
      </c>
      <c r="AD276" s="20" t="s">
        <v>2376</v>
      </c>
      <c r="AE276" s="20" t="s">
        <v>2376</v>
      </c>
      <c r="AF276" s="20">
        <v>0</v>
      </c>
      <c r="AG276" s="20">
        <v>0</v>
      </c>
      <c r="AH276" s="20">
        <v>0</v>
      </c>
      <c r="AI276" s="20">
        <v>0</v>
      </c>
      <c r="AJ276" s="20">
        <v>0</v>
      </c>
      <c r="AK276" s="20" t="s">
        <v>609</v>
      </c>
      <c r="AL276" s="20">
        <v>0</v>
      </c>
      <c r="AM276" s="20">
        <v>0</v>
      </c>
      <c r="AN276" s="20">
        <v>0</v>
      </c>
      <c r="AO276" s="20">
        <v>0</v>
      </c>
      <c r="AP276" s="20">
        <v>0</v>
      </c>
      <c r="AR276" s="20">
        <v>0</v>
      </c>
      <c r="AS276" s="20">
        <v>0</v>
      </c>
      <c r="AT276" s="20">
        <v>1017879.44</v>
      </c>
      <c r="AU276" s="20" t="s">
        <v>13</v>
      </c>
      <c r="AV276" s="20" t="s">
        <v>80</v>
      </c>
      <c r="AW276" s="20" t="s">
        <v>81</v>
      </c>
      <c r="AX276" s="20" t="s">
        <v>208</v>
      </c>
      <c r="AY276" s="20" t="s">
        <v>209</v>
      </c>
      <c r="AZ276" s="20">
        <v>0</v>
      </c>
      <c r="BA276" s="20">
        <v>269234.94</v>
      </c>
      <c r="BB276" s="20">
        <v>914</v>
      </c>
      <c r="BC276" s="20" t="s">
        <v>3124</v>
      </c>
      <c r="BD276" s="20" t="s">
        <v>65</v>
      </c>
      <c r="BE276" s="20" t="s">
        <v>210</v>
      </c>
      <c r="BF276" s="20" t="s">
        <v>210</v>
      </c>
      <c r="BG276" s="20">
        <v>9</v>
      </c>
      <c r="BH276" s="20">
        <v>24231.14</v>
      </c>
      <c r="BI276" s="20">
        <v>9</v>
      </c>
      <c r="BJ276" s="20">
        <v>24231.14</v>
      </c>
      <c r="BK276" s="20">
        <v>0</v>
      </c>
      <c r="BL276" s="20">
        <v>0</v>
      </c>
      <c r="BM276" s="20">
        <v>0</v>
      </c>
      <c r="BN276" s="20">
        <v>612148391450</v>
      </c>
      <c r="BO276" s="111">
        <v>46223</v>
      </c>
      <c r="BP276" s="20">
        <v>0</v>
      </c>
    </row>
    <row r="277" spans="2:68">
      <c r="B277" s="20" t="s">
        <v>2216</v>
      </c>
      <c r="C277" s="20" t="s">
        <v>3124</v>
      </c>
      <c r="D277" s="20" t="s">
        <v>3734</v>
      </c>
      <c r="E277" s="20" t="s">
        <v>20</v>
      </c>
      <c r="F277" s="20" t="s">
        <v>21</v>
      </c>
      <c r="H277" s="20" t="s">
        <v>3735</v>
      </c>
      <c r="I277" s="20">
        <v>1193</v>
      </c>
      <c r="J277" s="20">
        <v>1193</v>
      </c>
      <c r="K277" s="20" t="s">
        <v>11</v>
      </c>
      <c r="L277" s="20">
        <v>1193</v>
      </c>
      <c r="M277" s="20">
        <v>0</v>
      </c>
      <c r="N277" s="20">
        <v>1193</v>
      </c>
      <c r="O277" s="20" t="s">
        <v>2203</v>
      </c>
      <c r="P277" s="20" t="s">
        <v>87</v>
      </c>
      <c r="Q277" s="20" t="s">
        <v>87</v>
      </c>
      <c r="R277" s="20" t="s">
        <v>3147</v>
      </c>
      <c r="S277" s="111" t="s">
        <v>3124</v>
      </c>
      <c r="T277" s="20" t="s">
        <v>206</v>
      </c>
      <c r="U277" s="20" t="s">
        <v>207</v>
      </c>
      <c r="V277" s="20" t="s">
        <v>3146</v>
      </c>
      <c r="W277" s="20">
        <v>148.49</v>
      </c>
      <c r="X277" s="20">
        <v>148.49</v>
      </c>
      <c r="Y277" s="20" t="s">
        <v>3147</v>
      </c>
      <c r="Z277" s="111" t="s">
        <v>3124</v>
      </c>
      <c r="AB277" s="20" t="s">
        <v>2376</v>
      </c>
      <c r="AD277" s="20" t="s">
        <v>2376</v>
      </c>
      <c r="AE277" s="20" t="s">
        <v>2376</v>
      </c>
      <c r="AF277" s="20">
        <v>0</v>
      </c>
      <c r="AG277" s="20">
        <v>0</v>
      </c>
      <c r="AH277" s="20">
        <v>0</v>
      </c>
      <c r="AI277" s="20">
        <v>0</v>
      </c>
      <c r="AJ277" s="20">
        <v>0</v>
      </c>
      <c r="AK277" s="20" t="s">
        <v>609</v>
      </c>
      <c r="AL277" s="20">
        <v>0</v>
      </c>
      <c r="AM277" s="20">
        <v>0</v>
      </c>
      <c r="AN277" s="20">
        <v>0</v>
      </c>
      <c r="AO277" s="20">
        <v>0</v>
      </c>
      <c r="AP277" s="20">
        <v>0</v>
      </c>
      <c r="AR277" s="20">
        <v>0</v>
      </c>
      <c r="AS277" s="20">
        <v>0</v>
      </c>
      <c r="AT277" s="20">
        <v>1017879.44</v>
      </c>
      <c r="AU277" s="20" t="s">
        <v>13</v>
      </c>
      <c r="AV277" s="20" t="s">
        <v>62</v>
      </c>
      <c r="AW277" s="20" t="s">
        <v>76</v>
      </c>
      <c r="AX277" s="20" t="s">
        <v>208</v>
      </c>
      <c r="AY277" s="20" t="s">
        <v>209</v>
      </c>
      <c r="AZ277" s="20">
        <v>0</v>
      </c>
      <c r="BA277" s="20">
        <v>177148.57</v>
      </c>
      <c r="BB277" s="20">
        <v>914</v>
      </c>
      <c r="BC277" s="20" t="s">
        <v>3124</v>
      </c>
      <c r="BD277" s="20" t="s">
        <v>65</v>
      </c>
      <c r="BE277" s="20" t="s">
        <v>210</v>
      </c>
      <c r="BF277" s="20" t="s">
        <v>210</v>
      </c>
      <c r="BG277" s="20">
        <v>9</v>
      </c>
      <c r="BH277" s="20">
        <v>15943.37</v>
      </c>
      <c r="BI277" s="20">
        <v>9</v>
      </c>
      <c r="BJ277" s="20">
        <v>15943.37</v>
      </c>
      <c r="BK277" s="20">
        <v>0</v>
      </c>
      <c r="BL277" s="20">
        <v>0</v>
      </c>
      <c r="BM277" s="20">
        <v>0</v>
      </c>
      <c r="BN277" s="20">
        <v>612148391450</v>
      </c>
      <c r="BO277" s="111">
        <v>46223</v>
      </c>
      <c r="BP277" s="20">
        <v>0</v>
      </c>
    </row>
    <row r="278" spans="2:68">
      <c r="B278" s="20" t="s">
        <v>2216</v>
      </c>
      <c r="C278" s="20" t="s">
        <v>3124</v>
      </c>
      <c r="D278" s="20" t="s">
        <v>3734</v>
      </c>
      <c r="E278" s="20" t="s">
        <v>20</v>
      </c>
      <c r="F278" s="20" t="s">
        <v>21</v>
      </c>
      <c r="H278" s="20" t="s">
        <v>3735</v>
      </c>
      <c r="I278" s="20">
        <v>305</v>
      </c>
      <c r="J278" s="20">
        <v>305</v>
      </c>
      <c r="K278" s="20" t="s">
        <v>11</v>
      </c>
      <c r="L278" s="20">
        <v>305</v>
      </c>
      <c r="M278" s="20">
        <v>0</v>
      </c>
      <c r="N278" s="20">
        <v>305</v>
      </c>
      <c r="O278" s="20" t="s">
        <v>2203</v>
      </c>
      <c r="P278" s="20" t="s">
        <v>87</v>
      </c>
      <c r="Q278" s="20" t="s">
        <v>87</v>
      </c>
      <c r="R278" s="20" t="s">
        <v>3147</v>
      </c>
      <c r="S278" s="111" t="s">
        <v>3124</v>
      </c>
      <c r="T278" s="20" t="s">
        <v>206</v>
      </c>
      <c r="U278" s="20" t="s">
        <v>207</v>
      </c>
      <c r="V278" s="20" t="s">
        <v>3146</v>
      </c>
      <c r="W278" s="20">
        <v>151.49</v>
      </c>
      <c r="X278" s="20">
        <v>151.49</v>
      </c>
      <c r="Y278" s="20" t="s">
        <v>3147</v>
      </c>
      <c r="Z278" s="111" t="s">
        <v>3124</v>
      </c>
      <c r="AB278" s="20" t="s">
        <v>2376</v>
      </c>
      <c r="AD278" s="20" t="s">
        <v>2376</v>
      </c>
      <c r="AE278" s="20" t="s">
        <v>2376</v>
      </c>
      <c r="AF278" s="20">
        <v>0</v>
      </c>
      <c r="AG278" s="20">
        <v>0</v>
      </c>
      <c r="AH278" s="20">
        <v>0</v>
      </c>
      <c r="AI278" s="20">
        <v>0</v>
      </c>
      <c r="AJ278" s="20">
        <v>0</v>
      </c>
      <c r="AK278" s="20" t="s">
        <v>609</v>
      </c>
      <c r="AL278" s="20">
        <v>0</v>
      </c>
      <c r="AM278" s="20">
        <v>0</v>
      </c>
      <c r="AN278" s="20">
        <v>0</v>
      </c>
      <c r="AO278" s="20">
        <v>0</v>
      </c>
      <c r="AP278" s="20">
        <v>0</v>
      </c>
      <c r="AR278" s="20">
        <v>0</v>
      </c>
      <c r="AS278" s="20">
        <v>0</v>
      </c>
      <c r="AT278" s="20">
        <v>1017879.44</v>
      </c>
      <c r="AU278" s="20" t="s">
        <v>13</v>
      </c>
      <c r="AV278" s="20" t="s">
        <v>62</v>
      </c>
      <c r="AW278" s="20" t="s">
        <v>76</v>
      </c>
      <c r="AX278" s="20" t="s">
        <v>208</v>
      </c>
      <c r="AY278" s="20" t="s">
        <v>209</v>
      </c>
      <c r="AZ278" s="20">
        <v>0</v>
      </c>
      <c r="BA278" s="20">
        <v>46204.45</v>
      </c>
      <c r="BB278" s="20">
        <v>914</v>
      </c>
      <c r="BC278" s="20" t="s">
        <v>3124</v>
      </c>
      <c r="BD278" s="20" t="s">
        <v>65</v>
      </c>
      <c r="BE278" s="20" t="s">
        <v>210</v>
      </c>
      <c r="BF278" s="20" t="s">
        <v>210</v>
      </c>
      <c r="BG278" s="20">
        <v>9</v>
      </c>
      <c r="BH278" s="20">
        <v>4158.3999999999996</v>
      </c>
      <c r="BI278" s="20">
        <v>9</v>
      </c>
      <c r="BJ278" s="20">
        <v>4158.3999999999996</v>
      </c>
      <c r="BK278" s="20">
        <v>0</v>
      </c>
      <c r="BL278" s="20">
        <v>0</v>
      </c>
      <c r="BM278" s="20">
        <v>0</v>
      </c>
      <c r="BN278" s="20">
        <v>612148391450</v>
      </c>
      <c r="BO278" s="111">
        <v>46223</v>
      </c>
      <c r="BP278" s="20">
        <v>0</v>
      </c>
    </row>
    <row r="279" spans="2:68">
      <c r="B279" s="20" t="s">
        <v>2216</v>
      </c>
      <c r="C279" s="20" t="s">
        <v>3124</v>
      </c>
      <c r="D279" s="20" t="s">
        <v>3734</v>
      </c>
      <c r="E279" s="20" t="s">
        <v>23</v>
      </c>
      <c r="F279" s="20" t="s">
        <v>24</v>
      </c>
      <c r="H279" s="20" t="s">
        <v>3735</v>
      </c>
      <c r="I279" s="20">
        <v>159.30000000000001</v>
      </c>
      <c r="J279" s="20">
        <v>159.30000000000001</v>
      </c>
      <c r="K279" s="20" t="s">
        <v>11</v>
      </c>
      <c r="L279" s="20">
        <v>159.30000000000001</v>
      </c>
      <c r="M279" s="20">
        <v>0</v>
      </c>
      <c r="N279" s="20">
        <v>159.30000000000001</v>
      </c>
      <c r="O279" s="20" t="s">
        <v>2203</v>
      </c>
      <c r="P279" s="20" t="s">
        <v>87</v>
      </c>
      <c r="Q279" s="20" t="s">
        <v>87</v>
      </c>
      <c r="R279" s="20" t="s">
        <v>3147</v>
      </c>
      <c r="S279" s="111" t="s">
        <v>3124</v>
      </c>
      <c r="T279" s="20" t="s">
        <v>206</v>
      </c>
      <c r="U279" s="20" t="s">
        <v>207</v>
      </c>
      <c r="V279" s="20" t="s">
        <v>3146</v>
      </c>
      <c r="W279" s="20">
        <v>170.49</v>
      </c>
      <c r="X279" s="20">
        <v>170.49</v>
      </c>
      <c r="Y279" s="20" t="s">
        <v>3147</v>
      </c>
      <c r="Z279" s="111" t="s">
        <v>3124</v>
      </c>
      <c r="AB279" s="20" t="s">
        <v>2376</v>
      </c>
      <c r="AD279" s="20" t="s">
        <v>2376</v>
      </c>
      <c r="AE279" s="20" t="s">
        <v>2376</v>
      </c>
      <c r="AF279" s="20">
        <v>0</v>
      </c>
      <c r="AG279" s="20">
        <v>0</v>
      </c>
      <c r="AH279" s="20">
        <v>0</v>
      </c>
      <c r="AI279" s="20">
        <v>0</v>
      </c>
      <c r="AJ279" s="20">
        <v>0</v>
      </c>
      <c r="AK279" s="20" t="s">
        <v>609</v>
      </c>
      <c r="AL279" s="20">
        <v>0</v>
      </c>
      <c r="AM279" s="20">
        <v>0</v>
      </c>
      <c r="AN279" s="20">
        <v>0</v>
      </c>
      <c r="AO279" s="20">
        <v>0</v>
      </c>
      <c r="AP279" s="20">
        <v>0</v>
      </c>
      <c r="AR279" s="20">
        <v>0</v>
      </c>
      <c r="AS279" s="20">
        <v>0</v>
      </c>
      <c r="AT279" s="20">
        <v>1017879.44</v>
      </c>
      <c r="AU279" s="20" t="s">
        <v>13</v>
      </c>
      <c r="AV279" s="20" t="s">
        <v>24</v>
      </c>
      <c r="AW279" s="20" t="s">
        <v>79</v>
      </c>
      <c r="AX279" s="20" t="s">
        <v>208</v>
      </c>
      <c r="AY279" s="20" t="s">
        <v>209</v>
      </c>
      <c r="AZ279" s="20">
        <v>0</v>
      </c>
      <c r="BA279" s="20">
        <v>27159.06</v>
      </c>
      <c r="BB279" s="20">
        <v>914</v>
      </c>
      <c r="BC279" s="20" t="s">
        <v>3124</v>
      </c>
      <c r="BD279" s="20" t="s">
        <v>65</v>
      </c>
      <c r="BE279" s="20" t="s">
        <v>210</v>
      </c>
      <c r="BF279" s="20" t="s">
        <v>210</v>
      </c>
      <c r="BG279" s="20">
        <v>9</v>
      </c>
      <c r="BH279" s="20">
        <v>2444.3200000000002</v>
      </c>
      <c r="BI279" s="20">
        <v>9</v>
      </c>
      <c r="BJ279" s="20">
        <v>2444.3200000000002</v>
      </c>
      <c r="BK279" s="20">
        <v>0</v>
      </c>
      <c r="BL279" s="20">
        <v>0</v>
      </c>
      <c r="BM279" s="20">
        <v>0</v>
      </c>
      <c r="BN279" s="20">
        <v>612148391450</v>
      </c>
      <c r="BO279" s="111">
        <v>46223</v>
      </c>
      <c r="BP279" s="20">
        <v>0</v>
      </c>
    </row>
    <row r="280" spans="2:68">
      <c r="B280" s="20" t="s">
        <v>2216</v>
      </c>
      <c r="C280" s="20" t="s">
        <v>3124</v>
      </c>
      <c r="D280" s="20" t="s">
        <v>3734</v>
      </c>
      <c r="E280" s="20" t="s">
        <v>23</v>
      </c>
      <c r="F280" s="20" t="s">
        <v>24</v>
      </c>
      <c r="H280" s="20" t="s">
        <v>3735</v>
      </c>
      <c r="I280" s="20">
        <v>164.6</v>
      </c>
      <c r="J280" s="20">
        <v>164.6</v>
      </c>
      <c r="K280" s="20" t="s">
        <v>11</v>
      </c>
      <c r="L280" s="20">
        <v>164.6</v>
      </c>
      <c r="M280" s="20">
        <v>0</v>
      </c>
      <c r="N280" s="20">
        <v>164.6</v>
      </c>
      <c r="O280" s="20" t="s">
        <v>2203</v>
      </c>
      <c r="P280" s="20" t="s">
        <v>87</v>
      </c>
      <c r="Q280" s="20" t="s">
        <v>87</v>
      </c>
      <c r="R280" s="20" t="s">
        <v>3147</v>
      </c>
      <c r="S280" s="111" t="s">
        <v>3124</v>
      </c>
      <c r="T280" s="20" t="s">
        <v>206</v>
      </c>
      <c r="U280" s="20" t="s">
        <v>207</v>
      </c>
      <c r="V280" s="20" t="s">
        <v>3146</v>
      </c>
      <c r="W280" s="20">
        <v>149.49</v>
      </c>
      <c r="X280" s="20">
        <v>149.49</v>
      </c>
      <c r="Y280" s="20" t="s">
        <v>3147</v>
      </c>
      <c r="Z280" s="111" t="s">
        <v>3124</v>
      </c>
      <c r="AB280" s="20" t="s">
        <v>2376</v>
      </c>
      <c r="AD280" s="20" t="s">
        <v>2376</v>
      </c>
      <c r="AE280" s="20" t="s">
        <v>2376</v>
      </c>
      <c r="AF280" s="20">
        <v>0</v>
      </c>
      <c r="AG280" s="20">
        <v>0</v>
      </c>
      <c r="AH280" s="20">
        <v>0</v>
      </c>
      <c r="AI280" s="20">
        <v>0</v>
      </c>
      <c r="AJ280" s="20">
        <v>0</v>
      </c>
      <c r="AK280" s="20" t="s">
        <v>609</v>
      </c>
      <c r="AL280" s="20">
        <v>0</v>
      </c>
      <c r="AM280" s="20">
        <v>0</v>
      </c>
      <c r="AN280" s="20">
        <v>0</v>
      </c>
      <c r="AO280" s="20">
        <v>0</v>
      </c>
      <c r="AP280" s="20">
        <v>0</v>
      </c>
      <c r="AR280" s="20">
        <v>0</v>
      </c>
      <c r="AS280" s="20">
        <v>0</v>
      </c>
      <c r="AT280" s="20">
        <v>1017879.44</v>
      </c>
      <c r="AU280" s="20" t="s">
        <v>13</v>
      </c>
      <c r="AV280" s="20" t="s">
        <v>24</v>
      </c>
      <c r="AW280" s="20" t="s">
        <v>79</v>
      </c>
      <c r="AX280" s="20" t="s">
        <v>208</v>
      </c>
      <c r="AY280" s="20" t="s">
        <v>209</v>
      </c>
      <c r="AZ280" s="20">
        <v>0</v>
      </c>
      <c r="BA280" s="20">
        <v>24606.05</v>
      </c>
      <c r="BB280" s="20">
        <v>914</v>
      </c>
      <c r="BC280" s="20" t="s">
        <v>3124</v>
      </c>
      <c r="BD280" s="20" t="s">
        <v>65</v>
      </c>
      <c r="BE280" s="20" t="s">
        <v>210</v>
      </c>
      <c r="BF280" s="20" t="s">
        <v>210</v>
      </c>
      <c r="BG280" s="20">
        <v>9</v>
      </c>
      <c r="BH280" s="20">
        <v>2214.54</v>
      </c>
      <c r="BI280" s="20">
        <v>9</v>
      </c>
      <c r="BJ280" s="20">
        <v>2214.54</v>
      </c>
      <c r="BK280" s="20">
        <v>0</v>
      </c>
      <c r="BL280" s="20">
        <v>0</v>
      </c>
      <c r="BM280" s="20">
        <v>0</v>
      </c>
      <c r="BN280" s="20">
        <v>612148391450</v>
      </c>
      <c r="BO280" s="111">
        <v>46223</v>
      </c>
      <c r="BP280" s="20">
        <v>0</v>
      </c>
    </row>
    <row r="281" spans="2:68">
      <c r="B281" s="20" t="s">
        <v>2216</v>
      </c>
      <c r="C281" s="20" t="s">
        <v>3124</v>
      </c>
      <c r="D281" s="20" t="s">
        <v>3734</v>
      </c>
      <c r="E281" s="20" t="s">
        <v>23</v>
      </c>
      <c r="F281" s="20" t="s">
        <v>24</v>
      </c>
      <c r="H281" s="20" t="s">
        <v>3735</v>
      </c>
      <c r="I281" s="20">
        <v>182.1</v>
      </c>
      <c r="J281" s="20">
        <v>182.1</v>
      </c>
      <c r="K281" s="20" t="s">
        <v>11</v>
      </c>
      <c r="L281" s="20">
        <v>182.1</v>
      </c>
      <c r="M281" s="20">
        <v>0</v>
      </c>
      <c r="N281" s="20">
        <v>182.1</v>
      </c>
      <c r="O281" s="20" t="s">
        <v>2203</v>
      </c>
      <c r="P281" s="20" t="s">
        <v>87</v>
      </c>
      <c r="Q281" s="20" t="s">
        <v>87</v>
      </c>
      <c r="R281" s="20" t="s">
        <v>3147</v>
      </c>
      <c r="S281" s="111" t="s">
        <v>3124</v>
      </c>
      <c r="T281" s="20" t="s">
        <v>206</v>
      </c>
      <c r="U281" s="20" t="s">
        <v>207</v>
      </c>
      <c r="V281" s="20" t="s">
        <v>3146</v>
      </c>
      <c r="W281" s="20">
        <v>146.49</v>
      </c>
      <c r="X281" s="20">
        <v>146.49</v>
      </c>
      <c r="Y281" s="20" t="s">
        <v>3147</v>
      </c>
      <c r="Z281" s="111" t="s">
        <v>3124</v>
      </c>
      <c r="AB281" s="20" t="s">
        <v>2376</v>
      </c>
      <c r="AD281" s="20" t="s">
        <v>2376</v>
      </c>
      <c r="AE281" s="20" t="s">
        <v>2376</v>
      </c>
      <c r="AF281" s="20">
        <v>0</v>
      </c>
      <c r="AG281" s="20">
        <v>0</v>
      </c>
      <c r="AH281" s="20">
        <v>0</v>
      </c>
      <c r="AI281" s="20">
        <v>0</v>
      </c>
      <c r="AJ281" s="20">
        <v>0</v>
      </c>
      <c r="AK281" s="20" t="s">
        <v>609</v>
      </c>
      <c r="AL281" s="20">
        <v>0</v>
      </c>
      <c r="AM281" s="20">
        <v>0</v>
      </c>
      <c r="AN281" s="20">
        <v>0</v>
      </c>
      <c r="AO281" s="20">
        <v>0</v>
      </c>
      <c r="AP281" s="20">
        <v>0</v>
      </c>
      <c r="AR281" s="20">
        <v>0</v>
      </c>
      <c r="AS281" s="20">
        <v>0</v>
      </c>
      <c r="AT281" s="20">
        <v>1017879.44</v>
      </c>
      <c r="AU281" s="20" t="s">
        <v>13</v>
      </c>
      <c r="AV281" s="20" t="s">
        <v>24</v>
      </c>
      <c r="AW281" s="20" t="s">
        <v>79</v>
      </c>
      <c r="AX281" s="20" t="s">
        <v>208</v>
      </c>
      <c r="AY281" s="20" t="s">
        <v>209</v>
      </c>
      <c r="AZ281" s="20">
        <v>0</v>
      </c>
      <c r="BA281" s="20">
        <v>26675.83</v>
      </c>
      <c r="BB281" s="20">
        <v>914</v>
      </c>
      <c r="BC281" s="20" t="s">
        <v>3124</v>
      </c>
      <c r="BD281" s="20" t="s">
        <v>65</v>
      </c>
      <c r="BE281" s="20" t="s">
        <v>210</v>
      </c>
      <c r="BF281" s="20" t="s">
        <v>210</v>
      </c>
      <c r="BG281" s="20">
        <v>9</v>
      </c>
      <c r="BH281" s="20">
        <v>2400.8200000000002</v>
      </c>
      <c r="BI281" s="20">
        <v>9</v>
      </c>
      <c r="BJ281" s="20">
        <v>2400.8200000000002</v>
      </c>
      <c r="BK281" s="20">
        <v>0</v>
      </c>
      <c r="BL281" s="20">
        <v>0</v>
      </c>
      <c r="BM281" s="20">
        <v>0</v>
      </c>
      <c r="BN281" s="20">
        <v>612148391450</v>
      </c>
      <c r="BO281" s="111">
        <v>46223</v>
      </c>
      <c r="BP281" s="20">
        <v>0</v>
      </c>
    </row>
    <row r="282" spans="2:68">
      <c r="B282" s="20" t="s">
        <v>2216</v>
      </c>
      <c r="C282" s="20" t="s">
        <v>3153</v>
      </c>
      <c r="D282" s="20" t="s">
        <v>3736</v>
      </c>
      <c r="E282" s="20" t="s">
        <v>18</v>
      </c>
      <c r="F282" s="20" t="s">
        <v>19</v>
      </c>
      <c r="H282" s="20" t="s">
        <v>3737</v>
      </c>
      <c r="I282" s="20">
        <v>239</v>
      </c>
      <c r="J282" s="20">
        <v>239</v>
      </c>
      <c r="K282" s="20" t="s">
        <v>11</v>
      </c>
      <c r="L282" s="20">
        <v>239</v>
      </c>
      <c r="M282" s="20">
        <v>0</v>
      </c>
      <c r="N282" s="20">
        <v>239</v>
      </c>
      <c r="O282" s="20" t="s">
        <v>2201</v>
      </c>
      <c r="P282" s="20" t="s">
        <v>87</v>
      </c>
      <c r="Q282" s="20" t="s">
        <v>87</v>
      </c>
      <c r="R282" s="20" t="s">
        <v>3161</v>
      </c>
      <c r="S282" s="20" t="s">
        <v>3153</v>
      </c>
      <c r="T282" s="20" t="s">
        <v>206</v>
      </c>
      <c r="U282" s="20" t="s">
        <v>207</v>
      </c>
      <c r="V282" s="20" t="s">
        <v>3160</v>
      </c>
      <c r="W282" s="20">
        <v>144.49</v>
      </c>
      <c r="X282" s="20">
        <v>144.49</v>
      </c>
      <c r="Y282" s="20" t="s">
        <v>3161</v>
      </c>
      <c r="Z282" s="20" t="s">
        <v>3153</v>
      </c>
      <c r="AB282" s="20" t="s">
        <v>2376</v>
      </c>
      <c r="AD282" s="20" t="s">
        <v>2376</v>
      </c>
      <c r="AE282" s="20" t="s">
        <v>2376</v>
      </c>
      <c r="AF282" s="20">
        <v>0</v>
      </c>
      <c r="AG282" s="20">
        <v>0</v>
      </c>
      <c r="AH282" s="20">
        <v>0</v>
      </c>
      <c r="AI282" s="20">
        <v>0</v>
      </c>
      <c r="AJ282" s="20">
        <v>0</v>
      </c>
      <c r="AK282" s="20" t="s">
        <v>609</v>
      </c>
      <c r="AL282" s="20">
        <v>0</v>
      </c>
      <c r="AM282" s="20">
        <v>0</v>
      </c>
      <c r="AN282" s="20">
        <v>0</v>
      </c>
      <c r="AO282" s="20">
        <v>0</v>
      </c>
      <c r="AP282" s="20">
        <v>0</v>
      </c>
      <c r="AR282" s="20">
        <v>0</v>
      </c>
      <c r="AS282" s="20">
        <v>0</v>
      </c>
      <c r="AT282" s="20">
        <v>40749.07</v>
      </c>
      <c r="AU282" s="20" t="s">
        <v>13</v>
      </c>
      <c r="AV282" s="20" t="s">
        <v>62</v>
      </c>
      <c r="AW282" s="20" t="s">
        <v>63</v>
      </c>
      <c r="AX282" s="20" t="s">
        <v>208</v>
      </c>
      <c r="AY282" s="20" t="s">
        <v>209</v>
      </c>
      <c r="AZ282" s="20">
        <v>0</v>
      </c>
      <c r="BA282" s="20">
        <v>34533.11</v>
      </c>
      <c r="BB282" s="20">
        <v>916</v>
      </c>
      <c r="BC282" s="20" t="s">
        <v>3153</v>
      </c>
      <c r="BD282" s="20" t="s">
        <v>65</v>
      </c>
      <c r="BE282" s="20" t="s">
        <v>210</v>
      </c>
      <c r="BF282" s="20" t="s">
        <v>210</v>
      </c>
      <c r="BG282" s="20">
        <v>9</v>
      </c>
      <c r="BH282" s="20">
        <v>3107.98</v>
      </c>
      <c r="BI282" s="20">
        <v>9</v>
      </c>
      <c r="BJ282" s="20">
        <v>3107.98</v>
      </c>
      <c r="BK282" s="20">
        <v>0</v>
      </c>
      <c r="BL282" s="20">
        <v>0</v>
      </c>
      <c r="BM282" s="20">
        <v>40749.07</v>
      </c>
      <c r="BN282" s="20">
        <v>602148829226</v>
      </c>
      <c r="BO282" s="111">
        <v>46224</v>
      </c>
      <c r="BP282" s="20">
        <v>0</v>
      </c>
    </row>
    <row r="283" spans="2:68">
      <c r="B283" s="20" t="s">
        <v>2216</v>
      </c>
      <c r="C283" s="20" t="s">
        <v>3153</v>
      </c>
      <c r="D283" s="20" t="s">
        <v>3738</v>
      </c>
      <c r="E283" s="20" t="s">
        <v>18</v>
      </c>
      <c r="F283" s="20" t="s">
        <v>19</v>
      </c>
      <c r="H283" s="20" t="s">
        <v>3737</v>
      </c>
      <c r="I283" s="20">
        <v>1072</v>
      </c>
      <c r="J283" s="20">
        <v>1072</v>
      </c>
      <c r="K283" s="20" t="s">
        <v>11</v>
      </c>
      <c r="L283" s="20">
        <v>1072</v>
      </c>
      <c r="M283" s="20">
        <v>0</v>
      </c>
      <c r="N283" s="20">
        <v>1072</v>
      </c>
      <c r="O283" s="20" t="s">
        <v>2201</v>
      </c>
      <c r="P283" s="20" t="s">
        <v>87</v>
      </c>
      <c r="Q283" s="20" t="s">
        <v>87</v>
      </c>
      <c r="R283" s="20" t="s">
        <v>3163</v>
      </c>
      <c r="S283" s="20" t="s">
        <v>3153</v>
      </c>
      <c r="T283" s="20" t="s">
        <v>206</v>
      </c>
      <c r="U283" s="20" t="s">
        <v>207</v>
      </c>
      <c r="V283" s="20" t="s">
        <v>3162</v>
      </c>
      <c r="W283" s="20">
        <v>146.49</v>
      </c>
      <c r="X283" s="20">
        <v>146.49</v>
      </c>
      <c r="Y283" s="20" t="s">
        <v>3163</v>
      </c>
      <c r="Z283" s="20" t="s">
        <v>3153</v>
      </c>
      <c r="AB283" s="20" t="s">
        <v>2376</v>
      </c>
      <c r="AD283" s="20" t="s">
        <v>2376</v>
      </c>
      <c r="AE283" s="20" t="s">
        <v>2376</v>
      </c>
      <c r="AF283" s="20">
        <v>0</v>
      </c>
      <c r="AG283" s="20">
        <v>0</v>
      </c>
      <c r="AH283" s="20">
        <v>0</v>
      </c>
      <c r="AI283" s="20">
        <v>0</v>
      </c>
      <c r="AJ283" s="20">
        <v>0</v>
      </c>
      <c r="AK283" s="20" t="s">
        <v>609</v>
      </c>
      <c r="AL283" s="20">
        <v>0</v>
      </c>
      <c r="AM283" s="20">
        <v>0</v>
      </c>
      <c r="AN283" s="20">
        <v>0</v>
      </c>
      <c r="AO283" s="20">
        <v>0</v>
      </c>
      <c r="AP283" s="20">
        <v>0</v>
      </c>
      <c r="AR283" s="20">
        <v>0</v>
      </c>
      <c r="AS283" s="20">
        <v>0</v>
      </c>
      <c r="AT283" s="20">
        <v>1419512.29</v>
      </c>
      <c r="AU283" s="20" t="s">
        <v>13</v>
      </c>
      <c r="AV283" s="20" t="s">
        <v>62</v>
      </c>
      <c r="AW283" s="20" t="s">
        <v>63</v>
      </c>
      <c r="AX283" s="20" t="s">
        <v>208</v>
      </c>
      <c r="AY283" s="20" t="s">
        <v>209</v>
      </c>
      <c r="AZ283" s="20">
        <v>0</v>
      </c>
      <c r="BA283" s="20">
        <v>157037.28</v>
      </c>
      <c r="BB283" s="20">
        <v>917</v>
      </c>
      <c r="BC283" s="20" t="s">
        <v>3153</v>
      </c>
      <c r="BD283" s="20" t="s">
        <v>65</v>
      </c>
      <c r="BE283" s="20" t="s">
        <v>210</v>
      </c>
      <c r="BF283" s="20" t="s">
        <v>210</v>
      </c>
      <c r="BG283" s="20">
        <v>9</v>
      </c>
      <c r="BH283" s="20">
        <v>14133.36</v>
      </c>
      <c r="BI283" s="20">
        <v>9</v>
      </c>
      <c r="BJ283" s="20">
        <v>14133.36</v>
      </c>
      <c r="BK283" s="20">
        <v>0</v>
      </c>
      <c r="BL283" s="20">
        <v>0</v>
      </c>
      <c r="BM283" s="20">
        <v>1419512.29</v>
      </c>
      <c r="BN283" s="20">
        <v>642148828577</v>
      </c>
      <c r="BO283" s="111">
        <v>46224</v>
      </c>
      <c r="BP283" s="20">
        <v>0</v>
      </c>
    </row>
    <row r="284" spans="2:68">
      <c r="B284" s="20" t="s">
        <v>2216</v>
      </c>
      <c r="C284" s="20" t="s">
        <v>3153</v>
      </c>
      <c r="D284" s="20" t="s">
        <v>3738</v>
      </c>
      <c r="E284" s="20" t="s">
        <v>18</v>
      </c>
      <c r="F284" s="20" t="s">
        <v>19</v>
      </c>
      <c r="H284" s="20" t="s">
        <v>3737</v>
      </c>
      <c r="I284" s="20">
        <v>570</v>
      </c>
      <c r="J284" s="20">
        <v>570</v>
      </c>
      <c r="K284" s="20" t="s">
        <v>11</v>
      </c>
      <c r="L284" s="20">
        <v>570</v>
      </c>
      <c r="M284" s="20">
        <v>0</v>
      </c>
      <c r="N284" s="20">
        <v>570</v>
      </c>
      <c r="O284" s="20" t="s">
        <v>2201</v>
      </c>
      <c r="P284" s="20" t="s">
        <v>87</v>
      </c>
      <c r="Q284" s="20" t="s">
        <v>87</v>
      </c>
      <c r="R284" s="20" t="s">
        <v>3163</v>
      </c>
      <c r="S284" s="20" t="s">
        <v>3153</v>
      </c>
      <c r="T284" s="20" t="s">
        <v>206</v>
      </c>
      <c r="U284" s="20" t="s">
        <v>207</v>
      </c>
      <c r="V284" s="20" t="s">
        <v>3162</v>
      </c>
      <c r="W284" s="20">
        <v>147.49</v>
      </c>
      <c r="X284" s="20">
        <v>147.49</v>
      </c>
      <c r="Y284" s="20" t="s">
        <v>3163</v>
      </c>
      <c r="Z284" s="20" t="s">
        <v>3153</v>
      </c>
      <c r="AB284" s="20" t="s">
        <v>2376</v>
      </c>
      <c r="AD284" s="20" t="s">
        <v>2376</v>
      </c>
      <c r="AE284" s="20" t="s">
        <v>2376</v>
      </c>
      <c r="AF284" s="20">
        <v>0</v>
      </c>
      <c r="AG284" s="20">
        <v>0</v>
      </c>
      <c r="AH284" s="20">
        <v>0</v>
      </c>
      <c r="AI284" s="20">
        <v>0</v>
      </c>
      <c r="AJ284" s="20">
        <v>0</v>
      </c>
      <c r="AK284" s="20" t="s">
        <v>609</v>
      </c>
      <c r="AL284" s="20">
        <v>0</v>
      </c>
      <c r="AM284" s="20">
        <v>0</v>
      </c>
      <c r="AN284" s="20">
        <v>0</v>
      </c>
      <c r="AO284" s="20">
        <v>0</v>
      </c>
      <c r="AP284" s="20">
        <v>0</v>
      </c>
      <c r="AR284" s="20">
        <v>0</v>
      </c>
      <c r="AS284" s="20">
        <v>0</v>
      </c>
      <c r="AT284" s="20">
        <v>1419512.29</v>
      </c>
      <c r="AU284" s="20" t="s">
        <v>13</v>
      </c>
      <c r="AV284" s="20" t="s">
        <v>62</v>
      </c>
      <c r="AW284" s="20" t="s">
        <v>63</v>
      </c>
      <c r="AX284" s="20" t="s">
        <v>208</v>
      </c>
      <c r="AY284" s="20" t="s">
        <v>209</v>
      </c>
      <c r="AZ284" s="20">
        <v>0</v>
      </c>
      <c r="BA284" s="20">
        <v>84069.3</v>
      </c>
      <c r="BB284" s="20">
        <v>917</v>
      </c>
      <c r="BC284" s="20" t="s">
        <v>3153</v>
      </c>
      <c r="BD284" s="20" t="s">
        <v>65</v>
      </c>
      <c r="BE284" s="20" t="s">
        <v>210</v>
      </c>
      <c r="BF284" s="20" t="s">
        <v>210</v>
      </c>
      <c r="BG284" s="20">
        <v>9</v>
      </c>
      <c r="BH284" s="20">
        <v>7566.24</v>
      </c>
      <c r="BI284" s="20">
        <v>9</v>
      </c>
      <c r="BJ284" s="20">
        <v>7566.24</v>
      </c>
      <c r="BK284" s="20">
        <v>0</v>
      </c>
      <c r="BL284" s="20">
        <v>0</v>
      </c>
      <c r="BM284" s="20">
        <v>0</v>
      </c>
      <c r="BN284" s="20">
        <v>642148828577</v>
      </c>
      <c r="BO284" s="111">
        <v>46224</v>
      </c>
      <c r="BP284" s="20">
        <v>0</v>
      </c>
    </row>
    <row r="285" spans="2:68">
      <c r="B285" s="20" t="s">
        <v>2216</v>
      </c>
      <c r="C285" s="20" t="s">
        <v>3153</v>
      </c>
      <c r="D285" s="20" t="s">
        <v>3738</v>
      </c>
      <c r="E285" s="20" t="s">
        <v>18</v>
      </c>
      <c r="F285" s="20" t="s">
        <v>19</v>
      </c>
      <c r="H285" s="20" t="s">
        <v>3737</v>
      </c>
      <c r="I285" s="20">
        <v>6657</v>
      </c>
      <c r="J285" s="20">
        <v>6657</v>
      </c>
      <c r="K285" s="20" t="s">
        <v>11</v>
      </c>
      <c r="L285" s="20">
        <v>6657</v>
      </c>
      <c r="M285" s="20">
        <v>0</v>
      </c>
      <c r="N285" s="20">
        <v>6657</v>
      </c>
      <c r="O285" s="20" t="s">
        <v>2201</v>
      </c>
      <c r="P285" s="20" t="s">
        <v>87</v>
      </c>
      <c r="Q285" s="20" t="s">
        <v>87</v>
      </c>
      <c r="R285" s="20" t="s">
        <v>3163</v>
      </c>
      <c r="S285" s="20" t="s">
        <v>3153</v>
      </c>
      <c r="T285" s="20" t="s">
        <v>206</v>
      </c>
      <c r="U285" s="20" t="s">
        <v>207</v>
      </c>
      <c r="V285" s="20" t="s">
        <v>3162</v>
      </c>
      <c r="W285" s="20">
        <v>144.49</v>
      </c>
      <c r="X285" s="20">
        <v>144.49</v>
      </c>
      <c r="Y285" s="20" t="s">
        <v>3163</v>
      </c>
      <c r="Z285" s="20" t="s">
        <v>3153</v>
      </c>
      <c r="AB285" s="20" t="s">
        <v>2376</v>
      </c>
      <c r="AD285" s="20" t="s">
        <v>2376</v>
      </c>
      <c r="AE285" s="20" t="s">
        <v>2376</v>
      </c>
      <c r="AF285" s="20">
        <v>0</v>
      </c>
      <c r="AG285" s="20">
        <v>0</v>
      </c>
      <c r="AH285" s="20">
        <v>0</v>
      </c>
      <c r="AI285" s="20">
        <v>0</v>
      </c>
      <c r="AJ285" s="20">
        <v>0</v>
      </c>
      <c r="AK285" s="20" t="s">
        <v>609</v>
      </c>
      <c r="AL285" s="20">
        <v>0</v>
      </c>
      <c r="AM285" s="20">
        <v>0</v>
      </c>
      <c r="AN285" s="20">
        <v>0</v>
      </c>
      <c r="AO285" s="20">
        <v>0</v>
      </c>
      <c r="AP285" s="20">
        <v>0</v>
      </c>
      <c r="AR285" s="20">
        <v>0</v>
      </c>
      <c r="AS285" s="20">
        <v>0</v>
      </c>
      <c r="AT285" s="20">
        <v>1419512.29</v>
      </c>
      <c r="AU285" s="20" t="s">
        <v>13</v>
      </c>
      <c r="AV285" s="20" t="s">
        <v>62</v>
      </c>
      <c r="AW285" s="20" t="s">
        <v>63</v>
      </c>
      <c r="AX285" s="20" t="s">
        <v>208</v>
      </c>
      <c r="AY285" s="20" t="s">
        <v>209</v>
      </c>
      <c r="AZ285" s="20">
        <v>0</v>
      </c>
      <c r="BA285" s="20">
        <v>961869.93</v>
      </c>
      <c r="BB285" s="20">
        <v>917</v>
      </c>
      <c r="BC285" s="20" t="s">
        <v>3153</v>
      </c>
      <c r="BD285" s="20" t="s">
        <v>65</v>
      </c>
      <c r="BE285" s="20" t="s">
        <v>210</v>
      </c>
      <c r="BF285" s="20" t="s">
        <v>210</v>
      </c>
      <c r="BG285" s="20">
        <v>9</v>
      </c>
      <c r="BH285" s="20">
        <v>86568.29</v>
      </c>
      <c r="BI285" s="20">
        <v>9</v>
      </c>
      <c r="BJ285" s="20">
        <v>86568.29</v>
      </c>
      <c r="BK285" s="20">
        <v>0</v>
      </c>
      <c r="BL285" s="20">
        <v>0</v>
      </c>
      <c r="BM285" s="20">
        <v>0</v>
      </c>
      <c r="BN285" s="20">
        <v>642148828577</v>
      </c>
      <c r="BO285" s="111">
        <v>46224</v>
      </c>
      <c r="BP285" s="20">
        <v>0</v>
      </c>
    </row>
    <row r="286" spans="2:68">
      <c r="B286" s="20" t="s">
        <v>2216</v>
      </c>
      <c r="C286" s="20" t="s">
        <v>3153</v>
      </c>
      <c r="D286" s="20" t="s">
        <v>3739</v>
      </c>
      <c r="E286" s="20" t="s">
        <v>160</v>
      </c>
      <c r="F286" s="20" t="s">
        <v>17</v>
      </c>
      <c r="H286" s="20" t="s">
        <v>3740</v>
      </c>
      <c r="I286" s="20">
        <v>46.3</v>
      </c>
      <c r="J286" s="20">
        <v>46.3</v>
      </c>
      <c r="K286" s="20" t="s">
        <v>11</v>
      </c>
      <c r="L286" s="20">
        <v>46.3</v>
      </c>
      <c r="M286" s="20">
        <v>0</v>
      </c>
      <c r="N286" s="20">
        <v>46.3</v>
      </c>
      <c r="O286" s="20" t="s">
        <v>2433</v>
      </c>
      <c r="P286" s="20" t="s">
        <v>94</v>
      </c>
      <c r="Q286" s="20" t="s">
        <v>94</v>
      </c>
      <c r="R286" s="20" t="s">
        <v>1531</v>
      </c>
      <c r="S286" s="20" t="s">
        <v>3153</v>
      </c>
      <c r="T286" s="20" t="s">
        <v>206</v>
      </c>
      <c r="U286" s="20" t="s">
        <v>207</v>
      </c>
      <c r="V286" s="20" t="s">
        <v>3166</v>
      </c>
      <c r="W286" s="20">
        <v>175</v>
      </c>
      <c r="X286" s="20">
        <v>175</v>
      </c>
      <c r="Y286" s="20" t="s">
        <v>1531</v>
      </c>
      <c r="Z286" s="20" t="s">
        <v>3153</v>
      </c>
      <c r="AB286" s="20" t="s">
        <v>2376</v>
      </c>
      <c r="AD286" s="20" t="s">
        <v>2376</v>
      </c>
      <c r="AE286" s="20" t="s">
        <v>2376</v>
      </c>
      <c r="AF286" s="20">
        <v>0</v>
      </c>
      <c r="AG286" s="20">
        <v>0</v>
      </c>
      <c r="AH286" s="20">
        <v>0</v>
      </c>
      <c r="AI286" s="20">
        <v>0</v>
      </c>
      <c r="AJ286" s="20">
        <v>0</v>
      </c>
      <c r="AK286" s="20" t="s">
        <v>609</v>
      </c>
      <c r="AL286" s="20">
        <v>0</v>
      </c>
      <c r="AM286" s="20">
        <v>0</v>
      </c>
      <c r="AN286" s="20">
        <v>0</v>
      </c>
      <c r="AO286" s="20">
        <v>0</v>
      </c>
      <c r="AP286" s="20">
        <v>0</v>
      </c>
      <c r="AR286" s="20">
        <v>0</v>
      </c>
      <c r="AS286" s="20">
        <v>0</v>
      </c>
      <c r="AT286" s="20">
        <v>53931.08</v>
      </c>
      <c r="AU286" s="20" t="s">
        <v>13</v>
      </c>
      <c r="AV286" s="20" t="s">
        <v>80</v>
      </c>
      <c r="AW286" s="20" t="s">
        <v>81</v>
      </c>
      <c r="AX286" s="20" t="s">
        <v>208</v>
      </c>
      <c r="AY286" s="20" t="s">
        <v>209</v>
      </c>
      <c r="AZ286" s="20">
        <v>0</v>
      </c>
      <c r="BA286" s="20">
        <v>8102.5</v>
      </c>
      <c r="BB286" s="20">
        <v>918</v>
      </c>
      <c r="BC286" s="20" t="s">
        <v>3153</v>
      </c>
      <c r="BD286" s="20" t="s">
        <v>74</v>
      </c>
      <c r="BE286" s="20" t="s">
        <v>210</v>
      </c>
      <c r="BF286" s="20" t="s">
        <v>210</v>
      </c>
      <c r="BG286" s="20">
        <v>9</v>
      </c>
      <c r="BH286" s="20">
        <v>729.22</v>
      </c>
      <c r="BI286" s="20">
        <v>9</v>
      </c>
      <c r="BJ286" s="20">
        <v>729.22</v>
      </c>
      <c r="BK286" s="20">
        <v>0</v>
      </c>
      <c r="BL286" s="20">
        <v>0</v>
      </c>
      <c r="BM286" s="20">
        <v>53931.08</v>
      </c>
      <c r="BN286" s="20">
        <v>672148862954</v>
      </c>
      <c r="BO286" s="111">
        <v>46224</v>
      </c>
      <c r="BP286" s="20">
        <v>0</v>
      </c>
    </row>
    <row r="287" spans="2:68">
      <c r="B287" s="20" t="s">
        <v>2216</v>
      </c>
      <c r="C287" s="20" t="s">
        <v>3153</v>
      </c>
      <c r="D287" s="20" t="s">
        <v>3739</v>
      </c>
      <c r="E287" s="20" t="s">
        <v>2519</v>
      </c>
      <c r="F287" s="20" t="s">
        <v>2117</v>
      </c>
      <c r="H287" s="20" t="s">
        <v>3740</v>
      </c>
      <c r="I287" s="20">
        <v>243</v>
      </c>
      <c r="J287" s="20">
        <v>243</v>
      </c>
      <c r="K287" s="20" t="s">
        <v>11</v>
      </c>
      <c r="L287" s="20">
        <v>243</v>
      </c>
      <c r="M287" s="20">
        <v>0</v>
      </c>
      <c r="N287" s="20">
        <v>243</v>
      </c>
      <c r="O287" s="20" t="s">
        <v>2433</v>
      </c>
      <c r="P287" s="20" t="s">
        <v>94</v>
      </c>
      <c r="Q287" s="20" t="s">
        <v>94</v>
      </c>
      <c r="R287" s="20" t="s">
        <v>1531</v>
      </c>
      <c r="S287" s="20" t="s">
        <v>3153</v>
      </c>
      <c r="T287" s="20" t="s">
        <v>206</v>
      </c>
      <c r="U287" s="20" t="s">
        <v>207</v>
      </c>
      <c r="V287" s="20" t="s">
        <v>3166</v>
      </c>
      <c r="W287" s="20">
        <v>154.74</v>
      </c>
      <c r="X287" s="20">
        <v>154.74</v>
      </c>
      <c r="Y287" s="20" t="s">
        <v>1531</v>
      </c>
      <c r="Z287" s="20" t="s">
        <v>3153</v>
      </c>
      <c r="AB287" s="20" t="s">
        <v>2376</v>
      </c>
      <c r="AD287" s="20" t="s">
        <v>2376</v>
      </c>
      <c r="AE287" s="20" t="s">
        <v>2376</v>
      </c>
      <c r="AF287" s="20">
        <v>0</v>
      </c>
      <c r="AG287" s="20">
        <v>0</v>
      </c>
      <c r="AH287" s="20">
        <v>0</v>
      </c>
      <c r="AI287" s="20">
        <v>0</v>
      </c>
      <c r="AJ287" s="20">
        <v>0</v>
      </c>
      <c r="AK287" s="20" t="s">
        <v>609</v>
      </c>
      <c r="AL287" s="20">
        <v>0</v>
      </c>
      <c r="AM287" s="20">
        <v>0</v>
      </c>
      <c r="AN287" s="20">
        <v>0</v>
      </c>
      <c r="AO287" s="20">
        <v>0</v>
      </c>
      <c r="AP287" s="20">
        <v>0</v>
      </c>
      <c r="AR287" s="20">
        <v>0</v>
      </c>
      <c r="AS287" s="20">
        <v>0</v>
      </c>
      <c r="AT287" s="20">
        <v>53931.08</v>
      </c>
      <c r="AU287" s="20" t="s">
        <v>15</v>
      </c>
      <c r="AV287" s="20" t="s">
        <v>2117</v>
      </c>
      <c r="AW287" s="20" t="s">
        <v>2117</v>
      </c>
      <c r="AX287" s="20" t="s">
        <v>208</v>
      </c>
      <c r="AY287" s="20" t="s">
        <v>209</v>
      </c>
      <c r="AZ287" s="20">
        <v>0</v>
      </c>
      <c r="BA287" s="20">
        <v>37601.82</v>
      </c>
      <c r="BB287" s="20">
        <v>918</v>
      </c>
      <c r="BC287" s="20" t="s">
        <v>3153</v>
      </c>
      <c r="BD287" s="20" t="s">
        <v>74</v>
      </c>
      <c r="BE287" s="20" t="s">
        <v>210</v>
      </c>
      <c r="BF287" s="20" t="s">
        <v>210</v>
      </c>
      <c r="BG287" s="20">
        <v>9</v>
      </c>
      <c r="BH287" s="20">
        <v>3384.16</v>
      </c>
      <c r="BI287" s="20">
        <v>9</v>
      </c>
      <c r="BJ287" s="20">
        <v>3384.16</v>
      </c>
      <c r="BK287" s="20">
        <v>0</v>
      </c>
      <c r="BL287" s="20">
        <v>0</v>
      </c>
      <c r="BM287" s="20">
        <v>0</v>
      </c>
      <c r="BN287" s="20">
        <v>672148862954</v>
      </c>
      <c r="BO287" s="111">
        <v>46224</v>
      </c>
      <c r="BP287" s="20">
        <v>0</v>
      </c>
    </row>
    <row r="288" spans="2:68">
      <c r="B288" s="20" t="s">
        <v>2216</v>
      </c>
      <c r="C288" s="20" t="s">
        <v>3153</v>
      </c>
      <c r="D288" s="20" t="s">
        <v>3741</v>
      </c>
      <c r="E288" s="20" t="s">
        <v>23</v>
      </c>
      <c r="F288" s="20" t="s">
        <v>24</v>
      </c>
      <c r="H288" s="20" t="s">
        <v>3742</v>
      </c>
      <c r="I288" s="20">
        <v>164.8</v>
      </c>
      <c r="J288" s="20">
        <v>164.8</v>
      </c>
      <c r="K288" s="20" t="s">
        <v>11</v>
      </c>
      <c r="L288" s="20">
        <v>164.8</v>
      </c>
      <c r="M288" s="20">
        <v>0</v>
      </c>
      <c r="N288" s="20">
        <v>164.8</v>
      </c>
      <c r="O288" s="20" t="s">
        <v>2203</v>
      </c>
      <c r="P288" s="20" t="s">
        <v>87</v>
      </c>
      <c r="Q288" s="20" t="s">
        <v>87</v>
      </c>
      <c r="R288" s="20" t="s">
        <v>3165</v>
      </c>
      <c r="S288" s="20" t="s">
        <v>3153</v>
      </c>
      <c r="T288" s="20" t="s">
        <v>206</v>
      </c>
      <c r="U288" s="20" t="s">
        <v>207</v>
      </c>
      <c r="V288" s="20" t="s">
        <v>3164</v>
      </c>
      <c r="W288" s="20">
        <v>170.49</v>
      </c>
      <c r="X288" s="20">
        <v>170.48999938688399</v>
      </c>
      <c r="Y288" s="20" t="s">
        <v>3165</v>
      </c>
      <c r="Z288" s="20" t="s">
        <v>3153</v>
      </c>
      <c r="AB288" s="20" t="s">
        <v>2376</v>
      </c>
      <c r="AD288" s="20" t="s">
        <v>2376</v>
      </c>
      <c r="AE288" s="20" t="s">
        <v>2376</v>
      </c>
      <c r="AF288" s="20">
        <v>0</v>
      </c>
      <c r="AG288" s="20">
        <v>0</v>
      </c>
      <c r="AH288" s="20">
        <v>0</v>
      </c>
      <c r="AI288" s="20">
        <v>0</v>
      </c>
      <c r="AJ288" s="20">
        <v>0</v>
      </c>
      <c r="AK288" s="20" t="s">
        <v>609</v>
      </c>
      <c r="AL288" s="20">
        <v>0</v>
      </c>
      <c r="AM288" s="20">
        <v>0</v>
      </c>
      <c r="AN288" s="20">
        <v>0</v>
      </c>
      <c r="AO288" s="20">
        <v>0</v>
      </c>
      <c r="AP288" s="20">
        <v>0</v>
      </c>
      <c r="AR288" s="20">
        <v>0</v>
      </c>
      <c r="AS288" s="20">
        <v>0</v>
      </c>
      <c r="AT288" s="20">
        <v>834214.29</v>
      </c>
      <c r="AU288" s="20" t="s">
        <v>13</v>
      </c>
      <c r="AV288" s="20" t="s">
        <v>24</v>
      </c>
      <c r="AW288" s="20" t="s">
        <v>79</v>
      </c>
      <c r="AX288" s="20" t="s">
        <v>208</v>
      </c>
      <c r="AY288" s="20" t="s">
        <v>209</v>
      </c>
      <c r="AZ288" s="20">
        <v>0</v>
      </c>
      <c r="BA288" s="20">
        <v>28096.75</v>
      </c>
      <c r="BB288" s="20">
        <v>922</v>
      </c>
      <c r="BC288" s="20" t="s">
        <v>3153</v>
      </c>
      <c r="BD288" s="20" t="s">
        <v>65</v>
      </c>
      <c r="BE288" s="20" t="s">
        <v>210</v>
      </c>
      <c r="BF288" s="20" t="s">
        <v>210</v>
      </c>
      <c r="BG288" s="20">
        <v>9</v>
      </c>
      <c r="BH288" s="20">
        <v>2528.71</v>
      </c>
      <c r="BI288" s="20">
        <v>9</v>
      </c>
      <c r="BJ288" s="20">
        <v>2528.71</v>
      </c>
      <c r="BK288" s="20">
        <v>0</v>
      </c>
      <c r="BL288" s="20">
        <v>0</v>
      </c>
      <c r="BM288" s="20">
        <v>834214.29</v>
      </c>
      <c r="BN288" s="20">
        <v>632149037827</v>
      </c>
      <c r="BO288" s="111">
        <v>46224</v>
      </c>
      <c r="BP288" s="20">
        <v>0</v>
      </c>
    </row>
    <row r="289" spans="2:68">
      <c r="B289" s="20" t="s">
        <v>2216</v>
      </c>
      <c r="C289" s="20" t="s">
        <v>3153</v>
      </c>
      <c r="D289" s="20" t="s">
        <v>3741</v>
      </c>
      <c r="E289" s="20" t="s">
        <v>23</v>
      </c>
      <c r="F289" s="20" t="s">
        <v>24</v>
      </c>
      <c r="H289" s="20" t="s">
        <v>3742</v>
      </c>
      <c r="I289" s="20">
        <v>620.6</v>
      </c>
      <c r="J289" s="20">
        <v>620.6</v>
      </c>
      <c r="K289" s="20" t="s">
        <v>11</v>
      </c>
      <c r="L289" s="20">
        <v>620.6</v>
      </c>
      <c r="M289" s="20">
        <v>0</v>
      </c>
      <c r="N289" s="20">
        <v>620.6</v>
      </c>
      <c r="O289" s="20" t="s">
        <v>2203</v>
      </c>
      <c r="P289" s="20" t="s">
        <v>87</v>
      </c>
      <c r="Q289" s="20" t="s">
        <v>87</v>
      </c>
      <c r="R289" s="20" t="s">
        <v>3165</v>
      </c>
      <c r="S289" s="20" t="s">
        <v>3153</v>
      </c>
      <c r="T289" s="20" t="s">
        <v>206</v>
      </c>
      <c r="U289" s="20" t="s">
        <v>207</v>
      </c>
      <c r="V289" s="20" t="s">
        <v>3164</v>
      </c>
      <c r="W289" s="20">
        <v>149.49</v>
      </c>
      <c r="X289" s="20">
        <v>149.489999462404</v>
      </c>
      <c r="Y289" s="20" t="s">
        <v>3165</v>
      </c>
      <c r="Z289" s="20" t="s">
        <v>3153</v>
      </c>
      <c r="AB289" s="20" t="s">
        <v>2376</v>
      </c>
      <c r="AD289" s="20" t="s">
        <v>2376</v>
      </c>
      <c r="AE289" s="20" t="s">
        <v>2376</v>
      </c>
      <c r="AF289" s="20">
        <v>0</v>
      </c>
      <c r="AG289" s="20">
        <v>0</v>
      </c>
      <c r="AH289" s="20">
        <v>0</v>
      </c>
      <c r="AI289" s="20">
        <v>0</v>
      </c>
      <c r="AJ289" s="20">
        <v>0</v>
      </c>
      <c r="AK289" s="20" t="s">
        <v>609</v>
      </c>
      <c r="AL289" s="20">
        <v>0</v>
      </c>
      <c r="AM289" s="20">
        <v>0</v>
      </c>
      <c r="AN289" s="20">
        <v>0</v>
      </c>
      <c r="AO289" s="20">
        <v>0</v>
      </c>
      <c r="AP289" s="20">
        <v>0</v>
      </c>
      <c r="AR289" s="20">
        <v>0</v>
      </c>
      <c r="AS289" s="20">
        <v>0</v>
      </c>
      <c r="AT289" s="20">
        <v>834214.29</v>
      </c>
      <c r="AU289" s="20" t="s">
        <v>13</v>
      </c>
      <c r="AV289" s="20" t="s">
        <v>24</v>
      </c>
      <c r="AW289" s="20" t="s">
        <v>79</v>
      </c>
      <c r="AX289" s="20" t="s">
        <v>208</v>
      </c>
      <c r="AY289" s="20" t="s">
        <v>209</v>
      </c>
      <c r="AZ289" s="20">
        <v>0</v>
      </c>
      <c r="BA289" s="20">
        <v>92773.49</v>
      </c>
      <c r="BB289" s="20">
        <v>922</v>
      </c>
      <c r="BC289" s="20" t="s">
        <v>3153</v>
      </c>
      <c r="BD289" s="20" t="s">
        <v>65</v>
      </c>
      <c r="BE289" s="20" t="s">
        <v>210</v>
      </c>
      <c r="BF289" s="20" t="s">
        <v>210</v>
      </c>
      <c r="BG289" s="20">
        <v>9</v>
      </c>
      <c r="BH289" s="20">
        <v>8349.61</v>
      </c>
      <c r="BI289" s="20">
        <v>9</v>
      </c>
      <c r="BJ289" s="20">
        <v>8349.61</v>
      </c>
      <c r="BK289" s="20">
        <v>0</v>
      </c>
      <c r="BL289" s="20">
        <v>0</v>
      </c>
      <c r="BM289" s="20">
        <v>0</v>
      </c>
      <c r="BN289" s="20">
        <v>632149037827</v>
      </c>
      <c r="BO289" s="111">
        <v>46224</v>
      </c>
      <c r="BP289" s="20">
        <v>0</v>
      </c>
    </row>
    <row r="290" spans="2:68">
      <c r="B290" s="20" t="s">
        <v>2216</v>
      </c>
      <c r="C290" s="20" t="s">
        <v>3153</v>
      </c>
      <c r="D290" s="20" t="s">
        <v>3741</v>
      </c>
      <c r="E290" s="20" t="s">
        <v>23</v>
      </c>
      <c r="F290" s="20" t="s">
        <v>24</v>
      </c>
      <c r="H290" s="20" t="s">
        <v>3742</v>
      </c>
      <c r="I290" s="20">
        <v>146.30000000000001</v>
      </c>
      <c r="J290" s="20">
        <v>146.30000000000001</v>
      </c>
      <c r="K290" s="20" t="s">
        <v>11</v>
      </c>
      <c r="L290" s="20">
        <v>146.30000000000001</v>
      </c>
      <c r="M290" s="20">
        <v>0</v>
      </c>
      <c r="N290" s="20">
        <v>146.30000000000001</v>
      </c>
      <c r="O290" s="20" t="s">
        <v>2203</v>
      </c>
      <c r="P290" s="20" t="s">
        <v>87</v>
      </c>
      <c r="Q290" s="20" t="s">
        <v>87</v>
      </c>
      <c r="R290" s="20" t="s">
        <v>3165</v>
      </c>
      <c r="S290" s="20" t="s">
        <v>3153</v>
      </c>
      <c r="T290" s="20" t="s">
        <v>206</v>
      </c>
      <c r="U290" s="20" t="s">
        <v>207</v>
      </c>
      <c r="V290" s="20" t="s">
        <v>3164</v>
      </c>
      <c r="W290" s="20">
        <v>146.49</v>
      </c>
      <c r="X290" s="20">
        <v>146.489999473193</v>
      </c>
      <c r="Y290" s="20" t="s">
        <v>3165</v>
      </c>
      <c r="Z290" s="20" t="s">
        <v>3153</v>
      </c>
      <c r="AB290" s="20" t="s">
        <v>2376</v>
      </c>
      <c r="AD290" s="20" t="s">
        <v>2376</v>
      </c>
      <c r="AE290" s="20" t="s">
        <v>2376</v>
      </c>
      <c r="AF290" s="20">
        <v>0</v>
      </c>
      <c r="AG290" s="20">
        <v>0</v>
      </c>
      <c r="AH290" s="20">
        <v>0</v>
      </c>
      <c r="AI290" s="20">
        <v>0</v>
      </c>
      <c r="AJ290" s="20">
        <v>0</v>
      </c>
      <c r="AK290" s="20" t="s">
        <v>609</v>
      </c>
      <c r="AL290" s="20">
        <v>0</v>
      </c>
      <c r="AM290" s="20">
        <v>0</v>
      </c>
      <c r="AN290" s="20">
        <v>0</v>
      </c>
      <c r="AO290" s="20">
        <v>0</v>
      </c>
      <c r="AP290" s="20">
        <v>0</v>
      </c>
      <c r="AR290" s="20">
        <v>0</v>
      </c>
      <c r="AS290" s="20">
        <v>0</v>
      </c>
      <c r="AT290" s="20">
        <v>834214.29</v>
      </c>
      <c r="AU290" s="20" t="s">
        <v>13</v>
      </c>
      <c r="AV290" s="20" t="s">
        <v>24</v>
      </c>
      <c r="AW290" s="20" t="s">
        <v>79</v>
      </c>
      <c r="AX290" s="20" t="s">
        <v>208</v>
      </c>
      <c r="AY290" s="20" t="s">
        <v>209</v>
      </c>
      <c r="AZ290" s="20">
        <v>0</v>
      </c>
      <c r="BA290" s="20">
        <v>21431.49</v>
      </c>
      <c r="BB290" s="20">
        <v>922</v>
      </c>
      <c r="BC290" s="20" t="s">
        <v>3153</v>
      </c>
      <c r="BD290" s="20" t="s">
        <v>65</v>
      </c>
      <c r="BE290" s="20" t="s">
        <v>210</v>
      </c>
      <c r="BF290" s="20" t="s">
        <v>210</v>
      </c>
      <c r="BG290" s="20">
        <v>9</v>
      </c>
      <c r="BH290" s="20">
        <v>1928.83</v>
      </c>
      <c r="BI290" s="20">
        <v>9</v>
      </c>
      <c r="BJ290" s="20">
        <v>1928.83</v>
      </c>
      <c r="BK290" s="20">
        <v>0</v>
      </c>
      <c r="BL290" s="20">
        <v>0</v>
      </c>
      <c r="BM290" s="20">
        <v>0</v>
      </c>
      <c r="BN290" s="20">
        <v>632149037827</v>
      </c>
      <c r="BO290" s="111">
        <v>46224</v>
      </c>
      <c r="BP290" s="20">
        <v>0</v>
      </c>
    </row>
    <row r="291" spans="2:68">
      <c r="B291" s="20" t="s">
        <v>2216</v>
      </c>
      <c r="C291" s="20" t="s">
        <v>3153</v>
      </c>
      <c r="D291" s="20" t="s">
        <v>3741</v>
      </c>
      <c r="E291" s="20" t="s">
        <v>18</v>
      </c>
      <c r="F291" s="20" t="s">
        <v>19</v>
      </c>
      <c r="H291" s="20" t="s">
        <v>3742</v>
      </c>
      <c r="I291" s="20">
        <v>1793</v>
      </c>
      <c r="J291" s="20">
        <v>1793</v>
      </c>
      <c r="K291" s="20" t="s">
        <v>11</v>
      </c>
      <c r="L291" s="20">
        <v>1793</v>
      </c>
      <c r="M291" s="20">
        <v>0</v>
      </c>
      <c r="N291" s="20">
        <v>1793</v>
      </c>
      <c r="O291" s="20" t="s">
        <v>2203</v>
      </c>
      <c r="P291" s="20" t="s">
        <v>87</v>
      </c>
      <c r="Q291" s="20" t="s">
        <v>87</v>
      </c>
      <c r="R291" s="20" t="s">
        <v>3165</v>
      </c>
      <c r="S291" s="20" t="s">
        <v>3153</v>
      </c>
      <c r="T291" s="20" t="s">
        <v>206</v>
      </c>
      <c r="U291" s="20" t="s">
        <v>207</v>
      </c>
      <c r="V291" s="20" t="s">
        <v>3164</v>
      </c>
      <c r="W291" s="20">
        <v>144.49</v>
      </c>
      <c r="X291" s="20">
        <v>144.48999948038499</v>
      </c>
      <c r="Y291" s="20" t="s">
        <v>3165</v>
      </c>
      <c r="Z291" s="20" t="s">
        <v>3153</v>
      </c>
      <c r="AB291" s="20" t="s">
        <v>2376</v>
      </c>
      <c r="AD291" s="20" t="s">
        <v>2376</v>
      </c>
      <c r="AE291" s="20" t="s">
        <v>2376</v>
      </c>
      <c r="AF291" s="20">
        <v>0</v>
      </c>
      <c r="AG291" s="20">
        <v>0</v>
      </c>
      <c r="AH291" s="20">
        <v>0</v>
      </c>
      <c r="AI291" s="20">
        <v>0</v>
      </c>
      <c r="AJ291" s="20">
        <v>0</v>
      </c>
      <c r="AK291" s="20" t="s">
        <v>609</v>
      </c>
      <c r="AL291" s="20">
        <v>0</v>
      </c>
      <c r="AM291" s="20">
        <v>0</v>
      </c>
      <c r="AN291" s="20">
        <v>0</v>
      </c>
      <c r="AO291" s="20">
        <v>0</v>
      </c>
      <c r="AP291" s="20">
        <v>0</v>
      </c>
      <c r="AR291" s="20">
        <v>0</v>
      </c>
      <c r="AS291" s="20">
        <v>0</v>
      </c>
      <c r="AT291" s="20">
        <v>834214.29</v>
      </c>
      <c r="AU291" s="20" t="s">
        <v>13</v>
      </c>
      <c r="AV291" s="20" t="s">
        <v>62</v>
      </c>
      <c r="AW291" s="20" t="s">
        <v>63</v>
      </c>
      <c r="AX291" s="20" t="s">
        <v>208</v>
      </c>
      <c r="AY291" s="20" t="s">
        <v>209</v>
      </c>
      <c r="AZ291" s="20">
        <v>0</v>
      </c>
      <c r="BA291" s="20">
        <v>259070.57</v>
      </c>
      <c r="BB291" s="20">
        <v>922</v>
      </c>
      <c r="BC291" s="20" t="s">
        <v>3153</v>
      </c>
      <c r="BD291" s="20" t="s">
        <v>65</v>
      </c>
      <c r="BE291" s="20" t="s">
        <v>210</v>
      </c>
      <c r="BF291" s="20" t="s">
        <v>210</v>
      </c>
      <c r="BG291" s="20">
        <v>9</v>
      </c>
      <c r="BH291" s="20">
        <v>23316.35</v>
      </c>
      <c r="BI291" s="20">
        <v>9</v>
      </c>
      <c r="BJ291" s="20">
        <v>23316.35</v>
      </c>
      <c r="BK291" s="20">
        <v>0</v>
      </c>
      <c r="BL291" s="20">
        <v>0</v>
      </c>
      <c r="BM291" s="20">
        <v>0</v>
      </c>
      <c r="BN291" s="20">
        <v>632149037827</v>
      </c>
      <c r="BO291" s="111">
        <v>46224</v>
      </c>
      <c r="BP291" s="20">
        <v>0</v>
      </c>
    </row>
    <row r="292" spans="2:68">
      <c r="B292" s="20" t="s">
        <v>2216</v>
      </c>
      <c r="C292" s="20" t="s">
        <v>3153</v>
      </c>
      <c r="D292" s="20" t="s">
        <v>3741</v>
      </c>
      <c r="E292" s="20" t="s">
        <v>160</v>
      </c>
      <c r="F292" s="20" t="s">
        <v>17</v>
      </c>
      <c r="H292" s="20" t="s">
        <v>3742</v>
      </c>
      <c r="I292" s="20">
        <v>99</v>
      </c>
      <c r="J292" s="20">
        <v>99</v>
      </c>
      <c r="K292" s="20" t="s">
        <v>11</v>
      </c>
      <c r="L292" s="20">
        <v>99</v>
      </c>
      <c r="M292" s="20">
        <v>0</v>
      </c>
      <c r="N292" s="20">
        <v>99</v>
      </c>
      <c r="O292" s="20" t="s">
        <v>2203</v>
      </c>
      <c r="P292" s="20" t="s">
        <v>87</v>
      </c>
      <c r="Q292" s="20" t="s">
        <v>87</v>
      </c>
      <c r="R292" s="20" t="s">
        <v>3165</v>
      </c>
      <c r="S292" s="20" t="s">
        <v>3153</v>
      </c>
      <c r="T292" s="20" t="s">
        <v>206</v>
      </c>
      <c r="U292" s="20" t="s">
        <v>207</v>
      </c>
      <c r="V292" s="20" t="s">
        <v>3164</v>
      </c>
      <c r="W292" s="20">
        <v>190.78</v>
      </c>
      <c r="X292" s="20">
        <v>190.77999931391699</v>
      </c>
      <c r="Y292" s="20" t="s">
        <v>3165</v>
      </c>
      <c r="Z292" s="20" t="s">
        <v>3153</v>
      </c>
      <c r="AB292" s="20" t="s">
        <v>2376</v>
      </c>
      <c r="AD292" s="20" t="s">
        <v>2376</v>
      </c>
      <c r="AE292" s="20" t="s">
        <v>2376</v>
      </c>
      <c r="AF292" s="20">
        <v>0</v>
      </c>
      <c r="AG292" s="20">
        <v>0</v>
      </c>
      <c r="AH292" s="20">
        <v>0</v>
      </c>
      <c r="AI292" s="20">
        <v>0</v>
      </c>
      <c r="AJ292" s="20">
        <v>0</v>
      </c>
      <c r="AK292" s="20" t="s">
        <v>609</v>
      </c>
      <c r="AL292" s="20">
        <v>0</v>
      </c>
      <c r="AM292" s="20">
        <v>0</v>
      </c>
      <c r="AN292" s="20">
        <v>0</v>
      </c>
      <c r="AO292" s="20">
        <v>0</v>
      </c>
      <c r="AP292" s="20">
        <v>0</v>
      </c>
      <c r="AR292" s="20">
        <v>0</v>
      </c>
      <c r="AS292" s="20">
        <v>0</v>
      </c>
      <c r="AT292" s="20">
        <v>834214.29</v>
      </c>
      <c r="AU292" s="20" t="s">
        <v>13</v>
      </c>
      <c r="AV292" s="20" t="s">
        <v>80</v>
      </c>
      <c r="AW292" s="20" t="s">
        <v>81</v>
      </c>
      <c r="AX292" s="20" t="s">
        <v>208</v>
      </c>
      <c r="AY292" s="20" t="s">
        <v>209</v>
      </c>
      <c r="AZ292" s="20">
        <v>0</v>
      </c>
      <c r="BA292" s="20">
        <v>18887.22</v>
      </c>
      <c r="BB292" s="20">
        <v>922</v>
      </c>
      <c r="BC292" s="20" t="s">
        <v>3153</v>
      </c>
      <c r="BD292" s="20" t="s">
        <v>65</v>
      </c>
      <c r="BE292" s="20" t="s">
        <v>210</v>
      </c>
      <c r="BF292" s="20" t="s">
        <v>210</v>
      </c>
      <c r="BG292" s="20">
        <v>9</v>
      </c>
      <c r="BH292" s="20">
        <v>1699.85</v>
      </c>
      <c r="BI292" s="20">
        <v>9</v>
      </c>
      <c r="BJ292" s="20">
        <v>1699.85</v>
      </c>
      <c r="BK292" s="20">
        <v>0</v>
      </c>
      <c r="BL292" s="20">
        <v>0</v>
      </c>
      <c r="BM292" s="20">
        <v>0</v>
      </c>
      <c r="BN292" s="20">
        <v>632149037827</v>
      </c>
      <c r="BO292" s="111">
        <v>46224</v>
      </c>
      <c r="BP292" s="20">
        <v>0</v>
      </c>
    </row>
    <row r="293" spans="2:68">
      <c r="B293" s="20" t="s">
        <v>2216</v>
      </c>
      <c r="C293" s="20" t="s">
        <v>3153</v>
      </c>
      <c r="D293" s="20" t="s">
        <v>3741</v>
      </c>
      <c r="E293" s="20" t="s">
        <v>160</v>
      </c>
      <c r="F293" s="20" t="s">
        <v>17</v>
      </c>
      <c r="H293" s="20" t="s">
        <v>3742</v>
      </c>
      <c r="I293" s="20">
        <v>591</v>
      </c>
      <c r="J293" s="20">
        <v>591</v>
      </c>
      <c r="K293" s="20" t="s">
        <v>11</v>
      </c>
      <c r="L293" s="20">
        <v>591</v>
      </c>
      <c r="M293" s="20">
        <v>0</v>
      </c>
      <c r="N293" s="20">
        <v>591</v>
      </c>
      <c r="O293" s="20" t="s">
        <v>2203</v>
      </c>
      <c r="P293" s="20" t="s">
        <v>87</v>
      </c>
      <c r="Q293" s="20" t="s">
        <v>87</v>
      </c>
      <c r="R293" s="20" t="s">
        <v>3165</v>
      </c>
      <c r="S293" s="20" t="s">
        <v>3153</v>
      </c>
      <c r="T293" s="20" t="s">
        <v>206</v>
      </c>
      <c r="U293" s="20" t="s">
        <v>207</v>
      </c>
      <c r="V293" s="20" t="s">
        <v>3164</v>
      </c>
      <c r="W293" s="20">
        <v>186.78</v>
      </c>
      <c r="X293" s="20">
        <v>186.77999932830201</v>
      </c>
      <c r="Y293" s="20" t="s">
        <v>3165</v>
      </c>
      <c r="Z293" s="20" t="s">
        <v>3153</v>
      </c>
      <c r="AB293" s="20" t="s">
        <v>2376</v>
      </c>
      <c r="AD293" s="20" t="s">
        <v>2376</v>
      </c>
      <c r="AE293" s="20" t="s">
        <v>2376</v>
      </c>
      <c r="AF293" s="20">
        <v>0</v>
      </c>
      <c r="AG293" s="20">
        <v>0</v>
      </c>
      <c r="AH293" s="20">
        <v>0</v>
      </c>
      <c r="AI293" s="20">
        <v>0</v>
      </c>
      <c r="AJ293" s="20">
        <v>0</v>
      </c>
      <c r="AK293" s="20" t="s">
        <v>609</v>
      </c>
      <c r="AL293" s="20">
        <v>0</v>
      </c>
      <c r="AM293" s="20">
        <v>0</v>
      </c>
      <c r="AN293" s="20">
        <v>0</v>
      </c>
      <c r="AO293" s="20">
        <v>0</v>
      </c>
      <c r="AP293" s="20">
        <v>0</v>
      </c>
      <c r="AR293" s="20">
        <v>0</v>
      </c>
      <c r="AS293" s="20">
        <v>0</v>
      </c>
      <c r="AT293" s="20">
        <v>834214.29</v>
      </c>
      <c r="AU293" s="20" t="s">
        <v>13</v>
      </c>
      <c r="AV293" s="20" t="s">
        <v>80</v>
      </c>
      <c r="AW293" s="20" t="s">
        <v>81</v>
      </c>
      <c r="AX293" s="20" t="s">
        <v>208</v>
      </c>
      <c r="AY293" s="20" t="s">
        <v>209</v>
      </c>
      <c r="AZ293" s="20">
        <v>0</v>
      </c>
      <c r="BA293" s="20">
        <v>110386.98</v>
      </c>
      <c r="BB293" s="20">
        <v>922</v>
      </c>
      <c r="BC293" s="20" t="s">
        <v>3153</v>
      </c>
      <c r="BD293" s="20" t="s">
        <v>65</v>
      </c>
      <c r="BE293" s="20" t="s">
        <v>210</v>
      </c>
      <c r="BF293" s="20" t="s">
        <v>210</v>
      </c>
      <c r="BG293" s="20">
        <v>9</v>
      </c>
      <c r="BH293" s="20">
        <v>9934.83</v>
      </c>
      <c r="BI293" s="20">
        <v>9</v>
      </c>
      <c r="BJ293" s="20">
        <v>9934.83</v>
      </c>
      <c r="BK293" s="20">
        <v>0</v>
      </c>
      <c r="BL293" s="20">
        <v>0</v>
      </c>
      <c r="BM293" s="20">
        <v>0</v>
      </c>
      <c r="BN293" s="20">
        <v>632149037827</v>
      </c>
      <c r="BO293" s="111">
        <v>46224</v>
      </c>
      <c r="BP293" s="20">
        <v>0</v>
      </c>
    </row>
    <row r="294" spans="2:68">
      <c r="B294" s="20" t="s">
        <v>2216</v>
      </c>
      <c r="C294" s="20" t="s">
        <v>3153</v>
      </c>
      <c r="D294" s="20" t="s">
        <v>3741</v>
      </c>
      <c r="E294" s="20" t="s">
        <v>20</v>
      </c>
      <c r="F294" s="20" t="s">
        <v>21</v>
      </c>
      <c r="H294" s="20" t="s">
        <v>3742</v>
      </c>
      <c r="I294" s="20">
        <v>461</v>
      </c>
      <c r="J294" s="20">
        <v>461</v>
      </c>
      <c r="K294" s="20" t="s">
        <v>11</v>
      </c>
      <c r="L294" s="20">
        <v>461</v>
      </c>
      <c r="M294" s="20">
        <v>0</v>
      </c>
      <c r="N294" s="20">
        <v>461</v>
      </c>
      <c r="O294" s="20" t="s">
        <v>2203</v>
      </c>
      <c r="P294" s="20" t="s">
        <v>87</v>
      </c>
      <c r="Q294" s="20" t="s">
        <v>87</v>
      </c>
      <c r="R294" s="20" t="s">
        <v>3165</v>
      </c>
      <c r="S294" s="20" t="s">
        <v>3153</v>
      </c>
      <c r="T294" s="20" t="s">
        <v>206</v>
      </c>
      <c r="U294" s="20" t="s">
        <v>207</v>
      </c>
      <c r="V294" s="20" t="s">
        <v>3164</v>
      </c>
      <c r="W294" s="20">
        <v>148.49</v>
      </c>
      <c r="X294" s="20">
        <v>148.489999466001</v>
      </c>
      <c r="Y294" s="20" t="s">
        <v>3165</v>
      </c>
      <c r="Z294" s="20" t="s">
        <v>3153</v>
      </c>
      <c r="AB294" s="20" t="s">
        <v>2376</v>
      </c>
      <c r="AD294" s="20" t="s">
        <v>2376</v>
      </c>
      <c r="AE294" s="20" t="s">
        <v>2376</v>
      </c>
      <c r="AF294" s="20">
        <v>0</v>
      </c>
      <c r="AG294" s="20">
        <v>0</v>
      </c>
      <c r="AH294" s="20">
        <v>0</v>
      </c>
      <c r="AI294" s="20">
        <v>0</v>
      </c>
      <c r="AJ294" s="20">
        <v>0</v>
      </c>
      <c r="AK294" s="20" t="s">
        <v>609</v>
      </c>
      <c r="AL294" s="20">
        <v>0</v>
      </c>
      <c r="AM294" s="20">
        <v>0</v>
      </c>
      <c r="AN294" s="20">
        <v>0</v>
      </c>
      <c r="AO294" s="20">
        <v>0</v>
      </c>
      <c r="AP294" s="20">
        <v>0</v>
      </c>
      <c r="AR294" s="20">
        <v>0</v>
      </c>
      <c r="AS294" s="20">
        <v>0</v>
      </c>
      <c r="AT294" s="20">
        <v>834214.29</v>
      </c>
      <c r="AU294" s="20" t="s">
        <v>13</v>
      </c>
      <c r="AV294" s="20" t="s">
        <v>62</v>
      </c>
      <c r="AW294" s="20" t="s">
        <v>76</v>
      </c>
      <c r="AX294" s="20" t="s">
        <v>208</v>
      </c>
      <c r="AY294" s="20" t="s">
        <v>209</v>
      </c>
      <c r="AZ294" s="20">
        <v>0</v>
      </c>
      <c r="BA294" s="20">
        <v>68453.89</v>
      </c>
      <c r="BB294" s="20">
        <v>922</v>
      </c>
      <c r="BC294" s="20" t="s">
        <v>3153</v>
      </c>
      <c r="BD294" s="20" t="s">
        <v>65</v>
      </c>
      <c r="BE294" s="20" t="s">
        <v>210</v>
      </c>
      <c r="BF294" s="20" t="s">
        <v>210</v>
      </c>
      <c r="BG294" s="20">
        <v>9</v>
      </c>
      <c r="BH294" s="20">
        <v>6160.85</v>
      </c>
      <c r="BI294" s="20">
        <v>9</v>
      </c>
      <c r="BJ294" s="20">
        <v>6160.85</v>
      </c>
      <c r="BK294" s="20">
        <v>0</v>
      </c>
      <c r="BL294" s="20">
        <v>0</v>
      </c>
      <c r="BM294" s="20">
        <v>0</v>
      </c>
      <c r="BN294" s="20">
        <v>632149037827</v>
      </c>
      <c r="BO294" s="111">
        <v>46224</v>
      </c>
      <c r="BP294" s="20">
        <v>0</v>
      </c>
    </row>
    <row r="295" spans="2:68">
      <c r="B295" s="20" t="s">
        <v>2216</v>
      </c>
      <c r="C295" s="20" t="s">
        <v>3153</v>
      </c>
      <c r="D295" s="20" t="s">
        <v>3741</v>
      </c>
      <c r="E295" s="20" t="s">
        <v>20</v>
      </c>
      <c r="F295" s="20" t="s">
        <v>21</v>
      </c>
      <c r="H295" s="20" t="s">
        <v>3742</v>
      </c>
      <c r="I295" s="20">
        <v>712</v>
      </c>
      <c r="J295" s="20">
        <v>712</v>
      </c>
      <c r="K295" s="20" t="s">
        <v>11</v>
      </c>
      <c r="L295" s="20">
        <v>712</v>
      </c>
      <c r="M295" s="20">
        <v>0</v>
      </c>
      <c r="N295" s="20">
        <v>712</v>
      </c>
      <c r="O295" s="20" t="s">
        <v>2203</v>
      </c>
      <c r="P295" s="20" t="s">
        <v>87</v>
      </c>
      <c r="Q295" s="20" t="s">
        <v>87</v>
      </c>
      <c r="R295" s="20" t="s">
        <v>3165</v>
      </c>
      <c r="S295" s="20" t="s">
        <v>3153</v>
      </c>
      <c r="T295" s="20" t="s">
        <v>206</v>
      </c>
      <c r="U295" s="20" t="s">
        <v>207</v>
      </c>
      <c r="V295" s="20" t="s">
        <v>3164</v>
      </c>
      <c r="W295" s="20">
        <v>151.49</v>
      </c>
      <c r="X295" s="20">
        <v>151.489999455212</v>
      </c>
      <c r="Y295" s="20" t="s">
        <v>3165</v>
      </c>
      <c r="Z295" s="20" t="s">
        <v>3153</v>
      </c>
      <c r="AB295" s="20" t="s">
        <v>2376</v>
      </c>
      <c r="AD295" s="20" t="s">
        <v>2376</v>
      </c>
      <c r="AE295" s="20" t="s">
        <v>2376</v>
      </c>
      <c r="AF295" s="20">
        <v>0</v>
      </c>
      <c r="AG295" s="20">
        <v>0</v>
      </c>
      <c r="AH295" s="20">
        <v>0</v>
      </c>
      <c r="AI295" s="20">
        <v>0</v>
      </c>
      <c r="AJ295" s="20">
        <v>0</v>
      </c>
      <c r="AK295" s="20" t="s">
        <v>609</v>
      </c>
      <c r="AL295" s="20">
        <v>0</v>
      </c>
      <c r="AM295" s="20">
        <v>0</v>
      </c>
      <c r="AN295" s="20">
        <v>0</v>
      </c>
      <c r="AO295" s="20">
        <v>0</v>
      </c>
      <c r="AP295" s="20">
        <v>0</v>
      </c>
      <c r="AR295" s="20">
        <v>0</v>
      </c>
      <c r="AS295" s="20">
        <v>0</v>
      </c>
      <c r="AT295" s="20">
        <v>834214.29</v>
      </c>
      <c r="AU295" s="20" t="s">
        <v>13</v>
      </c>
      <c r="AV295" s="20" t="s">
        <v>62</v>
      </c>
      <c r="AW295" s="20" t="s">
        <v>76</v>
      </c>
      <c r="AX295" s="20" t="s">
        <v>208</v>
      </c>
      <c r="AY295" s="20" t="s">
        <v>209</v>
      </c>
      <c r="AZ295" s="20">
        <v>0</v>
      </c>
      <c r="BA295" s="20">
        <v>107860.88</v>
      </c>
      <c r="BB295" s="20">
        <v>922</v>
      </c>
      <c r="BC295" s="20" t="s">
        <v>3153</v>
      </c>
      <c r="BD295" s="20" t="s">
        <v>65</v>
      </c>
      <c r="BE295" s="20" t="s">
        <v>210</v>
      </c>
      <c r="BF295" s="20" t="s">
        <v>210</v>
      </c>
      <c r="BG295" s="20">
        <v>9</v>
      </c>
      <c r="BH295" s="20">
        <v>9707.48</v>
      </c>
      <c r="BI295" s="20">
        <v>9</v>
      </c>
      <c r="BJ295" s="20">
        <v>9707.48</v>
      </c>
      <c r="BK295" s="20">
        <v>0</v>
      </c>
      <c r="BL295" s="20">
        <v>0</v>
      </c>
      <c r="BM295" s="20">
        <v>0</v>
      </c>
      <c r="BN295" s="20">
        <v>632149037827</v>
      </c>
      <c r="BO295" s="111">
        <v>46224</v>
      </c>
      <c r="BP295" s="20">
        <v>0</v>
      </c>
    </row>
    <row r="296" spans="2:68">
      <c r="B296" s="20" t="s">
        <v>2216</v>
      </c>
      <c r="C296" s="20" t="s">
        <v>3167</v>
      </c>
      <c r="D296" s="20" t="s">
        <v>3743</v>
      </c>
      <c r="E296" s="20" t="s">
        <v>211</v>
      </c>
      <c r="F296" s="20" t="s">
        <v>16</v>
      </c>
      <c r="H296" s="20" t="s">
        <v>3744</v>
      </c>
      <c r="I296" s="20">
        <v>1259.6400000000001</v>
      </c>
      <c r="J296" s="20">
        <v>1259.6400000000001</v>
      </c>
      <c r="K296" s="20" t="s">
        <v>11</v>
      </c>
      <c r="L296" s="20">
        <v>1259.6400000000001</v>
      </c>
      <c r="M296" s="20">
        <v>0</v>
      </c>
      <c r="N296" s="20">
        <v>1259.6400000000001</v>
      </c>
      <c r="O296" s="20" t="s">
        <v>3745</v>
      </c>
      <c r="P296" s="20" t="s">
        <v>3168</v>
      </c>
      <c r="Q296" s="20" t="s">
        <v>3168</v>
      </c>
      <c r="R296" s="20" t="s">
        <v>3170</v>
      </c>
      <c r="S296" s="20" t="s">
        <v>3153</v>
      </c>
      <c r="T296" s="20" t="s">
        <v>206</v>
      </c>
      <c r="U296" s="20" t="s">
        <v>207</v>
      </c>
      <c r="V296" s="20" t="s">
        <v>3169</v>
      </c>
      <c r="W296" s="20">
        <v>188.15</v>
      </c>
      <c r="X296" s="20">
        <v>188.15000181131799</v>
      </c>
      <c r="Y296" s="20" t="s">
        <v>3170</v>
      </c>
      <c r="Z296" s="20" t="s">
        <v>3153</v>
      </c>
      <c r="AB296" s="20" t="s">
        <v>2376</v>
      </c>
      <c r="AD296" s="20" t="s">
        <v>2376</v>
      </c>
      <c r="AE296" s="20" t="s">
        <v>2376</v>
      </c>
      <c r="AF296" s="20">
        <v>0</v>
      </c>
      <c r="AG296" s="20">
        <v>0</v>
      </c>
      <c r="AH296" s="20">
        <v>0</v>
      </c>
      <c r="AI296" s="20">
        <v>0</v>
      </c>
      <c r="AJ296" s="20">
        <v>0</v>
      </c>
      <c r="AK296" s="20" t="s">
        <v>609</v>
      </c>
      <c r="AL296" s="20">
        <v>0</v>
      </c>
      <c r="AM296" s="20">
        <v>0</v>
      </c>
      <c r="AN296" s="20">
        <v>0</v>
      </c>
      <c r="AO296" s="20">
        <v>0</v>
      </c>
      <c r="AP296" s="20">
        <v>0</v>
      </c>
      <c r="AR296" s="20">
        <v>0</v>
      </c>
      <c r="AS296" s="20">
        <v>0</v>
      </c>
      <c r="AT296" s="20">
        <v>394723.71</v>
      </c>
      <c r="AU296" s="20" t="s">
        <v>15</v>
      </c>
      <c r="AV296" s="20" t="s">
        <v>57</v>
      </c>
      <c r="AW296" s="20" t="s">
        <v>57</v>
      </c>
      <c r="AX296" s="20" t="s">
        <v>15</v>
      </c>
      <c r="AY296" s="20" t="s">
        <v>209</v>
      </c>
      <c r="AZ296" s="20">
        <v>0</v>
      </c>
      <c r="BA296" s="20">
        <v>237001.27</v>
      </c>
      <c r="BB296" s="20">
        <v>13</v>
      </c>
      <c r="BC296" s="20" t="s">
        <v>3167</v>
      </c>
      <c r="BD296" s="20" t="s">
        <v>104</v>
      </c>
      <c r="BE296" s="20" t="s">
        <v>210</v>
      </c>
      <c r="BF296" s="20" t="s">
        <v>210</v>
      </c>
      <c r="BG296" s="20">
        <v>0</v>
      </c>
      <c r="BH296" s="20">
        <v>0</v>
      </c>
      <c r="BI296" s="20">
        <v>0</v>
      </c>
      <c r="BJ296" s="20">
        <v>0</v>
      </c>
      <c r="BK296" s="20">
        <v>0</v>
      </c>
      <c r="BL296" s="20">
        <v>0</v>
      </c>
      <c r="BM296" s="20">
        <v>394723.71</v>
      </c>
      <c r="BN296" s="20">
        <v>622149060903</v>
      </c>
      <c r="BO296" s="111">
        <v>46224</v>
      </c>
      <c r="BP296" s="20">
        <v>0</v>
      </c>
    </row>
    <row r="297" spans="2:68">
      <c r="B297" s="20" t="s">
        <v>2216</v>
      </c>
      <c r="C297" s="20" t="s">
        <v>3167</v>
      </c>
      <c r="D297" s="20" t="s">
        <v>3743</v>
      </c>
      <c r="E297" s="20" t="s">
        <v>211</v>
      </c>
      <c r="F297" s="20" t="s">
        <v>16</v>
      </c>
      <c r="H297" s="20" t="s">
        <v>3744</v>
      </c>
      <c r="I297" s="20">
        <v>858.26</v>
      </c>
      <c r="J297" s="20">
        <v>858.26</v>
      </c>
      <c r="K297" s="20" t="s">
        <v>11</v>
      </c>
      <c r="L297" s="20">
        <v>858.26</v>
      </c>
      <c r="M297" s="20">
        <v>0</v>
      </c>
      <c r="N297" s="20">
        <v>858.26</v>
      </c>
      <c r="O297" s="20" t="s">
        <v>3745</v>
      </c>
      <c r="P297" s="20" t="s">
        <v>3168</v>
      </c>
      <c r="Q297" s="20" t="s">
        <v>3168</v>
      </c>
      <c r="R297" s="20" t="s">
        <v>3170</v>
      </c>
      <c r="S297" s="20" t="s">
        <v>3153</v>
      </c>
      <c r="T297" s="20" t="s">
        <v>206</v>
      </c>
      <c r="U297" s="20" t="s">
        <v>207</v>
      </c>
      <c r="V297" s="20" t="s">
        <v>3169</v>
      </c>
      <c r="W297" s="20">
        <v>183.77</v>
      </c>
      <c r="X297" s="20">
        <v>183.77000176915101</v>
      </c>
      <c r="Y297" s="20" t="s">
        <v>3170</v>
      </c>
      <c r="Z297" s="20" t="s">
        <v>3153</v>
      </c>
      <c r="AB297" s="20" t="s">
        <v>2376</v>
      </c>
      <c r="AD297" s="20" t="s">
        <v>2376</v>
      </c>
      <c r="AE297" s="20" t="s">
        <v>2376</v>
      </c>
      <c r="AF297" s="20">
        <v>0</v>
      </c>
      <c r="AG297" s="20">
        <v>0</v>
      </c>
      <c r="AH297" s="20">
        <v>0</v>
      </c>
      <c r="AI297" s="20">
        <v>0</v>
      </c>
      <c r="AJ297" s="20">
        <v>0</v>
      </c>
      <c r="AK297" s="20" t="s">
        <v>609</v>
      </c>
      <c r="AL297" s="20">
        <v>0</v>
      </c>
      <c r="AM297" s="20">
        <v>0</v>
      </c>
      <c r="AN297" s="20">
        <v>0</v>
      </c>
      <c r="AO297" s="20">
        <v>0</v>
      </c>
      <c r="AP297" s="20">
        <v>0</v>
      </c>
      <c r="AR297" s="20">
        <v>0</v>
      </c>
      <c r="AS297" s="20">
        <v>0</v>
      </c>
      <c r="AT297" s="20">
        <v>394723.71</v>
      </c>
      <c r="AU297" s="20" t="s">
        <v>15</v>
      </c>
      <c r="AV297" s="20" t="s">
        <v>57</v>
      </c>
      <c r="AW297" s="20" t="s">
        <v>57</v>
      </c>
      <c r="AX297" s="20" t="s">
        <v>15</v>
      </c>
      <c r="AY297" s="20" t="s">
        <v>209</v>
      </c>
      <c r="AZ297" s="20">
        <v>0</v>
      </c>
      <c r="BA297" s="20">
        <v>157722.44</v>
      </c>
      <c r="BB297" s="20">
        <v>13</v>
      </c>
      <c r="BC297" s="20" t="s">
        <v>3167</v>
      </c>
      <c r="BD297" s="20" t="s">
        <v>104</v>
      </c>
      <c r="BE297" s="20" t="s">
        <v>210</v>
      </c>
      <c r="BF297" s="20" t="s">
        <v>210</v>
      </c>
      <c r="BG297" s="20">
        <v>0</v>
      </c>
      <c r="BH297" s="20">
        <v>0</v>
      </c>
      <c r="BI297" s="20">
        <v>0</v>
      </c>
      <c r="BJ297" s="20">
        <v>0</v>
      </c>
      <c r="BK297" s="20">
        <v>0</v>
      </c>
      <c r="BL297" s="20">
        <v>0</v>
      </c>
      <c r="BM297" s="20">
        <v>0</v>
      </c>
      <c r="BN297" s="20">
        <v>622149060903</v>
      </c>
      <c r="BO297" s="111">
        <v>46224</v>
      </c>
      <c r="BP297" s="20">
        <v>0</v>
      </c>
    </row>
    <row r="298" spans="2:68">
      <c r="B298" s="20" t="s">
        <v>2216</v>
      </c>
      <c r="C298" s="20" t="s">
        <v>3167</v>
      </c>
      <c r="D298" s="20" t="s">
        <v>3746</v>
      </c>
      <c r="E298" s="20" t="s">
        <v>854</v>
      </c>
      <c r="F298" s="20" t="s">
        <v>801</v>
      </c>
      <c r="G298" s="20" t="s">
        <v>3747</v>
      </c>
      <c r="H298" s="20" t="s">
        <v>3748</v>
      </c>
      <c r="I298" s="20">
        <v>5100</v>
      </c>
      <c r="J298" s="20">
        <v>5100</v>
      </c>
      <c r="K298" s="20" t="s">
        <v>11</v>
      </c>
      <c r="L298" s="20">
        <v>5100</v>
      </c>
      <c r="M298" s="20">
        <v>0</v>
      </c>
      <c r="N298" s="20">
        <v>5100</v>
      </c>
      <c r="O298" s="20" t="s">
        <v>2376</v>
      </c>
      <c r="P298" s="20" t="s">
        <v>109</v>
      </c>
      <c r="Q298" s="20" t="s">
        <v>109</v>
      </c>
      <c r="R298" s="20" t="s">
        <v>3201</v>
      </c>
      <c r="S298" s="111">
        <v>46363</v>
      </c>
      <c r="T298" s="20" t="s">
        <v>206</v>
      </c>
      <c r="U298" s="20" t="s">
        <v>207</v>
      </c>
      <c r="V298" s="20" t="s">
        <v>3200</v>
      </c>
      <c r="W298" s="20">
        <v>108</v>
      </c>
      <c r="X298" s="20">
        <v>108</v>
      </c>
      <c r="Y298" s="20" t="s">
        <v>3201</v>
      </c>
      <c r="Z298" s="111">
        <v>46363</v>
      </c>
      <c r="AB298" s="20" t="s">
        <v>2376</v>
      </c>
      <c r="AD298" s="20" t="s">
        <v>2376</v>
      </c>
      <c r="AE298" s="20" t="s">
        <v>2376</v>
      </c>
      <c r="AF298" s="20">
        <v>0</v>
      </c>
      <c r="AG298" s="20">
        <v>0</v>
      </c>
      <c r="AH298" s="20">
        <v>0</v>
      </c>
      <c r="AI298" s="20">
        <v>0</v>
      </c>
      <c r="AJ298" s="20">
        <v>0</v>
      </c>
      <c r="AK298" s="20" t="s">
        <v>609</v>
      </c>
      <c r="AL298" s="20">
        <v>0</v>
      </c>
      <c r="AM298" s="20">
        <v>0</v>
      </c>
      <c r="AN298" s="20">
        <v>0</v>
      </c>
      <c r="AO298" s="20">
        <v>0</v>
      </c>
      <c r="AP298" s="20">
        <v>0</v>
      </c>
      <c r="AR298" s="20">
        <v>0</v>
      </c>
      <c r="AS298" s="20">
        <v>0</v>
      </c>
      <c r="AT298" s="20">
        <v>649944</v>
      </c>
      <c r="AU298" s="20" t="s">
        <v>8</v>
      </c>
      <c r="AV298" s="20" t="s">
        <v>110</v>
      </c>
      <c r="AW298" s="20" t="s">
        <v>800</v>
      </c>
      <c r="AX298" s="20" t="s">
        <v>208</v>
      </c>
      <c r="AY298" s="20" t="s">
        <v>209</v>
      </c>
      <c r="AZ298" s="20">
        <v>0</v>
      </c>
      <c r="BA298" s="20">
        <v>550800</v>
      </c>
      <c r="BB298" s="20">
        <v>898</v>
      </c>
      <c r="BC298" s="20" t="s">
        <v>3071</v>
      </c>
      <c r="BD298" s="20" t="s">
        <v>658</v>
      </c>
      <c r="BE298" s="20" t="s">
        <v>210</v>
      </c>
      <c r="BF298" s="20" t="s">
        <v>3749</v>
      </c>
      <c r="BG298" s="20">
        <v>0</v>
      </c>
      <c r="BH298" s="20">
        <v>0</v>
      </c>
      <c r="BI298" s="20">
        <v>0</v>
      </c>
      <c r="BJ298" s="20">
        <v>0</v>
      </c>
      <c r="BK298" s="20">
        <v>18</v>
      </c>
      <c r="BL298" s="20">
        <v>99144</v>
      </c>
      <c r="BM298" s="20">
        <v>649944</v>
      </c>
      <c r="BN298" s="20">
        <v>202241967584</v>
      </c>
      <c r="BO298" s="111">
        <v>46216</v>
      </c>
      <c r="BP298" s="20">
        <v>0</v>
      </c>
    </row>
    <row r="299" spans="2:68">
      <c r="B299" s="20" t="s">
        <v>2216</v>
      </c>
      <c r="C299" s="20" t="s">
        <v>3167</v>
      </c>
      <c r="D299" s="20" t="s">
        <v>3750</v>
      </c>
      <c r="E299" s="20" t="s">
        <v>2618</v>
      </c>
      <c r="F299" s="20" t="s">
        <v>2580</v>
      </c>
      <c r="G299" s="20" t="s">
        <v>3751</v>
      </c>
      <c r="H299" s="20" t="s">
        <v>3752</v>
      </c>
      <c r="I299" s="20">
        <v>200</v>
      </c>
      <c r="J299" s="20">
        <v>200</v>
      </c>
      <c r="K299" s="20" t="s">
        <v>11</v>
      </c>
      <c r="L299" s="20">
        <v>200</v>
      </c>
      <c r="M299" s="20">
        <v>0</v>
      </c>
      <c r="N299" s="20">
        <v>200</v>
      </c>
      <c r="O299" s="20" t="s">
        <v>2376</v>
      </c>
      <c r="P299" s="20" t="s">
        <v>109</v>
      </c>
      <c r="Q299" s="20" t="s">
        <v>109</v>
      </c>
      <c r="R299" s="20" t="s">
        <v>3203</v>
      </c>
      <c r="S299" s="20" t="s">
        <v>3030</v>
      </c>
      <c r="T299" s="20" t="s">
        <v>206</v>
      </c>
      <c r="U299" s="20" t="s">
        <v>207</v>
      </c>
      <c r="V299" s="20" t="s">
        <v>3202</v>
      </c>
      <c r="W299" s="20">
        <v>277</v>
      </c>
      <c r="X299" s="20">
        <v>257.90488720114502</v>
      </c>
      <c r="Y299" s="20" t="s">
        <v>3203</v>
      </c>
      <c r="Z299" s="20" t="s">
        <v>3030</v>
      </c>
      <c r="AB299" s="20" t="s">
        <v>2376</v>
      </c>
      <c r="AD299" s="20" t="s">
        <v>2551</v>
      </c>
      <c r="AE299" s="20">
        <v>4102516005</v>
      </c>
      <c r="AF299" s="20">
        <v>0</v>
      </c>
      <c r="AG299" s="20">
        <v>0</v>
      </c>
      <c r="AH299" s="20">
        <v>0</v>
      </c>
      <c r="AI299" s="20">
        <v>0</v>
      </c>
      <c r="AJ299" s="20">
        <v>0</v>
      </c>
      <c r="AK299" s="20" t="s">
        <v>609</v>
      </c>
      <c r="AL299" s="20">
        <v>0</v>
      </c>
      <c r="AM299" s="20">
        <v>0</v>
      </c>
      <c r="AN299" s="20">
        <v>0</v>
      </c>
      <c r="AO299" s="20">
        <v>0</v>
      </c>
      <c r="AP299" s="20">
        <v>0</v>
      </c>
      <c r="AR299" s="20">
        <v>0</v>
      </c>
      <c r="AS299" s="20">
        <v>0</v>
      </c>
      <c r="AT299" s="20">
        <v>352083</v>
      </c>
      <c r="AU299" s="20" t="s">
        <v>8</v>
      </c>
      <c r="AV299" s="20" t="s">
        <v>110</v>
      </c>
      <c r="AW299" s="20" t="s">
        <v>110</v>
      </c>
      <c r="AX299" s="20" t="s">
        <v>208</v>
      </c>
      <c r="AY299" s="20" t="s">
        <v>209</v>
      </c>
      <c r="AZ299" s="20">
        <v>0</v>
      </c>
      <c r="BA299" s="20">
        <v>51580.98</v>
      </c>
      <c r="BB299" s="20">
        <v>925</v>
      </c>
      <c r="BC299" s="20" t="s">
        <v>3153</v>
      </c>
      <c r="BD299" s="20" t="s">
        <v>658</v>
      </c>
      <c r="BE299" s="20" t="s">
        <v>210</v>
      </c>
      <c r="BF299" s="20" t="s">
        <v>3749</v>
      </c>
      <c r="BG299" s="20">
        <v>0</v>
      </c>
      <c r="BH299" s="20">
        <v>0</v>
      </c>
      <c r="BI299" s="20">
        <v>0</v>
      </c>
      <c r="BJ299" s="20">
        <v>0</v>
      </c>
      <c r="BK299" s="20">
        <v>18</v>
      </c>
      <c r="BL299" s="20">
        <v>9972</v>
      </c>
      <c r="BM299" s="20">
        <v>352083</v>
      </c>
      <c r="BN299" s="20">
        <v>202244918691</v>
      </c>
      <c r="BO299" s="111">
        <v>46219</v>
      </c>
      <c r="BP299" s="20">
        <v>0</v>
      </c>
    </row>
    <row r="300" spans="2:68">
      <c r="B300" s="20" t="s">
        <v>2216</v>
      </c>
      <c r="C300" s="20" t="s">
        <v>3167</v>
      </c>
      <c r="D300" s="20" t="s">
        <v>3750</v>
      </c>
      <c r="E300" s="20" t="s">
        <v>2627</v>
      </c>
      <c r="F300" s="20" t="s">
        <v>2607</v>
      </c>
      <c r="G300" s="20" t="s">
        <v>3753</v>
      </c>
      <c r="H300" s="20" t="s">
        <v>3752</v>
      </c>
      <c r="I300" s="20">
        <v>100</v>
      </c>
      <c r="J300" s="20">
        <v>100</v>
      </c>
      <c r="K300" s="20" t="s">
        <v>11</v>
      </c>
      <c r="L300" s="20">
        <v>100</v>
      </c>
      <c r="M300" s="20">
        <v>0</v>
      </c>
      <c r="N300" s="20">
        <v>100</v>
      </c>
      <c r="O300" s="20" t="s">
        <v>2376</v>
      </c>
      <c r="P300" s="20" t="s">
        <v>109</v>
      </c>
      <c r="Q300" s="20" t="s">
        <v>109</v>
      </c>
      <c r="R300" s="20" t="s">
        <v>3203</v>
      </c>
      <c r="S300" s="20" t="s">
        <v>3030</v>
      </c>
      <c r="T300" s="20" t="s">
        <v>206</v>
      </c>
      <c r="U300" s="20" t="s">
        <v>207</v>
      </c>
      <c r="V300" s="20" t="s">
        <v>3202</v>
      </c>
      <c r="W300" s="20">
        <v>311</v>
      </c>
      <c r="X300" s="20">
        <v>319.08769112860199</v>
      </c>
      <c r="Y300" s="20" t="s">
        <v>3203</v>
      </c>
      <c r="Z300" s="20" t="s">
        <v>3030</v>
      </c>
      <c r="AB300" s="20" t="s">
        <v>2376</v>
      </c>
      <c r="AD300" s="20" t="s">
        <v>2551</v>
      </c>
      <c r="AE300" s="20">
        <v>4102516005</v>
      </c>
      <c r="AF300" s="20">
        <v>0</v>
      </c>
      <c r="AG300" s="20">
        <v>0</v>
      </c>
      <c r="AH300" s="20">
        <v>0</v>
      </c>
      <c r="AI300" s="20">
        <v>0</v>
      </c>
      <c r="AJ300" s="20">
        <v>0</v>
      </c>
      <c r="AK300" s="20" t="s">
        <v>609</v>
      </c>
      <c r="AL300" s="20">
        <v>0</v>
      </c>
      <c r="AM300" s="20">
        <v>0</v>
      </c>
      <c r="AN300" s="20">
        <v>0</v>
      </c>
      <c r="AO300" s="20">
        <v>0</v>
      </c>
      <c r="AP300" s="20">
        <v>0</v>
      </c>
      <c r="AR300" s="20">
        <v>0</v>
      </c>
      <c r="AS300" s="20">
        <v>0</v>
      </c>
      <c r="AT300" s="20">
        <v>352083</v>
      </c>
      <c r="AU300" s="20" t="s">
        <v>8</v>
      </c>
      <c r="AV300" s="20" t="s">
        <v>110</v>
      </c>
      <c r="AW300" s="20" t="s">
        <v>110</v>
      </c>
      <c r="AX300" s="20" t="s">
        <v>208</v>
      </c>
      <c r="AY300" s="20" t="s">
        <v>209</v>
      </c>
      <c r="AZ300" s="20">
        <v>0</v>
      </c>
      <c r="BA300" s="20">
        <v>31908.77</v>
      </c>
      <c r="BB300" s="20">
        <v>925</v>
      </c>
      <c r="BC300" s="20" t="s">
        <v>3153</v>
      </c>
      <c r="BD300" s="20" t="s">
        <v>658</v>
      </c>
      <c r="BE300" s="20" t="s">
        <v>210</v>
      </c>
      <c r="BF300" s="20" t="s">
        <v>3749</v>
      </c>
      <c r="BG300" s="20">
        <v>0</v>
      </c>
      <c r="BH300" s="20">
        <v>0</v>
      </c>
      <c r="BI300" s="20">
        <v>0</v>
      </c>
      <c r="BJ300" s="20">
        <v>0</v>
      </c>
      <c r="BK300" s="20">
        <v>18</v>
      </c>
      <c r="BL300" s="20">
        <v>5598</v>
      </c>
      <c r="BM300" s="20">
        <v>0</v>
      </c>
      <c r="BN300" s="20">
        <v>202244918691</v>
      </c>
      <c r="BO300" s="111">
        <v>46219</v>
      </c>
      <c r="BP300" s="20">
        <v>0</v>
      </c>
    </row>
    <row r="301" spans="2:68">
      <c r="B301" s="20" t="s">
        <v>2216</v>
      </c>
      <c r="C301" s="20" t="s">
        <v>3167</v>
      </c>
      <c r="D301" s="20" t="s">
        <v>3750</v>
      </c>
      <c r="E301" s="20" t="s">
        <v>2628</v>
      </c>
      <c r="F301" s="20" t="s">
        <v>2577</v>
      </c>
      <c r="G301" s="20" t="s">
        <v>3754</v>
      </c>
      <c r="H301" s="20" t="s">
        <v>3752</v>
      </c>
      <c r="I301" s="20">
        <v>150</v>
      </c>
      <c r="J301" s="20">
        <v>150</v>
      </c>
      <c r="K301" s="20" t="s">
        <v>11</v>
      </c>
      <c r="L301" s="20">
        <v>150</v>
      </c>
      <c r="M301" s="20">
        <v>0</v>
      </c>
      <c r="N301" s="20">
        <v>150</v>
      </c>
      <c r="O301" s="20" t="s">
        <v>2376</v>
      </c>
      <c r="P301" s="20" t="s">
        <v>109</v>
      </c>
      <c r="Q301" s="20" t="s">
        <v>109</v>
      </c>
      <c r="R301" s="20" t="s">
        <v>3203</v>
      </c>
      <c r="S301" s="20" t="s">
        <v>3030</v>
      </c>
      <c r="T301" s="20" t="s">
        <v>206</v>
      </c>
      <c r="U301" s="20" t="s">
        <v>207</v>
      </c>
      <c r="V301" s="20" t="s">
        <v>3202</v>
      </c>
      <c r="W301" s="20">
        <v>282</v>
      </c>
      <c r="X301" s="20">
        <v>276.345667947908</v>
      </c>
      <c r="Y301" s="20" t="s">
        <v>3203</v>
      </c>
      <c r="Z301" s="20" t="s">
        <v>3030</v>
      </c>
      <c r="AB301" s="20" t="s">
        <v>2376</v>
      </c>
      <c r="AD301" s="20" t="s">
        <v>2551</v>
      </c>
      <c r="AE301" s="20">
        <v>4102516005</v>
      </c>
      <c r="AF301" s="20">
        <v>0</v>
      </c>
      <c r="AG301" s="20">
        <v>0</v>
      </c>
      <c r="AH301" s="20">
        <v>0</v>
      </c>
      <c r="AI301" s="20">
        <v>0</v>
      </c>
      <c r="AJ301" s="20">
        <v>0</v>
      </c>
      <c r="AK301" s="20" t="s">
        <v>609</v>
      </c>
      <c r="AL301" s="20">
        <v>0</v>
      </c>
      <c r="AM301" s="20">
        <v>0</v>
      </c>
      <c r="AN301" s="20">
        <v>0</v>
      </c>
      <c r="AO301" s="20">
        <v>0</v>
      </c>
      <c r="AP301" s="20">
        <v>0</v>
      </c>
      <c r="AR301" s="20">
        <v>0</v>
      </c>
      <c r="AS301" s="20">
        <v>0</v>
      </c>
      <c r="AT301" s="20">
        <v>352083</v>
      </c>
      <c r="AU301" s="20" t="s">
        <v>8</v>
      </c>
      <c r="AV301" s="20" t="s">
        <v>110</v>
      </c>
      <c r="AW301" s="20" t="s">
        <v>110</v>
      </c>
      <c r="AX301" s="20" t="s">
        <v>208</v>
      </c>
      <c r="AY301" s="20" t="s">
        <v>209</v>
      </c>
      <c r="AZ301" s="20">
        <v>0</v>
      </c>
      <c r="BA301" s="20">
        <v>41451.85</v>
      </c>
      <c r="BB301" s="20">
        <v>925</v>
      </c>
      <c r="BC301" s="20" t="s">
        <v>3153</v>
      </c>
      <c r="BD301" s="20" t="s">
        <v>658</v>
      </c>
      <c r="BE301" s="20" t="s">
        <v>210</v>
      </c>
      <c r="BF301" s="20" t="s">
        <v>3749</v>
      </c>
      <c r="BG301" s="20">
        <v>0</v>
      </c>
      <c r="BH301" s="20">
        <v>0</v>
      </c>
      <c r="BI301" s="20">
        <v>0</v>
      </c>
      <c r="BJ301" s="20">
        <v>0</v>
      </c>
      <c r="BK301" s="20">
        <v>18</v>
      </c>
      <c r="BL301" s="20">
        <v>7614</v>
      </c>
      <c r="BM301" s="20">
        <v>0</v>
      </c>
      <c r="BN301" s="20">
        <v>202244918691</v>
      </c>
      <c r="BO301" s="111">
        <v>46219</v>
      </c>
      <c r="BP301" s="20">
        <v>0</v>
      </c>
    </row>
    <row r="302" spans="2:68">
      <c r="B302" s="20" t="s">
        <v>2216</v>
      </c>
      <c r="C302" s="20" t="s">
        <v>3167</v>
      </c>
      <c r="D302" s="20" t="s">
        <v>3750</v>
      </c>
      <c r="E302" s="20" t="s">
        <v>2619</v>
      </c>
      <c r="F302" s="20" t="s">
        <v>2578</v>
      </c>
      <c r="G302" s="20" t="s">
        <v>3755</v>
      </c>
      <c r="H302" s="20" t="s">
        <v>3752</v>
      </c>
      <c r="I302" s="20">
        <v>75</v>
      </c>
      <c r="J302" s="20">
        <v>75</v>
      </c>
      <c r="K302" s="20" t="s">
        <v>11</v>
      </c>
      <c r="L302" s="20">
        <v>75</v>
      </c>
      <c r="M302" s="20">
        <v>0</v>
      </c>
      <c r="N302" s="20">
        <v>75</v>
      </c>
      <c r="O302" s="20" t="s">
        <v>2376</v>
      </c>
      <c r="P302" s="20" t="s">
        <v>109</v>
      </c>
      <c r="Q302" s="20" t="s">
        <v>109</v>
      </c>
      <c r="R302" s="20" t="s">
        <v>3203</v>
      </c>
      <c r="S302" s="20" t="s">
        <v>3030</v>
      </c>
      <c r="T302" s="20" t="s">
        <v>206</v>
      </c>
      <c r="U302" s="20" t="s">
        <v>207</v>
      </c>
      <c r="V302" s="20" t="s">
        <v>3202</v>
      </c>
      <c r="W302" s="20">
        <v>285</v>
      </c>
      <c r="X302" s="20">
        <v>304.85228843553898</v>
      </c>
      <c r="Y302" s="20" t="s">
        <v>3203</v>
      </c>
      <c r="Z302" s="20" t="s">
        <v>3030</v>
      </c>
      <c r="AB302" s="20" t="s">
        <v>2376</v>
      </c>
      <c r="AD302" s="20" t="s">
        <v>2551</v>
      </c>
      <c r="AE302" s="20">
        <v>4102516005</v>
      </c>
      <c r="AF302" s="20">
        <v>0</v>
      </c>
      <c r="AG302" s="20">
        <v>0</v>
      </c>
      <c r="AH302" s="20">
        <v>0</v>
      </c>
      <c r="AI302" s="20">
        <v>0</v>
      </c>
      <c r="AJ302" s="20">
        <v>0</v>
      </c>
      <c r="AK302" s="20" t="s">
        <v>609</v>
      </c>
      <c r="AL302" s="20">
        <v>0</v>
      </c>
      <c r="AM302" s="20">
        <v>0</v>
      </c>
      <c r="AN302" s="20">
        <v>0</v>
      </c>
      <c r="AO302" s="20">
        <v>0</v>
      </c>
      <c r="AP302" s="20">
        <v>0</v>
      </c>
      <c r="AR302" s="20">
        <v>0</v>
      </c>
      <c r="AS302" s="20">
        <v>0</v>
      </c>
      <c r="AT302" s="20">
        <v>352083</v>
      </c>
      <c r="AU302" s="20" t="s">
        <v>8</v>
      </c>
      <c r="AV302" s="20" t="s">
        <v>110</v>
      </c>
      <c r="AW302" s="20" t="s">
        <v>110</v>
      </c>
      <c r="AX302" s="20" t="s">
        <v>208</v>
      </c>
      <c r="AY302" s="20" t="s">
        <v>209</v>
      </c>
      <c r="AZ302" s="20">
        <v>0</v>
      </c>
      <c r="BA302" s="20">
        <v>22863.919999999998</v>
      </c>
      <c r="BB302" s="20">
        <v>925</v>
      </c>
      <c r="BC302" s="20" t="s">
        <v>3153</v>
      </c>
      <c r="BD302" s="20" t="s">
        <v>658</v>
      </c>
      <c r="BE302" s="20" t="s">
        <v>210</v>
      </c>
      <c r="BF302" s="20" t="s">
        <v>3749</v>
      </c>
      <c r="BG302" s="20">
        <v>0</v>
      </c>
      <c r="BH302" s="20">
        <v>0</v>
      </c>
      <c r="BI302" s="20">
        <v>0</v>
      </c>
      <c r="BJ302" s="20">
        <v>0</v>
      </c>
      <c r="BK302" s="20">
        <v>18</v>
      </c>
      <c r="BL302" s="20">
        <v>3847.5</v>
      </c>
      <c r="BM302" s="20">
        <v>0</v>
      </c>
      <c r="BN302" s="20">
        <v>202244918691</v>
      </c>
      <c r="BO302" s="111">
        <v>46219</v>
      </c>
      <c r="BP302" s="20">
        <v>0</v>
      </c>
    </row>
    <row r="303" spans="2:68">
      <c r="B303" s="20" t="s">
        <v>2216</v>
      </c>
      <c r="C303" s="20" t="s">
        <v>3167</v>
      </c>
      <c r="D303" s="20" t="s">
        <v>3750</v>
      </c>
      <c r="E303" s="20" t="s">
        <v>2630</v>
      </c>
      <c r="F303" s="20" t="s">
        <v>2608</v>
      </c>
      <c r="G303" s="20" t="s">
        <v>3756</v>
      </c>
      <c r="H303" s="20" t="s">
        <v>3752</v>
      </c>
      <c r="I303" s="20">
        <v>50</v>
      </c>
      <c r="J303" s="20">
        <v>50</v>
      </c>
      <c r="K303" s="20" t="s">
        <v>11</v>
      </c>
      <c r="L303" s="20">
        <v>50</v>
      </c>
      <c r="M303" s="20">
        <v>0</v>
      </c>
      <c r="N303" s="20">
        <v>50</v>
      </c>
      <c r="O303" s="20" t="s">
        <v>2376</v>
      </c>
      <c r="P303" s="20" t="s">
        <v>109</v>
      </c>
      <c r="Q303" s="20" t="s">
        <v>109</v>
      </c>
      <c r="R303" s="20" t="s">
        <v>3203</v>
      </c>
      <c r="S303" s="20" t="s">
        <v>3030</v>
      </c>
      <c r="T303" s="20" t="s">
        <v>206</v>
      </c>
      <c r="U303" s="20" t="s">
        <v>207</v>
      </c>
      <c r="V303" s="20" t="s">
        <v>3202</v>
      </c>
      <c r="W303" s="20">
        <v>277</v>
      </c>
      <c r="X303" s="20">
        <v>306.38130617399497</v>
      </c>
      <c r="Y303" s="20" t="s">
        <v>3203</v>
      </c>
      <c r="Z303" s="20" t="s">
        <v>3030</v>
      </c>
      <c r="AB303" s="20" t="s">
        <v>2376</v>
      </c>
      <c r="AD303" s="20" t="s">
        <v>2551</v>
      </c>
      <c r="AE303" s="20">
        <v>4102516005</v>
      </c>
      <c r="AF303" s="20">
        <v>0</v>
      </c>
      <c r="AG303" s="20">
        <v>0</v>
      </c>
      <c r="AH303" s="20">
        <v>0</v>
      </c>
      <c r="AI303" s="20">
        <v>0</v>
      </c>
      <c r="AJ303" s="20">
        <v>0</v>
      </c>
      <c r="AK303" s="20" t="s">
        <v>609</v>
      </c>
      <c r="AL303" s="20">
        <v>0</v>
      </c>
      <c r="AM303" s="20">
        <v>0</v>
      </c>
      <c r="AN303" s="20">
        <v>0</v>
      </c>
      <c r="AO303" s="20">
        <v>0</v>
      </c>
      <c r="AP303" s="20">
        <v>0</v>
      </c>
      <c r="AR303" s="20">
        <v>0</v>
      </c>
      <c r="AS303" s="20">
        <v>0</v>
      </c>
      <c r="AT303" s="20">
        <v>352083</v>
      </c>
      <c r="AU303" s="20" t="s">
        <v>8</v>
      </c>
      <c r="AV303" s="20" t="s">
        <v>110</v>
      </c>
      <c r="AW303" s="20" t="s">
        <v>110</v>
      </c>
      <c r="AX303" s="20" t="s">
        <v>208</v>
      </c>
      <c r="AY303" s="20" t="s">
        <v>209</v>
      </c>
      <c r="AZ303" s="20">
        <v>0</v>
      </c>
      <c r="BA303" s="20">
        <v>15319.07</v>
      </c>
      <c r="BB303" s="20">
        <v>925</v>
      </c>
      <c r="BC303" s="20" t="s">
        <v>3153</v>
      </c>
      <c r="BD303" s="20" t="s">
        <v>658</v>
      </c>
      <c r="BE303" s="20" t="s">
        <v>210</v>
      </c>
      <c r="BF303" s="20" t="s">
        <v>3749</v>
      </c>
      <c r="BG303" s="20">
        <v>0</v>
      </c>
      <c r="BH303" s="20">
        <v>0</v>
      </c>
      <c r="BI303" s="20">
        <v>0</v>
      </c>
      <c r="BJ303" s="20">
        <v>0</v>
      </c>
      <c r="BK303" s="20">
        <v>18</v>
      </c>
      <c r="BL303" s="20">
        <v>2493</v>
      </c>
      <c r="BM303" s="20">
        <v>0</v>
      </c>
      <c r="BN303" s="20">
        <v>202244918691</v>
      </c>
      <c r="BO303" s="111">
        <v>46219</v>
      </c>
      <c r="BP303" s="20">
        <v>0</v>
      </c>
    </row>
    <row r="304" spans="2:68">
      <c r="B304" s="20" t="s">
        <v>2216</v>
      </c>
      <c r="C304" s="20" t="s">
        <v>3167</v>
      </c>
      <c r="D304" s="20" t="s">
        <v>3750</v>
      </c>
      <c r="E304" s="20" t="s">
        <v>2620</v>
      </c>
      <c r="F304" s="20" t="s">
        <v>2579</v>
      </c>
      <c r="G304" s="20" t="s">
        <v>3757</v>
      </c>
      <c r="H304" s="20" t="s">
        <v>3752</v>
      </c>
      <c r="I304" s="20">
        <v>100</v>
      </c>
      <c r="J304" s="20">
        <v>100</v>
      </c>
      <c r="K304" s="20" t="s">
        <v>11</v>
      </c>
      <c r="L304" s="20">
        <v>100</v>
      </c>
      <c r="M304" s="20">
        <v>0</v>
      </c>
      <c r="N304" s="20">
        <v>100</v>
      </c>
      <c r="O304" s="20" t="s">
        <v>2376</v>
      </c>
      <c r="P304" s="20" t="s">
        <v>109</v>
      </c>
      <c r="Q304" s="20" t="s">
        <v>109</v>
      </c>
      <c r="R304" s="20" t="s">
        <v>3203</v>
      </c>
      <c r="S304" s="20" t="s">
        <v>3030</v>
      </c>
      <c r="T304" s="20" t="s">
        <v>206</v>
      </c>
      <c r="U304" s="20" t="s">
        <v>207</v>
      </c>
      <c r="V304" s="20" t="s">
        <v>3202</v>
      </c>
      <c r="W304" s="20">
        <v>277</v>
      </c>
      <c r="X304" s="20">
        <v>288.31705211625302</v>
      </c>
      <c r="Y304" s="20" t="s">
        <v>3203</v>
      </c>
      <c r="Z304" s="20" t="s">
        <v>3030</v>
      </c>
      <c r="AB304" s="20" t="s">
        <v>2376</v>
      </c>
      <c r="AD304" s="20" t="s">
        <v>2551</v>
      </c>
      <c r="AE304" s="20">
        <v>4102516005</v>
      </c>
      <c r="AF304" s="20">
        <v>0</v>
      </c>
      <c r="AG304" s="20">
        <v>0</v>
      </c>
      <c r="AH304" s="20">
        <v>0</v>
      </c>
      <c r="AI304" s="20">
        <v>0</v>
      </c>
      <c r="AJ304" s="20">
        <v>0</v>
      </c>
      <c r="AK304" s="20" t="s">
        <v>609</v>
      </c>
      <c r="AL304" s="20">
        <v>0</v>
      </c>
      <c r="AM304" s="20">
        <v>0</v>
      </c>
      <c r="AN304" s="20">
        <v>0</v>
      </c>
      <c r="AO304" s="20">
        <v>0</v>
      </c>
      <c r="AP304" s="20">
        <v>0</v>
      </c>
      <c r="AR304" s="20">
        <v>0</v>
      </c>
      <c r="AS304" s="20">
        <v>0</v>
      </c>
      <c r="AT304" s="20">
        <v>352083</v>
      </c>
      <c r="AU304" s="20" t="s">
        <v>8</v>
      </c>
      <c r="AV304" s="20" t="s">
        <v>110</v>
      </c>
      <c r="AW304" s="20" t="s">
        <v>110</v>
      </c>
      <c r="AX304" s="20" t="s">
        <v>208</v>
      </c>
      <c r="AY304" s="20" t="s">
        <v>209</v>
      </c>
      <c r="AZ304" s="20">
        <v>0</v>
      </c>
      <c r="BA304" s="20">
        <v>28831.71</v>
      </c>
      <c r="BB304" s="20">
        <v>925</v>
      </c>
      <c r="BC304" s="20" t="s">
        <v>3153</v>
      </c>
      <c r="BD304" s="20" t="s">
        <v>658</v>
      </c>
      <c r="BE304" s="20" t="s">
        <v>210</v>
      </c>
      <c r="BF304" s="20" t="s">
        <v>3749</v>
      </c>
      <c r="BG304" s="20">
        <v>0</v>
      </c>
      <c r="BH304" s="20">
        <v>0</v>
      </c>
      <c r="BI304" s="20">
        <v>0</v>
      </c>
      <c r="BJ304" s="20">
        <v>0</v>
      </c>
      <c r="BK304" s="20">
        <v>18</v>
      </c>
      <c r="BL304" s="20">
        <v>4986</v>
      </c>
      <c r="BM304" s="20">
        <v>0</v>
      </c>
      <c r="BN304" s="20">
        <v>202244918691</v>
      </c>
      <c r="BO304" s="111">
        <v>46219</v>
      </c>
      <c r="BP304" s="20">
        <v>0</v>
      </c>
    </row>
    <row r="305" spans="2:68">
      <c r="B305" s="20" t="s">
        <v>2216</v>
      </c>
      <c r="C305" s="20" t="s">
        <v>3167</v>
      </c>
      <c r="D305" s="20" t="s">
        <v>3750</v>
      </c>
      <c r="E305" s="20" t="s">
        <v>2621</v>
      </c>
      <c r="F305" s="20" t="s">
        <v>2576</v>
      </c>
      <c r="G305" s="20" t="s">
        <v>3758</v>
      </c>
      <c r="H305" s="20" t="s">
        <v>3752</v>
      </c>
      <c r="I305" s="20">
        <v>150</v>
      </c>
      <c r="J305" s="20">
        <v>150</v>
      </c>
      <c r="K305" s="20" t="s">
        <v>11</v>
      </c>
      <c r="L305" s="20">
        <v>150</v>
      </c>
      <c r="M305" s="20">
        <v>0</v>
      </c>
      <c r="N305" s="20">
        <v>150</v>
      </c>
      <c r="O305" s="20" t="s">
        <v>2376</v>
      </c>
      <c r="P305" s="20" t="s">
        <v>109</v>
      </c>
      <c r="Q305" s="20" t="s">
        <v>109</v>
      </c>
      <c r="R305" s="20" t="s">
        <v>3203</v>
      </c>
      <c r="S305" s="20" t="s">
        <v>3030</v>
      </c>
      <c r="T305" s="20" t="s">
        <v>206</v>
      </c>
      <c r="U305" s="20" t="s">
        <v>207</v>
      </c>
      <c r="V305" s="20" t="s">
        <v>3202</v>
      </c>
      <c r="W305" s="20">
        <v>277</v>
      </c>
      <c r="X305" s="20">
        <v>272.26433598450097</v>
      </c>
      <c r="Y305" s="20" t="s">
        <v>3203</v>
      </c>
      <c r="Z305" s="20" t="s">
        <v>3030</v>
      </c>
      <c r="AB305" s="20" t="s">
        <v>2376</v>
      </c>
      <c r="AD305" s="20" t="s">
        <v>2551</v>
      </c>
      <c r="AE305" s="20">
        <v>4102516005</v>
      </c>
      <c r="AF305" s="20">
        <v>0</v>
      </c>
      <c r="AG305" s="20">
        <v>0</v>
      </c>
      <c r="AH305" s="20">
        <v>0</v>
      </c>
      <c r="AI305" s="20">
        <v>0</v>
      </c>
      <c r="AJ305" s="20">
        <v>0</v>
      </c>
      <c r="AK305" s="20" t="s">
        <v>609</v>
      </c>
      <c r="AL305" s="20">
        <v>0</v>
      </c>
      <c r="AM305" s="20">
        <v>0</v>
      </c>
      <c r="AN305" s="20">
        <v>0</v>
      </c>
      <c r="AO305" s="20">
        <v>0</v>
      </c>
      <c r="AP305" s="20">
        <v>0</v>
      </c>
      <c r="AR305" s="20">
        <v>0</v>
      </c>
      <c r="AS305" s="20">
        <v>0</v>
      </c>
      <c r="AT305" s="20">
        <v>352083</v>
      </c>
      <c r="AU305" s="20" t="s">
        <v>8</v>
      </c>
      <c r="AV305" s="20" t="s">
        <v>110</v>
      </c>
      <c r="AW305" s="20" t="s">
        <v>110</v>
      </c>
      <c r="AX305" s="20" t="s">
        <v>208</v>
      </c>
      <c r="AY305" s="20" t="s">
        <v>209</v>
      </c>
      <c r="AZ305" s="20">
        <v>0</v>
      </c>
      <c r="BA305" s="20">
        <v>40839.65</v>
      </c>
      <c r="BB305" s="20">
        <v>925</v>
      </c>
      <c r="BC305" s="20" t="s">
        <v>3153</v>
      </c>
      <c r="BD305" s="20" t="s">
        <v>658</v>
      </c>
      <c r="BE305" s="20" t="s">
        <v>210</v>
      </c>
      <c r="BF305" s="20" t="s">
        <v>3749</v>
      </c>
      <c r="BG305" s="20">
        <v>0</v>
      </c>
      <c r="BH305" s="20">
        <v>0</v>
      </c>
      <c r="BI305" s="20">
        <v>0</v>
      </c>
      <c r="BJ305" s="20">
        <v>0</v>
      </c>
      <c r="BK305" s="20">
        <v>18</v>
      </c>
      <c r="BL305" s="20">
        <v>7479</v>
      </c>
      <c r="BM305" s="20">
        <v>0</v>
      </c>
      <c r="BN305" s="20">
        <v>202244918691</v>
      </c>
      <c r="BO305" s="111">
        <v>46219</v>
      </c>
      <c r="BP305" s="20">
        <v>0</v>
      </c>
    </row>
    <row r="306" spans="2:68">
      <c r="B306" s="20" t="s">
        <v>2216</v>
      </c>
      <c r="C306" s="20" t="s">
        <v>3167</v>
      </c>
      <c r="D306" s="20" t="s">
        <v>3750</v>
      </c>
      <c r="E306" s="20" t="s">
        <v>2629</v>
      </c>
      <c r="F306" s="20" t="s">
        <v>2606</v>
      </c>
      <c r="G306" s="20" t="s">
        <v>3759</v>
      </c>
      <c r="H306" s="20" t="s">
        <v>3752</v>
      </c>
      <c r="I306" s="20">
        <v>300</v>
      </c>
      <c r="J306" s="20">
        <v>300</v>
      </c>
      <c r="K306" s="20" t="s">
        <v>11</v>
      </c>
      <c r="L306" s="20">
        <v>300</v>
      </c>
      <c r="M306" s="20">
        <v>0</v>
      </c>
      <c r="N306" s="20">
        <v>300</v>
      </c>
      <c r="O306" s="20" t="s">
        <v>2376</v>
      </c>
      <c r="P306" s="20" t="s">
        <v>109</v>
      </c>
      <c r="Q306" s="20" t="s">
        <v>109</v>
      </c>
      <c r="R306" s="20" t="s">
        <v>3203</v>
      </c>
      <c r="S306" s="20" t="s">
        <v>3030</v>
      </c>
      <c r="T306" s="20" t="s">
        <v>206</v>
      </c>
      <c r="U306" s="20" t="s">
        <v>207</v>
      </c>
      <c r="V306" s="20" t="s">
        <v>3202</v>
      </c>
      <c r="W306" s="20">
        <v>217</v>
      </c>
      <c r="X306" s="20">
        <v>194.84394023242899</v>
      </c>
      <c r="Y306" s="20" t="s">
        <v>3203</v>
      </c>
      <c r="Z306" s="20" t="s">
        <v>3030</v>
      </c>
      <c r="AB306" s="20" t="s">
        <v>2376</v>
      </c>
      <c r="AD306" s="20" t="s">
        <v>2551</v>
      </c>
      <c r="AE306" s="20">
        <v>4102516005</v>
      </c>
      <c r="AF306" s="20">
        <v>0</v>
      </c>
      <c r="AG306" s="20">
        <v>0</v>
      </c>
      <c r="AH306" s="20">
        <v>0</v>
      </c>
      <c r="AI306" s="20">
        <v>0</v>
      </c>
      <c r="AJ306" s="20">
        <v>0</v>
      </c>
      <c r="AK306" s="20" t="s">
        <v>609</v>
      </c>
      <c r="AL306" s="20">
        <v>0</v>
      </c>
      <c r="AM306" s="20">
        <v>0</v>
      </c>
      <c r="AN306" s="20">
        <v>0</v>
      </c>
      <c r="AO306" s="20">
        <v>0</v>
      </c>
      <c r="AP306" s="20">
        <v>0</v>
      </c>
      <c r="AR306" s="20">
        <v>0</v>
      </c>
      <c r="AS306" s="20">
        <v>0</v>
      </c>
      <c r="AT306" s="20">
        <v>352083</v>
      </c>
      <c r="AU306" s="20" t="s">
        <v>8</v>
      </c>
      <c r="AV306" s="20" t="s">
        <v>110</v>
      </c>
      <c r="AW306" s="20" t="s">
        <v>110</v>
      </c>
      <c r="AX306" s="20" t="s">
        <v>208</v>
      </c>
      <c r="AY306" s="20" t="s">
        <v>209</v>
      </c>
      <c r="AZ306" s="20">
        <v>0</v>
      </c>
      <c r="BA306" s="20">
        <v>58453.18</v>
      </c>
      <c r="BB306" s="20">
        <v>925</v>
      </c>
      <c r="BC306" s="20" t="s">
        <v>3153</v>
      </c>
      <c r="BD306" s="20" t="s">
        <v>658</v>
      </c>
      <c r="BE306" s="20" t="s">
        <v>210</v>
      </c>
      <c r="BF306" s="20" t="s">
        <v>3749</v>
      </c>
      <c r="BG306" s="20">
        <v>0</v>
      </c>
      <c r="BH306" s="20">
        <v>0</v>
      </c>
      <c r="BI306" s="20">
        <v>0</v>
      </c>
      <c r="BJ306" s="20">
        <v>0</v>
      </c>
      <c r="BK306" s="20">
        <v>18</v>
      </c>
      <c r="BL306" s="20">
        <v>11718</v>
      </c>
      <c r="BM306" s="20">
        <v>0</v>
      </c>
      <c r="BN306" s="20">
        <v>202244918691</v>
      </c>
      <c r="BO306" s="111">
        <v>46219</v>
      </c>
      <c r="BP306" s="20">
        <v>0</v>
      </c>
    </row>
    <row r="307" spans="2:68">
      <c r="B307" s="20" t="s">
        <v>2216</v>
      </c>
      <c r="C307" s="20" t="s">
        <v>3167</v>
      </c>
      <c r="D307" s="20" t="s">
        <v>3760</v>
      </c>
      <c r="E307" s="20" t="s">
        <v>1618</v>
      </c>
      <c r="F307" s="20" t="s">
        <v>1617</v>
      </c>
      <c r="H307" s="20" t="s">
        <v>3761</v>
      </c>
      <c r="I307" s="20">
        <v>955.7</v>
      </c>
      <c r="J307" s="20">
        <v>955.7</v>
      </c>
      <c r="K307" s="20" t="s">
        <v>11</v>
      </c>
      <c r="L307" s="20">
        <v>955.7</v>
      </c>
      <c r="M307" s="20">
        <v>0</v>
      </c>
      <c r="N307" s="20">
        <v>955.7</v>
      </c>
      <c r="O307" s="20" t="s">
        <v>3762</v>
      </c>
      <c r="P307" s="20" t="s">
        <v>93</v>
      </c>
      <c r="Q307" s="20" t="s">
        <v>93</v>
      </c>
      <c r="R307" s="20" t="s">
        <v>3173</v>
      </c>
      <c r="S307" s="20" t="s">
        <v>3153</v>
      </c>
      <c r="T307" s="20" t="s">
        <v>206</v>
      </c>
      <c r="U307" s="20" t="s">
        <v>207</v>
      </c>
      <c r="V307" s="20" t="s">
        <v>3172</v>
      </c>
      <c r="W307" s="20">
        <v>154.15</v>
      </c>
      <c r="X307" s="20">
        <v>154.150001602949</v>
      </c>
      <c r="Y307" s="20" t="s">
        <v>3173</v>
      </c>
      <c r="Z307" s="20" t="s">
        <v>3153</v>
      </c>
      <c r="AB307" s="20" t="s">
        <v>2376</v>
      </c>
      <c r="AD307" s="20" t="s">
        <v>2376</v>
      </c>
      <c r="AE307" s="20" t="s">
        <v>2376</v>
      </c>
      <c r="AF307" s="20">
        <v>0</v>
      </c>
      <c r="AG307" s="20">
        <v>0</v>
      </c>
      <c r="AH307" s="20">
        <v>0</v>
      </c>
      <c r="AI307" s="20">
        <v>0</v>
      </c>
      <c r="AJ307" s="20">
        <v>0</v>
      </c>
      <c r="AK307" s="20" t="s">
        <v>609</v>
      </c>
      <c r="AL307" s="20">
        <v>0</v>
      </c>
      <c r="AM307" s="20">
        <v>0</v>
      </c>
      <c r="AN307" s="20">
        <v>0</v>
      </c>
      <c r="AO307" s="20">
        <v>0</v>
      </c>
      <c r="AP307" s="20">
        <v>0</v>
      </c>
      <c r="AR307" s="20">
        <v>0</v>
      </c>
      <c r="AS307" s="20">
        <v>0</v>
      </c>
      <c r="AT307" s="20">
        <v>480832.66</v>
      </c>
      <c r="AU307" s="20" t="s">
        <v>13</v>
      </c>
      <c r="AV307" s="20" t="s">
        <v>99</v>
      </c>
      <c r="AW307" s="20" t="s">
        <v>100</v>
      </c>
      <c r="AX307" s="20" t="s">
        <v>208</v>
      </c>
      <c r="AY307" s="20" t="s">
        <v>209</v>
      </c>
      <c r="AZ307" s="20">
        <v>0</v>
      </c>
      <c r="BA307" s="20">
        <v>147321.16</v>
      </c>
      <c r="BB307" s="20">
        <v>929</v>
      </c>
      <c r="BC307" s="20" t="s">
        <v>3167</v>
      </c>
      <c r="BD307" s="20" t="s">
        <v>59</v>
      </c>
      <c r="BE307" s="20" t="s">
        <v>210</v>
      </c>
      <c r="BF307" s="20" t="s">
        <v>210</v>
      </c>
      <c r="BG307" s="20">
        <v>2.5</v>
      </c>
      <c r="BH307" s="20">
        <v>3683.03</v>
      </c>
      <c r="BI307" s="20">
        <v>2.5</v>
      </c>
      <c r="BJ307" s="20">
        <v>3683.03</v>
      </c>
      <c r="BK307" s="20">
        <v>0</v>
      </c>
      <c r="BL307" s="20">
        <v>0</v>
      </c>
      <c r="BM307" s="20">
        <v>480832.66</v>
      </c>
      <c r="BN307" s="20">
        <v>652149241549</v>
      </c>
      <c r="BO307" s="111">
        <v>46224</v>
      </c>
      <c r="BP307" s="20">
        <v>0</v>
      </c>
    </row>
    <row r="308" spans="2:68">
      <c r="B308" s="20" t="s">
        <v>2216</v>
      </c>
      <c r="C308" s="20" t="s">
        <v>3167</v>
      </c>
      <c r="D308" s="20" t="s">
        <v>3760</v>
      </c>
      <c r="E308" s="20" t="s">
        <v>18</v>
      </c>
      <c r="F308" s="20" t="s">
        <v>19</v>
      </c>
      <c r="H308" s="20" t="s">
        <v>3761</v>
      </c>
      <c r="I308" s="20">
        <v>1270.8</v>
      </c>
      <c r="J308" s="20">
        <v>1270.8</v>
      </c>
      <c r="K308" s="20" t="s">
        <v>11</v>
      </c>
      <c r="L308" s="20">
        <v>1270.8</v>
      </c>
      <c r="M308" s="20">
        <v>0</v>
      </c>
      <c r="N308" s="20">
        <v>1270.8</v>
      </c>
      <c r="O308" s="20" t="s">
        <v>3762</v>
      </c>
      <c r="P308" s="20" t="s">
        <v>93</v>
      </c>
      <c r="Q308" s="20" t="s">
        <v>93</v>
      </c>
      <c r="R308" s="20" t="s">
        <v>3173</v>
      </c>
      <c r="S308" s="20" t="s">
        <v>3153</v>
      </c>
      <c r="T308" s="20" t="s">
        <v>206</v>
      </c>
      <c r="U308" s="20" t="s">
        <v>207</v>
      </c>
      <c r="V308" s="20" t="s">
        <v>3172</v>
      </c>
      <c r="W308" s="20">
        <v>169.15</v>
      </c>
      <c r="X308" s="20">
        <v>169.150001758928</v>
      </c>
      <c r="Y308" s="20" t="s">
        <v>3173</v>
      </c>
      <c r="Z308" s="20" t="s">
        <v>3153</v>
      </c>
      <c r="AB308" s="20" t="s">
        <v>2376</v>
      </c>
      <c r="AD308" s="20" t="s">
        <v>2376</v>
      </c>
      <c r="AE308" s="20" t="s">
        <v>2376</v>
      </c>
      <c r="AF308" s="20">
        <v>0</v>
      </c>
      <c r="AG308" s="20">
        <v>0</v>
      </c>
      <c r="AH308" s="20">
        <v>0</v>
      </c>
      <c r="AI308" s="20">
        <v>0</v>
      </c>
      <c r="AJ308" s="20">
        <v>0</v>
      </c>
      <c r="AK308" s="20" t="s">
        <v>609</v>
      </c>
      <c r="AL308" s="20">
        <v>0</v>
      </c>
      <c r="AM308" s="20">
        <v>0</v>
      </c>
      <c r="AN308" s="20">
        <v>0</v>
      </c>
      <c r="AO308" s="20">
        <v>0</v>
      </c>
      <c r="AP308" s="20">
        <v>0</v>
      </c>
      <c r="AR308" s="20">
        <v>0</v>
      </c>
      <c r="AS308" s="20">
        <v>0</v>
      </c>
      <c r="AT308" s="20">
        <v>480832.66</v>
      </c>
      <c r="AU308" s="20" t="s">
        <v>13</v>
      </c>
      <c r="AV308" s="20" t="s">
        <v>62</v>
      </c>
      <c r="AW308" s="20" t="s">
        <v>63</v>
      </c>
      <c r="AX308" s="20" t="s">
        <v>208</v>
      </c>
      <c r="AY308" s="20" t="s">
        <v>209</v>
      </c>
      <c r="AZ308" s="20">
        <v>0</v>
      </c>
      <c r="BA308" s="20">
        <v>214955.82</v>
      </c>
      <c r="BB308" s="20">
        <v>929</v>
      </c>
      <c r="BC308" s="20" t="s">
        <v>3167</v>
      </c>
      <c r="BD308" s="20" t="s">
        <v>59</v>
      </c>
      <c r="BE308" s="20" t="s">
        <v>210</v>
      </c>
      <c r="BF308" s="20" t="s">
        <v>210</v>
      </c>
      <c r="BG308" s="20">
        <v>9</v>
      </c>
      <c r="BH308" s="20">
        <v>19346.02</v>
      </c>
      <c r="BI308" s="20">
        <v>9</v>
      </c>
      <c r="BJ308" s="20">
        <v>19346.02</v>
      </c>
      <c r="BK308" s="20">
        <v>0</v>
      </c>
      <c r="BL308" s="20">
        <v>0</v>
      </c>
      <c r="BM308" s="20">
        <v>0</v>
      </c>
      <c r="BN308" s="20">
        <v>652149241549</v>
      </c>
      <c r="BO308" s="111">
        <v>46224</v>
      </c>
      <c r="BP308" s="20">
        <v>0</v>
      </c>
    </row>
    <row r="309" spans="2:68">
      <c r="B309" s="20" t="s">
        <v>2216</v>
      </c>
      <c r="C309" s="20" t="s">
        <v>3167</v>
      </c>
      <c r="D309" s="20" t="s">
        <v>3760</v>
      </c>
      <c r="E309" s="20" t="s">
        <v>2622</v>
      </c>
      <c r="F309" s="20" t="s">
        <v>2585</v>
      </c>
      <c r="H309" s="20" t="s">
        <v>3761</v>
      </c>
      <c r="I309" s="20">
        <v>456.8</v>
      </c>
      <c r="J309" s="20">
        <v>456.8</v>
      </c>
      <c r="K309" s="20" t="s">
        <v>11</v>
      </c>
      <c r="L309" s="20">
        <v>456.8</v>
      </c>
      <c r="M309" s="20">
        <v>0</v>
      </c>
      <c r="N309" s="20">
        <v>456.8</v>
      </c>
      <c r="O309" s="20" t="s">
        <v>3762</v>
      </c>
      <c r="P309" s="20" t="s">
        <v>93</v>
      </c>
      <c r="Q309" s="20" t="s">
        <v>93</v>
      </c>
      <c r="R309" s="20" t="s">
        <v>3173</v>
      </c>
      <c r="S309" s="20" t="s">
        <v>3153</v>
      </c>
      <c r="T309" s="20" t="s">
        <v>206</v>
      </c>
      <c r="U309" s="20" t="s">
        <v>207</v>
      </c>
      <c r="V309" s="20" t="s">
        <v>3172</v>
      </c>
      <c r="W309" s="20">
        <v>151.15</v>
      </c>
      <c r="X309" s="20">
        <v>151.15000157175299</v>
      </c>
      <c r="Y309" s="20" t="s">
        <v>3173</v>
      </c>
      <c r="Z309" s="20" t="s">
        <v>3153</v>
      </c>
      <c r="AB309" s="20" t="s">
        <v>2376</v>
      </c>
      <c r="AD309" s="20" t="s">
        <v>2376</v>
      </c>
      <c r="AE309" s="20" t="s">
        <v>2376</v>
      </c>
      <c r="AF309" s="20">
        <v>0</v>
      </c>
      <c r="AG309" s="20">
        <v>0</v>
      </c>
      <c r="AH309" s="20">
        <v>0</v>
      </c>
      <c r="AI309" s="20">
        <v>0</v>
      </c>
      <c r="AJ309" s="20">
        <v>0</v>
      </c>
      <c r="AK309" s="20" t="s">
        <v>609</v>
      </c>
      <c r="AL309" s="20">
        <v>0</v>
      </c>
      <c r="AM309" s="20">
        <v>0</v>
      </c>
      <c r="AN309" s="20">
        <v>0</v>
      </c>
      <c r="AO309" s="20">
        <v>0</v>
      </c>
      <c r="AP309" s="20">
        <v>0</v>
      </c>
      <c r="AR309" s="20">
        <v>0</v>
      </c>
      <c r="AS309" s="20">
        <v>0</v>
      </c>
      <c r="AT309" s="20">
        <v>480832.66</v>
      </c>
      <c r="AU309" s="20" t="s">
        <v>13</v>
      </c>
      <c r="AV309" s="20" t="s">
        <v>99</v>
      </c>
      <c r="AW309" s="20" t="s">
        <v>100</v>
      </c>
      <c r="AX309" s="20" t="s">
        <v>208</v>
      </c>
      <c r="AY309" s="20" t="s">
        <v>209</v>
      </c>
      <c r="AZ309" s="20">
        <v>0</v>
      </c>
      <c r="BA309" s="20">
        <v>69045.320000000007</v>
      </c>
      <c r="BB309" s="20">
        <v>929</v>
      </c>
      <c r="BC309" s="20" t="s">
        <v>3167</v>
      </c>
      <c r="BD309" s="20" t="s">
        <v>59</v>
      </c>
      <c r="BE309" s="20" t="s">
        <v>210</v>
      </c>
      <c r="BF309" s="20" t="s">
        <v>210</v>
      </c>
      <c r="BG309" s="20">
        <v>2.5</v>
      </c>
      <c r="BH309" s="20">
        <v>1726.13</v>
      </c>
      <c r="BI309" s="20">
        <v>2.5</v>
      </c>
      <c r="BJ309" s="20">
        <v>1726.13</v>
      </c>
      <c r="BK309" s="20">
        <v>0</v>
      </c>
      <c r="BL309" s="20">
        <v>0</v>
      </c>
      <c r="BM309" s="20">
        <v>0</v>
      </c>
      <c r="BN309" s="20">
        <v>652149241549</v>
      </c>
      <c r="BO309" s="111">
        <v>46224</v>
      </c>
      <c r="BP309" s="20">
        <v>0</v>
      </c>
    </row>
    <row r="310" spans="2:68">
      <c r="B310" s="20" t="s">
        <v>2216</v>
      </c>
      <c r="C310" s="20" t="s">
        <v>3167</v>
      </c>
      <c r="D310" s="20" t="s">
        <v>3763</v>
      </c>
      <c r="E310" s="20" t="s">
        <v>18</v>
      </c>
      <c r="F310" s="20" t="s">
        <v>19</v>
      </c>
      <c r="H310" s="20" t="s">
        <v>3764</v>
      </c>
      <c r="I310" s="20">
        <v>760</v>
      </c>
      <c r="J310" s="20">
        <v>760</v>
      </c>
      <c r="K310" s="20" t="s">
        <v>11</v>
      </c>
      <c r="L310" s="20">
        <v>760</v>
      </c>
      <c r="M310" s="20">
        <v>0</v>
      </c>
      <c r="N310" s="20">
        <v>760</v>
      </c>
      <c r="O310" s="20" t="s">
        <v>2203</v>
      </c>
      <c r="P310" s="20" t="s">
        <v>87</v>
      </c>
      <c r="Q310" s="20" t="s">
        <v>87</v>
      </c>
      <c r="R310" s="20" t="s">
        <v>3182</v>
      </c>
      <c r="S310" s="20" t="s">
        <v>3167</v>
      </c>
      <c r="T310" s="20" t="s">
        <v>206</v>
      </c>
      <c r="U310" s="20" t="s">
        <v>207</v>
      </c>
      <c r="V310" s="20" t="s">
        <v>3181</v>
      </c>
      <c r="W310" s="20">
        <v>146.49</v>
      </c>
      <c r="X310" s="20">
        <v>146.49</v>
      </c>
      <c r="Y310" s="20" t="s">
        <v>3182</v>
      </c>
      <c r="Z310" s="20" t="s">
        <v>3167</v>
      </c>
      <c r="AB310" s="20" t="s">
        <v>2376</v>
      </c>
      <c r="AD310" s="20" t="s">
        <v>2376</v>
      </c>
      <c r="AE310" s="20" t="s">
        <v>2376</v>
      </c>
      <c r="AF310" s="20">
        <v>0</v>
      </c>
      <c r="AG310" s="20">
        <v>0</v>
      </c>
      <c r="AH310" s="20">
        <v>0</v>
      </c>
      <c r="AI310" s="20">
        <v>0</v>
      </c>
      <c r="AJ310" s="20">
        <v>0</v>
      </c>
      <c r="AK310" s="20" t="s">
        <v>609</v>
      </c>
      <c r="AL310" s="20">
        <v>0</v>
      </c>
      <c r="AM310" s="20">
        <v>0</v>
      </c>
      <c r="AN310" s="20">
        <v>0</v>
      </c>
      <c r="AO310" s="20">
        <v>0</v>
      </c>
      <c r="AP310" s="20">
        <v>0</v>
      </c>
      <c r="AR310" s="20">
        <v>0</v>
      </c>
      <c r="AS310" s="20">
        <v>0</v>
      </c>
      <c r="AT310" s="20">
        <v>1374823.02</v>
      </c>
      <c r="AU310" s="20" t="s">
        <v>13</v>
      </c>
      <c r="AV310" s="20" t="s">
        <v>62</v>
      </c>
      <c r="AW310" s="20" t="s">
        <v>63</v>
      </c>
      <c r="AX310" s="20" t="s">
        <v>208</v>
      </c>
      <c r="AY310" s="20" t="s">
        <v>209</v>
      </c>
      <c r="AZ310" s="20">
        <v>0</v>
      </c>
      <c r="BA310" s="20">
        <v>111332.4</v>
      </c>
      <c r="BB310" s="20">
        <v>1537</v>
      </c>
      <c r="BC310" s="20" t="s">
        <v>3167</v>
      </c>
      <c r="BD310" s="20" t="s">
        <v>65</v>
      </c>
      <c r="BE310" s="20" t="s">
        <v>210</v>
      </c>
      <c r="BF310" s="20" t="s">
        <v>210</v>
      </c>
      <c r="BG310" s="20">
        <v>9</v>
      </c>
      <c r="BH310" s="20">
        <v>10019.92</v>
      </c>
      <c r="BI310" s="20">
        <v>9</v>
      </c>
      <c r="BJ310" s="20">
        <v>10019.92</v>
      </c>
      <c r="BK310" s="20">
        <v>0</v>
      </c>
      <c r="BL310" s="20">
        <v>0</v>
      </c>
      <c r="BM310" s="20">
        <v>1374823.02</v>
      </c>
      <c r="BN310" s="20">
        <v>622149496872</v>
      </c>
      <c r="BO310" s="111">
        <v>46225</v>
      </c>
      <c r="BP310" s="20">
        <v>0</v>
      </c>
    </row>
    <row r="311" spans="2:68">
      <c r="B311" s="20" t="s">
        <v>2216</v>
      </c>
      <c r="C311" s="20" t="s">
        <v>3167</v>
      </c>
      <c r="D311" s="20" t="s">
        <v>3763</v>
      </c>
      <c r="E311" s="20" t="s">
        <v>18</v>
      </c>
      <c r="F311" s="20" t="s">
        <v>19</v>
      </c>
      <c r="H311" s="20" t="s">
        <v>3764</v>
      </c>
      <c r="I311" s="20">
        <v>5288</v>
      </c>
      <c r="J311" s="20">
        <v>5288</v>
      </c>
      <c r="K311" s="20" t="s">
        <v>11</v>
      </c>
      <c r="L311" s="20">
        <v>5288</v>
      </c>
      <c r="M311" s="20">
        <v>0</v>
      </c>
      <c r="N311" s="20">
        <v>5288</v>
      </c>
      <c r="O311" s="20" t="s">
        <v>2203</v>
      </c>
      <c r="P311" s="20" t="s">
        <v>87</v>
      </c>
      <c r="Q311" s="20" t="s">
        <v>87</v>
      </c>
      <c r="R311" s="20" t="s">
        <v>3182</v>
      </c>
      <c r="S311" s="20" t="s">
        <v>3167</v>
      </c>
      <c r="T311" s="20" t="s">
        <v>206</v>
      </c>
      <c r="U311" s="20" t="s">
        <v>207</v>
      </c>
      <c r="V311" s="20" t="s">
        <v>3181</v>
      </c>
      <c r="W311" s="20">
        <v>144.49</v>
      </c>
      <c r="X311" s="20">
        <v>144.49</v>
      </c>
      <c r="Y311" s="20" t="s">
        <v>3182</v>
      </c>
      <c r="Z311" s="20" t="s">
        <v>3167</v>
      </c>
      <c r="AB311" s="20" t="s">
        <v>2376</v>
      </c>
      <c r="AD311" s="20" t="s">
        <v>2376</v>
      </c>
      <c r="AE311" s="20" t="s">
        <v>2376</v>
      </c>
      <c r="AF311" s="20">
        <v>0</v>
      </c>
      <c r="AG311" s="20">
        <v>0</v>
      </c>
      <c r="AH311" s="20">
        <v>0</v>
      </c>
      <c r="AI311" s="20">
        <v>0</v>
      </c>
      <c r="AJ311" s="20">
        <v>0</v>
      </c>
      <c r="AK311" s="20" t="s">
        <v>609</v>
      </c>
      <c r="AL311" s="20">
        <v>0</v>
      </c>
      <c r="AM311" s="20">
        <v>0</v>
      </c>
      <c r="AN311" s="20">
        <v>0</v>
      </c>
      <c r="AO311" s="20">
        <v>0</v>
      </c>
      <c r="AP311" s="20">
        <v>0</v>
      </c>
      <c r="AR311" s="20">
        <v>0</v>
      </c>
      <c r="AS311" s="20">
        <v>0</v>
      </c>
      <c r="AT311" s="20">
        <v>1374823.02</v>
      </c>
      <c r="AU311" s="20" t="s">
        <v>13</v>
      </c>
      <c r="AV311" s="20" t="s">
        <v>62</v>
      </c>
      <c r="AW311" s="20" t="s">
        <v>63</v>
      </c>
      <c r="AX311" s="20" t="s">
        <v>208</v>
      </c>
      <c r="AY311" s="20" t="s">
        <v>209</v>
      </c>
      <c r="AZ311" s="20">
        <v>0</v>
      </c>
      <c r="BA311" s="20">
        <v>764063.12</v>
      </c>
      <c r="BB311" s="20">
        <v>1537</v>
      </c>
      <c r="BC311" s="20" t="s">
        <v>3167</v>
      </c>
      <c r="BD311" s="20" t="s">
        <v>65</v>
      </c>
      <c r="BE311" s="20" t="s">
        <v>210</v>
      </c>
      <c r="BF311" s="20" t="s">
        <v>210</v>
      </c>
      <c r="BG311" s="20">
        <v>9</v>
      </c>
      <c r="BH311" s="20">
        <v>68765.679999999993</v>
      </c>
      <c r="BI311" s="20">
        <v>9</v>
      </c>
      <c r="BJ311" s="20">
        <v>68765.679999999993</v>
      </c>
      <c r="BK311" s="20">
        <v>0</v>
      </c>
      <c r="BL311" s="20">
        <v>0</v>
      </c>
      <c r="BM311" s="20">
        <v>0</v>
      </c>
      <c r="BN311" s="20">
        <v>622149496872</v>
      </c>
      <c r="BO311" s="111">
        <v>46225</v>
      </c>
      <c r="BP311" s="20">
        <v>0</v>
      </c>
    </row>
    <row r="312" spans="2:68">
      <c r="B312" s="20" t="s">
        <v>2216</v>
      </c>
      <c r="C312" s="20" t="s">
        <v>3167</v>
      </c>
      <c r="D312" s="20" t="s">
        <v>3763</v>
      </c>
      <c r="E312" s="20" t="s">
        <v>18</v>
      </c>
      <c r="F312" s="20" t="s">
        <v>19</v>
      </c>
      <c r="H312" s="20" t="s">
        <v>3764</v>
      </c>
      <c r="I312" s="20">
        <v>318</v>
      </c>
      <c r="J312" s="20">
        <v>318</v>
      </c>
      <c r="K312" s="20" t="s">
        <v>11</v>
      </c>
      <c r="L312" s="20">
        <v>318</v>
      </c>
      <c r="M312" s="20">
        <v>0</v>
      </c>
      <c r="N312" s="20">
        <v>318</v>
      </c>
      <c r="O312" s="20" t="s">
        <v>2203</v>
      </c>
      <c r="P312" s="20" t="s">
        <v>87</v>
      </c>
      <c r="Q312" s="20" t="s">
        <v>87</v>
      </c>
      <c r="R312" s="20" t="s">
        <v>3182</v>
      </c>
      <c r="S312" s="20" t="s">
        <v>3167</v>
      </c>
      <c r="T312" s="20" t="s">
        <v>206</v>
      </c>
      <c r="U312" s="20" t="s">
        <v>207</v>
      </c>
      <c r="V312" s="20" t="s">
        <v>3181</v>
      </c>
      <c r="W312" s="20">
        <v>147.49</v>
      </c>
      <c r="X312" s="20">
        <v>147.49</v>
      </c>
      <c r="Y312" s="20" t="s">
        <v>3182</v>
      </c>
      <c r="Z312" s="20" t="s">
        <v>3167</v>
      </c>
      <c r="AB312" s="20" t="s">
        <v>2376</v>
      </c>
      <c r="AD312" s="20" t="s">
        <v>2376</v>
      </c>
      <c r="AE312" s="20" t="s">
        <v>2376</v>
      </c>
      <c r="AF312" s="20">
        <v>0</v>
      </c>
      <c r="AG312" s="20">
        <v>0</v>
      </c>
      <c r="AH312" s="20">
        <v>0</v>
      </c>
      <c r="AI312" s="20">
        <v>0</v>
      </c>
      <c r="AJ312" s="20">
        <v>0</v>
      </c>
      <c r="AK312" s="20" t="s">
        <v>609</v>
      </c>
      <c r="AL312" s="20">
        <v>0</v>
      </c>
      <c r="AM312" s="20">
        <v>0</v>
      </c>
      <c r="AN312" s="20">
        <v>0</v>
      </c>
      <c r="AO312" s="20">
        <v>0</v>
      </c>
      <c r="AP312" s="20">
        <v>0</v>
      </c>
      <c r="AR312" s="20">
        <v>0</v>
      </c>
      <c r="AS312" s="20">
        <v>0</v>
      </c>
      <c r="AT312" s="20">
        <v>1374823.02</v>
      </c>
      <c r="AU312" s="20" t="s">
        <v>13</v>
      </c>
      <c r="AV312" s="20" t="s">
        <v>62</v>
      </c>
      <c r="AW312" s="20" t="s">
        <v>63</v>
      </c>
      <c r="AX312" s="20" t="s">
        <v>208</v>
      </c>
      <c r="AY312" s="20" t="s">
        <v>209</v>
      </c>
      <c r="AZ312" s="20">
        <v>0</v>
      </c>
      <c r="BA312" s="20">
        <v>46901.82</v>
      </c>
      <c r="BB312" s="20">
        <v>1537</v>
      </c>
      <c r="BC312" s="20" t="s">
        <v>3167</v>
      </c>
      <c r="BD312" s="20" t="s">
        <v>65</v>
      </c>
      <c r="BE312" s="20" t="s">
        <v>210</v>
      </c>
      <c r="BF312" s="20" t="s">
        <v>210</v>
      </c>
      <c r="BG312" s="20">
        <v>9</v>
      </c>
      <c r="BH312" s="20">
        <v>4221.16</v>
      </c>
      <c r="BI312" s="20">
        <v>9</v>
      </c>
      <c r="BJ312" s="20">
        <v>4221.16</v>
      </c>
      <c r="BK312" s="20">
        <v>0</v>
      </c>
      <c r="BL312" s="20">
        <v>0</v>
      </c>
      <c r="BM312" s="20">
        <v>0</v>
      </c>
      <c r="BN312" s="20">
        <v>622149496872</v>
      </c>
      <c r="BO312" s="111">
        <v>46225</v>
      </c>
      <c r="BP312" s="20">
        <v>0</v>
      </c>
    </row>
    <row r="313" spans="2:68">
      <c r="B313" s="20" t="s">
        <v>2216</v>
      </c>
      <c r="C313" s="20" t="s">
        <v>3167</v>
      </c>
      <c r="D313" s="20" t="s">
        <v>3763</v>
      </c>
      <c r="E313" s="20" t="s">
        <v>20</v>
      </c>
      <c r="F313" s="20" t="s">
        <v>21</v>
      </c>
      <c r="H313" s="20" t="s">
        <v>3764</v>
      </c>
      <c r="I313" s="20">
        <v>1345</v>
      </c>
      <c r="J313" s="20">
        <v>1345</v>
      </c>
      <c r="K313" s="20" t="s">
        <v>11</v>
      </c>
      <c r="L313" s="20">
        <v>1345</v>
      </c>
      <c r="M313" s="20">
        <v>0</v>
      </c>
      <c r="N313" s="20">
        <v>1345</v>
      </c>
      <c r="O313" s="20" t="s">
        <v>2203</v>
      </c>
      <c r="P313" s="20" t="s">
        <v>87</v>
      </c>
      <c r="Q313" s="20" t="s">
        <v>87</v>
      </c>
      <c r="R313" s="20" t="s">
        <v>3182</v>
      </c>
      <c r="S313" s="20" t="s">
        <v>3167</v>
      </c>
      <c r="T313" s="20" t="s">
        <v>206</v>
      </c>
      <c r="U313" s="20" t="s">
        <v>207</v>
      </c>
      <c r="V313" s="20" t="s">
        <v>3181</v>
      </c>
      <c r="W313" s="20">
        <v>151.49</v>
      </c>
      <c r="X313" s="20">
        <v>151.49</v>
      </c>
      <c r="Y313" s="20" t="s">
        <v>3182</v>
      </c>
      <c r="Z313" s="20" t="s">
        <v>3167</v>
      </c>
      <c r="AB313" s="20" t="s">
        <v>2376</v>
      </c>
      <c r="AD313" s="20" t="s">
        <v>2376</v>
      </c>
      <c r="AE313" s="20" t="s">
        <v>2376</v>
      </c>
      <c r="AF313" s="20">
        <v>0</v>
      </c>
      <c r="AG313" s="20">
        <v>0</v>
      </c>
      <c r="AH313" s="20">
        <v>0</v>
      </c>
      <c r="AI313" s="20">
        <v>0</v>
      </c>
      <c r="AJ313" s="20">
        <v>0</v>
      </c>
      <c r="AK313" s="20" t="s">
        <v>609</v>
      </c>
      <c r="AL313" s="20">
        <v>0</v>
      </c>
      <c r="AM313" s="20">
        <v>0</v>
      </c>
      <c r="AN313" s="20">
        <v>0</v>
      </c>
      <c r="AO313" s="20">
        <v>0</v>
      </c>
      <c r="AP313" s="20">
        <v>0</v>
      </c>
      <c r="AR313" s="20">
        <v>0</v>
      </c>
      <c r="AS313" s="20">
        <v>0</v>
      </c>
      <c r="AT313" s="20">
        <v>1374823.02</v>
      </c>
      <c r="AU313" s="20" t="s">
        <v>13</v>
      </c>
      <c r="AV313" s="20" t="s">
        <v>62</v>
      </c>
      <c r="AW313" s="20" t="s">
        <v>76</v>
      </c>
      <c r="AX313" s="20" t="s">
        <v>208</v>
      </c>
      <c r="AY313" s="20" t="s">
        <v>209</v>
      </c>
      <c r="AZ313" s="20">
        <v>0</v>
      </c>
      <c r="BA313" s="20">
        <v>203754.05</v>
      </c>
      <c r="BB313" s="20">
        <v>1537</v>
      </c>
      <c r="BC313" s="20" t="s">
        <v>3167</v>
      </c>
      <c r="BD313" s="20" t="s">
        <v>65</v>
      </c>
      <c r="BE313" s="20" t="s">
        <v>210</v>
      </c>
      <c r="BF313" s="20" t="s">
        <v>210</v>
      </c>
      <c r="BG313" s="20">
        <v>9</v>
      </c>
      <c r="BH313" s="20">
        <v>18337.86</v>
      </c>
      <c r="BI313" s="20">
        <v>9</v>
      </c>
      <c r="BJ313" s="20">
        <v>18337.86</v>
      </c>
      <c r="BK313" s="20">
        <v>0</v>
      </c>
      <c r="BL313" s="20">
        <v>0</v>
      </c>
      <c r="BM313" s="20">
        <v>0</v>
      </c>
      <c r="BN313" s="20">
        <v>622149496872</v>
      </c>
      <c r="BO313" s="111">
        <v>46225</v>
      </c>
      <c r="BP313" s="20">
        <v>0</v>
      </c>
    </row>
    <row r="314" spans="2:68">
      <c r="B314" s="20" t="s">
        <v>2216</v>
      </c>
      <c r="C314" s="20" t="s">
        <v>3167</v>
      </c>
      <c r="D314" s="20" t="s">
        <v>3763</v>
      </c>
      <c r="E314" s="20" t="s">
        <v>20</v>
      </c>
      <c r="F314" s="20" t="s">
        <v>21</v>
      </c>
      <c r="H314" s="20" t="s">
        <v>3764</v>
      </c>
      <c r="I314" s="20">
        <v>263</v>
      </c>
      <c r="J314" s="20">
        <v>263</v>
      </c>
      <c r="K314" s="20" t="s">
        <v>11</v>
      </c>
      <c r="L314" s="20">
        <v>263</v>
      </c>
      <c r="M314" s="20">
        <v>0</v>
      </c>
      <c r="N314" s="20">
        <v>263</v>
      </c>
      <c r="O314" s="20" t="s">
        <v>2203</v>
      </c>
      <c r="P314" s="20" t="s">
        <v>87</v>
      </c>
      <c r="Q314" s="20" t="s">
        <v>87</v>
      </c>
      <c r="R314" s="20" t="s">
        <v>3182</v>
      </c>
      <c r="S314" s="20" t="s">
        <v>3167</v>
      </c>
      <c r="T314" s="20" t="s">
        <v>206</v>
      </c>
      <c r="U314" s="20" t="s">
        <v>207</v>
      </c>
      <c r="V314" s="20" t="s">
        <v>3181</v>
      </c>
      <c r="W314" s="20">
        <v>148.49</v>
      </c>
      <c r="X314" s="20">
        <v>148.49</v>
      </c>
      <c r="Y314" s="20" t="s">
        <v>3182</v>
      </c>
      <c r="Z314" s="20" t="s">
        <v>3167</v>
      </c>
      <c r="AB314" s="20" t="s">
        <v>2376</v>
      </c>
      <c r="AD314" s="20" t="s">
        <v>2376</v>
      </c>
      <c r="AE314" s="20" t="s">
        <v>2376</v>
      </c>
      <c r="AF314" s="20">
        <v>0</v>
      </c>
      <c r="AG314" s="20">
        <v>0</v>
      </c>
      <c r="AH314" s="20">
        <v>0</v>
      </c>
      <c r="AI314" s="20">
        <v>0</v>
      </c>
      <c r="AJ314" s="20">
        <v>0</v>
      </c>
      <c r="AK314" s="20" t="s">
        <v>609</v>
      </c>
      <c r="AL314" s="20">
        <v>0</v>
      </c>
      <c r="AM314" s="20">
        <v>0</v>
      </c>
      <c r="AN314" s="20">
        <v>0</v>
      </c>
      <c r="AO314" s="20">
        <v>0</v>
      </c>
      <c r="AP314" s="20">
        <v>0</v>
      </c>
      <c r="AR314" s="20">
        <v>0</v>
      </c>
      <c r="AS314" s="20">
        <v>0</v>
      </c>
      <c r="AT314" s="20">
        <v>1374823.02</v>
      </c>
      <c r="AU314" s="20" t="s">
        <v>13</v>
      </c>
      <c r="AV314" s="20" t="s">
        <v>62</v>
      </c>
      <c r="AW314" s="20" t="s">
        <v>76</v>
      </c>
      <c r="AX314" s="20" t="s">
        <v>208</v>
      </c>
      <c r="AY314" s="20" t="s">
        <v>209</v>
      </c>
      <c r="AZ314" s="20">
        <v>0</v>
      </c>
      <c r="BA314" s="20">
        <v>39052.870000000003</v>
      </c>
      <c r="BB314" s="20">
        <v>1537</v>
      </c>
      <c r="BC314" s="20" t="s">
        <v>3167</v>
      </c>
      <c r="BD314" s="20" t="s">
        <v>65</v>
      </c>
      <c r="BE314" s="20" t="s">
        <v>210</v>
      </c>
      <c r="BF314" s="20" t="s">
        <v>210</v>
      </c>
      <c r="BG314" s="20">
        <v>9</v>
      </c>
      <c r="BH314" s="20">
        <v>3514.76</v>
      </c>
      <c r="BI314" s="20">
        <v>9</v>
      </c>
      <c r="BJ314" s="20">
        <v>3514.76</v>
      </c>
      <c r="BK314" s="20">
        <v>0</v>
      </c>
      <c r="BL314" s="20">
        <v>0</v>
      </c>
      <c r="BM314" s="20">
        <v>0</v>
      </c>
      <c r="BN314" s="20">
        <v>622149496872</v>
      </c>
      <c r="BO314" s="111">
        <v>46225</v>
      </c>
      <c r="BP314" s="20">
        <v>0</v>
      </c>
    </row>
    <row r="315" spans="2:68">
      <c r="B315" s="20" t="s">
        <v>2216</v>
      </c>
      <c r="C315" s="20" t="s">
        <v>3167</v>
      </c>
      <c r="D315" s="20" t="s">
        <v>3765</v>
      </c>
      <c r="E315" s="20" t="s">
        <v>18</v>
      </c>
      <c r="F315" s="20" t="s">
        <v>19</v>
      </c>
      <c r="H315" s="20" t="s">
        <v>3764</v>
      </c>
      <c r="I315" s="20">
        <v>1220</v>
      </c>
      <c r="J315" s="20">
        <v>1220</v>
      </c>
      <c r="K315" s="20" t="s">
        <v>11</v>
      </c>
      <c r="L315" s="20">
        <v>1220</v>
      </c>
      <c r="M315" s="20">
        <v>0</v>
      </c>
      <c r="N315" s="20">
        <v>1220</v>
      </c>
      <c r="O315" s="20" t="s">
        <v>2201</v>
      </c>
      <c r="P315" s="20" t="s">
        <v>87</v>
      </c>
      <c r="Q315" s="20" t="s">
        <v>87</v>
      </c>
      <c r="R315" s="20" t="s">
        <v>3184</v>
      </c>
      <c r="S315" s="20" t="s">
        <v>3167</v>
      </c>
      <c r="T315" s="20" t="s">
        <v>206</v>
      </c>
      <c r="U315" s="20" t="s">
        <v>207</v>
      </c>
      <c r="V315" s="20" t="s">
        <v>3183</v>
      </c>
      <c r="W315" s="20">
        <v>144.49</v>
      </c>
      <c r="X315" s="20">
        <v>144.49</v>
      </c>
      <c r="Y315" s="20" t="s">
        <v>3184</v>
      </c>
      <c r="Z315" s="20" t="s">
        <v>3167</v>
      </c>
      <c r="AB315" s="20" t="s">
        <v>2376</v>
      </c>
      <c r="AD315" s="20" t="s">
        <v>2376</v>
      </c>
      <c r="AE315" s="20" t="s">
        <v>2376</v>
      </c>
      <c r="AF315" s="20">
        <v>0</v>
      </c>
      <c r="AG315" s="20">
        <v>0</v>
      </c>
      <c r="AH315" s="20">
        <v>0</v>
      </c>
      <c r="AI315" s="20">
        <v>0</v>
      </c>
      <c r="AJ315" s="20">
        <v>0</v>
      </c>
      <c r="AK315" s="20" t="s">
        <v>609</v>
      </c>
      <c r="AL315" s="20">
        <v>0</v>
      </c>
      <c r="AM315" s="20">
        <v>0</v>
      </c>
      <c r="AN315" s="20">
        <v>0</v>
      </c>
      <c r="AO315" s="20">
        <v>0</v>
      </c>
      <c r="AP315" s="20">
        <v>0</v>
      </c>
      <c r="AR315" s="20">
        <v>0</v>
      </c>
      <c r="AS315" s="20">
        <v>0</v>
      </c>
      <c r="AT315" s="20">
        <v>208007.8</v>
      </c>
      <c r="AU315" s="20" t="s">
        <v>13</v>
      </c>
      <c r="AV315" s="20" t="s">
        <v>62</v>
      </c>
      <c r="AW315" s="20" t="s">
        <v>63</v>
      </c>
      <c r="AX315" s="20" t="s">
        <v>208</v>
      </c>
      <c r="AY315" s="20" t="s">
        <v>209</v>
      </c>
      <c r="AZ315" s="20">
        <v>0</v>
      </c>
      <c r="BA315" s="20">
        <v>176277.8</v>
      </c>
      <c r="BB315" s="20">
        <v>933</v>
      </c>
      <c r="BC315" s="20" t="s">
        <v>3167</v>
      </c>
      <c r="BD315" s="20" t="s">
        <v>65</v>
      </c>
      <c r="BE315" s="20" t="s">
        <v>210</v>
      </c>
      <c r="BF315" s="20" t="s">
        <v>210</v>
      </c>
      <c r="BG315" s="20">
        <v>9</v>
      </c>
      <c r="BH315" s="20">
        <v>15865</v>
      </c>
      <c r="BI315" s="20">
        <v>9</v>
      </c>
      <c r="BJ315" s="20">
        <v>15865</v>
      </c>
      <c r="BK315" s="20">
        <v>0</v>
      </c>
      <c r="BL315" s="20">
        <v>0</v>
      </c>
      <c r="BM315" s="20">
        <v>208007.8</v>
      </c>
      <c r="BN315" s="20">
        <v>672149617522</v>
      </c>
      <c r="BO315" s="111">
        <v>46225</v>
      </c>
      <c r="BP315" s="20">
        <v>0</v>
      </c>
    </row>
    <row r="316" spans="2:68">
      <c r="B316" s="20" t="s">
        <v>2216</v>
      </c>
      <c r="C316" s="20" t="s">
        <v>3167</v>
      </c>
      <c r="D316" s="20" t="s">
        <v>3766</v>
      </c>
      <c r="E316" s="20" t="s">
        <v>18</v>
      </c>
      <c r="F316" s="20" t="s">
        <v>19</v>
      </c>
      <c r="H316" s="20" t="s">
        <v>3767</v>
      </c>
      <c r="I316" s="20">
        <v>633</v>
      </c>
      <c r="J316" s="20">
        <v>633</v>
      </c>
      <c r="K316" s="20" t="s">
        <v>11</v>
      </c>
      <c r="L316" s="20">
        <v>633</v>
      </c>
      <c r="M316" s="20">
        <v>0</v>
      </c>
      <c r="N316" s="20">
        <v>633</v>
      </c>
      <c r="O316" s="20" t="s">
        <v>2203</v>
      </c>
      <c r="P316" s="20" t="s">
        <v>87</v>
      </c>
      <c r="Q316" s="20" t="s">
        <v>87</v>
      </c>
      <c r="R316" s="20" t="s">
        <v>3186</v>
      </c>
      <c r="S316" s="111" t="s">
        <v>3167</v>
      </c>
      <c r="T316" s="20" t="s">
        <v>206</v>
      </c>
      <c r="U316" s="20" t="s">
        <v>207</v>
      </c>
      <c r="V316" s="20" t="s">
        <v>3185</v>
      </c>
      <c r="W316" s="20">
        <v>146.49</v>
      </c>
      <c r="X316" s="20">
        <v>146.49000050550299</v>
      </c>
      <c r="Y316" s="20" t="s">
        <v>3186</v>
      </c>
      <c r="Z316" s="111" t="s">
        <v>3167</v>
      </c>
      <c r="AB316" s="20" t="s">
        <v>2376</v>
      </c>
      <c r="AD316" s="20" t="s">
        <v>2376</v>
      </c>
      <c r="AE316" s="20" t="s">
        <v>2376</v>
      </c>
      <c r="AF316" s="20">
        <v>0</v>
      </c>
      <c r="AG316" s="20">
        <v>0</v>
      </c>
      <c r="AH316" s="20">
        <v>0</v>
      </c>
      <c r="AI316" s="20">
        <v>0</v>
      </c>
      <c r="AJ316" s="20">
        <v>0</v>
      </c>
      <c r="AK316" s="20" t="s">
        <v>609</v>
      </c>
      <c r="AL316" s="20">
        <v>0</v>
      </c>
      <c r="AM316" s="20">
        <v>0</v>
      </c>
      <c r="AN316" s="20">
        <v>0</v>
      </c>
      <c r="AO316" s="20">
        <v>0</v>
      </c>
      <c r="AP316" s="20">
        <v>0</v>
      </c>
      <c r="AR316" s="20">
        <v>0</v>
      </c>
      <c r="AS316" s="20">
        <v>0</v>
      </c>
      <c r="AT316" s="20">
        <v>1448953.86</v>
      </c>
      <c r="AU316" s="20" t="s">
        <v>13</v>
      </c>
      <c r="AV316" s="20" t="s">
        <v>62</v>
      </c>
      <c r="AW316" s="20" t="s">
        <v>63</v>
      </c>
      <c r="AX316" s="20" t="s">
        <v>208</v>
      </c>
      <c r="AY316" s="20" t="s">
        <v>209</v>
      </c>
      <c r="AZ316" s="20">
        <v>0</v>
      </c>
      <c r="BA316" s="20">
        <v>92728.17</v>
      </c>
      <c r="BB316" s="20">
        <v>931</v>
      </c>
      <c r="BC316" s="20" t="s">
        <v>3167</v>
      </c>
      <c r="BD316" s="20" t="s">
        <v>65</v>
      </c>
      <c r="BE316" s="20" t="s">
        <v>210</v>
      </c>
      <c r="BF316" s="20" t="s">
        <v>210</v>
      </c>
      <c r="BG316" s="20">
        <v>9</v>
      </c>
      <c r="BH316" s="20">
        <v>8345.5400000000009</v>
      </c>
      <c r="BI316" s="20">
        <v>9</v>
      </c>
      <c r="BJ316" s="20">
        <v>8345.5400000000009</v>
      </c>
      <c r="BK316" s="20">
        <v>0</v>
      </c>
      <c r="BL316" s="20">
        <v>0</v>
      </c>
      <c r="BM316" s="20">
        <v>1448953.86</v>
      </c>
      <c r="BN316" s="20">
        <v>612149582727</v>
      </c>
      <c r="BO316" s="111">
        <v>46225</v>
      </c>
      <c r="BP316" s="20">
        <v>0</v>
      </c>
    </row>
    <row r="317" spans="2:68">
      <c r="B317" s="20" t="s">
        <v>2216</v>
      </c>
      <c r="C317" s="20" t="s">
        <v>3167</v>
      </c>
      <c r="D317" s="20" t="s">
        <v>3766</v>
      </c>
      <c r="E317" s="20" t="s">
        <v>18</v>
      </c>
      <c r="F317" s="20" t="s">
        <v>19</v>
      </c>
      <c r="H317" s="20" t="s">
        <v>3767</v>
      </c>
      <c r="I317" s="20">
        <v>215</v>
      </c>
      <c r="J317" s="20">
        <v>215</v>
      </c>
      <c r="K317" s="20" t="s">
        <v>11</v>
      </c>
      <c r="L317" s="20">
        <v>215</v>
      </c>
      <c r="M317" s="20">
        <v>0</v>
      </c>
      <c r="N317" s="20">
        <v>215</v>
      </c>
      <c r="O317" s="20" t="s">
        <v>2203</v>
      </c>
      <c r="P317" s="20" t="s">
        <v>87</v>
      </c>
      <c r="Q317" s="20" t="s">
        <v>87</v>
      </c>
      <c r="R317" s="20" t="s">
        <v>3186</v>
      </c>
      <c r="S317" s="111" t="s">
        <v>3167</v>
      </c>
      <c r="T317" s="20" t="s">
        <v>206</v>
      </c>
      <c r="U317" s="20" t="s">
        <v>207</v>
      </c>
      <c r="V317" s="20" t="s">
        <v>3185</v>
      </c>
      <c r="W317" s="20">
        <v>147.49</v>
      </c>
      <c r="X317" s="20">
        <v>147.49000050895299</v>
      </c>
      <c r="Y317" s="20" t="s">
        <v>3186</v>
      </c>
      <c r="Z317" s="111" t="s">
        <v>3167</v>
      </c>
      <c r="AB317" s="20" t="s">
        <v>2376</v>
      </c>
      <c r="AD317" s="20" t="s">
        <v>2376</v>
      </c>
      <c r="AE317" s="20" t="s">
        <v>2376</v>
      </c>
      <c r="AF317" s="20">
        <v>0</v>
      </c>
      <c r="AG317" s="20">
        <v>0</v>
      </c>
      <c r="AH317" s="20">
        <v>0</v>
      </c>
      <c r="AI317" s="20">
        <v>0</v>
      </c>
      <c r="AJ317" s="20">
        <v>0</v>
      </c>
      <c r="AK317" s="20" t="s">
        <v>609</v>
      </c>
      <c r="AL317" s="20">
        <v>0</v>
      </c>
      <c r="AM317" s="20">
        <v>0</v>
      </c>
      <c r="AN317" s="20">
        <v>0</v>
      </c>
      <c r="AO317" s="20">
        <v>0</v>
      </c>
      <c r="AP317" s="20">
        <v>0</v>
      </c>
      <c r="AR317" s="20">
        <v>0</v>
      </c>
      <c r="AS317" s="20">
        <v>0</v>
      </c>
      <c r="AT317" s="20">
        <v>1448953.86</v>
      </c>
      <c r="AU317" s="20" t="s">
        <v>13</v>
      </c>
      <c r="AV317" s="20" t="s">
        <v>62</v>
      </c>
      <c r="AW317" s="20" t="s">
        <v>63</v>
      </c>
      <c r="AX317" s="20" t="s">
        <v>208</v>
      </c>
      <c r="AY317" s="20" t="s">
        <v>209</v>
      </c>
      <c r="AZ317" s="20">
        <v>0</v>
      </c>
      <c r="BA317" s="20">
        <v>31710.35</v>
      </c>
      <c r="BB317" s="20">
        <v>931</v>
      </c>
      <c r="BC317" s="20" t="s">
        <v>3167</v>
      </c>
      <c r="BD317" s="20" t="s">
        <v>65</v>
      </c>
      <c r="BE317" s="20" t="s">
        <v>210</v>
      </c>
      <c r="BF317" s="20" t="s">
        <v>210</v>
      </c>
      <c r="BG317" s="20">
        <v>9</v>
      </c>
      <c r="BH317" s="20">
        <v>2853.93</v>
      </c>
      <c r="BI317" s="20">
        <v>9</v>
      </c>
      <c r="BJ317" s="20">
        <v>2853.93</v>
      </c>
      <c r="BK317" s="20">
        <v>0</v>
      </c>
      <c r="BL317" s="20">
        <v>0</v>
      </c>
      <c r="BM317" s="20">
        <v>0</v>
      </c>
      <c r="BN317" s="20">
        <v>612149582727</v>
      </c>
      <c r="BO317" s="111">
        <v>46225</v>
      </c>
      <c r="BP317" s="20">
        <v>0</v>
      </c>
    </row>
    <row r="318" spans="2:68">
      <c r="B318" s="20" t="s">
        <v>2216</v>
      </c>
      <c r="C318" s="20" t="s">
        <v>3167</v>
      </c>
      <c r="D318" s="20" t="s">
        <v>3766</v>
      </c>
      <c r="E318" s="20" t="s">
        <v>18</v>
      </c>
      <c r="F318" s="20" t="s">
        <v>19</v>
      </c>
      <c r="H318" s="20" t="s">
        <v>3767</v>
      </c>
      <c r="I318" s="20">
        <v>3002</v>
      </c>
      <c r="J318" s="20">
        <v>3002</v>
      </c>
      <c r="K318" s="20" t="s">
        <v>11</v>
      </c>
      <c r="L318" s="20">
        <v>3002</v>
      </c>
      <c r="M318" s="20">
        <v>0</v>
      </c>
      <c r="N318" s="20">
        <v>3002</v>
      </c>
      <c r="O318" s="20" t="s">
        <v>2203</v>
      </c>
      <c r="P318" s="20" t="s">
        <v>87</v>
      </c>
      <c r="Q318" s="20" t="s">
        <v>87</v>
      </c>
      <c r="R318" s="20" t="s">
        <v>3186</v>
      </c>
      <c r="S318" s="111" t="s">
        <v>3167</v>
      </c>
      <c r="T318" s="20" t="s">
        <v>206</v>
      </c>
      <c r="U318" s="20" t="s">
        <v>207</v>
      </c>
      <c r="V318" s="20" t="s">
        <v>3185</v>
      </c>
      <c r="W318" s="20">
        <v>144.49</v>
      </c>
      <c r="X318" s="20">
        <v>144.49000049860101</v>
      </c>
      <c r="Y318" s="20" t="s">
        <v>3186</v>
      </c>
      <c r="Z318" s="111" t="s">
        <v>3167</v>
      </c>
      <c r="AB318" s="20" t="s">
        <v>2376</v>
      </c>
      <c r="AD318" s="20" t="s">
        <v>2376</v>
      </c>
      <c r="AE318" s="20" t="s">
        <v>2376</v>
      </c>
      <c r="AF318" s="20">
        <v>0</v>
      </c>
      <c r="AG318" s="20">
        <v>0</v>
      </c>
      <c r="AH318" s="20">
        <v>0</v>
      </c>
      <c r="AI318" s="20">
        <v>0</v>
      </c>
      <c r="AJ318" s="20">
        <v>0</v>
      </c>
      <c r="AK318" s="20" t="s">
        <v>609</v>
      </c>
      <c r="AL318" s="20">
        <v>0</v>
      </c>
      <c r="AM318" s="20">
        <v>0</v>
      </c>
      <c r="AN318" s="20">
        <v>0</v>
      </c>
      <c r="AO318" s="20">
        <v>0</v>
      </c>
      <c r="AP318" s="20">
        <v>0</v>
      </c>
      <c r="AR318" s="20">
        <v>0</v>
      </c>
      <c r="AS318" s="20">
        <v>0</v>
      </c>
      <c r="AT318" s="20">
        <v>1448953.86</v>
      </c>
      <c r="AU318" s="20" t="s">
        <v>13</v>
      </c>
      <c r="AV318" s="20" t="s">
        <v>62</v>
      </c>
      <c r="AW318" s="20" t="s">
        <v>63</v>
      </c>
      <c r="AX318" s="20" t="s">
        <v>208</v>
      </c>
      <c r="AY318" s="20" t="s">
        <v>209</v>
      </c>
      <c r="AZ318" s="20">
        <v>0</v>
      </c>
      <c r="BA318" s="20">
        <v>433758.98</v>
      </c>
      <c r="BB318" s="20">
        <v>931</v>
      </c>
      <c r="BC318" s="20" t="s">
        <v>3167</v>
      </c>
      <c r="BD318" s="20" t="s">
        <v>65</v>
      </c>
      <c r="BE318" s="20" t="s">
        <v>210</v>
      </c>
      <c r="BF318" s="20" t="s">
        <v>210</v>
      </c>
      <c r="BG318" s="20">
        <v>9</v>
      </c>
      <c r="BH318" s="20">
        <v>39038.31</v>
      </c>
      <c r="BI318" s="20">
        <v>9</v>
      </c>
      <c r="BJ318" s="20">
        <v>39038.31</v>
      </c>
      <c r="BK318" s="20">
        <v>0</v>
      </c>
      <c r="BL318" s="20">
        <v>0</v>
      </c>
      <c r="BM318" s="20">
        <v>0</v>
      </c>
      <c r="BN318" s="20">
        <v>612149582727</v>
      </c>
      <c r="BO318" s="111">
        <v>46225</v>
      </c>
      <c r="BP318" s="20">
        <v>0</v>
      </c>
    </row>
    <row r="319" spans="2:68">
      <c r="B319" s="20" t="s">
        <v>2216</v>
      </c>
      <c r="C319" s="20" t="s">
        <v>3167</v>
      </c>
      <c r="D319" s="20" t="s">
        <v>3766</v>
      </c>
      <c r="E319" s="20" t="s">
        <v>160</v>
      </c>
      <c r="F319" s="20" t="s">
        <v>17</v>
      </c>
      <c r="H319" s="20" t="s">
        <v>3767</v>
      </c>
      <c r="I319" s="20">
        <v>2186</v>
      </c>
      <c r="J319" s="20">
        <v>2186</v>
      </c>
      <c r="K319" s="20" t="s">
        <v>11</v>
      </c>
      <c r="L319" s="20">
        <v>2186</v>
      </c>
      <c r="M319" s="20">
        <v>0</v>
      </c>
      <c r="N319" s="20">
        <v>2186</v>
      </c>
      <c r="O319" s="20" t="s">
        <v>2203</v>
      </c>
      <c r="P319" s="20" t="s">
        <v>87</v>
      </c>
      <c r="Q319" s="20" t="s">
        <v>87</v>
      </c>
      <c r="R319" s="20" t="s">
        <v>3186</v>
      </c>
      <c r="S319" s="111" t="s">
        <v>3167</v>
      </c>
      <c r="T319" s="20" t="s">
        <v>206</v>
      </c>
      <c r="U319" s="20" t="s">
        <v>207</v>
      </c>
      <c r="V319" s="20" t="s">
        <v>3185</v>
      </c>
      <c r="W319" s="20">
        <v>182.78</v>
      </c>
      <c r="X319" s="20">
        <v>182.780000630731</v>
      </c>
      <c r="Y319" s="20" t="s">
        <v>3186</v>
      </c>
      <c r="Z319" s="111" t="s">
        <v>3167</v>
      </c>
      <c r="AB319" s="20" t="s">
        <v>2376</v>
      </c>
      <c r="AD319" s="20" t="s">
        <v>2376</v>
      </c>
      <c r="AE319" s="20" t="s">
        <v>2376</v>
      </c>
      <c r="AF319" s="20">
        <v>0</v>
      </c>
      <c r="AG319" s="20">
        <v>0</v>
      </c>
      <c r="AH319" s="20">
        <v>0</v>
      </c>
      <c r="AI319" s="20">
        <v>0</v>
      </c>
      <c r="AJ319" s="20">
        <v>0</v>
      </c>
      <c r="AK319" s="20" t="s">
        <v>609</v>
      </c>
      <c r="AL319" s="20">
        <v>0</v>
      </c>
      <c r="AM319" s="20">
        <v>0</v>
      </c>
      <c r="AN319" s="20">
        <v>0</v>
      </c>
      <c r="AO319" s="20">
        <v>0</v>
      </c>
      <c r="AP319" s="20">
        <v>0</v>
      </c>
      <c r="AR319" s="20">
        <v>0</v>
      </c>
      <c r="AS319" s="20">
        <v>0</v>
      </c>
      <c r="AT319" s="20">
        <v>1448953.86</v>
      </c>
      <c r="AU319" s="20" t="s">
        <v>13</v>
      </c>
      <c r="AV319" s="20" t="s">
        <v>80</v>
      </c>
      <c r="AW319" s="20" t="s">
        <v>81</v>
      </c>
      <c r="AX319" s="20" t="s">
        <v>208</v>
      </c>
      <c r="AY319" s="20" t="s">
        <v>209</v>
      </c>
      <c r="AZ319" s="20">
        <v>0</v>
      </c>
      <c r="BA319" s="20">
        <v>399557.08</v>
      </c>
      <c r="BB319" s="20">
        <v>931</v>
      </c>
      <c r="BC319" s="20" t="s">
        <v>3167</v>
      </c>
      <c r="BD319" s="20" t="s">
        <v>65</v>
      </c>
      <c r="BE319" s="20" t="s">
        <v>210</v>
      </c>
      <c r="BF319" s="20" t="s">
        <v>210</v>
      </c>
      <c r="BG319" s="20">
        <v>9</v>
      </c>
      <c r="BH319" s="20">
        <v>35960.14</v>
      </c>
      <c r="BI319" s="20">
        <v>9</v>
      </c>
      <c r="BJ319" s="20">
        <v>35960.14</v>
      </c>
      <c r="BK319" s="20">
        <v>0</v>
      </c>
      <c r="BL319" s="20">
        <v>0</v>
      </c>
      <c r="BM319" s="20">
        <v>0</v>
      </c>
      <c r="BN319" s="20">
        <v>612149582727</v>
      </c>
      <c r="BO319" s="111">
        <v>46225</v>
      </c>
      <c r="BP319" s="20">
        <v>0</v>
      </c>
    </row>
    <row r="320" spans="2:68">
      <c r="B320" s="20" t="s">
        <v>2216</v>
      </c>
      <c r="C320" s="20" t="s">
        <v>3167</v>
      </c>
      <c r="D320" s="20" t="s">
        <v>3766</v>
      </c>
      <c r="E320" s="20" t="s">
        <v>160</v>
      </c>
      <c r="F320" s="20" t="s">
        <v>17</v>
      </c>
      <c r="H320" s="20" t="s">
        <v>3767</v>
      </c>
      <c r="I320" s="20">
        <v>588</v>
      </c>
      <c r="J320" s="20">
        <v>588</v>
      </c>
      <c r="K320" s="20" t="s">
        <v>11</v>
      </c>
      <c r="L320" s="20">
        <v>588</v>
      </c>
      <c r="M320" s="20">
        <v>0</v>
      </c>
      <c r="N320" s="20">
        <v>588</v>
      </c>
      <c r="O320" s="20" t="s">
        <v>2203</v>
      </c>
      <c r="P320" s="20" t="s">
        <v>87</v>
      </c>
      <c r="Q320" s="20" t="s">
        <v>87</v>
      </c>
      <c r="R320" s="20" t="s">
        <v>3186</v>
      </c>
      <c r="S320" s="111" t="s">
        <v>3167</v>
      </c>
      <c r="T320" s="20" t="s">
        <v>206</v>
      </c>
      <c r="U320" s="20" t="s">
        <v>207</v>
      </c>
      <c r="V320" s="20" t="s">
        <v>3185</v>
      </c>
      <c r="W320" s="20">
        <v>186.78</v>
      </c>
      <c r="X320" s="20">
        <v>186.780000644534</v>
      </c>
      <c r="Y320" s="20" t="s">
        <v>3186</v>
      </c>
      <c r="Z320" s="111" t="s">
        <v>3167</v>
      </c>
      <c r="AB320" s="20" t="s">
        <v>2376</v>
      </c>
      <c r="AD320" s="20" t="s">
        <v>2376</v>
      </c>
      <c r="AE320" s="20" t="s">
        <v>2376</v>
      </c>
      <c r="AF320" s="20">
        <v>0</v>
      </c>
      <c r="AG320" s="20">
        <v>0</v>
      </c>
      <c r="AH320" s="20">
        <v>0</v>
      </c>
      <c r="AI320" s="20">
        <v>0</v>
      </c>
      <c r="AJ320" s="20">
        <v>0</v>
      </c>
      <c r="AK320" s="20" t="s">
        <v>609</v>
      </c>
      <c r="AL320" s="20">
        <v>0</v>
      </c>
      <c r="AM320" s="20">
        <v>0</v>
      </c>
      <c r="AN320" s="20">
        <v>0</v>
      </c>
      <c r="AO320" s="20">
        <v>0</v>
      </c>
      <c r="AP320" s="20">
        <v>0</v>
      </c>
      <c r="AR320" s="20">
        <v>0</v>
      </c>
      <c r="AS320" s="20">
        <v>0</v>
      </c>
      <c r="AT320" s="20">
        <v>1448953.86</v>
      </c>
      <c r="AU320" s="20" t="s">
        <v>13</v>
      </c>
      <c r="AV320" s="20" t="s">
        <v>80</v>
      </c>
      <c r="AW320" s="20" t="s">
        <v>81</v>
      </c>
      <c r="AX320" s="20" t="s">
        <v>208</v>
      </c>
      <c r="AY320" s="20" t="s">
        <v>209</v>
      </c>
      <c r="AZ320" s="20">
        <v>0</v>
      </c>
      <c r="BA320" s="20">
        <v>109826.64</v>
      </c>
      <c r="BB320" s="20">
        <v>931</v>
      </c>
      <c r="BC320" s="20" t="s">
        <v>3167</v>
      </c>
      <c r="BD320" s="20" t="s">
        <v>65</v>
      </c>
      <c r="BE320" s="20" t="s">
        <v>210</v>
      </c>
      <c r="BF320" s="20" t="s">
        <v>210</v>
      </c>
      <c r="BG320" s="20">
        <v>9</v>
      </c>
      <c r="BH320" s="20">
        <v>9884.4</v>
      </c>
      <c r="BI320" s="20">
        <v>9</v>
      </c>
      <c r="BJ320" s="20">
        <v>9884.4</v>
      </c>
      <c r="BK320" s="20">
        <v>0</v>
      </c>
      <c r="BL320" s="20">
        <v>0</v>
      </c>
      <c r="BM320" s="20">
        <v>0</v>
      </c>
      <c r="BN320" s="20">
        <v>612149582727</v>
      </c>
      <c r="BO320" s="111">
        <v>46225</v>
      </c>
      <c r="BP320" s="20">
        <v>0</v>
      </c>
    </row>
    <row r="321" spans="2:68">
      <c r="B321" s="20" t="s">
        <v>2216</v>
      </c>
      <c r="C321" s="20" t="s">
        <v>3167</v>
      </c>
      <c r="D321" s="20" t="s">
        <v>3766</v>
      </c>
      <c r="E321" s="20" t="s">
        <v>23</v>
      </c>
      <c r="F321" s="20" t="s">
        <v>24</v>
      </c>
      <c r="H321" s="20" t="s">
        <v>3767</v>
      </c>
      <c r="I321" s="20">
        <v>167</v>
      </c>
      <c r="J321" s="20">
        <v>167</v>
      </c>
      <c r="K321" s="20" t="s">
        <v>11</v>
      </c>
      <c r="L321" s="20">
        <v>167</v>
      </c>
      <c r="M321" s="20">
        <v>0</v>
      </c>
      <c r="N321" s="20">
        <v>167</v>
      </c>
      <c r="O321" s="20" t="s">
        <v>2203</v>
      </c>
      <c r="P321" s="20" t="s">
        <v>87</v>
      </c>
      <c r="Q321" s="20" t="s">
        <v>87</v>
      </c>
      <c r="R321" s="20" t="s">
        <v>3186</v>
      </c>
      <c r="S321" s="111" t="s">
        <v>3167</v>
      </c>
      <c r="T321" s="20" t="s">
        <v>206</v>
      </c>
      <c r="U321" s="20" t="s">
        <v>207</v>
      </c>
      <c r="V321" s="20" t="s">
        <v>3185</v>
      </c>
      <c r="W321" s="20">
        <v>170.49</v>
      </c>
      <c r="X321" s="20">
        <v>170.49000058832101</v>
      </c>
      <c r="Y321" s="20" t="s">
        <v>3186</v>
      </c>
      <c r="Z321" s="111" t="s">
        <v>3167</v>
      </c>
      <c r="AB321" s="20" t="s">
        <v>2376</v>
      </c>
      <c r="AD321" s="20" t="s">
        <v>2376</v>
      </c>
      <c r="AE321" s="20" t="s">
        <v>2376</v>
      </c>
      <c r="AF321" s="20">
        <v>0</v>
      </c>
      <c r="AG321" s="20">
        <v>0</v>
      </c>
      <c r="AH321" s="20">
        <v>0</v>
      </c>
      <c r="AI321" s="20">
        <v>0</v>
      </c>
      <c r="AJ321" s="20">
        <v>0</v>
      </c>
      <c r="AK321" s="20" t="s">
        <v>609</v>
      </c>
      <c r="AL321" s="20">
        <v>0</v>
      </c>
      <c r="AM321" s="20">
        <v>0</v>
      </c>
      <c r="AN321" s="20">
        <v>0</v>
      </c>
      <c r="AO321" s="20">
        <v>0</v>
      </c>
      <c r="AP321" s="20">
        <v>0</v>
      </c>
      <c r="AR321" s="20">
        <v>0</v>
      </c>
      <c r="AS321" s="20">
        <v>0</v>
      </c>
      <c r="AT321" s="20">
        <v>1448953.86</v>
      </c>
      <c r="AU321" s="20" t="s">
        <v>13</v>
      </c>
      <c r="AV321" s="20" t="s">
        <v>24</v>
      </c>
      <c r="AW321" s="20" t="s">
        <v>79</v>
      </c>
      <c r="AX321" s="20" t="s">
        <v>208</v>
      </c>
      <c r="AY321" s="20" t="s">
        <v>209</v>
      </c>
      <c r="AZ321" s="20">
        <v>0</v>
      </c>
      <c r="BA321" s="20">
        <v>28471.83</v>
      </c>
      <c r="BB321" s="20">
        <v>931</v>
      </c>
      <c r="BC321" s="20" t="s">
        <v>3167</v>
      </c>
      <c r="BD321" s="20" t="s">
        <v>65</v>
      </c>
      <c r="BE321" s="20" t="s">
        <v>210</v>
      </c>
      <c r="BF321" s="20" t="s">
        <v>210</v>
      </c>
      <c r="BG321" s="20">
        <v>9</v>
      </c>
      <c r="BH321" s="20">
        <v>2562.46</v>
      </c>
      <c r="BI321" s="20">
        <v>9</v>
      </c>
      <c r="BJ321" s="20">
        <v>2562.46</v>
      </c>
      <c r="BK321" s="20">
        <v>0</v>
      </c>
      <c r="BL321" s="20">
        <v>0</v>
      </c>
      <c r="BM321" s="20">
        <v>0</v>
      </c>
      <c r="BN321" s="20">
        <v>612149582727</v>
      </c>
      <c r="BO321" s="111">
        <v>46225</v>
      </c>
      <c r="BP321" s="20">
        <v>0</v>
      </c>
    </row>
    <row r="322" spans="2:68">
      <c r="B322" s="20" t="s">
        <v>2216</v>
      </c>
      <c r="C322" s="20" t="s">
        <v>3167</v>
      </c>
      <c r="D322" s="20" t="s">
        <v>3766</v>
      </c>
      <c r="E322" s="20" t="s">
        <v>23</v>
      </c>
      <c r="F322" s="20" t="s">
        <v>24</v>
      </c>
      <c r="H322" s="20" t="s">
        <v>3767</v>
      </c>
      <c r="I322" s="20">
        <v>377.2</v>
      </c>
      <c r="J322" s="20">
        <v>377.2</v>
      </c>
      <c r="K322" s="20" t="s">
        <v>11</v>
      </c>
      <c r="L322" s="20">
        <v>377.2</v>
      </c>
      <c r="M322" s="20">
        <v>0</v>
      </c>
      <c r="N322" s="20">
        <v>377.2</v>
      </c>
      <c r="O322" s="20" t="s">
        <v>2203</v>
      </c>
      <c r="P322" s="20" t="s">
        <v>87</v>
      </c>
      <c r="Q322" s="20" t="s">
        <v>87</v>
      </c>
      <c r="R322" s="20" t="s">
        <v>3186</v>
      </c>
      <c r="S322" s="111" t="s">
        <v>3167</v>
      </c>
      <c r="T322" s="20" t="s">
        <v>206</v>
      </c>
      <c r="U322" s="20" t="s">
        <v>207</v>
      </c>
      <c r="V322" s="20" t="s">
        <v>3185</v>
      </c>
      <c r="W322" s="20">
        <v>149.49</v>
      </c>
      <c r="X322" s="20">
        <v>149.490000515855</v>
      </c>
      <c r="Y322" s="20" t="s">
        <v>3186</v>
      </c>
      <c r="Z322" s="111" t="s">
        <v>3167</v>
      </c>
      <c r="AB322" s="20" t="s">
        <v>2376</v>
      </c>
      <c r="AD322" s="20" t="s">
        <v>2376</v>
      </c>
      <c r="AE322" s="20" t="s">
        <v>2376</v>
      </c>
      <c r="AF322" s="20">
        <v>0</v>
      </c>
      <c r="AG322" s="20">
        <v>0</v>
      </c>
      <c r="AH322" s="20">
        <v>0</v>
      </c>
      <c r="AI322" s="20">
        <v>0</v>
      </c>
      <c r="AJ322" s="20">
        <v>0</v>
      </c>
      <c r="AK322" s="20" t="s">
        <v>609</v>
      </c>
      <c r="AL322" s="20">
        <v>0</v>
      </c>
      <c r="AM322" s="20">
        <v>0</v>
      </c>
      <c r="AN322" s="20">
        <v>0</v>
      </c>
      <c r="AO322" s="20">
        <v>0</v>
      </c>
      <c r="AP322" s="20">
        <v>0</v>
      </c>
      <c r="AR322" s="20">
        <v>0</v>
      </c>
      <c r="AS322" s="20">
        <v>0</v>
      </c>
      <c r="AT322" s="20">
        <v>1448953.86</v>
      </c>
      <c r="AU322" s="20" t="s">
        <v>13</v>
      </c>
      <c r="AV322" s="20" t="s">
        <v>24</v>
      </c>
      <c r="AW322" s="20" t="s">
        <v>79</v>
      </c>
      <c r="AX322" s="20" t="s">
        <v>208</v>
      </c>
      <c r="AY322" s="20" t="s">
        <v>209</v>
      </c>
      <c r="AZ322" s="20">
        <v>0</v>
      </c>
      <c r="BA322" s="20">
        <v>56387.63</v>
      </c>
      <c r="BB322" s="20">
        <v>931</v>
      </c>
      <c r="BC322" s="20" t="s">
        <v>3167</v>
      </c>
      <c r="BD322" s="20" t="s">
        <v>65</v>
      </c>
      <c r="BE322" s="20" t="s">
        <v>210</v>
      </c>
      <c r="BF322" s="20" t="s">
        <v>210</v>
      </c>
      <c r="BG322" s="20">
        <v>9</v>
      </c>
      <c r="BH322" s="20">
        <v>5074.8900000000003</v>
      </c>
      <c r="BI322" s="20">
        <v>9</v>
      </c>
      <c r="BJ322" s="20">
        <v>5074.8900000000003</v>
      </c>
      <c r="BK322" s="20">
        <v>0</v>
      </c>
      <c r="BL322" s="20">
        <v>0</v>
      </c>
      <c r="BM322" s="20">
        <v>0</v>
      </c>
      <c r="BN322" s="20">
        <v>612149582727</v>
      </c>
      <c r="BO322" s="111">
        <v>46225</v>
      </c>
      <c r="BP322" s="20">
        <v>0</v>
      </c>
    </row>
    <row r="323" spans="2:68">
      <c r="B323" s="20" t="s">
        <v>2216</v>
      </c>
      <c r="C323" s="20" t="s">
        <v>3167</v>
      </c>
      <c r="D323" s="20" t="s">
        <v>3766</v>
      </c>
      <c r="E323" s="20" t="s">
        <v>23</v>
      </c>
      <c r="F323" s="20" t="s">
        <v>24</v>
      </c>
      <c r="H323" s="20" t="s">
        <v>3767</v>
      </c>
      <c r="I323" s="20">
        <v>515.29999999999995</v>
      </c>
      <c r="J323" s="20">
        <v>515.29999999999995</v>
      </c>
      <c r="K323" s="20" t="s">
        <v>11</v>
      </c>
      <c r="L323" s="20">
        <v>515.29999999999995</v>
      </c>
      <c r="M323" s="20">
        <v>0</v>
      </c>
      <c r="N323" s="20">
        <v>515.29999999999995</v>
      </c>
      <c r="O323" s="20" t="s">
        <v>2203</v>
      </c>
      <c r="P323" s="20" t="s">
        <v>87</v>
      </c>
      <c r="Q323" s="20" t="s">
        <v>87</v>
      </c>
      <c r="R323" s="20" t="s">
        <v>3186</v>
      </c>
      <c r="S323" s="111" t="s">
        <v>3167</v>
      </c>
      <c r="T323" s="20" t="s">
        <v>206</v>
      </c>
      <c r="U323" s="20" t="s">
        <v>207</v>
      </c>
      <c r="V323" s="20" t="s">
        <v>3185</v>
      </c>
      <c r="W323" s="20">
        <v>146.49</v>
      </c>
      <c r="X323" s="20">
        <v>146.49000050550299</v>
      </c>
      <c r="Y323" s="20" t="s">
        <v>3186</v>
      </c>
      <c r="Z323" s="111" t="s">
        <v>3167</v>
      </c>
      <c r="AB323" s="20" t="s">
        <v>2376</v>
      </c>
      <c r="AD323" s="20" t="s">
        <v>2376</v>
      </c>
      <c r="AE323" s="20" t="s">
        <v>2376</v>
      </c>
      <c r="AF323" s="20">
        <v>0</v>
      </c>
      <c r="AG323" s="20">
        <v>0</v>
      </c>
      <c r="AH323" s="20">
        <v>0</v>
      </c>
      <c r="AI323" s="20">
        <v>0</v>
      </c>
      <c r="AJ323" s="20">
        <v>0</v>
      </c>
      <c r="AK323" s="20" t="s">
        <v>609</v>
      </c>
      <c r="AL323" s="20">
        <v>0</v>
      </c>
      <c r="AM323" s="20">
        <v>0</v>
      </c>
      <c r="AN323" s="20">
        <v>0</v>
      </c>
      <c r="AO323" s="20">
        <v>0</v>
      </c>
      <c r="AP323" s="20">
        <v>0</v>
      </c>
      <c r="AR323" s="20">
        <v>0</v>
      </c>
      <c r="AS323" s="20">
        <v>0</v>
      </c>
      <c r="AT323" s="20">
        <v>1448953.86</v>
      </c>
      <c r="AU323" s="20" t="s">
        <v>13</v>
      </c>
      <c r="AV323" s="20" t="s">
        <v>24</v>
      </c>
      <c r="AW323" s="20" t="s">
        <v>79</v>
      </c>
      <c r="AX323" s="20" t="s">
        <v>208</v>
      </c>
      <c r="AY323" s="20" t="s">
        <v>209</v>
      </c>
      <c r="AZ323" s="20">
        <v>0</v>
      </c>
      <c r="BA323" s="20">
        <v>75486.3</v>
      </c>
      <c r="BB323" s="20">
        <v>931</v>
      </c>
      <c r="BC323" s="20" t="s">
        <v>3167</v>
      </c>
      <c r="BD323" s="20" t="s">
        <v>65</v>
      </c>
      <c r="BE323" s="20" t="s">
        <v>210</v>
      </c>
      <c r="BF323" s="20" t="s">
        <v>210</v>
      </c>
      <c r="BG323" s="20">
        <v>9</v>
      </c>
      <c r="BH323" s="20">
        <v>6793.77</v>
      </c>
      <c r="BI323" s="20">
        <v>9</v>
      </c>
      <c r="BJ323" s="20">
        <v>6793.77</v>
      </c>
      <c r="BK323" s="20">
        <v>0</v>
      </c>
      <c r="BL323" s="20">
        <v>0</v>
      </c>
      <c r="BM323" s="20">
        <v>0</v>
      </c>
      <c r="BN323" s="20">
        <v>612149582727</v>
      </c>
      <c r="BO323" s="111">
        <v>46225</v>
      </c>
      <c r="BP323" s="20">
        <v>0</v>
      </c>
    </row>
    <row r="324" spans="2:68">
      <c r="B324" s="20" t="s">
        <v>2216</v>
      </c>
      <c r="C324" s="20" t="s">
        <v>3204</v>
      </c>
      <c r="D324" s="20" t="s">
        <v>3768</v>
      </c>
      <c r="E324" s="20" t="s">
        <v>211</v>
      </c>
      <c r="F324" s="20" t="s">
        <v>16</v>
      </c>
      <c r="H324" s="20" t="s">
        <v>3769</v>
      </c>
      <c r="I324" s="20">
        <v>789</v>
      </c>
      <c r="J324" s="20">
        <v>789</v>
      </c>
      <c r="K324" s="20" t="s">
        <v>11</v>
      </c>
      <c r="L324" s="20">
        <v>789</v>
      </c>
      <c r="M324" s="20">
        <v>0</v>
      </c>
      <c r="N324" s="20">
        <v>789</v>
      </c>
      <c r="O324" s="20" t="s">
        <v>2442</v>
      </c>
      <c r="P324" s="20" t="s">
        <v>87</v>
      </c>
      <c r="Q324" s="20" t="s">
        <v>87</v>
      </c>
      <c r="R324" s="20" t="s">
        <v>3208</v>
      </c>
      <c r="S324" s="20" t="s">
        <v>3204</v>
      </c>
      <c r="T324" s="20" t="s">
        <v>206</v>
      </c>
      <c r="U324" s="20" t="s">
        <v>207</v>
      </c>
      <c r="V324" s="20" t="s">
        <v>3207</v>
      </c>
      <c r="W324" s="20">
        <v>191.05</v>
      </c>
      <c r="X324" s="20">
        <v>191.05</v>
      </c>
      <c r="Y324" s="20" t="s">
        <v>3208</v>
      </c>
      <c r="Z324" s="20" t="s">
        <v>3204</v>
      </c>
      <c r="AB324" s="20" t="s">
        <v>2376</v>
      </c>
      <c r="AD324" s="20" t="s">
        <v>2376</v>
      </c>
      <c r="AE324" s="20" t="s">
        <v>2376</v>
      </c>
      <c r="AF324" s="20">
        <v>0</v>
      </c>
      <c r="AG324" s="20">
        <v>0</v>
      </c>
      <c r="AH324" s="20">
        <v>0</v>
      </c>
      <c r="AI324" s="20">
        <v>0</v>
      </c>
      <c r="AJ324" s="20">
        <v>0</v>
      </c>
      <c r="AK324" s="20" t="s">
        <v>609</v>
      </c>
      <c r="AL324" s="20">
        <v>0</v>
      </c>
      <c r="AM324" s="20">
        <v>0</v>
      </c>
      <c r="AN324" s="20">
        <v>0</v>
      </c>
      <c r="AO324" s="20">
        <v>0</v>
      </c>
      <c r="AP324" s="20">
        <v>0</v>
      </c>
      <c r="AR324" s="20">
        <v>0</v>
      </c>
      <c r="AS324" s="20">
        <v>0</v>
      </c>
      <c r="AT324" s="20">
        <v>1417496.83</v>
      </c>
      <c r="AU324" s="20" t="s">
        <v>15</v>
      </c>
      <c r="AV324" s="20" t="s">
        <v>57</v>
      </c>
      <c r="AW324" s="20" t="s">
        <v>57</v>
      </c>
      <c r="AX324" s="20" t="s">
        <v>15</v>
      </c>
      <c r="AY324" s="20" t="s">
        <v>209</v>
      </c>
      <c r="AZ324" s="20">
        <v>0</v>
      </c>
      <c r="BA324" s="20">
        <v>150738.45000000001</v>
      </c>
      <c r="BB324" s="20">
        <v>937</v>
      </c>
      <c r="BC324" s="20" t="s">
        <v>3204</v>
      </c>
      <c r="BD324" s="20" t="s">
        <v>65</v>
      </c>
      <c r="BE324" s="20" t="s">
        <v>210</v>
      </c>
      <c r="BF324" s="20" t="s">
        <v>210</v>
      </c>
      <c r="BG324" s="20">
        <v>9</v>
      </c>
      <c r="BH324" s="20">
        <v>13566.46</v>
      </c>
      <c r="BI324" s="20">
        <v>9</v>
      </c>
      <c r="BJ324" s="20">
        <v>13566.46</v>
      </c>
      <c r="BK324" s="20">
        <v>0</v>
      </c>
      <c r="BL324" s="20">
        <v>0</v>
      </c>
      <c r="BM324" s="20">
        <v>1417496.83</v>
      </c>
      <c r="BN324" s="20">
        <v>602150068424</v>
      </c>
      <c r="BO324" s="111">
        <v>46226</v>
      </c>
      <c r="BP324" s="20">
        <v>0</v>
      </c>
    </row>
    <row r="325" spans="2:68">
      <c r="B325" s="20" t="s">
        <v>2216</v>
      </c>
      <c r="C325" s="20" t="s">
        <v>3204</v>
      </c>
      <c r="D325" s="20" t="s">
        <v>3768</v>
      </c>
      <c r="E325" s="20" t="s">
        <v>211</v>
      </c>
      <c r="F325" s="20" t="s">
        <v>16</v>
      </c>
      <c r="H325" s="20" t="s">
        <v>3769</v>
      </c>
      <c r="I325" s="20">
        <v>1180</v>
      </c>
      <c r="J325" s="20">
        <v>1180</v>
      </c>
      <c r="K325" s="20" t="s">
        <v>11</v>
      </c>
      <c r="L325" s="20">
        <v>1180</v>
      </c>
      <c r="M325" s="20">
        <v>0</v>
      </c>
      <c r="N325" s="20">
        <v>1180</v>
      </c>
      <c r="O325" s="20" t="s">
        <v>2442</v>
      </c>
      <c r="P325" s="20" t="s">
        <v>87</v>
      </c>
      <c r="Q325" s="20" t="s">
        <v>87</v>
      </c>
      <c r="R325" s="20" t="s">
        <v>3208</v>
      </c>
      <c r="S325" s="20" t="s">
        <v>3204</v>
      </c>
      <c r="T325" s="20" t="s">
        <v>206</v>
      </c>
      <c r="U325" s="20" t="s">
        <v>207</v>
      </c>
      <c r="V325" s="20" t="s">
        <v>3207</v>
      </c>
      <c r="W325" s="20">
        <v>218.74</v>
      </c>
      <c r="X325" s="20">
        <v>218.74</v>
      </c>
      <c r="Y325" s="20" t="s">
        <v>3208</v>
      </c>
      <c r="Z325" s="20" t="s">
        <v>3204</v>
      </c>
      <c r="AB325" s="20" t="s">
        <v>2376</v>
      </c>
      <c r="AD325" s="20" t="s">
        <v>2376</v>
      </c>
      <c r="AE325" s="20" t="s">
        <v>2376</v>
      </c>
      <c r="AF325" s="20">
        <v>0</v>
      </c>
      <c r="AG325" s="20">
        <v>0</v>
      </c>
      <c r="AH325" s="20">
        <v>0</v>
      </c>
      <c r="AI325" s="20">
        <v>0</v>
      </c>
      <c r="AJ325" s="20">
        <v>0</v>
      </c>
      <c r="AK325" s="20" t="s">
        <v>609</v>
      </c>
      <c r="AL325" s="20">
        <v>0</v>
      </c>
      <c r="AM325" s="20">
        <v>0</v>
      </c>
      <c r="AN325" s="20">
        <v>0</v>
      </c>
      <c r="AO325" s="20">
        <v>0</v>
      </c>
      <c r="AP325" s="20">
        <v>0</v>
      </c>
      <c r="AR325" s="20">
        <v>0</v>
      </c>
      <c r="AS325" s="20">
        <v>0</v>
      </c>
      <c r="AT325" s="20">
        <v>1417496.83</v>
      </c>
      <c r="AU325" s="20" t="s">
        <v>15</v>
      </c>
      <c r="AV325" s="20" t="s">
        <v>57</v>
      </c>
      <c r="AW325" s="20" t="s">
        <v>57</v>
      </c>
      <c r="AX325" s="20" t="s">
        <v>15</v>
      </c>
      <c r="AY325" s="20" t="s">
        <v>209</v>
      </c>
      <c r="AZ325" s="20">
        <v>0</v>
      </c>
      <c r="BA325" s="20">
        <v>258113.2</v>
      </c>
      <c r="BB325" s="20">
        <v>937</v>
      </c>
      <c r="BC325" s="20" t="s">
        <v>3204</v>
      </c>
      <c r="BD325" s="20" t="s">
        <v>65</v>
      </c>
      <c r="BE325" s="20" t="s">
        <v>210</v>
      </c>
      <c r="BF325" s="20" t="s">
        <v>210</v>
      </c>
      <c r="BG325" s="20">
        <v>9</v>
      </c>
      <c r="BH325" s="20">
        <v>23230.19</v>
      </c>
      <c r="BI325" s="20">
        <v>9</v>
      </c>
      <c r="BJ325" s="20">
        <v>23230.19</v>
      </c>
      <c r="BK325" s="20">
        <v>0</v>
      </c>
      <c r="BL325" s="20">
        <v>0</v>
      </c>
      <c r="BM325" s="20">
        <v>0</v>
      </c>
      <c r="BN325" s="20">
        <v>602150068424</v>
      </c>
      <c r="BO325" s="111">
        <v>46226</v>
      </c>
      <c r="BP325" s="20">
        <v>0</v>
      </c>
    </row>
    <row r="326" spans="2:68">
      <c r="B326" s="20" t="s">
        <v>2216</v>
      </c>
      <c r="C326" s="20" t="s">
        <v>3204</v>
      </c>
      <c r="D326" s="20" t="s">
        <v>3768</v>
      </c>
      <c r="E326" s="20" t="s">
        <v>211</v>
      </c>
      <c r="F326" s="20" t="s">
        <v>16</v>
      </c>
      <c r="H326" s="20" t="s">
        <v>3769</v>
      </c>
      <c r="I326" s="20">
        <v>2767</v>
      </c>
      <c r="J326" s="20">
        <v>2767</v>
      </c>
      <c r="K326" s="20" t="s">
        <v>11</v>
      </c>
      <c r="L326" s="20">
        <v>2767</v>
      </c>
      <c r="M326" s="20">
        <v>0</v>
      </c>
      <c r="N326" s="20">
        <v>2767</v>
      </c>
      <c r="O326" s="20" t="s">
        <v>2442</v>
      </c>
      <c r="P326" s="20" t="s">
        <v>87</v>
      </c>
      <c r="Q326" s="20" t="s">
        <v>87</v>
      </c>
      <c r="R326" s="20" t="s">
        <v>3208</v>
      </c>
      <c r="S326" s="20" t="s">
        <v>3204</v>
      </c>
      <c r="T326" s="20" t="s">
        <v>206</v>
      </c>
      <c r="U326" s="20" t="s">
        <v>207</v>
      </c>
      <c r="V326" s="20" t="s">
        <v>3207</v>
      </c>
      <c r="W326" s="20">
        <v>195.37</v>
      </c>
      <c r="X326" s="20">
        <v>195.37</v>
      </c>
      <c r="Y326" s="20" t="s">
        <v>3208</v>
      </c>
      <c r="Z326" s="20" t="s">
        <v>3204</v>
      </c>
      <c r="AB326" s="20" t="s">
        <v>2376</v>
      </c>
      <c r="AD326" s="20" t="s">
        <v>2376</v>
      </c>
      <c r="AE326" s="20" t="s">
        <v>2376</v>
      </c>
      <c r="AF326" s="20">
        <v>0</v>
      </c>
      <c r="AG326" s="20">
        <v>0</v>
      </c>
      <c r="AH326" s="20">
        <v>0</v>
      </c>
      <c r="AI326" s="20">
        <v>0</v>
      </c>
      <c r="AJ326" s="20">
        <v>0</v>
      </c>
      <c r="AK326" s="20" t="s">
        <v>609</v>
      </c>
      <c r="AL326" s="20">
        <v>0</v>
      </c>
      <c r="AM326" s="20">
        <v>0</v>
      </c>
      <c r="AN326" s="20">
        <v>0</v>
      </c>
      <c r="AO326" s="20">
        <v>0</v>
      </c>
      <c r="AP326" s="20">
        <v>0</v>
      </c>
      <c r="AR326" s="20">
        <v>0</v>
      </c>
      <c r="AS326" s="20">
        <v>0</v>
      </c>
      <c r="AT326" s="20">
        <v>1417496.83</v>
      </c>
      <c r="AU326" s="20" t="s">
        <v>15</v>
      </c>
      <c r="AV326" s="20" t="s">
        <v>57</v>
      </c>
      <c r="AW326" s="20" t="s">
        <v>57</v>
      </c>
      <c r="AX326" s="20" t="s">
        <v>15</v>
      </c>
      <c r="AY326" s="20" t="s">
        <v>209</v>
      </c>
      <c r="AZ326" s="20">
        <v>0</v>
      </c>
      <c r="BA326" s="20">
        <v>540588.79</v>
      </c>
      <c r="BB326" s="20">
        <v>937</v>
      </c>
      <c r="BC326" s="20" t="s">
        <v>3204</v>
      </c>
      <c r="BD326" s="20" t="s">
        <v>65</v>
      </c>
      <c r="BE326" s="20" t="s">
        <v>210</v>
      </c>
      <c r="BF326" s="20" t="s">
        <v>210</v>
      </c>
      <c r="BG326" s="20">
        <v>9</v>
      </c>
      <c r="BH326" s="20">
        <v>48652.99</v>
      </c>
      <c r="BI326" s="20">
        <v>9</v>
      </c>
      <c r="BJ326" s="20">
        <v>48652.99</v>
      </c>
      <c r="BK326" s="20">
        <v>0</v>
      </c>
      <c r="BL326" s="20">
        <v>0</v>
      </c>
      <c r="BM326" s="20">
        <v>0</v>
      </c>
      <c r="BN326" s="20">
        <v>602150068424</v>
      </c>
      <c r="BO326" s="111">
        <v>46226</v>
      </c>
      <c r="BP326" s="20">
        <v>0</v>
      </c>
    </row>
    <row r="327" spans="2:68">
      <c r="B327" s="20" t="s">
        <v>2216</v>
      </c>
      <c r="C327" s="20" t="s">
        <v>3204</v>
      </c>
      <c r="D327" s="20" t="s">
        <v>3768</v>
      </c>
      <c r="E327" s="20" t="s">
        <v>211</v>
      </c>
      <c r="F327" s="20" t="s">
        <v>16</v>
      </c>
      <c r="H327" s="20" t="s">
        <v>3769</v>
      </c>
      <c r="I327" s="20">
        <v>1183</v>
      </c>
      <c r="J327" s="20">
        <v>1183</v>
      </c>
      <c r="K327" s="20" t="s">
        <v>11</v>
      </c>
      <c r="L327" s="20">
        <v>1183</v>
      </c>
      <c r="M327" s="20">
        <v>0</v>
      </c>
      <c r="N327" s="20">
        <v>1183</v>
      </c>
      <c r="O327" s="20" t="s">
        <v>2442</v>
      </c>
      <c r="P327" s="20" t="s">
        <v>87</v>
      </c>
      <c r="Q327" s="20" t="s">
        <v>87</v>
      </c>
      <c r="R327" s="20" t="s">
        <v>3208</v>
      </c>
      <c r="S327" s="20" t="s">
        <v>3204</v>
      </c>
      <c r="T327" s="20" t="s">
        <v>206</v>
      </c>
      <c r="U327" s="20" t="s">
        <v>207</v>
      </c>
      <c r="V327" s="20" t="s">
        <v>3207</v>
      </c>
      <c r="W327" s="20">
        <v>205.01</v>
      </c>
      <c r="X327" s="20">
        <v>205.01</v>
      </c>
      <c r="Y327" s="20" t="s">
        <v>3208</v>
      </c>
      <c r="Z327" s="20" t="s">
        <v>3204</v>
      </c>
      <c r="AB327" s="20" t="s">
        <v>2376</v>
      </c>
      <c r="AD327" s="20" t="s">
        <v>2376</v>
      </c>
      <c r="AE327" s="20" t="s">
        <v>2376</v>
      </c>
      <c r="AF327" s="20">
        <v>0</v>
      </c>
      <c r="AG327" s="20">
        <v>0</v>
      </c>
      <c r="AH327" s="20">
        <v>0</v>
      </c>
      <c r="AI327" s="20">
        <v>0</v>
      </c>
      <c r="AJ327" s="20">
        <v>0</v>
      </c>
      <c r="AK327" s="20" t="s">
        <v>609</v>
      </c>
      <c r="AL327" s="20">
        <v>0</v>
      </c>
      <c r="AM327" s="20">
        <v>0</v>
      </c>
      <c r="AN327" s="20">
        <v>0</v>
      </c>
      <c r="AO327" s="20">
        <v>0</v>
      </c>
      <c r="AP327" s="20">
        <v>0</v>
      </c>
      <c r="AR327" s="20">
        <v>0</v>
      </c>
      <c r="AS327" s="20">
        <v>0</v>
      </c>
      <c r="AT327" s="20">
        <v>1417496.83</v>
      </c>
      <c r="AU327" s="20" t="s">
        <v>15</v>
      </c>
      <c r="AV327" s="20" t="s">
        <v>57</v>
      </c>
      <c r="AW327" s="20" t="s">
        <v>57</v>
      </c>
      <c r="AX327" s="20" t="s">
        <v>15</v>
      </c>
      <c r="AY327" s="20" t="s">
        <v>209</v>
      </c>
      <c r="AZ327" s="20">
        <v>0</v>
      </c>
      <c r="BA327" s="20">
        <v>242526.83</v>
      </c>
      <c r="BB327" s="20">
        <v>937</v>
      </c>
      <c r="BC327" s="20" t="s">
        <v>3204</v>
      </c>
      <c r="BD327" s="20" t="s">
        <v>65</v>
      </c>
      <c r="BE327" s="20" t="s">
        <v>210</v>
      </c>
      <c r="BF327" s="20" t="s">
        <v>210</v>
      </c>
      <c r="BG327" s="20">
        <v>9</v>
      </c>
      <c r="BH327" s="20">
        <v>21827.41</v>
      </c>
      <c r="BI327" s="20">
        <v>9</v>
      </c>
      <c r="BJ327" s="20">
        <v>21827.41</v>
      </c>
      <c r="BK327" s="20">
        <v>0</v>
      </c>
      <c r="BL327" s="20">
        <v>0</v>
      </c>
      <c r="BM327" s="20">
        <v>0</v>
      </c>
      <c r="BN327" s="20">
        <v>602150068424</v>
      </c>
      <c r="BO327" s="111">
        <v>46226</v>
      </c>
      <c r="BP327" s="20">
        <v>0</v>
      </c>
    </row>
    <row r="328" spans="2:68">
      <c r="B328" s="20" t="s">
        <v>2216</v>
      </c>
      <c r="C328" s="20" t="s">
        <v>3204</v>
      </c>
      <c r="D328" s="20" t="s">
        <v>3768</v>
      </c>
      <c r="E328" s="20" t="s">
        <v>211</v>
      </c>
      <c r="F328" s="20" t="s">
        <v>16</v>
      </c>
      <c r="H328" s="20" t="s">
        <v>3769</v>
      </c>
      <c r="I328" s="20">
        <v>52</v>
      </c>
      <c r="J328" s="20">
        <v>52</v>
      </c>
      <c r="K328" s="20" t="s">
        <v>11</v>
      </c>
      <c r="L328" s="20">
        <v>52</v>
      </c>
      <c r="M328" s="20">
        <v>0</v>
      </c>
      <c r="N328" s="20">
        <v>52</v>
      </c>
      <c r="O328" s="20" t="s">
        <v>2442</v>
      </c>
      <c r="P328" s="20" t="s">
        <v>87</v>
      </c>
      <c r="Q328" s="20" t="s">
        <v>87</v>
      </c>
      <c r="R328" s="20" t="s">
        <v>3208</v>
      </c>
      <c r="S328" s="111" t="s">
        <v>3204</v>
      </c>
      <c r="T328" s="20" t="s">
        <v>206</v>
      </c>
      <c r="U328" s="20" t="s">
        <v>207</v>
      </c>
      <c r="V328" s="20" t="s">
        <v>3207</v>
      </c>
      <c r="W328" s="20">
        <v>178.87</v>
      </c>
      <c r="X328" s="20">
        <v>178.87</v>
      </c>
      <c r="Y328" s="20" t="s">
        <v>3208</v>
      </c>
      <c r="Z328" s="111" t="s">
        <v>3204</v>
      </c>
      <c r="AB328" s="20" t="s">
        <v>2376</v>
      </c>
      <c r="AD328" s="20" t="s">
        <v>2376</v>
      </c>
      <c r="AE328" s="20" t="s">
        <v>2376</v>
      </c>
      <c r="AF328" s="20">
        <v>0</v>
      </c>
      <c r="AG328" s="20">
        <v>0</v>
      </c>
      <c r="AH328" s="20">
        <v>0</v>
      </c>
      <c r="AI328" s="20">
        <v>0</v>
      </c>
      <c r="AJ328" s="20">
        <v>0</v>
      </c>
      <c r="AK328" s="20" t="s">
        <v>609</v>
      </c>
      <c r="AL328" s="20">
        <v>0</v>
      </c>
      <c r="AM328" s="20">
        <v>0</v>
      </c>
      <c r="AN328" s="20">
        <v>0</v>
      </c>
      <c r="AO328" s="20">
        <v>0</v>
      </c>
      <c r="AP328" s="20">
        <v>0</v>
      </c>
      <c r="AR328" s="20">
        <v>0</v>
      </c>
      <c r="AS328" s="20">
        <v>0</v>
      </c>
      <c r="AT328" s="20">
        <v>1417496.83</v>
      </c>
      <c r="AU328" s="20" t="s">
        <v>15</v>
      </c>
      <c r="AV328" s="20" t="s">
        <v>57</v>
      </c>
      <c r="AW328" s="20" t="s">
        <v>57</v>
      </c>
      <c r="AX328" s="20" t="s">
        <v>15</v>
      </c>
      <c r="AY328" s="20" t="s">
        <v>209</v>
      </c>
      <c r="AZ328" s="20">
        <v>0</v>
      </c>
      <c r="BA328" s="20">
        <v>9301.24</v>
      </c>
      <c r="BB328" s="20">
        <v>937</v>
      </c>
      <c r="BC328" s="20" t="s">
        <v>3204</v>
      </c>
      <c r="BD328" s="20" t="s">
        <v>65</v>
      </c>
      <c r="BE328" s="20" t="s">
        <v>210</v>
      </c>
      <c r="BF328" s="20" t="s">
        <v>210</v>
      </c>
      <c r="BG328" s="20">
        <v>9</v>
      </c>
      <c r="BH328" s="20">
        <v>837.11</v>
      </c>
      <c r="BI328" s="20">
        <v>9</v>
      </c>
      <c r="BJ328" s="20">
        <v>837.11</v>
      </c>
      <c r="BK328" s="20">
        <v>0</v>
      </c>
      <c r="BL328" s="20">
        <v>0</v>
      </c>
      <c r="BM328" s="20">
        <v>0</v>
      </c>
      <c r="BN328" s="20">
        <v>602150068424</v>
      </c>
      <c r="BO328" s="111">
        <v>46226</v>
      </c>
      <c r="BP328" s="20">
        <v>0</v>
      </c>
    </row>
    <row r="329" spans="2:68">
      <c r="B329" s="20" t="s">
        <v>2216</v>
      </c>
      <c r="C329" s="20" t="s">
        <v>3204</v>
      </c>
      <c r="D329" s="20" t="s">
        <v>3770</v>
      </c>
      <c r="E329" s="20" t="s">
        <v>18</v>
      </c>
      <c r="F329" s="20" t="s">
        <v>19</v>
      </c>
      <c r="H329" s="20" t="s">
        <v>3771</v>
      </c>
      <c r="I329" s="20">
        <v>1171</v>
      </c>
      <c r="J329" s="20">
        <v>1171</v>
      </c>
      <c r="K329" s="20" t="s">
        <v>11</v>
      </c>
      <c r="L329" s="20">
        <v>1171</v>
      </c>
      <c r="M329" s="20">
        <v>0</v>
      </c>
      <c r="N329" s="20">
        <v>1171</v>
      </c>
      <c r="O329" s="20" t="s">
        <v>2203</v>
      </c>
      <c r="P329" s="20" t="s">
        <v>87</v>
      </c>
      <c r="Q329" s="20" t="s">
        <v>87</v>
      </c>
      <c r="R329" s="20" t="s">
        <v>3210</v>
      </c>
      <c r="S329" s="111" t="s">
        <v>3204</v>
      </c>
      <c r="T329" s="20" t="s">
        <v>206</v>
      </c>
      <c r="U329" s="20" t="s">
        <v>207</v>
      </c>
      <c r="V329" s="20" t="s">
        <v>3209</v>
      </c>
      <c r="W329" s="20">
        <v>146.49</v>
      </c>
      <c r="X329" s="20">
        <v>146.49</v>
      </c>
      <c r="Y329" s="20" t="s">
        <v>3210</v>
      </c>
      <c r="Z329" s="111" t="s">
        <v>3204</v>
      </c>
      <c r="AB329" s="20" t="s">
        <v>2376</v>
      </c>
      <c r="AD329" s="20" t="s">
        <v>2376</v>
      </c>
      <c r="AE329" s="20" t="s">
        <v>2376</v>
      </c>
      <c r="AF329" s="20">
        <v>0</v>
      </c>
      <c r="AG329" s="20">
        <v>0</v>
      </c>
      <c r="AH329" s="20">
        <v>0</v>
      </c>
      <c r="AI329" s="20">
        <v>0</v>
      </c>
      <c r="AJ329" s="20">
        <v>0</v>
      </c>
      <c r="AK329" s="20" t="s">
        <v>609</v>
      </c>
      <c r="AL329" s="20">
        <v>0</v>
      </c>
      <c r="AM329" s="20">
        <v>0</v>
      </c>
      <c r="AN329" s="20">
        <v>0</v>
      </c>
      <c r="AO329" s="20">
        <v>0</v>
      </c>
      <c r="AP329" s="20">
        <v>0</v>
      </c>
      <c r="AR329" s="20">
        <v>0</v>
      </c>
      <c r="AS329" s="20">
        <v>0</v>
      </c>
      <c r="AT329" s="20">
        <v>1278541.49</v>
      </c>
      <c r="AU329" s="20" t="s">
        <v>13</v>
      </c>
      <c r="AV329" s="20" t="s">
        <v>62</v>
      </c>
      <c r="AW329" s="20" t="s">
        <v>63</v>
      </c>
      <c r="AX329" s="20" t="s">
        <v>208</v>
      </c>
      <c r="AY329" s="20" t="s">
        <v>209</v>
      </c>
      <c r="AZ329" s="20">
        <v>0</v>
      </c>
      <c r="BA329" s="20">
        <v>171539.79</v>
      </c>
      <c r="BB329" s="20">
        <v>936</v>
      </c>
      <c r="BC329" s="20" t="s">
        <v>3204</v>
      </c>
      <c r="BD329" s="20" t="s">
        <v>65</v>
      </c>
      <c r="BE329" s="20" t="s">
        <v>210</v>
      </c>
      <c r="BF329" s="20" t="s">
        <v>210</v>
      </c>
      <c r="BG329" s="20">
        <v>9</v>
      </c>
      <c r="BH329" s="20">
        <v>15438.58</v>
      </c>
      <c r="BI329" s="20">
        <v>9</v>
      </c>
      <c r="BJ329" s="20">
        <v>15438.58</v>
      </c>
      <c r="BK329" s="20">
        <v>0</v>
      </c>
      <c r="BL329" s="20">
        <v>0</v>
      </c>
      <c r="BM329" s="20">
        <v>1278541.49</v>
      </c>
      <c r="BN329" s="20">
        <v>682150019260</v>
      </c>
      <c r="BO329" s="111">
        <v>46226</v>
      </c>
      <c r="BP329" s="20">
        <v>0</v>
      </c>
    </row>
    <row r="330" spans="2:68">
      <c r="B330" s="20" t="s">
        <v>2216</v>
      </c>
      <c r="C330" s="20" t="s">
        <v>3204</v>
      </c>
      <c r="D330" s="20" t="s">
        <v>3770</v>
      </c>
      <c r="E330" s="20" t="s">
        <v>18</v>
      </c>
      <c r="F330" s="20" t="s">
        <v>19</v>
      </c>
      <c r="H330" s="20" t="s">
        <v>3771</v>
      </c>
      <c r="I330" s="20">
        <v>272</v>
      </c>
      <c r="J330" s="20">
        <v>272</v>
      </c>
      <c r="K330" s="20" t="s">
        <v>11</v>
      </c>
      <c r="L330" s="20">
        <v>272</v>
      </c>
      <c r="M330" s="20">
        <v>0</v>
      </c>
      <c r="N330" s="20">
        <v>272</v>
      </c>
      <c r="O330" s="20" t="s">
        <v>2203</v>
      </c>
      <c r="P330" s="20" t="s">
        <v>87</v>
      </c>
      <c r="Q330" s="20" t="s">
        <v>87</v>
      </c>
      <c r="R330" s="20" t="s">
        <v>3210</v>
      </c>
      <c r="S330" s="111" t="s">
        <v>3204</v>
      </c>
      <c r="T330" s="20" t="s">
        <v>206</v>
      </c>
      <c r="U330" s="20" t="s">
        <v>207</v>
      </c>
      <c r="V330" s="20" t="s">
        <v>3209</v>
      </c>
      <c r="W330" s="20">
        <v>147.49</v>
      </c>
      <c r="X330" s="20">
        <v>147.49</v>
      </c>
      <c r="Y330" s="20" t="s">
        <v>3210</v>
      </c>
      <c r="Z330" s="111" t="s">
        <v>3204</v>
      </c>
      <c r="AB330" s="20" t="s">
        <v>2376</v>
      </c>
      <c r="AD330" s="20" t="s">
        <v>2376</v>
      </c>
      <c r="AE330" s="20" t="s">
        <v>2376</v>
      </c>
      <c r="AF330" s="20">
        <v>0</v>
      </c>
      <c r="AG330" s="20">
        <v>0</v>
      </c>
      <c r="AH330" s="20">
        <v>0</v>
      </c>
      <c r="AI330" s="20">
        <v>0</v>
      </c>
      <c r="AJ330" s="20">
        <v>0</v>
      </c>
      <c r="AK330" s="20" t="s">
        <v>609</v>
      </c>
      <c r="AL330" s="20">
        <v>0</v>
      </c>
      <c r="AM330" s="20">
        <v>0</v>
      </c>
      <c r="AN330" s="20">
        <v>0</v>
      </c>
      <c r="AO330" s="20">
        <v>0</v>
      </c>
      <c r="AP330" s="20">
        <v>0</v>
      </c>
      <c r="AR330" s="20">
        <v>0</v>
      </c>
      <c r="AS330" s="20">
        <v>0</v>
      </c>
      <c r="AT330" s="20">
        <v>1278541.49</v>
      </c>
      <c r="AU330" s="20" t="s">
        <v>13</v>
      </c>
      <c r="AV330" s="20" t="s">
        <v>62</v>
      </c>
      <c r="AW330" s="20" t="s">
        <v>63</v>
      </c>
      <c r="AX330" s="20" t="s">
        <v>208</v>
      </c>
      <c r="AY330" s="20" t="s">
        <v>209</v>
      </c>
      <c r="AZ330" s="20">
        <v>0</v>
      </c>
      <c r="BA330" s="20">
        <v>40117.279999999999</v>
      </c>
      <c r="BB330" s="20">
        <v>936</v>
      </c>
      <c r="BC330" s="20" t="s">
        <v>3204</v>
      </c>
      <c r="BD330" s="20" t="s">
        <v>65</v>
      </c>
      <c r="BE330" s="20" t="s">
        <v>210</v>
      </c>
      <c r="BF330" s="20" t="s">
        <v>210</v>
      </c>
      <c r="BG330" s="20">
        <v>9</v>
      </c>
      <c r="BH330" s="20">
        <v>3610.56</v>
      </c>
      <c r="BI330" s="20">
        <v>9</v>
      </c>
      <c r="BJ330" s="20">
        <v>3610.56</v>
      </c>
      <c r="BK330" s="20">
        <v>0</v>
      </c>
      <c r="BL330" s="20">
        <v>0</v>
      </c>
      <c r="BM330" s="20">
        <v>0</v>
      </c>
      <c r="BN330" s="20">
        <v>682150019260</v>
      </c>
      <c r="BO330" s="111">
        <v>46226</v>
      </c>
      <c r="BP330" s="20">
        <v>0</v>
      </c>
    </row>
    <row r="331" spans="2:68">
      <c r="B331" s="20" t="s">
        <v>2216</v>
      </c>
      <c r="C331" s="20" t="s">
        <v>3204</v>
      </c>
      <c r="D331" s="20" t="s">
        <v>3770</v>
      </c>
      <c r="E331" s="20" t="s">
        <v>18</v>
      </c>
      <c r="F331" s="20" t="s">
        <v>19</v>
      </c>
      <c r="H331" s="20" t="s">
        <v>3771</v>
      </c>
      <c r="I331" s="20">
        <v>6034</v>
      </c>
      <c r="J331" s="20">
        <v>6034</v>
      </c>
      <c r="K331" s="20" t="s">
        <v>11</v>
      </c>
      <c r="L331" s="20">
        <v>6034</v>
      </c>
      <c r="M331" s="20">
        <v>0</v>
      </c>
      <c r="N331" s="20">
        <v>6034</v>
      </c>
      <c r="O331" s="20" t="s">
        <v>2203</v>
      </c>
      <c r="P331" s="20" t="s">
        <v>87</v>
      </c>
      <c r="Q331" s="20" t="s">
        <v>87</v>
      </c>
      <c r="R331" s="20" t="s">
        <v>3210</v>
      </c>
      <c r="S331" s="20" t="s">
        <v>3204</v>
      </c>
      <c r="T331" s="20" t="s">
        <v>206</v>
      </c>
      <c r="U331" s="20" t="s">
        <v>207</v>
      </c>
      <c r="V331" s="20" t="s">
        <v>3209</v>
      </c>
      <c r="W331" s="20">
        <v>144.49</v>
      </c>
      <c r="X331" s="20">
        <v>144.49</v>
      </c>
      <c r="Y331" s="20" t="s">
        <v>3210</v>
      </c>
      <c r="Z331" s="20" t="s">
        <v>3204</v>
      </c>
      <c r="AB331" s="20" t="s">
        <v>2376</v>
      </c>
      <c r="AD331" s="20" t="s">
        <v>2376</v>
      </c>
      <c r="AE331" s="20" t="s">
        <v>2376</v>
      </c>
      <c r="AF331" s="20">
        <v>0</v>
      </c>
      <c r="AG331" s="20">
        <v>0</v>
      </c>
      <c r="AH331" s="20">
        <v>0</v>
      </c>
      <c r="AI331" s="20">
        <v>0</v>
      </c>
      <c r="AJ331" s="20">
        <v>0</v>
      </c>
      <c r="AK331" s="20" t="s">
        <v>609</v>
      </c>
      <c r="AL331" s="20">
        <v>0</v>
      </c>
      <c r="AM331" s="20">
        <v>0</v>
      </c>
      <c r="AN331" s="20">
        <v>0</v>
      </c>
      <c r="AO331" s="20">
        <v>0</v>
      </c>
      <c r="AP331" s="20">
        <v>0</v>
      </c>
      <c r="AR331" s="20">
        <v>0</v>
      </c>
      <c r="AS331" s="20">
        <v>0</v>
      </c>
      <c r="AT331" s="20">
        <v>1278541.49</v>
      </c>
      <c r="AU331" s="20" t="s">
        <v>13</v>
      </c>
      <c r="AV331" s="20" t="s">
        <v>62</v>
      </c>
      <c r="AW331" s="20" t="s">
        <v>63</v>
      </c>
      <c r="AX331" s="20" t="s">
        <v>208</v>
      </c>
      <c r="AY331" s="20" t="s">
        <v>209</v>
      </c>
      <c r="AZ331" s="20">
        <v>0</v>
      </c>
      <c r="BA331" s="20">
        <v>871852.66</v>
      </c>
      <c r="BB331" s="20">
        <v>936</v>
      </c>
      <c r="BC331" s="20" t="s">
        <v>3204</v>
      </c>
      <c r="BD331" s="20" t="s">
        <v>65</v>
      </c>
      <c r="BE331" s="20" t="s">
        <v>210</v>
      </c>
      <c r="BF331" s="20" t="s">
        <v>210</v>
      </c>
      <c r="BG331" s="20">
        <v>9</v>
      </c>
      <c r="BH331" s="20">
        <v>78466.740000000005</v>
      </c>
      <c r="BI331" s="20">
        <v>9</v>
      </c>
      <c r="BJ331" s="20">
        <v>78466.740000000005</v>
      </c>
      <c r="BK331" s="20">
        <v>0</v>
      </c>
      <c r="BL331" s="20">
        <v>0</v>
      </c>
      <c r="BM331" s="20">
        <v>0</v>
      </c>
      <c r="BN331" s="20">
        <v>682150019260</v>
      </c>
      <c r="BO331" s="111">
        <v>46226</v>
      </c>
      <c r="BP331" s="20">
        <v>0</v>
      </c>
    </row>
    <row r="332" spans="2:68">
      <c r="B332" s="20" t="s">
        <v>2216</v>
      </c>
      <c r="C332" s="20" t="s">
        <v>3204</v>
      </c>
      <c r="D332" s="20" t="s">
        <v>3772</v>
      </c>
      <c r="E332" s="20" t="s">
        <v>18</v>
      </c>
      <c r="F332" s="20" t="s">
        <v>19</v>
      </c>
      <c r="H332" s="20" t="s">
        <v>3773</v>
      </c>
      <c r="I332" s="20">
        <v>2652</v>
      </c>
      <c r="J332" s="20">
        <v>2652</v>
      </c>
      <c r="K332" s="20" t="s">
        <v>11</v>
      </c>
      <c r="L332" s="20">
        <v>2652</v>
      </c>
      <c r="M332" s="20">
        <v>0</v>
      </c>
      <c r="N332" s="20">
        <v>2652</v>
      </c>
      <c r="O332" s="20" t="s">
        <v>2442</v>
      </c>
      <c r="P332" s="20" t="s">
        <v>87</v>
      </c>
      <c r="Q332" s="20" t="s">
        <v>87</v>
      </c>
      <c r="R332" s="20" t="s">
        <v>3212</v>
      </c>
      <c r="S332" s="20" t="s">
        <v>3167</v>
      </c>
      <c r="T332" s="20" t="s">
        <v>206</v>
      </c>
      <c r="U332" s="20" t="s">
        <v>207</v>
      </c>
      <c r="V332" s="20" t="s">
        <v>3211</v>
      </c>
      <c r="W332" s="20">
        <v>146.49</v>
      </c>
      <c r="X332" s="20">
        <v>146.49</v>
      </c>
      <c r="Y332" s="20" t="s">
        <v>3212</v>
      </c>
      <c r="Z332" s="20" t="s">
        <v>3167</v>
      </c>
      <c r="AB332" s="20" t="s">
        <v>2376</v>
      </c>
      <c r="AD332" s="20" t="s">
        <v>2376</v>
      </c>
      <c r="AE332" s="20" t="s">
        <v>2376</v>
      </c>
      <c r="AF332" s="20">
        <v>0</v>
      </c>
      <c r="AG332" s="20">
        <v>0</v>
      </c>
      <c r="AH332" s="20">
        <v>0</v>
      </c>
      <c r="AI332" s="20">
        <v>0</v>
      </c>
      <c r="AJ332" s="20">
        <v>0</v>
      </c>
      <c r="AK332" s="20" t="s">
        <v>609</v>
      </c>
      <c r="AL332" s="20">
        <v>0</v>
      </c>
      <c r="AM332" s="20">
        <v>0</v>
      </c>
      <c r="AN332" s="20">
        <v>0</v>
      </c>
      <c r="AO332" s="20">
        <v>0</v>
      </c>
      <c r="AP332" s="20">
        <v>0</v>
      </c>
      <c r="AR332" s="20">
        <v>0</v>
      </c>
      <c r="AS332" s="20">
        <v>0</v>
      </c>
      <c r="AT332" s="20">
        <v>458419.94</v>
      </c>
      <c r="AU332" s="20" t="s">
        <v>13</v>
      </c>
      <c r="AV332" s="20" t="s">
        <v>62</v>
      </c>
      <c r="AW332" s="20" t="s">
        <v>63</v>
      </c>
      <c r="AX332" s="20" t="s">
        <v>208</v>
      </c>
      <c r="AY332" s="20" t="s">
        <v>209</v>
      </c>
      <c r="AZ332" s="20">
        <v>0</v>
      </c>
      <c r="BA332" s="20">
        <v>388491.48</v>
      </c>
      <c r="BB332" s="20">
        <v>938</v>
      </c>
      <c r="BC332" s="20" t="s">
        <v>3204</v>
      </c>
      <c r="BD332" s="20" t="s">
        <v>65</v>
      </c>
      <c r="BE332" s="20" t="s">
        <v>210</v>
      </c>
      <c r="BF332" s="20" t="s">
        <v>210</v>
      </c>
      <c r="BG332" s="20">
        <v>9</v>
      </c>
      <c r="BH332" s="20">
        <v>34964.230000000003</v>
      </c>
      <c r="BI332" s="20">
        <v>9</v>
      </c>
      <c r="BJ332" s="20">
        <v>34964.230000000003</v>
      </c>
      <c r="BK332" s="20">
        <v>0</v>
      </c>
      <c r="BL332" s="20">
        <v>0</v>
      </c>
      <c r="BM332" s="20">
        <v>458419.94</v>
      </c>
      <c r="BN332" s="20">
        <v>632149914971</v>
      </c>
      <c r="BO332" s="111">
        <v>46225</v>
      </c>
      <c r="BP332" s="20">
        <v>0</v>
      </c>
    </row>
    <row r="333" spans="2:68">
      <c r="B333" s="20" t="s">
        <v>2216</v>
      </c>
      <c r="C333" s="20" t="s">
        <v>3204</v>
      </c>
      <c r="D333" s="20" t="s">
        <v>3774</v>
      </c>
      <c r="E333" s="20" t="s">
        <v>18</v>
      </c>
      <c r="F333" s="20" t="s">
        <v>19</v>
      </c>
      <c r="H333" s="20" t="s">
        <v>3775</v>
      </c>
      <c r="I333" s="20">
        <v>1638</v>
      </c>
      <c r="J333" s="20">
        <v>1638</v>
      </c>
      <c r="K333" s="20" t="s">
        <v>11</v>
      </c>
      <c r="L333" s="20">
        <v>1638</v>
      </c>
      <c r="M333" s="20">
        <v>0</v>
      </c>
      <c r="N333" s="20">
        <v>1638</v>
      </c>
      <c r="O333" s="20" t="s">
        <v>2201</v>
      </c>
      <c r="P333" s="20" t="s">
        <v>87</v>
      </c>
      <c r="Q333" s="20" t="s">
        <v>87</v>
      </c>
      <c r="R333" s="20" t="s">
        <v>3214</v>
      </c>
      <c r="S333" s="20" t="s">
        <v>3204</v>
      </c>
      <c r="T333" s="20" t="s">
        <v>206</v>
      </c>
      <c r="U333" s="20" t="s">
        <v>207</v>
      </c>
      <c r="V333" s="20" t="s">
        <v>3213</v>
      </c>
      <c r="W333" s="20">
        <v>144.49</v>
      </c>
      <c r="X333" s="20">
        <v>144.48999926796299</v>
      </c>
      <c r="Y333" s="20" t="s">
        <v>3214</v>
      </c>
      <c r="Z333" s="20" t="s">
        <v>3204</v>
      </c>
      <c r="AB333" s="20" t="s">
        <v>2376</v>
      </c>
      <c r="AD333" s="20" t="s">
        <v>2376</v>
      </c>
      <c r="AE333" s="20" t="s">
        <v>2376</v>
      </c>
      <c r="AF333" s="20">
        <v>0</v>
      </c>
      <c r="AG333" s="20">
        <v>0</v>
      </c>
      <c r="AH333" s="20">
        <v>0</v>
      </c>
      <c r="AI333" s="20">
        <v>0</v>
      </c>
      <c r="AJ333" s="20">
        <v>0</v>
      </c>
      <c r="AK333" s="20" t="s">
        <v>609</v>
      </c>
      <c r="AL333" s="20">
        <v>0</v>
      </c>
      <c r="AM333" s="20">
        <v>0</v>
      </c>
      <c r="AN333" s="20">
        <v>0</v>
      </c>
      <c r="AO333" s="20">
        <v>0</v>
      </c>
      <c r="AP333" s="20">
        <v>0</v>
      </c>
      <c r="AR333" s="20">
        <v>0</v>
      </c>
      <c r="AS333" s="20">
        <v>0</v>
      </c>
      <c r="AT333" s="20">
        <v>789523.37</v>
      </c>
      <c r="AU333" s="20" t="s">
        <v>13</v>
      </c>
      <c r="AV333" s="20" t="s">
        <v>62</v>
      </c>
      <c r="AW333" s="20" t="s">
        <v>63</v>
      </c>
      <c r="AX333" s="20" t="s">
        <v>208</v>
      </c>
      <c r="AY333" s="20" t="s">
        <v>209</v>
      </c>
      <c r="AZ333" s="20">
        <v>0</v>
      </c>
      <c r="BA333" s="20">
        <v>236674.62</v>
      </c>
      <c r="BB333" s="20">
        <v>940</v>
      </c>
      <c r="BC333" s="20" t="s">
        <v>3204</v>
      </c>
      <c r="BD333" s="20" t="s">
        <v>65</v>
      </c>
      <c r="BE333" s="20" t="s">
        <v>210</v>
      </c>
      <c r="BF333" s="20" t="s">
        <v>210</v>
      </c>
      <c r="BG333" s="20">
        <v>9</v>
      </c>
      <c r="BH333" s="20">
        <v>21300.720000000001</v>
      </c>
      <c r="BI333" s="20">
        <v>9</v>
      </c>
      <c r="BJ333" s="20">
        <v>21300.720000000001</v>
      </c>
      <c r="BK333" s="20">
        <v>0</v>
      </c>
      <c r="BL333" s="20">
        <v>0</v>
      </c>
      <c r="BM333" s="20">
        <v>789523.37</v>
      </c>
      <c r="BN333" s="20">
        <v>612150082513</v>
      </c>
      <c r="BO333" s="111">
        <v>46226</v>
      </c>
      <c r="BP333" s="20">
        <v>0</v>
      </c>
    </row>
    <row r="334" spans="2:68">
      <c r="B334" s="20" t="s">
        <v>2216</v>
      </c>
      <c r="C334" s="20" t="s">
        <v>3204</v>
      </c>
      <c r="D334" s="20" t="s">
        <v>3774</v>
      </c>
      <c r="E334" s="20" t="s">
        <v>20</v>
      </c>
      <c r="F334" s="20" t="s">
        <v>21</v>
      </c>
      <c r="H334" s="20" t="s">
        <v>3775</v>
      </c>
      <c r="I334" s="20">
        <v>268</v>
      </c>
      <c r="J334" s="20">
        <v>268</v>
      </c>
      <c r="K334" s="20" t="s">
        <v>11</v>
      </c>
      <c r="L334" s="20">
        <v>268</v>
      </c>
      <c r="M334" s="20">
        <v>0</v>
      </c>
      <c r="N334" s="20">
        <v>268</v>
      </c>
      <c r="O334" s="20" t="s">
        <v>2201</v>
      </c>
      <c r="P334" s="20" t="s">
        <v>87</v>
      </c>
      <c r="Q334" s="20" t="s">
        <v>87</v>
      </c>
      <c r="R334" s="20" t="s">
        <v>3214</v>
      </c>
      <c r="S334" s="20" t="s">
        <v>3204</v>
      </c>
      <c r="T334" s="20" t="s">
        <v>206</v>
      </c>
      <c r="U334" s="20" t="s">
        <v>207</v>
      </c>
      <c r="V334" s="20" t="s">
        <v>3213</v>
      </c>
      <c r="W334" s="20">
        <v>148.49</v>
      </c>
      <c r="X334" s="20">
        <v>148.48999924769799</v>
      </c>
      <c r="Y334" s="20" t="s">
        <v>3214</v>
      </c>
      <c r="Z334" s="20" t="s">
        <v>3204</v>
      </c>
      <c r="AB334" s="20" t="s">
        <v>2376</v>
      </c>
      <c r="AD334" s="20" t="s">
        <v>2376</v>
      </c>
      <c r="AE334" s="20" t="s">
        <v>2376</v>
      </c>
      <c r="AF334" s="20">
        <v>0</v>
      </c>
      <c r="AG334" s="20">
        <v>0</v>
      </c>
      <c r="AH334" s="20">
        <v>0</v>
      </c>
      <c r="AI334" s="20">
        <v>0</v>
      </c>
      <c r="AJ334" s="20">
        <v>0</v>
      </c>
      <c r="AK334" s="20" t="s">
        <v>609</v>
      </c>
      <c r="AL334" s="20">
        <v>0</v>
      </c>
      <c r="AM334" s="20">
        <v>0</v>
      </c>
      <c r="AN334" s="20">
        <v>0</v>
      </c>
      <c r="AO334" s="20">
        <v>0</v>
      </c>
      <c r="AP334" s="20">
        <v>0</v>
      </c>
      <c r="AR334" s="20">
        <v>0</v>
      </c>
      <c r="AS334" s="20">
        <v>0</v>
      </c>
      <c r="AT334" s="20">
        <v>789523.37</v>
      </c>
      <c r="AU334" s="20" t="s">
        <v>13</v>
      </c>
      <c r="AV334" s="20" t="s">
        <v>62</v>
      </c>
      <c r="AW334" s="20" t="s">
        <v>76</v>
      </c>
      <c r="AX334" s="20" t="s">
        <v>208</v>
      </c>
      <c r="AY334" s="20" t="s">
        <v>209</v>
      </c>
      <c r="AZ334" s="20">
        <v>0</v>
      </c>
      <c r="BA334" s="20">
        <v>39795.32</v>
      </c>
      <c r="BB334" s="20">
        <v>940</v>
      </c>
      <c r="BC334" s="20" t="s">
        <v>3204</v>
      </c>
      <c r="BD334" s="20" t="s">
        <v>65</v>
      </c>
      <c r="BE334" s="20" t="s">
        <v>210</v>
      </c>
      <c r="BF334" s="20" t="s">
        <v>210</v>
      </c>
      <c r="BG334" s="20">
        <v>9</v>
      </c>
      <c r="BH334" s="20">
        <v>3581.58</v>
      </c>
      <c r="BI334" s="20">
        <v>9</v>
      </c>
      <c r="BJ334" s="20">
        <v>3581.58</v>
      </c>
      <c r="BK334" s="20">
        <v>0</v>
      </c>
      <c r="BL334" s="20">
        <v>0</v>
      </c>
      <c r="BM334" s="20">
        <v>0</v>
      </c>
      <c r="BN334" s="20">
        <v>612150082513</v>
      </c>
      <c r="BO334" s="111">
        <v>46226</v>
      </c>
      <c r="BP334" s="20">
        <v>0</v>
      </c>
    </row>
    <row r="335" spans="2:68">
      <c r="B335" s="20" t="s">
        <v>2216</v>
      </c>
      <c r="C335" s="20" t="s">
        <v>3204</v>
      </c>
      <c r="D335" s="20" t="s">
        <v>3774</v>
      </c>
      <c r="E335" s="20" t="s">
        <v>23</v>
      </c>
      <c r="F335" s="20" t="s">
        <v>24</v>
      </c>
      <c r="H335" s="20" t="s">
        <v>3775</v>
      </c>
      <c r="I335" s="20">
        <v>163.4</v>
      </c>
      <c r="J335" s="20">
        <v>163.4</v>
      </c>
      <c r="K335" s="20" t="s">
        <v>11</v>
      </c>
      <c r="L335" s="20">
        <v>163.4</v>
      </c>
      <c r="M335" s="20">
        <v>0</v>
      </c>
      <c r="N335" s="20">
        <v>163.4</v>
      </c>
      <c r="O335" s="20" t="s">
        <v>2201</v>
      </c>
      <c r="P335" s="20" t="s">
        <v>87</v>
      </c>
      <c r="Q335" s="20" t="s">
        <v>87</v>
      </c>
      <c r="R335" s="20" t="s">
        <v>3214</v>
      </c>
      <c r="S335" s="20" t="s">
        <v>3204</v>
      </c>
      <c r="T335" s="20" t="s">
        <v>206</v>
      </c>
      <c r="U335" s="20" t="s">
        <v>207</v>
      </c>
      <c r="V335" s="20" t="s">
        <v>3213</v>
      </c>
      <c r="W335" s="20">
        <v>170.49</v>
      </c>
      <c r="X335" s="20">
        <v>170.489999136238</v>
      </c>
      <c r="Y335" s="20" t="s">
        <v>3214</v>
      </c>
      <c r="Z335" s="20" t="s">
        <v>3204</v>
      </c>
      <c r="AB335" s="20" t="s">
        <v>2376</v>
      </c>
      <c r="AD335" s="20" t="s">
        <v>2376</v>
      </c>
      <c r="AE335" s="20" t="s">
        <v>2376</v>
      </c>
      <c r="AF335" s="20">
        <v>0</v>
      </c>
      <c r="AG335" s="20">
        <v>0</v>
      </c>
      <c r="AH335" s="20">
        <v>0</v>
      </c>
      <c r="AI335" s="20">
        <v>0</v>
      </c>
      <c r="AJ335" s="20">
        <v>0</v>
      </c>
      <c r="AK335" s="20" t="s">
        <v>609</v>
      </c>
      <c r="AL335" s="20">
        <v>0</v>
      </c>
      <c r="AM335" s="20">
        <v>0</v>
      </c>
      <c r="AN335" s="20">
        <v>0</v>
      </c>
      <c r="AO335" s="20">
        <v>0</v>
      </c>
      <c r="AP335" s="20">
        <v>0</v>
      </c>
      <c r="AR335" s="20">
        <v>0</v>
      </c>
      <c r="AS335" s="20">
        <v>0</v>
      </c>
      <c r="AT335" s="20">
        <v>789523.37</v>
      </c>
      <c r="AU335" s="20" t="s">
        <v>13</v>
      </c>
      <c r="AV335" s="20" t="s">
        <v>24</v>
      </c>
      <c r="AW335" s="20" t="s">
        <v>79</v>
      </c>
      <c r="AX335" s="20" t="s">
        <v>208</v>
      </c>
      <c r="AY335" s="20" t="s">
        <v>209</v>
      </c>
      <c r="AZ335" s="20">
        <v>0</v>
      </c>
      <c r="BA335" s="20">
        <v>27858.07</v>
      </c>
      <c r="BB335" s="20">
        <v>940</v>
      </c>
      <c r="BC335" s="20" t="s">
        <v>3204</v>
      </c>
      <c r="BD335" s="20" t="s">
        <v>65</v>
      </c>
      <c r="BE335" s="20" t="s">
        <v>210</v>
      </c>
      <c r="BF335" s="20" t="s">
        <v>210</v>
      </c>
      <c r="BG335" s="20">
        <v>9</v>
      </c>
      <c r="BH335" s="20">
        <v>2507.23</v>
      </c>
      <c r="BI335" s="20">
        <v>9</v>
      </c>
      <c r="BJ335" s="20">
        <v>2507.23</v>
      </c>
      <c r="BK335" s="20">
        <v>0</v>
      </c>
      <c r="BL335" s="20">
        <v>0</v>
      </c>
      <c r="BM335" s="20">
        <v>0</v>
      </c>
      <c r="BN335" s="20">
        <v>612150082513</v>
      </c>
      <c r="BO335" s="111">
        <v>46226</v>
      </c>
      <c r="BP335" s="20">
        <v>0</v>
      </c>
    </row>
    <row r="336" spans="2:68">
      <c r="B336" s="20" t="s">
        <v>2216</v>
      </c>
      <c r="C336" s="20" t="s">
        <v>3204</v>
      </c>
      <c r="D336" s="20" t="s">
        <v>3774</v>
      </c>
      <c r="E336" s="20" t="s">
        <v>23</v>
      </c>
      <c r="F336" s="20" t="s">
        <v>24</v>
      </c>
      <c r="H336" s="20" t="s">
        <v>3775</v>
      </c>
      <c r="I336" s="20">
        <v>391.7</v>
      </c>
      <c r="J336" s="20">
        <v>391.7</v>
      </c>
      <c r="K336" s="20" t="s">
        <v>11</v>
      </c>
      <c r="L336" s="20">
        <v>391.7</v>
      </c>
      <c r="M336" s="20">
        <v>0</v>
      </c>
      <c r="N336" s="20">
        <v>391.7</v>
      </c>
      <c r="O336" s="20" t="s">
        <v>2201</v>
      </c>
      <c r="P336" s="20" t="s">
        <v>87</v>
      </c>
      <c r="Q336" s="20" t="s">
        <v>87</v>
      </c>
      <c r="R336" s="20" t="s">
        <v>3214</v>
      </c>
      <c r="S336" s="20" t="s">
        <v>3204</v>
      </c>
      <c r="T336" s="20" t="s">
        <v>206</v>
      </c>
      <c r="U336" s="20" t="s">
        <v>207</v>
      </c>
      <c r="V336" s="20" t="s">
        <v>3213</v>
      </c>
      <c r="W336" s="20">
        <v>149.49</v>
      </c>
      <c r="X336" s="20">
        <v>149.489999242632</v>
      </c>
      <c r="Y336" s="20" t="s">
        <v>3214</v>
      </c>
      <c r="Z336" s="20" t="s">
        <v>3204</v>
      </c>
      <c r="AB336" s="20" t="s">
        <v>2376</v>
      </c>
      <c r="AD336" s="20" t="s">
        <v>2376</v>
      </c>
      <c r="AE336" s="20" t="s">
        <v>2376</v>
      </c>
      <c r="AF336" s="20">
        <v>0</v>
      </c>
      <c r="AG336" s="20">
        <v>0</v>
      </c>
      <c r="AH336" s="20">
        <v>0</v>
      </c>
      <c r="AI336" s="20">
        <v>0</v>
      </c>
      <c r="AJ336" s="20">
        <v>0</v>
      </c>
      <c r="AK336" s="20" t="s">
        <v>609</v>
      </c>
      <c r="AL336" s="20">
        <v>0</v>
      </c>
      <c r="AM336" s="20">
        <v>0</v>
      </c>
      <c r="AN336" s="20">
        <v>0</v>
      </c>
      <c r="AO336" s="20">
        <v>0</v>
      </c>
      <c r="AP336" s="20">
        <v>0</v>
      </c>
      <c r="AR336" s="20">
        <v>0</v>
      </c>
      <c r="AS336" s="20">
        <v>0</v>
      </c>
      <c r="AT336" s="20">
        <v>789523.37</v>
      </c>
      <c r="AU336" s="20" t="s">
        <v>13</v>
      </c>
      <c r="AV336" s="20" t="s">
        <v>24</v>
      </c>
      <c r="AW336" s="20" t="s">
        <v>79</v>
      </c>
      <c r="AX336" s="20" t="s">
        <v>208</v>
      </c>
      <c r="AY336" s="20" t="s">
        <v>209</v>
      </c>
      <c r="AZ336" s="20">
        <v>0</v>
      </c>
      <c r="BA336" s="20">
        <v>58555.23</v>
      </c>
      <c r="BB336" s="20">
        <v>940</v>
      </c>
      <c r="BC336" s="20" t="s">
        <v>3204</v>
      </c>
      <c r="BD336" s="20" t="s">
        <v>65</v>
      </c>
      <c r="BE336" s="20" t="s">
        <v>210</v>
      </c>
      <c r="BF336" s="20" t="s">
        <v>210</v>
      </c>
      <c r="BG336" s="20">
        <v>9</v>
      </c>
      <c r="BH336" s="20">
        <v>5269.97</v>
      </c>
      <c r="BI336" s="20">
        <v>9</v>
      </c>
      <c r="BJ336" s="20">
        <v>5269.97</v>
      </c>
      <c r="BK336" s="20">
        <v>0</v>
      </c>
      <c r="BL336" s="20">
        <v>0</v>
      </c>
      <c r="BM336" s="20">
        <v>0</v>
      </c>
      <c r="BN336" s="20">
        <v>612150082513</v>
      </c>
      <c r="BO336" s="111">
        <v>46226</v>
      </c>
      <c r="BP336" s="20">
        <v>0</v>
      </c>
    </row>
    <row r="337" spans="2:68">
      <c r="B337" s="20" t="s">
        <v>2216</v>
      </c>
      <c r="C337" s="20" t="s">
        <v>3204</v>
      </c>
      <c r="D337" s="20" t="s">
        <v>3774</v>
      </c>
      <c r="E337" s="20" t="s">
        <v>23</v>
      </c>
      <c r="F337" s="20" t="s">
        <v>24</v>
      </c>
      <c r="H337" s="20" t="s">
        <v>3775</v>
      </c>
      <c r="I337" s="20">
        <v>568</v>
      </c>
      <c r="J337" s="20">
        <v>568</v>
      </c>
      <c r="K337" s="20" t="s">
        <v>11</v>
      </c>
      <c r="L337" s="20">
        <v>568</v>
      </c>
      <c r="M337" s="20">
        <v>0</v>
      </c>
      <c r="N337" s="20">
        <v>568</v>
      </c>
      <c r="O337" s="20" t="s">
        <v>2201</v>
      </c>
      <c r="P337" s="20" t="s">
        <v>87</v>
      </c>
      <c r="Q337" s="20" t="s">
        <v>87</v>
      </c>
      <c r="R337" s="20" t="s">
        <v>3214</v>
      </c>
      <c r="S337" s="20" t="s">
        <v>3204</v>
      </c>
      <c r="T337" s="20" t="s">
        <v>206</v>
      </c>
      <c r="U337" s="20" t="s">
        <v>207</v>
      </c>
      <c r="V337" s="20" t="s">
        <v>3213</v>
      </c>
      <c r="W337" s="20">
        <v>146.49</v>
      </c>
      <c r="X337" s="20">
        <v>146.48999925783099</v>
      </c>
      <c r="Y337" s="20" t="s">
        <v>3214</v>
      </c>
      <c r="Z337" s="20" t="s">
        <v>3204</v>
      </c>
      <c r="AB337" s="20" t="s">
        <v>2376</v>
      </c>
      <c r="AD337" s="20" t="s">
        <v>2376</v>
      </c>
      <c r="AE337" s="20" t="s">
        <v>2376</v>
      </c>
      <c r="AF337" s="20">
        <v>0</v>
      </c>
      <c r="AG337" s="20">
        <v>0</v>
      </c>
      <c r="AH337" s="20">
        <v>0</v>
      </c>
      <c r="AI337" s="20">
        <v>0</v>
      </c>
      <c r="AJ337" s="20">
        <v>0</v>
      </c>
      <c r="AK337" s="20" t="s">
        <v>609</v>
      </c>
      <c r="AL337" s="20">
        <v>0</v>
      </c>
      <c r="AM337" s="20">
        <v>0</v>
      </c>
      <c r="AN337" s="20">
        <v>0</v>
      </c>
      <c r="AO337" s="20">
        <v>0</v>
      </c>
      <c r="AP337" s="20">
        <v>0</v>
      </c>
      <c r="AR337" s="20">
        <v>0</v>
      </c>
      <c r="AS337" s="20">
        <v>0</v>
      </c>
      <c r="AT337" s="20">
        <v>789523.37</v>
      </c>
      <c r="AU337" s="20" t="s">
        <v>13</v>
      </c>
      <c r="AV337" s="20" t="s">
        <v>24</v>
      </c>
      <c r="AW337" s="20" t="s">
        <v>79</v>
      </c>
      <c r="AX337" s="20" t="s">
        <v>208</v>
      </c>
      <c r="AY337" s="20" t="s">
        <v>209</v>
      </c>
      <c r="AZ337" s="20">
        <v>0</v>
      </c>
      <c r="BA337" s="20">
        <v>83206.320000000007</v>
      </c>
      <c r="BB337" s="20">
        <v>940</v>
      </c>
      <c r="BC337" s="20" t="s">
        <v>3204</v>
      </c>
      <c r="BD337" s="20" t="s">
        <v>65</v>
      </c>
      <c r="BE337" s="20" t="s">
        <v>210</v>
      </c>
      <c r="BF337" s="20" t="s">
        <v>210</v>
      </c>
      <c r="BG337" s="20">
        <v>9</v>
      </c>
      <c r="BH337" s="20">
        <v>7488.57</v>
      </c>
      <c r="BI337" s="20">
        <v>9</v>
      </c>
      <c r="BJ337" s="20">
        <v>7488.57</v>
      </c>
      <c r="BK337" s="20">
        <v>0</v>
      </c>
      <c r="BL337" s="20">
        <v>0</v>
      </c>
      <c r="BM337" s="20">
        <v>0</v>
      </c>
      <c r="BN337" s="20">
        <v>612150082513</v>
      </c>
      <c r="BO337" s="111">
        <v>46226</v>
      </c>
      <c r="BP337" s="20">
        <v>0</v>
      </c>
    </row>
    <row r="338" spans="2:68">
      <c r="B338" s="20" t="s">
        <v>2216</v>
      </c>
      <c r="C338" s="20" t="s">
        <v>3204</v>
      </c>
      <c r="D338" s="20" t="s">
        <v>3774</v>
      </c>
      <c r="E338" s="20" t="s">
        <v>1359</v>
      </c>
      <c r="F338" s="20" t="s">
        <v>1303</v>
      </c>
      <c r="H338" s="20" t="s">
        <v>3775</v>
      </c>
      <c r="I338" s="20">
        <v>830.8</v>
      </c>
      <c r="J338" s="20">
        <v>830.8</v>
      </c>
      <c r="K338" s="20" t="s">
        <v>3</v>
      </c>
      <c r="L338" s="20">
        <v>830.8</v>
      </c>
      <c r="M338" s="20">
        <v>0</v>
      </c>
      <c r="N338" s="20">
        <v>830.8</v>
      </c>
      <c r="O338" s="20" t="s">
        <v>2201</v>
      </c>
      <c r="P338" s="20" t="s">
        <v>87</v>
      </c>
      <c r="Q338" s="20" t="s">
        <v>87</v>
      </c>
      <c r="R338" s="20" t="s">
        <v>3214</v>
      </c>
      <c r="S338" s="20" t="s">
        <v>3204</v>
      </c>
      <c r="T338" s="20" t="s">
        <v>206</v>
      </c>
      <c r="U338" s="20" t="s">
        <v>207</v>
      </c>
      <c r="V338" s="20" t="s">
        <v>3213</v>
      </c>
      <c r="W338" s="20">
        <v>159.49</v>
      </c>
      <c r="X338" s="20">
        <v>159.489999191968</v>
      </c>
      <c r="Y338" s="20" t="s">
        <v>3214</v>
      </c>
      <c r="Z338" s="20" t="s">
        <v>3204</v>
      </c>
      <c r="AB338" s="20" t="s">
        <v>2376</v>
      </c>
      <c r="AD338" s="20" t="s">
        <v>2376</v>
      </c>
      <c r="AE338" s="20" t="s">
        <v>2376</v>
      </c>
      <c r="AF338" s="20">
        <v>0</v>
      </c>
      <c r="AG338" s="20">
        <v>0</v>
      </c>
      <c r="AH338" s="20">
        <v>0</v>
      </c>
      <c r="AI338" s="20">
        <v>0</v>
      </c>
      <c r="AJ338" s="20">
        <v>0</v>
      </c>
      <c r="AK338" s="20" t="s">
        <v>609</v>
      </c>
      <c r="AL338" s="20">
        <v>0</v>
      </c>
      <c r="AM338" s="20">
        <v>0</v>
      </c>
      <c r="AN338" s="20">
        <v>0</v>
      </c>
      <c r="AO338" s="20">
        <v>0</v>
      </c>
      <c r="AP338" s="20">
        <v>0</v>
      </c>
      <c r="AR338" s="20">
        <v>0</v>
      </c>
      <c r="AS338" s="20">
        <v>0</v>
      </c>
      <c r="AT338" s="20">
        <v>789523.37</v>
      </c>
      <c r="AU338" s="20" t="s">
        <v>13</v>
      </c>
      <c r="AV338" s="20" t="s">
        <v>99</v>
      </c>
      <c r="AW338" s="20" t="s">
        <v>100</v>
      </c>
      <c r="AX338" s="20" t="s">
        <v>208</v>
      </c>
      <c r="AZ338" s="20">
        <v>0</v>
      </c>
      <c r="BA338" s="20">
        <v>132504.29</v>
      </c>
      <c r="BB338" s="20">
        <v>940</v>
      </c>
      <c r="BC338" s="20" t="s">
        <v>3204</v>
      </c>
      <c r="BD338" s="20" t="s">
        <v>65</v>
      </c>
      <c r="BE338" s="20" t="s">
        <v>210</v>
      </c>
      <c r="BF338" s="20" t="s">
        <v>210</v>
      </c>
      <c r="BG338" s="20">
        <v>2.5</v>
      </c>
      <c r="BH338" s="20">
        <v>3312.61</v>
      </c>
      <c r="BI338" s="20">
        <v>2.5</v>
      </c>
      <c r="BJ338" s="20">
        <v>3312.61</v>
      </c>
      <c r="BK338" s="20">
        <v>0</v>
      </c>
      <c r="BL338" s="20">
        <v>0</v>
      </c>
      <c r="BM338" s="20">
        <v>0</v>
      </c>
      <c r="BN338" s="20">
        <v>612150082513</v>
      </c>
      <c r="BO338" s="111">
        <v>46226</v>
      </c>
      <c r="BP338" s="20">
        <v>0</v>
      </c>
    </row>
    <row r="339" spans="2:68">
      <c r="B339" s="20" t="s">
        <v>2216</v>
      </c>
      <c r="C339" s="20" t="s">
        <v>3204</v>
      </c>
      <c r="D339" s="20" t="s">
        <v>3774</v>
      </c>
      <c r="E339" s="20" t="s">
        <v>587</v>
      </c>
      <c r="F339" s="20" t="s">
        <v>586</v>
      </c>
      <c r="H339" s="20" t="s">
        <v>3775</v>
      </c>
      <c r="I339" s="20">
        <v>754.7</v>
      </c>
      <c r="J339" s="20">
        <v>754.7</v>
      </c>
      <c r="K339" s="20" t="s">
        <v>3</v>
      </c>
      <c r="L339" s="20">
        <v>754.7</v>
      </c>
      <c r="M339" s="20">
        <v>0</v>
      </c>
      <c r="N339" s="20">
        <v>754.7</v>
      </c>
      <c r="O339" s="20" t="s">
        <v>2201</v>
      </c>
      <c r="P339" s="20" t="s">
        <v>87</v>
      </c>
      <c r="Q339" s="20" t="s">
        <v>87</v>
      </c>
      <c r="R339" s="20" t="s">
        <v>3214</v>
      </c>
      <c r="S339" s="20" t="s">
        <v>3204</v>
      </c>
      <c r="T339" s="20" t="s">
        <v>206</v>
      </c>
      <c r="U339" s="20" t="s">
        <v>207</v>
      </c>
      <c r="V339" s="20" t="s">
        <v>3213</v>
      </c>
      <c r="W339" s="20">
        <v>156.49</v>
      </c>
      <c r="X339" s="20">
        <v>156.48999920716699</v>
      </c>
      <c r="Y339" s="20" t="s">
        <v>3214</v>
      </c>
      <c r="Z339" s="20" t="s">
        <v>3204</v>
      </c>
      <c r="AB339" s="20" t="s">
        <v>2376</v>
      </c>
      <c r="AD339" s="20" t="s">
        <v>2376</v>
      </c>
      <c r="AE339" s="20" t="s">
        <v>2376</v>
      </c>
      <c r="AF339" s="20">
        <v>0</v>
      </c>
      <c r="AG339" s="20">
        <v>0</v>
      </c>
      <c r="AH339" s="20">
        <v>0</v>
      </c>
      <c r="AI339" s="20">
        <v>0</v>
      </c>
      <c r="AJ339" s="20">
        <v>0</v>
      </c>
      <c r="AK339" s="20" t="s">
        <v>609</v>
      </c>
      <c r="AL339" s="20">
        <v>0</v>
      </c>
      <c r="AM339" s="20">
        <v>0</v>
      </c>
      <c r="AN339" s="20">
        <v>0</v>
      </c>
      <c r="AO339" s="20">
        <v>0</v>
      </c>
      <c r="AP339" s="20">
        <v>0</v>
      </c>
      <c r="AR339" s="20">
        <v>0</v>
      </c>
      <c r="AS339" s="20">
        <v>0</v>
      </c>
      <c r="AT339" s="20">
        <v>789523.37</v>
      </c>
      <c r="AU339" s="20" t="s">
        <v>13</v>
      </c>
      <c r="AV339" s="20" t="s">
        <v>99</v>
      </c>
      <c r="AW339" s="20" t="s">
        <v>100</v>
      </c>
      <c r="AX339" s="20" t="s">
        <v>208</v>
      </c>
      <c r="AZ339" s="20">
        <v>0</v>
      </c>
      <c r="BA339" s="20">
        <v>118103</v>
      </c>
      <c r="BB339" s="20">
        <v>940</v>
      </c>
      <c r="BC339" s="20" t="s">
        <v>3204</v>
      </c>
      <c r="BD339" s="20" t="s">
        <v>65</v>
      </c>
      <c r="BE339" s="20" t="s">
        <v>210</v>
      </c>
      <c r="BF339" s="20" t="s">
        <v>210</v>
      </c>
      <c r="BG339" s="20">
        <v>2.5</v>
      </c>
      <c r="BH339" s="20">
        <v>2952.58</v>
      </c>
      <c r="BI339" s="20">
        <v>2.5</v>
      </c>
      <c r="BJ339" s="20">
        <v>2952.58</v>
      </c>
      <c r="BK339" s="20">
        <v>0</v>
      </c>
      <c r="BL339" s="20">
        <v>0</v>
      </c>
      <c r="BM339" s="20">
        <v>0</v>
      </c>
      <c r="BN339" s="20">
        <v>612150082513</v>
      </c>
      <c r="BO339" s="111">
        <v>46226</v>
      </c>
      <c r="BP339" s="20">
        <v>0</v>
      </c>
    </row>
    <row r="340" spans="2:68">
      <c r="B340" s="20" t="s">
        <v>2216</v>
      </c>
      <c r="C340" s="20" t="s">
        <v>3204</v>
      </c>
      <c r="D340" s="20" t="s">
        <v>3776</v>
      </c>
      <c r="E340" s="20" t="s">
        <v>2519</v>
      </c>
      <c r="F340" s="20" t="s">
        <v>2117</v>
      </c>
      <c r="H340" s="20" t="s">
        <v>3777</v>
      </c>
      <c r="I340" s="20">
        <v>132</v>
      </c>
      <c r="J340" s="20">
        <v>132</v>
      </c>
      <c r="K340" s="20" t="s">
        <v>11</v>
      </c>
      <c r="L340" s="20">
        <v>132</v>
      </c>
      <c r="M340" s="20">
        <v>0</v>
      </c>
      <c r="N340" s="20">
        <v>132</v>
      </c>
      <c r="O340" s="20" t="s">
        <v>3778</v>
      </c>
      <c r="P340" s="20" t="s">
        <v>94</v>
      </c>
      <c r="Q340" s="20" t="s">
        <v>94</v>
      </c>
      <c r="R340" s="20" t="s">
        <v>3223</v>
      </c>
      <c r="S340" s="20" t="s">
        <v>3204</v>
      </c>
      <c r="T340" s="20" t="s">
        <v>206</v>
      </c>
      <c r="U340" s="20" t="s">
        <v>207</v>
      </c>
      <c r="V340" s="20" t="s">
        <v>3222</v>
      </c>
      <c r="W340" s="20">
        <v>154.74</v>
      </c>
      <c r="X340" s="20">
        <v>154.739996328324</v>
      </c>
      <c r="Y340" s="20" t="s">
        <v>3223</v>
      </c>
      <c r="Z340" s="20" t="s">
        <v>3204</v>
      </c>
      <c r="AB340" s="20" t="s">
        <v>2376</v>
      </c>
      <c r="AD340" s="20" t="s">
        <v>2376</v>
      </c>
      <c r="AE340" s="20" t="s">
        <v>2376</v>
      </c>
      <c r="AF340" s="20">
        <v>0</v>
      </c>
      <c r="AG340" s="20">
        <v>0</v>
      </c>
      <c r="AH340" s="20">
        <v>0</v>
      </c>
      <c r="AI340" s="20">
        <v>0</v>
      </c>
      <c r="AJ340" s="20">
        <v>0</v>
      </c>
      <c r="AK340" s="20" t="s">
        <v>609</v>
      </c>
      <c r="AL340" s="20">
        <v>0</v>
      </c>
      <c r="AM340" s="20">
        <v>0</v>
      </c>
      <c r="AN340" s="20">
        <v>0</v>
      </c>
      <c r="AO340" s="20">
        <v>0</v>
      </c>
      <c r="AP340" s="20">
        <v>0</v>
      </c>
      <c r="AR340" s="20">
        <v>0</v>
      </c>
      <c r="AS340" s="20">
        <v>0</v>
      </c>
      <c r="AT340" s="20">
        <v>84288.47</v>
      </c>
      <c r="AU340" s="20" t="s">
        <v>15</v>
      </c>
      <c r="AV340" s="20" t="s">
        <v>2117</v>
      </c>
      <c r="AW340" s="20" t="s">
        <v>2117</v>
      </c>
      <c r="AX340" s="20" t="s">
        <v>208</v>
      </c>
      <c r="AY340" s="20" t="s">
        <v>209</v>
      </c>
      <c r="AZ340" s="20">
        <v>0</v>
      </c>
      <c r="BA340" s="20">
        <v>20425.68</v>
      </c>
      <c r="BB340" s="20">
        <v>943</v>
      </c>
      <c r="BC340" s="20" t="s">
        <v>3204</v>
      </c>
      <c r="BD340" s="20" t="s">
        <v>74</v>
      </c>
      <c r="BE340" s="20" t="s">
        <v>210</v>
      </c>
      <c r="BF340" s="20" t="s">
        <v>210</v>
      </c>
      <c r="BG340" s="20">
        <v>9</v>
      </c>
      <c r="BH340" s="20">
        <v>1838.31</v>
      </c>
      <c r="BI340" s="20">
        <v>9</v>
      </c>
      <c r="BJ340" s="20">
        <v>1838.31</v>
      </c>
      <c r="BK340" s="20">
        <v>0</v>
      </c>
      <c r="BL340" s="20">
        <v>0</v>
      </c>
      <c r="BM340" s="20">
        <v>84288.47</v>
      </c>
      <c r="BN340" s="20">
        <v>652150259911</v>
      </c>
      <c r="BO340" s="111">
        <v>46226</v>
      </c>
      <c r="BP340" s="20">
        <v>0</v>
      </c>
    </row>
    <row r="341" spans="2:68">
      <c r="B341" s="20" t="s">
        <v>2216</v>
      </c>
      <c r="C341" s="20" t="s">
        <v>3204</v>
      </c>
      <c r="D341" s="20" t="s">
        <v>3776</v>
      </c>
      <c r="E341" s="20" t="s">
        <v>20</v>
      </c>
      <c r="F341" s="20" t="s">
        <v>21</v>
      </c>
      <c r="H341" s="20" t="s">
        <v>3777</v>
      </c>
      <c r="I341" s="20">
        <v>78</v>
      </c>
      <c r="J341" s="20">
        <v>78</v>
      </c>
      <c r="K341" s="20" t="s">
        <v>11</v>
      </c>
      <c r="L341" s="20">
        <v>78</v>
      </c>
      <c r="M341" s="20">
        <v>0</v>
      </c>
      <c r="N341" s="20">
        <v>78</v>
      </c>
      <c r="O341" s="20" t="s">
        <v>3778</v>
      </c>
      <c r="P341" s="20" t="s">
        <v>94</v>
      </c>
      <c r="Q341" s="20" t="s">
        <v>94</v>
      </c>
      <c r="R341" s="20" t="s">
        <v>3223</v>
      </c>
      <c r="S341" s="20" t="s">
        <v>3204</v>
      </c>
      <c r="T341" s="20" t="s">
        <v>206</v>
      </c>
      <c r="U341" s="20" t="s">
        <v>207</v>
      </c>
      <c r="V341" s="20" t="s">
        <v>3222</v>
      </c>
      <c r="W341" s="20">
        <v>158.74</v>
      </c>
      <c r="X341" s="20">
        <v>158.73999623341101</v>
      </c>
      <c r="Y341" s="20" t="s">
        <v>3223</v>
      </c>
      <c r="Z341" s="20" t="s">
        <v>3204</v>
      </c>
      <c r="AB341" s="20" t="s">
        <v>2376</v>
      </c>
      <c r="AD341" s="20" t="s">
        <v>2376</v>
      </c>
      <c r="AE341" s="20" t="s">
        <v>2376</v>
      </c>
      <c r="AF341" s="20">
        <v>0</v>
      </c>
      <c r="AG341" s="20">
        <v>0</v>
      </c>
      <c r="AH341" s="20">
        <v>0</v>
      </c>
      <c r="AI341" s="20">
        <v>0</v>
      </c>
      <c r="AJ341" s="20">
        <v>0</v>
      </c>
      <c r="AK341" s="20" t="s">
        <v>609</v>
      </c>
      <c r="AL341" s="20">
        <v>0</v>
      </c>
      <c r="AM341" s="20">
        <v>0</v>
      </c>
      <c r="AN341" s="20">
        <v>0</v>
      </c>
      <c r="AO341" s="20">
        <v>0</v>
      </c>
      <c r="AP341" s="20">
        <v>0</v>
      </c>
      <c r="AR341" s="20">
        <v>0</v>
      </c>
      <c r="AS341" s="20">
        <v>0</v>
      </c>
      <c r="AT341" s="20">
        <v>84288.47</v>
      </c>
      <c r="AU341" s="20" t="s">
        <v>13</v>
      </c>
      <c r="AV341" s="20" t="s">
        <v>62</v>
      </c>
      <c r="AW341" s="20" t="s">
        <v>76</v>
      </c>
      <c r="AX341" s="20" t="s">
        <v>208</v>
      </c>
      <c r="AY341" s="20" t="s">
        <v>209</v>
      </c>
      <c r="AZ341" s="20">
        <v>0</v>
      </c>
      <c r="BA341" s="20">
        <v>12381.72</v>
      </c>
      <c r="BB341" s="20">
        <v>943</v>
      </c>
      <c r="BC341" s="20" t="s">
        <v>3204</v>
      </c>
      <c r="BD341" s="20" t="s">
        <v>74</v>
      </c>
      <c r="BE341" s="20" t="s">
        <v>210</v>
      </c>
      <c r="BF341" s="20" t="s">
        <v>210</v>
      </c>
      <c r="BG341" s="20">
        <v>9</v>
      </c>
      <c r="BH341" s="20">
        <v>1114.3499999999999</v>
      </c>
      <c r="BI341" s="20">
        <v>9</v>
      </c>
      <c r="BJ341" s="20">
        <v>1114.3499999999999</v>
      </c>
      <c r="BK341" s="20">
        <v>0</v>
      </c>
      <c r="BL341" s="20">
        <v>0</v>
      </c>
      <c r="BM341" s="20">
        <v>0</v>
      </c>
      <c r="BN341" s="20">
        <v>652150259911</v>
      </c>
      <c r="BO341" s="111">
        <v>46226</v>
      </c>
      <c r="BP341" s="20">
        <v>0</v>
      </c>
    </row>
    <row r="342" spans="2:68">
      <c r="B342" s="20" t="s">
        <v>2216</v>
      </c>
      <c r="C342" s="20" t="s">
        <v>3204</v>
      </c>
      <c r="D342" s="20" t="s">
        <v>3776</v>
      </c>
      <c r="E342" s="20" t="s">
        <v>20</v>
      </c>
      <c r="F342" s="20" t="s">
        <v>21</v>
      </c>
      <c r="H342" s="20" t="s">
        <v>3777</v>
      </c>
      <c r="I342" s="20">
        <v>238.8</v>
      </c>
      <c r="J342" s="20">
        <v>238.8</v>
      </c>
      <c r="K342" s="20" t="s">
        <v>11</v>
      </c>
      <c r="L342" s="20">
        <v>238.8</v>
      </c>
      <c r="M342" s="20">
        <v>0</v>
      </c>
      <c r="N342" s="20">
        <v>238.8</v>
      </c>
      <c r="O342" s="20" t="s">
        <v>3778</v>
      </c>
      <c r="P342" s="20" t="s">
        <v>94</v>
      </c>
      <c r="Q342" s="20" t="s">
        <v>94</v>
      </c>
      <c r="R342" s="20" t="s">
        <v>3223</v>
      </c>
      <c r="S342" s="20" t="s">
        <v>3204</v>
      </c>
      <c r="T342" s="20" t="s">
        <v>206</v>
      </c>
      <c r="U342" s="20" t="s">
        <v>207</v>
      </c>
      <c r="V342" s="20" t="s">
        <v>3222</v>
      </c>
      <c r="W342" s="20">
        <v>161.74</v>
      </c>
      <c r="X342" s="20">
        <v>161.73999616222699</v>
      </c>
      <c r="Y342" s="20" t="s">
        <v>3223</v>
      </c>
      <c r="Z342" s="20" t="s">
        <v>3204</v>
      </c>
      <c r="AB342" s="20" t="s">
        <v>2376</v>
      </c>
      <c r="AD342" s="20" t="s">
        <v>2376</v>
      </c>
      <c r="AE342" s="20" t="s">
        <v>2376</v>
      </c>
      <c r="AF342" s="20">
        <v>0</v>
      </c>
      <c r="AG342" s="20">
        <v>0</v>
      </c>
      <c r="AH342" s="20">
        <v>0</v>
      </c>
      <c r="AI342" s="20">
        <v>0</v>
      </c>
      <c r="AJ342" s="20">
        <v>0</v>
      </c>
      <c r="AK342" s="20" t="s">
        <v>609</v>
      </c>
      <c r="AL342" s="20">
        <v>0</v>
      </c>
      <c r="AM342" s="20">
        <v>0</v>
      </c>
      <c r="AN342" s="20">
        <v>0</v>
      </c>
      <c r="AO342" s="20">
        <v>0</v>
      </c>
      <c r="AP342" s="20">
        <v>0</v>
      </c>
      <c r="AR342" s="20">
        <v>0</v>
      </c>
      <c r="AS342" s="20">
        <v>0</v>
      </c>
      <c r="AT342" s="20">
        <v>84288.47</v>
      </c>
      <c r="AU342" s="20" t="s">
        <v>13</v>
      </c>
      <c r="AV342" s="20" t="s">
        <v>62</v>
      </c>
      <c r="AW342" s="20" t="s">
        <v>76</v>
      </c>
      <c r="AX342" s="20" t="s">
        <v>208</v>
      </c>
      <c r="AY342" s="20" t="s">
        <v>209</v>
      </c>
      <c r="AZ342" s="20">
        <v>0</v>
      </c>
      <c r="BA342" s="20">
        <v>38623.51</v>
      </c>
      <c r="BB342" s="20">
        <v>943</v>
      </c>
      <c r="BC342" s="20" t="s">
        <v>3204</v>
      </c>
      <c r="BD342" s="20" t="s">
        <v>74</v>
      </c>
      <c r="BE342" s="20" t="s">
        <v>210</v>
      </c>
      <c r="BF342" s="20" t="s">
        <v>210</v>
      </c>
      <c r="BG342" s="20">
        <v>9</v>
      </c>
      <c r="BH342" s="20">
        <v>3476.12</v>
      </c>
      <c r="BI342" s="20">
        <v>9</v>
      </c>
      <c r="BJ342" s="20">
        <v>3476.12</v>
      </c>
      <c r="BK342" s="20">
        <v>0</v>
      </c>
      <c r="BL342" s="20">
        <v>0</v>
      </c>
      <c r="BM342" s="20">
        <v>0</v>
      </c>
      <c r="BN342" s="20">
        <v>652150259911</v>
      </c>
      <c r="BO342" s="111">
        <v>46226</v>
      </c>
      <c r="BP342" s="20">
        <v>0</v>
      </c>
    </row>
    <row r="343" spans="2:68">
      <c r="B343" s="20" t="s">
        <v>2216</v>
      </c>
      <c r="C343" s="20" t="s">
        <v>3224</v>
      </c>
      <c r="D343" s="20" t="s">
        <v>3779</v>
      </c>
      <c r="E343" s="20" t="s">
        <v>211</v>
      </c>
      <c r="F343" s="20" t="s">
        <v>16</v>
      </c>
      <c r="H343" s="20" t="s">
        <v>3780</v>
      </c>
      <c r="I343" s="20">
        <v>426</v>
      </c>
      <c r="J343" s="20">
        <v>426</v>
      </c>
      <c r="K343" s="20" t="s">
        <v>11</v>
      </c>
      <c r="L343" s="20">
        <v>426</v>
      </c>
      <c r="M343" s="20">
        <v>0</v>
      </c>
      <c r="N343" s="20">
        <v>426</v>
      </c>
      <c r="O343" s="20" t="s">
        <v>3781</v>
      </c>
      <c r="P343" s="20" t="s">
        <v>93</v>
      </c>
      <c r="Q343" s="20" t="s">
        <v>93</v>
      </c>
      <c r="R343" s="20" t="s">
        <v>3226</v>
      </c>
      <c r="S343" s="20" t="s">
        <v>3204</v>
      </c>
      <c r="T343" s="20" t="s">
        <v>206</v>
      </c>
      <c r="U343" s="20" t="s">
        <v>207</v>
      </c>
      <c r="V343" s="20" t="s">
        <v>3225</v>
      </c>
      <c r="W343" s="20">
        <v>188.96</v>
      </c>
      <c r="X343" s="20">
        <v>188.96000018228401</v>
      </c>
      <c r="Y343" s="20" t="s">
        <v>3226</v>
      </c>
      <c r="Z343" s="20" t="s">
        <v>3204</v>
      </c>
      <c r="AB343" s="20" t="s">
        <v>2376</v>
      </c>
      <c r="AD343" s="20" t="s">
        <v>2376</v>
      </c>
      <c r="AE343" s="20" t="s">
        <v>2376</v>
      </c>
      <c r="AF343" s="20">
        <v>0</v>
      </c>
      <c r="AG343" s="20">
        <v>0</v>
      </c>
      <c r="AH343" s="20">
        <v>0</v>
      </c>
      <c r="AI343" s="20">
        <v>0</v>
      </c>
      <c r="AJ343" s="20">
        <v>0</v>
      </c>
      <c r="AK343" s="20" t="s">
        <v>609</v>
      </c>
      <c r="AL343" s="20">
        <v>0</v>
      </c>
      <c r="AM343" s="20">
        <v>0</v>
      </c>
      <c r="AN343" s="20">
        <v>0</v>
      </c>
      <c r="AO343" s="20">
        <v>0</v>
      </c>
      <c r="AP343" s="20">
        <v>0</v>
      </c>
      <c r="AR343" s="20">
        <v>0</v>
      </c>
      <c r="AS343" s="20">
        <v>0</v>
      </c>
      <c r="AT343" s="20">
        <v>2073243.93</v>
      </c>
      <c r="AU343" s="20" t="s">
        <v>15</v>
      </c>
      <c r="AV343" s="20" t="s">
        <v>57</v>
      </c>
      <c r="AW343" s="20" t="s">
        <v>57</v>
      </c>
      <c r="AX343" s="20" t="s">
        <v>15</v>
      </c>
      <c r="AY343" s="20" t="s">
        <v>209</v>
      </c>
      <c r="AZ343" s="20">
        <v>0</v>
      </c>
      <c r="BA343" s="20">
        <v>80496.960000000006</v>
      </c>
      <c r="BB343" s="20">
        <v>948</v>
      </c>
      <c r="BC343" s="20" t="s">
        <v>3224</v>
      </c>
      <c r="BD343" s="20" t="s">
        <v>59</v>
      </c>
      <c r="BE343" s="20" t="s">
        <v>210</v>
      </c>
      <c r="BF343" s="20" t="s">
        <v>210</v>
      </c>
      <c r="BG343" s="20">
        <v>9</v>
      </c>
      <c r="BH343" s="20">
        <v>7244.73</v>
      </c>
      <c r="BI343" s="20">
        <v>9</v>
      </c>
      <c r="BJ343" s="20">
        <v>7244.73</v>
      </c>
      <c r="BK343" s="20">
        <v>0</v>
      </c>
      <c r="BL343" s="20">
        <v>0</v>
      </c>
      <c r="BM343" s="20">
        <v>2073243.93</v>
      </c>
      <c r="BN343" s="20">
        <v>602150307918</v>
      </c>
      <c r="BO343" s="111">
        <v>46226</v>
      </c>
      <c r="BP343" s="20">
        <v>0</v>
      </c>
    </row>
    <row r="344" spans="2:68">
      <c r="B344" s="20" t="s">
        <v>2216</v>
      </c>
      <c r="C344" s="20" t="s">
        <v>3224</v>
      </c>
      <c r="D344" s="20" t="s">
        <v>3779</v>
      </c>
      <c r="E344" s="20" t="s">
        <v>211</v>
      </c>
      <c r="F344" s="20" t="s">
        <v>16</v>
      </c>
      <c r="H344" s="20" t="s">
        <v>3780</v>
      </c>
      <c r="I344" s="20">
        <v>8940.7999999999993</v>
      </c>
      <c r="J344" s="20">
        <v>8940.7999999999993</v>
      </c>
      <c r="K344" s="20" t="s">
        <v>11</v>
      </c>
      <c r="L344" s="20">
        <v>8940.7999999999993</v>
      </c>
      <c r="M344" s="20">
        <v>0</v>
      </c>
      <c r="N344" s="20">
        <v>8940.7999999999993</v>
      </c>
      <c r="O344" s="20" t="s">
        <v>3781</v>
      </c>
      <c r="P344" s="20" t="s">
        <v>93</v>
      </c>
      <c r="Q344" s="20" t="s">
        <v>93</v>
      </c>
      <c r="R344" s="20" t="s">
        <v>3226</v>
      </c>
      <c r="S344" s="20" t="s">
        <v>3204</v>
      </c>
      <c r="T344" s="20" t="s">
        <v>206</v>
      </c>
      <c r="U344" s="20" t="s">
        <v>207</v>
      </c>
      <c r="V344" s="20" t="s">
        <v>3225</v>
      </c>
      <c r="W344" s="20">
        <v>187.51</v>
      </c>
      <c r="X344" s="20">
        <v>187.51000018088601</v>
      </c>
      <c r="Y344" s="20" t="s">
        <v>3226</v>
      </c>
      <c r="Z344" s="20" t="s">
        <v>3204</v>
      </c>
      <c r="AB344" s="20" t="s">
        <v>2376</v>
      </c>
      <c r="AD344" s="20" t="s">
        <v>2376</v>
      </c>
      <c r="AE344" s="20" t="s">
        <v>2376</v>
      </c>
      <c r="AF344" s="20">
        <v>0</v>
      </c>
      <c r="AG344" s="20">
        <v>0</v>
      </c>
      <c r="AH344" s="20">
        <v>0</v>
      </c>
      <c r="AI344" s="20">
        <v>0</v>
      </c>
      <c r="AJ344" s="20">
        <v>0</v>
      </c>
      <c r="AK344" s="20" t="s">
        <v>609</v>
      </c>
      <c r="AL344" s="20">
        <v>0</v>
      </c>
      <c r="AM344" s="20">
        <v>0</v>
      </c>
      <c r="AN344" s="20">
        <v>0</v>
      </c>
      <c r="AO344" s="20">
        <v>0</v>
      </c>
      <c r="AP344" s="20">
        <v>0</v>
      </c>
      <c r="AR344" s="20">
        <v>0</v>
      </c>
      <c r="AS344" s="20">
        <v>0</v>
      </c>
      <c r="AT344" s="20">
        <v>2073243.93</v>
      </c>
      <c r="AU344" s="20" t="s">
        <v>15</v>
      </c>
      <c r="AV344" s="20" t="s">
        <v>57</v>
      </c>
      <c r="AW344" s="20" t="s">
        <v>57</v>
      </c>
      <c r="AX344" s="20" t="s">
        <v>15</v>
      </c>
      <c r="AY344" s="20" t="s">
        <v>209</v>
      </c>
      <c r="AZ344" s="20">
        <v>0</v>
      </c>
      <c r="BA344" s="20">
        <v>1676489.41</v>
      </c>
      <c r="BB344" s="20">
        <v>948</v>
      </c>
      <c r="BC344" s="20" t="s">
        <v>3224</v>
      </c>
      <c r="BD344" s="20" t="s">
        <v>59</v>
      </c>
      <c r="BE344" s="20" t="s">
        <v>210</v>
      </c>
      <c r="BF344" s="20" t="s">
        <v>210</v>
      </c>
      <c r="BG344" s="20">
        <v>9</v>
      </c>
      <c r="BH344" s="20">
        <v>150884.04999999999</v>
      </c>
      <c r="BI344" s="20">
        <v>9</v>
      </c>
      <c r="BJ344" s="20">
        <v>150884.04999999999</v>
      </c>
      <c r="BK344" s="20">
        <v>0</v>
      </c>
      <c r="BL344" s="20">
        <v>0</v>
      </c>
      <c r="BM344" s="20">
        <v>0</v>
      </c>
      <c r="BN344" s="20">
        <v>602150307918</v>
      </c>
      <c r="BO344" s="111">
        <v>46226</v>
      </c>
      <c r="BP344" s="20">
        <v>0</v>
      </c>
    </row>
    <row r="345" spans="2:68">
      <c r="B345" s="20" t="s">
        <v>2216</v>
      </c>
      <c r="C345" s="20" t="s">
        <v>3224</v>
      </c>
      <c r="D345" s="20" t="s">
        <v>3782</v>
      </c>
      <c r="E345" s="20" t="s">
        <v>20</v>
      </c>
      <c r="F345" s="20" t="s">
        <v>21</v>
      </c>
      <c r="H345" s="20" t="s">
        <v>3783</v>
      </c>
      <c r="I345" s="20">
        <v>210</v>
      </c>
      <c r="J345" s="20">
        <v>210</v>
      </c>
      <c r="K345" s="20" t="s">
        <v>11</v>
      </c>
      <c r="L345" s="20">
        <v>210</v>
      </c>
      <c r="M345" s="20">
        <v>0</v>
      </c>
      <c r="N345" s="20">
        <v>210</v>
      </c>
      <c r="O345" s="20" t="s">
        <v>3784</v>
      </c>
      <c r="P345" s="20" t="s">
        <v>94</v>
      </c>
      <c r="Q345" s="20" t="s">
        <v>94</v>
      </c>
      <c r="R345" s="20" t="s">
        <v>3236</v>
      </c>
      <c r="S345" s="20" t="s">
        <v>3224</v>
      </c>
      <c r="T345" s="20" t="s">
        <v>206</v>
      </c>
      <c r="U345" s="20" t="s">
        <v>207</v>
      </c>
      <c r="V345" s="20" t="s">
        <v>3235</v>
      </c>
      <c r="W345" s="20">
        <v>158.74</v>
      </c>
      <c r="X345" s="20">
        <v>158.74</v>
      </c>
      <c r="Y345" s="20" t="s">
        <v>3236</v>
      </c>
      <c r="Z345" s="20" t="s">
        <v>3224</v>
      </c>
      <c r="AB345" s="20" t="s">
        <v>2376</v>
      </c>
      <c r="AD345" s="20" t="s">
        <v>2376</v>
      </c>
      <c r="AE345" s="20" t="s">
        <v>2376</v>
      </c>
      <c r="AF345" s="20">
        <v>0</v>
      </c>
      <c r="AG345" s="20">
        <v>0</v>
      </c>
      <c r="AH345" s="20">
        <v>0</v>
      </c>
      <c r="AI345" s="20">
        <v>0</v>
      </c>
      <c r="AJ345" s="20">
        <v>0</v>
      </c>
      <c r="AK345" s="20" t="s">
        <v>609</v>
      </c>
      <c r="AL345" s="20">
        <v>0</v>
      </c>
      <c r="AM345" s="20">
        <v>0</v>
      </c>
      <c r="AN345" s="20">
        <v>0</v>
      </c>
      <c r="AO345" s="20">
        <v>0</v>
      </c>
      <c r="AP345" s="20">
        <v>0</v>
      </c>
      <c r="AR345" s="20">
        <v>0</v>
      </c>
      <c r="AS345" s="20">
        <v>0</v>
      </c>
      <c r="AT345" s="20">
        <v>79086.3</v>
      </c>
      <c r="AU345" s="20" t="s">
        <v>13</v>
      </c>
      <c r="AV345" s="20" t="s">
        <v>62</v>
      </c>
      <c r="AW345" s="20" t="s">
        <v>76</v>
      </c>
      <c r="AX345" s="20" t="s">
        <v>208</v>
      </c>
      <c r="AY345" s="20" t="s">
        <v>209</v>
      </c>
      <c r="AZ345" s="20">
        <v>0</v>
      </c>
      <c r="BA345" s="20">
        <v>33335.4</v>
      </c>
      <c r="BB345" s="20">
        <v>953</v>
      </c>
      <c r="BC345" s="20" t="s">
        <v>3224</v>
      </c>
      <c r="BD345" s="20" t="s">
        <v>74</v>
      </c>
      <c r="BE345" s="20" t="s">
        <v>210</v>
      </c>
      <c r="BF345" s="20" t="s">
        <v>210</v>
      </c>
      <c r="BG345" s="20">
        <v>9</v>
      </c>
      <c r="BH345" s="20">
        <v>3000.19</v>
      </c>
      <c r="BI345" s="20">
        <v>9</v>
      </c>
      <c r="BJ345" s="20">
        <v>3000.19</v>
      </c>
      <c r="BK345" s="20">
        <v>0</v>
      </c>
      <c r="BL345" s="20">
        <v>0</v>
      </c>
      <c r="BM345" s="20">
        <v>79086.3</v>
      </c>
      <c r="BN345" s="20">
        <v>692150624559</v>
      </c>
      <c r="BO345" s="111">
        <v>46227</v>
      </c>
      <c r="BP345" s="20">
        <v>0</v>
      </c>
    </row>
    <row r="346" spans="2:68">
      <c r="B346" s="20" t="s">
        <v>2216</v>
      </c>
      <c r="C346" s="20" t="s">
        <v>3224</v>
      </c>
      <c r="D346" s="20" t="s">
        <v>3782</v>
      </c>
      <c r="E346" s="20" t="s">
        <v>20</v>
      </c>
      <c r="F346" s="20" t="s">
        <v>21</v>
      </c>
      <c r="H346" s="20" t="s">
        <v>3783</v>
      </c>
      <c r="I346" s="20">
        <v>126</v>
      </c>
      <c r="J346" s="20">
        <v>126</v>
      </c>
      <c r="K346" s="20" t="s">
        <v>11</v>
      </c>
      <c r="L346" s="20">
        <v>126</v>
      </c>
      <c r="M346" s="20">
        <v>0</v>
      </c>
      <c r="N346" s="20">
        <v>126</v>
      </c>
      <c r="O346" s="20" t="s">
        <v>3784</v>
      </c>
      <c r="P346" s="20" t="s">
        <v>94</v>
      </c>
      <c r="Q346" s="20" t="s">
        <v>94</v>
      </c>
      <c r="R346" s="20" t="s">
        <v>3236</v>
      </c>
      <c r="S346" s="20" t="s">
        <v>3224</v>
      </c>
      <c r="T346" s="20" t="s">
        <v>206</v>
      </c>
      <c r="U346" s="20" t="s">
        <v>207</v>
      </c>
      <c r="V346" s="20" t="s">
        <v>3235</v>
      </c>
      <c r="W346" s="20">
        <v>161.74</v>
      </c>
      <c r="X346" s="20">
        <v>161.74</v>
      </c>
      <c r="Y346" s="20" t="s">
        <v>3236</v>
      </c>
      <c r="Z346" s="20" t="s">
        <v>3224</v>
      </c>
      <c r="AB346" s="20" t="s">
        <v>2376</v>
      </c>
      <c r="AD346" s="20" t="s">
        <v>2376</v>
      </c>
      <c r="AE346" s="20" t="s">
        <v>2376</v>
      </c>
      <c r="AF346" s="20">
        <v>0</v>
      </c>
      <c r="AG346" s="20">
        <v>0</v>
      </c>
      <c r="AH346" s="20">
        <v>0</v>
      </c>
      <c r="AI346" s="20">
        <v>0</v>
      </c>
      <c r="AJ346" s="20">
        <v>0</v>
      </c>
      <c r="AK346" s="20" t="s">
        <v>609</v>
      </c>
      <c r="AL346" s="20">
        <v>0</v>
      </c>
      <c r="AM346" s="20">
        <v>0</v>
      </c>
      <c r="AN346" s="20">
        <v>0</v>
      </c>
      <c r="AO346" s="20">
        <v>0</v>
      </c>
      <c r="AP346" s="20">
        <v>0</v>
      </c>
      <c r="AR346" s="20">
        <v>0</v>
      </c>
      <c r="AS346" s="20">
        <v>0</v>
      </c>
      <c r="AT346" s="20">
        <v>79086.3</v>
      </c>
      <c r="AU346" s="20" t="s">
        <v>13</v>
      </c>
      <c r="AV346" s="20" t="s">
        <v>62</v>
      </c>
      <c r="AW346" s="20" t="s">
        <v>76</v>
      </c>
      <c r="AX346" s="20" t="s">
        <v>208</v>
      </c>
      <c r="AY346" s="20" t="s">
        <v>209</v>
      </c>
      <c r="AZ346" s="20">
        <v>0</v>
      </c>
      <c r="BA346" s="20">
        <v>20379.240000000002</v>
      </c>
      <c r="BB346" s="20">
        <v>953</v>
      </c>
      <c r="BC346" s="20" t="s">
        <v>3224</v>
      </c>
      <c r="BD346" s="20" t="s">
        <v>74</v>
      </c>
      <c r="BE346" s="20" t="s">
        <v>210</v>
      </c>
      <c r="BF346" s="20" t="s">
        <v>210</v>
      </c>
      <c r="BG346" s="20">
        <v>9</v>
      </c>
      <c r="BH346" s="20">
        <v>1834.13</v>
      </c>
      <c r="BI346" s="20">
        <v>9</v>
      </c>
      <c r="BJ346" s="20">
        <v>1834.13</v>
      </c>
      <c r="BK346" s="20">
        <v>0</v>
      </c>
      <c r="BL346" s="20">
        <v>0</v>
      </c>
      <c r="BM346" s="20">
        <v>0</v>
      </c>
      <c r="BN346" s="20">
        <v>692150624559</v>
      </c>
      <c r="BO346" s="111">
        <v>46227</v>
      </c>
      <c r="BP346" s="20">
        <v>0</v>
      </c>
    </row>
    <row r="347" spans="2:68">
      <c r="B347" s="20" t="s">
        <v>2216</v>
      </c>
      <c r="C347" s="20" t="s">
        <v>3224</v>
      </c>
      <c r="D347" s="20" t="s">
        <v>3782</v>
      </c>
      <c r="E347" s="20" t="s">
        <v>2519</v>
      </c>
      <c r="F347" s="20" t="s">
        <v>2117</v>
      </c>
      <c r="H347" s="20" t="s">
        <v>3785</v>
      </c>
      <c r="I347" s="20">
        <v>86</v>
      </c>
      <c r="J347" s="20">
        <v>86</v>
      </c>
      <c r="K347" s="20" t="s">
        <v>11</v>
      </c>
      <c r="L347" s="20">
        <v>86</v>
      </c>
      <c r="M347" s="20">
        <v>0</v>
      </c>
      <c r="N347" s="20">
        <v>86</v>
      </c>
      <c r="O347" s="20" t="s">
        <v>3784</v>
      </c>
      <c r="P347" s="20" t="s">
        <v>94</v>
      </c>
      <c r="Q347" s="20" t="s">
        <v>94</v>
      </c>
      <c r="R347" s="20" t="s">
        <v>3236</v>
      </c>
      <c r="S347" s="20" t="s">
        <v>3224</v>
      </c>
      <c r="T347" s="20" t="s">
        <v>206</v>
      </c>
      <c r="U347" s="20" t="s">
        <v>207</v>
      </c>
      <c r="V347" s="20" t="s">
        <v>3235</v>
      </c>
      <c r="W347" s="20">
        <v>154.74</v>
      </c>
      <c r="X347" s="20">
        <v>154.74</v>
      </c>
      <c r="Y347" s="20" t="s">
        <v>3236</v>
      </c>
      <c r="Z347" s="20" t="s">
        <v>3224</v>
      </c>
      <c r="AB347" s="20" t="s">
        <v>2376</v>
      </c>
      <c r="AD347" s="20" t="s">
        <v>2376</v>
      </c>
      <c r="AE347" s="20" t="s">
        <v>2376</v>
      </c>
      <c r="AF347" s="20">
        <v>0</v>
      </c>
      <c r="AG347" s="20">
        <v>0</v>
      </c>
      <c r="AH347" s="20">
        <v>0</v>
      </c>
      <c r="AI347" s="20">
        <v>0</v>
      </c>
      <c r="AJ347" s="20">
        <v>0</v>
      </c>
      <c r="AK347" s="20" t="s">
        <v>609</v>
      </c>
      <c r="AL347" s="20">
        <v>0</v>
      </c>
      <c r="AM347" s="20">
        <v>0</v>
      </c>
      <c r="AN347" s="20">
        <v>0</v>
      </c>
      <c r="AO347" s="20">
        <v>0</v>
      </c>
      <c r="AP347" s="20">
        <v>0</v>
      </c>
      <c r="AR347" s="20">
        <v>0</v>
      </c>
      <c r="AS347" s="20">
        <v>0</v>
      </c>
      <c r="AT347" s="20">
        <v>79086.3</v>
      </c>
      <c r="AU347" s="20" t="s">
        <v>15</v>
      </c>
      <c r="AV347" s="20" t="s">
        <v>2117</v>
      </c>
      <c r="AW347" s="20" t="s">
        <v>2117</v>
      </c>
      <c r="AX347" s="20" t="s">
        <v>208</v>
      </c>
      <c r="AY347" s="20" t="s">
        <v>209</v>
      </c>
      <c r="AZ347" s="20">
        <v>0</v>
      </c>
      <c r="BA347" s="20">
        <v>13307.64</v>
      </c>
      <c r="BB347" s="20">
        <v>953</v>
      </c>
      <c r="BC347" s="20" t="s">
        <v>3224</v>
      </c>
      <c r="BD347" s="20" t="s">
        <v>74</v>
      </c>
      <c r="BE347" s="20" t="s">
        <v>210</v>
      </c>
      <c r="BF347" s="20" t="s">
        <v>210</v>
      </c>
      <c r="BG347" s="20">
        <v>9</v>
      </c>
      <c r="BH347" s="20">
        <v>1197.69</v>
      </c>
      <c r="BI347" s="20">
        <v>9</v>
      </c>
      <c r="BJ347" s="20">
        <v>1197.69</v>
      </c>
      <c r="BK347" s="20">
        <v>0</v>
      </c>
      <c r="BL347" s="20">
        <v>0</v>
      </c>
      <c r="BM347" s="20">
        <v>0</v>
      </c>
      <c r="BN347" s="20">
        <v>692150624559</v>
      </c>
      <c r="BO347" s="111">
        <v>46227</v>
      </c>
      <c r="BP347" s="20">
        <v>0</v>
      </c>
    </row>
    <row r="348" spans="2:68">
      <c r="B348" s="20" t="s">
        <v>2216</v>
      </c>
      <c r="C348" s="20" t="s">
        <v>3224</v>
      </c>
      <c r="D348" s="20" t="s">
        <v>3786</v>
      </c>
      <c r="E348" s="20" t="s">
        <v>23</v>
      </c>
      <c r="F348" s="20" t="s">
        <v>24</v>
      </c>
      <c r="H348" s="20" t="s">
        <v>3787</v>
      </c>
      <c r="I348" s="20">
        <v>448.8</v>
      </c>
      <c r="J348" s="20">
        <v>448.8</v>
      </c>
      <c r="K348" s="20" t="s">
        <v>11</v>
      </c>
      <c r="L348" s="20">
        <v>448.8</v>
      </c>
      <c r="M348" s="20">
        <v>0</v>
      </c>
      <c r="N348" s="20">
        <v>448.8</v>
      </c>
      <c r="O348" s="20" t="s">
        <v>3788</v>
      </c>
      <c r="P348" s="20" t="s">
        <v>87</v>
      </c>
      <c r="Q348" s="20" t="s">
        <v>87</v>
      </c>
      <c r="R348" s="20" t="s">
        <v>3230</v>
      </c>
      <c r="S348" s="20" t="s">
        <v>3224</v>
      </c>
      <c r="T348" s="20" t="s">
        <v>206</v>
      </c>
      <c r="U348" s="20" t="s">
        <v>207</v>
      </c>
      <c r="V348" s="20" t="s">
        <v>3229</v>
      </c>
      <c r="W348" s="20">
        <v>146.49</v>
      </c>
      <c r="X348" s="20">
        <v>146.49000044129099</v>
      </c>
      <c r="Y348" s="20" t="s">
        <v>3230</v>
      </c>
      <c r="Z348" s="20" t="s">
        <v>3224</v>
      </c>
      <c r="AB348" s="20" t="s">
        <v>2376</v>
      </c>
      <c r="AD348" s="20" t="s">
        <v>2376</v>
      </c>
      <c r="AE348" s="20" t="s">
        <v>2376</v>
      </c>
      <c r="AF348" s="20">
        <v>0</v>
      </c>
      <c r="AG348" s="20">
        <v>0</v>
      </c>
      <c r="AH348" s="20">
        <v>0</v>
      </c>
      <c r="AI348" s="20">
        <v>0</v>
      </c>
      <c r="AJ348" s="20">
        <v>0</v>
      </c>
      <c r="AK348" s="20" t="s">
        <v>609</v>
      </c>
      <c r="AL348" s="20">
        <v>0</v>
      </c>
      <c r="AM348" s="20">
        <v>0</v>
      </c>
      <c r="AN348" s="20">
        <v>0</v>
      </c>
      <c r="AO348" s="20">
        <v>0</v>
      </c>
      <c r="AP348" s="20">
        <v>0</v>
      </c>
      <c r="AR348" s="20">
        <v>0</v>
      </c>
      <c r="AS348" s="20">
        <v>0</v>
      </c>
      <c r="AT348" s="20">
        <v>995874.33</v>
      </c>
      <c r="AU348" s="20" t="s">
        <v>13</v>
      </c>
      <c r="AV348" s="20" t="s">
        <v>24</v>
      </c>
      <c r="AW348" s="20" t="s">
        <v>79</v>
      </c>
      <c r="AX348" s="20" t="s">
        <v>208</v>
      </c>
      <c r="AY348" s="20" t="s">
        <v>209</v>
      </c>
      <c r="AZ348" s="20">
        <v>0</v>
      </c>
      <c r="BA348" s="20">
        <v>65744.710000000006</v>
      </c>
      <c r="BB348" s="20">
        <v>949</v>
      </c>
      <c r="BC348" s="20" t="s">
        <v>3224</v>
      </c>
      <c r="BD348" s="20" t="s">
        <v>65</v>
      </c>
      <c r="BE348" s="20" t="s">
        <v>210</v>
      </c>
      <c r="BF348" s="20" t="s">
        <v>210</v>
      </c>
      <c r="BG348" s="20">
        <v>9</v>
      </c>
      <c r="BH348" s="20">
        <v>5917.02</v>
      </c>
      <c r="BI348" s="20">
        <v>9</v>
      </c>
      <c r="BJ348" s="20">
        <v>5917.02</v>
      </c>
      <c r="BK348" s="20">
        <v>0</v>
      </c>
      <c r="BL348" s="20">
        <v>0</v>
      </c>
      <c r="BM348" s="20">
        <v>995874.33</v>
      </c>
      <c r="BN348" s="20">
        <v>602150546805</v>
      </c>
      <c r="BO348" s="111">
        <v>46227</v>
      </c>
      <c r="BP348" s="20">
        <v>0</v>
      </c>
    </row>
    <row r="349" spans="2:68">
      <c r="B349" s="20" t="s">
        <v>2216</v>
      </c>
      <c r="C349" s="20" t="s">
        <v>3224</v>
      </c>
      <c r="D349" s="20" t="s">
        <v>3786</v>
      </c>
      <c r="E349" s="20" t="s">
        <v>23</v>
      </c>
      <c r="F349" s="20" t="s">
        <v>24</v>
      </c>
      <c r="H349" s="20" t="s">
        <v>3787</v>
      </c>
      <c r="I349" s="20">
        <v>305.5</v>
      </c>
      <c r="J349" s="20">
        <v>305.5</v>
      </c>
      <c r="K349" s="20" t="s">
        <v>11</v>
      </c>
      <c r="L349" s="20">
        <v>305.5</v>
      </c>
      <c r="M349" s="20">
        <v>0</v>
      </c>
      <c r="N349" s="20">
        <v>305.5</v>
      </c>
      <c r="O349" s="20" t="s">
        <v>3788</v>
      </c>
      <c r="P349" s="20" t="s">
        <v>87</v>
      </c>
      <c r="Q349" s="20" t="s">
        <v>87</v>
      </c>
      <c r="R349" s="20" t="s">
        <v>3230</v>
      </c>
      <c r="S349" s="20" t="s">
        <v>3224</v>
      </c>
      <c r="T349" s="20" t="s">
        <v>206</v>
      </c>
      <c r="U349" s="20" t="s">
        <v>207</v>
      </c>
      <c r="V349" s="20" t="s">
        <v>3229</v>
      </c>
      <c r="W349" s="20">
        <v>149.49</v>
      </c>
      <c r="X349" s="20">
        <v>149.49000045032801</v>
      </c>
      <c r="Y349" s="20" t="s">
        <v>3230</v>
      </c>
      <c r="Z349" s="20" t="s">
        <v>3224</v>
      </c>
      <c r="AB349" s="20" t="s">
        <v>2376</v>
      </c>
      <c r="AD349" s="20" t="s">
        <v>2376</v>
      </c>
      <c r="AE349" s="20" t="s">
        <v>2376</v>
      </c>
      <c r="AF349" s="20">
        <v>0</v>
      </c>
      <c r="AG349" s="20">
        <v>0</v>
      </c>
      <c r="AH349" s="20">
        <v>0</v>
      </c>
      <c r="AI349" s="20">
        <v>0</v>
      </c>
      <c r="AJ349" s="20">
        <v>0</v>
      </c>
      <c r="AK349" s="20" t="s">
        <v>609</v>
      </c>
      <c r="AL349" s="20">
        <v>0</v>
      </c>
      <c r="AM349" s="20">
        <v>0</v>
      </c>
      <c r="AN349" s="20">
        <v>0</v>
      </c>
      <c r="AO349" s="20">
        <v>0</v>
      </c>
      <c r="AP349" s="20">
        <v>0</v>
      </c>
      <c r="AR349" s="20">
        <v>0</v>
      </c>
      <c r="AS349" s="20">
        <v>0</v>
      </c>
      <c r="AT349" s="20">
        <v>995874.33</v>
      </c>
      <c r="AU349" s="20" t="s">
        <v>13</v>
      </c>
      <c r="AV349" s="20" t="s">
        <v>24</v>
      </c>
      <c r="AW349" s="20" t="s">
        <v>79</v>
      </c>
      <c r="AX349" s="20" t="s">
        <v>208</v>
      </c>
      <c r="AY349" s="20" t="s">
        <v>209</v>
      </c>
      <c r="AZ349" s="20">
        <v>0</v>
      </c>
      <c r="BA349" s="20">
        <v>45669.2</v>
      </c>
      <c r="BB349" s="20">
        <v>949</v>
      </c>
      <c r="BC349" s="20" t="s">
        <v>3224</v>
      </c>
      <c r="BD349" s="20" t="s">
        <v>65</v>
      </c>
      <c r="BE349" s="20" t="s">
        <v>210</v>
      </c>
      <c r="BF349" s="20" t="s">
        <v>210</v>
      </c>
      <c r="BG349" s="20">
        <v>9</v>
      </c>
      <c r="BH349" s="20">
        <v>4110.2299999999996</v>
      </c>
      <c r="BI349" s="20">
        <v>9</v>
      </c>
      <c r="BJ349" s="20">
        <v>4110.2299999999996</v>
      </c>
      <c r="BK349" s="20">
        <v>0</v>
      </c>
      <c r="BL349" s="20">
        <v>0</v>
      </c>
      <c r="BM349" s="20">
        <v>0</v>
      </c>
      <c r="BN349" s="20">
        <v>602150546805</v>
      </c>
      <c r="BO349" s="111">
        <v>46227</v>
      </c>
      <c r="BP349" s="20">
        <v>0</v>
      </c>
    </row>
    <row r="350" spans="2:68">
      <c r="B350" s="20" t="s">
        <v>2216</v>
      </c>
      <c r="C350" s="20" t="s">
        <v>3224</v>
      </c>
      <c r="D350" s="20" t="s">
        <v>3786</v>
      </c>
      <c r="E350" s="20" t="s">
        <v>18</v>
      </c>
      <c r="F350" s="20" t="s">
        <v>19</v>
      </c>
      <c r="H350" s="20" t="s">
        <v>3787</v>
      </c>
      <c r="I350" s="20">
        <v>4703</v>
      </c>
      <c r="J350" s="20">
        <v>4703</v>
      </c>
      <c r="K350" s="20" t="s">
        <v>11</v>
      </c>
      <c r="L350" s="20">
        <v>4703</v>
      </c>
      <c r="M350" s="20">
        <v>0</v>
      </c>
      <c r="N350" s="20">
        <v>4703</v>
      </c>
      <c r="O350" s="20" t="s">
        <v>3788</v>
      </c>
      <c r="P350" s="20" t="s">
        <v>87</v>
      </c>
      <c r="Q350" s="20" t="s">
        <v>87</v>
      </c>
      <c r="R350" s="20" t="s">
        <v>3230</v>
      </c>
      <c r="S350" s="20" t="s">
        <v>3224</v>
      </c>
      <c r="T350" s="20" t="s">
        <v>206</v>
      </c>
      <c r="U350" s="20" t="s">
        <v>207</v>
      </c>
      <c r="V350" s="20" t="s">
        <v>3229</v>
      </c>
      <c r="W350" s="20">
        <v>144.49</v>
      </c>
      <c r="X350" s="20">
        <v>144.49000043526601</v>
      </c>
      <c r="Y350" s="20" t="s">
        <v>3230</v>
      </c>
      <c r="Z350" s="20" t="s">
        <v>3224</v>
      </c>
      <c r="AB350" s="20" t="s">
        <v>2376</v>
      </c>
      <c r="AD350" s="20" t="s">
        <v>2376</v>
      </c>
      <c r="AE350" s="20" t="s">
        <v>2376</v>
      </c>
      <c r="AF350" s="20">
        <v>0</v>
      </c>
      <c r="AG350" s="20">
        <v>0</v>
      </c>
      <c r="AH350" s="20">
        <v>0</v>
      </c>
      <c r="AI350" s="20">
        <v>0</v>
      </c>
      <c r="AJ350" s="20">
        <v>0</v>
      </c>
      <c r="AK350" s="20" t="s">
        <v>609</v>
      </c>
      <c r="AL350" s="20">
        <v>0</v>
      </c>
      <c r="AM350" s="20">
        <v>0</v>
      </c>
      <c r="AN350" s="20">
        <v>0</v>
      </c>
      <c r="AO350" s="20">
        <v>0</v>
      </c>
      <c r="AP350" s="20">
        <v>0</v>
      </c>
      <c r="AR350" s="20">
        <v>0</v>
      </c>
      <c r="AS350" s="20">
        <v>0</v>
      </c>
      <c r="AT350" s="20">
        <v>995874.33</v>
      </c>
      <c r="AU350" s="20" t="s">
        <v>13</v>
      </c>
      <c r="AV350" s="20" t="s">
        <v>62</v>
      </c>
      <c r="AW350" s="20" t="s">
        <v>63</v>
      </c>
      <c r="AX350" s="20" t="s">
        <v>208</v>
      </c>
      <c r="AY350" s="20" t="s">
        <v>209</v>
      </c>
      <c r="AZ350" s="20">
        <v>0</v>
      </c>
      <c r="BA350" s="20">
        <v>679536.47</v>
      </c>
      <c r="BB350" s="20">
        <v>949</v>
      </c>
      <c r="BC350" s="20" t="s">
        <v>3224</v>
      </c>
      <c r="BD350" s="20" t="s">
        <v>65</v>
      </c>
      <c r="BE350" s="20" t="s">
        <v>210</v>
      </c>
      <c r="BF350" s="20" t="s">
        <v>210</v>
      </c>
      <c r="BG350" s="20">
        <v>9</v>
      </c>
      <c r="BH350" s="20">
        <v>61158.28</v>
      </c>
      <c r="BI350" s="20">
        <v>9</v>
      </c>
      <c r="BJ350" s="20">
        <v>61158.28</v>
      </c>
      <c r="BK350" s="20">
        <v>0</v>
      </c>
      <c r="BL350" s="20">
        <v>0</v>
      </c>
      <c r="BM350" s="20">
        <v>0</v>
      </c>
      <c r="BN350" s="20">
        <v>602150546805</v>
      </c>
      <c r="BO350" s="111">
        <v>46227</v>
      </c>
      <c r="BP350" s="20">
        <v>0</v>
      </c>
    </row>
    <row r="351" spans="2:68">
      <c r="B351" s="20" t="s">
        <v>2216</v>
      </c>
      <c r="C351" s="20" t="s">
        <v>3224</v>
      </c>
      <c r="D351" s="20" t="s">
        <v>3786</v>
      </c>
      <c r="E351" s="20" t="s">
        <v>20</v>
      </c>
      <c r="F351" s="20" t="s">
        <v>21</v>
      </c>
      <c r="H351" s="20" t="s">
        <v>3787</v>
      </c>
      <c r="I351" s="20">
        <v>357</v>
      </c>
      <c r="J351" s="20">
        <v>357</v>
      </c>
      <c r="K351" s="20" t="s">
        <v>11</v>
      </c>
      <c r="L351" s="20">
        <v>357</v>
      </c>
      <c r="M351" s="20">
        <v>0</v>
      </c>
      <c r="N351" s="20">
        <v>357</v>
      </c>
      <c r="O351" s="20" t="s">
        <v>3788</v>
      </c>
      <c r="P351" s="20" t="s">
        <v>87</v>
      </c>
      <c r="Q351" s="20" t="s">
        <v>87</v>
      </c>
      <c r="R351" s="20" t="s">
        <v>3230</v>
      </c>
      <c r="S351" s="20" t="s">
        <v>3224</v>
      </c>
      <c r="T351" s="20" t="s">
        <v>206</v>
      </c>
      <c r="U351" s="20" t="s">
        <v>207</v>
      </c>
      <c r="V351" s="20" t="s">
        <v>3229</v>
      </c>
      <c r="W351" s="20">
        <v>148.49</v>
      </c>
      <c r="X351" s="20">
        <v>148.490000447315</v>
      </c>
      <c r="Y351" s="20" t="s">
        <v>3230</v>
      </c>
      <c r="Z351" s="20" t="s">
        <v>3224</v>
      </c>
      <c r="AB351" s="20" t="s">
        <v>2376</v>
      </c>
      <c r="AD351" s="20" t="s">
        <v>2376</v>
      </c>
      <c r="AE351" s="20" t="s">
        <v>2376</v>
      </c>
      <c r="AF351" s="20">
        <v>0</v>
      </c>
      <c r="AG351" s="20">
        <v>0</v>
      </c>
      <c r="AH351" s="20">
        <v>0</v>
      </c>
      <c r="AI351" s="20">
        <v>0</v>
      </c>
      <c r="AJ351" s="20">
        <v>0</v>
      </c>
      <c r="AK351" s="20" t="s">
        <v>609</v>
      </c>
      <c r="AL351" s="20">
        <v>0</v>
      </c>
      <c r="AM351" s="20">
        <v>0</v>
      </c>
      <c r="AN351" s="20">
        <v>0</v>
      </c>
      <c r="AO351" s="20">
        <v>0</v>
      </c>
      <c r="AP351" s="20">
        <v>0</v>
      </c>
      <c r="AR351" s="20">
        <v>0</v>
      </c>
      <c r="AS351" s="20">
        <v>0</v>
      </c>
      <c r="AT351" s="20">
        <v>995874.33</v>
      </c>
      <c r="AU351" s="20" t="s">
        <v>13</v>
      </c>
      <c r="AV351" s="20" t="s">
        <v>62</v>
      </c>
      <c r="AW351" s="20" t="s">
        <v>76</v>
      </c>
      <c r="AX351" s="20" t="s">
        <v>208</v>
      </c>
      <c r="AY351" s="20" t="s">
        <v>209</v>
      </c>
      <c r="AZ351" s="20">
        <v>0</v>
      </c>
      <c r="BA351" s="20">
        <v>53010.93</v>
      </c>
      <c r="BB351" s="20">
        <v>949</v>
      </c>
      <c r="BC351" s="20" t="s">
        <v>3224</v>
      </c>
      <c r="BD351" s="20" t="s">
        <v>65</v>
      </c>
      <c r="BE351" s="20" t="s">
        <v>210</v>
      </c>
      <c r="BF351" s="20" t="s">
        <v>210</v>
      </c>
      <c r="BG351" s="20">
        <v>9</v>
      </c>
      <c r="BH351" s="20">
        <v>4770.9799999999996</v>
      </c>
      <c r="BI351" s="20">
        <v>9</v>
      </c>
      <c r="BJ351" s="20">
        <v>4770.9799999999996</v>
      </c>
      <c r="BK351" s="20">
        <v>0</v>
      </c>
      <c r="BL351" s="20">
        <v>0</v>
      </c>
      <c r="BM351" s="20">
        <v>0</v>
      </c>
      <c r="BN351" s="20">
        <v>602150546805</v>
      </c>
      <c r="BO351" s="111">
        <v>46227</v>
      </c>
      <c r="BP351" s="20">
        <v>0</v>
      </c>
    </row>
    <row r="352" spans="2:68">
      <c r="B352" s="20" t="s">
        <v>2216</v>
      </c>
      <c r="C352" s="20" t="s">
        <v>3224</v>
      </c>
      <c r="D352" s="20" t="s">
        <v>3789</v>
      </c>
      <c r="E352" s="20" t="s">
        <v>18</v>
      </c>
      <c r="F352" s="20" t="s">
        <v>19</v>
      </c>
      <c r="H352" s="20" t="s">
        <v>3787</v>
      </c>
      <c r="I352" s="20">
        <v>5651</v>
      </c>
      <c r="J352" s="20">
        <v>5651</v>
      </c>
      <c r="K352" s="20" t="s">
        <v>11</v>
      </c>
      <c r="L352" s="20">
        <v>5651</v>
      </c>
      <c r="M352" s="20">
        <v>0</v>
      </c>
      <c r="N352" s="20">
        <v>5651</v>
      </c>
      <c r="O352" s="20" t="s">
        <v>2203</v>
      </c>
      <c r="P352" s="20" t="s">
        <v>87</v>
      </c>
      <c r="Q352" s="20" t="s">
        <v>87</v>
      </c>
      <c r="R352" s="20" t="s">
        <v>3232</v>
      </c>
      <c r="S352" s="20" t="s">
        <v>3224</v>
      </c>
      <c r="T352" s="20" t="s">
        <v>206</v>
      </c>
      <c r="U352" s="20" t="s">
        <v>207</v>
      </c>
      <c r="V352" s="20" t="s">
        <v>3231</v>
      </c>
      <c r="W352" s="20">
        <v>144.49</v>
      </c>
      <c r="X352" s="20">
        <v>144.49</v>
      </c>
      <c r="Y352" s="20" t="s">
        <v>3232</v>
      </c>
      <c r="Z352" s="20" t="s">
        <v>3224</v>
      </c>
      <c r="AB352" s="20" t="s">
        <v>2376</v>
      </c>
      <c r="AD352" s="20" t="s">
        <v>2376</v>
      </c>
      <c r="AE352" s="20" t="s">
        <v>2376</v>
      </c>
      <c r="AF352" s="20">
        <v>0</v>
      </c>
      <c r="AG352" s="20">
        <v>0</v>
      </c>
      <c r="AH352" s="20">
        <v>0</v>
      </c>
      <c r="AI352" s="20">
        <v>0</v>
      </c>
      <c r="AJ352" s="20">
        <v>0</v>
      </c>
      <c r="AK352" s="20" t="s">
        <v>609</v>
      </c>
      <c r="AL352" s="20">
        <v>0</v>
      </c>
      <c r="AM352" s="20">
        <v>0</v>
      </c>
      <c r="AN352" s="20">
        <v>0</v>
      </c>
      <c r="AO352" s="20">
        <v>0</v>
      </c>
      <c r="AP352" s="20">
        <v>0</v>
      </c>
      <c r="AR352" s="20">
        <v>0</v>
      </c>
      <c r="AS352" s="20">
        <v>0</v>
      </c>
      <c r="AT352" s="20">
        <v>1505343.97</v>
      </c>
      <c r="AU352" s="20" t="s">
        <v>13</v>
      </c>
      <c r="AV352" s="20" t="s">
        <v>62</v>
      </c>
      <c r="AW352" s="20" t="s">
        <v>63</v>
      </c>
      <c r="AX352" s="20" t="s">
        <v>208</v>
      </c>
      <c r="AY352" s="20" t="s">
        <v>209</v>
      </c>
      <c r="AZ352" s="20">
        <v>0</v>
      </c>
      <c r="BA352" s="20">
        <v>816512.99</v>
      </c>
      <c r="BB352" s="20">
        <v>947</v>
      </c>
      <c r="BC352" s="20" t="s">
        <v>3224</v>
      </c>
      <c r="BD352" s="20" t="s">
        <v>65</v>
      </c>
      <c r="BE352" s="20" t="s">
        <v>210</v>
      </c>
      <c r="BF352" s="20" t="s">
        <v>210</v>
      </c>
      <c r="BG352" s="20">
        <v>9</v>
      </c>
      <c r="BH352" s="20">
        <v>73486.17</v>
      </c>
      <c r="BI352" s="20">
        <v>9</v>
      </c>
      <c r="BJ352" s="20">
        <v>73486.17</v>
      </c>
      <c r="BK352" s="20">
        <v>0</v>
      </c>
      <c r="BL352" s="20">
        <v>0</v>
      </c>
      <c r="BM352" s="20">
        <v>1505343.97</v>
      </c>
      <c r="BN352" s="20">
        <v>632150422041</v>
      </c>
      <c r="BO352" s="111">
        <v>46227</v>
      </c>
      <c r="BP352" s="20">
        <v>0</v>
      </c>
    </row>
    <row r="353" spans="2:68">
      <c r="B353" s="20" t="s">
        <v>2216</v>
      </c>
      <c r="C353" s="20" t="s">
        <v>3224</v>
      </c>
      <c r="D353" s="20" t="s">
        <v>3789</v>
      </c>
      <c r="E353" s="20" t="s">
        <v>18</v>
      </c>
      <c r="F353" s="20" t="s">
        <v>19</v>
      </c>
      <c r="H353" s="20" t="s">
        <v>3787</v>
      </c>
      <c r="I353" s="20">
        <v>339</v>
      </c>
      <c r="J353" s="20">
        <v>339</v>
      </c>
      <c r="K353" s="20" t="s">
        <v>11</v>
      </c>
      <c r="L353" s="20">
        <v>339</v>
      </c>
      <c r="M353" s="20">
        <v>0</v>
      </c>
      <c r="N353" s="20">
        <v>339</v>
      </c>
      <c r="O353" s="20" t="s">
        <v>2203</v>
      </c>
      <c r="P353" s="20" t="s">
        <v>87</v>
      </c>
      <c r="Q353" s="20" t="s">
        <v>87</v>
      </c>
      <c r="R353" s="20" t="s">
        <v>3232</v>
      </c>
      <c r="S353" s="20" t="s">
        <v>3224</v>
      </c>
      <c r="T353" s="20" t="s">
        <v>206</v>
      </c>
      <c r="U353" s="20" t="s">
        <v>207</v>
      </c>
      <c r="V353" s="20" t="s">
        <v>3231</v>
      </c>
      <c r="W353" s="20">
        <v>147.49</v>
      </c>
      <c r="X353" s="20">
        <v>147.49</v>
      </c>
      <c r="Y353" s="20" t="s">
        <v>3232</v>
      </c>
      <c r="Z353" s="20" t="s">
        <v>3224</v>
      </c>
      <c r="AB353" s="20" t="s">
        <v>2376</v>
      </c>
      <c r="AD353" s="20" t="s">
        <v>2376</v>
      </c>
      <c r="AE353" s="20" t="s">
        <v>2376</v>
      </c>
      <c r="AF353" s="20">
        <v>0</v>
      </c>
      <c r="AG353" s="20">
        <v>0</v>
      </c>
      <c r="AH353" s="20">
        <v>0</v>
      </c>
      <c r="AI353" s="20">
        <v>0</v>
      </c>
      <c r="AJ353" s="20">
        <v>0</v>
      </c>
      <c r="AK353" s="20" t="s">
        <v>609</v>
      </c>
      <c r="AL353" s="20">
        <v>0</v>
      </c>
      <c r="AM353" s="20">
        <v>0</v>
      </c>
      <c r="AN353" s="20">
        <v>0</v>
      </c>
      <c r="AO353" s="20">
        <v>0</v>
      </c>
      <c r="AP353" s="20">
        <v>0</v>
      </c>
      <c r="AR353" s="20">
        <v>0</v>
      </c>
      <c r="AS353" s="20">
        <v>0</v>
      </c>
      <c r="AT353" s="20">
        <v>1505343.97</v>
      </c>
      <c r="AU353" s="20" t="s">
        <v>13</v>
      </c>
      <c r="AV353" s="20" t="s">
        <v>62</v>
      </c>
      <c r="AW353" s="20" t="s">
        <v>63</v>
      </c>
      <c r="AX353" s="20" t="s">
        <v>208</v>
      </c>
      <c r="AY353" s="20" t="s">
        <v>209</v>
      </c>
      <c r="AZ353" s="20">
        <v>0</v>
      </c>
      <c r="BA353" s="20">
        <v>49999.11</v>
      </c>
      <c r="BB353" s="20">
        <v>947</v>
      </c>
      <c r="BC353" s="20" t="s">
        <v>3224</v>
      </c>
      <c r="BD353" s="20" t="s">
        <v>65</v>
      </c>
      <c r="BE353" s="20" t="s">
        <v>210</v>
      </c>
      <c r="BF353" s="20" t="s">
        <v>210</v>
      </c>
      <c r="BG353" s="20">
        <v>9</v>
      </c>
      <c r="BH353" s="20">
        <v>4499.92</v>
      </c>
      <c r="BI353" s="20">
        <v>9</v>
      </c>
      <c r="BJ353" s="20">
        <v>4499.92</v>
      </c>
      <c r="BK353" s="20">
        <v>0</v>
      </c>
      <c r="BL353" s="20">
        <v>0</v>
      </c>
      <c r="BM353" s="20">
        <v>0</v>
      </c>
      <c r="BN353" s="20">
        <v>632150422041</v>
      </c>
      <c r="BO353" s="111">
        <v>46227</v>
      </c>
      <c r="BP353" s="20">
        <v>0</v>
      </c>
    </row>
    <row r="354" spans="2:68">
      <c r="B354" s="20" t="s">
        <v>2216</v>
      </c>
      <c r="C354" s="20" t="s">
        <v>3224</v>
      </c>
      <c r="D354" s="20" t="s">
        <v>3789</v>
      </c>
      <c r="E354" s="20" t="s">
        <v>18</v>
      </c>
      <c r="F354" s="20" t="s">
        <v>19</v>
      </c>
      <c r="H354" s="20" t="s">
        <v>3787</v>
      </c>
      <c r="I354" s="20">
        <v>1085</v>
      </c>
      <c r="J354" s="20">
        <v>1085</v>
      </c>
      <c r="K354" s="20" t="s">
        <v>11</v>
      </c>
      <c r="L354" s="20">
        <v>1085</v>
      </c>
      <c r="M354" s="20">
        <v>0</v>
      </c>
      <c r="N354" s="20">
        <v>1085</v>
      </c>
      <c r="O354" s="20" t="s">
        <v>2203</v>
      </c>
      <c r="P354" s="20" t="s">
        <v>87</v>
      </c>
      <c r="Q354" s="20" t="s">
        <v>87</v>
      </c>
      <c r="R354" s="20" t="s">
        <v>3232</v>
      </c>
      <c r="S354" s="20" t="s">
        <v>3224</v>
      </c>
      <c r="T354" s="20" t="s">
        <v>206</v>
      </c>
      <c r="U354" s="20" t="s">
        <v>207</v>
      </c>
      <c r="V354" s="20" t="s">
        <v>3231</v>
      </c>
      <c r="W354" s="20">
        <v>146.49</v>
      </c>
      <c r="X354" s="20">
        <v>146.49</v>
      </c>
      <c r="Y354" s="20" t="s">
        <v>3232</v>
      </c>
      <c r="Z354" s="20" t="s">
        <v>3224</v>
      </c>
      <c r="AB354" s="20" t="s">
        <v>2376</v>
      </c>
      <c r="AD354" s="20" t="s">
        <v>2376</v>
      </c>
      <c r="AE354" s="20" t="s">
        <v>2376</v>
      </c>
      <c r="AF354" s="20">
        <v>0</v>
      </c>
      <c r="AG354" s="20">
        <v>0</v>
      </c>
      <c r="AH354" s="20">
        <v>0</v>
      </c>
      <c r="AI354" s="20">
        <v>0</v>
      </c>
      <c r="AJ354" s="20">
        <v>0</v>
      </c>
      <c r="AK354" s="20" t="s">
        <v>609</v>
      </c>
      <c r="AL354" s="20">
        <v>0</v>
      </c>
      <c r="AM354" s="20">
        <v>0</v>
      </c>
      <c r="AN354" s="20">
        <v>0</v>
      </c>
      <c r="AO354" s="20">
        <v>0</v>
      </c>
      <c r="AP354" s="20">
        <v>0</v>
      </c>
      <c r="AR354" s="20">
        <v>0</v>
      </c>
      <c r="AS354" s="20">
        <v>0</v>
      </c>
      <c r="AT354" s="20">
        <v>1505343.97</v>
      </c>
      <c r="AU354" s="20" t="s">
        <v>13</v>
      </c>
      <c r="AV354" s="20" t="s">
        <v>62</v>
      </c>
      <c r="AW354" s="20" t="s">
        <v>63</v>
      </c>
      <c r="AX354" s="20" t="s">
        <v>208</v>
      </c>
      <c r="AY354" s="20" t="s">
        <v>209</v>
      </c>
      <c r="AZ354" s="20">
        <v>0</v>
      </c>
      <c r="BA354" s="20">
        <v>158941.65</v>
      </c>
      <c r="BB354" s="20">
        <v>947</v>
      </c>
      <c r="BC354" s="20" t="s">
        <v>3224</v>
      </c>
      <c r="BD354" s="20" t="s">
        <v>65</v>
      </c>
      <c r="BE354" s="20" t="s">
        <v>210</v>
      </c>
      <c r="BF354" s="20" t="s">
        <v>210</v>
      </c>
      <c r="BG354" s="20">
        <v>9</v>
      </c>
      <c r="BH354" s="20">
        <v>14304.75</v>
      </c>
      <c r="BI354" s="20">
        <v>9</v>
      </c>
      <c r="BJ354" s="20">
        <v>14304.75</v>
      </c>
      <c r="BK354" s="20">
        <v>0</v>
      </c>
      <c r="BL354" s="20">
        <v>0</v>
      </c>
      <c r="BM354" s="20">
        <v>0</v>
      </c>
      <c r="BN354" s="20">
        <v>632150422041</v>
      </c>
      <c r="BO354" s="111">
        <v>46227</v>
      </c>
      <c r="BP354" s="20">
        <v>0</v>
      </c>
    </row>
    <row r="355" spans="2:68">
      <c r="B355" s="20" t="s">
        <v>2216</v>
      </c>
      <c r="C355" s="20" t="s">
        <v>3224</v>
      </c>
      <c r="D355" s="20" t="s">
        <v>3789</v>
      </c>
      <c r="E355" s="20" t="s">
        <v>20</v>
      </c>
      <c r="F355" s="20" t="s">
        <v>21</v>
      </c>
      <c r="H355" s="20" t="s">
        <v>3787</v>
      </c>
      <c r="I355" s="20">
        <v>1652</v>
      </c>
      <c r="J355" s="20">
        <v>1652</v>
      </c>
      <c r="K355" s="20" t="s">
        <v>11</v>
      </c>
      <c r="L355" s="20">
        <v>1652</v>
      </c>
      <c r="M355" s="20">
        <v>0</v>
      </c>
      <c r="N355" s="20">
        <v>1652</v>
      </c>
      <c r="O355" s="20" t="s">
        <v>2203</v>
      </c>
      <c r="P355" s="20" t="s">
        <v>87</v>
      </c>
      <c r="Q355" s="20" t="s">
        <v>87</v>
      </c>
      <c r="R355" s="20" t="s">
        <v>3232</v>
      </c>
      <c r="S355" s="20" t="s">
        <v>3224</v>
      </c>
      <c r="T355" s="20" t="s">
        <v>206</v>
      </c>
      <c r="U355" s="20" t="s">
        <v>207</v>
      </c>
      <c r="V355" s="20" t="s">
        <v>3231</v>
      </c>
      <c r="W355" s="20">
        <v>151.49</v>
      </c>
      <c r="X355" s="20">
        <v>151.49</v>
      </c>
      <c r="Y355" s="20" t="s">
        <v>3232</v>
      </c>
      <c r="Z355" s="20" t="s">
        <v>3224</v>
      </c>
      <c r="AB355" s="20" t="s">
        <v>2376</v>
      </c>
      <c r="AD355" s="20" t="s">
        <v>2376</v>
      </c>
      <c r="AE355" s="20" t="s">
        <v>2376</v>
      </c>
      <c r="AF355" s="20">
        <v>0</v>
      </c>
      <c r="AG355" s="20">
        <v>0</v>
      </c>
      <c r="AH355" s="20">
        <v>0</v>
      </c>
      <c r="AI355" s="20">
        <v>0</v>
      </c>
      <c r="AJ355" s="20">
        <v>0</v>
      </c>
      <c r="AK355" s="20" t="s">
        <v>609</v>
      </c>
      <c r="AL355" s="20">
        <v>0</v>
      </c>
      <c r="AM355" s="20">
        <v>0</v>
      </c>
      <c r="AN355" s="20">
        <v>0</v>
      </c>
      <c r="AO355" s="20">
        <v>0</v>
      </c>
      <c r="AP355" s="20">
        <v>0</v>
      </c>
      <c r="AR355" s="20">
        <v>0</v>
      </c>
      <c r="AS355" s="20">
        <v>0</v>
      </c>
      <c r="AT355" s="20">
        <v>1505343.97</v>
      </c>
      <c r="AU355" s="20" t="s">
        <v>13</v>
      </c>
      <c r="AV355" s="20" t="s">
        <v>62</v>
      </c>
      <c r="AW355" s="20" t="s">
        <v>76</v>
      </c>
      <c r="AX355" s="20" t="s">
        <v>208</v>
      </c>
      <c r="AY355" s="20" t="s">
        <v>209</v>
      </c>
      <c r="AZ355" s="20">
        <v>0</v>
      </c>
      <c r="BA355" s="20">
        <v>250261.48</v>
      </c>
      <c r="BB355" s="20">
        <v>947</v>
      </c>
      <c r="BC355" s="20" t="s">
        <v>3224</v>
      </c>
      <c r="BD355" s="20" t="s">
        <v>65</v>
      </c>
      <c r="BE355" s="20" t="s">
        <v>210</v>
      </c>
      <c r="BF355" s="20" t="s">
        <v>210</v>
      </c>
      <c r="BG355" s="20">
        <v>9</v>
      </c>
      <c r="BH355" s="20">
        <v>22523.53</v>
      </c>
      <c r="BI355" s="20">
        <v>9</v>
      </c>
      <c r="BJ355" s="20">
        <v>22523.53</v>
      </c>
      <c r="BK355" s="20">
        <v>0</v>
      </c>
      <c r="BL355" s="20">
        <v>0</v>
      </c>
      <c r="BM355" s="20">
        <v>0</v>
      </c>
      <c r="BN355" s="20">
        <v>632150422041</v>
      </c>
      <c r="BO355" s="111">
        <v>46227</v>
      </c>
      <c r="BP355" s="20">
        <v>0</v>
      </c>
    </row>
    <row r="356" spans="2:68">
      <c r="B356" s="20" t="s">
        <v>2216</v>
      </c>
      <c r="C356" s="20" t="s">
        <v>3237</v>
      </c>
      <c r="D356" s="20" t="s">
        <v>3790</v>
      </c>
      <c r="E356" s="20" t="s">
        <v>20</v>
      </c>
      <c r="F356" s="20" t="s">
        <v>21</v>
      </c>
      <c r="H356" s="20" t="s">
        <v>3791</v>
      </c>
      <c r="I356" s="20">
        <v>548</v>
      </c>
      <c r="J356" s="20">
        <v>548</v>
      </c>
      <c r="K356" s="20" t="s">
        <v>11</v>
      </c>
      <c r="L356" s="20">
        <v>548</v>
      </c>
      <c r="M356" s="20">
        <v>0</v>
      </c>
      <c r="N356" s="20">
        <v>548</v>
      </c>
      <c r="O356" s="20" t="s">
        <v>2203</v>
      </c>
      <c r="P356" s="20" t="s">
        <v>87</v>
      </c>
      <c r="Q356" s="20" t="s">
        <v>87</v>
      </c>
      <c r="R356" s="20" t="s">
        <v>3241</v>
      </c>
      <c r="S356" s="20" t="s">
        <v>3237</v>
      </c>
      <c r="T356" s="20" t="s">
        <v>206</v>
      </c>
      <c r="U356" s="20" t="s">
        <v>207</v>
      </c>
      <c r="V356" s="20" t="s">
        <v>3240</v>
      </c>
      <c r="W356" s="20">
        <v>148.49</v>
      </c>
      <c r="X356" s="20">
        <v>148.49000161550401</v>
      </c>
      <c r="Y356" s="20" t="s">
        <v>3241</v>
      </c>
      <c r="Z356" s="20" t="s">
        <v>3237</v>
      </c>
      <c r="AB356" s="20" t="s">
        <v>2376</v>
      </c>
      <c r="AD356" s="20" t="s">
        <v>2376</v>
      </c>
      <c r="AE356" s="20" t="s">
        <v>2376</v>
      </c>
      <c r="AF356" s="20">
        <v>0</v>
      </c>
      <c r="AG356" s="20">
        <v>0</v>
      </c>
      <c r="AH356" s="20">
        <v>0</v>
      </c>
      <c r="AI356" s="20">
        <v>0</v>
      </c>
      <c r="AJ356" s="20">
        <v>0</v>
      </c>
      <c r="AK356" s="20" t="s">
        <v>609</v>
      </c>
      <c r="AL356" s="20">
        <v>0</v>
      </c>
      <c r="AM356" s="20">
        <v>0</v>
      </c>
      <c r="AN356" s="20">
        <v>0</v>
      </c>
      <c r="AO356" s="20">
        <v>0</v>
      </c>
      <c r="AP356" s="20">
        <v>0</v>
      </c>
      <c r="AR356" s="20">
        <v>0</v>
      </c>
      <c r="AS356" s="20">
        <v>0</v>
      </c>
      <c r="AT356" s="20">
        <v>643409.07999999996</v>
      </c>
      <c r="AU356" s="20" t="s">
        <v>13</v>
      </c>
      <c r="AV356" s="20" t="s">
        <v>62</v>
      </c>
      <c r="AW356" s="20" t="s">
        <v>76</v>
      </c>
      <c r="AX356" s="20" t="s">
        <v>208</v>
      </c>
      <c r="AY356" s="20" t="s">
        <v>209</v>
      </c>
      <c r="AZ356" s="20">
        <v>0</v>
      </c>
      <c r="BA356" s="20">
        <v>81372.52</v>
      </c>
      <c r="BB356" s="20">
        <v>964</v>
      </c>
      <c r="BC356" s="20" t="s">
        <v>3237</v>
      </c>
      <c r="BD356" s="20" t="s">
        <v>65</v>
      </c>
      <c r="BE356" s="20" t="s">
        <v>210</v>
      </c>
      <c r="BF356" s="20" t="s">
        <v>210</v>
      </c>
      <c r="BG356" s="20">
        <v>9</v>
      </c>
      <c r="BH356" s="20">
        <v>7323.53</v>
      </c>
      <c r="BI356" s="20">
        <v>9</v>
      </c>
      <c r="BJ356" s="20">
        <v>7323.53</v>
      </c>
      <c r="BK356" s="20">
        <v>0</v>
      </c>
      <c r="BL356" s="20">
        <v>0</v>
      </c>
      <c r="BM356" s="20">
        <v>643409.07999999996</v>
      </c>
      <c r="BN356" s="20">
        <v>682151061187</v>
      </c>
      <c r="BO356" s="111">
        <v>46228</v>
      </c>
      <c r="BP356" s="20">
        <v>0</v>
      </c>
    </row>
    <row r="357" spans="2:68">
      <c r="B357" s="20" t="s">
        <v>2216</v>
      </c>
      <c r="C357" s="20" t="s">
        <v>3237</v>
      </c>
      <c r="D357" s="20" t="s">
        <v>3790</v>
      </c>
      <c r="E357" s="20" t="s">
        <v>23</v>
      </c>
      <c r="F357" s="20" t="s">
        <v>24</v>
      </c>
      <c r="H357" s="20" t="s">
        <v>3791</v>
      </c>
      <c r="I357" s="20">
        <v>1276.3</v>
      </c>
      <c r="J357" s="20">
        <v>1276.3</v>
      </c>
      <c r="K357" s="20" t="s">
        <v>11</v>
      </c>
      <c r="L357" s="20">
        <v>1276.3</v>
      </c>
      <c r="M357" s="20">
        <v>0</v>
      </c>
      <c r="N357" s="20">
        <v>1276.3</v>
      </c>
      <c r="O357" s="20" t="s">
        <v>2203</v>
      </c>
      <c r="P357" s="20" t="s">
        <v>87</v>
      </c>
      <c r="Q357" s="20" t="s">
        <v>87</v>
      </c>
      <c r="R357" s="20" t="s">
        <v>3241</v>
      </c>
      <c r="S357" s="20" t="s">
        <v>3237</v>
      </c>
      <c r="T357" s="20" t="s">
        <v>206</v>
      </c>
      <c r="U357" s="20" t="s">
        <v>207</v>
      </c>
      <c r="V357" s="20" t="s">
        <v>3240</v>
      </c>
      <c r="W357" s="20">
        <v>149.49</v>
      </c>
      <c r="X357" s="20">
        <v>149.49000162638399</v>
      </c>
      <c r="Y357" s="20" t="s">
        <v>3241</v>
      </c>
      <c r="Z357" s="20" t="s">
        <v>3237</v>
      </c>
      <c r="AB357" s="20" t="s">
        <v>2376</v>
      </c>
      <c r="AD357" s="20" t="s">
        <v>2376</v>
      </c>
      <c r="AE357" s="20" t="s">
        <v>2376</v>
      </c>
      <c r="AF357" s="20">
        <v>0</v>
      </c>
      <c r="AG357" s="20">
        <v>0</v>
      </c>
      <c r="AH357" s="20">
        <v>0</v>
      </c>
      <c r="AI357" s="20">
        <v>0</v>
      </c>
      <c r="AJ357" s="20">
        <v>0</v>
      </c>
      <c r="AK357" s="20" t="s">
        <v>609</v>
      </c>
      <c r="AL357" s="20">
        <v>0</v>
      </c>
      <c r="AM357" s="20">
        <v>0</v>
      </c>
      <c r="AN357" s="20">
        <v>0</v>
      </c>
      <c r="AO357" s="20">
        <v>0</v>
      </c>
      <c r="AP357" s="20">
        <v>0</v>
      </c>
      <c r="AR357" s="20">
        <v>0</v>
      </c>
      <c r="AS357" s="20">
        <v>0</v>
      </c>
      <c r="AT357" s="20">
        <v>643409.07999999996</v>
      </c>
      <c r="AU357" s="20" t="s">
        <v>13</v>
      </c>
      <c r="AV357" s="20" t="s">
        <v>24</v>
      </c>
      <c r="AW357" s="20" t="s">
        <v>79</v>
      </c>
      <c r="AX357" s="20" t="s">
        <v>208</v>
      </c>
      <c r="AY357" s="20" t="s">
        <v>209</v>
      </c>
      <c r="AZ357" s="20">
        <v>0</v>
      </c>
      <c r="BA357" s="20">
        <v>190794.09</v>
      </c>
      <c r="BB357" s="20">
        <v>964</v>
      </c>
      <c r="BC357" s="20" t="s">
        <v>3237</v>
      </c>
      <c r="BD357" s="20" t="s">
        <v>65</v>
      </c>
      <c r="BE357" s="20" t="s">
        <v>210</v>
      </c>
      <c r="BF357" s="20" t="s">
        <v>210</v>
      </c>
      <c r="BG357" s="20">
        <v>9</v>
      </c>
      <c r="BH357" s="20">
        <v>17171.47</v>
      </c>
      <c r="BI357" s="20">
        <v>9</v>
      </c>
      <c r="BJ357" s="20">
        <v>17171.47</v>
      </c>
      <c r="BK357" s="20">
        <v>0</v>
      </c>
      <c r="BL357" s="20">
        <v>0</v>
      </c>
      <c r="BM357" s="20">
        <v>0</v>
      </c>
      <c r="BN357" s="20">
        <v>682151061187</v>
      </c>
      <c r="BO357" s="111">
        <v>46228</v>
      </c>
      <c r="BP357" s="20">
        <v>0</v>
      </c>
    </row>
    <row r="358" spans="2:68">
      <c r="B358" s="20" t="s">
        <v>2216</v>
      </c>
      <c r="C358" s="20" t="s">
        <v>3237</v>
      </c>
      <c r="D358" s="20" t="s">
        <v>3790</v>
      </c>
      <c r="E358" s="20" t="s">
        <v>23</v>
      </c>
      <c r="F358" s="20" t="s">
        <v>24</v>
      </c>
      <c r="H358" s="20" t="s">
        <v>3791</v>
      </c>
      <c r="I358" s="20">
        <v>770.4</v>
      </c>
      <c r="J358" s="20">
        <v>770.4</v>
      </c>
      <c r="K358" s="20" t="s">
        <v>11</v>
      </c>
      <c r="L358" s="20">
        <v>770.4</v>
      </c>
      <c r="M358" s="20">
        <v>0</v>
      </c>
      <c r="N358" s="20">
        <v>770.4</v>
      </c>
      <c r="O358" s="20" t="s">
        <v>2203</v>
      </c>
      <c r="P358" s="20" t="s">
        <v>87</v>
      </c>
      <c r="Q358" s="20" t="s">
        <v>87</v>
      </c>
      <c r="R358" s="20" t="s">
        <v>3241</v>
      </c>
      <c r="S358" s="20" t="s">
        <v>3237</v>
      </c>
      <c r="T358" s="20" t="s">
        <v>206</v>
      </c>
      <c r="U358" s="20" t="s">
        <v>207</v>
      </c>
      <c r="V358" s="20" t="s">
        <v>3240</v>
      </c>
      <c r="W358" s="20">
        <v>146.49</v>
      </c>
      <c r="X358" s="20">
        <v>146.49000159374501</v>
      </c>
      <c r="Y358" s="20" t="s">
        <v>3241</v>
      </c>
      <c r="Z358" s="20" t="s">
        <v>3237</v>
      </c>
      <c r="AB358" s="20" t="s">
        <v>2376</v>
      </c>
      <c r="AD358" s="20" t="s">
        <v>2376</v>
      </c>
      <c r="AE358" s="20" t="s">
        <v>2376</v>
      </c>
      <c r="AF358" s="20">
        <v>0</v>
      </c>
      <c r="AG358" s="20">
        <v>0</v>
      </c>
      <c r="AH358" s="20">
        <v>0</v>
      </c>
      <c r="AI358" s="20">
        <v>0</v>
      </c>
      <c r="AJ358" s="20">
        <v>0</v>
      </c>
      <c r="AK358" s="20" t="s">
        <v>609</v>
      </c>
      <c r="AL358" s="20">
        <v>0</v>
      </c>
      <c r="AM358" s="20">
        <v>0</v>
      </c>
      <c r="AN358" s="20">
        <v>0</v>
      </c>
      <c r="AO358" s="20">
        <v>0</v>
      </c>
      <c r="AP358" s="20">
        <v>0</v>
      </c>
      <c r="AR358" s="20">
        <v>0</v>
      </c>
      <c r="AS358" s="20">
        <v>0</v>
      </c>
      <c r="AT358" s="20">
        <v>643409.07999999996</v>
      </c>
      <c r="AU358" s="20" t="s">
        <v>13</v>
      </c>
      <c r="AV358" s="20" t="s">
        <v>24</v>
      </c>
      <c r="AW358" s="20" t="s">
        <v>79</v>
      </c>
      <c r="AX358" s="20" t="s">
        <v>208</v>
      </c>
      <c r="AY358" s="20" t="s">
        <v>209</v>
      </c>
      <c r="AZ358" s="20">
        <v>0</v>
      </c>
      <c r="BA358" s="20">
        <v>112855.9</v>
      </c>
      <c r="BB358" s="20">
        <v>964</v>
      </c>
      <c r="BC358" s="20" t="s">
        <v>3237</v>
      </c>
      <c r="BD358" s="20" t="s">
        <v>65</v>
      </c>
      <c r="BE358" s="20" t="s">
        <v>210</v>
      </c>
      <c r="BF358" s="20" t="s">
        <v>210</v>
      </c>
      <c r="BG358" s="20">
        <v>9</v>
      </c>
      <c r="BH358" s="20">
        <v>10157.030000000001</v>
      </c>
      <c r="BI358" s="20">
        <v>9</v>
      </c>
      <c r="BJ358" s="20">
        <v>10157.030000000001</v>
      </c>
      <c r="BK358" s="20">
        <v>0</v>
      </c>
      <c r="BL358" s="20">
        <v>0</v>
      </c>
      <c r="BM358" s="20">
        <v>0</v>
      </c>
      <c r="BN358" s="20">
        <v>682151061187</v>
      </c>
      <c r="BO358" s="111">
        <v>46228</v>
      </c>
      <c r="BP358" s="20">
        <v>0</v>
      </c>
    </row>
    <row r="359" spans="2:68">
      <c r="B359" s="20" t="s">
        <v>2216</v>
      </c>
      <c r="C359" s="20" t="s">
        <v>3237</v>
      </c>
      <c r="D359" s="20" t="s">
        <v>3790</v>
      </c>
      <c r="E359" s="20" t="s">
        <v>18</v>
      </c>
      <c r="F359" s="20" t="s">
        <v>19</v>
      </c>
      <c r="H359" s="20" t="s">
        <v>3791</v>
      </c>
      <c r="I359" s="20">
        <v>1109</v>
      </c>
      <c r="J359" s="20">
        <v>1109</v>
      </c>
      <c r="K359" s="20" t="s">
        <v>11</v>
      </c>
      <c r="L359" s="20">
        <v>1109</v>
      </c>
      <c r="M359" s="20">
        <v>0</v>
      </c>
      <c r="N359" s="20">
        <v>1109</v>
      </c>
      <c r="O359" s="20" t="s">
        <v>2203</v>
      </c>
      <c r="P359" s="20" t="s">
        <v>87</v>
      </c>
      <c r="Q359" s="20" t="s">
        <v>87</v>
      </c>
      <c r="R359" s="20" t="s">
        <v>3241</v>
      </c>
      <c r="S359" s="20" t="s">
        <v>3237</v>
      </c>
      <c r="T359" s="20" t="s">
        <v>206</v>
      </c>
      <c r="U359" s="20" t="s">
        <v>207</v>
      </c>
      <c r="V359" s="20" t="s">
        <v>3240</v>
      </c>
      <c r="W359" s="20">
        <v>144.49</v>
      </c>
      <c r="X359" s="20">
        <v>144.490001571986</v>
      </c>
      <c r="Y359" s="20" t="s">
        <v>3241</v>
      </c>
      <c r="Z359" s="20" t="s">
        <v>3237</v>
      </c>
      <c r="AB359" s="20" t="s">
        <v>2376</v>
      </c>
      <c r="AD359" s="20" t="s">
        <v>2376</v>
      </c>
      <c r="AE359" s="20" t="s">
        <v>2376</v>
      </c>
      <c r="AF359" s="20">
        <v>0</v>
      </c>
      <c r="AG359" s="20">
        <v>0</v>
      </c>
      <c r="AH359" s="20">
        <v>0</v>
      </c>
      <c r="AI359" s="20">
        <v>0</v>
      </c>
      <c r="AJ359" s="20">
        <v>0</v>
      </c>
      <c r="AK359" s="20" t="s">
        <v>609</v>
      </c>
      <c r="AL359" s="20">
        <v>0</v>
      </c>
      <c r="AM359" s="20">
        <v>0</v>
      </c>
      <c r="AN359" s="20">
        <v>0</v>
      </c>
      <c r="AO359" s="20">
        <v>0</v>
      </c>
      <c r="AP359" s="20">
        <v>0</v>
      </c>
      <c r="AR359" s="20">
        <v>0</v>
      </c>
      <c r="AS359" s="20">
        <v>0</v>
      </c>
      <c r="AT359" s="20">
        <v>643409.07999999996</v>
      </c>
      <c r="AU359" s="20" t="s">
        <v>13</v>
      </c>
      <c r="AV359" s="20" t="s">
        <v>62</v>
      </c>
      <c r="AW359" s="20" t="s">
        <v>63</v>
      </c>
      <c r="AX359" s="20" t="s">
        <v>208</v>
      </c>
      <c r="AY359" s="20" t="s">
        <v>209</v>
      </c>
      <c r="AZ359" s="20">
        <v>0</v>
      </c>
      <c r="BA359" s="20">
        <v>160239.41</v>
      </c>
      <c r="BB359" s="20">
        <v>964</v>
      </c>
      <c r="BC359" s="20" t="s">
        <v>3237</v>
      </c>
      <c r="BD359" s="20" t="s">
        <v>65</v>
      </c>
      <c r="BE359" s="20" t="s">
        <v>210</v>
      </c>
      <c r="BF359" s="20" t="s">
        <v>210</v>
      </c>
      <c r="BG359" s="20">
        <v>9</v>
      </c>
      <c r="BH359" s="20">
        <v>14421.55</v>
      </c>
      <c r="BI359" s="20">
        <v>9</v>
      </c>
      <c r="BJ359" s="20">
        <v>14421.55</v>
      </c>
      <c r="BK359" s="20">
        <v>0</v>
      </c>
      <c r="BL359" s="20">
        <v>0</v>
      </c>
      <c r="BM359" s="20">
        <v>0</v>
      </c>
      <c r="BN359" s="20">
        <v>682151061187</v>
      </c>
      <c r="BO359" s="111">
        <v>46228</v>
      </c>
      <c r="BP359" s="20">
        <v>0</v>
      </c>
    </row>
    <row r="360" spans="2:68">
      <c r="B360" s="20" t="s">
        <v>2216</v>
      </c>
      <c r="C360" s="20" t="s">
        <v>3237</v>
      </c>
      <c r="D360" s="20" t="s">
        <v>3792</v>
      </c>
      <c r="E360" s="20" t="s">
        <v>18</v>
      </c>
      <c r="F360" s="20" t="s">
        <v>19</v>
      </c>
      <c r="H360" s="20" t="s">
        <v>3791</v>
      </c>
      <c r="I360" s="20">
        <v>7719</v>
      </c>
      <c r="J360" s="20">
        <v>7719</v>
      </c>
      <c r="K360" s="20" t="s">
        <v>11</v>
      </c>
      <c r="L360" s="20">
        <v>7719</v>
      </c>
      <c r="M360" s="20">
        <v>0</v>
      </c>
      <c r="N360" s="20">
        <v>7719</v>
      </c>
      <c r="O360" s="20" t="s">
        <v>2203</v>
      </c>
      <c r="P360" s="20" t="s">
        <v>87</v>
      </c>
      <c r="Q360" s="20" t="s">
        <v>87</v>
      </c>
      <c r="R360" s="20" t="s">
        <v>3243</v>
      </c>
      <c r="S360" s="20" t="s">
        <v>3237</v>
      </c>
      <c r="T360" s="20" t="s">
        <v>206</v>
      </c>
      <c r="U360" s="20" t="s">
        <v>207</v>
      </c>
      <c r="V360" s="20" t="s">
        <v>3242</v>
      </c>
      <c r="W360" s="20">
        <v>144.49</v>
      </c>
      <c r="X360" s="20">
        <v>144.49</v>
      </c>
      <c r="Y360" s="20" t="s">
        <v>3243</v>
      </c>
      <c r="Z360" s="20" t="s">
        <v>3237</v>
      </c>
      <c r="AB360" s="20" t="s">
        <v>2376</v>
      </c>
      <c r="AD360" s="20" t="s">
        <v>2376</v>
      </c>
      <c r="AE360" s="20" t="s">
        <v>2376</v>
      </c>
      <c r="AF360" s="20">
        <v>0</v>
      </c>
      <c r="AG360" s="20">
        <v>0</v>
      </c>
      <c r="AH360" s="20">
        <v>0</v>
      </c>
      <c r="AI360" s="20">
        <v>0</v>
      </c>
      <c r="AJ360" s="20">
        <v>0</v>
      </c>
      <c r="AK360" s="20" t="s">
        <v>609</v>
      </c>
      <c r="AL360" s="20">
        <v>0</v>
      </c>
      <c r="AM360" s="20">
        <v>0</v>
      </c>
      <c r="AN360" s="20">
        <v>0</v>
      </c>
      <c r="AO360" s="20">
        <v>0</v>
      </c>
      <c r="AP360" s="20">
        <v>0</v>
      </c>
      <c r="AR360" s="20">
        <v>0</v>
      </c>
      <c r="AS360" s="20">
        <v>0</v>
      </c>
      <c r="AT360" s="20">
        <v>1405616.15</v>
      </c>
      <c r="AU360" s="20" t="s">
        <v>13</v>
      </c>
      <c r="AV360" s="20" t="s">
        <v>62</v>
      </c>
      <c r="AW360" s="20" t="s">
        <v>63</v>
      </c>
      <c r="AX360" s="20" t="s">
        <v>208</v>
      </c>
      <c r="AY360" s="20" t="s">
        <v>209</v>
      </c>
      <c r="AZ360" s="20">
        <v>0</v>
      </c>
      <c r="BA360" s="20">
        <v>1115318.31</v>
      </c>
      <c r="BB360" s="20">
        <v>955</v>
      </c>
      <c r="BC360" s="20" t="s">
        <v>3237</v>
      </c>
      <c r="BD360" s="20" t="s">
        <v>65</v>
      </c>
      <c r="BE360" s="20" t="s">
        <v>210</v>
      </c>
      <c r="BF360" s="20" t="s">
        <v>210</v>
      </c>
      <c r="BG360" s="20">
        <v>9</v>
      </c>
      <c r="BH360" s="20">
        <v>100378.65</v>
      </c>
      <c r="BI360" s="20">
        <v>9</v>
      </c>
      <c r="BJ360" s="20">
        <v>100378.65</v>
      </c>
      <c r="BK360" s="20">
        <v>0</v>
      </c>
      <c r="BL360" s="20">
        <v>0</v>
      </c>
      <c r="BM360" s="20">
        <v>1405616.15</v>
      </c>
      <c r="BN360" s="20">
        <v>652150845020</v>
      </c>
      <c r="BO360" s="111">
        <v>46228</v>
      </c>
      <c r="BP360" s="20">
        <v>0</v>
      </c>
    </row>
    <row r="361" spans="2:68">
      <c r="B361" s="20" t="s">
        <v>2216</v>
      </c>
      <c r="C361" s="20" t="s">
        <v>3237</v>
      </c>
      <c r="D361" s="20" t="s">
        <v>3792</v>
      </c>
      <c r="E361" s="20" t="s">
        <v>18</v>
      </c>
      <c r="F361" s="20" t="s">
        <v>19</v>
      </c>
      <c r="H361" s="20" t="s">
        <v>3791</v>
      </c>
      <c r="I361" s="20">
        <v>518</v>
      </c>
      <c r="J361" s="20">
        <v>518</v>
      </c>
      <c r="K361" s="20" t="s">
        <v>11</v>
      </c>
      <c r="L361" s="20">
        <v>518</v>
      </c>
      <c r="M361" s="20">
        <v>0</v>
      </c>
      <c r="N361" s="20">
        <v>518</v>
      </c>
      <c r="O361" s="20" t="s">
        <v>2203</v>
      </c>
      <c r="P361" s="20" t="s">
        <v>87</v>
      </c>
      <c r="Q361" s="20" t="s">
        <v>87</v>
      </c>
      <c r="R361" s="20" t="s">
        <v>3243</v>
      </c>
      <c r="S361" s="20" t="s">
        <v>3237</v>
      </c>
      <c r="T361" s="20" t="s">
        <v>206</v>
      </c>
      <c r="U361" s="20" t="s">
        <v>207</v>
      </c>
      <c r="V361" s="20" t="s">
        <v>3242</v>
      </c>
      <c r="W361" s="20">
        <v>146.49</v>
      </c>
      <c r="X361" s="20">
        <v>146.49</v>
      </c>
      <c r="Y361" s="20" t="s">
        <v>3243</v>
      </c>
      <c r="Z361" s="20" t="s">
        <v>3237</v>
      </c>
      <c r="AB361" s="20" t="s">
        <v>2376</v>
      </c>
      <c r="AD361" s="20" t="s">
        <v>2376</v>
      </c>
      <c r="AE361" s="20" t="s">
        <v>2376</v>
      </c>
      <c r="AF361" s="20">
        <v>0</v>
      </c>
      <c r="AG361" s="20">
        <v>0</v>
      </c>
      <c r="AH361" s="20">
        <v>0</v>
      </c>
      <c r="AI361" s="20">
        <v>0</v>
      </c>
      <c r="AJ361" s="20">
        <v>0</v>
      </c>
      <c r="AK361" s="20" t="s">
        <v>609</v>
      </c>
      <c r="AL361" s="20">
        <v>0</v>
      </c>
      <c r="AM361" s="20">
        <v>0</v>
      </c>
      <c r="AN361" s="20">
        <v>0</v>
      </c>
      <c r="AO361" s="20">
        <v>0</v>
      </c>
      <c r="AP361" s="20">
        <v>0</v>
      </c>
      <c r="AR361" s="20">
        <v>0</v>
      </c>
      <c r="AS361" s="20">
        <v>0</v>
      </c>
      <c r="AT361" s="20">
        <v>1405616.15</v>
      </c>
      <c r="AU361" s="20" t="s">
        <v>13</v>
      </c>
      <c r="AV361" s="20" t="s">
        <v>62</v>
      </c>
      <c r="AW361" s="20" t="s">
        <v>63</v>
      </c>
      <c r="AX361" s="20" t="s">
        <v>208</v>
      </c>
      <c r="AY361" s="20" t="s">
        <v>209</v>
      </c>
      <c r="AZ361" s="20">
        <v>0</v>
      </c>
      <c r="BA361" s="20">
        <v>75881.820000000007</v>
      </c>
      <c r="BB361" s="20">
        <v>955</v>
      </c>
      <c r="BC361" s="20" t="s">
        <v>3237</v>
      </c>
      <c r="BD361" s="20" t="s">
        <v>65</v>
      </c>
      <c r="BE361" s="20" t="s">
        <v>210</v>
      </c>
      <c r="BF361" s="20" t="s">
        <v>210</v>
      </c>
      <c r="BG361" s="20">
        <v>9</v>
      </c>
      <c r="BH361" s="20">
        <v>6829.36</v>
      </c>
      <c r="BI361" s="20">
        <v>9</v>
      </c>
      <c r="BJ361" s="20">
        <v>6829.36</v>
      </c>
      <c r="BK361" s="20">
        <v>0</v>
      </c>
      <c r="BL361" s="20">
        <v>0</v>
      </c>
      <c r="BM361" s="20">
        <v>0</v>
      </c>
      <c r="BN361" s="20">
        <v>652150845020</v>
      </c>
      <c r="BO361" s="111">
        <v>46228</v>
      </c>
      <c r="BP361" s="20">
        <v>0</v>
      </c>
    </row>
    <row r="362" spans="2:68">
      <c r="B362" s="20" t="s">
        <v>2216</v>
      </c>
      <c r="C362" s="20" t="s">
        <v>3248</v>
      </c>
      <c r="D362" s="20" t="s">
        <v>3793</v>
      </c>
      <c r="E362" s="20" t="s">
        <v>18</v>
      </c>
      <c r="F362" s="20" t="s">
        <v>19</v>
      </c>
      <c r="H362" s="20" t="s">
        <v>3794</v>
      </c>
      <c r="I362" s="20">
        <v>274</v>
      </c>
      <c r="J362" s="20">
        <v>274</v>
      </c>
      <c r="K362" s="20" t="s">
        <v>11</v>
      </c>
      <c r="L362" s="20">
        <v>274</v>
      </c>
      <c r="M362" s="20">
        <v>0</v>
      </c>
      <c r="N362" s="20">
        <v>274</v>
      </c>
      <c r="O362" s="20" t="s">
        <v>2203</v>
      </c>
      <c r="P362" s="20" t="s">
        <v>87</v>
      </c>
      <c r="Q362" s="20" t="s">
        <v>87</v>
      </c>
      <c r="R362" s="20" t="s">
        <v>3252</v>
      </c>
      <c r="S362" s="20" t="s">
        <v>3248</v>
      </c>
      <c r="T362" s="20" t="s">
        <v>206</v>
      </c>
      <c r="U362" s="20" t="s">
        <v>207</v>
      </c>
      <c r="V362" s="20" t="s">
        <v>3251</v>
      </c>
      <c r="W362" s="20">
        <v>147.49</v>
      </c>
      <c r="X362" s="20">
        <v>147.49</v>
      </c>
      <c r="Y362" s="20" t="s">
        <v>3252</v>
      </c>
      <c r="Z362" s="20" t="s">
        <v>3248</v>
      </c>
      <c r="AB362" s="20" t="s">
        <v>2376</v>
      </c>
      <c r="AD362" s="20" t="s">
        <v>2376</v>
      </c>
      <c r="AE362" s="20" t="s">
        <v>2376</v>
      </c>
      <c r="AF362" s="20">
        <v>0</v>
      </c>
      <c r="AG362" s="20">
        <v>0</v>
      </c>
      <c r="AH362" s="20">
        <v>0</v>
      </c>
      <c r="AI362" s="20">
        <v>0</v>
      </c>
      <c r="AJ362" s="20">
        <v>0</v>
      </c>
      <c r="AK362" s="20" t="s">
        <v>609</v>
      </c>
      <c r="AL362" s="20">
        <v>0</v>
      </c>
      <c r="AM362" s="20">
        <v>0</v>
      </c>
      <c r="AN362" s="20">
        <v>0</v>
      </c>
      <c r="AO362" s="20">
        <v>0</v>
      </c>
      <c r="AP362" s="20">
        <v>0</v>
      </c>
      <c r="AR362" s="20">
        <v>0</v>
      </c>
      <c r="AS362" s="20">
        <v>0</v>
      </c>
      <c r="AT362" s="20">
        <v>1161855.1499999999</v>
      </c>
      <c r="AU362" s="20" t="s">
        <v>13</v>
      </c>
      <c r="AV362" s="20" t="s">
        <v>62</v>
      </c>
      <c r="AW362" s="20" t="s">
        <v>63</v>
      </c>
      <c r="AX362" s="20" t="s">
        <v>208</v>
      </c>
      <c r="AY362" s="20" t="s">
        <v>209</v>
      </c>
      <c r="AZ362" s="20">
        <v>0</v>
      </c>
      <c r="BA362" s="20">
        <v>40412.26</v>
      </c>
      <c r="BB362" s="20">
        <v>971</v>
      </c>
      <c r="BC362" s="20" t="s">
        <v>3248</v>
      </c>
      <c r="BD362" s="20" t="s">
        <v>65</v>
      </c>
      <c r="BE362" s="20" t="s">
        <v>210</v>
      </c>
      <c r="BF362" s="20" t="s">
        <v>210</v>
      </c>
      <c r="BG362" s="20">
        <v>9</v>
      </c>
      <c r="BH362" s="20">
        <v>3637.1</v>
      </c>
      <c r="BI362" s="20">
        <v>9</v>
      </c>
      <c r="BJ362" s="20">
        <v>3637.1</v>
      </c>
      <c r="BK362" s="20">
        <v>0</v>
      </c>
      <c r="BL362" s="20">
        <v>0</v>
      </c>
      <c r="BM362" s="20">
        <v>1161855.1499999999</v>
      </c>
      <c r="BN362" s="20">
        <v>632151444990</v>
      </c>
      <c r="BO362" s="111">
        <v>46229</v>
      </c>
      <c r="BP362" s="20">
        <v>0</v>
      </c>
    </row>
    <row r="363" spans="2:68">
      <c r="B363" s="20" t="s">
        <v>2216</v>
      </c>
      <c r="C363" s="20" t="s">
        <v>3248</v>
      </c>
      <c r="D363" s="20" t="s">
        <v>3793</v>
      </c>
      <c r="E363" s="20" t="s">
        <v>18</v>
      </c>
      <c r="F363" s="20" t="s">
        <v>19</v>
      </c>
      <c r="H363" s="20" t="s">
        <v>3794</v>
      </c>
      <c r="I363" s="20">
        <v>5141</v>
      </c>
      <c r="J363" s="20">
        <v>5141</v>
      </c>
      <c r="K363" s="20" t="s">
        <v>11</v>
      </c>
      <c r="L363" s="20">
        <v>5141</v>
      </c>
      <c r="M363" s="20">
        <v>0</v>
      </c>
      <c r="N363" s="20">
        <v>5141</v>
      </c>
      <c r="O363" s="20" t="s">
        <v>2203</v>
      </c>
      <c r="P363" s="20" t="s">
        <v>87</v>
      </c>
      <c r="Q363" s="20" t="s">
        <v>87</v>
      </c>
      <c r="R363" s="20" t="s">
        <v>3252</v>
      </c>
      <c r="S363" s="20" t="s">
        <v>3248</v>
      </c>
      <c r="T363" s="20" t="s">
        <v>206</v>
      </c>
      <c r="U363" s="20" t="s">
        <v>207</v>
      </c>
      <c r="V363" s="20" t="s">
        <v>3251</v>
      </c>
      <c r="W363" s="20">
        <v>144.49</v>
      </c>
      <c r="X363" s="20">
        <v>144.49</v>
      </c>
      <c r="Y363" s="20" t="s">
        <v>3252</v>
      </c>
      <c r="Z363" s="20" t="s">
        <v>3248</v>
      </c>
      <c r="AB363" s="20" t="s">
        <v>2376</v>
      </c>
      <c r="AD363" s="20" t="s">
        <v>2376</v>
      </c>
      <c r="AE363" s="20" t="s">
        <v>2376</v>
      </c>
      <c r="AF363" s="20">
        <v>0</v>
      </c>
      <c r="AG363" s="20">
        <v>0</v>
      </c>
      <c r="AH363" s="20">
        <v>0</v>
      </c>
      <c r="AI363" s="20">
        <v>0</v>
      </c>
      <c r="AJ363" s="20">
        <v>0</v>
      </c>
      <c r="AK363" s="20" t="s">
        <v>609</v>
      </c>
      <c r="AL363" s="20">
        <v>0</v>
      </c>
      <c r="AM363" s="20">
        <v>0</v>
      </c>
      <c r="AN363" s="20">
        <v>0</v>
      </c>
      <c r="AO363" s="20">
        <v>0</v>
      </c>
      <c r="AP363" s="20">
        <v>0</v>
      </c>
      <c r="AR363" s="20">
        <v>0</v>
      </c>
      <c r="AS363" s="20">
        <v>0</v>
      </c>
      <c r="AT363" s="20">
        <v>1161855.1499999999</v>
      </c>
      <c r="AU363" s="20" t="s">
        <v>13</v>
      </c>
      <c r="AV363" s="20" t="s">
        <v>62</v>
      </c>
      <c r="AW363" s="20" t="s">
        <v>63</v>
      </c>
      <c r="AX363" s="20" t="s">
        <v>208</v>
      </c>
      <c r="AY363" s="20" t="s">
        <v>209</v>
      </c>
      <c r="AZ363" s="20">
        <v>0</v>
      </c>
      <c r="BA363" s="20">
        <v>742823.09</v>
      </c>
      <c r="BB363" s="20">
        <v>971</v>
      </c>
      <c r="BC363" s="20" t="s">
        <v>3248</v>
      </c>
      <c r="BD363" s="20" t="s">
        <v>65</v>
      </c>
      <c r="BE363" s="20" t="s">
        <v>210</v>
      </c>
      <c r="BF363" s="20" t="s">
        <v>210</v>
      </c>
      <c r="BG363" s="20">
        <v>9</v>
      </c>
      <c r="BH363" s="20">
        <v>66854.080000000002</v>
      </c>
      <c r="BI363" s="20">
        <v>9</v>
      </c>
      <c r="BJ363" s="20">
        <v>66854.080000000002</v>
      </c>
      <c r="BK363" s="20">
        <v>0</v>
      </c>
      <c r="BL363" s="20">
        <v>0</v>
      </c>
      <c r="BM363" s="20">
        <v>0</v>
      </c>
      <c r="BN363" s="20">
        <v>632151444990</v>
      </c>
      <c r="BO363" s="111">
        <v>46229</v>
      </c>
      <c r="BP363" s="20">
        <v>0</v>
      </c>
    </row>
    <row r="364" spans="2:68">
      <c r="B364" s="20" t="s">
        <v>2216</v>
      </c>
      <c r="C364" s="20" t="s">
        <v>3248</v>
      </c>
      <c r="D364" s="20" t="s">
        <v>3793</v>
      </c>
      <c r="E364" s="20" t="s">
        <v>18</v>
      </c>
      <c r="F364" s="20" t="s">
        <v>19</v>
      </c>
      <c r="H364" s="20" t="s">
        <v>3794</v>
      </c>
      <c r="I364" s="20">
        <v>737</v>
      </c>
      <c r="J364" s="20">
        <v>737</v>
      </c>
      <c r="K364" s="20" t="s">
        <v>11</v>
      </c>
      <c r="L364" s="20">
        <v>737</v>
      </c>
      <c r="M364" s="20">
        <v>0</v>
      </c>
      <c r="N364" s="20">
        <v>737</v>
      </c>
      <c r="O364" s="20" t="s">
        <v>2203</v>
      </c>
      <c r="P364" s="20" t="s">
        <v>87</v>
      </c>
      <c r="Q364" s="20" t="s">
        <v>87</v>
      </c>
      <c r="R364" s="20" t="s">
        <v>3252</v>
      </c>
      <c r="S364" s="20" t="s">
        <v>3248</v>
      </c>
      <c r="T364" s="20" t="s">
        <v>206</v>
      </c>
      <c r="U364" s="20" t="s">
        <v>207</v>
      </c>
      <c r="V364" s="20" t="s">
        <v>3251</v>
      </c>
      <c r="W364" s="20">
        <v>146.49</v>
      </c>
      <c r="X364" s="20">
        <v>146.49</v>
      </c>
      <c r="Y364" s="20" t="s">
        <v>3252</v>
      </c>
      <c r="Z364" s="20" t="s">
        <v>3248</v>
      </c>
      <c r="AB364" s="20" t="s">
        <v>2376</v>
      </c>
      <c r="AD364" s="20" t="s">
        <v>2376</v>
      </c>
      <c r="AE364" s="20" t="s">
        <v>2376</v>
      </c>
      <c r="AF364" s="20">
        <v>0</v>
      </c>
      <c r="AG364" s="20">
        <v>0</v>
      </c>
      <c r="AH364" s="20">
        <v>0</v>
      </c>
      <c r="AI364" s="20">
        <v>0</v>
      </c>
      <c r="AJ364" s="20">
        <v>0</v>
      </c>
      <c r="AK364" s="20" t="s">
        <v>609</v>
      </c>
      <c r="AL364" s="20">
        <v>0</v>
      </c>
      <c r="AM364" s="20">
        <v>0</v>
      </c>
      <c r="AN364" s="20">
        <v>0</v>
      </c>
      <c r="AO364" s="20">
        <v>0</v>
      </c>
      <c r="AP364" s="20">
        <v>0</v>
      </c>
      <c r="AR364" s="20">
        <v>0</v>
      </c>
      <c r="AS364" s="20">
        <v>0</v>
      </c>
      <c r="AT364" s="20">
        <v>1161855.1499999999</v>
      </c>
      <c r="AU364" s="20" t="s">
        <v>13</v>
      </c>
      <c r="AV364" s="20" t="s">
        <v>62</v>
      </c>
      <c r="AW364" s="20" t="s">
        <v>63</v>
      </c>
      <c r="AX364" s="20" t="s">
        <v>208</v>
      </c>
      <c r="AY364" s="20" t="s">
        <v>209</v>
      </c>
      <c r="AZ364" s="20">
        <v>0</v>
      </c>
      <c r="BA364" s="20">
        <v>107963.13</v>
      </c>
      <c r="BB364" s="20">
        <v>971</v>
      </c>
      <c r="BC364" s="20" t="s">
        <v>3248</v>
      </c>
      <c r="BD364" s="20" t="s">
        <v>65</v>
      </c>
      <c r="BE364" s="20" t="s">
        <v>210</v>
      </c>
      <c r="BF364" s="20" t="s">
        <v>210</v>
      </c>
      <c r="BG364" s="20">
        <v>9</v>
      </c>
      <c r="BH364" s="20">
        <v>9716.68</v>
      </c>
      <c r="BI364" s="20">
        <v>9</v>
      </c>
      <c r="BJ364" s="20">
        <v>9716.68</v>
      </c>
      <c r="BK364" s="20">
        <v>0</v>
      </c>
      <c r="BL364" s="20">
        <v>0</v>
      </c>
      <c r="BM364" s="20">
        <v>0</v>
      </c>
      <c r="BN364" s="20">
        <v>632151444990</v>
      </c>
      <c r="BO364" s="111">
        <v>46229</v>
      </c>
      <c r="BP364" s="20">
        <v>0</v>
      </c>
    </row>
    <row r="365" spans="2:68">
      <c r="B365" s="20" t="s">
        <v>2216</v>
      </c>
      <c r="C365" s="20" t="s">
        <v>3248</v>
      </c>
      <c r="D365" s="20" t="s">
        <v>3793</v>
      </c>
      <c r="E365" s="20" t="s">
        <v>2519</v>
      </c>
      <c r="F365" s="20" t="s">
        <v>2117</v>
      </c>
      <c r="H365" s="20" t="s">
        <v>3794</v>
      </c>
      <c r="I365" s="20">
        <v>597</v>
      </c>
      <c r="J365" s="20">
        <v>597</v>
      </c>
      <c r="K365" s="20" t="s">
        <v>11</v>
      </c>
      <c r="L365" s="20">
        <v>597</v>
      </c>
      <c r="M365" s="20">
        <v>0</v>
      </c>
      <c r="N365" s="20">
        <v>597</v>
      </c>
      <c r="O365" s="20" t="s">
        <v>2203</v>
      </c>
      <c r="P365" s="20" t="s">
        <v>87</v>
      </c>
      <c r="Q365" s="20" t="s">
        <v>87</v>
      </c>
      <c r="R365" s="20" t="s">
        <v>3252</v>
      </c>
      <c r="S365" s="20" t="s">
        <v>3248</v>
      </c>
      <c r="T365" s="20" t="s">
        <v>206</v>
      </c>
      <c r="U365" s="20" t="s">
        <v>207</v>
      </c>
      <c r="V365" s="20" t="s">
        <v>3251</v>
      </c>
      <c r="W365" s="20">
        <v>156.49</v>
      </c>
      <c r="X365" s="20">
        <v>156.49</v>
      </c>
      <c r="Y365" s="20" t="s">
        <v>3252</v>
      </c>
      <c r="Z365" s="20" t="s">
        <v>3248</v>
      </c>
      <c r="AB365" s="20" t="s">
        <v>2376</v>
      </c>
      <c r="AD365" s="20" t="s">
        <v>2376</v>
      </c>
      <c r="AE365" s="20" t="s">
        <v>2376</v>
      </c>
      <c r="AF365" s="20">
        <v>0</v>
      </c>
      <c r="AG365" s="20">
        <v>0</v>
      </c>
      <c r="AH365" s="20">
        <v>0</v>
      </c>
      <c r="AI365" s="20">
        <v>0</v>
      </c>
      <c r="AJ365" s="20">
        <v>0</v>
      </c>
      <c r="AK365" s="20" t="s">
        <v>609</v>
      </c>
      <c r="AL365" s="20">
        <v>0</v>
      </c>
      <c r="AM365" s="20">
        <v>0</v>
      </c>
      <c r="AN365" s="20">
        <v>0</v>
      </c>
      <c r="AO365" s="20">
        <v>0</v>
      </c>
      <c r="AP365" s="20">
        <v>0</v>
      </c>
      <c r="AR365" s="20">
        <v>0</v>
      </c>
      <c r="AS365" s="20">
        <v>0</v>
      </c>
      <c r="AT365" s="20">
        <v>1161855.1499999999</v>
      </c>
      <c r="AU365" s="20" t="s">
        <v>15</v>
      </c>
      <c r="AV365" s="20" t="s">
        <v>2117</v>
      </c>
      <c r="AW365" s="20" t="s">
        <v>2117</v>
      </c>
      <c r="AX365" s="20" t="s">
        <v>208</v>
      </c>
      <c r="AY365" s="20" t="s">
        <v>209</v>
      </c>
      <c r="AZ365" s="20">
        <v>0</v>
      </c>
      <c r="BA365" s="20">
        <v>93424.53</v>
      </c>
      <c r="BB365" s="20">
        <v>971</v>
      </c>
      <c r="BC365" s="20" t="s">
        <v>3248</v>
      </c>
      <c r="BD365" s="20" t="s">
        <v>65</v>
      </c>
      <c r="BE365" s="20" t="s">
        <v>210</v>
      </c>
      <c r="BF365" s="20" t="s">
        <v>210</v>
      </c>
      <c r="BG365" s="20">
        <v>9</v>
      </c>
      <c r="BH365" s="20">
        <v>8408.2099999999991</v>
      </c>
      <c r="BI365" s="20">
        <v>9</v>
      </c>
      <c r="BJ365" s="20">
        <v>8408.2099999999991</v>
      </c>
      <c r="BK365" s="20">
        <v>0</v>
      </c>
      <c r="BL365" s="20">
        <v>0</v>
      </c>
      <c r="BM365" s="20">
        <v>0</v>
      </c>
      <c r="BN365" s="20">
        <v>632151444990</v>
      </c>
      <c r="BO365" s="111">
        <v>46229</v>
      </c>
      <c r="BP365" s="20">
        <v>0</v>
      </c>
    </row>
    <row r="366" spans="2:68">
      <c r="B366" s="20" t="s">
        <v>2216</v>
      </c>
      <c r="C366" s="20" t="s">
        <v>3248</v>
      </c>
      <c r="D366" s="20" t="s">
        <v>3795</v>
      </c>
      <c r="E366" s="20" t="s">
        <v>18</v>
      </c>
      <c r="F366" s="20" t="s">
        <v>19</v>
      </c>
      <c r="H366" s="20" t="s">
        <v>3796</v>
      </c>
      <c r="I366" s="20">
        <v>576</v>
      </c>
      <c r="J366" s="20">
        <v>576</v>
      </c>
      <c r="K366" s="20" t="s">
        <v>11</v>
      </c>
      <c r="L366" s="20">
        <v>576</v>
      </c>
      <c r="M366" s="20">
        <v>0</v>
      </c>
      <c r="N366" s="20">
        <v>576</v>
      </c>
      <c r="O366" s="20" t="s">
        <v>2623</v>
      </c>
      <c r="P366" s="20" t="s">
        <v>87</v>
      </c>
      <c r="Q366" s="20" t="s">
        <v>87</v>
      </c>
      <c r="R366" s="20" t="s">
        <v>3254</v>
      </c>
      <c r="S366" s="20" t="s">
        <v>3248</v>
      </c>
      <c r="T366" s="20" t="s">
        <v>206</v>
      </c>
      <c r="U366" s="20" t="s">
        <v>207</v>
      </c>
      <c r="V366" s="20" t="s">
        <v>3253</v>
      </c>
      <c r="W366" s="20">
        <v>144.49</v>
      </c>
      <c r="X366" s="20">
        <v>144.49</v>
      </c>
      <c r="Y366" s="20" t="s">
        <v>3254</v>
      </c>
      <c r="Z366" s="20" t="s">
        <v>3248</v>
      </c>
      <c r="AB366" s="20" t="s">
        <v>2376</v>
      </c>
      <c r="AD366" s="20" t="s">
        <v>2376</v>
      </c>
      <c r="AE366" s="20" t="s">
        <v>2376</v>
      </c>
      <c r="AF366" s="20">
        <v>0</v>
      </c>
      <c r="AG366" s="20">
        <v>0</v>
      </c>
      <c r="AH366" s="20">
        <v>0</v>
      </c>
      <c r="AI366" s="20">
        <v>0</v>
      </c>
      <c r="AJ366" s="20">
        <v>0</v>
      </c>
      <c r="AK366" s="20" t="s">
        <v>609</v>
      </c>
      <c r="AL366" s="20">
        <v>0</v>
      </c>
      <c r="AM366" s="20">
        <v>0</v>
      </c>
      <c r="AN366" s="20">
        <v>0</v>
      </c>
      <c r="AO366" s="20">
        <v>0</v>
      </c>
      <c r="AP366" s="20">
        <v>0</v>
      </c>
      <c r="AR366" s="20">
        <v>0</v>
      </c>
      <c r="AS366" s="20">
        <v>0</v>
      </c>
      <c r="AT366" s="20">
        <v>149026.12</v>
      </c>
      <c r="AU366" s="20" t="s">
        <v>13</v>
      </c>
      <c r="AV366" s="20" t="s">
        <v>62</v>
      </c>
      <c r="AW366" s="20" t="s">
        <v>63</v>
      </c>
      <c r="AX366" s="20" t="s">
        <v>208</v>
      </c>
      <c r="AY366" s="20" t="s">
        <v>209</v>
      </c>
      <c r="AZ366" s="20">
        <v>0</v>
      </c>
      <c r="BA366" s="20">
        <v>83226.240000000005</v>
      </c>
      <c r="BB366" s="20">
        <v>975</v>
      </c>
      <c r="BC366" s="20" t="s">
        <v>3248</v>
      </c>
      <c r="BD366" s="20" t="s">
        <v>65</v>
      </c>
      <c r="BE366" s="20" t="s">
        <v>210</v>
      </c>
      <c r="BF366" s="20" t="s">
        <v>210</v>
      </c>
      <c r="BG366" s="20">
        <v>9</v>
      </c>
      <c r="BH366" s="20">
        <v>7490.36</v>
      </c>
      <c r="BI366" s="20">
        <v>9</v>
      </c>
      <c r="BJ366" s="20">
        <v>7490.36</v>
      </c>
      <c r="BK366" s="20">
        <v>0</v>
      </c>
      <c r="BL366" s="20">
        <v>0</v>
      </c>
      <c r="BM366" s="20">
        <v>149026.12</v>
      </c>
      <c r="BN366" s="20">
        <v>672151600552</v>
      </c>
      <c r="BO366" s="111">
        <v>46229</v>
      </c>
      <c r="BP366" s="20">
        <v>0</v>
      </c>
    </row>
    <row r="367" spans="2:68">
      <c r="B367" s="20" t="s">
        <v>2216</v>
      </c>
      <c r="C367" s="20" t="s">
        <v>3248</v>
      </c>
      <c r="D367" s="20" t="s">
        <v>3795</v>
      </c>
      <c r="E367" s="20" t="s">
        <v>18</v>
      </c>
      <c r="F367" s="20" t="s">
        <v>19</v>
      </c>
      <c r="H367" s="20" t="s">
        <v>3796</v>
      </c>
      <c r="I367" s="20">
        <v>292</v>
      </c>
      <c r="J367" s="20">
        <v>292</v>
      </c>
      <c r="K367" s="20" t="s">
        <v>11</v>
      </c>
      <c r="L367" s="20">
        <v>292</v>
      </c>
      <c r="M367" s="20">
        <v>0</v>
      </c>
      <c r="N367" s="20">
        <v>292</v>
      </c>
      <c r="O367" s="20" t="s">
        <v>2623</v>
      </c>
      <c r="P367" s="20" t="s">
        <v>87</v>
      </c>
      <c r="Q367" s="20" t="s">
        <v>87</v>
      </c>
      <c r="R367" s="20" t="s">
        <v>3254</v>
      </c>
      <c r="S367" s="20" t="s">
        <v>3248</v>
      </c>
      <c r="T367" s="20" t="s">
        <v>206</v>
      </c>
      <c r="U367" s="20" t="s">
        <v>207</v>
      </c>
      <c r="V367" s="20" t="s">
        <v>3253</v>
      </c>
      <c r="W367" s="20">
        <v>147.49</v>
      </c>
      <c r="X367" s="20">
        <v>147.49</v>
      </c>
      <c r="Y367" s="20" t="s">
        <v>3254</v>
      </c>
      <c r="Z367" s="20" t="s">
        <v>3248</v>
      </c>
      <c r="AB367" s="20" t="s">
        <v>2376</v>
      </c>
      <c r="AD367" s="20" t="s">
        <v>2376</v>
      </c>
      <c r="AE367" s="20" t="s">
        <v>2376</v>
      </c>
      <c r="AF367" s="20">
        <v>0</v>
      </c>
      <c r="AG367" s="20">
        <v>0</v>
      </c>
      <c r="AH367" s="20">
        <v>0</v>
      </c>
      <c r="AI367" s="20">
        <v>0</v>
      </c>
      <c r="AJ367" s="20">
        <v>0</v>
      </c>
      <c r="AK367" s="20" t="s">
        <v>609</v>
      </c>
      <c r="AL367" s="20">
        <v>0</v>
      </c>
      <c r="AM367" s="20">
        <v>0</v>
      </c>
      <c r="AN367" s="20">
        <v>0</v>
      </c>
      <c r="AO367" s="20">
        <v>0</v>
      </c>
      <c r="AP367" s="20">
        <v>0</v>
      </c>
      <c r="AR367" s="20">
        <v>0</v>
      </c>
      <c r="AS367" s="20">
        <v>0</v>
      </c>
      <c r="AT367" s="20">
        <v>149026.12</v>
      </c>
      <c r="AU367" s="20" t="s">
        <v>13</v>
      </c>
      <c r="AV367" s="20" t="s">
        <v>62</v>
      </c>
      <c r="AW367" s="20" t="s">
        <v>63</v>
      </c>
      <c r="AX367" s="20" t="s">
        <v>208</v>
      </c>
      <c r="AY367" s="20" t="s">
        <v>209</v>
      </c>
      <c r="AZ367" s="20">
        <v>0</v>
      </c>
      <c r="BA367" s="20">
        <v>43067.08</v>
      </c>
      <c r="BB367" s="20">
        <v>975</v>
      </c>
      <c r="BC367" s="20" t="s">
        <v>3248</v>
      </c>
      <c r="BD367" s="20" t="s">
        <v>65</v>
      </c>
      <c r="BE367" s="20" t="s">
        <v>210</v>
      </c>
      <c r="BF367" s="20" t="s">
        <v>210</v>
      </c>
      <c r="BG367" s="20">
        <v>9</v>
      </c>
      <c r="BH367" s="20">
        <v>3876.04</v>
      </c>
      <c r="BI367" s="20">
        <v>9</v>
      </c>
      <c r="BJ367" s="20">
        <v>3876.04</v>
      </c>
      <c r="BK367" s="20">
        <v>0</v>
      </c>
      <c r="BL367" s="20">
        <v>0</v>
      </c>
      <c r="BM367" s="20">
        <v>0</v>
      </c>
      <c r="BN367" s="20">
        <v>672151600552</v>
      </c>
      <c r="BO367" s="111">
        <v>46229</v>
      </c>
      <c r="BP367" s="20">
        <v>0</v>
      </c>
    </row>
    <row r="368" spans="2:68">
      <c r="B368" s="20" t="s">
        <v>2216</v>
      </c>
      <c r="C368" s="20" t="s">
        <v>3248</v>
      </c>
      <c r="D368" s="20" t="s">
        <v>3797</v>
      </c>
      <c r="E368" s="20" t="s">
        <v>18</v>
      </c>
      <c r="F368" s="20" t="s">
        <v>19</v>
      </c>
      <c r="H368" s="20" t="s">
        <v>3798</v>
      </c>
      <c r="I368" s="20">
        <v>1418</v>
      </c>
      <c r="J368" s="20">
        <v>1418</v>
      </c>
      <c r="K368" s="20" t="s">
        <v>11</v>
      </c>
      <c r="L368" s="20">
        <v>1418</v>
      </c>
      <c r="M368" s="20">
        <v>0</v>
      </c>
      <c r="N368" s="20">
        <v>1418</v>
      </c>
      <c r="O368" s="20" t="s">
        <v>2201</v>
      </c>
      <c r="P368" s="20" t="s">
        <v>87</v>
      </c>
      <c r="Q368" s="20" t="s">
        <v>87</v>
      </c>
      <c r="R368" s="20" t="s">
        <v>3256</v>
      </c>
      <c r="S368" s="20" t="s">
        <v>3248</v>
      </c>
      <c r="T368" s="20" t="s">
        <v>206</v>
      </c>
      <c r="U368" s="20" t="s">
        <v>207</v>
      </c>
      <c r="V368" s="20" t="s">
        <v>3255</v>
      </c>
      <c r="W368" s="20">
        <v>144.49</v>
      </c>
      <c r="X368" s="20">
        <v>144.489999933467</v>
      </c>
      <c r="Y368" s="20" t="s">
        <v>3256</v>
      </c>
      <c r="Z368" s="20" t="s">
        <v>3248</v>
      </c>
      <c r="AB368" s="20" t="s">
        <v>2376</v>
      </c>
      <c r="AD368" s="20" t="s">
        <v>2376</v>
      </c>
      <c r="AE368" s="20" t="s">
        <v>2376</v>
      </c>
      <c r="AF368" s="20">
        <v>0</v>
      </c>
      <c r="AG368" s="20">
        <v>0</v>
      </c>
      <c r="AH368" s="20">
        <v>0</v>
      </c>
      <c r="AI368" s="20">
        <v>0</v>
      </c>
      <c r="AJ368" s="20">
        <v>0</v>
      </c>
      <c r="AK368" s="20" t="s">
        <v>609</v>
      </c>
      <c r="AL368" s="20">
        <v>0</v>
      </c>
      <c r="AM368" s="20">
        <v>0</v>
      </c>
      <c r="AN368" s="20">
        <v>0</v>
      </c>
      <c r="AO368" s="20">
        <v>0</v>
      </c>
      <c r="AP368" s="20">
        <v>0</v>
      </c>
      <c r="AR368" s="20">
        <v>0</v>
      </c>
      <c r="AS368" s="20">
        <v>0</v>
      </c>
      <c r="AT368" s="20">
        <v>2171693.35</v>
      </c>
      <c r="AU368" s="20" t="s">
        <v>13</v>
      </c>
      <c r="AV368" s="20" t="s">
        <v>62</v>
      </c>
      <c r="AW368" s="20" t="s">
        <v>63</v>
      </c>
      <c r="AX368" s="20" t="s">
        <v>208</v>
      </c>
      <c r="AY368" s="20" t="s">
        <v>209</v>
      </c>
      <c r="AZ368" s="20">
        <v>0</v>
      </c>
      <c r="BA368" s="20">
        <v>204886.82</v>
      </c>
      <c r="BB368" s="20">
        <v>973</v>
      </c>
      <c r="BC368" s="20" t="s">
        <v>3248</v>
      </c>
      <c r="BD368" s="20" t="s">
        <v>65</v>
      </c>
      <c r="BE368" s="20" t="s">
        <v>210</v>
      </c>
      <c r="BF368" s="20" t="s">
        <v>210</v>
      </c>
      <c r="BG368" s="20">
        <v>9</v>
      </c>
      <c r="BH368" s="20">
        <v>18439.810000000001</v>
      </c>
      <c r="BI368" s="20">
        <v>9</v>
      </c>
      <c r="BJ368" s="20">
        <v>18439.810000000001</v>
      </c>
      <c r="BK368" s="20">
        <v>0</v>
      </c>
      <c r="BL368" s="20">
        <v>0</v>
      </c>
      <c r="BM368" s="20">
        <v>2171693.35</v>
      </c>
      <c r="BN368" s="20">
        <v>612151494999</v>
      </c>
      <c r="BO368" s="111">
        <v>46229</v>
      </c>
      <c r="BP368" s="20">
        <v>0</v>
      </c>
    </row>
    <row r="369" spans="2:68">
      <c r="B369" s="20" t="s">
        <v>2216</v>
      </c>
      <c r="C369" s="20" t="s">
        <v>3248</v>
      </c>
      <c r="D369" s="20" t="s">
        <v>3797</v>
      </c>
      <c r="E369" s="20" t="s">
        <v>160</v>
      </c>
      <c r="F369" s="20" t="s">
        <v>17</v>
      </c>
      <c r="H369" s="20" t="s">
        <v>3798</v>
      </c>
      <c r="I369" s="20">
        <v>4383.3999999999996</v>
      </c>
      <c r="J369" s="20">
        <v>4383.3999999999996</v>
      </c>
      <c r="K369" s="20" t="s">
        <v>11</v>
      </c>
      <c r="L369" s="20">
        <v>4383.3999999999996</v>
      </c>
      <c r="M369" s="20">
        <v>0</v>
      </c>
      <c r="N369" s="20">
        <v>4383.3999999999996</v>
      </c>
      <c r="O369" s="20" t="s">
        <v>2201</v>
      </c>
      <c r="P369" s="20" t="s">
        <v>87</v>
      </c>
      <c r="Q369" s="20" t="s">
        <v>87</v>
      </c>
      <c r="R369" s="20" t="s">
        <v>3256</v>
      </c>
      <c r="S369" s="20" t="s">
        <v>3248</v>
      </c>
      <c r="T369" s="20" t="s">
        <v>206</v>
      </c>
      <c r="U369" s="20" t="s">
        <v>207</v>
      </c>
      <c r="V369" s="20" t="s">
        <v>3255</v>
      </c>
      <c r="W369" s="20">
        <v>182.78</v>
      </c>
      <c r="X369" s="20">
        <v>182.77999991583499</v>
      </c>
      <c r="Y369" s="20" t="s">
        <v>3256</v>
      </c>
      <c r="Z369" s="20" t="s">
        <v>3248</v>
      </c>
      <c r="AB369" s="20" t="s">
        <v>2376</v>
      </c>
      <c r="AD369" s="20" t="s">
        <v>2376</v>
      </c>
      <c r="AE369" s="20" t="s">
        <v>2376</v>
      </c>
      <c r="AF369" s="20">
        <v>0</v>
      </c>
      <c r="AG369" s="20">
        <v>0</v>
      </c>
      <c r="AH369" s="20">
        <v>0</v>
      </c>
      <c r="AI369" s="20">
        <v>0</v>
      </c>
      <c r="AJ369" s="20">
        <v>0</v>
      </c>
      <c r="AK369" s="20" t="s">
        <v>609</v>
      </c>
      <c r="AL369" s="20">
        <v>0</v>
      </c>
      <c r="AM369" s="20">
        <v>0</v>
      </c>
      <c r="AN369" s="20">
        <v>0</v>
      </c>
      <c r="AO369" s="20">
        <v>0</v>
      </c>
      <c r="AP369" s="20">
        <v>0</v>
      </c>
      <c r="AR369" s="20">
        <v>0</v>
      </c>
      <c r="AS369" s="20">
        <v>0</v>
      </c>
      <c r="AT369" s="20">
        <v>2171693.35</v>
      </c>
      <c r="AU369" s="20" t="s">
        <v>13</v>
      </c>
      <c r="AV369" s="20" t="s">
        <v>80</v>
      </c>
      <c r="AW369" s="20" t="s">
        <v>81</v>
      </c>
      <c r="AX369" s="20" t="s">
        <v>208</v>
      </c>
      <c r="AY369" s="20" t="s">
        <v>209</v>
      </c>
      <c r="AZ369" s="20">
        <v>0</v>
      </c>
      <c r="BA369" s="20">
        <v>801197.85</v>
      </c>
      <c r="BB369" s="20">
        <v>973</v>
      </c>
      <c r="BC369" s="20" t="s">
        <v>3248</v>
      </c>
      <c r="BD369" s="20" t="s">
        <v>65</v>
      </c>
      <c r="BE369" s="20" t="s">
        <v>210</v>
      </c>
      <c r="BF369" s="20" t="s">
        <v>210</v>
      </c>
      <c r="BG369" s="20">
        <v>9</v>
      </c>
      <c r="BH369" s="20">
        <v>72107.81</v>
      </c>
      <c r="BI369" s="20">
        <v>9</v>
      </c>
      <c r="BJ369" s="20">
        <v>72107.81</v>
      </c>
      <c r="BK369" s="20">
        <v>0</v>
      </c>
      <c r="BL369" s="20">
        <v>0</v>
      </c>
      <c r="BM369" s="20">
        <v>0</v>
      </c>
      <c r="BN369" s="20">
        <v>612151494999</v>
      </c>
      <c r="BO369" s="111">
        <v>46229</v>
      </c>
      <c r="BP369" s="20">
        <v>0</v>
      </c>
    </row>
    <row r="370" spans="2:68">
      <c r="B370" s="20" t="s">
        <v>2216</v>
      </c>
      <c r="C370" s="20" t="s">
        <v>3248</v>
      </c>
      <c r="D370" s="20" t="s">
        <v>3797</v>
      </c>
      <c r="E370" s="20" t="s">
        <v>160</v>
      </c>
      <c r="F370" s="20" t="s">
        <v>17</v>
      </c>
      <c r="H370" s="20" t="s">
        <v>3798</v>
      </c>
      <c r="I370" s="20">
        <v>133</v>
      </c>
      <c r="J370" s="20">
        <v>133</v>
      </c>
      <c r="K370" s="20" t="s">
        <v>11</v>
      </c>
      <c r="L370" s="20">
        <v>133</v>
      </c>
      <c r="M370" s="20">
        <v>0</v>
      </c>
      <c r="N370" s="20">
        <v>133</v>
      </c>
      <c r="O370" s="20" t="s">
        <v>2201</v>
      </c>
      <c r="P370" s="20" t="s">
        <v>87</v>
      </c>
      <c r="Q370" s="20" t="s">
        <v>87</v>
      </c>
      <c r="R370" s="20" t="s">
        <v>3256</v>
      </c>
      <c r="S370" s="20" t="s">
        <v>3248</v>
      </c>
      <c r="T370" s="20" t="s">
        <v>206</v>
      </c>
      <c r="U370" s="20" t="s">
        <v>207</v>
      </c>
      <c r="V370" s="20" t="s">
        <v>3255</v>
      </c>
      <c r="W370" s="20">
        <v>185.78</v>
      </c>
      <c r="X370" s="20">
        <v>185.77999991445401</v>
      </c>
      <c r="Y370" s="20" t="s">
        <v>3256</v>
      </c>
      <c r="Z370" s="20" t="s">
        <v>3248</v>
      </c>
      <c r="AB370" s="20" t="s">
        <v>2376</v>
      </c>
      <c r="AD370" s="20" t="s">
        <v>2376</v>
      </c>
      <c r="AE370" s="20" t="s">
        <v>2376</v>
      </c>
      <c r="AF370" s="20">
        <v>0</v>
      </c>
      <c r="AG370" s="20">
        <v>0</v>
      </c>
      <c r="AH370" s="20">
        <v>0</v>
      </c>
      <c r="AI370" s="20">
        <v>0</v>
      </c>
      <c r="AJ370" s="20">
        <v>0</v>
      </c>
      <c r="AK370" s="20" t="s">
        <v>609</v>
      </c>
      <c r="AL370" s="20">
        <v>0</v>
      </c>
      <c r="AM370" s="20">
        <v>0</v>
      </c>
      <c r="AN370" s="20">
        <v>0</v>
      </c>
      <c r="AO370" s="20">
        <v>0</v>
      </c>
      <c r="AP370" s="20">
        <v>0</v>
      </c>
      <c r="AR370" s="20">
        <v>0</v>
      </c>
      <c r="AS370" s="20">
        <v>0</v>
      </c>
      <c r="AT370" s="20">
        <v>2171693.35</v>
      </c>
      <c r="AU370" s="20" t="s">
        <v>13</v>
      </c>
      <c r="AV370" s="20" t="s">
        <v>80</v>
      </c>
      <c r="AW370" s="20" t="s">
        <v>81</v>
      </c>
      <c r="AX370" s="20" t="s">
        <v>208</v>
      </c>
      <c r="AY370" s="20" t="s">
        <v>209</v>
      </c>
      <c r="AZ370" s="20">
        <v>0</v>
      </c>
      <c r="BA370" s="20">
        <v>24708.74</v>
      </c>
      <c r="BB370" s="20">
        <v>973</v>
      </c>
      <c r="BC370" s="20" t="s">
        <v>3248</v>
      </c>
      <c r="BD370" s="20" t="s">
        <v>65</v>
      </c>
      <c r="BE370" s="20" t="s">
        <v>210</v>
      </c>
      <c r="BF370" s="20" t="s">
        <v>210</v>
      </c>
      <c r="BG370" s="20">
        <v>9</v>
      </c>
      <c r="BH370" s="20">
        <v>2223.79</v>
      </c>
      <c r="BI370" s="20">
        <v>9</v>
      </c>
      <c r="BJ370" s="20">
        <v>2223.79</v>
      </c>
      <c r="BK370" s="20">
        <v>0</v>
      </c>
      <c r="BL370" s="20">
        <v>0</v>
      </c>
      <c r="BM370" s="20">
        <v>0</v>
      </c>
      <c r="BN370" s="20">
        <v>612151494999</v>
      </c>
      <c r="BO370" s="111">
        <v>46229</v>
      </c>
      <c r="BP370" s="20">
        <v>0</v>
      </c>
    </row>
    <row r="371" spans="2:68">
      <c r="B371" s="20" t="s">
        <v>2216</v>
      </c>
      <c r="C371" s="20" t="s">
        <v>3248</v>
      </c>
      <c r="D371" s="20" t="s">
        <v>3797</v>
      </c>
      <c r="E371" s="20" t="s">
        <v>160</v>
      </c>
      <c r="F371" s="20" t="s">
        <v>17</v>
      </c>
      <c r="H371" s="20" t="s">
        <v>3798</v>
      </c>
      <c r="I371" s="20">
        <v>81</v>
      </c>
      <c r="J371" s="20">
        <v>81</v>
      </c>
      <c r="K371" s="20" t="s">
        <v>11</v>
      </c>
      <c r="L371" s="20">
        <v>81</v>
      </c>
      <c r="M371" s="20">
        <v>0</v>
      </c>
      <c r="N371" s="20">
        <v>81</v>
      </c>
      <c r="O371" s="20" t="s">
        <v>2201</v>
      </c>
      <c r="P371" s="20" t="s">
        <v>87</v>
      </c>
      <c r="Q371" s="20" t="s">
        <v>87</v>
      </c>
      <c r="R371" s="20" t="s">
        <v>3256</v>
      </c>
      <c r="S371" s="20" t="s">
        <v>3248</v>
      </c>
      <c r="T371" s="20" t="s">
        <v>206</v>
      </c>
      <c r="U371" s="20" t="s">
        <v>207</v>
      </c>
      <c r="V371" s="20" t="s">
        <v>3255</v>
      </c>
      <c r="W371" s="20">
        <v>186.78</v>
      </c>
      <c r="X371" s="20">
        <v>186.77999991399301</v>
      </c>
      <c r="Y371" s="20" t="s">
        <v>3256</v>
      </c>
      <c r="Z371" s="20" t="s">
        <v>3248</v>
      </c>
      <c r="AB371" s="20" t="s">
        <v>2376</v>
      </c>
      <c r="AD371" s="20" t="s">
        <v>2376</v>
      </c>
      <c r="AE371" s="20" t="s">
        <v>2376</v>
      </c>
      <c r="AF371" s="20">
        <v>0</v>
      </c>
      <c r="AG371" s="20">
        <v>0</v>
      </c>
      <c r="AH371" s="20">
        <v>0</v>
      </c>
      <c r="AI371" s="20">
        <v>0</v>
      </c>
      <c r="AJ371" s="20">
        <v>0</v>
      </c>
      <c r="AK371" s="20" t="s">
        <v>609</v>
      </c>
      <c r="AL371" s="20">
        <v>0</v>
      </c>
      <c r="AM371" s="20">
        <v>0</v>
      </c>
      <c r="AN371" s="20">
        <v>0</v>
      </c>
      <c r="AO371" s="20">
        <v>0</v>
      </c>
      <c r="AP371" s="20">
        <v>0</v>
      </c>
      <c r="AR371" s="20">
        <v>0</v>
      </c>
      <c r="AS371" s="20">
        <v>0</v>
      </c>
      <c r="AT371" s="20">
        <v>2171693.35</v>
      </c>
      <c r="AU371" s="20" t="s">
        <v>13</v>
      </c>
      <c r="AV371" s="20" t="s">
        <v>80</v>
      </c>
      <c r="AW371" s="20" t="s">
        <v>81</v>
      </c>
      <c r="AX371" s="20" t="s">
        <v>208</v>
      </c>
      <c r="AY371" s="20" t="s">
        <v>209</v>
      </c>
      <c r="AZ371" s="20">
        <v>0</v>
      </c>
      <c r="BA371" s="20">
        <v>15129.18</v>
      </c>
      <c r="BB371" s="20">
        <v>973</v>
      </c>
      <c r="BC371" s="20" t="s">
        <v>3248</v>
      </c>
      <c r="BD371" s="20" t="s">
        <v>65</v>
      </c>
      <c r="BE371" s="20" t="s">
        <v>210</v>
      </c>
      <c r="BF371" s="20" t="s">
        <v>210</v>
      </c>
      <c r="BG371" s="20">
        <v>9</v>
      </c>
      <c r="BH371" s="20">
        <v>1361.63</v>
      </c>
      <c r="BI371" s="20">
        <v>9</v>
      </c>
      <c r="BJ371" s="20">
        <v>1361.63</v>
      </c>
      <c r="BK371" s="20">
        <v>0</v>
      </c>
      <c r="BL371" s="20">
        <v>0</v>
      </c>
      <c r="BM371" s="20">
        <v>0</v>
      </c>
      <c r="BN371" s="20">
        <v>612151494999</v>
      </c>
      <c r="BO371" s="111">
        <v>46229</v>
      </c>
      <c r="BP371" s="20">
        <v>0</v>
      </c>
    </row>
    <row r="372" spans="2:68">
      <c r="B372" s="20" t="s">
        <v>2216</v>
      </c>
      <c r="C372" s="20" t="s">
        <v>3248</v>
      </c>
      <c r="D372" s="20" t="s">
        <v>3797</v>
      </c>
      <c r="E372" s="20" t="s">
        <v>23</v>
      </c>
      <c r="F372" s="20" t="s">
        <v>24</v>
      </c>
      <c r="H372" s="20" t="s">
        <v>3798</v>
      </c>
      <c r="I372" s="20">
        <v>1321.8</v>
      </c>
      <c r="J372" s="20">
        <v>1321.8</v>
      </c>
      <c r="K372" s="20" t="s">
        <v>11</v>
      </c>
      <c r="L372" s="20">
        <v>1321.8</v>
      </c>
      <c r="M372" s="20">
        <v>0</v>
      </c>
      <c r="N372" s="20">
        <v>1321.8</v>
      </c>
      <c r="O372" s="20" t="s">
        <v>2201</v>
      </c>
      <c r="P372" s="20" t="s">
        <v>87</v>
      </c>
      <c r="Q372" s="20" t="s">
        <v>87</v>
      </c>
      <c r="R372" s="20" t="s">
        <v>3256</v>
      </c>
      <c r="S372" s="20" t="s">
        <v>3248</v>
      </c>
      <c r="T372" s="20" t="s">
        <v>206</v>
      </c>
      <c r="U372" s="20" t="s">
        <v>207</v>
      </c>
      <c r="V372" s="20" t="s">
        <v>3255</v>
      </c>
      <c r="W372" s="20">
        <v>149.49</v>
      </c>
      <c r="X372" s="20">
        <v>149.48999993116399</v>
      </c>
      <c r="Y372" s="20" t="s">
        <v>3256</v>
      </c>
      <c r="Z372" s="20" t="s">
        <v>3248</v>
      </c>
      <c r="AB372" s="20" t="s">
        <v>2376</v>
      </c>
      <c r="AD372" s="20" t="s">
        <v>2376</v>
      </c>
      <c r="AE372" s="20" t="s">
        <v>2376</v>
      </c>
      <c r="AF372" s="20">
        <v>0</v>
      </c>
      <c r="AG372" s="20">
        <v>0</v>
      </c>
      <c r="AH372" s="20">
        <v>0</v>
      </c>
      <c r="AI372" s="20">
        <v>0</v>
      </c>
      <c r="AJ372" s="20">
        <v>0</v>
      </c>
      <c r="AK372" s="20" t="s">
        <v>609</v>
      </c>
      <c r="AL372" s="20">
        <v>0</v>
      </c>
      <c r="AM372" s="20">
        <v>0</v>
      </c>
      <c r="AN372" s="20">
        <v>0</v>
      </c>
      <c r="AO372" s="20">
        <v>0</v>
      </c>
      <c r="AP372" s="20">
        <v>0</v>
      </c>
      <c r="AR372" s="20">
        <v>0</v>
      </c>
      <c r="AS372" s="20">
        <v>0</v>
      </c>
      <c r="AT372" s="20">
        <v>2171693.35</v>
      </c>
      <c r="AU372" s="20" t="s">
        <v>13</v>
      </c>
      <c r="AV372" s="20" t="s">
        <v>24</v>
      </c>
      <c r="AW372" s="20" t="s">
        <v>79</v>
      </c>
      <c r="AX372" s="20" t="s">
        <v>208</v>
      </c>
      <c r="AY372" s="20" t="s">
        <v>209</v>
      </c>
      <c r="AZ372" s="20">
        <v>0</v>
      </c>
      <c r="BA372" s="20">
        <v>197595.88</v>
      </c>
      <c r="BB372" s="20">
        <v>973</v>
      </c>
      <c r="BC372" s="20" t="s">
        <v>3248</v>
      </c>
      <c r="BD372" s="20" t="s">
        <v>65</v>
      </c>
      <c r="BE372" s="20" t="s">
        <v>210</v>
      </c>
      <c r="BF372" s="20" t="s">
        <v>210</v>
      </c>
      <c r="BG372" s="20">
        <v>9</v>
      </c>
      <c r="BH372" s="20">
        <v>17783.63</v>
      </c>
      <c r="BI372" s="20">
        <v>9</v>
      </c>
      <c r="BJ372" s="20">
        <v>17783.63</v>
      </c>
      <c r="BK372" s="20">
        <v>0</v>
      </c>
      <c r="BL372" s="20">
        <v>0</v>
      </c>
      <c r="BM372" s="20">
        <v>0</v>
      </c>
      <c r="BN372" s="20">
        <v>612151494999</v>
      </c>
      <c r="BO372" s="111">
        <v>46229</v>
      </c>
      <c r="BP372" s="20">
        <v>0</v>
      </c>
    </row>
    <row r="373" spans="2:68">
      <c r="B373" s="20" t="s">
        <v>2216</v>
      </c>
      <c r="C373" s="20" t="s">
        <v>3248</v>
      </c>
      <c r="D373" s="20" t="s">
        <v>3797</v>
      </c>
      <c r="E373" s="20" t="s">
        <v>23</v>
      </c>
      <c r="F373" s="20" t="s">
        <v>24</v>
      </c>
      <c r="H373" s="20" t="s">
        <v>3798</v>
      </c>
      <c r="I373" s="20">
        <v>1004.3</v>
      </c>
      <c r="J373" s="20">
        <v>1004.3</v>
      </c>
      <c r="K373" s="20" t="s">
        <v>11</v>
      </c>
      <c r="L373" s="20">
        <v>1004.3</v>
      </c>
      <c r="M373" s="20">
        <v>0</v>
      </c>
      <c r="N373" s="20">
        <v>1004.3</v>
      </c>
      <c r="O373" s="20" t="s">
        <v>2201</v>
      </c>
      <c r="P373" s="20" t="s">
        <v>87</v>
      </c>
      <c r="Q373" s="20" t="s">
        <v>87</v>
      </c>
      <c r="R373" s="20" t="s">
        <v>3256</v>
      </c>
      <c r="S373" s="20" t="s">
        <v>3248</v>
      </c>
      <c r="T373" s="20" t="s">
        <v>206</v>
      </c>
      <c r="U373" s="20" t="s">
        <v>207</v>
      </c>
      <c r="V373" s="20" t="s">
        <v>3255</v>
      </c>
      <c r="W373" s="20">
        <v>146.49</v>
      </c>
      <c r="X373" s="20">
        <v>146.489999932546</v>
      </c>
      <c r="Y373" s="20" t="s">
        <v>3256</v>
      </c>
      <c r="Z373" s="20" t="s">
        <v>3248</v>
      </c>
      <c r="AB373" s="20" t="s">
        <v>2376</v>
      </c>
      <c r="AD373" s="20" t="s">
        <v>2376</v>
      </c>
      <c r="AE373" s="20" t="s">
        <v>2376</v>
      </c>
      <c r="AF373" s="20">
        <v>0</v>
      </c>
      <c r="AG373" s="20">
        <v>0</v>
      </c>
      <c r="AH373" s="20">
        <v>0</v>
      </c>
      <c r="AI373" s="20">
        <v>0</v>
      </c>
      <c r="AJ373" s="20">
        <v>0</v>
      </c>
      <c r="AK373" s="20" t="s">
        <v>609</v>
      </c>
      <c r="AL373" s="20">
        <v>0</v>
      </c>
      <c r="AM373" s="20">
        <v>0</v>
      </c>
      <c r="AN373" s="20">
        <v>0</v>
      </c>
      <c r="AO373" s="20">
        <v>0</v>
      </c>
      <c r="AP373" s="20">
        <v>0</v>
      </c>
      <c r="AR373" s="20">
        <v>0</v>
      </c>
      <c r="AS373" s="20">
        <v>0</v>
      </c>
      <c r="AT373" s="20">
        <v>2171693.35</v>
      </c>
      <c r="AU373" s="20" t="s">
        <v>13</v>
      </c>
      <c r="AV373" s="20" t="s">
        <v>24</v>
      </c>
      <c r="AW373" s="20" t="s">
        <v>79</v>
      </c>
      <c r="AX373" s="20" t="s">
        <v>208</v>
      </c>
      <c r="AY373" s="20" t="s">
        <v>209</v>
      </c>
      <c r="AZ373" s="20">
        <v>0</v>
      </c>
      <c r="BA373" s="20">
        <v>147119.91</v>
      </c>
      <c r="BB373" s="20">
        <v>973</v>
      </c>
      <c r="BC373" s="20" t="s">
        <v>3248</v>
      </c>
      <c r="BD373" s="20" t="s">
        <v>65</v>
      </c>
      <c r="BE373" s="20" t="s">
        <v>210</v>
      </c>
      <c r="BF373" s="20" t="s">
        <v>210</v>
      </c>
      <c r="BG373" s="20">
        <v>9</v>
      </c>
      <c r="BH373" s="20">
        <v>13240.79</v>
      </c>
      <c r="BI373" s="20">
        <v>9</v>
      </c>
      <c r="BJ373" s="20">
        <v>13240.79</v>
      </c>
      <c r="BK373" s="20">
        <v>0</v>
      </c>
      <c r="BL373" s="20">
        <v>0</v>
      </c>
      <c r="BM373" s="20">
        <v>0</v>
      </c>
      <c r="BN373" s="20">
        <v>612151494999</v>
      </c>
      <c r="BO373" s="111">
        <v>46229</v>
      </c>
      <c r="BP373" s="20">
        <v>0</v>
      </c>
    </row>
    <row r="374" spans="2:68">
      <c r="B374" s="20" t="s">
        <v>2216</v>
      </c>
      <c r="C374" s="20" t="s">
        <v>3248</v>
      </c>
      <c r="D374" s="20" t="s">
        <v>3797</v>
      </c>
      <c r="E374" s="20" t="s">
        <v>20</v>
      </c>
      <c r="F374" s="20" t="s">
        <v>21</v>
      </c>
      <c r="H374" s="20" t="s">
        <v>3798</v>
      </c>
      <c r="I374" s="20">
        <v>2377</v>
      </c>
      <c r="J374" s="20">
        <v>2377</v>
      </c>
      <c r="K374" s="20" t="s">
        <v>11</v>
      </c>
      <c r="L374" s="20">
        <v>2377</v>
      </c>
      <c r="M374" s="20">
        <v>0</v>
      </c>
      <c r="N374" s="20">
        <v>2377</v>
      </c>
      <c r="O374" s="20" t="s">
        <v>2201</v>
      </c>
      <c r="P374" s="20" t="s">
        <v>87</v>
      </c>
      <c r="Q374" s="20" t="s">
        <v>87</v>
      </c>
      <c r="R374" s="20" t="s">
        <v>3256</v>
      </c>
      <c r="S374" s="20" t="s">
        <v>3248</v>
      </c>
      <c r="T374" s="20" t="s">
        <v>206</v>
      </c>
      <c r="U374" s="20" t="s">
        <v>207</v>
      </c>
      <c r="V374" s="20" t="s">
        <v>3255</v>
      </c>
      <c r="W374" s="20">
        <v>151.49</v>
      </c>
      <c r="X374" s="20">
        <v>151.48999993024299</v>
      </c>
      <c r="Y374" s="20" t="s">
        <v>3256</v>
      </c>
      <c r="Z374" s="20" t="s">
        <v>3248</v>
      </c>
      <c r="AB374" s="20" t="s">
        <v>2376</v>
      </c>
      <c r="AD374" s="20" t="s">
        <v>2376</v>
      </c>
      <c r="AE374" s="20" t="s">
        <v>2376</v>
      </c>
      <c r="AF374" s="20">
        <v>0</v>
      </c>
      <c r="AG374" s="20">
        <v>0</v>
      </c>
      <c r="AH374" s="20">
        <v>0</v>
      </c>
      <c r="AI374" s="20">
        <v>0</v>
      </c>
      <c r="AJ374" s="20">
        <v>0</v>
      </c>
      <c r="AK374" s="20" t="s">
        <v>609</v>
      </c>
      <c r="AL374" s="20">
        <v>0</v>
      </c>
      <c r="AM374" s="20">
        <v>0</v>
      </c>
      <c r="AN374" s="20">
        <v>0</v>
      </c>
      <c r="AO374" s="20">
        <v>0</v>
      </c>
      <c r="AP374" s="20">
        <v>0</v>
      </c>
      <c r="AR374" s="20">
        <v>0</v>
      </c>
      <c r="AS374" s="20">
        <v>0</v>
      </c>
      <c r="AT374" s="20">
        <v>2171693.35</v>
      </c>
      <c r="AU374" s="20" t="s">
        <v>13</v>
      </c>
      <c r="AV374" s="20" t="s">
        <v>62</v>
      </c>
      <c r="AW374" s="20" t="s">
        <v>76</v>
      </c>
      <c r="AX374" s="20" t="s">
        <v>208</v>
      </c>
      <c r="AY374" s="20" t="s">
        <v>209</v>
      </c>
      <c r="AZ374" s="20">
        <v>0</v>
      </c>
      <c r="BA374" s="20">
        <v>360091.73</v>
      </c>
      <c r="BB374" s="20">
        <v>973</v>
      </c>
      <c r="BC374" s="20" t="s">
        <v>3248</v>
      </c>
      <c r="BD374" s="20" t="s">
        <v>65</v>
      </c>
      <c r="BE374" s="20" t="s">
        <v>210</v>
      </c>
      <c r="BF374" s="20" t="s">
        <v>210</v>
      </c>
      <c r="BG374" s="20">
        <v>9</v>
      </c>
      <c r="BH374" s="20">
        <v>32408.26</v>
      </c>
      <c r="BI374" s="20">
        <v>9</v>
      </c>
      <c r="BJ374" s="20">
        <v>32408.26</v>
      </c>
      <c r="BK374" s="20">
        <v>0</v>
      </c>
      <c r="BL374" s="20">
        <v>0</v>
      </c>
      <c r="BM374" s="20">
        <v>0</v>
      </c>
      <c r="BN374" s="20">
        <v>612151494999</v>
      </c>
      <c r="BO374" s="111">
        <v>46229</v>
      </c>
      <c r="BP374" s="20">
        <v>0</v>
      </c>
    </row>
    <row r="375" spans="2:68">
      <c r="B375" s="20" t="s">
        <v>2216</v>
      </c>
      <c r="C375" s="20" t="s">
        <v>3248</v>
      </c>
      <c r="D375" s="20" t="s">
        <v>3797</v>
      </c>
      <c r="E375" s="20" t="s">
        <v>20</v>
      </c>
      <c r="F375" s="20" t="s">
        <v>21</v>
      </c>
      <c r="H375" s="20" t="s">
        <v>3798</v>
      </c>
      <c r="I375" s="20">
        <v>604</v>
      </c>
      <c r="J375" s="20">
        <v>604</v>
      </c>
      <c r="K375" s="20" t="s">
        <v>11</v>
      </c>
      <c r="L375" s="20">
        <v>604</v>
      </c>
      <c r="M375" s="20">
        <v>0</v>
      </c>
      <c r="N375" s="20">
        <v>604</v>
      </c>
      <c r="O375" s="20" t="s">
        <v>2201</v>
      </c>
      <c r="P375" s="20" t="s">
        <v>87</v>
      </c>
      <c r="Q375" s="20" t="s">
        <v>87</v>
      </c>
      <c r="R375" s="20" t="s">
        <v>3256</v>
      </c>
      <c r="S375" s="20" t="s">
        <v>3248</v>
      </c>
      <c r="T375" s="20" t="s">
        <v>206</v>
      </c>
      <c r="U375" s="20" t="s">
        <v>207</v>
      </c>
      <c r="V375" s="20" t="s">
        <v>3255</v>
      </c>
      <c r="W375" s="20">
        <v>148.49</v>
      </c>
      <c r="X375" s="20">
        <v>148.48999993162499</v>
      </c>
      <c r="Y375" s="20" t="s">
        <v>3256</v>
      </c>
      <c r="Z375" s="20" t="s">
        <v>3248</v>
      </c>
      <c r="AB375" s="20" t="s">
        <v>2376</v>
      </c>
      <c r="AD375" s="20" t="s">
        <v>2376</v>
      </c>
      <c r="AE375" s="20" t="s">
        <v>2376</v>
      </c>
      <c r="AF375" s="20">
        <v>0</v>
      </c>
      <c r="AG375" s="20">
        <v>0</v>
      </c>
      <c r="AH375" s="20">
        <v>0</v>
      </c>
      <c r="AI375" s="20">
        <v>0</v>
      </c>
      <c r="AJ375" s="20">
        <v>0</v>
      </c>
      <c r="AK375" s="20" t="s">
        <v>609</v>
      </c>
      <c r="AL375" s="20">
        <v>0</v>
      </c>
      <c r="AM375" s="20">
        <v>0</v>
      </c>
      <c r="AN375" s="20">
        <v>0</v>
      </c>
      <c r="AO375" s="20">
        <v>0</v>
      </c>
      <c r="AP375" s="20">
        <v>0</v>
      </c>
      <c r="AR375" s="20">
        <v>0</v>
      </c>
      <c r="AS375" s="20">
        <v>0</v>
      </c>
      <c r="AT375" s="20">
        <v>2171693.35</v>
      </c>
      <c r="AU375" s="20" t="s">
        <v>13</v>
      </c>
      <c r="AV375" s="20" t="s">
        <v>62</v>
      </c>
      <c r="AW375" s="20" t="s">
        <v>76</v>
      </c>
      <c r="AX375" s="20" t="s">
        <v>208</v>
      </c>
      <c r="AY375" s="20" t="s">
        <v>209</v>
      </c>
      <c r="AZ375" s="20">
        <v>0</v>
      </c>
      <c r="BA375" s="20">
        <v>89687.96</v>
      </c>
      <c r="BB375" s="20">
        <v>973</v>
      </c>
      <c r="BC375" s="20" t="s">
        <v>3248</v>
      </c>
      <c r="BD375" s="20" t="s">
        <v>65</v>
      </c>
      <c r="BE375" s="20" t="s">
        <v>210</v>
      </c>
      <c r="BF375" s="20" t="s">
        <v>210</v>
      </c>
      <c r="BG375" s="20">
        <v>9</v>
      </c>
      <c r="BH375" s="20">
        <v>8071.92</v>
      </c>
      <c r="BI375" s="20">
        <v>9</v>
      </c>
      <c r="BJ375" s="20">
        <v>8071.92</v>
      </c>
      <c r="BK375" s="20">
        <v>0</v>
      </c>
      <c r="BL375" s="20">
        <v>0</v>
      </c>
      <c r="BM375" s="20">
        <v>0</v>
      </c>
      <c r="BN375" s="20">
        <v>612151494999</v>
      </c>
      <c r="BO375" s="111">
        <v>46229</v>
      </c>
      <c r="BP375" s="20">
        <v>0</v>
      </c>
    </row>
    <row r="376" spans="2:68">
      <c r="B376" s="20" t="s">
        <v>2216</v>
      </c>
      <c r="C376" s="20" t="s">
        <v>3257</v>
      </c>
      <c r="D376" s="20" t="s">
        <v>3799</v>
      </c>
      <c r="E376" s="20" t="s">
        <v>18</v>
      </c>
      <c r="F376" s="20" t="s">
        <v>19</v>
      </c>
      <c r="H376" s="20" t="s">
        <v>3800</v>
      </c>
      <c r="I376" s="20">
        <v>5977</v>
      </c>
      <c r="J376" s="20">
        <v>5977</v>
      </c>
      <c r="K376" s="20" t="s">
        <v>11</v>
      </c>
      <c r="L376" s="20">
        <v>5977</v>
      </c>
      <c r="M376" s="20">
        <v>0</v>
      </c>
      <c r="N376" s="20">
        <v>5977</v>
      </c>
      <c r="O376" s="20" t="s">
        <v>2203</v>
      </c>
      <c r="P376" s="20" t="s">
        <v>87</v>
      </c>
      <c r="Q376" s="20" t="s">
        <v>87</v>
      </c>
      <c r="R376" s="20" t="s">
        <v>3261</v>
      </c>
      <c r="S376" s="20" t="s">
        <v>3257</v>
      </c>
      <c r="T376" s="20" t="s">
        <v>206</v>
      </c>
      <c r="U376" s="20" t="s">
        <v>207</v>
      </c>
      <c r="V376" s="20" t="s">
        <v>3260</v>
      </c>
      <c r="W376" s="20">
        <v>144.49</v>
      </c>
      <c r="X376" s="20">
        <v>144.49</v>
      </c>
      <c r="Y376" s="20" t="s">
        <v>3261</v>
      </c>
      <c r="Z376" s="20" t="s">
        <v>3257</v>
      </c>
      <c r="AB376" s="20" t="s">
        <v>2376</v>
      </c>
      <c r="AD376" s="20" t="s">
        <v>2376</v>
      </c>
      <c r="AE376" s="20" t="s">
        <v>2376</v>
      </c>
      <c r="AF376" s="20">
        <v>0</v>
      </c>
      <c r="AG376" s="20">
        <v>0</v>
      </c>
      <c r="AH376" s="20">
        <v>0</v>
      </c>
      <c r="AI376" s="20">
        <v>0</v>
      </c>
      <c r="AJ376" s="20">
        <v>0</v>
      </c>
      <c r="AK376" s="20" t="s">
        <v>609</v>
      </c>
      <c r="AL376" s="20">
        <v>0</v>
      </c>
      <c r="AM376" s="20">
        <v>0</v>
      </c>
      <c r="AN376" s="20">
        <v>0</v>
      </c>
      <c r="AO376" s="20">
        <v>0</v>
      </c>
      <c r="AP376" s="20">
        <v>0</v>
      </c>
      <c r="AR376" s="20">
        <v>0</v>
      </c>
      <c r="AS376" s="20">
        <v>0</v>
      </c>
      <c r="AT376" s="20">
        <v>1152687.1399999999</v>
      </c>
      <c r="AU376" s="20" t="s">
        <v>13</v>
      </c>
      <c r="AV376" s="20" t="s">
        <v>62</v>
      </c>
      <c r="AW376" s="20" t="s">
        <v>63</v>
      </c>
      <c r="AX376" s="20" t="s">
        <v>208</v>
      </c>
      <c r="AY376" s="20" t="s">
        <v>209</v>
      </c>
      <c r="AZ376" s="20">
        <v>0</v>
      </c>
      <c r="BA376" s="20">
        <v>863616.73</v>
      </c>
      <c r="BB376" s="20">
        <v>977</v>
      </c>
      <c r="BC376" s="20" t="s">
        <v>3257</v>
      </c>
      <c r="BD376" s="20" t="s">
        <v>65</v>
      </c>
      <c r="BE376" s="20" t="s">
        <v>210</v>
      </c>
      <c r="BF376" s="20" t="s">
        <v>210</v>
      </c>
      <c r="BG376" s="20">
        <v>9</v>
      </c>
      <c r="BH376" s="20">
        <v>77725.509999999995</v>
      </c>
      <c r="BI376" s="20">
        <v>9</v>
      </c>
      <c r="BJ376" s="20">
        <v>77725.509999999995</v>
      </c>
      <c r="BK376" s="20">
        <v>0</v>
      </c>
      <c r="BL376" s="20">
        <v>0</v>
      </c>
      <c r="BM376" s="20">
        <v>1152687.1399999999</v>
      </c>
      <c r="BN376" s="20">
        <v>612151732550</v>
      </c>
      <c r="BO376" s="111">
        <v>46230</v>
      </c>
      <c r="BP376" s="20">
        <v>0</v>
      </c>
    </row>
    <row r="377" spans="2:68">
      <c r="B377" s="20" t="s">
        <v>2216</v>
      </c>
      <c r="C377" s="20" t="s">
        <v>3257</v>
      </c>
      <c r="D377" s="20" t="s">
        <v>3799</v>
      </c>
      <c r="E377" s="20" t="s">
        <v>18</v>
      </c>
      <c r="F377" s="20" t="s">
        <v>19</v>
      </c>
      <c r="H377" s="20" t="s">
        <v>3800</v>
      </c>
      <c r="I377" s="20">
        <v>773</v>
      </c>
      <c r="J377" s="20">
        <v>773</v>
      </c>
      <c r="K377" s="20" t="s">
        <v>11</v>
      </c>
      <c r="L377" s="20">
        <v>773</v>
      </c>
      <c r="M377" s="20">
        <v>0</v>
      </c>
      <c r="N377" s="20">
        <v>773</v>
      </c>
      <c r="O377" s="20" t="s">
        <v>2203</v>
      </c>
      <c r="P377" s="20" t="s">
        <v>87</v>
      </c>
      <c r="Q377" s="20" t="s">
        <v>87</v>
      </c>
      <c r="R377" s="20" t="s">
        <v>3261</v>
      </c>
      <c r="S377" s="20" t="s">
        <v>3257</v>
      </c>
      <c r="T377" s="20" t="s">
        <v>206</v>
      </c>
      <c r="U377" s="20" t="s">
        <v>207</v>
      </c>
      <c r="V377" s="20" t="s">
        <v>3260</v>
      </c>
      <c r="W377" s="20">
        <v>146.49</v>
      </c>
      <c r="X377" s="20">
        <v>146.49</v>
      </c>
      <c r="Y377" s="20" t="s">
        <v>3261</v>
      </c>
      <c r="Z377" s="20" t="s">
        <v>3257</v>
      </c>
      <c r="AB377" s="20" t="s">
        <v>2376</v>
      </c>
      <c r="AD377" s="20" t="s">
        <v>2376</v>
      </c>
      <c r="AE377" s="20" t="s">
        <v>2376</v>
      </c>
      <c r="AF377" s="20">
        <v>0</v>
      </c>
      <c r="AG377" s="20">
        <v>0</v>
      </c>
      <c r="AH377" s="20">
        <v>0</v>
      </c>
      <c r="AI377" s="20">
        <v>0</v>
      </c>
      <c r="AJ377" s="20">
        <v>0</v>
      </c>
      <c r="AK377" s="20" t="s">
        <v>609</v>
      </c>
      <c r="AL377" s="20">
        <v>0</v>
      </c>
      <c r="AM377" s="20">
        <v>0</v>
      </c>
      <c r="AN377" s="20">
        <v>0</v>
      </c>
      <c r="AO377" s="20">
        <v>0</v>
      </c>
      <c r="AP377" s="20">
        <v>0</v>
      </c>
      <c r="AR377" s="20">
        <v>0</v>
      </c>
      <c r="AS377" s="20">
        <v>0</v>
      </c>
      <c r="AT377" s="20">
        <v>1152687.1399999999</v>
      </c>
      <c r="AU377" s="20" t="s">
        <v>13</v>
      </c>
      <c r="AV377" s="20" t="s">
        <v>62</v>
      </c>
      <c r="AW377" s="20" t="s">
        <v>63</v>
      </c>
      <c r="AX377" s="20" t="s">
        <v>208</v>
      </c>
      <c r="AY377" s="20" t="s">
        <v>209</v>
      </c>
      <c r="AZ377" s="20">
        <v>0</v>
      </c>
      <c r="BA377" s="20">
        <v>113236.77</v>
      </c>
      <c r="BB377" s="20">
        <v>977</v>
      </c>
      <c r="BC377" s="20" t="s">
        <v>3257</v>
      </c>
      <c r="BD377" s="20" t="s">
        <v>65</v>
      </c>
      <c r="BE377" s="20" t="s">
        <v>210</v>
      </c>
      <c r="BF377" s="20" t="s">
        <v>210</v>
      </c>
      <c r="BG377" s="20">
        <v>9</v>
      </c>
      <c r="BH377" s="20">
        <v>10191.31</v>
      </c>
      <c r="BI377" s="20">
        <v>9</v>
      </c>
      <c r="BJ377" s="20">
        <v>10191.31</v>
      </c>
      <c r="BK377" s="20">
        <v>0</v>
      </c>
      <c r="BL377" s="20">
        <v>0</v>
      </c>
      <c r="BM377" s="20">
        <v>0</v>
      </c>
      <c r="BN377" s="20">
        <v>612151732550</v>
      </c>
      <c r="BO377" s="111">
        <v>46230</v>
      </c>
      <c r="BP377" s="20">
        <v>0</v>
      </c>
    </row>
    <row r="378" spans="2:68">
      <c r="B378" s="20" t="s">
        <v>2216</v>
      </c>
      <c r="C378" s="20" t="s">
        <v>3257</v>
      </c>
      <c r="D378" s="20" t="s">
        <v>3801</v>
      </c>
      <c r="E378" s="20" t="s">
        <v>18</v>
      </c>
      <c r="F378" s="20" t="s">
        <v>19</v>
      </c>
      <c r="H378" s="20" t="s">
        <v>3802</v>
      </c>
      <c r="I378" s="20">
        <v>3102</v>
      </c>
      <c r="J378" s="20">
        <v>3102</v>
      </c>
      <c r="K378" s="20" t="s">
        <v>11</v>
      </c>
      <c r="L378" s="20">
        <v>3102</v>
      </c>
      <c r="M378" s="20">
        <v>0</v>
      </c>
      <c r="N378" s="20">
        <v>3102</v>
      </c>
      <c r="O378" s="20" t="s">
        <v>2203</v>
      </c>
      <c r="P378" s="20" t="s">
        <v>87</v>
      </c>
      <c r="Q378" s="20" t="s">
        <v>87</v>
      </c>
      <c r="R378" s="20" t="s">
        <v>3263</v>
      </c>
      <c r="S378" s="20" t="s">
        <v>3257</v>
      </c>
      <c r="T378" s="20" t="s">
        <v>206</v>
      </c>
      <c r="U378" s="20" t="s">
        <v>207</v>
      </c>
      <c r="V378" s="20" t="s">
        <v>3262</v>
      </c>
      <c r="W378" s="20">
        <v>144.49</v>
      </c>
      <c r="X378" s="20">
        <v>144.490001817311</v>
      </c>
      <c r="Y378" s="20" t="s">
        <v>3263</v>
      </c>
      <c r="Z378" s="20" t="s">
        <v>3257</v>
      </c>
      <c r="AB378" s="20" t="s">
        <v>2376</v>
      </c>
      <c r="AD378" s="20" t="s">
        <v>2376</v>
      </c>
      <c r="AE378" s="20" t="s">
        <v>2376</v>
      </c>
      <c r="AF378" s="20">
        <v>0</v>
      </c>
      <c r="AG378" s="20">
        <v>0</v>
      </c>
      <c r="AH378" s="20">
        <v>0</v>
      </c>
      <c r="AI378" s="20">
        <v>0</v>
      </c>
      <c r="AJ378" s="20">
        <v>0</v>
      </c>
      <c r="AK378" s="20" t="s">
        <v>609</v>
      </c>
      <c r="AL378" s="20">
        <v>0</v>
      </c>
      <c r="AM378" s="20">
        <v>0</v>
      </c>
      <c r="AN378" s="20">
        <v>0</v>
      </c>
      <c r="AO378" s="20">
        <v>0</v>
      </c>
      <c r="AP378" s="20">
        <v>0</v>
      </c>
      <c r="AR378" s="20">
        <v>0</v>
      </c>
      <c r="AS378" s="20">
        <v>0</v>
      </c>
      <c r="AT378" s="20">
        <v>1749166.82</v>
      </c>
      <c r="AU378" s="20" t="s">
        <v>13</v>
      </c>
      <c r="AV378" s="20" t="s">
        <v>62</v>
      </c>
      <c r="AW378" s="20" t="s">
        <v>63</v>
      </c>
      <c r="AX378" s="20" t="s">
        <v>208</v>
      </c>
      <c r="AY378" s="20" t="s">
        <v>209</v>
      </c>
      <c r="AZ378" s="20">
        <v>0</v>
      </c>
      <c r="BA378" s="20">
        <v>448207.99</v>
      </c>
      <c r="BB378" s="20">
        <v>979</v>
      </c>
      <c r="BC378" s="20" t="s">
        <v>3257</v>
      </c>
      <c r="BD378" s="20" t="s">
        <v>65</v>
      </c>
      <c r="BE378" s="20" t="s">
        <v>210</v>
      </c>
      <c r="BF378" s="20" t="s">
        <v>210</v>
      </c>
      <c r="BG378" s="20">
        <v>9</v>
      </c>
      <c r="BH378" s="20">
        <v>40338.720000000001</v>
      </c>
      <c r="BI378" s="20">
        <v>9</v>
      </c>
      <c r="BJ378" s="20">
        <v>40338.720000000001</v>
      </c>
      <c r="BK378" s="20">
        <v>0</v>
      </c>
      <c r="BL378" s="20">
        <v>0</v>
      </c>
      <c r="BM378" s="20">
        <v>1749166.82</v>
      </c>
      <c r="BN378" s="20">
        <v>652151963798</v>
      </c>
      <c r="BO378" s="111">
        <v>46230</v>
      </c>
      <c r="BP378" s="20">
        <v>0</v>
      </c>
    </row>
    <row r="379" spans="2:68">
      <c r="B379" s="20" t="s">
        <v>2216</v>
      </c>
      <c r="C379" s="20" t="s">
        <v>3257</v>
      </c>
      <c r="D379" s="20" t="s">
        <v>3801</v>
      </c>
      <c r="E379" s="20" t="s">
        <v>160</v>
      </c>
      <c r="F379" s="20" t="s">
        <v>17</v>
      </c>
      <c r="H379" s="20" t="s">
        <v>3802</v>
      </c>
      <c r="I379" s="20">
        <v>1041</v>
      </c>
      <c r="J379" s="20">
        <v>1041</v>
      </c>
      <c r="K379" s="20" t="s">
        <v>11</v>
      </c>
      <c r="L379" s="20">
        <v>1041</v>
      </c>
      <c r="M379" s="20">
        <v>0</v>
      </c>
      <c r="N379" s="20">
        <v>1041</v>
      </c>
      <c r="O379" s="20" t="s">
        <v>2203</v>
      </c>
      <c r="P379" s="20" t="s">
        <v>87</v>
      </c>
      <c r="Q379" s="20" t="s">
        <v>87</v>
      </c>
      <c r="R379" s="20" t="s">
        <v>3263</v>
      </c>
      <c r="S379" s="20" t="s">
        <v>3257</v>
      </c>
      <c r="T379" s="20" t="s">
        <v>206</v>
      </c>
      <c r="U379" s="20" t="s">
        <v>207</v>
      </c>
      <c r="V379" s="20" t="s">
        <v>3262</v>
      </c>
      <c r="W379" s="20">
        <v>182.78</v>
      </c>
      <c r="X379" s="20">
        <v>182.7800022989</v>
      </c>
      <c r="Y379" s="20" t="s">
        <v>3263</v>
      </c>
      <c r="Z379" s="20" t="s">
        <v>3257</v>
      </c>
      <c r="AB379" s="20" t="s">
        <v>2376</v>
      </c>
      <c r="AD379" s="20" t="s">
        <v>2376</v>
      </c>
      <c r="AE379" s="20" t="s">
        <v>2376</v>
      </c>
      <c r="AF379" s="20">
        <v>0</v>
      </c>
      <c r="AG379" s="20">
        <v>0</v>
      </c>
      <c r="AH379" s="20">
        <v>0</v>
      </c>
      <c r="AI379" s="20">
        <v>0</v>
      </c>
      <c r="AJ379" s="20">
        <v>0</v>
      </c>
      <c r="AK379" s="20" t="s">
        <v>609</v>
      </c>
      <c r="AL379" s="20">
        <v>0</v>
      </c>
      <c r="AM379" s="20">
        <v>0</v>
      </c>
      <c r="AN379" s="20">
        <v>0</v>
      </c>
      <c r="AO379" s="20">
        <v>0</v>
      </c>
      <c r="AP379" s="20">
        <v>0</v>
      </c>
      <c r="AR379" s="20">
        <v>0</v>
      </c>
      <c r="AS379" s="20">
        <v>0</v>
      </c>
      <c r="AT379" s="20">
        <v>1749166.82</v>
      </c>
      <c r="AU379" s="20" t="s">
        <v>13</v>
      </c>
      <c r="AV379" s="20" t="s">
        <v>80</v>
      </c>
      <c r="AW379" s="20" t="s">
        <v>81</v>
      </c>
      <c r="AX379" s="20" t="s">
        <v>208</v>
      </c>
      <c r="AY379" s="20" t="s">
        <v>209</v>
      </c>
      <c r="AZ379" s="20">
        <v>0</v>
      </c>
      <c r="BA379" s="20">
        <v>190273.98</v>
      </c>
      <c r="BB379" s="20">
        <v>979</v>
      </c>
      <c r="BC379" s="20" t="s">
        <v>3257</v>
      </c>
      <c r="BD379" s="20" t="s">
        <v>65</v>
      </c>
      <c r="BE379" s="20" t="s">
        <v>210</v>
      </c>
      <c r="BF379" s="20" t="s">
        <v>210</v>
      </c>
      <c r="BG379" s="20">
        <v>9</v>
      </c>
      <c r="BH379" s="20">
        <v>17124.66</v>
      </c>
      <c r="BI379" s="20">
        <v>9</v>
      </c>
      <c r="BJ379" s="20">
        <v>17124.66</v>
      </c>
      <c r="BK379" s="20">
        <v>0</v>
      </c>
      <c r="BL379" s="20">
        <v>0</v>
      </c>
      <c r="BM379" s="20">
        <v>0</v>
      </c>
      <c r="BN379" s="20">
        <v>652151963798</v>
      </c>
      <c r="BO379" s="111">
        <v>46230</v>
      </c>
      <c r="BP379" s="20">
        <v>0</v>
      </c>
    </row>
    <row r="380" spans="2:68">
      <c r="B380" s="20" t="s">
        <v>2216</v>
      </c>
      <c r="C380" s="20" t="s">
        <v>3257</v>
      </c>
      <c r="D380" s="20" t="s">
        <v>3801</v>
      </c>
      <c r="E380" s="20" t="s">
        <v>160</v>
      </c>
      <c r="F380" s="20" t="s">
        <v>17</v>
      </c>
      <c r="H380" s="20" t="s">
        <v>3802</v>
      </c>
      <c r="I380" s="20">
        <v>80</v>
      </c>
      <c r="J380" s="20">
        <v>80</v>
      </c>
      <c r="K380" s="20" t="s">
        <v>11</v>
      </c>
      <c r="L380" s="20">
        <v>80</v>
      </c>
      <c r="M380" s="20">
        <v>0</v>
      </c>
      <c r="N380" s="20">
        <v>80</v>
      </c>
      <c r="O380" s="20" t="s">
        <v>2203</v>
      </c>
      <c r="P380" s="20" t="s">
        <v>87</v>
      </c>
      <c r="Q380" s="20" t="s">
        <v>87</v>
      </c>
      <c r="R380" s="20" t="s">
        <v>3263</v>
      </c>
      <c r="S380" s="20" t="s">
        <v>3257</v>
      </c>
      <c r="T380" s="20" t="s">
        <v>206</v>
      </c>
      <c r="U380" s="20" t="s">
        <v>207</v>
      </c>
      <c r="V380" s="20" t="s">
        <v>3262</v>
      </c>
      <c r="W380" s="20">
        <v>186.78</v>
      </c>
      <c r="X380" s="20">
        <v>186.78000234921001</v>
      </c>
      <c r="Y380" s="20" t="s">
        <v>3263</v>
      </c>
      <c r="Z380" s="20" t="s">
        <v>3257</v>
      </c>
      <c r="AB380" s="20" t="s">
        <v>2376</v>
      </c>
      <c r="AD380" s="20" t="s">
        <v>2376</v>
      </c>
      <c r="AE380" s="20" t="s">
        <v>2376</v>
      </c>
      <c r="AF380" s="20">
        <v>0</v>
      </c>
      <c r="AG380" s="20">
        <v>0</v>
      </c>
      <c r="AH380" s="20">
        <v>0</v>
      </c>
      <c r="AI380" s="20">
        <v>0</v>
      </c>
      <c r="AJ380" s="20">
        <v>0</v>
      </c>
      <c r="AK380" s="20" t="s">
        <v>609</v>
      </c>
      <c r="AL380" s="20">
        <v>0</v>
      </c>
      <c r="AM380" s="20">
        <v>0</v>
      </c>
      <c r="AN380" s="20">
        <v>0</v>
      </c>
      <c r="AO380" s="20">
        <v>0</v>
      </c>
      <c r="AP380" s="20">
        <v>0</v>
      </c>
      <c r="AR380" s="20">
        <v>0</v>
      </c>
      <c r="AS380" s="20">
        <v>0</v>
      </c>
      <c r="AT380" s="20">
        <v>1749166.82</v>
      </c>
      <c r="AU380" s="20" t="s">
        <v>13</v>
      </c>
      <c r="AV380" s="20" t="s">
        <v>80</v>
      </c>
      <c r="AW380" s="20" t="s">
        <v>81</v>
      </c>
      <c r="AX380" s="20" t="s">
        <v>208</v>
      </c>
      <c r="AY380" s="20" t="s">
        <v>209</v>
      </c>
      <c r="AZ380" s="20">
        <v>0</v>
      </c>
      <c r="BA380" s="20">
        <v>14942.4</v>
      </c>
      <c r="BB380" s="20">
        <v>979</v>
      </c>
      <c r="BC380" s="20" t="s">
        <v>3257</v>
      </c>
      <c r="BD380" s="20" t="s">
        <v>65</v>
      </c>
      <c r="BE380" s="20" t="s">
        <v>210</v>
      </c>
      <c r="BF380" s="20" t="s">
        <v>210</v>
      </c>
      <c r="BG380" s="20">
        <v>9</v>
      </c>
      <c r="BH380" s="20">
        <v>1344.82</v>
      </c>
      <c r="BI380" s="20">
        <v>9</v>
      </c>
      <c r="BJ380" s="20">
        <v>1344.82</v>
      </c>
      <c r="BK380" s="20">
        <v>0</v>
      </c>
      <c r="BL380" s="20">
        <v>0</v>
      </c>
      <c r="BM380" s="20">
        <v>0</v>
      </c>
      <c r="BN380" s="20">
        <v>652151963798</v>
      </c>
      <c r="BO380" s="111">
        <v>46230</v>
      </c>
      <c r="BP380" s="20">
        <v>0</v>
      </c>
    </row>
    <row r="381" spans="2:68">
      <c r="B381" s="20" t="s">
        <v>2216</v>
      </c>
      <c r="C381" s="20" t="s">
        <v>3257</v>
      </c>
      <c r="D381" s="20" t="s">
        <v>3801</v>
      </c>
      <c r="E381" s="20" t="s">
        <v>20</v>
      </c>
      <c r="F381" s="20" t="s">
        <v>21</v>
      </c>
      <c r="H381" s="20" t="s">
        <v>3802</v>
      </c>
      <c r="I381" s="20">
        <v>1281</v>
      </c>
      <c r="J381" s="20">
        <v>1281</v>
      </c>
      <c r="K381" s="20" t="s">
        <v>11</v>
      </c>
      <c r="L381" s="20">
        <v>1281</v>
      </c>
      <c r="M381" s="20">
        <v>0</v>
      </c>
      <c r="N381" s="20">
        <v>1281</v>
      </c>
      <c r="O381" s="20" t="s">
        <v>2203</v>
      </c>
      <c r="P381" s="20" t="s">
        <v>87</v>
      </c>
      <c r="Q381" s="20" t="s">
        <v>87</v>
      </c>
      <c r="R381" s="20" t="s">
        <v>3263</v>
      </c>
      <c r="S381" s="20" t="s">
        <v>3257</v>
      </c>
      <c r="T381" s="20" t="s">
        <v>206</v>
      </c>
      <c r="U381" s="20" t="s">
        <v>207</v>
      </c>
      <c r="V381" s="20" t="s">
        <v>3262</v>
      </c>
      <c r="W381" s="20">
        <v>146.49</v>
      </c>
      <c r="X381" s="20">
        <v>146.490001842466</v>
      </c>
      <c r="Y381" s="20" t="s">
        <v>3263</v>
      </c>
      <c r="Z381" s="20" t="s">
        <v>3257</v>
      </c>
      <c r="AB381" s="20" t="s">
        <v>2376</v>
      </c>
      <c r="AD381" s="20" t="s">
        <v>2376</v>
      </c>
      <c r="AE381" s="20" t="s">
        <v>2376</v>
      </c>
      <c r="AF381" s="20">
        <v>0</v>
      </c>
      <c r="AG381" s="20">
        <v>0</v>
      </c>
      <c r="AH381" s="20">
        <v>0</v>
      </c>
      <c r="AI381" s="20">
        <v>0</v>
      </c>
      <c r="AJ381" s="20">
        <v>0</v>
      </c>
      <c r="AK381" s="20" t="s">
        <v>609</v>
      </c>
      <c r="AL381" s="20">
        <v>0</v>
      </c>
      <c r="AM381" s="20">
        <v>0</v>
      </c>
      <c r="AN381" s="20">
        <v>0</v>
      </c>
      <c r="AO381" s="20">
        <v>0</v>
      </c>
      <c r="AP381" s="20">
        <v>0</v>
      </c>
      <c r="AR381" s="20">
        <v>0</v>
      </c>
      <c r="AS381" s="20">
        <v>0</v>
      </c>
      <c r="AT381" s="20">
        <v>1749166.82</v>
      </c>
      <c r="AU381" s="20" t="s">
        <v>13</v>
      </c>
      <c r="AV381" s="20" t="s">
        <v>62</v>
      </c>
      <c r="AW381" s="20" t="s">
        <v>76</v>
      </c>
      <c r="AX381" s="20" t="s">
        <v>208</v>
      </c>
      <c r="AY381" s="20" t="s">
        <v>209</v>
      </c>
      <c r="AZ381" s="20">
        <v>0</v>
      </c>
      <c r="BA381" s="20">
        <v>187653.69</v>
      </c>
      <c r="BB381" s="20">
        <v>979</v>
      </c>
      <c r="BC381" s="20" t="s">
        <v>3257</v>
      </c>
      <c r="BD381" s="20" t="s">
        <v>65</v>
      </c>
      <c r="BE381" s="20" t="s">
        <v>210</v>
      </c>
      <c r="BF381" s="20" t="s">
        <v>210</v>
      </c>
      <c r="BG381" s="20">
        <v>9</v>
      </c>
      <c r="BH381" s="20">
        <v>16888.830000000002</v>
      </c>
      <c r="BI381" s="20">
        <v>9</v>
      </c>
      <c r="BJ381" s="20">
        <v>16888.830000000002</v>
      </c>
      <c r="BK381" s="20">
        <v>0</v>
      </c>
      <c r="BL381" s="20">
        <v>0</v>
      </c>
      <c r="BM381" s="20">
        <v>0</v>
      </c>
      <c r="BN381" s="20">
        <v>652151963798</v>
      </c>
      <c r="BO381" s="111">
        <v>46230</v>
      </c>
      <c r="BP381" s="20">
        <v>0</v>
      </c>
    </row>
    <row r="382" spans="2:68">
      <c r="B382" s="20" t="s">
        <v>2216</v>
      </c>
      <c r="C382" s="20" t="s">
        <v>3257</v>
      </c>
      <c r="D382" s="20" t="s">
        <v>3801</v>
      </c>
      <c r="E382" s="20" t="s">
        <v>20</v>
      </c>
      <c r="F382" s="20" t="s">
        <v>21</v>
      </c>
      <c r="H382" s="20" t="s">
        <v>3802</v>
      </c>
      <c r="I382" s="20">
        <v>793</v>
      </c>
      <c r="J382" s="20">
        <v>793</v>
      </c>
      <c r="K382" s="20" t="s">
        <v>11</v>
      </c>
      <c r="L382" s="20">
        <v>793</v>
      </c>
      <c r="M382" s="20">
        <v>0</v>
      </c>
      <c r="N382" s="20">
        <v>793</v>
      </c>
      <c r="O382" s="20" t="s">
        <v>2203</v>
      </c>
      <c r="P382" s="20" t="s">
        <v>87</v>
      </c>
      <c r="Q382" s="20" t="s">
        <v>87</v>
      </c>
      <c r="R382" s="20" t="s">
        <v>3263</v>
      </c>
      <c r="S382" s="20" t="s">
        <v>3257</v>
      </c>
      <c r="T382" s="20" t="s">
        <v>206</v>
      </c>
      <c r="U382" s="20" t="s">
        <v>207</v>
      </c>
      <c r="V382" s="20" t="s">
        <v>3262</v>
      </c>
      <c r="W382" s="20">
        <v>151.49</v>
      </c>
      <c r="X382" s="20">
        <v>151.49000190535301</v>
      </c>
      <c r="Y382" s="20" t="s">
        <v>3263</v>
      </c>
      <c r="Z382" s="20" t="s">
        <v>3257</v>
      </c>
      <c r="AB382" s="20" t="s">
        <v>2376</v>
      </c>
      <c r="AD382" s="20" t="s">
        <v>2376</v>
      </c>
      <c r="AE382" s="20" t="s">
        <v>2376</v>
      </c>
      <c r="AF382" s="20">
        <v>0</v>
      </c>
      <c r="AG382" s="20">
        <v>0</v>
      </c>
      <c r="AH382" s="20">
        <v>0</v>
      </c>
      <c r="AI382" s="20">
        <v>0</v>
      </c>
      <c r="AJ382" s="20">
        <v>0</v>
      </c>
      <c r="AK382" s="20" t="s">
        <v>609</v>
      </c>
      <c r="AL382" s="20">
        <v>0</v>
      </c>
      <c r="AM382" s="20">
        <v>0</v>
      </c>
      <c r="AN382" s="20">
        <v>0</v>
      </c>
      <c r="AO382" s="20">
        <v>0</v>
      </c>
      <c r="AP382" s="20">
        <v>0</v>
      </c>
      <c r="AR382" s="20">
        <v>0</v>
      </c>
      <c r="AS382" s="20">
        <v>0</v>
      </c>
      <c r="AT382" s="20">
        <v>1749166.82</v>
      </c>
      <c r="AU382" s="20" t="s">
        <v>13</v>
      </c>
      <c r="AV382" s="20" t="s">
        <v>62</v>
      </c>
      <c r="AW382" s="20" t="s">
        <v>76</v>
      </c>
      <c r="AX382" s="20" t="s">
        <v>208</v>
      </c>
      <c r="AY382" s="20" t="s">
        <v>209</v>
      </c>
      <c r="AZ382" s="20">
        <v>0</v>
      </c>
      <c r="BA382" s="20">
        <v>120131.57</v>
      </c>
      <c r="BB382" s="20">
        <v>979</v>
      </c>
      <c r="BC382" s="20" t="s">
        <v>3257</v>
      </c>
      <c r="BD382" s="20" t="s">
        <v>65</v>
      </c>
      <c r="BE382" s="20" t="s">
        <v>210</v>
      </c>
      <c r="BF382" s="20" t="s">
        <v>210</v>
      </c>
      <c r="BG382" s="20">
        <v>9</v>
      </c>
      <c r="BH382" s="20">
        <v>10811.84</v>
      </c>
      <c r="BI382" s="20">
        <v>9</v>
      </c>
      <c r="BJ382" s="20">
        <v>10811.84</v>
      </c>
      <c r="BK382" s="20">
        <v>0</v>
      </c>
      <c r="BL382" s="20">
        <v>0</v>
      </c>
      <c r="BM382" s="20">
        <v>0</v>
      </c>
      <c r="BN382" s="20">
        <v>652151963798</v>
      </c>
      <c r="BO382" s="111">
        <v>46230</v>
      </c>
      <c r="BP382" s="20">
        <v>0</v>
      </c>
    </row>
    <row r="383" spans="2:68">
      <c r="B383" s="20" t="s">
        <v>2216</v>
      </c>
      <c r="C383" s="20" t="s">
        <v>3257</v>
      </c>
      <c r="D383" s="20" t="s">
        <v>3801</v>
      </c>
      <c r="E383" s="20" t="s">
        <v>20</v>
      </c>
      <c r="F383" s="20" t="s">
        <v>21</v>
      </c>
      <c r="H383" s="20" t="s">
        <v>3802</v>
      </c>
      <c r="I383" s="20">
        <v>1602</v>
      </c>
      <c r="J383" s="20">
        <v>1602</v>
      </c>
      <c r="K383" s="20" t="s">
        <v>11</v>
      </c>
      <c r="L383" s="20">
        <v>1602</v>
      </c>
      <c r="M383" s="20">
        <v>0</v>
      </c>
      <c r="N383" s="20">
        <v>1602</v>
      </c>
      <c r="O383" s="20" t="s">
        <v>2203</v>
      </c>
      <c r="P383" s="20" t="s">
        <v>87</v>
      </c>
      <c r="Q383" s="20" t="s">
        <v>87</v>
      </c>
      <c r="R383" s="20" t="s">
        <v>3263</v>
      </c>
      <c r="S383" s="20" t="s">
        <v>3257</v>
      </c>
      <c r="T383" s="20" t="s">
        <v>206</v>
      </c>
      <c r="U383" s="20" t="s">
        <v>207</v>
      </c>
      <c r="V383" s="20" t="s">
        <v>3262</v>
      </c>
      <c r="W383" s="20">
        <v>151.49</v>
      </c>
      <c r="X383" s="20">
        <v>151.49000190535301</v>
      </c>
      <c r="Y383" s="20" t="s">
        <v>3263</v>
      </c>
      <c r="Z383" s="20" t="s">
        <v>3257</v>
      </c>
      <c r="AB383" s="20" t="s">
        <v>2376</v>
      </c>
      <c r="AD383" s="20" t="s">
        <v>2376</v>
      </c>
      <c r="AE383" s="20" t="s">
        <v>2376</v>
      </c>
      <c r="AF383" s="20">
        <v>0</v>
      </c>
      <c r="AG383" s="20">
        <v>0</v>
      </c>
      <c r="AH383" s="20">
        <v>0</v>
      </c>
      <c r="AI383" s="20">
        <v>0</v>
      </c>
      <c r="AJ383" s="20">
        <v>0</v>
      </c>
      <c r="AK383" s="20" t="s">
        <v>609</v>
      </c>
      <c r="AL383" s="20">
        <v>0</v>
      </c>
      <c r="AM383" s="20">
        <v>0</v>
      </c>
      <c r="AN383" s="20">
        <v>0</v>
      </c>
      <c r="AO383" s="20">
        <v>0</v>
      </c>
      <c r="AP383" s="20">
        <v>0</v>
      </c>
      <c r="AR383" s="20">
        <v>0</v>
      </c>
      <c r="AS383" s="20">
        <v>0</v>
      </c>
      <c r="AT383" s="20">
        <v>1749166.82</v>
      </c>
      <c r="AU383" s="20" t="s">
        <v>13</v>
      </c>
      <c r="AV383" s="20" t="s">
        <v>62</v>
      </c>
      <c r="AW383" s="20" t="s">
        <v>76</v>
      </c>
      <c r="AX383" s="20" t="s">
        <v>208</v>
      </c>
      <c r="AY383" s="20" t="s">
        <v>209</v>
      </c>
      <c r="AZ383" s="20">
        <v>0</v>
      </c>
      <c r="BA383" s="20">
        <v>242686.98</v>
      </c>
      <c r="BB383" s="20">
        <v>979</v>
      </c>
      <c r="BC383" s="20" t="s">
        <v>3257</v>
      </c>
      <c r="BD383" s="20" t="s">
        <v>65</v>
      </c>
      <c r="BE383" s="20" t="s">
        <v>210</v>
      </c>
      <c r="BF383" s="20" t="s">
        <v>210</v>
      </c>
      <c r="BG383" s="20">
        <v>9</v>
      </c>
      <c r="BH383" s="20">
        <v>21841.83</v>
      </c>
      <c r="BI383" s="20">
        <v>9</v>
      </c>
      <c r="BJ383" s="20">
        <v>21841.83</v>
      </c>
      <c r="BK383" s="20">
        <v>0</v>
      </c>
      <c r="BL383" s="20">
        <v>0</v>
      </c>
      <c r="BM383" s="20">
        <v>0</v>
      </c>
      <c r="BN383" s="20">
        <v>652151963798</v>
      </c>
      <c r="BO383" s="111">
        <v>46230</v>
      </c>
      <c r="BP383" s="20">
        <v>0</v>
      </c>
    </row>
    <row r="384" spans="2:68">
      <c r="B384" s="20" t="s">
        <v>2216</v>
      </c>
      <c r="C384" s="20" t="s">
        <v>3257</v>
      </c>
      <c r="D384" s="20" t="s">
        <v>3801</v>
      </c>
      <c r="E384" s="20" t="s">
        <v>23</v>
      </c>
      <c r="F384" s="20" t="s">
        <v>24</v>
      </c>
      <c r="H384" s="20" t="s">
        <v>3802</v>
      </c>
      <c r="I384" s="20">
        <v>1201.2</v>
      </c>
      <c r="J384" s="20">
        <v>1201.2</v>
      </c>
      <c r="K384" s="20" t="s">
        <v>11</v>
      </c>
      <c r="L384" s="20">
        <v>1201.2</v>
      </c>
      <c r="M384" s="20">
        <v>0</v>
      </c>
      <c r="N384" s="20">
        <v>1201.2</v>
      </c>
      <c r="O384" s="20" t="s">
        <v>2203</v>
      </c>
      <c r="P384" s="20" t="s">
        <v>87</v>
      </c>
      <c r="Q384" s="20" t="s">
        <v>87</v>
      </c>
      <c r="R384" s="20" t="s">
        <v>3263</v>
      </c>
      <c r="S384" s="20" t="s">
        <v>3257</v>
      </c>
      <c r="T384" s="20" t="s">
        <v>206</v>
      </c>
      <c r="U384" s="20" t="s">
        <v>207</v>
      </c>
      <c r="V384" s="20" t="s">
        <v>3262</v>
      </c>
      <c r="W384" s="20">
        <v>149.49</v>
      </c>
      <c r="X384" s="20">
        <v>149.49000188019801</v>
      </c>
      <c r="Y384" s="20" t="s">
        <v>3263</v>
      </c>
      <c r="Z384" s="20" t="s">
        <v>3257</v>
      </c>
      <c r="AB384" s="20" t="s">
        <v>2376</v>
      </c>
      <c r="AD384" s="20" t="s">
        <v>2376</v>
      </c>
      <c r="AE384" s="20" t="s">
        <v>2376</v>
      </c>
      <c r="AF384" s="20">
        <v>0</v>
      </c>
      <c r="AG384" s="20">
        <v>0</v>
      </c>
      <c r="AH384" s="20">
        <v>0</v>
      </c>
      <c r="AI384" s="20">
        <v>0</v>
      </c>
      <c r="AJ384" s="20">
        <v>0</v>
      </c>
      <c r="AK384" s="20" t="s">
        <v>609</v>
      </c>
      <c r="AL384" s="20">
        <v>0</v>
      </c>
      <c r="AM384" s="20">
        <v>0</v>
      </c>
      <c r="AN384" s="20">
        <v>0</v>
      </c>
      <c r="AO384" s="20">
        <v>0</v>
      </c>
      <c r="AP384" s="20">
        <v>0</v>
      </c>
      <c r="AR384" s="20">
        <v>0</v>
      </c>
      <c r="AS384" s="20">
        <v>0</v>
      </c>
      <c r="AT384" s="20">
        <v>1749166.82</v>
      </c>
      <c r="AU384" s="20" t="s">
        <v>13</v>
      </c>
      <c r="AV384" s="20" t="s">
        <v>24</v>
      </c>
      <c r="AW384" s="20" t="s">
        <v>79</v>
      </c>
      <c r="AX384" s="20" t="s">
        <v>208</v>
      </c>
      <c r="AY384" s="20" t="s">
        <v>209</v>
      </c>
      <c r="AZ384" s="20">
        <v>0</v>
      </c>
      <c r="BA384" s="20">
        <v>179567.39</v>
      </c>
      <c r="BB384" s="20">
        <v>979</v>
      </c>
      <c r="BC384" s="20" t="s">
        <v>3257</v>
      </c>
      <c r="BD384" s="20" t="s">
        <v>65</v>
      </c>
      <c r="BE384" s="20" t="s">
        <v>210</v>
      </c>
      <c r="BF384" s="20" t="s">
        <v>210</v>
      </c>
      <c r="BG384" s="20">
        <v>9</v>
      </c>
      <c r="BH384" s="20">
        <v>16161.06</v>
      </c>
      <c r="BI384" s="20">
        <v>9</v>
      </c>
      <c r="BJ384" s="20">
        <v>16161.06</v>
      </c>
      <c r="BK384" s="20">
        <v>0</v>
      </c>
      <c r="BL384" s="20">
        <v>0</v>
      </c>
      <c r="BM384" s="20">
        <v>0</v>
      </c>
      <c r="BN384" s="20">
        <v>652151963798</v>
      </c>
      <c r="BO384" s="111">
        <v>46230</v>
      </c>
      <c r="BP384" s="20">
        <v>0</v>
      </c>
    </row>
    <row r="385" spans="2:68">
      <c r="B385" s="20" t="s">
        <v>2216</v>
      </c>
      <c r="C385" s="20" t="s">
        <v>3257</v>
      </c>
      <c r="D385" s="20" t="s">
        <v>3801</v>
      </c>
      <c r="E385" s="20" t="s">
        <v>23</v>
      </c>
      <c r="F385" s="20" t="s">
        <v>24</v>
      </c>
      <c r="H385" s="20" t="s">
        <v>3802</v>
      </c>
      <c r="I385" s="20">
        <v>675</v>
      </c>
      <c r="J385" s="20">
        <v>675</v>
      </c>
      <c r="K385" s="20" t="s">
        <v>11</v>
      </c>
      <c r="L385" s="20">
        <v>675</v>
      </c>
      <c r="M385" s="20">
        <v>0</v>
      </c>
      <c r="N385" s="20">
        <v>675</v>
      </c>
      <c r="O385" s="20" t="s">
        <v>2203</v>
      </c>
      <c r="P385" s="20" t="s">
        <v>87</v>
      </c>
      <c r="Q385" s="20" t="s">
        <v>87</v>
      </c>
      <c r="R385" s="20" t="s">
        <v>3263</v>
      </c>
      <c r="S385" s="20" t="s">
        <v>3257</v>
      </c>
      <c r="T385" s="20" t="s">
        <v>206</v>
      </c>
      <c r="U385" s="20" t="s">
        <v>207</v>
      </c>
      <c r="V385" s="20" t="s">
        <v>3262</v>
      </c>
      <c r="W385" s="20">
        <v>146.49</v>
      </c>
      <c r="X385" s="20">
        <v>146.490001842466</v>
      </c>
      <c r="Y385" s="20" t="s">
        <v>3263</v>
      </c>
      <c r="Z385" s="20" t="s">
        <v>3257</v>
      </c>
      <c r="AB385" s="20" t="s">
        <v>2376</v>
      </c>
      <c r="AD385" s="20" t="s">
        <v>2376</v>
      </c>
      <c r="AE385" s="20" t="s">
        <v>2376</v>
      </c>
      <c r="AF385" s="20">
        <v>0</v>
      </c>
      <c r="AG385" s="20">
        <v>0</v>
      </c>
      <c r="AH385" s="20">
        <v>0</v>
      </c>
      <c r="AI385" s="20">
        <v>0</v>
      </c>
      <c r="AJ385" s="20">
        <v>0</v>
      </c>
      <c r="AK385" s="20" t="s">
        <v>609</v>
      </c>
      <c r="AL385" s="20">
        <v>0</v>
      </c>
      <c r="AM385" s="20">
        <v>0</v>
      </c>
      <c r="AN385" s="20">
        <v>0</v>
      </c>
      <c r="AO385" s="20">
        <v>0</v>
      </c>
      <c r="AP385" s="20">
        <v>0</v>
      </c>
      <c r="AR385" s="20">
        <v>0</v>
      </c>
      <c r="AS385" s="20">
        <v>0</v>
      </c>
      <c r="AT385" s="20">
        <v>1749166.82</v>
      </c>
      <c r="AU385" s="20" t="s">
        <v>13</v>
      </c>
      <c r="AV385" s="20" t="s">
        <v>24</v>
      </c>
      <c r="AW385" s="20" t="s">
        <v>79</v>
      </c>
      <c r="AX385" s="20" t="s">
        <v>208</v>
      </c>
      <c r="AY385" s="20" t="s">
        <v>209</v>
      </c>
      <c r="AZ385" s="20">
        <v>0</v>
      </c>
      <c r="BA385" s="20">
        <v>98880.75</v>
      </c>
      <c r="BB385" s="20">
        <v>979</v>
      </c>
      <c r="BC385" s="20" t="s">
        <v>3257</v>
      </c>
      <c r="BD385" s="20" t="s">
        <v>65</v>
      </c>
      <c r="BE385" s="20" t="s">
        <v>210</v>
      </c>
      <c r="BF385" s="20" t="s">
        <v>210</v>
      </c>
      <c r="BG385" s="20">
        <v>9</v>
      </c>
      <c r="BH385" s="20">
        <v>8899.27</v>
      </c>
      <c r="BI385" s="20">
        <v>9</v>
      </c>
      <c r="BJ385" s="20">
        <v>8899.27</v>
      </c>
      <c r="BK385" s="20">
        <v>0</v>
      </c>
      <c r="BL385" s="20">
        <v>0</v>
      </c>
      <c r="BM385" s="20">
        <v>0</v>
      </c>
      <c r="BN385" s="20">
        <v>652151963798</v>
      </c>
      <c r="BO385" s="111">
        <v>46230</v>
      </c>
      <c r="BP385" s="20">
        <v>0</v>
      </c>
    </row>
    <row r="386" spans="2:68">
      <c r="B386" s="20" t="s">
        <v>2216</v>
      </c>
      <c r="C386" s="20" t="s">
        <v>3264</v>
      </c>
      <c r="D386" s="20" t="s">
        <v>3803</v>
      </c>
      <c r="E386" s="20" t="s">
        <v>211</v>
      </c>
      <c r="F386" s="20" t="s">
        <v>16</v>
      </c>
      <c r="H386" s="20" t="s">
        <v>3804</v>
      </c>
      <c r="I386" s="20">
        <v>3232</v>
      </c>
      <c r="J386" s="20">
        <v>3232</v>
      </c>
      <c r="K386" s="20" t="s">
        <v>11</v>
      </c>
      <c r="L386" s="20">
        <v>3232</v>
      </c>
      <c r="M386" s="20">
        <v>0</v>
      </c>
      <c r="N386" s="20">
        <v>3232</v>
      </c>
      <c r="O386" s="20" t="s">
        <v>2442</v>
      </c>
      <c r="P386" s="20" t="s">
        <v>94</v>
      </c>
      <c r="Q386" s="20" t="s">
        <v>94</v>
      </c>
      <c r="R386" s="20" t="s">
        <v>3289</v>
      </c>
      <c r="S386" s="20" t="s">
        <v>3264</v>
      </c>
      <c r="T386" s="20" t="s">
        <v>206</v>
      </c>
      <c r="U386" s="20" t="s">
        <v>207</v>
      </c>
      <c r="V386" s="20" t="s">
        <v>3288</v>
      </c>
      <c r="W386" s="20">
        <v>233.23</v>
      </c>
      <c r="X386" s="20">
        <v>233.23</v>
      </c>
      <c r="Y386" s="20" t="s">
        <v>3289</v>
      </c>
      <c r="Z386" s="20" t="s">
        <v>3264</v>
      </c>
      <c r="AB386" s="20" t="s">
        <v>2376</v>
      </c>
      <c r="AD386" s="20" t="s">
        <v>2376</v>
      </c>
      <c r="AE386" s="20" t="s">
        <v>2376</v>
      </c>
      <c r="AF386" s="20">
        <v>0</v>
      </c>
      <c r="AG386" s="20">
        <v>0</v>
      </c>
      <c r="AH386" s="20">
        <v>0</v>
      </c>
      <c r="AI386" s="20">
        <v>0</v>
      </c>
      <c r="AJ386" s="20">
        <v>0</v>
      </c>
      <c r="AK386" s="20" t="s">
        <v>609</v>
      </c>
      <c r="AL386" s="20">
        <v>0</v>
      </c>
      <c r="AM386" s="20">
        <v>0</v>
      </c>
      <c r="AN386" s="20">
        <v>0</v>
      </c>
      <c r="AO386" s="20">
        <v>0</v>
      </c>
      <c r="AP386" s="20">
        <v>0</v>
      </c>
      <c r="AR386" s="20">
        <v>0</v>
      </c>
      <c r="AS386" s="20">
        <v>0</v>
      </c>
      <c r="AT386" s="20">
        <v>2321384.71</v>
      </c>
      <c r="AU386" s="20" t="s">
        <v>15</v>
      </c>
      <c r="AV386" s="20" t="s">
        <v>57</v>
      </c>
      <c r="AW386" s="20" t="s">
        <v>57</v>
      </c>
      <c r="AX386" s="20" t="s">
        <v>15</v>
      </c>
      <c r="AY386" s="20" t="s">
        <v>209</v>
      </c>
      <c r="AZ386" s="20">
        <v>0</v>
      </c>
      <c r="BA386" s="20">
        <v>753799.36</v>
      </c>
      <c r="BB386" s="20">
        <v>984</v>
      </c>
      <c r="BC386" s="20" t="s">
        <v>3264</v>
      </c>
      <c r="BD386" s="20" t="s">
        <v>74</v>
      </c>
      <c r="BE386" s="20" t="s">
        <v>210</v>
      </c>
      <c r="BF386" s="20" t="s">
        <v>210</v>
      </c>
      <c r="BG386" s="20">
        <v>9</v>
      </c>
      <c r="BH386" s="20">
        <v>67841.94</v>
      </c>
      <c r="BI386" s="20">
        <v>9</v>
      </c>
      <c r="BJ386" s="20">
        <v>67841.94</v>
      </c>
      <c r="BK386" s="20">
        <v>0</v>
      </c>
      <c r="BL386" s="20">
        <v>0</v>
      </c>
      <c r="BM386" s="20">
        <v>2321384.71</v>
      </c>
      <c r="BN386" s="20">
        <v>652152522217</v>
      </c>
      <c r="BO386" s="111">
        <v>46231</v>
      </c>
      <c r="BP386" s="20">
        <v>0</v>
      </c>
    </row>
    <row r="387" spans="2:68">
      <c r="B387" s="20" t="s">
        <v>2216</v>
      </c>
      <c r="C387" s="20" t="s">
        <v>3264</v>
      </c>
      <c r="D387" s="20" t="s">
        <v>3803</v>
      </c>
      <c r="E387" s="20" t="s">
        <v>211</v>
      </c>
      <c r="F387" s="20" t="s">
        <v>16</v>
      </c>
      <c r="H387" s="20" t="s">
        <v>3804</v>
      </c>
      <c r="I387" s="20">
        <v>1752</v>
      </c>
      <c r="J387" s="20">
        <v>1752</v>
      </c>
      <c r="K387" s="20" t="s">
        <v>11</v>
      </c>
      <c r="L387" s="20">
        <v>1752</v>
      </c>
      <c r="M387" s="20">
        <v>0</v>
      </c>
      <c r="N387" s="20">
        <v>1752</v>
      </c>
      <c r="O387" s="20" t="s">
        <v>2442</v>
      </c>
      <c r="P387" s="20" t="s">
        <v>94</v>
      </c>
      <c r="Q387" s="20" t="s">
        <v>94</v>
      </c>
      <c r="R387" s="20" t="s">
        <v>3289</v>
      </c>
      <c r="S387" s="20" t="s">
        <v>3264</v>
      </c>
      <c r="T387" s="20" t="s">
        <v>206</v>
      </c>
      <c r="U387" s="20" t="s">
        <v>207</v>
      </c>
      <c r="V387" s="20" t="s">
        <v>3288</v>
      </c>
      <c r="W387" s="20">
        <v>206.78</v>
      </c>
      <c r="X387" s="20">
        <v>206.78</v>
      </c>
      <c r="Y387" s="20" t="s">
        <v>3289</v>
      </c>
      <c r="Z387" s="20" t="s">
        <v>3264</v>
      </c>
      <c r="AB387" s="20" t="s">
        <v>2376</v>
      </c>
      <c r="AD387" s="20" t="s">
        <v>2376</v>
      </c>
      <c r="AE387" s="20" t="s">
        <v>2376</v>
      </c>
      <c r="AF387" s="20">
        <v>0</v>
      </c>
      <c r="AG387" s="20">
        <v>0</v>
      </c>
      <c r="AH387" s="20">
        <v>0</v>
      </c>
      <c r="AI387" s="20">
        <v>0</v>
      </c>
      <c r="AJ387" s="20">
        <v>0</v>
      </c>
      <c r="AK387" s="20" t="s">
        <v>609</v>
      </c>
      <c r="AL387" s="20">
        <v>0</v>
      </c>
      <c r="AM387" s="20">
        <v>0</v>
      </c>
      <c r="AN387" s="20">
        <v>0</v>
      </c>
      <c r="AO387" s="20">
        <v>0</v>
      </c>
      <c r="AP387" s="20">
        <v>0</v>
      </c>
      <c r="AR387" s="20">
        <v>0</v>
      </c>
      <c r="AS387" s="20">
        <v>0</v>
      </c>
      <c r="AT387" s="20">
        <v>2321384.71</v>
      </c>
      <c r="AU387" s="20" t="s">
        <v>15</v>
      </c>
      <c r="AV387" s="20" t="s">
        <v>57</v>
      </c>
      <c r="AW387" s="20" t="s">
        <v>57</v>
      </c>
      <c r="AX387" s="20" t="s">
        <v>15</v>
      </c>
      <c r="AY387" s="20" t="s">
        <v>209</v>
      </c>
      <c r="AZ387" s="20">
        <v>0</v>
      </c>
      <c r="BA387" s="20">
        <v>362278.56</v>
      </c>
      <c r="BB387" s="20">
        <v>984</v>
      </c>
      <c r="BC387" s="20" t="s">
        <v>3264</v>
      </c>
      <c r="BD387" s="20" t="s">
        <v>74</v>
      </c>
      <c r="BE387" s="20" t="s">
        <v>210</v>
      </c>
      <c r="BF387" s="20" t="s">
        <v>210</v>
      </c>
      <c r="BG387" s="20">
        <v>9</v>
      </c>
      <c r="BH387" s="20">
        <v>32605.07</v>
      </c>
      <c r="BI387" s="20">
        <v>9</v>
      </c>
      <c r="BJ387" s="20">
        <v>32605.07</v>
      </c>
      <c r="BK387" s="20">
        <v>0</v>
      </c>
      <c r="BL387" s="20">
        <v>0</v>
      </c>
      <c r="BM387" s="20">
        <v>0</v>
      </c>
      <c r="BN387" s="20">
        <v>652152522217</v>
      </c>
      <c r="BO387" s="111">
        <v>46231</v>
      </c>
      <c r="BP387" s="20">
        <v>0</v>
      </c>
    </row>
    <row r="388" spans="2:68">
      <c r="B388" s="20" t="s">
        <v>2216</v>
      </c>
      <c r="C388" s="20" t="s">
        <v>3264</v>
      </c>
      <c r="D388" s="20" t="s">
        <v>3803</v>
      </c>
      <c r="E388" s="20" t="s">
        <v>211</v>
      </c>
      <c r="F388" s="20" t="s">
        <v>16</v>
      </c>
      <c r="H388" s="20" t="s">
        <v>3804</v>
      </c>
      <c r="I388" s="20">
        <v>1685</v>
      </c>
      <c r="J388" s="20">
        <v>1685</v>
      </c>
      <c r="K388" s="20" t="s">
        <v>11</v>
      </c>
      <c r="L388" s="20">
        <v>1685</v>
      </c>
      <c r="M388" s="20">
        <v>0</v>
      </c>
      <c r="N388" s="20">
        <v>1685</v>
      </c>
      <c r="O388" s="20" t="s">
        <v>2442</v>
      </c>
      <c r="P388" s="20" t="s">
        <v>94</v>
      </c>
      <c r="Q388" s="20" t="s">
        <v>94</v>
      </c>
      <c r="R388" s="20" t="s">
        <v>3289</v>
      </c>
      <c r="S388" s="20" t="s">
        <v>3264</v>
      </c>
      <c r="T388" s="20" t="s">
        <v>206</v>
      </c>
      <c r="U388" s="20" t="s">
        <v>207</v>
      </c>
      <c r="V388" s="20" t="s">
        <v>3288</v>
      </c>
      <c r="W388" s="20">
        <v>196.25</v>
      </c>
      <c r="X388" s="20">
        <v>196.25</v>
      </c>
      <c r="Y388" s="20" t="s">
        <v>3289</v>
      </c>
      <c r="Z388" s="20" t="s">
        <v>3264</v>
      </c>
      <c r="AB388" s="20" t="s">
        <v>2376</v>
      </c>
      <c r="AD388" s="20" t="s">
        <v>2376</v>
      </c>
      <c r="AE388" s="20" t="s">
        <v>2376</v>
      </c>
      <c r="AF388" s="20">
        <v>0</v>
      </c>
      <c r="AG388" s="20">
        <v>0</v>
      </c>
      <c r="AH388" s="20">
        <v>0</v>
      </c>
      <c r="AI388" s="20">
        <v>0</v>
      </c>
      <c r="AJ388" s="20">
        <v>0</v>
      </c>
      <c r="AK388" s="20" t="s">
        <v>609</v>
      </c>
      <c r="AL388" s="20">
        <v>0</v>
      </c>
      <c r="AM388" s="20">
        <v>0</v>
      </c>
      <c r="AN388" s="20">
        <v>0</v>
      </c>
      <c r="AO388" s="20">
        <v>0</v>
      </c>
      <c r="AP388" s="20">
        <v>0</v>
      </c>
      <c r="AR388" s="20">
        <v>0</v>
      </c>
      <c r="AS388" s="20">
        <v>0</v>
      </c>
      <c r="AT388" s="20">
        <v>2321384.71</v>
      </c>
      <c r="AU388" s="20" t="s">
        <v>15</v>
      </c>
      <c r="AV388" s="20" t="s">
        <v>57</v>
      </c>
      <c r="AW388" s="20" t="s">
        <v>57</v>
      </c>
      <c r="AX388" s="20" t="s">
        <v>15</v>
      </c>
      <c r="AY388" s="20" t="s">
        <v>209</v>
      </c>
      <c r="AZ388" s="20">
        <v>0</v>
      </c>
      <c r="BA388" s="20">
        <v>330681.25</v>
      </c>
      <c r="BB388" s="20">
        <v>984</v>
      </c>
      <c r="BC388" s="20" t="s">
        <v>3264</v>
      </c>
      <c r="BD388" s="20" t="s">
        <v>74</v>
      </c>
      <c r="BE388" s="20" t="s">
        <v>210</v>
      </c>
      <c r="BF388" s="20" t="s">
        <v>210</v>
      </c>
      <c r="BG388" s="20">
        <v>9</v>
      </c>
      <c r="BH388" s="20">
        <v>29761.31</v>
      </c>
      <c r="BI388" s="20">
        <v>9</v>
      </c>
      <c r="BJ388" s="20">
        <v>29761.31</v>
      </c>
      <c r="BK388" s="20">
        <v>0</v>
      </c>
      <c r="BL388" s="20">
        <v>0</v>
      </c>
      <c r="BM388" s="20">
        <v>0</v>
      </c>
      <c r="BN388" s="20">
        <v>652152522217</v>
      </c>
      <c r="BO388" s="111">
        <v>46231</v>
      </c>
      <c r="BP388" s="20">
        <v>0</v>
      </c>
    </row>
    <row r="389" spans="2:68">
      <c r="B389" s="20" t="s">
        <v>2216</v>
      </c>
      <c r="C389" s="20" t="s">
        <v>3264</v>
      </c>
      <c r="D389" s="20" t="s">
        <v>3803</v>
      </c>
      <c r="E389" s="20" t="s">
        <v>211</v>
      </c>
      <c r="F389" s="20" t="s">
        <v>16</v>
      </c>
      <c r="H389" s="20" t="s">
        <v>3804</v>
      </c>
      <c r="I389" s="20">
        <v>2433</v>
      </c>
      <c r="J389" s="20">
        <v>2433</v>
      </c>
      <c r="K389" s="20" t="s">
        <v>11</v>
      </c>
      <c r="L389" s="20">
        <v>2433</v>
      </c>
      <c r="M389" s="20">
        <v>0</v>
      </c>
      <c r="N389" s="20">
        <v>2433</v>
      </c>
      <c r="O389" s="20" t="s">
        <v>2442</v>
      </c>
      <c r="P389" s="20" t="s">
        <v>94</v>
      </c>
      <c r="Q389" s="20" t="s">
        <v>94</v>
      </c>
      <c r="R389" s="20" t="s">
        <v>3289</v>
      </c>
      <c r="S389" s="20" t="s">
        <v>3264</v>
      </c>
      <c r="T389" s="20" t="s">
        <v>206</v>
      </c>
      <c r="U389" s="20" t="s">
        <v>207</v>
      </c>
      <c r="V389" s="20" t="s">
        <v>3288</v>
      </c>
      <c r="W389" s="20">
        <v>213.94</v>
      </c>
      <c r="X389" s="20">
        <v>213.94</v>
      </c>
      <c r="Y389" s="20" t="s">
        <v>3289</v>
      </c>
      <c r="Z389" s="20" t="s">
        <v>3264</v>
      </c>
      <c r="AB389" s="20" t="s">
        <v>2376</v>
      </c>
      <c r="AD389" s="20" t="s">
        <v>2376</v>
      </c>
      <c r="AE389" s="20" t="s">
        <v>2376</v>
      </c>
      <c r="AF389" s="20">
        <v>0</v>
      </c>
      <c r="AG389" s="20">
        <v>0</v>
      </c>
      <c r="AH389" s="20">
        <v>0</v>
      </c>
      <c r="AI389" s="20">
        <v>0</v>
      </c>
      <c r="AJ389" s="20">
        <v>0</v>
      </c>
      <c r="AK389" s="20" t="s">
        <v>609</v>
      </c>
      <c r="AL389" s="20">
        <v>0</v>
      </c>
      <c r="AM389" s="20">
        <v>0</v>
      </c>
      <c r="AN389" s="20">
        <v>0</v>
      </c>
      <c r="AO389" s="20">
        <v>0</v>
      </c>
      <c r="AP389" s="20">
        <v>0</v>
      </c>
      <c r="AR389" s="20">
        <v>0</v>
      </c>
      <c r="AS389" s="20">
        <v>0</v>
      </c>
      <c r="AT389" s="20">
        <v>2321384.71</v>
      </c>
      <c r="AU389" s="20" t="s">
        <v>15</v>
      </c>
      <c r="AV389" s="20" t="s">
        <v>57</v>
      </c>
      <c r="AW389" s="20" t="s">
        <v>57</v>
      </c>
      <c r="AX389" s="20" t="s">
        <v>15</v>
      </c>
      <c r="AY389" s="20" t="s">
        <v>209</v>
      </c>
      <c r="AZ389" s="20">
        <v>0</v>
      </c>
      <c r="BA389" s="20">
        <v>520516.02</v>
      </c>
      <c r="BB389" s="20">
        <v>984</v>
      </c>
      <c r="BC389" s="20" t="s">
        <v>3264</v>
      </c>
      <c r="BD389" s="20" t="s">
        <v>74</v>
      </c>
      <c r="BE389" s="20" t="s">
        <v>210</v>
      </c>
      <c r="BF389" s="20" t="s">
        <v>210</v>
      </c>
      <c r="BG389" s="20">
        <v>9</v>
      </c>
      <c r="BH389" s="20">
        <v>46846.44</v>
      </c>
      <c r="BI389" s="20">
        <v>9</v>
      </c>
      <c r="BJ389" s="20">
        <v>46846.44</v>
      </c>
      <c r="BK389" s="20">
        <v>0</v>
      </c>
      <c r="BL389" s="20">
        <v>0</v>
      </c>
      <c r="BM389" s="20">
        <v>0</v>
      </c>
      <c r="BN389" s="20">
        <v>652152522217</v>
      </c>
      <c r="BO389" s="111">
        <v>46231</v>
      </c>
      <c r="BP389" s="20">
        <v>0</v>
      </c>
    </row>
    <row r="390" spans="2:68">
      <c r="B390" s="20" t="s">
        <v>2216</v>
      </c>
      <c r="C390" s="20" t="s">
        <v>3264</v>
      </c>
      <c r="D390" s="20" t="s">
        <v>3805</v>
      </c>
      <c r="E390" s="20" t="s">
        <v>18</v>
      </c>
      <c r="F390" s="20" t="s">
        <v>19</v>
      </c>
      <c r="H390" s="20" t="s">
        <v>3806</v>
      </c>
      <c r="I390" s="20">
        <v>7183</v>
      </c>
      <c r="J390" s="20">
        <v>7183</v>
      </c>
      <c r="K390" s="20" t="s">
        <v>11</v>
      </c>
      <c r="L390" s="20">
        <v>7183</v>
      </c>
      <c r="M390" s="20">
        <v>0</v>
      </c>
      <c r="N390" s="20">
        <v>7183</v>
      </c>
      <c r="O390" s="20" t="s">
        <v>2203</v>
      </c>
      <c r="P390" s="20" t="s">
        <v>87</v>
      </c>
      <c r="Q390" s="20" t="s">
        <v>87</v>
      </c>
      <c r="R390" s="20" t="s">
        <v>3281</v>
      </c>
      <c r="S390" s="20" t="s">
        <v>3264</v>
      </c>
      <c r="T390" s="20" t="s">
        <v>206</v>
      </c>
      <c r="U390" s="20" t="s">
        <v>207</v>
      </c>
      <c r="V390" s="20" t="s">
        <v>3280</v>
      </c>
      <c r="W390" s="20">
        <v>144.49</v>
      </c>
      <c r="X390" s="20">
        <v>144.49</v>
      </c>
      <c r="Y390" s="20" t="s">
        <v>3281</v>
      </c>
      <c r="Z390" s="20" t="s">
        <v>3264</v>
      </c>
      <c r="AB390" s="20" t="s">
        <v>2376</v>
      </c>
      <c r="AD390" s="20" t="s">
        <v>2376</v>
      </c>
      <c r="AE390" s="20" t="s">
        <v>2376</v>
      </c>
      <c r="AF390" s="20">
        <v>0</v>
      </c>
      <c r="AG390" s="20">
        <v>0</v>
      </c>
      <c r="AH390" s="20">
        <v>0</v>
      </c>
      <c r="AI390" s="20">
        <v>0</v>
      </c>
      <c r="AJ390" s="20">
        <v>0</v>
      </c>
      <c r="AK390" s="20" t="s">
        <v>609</v>
      </c>
      <c r="AL390" s="20">
        <v>0</v>
      </c>
      <c r="AM390" s="20">
        <v>0</v>
      </c>
      <c r="AN390" s="20">
        <v>0</v>
      </c>
      <c r="AO390" s="20">
        <v>0</v>
      </c>
      <c r="AP390" s="20">
        <v>0</v>
      </c>
      <c r="AR390" s="20">
        <v>0</v>
      </c>
      <c r="AS390" s="20">
        <v>0</v>
      </c>
      <c r="AT390" s="20">
        <v>1450786.52</v>
      </c>
      <c r="AU390" s="20" t="s">
        <v>13</v>
      </c>
      <c r="AV390" s="20" t="s">
        <v>62</v>
      </c>
      <c r="AW390" s="20" t="s">
        <v>63</v>
      </c>
      <c r="AX390" s="20" t="s">
        <v>208</v>
      </c>
      <c r="AY390" s="20" t="s">
        <v>209</v>
      </c>
      <c r="AZ390" s="20">
        <v>0</v>
      </c>
      <c r="BA390" s="20">
        <v>1037871.67</v>
      </c>
      <c r="BB390" s="20">
        <v>985</v>
      </c>
      <c r="BC390" s="20" t="s">
        <v>3264</v>
      </c>
      <c r="BD390" s="20" t="s">
        <v>65</v>
      </c>
      <c r="BE390" s="20" t="s">
        <v>210</v>
      </c>
      <c r="BF390" s="20" t="s">
        <v>210</v>
      </c>
      <c r="BG390" s="20">
        <v>9</v>
      </c>
      <c r="BH390" s="20">
        <v>93408.45</v>
      </c>
      <c r="BI390" s="20">
        <v>9</v>
      </c>
      <c r="BJ390" s="20">
        <v>93408.45</v>
      </c>
      <c r="BK390" s="20">
        <v>0</v>
      </c>
      <c r="BL390" s="20">
        <v>0</v>
      </c>
      <c r="BM390" s="20">
        <v>1450786.52</v>
      </c>
      <c r="BN390" s="20">
        <v>652152447811</v>
      </c>
      <c r="BO390" s="111">
        <v>46231</v>
      </c>
      <c r="BP390" s="20">
        <v>0</v>
      </c>
    </row>
    <row r="391" spans="2:68">
      <c r="B391" s="20" t="s">
        <v>2216</v>
      </c>
      <c r="C391" s="20" t="s">
        <v>3264</v>
      </c>
      <c r="D391" s="20" t="s">
        <v>3805</v>
      </c>
      <c r="E391" s="20" t="s">
        <v>18</v>
      </c>
      <c r="F391" s="20" t="s">
        <v>19</v>
      </c>
      <c r="H391" s="20" t="s">
        <v>3806</v>
      </c>
      <c r="I391" s="20">
        <v>146</v>
      </c>
      <c r="J391" s="20">
        <v>146</v>
      </c>
      <c r="K391" s="20" t="s">
        <v>11</v>
      </c>
      <c r="L391" s="20">
        <v>146</v>
      </c>
      <c r="M391" s="20">
        <v>0</v>
      </c>
      <c r="N391" s="20">
        <v>146</v>
      </c>
      <c r="O391" s="20" t="s">
        <v>2203</v>
      </c>
      <c r="P391" s="20" t="s">
        <v>87</v>
      </c>
      <c r="Q391" s="20" t="s">
        <v>87</v>
      </c>
      <c r="R391" s="20" t="s">
        <v>3281</v>
      </c>
      <c r="S391" s="20" t="s">
        <v>3264</v>
      </c>
      <c r="T391" s="20" t="s">
        <v>206</v>
      </c>
      <c r="U391" s="20" t="s">
        <v>207</v>
      </c>
      <c r="V391" s="20" t="s">
        <v>3280</v>
      </c>
      <c r="W391" s="20">
        <v>147.49</v>
      </c>
      <c r="X391" s="20">
        <v>147.49</v>
      </c>
      <c r="Y391" s="20" t="s">
        <v>3281</v>
      </c>
      <c r="Z391" s="20" t="s">
        <v>3264</v>
      </c>
      <c r="AB391" s="20" t="s">
        <v>2376</v>
      </c>
      <c r="AD391" s="20" t="s">
        <v>2376</v>
      </c>
      <c r="AE391" s="20" t="s">
        <v>2376</v>
      </c>
      <c r="AF391" s="20">
        <v>0</v>
      </c>
      <c r="AG391" s="20">
        <v>0</v>
      </c>
      <c r="AH391" s="20">
        <v>0</v>
      </c>
      <c r="AI391" s="20">
        <v>0</v>
      </c>
      <c r="AJ391" s="20">
        <v>0</v>
      </c>
      <c r="AK391" s="20" t="s">
        <v>609</v>
      </c>
      <c r="AL391" s="20">
        <v>0</v>
      </c>
      <c r="AM391" s="20">
        <v>0</v>
      </c>
      <c r="AN391" s="20">
        <v>0</v>
      </c>
      <c r="AO391" s="20">
        <v>0</v>
      </c>
      <c r="AP391" s="20">
        <v>0</v>
      </c>
      <c r="AR391" s="20">
        <v>0</v>
      </c>
      <c r="AS391" s="20">
        <v>0</v>
      </c>
      <c r="AT391" s="20">
        <v>1450786.52</v>
      </c>
      <c r="AU391" s="20" t="s">
        <v>13</v>
      </c>
      <c r="AV391" s="20" t="s">
        <v>62</v>
      </c>
      <c r="AW391" s="20" t="s">
        <v>63</v>
      </c>
      <c r="AX391" s="20" t="s">
        <v>208</v>
      </c>
      <c r="AY391" s="20" t="s">
        <v>209</v>
      </c>
      <c r="AZ391" s="20">
        <v>0</v>
      </c>
      <c r="BA391" s="20">
        <v>21533.54</v>
      </c>
      <c r="BB391" s="20">
        <v>985</v>
      </c>
      <c r="BC391" s="20" t="s">
        <v>3264</v>
      </c>
      <c r="BD391" s="20" t="s">
        <v>65</v>
      </c>
      <c r="BE391" s="20" t="s">
        <v>210</v>
      </c>
      <c r="BF391" s="20" t="s">
        <v>210</v>
      </c>
      <c r="BG391" s="20">
        <v>9</v>
      </c>
      <c r="BH391" s="20">
        <v>1938.02</v>
      </c>
      <c r="BI391" s="20">
        <v>9</v>
      </c>
      <c r="BJ391" s="20">
        <v>1938.02</v>
      </c>
      <c r="BK391" s="20">
        <v>0</v>
      </c>
      <c r="BL391" s="20">
        <v>0</v>
      </c>
      <c r="BM391" s="20">
        <v>0</v>
      </c>
      <c r="BN391" s="20">
        <v>652152447811</v>
      </c>
      <c r="BO391" s="111">
        <v>46231</v>
      </c>
      <c r="BP391" s="20">
        <v>0</v>
      </c>
    </row>
    <row r="392" spans="2:68">
      <c r="B392" s="20" t="s">
        <v>2216</v>
      </c>
      <c r="C392" s="20" t="s">
        <v>3264</v>
      </c>
      <c r="D392" s="20" t="s">
        <v>3805</v>
      </c>
      <c r="E392" s="20" t="s">
        <v>18</v>
      </c>
      <c r="F392" s="20" t="s">
        <v>19</v>
      </c>
      <c r="H392" s="20" t="s">
        <v>3806</v>
      </c>
      <c r="I392" s="20">
        <v>1161</v>
      </c>
      <c r="J392" s="20">
        <v>1161</v>
      </c>
      <c r="K392" s="20" t="s">
        <v>11</v>
      </c>
      <c r="L392" s="20">
        <v>1161</v>
      </c>
      <c r="M392" s="20">
        <v>0</v>
      </c>
      <c r="N392" s="20">
        <v>1161</v>
      </c>
      <c r="O392" s="20" t="s">
        <v>2203</v>
      </c>
      <c r="P392" s="20" t="s">
        <v>87</v>
      </c>
      <c r="Q392" s="20" t="s">
        <v>87</v>
      </c>
      <c r="R392" s="20" t="s">
        <v>3281</v>
      </c>
      <c r="S392" s="20" t="s">
        <v>3264</v>
      </c>
      <c r="T392" s="20" t="s">
        <v>206</v>
      </c>
      <c r="U392" s="20" t="s">
        <v>207</v>
      </c>
      <c r="V392" s="20" t="s">
        <v>3280</v>
      </c>
      <c r="W392" s="20">
        <v>146.49</v>
      </c>
      <c r="X392" s="20">
        <v>146.49</v>
      </c>
      <c r="Y392" s="20" t="s">
        <v>3281</v>
      </c>
      <c r="Z392" s="20" t="s">
        <v>3264</v>
      </c>
      <c r="AB392" s="20" t="s">
        <v>2376</v>
      </c>
      <c r="AD392" s="20" t="s">
        <v>2376</v>
      </c>
      <c r="AE392" s="20" t="s">
        <v>2376</v>
      </c>
      <c r="AF392" s="20">
        <v>0</v>
      </c>
      <c r="AG392" s="20">
        <v>0</v>
      </c>
      <c r="AH392" s="20">
        <v>0</v>
      </c>
      <c r="AI392" s="20">
        <v>0</v>
      </c>
      <c r="AJ392" s="20">
        <v>0</v>
      </c>
      <c r="AK392" s="20" t="s">
        <v>609</v>
      </c>
      <c r="AL392" s="20">
        <v>0</v>
      </c>
      <c r="AM392" s="20">
        <v>0</v>
      </c>
      <c r="AN392" s="20">
        <v>0</v>
      </c>
      <c r="AO392" s="20">
        <v>0</v>
      </c>
      <c r="AP392" s="20">
        <v>0</v>
      </c>
      <c r="AR392" s="20">
        <v>0</v>
      </c>
      <c r="AS392" s="20">
        <v>0</v>
      </c>
      <c r="AT392" s="20">
        <v>1450786.52</v>
      </c>
      <c r="AU392" s="20" t="s">
        <v>13</v>
      </c>
      <c r="AV392" s="20" t="s">
        <v>62</v>
      </c>
      <c r="AW392" s="20" t="s">
        <v>63</v>
      </c>
      <c r="AX392" s="20" t="s">
        <v>208</v>
      </c>
      <c r="AY392" s="20" t="s">
        <v>209</v>
      </c>
      <c r="AZ392" s="20">
        <v>0</v>
      </c>
      <c r="BA392" s="20">
        <v>170074.89</v>
      </c>
      <c r="BB392" s="20">
        <v>985</v>
      </c>
      <c r="BC392" s="20" t="s">
        <v>3264</v>
      </c>
      <c r="BD392" s="20" t="s">
        <v>65</v>
      </c>
      <c r="BE392" s="20" t="s">
        <v>210</v>
      </c>
      <c r="BF392" s="20" t="s">
        <v>210</v>
      </c>
      <c r="BG392" s="20">
        <v>9</v>
      </c>
      <c r="BH392" s="20">
        <v>15306.74</v>
      </c>
      <c r="BI392" s="20">
        <v>9</v>
      </c>
      <c r="BJ392" s="20">
        <v>15306.74</v>
      </c>
      <c r="BK392" s="20">
        <v>0</v>
      </c>
      <c r="BL392" s="20">
        <v>0</v>
      </c>
      <c r="BM392" s="20">
        <v>0</v>
      </c>
      <c r="BN392" s="20">
        <v>652152447811</v>
      </c>
      <c r="BO392" s="111">
        <v>46231</v>
      </c>
      <c r="BP392" s="20">
        <v>0</v>
      </c>
    </row>
    <row r="393" spans="2:68">
      <c r="B393" s="20" t="s">
        <v>2216</v>
      </c>
      <c r="C393" s="20" t="s">
        <v>3264</v>
      </c>
      <c r="D393" s="20" t="s">
        <v>3807</v>
      </c>
      <c r="E393" s="20" t="s">
        <v>18</v>
      </c>
      <c r="F393" s="20" t="s">
        <v>19</v>
      </c>
      <c r="H393" s="20" t="s">
        <v>3806</v>
      </c>
      <c r="I393" s="20">
        <v>97</v>
      </c>
      <c r="J393" s="20">
        <v>97</v>
      </c>
      <c r="K393" s="20" t="s">
        <v>11</v>
      </c>
      <c r="L393" s="20">
        <v>97</v>
      </c>
      <c r="M393" s="20">
        <v>0</v>
      </c>
      <c r="N393" s="20">
        <v>97</v>
      </c>
      <c r="O393" s="20" t="s">
        <v>2442</v>
      </c>
      <c r="P393" s="20" t="s">
        <v>87</v>
      </c>
      <c r="Q393" s="20" t="s">
        <v>87</v>
      </c>
      <c r="R393" s="20" t="s">
        <v>3283</v>
      </c>
      <c r="S393" s="20" t="s">
        <v>3264</v>
      </c>
      <c r="T393" s="20" t="s">
        <v>206</v>
      </c>
      <c r="U393" s="20" t="s">
        <v>207</v>
      </c>
      <c r="V393" s="20" t="s">
        <v>3282</v>
      </c>
      <c r="W393" s="20">
        <v>146.49</v>
      </c>
      <c r="X393" s="20">
        <v>146.49</v>
      </c>
      <c r="Y393" s="20" t="s">
        <v>3283</v>
      </c>
      <c r="Z393" s="20" t="s">
        <v>3264</v>
      </c>
      <c r="AB393" s="20" t="s">
        <v>2376</v>
      </c>
      <c r="AD393" s="20" t="s">
        <v>2376</v>
      </c>
      <c r="AE393" s="20" t="s">
        <v>2376</v>
      </c>
      <c r="AF393" s="20">
        <v>0</v>
      </c>
      <c r="AG393" s="20">
        <v>0</v>
      </c>
      <c r="AH393" s="20">
        <v>0</v>
      </c>
      <c r="AI393" s="20">
        <v>0</v>
      </c>
      <c r="AJ393" s="20">
        <v>0</v>
      </c>
      <c r="AK393" s="20" t="s">
        <v>609</v>
      </c>
      <c r="AL393" s="20">
        <v>0</v>
      </c>
      <c r="AM393" s="20">
        <v>0</v>
      </c>
      <c r="AN393" s="20">
        <v>0</v>
      </c>
      <c r="AO393" s="20">
        <v>0</v>
      </c>
      <c r="AP393" s="20">
        <v>0</v>
      </c>
      <c r="AR393" s="20">
        <v>0</v>
      </c>
      <c r="AS393" s="20">
        <v>0</v>
      </c>
      <c r="AT393" s="20">
        <v>16767.25</v>
      </c>
      <c r="AU393" s="20" t="s">
        <v>13</v>
      </c>
      <c r="AV393" s="20" t="s">
        <v>62</v>
      </c>
      <c r="AW393" s="20" t="s">
        <v>63</v>
      </c>
      <c r="AX393" s="20" t="s">
        <v>208</v>
      </c>
      <c r="AY393" s="20" t="s">
        <v>209</v>
      </c>
      <c r="AZ393" s="20">
        <v>0</v>
      </c>
      <c r="BA393" s="20">
        <v>14209.53</v>
      </c>
      <c r="BB393" s="20">
        <v>987</v>
      </c>
      <c r="BC393" s="20" t="s">
        <v>3264</v>
      </c>
      <c r="BD393" s="20" t="s">
        <v>65</v>
      </c>
      <c r="BE393" s="20" t="s">
        <v>210</v>
      </c>
      <c r="BF393" s="20" t="s">
        <v>210</v>
      </c>
      <c r="BG393" s="20">
        <v>9</v>
      </c>
      <c r="BH393" s="20">
        <v>1278.8599999999999</v>
      </c>
      <c r="BI393" s="20">
        <v>9</v>
      </c>
      <c r="BJ393" s="20">
        <v>1278.8599999999999</v>
      </c>
      <c r="BK393" s="20">
        <v>0</v>
      </c>
      <c r="BL393" s="20">
        <v>0</v>
      </c>
      <c r="BM393" s="20">
        <v>16767.25</v>
      </c>
      <c r="BN393" s="20">
        <v>682152441599</v>
      </c>
      <c r="BO393" s="111">
        <v>46231</v>
      </c>
      <c r="BP393" s="20">
        <v>0</v>
      </c>
    </row>
    <row r="394" spans="2:68">
      <c r="B394" s="20" t="s">
        <v>2216</v>
      </c>
      <c r="C394" s="20" t="s">
        <v>3264</v>
      </c>
      <c r="D394" s="20" t="s">
        <v>3808</v>
      </c>
      <c r="E394" s="20" t="s">
        <v>160</v>
      </c>
      <c r="F394" s="20" t="s">
        <v>17</v>
      </c>
      <c r="H394" s="20" t="s">
        <v>3809</v>
      </c>
      <c r="I394" s="20">
        <v>3256</v>
      </c>
      <c r="J394" s="20">
        <v>3256</v>
      </c>
      <c r="K394" s="20" t="s">
        <v>11</v>
      </c>
      <c r="L394" s="20">
        <v>3256</v>
      </c>
      <c r="M394" s="20">
        <v>0</v>
      </c>
      <c r="N394" s="20">
        <v>3256</v>
      </c>
      <c r="O394" s="20" t="s">
        <v>2203</v>
      </c>
      <c r="P394" s="20" t="s">
        <v>87</v>
      </c>
      <c r="Q394" s="20" t="s">
        <v>87</v>
      </c>
      <c r="R394" s="20" t="s">
        <v>3285</v>
      </c>
      <c r="S394" s="20" t="s">
        <v>3264</v>
      </c>
      <c r="T394" s="20" t="s">
        <v>206</v>
      </c>
      <c r="U394" s="20" t="s">
        <v>207</v>
      </c>
      <c r="V394" s="20" t="s">
        <v>3284</v>
      </c>
      <c r="W394" s="20">
        <v>182.78</v>
      </c>
      <c r="X394" s="20">
        <v>182.78019934569201</v>
      </c>
      <c r="Y394" s="20" t="s">
        <v>3285</v>
      </c>
      <c r="Z394" s="20" t="s">
        <v>3264</v>
      </c>
      <c r="AB394" s="20" t="s">
        <v>2376</v>
      </c>
      <c r="AD394" s="20" t="s">
        <v>2376</v>
      </c>
      <c r="AE394" s="20" t="s">
        <v>2376</v>
      </c>
      <c r="AF394" s="20">
        <v>0</v>
      </c>
      <c r="AG394" s="20">
        <v>0</v>
      </c>
      <c r="AH394" s="20">
        <v>0</v>
      </c>
      <c r="AI394" s="20">
        <v>0</v>
      </c>
      <c r="AJ394" s="20">
        <v>0</v>
      </c>
      <c r="AK394" s="20" t="s">
        <v>609</v>
      </c>
      <c r="AL394" s="20">
        <v>0</v>
      </c>
      <c r="AM394" s="20">
        <v>0</v>
      </c>
      <c r="AN394" s="20">
        <v>0</v>
      </c>
      <c r="AO394" s="20">
        <v>0</v>
      </c>
      <c r="AP394" s="20">
        <v>0</v>
      </c>
      <c r="AR394" s="20">
        <v>0</v>
      </c>
      <c r="AS394" s="20">
        <v>0</v>
      </c>
      <c r="AT394" s="20">
        <v>1117701.92</v>
      </c>
      <c r="AU394" s="20" t="s">
        <v>13</v>
      </c>
      <c r="AV394" s="20" t="s">
        <v>80</v>
      </c>
      <c r="AW394" s="20" t="s">
        <v>81</v>
      </c>
      <c r="AX394" s="20" t="s">
        <v>208</v>
      </c>
      <c r="AY394" s="20" t="s">
        <v>209</v>
      </c>
      <c r="AZ394" s="20">
        <v>0</v>
      </c>
      <c r="BA394" s="20">
        <v>595132.32999999996</v>
      </c>
      <c r="BB394" s="20">
        <v>988</v>
      </c>
      <c r="BC394" s="20" t="s">
        <v>3264</v>
      </c>
      <c r="BD394" s="20" t="s">
        <v>65</v>
      </c>
      <c r="BE394" s="20" t="s">
        <v>210</v>
      </c>
      <c r="BF394" s="20" t="s">
        <v>210</v>
      </c>
      <c r="BG394" s="20">
        <v>9</v>
      </c>
      <c r="BH394" s="20">
        <v>53561.85</v>
      </c>
      <c r="BI394" s="20">
        <v>9</v>
      </c>
      <c r="BJ394" s="20">
        <v>53561.85</v>
      </c>
      <c r="BK394" s="20">
        <v>0</v>
      </c>
      <c r="BL394" s="20">
        <v>0</v>
      </c>
      <c r="BM394" s="20">
        <v>1117701.92</v>
      </c>
      <c r="BN394" s="20">
        <v>642152548083</v>
      </c>
      <c r="BO394" s="111">
        <v>46231</v>
      </c>
      <c r="BP394" s="20">
        <v>0</v>
      </c>
    </row>
    <row r="395" spans="2:68">
      <c r="B395" s="20" t="s">
        <v>2216</v>
      </c>
      <c r="C395" s="20" t="s">
        <v>3264</v>
      </c>
      <c r="D395" s="20" t="s">
        <v>3808</v>
      </c>
      <c r="E395" s="20" t="s">
        <v>855</v>
      </c>
      <c r="F395" s="20" t="s">
        <v>778</v>
      </c>
      <c r="H395" s="20" t="s">
        <v>3809</v>
      </c>
      <c r="I395" s="20">
        <v>3000</v>
      </c>
      <c r="J395" s="20">
        <v>3000</v>
      </c>
      <c r="K395" s="20" t="s">
        <v>1</v>
      </c>
      <c r="L395" s="20">
        <v>3000</v>
      </c>
      <c r="M395" s="20">
        <v>0</v>
      </c>
      <c r="N395" s="20">
        <v>3000</v>
      </c>
      <c r="O395" s="20" t="s">
        <v>2203</v>
      </c>
      <c r="P395" s="20" t="s">
        <v>87</v>
      </c>
      <c r="Q395" s="20" t="s">
        <v>87</v>
      </c>
      <c r="R395" s="20" t="s">
        <v>3285</v>
      </c>
      <c r="S395" s="20" t="s">
        <v>3264</v>
      </c>
      <c r="T395" s="20" t="s">
        <v>206</v>
      </c>
      <c r="U395" s="20" t="s">
        <v>207</v>
      </c>
      <c r="V395" s="20" t="s">
        <v>3284</v>
      </c>
      <c r="W395" s="20">
        <v>3.5333999999999999</v>
      </c>
      <c r="X395" s="20">
        <v>3.5334038536386299</v>
      </c>
      <c r="Y395" s="20" t="s">
        <v>3285</v>
      </c>
      <c r="Z395" s="20" t="s">
        <v>3264</v>
      </c>
      <c r="AB395" s="20" t="s">
        <v>2376</v>
      </c>
      <c r="AD395" s="20" t="s">
        <v>2376</v>
      </c>
      <c r="AE395" s="20" t="s">
        <v>2376</v>
      </c>
      <c r="AF395" s="20">
        <v>0</v>
      </c>
      <c r="AG395" s="20">
        <v>0</v>
      </c>
      <c r="AH395" s="20">
        <v>0</v>
      </c>
      <c r="AI395" s="20">
        <v>0</v>
      </c>
      <c r="AJ395" s="20">
        <v>0</v>
      </c>
      <c r="AK395" s="20" t="s">
        <v>609</v>
      </c>
      <c r="AL395" s="20">
        <v>0</v>
      </c>
      <c r="AM395" s="20">
        <v>0</v>
      </c>
      <c r="AN395" s="20">
        <v>0</v>
      </c>
      <c r="AO395" s="20">
        <v>0</v>
      </c>
      <c r="AP395" s="20">
        <v>0</v>
      </c>
      <c r="AR395" s="20">
        <v>0</v>
      </c>
      <c r="AS395" s="20">
        <v>0</v>
      </c>
      <c r="AT395" s="20">
        <v>1117701.92</v>
      </c>
      <c r="AU395" s="20" t="s">
        <v>8</v>
      </c>
      <c r="AV395" s="20" t="s">
        <v>659</v>
      </c>
      <c r="AW395" s="20" t="s">
        <v>659</v>
      </c>
      <c r="AX395" s="20" t="s">
        <v>208</v>
      </c>
      <c r="AY395" s="20" t="s">
        <v>856</v>
      </c>
      <c r="AZ395" s="20">
        <v>0</v>
      </c>
      <c r="BA395" s="20">
        <v>10600.21</v>
      </c>
      <c r="BB395" s="20">
        <v>988</v>
      </c>
      <c r="BC395" s="20" t="s">
        <v>3264</v>
      </c>
      <c r="BD395" s="20" t="s">
        <v>65</v>
      </c>
      <c r="BE395" s="20" t="s">
        <v>210</v>
      </c>
      <c r="BF395" s="20" t="s">
        <v>210</v>
      </c>
      <c r="BG395" s="20">
        <v>9</v>
      </c>
      <c r="BH395" s="20">
        <v>954.02</v>
      </c>
      <c r="BI395" s="20">
        <v>9</v>
      </c>
      <c r="BJ395" s="20">
        <v>954.02</v>
      </c>
      <c r="BK395" s="20">
        <v>0</v>
      </c>
      <c r="BL395" s="20">
        <v>0</v>
      </c>
      <c r="BM395" s="20">
        <v>0</v>
      </c>
      <c r="BN395" s="20">
        <v>642152548083</v>
      </c>
      <c r="BO395" s="111">
        <v>46231</v>
      </c>
      <c r="BP395" s="20">
        <v>0</v>
      </c>
    </row>
    <row r="396" spans="2:68">
      <c r="B396" s="20" t="s">
        <v>2216</v>
      </c>
      <c r="C396" s="20" t="s">
        <v>3264</v>
      </c>
      <c r="D396" s="20" t="s">
        <v>3808</v>
      </c>
      <c r="E396" s="20" t="s">
        <v>23</v>
      </c>
      <c r="F396" s="20" t="s">
        <v>24</v>
      </c>
      <c r="H396" s="20" t="s">
        <v>3809</v>
      </c>
      <c r="I396" s="20">
        <v>870.7</v>
      </c>
      <c r="J396" s="20">
        <v>870.7</v>
      </c>
      <c r="K396" s="20" t="s">
        <v>11</v>
      </c>
      <c r="L396" s="20">
        <v>870.7</v>
      </c>
      <c r="M396" s="20">
        <v>0</v>
      </c>
      <c r="N396" s="20">
        <v>870.7</v>
      </c>
      <c r="O396" s="20" t="s">
        <v>2203</v>
      </c>
      <c r="P396" s="20" t="s">
        <v>87</v>
      </c>
      <c r="Q396" s="20" t="s">
        <v>87</v>
      </c>
      <c r="R396" s="20" t="s">
        <v>3285</v>
      </c>
      <c r="S396" s="20" t="s">
        <v>3264</v>
      </c>
      <c r="T396" s="20" t="s">
        <v>206</v>
      </c>
      <c r="U396" s="20" t="s">
        <v>207</v>
      </c>
      <c r="V396" s="20" t="s">
        <v>3284</v>
      </c>
      <c r="W396" s="20">
        <v>149.49</v>
      </c>
      <c r="X396" s="20">
        <v>149.490163038557</v>
      </c>
      <c r="Y396" s="20" t="s">
        <v>3285</v>
      </c>
      <c r="Z396" s="20" t="s">
        <v>3264</v>
      </c>
      <c r="AB396" s="20" t="s">
        <v>2376</v>
      </c>
      <c r="AD396" s="20" t="s">
        <v>2376</v>
      </c>
      <c r="AE396" s="20" t="s">
        <v>2376</v>
      </c>
      <c r="AF396" s="20">
        <v>0</v>
      </c>
      <c r="AG396" s="20">
        <v>0</v>
      </c>
      <c r="AH396" s="20">
        <v>0</v>
      </c>
      <c r="AI396" s="20">
        <v>0</v>
      </c>
      <c r="AJ396" s="20">
        <v>0</v>
      </c>
      <c r="AK396" s="20" t="s">
        <v>609</v>
      </c>
      <c r="AL396" s="20">
        <v>0</v>
      </c>
      <c r="AM396" s="20">
        <v>0</v>
      </c>
      <c r="AN396" s="20">
        <v>0</v>
      </c>
      <c r="AO396" s="20">
        <v>0</v>
      </c>
      <c r="AP396" s="20">
        <v>0</v>
      </c>
      <c r="AR396" s="20">
        <v>0</v>
      </c>
      <c r="AS396" s="20">
        <v>0</v>
      </c>
      <c r="AT396" s="20">
        <v>1117701.92</v>
      </c>
      <c r="AU396" s="20" t="s">
        <v>13</v>
      </c>
      <c r="AV396" s="20" t="s">
        <v>24</v>
      </c>
      <c r="AW396" s="20" t="s">
        <v>79</v>
      </c>
      <c r="AX396" s="20" t="s">
        <v>208</v>
      </c>
      <c r="AY396" s="20" t="s">
        <v>209</v>
      </c>
      <c r="AZ396" s="20">
        <v>0</v>
      </c>
      <c r="BA396" s="20">
        <v>130161.08</v>
      </c>
      <c r="BB396" s="20">
        <v>988</v>
      </c>
      <c r="BC396" s="20" t="s">
        <v>3264</v>
      </c>
      <c r="BD396" s="20" t="s">
        <v>65</v>
      </c>
      <c r="BE396" s="20" t="s">
        <v>210</v>
      </c>
      <c r="BF396" s="20" t="s">
        <v>210</v>
      </c>
      <c r="BG396" s="20">
        <v>9</v>
      </c>
      <c r="BH396" s="20">
        <v>11714.48</v>
      </c>
      <c r="BI396" s="20">
        <v>9</v>
      </c>
      <c r="BJ396" s="20">
        <v>11714.48</v>
      </c>
      <c r="BK396" s="20">
        <v>0</v>
      </c>
      <c r="BL396" s="20">
        <v>0</v>
      </c>
      <c r="BM396" s="20">
        <v>0</v>
      </c>
      <c r="BN396" s="20">
        <v>642152548083</v>
      </c>
      <c r="BO396" s="111">
        <v>46231</v>
      </c>
      <c r="BP396" s="20">
        <v>0</v>
      </c>
    </row>
    <row r="397" spans="2:68">
      <c r="B397" s="20" t="s">
        <v>2216</v>
      </c>
      <c r="C397" s="20" t="s">
        <v>3264</v>
      </c>
      <c r="D397" s="20" t="s">
        <v>3808</v>
      </c>
      <c r="E397" s="20" t="s">
        <v>23</v>
      </c>
      <c r="F397" s="20" t="s">
        <v>24</v>
      </c>
      <c r="H397" s="20" t="s">
        <v>3809</v>
      </c>
      <c r="I397" s="20">
        <v>585.20000000000005</v>
      </c>
      <c r="J397" s="20">
        <v>585.20000000000005</v>
      </c>
      <c r="K397" s="20" t="s">
        <v>11</v>
      </c>
      <c r="L397" s="20">
        <v>585.20000000000005</v>
      </c>
      <c r="M397" s="20">
        <v>0</v>
      </c>
      <c r="N397" s="20">
        <v>585.20000000000005</v>
      </c>
      <c r="O397" s="20" t="s">
        <v>2203</v>
      </c>
      <c r="P397" s="20" t="s">
        <v>87</v>
      </c>
      <c r="Q397" s="20" t="s">
        <v>87</v>
      </c>
      <c r="R397" s="20" t="s">
        <v>3285</v>
      </c>
      <c r="S397" s="20" t="s">
        <v>3264</v>
      </c>
      <c r="T397" s="20" t="s">
        <v>206</v>
      </c>
      <c r="U397" s="20" t="s">
        <v>207</v>
      </c>
      <c r="V397" s="20" t="s">
        <v>3284</v>
      </c>
      <c r="W397" s="20">
        <v>146.49</v>
      </c>
      <c r="X397" s="20">
        <v>146.490159766662</v>
      </c>
      <c r="Y397" s="20" t="s">
        <v>3285</v>
      </c>
      <c r="Z397" s="20" t="s">
        <v>3264</v>
      </c>
      <c r="AB397" s="20" t="s">
        <v>2376</v>
      </c>
      <c r="AD397" s="20" t="s">
        <v>2376</v>
      </c>
      <c r="AE397" s="20" t="s">
        <v>2376</v>
      </c>
      <c r="AF397" s="20">
        <v>0</v>
      </c>
      <c r="AG397" s="20">
        <v>0</v>
      </c>
      <c r="AH397" s="20">
        <v>0</v>
      </c>
      <c r="AI397" s="20">
        <v>0</v>
      </c>
      <c r="AJ397" s="20">
        <v>0</v>
      </c>
      <c r="AK397" s="20" t="s">
        <v>609</v>
      </c>
      <c r="AL397" s="20">
        <v>0</v>
      </c>
      <c r="AM397" s="20">
        <v>0</v>
      </c>
      <c r="AN397" s="20">
        <v>0</v>
      </c>
      <c r="AO397" s="20">
        <v>0</v>
      </c>
      <c r="AP397" s="20">
        <v>0</v>
      </c>
      <c r="AR397" s="20">
        <v>0</v>
      </c>
      <c r="AS397" s="20">
        <v>0</v>
      </c>
      <c r="AT397" s="20">
        <v>1117701.92</v>
      </c>
      <c r="AU397" s="20" t="s">
        <v>13</v>
      </c>
      <c r="AV397" s="20" t="s">
        <v>24</v>
      </c>
      <c r="AW397" s="20" t="s">
        <v>79</v>
      </c>
      <c r="AX397" s="20" t="s">
        <v>208</v>
      </c>
      <c r="AY397" s="20" t="s">
        <v>209</v>
      </c>
      <c r="AZ397" s="20">
        <v>0</v>
      </c>
      <c r="BA397" s="20">
        <v>85726.04</v>
      </c>
      <c r="BB397" s="20">
        <v>988</v>
      </c>
      <c r="BC397" s="20" t="s">
        <v>3264</v>
      </c>
      <c r="BD397" s="20" t="s">
        <v>65</v>
      </c>
      <c r="BE397" s="20" t="s">
        <v>210</v>
      </c>
      <c r="BF397" s="20" t="s">
        <v>210</v>
      </c>
      <c r="BG397" s="20">
        <v>9</v>
      </c>
      <c r="BH397" s="20">
        <v>7715.34</v>
      </c>
      <c r="BI397" s="20">
        <v>9</v>
      </c>
      <c r="BJ397" s="20">
        <v>7715.34</v>
      </c>
      <c r="BK397" s="20">
        <v>0</v>
      </c>
      <c r="BL397" s="20">
        <v>0</v>
      </c>
      <c r="BM397" s="20">
        <v>0</v>
      </c>
      <c r="BN397" s="20">
        <v>642152548083</v>
      </c>
      <c r="BO397" s="111">
        <v>46231</v>
      </c>
      <c r="BP397" s="20">
        <v>0</v>
      </c>
    </row>
    <row r="398" spans="2:68">
      <c r="B398" s="20" t="s">
        <v>2216</v>
      </c>
      <c r="C398" s="20" t="s">
        <v>3264</v>
      </c>
      <c r="D398" s="20" t="s">
        <v>3808</v>
      </c>
      <c r="E398" s="20" t="s">
        <v>20</v>
      </c>
      <c r="F398" s="20" t="s">
        <v>21</v>
      </c>
      <c r="H398" s="20" t="s">
        <v>3809</v>
      </c>
      <c r="I398" s="20">
        <v>829</v>
      </c>
      <c r="J398" s="20">
        <v>829</v>
      </c>
      <c r="K398" s="20" t="s">
        <v>11</v>
      </c>
      <c r="L398" s="20">
        <v>829</v>
      </c>
      <c r="M398" s="20">
        <v>0</v>
      </c>
      <c r="N398" s="20">
        <v>829</v>
      </c>
      <c r="O398" s="20" t="s">
        <v>2203</v>
      </c>
      <c r="P398" s="20" t="s">
        <v>87</v>
      </c>
      <c r="Q398" s="20" t="s">
        <v>87</v>
      </c>
      <c r="R398" s="20" t="s">
        <v>3285</v>
      </c>
      <c r="S398" s="20" t="s">
        <v>3264</v>
      </c>
      <c r="T398" s="20" t="s">
        <v>206</v>
      </c>
      <c r="U398" s="20" t="s">
        <v>207</v>
      </c>
      <c r="V398" s="20" t="s">
        <v>3284</v>
      </c>
      <c r="W398" s="20">
        <v>151.49</v>
      </c>
      <c r="X398" s="20">
        <v>151.49016521982099</v>
      </c>
      <c r="Y398" s="20" t="s">
        <v>3285</v>
      </c>
      <c r="Z398" s="20" t="s">
        <v>3264</v>
      </c>
      <c r="AB398" s="20" t="s">
        <v>2376</v>
      </c>
      <c r="AD398" s="20" t="s">
        <v>2376</v>
      </c>
      <c r="AE398" s="20" t="s">
        <v>2376</v>
      </c>
      <c r="AF398" s="20">
        <v>0</v>
      </c>
      <c r="AG398" s="20">
        <v>0</v>
      </c>
      <c r="AH398" s="20">
        <v>0</v>
      </c>
      <c r="AI398" s="20">
        <v>0</v>
      </c>
      <c r="AJ398" s="20">
        <v>0</v>
      </c>
      <c r="AK398" s="20" t="s">
        <v>609</v>
      </c>
      <c r="AL398" s="20">
        <v>0</v>
      </c>
      <c r="AM398" s="20">
        <v>0</v>
      </c>
      <c r="AN398" s="20">
        <v>0</v>
      </c>
      <c r="AO398" s="20">
        <v>0</v>
      </c>
      <c r="AP398" s="20">
        <v>0</v>
      </c>
      <c r="AR398" s="20">
        <v>0</v>
      </c>
      <c r="AS398" s="20">
        <v>0</v>
      </c>
      <c r="AT398" s="20">
        <v>1117701.92</v>
      </c>
      <c r="AU398" s="20" t="s">
        <v>13</v>
      </c>
      <c r="AV398" s="20" t="s">
        <v>62</v>
      </c>
      <c r="AW398" s="20" t="s">
        <v>76</v>
      </c>
      <c r="AX398" s="20" t="s">
        <v>208</v>
      </c>
      <c r="AY398" s="20" t="s">
        <v>209</v>
      </c>
      <c r="AZ398" s="20">
        <v>0</v>
      </c>
      <c r="BA398" s="20">
        <v>125585.35</v>
      </c>
      <c r="BB398" s="20">
        <v>988</v>
      </c>
      <c r="BC398" s="20" t="s">
        <v>3264</v>
      </c>
      <c r="BD398" s="20" t="s">
        <v>65</v>
      </c>
      <c r="BE398" s="20" t="s">
        <v>210</v>
      </c>
      <c r="BF398" s="20" t="s">
        <v>210</v>
      </c>
      <c r="BG398" s="20">
        <v>9</v>
      </c>
      <c r="BH398" s="20">
        <v>11302.67</v>
      </c>
      <c r="BI398" s="20">
        <v>9</v>
      </c>
      <c r="BJ398" s="20">
        <v>11302.67</v>
      </c>
      <c r="BK398" s="20">
        <v>0</v>
      </c>
      <c r="BL398" s="20">
        <v>0</v>
      </c>
      <c r="BM398" s="20">
        <v>0</v>
      </c>
      <c r="BN398" s="20">
        <v>642152548083</v>
      </c>
      <c r="BO398" s="111">
        <v>46231</v>
      </c>
      <c r="BP398" s="20">
        <v>0</v>
      </c>
    </row>
    <row r="399" spans="2:68">
      <c r="B399" s="20" t="s">
        <v>2216</v>
      </c>
      <c r="C399" s="20" t="s">
        <v>3264</v>
      </c>
      <c r="D399" s="20" t="s">
        <v>3810</v>
      </c>
      <c r="E399" s="20" t="s">
        <v>23</v>
      </c>
      <c r="F399" s="20" t="s">
        <v>24</v>
      </c>
      <c r="H399" s="20" t="s">
        <v>3811</v>
      </c>
      <c r="I399" s="20">
        <v>31.5</v>
      </c>
      <c r="J399" s="20">
        <v>31.5</v>
      </c>
      <c r="K399" s="20" t="s">
        <v>11</v>
      </c>
      <c r="L399" s="20">
        <v>31.5</v>
      </c>
      <c r="M399" s="20">
        <v>0</v>
      </c>
      <c r="N399" s="20">
        <v>31.5</v>
      </c>
      <c r="O399" s="20" t="s">
        <v>2203</v>
      </c>
      <c r="P399" s="20" t="s">
        <v>87</v>
      </c>
      <c r="Q399" s="20" t="s">
        <v>87</v>
      </c>
      <c r="R399" s="20" t="s">
        <v>3287</v>
      </c>
      <c r="S399" s="20" t="s">
        <v>3264</v>
      </c>
      <c r="T399" s="20" t="s">
        <v>206</v>
      </c>
      <c r="U399" s="20" t="s">
        <v>207</v>
      </c>
      <c r="V399" s="20" t="s">
        <v>3286</v>
      </c>
      <c r="W399" s="20">
        <v>149.49</v>
      </c>
      <c r="X399" s="20">
        <v>149.49000122801499</v>
      </c>
      <c r="Y399" s="20" t="s">
        <v>3287</v>
      </c>
      <c r="Z399" s="20" t="s">
        <v>3264</v>
      </c>
      <c r="AB399" s="20" t="s">
        <v>2376</v>
      </c>
      <c r="AD399" s="20" t="s">
        <v>2376</v>
      </c>
      <c r="AE399" s="20" t="s">
        <v>2376</v>
      </c>
      <c r="AF399" s="20">
        <v>0</v>
      </c>
      <c r="AG399" s="20">
        <v>0</v>
      </c>
      <c r="AH399" s="20">
        <v>0</v>
      </c>
      <c r="AI399" s="20">
        <v>0</v>
      </c>
      <c r="AJ399" s="20">
        <v>0</v>
      </c>
      <c r="AK399" s="20" t="s">
        <v>609</v>
      </c>
      <c r="AL399" s="20">
        <v>0</v>
      </c>
      <c r="AM399" s="20">
        <v>0</v>
      </c>
      <c r="AN399" s="20">
        <v>0</v>
      </c>
      <c r="AO399" s="20">
        <v>0</v>
      </c>
      <c r="AP399" s="20">
        <v>0</v>
      </c>
      <c r="AR399" s="20">
        <v>0</v>
      </c>
      <c r="AS399" s="20">
        <v>0</v>
      </c>
      <c r="AT399" s="20">
        <v>608665.19999999995</v>
      </c>
      <c r="AU399" s="20" t="s">
        <v>13</v>
      </c>
      <c r="AV399" s="20" t="s">
        <v>24</v>
      </c>
      <c r="AW399" s="20" t="s">
        <v>79</v>
      </c>
      <c r="AX399" s="20" t="s">
        <v>208</v>
      </c>
      <c r="AY399" s="20" t="s">
        <v>209</v>
      </c>
      <c r="AZ399" s="20">
        <v>0</v>
      </c>
      <c r="BA399" s="20">
        <v>4708.9399999999996</v>
      </c>
      <c r="BB399" s="20">
        <v>991</v>
      </c>
      <c r="BC399" s="20" t="s">
        <v>3264</v>
      </c>
      <c r="BD399" s="20" t="s">
        <v>65</v>
      </c>
      <c r="BE399" s="20" t="s">
        <v>210</v>
      </c>
      <c r="BF399" s="20" t="s">
        <v>210</v>
      </c>
      <c r="BG399" s="20">
        <v>9</v>
      </c>
      <c r="BH399" s="20">
        <v>423.8</v>
      </c>
      <c r="BI399" s="20">
        <v>9</v>
      </c>
      <c r="BJ399" s="20">
        <v>423.8</v>
      </c>
      <c r="BK399" s="20">
        <v>0</v>
      </c>
      <c r="BL399" s="20">
        <v>0</v>
      </c>
      <c r="BM399" s="20">
        <v>608665.19999999995</v>
      </c>
      <c r="BN399" s="20">
        <v>612152780842</v>
      </c>
      <c r="BO399" s="111">
        <v>46231</v>
      </c>
      <c r="BP399" s="20">
        <v>0</v>
      </c>
    </row>
    <row r="400" spans="2:68">
      <c r="B400" s="20" t="s">
        <v>2216</v>
      </c>
      <c r="C400" s="20" t="s">
        <v>3264</v>
      </c>
      <c r="D400" s="20" t="s">
        <v>3810</v>
      </c>
      <c r="E400" s="20" t="s">
        <v>160</v>
      </c>
      <c r="F400" s="20" t="s">
        <v>17</v>
      </c>
      <c r="H400" s="20" t="s">
        <v>3811</v>
      </c>
      <c r="I400" s="20">
        <v>558</v>
      </c>
      <c r="J400" s="20">
        <v>558</v>
      </c>
      <c r="K400" s="20" t="s">
        <v>11</v>
      </c>
      <c r="L400" s="20">
        <v>558</v>
      </c>
      <c r="M400" s="20">
        <v>0</v>
      </c>
      <c r="N400" s="20">
        <v>558</v>
      </c>
      <c r="O400" s="20" t="s">
        <v>2203</v>
      </c>
      <c r="P400" s="20" t="s">
        <v>87</v>
      </c>
      <c r="Q400" s="20" t="s">
        <v>87</v>
      </c>
      <c r="R400" s="20" t="s">
        <v>3287</v>
      </c>
      <c r="S400" s="20" t="s">
        <v>3264</v>
      </c>
      <c r="T400" s="20" t="s">
        <v>206</v>
      </c>
      <c r="U400" s="20" t="s">
        <v>207</v>
      </c>
      <c r="V400" s="20" t="s">
        <v>3286</v>
      </c>
      <c r="W400" s="20">
        <v>182.78</v>
      </c>
      <c r="X400" s="20">
        <v>182.78000150148199</v>
      </c>
      <c r="Y400" s="20" t="s">
        <v>3287</v>
      </c>
      <c r="Z400" s="20" t="s">
        <v>3264</v>
      </c>
      <c r="AB400" s="20" t="s">
        <v>2376</v>
      </c>
      <c r="AD400" s="20" t="s">
        <v>2376</v>
      </c>
      <c r="AE400" s="20" t="s">
        <v>2376</v>
      </c>
      <c r="AF400" s="20">
        <v>0</v>
      </c>
      <c r="AG400" s="20">
        <v>0</v>
      </c>
      <c r="AH400" s="20">
        <v>0</v>
      </c>
      <c r="AI400" s="20">
        <v>0</v>
      </c>
      <c r="AJ400" s="20">
        <v>0</v>
      </c>
      <c r="AK400" s="20" t="s">
        <v>609</v>
      </c>
      <c r="AL400" s="20">
        <v>0</v>
      </c>
      <c r="AM400" s="20">
        <v>0</v>
      </c>
      <c r="AN400" s="20">
        <v>0</v>
      </c>
      <c r="AO400" s="20">
        <v>0</v>
      </c>
      <c r="AP400" s="20">
        <v>0</v>
      </c>
      <c r="AR400" s="20">
        <v>0</v>
      </c>
      <c r="AS400" s="20">
        <v>0</v>
      </c>
      <c r="AT400" s="20">
        <v>608665.19999999995</v>
      </c>
      <c r="AU400" s="20" t="s">
        <v>13</v>
      </c>
      <c r="AV400" s="20" t="s">
        <v>80</v>
      </c>
      <c r="AW400" s="20" t="s">
        <v>81</v>
      </c>
      <c r="AX400" s="20" t="s">
        <v>208</v>
      </c>
      <c r="AY400" s="20" t="s">
        <v>209</v>
      </c>
      <c r="AZ400" s="20">
        <v>0</v>
      </c>
      <c r="BA400" s="20">
        <v>101991.24</v>
      </c>
      <c r="BB400" s="20">
        <v>991</v>
      </c>
      <c r="BC400" s="20" t="s">
        <v>3264</v>
      </c>
      <c r="BD400" s="20" t="s">
        <v>65</v>
      </c>
      <c r="BE400" s="20" t="s">
        <v>210</v>
      </c>
      <c r="BF400" s="20" t="s">
        <v>210</v>
      </c>
      <c r="BG400" s="20">
        <v>9</v>
      </c>
      <c r="BH400" s="20">
        <v>9179.2099999999991</v>
      </c>
      <c r="BI400" s="20">
        <v>9</v>
      </c>
      <c r="BJ400" s="20">
        <v>9179.2099999999991</v>
      </c>
      <c r="BK400" s="20">
        <v>0</v>
      </c>
      <c r="BL400" s="20">
        <v>0</v>
      </c>
      <c r="BM400" s="20">
        <v>0</v>
      </c>
      <c r="BN400" s="20">
        <v>612152780842</v>
      </c>
      <c r="BO400" s="111">
        <v>46231</v>
      </c>
      <c r="BP400" s="20">
        <v>0</v>
      </c>
    </row>
    <row r="401" spans="2:68">
      <c r="B401" s="20" t="s">
        <v>2216</v>
      </c>
      <c r="C401" s="20" t="s">
        <v>3264</v>
      </c>
      <c r="D401" s="20" t="s">
        <v>3810</v>
      </c>
      <c r="E401" s="20" t="s">
        <v>160</v>
      </c>
      <c r="F401" s="20" t="s">
        <v>17</v>
      </c>
      <c r="H401" s="20" t="s">
        <v>3811</v>
      </c>
      <c r="I401" s="20">
        <v>656</v>
      </c>
      <c r="J401" s="20">
        <v>656</v>
      </c>
      <c r="K401" s="20" t="s">
        <v>11</v>
      </c>
      <c r="L401" s="20">
        <v>656</v>
      </c>
      <c r="M401" s="20">
        <v>0</v>
      </c>
      <c r="N401" s="20">
        <v>656</v>
      </c>
      <c r="O401" s="20" t="s">
        <v>2203</v>
      </c>
      <c r="P401" s="20" t="s">
        <v>87</v>
      </c>
      <c r="Q401" s="20" t="s">
        <v>87</v>
      </c>
      <c r="R401" s="20" t="s">
        <v>3287</v>
      </c>
      <c r="S401" s="20" t="s">
        <v>3264</v>
      </c>
      <c r="T401" s="20" t="s">
        <v>206</v>
      </c>
      <c r="U401" s="20" t="s">
        <v>207</v>
      </c>
      <c r="V401" s="20" t="s">
        <v>3286</v>
      </c>
      <c r="W401" s="20">
        <v>185.78</v>
      </c>
      <c r="X401" s="20">
        <v>185.780001526126</v>
      </c>
      <c r="Y401" s="20" t="s">
        <v>3287</v>
      </c>
      <c r="Z401" s="20" t="s">
        <v>3264</v>
      </c>
      <c r="AB401" s="20" t="s">
        <v>2376</v>
      </c>
      <c r="AD401" s="20" t="s">
        <v>2376</v>
      </c>
      <c r="AE401" s="20" t="s">
        <v>2376</v>
      </c>
      <c r="AF401" s="20">
        <v>0</v>
      </c>
      <c r="AG401" s="20">
        <v>0</v>
      </c>
      <c r="AH401" s="20">
        <v>0</v>
      </c>
      <c r="AI401" s="20">
        <v>0</v>
      </c>
      <c r="AJ401" s="20">
        <v>0</v>
      </c>
      <c r="AK401" s="20" t="s">
        <v>609</v>
      </c>
      <c r="AL401" s="20">
        <v>0</v>
      </c>
      <c r="AM401" s="20">
        <v>0</v>
      </c>
      <c r="AN401" s="20">
        <v>0</v>
      </c>
      <c r="AO401" s="20">
        <v>0</v>
      </c>
      <c r="AP401" s="20">
        <v>0</v>
      </c>
      <c r="AR401" s="20">
        <v>0</v>
      </c>
      <c r="AS401" s="20">
        <v>0</v>
      </c>
      <c r="AT401" s="20">
        <v>608665.19999999995</v>
      </c>
      <c r="AU401" s="20" t="s">
        <v>13</v>
      </c>
      <c r="AV401" s="20" t="s">
        <v>80</v>
      </c>
      <c r="AW401" s="20" t="s">
        <v>81</v>
      </c>
      <c r="AX401" s="20" t="s">
        <v>208</v>
      </c>
      <c r="AY401" s="20" t="s">
        <v>209</v>
      </c>
      <c r="AZ401" s="20">
        <v>0</v>
      </c>
      <c r="BA401" s="20">
        <v>121871.67999999999</v>
      </c>
      <c r="BB401" s="20">
        <v>991</v>
      </c>
      <c r="BC401" s="20" t="s">
        <v>3264</v>
      </c>
      <c r="BD401" s="20" t="s">
        <v>65</v>
      </c>
      <c r="BE401" s="20" t="s">
        <v>210</v>
      </c>
      <c r="BF401" s="20" t="s">
        <v>210</v>
      </c>
      <c r="BG401" s="20">
        <v>9</v>
      </c>
      <c r="BH401" s="20">
        <v>10968.45</v>
      </c>
      <c r="BI401" s="20">
        <v>9</v>
      </c>
      <c r="BJ401" s="20">
        <v>10968.45</v>
      </c>
      <c r="BK401" s="20">
        <v>0</v>
      </c>
      <c r="BL401" s="20">
        <v>0</v>
      </c>
      <c r="BM401" s="20">
        <v>0</v>
      </c>
      <c r="BN401" s="20">
        <v>612152780842</v>
      </c>
      <c r="BO401" s="111">
        <v>46231</v>
      </c>
      <c r="BP401" s="20">
        <v>0</v>
      </c>
    </row>
    <row r="402" spans="2:68">
      <c r="B402" s="20" t="s">
        <v>2216</v>
      </c>
      <c r="C402" s="20" t="s">
        <v>3264</v>
      </c>
      <c r="D402" s="20" t="s">
        <v>3810</v>
      </c>
      <c r="E402" s="20" t="s">
        <v>18</v>
      </c>
      <c r="F402" s="20" t="s">
        <v>19</v>
      </c>
      <c r="H402" s="20" t="s">
        <v>3811</v>
      </c>
      <c r="I402" s="20">
        <v>1988</v>
      </c>
      <c r="J402" s="20">
        <v>1988</v>
      </c>
      <c r="K402" s="20" t="s">
        <v>11</v>
      </c>
      <c r="L402" s="20">
        <v>1988</v>
      </c>
      <c r="M402" s="20">
        <v>0</v>
      </c>
      <c r="N402" s="20">
        <v>1988</v>
      </c>
      <c r="O402" s="20" t="s">
        <v>2203</v>
      </c>
      <c r="P402" s="20" t="s">
        <v>87</v>
      </c>
      <c r="Q402" s="20" t="s">
        <v>87</v>
      </c>
      <c r="R402" s="20" t="s">
        <v>3287</v>
      </c>
      <c r="S402" s="20" t="s">
        <v>3264</v>
      </c>
      <c r="T402" s="20" t="s">
        <v>206</v>
      </c>
      <c r="U402" s="20" t="s">
        <v>207</v>
      </c>
      <c r="V402" s="20" t="s">
        <v>3286</v>
      </c>
      <c r="W402" s="20">
        <v>144.49</v>
      </c>
      <c r="X402" s="20">
        <v>144.49000118694099</v>
      </c>
      <c r="Y402" s="20" t="s">
        <v>3287</v>
      </c>
      <c r="Z402" s="20" t="s">
        <v>3264</v>
      </c>
      <c r="AB402" s="20" t="s">
        <v>2376</v>
      </c>
      <c r="AD402" s="20" t="s">
        <v>2376</v>
      </c>
      <c r="AE402" s="20" t="s">
        <v>2376</v>
      </c>
      <c r="AF402" s="20">
        <v>0</v>
      </c>
      <c r="AG402" s="20">
        <v>0</v>
      </c>
      <c r="AH402" s="20">
        <v>0</v>
      </c>
      <c r="AI402" s="20">
        <v>0</v>
      </c>
      <c r="AJ402" s="20">
        <v>0</v>
      </c>
      <c r="AK402" s="20" t="s">
        <v>609</v>
      </c>
      <c r="AL402" s="20">
        <v>0</v>
      </c>
      <c r="AM402" s="20">
        <v>0</v>
      </c>
      <c r="AN402" s="20">
        <v>0</v>
      </c>
      <c r="AO402" s="20">
        <v>0</v>
      </c>
      <c r="AP402" s="20">
        <v>0</v>
      </c>
      <c r="AR402" s="20">
        <v>0</v>
      </c>
      <c r="AS402" s="20">
        <v>0</v>
      </c>
      <c r="AT402" s="20">
        <v>608665.19999999995</v>
      </c>
      <c r="AU402" s="20" t="s">
        <v>13</v>
      </c>
      <c r="AV402" s="20" t="s">
        <v>62</v>
      </c>
      <c r="AW402" s="20" t="s">
        <v>63</v>
      </c>
      <c r="AX402" s="20" t="s">
        <v>208</v>
      </c>
      <c r="AY402" s="20" t="s">
        <v>209</v>
      </c>
      <c r="AZ402" s="20">
        <v>0</v>
      </c>
      <c r="BA402" s="20">
        <v>287246.12</v>
      </c>
      <c r="BB402" s="20">
        <v>991</v>
      </c>
      <c r="BC402" s="20" t="s">
        <v>3264</v>
      </c>
      <c r="BD402" s="20" t="s">
        <v>65</v>
      </c>
      <c r="BE402" s="20" t="s">
        <v>210</v>
      </c>
      <c r="BF402" s="20" t="s">
        <v>210</v>
      </c>
      <c r="BG402" s="20">
        <v>9</v>
      </c>
      <c r="BH402" s="20">
        <v>25852.15</v>
      </c>
      <c r="BI402" s="20">
        <v>9</v>
      </c>
      <c r="BJ402" s="20">
        <v>25852.15</v>
      </c>
      <c r="BK402" s="20">
        <v>0</v>
      </c>
      <c r="BL402" s="20">
        <v>0</v>
      </c>
      <c r="BM402" s="20">
        <v>0</v>
      </c>
      <c r="BN402" s="20">
        <v>612152780842</v>
      </c>
      <c r="BO402" s="111">
        <v>46231</v>
      </c>
      <c r="BP402" s="20">
        <v>0</v>
      </c>
    </row>
    <row r="403" spans="2:68">
      <c r="B403" s="20" t="s">
        <v>2216</v>
      </c>
      <c r="C403" s="20" t="s">
        <v>3264</v>
      </c>
      <c r="D403" s="20" t="s">
        <v>3812</v>
      </c>
      <c r="E403" s="20" t="s">
        <v>2519</v>
      </c>
      <c r="F403" s="20" t="s">
        <v>2117</v>
      </c>
      <c r="H403" s="20" t="s">
        <v>3813</v>
      </c>
      <c r="I403" s="20">
        <v>273</v>
      </c>
      <c r="J403" s="20">
        <v>273</v>
      </c>
      <c r="K403" s="20" t="s">
        <v>11</v>
      </c>
      <c r="L403" s="20">
        <v>273</v>
      </c>
      <c r="M403" s="20">
        <v>0</v>
      </c>
      <c r="N403" s="20">
        <v>273</v>
      </c>
      <c r="O403" s="20" t="s">
        <v>2442</v>
      </c>
      <c r="P403" s="20" t="s">
        <v>94</v>
      </c>
      <c r="Q403" s="20" t="s">
        <v>94</v>
      </c>
      <c r="R403" s="20" t="s">
        <v>3291</v>
      </c>
      <c r="S403" s="20" t="s">
        <v>3264</v>
      </c>
      <c r="T403" s="20" t="s">
        <v>206</v>
      </c>
      <c r="U403" s="20" t="s">
        <v>207</v>
      </c>
      <c r="V403" s="20" t="s">
        <v>3290</v>
      </c>
      <c r="W403" s="20">
        <v>154.74</v>
      </c>
      <c r="X403" s="20">
        <v>154.74</v>
      </c>
      <c r="Y403" s="20" t="s">
        <v>3291</v>
      </c>
      <c r="Z403" s="20" t="s">
        <v>3264</v>
      </c>
      <c r="AB403" s="20" t="s">
        <v>2376</v>
      </c>
      <c r="AD403" s="20" t="s">
        <v>2376</v>
      </c>
      <c r="AE403" s="20" t="s">
        <v>2376</v>
      </c>
      <c r="AF403" s="20">
        <v>0</v>
      </c>
      <c r="AG403" s="20">
        <v>0</v>
      </c>
      <c r="AH403" s="20">
        <v>0</v>
      </c>
      <c r="AI403" s="20">
        <v>0</v>
      </c>
      <c r="AJ403" s="20">
        <v>0</v>
      </c>
      <c r="AK403" s="20" t="s">
        <v>609</v>
      </c>
      <c r="AL403" s="20">
        <v>0</v>
      </c>
      <c r="AM403" s="20">
        <v>0</v>
      </c>
      <c r="AN403" s="20">
        <v>0</v>
      </c>
      <c r="AO403" s="20">
        <v>0</v>
      </c>
      <c r="AP403" s="20">
        <v>0</v>
      </c>
      <c r="AR403" s="20">
        <v>0</v>
      </c>
      <c r="AS403" s="20">
        <v>0</v>
      </c>
      <c r="AT403" s="20">
        <v>49847.94</v>
      </c>
      <c r="AU403" s="20" t="s">
        <v>15</v>
      </c>
      <c r="AV403" s="20" t="s">
        <v>2117</v>
      </c>
      <c r="AW403" s="20" t="s">
        <v>2117</v>
      </c>
      <c r="AX403" s="20" t="s">
        <v>208</v>
      </c>
      <c r="AY403" s="20" t="s">
        <v>209</v>
      </c>
      <c r="AZ403" s="20">
        <v>0</v>
      </c>
      <c r="BA403" s="20">
        <v>42244.02</v>
      </c>
      <c r="BB403" s="20">
        <v>988</v>
      </c>
      <c r="BC403" s="20" t="s">
        <v>3264</v>
      </c>
      <c r="BD403" s="20" t="s">
        <v>74</v>
      </c>
      <c r="BE403" s="20" t="s">
        <v>210</v>
      </c>
      <c r="BF403" s="20" t="s">
        <v>210</v>
      </c>
      <c r="BG403" s="20">
        <v>9</v>
      </c>
      <c r="BH403" s="20">
        <v>3801.96</v>
      </c>
      <c r="BI403" s="20">
        <v>9</v>
      </c>
      <c r="BJ403" s="20">
        <v>3801.96</v>
      </c>
      <c r="BK403" s="20">
        <v>0</v>
      </c>
      <c r="BL403" s="20">
        <v>0</v>
      </c>
      <c r="BM403" s="20">
        <v>49847.94</v>
      </c>
      <c r="BN403" s="20">
        <v>622152534578</v>
      </c>
      <c r="BO403" s="111">
        <v>46231</v>
      </c>
      <c r="BP403" s="20">
        <v>0</v>
      </c>
    </row>
    <row r="404" spans="2:68">
      <c r="B404" s="20" t="s">
        <v>2216</v>
      </c>
      <c r="C404" s="20" t="s">
        <v>3264</v>
      </c>
      <c r="D404" s="20" t="s">
        <v>3814</v>
      </c>
      <c r="E404" s="20" t="s">
        <v>423</v>
      </c>
      <c r="F404" s="20" t="s">
        <v>418</v>
      </c>
      <c r="H404" s="20" t="s">
        <v>3815</v>
      </c>
      <c r="I404" s="20">
        <v>591</v>
      </c>
      <c r="J404" s="20">
        <v>591</v>
      </c>
      <c r="K404" s="20" t="s">
        <v>11</v>
      </c>
      <c r="L404" s="20">
        <v>591</v>
      </c>
      <c r="M404" s="20">
        <v>0</v>
      </c>
      <c r="N404" s="20">
        <v>591</v>
      </c>
      <c r="O404" s="20" t="s">
        <v>3816</v>
      </c>
      <c r="P404" s="20" t="s">
        <v>103</v>
      </c>
      <c r="Q404" s="20" t="s">
        <v>103</v>
      </c>
      <c r="R404" s="20" t="s">
        <v>3270</v>
      </c>
      <c r="S404" s="20" t="s">
        <v>3257</v>
      </c>
      <c r="T404" s="20" t="s">
        <v>206</v>
      </c>
      <c r="U404" s="20" t="s">
        <v>207</v>
      </c>
      <c r="V404" s="20" t="s">
        <v>3269</v>
      </c>
      <c r="W404" s="20">
        <v>162.41999999999999</v>
      </c>
      <c r="X404" s="20">
        <v>162.41999999999999</v>
      </c>
      <c r="Y404" s="20" t="s">
        <v>3270</v>
      </c>
      <c r="Z404" s="20" t="s">
        <v>3257</v>
      </c>
      <c r="AB404" s="20" t="s">
        <v>2376</v>
      </c>
      <c r="AD404" s="20" t="s">
        <v>2376</v>
      </c>
      <c r="AE404" s="20" t="s">
        <v>2376</v>
      </c>
      <c r="AF404" s="20">
        <v>0</v>
      </c>
      <c r="AG404" s="20">
        <v>0</v>
      </c>
      <c r="AH404" s="20">
        <v>0</v>
      </c>
      <c r="AI404" s="20">
        <v>0</v>
      </c>
      <c r="AJ404" s="20">
        <v>0</v>
      </c>
      <c r="AK404" s="20" t="s">
        <v>609</v>
      </c>
      <c r="AL404" s="20">
        <v>0</v>
      </c>
      <c r="AM404" s="20">
        <v>0</v>
      </c>
      <c r="AN404" s="20">
        <v>0</v>
      </c>
      <c r="AO404" s="20">
        <v>0</v>
      </c>
      <c r="AP404" s="20">
        <v>0</v>
      </c>
      <c r="AR404" s="20">
        <v>0</v>
      </c>
      <c r="AS404" s="20">
        <v>0</v>
      </c>
      <c r="AT404" s="20">
        <v>95990.22</v>
      </c>
      <c r="AU404" s="20" t="s">
        <v>13</v>
      </c>
      <c r="AV404" s="20" t="s">
        <v>80</v>
      </c>
      <c r="AW404" s="20" t="s">
        <v>81</v>
      </c>
      <c r="AX404" s="20" t="s">
        <v>208</v>
      </c>
      <c r="AY404" s="20" t="s">
        <v>209</v>
      </c>
      <c r="AZ404" s="20">
        <v>0</v>
      </c>
      <c r="BA404" s="20">
        <v>95990.22</v>
      </c>
      <c r="BB404" s="20" t="s">
        <v>3817</v>
      </c>
      <c r="BC404" s="20" t="s">
        <v>3264</v>
      </c>
      <c r="BD404" s="20" t="s">
        <v>104</v>
      </c>
      <c r="BE404" s="20" t="s">
        <v>210</v>
      </c>
      <c r="BF404" s="20" t="s">
        <v>210</v>
      </c>
      <c r="BG404" s="20">
        <v>0</v>
      </c>
      <c r="BH404" s="20">
        <v>0</v>
      </c>
      <c r="BI404" s="20">
        <v>0</v>
      </c>
      <c r="BJ404" s="20">
        <v>0</v>
      </c>
      <c r="BK404" s="20">
        <v>0</v>
      </c>
      <c r="BL404" s="20">
        <v>0</v>
      </c>
      <c r="BM404" s="20">
        <v>95990.22</v>
      </c>
      <c r="BN404" s="20">
        <v>662152077400</v>
      </c>
      <c r="BO404" s="111">
        <v>46230</v>
      </c>
      <c r="BP404" s="20">
        <v>0</v>
      </c>
    </row>
    <row r="405" spans="2:68">
      <c r="B405" s="20" t="s">
        <v>2216</v>
      </c>
      <c r="C405" s="20" t="s">
        <v>3306</v>
      </c>
      <c r="D405" s="20" t="s">
        <v>3818</v>
      </c>
      <c r="E405" s="20" t="s">
        <v>18</v>
      </c>
      <c r="F405" s="20" t="s">
        <v>19</v>
      </c>
      <c r="H405" s="20" t="s">
        <v>3819</v>
      </c>
      <c r="I405" s="20">
        <v>1400</v>
      </c>
      <c r="J405" s="20">
        <v>1400</v>
      </c>
      <c r="K405" s="20" t="s">
        <v>11</v>
      </c>
      <c r="L405" s="20">
        <v>1400</v>
      </c>
      <c r="M405" s="20">
        <v>0</v>
      </c>
      <c r="N405" s="20">
        <v>1400</v>
      </c>
      <c r="O405" s="20" t="s">
        <v>2623</v>
      </c>
      <c r="P405" s="20" t="s">
        <v>87</v>
      </c>
      <c r="Q405" s="20" t="s">
        <v>87</v>
      </c>
      <c r="R405" s="20" t="s">
        <v>3313</v>
      </c>
      <c r="S405" s="20" t="s">
        <v>3306</v>
      </c>
      <c r="T405" s="20" t="s">
        <v>206</v>
      </c>
      <c r="U405" s="20" t="s">
        <v>207</v>
      </c>
      <c r="V405" s="20" t="s">
        <v>3312</v>
      </c>
      <c r="W405" s="20">
        <v>144.49</v>
      </c>
      <c r="X405" s="20">
        <v>144.49</v>
      </c>
      <c r="Y405" s="20" t="s">
        <v>3313</v>
      </c>
      <c r="Z405" s="20" t="s">
        <v>3306</v>
      </c>
      <c r="AB405" s="20" t="s">
        <v>2376</v>
      </c>
      <c r="AD405" s="20" t="s">
        <v>2376</v>
      </c>
      <c r="AE405" s="20" t="s">
        <v>2376</v>
      </c>
      <c r="AF405" s="20">
        <v>0</v>
      </c>
      <c r="AG405" s="20">
        <v>0</v>
      </c>
      <c r="AH405" s="20">
        <v>0</v>
      </c>
      <c r="AI405" s="20">
        <v>0</v>
      </c>
      <c r="AJ405" s="20">
        <v>0</v>
      </c>
      <c r="AK405" s="20" t="s">
        <v>609</v>
      </c>
      <c r="AL405" s="20">
        <v>0</v>
      </c>
      <c r="AM405" s="20">
        <v>0</v>
      </c>
      <c r="AN405" s="20">
        <v>0</v>
      </c>
      <c r="AO405" s="20">
        <v>0</v>
      </c>
      <c r="AP405" s="20">
        <v>0</v>
      </c>
      <c r="AR405" s="20">
        <v>0</v>
      </c>
      <c r="AS405" s="20">
        <v>0</v>
      </c>
      <c r="AT405" s="20">
        <v>238697.48</v>
      </c>
      <c r="AU405" s="20" t="s">
        <v>13</v>
      </c>
      <c r="AV405" s="20" t="s">
        <v>62</v>
      </c>
      <c r="AW405" s="20" t="s">
        <v>63</v>
      </c>
      <c r="AX405" s="20" t="s">
        <v>208</v>
      </c>
      <c r="AY405" s="20" t="s">
        <v>209</v>
      </c>
      <c r="AZ405" s="20">
        <v>0</v>
      </c>
      <c r="BA405" s="20">
        <v>202286</v>
      </c>
      <c r="BB405" s="20">
        <v>1000</v>
      </c>
      <c r="BC405" s="20" t="s">
        <v>3306</v>
      </c>
      <c r="BD405" s="20" t="s">
        <v>65</v>
      </c>
      <c r="BE405" s="20" t="s">
        <v>210</v>
      </c>
      <c r="BF405" s="20" t="s">
        <v>210</v>
      </c>
      <c r="BG405" s="20">
        <v>9</v>
      </c>
      <c r="BH405" s="20">
        <v>18205.740000000002</v>
      </c>
      <c r="BI405" s="20">
        <v>9</v>
      </c>
      <c r="BJ405" s="20">
        <v>18205.740000000002</v>
      </c>
      <c r="BK405" s="20">
        <v>0</v>
      </c>
      <c r="BL405" s="20">
        <v>0</v>
      </c>
      <c r="BM405" s="20">
        <v>238697.48</v>
      </c>
      <c r="BN405" s="20">
        <v>642153419580</v>
      </c>
      <c r="BO405" s="111">
        <v>46232</v>
      </c>
      <c r="BP405" s="20">
        <v>0</v>
      </c>
    </row>
    <row r="406" spans="2:68">
      <c r="B406" s="20" t="s">
        <v>2216</v>
      </c>
      <c r="C406" s="20" t="s">
        <v>3306</v>
      </c>
      <c r="D406" s="20" t="s">
        <v>3820</v>
      </c>
      <c r="E406" s="20" t="s">
        <v>18</v>
      </c>
      <c r="F406" s="20" t="s">
        <v>19</v>
      </c>
      <c r="H406" s="20" t="s">
        <v>3819</v>
      </c>
      <c r="I406" s="20">
        <v>1175</v>
      </c>
      <c r="J406" s="20">
        <v>1175</v>
      </c>
      <c r="K406" s="20" t="s">
        <v>11</v>
      </c>
      <c r="L406" s="20">
        <v>1175</v>
      </c>
      <c r="M406" s="20">
        <v>0</v>
      </c>
      <c r="N406" s="20">
        <v>1175</v>
      </c>
      <c r="O406" s="20" t="s">
        <v>2623</v>
      </c>
      <c r="P406" s="20" t="s">
        <v>87</v>
      </c>
      <c r="Q406" s="20" t="s">
        <v>87</v>
      </c>
      <c r="R406" s="20" t="s">
        <v>3315</v>
      </c>
      <c r="S406" s="20" t="s">
        <v>3306</v>
      </c>
      <c r="T406" s="20" t="s">
        <v>206</v>
      </c>
      <c r="U406" s="20" t="s">
        <v>207</v>
      </c>
      <c r="V406" s="20" t="s">
        <v>3314</v>
      </c>
      <c r="W406" s="20">
        <v>144.49</v>
      </c>
      <c r="X406" s="20">
        <v>144.49</v>
      </c>
      <c r="Y406" s="20" t="s">
        <v>3315</v>
      </c>
      <c r="Z406" s="20" t="s">
        <v>3306</v>
      </c>
      <c r="AB406" s="20" t="s">
        <v>3723</v>
      </c>
      <c r="AD406" s="20" t="s">
        <v>2376</v>
      </c>
      <c r="AE406" s="20" t="s">
        <v>2376</v>
      </c>
      <c r="AF406" s="20">
        <v>0</v>
      </c>
      <c r="AG406" s="20">
        <v>0</v>
      </c>
      <c r="AH406" s="20">
        <v>0</v>
      </c>
      <c r="AI406" s="20">
        <v>0</v>
      </c>
      <c r="AJ406" s="20">
        <v>0</v>
      </c>
      <c r="AK406" s="20" t="s">
        <v>609</v>
      </c>
      <c r="AL406" s="20">
        <v>0</v>
      </c>
      <c r="AM406" s="20">
        <v>0</v>
      </c>
      <c r="AN406" s="20">
        <v>0</v>
      </c>
      <c r="AO406" s="20">
        <v>0</v>
      </c>
      <c r="AP406" s="20">
        <v>0</v>
      </c>
      <c r="AR406" s="20">
        <v>0</v>
      </c>
      <c r="AS406" s="20">
        <v>0</v>
      </c>
      <c r="AT406" s="20">
        <v>200335.39</v>
      </c>
      <c r="AU406" s="20" t="s">
        <v>13</v>
      </c>
      <c r="AV406" s="20" t="s">
        <v>62</v>
      </c>
      <c r="AW406" s="20" t="s">
        <v>63</v>
      </c>
      <c r="AX406" s="20" t="s">
        <v>208</v>
      </c>
      <c r="AY406" s="20" t="s">
        <v>209</v>
      </c>
      <c r="AZ406" s="20">
        <v>0</v>
      </c>
      <c r="BA406" s="20">
        <v>169775.75</v>
      </c>
      <c r="BB406" s="20">
        <v>1001</v>
      </c>
      <c r="BC406" s="20" t="s">
        <v>3306</v>
      </c>
      <c r="BD406" s="20" t="s">
        <v>65</v>
      </c>
      <c r="BE406" s="20" t="s">
        <v>210</v>
      </c>
      <c r="BF406" s="20" t="s">
        <v>210</v>
      </c>
      <c r="BG406" s="20">
        <v>9</v>
      </c>
      <c r="BH406" s="20">
        <v>15279.82</v>
      </c>
      <c r="BI406" s="20">
        <v>9</v>
      </c>
      <c r="BJ406" s="20">
        <v>15279.82</v>
      </c>
      <c r="BK406" s="20">
        <v>0</v>
      </c>
      <c r="BL406" s="20">
        <v>0</v>
      </c>
      <c r="BM406" s="20">
        <v>200335.39</v>
      </c>
      <c r="BN406" s="20">
        <v>67213627380</v>
      </c>
      <c r="BO406" s="111">
        <v>46232</v>
      </c>
      <c r="BP406" s="20">
        <v>0</v>
      </c>
    </row>
    <row r="407" spans="2:68">
      <c r="B407" s="20" t="s">
        <v>2216</v>
      </c>
      <c r="C407" s="20" t="s">
        <v>3306</v>
      </c>
      <c r="D407" s="20" t="s">
        <v>3821</v>
      </c>
      <c r="E407" s="20" t="s">
        <v>3822</v>
      </c>
      <c r="F407" s="20" t="s">
        <v>17</v>
      </c>
      <c r="H407" s="20" t="s">
        <v>3823</v>
      </c>
      <c r="I407" s="20">
        <v>7634</v>
      </c>
      <c r="J407" s="20">
        <v>7634</v>
      </c>
      <c r="K407" s="20" t="s">
        <v>11</v>
      </c>
      <c r="L407" s="20">
        <v>7634</v>
      </c>
      <c r="M407" s="20">
        <v>0</v>
      </c>
      <c r="N407" s="20">
        <v>7634</v>
      </c>
      <c r="O407" s="20" t="s">
        <v>2442</v>
      </c>
      <c r="P407" s="20" t="s">
        <v>87</v>
      </c>
      <c r="Q407" s="20" t="s">
        <v>87</v>
      </c>
      <c r="R407" s="20" t="s">
        <v>3317</v>
      </c>
      <c r="S407" s="20" t="s">
        <v>3306</v>
      </c>
      <c r="T407" s="20" t="s">
        <v>206</v>
      </c>
      <c r="U407" s="20" t="s">
        <v>207</v>
      </c>
      <c r="V407" s="20" t="s">
        <v>3316</v>
      </c>
      <c r="W407" s="20">
        <v>182.78</v>
      </c>
      <c r="X407" s="20">
        <v>182.77993538108001</v>
      </c>
      <c r="Y407" s="20" t="s">
        <v>3317</v>
      </c>
      <c r="Z407" s="20" t="s">
        <v>3306</v>
      </c>
      <c r="AB407" s="20" t="s">
        <v>2376</v>
      </c>
      <c r="AD407" s="20" t="s">
        <v>2376</v>
      </c>
      <c r="AE407" s="20" t="s">
        <v>2376</v>
      </c>
      <c r="AF407" s="20">
        <v>0</v>
      </c>
      <c r="AG407" s="20">
        <v>0</v>
      </c>
      <c r="AH407" s="20">
        <v>0</v>
      </c>
      <c r="AI407" s="20">
        <v>0</v>
      </c>
      <c r="AJ407" s="20">
        <v>0</v>
      </c>
      <c r="AK407" s="20" t="s">
        <v>609</v>
      </c>
      <c r="AL407" s="20">
        <v>0</v>
      </c>
      <c r="AM407" s="20">
        <v>0</v>
      </c>
      <c r="AN407" s="20">
        <v>0</v>
      </c>
      <c r="AO407" s="20">
        <v>0</v>
      </c>
      <c r="AP407" s="20">
        <v>0</v>
      </c>
      <c r="AR407" s="20">
        <v>0</v>
      </c>
      <c r="AS407" s="20">
        <v>0</v>
      </c>
      <c r="AT407" s="20">
        <v>1929093.16</v>
      </c>
      <c r="AU407" s="20" t="s">
        <v>13</v>
      </c>
      <c r="AV407" s="20" t="s">
        <v>80</v>
      </c>
      <c r="AW407" s="20" t="s">
        <v>81</v>
      </c>
      <c r="AX407" s="20" t="s">
        <v>208</v>
      </c>
      <c r="AY407" s="20" t="s">
        <v>209</v>
      </c>
      <c r="AZ407" s="20">
        <v>0</v>
      </c>
      <c r="BA407" s="20">
        <v>1395342.03</v>
      </c>
      <c r="BB407" s="20">
        <v>995</v>
      </c>
      <c r="BC407" s="20" t="s">
        <v>3306</v>
      </c>
      <c r="BD407" s="20" t="s">
        <v>65</v>
      </c>
      <c r="BE407" s="20" t="s">
        <v>210</v>
      </c>
      <c r="BF407" s="20" t="s">
        <v>210</v>
      </c>
      <c r="BG407" s="20">
        <v>9</v>
      </c>
      <c r="BH407" s="20">
        <v>125580.83</v>
      </c>
      <c r="BI407" s="20">
        <v>9</v>
      </c>
      <c r="BJ407" s="20">
        <v>125580.83</v>
      </c>
      <c r="BK407" s="20">
        <v>0</v>
      </c>
      <c r="BL407" s="20">
        <v>0</v>
      </c>
      <c r="BM407" s="20">
        <v>1929093.16</v>
      </c>
      <c r="BN407" s="20">
        <v>632153279770</v>
      </c>
      <c r="BO407" s="111">
        <v>46232</v>
      </c>
      <c r="BP407" s="20">
        <v>0</v>
      </c>
    </row>
    <row r="408" spans="2:68">
      <c r="B408" s="20" t="s">
        <v>2216</v>
      </c>
      <c r="C408" s="20" t="s">
        <v>3306</v>
      </c>
      <c r="D408" s="20" t="s">
        <v>3821</v>
      </c>
      <c r="E408" s="20" t="s">
        <v>855</v>
      </c>
      <c r="F408" s="20" t="s">
        <v>778</v>
      </c>
      <c r="H408" s="20" t="s">
        <v>3823</v>
      </c>
      <c r="I408" s="20">
        <v>15400</v>
      </c>
      <c r="J408" s="20">
        <v>15400</v>
      </c>
      <c r="K408" s="20" t="s">
        <v>1</v>
      </c>
      <c r="L408" s="20">
        <v>15400</v>
      </c>
      <c r="M408" s="20">
        <v>0</v>
      </c>
      <c r="N408" s="20">
        <v>15400</v>
      </c>
      <c r="O408" s="20" t="s">
        <v>2442</v>
      </c>
      <c r="P408" s="20" t="s">
        <v>87</v>
      </c>
      <c r="Q408" s="20" t="s">
        <v>87</v>
      </c>
      <c r="R408" s="20" t="s">
        <v>3317</v>
      </c>
      <c r="S408" s="20" t="s">
        <v>3306</v>
      </c>
      <c r="T408" s="20" t="s">
        <v>206</v>
      </c>
      <c r="U408" s="20" t="s">
        <v>207</v>
      </c>
      <c r="V408" s="20" t="s">
        <v>3316</v>
      </c>
      <c r="W408" s="20">
        <v>3.6318999999999999</v>
      </c>
      <c r="X408" s="20">
        <v>3.63189871600036</v>
      </c>
      <c r="Y408" s="20" t="s">
        <v>3317</v>
      </c>
      <c r="Z408" s="20" t="s">
        <v>3306</v>
      </c>
      <c r="AB408" s="20" t="s">
        <v>2376</v>
      </c>
      <c r="AD408" s="20" t="s">
        <v>2376</v>
      </c>
      <c r="AE408" s="20" t="s">
        <v>2376</v>
      </c>
      <c r="AF408" s="20">
        <v>0</v>
      </c>
      <c r="AG408" s="20">
        <v>0</v>
      </c>
      <c r="AH408" s="20">
        <v>0</v>
      </c>
      <c r="AI408" s="20">
        <v>0</v>
      </c>
      <c r="AJ408" s="20">
        <v>0</v>
      </c>
      <c r="AK408" s="20" t="s">
        <v>609</v>
      </c>
      <c r="AL408" s="20">
        <v>0</v>
      </c>
      <c r="AM408" s="20">
        <v>0</v>
      </c>
      <c r="AN408" s="20">
        <v>0</v>
      </c>
      <c r="AO408" s="20">
        <v>0</v>
      </c>
      <c r="AP408" s="20">
        <v>0</v>
      </c>
      <c r="AR408" s="20">
        <v>0</v>
      </c>
      <c r="AS408" s="20">
        <v>0</v>
      </c>
      <c r="AT408" s="20">
        <v>1929093.16</v>
      </c>
      <c r="AU408" s="20" t="s">
        <v>8</v>
      </c>
      <c r="AV408" s="20" t="s">
        <v>659</v>
      </c>
      <c r="AW408" s="20" t="s">
        <v>659</v>
      </c>
      <c r="AX408" s="20" t="s">
        <v>208</v>
      </c>
      <c r="AY408" s="20" t="s">
        <v>856</v>
      </c>
      <c r="AZ408" s="20">
        <v>0</v>
      </c>
      <c r="BA408" s="20">
        <v>55931.24</v>
      </c>
      <c r="BB408" s="20">
        <v>995</v>
      </c>
      <c r="BC408" s="20" t="s">
        <v>3306</v>
      </c>
      <c r="BD408" s="20" t="s">
        <v>65</v>
      </c>
      <c r="BE408" s="20" t="s">
        <v>210</v>
      </c>
      <c r="BF408" s="20" t="s">
        <v>210</v>
      </c>
      <c r="BG408" s="20">
        <v>9</v>
      </c>
      <c r="BH408" s="20">
        <v>5033.8100000000004</v>
      </c>
      <c r="BI408" s="20">
        <v>9</v>
      </c>
      <c r="BJ408" s="20">
        <v>5033.8100000000004</v>
      </c>
      <c r="BK408" s="20">
        <v>0</v>
      </c>
      <c r="BL408" s="20">
        <v>0</v>
      </c>
      <c r="BM408" s="20">
        <v>0</v>
      </c>
      <c r="BN408" s="20">
        <v>632153279770</v>
      </c>
      <c r="BO408" s="111">
        <v>46232</v>
      </c>
      <c r="BP408" s="20">
        <v>0</v>
      </c>
    </row>
    <row r="409" spans="2:68">
      <c r="B409" s="20" t="s">
        <v>2216</v>
      </c>
      <c r="C409" s="20" t="s">
        <v>3306</v>
      </c>
      <c r="D409" s="20" t="s">
        <v>3821</v>
      </c>
      <c r="E409" s="20" t="s">
        <v>23</v>
      </c>
      <c r="F409" s="20" t="s">
        <v>24</v>
      </c>
      <c r="H409" s="20" t="s">
        <v>3823</v>
      </c>
      <c r="I409" s="20">
        <v>97.1</v>
      </c>
      <c r="J409" s="20">
        <v>97.1</v>
      </c>
      <c r="K409" s="20" t="s">
        <v>11</v>
      </c>
      <c r="L409" s="20">
        <v>97.1</v>
      </c>
      <c r="M409" s="20">
        <v>0</v>
      </c>
      <c r="N409" s="20">
        <v>97.1</v>
      </c>
      <c r="O409" s="20" t="s">
        <v>2442</v>
      </c>
      <c r="P409" s="20" t="s">
        <v>87</v>
      </c>
      <c r="Q409" s="20" t="s">
        <v>87</v>
      </c>
      <c r="R409" s="20" t="s">
        <v>3317</v>
      </c>
      <c r="S409" s="20" t="s">
        <v>3306</v>
      </c>
      <c r="T409" s="20" t="s">
        <v>206</v>
      </c>
      <c r="U409" s="20" t="s">
        <v>207</v>
      </c>
      <c r="V409" s="20" t="s">
        <v>3316</v>
      </c>
      <c r="W409" s="20">
        <v>146.49</v>
      </c>
      <c r="X409" s="20">
        <v>146.489948210824</v>
      </c>
      <c r="Y409" s="20" t="s">
        <v>3317</v>
      </c>
      <c r="Z409" s="20" t="s">
        <v>3306</v>
      </c>
      <c r="AB409" s="20" t="s">
        <v>2376</v>
      </c>
      <c r="AD409" s="20" t="s">
        <v>2376</v>
      </c>
      <c r="AE409" s="20" t="s">
        <v>2376</v>
      </c>
      <c r="AF409" s="20">
        <v>0</v>
      </c>
      <c r="AG409" s="20">
        <v>0</v>
      </c>
      <c r="AH409" s="20">
        <v>0</v>
      </c>
      <c r="AI409" s="20">
        <v>0</v>
      </c>
      <c r="AJ409" s="20">
        <v>0</v>
      </c>
      <c r="AK409" s="20" t="s">
        <v>609</v>
      </c>
      <c r="AL409" s="20">
        <v>0</v>
      </c>
      <c r="AM409" s="20">
        <v>0</v>
      </c>
      <c r="AN409" s="20">
        <v>0</v>
      </c>
      <c r="AO409" s="20">
        <v>0</v>
      </c>
      <c r="AP409" s="20">
        <v>0</v>
      </c>
      <c r="AR409" s="20">
        <v>0</v>
      </c>
      <c r="AS409" s="20">
        <v>0</v>
      </c>
      <c r="AT409" s="20">
        <v>1929093.16</v>
      </c>
      <c r="AU409" s="20" t="s">
        <v>13</v>
      </c>
      <c r="AV409" s="20" t="s">
        <v>24</v>
      </c>
      <c r="AW409" s="20" t="s">
        <v>79</v>
      </c>
      <c r="AX409" s="20" t="s">
        <v>208</v>
      </c>
      <c r="AY409" s="20" t="s">
        <v>209</v>
      </c>
      <c r="AZ409" s="20">
        <v>0</v>
      </c>
      <c r="BA409" s="20">
        <v>14224.17</v>
      </c>
      <c r="BB409" s="20">
        <v>995</v>
      </c>
      <c r="BC409" s="20" t="s">
        <v>3306</v>
      </c>
      <c r="BD409" s="20" t="s">
        <v>65</v>
      </c>
      <c r="BE409" s="20" t="s">
        <v>210</v>
      </c>
      <c r="BF409" s="20" t="s">
        <v>210</v>
      </c>
      <c r="BG409" s="20">
        <v>9</v>
      </c>
      <c r="BH409" s="20">
        <v>1280.18</v>
      </c>
      <c r="BI409" s="20">
        <v>9</v>
      </c>
      <c r="BJ409" s="20">
        <v>1280.18</v>
      </c>
      <c r="BK409" s="20">
        <v>0</v>
      </c>
      <c r="BL409" s="20">
        <v>0</v>
      </c>
      <c r="BM409" s="20">
        <v>0</v>
      </c>
      <c r="BN409" s="20">
        <v>632153279770</v>
      </c>
      <c r="BO409" s="111">
        <v>46232</v>
      </c>
      <c r="BP409" s="20">
        <v>0</v>
      </c>
    </row>
    <row r="410" spans="2:68">
      <c r="B410" s="20" t="s">
        <v>2216</v>
      </c>
      <c r="C410" s="20" t="s">
        <v>3306</v>
      </c>
      <c r="D410" s="20" t="s">
        <v>3821</v>
      </c>
      <c r="E410" s="20" t="s">
        <v>23</v>
      </c>
      <c r="F410" s="20" t="s">
        <v>24</v>
      </c>
      <c r="H410" s="20" t="s">
        <v>3823</v>
      </c>
      <c r="I410" s="20">
        <v>1132.7</v>
      </c>
      <c r="J410" s="20">
        <v>1132.7</v>
      </c>
      <c r="K410" s="20" t="s">
        <v>11</v>
      </c>
      <c r="L410" s="20">
        <v>1132.7</v>
      </c>
      <c r="M410" s="20">
        <v>0</v>
      </c>
      <c r="N410" s="20">
        <v>1132.7</v>
      </c>
      <c r="O410" s="20" t="s">
        <v>2442</v>
      </c>
      <c r="P410" s="20" t="s">
        <v>87</v>
      </c>
      <c r="Q410" s="20" t="s">
        <v>87</v>
      </c>
      <c r="R410" s="20" t="s">
        <v>3317</v>
      </c>
      <c r="S410" s="20" t="s">
        <v>3306</v>
      </c>
      <c r="T410" s="20" t="s">
        <v>206</v>
      </c>
      <c r="U410" s="20" t="s">
        <v>207</v>
      </c>
      <c r="V410" s="20" t="s">
        <v>3316</v>
      </c>
      <c r="W410" s="20">
        <v>149.49</v>
      </c>
      <c r="X410" s="20">
        <v>149.489947150223</v>
      </c>
      <c r="Y410" s="20" t="s">
        <v>3317</v>
      </c>
      <c r="Z410" s="20" t="s">
        <v>3306</v>
      </c>
      <c r="AB410" s="20" t="s">
        <v>2376</v>
      </c>
      <c r="AD410" s="20" t="s">
        <v>2376</v>
      </c>
      <c r="AE410" s="20" t="s">
        <v>2376</v>
      </c>
      <c r="AF410" s="20">
        <v>0</v>
      </c>
      <c r="AG410" s="20">
        <v>0</v>
      </c>
      <c r="AH410" s="20">
        <v>0</v>
      </c>
      <c r="AI410" s="20">
        <v>0</v>
      </c>
      <c r="AJ410" s="20">
        <v>0</v>
      </c>
      <c r="AK410" s="20" t="s">
        <v>609</v>
      </c>
      <c r="AL410" s="20">
        <v>0</v>
      </c>
      <c r="AM410" s="20">
        <v>0</v>
      </c>
      <c r="AN410" s="20">
        <v>0</v>
      </c>
      <c r="AO410" s="20">
        <v>0</v>
      </c>
      <c r="AP410" s="20">
        <v>0</v>
      </c>
      <c r="AR410" s="20">
        <v>0</v>
      </c>
      <c r="AS410" s="20">
        <v>0</v>
      </c>
      <c r="AT410" s="20">
        <v>1929093.16</v>
      </c>
      <c r="AU410" s="20" t="s">
        <v>13</v>
      </c>
      <c r="AV410" s="20" t="s">
        <v>24</v>
      </c>
      <c r="AW410" s="20" t="s">
        <v>79</v>
      </c>
      <c r="AX410" s="20" t="s">
        <v>208</v>
      </c>
      <c r="AY410" s="20" t="s">
        <v>209</v>
      </c>
      <c r="AZ410" s="20">
        <v>0</v>
      </c>
      <c r="BA410" s="20">
        <v>169327.26</v>
      </c>
      <c r="BB410" s="20">
        <v>995</v>
      </c>
      <c r="BC410" s="20" t="s">
        <v>3306</v>
      </c>
      <c r="BD410" s="20" t="s">
        <v>65</v>
      </c>
      <c r="BE410" s="20" t="s">
        <v>210</v>
      </c>
      <c r="BF410" s="20" t="s">
        <v>210</v>
      </c>
      <c r="BG410" s="20">
        <v>9</v>
      </c>
      <c r="BH410" s="20">
        <v>15239.46</v>
      </c>
      <c r="BI410" s="20">
        <v>9</v>
      </c>
      <c r="BJ410" s="20">
        <v>15239.46</v>
      </c>
      <c r="BK410" s="20">
        <v>0</v>
      </c>
      <c r="BL410" s="20">
        <v>0</v>
      </c>
      <c r="BM410" s="20">
        <v>0</v>
      </c>
      <c r="BN410" s="20">
        <v>632153279770</v>
      </c>
      <c r="BO410" s="111">
        <v>46232</v>
      </c>
      <c r="BP410" s="20">
        <v>0</v>
      </c>
    </row>
    <row r="411" spans="2:68">
      <c r="B411" s="20" t="s">
        <v>2216</v>
      </c>
      <c r="C411" s="20" t="s">
        <v>3306</v>
      </c>
      <c r="D411" s="20" t="s">
        <v>3824</v>
      </c>
      <c r="E411" s="20" t="s">
        <v>18</v>
      </c>
      <c r="F411" s="20" t="s">
        <v>19</v>
      </c>
      <c r="H411" s="20" t="s">
        <v>3825</v>
      </c>
      <c r="I411" s="20">
        <v>8039</v>
      </c>
      <c r="J411" s="20">
        <v>8039</v>
      </c>
      <c r="K411" s="20" t="s">
        <v>11</v>
      </c>
      <c r="L411" s="20">
        <v>8039</v>
      </c>
      <c r="M411" s="20">
        <v>0</v>
      </c>
      <c r="N411" s="20">
        <v>8039</v>
      </c>
      <c r="O411" s="20" t="s">
        <v>2201</v>
      </c>
      <c r="P411" s="20" t="s">
        <v>87</v>
      </c>
      <c r="Q411" s="20" t="s">
        <v>87</v>
      </c>
      <c r="R411" s="20" t="s">
        <v>3319</v>
      </c>
      <c r="S411" s="20" t="s">
        <v>3306</v>
      </c>
      <c r="T411" s="20" t="s">
        <v>206</v>
      </c>
      <c r="U411" s="20" t="s">
        <v>207</v>
      </c>
      <c r="V411" s="20" t="s">
        <v>3318</v>
      </c>
      <c r="W411" s="20">
        <v>144.49</v>
      </c>
      <c r="X411" s="20">
        <v>144.49</v>
      </c>
      <c r="Y411" s="20" t="s">
        <v>3319</v>
      </c>
      <c r="Z411" s="20" t="s">
        <v>3306</v>
      </c>
      <c r="AB411" s="20" t="s">
        <v>2376</v>
      </c>
      <c r="AD411" s="20" t="s">
        <v>2376</v>
      </c>
      <c r="AE411" s="20" t="s">
        <v>2376</v>
      </c>
      <c r="AF411" s="20">
        <v>0</v>
      </c>
      <c r="AG411" s="20">
        <v>0</v>
      </c>
      <c r="AH411" s="20">
        <v>0</v>
      </c>
      <c r="AI411" s="20">
        <v>0</v>
      </c>
      <c r="AJ411" s="20">
        <v>0</v>
      </c>
      <c r="AK411" s="20" t="s">
        <v>609</v>
      </c>
      <c r="AL411" s="20">
        <v>0</v>
      </c>
      <c r="AM411" s="20">
        <v>0</v>
      </c>
      <c r="AN411" s="20">
        <v>0</v>
      </c>
      <c r="AO411" s="20">
        <v>0</v>
      </c>
      <c r="AP411" s="20">
        <v>0</v>
      </c>
      <c r="AR411" s="20">
        <v>0</v>
      </c>
      <c r="AS411" s="20">
        <v>0</v>
      </c>
      <c r="AT411" s="20">
        <v>1691661.69</v>
      </c>
      <c r="AU411" s="20" t="s">
        <v>13</v>
      </c>
      <c r="AV411" s="20" t="s">
        <v>62</v>
      </c>
      <c r="AW411" s="20" t="s">
        <v>63</v>
      </c>
      <c r="AX411" s="20" t="s">
        <v>208</v>
      </c>
      <c r="AY411" s="20" t="s">
        <v>209</v>
      </c>
      <c r="AZ411" s="20">
        <v>0</v>
      </c>
      <c r="BA411" s="20">
        <v>1161555.1100000001</v>
      </c>
      <c r="BB411" s="20">
        <v>993</v>
      </c>
      <c r="BC411" s="20" t="s">
        <v>3306</v>
      </c>
      <c r="BD411" s="20" t="s">
        <v>65</v>
      </c>
      <c r="BE411" s="20" t="s">
        <v>210</v>
      </c>
      <c r="BF411" s="20" t="s">
        <v>210</v>
      </c>
      <c r="BG411" s="20">
        <v>9</v>
      </c>
      <c r="BH411" s="20">
        <v>104539.96</v>
      </c>
      <c r="BI411" s="20">
        <v>9</v>
      </c>
      <c r="BJ411" s="20">
        <v>104539.96</v>
      </c>
      <c r="BK411" s="20">
        <v>0</v>
      </c>
      <c r="BL411" s="20">
        <v>0</v>
      </c>
      <c r="BM411" s="20">
        <v>1691661.69</v>
      </c>
      <c r="BN411" s="20">
        <v>652153194367</v>
      </c>
      <c r="BO411" s="111">
        <v>46232</v>
      </c>
      <c r="BP411" s="20">
        <v>0</v>
      </c>
    </row>
    <row r="412" spans="2:68">
      <c r="B412" s="20" t="s">
        <v>2216</v>
      </c>
      <c r="C412" s="20" t="s">
        <v>3306</v>
      </c>
      <c r="D412" s="20" t="s">
        <v>3824</v>
      </c>
      <c r="E412" s="20" t="s">
        <v>18</v>
      </c>
      <c r="F412" s="20" t="s">
        <v>19</v>
      </c>
      <c r="H412" s="20" t="s">
        <v>3825</v>
      </c>
      <c r="I412" s="20">
        <v>1325</v>
      </c>
      <c r="J412" s="20">
        <v>1325</v>
      </c>
      <c r="K412" s="20" t="s">
        <v>11</v>
      </c>
      <c r="L412" s="20">
        <v>1325</v>
      </c>
      <c r="M412" s="20">
        <v>0</v>
      </c>
      <c r="N412" s="20">
        <v>1325</v>
      </c>
      <c r="O412" s="20" t="s">
        <v>2201</v>
      </c>
      <c r="P412" s="20" t="s">
        <v>87</v>
      </c>
      <c r="Q412" s="20" t="s">
        <v>87</v>
      </c>
      <c r="R412" s="20" t="s">
        <v>3319</v>
      </c>
      <c r="S412" s="20" t="s">
        <v>3306</v>
      </c>
      <c r="T412" s="20" t="s">
        <v>206</v>
      </c>
      <c r="U412" s="20" t="s">
        <v>207</v>
      </c>
      <c r="V412" s="20" t="s">
        <v>3318</v>
      </c>
      <c r="W412" s="20">
        <v>146.49</v>
      </c>
      <c r="X412" s="20">
        <v>146.49</v>
      </c>
      <c r="Y412" s="20" t="s">
        <v>3319</v>
      </c>
      <c r="Z412" s="20" t="s">
        <v>3306</v>
      </c>
      <c r="AB412" s="20" t="s">
        <v>2376</v>
      </c>
      <c r="AD412" s="20" t="s">
        <v>2376</v>
      </c>
      <c r="AE412" s="20" t="s">
        <v>2376</v>
      </c>
      <c r="AF412" s="20">
        <v>0</v>
      </c>
      <c r="AG412" s="20">
        <v>0</v>
      </c>
      <c r="AH412" s="20">
        <v>0</v>
      </c>
      <c r="AI412" s="20">
        <v>0</v>
      </c>
      <c r="AJ412" s="20">
        <v>0</v>
      </c>
      <c r="AK412" s="20" t="s">
        <v>609</v>
      </c>
      <c r="AL412" s="20">
        <v>0</v>
      </c>
      <c r="AM412" s="20">
        <v>0</v>
      </c>
      <c r="AN412" s="20">
        <v>0</v>
      </c>
      <c r="AO412" s="20">
        <v>0</v>
      </c>
      <c r="AP412" s="20">
        <v>0</v>
      </c>
      <c r="AR412" s="20">
        <v>0</v>
      </c>
      <c r="AS412" s="20">
        <v>0</v>
      </c>
      <c r="AT412" s="20">
        <v>1691661.69</v>
      </c>
      <c r="AU412" s="20" t="s">
        <v>13</v>
      </c>
      <c r="AV412" s="20" t="s">
        <v>62</v>
      </c>
      <c r="AW412" s="20" t="s">
        <v>63</v>
      </c>
      <c r="AX412" s="20" t="s">
        <v>208</v>
      </c>
      <c r="AY412" s="20" t="s">
        <v>209</v>
      </c>
      <c r="AZ412" s="20">
        <v>0</v>
      </c>
      <c r="BA412" s="20">
        <v>194099.25</v>
      </c>
      <c r="BB412" s="20">
        <v>993</v>
      </c>
      <c r="BC412" s="20" t="s">
        <v>3306</v>
      </c>
      <c r="BD412" s="20" t="s">
        <v>65</v>
      </c>
      <c r="BE412" s="20" t="s">
        <v>210</v>
      </c>
      <c r="BF412" s="20" t="s">
        <v>210</v>
      </c>
      <c r="BG412" s="20">
        <v>9</v>
      </c>
      <c r="BH412" s="20">
        <v>17468.93</v>
      </c>
      <c r="BI412" s="20">
        <v>9</v>
      </c>
      <c r="BJ412" s="20">
        <v>17468.93</v>
      </c>
      <c r="BK412" s="20">
        <v>0</v>
      </c>
      <c r="BL412" s="20">
        <v>0</v>
      </c>
      <c r="BM412" s="20">
        <v>0</v>
      </c>
      <c r="BN412" s="20">
        <v>652153194367</v>
      </c>
      <c r="BO412" s="111">
        <v>46232</v>
      </c>
      <c r="BP412" s="20">
        <v>0</v>
      </c>
    </row>
    <row r="413" spans="2:68">
      <c r="B413" s="20" t="s">
        <v>2216</v>
      </c>
      <c r="C413" s="20" t="s">
        <v>3306</v>
      </c>
      <c r="D413" s="20" t="s">
        <v>3824</v>
      </c>
      <c r="E413" s="20" t="s">
        <v>20</v>
      </c>
      <c r="F413" s="20" t="s">
        <v>21</v>
      </c>
      <c r="H413" s="20" t="s">
        <v>3825</v>
      </c>
      <c r="I413" s="20">
        <v>525</v>
      </c>
      <c r="J413" s="20">
        <v>525</v>
      </c>
      <c r="K413" s="20" t="s">
        <v>11</v>
      </c>
      <c r="L413" s="20">
        <v>525</v>
      </c>
      <c r="M413" s="20">
        <v>0</v>
      </c>
      <c r="N413" s="20">
        <v>525</v>
      </c>
      <c r="O413" s="20" t="s">
        <v>2201</v>
      </c>
      <c r="P413" s="20" t="s">
        <v>87</v>
      </c>
      <c r="Q413" s="20" t="s">
        <v>87</v>
      </c>
      <c r="R413" s="20" t="s">
        <v>3319</v>
      </c>
      <c r="S413" s="20" t="s">
        <v>3306</v>
      </c>
      <c r="T413" s="20" t="s">
        <v>206</v>
      </c>
      <c r="U413" s="20" t="s">
        <v>207</v>
      </c>
      <c r="V413" s="20" t="s">
        <v>3318</v>
      </c>
      <c r="W413" s="20">
        <v>148.49</v>
      </c>
      <c r="X413" s="20">
        <v>148.49</v>
      </c>
      <c r="Y413" s="20" t="s">
        <v>3319</v>
      </c>
      <c r="Z413" s="20" t="s">
        <v>3306</v>
      </c>
      <c r="AB413" s="20" t="s">
        <v>2376</v>
      </c>
      <c r="AD413" s="20" t="s">
        <v>2376</v>
      </c>
      <c r="AE413" s="20" t="s">
        <v>2376</v>
      </c>
      <c r="AF413" s="20">
        <v>0</v>
      </c>
      <c r="AG413" s="20">
        <v>0</v>
      </c>
      <c r="AH413" s="20">
        <v>0</v>
      </c>
      <c r="AI413" s="20">
        <v>0</v>
      </c>
      <c r="AJ413" s="20">
        <v>0</v>
      </c>
      <c r="AK413" s="20" t="s">
        <v>609</v>
      </c>
      <c r="AL413" s="20">
        <v>0</v>
      </c>
      <c r="AM413" s="20">
        <v>0</v>
      </c>
      <c r="AN413" s="20">
        <v>0</v>
      </c>
      <c r="AO413" s="20">
        <v>0</v>
      </c>
      <c r="AP413" s="20">
        <v>0</v>
      </c>
      <c r="AR413" s="20">
        <v>0</v>
      </c>
      <c r="AS413" s="20">
        <v>0</v>
      </c>
      <c r="AT413" s="20">
        <v>1691661.69</v>
      </c>
      <c r="AU413" s="20" t="s">
        <v>13</v>
      </c>
      <c r="AV413" s="20" t="s">
        <v>62</v>
      </c>
      <c r="AW413" s="20" t="s">
        <v>76</v>
      </c>
      <c r="AX413" s="20" t="s">
        <v>208</v>
      </c>
      <c r="AY413" s="20" t="s">
        <v>209</v>
      </c>
      <c r="AZ413" s="20">
        <v>0</v>
      </c>
      <c r="BA413" s="20">
        <v>77957.25</v>
      </c>
      <c r="BB413" s="20">
        <v>993</v>
      </c>
      <c r="BC413" s="20" t="s">
        <v>3306</v>
      </c>
      <c r="BD413" s="20" t="s">
        <v>65</v>
      </c>
      <c r="BE413" s="20" t="s">
        <v>210</v>
      </c>
      <c r="BF413" s="20" t="s">
        <v>210</v>
      </c>
      <c r="BG413" s="20">
        <v>9</v>
      </c>
      <c r="BH413" s="20">
        <v>7016.15</v>
      </c>
      <c r="BI413" s="20">
        <v>9</v>
      </c>
      <c r="BJ413" s="20">
        <v>7016.15</v>
      </c>
      <c r="BK413" s="20">
        <v>0</v>
      </c>
      <c r="BL413" s="20">
        <v>0</v>
      </c>
      <c r="BM413" s="20">
        <v>0</v>
      </c>
      <c r="BN413" s="20">
        <v>652153194367</v>
      </c>
      <c r="BO413" s="111">
        <v>46232</v>
      </c>
      <c r="BP413" s="20">
        <v>0</v>
      </c>
    </row>
    <row r="414" spans="2:68">
      <c r="B414" s="20" t="s">
        <v>2216</v>
      </c>
      <c r="C414" s="20" t="s">
        <v>3341</v>
      </c>
      <c r="D414" s="20" t="s">
        <v>3826</v>
      </c>
      <c r="E414" s="20" t="s">
        <v>2519</v>
      </c>
      <c r="F414" s="20" t="s">
        <v>2117</v>
      </c>
      <c r="H414" s="20" t="s">
        <v>3827</v>
      </c>
      <c r="I414" s="20">
        <v>210</v>
      </c>
      <c r="J414" s="20">
        <v>210</v>
      </c>
      <c r="K414" s="20" t="s">
        <v>11</v>
      </c>
      <c r="L414" s="20">
        <v>210</v>
      </c>
      <c r="M414" s="20">
        <v>0</v>
      </c>
      <c r="N414" s="20">
        <v>210</v>
      </c>
      <c r="O414" s="20" t="s">
        <v>2623</v>
      </c>
      <c r="P414" s="20" t="s">
        <v>94</v>
      </c>
      <c r="Q414" s="20" t="s">
        <v>94</v>
      </c>
      <c r="R414" s="20" t="s">
        <v>1539</v>
      </c>
      <c r="S414" s="20" t="s">
        <v>3341</v>
      </c>
      <c r="T414" s="20" t="s">
        <v>206</v>
      </c>
      <c r="U414" s="20" t="s">
        <v>207</v>
      </c>
      <c r="V414" s="20" t="s">
        <v>3351</v>
      </c>
      <c r="W414" s="20">
        <v>154.74</v>
      </c>
      <c r="X414" s="20">
        <v>154.74</v>
      </c>
      <c r="Y414" s="20" t="s">
        <v>1539</v>
      </c>
      <c r="Z414" s="20" t="s">
        <v>3341</v>
      </c>
      <c r="AB414" s="20" t="s">
        <v>2376</v>
      </c>
      <c r="AD414" s="20" t="s">
        <v>2376</v>
      </c>
      <c r="AE414" s="20" t="s">
        <v>2376</v>
      </c>
      <c r="AF414" s="20">
        <v>0</v>
      </c>
      <c r="AG414" s="20">
        <v>0</v>
      </c>
      <c r="AH414" s="20">
        <v>0</v>
      </c>
      <c r="AI414" s="20">
        <v>0</v>
      </c>
      <c r="AJ414" s="20">
        <v>0</v>
      </c>
      <c r="AK414" s="20" t="s">
        <v>609</v>
      </c>
      <c r="AL414" s="20">
        <v>0</v>
      </c>
      <c r="AM414" s="20">
        <v>0</v>
      </c>
      <c r="AN414" s="20">
        <v>0</v>
      </c>
      <c r="AO414" s="20">
        <v>0</v>
      </c>
      <c r="AP414" s="20">
        <v>0</v>
      </c>
      <c r="AR414" s="20">
        <v>0</v>
      </c>
      <c r="AS414" s="20">
        <v>0</v>
      </c>
      <c r="AT414" s="20">
        <v>219611.37</v>
      </c>
      <c r="AU414" s="20" t="s">
        <v>15</v>
      </c>
      <c r="AV414" s="20" t="s">
        <v>2117</v>
      </c>
      <c r="AW414" s="20" t="s">
        <v>2117</v>
      </c>
      <c r="AX414" s="20" t="s">
        <v>208</v>
      </c>
      <c r="AY414" s="20" t="s">
        <v>209</v>
      </c>
      <c r="AZ414" s="20">
        <v>0</v>
      </c>
      <c r="BA414" s="20">
        <v>32495.4</v>
      </c>
      <c r="BB414" s="20">
        <v>1006</v>
      </c>
      <c r="BC414" s="20" t="s">
        <v>3341</v>
      </c>
      <c r="BD414" s="20" t="s">
        <v>74</v>
      </c>
      <c r="BE414" s="20" t="s">
        <v>210</v>
      </c>
      <c r="BF414" s="20" t="s">
        <v>210</v>
      </c>
      <c r="BG414" s="20">
        <v>9</v>
      </c>
      <c r="BH414" s="20">
        <v>2924.59</v>
      </c>
      <c r="BI414" s="20">
        <v>9</v>
      </c>
      <c r="BJ414" s="20">
        <v>2924.59</v>
      </c>
      <c r="BK414" s="20">
        <v>0</v>
      </c>
      <c r="BL414" s="20">
        <v>0</v>
      </c>
      <c r="BM414" s="20">
        <v>219611.37</v>
      </c>
      <c r="BN414" s="20">
        <v>602154017394</v>
      </c>
      <c r="BO414" s="111">
        <v>46233</v>
      </c>
      <c r="BP414" s="20">
        <v>0</v>
      </c>
    </row>
    <row r="415" spans="2:68">
      <c r="B415" s="20" t="s">
        <v>2216</v>
      </c>
      <c r="C415" s="20" t="s">
        <v>3341</v>
      </c>
      <c r="D415" s="20" t="s">
        <v>3826</v>
      </c>
      <c r="E415" s="20" t="s">
        <v>18</v>
      </c>
      <c r="F415" s="20" t="s">
        <v>19</v>
      </c>
      <c r="H415" s="20" t="s">
        <v>3827</v>
      </c>
      <c r="I415" s="20">
        <v>370.5</v>
      </c>
      <c r="J415" s="20">
        <v>370.5</v>
      </c>
      <c r="K415" s="20" t="s">
        <v>11</v>
      </c>
      <c r="L415" s="20">
        <v>370.5</v>
      </c>
      <c r="M415" s="20">
        <v>0</v>
      </c>
      <c r="N415" s="20">
        <v>370.5</v>
      </c>
      <c r="O415" s="20" t="s">
        <v>2623</v>
      </c>
      <c r="P415" s="20" t="s">
        <v>94</v>
      </c>
      <c r="Q415" s="20" t="s">
        <v>94</v>
      </c>
      <c r="R415" s="20" t="s">
        <v>1539</v>
      </c>
      <c r="S415" s="20" t="s">
        <v>3341</v>
      </c>
      <c r="T415" s="20" t="s">
        <v>206</v>
      </c>
      <c r="U415" s="20" t="s">
        <v>207</v>
      </c>
      <c r="V415" s="20" t="s">
        <v>3351</v>
      </c>
      <c r="W415" s="20">
        <v>154.74</v>
      </c>
      <c r="X415" s="20">
        <v>154.74</v>
      </c>
      <c r="Y415" s="20" t="s">
        <v>1539</v>
      </c>
      <c r="Z415" s="20" t="s">
        <v>3341</v>
      </c>
      <c r="AB415" s="20" t="s">
        <v>2376</v>
      </c>
      <c r="AD415" s="20" t="s">
        <v>2376</v>
      </c>
      <c r="AE415" s="20" t="s">
        <v>2376</v>
      </c>
      <c r="AF415" s="20">
        <v>0</v>
      </c>
      <c r="AG415" s="20">
        <v>0</v>
      </c>
      <c r="AH415" s="20">
        <v>0</v>
      </c>
      <c r="AI415" s="20">
        <v>0</v>
      </c>
      <c r="AJ415" s="20">
        <v>0</v>
      </c>
      <c r="AK415" s="20" t="s">
        <v>609</v>
      </c>
      <c r="AL415" s="20">
        <v>0</v>
      </c>
      <c r="AM415" s="20">
        <v>0</v>
      </c>
      <c r="AN415" s="20">
        <v>0</v>
      </c>
      <c r="AO415" s="20">
        <v>0</v>
      </c>
      <c r="AP415" s="20">
        <v>0</v>
      </c>
      <c r="AR415" s="20">
        <v>0</v>
      </c>
      <c r="AS415" s="20">
        <v>0</v>
      </c>
      <c r="AT415" s="20">
        <v>219611.37</v>
      </c>
      <c r="AU415" s="20" t="s">
        <v>13</v>
      </c>
      <c r="AV415" s="20" t="s">
        <v>62</v>
      </c>
      <c r="AW415" s="20" t="s">
        <v>63</v>
      </c>
      <c r="AX415" s="20" t="s">
        <v>208</v>
      </c>
      <c r="AY415" s="20" t="s">
        <v>209</v>
      </c>
      <c r="AZ415" s="20">
        <v>0</v>
      </c>
      <c r="BA415" s="20">
        <v>57331.17</v>
      </c>
      <c r="BB415" s="20">
        <v>1006</v>
      </c>
      <c r="BC415" s="20" t="s">
        <v>3341</v>
      </c>
      <c r="BD415" s="20" t="s">
        <v>74</v>
      </c>
      <c r="BE415" s="20" t="s">
        <v>210</v>
      </c>
      <c r="BF415" s="20" t="s">
        <v>210</v>
      </c>
      <c r="BG415" s="20">
        <v>9</v>
      </c>
      <c r="BH415" s="20">
        <v>5159.8100000000004</v>
      </c>
      <c r="BI415" s="20">
        <v>9</v>
      </c>
      <c r="BJ415" s="20">
        <v>5159.8100000000004</v>
      </c>
      <c r="BK415" s="20">
        <v>0</v>
      </c>
      <c r="BL415" s="20">
        <v>0</v>
      </c>
      <c r="BM415" s="20">
        <v>0</v>
      </c>
      <c r="BN415" s="20">
        <v>602154017394</v>
      </c>
      <c r="BO415" s="111">
        <v>46233</v>
      </c>
      <c r="BP415" s="20">
        <v>0</v>
      </c>
    </row>
    <row r="416" spans="2:68">
      <c r="B416" s="20" t="s">
        <v>2216</v>
      </c>
      <c r="C416" s="20" t="s">
        <v>3341</v>
      </c>
      <c r="D416" s="20" t="s">
        <v>3826</v>
      </c>
      <c r="E416" s="20" t="s">
        <v>20</v>
      </c>
      <c r="F416" s="20" t="s">
        <v>21</v>
      </c>
      <c r="H416" s="20" t="s">
        <v>3827</v>
      </c>
      <c r="I416" s="20">
        <v>307</v>
      </c>
      <c r="J416" s="20">
        <v>307</v>
      </c>
      <c r="K416" s="20" t="s">
        <v>11</v>
      </c>
      <c r="L416" s="20">
        <v>307</v>
      </c>
      <c r="M416" s="20">
        <v>0</v>
      </c>
      <c r="N416" s="20">
        <v>307</v>
      </c>
      <c r="O416" s="20" t="s">
        <v>2623</v>
      </c>
      <c r="P416" s="20" t="s">
        <v>94</v>
      </c>
      <c r="Q416" s="20" t="s">
        <v>94</v>
      </c>
      <c r="R416" s="20" t="s">
        <v>1539</v>
      </c>
      <c r="S416" s="20" t="s">
        <v>3341</v>
      </c>
      <c r="T416" s="20" t="s">
        <v>206</v>
      </c>
      <c r="U416" s="20" t="s">
        <v>207</v>
      </c>
      <c r="V416" s="20" t="s">
        <v>3351</v>
      </c>
      <c r="W416" s="20">
        <v>158.74</v>
      </c>
      <c r="X416" s="20">
        <v>158.74</v>
      </c>
      <c r="Y416" s="20" t="s">
        <v>1539</v>
      </c>
      <c r="Z416" s="20" t="s">
        <v>3341</v>
      </c>
      <c r="AB416" s="20" t="s">
        <v>2376</v>
      </c>
      <c r="AD416" s="20" t="s">
        <v>2376</v>
      </c>
      <c r="AE416" s="20" t="s">
        <v>2376</v>
      </c>
      <c r="AF416" s="20">
        <v>0</v>
      </c>
      <c r="AG416" s="20">
        <v>0</v>
      </c>
      <c r="AH416" s="20">
        <v>0</v>
      </c>
      <c r="AI416" s="20">
        <v>0</v>
      </c>
      <c r="AJ416" s="20">
        <v>0</v>
      </c>
      <c r="AK416" s="20" t="s">
        <v>609</v>
      </c>
      <c r="AL416" s="20">
        <v>0</v>
      </c>
      <c r="AM416" s="20">
        <v>0</v>
      </c>
      <c r="AN416" s="20">
        <v>0</v>
      </c>
      <c r="AO416" s="20">
        <v>0</v>
      </c>
      <c r="AP416" s="20">
        <v>0</v>
      </c>
      <c r="AR416" s="20">
        <v>0</v>
      </c>
      <c r="AS416" s="20">
        <v>0</v>
      </c>
      <c r="AT416" s="20">
        <v>219611.37</v>
      </c>
      <c r="AU416" s="20" t="s">
        <v>13</v>
      </c>
      <c r="AV416" s="20" t="s">
        <v>62</v>
      </c>
      <c r="AW416" s="20" t="s">
        <v>76</v>
      </c>
      <c r="AX416" s="20" t="s">
        <v>208</v>
      </c>
      <c r="AY416" s="20" t="s">
        <v>209</v>
      </c>
      <c r="AZ416" s="20">
        <v>0</v>
      </c>
      <c r="BA416" s="20">
        <v>48733.18</v>
      </c>
      <c r="BB416" s="20">
        <v>1006</v>
      </c>
      <c r="BC416" s="20" t="s">
        <v>3341</v>
      </c>
      <c r="BD416" s="20" t="s">
        <v>74</v>
      </c>
      <c r="BE416" s="20" t="s">
        <v>210</v>
      </c>
      <c r="BF416" s="20" t="s">
        <v>210</v>
      </c>
      <c r="BG416" s="20">
        <v>9</v>
      </c>
      <c r="BH416" s="20">
        <v>4385.99</v>
      </c>
      <c r="BI416" s="20">
        <v>9</v>
      </c>
      <c r="BJ416" s="20">
        <v>4385.99</v>
      </c>
      <c r="BK416" s="20">
        <v>0</v>
      </c>
      <c r="BL416" s="20">
        <v>0</v>
      </c>
      <c r="BM416" s="20">
        <v>0</v>
      </c>
      <c r="BN416" s="20">
        <v>602154017394</v>
      </c>
      <c r="BO416" s="111">
        <v>46233</v>
      </c>
      <c r="BP416" s="20">
        <v>0</v>
      </c>
    </row>
    <row r="417" spans="2:68">
      <c r="B417" s="20" t="s">
        <v>2216</v>
      </c>
      <c r="C417" s="20" t="s">
        <v>3341</v>
      </c>
      <c r="D417" s="20" t="s">
        <v>3826</v>
      </c>
      <c r="E417" s="20" t="s">
        <v>20</v>
      </c>
      <c r="F417" s="20" t="s">
        <v>21</v>
      </c>
      <c r="H417" s="20" t="s">
        <v>3827</v>
      </c>
      <c r="I417" s="20">
        <v>294</v>
      </c>
      <c r="J417" s="20">
        <v>294</v>
      </c>
      <c r="K417" s="20" t="s">
        <v>11</v>
      </c>
      <c r="L417" s="20">
        <v>294</v>
      </c>
      <c r="M417" s="20">
        <v>0</v>
      </c>
      <c r="N417" s="20">
        <v>294</v>
      </c>
      <c r="O417" s="20" t="s">
        <v>2623</v>
      </c>
      <c r="P417" s="20" t="s">
        <v>94</v>
      </c>
      <c r="Q417" s="20" t="s">
        <v>94</v>
      </c>
      <c r="R417" s="20" t="s">
        <v>1539</v>
      </c>
      <c r="S417" s="20" t="s">
        <v>3341</v>
      </c>
      <c r="T417" s="20" t="s">
        <v>206</v>
      </c>
      <c r="U417" s="20" t="s">
        <v>207</v>
      </c>
      <c r="V417" s="20" t="s">
        <v>3351</v>
      </c>
      <c r="W417" s="20">
        <v>161.74</v>
      </c>
      <c r="X417" s="20">
        <v>161.74</v>
      </c>
      <c r="Y417" s="20" t="s">
        <v>1539</v>
      </c>
      <c r="Z417" s="20" t="s">
        <v>3341</v>
      </c>
      <c r="AB417" s="20" t="s">
        <v>2376</v>
      </c>
      <c r="AD417" s="20" t="s">
        <v>2376</v>
      </c>
      <c r="AE417" s="20" t="s">
        <v>2376</v>
      </c>
      <c r="AF417" s="20">
        <v>0</v>
      </c>
      <c r="AG417" s="20">
        <v>0</v>
      </c>
      <c r="AH417" s="20">
        <v>0</v>
      </c>
      <c r="AI417" s="20">
        <v>0</v>
      </c>
      <c r="AJ417" s="20">
        <v>0</v>
      </c>
      <c r="AK417" s="20" t="s">
        <v>609</v>
      </c>
      <c r="AL417" s="20">
        <v>0</v>
      </c>
      <c r="AM417" s="20">
        <v>0</v>
      </c>
      <c r="AN417" s="20">
        <v>0</v>
      </c>
      <c r="AO417" s="20">
        <v>0</v>
      </c>
      <c r="AP417" s="20">
        <v>0</v>
      </c>
      <c r="AR417" s="20">
        <v>0</v>
      </c>
      <c r="AS417" s="20">
        <v>0</v>
      </c>
      <c r="AT417" s="20">
        <v>219611.37</v>
      </c>
      <c r="AU417" s="20" t="s">
        <v>13</v>
      </c>
      <c r="AV417" s="20" t="s">
        <v>62</v>
      </c>
      <c r="AW417" s="20" t="s">
        <v>76</v>
      </c>
      <c r="AX417" s="20" t="s">
        <v>208</v>
      </c>
      <c r="AY417" s="20" t="s">
        <v>209</v>
      </c>
      <c r="AZ417" s="20">
        <v>0</v>
      </c>
      <c r="BA417" s="20">
        <v>47551.56</v>
      </c>
      <c r="BB417" s="20">
        <v>1006</v>
      </c>
      <c r="BC417" s="20" t="s">
        <v>3341</v>
      </c>
      <c r="BD417" s="20" t="s">
        <v>74</v>
      </c>
      <c r="BE417" s="20" t="s">
        <v>210</v>
      </c>
      <c r="BF417" s="20" t="s">
        <v>210</v>
      </c>
      <c r="BG417" s="20">
        <v>9</v>
      </c>
      <c r="BH417" s="20">
        <v>4279.6400000000003</v>
      </c>
      <c r="BI417" s="20">
        <v>9</v>
      </c>
      <c r="BJ417" s="20">
        <v>4279.6400000000003</v>
      </c>
      <c r="BK417" s="20">
        <v>0</v>
      </c>
      <c r="BL417" s="20">
        <v>0</v>
      </c>
      <c r="BM417" s="20">
        <v>0</v>
      </c>
      <c r="BN417" s="20">
        <v>602154017394</v>
      </c>
      <c r="BO417" s="111">
        <v>46233</v>
      </c>
      <c r="BP417" s="20">
        <v>0</v>
      </c>
    </row>
    <row r="418" spans="2:68">
      <c r="B418" s="20" t="s">
        <v>2216</v>
      </c>
      <c r="C418" s="20" t="s">
        <v>3341</v>
      </c>
      <c r="D418" s="20" t="s">
        <v>3828</v>
      </c>
      <c r="E418" s="20" t="s">
        <v>20</v>
      </c>
      <c r="F418" s="20" t="s">
        <v>21</v>
      </c>
      <c r="H418" s="20" t="s">
        <v>3829</v>
      </c>
      <c r="I418" s="20">
        <v>347</v>
      </c>
      <c r="J418" s="20">
        <v>347</v>
      </c>
      <c r="K418" s="20" t="s">
        <v>11</v>
      </c>
      <c r="L418" s="20">
        <v>347</v>
      </c>
      <c r="M418" s="20">
        <v>0</v>
      </c>
      <c r="N418" s="20">
        <v>347</v>
      </c>
      <c r="O418" s="20" t="s">
        <v>2204</v>
      </c>
      <c r="P418" s="20" t="s">
        <v>87</v>
      </c>
      <c r="Q418" s="20" t="s">
        <v>87</v>
      </c>
      <c r="R418" s="20" t="s">
        <v>3345</v>
      </c>
      <c r="S418" s="20" t="s">
        <v>3341</v>
      </c>
      <c r="T418" s="20" t="s">
        <v>206</v>
      </c>
      <c r="U418" s="20" t="s">
        <v>207</v>
      </c>
      <c r="V418" s="20" t="s">
        <v>3344</v>
      </c>
      <c r="W418" s="20">
        <v>151.49</v>
      </c>
      <c r="X418" s="20">
        <v>151.49</v>
      </c>
      <c r="Y418" s="20" t="s">
        <v>3345</v>
      </c>
      <c r="Z418" s="20" t="s">
        <v>3341</v>
      </c>
      <c r="AB418" s="20" t="s">
        <v>2376</v>
      </c>
      <c r="AD418" s="20" t="s">
        <v>2376</v>
      </c>
      <c r="AE418" s="20" t="s">
        <v>2376</v>
      </c>
      <c r="AF418" s="20">
        <v>0</v>
      </c>
      <c r="AG418" s="20">
        <v>0</v>
      </c>
      <c r="AH418" s="20">
        <v>0</v>
      </c>
      <c r="AI418" s="20">
        <v>0</v>
      </c>
      <c r="AJ418" s="20">
        <v>0</v>
      </c>
      <c r="AK418" s="20" t="s">
        <v>609</v>
      </c>
      <c r="AL418" s="20">
        <v>0</v>
      </c>
      <c r="AM418" s="20">
        <v>0</v>
      </c>
      <c r="AN418" s="20">
        <v>0</v>
      </c>
      <c r="AO418" s="20">
        <v>0</v>
      </c>
      <c r="AP418" s="20">
        <v>0</v>
      </c>
      <c r="AR418" s="20">
        <v>0</v>
      </c>
      <c r="AS418" s="20">
        <v>0</v>
      </c>
      <c r="AT418" s="20">
        <v>266872.46999999997</v>
      </c>
      <c r="AU418" s="20" t="s">
        <v>13</v>
      </c>
      <c r="AV418" s="20" t="s">
        <v>62</v>
      </c>
      <c r="AW418" s="20" t="s">
        <v>76</v>
      </c>
      <c r="AX418" s="20" t="s">
        <v>208</v>
      </c>
      <c r="AY418" s="20" t="s">
        <v>209</v>
      </c>
      <c r="AZ418" s="20">
        <v>0</v>
      </c>
      <c r="BA418" s="20">
        <v>52567.03</v>
      </c>
      <c r="BB418" s="20">
        <v>1003</v>
      </c>
      <c r="BC418" s="20" t="s">
        <v>3341</v>
      </c>
      <c r="BD418" s="20" t="s">
        <v>65</v>
      </c>
      <c r="BE418" s="20" t="s">
        <v>210</v>
      </c>
      <c r="BF418" s="20" t="s">
        <v>210</v>
      </c>
      <c r="BG418" s="20">
        <v>9</v>
      </c>
      <c r="BH418" s="20">
        <v>4731.03</v>
      </c>
      <c r="BI418" s="20">
        <v>9</v>
      </c>
      <c r="BJ418" s="20">
        <v>4731.03</v>
      </c>
      <c r="BK418" s="20">
        <v>0</v>
      </c>
      <c r="BL418" s="20">
        <v>0</v>
      </c>
      <c r="BM418" s="20">
        <v>266872.46999999997</v>
      </c>
      <c r="BN418" s="20">
        <v>652154332458</v>
      </c>
      <c r="BO418" s="111">
        <v>46233</v>
      </c>
      <c r="BP418" s="20">
        <v>0</v>
      </c>
    </row>
    <row r="419" spans="2:68">
      <c r="B419" s="20" t="s">
        <v>2216</v>
      </c>
      <c r="C419" s="20" t="s">
        <v>3341</v>
      </c>
      <c r="D419" s="20" t="s">
        <v>3828</v>
      </c>
      <c r="E419" s="20" t="s">
        <v>18</v>
      </c>
      <c r="F419" s="20" t="s">
        <v>19</v>
      </c>
      <c r="H419" s="20" t="s">
        <v>3829</v>
      </c>
      <c r="I419" s="20">
        <v>682</v>
      </c>
      <c r="J419" s="20">
        <v>682</v>
      </c>
      <c r="K419" s="20" t="s">
        <v>11</v>
      </c>
      <c r="L419" s="20">
        <v>682</v>
      </c>
      <c r="M419" s="20">
        <v>0</v>
      </c>
      <c r="N419" s="20">
        <v>682</v>
      </c>
      <c r="O419" s="20" t="s">
        <v>2204</v>
      </c>
      <c r="P419" s="20" t="s">
        <v>87</v>
      </c>
      <c r="Q419" s="20" t="s">
        <v>87</v>
      </c>
      <c r="R419" s="20" t="s">
        <v>3345</v>
      </c>
      <c r="S419" s="20" t="s">
        <v>3341</v>
      </c>
      <c r="T419" s="20" t="s">
        <v>206</v>
      </c>
      <c r="U419" s="20" t="s">
        <v>207</v>
      </c>
      <c r="V419" s="20" t="s">
        <v>3344</v>
      </c>
      <c r="W419" s="20">
        <v>146.49</v>
      </c>
      <c r="X419" s="20">
        <v>146.49</v>
      </c>
      <c r="Y419" s="20" t="s">
        <v>3345</v>
      </c>
      <c r="Z419" s="20" t="s">
        <v>3341</v>
      </c>
      <c r="AB419" s="20" t="s">
        <v>2376</v>
      </c>
      <c r="AD419" s="20" t="s">
        <v>2376</v>
      </c>
      <c r="AE419" s="20" t="s">
        <v>2376</v>
      </c>
      <c r="AF419" s="20">
        <v>0</v>
      </c>
      <c r="AG419" s="20">
        <v>0</v>
      </c>
      <c r="AH419" s="20">
        <v>0</v>
      </c>
      <c r="AI419" s="20">
        <v>0</v>
      </c>
      <c r="AJ419" s="20">
        <v>0</v>
      </c>
      <c r="AK419" s="20" t="s">
        <v>609</v>
      </c>
      <c r="AL419" s="20">
        <v>0</v>
      </c>
      <c r="AM419" s="20">
        <v>0</v>
      </c>
      <c r="AN419" s="20">
        <v>0</v>
      </c>
      <c r="AO419" s="20">
        <v>0</v>
      </c>
      <c r="AP419" s="20">
        <v>0</v>
      </c>
      <c r="AR419" s="20">
        <v>0</v>
      </c>
      <c r="AS419" s="20">
        <v>0</v>
      </c>
      <c r="AT419" s="20">
        <v>266872.46999999997</v>
      </c>
      <c r="AU419" s="20" t="s">
        <v>13</v>
      </c>
      <c r="AV419" s="20" t="s">
        <v>62</v>
      </c>
      <c r="AW419" s="20" t="s">
        <v>63</v>
      </c>
      <c r="AX419" s="20" t="s">
        <v>208</v>
      </c>
      <c r="AY419" s="20" t="s">
        <v>209</v>
      </c>
      <c r="AZ419" s="20">
        <v>0</v>
      </c>
      <c r="BA419" s="20">
        <v>99906.18</v>
      </c>
      <c r="BB419" s="20">
        <v>1003</v>
      </c>
      <c r="BC419" s="20" t="s">
        <v>3341</v>
      </c>
      <c r="BD419" s="20" t="s">
        <v>65</v>
      </c>
      <c r="BE419" s="20" t="s">
        <v>210</v>
      </c>
      <c r="BF419" s="20" t="s">
        <v>210</v>
      </c>
      <c r="BG419" s="20">
        <v>9</v>
      </c>
      <c r="BH419" s="20">
        <v>8991.56</v>
      </c>
      <c r="BI419" s="20">
        <v>9</v>
      </c>
      <c r="BJ419" s="20">
        <v>8991.56</v>
      </c>
      <c r="BK419" s="20">
        <v>0</v>
      </c>
      <c r="BL419" s="20">
        <v>0</v>
      </c>
      <c r="BM419" s="20">
        <v>0</v>
      </c>
      <c r="BN419" s="20">
        <v>652154332458</v>
      </c>
      <c r="BO419" s="111">
        <v>46233</v>
      </c>
      <c r="BP419" s="20">
        <v>0</v>
      </c>
    </row>
    <row r="420" spans="2:68">
      <c r="B420" s="20" t="s">
        <v>2216</v>
      </c>
      <c r="C420" s="20" t="s">
        <v>3341</v>
      </c>
      <c r="D420" s="20" t="s">
        <v>3828</v>
      </c>
      <c r="E420" s="20" t="s">
        <v>18</v>
      </c>
      <c r="F420" s="20" t="s">
        <v>19</v>
      </c>
      <c r="H420" s="20" t="s">
        <v>3829</v>
      </c>
      <c r="I420" s="20">
        <v>510</v>
      </c>
      <c r="J420" s="20">
        <v>510</v>
      </c>
      <c r="K420" s="20" t="s">
        <v>11</v>
      </c>
      <c r="L420" s="20">
        <v>510</v>
      </c>
      <c r="M420" s="20">
        <v>0</v>
      </c>
      <c r="N420" s="20">
        <v>510</v>
      </c>
      <c r="O420" s="20" t="s">
        <v>2204</v>
      </c>
      <c r="P420" s="20" t="s">
        <v>87</v>
      </c>
      <c r="Q420" s="20" t="s">
        <v>87</v>
      </c>
      <c r="R420" s="20" t="s">
        <v>3345</v>
      </c>
      <c r="S420" s="20" t="s">
        <v>3341</v>
      </c>
      <c r="T420" s="20" t="s">
        <v>206</v>
      </c>
      <c r="U420" s="20" t="s">
        <v>207</v>
      </c>
      <c r="V420" s="20" t="s">
        <v>3344</v>
      </c>
      <c r="W420" s="20">
        <v>144.49</v>
      </c>
      <c r="X420" s="20">
        <v>144.49</v>
      </c>
      <c r="Y420" s="20" t="s">
        <v>3345</v>
      </c>
      <c r="Z420" s="20" t="s">
        <v>3341</v>
      </c>
      <c r="AB420" s="20" t="s">
        <v>2376</v>
      </c>
      <c r="AD420" s="20" t="s">
        <v>2376</v>
      </c>
      <c r="AE420" s="20" t="s">
        <v>2376</v>
      </c>
      <c r="AF420" s="20">
        <v>0</v>
      </c>
      <c r="AG420" s="20">
        <v>0</v>
      </c>
      <c r="AH420" s="20">
        <v>0</v>
      </c>
      <c r="AI420" s="20">
        <v>0</v>
      </c>
      <c r="AJ420" s="20">
        <v>0</v>
      </c>
      <c r="AK420" s="20" t="s">
        <v>609</v>
      </c>
      <c r="AL420" s="20">
        <v>0</v>
      </c>
      <c r="AM420" s="20">
        <v>0</v>
      </c>
      <c r="AN420" s="20">
        <v>0</v>
      </c>
      <c r="AO420" s="20">
        <v>0</v>
      </c>
      <c r="AP420" s="20">
        <v>0</v>
      </c>
      <c r="AR420" s="20">
        <v>0</v>
      </c>
      <c r="AS420" s="20">
        <v>0</v>
      </c>
      <c r="AT420" s="20">
        <v>266872.46999999997</v>
      </c>
      <c r="AU420" s="20" t="s">
        <v>13</v>
      </c>
      <c r="AV420" s="20" t="s">
        <v>62</v>
      </c>
      <c r="AW420" s="20" t="s">
        <v>63</v>
      </c>
      <c r="AX420" s="20" t="s">
        <v>208</v>
      </c>
      <c r="AY420" s="20" t="s">
        <v>209</v>
      </c>
      <c r="AZ420" s="20">
        <v>0</v>
      </c>
      <c r="BA420" s="20">
        <v>73689.899999999994</v>
      </c>
      <c r="BB420" s="20">
        <v>1003</v>
      </c>
      <c r="BC420" s="20" t="s">
        <v>3341</v>
      </c>
      <c r="BD420" s="20" t="s">
        <v>65</v>
      </c>
      <c r="BE420" s="20" t="s">
        <v>210</v>
      </c>
      <c r="BF420" s="20" t="s">
        <v>210</v>
      </c>
      <c r="BG420" s="20">
        <v>9</v>
      </c>
      <c r="BH420" s="20">
        <v>6632.09</v>
      </c>
      <c r="BI420" s="20">
        <v>9</v>
      </c>
      <c r="BJ420" s="20">
        <v>6632.09</v>
      </c>
      <c r="BK420" s="20">
        <v>0</v>
      </c>
      <c r="BL420" s="20">
        <v>0</v>
      </c>
      <c r="BM420" s="20">
        <v>0</v>
      </c>
      <c r="BN420" s="20">
        <v>652154332458</v>
      </c>
      <c r="BO420" s="111">
        <v>46233</v>
      </c>
      <c r="BP420" s="20">
        <v>0</v>
      </c>
    </row>
    <row r="421" spans="2:68">
      <c r="B421" s="20" t="s">
        <v>2216</v>
      </c>
      <c r="C421" s="20" t="s">
        <v>3341</v>
      </c>
      <c r="D421" s="20" t="s">
        <v>3830</v>
      </c>
      <c r="E421" s="20" t="s">
        <v>18</v>
      </c>
      <c r="F421" s="20" t="s">
        <v>19</v>
      </c>
      <c r="H421" s="20" t="s">
        <v>3829</v>
      </c>
      <c r="I421" s="20">
        <v>747</v>
      </c>
      <c r="J421" s="20">
        <v>747</v>
      </c>
      <c r="K421" s="20" t="s">
        <v>11</v>
      </c>
      <c r="L421" s="20">
        <v>747</v>
      </c>
      <c r="M421" s="20">
        <v>0</v>
      </c>
      <c r="N421" s="20">
        <v>747</v>
      </c>
      <c r="O421" s="20" t="s">
        <v>2203</v>
      </c>
      <c r="P421" s="20" t="s">
        <v>87</v>
      </c>
      <c r="Q421" s="20" t="s">
        <v>87</v>
      </c>
      <c r="R421" s="20" t="s">
        <v>3347</v>
      </c>
      <c r="S421" s="20" t="s">
        <v>3341</v>
      </c>
      <c r="T421" s="20" t="s">
        <v>206</v>
      </c>
      <c r="U421" s="20" t="s">
        <v>207</v>
      </c>
      <c r="V421" s="20" t="s">
        <v>3346</v>
      </c>
      <c r="W421" s="20">
        <v>146.49</v>
      </c>
      <c r="X421" s="20">
        <v>146.49003403066999</v>
      </c>
      <c r="Y421" s="20" t="s">
        <v>3347</v>
      </c>
      <c r="Z421" s="20" t="s">
        <v>3341</v>
      </c>
      <c r="AB421" s="20" t="s">
        <v>2376</v>
      </c>
      <c r="AD421" s="20" t="s">
        <v>2376</v>
      </c>
      <c r="AE421" s="20" t="s">
        <v>2376</v>
      </c>
      <c r="AF421" s="20">
        <v>0</v>
      </c>
      <c r="AG421" s="20">
        <v>0</v>
      </c>
      <c r="AH421" s="20">
        <v>0</v>
      </c>
      <c r="AI421" s="20">
        <v>0</v>
      </c>
      <c r="AJ421" s="20">
        <v>0</v>
      </c>
      <c r="AK421" s="20" t="s">
        <v>609</v>
      </c>
      <c r="AL421" s="20">
        <v>0</v>
      </c>
      <c r="AM421" s="20">
        <v>0</v>
      </c>
      <c r="AN421" s="20">
        <v>0</v>
      </c>
      <c r="AO421" s="20">
        <v>0</v>
      </c>
      <c r="AP421" s="20">
        <v>0</v>
      </c>
      <c r="AR421" s="20">
        <v>0</v>
      </c>
      <c r="AS421" s="20">
        <v>0</v>
      </c>
      <c r="AT421" s="20">
        <v>1420533.62</v>
      </c>
      <c r="AU421" s="20" t="s">
        <v>13</v>
      </c>
      <c r="AV421" s="20" t="s">
        <v>62</v>
      </c>
      <c r="AW421" s="20" t="s">
        <v>63</v>
      </c>
      <c r="AX421" s="20" t="s">
        <v>208</v>
      </c>
      <c r="AY421" s="20" t="s">
        <v>209</v>
      </c>
      <c r="AZ421" s="20">
        <v>0</v>
      </c>
      <c r="BA421" s="20">
        <v>109428.06</v>
      </c>
      <c r="BB421" s="20">
        <v>1002</v>
      </c>
      <c r="BC421" s="20" t="s">
        <v>3341</v>
      </c>
      <c r="BD421" s="20" t="s">
        <v>65</v>
      </c>
      <c r="BE421" s="20" t="s">
        <v>210</v>
      </c>
      <c r="BF421" s="20" t="s">
        <v>210</v>
      </c>
      <c r="BG421" s="20">
        <v>9</v>
      </c>
      <c r="BH421" s="20">
        <v>9848.52</v>
      </c>
      <c r="BI421" s="20">
        <v>9</v>
      </c>
      <c r="BJ421" s="20">
        <v>9848.52</v>
      </c>
      <c r="BK421" s="20">
        <v>0</v>
      </c>
      <c r="BL421" s="20">
        <v>0</v>
      </c>
      <c r="BM421" s="20">
        <v>1420533.62</v>
      </c>
      <c r="BN421" s="20">
        <v>632153861957</v>
      </c>
      <c r="BO421" s="111">
        <v>46233</v>
      </c>
      <c r="BP421" s="20">
        <v>0</v>
      </c>
    </row>
    <row r="422" spans="2:68">
      <c r="B422" s="20" t="s">
        <v>2216</v>
      </c>
      <c r="C422" s="20" t="s">
        <v>3341</v>
      </c>
      <c r="D422" s="20" t="s">
        <v>3830</v>
      </c>
      <c r="E422" s="20" t="s">
        <v>18</v>
      </c>
      <c r="F422" s="20" t="s">
        <v>19</v>
      </c>
      <c r="H422" s="20" t="s">
        <v>3829</v>
      </c>
      <c r="I422" s="20">
        <v>6983</v>
      </c>
      <c r="J422" s="20">
        <v>6983</v>
      </c>
      <c r="K422" s="20" t="s">
        <v>11</v>
      </c>
      <c r="L422" s="20">
        <v>6983</v>
      </c>
      <c r="M422" s="20">
        <v>0</v>
      </c>
      <c r="N422" s="20">
        <v>6983</v>
      </c>
      <c r="O422" s="20" t="s">
        <v>2203</v>
      </c>
      <c r="P422" s="20" t="s">
        <v>87</v>
      </c>
      <c r="Q422" s="20" t="s">
        <v>87</v>
      </c>
      <c r="R422" s="20" t="s">
        <v>3347</v>
      </c>
      <c r="S422" s="20" t="s">
        <v>3341</v>
      </c>
      <c r="T422" s="20" t="s">
        <v>206</v>
      </c>
      <c r="U422" s="20" t="s">
        <v>207</v>
      </c>
      <c r="V422" s="20" t="s">
        <v>3346</v>
      </c>
      <c r="W422" s="20">
        <v>144.49</v>
      </c>
      <c r="X422" s="20">
        <v>144.49003356605601</v>
      </c>
      <c r="Y422" s="20" t="s">
        <v>3347</v>
      </c>
      <c r="Z422" s="20" t="s">
        <v>3341</v>
      </c>
      <c r="AB422" s="20" t="s">
        <v>2376</v>
      </c>
      <c r="AD422" s="20" t="s">
        <v>2376</v>
      </c>
      <c r="AE422" s="20" t="s">
        <v>2376</v>
      </c>
      <c r="AF422" s="20">
        <v>0</v>
      </c>
      <c r="AG422" s="20">
        <v>0</v>
      </c>
      <c r="AH422" s="20">
        <v>0</v>
      </c>
      <c r="AI422" s="20">
        <v>0</v>
      </c>
      <c r="AJ422" s="20">
        <v>0</v>
      </c>
      <c r="AK422" s="20" t="s">
        <v>609</v>
      </c>
      <c r="AL422" s="20">
        <v>0</v>
      </c>
      <c r="AM422" s="20">
        <v>0</v>
      </c>
      <c r="AN422" s="20">
        <v>0</v>
      </c>
      <c r="AO422" s="20">
        <v>0</v>
      </c>
      <c r="AP422" s="20">
        <v>0</v>
      </c>
      <c r="AR422" s="20">
        <v>0</v>
      </c>
      <c r="AS422" s="20">
        <v>0</v>
      </c>
      <c r="AT422" s="20">
        <v>1420533.62</v>
      </c>
      <c r="AU422" s="20" t="s">
        <v>13</v>
      </c>
      <c r="AV422" s="20" t="s">
        <v>62</v>
      </c>
      <c r="AW422" s="20" t="s">
        <v>63</v>
      </c>
      <c r="AX422" s="20" t="s">
        <v>208</v>
      </c>
      <c r="AY422" s="20" t="s">
        <v>209</v>
      </c>
      <c r="AZ422" s="20">
        <v>0</v>
      </c>
      <c r="BA422" s="20">
        <v>1008973.9</v>
      </c>
      <c r="BB422" s="20">
        <v>1002</v>
      </c>
      <c r="BC422" s="20" t="s">
        <v>3341</v>
      </c>
      <c r="BD422" s="20" t="s">
        <v>65</v>
      </c>
      <c r="BE422" s="20" t="s">
        <v>210</v>
      </c>
      <c r="BF422" s="20" t="s">
        <v>210</v>
      </c>
      <c r="BG422" s="20">
        <v>9</v>
      </c>
      <c r="BH422" s="20">
        <v>90807.63</v>
      </c>
      <c r="BI422" s="20">
        <v>9</v>
      </c>
      <c r="BJ422" s="20">
        <v>90807.63</v>
      </c>
      <c r="BK422" s="20">
        <v>0</v>
      </c>
      <c r="BL422" s="20">
        <v>0</v>
      </c>
      <c r="BM422" s="20">
        <v>0</v>
      </c>
      <c r="BN422" s="20">
        <v>632153861957</v>
      </c>
      <c r="BO422" s="111">
        <v>46233</v>
      </c>
      <c r="BP422" s="20">
        <v>0</v>
      </c>
    </row>
    <row r="423" spans="2:68">
      <c r="B423" s="20" t="s">
        <v>2216</v>
      </c>
      <c r="C423" s="20" t="s">
        <v>3341</v>
      </c>
      <c r="D423" s="20" t="s">
        <v>3830</v>
      </c>
      <c r="E423" s="20" t="s">
        <v>20</v>
      </c>
      <c r="F423" s="20" t="s">
        <v>21</v>
      </c>
      <c r="H423" s="20" t="s">
        <v>3829</v>
      </c>
      <c r="I423" s="20">
        <v>564</v>
      </c>
      <c r="J423" s="20">
        <v>564</v>
      </c>
      <c r="K423" s="20" t="s">
        <v>11</v>
      </c>
      <c r="L423" s="20">
        <v>564</v>
      </c>
      <c r="M423" s="20">
        <v>0</v>
      </c>
      <c r="N423" s="20">
        <v>564</v>
      </c>
      <c r="O423" s="20" t="s">
        <v>2203</v>
      </c>
      <c r="P423" s="20" t="s">
        <v>87</v>
      </c>
      <c r="Q423" s="20" t="s">
        <v>87</v>
      </c>
      <c r="R423" s="20" t="s">
        <v>3347</v>
      </c>
      <c r="S423" s="20" t="s">
        <v>3341</v>
      </c>
      <c r="T423" s="20" t="s">
        <v>206</v>
      </c>
      <c r="U423" s="20" t="s">
        <v>207</v>
      </c>
      <c r="V423" s="20" t="s">
        <v>3346</v>
      </c>
      <c r="W423" s="20">
        <v>151.49</v>
      </c>
      <c r="X423" s="20">
        <v>151.49003519220599</v>
      </c>
      <c r="Y423" s="20" t="s">
        <v>3347</v>
      </c>
      <c r="Z423" s="20" t="s">
        <v>3341</v>
      </c>
      <c r="AB423" s="20" t="s">
        <v>2376</v>
      </c>
      <c r="AD423" s="20" t="s">
        <v>2376</v>
      </c>
      <c r="AE423" s="20" t="s">
        <v>2376</v>
      </c>
      <c r="AF423" s="20">
        <v>0</v>
      </c>
      <c r="AG423" s="20">
        <v>0</v>
      </c>
      <c r="AH423" s="20">
        <v>0</v>
      </c>
      <c r="AI423" s="20">
        <v>0</v>
      </c>
      <c r="AJ423" s="20">
        <v>0</v>
      </c>
      <c r="AK423" s="20" t="s">
        <v>609</v>
      </c>
      <c r="AL423" s="20">
        <v>0</v>
      </c>
      <c r="AM423" s="20">
        <v>0</v>
      </c>
      <c r="AN423" s="20">
        <v>0</v>
      </c>
      <c r="AO423" s="20">
        <v>0</v>
      </c>
      <c r="AP423" s="20">
        <v>0</v>
      </c>
      <c r="AR423" s="20">
        <v>0</v>
      </c>
      <c r="AS423" s="20">
        <v>0</v>
      </c>
      <c r="AT423" s="20">
        <v>1420533.62</v>
      </c>
      <c r="AU423" s="20" t="s">
        <v>13</v>
      </c>
      <c r="AV423" s="20" t="s">
        <v>62</v>
      </c>
      <c r="AW423" s="20" t="s">
        <v>76</v>
      </c>
      <c r="AX423" s="20" t="s">
        <v>208</v>
      </c>
      <c r="AY423" s="20" t="s">
        <v>209</v>
      </c>
      <c r="AZ423" s="20">
        <v>0</v>
      </c>
      <c r="BA423" s="20">
        <v>85440.38</v>
      </c>
      <c r="BB423" s="20">
        <v>1002</v>
      </c>
      <c r="BC423" s="20" t="s">
        <v>3341</v>
      </c>
      <c r="BD423" s="20" t="s">
        <v>65</v>
      </c>
      <c r="BE423" s="20" t="s">
        <v>210</v>
      </c>
      <c r="BF423" s="20" t="s">
        <v>210</v>
      </c>
      <c r="BG423" s="20">
        <v>9</v>
      </c>
      <c r="BH423" s="20">
        <v>7689.63</v>
      </c>
      <c r="BI423" s="20">
        <v>9</v>
      </c>
      <c r="BJ423" s="20">
        <v>7689.3</v>
      </c>
      <c r="BK423" s="20">
        <v>0</v>
      </c>
      <c r="BL423" s="20">
        <v>0</v>
      </c>
      <c r="BM423" s="20">
        <v>0</v>
      </c>
      <c r="BN423" s="20">
        <v>632153861957</v>
      </c>
      <c r="BO423" s="111">
        <v>46233</v>
      </c>
      <c r="BP423" s="20">
        <v>0</v>
      </c>
    </row>
    <row r="424" spans="2:68">
      <c r="B424" s="20" t="s">
        <v>2216</v>
      </c>
      <c r="C424" s="20" t="s">
        <v>3341</v>
      </c>
      <c r="D424" s="20" t="s">
        <v>3831</v>
      </c>
      <c r="E424" s="20" t="s">
        <v>23</v>
      </c>
      <c r="F424" s="20" t="s">
        <v>24</v>
      </c>
      <c r="H424" s="20" t="s">
        <v>3832</v>
      </c>
      <c r="I424" s="20">
        <v>1133.5</v>
      </c>
      <c r="J424" s="20">
        <v>1133.5</v>
      </c>
      <c r="K424" s="20" t="s">
        <v>11</v>
      </c>
      <c r="L424" s="20">
        <v>1133.5</v>
      </c>
      <c r="M424" s="20">
        <v>0</v>
      </c>
      <c r="N424" s="20">
        <v>1133.5</v>
      </c>
      <c r="O424" s="20" t="s">
        <v>2201</v>
      </c>
      <c r="P424" s="20" t="s">
        <v>87</v>
      </c>
      <c r="Q424" s="20" t="s">
        <v>87</v>
      </c>
      <c r="R424" s="20" t="s">
        <v>3349</v>
      </c>
      <c r="S424" s="20" t="s">
        <v>3341</v>
      </c>
      <c r="T424" s="20" t="s">
        <v>206</v>
      </c>
      <c r="U424" s="20" t="s">
        <v>207</v>
      </c>
      <c r="V424" s="20" t="s">
        <v>3348</v>
      </c>
      <c r="W424" s="20">
        <v>149.49</v>
      </c>
      <c r="X424" s="20">
        <v>149.48999968538499</v>
      </c>
      <c r="Y424" s="20" t="s">
        <v>3349</v>
      </c>
      <c r="Z424" s="20" t="s">
        <v>3341</v>
      </c>
      <c r="AB424" s="20" t="s">
        <v>2376</v>
      </c>
      <c r="AD424" s="20" t="s">
        <v>2376</v>
      </c>
      <c r="AE424" s="20" t="s">
        <v>2376</v>
      </c>
      <c r="AF424" s="20">
        <v>0</v>
      </c>
      <c r="AG424" s="20">
        <v>0</v>
      </c>
      <c r="AH424" s="20">
        <v>0</v>
      </c>
      <c r="AI424" s="20">
        <v>0</v>
      </c>
      <c r="AJ424" s="20">
        <v>0</v>
      </c>
      <c r="AK424" s="20" t="s">
        <v>609</v>
      </c>
      <c r="AL424" s="20">
        <v>0</v>
      </c>
      <c r="AM424" s="20">
        <v>0</v>
      </c>
      <c r="AN424" s="20">
        <v>0</v>
      </c>
      <c r="AO424" s="20">
        <v>0</v>
      </c>
      <c r="AP424" s="20">
        <v>0</v>
      </c>
      <c r="AR424" s="20">
        <v>0</v>
      </c>
      <c r="AS424" s="20">
        <v>0</v>
      </c>
      <c r="AT424" s="20">
        <v>1615516.8</v>
      </c>
      <c r="AU424" s="20" t="s">
        <v>13</v>
      </c>
      <c r="AV424" s="20" t="s">
        <v>24</v>
      </c>
      <c r="AW424" s="20" t="s">
        <v>79</v>
      </c>
      <c r="AX424" s="20" t="s">
        <v>208</v>
      </c>
      <c r="AY424" s="20" t="s">
        <v>209</v>
      </c>
      <c r="AZ424" s="20">
        <v>0</v>
      </c>
      <c r="BA424" s="20">
        <v>169446.91</v>
      </c>
      <c r="BB424" s="20">
        <v>1004</v>
      </c>
      <c r="BC424" s="20" t="s">
        <v>3341</v>
      </c>
      <c r="BD424" s="20" t="s">
        <v>65</v>
      </c>
      <c r="BE424" s="20" t="s">
        <v>210</v>
      </c>
      <c r="BF424" s="20" t="s">
        <v>210</v>
      </c>
      <c r="BG424" s="20">
        <v>9</v>
      </c>
      <c r="BH424" s="20">
        <v>15250.22</v>
      </c>
      <c r="BI424" s="20">
        <v>9</v>
      </c>
      <c r="BJ424" s="20">
        <v>15250.22</v>
      </c>
      <c r="BK424" s="20">
        <v>0</v>
      </c>
      <c r="BL424" s="20">
        <v>0</v>
      </c>
      <c r="BM424" s="20">
        <v>1615516.8</v>
      </c>
      <c r="BN424" s="20">
        <v>692153973119</v>
      </c>
      <c r="BO424" s="111">
        <v>46233</v>
      </c>
      <c r="BP424" s="20">
        <v>0</v>
      </c>
    </row>
    <row r="425" spans="2:68">
      <c r="B425" s="20" t="s">
        <v>2216</v>
      </c>
      <c r="C425" s="20" t="s">
        <v>3341</v>
      </c>
      <c r="D425" s="20" t="s">
        <v>3831</v>
      </c>
      <c r="E425" s="20" t="s">
        <v>23</v>
      </c>
      <c r="F425" s="20" t="s">
        <v>24</v>
      </c>
      <c r="H425" s="20" t="s">
        <v>3832</v>
      </c>
      <c r="I425" s="20">
        <v>634</v>
      </c>
      <c r="J425" s="20">
        <v>634</v>
      </c>
      <c r="K425" s="20" t="s">
        <v>11</v>
      </c>
      <c r="L425" s="20">
        <v>634</v>
      </c>
      <c r="M425" s="20">
        <v>0</v>
      </c>
      <c r="N425" s="20">
        <v>634</v>
      </c>
      <c r="O425" s="20" t="s">
        <v>2201</v>
      </c>
      <c r="P425" s="20" t="s">
        <v>87</v>
      </c>
      <c r="Q425" s="20" t="s">
        <v>87</v>
      </c>
      <c r="R425" s="20" t="s">
        <v>3349</v>
      </c>
      <c r="S425" s="20" t="s">
        <v>3341</v>
      </c>
      <c r="T425" s="20" t="s">
        <v>206</v>
      </c>
      <c r="U425" s="20" t="s">
        <v>207</v>
      </c>
      <c r="V425" s="20" t="s">
        <v>3348</v>
      </c>
      <c r="W425" s="20">
        <v>146.49</v>
      </c>
      <c r="X425" s="20">
        <v>146.48999969169901</v>
      </c>
      <c r="Y425" s="20" t="s">
        <v>3349</v>
      </c>
      <c r="Z425" s="20" t="s">
        <v>3341</v>
      </c>
      <c r="AB425" s="20" t="s">
        <v>2376</v>
      </c>
      <c r="AD425" s="20" t="s">
        <v>2376</v>
      </c>
      <c r="AE425" s="20" t="s">
        <v>2376</v>
      </c>
      <c r="AF425" s="20">
        <v>0</v>
      </c>
      <c r="AG425" s="20">
        <v>0</v>
      </c>
      <c r="AH425" s="20">
        <v>0</v>
      </c>
      <c r="AI425" s="20">
        <v>0</v>
      </c>
      <c r="AJ425" s="20">
        <v>0</v>
      </c>
      <c r="AK425" s="20" t="s">
        <v>609</v>
      </c>
      <c r="AL425" s="20">
        <v>0</v>
      </c>
      <c r="AM425" s="20">
        <v>0</v>
      </c>
      <c r="AN425" s="20">
        <v>0</v>
      </c>
      <c r="AO425" s="20">
        <v>0</v>
      </c>
      <c r="AP425" s="20">
        <v>0</v>
      </c>
      <c r="AR425" s="20">
        <v>0</v>
      </c>
      <c r="AS425" s="20">
        <v>0</v>
      </c>
      <c r="AT425" s="20">
        <v>1615516.8</v>
      </c>
      <c r="AU425" s="20" t="s">
        <v>13</v>
      </c>
      <c r="AV425" s="20" t="s">
        <v>24</v>
      </c>
      <c r="AW425" s="20" t="s">
        <v>79</v>
      </c>
      <c r="AX425" s="20" t="s">
        <v>208</v>
      </c>
      <c r="AY425" s="20" t="s">
        <v>209</v>
      </c>
      <c r="AZ425" s="20">
        <v>0</v>
      </c>
      <c r="BA425" s="20">
        <v>92874.66</v>
      </c>
      <c r="BB425" s="20">
        <v>1004</v>
      </c>
      <c r="BC425" s="20" t="s">
        <v>3341</v>
      </c>
      <c r="BD425" s="20" t="s">
        <v>65</v>
      </c>
      <c r="BE425" s="20" t="s">
        <v>210</v>
      </c>
      <c r="BF425" s="20" t="s">
        <v>210</v>
      </c>
      <c r="BG425" s="20">
        <v>9</v>
      </c>
      <c r="BH425" s="20">
        <v>8358.7199999999993</v>
      </c>
      <c r="BI425" s="20">
        <v>9</v>
      </c>
      <c r="BJ425" s="20">
        <v>8358.7199999999993</v>
      </c>
      <c r="BK425" s="20">
        <v>0</v>
      </c>
      <c r="BL425" s="20">
        <v>0</v>
      </c>
      <c r="BM425" s="20">
        <v>0</v>
      </c>
      <c r="BN425" s="20">
        <v>692153973119</v>
      </c>
      <c r="BO425" s="111">
        <v>46233</v>
      </c>
      <c r="BP425" s="20">
        <v>0</v>
      </c>
    </row>
    <row r="426" spans="2:68">
      <c r="B426" s="20" t="s">
        <v>2216</v>
      </c>
      <c r="C426" s="20" t="s">
        <v>3341</v>
      </c>
      <c r="D426" s="20" t="s">
        <v>3831</v>
      </c>
      <c r="E426" s="20" t="s">
        <v>160</v>
      </c>
      <c r="F426" s="20" t="s">
        <v>17</v>
      </c>
      <c r="H426" s="20" t="s">
        <v>3832</v>
      </c>
      <c r="I426" s="20">
        <v>3340.5</v>
      </c>
      <c r="J426" s="20">
        <v>3340.5</v>
      </c>
      <c r="K426" s="20" t="s">
        <v>11</v>
      </c>
      <c r="L426" s="20">
        <v>3340.5</v>
      </c>
      <c r="M426" s="20">
        <v>0</v>
      </c>
      <c r="N426" s="20">
        <v>3340.5</v>
      </c>
      <c r="O426" s="20" t="s">
        <v>2201</v>
      </c>
      <c r="P426" s="20" t="s">
        <v>87</v>
      </c>
      <c r="Q426" s="20" t="s">
        <v>87</v>
      </c>
      <c r="R426" s="20" t="s">
        <v>3349</v>
      </c>
      <c r="S426" s="20" t="s">
        <v>3341</v>
      </c>
      <c r="T426" s="20" t="s">
        <v>206</v>
      </c>
      <c r="U426" s="20" t="s">
        <v>207</v>
      </c>
      <c r="V426" s="20" t="s">
        <v>3348</v>
      </c>
      <c r="W426" s="20">
        <v>182.78</v>
      </c>
      <c r="X426" s="20">
        <v>182.77999961532299</v>
      </c>
      <c r="Y426" s="20" t="s">
        <v>3349</v>
      </c>
      <c r="Z426" s="20" t="s">
        <v>3341</v>
      </c>
      <c r="AB426" s="20" t="s">
        <v>2376</v>
      </c>
      <c r="AD426" s="20" t="s">
        <v>2376</v>
      </c>
      <c r="AE426" s="20" t="s">
        <v>2376</v>
      </c>
      <c r="AF426" s="20">
        <v>0</v>
      </c>
      <c r="AG426" s="20">
        <v>0</v>
      </c>
      <c r="AH426" s="20">
        <v>0</v>
      </c>
      <c r="AI426" s="20">
        <v>0</v>
      </c>
      <c r="AJ426" s="20">
        <v>0</v>
      </c>
      <c r="AK426" s="20" t="s">
        <v>609</v>
      </c>
      <c r="AL426" s="20">
        <v>0</v>
      </c>
      <c r="AM426" s="20">
        <v>0</v>
      </c>
      <c r="AN426" s="20">
        <v>0</v>
      </c>
      <c r="AO426" s="20">
        <v>0</v>
      </c>
      <c r="AP426" s="20">
        <v>0</v>
      </c>
      <c r="AR426" s="20">
        <v>0</v>
      </c>
      <c r="AS426" s="20">
        <v>0</v>
      </c>
      <c r="AT426" s="20">
        <v>1615516.8</v>
      </c>
      <c r="AU426" s="20" t="s">
        <v>13</v>
      </c>
      <c r="AV426" s="20" t="s">
        <v>80</v>
      </c>
      <c r="AW426" s="20" t="s">
        <v>81</v>
      </c>
      <c r="AX426" s="20" t="s">
        <v>208</v>
      </c>
      <c r="AY426" s="20" t="s">
        <v>209</v>
      </c>
      <c r="AZ426" s="20">
        <v>0</v>
      </c>
      <c r="BA426" s="20">
        <v>610576.59</v>
      </c>
      <c r="BB426" s="20">
        <v>1004</v>
      </c>
      <c r="BC426" s="20" t="s">
        <v>3341</v>
      </c>
      <c r="BD426" s="20" t="s">
        <v>65</v>
      </c>
      <c r="BE426" s="20" t="s">
        <v>210</v>
      </c>
      <c r="BF426" s="20" t="s">
        <v>210</v>
      </c>
      <c r="BG426" s="20">
        <v>9</v>
      </c>
      <c r="BH426" s="20">
        <v>54951.89</v>
      </c>
      <c r="BI426" s="20">
        <v>9</v>
      </c>
      <c r="BJ426" s="20">
        <v>54951.89</v>
      </c>
      <c r="BK426" s="20">
        <v>0</v>
      </c>
      <c r="BL426" s="20">
        <v>0</v>
      </c>
      <c r="BM426" s="20">
        <v>0</v>
      </c>
      <c r="BN426" s="20">
        <v>692153973119</v>
      </c>
      <c r="BO426" s="111">
        <v>46233</v>
      </c>
      <c r="BP426" s="20">
        <v>0</v>
      </c>
    </row>
    <row r="427" spans="2:68">
      <c r="B427" s="20" t="s">
        <v>2216</v>
      </c>
      <c r="C427" s="20" t="s">
        <v>3341</v>
      </c>
      <c r="D427" s="20" t="s">
        <v>3831</v>
      </c>
      <c r="E427" s="20" t="s">
        <v>18</v>
      </c>
      <c r="F427" s="20" t="s">
        <v>19</v>
      </c>
      <c r="H427" s="20" t="s">
        <v>3832</v>
      </c>
      <c r="I427" s="20">
        <v>1173</v>
      </c>
      <c r="J427" s="20">
        <v>1173</v>
      </c>
      <c r="K427" s="20" t="s">
        <v>11</v>
      </c>
      <c r="L427" s="20">
        <v>1173</v>
      </c>
      <c r="M427" s="20">
        <v>0</v>
      </c>
      <c r="N427" s="20">
        <v>1173</v>
      </c>
      <c r="O427" s="20" t="s">
        <v>2201</v>
      </c>
      <c r="P427" s="20" t="s">
        <v>87</v>
      </c>
      <c r="Q427" s="20" t="s">
        <v>87</v>
      </c>
      <c r="R427" s="20" t="s">
        <v>3349</v>
      </c>
      <c r="S427" s="20" t="s">
        <v>3341</v>
      </c>
      <c r="T427" s="20" t="s">
        <v>206</v>
      </c>
      <c r="U427" s="20" t="s">
        <v>207</v>
      </c>
      <c r="V427" s="20" t="s">
        <v>3348</v>
      </c>
      <c r="W427" s="20">
        <v>144.49</v>
      </c>
      <c r="X427" s="20">
        <v>144.48999969590801</v>
      </c>
      <c r="Y427" s="20" t="s">
        <v>3349</v>
      </c>
      <c r="Z427" s="20" t="s">
        <v>3341</v>
      </c>
      <c r="AB427" s="20" t="s">
        <v>2376</v>
      </c>
      <c r="AD427" s="20" t="s">
        <v>2376</v>
      </c>
      <c r="AE427" s="20" t="s">
        <v>2376</v>
      </c>
      <c r="AF427" s="20">
        <v>0</v>
      </c>
      <c r="AG427" s="20">
        <v>0</v>
      </c>
      <c r="AH427" s="20">
        <v>0</v>
      </c>
      <c r="AI427" s="20">
        <v>0</v>
      </c>
      <c r="AJ427" s="20">
        <v>0</v>
      </c>
      <c r="AK427" s="20" t="s">
        <v>609</v>
      </c>
      <c r="AL427" s="20">
        <v>0</v>
      </c>
      <c r="AM427" s="20">
        <v>0</v>
      </c>
      <c r="AN427" s="20">
        <v>0</v>
      </c>
      <c r="AO427" s="20">
        <v>0</v>
      </c>
      <c r="AP427" s="20">
        <v>0</v>
      </c>
      <c r="AR427" s="20">
        <v>0</v>
      </c>
      <c r="AS427" s="20">
        <v>0</v>
      </c>
      <c r="AT427" s="20">
        <v>1615516.8</v>
      </c>
      <c r="AU427" s="20" t="s">
        <v>13</v>
      </c>
      <c r="AV427" s="20" t="s">
        <v>62</v>
      </c>
      <c r="AW427" s="20" t="s">
        <v>63</v>
      </c>
      <c r="AX427" s="20" t="s">
        <v>208</v>
      </c>
      <c r="AY427" s="20" t="s">
        <v>209</v>
      </c>
      <c r="AZ427" s="20">
        <v>0</v>
      </c>
      <c r="BA427" s="20">
        <v>169486.77</v>
      </c>
      <c r="BB427" s="20">
        <v>1004</v>
      </c>
      <c r="BC427" s="20" t="s">
        <v>3341</v>
      </c>
      <c r="BD427" s="20" t="s">
        <v>65</v>
      </c>
      <c r="BE427" s="20" t="s">
        <v>210</v>
      </c>
      <c r="BF427" s="20" t="s">
        <v>210</v>
      </c>
      <c r="BG427" s="20">
        <v>9</v>
      </c>
      <c r="BH427" s="20">
        <v>15253.81</v>
      </c>
      <c r="BI427" s="20">
        <v>9</v>
      </c>
      <c r="BJ427" s="20">
        <v>15253.81</v>
      </c>
      <c r="BK427" s="20">
        <v>0</v>
      </c>
      <c r="BL427" s="20">
        <v>0</v>
      </c>
      <c r="BM427" s="20">
        <v>0</v>
      </c>
      <c r="BN427" s="20">
        <v>692153973119</v>
      </c>
      <c r="BO427" s="111">
        <v>46233</v>
      </c>
      <c r="BP427" s="20">
        <v>0</v>
      </c>
    </row>
    <row r="428" spans="2:68">
      <c r="B428" s="20" t="s">
        <v>2216</v>
      </c>
      <c r="C428" s="20" t="s">
        <v>3341</v>
      </c>
      <c r="D428" s="20" t="s">
        <v>3831</v>
      </c>
      <c r="E428" s="20" t="s">
        <v>2519</v>
      </c>
      <c r="F428" s="20" t="s">
        <v>2117</v>
      </c>
      <c r="H428" s="20" t="s">
        <v>3832</v>
      </c>
      <c r="I428" s="20">
        <v>280</v>
      </c>
      <c r="J428" s="20">
        <v>280</v>
      </c>
      <c r="K428" s="20" t="s">
        <v>11</v>
      </c>
      <c r="L428" s="20">
        <v>280</v>
      </c>
      <c r="M428" s="20">
        <v>0</v>
      </c>
      <c r="N428" s="20">
        <v>280</v>
      </c>
      <c r="O428" s="20" t="s">
        <v>2201</v>
      </c>
      <c r="P428" s="20" t="s">
        <v>87</v>
      </c>
      <c r="Q428" s="20" t="s">
        <v>87</v>
      </c>
      <c r="R428" s="20" t="s">
        <v>3349</v>
      </c>
      <c r="S428" s="20" t="s">
        <v>3341</v>
      </c>
      <c r="T428" s="20" t="s">
        <v>206</v>
      </c>
      <c r="U428" s="20" t="s">
        <v>207</v>
      </c>
      <c r="V428" s="20" t="s">
        <v>3348</v>
      </c>
      <c r="W428" s="20">
        <v>151.49</v>
      </c>
      <c r="X428" s="20">
        <v>151.48999968117599</v>
      </c>
      <c r="Y428" s="20" t="s">
        <v>3349</v>
      </c>
      <c r="Z428" s="20" t="s">
        <v>3341</v>
      </c>
      <c r="AB428" s="20" t="s">
        <v>2376</v>
      </c>
      <c r="AD428" s="20" t="s">
        <v>2376</v>
      </c>
      <c r="AE428" s="20" t="s">
        <v>2376</v>
      </c>
      <c r="AF428" s="20">
        <v>0</v>
      </c>
      <c r="AG428" s="20">
        <v>0</v>
      </c>
      <c r="AH428" s="20">
        <v>0</v>
      </c>
      <c r="AI428" s="20">
        <v>0</v>
      </c>
      <c r="AJ428" s="20">
        <v>0</v>
      </c>
      <c r="AK428" s="20" t="s">
        <v>609</v>
      </c>
      <c r="AL428" s="20">
        <v>0</v>
      </c>
      <c r="AM428" s="20">
        <v>0</v>
      </c>
      <c r="AN428" s="20">
        <v>0</v>
      </c>
      <c r="AO428" s="20">
        <v>0</v>
      </c>
      <c r="AP428" s="20">
        <v>0</v>
      </c>
      <c r="AR428" s="20">
        <v>0</v>
      </c>
      <c r="AS428" s="20">
        <v>0</v>
      </c>
      <c r="AT428" s="20">
        <v>1615516.8</v>
      </c>
      <c r="AU428" s="20" t="s">
        <v>15</v>
      </c>
      <c r="AV428" s="20" t="s">
        <v>2117</v>
      </c>
      <c r="AW428" s="20" t="s">
        <v>2117</v>
      </c>
      <c r="AX428" s="20" t="s">
        <v>208</v>
      </c>
      <c r="AY428" s="20" t="s">
        <v>209</v>
      </c>
      <c r="AZ428" s="20">
        <v>0</v>
      </c>
      <c r="BA428" s="20">
        <v>42417.2</v>
      </c>
      <c r="BB428" s="20">
        <v>1004</v>
      </c>
      <c r="BC428" s="20" t="s">
        <v>3341</v>
      </c>
      <c r="BD428" s="20" t="s">
        <v>65</v>
      </c>
      <c r="BE428" s="20" t="s">
        <v>210</v>
      </c>
      <c r="BF428" s="20" t="s">
        <v>210</v>
      </c>
      <c r="BG428" s="20">
        <v>9</v>
      </c>
      <c r="BH428" s="20">
        <v>3817.55</v>
      </c>
      <c r="BI428" s="20">
        <v>9</v>
      </c>
      <c r="BJ428" s="20">
        <v>3817.55</v>
      </c>
      <c r="BK428" s="20">
        <v>0</v>
      </c>
      <c r="BL428" s="20">
        <v>0</v>
      </c>
      <c r="BM428" s="20">
        <v>0</v>
      </c>
      <c r="BN428" s="20">
        <v>692153973119</v>
      </c>
      <c r="BO428" s="111">
        <v>46233</v>
      </c>
      <c r="BP428" s="20">
        <v>0</v>
      </c>
    </row>
    <row r="429" spans="2:68">
      <c r="B429" s="20" t="s">
        <v>2216</v>
      </c>
      <c r="C429" s="20" t="s">
        <v>3341</v>
      </c>
      <c r="D429" s="20" t="s">
        <v>3831</v>
      </c>
      <c r="E429" s="20" t="s">
        <v>20</v>
      </c>
      <c r="F429" s="20" t="s">
        <v>21</v>
      </c>
      <c r="H429" s="20" t="s">
        <v>3832</v>
      </c>
      <c r="I429" s="20">
        <v>694</v>
      </c>
      <c r="J429" s="20">
        <v>694</v>
      </c>
      <c r="K429" s="20" t="s">
        <v>11</v>
      </c>
      <c r="L429" s="20">
        <v>694</v>
      </c>
      <c r="M429" s="20">
        <v>0</v>
      </c>
      <c r="N429" s="20">
        <v>694</v>
      </c>
      <c r="O429" s="20" t="s">
        <v>2201</v>
      </c>
      <c r="P429" s="20" t="s">
        <v>87</v>
      </c>
      <c r="Q429" s="20" t="s">
        <v>87</v>
      </c>
      <c r="R429" s="20" t="s">
        <v>3349</v>
      </c>
      <c r="S429" s="20" t="s">
        <v>3341</v>
      </c>
      <c r="T429" s="20" t="s">
        <v>206</v>
      </c>
      <c r="U429" s="20" t="s">
        <v>207</v>
      </c>
      <c r="V429" s="20" t="s">
        <v>3348</v>
      </c>
      <c r="W429" s="20">
        <v>151.49</v>
      </c>
      <c r="X429" s="20">
        <v>151.48999968117599</v>
      </c>
      <c r="Y429" s="20" t="s">
        <v>3349</v>
      </c>
      <c r="Z429" s="20" t="s">
        <v>3341</v>
      </c>
      <c r="AB429" s="20" t="s">
        <v>2376</v>
      </c>
      <c r="AD429" s="20" t="s">
        <v>2376</v>
      </c>
      <c r="AE429" s="20" t="s">
        <v>2376</v>
      </c>
      <c r="AF429" s="20">
        <v>0</v>
      </c>
      <c r="AG429" s="20">
        <v>0</v>
      </c>
      <c r="AH429" s="20">
        <v>0</v>
      </c>
      <c r="AI429" s="20">
        <v>0</v>
      </c>
      <c r="AJ429" s="20">
        <v>0</v>
      </c>
      <c r="AK429" s="20" t="s">
        <v>609</v>
      </c>
      <c r="AL429" s="20">
        <v>0</v>
      </c>
      <c r="AM429" s="20">
        <v>0</v>
      </c>
      <c r="AN429" s="20">
        <v>0</v>
      </c>
      <c r="AO429" s="20">
        <v>0</v>
      </c>
      <c r="AP429" s="20">
        <v>0</v>
      </c>
      <c r="AR429" s="20">
        <v>0</v>
      </c>
      <c r="AS429" s="20">
        <v>0</v>
      </c>
      <c r="AT429" s="20">
        <v>1615516.8</v>
      </c>
      <c r="AU429" s="20" t="s">
        <v>13</v>
      </c>
      <c r="AV429" s="20" t="s">
        <v>62</v>
      </c>
      <c r="AW429" s="20" t="s">
        <v>76</v>
      </c>
      <c r="AX429" s="20" t="s">
        <v>208</v>
      </c>
      <c r="AY429" s="20" t="s">
        <v>209</v>
      </c>
      <c r="AZ429" s="20">
        <v>0</v>
      </c>
      <c r="BA429" s="20">
        <v>105134.06</v>
      </c>
      <c r="BB429" s="20">
        <v>1004</v>
      </c>
      <c r="BC429" s="20" t="s">
        <v>3341</v>
      </c>
      <c r="BD429" s="20" t="s">
        <v>65</v>
      </c>
      <c r="BE429" s="20" t="s">
        <v>210</v>
      </c>
      <c r="BF429" s="20" t="s">
        <v>210</v>
      </c>
      <c r="BG429" s="20">
        <v>9</v>
      </c>
      <c r="BH429" s="20">
        <v>9462.07</v>
      </c>
      <c r="BI429" s="20">
        <v>9</v>
      </c>
      <c r="BJ429" s="20">
        <v>9462.07</v>
      </c>
      <c r="BK429" s="20">
        <v>0</v>
      </c>
      <c r="BL429" s="20">
        <v>0</v>
      </c>
      <c r="BM429" s="20">
        <v>0</v>
      </c>
      <c r="BN429" s="20">
        <v>692153973119</v>
      </c>
      <c r="BO429" s="111">
        <v>46233</v>
      </c>
      <c r="BP429" s="20">
        <v>0</v>
      </c>
    </row>
    <row r="430" spans="2:68">
      <c r="B430" s="20" t="s">
        <v>2216</v>
      </c>
      <c r="C430" s="20" t="s">
        <v>3341</v>
      </c>
      <c r="D430" s="20" t="s">
        <v>3831</v>
      </c>
      <c r="E430" s="20" t="s">
        <v>587</v>
      </c>
      <c r="F430" s="20" t="s">
        <v>586</v>
      </c>
      <c r="H430" s="20" t="s">
        <v>3832</v>
      </c>
      <c r="I430" s="20">
        <v>470.5</v>
      </c>
      <c r="J430" s="20">
        <v>470.5</v>
      </c>
      <c r="K430" s="20" t="s">
        <v>3</v>
      </c>
      <c r="L430" s="20">
        <v>470.5</v>
      </c>
      <c r="M430" s="20">
        <v>0</v>
      </c>
      <c r="N430" s="20">
        <v>470.5</v>
      </c>
      <c r="O430" s="20" t="s">
        <v>2201</v>
      </c>
      <c r="P430" s="20" t="s">
        <v>87</v>
      </c>
      <c r="Q430" s="20" t="s">
        <v>87</v>
      </c>
      <c r="R430" s="20" t="s">
        <v>3349</v>
      </c>
      <c r="S430" s="20" t="s">
        <v>3341</v>
      </c>
      <c r="T430" s="20" t="s">
        <v>206</v>
      </c>
      <c r="U430" s="20" t="s">
        <v>207</v>
      </c>
      <c r="V430" s="20" t="s">
        <v>3348</v>
      </c>
      <c r="W430" s="20">
        <v>156.49</v>
      </c>
      <c r="X430" s="20">
        <v>156.48999967065299</v>
      </c>
      <c r="Y430" s="20" t="s">
        <v>3349</v>
      </c>
      <c r="Z430" s="20" t="s">
        <v>3341</v>
      </c>
      <c r="AB430" s="20" t="s">
        <v>2376</v>
      </c>
      <c r="AD430" s="20" t="s">
        <v>2376</v>
      </c>
      <c r="AE430" s="20" t="s">
        <v>2376</v>
      </c>
      <c r="AF430" s="20">
        <v>0</v>
      </c>
      <c r="AG430" s="20">
        <v>0</v>
      </c>
      <c r="AH430" s="20">
        <v>0</v>
      </c>
      <c r="AI430" s="20">
        <v>0</v>
      </c>
      <c r="AJ430" s="20">
        <v>0</v>
      </c>
      <c r="AK430" s="20" t="s">
        <v>609</v>
      </c>
      <c r="AL430" s="20">
        <v>0</v>
      </c>
      <c r="AM430" s="20">
        <v>0</v>
      </c>
      <c r="AN430" s="20">
        <v>0</v>
      </c>
      <c r="AO430" s="20">
        <v>0</v>
      </c>
      <c r="AP430" s="20">
        <v>0</v>
      </c>
      <c r="AR430" s="20">
        <v>0</v>
      </c>
      <c r="AS430" s="20">
        <v>0</v>
      </c>
      <c r="AT430" s="20">
        <v>1615516.8</v>
      </c>
      <c r="AU430" s="20" t="s">
        <v>13</v>
      </c>
      <c r="AV430" s="20" t="s">
        <v>99</v>
      </c>
      <c r="AW430" s="20" t="s">
        <v>100</v>
      </c>
      <c r="AX430" s="20" t="s">
        <v>208</v>
      </c>
      <c r="AZ430" s="20">
        <v>0</v>
      </c>
      <c r="BA430" s="20">
        <v>73628.539999999994</v>
      </c>
      <c r="BB430" s="20">
        <v>1004</v>
      </c>
      <c r="BC430" s="20" t="s">
        <v>3341</v>
      </c>
      <c r="BD430" s="20" t="s">
        <v>65</v>
      </c>
      <c r="BE430" s="20" t="s">
        <v>210</v>
      </c>
      <c r="BF430" s="20" t="s">
        <v>210</v>
      </c>
      <c r="BG430" s="20">
        <v>2.5</v>
      </c>
      <c r="BH430" s="20">
        <v>1840.71</v>
      </c>
      <c r="BI430" s="20">
        <v>2.5</v>
      </c>
      <c r="BJ430" s="20">
        <v>1840.71</v>
      </c>
      <c r="BK430" s="20">
        <v>0</v>
      </c>
      <c r="BL430" s="20">
        <v>0</v>
      </c>
      <c r="BM430" s="20">
        <v>0</v>
      </c>
      <c r="BN430" s="20">
        <v>692153973119</v>
      </c>
      <c r="BO430" s="111">
        <v>46233</v>
      </c>
      <c r="BP430" s="20">
        <v>0</v>
      </c>
    </row>
    <row r="431" spans="2:68">
      <c r="B431" s="20" t="s">
        <v>2216</v>
      </c>
      <c r="C431" s="20" t="s">
        <v>3341</v>
      </c>
      <c r="D431" s="20" t="s">
        <v>3831</v>
      </c>
      <c r="E431" s="20" t="s">
        <v>1359</v>
      </c>
      <c r="F431" s="20" t="s">
        <v>1303</v>
      </c>
      <c r="H431" s="20" t="s">
        <v>3832</v>
      </c>
      <c r="I431" s="20">
        <v>800.66</v>
      </c>
      <c r="J431" s="20">
        <v>800.66</v>
      </c>
      <c r="K431" s="20" t="s">
        <v>3</v>
      </c>
      <c r="L431" s="20">
        <v>800.66</v>
      </c>
      <c r="M431" s="20">
        <v>0</v>
      </c>
      <c r="N431" s="20">
        <v>800.66</v>
      </c>
      <c r="O431" s="20" t="s">
        <v>2201</v>
      </c>
      <c r="P431" s="20" t="s">
        <v>87</v>
      </c>
      <c r="Q431" s="20" t="s">
        <v>87</v>
      </c>
      <c r="R431" s="20" t="s">
        <v>3349</v>
      </c>
      <c r="S431" s="20" t="s">
        <v>3341</v>
      </c>
      <c r="T431" s="20" t="s">
        <v>206</v>
      </c>
      <c r="U431" s="20" t="s">
        <v>207</v>
      </c>
      <c r="V431" s="20" t="s">
        <v>3348</v>
      </c>
      <c r="W431" s="20">
        <v>159.49</v>
      </c>
      <c r="X431" s="20">
        <v>159.489999664339</v>
      </c>
      <c r="Y431" s="20" t="s">
        <v>3349</v>
      </c>
      <c r="Z431" s="20" t="s">
        <v>3341</v>
      </c>
      <c r="AB431" s="20" t="s">
        <v>2376</v>
      </c>
      <c r="AD431" s="20" t="s">
        <v>2376</v>
      </c>
      <c r="AE431" s="20" t="s">
        <v>2376</v>
      </c>
      <c r="AF431" s="20">
        <v>0</v>
      </c>
      <c r="AG431" s="20">
        <v>0</v>
      </c>
      <c r="AH431" s="20">
        <v>0</v>
      </c>
      <c r="AI431" s="20">
        <v>0</v>
      </c>
      <c r="AJ431" s="20">
        <v>0</v>
      </c>
      <c r="AK431" s="20" t="s">
        <v>609</v>
      </c>
      <c r="AL431" s="20">
        <v>0</v>
      </c>
      <c r="AM431" s="20">
        <v>0</v>
      </c>
      <c r="AN431" s="20">
        <v>0</v>
      </c>
      <c r="AO431" s="20">
        <v>0</v>
      </c>
      <c r="AP431" s="20">
        <v>0</v>
      </c>
      <c r="AR431" s="20">
        <v>0</v>
      </c>
      <c r="AS431" s="20">
        <v>0</v>
      </c>
      <c r="AT431" s="20">
        <v>1615516.8</v>
      </c>
      <c r="AU431" s="20" t="s">
        <v>13</v>
      </c>
      <c r="AV431" s="20" t="s">
        <v>99</v>
      </c>
      <c r="AW431" s="20" t="s">
        <v>100</v>
      </c>
      <c r="AX431" s="20" t="s">
        <v>208</v>
      </c>
      <c r="AZ431" s="20">
        <v>0</v>
      </c>
      <c r="BA431" s="20">
        <v>127697.26</v>
      </c>
      <c r="BB431" s="20">
        <v>1004</v>
      </c>
      <c r="BC431" s="20" t="s">
        <v>3341</v>
      </c>
      <c r="BD431" s="20" t="s">
        <v>65</v>
      </c>
      <c r="BE431" s="20" t="s">
        <v>210</v>
      </c>
      <c r="BF431" s="20" t="s">
        <v>210</v>
      </c>
      <c r="BG431" s="20">
        <v>2.5</v>
      </c>
      <c r="BH431" s="20">
        <v>3192.43</v>
      </c>
      <c r="BI431" s="20">
        <v>2.5</v>
      </c>
      <c r="BJ431" s="20">
        <v>3192.43</v>
      </c>
      <c r="BK431" s="20">
        <v>0</v>
      </c>
      <c r="BL431" s="20">
        <v>0</v>
      </c>
      <c r="BM431" s="20">
        <v>0</v>
      </c>
      <c r="BN431" s="20">
        <v>692153973119</v>
      </c>
      <c r="BO431" s="111">
        <v>46233</v>
      </c>
      <c r="BP431" s="20">
        <v>0</v>
      </c>
    </row>
    <row r="432" spans="2:68">
      <c r="B432" s="20" t="s">
        <v>2216</v>
      </c>
      <c r="C432" s="20" t="s">
        <v>3352</v>
      </c>
      <c r="D432" s="20" t="s">
        <v>3833</v>
      </c>
      <c r="E432" s="20" t="s">
        <v>2519</v>
      </c>
      <c r="F432" s="20" t="s">
        <v>2117</v>
      </c>
      <c r="H432" s="20" t="s">
        <v>3834</v>
      </c>
      <c r="I432" s="20">
        <v>46</v>
      </c>
      <c r="J432" s="20">
        <v>46</v>
      </c>
      <c r="K432" s="20" t="s">
        <v>11</v>
      </c>
      <c r="L432" s="20">
        <v>46</v>
      </c>
      <c r="M432" s="20">
        <v>0</v>
      </c>
      <c r="N432" s="20">
        <v>46</v>
      </c>
      <c r="O432" s="20" t="s">
        <v>2623</v>
      </c>
      <c r="P432" s="20" t="s">
        <v>87</v>
      </c>
      <c r="Q432" s="20" t="s">
        <v>87</v>
      </c>
      <c r="R432" s="20" t="s">
        <v>3355</v>
      </c>
      <c r="S432" s="20" t="s">
        <v>3341</v>
      </c>
      <c r="T432" s="20" t="s">
        <v>206</v>
      </c>
      <c r="U432" s="20" t="s">
        <v>207</v>
      </c>
      <c r="V432" s="20" t="s">
        <v>3354</v>
      </c>
      <c r="W432" s="20">
        <v>172.49</v>
      </c>
      <c r="X432" s="20">
        <v>172.49</v>
      </c>
      <c r="Y432" s="20" t="s">
        <v>3355</v>
      </c>
      <c r="Z432" s="20" t="s">
        <v>3341</v>
      </c>
      <c r="AB432" s="20" t="s">
        <v>2376</v>
      </c>
      <c r="AD432" s="20" t="s">
        <v>2376</v>
      </c>
      <c r="AE432" s="20" t="s">
        <v>2376</v>
      </c>
      <c r="AF432" s="20">
        <v>0</v>
      </c>
      <c r="AG432" s="20">
        <v>0</v>
      </c>
      <c r="AH432" s="20">
        <v>0</v>
      </c>
      <c r="AI432" s="20">
        <v>0</v>
      </c>
      <c r="AJ432" s="20">
        <v>0</v>
      </c>
      <c r="AK432" s="20" t="s">
        <v>609</v>
      </c>
      <c r="AL432" s="20">
        <v>0</v>
      </c>
      <c r="AM432" s="20">
        <v>0</v>
      </c>
      <c r="AN432" s="20">
        <v>0</v>
      </c>
      <c r="AO432" s="20">
        <v>0</v>
      </c>
      <c r="AP432" s="20">
        <v>0</v>
      </c>
      <c r="AR432" s="20">
        <v>0</v>
      </c>
      <c r="AS432" s="20">
        <v>0</v>
      </c>
      <c r="AT432" s="20">
        <v>292628.44</v>
      </c>
      <c r="AU432" s="20" t="s">
        <v>15</v>
      </c>
      <c r="AV432" s="20" t="s">
        <v>2117</v>
      </c>
      <c r="AW432" s="20" t="s">
        <v>2117</v>
      </c>
      <c r="AX432" s="20" t="s">
        <v>208</v>
      </c>
      <c r="AY432" s="20" t="s">
        <v>209</v>
      </c>
      <c r="AZ432" s="20">
        <v>0</v>
      </c>
      <c r="BA432" s="20">
        <v>7934.54</v>
      </c>
      <c r="BB432" s="20">
        <v>1010</v>
      </c>
      <c r="BC432" s="20" t="s">
        <v>3341</v>
      </c>
      <c r="BD432" s="20" t="s">
        <v>65</v>
      </c>
      <c r="BE432" s="20" t="s">
        <v>210</v>
      </c>
      <c r="BF432" s="20" t="s">
        <v>210</v>
      </c>
      <c r="BG432" s="20">
        <v>9</v>
      </c>
      <c r="BH432" s="20">
        <v>714.11</v>
      </c>
      <c r="BI432" s="20">
        <v>9</v>
      </c>
      <c r="BJ432" s="20">
        <v>714.11</v>
      </c>
      <c r="BK432" s="20">
        <v>0</v>
      </c>
      <c r="BL432" s="20">
        <v>0</v>
      </c>
      <c r="BM432" s="20">
        <v>292628.44</v>
      </c>
      <c r="BN432" s="20">
        <v>672154309474</v>
      </c>
      <c r="BO432" s="111">
        <v>46233</v>
      </c>
      <c r="BP432" s="20">
        <v>0</v>
      </c>
    </row>
    <row r="433" spans="2:68">
      <c r="B433" s="20" t="s">
        <v>2216</v>
      </c>
      <c r="C433" s="20" t="s">
        <v>3352</v>
      </c>
      <c r="D433" s="20" t="s">
        <v>3833</v>
      </c>
      <c r="E433" s="20" t="s">
        <v>2519</v>
      </c>
      <c r="F433" s="20" t="s">
        <v>2117</v>
      </c>
      <c r="H433" s="20" t="s">
        <v>3834</v>
      </c>
      <c r="I433" s="20">
        <v>1534</v>
      </c>
      <c r="J433" s="20">
        <v>1534</v>
      </c>
      <c r="K433" s="20" t="s">
        <v>11</v>
      </c>
      <c r="L433" s="20">
        <v>1534</v>
      </c>
      <c r="M433" s="20">
        <v>0</v>
      </c>
      <c r="N433" s="20">
        <v>1534</v>
      </c>
      <c r="O433" s="20" t="s">
        <v>2623</v>
      </c>
      <c r="P433" s="20" t="s">
        <v>87</v>
      </c>
      <c r="Q433" s="20" t="s">
        <v>87</v>
      </c>
      <c r="R433" s="20" t="s">
        <v>3355</v>
      </c>
      <c r="S433" s="20" t="s">
        <v>3341</v>
      </c>
      <c r="T433" s="20" t="s">
        <v>206</v>
      </c>
      <c r="U433" s="20" t="s">
        <v>207</v>
      </c>
      <c r="V433" s="20" t="s">
        <v>3354</v>
      </c>
      <c r="W433" s="20">
        <v>156.49</v>
      </c>
      <c r="X433" s="20">
        <v>156.49</v>
      </c>
      <c r="Y433" s="20" t="s">
        <v>3355</v>
      </c>
      <c r="Z433" s="20" t="s">
        <v>3341</v>
      </c>
      <c r="AB433" s="20" t="s">
        <v>2376</v>
      </c>
      <c r="AD433" s="20" t="s">
        <v>2376</v>
      </c>
      <c r="AE433" s="20" t="s">
        <v>2376</v>
      </c>
      <c r="AF433" s="20">
        <v>0</v>
      </c>
      <c r="AG433" s="20">
        <v>0</v>
      </c>
      <c r="AH433" s="20">
        <v>0</v>
      </c>
      <c r="AI433" s="20">
        <v>0</v>
      </c>
      <c r="AJ433" s="20">
        <v>0</v>
      </c>
      <c r="AK433" s="20" t="s">
        <v>609</v>
      </c>
      <c r="AL433" s="20">
        <v>0</v>
      </c>
      <c r="AM433" s="20">
        <v>0</v>
      </c>
      <c r="AN433" s="20">
        <v>0</v>
      </c>
      <c r="AO433" s="20">
        <v>0</v>
      </c>
      <c r="AP433" s="20">
        <v>0</v>
      </c>
      <c r="AR433" s="20">
        <v>0</v>
      </c>
      <c r="AS433" s="20">
        <v>0</v>
      </c>
      <c r="AT433" s="20">
        <v>292628.44</v>
      </c>
      <c r="AU433" s="20" t="s">
        <v>15</v>
      </c>
      <c r="AV433" s="20" t="s">
        <v>2117</v>
      </c>
      <c r="AW433" s="20" t="s">
        <v>2117</v>
      </c>
      <c r="AX433" s="20" t="s">
        <v>208</v>
      </c>
      <c r="AY433" s="20" t="s">
        <v>209</v>
      </c>
      <c r="AZ433" s="20">
        <v>0</v>
      </c>
      <c r="BA433" s="20">
        <v>240055.66</v>
      </c>
      <c r="BB433" s="20">
        <v>1010</v>
      </c>
      <c r="BC433" s="20" t="s">
        <v>3341</v>
      </c>
      <c r="BD433" s="20" t="s">
        <v>65</v>
      </c>
      <c r="BE433" s="20" t="s">
        <v>210</v>
      </c>
      <c r="BF433" s="20" t="s">
        <v>210</v>
      </c>
      <c r="BG433" s="20">
        <v>9</v>
      </c>
      <c r="BH433" s="20">
        <v>21605.01</v>
      </c>
      <c r="BI433" s="20">
        <v>9</v>
      </c>
      <c r="BJ433" s="20">
        <v>21605.01</v>
      </c>
      <c r="BK433" s="20">
        <v>0</v>
      </c>
      <c r="BL433" s="20">
        <v>0</v>
      </c>
      <c r="BM433" s="20">
        <v>0</v>
      </c>
      <c r="BN433" s="20">
        <v>672154309474</v>
      </c>
      <c r="BO433" s="111">
        <v>46233</v>
      </c>
      <c r="BP433" s="20">
        <v>0</v>
      </c>
    </row>
    <row r="434" spans="2:68">
      <c r="B434" s="20" t="s">
        <v>2216</v>
      </c>
      <c r="C434" s="20" t="s">
        <v>3352</v>
      </c>
      <c r="D434" s="20" t="s">
        <v>3835</v>
      </c>
      <c r="E434" s="20" t="s">
        <v>2519</v>
      </c>
      <c r="F434" s="20" t="s">
        <v>2117</v>
      </c>
      <c r="H434" s="20" t="s">
        <v>3836</v>
      </c>
      <c r="I434" s="20">
        <v>251</v>
      </c>
      <c r="J434" s="20">
        <v>251</v>
      </c>
      <c r="K434" s="20" t="s">
        <v>11</v>
      </c>
      <c r="L434" s="20">
        <v>251</v>
      </c>
      <c r="M434" s="20">
        <v>0</v>
      </c>
      <c r="N434" s="20">
        <v>251</v>
      </c>
      <c r="O434" s="20" t="s">
        <v>2203</v>
      </c>
      <c r="P434" s="20" t="s">
        <v>87</v>
      </c>
      <c r="Q434" s="20" t="s">
        <v>87</v>
      </c>
      <c r="R434" s="20" t="s">
        <v>3357</v>
      </c>
      <c r="S434" s="20" t="s">
        <v>3352</v>
      </c>
      <c r="T434" s="20" t="s">
        <v>206</v>
      </c>
      <c r="U434" s="20" t="s">
        <v>207</v>
      </c>
      <c r="V434" s="20" t="s">
        <v>3356</v>
      </c>
      <c r="W434" s="20">
        <v>156.49</v>
      </c>
      <c r="X434" s="20">
        <v>156.48981980334801</v>
      </c>
      <c r="Y434" s="20" t="s">
        <v>3357</v>
      </c>
      <c r="Z434" s="20" t="s">
        <v>3352</v>
      </c>
      <c r="AB434" s="20" t="s">
        <v>2376</v>
      </c>
      <c r="AD434" s="20" t="s">
        <v>2376</v>
      </c>
      <c r="AE434" s="20" t="s">
        <v>2376</v>
      </c>
      <c r="AF434" s="20">
        <v>0</v>
      </c>
      <c r="AG434" s="20">
        <v>0</v>
      </c>
      <c r="AH434" s="20">
        <v>0</v>
      </c>
      <c r="AI434" s="20">
        <v>0</v>
      </c>
      <c r="AJ434" s="20">
        <v>0</v>
      </c>
      <c r="AK434" s="20" t="s">
        <v>609</v>
      </c>
      <c r="AL434" s="20">
        <v>0</v>
      </c>
      <c r="AM434" s="20">
        <v>0</v>
      </c>
      <c r="AN434" s="20">
        <v>0</v>
      </c>
      <c r="AO434" s="20">
        <v>0</v>
      </c>
      <c r="AP434" s="20">
        <v>0</v>
      </c>
      <c r="AR434" s="20">
        <v>0</v>
      </c>
      <c r="AS434" s="20">
        <v>0</v>
      </c>
      <c r="AT434" s="20">
        <v>1546516.36</v>
      </c>
      <c r="AU434" s="20" t="s">
        <v>15</v>
      </c>
      <c r="AV434" s="20" t="s">
        <v>2117</v>
      </c>
      <c r="AW434" s="20" t="s">
        <v>2117</v>
      </c>
      <c r="AX434" s="20" t="s">
        <v>208</v>
      </c>
      <c r="AY434" s="20" t="s">
        <v>209</v>
      </c>
      <c r="AZ434" s="20">
        <v>0</v>
      </c>
      <c r="BA434" s="20">
        <v>39278.94</v>
      </c>
      <c r="BB434" s="20">
        <v>1016</v>
      </c>
      <c r="BC434" s="20" t="s">
        <v>3352</v>
      </c>
      <c r="BD434" s="20" t="s">
        <v>65</v>
      </c>
      <c r="BE434" s="20" t="s">
        <v>210</v>
      </c>
      <c r="BF434" s="20" t="s">
        <v>210</v>
      </c>
      <c r="BG434" s="20">
        <v>9</v>
      </c>
      <c r="BH434" s="20">
        <v>3535.11</v>
      </c>
      <c r="BI434" s="20">
        <v>9</v>
      </c>
      <c r="BJ434" s="20">
        <v>3535.11</v>
      </c>
      <c r="BK434" s="20">
        <v>0</v>
      </c>
      <c r="BL434" s="20">
        <v>0</v>
      </c>
      <c r="BM434" s="20">
        <v>1546516.36</v>
      </c>
      <c r="BN434" s="20">
        <v>632154794636</v>
      </c>
      <c r="BO434" s="111">
        <v>46234</v>
      </c>
      <c r="BP434" s="20">
        <v>0</v>
      </c>
    </row>
    <row r="435" spans="2:68">
      <c r="B435" s="20" t="s">
        <v>2216</v>
      </c>
      <c r="C435" s="20" t="s">
        <v>3352</v>
      </c>
      <c r="D435" s="20" t="s">
        <v>3835</v>
      </c>
      <c r="E435" s="20" t="s">
        <v>855</v>
      </c>
      <c r="F435" s="20" t="s">
        <v>778</v>
      </c>
      <c r="H435" s="20" t="s">
        <v>3836</v>
      </c>
      <c r="I435" s="20">
        <v>20400</v>
      </c>
      <c r="J435" s="20">
        <v>20400</v>
      </c>
      <c r="K435" s="20" t="s">
        <v>1</v>
      </c>
      <c r="L435" s="20">
        <v>20400</v>
      </c>
      <c r="M435" s="20">
        <v>0</v>
      </c>
      <c r="N435" s="20">
        <v>20400</v>
      </c>
      <c r="O435" s="20" t="s">
        <v>2203</v>
      </c>
      <c r="P435" s="20" t="s">
        <v>87</v>
      </c>
      <c r="Q435" s="20" t="s">
        <v>87</v>
      </c>
      <c r="R435" s="20" t="s">
        <v>3357</v>
      </c>
      <c r="S435" s="20" t="s">
        <v>3352</v>
      </c>
      <c r="T435" s="20" t="s">
        <v>206</v>
      </c>
      <c r="U435" s="20" t="s">
        <v>207</v>
      </c>
      <c r="V435" s="20" t="s">
        <v>3356</v>
      </c>
      <c r="W435" s="20">
        <v>3.36</v>
      </c>
      <c r="X435" s="20">
        <v>3.3599961309939799</v>
      </c>
      <c r="Y435" s="20" t="s">
        <v>3357</v>
      </c>
      <c r="Z435" s="20" t="s">
        <v>3352</v>
      </c>
      <c r="AB435" s="20" t="s">
        <v>2376</v>
      </c>
      <c r="AD435" s="20" t="s">
        <v>2376</v>
      </c>
      <c r="AE435" s="20" t="s">
        <v>2376</v>
      </c>
      <c r="AF435" s="20">
        <v>0</v>
      </c>
      <c r="AG435" s="20">
        <v>0</v>
      </c>
      <c r="AH435" s="20">
        <v>0</v>
      </c>
      <c r="AI435" s="20">
        <v>0</v>
      </c>
      <c r="AJ435" s="20">
        <v>0</v>
      </c>
      <c r="AK435" s="20" t="s">
        <v>609</v>
      </c>
      <c r="AL435" s="20">
        <v>0</v>
      </c>
      <c r="AM435" s="20">
        <v>0</v>
      </c>
      <c r="AN435" s="20">
        <v>0</v>
      </c>
      <c r="AO435" s="20">
        <v>0</v>
      </c>
      <c r="AP435" s="20">
        <v>0</v>
      </c>
      <c r="AR435" s="20">
        <v>0</v>
      </c>
      <c r="AS435" s="20">
        <v>0</v>
      </c>
      <c r="AT435" s="20">
        <v>1546516.36</v>
      </c>
      <c r="AU435" s="20" t="s">
        <v>8</v>
      </c>
      <c r="AV435" s="20" t="s">
        <v>659</v>
      </c>
      <c r="AW435" s="20" t="s">
        <v>659</v>
      </c>
      <c r="AX435" s="20" t="s">
        <v>208</v>
      </c>
      <c r="AY435" s="20" t="s">
        <v>856</v>
      </c>
      <c r="AZ435" s="20">
        <v>0</v>
      </c>
      <c r="BA435" s="20">
        <v>68543.92</v>
      </c>
      <c r="BB435" s="20">
        <v>1016</v>
      </c>
      <c r="BC435" s="20" t="s">
        <v>3352</v>
      </c>
      <c r="BD435" s="20" t="s">
        <v>65</v>
      </c>
      <c r="BE435" s="20" t="s">
        <v>210</v>
      </c>
      <c r="BF435" s="20" t="s">
        <v>210</v>
      </c>
      <c r="BG435" s="20">
        <v>9</v>
      </c>
      <c r="BH435" s="20">
        <v>6168.96</v>
      </c>
      <c r="BI435" s="20">
        <v>9</v>
      </c>
      <c r="BJ435" s="20">
        <v>6168.96</v>
      </c>
      <c r="BK435" s="20">
        <v>0</v>
      </c>
      <c r="BL435" s="20">
        <v>0</v>
      </c>
      <c r="BM435" s="20">
        <v>0</v>
      </c>
      <c r="BN435" s="20">
        <v>632154794636</v>
      </c>
      <c r="BO435" s="111">
        <v>46234</v>
      </c>
      <c r="BP435" s="20">
        <v>0</v>
      </c>
    </row>
    <row r="436" spans="2:68">
      <c r="B436" s="20" t="s">
        <v>2216</v>
      </c>
      <c r="C436" s="20" t="s">
        <v>3352</v>
      </c>
      <c r="D436" s="20" t="s">
        <v>3835</v>
      </c>
      <c r="E436" s="20" t="s">
        <v>3822</v>
      </c>
      <c r="F436" s="20" t="s">
        <v>17</v>
      </c>
      <c r="H436" s="20" t="s">
        <v>3836</v>
      </c>
      <c r="I436" s="20">
        <v>1136.26</v>
      </c>
      <c r="J436" s="20">
        <v>1136.26</v>
      </c>
      <c r="K436" s="20" t="s">
        <v>11</v>
      </c>
      <c r="L436" s="20">
        <v>1136.26</v>
      </c>
      <c r="M436" s="20">
        <v>0</v>
      </c>
      <c r="N436" s="20">
        <v>1136.26</v>
      </c>
      <c r="O436" s="20" t="s">
        <v>2203</v>
      </c>
      <c r="P436" s="20" t="s">
        <v>87</v>
      </c>
      <c r="Q436" s="20" t="s">
        <v>87</v>
      </c>
      <c r="R436" s="20" t="s">
        <v>3357</v>
      </c>
      <c r="S436" s="20" t="s">
        <v>3352</v>
      </c>
      <c r="T436" s="20" t="s">
        <v>206</v>
      </c>
      <c r="U436" s="20" t="s">
        <v>207</v>
      </c>
      <c r="V436" s="20" t="s">
        <v>3356</v>
      </c>
      <c r="W436" s="20">
        <v>182.78</v>
      </c>
      <c r="X436" s="20">
        <v>182.77978953067799</v>
      </c>
      <c r="Y436" s="20" t="s">
        <v>3357</v>
      </c>
      <c r="Z436" s="20" t="s">
        <v>3352</v>
      </c>
      <c r="AB436" s="20" t="s">
        <v>2376</v>
      </c>
      <c r="AD436" s="20" t="s">
        <v>2376</v>
      </c>
      <c r="AE436" s="20" t="s">
        <v>2376</v>
      </c>
      <c r="AF436" s="20">
        <v>0</v>
      </c>
      <c r="AG436" s="20">
        <v>0</v>
      </c>
      <c r="AH436" s="20">
        <v>0</v>
      </c>
      <c r="AI436" s="20">
        <v>0</v>
      </c>
      <c r="AJ436" s="20">
        <v>0</v>
      </c>
      <c r="AK436" s="20" t="s">
        <v>609</v>
      </c>
      <c r="AL436" s="20">
        <v>0</v>
      </c>
      <c r="AM436" s="20">
        <v>0</v>
      </c>
      <c r="AN436" s="20">
        <v>0</v>
      </c>
      <c r="AO436" s="20">
        <v>0</v>
      </c>
      <c r="AP436" s="20">
        <v>0</v>
      </c>
      <c r="AR436" s="20">
        <v>0</v>
      </c>
      <c r="AS436" s="20">
        <v>0</v>
      </c>
      <c r="AT436" s="20">
        <v>1546516.36</v>
      </c>
      <c r="AU436" s="20" t="s">
        <v>13</v>
      </c>
      <c r="AV436" s="20" t="s">
        <v>80</v>
      </c>
      <c r="AW436" s="20" t="s">
        <v>81</v>
      </c>
      <c r="AX436" s="20" t="s">
        <v>208</v>
      </c>
      <c r="AY436" s="20" t="s">
        <v>209</v>
      </c>
      <c r="AZ436" s="20">
        <v>0</v>
      </c>
      <c r="BA436" s="20">
        <v>207685.36</v>
      </c>
      <c r="BB436" s="20">
        <v>1016</v>
      </c>
      <c r="BC436" s="20" t="s">
        <v>3352</v>
      </c>
      <c r="BD436" s="20" t="s">
        <v>65</v>
      </c>
      <c r="BE436" s="20" t="s">
        <v>210</v>
      </c>
      <c r="BF436" s="20" t="s">
        <v>210</v>
      </c>
      <c r="BG436" s="20">
        <v>9</v>
      </c>
      <c r="BH436" s="20">
        <v>18691.7</v>
      </c>
      <c r="BI436" s="20">
        <v>9</v>
      </c>
      <c r="BJ436" s="20">
        <v>18691.7</v>
      </c>
      <c r="BK436" s="20">
        <v>0</v>
      </c>
      <c r="BL436" s="20">
        <v>0</v>
      </c>
      <c r="BM436" s="20">
        <v>0</v>
      </c>
      <c r="BN436" s="20">
        <v>632154794636</v>
      </c>
      <c r="BO436" s="111">
        <v>46234</v>
      </c>
      <c r="BP436" s="20">
        <v>0</v>
      </c>
    </row>
    <row r="437" spans="2:68">
      <c r="B437" s="20" t="s">
        <v>2216</v>
      </c>
      <c r="C437" s="20" t="s">
        <v>3352</v>
      </c>
      <c r="D437" s="20" t="s">
        <v>3835</v>
      </c>
      <c r="E437" s="20" t="s">
        <v>18</v>
      </c>
      <c r="F437" s="20" t="s">
        <v>19</v>
      </c>
      <c r="H437" s="20" t="s">
        <v>3836</v>
      </c>
      <c r="I437" s="20">
        <v>663</v>
      </c>
      <c r="J437" s="20">
        <v>663</v>
      </c>
      <c r="K437" s="20" t="s">
        <v>11</v>
      </c>
      <c r="L437" s="20">
        <v>663</v>
      </c>
      <c r="M437" s="20">
        <v>0</v>
      </c>
      <c r="N437" s="20">
        <v>663</v>
      </c>
      <c r="O437" s="20" t="s">
        <v>2203</v>
      </c>
      <c r="P437" s="20" t="s">
        <v>87</v>
      </c>
      <c r="Q437" s="20" t="s">
        <v>87</v>
      </c>
      <c r="R437" s="20" t="s">
        <v>3357</v>
      </c>
      <c r="S437" s="20" t="s">
        <v>3352</v>
      </c>
      <c r="T437" s="20" t="s">
        <v>206</v>
      </c>
      <c r="U437" s="20" t="s">
        <v>207</v>
      </c>
      <c r="V437" s="20" t="s">
        <v>3356</v>
      </c>
      <c r="W437" s="20">
        <v>146.49</v>
      </c>
      <c r="X437" s="20">
        <v>146.48983131824599</v>
      </c>
      <c r="Y437" s="20" t="s">
        <v>3357</v>
      </c>
      <c r="Z437" s="20" t="s">
        <v>3352</v>
      </c>
      <c r="AB437" s="20" t="s">
        <v>2376</v>
      </c>
      <c r="AD437" s="20" t="s">
        <v>2376</v>
      </c>
      <c r="AE437" s="20" t="s">
        <v>2376</v>
      </c>
      <c r="AF437" s="20">
        <v>0</v>
      </c>
      <c r="AG437" s="20">
        <v>0</v>
      </c>
      <c r="AH437" s="20">
        <v>0</v>
      </c>
      <c r="AI437" s="20">
        <v>0</v>
      </c>
      <c r="AJ437" s="20">
        <v>0</v>
      </c>
      <c r="AK437" s="20" t="s">
        <v>609</v>
      </c>
      <c r="AL437" s="20">
        <v>0</v>
      </c>
      <c r="AM437" s="20">
        <v>0</v>
      </c>
      <c r="AN437" s="20">
        <v>0</v>
      </c>
      <c r="AO437" s="20">
        <v>0</v>
      </c>
      <c r="AP437" s="20">
        <v>0</v>
      </c>
      <c r="AR437" s="20">
        <v>0</v>
      </c>
      <c r="AS437" s="20">
        <v>0</v>
      </c>
      <c r="AT437" s="20">
        <v>1546516.36</v>
      </c>
      <c r="AU437" s="20" t="s">
        <v>13</v>
      </c>
      <c r="AV437" s="20" t="s">
        <v>62</v>
      </c>
      <c r="AW437" s="20" t="s">
        <v>63</v>
      </c>
      <c r="AX437" s="20" t="s">
        <v>208</v>
      </c>
      <c r="AY437" s="20" t="s">
        <v>209</v>
      </c>
      <c r="AZ437" s="20">
        <v>0</v>
      </c>
      <c r="BA437" s="20">
        <v>97122.76</v>
      </c>
      <c r="BB437" s="20">
        <v>1016</v>
      </c>
      <c r="BC437" s="20" t="s">
        <v>3352</v>
      </c>
      <c r="BD437" s="20" t="s">
        <v>65</v>
      </c>
      <c r="BE437" s="20" t="s">
        <v>210</v>
      </c>
      <c r="BF437" s="20" t="s">
        <v>210</v>
      </c>
      <c r="BG437" s="20">
        <v>9</v>
      </c>
      <c r="BH437" s="20">
        <v>8741.06</v>
      </c>
      <c r="BI437" s="20">
        <v>9</v>
      </c>
      <c r="BJ437" s="20">
        <v>8741.06</v>
      </c>
      <c r="BK437" s="20">
        <v>0</v>
      </c>
      <c r="BL437" s="20">
        <v>0</v>
      </c>
      <c r="BM437" s="20">
        <v>0</v>
      </c>
      <c r="BN437" s="20">
        <v>632154794636</v>
      </c>
      <c r="BO437" s="111">
        <v>46234</v>
      </c>
      <c r="BP437" s="20">
        <v>0</v>
      </c>
    </row>
    <row r="438" spans="2:68">
      <c r="B438" s="20" t="s">
        <v>2216</v>
      </c>
      <c r="C438" s="20" t="s">
        <v>3352</v>
      </c>
      <c r="D438" s="20" t="s">
        <v>3835</v>
      </c>
      <c r="E438" s="20" t="s">
        <v>18</v>
      </c>
      <c r="F438" s="20" t="s">
        <v>19</v>
      </c>
      <c r="H438" s="20" t="s">
        <v>3836</v>
      </c>
      <c r="I438" s="20">
        <v>565</v>
      </c>
      <c r="J438" s="20">
        <v>565</v>
      </c>
      <c r="K438" s="20" t="s">
        <v>11</v>
      </c>
      <c r="L438" s="20">
        <v>565</v>
      </c>
      <c r="M438" s="20">
        <v>0</v>
      </c>
      <c r="N438" s="20">
        <v>565</v>
      </c>
      <c r="O438" s="20" t="s">
        <v>2203</v>
      </c>
      <c r="P438" s="20" t="s">
        <v>87</v>
      </c>
      <c r="Q438" s="20" t="s">
        <v>87</v>
      </c>
      <c r="R438" s="20" t="s">
        <v>3357</v>
      </c>
      <c r="S438" s="20" t="s">
        <v>3352</v>
      </c>
      <c r="T438" s="20" t="s">
        <v>206</v>
      </c>
      <c r="U438" s="20" t="s">
        <v>207</v>
      </c>
      <c r="V438" s="20" t="s">
        <v>3356</v>
      </c>
      <c r="W438" s="20">
        <v>144.49</v>
      </c>
      <c r="X438" s="20">
        <v>144.48983362122601</v>
      </c>
      <c r="Y438" s="20" t="s">
        <v>3357</v>
      </c>
      <c r="Z438" s="20" t="s">
        <v>3352</v>
      </c>
      <c r="AB438" s="20" t="s">
        <v>2376</v>
      </c>
      <c r="AD438" s="20" t="s">
        <v>2376</v>
      </c>
      <c r="AE438" s="20" t="s">
        <v>2376</v>
      </c>
      <c r="AF438" s="20">
        <v>0</v>
      </c>
      <c r="AG438" s="20">
        <v>0</v>
      </c>
      <c r="AH438" s="20">
        <v>0</v>
      </c>
      <c r="AI438" s="20">
        <v>0</v>
      </c>
      <c r="AJ438" s="20">
        <v>0</v>
      </c>
      <c r="AK438" s="20" t="s">
        <v>609</v>
      </c>
      <c r="AL438" s="20">
        <v>0</v>
      </c>
      <c r="AM438" s="20">
        <v>0</v>
      </c>
      <c r="AN438" s="20">
        <v>0</v>
      </c>
      <c r="AO438" s="20">
        <v>0</v>
      </c>
      <c r="AP438" s="20">
        <v>0</v>
      </c>
      <c r="AR438" s="20">
        <v>0</v>
      </c>
      <c r="AS438" s="20">
        <v>0</v>
      </c>
      <c r="AT438" s="20">
        <v>1546516.36</v>
      </c>
      <c r="AU438" s="20" t="s">
        <v>13</v>
      </c>
      <c r="AV438" s="20" t="s">
        <v>62</v>
      </c>
      <c r="AW438" s="20" t="s">
        <v>63</v>
      </c>
      <c r="AX438" s="20" t="s">
        <v>208</v>
      </c>
      <c r="AY438" s="20" t="s">
        <v>209</v>
      </c>
      <c r="AZ438" s="20">
        <v>0</v>
      </c>
      <c r="BA438" s="20">
        <v>81636.759999999995</v>
      </c>
      <c r="BB438" s="20">
        <v>1016</v>
      </c>
      <c r="BC438" s="20" t="s">
        <v>3352</v>
      </c>
      <c r="BD438" s="20" t="s">
        <v>65</v>
      </c>
      <c r="BE438" s="20" t="s">
        <v>210</v>
      </c>
      <c r="BF438" s="20" t="s">
        <v>210</v>
      </c>
      <c r="BG438" s="20">
        <v>9</v>
      </c>
      <c r="BH438" s="20">
        <v>7347.32</v>
      </c>
      <c r="BI438" s="20">
        <v>9</v>
      </c>
      <c r="BJ438" s="20">
        <v>7347.32</v>
      </c>
      <c r="BK438" s="20">
        <v>0</v>
      </c>
      <c r="BL438" s="20">
        <v>0</v>
      </c>
      <c r="BM438" s="20">
        <v>0</v>
      </c>
      <c r="BN438" s="20">
        <v>632154794636</v>
      </c>
      <c r="BO438" s="111">
        <v>46234</v>
      </c>
      <c r="BP438" s="20">
        <v>0</v>
      </c>
    </row>
    <row r="439" spans="2:68">
      <c r="B439" s="20" t="s">
        <v>2216</v>
      </c>
      <c r="C439" s="20" t="s">
        <v>3352</v>
      </c>
      <c r="D439" s="20" t="s">
        <v>3835</v>
      </c>
      <c r="E439" s="20" t="s">
        <v>23</v>
      </c>
      <c r="F439" s="20" t="s">
        <v>24</v>
      </c>
      <c r="H439" s="20" t="s">
        <v>3836</v>
      </c>
      <c r="I439" s="20">
        <v>1044.0999999999999</v>
      </c>
      <c r="J439" s="20">
        <v>1044.0999999999999</v>
      </c>
      <c r="K439" s="20" t="s">
        <v>11</v>
      </c>
      <c r="L439" s="20">
        <v>1044.0999999999999</v>
      </c>
      <c r="M439" s="20">
        <v>0</v>
      </c>
      <c r="N439" s="20">
        <v>1044.0999999999999</v>
      </c>
      <c r="O439" s="20" t="s">
        <v>2203</v>
      </c>
      <c r="P439" s="20" t="s">
        <v>87</v>
      </c>
      <c r="Q439" s="20" t="s">
        <v>87</v>
      </c>
      <c r="R439" s="20" t="s">
        <v>3357</v>
      </c>
      <c r="S439" s="20" t="s">
        <v>3352</v>
      </c>
      <c r="T439" s="20" t="s">
        <v>206</v>
      </c>
      <c r="U439" s="20" t="s">
        <v>207</v>
      </c>
      <c r="V439" s="20" t="s">
        <v>3356</v>
      </c>
      <c r="W439" s="20">
        <v>149.49</v>
      </c>
      <c r="X439" s="20">
        <v>149.48982786377701</v>
      </c>
      <c r="Y439" s="20" t="s">
        <v>3357</v>
      </c>
      <c r="Z439" s="20" t="s">
        <v>3352</v>
      </c>
      <c r="AB439" s="20" t="s">
        <v>2376</v>
      </c>
      <c r="AD439" s="20" t="s">
        <v>2376</v>
      </c>
      <c r="AE439" s="20" t="s">
        <v>2376</v>
      </c>
      <c r="AF439" s="20">
        <v>0</v>
      </c>
      <c r="AG439" s="20">
        <v>0</v>
      </c>
      <c r="AH439" s="20">
        <v>0</v>
      </c>
      <c r="AI439" s="20">
        <v>0</v>
      </c>
      <c r="AJ439" s="20">
        <v>0</v>
      </c>
      <c r="AK439" s="20" t="s">
        <v>609</v>
      </c>
      <c r="AL439" s="20">
        <v>0</v>
      </c>
      <c r="AM439" s="20">
        <v>0</v>
      </c>
      <c r="AN439" s="20">
        <v>0</v>
      </c>
      <c r="AO439" s="20">
        <v>0</v>
      </c>
      <c r="AP439" s="20">
        <v>0</v>
      </c>
      <c r="AR439" s="20">
        <v>0</v>
      </c>
      <c r="AS439" s="20">
        <v>0</v>
      </c>
      <c r="AT439" s="20">
        <v>1546516.36</v>
      </c>
      <c r="AU439" s="20" t="s">
        <v>13</v>
      </c>
      <c r="AV439" s="20" t="s">
        <v>24</v>
      </c>
      <c r="AW439" s="20" t="s">
        <v>79</v>
      </c>
      <c r="AX439" s="20" t="s">
        <v>208</v>
      </c>
      <c r="AY439" s="20" t="s">
        <v>209</v>
      </c>
      <c r="AZ439" s="20">
        <v>0</v>
      </c>
      <c r="BA439" s="20">
        <v>156082.32999999999</v>
      </c>
      <c r="BB439" s="20">
        <v>1016</v>
      </c>
      <c r="BC439" s="20" t="s">
        <v>3352</v>
      </c>
      <c r="BD439" s="20" t="s">
        <v>65</v>
      </c>
      <c r="BE439" s="20" t="s">
        <v>210</v>
      </c>
      <c r="BF439" s="20" t="s">
        <v>210</v>
      </c>
      <c r="BG439" s="20">
        <v>9</v>
      </c>
      <c r="BH439" s="20">
        <v>14047.43</v>
      </c>
      <c r="BI439" s="20">
        <v>9</v>
      </c>
      <c r="BJ439" s="20">
        <v>14047.43</v>
      </c>
      <c r="BK439" s="20">
        <v>0</v>
      </c>
      <c r="BL439" s="20">
        <v>0</v>
      </c>
      <c r="BM439" s="20">
        <v>0</v>
      </c>
      <c r="BN439" s="20">
        <v>632154794636</v>
      </c>
      <c r="BO439" s="111">
        <v>46234</v>
      </c>
      <c r="BP439" s="20">
        <v>0</v>
      </c>
    </row>
    <row r="440" spans="2:68">
      <c r="B440" s="20" t="s">
        <v>2216</v>
      </c>
      <c r="C440" s="20" t="s">
        <v>3352</v>
      </c>
      <c r="D440" s="20" t="s">
        <v>3835</v>
      </c>
      <c r="E440" s="20" t="s">
        <v>23</v>
      </c>
      <c r="F440" s="20" t="s">
        <v>24</v>
      </c>
      <c r="H440" s="20" t="s">
        <v>3836</v>
      </c>
      <c r="I440" s="20">
        <v>753.1</v>
      </c>
      <c r="J440" s="20">
        <v>753.1</v>
      </c>
      <c r="K440" s="20" t="s">
        <v>11</v>
      </c>
      <c r="L440" s="20">
        <v>753.1</v>
      </c>
      <c r="M440" s="20">
        <v>0</v>
      </c>
      <c r="N440" s="20">
        <v>753.1</v>
      </c>
      <c r="O440" s="20" t="s">
        <v>2203</v>
      </c>
      <c r="P440" s="20" t="s">
        <v>87</v>
      </c>
      <c r="Q440" s="20" t="s">
        <v>87</v>
      </c>
      <c r="R440" s="20" t="s">
        <v>3357</v>
      </c>
      <c r="S440" s="20" t="s">
        <v>3352</v>
      </c>
      <c r="T440" s="20" t="s">
        <v>206</v>
      </c>
      <c r="U440" s="20" t="s">
        <v>207</v>
      </c>
      <c r="V440" s="20" t="s">
        <v>3356</v>
      </c>
      <c r="W440" s="20">
        <v>146.49</v>
      </c>
      <c r="X440" s="20">
        <v>146.48983131824599</v>
      </c>
      <c r="Y440" s="20" t="s">
        <v>3357</v>
      </c>
      <c r="Z440" s="20" t="s">
        <v>3352</v>
      </c>
      <c r="AB440" s="20" t="s">
        <v>2376</v>
      </c>
      <c r="AD440" s="20" t="s">
        <v>2376</v>
      </c>
      <c r="AE440" s="20" t="s">
        <v>2376</v>
      </c>
      <c r="AF440" s="20">
        <v>0</v>
      </c>
      <c r="AG440" s="20">
        <v>0</v>
      </c>
      <c r="AH440" s="20">
        <v>0</v>
      </c>
      <c r="AI440" s="20">
        <v>0</v>
      </c>
      <c r="AJ440" s="20">
        <v>0</v>
      </c>
      <c r="AK440" s="20" t="s">
        <v>609</v>
      </c>
      <c r="AL440" s="20">
        <v>0</v>
      </c>
      <c r="AM440" s="20">
        <v>0</v>
      </c>
      <c r="AN440" s="20">
        <v>0</v>
      </c>
      <c r="AO440" s="20">
        <v>0</v>
      </c>
      <c r="AP440" s="20">
        <v>0</v>
      </c>
      <c r="AR440" s="20">
        <v>0</v>
      </c>
      <c r="AS440" s="20">
        <v>0</v>
      </c>
      <c r="AT440" s="20">
        <v>1546516.36</v>
      </c>
      <c r="AU440" s="20" t="s">
        <v>13</v>
      </c>
      <c r="AV440" s="20" t="s">
        <v>24</v>
      </c>
      <c r="AW440" s="20" t="s">
        <v>79</v>
      </c>
      <c r="AX440" s="20" t="s">
        <v>208</v>
      </c>
      <c r="AY440" s="20" t="s">
        <v>209</v>
      </c>
      <c r="AZ440" s="20">
        <v>0</v>
      </c>
      <c r="BA440" s="20">
        <v>110321.49</v>
      </c>
      <c r="BB440" s="20">
        <v>1016</v>
      </c>
      <c r="BC440" s="20" t="s">
        <v>3352</v>
      </c>
      <c r="BD440" s="20" t="s">
        <v>65</v>
      </c>
      <c r="BE440" s="20" t="s">
        <v>210</v>
      </c>
      <c r="BF440" s="20" t="s">
        <v>210</v>
      </c>
      <c r="BG440" s="20">
        <v>9</v>
      </c>
      <c r="BH440" s="20">
        <v>9928.9500000000007</v>
      </c>
      <c r="BI440" s="20">
        <v>9</v>
      </c>
      <c r="BJ440" s="20">
        <v>9928.9500000000007</v>
      </c>
      <c r="BK440" s="20">
        <v>0</v>
      </c>
      <c r="BL440" s="20">
        <v>0</v>
      </c>
      <c r="BM440" s="20">
        <v>0</v>
      </c>
      <c r="BN440" s="20">
        <v>632154794636</v>
      </c>
      <c r="BO440" s="111">
        <v>46234</v>
      </c>
      <c r="BP440" s="20">
        <v>0</v>
      </c>
    </row>
    <row r="441" spans="2:68">
      <c r="B441" s="20" t="s">
        <v>2216</v>
      </c>
      <c r="C441" s="20" t="s">
        <v>3352</v>
      </c>
      <c r="D441" s="20" t="s">
        <v>3835</v>
      </c>
      <c r="E441" s="20" t="s">
        <v>20</v>
      </c>
      <c r="F441" s="20" t="s">
        <v>21</v>
      </c>
      <c r="H441" s="20" t="s">
        <v>3836</v>
      </c>
      <c r="I441" s="20">
        <v>1012</v>
      </c>
      <c r="J441" s="20">
        <v>1012</v>
      </c>
      <c r="K441" s="20" t="s">
        <v>11</v>
      </c>
      <c r="L441" s="20">
        <v>1012</v>
      </c>
      <c r="M441" s="20">
        <v>0</v>
      </c>
      <c r="N441" s="20">
        <v>1012</v>
      </c>
      <c r="O441" s="20" t="s">
        <v>2203</v>
      </c>
      <c r="P441" s="20" t="s">
        <v>87</v>
      </c>
      <c r="Q441" s="20" t="s">
        <v>87</v>
      </c>
      <c r="R441" s="20" t="s">
        <v>3357</v>
      </c>
      <c r="S441" s="20" t="s">
        <v>3352</v>
      </c>
      <c r="T441" s="20" t="s">
        <v>206</v>
      </c>
      <c r="U441" s="20" t="s">
        <v>207</v>
      </c>
      <c r="V441" s="20" t="s">
        <v>3356</v>
      </c>
      <c r="W441" s="20">
        <v>148.49</v>
      </c>
      <c r="X441" s="20">
        <v>148.48982901526699</v>
      </c>
      <c r="Y441" s="20" t="s">
        <v>3357</v>
      </c>
      <c r="Z441" s="20" t="s">
        <v>3352</v>
      </c>
      <c r="AB441" s="20" t="s">
        <v>2376</v>
      </c>
      <c r="AD441" s="20" t="s">
        <v>2376</v>
      </c>
      <c r="AE441" s="20" t="s">
        <v>2376</v>
      </c>
      <c r="AF441" s="20">
        <v>0</v>
      </c>
      <c r="AG441" s="20">
        <v>0</v>
      </c>
      <c r="AH441" s="20">
        <v>0</v>
      </c>
      <c r="AI441" s="20">
        <v>0</v>
      </c>
      <c r="AJ441" s="20">
        <v>0</v>
      </c>
      <c r="AK441" s="20" t="s">
        <v>609</v>
      </c>
      <c r="AL441" s="20">
        <v>0</v>
      </c>
      <c r="AM441" s="20">
        <v>0</v>
      </c>
      <c r="AN441" s="20">
        <v>0</v>
      </c>
      <c r="AO441" s="20">
        <v>0</v>
      </c>
      <c r="AP441" s="20">
        <v>0</v>
      </c>
      <c r="AR441" s="20">
        <v>0</v>
      </c>
      <c r="AS441" s="20">
        <v>0</v>
      </c>
      <c r="AT441" s="20">
        <v>1546516.36</v>
      </c>
      <c r="AU441" s="20" t="s">
        <v>13</v>
      </c>
      <c r="AV441" s="20" t="s">
        <v>62</v>
      </c>
      <c r="AW441" s="20" t="s">
        <v>76</v>
      </c>
      <c r="AX441" s="20" t="s">
        <v>208</v>
      </c>
      <c r="AY441" s="20" t="s">
        <v>209</v>
      </c>
      <c r="AZ441" s="20">
        <v>0</v>
      </c>
      <c r="BA441" s="20">
        <v>150271.71</v>
      </c>
      <c r="BB441" s="20">
        <v>1016</v>
      </c>
      <c r="BC441" s="20" t="s">
        <v>3352</v>
      </c>
      <c r="BD441" s="20" t="s">
        <v>65</v>
      </c>
      <c r="BE441" s="20" t="s">
        <v>210</v>
      </c>
      <c r="BF441" s="20" t="s">
        <v>210</v>
      </c>
      <c r="BG441" s="20">
        <v>9</v>
      </c>
      <c r="BH441" s="20">
        <v>13524.47</v>
      </c>
      <c r="BI441" s="20">
        <v>9</v>
      </c>
      <c r="BJ441" s="20">
        <v>13524.47</v>
      </c>
      <c r="BK441" s="20">
        <v>0</v>
      </c>
      <c r="BL441" s="20">
        <v>0</v>
      </c>
      <c r="BM441" s="20">
        <v>0</v>
      </c>
      <c r="BN441" s="20">
        <v>632154794636</v>
      </c>
      <c r="BO441" s="111">
        <v>46234</v>
      </c>
      <c r="BP441" s="20">
        <v>0</v>
      </c>
    </row>
    <row r="442" spans="2:68">
      <c r="B442" s="20" t="s">
        <v>2216</v>
      </c>
      <c r="C442" s="20" t="s">
        <v>3352</v>
      </c>
      <c r="D442" s="20" t="s">
        <v>3835</v>
      </c>
      <c r="E442" s="20" t="s">
        <v>20</v>
      </c>
      <c r="F442" s="20" t="s">
        <v>21</v>
      </c>
      <c r="H442" s="20" t="s">
        <v>3836</v>
      </c>
      <c r="I442" s="20">
        <v>1084</v>
      </c>
      <c r="J442" s="20">
        <v>1084</v>
      </c>
      <c r="K442" s="20" t="s">
        <v>11</v>
      </c>
      <c r="L442" s="20">
        <v>1084</v>
      </c>
      <c r="M442" s="20">
        <v>0</v>
      </c>
      <c r="N442" s="20">
        <v>1084</v>
      </c>
      <c r="O442" s="20" t="s">
        <v>2203</v>
      </c>
      <c r="P442" s="20" t="s">
        <v>87</v>
      </c>
      <c r="Q442" s="20" t="s">
        <v>87</v>
      </c>
      <c r="R442" s="20" t="s">
        <v>3357</v>
      </c>
      <c r="S442" s="20" t="s">
        <v>3352</v>
      </c>
      <c r="T442" s="20" t="s">
        <v>206</v>
      </c>
      <c r="U442" s="20" t="s">
        <v>207</v>
      </c>
      <c r="V442" s="20" t="s">
        <v>3356</v>
      </c>
      <c r="W442" s="20">
        <v>146.49</v>
      </c>
      <c r="X442" s="20">
        <v>146.48983131824599</v>
      </c>
      <c r="Y442" s="20" t="s">
        <v>3357</v>
      </c>
      <c r="Z442" s="20" t="s">
        <v>3352</v>
      </c>
      <c r="AB442" s="20" t="s">
        <v>2376</v>
      </c>
      <c r="AD442" s="20" t="s">
        <v>2376</v>
      </c>
      <c r="AE442" s="20" t="s">
        <v>2376</v>
      </c>
      <c r="AF442" s="20">
        <v>0</v>
      </c>
      <c r="AG442" s="20">
        <v>0</v>
      </c>
      <c r="AH442" s="20">
        <v>0</v>
      </c>
      <c r="AI442" s="20">
        <v>0</v>
      </c>
      <c r="AJ442" s="20">
        <v>0</v>
      </c>
      <c r="AK442" s="20" t="s">
        <v>609</v>
      </c>
      <c r="AL442" s="20">
        <v>0</v>
      </c>
      <c r="AM442" s="20">
        <v>0</v>
      </c>
      <c r="AN442" s="20">
        <v>0</v>
      </c>
      <c r="AO442" s="20">
        <v>0</v>
      </c>
      <c r="AP442" s="20">
        <v>0</v>
      </c>
      <c r="AR442" s="20">
        <v>0</v>
      </c>
      <c r="AS442" s="20">
        <v>0</v>
      </c>
      <c r="AT442" s="20">
        <v>1546516.36</v>
      </c>
      <c r="AU442" s="20" t="s">
        <v>13</v>
      </c>
      <c r="AV442" s="20" t="s">
        <v>62</v>
      </c>
      <c r="AW442" s="20" t="s">
        <v>76</v>
      </c>
      <c r="AX442" s="20" t="s">
        <v>208</v>
      </c>
      <c r="AY442" s="20" t="s">
        <v>209</v>
      </c>
      <c r="AZ442" s="20">
        <v>0</v>
      </c>
      <c r="BA442" s="20">
        <v>158794.98000000001</v>
      </c>
      <c r="BB442" s="20">
        <v>1016</v>
      </c>
      <c r="BC442" s="20" t="s">
        <v>3352</v>
      </c>
      <c r="BD442" s="20" t="s">
        <v>65</v>
      </c>
      <c r="BE442" s="20" t="s">
        <v>210</v>
      </c>
      <c r="BF442" s="20" t="s">
        <v>210</v>
      </c>
      <c r="BG442" s="20">
        <v>9</v>
      </c>
      <c r="BH442" s="20">
        <v>14291.56</v>
      </c>
      <c r="BI442" s="20">
        <v>9</v>
      </c>
      <c r="BJ442" s="20">
        <v>14291.56</v>
      </c>
      <c r="BK442" s="20">
        <v>0</v>
      </c>
      <c r="BL442" s="20">
        <v>0</v>
      </c>
      <c r="BM442" s="20">
        <v>0</v>
      </c>
      <c r="BN442" s="20">
        <v>632154794636</v>
      </c>
      <c r="BO442" s="111">
        <v>46234</v>
      </c>
      <c r="BP442" s="20">
        <v>0</v>
      </c>
    </row>
    <row r="443" spans="2:68">
      <c r="B443" s="20" t="s">
        <v>2216</v>
      </c>
      <c r="C443" s="20" t="s">
        <v>3352</v>
      </c>
      <c r="D443" s="20" t="s">
        <v>3835</v>
      </c>
      <c r="E443" s="20" t="s">
        <v>20</v>
      </c>
      <c r="F443" s="20" t="s">
        <v>21</v>
      </c>
      <c r="H443" s="20" t="s">
        <v>3836</v>
      </c>
      <c r="I443" s="20">
        <v>1590</v>
      </c>
      <c r="J443" s="20">
        <v>1590</v>
      </c>
      <c r="K443" s="20" t="s">
        <v>11</v>
      </c>
      <c r="L443" s="20">
        <v>1590</v>
      </c>
      <c r="M443" s="20">
        <v>0</v>
      </c>
      <c r="N443" s="20">
        <v>1590</v>
      </c>
      <c r="O443" s="20" t="s">
        <v>2203</v>
      </c>
      <c r="P443" s="20" t="s">
        <v>87</v>
      </c>
      <c r="Q443" s="20" t="s">
        <v>87</v>
      </c>
      <c r="R443" s="20" t="s">
        <v>3357</v>
      </c>
      <c r="S443" s="20" t="s">
        <v>3352</v>
      </c>
      <c r="T443" s="20" t="s">
        <v>206</v>
      </c>
      <c r="U443" s="20" t="s">
        <v>207</v>
      </c>
      <c r="V443" s="20" t="s">
        <v>3356</v>
      </c>
      <c r="W443" s="20">
        <v>151.49</v>
      </c>
      <c r="X443" s="20">
        <v>151.48982556079699</v>
      </c>
      <c r="Y443" s="20" t="s">
        <v>3357</v>
      </c>
      <c r="Z443" s="20" t="s">
        <v>3352</v>
      </c>
      <c r="AB443" s="20" t="s">
        <v>2376</v>
      </c>
      <c r="AD443" s="20" t="s">
        <v>2376</v>
      </c>
      <c r="AE443" s="20" t="s">
        <v>2376</v>
      </c>
      <c r="AF443" s="20">
        <v>0</v>
      </c>
      <c r="AG443" s="20">
        <v>0</v>
      </c>
      <c r="AH443" s="20">
        <v>0</v>
      </c>
      <c r="AI443" s="20">
        <v>0</v>
      </c>
      <c r="AJ443" s="20">
        <v>0</v>
      </c>
      <c r="AK443" s="20" t="s">
        <v>609</v>
      </c>
      <c r="AL443" s="20">
        <v>0</v>
      </c>
      <c r="AM443" s="20">
        <v>0</v>
      </c>
      <c r="AN443" s="20">
        <v>0</v>
      </c>
      <c r="AO443" s="20">
        <v>0</v>
      </c>
      <c r="AP443" s="20">
        <v>0</v>
      </c>
      <c r="AR443" s="20">
        <v>0</v>
      </c>
      <c r="AS443" s="20">
        <v>0</v>
      </c>
      <c r="AT443" s="20">
        <v>1546516.36</v>
      </c>
      <c r="AU443" s="20" t="s">
        <v>13</v>
      </c>
      <c r="AV443" s="20" t="s">
        <v>62</v>
      </c>
      <c r="AW443" s="20" t="s">
        <v>76</v>
      </c>
      <c r="AX443" s="20" t="s">
        <v>208</v>
      </c>
      <c r="AY443" s="20" t="s">
        <v>209</v>
      </c>
      <c r="AZ443" s="20">
        <v>0</v>
      </c>
      <c r="BA443" s="20">
        <v>240868.82</v>
      </c>
      <c r="BB443" s="20">
        <v>1016</v>
      </c>
      <c r="BC443" s="20" t="s">
        <v>3352</v>
      </c>
      <c r="BD443" s="20" t="s">
        <v>65</v>
      </c>
      <c r="BE443" s="20" t="s">
        <v>210</v>
      </c>
      <c r="BF443" s="20" t="s">
        <v>210</v>
      </c>
      <c r="BG443" s="20">
        <v>9</v>
      </c>
      <c r="BH443" s="20">
        <v>21678.22</v>
      </c>
      <c r="BI443" s="20">
        <v>9</v>
      </c>
      <c r="BJ443" s="20">
        <v>21678.22</v>
      </c>
      <c r="BK443" s="20">
        <v>0</v>
      </c>
      <c r="BL443" s="20">
        <v>0</v>
      </c>
      <c r="BM443" s="20">
        <v>0</v>
      </c>
      <c r="BN443" s="20">
        <v>632154794636</v>
      </c>
      <c r="BO443" s="111">
        <v>46234</v>
      </c>
      <c r="BP443" s="20">
        <v>0</v>
      </c>
    </row>
    <row r="444" spans="2:68">
      <c r="B444" s="20" t="s">
        <v>2216</v>
      </c>
      <c r="C444" s="20" t="s">
        <v>3352</v>
      </c>
      <c r="D444" s="20" t="s">
        <v>3837</v>
      </c>
      <c r="E444" s="20" t="s">
        <v>23</v>
      </c>
      <c r="F444" s="20" t="s">
        <v>24</v>
      </c>
      <c r="H444" s="20" t="s">
        <v>3838</v>
      </c>
      <c r="I444" s="20">
        <v>70.2</v>
      </c>
      <c r="J444" s="20">
        <v>70.2</v>
      </c>
      <c r="K444" s="20" t="s">
        <v>11</v>
      </c>
      <c r="L444" s="20">
        <v>70.2</v>
      </c>
      <c r="M444" s="20">
        <v>0</v>
      </c>
      <c r="N444" s="20">
        <v>70.2</v>
      </c>
      <c r="O444" s="20" t="s">
        <v>2203</v>
      </c>
      <c r="P444" s="20" t="s">
        <v>87</v>
      </c>
      <c r="Q444" s="20" t="s">
        <v>87</v>
      </c>
      <c r="R444" s="20" t="s">
        <v>3359</v>
      </c>
      <c r="S444" s="20" t="s">
        <v>3352</v>
      </c>
      <c r="T444" s="20" t="s">
        <v>206</v>
      </c>
      <c r="U444" s="20" t="s">
        <v>207</v>
      </c>
      <c r="V444" s="20" t="s">
        <v>3358</v>
      </c>
      <c r="W444" s="20">
        <v>149.49</v>
      </c>
      <c r="X444" s="20">
        <v>149.49000021556799</v>
      </c>
      <c r="Y444" s="20" t="s">
        <v>3359</v>
      </c>
      <c r="Z444" s="20" t="s">
        <v>3352</v>
      </c>
      <c r="AB444" s="20" t="s">
        <v>2376</v>
      </c>
      <c r="AD444" s="20" t="s">
        <v>2376</v>
      </c>
      <c r="AE444" s="20" t="s">
        <v>2376</v>
      </c>
      <c r="AF444" s="20">
        <v>0</v>
      </c>
      <c r="AG444" s="20">
        <v>0</v>
      </c>
      <c r="AH444" s="20">
        <v>0</v>
      </c>
      <c r="AI444" s="20">
        <v>0</v>
      </c>
      <c r="AJ444" s="20">
        <v>0</v>
      </c>
      <c r="AK444" s="20" t="s">
        <v>609</v>
      </c>
      <c r="AL444" s="20">
        <v>0</v>
      </c>
      <c r="AM444" s="20">
        <v>0</v>
      </c>
      <c r="AN444" s="20">
        <v>0</v>
      </c>
      <c r="AO444" s="20">
        <v>0</v>
      </c>
      <c r="AP444" s="20">
        <v>0</v>
      </c>
      <c r="AR444" s="20">
        <v>0</v>
      </c>
      <c r="AS444" s="20">
        <v>0</v>
      </c>
      <c r="AT444" s="20">
        <v>1386939.64</v>
      </c>
      <c r="AU444" s="20" t="s">
        <v>13</v>
      </c>
      <c r="AV444" s="20" t="s">
        <v>24</v>
      </c>
      <c r="AW444" s="20" t="s">
        <v>79</v>
      </c>
      <c r="AX444" s="20" t="s">
        <v>208</v>
      </c>
      <c r="AY444" s="20" t="s">
        <v>209</v>
      </c>
      <c r="AZ444" s="20">
        <v>0</v>
      </c>
      <c r="BA444" s="20">
        <v>10494.2</v>
      </c>
      <c r="BB444" s="20">
        <v>1015</v>
      </c>
      <c r="BC444" s="20" t="s">
        <v>3352</v>
      </c>
      <c r="BD444" s="20" t="s">
        <v>65</v>
      </c>
      <c r="BE444" s="20" t="s">
        <v>210</v>
      </c>
      <c r="BF444" s="20" t="s">
        <v>210</v>
      </c>
      <c r="BG444" s="20">
        <v>9</v>
      </c>
      <c r="BH444" s="20">
        <v>944.48</v>
      </c>
      <c r="BI444" s="20">
        <v>9</v>
      </c>
      <c r="BJ444" s="20">
        <v>944.48</v>
      </c>
      <c r="BK444" s="20">
        <v>0</v>
      </c>
      <c r="BL444" s="20">
        <v>0</v>
      </c>
      <c r="BM444" s="20">
        <v>1386939.64</v>
      </c>
      <c r="BN444" s="20">
        <v>602154607814</v>
      </c>
      <c r="BO444" s="111">
        <v>46234</v>
      </c>
      <c r="BP444" s="20">
        <v>0</v>
      </c>
    </row>
    <row r="445" spans="2:68">
      <c r="B445" s="20" t="s">
        <v>2216</v>
      </c>
      <c r="C445" s="20" t="s">
        <v>3352</v>
      </c>
      <c r="D445" s="20" t="s">
        <v>3837</v>
      </c>
      <c r="E445" s="20" t="s">
        <v>18</v>
      </c>
      <c r="F445" s="20" t="s">
        <v>19</v>
      </c>
      <c r="H445" s="20" t="s">
        <v>3838</v>
      </c>
      <c r="I445" s="20">
        <v>8062</v>
      </c>
      <c r="J445" s="20">
        <v>8062</v>
      </c>
      <c r="K445" s="20" t="s">
        <v>11</v>
      </c>
      <c r="L445" s="20">
        <v>8062</v>
      </c>
      <c r="M445" s="20">
        <v>0</v>
      </c>
      <c r="N445" s="20">
        <v>8062</v>
      </c>
      <c r="O445" s="20" t="s">
        <v>2203</v>
      </c>
      <c r="P445" s="20" t="s">
        <v>87</v>
      </c>
      <c r="Q445" s="20" t="s">
        <v>87</v>
      </c>
      <c r="R445" s="20" t="s">
        <v>3359</v>
      </c>
      <c r="S445" s="20" t="s">
        <v>3352</v>
      </c>
      <c r="T445" s="20" t="s">
        <v>206</v>
      </c>
      <c r="U445" s="20" t="s">
        <v>207</v>
      </c>
      <c r="V445" s="20" t="s">
        <v>3358</v>
      </c>
      <c r="W445" s="20">
        <v>144.49</v>
      </c>
      <c r="X445" s="20">
        <v>144.490000208358</v>
      </c>
      <c r="Y445" s="20" t="s">
        <v>3359</v>
      </c>
      <c r="Z445" s="20" t="s">
        <v>3352</v>
      </c>
      <c r="AB445" s="20" t="s">
        <v>2376</v>
      </c>
      <c r="AD445" s="20" t="s">
        <v>2376</v>
      </c>
      <c r="AE445" s="20" t="s">
        <v>2376</v>
      </c>
      <c r="AF445" s="20">
        <v>0</v>
      </c>
      <c r="AG445" s="20">
        <v>0</v>
      </c>
      <c r="AH445" s="20">
        <v>0</v>
      </c>
      <c r="AI445" s="20">
        <v>0</v>
      </c>
      <c r="AJ445" s="20">
        <v>0</v>
      </c>
      <c r="AK445" s="20" t="s">
        <v>609</v>
      </c>
      <c r="AL445" s="20">
        <v>0</v>
      </c>
      <c r="AM445" s="20">
        <v>0</v>
      </c>
      <c r="AN445" s="20">
        <v>0</v>
      </c>
      <c r="AO445" s="20">
        <v>0</v>
      </c>
      <c r="AP445" s="20">
        <v>0</v>
      </c>
      <c r="AR445" s="20">
        <v>0</v>
      </c>
      <c r="AS445" s="20">
        <v>0</v>
      </c>
      <c r="AT445" s="20">
        <v>1386939.64</v>
      </c>
      <c r="AU445" s="20" t="s">
        <v>13</v>
      </c>
      <c r="AV445" s="20" t="s">
        <v>62</v>
      </c>
      <c r="AW445" s="20" t="s">
        <v>63</v>
      </c>
      <c r="AX445" s="20" t="s">
        <v>208</v>
      </c>
      <c r="AY445" s="20" t="s">
        <v>209</v>
      </c>
      <c r="AZ445" s="20">
        <v>0</v>
      </c>
      <c r="BA445" s="20">
        <v>1164878.3799999999</v>
      </c>
      <c r="BB445" s="20">
        <v>1015</v>
      </c>
      <c r="BC445" s="20" t="s">
        <v>3352</v>
      </c>
      <c r="BD445" s="20" t="s">
        <v>65</v>
      </c>
      <c r="BE445" s="20" t="s">
        <v>210</v>
      </c>
      <c r="BF445" s="20" t="s">
        <v>210</v>
      </c>
      <c r="BG445" s="20">
        <v>9</v>
      </c>
      <c r="BH445" s="20">
        <v>104839.05</v>
      </c>
      <c r="BI445" s="20">
        <v>9</v>
      </c>
      <c r="BJ445" s="20">
        <v>104839.05</v>
      </c>
      <c r="BK445" s="20">
        <v>0</v>
      </c>
      <c r="BL445" s="20">
        <v>0</v>
      </c>
      <c r="BM445" s="20">
        <v>0</v>
      </c>
      <c r="BN445" s="20">
        <v>602154607814</v>
      </c>
      <c r="BO445" s="111">
        <v>46234</v>
      </c>
      <c r="BP445" s="20">
        <v>0</v>
      </c>
    </row>
    <row r="446" spans="2:68">
      <c r="B446" s="20" t="s">
        <v>2216</v>
      </c>
      <c r="C446" s="20" t="s">
        <v>3352</v>
      </c>
      <c r="D446" s="20" t="s">
        <v>3839</v>
      </c>
      <c r="E446" s="20" t="s">
        <v>3840</v>
      </c>
      <c r="F446" s="20" t="s">
        <v>1617</v>
      </c>
      <c r="H446" s="20" t="s">
        <v>3841</v>
      </c>
      <c r="I446" s="20">
        <v>432.2</v>
      </c>
      <c r="J446" s="20">
        <v>432.2</v>
      </c>
      <c r="K446" s="20" t="s">
        <v>11</v>
      </c>
      <c r="L446" s="20">
        <v>432.2</v>
      </c>
      <c r="M446" s="20">
        <v>0</v>
      </c>
      <c r="N446" s="20">
        <v>432.2</v>
      </c>
      <c r="O446" s="20" t="s">
        <v>3842</v>
      </c>
      <c r="P446" s="20" t="s">
        <v>93</v>
      </c>
      <c r="Q446" s="20" t="s">
        <v>93</v>
      </c>
      <c r="R446" s="20" t="s">
        <v>1583</v>
      </c>
      <c r="S446" s="20" t="s">
        <v>3341</v>
      </c>
      <c r="T446" s="20" t="s">
        <v>206</v>
      </c>
      <c r="U446" s="20" t="s">
        <v>207</v>
      </c>
      <c r="V446" s="20" t="s">
        <v>3353</v>
      </c>
      <c r="W446" s="20">
        <v>154.15</v>
      </c>
      <c r="X446" s="20">
        <v>154.15</v>
      </c>
      <c r="Y446" s="20" t="s">
        <v>1583</v>
      </c>
      <c r="Z446" s="20" t="s">
        <v>3341</v>
      </c>
      <c r="AB446" s="20" t="s">
        <v>2376</v>
      </c>
      <c r="AD446" s="20" t="s">
        <v>2376</v>
      </c>
      <c r="AE446" s="20" t="s">
        <v>2376</v>
      </c>
      <c r="AF446" s="20">
        <v>0</v>
      </c>
      <c r="AG446" s="20">
        <v>0</v>
      </c>
      <c r="AH446" s="20">
        <v>0</v>
      </c>
      <c r="AI446" s="20">
        <v>0</v>
      </c>
      <c r="AJ446" s="20">
        <v>0</v>
      </c>
      <c r="AK446" s="20" t="s">
        <v>609</v>
      </c>
      <c r="AL446" s="20">
        <v>0</v>
      </c>
      <c r="AM446" s="20">
        <v>0</v>
      </c>
      <c r="AN446" s="20">
        <v>0</v>
      </c>
      <c r="AO446" s="20">
        <v>0</v>
      </c>
      <c r="AP446" s="20">
        <v>0</v>
      </c>
      <c r="AR446" s="20">
        <v>0</v>
      </c>
      <c r="AS446" s="20">
        <v>0</v>
      </c>
      <c r="AT446" s="20">
        <v>300951.32</v>
      </c>
      <c r="AU446" s="20" t="s">
        <v>13</v>
      </c>
      <c r="AV446" s="20" t="s">
        <v>99</v>
      </c>
      <c r="AW446" s="20" t="s">
        <v>100</v>
      </c>
      <c r="AX446" s="20" t="s">
        <v>208</v>
      </c>
      <c r="AY446" s="20" t="s">
        <v>209</v>
      </c>
      <c r="AZ446" s="20">
        <v>0</v>
      </c>
      <c r="BA446" s="20">
        <v>66623.63</v>
      </c>
      <c r="BB446" s="20">
        <v>1011</v>
      </c>
      <c r="BC446" s="20" t="s">
        <v>3352</v>
      </c>
      <c r="BD446" s="20" t="s">
        <v>59</v>
      </c>
      <c r="BE446" s="20" t="s">
        <v>210</v>
      </c>
      <c r="BF446" s="20" t="s">
        <v>210</v>
      </c>
      <c r="BG446" s="20">
        <v>2.5</v>
      </c>
      <c r="BH446" s="20">
        <v>1665.59</v>
      </c>
      <c r="BI446" s="20">
        <v>2.5</v>
      </c>
      <c r="BJ446" s="20">
        <v>1665.59</v>
      </c>
      <c r="BK446" s="20">
        <v>0</v>
      </c>
      <c r="BL446" s="20">
        <v>0</v>
      </c>
      <c r="BM446" s="20">
        <v>300951.32</v>
      </c>
      <c r="BN446" s="20">
        <v>612154188268</v>
      </c>
      <c r="BO446" s="111">
        <v>46233</v>
      </c>
      <c r="BP446" s="20">
        <v>0</v>
      </c>
    </row>
    <row r="447" spans="2:68">
      <c r="B447" s="20" t="s">
        <v>2216</v>
      </c>
      <c r="C447" s="20" t="s">
        <v>3352</v>
      </c>
      <c r="D447" s="20" t="s">
        <v>3839</v>
      </c>
      <c r="E447" s="20" t="s">
        <v>3843</v>
      </c>
      <c r="F447" s="20" t="s">
        <v>2585</v>
      </c>
      <c r="H447" s="20" t="s">
        <v>3841</v>
      </c>
      <c r="I447" s="20">
        <v>270</v>
      </c>
      <c r="J447" s="20">
        <v>270</v>
      </c>
      <c r="K447" s="20" t="s">
        <v>11</v>
      </c>
      <c r="L447" s="20">
        <v>270</v>
      </c>
      <c r="M447" s="20">
        <v>0</v>
      </c>
      <c r="N447" s="20">
        <v>270</v>
      </c>
      <c r="O447" s="20" t="s">
        <v>3842</v>
      </c>
      <c r="P447" s="20" t="s">
        <v>93</v>
      </c>
      <c r="Q447" s="20" t="s">
        <v>93</v>
      </c>
      <c r="R447" s="20" t="s">
        <v>1583</v>
      </c>
      <c r="S447" s="20" t="s">
        <v>3341</v>
      </c>
      <c r="T447" s="20" t="s">
        <v>206</v>
      </c>
      <c r="U447" s="20" t="s">
        <v>207</v>
      </c>
      <c r="V447" s="20" t="s">
        <v>3353</v>
      </c>
      <c r="W447" s="20">
        <v>151.15</v>
      </c>
      <c r="X447" s="20">
        <v>151.15</v>
      </c>
      <c r="Y447" s="20" t="s">
        <v>1583</v>
      </c>
      <c r="Z447" s="20" t="s">
        <v>3341</v>
      </c>
      <c r="AB447" s="20" t="s">
        <v>2376</v>
      </c>
      <c r="AD447" s="20" t="s">
        <v>2376</v>
      </c>
      <c r="AE447" s="20" t="s">
        <v>2376</v>
      </c>
      <c r="AF447" s="20">
        <v>0</v>
      </c>
      <c r="AG447" s="20">
        <v>0</v>
      </c>
      <c r="AH447" s="20">
        <v>0</v>
      </c>
      <c r="AI447" s="20">
        <v>0</v>
      </c>
      <c r="AJ447" s="20">
        <v>0</v>
      </c>
      <c r="AK447" s="20" t="s">
        <v>609</v>
      </c>
      <c r="AL447" s="20">
        <v>0</v>
      </c>
      <c r="AM447" s="20">
        <v>0</v>
      </c>
      <c r="AN447" s="20">
        <v>0</v>
      </c>
      <c r="AO447" s="20">
        <v>0</v>
      </c>
      <c r="AP447" s="20">
        <v>0</v>
      </c>
      <c r="AR447" s="20">
        <v>0</v>
      </c>
      <c r="AS447" s="20">
        <v>0</v>
      </c>
      <c r="AT447" s="20">
        <v>300951.32</v>
      </c>
      <c r="AU447" s="20" t="s">
        <v>13</v>
      </c>
      <c r="AV447" s="20" t="s">
        <v>99</v>
      </c>
      <c r="AW447" s="20" t="s">
        <v>100</v>
      </c>
      <c r="AX447" s="20" t="s">
        <v>208</v>
      </c>
      <c r="AY447" s="20" t="s">
        <v>209</v>
      </c>
      <c r="AZ447" s="20">
        <v>0</v>
      </c>
      <c r="BA447" s="20">
        <v>40810.5</v>
      </c>
      <c r="BB447" s="20">
        <v>1011</v>
      </c>
      <c r="BC447" s="20" t="s">
        <v>3352</v>
      </c>
      <c r="BD447" s="20" t="s">
        <v>59</v>
      </c>
      <c r="BE447" s="20" t="s">
        <v>210</v>
      </c>
      <c r="BF447" s="20" t="s">
        <v>210</v>
      </c>
      <c r="BG447" s="20">
        <v>2.5</v>
      </c>
      <c r="BH447" s="20">
        <v>1020.26</v>
      </c>
      <c r="BI447" s="20">
        <v>2.5</v>
      </c>
      <c r="BJ447" s="20">
        <v>1020.26</v>
      </c>
      <c r="BK447" s="20">
        <v>0</v>
      </c>
      <c r="BL447" s="20">
        <v>0</v>
      </c>
      <c r="BM447" s="20">
        <v>0</v>
      </c>
      <c r="BN447" s="20">
        <v>612154188268</v>
      </c>
      <c r="BO447" s="111">
        <v>46233</v>
      </c>
      <c r="BP447" s="20">
        <v>0</v>
      </c>
    </row>
    <row r="448" spans="2:68">
      <c r="B448" s="20" t="s">
        <v>2216</v>
      </c>
      <c r="C448" s="20" t="s">
        <v>3352</v>
      </c>
      <c r="D448" s="20" t="s">
        <v>3839</v>
      </c>
      <c r="E448" s="20" t="s">
        <v>18</v>
      </c>
      <c r="F448" s="20" t="s">
        <v>19</v>
      </c>
      <c r="H448" s="20" t="s">
        <v>3841</v>
      </c>
      <c r="I448" s="20">
        <v>926.2</v>
      </c>
      <c r="J448" s="20">
        <v>926.2</v>
      </c>
      <c r="K448" s="20" t="s">
        <v>11</v>
      </c>
      <c r="L448" s="20">
        <v>926.2</v>
      </c>
      <c r="M448" s="20">
        <v>0</v>
      </c>
      <c r="N448" s="20">
        <v>926.2</v>
      </c>
      <c r="O448" s="20" t="s">
        <v>3842</v>
      </c>
      <c r="P448" s="20" t="s">
        <v>93</v>
      </c>
      <c r="Q448" s="20" t="s">
        <v>93</v>
      </c>
      <c r="R448" s="20" t="s">
        <v>1583</v>
      </c>
      <c r="S448" s="20" t="s">
        <v>3341</v>
      </c>
      <c r="T448" s="20" t="s">
        <v>206</v>
      </c>
      <c r="U448" s="20" t="s">
        <v>207</v>
      </c>
      <c r="V448" s="20" t="s">
        <v>3353</v>
      </c>
      <c r="W448" s="20">
        <v>172.15</v>
      </c>
      <c r="X448" s="20">
        <v>172.15</v>
      </c>
      <c r="Y448" s="20" t="s">
        <v>1583</v>
      </c>
      <c r="Z448" s="20" t="s">
        <v>3341</v>
      </c>
      <c r="AB448" s="20" t="s">
        <v>2376</v>
      </c>
      <c r="AD448" s="20" t="s">
        <v>2376</v>
      </c>
      <c r="AE448" s="20" t="s">
        <v>2376</v>
      </c>
      <c r="AF448" s="20">
        <v>0</v>
      </c>
      <c r="AG448" s="20">
        <v>0</v>
      </c>
      <c r="AH448" s="20">
        <v>0</v>
      </c>
      <c r="AI448" s="20">
        <v>0</v>
      </c>
      <c r="AJ448" s="20">
        <v>0</v>
      </c>
      <c r="AK448" s="20" t="s">
        <v>609</v>
      </c>
      <c r="AL448" s="20">
        <v>0</v>
      </c>
      <c r="AM448" s="20">
        <v>0</v>
      </c>
      <c r="AN448" s="20">
        <v>0</v>
      </c>
      <c r="AO448" s="20">
        <v>0</v>
      </c>
      <c r="AP448" s="20">
        <v>0</v>
      </c>
      <c r="AR448" s="20">
        <v>0</v>
      </c>
      <c r="AS448" s="20">
        <v>0</v>
      </c>
      <c r="AT448" s="20">
        <v>300951.32</v>
      </c>
      <c r="AU448" s="20" t="s">
        <v>13</v>
      </c>
      <c r="AV448" s="20" t="s">
        <v>62</v>
      </c>
      <c r="AW448" s="20" t="s">
        <v>63</v>
      </c>
      <c r="AX448" s="20" t="s">
        <v>208</v>
      </c>
      <c r="AY448" s="20" t="s">
        <v>209</v>
      </c>
      <c r="AZ448" s="20">
        <v>0</v>
      </c>
      <c r="BA448" s="20">
        <v>159445.32999999999</v>
      </c>
      <c r="BB448" s="20">
        <v>1011</v>
      </c>
      <c r="BC448" s="20" t="s">
        <v>3352</v>
      </c>
      <c r="BD448" s="20" t="s">
        <v>59</v>
      </c>
      <c r="BE448" s="20" t="s">
        <v>210</v>
      </c>
      <c r="BF448" s="20" t="s">
        <v>210</v>
      </c>
      <c r="BG448" s="20">
        <v>9</v>
      </c>
      <c r="BH448" s="20">
        <v>14350.08</v>
      </c>
      <c r="BI448" s="20">
        <v>9</v>
      </c>
      <c r="BJ448" s="20">
        <v>14350.08</v>
      </c>
      <c r="BK448" s="20">
        <v>0</v>
      </c>
      <c r="BL448" s="20">
        <v>0</v>
      </c>
      <c r="BM448" s="20">
        <v>0</v>
      </c>
      <c r="BN448" s="20">
        <v>612154188268</v>
      </c>
      <c r="BO448" s="111">
        <v>46233</v>
      </c>
      <c r="BP448" s="20">
        <v>0</v>
      </c>
    </row>
    <row r="449" spans="2:68">
      <c r="B449" s="20" t="s">
        <v>2216</v>
      </c>
      <c r="C449" s="20" t="s">
        <v>3352</v>
      </c>
      <c r="D449" s="20" t="s">
        <v>3844</v>
      </c>
      <c r="E449" s="20" t="s">
        <v>18</v>
      </c>
      <c r="F449" s="20" t="s">
        <v>19</v>
      </c>
      <c r="H449" s="20" t="s">
        <v>3845</v>
      </c>
      <c r="I449" s="20">
        <v>1289</v>
      </c>
      <c r="J449" s="20">
        <v>1289</v>
      </c>
      <c r="K449" s="20" t="s">
        <v>11</v>
      </c>
      <c r="L449" s="20">
        <v>1289</v>
      </c>
      <c r="M449" s="20">
        <v>0</v>
      </c>
      <c r="N449" s="20">
        <v>1289</v>
      </c>
      <c r="O449" s="20" t="s">
        <v>2204</v>
      </c>
      <c r="P449" s="20" t="s">
        <v>87</v>
      </c>
      <c r="Q449" s="20" t="s">
        <v>87</v>
      </c>
      <c r="R449" s="20" t="s">
        <v>3361</v>
      </c>
      <c r="S449" s="20" t="s">
        <v>3352</v>
      </c>
      <c r="T449" s="20" t="s">
        <v>206</v>
      </c>
      <c r="U449" s="20" t="s">
        <v>207</v>
      </c>
      <c r="V449" s="20" t="s">
        <v>3360</v>
      </c>
      <c r="W449" s="20">
        <v>144.49</v>
      </c>
      <c r="X449" s="20">
        <v>144.489984801774</v>
      </c>
      <c r="Y449" s="20" t="s">
        <v>3361</v>
      </c>
      <c r="Z449" s="20" t="s">
        <v>3352</v>
      </c>
      <c r="AB449" s="20" t="s">
        <v>2376</v>
      </c>
      <c r="AD449" s="20" t="s">
        <v>2376</v>
      </c>
      <c r="AE449" s="20" t="s">
        <v>2376</v>
      </c>
      <c r="AF449" s="20">
        <v>0</v>
      </c>
      <c r="AG449" s="20">
        <v>0</v>
      </c>
      <c r="AH449" s="20">
        <v>0</v>
      </c>
      <c r="AI449" s="20">
        <v>0</v>
      </c>
      <c r="AJ449" s="20">
        <v>0</v>
      </c>
      <c r="AK449" s="20" t="s">
        <v>609</v>
      </c>
      <c r="AL449" s="20">
        <v>0</v>
      </c>
      <c r="AM449" s="20">
        <v>0</v>
      </c>
      <c r="AN449" s="20">
        <v>0</v>
      </c>
      <c r="AO449" s="20">
        <v>0</v>
      </c>
      <c r="AP449" s="20">
        <v>0</v>
      </c>
      <c r="AR449" s="20">
        <v>0</v>
      </c>
      <c r="AS449" s="20">
        <v>0</v>
      </c>
      <c r="AT449" s="20">
        <v>228168.71</v>
      </c>
      <c r="AU449" s="20" t="s">
        <v>13</v>
      </c>
      <c r="AV449" s="20" t="s">
        <v>62</v>
      </c>
      <c r="AW449" s="20" t="s">
        <v>63</v>
      </c>
      <c r="AX449" s="20" t="s">
        <v>208</v>
      </c>
      <c r="AY449" s="20" t="s">
        <v>209</v>
      </c>
      <c r="AZ449" s="20">
        <v>0</v>
      </c>
      <c r="BA449" s="20">
        <v>186247.59</v>
      </c>
      <c r="BB449" s="20">
        <v>1017</v>
      </c>
      <c r="BC449" s="20" t="s">
        <v>3352</v>
      </c>
      <c r="BD449" s="20" t="s">
        <v>65</v>
      </c>
      <c r="BE449" s="20" t="s">
        <v>210</v>
      </c>
      <c r="BF449" s="20" t="s">
        <v>210</v>
      </c>
      <c r="BG449" s="20">
        <v>9</v>
      </c>
      <c r="BH449" s="20">
        <v>16762.28</v>
      </c>
      <c r="BI449" s="20">
        <v>9</v>
      </c>
      <c r="BJ449" s="20">
        <v>16762.28</v>
      </c>
      <c r="BK449" s="20">
        <v>0</v>
      </c>
      <c r="BL449" s="20">
        <v>0</v>
      </c>
      <c r="BM449" s="20">
        <v>228168.71</v>
      </c>
      <c r="BN449" s="20">
        <v>632154959925</v>
      </c>
      <c r="BO449" s="111">
        <v>46234</v>
      </c>
      <c r="BP449" s="20">
        <v>0</v>
      </c>
    </row>
    <row r="450" spans="2:68">
      <c r="B450" s="20" t="s">
        <v>2216</v>
      </c>
      <c r="C450" s="20" t="s">
        <v>3352</v>
      </c>
      <c r="D450" s="20" t="s">
        <v>3844</v>
      </c>
      <c r="E450" s="20" t="s">
        <v>23</v>
      </c>
      <c r="F450" s="20" t="s">
        <v>24</v>
      </c>
      <c r="H450" s="20" t="s">
        <v>3845</v>
      </c>
      <c r="I450" s="20">
        <v>47.6</v>
      </c>
      <c r="J450" s="20">
        <v>47.6</v>
      </c>
      <c r="K450" s="20" t="s">
        <v>11</v>
      </c>
      <c r="L450" s="20">
        <v>47.6</v>
      </c>
      <c r="M450" s="20">
        <v>0</v>
      </c>
      <c r="N450" s="20">
        <v>47.6</v>
      </c>
      <c r="O450" s="20" t="s">
        <v>2204</v>
      </c>
      <c r="P450" s="20" t="s">
        <v>87</v>
      </c>
      <c r="Q450" s="20" t="s">
        <v>87</v>
      </c>
      <c r="R450" s="20" t="s">
        <v>3361</v>
      </c>
      <c r="S450" s="20" t="s">
        <v>3352</v>
      </c>
      <c r="T450" s="20" t="s">
        <v>206</v>
      </c>
      <c r="U450" s="20" t="s">
        <v>207</v>
      </c>
      <c r="V450" s="20" t="s">
        <v>3360</v>
      </c>
      <c r="W450" s="20">
        <v>149.49</v>
      </c>
      <c r="X450" s="20">
        <v>149.48998427584701</v>
      </c>
      <c r="Y450" s="20" t="s">
        <v>3361</v>
      </c>
      <c r="Z450" s="20" t="s">
        <v>3352</v>
      </c>
      <c r="AB450" s="20" t="s">
        <v>2376</v>
      </c>
      <c r="AD450" s="20" t="s">
        <v>2376</v>
      </c>
      <c r="AE450" s="20" t="s">
        <v>2376</v>
      </c>
      <c r="AF450" s="20">
        <v>0</v>
      </c>
      <c r="AG450" s="20">
        <v>0</v>
      </c>
      <c r="AH450" s="20">
        <v>0</v>
      </c>
      <c r="AI450" s="20">
        <v>0</v>
      </c>
      <c r="AJ450" s="20">
        <v>0</v>
      </c>
      <c r="AK450" s="20" t="s">
        <v>609</v>
      </c>
      <c r="AL450" s="20">
        <v>0</v>
      </c>
      <c r="AM450" s="20">
        <v>0</v>
      </c>
      <c r="AN450" s="20">
        <v>0</v>
      </c>
      <c r="AO450" s="20">
        <v>0</v>
      </c>
      <c r="AP450" s="20">
        <v>0</v>
      </c>
      <c r="AR450" s="20">
        <v>0</v>
      </c>
      <c r="AS450" s="20">
        <v>0</v>
      </c>
      <c r="AT450" s="20">
        <v>228168.71</v>
      </c>
      <c r="AU450" s="20" t="s">
        <v>13</v>
      </c>
      <c r="AV450" s="20" t="s">
        <v>24</v>
      </c>
      <c r="AW450" s="20" t="s">
        <v>79</v>
      </c>
      <c r="AX450" s="20" t="s">
        <v>208</v>
      </c>
      <c r="AY450" s="20" t="s">
        <v>209</v>
      </c>
      <c r="AZ450" s="20">
        <v>0</v>
      </c>
      <c r="BA450" s="20">
        <v>7115.72</v>
      </c>
      <c r="BB450" s="20">
        <v>1017</v>
      </c>
      <c r="BC450" s="20" t="s">
        <v>3352</v>
      </c>
      <c r="BD450" s="20" t="s">
        <v>65</v>
      </c>
      <c r="BE450" s="20" t="s">
        <v>210</v>
      </c>
      <c r="BF450" s="20" t="s">
        <v>210</v>
      </c>
      <c r="BG450" s="20">
        <v>9</v>
      </c>
      <c r="BH450" s="20">
        <v>640.41999999999996</v>
      </c>
      <c r="BI450" s="20">
        <v>9</v>
      </c>
      <c r="BJ450" s="20">
        <v>640.41999999999996</v>
      </c>
      <c r="BK450" s="20">
        <v>0</v>
      </c>
      <c r="BL450" s="20">
        <v>0</v>
      </c>
      <c r="BM450" s="20">
        <v>0</v>
      </c>
      <c r="BN450" s="20">
        <v>632154959925</v>
      </c>
      <c r="BO450" s="111">
        <v>46234</v>
      </c>
      <c r="BP450" s="20">
        <v>0</v>
      </c>
    </row>
  </sheetData>
  <autoFilter ref="B1:BP330"/>
  <pageMargins left="0.7" right="0.7" top="0.75" bottom="0.75" header="0.3" footer="0.3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V1543"/>
  <sheetViews>
    <sheetView topLeftCell="A1530" zoomScaleNormal="100" workbookViewId="0">
      <selection activeCell="J1543" sqref="J1543"/>
    </sheetView>
  </sheetViews>
  <sheetFormatPr defaultRowHeight="12"/>
  <cols>
    <col min="1" max="1" width="9.140625" style="20"/>
    <col min="2" max="2" width="11.140625" style="20" bestFit="1" customWidth="1"/>
    <col min="3" max="3" width="13.42578125" style="20" bestFit="1" customWidth="1"/>
    <col min="4" max="4" width="16.7109375" style="20" bestFit="1" customWidth="1"/>
    <col min="5" max="5" width="18.28515625" style="67" bestFit="1" customWidth="1"/>
    <col min="6" max="6" width="34.5703125" style="20" bestFit="1" customWidth="1"/>
    <col min="7" max="7" width="28.7109375" style="20" bestFit="1" customWidth="1"/>
    <col min="8" max="8" width="8.7109375" style="94" bestFit="1" customWidth="1"/>
    <col min="9" max="9" width="14.7109375" style="20" bestFit="1" customWidth="1"/>
    <col min="10" max="10" width="11" style="20" bestFit="1" customWidth="1"/>
    <col min="11" max="11" width="4" style="20" bestFit="1" customWidth="1"/>
    <col min="12" max="12" width="10.140625" style="20" bestFit="1" customWidth="1"/>
    <col min="13" max="13" width="12" style="20" bestFit="1" customWidth="1"/>
    <col min="14" max="14" width="18.5703125" style="20" bestFit="1" customWidth="1"/>
    <col min="15" max="15" width="5.7109375" style="20" bestFit="1" customWidth="1"/>
    <col min="16" max="16" width="8" style="20" bestFit="1" customWidth="1"/>
    <col min="17" max="17" width="11.28515625" style="20" bestFit="1" customWidth="1"/>
    <col min="18" max="18" width="16.7109375" style="20" bestFit="1" customWidth="1"/>
    <col min="19" max="19" width="27.42578125" style="20" customWidth="1"/>
    <col min="20" max="20" width="16.5703125" style="20" bestFit="1" customWidth="1"/>
    <col min="21" max="21" width="12.85546875" style="20" bestFit="1" customWidth="1"/>
    <col min="22" max="22" width="9.28515625" style="20" bestFit="1" customWidth="1"/>
    <col min="23" max="16384" width="9.140625" style="20"/>
  </cols>
  <sheetData>
    <row r="1" spans="1:22" ht="12.75">
      <c r="A1" s="64"/>
      <c r="B1" s="383" t="s">
        <v>127</v>
      </c>
      <c r="C1" s="383" t="s">
        <v>128</v>
      </c>
      <c r="D1" s="383" t="s">
        <v>129</v>
      </c>
      <c r="E1" s="383" t="s">
        <v>130</v>
      </c>
      <c r="F1" s="383" t="s">
        <v>131</v>
      </c>
      <c r="G1" s="383" t="s">
        <v>132</v>
      </c>
      <c r="H1" s="383" t="s">
        <v>133</v>
      </c>
      <c r="I1" s="383" t="s">
        <v>134</v>
      </c>
      <c r="J1" s="383" t="s">
        <v>135</v>
      </c>
      <c r="K1" s="383" t="s">
        <v>136</v>
      </c>
      <c r="L1" s="383" t="s">
        <v>137</v>
      </c>
      <c r="M1" s="383" t="s">
        <v>138</v>
      </c>
      <c r="N1" s="383" t="s">
        <v>139</v>
      </c>
      <c r="O1" s="383" t="s">
        <v>140</v>
      </c>
      <c r="P1" s="383" t="s">
        <v>141</v>
      </c>
      <c r="Q1" s="383" t="s">
        <v>142</v>
      </c>
      <c r="R1" s="383" t="s">
        <v>143</v>
      </c>
      <c r="S1" s="383" t="s">
        <v>144</v>
      </c>
      <c r="T1" s="383" t="s">
        <v>145</v>
      </c>
      <c r="U1" s="383" t="s">
        <v>146</v>
      </c>
      <c r="V1" s="383" t="s">
        <v>147</v>
      </c>
    </row>
    <row r="2" spans="1:22" ht="12.75" customHeight="1">
      <c r="A2" s="65"/>
      <c r="B2" s="211">
        <v>46204</v>
      </c>
      <c r="C2" s="211">
        <v>46204</v>
      </c>
      <c r="D2" s="176" t="s">
        <v>3848</v>
      </c>
      <c r="E2" s="176" t="s">
        <v>3849</v>
      </c>
      <c r="F2" s="176" t="s">
        <v>87</v>
      </c>
      <c r="G2" s="176" t="s">
        <v>2552</v>
      </c>
      <c r="H2" s="176">
        <v>40</v>
      </c>
      <c r="I2" s="176">
        <v>39.700000000000003</v>
      </c>
      <c r="J2" s="176">
        <v>39.700000000000003</v>
      </c>
      <c r="K2" s="176">
        <v>5</v>
      </c>
      <c r="L2" s="176">
        <v>0</v>
      </c>
      <c r="M2" s="176" t="s">
        <v>148</v>
      </c>
      <c r="N2" s="176" t="s">
        <v>149</v>
      </c>
      <c r="O2" s="176" t="s">
        <v>150</v>
      </c>
      <c r="P2" s="176" t="s">
        <v>151</v>
      </c>
      <c r="Q2" s="176"/>
      <c r="R2" s="176" t="s">
        <v>3849</v>
      </c>
      <c r="S2" s="176"/>
      <c r="T2" s="176" t="s">
        <v>2762</v>
      </c>
      <c r="U2" s="176" t="s">
        <v>152</v>
      </c>
      <c r="V2" s="176" t="s">
        <v>23</v>
      </c>
    </row>
    <row r="3" spans="1:22" ht="12.75" customHeight="1">
      <c r="A3" s="65"/>
      <c r="B3" s="211">
        <v>46204</v>
      </c>
      <c r="C3" s="211">
        <v>46204</v>
      </c>
      <c r="D3" s="176" t="s">
        <v>3850</v>
      </c>
      <c r="E3" s="176" t="s">
        <v>3851</v>
      </c>
      <c r="F3" s="176" t="s">
        <v>87</v>
      </c>
      <c r="G3" s="176" t="s">
        <v>2001</v>
      </c>
      <c r="H3" s="176">
        <v>6</v>
      </c>
      <c r="I3" s="176">
        <v>15.2</v>
      </c>
      <c r="J3" s="176">
        <v>15.2</v>
      </c>
      <c r="K3" s="176">
        <v>1.5</v>
      </c>
      <c r="L3" s="176">
        <v>0</v>
      </c>
      <c r="M3" s="176" t="s">
        <v>148</v>
      </c>
      <c r="N3" s="176" t="s">
        <v>149</v>
      </c>
      <c r="O3" s="176" t="s">
        <v>150</v>
      </c>
      <c r="P3" s="176" t="s">
        <v>151</v>
      </c>
      <c r="Q3" s="176"/>
      <c r="R3" s="176" t="s">
        <v>3851</v>
      </c>
      <c r="S3" s="176"/>
      <c r="T3" s="176" t="s">
        <v>2762</v>
      </c>
      <c r="U3" s="176" t="s">
        <v>152</v>
      </c>
      <c r="V3" s="176" t="s">
        <v>23</v>
      </c>
    </row>
    <row r="4" spans="1:22" ht="12.75" customHeight="1">
      <c r="A4" s="65"/>
      <c r="B4" s="211">
        <v>46204</v>
      </c>
      <c r="C4" s="211">
        <v>46204</v>
      </c>
      <c r="D4" s="176" t="s">
        <v>3852</v>
      </c>
      <c r="E4" s="176" t="s">
        <v>3853</v>
      </c>
      <c r="F4" s="176" t="s">
        <v>87</v>
      </c>
      <c r="G4" s="176" t="s">
        <v>2485</v>
      </c>
      <c r="H4" s="176">
        <v>30</v>
      </c>
      <c r="I4" s="176">
        <v>45.4</v>
      </c>
      <c r="J4" s="176">
        <v>45.4</v>
      </c>
      <c r="K4" s="176">
        <v>4</v>
      </c>
      <c r="L4" s="176">
        <v>0</v>
      </c>
      <c r="M4" s="176" t="s">
        <v>148</v>
      </c>
      <c r="N4" s="176" t="s">
        <v>149</v>
      </c>
      <c r="O4" s="176" t="s">
        <v>150</v>
      </c>
      <c r="P4" s="176" t="s">
        <v>151</v>
      </c>
      <c r="Q4" s="176"/>
      <c r="R4" s="176" t="s">
        <v>3853</v>
      </c>
      <c r="S4" s="176"/>
      <c r="T4" s="176" t="s">
        <v>2762</v>
      </c>
      <c r="U4" s="176" t="s">
        <v>152</v>
      </c>
      <c r="V4" s="176" t="s">
        <v>23</v>
      </c>
    </row>
    <row r="5" spans="1:22" ht="12.75" customHeight="1">
      <c r="A5" s="65"/>
      <c r="B5" s="211">
        <v>46204</v>
      </c>
      <c r="C5" s="211">
        <v>46204</v>
      </c>
      <c r="D5" s="176" t="s">
        <v>3854</v>
      </c>
      <c r="E5" s="176" t="s">
        <v>3855</v>
      </c>
      <c r="F5" s="176" t="s">
        <v>87</v>
      </c>
      <c r="G5" s="176" t="s">
        <v>2637</v>
      </c>
      <c r="H5" s="176">
        <v>40</v>
      </c>
      <c r="I5" s="176">
        <v>35.799999999999997</v>
      </c>
      <c r="J5" s="176">
        <v>35.799999999999997</v>
      </c>
      <c r="K5" s="176">
        <v>7</v>
      </c>
      <c r="L5" s="176">
        <v>0</v>
      </c>
      <c r="M5" s="176" t="s">
        <v>148</v>
      </c>
      <c r="N5" s="176" t="s">
        <v>149</v>
      </c>
      <c r="O5" s="176" t="s">
        <v>150</v>
      </c>
      <c r="P5" s="176" t="s">
        <v>151</v>
      </c>
      <c r="Q5" s="176"/>
      <c r="R5" s="176" t="s">
        <v>3855</v>
      </c>
      <c r="S5" s="176"/>
      <c r="T5" s="176" t="s">
        <v>2762</v>
      </c>
      <c r="U5" s="176" t="s">
        <v>152</v>
      </c>
      <c r="V5" s="176" t="s">
        <v>23</v>
      </c>
    </row>
    <row r="6" spans="1:22" ht="12.75" customHeight="1">
      <c r="A6" s="65"/>
      <c r="B6" s="211">
        <v>46204</v>
      </c>
      <c r="C6" s="211">
        <v>46204</v>
      </c>
      <c r="D6" s="176" t="s">
        <v>3856</v>
      </c>
      <c r="E6" s="176" t="s">
        <v>3857</v>
      </c>
      <c r="F6" s="176" t="s">
        <v>87</v>
      </c>
      <c r="G6" s="176" t="s">
        <v>2485</v>
      </c>
      <c r="H6" s="176">
        <v>30</v>
      </c>
      <c r="I6" s="176">
        <v>21.4</v>
      </c>
      <c r="J6" s="176">
        <v>21.4</v>
      </c>
      <c r="K6" s="176">
        <v>4</v>
      </c>
      <c r="L6" s="176">
        <v>0</v>
      </c>
      <c r="M6" s="176" t="s">
        <v>148</v>
      </c>
      <c r="N6" s="176" t="s">
        <v>149</v>
      </c>
      <c r="O6" s="176" t="s">
        <v>150</v>
      </c>
      <c r="P6" s="176" t="s">
        <v>151</v>
      </c>
      <c r="Q6" s="176"/>
      <c r="R6" s="176" t="s">
        <v>3857</v>
      </c>
      <c r="S6" s="176"/>
      <c r="T6" s="176" t="s">
        <v>2762</v>
      </c>
      <c r="U6" s="176" t="s">
        <v>152</v>
      </c>
      <c r="V6" s="176" t="s">
        <v>23</v>
      </c>
    </row>
    <row r="7" spans="1:22" ht="12.75" customHeight="1">
      <c r="A7" s="65"/>
      <c r="B7" s="211">
        <v>46204</v>
      </c>
      <c r="C7" s="211">
        <v>46204</v>
      </c>
      <c r="D7" s="176" t="s">
        <v>3858</v>
      </c>
      <c r="E7" s="176" t="s">
        <v>3859</v>
      </c>
      <c r="F7" s="176" t="s">
        <v>87</v>
      </c>
      <c r="G7" s="176" t="s">
        <v>2486</v>
      </c>
      <c r="H7" s="176">
        <v>40</v>
      </c>
      <c r="I7" s="176">
        <v>37</v>
      </c>
      <c r="J7" s="176">
        <v>37</v>
      </c>
      <c r="K7" s="176">
        <v>5</v>
      </c>
      <c r="L7" s="176">
        <v>0</v>
      </c>
      <c r="M7" s="176" t="s">
        <v>148</v>
      </c>
      <c r="N7" s="176" t="s">
        <v>149</v>
      </c>
      <c r="O7" s="176" t="s">
        <v>150</v>
      </c>
      <c r="P7" s="176" t="s">
        <v>151</v>
      </c>
      <c r="Q7" s="176"/>
      <c r="R7" s="176" t="s">
        <v>3859</v>
      </c>
      <c r="S7" s="176"/>
      <c r="T7" s="176" t="s">
        <v>2762</v>
      </c>
      <c r="U7" s="176" t="s">
        <v>152</v>
      </c>
      <c r="V7" s="176" t="s">
        <v>23</v>
      </c>
    </row>
    <row r="8" spans="1:22" ht="12.75" customHeight="1">
      <c r="A8" s="65"/>
      <c r="B8" s="211">
        <v>46204</v>
      </c>
      <c r="C8" s="211">
        <v>46204</v>
      </c>
      <c r="D8" s="176" t="s">
        <v>3860</v>
      </c>
      <c r="E8" s="176" t="s">
        <v>3861</v>
      </c>
      <c r="F8" s="176" t="s">
        <v>87</v>
      </c>
      <c r="G8" s="176" t="s">
        <v>2639</v>
      </c>
      <c r="H8" s="176">
        <v>25</v>
      </c>
      <c r="I8" s="176">
        <v>37.799999999999997</v>
      </c>
      <c r="J8" s="176">
        <v>37.799999999999997</v>
      </c>
      <c r="K8" s="176">
        <v>4</v>
      </c>
      <c r="L8" s="176">
        <v>0</v>
      </c>
      <c r="M8" s="176" t="s">
        <v>148</v>
      </c>
      <c r="N8" s="176" t="s">
        <v>149</v>
      </c>
      <c r="O8" s="176" t="s">
        <v>150</v>
      </c>
      <c r="P8" s="176" t="s">
        <v>151</v>
      </c>
      <c r="Q8" s="176"/>
      <c r="R8" s="176" t="s">
        <v>3861</v>
      </c>
      <c r="S8" s="176"/>
      <c r="T8" s="176" t="s">
        <v>2762</v>
      </c>
      <c r="U8" s="176" t="s">
        <v>152</v>
      </c>
      <c r="V8" s="176" t="s">
        <v>23</v>
      </c>
    </row>
    <row r="9" spans="1:22" ht="12.75" customHeight="1">
      <c r="A9" s="65"/>
      <c r="B9" s="211">
        <v>46204</v>
      </c>
      <c r="C9" s="211">
        <v>46204</v>
      </c>
      <c r="D9" s="176" t="s">
        <v>3862</v>
      </c>
      <c r="E9" s="176" t="s">
        <v>3863</v>
      </c>
      <c r="F9" s="176" t="s">
        <v>87</v>
      </c>
      <c r="G9" s="176" t="s">
        <v>2486</v>
      </c>
      <c r="H9" s="176">
        <v>40</v>
      </c>
      <c r="I9" s="176">
        <v>36.200000000000003</v>
      </c>
      <c r="J9" s="176">
        <v>36.200000000000003</v>
      </c>
      <c r="K9" s="176">
        <v>5</v>
      </c>
      <c r="L9" s="176">
        <v>0</v>
      </c>
      <c r="M9" s="176" t="s">
        <v>148</v>
      </c>
      <c r="N9" s="176" t="s">
        <v>149</v>
      </c>
      <c r="O9" s="176" t="s">
        <v>150</v>
      </c>
      <c r="P9" s="176" t="s">
        <v>151</v>
      </c>
      <c r="Q9" s="176"/>
      <c r="R9" s="176" t="s">
        <v>3863</v>
      </c>
      <c r="S9" s="176"/>
      <c r="T9" s="176" t="s">
        <v>2762</v>
      </c>
      <c r="U9" s="176" t="s">
        <v>152</v>
      </c>
      <c r="V9" s="176" t="s">
        <v>23</v>
      </c>
    </row>
    <row r="10" spans="1:22" ht="12.75" customHeight="1">
      <c r="A10" s="65"/>
      <c r="B10" s="211">
        <v>46204</v>
      </c>
      <c r="C10" s="211">
        <v>46204</v>
      </c>
      <c r="D10" s="176" t="s">
        <v>3864</v>
      </c>
      <c r="E10" s="176" t="s">
        <v>3865</v>
      </c>
      <c r="F10" s="176" t="s">
        <v>87</v>
      </c>
      <c r="G10" s="176" t="s">
        <v>3866</v>
      </c>
      <c r="H10" s="176">
        <v>40</v>
      </c>
      <c r="I10" s="176">
        <v>28.1</v>
      </c>
      <c r="J10" s="176">
        <v>28.1</v>
      </c>
      <c r="K10" s="176">
        <v>5</v>
      </c>
      <c r="L10" s="176">
        <v>0</v>
      </c>
      <c r="M10" s="176" t="s">
        <v>148</v>
      </c>
      <c r="N10" s="176" t="s">
        <v>149</v>
      </c>
      <c r="O10" s="176" t="s">
        <v>150</v>
      </c>
      <c r="P10" s="176" t="s">
        <v>151</v>
      </c>
      <c r="Q10" s="176"/>
      <c r="R10" s="176" t="s">
        <v>3865</v>
      </c>
      <c r="S10" s="176"/>
      <c r="T10" s="176" t="s">
        <v>2762</v>
      </c>
      <c r="U10" s="176" t="s">
        <v>152</v>
      </c>
      <c r="V10" s="176" t="s">
        <v>23</v>
      </c>
    </row>
    <row r="11" spans="1:22" ht="12.75" customHeight="1">
      <c r="A11" s="65"/>
      <c r="B11" s="211">
        <v>46204</v>
      </c>
      <c r="C11" s="211">
        <v>46204</v>
      </c>
      <c r="D11" s="176" t="s">
        <v>3867</v>
      </c>
      <c r="E11" s="176" t="s">
        <v>3868</v>
      </c>
      <c r="F11" s="176" t="s">
        <v>87</v>
      </c>
      <c r="G11" s="176" t="s">
        <v>2001</v>
      </c>
      <c r="H11" s="176">
        <v>6</v>
      </c>
      <c r="I11" s="176">
        <v>30.2</v>
      </c>
      <c r="J11" s="176">
        <v>30.2</v>
      </c>
      <c r="K11" s="176">
        <v>1.5</v>
      </c>
      <c r="L11" s="176">
        <v>0</v>
      </c>
      <c r="M11" s="176" t="s">
        <v>148</v>
      </c>
      <c r="N11" s="176" t="s">
        <v>149</v>
      </c>
      <c r="O11" s="176" t="s">
        <v>150</v>
      </c>
      <c r="P11" s="176" t="s">
        <v>151</v>
      </c>
      <c r="Q11" s="176"/>
      <c r="R11" s="176" t="s">
        <v>3868</v>
      </c>
      <c r="S11" s="176"/>
      <c r="T11" s="176" t="s">
        <v>2762</v>
      </c>
      <c r="U11" s="176" t="s">
        <v>152</v>
      </c>
      <c r="V11" s="176" t="s">
        <v>23</v>
      </c>
    </row>
    <row r="12" spans="1:22" ht="12.75" customHeight="1">
      <c r="A12" s="65"/>
      <c r="B12" s="211">
        <v>46204</v>
      </c>
      <c r="C12" s="211">
        <v>46204</v>
      </c>
      <c r="D12" s="176" t="s">
        <v>3869</v>
      </c>
      <c r="E12" s="176" t="s">
        <v>3870</v>
      </c>
      <c r="F12" s="176" t="s">
        <v>87</v>
      </c>
      <c r="G12" s="176" t="s">
        <v>2001</v>
      </c>
      <c r="H12" s="176">
        <v>6</v>
      </c>
      <c r="I12" s="176">
        <v>13.8</v>
      </c>
      <c r="J12" s="176">
        <v>13.8</v>
      </c>
      <c r="K12" s="176">
        <v>1.5</v>
      </c>
      <c r="L12" s="176">
        <v>0</v>
      </c>
      <c r="M12" s="176" t="s">
        <v>148</v>
      </c>
      <c r="N12" s="176" t="s">
        <v>149</v>
      </c>
      <c r="O12" s="176" t="s">
        <v>150</v>
      </c>
      <c r="P12" s="176" t="s">
        <v>151</v>
      </c>
      <c r="Q12" s="176"/>
      <c r="R12" s="176" t="s">
        <v>3870</v>
      </c>
      <c r="S12" s="176"/>
      <c r="T12" s="176" t="s">
        <v>2762</v>
      </c>
      <c r="U12" s="176" t="s">
        <v>152</v>
      </c>
      <c r="V12" s="176" t="s">
        <v>23</v>
      </c>
    </row>
    <row r="13" spans="1:22" ht="12.75" customHeight="1">
      <c r="A13" s="65"/>
      <c r="B13" s="211">
        <v>46204</v>
      </c>
      <c r="C13" s="211">
        <v>46204</v>
      </c>
      <c r="D13" s="176" t="s">
        <v>3871</v>
      </c>
      <c r="E13" s="176" t="s">
        <v>3872</v>
      </c>
      <c r="F13" s="176" t="s">
        <v>87</v>
      </c>
      <c r="G13" s="176" t="s">
        <v>3873</v>
      </c>
      <c r="H13" s="176">
        <v>35</v>
      </c>
      <c r="I13" s="176">
        <v>35.799999999999997</v>
      </c>
      <c r="J13" s="176">
        <v>35.799999999999997</v>
      </c>
      <c r="K13" s="176">
        <v>4</v>
      </c>
      <c r="L13" s="176">
        <v>0</v>
      </c>
      <c r="M13" s="176" t="s">
        <v>148</v>
      </c>
      <c r="N13" s="176" t="s">
        <v>149</v>
      </c>
      <c r="O13" s="176" t="s">
        <v>150</v>
      </c>
      <c r="P13" s="176" t="s">
        <v>151</v>
      </c>
      <c r="Q13" s="176"/>
      <c r="R13" s="176" t="s">
        <v>3872</v>
      </c>
      <c r="S13" s="176"/>
      <c r="T13" s="176" t="s">
        <v>2762</v>
      </c>
      <c r="U13" s="176" t="s">
        <v>152</v>
      </c>
      <c r="V13" s="176" t="s">
        <v>23</v>
      </c>
    </row>
    <row r="14" spans="1:22" ht="12.75" customHeight="1">
      <c r="A14" s="65"/>
      <c r="B14" s="211">
        <v>46204</v>
      </c>
      <c r="C14" s="211">
        <v>46204</v>
      </c>
      <c r="D14" s="176" t="s">
        <v>3874</v>
      </c>
      <c r="E14" s="176" t="s">
        <v>3875</v>
      </c>
      <c r="F14" s="176" t="s">
        <v>87</v>
      </c>
      <c r="G14" s="176" t="s">
        <v>2486</v>
      </c>
      <c r="H14" s="176">
        <v>40</v>
      </c>
      <c r="I14" s="176">
        <v>36.799999999999997</v>
      </c>
      <c r="J14" s="176">
        <v>36.799999999999997</v>
      </c>
      <c r="K14" s="176">
        <v>5</v>
      </c>
      <c r="L14" s="176">
        <v>0</v>
      </c>
      <c r="M14" s="176" t="s">
        <v>148</v>
      </c>
      <c r="N14" s="176" t="s">
        <v>149</v>
      </c>
      <c r="O14" s="176" t="s">
        <v>150</v>
      </c>
      <c r="P14" s="176" t="s">
        <v>151</v>
      </c>
      <c r="Q14" s="176"/>
      <c r="R14" s="176" t="s">
        <v>3875</v>
      </c>
      <c r="S14" s="176"/>
      <c r="T14" s="176" t="s">
        <v>2762</v>
      </c>
      <c r="U14" s="176" t="s">
        <v>152</v>
      </c>
      <c r="V14" s="176" t="s">
        <v>23</v>
      </c>
    </row>
    <row r="15" spans="1:22" ht="12.75" customHeight="1">
      <c r="A15" s="65"/>
      <c r="B15" s="211">
        <v>46204</v>
      </c>
      <c r="C15" s="211">
        <v>46204</v>
      </c>
      <c r="D15" s="176" t="s">
        <v>3876</v>
      </c>
      <c r="E15" s="176" t="s">
        <v>3877</v>
      </c>
      <c r="F15" s="176" t="s">
        <v>87</v>
      </c>
      <c r="G15" s="176" t="s">
        <v>3866</v>
      </c>
      <c r="H15" s="176">
        <v>40</v>
      </c>
      <c r="I15" s="176">
        <v>32</v>
      </c>
      <c r="J15" s="176">
        <v>32</v>
      </c>
      <c r="K15" s="176">
        <v>5</v>
      </c>
      <c r="L15" s="176">
        <v>0</v>
      </c>
      <c r="M15" s="176" t="s">
        <v>148</v>
      </c>
      <c r="N15" s="176" t="s">
        <v>149</v>
      </c>
      <c r="O15" s="176" t="s">
        <v>150</v>
      </c>
      <c r="P15" s="176" t="s">
        <v>151</v>
      </c>
      <c r="Q15" s="176"/>
      <c r="R15" s="176" t="s">
        <v>3877</v>
      </c>
      <c r="S15" s="176"/>
      <c r="T15" s="176" t="s">
        <v>2762</v>
      </c>
      <c r="U15" s="176" t="s">
        <v>152</v>
      </c>
      <c r="V15" s="176" t="s">
        <v>23</v>
      </c>
    </row>
    <row r="16" spans="1:22" ht="12.75" customHeight="1">
      <c r="A16" s="65"/>
      <c r="B16" s="211">
        <v>46204</v>
      </c>
      <c r="C16" s="211">
        <v>46204</v>
      </c>
      <c r="D16" s="176" t="s">
        <v>3878</v>
      </c>
      <c r="E16" s="176" t="s">
        <v>3879</v>
      </c>
      <c r="F16" s="176" t="s">
        <v>87</v>
      </c>
      <c r="G16" s="176" t="s">
        <v>2485</v>
      </c>
      <c r="H16" s="176">
        <v>30</v>
      </c>
      <c r="I16" s="176">
        <v>25.1</v>
      </c>
      <c r="J16" s="176">
        <v>25.1</v>
      </c>
      <c r="K16" s="176">
        <v>4</v>
      </c>
      <c r="L16" s="176">
        <v>0</v>
      </c>
      <c r="M16" s="176" t="s">
        <v>148</v>
      </c>
      <c r="N16" s="176" t="s">
        <v>149</v>
      </c>
      <c r="O16" s="176" t="s">
        <v>150</v>
      </c>
      <c r="P16" s="176" t="s">
        <v>151</v>
      </c>
      <c r="Q16" s="176"/>
      <c r="R16" s="176" t="s">
        <v>3879</v>
      </c>
      <c r="S16" s="176"/>
      <c r="T16" s="176" t="s">
        <v>2762</v>
      </c>
      <c r="U16" s="176" t="s">
        <v>152</v>
      </c>
      <c r="V16" s="176" t="s">
        <v>23</v>
      </c>
    </row>
    <row r="17" spans="1:22" ht="12.75" customHeight="1">
      <c r="A17" s="65"/>
      <c r="B17" s="211">
        <v>46204</v>
      </c>
      <c r="C17" s="211">
        <v>46204</v>
      </c>
      <c r="D17" s="176" t="s">
        <v>3880</v>
      </c>
      <c r="E17" s="176" t="s">
        <v>3881</v>
      </c>
      <c r="F17" s="176" t="s">
        <v>87</v>
      </c>
      <c r="G17" s="176" t="s">
        <v>2486</v>
      </c>
      <c r="H17" s="176">
        <v>40</v>
      </c>
      <c r="I17" s="176">
        <v>46.1</v>
      </c>
      <c r="J17" s="176">
        <v>46.1</v>
      </c>
      <c r="K17" s="176">
        <v>5</v>
      </c>
      <c r="L17" s="176">
        <v>0</v>
      </c>
      <c r="M17" s="176" t="s">
        <v>148</v>
      </c>
      <c r="N17" s="176" t="s">
        <v>149</v>
      </c>
      <c r="O17" s="176" t="s">
        <v>150</v>
      </c>
      <c r="P17" s="176" t="s">
        <v>151</v>
      </c>
      <c r="Q17" s="176"/>
      <c r="R17" s="176" t="s">
        <v>3881</v>
      </c>
      <c r="S17" s="176"/>
      <c r="T17" s="176" t="s">
        <v>2762</v>
      </c>
      <c r="U17" s="176" t="s">
        <v>152</v>
      </c>
      <c r="V17" s="176" t="s">
        <v>23</v>
      </c>
    </row>
    <row r="18" spans="1:22" ht="12.75" customHeight="1">
      <c r="A18" s="65"/>
      <c r="B18" s="211">
        <v>46204</v>
      </c>
      <c r="C18" s="211">
        <v>46204</v>
      </c>
      <c r="D18" s="176" t="s">
        <v>3882</v>
      </c>
      <c r="E18" s="176" t="s">
        <v>3883</v>
      </c>
      <c r="F18" s="176" t="s">
        <v>87</v>
      </c>
      <c r="G18" s="176" t="s">
        <v>2486</v>
      </c>
      <c r="H18" s="176">
        <v>40</v>
      </c>
      <c r="I18" s="176">
        <v>33.799999999999997</v>
      </c>
      <c r="J18" s="176">
        <v>33.799999999999997</v>
      </c>
      <c r="K18" s="176">
        <v>5</v>
      </c>
      <c r="L18" s="176">
        <v>0</v>
      </c>
      <c r="M18" s="176" t="s">
        <v>148</v>
      </c>
      <c r="N18" s="176" t="s">
        <v>149</v>
      </c>
      <c r="O18" s="176" t="s">
        <v>150</v>
      </c>
      <c r="P18" s="176" t="s">
        <v>151</v>
      </c>
      <c r="Q18" s="176"/>
      <c r="R18" s="176" t="s">
        <v>3883</v>
      </c>
      <c r="S18" s="176"/>
      <c r="T18" s="176" t="s">
        <v>2762</v>
      </c>
      <c r="U18" s="176" t="s">
        <v>152</v>
      </c>
      <c r="V18" s="176" t="s">
        <v>23</v>
      </c>
    </row>
    <row r="19" spans="1:22" ht="12.75">
      <c r="A19" s="65"/>
      <c r="B19" s="211">
        <v>46204</v>
      </c>
      <c r="C19" s="211">
        <v>46204</v>
      </c>
      <c r="D19" s="176" t="s">
        <v>3884</v>
      </c>
      <c r="E19" s="176" t="s">
        <v>3885</v>
      </c>
      <c r="F19" s="176" t="s">
        <v>87</v>
      </c>
      <c r="G19" s="176" t="s">
        <v>2635</v>
      </c>
      <c r="H19" s="176">
        <v>6</v>
      </c>
      <c r="I19" s="176">
        <v>9.8000000000000007</v>
      </c>
      <c r="J19" s="176">
        <v>9.8000000000000007</v>
      </c>
      <c r="K19" s="176">
        <v>1.5</v>
      </c>
      <c r="L19" s="176">
        <v>0</v>
      </c>
      <c r="M19" s="176" t="s">
        <v>148</v>
      </c>
      <c r="N19" s="176" t="s">
        <v>149</v>
      </c>
      <c r="O19" s="176" t="s">
        <v>150</v>
      </c>
      <c r="P19" s="176" t="s">
        <v>151</v>
      </c>
      <c r="Q19" s="176"/>
      <c r="R19" s="176" t="s">
        <v>3885</v>
      </c>
      <c r="S19" s="176"/>
      <c r="T19" s="176" t="s">
        <v>2762</v>
      </c>
      <c r="U19" s="176" t="s">
        <v>152</v>
      </c>
      <c r="V19" s="176" t="s">
        <v>23</v>
      </c>
    </row>
    <row r="20" spans="1:22" ht="12.75" customHeight="1">
      <c r="A20" s="65"/>
      <c r="B20" s="211">
        <v>46204</v>
      </c>
      <c r="C20" s="211">
        <v>46204</v>
      </c>
      <c r="D20" s="176" t="s">
        <v>3886</v>
      </c>
      <c r="E20" s="176" t="s">
        <v>3887</v>
      </c>
      <c r="F20" s="176" t="s">
        <v>87</v>
      </c>
      <c r="G20" s="176" t="s">
        <v>2639</v>
      </c>
      <c r="H20" s="176">
        <v>25</v>
      </c>
      <c r="I20" s="176">
        <v>27</v>
      </c>
      <c r="J20" s="176">
        <v>27</v>
      </c>
      <c r="K20" s="176">
        <v>4</v>
      </c>
      <c r="L20" s="176">
        <v>0</v>
      </c>
      <c r="M20" s="176" t="s">
        <v>148</v>
      </c>
      <c r="N20" s="176" t="s">
        <v>149</v>
      </c>
      <c r="O20" s="176" t="s">
        <v>150</v>
      </c>
      <c r="P20" s="176" t="s">
        <v>151</v>
      </c>
      <c r="Q20" s="176"/>
      <c r="R20" s="176" t="s">
        <v>3887</v>
      </c>
      <c r="S20" s="176"/>
      <c r="T20" s="176" t="s">
        <v>2762</v>
      </c>
      <c r="U20" s="176" t="s">
        <v>152</v>
      </c>
      <c r="V20" s="176" t="s">
        <v>23</v>
      </c>
    </row>
    <row r="21" spans="1:22" ht="12.75" customHeight="1">
      <c r="A21" s="65"/>
      <c r="B21" s="211">
        <v>46204</v>
      </c>
      <c r="C21" s="211">
        <v>46204</v>
      </c>
      <c r="D21" s="176" t="s">
        <v>3888</v>
      </c>
      <c r="E21" s="176" t="s">
        <v>3889</v>
      </c>
      <c r="F21" s="176" t="s">
        <v>87</v>
      </c>
      <c r="G21" s="176" t="s">
        <v>2486</v>
      </c>
      <c r="H21" s="176">
        <v>40</v>
      </c>
      <c r="I21" s="176">
        <v>40.799999999999997</v>
      </c>
      <c r="J21" s="176">
        <v>40.799999999999997</v>
      </c>
      <c r="K21" s="176">
        <v>5</v>
      </c>
      <c r="L21" s="176">
        <v>0</v>
      </c>
      <c r="M21" s="176" t="s">
        <v>148</v>
      </c>
      <c r="N21" s="176" t="s">
        <v>149</v>
      </c>
      <c r="O21" s="176" t="s">
        <v>150</v>
      </c>
      <c r="P21" s="176" t="s">
        <v>151</v>
      </c>
      <c r="Q21" s="176"/>
      <c r="R21" s="176" t="s">
        <v>3889</v>
      </c>
      <c r="S21" s="176"/>
      <c r="T21" s="176" t="s">
        <v>2762</v>
      </c>
      <c r="U21" s="176" t="s">
        <v>152</v>
      </c>
      <c r="V21" s="176" t="s">
        <v>23</v>
      </c>
    </row>
    <row r="22" spans="1:22" ht="12.75" customHeight="1">
      <c r="A22" s="65"/>
      <c r="B22" s="211">
        <v>46204</v>
      </c>
      <c r="C22" s="211">
        <v>46204</v>
      </c>
      <c r="D22" s="176" t="s">
        <v>3890</v>
      </c>
      <c r="E22" s="176" t="s">
        <v>3891</v>
      </c>
      <c r="F22" s="176" t="s">
        <v>87</v>
      </c>
      <c r="G22" s="176" t="s">
        <v>2637</v>
      </c>
      <c r="H22" s="176">
        <v>40</v>
      </c>
      <c r="I22" s="176">
        <v>34.799999999999997</v>
      </c>
      <c r="J22" s="176">
        <v>34.799999999999997</v>
      </c>
      <c r="K22" s="176">
        <v>7</v>
      </c>
      <c r="L22" s="176">
        <v>0</v>
      </c>
      <c r="M22" s="176" t="s">
        <v>148</v>
      </c>
      <c r="N22" s="176" t="s">
        <v>149</v>
      </c>
      <c r="O22" s="176" t="s">
        <v>150</v>
      </c>
      <c r="P22" s="176" t="s">
        <v>151</v>
      </c>
      <c r="Q22" s="176"/>
      <c r="R22" s="176" t="s">
        <v>3891</v>
      </c>
      <c r="S22" s="176"/>
      <c r="T22" s="176" t="s">
        <v>2762</v>
      </c>
      <c r="U22" s="176" t="s">
        <v>152</v>
      </c>
      <c r="V22" s="176" t="s">
        <v>23</v>
      </c>
    </row>
    <row r="23" spans="1:22" ht="12.75" customHeight="1">
      <c r="A23" s="65"/>
      <c r="B23" s="211">
        <v>46204</v>
      </c>
      <c r="C23" s="211">
        <v>46204</v>
      </c>
      <c r="D23" s="176" t="s">
        <v>3892</v>
      </c>
      <c r="E23" s="176" t="s">
        <v>3893</v>
      </c>
      <c r="F23" s="176" t="s">
        <v>87</v>
      </c>
      <c r="G23" s="176" t="s">
        <v>2485</v>
      </c>
      <c r="H23" s="176">
        <v>30</v>
      </c>
      <c r="I23" s="176">
        <v>35.799999999999997</v>
      </c>
      <c r="J23" s="176">
        <v>35.799999999999997</v>
      </c>
      <c r="K23" s="176">
        <v>4</v>
      </c>
      <c r="L23" s="176">
        <v>0</v>
      </c>
      <c r="M23" s="176" t="s">
        <v>148</v>
      </c>
      <c r="N23" s="176" t="s">
        <v>149</v>
      </c>
      <c r="O23" s="176" t="s">
        <v>150</v>
      </c>
      <c r="P23" s="176" t="s">
        <v>151</v>
      </c>
      <c r="Q23" s="176"/>
      <c r="R23" s="176" t="s">
        <v>3893</v>
      </c>
      <c r="S23" s="176"/>
      <c r="T23" s="176" t="s">
        <v>2762</v>
      </c>
      <c r="U23" s="176" t="s">
        <v>152</v>
      </c>
      <c r="V23" s="176" t="s">
        <v>23</v>
      </c>
    </row>
    <row r="24" spans="1:22" ht="12.75" customHeight="1">
      <c r="A24" s="65"/>
      <c r="B24" s="211">
        <v>46204</v>
      </c>
      <c r="C24" s="211">
        <v>46204</v>
      </c>
      <c r="D24" s="176" t="s">
        <v>3894</v>
      </c>
      <c r="E24" s="176" t="s">
        <v>3895</v>
      </c>
      <c r="F24" s="176" t="s">
        <v>87</v>
      </c>
      <c r="G24" s="176" t="s">
        <v>2552</v>
      </c>
      <c r="H24" s="176">
        <v>40</v>
      </c>
      <c r="I24" s="176">
        <v>39.700000000000003</v>
      </c>
      <c r="J24" s="176">
        <v>39.700000000000003</v>
      </c>
      <c r="K24" s="176">
        <v>5</v>
      </c>
      <c r="L24" s="176">
        <v>0</v>
      </c>
      <c r="M24" s="176" t="s">
        <v>148</v>
      </c>
      <c r="N24" s="176" t="s">
        <v>149</v>
      </c>
      <c r="O24" s="176" t="s">
        <v>150</v>
      </c>
      <c r="P24" s="176" t="s">
        <v>151</v>
      </c>
      <c r="Q24" s="176"/>
      <c r="R24" s="176" t="s">
        <v>3895</v>
      </c>
      <c r="S24" s="176"/>
      <c r="T24" s="176" t="s">
        <v>2762</v>
      </c>
      <c r="U24" s="176" t="s">
        <v>152</v>
      </c>
      <c r="V24" s="176" t="s">
        <v>23</v>
      </c>
    </row>
    <row r="25" spans="1:22" ht="12.75" customHeight="1">
      <c r="A25" s="65"/>
      <c r="B25" s="211">
        <v>46204</v>
      </c>
      <c r="C25" s="211">
        <v>46204</v>
      </c>
      <c r="D25" s="176" t="s">
        <v>3896</v>
      </c>
      <c r="E25" s="176" t="s">
        <v>3897</v>
      </c>
      <c r="F25" s="176" t="s">
        <v>87</v>
      </c>
      <c r="G25" s="176" t="s">
        <v>2486</v>
      </c>
      <c r="H25" s="176">
        <v>40</v>
      </c>
      <c r="I25" s="176">
        <v>38.799999999999997</v>
      </c>
      <c r="J25" s="176">
        <v>38.799999999999997</v>
      </c>
      <c r="K25" s="176">
        <v>5</v>
      </c>
      <c r="L25" s="176">
        <v>0</v>
      </c>
      <c r="M25" s="176" t="s">
        <v>148</v>
      </c>
      <c r="N25" s="176" t="s">
        <v>149</v>
      </c>
      <c r="O25" s="176" t="s">
        <v>150</v>
      </c>
      <c r="P25" s="176" t="s">
        <v>151</v>
      </c>
      <c r="Q25" s="176"/>
      <c r="R25" s="176" t="s">
        <v>3897</v>
      </c>
      <c r="S25" s="176"/>
      <c r="T25" s="176" t="s">
        <v>2762</v>
      </c>
      <c r="U25" s="176" t="s">
        <v>152</v>
      </c>
      <c r="V25" s="176" t="s">
        <v>23</v>
      </c>
    </row>
    <row r="26" spans="1:22" ht="12.75" customHeight="1">
      <c r="A26" s="65"/>
      <c r="B26" s="211">
        <v>46204</v>
      </c>
      <c r="C26" s="211">
        <v>46204</v>
      </c>
      <c r="D26" s="176" t="s">
        <v>3898</v>
      </c>
      <c r="E26" s="176" t="s">
        <v>3899</v>
      </c>
      <c r="F26" s="176" t="s">
        <v>87</v>
      </c>
      <c r="G26" s="176" t="s">
        <v>2636</v>
      </c>
      <c r="H26" s="176">
        <v>6</v>
      </c>
      <c r="I26" s="176">
        <v>14.8</v>
      </c>
      <c r="J26" s="176">
        <v>14.8</v>
      </c>
      <c r="K26" s="176">
        <v>1.5</v>
      </c>
      <c r="L26" s="176">
        <v>0</v>
      </c>
      <c r="M26" s="176" t="s">
        <v>148</v>
      </c>
      <c r="N26" s="176" t="s">
        <v>149</v>
      </c>
      <c r="O26" s="176" t="s">
        <v>150</v>
      </c>
      <c r="P26" s="176" t="s">
        <v>151</v>
      </c>
      <c r="Q26" s="176"/>
      <c r="R26" s="176" t="s">
        <v>3899</v>
      </c>
      <c r="S26" s="176"/>
      <c r="T26" s="176" t="s">
        <v>2762</v>
      </c>
      <c r="U26" s="176" t="s">
        <v>152</v>
      </c>
      <c r="V26" s="176" t="s">
        <v>23</v>
      </c>
    </row>
    <row r="27" spans="1:22" ht="12.75" customHeight="1">
      <c r="A27" s="65"/>
      <c r="B27" s="211">
        <v>46204</v>
      </c>
      <c r="C27" s="211">
        <v>46204</v>
      </c>
      <c r="D27" s="176" t="s">
        <v>3900</v>
      </c>
      <c r="E27" s="176" t="s">
        <v>3901</v>
      </c>
      <c r="F27" s="176" t="s">
        <v>87</v>
      </c>
      <c r="G27" s="176" t="s">
        <v>2639</v>
      </c>
      <c r="H27" s="176">
        <v>25</v>
      </c>
      <c r="I27" s="176">
        <v>30.1</v>
      </c>
      <c r="J27" s="176">
        <v>30.1</v>
      </c>
      <c r="K27" s="176">
        <v>4</v>
      </c>
      <c r="L27" s="176">
        <v>0</v>
      </c>
      <c r="M27" s="176" t="s">
        <v>148</v>
      </c>
      <c r="N27" s="176" t="s">
        <v>149</v>
      </c>
      <c r="O27" s="176" t="s">
        <v>150</v>
      </c>
      <c r="P27" s="176" t="s">
        <v>151</v>
      </c>
      <c r="Q27" s="176"/>
      <c r="R27" s="176" t="s">
        <v>3901</v>
      </c>
      <c r="S27" s="176"/>
      <c r="T27" s="176" t="s">
        <v>2762</v>
      </c>
      <c r="U27" s="176" t="s">
        <v>152</v>
      </c>
      <c r="V27" s="176" t="s">
        <v>23</v>
      </c>
    </row>
    <row r="28" spans="1:22" ht="12.75" customHeight="1">
      <c r="A28" s="65"/>
      <c r="B28" s="211">
        <v>46204</v>
      </c>
      <c r="C28" s="211">
        <v>46204</v>
      </c>
      <c r="D28" s="176" t="s">
        <v>3902</v>
      </c>
      <c r="E28" s="176" t="s">
        <v>3903</v>
      </c>
      <c r="F28" s="176" t="s">
        <v>87</v>
      </c>
      <c r="G28" s="176" t="s">
        <v>2486</v>
      </c>
      <c r="H28" s="176">
        <v>40</v>
      </c>
      <c r="I28" s="176">
        <v>37.4</v>
      </c>
      <c r="J28" s="176">
        <v>37.4</v>
      </c>
      <c r="K28" s="176">
        <v>5</v>
      </c>
      <c r="L28" s="176">
        <v>0</v>
      </c>
      <c r="M28" s="176" t="s">
        <v>148</v>
      </c>
      <c r="N28" s="176" t="s">
        <v>149</v>
      </c>
      <c r="O28" s="176" t="s">
        <v>150</v>
      </c>
      <c r="P28" s="176" t="s">
        <v>151</v>
      </c>
      <c r="Q28" s="176"/>
      <c r="R28" s="176" t="s">
        <v>3903</v>
      </c>
      <c r="S28" s="176"/>
      <c r="T28" s="176" t="s">
        <v>2762</v>
      </c>
      <c r="U28" s="176" t="s">
        <v>152</v>
      </c>
      <c r="V28" s="176" t="s">
        <v>23</v>
      </c>
    </row>
    <row r="29" spans="1:22" ht="12.75" customHeight="1">
      <c r="A29" s="65"/>
      <c r="B29" s="211">
        <v>46204</v>
      </c>
      <c r="C29" s="211">
        <v>46204</v>
      </c>
      <c r="D29" s="176" t="s">
        <v>3904</v>
      </c>
      <c r="E29" s="176" t="s">
        <v>3905</v>
      </c>
      <c r="F29" s="176" t="s">
        <v>87</v>
      </c>
      <c r="G29" s="176" t="s">
        <v>2485</v>
      </c>
      <c r="H29" s="176">
        <v>30</v>
      </c>
      <c r="I29" s="176">
        <v>31.2</v>
      </c>
      <c r="J29" s="176">
        <v>31.2</v>
      </c>
      <c r="K29" s="176">
        <v>4</v>
      </c>
      <c r="L29" s="176">
        <v>0</v>
      </c>
      <c r="M29" s="176" t="s">
        <v>148</v>
      </c>
      <c r="N29" s="176" t="s">
        <v>149</v>
      </c>
      <c r="O29" s="176" t="s">
        <v>150</v>
      </c>
      <c r="P29" s="176" t="s">
        <v>151</v>
      </c>
      <c r="Q29" s="176"/>
      <c r="R29" s="176" t="s">
        <v>3905</v>
      </c>
      <c r="S29" s="176"/>
      <c r="T29" s="176" t="s">
        <v>2762</v>
      </c>
      <c r="U29" s="176" t="s">
        <v>152</v>
      </c>
      <c r="V29" s="176" t="s">
        <v>23</v>
      </c>
    </row>
    <row r="30" spans="1:22" ht="12.75" customHeight="1">
      <c r="A30" s="65"/>
      <c r="B30" s="211">
        <v>46204</v>
      </c>
      <c r="C30" s="211">
        <v>46204</v>
      </c>
      <c r="D30" s="176" t="s">
        <v>3906</v>
      </c>
      <c r="E30" s="176" t="s">
        <v>3907</v>
      </c>
      <c r="F30" s="176" t="s">
        <v>87</v>
      </c>
      <c r="G30" s="176" t="s">
        <v>2486</v>
      </c>
      <c r="H30" s="176">
        <v>40</v>
      </c>
      <c r="I30" s="176">
        <v>41.1</v>
      </c>
      <c r="J30" s="176">
        <v>41.1</v>
      </c>
      <c r="K30" s="176">
        <v>5</v>
      </c>
      <c r="L30" s="176">
        <v>0</v>
      </c>
      <c r="M30" s="176" t="s">
        <v>148</v>
      </c>
      <c r="N30" s="176" t="s">
        <v>149</v>
      </c>
      <c r="O30" s="176" t="s">
        <v>150</v>
      </c>
      <c r="P30" s="176" t="s">
        <v>151</v>
      </c>
      <c r="Q30" s="176"/>
      <c r="R30" s="176" t="s">
        <v>3907</v>
      </c>
      <c r="S30" s="176"/>
      <c r="T30" s="176" t="s">
        <v>2762</v>
      </c>
      <c r="U30" s="176" t="s">
        <v>152</v>
      </c>
      <c r="V30" s="176" t="s">
        <v>23</v>
      </c>
    </row>
    <row r="31" spans="1:22" ht="12.75" customHeight="1">
      <c r="A31" s="65"/>
      <c r="B31" s="211">
        <v>46204</v>
      </c>
      <c r="C31" s="211">
        <v>46204</v>
      </c>
      <c r="D31" s="176" t="s">
        <v>3908</v>
      </c>
      <c r="E31" s="176" t="s">
        <v>3909</v>
      </c>
      <c r="F31" s="176" t="s">
        <v>87</v>
      </c>
      <c r="G31" s="176" t="s">
        <v>2552</v>
      </c>
      <c r="H31" s="176">
        <v>40</v>
      </c>
      <c r="I31" s="176">
        <v>39.200000000000003</v>
      </c>
      <c r="J31" s="176">
        <v>39.200000000000003</v>
      </c>
      <c r="K31" s="176">
        <v>5</v>
      </c>
      <c r="L31" s="176">
        <v>0</v>
      </c>
      <c r="M31" s="176" t="s">
        <v>148</v>
      </c>
      <c r="N31" s="176" t="s">
        <v>149</v>
      </c>
      <c r="O31" s="176" t="s">
        <v>150</v>
      </c>
      <c r="P31" s="176" t="s">
        <v>151</v>
      </c>
      <c r="Q31" s="176"/>
      <c r="R31" s="176" t="s">
        <v>3909</v>
      </c>
      <c r="S31" s="176"/>
      <c r="T31" s="176" t="s">
        <v>2762</v>
      </c>
      <c r="U31" s="176" t="s">
        <v>152</v>
      </c>
      <c r="V31" s="176" t="s">
        <v>23</v>
      </c>
    </row>
    <row r="32" spans="1:22" ht="12.75" customHeight="1">
      <c r="A32" s="65"/>
      <c r="B32" s="211">
        <v>46204</v>
      </c>
      <c r="C32" s="211">
        <v>46204</v>
      </c>
      <c r="D32" s="176" t="s">
        <v>3910</v>
      </c>
      <c r="E32" s="176" t="s">
        <v>3911</v>
      </c>
      <c r="F32" s="176" t="s">
        <v>87</v>
      </c>
      <c r="G32" s="176" t="s">
        <v>2486</v>
      </c>
      <c r="H32" s="176">
        <v>40</v>
      </c>
      <c r="I32" s="176">
        <v>29.8</v>
      </c>
      <c r="J32" s="176">
        <v>29.8</v>
      </c>
      <c r="K32" s="176">
        <v>5</v>
      </c>
      <c r="L32" s="176">
        <v>0</v>
      </c>
      <c r="M32" s="176" t="s">
        <v>148</v>
      </c>
      <c r="N32" s="176" t="s">
        <v>149</v>
      </c>
      <c r="O32" s="176" t="s">
        <v>150</v>
      </c>
      <c r="P32" s="176" t="s">
        <v>151</v>
      </c>
      <c r="Q32" s="176"/>
      <c r="R32" s="176" t="s">
        <v>3911</v>
      </c>
      <c r="S32" s="176"/>
      <c r="T32" s="176" t="s">
        <v>2762</v>
      </c>
      <c r="U32" s="176" t="s">
        <v>152</v>
      </c>
      <c r="V32" s="176" t="s">
        <v>23</v>
      </c>
    </row>
    <row r="33" spans="1:22" ht="12.75" customHeight="1">
      <c r="A33" s="65"/>
      <c r="B33" s="211">
        <v>46204</v>
      </c>
      <c r="C33" s="211">
        <v>46204</v>
      </c>
      <c r="D33" s="176" t="s">
        <v>3912</v>
      </c>
      <c r="E33" s="176" t="s">
        <v>3913</v>
      </c>
      <c r="F33" s="176" t="s">
        <v>87</v>
      </c>
      <c r="G33" s="176" t="s">
        <v>2486</v>
      </c>
      <c r="H33" s="176">
        <v>40</v>
      </c>
      <c r="I33" s="176">
        <v>37.799999999999997</v>
      </c>
      <c r="J33" s="176">
        <v>37.799999999999997</v>
      </c>
      <c r="K33" s="176">
        <v>5</v>
      </c>
      <c r="L33" s="176">
        <v>0</v>
      </c>
      <c r="M33" s="176" t="s">
        <v>148</v>
      </c>
      <c r="N33" s="176" t="s">
        <v>149</v>
      </c>
      <c r="O33" s="176" t="s">
        <v>150</v>
      </c>
      <c r="P33" s="176" t="s">
        <v>151</v>
      </c>
      <c r="Q33" s="176"/>
      <c r="R33" s="176" t="s">
        <v>3913</v>
      </c>
      <c r="S33" s="176"/>
      <c r="T33" s="176" t="s">
        <v>2762</v>
      </c>
      <c r="U33" s="176" t="s">
        <v>152</v>
      </c>
      <c r="V33" s="176" t="s">
        <v>23</v>
      </c>
    </row>
    <row r="34" spans="1:22" ht="12.75" customHeight="1">
      <c r="A34" s="65"/>
      <c r="B34" s="211">
        <v>46204</v>
      </c>
      <c r="C34" s="211">
        <v>46204</v>
      </c>
      <c r="D34" s="176" t="s">
        <v>3914</v>
      </c>
      <c r="E34" s="176" t="s">
        <v>3915</v>
      </c>
      <c r="F34" s="176" t="s">
        <v>87</v>
      </c>
      <c r="G34" s="176" t="s">
        <v>2485</v>
      </c>
      <c r="H34" s="176">
        <v>30</v>
      </c>
      <c r="I34" s="176">
        <v>45.3</v>
      </c>
      <c r="J34" s="176">
        <v>45.3</v>
      </c>
      <c r="K34" s="176">
        <v>4</v>
      </c>
      <c r="L34" s="176">
        <v>0</v>
      </c>
      <c r="M34" s="176" t="s">
        <v>148</v>
      </c>
      <c r="N34" s="176" t="s">
        <v>149</v>
      </c>
      <c r="O34" s="176" t="s">
        <v>150</v>
      </c>
      <c r="P34" s="176" t="s">
        <v>151</v>
      </c>
      <c r="Q34" s="176"/>
      <c r="R34" s="176" t="s">
        <v>3915</v>
      </c>
      <c r="S34" s="176"/>
      <c r="T34" s="176" t="s">
        <v>2762</v>
      </c>
      <c r="U34" s="176" t="s">
        <v>152</v>
      </c>
      <c r="V34" s="176" t="s">
        <v>23</v>
      </c>
    </row>
    <row r="35" spans="1:22" ht="12.75" customHeight="1">
      <c r="A35" s="65"/>
      <c r="B35" s="211">
        <v>46204</v>
      </c>
      <c r="C35" s="211">
        <v>46204</v>
      </c>
      <c r="D35" s="176" t="s">
        <v>3916</v>
      </c>
      <c r="E35" s="176" t="s">
        <v>3917</v>
      </c>
      <c r="F35" s="176" t="s">
        <v>87</v>
      </c>
      <c r="G35" s="176" t="s">
        <v>2485</v>
      </c>
      <c r="H35" s="176">
        <v>30</v>
      </c>
      <c r="I35" s="176">
        <v>35.799999999999997</v>
      </c>
      <c r="J35" s="176">
        <v>35.799999999999997</v>
      </c>
      <c r="K35" s="176">
        <v>4</v>
      </c>
      <c r="L35" s="176">
        <v>0</v>
      </c>
      <c r="M35" s="176" t="s">
        <v>148</v>
      </c>
      <c r="N35" s="176" t="s">
        <v>149</v>
      </c>
      <c r="O35" s="176" t="s">
        <v>150</v>
      </c>
      <c r="P35" s="176" t="s">
        <v>151</v>
      </c>
      <c r="Q35" s="176"/>
      <c r="R35" s="176" t="s">
        <v>3917</v>
      </c>
      <c r="S35" s="176"/>
      <c r="T35" s="176" t="s">
        <v>2762</v>
      </c>
      <c r="U35" s="176" t="s">
        <v>152</v>
      </c>
      <c r="V35" s="176" t="s">
        <v>23</v>
      </c>
    </row>
    <row r="36" spans="1:22" ht="12.75" customHeight="1">
      <c r="A36" s="65"/>
      <c r="B36" s="211">
        <v>46204</v>
      </c>
      <c r="C36" s="211">
        <v>46204</v>
      </c>
      <c r="D36" s="176" t="s">
        <v>3918</v>
      </c>
      <c r="E36" s="176" t="s">
        <v>3919</v>
      </c>
      <c r="F36" s="176" t="s">
        <v>87</v>
      </c>
      <c r="G36" s="176" t="s">
        <v>2639</v>
      </c>
      <c r="H36" s="176">
        <v>25</v>
      </c>
      <c r="I36" s="176">
        <v>36.700000000000003</v>
      </c>
      <c r="J36" s="176">
        <v>36.700000000000003</v>
      </c>
      <c r="K36" s="176">
        <v>4</v>
      </c>
      <c r="L36" s="176">
        <v>0</v>
      </c>
      <c r="M36" s="176" t="s">
        <v>148</v>
      </c>
      <c r="N36" s="176" t="s">
        <v>149</v>
      </c>
      <c r="O36" s="176" t="s">
        <v>150</v>
      </c>
      <c r="P36" s="176" t="s">
        <v>151</v>
      </c>
      <c r="Q36" s="176"/>
      <c r="R36" s="176" t="s">
        <v>3919</v>
      </c>
      <c r="S36" s="176"/>
      <c r="T36" s="176" t="s">
        <v>2762</v>
      </c>
      <c r="U36" s="176" t="s">
        <v>152</v>
      </c>
      <c r="V36" s="176" t="s">
        <v>23</v>
      </c>
    </row>
    <row r="37" spans="1:22" ht="12.75" customHeight="1">
      <c r="A37" s="65"/>
      <c r="B37" s="211">
        <v>46204</v>
      </c>
      <c r="C37" s="211">
        <v>46204</v>
      </c>
      <c r="D37" s="176" t="s">
        <v>3920</v>
      </c>
      <c r="E37" s="176" t="s">
        <v>3921</v>
      </c>
      <c r="F37" s="176" t="s">
        <v>87</v>
      </c>
      <c r="G37" s="176" t="s">
        <v>2486</v>
      </c>
      <c r="H37" s="176">
        <v>40</v>
      </c>
      <c r="I37" s="176">
        <v>35.4</v>
      </c>
      <c r="J37" s="176">
        <v>35.4</v>
      </c>
      <c r="K37" s="176">
        <v>5</v>
      </c>
      <c r="L37" s="176">
        <v>0</v>
      </c>
      <c r="M37" s="176" t="s">
        <v>148</v>
      </c>
      <c r="N37" s="176" t="s">
        <v>149</v>
      </c>
      <c r="O37" s="176" t="s">
        <v>150</v>
      </c>
      <c r="P37" s="176" t="s">
        <v>151</v>
      </c>
      <c r="Q37" s="176"/>
      <c r="R37" s="176" t="s">
        <v>3921</v>
      </c>
      <c r="S37" s="176"/>
      <c r="T37" s="176" t="s">
        <v>2762</v>
      </c>
      <c r="U37" s="176" t="s">
        <v>152</v>
      </c>
      <c r="V37" s="176" t="s">
        <v>23</v>
      </c>
    </row>
    <row r="38" spans="1:22" ht="12.75" customHeight="1">
      <c r="A38" s="65"/>
      <c r="B38" s="211">
        <v>46204</v>
      </c>
      <c r="C38" s="211">
        <v>46204</v>
      </c>
      <c r="D38" s="176" t="s">
        <v>3922</v>
      </c>
      <c r="E38" s="176" t="s">
        <v>3923</v>
      </c>
      <c r="F38" s="176" t="s">
        <v>87</v>
      </c>
      <c r="G38" s="176" t="s">
        <v>2001</v>
      </c>
      <c r="H38" s="176">
        <v>6</v>
      </c>
      <c r="I38" s="176">
        <v>23.2</v>
      </c>
      <c r="J38" s="176">
        <v>23.2</v>
      </c>
      <c r="K38" s="176">
        <v>1.5</v>
      </c>
      <c r="L38" s="176">
        <v>0</v>
      </c>
      <c r="M38" s="176" t="s">
        <v>148</v>
      </c>
      <c r="N38" s="176" t="s">
        <v>149</v>
      </c>
      <c r="O38" s="176" t="s">
        <v>150</v>
      </c>
      <c r="P38" s="176" t="s">
        <v>151</v>
      </c>
      <c r="Q38" s="176"/>
      <c r="R38" s="176" t="s">
        <v>3923</v>
      </c>
      <c r="S38" s="176"/>
      <c r="T38" s="176" t="s">
        <v>2762</v>
      </c>
      <c r="U38" s="176" t="s">
        <v>152</v>
      </c>
      <c r="V38" s="176" t="s">
        <v>23</v>
      </c>
    </row>
    <row r="39" spans="1:22" ht="12.75" customHeight="1">
      <c r="A39" s="65"/>
      <c r="B39" s="211">
        <v>46204</v>
      </c>
      <c r="C39" s="211">
        <v>46204</v>
      </c>
      <c r="D39" s="176" t="s">
        <v>3924</v>
      </c>
      <c r="E39" s="176" t="s">
        <v>3925</v>
      </c>
      <c r="F39" s="176" t="s">
        <v>87</v>
      </c>
      <c r="G39" s="176" t="s">
        <v>2486</v>
      </c>
      <c r="H39" s="176">
        <v>40</v>
      </c>
      <c r="I39" s="176">
        <v>43.5</v>
      </c>
      <c r="J39" s="176">
        <v>43.5</v>
      </c>
      <c r="K39" s="176">
        <v>5</v>
      </c>
      <c r="L39" s="176">
        <v>0</v>
      </c>
      <c r="M39" s="176" t="s">
        <v>148</v>
      </c>
      <c r="N39" s="176" t="s">
        <v>149</v>
      </c>
      <c r="O39" s="176" t="s">
        <v>150</v>
      </c>
      <c r="P39" s="176" t="s">
        <v>151</v>
      </c>
      <c r="Q39" s="176"/>
      <c r="R39" s="176" t="s">
        <v>3925</v>
      </c>
      <c r="S39" s="176"/>
      <c r="T39" s="176" t="s">
        <v>2762</v>
      </c>
      <c r="U39" s="176" t="s">
        <v>152</v>
      </c>
      <c r="V39" s="176" t="s">
        <v>23</v>
      </c>
    </row>
    <row r="40" spans="1:22" ht="12.75" customHeight="1">
      <c r="A40" s="65"/>
      <c r="B40" s="211">
        <v>46204</v>
      </c>
      <c r="C40" s="211">
        <v>46204</v>
      </c>
      <c r="D40" s="176" t="s">
        <v>3926</v>
      </c>
      <c r="E40" s="176" t="s">
        <v>3927</v>
      </c>
      <c r="F40" s="176" t="s">
        <v>87</v>
      </c>
      <c r="G40" s="176" t="s">
        <v>2485</v>
      </c>
      <c r="H40" s="176">
        <v>30</v>
      </c>
      <c r="I40" s="176">
        <v>43.5</v>
      </c>
      <c r="J40" s="176">
        <v>43.5</v>
      </c>
      <c r="K40" s="176">
        <v>4</v>
      </c>
      <c r="L40" s="176">
        <v>0</v>
      </c>
      <c r="M40" s="176" t="s">
        <v>148</v>
      </c>
      <c r="N40" s="176" t="s">
        <v>149</v>
      </c>
      <c r="O40" s="176" t="s">
        <v>150</v>
      </c>
      <c r="P40" s="176" t="s">
        <v>151</v>
      </c>
      <c r="Q40" s="176"/>
      <c r="R40" s="176" t="s">
        <v>3927</v>
      </c>
      <c r="S40" s="176"/>
      <c r="T40" s="176" t="s">
        <v>2762</v>
      </c>
      <c r="U40" s="176" t="s">
        <v>152</v>
      </c>
      <c r="V40" s="176" t="s">
        <v>23</v>
      </c>
    </row>
    <row r="41" spans="1:22" ht="12.75" customHeight="1">
      <c r="A41" s="65"/>
      <c r="B41" s="211">
        <v>46204</v>
      </c>
      <c r="C41" s="211">
        <v>46204</v>
      </c>
      <c r="D41" s="176" t="s">
        <v>3928</v>
      </c>
      <c r="E41" s="176" t="s">
        <v>3929</v>
      </c>
      <c r="F41" s="176" t="s">
        <v>87</v>
      </c>
      <c r="G41" s="176" t="s">
        <v>2486</v>
      </c>
      <c r="H41" s="176">
        <v>40</v>
      </c>
      <c r="I41" s="176">
        <v>36.799999999999997</v>
      </c>
      <c r="J41" s="176">
        <v>36.799999999999997</v>
      </c>
      <c r="K41" s="176">
        <v>5</v>
      </c>
      <c r="L41" s="176">
        <v>0</v>
      </c>
      <c r="M41" s="176" t="s">
        <v>148</v>
      </c>
      <c r="N41" s="176" t="s">
        <v>149</v>
      </c>
      <c r="O41" s="176" t="s">
        <v>150</v>
      </c>
      <c r="P41" s="176" t="s">
        <v>151</v>
      </c>
      <c r="Q41" s="176"/>
      <c r="R41" s="176" t="s">
        <v>3929</v>
      </c>
      <c r="S41" s="176"/>
      <c r="T41" s="176" t="s">
        <v>2762</v>
      </c>
      <c r="U41" s="176" t="s">
        <v>152</v>
      </c>
      <c r="V41" s="176" t="s">
        <v>23</v>
      </c>
    </row>
    <row r="42" spans="1:22" ht="12.75" customHeight="1">
      <c r="A42" s="65"/>
      <c r="B42" s="211">
        <v>46205</v>
      </c>
      <c r="C42" s="211">
        <v>46205</v>
      </c>
      <c r="D42" s="176" t="s">
        <v>3930</v>
      </c>
      <c r="E42" s="176" t="s">
        <v>3931</v>
      </c>
      <c r="F42" s="176" t="s">
        <v>87</v>
      </c>
      <c r="G42" s="176" t="s">
        <v>2001</v>
      </c>
      <c r="H42" s="176">
        <v>6</v>
      </c>
      <c r="I42" s="176">
        <v>13.3</v>
      </c>
      <c r="J42" s="176">
        <v>13.3</v>
      </c>
      <c r="K42" s="176">
        <v>1.5</v>
      </c>
      <c r="L42" s="176">
        <v>0</v>
      </c>
      <c r="M42" s="176" t="s">
        <v>148</v>
      </c>
      <c r="N42" s="176" t="s">
        <v>149</v>
      </c>
      <c r="O42" s="176" t="s">
        <v>150</v>
      </c>
      <c r="P42" s="176" t="s">
        <v>151</v>
      </c>
      <c r="Q42" s="176"/>
      <c r="R42" s="176" t="s">
        <v>3931</v>
      </c>
      <c r="S42" s="176"/>
      <c r="T42" s="176" t="s">
        <v>2770</v>
      </c>
      <c r="U42" s="176" t="s">
        <v>152</v>
      </c>
      <c r="V42" s="176" t="s">
        <v>23</v>
      </c>
    </row>
    <row r="43" spans="1:22" ht="12.75" customHeight="1">
      <c r="A43" s="65"/>
      <c r="B43" s="211">
        <v>46205</v>
      </c>
      <c r="C43" s="211">
        <v>46205</v>
      </c>
      <c r="D43" s="176" t="s">
        <v>3932</v>
      </c>
      <c r="E43" s="176" t="s">
        <v>3933</v>
      </c>
      <c r="F43" s="176" t="s">
        <v>87</v>
      </c>
      <c r="G43" s="176" t="s">
        <v>3934</v>
      </c>
      <c r="H43" s="176">
        <v>25</v>
      </c>
      <c r="I43" s="176">
        <v>18.8</v>
      </c>
      <c r="J43" s="176">
        <v>18.8</v>
      </c>
      <c r="K43" s="176">
        <v>4</v>
      </c>
      <c r="L43" s="176">
        <v>0</v>
      </c>
      <c r="M43" s="176" t="s">
        <v>148</v>
      </c>
      <c r="N43" s="176" t="s">
        <v>149</v>
      </c>
      <c r="O43" s="176" t="s">
        <v>150</v>
      </c>
      <c r="P43" s="176" t="s">
        <v>151</v>
      </c>
      <c r="Q43" s="176"/>
      <c r="R43" s="176" t="s">
        <v>3933</v>
      </c>
      <c r="S43" s="176"/>
      <c r="T43" s="176" t="s">
        <v>2770</v>
      </c>
      <c r="U43" s="176" t="s">
        <v>152</v>
      </c>
      <c r="V43" s="176" t="s">
        <v>23</v>
      </c>
    </row>
    <row r="44" spans="1:22" ht="12.75" customHeight="1">
      <c r="A44" s="65"/>
      <c r="B44" s="211">
        <v>46205</v>
      </c>
      <c r="C44" s="211">
        <v>46205</v>
      </c>
      <c r="D44" s="176" t="s">
        <v>3935</v>
      </c>
      <c r="E44" s="176" t="s">
        <v>3936</v>
      </c>
      <c r="F44" s="176" t="s">
        <v>87</v>
      </c>
      <c r="G44" s="176" t="s">
        <v>3866</v>
      </c>
      <c r="H44" s="176">
        <v>40</v>
      </c>
      <c r="I44" s="176">
        <v>36</v>
      </c>
      <c r="J44" s="176">
        <v>36</v>
      </c>
      <c r="K44" s="176">
        <v>5</v>
      </c>
      <c r="L44" s="176">
        <v>0</v>
      </c>
      <c r="M44" s="176" t="s">
        <v>148</v>
      </c>
      <c r="N44" s="176" t="s">
        <v>149</v>
      </c>
      <c r="O44" s="176" t="s">
        <v>150</v>
      </c>
      <c r="P44" s="176" t="s">
        <v>151</v>
      </c>
      <c r="Q44" s="176"/>
      <c r="R44" s="176" t="s">
        <v>3936</v>
      </c>
      <c r="S44" s="176"/>
      <c r="T44" s="176" t="s">
        <v>2770</v>
      </c>
      <c r="U44" s="176" t="s">
        <v>152</v>
      </c>
      <c r="V44" s="176" t="s">
        <v>23</v>
      </c>
    </row>
    <row r="45" spans="1:22" ht="12.75" customHeight="1">
      <c r="A45" s="65"/>
      <c r="B45" s="211">
        <v>46205</v>
      </c>
      <c r="C45" s="211">
        <v>46205</v>
      </c>
      <c r="D45" s="176" t="s">
        <v>3937</v>
      </c>
      <c r="E45" s="176" t="s">
        <v>3938</v>
      </c>
      <c r="F45" s="176" t="s">
        <v>87</v>
      </c>
      <c r="G45" s="176" t="s">
        <v>2486</v>
      </c>
      <c r="H45" s="176">
        <v>40</v>
      </c>
      <c r="I45" s="176">
        <v>43.8</v>
      </c>
      <c r="J45" s="176">
        <v>43.8</v>
      </c>
      <c r="K45" s="176">
        <v>5</v>
      </c>
      <c r="L45" s="176">
        <v>0</v>
      </c>
      <c r="M45" s="176" t="s">
        <v>148</v>
      </c>
      <c r="N45" s="176" t="s">
        <v>149</v>
      </c>
      <c r="O45" s="176" t="s">
        <v>150</v>
      </c>
      <c r="P45" s="176" t="s">
        <v>151</v>
      </c>
      <c r="Q45" s="176"/>
      <c r="R45" s="176" t="s">
        <v>3938</v>
      </c>
      <c r="S45" s="176"/>
      <c r="T45" s="176" t="s">
        <v>2770</v>
      </c>
      <c r="U45" s="176" t="s">
        <v>152</v>
      </c>
      <c r="V45" s="176" t="s">
        <v>23</v>
      </c>
    </row>
    <row r="46" spans="1:22" ht="12.75" customHeight="1">
      <c r="A46" s="65"/>
      <c r="B46" s="211">
        <v>46205</v>
      </c>
      <c r="C46" s="211">
        <v>46205</v>
      </c>
      <c r="D46" s="176" t="s">
        <v>3939</v>
      </c>
      <c r="E46" s="176" t="s">
        <v>3940</v>
      </c>
      <c r="F46" s="176" t="s">
        <v>87</v>
      </c>
      <c r="G46" s="176" t="s">
        <v>2001</v>
      </c>
      <c r="H46" s="176">
        <v>6</v>
      </c>
      <c r="I46" s="176">
        <v>29.4</v>
      </c>
      <c r="J46" s="176">
        <v>29.4</v>
      </c>
      <c r="K46" s="176">
        <v>1.5</v>
      </c>
      <c r="L46" s="176">
        <v>0</v>
      </c>
      <c r="M46" s="176" t="s">
        <v>148</v>
      </c>
      <c r="N46" s="176" t="s">
        <v>149</v>
      </c>
      <c r="O46" s="176" t="s">
        <v>150</v>
      </c>
      <c r="P46" s="176" t="s">
        <v>151</v>
      </c>
      <c r="Q46" s="176"/>
      <c r="R46" s="176" t="s">
        <v>3940</v>
      </c>
      <c r="S46" s="176"/>
      <c r="T46" s="176" t="s">
        <v>2770</v>
      </c>
      <c r="U46" s="176" t="s">
        <v>152</v>
      </c>
      <c r="V46" s="176" t="s">
        <v>23</v>
      </c>
    </row>
    <row r="47" spans="1:22" ht="12.75" customHeight="1">
      <c r="A47" s="65"/>
      <c r="B47" s="211">
        <v>46205</v>
      </c>
      <c r="C47" s="211">
        <v>46205</v>
      </c>
      <c r="D47" s="176" t="s">
        <v>3941</v>
      </c>
      <c r="E47" s="176" t="s">
        <v>3942</v>
      </c>
      <c r="F47" s="176" t="s">
        <v>87</v>
      </c>
      <c r="G47" s="176" t="s">
        <v>3934</v>
      </c>
      <c r="H47" s="176">
        <v>25</v>
      </c>
      <c r="I47" s="176">
        <v>44.5</v>
      </c>
      <c r="J47" s="176">
        <v>44.5</v>
      </c>
      <c r="K47" s="176">
        <v>4</v>
      </c>
      <c r="L47" s="176">
        <v>0</v>
      </c>
      <c r="M47" s="176" t="s">
        <v>148</v>
      </c>
      <c r="N47" s="176" t="s">
        <v>149</v>
      </c>
      <c r="O47" s="176" t="s">
        <v>150</v>
      </c>
      <c r="P47" s="176" t="s">
        <v>151</v>
      </c>
      <c r="Q47" s="176"/>
      <c r="R47" s="176" t="s">
        <v>3942</v>
      </c>
      <c r="S47" s="176"/>
      <c r="T47" s="176" t="s">
        <v>2770</v>
      </c>
      <c r="U47" s="176" t="s">
        <v>152</v>
      </c>
      <c r="V47" s="176" t="s">
        <v>23</v>
      </c>
    </row>
    <row r="48" spans="1:22" ht="12.75" customHeight="1">
      <c r="A48" s="65"/>
      <c r="B48" s="211">
        <v>46205</v>
      </c>
      <c r="C48" s="211">
        <v>46205</v>
      </c>
      <c r="D48" s="176" t="s">
        <v>3943</v>
      </c>
      <c r="E48" s="176" t="s">
        <v>3944</v>
      </c>
      <c r="F48" s="176" t="s">
        <v>87</v>
      </c>
      <c r="G48" s="176" t="s">
        <v>2639</v>
      </c>
      <c r="H48" s="176">
        <v>25</v>
      </c>
      <c r="I48" s="176">
        <v>41</v>
      </c>
      <c r="J48" s="176">
        <v>41</v>
      </c>
      <c r="K48" s="176">
        <v>4</v>
      </c>
      <c r="L48" s="176">
        <v>0</v>
      </c>
      <c r="M48" s="176" t="s">
        <v>148</v>
      </c>
      <c r="N48" s="176" t="s">
        <v>149</v>
      </c>
      <c r="O48" s="176" t="s">
        <v>150</v>
      </c>
      <c r="P48" s="176" t="s">
        <v>151</v>
      </c>
      <c r="Q48" s="176"/>
      <c r="R48" s="176" t="s">
        <v>3944</v>
      </c>
      <c r="S48" s="176"/>
      <c r="T48" s="176" t="s">
        <v>2770</v>
      </c>
      <c r="U48" s="176" t="s">
        <v>152</v>
      </c>
      <c r="V48" s="176" t="s">
        <v>23</v>
      </c>
    </row>
    <row r="49" spans="1:22" ht="12.75" customHeight="1">
      <c r="A49" s="65"/>
      <c r="B49" s="211">
        <v>46205</v>
      </c>
      <c r="C49" s="211">
        <v>46205</v>
      </c>
      <c r="D49" s="176" t="s">
        <v>3945</v>
      </c>
      <c r="E49" s="176" t="s">
        <v>3946</v>
      </c>
      <c r="F49" s="176" t="s">
        <v>87</v>
      </c>
      <c r="G49" s="176" t="s">
        <v>2639</v>
      </c>
      <c r="H49" s="176">
        <v>25</v>
      </c>
      <c r="I49" s="176">
        <v>31.2</v>
      </c>
      <c r="J49" s="176">
        <v>31.2</v>
      </c>
      <c r="K49" s="176">
        <v>4</v>
      </c>
      <c r="L49" s="176">
        <v>0</v>
      </c>
      <c r="M49" s="176" t="s">
        <v>148</v>
      </c>
      <c r="N49" s="176" t="s">
        <v>149</v>
      </c>
      <c r="O49" s="176" t="s">
        <v>150</v>
      </c>
      <c r="P49" s="176" t="s">
        <v>151</v>
      </c>
      <c r="Q49" s="176"/>
      <c r="R49" s="176" t="s">
        <v>3946</v>
      </c>
      <c r="S49" s="176"/>
      <c r="T49" s="176" t="s">
        <v>2770</v>
      </c>
      <c r="U49" s="176" t="s">
        <v>152</v>
      </c>
      <c r="V49" s="176" t="s">
        <v>23</v>
      </c>
    </row>
    <row r="50" spans="1:22" ht="12.75" customHeight="1">
      <c r="A50" s="65"/>
      <c r="B50" s="211">
        <v>46205</v>
      </c>
      <c r="C50" s="211">
        <v>46205</v>
      </c>
      <c r="D50" s="176" t="s">
        <v>3947</v>
      </c>
      <c r="E50" s="176" t="s">
        <v>3948</v>
      </c>
      <c r="F50" s="176" t="s">
        <v>87</v>
      </c>
      <c r="G50" s="176" t="s">
        <v>2633</v>
      </c>
      <c r="H50" s="176">
        <v>40</v>
      </c>
      <c r="I50" s="176">
        <v>30.2</v>
      </c>
      <c r="J50" s="176">
        <v>30.2</v>
      </c>
      <c r="K50" s="176">
        <v>5</v>
      </c>
      <c r="L50" s="176">
        <v>0</v>
      </c>
      <c r="M50" s="176" t="s">
        <v>148</v>
      </c>
      <c r="N50" s="176" t="s">
        <v>149</v>
      </c>
      <c r="O50" s="176" t="s">
        <v>150</v>
      </c>
      <c r="P50" s="176" t="s">
        <v>151</v>
      </c>
      <c r="Q50" s="176"/>
      <c r="R50" s="176" t="s">
        <v>3948</v>
      </c>
      <c r="S50" s="176"/>
      <c r="T50" s="176" t="s">
        <v>2770</v>
      </c>
      <c r="U50" s="176" t="s">
        <v>152</v>
      </c>
      <c r="V50" s="176" t="s">
        <v>23</v>
      </c>
    </row>
    <row r="51" spans="1:22" ht="12.75" customHeight="1">
      <c r="A51" s="65"/>
      <c r="B51" s="211">
        <v>46205</v>
      </c>
      <c r="C51" s="211">
        <v>46205</v>
      </c>
      <c r="D51" s="176" t="s">
        <v>3949</v>
      </c>
      <c r="E51" s="176" t="s">
        <v>3950</v>
      </c>
      <c r="F51" s="176" t="s">
        <v>87</v>
      </c>
      <c r="G51" s="176" t="s">
        <v>2633</v>
      </c>
      <c r="H51" s="176">
        <v>40</v>
      </c>
      <c r="I51" s="176">
        <v>45.1</v>
      </c>
      <c r="J51" s="176">
        <v>45.1</v>
      </c>
      <c r="K51" s="176">
        <v>5</v>
      </c>
      <c r="L51" s="176">
        <v>0</v>
      </c>
      <c r="M51" s="176" t="s">
        <v>148</v>
      </c>
      <c r="N51" s="176" t="s">
        <v>149</v>
      </c>
      <c r="O51" s="176" t="s">
        <v>150</v>
      </c>
      <c r="P51" s="176" t="s">
        <v>151</v>
      </c>
      <c r="Q51" s="176"/>
      <c r="R51" s="176" t="s">
        <v>3950</v>
      </c>
      <c r="S51" s="176"/>
      <c r="T51" s="176" t="s">
        <v>2770</v>
      </c>
      <c r="U51" s="176" t="s">
        <v>152</v>
      </c>
      <c r="V51" s="176" t="s">
        <v>23</v>
      </c>
    </row>
    <row r="52" spans="1:22" ht="12.75" customHeight="1">
      <c r="A52" s="65"/>
      <c r="B52" s="211">
        <v>46205</v>
      </c>
      <c r="C52" s="211">
        <v>46205</v>
      </c>
      <c r="D52" s="176" t="s">
        <v>3951</v>
      </c>
      <c r="E52" s="176" t="s">
        <v>3952</v>
      </c>
      <c r="F52" s="176" t="s">
        <v>87</v>
      </c>
      <c r="G52" s="176" t="s">
        <v>3934</v>
      </c>
      <c r="H52" s="176">
        <v>25</v>
      </c>
      <c r="I52" s="176">
        <v>44.3</v>
      </c>
      <c r="J52" s="176">
        <v>44.3</v>
      </c>
      <c r="K52" s="176">
        <v>4</v>
      </c>
      <c r="L52" s="176">
        <v>0</v>
      </c>
      <c r="M52" s="176" t="s">
        <v>148</v>
      </c>
      <c r="N52" s="176" t="s">
        <v>149</v>
      </c>
      <c r="O52" s="176" t="s">
        <v>150</v>
      </c>
      <c r="P52" s="176" t="s">
        <v>151</v>
      </c>
      <c r="Q52" s="176"/>
      <c r="R52" s="176" t="s">
        <v>3952</v>
      </c>
      <c r="S52" s="176"/>
      <c r="T52" s="176" t="s">
        <v>2770</v>
      </c>
      <c r="U52" s="176" t="s">
        <v>152</v>
      </c>
      <c r="V52" s="176" t="s">
        <v>23</v>
      </c>
    </row>
    <row r="53" spans="1:22" ht="12.75" customHeight="1">
      <c r="A53" s="65"/>
      <c r="B53" s="211">
        <v>46205</v>
      </c>
      <c r="C53" s="211">
        <v>46205</v>
      </c>
      <c r="D53" s="176" t="s">
        <v>3953</v>
      </c>
      <c r="E53" s="176" t="s">
        <v>3954</v>
      </c>
      <c r="F53" s="176" t="s">
        <v>87</v>
      </c>
      <c r="G53" s="176" t="s">
        <v>2633</v>
      </c>
      <c r="H53" s="176">
        <v>40</v>
      </c>
      <c r="I53" s="176">
        <v>21.8</v>
      </c>
      <c r="J53" s="176">
        <v>21.8</v>
      </c>
      <c r="K53" s="176">
        <v>5</v>
      </c>
      <c r="L53" s="176">
        <v>0</v>
      </c>
      <c r="M53" s="176" t="s">
        <v>148</v>
      </c>
      <c r="N53" s="176" t="s">
        <v>149</v>
      </c>
      <c r="O53" s="176" t="s">
        <v>150</v>
      </c>
      <c r="P53" s="176" t="s">
        <v>151</v>
      </c>
      <c r="Q53" s="176"/>
      <c r="R53" s="176" t="s">
        <v>3954</v>
      </c>
      <c r="S53" s="176"/>
      <c r="T53" s="176" t="s">
        <v>2770</v>
      </c>
      <c r="U53" s="176" t="s">
        <v>152</v>
      </c>
      <c r="V53" s="176" t="s">
        <v>23</v>
      </c>
    </row>
    <row r="54" spans="1:22" ht="12.75" customHeight="1">
      <c r="A54" s="65"/>
      <c r="B54" s="211">
        <v>46205</v>
      </c>
      <c r="C54" s="211">
        <v>46205</v>
      </c>
      <c r="D54" s="176" t="s">
        <v>3955</v>
      </c>
      <c r="E54" s="176" t="s">
        <v>3956</v>
      </c>
      <c r="F54" s="176" t="s">
        <v>87</v>
      </c>
      <c r="G54" s="176" t="s">
        <v>2639</v>
      </c>
      <c r="H54" s="176">
        <v>25</v>
      </c>
      <c r="I54" s="176">
        <v>21.4</v>
      </c>
      <c r="J54" s="176">
        <v>21.4</v>
      </c>
      <c r="K54" s="176">
        <v>4</v>
      </c>
      <c r="L54" s="176">
        <v>0</v>
      </c>
      <c r="M54" s="176" t="s">
        <v>148</v>
      </c>
      <c r="N54" s="176" t="s">
        <v>149</v>
      </c>
      <c r="O54" s="176" t="s">
        <v>150</v>
      </c>
      <c r="P54" s="176" t="s">
        <v>151</v>
      </c>
      <c r="Q54" s="176"/>
      <c r="R54" s="176" t="s">
        <v>3956</v>
      </c>
      <c r="S54" s="176"/>
      <c r="T54" s="176" t="s">
        <v>2770</v>
      </c>
      <c r="U54" s="176" t="s">
        <v>152</v>
      </c>
      <c r="V54" s="176" t="s">
        <v>23</v>
      </c>
    </row>
    <row r="55" spans="1:22" ht="12.75" customHeight="1">
      <c r="A55" s="65"/>
      <c r="B55" s="211">
        <v>46205</v>
      </c>
      <c r="C55" s="211">
        <v>46205</v>
      </c>
      <c r="D55" s="176" t="s">
        <v>3957</v>
      </c>
      <c r="E55" s="176" t="s">
        <v>3958</v>
      </c>
      <c r="F55" s="176" t="s">
        <v>87</v>
      </c>
      <c r="G55" s="176" t="s">
        <v>2485</v>
      </c>
      <c r="H55" s="176">
        <v>30</v>
      </c>
      <c r="I55" s="176">
        <v>37.799999999999997</v>
      </c>
      <c r="J55" s="176">
        <v>37.799999999999997</v>
      </c>
      <c r="K55" s="176">
        <v>4</v>
      </c>
      <c r="L55" s="176">
        <v>0</v>
      </c>
      <c r="M55" s="176" t="s">
        <v>148</v>
      </c>
      <c r="N55" s="176" t="s">
        <v>149</v>
      </c>
      <c r="O55" s="176" t="s">
        <v>150</v>
      </c>
      <c r="P55" s="176" t="s">
        <v>151</v>
      </c>
      <c r="Q55" s="176"/>
      <c r="R55" s="176" t="s">
        <v>3958</v>
      </c>
      <c r="S55" s="176"/>
      <c r="T55" s="176" t="s">
        <v>2770</v>
      </c>
      <c r="U55" s="176" t="s">
        <v>152</v>
      </c>
      <c r="V55" s="176" t="s">
        <v>23</v>
      </c>
    </row>
    <row r="56" spans="1:22" ht="12.75" customHeight="1">
      <c r="A56" s="65"/>
      <c r="B56" s="211">
        <v>46205</v>
      </c>
      <c r="C56" s="211">
        <v>46205</v>
      </c>
      <c r="D56" s="176" t="s">
        <v>3959</v>
      </c>
      <c r="E56" s="176" t="s">
        <v>3960</v>
      </c>
      <c r="F56" s="176" t="s">
        <v>87</v>
      </c>
      <c r="G56" s="176" t="s">
        <v>2485</v>
      </c>
      <c r="H56" s="176">
        <v>30</v>
      </c>
      <c r="I56" s="176">
        <v>24.3</v>
      </c>
      <c r="J56" s="176">
        <v>24.3</v>
      </c>
      <c r="K56" s="176">
        <v>4</v>
      </c>
      <c r="L56" s="176">
        <v>0</v>
      </c>
      <c r="M56" s="176" t="s">
        <v>148</v>
      </c>
      <c r="N56" s="176" t="s">
        <v>149</v>
      </c>
      <c r="O56" s="176" t="s">
        <v>150</v>
      </c>
      <c r="P56" s="176" t="s">
        <v>151</v>
      </c>
      <c r="Q56" s="176"/>
      <c r="R56" s="176" t="s">
        <v>3960</v>
      </c>
      <c r="S56" s="176"/>
      <c r="T56" s="176" t="s">
        <v>2770</v>
      </c>
      <c r="U56" s="176" t="s">
        <v>152</v>
      </c>
      <c r="V56" s="176" t="s">
        <v>23</v>
      </c>
    </row>
    <row r="57" spans="1:22" ht="12.75" customHeight="1">
      <c r="A57" s="65"/>
      <c r="B57" s="211">
        <v>46205</v>
      </c>
      <c r="C57" s="211">
        <v>46205</v>
      </c>
      <c r="D57" s="176" t="s">
        <v>3961</v>
      </c>
      <c r="E57" s="176" t="s">
        <v>3962</v>
      </c>
      <c r="F57" s="176" t="s">
        <v>87</v>
      </c>
      <c r="G57" s="176" t="s">
        <v>3873</v>
      </c>
      <c r="H57" s="176">
        <v>35</v>
      </c>
      <c r="I57" s="176">
        <v>19.3</v>
      </c>
      <c r="J57" s="176">
        <v>19.3</v>
      </c>
      <c r="K57" s="176">
        <v>4</v>
      </c>
      <c r="L57" s="176">
        <v>0</v>
      </c>
      <c r="M57" s="176" t="s">
        <v>148</v>
      </c>
      <c r="N57" s="176" t="s">
        <v>149</v>
      </c>
      <c r="O57" s="176" t="s">
        <v>150</v>
      </c>
      <c r="P57" s="176" t="s">
        <v>151</v>
      </c>
      <c r="Q57" s="176"/>
      <c r="R57" s="176" t="s">
        <v>3962</v>
      </c>
      <c r="S57" s="176"/>
      <c r="T57" s="176" t="s">
        <v>2770</v>
      </c>
      <c r="U57" s="176" t="s">
        <v>152</v>
      </c>
      <c r="V57" s="176" t="s">
        <v>23</v>
      </c>
    </row>
    <row r="58" spans="1:22" ht="12.75" customHeight="1">
      <c r="A58" s="65"/>
      <c r="B58" s="211">
        <v>46205</v>
      </c>
      <c r="C58" s="211">
        <v>46205</v>
      </c>
      <c r="D58" s="176" t="s">
        <v>3963</v>
      </c>
      <c r="E58" s="176" t="s">
        <v>3964</v>
      </c>
      <c r="F58" s="176" t="s">
        <v>87</v>
      </c>
      <c r="G58" s="176" t="s">
        <v>2553</v>
      </c>
      <c r="H58" s="176">
        <v>30</v>
      </c>
      <c r="I58" s="176">
        <v>43.5</v>
      </c>
      <c r="J58" s="176">
        <v>43.5</v>
      </c>
      <c r="K58" s="176">
        <v>4</v>
      </c>
      <c r="L58" s="176">
        <v>0</v>
      </c>
      <c r="M58" s="176" t="s">
        <v>148</v>
      </c>
      <c r="N58" s="176" t="s">
        <v>149</v>
      </c>
      <c r="O58" s="176" t="s">
        <v>150</v>
      </c>
      <c r="P58" s="176" t="s">
        <v>151</v>
      </c>
      <c r="Q58" s="176"/>
      <c r="R58" s="176" t="s">
        <v>3964</v>
      </c>
      <c r="S58" s="176"/>
      <c r="T58" s="176" t="s">
        <v>2770</v>
      </c>
      <c r="U58" s="176" t="s">
        <v>152</v>
      </c>
      <c r="V58" s="176" t="s">
        <v>23</v>
      </c>
    </row>
    <row r="59" spans="1:22" ht="12.75" customHeight="1">
      <c r="A59" s="65"/>
      <c r="B59" s="211">
        <v>46205</v>
      </c>
      <c r="C59" s="211">
        <v>46205</v>
      </c>
      <c r="D59" s="176" t="s">
        <v>3965</v>
      </c>
      <c r="E59" s="176" t="s">
        <v>3966</v>
      </c>
      <c r="F59" s="176" t="s">
        <v>87</v>
      </c>
      <c r="G59" s="176" t="s">
        <v>2552</v>
      </c>
      <c r="H59" s="176">
        <v>40</v>
      </c>
      <c r="I59" s="176">
        <v>32.799999999999997</v>
      </c>
      <c r="J59" s="176">
        <v>32.799999999999997</v>
      </c>
      <c r="K59" s="176">
        <v>5</v>
      </c>
      <c r="L59" s="176">
        <v>0</v>
      </c>
      <c r="M59" s="176" t="s">
        <v>148</v>
      </c>
      <c r="N59" s="176" t="s">
        <v>149</v>
      </c>
      <c r="O59" s="176" t="s">
        <v>150</v>
      </c>
      <c r="P59" s="176" t="s">
        <v>151</v>
      </c>
      <c r="Q59" s="176"/>
      <c r="R59" s="176" t="s">
        <v>3966</v>
      </c>
      <c r="S59" s="176"/>
      <c r="T59" s="176" t="s">
        <v>2770</v>
      </c>
      <c r="U59" s="176" t="s">
        <v>152</v>
      </c>
      <c r="V59" s="176" t="s">
        <v>23</v>
      </c>
    </row>
    <row r="60" spans="1:22" ht="12.75" customHeight="1">
      <c r="A60" s="65"/>
      <c r="B60" s="211">
        <v>46205</v>
      </c>
      <c r="C60" s="211">
        <v>46205</v>
      </c>
      <c r="D60" s="176" t="s">
        <v>3967</v>
      </c>
      <c r="E60" s="176" t="s">
        <v>3968</v>
      </c>
      <c r="F60" s="176" t="s">
        <v>87</v>
      </c>
      <c r="G60" s="176" t="s">
        <v>2637</v>
      </c>
      <c r="H60" s="176">
        <v>40</v>
      </c>
      <c r="I60" s="176">
        <v>37</v>
      </c>
      <c r="J60" s="176">
        <v>37</v>
      </c>
      <c r="K60" s="176">
        <v>7</v>
      </c>
      <c r="L60" s="176">
        <v>0</v>
      </c>
      <c r="M60" s="176" t="s">
        <v>148</v>
      </c>
      <c r="N60" s="176" t="s">
        <v>149</v>
      </c>
      <c r="O60" s="176" t="s">
        <v>150</v>
      </c>
      <c r="P60" s="176" t="s">
        <v>151</v>
      </c>
      <c r="Q60" s="176"/>
      <c r="R60" s="176" t="s">
        <v>3968</v>
      </c>
      <c r="S60" s="176"/>
      <c r="T60" s="176" t="s">
        <v>2770</v>
      </c>
      <c r="U60" s="176" t="s">
        <v>152</v>
      </c>
      <c r="V60" s="176" t="s">
        <v>23</v>
      </c>
    </row>
    <row r="61" spans="1:22" ht="12.75" customHeight="1">
      <c r="A61" s="65"/>
      <c r="B61" s="211">
        <v>46205</v>
      </c>
      <c r="C61" s="211">
        <v>46205</v>
      </c>
      <c r="D61" s="176" t="s">
        <v>3969</v>
      </c>
      <c r="E61" s="176" t="s">
        <v>3970</v>
      </c>
      <c r="F61" s="176" t="s">
        <v>87</v>
      </c>
      <c r="G61" s="176" t="s">
        <v>3934</v>
      </c>
      <c r="H61" s="176">
        <v>25</v>
      </c>
      <c r="I61" s="176">
        <v>36.4</v>
      </c>
      <c r="J61" s="176">
        <v>36.4</v>
      </c>
      <c r="K61" s="176">
        <v>4</v>
      </c>
      <c r="L61" s="176">
        <v>0</v>
      </c>
      <c r="M61" s="176" t="s">
        <v>148</v>
      </c>
      <c r="N61" s="176" t="s">
        <v>149</v>
      </c>
      <c r="O61" s="176" t="s">
        <v>150</v>
      </c>
      <c r="P61" s="176" t="s">
        <v>151</v>
      </c>
      <c r="Q61" s="176"/>
      <c r="R61" s="176" t="s">
        <v>3970</v>
      </c>
      <c r="S61" s="176"/>
      <c r="T61" s="176" t="s">
        <v>2770</v>
      </c>
      <c r="U61" s="176" t="s">
        <v>152</v>
      </c>
      <c r="V61" s="176" t="s">
        <v>23</v>
      </c>
    </row>
    <row r="62" spans="1:22" ht="12.75" customHeight="1">
      <c r="A62" s="65"/>
      <c r="B62" s="211">
        <v>46205</v>
      </c>
      <c r="C62" s="211">
        <v>46205</v>
      </c>
      <c r="D62" s="176" t="s">
        <v>3971</v>
      </c>
      <c r="E62" s="176" t="s">
        <v>3972</v>
      </c>
      <c r="F62" s="176" t="s">
        <v>87</v>
      </c>
      <c r="G62" s="176" t="s">
        <v>2486</v>
      </c>
      <c r="H62" s="176">
        <v>40</v>
      </c>
      <c r="I62" s="176">
        <v>42.4</v>
      </c>
      <c r="J62" s="176">
        <v>42.4</v>
      </c>
      <c r="K62" s="176">
        <v>5</v>
      </c>
      <c r="L62" s="176">
        <v>0</v>
      </c>
      <c r="M62" s="176" t="s">
        <v>148</v>
      </c>
      <c r="N62" s="176" t="s">
        <v>149</v>
      </c>
      <c r="O62" s="176" t="s">
        <v>150</v>
      </c>
      <c r="P62" s="176" t="s">
        <v>151</v>
      </c>
      <c r="Q62" s="176"/>
      <c r="R62" s="176" t="s">
        <v>3972</v>
      </c>
      <c r="S62" s="176"/>
      <c r="T62" s="176" t="s">
        <v>2770</v>
      </c>
      <c r="U62" s="176" t="s">
        <v>152</v>
      </c>
      <c r="V62" s="176" t="s">
        <v>23</v>
      </c>
    </row>
    <row r="63" spans="1:22" ht="12.75" customHeight="1">
      <c r="A63" s="65"/>
      <c r="B63" s="211">
        <v>46205</v>
      </c>
      <c r="C63" s="211">
        <v>46205</v>
      </c>
      <c r="D63" s="176" t="s">
        <v>3973</v>
      </c>
      <c r="E63" s="176" t="s">
        <v>3974</v>
      </c>
      <c r="F63" s="176" t="s">
        <v>87</v>
      </c>
      <c r="G63" s="176" t="s">
        <v>2553</v>
      </c>
      <c r="H63" s="176">
        <v>30</v>
      </c>
      <c r="I63" s="176">
        <v>39.1</v>
      </c>
      <c r="J63" s="176">
        <v>39.1</v>
      </c>
      <c r="K63" s="176">
        <v>4</v>
      </c>
      <c r="L63" s="176">
        <v>0</v>
      </c>
      <c r="M63" s="176" t="s">
        <v>148</v>
      </c>
      <c r="N63" s="176" t="s">
        <v>149</v>
      </c>
      <c r="O63" s="176" t="s">
        <v>150</v>
      </c>
      <c r="P63" s="176" t="s">
        <v>151</v>
      </c>
      <c r="Q63" s="176"/>
      <c r="R63" s="176" t="s">
        <v>3974</v>
      </c>
      <c r="S63" s="176"/>
      <c r="T63" s="176" t="s">
        <v>2770</v>
      </c>
      <c r="U63" s="176" t="s">
        <v>152</v>
      </c>
      <c r="V63" s="176" t="s">
        <v>23</v>
      </c>
    </row>
    <row r="64" spans="1:22" ht="12.75" customHeight="1">
      <c r="A64" s="65"/>
      <c r="B64" s="211">
        <v>46205</v>
      </c>
      <c r="C64" s="211">
        <v>46205</v>
      </c>
      <c r="D64" s="176" t="s">
        <v>3975</v>
      </c>
      <c r="E64" s="176" t="s">
        <v>3976</v>
      </c>
      <c r="F64" s="176" t="s">
        <v>87</v>
      </c>
      <c r="G64" s="176" t="s">
        <v>2486</v>
      </c>
      <c r="H64" s="176">
        <v>40</v>
      </c>
      <c r="I64" s="176">
        <v>42.4</v>
      </c>
      <c r="J64" s="176">
        <v>42.4</v>
      </c>
      <c r="K64" s="176">
        <v>5</v>
      </c>
      <c r="L64" s="176">
        <v>0</v>
      </c>
      <c r="M64" s="176" t="s">
        <v>148</v>
      </c>
      <c r="N64" s="176" t="s">
        <v>149</v>
      </c>
      <c r="O64" s="176" t="s">
        <v>150</v>
      </c>
      <c r="P64" s="176" t="s">
        <v>151</v>
      </c>
      <c r="Q64" s="176"/>
      <c r="R64" s="176" t="s">
        <v>3976</v>
      </c>
      <c r="S64" s="176"/>
      <c r="T64" s="176" t="s">
        <v>2770</v>
      </c>
      <c r="U64" s="176" t="s">
        <v>152</v>
      </c>
      <c r="V64" s="176" t="s">
        <v>23</v>
      </c>
    </row>
    <row r="65" spans="1:22" ht="12.75" customHeight="1">
      <c r="A65" s="65"/>
      <c r="B65" s="211">
        <v>46205</v>
      </c>
      <c r="C65" s="211">
        <v>46205</v>
      </c>
      <c r="D65" s="176" t="s">
        <v>3977</v>
      </c>
      <c r="E65" s="176" t="s">
        <v>3978</v>
      </c>
      <c r="F65" s="176" t="s">
        <v>87</v>
      </c>
      <c r="G65" s="176" t="s">
        <v>3934</v>
      </c>
      <c r="H65" s="176">
        <v>25</v>
      </c>
      <c r="I65" s="176">
        <v>47.3</v>
      </c>
      <c r="J65" s="176">
        <v>47.3</v>
      </c>
      <c r="K65" s="176">
        <v>4</v>
      </c>
      <c r="L65" s="176">
        <v>0</v>
      </c>
      <c r="M65" s="176" t="s">
        <v>148</v>
      </c>
      <c r="N65" s="176" t="s">
        <v>149</v>
      </c>
      <c r="O65" s="176" t="s">
        <v>150</v>
      </c>
      <c r="P65" s="176" t="s">
        <v>151</v>
      </c>
      <c r="Q65" s="176"/>
      <c r="R65" s="176" t="s">
        <v>3978</v>
      </c>
      <c r="S65" s="176"/>
      <c r="T65" s="176" t="s">
        <v>2770</v>
      </c>
      <c r="U65" s="176" t="s">
        <v>152</v>
      </c>
      <c r="V65" s="176" t="s">
        <v>23</v>
      </c>
    </row>
    <row r="66" spans="1:22" ht="12.75" customHeight="1">
      <c r="A66" s="65"/>
      <c r="B66" s="211">
        <v>46205</v>
      </c>
      <c r="C66" s="211">
        <v>46205</v>
      </c>
      <c r="D66" s="176" t="s">
        <v>3979</v>
      </c>
      <c r="E66" s="176" t="s">
        <v>3980</v>
      </c>
      <c r="F66" s="176" t="s">
        <v>87</v>
      </c>
      <c r="G66" s="176" t="s">
        <v>3866</v>
      </c>
      <c r="H66" s="176">
        <v>40</v>
      </c>
      <c r="I66" s="176">
        <v>16.8</v>
      </c>
      <c r="J66" s="176">
        <v>16.8</v>
      </c>
      <c r="K66" s="176">
        <v>5</v>
      </c>
      <c r="L66" s="176">
        <v>0</v>
      </c>
      <c r="M66" s="176" t="s">
        <v>148</v>
      </c>
      <c r="N66" s="176" t="s">
        <v>149</v>
      </c>
      <c r="O66" s="176" t="s">
        <v>150</v>
      </c>
      <c r="P66" s="176" t="s">
        <v>151</v>
      </c>
      <c r="Q66" s="176"/>
      <c r="R66" s="176" t="s">
        <v>3980</v>
      </c>
      <c r="S66" s="176"/>
      <c r="T66" s="176" t="s">
        <v>2770</v>
      </c>
      <c r="U66" s="176" t="s">
        <v>152</v>
      </c>
      <c r="V66" s="176" t="s">
        <v>23</v>
      </c>
    </row>
    <row r="67" spans="1:22" ht="12.75" customHeight="1">
      <c r="A67" s="65"/>
      <c r="B67" s="211">
        <v>46205</v>
      </c>
      <c r="C67" s="211">
        <v>46205</v>
      </c>
      <c r="D67" s="176" t="s">
        <v>3981</v>
      </c>
      <c r="E67" s="176" t="s">
        <v>3982</v>
      </c>
      <c r="F67" s="176" t="s">
        <v>87</v>
      </c>
      <c r="G67" s="176" t="s">
        <v>2486</v>
      </c>
      <c r="H67" s="176">
        <v>40</v>
      </c>
      <c r="I67" s="176">
        <v>47.6</v>
      </c>
      <c r="J67" s="176">
        <v>47.6</v>
      </c>
      <c r="K67" s="176">
        <v>5</v>
      </c>
      <c r="L67" s="176">
        <v>0</v>
      </c>
      <c r="M67" s="176" t="s">
        <v>148</v>
      </c>
      <c r="N67" s="176" t="s">
        <v>149</v>
      </c>
      <c r="O67" s="176" t="s">
        <v>150</v>
      </c>
      <c r="P67" s="176" t="s">
        <v>151</v>
      </c>
      <c r="Q67" s="176"/>
      <c r="R67" s="176" t="s">
        <v>3982</v>
      </c>
      <c r="S67" s="176"/>
      <c r="T67" s="176" t="s">
        <v>2770</v>
      </c>
      <c r="U67" s="176" t="s">
        <v>152</v>
      </c>
      <c r="V67" s="176" t="s">
        <v>23</v>
      </c>
    </row>
    <row r="68" spans="1:22" ht="12.75" customHeight="1">
      <c r="A68" s="65"/>
      <c r="B68" s="211">
        <v>46205</v>
      </c>
      <c r="C68" s="211">
        <v>46205</v>
      </c>
      <c r="D68" s="176" t="s">
        <v>3983</v>
      </c>
      <c r="E68" s="176" t="s">
        <v>3984</v>
      </c>
      <c r="F68" s="176" t="s">
        <v>87</v>
      </c>
      <c r="G68" s="176" t="s">
        <v>3934</v>
      </c>
      <c r="H68" s="176">
        <v>25</v>
      </c>
      <c r="I68" s="176">
        <v>30.2</v>
      </c>
      <c r="J68" s="176">
        <v>30.2</v>
      </c>
      <c r="K68" s="176">
        <v>4</v>
      </c>
      <c r="L68" s="176">
        <v>0</v>
      </c>
      <c r="M68" s="176" t="s">
        <v>148</v>
      </c>
      <c r="N68" s="176" t="s">
        <v>149</v>
      </c>
      <c r="O68" s="176" t="s">
        <v>150</v>
      </c>
      <c r="P68" s="176" t="s">
        <v>151</v>
      </c>
      <c r="Q68" s="176"/>
      <c r="R68" s="176" t="s">
        <v>3984</v>
      </c>
      <c r="S68" s="176"/>
      <c r="T68" s="176" t="s">
        <v>2770</v>
      </c>
      <c r="U68" s="176" t="s">
        <v>152</v>
      </c>
      <c r="V68" s="176" t="s">
        <v>23</v>
      </c>
    </row>
    <row r="69" spans="1:22" ht="12.75" customHeight="1">
      <c r="A69" s="65"/>
      <c r="B69" s="211">
        <v>46205</v>
      </c>
      <c r="C69" s="211">
        <v>46205</v>
      </c>
      <c r="D69" s="176" t="s">
        <v>3985</v>
      </c>
      <c r="E69" s="176" t="s">
        <v>3986</v>
      </c>
      <c r="F69" s="176" t="s">
        <v>87</v>
      </c>
      <c r="G69" s="176" t="s">
        <v>2552</v>
      </c>
      <c r="H69" s="176">
        <v>40</v>
      </c>
      <c r="I69" s="176">
        <v>48.1</v>
      </c>
      <c r="J69" s="176">
        <v>48.1</v>
      </c>
      <c r="K69" s="176">
        <v>5</v>
      </c>
      <c r="L69" s="176">
        <v>0</v>
      </c>
      <c r="M69" s="176" t="s">
        <v>148</v>
      </c>
      <c r="N69" s="176" t="s">
        <v>149</v>
      </c>
      <c r="O69" s="176" t="s">
        <v>150</v>
      </c>
      <c r="P69" s="176" t="s">
        <v>151</v>
      </c>
      <c r="Q69" s="176"/>
      <c r="R69" s="176" t="s">
        <v>3986</v>
      </c>
      <c r="S69" s="176"/>
      <c r="T69" s="176" t="s">
        <v>2770</v>
      </c>
      <c r="U69" s="176" t="s">
        <v>152</v>
      </c>
      <c r="V69" s="176" t="s">
        <v>23</v>
      </c>
    </row>
    <row r="70" spans="1:22" ht="12.75" customHeight="1">
      <c r="A70" s="65"/>
      <c r="B70" s="211">
        <v>46205</v>
      </c>
      <c r="C70" s="211">
        <v>46205</v>
      </c>
      <c r="D70" s="176" t="s">
        <v>3987</v>
      </c>
      <c r="E70" s="176" t="s">
        <v>3988</v>
      </c>
      <c r="F70" s="176" t="s">
        <v>87</v>
      </c>
      <c r="G70" s="176" t="s">
        <v>2486</v>
      </c>
      <c r="H70" s="176">
        <v>40</v>
      </c>
      <c r="I70" s="176">
        <v>32.299999999999997</v>
      </c>
      <c r="J70" s="176">
        <v>32.299999999999997</v>
      </c>
      <c r="K70" s="176">
        <v>5</v>
      </c>
      <c r="L70" s="176">
        <v>0</v>
      </c>
      <c r="M70" s="176" t="s">
        <v>148</v>
      </c>
      <c r="N70" s="176" t="s">
        <v>149</v>
      </c>
      <c r="O70" s="176" t="s">
        <v>150</v>
      </c>
      <c r="P70" s="176" t="s">
        <v>151</v>
      </c>
      <c r="Q70" s="176"/>
      <c r="R70" s="176" t="s">
        <v>3988</v>
      </c>
      <c r="S70" s="176"/>
      <c r="T70" s="176" t="s">
        <v>2770</v>
      </c>
      <c r="U70" s="176" t="s">
        <v>152</v>
      </c>
      <c r="V70" s="176" t="s">
        <v>23</v>
      </c>
    </row>
    <row r="71" spans="1:22" ht="12.75" customHeight="1">
      <c r="A71" s="65"/>
      <c r="B71" s="211">
        <v>46205</v>
      </c>
      <c r="C71" s="211">
        <v>46205</v>
      </c>
      <c r="D71" s="176" t="s">
        <v>3989</v>
      </c>
      <c r="E71" s="176" t="s">
        <v>3990</v>
      </c>
      <c r="F71" s="176" t="s">
        <v>87</v>
      </c>
      <c r="G71" s="176" t="s">
        <v>2633</v>
      </c>
      <c r="H71" s="176">
        <v>40</v>
      </c>
      <c r="I71" s="176">
        <v>47</v>
      </c>
      <c r="J71" s="176">
        <v>47</v>
      </c>
      <c r="K71" s="176">
        <v>5</v>
      </c>
      <c r="L71" s="176">
        <v>0</v>
      </c>
      <c r="M71" s="176" t="s">
        <v>148</v>
      </c>
      <c r="N71" s="176" t="s">
        <v>149</v>
      </c>
      <c r="O71" s="176" t="s">
        <v>150</v>
      </c>
      <c r="P71" s="176" t="s">
        <v>151</v>
      </c>
      <c r="Q71" s="176"/>
      <c r="R71" s="176" t="s">
        <v>3990</v>
      </c>
      <c r="S71" s="176"/>
      <c r="T71" s="176" t="s">
        <v>2770</v>
      </c>
      <c r="U71" s="176" t="s">
        <v>152</v>
      </c>
      <c r="V71" s="176" t="s">
        <v>23</v>
      </c>
    </row>
    <row r="72" spans="1:22" ht="12.75" customHeight="1">
      <c r="A72" s="65"/>
      <c r="B72" s="211">
        <v>46205</v>
      </c>
      <c r="C72" s="211">
        <v>46205</v>
      </c>
      <c r="D72" s="176" t="s">
        <v>3991</v>
      </c>
      <c r="E72" s="176" t="s">
        <v>3992</v>
      </c>
      <c r="F72" s="176" t="s">
        <v>87</v>
      </c>
      <c r="G72" s="176" t="s">
        <v>2636</v>
      </c>
      <c r="H72" s="176">
        <v>6</v>
      </c>
      <c r="I72" s="176">
        <v>14.3</v>
      </c>
      <c r="J72" s="176">
        <v>14.3</v>
      </c>
      <c r="K72" s="176">
        <v>1.5</v>
      </c>
      <c r="L72" s="176">
        <v>0</v>
      </c>
      <c r="M72" s="176" t="s">
        <v>148</v>
      </c>
      <c r="N72" s="176" t="s">
        <v>149</v>
      </c>
      <c r="O72" s="176" t="s">
        <v>150</v>
      </c>
      <c r="P72" s="176" t="s">
        <v>151</v>
      </c>
      <c r="Q72" s="176"/>
      <c r="R72" s="176" t="s">
        <v>3992</v>
      </c>
      <c r="S72" s="176"/>
      <c r="T72" s="176" t="s">
        <v>2770</v>
      </c>
      <c r="U72" s="176" t="s">
        <v>152</v>
      </c>
      <c r="V72" s="176" t="s">
        <v>23</v>
      </c>
    </row>
    <row r="73" spans="1:22" ht="12.75" customHeight="1">
      <c r="A73" s="65"/>
      <c r="B73" s="211">
        <v>46205</v>
      </c>
      <c r="C73" s="211">
        <v>46205</v>
      </c>
      <c r="D73" s="176" t="s">
        <v>3993</v>
      </c>
      <c r="E73" s="176" t="s">
        <v>3994</v>
      </c>
      <c r="F73" s="176" t="s">
        <v>87</v>
      </c>
      <c r="G73" s="176" t="s">
        <v>2486</v>
      </c>
      <c r="H73" s="176">
        <v>40</v>
      </c>
      <c r="I73" s="176">
        <v>38.1</v>
      </c>
      <c r="J73" s="176">
        <v>38.1</v>
      </c>
      <c r="K73" s="176">
        <v>5</v>
      </c>
      <c r="L73" s="176">
        <v>0</v>
      </c>
      <c r="M73" s="176" t="s">
        <v>148</v>
      </c>
      <c r="N73" s="176" t="s">
        <v>149</v>
      </c>
      <c r="O73" s="176" t="s">
        <v>150</v>
      </c>
      <c r="P73" s="176" t="s">
        <v>151</v>
      </c>
      <c r="Q73" s="176"/>
      <c r="R73" s="176" t="s">
        <v>3994</v>
      </c>
      <c r="S73" s="176"/>
      <c r="T73" s="176" t="s">
        <v>2770</v>
      </c>
      <c r="U73" s="176" t="s">
        <v>152</v>
      </c>
      <c r="V73" s="176" t="s">
        <v>23</v>
      </c>
    </row>
    <row r="74" spans="1:22" ht="12.75" customHeight="1">
      <c r="A74" s="65"/>
      <c r="B74" s="211">
        <v>46205</v>
      </c>
      <c r="C74" s="211">
        <v>46205</v>
      </c>
      <c r="D74" s="176" t="s">
        <v>3995</v>
      </c>
      <c r="E74" s="176" t="s">
        <v>3996</v>
      </c>
      <c r="F74" s="176" t="s">
        <v>87</v>
      </c>
      <c r="G74" s="176" t="s">
        <v>2633</v>
      </c>
      <c r="H74" s="176">
        <v>40</v>
      </c>
      <c r="I74" s="176">
        <v>46.2</v>
      </c>
      <c r="J74" s="176">
        <v>46.2</v>
      </c>
      <c r="K74" s="176">
        <v>5</v>
      </c>
      <c r="L74" s="176">
        <v>0</v>
      </c>
      <c r="M74" s="176" t="s">
        <v>148</v>
      </c>
      <c r="N74" s="176" t="s">
        <v>149</v>
      </c>
      <c r="O74" s="176" t="s">
        <v>150</v>
      </c>
      <c r="P74" s="176" t="s">
        <v>151</v>
      </c>
      <c r="Q74" s="176"/>
      <c r="R74" s="176" t="s">
        <v>3996</v>
      </c>
      <c r="S74" s="176"/>
      <c r="T74" s="176" t="s">
        <v>2770</v>
      </c>
      <c r="U74" s="176" t="s">
        <v>152</v>
      </c>
      <c r="V74" s="176" t="s">
        <v>23</v>
      </c>
    </row>
    <row r="75" spans="1:22" ht="12.75" customHeight="1">
      <c r="A75" s="65"/>
      <c r="B75" s="211">
        <v>46205</v>
      </c>
      <c r="C75" s="211">
        <v>46205</v>
      </c>
      <c r="D75" s="176" t="s">
        <v>3997</v>
      </c>
      <c r="E75" s="176" t="s">
        <v>3998</v>
      </c>
      <c r="F75" s="176" t="s">
        <v>87</v>
      </c>
      <c r="G75" s="176" t="s">
        <v>2485</v>
      </c>
      <c r="H75" s="176">
        <v>30</v>
      </c>
      <c r="I75" s="176">
        <v>37.6</v>
      </c>
      <c r="J75" s="176">
        <v>37.6</v>
      </c>
      <c r="K75" s="176">
        <v>4</v>
      </c>
      <c r="L75" s="176">
        <v>0</v>
      </c>
      <c r="M75" s="176" t="s">
        <v>148</v>
      </c>
      <c r="N75" s="176" t="s">
        <v>149</v>
      </c>
      <c r="O75" s="176" t="s">
        <v>150</v>
      </c>
      <c r="P75" s="176" t="s">
        <v>151</v>
      </c>
      <c r="Q75" s="176"/>
      <c r="R75" s="176" t="s">
        <v>3998</v>
      </c>
      <c r="S75" s="176"/>
      <c r="T75" s="176" t="s">
        <v>2770</v>
      </c>
      <c r="U75" s="176" t="s">
        <v>152</v>
      </c>
      <c r="V75" s="176" t="s">
        <v>23</v>
      </c>
    </row>
    <row r="76" spans="1:22" ht="12.75" customHeight="1">
      <c r="A76" s="65"/>
      <c r="B76" s="211">
        <v>46205</v>
      </c>
      <c r="C76" s="211">
        <v>46205</v>
      </c>
      <c r="D76" s="176" t="s">
        <v>3999</v>
      </c>
      <c r="E76" s="176" t="s">
        <v>4000</v>
      </c>
      <c r="F76" s="176" t="s">
        <v>87</v>
      </c>
      <c r="G76" s="176" t="s">
        <v>2486</v>
      </c>
      <c r="H76" s="176">
        <v>40</v>
      </c>
      <c r="I76" s="176">
        <v>29.8</v>
      </c>
      <c r="J76" s="176">
        <v>29.8</v>
      </c>
      <c r="K76" s="176">
        <v>5</v>
      </c>
      <c r="L76" s="176">
        <v>0</v>
      </c>
      <c r="M76" s="176" t="s">
        <v>148</v>
      </c>
      <c r="N76" s="176" t="s">
        <v>149</v>
      </c>
      <c r="O76" s="176" t="s">
        <v>150</v>
      </c>
      <c r="P76" s="176" t="s">
        <v>151</v>
      </c>
      <c r="Q76" s="176"/>
      <c r="R76" s="176" t="s">
        <v>4000</v>
      </c>
      <c r="S76" s="176"/>
      <c r="T76" s="176" t="s">
        <v>2770</v>
      </c>
      <c r="U76" s="176" t="s">
        <v>152</v>
      </c>
      <c r="V76" s="176" t="s">
        <v>23</v>
      </c>
    </row>
    <row r="77" spans="1:22" ht="12.75" customHeight="1">
      <c r="A77" s="65"/>
      <c r="B77" s="211">
        <v>46205</v>
      </c>
      <c r="C77" s="211">
        <v>46205</v>
      </c>
      <c r="D77" s="176" t="s">
        <v>4001</v>
      </c>
      <c r="E77" s="176" t="s">
        <v>4002</v>
      </c>
      <c r="F77" s="176" t="s">
        <v>87</v>
      </c>
      <c r="G77" s="176" t="s">
        <v>3934</v>
      </c>
      <c r="H77" s="176">
        <v>25</v>
      </c>
      <c r="I77" s="176">
        <v>38.799999999999997</v>
      </c>
      <c r="J77" s="176">
        <v>38.799999999999997</v>
      </c>
      <c r="K77" s="176">
        <v>4</v>
      </c>
      <c r="L77" s="176">
        <v>0</v>
      </c>
      <c r="M77" s="176" t="s">
        <v>148</v>
      </c>
      <c r="N77" s="176" t="s">
        <v>149</v>
      </c>
      <c r="O77" s="176" t="s">
        <v>150</v>
      </c>
      <c r="P77" s="176" t="s">
        <v>151</v>
      </c>
      <c r="Q77" s="176"/>
      <c r="R77" s="176" t="s">
        <v>4002</v>
      </c>
      <c r="S77" s="176"/>
      <c r="T77" s="176" t="s">
        <v>2770</v>
      </c>
      <c r="U77" s="176" t="s">
        <v>152</v>
      </c>
      <c r="V77" s="176" t="s">
        <v>23</v>
      </c>
    </row>
    <row r="78" spans="1:22" ht="12.75" customHeight="1">
      <c r="A78" s="65"/>
      <c r="B78" s="211">
        <v>46205</v>
      </c>
      <c r="C78" s="211">
        <v>46205</v>
      </c>
      <c r="D78" s="176" t="s">
        <v>4003</v>
      </c>
      <c r="E78" s="176" t="s">
        <v>4004</v>
      </c>
      <c r="F78" s="176" t="s">
        <v>87</v>
      </c>
      <c r="G78" s="176" t="s">
        <v>2485</v>
      </c>
      <c r="H78" s="176">
        <v>30</v>
      </c>
      <c r="I78" s="176">
        <v>33</v>
      </c>
      <c r="J78" s="176">
        <v>33</v>
      </c>
      <c r="K78" s="176">
        <v>4</v>
      </c>
      <c r="L78" s="176">
        <v>0</v>
      </c>
      <c r="M78" s="176" t="s">
        <v>148</v>
      </c>
      <c r="N78" s="176" t="s">
        <v>149</v>
      </c>
      <c r="O78" s="176" t="s">
        <v>150</v>
      </c>
      <c r="P78" s="176" t="s">
        <v>151</v>
      </c>
      <c r="Q78" s="176"/>
      <c r="R78" s="176" t="s">
        <v>4004</v>
      </c>
      <c r="S78" s="176"/>
      <c r="T78" s="176" t="s">
        <v>2770</v>
      </c>
      <c r="U78" s="176" t="s">
        <v>152</v>
      </c>
      <c r="V78" s="176" t="s">
        <v>23</v>
      </c>
    </row>
    <row r="79" spans="1:22" ht="12.75" customHeight="1">
      <c r="A79" s="65"/>
      <c r="B79" s="211">
        <v>46205</v>
      </c>
      <c r="C79" s="211">
        <v>46205</v>
      </c>
      <c r="D79" s="176" t="s">
        <v>4005</v>
      </c>
      <c r="E79" s="176" t="s">
        <v>4006</v>
      </c>
      <c r="F79" s="176" t="s">
        <v>87</v>
      </c>
      <c r="G79" s="176" t="s">
        <v>2639</v>
      </c>
      <c r="H79" s="176">
        <v>25</v>
      </c>
      <c r="I79" s="176">
        <v>29.5</v>
      </c>
      <c r="J79" s="176">
        <v>29.5</v>
      </c>
      <c r="K79" s="176">
        <v>4</v>
      </c>
      <c r="L79" s="176">
        <v>0</v>
      </c>
      <c r="M79" s="176" t="s">
        <v>148</v>
      </c>
      <c r="N79" s="176" t="s">
        <v>149</v>
      </c>
      <c r="O79" s="176" t="s">
        <v>150</v>
      </c>
      <c r="P79" s="176" t="s">
        <v>151</v>
      </c>
      <c r="Q79" s="176"/>
      <c r="R79" s="176" t="s">
        <v>4006</v>
      </c>
      <c r="S79" s="176"/>
      <c r="T79" s="176" t="s">
        <v>2770</v>
      </c>
      <c r="U79" s="176" t="s">
        <v>152</v>
      </c>
      <c r="V79" s="176" t="s">
        <v>23</v>
      </c>
    </row>
    <row r="80" spans="1:22" ht="12.75" customHeight="1">
      <c r="A80" s="65"/>
      <c r="B80" s="211">
        <v>46205</v>
      </c>
      <c r="C80" s="211">
        <v>46205</v>
      </c>
      <c r="D80" s="176" t="s">
        <v>4007</v>
      </c>
      <c r="E80" s="176" t="s">
        <v>4008</v>
      </c>
      <c r="F80" s="176" t="s">
        <v>87</v>
      </c>
      <c r="G80" s="176" t="s">
        <v>2637</v>
      </c>
      <c r="H80" s="176">
        <v>40</v>
      </c>
      <c r="I80" s="176">
        <v>35.799999999999997</v>
      </c>
      <c r="J80" s="176">
        <v>35.799999999999997</v>
      </c>
      <c r="K80" s="176">
        <v>7</v>
      </c>
      <c r="L80" s="176">
        <v>0</v>
      </c>
      <c r="M80" s="176" t="s">
        <v>148</v>
      </c>
      <c r="N80" s="176" t="s">
        <v>149</v>
      </c>
      <c r="O80" s="176" t="s">
        <v>150</v>
      </c>
      <c r="P80" s="176" t="s">
        <v>151</v>
      </c>
      <c r="Q80" s="176"/>
      <c r="R80" s="176" t="s">
        <v>4008</v>
      </c>
      <c r="S80" s="176"/>
      <c r="T80" s="176" t="s">
        <v>2770</v>
      </c>
      <c r="U80" s="176" t="s">
        <v>152</v>
      </c>
      <c r="V80" s="176" t="s">
        <v>23</v>
      </c>
    </row>
    <row r="81" spans="1:22" ht="12.75" customHeight="1">
      <c r="A81" s="65"/>
      <c r="B81" s="211">
        <v>46205</v>
      </c>
      <c r="C81" s="211">
        <v>46205</v>
      </c>
      <c r="D81" s="176" t="s">
        <v>4009</v>
      </c>
      <c r="E81" s="176" t="s">
        <v>4010</v>
      </c>
      <c r="F81" s="176" t="s">
        <v>87</v>
      </c>
      <c r="G81" s="176" t="s">
        <v>3873</v>
      </c>
      <c r="H81" s="176">
        <v>35</v>
      </c>
      <c r="I81" s="176">
        <v>33.799999999999997</v>
      </c>
      <c r="J81" s="176">
        <v>33.799999999999997</v>
      </c>
      <c r="K81" s="176">
        <v>4</v>
      </c>
      <c r="L81" s="176">
        <v>0</v>
      </c>
      <c r="M81" s="176" t="s">
        <v>148</v>
      </c>
      <c r="N81" s="176" t="s">
        <v>149</v>
      </c>
      <c r="O81" s="176" t="s">
        <v>150</v>
      </c>
      <c r="P81" s="176" t="s">
        <v>151</v>
      </c>
      <c r="Q81" s="176"/>
      <c r="R81" s="176" t="s">
        <v>4010</v>
      </c>
      <c r="S81" s="176"/>
      <c r="T81" s="176" t="s">
        <v>2770</v>
      </c>
      <c r="U81" s="176" t="s">
        <v>152</v>
      </c>
      <c r="V81" s="176" t="s">
        <v>23</v>
      </c>
    </row>
    <row r="82" spans="1:22" ht="12.75" customHeight="1">
      <c r="A82" s="65"/>
      <c r="B82" s="211">
        <v>46205</v>
      </c>
      <c r="C82" s="211">
        <v>46205</v>
      </c>
      <c r="D82" s="176" t="s">
        <v>4011</v>
      </c>
      <c r="E82" s="176" t="s">
        <v>4012</v>
      </c>
      <c r="F82" s="176" t="s">
        <v>87</v>
      </c>
      <c r="G82" s="176" t="s">
        <v>2639</v>
      </c>
      <c r="H82" s="176">
        <v>25</v>
      </c>
      <c r="I82" s="176">
        <v>35.4</v>
      </c>
      <c r="J82" s="176">
        <v>35.4</v>
      </c>
      <c r="K82" s="176">
        <v>4</v>
      </c>
      <c r="L82" s="176">
        <v>0</v>
      </c>
      <c r="M82" s="176" t="s">
        <v>148</v>
      </c>
      <c r="N82" s="176" t="s">
        <v>149</v>
      </c>
      <c r="O82" s="176" t="s">
        <v>150</v>
      </c>
      <c r="P82" s="176" t="s">
        <v>151</v>
      </c>
      <c r="Q82" s="176"/>
      <c r="R82" s="176" t="s">
        <v>4012</v>
      </c>
      <c r="S82" s="176"/>
      <c r="T82" s="176" t="s">
        <v>2770</v>
      </c>
      <c r="U82" s="176" t="s">
        <v>152</v>
      </c>
      <c r="V82" s="176" t="s">
        <v>23</v>
      </c>
    </row>
    <row r="83" spans="1:22" ht="12.75" customHeight="1">
      <c r="A83" s="65"/>
      <c r="B83" s="211">
        <v>46205</v>
      </c>
      <c r="C83" s="211">
        <v>46205</v>
      </c>
      <c r="D83" s="176" t="s">
        <v>4013</v>
      </c>
      <c r="E83" s="176" t="s">
        <v>4014</v>
      </c>
      <c r="F83" s="176" t="s">
        <v>87</v>
      </c>
      <c r="G83" s="176" t="s">
        <v>2633</v>
      </c>
      <c r="H83" s="176">
        <v>40</v>
      </c>
      <c r="I83" s="176">
        <v>35.799999999999997</v>
      </c>
      <c r="J83" s="176">
        <v>35.799999999999997</v>
      </c>
      <c r="K83" s="176">
        <v>5</v>
      </c>
      <c r="L83" s="176">
        <v>0</v>
      </c>
      <c r="M83" s="176" t="s">
        <v>148</v>
      </c>
      <c r="N83" s="176" t="s">
        <v>149</v>
      </c>
      <c r="O83" s="176" t="s">
        <v>150</v>
      </c>
      <c r="P83" s="176" t="s">
        <v>151</v>
      </c>
      <c r="Q83" s="176"/>
      <c r="R83" s="176" t="s">
        <v>4014</v>
      </c>
      <c r="S83" s="176"/>
      <c r="T83" s="176" t="s">
        <v>2770</v>
      </c>
      <c r="U83" s="176" t="s">
        <v>152</v>
      </c>
      <c r="V83" s="176" t="s">
        <v>23</v>
      </c>
    </row>
    <row r="84" spans="1:22" ht="12.75" customHeight="1">
      <c r="A84" s="65"/>
      <c r="B84" s="211">
        <v>46205</v>
      </c>
      <c r="C84" s="211">
        <v>46205</v>
      </c>
      <c r="D84" s="176" t="s">
        <v>4015</v>
      </c>
      <c r="E84" s="176" t="s">
        <v>4016</v>
      </c>
      <c r="F84" s="176" t="s">
        <v>87</v>
      </c>
      <c r="G84" s="176" t="s">
        <v>2001</v>
      </c>
      <c r="H84" s="176">
        <v>6</v>
      </c>
      <c r="I84" s="176">
        <v>14.5</v>
      </c>
      <c r="J84" s="176">
        <v>14.5</v>
      </c>
      <c r="K84" s="176">
        <v>1.5</v>
      </c>
      <c r="L84" s="176">
        <v>0</v>
      </c>
      <c r="M84" s="176" t="s">
        <v>148</v>
      </c>
      <c r="N84" s="176" t="s">
        <v>149</v>
      </c>
      <c r="O84" s="176" t="s">
        <v>150</v>
      </c>
      <c r="P84" s="176" t="s">
        <v>151</v>
      </c>
      <c r="Q84" s="176"/>
      <c r="R84" s="176" t="s">
        <v>4016</v>
      </c>
      <c r="S84" s="176"/>
      <c r="T84" s="176" t="s">
        <v>2770</v>
      </c>
      <c r="U84" s="176" t="s">
        <v>152</v>
      </c>
      <c r="V84" s="176" t="s">
        <v>23</v>
      </c>
    </row>
    <row r="85" spans="1:22" ht="12.75" customHeight="1">
      <c r="A85" s="65"/>
      <c r="B85" s="211">
        <v>46205</v>
      </c>
      <c r="C85" s="211">
        <v>46205</v>
      </c>
      <c r="D85" s="176" t="s">
        <v>4017</v>
      </c>
      <c r="E85" s="176" t="s">
        <v>4018</v>
      </c>
      <c r="F85" s="176" t="s">
        <v>87</v>
      </c>
      <c r="G85" s="176" t="s">
        <v>2635</v>
      </c>
      <c r="H85" s="176">
        <v>6</v>
      </c>
      <c r="I85" s="176">
        <v>6.8</v>
      </c>
      <c r="J85" s="176">
        <v>6.8</v>
      </c>
      <c r="K85" s="176">
        <v>1.5</v>
      </c>
      <c r="L85" s="176">
        <v>0</v>
      </c>
      <c r="M85" s="176" t="s">
        <v>148</v>
      </c>
      <c r="N85" s="176" t="s">
        <v>149</v>
      </c>
      <c r="O85" s="176" t="s">
        <v>150</v>
      </c>
      <c r="P85" s="176" t="s">
        <v>151</v>
      </c>
      <c r="Q85" s="176"/>
      <c r="R85" s="176" t="s">
        <v>4018</v>
      </c>
      <c r="S85" s="176"/>
      <c r="T85" s="176" t="s">
        <v>2770</v>
      </c>
      <c r="U85" s="176" t="s">
        <v>152</v>
      </c>
      <c r="V85" s="176" t="s">
        <v>23</v>
      </c>
    </row>
    <row r="86" spans="1:22" ht="12.75" customHeight="1">
      <c r="A86" s="65"/>
      <c r="B86" s="211">
        <v>46205</v>
      </c>
      <c r="C86" s="211">
        <v>46205</v>
      </c>
      <c r="D86" s="176" t="s">
        <v>4019</v>
      </c>
      <c r="E86" s="176" t="s">
        <v>4020</v>
      </c>
      <c r="F86" s="176" t="s">
        <v>87</v>
      </c>
      <c r="G86" s="176" t="s">
        <v>3934</v>
      </c>
      <c r="H86" s="176">
        <v>25</v>
      </c>
      <c r="I86" s="176">
        <v>34.799999999999997</v>
      </c>
      <c r="J86" s="176">
        <v>34.799999999999997</v>
      </c>
      <c r="K86" s="176">
        <v>4</v>
      </c>
      <c r="L86" s="176">
        <v>0</v>
      </c>
      <c r="M86" s="176" t="s">
        <v>148</v>
      </c>
      <c r="N86" s="176" t="s">
        <v>149</v>
      </c>
      <c r="O86" s="176" t="s">
        <v>150</v>
      </c>
      <c r="P86" s="176" t="s">
        <v>151</v>
      </c>
      <c r="Q86" s="176"/>
      <c r="R86" s="176" t="s">
        <v>4020</v>
      </c>
      <c r="S86" s="176"/>
      <c r="T86" s="176" t="s">
        <v>2770</v>
      </c>
      <c r="U86" s="176" t="s">
        <v>152</v>
      </c>
      <c r="V86" s="176" t="s">
        <v>23</v>
      </c>
    </row>
    <row r="87" spans="1:22" ht="12.75" customHeight="1">
      <c r="A87" s="65"/>
      <c r="B87" s="211">
        <v>46205</v>
      </c>
      <c r="C87" s="211">
        <v>46205</v>
      </c>
      <c r="D87" s="176" t="s">
        <v>4021</v>
      </c>
      <c r="E87" s="176" t="s">
        <v>4022</v>
      </c>
      <c r="F87" s="176" t="s">
        <v>87</v>
      </c>
      <c r="G87" s="176" t="s">
        <v>2486</v>
      </c>
      <c r="H87" s="176">
        <v>40</v>
      </c>
      <c r="I87" s="176">
        <v>39.799999999999997</v>
      </c>
      <c r="J87" s="176">
        <v>39.799999999999997</v>
      </c>
      <c r="K87" s="176">
        <v>5</v>
      </c>
      <c r="L87" s="176">
        <v>0</v>
      </c>
      <c r="M87" s="176" t="s">
        <v>148</v>
      </c>
      <c r="N87" s="176" t="s">
        <v>149</v>
      </c>
      <c r="O87" s="176" t="s">
        <v>150</v>
      </c>
      <c r="P87" s="176" t="s">
        <v>151</v>
      </c>
      <c r="Q87" s="176"/>
      <c r="R87" s="176" t="s">
        <v>4022</v>
      </c>
      <c r="S87" s="176"/>
      <c r="T87" s="176" t="s">
        <v>2770</v>
      </c>
      <c r="U87" s="176" t="s">
        <v>152</v>
      </c>
      <c r="V87" s="176" t="s">
        <v>23</v>
      </c>
    </row>
    <row r="88" spans="1:22" ht="12.75" customHeight="1">
      <c r="A88" s="65"/>
      <c r="B88" s="211">
        <v>46206</v>
      </c>
      <c r="C88" s="211">
        <v>46206</v>
      </c>
      <c r="D88" s="176" t="s">
        <v>4023</v>
      </c>
      <c r="E88" s="176" t="s">
        <v>4024</v>
      </c>
      <c r="F88" s="176" t="s">
        <v>87</v>
      </c>
      <c r="G88" s="176" t="s">
        <v>2639</v>
      </c>
      <c r="H88" s="176">
        <v>25</v>
      </c>
      <c r="I88" s="176">
        <v>16.2</v>
      </c>
      <c r="J88" s="176">
        <v>16.2</v>
      </c>
      <c r="K88" s="176">
        <v>4</v>
      </c>
      <c r="L88" s="176">
        <v>0</v>
      </c>
      <c r="M88" s="176" t="s">
        <v>148</v>
      </c>
      <c r="N88" s="176" t="s">
        <v>149</v>
      </c>
      <c r="O88" s="176" t="s">
        <v>150</v>
      </c>
      <c r="P88" s="176" t="s">
        <v>151</v>
      </c>
      <c r="Q88" s="176"/>
      <c r="R88" s="176" t="s">
        <v>4024</v>
      </c>
      <c r="S88" s="176"/>
      <c r="T88" s="176" t="s">
        <v>2791</v>
      </c>
      <c r="U88" s="176" t="s">
        <v>152</v>
      </c>
      <c r="V88" s="176" t="s">
        <v>23</v>
      </c>
    </row>
    <row r="89" spans="1:22" ht="12.75" customHeight="1">
      <c r="A89" s="65"/>
      <c r="B89" s="211">
        <v>46206</v>
      </c>
      <c r="C89" s="211">
        <v>46206</v>
      </c>
      <c r="D89" s="176" t="s">
        <v>4025</v>
      </c>
      <c r="E89" s="176" t="s">
        <v>4026</v>
      </c>
      <c r="F89" s="176" t="s">
        <v>87</v>
      </c>
      <c r="G89" s="176" t="s">
        <v>2486</v>
      </c>
      <c r="H89" s="176">
        <v>40</v>
      </c>
      <c r="I89" s="176">
        <v>37.200000000000003</v>
      </c>
      <c r="J89" s="176">
        <v>37.200000000000003</v>
      </c>
      <c r="K89" s="176">
        <v>5</v>
      </c>
      <c r="L89" s="176">
        <v>0</v>
      </c>
      <c r="M89" s="176" t="s">
        <v>148</v>
      </c>
      <c r="N89" s="176" t="s">
        <v>149</v>
      </c>
      <c r="O89" s="176" t="s">
        <v>150</v>
      </c>
      <c r="P89" s="176" t="s">
        <v>151</v>
      </c>
      <c r="Q89" s="176"/>
      <c r="R89" s="176" t="s">
        <v>4026</v>
      </c>
      <c r="S89" s="176"/>
      <c r="T89" s="176" t="s">
        <v>2791</v>
      </c>
      <c r="U89" s="176" t="s">
        <v>152</v>
      </c>
      <c r="V89" s="176" t="s">
        <v>23</v>
      </c>
    </row>
    <row r="90" spans="1:22" ht="12.75" customHeight="1">
      <c r="A90" s="65"/>
      <c r="B90" s="211">
        <v>46206</v>
      </c>
      <c r="C90" s="211">
        <v>46206</v>
      </c>
      <c r="D90" s="176" t="s">
        <v>4027</v>
      </c>
      <c r="E90" s="176" t="s">
        <v>4028</v>
      </c>
      <c r="F90" s="176" t="s">
        <v>87</v>
      </c>
      <c r="G90" s="176" t="s">
        <v>2633</v>
      </c>
      <c r="H90" s="176">
        <v>40</v>
      </c>
      <c r="I90" s="176">
        <v>36.200000000000003</v>
      </c>
      <c r="J90" s="176">
        <v>36.200000000000003</v>
      </c>
      <c r="K90" s="176">
        <v>5</v>
      </c>
      <c r="L90" s="176">
        <v>0</v>
      </c>
      <c r="M90" s="176" t="s">
        <v>148</v>
      </c>
      <c r="N90" s="176" t="s">
        <v>149</v>
      </c>
      <c r="O90" s="176" t="s">
        <v>150</v>
      </c>
      <c r="P90" s="176" t="s">
        <v>151</v>
      </c>
      <c r="Q90" s="176"/>
      <c r="R90" s="176" t="s">
        <v>4028</v>
      </c>
      <c r="S90" s="176"/>
      <c r="T90" s="176" t="s">
        <v>2791</v>
      </c>
      <c r="U90" s="176" t="s">
        <v>152</v>
      </c>
      <c r="V90" s="176" t="s">
        <v>23</v>
      </c>
    </row>
    <row r="91" spans="1:22" ht="12.75" customHeight="1">
      <c r="A91" s="65"/>
      <c r="B91" s="211">
        <v>46206</v>
      </c>
      <c r="C91" s="211">
        <v>46206</v>
      </c>
      <c r="D91" s="176" t="s">
        <v>4029</v>
      </c>
      <c r="E91" s="176" t="s">
        <v>4030</v>
      </c>
      <c r="F91" s="176" t="s">
        <v>87</v>
      </c>
      <c r="G91" s="176" t="s">
        <v>2636</v>
      </c>
      <c r="H91" s="176">
        <v>6</v>
      </c>
      <c r="I91" s="176">
        <v>17.8</v>
      </c>
      <c r="J91" s="176">
        <v>17.8</v>
      </c>
      <c r="K91" s="176">
        <v>1.5</v>
      </c>
      <c r="L91" s="176">
        <v>0</v>
      </c>
      <c r="M91" s="176" t="s">
        <v>148</v>
      </c>
      <c r="N91" s="176" t="s">
        <v>149</v>
      </c>
      <c r="O91" s="176" t="s">
        <v>150</v>
      </c>
      <c r="P91" s="176" t="s">
        <v>151</v>
      </c>
      <c r="Q91" s="176"/>
      <c r="R91" s="176" t="s">
        <v>4030</v>
      </c>
      <c r="S91" s="176"/>
      <c r="T91" s="176" t="s">
        <v>2791</v>
      </c>
      <c r="U91" s="176" t="s">
        <v>152</v>
      </c>
      <c r="V91" s="176" t="s">
        <v>23</v>
      </c>
    </row>
    <row r="92" spans="1:22" ht="12.75" customHeight="1">
      <c r="A92" s="65"/>
      <c r="B92" s="211">
        <v>46206</v>
      </c>
      <c r="C92" s="211">
        <v>46206</v>
      </c>
      <c r="D92" s="176" t="s">
        <v>4031</v>
      </c>
      <c r="E92" s="176" t="s">
        <v>4032</v>
      </c>
      <c r="F92" s="176" t="s">
        <v>87</v>
      </c>
      <c r="G92" s="176" t="s">
        <v>3934</v>
      </c>
      <c r="H92" s="176">
        <v>25</v>
      </c>
      <c r="I92" s="176">
        <v>51.2</v>
      </c>
      <c r="J92" s="176">
        <v>51.2</v>
      </c>
      <c r="K92" s="176">
        <v>4</v>
      </c>
      <c r="L92" s="176">
        <v>0</v>
      </c>
      <c r="M92" s="176" t="s">
        <v>148</v>
      </c>
      <c r="N92" s="176" t="s">
        <v>149</v>
      </c>
      <c r="O92" s="176" t="s">
        <v>150</v>
      </c>
      <c r="P92" s="176" t="s">
        <v>151</v>
      </c>
      <c r="Q92" s="176"/>
      <c r="R92" s="176" t="s">
        <v>4032</v>
      </c>
      <c r="S92" s="176"/>
      <c r="T92" s="176" t="s">
        <v>2791</v>
      </c>
      <c r="U92" s="176" t="s">
        <v>152</v>
      </c>
      <c r="V92" s="176" t="s">
        <v>23</v>
      </c>
    </row>
    <row r="93" spans="1:22" ht="12.75" customHeight="1">
      <c r="A93" s="65"/>
      <c r="B93" s="211">
        <v>46206</v>
      </c>
      <c r="C93" s="211">
        <v>46206</v>
      </c>
      <c r="D93" s="176" t="s">
        <v>4033</v>
      </c>
      <c r="E93" s="176" t="s">
        <v>4034</v>
      </c>
      <c r="F93" s="176" t="s">
        <v>87</v>
      </c>
      <c r="G93" s="176" t="s">
        <v>2639</v>
      </c>
      <c r="H93" s="176">
        <v>25</v>
      </c>
      <c r="I93" s="176">
        <v>41.2</v>
      </c>
      <c r="J93" s="176">
        <v>41.2</v>
      </c>
      <c r="K93" s="176">
        <v>4</v>
      </c>
      <c r="L93" s="176">
        <v>0</v>
      </c>
      <c r="M93" s="176" t="s">
        <v>148</v>
      </c>
      <c r="N93" s="176" t="s">
        <v>149</v>
      </c>
      <c r="O93" s="176" t="s">
        <v>150</v>
      </c>
      <c r="P93" s="176" t="s">
        <v>151</v>
      </c>
      <c r="Q93" s="176"/>
      <c r="R93" s="176" t="s">
        <v>4034</v>
      </c>
      <c r="S93" s="176"/>
      <c r="T93" s="176" t="s">
        <v>2791</v>
      </c>
      <c r="U93" s="176" t="s">
        <v>152</v>
      </c>
      <c r="V93" s="176" t="s">
        <v>23</v>
      </c>
    </row>
    <row r="94" spans="1:22" ht="12.75" customHeight="1">
      <c r="A94" s="65"/>
      <c r="B94" s="211">
        <v>46206</v>
      </c>
      <c r="C94" s="211">
        <v>46206</v>
      </c>
      <c r="D94" s="176" t="s">
        <v>4035</v>
      </c>
      <c r="E94" s="176" t="s">
        <v>4036</v>
      </c>
      <c r="F94" s="176" t="s">
        <v>87</v>
      </c>
      <c r="G94" s="176" t="s">
        <v>2552</v>
      </c>
      <c r="H94" s="176">
        <v>40</v>
      </c>
      <c r="I94" s="176">
        <v>27.8</v>
      </c>
      <c r="J94" s="176">
        <v>27.8</v>
      </c>
      <c r="K94" s="176">
        <v>5</v>
      </c>
      <c r="L94" s="176">
        <v>0</v>
      </c>
      <c r="M94" s="176" t="s">
        <v>148</v>
      </c>
      <c r="N94" s="176" t="s">
        <v>149</v>
      </c>
      <c r="O94" s="176" t="s">
        <v>150</v>
      </c>
      <c r="P94" s="176" t="s">
        <v>151</v>
      </c>
      <c r="Q94" s="176"/>
      <c r="R94" s="176" t="s">
        <v>4036</v>
      </c>
      <c r="S94" s="176"/>
      <c r="T94" s="176" t="s">
        <v>2791</v>
      </c>
      <c r="U94" s="176" t="s">
        <v>152</v>
      </c>
      <c r="V94" s="176" t="s">
        <v>23</v>
      </c>
    </row>
    <row r="95" spans="1:22" ht="12.75" customHeight="1">
      <c r="A95" s="65"/>
      <c r="B95" s="211">
        <v>46206</v>
      </c>
      <c r="C95" s="211">
        <v>46206</v>
      </c>
      <c r="D95" s="176" t="s">
        <v>4037</v>
      </c>
      <c r="E95" s="176" t="s">
        <v>4038</v>
      </c>
      <c r="F95" s="176" t="s">
        <v>87</v>
      </c>
      <c r="G95" s="176" t="s">
        <v>3934</v>
      </c>
      <c r="H95" s="176">
        <v>25</v>
      </c>
      <c r="I95" s="176">
        <v>39.799999999999997</v>
      </c>
      <c r="J95" s="176">
        <v>39.799999999999997</v>
      </c>
      <c r="K95" s="176">
        <v>4</v>
      </c>
      <c r="L95" s="176">
        <v>0</v>
      </c>
      <c r="M95" s="176" t="s">
        <v>148</v>
      </c>
      <c r="N95" s="176" t="s">
        <v>149</v>
      </c>
      <c r="O95" s="176" t="s">
        <v>150</v>
      </c>
      <c r="P95" s="176" t="s">
        <v>151</v>
      </c>
      <c r="Q95" s="176"/>
      <c r="R95" s="176" t="s">
        <v>4038</v>
      </c>
      <c r="S95" s="176"/>
      <c r="T95" s="176" t="s">
        <v>2791</v>
      </c>
      <c r="U95" s="176" t="s">
        <v>152</v>
      </c>
      <c r="V95" s="176" t="s">
        <v>23</v>
      </c>
    </row>
    <row r="96" spans="1:22" ht="12.75" customHeight="1">
      <c r="A96" s="65"/>
      <c r="B96" s="211">
        <v>46206</v>
      </c>
      <c r="C96" s="211">
        <v>46206</v>
      </c>
      <c r="D96" s="176" t="s">
        <v>4039</v>
      </c>
      <c r="E96" s="176" t="s">
        <v>4040</v>
      </c>
      <c r="F96" s="176" t="s">
        <v>87</v>
      </c>
      <c r="G96" s="176" t="s">
        <v>3934</v>
      </c>
      <c r="H96" s="176">
        <v>25</v>
      </c>
      <c r="I96" s="176">
        <v>40.799999999999997</v>
      </c>
      <c r="J96" s="176">
        <v>40.799999999999997</v>
      </c>
      <c r="K96" s="176">
        <v>4</v>
      </c>
      <c r="L96" s="176">
        <v>0</v>
      </c>
      <c r="M96" s="176" t="s">
        <v>148</v>
      </c>
      <c r="N96" s="176" t="s">
        <v>149</v>
      </c>
      <c r="O96" s="176" t="s">
        <v>150</v>
      </c>
      <c r="P96" s="176" t="s">
        <v>151</v>
      </c>
      <c r="Q96" s="176"/>
      <c r="R96" s="176" t="s">
        <v>4040</v>
      </c>
      <c r="S96" s="176"/>
      <c r="T96" s="176" t="s">
        <v>2791</v>
      </c>
      <c r="U96" s="176" t="s">
        <v>152</v>
      </c>
      <c r="V96" s="176" t="s">
        <v>23</v>
      </c>
    </row>
    <row r="97" spans="1:22" ht="12.75" customHeight="1">
      <c r="A97" s="65"/>
      <c r="B97" s="211">
        <v>46206</v>
      </c>
      <c r="C97" s="211">
        <v>46206</v>
      </c>
      <c r="D97" s="176" t="s">
        <v>4041</v>
      </c>
      <c r="E97" s="176" t="s">
        <v>4042</v>
      </c>
      <c r="F97" s="176" t="s">
        <v>87</v>
      </c>
      <c r="G97" s="176" t="s">
        <v>2552</v>
      </c>
      <c r="H97" s="176">
        <v>40</v>
      </c>
      <c r="I97" s="176">
        <v>39.799999999999997</v>
      </c>
      <c r="J97" s="176">
        <v>39.799999999999997</v>
      </c>
      <c r="K97" s="176">
        <v>5</v>
      </c>
      <c r="L97" s="176">
        <v>0</v>
      </c>
      <c r="M97" s="176" t="s">
        <v>148</v>
      </c>
      <c r="N97" s="176" t="s">
        <v>149</v>
      </c>
      <c r="O97" s="176" t="s">
        <v>150</v>
      </c>
      <c r="P97" s="176" t="s">
        <v>151</v>
      </c>
      <c r="Q97" s="176"/>
      <c r="R97" s="176" t="s">
        <v>4042</v>
      </c>
      <c r="S97" s="176"/>
      <c r="T97" s="176" t="s">
        <v>2791</v>
      </c>
      <c r="U97" s="176" t="s">
        <v>152</v>
      </c>
      <c r="V97" s="176" t="s">
        <v>23</v>
      </c>
    </row>
    <row r="98" spans="1:22" ht="12.75" customHeight="1">
      <c r="A98" s="65"/>
      <c r="B98" s="211">
        <v>46206</v>
      </c>
      <c r="C98" s="211">
        <v>46206</v>
      </c>
      <c r="D98" s="176" t="s">
        <v>4043</v>
      </c>
      <c r="E98" s="176" t="s">
        <v>4044</v>
      </c>
      <c r="F98" s="176" t="s">
        <v>87</v>
      </c>
      <c r="G98" s="176" t="s">
        <v>2553</v>
      </c>
      <c r="H98" s="176">
        <v>30</v>
      </c>
      <c r="I98" s="176">
        <v>36.799999999999997</v>
      </c>
      <c r="J98" s="176">
        <v>36.799999999999997</v>
      </c>
      <c r="K98" s="176">
        <v>4</v>
      </c>
      <c r="L98" s="176">
        <v>0</v>
      </c>
      <c r="M98" s="176" t="s">
        <v>148</v>
      </c>
      <c r="N98" s="176" t="s">
        <v>149</v>
      </c>
      <c r="O98" s="176" t="s">
        <v>150</v>
      </c>
      <c r="P98" s="176" t="s">
        <v>151</v>
      </c>
      <c r="Q98" s="176"/>
      <c r="R98" s="176" t="s">
        <v>4044</v>
      </c>
      <c r="S98" s="176"/>
      <c r="T98" s="176" t="s">
        <v>2791</v>
      </c>
      <c r="U98" s="176" t="s">
        <v>152</v>
      </c>
      <c r="V98" s="176" t="s">
        <v>23</v>
      </c>
    </row>
    <row r="99" spans="1:22" ht="12.75" customHeight="1">
      <c r="A99" s="65"/>
      <c r="B99" s="211">
        <v>46206</v>
      </c>
      <c r="C99" s="211">
        <v>46206</v>
      </c>
      <c r="D99" s="176" t="s">
        <v>4045</v>
      </c>
      <c r="E99" s="176" t="s">
        <v>4046</v>
      </c>
      <c r="F99" s="176" t="s">
        <v>87</v>
      </c>
      <c r="G99" s="176" t="s">
        <v>2486</v>
      </c>
      <c r="H99" s="176">
        <v>40</v>
      </c>
      <c r="I99" s="176">
        <v>37.299999999999997</v>
      </c>
      <c r="J99" s="176">
        <v>37.299999999999997</v>
      </c>
      <c r="K99" s="176">
        <v>5</v>
      </c>
      <c r="L99" s="176">
        <v>0</v>
      </c>
      <c r="M99" s="176" t="s">
        <v>148</v>
      </c>
      <c r="N99" s="176" t="s">
        <v>149</v>
      </c>
      <c r="O99" s="176" t="s">
        <v>150</v>
      </c>
      <c r="P99" s="176" t="s">
        <v>151</v>
      </c>
      <c r="Q99" s="176"/>
      <c r="R99" s="176" t="s">
        <v>4046</v>
      </c>
      <c r="S99" s="176"/>
      <c r="T99" s="176" t="s">
        <v>2791</v>
      </c>
      <c r="U99" s="176" t="s">
        <v>152</v>
      </c>
      <c r="V99" s="176" t="s">
        <v>23</v>
      </c>
    </row>
    <row r="100" spans="1:22" ht="12.75" customHeight="1">
      <c r="A100" s="65"/>
      <c r="B100" s="211">
        <v>46206</v>
      </c>
      <c r="C100" s="211">
        <v>46206</v>
      </c>
      <c r="D100" s="176" t="s">
        <v>4047</v>
      </c>
      <c r="E100" s="176" t="s">
        <v>4048</v>
      </c>
      <c r="F100" s="176" t="s">
        <v>87</v>
      </c>
      <c r="G100" s="176" t="s">
        <v>2486</v>
      </c>
      <c r="H100" s="176">
        <v>40</v>
      </c>
      <c r="I100" s="176">
        <v>33</v>
      </c>
      <c r="J100" s="176">
        <v>33</v>
      </c>
      <c r="K100" s="176">
        <v>5</v>
      </c>
      <c r="L100" s="176">
        <v>0</v>
      </c>
      <c r="M100" s="176" t="s">
        <v>148</v>
      </c>
      <c r="N100" s="176" t="s">
        <v>149</v>
      </c>
      <c r="O100" s="176" t="s">
        <v>150</v>
      </c>
      <c r="P100" s="176" t="s">
        <v>151</v>
      </c>
      <c r="Q100" s="176"/>
      <c r="R100" s="176" t="s">
        <v>4048</v>
      </c>
      <c r="S100" s="176"/>
      <c r="T100" s="176" t="s">
        <v>2791</v>
      </c>
      <c r="U100" s="176" t="s">
        <v>152</v>
      </c>
      <c r="V100" s="176" t="s">
        <v>23</v>
      </c>
    </row>
    <row r="101" spans="1:22" ht="12.75" customHeight="1">
      <c r="A101" s="65"/>
      <c r="B101" s="211">
        <v>46206</v>
      </c>
      <c r="C101" s="211">
        <v>46206</v>
      </c>
      <c r="D101" s="176" t="s">
        <v>4049</v>
      </c>
      <c r="E101" s="176" t="s">
        <v>4050</v>
      </c>
      <c r="F101" s="176" t="s">
        <v>87</v>
      </c>
      <c r="G101" s="176" t="s">
        <v>3934</v>
      </c>
      <c r="H101" s="176">
        <v>25</v>
      </c>
      <c r="I101" s="176">
        <v>34.799999999999997</v>
      </c>
      <c r="J101" s="176">
        <v>34.799999999999997</v>
      </c>
      <c r="K101" s="176">
        <v>4</v>
      </c>
      <c r="L101" s="176">
        <v>0</v>
      </c>
      <c r="M101" s="176" t="s">
        <v>148</v>
      </c>
      <c r="N101" s="176" t="s">
        <v>149</v>
      </c>
      <c r="O101" s="176" t="s">
        <v>150</v>
      </c>
      <c r="P101" s="176" t="s">
        <v>151</v>
      </c>
      <c r="Q101" s="176"/>
      <c r="R101" s="176" t="s">
        <v>4050</v>
      </c>
      <c r="S101" s="176"/>
      <c r="T101" s="176" t="s">
        <v>2791</v>
      </c>
      <c r="U101" s="176" t="s">
        <v>152</v>
      </c>
      <c r="V101" s="176" t="s">
        <v>23</v>
      </c>
    </row>
    <row r="102" spans="1:22" ht="12.75" customHeight="1">
      <c r="A102" s="65"/>
      <c r="B102" s="211">
        <v>46206</v>
      </c>
      <c r="C102" s="211">
        <v>46206</v>
      </c>
      <c r="D102" s="176" t="s">
        <v>4051</v>
      </c>
      <c r="E102" s="176" t="s">
        <v>4052</v>
      </c>
      <c r="F102" s="176" t="s">
        <v>87</v>
      </c>
      <c r="G102" s="176" t="s">
        <v>2553</v>
      </c>
      <c r="H102" s="176">
        <v>30</v>
      </c>
      <c r="I102" s="176">
        <v>17.8</v>
      </c>
      <c r="J102" s="176">
        <v>17.8</v>
      </c>
      <c r="K102" s="176">
        <v>4</v>
      </c>
      <c r="L102" s="176">
        <v>0</v>
      </c>
      <c r="M102" s="176" t="s">
        <v>148</v>
      </c>
      <c r="N102" s="176" t="s">
        <v>149</v>
      </c>
      <c r="O102" s="176" t="s">
        <v>150</v>
      </c>
      <c r="P102" s="176" t="s">
        <v>151</v>
      </c>
      <c r="Q102" s="176"/>
      <c r="R102" s="176" t="s">
        <v>4052</v>
      </c>
      <c r="S102" s="176"/>
      <c r="T102" s="176" t="s">
        <v>2791</v>
      </c>
      <c r="U102" s="176" t="s">
        <v>152</v>
      </c>
      <c r="V102" s="176" t="s">
        <v>23</v>
      </c>
    </row>
    <row r="103" spans="1:22" ht="12.75" customHeight="1">
      <c r="A103" s="65"/>
      <c r="B103" s="211">
        <v>46206</v>
      </c>
      <c r="C103" s="211">
        <v>46206</v>
      </c>
      <c r="D103" s="176" t="s">
        <v>4053</v>
      </c>
      <c r="E103" s="176" t="s">
        <v>4054</v>
      </c>
      <c r="F103" s="176" t="s">
        <v>87</v>
      </c>
      <c r="G103" s="176" t="s">
        <v>2633</v>
      </c>
      <c r="H103" s="176">
        <v>40</v>
      </c>
      <c r="I103" s="176">
        <v>42.4</v>
      </c>
      <c r="J103" s="176">
        <v>42.4</v>
      </c>
      <c r="K103" s="176">
        <v>5</v>
      </c>
      <c r="L103" s="176">
        <v>0</v>
      </c>
      <c r="M103" s="176" t="s">
        <v>148</v>
      </c>
      <c r="N103" s="176" t="s">
        <v>149</v>
      </c>
      <c r="O103" s="176" t="s">
        <v>150</v>
      </c>
      <c r="P103" s="176" t="s">
        <v>151</v>
      </c>
      <c r="Q103" s="176"/>
      <c r="R103" s="176" t="s">
        <v>4054</v>
      </c>
      <c r="S103" s="176"/>
      <c r="T103" s="176" t="s">
        <v>2791</v>
      </c>
      <c r="U103" s="176" t="s">
        <v>152</v>
      </c>
      <c r="V103" s="176" t="s">
        <v>23</v>
      </c>
    </row>
    <row r="104" spans="1:22" ht="12.75" customHeight="1">
      <c r="A104" s="65"/>
      <c r="B104" s="211">
        <v>46206</v>
      </c>
      <c r="C104" s="211">
        <v>46206</v>
      </c>
      <c r="D104" s="176" t="s">
        <v>4055</v>
      </c>
      <c r="E104" s="176" t="s">
        <v>4056</v>
      </c>
      <c r="F104" s="176" t="s">
        <v>87</v>
      </c>
      <c r="G104" s="176" t="s">
        <v>2001</v>
      </c>
      <c r="H104" s="176">
        <v>6</v>
      </c>
      <c r="I104" s="176">
        <v>10.8</v>
      </c>
      <c r="J104" s="176">
        <v>10.8</v>
      </c>
      <c r="K104" s="176">
        <v>1.5</v>
      </c>
      <c r="L104" s="176">
        <v>0</v>
      </c>
      <c r="M104" s="176" t="s">
        <v>148</v>
      </c>
      <c r="N104" s="176" t="s">
        <v>149</v>
      </c>
      <c r="O104" s="176" t="s">
        <v>150</v>
      </c>
      <c r="P104" s="176" t="s">
        <v>151</v>
      </c>
      <c r="Q104" s="176"/>
      <c r="R104" s="176" t="s">
        <v>4056</v>
      </c>
      <c r="S104" s="176"/>
      <c r="T104" s="176" t="s">
        <v>2791</v>
      </c>
      <c r="U104" s="176" t="s">
        <v>152</v>
      </c>
      <c r="V104" s="176" t="s">
        <v>23</v>
      </c>
    </row>
    <row r="105" spans="1:22" ht="12.75" customHeight="1">
      <c r="A105" s="65"/>
      <c r="B105" s="211">
        <v>46206</v>
      </c>
      <c r="C105" s="211">
        <v>46206</v>
      </c>
      <c r="D105" s="176" t="s">
        <v>4057</v>
      </c>
      <c r="E105" s="176" t="s">
        <v>4058</v>
      </c>
      <c r="F105" s="176" t="s">
        <v>87</v>
      </c>
      <c r="G105" s="176" t="s">
        <v>2639</v>
      </c>
      <c r="H105" s="176">
        <v>25</v>
      </c>
      <c r="I105" s="176">
        <v>16.3</v>
      </c>
      <c r="J105" s="176">
        <v>16.3</v>
      </c>
      <c r="K105" s="176">
        <v>4</v>
      </c>
      <c r="L105" s="176">
        <v>0</v>
      </c>
      <c r="M105" s="176" t="s">
        <v>148</v>
      </c>
      <c r="N105" s="176" t="s">
        <v>149</v>
      </c>
      <c r="O105" s="176" t="s">
        <v>150</v>
      </c>
      <c r="P105" s="176" t="s">
        <v>151</v>
      </c>
      <c r="Q105" s="176"/>
      <c r="R105" s="176" t="s">
        <v>4058</v>
      </c>
      <c r="S105" s="176"/>
      <c r="T105" s="176" t="s">
        <v>2791</v>
      </c>
      <c r="U105" s="176" t="s">
        <v>152</v>
      </c>
      <c r="V105" s="176" t="s">
        <v>23</v>
      </c>
    </row>
    <row r="106" spans="1:22" ht="12.75" customHeight="1">
      <c r="A106" s="65"/>
      <c r="B106" s="211">
        <v>46206</v>
      </c>
      <c r="C106" s="211">
        <v>46206</v>
      </c>
      <c r="D106" s="176" t="s">
        <v>4059</v>
      </c>
      <c r="E106" s="176" t="s">
        <v>4060</v>
      </c>
      <c r="F106" s="176" t="s">
        <v>87</v>
      </c>
      <c r="G106" s="176" t="s">
        <v>3934</v>
      </c>
      <c r="H106" s="176">
        <v>25</v>
      </c>
      <c r="I106" s="176">
        <v>43.7</v>
      </c>
      <c r="J106" s="176">
        <v>43.7</v>
      </c>
      <c r="K106" s="176">
        <v>4</v>
      </c>
      <c r="L106" s="176">
        <v>0</v>
      </c>
      <c r="M106" s="176" t="s">
        <v>148</v>
      </c>
      <c r="N106" s="176" t="s">
        <v>149</v>
      </c>
      <c r="O106" s="176" t="s">
        <v>150</v>
      </c>
      <c r="P106" s="176" t="s">
        <v>151</v>
      </c>
      <c r="Q106" s="176"/>
      <c r="R106" s="176" t="s">
        <v>4060</v>
      </c>
      <c r="S106" s="176"/>
      <c r="T106" s="176" t="s">
        <v>2791</v>
      </c>
      <c r="U106" s="176" t="s">
        <v>152</v>
      </c>
      <c r="V106" s="176" t="s">
        <v>23</v>
      </c>
    </row>
    <row r="107" spans="1:22" ht="12.75" customHeight="1">
      <c r="A107" s="65"/>
      <c r="B107" s="211">
        <v>46206</v>
      </c>
      <c r="C107" s="211">
        <v>46206</v>
      </c>
      <c r="D107" s="176" t="s">
        <v>4061</v>
      </c>
      <c r="E107" s="176" t="s">
        <v>4062</v>
      </c>
      <c r="F107" s="176" t="s">
        <v>87</v>
      </c>
      <c r="G107" s="176" t="s">
        <v>2639</v>
      </c>
      <c r="H107" s="176">
        <v>25</v>
      </c>
      <c r="I107" s="176">
        <v>29.2</v>
      </c>
      <c r="J107" s="176">
        <v>29.2</v>
      </c>
      <c r="K107" s="176">
        <v>4</v>
      </c>
      <c r="L107" s="176">
        <v>0</v>
      </c>
      <c r="M107" s="176" t="s">
        <v>148</v>
      </c>
      <c r="N107" s="176" t="s">
        <v>149</v>
      </c>
      <c r="O107" s="176" t="s">
        <v>150</v>
      </c>
      <c r="P107" s="176" t="s">
        <v>151</v>
      </c>
      <c r="Q107" s="176"/>
      <c r="R107" s="176" t="s">
        <v>4062</v>
      </c>
      <c r="S107" s="176"/>
      <c r="T107" s="176" t="s">
        <v>2791</v>
      </c>
      <c r="U107" s="176" t="s">
        <v>152</v>
      </c>
      <c r="V107" s="176" t="s">
        <v>23</v>
      </c>
    </row>
    <row r="108" spans="1:22" ht="12.75" customHeight="1">
      <c r="A108" s="65"/>
      <c r="B108" s="211">
        <v>46206</v>
      </c>
      <c r="C108" s="211">
        <v>46206</v>
      </c>
      <c r="D108" s="176" t="s">
        <v>4063</v>
      </c>
      <c r="E108" s="176" t="s">
        <v>4064</v>
      </c>
      <c r="F108" s="176" t="s">
        <v>87</v>
      </c>
      <c r="G108" s="176" t="s">
        <v>2486</v>
      </c>
      <c r="H108" s="176">
        <v>40</v>
      </c>
      <c r="I108" s="176">
        <v>49.2</v>
      </c>
      <c r="J108" s="176">
        <v>49.2</v>
      </c>
      <c r="K108" s="176">
        <v>5</v>
      </c>
      <c r="L108" s="176">
        <v>0</v>
      </c>
      <c r="M108" s="176" t="s">
        <v>148</v>
      </c>
      <c r="N108" s="176" t="s">
        <v>149</v>
      </c>
      <c r="O108" s="176" t="s">
        <v>150</v>
      </c>
      <c r="P108" s="176" t="s">
        <v>151</v>
      </c>
      <c r="Q108" s="176"/>
      <c r="R108" s="176" t="s">
        <v>4064</v>
      </c>
      <c r="S108" s="176"/>
      <c r="T108" s="176" t="s">
        <v>2791</v>
      </c>
      <c r="U108" s="176" t="s">
        <v>152</v>
      </c>
      <c r="V108" s="176" t="s">
        <v>23</v>
      </c>
    </row>
    <row r="109" spans="1:22" ht="12.75" customHeight="1">
      <c r="A109" s="65"/>
      <c r="B109" s="211">
        <v>46206</v>
      </c>
      <c r="C109" s="211">
        <v>46206</v>
      </c>
      <c r="D109" s="176" t="s">
        <v>4065</v>
      </c>
      <c r="E109" s="176" t="s">
        <v>4066</v>
      </c>
      <c r="F109" s="176" t="s">
        <v>87</v>
      </c>
      <c r="G109" s="176" t="s">
        <v>3866</v>
      </c>
      <c r="H109" s="176">
        <v>40</v>
      </c>
      <c r="I109" s="176">
        <v>30.2</v>
      </c>
      <c r="J109" s="176">
        <v>30.2</v>
      </c>
      <c r="K109" s="176">
        <v>5</v>
      </c>
      <c r="L109" s="176">
        <v>0</v>
      </c>
      <c r="M109" s="176" t="s">
        <v>148</v>
      </c>
      <c r="N109" s="176" t="s">
        <v>149</v>
      </c>
      <c r="O109" s="176" t="s">
        <v>150</v>
      </c>
      <c r="P109" s="176" t="s">
        <v>151</v>
      </c>
      <c r="Q109" s="176"/>
      <c r="R109" s="176" t="s">
        <v>4066</v>
      </c>
      <c r="S109" s="176"/>
      <c r="T109" s="176" t="s">
        <v>2791</v>
      </c>
      <c r="U109" s="176" t="s">
        <v>152</v>
      </c>
      <c r="V109" s="176" t="s">
        <v>23</v>
      </c>
    </row>
    <row r="110" spans="1:22" ht="12.75" customHeight="1">
      <c r="A110" s="65"/>
      <c r="B110" s="211">
        <v>46206</v>
      </c>
      <c r="C110" s="211">
        <v>46206</v>
      </c>
      <c r="D110" s="176" t="s">
        <v>4067</v>
      </c>
      <c r="E110" s="176" t="s">
        <v>4068</v>
      </c>
      <c r="F110" s="176" t="s">
        <v>87</v>
      </c>
      <c r="G110" s="176" t="s">
        <v>3934</v>
      </c>
      <c r="H110" s="176">
        <v>25</v>
      </c>
      <c r="I110" s="176">
        <v>50.8</v>
      </c>
      <c r="J110" s="176">
        <v>50.8</v>
      </c>
      <c r="K110" s="176">
        <v>4</v>
      </c>
      <c r="L110" s="176">
        <v>0</v>
      </c>
      <c r="M110" s="176" t="s">
        <v>148</v>
      </c>
      <c r="N110" s="176" t="s">
        <v>149</v>
      </c>
      <c r="O110" s="176" t="s">
        <v>150</v>
      </c>
      <c r="P110" s="176" t="s">
        <v>151</v>
      </c>
      <c r="Q110" s="176"/>
      <c r="R110" s="176" t="s">
        <v>4068</v>
      </c>
      <c r="S110" s="176"/>
      <c r="T110" s="176" t="s">
        <v>2791</v>
      </c>
      <c r="U110" s="176" t="s">
        <v>152</v>
      </c>
      <c r="V110" s="176" t="s">
        <v>23</v>
      </c>
    </row>
    <row r="111" spans="1:22" ht="12.75" customHeight="1">
      <c r="A111" s="65"/>
      <c r="B111" s="211">
        <v>46206</v>
      </c>
      <c r="C111" s="211">
        <v>46206</v>
      </c>
      <c r="D111" s="176" t="s">
        <v>4069</v>
      </c>
      <c r="E111" s="176" t="s">
        <v>4070</v>
      </c>
      <c r="F111" s="176" t="s">
        <v>87</v>
      </c>
      <c r="G111" s="176" t="s">
        <v>2639</v>
      </c>
      <c r="H111" s="176">
        <v>25</v>
      </c>
      <c r="I111" s="176">
        <v>34.299999999999997</v>
      </c>
      <c r="J111" s="176">
        <v>34.299999999999997</v>
      </c>
      <c r="K111" s="176">
        <v>4</v>
      </c>
      <c r="L111" s="176">
        <v>0</v>
      </c>
      <c r="M111" s="176" t="s">
        <v>148</v>
      </c>
      <c r="N111" s="176" t="s">
        <v>149</v>
      </c>
      <c r="O111" s="176" t="s">
        <v>150</v>
      </c>
      <c r="P111" s="176" t="s">
        <v>151</v>
      </c>
      <c r="Q111" s="176"/>
      <c r="R111" s="176" t="s">
        <v>4070</v>
      </c>
      <c r="S111" s="176"/>
      <c r="T111" s="176" t="s">
        <v>2791</v>
      </c>
      <c r="U111" s="176" t="s">
        <v>152</v>
      </c>
      <c r="V111" s="176" t="s">
        <v>23</v>
      </c>
    </row>
    <row r="112" spans="1:22" ht="12.75" customHeight="1">
      <c r="A112" s="65"/>
      <c r="B112" s="211">
        <v>46206</v>
      </c>
      <c r="C112" s="211">
        <v>46206</v>
      </c>
      <c r="D112" s="176" t="s">
        <v>4071</v>
      </c>
      <c r="E112" s="176" t="s">
        <v>4072</v>
      </c>
      <c r="F112" s="176" t="s">
        <v>87</v>
      </c>
      <c r="G112" s="176" t="s">
        <v>2552</v>
      </c>
      <c r="H112" s="176">
        <v>40</v>
      </c>
      <c r="I112" s="176">
        <v>29</v>
      </c>
      <c r="J112" s="176">
        <v>29</v>
      </c>
      <c r="K112" s="176">
        <v>5</v>
      </c>
      <c r="L112" s="176">
        <v>0</v>
      </c>
      <c r="M112" s="176" t="s">
        <v>148</v>
      </c>
      <c r="N112" s="176" t="s">
        <v>149</v>
      </c>
      <c r="O112" s="176" t="s">
        <v>150</v>
      </c>
      <c r="P112" s="176" t="s">
        <v>151</v>
      </c>
      <c r="Q112" s="176"/>
      <c r="R112" s="176" t="s">
        <v>4072</v>
      </c>
      <c r="S112" s="176"/>
      <c r="T112" s="176" t="s">
        <v>2791</v>
      </c>
      <c r="U112" s="176" t="s">
        <v>152</v>
      </c>
      <c r="V112" s="176" t="s">
        <v>23</v>
      </c>
    </row>
    <row r="113" spans="1:22" ht="12.75" customHeight="1">
      <c r="A113" s="65"/>
      <c r="B113" s="211">
        <v>46206</v>
      </c>
      <c r="C113" s="211">
        <v>46206</v>
      </c>
      <c r="D113" s="176" t="s">
        <v>4073</v>
      </c>
      <c r="E113" s="176" t="s">
        <v>4074</v>
      </c>
      <c r="F113" s="176" t="s">
        <v>87</v>
      </c>
      <c r="G113" s="176" t="s">
        <v>3934</v>
      </c>
      <c r="H113" s="176">
        <v>25</v>
      </c>
      <c r="I113" s="176">
        <v>40.799999999999997</v>
      </c>
      <c r="J113" s="176">
        <v>40.799999999999997</v>
      </c>
      <c r="K113" s="176">
        <v>4</v>
      </c>
      <c r="L113" s="176">
        <v>0</v>
      </c>
      <c r="M113" s="176" t="s">
        <v>148</v>
      </c>
      <c r="N113" s="176" t="s">
        <v>149</v>
      </c>
      <c r="O113" s="176" t="s">
        <v>150</v>
      </c>
      <c r="P113" s="176" t="s">
        <v>151</v>
      </c>
      <c r="Q113" s="176"/>
      <c r="R113" s="176" t="s">
        <v>4074</v>
      </c>
      <c r="S113" s="176"/>
      <c r="T113" s="176" t="s">
        <v>2791</v>
      </c>
      <c r="U113" s="176" t="s">
        <v>152</v>
      </c>
      <c r="V113" s="176" t="s">
        <v>23</v>
      </c>
    </row>
    <row r="114" spans="1:22" ht="12.75" customHeight="1">
      <c r="A114" s="65"/>
      <c r="B114" s="211">
        <v>46206</v>
      </c>
      <c r="C114" s="211">
        <v>46206</v>
      </c>
      <c r="D114" s="176" t="s">
        <v>4075</v>
      </c>
      <c r="E114" s="176" t="s">
        <v>4076</v>
      </c>
      <c r="F114" s="176" t="s">
        <v>87</v>
      </c>
      <c r="G114" s="176" t="s">
        <v>3934</v>
      </c>
      <c r="H114" s="176">
        <v>25</v>
      </c>
      <c r="I114" s="176">
        <v>36.799999999999997</v>
      </c>
      <c r="J114" s="176">
        <v>36.799999999999997</v>
      </c>
      <c r="K114" s="176">
        <v>4</v>
      </c>
      <c r="L114" s="176">
        <v>0</v>
      </c>
      <c r="M114" s="176" t="s">
        <v>148</v>
      </c>
      <c r="N114" s="176" t="s">
        <v>149</v>
      </c>
      <c r="O114" s="176" t="s">
        <v>150</v>
      </c>
      <c r="P114" s="176" t="s">
        <v>151</v>
      </c>
      <c r="Q114" s="176"/>
      <c r="R114" s="176" t="s">
        <v>4076</v>
      </c>
      <c r="S114" s="176"/>
      <c r="T114" s="176" t="s">
        <v>2791</v>
      </c>
      <c r="U114" s="176" t="s">
        <v>152</v>
      </c>
      <c r="V114" s="176" t="s">
        <v>23</v>
      </c>
    </row>
    <row r="115" spans="1:22" ht="12.75" customHeight="1">
      <c r="A115" s="65"/>
      <c r="B115" s="211">
        <v>46206</v>
      </c>
      <c r="C115" s="211">
        <v>46206</v>
      </c>
      <c r="D115" s="176" t="s">
        <v>4077</v>
      </c>
      <c r="E115" s="176" t="s">
        <v>4078</v>
      </c>
      <c r="F115" s="176" t="s">
        <v>87</v>
      </c>
      <c r="G115" s="176" t="s">
        <v>2553</v>
      </c>
      <c r="H115" s="176">
        <v>30</v>
      </c>
      <c r="I115" s="176">
        <v>34.799999999999997</v>
      </c>
      <c r="J115" s="176">
        <v>34.799999999999997</v>
      </c>
      <c r="K115" s="176">
        <v>4</v>
      </c>
      <c r="L115" s="176">
        <v>0</v>
      </c>
      <c r="M115" s="176" t="s">
        <v>148</v>
      </c>
      <c r="N115" s="176" t="s">
        <v>149</v>
      </c>
      <c r="O115" s="176" t="s">
        <v>150</v>
      </c>
      <c r="P115" s="176" t="s">
        <v>151</v>
      </c>
      <c r="Q115" s="176"/>
      <c r="R115" s="176" t="s">
        <v>4078</v>
      </c>
      <c r="S115" s="176"/>
      <c r="T115" s="176" t="s">
        <v>2791</v>
      </c>
      <c r="U115" s="176" t="s">
        <v>152</v>
      </c>
      <c r="V115" s="176" t="s">
        <v>23</v>
      </c>
    </row>
    <row r="116" spans="1:22" ht="12.75" customHeight="1">
      <c r="A116" s="65"/>
      <c r="B116" s="211">
        <v>46206</v>
      </c>
      <c r="C116" s="211">
        <v>46206</v>
      </c>
      <c r="D116" s="176" t="s">
        <v>4079</v>
      </c>
      <c r="E116" s="176" t="s">
        <v>4080</v>
      </c>
      <c r="F116" s="176" t="s">
        <v>87</v>
      </c>
      <c r="G116" s="176" t="s">
        <v>2552</v>
      </c>
      <c r="H116" s="176">
        <v>40</v>
      </c>
      <c r="I116" s="176">
        <v>45.1</v>
      </c>
      <c r="J116" s="176">
        <v>45.1</v>
      </c>
      <c r="K116" s="176">
        <v>5</v>
      </c>
      <c r="L116" s="176">
        <v>0</v>
      </c>
      <c r="M116" s="176" t="s">
        <v>148</v>
      </c>
      <c r="N116" s="176" t="s">
        <v>149</v>
      </c>
      <c r="O116" s="176" t="s">
        <v>150</v>
      </c>
      <c r="P116" s="176" t="s">
        <v>151</v>
      </c>
      <c r="Q116" s="176"/>
      <c r="R116" s="176" t="s">
        <v>4080</v>
      </c>
      <c r="S116" s="176"/>
      <c r="T116" s="176" t="s">
        <v>2791</v>
      </c>
      <c r="U116" s="176" t="s">
        <v>152</v>
      </c>
      <c r="V116" s="176" t="s">
        <v>23</v>
      </c>
    </row>
    <row r="117" spans="1:22" ht="12.75" customHeight="1">
      <c r="A117" s="65"/>
      <c r="B117" s="211">
        <v>46206</v>
      </c>
      <c r="C117" s="211">
        <v>46206</v>
      </c>
      <c r="D117" s="176" t="s">
        <v>4081</v>
      </c>
      <c r="E117" s="176" t="s">
        <v>4082</v>
      </c>
      <c r="F117" s="176" t="s">
        <v>87</v>
      </c>
      <c r="G117" s="176" t="s">
        <v>2553</v>
      </c>
      <c r="H117" s="176">
        <v>30</v>
      </c>
      <c r="I117" s="176">
        <v>34.799999999999997</v>
      </c>
      <c r="J117" s="176">
        <v>34.799999999999997</v>
      </c>
      <c r="K117" s="176">
        <v>4</v>
      </c>
      <c r="L117" s="176">
        <v>0</v>
      </c>
      <c r="M117" s="176" t="s">
        <v>148</v>
      </c>
      <c r="N117" s="176" t="s">
        <v>149</v>
      </c>
      <c r="O117" s="176" t="s">
        <v>150</v>
      </c>
      <c r="P117" s="176" t="s">
        <v>151</v>
      </c>
      <c r="Q117" s="176"/>
      <c r="R117" s="176" t="s">
        <v>4082</v>
      </c>
      <c r="S117" s="176"/>
      <c r="T117" s="176" t="s">
        <v>2791</v>
      </c>
      <c r="U117" s="176" t="s">
        <v>152</v>
      </c>
      <c r="V117" s="176" t="s">
        <v>23</v>
      </c>
    </row>
    <row r="118" spans="1:22" ht="12.75" customHeight="1">
      <c r="A118" s="65"/>
      <c r="B118" s="211">
        <v>46206</v>
      </c>
      <c r="C118" s="211">
        <v>46206</v>
      </c>
      <c r="D118" s="176" t="s">
        <v>4083</v>
      </c>
      <c r="E118" s="176" t="s">
        <v>4084</v>
      </c>
      <c r="F118" s="176" t="s">
        <v>87</v>
      </c>
      <c r="G118" s="176" t="s">
        <v>3934</v>
      </c>
      <c r="H118" s="176">
        <v>25</v>
      </c>
      <c r="I118" s="176">
        <v>32.299999999999997</v>
      </c>
      <c r="J118" s="176">
        <v>32.299999999999997</v>
      </c>
      <c r="K118" s="176">
        <v>4</v>
      </c>
      <c r="L118" s="176">
        <v>0</v>
      </c>
      <c r="M118" s="176" t="s">
        <v>148</v>
      </c>
      <c r="N118" s="176" t="s">
        <v>149</v>
      </c>
      <c r="O118" s="176" t="s">
        <v>150</v>
      </c>
      <c r="P118" s="176" t="s">
        <v>151</v>
      </c>
      <c r="Q118" s="176"/>
      <c r="R118" s="176" t="s">
        <v>4084</v>
      </c>
      <c r="S118" s="176"/>
      <c r="T118" s="176" t="s">
        <v>2791</v>
      </c>
      <c r="U118" s="176" t="s">
        <v>152</v>
      </c>
      <c r="V118" s="176" t="s">
        <v>23</v>
      </c>
    </row>
    <row r="119" spans="1:22" ht="12.75" customHeight="1">
      <c r="A119" s="65"/>
      <c r="B119" s="211">
        <v>46206</v>
      </c>
      <c r="C119" s="211">
        <v>46206</v>
      </c>
      <c r="D119" s="176" t="s">
        <v>4085</v>
      </c>
      <c r="E119" s="176" t="s">
        <v>4086</v>
      </c>
      <c r="F119" s="176" t="s">
        <v>87</v>
      </c>
      <c r="G119" s="176" t="s">
        <v>3934</v>
      </c>
      <c r="H119" s="176">
        <v>25</v>
      </c>
      <c r="I119" s="176">
        <v>25</v>
      </c>
      <c r="J119" s="176">
        <v>25</v>
      </c>
      <c r="K119" s="176">
        <v>4</v>
      </c>
      <c r="L119" s="176">
        <v>0</v>
      </c>
      <c r="M119" s="176" t="s">
        <v>148</v>
      </c>
      <c r="N119" s="176" t="s">
        <v>149</v>
      </c>
      <c r="O119" s="176" t="s">
        <v>150</v>
      </c>
      <c r="P119" s="176" t="s">
        <v>151</v>
      </c>
      <c r="Q119" s="176"/>
      <c r="R119" s="176" t="s">
        <v>4086</v>
      </c>
      <c r="S119" s="176"/>
      <c r="T119" s="176" t="s">
        <v>2791</v>
      </c>
      <c r="U119" s="176" t="s">
        <v>152</v>
      </c>
      <c r="V119" s="176" t="s">
        <v>23</v>
      </c>
    </row>
    <row r="120" spans="1:22" ht="12.75" customHeight="1">
      <c r="A120" s="65"/>
      <c r="B120" s="211">
        <v>46206</v>
      </c>
      <c r="C120" s="211">
        <v>46206</v>
      </c>
      <c r="D120" s="176" t="s">
        <v>4087</v>
      </c>
      <c r="E120" s="176" t="s">
        <v>4088</v>
      </c>
      <c r="F120" s="176" t="s">
        <v>87</v>
      </c>
      <c r="G120" s="176" t="s">
        <v>3934</v>
      </c>
      <c r="H120" s="176">
        <v>25</v>
      </c>
      <c r="I120" s="176">
        <v>41.3</v>
      </c>
      <c r="J120" s="176">
        <v>41.3</v>
      </c>
      <c r="K120" s="176">
        <v>4</v>
      </c>
      <c r="L120" s="176">
        <v>0</v>
      </c>
      <c r="M120" s="176" t="s">
        <v>148</v>
      </c>
      <c r="N120" s="176" t="s">
        <v>149</v>
      </c>
      <c r="O120" s="176" t="s">
        <v>150</v>
      </c>
      <c r="P120" s="176" t="s">
        <v>151</v>
      </c>
      <c r="Q120" s="176"/>
      <c r="R120" s="176" t="s">
        <v>4088</v>
      </c>
      <c r="S120" s="176"/>
      <c r="T120" s="176" t="s">
        <v>2791</v>
      </c>
      <c r="U120" s="176" t="s">
        <v>152</v>
      </c>
      <c r="V120" s="176" t="s">
        <v>23</v>
      </c>
    </row>
    <row r="121" spans="1:22" ht="12.75" customHeight="1">
      <c r="A121" s="65"/>
      <c r="B121" s="211">
        <v>46206</v>
      </c>
      <c r="C121" s="211">
        <v>46206</v>
      </c>
      <c r="D121" s="176" t="s">
        <v>4089</v>
      </c>
      <c r="E121" s="176" t="s">
        <v>4090</v>
      </c>
      <c r="F121" s="176" t="s">
        <v>87</v>
      </c>
      <c r="G121" s="176" t="s">
        <v>2486</v>
      </c>
      <c r="H121" s="176">
        <v>40</v>
      </c>
      <c r="I121" s="176">
        <v>31.2</v>
      </c>
      <c r="J121" s="176">
        <v>31.2</v>
      </c>
      <c r="K121" s="176">
        <v>5</v>
      </c>
      <c r="L121" s="176">
        <v>0</v>
      </c>
      <c r="M121" s="176" t="s">
        <v>148</v>
      </c>
      <c r="N121" s="176" t="s">
        <v>149</v>
      </c>
      <c r="O121" s="176" t="s">
        <v>150</v>
      </c>
      <c r="P121" s="176" t="s">
        <v>151</v>
      </c>
      <c r="Q121" s="176"/>
      <c r="R121" s="176" t="s">
        <v>4090</v>
      </c>
      <c r="S121" s="176"/>
      <c r="T121" s="176" t="s">
        <v>2791</v>
      </c>
      <c r="U121" s="176" t="s">
        <v>152</v>
      </c>
      <c r="V121" s="176" t="s">
        <v>23</v>
      </c>
    </row>
    <row r="122" spans="1:22" ht="12.75" customHeight="1">
      <c r="A122" s="65"/>
      <c r="B122" s="211">
        <v>46206</v>
      </c>
      <c r="C122" s="211">
        <v>46206</v>
      </c>
      <c r="D122" s="176" t="s">
        <v>4091</v>
      </c>
      <c r="E122" s="176" t="s">
        <v>4092</v>
      </c>
      <c r="F122" s="176" t="s">
        <v>87</v>
      </c>
      <c r="G122" s="176" t="s">
        <v>2001</v>
      </c>
      <c r="H122" s="176">
        <v>6</v>
      </c>
      <c r="I122" s="176">
        <v>13.8</v>
      </c>
      <c r="J122" s="176">
        <v>13.8</v>
      </c>
      <c r="K122" s="176">
        <v>1.5</v>
      </c>
      <c r="L122" s="176">
        <v>0</v>
      </c>
      <c r="M122" s="176" t="s">
        <v>148</v>
      </c>
      <c r="N122" s="176" t="s">
        <v>149</v>
      </c>
      <c r="O122" s="176" t="s">
        <v>150</v>
      </c>
      <c r="P122" s="176" t="s">
        <v>151</v>
      </c>
      <c r="Q122" s="176"/>
      <c r="R122" s="176" t="s">
        <v>4092</v>
      </c>
      <c r="S122" s="176"/>
      <c r="T122" s="176" t="s">
        <v>2791</v>
      </c>
      <c r="U122" s="176" t="s">
        <v>152</v>
      </c>
      <c r="V122" s="176" t="s">
        <v>23</v>
      </c>
    </row>
    <row r="123" spans="1:22" ht="12.75" customHeight="1">
      <c r="A123" s="65"/>
      <c r="B123" s="211">
        <v>46206</v>
      </c>
      <c r="C123" s="211">
        <v>46206</v>
      </c>
      <c r="D123" s="176" t="s">
        <v>4093</v>
      </c>
      <c r="E123" s="176" t="s">
        <v>4094</v>
      </c>
      <c r="F123" s="176" t="s">
        <v>87</v>
      </c>
      <c r="G123" s="176" t="s">
        <v>3934</v>
      </c>
      <c r="H123" s="176">
        <v>25</v>
      </c>
      <c r="I123" s="176">
        <v>34.4</v>
      </c>
      <c r="J123" s="176">
        <v>34.4</v>
      </c>
      <c r="K123" s="176">
        <v>4</v>
      </c>
      <c r="L123" s="176">
        <v>0</v>
      </c>
      <c r="M123" s="176" t="s">
        <v>148</v>
      </c>
      <c r="N123" s="176" t="s">
        <v>149</v>
      </c>
      <c r="O123" s="176" t="s">
        <v>150</v>
      </c>
      <c r="P123" s="176" t="s">
        <v>151</v>
      </c>
      <c r="Q123" s="176"/>
      <c r="R123" s="176" t="s">
        <v>4094</v>
      </c>
      <c r="S123" s="176"/>
      <c r="T123" s="176" t="s">
        <v>2791</v>
      </c>
      <c r="U123" s="176" t="s">
        <v>152</v>
      </c>
      <c r="V123" s="176" t="s">
        <v>23</v>
      </c>
    </row>
    <row r="124" spans="1:22" ht="12.75" customHeight="1">
      <c r="A124" s="65"/>
      <c r="B124" s="211">
        <v>46206</v>
      </c>
      <c r="C124" s="211">
        <v>46206</v>
      </c>
      <c r="D124" s="176" t="s">
        <v>4095</v>
      </c>
      <c r="E124" s="176" t="s">
        <v>4096</v>
      </c>
      <c r="F124" s="176" t="s">
        <v>87</v>
      </c>
      <c r="G124" s="176" t="s">
        <v>2486</v>
      </c>
      <c r="H124" s="176">
        <v>40</v>
      </c>
      <c r="I124" s="176">
        <v>42.6</v>
      </c>
      <c r="J124" s="176">
        <v>42.6</v>
      </c>
      <c r="K124" s="176">
        <v>5</v>
      </c>
      <c r="L124" s="176">
        <v>0</v>
      </c>
      <c r="M124" s="176" t="s">
        <v>148</v>
      </c>
      <c r="N124" s="176" t="s">
        <v>149</v>
      </c>
      <c r="O124" s="176" t="s">
        <v>150</v>
      </c>
      <c r="P124" s="176" t="s">
        <v>151</v>
      </c>
      <c r="Q124" s="176"/>
      <c r="R124" s="176" t="s">
        <v>4096</v>
      </c>
      <c r="S124" s="176"/>
      <c r="T124" s="176" t="s">
        <v>2791</v>
      </c>
      <c r="U124" s="176" t="s">
        <v>152</v>
      </c>
      <c r="V124" s="176" t="s">
        <v>23</v>
      </c>
    </row>
    <row r="125" spans="1:22" ht="12.75" customHeight="1">
      <c r="A125" s="65"/>
      <c r="B125" s="211">
        <v>46206</v>
      </c>
      <c r="C125" s="211">
        <v>46206</v>
      </c>
      <c r="D125" s="176" t="s">
        <v>4097</v>
      </c>
      <c r="E125" s="176" t="s">
        <v>4098</v>
      </c>
      <c r="F125" s="176" t="s">
        <v>87</v>
      </c>
      <c r="G125" s="176" t="s">
        <v>3934</v>
      </c>
      <c r="H125" s="176">
        <v>25</v>
      </c>
      <c r="I125" s="176">
        <v>38.299999999999997</v>
      </c>
      <c r="J125" s="176">
        <v>38.299999999999997</v>
      </c>
      <c r="K125" s="176">
        <v>4</v>
      </c>
      <c r="L125" s="176">
        <v>0</v>
      </c>
      <c r="M125" s="176" t="s">
        <v>148</v>
      </c>
      <c r="N125" s="176" t="s">
        <v>149</v>
      </c>
      <c r="O125" s="176" t="s">
        <v>150</v>
      </c>
      <c r="P125" s="176" t="s">
        <v>151</v>
      </c>
      <c r="Q125" s="176"/>
      <c r="R125" s="176" t="s">
        <v>4098</v>
      </c>
      <c r="S125" s="176"/>
      <c r="T125" s="176" t="s">
        <v>2791</v>
      </c>
      <c r="U125" s="176" t="s">
        <v>152</v>
      </c>
      <c r="V125" s="176" t="s">
        <v>23</v>
      </c>
    </row>
    <row r="126" spans="1:22" ht="12.75" customHeight="1">
      <c r="A126" s="65"/>
      <c r="B126" s="211">
        <v>46206</v>
      </c>
      <c r="C126" s="211">
        <v>46206</v>
      </c>
      <c r="D126" s="176" t="s">
        <v>4099</v>
      </c>
      <c r="E126" s="176" t="s">
        <v>4100</v>
      </c>
      <c r="F126" s="176" t="s">
        <v>87</v>
      </c>
      <c r="G126" s="176" t="s">
        <v>3934</v>
      </c>
      <c r="H126" s="176">
        <v>25</v>
      </c>
      <c r="I126" s="176">
        <v>33.200000000000003</v>
      </c>
      <c r="J126" s="176">
        <v>33.200000000000003</v>
      </c>
      <c r="K126" s="176">
        <v>4</v>
      </c>
      <c r="L126" s="176">
        <v>0</v>
      </c>
      <c r="M126" s="176" t="s">
        <v>148</v>
      </c>
      <c r="N126" s="176" t="s">
        <v>149</v>
      </c>
      <c r="O126" s="176" t="s">
        <v>150</v>
      </c>
      <c r="P126" s="176" t="s">
        <v>151</v>
      </c>
      <c r="Q126" s="176"/>
      <c r="R126" s="176" t="s">
        <v>4100</v>
      </c>
      <c r="S126" s="176"/>
      <c r="T126" s="176" t="s">
        <v>2791</v>
      </c>
      <c r="U126" s="176" t="s">
        <v>152</v>
      </c>
      <c r="V126" s="176" t="s">
        <v>23</v>
      </c>
    </row>
    <row r="127" spans="1:22" ht="12.75" customHeight="1">
      <c r="A127" s="65"/>
      <c r="B127" s="211">
        <v>46206</v>
      </c>
      <c r="C127" s="211">
        <v>46206</v>
      </c>
      <c r="D127" s="176" t="s">
        <v>4101</v>
      </c>
      <c r="E127" s="176" t="s">
        <v>4102</v>
      </c>
      <c r="F127" s="176" t="s">
        <v>87</v>
      </c>
      <c r="G127" s="176" t="s">
        <v>3934</v>
      </c>
      <c r="H127" s="176">
        <v>25</v>
      </c>
      <c r="I127" s="176">
        <v>36.299999999999997</v>
      </c>
      <c r="J127" s="176">
        <v>36.299999999999997</v>
      </c>
      <c r="K127" s="176">
        <v>4</v>
      </c>
      <c r="L127" s="176">
        <v>0</v>
      </c>
      <c r="M127" s="176" t="s">
        <v>148</v>
      </c>
      <c r="N127" s="176" t="s">
        <v>149</v>
      </c>
      <c r="O127" s="176" t="s">
        <v>150</v>
      </c>
      <c r="P127" s="176" t="s">
        <v>151</v>
      </c>
      <c r="Q127" s="176"/>
      <c r="R127" s="176" t="s">
        <v>4102</v>
      </c>
      <c r="S127" s="176"/>
      <c r="T127" s="176" t="s">
        <v>2791</v>
      </c>
      <c r="U127" s="176" t="s">
        <v>152</v>
      </c>
      <c r="V127" s="176" t="s">
        <v>23</v>
      </c>
    </row>
    <row r="128" spans="1:22" ht="12.75" customHeight="1">
      <c r="A128" s="65"/>
      <c r="B128" s="211">
        <v>46206</v>
      </c>
      <c r="C128" s="211">
        <v>46206</v>
      </c>
      <c r="D128" s="176" t="s">
        <v>4103</v>
      </c>
      <c r="E128" s="176" t="s">
        <v>4104</v>
      </c>
      <c r="F128" s="176" t="s">
        <v>87</v>
      </c>
      <c r="G128" s="176" t="s">
        <v>2486</v>
      </c>
      <c r="H128" s="176">
        <v>40</v>
      </c>
      <c r="I128" s="176">
        <v>41.1</v>
      </c>
      <c r="J128" s="176">
        <v>41.1</v>
      </c>
      <c r="K128" s="176">
        <v>5</v>
      </c>
      <c r="L128" s="176">
        <v>0</v>
      </c>
      <c r="M128" s="176" t="s">
        <v>148</v>
      </c>
      <c r="N128" s="176" t="s">
        <v>149</v>
      </c>
      <c r="O128" s="176" t="s">
        <v>150</v>
      </c>
      <c r="P128" s="176" t="s">
        <v>151</v>
      </c>
      <c r="Q128" s="176"/>
      <c r="R128" s="176" t="s">
        <v>4104</v>
      </c>
      <c r="S128" s="176"/>
      <c r="T128" s="176" t="s">
        <v>2791</v>
      </c>
      <c r="U128" s="176" t="s">
        <v>152</v>
      </c>
      <c r="V128" s="176" t="s">
        <v>23</v>
      </c>
    </row>
    <row r="129" spans="1:22" ht="12.75" customHeight="1">
      <c r="A129" s="65"/>
      <c r="B129" s="211">
        <v>46206</v>
      </c>
      <c r="C129" s="211">
        <v>46206</v>
      </c>
      <c r="D129" s="176" t="s">
        <v>4105</v>
      </c>
      <c r="E129" s="176" t="s">
        <v>4106</v>
      </c>
      <c r="F129" s="176" t="s">
        <v>87</v>
      </c>
      <c r="G129" s="176" t="s">
        <v>2553</v>
      </c>
      <c r="H129" s="176">
        <v>30</v>
      </c>
      <c r="I129" s="176">
        <v>36.299999999999997</v>
      </c>
      <c r="J129" s="176">
        <v>36.299999999999997</v>
      </c>
      <c r="K129" s="176">
        <v>4</v>
      </c>
      <c r="L129" s="176">
        <v>0</v>
      </c>
      <c r="M129" s="176" t="s">
        <v>148</v>
      </c>
      <c r="N129" s="176" t="s">
        <v>149</v>
      </c>
      <c r="O129" s="176" t="s">
        <v>150</v>
      </c>
      <c r="P129" s="176" t="s">
        <v>151</v>
      </c>
      <c r="Q129" s="176"/>
      <c r="R129" s="176" t="s">
        <v>4106</v>
      </c>
      <c r="S129" s="176"/>
      <c r="T129" s="176" t="s">
        <v>2791</v>
      </c>
      <c r="U129" s="176" t="s">
        <v>152</v>
      </c>
      <c r="V129" s="176" t="s">
        <v>23</v>
      </c>
    </row>
    <row r="130" spans="1:22" ht="12.75" customHeight="1">
      <c r="A130" s="65"/>
      <c r="B130" s="211">
        <v>46206</v>
      </c>
      <c r="C130" s="211">
        <v>46206</v>
      </c>
      <c r="D130" s="176" t="s">
        <v>4107</v>
      </c>
      <c r="E130" s="176" t="s">
        <v>4108</v>
      </c>
      <c r="F130" s="176" t="s">
        <v>87</v>
      </c>
      <c r="G130" s="176" t="s">
        <v>2486</v>
      </c>
      <c r="H130" s="176">
        <v>40</v>
      </c>
      <c r="I130" s="176">
        <v>33.799999999999997</v>
      </c>
      <c r="J130" s="176">
        <v>33.799999999999997</v>
      </c>
      <c r="K130" s="176">
        <v>5</v>
      </c>
      <c r="L130" s="176">
        <v>0</v>
      </c>
      <c r="M130" s="176" t="s">
        <v>148</v>
      </c>
      <c r="N130" s="176" t="s">
        <v>149</v>
      </c>
      <c r="O130" s="176" t="s">
        <v>150</v>
      </c>
      <c r="P130" s="176" t="s">
        <v>151</v>
      </c>
      <c r="Q130" s="176"/>
      <c r="R130" s="176" t="s">
        <v>4108</v>
      </c>
      <c r="S130" s="176"/>
      <c r="T130" s="176" t="s">
        <v>2791</v>
      </c>
      <c r="U130" s="176" t="s">
        <v>152</v>
      </c>
      <c r="V130" s="176" t="s">
        <v>23</v>
      </c>
    </row>
    <row r="131" spans="1:22" ht="12.75" customHeight="1">
      <c r="A131" s="65"/>
      <c r="B131" s="211">
        <v>46206</v>
      </c>
      <c r="C131" s="211">
        <v>46206</v>
      </c>
      <c r="D131" s="176" t="s">
        <v>4109</v>
      </c>
      <c r="E131" s="176" t="s">
        <v>4110</v>
      </c>
      <c r="F131" s="176" t="s">
        <v>87</v>
      </c>
      <c r="G131" s="176" t="s">
        <v>3934</v>
      </c>
      <c r="H131" s="176">
        <v>25</v>
      </c>
      <c r="I131" s="176">
        <v>37</v>
      </c>
      <c r="J131" s="176">
        <v>37</v>
      </c>
      <c r="K131" s="176">
        <v>4</v>
      </c>
      <c r="L131" s="176">
        <v>0</v>
      </c>
      <c r="M131" s="176" t="s">
        <v>148</v>
      </c>
      <c r="N131" s="176" t="s">
        <v>149</v>
      </c>
      <c r="O131" s="176" t="s">
        <v>150</v>
      </c>
      <c r="P131" s="176" t="s">
        <v>151</v>
      </c>
      <c r="Q131" s="176"/>
      <c r="R131" s="176" t="s">
        <v>4110</v>
      </c>
      <c r="S131" s="176"/>
      <c r="T131" s="176" t="s">
        <v>2791</v>
      </c>
      <c r="U131" s="176" t="s">
        <v>152</v>
      </c>
      <c r="V131" s="176" t="s">
        <v>23</v>
      </c>
    </row>
    <row r="132" spans="1:22" ht="12.75" customHeight="1">
      <c r="A132" s="65"/>
      <c r="B132" s="211">
        <v>46206</v>
      </c>
      <c r="C132" s="211">
        <v>46206</v>
      </c>
      <c r="D132" s="176" t="s">
        <v>4111</v>
      </c>
      <c r="E132" s="176" t="s">
        <v>4112</v>
      </c>
      <c r="F132" s="176" t="s">
        <v>87</v>
      </c>
      <c r="G132" s="176" t="s">
        <v>2637</v>
      </c>
      <c r="H132" s="176">
        <v>40</v>
      </c>
      <c r="I132" s="176">
        <v>38.200000000000003</v>
      </c>
      <c r="J132" s="176">
        <v>38.200000000000003</v>
      </c>
      <c r="K132" s="176">
        <v>7</v>
      </c>
      <c r="L132" s="176">
        <v>0</v>
      </c>
      <c r="M132" s="176" t="s">
        <v>148</v>
      </c>
      <c r="N132" s="176" t="s">
        <v>149</v>
      </c>
      <c r="O132" s="176" t="s">
        <v>150</v>
      </c>
      <c r="P132" s="176" t="s">
        <v>151</v>
      </c>
      <c r="Q132" s="176"/>
      <c r="R132" s="176" t="s">
        <v>4112</v>
      </c>
      <c r="S132" s="176"/>
      <c r="T132" s="176" t="s">
        <v>2791</v>
      </c>
      <c r="U132" s="176" t="s">
        <v>152</v>
      </c>
      <c r="V132" s="176" t="s">
        <v>23</v>
      </c>
    </row>
    <row r="133" spans="1:22" ht="12.75" customHeight="1">
      <c r="A133" s="65"/>
      <c r="B133" s="211">
        <v>46206</v>
      </c>
      <c r="C133" s="211">
        <v>46206</v>
      </c>
      <c r="D133" s="176" t="s">
        <v>4113</v>
      </c>
      <c r="E133" s="176" t="s">
        <v>4114</v>
      </c>
      <c r="F133" s="176" t="s">
        <v>87</v>
      </c>
      <c r="G133" s="176" t="s">
        <v>3934</v>
      </c>
      <c r="H133" s="176">
        <v>25</v>
      </c>
      <c r="I133" s="176">
        <v>26.3</v>
      </c>
      <c r="J133" s="176">
        <v>26.3</v>
      </c>
      <c r="K133" s="176">
        <v>4</v>
      </c>
      <c r="L133" s="176">
        <v>0</v>
      </c>
      <c r="M133" s="176" t="s">
        <v>148</v>
      </c>
      <c r="N133" s="176" t="s">
        <v>149</v>
      </c>
      <c r="O133" s="176" t="s">
        <v>150</v>
      </c>
      <c r="P133" s="176" t="s">
        <v>151</v>
      </c>
      <c r="Q133" s="176"/>
      <c r="R133" s="176" t="s">
        <v>4114</v>
      </c>
      <c r="S133" s="176"/>
      <c r="T133" s="176" t="s">
        <v>2791</v>
      </c>
      <c r="U133" s="176" t="s">
        <v>152</v>
      </c>
      <c r="V133" s="176" t="s">
        <v>23</v>
      </c>
    </row>
    <row r="134" spans="1:22" ht="12.75" customHeight="1">
      <c r="A134" s="65"/>
      <c r="B134" s="211">
        <v>46206</v>
      </c>
      <c r="C134" s="211">
        <v>46206</v>
      </c>
      <c r="D134" s="176" t="s">
        <v>4115</v>
      </c>
      <c r="E134" s="176" t="s">
        <v>4116</v>
      </c>
      <c r="F134" s="176" t="s">
        <v>87</v>
      </c>
      <c r="G134" s="176" t="s">
        <v>3873</v>
      </c>
      <c r="H134" s="176">
        <v>35</v>
      </c>
      <c r="I134" s="176">
        <v>25.8</v>
      </c>
      <c r="J134" s="176">
        <v>25.8</v>
      </c>
      <c r="K134" s="176">
        <v>4</v>
      </c>
      <c r="L134" s="176">
        <v>0</v>
      </c>
      <c r="M134" s="176" t="s">
        <v>148</v>
      </c>
      <c r="N134" s="176" t="s">
        <v>149</v>
      </c>
      <c r="O134" s="176" t="s">
        <v>150</v>
      </c>
      <c r="P134" s="176" t="s">
        <v>151</v>
      </c>
      <c r="Q134" s="176"/>
      <c r="R134" s="176" t="s">
        <v>4116</v>
      </c>
      <c r="S134" s="176"/>
      <c r="T134" s="176" t="s">
        <v>2791</v>
      </c>
      <c r="U134" s="176" t="s">
        <v>152</v>
      </c>
      <c r="V134" s="176" t="s">
        <v>23</v>
      </c>
    </row>
    <row r="135" spans="1:22" ht="12.75" customHeight="1">
      <c r="A135" s="65"/>
      <c r="B135" s="211">
        <v>46206</v>
      </c>
      <c r="C135" s="211">
        <v>46206</v>
      </c>
      <c r="D135" s="176" t="s">
        <v>4117</v>
      </c>
      <c r="E135" s="176" t="s">
        <v>4118</v>
      </c>
      <c r="F135" s="176" t="s">
        <v>87</v>
      </c>
      <c r="G135" s="176" t="s">
        <v>3934</v>
      </c>
      <c r="H135" s="176">
        <v>25</v>
      </c>
      <c r="I135" s="176">
        <v>18.8</v>
      </c>
      <c r="J135" s="176">
        <v>18.8</v>
      </c>
      <c r="K135" s="176">
        <v>4</v>
      </c>
      <c r="L135" s="176">
        <v>0</v>
      </c>
      <c r="M135" s="176" t="s">
        <v>148</v>
      </c>
      <c r="N135" s="176" t="s">
        <v>149</v>
      </c>
      <c r="O135" s="176" t="s">
        <v>150</v>
      </c>
      <c r="P135" s="176" t="s">
        <v>151</v>
      </c>
      <c r="Q135" s="176"/>
      <c r="R135" s="176" t="s">
        <v>4118</v>
      </c>
      <c r="S135" s="176"/>
      <c r="T135" s="176" t="s">
        <v>2791</v>
      </c>
      <c r="U135" s="176" t="s">
        <v>152</v>
      </c>
      <c r="V135" s="176" t="s">
        <v>23</v>
      </c>
    </row>
    <row r="136" spans="1:22" ht="12.75" customHeight="1">
      <c r="A136" s="65"/>
      <c r="B136" s="211">
        <v>46206</v>
      </c>
      <c r="C136" s="211">
        <v>46206</v>
      </c>
      <c r="D136" s="176" t="s">
        <v>4119</v>
      </c>
      <c r="E136" s="176" t="s">
        <v>4120</v>
      </c>
      <c r="F136" s="176" t="s">
        <v>87</v>
      </c>
      <c r="G136" s="176" t="s">
        <v>3934</v>
      </c>
      <c r="H136" s="176">
        <v>25</v>
      </c>
      <c r="I136" s="176">
        <v>33.299999999999997</v>
      </c>
      <c r="J136" s="176">
        <v>33.299999999999997</v>
      </c>
      <c r="K136" s="176">
        <v>4</v>
      </c>
      <c r="L136" s="176">
        <v>0</v>
      </c>
      <c r="M136" s="176" t="s">
        <v>148</v>
      </c>
      <c r="N136" s="176" t="s">
        <v>149</v>
      </c>
      <c r="O136" s="176" t="s">
        <v>150</v>
      </c>
      <c r="P136" s="176" t="s">
        <v>151</v>
      </c>
      <c r="Q136" s="176"/>
      <c r="R136" s="176" t="s">
        <v>4120</v>
      </c>
      <c r="S136" s="176"/>
      <c r="T136" s="176" t="s">
        <v>2791</v>
      </c>
      <c r="U136" s="176" t="s">
        <v>152</v>
      </c>
      <c r="V136" s="176" t="s">
        <v>23</v>
      </c>
    </row>
    <row r="137" spans="1:22" ht="12.75" customHeight="1">
      <c r="A137" s="65"/>
      <c r="B137" s="211">
        <v>46206</v>
      </c>
      <c r="C137" s="211">
        <v>46206</v>
      </c>
      <c r="D137" s="176" t="s">
        <v>4121</v>
      </c>
      <c r="E137" s="176" t="s">
        <v>4122</v>
      </c>
      <c r="F137" s="176" t="s">
        <v>87</v>
      </c>
      <c r="G137" s="176" t="s">
        <v>3934</v>
      </c>
      <c r="H137" s="176">
        <v>25</v>
      </c>
      <c r="I137" s="176">
        <v>36.799999999999997</v>
      </c>
      <c r="J137" s="176">
        <v>36.799999999999997</v>
      </c>
      <c r="K137" s="176">
        <v>4</v>
      </c>
      <c r="L137" s="176">
        <v>0</v>
      </c>
      <c r="M137" s="176" t="s">
        <v>148</v>
      </c>
      <c r="N137" s="176" t="s">
        <v>149</v>
      </c>
      <c r="O137" s="176" t="s">
        <v>150</v>
      </c>
      <c r="P137" s="176" t="s">
        <v>151</v>
      </c>
      <c r="Q137" s="176"/>
      <c r="R137" s="176" t="s">
        <v>4122</v>
      </c>
      <c r="S137" s="176"/>
      <c r="T137" s="176" t="s">
        <v>2791</v>
      </c>
      <c r="U137" s="176" t="s">
        <v>152</v>
      </c>
      <c r="V137" s="176" t="s">
        <v>23</v>
      </c>
    </row>
    <row r="138" spans="1:22" ht="12.75" customHeight="1">
      <c r="A138" s="65"/>
      <c r="B138" s="211">
        <v>46207</v>
      </c>
      <c r="C138" s="211">
        <v>46207</v>
      </c>
      <c r="D138" s="176" t="s">
        <v>4123</v>
      </c>
      <c r="E138" s="176" t="s">
        <v>4124</v>
      </c>
      <c r="F138" s="176" t="s">
        <v>87</v>
      </c>
      <c r="G138" s="176" t="s">
        <v>3934</v>
      </c>
      <c r="H138" s="176">
        <v>25</v>
      </c>
      <c r="I138" s="176">
        <v>31.9</v>
      </c>
      <c r="J138" s="176">
        <v>31.9</v>
      </c>
      <c r="K138" s="176">
        <v>4</v>
      </c>
      <c r="L138" s="176">
        <v>0</v>
      </c>
      <c r="M138" s="176" t="s">
        <v>148</v>
      </c>
      <c r="N138" s="176" t="s">
        <v>149</v>
      </c>
      <c r="O138" s="176" t="s">
        <v>150</v>
      </c>
      <c r="P138" s="176" t="s">
        <v>151</v>
      </c>
      <c r="Q138" s="176"/>
      <c r="R138" s="176" t="s">
        <v>4124</v>
      </c>
      <c r="S138" s="176"/>
      <c r="T138" s="176" t="s">
        <v>2801</v>
      </c>
      <c r="U138" s="176" t="s">
        <v>152</v>
      </c>
      <c r="V138" s="176" t="s">
        <v>23</v>
      </c>
    </row>
    <row r="139" spans="1:22" ht="12.75" customHeight="1">
      <c r="A139" s="65"/>
      <c r="B139" s="211">
        <v>46207</v>
      </c>
      <c r="C139" s="211">
        <v>46207</v>
      </c>
      <c r="D139" s="176" t="s">
        <v>4125</v>
      </c>
      <c r="E139" s="176" t="s">
        <v>4126</v>
      </c>
      <c r="F139" s="176" t="s">
        <v>87</v>
      </c>
      <c r="G139" s="176" t="s">
        <v>3934</v>
      </c>
      <c r="H139" s="176">
        <v>25</v>
      </c>
      <c r="I139" s="176">
        <v>30</v>
      </c>
      <c r="J139" s="176">
        <v>30</v>
      </c>
      <c r="K139" s="176">
        <v>4</v>
      </c>
      <c r="L139" s="176">
        <v>0</v>
      </c>
      <c r="M139" s="176" t="s">
        <v>148</v>
      </c>
      <c r="N139" s="176" t="s">
        <v>149</v>
      </c>
      <c r="O139" s="176" t="s">
        <v>150</v>
      </c>
      <c r="P139" s="176" t="s">
        <v>151</v>
      </c>
      <c r="Q139" s="176"/>
      <c r="R139" s="176" t="s">
        <v>4126</v>
      </c>
      <c r="S139" s="176"/>
      <c r="T139" s="176" t="s">
        <v>2801</v>
      </c>
      <c r="U139" s="176" t="s">
        <v>152</v>
      </c>
      <c r="V139" s="176" t="s">
        <v>23</v>
      </c>
    </row>
    <row r="140" spans="1:22" ht="12.75" customHeight="1">
      <c r="A140" s="65"/>
      <c r="B140" s="211">
        <v>46207</v>
      </c>
      <c r="C140" s="211">
        <v>46207</v>
      </c>
      <c r="D140" s="176" t="s">
        <v>4127</v>
      </c>
      <c r="E140" s="176" t="s">
        <v>4128</v>
      </c>
      <c r="F140" s="176" t="s">
        <v>87</v>
      </c>
      <c r="G140" s="176" t="s">
        <v>2639</v>
      </c>
      <c r="H140" s="176">
        <v>25</v>
      </c>
      <c r="I140" s="176">
        <v>31.3</v>
      </c>
      <c r="J140" s="176">
        <v>31.3</v>
      </c>
      <c r="K140" s="176">
        <v>4</v>
      </c>
      <c r="L140" s="176">
        <v>0</v>
      </c>
      <c r="M140" s="176" t="s">
        <v>148</v>
      </c>
      <c r="N140" s="176" t="s">
        <v>149</v>
      </c>
      <c r="O140" s="176" t="s">
        <v>150</v>
      </c>
      <c r="P140" s="176" t="s">
        <v>151</v>
      </c>
      <c r="Q140" s="176"/>
      <c r="R140" s="176" t="s">
        <v>4128</v>
      </c>
      <c r="S140" s="176"/>
      <c r="T140" s="176" t="s">
        <v>2801</v>
      </c>
      <c r="U140" s="176" t="s">
        <v>152</v>
      </c>
      <c r="V140" s="176" t="s">
        <v>23</v>
      </c>
    </row>
    <row r="141" spans="1:22" ht="12.75" customHeight="1">
      <c r="A141" s="65"/>
      <c r="B141" s="211">
        <v>46207</v>
      </c>
      <c r="C141" s="211">
        <v>46207</v>
      </c>
      <c r="D141" s="176" t="s">
        <v>4129</v>
      </c>
      <c r="E141" s="176" t="s">
        <v>4130</v>
      </c>
      <c r="F141" s="176" t="s">
        <v>87</v>
      </c>
      <c r="G141" s="176" t="s">
        <v>3934</v>
      </c>
      <c r="H141" s="176">
        <v>25</v>
      </c>
      <c r="I141" s="176">
        <v>31.3</v>
      </c>
      <c r="J141" s="176">
        <v>31.3</v>
      </c>
      <c r="K141" s="176">
        <v>4</v>
      </c>
      <c r="L141" s="176">
        <v>0</v>
      </c>
      <c r="M141" s="176" t="s">
        <v>148</v>
      </c>
      <c r="N141" s="176" t="s">
        <v>149</v>
      </c>
      <c r="O141" s="176" t="s">
        <v>150</v>
      </c>
      <c r="P141" s="176" t="s">
        <v>151</v>
      </c>
      <c r="Q141" s="176"/>
      <c r="R141" s="176" t="s">
        <v>4130</v>
      </c>
      <c r="S141" s="176"/>
      <c r="T141" s="176" t="s">
        <v>2801</v>
      </c>
      <c r="U141" s="176" t="s">
        <v>152</v>
      </c>
      <c r="V141" s="176" t="s">
        <v>23</v>
      </c>
    </row>
    <row r="142" spans="1:22" ht="12.75" customHeight="1">
      <c r="A142" s="65"/>
      <c r="B142" s="211">
        <v>46207</v>
      </c>
      <c r="C142" s="211">
        <v>46207</v>
      </c>
      <c r="D142" s="176" t="s">
        <v>4131</v>
      </c>
      <c r="E142" s="176" t="s">
        <v>4132</v>
      </c>
      <c r="F142" s="176" t="s">
        <v>87</v>
      </c>
      <c r="G142" s="176" t="s">
        <v>2552</v>
      </c>
      <c r="H142" s="176">
        <v>40</v>
      </c>
      <c r="I142" s="176">
        <v>31.8</v>
      </c>
      <c r="J142" s="176">
        <v>31.8</v>
      </c>
      <c r="K142" s="176">
        <v>5</v>
      </c>
      <c r="L142" s="176">
        <v>0</v>
      </c>
      <c r="M142" s="176" t="s">
        <v>148</v>
      </c>
      <c r="N142" s="176" t="s">
        <v>149</v>
      </c>
      <c r="O142" s="176" t="s">
        <v>150</v>
      </c>
      <c r="P142" s="176" t="s">
        <v>151</v>
      </c>
      <c r="Q142" s="176"/>
      <c r="R142" s="176" t="s">
        <v>4132</v>
      </c>
      <c r="S142" s="176"/>
      <c r="T142" s="176" t="s">
        <v>2801</v>
      </c>
      <c r="U142" s="176" t="s">
        <v>152</v>
      </c>
      <c r="V142" s="176" t="s">
        <v>23</v>
      </c>
    </row>
    <row r="143" spans="1:22" ht="12.75" customHeight="1">
      <c r="A143" s="65"/>
      <c r="B143" s="211">
        <v>46207</v>
      </c>
      <c r="C143" s="211">
        <v>46207</v>
      </c>
      <c r="D143" s="176" t="s">
        <v>4133</v>
      </c>
      <c r="E143" s="176" t="s">
        <v>4134</v>
      </c>
      <c r="F143" s="176" t="s">
        <v>87</v>
      </c>
      <c r="G143" s="176" t="s">
        <v>2486</v>
      </c>
      <c r="H143" s="176">
        <v>40</v>
      </c>
      <c r="I143" s="176">
        <v>30</v>
      </c>
      <c r="J143" s="176">
        <v>30</v>
      </c>
      <c r="K143" s="176">
        <v>5</v>
      </c>
      <c r="L143" s="176">
        <v>0</v>
      </c>
      <c r="M143" s="176" t="s">
        <v>148</v>
      </c>
      <c r="N143" s="176" t="s">
        <v>149</v>
      </c>
      <c r="O143" s="176" t="s">
        <v>150</v>
      </c>
      <c r="P143" s="176" t="s">
        <v>151</v>
      </c>
      <c r="Q143" s="176"/>
      <c r="R143" s="176" t="s">
        <v>4134</v>
      </c>
      <c r="S143" s="176"/>
      <c r="T143" s="176" t="s">
        <v>2801</v>
      </c>
      <c r="U143" s="176" t="s">
        <v>152</v>
      </c>
      <c r="V143" s="176" t="s">
        <v>23</v>
      </c>
    </row>
    <row r="144" spans="1:22" ht="12.75" customHeight="1">
      <c r="A144" s="65"/>
      <c r="B144" s="211">
        <v>46207</v>
      </c>
      <c r="C144" s="211">
        <v>46207</v>
      </c>
      <c r="D144" s="176" t="s">
        <v>4135</v>
      </c>
      <c r="E144" s="176" t="s">
        <v>4136</v>
      </c>
      <c r="F144" s="176" t="s">
        <v>87</v>
      </c>
      <c r="G144" s="176" t="s">
        <v>2553</v>
      </c>
      <c r="H144" s="176">
        <v>30</v>
      </c>
      <c r="I144" s="176">
        <v>33.799999999999997</v>
      </c>
      <c r="J144" s="176">
        <v>33.799999999999997</v>
      </c>
      <c r="K144" s="176">
        <v>4</v>
      </c>
      <c r="L144" s="176">
        <v>0</v>
      </c>
      <c r="M144" s="176" t="s">
        <v>148</v>
      </c>
      <c r="N144" s="176" t="s">
        <v>149</v>
      </c>
      <c r="O144" s="176" t="s">
        <v>150</v>
      </c>
      <c r="P144" s="176" t="s">
        <v>151</v>
      </c>
      <c r="Q144" s="176"/>
      <c r="R144" s="176" t="s">
        <v>4136</v>
      </c>
      <c r="S144" s="176"/>
      <c r="T144" s="176" t="s">
        <v>2801</v>
      </c>
      <c r="U144" s="176" t="s">
        <v>152</v>
      </c>
      <c r="V144" s="176" t="s">
        <v>23</v>
      </c>
    </row>
    <row r="145" spans="1:22" customFormat="1" ht="15" customHeight="1">
      <c r="A145" s="65"/>
      <c r="B145" s="211">
        <v>46207</v>
      </c>
      <c r="C145" s="211">
        <v>46207</v>
      </c>
      <c r="D145" s="176" t="s">
        <v>4137</v>
      </c>
      <c r="E145" s="176" t="s">
        <v>4138</v>
      </c>
      <c r="F145" s="176" t="s">
        <v>87</v>
      </c>
      <c r="G145" s="176" t="s">
        <v>3934</v>
      </c>
      <c r="H145" s="176">
        <v>25</v>
      </c>
      <c r="I145" s="176">
        <v>45.4</v>
      </c>
      <c r="J145" s="176">
        <v>45.4</v>
      </c>
      <c r="K145" s="176">
        <v>4</v>
      </c>
      <c r="L145" s="176">
        <v>0</v>
      </c>
      <c r="M145" s="176" t="s">
        <v>148</v>
      </c>
      <c r="N145" s="176" t="s">
        <v>149</v>
      </c>
      <c r="O145" s="176" t="s">
        <v>150</v>
      </c>
      <c r="P145" s="176" t="s">
        <v>151</v>
      </c>
      <c r="Q145" s="176"/>
      <c r="R145" s="176" t="s">
        <v>4138</v>
      </c>
      <c r="S145" s="176"/>
      <c r="T145" s="176" t="s">
        <v>2801</v>
      </c>
      <c r="U145" s="176" t="s">
        <v>152</v>
      </c>
      <c r="V145" s="176" t="s">
        <v>23</v>
      </c>
    </row>
    <row r="146" spans="1:22" customFormat="1" ht="15" customHeight="1">
      <c r="A146" s="65"/>
      <c r="B146" s="211">
        <v>46207</v>
      </c>
      <c r="C146" s="211">
        <v>46207</v>
      </c>
      <c r="D146" s="176" t="s">
        <v>4139</v>
      </c>
      <c r="E146" s="176" t="s">
        <v>4140</v>
      </c>
      <c r="F146" s="176" t="s">
        <v>87</v>
      </c>
      <c r="G146" s="176" t="s">
        <v>3934</v>
      </c>
      <c r="H146" s="176">
        <v>25</v>
      </c>
      <c r="I146" s="176">
        <v>23.2</v>
      </c>
      <c r="J146" s="176">
        <v>23.2</v>
      </c>
      <c r="K146" s="176">
        <v>4</v>
      </c>
      <c r="L146" s="176">
        <v>0</v>
      </c>
      <c r="M146" s="176" t="s">
        <v>148</v>
      </c>
      <c r="N146" s="176" t="s">
        <v>149</v>
      </c>
      <c r="O146" s="176" t="s">
        <v>150</v>
      </c>
      <c r="P146" s="176" t="s">
        <v>151</v>
      </c>
      <c r="Q146" s="176"/>
      <c r="R146" s="176" t="s">
        <v>4140</v>
      </c>
      <c r="S146" s="176"/>
      <c r="T146" s="176" t="s">
        <v>2801</v>
      </c>
      <c r="U146" s="176" t="s">
        <v>152</v>
      </c>
      <c r="V146" s="176" t="s">
        <v>23</v>
      </c>
    </row>
    <row r="147" spans="1:22" customFormat="1" ht="15" customHeight="1">
      <c r="A147" s="65"/>
      <c r="B147" s="211">
        <v>46207</v>
      </c>
      <c r="C147" s="211">
        <v>46207</v>
      </c>
      <c r="D147" s="176" t="s">
        <v>4141</v>
      </c>
      <c r="E147" s="176" t="s">
        <v>4142</v>
      </c>
      <c r="F147" s="176" t="s">
        <v>87</v>
      </c>
      <c r="G147" s="176" t="s">
        <v>2553</v>
      </c>
      <c r="H147" s="176">
        <v>30</v>
      </c>
      <c r="I147" s="176">
        <v>30.8</v>
      </c>
      <c r="J147" s="176">
        <v>30.8</v>
      </c>
      <c r="K147" s="176">
        <v>4</v>
      </c>
      <c r="L147" s="176">
        <v>0</v>
      </c>
      <c r="M147" s="176" t="s">
        <v>148</v>
      </c>
      <c r="N147" s="176" t="s">
        <v>149</v>
      </c>
      <c r="O147" s="176" t="s">
        <v>150</v>
      </c>
      <c r="P147" s="176" t="s">
        <v>151</v>
      </c>
      <c r="Q147" s="176"/>
      <c r="R147" s="176" t="s">
        <v>4142</v>
      </c>
      <c r="S147" s="176"/>
      <c r="T147" s="176" t="s">
        <v>2801</v>
      </c>
      <c r="U147" s="176" t="s">
        <v>152</v>
      </c>
      <c r="V147" s="176" t="s">
        <v>23</v>
      </c>
    </row>
    <row r="148" spans="1:22" customFormat="1" ht="15" customHeight="1">
      <c r="A148" s="65"/>
      <c r="B148" s="211">
        <v>46207</v>
      </c>
      <c r="C148" s="211">
        <v>46207</v>
      </c>
      <c r="D148" s="176" t="s">
        <v>4143</v>
      </c>
      <c r="E148" s="176" t="s">
        <v>4144</v>
      </c>
      <c r="F148" s="176" t="s">
        <v>87</v>
      </c>
      <c r="G148" s="176" t="s">
        <v>2639</v>
      </c>
      <c r="H148" s="176">
        <v>25</v>
      </c>
      <c r="I148" s="176">
        <v>30.4</v>
      </c>
      <c r="J148" s="176">
        <v>30.4</v>
      </c>
      <c r="K148" s="176">
        <v>4</v>
      </c>
      <c r="L148" s="176">
        <v>0</v>
      </c>
      <c r="M148" s="176" t="s">
        <v>148</v>
      </c>
      <c r="N148" s="176" t="s">
        <v>149</v>
      </c>
      <c r="O148" s="176" t="s">
        <v>150</v>
      </c>
      <c r="P148" s="176" t="s">
        <v>151</v>
      </c>
      <c r="Q148" s="176"/>
      <c r="R148" s="176" t="s">
        <v>4144</v>
      </c>
      <c r="S148" s="176"/>
      <c r="T148" s="176" t="s">
        <v>2801</v>
      </c>
      <c r="U148" s="176" t="s">
        <v>152</v>
      </c>
      <c r="V148" s="176" t="s">
        <v>23</v>
      </c>
    </row>
    <row r="149" spans="1:22" customFormat="1" ht="15" customHeight="1">
      <c r="A149" s="65"/>
      <c r="B149" s="211">
        <v>46207</v>
      </c>
      <c r="C149" s="211">
        <v>46207</v>
      </c>
      <c r="D149" s="176" t="s">
        <v>4145</v>
      </c>
      <c r="E149" s="176" t="s">
        <v>4146</v>
      </c>
      <c r="F149" s="176" t="s">
        <v>87</v>
      </c>
      <c r="G149" s="176" t="s">
        <v>2637</v>
      </c>
      <c r="H149" s="176">
        <v>40</v>
      </c>
      <c r="I149" s="176">
        <v>24.5</v>
      </c>
      <c r="J149" s="176">
        <v>24.5</v>
      </c>
      <c r="K149" s="176">
        <v>7</v>
      </c>
      <c r="L149" s="176">
        <v>0</v>
      </c>
      <c r="M149" s="176" t="s">
        <v>148</v>
      </c>
      <c r="N149" s="176" t="s">
        <v>149</v>
      </c>
      <c r="O149" s="176" t="s">
        <v>150</v>
      </c>
      <c r="P149" s="176" t="s">
        <v>151</v>
      </c>
      <c r="Q149" s="176"/>
      <c r="R149" s="176" t="s">
        <v>4146</v>
      </c>
      <c r="S149" s="176"/>
      <c r="T149" s="176" t="s">
        <v>2801</v>
      </c>
      <c r="U149" s="176" t="s">
        <v>152</v>
      </c>
      <c r="V149" s="176" t="s">
        <v>23</v>
      </c>
    </row>
    <row r="150" spans="1:22" customFormat="1" ht="15" customHeight="1">
      <c r="A150" s="65"/>
      <c r="B150" s="211">
        <v>46207</v>
      </c>
      <c r="C150" s="211">
        <v>46207</v>
      </c>
      <c r="D150" s="176" t="s">
        <v>4147</v>
      </c>
      <c r="E150" s="176" t="s">
        <v>4148</v>
      </c>
      <c r="F150" s="176" t="s">
        <v>87</v>
      </c>
      <c r="G150" s="176" t="s">
        <v>2636</v>
      </c>
      <c r="H150" s="176">
        <v>6</v>
      </c>
      <c r="I150" s="176">
        <v>13.5</v>
      </c>
      <c r="J150" s="176">
        <v>13.5</v>
      </c>
      <c r="K150" s="176">
        <v>1.5</v>
      </c>
      <c r="L150" s="176">
        <v>0</v>
      </c>
      <c r="M150" s="176" t="s">
        <v>148</v>
      </c>
      <c r="N150" s="176" t="s">
        <v>149</v>
      </c>
      <c r="O150" s="176" t="s">
        <v>150</v>
      </c>
      <c r="P150" s="176" t="s">
        <v>151</v>
      </c>
      <c r="Q150" s="176"/>
      <c r="R150" s="176" t="s">
        <v>4148</v>
      </c>
      <c r="S150" s="176"/>
      <c r="T150" s="176" t="s">
        <v>2801</v>
      </c>
      <c r="U150" s="176" t="s">
        <v>152</v>
      </c>
      <c r="V150" s="176" t="s">
        <v>23</v>
      </c>
    </row>
    <row r="151" spans="1:22" customFormat="1" ht="15" customHeight="1">
      <c r="A151" s="65"/>
      <c r="B151" s="211">
        <v>46207</v>
      </c>
      <c r="C151" s="211">
        <v>46207</v>
      </c>
      <c r="D151" s="176" t="s">
        <v>4149</v>
      </c>
      <c r="E151" s="176" t="s">
        <v>4150</v>
      </c>
      <c r="F151" s="176" t="s">
        <v>87</v>
      </c>
      <c r="G151" s="176" t="s">
        <v>3934</v>
      </c>
      <c r="H151" s="176">
        <v>25</v>
      </c>
      <c r="I151" s="176">
        <v>30.2</v>
      </c>
      <c r="J151" s="176">
        <v>30.2</v>
      </c>
      <c r="K151" s="176">
        <v>4</v>
      </c>
      <c r="L151" s="176">
        <v>0</v>
      </c>
      <c r="M151" s="176" t="s">
        <v>148</v>
      </c>
      <c r="N151" s="176" t="s">
        <v>149</v>
      </c>
      <c r="O151" s="176" t="s">
        <v>150</v>
      </c>
      <c r="P151" s="176" t="s">
        <v>151</v>
      </c>
      <c r="Q151" s="176"/>
      <c r="R151" s="176" t="s">
        <v>4150</v>
      </c>
      <c r="S151" s="176"/>
      <c r="T151" s="176" t="s">
        <v>2801</v>
      </c>
      <c r="U151" s="176" t="s">
        <v>152</v>
      </c>
      <c r="V151" s="176" t="s">
        <v>23</v>
      </c>
    </row>
    <row r="152" spans="1:22" ht="12.75" customHeight="1">
      <c r="A152" s="65"/>
      <c r="B152" s="211">
        <v>46207</v>
      </c>
      <c r="C152" s="211">
        <v>46207</v>
      </c>
      <c r="D152" s="176" t="s">
        <v>4151</v>
      </c>
      <c r="E152" s="176" t="s">
        <v>4152</v>
      </c>
      <c r="F152" s="176" t="s">
        <v>87</v>
      </c>
      <c r="G152" s="176" t="s">
        <v>3934</v>
      </c>
      <c r="H152" s="176">
        <v>25</v>
      </c>
      <c r="I152" s="176">
        <v>29</v>
      </c>
      <c r="J152" s="176">
        <v>29</v>
      </c>
      <c r="K152" s="176">
        <v>4</v>
      </c>
      <c r="L152" s="176">
        <v>0</v>
      </c>
      <c r="M152" s="176" t="s">
        <v>148</v>
      </c>
      <c r="N152" s="176" t="s">
        <v>149</v>
      </c>
      <c r="O152" s="176" t="s">
        <v>150</v>
      </c>
      <c r="P152" s="176" t="s">
        <v>151</v>
      </c>
      <c r="Q152" s="176"/>
      <c r="R152" s="176" t="s">
        <v>4152</v>
      </c>
      <c r="S152" s="176"/>
      <c r="T152" s="176" t="s">
        <v>2801</v>
      </c>
      <c r="U152" s="176" t="s">
        <v>152</v>
      </c>
      <c r="V152" s="176" t="s">
        <v>23</v>
      </c>
    </row>
    <row r="153" spans="1:22" ht="12.75" customHeight="1">
      <c r="A153" s="65"/>
      <c r="B153" s="211">
        <v>46207</v>
      </c>
      <c r="C153" s="211">
        <v>46207</v>
      </c>
      <c r="D153" s="176" t="s">
        <v>4153</v>
      </c>
      <c r="E153" s="176" t="s">
        <v>4154</v>
      </c>
      <c r="F153" s="176" t="s">
        <v>87</v>
      </c>
      <c r="G153" s="176" t="s">
        <v>2552</v>
      </c>
      <c r="H153" s="176">
        <v>40</v>
      </c>
      <c r="I153" s="176">
        <v>50.2</v>
      </c>
      <c r="J153" s="176">
        <v>50.2</v>
      </c>
      <c r="K153" s="176">
        <v>5</v>
      </c>
      <c r="L153" s="176">
        <v>0</v>
      </c>
      <c r="M153" s="176" t="s">
        <v>148</v>
      </c>
      <c r="N153" s="176" t="s">
        <v>149</v>
      </c>
      <c r="O153" s="176" t="s">
        <v>150</v>
      </c>
      <c r="P153" s="176" t="s">
        <v>151</v>
      </c>
      <c r="Q153" s="176"/>
      <c r="R153" s="176" t="s">
        <v>4154</v>
      </c>
      <c r="S153" s="176"/>
      <c r="T153" s="176" t="s">
        <v>2801</v>
      </c>
      <c r="U153" s="176" t="s">
        <v>152</v>
      </c>
      <c r="V153" s="176" t="s">
        <v>23</v>
      </c>
    </row>
    <row r="154" spans="1:22" ht="12.75" customHeight="1">
      <c r="A154" s="65"/>
      <c r="B154" s="211">
        <v>46207</v>
      </c>
      <c r="C154" s="211">
        <v>46207</v>
      </c>
      <c r="D154" s="176" t="s">
        <v>4155</v>
      </c>
      <c r="E154" s="176" t="s">
        <v>4156</v>
      </c>
      <c r="F154" s="176" t="s">
        <v>87</v>
      </c>
      <c r="G154" s="176" t="s">
        <v>2486</v>
      </c>
      <c r="H154" s="176">
        <v>40</v>
      </c>
      <c r="I154" s="176">
        <v>38.9</v>
      </c>
      <c r="J154" s="176">
        <v>38.9</v>
      </c>
      <c r="K154" s="176">
        <v>5</v>
      </c>
      <c r="L154" s="176">
        <v>0</v>
      </c>
      <c r="M154" s="176" t="s">
        <v>148</v>
      </c>
      <c r="N154" s="176" t="s">
        <v>149</v>
      </c>
      <c r="O154" s="176" t="s">
        <v>150</v>
      </c>
      <c r="P154" s="176" t="s">
        <v>151</v>
      </c>
      <c r="Q154" s="176"/>
      <c r="R154" s="176" t="s">
        <v>4156</v>
      </c>
      <c r="S154" s="176"/>
      <c r="T154" s="176" t="s">
        <v>2801</v>
      </c>
      <c r="U154" s="176" t="s">
        <v>152</v>
      </c>
      <c r="V154" s="176" t="s">
        <v>23</v>
      </c>
    </row>
    <row r="155" spans="1:22" ht="12.75" customHeight="1">
      <c r="A155" s="65"/>
      <c r="B155" s="211">
        <v>46207</v>
      </c>
      <c r="C155" s="211">
        <v>46207</v>
      </c>
      <c r="D155" s="176" t="s">
        <v>4157</v>
      </c>
      <c r="E155" s="176" t="s">
        <v>4158</v>
      </c>
      <c r="F155" s="176" t="s">
        <v>87</v>
      </c>
      <c r="G155" s="176" t="s">
        <v>3934</v>
      </c>
      <c r="H155" s="176">
        <v>25</v>
      </c>
      <c r="I155" s="176">
        <v>42.5</v>
      </c>
      <c r="J155" s="176">
        <v>42.5</v>
      </c>
      <c r="K155" s="176">
        <v>4</v>
      </c>
      <c r="L155" s="176">
        <v>0</v>
      </c>
      <c r="M155" s="176" t="s">
        <v>148</v>
      </c>
      <c r="N155" s="176" t="s">
        <v>149</v>
      </c>
      <c r="O155" s="176" t="s">
        <v>150</v>
      </c>
      <c r="P155" s="176" t="s">
        <v>151</v>
      </c>
      <c r="Q155" s="176"/>
      <c r="R155" s="176" t="s">
        <v>4158</v>
      </c>
      <c r="S155" s="176"/>
      <c r="T155" s="176" t="s">
        <v>2801</v>
      </c>
      <c r="U155" s="176" t="s">
        <v>152</v>
      </c>
      <c r="V155" s="176" t="s">
        <v>23</v>
      </c>
    </row>
    <row r="156" spans="1:22" ht="12.75" customHeight="1">
      <c r="A156" s="65"/>
      <c r="B156" s="211">
        <v>46207</v>
      </c>
      <c r="C156" s="211">
        <v>46207</v>
      </c>
      <c r="D156" s="176" t="s">
        <v>4159</v>
      </c>
      <c r="E156" s="176" t="s">
        <v>4160</v>
      </c>
      <c r="F156" s="176" t="s">
        <v>87</v>
      </c>
      <c r="G156" s="176" t="s">
        <v>3934</v>
      </c>
      <c r="H156" s="176">
        <v>25</v>
      </c>
      <c r="I156" s="176">
        <v>31</v>
      </c>
      <c r="J156" s="176">
        <v>31</v>
      </c>
      <c r="K156" s="176">
        <v>4</v>
      </c>
      <c r="L156" s="176">
        <v>0</v>
      </c>
      <c r="M156" s="176" t="s">
        <v>148</v>
      </c>
      <c r="N156" s="176" t="s">
        <v>149</v>
      </c>
      <c r="O156" s="176" t="s">
        <v>150</v>
      </c>
      <c r="P156" s="176" t="s">
        <v>151</v>
      </c>
      <c r="Q156" s="176"/>
      <c r="R156" s="176" t="s">
        <v>4160</v>
      </c>
      <c r="S156" s="176"/>
      <c r="T156" s="176" t="s">
        <v>2801</v>
      </c>
      <c r="U156" s="176" t="s">
        <v>152</v>
      </c>
      <c r="V156" s="176" t="s">
        <v>23</v>
      </c>
    </row>
    <row r="157" spans="1:22" ht="12.75" customHeight="1">
      <c r="A157" s="65"/>
      <c r="B157" s="211">
        <v>46207</v>
      </c>
      <c r="C157" s="211">
        <v>46207</v>
      </c>
      <c r="D157" s="176" t="s">
        <v>4161</v>
      </c>
      <c r="E157" s="176" t="s">
        <v>4162</v>
      </c>
      <c r="F157" s="176" t="s">
        <v>87</v>
      </c>
      <c r="G157" s="176" t="s">
        <v>2552</v>
      </c>
      <c r="H157" s="176">
        <v>40</v>
      </c>
      <c r="I157" s="176">
        <v>28.8</v>
      </c>
      <c r="J157" s="176">
        <v>28.8</v>
      </c>
      <c r="K157" s="176">
        <v>5</v>
      </c>
      <c r="L157" s="176">
        <v>0</v>
      </c>
      <c r="M157" s="176" t="s">
        <v>148</v>
      </c>
      <c r="N157" s="176" t="s">
        <v>149</v>
      </c>
      <c r="O157" s="176" t="s">
        <v>150</v>
      </c>
      <c r="P157" s="176" t="s">
        <v>151</v>
      </c>
      <c r="Q157" s="176"/>
      <c r="R157" s="176" t="s">
        <v>4162</v>
      </c>
      <c r="S157" s="176"/>
      <c r="T157" s="176" t="s">
        <v>2801</v>
      </c>
      <c r="U157" s="176" t="s">
        <v>152</v>
      </c>
      <c r="V157" s="176" t="s">
        <v>23</v>
      </c>
    </row>
    <row r="158" spans="1:22" ht="12.75" customHeight="1">
      <c r="A158" s="65"/>
      <c r="B158" s="211">
        <v>46207</v>
      </c>
      <c r="C158" s="211">
        <v>46207</v>
      </c>
      <c r="D158" s="176" t="s">
        <v>4163</v>
      </c>
      <c r="E158" s="176" t="s">
        <v>4164</v>
      </c>
      <c r="F158" s="176" t="s">
        <v>87</v>
      </c>
      <c r="G158" s="176" t="s">
        <v>2486</v>
      </c>
      <c r="H158" s="176">
        <v>40</v>
      </c>
      <c r="I158" s="176">
        <v>28.4</v>
      </c>
      <c r="J158" s="176">
        <v>28.4</v>
      </c>
      <c r="K158" s="176">
        <v>5</v>
      </c>
      <c r="L158" s="176">
        <v>0</v>
      </c>
      <c r="M158" s="176" t="s">
        <v>148</v>
      </c>
      <c r="N158" s="176" t="s">
        <v>149</v>
      </c>
      <c r="O158" s="176" t="s">
        <v>150</v>
      </c>
      <c r="P158" s="176" t="s">
        <v>151</v>
      </c>
      <c r="Q158" s="176"/>
      <c r="R158" s="176" t="s">
        <v>4164</v>
      </c>
      <c r="S158" s="176"/>
      <c r="T158" s="176" t="s">
        <v>2801</v>
      </c>
      <c r="U158" s="176" t="s">
        <v>152</v>
      </c>
      <c r="V158" s="176" t="s">
        <v>23</v>
      </c>
    </row>
    <row r="159" spans="1:22" ht="12.75" customHeight="1">
      <c r="A159" s="65"/>
      <c r="B159" s="211">
        <v>46207</v>
      </c>
      <c r="C159" s="211">
        <v>46207</v>
      </c>
      <c r="D159" s="176" t="s">
        <v>4165</v>
      </c>
      <c r="E159" s="176" t="s">
        <v>4166</v>
      </c>
      <c r="F159" s="176" t="s">
        <v>87</v>
      </c>
      <c r="G159" s="176" t="s">
        <v>2001</v>
      </c>
      <c r="H159" s="176">
        <v>6</v>
      </c>
      <c r="I159" s="176">
        <v>15</v>
      </c>
      <c r="J159" s="176">
        <v>15</v>
      </c>
      <c r="K159" s="176">
        <v>1.5</v>
      </c>
      <c r="L159" s="176">
        <v>0</v>
      </c>
      <c r="M159" s="176" t="s">
        <v>148</v>
      </c>
      <c r="N159" s="176" t="s">
        <v>149</v>
      </c>
      <c r="O159" s="176" t="s">
        <v>150</v>
      </c>
      <c r="P159" s="176" t="s">
        <v>151</v>
      </c>
      <c r="Q159" s="176"/>
      <c r="R159" s="176" t="s">
        <v>4166</v>
      </c>
      <c r="S159" s="176"/>
      <c r="T159" s="176" t="s">
        <v>2801</v>
      </c>
      <c r="U159" s="176" t="s">
        <v>152</v>
      </c>
      <c r="V159" s="176" t="s">
        <v>23</v>
      </c>
    </row>
    <row r="160" spans="1:22" ht="12.75" customHeight="1">
      <c r="A160" s="65"/>
      <c r="B160" s="211">
        <v>46207</v>
      </c>
      <c r="C160" s="211">
        <v>46207</v>
      </c>
      <c r="D160" s="176" t="s">
        <v>4167</v>
      </c>
      <c r="E160" s="176" t="s">
        <v>4168</v>
      </c>
      <c r="F160" s="176" t="s">
        <v>87</v>
      </c>
      <c r="G160" s="176" t="s">
        <v>3934</v>
      </c>
      <c r="H160" s="176">
        <v>25</v>
      </c>
      <c r="I160" s="176">
        <v>35.799999999999997</v>
      </c>
      <c r="J160" s="176">
        <v>35.799999999999997</v>
      </c>
      <c r="K160" s="176">
        <v>4</v>
      </c>
      <c r="L160" s="176">
        <v>0</v>
      </c>
      <c r="M160" s="176" t="s">
        <v>148</v>
      </c>
      <c r="N160" s="176" t="s">
        <v>149</v>
      </c>
      <c r="O160" s="176" t="s">
        <v>150</v>
      </c>
      <c r="P160" s="176" t="s">
        <v>151</v>
      </c>
      <c r="Q160" s="176"/>
      <c r="R160" s="176" t="s">
        <v>4168</v>
      </c>
      <c r="S160" s="176"/>
      <c r="T160" s="176" t="s">
        <v>2801</v>
      </c>
      <c r="U160" s="176" t="s">
        <v>152</v>
      </c>
      <c r="V160" s="176" t="s">
        <v>23</v>
      </c>
    </row>
    <row r="161" spans="1:22" ht="12.75" customHeight="1">
      <c r="A161" s="65"/>
      <c r="B161" s="211">
        <v>46207</v>
      </c>
      <c r="C161" s="211">
        <v>46207</v>
      </c>
      <c r="D161" s="176" t="s">
        <v>4169</v>
      </c>
      <c r="E161" s="176" t="s">
        <v>4170</v>
      </c>
      <c r="F161" s="176" t="s">
        <v>87</v>
      </c>
      <c r="G161" s="176" t="s">
        <v>2637</v>
      </c>
      <c r="H161" s="176">
        <v>40</v>
      </c>
      <c r="I161" s="176">
        <v>15.8</v>
      </c>
      <c r="J161" s="176">
        <v>15.8</v>
      </c>
      <c r="K161" s="176">
        <v>7</v>
      </c>
      <c r="L161" s="176">
        <v>0</v>
      </c>
      <c r="M161" s="176" t="s">
        <v>148</v>
      </c>
      <c r="N161" s="176" t="s">
        <v>149</v>
      </c>
      <c r="O161" s="176" t="s">
        <v>150</v>
      </c>
      <c r="P161" s="176" t="s">
        <v>151</v>
      </c>
      <c r="Q161" s="176"/>
      <c r="R161" s="176" t="s">
        <v>4170</v>
      </c>
      <c r="S161" s="176"/>
      <c r="T161" s="176" t="s">
        <v>2801</v>
      </c>
      <c r="U161" s="176" t="s">
        <v>152</v>
      </c>
      <c r="V161" s="176" t="s">
        <v>23</v>
      </c>
    </row>
    <row r="162" spans="1:22" ht="12.75" customHeight="1">
      <c r="A162" s="65"/>
      <c r="B162" s="211">
        <v>46207</v>
      </c>
      <c r="C162" s="211">
        <v>46207</v>
      </c>
      <c r="D162" s="176" t="s">
        <v>4171</v>
      </c>
      <c r="E162" s="176" t="s">
        <v>4172</v>
      </c>
      <c r="F162" s="176" t="s">
        <v>87</v>
      </c>
      <c r="G162" s="176" t="s">
        <v>2486</v>
      </c>
      <c r="H162" s="176">
        <v>40</v>
      </c>
      <c r="I162" s="176">
        <v>30.2</v>
      </c>
      <c r="J162" s="176">
        <v>30.2</v>
      </c>
      <c r="K162" s="176">
        <v>5</v>
      </c>
      <c r="L162" s="176">
        <v>0</v>
      </c>
      <c r="M162" s="176" t="s">
        <v>148</v>
      </c>
      <c r="N162" s="176" t="s">
        <v>149</v>
      </c>
      <c r="O162" s="176" t="s">
        <v>150</v>
      </c>
      <c r="P162" s="176" t="s">
        <v>151</v>
      </c>
      <c r="Q162" s="176"/>
      <c r="R162" s="176" t="s">
        <v>4172</v>
      </c>
      <c r="S162" s="176"/>
      <c r="T162" s="176" t="s">
        <v>2801</v>
      </c>
      <c r="U162" s="176" t="s">
        <v>152</v>
      </c>
      <c r="V162" s="176" t="s">
        <v>23</v>
      </c>
    </row>
    <row r="163" spans="1:22" ht="12.75" customHeight="1">
      <c r="A163" s="65"/>
      <c r="B163" s="211">
        <v>46207</v>
      </c>
      <c r="C163" s="211">
        <v>46207</v>
      </c>
      <c r="D163" s="176" t="s">
        <v>4173</v>
      </c>
      <c r="E163" s="176" t="s">
        <v>4174</v>
      </c>
      <c r="F163" s="176" t="s">
        <v>87</v>
      </c>
      <c r="G163" s="176" t="s">
        <v>2486</v>
      </c>
      <c r="H163" s="176">
        <v>40</v>
      </c>
      <c r="I163" s="176">
        <v>39.799999999999997</v>
      </c>
      <c r="J163" s="176">
        <v>39.799999999999997</v>
      </c>
      <c r="K163" s="176">
        <v>5</v>
      </c>
      <c r="L163" s="176">
        <v>0</v>
      </c>
      <c r="M163" s="176" t="s">
        <v>148</v>
      </c>
      <c r="N163" s="176" t="s">
        <v>149</v>
      </c>
      <c r="O163" s="176" t="s">
        <v>150</v>
      </c>
      <c r="P163" s="176" t="s">
        <v>151</v>
      </c>
      <c r="Q163" s="176"/>
      <c r="R163" s="176" t="s">
        <v>4174</v>
      </c>
      <c r="S163" s="176"/>
      <c r="T163" s="176" t="s">
        <v>2801</v>
      </c>
      <c r="U163" s="176" t="s">
        <v>152</v>
      </c>
      <c r="V163" s="176" t="s">
        <v>23</v>
      </c>
    </row>
    <row r="164" spans="1:22" ht="12.75" customHeight="1">
      <c r="A164" s="65"/>
      <c r="B164" s="211">
        <v>46207</v>
      </c>
      <c r="C164" s="211">
        <v>46207</v>
      </c>
      <c r="D164" s="176" t="s">
        <v>4175</v>
      </c>
      <c r="E164" s="176" t="s">
        <v>4176</v>
      </c>
      <c r="F164" s="176" t="s">
        <v>87</v>
      </c>
      <c r="G164" s="176" t="s">
        <v>3934</v>
      </c>
      <c r="H164" s="176">
        <v>25</v>
      </c>
      <c r="I164" s="176">
        <v>20.8</v>
      </c>
      <c r="J164" s="176">
        <v>20.8</v>
      </c>
      <c r="K164" s="176">
        <v>4</v>
      </c>
      <c r="L164" s="176">
        <v>0</v>
      </c>
      <c r="M164" s="176" t="s">
        <v>148</v>
      </c>
      <c r="N164" s="176" t="s">
        <v>149</v>
      </c>
      <c r="O164" s="176" t="s">
        <v>150</v>
      </c>
      <c r="P164" s="176" t="s">
        <v>151</v>
      </c>
      <c r="Q164" s="176"/>
      <c r="R164" s="176" t="s">
        <v>4176</v>
      </c>
      <c r="S164" s="176"/>
      <c r="T164" s="176" t="s">
        <v>2801</v>
      </c>
      <c r="U164" s="176" t="s">
        <v>152</v>
      </c>
      <c r="V164" s="176" t="s">
        <v>23</v>
      </c>
    </row>
    <row r="165" spans="1:22" ht="12.75" customHeight="1">
      <c r="A165" s="65"/>
      <c r="B165" s="211">
        <v>46207</v>
      </c>
      <c r="C165" s="211">
        <v>46207</v>
      </c>
      <c r="D165" s="176" t="s">
        <v>4177</v>
      </c>
      <c r="E165" s="176" t="s">
        <v>4178</v>
      </c>
      <c r="F165" s="176" t="s">
        <v>87</v>
      </c>
      <c r="G165" s="176" t="s">
        <v>3934</v>
      </c>
      <c r="H165" s="176">
        <v>25</v>
      </c>
      <c r="I165" s="176">
        <v>27.1</v>
      </c>
      <c r="J165" s="176">
        <v>27.1</v>
      </c>
      <c r="K165" s="176">
        <v>4</v>
      </c>
      <c r="L165" s="176">
        <v>0</v>
      </c>
      <c r="M165" s="176" t="s">
        <v>148</v>
      </c>
      <c r="N165" s="176" t="s">
        <v>149</v>
      </c>
      <c r="O165" s="176" t="s">
        <v>150</v>
      </c>
      <c r="P165" s="176" t="s">
        <v>151</v>
      </c>
      <c r="Q165" s="176"/>
      <c r="R165" s="176" t="s">
        <v>4178</v>
      </c>
      <c r="S165" s="176"/>
      <c r="T165" s="176" t="s">
        <v>2801</v>
      </c>
      <c r="U165" s="176" t="s">
        <v>152</v>
      </c>
      <c r="V165" s="176" t="s">
        <v>23</v>
      </c>
    </row>
    <row r="166" spans="1:22" ht="12.75" customHeight="1">
      <c r="A166" s="65"/>
      <c r="B166" s="211">
        <v>46207</v>
      </c>
      <c r="C166" s="211">
        <v>46207</v>
      </c>
      <c r="D166" s="176" t="s">
        <v>4179</v>
      </c>
      <c r="E166" s="176" t="s">
        <v>4180</v>
      </c>
      <c r="F166" s="176" t="s">
        <v>87</v>
      </c>
      <c r="G166" s="176" t="s">
        <v>3934</v>
      </c>
      <c r="H166" s="176">
        <v>25</v>
      </c>
      <c r="I166" s="176">
        <v>29</v>
      </c>
      <c r="J166" s="176">
        <v>29</v>
      </c>
      <c r="K166" s="176">
        <v>4</v>
      </c>
      <c r="L166" s="176">
        <v>0</v>
      </c>
      <c r="M166" s="176" t="s">
        <v>148</v>
      </c>
      <c r="N166" s="176" t="s">
        <v>149</v>
      </c>
      <c r="O166" s="176" t="s">
        <v>150</v>
      </c>
      <c r="P166" s="176" t="s">
        <v>151</v>
      </c>
      <c r="Q166" s="176"/>
      <c r="R166" s="176" t="s">
        <v>4180</v>
      </c>
      <c r="S166" s="176"/>
      <c r="T166" s="176" t="s">
        <v>2801</v>
      </c>
      <c r="U166" s="176" t="s">
        <v>152</v>
      </c>
      <c r="V166" s="176" t="s">
        <v>23</v>
      </c>
    </row>
    <row r="167" spans="1:22" ht="12.75" customHeight="1">
      <c r="A167" s="65"/>
      <c r="B167" s="211">
        <v>46207</v>
      </c>
      <c r="C167" s="211">
        <v>46207</v>
      </c>
      <c r="D167" s="176" t="s">
        <v>4181</v>
      </c>
      <c r="E167" s="176" t="s">
        <v>4182</v>
      </c>
      <c r="F167" s="176" t="s">
        <v>87</v>
      </c>
      <c r="G167" s="176" t="s">
        <v>2486</v>
      </c>
      <c r="H167" s="176">
        <v>40</v>
      </c>
      <c r="I167" s="176">
        <v>34.5</v>
      </c>
      <c r="J167" s="176">
        <v>34.5</v>
      </c>
      <c r="K167" s="176">
        <v>5</v>
      </c>
      <c r="L167" s="176">
        <v>0</v>
      </c>
      <c r="M167" s="176" t="s">
        <v>148</v>
      </c>
      <c r="N167" s="176" t="s">
        <v>149</v>
      </c>
      <c r="O167" s="176" t="s">
        <v>150</v>
      </c>
      <c r="P167" s="176" t="s">
        <v>151</v>
      </c>
      <c r="Q167" s="176"/>
      <c r="R167" s="176" t="s">
        <v>4182</v>
      </c>
      <c r="S167" s="176"/>
      <c r="T167" s="176" t="s">
        <v>2801</v>
      </c>
      <c r="U167" s="176" t="s">
        <v>152</v>
      </c>
      <c r="V167" s="176" t="s">
        <v>23</v>
      </c>
    </row>
    <row r="168" spans="1:22" ht="12.75" customHeight="1">
      <c r="A168" s="65"/>
      <c r="B168" s="211">
        <v>46207</v>
      </c>
      <c r="C168" s="211">
        <v>46207</v>
      </c>
      <c r="D168" s="176" t="s">
        <v>4183</v>
      </c>
      <c r="E168" s="176" t="s">
        <v>4184</v>
      </c>
      <c r="F168" s="176" t="s">
        <v>87</v>
      </c>
      <c r="G168" s="176" t="s">
        <v>2486</v>
      </c>
      <c r="H168" s="176">
        <v>40</v>
      </c>
      <c r="I168" s="176">
        <v>41.3</v>
      </c>
      <c r="J168" s="176">
        <v>41.3</v>
      </c>
      <c r="K168" s="176">
        <v>5</v>
      </c>
      <c r="L168" s="176">
        <v>0</v>
      </c>
      <c r="M168" s="176" t="s">
        <v>148</v>
      </c>
      <c r="N168" s="176" t="s">
        <v>149</v>
      </c>
      <c r="O168" s="176" t="s">
        <v>150</v>
      </c>
      <c r="P168" s="176" t="s">
        <v>151</v>
      </c>
      <c r="Q168" s="176"/>
      <c r="R168" s="176" t="s">
        <v>4184</v>
      </c>
      <c r="S168" s="176"/>
      <c r="T168" s="176" t="s">
        <v>2801</v>
      </c>
      <c r="U168" s="176" t="s">
        <v>152</v>
      </c>
      <c r="V168" s="176" t="s">
        <v>23</v>
      </c>
    </row>
    <row r="169" spans="1:22" ht="12.75" customHeight="1">
      <c r="A169" s="65"/>
      <c r="B169" s="211">
        <v>46207</v>
      </c>
      <c r="C169" s="211">
        <v>46207</v>
      </c>
      <c r="D169" s="176" t="s">
        <v>4185</v>
      </c>
      <c r="E169" s="176" t="s">
        <v>4186</v>
      </c>
      <c r="F169" s="176" t="s">
        <v>87</v>
      </c>
      <c r="G169" s="176" t="s">
        <v>3934</v>
      </c>
      <c r="H169" s="176">
        <v>25</v>
      </c>
      <c r="I169" s="176">
        <v>45.1</v>
      </c>
      <c r="J169" s="176">
        <v>45.1</v>
      </c>
      <c r="K169" s="176">
        <v>4</v>
      </c>
      <c r="L169" s="176">
        <v>0</v>
      </c>
      <c r="M169" s="176" t="s">
        <v>148</v>
      </c>
      <c r="N169" s="176" t="s">
        <v>149</v>
      </c>
      <c r="O169" s="176" t="s">
        <v>150</v>
      </c>
      <c r="P169" s="176" t="s">
        <v>151</v>
      </c>
      <c r="Q169" s="176"/>
      <c r="R169" s="176" t="s">
        <v>4186</v>
      </c>
      <c r="S169" s="176"/>
      <c r="T169" s="176" t="s">
        <v>2801</v>
      </c>
      <c r="U169" s="176" t="s">
        <v>152</v>
      </c>
      <c r="V169" s="176" t="s">
        <v>23</v>
      </c>
    </row>
    <row r="170" spans="1:22" ht="12.75" customHeight="1">
      <c r="A170" s="65"/>
      <c r="B170" s="211">
        <v>46207</v>
      </c>
      <c r="C170" s="211">
        <v>46207</v>
      </c>
      <c r="D170" s="176" t="s">
        <v>4187</v>
      </c>
      <c r="E170" s="176" t="s">
        <v>4188</v>
      </c>
      <c r="F170" s="176" t="s">
        <v>87</v>
      </c>
      <c r="G170" s="176" t="s">
        <v>2637</v>
      </c>
      <c r="H170" s="176">
        <v>40</v>
      </c>
      <c r="I170" s="176">
        <v>31.4</v>
      </c>
      <c r="J170" s="176">
        <v>31.4</v>
      </c>
      <c r="K170" s="176">
        <v>7</v>
      </c>
      <c r="L170" s="176">
        <v>0</v>
      </c>
      <c r="M170" s="176" t="s">
        <v>148</v>
      </c>
      <c r="N170" s="176" t="s">
        <v>149</v>
      </c>
      <c r="O170" s="176" t="s">
        <v>150</v>
      </c>
      <c r="P170" s="176" t="s">
        <v>151</v>
      </c>
      <c r="Q170" s="176"/>
      <c r="R170" s="176" t="s">
        <v>4188</v>
      </c>
      <c r="S170" s="176"/>
      <c r="T170" s="176" t="s">
        <v>2801</v>
      </c>
      <c r="U170" s="176" t="s">
        <v>152</v>
      </c>
      <c r="V170" s="176" t="s">
        <v>23</v>
      </c>
    </row>
    <row r="171" spans="1:22" ht="12.75" customHeight="1">
      <c r="A171" s="65"/>
      <c r="B171" s="211">
        <v>46207</v>
      </c>
      <c r="C171" s="211">
        <v>46207</v>
      </c>
      <c r="D171" s="176" t="s">
        <v>4189</v>
      </c>
      <c r="E171" s="176" t="s">
        <v>4190</v>
      </c>
      <c r="F171" s="176" t="s">
        <v>87</v>
      </c>
      <c r="G171" s="176" t="s">
        <v>2486</v>
      </c>
      <c r="H171" s="176">
        <v>40</v>
      </c>
      <c r="I171" s="176">
        <v>33.200000000000003</v>
      </c>
      <c r="J171" s="176">
        <v>33.200000000000003</v>
      </c>
      <c r="K171" s="176">
        <v>5</v>
      </c>
      <c r="L171" s="176">
        <v>0</v>
      </c>
      <c r="M171" s="176" t="s">
        <v>148</v>
      </c>
      <c r="N171" s="176" t="s">
        <v>149</v>
      </c>
      <c r="O171" s="176" t="s">
        <v>150</v>
      </c>
      <c r="P171" s="176" t="s">
        <v>151</v>
      </c>
      <c r="Q171" s="176"/>
      <c r="R171" s="176" t="s">
        <v>4190</v>
      </c>
      <c r="S171" s="176"/>
      <c r="T171" s="176" t="s">
        <v>2801</v>
      </c>
      <c r="U171" s="176" t="s">
        <v>152</v>
      </c>
      <c r="V171" s="176" t="s">
        <v>23</v>
      </c>
    </row>
    <row r="172" spans="1:22" ht="12.75" customHeight="1">
      <c r="A172" s="65"/>
      <c r="B172" s="211">
        <v>46207</v>
      </c>
      <c r="C172" s="211">
        <v>46207</v>
      </c>
      <c r="D172" s="176" t="s">
        <v>4191</v>
      </c>
      <c r="E172" s="176" t="s">
        <v>4192</v>
      </c>
      <c r="F172" s="176" t="s">
        <v>87</v>
      </c>
      <c r="G172" s="176" t="s">
        <v>2486</v>
      </c>
      <c r="H172" s="176">
        <v>40</v>
      </c>
      <c r="I172" s="176">
        <v>38.200000000000003</v>
      </c>
      <c r="J172" s="176">
        <v>38.200000000000003</v>
      </c>
      <c r="K172" s="176">
        <v>5</v>
      </c>
      <c r="L172" s="176">
        <v>0</v>
      </c>
      <c r="M172" s="176" t="s">
        <v>148</v>
      </c>
      <c r="N172" s="176" t="s">
        <v>149</v>
      </c>
      <c r="O172" s="176" t="s">
        <v>150</v>
      </c>
      <c r="P172" s="176" t="s">
        <v>151</v>
      </c>
      <c r="Q172" s="176"/>
      <c r="R172" s="176" t="s">
        <v>4192</v>
      </c>
      <c r="S172" s="176"/>
      <c r="T172" s="176" t="s">
        <v>2801</v>
      </c>
      <c r="U172" s="176" t="s">
        <v>152</v>
      </c>
      <c r="V172" s="176" t="s">
        <v>23</v>
      </c>
    </row>
    <row r="173" spans="1:22" ht="12.75" customHeight="1">
      <c r="A173" s="65"/>
      <c r="B173" s="211">
        <v>46207</v>
      </c>
      <c r="C173" s="211">
        <v>46207</v>
      </c>
      <c r="D173" s="176" t="s">
        <v>4193</v>
      </c>
      <c r="E173" s="176" t="s">
        <v>4194</v>
      </c>
      <c r="F173" s="176" t="s">
        <v>87</v>
      </c>
      <c r="G173" s="176" t="s">
        <v>3934</v>
      </c>
      <c r="H173" s="176">
        <v>25</v>
      </c>
      <c r="I173" s="176">
        <v>31.2</v>
      </c>
      <c r="J173" s="176">
        <v>31.2</v>
      </c>
      <c r="K173" s="176">
        <v>4</v>
      </c>
      <c r="L173" s="176">
        <v>0</v>
      </c>
      <c r="M173" s="176" t="s">
        <v>148</v>
      </c>
      <c r="N173" s="176" t="s">
        <v>149</v>
      </c>
      <c r="O173" s="176" t="s">
        <v>150</v>
      </c>
      <c r="P173" s="176" t="s">
        <v>151</v>
      </c>
      <c r="Q173" s="176"/>
      <c r="R173" s="176" t="s">
        <v>4194</v>
      </c>
      <c r="S173" s="176"/>
      <c r="T173" s="176" t="s">
        <v>2801</v>
      </c>
      <c r="U173" s="176" t="s">
        <v>152</v>
      </c>
      <c r="V173" s="176" t="s">
        <v>23</v>
      </c>
    </row>
    <row r="174" spans="1:22" ht="12.75" customHeight="1">
      <c r="A174" s="65"/>
      <c r="B174" s="211">
        <v>46207</v>
      </c>
      <c r="C174" s="211">
        <v>46207</v>
      </c>
      <c r="D174" s="176" t="s">
        <v>4195</v>
      </c>
      <c r="E174" s="176" t="s">
        <v>4196</v>
      </c>
      <c r="F174" s="176" t="s">
        <v>87</v>
      </c>
      <c r="G174" s="176" t="s">
        <v>2639</v>
      </c>
      <c r="H174" s="176">
        <v>25</v>
      </c>
      <c r="I174" s="176">
        <v>31.3</v>
      </c>
      <c r="J174" s="176">
        <v>31.3</v>
      </c>
      <c r="K174" s="176">
        <v>4</v>
      </c>
      <c r="L174" s="176">
        <v>0</v>
      </c>
      <c r="M174" s="176" t="s">
        <v>148</v>
      </c>
      <c r="N174" s="176" t="s">
        <v>149</v>
      </c>
      <c r="O174" s="176" t="s">
        <v>150</v>
      </c>
      <c r="P174" s="176" t="s">
        <v>151</v>
      </c>
      <c r="Q174" s="176"/>
      <c r="R174" s="176" t="s">
        <v>4196</v>
      </c>
      <c r="S174" s="176"/>
      <c r="T174" s="176" t="s">
        <v>2801</v>
      </c>
      <c r="U174" s="176" t="s">
        <v>152</v>
      </c>
      <c r="V174" s="176" t="s">
        <v>23</v>
      </c>
    </row>
    <row r="175" spans="1:22" ht="12.75" customHeight="1">
      <c r="A175" s="65"/>
      <c r="B175" s="211">
        <v>46207</v>
      </c>
      <c r="C175" s="211">
        <v>46207</v>
      </c>
      <c r="D175" s="176" t="s">
        <v>4197</v>
      </c>
      <c r="E175" s="176" t="s">
        <v>4198</v>
      </c>
      <c r="F175" s="176" t="s">
        <v>87</v>
      </c>
      <c r="G175" s="176" t="s">
        <v>3934</v>
      </c>
      <c r="H175" s="176">
        <v>25</v>
      </c>
      <c r="I175" s="176">
        <v>36.799999999999997</v>
      </c>
      <c r="J175" s="176">
        <v>36.799999999999997</v>
      </c>
      <c r="K175" s="176">
        <v>4</v>
      </c>
      <c r="L175" s="176">
        <v>0</v>
      </c>
      <c r="M175" s="176" t="s">
        <v>148</v>
      </c>
      <c r="N175" s="176" t="s">
        <v>149</v>
      </c>
      <c r="O175" s="176" t="s">
        <v>150</v>
      </c>
      <c r="P175" s="176" t="s">
        <v>151</v>
      </c>
      <c r="Q175" s="176"/>
      <c r="R175" s="176" t="s">
        <v>4198</v>
      </c>
      <c r="S175" s="176"/>
      <c r="T175" s="176" t="s">
        <v>2801</v>
      </c>
      <c r="U175" s="176" t="s">
        <v>152</v>
      </c>
      <c r="V175" s="176" t="s">
        <v>23</v>
      </c>
    </row>
    <row r="176" spans="1:22" ht="12.75" customHeight="1">
      <c r="A176" s="65"/>
      <c r="B176" s="211">
        <v>46207</v>
      </c>
      <c r="C176" s="211">
        <v>46207</v>
      </c>
      <c r="D176" s="176" t="s">
        <v>4199</v>
      </c>
      <c r="E176" s="176" t="s">
        <v>4200</v>
      </c>
      <c r="F176" s="176" t="s">
        <v>87</v>
      </c>
      <c r="G176" s="176" t="s">
        <v>2553</v>
      </c>
      <c r="H176" s="176">
        <v>30</v>
      </c>
      <c r="I176" s="176">
        <v>35.200000000000003</v>
      </c>
      <c r="J176" s="176">
        <v>35.200000000000003</v>
      </c>
      <c r="K176" s="176">
        <v>4</v>
      </c>
      <c r="L176" s="176">
        <v>0</v>
      </c>
      <c r="M176" s="176" t="s">
        <v>148</v>
      </c>
      <c r="N176" s="176" t="s">
        <v>149</v>
      </c>
      <c r="O176" s="176" t="s">
        <v>150</v>
      </c>
      <c r="P176" s="176" t="s">
        <v>151</v>
      </c>
      <c r="Q176" s="176"/>
      <c r="R176" s="176" t="s">
        <v>4200</v>
      </c>
      <c r="S176" s="176"/>
      <c r="T176" s="176" t="s">
        <v>2801</v>
      </c>
      <c r="U176" s="176" t="s">
        <v>152</v>
      </c>
      <c r="V176" s="176" t="s">
        <v>23</v>
      </c>
    </row>
    <row r="177" spans="1:22" ht="12.75" customHeight="1">
      <c r="A177" s="65"/>
      <c r="B177" s="211">
        <v>46207</v>
      </c>
      <c r="C177" s="211">
        <v>46207</v>
      </c>
      <c r="D177" s="176" t="s">
        <v>4201</v>
      </c>
      <c r="E177" s="176" t="s">
        <v>4202</v>
      </c>
      <c r="F177" s="176" t="s">
        <v>87</v>
      </c>
      <c r="G177" s="176" t="s">
        <v>2486</v>
      </c>
      <c r="H177" s="176">
        <v>40</v>
      </c>
      <c r="I177" s="176">
        <v>29.3</v>
      </c>
      <c r="J177" s="176">
        <v>29.3</v>
      </c>
      <c r="K177" s="176">
        <v>5</v>
      </c>
      <c r="L177" s="176">
        <v>0</v>
      </c>
      <c r="M177" s="176" t="s">
        <v>148</v>
      </c>
      <c r="N177" s="176" t="s">
        <v>149</v>
      </c>
      <c r="O177" s="176" t="s">
        <v>150</v>
      </c>
      <c r="P177" s="176" t="s">
        <v>151</v>
      </c>
      <c r="Q177" s="176"/>
      <c r="R177" s="176" t="s">
        <v>4202</v>
      </c>
      <c r="S177" s="176"/>
      <c r="T177" s="176" t="s">
        <v>2801</v>
      </c>
      <c r="U177" s="176" t="s">
        <v>152</v>
      </c>
      <c r="V177" s="176" t="s">
        <v>23</v>
      </c>
    </row>
    <row r="178" spans="1:22" ht="12.75" customHeight="1">
      <c r="A178" s="65"/>
      <c r="B178" s="211">
        <v>46207</v>
      </c>
      <c r="C178" s="211">
        <v>46207</v>
      </c>
      <c r="D178" s="176" t="s">
        <v>4203</v>
      </c>
      <c r="E178" s="176" t="s">
        <v>4204</v>
      </c>
      <c r="F178" s="176" t="s">
        <v>87</v>
      </c>
      <c r="G178" s="176" t="s">
        <v>2633</v>
      </c>
      <c r="H178" s="176">
        <v>40</v>
      </c>
      <c r="I178" s="176">
        <v>37.5</v>
      </c>
      <c r="J178" s="176">
        <v>37.5</v>
      </c>
      <c r="K178" s="176">
        <v>5</v>
      </c>
      <c r="L178" s="176">
        <v>0</v>
      </c>
      <c r="M178" s="176" t="s">
        <v>148</v>
      </c>
      <c r="N178" s="176" t="s">
        <v>149</v>
      </c>
      <c r="O178" s="176" t="s">
        <v>150</v>
      </c>
      <c r="P178" s="176" t="s">
        <v>151</v>
      </c>
      <c r="Q178" s="176"/>
      <c r="R178" s="176" t="s">
        <v>4204</v>
      </c>
      <c r="S178" s="176"/>
      <c r="T178" s="176" t="s">
        <v>2801</v>
      </c>
      <c r="U178" s="176" t="s">
        <v>152</v>
      </c>
      <c r="V178" s="176" t="s">
        <v>23</v>
      </c>
    </row>
    <row r="179" spans="1:22" ht="12.75" customHeight="1">
      <c r="A179" s="65"/>
      <c r="B179" s="211">
        <v>46207</v>
      </c>
      <c r="C179" s="211">
        <v>46207</v>
      </c>
      <c r="D179" s="176" t="s">
        <v>4205</v>
      </c>
      <c r="E179" s="176" t="s">
        <v>4206</v>
      </c>
      <c r="F179" s="176" t="s">
        <v>87</v>
      </c>
      <c r="G179" s="176" t="s">
        <v>2553</v>
      </c>
      <c r="H179" s="176">
        <v>30</v>
      </c>
      <c r="I179" s="176">
        <v>48.8</v>
      </c>
      <c r="J179" s="176">
        <v>48.8</v>
      </c>
      <c r="K179" s="176">
        <v>4</v>
      </c>
      <c r="L179" s="176">
        <v>0</v>
      </c>
      <c r="M179" s="176" t="s">
        <v>148</v>
      </c>
      <c r="N179" s="176" t="s">
        <v>149</v>
      </c>
      <c r="O179" s="176" t="s">
        <v>150</v>
      </c>
      <c r="P179" s="176" t="s">
        <v>151</v>
      </c>
      <c r="Q179" s="176"/>
      <c r="R179" s="176" t="s">
        <v>4206</v>
      </c>
      <c r="S179" s="176"/>
      <c r="T179" s="176" t="s">
        <v>2801</v>
      </c>
      <c r="U179" s="176" t="s">
        <v>152</v>
      </c>
      <c r="V179" s="176" t="s">
        <v>23</v>
      </c>
    </row>
    <row r="180" spans="1:22" ht="12.75" customHeight="1">
      <c r="A180" s="65"/>
      <c r="B180" s="211">
        <v>46207</v>
      </c>
      <c r="C180" s="211">
        <v>46207</v>
      </c>
      <c r="D180" s="176" t="s">
        <v>4207</v>
      </c>
      <c r="E180" s="176" t="s">
        <v>4208</v>
      </c>
      <c r="F180" s="176" t="s">
        <v>87</v>
      </c>
      <c r="G180" s="176" t="s">
        <v>2553</v>
      </c>
      <c r="H180" s="176">
        <v>30</v>
      </c>
      <c r="I180" s="176">
        <v>31</v>
      </c>
      <c r="J180" s="176">
        <v>31</v>
      </c>
      <c r="K180" s="176">
        <v>4</v>
      </c>
      <c r="L180" s="176">
        <v>0</v>
      </c>
      <c r="M180" s="176" t="s">
        <v>148</v>
      </c>
      <c r="N180" s="176" t="s">
        <v>149</v>
      </c>
      <c r="O180" s="176" t="s">
        <v>150</v>
      </c>
      <c r="P180" s="176" t="s">
        <v>151</v>
      </c>
      <c r="Q180" s="176"/>
      <c r="R180" s="176" t="s">
        <v>4208</v>
      </c>
      <c r="S180" s="176"/>
      <c r="T180" s="176" t="s">
        <v>2801</v>
      </c>
      <c r="U180" s="176" t="s">
        <v>152</v>
      </c>
      <c r="V180" s="176" t="s">
        <v>23</v>
      </c>
    </row>
    <row r="181" spans="1:22" ht="12.75" customHeight="1">
      <c r="A181" s="65"/>
      <c r="B181" s="211">
        <v>46207</v>
      </c>
      <c r="C181" s="211">
        <v>46207</v>
      </c>
      <c r="D181" s="176" t="s">
        <v>4209</v>
      </c>
      <c r="E181" s="176" t="s">
        <v>4210</v>
      </c>
      <c r="F181" s="176" t="s">
        <v>87</v>
      </c>
      <c r="G181" s="176" t="s">
        <v>3934</v>
      </c>
      <c r="H181" s="176">
        <v>25</v>
      </c>
      <c r="I181" s="176">
        <v>26</v>
      </c>
      <c r="J181" s="176">
        <v>26</v>
      </c>
      <c r="K181" s="176">
        <v>4</v>
      </c>
      <c r="L181" s="176">
        <v>0</v>
      </c>
      <c r="M181" s="176" t="s">
        <v>148</v>
      </c>
      <c r="N181" s="176" t="s">
        <v>149</v>
      </c>
      <c r="O181" s="176" t="s">
        <v>150</v>
      </c>
      <c r="P181" s="176" t="s">
        <v>151</v>
      </c>
      <c r="Q181" s="176"/>
      <c r="R181" s="176" t="s">
        <v>4210</v>
      </c>
      <c r="S181" s="176"/>
      <c r="T181" s="176" t="s">
        <v>2801</v>
      </c>
      <c r="U181" s="176" t="s">
        <v>152</v>
      </c>
      <c r="V181" s="176" t="s">
        <v>23</v>
      </c>
    </row>
    <row r="182" spans="1:22" ht="12.75" customHeight="1">
      <c r="A182" s="65"/>
      <c r="B182" s="211">
        <v>46207</v>
      </c>
      <c r="C182" s="211">
        <v>46207</v>
      </c>
      <c r="D182" s="176" t="s">
        <v>4211</v>
      </c>
      <c r="E182" s="176" t="s">
        <v>4212</v>
      </c>
      <c r="F182" s="176" t="s">
        <v>87</v>
      </c>
      <c r="G182" s="176" t="s">
        <v>2635</v>
      </c>
      <c r="H182" s="176">
        <v>6</v>
      </c>
      <c r="I182" s="176">
        <v>13.4</v>
      </c>
      <c r="J182" s="176">
        <v>13.4</v>
      </c>
      <c r="K182" s="176">
        <v>1.5</v>
      </c>
      <c r="L182" s="176">
        <v>0</v>
      </c>
      <c r="M182" s="176" t="s">
        <v>148</v>
      </c>
      <c r="N182" s="176" t="s">
        <v>149</v>
      </c>
      <c r="O182" s="176" t="s">
        <v>150</v>
      </c>
      <c r="P182" s="176" t="s">
        <v>151</v>
      </c>
      <c r="Q182" s="176"/>
      <c r="R182" s="176" t="s">
        <v>4212</v>
      </c>
      <c r="S182" s="176"/>
      <c r="T182" s="176" t="s">
        <v>2801</v>
      </c>
      <c r="U182" s="176" t="s">
        <v>152</v>
      </c>
      <c r="V182" s="176" t="s">
        <v>23</v>
      </c>
    </row>
    <row r="183" spans="1:22" ht="12.75" customHeight="1">
      <c r="A183" s="65"/>
      <c r="B183" s="211">
        <v>46207</v>
      </c>
      <c r="C183" s="211">
        <v>46207</v>
      </c>
      <c r="D183" s="176" t="s">
        <v>4213</v>
      </c>
      <c r="E183" s="176" t="s">
        <v>4214</v>
      </c>
      <c r="F183" s="176" t="s">
        <v>87</v>
      </c>
      <c r="G183" s="176" t="s">
        <v>3934</v>
      </c>
      <c r="H183" s="176">
        <v>25</v>
      </c>
      <c r="I183" s="176">
        <v>36.4</v>
      </c>
      <c r="J183" s="176">
        <v>36.4</v>
      </c>
      <c r="K183" s="176">
        <v>4</v>
      </c>
      <c r="L183" s="176">
        <v>0</v>
      </c>
      <c r="M183" s="176" t="s">
        <v>148</v>
      </c>
      <c r="N183" s="176" t="s">
        <v>149</v>
      </c>
      <c r="O183" s="176" t="s">
        <v>150</v>
      </c>
      <c r="P183" s="176" t="s">
        <v>151</v>
      </c>
      <c r="Q183" s="176"/>
      <c r="R183" s="176" t="s">
        <v>4214</v>
      </c>
      <c r="S183" s="176"/>
      <c r="T183" s="176" t="s">
        <v>2801</v>
      </c>
      <c r="U183" s="176" t="s">
        <v>152</v>
      </c>
      <c r="V183" s="176" t="s">
        <v>23</v>
      </c>
    </row>
    <row r="184" spans="1:22" ht="12.75" customHeight="1">
      <c r="A184" s="65"/>
      <c r="B184" s="211">
        <v>46207</v>
      </c>
      <c r="C184" s="211">
        <v>46207</v>
      </c>
      <c r="D184" s="176" t="s">
        <v>4215</v>
      </c>
      <c r="E184" s="176" t="s">
        <v>4216</v>
      </c>
      <c r="F184" s="176" t="s">
        <v>87</v>
      </c>
      <c r="G184" s="176" t="s">
        <v>3934</v>
      </c>
      <c r="H184" s="176">
        <v>25</v>
      </c>
      <c r="I184" s="176">
        <v>33.799999999999997</v>
      </c>
      <c r="J184" s="176">
        <v>33.799999999999997</v>
      </c>
      <c r="K184" s="176">
        <v>4</v>
      </c>
      <c r="L184" s="176">
        <v>0</v>
      </c>
      <c r="M184" s="176" t="s">
        <v>148</v>
      </c>
      <c r="N184" s="176" t="s">
        <v>149</v>
      </c>
      <c r="O184" s="176" t="s">
        <v>150</v>
      </c>
      <c r="P184" s="176" t="s">
        <v>151</v>
      </c>
      <c r="Q184" s="176"/>
      <c r="R184" s="176" t="s">
        <v>4216</v>
      </c>
      <c r="S184" s="176"/>
      <c r="T184" s="176" t="s">
        <v>2801</v>
      </c>
      <c r="U184" s="176" t="s">
        <v>152</v>
      </c>
      <c r="V184" s="176" t="s">
        <v>23</v>
      </c>
    </row>
    <row r="185" spans="1:22" ht="12.75" customHeight="1">
      <c r="A185" s="65"/>
      <c r="B185" s="211">
        <v>46207</v>
      </c>
      <c r="C185" s="211">
        <v>46207</v>
      </c>
      <c r="D185" s="176" t="s">
        <v>4217</v>
      </c>
      <c r="E185" s="176" t="s">
        <v>4218</v>
      </c>
      <c r="F185" s="176" t="s">
        <v>87</v>
      </c>
      <c r="G185" s="176" t="s">
        <v>2639</v>
      </c>
      <c r="H185" s="176">
        <v>25</v>
      </c>
      <c r="I185" s="176">
        <v>28.1</v>
      </c>
      <c r="J185" s="176">
        <v>28.1</v>
      </c>
      <c r="K185" s="176">
        <v>4</v>
      </c>
      <c r="L185" s="176">
        <v>0</v>
      </c>
      <c r="M185" s="176" t="s">
        <v>148</v>
      </c>
      <c r="N185" s="176" t="s">
        <v>149</v>
      </c>
      <c r="O185" s="176" t="s">
        <v>150</v>
      </c>
      <c r="P185" s="176" t="s">
        <v>151</v>
      </c>
      <c r="Q185" s="176"/>
      <c r="R185" s="176" t="s">
        <v>4218</v>
      </c>
      <c r="S185" s="176"/>
      <c r="T185" s="176" t="s">
        <v>2801</v>
      </c>
      <c r="U185" s="176" t="s">
        <v>152</v>
      </c>
      <c r="V185" s="176" t="s">
        <v>23</v>
      </c>
    </row>
    <row r="186" spans="1:22" ht="12.75" customHeight="1">
      <c r="A186" s="65"/>
      <c r="B186" s="211">
        <v>46207</v>
      </c>
      <c r="C186" s="211">
        <v>46207</v>
      </c>
      <c r="D186" s="176" t="s">
        <v>4219</v>
      </c>
      <c r="E186" s="176" t="s">
        <v>4220</v>
      </c>
      <c r="F186" s="176" t="s">
        <v>87</v>
      </c>
      <c r="G186" s="176" t="s">
        <v>2639</v>
      </c>
      <c r="H186" s="176">
        <v>25</v>
      </c>
      <c r="I186" s="176">
        <v>25.8</v>
      </c>
      <c r="J186" s="176">
        <v>25.8</v>
      </c>
      <c r="K186" s="176">
        <v>4</v>
      </c>
      <c r="L186" s="176">
        <v>0</v>
      </c>
      <c r="M186" s="176" t="s">
        <v>148</v>
      </c>
      <c r="N186" s="176" t="s">
        <v>149</v>
      </c>
      <c r="O186" s="176" t="s">
        <v>150</v>
      </c>
      <c r="P186" s="176" t="s">
        <v>151</v>
      </c>
      <c r="Q186" s="176"/>
      <c r="R186" s="176" t="s">
        <v>4220</v>
      </c>
      <c r="S186" s="176"/>
      <c r="T186" s="176" t="s">
        <v>2801</v>
      </c>
      <c r="U186" s="176" t="s">
        <v>152</v>
      </c>
      <c r="V186" s="176" t="s">
        <v>23</v>
      </c>
    </row>
    <row r="187" spans="1:22" ht="12.75" customHeight="1">
      <c r="A187" s="65"/>
      <c r="B187" s="211">
        <v>46207</v>
      </c>
      <c r="C187" s="211">
        <v>46207</v>
      </c>
      <c r="D187" s="176" t="s">
        <v>4221</v>
      </c>
      <c r="E187" s="176" t="s">
        <v>4222</v>
      </c>
      <c r="F187" s="176" t="s">
        <v>87</v>
      </c>
      <c r="G187" s="176" t="s">
        <v>2486</v>
      </c>
      <c r="H187" s="176">
        <v>40</v>
      </c>
      <c r="I187" s="176">
        <v>42.2</v>
      </c>
      <c r="J187" s="176">
        <v>42.2</v>
      </c>
      <c r="K187" s="176">
        <v>5</v>
      </c>
      <c r="L187" s="176">
        <v>0</v>
      </c>
      <c r="M187" s="176" t="s">
        <v>148</v>
      </c>
      <c r="N187" s="176" t="s">
        <v>149</v>
      </c>
      <c r="O187" s="176" t="s">
        <v>150</v>
      </c>
      <c r="P187" s="176" t="s">
        <v>151</v>
      </c>
      <c r="Q187" s="176"/>
      <c r="R187" s="176" t="s">
        <v>4222</v>
      </c>
      <c r="S187" s="176"/>
      <c r="T187" s="176" t="s">
        <v>2801</v>
      </c>
      <c r="U187" s="176" t="s">
        <v>152</v>
      </c>
      <c r="V187" s="176" t="s">
        <v>23</v>
      </c>
    </row>
    <row r="188" spans="1:22" ht="12.75" customHeight="1">
      <c r="A188" s="65"/>
      <c r="B188" s="211">
        <v>46207</v>
      </c>
      <c r="C188" s="211">
        <v>46207</v>
      </c>
      <c r="D188" s="176" t="s">
        <v>4223</v>
      </c>
      <c r="E188" s="176" t="s">
        <v>4224</v>
      </c>
      <c r="F188" s="176" t="s">
        <v>87</v>
      </c>
      <c r="G188" s="176" t="s">
        <v>3934</v>
      </c>
      <c r="H188" s="176">
        <v>25</v>
      </c>
      <c r="I188" s="176">
        <v>32.799999999999997</v>
      </c>
      <c r="J188" s="176">
        <v>32.799999999999997</v>
      </c>
      <c r="K188" s="176">
        <v>4</v>
      </c>
      <c r="L188" s="176">
        <v>0</v>
      </c>
      <c r="M188" s="176" t="s">
        <v>148</v>
      </c>
      <c r="N188" s="176" t="s">
        <v>149</v>
      </c>
      <c r="O188" s="176" t="s">
        <v>150</v>
      </c>
      <c r="P188" s="176" t="s">
        <v>151</v>
      </c>
      <c r="Q188" s="176"/>
      <c r="R188" s="176" t="s">
        <v>4224</v>
      </c>
      <c r="S188" s="176"/>
      <c r="T188" s="176" t="s">
        <v>2801</v>
      </c>
      <c r="U188" s="176" t="s">
        <v>152</v>
      </c>
      <c r="V188" s="176" t="s">
        <v>23</v>
      </c>
    </row>
    <row r="189" spans="1:22" ht="12.75" customHeight="1">
      <c r="A189" s="65"/>
      <c r="B189" s="211">
        <v>46207</v>
      </c>
      <c r="C189" s="211">
        <v>46207</v>
      </c>
      <c r="D189" s="176" t="s">
        <v>4225</v>
      </c>
      <c r="E189" s="176" t="s">
        <v>4226</v>
      </c>
      <c r="F189" s="176" t="s">
        <v>87</v>
      </c>
      <c r="G189" s="176" t="s">
        <v>3934</v>
      </c>
      <c r="H189" s="176">
        <v>25</v>
      </c>
      <c r="I189" s="176">
        <v>44.8</v>
      </c>
      <c r="J189" s="176">
        <v>44.8</v>
      </c>
      <c r="K189" s="176">
        <v>4</v>
      </c>
      <c r="L189" s="176">
        <v>0</v>
      </c>
      <c r="M189" s="176" t="s">
        <v>148</v>
      </c>
      <c r="N189" s="176" t="s">
        <v>149</v>
      </c>
      <c r="O189" s="176" t="s">
        <v>150</v>
      </c>
      <c r="P189" s="176" t="s">
        <v>151</v>
      </c>
      <c r="Q189" s="176"/>
      <c r="R189" s="176" t="s">
        <v>4226</v>
      </c>
      <c r="S189" s="176"/>
      <c r="T189" s="176" t="s">
        <v>2801</v>
      </c>
      <c r="U189" s="176" t="s">
        <v>152</v>
      </c>
      <c r="V189" s="176" t="s">
        <v>23</v>
      </c>
    </row>
    <row r="190" spans="1:22" ht="12.75" customHeight="1">
      <c r="A190" s="65"/>
      <c r="B190" s="211">
        <v>46207</v>
      </c>
      <c r="C190" s="211">
        <v>46207</v>
      </c>
      <c r="D190" s="176" t="s">
        <v>4227</v>
      </c>
      <c r="E190" s="176" t="s">
        <v>4228</v>
      </c>
      <c r="F190" s="176" t="s">
        <v>87</v>
      </c>
      <c r="G190" s="176" t="s">
        <v>3934</v>
      </c>
      <c r="H190" s="176">
        <v>25</v>
      </c>
      <c r="I190" s="176">
        <v>38.1</v>
      </c>
      <c r="J190" s="176">
        <v>38.1</v>
      </c>
      <c r="K190" s="176">
        <v>4</v>
      </c>
      <c r="L190" s="176">
        <v>0</v>
      </c>
      <c r="M190" s="176" t="s">
        <v>148</v>
      </c>
      <c r="N190" s="176" t="s">
        <v>149</v>
      </c>
      <c r="O190" s="176" t="s">
        <v>150</v>
      </c>
      <c r="P190" s="176" t="s">
        <v>151</v>
      </c>
      <c r="Q190" s="176"/>
      <c r="R190" s="176" t="s">
        <v>4228</v>
      </c>
      <c r="S190" s="176"/>
      <c r="T190" s="176" t="s">
        <v>2801</v>
      </c>
      <c r="U190" s="176" t="s">
        <v>152</v>
      </c>
      <c r="V190" s="176" t="s">
        <v>23</v>
      </c>
    </row>
    <row r="191" spans="1:22" ht="12.75" customHeight="1">
      <c r="A191" s="65"/>
      <c r="B191" s="211">
        <v>46207</v>
      </c>
      <c r="C191" s="211">
        <v>46207</v>
      </c>
      <c r="D191" s="176" t="s">
        <v>4229</v>
      </c>
      <c r="E191" s="176" t="s">
        <v>4230</v>
      </c>
      <c r="F191" s="176" t="s">
        <v>87</v>
      </c>
      <c r="G191" s="176" t="s">
        <v>3934</v>
      </c>
      <c r="H191" s="176">
        <v>25</v>
      </c>
      <c r="I191" s="176">
        <v>41.8</v>
      </c>
      <c r="J191" s="176">
        <v>41.8</v>
      </c>
      <c r="K191" s="176">
        <v>4</v>
      </c>
      <c r="L191" s="176">
        <v>0</v>
      </c>
      <c r="M191" s="176" t="s">
        <v>148</v>
      </c>
      <c r="N191" s="176" t="s">
        <v>149</v>
      </c>
      <c r="O191" s="176" t="s">
        <v>150</v>
      </c>
      <c r="P191" s="176" t="s">
        <v>151</v>
      </c>
      <c r="Q191" s="176"/>
      <c r="R191" s="176" t="s">
        <v>4230</v>
      </c>
      <c r="S191" s="176"/>
      <c r="T191" s="176" t="s">
        <v>2801</v>
      </c>
      <c r="U191" s="176" t="s">
        <v>152</v>
      </c>
      <c r="V191" s="176" t="s">
        <v>23</v>
      </c>
    </row>
    <row r="192" spans="1:22" ht="12.75" customHeight="1">
      <c r="A192" s="65"/>
      <c r="B192" s="211">
        <v>46207</v>
      </c>
      <c r="C192" s="211">
        <v>46207</v>
      </c>
      <c r="D192" s="176" t="s">
        <v>4231</v>
      </c>
      <c r="E192" s="176" t="s">
        <v>4232</v>
      </c>
      <c r="F192" s="176" t="s">
        <v>87</v>
      </c>
      <c r="G192" s="176" t="s">
        <v>2637</v>
      </c>
      <c r="H192" s="176">
        <v>40</v>
      </c>
      <c r="I192" s="176">
        <v>26.8</v>
      </c>
      <c r="J192" s="176">
        <v>26.8</v>
      </c>
      <c r="K192" s="176">
        <v>7</v>
      </c>
      <c r="L192" s="176">
        <v>0</v>
      </c>
      <c r="M192" s="176" t="s">
        <v>148</v>
      </c>
      <c r="N192" s="176" t="s">
        <v>149</v>
      </c>
      <c r="O192" s="176" t="s">
        <v>150</v>
      </c>
      <c r="P192" s="176" t="s">
        <v>151</v>
      </c>
      <c r="Q192" s="176"/>
      <c r="R192" s="176" t="s">
        <v>4232</v>
      </c>
      <c r="S192" s="176"/>
      <c r="T192" s="176" t="s">
        <v>2801</v>
      </c>
      <c r="U192" s="176" t="s">
        <v>152</v>
      </c>
      <c r="V192" s="176" t="s">
        <v>23</v>
      </c>
    </row>
    <row r="193" spans="1:22" ht="12.75" customHeight="1">
      <c r="A193" s="65"/>
      <c r="B193" s="211">
        <v>46207</v>
      </c>
      <c r="C193" s="211">
        <v>46207</v>
      </c>
      <c r="D193" s="176" t="s">
        <v>4233</v>
      </c>
      <c r="E193" s="176" t="s">
        <v>4234</v>
      </c>
      <c r="F193" s="176" t="s">
        <v>87</v>
      </c>
      <c r="G193" s="176" t="s">
        <v>3873</v>
      </c>
      <c r="H193" s="176">
        <v>35</v>
      </c>
      <c r="I193" s="176">
        <v>39.799999999999997</v>
      </c>
      <c r="J193" s="176">
        <v>39.799999999999997</v>
      </c>
      <c r="K193" s="176">
        <v>4</v>
      </c>
      <c r="L193" s="176">
        <v>0</v>
      </c>
      <c r="M193" s="176" t="s">
        <v>148</v>
      </c>
      <c r="N193" s="176" t="s">
        <v>149</v>
      </c>
      <c r="O193" s="176" t="s">
        <v>150</v>
      </c>
      <c r="P193" s="176" t="s">
        <v>151</v>
      </c>
      <c r="Q193" s="176"/>
      <c r="R193" s="176" t="s">
        <v>4234</v>
      </c>
      <c r="S193" s="176"/>
      <c r="T193" s="176" t="s">
        <v>2801</v>
      </c>
      <c r="U193" s="176" t="s">
        <v>152</v>
      </c>
      <c r="V193" s="176" t="s">
        <v>23</v>
      </c>
    </row>
    <row r="194" spans="1:22" ht="12.75" customHeight="1">
      <c r="A194" s="65"/>
      <c r="B194" s="211">
        <v>46207</v>
      </c>
      <c r="C194" s="211">
        <v>46207</v>
      </c>
      <c r="D194" s="176" t="s">
        <v>4235</v>
      </c>
      <c r="E194" s="176" t="s">
        <v>4236</v>
      </c>
      <c r="F194" s="176" t="s">
        <v>87</v>
      </c>
      <c r="G194" s="176" t="s">
        <v>2633</v>
      </c>
      <c r="H194" s="176">
        <v>40</v>
      </c>
      <c r="I194" s="176">
        <v>35.799999999999997</v>
      </c>
      <c r="J194" s="176">
        <v>35.799999999999997</v>
      </c>
      <c r="K194" s="176">
        <v>5</v>
      </c>
      <c r="L194" s="176">
        <v>0</v>
      </c>
      <c r="M194" s="176" t="s">
        <v>148</v>
      </c>
      <c r="N194" s="176" t="s">
        <v>149</v>
      </c>
      <c r="O194" s="176" t="s">
        <v>150</v>
      </c>
      <c r="P194" s="176" t="s">
        <v>151</v>
      </c>
      <c r="Q194" s="176"/>
      <c r="R194" s="176" t="s">
        <v>4236</v>
      </c>
      <c r="S194" s="176"/>
      <c r="T194" s="176" t="s">
        <v>2801</v>
      </c>
      <c r="U194" s="176" t="s">
        <v>152</v>
      </c>
      <c r="V194" s="176" t="s">
        <v>23</v>
      </c>
    </row>
    <row r="195" spans="1:22" ht="12.75" customHeight="1">
      <c r="A195" s="65"/>
      <c r="B195" s="211">
        <v>46207</v>
      </c>
      <c r="C195" s="211">
        <v>46207</v>
      </c>
      <c r="D195" s="176" t="s">
        <v>4237</v>
      </c>
      <c r="E195" s="176" t="s">
        <v>4238</v>
      </c>
      <c r="F195" s="176" t="s">
        <v>87</v>
      </c>
      <c r="G195" s="176" t="s">
        <v>2633</v>
      </c>
      <c r="H195" s="176">
        <v>40</v>
      </c>
      <c r="I195" s="176">
        <v>42.4</v>
      </c>
      <c r="J195" s="176">
        <v>42.4</v>
      </c>
      <c r="K195" s="176">
        <v>5</v>
      </c>
      <c r="L195" s="176">
        <v>0</v>
      </c>
      <c r="M195" s="176" t="s">
        <v>148</v>
      </c>
      <c r="N195" s="176" t="s">
        <v>149</v>
      </c>
      <c r="O195" s="176" t="s">
        <v>150</v>
      </c>
      <c r="P195" s="176" t="s">
        <v>151</v>
      </c>
      <c r="Q195" s="176"/>
      <c r="R195" s="176" t="s">
        <v>4238</v>
      </c>
      <c r="S195" s="176"/>
      <c r="T195" s="176" t="s">
        <v>2801</v>
      </c>
      <c r="U195" s="176" t="s">
        <v>152</v>
      </c>
      <c r="V195" s="176" t="s">
        <v>23</v>
      </c>
    </row>
    <row r="196" spans="1:22" ht="12.75" customHeight="1">
      <c r="A196" s="65"/>
      <c r="B196" s="211">
        <v>46207</v>
      </c>
      <c r="C196" s="211">
        <v>46207</v>
      </c>
      <c r="D196" s="176" t="s">
        <v>4239</v>
      </c>
      <c r="E196" s="176" t="s">
        <v>4240</v>
      </c>
      <c r="F196" s="176" t="s">
        <v>87</v>
      </c>
      <c r="G196" s="176" t="s">
        <v>2001</v>
      </c>
      <c r="H196" s="176">
        <v>6</v>
      </c>
      <c r="I196" s="176">
        <v>30.4</v>
      </c>
      <c r="J196" s="176">
        <v>30.4</v>
      </c>
      <c r="K196" s="176">
        <v>1.5</v>
      </c>
      <c r="L196" s="176">
        <v>0</v>
      </c>
      <c r="M196" s="176" t="s">
        <v>148</v>
      </c>
      <c r="N196" s="176" t="s">
        <v>149</v>
      </c>
      <c r="O196" s="176" t="s">
        <v>150</v>
      </c>
      <c r="P196" s="176" t="s">
        <v>151</v>
      </c>
      <c r="Q196" s="176"/>
      <c r="R196" s="176" t="s">
        <v>4240</v>
      </c>
      <c r="S196" s="176"/>
      <c r="T196" s="176" t="s">
        <v>2801</v>
      </c>
      <c r="U196" s="176" t="s">
        <v>152</v>
      </c>
      <c r="V196" s="176" t="s">
        <v>23</v>
      </c>
    </row>
    <row r="197" spans="1:22" ht="12.75" customHeight="1">
      <c r="A197" s="65"/>
      <c r="B197" s="211">
        <v>46207</v>
      </c>
      <c r="C197" s="211">
        <v>46207</v>
      </c>
      <c r="D197" s="176" t="s">
        <v>4241</v>
      </c>
      <c r="E197" s="176" t="s">
        <v>4242</v>
      </c>
      <c r="F197" s="176" t="s">
        <v>87</v>
      </c>
      <c r="G197" s="176" t="s">
        <v>2486</v>
      </c>
      <c r="H197" s="176">
        <v>40</v>
      </c>
      <c r="I197" s="176">
        <v>22.4</v>
      </c>
      <c r="J197" s="176">
        <v>22.4</v>
      </c>
      <c r="K197" s="176">
        <v>5</v>
      </c>
      <c r="L197" s="176">
        <v>0</v>
      </c>
      <c r="M197" s="176" t="s">
        <v>148</v>
      </c>
      <c r="N197" s="176" t="s">
        <v>149</v>
      </c>
      <c r="O197" s="176" t="s">
        <v>150</v>
      </c>
      <c r="P197" s="176" t="s">
        <v>151</v>
      </c>
      <c r="Q197" s="176"/>
      <c r="R197" s="176" t="s">
        <v>4242</v>
      </c>
      <c r="S197" s="176"/>
      <c r="T197" s="176" t="s">
        <v>2801</v>
      </c>
      <c r="U197" s="176" t="s">
        <v>152</v>
      </c>
      <c r="V197" s="176" t="s">
        <v>23</v>
      </c>
    </row>
    <row r="198" spans="1:22" ht="12.75" customHeight="1">
      <c r="A198" s="65"/>
      <c r="B198" s="211">
        <v>46207</v>
      </c>
      <c r="C198" s="211">
        <v>46207</v>
      </c>
      <c r="D198" s="176" t="s">
        <v>4243</v>
      </c>
      <c r="E198" s="176" t="s">
        <v>4244</v>
      </c>
      <c r="F198" s="176" t="s">
        <v>87</v>
      </c>
      <c r="G198" s="176" t="s">
        <v>2553</v>
      </c>
      <c r="H198" s="176">
        <v>30</v>
      </c>
      <c r="I198" s="176">
        <v>31.5</v>
      </c>
      <c r="J198" s="176">
        <v>31.5</v>
      </c>
      <c r="K198" s="176">
        <v>4</v>
      </c>
      <c r="L198" s="176">
        <v>0</v>
      </c>
      <c r="M198" s="176" t="s">
        <v>148</v>
      </c>
      <c r="N198" s="176" t="s">
        <v>149</v>
      </c>
      <c r="O198" s="176" t="s">
        <v>150</v>
      </c>
      <c r="P198" s="176" t="s">
        <v>151</v>
      </c>
      <c r="Q198" s="176"/>
      <c r="R198" s="176" t="s">
        <v>4244</v>
      </c>
      <c r="S198" s="176"/>
      <c r="T198" s="176" t="s">
        <v>2801</v>
      </c>
      <c r="U198" s="176" t="s">
        <v>152</v>
      </c>
      <c r="V198" s="176" t="s">
        <v>23</v>
      </c>
    </row>
    <row r="199" spans="1:22" ht="12.75" customHeight="1">
      <c r="A199" s="65"/>
      <c r="B199" s="211">
        <v>46207</v>
      </c>
      <c r="C199" s="211">
        <v>46207</v>
      </c>
      <c r="D199" s="176" t="s">
        <v>4245</v>
      </c>
      <c r="E199" s="176" t="s">
        <v>4246</v>
      </c>
      <c r="F199" s="176" t="s">
        <v>87</v>
      </c>
      <c r="G199" s="176" t="s">
        <v>2552</v>
      </c>
      <c r="H199" s="176">
        <v>40</v>
      </c>
      <c r="I199" s="176">
        <v>40.799999999999997</v>
      </c>
      <c r="J199" s="176">
        <v>40.799999999999997</v>
      </c>
      <c r="K199" s="176">
        <v>5</v>
      </c>
      <c r="L199" s="176">
        <v>0</v>
      </c>
      <c r="M199" s="176" t="s">
        <v>148</v>
      </c>
      <c r="N199" s="176" t="s">
        <v>149</v>
      </c>
      <c r="O199" s="176" t="s">
        <v>150</v>
      </c>
      <c r="P199" s="176" t="s">
        <v>151</v>
      </c>
      <c r="Q199" s="176"/>
      <c r="R199" s="176" t="s">
        <v>4246</v>
      </c>
      <c r="S199" s="176"/>
      <c r="T199" s="176" t="s">
        <v>2801</v>
      </c>
      <c r="U199" s="176" t="s">
        <v>152</v>
      </c>
      <c r="V199" s="176" t="s">
        <v>23</v>
      </c>
    </row>
    <row r="200" spans="1:22" ht="12.75" customHeight="1">
      <c r="A200" s="65"/>
      <c r="B200" s="211">
        <v>46207</v>
      </c>
      <c r="C200" s="211">
        <v>46207</v>
      </c>
      <c r="D200" s="176" t="s">
        <v>4247</v>
      </c>
      <c r="E200" s="176" t="s">
        <v>4248</v>
      </c>
      <c r="F200" s="176" t="s">
        <v>87</v>
      </c>
      <c r="G200" s="176" t="s">
        <v>3934</v>
      </c>
      <c r="H200" s="176">
        <v>25</v>
      </c>
      <c r="I200" s="176">
        <v>16.5</v>
      </c>
      <c r="J200" s="176">
        <v>16.5</v>
      </c>
      <c r="K200" s="176">
        <v>4</v>
      </c>
      <c r="L200" s="176">
        <v>0</v>
      </c>
      <c r="M200" s="176" t="s">
        <v>148</v>
      </c>
      <c r="N200" s="176" t="s">
        <v>149</v>
      </c>
      <c r="O200" s="176" t="s">
        <v>150</v>
      </c>
      <c r="P200" s="176" t="s">
        <v>151</v>
      </c>
      <c r="Q200" s="176"/>
      <c r="R200" s="176" t="s">
        <v>4248</v>
      </c>
      <c r="S200" s="176"/>
      <c r="T200" s="176" t="s">
        <v>2801</v>
      </c>
      <c r="U200" s="176" t="s">
        <v>152</v>
      </c>
      <c r="V200" s="176" t="s">
        <v>23</v>
      </c>
    </row>
    <row r="201" spans="1:22" ht="12.75" customHeight="1">
      <c r="A201" s="65"/>
      <c r="B201" s="211">
        <v>46207</v>
      </c>
      <c r="C201" s="211">
        <v>46207</v>
      </c>
      <c r="D201" s="176" t="s">
        <v>4249</v>
      </c>
      <c r="E201" s="176" t="s">
        <v>4250</v>
      </c>
      <c r="F201" s="176" t="s">
        <v>87</v>
      </c>
      <c r="G201" s="176" t="s">
        <v>3866</v>
      </c>
      <c r="H201" s="176">
        <v>40</v>
      </c>
      <c r="I201" s="176">
        <v>33.799999999999997</v>
      </c>
      <c r="J201" s="176">
        <v>33.799999999999997</v>
      </c>
      <c r="K201" s="176">
        <v>5</v>
      </c>
      <c r="L201" s="176">
        <v>0</v>
      </c>
      <c r="M201" s="176" t="s">
        <v>148</v>
      </c>
      <c r="N201" s="176" t="s">
        <v>149</v>
      </c>
      <c r="O201" s="176" t="s">
        <v>150</v>
      </c>
      <c r="P201" s="176" t="s">
        <v>151</v>
      </c>
      <c r="Q201" s="176"/>
      <c r="R201" s="176" t="s">
        <v>4250</v>
      </c>
      <c r="S201" s="176"/>
      <c r="T201" s="176" t="s">
        <v>2801</v>
      </c>
      <c r="U201" s="176" t="s">
        <v>152</v>
      </c>
      <c r="V201" s="176" t="s">
        <v>23</v>
      </c>
    </row>
    <row r="202" spans="1:22" ht="12.75" customHeight="1">
      <c r="A202" s="65"/>
      <c r="B202" s="211">
        <v>46207</v>
      </c>
      <c r="C202" s="211">
        <v>46207</v>
      </c>
      <c r="D202" s="176" t="s">
        <v>4251</v>
      </c>
      <c r="E202" s="176" t="s">
        <v>4252</v>
      </c>
      <c r="F202" s="176" t="s">
        <v>87</v>
      </c>
      <c r="G202" s="176" t="s">
        <v>3934</v>
      </c>
      <c r="H202" s="176">
        <v>25</v>
      </c>
      <c r="I202" s="176">
        <v>31.3</v>
      </c>
      <c r="J202" s="176">
        <v>31.3</v>
      </c>
      <c r="K202" s="176">
        <v>4</v>
      </c>
      <c r="L202" s="176">
        <v>0</v>
      </c>
      <c r="M202" s="176" t="s">
        <v>148</v>
      </c>
      <c r="N202" s="176" t="s">
        <v>149</v>
      </c>
      <c r="O202" s="176" t="s">
        <v>150</v>
      </c>
      <c r="P202" s="176" t="s">
        <v>151</v>
      </c>
      <c r="Q202" s="176"/>
      <c r="R202" s="176" t="s">
        <v>4252</v>
      </c>
      <c r="S202" s="176"/>
      <c r="T202" s="176" t="s">
        <v>2801</v>
      </c>
      <c r="U202" s="176" t="s">
        <v>152</v>
      </c>
      <c r="V202" s="176" t="s">
        <v>23</v>
      </c>
    </row>
    <row r="203" spans="1:22" ht="12.75" customHeight="1">
      <c r="A203" s="65"/>
      <c r="B203" s="211">
        <v>46207</v>
      </c>
      <c r="C203" s="211">
        <v>46207</v>
      </c>
      <c r="D203" s="176" t="s">
        <v>4253</v>
      </c>
      <c r="E203" s="176" t="s">
        <v>4254</v>
      </c>
      <c r="F203" s="176" t="s">
        <v>87</v>
      </c>
      <c r="G203" s="176" t="s">
        <v>2486</v>
      </c>
      <c r="H203" s="176">
        <v>40</v>
      </c>
      <c r="I203" s="176">
        <v>34.299999999999997</v>
      </c>
      <c r="J203" s="176">
        <v>34.299999999999997</v>
      </c>
      <c r="K203" s="176">
        <v>5</v>
      </c>
      <c r="L203" s="176">
        <v>0</v>
      </c>
      <c r="M203" s="176" t="s">
        <v>148</v>
      </c>
      <c r="N203" s="176" t="s">
        <v>149</v>
      </c>
      <c r="O203" s="176" t="s">
        <v>150</v>
      </c>
      <c r="P203" s="176" t="s">
        <v>151</v>
      </c>
      <c r="Q203" s="176"/>
      <c r="R203" s="176" t="s">
        <v>4254</v>
      </c>
      <c r="S203" s="176"/>
      <c r="T203" s="176" t="s">
        <v>2801</v>
      </c>
      <c r="U203" s="176" t="s">
        <v>152</v>
      </c>
      <c r="V203" s="176" t="s">
        <v>23</v>
      </c>
    </row>
    <row r="204" spans="1:22" ht="12.75" customHeight="1">
      <c r="A204" s="65"/>
      <c r="B204" s="211">
        <v>46207</v>
      </c>
      <c r="C204" s="211">
        <v>46207</v>
      </c>
      <c r="D204" s="176" t="s">
        <v>4255</v>
      </c>
      <c r="E204" s="176" t="s">
        <v>4256</v>
      </c>
      <c r="F204" s="176" t="s">
        <v>87</v>
      </c>
      <c r="G204" s="176" t="s">
        <v>3866</v>
      </c>
      <c r="H204" s="176">
        <v>40</v>
      </c>
      <c r="I204" s="176">
        <v>34.799999999999997</v>
      </c>
      <c r="J204" s="176">
        <v>34.799999999999997</v>
      </c>
      <c r="K204" s="176">
        <v>5</v>
      </c>
      <c r="L204" s="176">
        <v>0</v>
      </c>
      <c r="M204" s="176" t="s">
        <v>148</v>
      </c>
      <c r="N204" s="176" t="s">
        <v>149</v>
      </c>
      <c r="O204" s="176" t="s">
        <v>150</v>
      </c>
      <c r="P204" s="176" t="s">
        <v>151</v>
      </c>
      <c r="Q204" s="176"/>
      <c r="R204" s="176" t="s">
        <v>4256</v>
      </c>
      <c r="S204" s="176"/>
      <c r="T204" s="176" t="s">
        <v>2801</v>
      </c>
      <c r="U204" s="176" t="s">
        <v>152</v>
      </c>
      <c r="V204" s="176" t="s">
        <v>23</v>
      </c>
    </row>
    <row r="205" spans="1:22" ht="12.75" customHeight="1">
      <c r="A205" s="65"/>
      <c r="B205" s="211">
        <v>46207</v>
      </c>
      <c r="C205" s="211">
        <v>46207</v>
      </c>
      <c r="D205" s="176" t="s">
        <v>4257</v>
      </c>
      <c r="E205" s="176" t="s">
        <v>4258</v>
      </c>
      <c r="F205" s="176" t="s">
        <v>87</v>
      </c>
      <c r="G205" s="176" t="s">
        <v>2001</v>
      </c>
      <c r="H205" s="176">
        <v>6</v>
      </c>
      <c r="I205" s="176">
        <v>20.399999999999999</v>
      </c>
      <c r="J205" s="176">
        <v>20.399999999999999</v>
      </c>
      <c r="K205" s="176">
        <v>1.5</v>
      </c>
      <c r="L205" s="176">
        <v>0</v>
      </c>
      <c r="M205" s="176" t="s">
        <v>148</v>
      </c>
      <c r="N205" s="176" t="s">
        <v>149</v>
      </c>
      <c r="O205" s="176" t="s">
        <v>150</v>
      </c>
      <c r="P205" s="176" t="s">
        <v>151</v>
      </c>
      <c r="Q205" s="176"/>
      <c r="R205" s="176" t="s">
        <v>4258</v>
      </c>
      <c r="S205" s="176"/>
      <c r="T205" s="176" t="s">
        <v>2801</v>
      </c>
      <c r="U205" s="176" t="s">
        <v>152</v>
      </c>
      <c r="V205" s="176" t="s">
        <v>23</v>
      </c>
    </row>
    <row r="206" spans="1:22" ht="12.75" customHeight="1">
      <c r="A206" s="65"/>
      <c r="B206" s="211">
        <v>46207</v>
      </c>
      <c r="C206" s="211">
        <v>46207</v>
      </c>
      <c r="D206" s="176" t="s">
        <v>4259</v>
      </c>
      <c r="E206" s="176" t="s">
        <v>4260</v>
      </c>
      <c r="F206" s="176" t="s">
        <v>87</v>
      </c>
      <c r="G206" s="176" t="s">
        <v>2552</v>
      </c>
      <c r="H206" s="176">
        <v>40</v>
      </c>
      <c r="I206" s="176">
        <v>29.4</v>
      </c>
      <c r="J206" s="176">
        <v>29.4</v>
      </c>
      <c r="K206" s="176">
        <v>5</v>
      </c>
      <c r="L206" s="176">
        <v>0</v>
      </c>
      <c r="M206" s="176" t="s">
        <v>148</v>
      </c>
      <c r="N206" s="176" t="s">
        <v>149</v>
      </c>
      <c r="O206" s="176" t="s">
        <v>150</v>
      </c>
      <c r="P206" s="176" t="s">
        <v>151</v>
      </c>
      <c r="Q206" s="176"/>
      <c r="R206" s="176" t="s">
        <v>4260</v>
      </c>
      <c r="S206" s="176"/>
      <c r="T206" s="176" t="s">
        <v>2801</v>
      </c>
      <c r="U206" s="176" t="s">
        <v>152</v>
      </c>
      <c r="V206" s="176" t="s">
        <v>23</v>
      </c>
    </row>
    <row r="207" spans="1:22" ht="12.75" customHeight="1">
      <c r="A207" s="65"/>
      <c r="B207" s="211">
        <v>46207</v>
      </c>
      <c r="C207" s="211">
        <v>46207</v>
      </c>
      <c r="D207" s="176" t="s">
        <v>4261</v>
      </c>
      <c r="E207" s="176" t="s">
        <v>4262</v>
      </c>
      <c r="F207" s="176" t="s">
        <v>87</v>
      </c>
      <c r="G207" s="176" t="s">
        <v>2639</v>
      </c>
      <c r="H207" s="176">
        <v>25</v>
      </c>
      <c r="I207" s="176">
        <v>31.5</v>
      </c>
      <c r="J207" s="176">
        <v>31.5</v>
      </c>
      <c r="K207" s="176">
        <v>4</v>
      </c>
      <c r="L207" s="176">
        <v>0</v>
      </c>
      <c r="M207" s="176" t="s">
        <v>148</v>
      </c>
      <c r="N207" s="176" t="s">
        <v>149</v>
      </c>
      <c r="O207" s="176" t="s">
        <v>150</v>
      </c>
      <c r="P207" s="176" t="s">
        <v>151</v>
      </c>
      <c r="Q207" s="176"/>
      <c r="R207" s="176" t="s">
        <v>4262</v>
      </c>
      <c r="S207" s="176"/>
      <c r="T207" s="176" t="s">
        <v>2801</v>
      </c>
      <c r="U207" s="176" t="s">
        <v>152</v>
      </c>
      <c r="V207" s="176" t="s">
        <v>23</v>
      </c>
    </row>
    <row r="208" spans="1:22" ht="12.75" customHeight="1">
      <c r="A208" s="65"/>
      <c r="B208" s="211">
        <v>46207</v>
      </c>
      <c r="C208" s="211">
        <v>46207</v>
      </c>
      <c r="D208" s="176" t="s">
        <v>4263</v>
      </c>
      <c r="E208" s="176" t="s">
        <v>4264</v>
      </c>
      <c r="F208" s="176" t="s">
        <v>87</v>
      </c>
      <c r="G208" s="176" t="s">
        <v>3934</v>
      </c>
      <c r="H208" s="176">
        <v>25</v>
      </c>
      <c r="I208" s="176">
        <v>38.4</v>
      </c>
      <c r="J208" s="176">
        <v>38.4</v>
      </c>
      <c r="K208" s="176">
        <v>4</v>
      </c>
      <c r="L208" s="176">
        <v>0</v>
      </c>
      <c r="M208" s="176" t="s">
        <v>148</v>
      </c>
      <c r="N208" s="176" t="s">
        <v>149</v>
      </c>
      <c r="O208" s="176" t="s">
        <v>150</v>
      </c>
      <c r="P208" s="176" t="s">
        <v>151</v>
      </c>
      <c r="Q208" s="176"/>
      <c r="R208" s="176" t="s">
        <v>4264</v>
      </c>
      <c r="S208" s="176"/>
      <c r="T208" s="176" t="s">
        <v>2801</v>
      </c>
      <c r="U208" s="176" t="s">
        <v>152</v>
      </c>
      <c r="V208" s="176" t="s">
        <v>23</v>
      </c>
    </row>
    <row r="209" spans="1:22" ht="12.75" customHeight="1">
      <c r="A209" s="65"/>
      <c r="B209" s="211">
        <v>46207</v>
      </c>
      <c r="C209" s="211">
        <v>46207</v>
      </c>
      <c r="D209" s="176" t="s">
        <v>4265</v>
      </c>
      <c r="E209" s="176" t="s">
        <v>4266</v>
      </c>
      <c r="F209" s="176" t="s">
        <v>87</v>
      </c>
      <c r="G209" s="176" t="s">
        <v>3873</v>
      </c>
      <c r="H209" s="176">
        <v>35</v>
      </c>
      <c r="I209" s="176">
        <v>33.799999999999997</v>
      </c>
      <c r="J209" s="176">
        <v>33.799999999999997</v>
      </c>
      <c r="K209" s="176">
        <v>4</v>
      </c>
      <c r="L209" s="176">
        <v>0</v>
      </c>
      <c r="M209" s="176" t="s">
        <v>148</v>
      </c>
      <c r="N209" s="176" t="s">
        <v>149</v>
      </c>
      <c r="O209" s="176" t="s">
        <v>150</v>
      </c>
      <c r="P209" s="176" t="s">
        <v>151</v>
      </c>
      <c r="Q209" s="176"/>
      <c r="R209" s="176" t="s">
        <v>4266</v>
      </c>
      <c r="S209" s="176"/>
      <c r="T209" s="176" t="s">
        <v>2801</v>
      </c>
      <c r="U209" s="176" t="s">
        <v>152</v>
      </c>
      <c r="V209" s="176" t="s">
        <v>23</v>
      </c>
    </row>
    <row r="210" spans="1:22" ht="12.75" customHeight="1">
      <c r="A210" s="65"/>
      <c r="B210" s="211">
        <v>46207</v>
      </c>
      <c r="C210" s="211">
        <v>46207</v>
      </c>
      <c r="D210" s="176" t="s">
        <v>4267</v>
      </c>
      <c r="E210" s="176" t="s">
        <v>4268</v>
      </c>
      <c r="F210" s="176" t="s">
        <v>87</v>
      </c>
      <c r="G210" s="176" t="s">
        <v>2633</v>
      </c>
      <c r="H210" s="176">
        <v>40</v>
      </c>
      <c r="I210" s="176">
        <v>28.1</v>
      </c>
      <c r="J210" s="176">
        <v>28.1</v>
      </c>
      <c r="K210" s="176">
        <v>5</v>
      </c>
      <c r="L210" s="176">
        <v>0</v>
      </c>
      <c r="M210" s="176" t="s">
        <v>148</v>
      </c>
      <c r="N210" s="176" t="s">
        <v>149</v>
      </c>
      <c r="O210" s="176" t="s">
        <v>150</v>
      </c>
      <c r="P210" s="176" t="s">
        <v>151</v>
      </c>
      <c r="Q210" s="176"/>
      <c r="R210" s="176" t="s">
        <v>4268</v>
      </c>
      <c r="S210" s="176"/>
      <c r="T210" s="176" t="s">
        <v>2801</v>
      </c>
      <c r="U210" s="176" t="s">
        <v>152</v>
      </c>
      <c r="V210" s="176" t="s">
        <v>23</v>
      </c>
    </row>
    <row r="211" spans="1:22" ht="12.75" customHeight="1">
      <c r="A211" s="65"/>
      <c r="B211" s="211">
        <v>46207</v>
      </c>
      <c r="C211" s="211">
        <v>46207</v>
      </c>
      <c r="D211" s="176" t="s">
        <v>4269</v>
      </c>
      <c r="E211" s="176" t="s">
        <v>4270</v>
      </c>
      <c r="F211" s="176" t="s">
        <v>87</v>
      </c>
      <c r="G211" s="176" t="s">
        <v>3866</v>
      </c>
      <c r="H211" s="176">
        <v>40</v>
      </c>
      <c r="I211" s="176">
        <v>16.2</v>
      </c>
      <c r="J211" s="176">
        <v>16.2</v>
      </c>
      <c r="K211" s="176">
        <v>5</v>
      </c>
      <c r="L211" s="176">
        <v>0</v>
      </c>
      <c r="M211" s="176" t="s">
        <v>148</v>
      </c>
      <c r="N211" s="176" t="s">
        <v>149</v>
      </c>
      <c r="O211" s="176" t="s">
        <v>150</v>
      </c>
      <c r="P211" s="176" t="s">
        <v>151</v>
      </c>
      <c r="Q211" s="176"/>
      <c r="R211" s="176" t="s">
        <v>4270</v>
      </c>
      <c r="S211" s="176"/>
      <c r="T211" s="176" t="s">
        <v>2801</v>
      </c>
      <c r="U211" s="176" t="s">
        <v>152</v>
      </c>
      <c r="V211" s="176" t="s">
        <v>23</v>
      </c>
    </row>
    <row r="212" spans="1:22" ht="12.75" customHeight="1">
      <c r="A212" s="65"/>
      <c r="B212" s="211">
        <v>46207</v>
      </c>
      <c r="C212" s="211">
        <v>46207</v>
      </c>
      <c r="D212" s="176" t="s">
        <v>4271</v>
      </c>
      <c r="E212" s="176" t="s">
        <v>4272</v>
      </c>
      <c r="F212" s="176" t="s">
        <v>87</v>
      </c>
      <c r="G212" s="176" t="s">
        <v>3934</v>
      </c>
      <c r="H212" s="176">
        <v>25</v>
      </c>
      <c r="I212" s="176">
        <v>17.3</v>
      </c>
      <c r="J212" s="176">
        <v>17.3</v>
      </c>
      <c r="K212" s="176">
        <v>4</v>
      </c>
      <c r="L212" s="176">
        <v>0</v>
      </c>
      <c r="M212" s="176" t="s">
        <v>148</v>
      </c>
      <c r="N212" s="176" t="s">
        <v>149</v>
      </c>
      <c r="O212" s="176" t="s">
        <v>150</v>
      </c>
      <c r="P212" s="176" t="s">
        <v>151</v>
      </c>
      <c r="Q212" s="176"/>
      <c r="R212" s="176" t="s">
        <v>4272</v>
      </c>
      <c r="S212" s="176"/>
      <c r="T212" s="176" t="s">
        <v>2801</v>
      </c>
      <c r="U212" s="176" t="s">
        <v>152</v>
      </c>
      <c r="V212" s="176" t="s">
        <v>23</v>
      </c>
    </row>
    <row r="213" spans="1:22" ht="12.75" customHeight="1">
      <c r="A213" s="65"/>
      <c r="B213" s="211">
        <v>46207</v>
      </c>
      <c r="C213" s="211">
        <v>46207</v>
      </c>
      <c r="D213" s="176" t="s">
        <v>4273</v>
      </c>
      <c r="E213" s="176" t="s">
        <v>4274</v>
      </c>
      <c r="F213" s="176" t="s">
        <v>87</v>
      </c>
      <c r="G213" s="176" t="s">
        <v>3934</v>
      </c>
      <c r="H213" s="176">
        <v>25</v>
      </c>
      <c r="I213" s="176">
        <v>39.799999999999997</v>
      </c>
      <c r="J213" s="176">
        <v>39.799999999999997</v>
      </c>
      <c r="K213" s="176">
        <v>4</v>
      </c>
      <c r="L213" s="176">
        <v>0</v>
      </c>
      <c r="M213" s="176" t="s">
        <v>148</v>
      </c>
      <c r="N213" s="176" t="s">
        <v>149</v>
      </c>
      <c r="O213" s="176" t="s">
        <v>150</v>
      </c>
      <c r="P213" s="176" t="s">
        <v>151</v>
      </c>
      <c r="Q213" s="176"/>
      <c r="R213" s="176" t="s">
        <v>4274</v>
      </c>
      <c r="S213" s="176"/>
      <c r="T213" s="176" t="s">
        <v>2801</v>
      </c>
      <c r="U213" s="176" t="s">
        <v>152</v>
      </c>
      <c r="V213" s="176" t="s">
        <v>23</v>
      </c>
    </row>
    <row r="214" spans="1:22" ht="12.75" customHeight="1">
      <c r="A214" s="65"/>
      <c r="B214" s="211">
        <v>46208</v>
      </c>
      <c r="C214" s="211">
        <v>46208</v>
      </c>
      <c r="D214" s="176" t="s">
        <v>4275</v>
      </c>
      <c r="E214" s="176" t="s">
        <v>4276</v>
      </c>
      <c r="F214" s="176" t="s">
        <v>87</v>
      </c>
      <c r="G214" s="176" t="s">
        <v>2639</v>
      </c>
      <c r="H214" s="176">
        <v>25</v>
      </c>
      <c r="I214" s="176">
        <v>24.1</v>
      </c>
      <c r="J214" s="176">
        <v>24.1</v>
      </c>
      <c r="K214" s="176">
        <v>4</v>
      </c>
      <c r="L214" s="176">
        <v>0</v>
      </c>
      <c r="M214" s="176" t="s">
        <v>148</v>
      </c>
      <c r="N214" s="176" t="s">
        <v>149</v>
      </c>
      <c r="O214" s="176" t="s">
        <v>150</v>
      </c>
      <c r="P214" s="176" t="s">
        <v>151</v>
      </c>
      <c r="Q214" s="176"/>
      <c r="R214" s="176" t="s">
        <v>4276</v>
      </c>
      <c r="S214" s="176"/>
      <c r="T214" s="176" t="s">
        <v>2819</v>
      </c>
      <c r="U214" s="176" t="s">
        <v>152</v>
      </c>
      <c r="V214" s="176" t="s">
        <v>23</v>
      </c>
    </row>
    <row r="215" spans="1:22" ht="12.75" customHeight="1">
      <c r="A215" s="65"/>
      <c r="B215" s="211">
        <v>46208</v>
      </c>
      <c r="C215" s="211">
        <v>46208</v>
      </c>
      <c r="D215" s="176" t="s">
        <v>4277</v>
      </c>
      <c r="E215" s="176" t="s">
        <v>4278</v>
      </c>
      <c r="F215" s="176" t="s">
        <v>87</v>
      </c>
      <c r="G215" s="176" t="s">
        <v>2639</v>
      </c>
      <c r="H215" s="176">
        <v>25</v>
      </c>
      <c r="I215" s="176">
        <v>28.4</v>
      </c>
      <c r="J215" s="176">
        <v>28.4</v>
      </c>
      <c r="K215" s="176">
        <v>4</v>
      </c>
      <c r="L215" s="176">
        <v>0</v>
      </c>
      <c r="M215" s="176" t="s">
        <v>148</v>
      </c>
      <c r="N215" s="176" t="s">
        <v>149</v>
      </c>
      <c r="O215" s="176" t="s">
        <v>150</v>
      </c>
      <c r="P215" s="176" t="s">
        <v>151</v>
      </c>
      <c r="Q215" s="176"/>
      <c r="R215" s="176" t="s">
        <v>4278</v>
      </c>
      <c r="S215" s="176"/>
      <c r="T215" s="176" t="s">
        <v>2819</v>
      </c>
      <c r="U215" s="176" t="s">
        <v>152</v>
      </c>
      <c r="V215" s="176" t="s">
        <v>23</v>
      </c>
    </row>
    <row r="216" spans="1:22" ht="12.75">
      <c r="A216" s="65"/>
      <c r="B216" s="211">
        <v>46208</v>
      </c>
      <c r="C216" s="211">
        <v>46208</v>
      </c>
      <c r="D216" s="176" t="s">
        <v>4279</v>
      </c>
      <c r="E216" s="176" t="s">
        <v>4280</v>
      </c>
      <c r="F216" s="176" t="s">
        <v>87</v>
      </c>
      <c r="G216" s="176" t="s">
        <v>2639</v>
      </c>
      <c r="H216" s="176">
        <v>25</v>
      </c>
      <c r="I216" s="176">
        <v>28.8</v>
      </c>
      <c r="J216" s="176">
        <v>28.8</v>
      </c>
      <c r="K216" s="176">
        <v>4</v>
      </c>
      <c r="L216" s="176">
        <v>0</v>
      </c>
      <c r="M216" s="176" t="s">
        <v>148</v>
      </c>
      <c r="N216" s="176" t="s">
        <v>149</v>
      </c>
      <c r="O216" s="176" t="s">
        <v>150</v>
      </c>
      <c r="P216" s="176" t="s">
        <v>151</v>
      </c>
      <c r="Q216" s="176"/>
      <c r="R216" s="176" t="s">
        <v>4280</v>
      </c>
      <c r="S216" s="176"/>
      <c r="T216" s="176" t="s">
        <v>2819</v>
      </c>
      <c r="U216" s="176" t="s">
        <v>152</v>
      </c>
      <c r="V216" s="176" t="s">
        <v>23</v>
      </c>
    </row>
    <row r="217" spans="1:22" ht="12.75">
      <c r="A217" s="65"/>
      <c r="B217" s="211">
        <v>46208</v>
      </c>
      <c r="C217" s="211">
        <v>46208</v>
      </c>
      <c r="D217" s="176" t="s">
        <v>4281</v>
      </c>
      <c r="E217" s="176" t="s">
        <v>4282</v>
      </c>
      <c r="F217" s="176" t="s">
        <v>87</v>
      </c>
      <c r="G217" s="176" t="s">
        <v>2552</v>
      </c>
      <c r="H217" s="176">
        <v>40</v>
      </c>
      <c r="I217" s="176">
        <v>35.799999999999997</v>
      </c>
      <c r="J217" s="176">
        <v>35.799999999999997</v>
      </c>
      <c r="K217" s="176">
        <v>5</v>
      </c>
      <c r="L217" s="176">
        <v>0</v>
      </c>
      <c r="M217" s="176" t="s">
        <v>148</v>
      </c>
      <c r="N217" s="176" t="s">
        <v>149</v>
      </c>
      <c r="O217" s="176" t="s">
        <v>150</v>
      </c>
      <c r="P217" s="176" t="s">
        <v>151</v>
      </c>
      <c r="Q217" s="176"/>
      <c r="R217" s="176" t="s">
        <v>4282</v>
      </c>
      <c r="S217" s="176"/>
      <c r="T217" s="176" t="s">
        <v>2819</v>
      </c>
      <c r="U217" s="176" t="s">
        <v>152</v>
      </c>
      <c r="V217" s="176" t="s">
        <v>23</v>
      </c>
    </row>
    <row r="218" spans="1:22" customFormat="1" ht="15">
      <c r="A218" s="65"/>
      <c r="B218" s="211">
        <v>46208</v>
      </c>
      <c r="C218" s="211">
        <v>46208</v>
      </c>
      <c r="D218" s="176" t="s">
        <v>4283</v>
      </c>
      <c r="E218" s="176" t="s">
        <v>4284</v>
      </c>
      <c r="F218" s="176" t="s">
        <v>87</v>
      </c>
      <c r="G218" s="176" t="s">
        <v>2633</v>
      </c>
      <c r="H218" s="176">
        <v>40</v>
      </c>
      <c r="I218" s="176">
        <v>35.799999999999997</v>
      </c>
      <c r="J218" s="176">
        <v>35.799999999999997</v>
      </c>
      <c r="K218" s="176">
        <v>5</v>
      </c>
      <c r="L218" s="176">
        <v>0</v>
      </c>
      <c r="M218" s="176" t="s">
        <v>148</v>
      </c>
      <c r="N218" s="176" t="s">
        <v>149</v>
      </c>
      <c r="O218" s="176" t="s">
        <v>150</v>
      </c>
      <c r="P218" s="176" t="s">
        <v>151</v>
      </c>
      <c r="Q218" s="176"/>
      <c r="R218" s="176" t="s">
        <v>4284</v>
      </c>
      <c r="S218" s="176"/>
      <c r="T218" s="176" t="s">
        <v>2819</v>
      </c>
      <c r="U218" s="176" t="s">
        <v>152</v>
      </c>
      <c r="V218" s="176" t="s">
        <v>23</v>
      </c>
    </row>
    <row r="219" spans="1:22" customFormat="1" ht="15">
      <c r="A219" s="65"/>
      <c r="B219" s="211">
        <v>46208</v>
      </c>
      <c r="C219" s="211">
        <v>46208</v>
      </c>
      <c r="D219" s="176" t="s">
        <v>4285</v>
      </c>
      <c r="E219" s="176" t="s">
        <v>4286</v>
      </c>
      <c r="F219" s="176" t="s">
        <v>87</v>
      </c>
      <c r="G219" s="176" t="s">
        <v>2001</v>
      </c>
      <c r="H219" s="176">
        <v>6</v>
      </c>
      <c r="I219" s="176">
        <v>11.5</v>
      </c>
      <c r="J219" s="176">
        <v>11.5</v>
      </c>
      <c r="K219" s="176">
        <v>1.5</v>
      </c>
      <c r="L219" s="176">
        <v>0</v>
      </c>
      <c r="M219" s="176" t="s">
        <v>148</v>
      </c>
      <c r="N219" s="176" t="s">
        <v>149</v>
      </c>
      <c r="O219" s="176" t="s">
        <v>150</v>
      </c>
      <c r="P219" s="176" t="s">
        <v>151</v>
      </c>
      <c r="Q219" s="176"/>
      <c r="R219" s="176" t="s">
        <v>4286</v>
      </c>
      <c r="S219" s="176"/>
      <c r="T219" s="176" t="s">
        <v>2819</v>
      </c>
      <c r="U219" s="176" t="s">
        <v>152</v>
      </c>
      <c r="V219" s="176" t="s">
        <v>23</v>
      </c>
    </row>
    <row r="220" spans="1:22" customFormat="1" ht="15">
      <c r="A220" s="65"/>
      <c r="B220" s="211">
        <v>46208</v>
      </c>
      <c r="C220" s="211">
        <v>46208</v>
      </c>
      <c r="D220" s="176" t="s">
        <v>4287</v>
      </c>
      <c r="E220" s="176" t="s">
        <v>4288</v>
      </c>
      <c r="F220" s="176" t="s">
        <v>87</v>
      </c>
      <c r="G220" s="176" t="s">
        <v>2001</v>
      </c>
      <c r="H220" s="176">
        <v>6</v>
      </c>
      <c r="I220" s="176">
        <v>29.8</v>
      </c>
      <c r="J220" s="176">
        <v>29.8</v>
      </c>
      <c r="K220" s="176">
        <v>1.5</v>
      </c>
      <c r="L220" s="176">
        <v>0</v>
      </c>
      <c r="M220" s="176" t="s">
        <v>148</v>
      </c>
      <c r="N220" s="176" t="s">
        <v>149</v>
      </c>
      <c r="O220" s="176" t="s">
        <v>150</v>
      </c>
      <c r="P220" s="176" t="s">
        <v>151</v>
      </c>
      <c r="Q220" s="176"/>
      <c r="R220" s="176" t="s">
        <v>4288</v>
      </c>
      <c r="S220" s="176"/>
      <c r="T220" s="176" t="s">
        <v>2819</v>
      </c>
      <c r="U220" s="176" t="s">
        <v>152</v>
      </c>
      <c r="V220" s="176" t="s">
        <v>23</v>
      </c>
    </row>
    <row r="221" spans="1:22" customFormat="1" ht="15">
      <c r="A221" s="65"/>
      <c r="B221" s="211">
        <v>46208</v>
      </c>
      <c r="C221" s="211">
        <v>46208</v>
      </c>
      <c r="D221" s="176" t="s">
        <v>4289</v>
      </c>
      <c r="E221" s="176" t="s">
        <v>4290</v>
      </c>
      <c r="F221" s="176" t="s">
        <v>87</v>
      </c>
      <c r="G221" s="176" t="s">
        <v>2639</v>
      </c>
      <c r="H221" s="176">
        <v>25</v>
      </c>
      <c r="I221" s="176">
        <v>44.2</v>
      </c>
      <c r="J221" s="176">
        <v>44.2</v>
      </c>
      <c r="K221" s="176">
        <v>4</v>
      </c>
      <c r="L221" s="176">
        <v>0</v>
      </c>
      <c r="M221" s="176" t="s">
        <v>148</v>
      </c>
      <c r="N221" s="176" t="s">
        <v>149</v>
      </c>
      <c r="O221" s="176" t="s">
        <v>150</v>
      </c>
      <c r="P221" s="176" t="s">
        <v>151</v>
      </c>
      <c r="Q221" s="176"/>
      <c r="R221" s="176" t="s">
        <v>4290</v>
      </c>
      <c r="S221" s="176"/>
      <c r="T221" s="176" t="s">
        <v>2819</v>
      </c>
      <c r="U221" s="176" t="s">
        <v>152</v>
      </c>
      <c r="V221" s="176" t="s">
        <v>23</v>
      </c>
    </row>
    <row r="222" spans="1:22" customFormat="1" ht="15">
      <c r="A222" s="65"/>
      <c r="B222" s="211">
        <v>46208</v>
      </c>
      <c r="C222" s="211">
        <v>46208</v>
      </c>
      <c r="D222" s="176" t="s">
        <v>4291</v>
      </c>
      <c r="E222" s="176" t="s">
        <v>4292</v>
      </c>
      <c r="F222" s="176" t="s">
        <v>87</v>
      </c>
      <c r="G222" s="176" t="s">
        <v>2637</v>
      </c>
      <c r="H222" s="176">
        <v>40</v>
      </c>
      <c r="I222" s="176">
        <v>16.2</v>
      </c>
      <c r="J222" s="176">
        <v>16.2</v>
      </c>
      <c r="K222" s="176">
        <v>7</v>
      </c>
      <c r="L222" s="176">
        <v>0</v>
      </c>
      <c r="M222" s="176" t="s">
        <v>148</v>
      </c>
      <c r="N222" s="176" t="s">
        <v>149</v>
      </c>
      <c r="O222" s="176" t="s">
        <v>150</v>
      </c>
      <c r="P222" s="176" t="s">
        <v>151</v>
      </c>
      <c r="Q222" s="176"/>
      <c r="R222" s="176" t="s">
        <v>4292</v>
      </c>
      <c r="S222" s="176"/>
      <c r="T222" s="176" t="s">
        <v>2819</v>
      </c>
      <c r="U222" s="176" t="s">
        <v>152</v>
      </c>
      <c r="V222" s="176" t="s">
        <v>23</v>
      </c>
    </row>
    <row r="223" spans="1:22" customFormat="1" ht="15">
      <c r="A223" s="65"/>
      <c r="B223" s="211">
        <v>46208</v>
      </c>
      <c r="C223" s="211">
        <v>46208</v>
      </c>
      <c r="D223" s="176" t="s">
        <v>4293</v>
      </c>
      <c r="E223" s="176" t="s">
        <v>4294</v>
      </c>
      <c r="F223" s="176" t="s">
        <v>87</v>
      </c>
      <c r="G223" s="176" t="s">
        <v>4295</v>
      </c>
      <c r="H223" s="176">
        <v>42</v>
      </c>
      <c r="I223" s="176">
        <v>42</v>
      </c>
      <c r="J223" s="176">
        <v>42</v>
      </c>
      <c r="K223" s="176">
        <v>5</v>
      </c>
      <c r="L223" s="176">
        <v>0</v>
      </c>
      <c r="M223" s="176" t="s">
        <v>148</v>
      </c>
      <c r="N223" s="176" t="s">
        <v>149</v>
      </c>
      <c r="O223" s="176" t="s">
        <v>150</v>
      </c>
      <c r="P223" s="176" t="s">
        <v>151</v>
      </c>
      <c r="Q223" s="176"/>
      <c r="R223" s="176" t="s">
        <v>4294</v>
      </c>
      <c r="S223" s="176"/>
      <c r="T223" s="176" t="s">
        <v>2819</v>
      </c>
      <c r="U223" s="176" t="s">
        <v>152</v>
      </c>
      <c r="V223" s="176" t="s">
        <v>23</v>
      </c>
    </row>
    <row r="224" spans="1:22" customFormat="1" ht="15">
      <c r="A224" s="65"/>
      <c r="B224" s="211">
        <v>46208</v>
      </c>
      <c r="C224" s="211">
        <v>46208</v>
      </c>
      <c r="D224" s="176" t="s">
        <v>4296</v>
      </c>
      <c r="E224" s="176" t="s">
        <v>4297</v>
      </c>
      <c r="F224" s="176" t="s">
        <v>87</v>
      </c>
      <c r="G224" s="176" t="s">
        <v>4295</v>
      </c>
      <c r="H224" s="176">
        <v>42</v>
      </c>
      <c r="I224" s="176">
        <v>20.8</v>
      </c>
      <c r="J224" s="176">
        <v>20.8</v>
      </c>
      <c r="K224" s="176">
        <v>5</v>
      </c>
      <c r="L224" s="176">
        <v>0</v>
      </c>
      <c r="M224" s="176" t="s">
        <v>148</v>
      </c>
      <c r="N224" s="176" t="s">
        <v>149</v>
      </c>
      <c r="O224" s="176" t="s">
        <v>150</v>
      </c>
      <c r="P224" s="176" t="s">
        <v>151</v>
      </c>
      <c r="Q224" s="176"/>
      <c r="R224" s="176" t="s">
        <v>4297</v>
      </c>
      <c r="S224" s="176"/>
      <c r="T224" s="176" t="s">
        <v>2819</v>
      </c>
      <c r="U224" s="176" t="s">
        <v>152</v>
      </c>
      <c r="V224" s="176" t="s">
        <v>23</v>
      </c>
    </row>
    <row r="225" spans="1:22" customFormat="1" ht="15">
      <c r="A225" s="65"/>
      <c r="B225" s="211">
        <v>46208</v>
      </c>
      <c r="C225" s="211">
        <v>46208</v>
      </c>
      <c r="D225" s="176" t="s">
        <v>4298</v>
      </c>
      <c r="E225" s="176" t="s">
        <v>4299</v>
      </c>
      <c r="F225" s="176" t="s">
        <v>87</v>
      </c>
      <c r="G225" s="176" t="s">
        <v>3873</v>
      </c>
      <c r="H225" s="176">
        <v>35</v>
      </c>
      <c r="I225" s="176">
        <v>27.4</v>
      </c>
      <c r="J225" s="176">
        <v>27.4</v>
      </c>
      <c r="K225" s="176">
        <v>4</v>
      </c>
      <c r="L225" s="176">
        <v>0</v>
      </c>
      <c r="M225" s="176" t="s">
        <v>148</v>
      </c>
      <c r="N225" s="176" t="s">
        <v>149</v>
      </c>
      <c r="O225" s="176" t="s">
        <v>150</v>
      </c>
      <c r="P225" s="176" t="s">
        <v>151</v>
      </c>
      <c r="Q225" s="176"/>
      <c r="R225" s="176" t="s">
        <v>4299</v>
      </c>
      <c r="S225" s="176"/>
      <c r="T225" s="176" t="s">
        <v>2819</v>
      </c>
      <c r="U225" s="176" t="s">
        <v>152</v>
      </c>
      <c r="V225" s="176" t="s">
        <v>23</v>
      </c>
    </row>
    <row r="226" spans="1:22" customFormat="1" ht="15">
      <c r="A226" s="65"/>
      <c r="B226" s="211">
        <v>46208</v>
      </c>
      <c r="C226" s="211">
        <v>46208</v>
      </c>
      <c r="D226" s="176" t="s">
        <v>4300</v>
      </c>
      <c r="E226" s="176" t="s">
        <v>4301</v>
      </c>
      <c r="F226" s="176" t="s">
        <v>87</v>
      </c>
      <c r="G226" s="176" t="s">
        <v>4302</v>
      </c>
      <c r="H226" s="176">
        <v>45</v>
      </c>
      <c r="I226" s="176">
        <v>25.8</v>
      </c>
      <c r="J226" s="176">
        <v>25.8</v>
      </c>
      <c r="K226" s="176">
        <v>5</v>
      </c>
      <c r="L226" s="176">
        <v>0</v>
      </c>
      <c r="M226" s="176" t="s">
        <v>148</v>
      </c>
      <c r="N226" s="176" t="s">
        <v>149</v>
      </c>
      <c r="O226" s="176" t="s">
        <v>150</v>
      </c>
      <c r="P226" s="176" t="s">
        <v>151</v>
      </c>
      <c r="Q226" s="176"/>
      <c r="R226" s="176" t="s">
        <v>4301</v>
      </c>
      <c r="S226" s="176"/>
      <c r="T226" s="176" t="s">
        <v>2819</v>
      </c>
      <c r="U226" s="176" t="s">
        <v>152</v>
      </c>
      <c r="V226" s="176" t="s">
        <v>23</v>
      </c>
    </row>
    <row r="227" spans="1:22" customFormat="1" ht="15">
      <c r="A227" s="65"/>
      <c r="B227" s="211">
        <v>46208</v>
      </c>
      <c r="C227" s="211">
        <v>46208</v>
      </c>
      <c r="D227" s="176" t="s">
        <v>4303</v>
      </c>
      <c r="E227" s="176" t="s">
        <v>4304</v>
      </c>
      <c r="F227" s="176" t="s">
        <v>87</v>
      </c>
      <c r="G227" s="176" t="s">
        <v>2637</v>
      </c>
      <c r="H227" s="176">
        <v>40</v>
      </c>
      <c r="I227" s="176">
        <v>40.1</v>
      </c>
      <c r="J227" s="176">
        <v>40.1</v>
      </c>
      <c r="K227" s="176">
        <v>7</v>
      </c>
      <c r="L227" s="176">
        <v>0</v>
      </c>
      <c r="M227" s="176" t="s">
        <v>148</v>
      </c>
      <c r="N227" s="176" t="s">
        <v>149</v>
      </c>
      <c r="O227" s="176" t="s">
        <v>150</v>
      </c>
      <c r="P227" s="176" t="s">
        <v>151</v>
      </c>
      <c r="Q227" s="176"/>
      <c r="R227" s="176" t="s">
        <v>4304</v>
      </c>
      <c r="S227" s="176"/>
      <c r="T227" s="176" t="s">
        <v>2819</v>
      </c>
      <c r="U227" s="176" t="s">
        <v>152</v>
      </c>
      <c r="V227" s="176" t="s">
        <v>23</v>
      </c>
    </row>
    <row r="228" spans="1:22" customFormat="1" ht="15">
      <c r="A228" s="65"/>
      <c r="B228" s="211">
        <v>46208</v>
      </c>
      <c r="C228" s="211">
        <v>46208</v>
      </c>
      <c r="D228" s="176" t="s">
        <v>4305</v>
      </c>
      <c r="E228" s="176" t="s">
        <v>4306</v>
      </c>
      <c r="F228" s="176" t="s">
        <v>87</v>
      </c>
      <c r="G228" s="176" t="s">
        <v>2553</v>
      </c>
      <c r="H228" s="176">
        <v>30</v>
      </c>
      <c r="I228" s="176">
        <v>42.2</v>
      </c>
      <c r="J228" s="176">
        <v>42.2</v>
      </c>
      <c r="K228" s="176">
        <v>4</v>
      </c>
      <c r="L228" s="176">
        <v>0</v>
      </c>
      <c r="M228" s="176" t="s">
        <v>148</v>
      </c>
      <c r="N228" s="176" t="s">
        <v>149</v>
      </c>
      <c r="O228" s="176" t="s">
        <v>150</v>
      </c>
      <c r="P228" s="176" t="s">
        <v>151</v>
      </c>
      <c r="Q228" s="176"/>
      <c r="R228" s="176" t="s">
        <v>4306</v>
      </c>
      <c r="S228" s="176"/>
      <c r="T228" s="176" t="s">
        <v>2819</v>
      </c>
      <c r="U228" s="176" t="s">
        <v>152</v>
      </c>
      <c r="V228" s="176" t="s">
        <v>23</v>
      </c>
    </row>
    <row r="229" spans="1:22" customFormat="1" ht="15">
      <c r="A229" s="65"/>
      <c r="B229" s="211">
        <v>46208</v>
      </c>
      <c r="C229" s="211">
        <v>46208</v>
      </c>
      <c r="D229" s="176" t="s">
        <v>4307</v>
      </c>
      <c r="E229" s="176" t="s">
        <v>4308</v>
      </c>
      <c r="F229" s="176" t="s">
        <v>87</v>
      </c>
      <c r="G229" s="176" t="s">
        <v>4295</v>
      </c>
      <c r="H229" s="176">
        <v>42</v>
      </c>
      <c r="I229" s="176">
        <v>38.4</v>
      </c>
      <c r="J229" s="176">
        <v>38.4</v>
      </c>
      <c r="K229" s="176">
        <v>5</v>
      </c>
      <c r="L229" s="176">
        <v>0</v>
      </c>
      <c r="M229" s="176" t="s">
        <v>148</v>
      </c>
      <c r="N229" s="176" t="s">
        <v>149</v>
      </c>
      <c r="O229" s="176" t="s">
        <v>150</v>
      </c>
      <c r="P229" s="176" t="s">
        <v>151</v>
      </c>
      <c r="Q229" s="176"/>
      <c r="R229" s="176" t="s">
        <v>4308</v>
      </c>
      <c r="S229" s="176"/>
      <c r="T229" s="176" t="s">
        <v>2819</v>
      </c>
      <c r="U229" s="176" t="s">
        <v>152</v>
      </c>
      <c r="V229" s="176" t="s">
        <v>23</v>
      </c>
    </row>
    <row r="230" spans="1:22" customFormat="1" ht="15">
      <c r="A230" s="65"/>
      <c r="B230" s="211">
        <v>46208</v>
      </c>
      <c r="C230" s="211">
        <v>46208</v>
      </c>
      <c r="D230" s="176" t="s">
        <v>4309</v>
      </c>
      <c r="E230" s="176" t="s">
        <v>4310</v>
      </c>
      <c r="F230" s="176" t="s">
        <v>87</v>
      </c>
      <c r="G230" s="176" t="s">
        <v>4295</v>
      </c>
      <c r="H230" s="176">
        <v>42</v>
      </c>
      <c r="I230" s="176">
        <v>40.1</v>
      </c>
      <c r="J230" s="176">
        <v>40.1</v>
      </c>
      <c r="K230" s="176">
        <v>5</v>
      </c>
      <c r="L230" s="176">
        <v>0</v>
      </c>
      <c r="M230" s="176" t="s">
        <v>148</v>
      </c>
      <c r="N230" s="176" t="s">
        <v>149</v>
      </c>
      <c r="O230" s="176" t="s">
        <v>150</v>
      </c>
      <c r="P230" s="176" t="s">
        <v>151</v>
      </c>
      <c r="Q230" s="176"/>
      <c r="R230" s="176" t="s">
        <v>4310</v>
      </c>
      <c r="S230" s="176"/>
      <c r="T230" s="176" t="s">
        <v>2819</v>
      </c>
      <c r="U230" s="176" t="s">
        <v>152</v>
      </c>
      <c r="V230" s="176" t="s">
        <v>23</v>
      </c>
    </row>
    <row r="231" spans="1:22" customFormat="1" ht="15">
      <c r="A231" s="65"/>
      <c r="B231" s="211">
        <v>46208</v>
      </c>
      <c r="C231" s="211">
        <v>46208</v>
      </c>
      <c r="D231" s="176" t="s">
        <v>4311</v>
      </c>
      <c r="E231" s="176" t="s">
        <v>4312</v>
      </c>
      <c r="F231" s="176" t="s">
        <v>87</v>
      </c>
      <c r="G231" s="176" t="s">
        <v>2486</v>
      </c>
      <c r="H231" s="176">
        <v>40</v>
      </c>
      <c r="I231" s="176">
        <v>21.2</v>
      </c>
      <c r="J231" s="176">
        <v>21.2</v>
      </c>
      <c r="K231" s="176">
        <v>5</v>
      </c>
      <c r="L231" s="176">
        <v>0</v>
      </c>
      <c r="M231" s="176" t="s">
        <v>148</v>
      </c>
      <c r="N231" s="176" t="s">
        <v>149</v>
      </c>
      <c r="O231" s="176" t="s">
        <v>150</v>
      </c>
      <c r="P231" s="176" t="s">
        <v>151</v>
      </c>
      <c r="Q231" s="176"/>
      <c r="R231" s="176" t="s">
        <v>4312</v>
      </c>
      <c r="S231" s="176"/>
      <c r="T231" s="176" t="s">
        <v>2819</v>
      </c>
      <c r="U231" s="176" t="s">
        <v>152</v>
      </c>
      <c r="V231" s="176" t="s">
        <v>23</v>
      </c>
    </row>
    <row r="232" spans="1:22" customFormat="1" ht="15">
      <c r="A232" s="65"/>
      <c r="B232" s="211">
        <v>46208</v>
      </c>
      <c r="C232" s="211">
        <v>46208</v>
      </c>
      <c r="D232" s="176" t="s">
        <v>4313</v>
      </c>
      <c r="E232" s="176" t="s">
        <v>4314</v>
      </c>
      <c r="F232" s="176" t="s">
        <v>87</v>
      </c>
      <c r="G232" s="176" t="s">
        <v>2633</v>
      </c>
      <c r="H232" s="176">
        <v>40</v>
      </c>
      <c r="I232" s="176">
        <v>33.799999999999997</v>
      </c>
      <c r="J232" s="176">
        <v>33.799999999999997</v>
      </c>
      <c r="K232" s="176">
        <v>5</v>
      </c>
      <c r="L232" s="176">
        <v>0</v>
      </c>
      <c r="M232" s="176" t="s">
        <v>148</v>
      </c>
      <c r="N232" s="176" t="s">
        <v>149</v>
      </c>
      <c r="O232" s="176" t="s">
        <v>150</v>
      </c>
      <c r="P232" s="176" t="s">
        <v>151</v>
      </c>
      <c r="Q232" s="176"/>
      <c r="R232" s="176" t="s">
        <v>4314</v>
      </c>
      <c r="S232" s="176"/>
      <c r="T232" s="176" t="s">
        <v>2819</v>
      </c>
      <c r="U232" s="176" t="s">
        <v>152</v>
      </c>
      <c r="V232" s="176" t="s">
        <v>23</v>
      </c>
    </row>
    <row r="233" spans="1:22" customFormat="1" ht="15">
      <c r="A233" s="65"/>
      <c r="B233" s="211">
        <v>46208</v>
      </c>
      <c r="C233" s="211">
        <v>46208</v>
      </c>
      <c r="D233" s="176" t="s">
        <v>4315</v>
      </c>
      <c r="E233" s="176" t="s">
        <v>4316</v>
      </c>
      <c r="F233" s="176" t="s">
        <v>87</v>
      </c>
      <c r="G233" s="176" t="s">
        <v>2637</v>
      </c>
      <c r="H233" s="176">
        <v>40</v>
      </c>
      <c r="I233" s="176">
        <v>35.799999999999997</v>
      </c>
      <c r="J233" s="176">
        <v>35.799999999999997</v>
      </c>
      <c r="K233" s="176">
        <v>7</v>
      </c>
      <c r="L233" s="176">
        <v>0</v>
      </c>
      <c r="M233" s="176" t="s">
        <v>148</v>
      </c>
      <c r="N233" s="176" t="s">
        <v>149</v>
      </c>
      <c r="O233" s="176" t="s">
        <v>150</v>
      </c>
      <c r="P233" s="176" t="s">
        <v>151</v>
      </c>
      <c r="Q233" s="176"/>
      <c r="R233" s="176" t="s">
        <v>4316</v>
      </c>
      <c r="S233" s="176"/>
      <c r="T233" s="176" t="s">
        <v>2819</v>
      </c>
      <c r="U233" s="176" t="s">
        <v>152</v>
      </c>
      <c r="V233" s="176" t="s">
        <v>23</v>
      </c>
    </row>
    <row r="234" spans="1:22" customFormat="1" ht="15">
      <c r="A234" s="65"/>
      <c r="B234" s="211">
        <v>46208</v>
      </c>
      <c r="C234" s="211">
        <v>46208</v>
      </c>
      <c r="D234" s="176" t="s">
        <v>4317</v>
      </c>
      <c r="E234" s="176" t="s">
        <v>4318</v>
      </c>
      <c r="F234" s="176" t="s">
        <v>87</v>
      </c>
      <c r="G234" s="176" t="s">
        <v>2636</v>
      </c>
      <c r="H234" s="176">
        <v>6</v>
      </c>
      <c r="I234" s="176">
        <v>13</v>
      </c>
      <c r="J234" s="176">
        <v>13</v>
      </c>
      <c r="K234" s="176">
        <v>1.5</v>
      </c>
      <c r="L234" s="176">
        <v>0</v>
      </c>
      <c r="M234" s="176" t="s">
        <v>148</v>
      </c>
      <c r="N234" s="176" t="s">
        <v>149</v>
      </c>
      <c r="O234" s="176" t="s">
        <v>150</v>
      </c>
      <c r="P234" s="176" t="s">
        <v>151</v>
      </c>
      <c r="Q234" s="176"/>
      <c r="R234" s="176" t="s">
        <v>4318</v>
      </c>
      <c r="S234" s="176"/>
      <c r="T234" s="176" t="s">
        <v>2819</v>
      </c>
      <c r="U234" s="176" t="s">
        <v>152</v>
      </c>
      <c r="V234" s="176" t="s">
        <v>23</v>
      </c>
    </row>
    <row r="235" spans="1:22" customFormat="1" ht="15">
      <c r="A235" s="65"/>
      <c r="B235" s="211">
        <v>46208</v>
      </c>
      <c r="C235" s="211">
        <v>46208</v>
      </c>
      <c r="D235" s="176" t="s">
        <v>4319</v>
      </c>
      <c r="E235" s="176" t="s">
        <v>4320</v>
      </c>
      <c r="F235" s="176" t="s">
        <v>87</v>
      </c>
      <c r="G235" s="176" t="s">
        <v>4302</v>
      </c>
      <c r="H235" s="176">
        <v>45</v>
      </c>
      <c r="I235" s="176">
        <v>34.799999999999997</v>
      </c>
      <c r="J235" s="176">
        <v>34.799999999999997</v>
      </c>
      <c r="K235" s="176">
        <v>5</v>
      </c>
      <c r="L235" s="176">
        <v>0</v>
      </c>
      <c r="M235" s="176" t="s">
        <v>148</v>
      </c>
      <c r="N235" s="176" t="s">
        <v>149</v>
      </c>
      <c r="O235" s="176" t="s">
        <v>150</v>
      </c>
      <c r="P235" s="176" t="s">
        <v>151</v>
      </c>
      <c r="Q235" s="176"/>
      <c r="R235" s="176" t="s">
        <v>4320</v>
      </c>
      <c r="S235" s="176"/>
      <c r="T235" s="176" t="s">
        <v>2819</v>
      </c>
      <c r="U235" s="176" t="s">
        <v>152</v>
      </c>
      <c r="V235" s="176" t="s">
        <v>23</v>
      </c>
    </row>
    <row r="236" spans="1:22" customFormat="1" ht="15">
      <c r="A236" s="65"/>
      <c r="B236" s="211">
        <v>46208</v>
      </c>
      <c r="C236" s="211">
        <v>46208</v>
      </c>
      <c r="D236" s="176" t="s">
        <v>4321</v>
      </c>
      <c r="E236" s="176" t="s">
        <v>4322</v>
      </c>
      <c r="F236" s="176" t="s">
        <v>87</v>
      </c>
      <c r="G236" s="176" t="s">
        <v>2552</v>
      </c>
      <c r="H236" s="176">
        <v>40</v>
      </c>
      <c r="I236" s="176">
        <v>48.8</v>
      </c>
      <c r="J236" s="176">
        <v>48.8</v>
      </c>
      <c r="K236" s="176">
        <v>5</v>
      </c>
      <c r="L236" s="176">
        <v>0</v>
      </c>
      <c r="M236" s="176" t="s">
        <v>148</v>
      </c>
      <c r="N236" s="176" t="s">
        <v>149</v>
      </c>
      <c r="O236" s="176" t="s">
        <v>150</v>
      </c>
      <c r="P236" s="176" t="s">
        <v>151</v>
      </c>
      <c r="Q236" s="176"/>
      <c r="R236" s="176" t="s">
        <v>4322</v>
      </c>
      <c r="S236" s="176"/>
      <c r="T236" s="176" t="s">
        <v>2819</v>
      </c>
      <c r="U236" s="176" t="s">
        <v>152</v>
      </c>
      <c r="V236" s="176" t="s">
        <v>23</v>
      </c>
    </row>
    <row r="237" spans="1:22" customFormat="1" ht="15">
      <c r="A237" s="65"/>
      <c r="B237" s="211">
        <v>46208</v>
      </c>
      <c r="C237" s="211">
        <v>46208</v>
      </c>
      <c r="D237" s="176" t="s">
        <v>4323</v>
      </c>
      <c r="E237" s="176" t="s">
        <v>4324</v>
      </c>
      <c r="F237" s="176" t="s">
        <v>87</v>
      </c>
      <c r="G237" s="176" t="s">
        <v>4295</v>
      </c>
      <c r="H237" s="176">
        <v>42</v>
      </c>
      <c r="I237" s="176">
        <v>31.2</v>
      </c>
      <c r="J237" s="176">
        <v>31.2</v>
      </c>
      <c r="K237" s="176">
        <v>5</v>
      </c>
      <c r="L237" s="176">
        <v>0</v>
      </c>
      <c r="M237" s="176" t="s">
        <v>148</v>
      </c>
      <c r="N237" s="176" t="s">
        <v>149</v>
      </c>
      <c r="O237" s="176" t="s">
        <v>150</v>
      </c>
      <c r="P237" s="176" t="s">
        <v>151</v>
      </c>
      <c r="Q237" s="176"/>
      <c r="R237" s="176" t="s">
        <v>4324</v>
      </c>
      <c r="S237" s="176"/>
      <c r="T237" s="176" t="s">
        <v>2819</v>
      </c>
      <c r="U237" s="176" t="s">
        <v>152</v>
      </c>
      <c r="V237" s="176" t="s">
        <v>23</v>
      </c>
    </row>
    <row r="238" spans="1:22" customFormat="1" ht="15">
      <c r="A238" s="65"/>
      <c r="B238" s="211">
        <v>46208</v>
      </c>
      <c r="C238" s="211">
        <v>46208</v>
      </c>
      <c r="D238" s="176" t="s">
        <v>4325</v>
      </c>
      <c r="E238" s="176" t="s">
        <v>4326</v>
      </c>
      <c r="F238" s="176" t="s">
        <v>87</v>
      </c>
      <c r="G238" s="176" t="s">
        <v>4302</v>
      </c>
      <c r="H238" s="176">
        <v>45</v>
      </c>
      <c r="I238" s="176">
        <v>19.8</v>
      </c>
      <c r="J238" s="176">
        <v>19.8</v>
      </c>
      <c r="K238" s="176">
        <v>5</v>
      </c>
      <c r="L238" s="176">
        <v>0</v>
      </c>
      <c r="M238" s="176" t="s">
        <v>148</v>
      </c>
      <c r="N238" s="176" t="s">
        <v>149</v>
      </c>
      <c r="O238" s="176" t="s">
        <v>150</v>
      </c>
      <c r="P238" s="176" t="s">
        <v>151</v>
      </c>
      <c r="Q238" s="176"/>
      <c r="R238" s="176" t="s">
        <v>4326</v>
      </c>
      <c r="S238" s="176"/>
      <c r="T238" s="176" t="s">
        <v>2819</v>
      </c>
      <c r="U238" s="176" t="s">
        <v>152</v>
      </c>
      <c r="V238" s="176" t="s">
        <v>23</v>
      </c>
    </row>
    <row r="239" spans="1:22" customFormat="1" ht="15">
      <c r="A239" s="65"/>
      <c r="B239" s="211">
        <v>46208</v>
      </c>
      <c r="C239" s="211">
        <v>46208</v>
      </c>
      <c r="D239" s="176" t="s">
        <v>4327</v>
      </c>
      <c r="E239" s="176" t="s">
        <v>4328</v>
      </c>
      <c r="F239" s="176" t="s">
        <v>87</v>
      </c>
      <c r="G239" s="176" t="s">
        <v>2486</v>
      </c>
      <c r="H239" s="176">
        <v>40</v>
      </c>
      <c r="I239" s="176">
        <v>36.4</v>
      </c>
      <c r="J239" s="176">
        <v>36.4</v>
      </c>
      <c r="K239" s="176">
        <v>5</v>
      </c>
      <c r="L239" s="176">
        <v>0</v>
      </c>
      <c r="M239" s="176" t="s">
        <v>148</v>
      </c>
      <c r="N239" s="176" t="s">
        <v>149</v>
      </c>
      <c r="O239" s="176" t="s">
        <v>150</v>
      </c>
      <c r="P239" s="176" t="s">
        <v>151</v>
      </c>
      <c r="Q239" s="176"/>
      <c r="R239" s="176" t="s">
        <v>4328</v>
      </c>
      <c r="S239" s="176"/>
      <c r="T239" s="176" t="s">
        <v>2819</v>
      </c>
      <c r="U239" s="176" t="s">
        <v>152</v>
      </c>
      <c r="V239" s="176" t="s">
        <v>23</v>
      </c>
    </row>
    <row r="240" spans="1:22" customFormat="1" ht="15">
      <c r="A240" s="65"/>
      <c r="B240" s="211">
        <v>46208</v>
      </c>
      <c r="C240" s="211">
        <v>46208</v>
      </c>
      <c r="D240" s="176" t="s">
        <v>4329</v>
      </c>
      <c r="E240" s="176" t="s">
        <v>4330</v>
      </c>
      <c r="F240" s="176" t="s">
        <v>87</v>
      </c>
      <c r="G240" s="176" t="s">
        <v>2001</v>
      </c>
      <c r="H240" s="176">
        <v>6</v>
      </c>
      <c r="I240" s="176">
        <v>14.8</v>
      </c>
      <c r="J240" s="176">
        <v>14.8</v>
      </c>
      <c r="K240" s="176">
        <v>1.5</v>
      </c>
      <c r="L240" s="176">
        <v>0</v>
      </c>
      <c r="M240" s="176" t="s">
        <v>148</v>
      </c>
      <c r="N240" s="176" t="s">
        <v>149</v>
      </c>
      <c r="O240" s="176" t="s">
        <v>150</v>
      </c>
      <c r="P240" s="176" t="s">
        <v>151</v>
      </c>
      <c r="Q240" s="176"/>
      <c r="R240" s="176" t="s">
        <v>4330</v>
      </c>
      <c r="S240" s="176"/>
      <c r="T240" s="176" t="s">
        <v>2819</v>
      </c>
      <c r="U240" s="176" t="s">
        <v>152</v>
      </c>
      <c r="V240" s="176" t="s">
        <v>23</v>
      </c>
    </row>
    <row r="241" spans="1:22" customFormat="1" ht="15">
      <c r="A241" s="65"/>
      <c r="B241" s="211">
        <v>46208</v>
      </c>
      <c r="C241" s="211">
        <v>46208</v>
      </c>
      <c r="D241" s="176" t="s">
        <v>4331</v>
      </c>
      <c r="E241" s="176" t="s">
        <v>4332</v>
      </c>
      <c r="F241" s="176" t="s">
        <v>87</v>
      </c>
      <c r="G241" s="176" t="s">
        <v>2635</v>
      </c>
      <c r="H241" s="176">
        <v>6</v>
      </c>
      <c r="I241" s="176">
        <v>5.5</v>
      </c>
      <c r="J241" s="176">
        <v>5.5</v>
      </c>
      <c r="K241" s="176">
        <v>1.5</v>
      </c>
      <c r="L241" s="176">
        <v>0</v>
      </c>
      <c r="M241" s="176" t="s">
        <v>148</v>
      </c>
      <c r="N241" s="176" t="s">
        <v>149</v>
      </c>
      <c r="O241" s="176" t="s">
        <v>150</v>
      </c>
      <c r="P241" s="176" t="s">
        <v>151</v>
      </c>
      <c r="Q241" s="176"/>
      <c r="R241" s="176" t="s">
        <v>4332</v>
      </c>
      <c r="S241" s="176"/>
      <c r="T241" s="176" t="s">
        <v>2819</v>
      </c>
      <c r="U241" s="176" t="s">
        <v>152</v>
      </c>
      <c r="V241" s="176" t="s">
        <v>23</v>
      </c>
    </row>
    <row r="242" spans="1:22" customFormat="1" ht="15">
      <c r="A242" s="65"/>
      <c r="B242" s="211">
        <v>46208</v>
      </c>
      <c r="C242" s="211">
        <v>46208</v>
      </c>
      <c r="D242" s="176" t="s">
        <v>4333</v>
      </c>
      <c r="E242" s="176" t="s">
        <v>4334</v>
      </c>
      <c r="F242" s="176" t="s">
        <v>87</v>
      </c>
      <c r="G242" s="176" t="s">
        <v>2633</v>
      </c>
      <c r="H242" s="176">
        <v>40</v>
      </c>
      <c r="I242" s="176">
        <v>33.5</v>
      </c>
      <c r="J242" s="176">
        <v>33.5</v>
      </c>
      <c r="K242" s="176">
        <v>5</v>
      </c>
      <c r="L242" s="176">
        <v>0</v>
      </c>
      <c r="M242" s="176" t="s">
        <v>148</v>
      </c>
      <c r="N242" s="176" t="s">
        <v>149</v>
      </c>
      <c r="O242" s="176" t="s">
        <v>150</v>
      </c>
      <c r="P242" s="176" t="s">
        <v>151</v>
      </c>
      <c r="Q242" s="176"/>
      <c r="R242" s="176" t="s">
        <v>4334</v>
      </c>
      <c r="S242" s="176"/>
      <c r="T242" s="176" t="s">
        <v>2819</v>
      </c>
      <c r="U242" s="176" t="s">
        <v>152</v>
      </c>
      <c r="V242" s="176" t="s">
        <v>23</v>
      </c>
    </row>
    <row r="243" spans="1:22" customFormat="1" ht="15">
      <c r="A243" s="65"/>
      <c r="B243" s="211">
        <v>46208</v>
      </c>
      <c r="C243" s="211">
        <v>46208</v>
      </c>
      <c r="D243" s="176" t="s">
        <v>4335</v>
      </c>
      <c r="E243" s="176" t="s">
        <v>4336</v>
      </c>
      <c r="F243" s="176" t="s">
        <v>87</v>
      </c>
      <c r="G243" s="176" t="s">
        <v>4295</v>
      </c>
      <c r="H243" s="176">
        <v>42</v>
      </c>
      <c r="I243" s="176">
        <v>43.8</v>
      </c>
      <c r="J243" s="176">
        <v>43.8</v>
      </c>
      <c r="K243" s="176">
        <v>5</v>
      </c>
      <c r="L243" s="176">
        <v>0</v>
      </c>
      <c r="M243" s="176" t="s">
        <v>148</v>
      </c>
      <c r="N243" s="176" t="s">
        <v>149</v>
      </c>
      <c r="O243" s="176" t="s">
        <v>150</v>
      </c>
      <c r="P243" s="176" t="s">
        <v>151</v>
      </c>
      <c r="Q243" s="176"/>
      <c r="R243" s="176" t="s">
        <v>4336</v>
      </c>
      <c r="S243" s="176"/>
      <c r="T243" s="176" t="s">
        <v>2819</v>
      </c>
      <c r="U243" s="176" t="s">
        <v>152</v>
      </c>
      <c r="V243" s="176" t="s">
        <v>23</v>
      </c>
    </row>
    <row r="244" spans="1:22" customFormat="1" ht="15">
      <c r="A244" s="65"/>
      <c r="B244" s="211">
        <v>46208</v>
      </c>
      <c r="C244" s="211">
        <v>46208</v>
      </c>
      <c r="D244" s="176" t="s">
        <v>4337</v>
      </c>
      <c r="E244" s="176" t="s">
        <v>4338</v>
      </c>
      <c r="F244" s="176" t="s">
        <v>87</v>
      </c>
      <c r="G244" s="176" t="s">
        <v>2552</v>
      </c>
      <c r="H244" s="176">
        <v>40</v>
      </c>
      <c r="I244" s="176">
        <v>31.5</v>
      </c>
      <c r="J244" s="176">
        <v>31.5</v>
      </c>
      <c r="K244" s="176">
        <v>5</v>
      </c>
      <c r="L244" s="176">
        <v>0</v>
      </c>
      <c r="M244" s="176" t="s">
        <v>148</v>
      </c>
      <c r="N244" s="176" t="s">
        <v>149</v>
      </c>
      <c r="O244" s="176" t="s">
        <v>150</v>
      </c>
      <c r="P244" s="176" t="s">
        <v>151</v>
      </c>
      <c r="Q244" s="176"/>
      <c r="R244" s="176" t="s">
        <v>4338</v>
      </c>
      <c r="S244" s="176"/>
      <c r="T244" s="176" t="s">
        <v>2819</v>
      </c>
      <c r="U244" s="176" t="s">
        <v>152</v>
      </c>
      <c r="V244" s="176" t="s">
        <v>23</v>
      </c>
    </row>
    <row r="245" spans="1:22" customFormat="1" ht="15">
      <c r="A245" s="65"/>
      <c r="B245" s="211">
        <v>46208</v>
      </c>
      <c r="C245" s="211">
        <v>46208</v>
      </c>
      <c r="D245" s="176" t="s">
        <v>4339</v>
      </c>
      <c r="E245" s="176" t="s">
        <v>4340</v>
      </c>
      <c r="F245" s="176" t="s">
        <v>87</v>
      </c>
      <c r="G245" s="176" t="s">
        <v>2633</v>
      </c>
      <c r="H245" s="176">
        <v>40</v>
      </c>
      <c r="I245" s="176">
        <v>35.799999999999997</v>
      </c>
      <c r="J245" s="176">
        <v>35.799999999999997</v>
      </c>
      <c r="K245" s="176">
        <v>5</v>
      </c>
      <c r="L245" s="176">
        <v>0</v>
      </c>
      <c r="M245" s="176" t="s">
        <v>148</v>
      </c>
      <c r="N245" s="176" t="s">
        <v>149</v>
      </c>
      <c r="O245" s="176" t="s">
        <v>150</v>
      </c>
      <c r="P245" s="176" t="s">
        <v>151</v>
      </c>
      <c r="Q245" s="176"/>
      <c r="R245" s="176" t="s">
        <v>4340</v>
      </c>
      <c r="S245" s="176"/>
      <c r="T245" s="176" t="s">
        <v>2819</v>
      </c>
      <c r="U245" s="176" t="s">
        <v>152</v>
      </c>
      <c r="V245" s="176" t="s">
        <v>23</v>
      </c>
    </row>
    <row r="246" spans="1:22" customFormat="1" ht="15">
      <c r="A246" s="65"/>
      <c r="B246" s="211">
        <v>46208</v>
      </c>
      <c r="C246" s="211">
        <v>46208</v>
      </c>
      <c r="D246" s="176" t="s">
        <v>4341</v>
      </c>
      <c r="E246" s="176" t="s">
        <v>4342</v>
      </c>
      <c r="F246" s="176" t="s">
        <v>87</v>
      </c>
      <c r="G246" s="176" t="s">
        <v>2553</v>
      </c>
      <c r="H246" s="176">
        <v>30</v>
      </c>
      <c r="I246" s="176">
        <v>41.5</v>
      </c>
      <c r="J246" s="176">
        <v>41.5</v>
      </c>
      <c r="K246" s="176">
        <v>4</v>
      </c>
      <c r="L246" s="176">
        <v>0</v>
      </c>
      <c r="M246" s="176" t="s">
        <v>148</v>
      </c>
      <c r="N246" s="176" t="s">
        <v>149</v>
      </c>
      <c r="O246" s="176" t="s">
        <v>150</v>
      </c>
      <c r="P246" s="176" t="s">
        <v>151</v>
      </c>
      <c r="Q246" s="176"/>
      <c r="R246" s="176" t="s">
        <v>4342</v>
      </c>
      <c r="S246" s="176"/>
      <c r="T246" s="176" t="s">
        <v>2819</v>
      </c>
      <c r="U246" s="176" t="s">
        <v>152</v>
      </c>
      <c r="V246" s="176" t="s">
        <v>23</v>
      </c>
    </row>
    <row r="247" spans="1:22" customFormat="1" ht="15">
      <c r="A247" s="65"/>
      <c r="B247" s="211">
        <v>46208</v>
      </c>
      <c r="C247" s="211">
        <v>46208</v>
      </c>
      <c r="D247" s="176" t="s">
        <v>4343</v>
      </c>
      <c r="E247" s="176" t="s">
        <v>4344</v>
      </c>
      <c r="F247" s="176" t="s">
        <v>87</v>
      </c>
      <c r="G247" s="176" t="s">
        <v>2639</v>
      </c>
      <c r="H247" s="176">
        <v>25</v>
      </c>
      <c r="I247" s="176">
        <v>26.3</v>
      </c>
      <c r="J247" s="176">
        <v>26.3</v>
      </c>
      <c r="K247" s="176">
        <v>4</v>
      </c>
      <c r="L247" s="176">
        <v>0</v>
      </c>
      <c r="M247" s="176" t="s">
        <v>148</v>
      </c>
      <c r="N247" s="176" t="s">
        <v>149</v>
      </c>
      <c r="O247" s="176" t="s">
        <v>150</v>
      </c>
      <c r="P247" s="176" t="s">
        <v>151</v>
      </c>
      <c r="Q247" s="176"/>
      <c r="R247" s="176" t="s">
        <v>4344</v>
      </c>
      <c r="S247" s="176"/>
      <c r="T247" s="176" t="s">
        <v>2819</v>
      </c>
      <c r="U247" s="176" t="s">
        <v>152</v>
      </c>
      <c r="V247" s="176" t="s">
        <v>23</v>
      </c>
    </row>
    <row r="248" spans="1:22" customFormat="1" ht="15">
      <c r="A248" s="65"/>
      <c r="B248" s="211">
        <v>46208</v>
      </c>
      <c r="C248" s="211">
        <v>46208</v>
      </c>
      <c r="D248" s="176" t="s">
        <v>4345</v>
      </c>
      <c r="E248" s="176" t="s">
        <v>4346</v>
      </c>
      <c r="F248" s="176" t="s">
        <v>87</v>
      </c>
      <c r="G248" s="176" t="s">
        <v>2552</v>
      </c>
      <c r="H248" s="176">
        <v>40</v>
      </c>
      <c r="I248" s="176">
        <v>31</v>
      </c>
      <c r="J248" s="176">
        <v>31</v>
      </c>
      <c r="K248" s="176">
        <v>5</v>
      </c>
      <c r="L248" s="176">
        <v>0</v>
      </c>
      <c r="M248" s="176" t="s">
        <v>148</v>
      </c>
      <c r="N248" s="176" t="s">
        <v>149</v>
      </c>
      <c r="O248" s="176" t="s">
        <v>150</v>
      </c>
      <c r="P248" s="176" t="s">
        <v>151</v>
      </c>
      <c r="Q248" s="176"/>
      <c r="R248" s="176" t="s">
        <v>4346</v>
      </c>
      <c r="S248" s="176"/>
      <c r="T248" s="176" t="s">
        <v>2819</v>
      </c>
      <c r="U248" s="176" t="s">
        <v>152</v>
      </c>
      <c r="V248" s="176" t="s">
        <v>23</v>
      </c>
    </row>
    <row r="249" spans="1:22" customFormat="1" ht="15">
      <c r="A249" s="65"/>
      <c r="B249" s="211">
        <v>46208</v>
      </c>
      <c r="C249" s="211">
        <v>46208</v>
      </c>
      <c r="D249" s="176" t="s">
        <v>4347</v>
      </c>
      <c r="E249" s="176" t="s">
        <v>4348</v>
      </c>
      <c r="F249" s="176" t="s">
        <v>87</v>
      </c>
      <c r="G249" s="176" t="s">
        <v>2001</v>
      </c>
      <c r="H249" s="176">
        <v>6</v>
      </c>
      <c r="I249" s="176">
        <v>27</v>
      </c>
      <c r="J249" s="176">
        <v>27</v>
      </c>
      <c r="K249" s="176">
        <v>1.5</v>
      </c>
      <c r="L249" s="176">
        <v>0</v>
      </c>
      <c r="M249" s="176" t="s">
        <v>148</v>
      </c>
      <c r="N249" s="176" t="s">
        <v>149</v>
      </c>
      <c r="O249" s="176" t="s">
        <v>150</v>
      </c>
      <c r="P249" s="176" t="s">
        <v>151</v>
      </c>
      <c r="Q249" s="176"/>
      <c r="R249" s="176" t="s">
        <v>4348</v>
      </c>
      <c r="S249" s="176"/>
      <c r="T249" s="176" t="s">
        <v>2819</v>
      </c>
      <c r="U249" s="176" t="s">
        <v>152</v>
      </c>
      <c r="V249" s="176" t="s">
        <v>23</v>
      </c>
    </row>
    <row r="250" spans="1:22" customFormat="1" ht="15">
      <c r="A250" s="65"/>
      <c r="B250" s="211">
        <v>46208</v>
      </c>
      <c r="C250" s="211">
        <v>46208</v>
      </c>
      <c r="D250" s="176" t="s">
        <v>4349</v>
      </c>
      <c r="E250" s="176" t="s">
        <v>4350</v>
      </c>
      <c r="F250" s="176" t="s">
        <v>87</v>
      </c>
      <c r="G250" s="176" t="s">
        <v>4295</v>
      </c>
      <c r="H250" s="176">
        <v>42</v>
      </c>
      <c r="I250" s="176">
        <v>36.5</v>
      </c>
      <c r="J250" s="176">
        <v>36.5</v>
      </c>
      <c r="K250" s="176">
        <v>5</v>
      </c>
      <c r="L250" s="176">
        <v>0</v>
      </c>
      <c r="M250" s="176" t="s">
        <v>148</v>
      </c>
      <c r="N250" s="176" t="s">
        <v>149</v>
      </c>
      <c r="O250" s="176" t="s">
        <v>150</v>
      </c>
      <c r="P250" s="176" t="s">
        <v>151</v>
      </c>
      <c r="Q250" s="176"/>
      <c r="R250" s="176" t="s">
        <v>4350</v>
      </c>
      <c r="S250" s="176"/>
      <c r="T250" s="176" t="s">
        <v>2819</v>
      </c>
      <c r="U250" s="176" t="s">
        <v>152</v>
      </c>
      <c r="V250" s="176" t="s">
        <v>23</v>
      </c>
    </row>
    <row r="251" spans="1:22" customFormat="1" ht="15" customHeight="1">
      <c r="A251" s="65"/>
      <c r="B251" s="211">
        <v>46208</v>
      </c>
      <c r="C251" s="211">
        <v>46208</v>
      </c>
      <c r="D251" s="176" t="s">
        <v>4351</v>
      </c>
      <c r="E251" s="176" t="s">
        <v>4352</v>
      </c>
      <c r="F251" s="176" t="s">
        <v>87</v>
      </c>
      <c r="G251" s="176" t="s">
        <v>3866</v>
      </c>
      <c r="H251" s="176">
        <v>40</v>
      </c>
      <c r="I251" s="176">
        <v>38.200000000000003</v>
      </c>
      <c r="J251" s="176">
        <v>38.200000000000003</v>
      </c>
      <c r="K251" s="176">
        <v>5</v>
      </c>
      <c r="L251" s="176">
        <v>0</v>
      </c>
      <c r="M251" s="176" t="s">
        <v>148</v>
      </c>
      <c r="N251" s="176" t="s">
        <v>149</v>
      </c>
      <c r="O251" s="176" t="s">
        <v>150</v>
      </c>
      <c r="P251" s="176" t="s">
        <v>151</v>
      </c>
      <c r="Q251" s="176"/>
      <c r="R251" s="176" t="s">
        <v>4352</v>
      </c>
      <c r="S251" s="176"/>
      <c r="T251" s="176" t="s">
        <v>2819</v>
      </c>
      <c r="U251" s="176" t="s">
        <v>152</v>
      </c>
      <c r="V251" s="176" t="s">
        <v>23</v>
      </c>
    </row>
    <row r="252" spans="1:22" customFormat="1" ht="15" customHeight="1">
      <c r="A252" s="65"/>
      <c r="B252" s="211">
        <v>46208</v>
      </c>
      <c r="C252" s="211">
        <v>46208</v>
      </c>
      <c r="D252" s="176" t="s">
        <v>4353</v>
      </c>
      <c r="E252" s="176" t="s">
        <v>4354</v>
      </c>
      <c r="F252" s="176" t="s">
        <v>87</v>
      </c>
      <c r="G252" s="176" t="s">
        <v>2553</v>
      </c>
      <c r="H252" s="176">
        <v>30</v>
      </c>
      <c r="I252" s="176">
        <v>38.799999999999997</v>
      </c>
      <c r="J252" s="176">
        <v>38.799999999999997</v>
      </c>
      <c r="K252" s="176">
        <v>4</v>
      </c>
      <c r="L252" s="176">
        <v>0</v>
      </c>
      <c r="M252" s="176" t="s">
        <v>148</v>
      </c>
      <c r="N252" s="176" t="s">
        <v>149</v>
      </c>
      <c r="O252" s="176" t="s">
        <v>150</v>
      </c>
      <c r="P252" s="176" t="s">
        <v>151</v>
      </c>
      <c r="Q252" s="176"/>
      <c r="R252" s="176" t="s">
        <v>4354</v>
      </c>
      <c r="S252" s="176"/>
      <c r="T252" s="176" t="s">
        <v>2819</v>
      </c>
      <c r="U252" s="176" t="s">
        <v>152</v>
      </c>
      <c r="V252" s="176" t="s">
        <v>23</v>
      </c>
    </row>
    <row r="253" spans="1:22" customFormat="1" ht="15" customHeight="1">
      <c r="A253" s="65"/>
      <c r="B253" s="211">
        <v>46208</v>
      </c>
      <c r="C253" s="211">
        <v>46208</v>
      </c>
      <c r="D253" s="176" t="s">
        <v>4355</v>
      </c>
      <c r="E253" s="176" t="s">
        <v>4356</v>
      </c>
      <c r="F253" s="176" t="s">
        <v>87</v>
      </c>
      <c r="G253" s="176" t="s">
        <v>2553</v>
      </c>
      <c r="H253" s="176">
        <v>30</v>
      </c>
      <c r="I253" s="176">
        <v>34.299999999999997</v>
      </c>
      <c r="J253" s="176">
        <v>34.299999999999997</v>
      </c>
      <c r="K253" s="176">
        <v>4</v>
      </c>
      <c r="L253" s="176">
        <v>0</v>
      </c>
      <c r="M253" s="176" t="s">
        <v>148</v>
      </c>
      <c r="N253" s="176" t="s">
        <v>149</v>
      </c>
      <c r="O253" s="176" t="s">
        <v>150</v>
      </c>
      <c r="P253" s="176" t="s">
        <v>151</v>
      </c>
      <c r="Q253" s="176"/>
      <c r="R253" s="176" t="s">
        <v>4356</v>
      </c>
      <c r="S253" s="176"/>
      <c r="T253" s="176" t="s">
        <v>2819</v>
      </c>
      <c r="U253" s="176" t="s">
        <v>152</v>
      </c>
      <c r="V253" s="176" t="s">
        <v>23</v>
      </c>
    </row>
    <row r="254" spans="1:22" customFormat="1" ht="15" customHeight="1">
      <c r="A254" s="65"/>
      <c r="B254" s="211">
        <v>46208</v>
      </c>
      <c r="C254" s="211">
        <v>46208</v>
      </c>
      <c r="D254" s="176" t="s">
        <v>4357</v>
      </c>
      <c r="E254" s="176" t="s">
        <v>4358</v>
      </c>
      <c r="F254" s="176" t="s">
        <v>87</v>
      </c>
      <c r="G254" s="176" t="s">
        <v>2486</v>
      </c>
      <c r="H254" s="176">
        <v>40</v>
      </c>
      <c r="I254" s="176">
        <v>33.299999999999997</v>
      </c>
      <c r="J254" s="176">
        <v>33.299999999999997</v>
      </c>
      <c r="K254" s="176">
        <v>5</v>
      </c>
      <c r="L254" s="176">
        <v>0</v>
      </c>
      <c r="M254" s="176" t="s">
        <v>148</v>
      </c>
      <c r="N254" s="176" t="s">
        <v>149</v>
      </c>
      <c r="O254" s="176" t="s">
        <v>150</v>
      </c>
      <c r="P254" s="176" t="s">
        <v>151</v>
      </c>
      <c r="Q254" s="176"/>
      <c r="R254" s="176" t="s">
        <v>4358</v>
      </c>
      <c r="S254" s="176"/>
      <c r="T254" s="176" t="s">
        <v>2819</v>
      </c>
      <c r="U254" s="176" t="s">
        <v>152</v>
      </c>
      <c r="V254" s="176" t="s">
        <v>23</v>
      </c>
    </row>
    <row r="255" spans="1:22" customFormat="1" ht="15" customHeight="1">
      <c r="A255" s="65"/>
      <c r="B255" s="211">
        <v>46208</v>
      </c>
      <c r="C255" s="211">
        <v>46208</v>
      </c>
      <c r="D255" s="176" t="s">
        <v>4359</v>
      </c>
      <c r="E255" s="176" t="s">
        <v>4360</v>
      </c>
      <c r="F255" s="176" t="s">
        <v>87</v>
      </c>
      <c r="G255" s="176" t="s">
        <v>2486</v>
      </c>
      <c r="H255" s="176">
        <v>40</v>
      </c>
      <c r="I255" s="176">
        <v>35.799999999999997</v>
      </c>
      <c r="J255" s="176">
        <v>35.799999999999997</v>
      </c>
      <c r="K255" s="176">
        <v>5</v>
      </c>
      <c r="L255" s="176">
        <v>0</v>
      </c>
      <c r="M255" s="176" t="s">
        <v>148</v>
      </c>
      <c r="N255" s="176" t="s">
        <v>149</v>
      </c>
      <c r="O255" s="176" t="s">
        <v>150</v>
      </c>
      <c r="P255" s="176" t="s">
        <v>151</v>
      </c>
      <c r="Q255" s="176"/>
      <c r="R255" s="176" t="s">
        <v>4360</v>
      </c>
      <c r="S255" s="176"/>
      <c r="T255" s="176" t="s">
        <v>2819</v>
      </c>
      <c r="U255" s="176" t="s">
        <v>152</v>
      </c>
      <c r="V255" s="176" t="s">
        <v>23</v>
      </c>
    </row>
    <row r="256" spans="1:22" customFormat="1" ht="15" customHeight="1">
      <c r="A256" s="65"/>
      <c r="B256" s="211">
        <v>46208</v>
      </c>
      <c r="C256" s="211">
        <v>46208</v>
      </c>
      <c r="D256" s="176" t="s">
        <v>4361</v>
      </c>
      <c r="E256" s="176" t="s">
        <v>4362</v>
      </c>
      <c r="F256" s="176" t="s">
        <v>87</v>
      </c>
      <c r="G256" s="176" t="s">
        <v>3866</v>
      </c>
      <c r="H256" s="176">
        <v>40</v>
      </c>
      <c r="I256" s="176">
        <v>41.8</v>
      </c>
      <c r="J256" s="176">
        <v>41.8</v>
      </c>
      <c r="K256" s="176">
        <v>5</v>
      </c>
      <c r="L256" s="176">
        <v>0</v>
      </c>
      <c r="M256" s="176" t="s">
        <v>148</v>
      </c>
      <c r="N256" s="176" t="s">
        <v>149</v>
      </c>
      <c r="O256" s="176" t="s">
        <v>150</v>
      </c>
      <c r="P256" s="176" t="s">
        <v>151</v>
      </c>
      <c r="Q256" s="176"/>
      <c r="R256" s="176" t="s">
        <v>4362</v>
      </c>
      <c r="S256" s="176"/>
      <c r="T256" s="176" t="s">
        <v>2819</v>
      </c>
      <c r="U256" s="176" t="s">
        <v>152</v>
      </c>
      <c r="V256" s="176" t="s">
        <v>23</v>
      </c>
    </row>
    <row r="257" spans="1:22" customFormat="1" ht="15" customHeight="1">
      <c r="A257" s="65"/>
      <c r="B257" s="211">
        <v>46208</v>
      </c>
      <c r="C257" s="211">
        <v>46208</v>
      </c>
      <c r="D257" s="176" t="s">
        <v>4363</v>
      </c>
      <c r="E257" s="176" t="s">
        <v>4364</v>
      </c>
      <c r="F257" s="176" t="s">
        <v>87</v>
      </c>
      <c r="G257" s="176" t="s">
        <v>2553</v>
      </c>
      <c r="H257" s="176">
        <v>30</v>
      </c>
      <c r="I257" s="176">
        <v>51</v>
      </c>
      <c r="J257" s="176">
        <v>51</v>
      </c>
      <c r="K257" s="176">
        <v>4</v>
      </c>
      <c r="L257" s="176">
        <v>0</v>
      </c>
      <c r="M257" s="176" t="s">
        <v>148</v>
      </c>
      <c r="N257" s="176" t="s">
        <v>149</v>
      </c>
      <c r="O257" s="176" t="s">
        <v>150</v>
      </c>
      <c r="P257" s="176" t="s">
        <v>151</v>
      </c>
      <c r="Q257" s="176"/>
      <c r="R257" s="176" t="s">
        <v>4364</v>
      </c>
      <c r="S257" s="176"/>
      <c r="T257" s="176" t="s">
        <v>2819</v>
      </c>
      <c r="U257" s="176" t="s">
        <v>152</v>
      </c>
      <c r="V257" s="176" t="s">
        <v>23</v>
      </c>
    </row>
    <row r="258" spans="1:22" customFormat="1" ht="15" customHeight="1">
      <c r="A258" s="65"/>
      <c r="B258" s="211">
        <v>46208</v>
      </c>
      <c r="C258" s="211">
        <v>46208</v>
      </c>
      <c r="D258" s="176" t="s">
        <v>4365</v>
      </c>
      <c r="E258" s="176" t="s">
        <v>4366</v>
      </c>
      <c r="F258" s="176" t="s">
        <v>87</v>
      </c>
      <c r="G258" s="176" t="s">
        <v>2639</v>
      </c>
      <c r="H258" s="176">
        <v>25</v>
      </c>
      <c r="I258" s="176">
        <v>31.2</v>
      </c>
      <c r="J258" s="176">
        <v>31.2</v>
      </c>
      <c r="K258" s="176">
        <v>4</v>
      </c>
      <c r="L258" s="176">
        <v>0</v>
      </c>
      <c r="M258" s="176" t="s">
        <v>148</v>
      </c>
      <c r="N258" s="176" t="s">
        <v>149</v>
      </c>
      <c r="O258" s="176" t="s">
        <v>150</v>
      </c>
      <c r="P258" s="176" t="s">
        <v>151</v>
      </c>
      <c r="Q258" s="176"/>
      <c r="R258" s="176" t="s">
        <v>4366</v>
      </c>
      <c r="S258" s="176"/>
      <c r="T258" s="176" t="s">
        <v>2819</v>
      </c>
      <c r="U258" s="176" t="s">
        <v>152</v>
      </c>
      <c r="V258" s="176" t="s">
        <v>23</v>
      </c>
    </row>
    <row r="259" spans="1:22" customFormat="1" ht="15" customHeight="1">
      <c r="A259" s="65"/>
      <c r="B259" s="211">
        <v>46208</v>
      </c>
      <c r="C259" s="211">
        <v>46208</v>
      </c>
      <c r="D259" s="176" t="s">
        <v>4367</v>
      </c>
      <c r="E259" s="176" t="s">
        <v>4368</v>
      </c>
      <c r="F259" s="176" t="s">
        <v>87</v>
      </c>
      <c r="G259" s="176" t="s">
        <v>2486</v>
      </c>
      <c r="H259" s="176">
        <v>40</v>
      </c>
      <c r="I259" s="176">
        <v>36.5</v>
      </c>
      <c r="J259" s="176">
        <v>36.5</v>
      </c>
      <c r="K259" s="176">
        <v>5</v>
      </c>
      <c r="L259" s="176">
        <v>0</v>
      </c>
      <c r="M259" s="176" t="s">
        <v>148</v>
      </c>
      <c r="N259" s="176" t="s">
        <v>149</v>
      </c>
      <c r="O259" s="176" t="s">
        <v>150</v>
      </c>
      <c r="P259" s="176" t="s">
        <v>151</v>
      </c>
      <c r="Q259" s="176"/>
      <c r="R259" s="176" t="s">
        <v>4368</v>
      </c>
      <c r="S259" s="176"/>
      <c r="T259" s="176" t="s">
        <v>2819</v>
      </c>
      <c r="U259" s="176" t="s">
        <v>152</v>
      </c>
      <c r="V259" s="176" t="s">
        <v>23</v>
      </c>
    </row>
    <row r="260" spans="1:22" ht="12.75" customHeight="1">
      <c r="A260" s="65"/>
      <c r="B260" s="211">
        <v>46208</v>
      </c>
      <c r="C260" s="211">
        <v>46208</v>
      </c>
      <c r="D260" s="176" t="s">
        <v>4369</v>
      </c>
      <c r="E260" s="176" t="s">
        <v>4370</v>
      </c>
      <c r="F260" s="176" t="s">
        <v>87</v>
      </c>
      <c r="G260" s="176" t="s">
        <v>2486</v>
      </c>
      <c r="H260" s="176">
        <v>40</v>
      </c>
      <c r="I260" s="176">
        <v>38.200000000000003</v>
      </c>
      <c r="J260" s="176">
        <v>38.200000000000003</v>
      </c>
      <c r="K260" s="176">
        <v>5</v>
      </c>
      <c r="L260" s="176">
        <v>0</v>
      </c>
      <c r="M260" s="176" t="s">
        <v>148</v>
      </c>
      <c r="N260" s="176" t="s">
        <v>149</v>
      </c>
      <c r="O260" s="176" t="s">
        <v>150</v>
      </c>
      <c r="P260" s="176" t="s">
        <v>151</v>
      </c>
      <c r="Q260" s="176"/>
      <c r="R260" s="176" t="s">
        <v>4370</v>
      </c>
      <c r="S260" s="176"/>
      <c r="T260" s="176" t="s">
        <v>2819</v>
      </c>
      <c r="U260" s="176" t="s">
        <v>152</v>
      </c>
      <c r="V260" s="176" t="s">
        <v>23</v>
      </c>
    </row>
    <row r="261" spans="1:22" ht="12.75" customHeight="1">
      <c r="A261" s="65"/>
      <c r="B261" s="211">
        <v>46208</v>
      </c>
      <c r="C261" s="211">
        <v>46208</v>
      </c>
      <c r="D261" s="176" t="s">
        <v>4371</v>
      </c>
      <c r="E261" s="176" t="s">
        <v>4372</v>
      </c>
      <c r="F261" s="176" t="s">
        <v>87</v>
      </c>
      <c r="G261" s="176" t="s">
        <v>2553</v>
      </c>
      <c r="H261" s="176">
        <v>30</v>
      </c>
      <c r="I261" s="176">
        <v>25.8</v>
      </c>
      <c r="J261" s="176">
        <v>25.8</v>
      </c>
      <c r="K261" s="176">
        <v>4</v>
      </c>
      <c r="L261" s="176">
        <v>0</v>
      </c>
      <c r="M261" s="176" t="s">
        <v>148</v>
      </c>
      <c r="N261" s="176" t="s">
        <v>149</v>
      </c>
      <c r="O261" s="176" t="s">
        <v>150</v>
      </c>
      <c r="P261" s="176" t="s">
        <v>151</v>
      </c>
      <c r="Q261" s="176"/>
      <c r="R261" s="176" t="s">
        <v>4372</v>
      </c>
      <c r="S261" s="176"/>
      <c r="T261" s="176" t="s">
        <v>2819</v>
      </c>
      <c r="U261" s="176" t="s">
        <v>152</v>
      </c>
      <c r="V261" s="176" t="s">
        <v>23</v>
      </c>
    </row>
    <row r="262" spans="1:22" ht="12.75" customHeight="1">
      <c r="A262" s="65"/>
      <c r="B262" s="211">
        <v>46208</v>
      </c>
      <c r="C262" s="211">
        <v>46208</v>
      </c>
      <c r="D262" s="176" t="s">
        <v>4373</v>
      </c>
      <c r="E262" s="176" t="s">
        <v>4374</v>
      </c>
      <c r="F262" s="176" t="s">
        <v>87</v>
      </c>
      <c r="G262" s="176" t="s">
        <v>2486</v>
      </c>
      <c r="H262" s="176">
        <v>40</v>
      </c>
      <c r="I262" s="176">
        <v>37.799999999999997</v>
      </c>
      <c r="J262" s="176">
        <v>37.799999999999997</v>
      </c>
      <c r="K262" s="176">
        <v>5</v>
      </c>
      <c r="L262" s="176">
        <v>0</v>
      </c>
      <c r="M262" s="176" t="s">
        <v>148</v>
      </c>
      <c r="N262" s="176" t="s">
        <v>149</v>
      </c>
      <c r="O262" s="176" t="s">
        <v>150</v>
      </c>
      <c r="P262" s="176" t="s">
        <v>151</v>
      </c>
      <c r="Q262" s="176"/>
      <c r="R262" s="176" t="s">
        <v>4374</v>
      </c>
      <c r="S262" s="176"/>
      <c r="T262" s="176" t="s">
        <v>2819</v>
      </c>
      <c r="U262" s="176" t="s">
        <v>152</v>
      </c>
      <c r="V262" s="176" t="s">
        <v>23</v>
      </c>
    </row>
    <row r="263" spans="1:22" ht="12.75" customHeight="1">
      <c r="A263" s="65"/>
      <c r="B263" s="211">
        <v>46208</v>
      </c>
      <c r="C263" s="211">
        <v>46208</v>
      </c>
      <c r="D263" s="176" t="s">
        <v>4375</v>
      </c>
      <c r="E263" s="176" t="s">
        <v>4376</v>
      </c>
      <c r="F263" s="176" t="s">
        <v>87</v>
      </c>
      <c r="G263" s="176" t="s">
        <v>2486</v>
      </c>
      <c r="H263" s="176">
        <v>40</v>
      </c>
      <c r="I263" s="176">
        <v>31.3</v>
      </c>
      <c r="J263" s="176">
        <v>31.3</v>
      </c>
      <c r="K263" s="176">
        <v>5</v>
      </c>
      <c r="L263" s="176">
        <v>0</v>
      </c>
      <c r="M263" s="176" t="s">
        <v>148</v>
      </c>
      <c r="N263" s="176" t="s">
        <v>149</v>
      </c>
      <c r="O263" s="176" t="s">
        <v>150</v>
      </c>
      <c r="P263" s="176" t="s">
        <v>151</v>
      </c>
      <c r="Q263" s="176"/>
      <c r="R263" s="176" t="s">
        <v>4376</v>
      </c>
      <c r="S263" s="176"/>
      <c r="T263" s="176" t="s">
        <v>2819</v>
      </c>
      <c r="U263" s="176" t="s">
        <v>152</v>
      </c>
      <c r="V263" s="176" t="s">
        <v>23</v>
      </c>
    </row>
    <row r="264" spans="1:22" ht="12.75" customHeight="1">
      <c r="A264" s="65"/>
      <c r="B264" s="211">
        <v>46208</v>
      </c>
      <c r="C264" s="211">
        <v>46208</v>
      </c>
      <c r="D264" s="176" t="s">
        <v>4377</v>
      </c>
      <c r="E264" s="176" t="s">
        <v>4378</v>
      </c>
      <c r="F264" s="176" t="s">
        <v>87</v>
      </c>
      <c r="G264" s="176" t="s">
        <v>2633</v>
      </c>
      <c r="H264" s="176">
        <v>40</v>
      </c>
      <c r="I264" s="176">
        <v>35.799999999999997</v>
      </c>
      <c r="J264" s="176">
        <v>35.799999999999997</v>
      </c>
      <c r="K264" s="176">
        <v>5</v>
      </c>
      <c r="L264" s="176">
        <v>0</v>
      </c>
      <c r="M264" s="176" t="s">
        <v>148</v>
      </c>
      <c r="N264" s="176" t="s">
        <v>149</v>
      </c>
      <c r="O264" s="176" t="s">
        <v>150</v>
      </c>
      <c r="P264" s="176" t="s">
        <v>151</v>
      </c>
      <c r="Q264" s="176"/>
      <c r="R264" s="176" t="s">
        <v>4378</v>
      </c>
      <c r="S264" s="176"/>
      <c r="T264" s="176" t="s">
        <v>2819</v>
      </c>
      <c r="U264" s="176" t="s">
        <v>152</v>
      </c>
      <c r="V264" s="176" t="s">
        <v>23</v>
      </c>
    </row>
    <row r="265" spans="1:22" ht="12.75" customHeight="1">
      <c r="A265" s="65"/>
      <c r="B265" s="211">
        <v>46208</v>
      </c>
      <c r="C265" s="211">
        <v>46208</v>
      </c>
      <c r="D265" s="176" t="s">
        <v>4379</v>
      </c>
      <c r="E265" s="176" t="s">
        <v>4380</v>
      </c>
      <c r="F265" s="176" t="s">
        <v>87</v>
      </c>
      <c r="G265" s="176" t="s">
        <v>2553</v>
      </c>
      <c r="H265" s="176">
        <v>30</v>
      </c>
      <c r="I265" s="176">
        <v>42.2</v>
      </c>
      <c r="J265" s="176">
        <v>42.2</v>
      </c>
      <c r="K265" s="176">
        <v>4</v>
      </c>
      <c r="L265" s="176">
        <v>0</v>
      </c>
      <c r="M265" s="176" t="s">
        <v>148</v>
      </c>
      <c r="N265" s="176" t="s">
        <v>149</v>
      </c>
      <c r="O265" s="176" t="s">
        <v>150</v>
      </c>
      <c r="P265" s="176" t="s">
        <v>151</v>
      </c>
      <c r="Q265" s="176"/>
      <c r="R265" s="176" t="s">
        <v>4380</v>
      </c>
      <c r="S265" s="176"/>
      <c r="T265" s="176" t="s">
        <v>2819</v>
      </c>
      <c r="U265" s="176" t="s">
        <v>152</v>
      </c>
      <c r="V265" s="176" t="s">
        <v>23</v>
      </c>
    </row>
    <row r="266" spans="1:22" ht="12.75" customHeight="1">
      <c r="A266" s="65"/>
      <c r="B266" s="211">
        <v>46208</v>
      </c>
      <c r="C266" s="211">
        <v>46208</v>
      </c>
      <c r="D266" s="176" t="s">
        <v>4381</v>
      </c>
      <c r="E266" s="176" t="s">
        <v>4382</v>
      </c>
      <c r="F266" s="176" t="s">
        <v>87</v>
      </c>
      <c r="G266" s="176" t="s">
        <v>2639</v>
      </c>
      <c r="H266" s="176">
        <v>25</v>
      </c>
      <c r="I266" s="176">
        <v>30.9</v>
      </c>
      <c r="J266" s="176">
        <v>30.9</v>
      </c>
      <c r="K266" s="176">
        <v>4</v>
      </c>
      <c r="L266" s="176">
        <v>0</v>
      </c>
      <c r="M266" s="176" t="s">
        <v>148</v>
      </c>
      <c r="N266" s="176" t="s">
        <v>149</v>
      </c>
      <c r="O266" s="176" t="s">
        <v>150</v>
      </c>
      <c r="P266" s="176" t="s">
        <v>151</v>
      </c>
      <c r="Q266" s="176"/>
      <c r="R266" s="176" t="s">
        <v>4382</v>
      </c>
      <c r="S266" s="176"/>
      <c r="T266" s="176" t="s">
        <v>2819</v>
      </c>
      <c r="U266" s="176" t="s">
        <v>152</v>
      </c>
      <c r="V266" s="176" t="s">
        <v>23</v>
      </c>
    </row>
    <row r="267" spans="1:22" ht="12.75" customHeight="1">
      <c r="A267" s="65"/>
      <c r="B267" s="211">
        <v>46208</v>
      </c>
      <c r="C267" s="211">
        <v>46208</v>
      </c>
      <c r="D267" s="176" t="s">
        <v>4383</v>
      </c>
      <c r="E267" s="176" t="s">
        <v>4384</v>
      </c>
      <c r="F267" s="176" t="s">
        <v>87</v>
      </c>
      <c r="G267" s="176" t="s">
        <v>2486</v>
      </c>
      <c r="H267" s="176">
        <v>40</v>
      </c>
      <c r="I267" s="176">
        <v>37.799999999999997</v>
      </c>
      <c r="J267" s="176">
        <v>37.799999999999997</v>
      </c>
      <c r="K267" s="176">
        <v>5</v>
      </c>
      <c r="L267" s="176">
        <v>0</v>
      </c>
      <c r="M267" s="176" t="s">
        <v>148</v>
      </c>
      <c r="N267" s="176" t="s">
        <v>149</v>
      </c>
      <c r="O267" s="176" t="s">
        <v>150</v>
      </c>
      <c r="P267" s="176" t="s">
        <v>151</v>
      </c>
      <c r="Q267" s="176"/>
      <c r="R267" s="176" t="s">
        <v>4384</v>
      </c>
      <c r="S267" s="176"/>
      <c r="T267" s="176" t="s">
        <v>2819</v>
      </c>
      <c r="U267" s="176" t="s">
        <v>152</v>
      </c>
      <c r="V267" s="176" t="s">
        <v>23</v>
      </c>
    </row>
    <row r="268" spans="1:22" ht="12.75" customHeight="1">
      <c r="A268" s="65"/>
      <c r="B268" s="211">
        <v>46208</v>
      </c>
      <c r="C268" s="211">
        <v>46208</v>
      </c>
      <c r="D268" s="176" t="s">
        <v>4385</v>
      </c>
      <c r="E268" s="176" t="s">
        <v>4386</v>
      </c>
      <c r="F268" s="176" t="s">
        <v>87</v>
      </c>
      <c r="G268" s="176" t="s">
        <v>2486</v>
      </c>
      <c r="H268" s="176">
        <v>40</v>
      </c>
      <c r="I268" s="176">
        <v>22.2</v>
      </c>
      <c r="J268" s="176">
        <v>22.2</v>
      </c>
      <c r="K268" s="176">
        <v>5</v>
      </c>
      <c r="L268" s="176">
        <v>0</v>
      </c>
      <c r="M268" s="176" t="s">
        <v>148</v>
      </c>
      <c r="N268" s="176" t="s">
        <v>149</v>
      </c>
      <c r="O268" s="176" t="s">
        <v>150</v>
      </c>
      <c r="P268" s="176" t="s">
        <v>151</v>
      </c>
      <c r="Q268" s="176"/>
      <c r="R268" s="176" t="s">
        <v>4386</v>
      </c>
      <c r="S268" s="176"/>
      <c r="T268" s="176" t="s">
        <v>2819</v>
      </c>
      <c r="U268" s="176" t="s">
        <v>152</v>
      </c>
      <c r="V268" s="176" t="s">
        <v>23</v>
      </c>
    </row>
    <row r="269" spans="1:22" ht="12.75" customHeight="1">
      <c r="A269" s="65"/>
      <c r="B269" s="211">
        <v>46208</v>
      </c>
      <c r="C269" s="211">
        <v>46208</v>
      </c>
      <c r="D269" s="176" t="s">
        <v>4387</v>
      </c>
      <c r="E269" s="176" t="s">
        <v>4388</v>
      </c>
      <c r="F269" s="176" t="s">
        <v>87</v>
      </c>
      <c r="G269" s="176" t="s">
        <v>2486</v>
      </c>
      <c r="H269" s="176">
        <v>40</v>
      </c>
      <c r="I269" s="176">
        <v>32.200000000000003</v>
      </c>
      <c r="J269" s="176">
        <v>32.200000000000003</v>
      </c>
      <c r="K269" s="176">
        <v>5</v>
      </c>
      <c r="L269" s="176">
        <v>0</v>
      </c>
      <c r="M269" s="176" t="s">
        <v>148</v>
      </c>
      <c r="N269" s="176" t="s">
        <v>149</v>
      </c>
      <c r="O269" s="176" t="s">
        <v>150</v>
      </c>
      <c r="P269" s="176" t="s">
        <v>151</v>
      </c>
      <c r="Q269" s="176"/>
      <c r="R269" s="176" t="s">
        <v>4388</v>
      </c>
      <c r="S269" s="176"/>
      <c r="T269" s="176" t="s">
        <v>2819</v>
      </c>
      <c r="U269" s="176" t="s">
        <v>152</v>
      </c>
      <c r="V269" s="176" t="s">
        <v>23</v>
      </c>
    </row>
    <row r="270" spans="1:22" ht="12.75" customHeight="1">
      <c r="A270" s="65"/>
      <c r="B270" s="211">
        <v>46209</v>
      </c>
      <c r="C270" s="211">
        <v>46209</v>
      </c>
      <c r="D270" s="176" t="s">
        <v>4389</v>
      </c>
      <c r="E270" s="176" t="s">
        <v>4390</v>
      </c>
      <c r="F270" s="176" t="s">
        <v>87</v>
      </c>
      <c r="G270" s="176" t="s">
        <v>2553</v>
      </c>
      <c r="H270" s="176">
        <v>30</v>
      </c>
      <c r="I270" s="176">
        <v>29.3</v>
      </c>
      <c r="J270" s="176">
        <v>29.3</v>
      </c>
      <c r="K270" s="176">
        <v>4</v>
      </c>
      <c r="L270" s="176">
        <v>0</v>
      </c>
      <c r="M270" s="176" t="s">
        <v>148</v>
      </c>
      <c r="N270" s="176" t="s">
        <v>149</v>
      </c>
      <c r="O270" s="176" t="s">
        <v>150</v>
      </c>
      <c r="P270" s="176" t="s">
        <v>151</v>
      </c>
      <c r="Q270" s="176"/>
      <c r="R270" s="176" t="s">
        <v>4390</v>
      </c>
      <c r="S270" s="176"/>
      <c r="T270" s="176" t="s">
        <v>2845</v>
      </c>
      <c r="U270" s="176" t="s">
        <v>152</v>
      </c>
      <c r="V270" s="176" t="s">
        <v>23</v>
      </c>
    </row>
    <row r="271" spans="1:22" ht="12.75" customHeight="1">
      <c r="A271" s="65"/>
      <c r="B271" s="211">
        <v>46209</v>
      </c>
      <c r="C271" s="211">
        <v>46209</v>
      </c>
      <c r="D271" s="176" t="s">
        <v>4391</v>
      </c>
      <c r="E271" s="176" t="s">
        <v>4392</v>
      </c>
      <c r="F271" s="176" t="s">
        <v>87</v>
      </c>
      <c r="G271" s="176" t="s">
        <v>4295</v>
      </c>
      <c r="H271" s="176">
        <v>42</v>
      </c>
      <c r="I271" s="176">
        <v>38.799999999999997</v>
      </c>
      <c r="J271" s="176">
        <v>38.799999999999997</v>
      </c>
      <c r="K271" s="176">
        <v>5</v>
      </c>
      <c r="L271" s="176">
        <v>0</v>
      </c>
      <c r="M271" s="176" t="s">
        <v>148</v>
      </c>
      <c r="N271" s="176" t="s">
        <v>149</v>
      </c>
      <c r="O271" s="176" t="s">
        <v>150</v>
      </c>
      <c r="P271" s="176" t="s">
        <v>151</v>
      </c>
      <c r="Q271" s="176"/>
      <c r="R271" s="176" t="s">
        <v>4392</v>
      </c>
      <c r="S271" s="176"/>
      <c r="T271" s="176" t="s">
        <v>2845</v>
      </c>
      <c r="U271" s="176" t="s">
        <v>152</v>
      </c>
      <c r="V271" s="176" t="s">
        <v>23</v>
      </c>
    </row>
    <row r="272" spans="1:22" ht="12.75" customHeight="1">
      <c r="A272" s="65"/>
      <c r="B272" s="211">
        <v>46209</v>
      </c>
      <c r="C272" s="211">
        <v>46209</v>
      </c>
      <c r="D272" s="176" t="s">
        <v>4393</v>
      </c>
      <c r="E272" s="176" t="s">
        <v>4394</v>
      </c>
      <c r="F272" s="176" t="s">
        <v>87</v>
      </c>
      <c r="G272" s="176" t="s">
        <v>2635</v>
      </c>
      <c r="H272" s="176">
        <v>6</v>
      </c>
      <c r="I272" s="176">
        <v>5.8</v>
      </c>
      <c r="J272" s="176">
        <v>5.8</v>
      </c>
      <c r="K272" s="176">
        <v>1.5</v>
      </c>
      <c r="L272" s="176">
        <v>0</v>
      </c>
      <c r="M272" s="176" t="s">
        <v>148</v>
      </c>
      <c r="N272" s="176" t="s">
        <v>149</v>
      </c>
      <c r="O272" s="176" t="s">
        <v>150</v>
      </c>
      <c r="P272" s="176" t="s">
        <v>151</v>
      </c>
      <c r="Q272" s="176"/>
      <c r="R272" s="176" t="s">
        <v>4394</v>
      </c>
      <c r="S272" s="176"/>
      <c r="T272" s="176" t="s">
        <v>2845</v>
      </c>
      <c r="U272" s="176" t="s">
        <v>152</v>
      </c>
      <c r="V272" s="176" t="s">
        <v>23</v>
      </c>
    </row>
    <row r="273" spans="1:22" ht="12.75" customHeight="1">
      <c r="A273" s="65"/>
      <c r="B273" s="211">
        <v>46209</v>
      </c>
      <c r="C273" s="211">
        <v>46209</v>
      </c>
      <c r="D273" s="176" t="s">
        <v>4395</v>
      </c>
      <c r="E273" s="176" t="s">
        <v>4396</v>
      </c>
      <c r="F273" s="176" t="s">
        <v>87</v>
      </c>
      <c r="G273" s="176" t="s">
        <v>4295</v>
      </c>
      <c r="H273" s="176">
        <v>42</v>
      </c>
      <c r="I273" s="176">
        <v>33.799999999999997</v>
      </c>
      <c r="J273" s="176">
        <v>33.799999999999997</v>
      </c>
      <c r="K273" s="176">
        <v>5</v>
      </c>
      <c r="L273" s="176">
        <v>0</v>
      </c>
      <c r="M273" s="176" t="s">
        <v>148</v>
      </c>
      <c r="N273" s="176" t="s">
        <v>149</v>
      </c>
      <c r="O273" s="176" t="s">
        <v>150</v>
      </c>
      <c r="P273" s="176" t="s">
        <v>151</v>
      </c>
      <c r="Q273" s="176"/>
      <c r="R273" s="176" t="s">
        <v>4396</v>
      </c>
      <c r="S273" s="176"/>
      <c r="T273" s="176" t="s">
        <v>2845</v>
      </c>
      <c r="U273" s="176" t="s">
        <v>152</v>
      </c>
      <c r="V273" s="176" t="s">
        <v>23</v>
      </c>
    </row>
    <row r="274" spans="1:22" ht="12.75" customHeight="1">
      <c r="A274" s="65"/>
      <c r="B274" s="211">
        <v>46209</v>
      </c>
      <c r="C274" s="211">
        <v>46209</v>
      </c>
      <c r="D274" s="176" t="s">
        <v>4397</v>
      </c>
      <c r="E274" s="176" t="s">
        <v>4398</v>
      </c>
      <c r="F274" s="176" t="s">
        <v>87</v>
      </c>
      <c r="G274" s="176" t="s">
        <v>2552</v>
      </c>
      <c r="H274" s="176">
        <v>40</v>
      </c>
      <c r="I274" s="176">
        <v>43.3</v>
      </c>
      <c r="J274" s="176">
        <v>43.3</v>
      </c>
      <c r="K274" s="176">
        <v>5</v>
      </c>
      <c r="L274" s="176">
        <v>0</v>
      </c>
      <c r="M274" s="176" t="s">
        <v>148</v>
      </c>
      <c r="N274" s="176" t="s">
        <v>149</v>
      </c>
      <c r="O274" s="176" t="s">
        <v>150</v>
      </c>
      <c r="P274" s="176" t="s">
        <v>151</v>
      </c>
      <c r="Q274" s="176"/>
      <c r="R274" s="176" t="s">
        <v>4398</v>
      </c>
      <c r="S274" s="176"/>
      <c r="T274" s="176" t="s">
        <v>2845</v>
      </c>
      <c r="U274" s="176" t="s">
        <v>152</v>
      </c>
      <c r="V274" s="176" t="s">
        <v>23</v>
      </c>
    </row>
    <row r="275" spans="1:22" ht="12.75" customHeight="1">
      <c r="A275" s="65"/>
      <c r="B275" s="211">
        <v>46209</v>
      </c>
      <c r="C275" s="211">
        <v>46209</v>
      </c>
      <c r="D275" s="176" t="s">
        <v>4399</v>
      </c>
      <c r="E275" s="176" t="s">
        <v>4400</v>
      </c>
      <c r="F275" s="176" t="s">
        <v>87</v>
      </c>
      <c r="G275" s="176" t="s">
        <v>2633</v>
      </c>
      <c r="H275" s="176">
        <v>40</v>
      </c>
      <c r="I275" s="176">
        <v>40.299999999999997</v>
      </c>
      <c r="J275" s="176">
        <v>40.299999999999997</v>
      </c>
      <c r="K275" s="176">
        <v>5</v>
      </c>
      <c r="L275" s="176">
        <v>0</v>
      </c>
      <c r="M275" s="176" t="s">
        <v>148</v>
      </c>
      <c r="N275" s="176" t="s">
        <v>149</v>
      </c>
      <c r="O275" s="176" t="s">
        <v>150</v>
      </c>
      <c r="P275" s="176" t="s">
        <v>151</v>
      </c>
      <c r="Q275" s="176"/>
      <c r="R275" s="176" t="s">
        <v>4400</v>
      </c>
      <c r="S275" s="176"/>
      <c r="T275" s="176" t="s">
        <v>2845</v>
      </c>
      <c r="U275" s="176" t="s">
        <v>152</v>
      </c>
      <c r="V275" s="176" t="s">
        <v>23</v>
      </c>
    </row>
    <row r="276" spans="1:22" ht="12.75" customHeight="1">
      <c r="A276" s="65"/>
      <c r="B276" s="211">
        <v>46209</v>
      </c>
      <c r="C276" s="211">
        <v>46209</v>
      </c>
      <c r="D276" s="176" t="s">
        <v>4401</v>
      </c>
      <c r="E276" s="176" t="s">
        <v>4402</v>
      </c>
      <c r="F276" s="176" t="s">
        <v>87</v>
      </c>
      <c r="G276" s="176" t="s">
        <v>2486</v>
      </c>
      <c r="H276" s="176">
        <v>40</v>
      </c>
      <c r="I276" s="176">
        <v>39.700000000000003</v>
      </c>
      <c r="J276" s="176">
        <v>39.700000000000003</v>
      </c>
      <c r="K276" s="176">
        <v>5</v>
      </c>
      <c r="L276" s="176">
        <v>0</v>
      </c>
      <c r="M276" s="176" t="s">
        <v>148</v>
      </c>
      <c r="N276" s="176" t="s">
        <v>149</v>
      </c>
      <c r="O276" s="176" t="s">
        <v>150</v>
      </c>
      <c r="P276" s="176" t="s">
        <v>151</v>
      </c>
      <c r="Q276" s="176"/>
      <c r="R276" s="176" t="s">
        <v>4402</v>
      </c>
      <c r="S276" s="176"/>
      <c r="T276" s="176" t="s">
        <v>2845</v>
      </c>
      <c r="U276" s="176" t="s">
        <v>152</v>
      </c>
      <c r="V276" s="176" t="s">
        <v>23</v>
      </c>
    </row>
    <row r="277" spans="1:22" ht="12.75" customHeight="1">
      <c r="A277" s="65"/>
      <c r="B277" s="211">
        <v>46209</v>
      </c>
      <c r="C277" s="211">
        <v>46209</v>
      </c>
      <c r="D277" s="176" t="s">
        <v>4403</v>
      </c>
      <c r="E277" s="176" t="s">
        <v>4404</v>
      </c>
      <c r="F277" s="176" t="s">
        <v>87</v>
      </c>
      <c r="G277" s="176" t="s">
        <v>2486</v>
      </c>
      <c r="H277" s="176">
        <v>40</v>
      </c>
      <c r="I277" s="176">
        <v>38.700000000000003</v>
      </c>
      <c r="J277" s="176">
        <v>38.700000000000003</v>
      </c>
      <c r="K277" s="176">
        <v>5</v>
      </c>
      <c r="L277" s="176">
        <v>0</v>
      </c>
      <c r="M277" s="176" t="s">
        <v>148</v>
      </c>
      <c r="N277" s="176" t="s">
        <v>149</v>
      </c>
      <c r="O277" s="176" t="s">
        <v>150</v>
      </c>
      <c r="P277" s="176" t="s">
        <v>151</v>
      </c>
      <c r="Q277" s="176"/>
      <c r="R277" s="176" t="s">
        <v>4404</v>
      </c>
      <c r="S277" s="176"/>
      <c r="T277" s="176" t="s">
        <v>2845</v>
      </c>
      <c r="U277" s="176" t="s">
        <v>152</v>
      </c>
      <c r="V277" s="176" t="s">
        <v>23</v>
      </c>
    </row>
    <row r="278" spans="1:22" ht="12.75" customHeight="1">
      <c r="A278" s="65"/>
      <c r="B278" s="211">
        <v>46209</v>
      </c>
      <c r="C278" s="211">
        <v>46209</v>
      </c>
      <c r="D278" s="176" t="s">
        <v>4405</v>
      </c>
      <c r="E278" s="176" t="s">
        <v>4406</v>
      </c>
      <c r="F278" s="176" t="s">
        <v>87</v>
      </c>
      <c r="G278" s="176" t="s">
        <v>2553</v>
      </c>
      <c r="H278" s="176">
        <v>30</v>
      </c>
      <c r="I278" s="176">
        <v>31.8</v>
      </c>
      <c r="J278" s="176">
        <v>31.8</v>
      </c>
      <c r="K278" s="176">
        <v>4</v>
      </c>
      <c r="L278" s="176">
        <v>0</v>
      </c>
      <c r="M278" s="176" t="s">
        <v>148</v>
      </c>
      <c r="N278" s="176" t="s">
        <v>149</v>
      </c>
      <c r="O278" s="176" t="s">
        <v>150</v>
      </c>
      <c r="P278" s="176" t="s">
        <v>151</v>
      </c>
      <c r="Q278" s="176"/>
      <c r="R278" s="176" t="s">
        <v>4406</v>
      </c>
      <c r="S278" s="176"/>
      <c r="T278" s="176" t="s">
        <v>2845</v>
      </c>
      <c r="U278" s="176" t="s">
        <v>152</v>
      </c>
      <c r="V278" s="176" t="s">
        <v>23</v>
      </c>
    </row>
    <row r="279" spans="1:22" ht="12.75" customHeight="1">
      <c r="A279" s="65"/>
      <c r="B279" s="211">
        <v>46209</v>
      </c>
      <c r="C279" s="211">
        <v>46209</v>
      </c>
      <c r="D279" s="176" t="s">
        <v>4407</v>
      </c>
      <c r="E279" s="176" t="s">
        <v>4408</v>
      </c>
      <c r="F279" s="176" t="s">
        <v>87</v>
      </c>
      <c r="G279" s="176" t="s">
        <v>2552</v>
      </c>
      <c r="H279" s="176">
        <v>40</v>
      </c>
      <c r="I279" s="176">
        <v>23.8</v>
      </c>
      <c r="J279" s="176">
        <v>23.8</v>
      </c>
      <c r="K279" s="176">
        <v>5</v>
      </c>
      <c r="L279" s="176">
        <v>0</v>
      </c>
      <c r="M279" s="176" t="s">
        <v>148</v>
      </c>
      <c r="N279" s="176" t="s">
        <v>149</v>
      </c>
      <c r="O279" s="176" t="s">
        <v>150</v>
      </c>
      <c r="P279" s="176" t="s">
        <v>151</v>
      </c>
      <c r="Q279" s="176"/>
      <c r="R279" s="176" t="s">
        <v>4408</v>
      </c>
      <c r="S279" s="176"/>
      <c r="T279" s="176" t="s">
        <v>2845</v>
      </c>
      <c r="U279" s="176" t="s">
        <v>152</v>
      </c>
      <c r="V279" s="176" t="s">
        <v>23</v>
      </c>
    </row>
    <row r="280" spans="1:22" ht="12.75" customHeight="1">
      <c r="A280" s="65"/>
      <c r="B280" s="211">
        <v>46209</v>
      </c>
      <c r="C280" s="211">
        <v>46209</v>
      </c>
      <c r="D280" s="176" t="s">
        <v>4409</v>
      </c>
      <c r="E280" s="176" t="s">
        <v>4410</v>
      </c>
      <c r="F280" s="176" t="s">
        <v>87</v>
      </c>
      <c r="G280" s="176" t="s">
        <v>2633</v>
      </c>
      <c r="H280" s="176">
        <v>40</v>
      </c>
      <c r="I280" s="176">
        <v>22.7</v>
      </c>
      <c r="J280" s="176">
        <v>22.7</v>
      </c>
      <c r="K280" s="176">
        <v>5</v>
      </c>
      <c r="L280" s="176">
        <v>0</v>
      </c>
      <c r="M280" s="176" t="s">
        <v>148</v>
      </c>
      <c r="N280" s="176" t="s">
        <v>149</v>
      </c>
      <c r="O280" s="176" t="s">
        <v>150</v>
      </c>
      <c r="P280" s="176" t="s">
        <v>151</v>
      </c>
      <c r="Q280" s="176"/>
      <c r="R280" s="176" t="s">
        <v>4410</v>
      </c>
      <c r="S280" s="176"/>
      <c r="T280" s="176" t="s">
        <v>2845</v>
      </c>
      <c r="U280" s="176" t="s">
        <v>152</v>
      </c>
      <c r="V280" s="176" t="s">
        <v>23</v>
      </c>
    </row>
    <row r="281" spans="1:22" ht="12.75" customHeight="1">
      <c r="A281" s="65"/>
      <c r="B281" s="211">
        <v>46209</v>
      </c>
      <c r="C281" s="211">
        <v>46209</v>
      </c>
      <c r="D281" s="176" t="s">
        <v>4411</v>
      </c>
      <c r="E281" s="176" t="s">
        <v>4412</v>
      </c>
      <c r="F281" s="176" t="s">
        <v>87</v>
      </c>
      <c r="G281" s="176" t="s">
        <v>4295</v>
      </c>
      <c r="H281" s="176">
        <v>42</v>
      </c>
      <c r="I281" s="176">
        <v>29.5</v>
      </c>
      <c r="J281" s="176">
        <v>29.5</v>
      </c>
      <c r="K281" s="176">
        <v>5</v>
      </c>
      <c r="L281" s="176">
        <v>0</v>
      </c>
      <c r="M281" s="176" t="s">
        <v>148</v>
      </c>
      <c r="N281" s="176" t="s">
        <v>149</v>
      </c>
      <c r="O281" s="176" t="s">
        <v>150</v>
      </c>
      <c r="P281" s="176" t="s">
        <v>151</v>
      </c>
      <c r="Q281" s="176"/>
      <c r="R281" s="176" t="s">
        <v>4412</v>
      </c>
      <c r="S281" s="176"/>
      <c r="T281" s="176" t="s">
        <v>2845</v>
      </c>
      <c r="U281" s="176" t="s">
        <v>152</v>
      </c>
      <c r="V281" s="176" t="s">
        <v>23</v>
      </c>
    </row>
    <row r="282" spans="1:22" ht="12.75" customHeight="1">
      <c r="A282" s="65"/>
      <c r="B282" s="211">
        <v>46209</v>
      </c>
      <c r="C282" s="211">
        <v>46209</v>
      </c>
      <c r="D282" s="176" t="s">
        <v>4413</v>
      </c>
      <c r="E282" s="176" t="s">
        <v>4414</v>
      </c>
      <c r="F282" s="176" t="s">
        <v>87</v>
      </c>
      <c r="G282" s="176" t="s">
        <v>2552</v>
      </c>
      <c r="H282" s="176">
        <v>40</v>
      </c>
      <c r="I282" s="176">
        <v>37.799999999999997</v>
      </c>
      <c r="J282" s="176">
        <v>37.799999999999997</v>
      </c>
      <c r="K282" s="176">
        <v>5</v>
      </c>
      <c r="L282" s="176">
        <v>0</v>
      </c>
      <c r="M282" s="176" t="s">
        <v>148</v>
      </c>
      <c r="N282" s="176" t="s">
        <v>149</v>
      </c>
      <c r="O282" s="176" t="s">
        <v>150</v>
      </c>
      <c r="P282" s="176" t="s">
        <v>151</v>
      </c>
      <c r="Q282" s="176"/>
      <c r="R282" s="176" t="s">
        <v>4414</v>
      </c>
      <c r="S282" s="176"/>
      <c r="T282" s="176" t="s">
        <v>2845</v>
      </c>
      <c r="U282" s="176" t="s">
        <v>152</v>
      </c>
      <c r="V282" s="176" t="s">
        <v>23</v>
      </c>
    </row>
    <row r="283" spans="1:22" ht="12.75" customHeight="1">
      <c r="A283" s="65"/>
      <c r="B283" s="211">
        <v>46209</v>
      </c>
      <c r="C283" s="211">
        <v>46209</v>
      </c>
      <c r="D283" s="176" t="s">
        <v>4415</v>
      </c>
      <c r="E283" s="176" t="s">
        <v>4416</v>
      </c>
      <c r="F283" s="176" t="s">
        <v>87</v>
      </c>
      <c r="G283" s="176" t="s">
        <v>3866</v>
      </c>
      <c r="H283" s="176">
        <v>40</v>
      </c>
      <c r="I283" s="176">
        <v>40.9</v>
      </c>
      <c r="J283" s="176">
        <v>40.9</v>
      </c>
      <c r="K283" s="176">
        <v>5</v>
      </c>
      <c r="L283" s="176">
        <v>0</v>
      </c>
      <c r="M283" s="176" t="s">
        <v>148</v>
      </c>
      <c r="N283" s="176" t="s">
        <v>149</v>
      </c>
      <c r="O283" s="176" t="s">
        <v>150</v>
      </c>
      <c r="P283" s="176" t="s">
        <v>151</v>
      </c>
      <c r="Q283" s="176"/>
      <c r="R283" s="176" t="s">
        <v>4416</v>
      </c>
      <c r="S283" s="176"/>
      <c r="T283" s="176" t="s">
        <v>2845</v>
      </c>
      <c r="U283" s="176" t="s">
        <v>152</v>
      </c>
      <c r="V283" s="176" t="s">
        <v>23</v>
      </c>
    </row>
    <row r="284" spans="1:22" ht="12.75" customHeight="1">
      <c r="A284" s="65"/>
      <c r="B284" s="211">
        <v>46209</v>
      </c>
      <c r="C284" s="211">
        <v>46209</v>
      </c>
      <c r="D284" s="176" t="s">
        <v>4417</v>
      </c>
      <c r="E284" s="176" t="s">
        <v>4418</v>
      </c>
      <c r="F284" s="176" t="s">
        <v>87</v>
      </c>
      <c r="G284" s="176" t="s">
        <v>2486</v>
      </c>
      <c r="H284" s="176">
        <v>40</v>
      </c>
      <c r="I284" s="176">
        <v>37</v>
      </c>
      <c r="J284" s="176">
        <v>37</v>
      </c>
      <c r="K284" s="176">
        <v>5</v>
      </c>
      <c r="L284" s="176">
        <v>0</v>
      </c>
      <c r="M284" s="176" t="s">
        <v>148</v>
      </c>
      <c r="N284" s="176" t="s">
        <v>149</v>
      </c>
      <c r="O284" s="176" t="s">
        <v>150</v>
      </c>
      <c r="P284" s="176" t="s">
        <v>151</v>
      </c>
      <c r="Q284" s="176"/>
      <c r="R284" s="176" t="s">
        <v>4418</v>
      </c>
      <c r="S284" s="176"/>
      <c r="T284" s="176" t="s">
        <v>2845</v>
      </c>
      <c r="U284" s="176" t="s">
        <v>152</v>
      </c>
      <c r="V284" s="176" t="s">
        <v>23</v>
      </c>
    </row>
    <row r="285" spans="1:22" ht="12.75" customHeight="1">
      <c r="A285" s="65"/>
      <c r="B285" s="211">
        <v>46209</v>
      </c>
      <c r="C285" s="211">
        <v>46209</v>
      </c>
      <c r="D285" s="176" t="s">
        <v>4419</v>
      </c>
      <c r="E285" s="176" t="s">
        <v>4420</v>
      </c>
      <c r="F285" s="176" t="s">
        <v>87</v>
      </c>
      <c r="G285" s="176" t="s">
        <v>2633</v>
      </c>
      <c r="H285" s="176">
        <v>40</v>
      </c>
      <c r="I285" s="176">
        <v>35</v>
      </c>
      <c r="J285" s="176">
        <v>35</v>
      </c>
      <c r="K285" s="176">
        <v>5</v>
      </c>
      <c r="L285" s="176">
        <v>0</v>
      </c>
      <c r="M285" s="176" t="s">
        <v>148</v>
      </c>
      <c r="N285" s="176" t="s">
        <v>149</v>
      </c>
      <c r="O285" s="176" t="s">
        <v>150</v>
      </c>
      <c r="P285" s="176" t="s">
        <v>151</v>
      </c>
      <c r="Q285" s="176"/>
      <c r="R285" s="176" t="s">
        <v>4420</v>
      </c>
      <c r="S285" s="176"/>
      <c r="T285" s="176" t="s">
        <v>2845</v>
      </c>
      <c r="U285" s="176" t="s">
        <v>152</v>
      </c>
      <c r="V285" s="176" t="s">
        <v>23</v>
      </c>
    </row>
    <row r="286" spans="1:22" ht="12.75" customHeight="1">
      <c r="A286" s="65"/>
      <c r="B286" s="211">
        <v>46209</v>
      </c>
      <c r="C286" s="211">
        <v>46209</v>
      </c>
      <c r="D286" s="176" t="s">
        <v>4421</v>
      </c>
      <c r="E286" s="176" t="s">
        <v>4422</v>
      </c>
      <c r="F286" s="176" t="s">
        <v>87</v>
      </c>
      <c r="G286" s="176" t="s">
        <v>4295</v>
      </c>
      <c r="H286" s="176">
        <v>42</v>
      </c>
      <c r="I286" s="176">
        <v>37.799999999999997</v>
      </c>
      <c r="J286" s="176">
        <v>37.799999999999997</v>
      </c>
      <c r="K286" s="176">
        <v>5</v>
      </c>
      <c r="L286" s="176">
        <v>0</v>
      </c>
      <c r="M286" s="176" t="s">
        <v>148</v>
      </c>
      <c r="N286" s="176" t="s">
        <v>149</v>
      </c>
      <c r="O286" s="176" t="s">
        <v>150</v>
      </c>
      <c r="P286" s="176" t="s">
        <v>151</v>
      </c>
      <c r="Q286" s="176"/>
      <c r="R286" s="176" t="s">
        <v>4422</v>
      </c>
      <c r="S286" s="176"/>
      <c r="T286" s="176" t="s">
        <v>2845</v>
      </c>
      <c r="U286" s="176" t="s">
        <v>152</v>
      </c>
      <c r="V286" s="176" t="s">
        <v>23</v>
      </c>
    </row>
    <row r="287" spans="1:22" ht="12.75" customHeight="1">
      <c r="A287" s="65"/>
      <c r="B287" s="211">
        <v>46209</v>
      </c>
      <c r="C287" s="211">
        <v>46209</v>
      </c>
      <c r="D287" s="176" t="s">
        <v>4423</v>
      </c>
      <c r="E287" s="176" t="s">
        <v>4424</v>
      </c>
      <c r="F287" s="176" t="s">
        <v>87</v>
      </c>
      <c r="G287" s="176" t="s">
        <v>2552</v>
      </c>
      <c r="H287" s="176">
        <v>40</v>
      </c>
      <c r="I287" s="176">
        <v>37.799999999999997</v>
      </c>
      <c r="J287" s="176">
        <v>37.799999999999997</v>
      </c>
      <c r="K287" s="176">
        <v>5</v>
      </c>
      <c r="L287" s="176">
        <v>0</v>
      </c>
      <c r="M287" s="176" t="s">
        <v>148</v>
      </c>
      <c r="N287" s="176" t="s">
        <v>149</v>
      </c>
      <c r="O287" s="176" t="s">
        <v>150</v>
      </c>
      <c r="P287" s="176" t="s">
        <v>151</v>
      </c>
      <c r="Q287" s="176"/>
      <c r="R287" s="176" t="s">
        <v>4424</v>
      </c>
      <c r="S287" s="176"/>
      <c r="T287" s="176" t="s">
        <v>2845</v>
      </c>
      <c r="U287" s="176" t="s">
        <v>152</v>
      </c>
      <c r="V287" s="176" t="s">
        <v>23</v>
      </c>
    </row>
    <row r="288" spans="1:22" ht="12.75" customHeight="1">
      <c r="A288" s="65"/>
      <c r="B288" s="211">
        <v>46209</v>
      </c>
      <c r="C288" s="211">
        <v>46209</v>
      </c>
      <c r="D288" s="176" t="s">
        <v>4425</v>
      </c>
      <c r="E288" s="176" t="s">
        <v>4426</v>
      </c>
      <c r="F288" s="176" t="s">
        <v>87</v>
      </c>
      <c r="G288" s="176" t="s">
        <v>2639</v>
      </c>
      <c r="H288" s="176">
        <v>25</v>
      </c>
      <c r="I288" s="176">
        <v>25.8</v>
      </c>
      <c r="J288" s="176">
        <v>25.8</v>
      </c>
      <c r="K288" s="176">
        <v>4</v>
      </c>
      <c r="L288" s="176">
        <v>0</v>
      </c>
      <c r="M288" s="176" t="s">
        <v>148</v>
      </c>
      <c r="N288" s="176" t="s">
        <v>149</v>
      </c>
      <c r="O288" s="176" t="s">
        <v>150</v>
      </c>
      <c r="P288" s="176" t="s">
        <v>151</v>
      </c>
      <c r="Q288" s="176"/>
      <c r="R288" s="176" t="s">
        <v>4426</v>
      </c>
      <c r="S288" s="176"/>
      <c r="T288" s="176" t="s">
        <v>2845</v>
      </c>
      <c r="U288" s="176" t="s">
        <v>152</v>
      </c>
      <c r="V288" s="176" t="s">
        <v>23</v>
      </c>
    </row>
    <row r="289" spans="1:22" ht="12.75" customHeight="1">
      <c r="A289" s="65"/>
      <c r="B289" s="211">
        <v>46209</v>
      </c>
      <c r="C289" s="211">
        <v>46209</v>
      </c>
      <c r="D289" s="176" t="s">
        <v>4427</v>
      </c>
      <c r="E289" s="176" t="s">
        <v>4428</v>
      </c>
      <c r="F289" s="176" t="s">
        <v>87</v>
      </c>
      <c r="G289" s="176" t="s">
        <v>4295</v>
      </c>
      <c r="H289" s="176">
        <v>42</v>
      </c>
      <c r="I289" s="176">
        <v>37.299999999999997</v>
      </c>
      <c r="J289" s="176">
        <v>37.299999999999997</v>
      </c>
      <c r="K289" s="176">
        <v>5</v>
      </c>
      <c r="L289" s="176">
        <v>0</v>
      </c>
      <c r="M289" s="176" t="s">
        <v>148</v>
      </c>
      <c r="N289" s="176" t="s">
        <v>149</v>
      </c>
      <c r="O289" s="176" t="s">
        <v>150</v>
      </c>
      <c r="P289" s="176" t="s">
        <v>151</v>
      </c>
      <c r="Q289" s="176"/>
      <c r="R289" s="176" t="s">
        <v>4428</v>
      </c>
      <c r="S289" s="176"/>
      <c r="T289" s="176" t="s">
        <v>2845</v>
      </c>
      <c r="U289" s="176" t="s">
        <v>152</v>
      </c>
      <c r="V289" s="176" t="s">
        <v>23</v>
      </c>
    </row>
    <row r="290" spans="1:22" ht="12.75" customHeight="1">
      <c r="A290" s="65"/>
      <c r="B290" s="211">
        <v>46209</v>
      </c>
      <c r="C290" s="211">
        <v>46209</v>
      </c>
      <c r="D290" s="176" t="s">
        <v>4429</v>
      </c>
      <c r="E290" s="176" t="s">
        <v>4430</v>
      </c>
      <c r="F290" s="176" t="s">
        <v>87</v>
      </c>
      <c r="G290" s="176" t="s">
        <v>2637</v>
      </c>
      <c r="H290" s="176">
        <v>40</v>
      </c>
      <c r="I290" s="176">
        <v>37.6</v>
      </c>
      <c r="J290" s="176">
        <v>37.6</v>
      </c>
      <c r="K290" s="176">
        <v>7</v>
      </c>
      <c r="L290" s="176">
        <v>0</v>
      </c>
      <c r="M290" s="176" t="s">
        <v>148</v>
      </c>
      <c r="N290" s="176" t="s">
        <v>149</v>
      </c>
      <c r="O290" s="176" t="s">
        <v>150</v>
      </c>
      <c r="P290" s="176" t="s">
        <v>151</v>
      </c>
      <c r="Q290" s="176"/>
      <c r="R290" s="176" t="s">
        <v>4430</v>
      </c>
      <c r="S290" s="176"/>
      <c r="T290" s="176" t="s">
        <v>2845</v>
      </c>
      <c r="U290" s="176" t="s">
        <v>152</v>
      </c>
      <c r="V290" s="176" t="s">
        <v>23</v>
      </c>
    </row>
    <row r="291" spans="1:22" ht="12.75" customHeight="1">
      <c r="A291" s="65"/>
      <c r="B291" s="211">
        <v>46209</v>
      </c>
      <c r="C291" s="211">
        <v>46209</v>
      </c>
      <c r="D291" s="176" t="s">
        <v>4431</v>
      </c>
      <c r="E291" s="176" t="s">
        <v>4432</v>
      </c>
      <c r="F291" s="176" t="s">
        <v>87</v>
      </c>
      <c r="G291" s="176" t="s">
        <v>2001</v>
      </c>
      <c r="H291" s="176">
        <v>6</v>
      </c>
      <c r="I291" s="176">
        <v>28.3</v>
      </c>
      <c r="J291" s="176">
        <v>28.3</v>
      </c>
      <c r="K291" s="176">
        <v>1.5</v>
      </c>
      <c r="L291" s="176">
        <v>0</v>
      </c>
      <c r="M291" s="176" t="s">
        <v>148</v>
      </c>
      <c r="N291" s="176" t="s">
        <v>149</v>
      </c>
      <c r="O291" s="176" t="s">
        <v>150</v>
      </c>
      <c r="P291" s="176" t="s">
        <v>151</v>
      </c>
      <c r="Q291" s="176"/>
      <c r="R291" s="176" t="s">
        <v>4432</v>
      </c>
      <c r="S291" s="176"/>
      <c r="T291" s="176" t="s">
        <v>2845</v>
      </c>
      <c r="U291" s="176" t="s">
        <v>152</v>
      </c>
      <c r="V291" s="176" t="s">
        <v>23</v>
      </c>
    </row>
    <row r="292" spans="1:22" ht="12.75" customHeight="1">
      <c r="A292" s="65"/>
      <c r="B292" s="211">
        <v>46209</v>
      </c>
      <c r="C292" s="211">
        <v>46209</v>
      </c>
      <c r="D292" s="176" t="s">
        <v>4433</v>
      </c>
      <c r="E292" s="176" t="s">
        <v>4434</v>
      </c>
      <c r="F292" s="176" t="s">
        <v>87</v>
      </c>
      <c r="G292" s="176" t="s">
        <v>2636</v>
      </c>
      <c r="H292" s="176">
        <v>6</v>
      </c>
      <c r="I292" s="176">
        <v>14.3</v>
      </c>
      <c r="J292" s="176">
        <v>14.3</v>
      </c>
      <c r="K292" s="176">
        <v>1.5</v>
      </c>
      <c r="L292" s="176">
        <v>0</v>
      </c>
      <c r="M292" s="176" t="s">
        <v>148</v>
      </c>
      <c r="N292" s="176" t="s">
        <v>149</v>
      </c>
      <c r="O292" s="176" t="s">
        <v>150</v>
      </c>
      <c r="P292" s="176" t="s">
        <v>151</v>
      </c>
      <c r="Q292" s="176"/>
      <c r="R292" s="176" t="s">
        <v>4434</v>
      </c>
      <c r="S292" s="176"/>
      <c r="T292" s="176" t="s">
        <v>2845</v>
      </c>
      <c r="U292" s="176" t="s">
        <v>152</v>
      </c>
      <c r="V292" s="176" t="s">
        <v>23</v>
      </c>
    </row>
    <row r="293" spans="1:22" ht="12.75" customHeight="1">
      <c r="A293" s="65"/>
      <c r="B293" s="211">
        <v>46209</v>
      </c>
      <c r="C293" s="211">
        <v>46209</v>
      </c>
      <c r="D293" s="176" t="s">
        <v>4435</v>
      </c>
      <c r="E293" s="176" t="s">
        <v>4436</v>
      </c>
      <c r="F293" s="176" t="s">
        <v>87</v>
      </c>
      <c r="G293" s="176" t="s">
        <v>2553</v>
      </c>
      <c r="H293" s="176">
        <v>30</v>
      </c>
      <c r="I293" s="176">
        <v>38.200000000000003</v>
      </c>
      <c r="J293" s="176">
        <v>38.200000000000003</v>
      </c>
      <c r="K293" s="176">
        <v>4</v>
      </c>
      <c r="L293" s="176">
        <v>0</v>
      </c>
      <c r="M293" s="176" t="s">
        <v>148</v>
      </c>
      <c r="N293" s="176" t="s">
        <v>149</v>
      </c>
      <c r="O293" s="176" t="s">
        <v>150</v>
      </c>
      <c r="P293" s="176" t="s">
        <v>151</v>
      </c>
      <c r="Q293" s="176"/>
      <c r="R293" s="176" t="s">
        <v>4436</v>
      </c>
      <c r="S293" s="176"/>
      <c r="T293" s="176" t="s">
        <v>2845</v>
      </c>
      <c r="U293" s="176" t="s">
        <v>152</v>
      </c>
      <c r="V293" s="176" t="s">
        <v>23</v>
      </c>
    </row>
    <row r="294" spans="1:22" ht="12.75" customHeight="1">
      <c r="A294" s="65"/>
      <c r="B294" s="211">
        <v>46209</v>
      </c>
      <c r="C294" s="211">
        <v>46209</v>
      </c>
      <c r="D294" s="176" t="s">
        <v>4437</v>
      </c>
      <c r="E294" s="176" t="s">
        <v>4438</v>
      </c>
      <c r="F294" s="176" t="s">
        <v>87</v>
      </c>
      <c r="G294" s="176" t="s">
        <v>2553</v>
      </c>
      <c r="H294" s="176">
        <v>30</v>
      </c>
      <c r="I294" s="176">
        <v>36.200000000000003</v>
      </c>
      <c r="J294" s="176">
        <v>36.200000000000003</v>
      </c>
      <c r="K294" s="176">
        <v>4</v>
      </c>
      <c r="L294" s="176">
        <v>0</v>
      </c>
      <c r="M294" s="176" t="s">
        <v>148</v>
      </c>
      <c r="N294" s="176" t="s">
        <v>149</v>
      </c>
      <c r="O294" s="176" t="s">
        <v>150</v>
      </c>
      <c r="P294" s="176" t="s">
        <v>151</v>
      </c>
      <c r="Q294" s="176"/>
      <c r="R294" s="176" t="s">
        <v>4438</v>
      </c>
      <c r="S294" s="176"/>
      <c r="T294" s="176" t="s">
        <v>2845</v>
      </c>
      <c r="U294" s="176" t="s">
        <v>152</v>
      </c>
      <c r="V294" s="176" t="s">
        <v>23</v>
      </c>
    </row>
    <row r="295" spans="1:22" ht="12.75" customHeight="1">
      <c r="A295" s="65"/>
      <c r="B295" s="211">
        <v>46209</v>
      </c>
      <c r="C295" s="211">
        <v>46209</v>
      </c>
      <c r="D295" s="176" t="s">
        <v>4439</v>
      </c>
      <c r="E295" s="176" t="s">
        <v>4440</v>
      </c>
      <c r="F295" s="176" t="s">
        <v>87</v>
      </c>
      <c r="G295" s="176" t="s">
        <v>4295</v>
      </c>
      <c r="H295" s="176">
        <v>42</v>
      </c>
      <c r="I295" s="176">
        <v>52.2</v>
      </c>
      <c r="J295" s="176">
        <v>52.2</v>
      </c>
      <c r="K295" s="176">
        <v>5</v>
      </c>
      <c r="L295" s="176">
        <v>0</v>
      </c>
      <c r="M295" s="176" t="s">
        <v>148</v>
      </c>
      <c r="N295" s="176" t="s">
        <v>149</v>
      </c>
      <c r="O295" s="176" t="s">
        <v>150</v>
      </c>
      <c r="P295" s="176" t="s">
        <v>151</v>
      </c>
      <c r="Q295" s="176"/>
      <c r="R295" s="176" t="s">
        <v>4440</v>
      </c>
      <c r="S295" s="176"/>
      <c r="T295" s="176" t="s">
        <v>2845</v>
      </c>
      <c r="U295" s="176" t="s">
        <v>152</v>
      </c>
      <c r="V295" s="176" t="s">
        <v>23</v>
      </c>
    </row>
    <row r="296" spans="1:22" ht="12.75" customHeight="1">
      <c r="A296" s="65"/>
      <c r="B296" s="211">
        <v>46209</v>
      </c>
      <c r="C296" s="211">
        <v>46209</v>
      </c>
      <c r="D296" s="176" t="s">
        <v>4441</v>
      </c>
      <c r="E296" s="176" t="s">
        <v>4442</v>
      </c>
      <c r="F296" s="176" t="s">
        <v>87</v>
      </c>
      <c r="G296" s="176" t="s">
        <v>2486</v>
      </c>
      <c r="H296" s="176">
        <v>40</v>
      </c>
      <c r="I296" s="176">
        <v>39.700000000000003</v>
      </c>
      <c r="J296" s="176">
        <v>39.700000000000003</v>
      </c>
      <c r="K296" s="176">
        <v>5</v>
      </c>
      <c r="L296" s="176">
        <v>0</v>
      </c>
      <c r="M296" s="176" t="s">
        <v>148</v>
      </c>
      <c r="N296" s="176" t="s">
        <v>149</v>
      </c>
      <c r="O296" s="176" t="s">
        <v>150</v>
      </c>
      <c r="P296" s="176" t="s">
        <v>151</v>
      </c>
      <c r="Q296" s="176"/>
      <c r="R296" s="176" t="s">
        <v>4442</v>
      </c>
      <c r="S296" s="176"/>
      <c r="T296" s="176" t="s">
        <v>2845</v>
      </c>
      <c r="U296" s="176" t="s">
        <v>152</v>
      </c>
      <c r="V296" s="176" t="s">
        <v>23</v>
      </c>
    </row>
    <row r="297" spans="1:22" ht="12.75" customHeight="1">
      <c r="A297" s="65"/>
      <c r="B297" s="211">
        <v>46209</v>
      </c>
      <c r="C297" s="211">
        <v>46209</v>
      </c>
      <c r="D297" s="176" t="s">
        <v>4443</v>
      </c>
      <c r="E297" s="176" t="s">
        <v>4444</v>
      </c>
      <c r="F297" s="176" t="s">
        <v>87</v>
      </c>
      <c r="G297" s="176" t="s">
        <v>2553</v>
      </c>
      <c r="H297" s="176">
        <v>30</v>
      </c>
      <c r="I297" s="176">
        <v>32.6</v>
      </c>
      <c r="J297" s="176">
        <v>32.6</v>
      </c>
      <c r="K297" s="176">
        <v>4</v>
      </c>
      <c r="L297" s="176">
        <v>0</v>
      </c>
      <c r="M297" s="176" t="s">
        <v>148</v>
      </c>
      <c r="N297" s="176" t="s">
        <v>149</v>
      </c>
      <c r="O297" s="176" t="s">
        <v>150</v>
      </c>
      <c r="P297" s="176" t="s">
        <v>151</v>
      </c>
      <c r="Q297" s="176"/>
      <c r="R297" s="176" t="s">
        <v>4444</v>
      </c>
      <c r="S297" s="176"/>
      <c r="T297" s="176" t="s">
        <v>2845</v>
      </c>
      <c r="U297" s="176" t="s">
        <v>152</v>
      </c>
      <c r="V297" s="176" t="s">
        <v>23</v>
      </c>
    </row>
    <row r="298" spans="1:22" ht="12.75" customHeight="1">
      <c r="A298" s="65"/>
      <c r="B298" s="211">
        <v>46209</v>
      </c>
      <c r="C298" s="211">
        <v>46209</v>
      </c>
      <c r="D298" s="176" t="s">
        <v>4445</v>
      </c>
      <c r="E298" s="176" t="s">
        <v>4446</v>
      </c>
      <c r="F298" s="176" t="s">
        <v>87</v>
      </c>
      <c r="G298" s="176" t="s">
        <v>2639</v>
      </c>
      <c r="H298" s="176">
        <v>25</v>
      </c>
      <c r="I298" s="176">
        <v>27.8</v>
      </c>
      <c r="J298" s="176">
        <v>27.8</v>
      </c>
      <c r="K298" s="176">
        <v>4</v>
      </c>
      <c r="L298" s="176">
        <v>0</v>
      </c>
      <c r="M298" s="176" t="s">
        <v>148</v>
      </c>
      <c r="N298" s="176" t="s">
        <v>149</v>
      </c>
      <c r="O298" s="176" t="s">
        <v>150</v>
      </c>
      <c r="P298" s="176" t="s">
        <v>151</v>
      </c>
      <c r="Q298" s="176"/>
      <c r="R298" s="176" t="s">
        <v>4446</v>
      </c>
      <c r="S298" s="176"/>
      <c r="T298" s="176" t="s">
        <v>2845</v>
      </c>
      <c r="U298" s="176" t="s">
        <v>152</v>
      </c>
      <c r="V298" s="176" t="s">
        <v>23</v>
      </c>
    </row>
    <row r="299" spans="1:22" ht="12.75" customHeight="1">
      <c r="A299" s="65"/>
      <c r="B299" s="211">
        <v>46209</v>
      </c>
      <c r="C299" s="211">
        <v>46209</v>
      </c>
      <c r="D299" s="176" t="s">
        <v>4447</v>
      </c>
      <c r="E299" s="176" t="s">
        <v>4448</v>
      </c>
      <c r="F299" s="176" t="s">
        <v>87</v>
      </c>
      <c r="G299" s="176" t="s">
        <v>2552</v>
      </c>
      <c r="H299" s="176">
        <v>40</v>
      </c>
      <c r="I299" s="176">
        <v>42.8</v>
      </c>
      <c r="J299" s="176">
        <v>42.8</v>
      </c>
      <c r="K299" s="176">
        <v>5</v>
      </c>
      <c r="L299" s="176">
        <v>0</v>
      </c>
      <c r="M299" s="176" t="s">
        <v>148</v>
      </c>
      <c r="N299" s="176" t="s">
        <v>149</v>
      </c>
      <c r="O299" s="176" t="s">
        <v>150</v>
      </c>
      <c r="P299" s="176" t="s">
        <v>151</v>
      </c>
      <c r="Q299" s="176"/>
      <c r="R299" s="176" t="s">
        <v>4448</v>
      </c>
      <c r="S299" s="176"/>
      <c r="T299" s="176" t="s">
        <v>2845</v>
      </c>
      <c r="U299" s="176" t="s">
        <v>152</v>
      </c>
      <c r="V299" s="176" t="s">
        <v>23</v>
      </c>
    </row>
    <row r="300" spans="1:22" ht="12.75" customHeight="1">
      <c r="A300" s="65"/>
      <c r="B300" s="211">
        <v>46209</v>
      </c>
      <c r="C300" s="211">
        <v>46209</v>
      </c>
      <c r="D300" s="176" t="s">
        <v>4449</v>
      </c>
      <c r="E300" s="176" t="s">
        <v>4450</v>
      </c>
      <c r="F300" s="176" t="s">
        <v>87</v>
      </c>
      <c r="G300" s="176" t="s">
        <v>3866</v>
      </c>
      <c r="H300" s="176">
        <v>40</v>
      </c>
      <c r="I300" s="176">
        <v>19.8</v>
      </c>
      <c r="J300" s="176">
        <v>19.8</v>
      </c>
      <c r="K300" s="176">
        <v>5</v>
      </c>
      <c r="L300" s="176">
        <v>0</v>
      </c>
      <c r="M300" s="176" t="s">
        <v>148</v>
      </c>
      <c r="N300" s="176" t="s">
        <v>149</v>
      </c>
      <c r="O300" s="176" t="s">
        <v>150</v>
      </c>
      <c r="P300" s="176" t="s">
        <v>151</v>
      </c>
      <c r="Q300" s="176"/>
      <c r="R300" s="176" t="s">
        <v>4450</v>
      </c>
      <c r="S300" s="176"/>
      <c r="T300" s="176" t="s">
        <v>2845</v>
      </c>
      <c r="U300" s="176" t="s">
        <v>152</v>
      </c>
      <c r="V300" s="176" t="s">
        <v>23</v>
      </c>
    </row>
    <row r="301" spans="1:22" ht="12.75" customHeight="1">
      <c r="A301" s="65"/>
      <c r="B301" s="211">
        <v>46209</v>
      </c>
      <c r="C301" s="211">
        <v>46209</v>
      </c>
      <c r="D301" s="176" t="s">
        <v>4451</v>
      </c>
      <c r="E301" s="176" t="s">
        <v>4452</v>
      </c>
      <c r="F301" s="176" t="s">
        <v>87</v>
      </c>
      <c r="G301" s="176" t="s">
        <v>2001</v>
      </c>
      <c r="H301" s="176">
        <v>6</v>
      </c>
      <c r="I301" s="176">
        <v>17.8</v>
      </c>
      <c r="J301" s="176">
        <v>17.8</v>
      </c>
      <c r="K301" s="176">
        <v>1.5</v>
      </c>
      <c r="L301" s="176">
        <v>0</v>
      </c>
      <c r="M301" s="176" t="s">
        <v>148</v>
      </c>
      <c r="N301" s="176" t="s">
        <v>149</v>
      </c>
      <c r="O301" s="176" t="s">
        <v>150</v>
      </c>
      <c r="P301" s="176" t="s">
        <v>151</v>
      </c>
      <c r="Q301" s="176"/>
      <c r="R301" s="176" t="s">
        <v>4452</v>
      </c>
      <c r="S301" s="176"/>
      <c r="T301" s="176" t="s">
        <v>2845</v>
      </c>
      <c r="U301" s="176" t="s">
        <v>152</v>
      </c>
      <c r="V301" s="176" t="s">
        <v>23</v>
      </c>
    </row>
    <row r="302" spans="1:22" ht="12.75" customHeight="1">
      <c r="A302" s="65"/>
      <c r="B302" s="211">
        <v>46209</v>
      </c>
      <c r="C302" s="211">
        <v>46209</v>
      </c>
      <c r="D302" s="176" t="s">
        <v>4453</v>
      </c>
      <c r="E302" s="176" t="s">
        <v>4454</v>
      </c>
      <c r="F302" s="176" t="s">
        <v>87</v>
      </c>
      <c r="G302" s="176" t="s">
        <v>2639</v>
      </c>
      <c r="H302" s="176">
        <v>25</v>
      </c>
      <c r="I302" s="176">
        <v>36.4</v>
      </c>
      <c r="J302" s="176">
        <v>36.4</v>
      </c>
      <c r="K302" s="176">
        <v>4</v>
      </c>
      <c r="L302" s="176">
        <v>0</v>
      </c>
      <c r="M302" s="176" t="s">
        <v>148</v>
      </c>
      <c r="N302" s="176" t="s">
        <v>149</v>
      </c>
      <c r="O302" s="176" t="s">
        <v>150</v>
      </c>
      <c r="P302" s="176" t="s">
        <v>151</v>
      </c>
      <c r="Q302" s="176"/>
      <c r="R302" s="176" t="s">
        <v>4454</v>
      </c>
      <c r="S302" s="176"/>
      <c r="T302" s="176" t="s">
        <v>2845</v>
      </c>
      <c r="U302" s="176" t="s">
        <v>152</v>
      </c>
      <c r="V302" s="176" t="s">
        <v>23</v>
      </c>
    </row>
    <row r="303" spans="1:22" ht="12.75" customHeight="1">
      <c r="A303" s="65"/>
      <c r="B303" s="211">
        <v>46209</v>
      </c>
      <c r="C303" s="211">
        <v>46209</v>
      </c>
      <c r="D303" s="176" t="s">
        <v>4455</v>
      </c>
      <c r="E303" s="176" t="s">
        <v>4456</v>
      </c>
      <c r="F303" s="176" t="s">
        <v>87</v>
      </c>
      <c r="G303" s="176" t="s">
        <v>2637</v>
      </c>
      <c r="H303" s="176">
        <v>40</v>
      </c>
      <c r="I303" s="176">
        <v>39.700000000000003</v>
      </c>
      <c r="J303" s="176">
        <v>39.700000000000003</v>
      </c>
      <c r="K303" s="176">
        <v>7</v>
      </c>
      <c r="L303" s="176">
        <v>0</v>
      </c>
      <c r="M303" s="176" t="s">
        <v>148</v>
      </c>
      <c r="N303" s="176" t="s">
        <v>149</v>
      </c>
      <c r="O303" s="176" t="s">
        <v>150</v>
      </c>
      <c r="P303" s="176" t="s">
        <v>151</v>
      </c>
      <c r="Q303" s="176"/>
      <c r="R303" s="176" t="s">
        <v>4456</v>
      </c>
      <c r="S303" s="176"/>
      <c r="T303" s="176" t="s">
        <v>2845</v>
      </c>
      <c r="U303" s="176" t="s">
        <v>152</v>
      </c>
      <c r="V303" s="176" t="s">
        <v>23</v>
      </c>
    </row>
    <row r="304" spans="1:22" ht="12.75" customHeight="1">
      <c r="A304" s="65"/>
      <c r="B304" s="211">
        <v>46209</v>
      </c>
      <c r="C304" s="211">
        <v>46209</v>
      </c>
      <c r="D304" s="176" t="s">
        <v>4457</v>
      </c>
      <c r="E304" s="176" t="s">
        <v>4458</v>
      </c>
      <c r="F304" s="176" t="s">
        <v>87</v>
      </c>
      <c r="G304" s="176" t="s">
        <v>2552</v>
      </c>
      <c r="H304" s="176">
        <v>40</v>
      </c>
      <c r="I304" s="176">
        <v>46.7</v>
      </c>
      <c r="J304" s="176">
        <v>46.7</v>
      </c>
      <c r="K304" s="176">
        <v>5</v>
      </c>
      <c r="L304" s="176">
        <v>0</v>
      </c>
      <c r="M304" s="176" t="s">
        <v>148</v>
      </c>
      <c r="N304" s="176" t="s">
        <v>149</v>
      </c>
      <c r="O304" s="176" t="s">
        <v>150</v>
      </c>
      <c r="P304" s="176" t="s">
        <v>151</v>
      </c>
      <c r="Q304" s="176"/>
      <c r="R304" s="176" t="s">
        <v>4458</v>
      </c>
      <c r="S304" s="176"/>
      <c r="T304" s="176" t="s">
        <v>2845</v>
      </c>
      <c r="U304" s="176" t="s">
        <v>152</v>
      </c>
      <c r="V304" s="176" t="s">
        <v>23</v>
      </c>
    </row>
    <row r="305" spans="1:22" ht="12.75" customHeight="1">
      <c r="A305" s="65"/>
      <c r="B305" s="211">
        <v>46209</v>
      </c>
      <c r="C305" s="211">
        <v>46209</v>
      </c>
      <c r="D305" s="176" t="s">
        <v>4459</v>
      </c>
      <c r="E305" s="176" t="s">
        <v>4460</v>
      </c>
      <c r="F305" s="176" t="s">
        <v>87</v>
      </c>
      <c r="G305" s="176" t="s">
        <v>4295</v>
      </c>
      <c r="H305" s="176">
        <v>42</v>
      </c>
      <c r="I305" s="176">
        <v>30.9</v>
      </c>
      <c r="J305" s="176">
        <v>30.9</v>
      </c>
      <c r="K305" s="176">
        <v>5</v>
      </c>
      <c r="L305" s="176">
        <v>0</v>
      </c>
      <c r="M305" s="176" t="s">
        <v>148</v>
      </c>
      <c r="N305" s="176" t="s">
        <v>149</v>
      </c>
      <c r="O305" s="176" t="s">
        <v>150</v>
      </c>
      <c r="P305" s="176" t="s">
        <v>151</v>
      </c>
      <c r="Q305" s="176"/>
      <c r="R305" s="176" t="s">
        <v>4460</v>
      </c>
      <c r="S305" s="176"/>
      <c r="T305" s="176" t="s">
        <v>2845</v>
      </c>
      <c r="U305" s="176" t="s">
        <v>152</v>
      </c>
      <c r="V305" s="176" t="s">
        <v>23</v>
      </c>
    </row>
    <row r="306" spans="1:22" ht="12.75" customHeight="1">
      <c r="A306" s="65"/>
      <c r="B306" s="211">
        <v>46209</v>
      </c>
      <c r="C306" s="211">
        <v>46209</v>
      </c>
      <c r="D306" s="176" t="s">
        <v>4461</v>
      </c>
      <c r="E306" s="176" t="s">
        <v>4462</v>
      </c>
      <c r="F306" s="176" t="s">
        <v>87</v>
      </c>
      <c r="G306" s="176" t="s">
        <v>2633</v>
      </c>
      <c r="H306" s="176">
        <v>40</v>
      </c>
      <c r="I306" s="176">
        <v>48.6</v>
      </c>
      <c r="J306" s="176">
        <v>48.6</v>
      </c>
      <c r="K306" s="176">
        <v>5</v>
      </c>
      <c r="L306" s="176">
        <v>0</v>
      </c>
      <c r="M306" s="176" t="s">
        <v>148</v>
      </c>
      <c r="N306" s="176" t="s">
        <v>149</v>
      </c>
      <c r="O306" s="176" t="s">
        <v>150</v>
      </c>
      <c r="P306" s="176" t="s">
        <v>151</v>
      </c>
      <c r="Q306" s="176"/>
      <c r="R306" s="176" t="s">
        <v>4462</v>
      </c>
      <c r="S306" s="176"/>
      <c r="T306" s="176" t="s">
        <v>2845</v>
      </c>
      <c r="U306" s="176" t="s">
        <v>152</v>
      </c>
      <c r="V306" s="176" t="s">
        <v>23</v>
      </c>
    </row>
    <row r="307" spans="1:22" ht="12.75" customHeight="1">
      <c r="A307" s="65"/>
      <c r="B307" s="211">
        <v>46209</v>
      </c>
      <c r="C307" s="211">
        <v>46209</v>
      </c>
      <c r="D307" s="176" t="s">
        <v>4463</v>
      </c>
      <c r="E307" s="176" t="s">
        <v>4464</v>
      </c>
      <c r="F307" s="176" t="s">
        <v>87</v>
      </c>
      <c r="G307" s="176" t="s">
        <v>2486</v>
      </c>
      <c r="H307" s="176">
        <v>40</v>
      </c>
      <c r="I307" s="176">
        <v>38.9</v>
      </c>
      <c r="J307" s="176">
        <v>38.9</v>
      </c>
      <c r="K307" s="176">
        <v>5</v>
      </c>
      <c r="L307" s="176">
        <v>0</v>
      </c>
      <c r="M307" s="176" t="s">
        <v>148</v>
      </c>
      <c r="N307" s="176" t="s">
        <v>149</v>
      </c>
      <c r="O307" s="176" t="s">
        <v>150</v>
      </c>
      <c r="P307" s="176" t="s">
        <v>151</v>
      </c>
      <c r="Q307" s="176"/>
      <c r="R307" s="176" t="s">
        <v>4464</v>
      </c>
      <c r="S307" s="176"/>
      <c r="T307" s="176" t="s">
        <v>2845</v>
      </c>
      <c r="U307" s="176" t="s">
        <v>152</v>
      </c>
      <c r="V307" s="176" t="s">
        <v>23</v>
      </c>
    </row>
    <row r="308" spans="1:22" ht="12.75" customHeight="1">
      <c r="A308" s="65"/>
      <c r="B308" s="211">
        <v>46209</v>
      </c>
      <c r="C308" s="211">
        <v>46209</v>
      </c>
      <c r="D308" s="176" t="s">
        <v>4465</v>
      </c>
      <c r="E308" s="176" t="s">
        <v>4466</v>
      </c>
      <c r="F308" s="176" t="s">
        <v>87</v>
      </c>
      <c r="G308" s="176" t="s">
        <v>2486</v>
      </c>
      <c r="H308" s="176">
        <v>40</v>
      </c>
      <c r="I308" s="176">
        <v>39.299999999999997</v>
      </c>
      <c r="J308" s="176">
        <v>39.299999999999997</v>
      </c>
      <c r="K308" s="176">
        <v>5</v>
      </c>
      <c r="L308" s="176">
        <v>0</v>
      </c>
      <c r="M308" s="176" t="s">
        <v>148</v>
      </c>
      <c r="N308" s="176" t="s">
        <v>149</v>
      </c>
      <c r="O308" s="176" t="s">
        <v>150</v>
      </c>
      <c r="P308" s="176" t="s">
        <v>151</v>
      </c>
      <c r="Q308" s="176"/>
      <c r="R308" s="176" t="s">
        <v>4466</v>
      </c>
      <c r="S308" s="176"/>
      <c r="T308" s="176" t="s">
        <v>2845</v>
      </c>
      <c r="U308" s="176" t="s">
        <v>152</v>
      </c>
      <c r="V308" s="176" t="s">
        <v>23</v>
      </c>
    </row>
    <row r="309" spans="1:22" ht="12.75" customHeight="1">
      <c r="A309" s="65"/>
      <c r="B309" s="211">
        <v>46209</v>
      </c>
      <c r="C309" s="211">
        <v>46209</v>
      </c>
      <c r="D309" s="176" t="s">
        <v>4467</v>
      </c>
      <c r="E309" s="176" t="s">
        <v>4468</v>
      </c>
      <c r="F309" s="176" t="s">
        <v>87</v>
      </c>
      <c r="G309" s="176" t="s">
        <v>4295</v>
      </c>
      <c r="H309" s="176">
        <v>42</v>
      </c>
      <c r="I309" s="176">
        <v>41.5</v>
      </c>
      <c r="J309" s="176">
        <v>41.5</v>
      </c>
      <c r="K309" s="176">
        <v>5</v>
      </c>
      <c r="L309" s="176">
        <v>0</v>
      </c>
      <c r="M309" s="176" t="s">
        <v>148</v>
      </c>
      <c r="N309" s="176" t="s">
        <v>149</v>
      </c>
      <c r="O309" s="176" t="s">
        <v>150</v>
      </c>
      <c r="P309" s="176" t="s">
        <v>151</v>
      </c>
      <c r="Q309" s="176"/>
      <c r="R309" s="176" t="s">
        <v>4468</v>
      </c>
      <c r="S309" s="176"/>
      <c r="T309" s="176" t="s">
        <v>2845</v>
      </c>
      <c r="U309" s="176" t="s">
        <v>152</v>
      </c>
      <c r="V309" s="176" t="s">
        <v>23</v>
      </c>
    </row>
    <row r="310" spans="1:22" ht="12.75" customHeight="1">
      <c r="A310" s="65"/>
      <c r="B310" s="211">
        <v>46209</v>
      </c>
      <c r="C310" s="211">
        <v>46209</v>
      </c>
      <c r="D310" s="176" t="s">
        <v>4469</v>
      </c>
      <c r="E310" s="176" t="s">
        <v>4470</v>
      </c>
      <c r="F310" s="176" t="s">
        <v>87</v>
      </c>
      <c r="G310" s="176" t="s">
        <v>4295</v>
      </c>
      <c r="H310" s="176">
        <v>42</v>
      </c>
      <c r="I310" s="176">
        <v>40.200000000000003</v>
      </c>
      <c r="J310" s="176">
        <v>40.200000000000003</v>
      </c>
      <c r="K310" s="176">
        <v>5</v>
      </c>
      <c r="L310" s="176">
        <v>0</v>
      </c>
      <c r="M310" s="176" t="s">
        <v>148</v>
      </c>
      <c r="N310" s="176" t="s">
        <v>149</v>
      </c>
      <c r="O310" s="176" t="s">
        <v>150</v>
      </c>
      <c r="P310" s="176" t="s">
        <v>151</v>
      </c>
      <c r="Q310" s="176"/>
      <c r="R310" s="176" t="s">
        <v>4470</v>
      </c>
      <c r="S310" s="176"/>
      <c r="T310" s="176" t="s">
        <v>2845</v>
      </c>
      <c r="U310" s="176" t="s">
        <v>152</v>
      </c>
      <c r="V310" s="176" t="s">
        <v>23</v>
      </c>
    </row>
    <row r="311" spans="1:22" ht="12.75" customHeight="1">
      <c r="A311" s="65"/>
      <c r="B311" s="211">
        <v>46209</v>
      </c>
      <c r="C311" s="211">
        <v>46209</v>
      </c>
      <c r="D311" s="176" t="s">
        <v>4471</v>
      </c>
      <c r="E311" s="176" t="s">
        <v>4472</v>
      </c>
      <c r="F311" s="176" t="s">
        <v>87</v>
      </c>
      <c r="G311" s="176" t="s">
        <v>2637</v>
      </c>
      <c r="H311" s="176">
        <v>40</v>
      </c>
      <c r="I311" s="176">
        <v>16.8</v>
      </c>
      <c r="J311" s="176">
        <v>16.8</v>
      </c>
      <c r="K311" s="176">
        <v>7</v>
      </c>
      <c r="L311" s="176">
        <v>0</v>
      </c>
      <c r="M311" s="176" t="s">
        <v>148</v>
      </c>
      <c r="N311" s="176" t="s">
        <v>149</v>
      </c>
      <c r="O311" s="176" t="s">
        <v>150</v>
      </c>
      <c r="P311" s="176" t="s">
        <v>151</v>
      </c>
      <c r="Q311" s="176"/>
      <c r="R311" s="176" t="s">
        <v>4472</v>
      </c>
      <c r="S311" s="176"/>
      <c r="T311" s="176" t="s">
        <v>2845</v>
      </c>
      <c r="U311" s="176" t="s">
        <v>152</v>
      </c>
      <c r="V311" s="176" t="s">
        <v>23</v>
      </c>
    </row>
    <row r="312" spans="1:22" ht="12.75" customHeight="1">
      <c r="A312" s="65"/>
      <c r="B312" s="211">
        <v>46209</v>
      </c>
      <c r="C312" s="211">
        <v>46209</v>
      </c>
      <c r="D312" s="176" t="s">
        <v>4473</v>
      </c>
      <c r="E312" s="176" t="s">
        <v>4474</v>
      </c>
      <c r="F312" s="176" t="s">
        <v>87</v>
      </c>
      <c r="G312" s="176" t="s">
        <v>2639</v>
      </c>
      <c r="H312" s="176">
        <v>25</v>
      </c>
      <c r="I312" s="176">
        <v>26.5</v>
      </c>
      <c r="J312" s="176">
        <v>26.5</v>
      </c>
      <c r="K312" s="176">
        <v>4</v>
      </c>
      <c r="L312" s="176">
        <v>0</v>
      </c>
      <c r="M312" s="176" t="s">
        <v>148</v>
      </c>
      <c r="N312" s="176" t="s">
        <v>149</v>
      </c>
      <c r="O312" s="176" t="s">
        <v>150</v>
      </c>
      <c r="P312" s="176" t="s">
        <v>151</v>
      </c>
      <c r="Q312" s="176"/>
      <c r="R312" s="176" t="s">
        <v>4474</v>
      </c>
      <c r="S312" s="176"/>
      <c r="T312" s="176" t="s">
        <v>2845</v>
      </c>
      <c r="U312" s="176" t="s">
        <v>152</v>
      </c>
      <c r="V312" s="176" t="s">
        <v>23</v>
      </c>
    </row>
    <row r="313" spans="1:22" ht="12.75" customHeight="1">
      <c r="A313" s="65"/>
      <c r="B313" s="211">
        <v>46209</v>
      </c>
      <c r="C313" s="211">
        <v>46209</v>
      </c>
      <c r="D313" s="176" t="s">
        <v>4475</v>
      </c>
      <c r="E313" s="176" t="s">
        <v>4476</v>
      </c>
      <c r="F313" s="176" t="s">
        <v>87</v>
      </c>
      <c r="G313" s="176" t="s">
        <v>4302</v>
      </c>
      <c r="H313" s="176">
        <v>45</v>
      </c>
      <c r="I313" s="176">
        <v>32</v>
      </c>
      <c r="J313" s="176">
        <v>32</v>
      </c>
      <c r="K313" s="176">
        <v>5</v>
      </c>
      <c r="L313" s="176">
        <v>0</v>
      </c>
      <c r="M313" s="176" t="s">
        <v>148</v>
      </c>
      <c r="N313" s="176" t="s">
        <v>149</v>
      </c>
      <c r="O313" s="176" t="s">
        <v>150</v>
      </c>
      <c r="P313" s="176" t="s">
        <v>151</v>
      </c>
      <c r="Q313" s="176"/>
      <c r="R313" s="176" t="s">
        <v>4476</v>
      </c>
      <c r="S313" s="176"/>
      <c r="T313" s="176" t="s">
        <v>2845</v>
      </c>
      <c r="U313" s="176" t="s">
        <v>152</v>
      </c>
      <c r="V313" s="176" t="s">
        <v>23</v>
      </c>
    </row>
    <row r="314" spans="1:22" ht="12.75" customHeight="1">
      <c r="A314" s="65"/>
      <c r="B314" s="211">
        <v>46209</v>
      </c>
      <c r="C314" s="211">
        <v>46209</v>
      </c>
      <c r="D314" s="176" t="s">
        <v>4477</v>
      </c>
      <c r="E314" s="176" t="s">
        <v>4478</v>
      </c>
      <c r="F314" s="176" t="s">
        <v>87</v>
      </c>
      <c r="G314" s="176" t="s">
        <v>2486</v>
      </c>
      <c r="H314" s="176">
        <v>40</v>
      </c>
      <c r="I314" s="176">
        <v>36.299999999999997</v>
      </c>
      <c r="J314" s="176">
        <v>36.299999999999997</v>
      </c>
      <c r="K314" s="176">
        <v>5</v>
      </c>
      <c r="L314" s="176">
        <v>0</v>
      </c>
      <c r="M314" s="176" t="s">
        <v>148</v>
      </c>
      <c r="N314" s="176" t="s">
        <v>149</v>
      </c>
      <c r="O314" s="176" t="s">
        <v>150</v>
      </c>
      <c r="P314" s="176" t="s">
        <v>151</v>
      </c>
      <c r="Q314" s="176"/>
      <c r="R314" s="176" t="s">
        <v>4478</v>
      </c>
      <c r="S314" s="176"/>
      <c r="T314" s="176" t="s">
        <v>2845</v>
      </c>
      <c r="U314" s="176" t="s">
        <v>152</v>
      </c>
      <c r="V314" s="176" t="s">
        <v>23</v>
      </c>
    </row>
    <row r="315" spans="1:22" ht="12.75" customHeight="1">
      <c r="A315" s="65"/>
      <c r="B315" s="211">
        <v>46209</v>
      </c>
      <c r="C315" s="211">
        <v>46209</v>
      </c>
      <c r="D315" s="176" t="s">
        <v>4479</v>
      </c>
      <c r="E315" s="176" t="s">
        <v>4480</v>
      </c>
      <c r="F315" s="176" t="s">
        <v>87</v>
      </c>
      <c r="G315" s="176" t="s">
        <v>2001</v>
      </c>
      <c r="H315" s="176">
        <v>6</v>
      </c>
      <c r="I315" s="176">
        <v>12.8</v>
      </c>
      <c r="J315" s="176">
        <v>12.8</v>
      </c>
      <c r="K315" s="176">
        <v>1.5</v>
      </c>
      <c r="L315" s="176">
        <v>0</v>
      </c>
      <c r="M315" s="176" t="s">
        <v>148</v>
      </c>
      <c r="N315" s="176" t="s">
        <v>149</v>
      </c>
      <c r="O315" s="176" t="s">
        <v>150</v>
      </c>
      <c r="P315" s="176" t="s">
        <v>151</v>
      </c>
      <c r="Q315" s="176"/>
      <c r="R315" s="176" t="s">
        <v>4480</v>
      </c>
      <c r="S315" s="176"/>
      <c r="T315" s="176" t="s">
        <v>2845</v>
      </c>
      <c r="U315" s="176" t="s">
        <v>152</v>
      </c>
      <c r="V315" s="176" t="s">
        <v>23</v>
      </c>
    </row>
    <row r="316" spans="1:22" ht="12.75" customHeight="1">
      <c r="A316" s="65"/>
      <c r="B316" s="211">
        <v>46209</v>
      </c>
      <c r="C316" s="211">
        <v>46209</v>
      </c>
      <c r="D316" s="176" t="s">
        <v>4481</v>
      </c>
      <c r="E316" s="176" t="s">
        <v>4482</v>
      </c>
      <c r="F316" s="176" t="s">
        <v>87</v>
      </c>
      <c r="G316" s="176" t="s">
        <v>2553</v>
      </c>
      <c r="H316" s="176">
        <v>30</v>
      </c>
      <c r="I316" s="176">
        <v>42.2</v>
      </c>
      <c r="J316" s="176">
        <v>42.2</v>
      </c>
      <c r="K316" s="176">
        <v>4</v>
      </c>
      <c r="L316" s="176">
        <v>0</v>
      </c>
      <c r="M316" s="176" t="s">
        <v>148</v>
      </c>
      <c r="N316" s="176" t="s">
        <v>149</v>
      </c>
      <c r="O316" s="176" t="s">
        <v>150</v>
      </c>
      <c r="P316" s="176" t="s">
        <v>151</v>
      </c>
      <c r="Q316" s="176"/>
      <c r="R316" s="176" t="s">
        <v>4482</v>
      </c>
      <c r="S316" s="176"/>
      <c r="T316" s="176" t="s">
        <v>2845</v>
      </c>
      <c r="U316" s="176" t="s">
        <v>152</v>
      </c>
      <c r="V316" s="176" t="s">
        <v>23</v>
      </c>
    </row>
    <row r="317" spans="1:22" ht="12.75" customHeight="1">
      <c r="A317" s="65"/>
      <c r="B317" s="211">
        <v>46209</v>
      </c>
      <c r="C317" s="211">
        <v>46209</v>
      </c>
      <c r="D317" s="176" t="s">
        <v>4483</v>
      </c>
      <c r="E317" s="176" t="s">
        <v>4484</v>
      </c>
      <c r="F317" s="176" t="s">
        <v>87</v>
      </c>
      <c r="G317" s="176" t="s">
        <v>2639</v>
      </c>
      <c r="H317" s="176">
        <v>25</v>
      </c>
      <c r="I317" s="176">
        <v>32</v>
      </c>
      <c r="J317" s="176">
        <v>32</v>
      </c>
      <c r="K317" s="176">
        <v>4</v>
      </c>
      <c r="L317" s="176">
        <v>0</v>
      </c>
      <c r="M317" s="176" t="s">
        <v>148</v>
      </c>
      <c r="N317" s="176" t="s">
        <v>149</v>
      </c>
      <c r="O317" s="176" t="s">
        <v>150</v>
      </c>
      <c r="P317" s="176" t="s">
        <v>151</v>
      </c>
      <c r="Q317" s="176"/>
      <c r="R317" s="176" t="s">
        <v>4484</v>
      </c>
      <c r="S317" s="176"/>
      <c r="T317" s="176" t="s">
        <v>2845</v>
      </c>
      <c r="U317" s="176" t="s">
        <v>152</v>
      </c>
      <c r="V317" s="176" t="s">
        <v>23</v>
      </c>
    </row>
    <row r="318" spans="1:22" ht="12.75" customHeight="1">
      <c r="A318" s="65"/>
      <c r="B318" s="211">
        <v>46209</v>
      </c>
      <c r="C318" s="211">
        <v>46209</v>
      </c>
      <c r="D318" s="176" t="s">
        <v>4485</v>
      </c>
      <c r="E318" s="176" t="s">
        <v>4486</v>
      </c>
      <c r="F318" s="176" t="s">
        <v>87</v>
      </c>
      <c r="G318" s="176" t="s">
        <v>2639</v>
      </c>
      <c r="H318" s="176">
        <v>25</v>
      </c>
      <c r="I318" s="176">
        <v>31.2</v>
      </c>
      <c r="J318" s="176">
        <v>31.2</v>
      </c>
      <c r="K318" s="176">
        <v>4</v>
      </c>
      <c r="L318" s="176">
        <v>0</v>
      </c>
      <c r="M318" s="176" t="s">
        <v>148</v>
      </c>
      <c r="N318" s="176" t="s">
        <v>149</v>
      </c>
      <c r="O318" s="176" t="s">
        <v>150</v>
      </c>
      <c r="P318" s="176" t="s">
        <v>151</v>
      </c>
      <c r="Q318" s="176"/>
      <c r="R318" s="176" t="s">
        <v>4486</v>
      </c>
      <c r="S318" s="176"/>
      <c r="T318" s="176" t="s">
        <v>2845</v>
      </c>
      <c r="U318" s="176" t="s">
        <v>152</v>
      </c>
      <c r="V318" s="176" t="s">
        <v>23</v>
      </c>
    </row>
    <row r="319" spans="1:22" ht="12.75" customHeight="1">
      <c r="A319" s="65"/>
      <c r="B319" s="211">
        <v>46209</v>
      </c>
      <c r="C319" s="211">
        <v>46209</v>
      </c>
      <c r="D319" s="176" t="s">
        <v>4487</v>
      </c>
      <c r="E319" s="176" t="s">
        <v>4488</v>
      </c>
      <c r="F319" s="176" t="s">
        <v>87</v>
      </c>
      <c r="G319" s="176" t="s">
        <v>2486</v>
      </c>
      <c r="H319" s="176">
        <v>40</v>
      </c>
      <c r="I319" s="176">
        <v>37.200000000000003</v>
      </c>
      <c r="J319" s="176">
        <v>37.200000000000003</v>
      </c>
      <c r="K319" s="176">
        <v>5</v>
      </c>
      <c r="L319" s="176">
        <v>0</v>
      </c>
      <c r="M319" s="176" t="s">
        <v>148</v>
      </c>
      <c r="N319" s="176" t="s">
        <v>149</v>
      </c>
      <c r="O319" s="176" t="s">
        <v>150</v>
      </c>
      <c r="P319" s="176" t="s">
        <v>151</v>
      </c>
      <c r="Q319" s="176"/>
      <c r="R319" s="176" t="s">
        <v>4488</v>
      </c>
      <c r="S319" s="176"/>
      <c r="T319" s="176" t="s">
        <v>2845</v>
      </c>
      <c r="U319" s="176" t="s">
        <v>152</v>
      </c>
      <c r="V319" s="176" t="s">
        <v>23</v>
      </c>
    </row>
    <row r="320" spans="1:22" ht="12.75" customHeight="1">
      <c r="A320" s="65"/>
      <c r="B320" s="211">
        <v>46209</v>
      </c>
      <c r="C320" s="211">
        <v>46209</v>
      </c>
      <c r="D320" s="176" t="s">
        <v>4489</v>
      </c>
      <c r="E320" s="176" t="s">
        <v>4490</v>
      </c>
      <c r="F320" s="176" t="s">
        <v>87</v>
      </c>
      <c r="G320" s="176" t="s">
        <v>2486</v>
      </c>
      <c r="H320" s="176">
        <v>40</v>
      </c>
      <c r="I320" s="176">
        <v>22.2</v>
      </c>
      <c r="J320" s="176">
        <v>22.2</v>
      </c>
      <c r="K320" s="176">
        <v>5</v>
      </c>
      <c r="L320" s="176">
        <v>0</v>
      </c>
      <c r="M320" s="176" t="s">
        <v>148</v>
      </c>
      <c r="N320" s="176" t="s">
        <v>149</v>
      </c>
      <c r="O320" s="176" t="s">
        <v>150</v>
      </c>
      <c r="P320" s="176" t="s">
        <v>151</v>
      </c>
      <c r="Q320" s="176"/>
      <c r="R320" s="176" t="s">
        <v>4490</v>
      </c>
      <c r="S320" s="176"/>
      <c r="T320" s="176" t="s">
        <v>2845</v>
      </c>
      <c r="U320" s="176" t="s">
        <v>152</v>
      </c>
      <c r="V320" s="176" t="s">
        <v>23</v>
      </c>
    </row>
    <row r="321" spans="1:22" ht="12.75" customHeight="1">
      <c r="A321" s="65"/>
      <c r="B321" s="211">
        <v>46209</v>
      </c>
      <c r="C321" s="211">
        <v>46209</v>
      </c>
      <c r="D321" s="176" t="s">
        <v>4491</v>
      </c>
      <c r="E321" s="176" t="s">
        <v>4492</v>
      </c>
      <c r="F321" s="176" t="s">
        <v>87</v>
      </c>
      <c r="G321" s="176" t="s">
        <v>4295</v>
      </c>
      <c r="H321" s="176">
        <v>42</v>
      </c>
      <c r="I321" s="176">
        <v>41</v>
      </c>
      <c r="J321" s="176">
        <v>41</v>
      </c>
      <c r="K321" s="176">
        <v>5</v>
      </c>
      <c r="L321" s="176">
        <v>0</v>
      </c>
      <c r="M321" s="176" t="s">
        <v>148</v>
      </c>
      <c r="N321" s="176" t="s">
        <v>149</v>
      </c>
      <c r="O321" s="176" t="s">
        <v>150</v>
      </c>
      <c r="P321" s="176" t="s">
        <v>151</v>
      </c>
      <c r="Q321" s="176"/>
      <c r="R321" s="176" t="s">
        <v>4492</v>
      </c>
      <c r="S321" s="176"/>
      <c r="T321" s="176" t="s">
        <v>2845</v>
      </c>
      <c r="U321" s="176" t="s">
        <v>152</v>
      </c>
      <c r="V321" s="176" t="s">
        <v>23</v>
      </c>
    </row>
    <row r="322" spans="1:22" ht="12.75" customHeight="1">
      <c r="A322" s="65"/>
      <c r="B322" s="211">
        <v>46209</v>
      </c>
      <c r="C322" s="211">
        <v>46209</v>
      </c>
      <c r="D322" s="176" t="s">
        <v>4493</v>
      </c>
      <c r="E322" s="176" t="s">
        <v>4494</v>
      </c>
      <c r="F322" s="176" t="s">
        <v>87</v>
      </c>
      <c r="G322" s="176" t="s">
        <v>2486</v>
      </c>
      <c r="H322" s="176">
        <v>40</v>
      </c>
      <c r="I322" s="176">
        <v>36.299999999999997</v>
      </c>
      <c r="J322" s="176">
        <v>36.299999999999997</v>
      </c>
      <c r="K322" s="176">
        <v>5</v>
      </c>
      <c r="L322" s="176">
        <v>0</v>
      </c>
      <c r="M322" s="176" t="s">
        <v>148</v>
      </c>
      <c r="N322" s="176" t="s">
        <v>149</v>
      </c>
      <c r="O322" s="176" t="s">
        <v>150</v>
      </c>
      <c r="P322" s="176" t="s">
        <v>151</v>
      </c>
      <c r="Q322" s="176"/>
      <c r="R322" s="176" t="s">
        <v>4494</v>
      </c>
      <c r="S322" s="176"/>
      <c r="T322" s="176" t="s">
        <v>2845</v>
      </c>
      <c r="U322" s="176" t="s">
        <v>152</v>
      </c>
      <c r="V322" s="176" t="s">
        <v>23</v>
      </c>
    </row>
    <row r="323" spans="1:22" ht="12.75" customHeight="1">
      <c r="A323" s="65"/>
      <c r="B323" s="211">
        <v>46209</v>
      </c>
      <c r="C323" s="211">
        <v>46209</v>
      </c>
      <c r="D323" s="176" t="s">
        <v>4495</v>
      </c>
      <c r="E323" s="176" t="s">
        <v>4496</v>
      </c>
      <c r="F323" s="176" t="s">
        <v>87</v>
      </c>
      <c r="G323" s="176" t="s">
        <v>2486</v>
      </c>
      <c r="H323" s="176">
        <v>40</v>
      </c>
      <c r="I323" s="176">
        <v>34.799999999999997</v>
      </c>
      <c r="J323" s="176">
        <v>34.799999999999997</v>
      </c>
      <c r="K323" s="176">
        <v>5</v>
      </c>
      <c r="L323" s="176">
        <v>0</v>
      </c>
      <c r="M323" s="176" t="s">
        <v>148</v>
      </c>
      <c r="N323" s="176" t="s">
        <v>149</v>
      </c>
      <c r="O323" s="176" t="s">
        <v>150</v>
      </c>
      <c r="P323" s="176" t="s">
        <v>151</v>
      </c>
      <c r="Q323" s="176"/>
      <c r="R323" s="176" t="s">
        <v>4496</v>
      </c>
      <c r="S323" s="176"/>
      <c r="T323" s="176" t="s">
        <v>2845</v>
      </c>
      <c r="U323" s="176" t="s">
        <v>152</v>
      </c>
      <c r="V323" s="176" t="s">
        <v>23</v>
      </c>
    </row>
    <row r="324" spans="1:22" ht="12.75" customHeight="1">
      <c r="A324" s="65"/>
      <c r="B324" s="211">
        <v>46209</v>
      </c>
      <c r="C324" s="211">
        <v>46209</v>
      </c>
      <c r="D324" s="176" t="s">
        <v>4497</v>
      </c>
      <c r="E324" s="176" t="s">
        <v>4498</v>
      </c>
      <c r="F324" s="176" t="s">
        <v>87</v>
      </c>
      <c r="G324" s="176" t="s">
        <v>2633</v>
      </c>
      <c r="H324" s="176">
        <v>40</v>
      </c>
      <c r="I324" s="176">
        <v>30</v>
      </c>
      <c r="J324" s="176">
        <v>30</v>
      </c>
      <c r="K324" s="176">
        <v>5</v>
      </c>
      <c r="L324" s="176">
        <v>0</v>
      </c>
      <c r="M324" s="176" t="s">
        <v>148</v>
      </c>
      <c r="N324" s="176" t="s">
        <v>149</v>
      </c>
      <c r="O324" s="176" t="s">
        <v>150</v>
      </c>
      <c r="P324" s="176" t="s">
        <v>151</v>
      </c>
      <c r="Q324" s="176"/>
      <c r="R324" s="176" t="s">
        <v>4498</v>
      </c>
      <c r="S324" s="176"/>
      <c r="T324" s="176" t="s">
        <v>2845</v>
      </c>
      <c r="U324" s="176" t="s">
        <v>152</v>
      </c>
      <c r="V324" s="176" t="s">
        <v>23</v>
      </c>
    </row>
    <row r="325" spans="1:22" ht="12.75" customHeight="1">
      <c r="A325" s="65"/>
      <c r="B325" s="211">
        <v>46209</v>
      </c>
      <c r="C325" s="211">
        <v>46209</v>
      </c>
      <c r="D325" s="176" t="s">
        <v>4499</v>
      </c>
      <c r="E325" s="176" t="s">
        <v>4500</v>
      </c>
      <c r="F325" s="176" t="s">
        <v>87</v>
      </c>
      <c r="G325" s="176" t="s">
        <v>4501</v>
      </c>
      <c r="H325" s="176">
        <v>55</v>
      </c>
      <c r="I325" s="176">
        <v>45.8</v>
      </c>
      <c r="J325" s="176">
        <v>45.8</v>
      </c>
      <c r="K325" s="176">
        <v>5</v>
      </c>
      <c r="L325" s="176">
        <v>0</v>
      </c>
      <c r="M325" s="176" t="s">
        <v>148</v>
      </c>
      <c r="N325" s="176" t="s">
        <v>149</v>
      </c>
      <c r="O325" s="176" t="s">
        <v>150</v>
      </c>
      <c r="P325" s="176" t="s">
        <v>151</v>
      </c>
      <c r="Q325" s="176"/>
      <c r="R325" s="176" t="s">
        <v>4500</v>
      </c>
      <c r="S325" s="176"/>
      <c r="T325" s="176" t="s">
        <v>2845</v>
      </c>
      <c r="U325" s="176" t="s">
        <v>152</v>
      </c>
      <c r="V325" s="176" t="s">
        <v>23</v>
      </c>
    </row>
    <row r="326" spans="1:22" ht="12.75" customHeight="1">
      <c r="A326" s="65"/>
      <c r="B326" s="211">
        <v>46210</v>
      </c>
      <c r="C326" s="211">
        <v>46210</v>
      </c>
      <c r="D326" s="176" t="s">
        <v>4502</v>
      </c>
      <c r="E326" s="176" t="s">
        <v>4503</v>
      </c>
      <c r="F326" s="176" t="s">
        <v>87</v>
      </c>
      <c r="G326" s="176" t="s">
        <v>2553</v>
      </c>
      <c r="H326" s="176">
        <v>30</v>
      </c>
      <c r="I326" s="176">
        <v>34</v>
      </c>
      <c r="J326" s="176">
        <v>34</v>
      </c>
      <c r="K326" s="176">
        <v>4</v>
      </c>
      <c r="L326" s="176">
        <v>0</v>
      </c>
      <c r="M326" s="176" t="s">
        <v>148</v>
      </c>
      <c r="N326" s="176" t="s">
        <v>149</v>
      </c>
      <c r="O326" s="176" t="s">
        <v>150</v>
      </c>
      <c r="P326" s="176" t="s">
        <v>151</v>
      </c>
      <c r="Q326" s="176"/>
      <c r="R326" s="176" t="s">
        <v>4503</v>
      </c>
      <c r="S326" s="176"/>
      <c r="T326" s="176" t="s">
        <v>2867</v>
      </c>
      <c r="U326" s="176" t="s">
        <v>152</v>
      </c>
      <c r="V326" s="176" t="s">
        <v>23</v>
      </c>
    </row>
    <row r="327" spans="1:22" ht="12.75" customHeight="1">
      <c r="A327" s="65"/>
      <c r="B327" s="211">
        <v>46210</v>
      </c>
      <c r="C327" s="211">
        <v>46210</v>
      </c>
      <c r="D327" s="176" t="s">
        <v>4504</v>
      </c>
      <c r="E327" s="176" t="s">
        <v>4505</v>
      </c>
      <c r="F327" s="176" t="s">
        <v>87</v>
      </c>
      <c r="G327" s="176" t="s">
        <v>2485</v>
      </c>
      <c r="H327" s="176">
        <v>30</v>
      </c>
      <c r="I327" s="176">
        <v>41.5</v>
      </c>
      <c r="J327" s="176">
        <v>41.5</v>
      </c>
      <c r="K327" s="176">
        <v>4</v>
      </c>
      <c r="L327" s="176">
        <v>0</v>
      </c>
      <c r="M327" s="176" t="s">
        <v>148</v>
      </c>
      <c r="N327" s="176" t="s">
        <v>149</v>
      </c>
      <c r="O327" s="176" t="s">
        <v>150</v>
      </c>
      <c r="P327" s="176" t="s">
        <v>151</v>
      </c>
      <c r="Q327" s="176"/>
      <c r="R327" s="176" t="s">
        <v>4505</v>
      </c>
      <c r="S327" s="176"/>
      <c r="T327" s="176" t="s">
        <v>2867</v>
      </c>
      <c r="U327" s="176" t="s">
        <v>152</v>
      </c>
      <c r="V327" s="176" t="s">
        <v>23</v>
      </c>
    </row>
    <row r="328" spans="1:22" ht="12.75" customHeight="1">
      <c r="A328" s="65"/>
      <c r="B328" s="211">
        <v>46210</v>
      </c>
      <c r="C328" s="211">
        <v>46210</v>
      </c>
      <c r="D328" s="176" t="s">
        <v>4506</v>
      </c>
      <c r="E328" s="176" t="s">
        <v>4507</v>
      </c>
      <c r="F328" s="176" t="s">
        <v>87</v>
      </c>
      <c r="G328" s="176" t="s">
        <v>3866</v>
      </c>
      <c r="H328" s="176">
        <v>40</v>
      </c>
      <c r="I328" s="176">
        <v>40</v>
      </c>
      <c r="J328" s="176">
        <v>40</v>
      </c>
      <c r="K328" s="176">
        <v>5</v>
      </c>
      <c r="L328" s="176">
        <v>0</v>
      </c>
      <c r="M328" s="176" t="s">
        <v>148</v>
      </c>
      <c r="N328" s="176" t="s">
        <v>149</v>
      </c>
      <c r="O328" s="176" t="s">
        <v>150</v>
      </c>
      <c r="P328" s="176" t="s">
        <v>151</v>
      </c>
      <c r="Q328" s="176"/>
      <c r="R328" s="176" t="s">
        <v>4507</v>
      </c>
      <c r="S328" s="176"/>
      <c r="T328" s="176" t="s">
        <v>2867</v>
      </c>
      <c r="U328" s="176" t="s">
        <v>152</v>
      </c>
      <c r="V328" s="176" t="s">
        <v>23</v>
      </c>
    </row>
    <row r="329" spans="1:22" ht="12.75" customHeight="1">
      <c r="A329" s="65"/>
      <c r="B329" s="211">
        <v>46210</v>
      </c>
      <c r="C329" s="211">
        <v>46210</v>
      </c>
      <c r="D329" s="176" t="s">
        <v>4508</v>
      </c>
      <c r="E329" s="176" t="s">
        <v>4509</v>
      </c>
      <c r="F329" s="176" t="s">
        <v>87</v>
      </c>
      <c r="G329" s="176" t="s">
        <v>2552</v>
      </c>
      <c r="H329" s="176">
        <v>40</v>
      </c>
      <c r="I329" s="176">
        <v>31.8</v>
      </c>
      <c r="J329" s="176">
        <v>31.8</v>
      </c>
      <c r="K329" s="176">
        <v>5</v>
      </c>
      <c r="L329" s="176">
        <v>0</v>
      </c>
      <c r="M329" s="176" t="s">
        <v>148</v>
      </c>
      <c r="N329" s="176" t="s">
        <v>149</v>
      </c>
      <c r="O329" s="176" t="s">
        <v>150</v>
      </c>
      <c r="P329" s="176" t="s">
        <v>151</v>
      </c>
      <c r="Q329" s="176"/>
      <c r="R329" s="176" t="s">
        <v>4509</v>
      </c>
      <c r="S329" s="176"/>
      <c r="T329" s="176" t="s">
        <v>2867</v>
      </c>
      <c r="U329" s="176" t="s">
        <v>152</v>
      </c>
      <c r="V329" s="176" t="s">
        <v>23</v>
      </c>
    </row>
    <row r="330" spans="1:22" ht="12.75" customHeight="1">
      <c r="A330" s="65"/>
      <c r="B330" s="211">
        <v>46210</v>
      </c>
      <c r="C330" s="211">
        <v>46210</v>
      </c>
      <c r="D330" s="176" t="s">
        <v>4510</v>
      </c>
      <c r="E330" s="176" t="s">
        <v>4511</v>
      </c>
      <c r="F330" s="176" t="s">
        <v>87</v>
      </c>
      <c r="G330" s="176" t="s">
        <v>2552</v>
      </c>
      <c r="H330" s="176">
        <v>40</v>
      </c>
      <c r="I330" s="176">
        <v>35</v>
      </c>
      <c r="J330" s="176">
        <v>35</v>
      </c>
      <c r="K330" s="176">
        <v>5</v>
      </c>
      <c r="L330" s="176">
        <v>0</v>
      </c>
      <c r="M330" s="176" t="s">
        <v>148</v>
      </c>
      <c r="N330" s="176" t="s">
        <v>149</v>
      </c>
      <c r="O330" s="176" t="s">
        <v>150</v>
      </c>
      <c r="P330" s="176" t="s">
        <v>151</v>
      </c>
      <c r="Q330" s="176"/>
      <c r="R330" s="176" t="s">
        <v>4511</v>
      </c>
      <c r="S330" s="176"/>
      <c r="T330" s="176" t="s">
        <v>2867</v>
      </c>
      <c r="U330" s="176" t="s">
        <v>152</v>
      </c>
      <c r="V330" s="176" t="s">
        <v>23</v>
      </c>
    </row>
    <row r="331" spans="1:22" ht="12.75" customHeight="1">
      <c r="A331" s="65"/>
      <c r="B331" s="211">
        <v>46210</v>
      </c>
      <c r="C331" s="211">
        <v>46210</v>
      </c>
      <c r="D331" s="176" t="s">
        <v>4512</v>
      </c>
      <c r="E331" s="176" t="s">
        <v>4513</v>
      </c>
      <c r="F331" s="176" t="s">
        <v>87</v>
      </c>
      <c r="G331" s="176" t="s">
        <v>3866</v>
      </c>
      <c r="H331" s="176">
        <v>40</v>
      </c>
      <c r="I331" s="176">
        <v>30.8</v>
      </c>
      <c r="J331" s="176">
        <v>30.8</v>
      </c>
      <c r="K331" s="176">
        <v>5</v>
      </c>
      <c r="L331" s="176">
        <v>0</v>
      </c>
      <c r="M331" s="176" t="s">
        <v>148</v>
      </c>
      <c r="N331" s="176" t="s">
        <v>149</v>
      </c>
      <c r="O331" s="176" t="s">
        <v>150</v>
      </c>
      <c r="P331" s="176" t="s">
        <v>151</v>
      </c>
      <c r="Q331" s="176"/>
      <c r="R331" s="176" t="s">
        <v>4513</v>
      </c>
      <c r="S331" s="176"/>
      <c r="T331" s="176" t="s">
        <v>2867</v>
      </c>
      <c r="U331" s="176" t="s">
        <v>152</v>
      </c>
      <c r="V331" s="176" t="s">
        <v>23</v>
      </c>
    </row>
    <row r="332" spans="1:22" ht="12.75" customHeight="1">
      <c r="A332" s="65"/>
      <c r="B332" s="211">
        <v>46210</v>
      </c>
      <c r="C332" s="211">
        <v>46210</v>
      </c>
      <c r="D332" s="176" t="s">
        <v>4514</v>
      </c>
      <c r="E332" s="176" t="s">
        <v>4515</v>
      </c>
      <c r="F332" s="176" t="s">
        <v>87</v>
      </c>
      <c r="G332" s="176" t="s">
        <v>4501</v>
      </c>
      <c r="H332" s="176">
        <v>55</v>
      </c>
      <c r="I332" s="176">
        <v>32.799999999999997</v>
      </c>
      <c r="J332" s="176">
        <v>32.799999999999997</v>
      </c>
      <c r="K332" s="176">
        <v>5</v>
      </c>
      <c r="L332" s="176">
        <v>0</v>
      </c>
      <c r="M332" s="176" t="s">
        <v>148</v>
      </c>
      <c r="N332" s="176" t="s">
        <v>149</v>
      </c>
      <c r="O332" s="176" t="s">
        <v>150</v>
      </c>
      <c r="P332" s="176" t="s">
        <v>151</v>
      </c>
      <c r="Q332" s="176"/>
      <c r="R332" s="176" t="s">
        <v>4515</v>
      </c>
      <c r="S332" s="176"/>
      <c r="T332" s="176" t="s">
        <v>2867</v>
      </c>
      <c r="U332" s="176" t="s">
        <v>152</v>
      </c>
      <c r="V332" s="176" t="s">
        <v>23</v>
      </c>
    </row>
    <row r="333" spans="1:22" ht="12.75" customHeight="1">
      <c r="A333" s="65"/>
      <c r="B333" s="211">
        <v>46210</v>
      </c>
      <c r="C333" s="211">
        <v>46210</v>
      </c>
      <c r="D333" s="176" t="s">
        <v>4516</v>
      </c>
      <c r="E333" s="176" t="s">
        <v>4517</v>
      </c>
      <c r="F333" s="176" t="s">
        <v>87</v>
      </c>
      <c r="G333" s="176" t="s">
        <v>2639</v>
      </c>
      <c r="H333" s="176">
        <v>25</v>
      </c>
      <c r="I333" s="176">
        <v>28</v>
      </c>
      <c r="J333" s="176">
        <v>28</v>
      </c>
      <c r="K333" s="176">
        <v>4</v>
      </c>
      <c r="L333" s="176">
        <v>0</v>
      </c>
      <c r="M333" s="176" t="s">
        <v>148</v>
      </c>
      <c r="N333" s="176" t="s">
        <v>149</v>
      </c>
      <c r="O333" s="176" t="s">
        <v>150</v>
      </c>
      <c r="P333" s="176" t="s">
        <v>151</v>
      </c>
      <c r="Q333" s="176"/>
      <c r="R333" s="176" t="s">
        <v>4517</v>
      </c>
      <c r="S333" s="176"/>
      <c r="T333" s="176" t="s">
        <v>2867</v>
      </c>
      <c r="U333" s="176" t="s">
        <v>152</v>
      </c>
      <c r="V333" s="176" t="s">
        <v>23</v>
      </c>
    </row>
    <row r="334" spans="1:22" ht="12.75" customHeight="1">
      <c r="A334" s="65"/>
      <c r="B334" s="211">
        <v>46210</v>
      </c>
      <c r="C334" s="211">
        <v>46210</v>
      </c>
      <c r="D334" s="176" t="s">
        <v>4518</v>
      </c>
      <c r="E334" s="176" t="s">
        <v>4519</v>
      </c>
      <c r="F334" s="176" t="s">
        <v>87</v>
      </c>
      <c r="G334" s="176" t="s">
        <v>2639</v>
      </c>
      <c r="H334" s="176">
        <v>25</v>
      </c>
      <c r="I334" s="176">
        <v>34.5</v>
      </c>
      <c r="J334" s="176">
        <v>34.5</v>
      </c>
      <c r="K334" s="176">
        <v>4</v>
      </c>
      <c r="L334" s="176">
        <v>0</v>
      </c>
      <c r="M334" s="176" t="s">
        <v>148</v>
      </c>
      <c r="N334" s="176" t="s">
        <v>149</v>
      </c>
      <c r="O334" s="176" t="s">
        <v>150</v>
      </c>
      <c r="P334" s="176" t="s">
        <v>151</v>
      </c>
      <c r="Q334" s="176"/>
      <c r="R334" s="176" t="s">
        <v>4519</v>
      </c>
      <c r="S334" s="176"/>
      <c r="T334" s="176" t="s">
        <v>2867</v>
      </c>
      <c r="U334" s="176" t="s">
        <v>152</v>
      </c>
      <c r="V334" s="176" t="s">
        <v>23</v>
      </c>
    </row>
    <row r="335" spans="1:22" ht="12.75" customHeight="1">
      <c r="A335" s="65"/>
      <c r="B335" s="211">
        <v>46210</v>
      </c>
      <c r="C335" s="211">
        <v>46210</v>
      </c>
      <c r="D335" s="176" t="s">
        <v>4520</v>
      </c>
      <c r="E335" s="176" t="s">
        <v>4521</v>
      </c>
      <c r="F335" s="176" t="s">
        <v>87</v>
      </c>
      <c r="G335" s="176" t="s">
        <v>2552</v>
      </c>
      <c r="H335" s="176">
        <v>40</v>
      </c>
      <c r="I335" s="176">
        <v>33</v>
      </c>
      <c r="J335" s="176">
        <v>33</v>
      </c>
      <c r="K335" s="176">
        <v>5</v>
      </c>
      <c r="L335" s="176">
        <v>0</v>
      </c>
      <c r="M335" s="176" t="s">
        <v>148</v>
      </c>
      <c r="N335" s="176" t="s">
        <v>149</v>
      </c>
      <c r="O335" s="176" t="s">
        <v>150</v>
      </c>
      <c r="P335" s="176" t="s">
        <v>151</v>
      </c>
      <c r="Q335" s="176"/>
      <c r="R335" s="176" t="s">
        <v>4521</v>
      </c>
      <c r="S335" s="176"/>
      <c r="T335" s="176" t="s">
        <v>2867</v>
      </c>
      <c r="U335" s="176" t="s">
        <v>152</v>
      </c>
      <c r="V335" s="176" t="s">
        <v>23</v>
      </c>
    </row>
    <row r="336" spans="1:22" ht="12.75" customHeight="1">
      <c r="A336" s="65"/>
      <c r="B336" s="211">
        <v>46210</v>
      </c>
      <c r="C336" s="211">
        <v>46210</v>
      </c>
      <c r="D336" s="176" t="s">
        <v>4522</v>
      </c>
      <c r="E336" s="176" t="s">
        <v>4523</v>
      </c>
      <c r="F336" s="176" t="s">
        <v>87</v>
      </c>
      <c r="G336" s="176" t="s">
        <v>2552</v>
      </c>
      <c r="H336" s="176">
        <v>40</v>
      </c>
      <c r="I336" s="176">
        <v>42.8</v>
      </c>
      <c r="J336" s="176">
        <v>42.8</v>
      </c>
      <c r="K336" s="176">
        <v>5</v>
      </c>
      <c r="L336" s="176">
        <v>0</v>
      </c>
      <c r="M336" s="176" t="s">
        <v>148</v>
      </c>
      <c r="N336" s="176" t="s">
        <v>149</v>
      </c>
      <c r="O336" s="176" t="s">
        <v>150</v>
      </c>
      <c r="P336" s="176" t="s">
        <v>151</v>
      </c>
      <c r="Q336" s="176"/>
      <c r="R336" s="176" t="s">
        <v>4523</v>
      </c>
      <c r="S336" s="176"/>
      <c r="T336" s="176" t="s">
        <v>2867</v>
      </c>
      <c r="U336" s="176" t="s">
        <v>152</v>
      </c>
      <c r="V336" s="176" t="s">
        <v>23</v>
      </c>
    </row>
    <row r="337" spans="1:22" ht="12.75" customHeight="1">
      <c r="A337" s="65"/>
      <c r="B337" s="211">
        <v>46210</v>
      </c>
      <c r="C337" s="211">
        <v>46210</v>
      </c>
      <c r="D337" s="176" t="s">
        <v>4524</v>
      </c>
      <c r="E337" s="176" t="s">
        <v>4525</v>
      </c>
      <c r="F337" s="176" t="s">
        <v>87</v>
      </c>
      <c r="G337" s="176" t="s">
        <v>2552</v>
      </c>
      <c r="H337" s="176">
        <v>40</v>
      </c>
      <c r="I337" s="176">
        <v>33.299999999999997</v>
      </c>
      <c r="J337" s="176">
        <v>33.299999999999997</v>
      </c>
      <c r="K337" s="176">
        <v>5</v>
      </c>
      <c r="L337" s="176">
        <v>0</v>
      </c>
      <c r="M337" s="176" t="s">
        <v>148</v>
      </c>
      <c r="N337" s="176" t="s">
        <v>149</v>
      </c>
      <c r="O337" s="176" t="s">
        <v>150</v>
      </c>
      <c r="P337" s="176" t="s">
        <v>151</v>
      </c>
      <c r="Q337" s="176"/>
      <c r="R337" s="176" t="s">
        <v>4525</v>
      </c>
      <c r="S337" s="176"/>
      <c r="T337" s="176" t="s">
        <v>2867</v>
      </c>
      <c r="U337" s="176" t="s">
        <v>152</v>
      </c>
      <c r="V337" s="176" t="s">
        <v>23</v>
      </c>
    </row>
    <row r="338" spans="1:22" ht="12.75" customHeight="1">
      <c r="A338" s="65"/>
      <c r="B338" s="211">
        <v>46210</v>
      </c>
      <c r="C338" s="211">
        <v>46210</v>
      </c>
      <c r="D338" s="176" t="s">
        <v>4526</v>
      </c>
      <c r="E338" s="176" t="s">
        <v>4527</v>
      </c>
      <c r="F338" s="176" t="s">
        <v>87</v>
      </c>
      <c r="G338" s="176" t="s">
        <v>2552</v>
      </c>
      <c r="H338" s="176">
        <v>40</v>
      </c>
      <c r="I338" s="176">
        <v>40.799999999999997</v>
      </c>
      <c r="J338" s="176">
        <v>40.799999999999997</v>
      </c>
      <c r="K338" s="176">
        <v>5</v>
      </c>
      <c r="L338" s="176">
        <v>0</v>
      </c>
      <c r="M338" s="176" t="s">
        <v>148</v>
      </c>
      <c r="N338" s="176" t="s">
        <v>149</v>
      </c>
      <c r="O338" s="176" t="s">
        <v>150</v>
      </c>
      <c r="P338" s="176" t="s">
        <v>151</v>
      </c>
      <c r="Q338" s="176"/>
      <c r="R338" s="176" t="s">
        <v>4527</v>
      </c>
      <c r="S338" s="176"/>
      <c r="T338" s="176" t="s">
        <v>2867</v>
      </c>
      <c r="U338" s="176" t="s">
        <v>152</v>
      </c>
      <c r="V338" s="176" t="s">
        <v>23</v>
      </c>
    </row>
    <row r="339" spans="1:22" ht="12.75" customHeight="1">
      <c r="A339" s="65"/>
      <c r="B339" s="211">
        <v>46210</v>
      </c>
      <c r="C339" s="211">
        <v>46210</v>
      </c>
      <c r="D339" s="176" t="s">
        <v>4528</v>
      </c>
      <c r="E339" s="176" t="s">
        <v>4529</v>
      </c>
      <c r="F339" s="176" t="s">
        <v>87</v>
      </c>
      <c r="G339" s="176" t="s">
        <v>2636</v>
      </c>
      <c r="H339" s="176">
        <v>6</v>
      </c>
      <c r="I339" s="176">
        <v>10.4</v>
      </c>
      <c r="J339" s="176">
        <v>10.4</v>
      </c>
      <c r="K339" s="176">
        <v>1.5</v>
      </c>
      <c r="L339" s="176">
        <v>0</v>
      </c>
      <c r="M339" s="176" t="s">
        <v>148</v>
      </c>
      <c r="N339" s="176" t="s">
        <v>149</v>
      </c>
      <c r="O339" s="176" t="s">
        <v>150</v>
      </c>
      <c r="P339" s="176" t="s">
        <v>151</v>
      </c>
      <c r="Q339" s="176"/>
      <c r="R339" s="176" t="s">
        <v>4529</v>
      </c>
      <c r="S339" s="176"/>
      <c r="T339" s="176" t="s">
        <v>2867</v>
      </c>
      <c r="U339" s="176" t="s">
        <v>152</v>
      </c>
      <c r="V339" s="176" t="s">
        <v>23</v>
      </c>
    </row>
    <row r="340" spans="1:22" ht="12.75" customHeight="1">
      <c r="A340" s="65"/>
      <c r="B340" s="211">
        <v>46210</v>
      </c>
      <c r="C340" s="211">
        <v>46210</v>
      </c>
      <c r="D340" s="176" t="s">
        <v>4530</v>
      </c>
      <c r="E340" s="176" t="s">
        <v>4531</v>
      </c>
      <c r="F340" s="176" t="s">
        <v>87</v>
      </c>
      <c r="G340" s="176" t="s">
        <v>2486</v>
      </c>
      <c r="H340" s="176">
        <v>40</v>
      </c>
      <c r="I340" s="176">
        <v>41.8</v>
      </c>
      <c r="J340" s="176">
        <v>41.8</v>
      </c>
      <c r="K340" s="176">
        <v>5</v>
      </c>
      <c r="L340" s="176">
        <v>0</v>
      </c>
      <c r="M340" s="176" t="s">
        <v>148</v>
      </c>
      <c r="N340" s="176" t="s">
        <v>149</v>
      </c>
      <c r="O340" s="176" t="s">
        <v>150</v>
      </c>
      <c r="P340" s="176" t="s">
        <v>151</v>
      </c>
      <c r="Q340" s="176"/>
      <c r="R340" s="176" t="s">
        <v>4531</v>
      </c>
      <c r="S340" s="176"/>
      <c r="T340" s="176" t="s">
        <v>2867</v>
      </c>
      <c r="U340" s="176" t="s">
        <v>152</v>
      </c>
      <c r="V340" s="176" t="s">
        <v>23</v>
      </c>
    </row>
    <row r="341" spans="1:22" ht="12.75" customHeight="1">
      <c r="A341" s="65"/>
      <c r="B341" s="211">
        <v>46210</v>
      </c>
      <c r="C341" s="211">
        <v>46210</v>
      </c>
      <c r="D341" s="176" t="s">
        <v>4532</v>
      </c>
      <c r="E341" s="176" t="s">
        <v>4533</v>
      </c>
      <c r="F341" s="176" t="s">
        <v>87</v>
      </c>
      <c r="G341" s="176" t="s">
        <v>4501</v>
      </c>
      <c r="H341" s="176">
        <v>55</v>
      </c>
      <c r="I341" s="176">
        <v>20</v>
      </c>
      <c r="J341" s="176">
        <v>20</v>
      </c>
      <c r="K341" s="176">
        <v>5</v>
      </c>
      <c r="L341" s="176">
        <v>0</v>
      </c>
      <c r="M341" s="176" t="s">
        <v>148</v>
      </c>
      <c r="N341" s="176" t="s">
        <v>149</v>
      </c>
      <c r="O341" s="176" t="s">
        <v>150</v>
      </c>
      <c r="P341" s="176" t="s">
        <v>151</v>
      </c>
      <c r="Q341" s="176"/>
      <c r="R341" s="176" t="s">
        <v>4533</v>
      </c>
      <c r="S341" s="176"/>
      <c r="T341" s="176" t="s">
        <v>2867</v>
      </c>
      <c r="U341" s="176" t="s">
        <v>152</v>
      </c>
      <c r="V341" s="176" t="s">
        <v>23</v>
      </c>
    </row>
    <row r="342" spans="1:22" ht="12.75" customHeight="1">
      <c r="A342" s="65"/>
      <c r="B342" s="211">
        <v>46210</v>
      </c>
      <c r="C342" s="211">
        <v>46210</v>
      </c>
      <c r="D342" s="176" t="s">
        <v>4534</v>
      </c>
      <c r="E342" s="176" t="s">
        <v>4535</v>
      </c>
      <c r="F342" s="176" t="s">
        <v>87</v>
      </c>
      <c r="G342" s="176" t="s">
        <v>2486</v>
      </c>
      <c r="H342" s="176">
        <v>40</v>
      </c>
      <c r="I342" s="176">
        <v>35</v>
      </c>
      <c r="J342" s="176">
        <v>35</v>
      </c>
      <c r="K342" s="176">
        <v>5</v>
      </c>
      <c r="L342" s="176">
        <v>0</v>
      </c>
      <c r="M342" s="176" t="s">
        <v>148</v>
      </c>
      <c r="N342" s="176" t="s">
        <v>149</v>
      </c>
      <c r="O342" s="176" t="s">
        <v>150</v>
      </c>
      <c r="P342" s="176" t="s">
        <v>151</v>
      </c>
      <c r="Q342" s="176"/>
      <c r="R342" s="176" t="s">
        <v>4535</v>
      </c>
      <c r="S342" s="176"/>
      <c r="T342" s="176" t="s">
        <v>2867</v>
      </c>
      <c r="U342" s="176" t="s">
        <v>152</v>
      </c>
      <c r="V342" s="176" t="s">
        <v>23</v>
      </c>
    </row>
    <row r="343" spans="1:22" ht="12.75" customHeight="1">
      <c r="A343" s="65"/>
      <c r="B343" s="211">
        <v>46210</v>
      </c>
      <c r="C343" s="211">
        <v>46210</v>
      </c>
      <c r="D343" s="176" t="s">
        <v>4536</v>
      </c>
      <c r="E343" s="176" t="s">
        <v>4537</v>
      </c>
      <c r="F343" s="176" t="s">
        <v>87</v>
      </c>
      <c r="G343" s="176" t="s">
        <v>2552</v>
      </c>
      <c r="H343" s="176">
        <v>40</v>
      </c>
      <c r="I343" s="176">
        <v>39.799999999999997</v>
      </c>
      <c r="J343" s="176">
        <v>39.799999999999997</v>
      </c>
      <c r="K343" s="176">
        <v>5</v>
      </c>
      <c r="L343" s="176">
        <v>0</v>
      </c>
      <c r="M343" s="176" t="s">
        <v>148</v>
      </c>
      <c r="N343" s="176" t="s">
        <v>149</v>
      </c>
      <c r="O343" s="176" t="s">
        <v>150</v>
      </c>
      <c r="P343" s="176" t="s">
        <v>151</v>
      </c>
      <c r="Q343" s="176"/>
      <c r="R343" s="176" t="s">
        <v>4537</v>
      </c>
      <c r="S343" s="176"/>
      <c r="T343" s="176" t="s">
        <v>2867</v>
      </c>
      <c r="U343" s="176" t="s">
        <v>152</v>
      </c>
      <c r="V343" s="176" t="s">
        <v>23</v>
      </c>
    </row>
    <row r="344" spans="1:22" ht="12.75" customHeight="1">
      <c r="A344" s="65"/>
      <c r="B344" s="211">
        <v>46210</v>
      </c>
      <c r="C344" s="211">
        <v>46210</v>
      </c>
      <c r="D344" s="176" t="s">
        <v>4538</v>
      </c>
      <c r="E344" s="176" t="s">
        <v>4539</v>
      </c>
      <c r="F344" s="176" t="s">
        <v>87</v>
      </c>
      <c r="G344" s="176" t="s">
        <v>2001</v>
      </c>
      <c r="H344" s="176">
        <v>6</v>
      </c>
      <c r="I344" s="176">
        <v>8</v>
      </c>
      <c r="J344" s="176">
        <v>8</v>
      </c>
      <c r="K344" s="176">
        <v>1.5</v>
      </c>
      <c r="L344" s="176">
        <v>0</v>
      </c>
      <c r="M344" s="176" t="s">
        <v>148</v>
      </c>
      <c r="N344" s="176" t="s">
        <v>149</v>
      </c>
      <c r="O344" s="176" t="s">
        <v>150</v>
      </c>
      <c r="P344" s="176" t="s">
        <v>151</v>
      </c>
      <c r="Q344" s="176"/>
      <c r="R344" s="176" t="s">
        <v>4539</v>
      </c>
      <c r="S344" s="176"/>
      <c r="T344" s="176" t="s">
        <v>2867</v>
      </c>
      <c r="U344" s="176" t="s">
        <v>152</v>
      </c>
      <c r="V344" s="176" t="s">
        <v>23</v>
      </c>
    </row>
    <row r="345" spans="1:22" ht="12.75" customHeight="1">
      <c r="A345" s="65"/>
      <c r="B345" s="211">
        <v>46210</v>
      </c>
      <c r="C345" s="211">
        <v>46210</v>
      </c>
      <c r="D345" s="176" t="s">
        <v>4540</v>
      </c>
      <c r="E345" s="176" t="s">
        <v>4541</v>
      </c>
      <c r="F345" s="176" t="s">
        <v>87</v>
      </c>
      <c r="G345" s="176" t="s">
        <v>2486</v>
      </c>
      <c r="H345" s="176">
        <v>40</v>
      </c>
      <c r="I345" s="176">
        <v>32.799999999999997</v>
      </c>
      <c r="J345" s="176">
        <v>32.799999999999997</v>
      </c>
      <c r="K345" s="176">
        <v>5</v>
      </c>
      <c r="L345" s="176">
        <v>0</v>
      </c>
      <c r="M345" s="176" t="s">
        <v>148</v>
      </c>
      <c r="N345" s="176" t="s">
        <v>149</v>
      </c>
      <c r="O345" s="176" t="s">
        <v>150</v>
      </c>
      <c r="P345" s="176" t="s">
        <v>151</v>
      </c>
      <c r="Q345" s="176"/>
      <c r="R345" s="176" t="s">
        <v>4541</v>
      </c>
      <c r="S345" s="176"/>
      <c r="T345" s="176" t="s">
        <v>2867</v>
      </c>
      <c r="U345" s="176" t="s">
        <v>152</v>
      </c>
      <c r="V345" s="176" t="s">
        <v>23</v>
      </c>
    </row>
    <row r="346" spans="1:22" ht="12.75" customHeight="1">
      <c r="A346" s="65"/>
      <c r="B346" s="211">
        <v>46210</v>
      </c>
      <c r="C346" s="211">
        <v>46210</v>
      </c>
      <c r="D346" s="176" t="s">
        <v>4542</v>
      </c>
      <c r="E346" s="176" t="s">
        <v>4543</v>
      </c>
      <c r="F346" s="176" t="s">
        <v>87</v>
      </c>
      <c r="G346" s="176" t="s">
        <v>2486</v>
      </c>
      <c r="H346" s="176">
        <v>40</v>
      </c>
      <c r="I346" s="176">
        <v>28.3</v>
      </c>
      <c r="J346" s="176">
        <v>28.3</v>
      </c>
      <c r="K346" s="176">
        <v>5</v>
      </c>
      <c r="L346" s="176">
        <v>0</v>
      </c>
      <c r="M346" s="176" t="s">
        <v>148</v>
      </c>
      <c r="N346" s="176" t="s">
        <v>149</v>
      </c>
      <c r="O346" s="176" t="s">
        <v>150</v>
      </c>
      <c r="P346" s="176" t="s">
        <v>151</v>
      </c>
      <c r="Q346" s="176"/>
      <c r="R346" s="176" t="s">
        <v>4543</v>
      </c>
      <c r="S346" s="176"/>
      <c r="T346" s="176" t="s">
        <v>2867</v>
      </c>
      <c r="U346" s="176" t="s">
        <v>152</v>
      </c>
      <c r="V346" s="176" t="s">
        <v>23</v>
      </c>
    </row>
    <row r="347" spans="1:22" ht="12.75" customHeight="1">
      <c r="A347" s="65"/>
      <c r="B347" s="211">
        <v>46210</v>
      </c>
      <c r="C347" s="211">
        <v>46210</v>
      </c>
      <c r="D347" s="176" t="s">
        <v>4544</v>
      </c>
      <c r="E347" s="176" t="s">
        <v>4545</v>
      </c>
      <c r="F347" s="176" t="s">
        <v>87</v>
      </c>
      <c r="G347" s="176" t="s">
        <v>2486</v>
      </c>
      <c r="H347" s="176">
        <v>40</v>
      </c>
      <c r="I347" s="176">
        <v>39.799999999999997</v>
      </c>
      <c r="J347" s="176">
        <v>39.799999999999997</v>
      </c>
      <c r="K347" s="176">
        <v>5</v>
      </c>
      <c r="L347" s="176">
        <v>0</v>
      </c>
      <c r="M347" s="176" t="s">
        <v>148</v>
      </c>
      <c r="N347" s="176" t="s">
        <v>149</v>
      </c>
      <c r="O347" s="176" t="s">
        <v>150</v>
      </c>
      <c r="P347" s="176" t="s">
        <v>151</v>
      </c>
      <c r="Q347" s="176"/>
      <c r="R347" s="176" t="s">
        <v>4545</v>
      </c>
      <c r="S347" s="176"/>
      <c r="T347" s="176" t="s">
        <v>2867</v>
      </c>
      <c r="U347" s="176" t="s">
        <v>152</v>
      </c>
      <c r="V347" s="176" t="s">
        <v>23</v>
      </c>
    </row>
    <row r="348" spans="1:22" ht="12.75" customHeight="1">
      <c r="A348" s="65"/>
      <c r="B348" s="211">
        <v>46210</v>
      </c>
      <c r="C348" s="211">
        <v>46210</v>
      </c>
      <c r="D348" s="176" t="s">
        <v>4546</v>
      </c>
      <c r="E348" s="176" t="s">
        <v>4547</v>
      </c>
      <c r="F348" s="176" t="s">
        <v>87</v>
      </c>
      <c r="G348" s="176" t="s">
        <v>4501</v>
      </c>
      <c r="H348" s="176">
        <v>55</v>
      </c>
      <c r="I348" s="176">
        <v>25.8</v>
      </c>
      <c r="J348" s="176">
        <v>25.8</v>
      </c>
      <c r="K348" s="176">
        <v>5</v>
      </c>
      <c r="L348" s="176">
        <v>0</v>
      </c>
      <c r="M348" s="176" t="s">
        <v>148</v>
      </c>
      <c r="N348" s="176" t="s">
        <v>149</v>
      </c>
      <c r="O348" s="176" t="s">
        <v>150</v>
      </c>
      <c r="P348" s="176" t="s">
        <v>151</v>
      </c>
      <c r="Q348" s="176"/>
      <c r="R348" s="176" t="s">
        <v>4547</v>
      </c>
      <c r="S348" s="176"/>
      <c r="T348" s="176" t="s">
        <v>2867</v>
      </c>
      <c r="U348" s="176" t="s">
        <v>152</v>
      </c>
      <c r="V348" s="176" t="s">
        <v>23</v>
      </c>
    </row>
    <row r="349" spans="1:22" ht="12.75" customHeight="1">
      <c r="A349" s="65"/>
      <c r="B349" s="211">
        <v>46210</v>
      </c>
      <c r="C349" s="211">
        <v>46210</v>
      </c>
      <c r="D349" s="176" t="s">
        <v>4548</v>
      </c>
      <c r="E349" s="176" t="s">
        <v>4549</v>
      </c>
      <c r="F349" s="176" t="s">
        <v>87</v>
      </c>
      <c r="G349" s="176" t="s">
        <v>4501</v>
      </c>
      <c r="H349" s="176">
        <v>55</v>
      </c>
      <c r="I349" s="176">
        <v>23</v>
      </c>
      <c r="J349" s="176">
        <v>23</v>
      </c>
      <c r="K349" s="176">
        <v>5</v>
      </c>
      <c r="L349" s="176">
        <v>0</v>
      </c>
      <c r="M349" s="176" t="s">
        <v>148</v>
      </c>
      <c r="N349" s="176" t="s">
        <v>149</v>
      </c>
      <c r="O349" s="176" t="s">
        <v>150</v>
      </c>
      <c r="P349" s="176" t="s">
        <v>151</v>
      </c>
      <c r="Q349" s="176"/>
      <c r="R349" s="176" t="s">
        <v>4549</v>
      </c>
      <c r="S349" s="176"/>
      <c r="T349" s="176" t="s">
        <v>2867</v>
      </c>
      <c r="U349" s="176" t="s">
        <v>152</v>
      </c>
      <c r="V349" s="176" t="s">
        <v>23</v>
      </c>
    </row>
    <row r="350" spans="1:22" ht="12.75" customHeight="1">
      <c r="A350" s="65"/>
      <c r="B350" s="211">
        <v>46210</v>
      </c>
      <c r="C350" s="211">
        <v>46210</v>
      </c>
      <c r="D350" s="176" t="s">
        <v>4550</v>
      </c>
      <c r="E350" s="176" t="s">
        <v>4551</v>
      </c>
      <c r="F350" s="176" t="s">
        <v>87</v>
      </c>
      <c r="G350" s="176" t="s">
        <v>2553</v>
      </c>
      <c r="H350" s="176">
        <v>30</v>
      </c>
      <c r="I350" s="176">
        <v>21.8</v>
      </c>
      <c r="J350" s="176">
        <v>21.8</v>
      </c>
      <c r="K350" s="176">
        <v>4</v>
      </c>
      <c r="L350" s="176">
        <v>0</v>
      </c>
      <c r="M350" s="176" t="s">
        <v>148</v>
      </c>
      <c r="N350" s="176" t="s">
        <v>149</v>
      </c>
      <c r="O350" s="176" t="s">
        <v>150</v>
      </c>
      <c r="P350" s="176" t="s">
        <v>151</v>
      </c>
      <c r="Q350" s="176"/>
      <c r="R350" s="176" t="s">
        <v>4551</v>
      </c>
      <c r="S350" s="176"/>
      <c r="T350" s="176" t="s">
        <v>2867</v>
      </c>
      <c r="U350" s="176" t="s">
        <v>152</v>
      </c>
      <c r="V350" s="176" t="s">
        <v>23</v>
      </c>
    </row>
    <row r="351" spans="1:22" ht="12.75" customHeight="1">
      <c r="A351" s="65"/>
      <c r="B351" s="211">
        <v>46210</v>
      </c>
      <c r="C351" s="211">
        <v>46210</v>
      </c>
      <c r="D351" s="176" t="s">
        <v>4552</v>
      </c>
      <c r="E351" s="176" t="s">
        <v>4553</v>
      </c>
      <c r="F351" s="176" t="s">
        <v>87</v>
      </c>
      <c r="G351" s="176" t="s">
        <v>2552</v>
      </c>
      <c r="H351" s="176">
        <v>40</v>
      </c>
      <c r="I351" s="176">
        <v>37.799999999999997</v>
      </c>
      <c r="J351" s="176">
        <v>37.799999999999997</v>
      </c>
      <c r="K351" s="176">
        <v>5</v>
      </c>
      <c r="L351" s="176">
        <v>0</v>
      </c>
      <c r="M351" s="176" t="s">
        <v>148</v>
      </c>
      <c r="N351" s="176" t="s">
        <v>149</v>
      </c>
      <c r="O351" s="176" t="s">
        <v>150</v>
      </c>
      <c r="P351" s="176" t="s">
        <v>151</v>
      </c>
      <c r="Q351" s="176"/>
      <c r="R351" s="176" t="s">
        <v>4553</v>
      </c>
      <c r="S351" s="176"/>
      <c r="T351" s="176" t="s">
        <v>2867</v>
      </c>
      <c r="U351" s="176" t="s">
        <v>152</v>
      </c>
      <c r="V351" s="176" t="s">
        <v>23</v>
      </c>
    </row>
    <row r="352" spans="1:22" ht="12.75" customHeight="1">
      <c r="A352" s="65"/>
      <c r="B352" s="211">
        <v>46210</v>
      </c>
      <c r="C352" s="211">
        <v>46210</v>
      </c>
      <c r="D352" s="176" t="s">
        <v>4554</v>
      </c>
      <c r="E352" s="176" t="s">
        <v>4555</v>
      </c>
      <c r="F352" s="176" t="s">
        <v>87</v>
      </c>
      <c r="G352" s="176" t="s">
        <v>2001</v>
      </c>
      <c r="H352" s="176">
        <v>6</v>
      </c>
      <c r="I352" s="176">
        <v>14.3</v>
      </c>
      <c r="J352" s="176">
        <v>14.3</v>
      </c>
      <c r="K352" s="176">
        <v>1.5</v>
      </c>
      <c r="L352" s="176">
        <v>0</v>
      </c>
      <c r="M352" s="176" t="s">
        <v>148</v>
      </c>
      <c r="N352" s="176" t="s">
        <v>149</v>
      </c>
      <c r="O352" s="176" t="s">
        <v>150</v>
      </c>
      <c r="P352" s="176" t="s">
        <v>151</v>
      </c>
      <c r="Q352" s="176"/>
      <c r="R352" s="176" t="s">
        <v>4555</v>
      </c>
      <c r="S352" s="176"/>
      <c r="T352" s="176" t="s">
        <v>2867</v>
      </c>
      <c r="U352" s="176" t="s">
        <v>152</v>
      </c>
      <c r="V352" s="176" t="s">
        <v>23</v>
      </c>
    </row>
    <row r="353" spans="1:22" ht="12.75" customHeight="1">
      <c r="A353" s="65"/>
      <c r="B353" s="211">
        <v>46210</v>
      </c>
      <c r="C353" s="211">
        <v>46210</v>
      </c>
      <c r="D353" s="176" t="s">
        <v>4556</v>
      </c>
      <c r="E353" s="176" t="s">
        <v>4557</v>
      </c>
      <c r="F353" s="176" t="s">
        <v>87</v>
      </c>
      <c r="G353" s="176" t="s">
        <v>4501</v>
      </c>
      <c r="H353" s="176">
        <v>55</v>
      </c>
      <c r="I353" s="176">
        <v>39.299999999999997</v>
      </c>
      <c r="J353" s="176">
        <v>39.299999999999997</v>
      </c>
      <c r="K353" s="176">
        <v>5</v>
      </c>
      <c r="L353" s="176">
        <v>0</v>
      </c>
      <c r="M353" s="176" t="s">
        <v>148</v>
      </c>
      <c r="N353" s="176" t="s">
        <v>149</v>
      </c>
      <c r="O353" s="176" t="s">
        <v>150</v>
      </c>
      <c r="P353" s="176" t="s">
        <v>151</v>
      </c>
      <c r="Q353" s="176"/>
      <c r="R353" s="176" t="s">
        <v>4557</v>
      </c>
      <c r="S353" s="176"/>
      <c r="T353" s="176" t="s">
        <v>2867</v>
      </c>
      <c r="U353" s="176" t="s">
        <v>152</v>
      </c>
      <c r="V353" s="176" t="s">
        <v>23</v>
      </c>
    </row>
    <row r="354" spans="1:22" ht="12.75" customHeight="1">
      <c r="A354" s="65"/>
      <c r="B354" s="211">
        <v>46210</v>
      </c>
      <c r="C354" s="211">
        <v>46210</v>
      </c>
      <c r="D354" s="176" t="s">
        <v>4558</v>
      </c>
      <c r="E354" s="176" t="s">
        <v>4559</v>
      </c>
      <c r="F354" s="176" t="s">
        <v>87</v>
      </c>
      <c r="G354" s="176" t="s">
        <v>2486</v>
      </c>
      <c r="H354" s="176">
        <v>40</v>
      </c>
      <c r="I354" s="176">
        <v>33.299999999999997</v>
      </c>
      <c r="J354" s="176">
        <v>33.299999999999997</v>
      </c>
      <c r="K354" s="176">
        <v>5</v>
      </c>
      <c r="L354" s="176">
        <v>0</v>
      </c>
      <c r="M354" s="176" t="s">
        <v>148</v>
      </c>
      <c r="N354" s="176" t="s">
        <v>149</v>
      </c>
      <c r="O354" s="176" t="s">
        <v>150</v>
      </c>
      <c r="P354" s="176" t="s">
        <v>151</v>
      </c>
      <c r="Q354" s="176"/>
      <c r="R354" s="176" t="s">
        <v>4559</v>
      </c>
      <c r="S354" s="176"/>
      <c r="T354" s="176" t="s">
        <v>2867</v>
      </c>
      <c r="U354" s="176" t="s">
        <v>152</v>
      </c>
      <c r="V354" s="176" t="s">
        <v>23</v>
      </c>
    </row>
    <row r="355" spans="1:22" ht="12.75" customHeight="1">
      <c r="A355" s="65"/>
      <c r="B355" s="211">
        <v>46210</v>
      </c>
      <c r="C355" s="211">
        <v>46210</v>
      </c>
      <c r="D355" s="176" t="s">
        <v>4560</v>
      </c>
      <c r="E355" s="176" t="s">
        <v>4561</v>
      </c>
      <c r="F355" s="176" t="s">
        <v>87</v>
      </c>
      <c r="G355" s="176" t="s">
        <v>2639</v>
      </c>
      <c r="H355" s="176">
        <v>25</v>
      </c>
      <c r="I355" s="176">
        <v>32.799999999999997</v>
      </c>
      <c r="J355" s="176">
        <v>32.799999999999997</v>
      </c>
      <c r="K355" s="176">
        <v>4</v>
      </c>
      <c r="L355" s="176">
        <v>0</v>
      </c>
      <c r="M355" s="176" t="s">
        <v>148</v>
      </c>
      <c r="N355" s="176" t="s">
        <v>149</v>
      </c>
      <c r="O355" s="176" t="s">
        <v>150</v>
      </c>
      <c r="P355" s="176" t="s">
        <v>151</v>
      </c>
      <c r="Q355" s="176"/>
      <c r="R355" s="176" t="s">
        <v>4561</v>
      </c>
      <c r="S355" s="176"/>
      <c r="T355" s="176" t="s">
        <v>2867</v>
      </c>
      <c r="U355" s="176" t="s">
        <v>152</v>
      </c>
      <c r="V355" s="176" t="s">
        <v>23</v>
      </c>
    </row>
    <row r="356" spans="1:22" ht="12.75" customHeight="1">
      <c r="A356" s="65"/>
      <c r="B356" s="211">
        <v>46210</v>
      </c>
      <c r="C356" s="211">
        <v>46210</v>
      </c>
      <c r="D356" s="176" t="s">
        <v>4562</v>
      </c>
      <c r="E356" s="176" t="s">
        <v>4563</v>
      </c>
      <c r="F356" s="176" t="s">
        <v>87</v>
      </c>
      <c r="G356" s="176" t="s">
        <v>2552</v>
      </c>
      <c r="H356" s="176">
        <v>40</v>
      </c>
      <c r="I356" s="176">
        <v>42.4</v>
      </c>
      <c r="J356" s="176">
        <v>42.4</v>
      </c>
      <c r="K356" s="176">
        <v>5</v>
      </c>
      <c r="L356" s="176">
        <v>0</v>
      </c>
      <c r="M356" s="176" t="s">
        <v>148</v>
      </c>
      <c r="N356" s="176" t="s">
        <v>149</v>
      </c>
      <c r="O356" s="176" t="s">
        <v>150</v>
      </c>
      <c r="P356" s="176" t="s">
        <v>151</v>
      </c>
      <c r="Q356" s="176"/>
      <c r="R356" s="176" t="s">
        <v>4563</v>
      </c>
      <c r="S356" s="176"/>
      <c r="T356" s="176" t="s">
        <v>2867</v>
      </c>
      <c r="U356" s="176" t="s">
        <v>152</v>
      </c>
      <c r="V356" s="176" t="s">
        <v>23</v>
      </c>
    </row>
    <row r="357" spans="1:22" ht="12.75" customHeight="1">
      <c r="A357" s="65"/>
      <c r="B357" s="211">
        <v>46210</v>
      </c>
      <c r="C357" s="211">
        <v>46210</v>
      </c>
      <c r="D357" s="176" t="s">
        <v>4564</v>
      </c>
      <c r="E357" s="176" t="s">
        <v>4565</v>
      </c>
      <c r="F357" s="176" t="s">
        <v>87</v>
      </c>
      <c r="G357" s="176" t="s">
        <v>2486</v>
      </c>
      <c r="H357" s="176">
        <v>40</v>
      </c>
      <c r="I357" s="176">
        <v>41.5</v>
      </c>
      <c r="J357" s="176">
        <v>41.5</v>
      </c>
      <c r="K357" s="176">
        <v>5</v>
      </c>
      <c r="L357" s="176">
        <v>0</v>
      </c>
      <c r="M357" s="176" t="s">
        <v>148</v>
      </c>
      <c r="N357" s="176" t="s">
        <v>149</v>
      </c>
      <c r="O357" s="176" t="s">
        <v>150</v>
      </c>
      <c r="P357" s="176" t="s">
        <v>151</v>
      </c>
      <c r="Q357" s="176"/>
      <c r="R357" s="176" t="s">
        <v>4565</v>
      </c>
      <c r="S357" s="176"/>
      <c r="T357" s="176" t="s">
        <v>2867</v>
      </c>
      <c r="U357" s="176" t="s">
        <v>152</v>
      </c>
      <c r="V357" s="176" t="s">
        <v>23</v>
      </c>
    </row>
    <row r="358" spans="1:22" ht="12.75" customHeight="1">
      <c r="A358" s="65"/>
      <c r="B358" s="211">
        <v>46210</v>
      </c>
      <c r="C358" s="211">
        <v>46210</v>
      </c>
      <c r="D358" s="176" t="s">
        <v>4566</v>
      </c>
      <c r="E358" s="176" t="s">
        <v>4567</v>
      </c>
      <c r="F358" s="176" t="s">
        <v>87</v>
      </c>
      <c r="G358" s="176" t="s">
        <v>2001</v>
      </c>
      <c r="H358" s="176">
        <v>6</v>
      </c>
      <c r="I358" s="176">
        <v>26</v>
      </c>
      <c r="J358" s="176">
        <v>26</v>
      </c>
      <c r="K358" s="176">
        <v>1.5</v>
      </c>
      <c r="L358" s="176">
        <v>0</v>
      </c>
      <c r="M358" s="176" t="s">
        <v>148</v>
      </c>
      <c r="N358" s="176" t="s">
        <v>149</v>
      </c>
      <c r="O358" s="176" t="s">
        <v>150</v>
      </c>
      <c r="P358" s="176" t="s">
        <v>151</v>
      </c>
      <c r="Q358" s="176"/>
      <c r="R358" s="176" t="s">
        <v>4567</v>
      </c>
      <c r="S358" s="176"/>
      <c r="T358" s="176" t="s">
        <v>2867</v>
      </c>
      <c r="U358" s="176" t="s">
        <v>152</v>
      </c>
      <c r="V358" s="176" t="s">
        <v>23</v>
      </c>
    </row>
    <row r="359" spans="1:22" ht="12.75" customHeight="1">
      <c r="A359" s="65"/>
      <c r="B359" s="211">
        <v>46210</v>
      </c>
      <c r="C359" s="211">
        <v>46210</v>
      </c>
      <c r="D359" s="176" t="s">
        <v>4568</v>
      </c>
      <c r="E359" s="176" t="s">
        <v>4569</v>
      </c>
      <c r="F359" s="176" t="s">
        <v>87</v>
      </c>
      <c r="G359" s="176" t="s">
        <v>2486</v>
      </c>
      <c r="H359" s="176">
        <v>40</v>
      </c>
      <c r="I359" s="176">
        <v>40.799999999999997</v>
      </c>
      <c r="J359" s="176">
        <v>40.799999999999997</v>
      </c>
      <c r="K359" s="176">
        <v>5</v>
      </c>
      <c r="L359" s="176">
        <v>0</v>
      </c>
      <c r="M359" s="176" t="s">
        <v>148</v>
      </c>
      <c r="N359" s="176" t="s">
        <v>149</v>
      </c>
      <c r="O359" s="176" t="s">
        <v>150</v>
      </c>
      <c r="P359" s="176" t="s">
        <v>151</v>
      </c>
      <c r="Q359" s="176"/>
      <c r="R359" s="176" t="s">
        <v>4569</v>
      </c>
      <c r="S359" s="176"/>
      <c r="T359" s="176" t="s">
        <v>2867</v>
      </c>
      <c r="U359" s="176" t="s">
        <v>152</v>
      </c>
      <c r="V359" s="176" t="s">
        <v>23</v>
      </c>
    </row>
    <row r="360" spans="1:22" ht="12.75" customHeight="1">
      <c r="A360" s="65"/>
      <c r="B360" s="211">
        <v>46210</v>
      </c>
      <c r="C360" s="211">
        <v>46210</v>
      </c>
      <c r="D360" s="176" t="s">
        <v>4570</v>
      </c>
      <c r="E360" s="176" t="s">
        <v>4571</v>
      </c>
      <c r="F360" s="176" t="s">
        <v>87</v>
      </c>
      <c r="G360" s="176" t="s">
        <v>2486</v>
      </c>
      <c r="H360" s="176">
        <v>40</v>
      </c>
      <c r="I360" s="176">
        <v>36.299999999999997</v>
      </c>
      <c r="J360" s="176">
        <v>36.299999999999997</v>
      </c>
      <c r="K360" s="176">
        <v>5</v>
      </c>
      <c r="L360" s="176">
        <v>0</v>
      </c>
      <c r="M360" s="176" t="s">
        <v>148</v>
      </c>
      <c r="N360" s="176" t="s">
        <v>149</v>
      </c>
      <c r="O360" s="176" t="s">
        <v>150</v>
      </c>
      <c r="P360" s="176" t="s">
        <v>151</v>
      </c>
      <c r="Q360" s="176"/>
      <c r="R360" s="176" t="s">
        <v>4571</v>
      </c>
      <c r="S360" s="176"/>
      <c r="T360" s="176" t="s">
        <v>2867</v>
      </c>
      <c r="U360" s="176" t="s">
        <v>152</v>
      </c>
      <c r="V360" s="176" t="s">
        <v>23</v>
      </c>
    </row>
    <row r="361" spans="1:22" ht="12.75" customHeight="1">
      <c r="A361" s="65"/>
      <c r="B361" s="211">
        <v>46210</v>
      </c>
      <c r="C361" s="211">
        <v>46210</v>
      </c>
      <c r="D361" s="176" t="s">
        <v>4572</v>
      </c>
      <c r="E361" s="176" t="s">
        <v>4573</v>
      </c>
      <c r="F361" s="176" t="s">
        <v>87</v>
      </c>
      <c r="G361" s="176" t="s">
        <v>2552</v>
      </c>
      <c r="H361" s="176">
        <v>40</v>
      </c>
      <c r="I361" s="176">
        <v>38.799999999999997</v>
      </c>
      <c r="J361" s="176">
        <v>38.799999999999997</v>
      </c>
      <c r="K361" s="176">
        <v>5</v>
      </c>
      <c r="L361" s="176">
        <v>0</v>
      </c>
      <c r="M361" s="176" t="s">
        <v>148</v>
      </c>
      <c r="N361" s="176" t="s">
        <v>149</v>
      </c>
      <c r="O361" s="176" t="s">
        <v>150</v>
      </c>
      <c r="P361" s="176" t="s">
        <v>151</v>
      </c>
      <c r="Q361" s="176"/>
      <c r="R361" s="176" t="s">
        <v>4573</v>
      </c>
      <c r="S361" s="176"/>
      <c r="T361" s="176" t="s">
        <v>2867</v>
      </c>
      <c r="U361" s="176" t="s">
        <v>152</v>
      </c>
      <c r="V361" s="176" t="s">
        <v>23</v>
      </c>
    </row>
    <row r="362" spans="1:22" ht="12.75" customHeight="1">
      <c r="A362" s="65"/>
      <c r="B362" s="211">
        <v>46210</v>
      </c>
      <c r="C362" s="211">
        <v>46210</v>
      </c>
      <c r="D362" s="176" t="s">
        <v>4574</v>
      </c>
      <c r="E362" s="176" t="s">
        <v>4575</v>
      </c>
      <c r="F362" s="176" t="s">
        <v>87</v>
      </c>
      <c r="G362" s="176" t="s">
        <v>2486</v>
      </c>
      <c r="H362" s="176">
        <v>40</v>
      </c>
      <c r="I362" s="176">
        <v>36.299999999999997</v>
      </c>
      <c r="J362" s="176">
        <v>36.299999999999997</v>
      </c>
      <c r="K362" s="176">
        <v>5</v>
      </c>
      <c r="L362" s="176">
        <v>0</v>
      </c>
      <c r="M362" s="176" t="s">
        <v>148</v>
      </c>
      <c r="N362" s="176" t="s">
        <v>149</v>
      </c>
      <c r="O362" s="176" t="s">
        <v>150</v>
      </c>
      <c r="P362" s="176" t="s">
        <v>151</v>
      </c>
      <c r="Q362" s="176"/>
      <c r="R362" s="176" t="s">
        <v>4575</v>
      </c>
      <c r="S362" s="176"/>
      <c r="T362" s="176" t="s">
        <v>2867</v>
      </c>
      <c r="U362" s="176" t="s">
        <v>152</v>
      </c>
      <c r="V362" s="176" t="s">
        <v>23</v>
      </c>
    </row>
    <row r="363" spans="1:22" ht="12.75" customHeight="1">
      <c r="A363" s="65"/>
      <c r="B363" s="211">
        <v>46210</v>
      </c>
      <c r="C363" s="211">
        <v>46210</v>
      </c>
      <c r="D363" s="176" t="s">
        <v>4576</v>
      </c>
      <c r="E363" s="176" t="s">
        <v>4577</v>
      </c>
      <c r="F363" s="176" t="s">
        <v>87</v>
      </c>
      <c r="G363" s="176" t="s">
        <v>2486</v>
      </c>
      <c r="H363" s="176">
        <v>40</v>
      </c>
      <c r="I363" s="176">
        <v>41.5</v>
      </c>
      <c r="J363" s="176">
        <v>41.5</v>
      </c>
      <c r="K363" s="176">
        <v>5</v>
      </c>
      <c r="L363" s="176">
        <v>0</v>
      </c>
      <c r="M363" s="176" t="s">
        <v>148</v>
      </c>
      <c r="N363" s="176" t="s">
        <v>149</v>
      </c>
      <c r="O363" s="176" t="s">
        <v>150</v>
      </c>
      <c r="P363" s="176" t="s">
        <v>151</v>
      </c>
      <c r="Q363" s="176"/>
      <c r="R363" s="176" t="s">
        <v>4577</v>
      </c>
      <c r="S363" s="176"/>
      <c r="T363" s="176" t="s">
        <v>2867</v>
      </c>
      <c r="U363" s="176" t="s">
        <v>152</v>
      </c>
      <c r="V363" s="176" t="s">
        <v>23</v>
      </c>
    </row>
    <row r="364" spans="1:22" ht="12.75" customHeight="1">
      <c r="A364" s="65"/>
      <c r="B364" s="211">
        <v>46210</v>
      </c>
      <c r="C364" s="211">
        <v>46210</v>
      </c>
      <c r="D364" s="176" t="s">
        <v>4578</v>
      </c>
      <c r="E364" s="176" t="s">
        <v>4579</v>
      </c>
      <c r="F364" s="176" t="s">
        <v>87</v>
      </c>
      <c r="G364" s="176" t="s">
        <v>2001</v>
      </c>
      <c r="H364" s="176">
        <v>6</v>
      </c>
      <c r="I364" s="176">
        <v>26.8</v>
      </c>
      <c r="J364" s="176">
        <v>26.8</v>
      </c>
      <c r="K364" s="176">
        <v>1.5</v>
      </c>
      <c r="L364" s="176">
        <v>0</v>
      </c>
      <c r="M364" s="176" t="s">
        <v>148</v>
      </c>
      <c r="N364" s="176" t="s">
        <v>149</v>
      </c>
      <c r="O364" s="176" t="s">
        <v>150</v>
      </c>
      <c r="P364" s="176" t="s">
        <v>151</v>
      </c>
      <c r="Q364" s="176"/>
      <c r="R364" s="176" t="s">
        <v>4579</v>
      </c>
      <c r="S364" s="176"/>
      <c r="T364" s="176" t="s">
        <v>2867</v>
      </c>
      <c r="U364" s="176" t="s">
        <v>152</v>
      </c>
      <c r="V364" s="176" t="s">
        <v>23</v>
      </c>
    </row>
    <row r="365" spans="1:22" ht="12.75" customHeight="1">
      <c r="A365" s="65"/>
      <c r="B365" s="211">
        <v>46210</v>
      </c>
      <c r="C365" s="211">
        <v>46210</v>
      </c>
      <c r="D365" s="176" t="s">
        <v>4580</v>
      </c>
      <c r="E365" s="176" t="s">
        <v>4581</v>
      </c>
      <c r="F365" s="176" t="s">
        <v>87</v>
      </c>
      <c r="G365" s="176" t="s">
        <v>2486</v>
      </c>
      <c r="H365" s="176">
        <v>40</v>
      </c>
      <c r="I365" s="176">
        <v>27.8</v>
      </c>
      <c r="J365" s="176">
        <v>27.8</v>
      </c>
      <c r="K365" s="176">
        <v>5</v>
      </c>
      <c r="L365" s="176">
        <v>0</v>
      </c>
      <c r="M365" s="176" t="s">
        <v>148</v>
      </c>
      <c r="N365" s="176" t="s">
        <v>149</v>
      </c>
      <c r="O365" s="176" t="s">
        <v>150</v>
      </c>
      <c r="P365" s="176" t="s">
        <v>151</v>
      </c>
      <c r="Q365" s="176"/>
      <c r="R365" s="176" t="s">
        <v>4581</v>
      </c>
      <c r="S365" s="176"/>
      <c r="T365" s="176" t="s">
        <v>2867</v>
      </c>
      <c r="U365" s="176" t="s">
        <v>152</v>
      </c>
      <c r="V365" s="176" t="s">
        <v>23</v>
      </c>
    </row>
    <row r="366" spans="1:22" ht="12.75" customHeight="1">
      <c r="A366" s="65"/>
      <c r="B366" s="211">
        <v>46210</v>
      </c>
      <c r="C366" s="211">
        <v>46210</v>
      </c>
      <c r="D366" s="176" t="s">
        <v>4582</v>
      </c>
      <c r="E366" s="176" t="s">
        <v>4583</v>
      </c>
      <c r="F366" s="176" t="s">
        <v>87</v>
      </c>
      <c r="G366" s="176" t="s">
        <v>2486</v>
      </c>
      <c r="H366" s="176">
        <v>40</v>
      </c>
      <c r="I366" s="176">
        <v>32.4</v>
      </c>
      <c r="J366" s="176">
        <v>32.4</v>
      </c>
      <c r="K366" s="176">
        <v>5</v>
      </c>
      <c r="L366" s="176">
        <v>0</v>
      </c>
      <c r="M366" s="176" t="s">
        <v>148</v>
      </c>
      <c r="N366" s="176" t="s">
        <v>149</v>
      </c>
      <c r="O366" s="176" t="s">
        <v>150</v>
      </c>
      <c r="P366" s="176" t="s">
        <v>151</v>
      </c>
      <c r="Q366" s="176"/>
      <c r="R366" s="176" t="s">
        <v>4583</v>
      </c>
      <c r="S366" s="176"/>
      <c r="T366" s="176" t="s">
        <v>2867</v>
      </c>
      <c r="U366" s="176" t="s">
        <v>152</v>
      </c>
      <c r="V366" s="176" t="s">
        <v>23</v>
      </c>
    </row>
    <row r="367" spans="1:22" ht="12.75" customHeight="1">
      <c r="A367" s="65"/>
      <c r="B367" s="211">
        <v>46210</v>
      </c>
      <c r="C367" s="211">
        <v>46210</v>
      </c>
      <c r="D367" s="176" t="s">
        <v>4584</v>
      </c>
      <c r="E367" s="176" t="s">
        <v>4585</v>
      </c>
      <c r="F367" s="176" t="s">
        <v>87</v>
      </c>
      <c r="G367" s="176" t="s">
        <v>2552</v>
      </c>
      <c r="H367" s="176">
        <v>40</v>
      </c>
      <c r="I367" s="176">
        <v>29.8</v>
      </c>
      <c r="J367" s="176">
        <v>29.8</v>
      </c>
      <c r="K367" s="176">
        <v>5</v>
      </c>
      <c r="L367" s="176">
        <v>0</v>
      </c>
      <c r="M367" s="176" t="s">
        <v>148</v>
      </c>
      <c r="N367" s="176" t="s">
        <v>149</v>
      </c>
      <c r="O367" s="176" t="s">
        <v>150</v>
      </c>
      <c r="P367" s="176" t="s">
        <v>151</v>
      </c>
      <c r="Q367" s="176"/>
      <c r="R367" s="176" t="s">
        <v>4585</v>
      </c>
      <c r="S367" s="176"/>
      <c r="T367" s="176" t="s">
        <v>2867</v>
      </c>
      <c r="U367" s="176" t="s">
        <v>152</v>
      </c>
      <c r="V367" s="176" t="s">
        <v>23</v>
      </c>
    </row>
    <row r="368" spans="1:22" ht="12.75" customHeight="1">
      <c r="A368" s="65"/>
      <c r="B368" s="211">
        <v>46211</v>
      </c>
      <c r="C368" s="211">
        <v>46211</v>
      </c>
      <c r="D368" s="176" t="s">
        <v>4586</v>
      </c>
      <c r="E368" s="176" t="s">
        <v>4587</v>
      </c>
      <c r="F368" s="176" t="s">
        <v>87</v>
      </c>
      <c r="G368" s="176" t="s">
        <v>2552</v>
      </c>
      <c r="H368" s="176">
        <v>40</v>
      </c>
      <c r="I368" s="176">
        <v>40.1</v>
      </c>
      <c r="J368" s="176">
        <v>40.1</v>
      </c>
      <c r="K368" s="176">
        <v>5</v>
      </c>
      <c r="L368" s="176">
        <v>0</v>
      </c>
      <c r="M368" s="176" t="s">
        <v>148</v>
      </c>
      <c r="N368" s="176" t="s">
        <v>149</v>
      </c>
      <c r="O368" s="176" t="s">
        <v>150</v>
      </c>
      <c r="P368" s="176" t="s">
        <v>151</v>
      </c>
      <c r="Q368" s="176"/>
      <c r="R368" s="176" t="s">
        <v>4587</v>
      </c>
      <c r="S368" s="176"/>
      <c r="T368" s="176" t="s">
        <v>2891</v>
      </c>
      <c r="U368" s="176" t="s">
        <v>152</v>
      </c>
      <c r="V368" s="176" t="s">
        <v>23</v>
      </c>
    </row>
    <row r="369" spans="1:22" ht="12.75" customHeight="1">
      <c r="A369" s="65"/>
      <c r="B369" s="211">
        <v>46211</v>
      </c>
      <c r="C369" s="211">
        <v>46211</v>
      </c>
      <c r="D369" s="176" t="s">
        <v>4588</v>
      </c>
      <c r="E369" s="176" t="s">
        <v>4589</v>
      </c>
      <c r="F369" s="176" t="s">
        <v>87</v>
      </c>
      <c r="G369" s="176" t="s">
        <v>2552</v>
      </c>
      <c r="H369" s="176">
        <v>40</v>
      </c>
      <c r="I369" s="176">
        <v>27.6</v>
      </c>
      <c r="J369" s="176">
        <v>27.6</v>
      </c>
      <c r="K369" s="176">
        <v>5</v>
      </c>
      <c r="L369" s="176">
        <v>0</v>
      </c>
      <c r="M369" s="176" t="s">
        <v>148</v>
      </c>
      <c r="N369" s="176" t="s">
        <v>149</v>
      </c>
      <c r="O369" s="176" t="s">
        <v>150</v>
      </c>
      <c r="P369" s="176" t="s">
        <v>151</v>
      </c>
      <c r="Q369" s="176"/>
      <c r="R369" s="176" t="s">
        <v>4589</v>
      </c>
      <c r="S369" s="176"/>
      <c r="T369" s="176" t="s">
        <v>2891</v>
      </c>
      <c r="U369" s="176" t="s">
        <v>152</v>
      </c>
      <c r="V369" s="176" t="s">
        <v>23</v>
      </c>
    </row>
    <row r="370" spans="1:22" ht="12.75" customHeight="1">
      <c r="A370" s="65"/>
      <c r="B370" s="211">
        <v>46211</v>
      </c>
      <c r="C370" s="211">
        <v>46211</v>
      </c>
      <c r="D370" s="176" t="s">
        <v>4590</v>
      </c>
      <c r="E370" s="176" t="s">
        <v>4591</v>
      </c>
      <c r="F370" s="176" t="s">
        <v>87</v>
      </c>
      <c r="G370" s="176" t="s">
        <v>1713</v>
      </c>
      <c r="H370" s="176">
        <v>30</v>
      </c>
      <c r="I370" s="176">
        <v>35.299999999999997</v>
      </c>
      <c r="J370" s="176">
        <v>35.299999999999997</v>
      </c>
      <c r="K370" s="176">
        <v>4</v>
      </c>
      <c r="L370" s="176">
        <v>0</v>
      </c>
      <c r="M370" s="176" t="s">
        <v>148</v>
      </c>
      <c r="N370" s="176" t="s">
        <v>149</v>
      </c>
      <c r="O370" s="176" t="s">
        <v>150</v>
      </c>
      <c r="P370" s="176" t="s">
        <v>151</v>
      </c>
      <c r="Q370" s="176"/>
      <c r="R370" s="176" t="s">
        <v>4591</v>
      </c>
      <c r="S370" s="176"/>
      <c r="T370" s="176" t="s">
        <v>2891</v>
      </c>
      <c r="U370" s="176" t="s">
        <v>152</v>
      </c>
      <c r="V370" s="176" t="s">
        <v>23</v>
      </c>
    </row>
    <row r="371" spans="1:22" ht="12.75" customHeight="1">
      <c r="A371" s="65"/>
      <c r="B371" s="211">
        <v>46211</v>
      </c>
      <c r="C371" s="211">
        <v>46211</v>
      </c>
      <c r="D371" s="176" t="s">
        <v>4592</v>
      </c>
      <c r="E371" s="176" t="s">
        <v>4593</v>
      </c>
      <c r="F371" s="176" t="s">
        <v>87</v>
      </c>
      <c r="G371" s="176" t="s">
        <v>1713</v>
      </c>
      <c r="H371" s="176">
        <v>30</v>
      </c>
      <c r="I371" s="176">
        <v>32.200000000000003</v>
      </c>
      <c r="J371" s="176">
        <v>32.200000000000003</v>
      </c>
      <c r="K371" s="176">
        <v>4</v>
      </c>
      <c r="L371" s="176">
        <v>0</v>
      </c>
      <c r="M371" s="176" t="s">
        <v>148</v>
      </c>
      <c r="N371" s="176" t="s">
        <v>149</v>
      </c>
      <c r="O371" s="176" t="s">
        <v>150</v>
      </c>
      <c r="P371" s="176" t="s">
        <v>151</v>
      </c>
      <c r="Q371" s="176"/>
      <c r="R371" s="176" t="s">
        <v>4593</v>
      </c>
      <c r="S371" s="176"/>
      <c r="T371" s="176" t="s">
        <v>2891</v>
      </c>
      <c r="U371" s="176" t="s">
        <v>152</v>
      </c>
      <c r="V371" s="176" t="s">
        <v>23</v>
      </c>
    </row>
    <row r="372" spans="1:22" ht="12.75" customHeight="1">
      <c r="A372" s="65"/>
      <c r="B372" s="211">
        <v>46211</v>
      </c>
      <c r="C372" s="211">
        <v>46211</v>
      </c>
      <c r="D372" s="176" t="s">
        <v>4594</v>
      </c>
      <c r="E372" s="176" t="s">
        <v>4595</v>
      </c>
      <c r="F372" s="176" t="s">
        <v>87</v>
      </c>
      <c r="G372" s="176" t="s">
        <v>2552</v>
      </c>
      <c r="H372" s="176">
        <v>40</v>
      </c>
      <c r="I372" s="176">
        <v>30.8</v>
      </c>
      <c r="J372" s="176">
        <v>30.8</v>
      </c>
      <c r="K372" s="176">
        <v>5</v>
      </c>
      <c r="L372" s="176">
        <v>0</v>
      </c>
      <c r="M372" s="176" t="s">
        <v>148</v>
      </c>
      <c r="N372" s="176" t="s">
        <v>149</v>
      </c>
      <c r="O372" s="176" t="s">
        <v>150</v>
      </c>
      <c r="P372" s="176" t="s">
        <v>151</v>
      </c>
      <c r="Q372" s="176"/>
      <c r="R372" s="176" t="s">
        <v>4595</v>
      </c>
      <c r="S372" s="176"/>
      <c r="T372" s="176" t="s">
        <v>2891</v>
      </c>
      <c r="U372" s="176" t="s">
        <v>152</v>
      </c>
      <c r="V372" s="176" t="s">
        <v>23</v>
      </c>
    </row>
    <row r="373" spans="1:22" ht="12.75" customHeight="1">
      <c r="A373" s="65"/>
      <c r="B373" s="211">
        <v>46211</v>
      </c>
      <c r="C373" s="211">
        <v>46211</v>
      </c>
      <c r="D373" s="176" t="s">
        <v>4596</v>
      </c>
      <c r="E373" s="176" t="s">
        <v>4597</v>
      </c>
      <c r="F373" s="176" t="s">
        <v>87</v>
      </c>
      <c r="G373" s="176" t="s">
        <v>3866</v>
      </c>
      <c r="H373" s="176">
        <v>40</v>
      </c>
      <c r="I373" s="176">
        <v>29.8</v>
      </c>
      <c r="J373" s="176">
        <v>29.8</v>
      </c>
      <c r="K373" s="176">
        <v>5</v>
      </c>
      <c r="L373" s="176">
        <v>0</v>
      </c>
      <c r="M373" s="176" t="s">
        <v>148</v>
      </c>
      <c r="N373" s="176" t="s">
        <v>149</v>
      </c>
      <c r="O373" s="176" t="s">
        <v>150</v>
      </c>
      <c r="P373" s="176" t="s">
        <v>151</v>
      </c>
      <c r="Q373" s="176"/>
      <c r="R373" s="176" t="s">
        <v>4597</v>
      </c>
      <c r="S373" s="176"/>
      <c r="T373" s="176" t="s">
        <v>2891</v>
      </c>
      <c r="U373" s="176" t="s">
        <v>152</v>
      </c>
      <c r="V373" s="176" t="s">
        <v>23</v>
      </c>
    </row>
    <row r="374" spans="1:22" ht="12.75" customHeight="1">
      <c r="A374" s="65"/>
      <c r="B374" s="211">
        <v>46211</v>
      </c>
      <c r="C374" s="211">
        <v>46211</v>
      </c>
      <c r="D374" s="176" t="s">
        <v>4598</v>
      </c>
      <c r="E374" s="176" t="s">
        <v>4599</v>
      </c>
      <c r="F374" s="176" t="s">
        <v>87</v>
      </c>
      <c r="G374" s="176" t="s">
        <v>1713</v>
      </c>
      <c r="H374" s="176">
        <v>30</v>
      </c>
      <c r="I374" s="176">
        <v>30.4</v>
      </c>
      <c r="J374" s="176">
        <v>30.4</v>
      </c>
      <c r="K374" s="176">
        <v>4</v>
      </c>
      <c r="L374" s="176">
        <v>0</v>
      </c>
      <c r="M374" s="176" t="s">
        <v>148</v>
      </c>
      <c r="N374" s="176" t="s">
        <v>149</v>
      </c>
      <c r="O374" s="176" t="s">
        <v>150</v>
      </c>
      <c r="P374" s="176" t="s">
        <v>151</v>
      </c>
      <c r="Q374" s="176"/>
      <c r="R374" s="176" t="s">
        <v>4599</v>
      </c>
      <c r="S374" s="176"/>
      <c r="T374" s="176" t="s">
        <v>2891</v>
      </c>
      <c r="U374" s="176" t="s">
        <v>152</v>
      </c>
      <c r="V374" s="176" t="s">
        <v>23</v>
      </c>
    </row>
    <row r="375" spans="1:22" ht="12.75" customHeight="1">
      <c r="A375" s="65"/>
      <c r="B375" s="211">
        <v>46211</v>
      </c>
      <c r="C375" s="211">
        <v>46211</v>
      </c>
      <c r="D375" s="176" t="s">
        <v>4600</v>
      </c>
      <c r="E375" s="176" t="s">
        <v>4601</v>
      </c>
      <c r="F375" s="176" t="s">
        <v>87</v>
      </c>
      <c r="G375" s="176" t="s">
        <v>2485</v>
      </c>
      <c r="H375" s="176">
        <v>30</v>
      </c>
      <c r="I375" s="176">
        <v>33.1</v>
      </c>
      <c r="J375" s="176">
        <v>33.1</v>
      </c>
      <c r="K375" s="176">
        <v>4</v>
      </c>
      <c r="L375" s="176">
        <v>0</v>
      </c>
      <c r="M375" s="176" t="s">
        <v>148</v>
      </c>
      <c r="N375" s="176" t="s">
        <v>149</v>
      </c>
      <c r="O375" s="176" t="s">
        <v>150</v>
      </c>
      <c r="P375" s="176" t="s">
        <v>151</v>
      </c>
      <c r="Q375" s="176"/>
      <c r="R375" s="176" t="s">
        <v>4601</v>
      </c>
      <c r="S375" s="176"/>
      <c r="T375" s="176" t="s">
        <v>2891</v>
      </c>
      <c r="U375" s="176" t="s">
        <v>152</v>
      </c>
      <c r="V375" s="176" t="s">
        <v>23</v>
      </c>
    </row>
    <row r="376" spans="1:22" ht="12.75" customHeight="1">
      <c r="A376" s="65"/>
      <c r="B376" s="211">
        <v>46211</v>
      </c>
      <c r="C376" s="211">
        <v>46211</v>
      </c>
      <c r="D376" s="176" t="s">
        <v>4602</v>
      </c>
      <c r="E376" s="176" t="s">
        <v>4603</v>
      </c>
      <c r="F376" s="176" t="s">
        <v>87</v>
      </c>
      <c r="G376" s="176" t="s">
        <v>2485</v>
      </c>
      <c r="H376" s="176">
        <v>30</v>
      </c>
      <c r="I376" s="176">
        <v>26.8</v>
      </c>
      <c r="J376" s="176">
        <v>26.8</v>
      </c>
      <c r="K376" s="176">
        <v>4</v>
      </c>
      <c r="L376" s="176">
        <v>0</v>
      </c>
      <c r="M376" s="176" t="s">
        <v>148</v>
      </c>
      <c r="N376" s="176" t="s">
        <v>149</v>
      </c>
      <c r="O376" s="176" t="s">
        <v>150</v>
      </c>
      <c r="P376" s="176" t="s">
        <v>151</v>
      </c>
      <c r="Q376" s="176"/>
      <c r="R376" s="176" t="s">
        <v>4603</v>
      </c>
      <c r="S376" s="176"/>
      <c r="T376" s="176" t="s">
        <v>2891</v>
      </c>
      <c r="U376" s="176" t="s">
        <v>152</v>
      </c>
      <c r="V376" s="176" t="s">
        <v>23</v>
      </c>
    </row>
    <row r="377" spans="1:22" ht="12.75" customHeight="1">
      <c r="A377" s="65"/>
      <c r="B377" s="211">
        <v>46211</v>
      </c>
      <c r="C377" s="211">
        <v>46211</v>
      </c>
      <c r="D377" s="176" t="s">
        <v>4604</v>
      </c>
      <c r="E377" s="176" t="s">
        <v>4605</v>
      </c>
      <c r="F377" s="176" t="s">
        <v>87</v>
      </c>
      <c r="G377" s="176" t="s">
        <v>2633</v>
      </c>
      <c r="H377" s="176">
        <v>40</v>
      </c>
      <c r="I377" s="176">
        <v>27.2</v>
      </c>
      <c r="J377" s="176">
        <v>27.2</v>
      </c>
      <c r="K377" s="176">
        <v>5</v>
      </c>
      <c r="L377" s="176">
        <v>0</v>
      </c>
      <c r="M377" s="176" t="s">
        <v>148</v>
      </c>
      <c r="N377" s="176" t="s">
        <v>149</v>
      </c>
      <c r="O377" s="176" t="s">
        <v>150</v>
      </c>
      <c r="P377" s="176" t="s">
        <v>151</v>
      </c>
      <c r="Q377" s="176"/>
      <c r="R377" s="176" t="s">
        <v>4605</v>
      </c>
      <c r="S377" s="176"/>
      <c r="T377" s="176" t="s">
        <v>2891</v>
      </c>
      <c r="U377" s="176" t="s">
        <v>152</v>
      </c>
      <c r="V377" s="176" t="s">
        <v>23</v>
      </c>
    </row>
    <row r="378" spans="1:22" ht="12.75" customHeight="1">
      <c r="A378" s="65"/>
      <c r="B378" s="211">
        <v>46211</v>
      </c>
      <c r="C378" s="211">
        <v>46211</v>
      </c>
      <c r="D378" s="176" t="s">
        <v>4606</v>
      </c>
      <c r="E378" s="176" t="s">
        <v>4607</v>
      </c>
      <c r="F378" s="176" t="s">
        <v>87</v>
      </c>
      <c r="G378" s="176" t="s">
        <v>2639</v>
      </c>
      <c r="H378" s="176">
        <v>25</v>
      </c>
      <c r="I378" s="176">
        <v>28.2</v>
      </c>
      <c r="J378" s="176">
        <v>28.2</v>
      </c>
      <c r="K378" s="176">
        <v>4</v>
      </c>
      <c r="L378" s="176">
        <v>0</v>
      </c>
      <c r="M378" s="176" t="s">
        <v>148</v>
      </c>
      <c r="N378" s="176" t="s">
        <v>149</v>
      </c>
      <c r="O378" s="176" t="s">
        <v>150</v>
      </c>
      <c r="P378" s="176" t="s">
        <v>151</v>
      </c>
      <c r="Q378" s="176"/>
      <c r="R378" s="176" t="s">
        <v>4607</v>
      </c>
      <c r="S378" s="176"/>
      <c r="T378" s="176" t="s">
        <v>2891</v>
      </c>
      <c r="U378" s="176" t="s">
        <v>152</v>
      </c>
      <c r="V378" s="176" t="s">
        <v>23</v>
      </c>
    </row>
    <row r="379" spans="1:22" ht="12.75" customHeight="1">
      <c r="A379" s="65"/>
      <c r="B379" s="211">
        <v>46211</v>
      </c>
      <c r="C379" s="211">
        <v>46211</v>
      </c>
      <c r="D379" s="176" t="s">
        <v>4608</v>
      </c>
      <c r="E379" s="176" t="s">
        <v>4609</v>
      </c>
      <c r="F379" s="176" t="s">
        <v>87</v>
      </c>
      <c r="G379" s="176" t="s">
        <v>2552</v>
      </c>
      <c r="H379" s="176">
        <v>40</v>
      </c>
      <c r="I379" s="176">
        <v>29.8</v>
      </c>
      <c r="J379" s="176">
        <v>29.8</v>
      </c>
      <c r="K379" s="176">
        <v>5</v>
      </c>
      <c r="L379" s="176">
        <v>0</v>
      </c>
      <c r="M379" s="176" t="s">
        <v>148</v>
      </c>
      <c r="N379" s="176" t="s">
        <v>149</v>
      </c>
      <c r="O379" s="176" t="s">
        <v>150</v>
      </c>
      <c r="P379" s="176" t="s">
        <v>151</v>
      </c>
      <c r="Q379" s="176"/>
      <c r="R379" s="176" t="s">
        <v>4609</v>
      </c>
      <c r="S379" s="176"/>
      <c r="T379" s="176" t="s">
        <v>2891</v>
      </c>
      <c r="U379" s="176" t="s">
        <v>152</v>
      </c>
      <c r="V379" s="176" t="s">
        <v>23</v>
      </c>
    </row>
    <row r="380" spans="1:22" ht="12.75" customHeight="1">
      <c r="A380" s="65"/>
      <c r="B380" s="211">
        <v>46211</v>
      </c>
      <c r="C380" s="211">
        <v>46211</v>
      </c>
      <c r="D380" s="176" t="s">
        <v>4610</v>
      </c>
      <c r="E380" s="176" t="s">
        <v>4611</v>
      </c>
      <c r="F380" s="176" t="s">
        <v>87</v>
      </c>
      <c r="G380" s="176" t="s">
        <v>2486</v>
      </c>
      <c r="H380" s="176">
        <v>40</v>
      </c>
      <c r="I380" s="176">
        <v>31.2</v>
      </c>
      <c r="J380" s="176">
        <v>31.2</v>
      </c>
      <c r="K380" s="176">
        <v>5</v>
      </c>
      <c r="L380" s="176">
        <v>0</v>
      </c>
      <c r="M380" s="176" t="s">
        <v>148</v>
      </c>
      <c r="N380" s="176" t="s">
        <v>149</v>
      </c>
      <c r="O380" s="176" t="s">
        <v>150</v>
      </c>
      <c r="P380" s="176" t="s">
        <v>151</v>
      </c>
      <c r="Q380" s="176"/>
      <c r="R380" s="176" t="s">
        <v>4611</v>
      </c>
      <c r="S380" s="176"/>
      <c r="T380" s="176" t="s">
        <v>2891</v>
      </c>
      <c r="U380" s="176" t="s">
        <v>152</v>
      </c>
      <c r="V380" s="176" t="s">
        <v>23</v>
      </c>
    </row>
    <row r="381" spans="1:22" ht="12.75" customHeight="1">
      <c r="A381" s="65"/>
      <c r="B381" s="211">
        <v>46211</v>
      </c>
      <c r="C381" s="211">
        <v>46211</v>
      </c>
      <c r="D381" s="176" t="s">
        <v>4612</v>
      </c>
      <c r="E381" s="176" t="s">
        <v>4613</v>
      </c>
      <c r="F381" s="176" t="s">
        <v>87</v>
      </c>
      <c r="G381" s="176" t="s">
        <v>1713</v>
      </c>
      <c r="H381" s="176">
        <v>30</v>
      </c>
      <c r="I381" s="176">
        <v>24.8</v>
      </c>
      <c r="J381" s="176">
        <v>24.8</v>
      </c>
      <c r="K381" s="176">
        <v>4</v>
      </c>
      <c r="L381" s="176">
        <v>0</v>
      </c>
      <c r="M381" s="176" t="s">
        <v>148</v>
      </c>
      <c r="N381" s="176" t="s">
        <v>149</v>
      </c>
      <c r="O381" s="176" t="s">
        <v>150</v>
      </c>
      <c r="P381" s="176" t="s">
        <v>151</v>
      </c>
      <c r="Q381" s="176"/>
      <c r="R381" s="176" t="s">
        <v>4613</v>
      </c>
      <c r="S381" s="176"/>
      <c r="T381" s="176" t="s">
        <v>2891</v>
      </c>
      <c r="U381" s="176" t="s">
        <v>152</v>
      </c>
      <c r="V381" s="176" t="s">
        <v>23</v>
      </c>
    </row>
    <row r="382" spans="1:22" ht="12.75" customHeight="1">
      <c r="A382" s="65"/>
      <c r="B382" s="211">
        <v>46211</v>
      </c>
      <c r="C382" s="211">
        <v>46211</v>
      </c>
      <c r="D382" s="176" t="s">
        <v>4614</v>
      </c>
      <c r="E382" s="176" t="s">
        <v>4615</v>
      </c>
      <c r="F382" s="176" t="s">
        <v>87</v>
      </c>
      <c r="G382" s="176" t="s">
        <v>2486</v>
      </c>
      <c r="H382" s="176">
        <v>40</v>
      </c>
      <c r="I382" s="176">
        <v>33.799999999999997</v>
      </c>
      <c r="J382" s="176">
        <v>33.799999999999997</v>
      </c>
      <c r="K382" s="176">
        <v>5</v>
      </c>
      <c r="L382" s="176">
        <v>0</v>
      </c>
      <c r="M382" s="176" t="s">
        <v>148</v>
      </c>
      <c r="N382" s="176" t="s">
        <v>149</v>
      </c>
      <c r="O382" s="176" t="s">
        <v>150</v>
      </c>
      <c r="P382" s="176" t="s">
        <v>151</v>
      </c>
      <c r="Q382" s="176"/>
      <c r="R382" s="176" t="s">
        <v>4615</v>
      </c>
      <c r="S382" s="176"/>
      <c r="T382" s="176" t="s">
        <v>2891</v>
      </c>
      <c r="U382" s="176" t="s">
        <v>152</v>
      </c>
      <c r="V382" s="176" t="s">
        <v>23</v>
      </c>
    </row>
    <row r="383" spans="1:22" ht="12.75" customHeight="1">
      <c r="A383" s="65"/>
      <c r="B383" s="211">
        <v>46211</v>
      </c>
      <c r="C383" s="211">
        <v>46211</v>
      </c>
      <c r="D383" s="176" t="s">
        <v>4616</v>
      </c>
      <c r="E383" s="176" t="s">
        <v>4617</v>
      </c>
      <c r="F383" s="176" t="s">
        <v>87</v>
      </c>
      <c r="G383" s="176" t="s">
        <v>2485</v>
      </c>
      <c r="H383" s="176">
        <v>30</v>
      </c>
      <c r="I383" s="176">
        <v>31</v>
      </c>
      <c r="J383" s="176">
        <v>31</v>
      </c>
      <c r="K383" s="176">
        <v>4</v>
      </c>
      <c r="L383" s="176">
        <v>0</v>
      </c>
      <c r="M383" s="176" t="s">
        <v>148</v>
      </c>
      <c r="N383" s="176" t="s">
        <v>149</v>
      </c>
      <c r="O383" s="176" t="s">
        <v>150</v>
      </c>
      <c r="P383" s="176" t="s">
        <v>151</v>
      </c>
      <c r="Q383" s="176"/>
      <c r="R383" s="176" t="s">
        <v>4617</v>
      </c>
      <c r="S383" s="176"/>
      <c r="T383" s="176" t="s">
        <v>2891</v>
      </c>
      <c r="U383" s="176" t="s">
        <v>152</v>
      </c>
      <c r="V383" s="176" t="s">
        <v>23</v>
      </c>
    </row>
    <row r="384" spans="1:22" ht="12.75" customHeight="1">
      <c r="A384" s="65"/>
      <c r="B384" s="211">
        <v>46211</v>
      </c>
      <c r="C384" s="211">
        <v>46211</v>
      </c>
      <c r="D384" s="176" t="s">
        <v>4618</v>
      </c>
      <c r="E384" s="176" t="s">
        <v>4619</v>
      </c>
      <c r="F384" s="176" t="s">
        <v>87</v>
      </c>
      <c r="G384" s="176" t="s">
        <v>2485</v>
      </c>
      <c r="H384" s="176">
        <v>30</v>
      </c>
      <c r="I384" s="176">
        <v>16.3</v>
      </c>
      <c r="J384" s="176">
        <v>16.3</v>
      </c>
      <c r="K384" s="176">
        <v>4</v>
      </c>
      <c r="L384" s="176">
        <v>0</v>
      </c>
      <c r="M384" s="176" t="s">
        <v>148</v>
      </c>
      <c r="N384" s="176" t="s">
        <v>149</v>
      </c>
      <c r="O384" s="176" t="s">
        <v>150</v>
      </c>
      <c r="P384" s="176" t="s">
        <v>151</v>
      </c>
      <c r="Q384" s="176"/>
      <c r="R384" s="176" t="s">
        <v>4619</v>
      </c>
      <c r="S384" s="176"/>
      <c r="T384" s="176" t="s">
        <v>2891</v>
      </c>
      <c r="U384" s="176" t="s">
        <v>152</v>
      </c>
      <c r="V384" s="176" t="s">
        <v>23</v>
      </c>
    </row>
    <row r="385" spans="1:22" ht="12.75" customHeight="1">
      <c r="A385" s="65"/>
      <c r="B385" s="211">
        <v>46211</v>
      </c>
      <c r="C385" s="211">
        <v>46211</v>
      </c>
      <c r="D385" s="176" t="s">
        <v>4620</v>
      </c>
      <c r="E385" s="176" t="s">
        <v>4621</v>
      </c>
      <c r="F385" s="176" t="s">
        <v>87</v>
      </c>
      <c r="G385" s="176" t="s">
        <v>2485</v>
      </c>
      <c r="H385" s="176">
        <v>30</v>
      </c>
      <c r="I385" s="176">
        <v>35.799999999999997</v>
      </c>
      <c r="J385" s="176">
        <v>35.799999999999997</v>
      </c>
      <c r="K385" s="176">
        <v>4</v>
      </c>
      <c r="L385" s="176">
        <v>0</v>
      </c>
      <c r="M385" s="176" t="s">
        <v>148</v>
      </c>
      <c r="N385" s="176" t="s">
        <v>149</v>
      </c>
      <c r="O385" s="176" t="s">
        <v>150</v>
      </c>
      <c r="P385" s="176" t="s">
        <v>151</v>
      </c>
      <c r="Q385" s="176"/>
      <c r="R385" s="176" t="s">
        <v>4621</v>
      </c>
      <c r="S385" s="176"/>
      <c r="T385" s="176" t="s">
        <v>2891</v>
      </c>
      <c r="U385" s="176" t="s">
        <v>152</v>
      </c>
      <c r="V385" s="176" t="s">
        <v>23</v>
      </c>
    </row>
    <row r="386" spans="1:22" ht="12.75" customHeight="1">
      <c r="A386" s="65"/>
      <c r="B386" s="211">
        <v>46211</v>
      </c>
      <c r="C386" s="211">
        <v>46211</v>
      </c>
      <c r="D386" s="176" t="s">
        <v>4622</v>
      </c>
      <c r="E386" s="176" t="s">
        <v>4623</v>
      </c>
      <c r="F386" s="176" t="s">
        <v>87</v>
      </c>
      <c r="G386" s="176" t="s">
        <v>2485</v>
      </c>
      <c r="H386" s="176">
        <v>30</v>
      </c>
      <c r="I386" s="176">
        <v>29.2</v>
      </c>
      <c r="J386" s="176">
        <v>29.2</v>
      </c>
      <c r="K386" s="176">
        <v>4</v>
      </c>
      <c r="L386" s="176">
        <v>0</v>
      </c>
      <c r="M386" s="176" t="s">
        <v>148</v>
      </c>
      <c r="N386" s="176" t="s">
        <v>149</v>
      </c>
      <c r="O386" s="176" t="s">
        <v>150</v>
      </c>
      <c r="P386" s="176" t="s">
        <v>151</v>
      </c>
      <c r="Q386" s="176"/>
      <c r="R386" s="176" t="s">
        <v>4623</v>
      </c>
      <c r="S386" s="176"/>
      <c r="T386" s="176" t="s">
        <v>2891</v>
      </c>
      <c r="U386" s="176" t="s">
        <v>152</v>
      </c>
      <c r="V386" s="176" t="s">
        <v>23</v>
      </c>
    </row>
    <row r="387" spans="1:22" ht="12" customHeight="1">
      <c r="B387" s="211">
        <v>46211</v>
      </c>
      <c r="C387" s="211">
        <v>46211</v>
      </c>
      <c r="D387" s="176" t="s">
        <v>4624</v>
      </c>
      <c r="E387" s="176" t="s">
        <v>4625</v>
      </c>
      <c r="F387" s="176" t="s">
        <v>87</v>
      </c>
      <c r="G387" s="176" t="s">
        <v>2485</v>
      </c>
      <c r="H387" s="176">
        <v>30</v>
      </c>
      <c r="I387" s="176">
        <v>30.5</v>
      </c>
      <c r="J387" s="176">
        <v>30.5</v>
      </c>
      <c r="K387" s="176">
        <v>4</v>
      </c>
      <c r="L387" s="176">
        <v>0</v>
      </c>
      <c r="M387" s="176" t="s">
        <v>148</v>
      </c>
      <c r="N387" s="176" t="s">
        <v>149</v>
      </c>
      <c r="O387" s="176" t="s">
        <v>150</v>
      </c>
      <c r="P387" s="176" t="s">
        <v>151</v>
      </c>
      <c r="Q387" s="176"/>
      <c r="R387" s="176" t="s">
        <v>4625</v>
      </c>
      <c r="S387" s="176"/>
      <c r="T387" s="176" t="s">
        <v>2891</v>
      </c>
      <c r="U387" s="176" t="s">
        <v>152</v>
      </c>
      <c r="V387" s="176" t="s">
        <v>23</v>
      </c>
    </row>
    <row r="388" spans="1:22" ht="12" customHeight="1">
      <c r="B388" s="211">
        <v>46211</v>
      </c>
      <c r="C388" s="211">
        <v>46211</v>
      </c>
      <c r="D388" s="176" t="s">
        <v>4626</v>
      </c>
      <c r="E388" s="176" t="s">
        <v>4627</v>
      </c>
      <c r="F388" s="176" t="s">
        <v>87</v>
      </c>
      <c r="G388" s="176" t="s">
        <v>1713</v>
      </c>
      <c r="H388" s="176">
        <v>30</v>
      </c>
      <c r="I388" s="176">
        <v>30.2</v>
      </c>
      <c r="J388" s="176">
        <v>30.2</v>
      </c>
      <c r="K388" s="176">
        <v>4</v>
      </c>
      <c r="L388" s="176">
        <v>0</v>
      </c>
      <c r="M388" s="176" t="s">
        <v>148</v>
      </c>
      <c r="N388" s="176" t="s">
        <v>149</v>
      </c>
      <c r="O388" s="176" t="s">
        <v>150</v>
      </c>
      <c r="P388" s="176" t="s">
        <v>151</v>
      </c>
      <c r="Q388" s="176"/>
      <c r="R388" s="176" t="s">
        <v>4627</v>
      </c>
      <c r="S388" s="176"/>
      <c r="T388" s="176" t="s">
        <v>2891</v>
      </c>
      <c r="U388" s="176" t="s">
        <v>152</v>
      </c>
      <c r="V388" s="176" t="s">
        <v>23</v>
      </c>
    </row>
    <row r="389" spans="1:22" ht="12" customHeight="1">
      <c r="B389" s="211">
        <v>46211</v>
      </c>
      <c r="C389" s="211">
        <v>46211</v>
      </c>
      <c r="D389" s="176" t="s">
        <v>4628</v>
      </c>
      <c r="E389" s="176" t="s">
        <v>4629</v>
      </c>
      <c r="F389" s="176" t="s">
        <v>87</v>
      </c>
      <c r="G389" s="176" t="s">
        <v>2552</v>
      </c>
      <c r="H389" s="176">
        <v>40</v>
      </c>
      <c r="I389" s="176">
        <v>31.4</v>
      </c>
      <c r="J389" s="176">
        <v>31.4</v>
      </c>
      <c r="K389" s="176">
        <v>5</v>
      </c>
      <c r="L389" s="176">
        <v>0</v>
      </c>
      <c r="M389" s="176" t="s">
        <v>148</v>
      </c>
      <c r="N389" s="176" t="s">
        <v>149</v>
      </c>
      <c r="O389" s="176" t="s">
        <v>150</v>
      </c>
      <c r="P389" s="176" t="s">
        <v>151</v>
      </c>
      <c r="Q389" s="176"/>
      <c r="R389" s="176" t="s">
        <v>4629</v>
      </c>
      <c r="S389" s="176"/>
      <c r="T389" s="176" t="s">
        <v>2891</v>
      </c>
      <c r="U389" s="176" t="s">
        <v>152</v>
      </c>
      <c r="V389" s="176" t="s">
        <v>23</v>
      </c>
    </row>
    <row r="390" spans="1:22" ht="12" customHeight="1">
      <c r="B390" s="211">
        <v>46211</v>
      </c>
      <c r="C390" s="211">
        <v>46211</v>
      </c>
      <c r="D390" s="176" t="s">
        <v>4630</v>
      </c>
      <c r="E390" s="176" t="s">
        <v>4631</v>
      </c>
      <c r="F390" s="176" t="s">
        <v>87</v>
      </c>
      <c r="G390" s="176" t="s">
        <v>2552</v>
      </c>
      <c r="H390" s="176">
        <v>40</v>
      </c>
      <c r="I390" s="176">
        <v>28.3</v>
      </c>
      <c r="J390" s="176">
        <v>28.3</v>
      </c>
      <c r="K390" s="176">
        <v>5</v>
      </c>
      <c r="L390" s="176">
        <v>0</v>
      </c>
      <c r="M390" s="176" t="s">
        <v>148</v>
      </c>
      <c r="N390" s="176" t="s">
        <v>149</v>
      </c>
      <c r="O390" s="176" t="s">
        <v>150</v>
      </c>
      <c r="P390" s="176" t="s">
        <v>151</v>
      </c>
      <c r="Q390" s="176"/>
      <c r="R390" s="176" t="s">
        <v>4631</v>
      </c>
      <c r="S390" s="176"/>
      <c r="T390" s="176" t="s">
        <v>2891</v>
      </c>
      <c r="U390" s="176" t="s">
        <v>152</v>
      </c>
      <c r="V390" s="176" t="s">
        <v>23</v>
      </c>
    </row>
    <row r="391" spans="1:22" ht="12" customHeight="1">
      <c r="B391" s="211">
        <v>46211</v>
      </c>
      <c r="C391" s="211">
        <v>46211</v>
      </c>
      <c r="D391" s="176" t="s">
        <v>4632</v>
      </c>
      <c r="E391" s="176" t="s">
        <v>4633</v>
      </c>
      <c r="F391" s="176" t="s">
        <v>87</v>
      </c>
      <c r="G391" s="176" t="s">
        <v>2639</v>
      </c>
      <c r="H391" s="176">
        <v>25</v>
      </c>
      <c r="I391" s="176">
        <v>13.9</v>
      </c>
      <c r="J391" s="176">
        <v>13.9</v>
      </c>
      <c r="K391" s="176">
        <v>4</v>
      </c>
      <c r="L391" s="176">
        <v>0</v>
      </c>
      <c r="M391" s="176" t="s">
        <v>148</v>
      </c>
      <c r="N391" s="176" t="s">
        <v>149</v>
      </c>
      <c r="O391" s="176" t="s">
        <v>150</v>
      </c>
      <c r="P391" s="176" t="s">
        <v>151</v>
      </c>
      <c r="Q391" s="176"/>
      <c r="R391" s="176" t="s">
        <v>4633</v>
      </c>
      <c r="S391" s="176"/>
      <c r="T391" s="176" t="s">
        <v>2891</v>
      </c>
      <c r="U391" s="176" t="s">
        <v>152</v>
      </c>
      <c r="V391" s="176" t="s">
        <v>23</v>
      </c>
    </row>
    <row r="392" spans="1:22" ht="12" customHeight="1">
      <c r="B392" s="211">
        <v>46211</v>
      </c>
      <c r="C392" s="211">
        <v>46211</v>
      </c>
      <c r="D392" s="176" t="s">
        <v>4634</v>
      </c>
      <c r="E392" s="176" t="s">
        <v>4635</v>
      </c>
      <c r="F392" s="176" t="s">
        <v>87</v>
      </c>
      <c r="G392" s="176" t="s">
        <v>2485</v>
      </c>
      <c r="H392" s="176">
        <v>30</v>
      </c>
      <c r="I392" s="176">
        <v>30.9</v>
      </c>
      <c r="J392" s="176">
        <v>30.9</v>
      </c>
      <c r="K392" s="176">
        <v>4</v>
      </c>
      <c r="L392" s="176">
        <v>0</v>
      </c>
      <c r="M392" s="176" t="s">
        <v>148</v>
      </c>
      <c r="N392" s="176" t="s">
        <v>149</v>
      </c>
      <c r="O392" s="176" t="s">
        <v>150</v>
      </c>
      <c r="P392" s="176" t="s">
        <v>151</v>
      </c>
      <c r="Q392" s="176"/>
      <c r="R392" s="176" t="s">
        <v>4635</v>
      </c>
      <c r="S392" s="176"/>
      <c r="T392" s="176" t="s">
        <v>2891</v>
      </c>
      <c r="U392" s="176" t="s">
        <v>152</v>
      </c>
      <c r="V392" s="176" t="s">
        <v>23</v>
      </c>
    </row>
    <row r="393" spans="1:22" ht="12" customHeight="1">
      <c r="B393" s="211">
        <v>46211</v>
      </c>
      <c r="C393" s="211">
        <v>46211</v>
      </c>
      <c r="D393" s="176" t="s">
        <v>4636</v>
      </c>
      <c r="E393" s="176" t="s">
        <v>4637</v>
      </c>
      <c r="F393" s="176" t="s">
        <v>87</v>
      </c>
      <c r="G393" s="176" t="s">
        <v>2485</v>
      </c>
      <c r="H393" s="176">
        <v>30</v>
      </c>
      <c r="I393" s="176">
        <v>18.2</v>
      </c>
      <c r="J393" s="176">
        <v>18.2</v>
      </c>
      <c r="K393" s="176">
        <v>4</v>
      </c>
      <c r="L393" s="176">
        <v>0</v>
      </c>
      <c r="M393" s="176" t="s">
        <v>148</v>
      </c>
      <c r="N393" s="176" t="s">
        <v>149</v>
      </c>
      <c r="O393" s="176" t="s">
        <v>150</v>
      </c>
      <c r="P393" s="176" t="s">
        <v>151</v>
      </c>
      <c r="Q393" s="176"/>
      <c r="R393" s="176" t="s">
        <v>4637</v>
      </c>
      <c r="S393" s="176"/>
      <c r="T393" s="176" t="s">
        <v>2891</v>
      </c>
      <c r="U393" s="176" t="s">
        <v>152</v>
      </c>
      <c r="V393" s="176" t="s">
        <v>23</v>
      </c>
    </row>
    <row r="394" spans="1:22" ht="12" customHeight="1">
      <c r="B394" s="211">
        <v>46211</v>
      </c>
      <c r="C394" s="211">
        <v>46211</v>
      </c>
      <c r="D394" s="176" t="s">
        <v>4638</v>
      </c>
      <c r="E394" s="176" t="s">
        <v>4639</v>
      </c>
      <c r="F394" s="176" t="s">
        <v>87</v>
      </c>
      <c r="G394" s="176" t="s">
        <v>2485</v>
      </c>
      <c r="H394" s="176">
        <v>30</v>
      </c>
      <c r="I394" s="176">
        <v>32.6</v>
      </c>
      <c r="J394" s="176">
        <v>32.6</v>
      </c>
      <c r="K394" s="176">
        <v>4</v>
      </c>
      <c r="L394" s="176">
        <v>0</v>
      </c>
      <c r="M394" s="176" t="s">
        <v>148</v>
      </c>
      <c r="N394" s="176" t="s">
        <v>149</v>
      </c>
      <c r="O394" s="176" t="s">
        <v>150</v>
      </c>
      <c r="P394" s="176" t="s">
        <v>151</v>
      </c>
      <c r="Q394" s="176"/>
      <c r="R394" s="176" t="s">
        <v>4639</v>
      </c>
      <c r="S394" s="176"/>
      <c r="T394" s="176" t="s">
        <v>2891</v>
      </c>
      <c r="U394" s="176" t="s">
        <v>152</v>
      </c>
      <c r="V394" s="176" t="s">
        <v>23</v>
      </c>
    </row>
    <row r="395" spans="1:22" ht="12" customHeight="1">
      <c r="B395" s="211">
        <v>46211</v>
      </c>
      <c r="C395" s="211">
        <v>46211</v>
      </c>
      <c r="D395" s="176" t="s">
        <v>4640</v>
      </c>
      <c r="E395" s="176" t="s">
        <v>4641</v>
      </c>
      <c r="F395" s="176" t="s">
        <v>87</v>
      </c>
      <c r="G395" s="176" t="s">
        <v>2485</v>
      </c>
      <c r="H395" s="176">
        <v>30</v>
      </c>
      <c r="I395" s="176">
        <v>30.8</v>
      </c>
      <c r="J395" s="176">
        <v>30.8</v>
      </c>
      <c r="K395" s="176">
        <v>4</v>
      </c>
      <c r="L395" s="176">
        <v>0</v>
      </c>
      <c r="M395" s="176" t="s">
        <v>148</v>
      </c>
      <c r="N395" s="176" t="s">
        <v>149</v>
      </c>
      <c r="O395" s="176" t="s">
        <v>150</v>
      </c>
      <c r="P395" s="176" t="s">
        <v>151</v>
      </c>
      <c r="Q395" s="176"/>
      <c r="R395" s="176" t="s">
        <v>4641</v>
      </c>
      <c r="S395" s="176"/>
      <c r="T395" s="176" t="s">
        <v>2891</v>
      </c>
      <c r="U395" s="176" t="s">
        <v>152</v>
      </c>
      <c r="V395" s="176" t="s">
        <v>23</v>
      </c>
    </row>
    <row r="396" spans="1:22" ht="12" customHeight="1">
      <c r="B396" s="211">
        <v>46211</v>
      </c>
      <c r="C396" s="211">
        <v>46211</v>
      </c>
      <c r="D396" s="176" t="s">
        <v>4642</v>
      </c>
      <c r="E396" s="176" t="s">
        <v>4643</v>
      </c>
      <c r="F396" s="176" t="s">
        <v>87</v>
      </c>
      <c r="G396" s="176" t="s">
        <v>2485</v>
      </c>
      <c r="H396" s="176">
        <v>30</v>
      </c>
      <c r="I396" s="176">
        <v>33.799999999999997</v>
      </c>
      <c r="J396" s="176">
        <v>33.799999999999997</v>
      </c>
      <c r="K396" s="176">
        <v>4</v>
      </c>
      <c r="L396" s="176">
        <v>0</v>
      </c>
      <c r="M396" s="176" t="s">
        <v>148</v>
      </c>
      <c r="N396" s="176" t="s">
        <v>149</v>
      </c>
      <c r="O396" s="176" t="s">
        <v>150</v>
      </c>
      <c r="P396" s="176" t="s">
        <v>151</v>
      </c>
      <c r="Q396" s="176"/>
      <c r="R396" s="176" t="s">
        <v>4643</v>
      </c>
      <c r="S396" s="176"/>
      <c r="T396" s="176" t="s">
        <v>2891</v>
      </c>
      <c r="U396" s="176" t="s">
        <v>152</v>
      </c>
      <c r="V396" s="176" t="s">
        <v>23</v>
      </c>
    </row>
    <row r="397" spans="1:22" ht="12" customHeight="1">
      <c r="B397" s="211">
        <v>46211</v>
      </c>
      <c r="C397" s="211">
        <v>46211</v>
      </c>
      <c r="D397" s="176" t="s">
        <v>4644</v>
      </c>
      <c r="E397" s="176" t="s">
        <v>4645</v>
      </c>
      <c r="F397" s="176" t="s">
        <v>87</v>
      </c>
      <c r="G397" s="176" t="s">
        <v>2639</v>
      </c>
      <c r="H397" s="176">
        <v>25</v>
      </c>
      <c r="I397" s="176">
        <v>29.9</v>
      </c>
      <c r="J397" s="176">
        <v>29.9</v>
      </c>
      <c r="K397" s="176">
        <v>4</v>
      </c>
      <c r="L397" s="176">
        <v>0</v>
      </c>
      <c r="M397" s="176" t="s">
        <v>148</v>
      </c>
      <c r="N397" s="176" t="s">
        <v>149</v>
      </c>
      <c r="O397" s="176" t="s">
        <v>150</v>
      </c>
      <c r="P397" s="176" t="s">
        <v>151</v>
      </c>
      <c r="Q397" s="176"/>
      <c r="R397" s="176" t="s">
        <v>4645</v>
      </c>
      <c r="S397" s="176"/>
      <c r="T397" s="176" t="s">
        <v>2891</v>
      </c>
      <c r="U397" s="176" t="s">
        <v>152</v>
      </c>
      <c r="V397" s="176" t="s">
        <v>23</v>
      </c>
    </row>
    <row r="398" spans="1:22" ht="12" customHeight="1">
      <c r="B398" s="211">
        <v>46211</v>
      </c>
      <c r="C398" s="211">
        <v>46211</v>
      </c>
      <c r="D398" s="176" t="s">
        <v>4646</v>
      </c>
      <c r="E398" s="176" t="s">
        <v>4647</v>
      </c>
      <c r="F398" s="176" t="s">
        <v>87</v>
      </c>
      <c r="G398" s="176" t="s">
        <v>2552</v>
      </c>
      <c r="H398" s="176">
        <v>40</v>
      </c>
      <c r="I398" s="176">
        <v>31.6</v>
      </c>
      <c r="J398" s="176">
        <v>31.6</v>
      </c>
      <c r="K398" s="176">
        <v>5</v>
      </c>
      <c r="L398" s="176">
        <v>0</v>
      </c>
      <c r="M398" s="176" t="s">
        <v>148</v>
      </c>
      <c r="N398" s="176" t="s">
        <v>149</v>
      </c>
      <c r="O398" s="176" t="s">
        <v>150</v>
      </c>
      <c r="P398" s="176" t="s">
        <v>151</v>
      </c>
      <c r="Q398" s="176"/>
      <c r="R398" s="176" t="s">
        <v>4647</v>
      </c>
      <c r="S398" s="176"/>
      <c r="T398" s="176" t="s">
        <v>2891</v>
      </c>
      <c r="U398" s="176" t="s">
        <v>152</v>
      </c>
      <c r="V398" s="176" t="s">
        <v>23</v>
      </c>
    </row>
    <row r="399" spans="1:22" ht="12" customHeight="1">
      <c r="B399" s="211">
        <v>46211</v>
      </c>
      <c r="C399" s="211">
        <v>46211</v>
      </c>
      <c r="D399" s="176" t="s">
        <v>4648</v>
      </c>
      <c r="E399" s="176" t="s">
        <v>4649</v>
      </c>
      <c r="F399" s="176" t="s">
        <v>87</v>
      </c>
      <c r="G399" s="176" t="s">
        <v>1713</v>
      </c>
      <c r="H399" s="176">
        <v>30</v>
      </c>
      <c r="I399" s="176">
        <v>25.9</v>
      </c>
      <c r="J399" s="176">
        <v>25.9</v>
      </c>
      <c r="K399" s="176">
        <v>4</v>
      </c>
      <c r="L399" s="176">
        <v>0</v>
      </c>
      <c r="M399" s="176" t="s">
        <v>148</v>
      </c>
      <c r="N399" s="176" t="s">
        <v>149</v>
      </c>
      <c r="O399" s="176" t="s">
        <v>150</v>
      </c>
      <c r="P399" s="176" t="s">
        <v>151</v>
      </c>
      <c r="Q399" s="176"/>
      <c r="R399" s="176" t="s">
        <v>4649</v>
      </c>
      <c r="S399" s="176"/>
      <c r="T399" s="176" t="s">
        <v>2891</v>
      </c>
      <c r="U399" s="176" t="s">
        <v>152</v>
      </c>
      <c r="V399" s="176" t="s">
        <v>23</v>
      </c>
    </row>
    <row r="400" spans="1:22" ht="12" customHeight="1">
      <c r="B400" s="211">
        <v>46211</v>
      </c>
      <c r="C400" s="211">
        <v>46211</v>
      </c>
      <c r="D400" s="176" t="s">
        <v>4650</v>
      </c>
      <c r="E400" s="176" t="s">
        <v>4651</v>
      </c>
      <c r="F400" s="176" t="s">
        <v>87</v>
      </c>
      <c r="G400" s="176" t="s">
        <v>2485</v>
      </c>
      <c r="H400" s="176">
        <v>30</v>
      </c>
      <c r="I400" s="176">
        <v>33.799999999999997</v>
      </c>
      <c r="J400" s="176">
        <v>33.799999999999997</v>
      </c>
      <c r="K400" s="176">
        <v>4</v>
      </c>
      <c r="L400" s="176">
        <v>0</v>
      </c>
      <c r="M400" s="176" t="s">
        <v>148</v>
      </c>
      <c r="N400" s="176" t="s">
        <v>149</v>
      </c>
      <c r="O400" s="176" t="s">
        <v>150</v>
      </c>
      <c r="P400" s="176" t="s">
        <v>151</v>
      </c>
      <c r="Q400" s="176"/>
      <c r="R400" s="176" t="s">
        <v>4651</v>
      </c>
      <c r="S400" s="176"/>
      <c r="T400" s="176" t="s">
        <v>2891</v>
      </c>
      <c r="U400" s="176" t="s">
        <v>152</v>
      </c>
      <c r="V400" s="176" t="s">
        <v>23</v>
      </c>
    </row>
    <row r="401" spans="2:22" ht="12" customHeight="1">
      <c r="B401" s="211">
        <v>46211</v>
      </c>
      <c r="C401" s="211">
        <v>46211</v>
      </c>
      <c r="D401" s="176" t="s">
        <v>4652</v>
      </c>
      <c r="E401" s="176" t="s">
        <v>4653</v>
      </c>
      <c r="F401" s="176" t="s">
        <v>87</v>
      </c>
      <c r="G401" s="176" t="s">
        <v>2552</v>
      </c>
      <c r="H401" s="176">
        <v>40</v>
      </c>
      <c r="I401" s="176">
        <v>33.799999999999997</v>
      </c>
      <c r="J401" s="176">
        <v>33.799999999999997</v>
      </c>
      <c r="K401" s="176">
        <v>5</v>
      </c>
      <c r="L401" s="176">
        <v>0</v>
      </c>
      <c r="M401" s="176" t="s">
        <v>148</v>
      </c>
      <c r="N401" s="176" t="s">
        <v>149</v>
      </c>
      <c r="O401" s="176" t="s">
        <v>150</v>
      </c>
      <c r="P401" s="176" t="s">
        <v>151</v>
      </c>
      <c r="Q401" s="176"/>
      <c r="R401" s="176" t="s">
        <v>4653</v>
      </c>
      <c r="S401" s="176"/>
      <c r="T401" s="176" t="s">
        <v>2891</v>
      </c>
      <c r="U401" s="176" t="s">
        <v>152</v>
      </c>
      <c r="V401" s="176" t="s">
        <v>23</v>
      </c>
    </row>
    <row r="402" spans="2:22" ht="12" customHeight="1">
      <c r="B402" s="211">
        <v>46211</v>
      </c>
      <c r="C402" s="211">
        <v>46211</v>
      </c>
      <c r="D402" s="176" t="s">
        <v>4654</v>
      </c>
      <c r="E402" s="176" t="s">
        <v>4655</v>
      </c>
      <c r="F402" s="176" t="s">
        <v>87</v>
      </c>
      <c r="G402" s="176" t="s">
        <v>2552</v>
      </c>
      <c r="H402" s="176">
        <v>40</v>
      </c>
      <c r="I402" s="176">
        <v>31.4</v>
      </c>
      <c r="J402" s="176">
        <v>31.4</v>
      </c>
      <c r="K402" s="176">
        <v>5</v>
      </c>
      <c r="L402" s="176">
        <v>0</v>
      </c>
      <c r="M402" s="176" t="s">
        <v>148</v>
      </c>
      <c r="N402" s="176" t="s">
        <v>149</v>
      </c>
      <c r="O402" s="176" t="s">
        <v>150</v>
      </c>
      <c r="P402" s="176" t="s">
        <v>151</v>
      </c>
      <c r="Q402" s="176"/>
      <c r="R402" s="176" t="s">
        <v>4655</v>
      </c>
      <c r="S402" s="176"/>
      <c r="T402" s="176" t="s">
        <v>2891</v>
      </c>
      <c r="U402" s="176" t="s">
        <v>152</v>
      </c>
      <c r="V402" s="176" t="s">
        <v>23</v>
      </c>
    </row>
    <row r="403" spans="2:22" ht="12" customHeight="1">
      <c r="B403" s="211">
        <v>46211</v>
      </c>
      <c r="C403" s="211">
        <v>46211</v>
      </c>
      <c r="D403" s="176" t="s">
        <v>4656</v>
      </c>
      <c r="E403" s="176" t="s">
        <v>4657</v>
      </c>
      <c r="F403" s="176" t="s">
        <v>87</v>
      </c>
      <c r="G403" s="176" t="s">
        <v>2486</v>
      </c>
      <c r="H403" s="176">
        <v>40</v>
      </c>
      <c r="I403" s="176">
        <v>35.4</v>
      </c>
      <c r="J403" s="176">
        <v>35.4</v>
      </c>
      <c r="K403" s="176">
        <v>5</v>
      </c>
      <c r="L403" s="176">
        <v>0</v>
      </c>
      <c r="M403" s="176" t="s">
        <v>148</v>
      </c>
      <c r="N403" s="176" t="s">
        <v>149</v>
      </c>
      <c r="O403" s="176" t="s">
        <v>150</v>
      </c>
      <c r="P403" s="176" t="s">
        <v>151</v>
      </c>
      <c r="Q403" s="176"/>
      <c r="R403" s="176" t="s">
        <v>4657</v>
      </c>
      <c r="S403" s="176"/>
      <c r="T403" s="176" t="s">
        <v>2891</v>
      </c>
      <c r="U403" s="176" t="s">
        <v>152</v>
      </c>
      <c r="V403" s="176" t="s">
        <v>23</v>
      </c>
    </row>
    <row r="404" spans="2:22" ht="12" customHeight="1">
      <c r="B404" s="211">
        <v>46211</v>
      </c>
      <c r="C404" s="211">
        <v>46211</v>
      </c>
      <c r="D404" s="176" t="s">
        <v>4658</v>
      </c>
      <c r="E404" s="176" t="s">
        <v>4659</v>
      </c>
      <c r="F404" s="176" t="s">
        <v>87</v>
      </c>
      <c r="G404" s="176" t="s">
        <v>2552</v>
      </c>
      <c r="H404" s="176">
        <v>40</v>
      </c>
      <c r="I404" s="176">
        <v>30.2</v>
      </c>
      <c r="J404" s="176">
        <v>30.2</v>
      </c>
      <c r="K404" s="176">
        <v>5</v>
      </c>
      <c r="L404" s="176">
        <v>0</v>
      </c>
      <c r="M404" s="176" t="s">
        <v>148</v>
      </c>
      <c r="N404" s="176" t="s">
        <v>149</v>
      </c>
      <c r="O404" s="176" t="s">
        <v>150</v>
      </c>
      <c r="P404" s="176" t="s">
        <v>151</v>
      </c>
      <c r="Q404" s="176"/>
      <c r="R404" s="176" t="s">
        <v>4659</v>
      </c>
      <c r="S404" s="176"/>
      <c r="T404" s="176" t="s">
        <v>2891</v>
      </c>
      <c r="U404" s="176" t="s">
        <v>152</v>
      </c>
      <c r="V404" s="176" t="s">
        <v>23</v>
      </c>
    </row>
    <row r="405" spans="2:22" ht="12" customHeight="1">
      <c r="B405" s="211">
        <v>46211</v>
      </c>
      <c r="C405" s="211">
        <v>46211</v>
      </c>
      <c r="D405" s="176" t="s">
        <v>4660</v>
      </c>
      <c r="E405" s="176" t="s">
        <v>4661</v>
      </c>
      <c r="F405" s="176" t="s">
        <v>87</v>
      </c>
      <c r="G405" s="176" t="s">
        <v>1713</v>
      </c>
      <c r="H405" s="176">
        <v>30</v>
      </c>
      <c r="I405" s="176">
        <v>37.4</v>
      </c>
      <c r="J405" s="176">
        <v>37.4</v>
      </c>
      <c r="K405" s="176">
        <v>4</v>
      </c>
      <c r="L405" s="176">
        <v>0</v>
      </c>
      <c r="M405" s="176" t="s">
        <v>148</v>
      </c>
      <c r="N405" s="176" t="s">
        <v>149</v>
      </c>
      <c r="O405" s="176" t="s">
        <v>150</v>
      </c>
      <c r="P405" s="176" t="s">
        <v>151</v>
      </c>
      <c r="Q405" s="176"/>
      <c r="R405" s="176" t="s">
        <v>4661</v>
      </c>
      <c r="S405" s="176"/>
      <c r="T405" s="176" t="s">
        <v>2891</v>
      </c>
      <c r="U405" s="176" t="s">
        <v>152</v>
      </c>
      <c r="V405" s="176" t="s">
        <v>23</v>
      </c>
    </row>
    <row r="406" spans="2:22" ht="12" customHeight="1">
      <c r="B406" s="211">
        <v>46211</v>
      </c>
      <c r="C406" s="211">
        <v>46211</v>
      </c>
      <c r="D406" s="176" t="s">
        <v>4662</v>
      </c>
      <c r="E406" s="176" t="s">
        <v>4663</v>
      </c>
      <c r="F406" s="176" t="s">
        <v>87</v>
      </c>
      <c r="G406" s="176" t="s">
        <v>1713</v>
      </c>
      <c r="H406" s="176">
        <v>30</v>
      </c>
      <c r="I406" s="176">
        <v>29.4</v>
      </c>
      <c r="J406" s="176">
        <v>29.4</v>
      </c>
      <c r="K406" s="176">
        <v>4</v>
      </c>
      <c r="L406" s="176">
        <v>0</v>
      </c>
      <c r="M406" s="176" t="s">
        <v>148</v>
      </c>
      <c r="N406" s="176" t="s">
        <v>149</v>
      </c>
      <c r="O406" s="176" t="s">
        <v>150</v>
      </c>
      <c r="P406" s="176" t="s">
        <v>151</v>
      </c>
      <c r="Q406" s="176"/>
      <c r="R406" s="176" t="s">
        <v>4663</v>
      </c>
      <c r="S406" s="176"/>
      <c r="T406" s="176" t="s">
        <v>2891</v>
      </c>
      <c r="U406" s="176" t="s">
        <v>152</v>
      </c>
      <c r="V406" s="176" t="s">
        <v>23</v>
      </c>
    </row>
    <row r="407" spans="2:22" ht="12" customHeight="1">
      <c r="B407" s="211">
        <v>46211</v>
      </c>
      <c r="C407" s="211">
        <v>46211</v>
      </c>
      <c r="D407" s="176" t="s">
        <v>4664</v>
      </c>
      <c r="E407" s="176" t="s">
        <v>4665</v>
      </c>
      <c r="F407" s="176" t="s">
        <v>87</v>
      </c>
      <c r="G407" s="176" t="s">
        <v>1713</v>
      </c>
      <c r="H407" s="176">
        <v>30</v>
      </c>
      <c r="I407" s="176">
        <v>37.799999999999997</v>
      </c>
      <c r="J407" s="176">
        <v>37.799999999999997</v>
      </c>
      <c r="K407" s="176">
        <v>4</v>
      </c>
      <c r="L407" s="176">
        <v>0</v>
      </c>
      <c r="M407" s="176" t="s">
        <v>148</v>
      </c>
      <c r="N407" s="176" t="s">
        <v>149</v>
      </c>
      <c r="O407" s="176" t="s">
        <v>150</v>
      </c>
      <c r="P407" s="176" t="s">
        <v>151</v>
      </c>
      <c r="Q407" s="176"/>
      <c r="R407" s="176" t="s">
        <v>4665</v>
      </c>
      <c r="S407" s="176"/>
      <c r="T407" s="176" t="s">
        <v>2891</v>
      </c>
      <c r="U407" s="176" t="s">
        <v>152</v>
      </c>
      <c r="V407" s="176" t="s">
        <v>23</v>
      </c>
    </row>
    <row r="408" spans="2:22" ht="12" customHeight="1">
      <c r="B408" s="211">
        <v>46211</v>
      </c>
      <c r="C408" s="211">
        <v>46211</v>
      </c>
      <c r="D408" s="176" t="s">
        <v>4666</v>
      </c>
      <c r="E408" s="176" t="s">
        <v>4667</v>
      </c>
      <c r="F408" s="176" t="s">
        <v>87</v>
      </c>
      <c r="G408" s="176" t="s">
        <v>2552</v>
      </c>
      <c r="H408" s="176">
        <v>40</v>
      </c>
      <c r="I408" s="176">
        <v>38.9</v>
      </c>
      <c r="J408" s="176">
        <v>38.9</v>
      </c>
      <c r="K408" s="176">
        <v>5</v>
      </c>
      <c r="L408" s="176">
        <v>0</v>
      </c>
      <c r="M408" s="176" t="s">
        <v>148</v>
      </c>
      <c r="N408" s="176" t="s">
        <v>149</v>
      </c>
      <c r="O408" s="176" t="s">
        <v>150</v>
      </c>
      <c r="P408" s="176" t="s">
        <v>151</v>
      </c>
      <c r="Q408" s="176"/>
      <c r="R408" s="176" t="s">
        <v>4667</v>
      </c>
      <c r="S408" s="176"/>
      <c r="T408" s="176" t="s">
        <v>2891</v>
      </c>
      <c r="U408" s="176" t="s">
        <v>152</v>
      </c>
      <c r="V408" s="176" t="s">
        <v>23</v>
      </c>
    </row>
    <row r="409" spans="2:22" ht="12" customHeight="1">
      <c r="B409" s="211">
        <v>46211</v>
      </c>
      <c r="C409" s="211">
        <v>46211</v>
      </c>
      <c r="D409" s="176" t="s">
        <v>4668</v>
      </c>
      <c r="E409" s="176" t="s">
        <v>4669</v>
      </c>
      <c r="F409" s="176" t="s">
        <v>87</v>
      </c>
      <c r="G409" s="176" t="s">
        <v>2552</v>
      </c>
      <c r="H409" s="176">
        <v>40</v>
      </c>
      <c r="I409" s="176">
        <v>36.4</v>
      </c>
      <c r="J409" s="176">
        <v>36.4</v>
      </c>
      <c r="K409" s="176">
        <v>5</v>
      </c>
      <c r="L409" s="176">
        <v>0</v>
      </c>
      <c r="M409" s="176" t="s">
        <v>148</v>
      </c>
      <c r="N409" s="176" t="s">
        <v>149</v>
      </c>
      <c r="O409" s="176" t="s">
        <v>150</v>
      </c>
      <c r="P409" s="176" t="s">
        <v>151</v>
      </c>
      <c r="Q409" s="176"/>
      <c r="R409" s="176" t="s">
        <v>4669</v>
      </c>
      <c r="S409" s="176"/>
      <c r="T409" s="176" t="s">
        <v>2891</v>
      </c>
      <c r="U409" s="176" t="s">
        <v>152</v>
      </c>
      <c r="V409" s="176" t="s">
        <v>23</v>
      </c>
    </row>
    <row r="410" spans="2:22" ht="12" customHeight="1">
      <c r="B410" s="211">
        <v>46211</v>
      </c>
      <c r="C410" s="211">
        <v>46211</v>
      </c>
      <c r="D410" s="176" t="s">
        <v>4670</v>
      </c>
      <c r="E410" s="176" t="s">
        <v>4671</v>
      </c>
      <c r="F410" s="176" t="s">
        <v>87</v>
      </c>
      <c r="G410" s="176" t="s">
        <v>2485</v>
      </c>
      <c r="H410" s="176">
        <v>30</v>
      </c>
      <c r="I410" s="176">
        <v>24.8</v>
      </c>
      <c r="J410" s="176">
        <v>24.8</v>
      </c>
      <c r="K410" s="176">
        <v>4</v>
      </c>
      <c r="L410" s="176">
        <v>0</v>
      </c>
      <c r="M410" s="176" t="s">
        <v>148</v>
      </c>
      <c r="N410" s="176" t="s">
        <v>149</v>
      </c>
      <c r="O410" s="176" t="s">
        <v>150</v>
      </c>
      <c r="P410" s="176" t="s">
        <v>151</v>
      </c>
      <c r="Q410" s="176"/>
      <c r="R410" s="176" t="s">
        <v>4671</v>
      </c>
      <c r="S410" s="176"/>
      <c r="T410" s="176" t="s">
        <v>2891</v>
      </c>
      <c r="U410" s="176" t="s">
        <v>152</v>
      </c>
      <c r="V410" s="176" t="s">
        <v>23</v>
      </c>
    </row>
    <row r="411" spans="2:22" ht="12" customHeight="1">
      <c r="B411" s="211">
        <v>46211</v>
      </c>
      <c r="C411" s="211">
        <v>46211</v>
      </c>
      <c r="D411" s="176" t="s">
        <v>4672</v>
      </c>
      <c r="E411" s="176" t="s">
        <v>4673</v>
      </c>
      <c r="F411" s="176" t="s">
        <v>87</v>
      </c>
      <c r="G411" s="176" t="s">
        <v>2639</v>
      </c>
      <c r="H411" s="176">
        <v>25</v>
      </c>
      <c r="I411" s="176">
        <v>20.2</v>
      </c>
      <c r="J411" s="176">
        <v>20.2</v>
      </c>
      <c r="K411" s="176">
        <v>4</v>
      </c>
      <c r="L411" s="176">
        <v>0</v>
      </c>
      <c r="M411" s="176" t="s">
        <v>148</v>
      </c>
      <c r="N411" s="176" t="s">
        <v>149</v>
      </c>
      <c r="O411" s="176" t="s">
        <v>150</v>
      </c>
      <c r="P411" s="176" t="s">
        <v>151</v>
      </c>
      <c r="Q411" s="176"/>
      <c r="R411" s="176" t="s">
        <v>4673</v>
      </c>
      <c r="S411" s="176"/>
      <c r="T411" s="176" t="s">
        <v>2891</v>
      </c>
      <c r="U411" s="176" t="s">
        <v>152</v>
      </c>
      <c r="V411" s="176" t="s">
        <v>23</v>
      </c>
    </row>
    <row r="412" spans="2:22" ht="12" customHeight="1">
      <c r="B412" s="211">
        <v>46211</v>
      </c>
      <c r="C412" s="211">
        <v>46211</v>
      </c>
      <c r="D412" s="176" t="s">
        <v>4674</v>
      </c>
      <c r="E412" s="176" t="s">
        <v>4675</v>
      </c>
      <c r="F412" s="176" t="s">
        <v>87</v>
      </c>
      <c r="G412" s="176" t="s">
        <v>2552</v>
      </c>
      <c r="H412" s="176">
        <v>40</v>
      </c>
      <c r="I412" s="176">
        <v>40.4</v>
      </c>
      <c r="J412" s="176">
        <v>40.4</v>
      </c>
      <c r="K412" s="176">
        <v>5</v>
      </c>
      <c r="L412" s="176">
        <v>0</v>
      </c>
      <c r="M412" s="176" t="s">
        <v>148</v>
      </c>
      <c r="N412" s="176" t="s">
        <v>149</v>
      </c>
      <c r="O412" s="176" t="s">
        <v>150</v>
      </c>
      <c r="P412" s="176" t="s">
        <v>151</v>
      </c>
      <c r="Q412" s="176"/>
      <c r="R412" s="176" t="s">
        <v>4675</v>
      </c>
      <c r="S412" s="176"/>
      <c r="T412" s="176" t="s">
        <v>2891</v>
      </c>
      <c r="U412" s="176" t="s">
        <v>152</v>
      </c>
      <c r="V412" s="176" t="s">
        <v>23</v>
      </c>
    </row>
    <row r="413" spans="2:22" ht="12" customHeight="1">
      <c r="B413" s="211">
        <v>46211</v>
      </c>
      <c r="C413" s="211">
        <v>46211</v>
      </c>
      <c r="D413" s="176" t="s">
        <v>4676</v>
      </c>
      <c r="E413" s="176" t="s">
        <v>4677</v>
      </c>
      <c r="F413" s="176" t="s">
        <v>87</v>
      </c>
      <c r="G413" s="176" t="s">
        <v>2552</v>
      </c>
      <c r="H413" s="176">
        <v>40</v>
      </c>
      <c r="I413" s="176">
        <v>34.200000000000003</v>
      </c>
      <c r="J413" s="176">
        <v>34.200000000000003</v>
      </c>
      <c r="K413" s="176">
        <v>5</v>
      </c>
      <c r="L413" s="176">
        <v>0</v>
      </c>
      <c r="M413" s="176" t="s">
        <v>148</v>
      </c>
      <c r="N413" s="176" t="s">
        <v>149</v>
      </c>
      <c r="O413" s="176" t="s">
        <v>150</v>
      </c>
      <c r="P413" s="176" t="s">
        <v>151</v>
      </c>
      <c r="Q413" s="176"/>
      <c r="R413" s="176" t="s">
        <v>4677</v>
      </c>
      <c r="S413" s="176"/>
      <c r="T413" s="176" t="s">
        <v>2891</v>
      </c>
      <c r="U413" s="176" t="s">
        <v>152</v>
      </c>
      <c r="V413" s="176" t="s">
        <v>23</v>
      </c>
    </row>
    <row r="414" spans="2:22" ht="12" customHeight="1">
      <c r="B414" s="211">
        <v>46211</v>
      </c>
      <c r="C414" s="211">
        <v>46211</v>
      </c>
      <c r="D414" s="176" t="s">
        <v>4678</v>
      </c>
      <c r="E414" s="176" t="s">
        <v>4679</v>
      </c>
      <c r="F414" s="176" t="s">
        <v>87</v>
      </c>
      <c r="G414" s="176" t="s">
        <v>1713</v>
      </c>
      <c r="H414" s="176">
        <v>30</v>
      </c>
      <c r="I414" s="176">
        <v>26.7</v>
      </c>
      <c r="J414" s="176">
        <v>26.7</v>
      </c>
      <c r="K414" s="176">
        <v>4</v>
      </c>
      <c r="L414" s="176">
        <v>0</v>
      </c>
      <c r="M414" s="176" t="s">
        <v>148</v>
      </c>
      <c r="N414" s="176" t="s">
        <v>149</v>
      </c>
      <c r="O414" s="176" t="s">
        <v>150</v>
      </c>
      <c r="P414" s="176" t="s">
        <v>151</v>
      </c>
      <c r="Q414" s="176"/>
      <c r="R414" s="176" t="s">
        <v>4679</v>
      </c>
      <c r="S414" s="176"/>
      <c r="T414" s="176" t="s">
        <v>2891</v>
      </c>
      <c r="U414" s="176" t="s">
        <v>152</v>
      </c>
      <c r="V414" s="176" t="s">
        <v>23</v>
      </c>
    </row>
    <row r="415" spans="2:22" ht="12" customHeight="1">
      <c r="B415" s="211">
        <v>46211</v>
      </c>
      <c r="C415" s="211">
        <v>46211</v>
      </c>
      <c r="D415" s="176" t="s">
        <v>4680</v>
      </c>
      <c r="E415" s="176" t="s">
        <v>4681</v>
      </c>
      <c r="F415" s="176" t="s">
        <v>87</v>
      </c>
      <c r="G415" s="176" t="s">
        <v>2486</v>
      </c>
      <c r="H415" s="176">
        <v>40</v>
      </c>
      <c r="I415" s="176">
        <v>28.1</v>
      </c>
      <c r="J415" s="176">
        <v>28.1</v>
      </c>
      <c r="K415" s="176">
        <v>5</v>
      </c>
      <c r="L415" s="176">
        <v>0</v>
      </c>
      <c r="M415" s="176" t="s">
        <v>148</v>
      </c>
      <c r="N415" s="176" t="s">
        <v>149</v>
      </c>
      <c r="O415" s="176" t="s">
        <v>150</v>
      </c>
      <c r="P415" s="176" t="s">
        <v>151</v>
      </c>
      <c r="Q415" s="176"/>
      <c r="R415" s="176" t="s">
        <v>4681</v>
      </c>
      <c r="S415" s="176"/>
      <c r="T415" s="176" t="s">
        <v>2891</v>
      </c>
      <c r="U415" s="176" t="s">
        <v>152</v>
      </c>
      <c r="V415" s="176" t="s">
        <v>23</v>
      </c>
    </row>
    <row r="416" spans="2:22" ht="12" customHeight="1">
      <c r="B416" s="211">
        <v>46211</v>
      </c>
      <c r="C416" s="211">
        <v>46211</v>
      </c>
      <c r="D416" s="176" t="s">
        <v>4682</v>
      </c>
      <c r="E416" s="176" t="s">
        <v>4683</v>
      </c>
      <c r="F416" s="176" t="s">
        <v>87</v>
      </c>
      <c r="G416" s="176" t="s">
        <v>2486</v>
      </c>
      <c r="H416" s="176">
        <v>40</v>
      </c>
      <c r="I416" s="176">
        <v>32.4</v>
      </c>
      <c r="J416" s="176">
        <v>32.4</v>
      </c>
      <c r="K416" s="176">
        <v>5</v>
      </c>
      <c r="L416" s="176">
        <v>0</v>
      </c>
      <c r="M416" s="176" t="s">
        <v>148</v>
      </c>
      <c r="N416" s="176" t="s">
        <v>149</v>
      </c>
      <c r="O416" s="176" t="s">
        <v>150</v>
      </c>
      <c r="P416" s="176" t="s">
        <v>151</v>
      </c>
      <c r="Q416" s="176"/>
      <c r="R416" s="176" t="s">
        <v>4683</v>
      </c>
      <c r="S416" s="176"/>
      <c r="T416" s="176" t="s">
        <v>2891</v>
      </c>
      <c r="U416" s="176" t="s">
        <v>152</v>
      </c>
      <c r="V416" s="176" t="s">
        <v>23</v>
      </c>
    </row>
    <row r="417" spans="2:22" ht="12" customHeight="1">
      <c r="B417" s="211">
        <v>46211</v>
      </c>
      <c r="C417" s="211">
        <v>46211</v>
      </c>
      <c r="D417" s="176" t="s">
        <v>4684</v>
      </c>
      <c r="E417" s="176" t="s">
        <v>4685</v>
      </c>
      <c r="F417" s="176" t="s">
        <v>87</v>
      </c>
      <c r="G417" s="176" t="s">
        <v>1713</v>
      </c>
      <c r="H417" s="176">
        <v>30</v>
      </c>
      <c r="I417" s="176">
        <v>33.799999999999997</v>
      </c>
      <c r="J417" s="176">
        <v>33.799999999999997</v>
      </c>
      <c r="K417" s="176">
        <v>4</v>
      </c>
      <c r="L417" s="176">
        <v>0</v>
      </c>
      <c r="M417" s="176" t="s">
        <v>148</v>
      </c>
      <c r="N417" s="176" t="s">
        <v>149</v>
      </c>
      <c r="O417" s="176" t="s">
        <v>150</v>
      </c>
      <c r="P417" s="176" t="s">
        <v>151</v>
      </c>
      <c r="Q417" s="176"/>
      <c r="R417" s="176" t="s">
        <v>4685</v>
      </c>
      <c r="S417" s="176"/>
      <c r="T417" s="176" t="s">
        <v>2891</v>
      </c>
      <c r="U417" s="176" t="s">
        <v>152</v>
      </c>
      <c r="V417" s="176" t="s">
        <v>23</v>
      </c>
    </row>
    <row r="418" spans="2:22" ht="12" customHeight="1">
      <c r="B418" s="211">
        <v>46211</v>
      </c>
      <c r="C418" s="211">
        <v>46211</v>
      </c>
      <c r="D418" s="176" t="s">
        <v>4686</v>
      </c>
      <c r="E418" s="176" t="s">
        <v>4687</v>
      </c>
      <c r="F418" s="176" t="s">
        <v>87</v>
      </c>
      <c r="G418" s="176" t="s">
        <v>1713</v>
      </c>
      <c r="H418" s="176">
        <v>30</v>
      </c>
      <c r="I418" s="176">
        <v>22.4</v>
      </c>
      <c r="J418" s="176">
        <v>22.4</v>
      </c>
      <c r="K418" s="176">
        <v>4</v>
      </c>
      <c r="L418" s="176">
        <v>0</v>
      </c>
      <c r="M418" s="176" t="s">
        <v>148</v>
      </c>
      <c r="N418" s="176" t="s">
        <v>149</v>
      </c>
      <c r="O418" s="176" t="s">
        <v>150</v>
      </c>
      <c r="P418" s="176" t="s">
        <v>151</v>
      </c>
      <c r="Q418" s="176"/>
      <c r="R418" s="176" t="s">
        <v>4687</v>
      </c>
      <c r="S418" s="176"/>
      <c r="T418" s="176" t="s">
        <v>2891</v>
      </c>
      <c r="U418" s="176" t="s">
        <v>152</v>
      </c>
      <c r="V418" s="176" t="s">
        <v>23</v>
      </c>
    </row>
    <row r="419" spans="2:22" ht="12" customHeight="1">
      <c r="B419" s="211">
        <v>46211</v>
      </c>
      <c r="C419" s="211">
        <v>46211</v>
      </c>
      <c r="D419" s="176" t="s">
        <v>4688</v>
      </c>
      <c r="E419" s="176" t="s">
        <v>4689</v>
      </c>
      <c r="F419" s="176" t="s">
        <v>87</v>
      </c>
      <c r="G419" s="176" t="s">
        <v>2639</v>
      </c>
      <c r="H419" s="176">
        <v>25</v>
      </c>
      <c r="I419" s="176">
        <v>25.8</v>
      </c>
      <c r="J419" s="176">
        <v>25.8</v>
      </c>
      <c r="K419" s="176">
        <v>4</v>
      </c>
      <c r="L419" s="176">
        <v>0</v>
      </c>
      <c r="M419" s="176" t="s">
        <v>148</v>
      </c>
      <c r="N419" s="176" t="s">
        <v>149</v>
      </c>
      <c r="O419" s="176" t="s">
        <v>150</v>
      </c>
      <c r="P419" s="176" t="s">
        <v>151</v>
      </c>
      <c r="Q419" s="176"/>
      <c r="R419" s="176" t="s">
        <v>4689</v>
      </c>
      <c r="S419" s="176"/>
      <c r="T419" s="176" t="s">
        <v>2891</v>
      </c>
      <c r="U419" s="176" t="s">
        <v>152</v>
      </c>
      <c r="V419" s="176" t="s">
        <v>23</v>
      </c>
    </row>
    <row r="420" spans="2:22" ht="12" customHeight="1">
      <c r="B420" s="211">
        <v>46211</v>
      </c>
      <c r="C420" s="211">
        <v>46211</v>
      </c>
      <c r="D420" s="176" t="s">
        <v>4690</v>
      </c>
      <c r="E420" s="176" t="s">
        <v>4691</v>
      </c>
      <c r="F420" s="176" t="s">
        <v>87</v>
      </c>
      <c r="G420" s="176" t="s">
        <v>2552</v>
      </c>
      <c r="H420" s="176">
        <v>40</v>
      </c>
      <c r="I420" s="176">
        <v>38.200000000000003</v>
      </c>
      <c r="J420" s="176">
        <v>38.200000000000003</v>
      </c>
      <c r="K420" s="176">
        <v>5</v>
      </c>
      <c r="L420" s="176">
        <v>0</v>
      </c>
      <c r="M420" s="176" t="s">
        <v>148</v>
      </c>
      <c r="N420" s="176" t="s">
        <v>149</v>
      </c>
      <c r="O420" s="176" t="s">
        <v>150</v>
      </c>
      <c r="P420" s="176" t="s">
        <v>151</v>
      </c>
      <c r="Q420" s="176"/>
      <c r="R420" s="176" t="s">
        <v>4691</v>
      </c>
      <c r="S420" s="176"/>
      <c r="T420" s="176" t="s">
        <v>2891</v>
      </c>
      <c r="U420" s="176" t="s">
        <v>152</v>
      </c>
      <c r="V420" s="176" t="s">
        <v>23</v>
      </c>
    </row>
    <row r="421" spans="2:22" ht="12" customHeight="1">
      <c r="B421" s="211">
        <v>46211</v>
      </c>
      <c r="C421" s="211">
        <v>46211</v>
      </c>
      <c r="D421" s="176" t="s">
        <v>4692</v>
      </c>
      <c r="E421" s="176" t="s">
        <v>4693</v>
      </c>
      <c r="F421" s="176" t="s">
        <v>87</v>
      </c>
      <c r="G421" s="176" t="s">
        <v>1713</v>
      </c>
      <c r="H421" s="176">
        <v>30</v>
      </c>
      <c r="I421" s="176">
        <v>35</v>
      </c>
      <c r="J421" s="176">
        <v>35</v>
      </c>
      <c r="K421" s="176">
        <v>4</v>
      </c>
      <c r="L421" s="176">
        <v>0</v>
      </c>
      <c r="M421" s="176" t="s">
        <v>148</v>
      </c>
      <c r="N421" s="176" t="s">
        <v>149</v>
      </c>
      <c r="O421" s="176" t="s">
        <v>150</v>
      </c>
      <c r="P421" s="176" t="s">
        <v>151</v>
      </c>
      <c r="Q421" s="176"/>
      <c r="R421" s="176" t="s">
        <v>4693</v>
      </c>
      <c r="S421" s="176"/>
      <c r="T421" s="176" t="s">
        <v>2891</v>
      </c>
      <c r="U421" s="176" t="s">
        <v>152</v>
      </c>
      <c r="V421" s="176" t="s">
        <v>23</v>
      </c>
    </row>
    <row r="422" spans="2:22" ht="12" customHeight="1">
      <c r="B422" s="211">
        <v>46211</v>
      </c>
      <c r="C422" s="211">
        <v>46211</v>
      </c>
      <c r="D422" s="176" t="s">
        <v>4694</v>
      </c>
      <c r="E422" s="176" t="s">
        <v>4695</v>
      </c>
      <c r="F422" s="176" t="s">
        <v>87</v>
      </c>
      <c r="G422" s="176" t="s">
        <v>1713</v>
      </c>
      <c r="H422" s="176">
        <v>30</v>
      </c>
      <c r="I422" s="176">
        <v>35.200000000000003</v>
      </c>
      <c r="J422" s="176">
        <v>35.200000000000003</v>
      </c>
      <c r="K422" s="176">
        <v>4</v>
      </c>
      <c r="L422" s="176">
        <v>0</v>
      </c>
      <c r="M422" s="176" t="s">
        <v>148</v>
      </c>
      <c r="N422" s="176" t="s">
        <v>149</v>
      </c>
      <c r="O422" s="176" t="s">
        <v>150</v>
      </c>
      <c r="P422" s="176" t="s">
        <v>151</v>
      </c>
      <c r="Q422" s="176"/>
      <c r="R422" s="176" t="s">
        <v>4695</v>
      </c>
      <c r="S422" s="176"/>
      <c r="T422" s="176" t="s">
        <v>2891</v>
      </c>
      <c r="U422" s="176" t="s">
        <v>152</v>
      </c>
      <c r="V422" s="176" t="s">
        <v>23</v>
      </c>
    </row>
    <row r="423" spans="2:22" ht="12" customHeight="1">
      <c r="B423" s="211">
        <v>46211</v>
      </c>
      <c r="C423" s="211">
        <v>46211</v>
      </c>
      <c r="D423" s="176" t="s">
        <v>4696</v>
      </c>
      <c r="E423" s="176" t="s">
        <v>4697</v>
      </c>
      <c r="F423" s="176" t="s">
        <v>87</v>
      </c>
      <c r="G423" s="176" t="s">
        <v>3866</v>
      </c>
      <c r="H423" s="176">
        <v>40</v>
      </c>
      <c r="I423" s="176">
        <v>36.200000000000003</v>
      </c>
      <c r="J423" s="176">
        <v>36.200000000000003</v>
      </c>
      <c r="K423" s="176">
        <v>5</v>
      </c>
      <c r="L423" s="176">
        <v>0</v>
      </c>
      <c r="M423" s="176" t="s">
        <v>148</v>
      </c>
      <c r="N423" s="176" t="s">
        <v>149</v>
      </c>
      <c r="O423" s="176" t="s">
        <v>150</v>
      </c>
      <c r="P423" s="176" t="s">
        <v>151</v>
      </c>
      <c r="Q423" s="176"/>
      <c r="R423" s="176" t="s">
        <v>4697</v>
      </c>
      <c r="S423" s="176"/>
      <c r="T423" s="176" t="s">
        <v>2891</v>
      </c>
      <c r="U423" s="176" t="s">
        <v>152</v>
      </c>
      <c r="V423" s="176" t="s">
        <v>23</v>
      </c>
    </row>
    <row r="424" spans="2:22" ht="12" customHeight="1">
      <c r="B424" s="211">
        <v>46211</v>
      </c>
      <c r="C424" s="211">
        <v>46211</v>
      </c>
      <c r="D424" s="176" t="s">
        <v>4698</v>
      </c>
      <c r="E424" s="176" t="s">
        <v>4699</v>
      </c>
      <c r="F424" s="176" t="s">
        <v>87</v>
      </c>
      <c r="G424" s="176" t="s">
        <v>1713</v>
      </c>
      <c r="H424" s="176">
        <v>30</v>
      </c>
      <c r="I424" s="176">
        <v>31.3</v>
      </c>
      <c r="J424" s="176">
        <v>31.3</v>
      </c>
      <c r="K424" s="176">
        <v>4</v>
      </c>
      <c r="L424" s="176">
        <v>0</v>
      </c>
      <c r="M424" s="176" t="s">
        <v>148</v>
      </c>
      <c r="N424" s="176" t="s">
        <v>149</v>
      </c>
      <c r="O424" s="176" t="s">
        <v>150</v>
      </c>
      <c r="P424" s="176" t="s">
        <v>151</v>
      </c>
      <c r="Q424" s="176"/>
      <c r="R424" s="176" t="s">
        <v>4699</v>
      </c>
      <c r="S424" s="176"/>
      <c r="T424" s="176" t="s">
        <v>2891</v>
      </c>
      <c r="U424" s="176" t="s">
        <v>152</v>
      </c>
      <c r="V424" s="176" t="s">
        <v>23</v>
      </c>
    </row>
    <row r="425" spans="2:22" ht="12" customHeight="1">
      <c r="B425" s="211">
        <v>46211</v>
      </c>
      <c r="C425" s="211">
        <v>46211</v>
      </c>
      <c r="D425" s="176" t="s">
        <v>4700</v>
      </c>
      <c r="E425" s="176" t="s">
        <v>4701</v>
      </c>
      <c r="F425" s="176" t="s">
        <v>87</v>
      </c>
      <c r="G425" s="176" t="s">
        <v>2552</v>
      </c>
      <c r="H425" s="176">
        <v>40</v>
      </c>
      <c r="I425" s="176">
        <v>29.8</v>
      </c>
      <c r="J425" s="176">
        <v>29.8</v>
      </c>
      <c r="K425" s="176">
        <v>5</v>
      </c>
      <c r="L425" s="176">
        <v>0</v>
      </c>
      <c r="M425" s="176" t="s">
        <v>148</v>
      </c>
      <c r="N425" s="176" t="s">
        <v>149</v>
      </c>
      <c r="O425" s="176" t="s">
        <v>150</v>
      </c>
      <c r="P425" s="176" t="s">
        <v>151</v>
      </c>
      <c r="Q425" s="176"/>
      <c r="R425" s="176" t="s">
        <v>4701</v>
      </c>
      <c r="S425" s="176"/>
      <c r="T425" s="176" t="s">
        <v>2891</v>
      </c>
      <c r="U425" s="176" t="s">
        <v>152</v>
      </c>
      <c r="V425" s="176" t="s">
        <v>23</v>
      </c>
    </row>
    <row r="426" spans="2:22" ht="12" customHeight="1">
      <c r="B426" s="211">
        <v>46211</v>
      </c>
      <c r="C426" s="211">
        <v>46211</v>
      </c>
      <c r="D426" s="176" t="s">
        <v>4702</v>
      </c>
      <c r="E426" s="176" t="s">
        <v>4703</v>
      </c>
      <c r="F426" s="176" t="s">
        <v>87</v>
      </c>
      <c r="G426" s="176" t="s">
        <v>2552</v>
      </c>
      <c r="H426" s="176">
        <v>40</v>
      </c>
      <c r="I426" s="176">
        <v>31.2</v>
      </c>
      <c r="J426" s="176">
        <v>31.2</v>
      </c>
      <c r="K426" s="176">
        <v>5</v>
      </c>
      <c r="L426" s="176">
        <v>0</v>
      </c>
      <c r="M426" s="176" t="s">
        <v>148</v>
      </c>
      <c r="N426" s="176" t="s">
        <v>149</v>
      </c>
      <c r="O426" s="176" t="s">
        <v>150</v>
      </c>
      <c r="P426" s="176" t="s">
        <v>151</v>
      </c>
      <c r="Q426" s="176"/>
      <c r="R426" s="176" t="s">
        <v>4703</v>
      </c>
      <c r="S426" s="176"/>
      <c r="T426" s="176" t="s">
        <v>2891</v>
      </c>
      <c r="U426" s="176" t="s">
        <v>152</v>
      </c>
      <c r="V426" s="176" t="s">
        <v>23</v>
      </c>
    </row>
    <row r="427" spans="2:22" ht="12" customHeight="1">
      <c r="B427" s="211">
        <v>46211</v>
      </c>
      <c r="C427" s="211">
        <v>46211</v>
      </c>
      <c r="D427" s="176" t="s">
        <v>4704</v>
      </c>
      <c r="E427" s="176" t="s">
        <v>4705</v>
      </c>
      <c r="F427" s="176" t="s">
        <v>87</v>
      </c>
      <c r="G427" s="176" t="s">
        <v>1713</v>
      </c>
      <c r="H427" s="176">
        <v>30</v>
      </c>
      <c r="I427" s="176">
        <v>35.799999999999997</v>
      </c>
      <c r="J427" s="176">
        <v>35.799999999999997</v>
      </c>
      <c r="K427" s="176">
        <v>4</v>
      </c>
      <c r="L427" s="176">
        <v>0</v>
      </c>
      <c r="M427" s="176" t="s">
        <v>148</v>
      </c>
      <c r="N427" s="176" t="s">
        <v>149</v>
      </c>
      <c r="O427" s="176" t="s">
        <v>150</v>
      </c>
      <c r="P427" s="176" t="s">
        <v>151</v>
      </c>
      <c r="Q427" s="176"/>
      <c r="R427" s="176" t="s">
        <v>4705</v>
      </c>
      <c r="S427" s="176"/>
      <c r="T427" s="176" t="s">
        <v>2891</v>
      </c>
      <c r="U427" s="176" t="s">
        <v>152</v>
      </c>
      <c r="V427" s="176" t="s">
        <v>23</v>
      </c>
    </row>
    <row r="428" spans="2:22" ht="12" customHeight="1">
      <c r="B428" s="211">
        <v>46211</v>
      </c>
      <c r="C428" s="211">
        <v>46211</v>
      </c>
      <c r="D428" s="176" t="s">
        <v>4706</v>
      </c>
      <c r="E428" s="176" t="s">
        <v>4707</v>
      </c>
      <c r="F428" s="176" t="s">
        <v>87</v>
      </c>
      <c r="G428" s="176" t="s">
        <v>2485</v>
      </c>
      <c r="H428" s="176">
        <v>30</v>
      </c>
      <c r="I428" s="176">
        <v>27.5</v>
      </c>
      <c r="J428" s="176">
        <v>27.5</v>
      </c>
      <c r="K428" s="176">
        <v>4</v>
      </c>
      <c r="L428" s="176">
        <v>0</v>
      </c>
      <c r="M428" s="176" t="s">
        <v>148</v>
      </c>
      <c r="N428" s="176" t="s">
        <v>149</v>
      </c>
      <c r="O428" s="176" t="s">
        <v>150</v>
      </c>
      <c r="P428" s="176" t="s">
        <v>151</v>
      </c>
      <c r="Q428" s="176"/>
      <c r="R428" s="176" t="s">
        <v>4707</v>
      </c>
      <c r="S428" s="176"/>
      <c r="T428" s="176" t="s">
        <v>2891</v>
      </c>
      <c r="U428" s="176" t="s">
        <v>152</v>
      </c>
      <c r="V428" s="176" t="s">
        <v>23</v>
      </c>
    </row>
    <row r="429" spans="2:22" ht="12" customHeight="1">
      <c r="B429" s="211">
        <v>46211</v>
      </c>
      <c r="C429" s="211">
        <v>46211</v>
      </c>
      <c r="D429" s="176" t="s">
        <v>4708</v>
      </c>
      <c r="E429" s="176" t="s">
        <v>4709</v>
      </c>
      <c r="F429" s="176" t="s">
        <v>87</v>
      </c>
      <c r="G429" s="176" t="s">
        <v>2486</v>
      </c>
      <c r="H429" s="176">
        <v>40</v>
      </c>
      <c r="I429" s="176">
        <v>31.4</v>
      </c>
      <c r="J429" s="176">
        <v>31.4</v>
      </c>
      <c r="K429" s="176">
        <v>5</v>
      </c>
      <c r="L429" s="176">
        <v>0</v>
      </c>
      <c r="M429" s="176" t="s">
        <v>148</v>
      </c>
      <c r="N429" s="176" t="s">
        <v>149</v>
      </c>
      <c r="O429" s="176" t="s">
        <v>150</v>
      </c>
      <c r="P429" s="176" t="s">
        <v>151</v>
      </c>
      <c r="Q429" s="176"/>
      <c r="R429" s="176" t="s">
        <v>4709</v>
      </c>
      <c r="S429" s="176"/>
      <c r="T429" s="176" t="s">
        <v>2891</v>
      </c>
      <c r="U429" s="176" t="s">
        <v>152</v>
      </c>
      <c r="V429" s="176" t="s">
        <v>23</v>
      </c>
    </row>
    <row r="430" spans="2:22" ht="12" customHeight="1">
      <c r="B430" s="211">
        <v>46211</v>
      </c>
      <c r="C430" s="211">
        <v>46211</v>
      </c>
      <c r="D430" s="176" t="s">
        <v>4710</v>
      </c>
      <c r="E430" s="176" t="s">
        <v>4711</v>
      </c>
      <c r="F430" s="176" t="s">
        <v>87</v>
      </c>
      <c r="G430" s="176" t="s">
        <v>2486</v>
      </c>
      <c r="H430" s="176">
        <v>40</v>
      </c>
      <c r="I430" s="176">
        <v>37.799999999999997</v>
      </c>
      <c r="J430" s="176">
        <v>37.799999999999997</v>
      </c>
      <c r="K430" s="176">
        <v>5</v>
      </c>
      <c r="L430" s="176">
        <v>0</v>
      </c>
      <c r="M430" s="176" t="s">
        <v>148</v>
      </c>
      <c r="N430" s="176" t="s">
        <v>149</v>
      </c>
      <c r="O430" s="176" t="s">
        <v>150</v>
      </c>
      <c r="P430" s="176" t="s">
        <v>151</v>
      </c>
      <c r="Q430" s="176"/>
      <c r="R430" s="176" t="s">
        <v>4711</v>
      </c>
      <c r="S430" s="176"/>
      <c r="T430" s="176" t="s">
        <v>2891</v>
      </c>
      <c r="U430" s="176" t="s">
        <v>152</v>
      </c>
      <c r="V430" s="176" t="s">
        <v>23</v>
      </c>
    </row>
    <row r="431" spans="2:22" ht="12" customHeight="1">
      <c r="B431" s="211">
        <v>46211</v>
      </c>
      <c r="C431" s="211">
        <v>46211</v>
      </c>
      <c r="D431" s="176" t="s">
        <v>4712</v>
      </c>
      <c r="E431" s="176" t="s">
        <v>4713</v>
      </c>
      <c r="F431" s="176" t="s">
        <v>87</v>
      </c>
      <c r="G431" s="176" t="s">
        <v>1713</v>
      </c>
      <c r="H431" s="176">
        <v>30</v>
      </c>
      <c r="I431" s="176">
        <v>26.4</v>
      </c>
      <c r="J431" s="176">
        <v>26.4</v>
      </c>
      <c r="K431" s="176">
        <v>4</v>
      </c>
      <c r="L431" s="176">
        <v>0</v>
      </c>
      <c r="M431" s="176" t="s">
        <v>148</v>
      </c>
      <c r="N431" s="176" t="s">
        <v>149</v>
      </c>
      <c r="O431" s="176" t="s">
        <v>150</v>
      </c>
      <c r="P431" s="176" t="s">
        <v>151</v>
      </c>
      <c r="Q431" s="176"/>
      <c r="R431" s="176" t="s">
        <v>4713</v>
      </c>
      <c r="S431" s="176"/>
      <c r="T431" s="176" t="s">
        <v>2891</v>
      </c>
      <c r="U431" s="176" t="s">
        <v>152</v>
      </c>
      <c r="V431" s="176" t="s">
        <v>23</v>
      </c>
    </row>
    <row r="432" spans="2:22" ht="12" customHeight="1">
      <c r="B432" s="211">
        <v>46211</v>
      </c>
      <c r="C432" s="211">
        <v>46211</v>
      </c>
      <c r="D432" s="176" t="s">
        <v>4714</v>
      </c>
      <c r="E432" s="176" t="s">
        <v>4715</v>
      </c>
      <c r="F432" s="176" t="s">
        <v>87</v>
      </c>
      <c r="G432" s="176" t="s">
        <v>2552</v>
      </c>
      <c r="H432" s="176">
        <v>40</v>
      </c>
      <c r="I432" s="176">
        <v>35.799999999999997</v>
      </c>
      <c r="J432" s="176">
        <v>35.799999999999997</v>
      </c>
      <c r="K432" s="176">
        <v>5</v>
      </c>
      <c r="L432" s="176">
        <v>0</v>
      </c>
      <c r="M432" s="176" t="s">
        <v>148</v>
      </c>
      <c r="N432" s="176" t="s">
        <v>149</v>
      </c>
      <c r="O432" s="176" t="s">
        <v>150</v>
      </c>
      <c r="P432" s="176" t="s">
        <v>151</v>
      </c>
      <c r="Q432" s="176"/>
      <c r="R432" s="176" t="s">
        <v>4715</v>
      </c>
      <c r="S432" s="176"/>
      <c r="T432" s="176" t="s">
        <v>2891</v>
      </c>
      <c r="U432" s="176" t="s">
        <v>152</v>
      </c>
      <c r="V432" s="176" t="s">
        <v>23</v>
      </c>
    </row>
    <row r="433" spans="2:22" ht="12" customHeight="1">
      <c r="B433" s="211">
        <v>46211</v>
      </c>
      <c r="C433" s="211">
        <v>46211</v>
      </c>
      <c r="D433" s="176" t="s">
        <v>4716</v>
      </c>
      <c r="E433" s="176" t="s">
        <v>4717</v>
      </c>
      <c r="F433" s="176" t="s">
        <v>87</v>
      </c>
      <c r="G433" s="176" t="s">
        <v>2552</v>
      </c>
      <c r="H433" s="176">
        <v>40</v>
      </c>
      <c r="I433" s="176">
        <v>28.7</v>
      </c>
      <c r="J433" s="176">
        <v>28.7</v>
      </c>
      <c r="K433" s="176">
        <v>5</v>
      </c>
      <c r="L433" s="176">
        <v>0</v>
      </c>
      <c r="M433" s="176" t="s">
        <v>148</v>
      </c>
      <c r="N433" s="176" t="s">
        <v>149</v>
      </c>
      <c r="O433" s="176" t="s">
        <v>150</v>
      </c>
      <c r="P433" s="176" t="s">
        <v>151</v>
      </c>
      <c r="Q433" s="176"/>
      <c r="R433" s="176" t="s">
        <v>4717</v>
      </c>
      <c r="S433" s="176"/>
      <c r="T433" s="176" t="s">
        <v>2891</v>
      </c>
      <c r="U433" s="176" t="s">
        <v>152</v>
      </c>
      <c r="V433" s="176" t="s">
        <v>23</v>
      </c>
    </row>
    <row r="434" spans="2:22" ht="12" customHeight="1">
      <c r="B434" s="211">
        <v>46211</v>
      </c>
      <c r="C434" s="211">
        <v>46211</v>
      </c>
      <c r="D434" s="176" t="s">
        <v>4718</v>
      </c>
      <c r="E434" s="176" t="s">
        <v>4719</v>
      </c>
      <c r="F434" s="176" t="s">
        <v>87</v>
      </c>
      <c r="G434" s="176" t="s">
        <v>1713</v>
      </c>
      <c r="H434" s="176">
        <v>30</v>
      </c>
      <c r="I434" s="176">
        <v>36</v>
      </c>
      <c r="J434" s="176">
        <v>36</v>
      </c>
      <c r="K434" s="176">
        <v>4</v>
      </c>
      <c r="L434" s="176">
        <v>0</v>
      </c>
      <c r="M434" s="176" t="s">
        <v>148</v>
      </c>
      <c r="N434" s="176" t="s">
        <v>149</v>
      </c>
      <c r="O434" s="176" t="s">
        <v>150</v>
      </c>
      <c r="P434" s="176" t="s">
        <v>151</v>
      </c>
      <c r="Q434" s="176"/>
      <c r="R434" s="176" t="s">
        <v>4719</v>
      </c>
      <c r="S434" s="176"/>
      <c r="T434" s="176" t="s">
        <v>2891</v>
      </c>
      <c r="U434" s="176" t="s">
        <v>152</v>
      </c>
      <c r="V434" s="176" t="s">
        <v>23</v>
      </c>
    </row>
    <row r="435" spans="2:22" ht="12" customHeight="1">
      <c r="B435" s="211">
        <v>46211</v>
      </c>
      <c r="C435" s="211">
        <v>46211</v>
      </c>
      <c r="D435" s="176" t="s">
        <v>4720</v>
      </c>
      <c r="E435" s="176" t="s">
        <v>4721</v>
      </c>
      <c r="F435" s="176" t="s">
        <v>87</v>
      </c>
      <c r="G435" s="176" t="s">
        <v>1713</v>
      </c>
      <c r="H435" s="176">
        <v>30</v>
      </c>
      <c r="I435" s="176">
        <v>35.799999999999997</v>
      </c>
      <c r="J435" s="176">
        <v>35.799999999999997</v>
      </c>
      <c r="K435" s="176">
        <v>4</v>
      </c>
      <c r="L435" s="176">
        <v>0</v>
      </c>
      <c r="M435" s="176" t="s">
        <v>148</v>
      </c>
      <c r="N435" s="176" t="s">
        <v>149</v>
      </c>
      <c r="O435" s="176" t="s">
        <v>150</v>
      </c>
      <c r="P435" s="176" t="s">
        <v>151</v>
      </c>
      <c r="Q435" s="176"/>
      <c r="R435" s="176" t="s">
        <v>4721</v>
      </c>
      <c r="S435" s="176"/>
      <c r="T435" s="176" t="s">
        <v>2891</v>
      </c>
      <c r="U435" s="176" t="s">
        <v>152</v>
      </c>
      <c r="V435" s="176" t="s">
        <v>23</v>
      </c>
    </row>
    <row r="436" spans="2:22" ht="12" customHeight="1">
      <c r="B436" s="211">
        <v>46211</v>
      </c>
      <c r="C436" s="211">
        <v>46211</v>
      </c>
      <c r="D436" s="176" t="s">
        <v>4722</v>
      </c>
      <c r="E436" s="176" t="s">
        <v>4723</v>
      </c>
      <c r="F436" s="176" t="s">
        <v>87</v>
      </c>
      <c r="G436" s="176" t="s">
        <v>1713</v>
      </c>
      <c r="H436" s="176">
        <v>30</v>
      </c>
      <c r="I436" s="176">
        <v>33.299999999999997</v>
      </c>
      <c r="J436" s="176">
        <v>33.299999999999997</v>
      </c>
      <c r="K436" s="176">
        <v>4</v>
      </c>
      <c r="L436" s="176">
        <v>0</v>
      </c>
      <c r="M436" s="176" t="s">
        <v>148</v>
      </c>
      <c r="N436" s="176" t="s">
        <v>149</v>
      </c>
      <c r="O436" s="176" t="s">
        <v>150</v>
      </c>
      <c r="P436" s="176" t="s">
        <v>151</v>
      </c>
      <c r="Q436" s="176"/>
      <c r="R436" s="176" t="s">
        <v>4723</v>
      </c>
      <c r="S436" s="176"/>
      <c r="T436" s="176" t="s">
        <v>2891</v>
      </c>
      <c r="U436" s="176" t="s">
        <v>152</v>
      </c>
      <c r="V436" s="176" t="s">
        <v>23</v>
      </c>
    </row>
    <row r="437" spans="2:22" ht="12" customHeight="1">
      <c r="B437" s="211">
        <v>46211</v>
      </c>
      <c r="C437" s="211">
        <v>46211</v>
      </c>
      <c r="D437" s="176" t="s">
        <v>4724</v>
      </c>
      <c r="E437" s="176" t="s">
        <v>4725</v>
      </c>
      <c r="F437" s="176" t="s">
        <v>87</v>
      </c>
      <c r="G437" s="176" t="s">
        <v>2485</v>
      </c>
      <c r="H437" s="176">
        <v>30</v>
      </c>
      <c r="I437" s="176">
        <v>29.7</v>
      </c>
      <c r="J437" s="176">
        <v>29.7</v>
      </c>
      <c r="K437" s="176">
        <v>4</v>
      </c>
      <c r="L437" s="176">
        <v>0</v>
      </c>
      <c r="M437" s="176" t="s">
        <v>148</v>
      </c>
      <c r="N437" s="176" t="s">
        <v>149</v>
      </c>
      <c r="O437" s="176" t="s">
        <v>150</v>
      </c>
      <c r="P437" s="176" t="s">
        <v>151</v>
      </c>
      <c r="Q437" s="176"/>
      <c r="R437" s="176" t="s">
        <v>4725</v>
      </c>
      <c r="S437" s="176"/>
      <c r="T437" s="176" t="s">
        <v>2891</v>
      </c>
      <c r="U437" s="176" t="s">
        <v>152</v>
      </c>
      <c r="V437" s="176" t="s">
        <v>23</v>
      </c>
    </row>
    <row r="438" spans="2:22" ht="12" customHeight="1">
      <c r="B438" s="211">
        <v>46211</v>
      </c>
      <c r="C438" s="211">
        <v>46211</v>
      </c>
      <c r="D438" s="176" t="s">
        <v>4726</v>
      </c>
      <c r="E438" s="176" t="s">
        <v>4727</v>
      </c>
      <c r="F438" s="176" t="s">
        <v>87</v>
      </c>
      <c r="G438" s="176" t="s">
        <v>2639</v>
      </c>
      <c r="H438" s="176">
        <v>25</v>
      </c>
      <c r="I438" s="176">
        <v>20.2</v>
      </c>
      <c r="J438" s="176">
        <v>20.2</v>
      </c>
      <c r="K438" s="176">
        <v>4</v>
      </c>
      <c r="L438" s="176">
        <v>0</v>
      </c>
      <c r="M438" s="176" t="s">
        <v>148</v>
      </c>
      <c r="N438" s="176" t="s">
        <v>149</v>
      </c>
      <c r="O438" s="176" t="s">
        <v>150</v>
      </c>
      <c r="P438" s="176" t="s">
        <v>151</v>
      </c>
      <c r="Q438" s="176"/>
      <c r="R438" s="176" t="s">
        <v>4727</v>
      </c>
      <c r="S438" s="176"/>
      <c r="T438" s="176" t="s">
        <v>2891</v>
      </c>
      <c r="U438" s="176" t="s">
        <v>152</v>
      </c>
      <c r="V438" s="176" t="s">
        <v>23</v>
      </c>
    </row>
    <row r="439" spans="2:22" ht="12" customHeight="1">
      <c r="B439" s="211">
        <v>46211</v>
      </c>
      <c r="C439" s="211">
        <v>46211</v>
      </c>
      <c r="D439" s="176" t="s">
        <v>4728</v>
      </c>
      <c r="E439" s="176" t="s">
        <v>4729</v>
      </c>
      <c r="F439" s="176" t="s">
        <v>87</v>
      </c>
      <c r="G439" s="176" t="s">
        <v>2639</v>
      </c>
      <c r="H439" s="176">
        <v>25</v>
      </c>
      <c r="I439" s="176">
        <v>33.799999999999997</v>
      </c>
      <c r="J439" s="176">
        <v>33.799999999999997</v>
      </c>
      <c r="K439" s="176">
        <v>4</v>
      </c>
      <c r="L439" s="176">
        <v>0</v>
      </c>
      <c r="M439" s="176" t="s">
        <v>148</v>
      </c>
      <c r="N439" s="176" t="s">
        <v>149</v>
      </c>
      <c r="O439" s="176" t="s">
        <v>150</v>
      </c>
      <c r="P439" s="176" t="s">
        <v>151</v>
      </c>
      <c r="Q439" s="176"/>
      <c r="R439" s="176" t="s">
        <v>4729</v>
      </c>
      <c r="S439" s="176"/>
      <c r="T439" s="176" t="s">
        <v>2891</v>
      </c>
      <c r="U439" s="176" t="s">
        <v>152</v>
      </c>
      <c r="V439" s="176" t="s">
        <v>23</v>
      </c>
    </row>
    <row r="440" spans="2:22" ht="12" customHeight="1">
      <c r="B440" s="211">
        <v>46211</v>
      </c>
      <c r="C440" s="211">
        <v>46211</v>
      </c>
      <c r="D440" s="176" t="s">
        <v>4730</v>
      </c>
      <c r="E440" s="176" t="s">
        <v>4731</v>
      </c>
      <c r="F440" s="176" t="s">
        <v>87</v>
      </c>
      <c r="G440" s="176" t="s">
        <v>2552</v>
      </c>
      <c r="H440" s="176">
        <v>40</v>
      </c>
      <c r="I440" s="176">
        <v>34.799999999999997</v>
      </c>
      <c r="J440" s="176">
        <v>34.799999999999997</v>
      </c>
      <c r="K440" s="176">
        <v>5</v>
      </c>
      <c r="L440" s="176">
        <v>0</v>
      </c>
      <c r="M440" s="176" t="s">
        <v>148</v>
      </c>
      <c r="N440" s="176" t="s">
        <v>149</v>
      </c>
      <c r="O440" s="176" t="s">
        <v>150</v>
      </c>
      <c r="P440" s="176" t="s">
        <v>151</v>
      </c>
      <c r="Q440" s="176"/>
      <c r="R440" s="176" t="s">
        <v>4731</v>
      </c>
      <c r="S440" s="176"/>
      <c r="T440" s="176" t="s">
        <v>2891</v>
      </c>
      <c r="U440" s="176" t="s">
        <v>152</v>
      </c>
      <c r="V440" s="176" t="s">
        <v>23</v>
      </c>
    </row>
    <row r="441" spans="2:22" ht="12" customHeight="1">
      <c r="B441" s="211">
        <v>46211</v>
      </c>
      <c r="C441" s="211">
        <v>46211</v>
      </c>
      <c r="D441" s="176" t="s">
        <v>4732</v>
      </c>
      <c r="E441" s="176" t="s">
        <v>4733</v>
      </c>
      <c r="F441" s="176" t="s">
        <v>87</v>
      </c>
      <c r="G441" s="176" t="s">
        <v>4734</v>
      </c>
      <c r="H441" s="176">
        <v>60</v>
      </c>
      <c r="I441" s="176">
        <v>33.799999999999997</v>
      </c>
      <c r="J441" s="176">
        <v>33.799999999999997</v>
      </c>
      <c r="K441" s="176">
        <v>5</v>
      </c>
      <c r="L441" s="176">
        <v>0</v>
      </c>
      <c r="M441" s="176" t="s">
        <v>148</v>
      </c>
      <c r="N441" s="176" t="s">
        <v>149</v>
      </c>
      <c r="O441" s="176" t="s">
        <v>150</v>
      </c>
      <c r="P441" s="176" t="s">
        <v>151</v>
      </c>
      <c r="Q441" s="176"/>
      <c r="R441" s="176" t="s">
        <v>4733</v>
      </c>
      <c r="S441" s="176"/>
      <c r="T441" s="176" t="s">
        <v>2891</v>
      </c>
      <c r="U441" s="176" t="s">
        <v>152</v>
      </c>
      <c r="V441" s="176" t="s">
        <v>23</v>
      </c>
    </row>
    <row r="442" spans="2:22" ht="12" customHeight="1">
      <c r="B442" s="211">
        <v>46211</v>
      </c>
      <c r="C442" s="211">
        <v>46211</v>
      </c>
      <c r="D442" s="176" t="s">
        <v>4735</v>
      </c>
      <c r="E442" s="176" t="s">
        <v>4736</v>
      </c>
      <c r="F442" s="176" t="s">
        <v>87</v>
      </c>
      <c r="G442" s="176" t="s">
        <v>2486</v>
      </c>
      <c r="H442" s="176">
        <v>40</v>
      </c>
      <c r="I442" s="176">
        <v>32.200000000000003</v>
      </c>
      <c r="J442" s="176">
        <v>32.200000000000003</v>
      </c>
      <c r="K442" s="176">
        <v>5</v>
      </c>
      <c r="L442" s="176">
        <v>0</v>
      </c>
      <c r="M442" s="176" t="s">
        <v>148</v>
      </c>
      <c r="N442" s="176" t="s">
        <v>149</v>
      </c>
      <c r="O442" s="176" t="s">
        <v>150</v>
      </c>
      <c r="P442" s="176" t="s">
        <v>151</v>
      </c>
      <c r="Q442" s="176"/>
      <c r="R442" s="176" t="s">
        <v>4736</v>
      </c>
      <c r="S442" s="176"/>
      <c r="T442" s="176" t="s">
        <v>2891</v>
      </c>
      <c r="U442" s="176" t="s">
        <v>152</v>
      </c>
      <c r="V442" s="176" t="s">
        <v>23</v>
      </c>
    </row>
    <row r="443" spans="2:22" ht="12" customHeight="1">
      <c r="B443" s="211">
        <v>46211</v>
      </c>
      <c r="C443" s="211">
        <v>46211</v>
      </c>
      <c r="D443" s="176" t="s">
        <v>4737</v>
      </c>
      <c r="E443" s="176" t="s">
        <v>4738</v>
      </c>
      <c r="F443" s="176" t="s">
        <v>87</v>
      </c>
      <c r="G443" s="176" t="s">
        <v>2486</v>
      </c>
      <c r="H443" s="176">
        <v>40</v>
      </c>
      <c r="I443" s="176">
        <v>28.4</v>
      </c>
      <c r="J443" s="176">
        <v>28.4</v>
      </c>
      <c r="K443" s="176">
        <v>5</v>
      </c>
      <c r="L443" s="176">
        <v>0</v>
      </c>
      <c r="M443" s="176" t="s">
        <v>148</v>
      </c>
      <c r="N443" s="176" t="s">
        <v>149</v>
      </c>
      <c r="O443" s="176" t="s">
        <v>150</v>
      </c>
      <c r="P443" s="176" t="s">
        <v>151</v>
      </c>
      <c r="Q443" s="176"/>
      <c r="R443" s="176" t="s">
        <v>4738</v>
      </c>
      <c r="S443" s="176"/>
      <c r="T443" s="176" t="s">
        <v>2891</v>
      </c>
      <c r="U443" s="176" t="s">
        <v>152</v>
      </c>
      <c r="V443" s="176" t="s">
        <v>23</v>
      </c>
    </row>
    <row r="444" spans="2:22" ht="12" customHeight="1">
      <c r="B444" s="211">
        <v>46212</v>
      </c>
      <c r="C444" s="211">
        <v>46212</v>
      </c>
      <c r="D444" s="176" t="s">
        <v>4739</v>
      </c>
      <c r="E444" s="176" t="s">
        <v>4740</v>
      </c>
      <c r="F444" s="176" t="s">
        <v>87</v>
      </c>
      <c r="G444" s="176" t="s">
        <v>2486</v>
      </c>
      <c r="H444" s="176">
        <v>40</v>
      </c>
      <c r="I444" s="176">
        <v>42.4</v>
      </c>
      <c r="J444" s="176">
        <v>42.4</v>
      </c>
      <c r="K444" s="176">
        <v>5</v>
      </c>
      <c r="L444" s="176">
        <v>0</v>
      </c>
      <c r="M444" s="176" t="s">
        <v>148</v>
      </c>
      <c r="N444" s="176" t="s">
        <v>149</v>
      </c>
      <c r="O444" s="176" t="s">
        <v>150</v>
      </c>
      <c r="P444" s="176" t="s">
        <v>151</v>
      </c>
      <c r="Q444" s="176"/>
      <c r="R444" s="176" t="s">
        <v>4740</v>
      </c>
      <c r="S444" s="176"/>
      <c r="T444" s="176" t="s">
        <v>2920</v>
      </c>
      <c r="U444" s="176" t="s">
        <v>152</v>
      </c>
      <c r="V444" s="176" t="s">
        <v>23</v>
      </c>
    </row>
    <row r="445" spans="2:22" ht="12" customHeight="1">
      <c r="B445" s="211">
        <v>46212</v>
      </c>
      <c r="C445" s="211">
        <v>46212</v>
      </c>
      <c r="D445" s="176" t="s">
        <v>4741</v>
      </c>
      <c r="E445" s="176" t="s">
        <v>4742</v>
      </c>
      <c r="F445" s="176" t="s">
        <v>87</v>
      </c>
      <c r="G445" s="176" t="s">
        <v>2552</v>
      </c>
      <c r="H445" s="176">
        <v>40</v>
      </c>
      <c r="I445" s="176">
        <v>32</v>
      </c>
      <c r="J445" s="176">
        <v>32</v>
      </c>
      <c r="K445" s="176">
        <v>5</v>
      </c>
      <c r="L445" s="176">
        <v>0</v>
      </c>
      <c r="M445" s="176" t="s">
        <v>148</v>
      </c>
      <c r="N445" s="176" t="s">
        <v>149</v>
      </c>
      <c r="O445" s="176" t="s">
        <v>150</v>
      </c>
      <c r="P445" s="176" t="s">
        <v>151</v>
      </c>
      <c r="Q445" s="176"/>
      <c r="R445" s="176" t="s">
        <v>4742</v>
      </c>
      <c r="S445" s="176"/>
      <c r="T445" s="176" t="s">
        <v>2920</v>
      </c>
      <c r="U445" s="176" t="s">
        <v>152</v>
      </c>
      <c r="V445" s="176" t="s">
        <v>23</v>
      </c>
    </row>
    <row r="446" spans="2:22" ht="12" customHeight="1">
      <c r="B446" s="211">
        <v>46212</v>
      </c>
      <c r="C446" s="211">
        <v>46212</v>
      </c>
      <c r="D446" s="176" t="s">
        <v>4743</v>
      </c>
      <c r="E446" s="176" t="s">
        <v>4744</v>
      </c>
      <c r="F446" s="176" t="s">
        <v>87</v>
      </c>
      <c r="G446" s="176" t="s">
        <v>2486</v>
      </c>
      <c r="H446" s="176">
        <v>40</v>
      </c>
      <c r="I446" s="176">
        <v>36.299999999999997</v>
      </c>
      <c r="J446" s="176">
        <v>36.299999999999997</v>
      </c>
      <c r="K446" s="176">
        <v>5</v>
      </c>
      <c r="L446" s="176">
        <v>0</v>
      </c>
      <c r="M446" s="176" t="s">
        <v>148</v>
      </c>
      <c r="N446" s="176" t="s">
        <v>149</v>
      </c>
      <c r="O446" s="176" t="s">
        <v>150</v>
      </c>
      <c r="P446" s="176" t="s">
        <v>151</v>
      </c>
      <c r="Q446" s="176"/>
      <c r="R446" s="176" t="s">
        <v>4744</v>
      </c>
      <c r="S446" s="176"/>
      <c r="T446" s="176" t="s">
        <v>2920</v>
      </c>
      <c r="U446" s="176" t="s">
        <v>152</v>
      </c>
      <c r="V446" s="176" t="s">
        <v>23</v>
      </c>
    </row>
    <row r="447" spans="2:22" ht="12" customHeight="1">
      <c r="B447" s="211">
        <v>46212</v>
      </c>
      <c r="C447" s="211">
        <v>46212</v>
      </c>
      <c r="D447" s="176" t="s">
        <v>4745</v>
      </c>
      <c r="E447" s="176" t="s">
        <v>4746</v>
      </c>
      <c r="F447" s="176" t="s">
        <v>87</v>
      </c>
      <c r="G447" s="176" t="s">
        <v>2485</v>
      </c>
      <c r="H447" s="176">
        <v>30</v>
      </c>
      <c r="I447" s="176">
        <v>22.3</v>
      </c>
      <c r="J447" s="176">
        <v>22.3</v>
      </c>
      <c r="K447" s="176">
        <v>4</v>
      </c>
      <c r="L447" s="176">
        <v>0</v>
      </c>
      <c r="M447" s="176" t="s">
        <v>148</v>
      </c>
      <c r="N447" s="176" t="s">
        <v>149</v>
      </c>
      <c r="O447" s="176" t="s">
        <v>150</v>
      </c>
      <c r="P447" s="176" t="s">
        <v>151</v>
      </c>
      <c r="Q447" s="176"/>
      <c r="R447" s="176" t="s">
        <v>4746</v>
      </c>
      <c r="S447" s="176"/>
      <c r="T447" s="176" t="s">
        <v>2920</v>
      </c>
      <c r="U447" s="176" t="s">
        <v>152</v>
      </c>
      <c r="V447" s="176" t="s">
        <v>23</v>
      </c>
    </row>
    <row r="448" spans="2:22" ht="12" customHeight="1">
      <c r="B448" s="211">
        <v>46212</v>
      </c>
      <c r="C448" s="211">
        <v>46212</v>
      </c>
      <c r="D448" s="176" t="s">
        <v>4747</v>
      </c>
      <c r="E448" s="176" t="s">
        <v>4748</v>
      </c>
      <c r="F448" s="176" t="s">
        <v>87</v>
      </c>
      <c r="G448" s="176" t="s">
        <v>2485</v>
      </c>
      <c r="H448" s="176">
        <v>30</v>
      </c>
      <c r="I448" s="176">
        <v>48.2</v>
      </c>
      <c r="J448" s="176">
        <v>48.2</v>
      </c>
      <c r="K448" s="176">
        <v>4</v>
      </c>
      <c r="L448" s="176">
        <v>0</v>
      </c>
      <c r="M448" s="176" t="s">
        <v>148</v>
      </c>
      <c r="N448" s="176" t="s">
        <v>149</v>
      </c>
      <c r="O448" s="176" t="s">
        <v>150</v>
      </c>
      <c r="P448" s="176" t="s">
        <v>151</v>
      </c>
      <c r="Q448" s="176"/>
      <c r="R448" s="176" t="s">
        <v>4748</v>
      </c>
      <c r="S448" s="176"/>
      <c r="T448" s="176" t="s">
        <v>2920</v>
      </c>
      <c r="U448" s="176" t="s">
        <v>152</v>
      </c>
      <c r="V448" s="176" t="s">
        <v>23</v>
      </c>
    </row>
    <row r="449" spans="2:22" ht="12" customHeight="1">
      <c r="B449" s="211">
        <v>46212</v>
      </c>
      <c r="C449" s="211">
        <v>46212</v>
      </c>
      <c r="D449" s="176" t="s">
        <v>4749</v>
      </c>
      <c r="E449" s="176" t="s">
        <v>4750</v>
      </c>
      <c r="F449" s="176" t="s">
        <v>87</v>
      </c>
      <c r="G449" s="176" t="s">
        <v>2486</v>
      </c>
      <c r="H449" s="176">
        <v>40</v>
      </c>
      <c r="I449" s="176">
        <v>45.1</v>
      </c>
      <c r="J449" s="176">
        <v>45.1</v>
      </c>
      <c r="K449" s="176">
        <v>5</v>
      </c>
      <c r="L449" s="176">
        <v>0</v>
      </c>
      <c r="M449" s="176" t="s">
        <v>148</v>
      </c>
      <c r="N449" s="176" t="s">
        <v>149</v>
      </c>
      <c r="O449" s="176" t="s">
        <v>150</v>
      </c>
      <c r="P449" s="176" t="s">
        <v>151</v>
      </c>
      <c r="Q449" s="176"/>
      <c r="R449" s="176" t="s">
        <v>4750</v>
      </c>
      <c r="S449" s="176"/>
      <c r="T449" s="176" t="s">
        <v>2920</v>
      </c>
      <c r="U449" s="176" t="s">
        <v>152</v>
      </c>
      <c r="V449" s="176" t="s">
        <v>23</v>
      </c>
    </row>
    <row r="450" spans="2:22" ht="12" customHeight="1">
      <c r="B450" s="211">
        <v>46212</v>
      </c>
      <c r="C450" s="211">
        <v>46212</v>
      </c>
      <c r="D450" s="176" t="s">
        <v>4751</v>
      </c>
      <c r="E450" s="176" t="s">
        <v>4752</v>
      </c>
      <c r="F450" s="176" t="s">
        <v>87</v>
      </c>
      <c r="G450" s="176" t="s">
        <v>2552</v>
      </c>
      <c r="H450" s="176">
        <v>40</v>
      </c>
      <c r="I450" s="176">
        <v>37.799999999999997</v>
      </c>
      <c r="J450" s="176">
        <v>37.799999999999997</v>
      </c>
      <c r="K450" s="176">
        <v>5</v>
      </c>
      <c r="L450" s="176">
        <v>0</v>
      </c>
      <c r="M450" s="176" t="s">
        <v>148</v>
      </c>
      <c r="N450" s="176" t="s">
        <v>149</v>
      </c>
      <c r="O450" s="176" t="s">
        <v>150</v>
      </c>
      <c r="P450" s="176" t="s">
        <v>151</v>
      </c>
      <c r="Q450" s="176"/>
      <c r="R450" s="176" t="s">
        <v>4752</v>
      </c>
      <c r="S450" s="176"/>
      <c r="T450" s="176" t="s">
        <v>2920</v>
      </c>
      <c r="U450" s="176" t="s">
        <v>152</v>
      </c>
      <c r="V450" s="176" t="s">
        <v>23</v>
      </c>
    </row>
    <row r="451" spans="2:22" ht="12" customHeight="1">
      <c r="B451" s="211">
        <v>46212</v>
      </c>
      <c r="C451" s="211">
        <v>46212</v>
      </c>
      <c r="D451" s="176" t="s">
        <v>4753</v>
      </c>
      <c r="E451" s="176" t="s">
        <v>4754</v>
      </c>
      <c r="F451" s="176" t="s">
        <v>87</v>
      </c>
      <c r="G451" s="176" t="s">
        <v>2486</v>
      </c>
      <c r="H451" s="176">
        <v>40</v>
      </c>
      <c r="I451" s="176">
        <v>38.700000000000003</v>
      </c>
      <c r="J451" s="176">
        <v>38.700000000000003</v>
      </c>
      <c r="K451" s="176">
        <v>5</v>
      </c>
      <c r="L451" s="176">
        <v>0</v>
      </c>
      <c r="M451" s="176" t="s">
        <v>148</v>
      </c>
      <c r="N451" s="176" t="s">
        <v>149</v>
      </c>
      <c r="O451" s="176" t="s">
        <v>150</v>
      </c>
      <c r="P451" s="176" t="s">
        <v>151</v>
      </c>
      <c r="Q451" s="176"/>
      <c r="R451" s="176" t="s">
        <v>4754</v>
      </c>
      <c r="S451" s="176"/>
      <c r="T451" s="176" t="s">
        <v>2920</v>
      </c>
      <c r="U451" s="176" t="s">
        <v>152</v>
      </c>
      <c r="V451" s="176" t="s">
        <v>23</v>
      </c>
    </row>
    <row r="452" spans="2:22" ht="12" customHeight="1">
      <c r="B452" s="211">
        <v>46212</v>
      </c>
      <c r="C452" s="211">
        <v>46212</v>
      </c>
      <c r="D452" s="176" t="s">
        <v>4755</v>
      </c>
      <c r="E452" s="176" t="s">
        <v>4756</v>
      </c>
      <c r="F452" s="176" t="s">
        <v>87</v>
      </c>
      <c r="G452" s="176" t="s">
        <v>2486</v>
      </c>
      <c r="H452" s="176">
        <v>40</v>
      </c>
      <c r="I452" s="176">
        <v>30.2</v>
      </c>
      <c r="J452" s="176">
        <v>30.2</v>
      </c>
      <c r="K452" s="176">
        <v>5</v>
      </c>
      <c r="L452" s="176">
        <v>0</v>
      </c>
      <c r="M452" s="176" t="s">
        <v>148</v>
      </c>
      <c r="N452" s="176" t="s">
        <v>149</v>
      </c>
      <c r="O452" s="176" t="s">
        <v>150</v>
      </c>
      <c r="P452" s="176" t="s">
        <v>151</v>
      </c>
      <c r="Q452" s="176"/>
      <c r="R452" s="176" t="s">
        <v>4756</v>
      </c>
      <c r="S452" s="176"/>
      <c r="T452" s="176" t="s">
        <v>2920</v>
      </c>
      <c r="U452" s="176" t="s">
        <v>152</v>
      </c>
      <c r="V452" s="176" t="s">
        <v>23</v>
      </c>
    </row>
    <row r="453" spans="2:22" ht="12" customHeight="1">
      <c r="B453" s="211">
        <v>46212</v>
      </c>
      <c r="C453" s="211">
        <v>46212</v>
      </c>
      <c r="D453" s="176" t="s">
        <v>4757</v>
      </c>
      <c r="E453" s="176" t="s">
        <v>4758</v>
      </c>
      <c r="F453" s="176" t="s">
        <v>87</v>
      </c>
      <c r="G453" s="176" t="s">
        <v>2633</v>
      </c>
      <c r="H453" s="176">
        <v>40</v>
      </c>
      <c r="I453" s="176">
        <v>34.200000000000003</v>
      </c>
      <c r="J453" s="176">
        <v>34.200000000000003</v>
      </c>
      <c r="K453" s="176">
        <v>5</v>
      </c>
      <c r="L453" s="176">
        <v>0</v>
      </c>
      <c r="M453" s="176" t="s">
        <v>148</v>
      </c>
      <c r="N453" s="176" t="s">
        <v>149</v>
      </c>
      <c r="O453" s="176" t="s">
        <v>150</v>
      </c>
      <c r="P453" s="176" t="s">
        <v>151</v>
      </c>
      <c r="Q453" s="176"/>
      <c r="R453" s="176" t="s">
        <v>4758</v>
      </c>
      <c r="S453" s="176"/>
      <c r="T453" s="176" t="s">
        <v>2920</v>
      </c>
      <c r="U453" s="176" t="s">
        <v>152</v>
      </c>
      <c r="V453" s="176" t="s">
        <v>23</v>
      </c>
    </row>
    <row r="454" spans="2:22" ht="12" customHeight="1">
      <c r="B454" s="211">
        <v>46212</v>
      </c>
      <c r="C454" s="211">
        <v>46212</v>
      </c>
      <c r="D454" s="176" t="s">
        <v>4759</v>
      </c>
      <c r="E454" s="176" t="s">
        <v>4760</v>
      </c>
      <c r="F454" s="176" t="s">
        <v>87</v>
      </c>
      <c r="G454" s="176" t="s">
        <v>2486</v>
      </c>
      <c r="H454" s="176">
        <v>40</v>
      </c>
      <c r="I454" s="176">
        <v>35.4</v>
      </c>
      <c r="J454" s="176">
        <v>35.4</v>
      </c>
      <c r="K454" s="176">
        <v>5</v>
      </c>
      <c r="L454" s="176">
        <v>0</v>
      </c>
      <c r="M454" s="176" t="s">
        <v>148</v>
      </c>
      <c r="N454" s="176" t="s">
        <v>149</v>
      </c>
      <c r="O454" s="176" t="s">
        <v>150</v>
      </c>
      <c r="P454" s="176" t="s">
        <v>151</v>
      </c>
      <c r="Q454" s="176"/>
      <c r="R454" s="176" t="s">
        <v>4760</v>
      </c>
      <c r="S454" s="176"/>
      <c r="T454" s="176" t="s">
        <v>2920</v>
      </c>
      <c r="U454" s="176" t="s">
        <v>152</v>
      </c>
      <c r="V454" s="176" t="s">
        <v>23</v>
      </c>
    </row>
    <row r="455" spans="2:22" ht="12" customHeight="1">
      <c r="B455" s="211">
        <v>46212</v>
      </c>
      <c r="C455" s="211">
        <v>46212</v>
      </c>
      <c r="D455" s="176" t="s">
        <v>4761</v>
      </c>
      <c r="E455" s="176" t="s">
        <v>4762</v>
      </c>
      <c r="F455" s="176" t="s">
        <v>87</v>
      </c>
      <c r="G455" s="176" t="s">
        <v>2552</v>
      </c>
      <c r="H455" s="176">
        <v>40</v>
      </c>
      <c r="I455" s="176">
        <v>33.4</v>
      </c>
      <c r="J455" s="176">
        <v>33.4</v>
      </c>
      <c r="K455" s="176">
        <v>5</v>
      </c>
      <c r="L455" s="176">
        <v>0</v>
      </c>
      <c r="M455" s="176" t="s">
        <v>148</v>
      </c>
      <c r="N455" s="176" t="s">
        <v>149</v>
      </c>
      <c r="O455" s="176" t="s">
        <v>150</v>
      </c>
      <c r="P455" s="176" t="s">
        <v>151</v>
      </c>
      <c r="Q455" s="176"/>
      <c r="R455" s="176" t="s">
        <v>4762</v>
      </c>
      <c r="S455" s="176"/>
      <c r="T455" s="176" t="s">
        <v>2920</v>
      </c>
      <c r="U455" s="176" t="s">
        <v>152</v>
      </c>
      <c r="V455" s="176" t="s">
        <v>23</v>
      </c>
    </row>
    <row r="456" spans="2:22" ht="12" customHeight="1">
      <c r="B456" s="211">
        <v>46212</v>
      </c>
      <c r="C456" s="211">
        <v>46212</v>
      </c>
      <c r="D456" s="176" t="s">
        <v>4763</v>
      </c>
      <c r="E456" s="176" t="s">
        <v>4764</v>
      </c>
      <c r="F456" s="176" t="s">
        <v>87</v>
      </c>
      <c r="G456" s="176" t="s">
        <v>2485</v>
      </c>
      <c r="H456" s="176">
        <v>30</v>
      </c>
      <c r="I456" s="176">
        <v>40.6</v>
      </c>
      <c r="J456" s="176">
        <v>40.6</v>
      </c>
      <c r="K456" s="176">
        <v>4</v>
      </c>
      <c r="L456" s="176">
        <v>0</v>
      </c>
      <c r="M456" s="176" t="s">
        <v>148</v>
      </c>
      <c r="N456" s="176" t="s">
        <v>149</v>
      </c>
      <c r="O456" s="176" t="s">
        <v>150</v>
      </c>
      <c r="P456" s="176" t="s">
        <v>151</v>
      </c>
      <c r="Q456" s="176"/>
      <c r="R456" s="176" t="s">
        <v>4764</v>
      </c>
      <c r="S456" s="176"/>
      <c r="T456" s="176" t="s">
        <v>2920</v>
      </c>
      <c r="U456" s="176" t="s">
        <v>152</v>
      </c>
      <c r="V456" s="176" t="s">
        <v>23</v>
      </c>
    </row>
    <row r="457" spans="2:22" ht="12" customHeight="1">
      <c r="B457" s="211">
        <v>46212</v>
      </c>
      <c r="C457" s="211">
        <v>46212</v>
      </c>
      <c r="D457" s="176" t="s">
        <v>4765</v>
      </c>
      <c r="E457" s="176" t="s">
        <v>4766</v>
      </c>
      <c r="F457" s="176" t="s">
        <v>87</v>
      </c>
      <c r="G457" s="176" t="s">
        <v>2552</v>
      </c>
      <c r="H457" s="176">
        <v>40</v>
      </c>
      <c r="I457" s="176">
        <v>42.2</v>
      </c>
      <c r="J457" s="176">
        <v>42.2</v>
      </c>
      <c r="K457" s="176">
        <v>5</v>
      </c>
      <c r="L457" s="176">
        <v>0</v>
      </c>
      <c r="M457" s="176" t="s">
        <v>148</v>
      </c>
      <c r="N457" s="176" t="s">
        <v>149</v>
      </c>
      <c r="O457" s="176" t="s">
        <v>150</v>
      </c>
      <c r="P457" s="176" t="s">
        <v>151</v>
      </c>
      <c r="Q457" s="176"/>
      <c r="R457" s="176" t="s">
        <v>4766</v>
      </c>
      <c r="S457" s="176"/>
      <c r="T457" s="176" t="s">
        <v>2920</v>
      </c>
      <c r="U457" s="176" t="s">
        <v>152</v>
      </c>
      <c r="V457" s="176" t="s">
        <v>23</v>
      </c>
    </row>
    <row r="458" spans="2:22" ht="12" customHeight="1">
      <c r="B458" s="211">
        <v>46212</v>
      </c>
      <c r="C458" s="211">
        <v>46212</v>
      </c>
      <c r="D458" s="176" t="s">
        <v>4767</v>
      </c>
      <c r="E458" s="176" t="s">
        <v>4768</v>
      </c>
      <c r="F458" s="176" t="s">
        <v>87</v>
      </c>
      <c r="G458" s="176" t="s">
        <v>2486</v>
      </c>
      <c r="H458" s="176">
        <v>40</v>
      </c>
      <c r="I458" s="176">
        <v>37.799999999999997</v>
      </c>
      <c r="J458" s="176">
        <v>37.799999999999997</v>
      </c>
      <c r="K458" s="176">
        <v>5</v>
      </c>
      <c r="L458" s="176">
        <v>0</v>
      </c>
      <c r="M458" s="176" t="s">
        <v>148</v>
      </c>
      <c r="N458" s="176" t="s">
        <v>149</v>
      </c>
      <c r="O458" s="176" t="s">
        <v>150</v>
      </c>
      <c r="P458" s="176" t="s">
        <v>151</v>
      </c>
      <c r="Q458" s="176"/>
      <c r="R458" s="176" t="s">
        <v>4768</v>
      </c>
      <c r="S458" s="176"/>
      <c r="T458" s="176" t="s">
        <v>2920</v>
      </c>
      <c r="U458" s="176" t="s">
        <v>152</v>
      </c>
      <c r="V458" s="176" t="s">
        <v>23</v>
      </c>
    </row>
    <row r="459" spans="2:22" ht="12" customHeight="1">
      <c r="B459" s="211">
        <v>46212</v>
      </c>
      <c r="C459" s="211">
        <v>46212</v>
      </c>
      <c r="D459" s="176" t="s">
        <v>4769</v>
      </c>
      <c r="E459" s="176" t="s">
        <v>4770</v>
      </c>
      <c r="F459" s="176" t="s">
        <v>87</v>
      </c>
      <c r="G459" s="176" t="s">
        <v>2486</v>
      </c>
      <c r="H459" s="176">
        <v>40</v>
      </c>
      <c r="I459" s="176">
        <v>32.799999999999997</v>
      </c>
      <c r="J459" s="176">
        <v>32.799999999999997</v>
      </c>
      <c r="K459" s="176">
        <v>5</v>
      </c>
      <c r="L459" s="176">
        <v>0</v>
      </c>
      <c r="M459" s="176" t="s">
        <v>148</v>
      </c>
      <c r="N459" s="176" t="s">
        <v>149</v>
      </c>
      <c r="O459" s="176" t="s">
        <v>150</v>
      </c>
      <c r="P459" s="176" t="s">
        <v>151</v>
      </c>
      <c r="Q459" s="176"/>
      <c r="R459" s="176" t="s">
        <v>4770</v>
      </c>
      <c r="S459" s="176"/>
      <c r="T459" s="176" t="s">
        <v>2920</v>
      </c>
      <c r="U459" s="176" t="s">
        <v>152</v>
      </c>
      <c r="V459" s="176" t="s">
        <v>23</v>
      </c>
    </row>
    <row r="460" spans="2:22" ht="12" customHeight="1">
      <c r="B460" s="211">
        <v>46212</v>
      </c>
      <c r="C460" s="211">
        <v>46212</v>
      </c>
      <c r="D460" s="176" t="s">
        <v>4771</v>
      </c>
      <c r="E460" s="176" t="s">
        <v>4772</v>
      </c>
      <c r="F460" s="176" t="s">
        <v>87</v>
      </c>
      <c r="G460" s="176" t="s">
        <v>2486</v>
      </c>
      <c r="H460" s="176">
        <v>40</v>
      </c>
      <c r="I460" s="176">
        <v>38.6</v>
      </c>
      <c r="J460" s="176">
        <v>38.6</v>
      </c>
      <c r="K460" s="176">
        <v>5</v>
      </c>
      <c r="L460" s="176">
        <v>0</v>
      </c>
      <c r="M460" s="176" t="s">
        <v>148</v>
      </c>
      <c r="N460" s="176" t="s">
        <v>149</v>
      </c>
      <c r="O460" s="176" t="s">
        <v>150</v>
      </c>
      <c r="P460" s="176" t="s">
        <v>151</v>
      </c>
      <c r="Q460" s="176"/>
      <c r="R460" s="176" t="s">
        <v>4772</v>
      </c>
      <c r="S460" s="176"/>
      <c r="T460" s="176" t="s">
        <v>2920</v>
      </c>
      <c r="U460" s="176" t="s">
        <v>152</v>
      </c>
      <c r="V460" s="176" t="s">
        <v>23</v>
      </c>
    </row>
    <row r="461" spans="2:22" ht="12" customHeight="1">
      <c r="B461" s="211">
        <v>46212</v>
      </c>
      <c r="C461" s="211">
        <v>46212</v>
      </c>
      <c r="D461" s="176" t="s">
        <v>4773</v>
      </c>
      <c r="E461" s="176" t="s">
        <v>4774</v>
      </c>
      <c r="F461" s="176" t="s">
        <v>87</v>
      </c>
      <c r="G461" s="176" t="s">
        <v>2486</v>
      </c>
      <c r="H461" s="176">
        <v>40</v>
      </c>
      <c r="I461" s="176">
        <v>31.2</v>
      </c>
      <c r="J461" s="176">
        <v>31.2</v>
      </c>
      <c r="K461" s="176">
        <v>5</v>
      </c>
      <c r="L461" s="176">
        <v>0</v>
      </c>
      <c r="M461" s="176" t="s">
        <v>148</v>
      </c>
      <c r="N461" s="176" t="s">
        <v>149</v>
      </c>
      <c r="O461" s="176" t="s">
        <v>150</v>
      </c>
      <c r="P461" s="176" t="s">
        <v>151</v>
      </c>
      <c r="Q461" s="176"/>
      <c r="R461" s="176" t="s">
        <v>4774</v>
      </c>
      <c r="S461" s="176"/>
      <c r="T461" s="176" t="s">
        <v>2920</v>
      </c>
      <c r="U461" s="176" t="s">
        <v>152</v>
      </c>
      <c r="V461" s="176" t="s">
        <v>23</v>
      </c>
    </row>
    <row r="462" spans="2:22" ht="12" customHeight="1">
      <c r="B462" s="211">
        <v>46212</v>
      </c>
      <c r="C462" s="211">
        <v>46212</v>
      </c>
      <c r="D462" s="176" t="s">
        <v>4775</v>
      </c>
      <c r="E462" s="176" t="s">
        <v>4776</v>
      </c>
      <c r="F462" s="176" t="s">
        <v>87</v>
      </c>
      <c r="G462" s="176" t="s">
        <v>2485</v>
      </c>
      <c r="H462" s="176">
        <v>30</v>
      </c>
      <c r="I462" s="176">
        <v>14.3</v>
      </c>
      <c r="J462" s="176">
        <v>14.3</v>
      </c>
      <c r="K462" s="176">
        <v>4</v>
      </c>
      <c r="L462" s="176">
        <v>0</v>
      </c>
      <c r="M462" s="176" t="s">
        <v>148</v>
      </c>
      <c r="N462" s="176" t="s">
        <v>149</v>
      </c>
      <c r="O462" s="176" t="s">
        <v>150</v>
      </c>
      <c r="P462" s="176" t="s">
        <v>151</v>
      </c>
      <c r="Q462" s="176"/>
      <c r="R462" s="176" t="s">
        <v>4776</v>
      </c>
      <c r="S462" s="176"/>
      <c r="T462" s="176" t="s">
        <v>2920</v>
      </c>
      <c r="U462" s="176" t="s">
        <v>152</v>
      </c>
      <c r="V462" s="176" t="s">
        <v>23</v>
      </c>
    </row>
    <row r="463" spans="2:22" ht="12" customHeight="1">
      <c r="B463" s="211">
        <v>46212</v>
      </c>
      <c r="C463" s="211">
        <v>46212</v>
      </c>
      <c r="D463" s="176" t="s">
        <v>4777</v>
      </c>
      <c r="E463" s="176" t="s">
        <v>4778</v>
      </c>
      <c r="F463" s="176" t="s">
        <v>87</v>
      </c>
      <c r="G463" s="176" t="s">
        <v>4734</v>
      </c>
      <c r="H463" s="176">
        <v>60</v>
      </c>
      <c r="I463" s="176">
        <v>39</v>
      </c>
      <c r="J463" s="176">
        <v>39</v>
      </c>
      <c r="K463" s="176">
        <v>5</v>
      </c>
      <c r="L463" s="176">
        <v>0</v>
      </c>
      <c r="M463" s="176" t="s">
        <v>148</v>
      </c>
      <c r="N463" s="176" t="s">
        <v>149</v>
      </c>
      <c r="O463" s="176" t="s">
        <v>150</v>
      </c>
      <c r="P463" s="176" t="s">
        <v>151</v>
      </c>
      <c r="Q463" s="176"/>
      <c r="R463" s="176" t="s">
        <v>4778</v>
      </c>
      <c r="S463" s="176"/>
      <c r="T463" s="176" t="s">
        <v>2920</v>
      </c>
      <c r="U463" s="176" t="s">
        <v>152</v>
      </c>
      <c r="V463" s="176" t="s">
        <v>23</v>
      </c>
    </row>
    <row r="464" spans="2:22" ht="12" customHeight="1">
      <c r="B464" s="211">
        <v>46212</v>
      </c>
      <c r="C464" s="211">
        <v>46212</v>
      </c>
      <c r="D464" s="176" t="s">
        <v>4779</v>
      </c>
      <c r="E464" s="176" t="s">
        <v>4780</v>
      </c>
      <c r="F464" s="176" t="s">
        <v>87</v>
      </c>
      <c r="G464" s="176" t="s">
        <v>2486</v>
      </c>
      <c r="H464" s="176">
        <v>40</v>
      </c>
      <c r="I464" s="176">
        <v>37.799999999999997</v>
      </c>
      <c r="J464" s="176">
        <v>37.799999999999997</v>
      </c>
      <c r="K464" s="176">
        <v>5</v>
      </c>
      <c r="L464" s="176">
        <v>0</v>
      </c>
      <c r="M464" s="176" t="s">
        <v>148</v>
      </c>
      <c r="N464" s="176" t="s">
        <v>149</v>
      </c>
      <c r="O464" s="176" t="s">
        <v>150</v>
      </c>
      <c r="P464" s="176" t="s">
        <v>151</v>
      </c>
      <c r="Q464" s="176"/>
      <c r="R464" s="176" t="s">
        <v>4780</v>
      </c>
      <c r="S464" s="176"/>
      <c r="T464" s="176" t="s">
        <v>2920</v>
      </c>
      <c r="U464" s="176" t="s">
        <v>152</v>
      </c>
      <c r="V464" s="176" t="s">
        <v>23</v>
      </c>
    </row>
    <row r="465" spans="2:22" ht="12" customHeight="1">
      <c r="B465" s="211">
        <v>46212</v>
      </c>
      <c r="C465" s="211">
        <v>46212</v>
      </c>
      <c r="D465" s="176" t="s">
        <v>4781</v>
      </c>
      <c r="E465" s="176" t="s">
        <v>4782</v>
      </c>
      <c r="F465" s="176" t="s">
        <v>87</v>
      </c>
      <c r="G465" s="176" t="s">
        <v>2001</v>
      </c>
      <c r="H465" s="176">
        <v>6</v>
      </c>
      <c r="I465" s="176">
        <v>30</v>
      </c>
      <c r="J465" s="176">
        <v>30</v>
      </c>
      <c r="K465" s="176">
        <v>1.5</v>
      </c>
      <c r="L465" s="176">
        <v>0</v>
      </c>
      <c r="M465" s="176" t="s">
        <v>148</v>
      </c>
      <c r="N465" s="176" t="s">
        <v>149</v>
      </c>
      <c r="O465" s="176" t="s">
        <v>150</v>
      </c>
      <c r="P465" s="176" t="s">
        <v>151</v>
      </c>
      <c r="Q465" s="176"/>
      <c r="R465" s="176" t="s">
        <v>4782</v>
      </c>
      <c r="S465" s="176"/>
      <c r="T465" s="176" t="s">
        <v>2920</v>
      </c>
      <c r="U465" s="176" t="s">
        <v>152</v>
      </c>
      <c r="V465" s="176" t="s">
        <v>23</v>
      </c>
    </row>
    <row r="466" spans="2:22" ht="12" customHeight="1">
      <c r="B466" s="211">
        <v>46212</v>
      </c>
      <c r="C466" s="211">
        <v>46212</v>
      </c>
      <c r="D466" s="176" t="s">
        <v>4783</v>
      </c>
      <c r="E466" s="176" t="s">
        <v>4784</v>
      </c>
      <c r="F466" s="176" t="s">
        <v>87</v>
      </c>
      <c r="G466" s="176" t="s">
        <v>2552</v>
      </c>
      <c r="H466" s="176">
        <v>40</v>
      </c>
      <c r="I466" s="176">
        <v>32.799999999999997</v>
      </c>
      <c r="J466" s="176">
        <v>32.799999999999997</v>
      </c>
      <c r="K466" s="176">
        <v>5</v>
      </c>
      <c r="L466" s="176">
        <v>0</v>
      </c>
      <c r="M466" s="176" t="s">
        <v>148</v>
      </c>
      <c r="N466" s="176" t="s">
        <v>149</v>
      </c>
      <c r="O466" s="176" t="s">
        <v>150</v>
      </c>
      <c r="P466" s="176" t="s">
        <v>151</v>
      </c>
      <c r="Q466" s="176"/>
      <c r="R466" s="176" t="s">
        <v>4784</v>
      </c>
      <c r="S466" s="176"/>
      <c r="T466" s="176" t="s">
        <v>2920</v>
      </c>
      <c r="U466" s="176" t="s">
        <v>152</v>
      </c>
      <c r="V466" s="176" t="s">
        <v>23</v>
      </c>
    </row>
    <row r="467" spans="2:22" ht="12" customHeight="1">
      <c r="B467" s="211">
        <v>46212</v>
      </c>
      <c r="C467" s="211">
        <v>46212</v>
      </c>
      <c r="D467" s="176" t="s">
        <v>4785</v>
      </c>
      <c r="E467" s="176" t="s">
        <v>4786</v>
      </c>
      <c r="F467" s="176" t="s">
        <v>87</v>
      </c>
      <c r="G467" s="176" t="s">
        <v>2639</v>
      </c>
      <c r="H467" s="176">
        <v>25</v>
      </c>
      <c r="I467" s="176">
        <v>36.200000000000003</v>
      </c>
      <c r="J467" s="176">
        <v>36.200000000000003</v>
      </c>
      <c r="K467" s="176">
        <v>4</v>
      </c>
      <c r="L467" s="176">
        <v>0</v>
      </c>
      <c r="M467" s="176" t="s">
        <v>148</v>
      </c>
      <c r="N467" s="176" t="s">
        <v>149</v>
      </c>
      <c r="O467" s="176" t="s">
        <v>150</v>
      </c>
      <c r="P467" s="176" t="s">
        <v>151</v>
      </c>
      <c r="Q467" s="176"/>
      <c r="R467" s="176" t="s">
        <v>4786</v>
      </c>
      <c r="S467" s="176"/>
      <c r="T467" s="176" t="s">
        <v>2920</v>
      </c>
      <c r="U467" s="176" t="s">
        <v>152</v>
      </c>
      <c r="V467" s="176" t="s">
        <v>23</v>
      </c>
    </row>
    <row r="468" spans="2:22" ht="12" customHeight="1">
      <c r="B468" s="211">
        <v>46212</v>
      </c>
      <c r="C468" s="211">
        <v>46212</v>
      </c>
      <c r="D468" s="176" t="s">
        <v>4787</v>
      </c>
      <c r="E468" s="176" t="s">
        <v>4788</v>
      </c>
      <c r="F468" s="176" t="s">
        <v>87</v>
      </c>
      <c r="G468" s="176" t="s">
        <v>2552</v>
      </c>
      <c r="H468" s="176">
        <v>40</v>
      </c>
      <c r="I468" s="176">
        <v>41.6</v>
      </c>
      <c r="J468" s="176">
        <v>41.6</v>
      </c>
      <c r="K468" s="176">
        <v>5</v>
      </c>
      <c r="L468" s="176">
        <v>0</v>
      </c>
      <c r="M468" s="176" t="s">
        <v>148</v>
      </c>
      <c r="N468" s="176" t="s">
        <v>149</v>
      </c>
      <c r="O468" s="176" t="s">
        <v>150</v>
      </c>
      <c r="P468" s="176" t="s">
        <v>151</v>
      </c>
      <c r="Q468" s="176"/>
      <c r="R468" s="176" t="s">
        <v>4788</v>
      </c>
      <c r="S468" s="176"/>
      <c r="T468" s="176" t="s">
        <v>2920</v>
      </c>
      <c r="U468" s="176" t="s">
        <v>152</v>
      </c>
      <c r="V468" s="176" t="s">
        <v>23</v>
      </c>
    </row>
    <row r="469" spans="2:22" ht="12" customHeight="1">
      <c r="B469" s="211">
        <v>46212</v>
      </c>
      <c r="C469" s="211">
        <v>46212</v>
      </c>
      <c r="D469" s="176" t="s">
        <v>4789</v>
      </c>
      <c r="E469" s="176" t="s">
        <v>4790</v>
      </c>
      <c r="F469" s="176" t="s">
        <v>87</v>
      </c>
      <c r="G469" s="176" t="s">
        <v>4734</v>
      </c>
      <c r="H469" s="176">
        <v>60</v>
      </c>
      <c r="I469" s="176">
        <v>31.8</v>
      </c>
      <c r="J469" s="176">
        <v>31.8</v>
      </c>
      <c r="K469" s="176">
        <v>5</v>
      </c>
      <c r="L469" s="176">
        <v>0</v>
      </c>
      <c r="M469" s="176" t="s">
        <v>148</v>
      </c>
      <c r="N469" s="176" t="s">
        <v>149</v>
      </c>
      <c r="O469" s="176" t="s">
        <v>150</v>
      </c>
      <c r="P469" s="176" t="s">
        <v>151</v>
      </c>
      <c r="Q469" s="176"/>
      <c r="R469" s="176" t="s">
        <v>4790</v>
      </c>
      <c r="S469" s="176"/>
      <c r="T469" s="176" t="s">
        <v>2920</v>
      </c>
      <c r="U469" s="176" t="s">
        <v>152</v>
      </c>
      <c r="V469" s="176" t="s">
        <v>23</v>
      </c>
    </row>
    <row r="470" spans="2:22" ht="12" customHeight="1">
      <c r="B470" s="211">
        <v>46212</v>
      </c>
      <c r="C470" s="211">
        <v>46212</v>
      </c>
      <c r="D470" s="176" t="s">
        <v>4791</v>
      </c>
      <c r="E470" s="176" t="s">
        <v>4792</v>
      </c>
      <c r="F470" s="176" t="s">
        <v>87</v>
      </c>
      <c r="G470" s="176" t="s">
        <v>2552</v>
      </c>
      <c r="H470" s="176">
        <v>40</v>
      </c>
      <c r="I470" s="176">
        <v>32.6</v>
      </c>
      <c r="J470" s="176">
        <v>32.6</v>
      </c>
      <c r="K470" s="176">
        <v>5</v>
      </c>
      <c r="L470" s="176">
        <v>0</v>
      </c>
      <c r="M470" s="176" t="s">
        <v>148</v>
      </c>
      <c r="N470" s="176" t="s">
        <v>149</v>
      </c>
      <c r="O470" s="176" t="s">
        <v>150</v>
      </c>
      <c r="P470" s="176" t="s">
        <v>151</v>
      </c>
      <c r="Q470" s="176"/>
      <c r="R470" s="176" t="s">
        <v>4792</v>
      </c>
      <c r="S470" s="176"/>
      <c r="T470" s="176" t="s">
        <v>2920</v>
      </c>
      <c r="U470" s="176" t="s">
        <v>152</v>
      </c>
      <c r="V470" s="176" t="s">
        <v>23</v>
      </c>
    </row>
    <row r="471" spans="2:22" ht="12" customHeight="1">
      <c r="B471" s="211">
        <v>46212</v>
      </c>
      <c r="C471" s="211">
        <v>46212</v>
      </c>
      <c r="D471" s="176" t="s">
        <v>4793</v>
      </c>
      <c r="E471" s="176" t="s">
        <v>4794</v>
      </c>
      <c r="F471" s="176" t="s">
        <v>87</v>
      </c>
      <c r="G471" s="176" t="s">
        <v>2486</v>
      </c>
      <c r="H471" s="176">
        <v>40</v>
      </c>
      <c r="I471" s="176">
        <v>16.399999999999999</v>
      </c>
      <c r="J471" s="176">
        <v>16.399999999999999</v>
      </c>
      <c r="K471" s="176">
        <v>5</v>
      </c>
      <c r="L471" s="176">
        <v>0</v>
      </c>
      <c r="M471" s="176" t="s">
        <v>148</v>
      </c>
      <c r="N471" s="176" t="s">
        <v>149</v>
      </c>
      <c r="O471" s="176" t="s">
        <v>150</v>
      </c>
      <c r="P471" s="176" t="s">
        <v>151</v>
      </c>
      <c r="Q471" s="176"/>
      <c r="R471" s="176" t="s">
        <v>4794</v>
      </c>
      <c r="S471" s="176"/>
      <c r="T471" s="176" t="s">
        <v>2920</v>
      </c>
      <c r="U471" s="176" t="s">
        <v>152</v>
      </c>
      <c r="V471" s="176" t="s">
        <v>23</v>
      </c>
    </row>
    <row r="472" spans="2:22" ht="12" customHeight="1">
      <c r="B472" s="211">
        <v>46212</v>
      </c>
      <c r="C472" s="211">
        <v>46212</v>
      </c>
      <c r="D472" s="176" t="s">
        <v>4795</v>
      </c>
      <c r="E472" s="176" t="s">
        <v>4796</v>
      </c>
      <c r="F472" s="176" t="s">
        <v>87</v>
      </c>
      <c r="G472" s="176" t="s">
        <v>2001</v>
      </c>
      <c r="H472" s="176">
        <v>6</v>
      </c>
      <c r="I472" s="176">
        <v>13.8</v>
      </c>
      <c r="J472" s="176">
        <v>13.8</v>
      </c>
      <c r="K472" s="176">
        <v>1.5</v>
      </c>
      <c r="L472" s="176">
        <v>0</v>
      </c>
      <c r="M472" s="176" t="s">
        <v>148</v>
      </c>
      <c r="N472" s="176" t="s">
        <v>149</v>
      </c>
      <c r="O472" s="176" t="s">
        <v>150</v>
      </c>
      <c r="P472" s="176" t="s">
        <v>151</v>
      </c>
      <c r="Q472" s="176"/>
      <c r="R472" s="176" t="s">
        <v>4796</v>
      </c>
      <c r="S472" s="176"/>
      <c r="T472" s="176" t="s">
        <v>2920</v>
      </c>
      <c r="U472" s="176" t="s">
        <v>152</v>
      </c>
      <c r="V472" s="176" t="s">
        <v>23</v>
      </c>
    </row>
    <row r="473" spans="2:22" ht="12" customHeight="1">
      <c r="B473" s="211">
        <v>46212</v>
      </c>
      <c r="C473" s="211">
        <v>46212</v>
      </c>
      <c r="D473" s="176" t="s">
        <v>4797</v>
      </c>
      <c r="E473" s="176" t="s">
        <v>4798</v>
      </c>
      <c r="F473" s="176" t="s">
        <v>87</v>
      </c>
      <c r="G473" s="176" t="s">
        <v>2552</v>
      </c>
      <c r="H473" s="176">
        <v>40</v>
      </c>
      <c r="I473" s="176">
        <v>19.899999999999999</v>
      </c>
      <c r="J473" s="176">
        <v>19.899999999999999</v>
      </c>
      <c r="K473" s="176">
        <v>5</v>
      </c>
      <c r="L473" s="176">
        <v>0</v>
      </c>
      <c r="M473" s="176" t="s">
        <v>148</v>
      </c>
      <c r="N473" s="176" t="s">
        <v>149</v>
      </c>
      <c r="O473" s="176" t="s">
        <v>150</v>
      </c>
      <c r="P473" s="176" t="s">
        <v>151</v>
      </c>
      <c r="Q473" s="176"/>
      <c r="R473" s="176" t="s">
        <v>4798</v>
      </c>
      <c r="S473" s="176"/>
      <c r="T473" s="176" t="s">
        <v>2920</v>
      </c>
      <c r="U473" s="176" t="s">
        <v>152</v>
      </c>
      <c r="V473" s="176" t="s">
        <v>23</v>
      </c>
    </row>
    <row r="474" spans="2:22" ht="12" customHeight="1">
      <c r="B474" s="211">
        <v>46212</v>
      </c>
      <c r="C474" s="211">
        <v>46212</v>
      </c>
      <c r="D474" s="176" t="s">
        <v>4799</v>
      </c>
      <c r="E474" s="176" t="s">
        <v>4800</v>
      </c>
      <c r="F474" s="176" t="s">
        <v>87</v>
      </c>
      <c r="G474" s="176" t="s">
        <v>2639</v>
      </c>
      <c r="H474" s="176">
        <v>25</v>
      </c>
      <c r="I474" s="176">
        <v>11.8</v>
      </c>
      <c r="J474" s="176">
        <v>11.8</v>
      </c>
      <c r="K474" s="176">
        <v>4</v>
      </c>
      <c r="L474" s="176">
        <v>0</v>
      </c>
      <c r="M474" s="176" t="s">
        <v>148</v>
      </c>
      <c r="N474" s="176" t="s">
        <v>149</v>
      </c>
      <c r="O474" s="176" t="s">
        <v>150</v>
      </c>
      <c r="P474" s="176" t="s">
        <v>151</v>
      </c>
      <c r="Q474" s="176"/>
      <c r="R474" s="176" t="s">
        <v>4800</v>
      </c>
      <c r="S474" s="176"/>
      <c r="T474" s="176" t="s">
        <v>2920</v>
      </c>
      <c r="U474" s="176" t="s">
        <v>152</v>
      </c>
      <c r="V474" s="176" t="s">
        <v>23</v>
      </c>
    </row>
    <row r="475" spans="2:22" ht="12" customHeight="1">
      <c r="B475" s="211">
        <v>46212</v>
      </c>
      <c r="C475" s="211">
        <v>46212</v>
      </c>
      <c r="D475" s="176" t="s">
        <v>4801</v>
      </c>
      <c r="E475" s="176" t="s">
        <v>4802</v>
      </c>
      <c r="F475" s="176" t="s">
        <v>87</v>
      </c>
      <c r="G475" s="176" t="s">
        <v>2639</v>
      </c>
      <c r="H475" s="176">
        <v>25</v>
      </c>
      <c r="I475" s="176">
        <v>31.3</v>
      </c>
      <c r="J475" s="176">
        <v>31.3</v>
      </c>
      <c r="K475" s="176">
        <v>4</v>
      </c>
      <c r="L475" s="176">
        <v>0</v>
      </c>
      <c r="M475" s="176" t="s">
        <v>148</v>
      </c>
      <c r="N475" s="176" t="s">
        <v>149</v>
      </c>
      <c r="O475" s="176" t="s">
        <v>150</v>
      </c>
      <c r="P475" s="176" t="s">
        <v>151</v>
      </c>
      <c r="Q475" s="176"/>
      <c r="R475" s="176" t="s">
        <v>4802</v>
      </c>
      <c r="S475" s="176"/>
      <c r="T475" s="176" t="s">
        <v>2920</v>
      </c>
      <c r="U475" s="176" t="s">
        <v>152</v>
      </c>
      <c r="V475" s="176" t="s">
        <v>23</v>
      </c>
    </row>
    <row r="476" spans="2:22" ht="12" customHeight="1">
      <c r="B476" s="211">
        <v>46212</v>
      </c>
      <c r="C476" s="211">
        <v>46212</v>
      </c>
      <c r="D476" s="176" t="s">
        <v>4803</v>
      </c>
      <c r="E476" s="176" t="s">
        <v>4804</v>
      </c>
      <c r="F476" s="176" t="s">
        <v>87</v>
      </c>
      <c r="G476" s="176" t="s">
        <v>2486</v>
      </c>
      <c r="H476" s="176">
        <v>40</v>
      </c>
      <c r="I476" s="176">
        <v>17.8</v>
      </c>
      <c r="J476" s="176">
        <v>17.8</v>
      </c>
      <c r="K476" s="176">
        <v>5</v>
      </c>
      <c r="L476" s="176">
        <v>0</v>
      </c>
      <c r="M476" s="176" t="s">
        <v>148</v>
      </c>
      <c r="N476" s="176" t="s">
        <v>149</v>
      </c>
      <c r="O476" s="176" t="s">
        <v>150</v>
      </c>
      <c r="P476" s="176" t="s">
        <v>151</v>
      </c>
      <c r="Q476" s="176"/>
      <c r="R476" s="176" t="s">
        <v>4804</v>
      </c>
      <c r="S476" s="176"/>
      <c r="T476" s="176" t="s">
        <v>2920</v>
      </c>
      <c r="U476" s="176" t="s">
        <v>152</v>
      </c>
      <c r="V476" s="176" t="s">
        <v>23</v>
      </c>
    </row>
    <row r="477" spans="2:22" ht="12" customHeight="1">
      <c r="B477" s="211">
        <v>46212</v>
      </c>
      <c r="C477" s="211">
        <v>46212</v>
      </c>
      <c r="D477" s="176" t="s">
        <v>4805</v>
      </c>
      <c r="E477" s="176" t="s">
        <v>4806</v>
      </c>
      <c r="F477" s="176" t="s">
        <v>87</v>
      </c>
      <c r="G477" s="176" t="s">
        <v>2001</v>
      </c>
      <c r="H477" s="176">
        <v>6</v>
      </c>
      <c r="I477" s="176">
        <v>23.9</v>
      </c>
      <c r="J477" s="176">
        <v>23.9</v>
      </c>
      <c r="K477" s="176">
        <v>1.5</v>
      </c>
      <c r="L477" s="176">
        <v>0</v>
      </c>
      <c r="M477" s="176" t="s">
        <v>148</v>
      </c>
      <c r="N477" s="176" t="s">
        <v>149</v>
      </c>
      <c r="O477" s="176" t="s">
        <v>150</v>
      </c>
      <c r="P477" s="176" t="s">
        <v>151</v>
      </c>
      <c r="Q477" s="176"/>
      <c r="R477" s="176" t="s">
        <v>4806</v>
      </c>
      <c r="S477" s="176"/>
      <c r="T477" s="176" t="s">
        <v>2920</v>
      </c>
      <c r="U477" s="176" t="s">
        <v>152</v>
      </c>
      <c r="V477" s="176" t="s">
        <v>23</v>
      </c>
    </row>
    <row r="478" spans="2:22" ht="12" customHeight="1">
      <c r="B478" s="211">
        <v>46212</v>
      </c>
      <c r="C478" s="211">
        <v>46212</v>
      </c>
      <c r="D478" s="176" t="s">
        <v>4807</v>
      </c>
      <c r="E478" s="176" t="s">
        <v>4808</v>
      </c>
      <c r="F478" s="176" t="s">
        <v>87</v>
      </c>
      <c r="G478" s="176" t="s">
        <v>2485</v>
      </c>
      <c r="H478" s="176">
        <v>30</v>
      </c>
      <c r="I478" s="176">
        <v>37</v>
      </c>
      <c r="J478" s="176">
        <v>37</v>
      </c>
      <c r="K478" s="176">
        <v>4</v>
      </c>
      <c r="L478" s="176">
        <v>0</v>
      </c>
      <c r="M478" s="176" t="s">
        <v>148</v>
      </c>
      <c r="N478" s="176" t="s">
        <v>149</v>
      </c>
      <c r="O478" s="176" t="s">
        <v>150</v>
      </c>
      <c r="P478" s="176" t="s">
        <v>151</v>
      </c>
      <c r="Q478" s="176"/>
      <c r="R478" s="176" t="s">
        <v>4808</v>
      </c>
      <c r="S478" s="176"/>
      <c r="T478" s="176" t="s">
        <v>2920</v>
      </c>
      <c r="U478" s="176" t="s">
        <v>152</v>
      </c>
      <c r="V478" s="176" t="s">
        <v>23</v>
      </c>
    </row>
    <row r="479" spans="2:22" ht="12" customHeight="1">
      <c r="B479" s="211">
        <v>46212</v>
      </c>
      <c r="C479" s="211">
        <v>46212</v>
      </c>
      <c r="D479" s="176" t="s">
        <v>4809</v>
      </c>
      <c r="E479" s="176" t="s">
        <v>4810</v>
      </c>
      <c r="F479" s="176" t="s">
        <v>87</v>
      </c>
      <c r="G479" s="176" t="s">
        <v>2552</v>
      </c>
      <c r="H479" s="176">
        <v>40</v>
      </c>
      <c r="I479" s="176">
        <v>34.5</v>
      </c>
      <c r="J479" s="176">
        <v>34.5</v>
      </c>
      <c r="K479" s="176">
        <v>5</v>
      </c>
      <c r="L479" s="176">
        <v>0</v>
      </c>
      <c r="M479" s="176" t="s">
        <v>148</v>
      </c>
      <c r="N479" s="176" t="s">
        <v>149</v>
      </c>
      <c r="O479" s="176" t="s">
        <v>150</v>
      </c>
      <c r="P479" s="176" t="s">
        <v>151</v>
      </c>
      <c r="Q479" s="176"/>
      <c r="R479" s="176" t="s">
        <v>4810</v>
      </c>
      <c r="S479" s="176"/>
      <c r="T479" s="176" t="s">
        <v>2920</v>
      </c>
      <c r="U479" s="176" t="s">
        <v>152</v>
      </c>
      <c r="V479" s="176" t="s">
        <v>23</v>
      </c>
    </row>
    <row r="480" spans="2:22" ht="12" customHeight="1">
      <c r="B480" s="211">
        <v>46212</v>
      </c>
      <c r="C480" s="211">
        <v>46212</v>
      </c>
      <c r="D480" s="176" t="s">
        <v>4811</v>
      </c>
      <c r="E480" s="176" t="s">
        <v>4812</v>
      </c>
      <c r="F480" s="176" t="s">
        <v>87</v>
      </c>
      <c r="G480" s="176" t="s">
        <v>2552</v>
      </c>
      <c r="H480" s="176">
        <v>40</v>
      </c>
      <c r="I480" s="176">
        <v>43.3</v>
      </c>
      <c r="J480" s="176">
        <v>43.3</v>
      </c>
      <c r="K480" s="176">
        <v>5</v>
      </c>
      <c r="L480" s="176">
        <v>0</v>
      </c>
      <c r="M480" s="176" t="s">
        <v>148</v>
      </c>
      <c r="N480" s="176" t="s">
        <v>149</v>
      </c>
      <c r="O480" s="176" t="s">
        <v>150</v>
      </c>
      <c r="P480" s="176" t="s">
        <v>151</v>
      </c>
      <c r="Q480" s="176"/>
      <c r="R480" s="176" t="s">
        <v>4812</v>
      </c>
      <c r="S480" s="176"/>
      <c r="T480" s="176" t="s">
        <v>2920</v>
      </c>
      <c r="U480" s="176" t="s">
        <v>152</v>
      </c>
      <c r="V480" s="176" t="s">
        <v>23</v>
      </c>
    </row>
    <row r="481" spans="2:22" ht="12" customHeight="1">
      <c r="B481" s="211">
        <v>46212</v>
      </c>
      <c r="C481" s="211">
        <v>46212</v>
      </c>
      <c r="D481" s="176" t="s">
        <v>4813</v>
      </c>
      <c r="E481" s="176" t="s">
        <v>4814</v>
      </c>
      <c r="F481" s="176" t="s">
        <v>87</v>
      </c>
      <c r="G481" s="176" t="s">
        <v>2552</v>
      </c>
      <c r="H481" s="176">
        <v>40</v>
      </c>
      <c r="I481" s="176">
        <v>32.799999999999997</v>
      </c>
      <c r="J481" s="176">
        <v>32.799999999999997</v>
      </c>
      <c r="K481" s="176">
        <v>5</v>
      </c>
      <c r="L481" s="176">
        <v>0</v>
      </c>
      <c r="M481" s="176" t="s">
        <v>148</v>
      </c>
      <c r="N481" s="176" t="s">
        <v>149</v>
      </c>
      <c r="O481" s="176" t="s">
        <v>150</v>
      </c>
      <c r="P481" s="176" t="s">
        <v>151</v>
      </c>
      <c r="Q481" s="176"/>
      <c r="R481" s="176" t="s">
        <v>4814</v>
      </c>
      <c r="S481" s="176"/>
      <c r="T481" s="176" t="s">
        <v>2920</v>
      </c>
      <c r="U481" s="176" t="s">
        <v>152</v>
      </c>
      <c r="V481" s="176" t="s">
        <v>23</v>
      </c>
    </row>
    <row r="482" spans="2:22" ht="12" customHeight="1">
      <c r="B482" s="211">
        <v>46212</v>
      </c>
      <c r="C482" s="211">
        <v>46212</v>
      </c>
      <c r="D482" s="176" t="s">
        <v>4815</v>
      </c>
      <c r="E482" s="176" t="s">
        <v>4816</v>
      </c>
      <c r="F482" s="176" t="s">
        <v>87</v>
      </c>
      <c r="G482" s="176" t="s">
        <v>2639</v>
      </c>
      <c r="H482" s="176">
        <v>25</v>
      </c>
      <c r="I482" s="176">
        <v>18.8</v>
      </c>
      <c r="J482" s="176">
        <v>18.8</v>
      </c>
      <c r="K482" s="176">
        <v>4</v>
      </c>
      <c r="L482" s="176">
        <v>0</v>
      </c>
      <c r="M482" s="176" t="s">
        <v>148</v>
      </c>
      <c r="N482" s="176" t="s">
        <v>149</v>
      </c>
      <c r="O482" s="176" t="s">
        <v>150</v>
      </c>
      <c r="P482" s="176" t="s">
        <v>151</v>
      </c>
      <c r="Q482" s="176"/>
      <c r="R482" s="176" t="s">
        <v>4816</v>
      </c>
      <c r="S482" s="176"/>
      <c r="T482" s="176" t="s">
        <v>2920</v>
      </c>
      <c r="U482" s="176" t="s">
        <v>152</v>
      </c>
      <c r="V482" s="176" t="s">
        <v>23</v>
      </c>
    </row>
    <row r="483" spans="2:22" ht="12" customHeight="1">
      <c r="B483" s="211">
        <v>46212</v>
      </c>
      <c r="C483" s="211">
        <v>46212</v>
      </c>
      <c r="D483" s="176" t="s">
        <v>4817</v>
      </c>
      <c r="E483" s="176" t="s">
        <v>4818</v>
      </c>
      <c r="F483" s="176" t="s">
        <v>87</v>
      </c>
      <c r="G483" s="176" t="s">
        <v>2486</v>
      </c>
      <c r="H483" s="176">
        <v>40</v>
      </c>
      <c r="I483" s="176">
        <v>29.8</v>
      </c>
      <c r="J483" s="176">
        <v>29.8</v>
      </c>
      <c r="K483" s="176">
        <v>5</v>
      </c>
      <c r="L483" s="176">
        <v>0</v>
      </c>
      <c r="M483" s="176" t="s">
        <v>148</v>
      </c>
      <c r="N483" s="176" t="s">
        <v>149</v>
      </c>
      <c r="O483" s="176" t="s">
        <v>150</v>
      </c>
      <c r="P483" s="176" t="s">
        <v>151</v>
      </c>
      <c r="Q483" s="176"/>
      <c r="R483" s="176" t="s">
        <v>4818</v>
      </c>
      <c r="S483" s="176"/>
      <c r="T483" s="176" t="s">
        <v>2920</v>
      </c>
      <c r="U483" s="176" t="s">
        <v>152</v>
      </c>
      <c r="V483" s="176" t="s">
        <v>23</v>
      </c>
    </row>
    <row r="484" spans="2:22" ht="12" customHeight="1">
      <c r="B484" s="211">
        <v>46212</v>
      </c>
      <c r="C484" s="211">
        <v>46212</v>
      </c>
      <c r="D484" s="176" t="s">
        <v>4819</v>
      </c>
      <c r="E484" s="176" t="s">
        <v>4820</v>
      </c>
      <c r="F484" s="176" t="s">
        <v>87</v>
      </c>
      <c r="G484" s="176" t="s">
        <v>2552</v>
      </c>
      <c r="H484" s="176">
        <v>40</v>
      </c>
      <c r="I484" s="176">
        <v>38.200000000000003</v>
      </c>
      <c r="J484" s="176">
        <v>38.200000000000003</v>
      </c>
      <c r="K484" s="176">
        <v>5</v>
      </c>
      <c r="L484" s="176">
        <v>0</v>
      </c>
      <c r="M484" s="176" t="s">
        <v>148</v>
      </c>
      <c r="N484" s="176" t="s">
        <v>149</v>
      </c>
      <c r="O484" s="176" t="s">
        <v>150</v>
      </c>
      <c r="P484" s="176" t="s">
        <v>151</v>
      </c>
      <c r="Q484" s="176"/>
      <c r="R484" s="176" t="s">
        <v>4820</v>
      </c>
      <c r="S484" s="176"/>
      <c r="T484" s="176" t="s">
        <v>2920</v>
      </c>
      <c r="U484" s="176" t="s">
        <v>152</v>
      </c>
      <c r="V484" s="176" t="s">
        <v>23</v>
      </c>
    </row>
    <row r="485" spans="2:22" ht="12" customHeight="1">
      <c r="B485" s="211">
        <v>46212</v>
      </c>
      <c r="C485" s="211">
        <v>46212</v>
      </c>
      <c r="D485" s="176" t="s">
        <v>4821</v>
      </c>
      <c r="E485" s="176" t="s">
        <v>4822</v>
      </c>
      <c r="F485" s="176" t="s">
        <v>87</v>
      </c>
      <c r="G485" s="176" t="s">
        <v>3866</v>
      </c>
      <c r="H485" s="176">
        <v>40</v>
      </c>
      <c r="I485" s="176">
        <v>28.4</v>
      </c>
      <c r="J485" s="176">
        <v>28.4</v>
      </c>
      <c r="K485" s="176">
        <v>5</v>
      </c>
      <c r="L485" s="176">
        <v>0</v>
      </c>
      <c r="M485" s="176" t="s">
        <v>148</v>
      </c>
      <c r="N485" s="176" t="s">
        <v>149</v>
      </c>
      <c r="O485" s="176" t="s">
        <v>150</v>
      </c>
      <c r="P485" s="176" t="s">
        <v>151</v>
      </c>
      <c r="Q485" s="176"/>
      <c r="R485" s="176" t="s">
        <v>4822</v>
      </c>
      <c r="S485" s="176"/>
      <c r="T485" s="176" t="s">
        <v>2920</v>
      </c>
      <c r="U485" s="176" t="s">
        <v>152</v>
      </c>
      <c r="V485" s="176" t="s">
        <v>23</v>
      </c>
    </row>
    <row r="486" spans="2:22" ht="12" customHeight="1">
      <c r="B486" s="211">
        <v>46212</v>
      </c>
      <c r="C486" s="211">
        <v>46212</v>
      </c>
      <c r="D486" s="176" t="s">
        <v>4823</v>
      </c>
      <c r="E486" s="176" t="s">
        <v>4824</v>
      </c>
      <c r="F486" s="176" t="s">
        <v>87</v>
      </c>
      <c r="G486" s="176" t="s">
        <v>2119</v>
      </c>
      <c r="H486" s="176">
        <v>6</v>
      </c>
      <c r="I486" s="176">
        <v>9.8000000000000007</v>
      </c>
      <c r="J486" s="176">
        <v>9.8000000000000007</v>
      </c>
      <c r="K486" s="176">
        <v>1.5</v>
      </c>
      <c r="L486" s="176">
        <v>0</v>
      </c>
      <c r="M486" s="176" t="s">
        <v>148</v>
      </c>
      <c r="N486" s="176" t="s">
        <v>149</v>
      </c>
      <c r="O486" s="176" t="s">
        <v>150</v>
      </c>
      <c r="P486" s="176" t="s">
        <v>151</v>
      </c>
      <c r="Q486" s="176"/>
      <c r="R486" s="176" t="s">
        <v>4824</v>
      </c>
      <c r="S486" s="176"/>
      <c r="T486" s="176" t="s">
        <v>2920</v>
      </c>
      <c r="U486" s="176" t="s">
        <v>152</v>
      </c>
      <c r="V486" s="176" t="s">
        <v>23</v>
      </c>
    </row>
    <row r="487" spans="2:22" ht="12" customHeight="1">
      <c r="B487" s="211">
        <v>46212</v>
      </c>
      <c r="C487" s="211">
        <v>46212</v>
      </c>
      <c r="D487" s="176" t="s">
        <v>4825</v>
      </c>
      <c r="E487" s="176" t="s">
        <v>4826</v>
      </c>
      <c r="F487" s="176" t="s">
        <v>87</v>
      </c>
      <c r="G487" s="176" t="s">
        <v>2639</v>
      </c>
      <c r="H487" s="176">
        <v>25</v>
      </c>
      <c r="I487" s="176">
        <v>35.799999999999997</v>
      </c>
      <c r="J487" s="176">
        <v>35.799999999999997</v>
      </c>
      <c r="K487" s="176">
        <v>4</v>
      </c>
      <c r="L487" s="176">
        <v>0</v>
      </c>
      <c r="M487" s="176" t="s">
        <v>148</v>
      </c>
      <c r="N487" s="176" t="s">
        <v>149</v>
      </c>
      <c r="O487" s="176" t="s">
        <v>150</v>
      </c>
      <c r="P487" s="176" t="s">
        <v>151</v>
      </c>
      <c r="Q487" s="176"/>
      <c r="R487" s="176" t="s">
        <v>4826</v>
      </c>
      <c r="S487" s="176"/>
      <c r="T487" s="176" t="s">
        <v>2920</v>
      </c>
      <c r="U487" s="176" t="s">
        <v>152</v>
      </c>
      <c r="V487" s="176" t="s">
        <v>23</v>
      </c>
    </row>
    <row r="488" spans="2:22" ht="12" customHeight="1">
      <c r="B488" s="211">
        <v>46212</v>
      </c>
      <c r="C488" s="211">
        <v>46212</v>
      </c>
      <c r="D488" s="176" t="s">
        <v>4827</v>
      </c>
      <c r="E488" s="176" t="s">
        <v>4828</v>
      </c>
      <c r="F488" s="176" t="s">
        <v>87</v>
      </c>
      <c r="G488" s="176" t="s">
        <v>2486</v>
      </c>
      <c r="H488" s="176">
        <v>40</v>
      </c>
      <c r="I488" s="176">
        <v>30</v>
      </c>
      <c r="J488" s="176">
        <v>30</v>
      </c>
      <c r="K488" s="176">
        <v>5</v>
      </c>
      <c r="L488" s="176">
        <v>0</v>
      </c>
      <c r="M488" s="176" t="s">
        <v>148</v>
      </c>
      <c r="N488" s="176" t="s">
        <v>149</v>
      </c>
      <c r="O488" s="176" t="s">
        <v>150</v>
      </c>
      <c r="P488" s="176" t="s">
        <v>151</v>
      </c>
      <c r="Q488" s="176"/>
      <c r="R488" s="176" t="s">
        <v>4828</v>
      </c>
      <c r="S488" s="176"/>
      <c r="T488" s="176" t="s">
        <v>2920</v>
      </c>
      <c r="U488" s="176" t="s">
        <v>152</v>
      </c>
      <c r="V488" s="176" t="s">
        <v>23</v>
      </c>
    </row>
    <row r="489" spans="2:22" ht="12" customHeight="1">
      <c r="B489" s="211">
        <v>46212</v>
      </c>
      <c r="C489" s="211">
        <v>46212</v>
      </c>
      <c r="D489" s="176" t="s">
        <v>4829</v>
      </c>
      <c r="E489" s="176" t="s">
        <v>4830</v>
      </c>
      <c r="F489" s="176" t="s">
        <v>87</v>
      </c>
      <c r="G489" s="176" t="s">
        <v>2486</v>
      </c>
      <c r="H489" s="176">
        <v>40</v>
      </c>
      <c r="I489" s="176">
        <v>32.4</v>
      </c>
      <c r="J489" s="176">
        <v>32.4</v>
      </c>
      <c r="K489" s="176">
        <v>5</v>
      </c>
      <c r="L489" s="176">
        <v>0</v>
      </c>
      <c r="M489" s="176" t="s">
        <v>148</v>
      </c>
      <c r="N489" s="176" t="s">
        <v>149</v>
      </c>
      <c r="O489" s="176" t="s">
        <v>150</v>
      </c>
      <c r="P489" s="176" t="s">
        <v>151</v>
      </c>
      <c r="Q489" s="176"/>
      <c r="R489" s="176" t="s">
        <v>4830</v>
      </c>
      <c r="S489" s="176"/>
      <c r="T489" s="176" t="s">
        <v>2920</v>
      </c>
      <c r="U489" s="176" t="s">
        <v>152</v>
      </c>
      <c r="V489" s="176" t="s">
        <v>23</v>
      </c>
    </row>
    <row r="490" spans="2:22" ht="12" customHeight="1">
      <c r="B490" s="211">
        <v>46212</v>
      </c>
      <c r="C490" s="211">
        <v>46212</v>
      </c>
      <c r="D490" s="176" t="s">
        <v>4831</v>
      </c>
      <c r="E490" s="176" t="s">
        <v>4832</v>
      </c>
      <c r="F490" s="176" t="s">
        <v>87</v>
      </c>
      <c r="G490" s="176" t="s">
        <v>2486</v>
      </c>
      <c r="H490" s="176">
        <v>40</v>
      </c>
      <c r="I490" s="176">
        <v>28.8</v>
      </c>
      <c r="J490" s="176">
        <v>28.8</v>
      </c>
      <c r="K490" s="176">
        <v>5</v>
      </c>
      <c r="L490" s="176">
        <v>0</v>
      </c>
      <c r="M490" s="176" t="s">
        <v>148</v>
      </c>
      <c r="N490" s="176" t="s">
        <v>149</v>
      </c>
      <c r="O490" s="176" t="s">
        <v>150</v>
      </c>
      <c r="P490" s="176" t="s">
        <v>151</v>
      </c>
      <c r="Q490" s="176"/>
      <c r="R490" s="176" t="s">
        <v>4832</v>
      </c>
      <c r="S490" s="176"/>
      <c r="T490" s="176" t="s">
        <v>2920</v>
      </c>
      <c r="U490" s="176" t="s">
        <v>152</v>
      </c>
      <c r="V490" s="176" t="s">
        <v>23</v>
      </c>
    </row>
    <row r="491" spans="2:22" ht="12" customHeight="1">
      <c r="B491" s="211">
        <v>46212</v>
      </c>
      <c r="C491" s="211">
        <v>46212</v>
      </c>
      <c r="D491" s="176" t="s">
        <v>4833</v>
      </c>
      <c r="E491" s="176" t="s">
        <v>4834</v>
      </c>
      <c r="F491" s="176" t="s">
        <v>87</v>
      </c>
      <c r="G491" s="176" t="s">
        <v>2001</v>
      </c>
      <c r="H491" s="176">
        <v>6</v>
      </c>
      <c r="I491" s="176">
        <v>12.5</v>
      </c>
      <c r="J491" s="176">
        <v>12.5</v>
      </c>
      <c r="K491" s="176">
        <v>1.5</v>
      </c>
      <c r="L491" s="176">
        <v>0</v>
      </c>
      <c r="M491" s="176" t="s">
        <v>148</v>
      </c>
      <c r="N491" s="176" t="s">
        <v>149</v>
      </c>
      <c r="O491" s="176" t="s">
        <v>150</v>
      </c>
      <c r="P491" s="176" t="s">
        <v>151</v>
      </c>
      <c r="Q491" s="176"/>
      <c r="R491" s="176" t="s">
        <v>4834</v>
      </c>
      <c r="S491" s="176"/>
      <c r="T491" s="176" t="s">
        <v>2920</v>
      </c>
      <c r="U491" s="176" t="s">
        <v>152</v>
      </c>
      <c r="V491" s="176" t="s">
        <v>23</v>
      </c>
    </row>
    <row r="492" spans="2:22" ht="12" customHeight="1">
      <c r="B492" s="211">
        <v>46212</v>
      </c>
      <c r="C492" s="211">
        <v>46212</v>
      </c>
      <c r="D492" s="176" t="s">
        <v>4835</v>
      </c>
      <c r="E492" s="176" t="s">
        <v>4836</v>
      </c>
      <c r="F492" s="176" t="s">
        <v>87</v>
      </c>
      <c r="G492" s="176" t="s">
        <v>2001</v>
      </c>
      <c r="H492" s="176">
        <v>6</v>
      </c>
      <c r="I492" s="176">
        <v>11</v>
      </c>
      <c r="J492" s="176">
        <v>11</v>
      </c>
      <c r="K492" s="176">
        <v>1.5</v>
      </c>
      <c r="L492" s="176">
        <v>0</v>
      </c>
      <c r="M492" s="176" t="s">
        <v>148</v>
      </c>
      <c r="N492" s="176" t="s">
        <v>149</v>
      </c>
      <c r="O492" s="176" t="s">
        <v>150</v>
      </c>
      <c r="P492" s="176" t="s">
        <v>151</v>
      </c>
      <c r="Q492" s="176"/>
      <c r="R492" s="176" t="s">
        <v>4836</v>
      </c>
      <c r="S492" s="176"/>
      <c r="T492" s="176" t="s">
        <v>2920</v>
      </c>
      <c r="U492" s="176" t="s">
        <v>152</v>
      </c>
      <c r="V492" s="176" t="s">
        <v>23</v>
      </c>
    </row>
    <row r="493" spans="2:22" ht="12" customHeight="1">
      <c r="B493" s="211">
        <v>46212</v>
      </c>
      <c r="C493" s="211">
        <v>46212</v>
      </c>
      <c r="D493" s="176" t="s">
        <v>4837</v>
      </c>
      <c r="E493" s="176" t="s">
        <v>4838</v>
      </c>
      <c r="F493" s="176" t="s">
        <v>87</v>
      </c>
      <c r="G493" s="176" t="s">
        <v>2001</v>
      </c>
      <c r="H493" s="176">
        <v>6</v>
      </c>
      <c r="I493" s="176">
        <v>23.8</v>
      </c>
      <c r="J493" s="176">
        <v>23.8</v>
      </c>
      <c r="K493" s="176">
        <v>1.5</v>
      </c>
      <c r="L493" s="176">
        <v>0</v>
      </c>
      <c r="M493" s="176" t="s">
        <v>148</v>
      </c>
      <c r="N493" s="176" t="s">
        <v>149</v>
      </c>
      <c r="O493" s="176" t="s">
        <v>150</v>
      </c>
      <c r="P493" s="176" t="s">
        <v>151</v>
      </c>
      <c r="Q493" s="176"/>
      <c r="R493" s="176" t="s">
        <v>4838</v>
      </c>
      <c r="S493" s="176"/>
      <c r="T493" s="176" t="s">
        <v>2920</v>
      </c>
      <c r="U493" s="176" t="s">
        <v>152</v>
      </c>
      <c r="V493" s="176" t="s">
        <v>23</v>
      </c>
    </row>
    <row r="494" spans="2:22" ht="12" customHeight="1">
      <c r="B494" s="211">
        <v>46212</v>
      </c>
      <c r="C494" s="211">
        <v>46212</v>
      </c>
      <c r="D494" s="176" t="s">
        <v>4839</v>
      </c>
      <c r="E494" s="176" t="s">
        <v>4840</v>
      </c>
      <c r="F494" s="176" t="s">
        <v>87</v>
      </c>
      <c r="G494" s="176" t="s">
        <v>2001</v>
      </c>
      <c r="H494" s="176">
        <v>6</v>
      </c>
      <c r="I494" s="176">
        <v>22.8</v>
      </c>
      <c r="J494" s="176">
        <v>22.8</v>
      </c>
      <c r="K494" s="176">
        <v>1.5</v>
      </c>
      <c r="L494" s="176">
        <v>0</v>
      </c>
      <c r="M494" s="176" t="s">
        <v>148</v>
      </c>
      <c r="N494" s="176" t="s">
        <v>149</v>
      </c>
      <c r="O494" s="176" t="s">
        <v>150</v>
      </c>
      <c r="P494" s="176" t="s">
        <v>151</v>
      </c>
      <c r="Q494" s="176"/>
      <c r="R494" s="176" t="s">
        <v>4840</v>
      </c>
      <c r="S494" s="176"/>
      <c r="T494" s="176" t="s">
        <v>2920</v>
      </c>
      <c r="U494" s="176" t="s">
        <v>152</v>
      </c>
      <c r="V494" s="176" t="s">
        <v>23</v>
      </c>
    </row>
    <row r="495" spans="2:22" ht="12" customHeight="1">
      <c r="B495" s="211">
        <v>46212</v>
      </c>
      <c r="C495" s="211">
        <v>46212</v>
      </c>
      <c r="D495" s="176" t="s">
        <v>4841</v>
      </c>
      <c r="E495" s="176" t="s">
        <v>4842</v>
      </c>
      <c r="F495" s="176" t="s">
        <v>87</v>
      </c>
      <c r="G495" s="176" t="s">
        <v>2552</v>
      </c>
      <c r="H495" s="176">
        <v>40</v>
      </c>
      <c r="I495" s="176">
        <v>35.799999999999997</v>
      </c>
      <c r="J495" s="176">
        <v>35.799999999999997</v>
      </c>
      <c r="K495" s="176">
        <v>5</v>
      </c>
      <c r="L495" s="176">
        <v>0</v>
      </c>
      <c r="M495" s="176" t="s">
        <v>148</v>
      </c>
      <c r="N495" s="176" t="s">
        <v>149</v>
      </c>
      <c r="O495" s="176" t="s">
        <v>150</v>
      </c>
      <c r="P495" s="176" t="s">
        <v>151</v>
      </c>
      <c r="Q495" s="176"/>
      <c r="R495" s="176" t="s">
        <v>4842</v>
      </c>
      <c r="S495" s="176"/>
      <c r="T495" s="176" t="s">
        <v>2920</v>
      </c>
      <c r="U495" s="176" t="s">
        <v>152</v>
      </c>
      <c r="V495" s="176" t="s">
        <v>23</v>
      </c>
    </row>
    <row r="496" spans="2:22" ht="12" customHeight="1">
      <c r="B496" s="211">
        <v>46212</v>
      </c>
      <c r="C496" s="211">
        <v>46212</v>
      </c>
      <c r="D496" s="176" t="s">
        <v>4843</v>
      </c>
      <c r="E496" s="176" t="s">
        <v>4844</v>
      </c>
      <c r="F496" s="176" t="s">
        <v>87</v>
      </c>
      <c r="G496" s="176" t="s">
        <v>2552</v>
      </c>
      <c r="H496" s="176">
        <v>40</v>
      </c>
      <c r="I496" s="176">
        <v>30.8</v>
      </c>
      <c r="J496" s="176">
        <v>30.8</v>
      </c>
      <c r="K496" s="176">
        <v>5</v>
      </c>
      <c r="L496" s="176">
        <v>0</v>
      </c>
      <c r="M496" s="176" t="s">
        <v>148</v>
      </c>
      <c r="N496" s="176" t="s">
        <v>149</v>
      </c>
      <c r="O496" s="176" t="s">
        <v>150</v>
      </c>
      <c r="P496" s="176" t="s">
        <v>151</v>
      </c>
      <c r="Q496" s="176"/>
      <c r="R496" s="176" t="s">
        <v>4844</v>
      </c>
      <c r="S496" s="176"/>
      <c r="T496" s="176" t="s">
        <v>2920</v>
      </c>
      <c r="U496" s="176" t="s">
        <v>152</v>
      </c>
      <c r="V496" s="176" t="s">
        <v>23</v>
      </c>
    </row>
    <row r="497" spans="2:22" ht="12" customHeight="1">
      <c r="B497" s="211">
        <v>46212</v>
      </c>
      <c r="C497" s="211">
        <v>46212</v>
      </c>
      <c r="D497" s="176" t="s">
        <v>4845</v>
      </c>
      <c r="E497" s="176" t="s">
        <v>4846</v>
      </c>
      <c r="F497" s="176" t="s">
        <v>87</v>
      </c>
      <c r="G497" s="176" t="s">
        <v>4734</v>
      </c>
      <c r="H497" s="176">
        <v>60</v>
      </c>
      <c r="I497" s="176">
        <v>34.799999999999997</v>
      </c>
      <c r="J497" s="176">
        <v>34.799999999999997</v>
      </c>
      <c r="K497" s="176">
        <v>5</v>
      </c>
      <c r="L497" s="176">
        <v>0</v>
      </c>
      <c r="M497" s="176" t="s">
        <v>148</v>
      </c>
      <c r="N497" s="176" t="s">
        <v>149</v>
      </c>
      <c r="O497" s="176" t="s">
        <v>150</v>
      </c>
      <c r="P497" s="176" t="s">
        <v>151</v>
      </c>
      <c r="Q497" s="176"/>
      <c r="R497" s="176" t="s">
        <v>4846</v>
      </c>
      <c r="S497" s="176"/>
      <c r="T497" s="176" t="s">
        <v>2920</v>
      </c>
      <c r="U497" s="176" t="s">
        <v>152</v>
      </c>
      <c r="V497" s="176" t="s">
        <v>23</v>
      </c>
    </row>
    <row r="498" spans="2:22" ht="12.75">
      <c r="B498" s="211">
        <v>46212</v>
      </c>
      <c r="C498" s="211">
        <v>46212</v>
      </c>
      <c r="D498" s="176" t="s">
        <v>4847</v>
      </c>
      <c r="E498" s="176" t="s">
        <v>4848</v>
      </c>
      <c r="F498" s="176" t="s">
        <v>87</v>
      </c>
      <c r="G498" s="176" t="s">
        <v>3866</v>
      </c>
      <c r="H498" s="176">
        <v>40</v>
      </c>
      <c r="I498" s="176">
        <v>33.299999999999997</v>
      </c>
      <c r="J498" s="176">
        <v>33.299999999999997</v>
      </c>
      <c r="K498" s="176">
        <v>5</v>
      </c>
      <c r="L498" s="176">
        <v>0</v>
      </c>
      <c r="M498" s="176" t="s">
        <v>148</v>
      </c>
      <c r="N498" s="176" t="s">
        <v>149</v>
      </c>
      <c r="O498" s="176" t="s">
        <v>150</v>
      </c>
      <c r="P498" s="176" t="s">
        <v>151</v>
      </c>
      <c r="Q498" s="176"/>
      <c r="R498" s="176" t="s">
        <v>4848</v>
      </c>
      <c r="S498" s="176"/>
      <c r="T498" s="176" t="s">
        <v>2920</v>
      </c>
      <c r="U498" s="176" t="s">
        <v>152</v>
      </c>
      <c r="V498" s="176" t="s">
        <v>23</v>
      </c>
    </row>
    <row r="499" spans="2:22" ht="12.75">
      <c r="B499" s="211">
        <v>46212</v>
      </c>
      <c r="C499" s="211">
        <v>46212</v>
      </c>
      <c r="D499" s="176" t="s">
        <v>4849</v>
      </c>
      <c r="E499" s="176" t="s">
        <v>4850</v>
      </c>
      <c r="F499" s="176" t="s">
        <v>87</v>
      </c>
      <c r="G499" s="176" t="s">
        <v>2636</v>
      </c>
      <c r="H499" s="176">
        <v>6</v>
      </c>
      <c r="I499" s="176">
        <v>12</v>
      </c>
      <c r="J499" s="176">
        <v>12</v>
      </c>
      <c r="K499" s="176">
        <v>1.5</v>
      </c>
      <c r="L499" s="176">
        <v>0</v>
      </c>
      <c r="M499" s="176" t="s">
        <v>148</v>
      </c>
      <c r="N499" s="176" t="s">
        <v>149</v>
      </c>
      <c r="O499" s="176" t="s">
        <v>150</v>
      </c>
      <c r="P499" s="176" t="s">
        <v>151</v>
      </c>
      <c r="Q499" s="176"/>
      <c r="R499" s="176" t="s">
        <v>4850</v>
      </c>
      <c r="S499" s="176"/>
      <c r="T499" s="176" t="s">
        <v>2920</v>
      </c>
      <c r="U499" s="176" t="s">
        <v>152</v>
      </c>
      <c r="V499" s="176" t="s">
        <v>23</v>
      </c>
    </row>
    <row r="500" spans="2:22" ht="12.75">
      <c r="B500" s="211">
        <v>46212</v>
      </c>
      <c r="C500" s="211">
        <v>46212</v>
      </c>
      <c r="D500" s="176" t="s">
        <v>4851</v>
      </c>
      <c r="E500" s="176" t="s">
        <v>4852</v>
      </c>
      <c r="F500" s="176" t="s">
        <v>87</v>
      </c>
      <c r="G500" s="176" t="s">
        <v>2552</v>
      </c>
      <c r="H500" s="176">
        <v>40</v>
      </c>
      <c r="I500" s="176">
        <v>42.6</v>
      </c>
      <c r="J500" s="176">
        <v>42.6</v>
      </c>
      <c r="K500" s="176">
        <v>5</v>
      </c>
      <c r="L500" s="176">
        <v>0</v>
      </c>
      <c r="M500" s="176" t="s">
        <v>148</v>
      </c>
      <c r="N500" s="176" t="s">
        <v>149</v>
      </c>
      <c r="O500" s="176" t="s">
        <v>150</v>
      </c>
      <c r="P500" s="176" t="s">
        <v>151</v>
      </c>
      <c r="Q500" s="176"/>
      <c r="R500" s="176" t="s">
        <v>4852</v>
      </c>
      <c r="S500" s="176"/>
      <c r="T500" s="176" t="s">
        <v>2920</v>
      </c>
      <c r="U500" s="176" t="s">
        <v>152</v>
      </c>
      <c r="V500" s="176" t="s">
        <v>23</v>
      </c>
    </row>
    <row r="501" spans="2:22" ht="12.75">
      <c r="B501" s="211">
        <v>46212</v>
      </c>
      <c r="C501" s="211">
        <v>46212</v>
      </c>
      <c r="D501" s="176" t="s">
        <v>4853</v>
      </c>
      <c r="E501" s="176" t="s">
        <v>4854</v>
      </c>
      <c r="F501" s="176" t="s">
        <v>87</v>
      </c>
      <c r="G501" s="176" t="s">
        <v>2633</v>
      </c>
      <c r="H501" s="176">
        <v>40</v>
      </c>
      <c r="I501" s="176">
        <v>31.6</v>
      </c>
      <c r="J501" s="176">
        <v>31.6</v>
      </c>
      <c r="K501" s="176">
        <v>5</v>
      </c>
      <c r="L501" s="176">
        <v>0</v>
      </c>
      <c r="M501" s="176" t="s">
        <v>148</v>
      </c>
      <c r="N501" s="176" t="s">
        <v>149</v>
      </c>
      <c r="O501" s="176" t="s">
        <v>150</v>
      </c>
      <c r="P501" s="176" t="s">
        <v>151</v>
      </c>
      <c r="Q501" s="176"/>
      <c r="R501" s="176" t="s">
        <v>4854</v>
      </c>
      <c r="S501" s="176"/>
      <c r="T501" s="176" t="s">
        <v>2920</v>
      </c>
      <c r="U501" s="176" t="s">
        <v>152</v>
      </c>
      <c r="V501" s="176" t="s">
        <v>23</v>
      </c>
    </row>
    <row r="502" spans="2:22" ht="12.75">
      <c r="B502" s="211">
        <v>46212</v>
      </c>
      <c r="C502" s="211">
        <v>46212</v>
      </c>
      <c r="D502" s="176" t="s">
        <v>4855</v>
      </c>
      <c r="E502" s="176" t="s">
        <v>4856</v>
      </c>
      <c r="F502" s="176" t="s">
        <v>87</v>
      </c>
      <c r="G502" s="176" t="s">
        <v>2485</v>
      </c>
      <c r="H502" s="176">
        <v>30</v>
      </c>
      <c r="I502" s="176">
        <v>43</v>
      </c>
      <c r="J502" s="176">
        <v>43</v>
      </c>
      <c r="K502" s="176">
        <v>4</v>
      </c>
      <c r="L502" s="176">
        <v>0</v>
      </c>
      <c r="M502" s="176" t="s">
        <v>148</v>
      </c>
      <c r="N502" s="176" t="s">
        <v>149</v>
      </c>
      <c r="O502" s="176" t="s">
        <v>150</v>
      </c>
      <c r="P502" s="176" t="s">
        <v>151</v>
      </c>
      <c r="Q502" s="176"/>
      <c r="R502" s="176" t="s">
        <v>4856</v>
      </c>
      <c r="S502" s="176"/>
      <c r="T502" s="176" t="s">
        <v>2920</v>
      </c>
      <c r="U502" s="176" t="s">
        <v>152</v>
      </c>
      <c r="V502" s="176" t="s">
        <v>23</v>
      </c>
    </row>
    <row r="503" spans="2:22" ht="12.75">
      <c r="B503" s="211">
        <v>46212</v>
      </c>
      <c r="C503" s="211">
        <v>46212</v>
      </c>
      <c r="D503" s="176" t="s">
        <v>4857</v>
      </c>
      <c r="E503" s="176" t="s">
        <v>4858</v>
      </c>
      <c r="F503" s="176" t="s">
        <v>87</v>
      </c>
      <c r="G503" s="176" t="s">
        <v>2552</v>
      </c>
      <c r="H503" s="176">
        <v>40</v>
      </c>
      <c r="I503" s="176">
        <v>29.4</v>
      </c>
      <c r="J503" s="176">
        <v>29.4</v>
      </c>
      <c r="K503" s="176">
        <v>5</v>
      </c>
      <c r="L503" s="176">
        <v>0</v>
      </c>
      <c r="M503" s="176" t="s">
        <v>148</v>
      </c>
      <c r="N503" s="176" t="s">
        <v>149</v>
      </c>
      <c r="O503" s="176" t="s">
        <v>150</v>
      </c>
      <c r="P503" s="176" t="s">
        <v>151</v>
      </c>
      <c r="Q503" s="176"/>
      <c r="R503" s="176" t="s">
        <v>4858</v>
      </c>
      <c r="S503" s="176"/>
      <c r="T503" s="176" t="s">
        <v>2920</v>
      </c>
      <c r="U503" s="176" t="s">
        <v>152</v>
      </c>
      <c r="V503" s="176" t="s">
        <v>23</v>
      </c>
    </row>
    <row r="504" spans="2:22" ht="12.75">
      <c r="B504" s="211">
        <v>46212</v>
      </c>
      <c r="C504" s="211">
        <v>46212</v>
      </c>
      <c r="D504" s="176" t="s">
        <v>4859</v>
      </c>
      <c r="E504" s="176" t="s">
        <v>4860</v>
      </c>
      <c r="F504" s="176" t="s">
        <v>87</v>
      </c>
      <c r="G504" s="176" t="s">
        <v>2001</v>
      </c>
      <c r="H504" s="176">
        <v>6</v>
      </c>
      <c r="I504" s="176">
        <v>27.6</v>
      </c>
      <c r="J504" s="176">
        <v>27.6</v>
      </c>
      <c r="K504" s="176">
        <v>1.5</v>
      </c>
      <c r="L504" s="176">
        <v>0</v>
      </c>
      <c r="M504" s="176" t="s">
        <v>148</v>
      </c>
      <c r="N504" s="176" t="s">
        <v>149</v>
      </c>
      <c r="O504" s="176" t="s">
        <v>150</v>
      </c>
      <c r="P504" s="176" t="s">
        <v>151</v>
      </c>
      <c r="Q504" s="176"/>
      <c r="R504" s="176" t="s">
        <v>4860</v>
      </c>
      <c r="S504" s="176"/>
      <c r="T504" s="176" t="s">
        <v>2920</v>
      </c>
      <c r="U504" s="176" t="s">
        <v>152</v>
      </c>
      <c r="V504" s="176" t="s">
        <v>23</v>
      </c>
    </row>
    <row r="505" spans="2:22" ht="12.75">
      <c r="B505" s="211">
        <v>46212</v>
      </c>
      <c r="C505" s="211">
        <v>46212</v>
      </c>
      <c r="D505" s="176" t="s">
        <v>4861</v>
      </c>
      <c r="E505" s="176" t="s">
        <v>4862</v>
      </c>
      <c r="F505" s="176" t="s">
        <v>87</v>
      </c>
      <c r="G505" s="176" t="s">
        <v>2639</v>
      </c>
      <c r="H505" s="176">
        <v>25</v>
      </c>
      <c r="I505" s="176">
        <v>42.7</v>
      </c>
      <c r="J505" s="176">
        <v>42.7</v>
      </c>
      <c r="K505" s="176">
        <v>4</v>
      </c>
      <c r="L505" s="176">
        <v>0</v>
      </c>
      <c r="M505" s="176" t="s">
        <v>148</v>
      </c>
      <c r="N505" s="176" t="s">
        <v>149</v>
      </c>
      <c r="O505" s="176" t="s">
        <v>150</v>
      </c>
      <c r="P505" s="176" t="s">
        <v>151</v>
      </c>
      <c r="Q505" s="176"/>
      <c r="R505" s="176" t="s">
        <v>4862</v>
      </c>
      <c r="S505" s="176"/>
      <c r="T505" s="176" t="s">
        <v>2920</v>
      </c>
      <c r="U505" s="176" t="s">
        <v>152</v>
      </c>
      <c r="V505" s="176" t="s">
        <v>23</v>
      </c>
    </row>
    <row r="506" spans="2:22" ht="12.75">
      <c r="B506" s="211">
        <v>46212</v>
      </c>
      <c r="C506" s="211">
        <v>46212</v>
      </c>
      <c r="D506" s="176" t="s">
        <v>4863</v>
      </c>
      <c r="E506" s="176" t="s">
        <v>4864</v>
      </c>
      <c r="F506" s="176" t="s">
        <v>87</v>
      </c>
      <c r="G506" s="176" t="s">
        <v>4734</v>
      </c>
      <c r="H506" s="176">
        <v>60</v>
      </c>
      <c r="I506" s="176">
        <v>26.4</v>
      </c>
      <c r="J506" s="176">
        <v>26.4</v>
      </c>
      <c r="K506" s="176">
        <v>5</v>
      </c>
      <c r="L506" s="176">
        <v>0</v>
      </c>
      <c r="M506" s="176" t="s">
        <v>148</v>
      </c>
      <c r="N506" s="176" t="s">
        <v>149</v>
      </c>
      <c r="O506" s="176" t="s">
        <v>150</v>
      </c>
      <c r="P506" s="176" t="s">
        <v>151</v>
      </c>
      <c r="Q506" s="176"/>
      <c r="R506" s="176" t="s">
        <v>4864</v>
      </c>
      <c r="S506" s="176"/>
      <c r="T506" s="176" t="s">
        <v>2920</v>
      </c>
      <c r="U506" s="176" t="s">
        <v>152</v>
      </c>
      <c r="V506" s="176" t="s">
        <v>23</v>
      </c>
    </row>
    <row r="507" spans="2:22" ht="12.75">
      <c r="B507" s="211">
        <v>46212</v>
      </c>
      <c r="C507" s="211">
        <v>46212</v>
      </c>
      <c r="D507" s="176" t="s">
        <v>4865</v>
      </c>
      <c r="E507" s="176" t="s">
        <v>4866</v>
      </c>
      <c r="F507" s="176" t="s">
        <v>87</v>
      </c>
      <c r="G507" s="176" t="s">
        <v>2552</v>
      </c>
      <c r="H507" s="176">
        <v>40</v>
      </c>
      <c r="I507" s="176">
        <v>42.2</v>
      </c>
      <c r="J507" s="176">
        <v>42.2</v>
      </c>
      <c r="K507" s="176">
        <v>5</v>
      </c>
      <c r="L507" s="176">
        <v>0</v>
      </c>
      <c r="M507" s="176" t="s">
        <v>148</v>
      </c>
      <c r="N507" s="176" t="s">
        <v>149</v>
      </c>
      <c r="O507" s="176" t="s">
        <v>150</v>
      </c>
      <c r="P507" s="176" t="s">
        <v>151</v>
      </c>
      <c r="Q507" s="176"/>
      <c r="R507" s="176" t="s">
        <v>4866</v>
      </c>
      <c r="S507" s="176"/>
      <c r="T507" s="176" t="s">
        <v>2920</v>
      </c>
      <c r="U507" s="176" t="s">
        <v>152</v>
      </c>
      <c r="V507" s="176" t="s">
        <v>23</v>
      </c>
    </row>
    <row r="508" spans="2:22" ht="12.75">
      <c r="B508" s="211">
        <v>46212</v>
      </c>
      <c r="C508" s="211">
        <v>46212</v>
      </c>
      <c r="D508" s="176" t="s">
        <v>4867</v>
      </c>
      <c r="E508" s="176" t="s">
        <v>4868</v>
      </c>
      <c r="F508" s="176" t="s">
        <v>87</v>
      </c>
      <c r="G508" s="176" t="s">
        <v>2001</v>
      </c>
      <c r="H508" s="176">
        <v>6</v>
      </c>
      <c r="I508" s="176">
        <v>14.2</v>
      </c>
      <c r="J508" s="176">
        <v>14.2</v>
      </c>
      <c r="K508" s="176">
        <v>1.5</v>
      </c>
      <c r="L508" s="176">
        <v>0</v>
      </c>
      <c r="M508" s="176" t="s">
        <v>148</v>
      </c>
      <c r="N508" s="176" t="s">
        <v>149</v>
      </c>
      <c r="O508" s="176" t="s">
        <v>150</v>
      </c>
      <c r="P508" s="176" t="s">
        <v>151</v>
      </c>
      <c r="Q508" s="176"/>
      <c r="R508" s="176" t="s">
        <v>4868</v>
      </c>
      <c r="S508" s="176"/>
      <c r="T508" s="176" t="s">
        <v>2920</v>
      </c>
      <c r="U508" s="176" t="s">
        <v>152</v>
      </c>
      <c r="V508" s="176" t="s">
        <v>23</v>
      </c>
    </row>
    <row r="509" spans="2:22" ht="12.75">
      <c r="B509" s="211">
        <v>46212</v>
      </c>
      <c r="C509" s="211">
        <v>46212</v>
      </c>
      <c r="D509" s="176" t="s">
        <v>4869</v>
      </c>
      <c r="E509" s="176" t="s">
        <v>4870</v>
      </c>
      <c r="F509" s="176" t="s">
        <v>87</v>
      </c>
      <c r="G509" s="176" t="s">
        <v>2636</v>
      </c>
      <c r="H509" s="176">
        <v>6</v>
      </c>
      <c r="I509" s="176">
        <v>16.899999999999999</v>
      </c>
      <c r="J509" s="176">
        <v>16.899999999999999</v>
      </c>
      <c r="K509" s="176">
        <v>1.5</v>
      </c>
      <c r="L509" s="176">
        <v>0</v>
      </c>
      <c r="M509" s="176" t="s">
        <v>148</v>
      </c>
      <c r="N509" s="176" t="s">
        <v>149</v>
      </c>
      <c r="O509" s="176" t="s">
        <v>150</v>
      </c>
      <c r="P509" s="176" t="s">
        <v>151</v>
      </c>
      <c r="Q509" s="176"/>
      <c r="R509" s="176" t="s">
        <v>4870</v>
      </c>
      <c r="S509" s="176"/>
      <c r="T509" s="176" t="s">
        <v>2920</v>
      </c>
      <c r="U509" s="176" t="s">
        <v>152</v>
      </c>
      <c r="V509" s="176" t="s">
        <v>23</v>
      </c>
    </row>
    <row r="510" spans="2:22" ht="12.75">
      <c r="B510" s="211">
        <v>46212</v>
      </c>
      <c r="C510" s="211">
        <v>46212</v>
      </c>
      <c r="D510" s="176" t="s">
        <v>4871</v>
      </c>
      <c r="E510" s="176" t="s">
        <v>4872</v>
      </c>
      <c r="F510" s="176" t="s">
        <v>87</v>
      </c>
      <c r="G510" s="176" t="s">
        <v>2552</v>
      </c>
      <c r="H510" s="176">
        <v>40</v>
      </c>
      <c r="I510" s="176">
        <v>38.200000000000003</v>
      </c>
      <c r="J510" s="176">
        <v>38.200000000000003</v>
      </c>
      <c r="K510" s="176">
        <v>5</v>
      </c>
      <c r="L510" s="176">
        <v>0</v>
      </c>
      <c r="M510" s="176" t="s">
        <v>148</v>
      </c>
      <c r="N510" s="176" t="s">
        <v>149</v>
      </c>
      <c r="O510" s="176" t="s">
        <v>150</v>
      </c>
      <c r="P510" s="176" t="s">
        <v>151</v>
      </c>
      <c r="Q510" s="176"/>
      <c r="R510" s="176" t="s">
        <v>4872</v>
      </c>
      <c r="S510" s="176"/>
      <c r="T510" s="176" t="s">
        <v>2920</v>
      </c>
      <c r="U510" s="176" t="s">
        <v>152</v>
      </c>
      <c r="V510" s="176" t="s">
        <v>23</v>
      </c>
    </row>
    <row r="511" spans="2:22" ht="12.75">
      <c r="B511" s="211">
        <v>46213</v>
      </c>
      <c r="C511" s="211">
        <v>46213</v>
      </c>
      <c r="D511" s="176" t="s">
        <v>4873</v>
      </c>
      <c r="E511" s="176" t="s">
        <v>4874</v>
      </c>
      <c r="F511" s="176" t="s">
        <v>87</v>
      </c>
      <c r="G511" s="176" t="s">
        <v>2552</v>
      </c>
      <c r="H511" s="176">
        <v>40</v>
      </c>
      <c r="I511" s="176">
        <v>39</v>
      </c>
      <c r="J511" s="176">
        <v>39</v>
      </c>
      <c r="K511" s="176">
        <v>5</v>
      </c>
      <c r="L511" s="176">
        <v>0</v>
      </c>
      <c r="M511" s="176" t="s">
        <v>148</v>
      </c>
      <c r="N511" s="176" t="s">
        <v>149</v>
      </c>
      <c r="O511" s="176" t="s">
        <v>150</v>
      </c>
      <c r="P511" s="176" t="s">
        <v>151</v>
      </c>
      <c r="Q511" s="176"/>
      <c r="R511" s="176" t="s">
        <v>4874</v>
      </c>
      <c r="S511" s="176"/>
      <c r="T511" s="176" t="s">
        <v>2948</v>
      </c>
      <c r="U511" s="176" t="s">
        <v>152</v>
      </c>
      <c r="V511" s="176" t="s">
        <v>23</v>
      </c>
    </row>
    <row r="512" spans="2:22" ht="12.75">
      <c r="B512" s="211">
        <v>46213</v>
      </c>
      <c r="C512" s="211">
        <v>46213</v>
      </c>
      <c r="D512" s="176" t="s">
        <v>4875</v>
      </c>
      <c r="E512" s="176" t="s">
        <v>4876</v>
      </c>
      <c r="F512" s="176" t="s">
        <v>87</v>
      </c>
      <c r="G512" s="176" t="s">
        <v>2486</v>
      </c>
      <c r="H512" s="176">
        <v>40</v>
      </c>
      <c r="I512" s="176">
        <v>34.799999999999997</v>
      </c>
      <c r="J512" s="176">
        <v>34.799999999999997</v>
      </c>
      <c r="K512" s="176">
        <v>5</v>
      </c>
      <c r="L512" s="176">
        <v>0</v>
      </c>
      <c r="M512" s="176" t="s">
        <v>148</v>
      </c>
      <c r="N512" s="176" t="s">
        <v>149</v>
      </c>
      <c r="O512" s="176" t="s">
        <v>150</v>
      </c>
      <c r="P512" s="176" t="s">
        <v>151</v>
      </c>
      <c r="Q512" s="176"/>
      <c r="R512" s="176" t="s">
        <v>4876</v>
      </c>
      <c r="S512" s="176"/>
      <c r="T512" s="176" t="s">
        <v>2948</v>
      </c>
      <c r="U512" s="176" t="s">
        <v>152</v>
      </c>
      <c r="V512" s="176" t="s">
        <v>23</v>
      </c>
    </row>
    <row r="513" spans="2:22" ht="12.75">
      <c r="B513" s="211">
        <v>46213</v>
      </c>
      <c r="C513" s="211">
        <v>46213</v>
      </c>
      <c r="D513" s="176" t="s">
        <v>4877</v>
      </c>
      <c r="E513" s="176" t="s">
        <v>4878</v>
      </c>
      <c r="F513" s="176" t="s">
        <v>87</v>
      </c>
      <c r="G513" s="176" t="s">
        <v>2486</v>
      </c>
      <c r="H513" s="176">
        <v>40</v>
      </c>
      <c r="I513" s="176">
        <v>36.799999999999997</v>
      </c>
      <c r="J513" s="176">
        <v>36.799999999999997</v>
      </c>
      <c r="K513" s="176">
        <v>5</v>
      </c>
      <c r="L513" s="176">
        <v>0</v>
      </c>
      <c r="M513" s="176" t="s">
        <v>148</v>
      </c>
      <c r="N513" s="176" t="s">
        <v>149</v>
      </c>
      <c r="O513" s="176" t="s">
        <v>150</v>
      </c>
      <c r="P513" s="176" t="s">
        <v>151</v>
      </c>
      <c r="Q513" s="176"/>
      <c r="R513" s="176" t="s">
        <v>4878</v>
      </c>
      <c r="S513" s="176"/>
      <c r="T513" s="176" t="s">
        <v>2948</v>
      </c>
      <c r="U513" s="176" t="s">
        <v>152</v>
      </c>
      <c r="V513" s="176" t="s">
        <v>23</v>
      </c>
    </row>
    <row r="514" spans="2:22" ht="12.75">
      <c r="B514" s="211">
        <v>46213</v>
      </c>
      <c r="C514" s="211">
        <v>46213</v>
      </c>
      <c r="D514" s="176" t="s">
        <v>4879</v>
      </c>
      <c r="E514" s="176" t="s">
        <v>4880</v>
      </c>
      <c r="F514" s="176" t="s">
        <v>87</v>
      </c>
      <c r="G514" s="176" t="s">
        <v>2636</v>
      </c>
      <c r="H514" s="176">
        <v>6</v>
      </c>
      <c r="I514" s="176">
        <v>11.3</v>
      </c>
      <c r="J514" s="176">
        <v>11.3</v>
      </c>
      <c r="K514" s="176">
        <v>1.5</v>
      </c>
      <c r="L514" s="176">
        <v>0</v>
      </c>
      <c r="M514" s="176" t="s">
        <v>148</v>
      </c>
      <c r="N514" s="176" t="s">
        <v>149</v>
      </c>
      <c r="O514" s="176" t="s">
        <v>150</v>
      </c>
      <c r="P514" s="176" t="s">
        <v>151</v>
      </c>
      <c r="Q514" s="176"/>
      <c r="R514" s="176" t="s">
        <v>4880</v>
      </c>
      <c r="S514" s="176"/>
      <c r="T514" s="176" t="s">
        <v>2948</v>
      </c>
      <c r="U514" s="176" t="s">
        <v>152</v>
      </c>
      <c r="V514" s="176" t="s">
        <v>23</v>
      </c>
    </row>
    <row r="515" spans="2:22" ht="12.75">
      <c r="B515" s="211">
        <v>46213</v>
      </c>
      <c r="C515" s="211">
        <v>46213</v>
      </c>
      <c r="D515" s="176" t="s">
        <v>4881</v>
      </c>
      <c r="E515" s="176" t="s">
        <v>4882</v>
      </c>
      <c r="F515" s="176" t="s">
        <v>87</v>
      </c>
      <c r="G515" s="176" t="s">
        <v>2001</v>
      </c>
      <c r="H515" s="176">
        <v>6</v>
      </c>
      <c r="I515" s="176">
        <v>9.8000000000000007</v>
      </c>
      <c r="J515" s="176">
        <v>9.8000000000000007</v>
      </c>
      <c r="K515" s="176">
        <v>1.5</v>
      </c>
      <c r="L515" s="176">
        <v>0</v>
      </c>
      <c r="M515" s="176" t="s">
        <v>148</v>
      </c>
      <c r="N515" s="176" t="s">
        <v>149</v>
      </c>
      <c r="O515" s="176" t="s">
        <v>150</v>
      </c>
      <c r="P515" s="176" t="s">
        <v>151</v>
      </c>
      <c r="Q515" s="176"/>
      <c r="R515" s="176" t="s">
        <v>4882</v>
      </c>
      <c r="S515" s="176"/>
      <c r="T515" s="176" t="s">
        <v>2948</v>
      </c>
      <c r="U515" s="176" t="s">
        <v>152</v>
      </c>
      <c r="V515" s="176" t="s">
        <v>23</v>
      </c>
    </row>
    <row r="516" spans="2:22" ht="12.75">
      <c r="B516" s="211">
        <v>46213</v>
      </c>
      <c r="C516" s="211">
        <v>46213</v>
      </c>
      <c r="D516" s="176" t="s">
        <v>4883</v>
      </c>
      <c r="E516" s="176" t="s">
        <v>4884</v>
      </c>
      <c r="F516" s="176" t="s">
        <v>87</v>
      </c>
      <c r="G516" s="176" t="s">
        <v>2552</v>
      </c>
      <c r="H516" s="176">
        <v>40</v>
      </c>
      <c r="I516" s="176">
        <v>39.6</v>
      </c>
      <c r="J516" s="176">
        <v>39.6</v>
      </c>
      <c r="K516" s="176">
        <v>5</v>
      </c>
      <c r="L516" s="176">
        <v>0</v>
      </c>
      <c r="M516" s="176" t="s">
        <v>148</v>
      </c>
      <c r="N516" s="176" t="s">
        <v>149</v>
      </c>
      <c r="O516" s="176" t="s">
        <v>150</v>
      </c>
      <c r="P516" s="176" t="s">
        <v>151</v>
      </c>
      <c r="Q516" s="176"/>
      <c r="R516" s="176" t="s">
        <v>4884</v>
      </c>
      <c r="S516" s="176"/>
      <c r="T516" s="176" t="s">
        <v>2948</v>
      </c>
      <c r="U516" s="176" t="s">
        <v>152</v>
      </c>
      <c r="V516" s="176" t="s">
        <v>23</v>
      </c>
    </row>
    <row r="517" spans="2:22" ht="12.75">
      <c r="B517" s="211">
        <v>46213</v>
      </c>
      <c r="C517" s="211">
        <v>46213</v>
      </c>
      <c r="D517" s="176" t="s">
        <v>4885</v>
      </c>
      <c r="E517" s="176" t="s">
        <v>4886</v>
      </c>
      <c r="F517" s="176" t="s">
        <v>87</v>
      </c>
      <c r="G517" s="176" t="s">
        <v>2486</v>
      </c>
      <c r="H517" s="176">
        <v>40</v>
      </c>
      <c r="I517" s="176">
        <v>36.299999999999997</v>
      </c>
      <c r="J517" s="176">
        <v>36.299999999999997</v>
      </c>
      <c r="K517" s="176">
        <v>5</v>
      </c>
      <c r="L517" s="176">
        <v>0</v>
      </c>
      <c r="M517" s="176" t="s">
        <v>148</v>
      </c>
      <c r="N517" s="176" t="s">
        <v>149</v>
      </c>
      <c r="O517" s="176" t="s">
        <v>150</v>
      </c>
      <c r="P517" s="176" t="s">
        <v>151</v>
      </c>
      <c r="Q517" s="176"/>
      <c r="R517" s="176" t="s">
        <v>4886</v>
      </c>
      <c r="S517" s="176"/>
      <c r="T517" s="176" t="s">
        <v>2948</v>
      </c>
      <c r="U517" s="176" t="s">
        <v>152</v>
      </c>
      <c r="V517" s="176" t="s">
        <v>23</v>
      </c>
    </row>
    <row r="518" spans="2:22" ht="12.75">
      <c r="B518" s="211">
        <v>46213</v>
      </c>
      <c r="C518" s="211">
        <v>46213</v>
      </c>
      <c r="D518" s="176" t="s">
        <v>4887</v>
      </c>
      <c r="E518" s="176" t="s">
        <v>4888</v>
      </c>
      <c r="F518" s="176" t="s">
        <v>87</v>
      </c>
      <c r="G518" s="176" t="s">
        <v>2001</v>
      </c>
      <c r="H518" s="176">
        <v>6</v>
      </c>
      <c r="I518" s="176">
        <v>26.8</v>
      </c>
      <c r="J518" s="176">
        <v>26.8</v>
      </c>
      <c r="K518" s="176">
        <v>1.5</v>
      </c>
      <c r="L518" s="176">
        <v>0</v>
      </c>
      <c r="M518" s="176" t="s">
        <v>148</v>
      </c>
      <c r="N518" s="176" t="s">
        <v>149</v>
      </c>
      <c r="O518" s="176" t="s">
        <v>150</v>
      </c>
      <c r="P518" s="176" t="s">
        <v>151</v>
      </c>
      <c r="Q518" s="176"/>
      <c r="R518" s="176" t="s">
        <v>4888</v>
      </c>
      <c r="S518" s="176"/>
      <c r="T518" s="176" t="s">
        <v>2948</v>
      </c>
      <c r="U518" s="176" t="s">
        <v>152</v>
      </c>
      <c r="V518" s="176" t="s">
        <v>23</v>
      </c>
    </row>
    <row r="519" spans="2:22" ht="12.75">
      <c r="B519" s="211">
        <v>46213</v>
      </c>
      <c r="C519" s="211">
        <v>46213</v>
      </c>
      <c r="D519" s="176" t="s">
        <v>4889</v>
      </c>
      <c r="E519" s="176" t="s">
        <v>4890</v>
      </c>
      <c r="F519" s="176" t="s">
        <v>87</v>
      </c>
      <c r="G519" s="176" t="s">
        <v>2639</v>
      </c>
      <c r="H519" s="176">
        <v>25</v>
      </c>
      <c r="I519" s="176">
        <v>36.799999999999997</v>
      </c>
      <c r="J519" s="176">
        <v>36.799999999999997</v>
      </c>
      <c r="K519" s="176">
        <v>4</v>
      </c>
      <c r="L519" s="176">
        <v>0</v>
      </c>
      <c r="M519" s="176" t="s">
        <v>148</v>
      </c>
      <c r="N519" s="176" t="s">
        <v>149</v>
      </c>
      <c r="O519" s="176" t="s">
        <v>150</v>
      </c>
      <c r="P519" s="176" t="s">
        <v>151</v>
      </c>
      <c r="Q519" s="176"/>
      <c r="R519" s="176" t="s">
        <v>4890</v>
      </c>
      <c r="S519" s="176"/>
      <c r="T519" s="176" t="s">
        <v>2948</v>
      </c>
      <c r="U519" s="176" t="s">
        <v>152</v>
      </c>
      <c r="V519" s="176" t="s">
        <v>23</v>
      </c>
    </row>
    <row r="520" spans="2:22" ht="12.75">
      <c r="B520" s="211">
        <v>46213</v>
      </c>
      <c r="C520" s="211">
        <v>46213</v>
      </c>
      <c r="D520" s="176" t="s">
        <v>4891</v>
      </c>
      <c r="E520" s="176" t="s">
        <v>4892</v>
      </c>
      <c r="F520" s="176" t="s">
        <v>87</v>
      </c>
      <c r="G520" s="176" t="s">
        <v>2552</v>
      </c>
      <c r="H520" s="176">
        <v>40</v>
      </c>
      <c r="I520" s="176">
        <v>39.799999999999997</v>
      </c>
      <c r="J520" s="176">
        <v>39.799999999999997</v>
      </c>
      <c r="K520" s="176">
        <v>5</v>
      </c>
      <c r="L520" s="176">
        <v>0</v>
      </c>
      <c r="M520" s="176" t="s">
        <v>148</v>
      </c>
      <c r="N520" s="176" t="s">
        <v>149</v>
      </c>
      <c r="O520" s="176" t="s">
        <v>150</v>
      </c>
      <c r="P520" s="176" t="s">
        <v>151</v>
      </c>
      <c r="Q520" s="176"/>
      <c r="R520" s="176" t="s">
        <v>4892</v>
      </c>
      <c r="S520" s="176"/>
      <c r="T520" s="176" t="s">
        <v>2948</v>
      </c>
      <c r="U520" s="176" t="s">
        <v>152</v>
      </c>
      <c r="V520" s="176" t="s">
        <v>23</v>
      </c>
    </row>
    <row r="521" spans="2:22" ht="12.75">
      <c r="B521" s="211">
        <v>46213</v>
      </c>
      <c r="C521" s="211">
        <v>46213</v>
      </c>
      <c r="D521" s="176" t="s">
        <v>4893</v>
      </c>
      <c r="E521" s="176" t="s">
        <v>4894</v>
      </c>
      <c r="F521" s="176" t="s">
        <v>87</v>
      </c>
      <c r="G521" s="176" t="s">
        <v>2552</v>
      </c>
      <c r="H521" s="176">
        <v>40</v>
      </c>
      <c r="I521" s="176">
        <v>32.4</v>
      </c>
      <c r="J521" s="176">
        <v>32.4</v>
      </c>
      <c r="K521" s="176">
        <v>5</v>
      </c>
      <c r="L521" s="176">
        <v>0</v>
      </c>
      <c r="M521" s="176" t="s">
        <v>148</v>
      </c>
      <c r="N521" s="176" t="s">
        <v>149</v>
      </c>
      <c r="O521" s="176" t="s">
        <v>150</v>
      </c>
      <c r="P521" s="176" t="s">
        <v>151</v>
      </c>
      <c r="Q521" s="176"/>
      <c r="R521" s="176" t="s">
        <v>4894</v>
      </c>
      <c r="S521" s="176"/>
      <c r="T521" s="176" t="s">
        <v>2948</v>
      </c>
      <c r="U521" s="176" t="s">
        <v>152</v>
      </c>
      <c r="V521" s="176" t="s">
        <v>23</v>
      </c>
    </row>
    <row r="522" spans="2:22" ht="12.75">
      <c r="B522" s="211">
        <v>46213</v>
      </c>
      <c r="C522" s="211">
        <v>46213</v>
      </c>
      <c r="D522" s="176" t="s">
        <v>4895</v>
      </c>
      <c r="E522" s="176" t="s">
        <v>4896</v>
      </c>
      <c r="F522" s="176" t="s">
        <v>87</v>
      </c>
      <c r="G522" s="176" t="s">
        <v>2552</v>
      </c>
      <c r="H522" s="176">
        <v>40</v>
      </c>
      <c r="I522" s="176">
        <v>34.799999999999997</v>
      </c>
      <c r="J522" s="176">
        <v>34.799999999999997</v>
      </c>
      <c r="K522" s="176">
        <v>5</v>
      </c>
      <c r="L522" s="176">
        <v>0</v>
      </c>
      <c r="M522" s="176" t="s">
        <v>148</v>
      </c>
      <c r="N522" s="176" t="s">
        <v>149</v>
      </c>
      <c r="O522" s="176" t="s">
        <v>150</v>
      </c>
      <c r="P522" s="176" t="s">
        <v>151</v>
      </c>
      <c r="Q522" s="176"/>
      <c r="R522" s="176" t="s">
        <v>4896</v>
      </c>
      <c r="S522" s="176"/>
      <c r="T522" s="176" t="s">
        <v>2948</v>
      </c>
      <c r="U522" s="176" t="s">
        <v>152</v>
      </c>
      <c r="V522" s="176" t="s">
        <v>23</v>
      </c>
    </row>
    <row r="523" spans="2:22" ht="12.75">
      <c r="B523" s="211">
        <v>46213</v>
      </c>
      <c r="C523" s="211">
        <v>46213</v>
      </c>
      <c r="D523" s="176" t="s">
        <v>4897</v>
      </c>
      <c r="E523" s="176" t="s">
        <v>4898</v>
      </c>
      <c r="F523" s="176" t="s">
        <v>87</v>
      </c>
      <c r="G523" s="176" t="s">
        <v>2633</v>
      </c>
      <c r="H523" s="176">
        <v>40</v>
      </c>
      <c r="I523" s="176">
        <v>36.4</v>
      </c>
      <c r="J523" s="176">
        <v>36.4</v>
      </c>
      <c r="K523" s="176">
        <v>5</v>
      </c>
      <c r="L523" s="176">
        <v>0</v>
      </c>
      <c r="M523" s="176" t="s">
        <v>148</v>
      </c>
      <c r="N523" s="176" t="s">
        <v>149</v>
      </c>
      <c r="O523" s="176" t="s">
        <v>150</v>
      </c>
      <c r="P523" s="176" t="s">
        <v>151</v>
      </c>
      <c r="Q523" s="176"/>
      <c r="R523" s="176" t="s">
        <v>4898</v>
      </c>
      <c r="S523" s="176"/>
      <c r="T523" s="176" t="s">
        <v>2948</v>
      </c>
      <c r="U523" s="176" t="s">
        <v>152</v>
      </c>
      <c r="V523" s="176" t="s">
        <v>23</v>
      </c>
    </row>
    <row r="524" spans="2:22" ht="12.75">
      <c r="B524" s="211">
        <v>46213</v>
      </c>
      <c r="C524" s="211">
        <v>46213</v>
      </c>
      <c r="D524" s="176" t="s">
        <v>4899</v>
      </c>
      <c r="E524" s="176" t="s">
        <v>4900</v>
      </c>
      <c r="F524" s="176" t="s">
        <v>87</v>
      </c>
      <c r="G524" s="176" t="s">
        <v>2485</v>
      </c>
      <c r="H524" s="176">
        <v>30</v>
      </c>
      <c r="I524" s="176">
        <v>34.799999999999997</v>
      </c>
      <c r="J524" s="176">
        <v>34.799999999999997</v>
      </c>
      <c r="K524" s="176">
        <v>4</v>
      </c>
      <c r="L524" s="176">
        <v>0</v>
      </c>
      <c r="M524" s="176" t="s">
        <v>148</v>
      </c>
      <c r="N524" s="176" t="s">
        <v>149</v>
      </c>
      <c r="O524" s="176" t="s">
        <v>150</v>
      </c>
      <c r="P524" s="176" t="s">
        <v>151</v>
      </c>
      <c r="Q524" s="176"/>
      <c r="R524" s="176" t="s">
        <v>4900</v>
      </c>
      <c r="S524" s="176"/>
      <c r="T524" s="176" t="s">
        <v>2948</v>
      </c>
      <c r="U524" s="176" t="s">
        <v>152</v>
      </c>
      <c r="V524" s="176" t="s">
        <v>23</v>
      </c>
    </row>
    <row r="525" spans="2:22" ht="12.75">
      <c r="B525" s="211">
        <v>46213</v>
      </c>
      <c r="C525" s="211">
        <v>46213</v>
      </c>
      <c r="D525" s="176" t="s">
        <v>4901</v>
      </c>
      <c r="E525" s="176" t="s">
        <v>4902</v>
      </c>
      <c r="F525" s="176" t="s">
        <v>87</v>
      </c>
      <c r="G525" s="176" t="s">
        <v>2485</v>
      </c>
      <c r="H525" s="176">
        <v>30</v>
      </c>
      <c r="I525" s="176">
        <v>32.799999999999997</v>
      </c>
      <c r="J525" s="176">
        <v>32.799999999999997</v>
      </c>
      <c r="K525" s="176">
        <v>4</v>
      </c>
      <c r="L525" s="176">
        <v>0</v>
      </c>
      <c r="M525" s="176" t="s">
        <v>148</v>
      </c>
      <c r="N525" s="176" t="s">
        <v>149</v>
      </c>
      <c r="O525" s="176" t="s">
        <v>150</v>
      </c>
      <c r="P525" s="176" t="s">
        <v>151</v>
      </c>
      <c r="Q525" s="176"/>
      <c r="R525" s="176" t="s">
        <v>4902</v>
      </c>
      <c r="S525" s="176"/>
      <c r="T525" s="176" t="s">
        <v>2948</v>
      </c>
      <c r="U525" s="176" t="s">
        <v>152</v>
      </c>
      <c r="V525" s="176" t="s">
        <v>23</v>
      </c>
    </row>
    <row r="526" spans="2:22" ht="12.75">
      <c r="B526" s="211">
        <v>46213</v>
      </c>
      <c r="C526" s="211">
        <v>46213</v>
      </c>
      <c r="D526" s="176" t="s">
        <v>4903</v>
      </c>
      <c r="E526" s="176" t="s">
        <v>4904</v>
      </c>
      <c r="F526" s="176" t="s">
        <v>87</v>
      </c>
      <c r="G526" s="176" t="s">
        <v>2552</v>
      </c>
      <c r="H526" s="176">
        <v>40</v>
      </c>
      <c r="I526" s="176">
        <v>35.799999999999997</v>
      </c>
      <c r="J526" s="176">
        <v>35.799999999999997</v>
      </c>
      <c r="K526" s="176">
        <v>5</v>
      </c>
      <c r="L526" s="176">
        <v>0</v>
      </c>
      <c r="M526" s="176" t="s">
        <v>148</v>
      </c>
      <c r="N526" s="176" t="s">
        <v>149</v>
      </c>
      <c r="O526" s="176" t="s">
        <v>150</v>
      </c>
      <c r="P526" s="176" t="s">
        <v>151</v>
      </c>
      <c r="Q526" s="176"/>
      <c r="R526" s="176" t="s">
        <v>4904</v>
      </c>
      <c r="S526" s="176"/>
      <c r="T526" s="176" t="s">
        <v>2948</v>
      </c>
      <c r="U526" s="176" t="s">
        <v>152</v>
      </c>
      <c r="V526" s="176" t="s">
        <v>23</v>
      </c>
    </row>
    <row r="527" spans="2:22" ht="12.75">
      <c r="B527" s="211">
        <v>46213</v>
      </c>
      <c r="C527" s="211">
        <v>46213</v>
      </c>
      <c r="D527" s="176" t="s">
        <v>4905</v>
      </c>
      <c r="E527" s="176" t="s">
        <v>4906</v>
      </c>
      <c r="F527" s="176" t="s">
        <v>87</v>
      </c>
      <c r="G527" s="176" t="s">
        <v>2552</v>
      </c>
      <c r="H527" s="176">
        <v>40</v>
      </c>
      <c r="I527" s="176">
        <v>38.799999999999997</v>
      </c>
      <c r="J527" s="176">
        <v>38.799999999999997</v>
      </c>
      <c r="K527" s="176">
        <v>5</v>
      </c>
      <c r="L527" s="176">
        <v>0</v>
      </c>
      <c r="M527" s="176" t="s">
        <v>148</v>
      </c>
      <c r="N527" s="176" t="s">
        <v>149</v>
      </c>
      <c r="O527" s="176" t="s">
        <v>150</v>
      </c>
      <c r="P527" s="176" t="s">
        <v>151</v>
      </c>
      <c r="Q527" s="176"/>
      <c r="R527" s="176" t="s">
        <v>4906</v>
      </c>
      <c r="S527" s="176"/>
      <c r="T527" s="176" t="s">
        <v>2948</v>
      </c>
      <c r="U527" s="176" t="s">
        <v>152</v>
      </c>
      <c r="V527" s="176" t="s">
        <v>23</v>
      </c>
    </row>
    <row r="528" spans="2:22" ht="12.75">
      <c r="B528" s="211">
        <v>46213</v>
      </c>
      <c r="C528" s="211">
        <v>46213</v>
      </c>
      <c r="D528" s="176" t="s">
        <v>4907</v>
      </c>
      <c r="E528" s="176" t="s">
        <v>4908</v>
      </c>
      <c r="F528" s="176" t="s">
        <v>87</v>
      </c>
      <c r="G528" s="176" t="s">
        <v>2552</v>
      </c>
      <c r="H528" s="176">
        <v>40</v>
      </c>
      <c r="I528" s="176">
        <v>37.799999999999997</v>
      </c>
      <c r="J528" s="176">
        <v>37.799999999999997</v>
      </c>
      <c r="K528" s="176">
        <v>5</v>
      </c>
      <c r="L528" s="176">
        <v>0</v>
      </c>
      <c r="M528" s="176" t="s">
        <v>148</v>
      </c>
      <c r="N528" s="176" t="s">
        <v>149</v>
      </c>
      <c r="O528" s="176" t="s">
        <v>150</v>
      </c>
      <c r="P528" s="176" t="s">
        <v>151</v>
      </c>
      <c r="Q528" s="176"/>
      <c r="R528" s="176" t="s">
        <v>4908</v>
      </c>
      <c r="S528" s="176"/>
      <c r="T528" s="176" t="s">
        <v>2948</v>
      </c>
      <c r="U528" s="176" t="s">
        <v>152</v>
      </c>
      <c r="V528" s="176" t="s">
        <v>23</v>
      </c>
    </row>
    <row r="529" spans="2:22" ht="12.75">
      <c r="B529" s="211">
        <v>46213</v>
      </c>
      <c r="C529" s="211">
        <v>46213</v>
      </c>
      <c r="D529" s="176" t="s">
        <v>4909</v>
      </c>
      <c r="E529" s="176" t="s">
        <v>4910</v>
      </c>
      <c r="F529" s="176" t="s">
        <v>87</v>
      </c>
      <c r="G529" s="176" t="s">
        <v>2486</v>
      </c>
      <c r="H529" s="176">
        <v>40</v>
      </c>
      <c r="I529" s="176">
        <v>37.9</v>
      </c>
      <c r="J529" s="176">
        <v>37.9</v>
      </c>
      <c r="K529" s="176">
        <v>5</v>
      </c>
      <c r="L529" s="176">
        <v>0</v>
      </c>
      <c r="M529" s="176" t="s">
        <v>148</v>
      </c>
      <c r="N529" s="176" t="s">
        <v>149</v>
      </c>
      <c r="O529" s="176" t="s">
        <v>150</v>
      </c>
      <c r="P529" s="176" t="s">
        <v>151</v>
      </c>
      <c r="Q529" s="176"/>
      <c r="R529" s="176" t="s">
        <v>4910</v>
      </c>
      <c r="S529" s="176"/>
      <c r="T529" s="176" t="s">
        <v>2948</v>
      </c>
      <c r="U529" s="176" t="s">
        <v>152</v>
      </c>
      <c r="V529" s="176" t="s">
        <v>23</v>
      </c>
    </row>
    <row r="530" spans="2:22" ht="12" customHeight="1">
      <c r="B530" s="211">
        <v>46213</v>
      </c>
      <c r="C530" s="211">
        <v>46213</v>
      </c>
      <c r="D530" s="176" t="s">
        <v>4911</v>
      </c>
      <c r="E530" s="176" t="s">
        <v>4912</v>
      </c>
      <c r="F530" s="176" t="s">
        <v>87</v>
      </c>
      <c r="G530" s="176" t="s">
        <v>2486</v>
      </c>
      <c r="H530" s="176">
        <v>40</v>
      </c>
      <c r="I530" s="176">
        <v>37.799999999999997</v>
      </c>
      <c r="J530" s="176">
        <v>37.799999999999997</v>
      </c>
      <c r="K530" s="176">
        <v>5</v>
      </c>
      <c r="L530" s="176">
        <v>0</v>
      </c>
      <c r="M530" s="176" t="s">
        <v>148</v>
      </c>
      <c r="N530" s="176" t="s">
        <v>149</v>
      </c>
      <c r="O530" s="176" t="s">
        <v>150</v>
      </c>
      <c r="P530" s="176" t="s">
        <v>151</v>
      </c>
      <c r="Q530" s="176"/>
      <c r="R530" s="176" t="s">
        <v>4912</v>
      </c>
      <c r="S530" s="176"/>
      <c r="T530" s="176" t="s">
        <v>2948</v>
      </c>
      <c r="U530" s="176" t="s">
        <v>152</v>
      </c>
      <c r="V530" s="176" t="s">
        <v>23</v>
      </c>
    </row>
    <row r="531" spans="2:22" ht="12" customHeight="1">
      <c r="B531" s="211">
        <v>46213</v>
      </c>
      <c r="C531" s="211">
        <v>46213</v>
      </c>
      <c r="D531" s="176" t="s">
        <v>4913</v>
      </c>
      <c r="E531" s="176" t="s">
        <v>4914</v>
      </c>
      <c r="F531" s="176" t="s">
        <v>87</v>
      </c>
      <c r="G531" s="176" t="s">
        <v>2486</v>
      </c>
      <c r="H531" s="176">
        <v>40</v>
      </c>
      <c r="I531" s="176">
        <v>42.8</v>
      </c>
      <c r="J531" s="176">
        <v>42.8</v>
      </c>
      <c r="K531" s="176">
        <v>5</v>
      </c>
      <c r="L531" s="176">
        <v>0</v>
      </c>
      <c r="M531" s="176" t="s">
        <v>148</v>
      </c>
      <c r="N531" s="176" t="s">
        <v>149</v>
      </c>
      <c r="O531" s="176" t="s">
        <v>150</v>
      </c>
      <c r="P531" s="176" t="s">
        <v>151</v>
      </c>
      <c r="Q531" s="176"/>
      <c r="R531" s="176" t="s">
        <v>4914</v>
      </c>
      <c r="S531" s="176"/>
      <c r="T531" s="176" t="s">
        <v>2948</v>
      </c>
      <c r="U531" s="176" t="s">
        <v>152</v>
      </c>
      <c r="V531" s="176" t="s">
        <v>23</v>
      </c>
    </row>
    <row r="532" spans="2:22" ht="12" customHeight="1">
      <c r="B532" s="211">
        <v>46213</v>
      </c>
      <c r="C532" s="211">
        <v>46213</v>
      </c>
      <c r="D532" s="176" t="s">
        <v>4915</v>
      </c>
      <c r="E532" s="176" t="s">
        <v>4916</v>
      </c>
      <c r="F532" s="176" t="s">
        <v>87</v>
      </c>
      <c r="G532" s="176" t="s">
        <v>2486</v>
      </c>
      <c r="H532" s="176">
        <v>40</v>
      </c>
      <c r="I532" s="176">
        <v>40.6</v>
      </c>
      <c r="J532" s="176">
        <v>40.6</v>
      </c>
      <c r="K532" s="176">
        <v>5</v>
      </c>
      <c r="L532" s="176">
        <v>0</v>
      </c>
      <c r="M532" s="176" t="s">
        <v>148</v>
      </c>
      <c r="N532" s="176" t="s">
        <v>149</v>
      </c>
      <c r="O532" s="176" t="s">
        <v>150</v>
      </c>
      <c r="P532" s="176" t="s">
        <v>151</v>
      </c>
      <c r="Q532" s="176"/>
      <c r="R532" s="176" t="s">
        <v>4916</v>
      </c>
      <c r="S532" s="176"/>
      <c r="T532" s="176" t="s">
        <v>2948</v>
      </c>
      <c r="U532" s="176" t="s">
        <v>152</v>
      </c>
      <c r="V532" s="176" t="s">
        <v>23</v>
      </c>
    </row>
    <row r="533" spans="2:22" ht="12" customHeight="1">
      <c r="B533" s="211">
        <v>46213</v>
      </c>
      <c r="C533" s="211">
        <v>46213</v>
      </c>
      <c r="D533" s="176" t="s">
        <v>4917</v>
      </c>
      <c r="E533" s="176" t="s">
        <v>4918</v>
      </c>
      <c r="F533" s="176" t="s">
        <v>87</v>
      </c>
      <c r="G533" s="176" t="s">
        <v>2485</v>
      </c>
      <c r="H533" s="176">
        <v>30</v>
      </c>
      <c r="I533" s="176">
        <v>33.299999999999997</v>
      </c>
      <c r="J533" s="176">
        <v>33.299999999999997</v>
      </c>
      <c r="K533" s="176">
        <v>4</v>
      </c>
      <c r="L533" s="176">
        <v>0</v>
      </c>
      <c r="M533" s="176" t="s">
        <v>148</v>
      </c>
      <c r="N533" s="176" t="s">
        <v>149</v>
      </c>
      <c r="O533" s="176" t="s">
        <v>150</v>
      </c>
      <c r="P533" s="176" t="s">
        <v>151</v>
      </c>
      <c r="Q533" s="176"/>
      <c r="R533" s="176" t="s">
        <v>4918</v>
      </c>
      <c r="S533" s="176"/>
      <c r="T533" s="176" t="s">
        <v>2948</v>
      </c>
      <c r="U533" s="176" t="s">
        <v>152</v>
      </c>
      <c r="V533" s="176" t="s">
        <v>23</v>
      </c>
    </row>
    <row r="534" spans="2:22" ht="12" customHeight="1">
      <c r="B534" s="211">
        <v>46213</v>
      </c>
      <c r="C534" s="211">
        <v>46213</v>
      </c>
      <c r="D534" s="176" t="s">
        <v>4919</v>
      </c>
      <c r="E534" s="176" t="s">
        <v>4920</v>
      </c>
      <c r="F534" s="176" t="s">
        <v>87</v>
      </c>
      <c r="G534" s="176" t="s">
        <v>2552</v>
      </c>
      <c r="H534" s="176">
        <v>40</v>
      </c>
      <c r="I534" s="176">
        <v>37.799999999999997</v>
      </c>
      <c r="J534" s="176">
        <v>37.799999999999997</v>
      </c>
      <c r="K534" s="176">
        <v>5</v>
      </c>
      <c r="L534" s="176">
        <v>0</v>
      </c>
      <c r="M534" s="176" t="s">
        <v>148</v>
      </c>
      <c r="N534" s="176" t="s">
        <v>149</v>
      </c>
      <c r="O534" s="176" t="s">
        <v>150</v>
      </c>
      <c r="P534" s="176" t="s">
        <v>151</v>
      </c>
      <c r="Q534" s="176"/>
      <c r="R534" s="176" t="s">
        <v>4920</v>
      </c>
      <c r="S534" s="176"/>
      <c r="T534" s="176" t="s">
        <v>2948</v>
      </c>
      <c r="U534" s="176" t="s">
        <v>152</v>
      </c>
      <c r="V534" s="176" t="s">
        <v>23</v>
      </c>
    </row>
    <row r="535" spans="2:22" ht="12" customHeight="1">
      <c r="B535" s="211">
        <v>46213</v>
      </c>
      <c r="C535" s="211">
        <v>46213</v>
      </c>
      <c r="D535" s="176" t="s">
        <v>4921</v>
      </c>
      <c r="E535" s="176" t="s">
        <v>4922</v>
      </c>
      <c r="F535" s="176" t="s">
        <v>87</v>
      </c>
      <c r="G535" s="176" t="s">
        <v>2486</v>
      </c>
      <c r="H535" s="176">
        <v>40</v>
      </c>
      <c r="I535" s="176">
        <v>35.799999999999997</v>
      </c>
      <c r="J535" s="176">
        <v>35.799999999999997</v>
      </c>
      <c r="K535" s="176">
        <v>5</v>
      </c>
      <c r="L535" s="176">
        <v>0</v>
      </c>
      <c r="M535" s="176" t="s">
        <v>148</v>
      </c>
      <c r="N535" s="176" t="s">
        <v>149</v>
      </c>
      <c r="O535" s="176" t="s">
        <v>150</v>
      </c>
      <c r="P535" s="176" t="s">
        <v>151</v>
      </c>
      <c r="Q535" s="176"/>
      <c r="R535" s="176" t="s">
        <v>4922</v>
      </c>
      <c r="S535" s="176"/>
      <c r="T535" s="176" t="s">
        <v>2948</v>
      </c>
      <c r="U535" s="176" t="s">
        <v>152</v>
      </c>
      <c r="V535" s="176" t="s">
        <v>23</v>
      </c>
    </row>
    <row r="536" spans="2:22" ht="12" customHeight="1">
      <c r="B536" s="211">
        <v>46213</v>
      </c>
      <c r="C536" s="211">
        <v>46213</v>
      </c>
      <c r="D536" s="176" t="s">
        <v>4923</v>
      </c>
      <c r="E536" s="176" t="s">
        <v>4924</v>
      </c>
      <c r="F536" s="176" t="s">
        <v>87</v>
      </c>
      <c r="G536" s="176" t="s">
        <v>2001</v>
      </c>
      <c r="H536" s="176">
        <v>6</v>
      </c>
      <c r="I536" s="176">
        <v>26.4</v>
      </c>
      <c r="J536" s="176">
        <v>26.4</v>
      </c>
      <c r="K536" s="176">
        <v>1.5</v>
      </c>
      <c r="L536" s="176">
        <v>0</v>
      </c>
      <c r="M536" s="176" t="s">
        <v>148</v>
      </c>
      <c r="N536" s="176" t="s">
        <v>149</v>
      </c>
      <c r="O536" s="176" t="s">
        <v>150</v>
      </c>
      <c r="P536" s="176" t="s">
        <v>151</v>
      </c>
      <c r="Q536" s="176"/>
      <c r="R536" s="176" t="s">
        <v>4924</v>
      </c>
      <c r="S536" s="176"/>
      <c r="T536" s="176" t="s">
        <v>2948</v>
      </c>
      <c r="U536" s="176" t="s">
        <v>152</v>
      </c>
      <c r="V536" s="176" t="s">
        <v>23</v>
      </c>
    </row>
    <row r="537" spans="2:22" ht="12" customHeight="1">
      <c r="B537" s="211">
        <v>46213</v>
      </c>
      <c r="C537" s="211">
        <v>46213</v>
      </c>
      <c r="D537" s="176" t="s">
        <v>4925</v>
      </c>
      <c r="E537" s="176" t="s">
        <v>4926</v>
      </c>
      <c r="F537" s="176" t="s">
        <v>87</v>
      </c>
      <c r="G537" s="176" t="s">
        <v>2486</v>
      </c>
      <c r="H537" s="176">
        <v>40</v>
      </c>
      <c r="I537" s="176">
        <v>17.8</v>
      </c>
      <c r="J537" s="176">
        <v>17.8</v>
      </c>
      <c r="K537" s="176">
        <v>5</v>
      </c>
      <c r="L537" s="176">
        <v>0</v>
      </c>
      <c r="M537" s="176" t="s">
        <v>148</v>
      </c>
      <c r="N537" s="176" t="s">
        <v>149</v>
      </c>
      <c r="O537" s="176" t="s">
        <v>150</v>
      </c>
      <c r="P537" s="176" t="s">
        <v>151</v>
      </c>
      <c r="Q537" s="176"/>
      <c r="R537" s="176" t="s">
        <v>4926</v>
      </c>
      <c r="S537" s="176"/>
      <c r="T537" s="176" t="s">
        <v>2948</v>
      </c>
      <c r="U537" s="176" t="s">
        <v>152</v>
      </c>
      <c r="V537" s="176" t="s">
        <v>23</v>
      </c>
    </row>
    <row r="538" spans="2:22" ht="12" customHeight="1">
      <c r="B538" s="211">
        <v>46213</v>
      </c>
      <c r="C538" s="211">
        <v>46213</v>
      </c>
      <c r="D538" s="176" t="s">
        <v>4927</v>
      </c>
      <c r="E538" s="176" t="s">
        <v>4928</v>
      </c>
      <c r="F538" s="176" t="s">
        <v>87</v>
      </c>
      <c r="G538" s="176" t="s">
        <v>4929</v>
      </c>
      <c r="H538" s="176">
        <v>55</v>
      </c>
      <c r="I538" s="176">
        <v>20.8</v>
      </c>
      <c r="J538" s="176">
        <v>20.8</v>
      </c>
      <c r="K538" s="176">
        <v>5</v>
      </c>
      <c r="L538" s="176">
        <v>0</v>
      </c>
      <c r="M538" s="176" t="s">
        <v>148</v>
      </c>
      <c r="N538" s="176" t="s">
        <v>149</v>
      </c>
      <c r="O538" s="176" t="s">
        <v>150</v>
      </c>
      <c r="P538" s="176" t="s">
        <v>151</v>
      </c>
      <c r="Q538" s="176"/>
      <c r="R538" s="176" t="s">
        <v>4928</v>
      </c>
      <c r="S538" s="176"/>
      <c r="T538" s="176" t="s">
        <v>2948</v>
      </c>
      <c r="U538" s="176" t="s">
        <v>152</v>
      </c>
      <c r="V538" s="176" t="s">
        <v>23</v>
      </c>
    </row>
    <row r="539" spans="2:22" ht="12" customHeight="1">
      <c r="B539" s="211">
        <v>46213</v>
      </c>
      <c r="C539" s="211">
        <v>46213</v>
      </c>
      <c r="D539" s="176" t="s">
        <v>4930</v>
      </c>
      <c r="E539" s="176" t="s">
        <v>4931</v>
      </c>
      <c r="F539" s="176" t="s">
        <v>87</v>
      </c>
      <c r="G539" s="176" t="s">
        <v>2552</v>
      </c>
      <c r="H539" s="176">
        <v>40</v>
      </c>
      <c r="I539" s="176">
        <v>18.8</v>
      </c>
      <c r="J539" s="176">
        <v>18.8</v>
      </c>
      <c r="K539" s="176">
        <v>5</v>
      </c>
      <c r="L539" s="176">
        <v>0</v>
      </c>
      <c r="M539" s="176" t="s">
        <v>148</v>
      </c>
      <c r="N539" s="176" t="s">
        <v>149</v>
      </c>
      <c r="O539" s="176" t="s">
        <v>150</v>
      </c>
      <c r="P539" s="176" t="s">
        <v>151</v>
      </c>
      <c r="Q539" s="176"/>
      <c r="R539" s="176" t="s">
        <v>4931</v>
      </c>
      <c r="S539" s="176"/>
      <c r="T539" s="176" t="s">
        <v>2948</v>
      </c>
      <c r="U539" s="176" t="s">
        <v>152</v>
      </c>
      <c r="V539" s="176" t="s">
        <v>23</v>
      </c>
    </row>
    <row r="540" spans="2:22" ht="12" customHeight="1">
      <c r="B540" s="211">
        <v>46213</v>
      </c>
      <c r="C540" s="211">
        <v>46213</v>
      </c>
      <c r="D540" s="176" t="s">
        <v>4932</v>
      </c>
      <c r="E540" s="176" t="s">
        <v>4933</v>
      </c>
      <c r="F540" s="176" t="s">
        <v>87</v>
      </c>
      <c r="G540" s="176" t="s">
        <v>2639</v>
      </c>
      <c r="H540" s="176">
        <v>25</v>
      </c>
      <c r="I540" s="176">
        <v>38.799999999999997</v>
      </c>
      <c r="J540" s="176">
        <v>38.799999999999997</v>
      </c>
      <c r="K540" s="176">
        <v>4</v>
      </c>
      <c r="L540" s="176">
        <v>0</v>
      </c>
      <c r="M540" s="176" t="s">
        <v>148</v>
      </c>
      <c r="N540" s="176" t="s">
        <v>149</v>
      </c>
      <c r="O540" s="176" t="s">
        <v>150</v>
      </c>
      <c r="P540" s="176" t="s">
        <v>151</v>
      </c>
      <c r="Q540" s="176"/>
      <c r="R540" s="176" t="s">
        <v>4933</v>
      </c>
      <c r="S540" s="176"/>
      <c r="T540" s="176" t="s">
        <v>2948</v>
      </c>
      <c r="U540" s="176" t="s">
        <v>152</v>
      </c>
      <c r="V540" s="176" t="s">
        <v>23</v>
      </c>
    </row>
    <row r="541" spans="2:22" ht="12" customHeight="1">
      <c r="B541" s="211">
        <v>46213</v>
      </c>
      <c r="C541" s="211">
        <v>46213</v>
      </c>
      <c r="D541" s="176" t="s">
        <v>4934</v>
      </c>
      <c r="E541" s="176" t="s">
        <v>4935</v>
      </c>
      <c r="F541" s="176" t="s">
        <v>87</v>
      </c>
      <c r="G541" s="176" t="s">
        <v>2552</v>
      </c>
      <c r="H541" s="176">
        <v>40</v>
      </c>
      <c r="I541" s="176">
        <v>33.799999999999997</v>
      </c>
      <c r="J541" s="176">
        <v>33.799999999999997</v>
      </c>
      <c r="K541" s="176">
        <v>5</v>
      </c>
      <c r="L541" s="176">
        <v>0</v>
      </c>
      <c r="M541" s="176" t="s">
        <v>148</v>
      </c>
      <c r="N541" s="176" t="s">
        <v>149</v>
      </c>
      <c r="O541" s="176" t="s">
        <v>150</v>
      </c>
      <c r="P541" s="176" t="s">
        <v>151</v>
      </c>
      <c r="Q541" s="176"/>
      <c r="R541" s="176" t="s">
        <v>4935</v>
      </c>
      <c r="S541" s="176"/>
      <c r="T541" s="176" t="s">
        <v>2948</v>
      </c>
      <c r="U541" s="176" t="s">
        <v>152</v>
      </c>
      <c r="V541" s="176" t="s">
        <v>23</v>
      </c>
    </row>
    <row r="542" spans="2:22" ht="12" customHeight="1">
      <c r="B542" s="211">
        <v>46213</v>
      </c>
      <c r="C542" s="211">
        <v>46213</v>
      </c>
      <c r="D542" s="176" t="s">
        <v>4936</v>
      </c>
      <c r="E542" s="176" t="s">
        <v>4937</v>
      </c>
      <c r="F542" s="176" t="s">
        <v>87</v>
      </c>
      <c r="G542" s="176" t="s">
        <v>2486</v>
      </c>
      <c r="H542" s="176">
        <v>40</v>
      </c>
      <c r="I542" s="176">
        <v>40</v>
      </c>
      <c r="J542" s="176">
        <v>40</v>
      </c>
      <c r="K542" s="176">
        <v>5</v>
      </c>
      <c r="L542" s="176">
        <v>0</v>
      </c>
      <c r="M542" s="176" t="s">
        <v>148</v>
      </c>
      <c r="N542" s="176" t="s">
        <v>149</v>
      </c>
      <c r="O542" s="176" t="s">
        <v>150</v>
      </c>
      <c r="P542" s="176" t="s">
        <v>151</v>
      </c>
      <c r="Q542" s="176"/>
      <c r="R542" s="176" t="s">
        <v>4937</v>
      </c>
      <c r="S542" s="176"/>
      <c r="T542" s="176" t="s">
        <v>2948</v>
      </c>
      <c r="U542" s="176" t="s">
        <v>152</v>
      </c>
      <c r="V542" s="176" t="s">
        <v>23</v>
      </c>
    </row>
    <row r="543" spans="2:22" ht="12" customHeight="1">
      <c r="B543" s="211">
        <v>46213</v>
      </c>
      <c r="C543" s="211">
        <v>46213</v>
      </c>
      <c r="D543" s="176" t="s">
        <v>4938</v>
      </c>
      <c r="E543" s="176" t="s">
        <v>4939</v>
      </c>
      <c r="F543" s="176" t="s">
        <v>87</v>
      </c>
      <c r="G543" s="176" t="s">
        <v>2552</v>
      </c>
      <c r="H543" s="176">
        <v>40</v>
      </c>
      <c r="I543" s="176">
        <v>37.299999999999997</v>
      </c>
      <c r="J543" s="176">
        <v>37.299999999999997</v>
      </c>
      <c r="K543" s="176">
        <v>5</v>
      </c>
      <c r="L543" s="176">
        <v>0</v>
      </c>
      <c r="M543" s="176" t="s">
        <v>148</v>
      </c>
      <c r="N543" s="176" t="s">
        <v>149</v>
      </c>
      <c r="O543" s="176" t="s">
        <v>150</v>
      </c>
      <c r="P543" s="176" t="s">
        <v>151</v>
      </c>
      <c r="Q543" s="176"/>
      <c r="R543" s="176" t="s">
        <v>4939</v>
      </c>
      <c r="S543" s="176"/>
      <c r="T543" s="176" t="s">
        <v>2948</v>
      </c>
      <c r="U543" s="176" t="s">
        <v>152</v>
      </c>
      <c r="V543" s="176" t="s">
        <v>23</v>
      </c>
    </row>
    <row r="544" spans="2:22" ht="12" customHeight="1">
      <c r="B544" s="211">
        <v>46213</v>
      </c>
      <c r="C544" s="211">
        <v>46213</v>
      </c>
      <c r="D544" s="176" t="s">
        <v>4940</v>
      </c>
      <c r="E544" s="176" t="s">
        <v>4941</v>
      </c>
      <c r="F544" s="176" t="s">
        <v>87</v>
      </c>
      <c r="G544" s="176" t="s">
        <v>2486</v>
      </c>
      <c r="H544" s="176">
        <v>40</v>
      </c>
      <c r="I544" s="176">
        <v>29.8</v>
      </c>
      <c r="J544" s="176">
        <v>29.8</v>
      </c>
      <c r="K544" s="176">
        <v>5</v>
      </c>
      <c r="L544" s="176">
        <v>0</v>
      </c>
      <c r="M544" s="176" t="s">
        <v>148</v>
      </c>
      <c r="N544" s="176" t="s">
        <v>149</v>
      </c>
      <c r="O544" s="176" t="s">
        <v>150</v>
      </c>
      <c r="P544" s="176" t="s">
        <v>151</v>
      </c>
      <c r="Q544" s="176"/>
      <c r="R544" s="176" t="s">
        <v>4941</v>
      </c>
      <c r="S544" s="176"/>
      <c r="T544" s="176" t="s">
        <v>2948</v>
      </c>
      <c r="U544" s="176" t="s">
        <v>152</v>
      </c>
      <c r="V544" s="176" t="s">
        <v>23</v>
      </c>
    </row>
    <row r="545" spans="2:22" ht="12" customHeight="1">
      <c r="B545" s="211">
        <v>46213</v>
      </c>
      <c r="C545" s="211">
        <v>46213</v>
      </c>
      <c r="D545" s="176" t="s">
        <v>4942</v>
      </c>
      <c r="E545" s="176" t="s">
        <v>4943</v>
      </c>
      <c r="F545" s="176" t="s">
        <v>87</v>
      </c>
      <c r="G545" s="176" t="s">
        <v>4929</v>
      </c>
      <c r="H545" s="176">
        <v>55</v>
      </c>
      <c r="I545" s="176">
        <v>38.200000000000003</v>
      </c>
      <c r="J545" s="176">
        <v>38.200000000000003</v>
      </c>
      <c r="K545" s="176">
        <v>5</v>
      </c>
      <c r="L545" s="176">
        <v>0</v>
      </c>
      <c r="M545" s="176" t="s">
        <v>148</v>
      </c>
      <c r="N545" s="176" t="s">
        <v>149</v>
      </c>
      <c r="O545" s="176" t="s">
        <v>150</v>
      </c>
      <c r="P545" s="176" t="s">
        <v>151</v>
      </c>
      <c r="Q545" s="176"/>
      <c r="R545" s="176" t="s">
        <v>4943</v>
      </c>
      <c r="S545" s="176"/>
      <c r="T545" s="176" t="s">
        <v>2948</v>
      </c>
      <c r="U545" s="176" t="s">
        <v>152</v>
      </c>
      <c r="V545" s="176" t="s">
        <v>23</v>
      </c>
    </row>
    <row r="546" spans="2:22" ht="12" customHeight="1">
      <c r="B546" s="211">
        <v>46213</v>
      </c>
      <c r="C546" s="211">
        <v>46213</v>
      </c>
      <c r="D546" s="176" t="s">
        <v>4944</v>
      </c>
      <c r="E546" s="176" t="s">
        <v>4945</v>
      </c>
      <c r="F546" s="176" t="s">
        <v>87</v>
      </c>
      <c r="G546" s="176" t="s">
        <v>2639</v>
      </c>
      <c r="H546" s="176">
        <v>25</v>
      </c>
      <c r="I546" s="176">
        <v>30.5</v>
      </c>
      <c r="J546" s="176">
        <v>30.5</v>
      </c>
      <c r="K546" s="176">
        <v>4</v>
      </c>
      <c r="L546" s="176">
        <v>0</v>
      </c>
      <c r="M546" s="176" t="s">
        <v>148</v>
      </c>
      <c r="N546" s="176" t="s">
        <v>149</v>
      </c>
      <c r="O546" s="176" t="s">
        <v>150</v>
      </c>
      <c r="P546" s="176" t="s">
        <v>151</v>
      </c>
      <c r="Q546" s="176"/>
      <c r="R546" s="176" t="s">
        <v>4945</v>
      </c>
      <c r="S546" s="176"/>
      <c r="T546" s="176" t="s">
        <v>2948</v>
      </c>
      <c r="U546" s="176" t="s">
        <v>152</v>
      </c>
      <c r="V546" s="176" t="s">
        <v>23</v>
      </c>
    </row>
    <row r="547" spans="2:22" ht="12" customHeight="1">
      <c r="B547" s="211">
        <v>46213</v>
      </c>
      <c r="C547" s="211">
        <v>46213</v>
      </c>
      <c r="D547" s="176" t="s">
        <v>4946</v>
      </c>
      <c r="E547" s="176" t="s">
        <v>4947</v>
      </c>
      <c r="F547" s="176" t="s">
        <v>87</v>
      </c>
      <c r="G547" s="176" t="s">
        <v>2552</v>
      </c>
      <c r="H547" s="176">
        <v>40</v>
      </c>
      <c r="I547" s="176">
        <v>37.799999999999997</v>
      </c>
      <c r="J547" s="176">
        <v>37.799999999999997</v>
      </c>
      <c r="K547" s="176">
        <v>5</v>
      </c>
      <c r="L547" s="176">
        <v>0</v>
      </c>
      <c r="M547" s="176" t="s">
        <v>148</v>
      </c>
      <c r="N547" s="176" t="s">
        <v>149</v>
      </c>
      <c r="O547" s="176" t="s">
        <v>150</v>
      </c>
      <c r="P547" s="176" t="s">
        <v>151</v>
      </c>
      <c r="Q547" s="176"/>
      <c r="R547" s="176" t="s">
        <v>4947</v>
      </c>
      <c r="S547" s="176"/>
      <c r="T547" s="176" t="s">
        <v>2948</v>
      </c>
      <c r="U547" s="176" t="s">
        <v>152</v>
      </c>
      <c r="V547" s="176" t="s">
        <v>23</v>
      </c>
    </row>
    <row r="548" spans="2:22" ht="12" customHeight="1">
      <c r="B548" s="211">
        <v>46213</v>
      </c>
      <c r="C548" s="211">
        <v>46213</v>
      </c>
      <c r="D548" s="176" t="s">
        <v>4948</v>
      </c>
      <c r="E548" s="176" t="s">
        <v>4949</v>
      </c>
      <c r="F548" s="176" t="s">
        <v>87</v>
      </c>
      <c r="G548" s="176" t="s">
        <v>2486</v>
      </c>
      <c r="H548" s="176">
        <v>40</v>
      </c>
      <c r="I548" s="176">
        <v>39.700000000000003</v>
      </c>
      <c r="J548" s="176">
        <v>39.700000000000003</v>
      </c>
      <c r="K548" s="176">
        <v>5</v>
      </c>
      <c r="L548" s="176">
        <v>0</v>
      </c>
      <c r="M548" s="176" t="s">
        <v>148</v>
      </c>
      <c r="N548" s="176" t="s">
        <v>149</v>
      </c>
      <c r="O548" s="176" t="s">
        <v>150</v>
      </c>
      <c r="P548" s="176" t="s">
        <v>151</v>
      </c>
      <c r="Q548" s="176"/>
      <c r="R548" s="176" t="s">
        <v>4949</v>
      </c>
      <c r="S548" s="176"/>
      <c r="T548" s="176" t="s">
        <v>2948</v>
      </c>
      <c r="U548" s="176" t="s">
        <v>152</v>
      </c>
      <c r="V548" s="176" t="s">
        <v>23</v>
      </c>
    </row>
    <row r="549" spans="2:22" ht="12" customHeight="1">
      <c r="B549" s="211">
        <v>46213</v>
      </c>
      <c r="C549" s="211">
        <v>46213</v>
      </c>
      <c r="D549" s="176" t="s">
        <v>4950</v>
      </c>
      <c r="E549" s="176" t="s">
        <v>4951</v>
      </c>
      <c r="F549" s="176" t="s">
        <v>87</v>
      </c>
      <c r="G549" s="176" t="s">
        <v>2552</v>
      </c>
      <c r="H549" s="176">
        <v>40</v>
      </c>
      <c r="I549" s="176">
        <v>42.5</v>
      </c>
      <c r="J549" s="176">
        <v>42.5</v>
      </c>
      <c r="K549" s="176">
        <v>5</v>
      </c>
      <c r="L549" s="176">
        <v>0</v>
      </c>
      <c r="M549" s="176" t="s">
        <v>148</v>
      </c>
      <c r="N549" s="176" t="s">
        <v>149</v>
      </c>
      <c r="O549" s="176" t="s">
        <v>150</v>
      </c>
      <c r="P549" s="176" t="s">
        <v>151</v>
      </c>
      <c r="Q549" s="176"/>
      <c r="R549" s="176" t="s">
        <v>4951</v>
      </c>
      <c r="S549" s="176"/>
      <c r="T549" s="176" t="s">
        <v>2948</v>
      </c>
      <c r="U549" s="176" t="s">
        <v>152</v>
      </c>
      <c r="V549" s="176" t="s">
        <v>23</v>
      </c>
    </row>
    <row r="550" spans="2:22" ht="12" customHeight="1">
      <c r="B550" s="211">
        <v>46213</v>
      </c>
      <c r="C550" s="211">
        <v>46213</v>
      </c>
      <c r="D550" s="176" t="s">
        <v>4952</v>
      </c>
      <c r="E550" s="176" t="s">
        <v>4953</v>
      </c>
      <c r="F550" s="176" t="s">
        <v>87</v>
      </c>
      <c r="G550" s="176" t="s">
        <v>2552</v>
      </c>
      <c r="H550" s="176">
        <v>40</v>
      </c>
      <c r="I550" s="176">
        <v>32.799999999999997</v>
      </c>
      <c r="J550" s="176">
        <v>32.799999999999997</v>
      </c>
      <c r="K550" s="176">
        <v>5</v>
      </c>
      <c r="L550" s="176">
        <v>0</v>
      </c>
      <c r="M550" s="176" t="s">
        <v>148</v>
      </c>
      <c r="N550" s="176" t="s">
        <v>149</v>
      </c>
      <c r="O550" s="176" t="s">
        <v>150</v>
      </c>
      <c r="P550" s="176" t="s">
        <v>151</v>
      </c>
      <c r="Q550" s="176"/>
      <c r="R550" s="176" t="s">
        <v>4953</v>
      </c>
      <c r="S550" s="176"/>
      <c r="T550" s="176" t="s">
        <v>2948</v>
      </c>
      <c r="U550" s="176" t="s">
        <v>152</v>
      </c>
      <c r="V550" s="176" t="s">
        <v>23</v>
      </c>
    </row>
    <row r="551" spans="2:22" ht="12" customHeight="1">
      <c r="B551" s="211">
        <v>46213</v>
      </c>
      <c r="C551" s="211">
        <v>46213</v>
      </c>
      <c r="D551" s="176" t="s">
        <v>4954</v>
      </c>
      <c r="E551" s="176" t="s">
        <v>4955</v>
      </c>
      <c r="F551" s="176" t="s">
        <v>87</v>
      </c>
      <c r="G551" s="176" t="s">
        <v>2485</v>
      </c>
      <c r="H551" s="176">
        <v>30</v>
      </c>
      <c r="I551" s="176">
        <v>37</v>
      </c>
      <c r="J551" s="176">
        <v>37</v>
      </c>
      <c r="K551" s="176">
        <v>4</v>
      </c>
      <c r="L551" s="176">
        <v>0</v>
      </c>
      <c r="M551" s="176" t="s">
        <v>148</v>
      </c>
      <c r="N551" s="176" t="s">
        <v>149</v>
      </c>
      <c r="O551" s="176" t="s">
        <v>150</v>
      </c>
      <c r="P551" s="176" t="s">
        <v>151</v>
      </c>
      <c r="Q551" s="176"/>
      <c r="R551" s="176" t="s">
        <v>4955</v>
      </c>
      <c r="S551" s="176"/>
      <c r="T551" s="176" t="s">
        <v>2948</v>
      </c>
      <c r="U551" s="176" t="s">
        <v>152</v>
      </c>
      <c r="V551" s="176" t="s">
        <v>23</v>
      </c>
    </row>
    <row r="552" spans="2:22" ht="12" customHeight="1">
      <c r="B552" s="211">
        <v>46213</v>
      </c>
      <c r="C552" s="211">
        <v>46213</v>
      </c>
      <c r="D552" s="176" t="s">
        <v>4956</v>
      </c>
      <c r="E552" s="176" t="s">
        <v>4957</v>
      </c>
      <c r="F552" s="176" t="s">
        <v>87</v>
      </c>
      <c r="G552" s="176" t="s">
        <v>2486</v>
      </c>
      <c r="H552" s="176">
        <v>40</v>
      </c>
      <c r="I552" s="176">
        <v>42.3</v>
      </c>
      <c r="J552" s="176">
        <v>42.3</v>
      </c>
      <c r="K552" s="176">
        <v>5</v>
      </c>
      <c r="L552" s="176">
        <v>0</v>
      </c>
      <c r="M552" s="176" t="s">
        <v>148</v>
      </c>
      <c r="N552" s="176" t="s">
        <v>149</v>
      </c>
      <c r="O552" s="176" t="s">
        <v>150</v>
      </c>
      <c r="P552" s="176" t="s">
        <v>151</v>
      </c>
      <c r="Q552" s="176"/>
      <c r="R552" s="176" t="s">
        <v>4957</v>
      </c>
      <c r="S552" s="176"/>
      <c r="T552" s="176" t="s">
        <v>2948</v>
      </c>
      <c r="U552" s="176" t="s">
        <v>152</v>
      </c>
      <c r="V552" s="176" t="s">
        <v>23</v>
      </c>
    </row>
    <row r="553" spans="2:22" ht="12" customHeight="1">
      <c r="B553" s="211">
        <v>46213</v>
      </c>
      <c r="C553" s="211">
        <v>46213</v>
      </c>
      <c r="D553" s="176" t="s">
        <v>4958</v>
      </c>
      <c r="E553" s="176" t="s">
        <v>4959</v>
      </c>
      <c r="F553" s="176" t="s">
        <v>87</v>
      </c>
      <c r="G553" s="176" t="s">
        <v>2486</v>
      </c>
      <c r="H553" s="176">
        <v>40</v>
      </c>
      <c r="I553" s="176">
        <v>37.799999999999997</v>
      </c>
      <c r="J553" s="176">
        <v>37.799999999999997</v>
      </c>
      <c r="K553" s="176">
        <v>5</v>
      </c>
      <c r="L553" s="176">
        <v>0</v>
      </c>
      <c r="M553" s="176" t="s">
        <v>148</v>
      </c>
      <c r="N553" s="176" t="s">
        <v>149</v>
      </c>
      <c r="O553" s="176" t="s">
        <v>150</v>
      </c>
      <c r="P553" s="176" t="s">
        <v>151</v>
      </c>
      <c r="Q553" s="176"/>
      <c r="R553" s="176" t="s">
        <v>4959</v>
      </c>
      <c r="S553" s="176"/>
      <c r="T553" s="176" t="s">
        <v>2948</v>
      </c>
      <c r="U553" s="176" t="s">
        <v>152</v>
      </c>
      <c r="V553" s="176" t="s">
        <v>23</v>
      </c>
    </row>
    <row r="554" spans="2:22" ht="12" customHeight="1">
      <c r="B554" s="211">
        <v>46213</v>
      </c>
      <c r="C554" s="211">
        <v>46213</v>
      </c>
      <c r="D554" s="176" t="s">
        <v>4960</v>
      </c>
      <c r="E554" s="176" t="s">
        <v>4961</v>
      </c>
      <c r="F554" s="176" t="s">
        <v>87</v>
      </c>
      <c r="G554" s="176" t="s">
        <v>2633</v>
      </c>
      <c r="H554" s="176">
        <v>40</v>
      </c>
      <c r="I554" s="176">
        <v>35.4</v>
      </c>
      <c r="J554" s="176">
        <v>35.4</v>
      </c>
      <c r="K554" s="176">
        <v>5</v>
      </c>
      <c r="L554" s="176">
        <v>0</v>
      </c>
      <c r="M554" s="176" t="s">
        <v>148</v>
      </c>
      <c r="N554" s="176" t="s">
        <v>149</v>
      </c>
      <c r="O554" s="176" t="s">
        <v>150</v>
      </c>
      <c r="P554" s="176" t="s">
        <v>151</v>
      </c>
      <c r="Q554" s="176"/>
      <c r="R554" s="176" t="s">
        <v>4961</v>
      </c>
      <c r="S554" s="176"/>
      <c r="T554" s="176" t="s">
        <v>2948</v>
      </c>
      <c r="U554" s="176" t="s">
        <v>152</v>
      </c>
      <c r="V554" s="176" t="s">
        <v>23</v>
      </c>
    </row>
    <row r="555" spans="2:22" ht="12" customHeight="1">
      <c r="B555" s="211">
        <v>46213</v>
      </c>
      <c r="C555" s="211">
        <v>46213</v>
      </c>
      <c r="D555" s="176" t="s">
        <v>4962</v>
      </c>
      <c r="E555" s="176" t="s">
        <v>4963</v>
      </c>
      <c r="F555" s="176" t="s">
        <v>87</v>
      </c>
      <c r="G555" s="176" t="s">
        <v>2001</v>
      </c>
      <c r="H555" s="176">
        <v>6</v>
      </c>
      <c r="I555" s="176">
        <v>14.1</v>
      </c>
      <c r="J555" s="176">
        <v>14.1</v>
      </c>
      <c r="K555" s="176">
        <v>1.5</v>
      </c>
      <c r="L555" s="176">
        <v>0</v>
      </c>
      <c r="M555" s="176" t="s">
        <v>148</v>
      </c>
      <c r="N555" s="176" t="s">
        <v>149</v>
      </c>
      <c r="O555" s="176" t="s">
        <v>150</v>
      </c>
      <c r="P555" s="176" t="s">
        <v>151</v>
      </c>
      <c r="Q555" s="176"/>
      <c r="R555" s="176" t="s">
        <v>4963</v>
      </c>
      <c r="S555" s="176"/>
      <c r="T555" s="176" t="s">
        <v>2948</v>
      </c>
      <c r="U555" s="176" t="s">
        <v>152</v>
      </c>
      <c r="V555" s="176" t="s">
        <v>23</v>
      </c>
    </row>
    <row r="556" spans="2:22" ht="12" customHeight="1">
      <c r="B556" s="211">
        <v>46213</v>
      </c>
      <c r="C556" s="211">
        <v>46213</v>
      </c>
      <c r="D556" s="176" t="s">
        <v>4964</v>
      </c>
      <c r="E556" s="176" t="s">
        <v>4965</v>
      </c>
      <c r="F556" s="176" t="s">
        <v>87</v>
      </c>
      <c r="G556" s="176" t="s">
        <v>3866</v>
      </c>
      <c r="H556" s="176">
        <v>40</v>
      </c>
      <c r="I556" s="176">
        <v>36.799999999999997</v>
      </c>
      <c r="J556" s="176">
        <v>36.799999999999997</v>
      </c>
      <c r="K556" s="176">
        <v>5</v>
      </c>
      <c r="L556" s="176">
        <v>0</v>
      </c>
      <c r="M556" s="176" t="s">
        <v>148</v>
      </c>
      <c r="N556" s="176" t="s">
        <v>149</v>
      </c>
      <c r="O556" s="176" t="s">
        <v>150</v>
      </c>
      <c r="P556" s="176" t="s">
        <v>151</v>
      </c>
      <c r="Q556" s="176"/>
      <c r="R556" s="176" t="s">
        <v>4965</v>
      </c>
      <c r="S556" s="176"/>
      <c r="T556" s="176" t="s">
        <v>2948</v>
      </c>
      <c r="U556" s="176" t="s">
        <v>152</v>
      </c>
      <c r="V556" s="176" t="s">
        <v>23</v>
      </c>
    </row>
    <row r="557" spans="2:22" ht="12" customHeight="1">
      <c r="B557" s="211">
        <v>46213</v>
      </c>
      <c r="C557" s="211">
        <v>46213</v>
      </c>
      <c r="D557" s="176" t="s">
        <v>4966</v>
      </c>
      <c r="E557" s="176" t="s">
        <v>4967</v>
      </c>
      <c r="F557" s="176" t="s">
        <v>87</v>
      </c>
      <c r="G557" s="176" t="s">
        <v>2633</v>
      </c>
      <c r="H557" s="176">
        <v>40</v>
      </c>
      <c r="I557" s="176">
        <v>40.5</v>
      </c>
      <c r="J557" s="176">
        <v>40.5</v>
      </c>
      <c r="K557" s="176">
        <v>5</v>
      </c>
      <c r="L557" s="176">
        <v>0</v>
      </c>
      <c r="M557" s="176" t="s">
        <v>148</v>
      </c>
      <c r="N557" s="176" t="s">
        <v>149</v>
      </c>
      <c r="O557" s="176" t="s">
        <v>150</v>
      </c>
      <c r="P557" s="176" t="s">
        <v>151</v>
      </c>
      <c r="Q557" s="176"/>
      <c r="R557" s="176" t="s">
        <v>4967</v>
      </c>
      <c r="S557" s="176"/>
      <c r="T557" s="176" t="s">
        <v>2948</v>
      </c>
      <c r="U557" s="176" t="s">
        <v>152</v>
      </c>
      <c r="V557" s="176" t="s">
        <v>23</v>
      </c>
    </row>
    <row r="558" spans="2:22" ht="12" customHeight="1">
      <c r="B558" s="211">
        <v>46213</v>
      </c>
      <c r="C558" s="211">
        <v>46213</v>
      </c>
      <c r="D558" s="176" t="s">
        <v>4968</v>
      </c>
      <c r="E558" s="176" t="s">
        <v>4969</v>
      </c>
      <c r="F558" s="176" t="s">
        <v>87</v>
      </c>
      <c r="G558" s="176" t="s">
        <v>3866</v>
      </c>
      <c r="H558" s="176">
        <v>40</v>
      </c>
      <c r="I558" s="176">
        <v>14.8</v>
      </c>
      <c r="J558" s="176">
        <v>14.8</v>
      </c>
      <c r="K558" s="176">
        <v>5</v>
      </c>
      <c r="L558" s="176">
        <v>0</v>
      </c>
      <c r="M558" s="176" t="s">
        <v>148</v>
      </c>
      <c r="N558" s="176" t="s">
        <v>149</v>
      </c>
      <c r="O558" s="176" t="s">
        <v>150</v>
      </c>
      <c r="P558" s="176" t="s">
        <v>151</v>
      </c>
      <c r="Q558" s="176"/>
      <c r="R558" s="176" t="s">
        <v>4969</v>
      </c>
      <c r="S558" s="176"/>
      <c r="T558" s="176" t="s">
        <v>2948</v>
      </c>
      <c r="U558" s="176" t="s">
        <v>152</v>
      </c>
      <c r="V558" s="176" t="s">
        <v>23</v>
      </c>
    </row>
    <row r="559" spans="2:22" ht="12" customHeight="1">
      <c r="B559" s="211">
        <v>46213</v>
      </c>
      <c r="C559" s="211">
        <v>46213</v>
      </c>
      <c r="D559" s="176" t="s">
        <v>4970</v>
      </c>
      <c r="E559" s="176" t="s">
        <v>4971</v>
      </c>
      <c r="F559" s="176" t="s">
        <v>87</v>
      </c>
      <c r="G559" s="176" t="s">
        <v>2485</v>
      </c>
      <c r="H559" s="176">
        <v>30</v>
      </c>
      <c r="I559" s="176">
        <v>37.4</v>
      </c>
      <c r="J559" s="176">
        <v>37.4</v>
      </c>
      <c r="K559" s="176">
        <v>4</v>
      </c>
      <c r="L559" s="176">
        <v>0</v>
      </c>
      <c r="M559" s="176" t="s">
        <v>148</v>
      </c>
      <c r="N559" s="176" t="s">
        <v>149</v>
      </c>
      <c r="O559" s="176" t="s">
        <v>150</v>
      </c>
      <c r="P559" s="176" t="s">
        <v>151</v>
      </c>
      <c r="Q559" s="176"/>
      <c r="R559" s="176" t="s">
        <v>4971</v>
      </c>
      <c r="S559" s="176"/>
      <c r="T559" s="176" t="s">
        <v>2948</v>
      </c>
      <c r="U559" s="176" t="s">
        <v>152</v>
      </c>
      <c r="V559" s="176" t="s">
        <v>23</v>
      </c>
    </row>
    <row r="560" spans="2:22" ht="12" customHeight="1">
      <c r="B560" s="211">
        <v>46213</v>
      </c>
      <c r="C560" s="211">
        <v>46213</v>
      </c>
      <c r="D560" s="176" t="s">
        <v>4972</v>
      </c>
      <c r="E560" s="176" t="s">
        <v>4973</v>
      </c>
      <c r="F560" s="176" t="s">
        <v>87</v>
      </c>
      <c r="G560" s="176" t="s">
        <v>2639</v>
      </c>
      <c r="H560" s="176">
        <v>25</v>
      </c>
      <c r="I560" s="176">
        <v>27.4</v>
      </c>
      <c r="J560" s="176">
        <v>27.4</v>
      </c>
      <c r="K560" s="176">
        <v>4</v>
      </c>
      <c r="L560" s="176">
        <v>0</v>
      </c>
      <c r="M560" s="176" t="s">
        <v>148</v>
      </c>
      <c r="N560" s="176" t="s">
        <v>149</v>
      </c>
      <c r="O560" s="176" t="s">
        <v>150</v>
      </c>
      <c r="P560" s="176" t="s">
        <v>151</v>
      </c>
      <c r="Q560" s="176"/>
      <c r="R560" s="176" t="s">
        <v>4973</v>
      </c>
      <c r="S560" s="176"/>
      <c r="T560" s="176" t="s">
        <v>2948</v>
      </c>
      <c r="U560" s="176" t="s">
        <v>152</v>
      </c>
      <c r="V560" s="176" t="s">
        <v>23</v>
      </c>
    </row>
    <row r="561" spans="2:22" ht="12" customHeight="1">
      <c r="B561" s="211">
        <v>46213</v>
      </c>
      <c r="C561" s="211">
        <v>46213</v>
      </c>
      <c r="D561" s="176" t="s">
        <v>4974</v>
      </c>
      <c r="E561" s="176" t="s">
        <v>4975</v>
      </c>
      <c r="F561" s="176" t="s">
        <v>87</v>
      </c>
      <c r="G561" s="176" t="s">
        <v>4734</v>
      </c>
      <c r="H561" s="176">
        <v>60</v>
      </c>
      <c r="I561" s="176">
        <v>47.6</v>
      </c>
      <c r="J561" s="176">
        <v>47.6</v>
      </c>
      <c r="K561" s="176">
        <v>5</v>
      </c>
      <c r="L561" s="176">
        <v>0</v>
      </c>
      <c r="M561" s="176" t="s">
        <v>148</v>
      </c>
      <c r="N561" s="176" t="s">
        <v>149</v>
      </c>
      <c r="O561" s="176" t="s">
        <v>150</v>
      </c>
      <c r="P561" s="176" t="s">
        <v>151</v>
      </c>
      <c r="Q561" s="176"/>
      <c r="R561" s="176" t="s">
        <v>4975</v>
      </c>
      <c r="S561" s="176"/>
      <c r="T561" s="176" t="s">
        <v>2948</v>
      </c>
      <c r="U561" s="176" t="s">
        <v>152</v>
      </c>
      <c r="V561" s="176" t="s">
        <v>23</v>
      </c>
    </row>
    <row r="562" spans="2:22" ht="12" customHeight="1">
      <c r="B562" s="211">
        <v>46213</v>
      </c>
      <c r="C562" s="211">
        <v>46213</v>
      </c>
      <c r="D562" s="176" t="s">
        <v>4976</v>
      </c>
      <c r="E562" s="176" t="s">
        <v>4977</v>
      </c>
      <c r="F562" s="176" t="s">
        <v>87</v>
      </c>
      <c r="G562" s="176" t="s">
        <v>3866</v>
      </c>
      <c r="H562" s="176">
        <v>40</v>
      </c>
      <c r="I562" s="176">
        <v>36.4</v>
      </c>
      <c r="J562" s="176">
        <v>36.4</v>
      </c>
      <c r="K562" s="176">
        <v>5</v>
      </c>
      <c r="L562" s="176">
        <v>0</v>
      </c>
      <c r="M562" s="176" t="s">
        <v>148</v>
      </c>
      <c r="N562" s="176" t="s">
        <v>149</v>
      </c>
      <c r="O562" s="176" t="s">
        <v>150</v>
      </c>
      <c r="P562" s="176" t="s">
        <v>151</v>
      </c>
      <c r="Q562" s="176"/>
      <c r="R562" s="176" t="s">
        <v>4977</v>
      </c>
      <c r="S562" s="176"/>
      <c r="T562" s="176" t="s">
        <v>2948</v>
      </c>
      <c r="U562" s="176" t="s">
        <v>152</v>
      </c>
      <c r="V562" s="176" t="s">
        <v>23</v>
      </c>
    </row>
    <row r="563" spans="2:22" ht="12" customHeight="1">
      <c r="B563" s="211">
        <v>46213</v>
      </c>
      <c r="C563" s="211">
        <v>46213</v>
      </c>
      <c r="D563" s="176" t="s">
        <v>4978</v>
      </c>
      <c r="E563" s="176" t="s">
        <v>4979</v>
      </c>
      <c r="F563" s="176" t="s">
        <v>87</v>
      </c>
      <c r="G563" s="176" t="s">
        <v>2485</v>
      </c>
      <c r="H563" s="176">
        <v>30</v>
      </c>
      <c r="I563" s="176">
        <v>23.2</v>
      </c>
      <c r="J563" s="176">
        <v>23.2</v>
      </c>
      <c r="K563" s="176">
        <v>4</v>
      </c>
      <c r="L563" s="176">
        <v>0</v>
      </c>
      <c r="M563" s="176" t="s">
        <v>148</v>
      </c>
      <c r="N563" s="176" t="s">
        <v>149</v>
      </c>
      <c r="O563" s="176" t="s">
        <v>150</v>
      </c>
      <c r="P563" s="176" t="s">
        <v>151</v>
      </c>
      <c r="Q563" s="176"/>
      <c r="R563" s="176" t="s">
        <v>4979</v>
      </c>
      <c r="S563" s="176"/>
      <c r="T563" s="176" t="s">
        <v>2948</v>
      </c>
      <c r="U563" s="176" t="s">
        <v>152</v>
      </c>
      <c r="V563" s="176" t="s">
        <v>23</v>
      </c>
    </row>
    <row r="564" spans="2:22" ht="12" customHeight="1">
      <c r="B564" s="211">
        <v>46213</v>
      </c>
      <c r="C564" s="211">
        <v>46213</v>
      </c>
      <c r="D564" s="176" t="s">
        <v>4980</v>
      </c>
      <c r="E564" s="176" t="s">
        <v>4981</v>
      </c>
      <c r="F564" s="176" t="s">
        <v>87</v>
      </c>
      <c r="G564" s="176" t="s">
        <v>2552</v>
      </c>
      <c r="H564" s="176">
        <v>40</v>
      </c>
      <c r="I564" s="176">
        <v>38.700000000000003</v>
      </c>
      <c r="J564" s="176">
        <v>38.700000000000003</v>
      </c>
      <c r="K564" s="176">
        <v>5</v>
      </c>
      <c r="L564" s="176">
        <v>0</v>
      </c>
      <c r="M564" s="176" t="s">
        <v>148</v>
      </c>
      <c r="N564" s="176" t="s">
        <v>149</v>
      </c>
      <c r="O564" s="176" t="s">
        <v>150</v>
      </c>
      <c r="P564" s="176" t="s">
        <v>151</v>
      </c>
      <c r="Q564" s="176"/>
      <c r="R564" s="176" t="s">
        <v>4981</v>
      </c>
      <c r="S564" s="176"/>
      <c r="T564" s="176" t="s">
        <v>2948</v>
      </c>
      <c r="U564" s="176" t="s">
        <v>152</v>
      </c>
      <c r="V564" s="176" t="s">
        <v>23</v>
      </c>
    </row>
    <row r="565" spans="2:22" ht="12" customHeight="1">
      <c r="B565" s="211">
        <v>46213</v>
      </c>
      <c r="C565" s="211">
        <v>46213</v>
      </c>
      <c r="D565" s="176" t="s">
        <v>4982</v>
      </c>
      <c r="E565" s="176" t="s">
        <v>4983</v>
      </c>
      <c r="F565" s="176" t="s">
        <v>87</v>
      </c>
      <c r="G565" s="176" t="s">
        <v>2552</v>
      </c>
      <c r="H565" s="176">
        <v>40</v>
      </c>
      <c r="I565" s="176">
        <v>44.2</v>
      </c>
      <c r="J565" s="176">
        <v>44.2</v>
      </c>
      <c r="K565" s="176">
        <v>5</v>
      </c>
      <c r="L565" s="176">
        <v>0</v>
      </c>
      <c r="M565" s="176" t="s">
        <v>148</v>
      </c>
      <c r="N565" s="176" t="s">
        <v>149</v>
      </c>
      <c r="O565" s="176" t="s">
        <v>150</v>
      </c>
      <c r="P565" s="176" t="s">
        <v>151</v>
      </c>
      <c r="Q565" s="176"/>
      <c r="R565" s="176" t="s">
        <v>4983</v>
      </c>
      <c r="S565" s="176"/>
      <c r="T565" s="176" t="s">
        <v>2948</v>
      </c>
      <c r="U565" s="176" t="s">
        <v>152</v>
      </c>
      <c r="V565" s="176" t="s">
        <v>23</v>
      </c>
    </row>
    <row r="566" spans="2:22" ht="12" customHeight="1">
      <c r="B566" s="211">
        <v>46213</v>
      </c>
      <c r="C566" s="211">
        <v>46213</v>
      </c>
      <c r="D566" s="176" t="s">
        <v>4984</v>
      </c>
      <c r="E566" s="176" t="s">
        <v>4985</v>
      </c>
      <c r="F566" s="176" t="s">
        <v>87</v>
      </c>
      <c r="G566" s="176" t="s">
        <v>4734</v>
      </c>
      <c r="H566" s="176">
        <v>60</v>
      </c>
      <c r="I566" s="176">
        <v>39.799999999999997</v>
      </c>
      <c r="J566" s="176">
        <v>39.799999999999997</v>
      </c>
      <c r="K566" s="176">
        <v>5</v>
      </c>
      <c r="L566" s="176">
        <v>0</v>
      </c>
      <c r="M566" s="176" t="s">
        <v>148</v>
      </c>
      <c r="N566" s="176" t="s">
        <v>149</v>
      </c>
      <c r="O566" s="176" t="s">
        <v>150</v>
      </c>
      <c r="P566" s="176" t="s">
        <v>151</v>
      </c>
      <c r="Q566" s="176"/>
      <c r="R566" s="176" t="s">
        <v>4985</v>
      </c>
      <c r="S566" s="176"/>
      <c r="T566" s="176" t="s">
        <v>2948</v>
      </c>
      <c r="U566" s="176" t="s">
        <v>152</v>
      </c>
      <c r="V566" s="176" t="s">
        <v>23</v>
      </c>
    </row>
    <row r="567" spans="2:22" ht="12" customHeight="1">
      <c r="B567" s="211">
        <v>46213</v>
      </c>
      <c r="C567" s="211">
        <v>46213</v>
      </c>
      <c r="D567" s="176" t="s">
        <v>4986</v>
      </c>
      <c r="E567" s="176" t="s">
        <v>4987</v>
      </c>
      <c r="F567" s="176" t="s">
        <v>87</v>
      </c>
      <c r="G567" s="176" t="s">
        <v>4734</v>
      </c>
      <c r="H567" s="176">
        <v>60</v>
      </c>
      <c r="I567" s="176">
        <v>26.4</v>
      </c>
      <c r="J567" s="176">
        <v>26.4</v>
      </c>
      <c r="K567" s="176">
        <v>5</v>
      </c>
      <c r="L567" s="176">
        <v>0</v>
      </c>
      <c r="M567" s="176" t="s">
        <v>148</v>
      </c>
      <c r="N567" s="176" t="s">
        <v>149</v>
      </c>
      <c r="O567" s="176" t="s">
        <v>150</v>
      </c>
      <c r="P567" s="176" t="s">
        <v>151</v>
      </c>
      <c r="Q567" s="176"/>
      <c r="R567" s="176" t="s">
        <v>4987</v>
      </c>
      <c r="S567" s="176"/>
      <c r="T567" s="176" t="s">
        <v>2948</v>
      </c>
      <c r="U567" s="176" t="s">
        <v>152</v>
      </c>
      <c r="V567" s="176" t="s">
        <v>23</v>
      </c>
    </row>
    <row r="568" spans="2:22" ht="12" customHeight="1">
      <c r="B568" s="211">
        <v>46213</v>
      </c>
      <c r="C568" s="211">
        <v>46213</v>
      </c>
      <c r="D568" s="176" t="s">
        <v>4988</v>
      </c>
      <c r="E568" s="176" t="s">
        <v>4989</v>
      </c>
      <c r="F568" s="176" t="s">
        <v>87</v>
      </c>
      <c r="G568" s="176" t="s">
        <v>2486</v>
      </c>
      <c r="H568" s="176">
        <v>40</v>
      </c>
      <c r="I568" s="176">
        <v>33.799999999999997</v>
      </c>
      <c r="J568" s="176">
        <v>33.799999999999997</v>
      </c>
      <c r="K568" s="176">
        <v>5</v>
      </c>
      <c r="L568" s="176">
        <v>0</v>
      </c>
      <c r="M568" s="176" t="s">
        <v>148</v>
      </c>
      <c r="N568" s="176" t="s">
        <v>149</v>
      </c>
      <c r="O568" s="176" t="s">
        <v>150</v>
      </c>
      <c r="P568" s="176" t="s">
        <v>151</v>
      </c>
      <c r="Q568" s="176"/>
      <c r="R568" s="176" t="s">
        <v>4989</v>
      </c>
      <c r="S568" s="176"/>
      <c r="T568" s="176" t="s">
        <v>2948</v>
      </c>
      <c r="U568" s="176" t="s">
        <v>152</v>
      </c>
      <c r="V568" s="176" t="s">
        <v>23</v>
      </c>
    </row>
    <row r="569" spans="2:22" ht="12" customHeight="1">
      <c r="B569" s="211">
        <v>46213</v>
      </c>
      <c r="C569" s="211">
        <v>46213</v>
      </c>
      <c r="D569" s="176" t="s">
        <v>4990</v>
      </c>
      <c r="E569" s="176" t="s">
        <v>4991</v>
      </c>
      <c r="F569" s="176" t="s">
        <v>87</v>
      </c>
      <c r="G569" s="176" t="s">
        <v>2486</v>
      </c>
      <c r="H569" s="176">
        <v>40</v>
      </c>
      <c r="I569" s="176">
        <v>23.2</v>
      </c>
      <c r="J569" s="176">
        <v>23.2</v>
      </c>
      <c r="K569" s="176">
        <v>5</v>
      </c>
      <c r="L569" s="176">
        <v>0</v>
      </c>
      <c r="M569" s="176" t="s">
        <v>148</v>
      </c>
      <c r="N569" s="176" t="s">
        <v>149</v>
      </c>
      <c r="O569" s="176" t="s">
        <v>150</v>
      </c>
      <c r="P569" s="176" t="s">
        <v>151</v>
      </c>
      <c r="Q569" s="176"/>
      <c r="R569" s="176" t="s">
        <v>4991</v>
      </c>
      <c r="S569" s="176"/>
      <c r="T569" s="176" t="s">
        <v>2948</v>
      </c>
      <c r="U569" s="176" t="s">
        <v>152</v>
      </c>
      <c r="V569" s="176" t="s">
        <v>23</v>
      </c>
    </row>
    <row r="570" spans="2:22" ht="12" customHeight="1">
      <c r="B570" s="211">
        <v>46213</v>
      </c>
      <c r="C570" s="211">
        <v>46213</v>
      </c>
      <c r="D570" s="176" t="s">
        <v>4992</v>
      </c>
      <c r="E570" s="176" t="s">
        <v>4993</v>
      </c>
      <c r="F570" s="176" t="s">
        <v>87</v>
      </c>
      <c r="G570" s="176" t="s">
        <v>4929</v>
      </c>
      <c r="H570" s="176">
        <v>55</v>
      </c>
      <c r="I570" s="176">
        <v>15.8</v>
      </c>
      <c r="J570" s="176">
        <v>15.8</v>
      </c>
      <c r="K570" s="176">
        <v>5</v>
      </c>
      <c r="L570" s="176">
        <v>0</v>
      </c>
      <c r="M570" s="176" t="s">
        <v>148</v>
      </c>
      <c r="N570" s="176" t="s">
        <v>149</v>
      </c>
      <c r="O570" s="176" t="s">
        <v>150</v>
      </c>
      <c r="P570" s="176" t="s">
        <v>151</v>
      </c>
      <c r="Q570" s="176"/>
      <c r="R570" s="176" t="s">
        <v>4993</v>
      </c>
      <c r="S570" s="176"/>
      <c r="T570" s="176" t="s">
        <v>2948</v>
      </c>
      <c r="U570" s="176" t="s">
        <v>152</v>
      </c>
      <c r="V570" s="176" t="s">
        <v>23</v>
      </c>
    </row>
    <row r="571" spans="2:22" ht="12" customHeight="1">
      <c r="B571" s="211">
        <v>46213</v>
      </c>
      <c r="C571" s="211">
        <v>46213</v>
      </c>
      <c r="D571" s="176" t="s">
        <v>4994</v>
      </c>
      <c r="E571" s="176" t="s">
        <v>4995</v>
      </c>
      <c r="F571" s="176" t="s">
        <v>87</v>
      </c>
      <c r="G571" s="176" t="s">
        <v>2486</v>
      </c>
      <c r="H571" s="176">
        <v>40</v>
      </c>
      <c r="I571" s="176">
        <v>41.8</v>
      </c>
      <c r="J571" s="176">
        <v>41.8</v>
      </c>
      <c r="K571" s="176">
        <v>5</v>
      </c>
      <c r="L571" s="176">
        <v>0</v>
      </c>
      <c r="M571" s="176" t="s">
        <v>148</v>
      </c>
      <c r="N571" s="176" t="s">
        <v>149</v>
      </c>
      <c r="O571" s="176" t="s">
        <v>150</v>
      </c>
      <c r="P571" s="176" t="s">
        <v>151</v>
      </c>
      <c r="Q571" s="176"/>
      <c r="R571" s="176" t="s">
        <v>4995</v>
      </c>
      <c r="S571" s="176"/>
      <c r="T571" s="176" t="s">
        <v>2948</v>
      </c>
      <c r="U571" s="176" t="s">
        <v>152</v>
      </c>
      <c r="V571" s="176" t="s">
        <v>23</v>
      </c>
    </row>
    <row r="572" spans="2:22" ht="12" customHeight="1">
      <c r="B572" s="211">
        <v>46213</v>
      </c>
      <c r="C572" s="211">
        <v>46213</v>
      </c>
      <c r="D572" s="176" t="s">
        <v>4996</v>
      </c>
      <c r="E572" s="176" t="s">
        <v>4997</v>
      </c>
      <c r="F572" s="176" t="s">
        <v>87</v>
      </c>
      <c r="G572" s="176" t="s">
        <v>2552</v>
      </c>
      <c r="H572" s="176">
        <v>40</v>
      </c>
      <c r="I572" s="176">
        <v>41.3</v>
      </c>
      <c r="J572" s="176">
        <v>41.3</v>
      </c>
      <c r="K572" s="176">
        <v>5</v>
      </c>
      <c r="L572" s="176">
        <v>0</v>
      </c>
      <c r="M572" s="176" t="s">
        <v>148</v>
      </c>
      <c r="N572" s="176" t="s">
        <v>149</v>
      </c>
      <c r="O572" s="176" t="s">
        <v>150</v>
      </c>
      <c r="P572" s="176" t="s">
        <v>151</v>
      </c>
      <c r="Q572" s="176"/>
      <c r="R572" s="176" t="s">
        <v>4997</v>
      </c>
      <c r="S572" s="176"/>
      <c r="T572" s="176" t="s">
        <v>2948</v>
      </c>
      <c r="U572" s="176" t="s">
        <v>152</v>
      </c>
      <c r="V572" s="176" t="s">
        <v>23</v>
      </c>
    </row>
    <row r="573" spans="2:22" ht="12" customHeight="1">
      <c r="B573" s="211">
        <v>46213</v>
      </c>
      <c r="C573" s="211">
        <v>46213</v>
      </c>
      <c r="D573" s="176" t="s">
        <v>4998</v>
      </c>
      <c r="E573" s="176" t="s">
        <v>4999</v>
      </c>
      <c r="F573" s="176" t="s">
        <v>87</v>
      </c>
      <c r="G573" s="176" t="s">
        <v>2639</v>
      </c>
      <c r="H573" s="176">
        <v>25</v>
      </c>
      <c r="I573" s="176">
        <v>26.4</v>
      </c>
      <c r="J573" s="176">
        <v>26.4</v>
      </c>
      <c r="K573" s="176">
        <v>4</v>
      </c>
      <c r="L573" s="176">
        <v>0</v>
      </c>
      <c r="M573" s="176" t="s">
        <v>148</v>
      </c>
      <c r="N573" s="176" t="s">
        <v>149</v>
      </c>
      <c r="O573" s="176" t="s">
        <v>150</v>
      </c>
      <c r="P573" s="176" t="s">
        <v>151</v>
      </c>
      <c r="Q573" s="176"/>
      <c r="R573" s="176" t="s">
        <v>4999</v>
      </c>
      <c r="S573" s="176"/>
      <c r="T573" s="176" t="s">
        <v>2948</v>
      </c>
      <c r="U573" s="176" t="s">
        <v>152</v>
      </c>
      <c r="V573" s="176" t="s">
        <v>23</v>
      </c>
    </row>
    <row r="574" spans="2:22" ht="12" customHeight="1">
      <c r="B574" s="211">
        <v>46213</v>
      </c>
      <c r="C574" s="211">
        <v>46213</v>
      </c>
      <c r="D574" s="176" t="s">
        <v>5000</v>
      </c>
      <c r="E574" s="176" t="s">
        <v>5001</v>
      </c>
      <c r="F574" s="176" t="s">
        <v>87</v>
      </c>
      <c r="G574" s="176" t="s">
        <v>2486</v>
      </c>
      <c r="H574" s="176">
        <v>40</v>
      </c>
      <c r="I574" s="176">
        <v>40.200000000000003</v>
      </c>
      <c r="J574" s="176">
        <v>40.200000000000003</v>
      </c>
      <c r="K574" s="176">
        <v>5</v>
      </c>
      <c r="L574" s="176">
        <v>0</v>
      </c>
      <c r="M574" s="176" t="s">
        <v>148</v>
      </c>
      <c r="N574" s="176" t="s">
        <v>149</v>
      </c>
      <c r="O574" s="176" t="s">
        <v>150</v>
      </c>
      <c r="P574" s="176" t="s">
        <v>151</v>
      </c>
      <c r="Q574" s="176"/>
      <c r="R574" s="176" t="s">
        <v>5001</v>
      </c>
      <c r="S574" s="176"/>
      <c r="T574" s="176" t="s">
        <v>2948</v>
      </c>
      <c r="U574" s="176" t="s">
        <v>152</v>
      </c>
      <c r="V574" s="176" t="s">
        <v>23</v>
      </c>
    </row>
    <row r="575" spans="2:22" ht="12" customHeight="1">
      <c r="B575" s="211">
        <v>46213</v>
      </c>
      <c r="C575" s="211">
        <v>46213</v>
      </c>
      <c r="D575" s="176" t="s">
        <v>5002</v>
      </c>
      <c r="E575" s="176" t="s">
        <v>5003</v>
      </c>
      <c r="F575" s="176" t="s">
        <v>87</v>
      </c>
      <c r="G575" s="176" t="s">
        <v>2486</v>
      </c>
      <c r="H575" s="176">
        <v>40</v>
      </c>
      <c r="I575" s="176">
        <v>25.1</v>
      </c>
      <c r="J575" s="176">
        <v>25.1</v>
      </c>
      <c r="K575" s="176">
        <v>5</v>
      </c>
      <c r="L575" s="176">
        <v>0</v>
      </c>
      <c r="M575" s="176" t="s">
        <v>148</v>
      </c>
      <c r="N575" s="176" t="s">
        <v>149</v>
      </c>
      <c r="O575" s="176" t="s">
        <v>150</v>
      </c>
      <c r="P575" s="176" t="s">
        <v>151</v>
      </c>
      <c r="Q575" s="176"/>
      <c r="R575" s="176" t="s">
        <v>5003</v>
      </c>
      <c r="S575" s="176"/>
      <c r="T575" s="176" t="s">
        <v>2948</v>
      </c>
      <c r="U575" s="176" t="s">
        <v>152</v>
      </c>
      <c r="V575" s="176" t="s">
        <v>23</v>
      </c>
    </row>
    <row r="576" spans="2:22" ht="12" customHeight="1">
      <c r="B576" s="211">
        <v>46213</v>
      </c>
      <c r="C576" s="211">
        <v>46213</v>
      </c>
      <c r="D576" s="176" t="s">
        <v>5004</v>
      </c>
      <c r="E576" s="176" t="s">
        <v>5005</v>
      </c>
      <c r="F576" s="176" t="s">
        <v>87</v>
      </c>
      <c r="G576" s="176" t="s">
        <v>2633</v>
      </c>
      <c r="H576" s="176">
        <v>40</v>
      </c>
      <c r="I576" s="176">
        <v>38.700000000000003</v>
      </c>
      <c r="J576" s="176">
        <v>38.700000000000003</v>
      </c>
      <c r="K576" s="176">
        <v>5</v>
      </c>
      <c r="L576" s="176">
        <v>0</v>
      </c>
      <c r="M576" s="176" t="s">
        <v>148</v>
      </c>
      <c r="N576" s="176" t="s">
        <v>149</v>
      </c>
      <c r="O576" s="176" t="s">
        <v>150</v>
      </c>
      <c r="P576" s="176" t="s">
        <v>151</v>
      </c>
      <c r="Q576" s="176"/>
      <c r="R576" s="176" t="s">
        <v>5005</v>
      </c>
      <c r="S576" s="176"/>
      <c r="T576" s="176" t="s">
        <v>2948</v>
      </c>
      <c r="U576" s="176" t="s">
        <v>152</v>
      </c>
      <c r="V576" s="176" t="s">
        <v>23</v>
      </c>
    </row>
    <row r="577" spans="2:22" ht="12" customHeight="1">
      <c r="B577" s="211">
        <v>46214</v>
      </c>
      <c r="C577" s="211">
        <v>46214</v>
      </c>
      <c r="D577" s="176" t="s">
        <v>5006</v>
      </c>
      <c r="E577" s="176" t="s">
        <v>5007</v>
      </c>
      <c r="F577" s="176" t="s">
        <v>87</v>
      </c>
      <c r="G577" s="176" t="s">
        <v>2639</v>
      </c>
      <c r="H577" s="176">
        <v>25</v>
      </c>
      <c r="I577" s="176">
        <v>34.799999999999997</v>
      </c>
      <c r="J577" s="176">
        <v>34.799999999999997</v>
      </c>
      <c r="K577" s="176">
        <v>4</v>
      </c>
      <c r="L577" s="176">
        <v>0</v>
      </c>
      <c r="M577" s="176" t="s">
        <v>148</v>
      </c>
      <c r="N577" s="176" t="s">
        <v>149</v>
      </c>
      <c r="O577" s="176" t="s">
        <v>150</v>
      </c>
      <c r="P577" s="176" t="s">
        <v>151</v>
      </c>
      <c r="Q577" s="176"/>
      <c r="R577" s="176" t="s">
        <v>5007</v>
      </c>
      <c r="S577" s="176"/>
      <c r="T577" s="176" t="s">
        <v>2969</v>
      </c>
      <c r="U577" s="176" t="s">
        <v>152</v>
      </c>
      <c r="V577" s="176" t="s">
        <v>23</v>
      </c>
    </row>
    <row r="578" spans="2:22" ht="12" customHeight="1">
      <c r="B578" s="211">
        <v>46214</v>
      </c>
      <c r="C578" s="211">
        <v>46214</v>
      </c>
      <c r="D578" s="176" t="s">
        <v>5008</v>
      </c>
      <c r="E578" s="176" t="s">
        <v>5009</v>
      </c>
      <c r="F578" s="176" t="s">
        <v>87</v>
      </c>
      <c r="G578" s="176" t="s">
        <v>2486</v>
      </c>
      <c r="H578" s="176">
        <v>40</v>
      </c>
      <c r="I578" s="176">
        <v>37.799999999999997</v>
      </c>
      <c r="J578" s="176">
        <v>37.799999999999997</v>
      </c>
      <c r="K578" s="176">
        <v>5</v>
      </c>
      <c r="L578" s="176">
        <v>0</v>
      </c>
      <c r="M578" s="176" t="s">
        <v>148</v>
      </c>
      <c r="N578" s="176" t="s">
        <v>149</v>
      </c>
      <c r="O578" s="176" t="s">
        <v>150</v>
      </c>
      <c r="P578" s="176" t="s">
        <v>151</v>
      </c>
      <c r="Q578" s="176"/>
      <c r="R578" s="176" t="s">
        <v>5009</v>
      </c>
      <c r="S578" s="176"/>
      <c r="T578" s="176" t="s">
        <v>2969</v>
      </c>
      <c r="U578" s="176" t="s">
        <v>152</v>
      </c>
      <c r="V578" s="176" t="s">
        <v>23</v>
      </c>
    </row>
    <row r="579" spans="2:22" ht="12" customHeight="1">
      <c r="B579" s="211">
        <v>46214</v>
      </c>
      <c r="C579" s="211">
        <v>46214</v>
      </c>
      <c r="D579" s="176" t="s">
        <v>5010</v>
      </c>
      <c r="E579" s="176" t="s">
        <v>5011</v>
      </c>
      <c r="F579" s="176" t="s">
        <v>87</v>
      </c>
      <c r="G579" s="176" t="s">
        <v>2633</v>
      </c>
      <c r="H579" s="176">
        <v>40</v>
      </c>
      <c r="I579" s="176">
        <v>34.799999999999997</v>
      </c>
      <c r="J579" s="176">
        <v>34.799999999999997</v>
      </c>
      <c r="K579" s="176">
        <v>5</v>
      </c>
      <c r="L579" s="176">
        <v>0</v>
      </c>
      <c r="M579" s="176" t="s">
        <v>148</v>
      </c>
      <c r="N579" s="176" t="s">
        <v>149</v>
      </c>
      <c r="O579" s="176" t="s">
        <v>150</v>
      </c>
      <c r="P579" s="176" t="s">
        <v>151</v>
      </c>
      <c r="Q579" s="176"/>
      <c r="R579" s="176" t="s">
        <v>5011</v>
      </c>
      <c r="S579" s="176"/>
      <c r="T579" s="176" t="s">
        <v>2969</v>
      </c>
      <c r="U579" s="176" t="s">
        <v>152</v>
      </c>
      <c r="V579" s="176" t="s">
        <v>23</v>
      </c>
    </row>
    <row r="580" spans="2:22" ht="12" customHeight="1">
      <c r="B580" s="211">
        <v>46214</v>
      </c>
      <c r="C580" s="211">
        <v>46214</v>
      </c>
      <c r="D580" s="176" t="s">
        <v>5012</v>
      </c>
      <c r="E580" s="176" t="s">
        <v>5013</v>
      </c>
      <c r="F580" s="176" t="s">
        <v>87</v>
      </c>
      <c r="G580" s="176" t="s">
        <v>2486</v>
      </c>
      <c r="H580" s="176">
        <v>40</v>
      </c>
      <c r="I580" s="176">
        <v>37</v>
      </c>
      <c r="J580" s="176">
        <v>37</v>
      </c>
      <c r="K580" s="176">
        <v>5</v>
      </c>
      <c r="L580" s="176">
        <v>0</v>
      </c>
      <c r="M580" s="176" t="s">
        <v>148</v>
      </c>
      <c r="N580" s="176" t="s">
        <v>149</v>
      </c>
      <c r="O580" s="176" t="s">
        <v>150</v>
      </c>
      <c r="P580" s="176" t="s">
        <v>151</v>
      </c>
      <c r="Q580" s="176"/>
      <c r="R580" s="176" t="s">
        <v>5013</v>
      </c>
      <c r="S580" s="176"/>
      <c r="T580" s="176" t="s">
        <v>2969</v>
      </c>
      <c r="U580" s="176" t="s">
        <v>152</v>
      </c>
      <c r="V580" s="176" t="s">
        <v>23</v>
      </c>
    </row>
    <row r="581" spans="2:22" ht="12" customHeight="1">
      <c r="B581" s="211">
        <v>46214</v>
      </c>
      <c r="C581" s="211">
        <v>46214</v>
      </c>
      <c r="D581" s="176" t="s">
        <v>5014</v>
      </c>
      <c r="E581" s="176" t="s">
        <v>5015</v>
      </c>
      <c r="F581" s="176" t="s">
        <v>87</v>
      </c>
      <c r="G581" s="176" t="s">
        <v>2485</v>
      </c>
      <c r="H581" s="176">
        <v>30</v>
      </c>
      <c r="I581" s="176">
        <v>37.4</v>
      </c>
      <c r="J581" s="176">
        <v>37.4</v>
      </c>
      <c r="K581" s="176">
        <v>4</v>
      </c>
      <c r="L581" s="176">
        <v>0</v>
      </c>
      <c r="M581" s="176" t="s">
        <v>148</v>
      </c>
      <c r="N581" s="176" t="s">
        <v>149</v>
      </c>
      <c r="O581" s="176" t="s">
        <v>150</v>
      </c>
      <c r="P581" s="176" t="s">
        <v>151</v>
      </c>
      <c r="Q581" s="176"/>
      <c r="R581" s="176" t="s">
        <v>5015</v>
      </c>
      <c r="S581" s="176"/>
      <c r="T581" s="176" t="s">
        <v>2969</v>
      </c>
      <c r="U581" s="176" t="s">
        <v>152</v>
      </c>
      <c r="V581" s="176" t="s">
        <v>23</v>
      </c>
    </row>
    <row r="582" spans="2:22" ht="12" customHeight="1">
      <c r="B582" s="211">
        <v>46214</v>
      </c>
      <c r="C582" s="211">
        <v>46214</v>
      </c>
      <c r="D582" s="176" t="s">
        <v>5016</v>
      </c>
      <c r="E582" s="176" t="s">
        <v>5017</v>
      </c>
      <c r="F582" s="176" t="s">
        <v>87</v>
      </c>
      <c r="G582" s="176" t="s">
        <v>2639</v>
      </c>
      <c r="H582" s="176">
        <v>25</v>
      </c>
      <c r="I582" s="176">
        <v>35.200000000000003</v>
      </c>
      <c r="J582" s="176">
        <v>35.200000000000003</v>
      </c>
      <c r="K582" s="176">
        <v>4</v>
      </c>
      <c r="L582" s="176">
        <v>0</v>
      </c>
      <c r="M582" s="176" t="s">
        <v>148</v>
      </c>
      <c r="N582" s="176" t="s">
        <v>149</v>
      </c>
      <c r="O582" s="176" t="s">
        <v>150</v>
      </c>
      <c r="P582" s="176" t="s">
        <v>151</v>
      </c>
      <c r="Q582" s="176"/>
      <c r="R582" s="176" t="s">
        <v>5017</v>
      </c>
      <c r="S582" s="176"/>
      <c r="T582" s="176" t="s">
        <v>2969</v>
      </c>
      <c r="U582" s="176" t="s">
        <v>152</v>
      </c>
      <c r="V582" s="176" t="s">
        <v>23</v>
      </c>
    </row>
    <row r="583" spans="2:22" ht="12" customHeight="1">
      <c r="B583" s="211">
        <v>46214</v>
      </c>
      <c r="C583" s="211">
        <v>46214</v>
      </c>
      <c r="D583" s="176" t="s">
        <v>5018</v>
      </c>
      <c r="E583" s="176" t="s">
        <v>5019</v>
      </c>
      <c r="F583" s="176" t="s">
        <v>87</v>
      </c>
      <c r="G583" s="176" t="s">
        <v>2486</v>
      </c>
      <c r="H583" s="176">
        <v>40</v>
      </c>
      <c r="I583" s="176">
        <v>38.799999999999997</v>
      </c>
      <c r="J583" s="176">
        <v>38.799999999999997</v>
      </c>
      <c r="K583" s="176">
        <v>5</v>
      </c>
      <c r="L583" s="176">
        <v>0</v>
      </c>
      <c r="M583" s="176" t="s">
        <v>148</v>
      </c>
      <c r="N583" s="176" t="s">
        <v>149</v>
      </c>
      <c r="O583" s="176" t="s">
        <v>150</v>
      </c>
      <c r="P583" s="176" t="s">
        <v>151</v>
      </c>
      <c r="Q583" s="176"/>
      <c r="R583" s="176" t="s">
        <v>5019</v>
      </c>
      <c r="S583" s="176"/>
      <c r="T583" s="176" t="s">
        <v>2969</v>
      </c>
      <c r="U583" s="176" t="s">
        <v>152</v>
      </c>
      <c r="V583" s="176" t="s">
        <v>23</v>
      </c>
    </row>
    <row r="584" spans="2:22" ht="12" customHeight="1">
      <c r="B584" s="211">
        <v>46214</v>
      </c>
      <c r="C584" s="211">
        <v>46214</v>
      </c>
      <c r="D584" s="176" t="s">
        <v>5020</v>
      </c>
      <c r="E584" s="176" t="s">
        <v>5021</v>
      </c>
      <c r="F584" s="176" t="s">
        <v>87</v>
      </c>
      <c r="G584" s="176" t="s">
        <v>2633</v>
      </c>
      <c r="H584" s="176">
        <v>40</v>
      </c>
      <c r="I584" s="176">
        <v>40.1</v>
      </c>
      <c r="J584" s="176">
        <v>40.1</v>
      </c>
      <c r="K584" s="176">
        <v>5</v>
      </c>
      <c r="L584" s="176">
        <v>0</v>
      </c>
      <c r="M584" s="176" t="s">
        <v>148</v>
      </c>
      <c r="N584" s="176" t="s">
        <v>149</v>
      </c>
      <c r="O584" s="176" t="s">
        <v>150</v>
      </c>
      <c r="P584" s="176" t="s">
        <v>151</v>
      </c>
      <c r="Q584" s="176"/>
      <c r="R584" s="176" t="s">
        <v>5021</v>
      </c>
      <c r="S584" s="176"/>
      <c r="T584" s="176" t="s">
        <v>2969</v>
      </c>
      <c r="U584" s="176" t="s">
        <v>152</v>
      </c>
      <c r="V584" s="176" t="s">
        <v>23</v>
      </c>
    </row>
    <row r="585" spans="2:22" ht="12" customHeight="1">
      <c r="B585" s="211">
        <v>46214</v>
      </c>
      <c r="C585" s="211">
        <v>46214</v>
      </c>
      <c r="D585" s="176" t="s">
        <v>5022</v>
      </c>
      <c r="E585" s="176" t="s">
        <v>5023</v>
      </c>
      <c r="F585" s="176" t="s">
        <v>87</v>
      </c>
      <c r="G585" s="176" t="s">
        <v>2001</v>
      </c>
      <c r="H585" s="176">
        <v>6</v>
      </c>
      <c r="I585" s="176">
        <v>24.2</v>
      </c>
      <c r="J585" s="176">
        <v>24.2</v>
      </c>
      <c r="K585" s="176">
        <v>1.5</v>
      </c>
      <c r="L585" s="176">
        <v>0</v>
      </c>
      <c r="M585" s="176" t="s">
        <v>148</v>
      </c>
      <c r="N585" s="176" t="s">
        <v>149</v>
      </c>
      <c r="O585" s="176" t="s">
        <v>150</v>
      </c>
      <c r="P585" s="176" t="s">
        <v>151</v>
      </c>
      <c r="Q585" s="176"/>
      <c r="R585" s="176" t="s">
        <v>5023</v>
      </c>
      <c r="S585" s="176"/>
      <c r="T585" s="176" t="s">
        <v>2969</v>
      </c>
      <c r="U585" s="176" t="s">
        <v>152</v>
      </c>
      <c r="V585" s="176" t="s">
        <v>23</v>
      </c>
    </row>
    <row r="586" spans="2:22" ht="12" customHeight="1">
      <c r="B586" s="211">
        <v>46214</v>
      </c>
      <c r="C586" s="211">
        <v>46214</v>
      </c>
      <c r="D586" s="176" t="s">
        <v>5024</v>
      </c>
      <c r="E586" s="176" t="s">
        <v>5025</v>
      </c>
      <c r="F586" s="176" t="s">
        <v>87</v>
      </c>
      <c r="G586" s="176" t="s">
        <v>2552</v>
      </c>
      <c r="H586" s="176">
        <v>40</v>
      </c>
      <c r="I586" s="176">
        <v>40.1</v>
      </c>
      <c r="J586" s="176">
        <v>40.1</v>
      </c>
      <c r="K586" s="176">
        <v>5</v>
      </c>
      <c r="L586" s="176">
        <v>0</v>
      </c>
      <c r="M586" s="176" t="s">
        <v>148</v>
      </c>
      <c r="N586" s="176" t="s">
        <v>149</v>
      </c>
      <c r="O586" s="176" t="s">
        <v>150</v>
      </c>
      <c r="P586" s="176" t="s">
        <v>151</v>
      </c>
      <c r="Q586" s="176"/>
      <c r="R586" s="176" t="s">
        <v>5025</v>
      </c>
      <c r="S586" s="176"/>
      <c r="T586" s="176" t="s">
        <v>2969</v>
      </c>
      <c r="U586" s="176" t="s">
        <v>152</v>
      </c>
      <c r="V586" s="176" t="s">
        <v>23</v>
      </c>
    </row>
    <row r="587" spans="2:22" ht="12" customHeight="1">
      <c r="B587" s="211">
        <v>46214</v>
      </c>
      <c r="C587" s="211">
        <v>46214</v>
      </c>
      <c r="D587" s="176" t="s">
        <v>5026</v>
      </c>
      <c r="E587" s="176" t="s">
        <v>5027</v>
      </c>
      <c r="F587" s="176" t="s">
        <v>87</v>
      </c>
      <c r="G587" s="176" t="s">
        <v>2486</v>
      </c>
      <c r="H587" s="176">
        <v>40</v>
      </c>
      <c r="I587" s="176">
        <v>39</v>
      </c>
      <c r="J587" s="176">
        <v>39</v>
      </c>
      <c r="K587" s="176">
        <v>5</v>
      </c>
      <c r="L587" s="176">
        <v>0</v>
      </c>
      <c r="M587" s="176" t="s">
        <v>148</v>
      </c>
      <c r="N587" s="176" t="s">
        <v>149</v>
      </c>
      <c r="O587" s="176" t="s">
        <v>150</v>
      </c>
      <c r="P587" s="176" t="s">
        <v>151</v>
      </c>
      <c r="Q587" s="176"/>
      <c r="R587" s="176" t="s">
        <v>5027</v>
      </c>
      <c r="S587" s="176"/>
      <c r="T587" s="176" t="s">
        <v>2969</v>
      </c>
      <c r="U587" s="176" t="s">
        <v>152</v>
      </c>
      <c r="V587" s="176" t="s">
        <v>23</v>
      </c>
    </row>
    <row r="588" spans="2:22" ht="12" customHeight="1">
      <c r="B588" s="211">
        <v>46214</v>
      </c>
      <c r="C588" s="211">
        <v>46214</v>
      </c>
      <c r="D588" s="176" t="s">
        <v>5028</v>
      </c>
      <c r="E588" s="176" t="s">
        <v>5029</v>
      </c>
      <c r="F588" s="176" t="s">
        <v>87</v>
      </c>
      <c r="G588" s="176" t="s">
        <v>2552</v>
      </c>
      <c r="H588" s="176">
        <v>40</v>
      </c>
      <c r="I588" s="176">
        <v>42.8</v>
      </c>
      <c r="J588" s="176">
        <v>42.8</v>
      </c>
      <c r="K588" s="176">
        <v>5</v>
      </c>
      <c r="L588" s="176">
        <v>0</v>
      </c>
      <c r="M588" s="176" t="s">
        <v>148</v>
      </c>
      <c r="N588" s="176" t="s">
        <v>149</v>
      </c>
      <c r="O588" s="176" t="s">
        <v>150</v>
      </c>
      <c r="P588" s="176" t="s">
        <v>151</v>
      </c>
      <c r="Q588" s="176"/>
      <c r="R588" s="176" t="s">
        <v>5029</v>
      </c>
      <c r="S588" s="176"/>
      <c r="T588" s="176" t="s">
        <v>2969</v>
      </c>
      <c r="U588" s="176" t="s">
        <v>152</v>
      </c>
      <c r="V588" s="176" t="s">
        <v>23</v>
      </c>
    </row>
    <row r="589" spans="2:22" ht="12" customHeight="1">
      <c r="B589" s="211">
        <v>46214</v>
      </c>
      <c r="C589" s="211">
        <v>46214</v>
      </c>
      <c r="D589" s="176" t="s">
        <v>5030</v>
      </c>
      <c r="E589" s="176" t="s">
        <v>5031</v>
      </c>
      <c r="F589" s="176" t="s">
        <v>87</v>
      </c>
      <c r="G589" s="176" t="s">
        <v>4734</v>
      </c>
      <c r="H589" s="176">
        <v>60</v>
      </c>
      <c r="I589" s="176">
        <v>29.8</v>
      </c>
      <c r="J589" s="176">
        <v>29.8</v>
      </c>
      <c r="K589" s="176">
        <v>5</v>
      </c>
      <c r="L589" s="176">
        <v>0</v>
      </c>
      <c r="M589" s="176" t="s">
        <v>148</v>
      </c>
      <c r="N589" s="176" t="s">
        <v>149</v>
      </c>
      <c r="O589" s="176" t="s">
        <v>150</v>
      </c>
      <c r="P589" s="176" t="s">
        <v>151</v>
      </c>
      <c r="Q589" s="176"/>
      <c r="R589" s="176" t="s">
        <v>5031</v>
      </c>
      <c r="S589" s="176"/>
      <c r="T589" s="176" t="s">
        <v>2969</v>
      </c>
      <c r="U589" s="176" t="s">
        <v>152</v>
      </c>
      <c r="V589" s="176" t="s">
        <v>23</v>
      </c>
    </row>
    <row r="590" spans="2:22" ht="12" customHeight="1">
      <c r="B590" s="211">
        <v>46214</v>
      </c>
      <c r="C590" s="211">
        <v>46214</v>
      </c>
      <c r="D590" s="176" t="s">
        <v>5032</v>
      </c>
      <c r="E590" s="176" t="s">
        <v>5033</v>
      </c>
      <c r="F590" s="176" t="s">
        <v>87</v>
      </c>
      <c r="G590" s="176" t="s">
        <v>2486</v>
      </c>
      <c r="H590" s="176">
        <v>40</v>
      </c>
      <c r="I590" s="176">
        <v>33.799999999999997</v>
      </c>
      <c r="J590" s="176">
        <v>33.799999999999997</v>
      </c>
      <c r="K590" s="176">
        <v>5</v>
      </c>
      <c r="L590" s="176">
        <v>0</v>
      </c>
      <c r="M590" s="176" t="s">
        <v>148</v>
      </c>
      <c r="N590" s="176" t="s">
        <v>149</v>
      </c>
      <c r="O590" s="176" t="s">
        <v>150</v>
      </c>
      <c r="P590" s="176" t="s">
        <v>151</v>
      </c>
      <c r="Q590" s="176"/>
      <c r="R590" s="176" t="s">
        <v>5033</v>
      </c>
      <c r="S590" s="176"/>
      <c r="T590" s="176" t="s">
        <v>2969</v>
      </c>
      <c r="U590" s="176" t="s">
        <v>152</v>
      </c>
      <c r="V590" s="176" t="s">
        <v>23</v>
      </c>
    </row>
    <row r="591" spans="2:22" ht="12" customHeight="1">
      <c r="B591" s="211">
        <v>46214</v>
      </c>
      <c r="C591" s="211">
        <v>46214</v>
      </c>
      <c r="D591" s="176" t="s">
        <v>5034</v>
      </c>
      <c r="E591" s="176" t="s">
        <v>5035</v>
      </c>
      <c r="F591" s="176" t="s">
        <v>87</v>
      </c>
      <c r="G591" s="176" t="s">
        <v>2552</v>
      </c>
      <c r="H591" s="176">
        <v>40</v>
      </c>
      <c r="I591" s="176">
        <v>36</v>
      </c>
      <c r="J591" s="176">
        <v>36</v>
      </c>
      <c r="K591" s="176">
        <v>5</v>
      </c>
      <c r="L591" s="176">
        <v>0</v>
      </c>
      <c r="M591" s="176" t="s">
        <v>148</v>
      </c>
      <c r="N591" s="176" t="s">
        <v>149</v>
      </c>
      <c r="O591" s="176" t="s">
        <v>150</v>
      </c>
      <c r="P591" s="176" t="s">
        <v>151</v>
      </c>
      <c r="Q591" s="176"/>
      <c r="R591" s="176" t="s">
        <v>5035</v>
      </c>
      <c r="S591" s="176"/>
      <c r="T591" s="176" t="s">
        <v>2969</v>
      </c>
      <c r="U591" s="176" t="s">
        <v>152</v>
      </c>
      <c r="V591" s="176" t="s">
        <v>23</v>
      </c>
    </row>
    <row r="592" spans="2:22" ht="12" customHeight="1">
      <c r="B592" s="211">
        <v>46214</v>
      </c>
      <c r="C592" s="211">
        <v>46214</v>
      </c>
      <c r="D592" s="176" t="s">
        <v>5036</v>
      </c>
      <c r="E592" s="176" t="s">
        <v>5037</v>
      </c>
      <c r="F592" s="176" t="s">
        <v>87</v>
      </c>
      <c r="G592" s="176" t="s">
        <v>2001</v>
      </c>
      <c r="H592" s="176">
        <v>6</v>
      </c>
      <c r="I592" s="176">
        <v>11.3</v>
      </c>
      <c r="J592" s="176">
        <v>11.3</v>
      </c>
      <c r="K592" s="176">
        <v>1.5</v>
      </c>
      <c r="L592" s="176">
        <v>0</v>
      </c>
      <c r="M592" s="176" t="s">
        <v>148</v>
      </c>
      <c r="N592" s="176" t="s">
        <v>149</v>
      </c>
      <c r="O592" s="176" t="s">
        <v>150</v>
      </c>
      <c r="P592" s="176" t="s">
        <v>151</v>
      </c>
      <c r="Q592" s="176"/>
      <c r="R592" s="176" t="s">
        <v>5037</v>
      </c>
      <c r="S592" s="176"/>
      <c r="T592" s="176" t="s">
        <v>2969</v>
      </c>
      <c r="U592" s="176" t="s">
        <v>152</v>
      </c>
      <c r="V592" s="176" t="s">
        <v>23</v>
      </c>
    </row>
    <row r="593" spans="2:22" ht="12" customHeight="1">
      <c r="B593" s="211">
        <v>46214</v>
      </c>
      <c r="C593" s="211">
        <v>46214</v>
      </c>
      <c r="D593" s="176" t="s">
        <v>5038</v>
      </c>
      <c r="E593" s="176" t="s">
        <v>5039</v>
      </c>
      <c r="F593" s="176" t="s">
        <v>87</v>
      </c>
      <c r="G593" s="176" t="s">
        <v>2001</v>
      </c>
      <c r="H593" s="176">
        <v>6</v>
      </c>
      <c r="I593" s="176">
        <v>27.4</v>
      </c>
      <c r="J593" s="176">
        <v>27.4</v>
      </c>
      <c r="K593" s="176">
        <v>1.5</v>
      </c>
      <c r="L593" s="176">
        <v>0</v>
      </c>
      <c r="M593" s="176" t="s">
        <v>148</v>
      </c>
      <c r="N593" s="176" t="s">
        <v>149</v>
      </c>
      <c r="O593" s="176" t="s">
        <v>150</v>
      </c>
      <c r="P593" s="176" t="s">
        <v>151</v>
      </c>
      <c r="Q593" s="176"/>
      <c r="R593" s="176" t="s">
        <v>5039</v>
      </c>
      <c r="S593" s="176"/>
      <c r="T593" s="176" t="s">
        <v>2969</v>
      </c>
      <c r="U593" s="176" t="s">
        <v>152</v>
      </c>
      <c r="V593" s="176" t="s">
        <v>23</v>
      </c>
    </row>
    <row r="594" spans="2:22" ht="12" customHeight="1">
      <c r="B594" s="211">
        <v>46214</v>
      </c>
      <c r="C594" s="211">
        <v>46214</v>
      </c>
      <c r="D594" s="176" t="s">
        <v>5040</v>
      </c>
      <c r="E594" s="176" t="s">
        <v>5041</v>
      </c>
      <c r="F594" s="176" t="s">
        <v>87</v>
      </c>
      <c r="G594" s="176" t="s">
        <v>4929</v>
      </c>
      <c r="H594" s="176">
        <v>55</v>
      </c>
      <c r="I594" s="176">
        <v>34.200000000000003</v>
      </c>
      <c r="J594" s="176">
        <v>34.200000000000003</v>
      </c>
      <c r="K594" s="176">
        <v>5</v>
      </c>
      <c r="L594" s="176">
        <v>0</v>
      </c>
      <c r="M594" s="176" t="s">
        <v>148</v>
      </c>
      <c r="N594" s="176" t="s">
        <v>149</v>
      </c>
      <c r="O594" s="176" t="s">
        <v>150</v>
      </c>
      <c r="P594" s="176" t="s">
        <v>151</v>
      </c>
      <c r="Q594" s="176"/>
      <c r="R594" s="176" t="s">
        <v>5041</v>
      </c>
      <c r="S594" s="176"/>
      <c r="T594" s="176" t="s">
        <v>2969</v>
      </c>
      <c r="U594" s="176" t="s">
        <v>152</v>
      </c>
      <c r="V594" s="176" t="s">
        <v>23</v>
      </c>
    </row>
    <row r="595" spans="2:22" ht="12" customHeight="1">
      <c r="B595" s="211">
        <v>46214</v>
      </c>
      <c r="C595" s="211">
        <v>46214</v>
      </c>
      <c r="D595" s="176" t="s">
        <v>5042</v>
      </c>
      <c r="E595" s="176" t="s">
        <v>5043</v>
      </c>
      <c r="F595" s="176" t="s">
        <v>87</v>
      </c>
      <c r="G595" s="176" t="s">
        <v>4929</v>
      </c>
      <c r="H595" s="176">
        <v>55</v>
      </c>
      <c r="I595" s="176">
        <v>31.7</v>
      </c>
      <c r="J595" s="176">
        <v>31.7</v>
      </c>
      <c r="K595" s="176">
        <v>5</v>
      </c>
      <c r="L595" s="176">
        <v>0</v>
      </c>
      <c r="M595" s="176" t="s">
        <v>148</v>
      </c>
      <c r="N595" s="176" t="s">
        <v>149</v>
      </c>
      <c r="O595" s="176" t="s">
        <v>150</v>
      </c>
      <c r="P595" s="176" t="s">
        <v>151</v>
      </c>
      <c r="Q595" s="176"/>
      <c r="R595" s="176" t="s">
        <v>5043</v>
      </c>
      <c r="S595" s="176"/>
      <c r="T595" s="176" t="s">
        <v>2969</v>
      </c>
      <c r="U595" s="176" t="s">
        <v>152</v>
      </c>
      <c r="V595" s="176" t="s">
        <v>23</v>
      </c>
    </row>
    <row r="596" spans="2:22" ht="12" customHeight="1">
      <c r="B596" s="211">
        <v>46214</v>
      </c>
      <c r="C596" s="211">
        <v>46214</v>
      </c>
      <c r="D596" s="176" t="s">
        <v>5044</v>
      </c>
      <c r="E596" s="176" t="s">
        <v>5045</v>
      </c>
      <c r="F596" s="176" t="s">
        <v>87</v>
      </c>
      <c r="G596" s="176" t="s">
        <v>2552</v>
      </c>
      <c r="H596" s="176">
        <v>40</v>
      </c>
      <c r="I596" s="176">
        <v>42</v>
      </c>
      <c r="J596" s="176">
        <v>42</v>
      </c>
      <c r="K596" s="176">
        <v>5</v>
      </c>
      <c r="L596" s="176">
        <v>0</v>
      </c>
      <c r="M596" s="176" t="s">
        <v>148</v>
      </c>
      <c r="N596" s="176" t="s">
        <v>149</v>
      </c>
      <c r="O596" s="176" t="s">
        <v>150</v>
      </c>
      <c r="P596" s="176" t="s">
        <v>151</v>
      </c>
      <c r="Q596" s="176"/>
      <c r="R596" s="176" t="s">
        <v>5045</v>
      </c>
      <c r="S596" s="176"/>
      <c r="T596" s="176" t="s">
        <v>2969</v>
      </c>
      <c r="U596" s="176" t="s">
        <v>152</v>
      </c>
      <c r="V596" s="176" t="s">
        <v>23</v>
      </c>
    </row>
    <row r="597" spans="2:22" ht="12" customHeight="1">
      <c r="B597" s="211">
        <v>46214</v>
      </c>
      <c r="C597" s="211">
        <v>46214</v>
      </c>
      <c r="D597" s="176" t="s">
        <v>5046</v>
      </c>
      <c r="E597" s="176" t="s">
        <v>5047</v>
      </c>
      <c r="F597" s="176" t="s">
        <v>87</v>
      </c>
      <c r="G597" s="176" t="s">
        <v>2552</v>
      </c>
      <c r="H597" s="176">
        <v>40</v>
      </c>
      <c r="I597" s="176">
        <v>43.8</v>
      </c>
      <c r="J597" s="176">
        <v>43.8</v>
      </c>
      <c r="K597" s="176">
        <v>5</v>
      </c>
      <c r="L597" s="176">
        <v>0</v>
      </c>
      <c r="M597" s="176" t="s">
        <v>148</v>
      </c>
      <c r="N597" s="176" t="s">
        <v>149</v>
      </c>
      <c r="O597" s="176" t="s">
        <v>150</v>
      </c>
      <c r="P597" s="176" t="s">
        <v>151</v>
      </c>
      <c r="Q597" s="176"/>
      <c r="R597" s="176" t="s">
        <v>5047</v>
      </c>
      <c r="S597" s="176"/>
      <c r="T597" s="176" t="s">
        <v>2969</v>
      </c>
      <c r="U597" s="176" t="s">
        <v>152</v>
      </c>
      <c r="V597" s="176" t="s">
        <v>23</v>
      </c>
    </row>
    <row r="598" spans="2:22" ht="12" customHeight="1">
      <c r="B598" s="211">
        <v>46214</v>
      </c>
      <c r="C598" s="211">
        <v>46214</v>
      </c>
      <c r="D598" s="176" t="s">
        <v>5048</v>
      </c>
      <c r="E598" s="176" t="s">
        <v>5049</v>
      </c>
      <c r="F598" s="176" t="s">
        <v>87</v>
      </c>
      <c r="G598" s="176" t="s">
        <v>2486</v>
      </c>
      <c r="H598" s="176">
        <v>40</v>
      </c>
      <c r="I598" s="176">
        <v>35.799999999999997</v>
      </c>
      <c r="J598" s="176">
        <v>35.799999999999997</v>
      </c>
      <c r="K598" s="176">
        <v>5</v>
      </c>
      <c r="L598" s="176">
        <v>0</v>
      </c>
      <c r="M598" s="176" t="s">
        <v>148</v>
      </c>
      <c r="N598" s="176" t="s">
        <v>149</v>
      </c>
      <c r="O598" s="176" t="s">
        <v>150</v>
      </c>
      <c r="P598" s="176" t="s">
        <v>151</v>
      </c>
      <c r="Q598" s="176"/>
      <c r="R598" s="176" t="s">
        <v>5049</v>
      </c>
      <c r="S598" s="176"/>
      <c r="T598" s="176" t="s">
        <v>2969</v>
      </c>
      <c r="U598" s="176" t="s">
        <v>152</v>
      </c>
      <c r="V598" s="176" t="s">
        <v>23</v>
      </c>
    </row>
    <row r="599" spans="2:22" ht="12" customHeight="1">
      <c r="B599" s="211">
        <v>46214</v>
      </c>
      <c r="C599" s="211">
        <v>46214</v>
      </c>
      <c r="D599" s="176" t="s">
        <v>5050</v>
      </c>
      <c r="E599" s="176" t="s">
        <v>5051</v>
      </c>
      <c r="F599" s="176" t="s">
        <v>87</v>
      </c>
      <c r="G599" s="176" t="s">
        <v>2486</v>
      </c>
      <c r="H599" s="176">
        <v>40</v>
      </c>
      <c r="I599" s="176">
        <v>31.3</v>
      </c>
      <c r="J599" s="176">
        <v>31.3</v>
      </c>
      <c r="K599" s="176">
        <v>5</v>
      </c>
      <c r="L599" s="176">
        <v>0</v>
      </c>
      <c r="M599" s="176" t="s">
        <v>148</v>
      </c>
      <c r="N599" s="176" t="s">
        <v>149</v>
      </c>
      <c r="O599" s="176" t="s">
        <v>150</v>
      </c>
      <c r="P599" s="176" t="s">
        <v>151</v>
      </c>
      <c r="Q599" s="176"/>
      <c r="R599" s="176" t="s">
        <v>5051</v>
      </c>
      <c r="S599" s="176"/>
      <c r="T599" s="176" t="s">
        <v>2969</v>
      </c>
      <c r="U599" s="176" t="s">
        <v>152</v>
      </c>
      <c r="V599" s="176" t="s">
        <v>23</v>
      </c>
    </row>
    <row r="600" spans="2:22" ht="12" customHeight="1">
      <c r="B600" s="211">
        <v>46214</v>
      </c>
      <c r="C600" s="211">
        <v>46214</v>
      </c>
      <c r="D600" s="176" t="s">
        <v>5052</v>
      </c>
      <c r="E600" s="176" t="s">
        <v>5053</v>
      </c>
      <c r="F600" s="176" t="s">
        <v>87</v>
      </c>
      <c r="G600" s="176" t="s">
        <v>2001</v>
      </c>
      <c r="H600" s="176">
        <v>6</v>
      </c>
      <c r="I600" s="176">
        <v>20.399999999999999</v>
      </c>
      <c r="J600" s="176">
        <v>20.399999999999999</v>
      </c>
      <c r="K600" s="176">
        <v>1.5</v>
      </c>
      <c r="L600" s="176">
        <v>0</v>
      </c>
      <c r="M600" s="176" t="s">
        <v>148</v>
      </c>
      <c r="N600" s="176" t="s">
        <v>149</v>
      </c>
      <c r="O600" s="176" t="s">
        <v>150</v>
      </c>
      <c r="P600" s="176" t="s">
        <v>151</v>
      </c>
      <c r="Q600" s="176"/>
      <c r="R600" s="176" t="s">
        <v>5053</v>
      </c>
      <c r="S600" s="176"/>
      <c r="T600" s="176" t="s">
        <v>2969</v>
      </c>
      <c r="U600" s="176" t="s">
        <v>152</v>
      </c>
      <c r="V600" s="176" t="s">
        <v>23</v>
      </c>
    </row>
    <row r="601" spans="2:22" ht="12" customHeight="1">
      <c r="B601" s="211">
        <v>46214</v>
      </c>
      <c r="C601" s="211">
        <v>46214</v>
      </c>
      <c r="D601" s="176" t="s">
        <v>5054</v>
      </c>
      <c r="E601" s="176" t="s">
        <v>5055</v>
      </c>
      <c r="F601" s="176" t="s">
        <v>87</v>
      </c>
      <c r="G601" s="176" t="s">
        <v>2636</v>
      </c>
      <c r="H601" s="176">
        <v>6</v>
      </c>
      <c r="I601" s="176">
        <v>15.8</v>
      </c>
      <c r="J601" s="176">
        <v>15.8</v>
      </c>
      <c r="K601" s="176">
        <v>1.5</v>
      </c>
      <c r="L601" s="176">
        <v>0</v>
      </c>
      <c r="M601" s="176" t="s">
        <v>148</v>
      </c>
      <c r="N601" s="176" t="s">
        <v>149</v>
      </c>
      <c r="O601" s="176" t="s">
        <v>150</v>
      </c>
      <c r="P601" s="176" t="s">
        <v>151</v>
      </c>
      <c r="Q601" s="176"/>
      <c r="R601" s="176" t="s">
        <v>5055</v>
      </c>
      <c r="S601" s="176"/>
      <c r="T601" s="176" t="s">
        <v>2969</v>
      </c>
      <c r="U601" s="176" t="s">
        <v>152</v>
      </c>
      <c r="V601" s="176" t="s">
        <v>23</v>
      </c>
    </row>
    <row r="602" spans="2:22" ht="12" customHeight="1">
      <c r="B602" s="211">
        <v>46214</v>
      </c>
      <c r="C602" s="211">
        <v>46214</v>
      </c>
      <c r="D602" s="176" t="s">
        <v>5056</v>
      </c>
      <c r="E602" s="176" t="s">
        <v>5057</v>
      </c>
      <c r="F602" s="176" t="s">
        <v>87</v>
      </c>
      <c r="G602" s="176" t="s">
        <v>2485</v>
      </c>
      <c r="H602" s="176">
        <v>30</v>
      </c>
      <c r="I602" s="176">
        <v>39</v>
      </c>
      <c r="J602" s="176">
        <v>39</v>
      </c>
      <c r="K602" s="176">
        <v>4</v>
      </c>
      <c r="L602" s="176">
        <v>0</v>
      </c>
      <c r="M602" s="176" t="s">
        <v>148</v>
      </c>
      <c r="N602" s="176" t="s">
        <v>149</v>
      </c>
      <c r="O602" s="176" t="s">
        <v>150</v>
      </c>
      <c r="P602" s="176" t="s">
        <v>151</v>
      </c>
      <c r="Q602" s="176"/>
      <c r="R602" s="176" t="s">
        <v>5057</v>
      </c>
      <c r="S602" s="176"/>
      <c r="T602" s="176" t="s">
        <v>2969</v>
      </c>
      <c r="U602" s="176" t="s">
        <v>152</v>
      </c>
      <c r="V602" s="176" t="s">
        <v>23</v>
      </c>
    </row>
    <row r="603" spans="2:22" ht="12" customHeight="1">
      <c r="B603" s="211">
        <v>46214</v>
      </c>
      <c r="C603" s="211">
        <v>46214</v>
      </c>
      <c r="D603" s="176" t="s">
        <v>5058</v>
      </c>
      <c r="E603" s="176" t="s">
        <v>5059</v>
      </c>
      <c r="F603" s="176" t="s">
        <v>87</v>
      </c>
      <c r="G603" s="176" t="s">
        <v>2552</v>
      </c>
      <c r="H603" s="176">
        <v>40</v>
      </c>
      <c r="I603" s="176">
        <v>29.8</v>
      </c>
      <c r="J603" s="176">
        <v>29.8</v>
      </c>
      <c r="K603" s="176">
        <v>5</v>
      </c>
      <c r="L603" s="176">
        <v>0</v>
      </c>
      <c r="M603" s="176" t="s">
        <v>148</v>
      </c>
      <c r="N603" s="176" t="s">
        <v>149</v>
      </c>
      <c r="O603" s="176" t="s">
        <v>150</v>
      </c>
      <c r="P603" s="176" t="s">
        <v>151</v>
      </c>
      <c r="Q603" s="176"/>
      <c r="R603" s="176" t="s">
        <v>5059</v>
      </c>
      <c r="S603" s="176"/>
      <c r="T603" s="176" t="s">
        <v>2969</v>
      </c>
      <c r="U603" s="176" t="s">
        <v>152</v>
      </c>
      <c r="V603" s="176" t="s">
        <v>23</v>
      </c>
    </row>
    <row r="604" spans="2:22" ht="12" customHeight="1">
      <c r="B604" s="211">
        <v>46214</v>
      </c>
      <c r="C604" s="211">
        <v>46214</v>
      </c>
      <c r="D604" s="176" t="s">
        <v>5060</v>
      </c>
      <c r="E604" s="176" t="s">
        <v>5061</v>
      </c>
      <c r="F604" s="176" t="s">
        <v>87</v>
      </c>
      <c r="G604" s="176" t="s">
        <v>2486</v>
      </c>
      <c r="H604" s="176">
        <v>40</v>
      </c>
      <c r="I604" s="176">
        <v>41.4</v>
      </c>
      <c r="J604" s="176">
        <v>41.4</v>
      </c>
      <c r="K604" s="176">
        <v>5</v>
      </c>
      <c r="L604" s="176">
        <v>0</v>
      </c>
      <c r="M604" s="176" t="s">
        <v>148</v>
      </c>
      <c r="N604" s="176" t="s">
        <v>149</v>
      </c>
      <c r="O604" s="176" t="s">
        <v>150</v>
      </c>
      <c r="P604" s="176" t="s">
        <v>151</v>
      </c>
      <c r="Q604" s="176"/>
      <c r="R604" s="176" t="s">
        <v>5061</v>
      </c>
      <c r="S604" s="176"/>
      <c r="T604" s="176" t="s">
        <v>2969</v>
      </c>
      <c r="U604" s="176" t="s">
        <v>152</v>
      </c>
      <c r="V604" s="176" t="s">
        <v>23</v>
      </c>
    </row>
    <row r="605" spans="2:22" ht="12" customHeight="1">
      <c r="B605" s="211">
        <v>46214</v>
      </c>
      <c r="C605" s="211">
        <v>46214</v>
      </c>
      <c r="D605" s="176" t="s">
        <v>5062</v>
      </c>
      <c r="E605" s="176" t="s">
        <v>5063</v>
      </c>
      <c r="F605" s="176" t="s">
        <v>87</v>
      </c>
      <c r="G605" s="176" t="s">
        <v>3866</v>
      </c>
      <c r="H605" s="176">
        <v>40</v>
      </c>
      <c r="I605" s="176">
        <v>41.8</v>
      </c>
      <c r="J605" s="176">
        <v>41.8</v>
      </c>
      <c r="K605" s="176">
        <v>5</v>
      </c>
      <c r="L605" s="176">
        <v>0</v>
      </c>
      <c r="M605" s="176" t="s">
        <v>148</v>
      </c>
      <c r="N605" s="176" t="s">
        <v>149</v>
      </c>
      <c r="O605" s="176" t="s">
        <v>150</v>
      </c>
      <c r="P605" s="176" t="s">
        <v>151</v>
      </c>
      <c r="Q605" s="176"/>
      <c r="R605" s="176" t="s">
        <v>5063</v>
      </c>
      <c r="S605" s="176"/>
      <c r="T605" s="176" t="s">
        <v>2969</v>
      </c>
      <c r="U605" s="176" t="s">
        <v>152</v>
      </c>
      <c r="V605" s="176" t="s">
        <v>23</v>
      </c>
    </row>
    <row r="606" spans="2:22" ht="12" customHeight="1">
      <c r="B606" s="211">
        <v>46214</v>
      </c>
      <c r="C606" s="211">
        <v>46214</v>
      </c>
      <c r="D606" s="176" t="s">
        <v>5064</v>
      </c>
      <c r="E606" s="176" t="s">
        <v>5065</v>
      </c>
      <c r="F606" s="176" t="s">
        <v>87</v>
      </c>
      <c r="G606" s="176" t="s">
        <v>2552</v>
      </c>
      <c r="H606" s="176">
        <v>40</v>
      </c>
      <c r="I606" s="176">
        <v>38.700000000000003</v>
      </c>
      <c r="J606" s="176">
        <v>38.700000000000003</v>
      </c>
      <c r="K606" s="176">
        <v>5</v>
      </c>
      <c r="L606" s="176">
        <v>0</v>
      </c>
      <c r="M606" s="176" t="s">
        <v>148</v>
      </c>
      <c r="N606" s="176" t="s">
        <v>149</v>
      </c>
      <c r="O606" s="176" t="s">
        <v>150</v>
      </c>
      <c r="P606" s="176" t="s">
        <v>151</v>
      </c>
      <c r="Q606" s="176"/>
      <c r="R606" s="176" t="s">
        <v>5065</v>
      </c>
      <c r="S606" s="176"/>
      <c r="T606" s="176" t="s">
        <v>2969</v>
      </c>
      <c r="U606" s="176" t="s">
        <v>152</v>
      </c>
      <c r="V606" s="176" t="s">
        <v>23</v>
      </c>
    </row>
    <row r="607" spans="2:22" ht="12" customHeight="1">
      <c r="B607" s="211">
        <v>46214</v>
      </c>
      <c r="C607" s="211">
        <v>46214</v>
      </c>
      <c r="D607" s="176" t="s">
        <v>5066</v>
      </c>
      <c r="E607" s="176" t="s">
        <v>5067</v>
      </c>
      <c r="F607" s="176" t="s">
        <v>87</v>
      </c>
      <c r="G607" s="176" t="s">
        <v>2485</v>
      </c>
      <c r="H607" s="176">
        <v>30</v>
      </c>
      <c r="I607" s="176">
        <v>16.100000000000001</v>
      </c>
      <c r="J607" s="176">
        <v>16.100000000000001</v>
      </c>
      <c r="K607" s="176">
        <v>4</v>
      </c>
      <c r="L607" s="176">
        <v>0</v>
      </c>
      <c r="M607" s="176" t="s">
        <v>148</v>
      </c>
      <c r="N607" s="176" t="s">
        <v>149</v>
      </c>
      <c r="O607" s="176" t="s">
        <v>150</v>
      </c>
      <c r="P607" s="176" t="s">
        <v>151</v>
      </c>
      <c r="Q607" s="176"/>
      <c r="R607" s="176" t="s">
        <v>5067</v>
      </c>
      <c r="S607" s="176"/>
      <c r="T607" s="176" t="s">
        <v>2969</v>
      </c>
      <c r="U607" s="176" t="s">
        <v>152</v>
      </c>
      <c r="V607" s="176" t="s">
        <v>23</v>
      </c>
    </row>
    <row r="608" spans="2:22" ht="12" customHeight="1">
      <c r="B608" s="211">
        <v>46214</v>
      </c>
      <c r="C608" s="211">
        <v>46214</v>
      </c>
      <c r="D608" s="176" t="s">
        <v>5068</v>
      </c>
      <c r="E608" s="176" t="s">
        <v>5069</v>
      </c>
      <c r="F608" s="176" t="s">
        <v>87</v>
      </c>
      <c r="G608" s="176" t="s">
        <v>2639</v>
      </c>
      <c r="H608" s="176">
        <v>25</v>
      </c>
      <c r="I608" s="176">
        <v>17.3</v>
      </c>
      <c r="J608" s="176">
        <v>17.3</v>
      </c>
      <c r="K608" s="176">
        <v>4</v>
      </c>
      <c r="L608" s="176">
        <v>0</v>
      </c>
      <c r="M608" s="176" t="s">
        <v>148</v>
      </c>
      <c r="N608" s="176" t="s">
        <v>149</v>
      </c>
      <c r="O608" s="176" t="s">
        <v>150</v>
      </c>
      <c r="P608" s="176" t="s">
        <v>151</v>
      </c>
      <c r="Q608" s="176"/>
      <c r="R608" s="176" t="s">
        <v>5069</v>
      </c>
      <c r="S608" s="176"/>
      <c r="T608" s="176" t="s">
        <v>2969</v>
      </c>
      <c r="U608" s="176" t="s">
        <v>152</v>
      </c>
      <c r="V608" s="176" t="s">
        <v>23</v>
      </c>
    </row>
    <row r="609" spans="2:22" ht="12" customHeight="1">
      <c r="B609" s="211">
        <v>46214</v>
      </c>
      <c r="C609" s="211">
        <v>46214</v>
      </c>
      <c r="D609" s="176" t="s">
        <v>5070</v>
      </c>
      <c r="E609" s="176" t="s">
        <v>5071</v>
      </c>
      <c r="F609" s="176" t="s">
        <v>87</v>
      </c>
      <c r="G609" s="176" t="s">
        <v>2486</v>
      </c>
      <c r="H609" s="176">
        <v>40</v>
      </c>
      <c r="I609" s="176">
        <v>38.799999999999997</v>
      </c>
      <c r="J609" s="176">
        <v>38.799999999999997</v>
      </c>
      <c r="K609" s="176">
        <v>5</v>
      </c>
      <c r="L609" s="176">
        <v>0</v>
      </c>
      <c r="M609" s="176" t="s">
        <v>148</v>
      </c>
      <c r="N609" s="176" t="s">
        <v>149</v>
      </c>
      <c r="O609" s="176" t="s">
        <v>150</v>
      </c>
      <c r="P609" s="176" t="s">
        <v>151</v>
      </c>
      <c r="Q609" s="176"/>
      <c r="R609" s="176" t="s">
        <v>5071</v>
      </c>
      <c r="S609" s="176"/>
      <c r="T609" s="176" t="s">
        <v>2969</v>
      </c>
      <c r="U609" s="176" t="s">
        <v>152</v>
      </c>
      <c r="V609" s="176" t="s">
        <v>23</v>
      </c>
    </row>
    <row r="610" spans="2:22" ht="12" customHeight="1">
      <c r="B610" s="211">
        <v>46214</v>
      </c>
      <c r="C610" s="211">
        <v>46214</v>
      </c>
      <c r="D610" s="176" t="s">
        <v>5072</v>
      </c>
      <c r="E610" s="176" t="s">
        <v>5073</v>
      </c>
      <c r="F610" s="176" t="s">
        <v>87</v>
      </c>
      <c r="G610" s="176" t="s">
        <v>2552</v>
      </c>
      <c r="H610" s="176">
        <v>40</v>
      </c>
      <c r="I610" s="176">
        <v>39.4</v>
      </c>
      <c r="J610" s="176">
        <v>39.4</v>
      </c>
      <c r="K610" s="176">
        <v>5</v>
      </c>
      <c r="L610" s="176">
        <v>0</v>
      </c>
      <c r="M610" s="176" t="s">
        <v>148</v>
      </c>
      <c r="N610" s="176" t="s">
        <v>149</v>
      </c>
      <c r="O610" s="176" t="s">
        <v>150</v>
      </c>
      <c r="P610" s="176" t="s">
        <v>151</v>
      </c>
      <c r="Q610" s="176"/>
      <c r="R610" s="176" t="s">
        <v>5073</v>
      </c>
      <c r="S610" s="176"/>
      <c r="T610" s="176" t="s">
        <v>2969</v>
      </c>
      <c r="U610" s="176" t="s">
        <v>152</v>
      </c>
      <c r="V610" s="176" t="s">
        <v>23</v>
      </c>
    </row>
    <row r="611" spans="2:22" ht="12" customHeight="1">
      <c r="B611" s="211">
        <v>46214</v>
      </c>
      <c r="C611" s="211">
        <v>46214</v>
      </c>
      <c r="D611" s="176" t="s">
        <v>5074</v>
      </c>
      <c r="E611" s="176" t="s">
        <v>5075</v>
      </c>
      <c r="F611" s="176" t="s">
        <v>87</v>
      </c>
      <c r="G611" s="176" t="s">
        <v>2486</v>
      </c>
      <c r="H611" s="176">
        <v>40</v>
      </c>
      <c r="I611" s="176">
        <v>40.799999999999997</v>
      </c>
      <c r="J611" s="176">
        <v>40.799999999999997</v>
      </c>
      <c r="K611" s="176">
        <v>5</v>
      </c>
      <c r="L611" s="176">
        <v>0</v>
      </c>
      <c r="M611" s="176" t="s">
        <v>148</v>
      </c>
      <c r="N611" s="176" t="s">
        <v>149</v>
      </c>
      <c r="O611" s="176" t="s">
        <v>150</v>
      </c>
      <c r="P611" s="176" t="s">
        <v>151</v>
      </c>
      <c r="Q611" s="176"/>
      <c r="R611" s="176" t="s">
        <v>5075</v>
      </c>
      <c r="S611" s="176"/>
      <c r="T611" s="176" t="s">
        <v>2969</v>
      </c>
      <c r="U611" s="176" t="s">
        <v>152</v>
      </c>
      <c r="V611" s="176" t="s">
        <v>23</v>
      </c>
    </row>
    <row r="612" spans="2:22" ht="12" customHeight="1">
      <c r="B612" s="211">
        <v>46214</v>
      </c>
      <c r="C612" s="211">
        <v>46214</v>
      </c>
      <c r="D612" s="176" t="s">
        <v>5076</v>
      </c>
      <c r="E612" s="176" t="s">
        <v>5077</v>
      </c>
      <c r="F612" s="176" t="s">
        <v>87</v>
      </c>
      <c r="G612" s="176" t="s">
        <v>2633</v>
      </c>
      <c r="H612" s="176">
        <v>40</v>
      </c>
      <c r="I612" s="176">
        <v>40.6</v>
      </c>
      <c r="J612" s="176">
        <v>40.6</v>
      </c>
      <c r="K612" s="176">
        <v>5</v>
      </c>
      <c r="L612" s="176">
        <v>0</v>
      </c>
      <c r="M612" s="176" t="s">
        <v>148</v>
      </c>
      <c r="N612" s="176" t="s">
        <v>149</v>
      </c>
      <c r="O612" s="176" t="s">
        <v>150</v>
      </c>
      <c r="P612" s="176" t="s">
        <v>151</v>
      </c>
      <c r="Q612" s="176"/>
      <c r="R612" s="176" t="s">
        <v>5077</v>
      </c>
      <c r="S612" s="176"/>
      <c r="T612" s="176" t="s">
        <v>2969</v>
      </c>
      <c r="U612" s="176" t="s">
        <v>152</v>
      </c>
      <c r="V612" s="176" t="s">
        <v>23</v>
      </c>
    </row>
    <row r="613" spans="2:22" ht="12" customHeight="1">
      <c r="B613" s="211">
        <v>46214</v>
      </c>
      <c r="C613" s="211">
        <v>46214</v>
      </c>
      <c r="D613" s="176" t="s">
        <v>5078</v>
      </c>
      <c r="E613" s="176" t="s">
        <v>5079</v>
      </c>
      <c r="F613" s="176" t="s">
        <v>87</v>
      </c>
      <c r="G613" s="176" t="s">
        <v>2486</v>
      </c>
      <c r="H613" s="176">
        <v>40</v>
      </c>
      <c r="I613" s="176">
        <v>36.299999999999997</v>
      </c>
      <c r="J613" s="176">
        <v>36.299999999999997</v>
      </c>
      <c r="K613" s="176">
        <v>5</v>
      </c>
      <c r="L613" s="176">
        <v>0</v>
      </c>
      <c r="M613" s="176" t="s">
        <v>148</v>
      </c>
      <c r="N613" s="176" t="s">
        <v>149</v>
      </c>
      <c r="O613" s="176" t="s">
        <v>150</v>
      </c>
      <c r="P613" s="176" t="s">
        <v>151</v>
      </c>
      <c r="Q613" s="176"/>
      <c r="R613" s="176" t="s">
        <v>5079</v>
      </c>
      <c r="S613" s="176"/>
      <c r="T613" s="176" t="s">
        <v>2969</v>
      </c>
      <c r="U613" s="176" t="s">
        <v>152</v>
      </c>
      <c r="V613" s="176" t="s">
        <v>23</v>
      </c>
    </row>
    <row r="614" spans="2:22" ht="12" customHeight="1">
      <c r="B614" s="211">
        <v>46214</v>
      </c>
      <c r="C614" s="211">
        <v>46214</v>
      </c>
      <c r="D614" s="176" t="s">
        <v>5080</v>
      </c>
      <c r="E614" s="176" t="s">
        <v>5081</v>
      </c>
      <c r="F614" s="176" t="s">
        <v>87</v>
      </c>
      <c r="G614" s="176" t="s">
        <v>2636</v>
      </c>
      <c r="H614" s="176">
        <v>6</v>
      </c>
      <c r="I614" s="176">
        <v>14.5</v>
      </c>
      <c r="J614" s="176">
        <v>14.5</v>
      </c>
      <c r="K614" s="176">
        <v>1.5</v>
      </c>
      <c r="L614" s="176">
        <v>0</v>
      </c>
      <c r="M614" s="176" t="s">
        <v>148</v>
      </c>
      <c r="N614" s="176" t="s">
        <v>149</v>
      </c>
      <c r="O614" s="176" t="s">
        <v>150</v>
      </c>
      <c r="P614" s="176" t="s">
        <v>151</v>
      </c>
      <c r="Q614" s="176"/>
      <c r="R614" s="176" t="s">
        <v>5081</v>
      </c>
      <c r="S614" s="176"/>
      <c r="T614" s="176" t="s">
        <v>2969</v>
      </c>
      <c r="U614" s="176" t="s">
        <v>152</v>
      </c>
      <c r="V614" s="176" t="s">
        <v>23</v>
      </c>
    </row>
    <row r="615" spans="2:22" ht="12" customHeight="1">
      <c r="B615" s="211">
        <v>46214</v>
      </c>
      <c r="C615" s="211">
        <v>46214</v>
      </c>
      <c r="D615" s="176" t="s">
        <v>5082</v>
      </c>
      <c r="E615" s="176" t="s">
        <v>5083</v>
      </c>
      <c r="F615" s="176" t="s">
        <v>87</v>
      </c>
      <c r="G615" s="176" t="s">
        <v>2485</v>
      </c>
      <c r="H615" s="176">
        <v>30</v>
      </c>
      <c r="I615" s="176">
        <v>27.2</v>
      </c>
      <c r="J615" s="176">
        <v>27.2</v>
      </c>
      <c r="K615" s="176">
        <v>4</v>
      </c>
      <c r="L615" s="176">
        <v>0</v>
      </c>
      <c r="M615" s="176" t="s">
        <v>148</v>
      </c>
      <c r="N615" s="176" t="s">
        <v>149</v>
      </c>
      <c r="O615" s="176" t="s">
        <v>150</v>
      </c>
      <c r="P615" s="176" t="s">
        <v>151</v>
      </c>
      <c r="Q615" s="176"/>
      <c r="R615" s="176" t="s">
        <v>5083</v>
      </c>
      <c r="S615" s="176"/>
      <c r="T615" s="176" t="s">
        <v>2969</v>
      </c>
      <c r="U615" s="176" t="s">
        <v>152</v>
      </c>
      <c r="V615" s="176" t="s">
        <v>23</v>
      </c>
    </row>
    <row r="616" spans="2:22" ht="12" customHeight="1">
      <c r="B616" s="211">
        <v>46214</v>
      </c>
      <c r="C616" s="211">
        <v>46214</v>
      </c>
      <c r="D616" s="176" t="s">
        <v>5084</v>
      </c>
      <c r="E616" s="176" t="s">
        <v>5085</v>
      </c>
      <c r="F616" s="176" t="s">
        <v>87</v>
      </c>
      <c r="G616" s="176" t="s">
        <v>2639</v>
      </c>
      <c r="H616" s="176">
        <v>25</v>
      </c>
      <c r="I616" s="176">
        <v>23.8</v>
      </c>
      <c r="J616" s="176">
        <v>23.8</v>
      </c>
      <c r="K616" s="176">
        <v>4</v>
      </c>
      <c r="L616" s="176">
        <v>0</v>
      </c>
      <c r="M616" s="176" t="s">
        <v>148</v>
      </c>
      <c r="N616" s="176" t="s">
        <v>149</v>
      </c>
      <c r="O616" s="176" t="s">
        <v>150</v>
      </c>
      <c r="P616" s="176" t="s">
        <v>151</v>
      </c>
      <c r="Q616" s="176"/>
      <c r="R616" s="176" t="s">
        <v>5085</v>
      </c>
      <c r="S616" s="176"/>
      <c r="T616" s="176" t="s">
        <v>2969</v>
      </c>
      <c r="U616" s="176" t="s">
        <v>152</v>
      </c>
      <c r="V616" s="176" t="s">
        <v>23</v>
      </c>
    </row>
    <row r="617" spans="2:22" ht="12" customHeight="1">
      <c r="B617" s="211">
        <v>46214</v>
      </c>
      <c r="C617" s="211">
        <v>46214</v>
      </c>
      <c r="D617" s="176" t="s">
        <v>5086</v>
      </c>
      <c r="E617" s="176" t="s">
        <v>5087</v>
      </c>
      <c r="F617" s="176" t="s">
        <v>87</v>
      </c>
      <c r="G617" s="176" t="s">
        <v>2486</v>
      </c>
      <c r="H617" s="176">
        <v>40</v>
      </c>
      <c r="I617" s="176">
        <v>32.200000000000003</v>
      </c>
      <c r="J617" s="176">
        <v>32.200000000000003</v>
      </c>
      <c r="K617" s="176">
        <v>5</v>
      </c>
      <c r="L617" s="176">
        <v>0</v>
      </c>
      <c r="M617" s="176" t="s">
        <v>148</v>
      </c>
      <c r="N617" s="176" t="s">
        <v>149</v>
      </c>
      <c r="O617" s="176" t="s">
        <v>150</v>
      </c>
      <c r="P617" s="176" t="s">
        <v>151</v>
      </c>
      <c r="Q617" s="176"/>
      <c r="R617" s="176" t="s">
        <v>5087</v>
      </c>
      <c r="S617" s="176"/>
      <c r="T617" s="176" t="s">
        <v>2969</v>
      </c>
      <c r="U617" s="176" t="s">
        <v>152</v>
      </c>
      <c r="V617" s="176" t="s">
        <v>23</v>
      </c>
    </row>
    <row r="618" spans="2:22" ht="12" customHeight="1">
      <c r="B618" s="211">
        <v>46214</v>
      </c>
      <c r="C618" s="211">
        <v>46214</v>
      </c>
      <c r="D618" s="176" t="s">
        <v>5088</v>
      </c>
      <c r="E618" s="176" t="s">
        <v>5089</v>
      </c>
      <c r="F618" s="176" t="s">
        <v>87</v>
      </c>
      <c r="G618" s="176" t="s">
        <v>2552</v>
      </c>
      <c r="H618" s="176">
        <v>40</v>
      </c>
      <c r="I618" s="176">
        <v>46.1</v>
      </c>
      <c r="J618" s="176">
        <v>46.1</v>
      </c>
      <c r="K618" s="176">
        <v>5</v>
      </c>
      <c r="L618" s="176">
        <v>0</v>
      </c>
      <c r="M618" s="176" t="s">
        <v>148</v>
      </c>
      <c r="N618" s="176" t="s">
        <v>149</v>
      </c>
      <c r="O618" s="176" t="s">
        <v>150</v>
      </c>
      <c r="P618" s="176" t="s">
        <v>151</v>
      </c>
      <c r="Q618" s="176"/>
      <c r="R618" s="176" t="s">
        <v>5089</v>
      </c>
      <c r="S618" s="176"/>
      <c r="T618" s="176" t="s">
        <v>2969</v>
      </c>
      <c r="U618" s="176" t="s">
        <v>152</v>
      </c>
      <c r="V618" s="176" t="s">
        <v>23</v>
      </c>
    </row>
    <row r="619" spans="2:22" ht="12" customHeight="1">
      <c r="B619" s="211">
        <v>46214</v>
      </c>
      <c r="C619" s="211">
        <v>46214</v>
      </c>
      <c r="D619" s="176" t="s">
        <v>5090</v>
      </c>
      <c r="E619" s="176" t="s">
        <v>5091</v>
      </c>
      <c r="F619" s="176" t="s">
        <v>87</v>
      </c>
      <c r="G619" s="176" t="s">
        <v>2486</v>
      </c>
      <c r="H619" s="176">
        <v>40</v>
      </c>
      <c r="I619" s="176">
        <v>33.700000000000003</v>
      </c>
      <c r="J619" s="176">
        <v>33.700000000000003</v>
      </c>
      <c r="K619" s="176">
        <v>5</v>
      </c>
      <c r="L619" s="176">
        <v>0</v>
      </c>
      <c r="M619" s="176" t="s">
        <v>148</v>
      </c>
      <c r="N619" s="176" t="s">
        <v>149</v>
      </c>
      <c r="O619" s="176" t="s">
        <v>150</v>
      </c>
      <c r="P619" s="176" t="s">
        <v>151</v>
      </c>
      <c r="Q619" s="176"/>
      <c r="R619" s="176" t="s">
        <v>5091</v>
      </c>
      <c r="S619" s="176"/>
      <c r="T619" s="176" t="s">
        <v>2969</v>
      </c>
      <c r="U619" s="176" t="s">
        <v>152</v>
      </c>
      <c r="V619" s="176" t="s">
        <v>23</v>
      </c>
    </row>
    <row r="620" spans="2:22" ht="12" customHeight="1">
      <c r="B620" s="211">
        <v>46214</v>
      </c>
      <c r="C620" s="211">
        <v>46214</v>
      </c>
      <c r="D620" s="176" t="s">
        <v>5092</v>
      </c>
      <c r="E620" s="176" t="s">
        <v>5093</v>
      </c>
      <c r="F620" s="176" t="s">
        <v>87</v>
      </c>
      <c r="G620" s="176" t="s">
        <v>2633</v>
      </c>
      <c r="H620" s="176">
        <v>40</v>
      </c>
      <c r="I620" s="176">
        <v>32.799999999999997</v>
      </c>
      <c r="J620" s="176">
        <v>32.799999999999997</v>
      </c>
      <c r="K620" s="176">
        <v>5</v>
      </c>
      <c r="L620" s="176">
        <v>0</v>
      </c>
      <c r="M620" s="176" t="s">
        <v>148</v>
      </c>
      <c r="N620" s="176" t="s">
        <v>149</v>
      </c>
      <c r="O620" s="176" t="s">
        <v>150</v>
      </c>
      <c r="P620" s="176" t="s">
        <v>151</v>
      </c>
      <c r="Q620" s="176"/>
      <c r="R620" s="176" t="s">
        <v>5093</v>
      </c>
      <c r="S620" s="176"/>
      <c r="T620" s="176" t="s">
        <v>2969</v>
      </c>
      <c r="U620" s="176" t="s">
        <v>152</v>
      </c>
      <c r="V620" s="176" t="s">
        <v>23</v>
      </c>
    </row>
    <row r="621" spans="2:22" ht="12" customHeight="1">
      <c r="B621" s="211">
        <v>46214</v>
      </c>
      <c r="C621" s="211">
        <v>46214</v>
      </c>
      <c r="D621" s="176" t="s">
        <v>5094</v>
      </c>
      <c r="E621" s="176" t="s">
        <v>5095</v>
      </c>
      <c r="F621" s="176" t="s">
        <v>87</v>
      </c>
      <c r="G621" s="176" t="s">
        <v>4929</v>
      </c>
      <c r="H621" s="176">
        <v>55</v>
      </c>
      <c r="I621" s="176">
        <v>39.5</v>
      </c>
      <c r="J621" s="176">
        <v>39.5</v>
      </c>
      <c r="K621" s="176">
        <v>5</v>
      </c>
      <c r="L621" s="176">
        <v>0</v>
      </c>
      <c r="M621" s="176" t="s">
        <v>148</v>
      </c>
      <c r="N621" s="176" t="s">
        <v>149</v>
      </c>
      <c r="O621" s="176" t="s">
        <v>150</v>
      </c>
      <c r="P621" s="176" t="s">
        <v>151</v>
      </c>
      <c r="Q621" s="176"/>
      <c r="R621" s="176" t="s">
        <v>5095</v>
      </c>
      <c r="S621" s="176"/>
      <c r="T621" s="176" t="s">
        <v>2969</v>
      </c>
      <c r="U621" s="176" t="s">
        <v>152</v>
      </c>
      <c r="V621" s="176" t="s">
        <v>23</v>
      </c>
    </row>
    <row r="622" spans="2:22" ht="12" customHeight="1">
      <c r="B622" s="211">
        <v>46214</v>
      </c>
      <c r="C622" s="211">
        <v>46214</v>
      </c>
      <c r="D622" s="176" t="s">
        <v>5096</v>
      </c>
      <c r="E622" s="176" t="s">
        <v>5097</v>
      </c>
      <c r="F622" s="176" t="s">
        <v>87</v>
      </c>
      <c r="G622" s="176" t="s">
        <v>2001</v>
      </c>
      <c r="H622" s="176">
        <v>6</v>
      </c>
      <c r="I622" s="176">
        <v>30.8</v>
      </c>
      <c r="J622" s="176">
        <v>30.8</v>
      </c>
      <c r="K622" s="176">
        <v>1.5</v>
      </c>
      <c r="L622" s="176">
        <v>0</v>
      </c>
      <c r="M622" s="176" t="s">
        <v>148</v>
      </c>
      <c r="N622" s="176" t="s">
        <v>149</v>
      </c>
      <c r="O622" s="176" t="s">
        <v>150</v>
      </c>
      <c r="P622" s="176" t="s">
        <v>151</v>
      </c>
      <c r="Q622" s="176"/>
      <c r="R622" s="176" t="s">
        <v>5097</v>
      </c>
      <c r="S622" s="176"/>
      <c r="T622" s="176" t="s">
        <v>2969</v>
      </c>
      <c r="U622" s="176" t="s">
        <v>152</v>
      </c>
      <c r="V622" s="176" t="s">
        <v>23</v>
      </c>
    </row>
    <row r="623" spans="2:22" ht="12" customHeight="1">
      <c r="B623" s="211">
        <v>46214</v>
      </c>
      <c r="C623" s="211">
        <v>46214</v>
      </c>
      <c r="D623" s="176" t="s">
        <v>5098</v>
      </c>
      <c r="E623" s="176" t="s">
        <v>5099</v>
      </c>
      <c r="F623" s="176" t="s">
        <v>87</v>
      </c>
      <c r="G623" s="176" t="s">
        <v>2552</v>
      </c>
      <c r="H623" s="176">
        <v>40</v>
      </c>
      <c r="I623" s="176">
        <v>35.6</v>
      </c>
      <c r="J623" s="176">
        <v>35.6</v>
      </c>
      <c r="K623" s="176">
        <v>5</v>
      </c>
      <c r="L623" s="176">
        <v>0</v>
      </c>
      <c r="M623" s="176" t="s">
        <v>148</v>
      </c>
      <c r="N623" s="176" t="s">
        <v>149</v>
      </c>
      <c r="O623" s="176" t="s">
        <v>150</v>
      </c>
      <c r="P623" s="176" t="s">
        <v>151</v>
      </c>
      <c r="Q623" s="176"/>
      <c r="R623" s="176" t="s">
        <v>5099</v>
      </c>
      <c r="S623" s="176"/>
      <c r="T623" s="176" t="s">
        <v>2969</v>
      </c>
      <c r="U623" s="176" t="s">
        <v>152</v>
      </c>
      <c r="V623" s="176" t="s">
        <v>23</v>
      </c>
    </row>
    <row r="624" spans="2:22" ht="12" customHeight="1">
      <c r="B624" s="211">
        <v>46214</v>
      </c>
      <c r="C624" s="211">
        <v>46214</v>
      </c>
      <c r="D624" s="176" t="s">
        <v>5100</v>
      </c>
      <c r="E624" s="176" t="s">
        <v>5101</v>
      </c>
      <c r="F624" s="176" t="s">
        <v>87</v>
      </c>
      <c r="G624" s="176" t="s">
        <v>2486</v>
      </c>
      <c r="H624" s="176">
        <v>40</v>
      </c>
      <c r="I624" s="176">
        <v>32.200000000000003</v>
      </c>
      <c r="J624" s="176">
        <v>32.200000000000003</v>
      </c>
      <c r="K624" s="176">
        <v>5</v>
      </c>
      <c r="L624" s="176">
        <v>0</v>
      </c>
      <c r="M624" s="176" t="s">
        <v>148</v>
      </c>
      <c r="N624" s="176" t="s">
        <v>149</v>
      </c>
      <c r="O624" s="176" t="s">
        <v>150</v>
      </c>
      <c r="P624" s="176" t="s">
        <v>151</v>
      </c>
      <c r="Q624" s="176"/>
      <c r="R624" s="176" t="s">
        <v>5101</v>
      </c>
      <c r="S624" s="176"/>
      <c r="T624" s="176" t="s">
        <v>2969</v>
      </c>
      <c r="U624" s="176" t="s">
        <v>152</v>
      </c>
      <c r="V624" s="176" t="s">
        <v>23</v>
      </c>
    </row>
    <row r="625" spans="2:22" ht="12" customHeight="1">
      <c r="B625" s="211">
        <v>46214</v>
      </c>
      <c r="C625" s="211">
        <v>46214</v>
      </c>
      <c r="D625" s="176" t="s">
        <v>5102</v>
      </c>
      <c r="E625" s="176" t="s">
        <v>5103</v>
      </c>
      <c r="F625" s="176" t="s">
        <v>87</v>
      </c>
      <c r="G625" s="176" t="s">
        <v>3866</v>
      </c>
      <c r="H625" s="176">
        <v>40</v>
      </c>
      <c r="I625" s="176">
        <v>34.799999999999997</v>
      </c>
      <c r="J625" s="176">
        <v>34.799999999999997</v>
      </c>
      <c r="K625" s="176">
        <v>5</v>
      </c>
      <c r="L625" s="176">
        <v>0</v>
      </c>
      <c r="M625" s="176" t="s">
        <v>148</v>
      </c>
      <c r="N625" s="176" t="s">
        <v>149</v>
      </c>
      <c r="O625" s="176" t="s">
        <v>150</v>
      </c>
      <c r="P625" s="176" t="s">
        <v>151</v>
      </c>
      <c r="Q625" s="176"/>
      <c r="R625" s="176" t="s">
        <v>5103</v>
      </c>
      <c r="S625" s="176"/>
      <c r="T625" s="176" t="s">
        <v>2969</v>
      </c>
      <c r="U625" s="176" t="s">
        <v>152</v>
      </c>
      <c r="V625" s="176" t="s">
        <v>23</v>
      </c>
    </row>
    <row r="626" spans="2:22" ht="12" customHeight="1">
      <c r="B626" s="211">
        <v>46214</v>
      </c>
      <c r="C626" s="211">
        <v>46214</v>
      </c>
      <c r="D626" s="176" t="s">
        <v>5104</v>
      </c>
      <c r="E626" s="176" t="s">
        <v>5105</v>
      </c>
      <c r="F626" s="176" t="s">
        <v>87</v>
      </c>
      <c r="G626" s="176" t="s">
        <v>2001</v>
      </c>
      <c r="H626" s="176">
        <v>6</v>
      </c>
      <c r="I626" s="176">
        <v>10.8</v>
      </c>
      <c r="J626" s="176">
        <v>10.8</v>
      </c>
      <c r="K626" s="176">
        <v>1.5</v>
      </c>
      <c r="L626" s="176">
        <v>0</v>
      </c>
      <c r="M626" s="176" t="s">
        <v>148</v>
      </c>
      <c r="N626" s="176" t="s">
        <v>149</v>
      </c>
      <c r="O626" s="176" t="s">
        <v>150</v>
      </c>
      <c r="P626" s="176" t="s">
        <v>151</v>
      </c>
      <c r="Q626" s="176"/>
      <c r="R626" s="176" t="s">
        <v>5105</v>
      </c>
      <c r="S626" s="176"/>
      <c r="T626" s="176" t="s">
        <v>2969</v>
      </c>
      <c r="U626" s="176" t="s">
        <v>152</v>
      </c>
      <c r="V626" s="176" t="s">
        <v>23</v>
      </c>
    </row>
    <row r="627" spans="2:22" ht="12" customHeight="1">
      <c r="B627" s="211">
        <v>46214</v>
      </c>
      <c r="C627" s="211">
        <v>46214</v>
      </c>
      <c r="D627" s="176" t="s">
        <v>5106</v>
      </c>
      <c r="E627" s="176" t="s">
        <v>5107</v>
      </c>
      <c r="F627" s="176" t="s">
        <v>87</v>
      </c>
      <c r="G627" s="176" t="s">
        <v>2485</v>
      </c>
      <c r="H627" s="176">
        <v>30</v>
      </c>
      <c r="I627" s="176">
        <v>35</v>
      </c>
      <c r="J627" s="176">
        <v>35</v>
      </c>
      <c r="K627" s="176">
        <v>4</v>
      </c>
      <c r="L627" s="176">
        <v>0</v>
      </c>
      <c r="M627" s="176" t="s">
        <v>148</v>
      </c>
      <c r="N627" s="176" t="s">
        <v>149</v>
      </c>
      <c r="O627" s="176" t="s">
        <v>150</v>
      </c>
      <c r="P627" s="176" t="s">
        <v>151</v>
      </c>
      <c r="Q627" s="176"/>
      <c r="R627" s="176" t="s">
        <v>5107</v>
      </c>
      <c r="S627" s="176"/>
      <c r="T627" s="176" t="s">
        <v>2969</v>
      </c>
      <c r="U627" s="176" t="s">
        <v>152</v>
      </c>
      <c r="V627" s="176" t="s">
        <v>23</v>
      </c>
    </row>
    <row r="628" spans="2:22" ht="12" customHeight="1">
      <c r="B628" s="211">
        <v>46214</v>
      </c>
      <c r="C628" s="211">
        <v>46214</v>
      </c>
      <c r="D628" s="176" t="s">
        <v>5108</v>
      </c>
      <c r="E628" s="176" t="s">
        <v>5109</v>
      </c>
      <c r="F628" s="176" t="s">
        <v>87</v>
      </c>
      <c r="G628" s="176" t="s">
        <v>4734</v>
      </c>
      <c r="H628" s="176">
        <v>60</v>
      </c>
      <c r="I628" s="176">
        <v>36.799999999999997</v>
      </c>
      <c r="J628" s="176">
        <v>36.799999999999997</v>
      </c>
      <c r="K628" s="176">
        <v>5</v>
      </c>
      <c r="L628" s="176">
        <v>0</v>
      </c>
      <c r="M628" s="176" t="s">
        <v>148</v>
      </c>
      <c r="N628" s="176" t="s">
        <v>149</v>
      </c>
      <c r="O628" s="176" t="s">
        <v>150</v>
      </c>
      <c r="P628" s="176" t="s">
        <v>151</v>
      </c>
      <c r="Q628" s="176"/>
      <c r="R628" s="176" t="s">
        <v>5109</v>
      </c>
      <c r="S628" s="176"/>
      <c r="T628" s="176" t="s">
        <v>2969</v>
      </c>
      <c r="U628" s="176" t="s">
        <v>152</v>
      </c>
      <c r="V628" s="176" t="s">
        <v>23</v>
      </c>
    </row>
    <row r="629" spans="2:22" ht="12" customHeight="1">
      <c r="B629" s="211">
        <v>46214</v>
      </c>
      <c r="C629" s="211">
        <v>46214</v>
      </c>
      <c r="D629" s="176" t="s">
        <v>5110</v>
      </c>
      <c r="E629" s="176" t="s">
        <v>5111</v>
      </c>
      <c r="F629" s="176" t="s">
        <v>87</v>
      </c>
      <c r="G629" s="176" t="s">
        <v>2486</v>
      </c>
      <c r="H629" s="176">
        <v>40</v>
      </c>
      <c r="I629" s="176">
        <v>34.299999999999997</v>
      </c>
      <c r="J629" s="176">
        <v>34.299999999999997</v>
      </c>
      <c r="K629" s="176">
        <v>5</v>
      </c>
      <c r="L629" s="176">
        <v>0</v>
      </c>
      <c r="M629" s="176" t="s">
        <v>148</v>
      </c>
      <c r="N629" s="176" t="s">
        <v>149</v>
      </c>
      <c r="O629" s="176" t="s">
        <v>150</v>
      </c>
      <c r="P629" s="176" t="s">
        <v>151</v>
      </c>
      <c r="Q629" s="176"/>
      <c r="R629" s="176" t="s">
        <v>5111</v>
      </c>
      <c r="S629" s="176"/>
      <c r="T629" s="176" t="s">
        <v>2969</v>
      </c>
      <c r="U629" s="176" t="s">
        <v>152</v>
      </c>
      <c r="V629" s="176" t="s">
        <v>23</v>
      </c>
    </row>
    <row r="630" spans="2:22" ht="12" customHeight="1">
      <c r="B630" s="211">
        <v>46214</v>
      </c>
      <c r="C630" s="211">
        <v>46214</v>
      </c>
      <c r="D630" s="176" t="s">
        <v>5112</v>
      </c>
      <c r="E630" s="176" t="s">
        <v>5113</v>
      </c>
      <c r="F630" s="176" t="s">
        <v>87</v>
      </c>
      <c r="G630" s="176" t="s">
        <v>2552</v>
      </c>
      <c r="H630" s="176">
        <v>40</v>
      </c>
      <c r="I630" s="176">
        <v>38.299999999999997</v>
      </c>
      <c r="J630" s="176">
        <v>38.299999999999997</v>
      </c>
      <c r="K630" s="176">
        <v>5</v>
      </c>
      <c r="L630" s="176">
        <v>0</v>
      </c>
      <c r="M630" s="176" t="s">
        <v>148</v>
      </c>
      <c r="N630" s="176" t="s">
        <v>149</v>
      </c>
      <c r="O630" s="176" t="s">
        <v>150</v>
      </c>
      <c r="P630" s="176" t="s">
        <v>151</v>
      </c>
      <c r="Q630" s="176"/>
      <c r="R630" s="176" t="s">
        <v>5113</v>
      </c>
      <c r="S630" s="176"/>
      <c r="T630" s="176" t="s">
        <v>2969</v>
      </c>
      <c r="U630" s="176" t="s">
        <v>152</v>
      </c>
      <c r="V630" s="176" t="s">
        <v>23</v>
      </c>
    </row>
    <row r="631" spans="2:22" ht="12" customHeight="1">
      <c r="B631" s="211">
        <v>46214</v>
      </c>
      <c r="C631" s="211">
        <v>46214</v>
      </c>
      <c r="D631" s="176" t="s">
        <v>5114</v>
      </c>
      <c r="E631" s="176" t="s">
        <v>5115</v>
      </c>
      <c r="F631" s="176" t="s">
        <v>87</v>
      </c>
      <c r="G631" s="176" t="s">
        <v>2552</v>
      </c>
      <c r="H631" s="176">
        <v>40</v>
      </c>
      <c r="I631" s="176">
        <v>37.700000000000003</v>
      </c>
      <c r="J631" s="176">
        <v>37.700000000000003</v>
      </c>
      <c r="K631" s="176">
        <v>5</v>
      </c>
      <c r="L631" s="176">
        <v>0</v>
      </c>
      <c r="M631" s="176" t="s">
        <v>148</v>
      </c>
      <c r="N631" s="176" t="s">
        <v>149</v>
      </c>
      <c r="O631" s="176" t="s">
        <v>150</v>
      </c>
      <c r="P631" s="176" t="s">
        <v>151</v>
      </c>
      <c r="Q631" s="176"/>
      <c r="R631" s="176" t="s">
        <v>5115</v>
      </c>
      <c r="S631" s="176"/>
      <c r="T631" s="176" t="s">
        <v>2969</v>
      </c>
      <c r="U631" s="176" t="s">
        <v>152</v>
      </c>
      <c r="V631" s="176" t="s">
        <v>23</v>
      </c>
    </row>
    <row r="632" spans="2:22" ht="12" customHeight="1">
      <c r="B632" s="211">
        <v>46214</v>
      </c>
      <c r="C632" s="211">
        <v>46214</v>
      </c>
      <c r="D632" s="176" t="s">
        <v>5116</v>
      </c>
      <c r="E632" s="176" t="s">
        <v>5117</v>
      </c>
      <c r="F632" s="176" t="s">
        <v>87</v>
      </c>
      <c r="G632" s="176" t="s">
        <v>2552</v>
      </c>
      <c r="H632" s="176">
        <v>40</v>
      </c>
      <c r="I632" s="176">
        <v>46.3</v>
      </c>
      <c r="J632" s="176">
        <v>46.3</v>
      </c>
      <c r="K632" s="176">
        <v>5</v>
      </c>
      <c r="L632" s="176">
        <v>0</v>
      </c>
      <c r="M632" s="176" t="s">
        <v>148</v>
      </c>
      <c r="N632" s="176" t="s">
        <v>149</v>
      </c>
      <c r="O632" s="176" t="s">
        <v>150</v>
      </c>
      <c r="P632" s="176" t="s">
        <v>151</v>
      </c>
      <c r="Q632" s="176"/>
      <c r="R632" s="176" t="s">
        <v>5117</v>
      </c>
      <c r="S632" s="176"/>
      <c r="T632" s="176" t="s">
        <v>2969</v>
      </c>
      <c r="U632" s="176" t="s">
        <v>152</v>
      </c>
      <c r="V632" s="176" t="s">
        <v>23</v>
      </c>
    </row>
    <row r="633" spans="2:22" ht="12" customHeight="1">
      <c r="B633" s="211">
        <v>46214</v>
      </c>
      <c r="C633" s="211">
        <v>46214</v>
      </c>
      <c r="D633" s="176" t="s">
        <v>5118</v>
      </c>
      <c r="E633" s="176" t="s">
        <v>5119</v>
      </c>
      <c r="F633" s="176" t="s">
        <v>87</v>
      </c>
      <c r="G633" s="176" t="s">
        <v>2552</v>
      </c>
      <c r="H633" s="176">
        <v>40</v>
      </c>
      <c r="I633" s="176">
        <v>46.3</v>
      </c>
      <c r="J633" s="176">
        <v>46.3</v>
      </c>
      <c r="K633" s="176">
        <v>5</v>
      </c>
      <c r="L633" s="176">
        <v>0</v>
      </c>
      <c r="M633" s="176" t="s">
        <v>148</v>
      </c>
      <c r="N633" s="176" t="s">
        <v>149</v>
      </c>
      <c r="O633" s="176" t="s">
        <v>150</v>
      </c>
      <c r="P633" s="176" t="s">
        <v>151</v>
      </c>
      <c r="Q633" s="176"/>
      <c r="R633" s="176" t="s">
        <v>5119</v>
      </c>
      <c r="S633" s="176"/>
      <c r="T633" s="176" t="s">
        <v>2969</v>
      </c>
      <c r="U633" s="176" t="s">
        <v>152</v>
      </c>
      <c r="V633" s="176" t="s">
        <v>23</v>
      </c>
    </row>
    <row r="634" spans="2:22" ht="12" customHeight="1">
      <c r="B634" s="211">
        <v>46214</v>
      </c>
      <c r="C634" s="211">
        <v>46214</v>
      </c>
      <c r="D634" s="176" t="s">
        <v>5120</v>
      </c>
      <c r="E634" s="176" t="s">
        <v>5121</v>
      </c>
      <c r="F634" s="176" t="s">
        <v>87</v>
      </c>
      <c r="G634" s="176" t="s">
        <v>2486</v>
      </c>
      <c r="H634" s="176">
        <v>40</v>
      </c>
      <c r="I634" s="176">
        <v>33.799999999999997</v>
      </c>
      <c r="J634" s="176">
        <v>33.799999999999997</v>
      </c>
      <c r="K634" s="176">
        <v>5</v>
      </c>
      <c r="L634" s="176">
        <v>0</v>
      </c>
      <c r="M634" s="176" t="s">
        <v>148</v>
      </c>
      <c r="N634" s="176" t="s">
        <v>149</v>
      </c>
      <c r="O634" s="176" t="s">
        <v>150</v>
      </c>
      <c r="P634" s="176" t="s">
        <v>151</v>
      </c>
      <c r="Q634" s="176"/>
      <c r="R634" s="176" t="s">
        <v>5121</v>
      </c>
      <c r="S634" s="176"/>
      <c r="T634" s="176" t="s">
        <v>2969</v>
      </c>
      <c r="U634" s="176" t="s">
        <v>152</v>
      </c>
      <c r="V634" s="176" t="s">
        <v>23</v>
      </c>
    </row>
    <row r="635" spans="2:22" ht="12" customHeight="1">
      <c r="B635" s="211">
        <v>46214</v>
      </c>
      <c r="C635" s="211">
        <v>46214</v>
      </c>
      <c r="D635" s="176" t="s">
        <v>5122</v>
      </c>
      <c r="E635" s="176" t="s">
        <v>5123</v>
      </c>
      <c r="F635" s="176" t="s">
        <v>87</v>
      </c>
      <c r="G635" s="176" t="s">
        <v>2001</v>
      </c>
      <c r="H635" s="176">
        <v>6</v>
      </c>
      <c r="I635" s="176">
        <v>17.3</v>
      </c>
      <c r="J635" s="176">
        <v>17.3</v>
      </c>
      <c r="K635" s="176">
        <v>1.5</v>
      </c>
      <c r="L635" s="176">
        <v>0</v>
      </c>
      <c r="M635" s="176" t="s">
        <v>148</v>
      </c>
      <c r="N635" s="176" t="s">
        <v>149</v>
      </c>
      <c r="O635" s="176" t="s">
        <v>150</v>
      </c>
      <c r="P635" s="176" t="s">
        <v>151</v>
      </c>
      <c r="Q635" s="176"/>
      <c r="R635" s="176" t="s">
        <v>5123</v>
      </c>
      <c r="S635" s="176"/>
      <c r="T635" s="176" t="s">
        <v>2969</v>
      </c>
      <c r="U635" s="176" t="s">
        <v>152</v>
      </c>
      <c r="V635" s="176" t="s">
        <v>23</v>
      </c>
    </row>
    <row r="636" spans="2:22" ht="12" customHeight="1">
      <c r="B636" s="211">
        <v>46214</v>
      </c>
      <c r="C636" s="211">
        <v>46214</v>
      </c>
      <c r="D636" s="176" t="s">
        <v>5124</v>
      </c>
      <c r="E636" s="176" t="s">
        <v>5125</v>
      </c>
      <c r="F636" s="176" t="s">
        <v>87</v>
      </c>
      <c r="G636" s="176" t="s">
        <v>2485</v>
      </c>
      <c r="H636" s="176">
        <v>30</v>
      </c>
      <c r="I636" s="176">
        <v>40.9</v>
      </c>
      <c r="J636" s="176">
        <v>40.9</v>
      </c>
      <c r="K636" s="176">
        <v>4</v>
      </c>
      <c r="L636" s="176">
        <v>0</v>
      </c>
      <c r="M636" s="176" t="s">
        <v>148</v>
      </c>
      <c r="N636" s="176" t="s">
        <v>149</v>
      </c>
      <c r="O636" s="176" t="s">
        <v>150</v>
      </c>
      <c r="P636" s="176" t="s">
        <v>151</v>
      </c>
      <c r="Q636" s="176"/>
      <c r="R636" s="176" t="s">
        <v>5125</v>
      </c>
      <c r="S636" s="176"/>
      <c r="T636" s="176" t="s">
        <v>2969</v>
      </c>
      <c r="U636" s="176" t="s">
        <v>152</v>
      </c>
      <c r="V636" s="176" t="s">
        <v>23</v>
      </c>
    </row>
    <row r="637" spans="2:22" ht="12" customHeight="1">
      <c r="B637" s="211">
        <v>46214</v>
      </c>
      <c r="C637" s="211">
        <v>46214</v>
      </c>
      <c r="D637" s="176" t="s">
        <v>5126</v>
      </c>
      <c r="E637" s="176" t="s">
        <v>5127</v>
      </c>
      <c r="F637" s="176" t="s">
        <v>87</v>
      </c>
      <c r="G637" s="176" t="s">
        <v>2552</v>
      </c>
      <c r="H637" s="176">
        <v>40</v>
      </c>
      <c r="I637" s="176">
        <v>37.200000000000003</v>
      </c>
      <c r="J637" s="176">
        <v>37.200000000000003</v>
      </c>
      <c r="K637" s="176">
        <v>5</v>
      </c>
      <c r="L637" s="176">
        <v>0</v>
      </c>
      <c r="M637" s="176" t="s">
        <v>148</v>
      </c>
      <c r="N637" s="176" t="s">
        <v>149</v>
      </c>
      <c r="O637" s="176" t="s">
        <v>150</v>
      </c>
      <c r="P637" s="176" t="s">
        <v>151</v>
      </c>
      <c r="Q637" s="176"/>
      <c r="R637" s="176" t="s">
        <v>5127</v>
      </c>
      <c r="S637" s="176"/>
      <c r="T637" s="176" t="s">
        <v>2969</v>
      </c>
      <c r="U637" s="176" t="s">
        <v>152</v>
      </c>
      <c r="V637" s="176" t="s">
        <v>23</v>
      </c>
    </row>
    <row r="638" spans="2:22" ht="12" customHeight="1">
      <c r="B638" s="211">
        <v>46214</v>
      </c>
      <c r="C638" s="211">
        <v>46214</v>
      </c>
      <c r="D638" s="176" t="s">
        <v>5128</v>
      </c>
      <c r="E638" s="176" t="s">
        <v>5129</v>
      </c>
      <c r="F638" s="176" t="s">
        <v>87</v>
      </c>
      <c r="G638" s="176" t="s">
        <v>2486</v>
      </c>
      <c r="H638" s="176">
        <v>40</v>
      </c>
      <c r="I638" s="176">
        <v>41.1</v>
      </c>
      <c r="J638" s="176">
        <v>41.1</v>
      </c>
      <c r="K638" s="176">
        <v>5</v>
      </c>
      <c r="L638" s="176">
        <v>0</v>
      </c>
      <c r="M638" s="176" t="s">
        <v>148</v>
      </c>
      <c r="N638" s="176" t="s">
        <v>149</v>
      </c>
      <c r="O638" s="176" t="s">
        <v>150</v>
      </c>
      <c r="P638" s="176" t="s">
        <v>151</v>
      </c>
      <c r="Q638" s="176"/>
      <c r="R638" s="176" t="s">
        <v>5129</v>
      </c>
      <c r="S638" s="176"/>
      <c r="T638" s="176" t="s">
        <v>2969</v>
      </c>
      <c r="U638" s="176" t="s">
        <v>152</v>
      </c>
      <c r="V638" s="176" t="s">
        <v>23</v>
      </c>
    </row>
    <row r="639" spans="2:22" ht="12" customHeight="1">
      <c r="B639" s="211">
        <v>46214</v>
      </c>
      <c r="C639" s="211">
        <v>46214</v>
      </c>
      <c r="D639" s="176" t="s">
        <v>5130</v>
      </c>
      <c r="E639" s="176" t="s">
        <v>5131</v>
      </c>
      <c r="F639" s="176" t="s">
        <v>87</v>
      </c>
      <c r="G639" s="176" t="s">
        <v>2486</v>
      </c>
      <c r="H639" s="176">
        <v>40</v>
      </c>
      <c r="I639" s="176">
        <v>39</v>
      </c>
      <c r="J639" s="176">
        <v>39</v>
      </c>
      <c r="K639" s="176">
        <v>5</v>
      </c>
      <c r="L639" s="176">
        <v>0</v>
      </c>
      <c r="M639" s="176" t="s">
        <v>148</v>
      </c>
      <c r="N639" s="176" t="s">
        <v>149</v>
      </c>
      <c r="O639" s="176" t="s">
        <v>150</v>
      </c>
      <c r="P639" s="176" t="s">
        <v>151</v>
      </c>
      <c r="Q639" s="176"/>
      <c r="R639" s="176" t="s">
        <v>5131</v>
      </c>
      <c r="S639" s="176"/>
      <c r="T639" s="176" t="s">
        <v>2969</v>
      </c>
      <c r="U639" s="176" t="s">
        <v>152</v>
      </c>
      <c r="V639" s="176" t="s">
        <v>23</v>
      </c>
    </row>
    <row r="640" spans="2:22" ht="12" customHeight="1">
      <c r="B640" s="211">
        <v>46214</v>
      </c>
      <c r="C640" s="211">
        <v>46214</v>
      </c>
      <c r="D640" s="176" t="s">
        <v>5132</v>
      </c>
      <c r="E640" s="176" t="s">
        <v>5133</v>
      </c>
      <c r="F640" s="176" t="s">
        <v>87</v>
      </c>
      <c r="G640" s="176" t="s">
        <v>2486</v>
      </c>
      <c r="H640" s="176">
        <v>40</v>
      </c>
      <c r="I640" s="176">
        <v>33.799999999999997</v>
      </c>
      <c r="J640" s="176">
        <v>33.799999999999997</v>
      </c>
      <c r="K640" s="176">
        <v>5</v>
      </c>
      <c r="L640" s="176">
        <v>0</v>
      </c>
      <c r="M640" s="176" t="s">
        <v>148</v>
      </c>
      <c r="N640" s="176" t="s">
        <v>149</v>
      </c>
      <c r="O640" s="176" t="s">
        <v>150</v>
      </c>
      <c r="P640" s="176" t="s">
        <v>151</v>
      </c>
      <c r="Q640" s="176"/>
      <c r="R640" s="176" t="s">
        <v>5133</v>
      </c>
      <c r="S640" s="176"/>
      <c r="T640" s="176" t="s">
        <v>2969</v>
      </c>
      <c r="U640" s="176" t="s">
        <v>152</v>
      </c>
      <c r="V640" s="176" t="s">
        <v>23</v>
      </c>
    </row>
    <row r="641" spans="2:22" ht="12" customHeight="1">
      <c r="B641" s="211">
        <v>46214</v>
      </c>
      <c r="C641" s="211">
        <v>46214</v>
      </c>
      <c r="D641" s="176" t="s">
        <v>5134</v>
      </c>
      <c r="E641" s="176" t="s">
        <v>5135</v>
      </c>
      <c r="F641" s="176" t="s">
        <v>87</v>
      </c>
      <c r="G641" s="176" t="s">
        <v>2001</v>
      </c>
      <c r="H641" s="176">
        <v>6</v>
      </c>
      <c r="I641" s="176">
        <v>14.7</v>
      </c>
      <c r="J641" s="176">
        <v>14.7</v>
      </c>
      <c r="K641" s="176">
        <v>1.5</v>
      </c>
      <c r="L641" s="176">
        <v>0</v>
      </c>
      <c r="M641" s="176" t="s">
        <v>148</v>
      </c>
      <c r="N641" s="176" t="s">
        <v>149</v>
      </c>
      <c r="O641" s="176" t="s">
        <v>150</v>
      </c>
      <c r="P641" s="176" t="s">
        <v>151</v>
      </c>
      <c r="Q641" s="176"/>
      <c r="R641" s="176" t="s">
        <v>5135</v>
      </c>
      <c r="S641" s="176"/>
      <c r="T641" s="176" t="s">
        <v>2969</v>
      </c>
      <c r="U641" s="176" t="s">
        <v>152</v>
      </c>
      <c r="V641" s="176" t="s">
        <v>23</v>
      </c>
    </row>
    <row r="642" spans="2:22" ht="12" customHeight="1">
      <c r="B642" s="211">
        <v>46214</v>
      </c>
      <c r="C642" s="211">
        <v>46214</v>
      </c>
      <c r="D642" s="176" t="s">
        <v>5136</v>
      </c>
      <c r="E642" s="176" t="s">
        <v>5137</v>
      </c>
      <c r="F642" s="176" t="s">
        <v>87</v>
      </c>
      <c r="G642" s="176" t="s">
        <v>2001</v>
      </c>
      <c r="H642" s="176">
        <v>6</v>
      </c>
      <c r="I642" s="176">
        <v>13.8</v>
      </c>
      <c r="J642" s="176">
        <v>13.8</v>
      </c>
      <c r="K642" s="176">
        <v>1.5</v>
      </c>
      <c r="L642" s="176">
        <v>0</v>
      </c>
      <c r="M642" s="176" t="s">
        <v>148</v>
      </c>
      <c r="N642" s="176" t="s">
        <v>149</v>
      </c>
      <c r="O642" s="176" t="s">
        <v>150</v>
      </c>
      <c r="P642" s="176" t="s">
        <v>151</v>
      </c>
      <c r="Q642" s="176"/>
      <c r="R642" s="176" t="s">
        <v>5137</v>
      </c>
      <c r="S642" s="176"/>
      <c r="T642" s="176" t="s">
        <v>2969</v>
      </c>
      <c r="U642" s="176" t="s">
        <v>152</v>
      </c>
      <c r="V642" s="176" t="s">
        <v>23</v>
      </c>
    </row>
    <row r="643" spans="2:22" ht="12" customHeight="1">
      <c r="B643" s="211">
        <v>46215</v>
      </c>
      <c r="C643" s="211">
        <v>46215</v>
      </c>
      <c r="D643" s="176" t="s">
        <v>5138</v>
      </c>
      <c r="E643" s="176">
        <v>5993</v>
      </c>
      <c r="F643" s="176" t="s">
        <v>94</v>
      </c>
      <c r="G643" s="176" t="s">
        <v>5139</v>
      </c>
      <c r="H643" s="176">
        <v>60</v>
      </c>
      <c r="I643" s="176">
        <v>43</v>
      </c>
      <c r="J643" s="176">
        <v>43</v>
      </c>
      <c r="K643" s="176">
        <v>50</v>
      </c>
      <c r="L643" s="176">
        <v>0</v>
      </c>
      <c r="M643" s="176" t="s">
        <v>148</v>
      </c>
      <c r="N643" s="176" t="s">
        <v>149</v>
      </c>
      <c r="O643" s="176" t="s">
        <v>150</v>
      </c>
      <c r="P643" s="176" t="s">
        <v>151</v>
      </c>
      <c r="Q643" s="176"/>
      <c r="R643" s="176" t="s">
        <v>5140</v>
      </c>
      <c r="S643" s="176"/>
      <c r="T643" s="176" t="s">
        <v>5141</v>
      </c>
      <c r="U643" s="176" t="s">
        <v>152</v>
      </c>
      <c r="V643" s="176" t="s">
        <v>23</v>
      </c>
    </row>
    <row r="644" spans="2:22" ht="12" customHeight="1">
      <c r="B644" s="211">
        <v>46215</v>
      </c>
      <c r="C644" s="211">
        <v>46215</v>
      </c>
      <c r="D644" s="176" t="s">
        <v>5142</v>
      </c>
      <c r="E644" s="176">
        <v>5934</v>
      </c>
      <c r="F644" s="176" t="s">
        <v>94</v>
      </c>
      <c r="G644" s="176" t="s">
        <v>5139</v>
      </c>
      <c r="H644" s="176">
        <v>60</v>
      </c>
      <c r="I644" s="176">
        <v>30</v>
      </c>
      <c r="J644" s="176">
        <v>30</v>
      </c>
      <c r="K644" s="176">
        <v>50</v>
      </c>
      <c r="L644" s="176">
        <v>0</v>
      </c>
      <c r="M644" s="176" t="s">
        <v>148</v>
      </c>
      <c r="N644" s="176" t="s">
        <v>149</v>
      </c>
      <c r="O644" s="176" t="s">
        <v>150</v>
      </c>
      <c r="P644" s="176" t="s">
        <v>151</v>
      </c>
      <c r="Q644" s="176"/>
      <c r="R644" s="176" t="s">
        <v>5143</v>
      </c>
      <c r="S644" s="176"/>
      <c r="T644" s="176" t="s">
        <v>5141</v>
      </c>
      <c r="U644" s="176" t="s">
        <v>152</v>
      </c>
      <c r="V644" s="176" t="s">
        <v>23</v>
      </c>
    </row>
    <row r="645" spans="2:22" ht="12" customHeight="1">
      <c r="B645" s="211">
        <v>46215</v>
      </c>
      <c r="C645" s="211">
        <v>46215</v>
      </c>
      <c r="D645" s="176" t="s">
        <v>5144</v>
      </c>
      <c r="E645" s="176" t="s">
        <v>5145</v>
      </c>
      <c r="F645" s="176" t="s">
        <v>87</v>
      </c>
      <c r="G645" s="176" t="s">
        <v>2636</v>
      </c>
      <c r="H645" s="176">
        <v>6</v>
      </c>
      <c r="I645" s="176">
        <v>15.8</v>
      </c>
      <c r="J645" s="176">
        <v>15.8</v>
      </c>
      <c r="K645" s="176">
        <v>1.5</v>
      </c>
      <c r="L645" s="176">
        <v>0</v>
      </c>
      <c r="M645" s="176" t="s">
        <v>148</v>
      </c>
      <c r="N645" s="176" t="s">
        <v>149</v>
      </c>
      <c r="O645" s="176" t="s">
        <v>150</v>
      </c>
      <c r="P645" s="176" t="s">
        <v>151</v>
      </c>
      <c r="Q645" s="176"/>
      <c r="R645" s="176" t="s">
        <v>5145</v>
      </c>
      <c r="S645" s="176"/>
      <c r="T645" s="176" t="s">
        <v>2989</v>
      </c>
      <c r="U645" s="176" t="s">
        <v>152</v>
      </c>
      <c r="V645" s="176" t="s">
        <v>23</v>
      </c>
    </row>
    <row r="646" spans="2:22" ht="12" customHeight="1">
      <c r="B646" s="211">
        <v>46215</v>
      </c>
      <c r="C646" s="211">
        <v>46215</v>
      </c>
      <c r="D646" s="176" t="s">
        <v>5146</v>
      </c>
      <c r="E646" s="176" t="s">
        <v>5147</v>
      </c>
      <c r="F646" s="176" t="s">
        <v>87</v>
      </c>
      <c r="G646" s="176" t="s">
        <v>2001</v>
      </c>
      <c r="H646" s="176">
        <v>6</v>
      </c>
      <c r="I646" s="176">
        <v>11.2</v>
      </c>
      <c r="J646" s="176">
        <v>11.2</v>
      </c>
      <c r="K646" s="176">
        <v>1.5</v>
      </c>
      <c r="L646" s="176">
        <v>0</v>
      </c>
      <c r="M646" s="176" t="s">
        <v>148</v>
      </c>
      <c r="N646" s="176" t="s">
        <v>149</v>
      </c>
      <c r="O646" s="176" t="s">
        <v>150</v>
      </c>
      <c r="P646" s="176" t="s">
        <v>151</v>
      </c>
      <c r="Q646" s="176"/>
      <c r="R646" s="176" t="s">
        <v>5147</v>
      </c>
      <c r="S646" s="176"/>
      <c r="T646" s="176" t="s">
        <v>2989</v>
      </c>
      <c r="U646" s="176" t="s">
        <v>152</v>
      </c>
      <c r="V646" s="176" t="s">
        <v>23</v>
      </c>
    </row>
    <row r="647" spans="2:22" ht="12" customHeight="1">
      <c r="B647" s="211">
        <v>46215</v>
      </c>
      <c r="C647" s="211">
        <v>46215</v>
      </c>
      <c r="D647" s="176" t="s">
        <v>5148</v>
      </c>
      <c r="E647" s="176" t="s">
        <v>5149</v>
      </c>
      <c r="F647" s="176" t="s">
        <v>87</v>
      </c>
      <c r="G647" s="176" t="s">
        <v>2001</v>
      </c>
      <c r="H647" s="176">
        <v>6</v>
      </c>
      <c r="I647" s="176">
        <v>26.2</v>
      </c>
      <c r="J647" s="176">
        <v>26.2</v>
      </c>
      <c r="K647" s="176">
        <v>1.5</v>
      </c>
      <c r="L647" s="176">
        <v>0</v>
      </c>
      <c r="M647" s="176" t="s">
        <v>148</v>
      </c>
      <c r="N647" s="176" t="s">
        <v>149</v>
      </c>
      <c r="O647" s="176" t="s">
        <v>150</v>
      </c>
      <c r="P647" s="176" t="s">
        <v>151</v>
      </c>
      <c r="Q647" s="176"/>
      <c r="R647" s="176" t="s">
        <v>5149</v>
      </c>
      <c r="S647" s="176"/>
      <c r="T647" s="176" t="s">
        <v>2989</v>
      </c>
      <c r="U647" s="176" t="s">
        <v>152</v>
      </c>
      <c r="V647" s="176" t="s">
        <v>23</v>
      </c>
    </row>
    <row r="648" spans="2:22" ht="12" customHeight="1">
      <c r="B648" s="211">
        <v>46215</v>
      </c>
      <c r="C648" s="211">
        <v>46215</v>
      </c>
      <c r="D648" s="176" t="s">
        <v>5150</v>
      </c>
      <c r="E648" s="176" t="s">
        <v>5151</v>
      </c>
      <c r="F648" s="176" t="s">
        <v>87</v>
      </c>
      <c r="G648" s="176" t="s">
        <v>2001</v>
      </c>
      <c r="H648" s="176">
        <v>6</v>
      </c>
      <c r="I648" s="176">
        <v>19.8</v>
      </c>
      <c r="J648" s="176">
        <v>19.8</v>
      </c>
      <c r="K648" s="176">
        <v>1.5</v>
      </c>
      <c r="L648" s="176">
        <v>0</v>
      </c>
      <c r="M648" s="176" t="s">
        <v>148</v>
      </c>
      <c r="N648" s="176" t="s">
        <v>149</v>
      </c>
      <c r="O648" s="176" t="s">
        <v>150</v>
      </c>
      <c r="P648" s="176" t="s">
        <v>151</v>
      </c>
      <c r="Q648" s="176"/>
      <c r="R648" s="176" t="s">
        <v>5151</v>
      </c>
      <c r="S648" s="176"/>
      <c r="T648" s="176" t="s">
        <v>2989</v>
      </c>
      <c r="U648" s="176" t="s">
        <v>152</v>
      </c>
      <c r="V648" s="176" t="s">
        <v>23</v>
      </c>
    </row>
    <row r="649" spans="2:22" ht="12" customHeight="1">
      <c r="B649" s="211">
        <v>46215</v>
      </c>
      <c r="C649" s="211">
        <v>46215</v>
      </c>
      <c r="D649" s="176" t="s">
        <v>5152</v>
      </c>
      <c r="E649" s="176" t="s">
        <v>5153</v>
      </c>
      <c r="F649" s="176" t="s">
        <v>87</v>
      </c>
      <c r="G649" s="176" t="s">
        <v>2001</v>
      </c>
      <c r="H649" s="176">
        <v>6</v>
      </c>
      <c r="I649" s="176">
        <v>26.7</v>
      </c>
      <c r="J649" s="176">
        <v>26.7</v>
      </c>
      <c r="K649" s="176">
        <v>1.5</v>
      </c>
      <c r="L649" s="176">
        <v>0</v>
      </c>
      <c r="M649" s="176" t="s">
        <v>148</v>
      </c>
      <c r="N649" s="176" t="s">
        <v>149</v>
      </c>
      <c r="O649" s="176" t="s">
        <v>150</v>
      </c>
      <c r="P649" s="176" t="s">
        <v>151</v>
      </c>
      <c r="Q649" s="176"/>
      <c r="R649" s="176" t="s">
        <v>5153</v>
      </c>
      <c r="S649" s="176"/>
      <c r="T649" s="176" t="s">
        <v>2989</v>
      </c>
      <c r="U649" s="176" t="s">
        <v>152</v>
      </c>
      <c r="V649" s="176" t="s">
        <v>23</v>
      </c>
    </row>
    <row r="650" spans="2:22" ht="12" customHeight="1">
      <c r="B650" s="211">
        <v>46215</v>
      </c>
      <c r="C650" s="211">
        <v>46215</v>
      </c>
      <c r="D650" s="176" t="s">
        <v>5154</v>
      </c>
      <c r="E650" s="176" t="s">
        <v>5155</v>
      </c>
      <c r="F650" s="176" t="s">
        <v>87</v>
      </c>
      <c r="G650" s="176" t="s">
        <v>2001</v>
      </c>
      <c r="H650" s="176">
        <v>6</v>
      </c>
      <c r="I650" s="176">
        <v>14.8</v>
      </c>
      <c r="J650" s="176">
        <v>14.8</v>
      </c>
      <c r="K650" s="176">
        <v>1.5</v>
      </c>
      <c r="L650" s="176">
        <v>0</v>
      </c>
      <c r="M650" s="176" t="s">
        <v>148</v>
      </c>
      <c r="N650" s="176" t="s">
        <v>149</v>
      </c>
      <c r="O650" s="176" t="s">
        <v>150</v>
      </c>
      <c r="P650" s="176" t="s">
        <v>151</v>
      </c>
      <c r="Q650" s="176"/>
      <c r="R650" s="176" t="s">
        <v>5155</v>
      </c>
      <c r="S650" s="176"/>
      <c r="T650" s="176" t="s">
        <v>2989</v>
      </c>
      <c r="U650" s="176" t="s">
        <v>152</v>
      </c>
      <c r="V650" s="176" t="s">
        <v>23</v>
      </c>
    </row>
    <row r="651" spans="2:22" ht="12" customHeight="1">
      <c r="B651" s="211">
        <v>46215</v>
      </c>
      <c r="C651" s="211">
        <v>46215</v>
      </c>
      <c r="D651" s="176" t="s">
        <v>5156</v>
      </c>
      <c r="E651" s="176" t="s">
        <v>5157</v>
      </c>
      <c r="F651" s="176" t="s">
        <v>87</v>
      </c>
      <c r="G651" s="176" t="s">
        <v>2001</v>
      </c>
      <c r="H651" s="176">
        <v>6</v>
      </c>
      <c r="I651" s="176">
        <v>23.8</v>
      </c>
      <c r="J651" s="176">
        <v>23.8</v>
      </c>
      <c r="K651" s="176">
        <v>1.5</v>
      </c>
      <c r="L651" s="176">
        <v>0</v>
      </c>
      <c r="M651" s="176" t="s">
        <v>148</v>
      </c>
      <c r="N651" s="176" t="s">
        <v>149</v>
      </c>
      <c r="O651" s="176" t="s">
        <v>150</v>
      </c>
      <c r="P651" s="176" t="s">
        <v>151</v>
      </c>
      <c r="Q651" s="176"/>
      <c r="R651" s="176" t="s">
        <v>5157</v>
      </c>
      <c r="S651" s="176"/>
      <c r="T651" s="176" t="s">
        <v>2989</v>
      </c>
      <c r="U651" s="176" t="s">
        <v>152</v>
      </c>
      <c r="V651" s="176" t="s">
        <v>23</v>
      </c>
    </row>
    <row r="652" spans="2:22" ht="12" customHeight="1">
      <c r="B652" s="211">
        <v>46215</v>
      </c>
      <c r="C652" s="211">
        <v>46215</v>
      </c>
      <c r="D652" s="176" t="s">
        <v>5158</v>
      </c>
      <c r="E652" s="176" t="s">
        <v>5159</v>
      </c>
      <c r="F652" s="176" t="s">
        <v>87</v>
      </c>
      <c r="G652" s="176" t="s">
        <v>2001</v>
      </c>
      <c r="H652" s="176">
        <v>6</v>
      </c>
      <c r="I652" s="176">
        <v>9.8000000000000007</v>
      </c>
      <c r="J652" s="176">
        <v>9.8000000000000007</v>
      </c>
      <c r="K652" s="176">
        <v>1.5</v>
      </c>
      <c r="L652" s="176">
        <v>0</v>
      </c>
      <c r="M652" s="176" t="s">
        <v>148</v>
      </c>
      <c r="N652" s="176" t="s">
        <v>149</v>
      </c>
      <c r="O652" s="176" t="s">
        <v>150</v>
      </c>
      <c r="P652" s="176" t="s">
        <v>151</v>
      </c>
      <c r="Q652" s="176"/>
      <c r="R652" s="176" t="s">
        <v>5159</v>
      </c>
      <c r="S652" s="176"/>
      <c r="T652" s="176" t="s">
        <v>2989</v>
      </c>
      <c r="U652" s="176" t="s">
        <v>152</v>
      </c>
      <c r="V652" s="176" t="s">
        <v>23</v>
      </c>
    </row>
    <row r="653" spans="2:22" ht="12" customHeight="1">
      <c r="B653" s="211">
        <v>46215</v>
      </c>
      <c r="C653" s="211">
        <v>46215</v>
      </c>
      <c r="D653" s="176" t="s">
        <v>5160</v>
      </c>
      <c r="E653" s="176" t="s">
        <v>5161</v>
      </c>
      <c r="F653" s="176" t="s">
        <v>87</v>
      </c>
      <c r="G653" s="176" t="s">
        <v>2636</v>
      </c>
      <c r="H653" s="176">
        <v>6</v>
      </c>
      <c r="I653" s="176">
        <v>13.8</v>
      </c>
      <c r="J653" s="176">
        <v>13.8</v>
      </c>
      <c r="K653" s="176">
        <v>1.5</v>
      </c>
      <c r="L653" s="176">
        <v>0</v>
      </c>
      <c r="M653" s="176" t="s">
        <v>148</v>
      </c>
      <c r="N653" s="176" t="s">
        <v>149</v>
      </c>
      <c r="O653" s="176" t="s">
        <v>150</v>
      </c>
      <c r="P653" s="176" t="s">
        <v>151</v>
      </c>
      <c r="Q653" s="176"/>
      <c r="R653" s="176" t="s">
        <v>5161</v>
      </c>
      <c r="S653" s="176"/>
      <c r="T653" s="176" t="s">
        <v>2989</v>
      </c>
      <c r="U653" s="176" t="s">
        <v>152</v>
      </c>
      <c r="V653" s="176" t="s">
        <v>23</v>
      </c>
    </row>
    <row r="654" spans="2:22" ht="12" customHeight="1">
      <c r="B654" s="211">
        <v>46215</v>
      </c>
      <c r="C654" s="211">
        <v>46215</v>
      </c>
      <c r="D654" s="176" t="s">
        <v>5162</v>
      </c>
      <c r="E654" s="176" t="s">
        <v>5163</v>
      </c>
      <c r="F654" s="176" t="s">
        <v>87</v>
      </c>
      <c r="G654" s="176" t="s">
        <v>2001</v>
      </c>
      <c r="H654" s="176">
        <v>6</v>
      </c>
      <c r="I654" s="176">
        <v>21.5</v>
      </c>
      <c r="J654" s="176">
        <v>21.5</v>
      </c>
      <c r="K654" s="176">
        <v>1.5</v>
      </c>
      <c r="L654" s="176">
        <v>0</v>
      </c>
      <c r="M654" s="176" t="s">
        <v>148</v>
      </c>
      <c r="N654" s="176" t="s">
        <v>149</v>
      </c>
      <c r="O654" s="176" t="s">
        <v>150</v>
      </c>
      <c r="P654" s="176" t="s">
        <v>151</v>
      </c>
      <c r="Q654" s="176"/>
      <c r="R654" s="176" t="s">
        <v>5163</v>
      </c>
      <c r="S654" s="176"/>
      <c r="T654" s="176" t="s">
        <v>2989</v>
      </c>
      <c r="U654" s="176" t="s">
        <v>152</v>
      </c>
      <c r="V654" s="176" t="s">
        <v>23</v>
      </c>
    </row>
    <row r="655" spans="2:22" ht="12" customHeight="1">
      <c r="B655" s="211">
        <v>46215</v>
      </c>
      <c r="C655" s="211">
        <v>46215</v>
      </c>
      <c r="D655" s="176" t="s">
        <v>5164</v>
      </c>
      <c r="E655" s="176" t="s">
        <v>5165</v>
      </c>
      <c r="F655" s="176" t="s">
        <v>87</v>
      </c>
      <c r="G655" s="176" t="s">
        <v>2485</v>
      </c>
      <c r="H655" s="176">
        <v>30</v>
      </c>
      <c r="I655" s="176">
        <v>43.4</v>
      </c>
      <c r="J655" s="176">
        <v>43.4</v>
      </c>
      <c r="K655" s="176">
        <v>4</v>
      </c>
      <c r="L655" s="176">
        <v>0</v>
      </c>
      <c r="M655" s="176" t="s">
        <v>148</v>
      </c>
      <c r="N655" s="176" t="s">
        <v>149</v>
      </c>
      <c r="O655" s="176" t="s">
        <v>150</v>
      </c>
      <c r="P655" s="176" t="s">
        <v>151</v>
      </c>
      <c r="Q655" s="176"/>
      <c r="R655" s="176" t="s">
        <v>5165</v>
      </c>
      <c r="S655" s="176"/>
      <c r="T655" s="176" t="s">
        <v>2989</v>
      </c>
      <c r="U655" s="176" t="s">
        <v>152</v>
      </c>
      <c r="V655" s="176" t="s">
        <v>23</v>
      </c>
    </row>
    <row r="656" spans="2:22" ht="12" customHeight="1">
      <c r="B656" s="211">
        <v>46215</v>
      </c>
      <c r="C656" s="211">
        <v>46215</v>
      </c>
      <c r="D656" s="176" t="s">
        <v>5166</v>
      </c>
      <c r="E656" s="176" t="s">
        <v>5167</v>
      </c>
      <c r="F656" s="176" t="s">
        <v>87</v>
      </c>
      <c r="G656" s="176" t="s">
        <v>2485</v>
      </c>
      <c r="H656" s="176">
        <v>30</v>
      </c>
      <c r="I656" s="176">
        <v>27.8</v>
      </c>
      <c r="J656" s="176">
        <v>27.8</v>
      </c>
      <c r="K656" s="176">
        <v>4</v>
      </c>
      <c r="L656" s="176">
        <v>0</v>
      </c>
      <c r="M656" s="176" t="s">
        <v>148</v>
      </c>
      <c r="N656" s="176" t="s">
        <v>149</v>
      </c>
      <c r="O656" s="176" t="s">
        <v>150</v>
      </c>
      <c r="P656" s="176" t="s">
        <v>151</v>
      </c>
      <c r="Q656" s="176"/>
      <c r="R656" s="176" t="s">
        <v>5167</v>
      </c>
      <c r="S656" s="176"/>
      <c r="T656" s="176" t="s">
        <v>2989</v>
      </c>
      <c r="U656" s="176" t="s">
        <v>152</v>
      </c>
      <c r="V656" s="176" t="s">
        <v>23</v>
      </c>
    </row>
    <row r="657" spans="2:22" ht="12" customHeight="1">
      <c r="B657" s="211">
        <v>46215</v>
      </c>
      <c r="C657" s="211">
        <v>46215</v>
      </c>
      <c r="D657" s="176" t="s">
        <v>5168</v>
      </c>
      <c r="E657" s="176" t="s">
        <v>5169</v>
      </c>
      <c r="F657" s="176" t="s">
        <v>87</v>
      </c>
      <c r="G657" s="176" t="s">
        <v>2639</v>
      </c>
      <c r="H657" s="176">
        <v>25</v>
      </c>
      <c r="I657" s="176">
        <v>31.6</v>
      </c>
      <c r="J657" s="176">
        <v>31.6</v>
      </c>
      <c r="K657" s="176">
        <v>4</v>
      </c>
      <c r="L657" s="176">
        <v>0</v>
      </c>
      <c r="M657" s="176" t="s">
        <v>148</v>
      </c>
      <c r="N657" s="176" t="s">
        <v>149</v>
      </c>
      <c r="O657" s="176" t="s">
        <v>150</v>
      </c>
      <c r="P657" s="176" t="s">
        <v>151</v>
      </c>
      <c r="Q657" s="176"/>
      <c r="R657" s="176" t="s">
        <v>5169</v>
      </c>
      <c r="S657" s="176"/>
      <c r="T657" s="176" t="s">
        <v>2989</v>
      </c>
      <c r="U657" s="176" t="s">
        <v>152</v>
      </c>
      <c r="V657" s="176" t="s">
        <v>23</v>
      </c>
    </row>
    <row r="658" spans="2:22" ht="12" customHeight="1">
      <c r="B658" s="211">
        <v>46215</v>
      </c>
      <c r="C658" s="211">
        <v>46215</v>
      </c>
      <c r="D658" s="176" t="s">
        <v>5170</v>
      </c>
      <c r="E658" s="176" t="s">
        <v>5171</v>
      </c>
      <c r="F658" s="176" t="s">
        <v>87</v>
      </c>
      <c r="G658" s="176" t="s">
        <v>2485</v>
      </c>
      <c r="H658" s="176">
        <v>30</v>
      </c>
      <c r="I658" s="176">
        <v>34.799999999999997</v>
      </c>
      <c r="J658" s="176">
        <v>34.799999999999997</v>
      </c>
      <c r="K658" s="176">
        <v>4</v>
      </c>
      <c r="L658" s="176">
        <v>0</v>
      </c>
      <c r="M658" s="176" t="s">
        <v>148</v>
      </c>
      <c r="N658" s="176" t="s">
        <v>149</v>
      </c>
      <c r="O658" s="176" t="s">
        <v>150</v>
      </c>
      <c r="P658" s="176" t="s">
        <v>151</v>
      </c>
      <c r="Q658" s="176"/>
      <c r="R658" s="176" t="s">
        <v>5171</v>
      </c>
      <c r="S658" s="176"/>
      <c r="T658" s="176" t="s">
        <v>2989</v>
      </c>
      <c r="U658" s="176" t="s">
        <v>152</v>
      </c>
      <c r="V658" s="176" t="s">
        <v>23</v>
      </c>
    </row>
    <row r="659" spans="2:22" ht="12" customHeight="1">
      <c r="B659" s="211">
        <v>46215</v>
      </c>
      <c r="C659" s="211">
        <v>46215</v>
      </c>
      <c r="D659" s="176" t="s">
        <v>5172</v>
      </c>
      <c r="E659" s="176" t="s">
        <v>5173</v>
      </c>
      <c r="F659" s="176" t="s">
        <v>87</v>
      </c>
      <c r="G659" s="176" t="s">
        <v>2639</v>
      </c>
      <c r="H659" s="176">
        <v>25</v>
      </c>
      <c r="I659" s="176">
        <v>31.1</v>
      </c>
      <c r="J659" s="176">
        <v>31.1</v>
      </c>
      <c r="K659" s="176">
        <v>4</v>
      </c>
      <c r="L659" s="176">
        <v>0</v>
      </c>
      <c r="M659" s="176" t="s">
        <v>148</v>
      </c>
      <c r="N659" s="176" t="s">
        <v>149</v>
      </c>
      <c r="O659" s="176" t="s">
        <v>150</v>
      </c>
      <c r="P659" s="176" t="s">
        <v>151</v>
      </c>
      <c r="Q659" s="176"/>
      <c r="R659" s="176" t="s">
        <v>5173</v>
      </c>
      <c r="S659" s="176"/>
      <c r="T659" s="176" t="s">
        <v>2989</v>
      </c>
      <c r="U659" s="176" t="s">
        <v>152</v>
      </c>
      <c r="V659" s="176" t="s">
        <v>23</v>
      </c>
    </row>
    <row r="660" spans="2:22" ht="12" customHeight="1">
      <c r="B660" s="211">
        <v>46215</v>
      </c>
      <c r="C660" s="211">
        <v>46215</v>
      </c>
      <c r="D660" s="176" t="s">
        <v>5174</v>
      </c>
      <c r="E660" s="176" t="s">
        <v>5175</v>
      </c>
      <c r="F660" s="176" t="s">
        <v>87</v>
      </c>
      <c r="G660" s="176" t="s">
        <v>2485</v>
      </c>
      <c r="H660" s="176">
        <v>30</v>
      </c>
      <c r="I660" s="176">
        <v>39.700000000000003</v>
      </c>
      <c r="J660" s="176">
        <v>39.700000000000003</v>
      </c>
      <c r="K660" s="176">
        <v>4</v>
      </c>
      <c r="L660" s="176">
        <v>0</v>
      </c>
      <c r="M660" s="176" t="s">
        <v>148</v>
      </c>
      <c r="N660" s="176" t="s">
        <v>149</v>
      </c>
      <c r="O660" s="176" t="s">
        <v>150</v>
      </c>
      <c r="P660" s="176" t="s">
        <v>151</v>
      </c>
      <c r="Q660" s="176"/>
      <c r="R660" s="176" t="s">
        <v>5175</v>
      </c>
      <c r="S660" s="176"/>
      <c r="T660" s="176" t="s">
        <v>2989</v>
      </c>
      <c r="U660" s="176" t="s">
        <v>152</v>
      </c>
      <c r="V660" s="176" t="s">
        <v>23</v>
      </c>
    </row>
    <row r="661" spans="2:22" ht="12" customHeight="1">
      <c r="B661" s="211">
        <v>46215</v>
      </c>
      <c r="C661" s="211">
        <v>46215</v>
      </c>
      <c r="D661" s="176" t="s">
        <v>5176</v>
      </c>
      <c r="E661" s="176" t="s">
        <v>5177</v>
      </c>
      <c r="F661" s="176" t="s">
        <v>87</v>
      </c>
      <c r="G661" s="176" t="s">
        <v>2639</v>
      </c>
      <c r="H661" s="176">
        <v>25</v>
      </c>
      <c r="I661" s="176">
        <v>31.8</v>
      </c>
      <c r="J661" s="176">
        <v>31.8</v>
      </c>
      <c r="K661" s="176">
        <v>4</v>
      </c>
      <c r="L661" s="176">
        <v>0</v>
      </c>
      <c r="M661" s="176" t="s">
        <v>148</v>
      </c>
      <c r="N661" s="176" t="s">
        <v>149</v>
      </c>
      <c r="O661" s="176" t="s">
        <v>150</v>
      </c>
      <c r="P661" s="176" t="s">
        <v>151</v>
      </c>
      <c r="Q661" s="176"/>
      <c r="R661" s="176" t="s">
        <v>5177</v>
      </c>
      <c r="S661" s="176"/>
      <c r="T661" s="176" t="s">
        <v>2989</v>
      </c>
      <c r="U661" s="176" t="s">
        <v>152</v>
      </c>
      <c r="V661" s="176" t="s">
        <v>23</v>
      </c>
    </row>
    <row r="662" spans="2:22" ht="12" customHeight="1">
      <c r="B662" s="211">
        <v>46215</v>
      </c>
      <c r="C662" s="211">
        <v>46215</v>
      </c>
      <c r="D662" s="176" t="s">
        <v>5178</v>
      </c>
      <c r="E662" s="176" t="s">
        <v>5179</v>
      </c>
      <c r="F662" s="176" t="s">
        <v>87</v>
      </c>
      <c r="G662" s="176" t="s">
        <v>2639</v>
      </c>
      <c r="H662" s="176">
        <v>25</v>
      </c>
      <c r="I662" s="176">
        <v>24.8</v>
      </c>
      <c r="J662" s="176">
        <v>24.8</v>
      </c>
      <c r="K662" s="176">
        <v>4</v>
      </c>
      <c r="L662" s="176">
        <v>0</v>
      </c>
      <c r="M662" s="176" t="s">
        <v>148</v>
      </c>
      <c r="N662" s="176" t="s">
        <v>149</v>
      </c>
      <c r="O662" s="176" t="s">
        <v>150</v>
      </c>
      <c r="P662" s="176" t="s">
        <v>151</v>
      </c>
      <c r="Q662" s="176"/>
      <c r="R662" s="176" t="s">
        <v>5179</v>
      </c>
      <c r="S662" s="176"/>
      <c r="T662" s="176" t="s">
        <v>2989</v>
      </c>
      <c r="U662" s="176" t="s">
        <v>152</v>
      </c>
      <c r="V662" s="176" t="s">
        <v>23</v>
      </c>
    </row>
    <row r="663" spans="2:22" ht="12" customHeight="1">
      <c r="B663" s="211">
        <v>46215</v>
      </c>
      <c r="C663" s="211">
        <v>46215</v>
      </c>
      <c r="D663" s="176" t="s">
        <v>5180</v>
      </c>
      <c r="E663" s="176" t="s">
        <v>5181</v>
      </c>
      <c r="F663" s="176" t="s">
        <v>87</v>
      </c>
      <c r="G663" s="176" t="s">
        <v>2485</v>
      </c>
      <c r="H663" s="176">
        <v>30</v>
      </c>
      <c r="I663" s="176">
        <v>31.2</v>
      </c>
      <c r="J663" s="176">
        <v>31.2</v>
      </c>
      <c r="K663" s="176">
        <v>4</v>
      </c>
      <c r="L663" s="176">
        <v>0</v>
      </c>
      <c r="M663" s="176" t="s">
        <v>148</v>
      </c>
      <c r="N663" s="176" t="s">
        <v>149</v>
      </c>
      <c r="O663" s="176" t="s">
        <v>150</v>
      </c>
      <c r="P663" s="176" t="s">
        <v>151</v>
      </c>
      <c r="Q663" s="176"/>
      <c r="R663" s="176" t="s">
        <v>5181</v>
      </c>
      <c r="S663" s="176"/>
      <c r="T663" s="176" t="s">
        <v>2989</v>
      </c>
      <c r="U663" s="176" t="s">
        <v>152</v>
      </c>
      <c r="V663" s="176" t="s">
        <v>23</v>
      </c>
    </row>
    <row r="664" spans="2:22" ht="12" customHeight="1">
      <c r="B664" s="211">
        <v>46215</v>
      </c>
      <c r="C664" s="211">
        <v>46215</v>
      </c>
      <c r="D664" s="176" t="s">
        <v>5182</v>
      </c>
      <c r="E664" s="176" t="s">
        <v>5183</v>
      </c>
      <c r="F664" s="176" t="s">
        <v>87</v>
      </c>
      <c r="G664" s="176" t="s">
        <v>2485</v>
      </c>
      <c r="H664" s="176">
        <v>30</v>
      </c>
      <c r="I664" s="176">
        <v>40</v>
      </c>
      <c r="J664" s="176">
        <v>40</v>
      </c>
      <c r="K664" s="176">
        <v>4</v>
      </c>
      <c r="L664" s="176">
        <v>0</v>
      </c>
      <c r="M664" s="176" t="s">
        <v>148</v>
      </c>
      <c r="N664" s="176" t="s">
        <v>149</v>
      </c>
      <c r="O664" s="176" t="s">
        <v>150</v>
      </c>
      <c r="P664" s="176" t="s">
        <v>151</v>
      </c>
      <c r="Q664" s="176"/>
      <c r="R664" s="176" t="s">
        <v>5183</v>
      </c>
      <c r="S664" s="176"/>
      <c r="T664" s="176" t="s">
        <v>2989</v>
      </c>
      <c r="U664" s="176" t="s">
        <v>152</v>
      </c>
      <c r="V664" s="176" t="s">
        <v>23</v>
      </c>
    </row>
    <row r="665" spans="2:22" ht="12" customHeight="1">
      <c r="B665" s="211">
        <v>46215</v>
      </c>
      <c r="C665" s="211">
        <v>46215</v>
      </c>
      <c r="D665" s="176" t="s">
        <v>5184</v>
      </c>
      <c r="E665" s="176" t="s">
        <v>5185</v>
      </c>
      <c r="F665" s="176" t="s">
        <v>87</v>
      </c>
      <c r="G665" s="176" t="s">
        <v>2486</v>
      </c>
      <c r="H665" s="176">
        <v>40</v>
      </c>
      <c r="I665" s="176">
        <v>37.799999999999997</v>
      </c>
      <c r="J665" s="176">
        <v>37.799999999999997</v>
      </c>
      <c r="K665" s="176">
        <v>5</v>
      </c>
      <c r="L665" s="176">
        <v>0</v>
      </c>
      <c r="M665" s="176" t="s">
        <v>148</v>
      </c>
      <c r="N665" s="176" t="s">
        <v>149</v>
      </c>
      <c r="O665" s="176" t="s">
        <v>150</v>
      </c>
      <c r="P665" s="176" t="s">
        <v>151</v>
      </c>
      <c r="Q665" s="176"/>
      <c r="R665" s="176" t="s">
        <v>5185</v>
      </c>
      <c r="S665" s="176"/>
      <c r="T665" s="176" t="s">
        <v>2989</v>
      </c>
      <c r="U665" s="176" t="s">
        <v>152</v>
      </c>
      <c r="V665" s="176" t="s">
        <v>23</v>
      </c>
    </row>
    <row r="666" spans="2:22" ht="12" customHeight="1">
      <c r="B666" s="211">
        <v>46215</v>
      </c>
      <c r="C666" s="211">
        <v>46215</v>
      </c>
      <c r="D666" s="176" t="s">
        <v>5186</v>
      </c>
      <c r="E666" s="176" t="s">
        <v>5187</v>
      </c>
      <c r="F666" s="176" t="s">
        <v>87</v>
      </c>
      <c r="G666" s="176" t="s">
        <v>2552</v>
      </c>
      <c r="H666" s="176">
        <v>40</v>
      </c>
      <c r="I666" s="176">
        <v>32.200000000000003</v>
      </c>
      <c r="J666" s="176">
        <v>32.200000000000003</v>
      </c>
      <c r="K666" s="176">
        <v>5</v>
      </c>
      <c r="L666" s="176">
        <v>0</v>
      </c>
      <c r="M666" s="176" t="s">
        <v>148</v>
      </c>
      <c r="N666" s="176" t="s">
        <v>149</v>
      </c>
      <c r="O666" s="176" t="s">
        <v>150</v>
      </c>
      <c r="P666" s="176" t="s">
        <v>151</v>
      </c>
      <c r="Q666" s="176"/>
      <c r="R666" s="176" t="s">
        <v>5187</v>
      </c>
      <c r="S666" s="176"/>
      <c r="T666" s="176" t="s">
        <v>2989</v>
      </c>
      <c r="U666" s="176" t="s">
        <v>152</v>
      </c>
      <c r="V666" s="176" t="s">
        <v>23</v>
      </c>
    </row>
    <row r="667" spans="2:22" ht="12" customHeight="1">
      <c r="B667" s="211">
        <v>46215</v>
      </c>
      <c r="C667" s="211">
        <v>46215</v>
      </c>
      <c r="D667" s="176" t="s">
        <v>5188</v>
      </c>
      <c r="E667" s="176" t="s">
        <v>5189</v>
      </c>
      <c r="F667" s="176" t="s">
        <v>87</v>
      </c>
      <c r="G667" s="176" t="s">
        <v>2486</v>
      </c>
      <c r="H667" s="176">
        <v>40</v>
      </c>
      <c r="I667" s="176">
        <v>39.799999999999997</v>
      </c>
      <c r="J667" s="176">
        <v>39.799999999999997</v>
      </c>
      <c r="K667" s="176">
        <v>5</v>
      </c>
      <c r="L667" s="176">
        <v>0</v>
      </c>
      <c r="M667" s="176" t="s">
        <v>148</v>
      </c>
      <c r="N667" s="176" t="s">
        <v>149</v>
      </c>
      <c r="O667" s="176" t="s">
        <v>150</v>
      </c>
      <c r="P667" s="176" t="s">
        <v>151</v>
      </c>
      <c r="Q667" s="176"/>
      <c r="R667" s="176" t="s">
        <v>5189</v>
      </c>
      <c r="S667" s="176"/>
      <c r="T667" s="176" t="s">
        <v>2989</v>
      </c>
      <c r="U667" s="176" t="s">
        <v>152</v>
      </c>
      <c r="V667" s="176" t="s">
        <v>23</v>
      </c>
    </row>
    <row r="668" spans="2:22" ht="12" customHeight="1">
      <c r="B668" s="211">
        <v>46215</v>
      </c>
      <c r="C668" s="211">
        <v>46215</v>
      </c>
      <c r="D668" s="176" t="s">
        <v>5190</v>
      </c>
      <c r="E668" s="176" t="s">
        <v>5191</v>
      </c>
      <c r="F668" s="176" t="s">
        <v>87</v>
      </c>
      <c r="G668" s="176" t="s">
        <v>2633</v>
      </c>
      <c r="H668" s="176">
        <v>40</v>
      </c>
      <c r="I668" s="176">
        <v>38.799999999999997</v>
      </c>
      <c r="J668" s="176">
        <v>38.799999999999997</v>
      </c>
      <c r="K668" s="176">
        <v>5</v>
      </c>
      <c r="L668" s="176">
        <v>0</v>
      </c>
      <c r="M668" s="176" t="s">
        <v>148</v>
      </c>
      <c r="N668" s="176" t="s">
        <v>149</v>
      </c>
      <c r="O668" s="176" t="s">
        <v>150</v>
      </c>
      <c r="P668" s="176" t="s">
        <v>151</v>
      </c>
      <c r="Q668" s="176"/>
      <c r="R668" s="176" t="s">
        <v>5191</v>
      </c>
      <c r="S668" s="176"/>
      <c r="T668" s="176" t="s">
        <v>2989</v>
      </c>
      <c r="U668" s="176" t="s">
        <v>152</v>
      </c>
      <c r="V668" s="176" t="s">
        <v>23</v>
      </c>
    </row>
    <row r="669" spans="2:22" ht="12" customHeight="1">
      <c r="B669" s="211">
        <v>46215</v>
      </c>
      <c r="C669" s="211">
        <v>46215</v>
      </c>
      <c r="D669" s="176" t="s">
        <v>5192</v>
      </c>
      <c r="E669" s="176" t="s">
        <v>5193</v>
      </c>
      <c r="F669" s="176" t="s">
        <v>87</v>
      </c>
      <c r="G669" s="176" t="s">
        <v>2552</v>
      </c>
      <c r="H669" s="176">
        <v>40</v>
      </c>
      <c r="I669" s="176">
        <v>46</v>
      </c>
      <c r="J669" s="176">
        <v>46</v>
      </c>
      <c r="K669" s="176">
        <v>5</v>
      </c>
      <c r="L669" s="176">
        <v>0</v>
      </c>
      <c r="M669" s="176" t="s">
        <v>148</v>
      </c>
      <c r="N669" s="176" t="s">
        <v>149</v>
      </c>
      <c r="O669" s="176" t="s">
        <v>150</v>
      </c>
      <c r="P669" s="176" t="s">
        <v>151</v>
      </c>
      <c r="Q669" s="176"/>
      <c r="R669" s="176" t="s">
        <v>5193</v>
      </c>
      <c r="S669" s="176"/>
      <c r="T669" s="176" t="s">
        <v>2989</v>
      </c>
      <c r="U669" s="176" t="s">
        <v>152</v>
      </c>
      <c r="V669" s="176" t="s">
        <v>23</v>
      </c>
    </row>
    <row r="670" spans="2:22" ht="12" customHeight="1">
      <c r="B670" s="211">
        <v>46215</v>
      </c>
      <c r="C670" s="211">
        <v>46215</v>
      </c>
      <c r="D670" s="176" t="s">
        <v>5194</v>
      </c>
      <c r="E670" s="176" t="s">
        <v>5195</v>
      </c>
      <c r="F670" s="176" t="s">
        <v>87</v>
      </c>
      <c r="G670" s="176" t="s">
        <v>4929</v>
      </c>
      <c r="H670" s="176">
        <v>55</v>
      </c>
      <c r="I670" s="176">
        <v>38.5</v>
      </c>
      <c r="J670" s="176">
        <v>38.5</v>
      </c>
      <c r="K670" s="176">
        <v>5</v>
      </c>
      <c r="L670" s="176">
        <v>0</v>
      </c>
      <c r="M670" s="176" t="s">
        <v>148</v>
      </c>
      <c r="N670" s="176" t="s">
        <v>149</v>
      </c>
      <c r="O670" s="176" t="s">
        <v>150</v>
      </c>
      <c r="P670" s="176" t="s">
        <v>151</v>
      </c>
      <c r="Q670" s="176"/>
      <c r="R670" s="176" t="s">
        <v>5195</v>
      </c>
      <c r="S670" s="176"/>
      <c r="T670" s="176" t="s">
        <v>2989</v>
      </c>
      <c r="U670" s="176" t="s">
        <v>152</v>
      </c>
      <c r="V670" s="176" t="s">
        <v>23</v>
      </c>
    </row>
    <row r="671" spans="2:22" ht="12" customHeight="1">
      <c r="B671" s="211">
        <v>46215</v>
      </c>
      <c r="C671" s="211">
        <v>46215</v>
      </c>
      <c r="D671" s="176" t="s">
        <v>5196</v>
      </c>
      <c r="E671" s="176" t="s">
        <v>5197</v>
      </c>
      <c r="F671" s="176" t="s">
        <v>87</v>
      </c>
      <c r="G671" s="176" t="s">
        <v>2552</v>
      </c>
      <c r="H671" s="176">
        <v>40</v>
      </c>
      <c r="I671" s="176">
        <v>36.4</v>
      </c>
      <c r="J671" s="176">
        <v>36.4</v>
      </c>
      <c r="K671" s="176">
        <v>5</v>
      </c>
      <c r="L671" s="176">
        <v>0</v>
      </c>
      <c r="M671" s="176" t="s">
        <v>148</v>
      </c>
      <c r="N671" s="176" t="s">
        <v>149</v>
      </c>
      <c r="O671" s="176" t="s">
        <v>150</v>
      </c>
      <c r="P671" s="176" t="s">
        <v>151</v>
      </c>
      <c r="Q671" s="176"/>
      <c r="R671" s="176" t="s">
        <v>5197</v>
      </c>
      <c r="S671" s="176"/>
      <c r="T671" s="176" t="s">
        <v>2989</v>
      </c>
      <c r="U671" s="176" t="s">
        <v>152</v>
      </c>
      <c r="V671" s="176" t="s">
        <v>23</v>
      </c>
    </row>
    <row r="672" spans="2:22" ht="12" customHeight="1">
      <c r="B672" s="211">
        <v>46215</v>
      </c>
      <c r="C672" s="211">
        <v>46215</v>
      </c>
      <c r="D672" s="176" t="s">
        <v>5198</v>
      </c>
      <c r="E672" s="176" t="s">
        <v>5199</v>
      </c>
      <c r="F672" s="176" t="s">
        <v>87</v>
      </c>
      <c r="G672" s="176" t="s">
        <v>3866</v>
      </c>
      <c r="H672" s="176">
        <v>40</v>
      </c>
      <c r="I672" s="176">
        <v>34.799999999999997</v>
      </c>
      <c r="J672" s="176">
        <v>34.799999999999997</v>
      </c>
      <c r="K672" s="176">
        <v>5</v>
      </c>
      <c r="L672" s="176">
        <v>0</v>
      </c>
      <c r="M672" s="176" t="s">
        <v>148</v>
      </c>
      <c r="N672" s="176" t="s">
        <v>149</v>
      </c>
      <c r="O672" s="176" t="s">
        <v>150</v>
      </c>
      <c r="P672" s="176" t="s">
        <v>151</v>
      </c>
      <c r="Q672" s="176"/>
      <c r="R672" s="176" t="s">
        <v>5199</v>
      </c>
      <c r="S672" s="176"/>
      <c r="T672" s="176" t="s">
        <v>2989</v>
      </c>
      <c r="U672" s="176" t="s">
        <v>152</v>
      </c>
      <c r="V672" s="176" t="s">
        <v>23</v>
      </c>
    </row>
    <row r="673" spans="2:22" ht="12" customHeight="1">
      <c r="B673" s="211">
        <v>46215</v>
      </c>
      <c r="C673" s="211">
        <v>46215</v>
      </c>
      <c r="D673" s="176" t="s">
        <v>5200</v>
      </c>
      <c r="E673" s="176" t="s">
        <v>5201</v>
      </c>
      <c r="F673" s="176" t="s">
        <v>87</v>
      </c>
      <c r="G673" s="176" t="s">
        <v>2633</v>
      </c>
      <c r="H673" s="176">
        <v>40</v>
      </c>
      <c r="I673" s="176">
        <v>32.200000000000003</v>
      </c>
      <c r="J673" s="176">
        <v>32.200000000000003</v>
      </c>
      <c r="K673" s="176">
        <v>5</v>
      </c>
      <c r="L673" s="176">
        <v>0</v>
      </c>
      <c r="M673" s="176" t="s">
        <v>148</v>
      </c>
      <c r="N673" s="176" t="s">
        <v>149</v>
      </c>
      <c r="O673" s="176" t="s">
        <v>150</v>
      </c>
      <c r="P673" s="176" t="s">
        <v>151</v>
      </c>
      <c r="Q673" s="176"/>
      <c r="R673" s="176" t="s">
        <v>5201</v>
      </c>
      <c r="S673" s="176"/>
      <c r="T673" s="176" t="s">
        <v>2989</v>
      </c>
      <c r="U673" s="176" t="s">
        <v>152</v>
      </c>
      <c r="V673" s="176" t="s">
        <v>23</v>
      </c>
    </row>
    <row r="674" spans="2:22" ht="12" customHeight="1">
      <c r="B674" s="211">
        <v>46215</v>
      </c>
      <c r="C674" s="211">
        <v>46215</v>
      </c>
      <c r="D674" s="176" t="s">
        <v>5202</v>
      </c>
      <c r="E674" s="176" t="s">
        <v>5203</v>
      </c>
      <c r="F674" s="176" t="s">
        <v>87</v>
      </c>
      <c r="G674" s="176" t="s">
        <v>2552</v>
      </c>
      <c r="H674" s="176">
        <v>40</v>
      </c>
      <c r="I674" s="176">
        <v>29.8</v>
      </c>
      <c r="J674" s="176">
        <v>29.8</v>
      </c>
      <c r="K674" s="176">
        <v>5</v>
      </c>
      <c r="L674" s="176">
        <v>0</v>
      </c>
      <c r="M674" s="176" t="s">
        <v>148</v>
      </c>
      <c r="N674" s="176" t="s">
        <v>149</v>
      </c>
      <c r="O674" s="176" t="s">
        <v>150</v>
      </c>
      <c r="P674" s="176" t="s">
        <v>151</v>
      </c>
      <c r="Q674" s="176"/>
      <c r="R674" s="176" t="s">
        <v>5203</v>
      </c>
      <c r="S674" s="176"/>
      <c r="T674" s="176" t="s">
        <v>2989</v>
      </c>
      <c r="U674" s="176" t="s">
        <v>152</v>
      </c>
      <c r="V674" s="176" t="s">
        <v>23</v>
      </c>
    </row>
    <row r="675" spans="2:22" ht="12" customHeight="1">
      <c r="B675" s="211">
        <v>46215</v>
      </c>
      <c r="C675" s="211">
        <v>46215</v>
      </c>
      <c r="D675" s="176" t="s">
        <v>5204</v>
      </c>
      <c r="E675" s="176" t="s">
        <v>5205</v>
      </c>
      <c r="F675" s="176" t="s">
        <v>87</v>
      </c>
      <c r="G675" s="176" t="s">
        <v>2486</v>
      </c>
      <c r="H675" s="176">
        <v>40</v>
      </c>
      <c r="I675" s="176">
        <v>25.8</v>
      </c>
      <c r="J675" s="176">
        <v>25.8</v>
      </c>
      <c r="K675" s="176">
        <v>5</v>
      </c>
      <c r="L675" s="176">
        <v>0</v>
      </c>
      <c r="M675" s="176" t="s">
        <v>148</v>
      </c>
      <c r="N675" s="176" t="s">
        <v>149</v>
      </c>
      <c r="O675" s="176" t="s">
        <v>150</v>
      </c>
      <c r="P675" s="176" t="s">
        <v>151</v>
      </c>
      <c r="Q675" s="176"/>
      <c r="R675" s="176" t="s">
        <v>5205</v>
      </c>
      <c r="S675" s="176"/>
      <c r="T675" s="176" t="s">
        <v>2989</v>
      </c>
      <c r="U675" s="176" t="s">
        <v>152</v>
      </c>
      <c r="V675" s="176" t="s">
        <v>23</v>
      </c>
    </row>
    <row r="676" spans="2:22" ht="12" customHeight="1">
      <c r="B676" s="211">
        <v>46215</v>
      </c>
      <c r="C676" s="211">
        <v>46215</v>
      </c>
      <c r="D676" s="176" t="s">
        <v>5206</v>
      </c>
      <c r="E676" s="176" t="s">
        <v>5207</v>
      </c>
      <c r="F676" s="176" t="s">
        <v>87</v>
      </c>
      <c r="G676" s="176" t="s">
        <v>2552</v>
      </c>
      <c r="H676" s="176">
        <v>40</v>
      </c>
      <c r="I676" s="176">
        <v>28.8</v>
      </c>
      <c r="J676" s="176">
        <v>28.8</v>
      </c>
      <c r="K676" s="176">
        <v>5</v>
      </c>
      <c r="L676" s="176">
        <v>0</v>
      </c>
      <c r="M676" s="176" t="s">
        <v>148</v>
      </c>
      <c r="N676" s="176" t="s">
        <v>149</v>
      </c>
      <c r="O676" s="176" t="s">
        <v>150</v>
      </c>
      <c r="P676" s="176" t="s">
        <v>151</v>
      </c>
      <c r="Q676" s="176"/>
      <c r="R676" s="176" t="s">
        <v>5207</v>
      </c>
      <c r="S676" s="176"/>
      <c r="T676" s="176" t="s">
        <v>2989</v>
      </c>
      <c r="U676" s="176" t="s">
        <v>152</v>
      </c>
      <c r="V676" s="176" t="s">
        <v>23</v>
      </c>
    </row>
    <row r="677" spans="2:22" ht="12" customHeight="1">
      <c r="B677" s="211">
        <v>46215</v>
      </c>
      <c r="C677" s="211">
        <v>46215</v>
      </c>
      <c r="D677" s="176" t="s">
        <v>5208</v>
      </c>
      <c r="E677" s="176" t="s">
        <v>5209</v>
      </c>
      <c r="F677" s="176" t="s">
        <v>87</v>
      </c>
      <c r="G677" s="176" t="s">
        <v>2552</v>
      </c>
      <c r="H677" s="176">
        <v>40</v>
      </c>
      <c r="I677" s="176">
        <v>44.1</v>
      </c>
      <c r="J677" s="176">
        <v>44.1</v>
      </c>
      <c r="K677" s="176">
        <v>5</v>
      </c>
      <c r="L677" s="176">
        <v>0</v>
      </c>
      <c r="M677" s="176" t="s">
        <v>148</v>
      </c>
      <c r="N677" s="176" t="s">
        <v>149</v>
      </c>
      <c r="O677" s="176" t="s">
        <v>150</v>
      </c>
      <c r="P677" s="176" t="s">
        <v>151</v>
      </c>
      <c r="Q677" s="176"/>
      <c r="R677" s="176" t="s">
        <v>5209</v>
      </c>
      <c r="S677" s="176"/>
      <c r="T677" s="176" t="s">
        <v>2989</v>
      </c>
      <c r="U677" s="176" t="s">
        <v>152</v>
      </c>
      <c r="V677" s="176" t="s">
        <v>23</v>
      </c>
    </row>
    <row r="678" spans="2:22" ht="12" customHeight="1">
      <c r="B678" s="211">
        <v>46215</v>
      </c>
      <c r="C678" s="211">
        <v>46215</v>
      </c>
      <c r="D678" s="176" t="s">
        <v>5210</v>
      </c>
      <c r="E678" s="176" t="s">
        <v>5211</v>
      </c>
      <c r="F678" s="176" t="s">
        <v>87</v>
      </c>
      <c r="G678" s="176" t="s">
        <v>2552</v>
      </c>
      <c r="H678" s="176">
        <v>40</v>
      </c>
      <c r="I678" s="176">
        <v>34.200000000000003</v>
      </c>
      <c r="J678" s="176">
        <v>34.200000000000003</v>
      </c>
      <c r="K678" s="176">
        <v>5</v>
      </c>
      <c r="L678" s="176">
        <v>0</v>
      </c>
      <c r="M678" s="176" t="s">
        <v>148</v>
      </c>
      <c r="N678" s="176" t="s">
        <v>149</v>
      </c>
      <c r="O678" s="176" t="s">
        <v>150</v>
      </c>
      <c r="P678" s="176" t="s">
        <v>151</v>
      </c>
      <c r="Q678" s="176"/>
      <c r="R678" s="176" t="s">
        <v>5211</v>
      </c>
      <c r="S678" s="176"/>
      <c r="T678" s="176" t="s">
        <v>2989</v>
      </c>
      <c r="U678" s="176" t="s">
        <v>152</v>
      </c>
      <c r="V678" s="176" t="s">
        <v>23</v>
      </c>
    </row>
    <row r="679" spans="2:22" ht="12" customHeight="1">
      <c r="B679" s="211">
        <v>46215</v>
      </c>
      <c r="C679" s="211">
        <v>46215</v>
      </c>
      <c r="D679" s="176" t="s">
        <v>5212</v>
      </c>
      <c r="E679" s="176" t="s">
        <v>5213</v>
      </c>
      <c r="F679" s="176" t="s">
        <v>87</v>
      </c>
      <c r="G679" s="176" t="s">
        <v>2552</v>
      </c>
      <c r="H679" s="176">
        <v>40</v>
      </c>
      <c r="I679" s="176">
        <v>40.799999999999997</v>
      </c>
      <c r="J679" s="176">
        <v>40.799999999999997</v>
      </c>
      <c r="K679" s="176">
        <v>5</v>
      </c>
      <c r="L679" s="176">
        <v>0</v>
      </c>
      <c r="M679" s="176" t="s">
        <v>148</v>
      </c>
      <c r="N679" s="176" t="s">
        <v>149</v>
      </c>
      <c r="O679" s="176" t="s">
        <v>150</v>
      </c>
      <c r="P679" s="176" t="s">
        <v>151</v>
      </c>
      <c r="Q679" s="176"/>
      <c r="R679" s="176" t="s">
        <v>5213</v>
      </c>
      <c r="S679" s="176"/>
      <c r="T679" s="176" t="s">
        <v>2989</v>
      </c>
      <c r="U679" s="176" t="s">
        <v>152</v>
      </c>
      <c r="V679" s="176" t="s">
        <v>23</v>
      </c>
    </row>
    <row r="680" spans="2:22" ht="12" customHeight="1">
      <c r="B680" s="211">
        <v>46215</v>
      </c>
      <c r="C680" s="211">
        <v>46215</v>
      </c>
      <c r="D680" s="176" t="s">
        <v>5214</v>
      </c>
      <c r="E680" s="176" t="s">
        <v>5215</v>
      </c>
      <c r="F680" s="176" t="s">
        <v>87</v>
      </c>
      <c r="G680" s="176" t="s">
        <v>3866</v>
      </c>
      <c r="H680" s="176">
        <v>40</v>
      </c>
      <c r="I680" s="176">
        <v>40</v>
      </c>
      <c r="J680" s="176">
        <v>40</v>
      </c>
      <c r="K680" s="176">
        <v>5</v>
      </c>
      <c r="L680" s="176">
        <v>0</v>
      </c>
      <c r="M680" s="176" t="s">
        <v>148</v>
      </c>
      <c r="N680" s="176" t="s">
        <v>149</v>
      </c>
      <c r="O680" s="176" t="s">
        <v>150</v>
      </c>
      <c r="P680" s="176" t="s">
        <v>151</v>
      </c>
      <c r="Q680" s="176"/>
      <c r="R680" s="176" t="s">
        <v>5215</v>
      </c>
      <c r="S680" s="176"/>
      <c r="T680" s="176" t="s">
        <v>2989</v>
      </c>
      <c r="U680" s="176" t="s">
        <v>152</v>
      </c>
      <c r="V680" s="176" t="s">
        <v>23</v>
      </c>
    </row>
    <row r="681" spans="2:22" ht="12" customHeight="1">
      <c r="B681" s="211">
        <v>46215</v>
      </c>
      <c r="C681" s="211">
        <v>46215</v>
      </c>
      <c r="D681" s="176" t="s">
        <v>5216</v>
      </c>
      <c r="E681" s="176" t="s">
        <v>5217</v>
      </c>
      <c r="F681" s="176" t="s">
        <v>87</v>
      </c>
      <c r="G681" s="176" t="s">
        <v>2552</v>
      </c>
      <c r="H681" s="176">
        <v>40</v>
      </c>
      <c r="I681" s="176">
        <v>41.4</v>
      </c>
      <c r="J681" s="176">
        <v>41.4</v>
      </c>
      <c r="K681" s="176">
        <v>5</v>
      </c>
      <c r="L681" s="176">
        <v>0</v>
      </c>
      <c r="M681" s="176" t="s">
        <v>148</v>
      </c>
      <c r="N681" s="176" t="s">
        <v>149</v>
      </c>
      <c r="O681" s="176" t="s">
        <v>150</v>
      </c>
      <c r="P681" s="176" t="s">
        <v>151</v>
      </c>
      <c r="Q681" s="176"/>
      <c r="R681" s="176" t="s">
        <v>5217</v>
      </c>
      <c r="S681" s="176"/>
      <c r="T681" s="176" t="s">
        <v>2989</v>
      </c>
      <c r="U681" s="176" t="s">
        <v>152</v>
      </c>
      <c r="V681" s="176" t="s">
        <v>23</v>
      </c>
    </row>
    <row r="682" spans="2:22" ht="12" customHeight="1">
      <c r="B682" s="211">
        <v>46215</v>
      </c>
      <c r="C682" s="211">
        <v>46215</v>
      </c>
      <c r="D682" s="176" t="s">
        <v>5218</v>
      </c>
      <c r="E682" s="176" t="s">
        <v>5219</v>
      </c>
      <c r="F682" s="176" t="s">
        <v>87</v>
      </c>
      <c r="G682" s="176" t="s">
        <v>4929</v>
      </c>
      <c r="H682" s="176">
        <v>55</v>
      </c>
      <c r="I682" s="176">
        <v>47.2</v>
      </c>
      <c r="J682" s="176">
        <v>47.2</v>
      </c>
      <c r="K682" s="176">
        <v>5</v>
      </c>
      <c r="L682" s="176">
        <v>0</v>
      </c>
      <c r="M682" s="176" t="s">
        <v>148</v>
      </c>
      <c r="N682" s="176" t="s">
        <v>149</v>
      </c>
      <c r="O682" s="176" t="s">
        <v>150</v>
      </c>
      <c r="P682" s="176" t="s">
        <v>151</v>
      </c>
      <c r="Q682" s="176"/>
      <c r="R682" s="176" t="s">
        <v>5219</v>
      </c>
      <c r="S682" s="176"/>
      <c r="T682" s="176" t="s">
        <v>2989</v>
      </c>
      <c r="U682" s="176" t="s">
        <v>152</v>
      </c>
      <c r="V682" s="176" t="s">
        <v>23</v>
      </c>
    </row>
    <row r="683" spans="2:22" ht="12" customHeight="1">
      <c r="B683" s="211">
        <v>46215</v>
      </c>
      <c r="C683" s="211">
        <v>46215</v>
      </c>
      <c r="D683" s="176" t="s">
        <v>5220</v>
      </c>
      <c r="E683" s="176" t="s">
        <v>5221</v>
      </c>
      <c r="F683" s="176" t="s">
        <v>87</v>
      </c>
      <c r="G683" s="176" t="s">
        <v>2552</v>
      </c>
      <c r="H683" s="176">
        <v>40</v>
      </c>
      <c r="I683" s="176">
        <v>30.3</v>
      </c>
      <c r="J683" s="176">
        <v>30.3</v>
      </c>
      <c r="K683" s="176">
        <v>5</v>
      </c>
      <c r="L683" s="176">
        <v>0</v>
      </c>
      <c r="M683" s="176" t="s">
        <v>148</v>
      </c>
      <c r="N683" s="176" t="s">
        <v>149</v>
      </c>
      <c r="O683" s="176" t="s">
        <v>150</v>
      </c>
      <c r="P683" s="176" t="s">
        <v>151</v>
      </c>
      <c r="Q683" s="176"/>
      <c r="R683" s="176" t="s">
        <v>5221</v>
      </c>
      <c r="S683" s="176"/>
      <c r="T683" s="176" t="s">
        <v>2989</v>
      </c>
      <c r="U683" s="176" t="s">
        <v>152</v>
      </c>
      <c r="V683" s="176" t="s">
        <v>23</v>
      </c>
    </row>
    <row r="684" spans="2:22" ht="12" customHeight="1">
      <c r="B684" s="211">
        <v>46215</v>
      </c>
      <c r="C684" s="211">
        <v>46215</v>
      </c>
      <c r="D684" s="176" t="s">
        <v>5222</v>
      </c>
      <c r="E684" s="176" t="s">
        <v>5223</v>
      </c>
      <c r="F684" s="176" t="s">
        <v>87</v>
      </c>
      <c r="G684" s="176" t="s">
        <v>2486</v>
      </c>
      <c r="H684" s="176">
        <v>40</v>
      </c>
      <c r="I684" s="176">
        <v>42</v>
      </c>
      <c r="J684" s="176">
        <v>42</v>
      </c>
      <c r="K684" s="176">
        <v>5</v>
      </c>
      <c r="L684" s="176">
        <v>0</v>
      </c>
      <c r="M684" s="176" t="s">
        <v>148</v>
      </c>
      <c r="N684" s="176" t="s">
        <v>149</v>
      </c>
      <c r="O684" s="176" t="s">
        <v>150</v>
      </c>
      <c r="P684" s="176" t="s">
        <v>151</v>
      </c>
      <c r="Q684" s="176"/>
      <c r="R684" s="176" t="s">
        <v>5223</v>
      </c>
      <c r="S684" s="176"/>
      <c r="T684" s="176" t="s">
        <v>2989</v>
      </c>
      <c r="U684" s="176" t="s">
        <v>152</v>
      </c>
      <c r="V684" s="176" t="s">
        <v>23</v>
      </c>
    </row>
    <row r="685" spans="2:22" ht="12" customHeight="1">
      <c r="B685" s="211">
        <v>46215</v>
      </c>
      <c r="C685" s="211">
        <v>46215</v>
      </c>
      <c r="D685" s="176" t="s">
        <v>5224</v>
      </c>
      <c r="E685" s="176" t="s">
        <v>5225</v>
      </c>
      <c r="F685" s="176" t="s">
        <v>87</v>
      </c>
      <c r="G685" s="176" t="s">
        <v>2552</v>
      </c>
      <c r="H685" s="176">
        <v>40</v>
      </c>
      <c r="I685" s="176">
        <v>41.4</v>
      </c>
      <c r="J685" s="176">
        <v>41.4</v>
      </c>
      <c r="K685" s="176">
        <v>5</v>
      </c>
      <c r="L685" s="176">
        <v>0</v>
      </c>
      <c r="M685" s="176" t="s">
        <v>148</v>
      </c>
      <c r="N685" s="176" t="s">
        <v>149</v>
      </c>
      <c r="O685" s="176" t="s">
        <v>150</v>
      </c>
      <c r="P685" s="176" t="s">
        <v>151</v>
      </c>
      <c r="Q685" s="176"/>
      <c r="R685" s="176" t="s">
        <v>5225</v>
      </c>
      <c r="S685" s="176"/>
      <c r="T685" s="176" t="s">
        <v>2989</v>
      </c>
      <c r="U685" s="176" t="s">
        <v>152</v>
      </c>
      <c r="V685" s="176" t="s">
        <v>23</v>
      </c>
    </row>
    <row r="686" spans="2:22" ht="12" customHeight="1">
      <c r="B686" s="211">
        <v>46215</v>
      </c>
      <c r="C686" s="211">
        <v>46215</v>
      </c>
      <c r="D686" s="176" t="s">
        <v>5226</v>
      </c>
      <c r="E686" s="176" t="s">
        <v>5227</v>
      </c>
      <c r="F686" s="176" t="s">
        <v>87</v>
      </c>
      <c r="G686" s="176" t="s">
        <v>2486</v>
      </c>
      <c r="H686" s="176">
        <v>40</v>
      </c>
      <c r="I686" s="176">
        <v>39.700000000000003</v>
      </c>
      <c r="J686" s="176">
        <v>39.700000000000003</v>
      </c>
      <c r="K686" s="176">
        <v>5</v>
      </c>
      <c r="L686" s="176">
        <v>0</v>
      </c>
      <c r="M686" s="176" t="s">
        <v>148</v>
      </c>
      <c r="N686" s="176" t="s">
        <v>149</v>
      </c>
      <c r="O686" s="176" t="s">
        <v>150</v>
      </c>
      <c r="P686" s="176" t="s">
        <v>151</v>
      </c>
      <c r="Q686" s="176"/>
      <c r="R686" s="176" t="s">
        <v>5227</v>
      </c>
      <c r="S686" s="176"/>
      <c r="T686" s="176" t="s">
        <v>2989</v>
      </c>
      <c r="U686" s="176" t="s">
        <v>152</v>
      </c>
      <c r="V686" s="176" t="s">
        <v>23</v>
      </c>
    </row>
    <row r="687" spans="2:22" ht="12" customHeight="1">
      <c r="B687" s="211">
        <v>46215</v>
      </c>
      <c r="C687" s="211">
        <v>46215</v>
      </c>
      <c r="D687" s="176" t="s">
        <v>5228</v>
      </c>
      <c r="E687" s="176" t="s">
        <v>5229</v>
      </c>
      <c r="F687" s="176" t="s">
        <v>87</v>
      </c>
      <c r="G687" s="176" t="s">
        <v>2486</v>
      </c>
      <c r="H687" s="176">
        <v>40</v>
      </c>
      <c r="I687" s="176">
        <v>39.200000000000003</v>
      </c>
      <c r="J687" s="176">
        <v>39.200000000000003</v>
      </c>
      <c r="K687" s="176">
        <v>5</v>
      </c>
      <c r="L687" s="176">
        <v>0</v>
      </c>
      <c r="M687" s="176" t="s">
        <v>148</v>
      </c>
      <c r="N687" s="176" t="s">
        <v>149</v>
      </c>
      <c r="O687" s="176" t="s">
        <v>150</v>
      </c>
      <c r="P687" s="176" t="s">
        <v>151</v>
      </c>
      <c r="Q687" s="176"/>
      <c r="R687" s="176" t="s">
        <v>5229</v>
      </c>
      <c r="S687" s="176"/>
      <c r="T687" s="176" t="s">
        <v>2989</v>
      </c>
      <c r="U687" s="176" t="s">
        <v>152</v>
      </c>
      <c r="V687" s="176" t="s">
        <v>23</v>
      </c>
    </row>
    <row r="688" spans="2:22" ht="12" customHeight="1">
      <c r="B688" s="211">
        <v>46215</v>
      </c>
      <c r="C688" s="211">
        <v>46215</v>
      </c>
      <c r="D688" s="176" t="s">
        <v>5230</v>
      </c>
      <c r="E688" s="176" t="s">
        <v>5231</v>
      </c>
      <c r="F688" s="176" t="s">
        <v>87</v>
      </c>
      <c r="G688" s="176" t="s">
        <v>2486</v>
      </c>
      <c r="H688" s="176">
        <v>40</v>
      </c>
      <c r="I688" s="176">
        <v>38.200000000000003</v>
      </c>
      <c r="J688" s="176">
        <v>38.200000000000003</v>
      </c>
      <c r="K688" s="176">
        <v>5</v>
      </c>
      <c r="L688" s="176">
        <v>0</v>
      </c>
      <c r="M688" s="176" t="s">
        <v>148</v>
      </c>
      <c r="N688" s="176" t="s">
        <v>149</v>
      </c>
      <c r="O688" s="176" t="s">
        <v>150</v>
      </c>
      <c r="P688" s="176" t="s">
        <v>151</v>
      </c>
      <c r="Q688" s="176"/>
      <c r="R688" s="176" t="s">
        <v>5231</v>
      </c>
      <c r="S688" s="176"/>
      <c r="T688" s="176" t="s">
        <v>2989</v>
      </c>
      <c r="U688" s="176" t="s">
        <v>152</v>
      </c>
      <c r="V688" s="176" t="s">
        <v>23</v>
      </c>
    </row>
    <row r="689" spans="2:22" ht="12" customHeight="1">
      <c r="B689" s="211">
        <v>46215</v>
      </c>
      <c r="C689" s="211">
        <v>46215</v>
      </c>
      <c r="D689" s="176" t="s">
        <v>5232</v>
      </c>
      <c r="E689" s="176" t="s">
        <v>5233</v>
      </c>
      <c r="F689" s="176" t="s">
        <v>87</v>
      </c>
      <c r="G689" s="176" t="s">
        <v>2486</v>
      </c>
      <c r="H689" s="176">
        <v>40</v>
      </c>
      <c r="I689" s="176">
        <v>41.3</v>
      </c>
      <c r="J689" s="176">
        <v>41.3</v>
      </c>
      <c r="K689" s="176">
        <v>5</v>
      </c>
      <c r="L689" s="176">
        <v>0</v>
      </c>
      <c r="M689" s="176" t="s">
        <v>148</v>
      </c>
      <c r="N689" s="176" t="s">
        <v>149</v>
      </c>
      <c r="O689" s="176" t="s">
        <v>150</v>
      </c>
      <c r="P689" s="176" t="s">
        <v>151</v>
      </c>
      <c r="Q689" s="176"/>
      <c r="R689" s="176" t="s">
        <v>5233</v>
      </c>
      <c r="S689" s="176"/>
      <c r="T689" s="176" t="s">
        <v>2989</v>
      </c>
      <c r="U689" s="176" t="s">
        <v>152</v>
      </c>
      <c r="V689" s="176" t="s">
        <v>23</v>
      </c>
    </row>
    <row r="690" spans="2:22" ht="12" customHeight="1">
      <c r="B690" s="211">
        <v>46215</v>
      </c>
      <c r="C690" s="211">
        <v>46215</v>
      </c>
      <c r="D690" s="176" t="s">
        <v>5234</v>
      </c>
      <c r="E690" s="176" t="s">
        <v>5235</v>
      </c>
      <c r="F690" s="176" t="s">
        <v>87</v>
      </c>
      <c r="G690" s="176" t="s">
        <v>2552</v>
      </c>
      <c r="H690" s="176">
        <v>40</v>
      </c>
      <c r="I690" s="176">
        <v>41.2</v>
      </c>
      <c r="J690" s="176">
        <v>41.2</v>
      </c>
      <c r="K690" s="176">
        <v>5</v>
      </c>
      <c r="L690" s="176">
        <v>0</v>
      </c>
      <c r="M690" s="176" t="s">
        <v>148</v>
      </c>
      <c r="N690" s="176" t="s">
        <v>149</v>
      </c>
      <c r="O690" s="176" t="s">
        <v>150</v>
      </c>
      <c r="P690" s="176" t="s">
        <v>151</v>
      </c>
      <c r="Q690" s="176"/>
      <c r="R690" s="176" t="s">
        <v>5235</v>
      </c>
      <c r="S690" s="176"/>
      <c r="T690" s="176" t="s">
        <v>2989</v>
      </c>
      <c r="U690" s="176" t="s">
        <v>152</v>
      </c>
      <c r="V690" s="176" t="s">
        <v>23</v>
      </c>
    </row>
    <row r="691" spans="2:22" ht="12" customHeight="1">
      <c r="B691" s="211">
        <v>46215</v>
      </c>
      <c r="C691" s="211">
        <v>46215</v>
      </c>
      <c r="D691" s="176" t="s">
        <v>5236</v>
      </c>
      <c r="E691" s="176" t="s">
        <v>5237</v>
      </c>
      <c r="F691" s="176" t="s">
        <v>87</v>
      </c>
      <c r="G691" s="176" t="s">
        <v>2486</v>
      </c>
      <c r="H691" s="176">
        <v>40</v>
      </c>
      <c r="I691" s="176">
        <v>33.1</v>
      </c>
      <c r="J691" s="176">
        <v>33.1</v>
      </c>
      <c r="K691" s="176">
        <v>5</v>
      </c>
      <c r="L691" s="176">
        <v>0</v>
      </c>
      <c r="M691" s="176" t="s">
        <v>148</v>
      </c>
      <c r="N691" s="176" t="s">
        <v>149</v>
      </c>
      <c r="O691" s="176" t="s">
        <v>150</v>
      </c>
      <c r="P691" s="176" t="s">
        <v>151</v>
      </c>
      <c r="Q691" s="176"/>
      <c r="R691" s="176" t="s">
        <v>5237</v>
      </c>
      <c r="S691" s="176"/>
      <c r="T691" s="176" t="s">
        <v>2989</v>
      </c>
      <c r="U691" s="176" t="s">
        <v>152</v>
      </c>
      <c r="V691" s="176" t="s">
        <v>23</v>
      </c>
    </row>
    <row r="692" spans="2:22" ht="12" customHeight="1">
      <c r="B692" s="211">
        <v>46215</v>
      </c>
      <c r="C692" s="211">
        <v>46215</v>
      </c>
      <c r="D692" s="176" t="s">
        <v>5238</v>
      </c>
      <c r="E692" s="176" t="s">
        <v>5239</v>
      </c>
      <c r="F692" s="176" t="s">
        <v>87</v>
      </c>
      <c r="G692" s="176" t="s">
        <v>2633</v>
      </c>
      <c r="H692" s="176">
        <v>40</v>
      </c>
      <c r="I692" s="176">
        <v>40.4</v>
      </c>
      <c r="J692" s="176">
        <v>40.4</v>
      </c>
      <c r="K692" s="176">
        <v>5</v>
      </c>
      <c r="L692" s="176">
        <v>0</v>
      </c>
      <c r="M692" s="176" t="s">
        <v>148</v>
      </c>
      <c r="N692" s="176" t="s">
        <v>149</v>
      </c>
      <c r="O692" s="176" t="s">
        <v>150</v>
      </c>
      <c r="P692" s="176" t="s">
        <v>151</v>
      </c>
      <c r="Q692" s="176"/>
      <c r="R692" s="176" t="s">
        <v>5239</v>
      </c>
      <c r="S692" s="176"/>
      <c r="T692" s="176" t="s">
        <v>2989</v>
      </c>
      <c r="U692" s="176" t="s">
        <v>152</v>
      </c>
      <c r="V692" s="176" t="s">
        <v>23</v>
      </c>
    </row>
    <row r="693" spans="2:22" ht="12" customHeight="1">
      <c r="B693" s="211">
        <v>46215</v>
      </c>
      <c r="C693" s="211">
        <v>46215</v>
      </c>
      <c r="D693" s="176" t="s">
        <v>5240</v>
      </c>
      <c r="E693" s="176" t="s">
        <v>5241</v>
      </c>
      <c r="F693" s="176" t="s">
        <v>87</v>
      </c>
      <c r="G693" s="176" t="s">
        <v>2486</v>
      </c>
      <c r="H693" s="176">
        <v>40</v>
      </c>
      <c r="I693" s="176">
        <v>42.3</v>
      </c>
      <c r="J693" s="176">
        <v>42.3</v>
      </c>
      <c r="K693" s="176">
        <v>5</v>
      </c>
      <c r="L693" s="176">
        <v>0</v>
      </c>
      <c r="M693" s="176" t="s">
        <v>148</v>
      </c>
      <c r="N693" s="176" t="s">
        <v>149</v>
      </c>
      <c r="O693" s="176" t="s">
        <v>150</v>
      </c>
      <c r="P693" s="176" t="s">
        <v>151</v>
      </c>
      <c r="Q693" s="176"/>
      <c r="R693" s="176" t="s">
        <v>5241</v>
      </c>
      <c r="S693" s="176"/>
      <c r="T693" s="176" t="s">
        <v>2989</v>
      </c>
      <c r="U693" s="176" t="s">
        <v>152</v>
      </c>
      <c r="V693" s="176" t="s">
        <v>23</v>
      </c>
    </row>
    <row r="694" spans="2:22" ht="12" customHeight="1">
      <c r="B694" s="211">
        <v>46215</v>
      </c>
      <c r="C694" s="211">
        <v>46215</v>
      </c>
      <c r="D694" s="176" t="s">
        <v>5242</v>
      </c>
      <c r="E694" s="176" t="s">
        <v>5243</v>
      </c>
      <c r="F694" s="176" t="s">
        <v>87</v>
      </c>
      <c r="G694" s="176" t="s">
        <v>2552</v>
      </c>
      <c r="H694" s="176">
        <v>40</v>
      </c>
      <c r="I694" s="176">
        <v>34.200000000000003</v>
      </c>
      <c r="J694" s="176">
        <v>34.200000000000003</v>
      </c>
      <c r="K694" s="176">
        <v>5</v>
      </c>
      <c r="L694" s="176">
        <v>0</v>
      </c>
      <c r="M694" s="176" t="s">
        <v>148</v>
      </c>
      <c r="N694" s="176" t="s">
        <v>149</v>
      </c>
      <c r="O694" s="176" t="s">
        <v>150</v>
      </c>
      <c r="P694" s="176" t="s">
        <v>151</v>
      </c>
      <c r="Q694" s="176"/>
      <c r="R694" s="176" t="s">
        <v>5243</v>
      </c>
      <c r="S694" s="176"/>
      <c r="T694" s="176" t="s">
        <v>2989</v>
      </c>
      <c r="U694" s="176" t="s">
        <v>152</v>
      </c>
      <c r="V694" s="176" t="s">
        <v>23</v>
      </c>
    </row>
    <row r="695" spans="2:22" ht="12" customHeight="1">
      <c r="B695" s="211">
        <v>46215</v>
      </c>
      <c r="C695" s="211">
        <v>46215</v>
      </c>
      <c r="D695" s="176" t="s">
        <v>5244</v>
      </c>
      <c r="E695" s="176" t="s">
        <v>5245</v>
      </c>
      <c r="F695" s="176" t="s">
        <v>87</v>
      </c>
      <c r="G695" s="176" t="s">
        <v>2552</v>
      </c>
      <c r="H695" s="176">
        <v>40</v>
      </c>
      <c r="I695" s="176">
        <v>33.799999999999997</v>
      </c>
      <c r="J695" s="176">
        <v>33.799999999999997</v>
      </c>
      <c r="K695" s="176">
        <v>5</v>
      </c>
      <c r="L695" s="176">
        <v>0</v>
      </c>
      <c r="M695" s="176" t="s">
        <v>148</v>
      </c>
      <c r="N695" s="176" t="s">
        <v>149</v>
      </c>
      <c r="O695" s="176" t="s">
        <v>150</v>
      </c>
      <c r="P695" s="176" t="s">
        <v>151</v>
      </c>
      <c r="Q695" s="176"/>
      <c r="R695" s="176" t="s">
        <v>5245</v>
      </c>
      <c r="S695" s="176"/>
      <c r="T695" s="176" t="s">
        <v>2989</v>
      </c>
      <c r="U695" s="176" t="s">
        <v>152</v>
      </c>
      <c r="V695" s="176" t="s">
        <v>23</v>
      </c>
    </row>
    <row r="696" spans="2:22" ht="12" customHeight="1">
      <c r="B696" s="211">
        <v>46215</v>
      </c>
      <c r="C696" s="211">
        <v>46215</v>
      </c>
      <c r="D696" s="176" t="s">
        <v>5246</v>
      </c>
      <c r="E696" s="176" t="s">
        <v>5247</v>
      </c>
      <c r="F696" s="176" t="s">
        <v>87</v>
      </c>
      <c r="G696" s="176" t="s">
        <v>2552</v>
      </c>
      <c r="H696" s="176">
        <v>40</v>
      </c>
      <c r="I696" s="176">
        <v>46.5</v>
      </c>
      <c r="J696" s="176">
        <v>46.5</v>
      </c>
      <c r="K696" s="176">
        <v>5</v>
      </c>
      <c r="L696" s="176">
        <v>0</v>
      </c>
      <c r="M696" s="176" t="s">
        <v>148</v>
      </c>
      <c r="N696" s="176" t="s">
        <v>149</v>
      </c>
      <c r="O696" s="176" t="s">
        <v>150</v>
      </c>
      <c r="P696" s="176" t="s">
        <v>151</v>
      </c>
      <c r="Q696" s="176"/>
      <c r="R696" s="176" t="s">
        <v>5247</v>
      </c>
      <c r="S696" s="176"/>
      <c r="T696" s="176" t="s">
        <v>2989</v>
      </c>
      <c r="U696" s="176" t="s">
        <v>152</v>
      </c>
      <c r="V696" s="176" t="s">
        <v>23</v>
      </c>
    </row>
    <row r="697" spans="2:22" ht="12" customHeight="1">
      <c r="B697" s="211">
        <v>46215</v>
      </c>
      <c r="C697" s="211">
        <v>46215</v>
      </c>
      <c r="D697" s="176" t="s">
        <v>5248</v>
      </c>
      <c r="E697" s="176" t="s">
        <v>5249</v>
      </c>
      <c r="F697" s="176" t="s">
        <v>87</v>
      </c>
      <c r="G697" s="176" t="s">
        <v>2552</v>
      </c>
      <c r="H697" s="176">
        <v>40</v>
      </c>
      <c r="I697" s="176">
        <v>41.5</v>
      </c>
      <c r="J697" s="176">
        <v>41.5</v>
      </c>
      <c r="K697" s="176">
        <v>5</v>
      </c>
      <c r="L697" s="176">
        <v>0</v>
      </c>
      <c r="M697" s="176" t="s">
        <v>148</v>
      </c>
      <c r="N697" s="176" t="s">
        <v>149</v>
      </c>
      <c r="O697" s="176" t="s">
        <v>150</v>
      </c>
      <c r="P697" s="176" t="s">
        <v>151</v>
      </c>
      <c r="Q697" s="176"/>
      <c r="R697" s="176" t="s">
        <v>5249</v>
      </c>
      <c r="S697" s="176"/>
      <c r="T697" s="176" t="s">
        <v>2989</v>
      </c>
      <c r="U697" s="176" t="s">
        <v>152</v>
      </c>
      <c r="V697" s="176" t="s">
        <v>23</v>
      </c>
    </row>
    <row r="698" spans="2:22" ht="12" customHeight="1">
      <c r="B698" s="211">
        <v>46215</v>
      </c>
      <c r="C698" s="211">
        <v>46215</v>
      </c>
      <c r="D698" s="176" t="s">
        <v>5250</v>
      </c>
      <c r="E698" s="176" t="s">
        <v>5251</v>
      </c>
      <c r="F698" s="176" t="s">
        <v>87</v>
      </c>
      <c r="G698" s="176" t="s">
        <v>2486</v>
      </c>
      <c r="H698" s="176">
        <v>40</v>
      </c>
      <c r="I698" s="176">
        <v>32.799999999999997</v>
      </c>
      <c r="J698" s="176">
        <v>32.799999999999997</v>
      </c>
      <c r="K698" s="176">
        <v>5</v>
      </c>
      <c r="L698" s="176">
        <v>0</v>
      </c>
      <c r="M698" s="176" t="s">
        <v>148</v>
      </c>
      <c r="N698" s="176" t="s">
        <v>149</v>
      </c>
      <c r="O698" s="176" t="s">
        <v>150</v>
      </c>
      <c r="P698" s="176" t="s">
        <v>151</v>
      </c>
      <c r="Q698" s="176"/>
      <c r="R698" s="176" t="s">
        <v>5251</v>
      </c>
      <c r="S698" s="176"/>
      <c r="T698" s="176" t="s">
        <v>2989</v>
      </c>
      <c r="U698" s="176" t="s">
        <v>152</v>
      </c>
      <c r="V698" s="176" t="s">
        <v>23</v>
      </c>
    </row>
    <row r="699" spans="2:22" ht="12" customHeight="1">
      <c r="B699" s="211">
        <v>46215</v>
      </c>
      <c r="C699" s="211">
        <v>46215</v>
      </c>
      <c r="D699" s="176" t="s">
        <v>5252</v>
      </c>
      <c r="E699" s="176" t="s">
        <v>5253</v>
      </c>
      <c r="F699" s="176" t="s">
        <v>87</v>
      </c>
      <c r="G699" s="176" t="s">
        <v>2486</v>
      </c>
      <c r="H699" s="176">
        <v>40</v>
      </c>
      <c r="I699" s="176">
        <v>19.8</v>
      </c>
      <c r="J699" s="176">
        <v>19.8</v>
      </c>
      <c r="K699" s="176">
        <v>5</v>
      </c>
      <c r="L699" s="176">
        <v>0</v>
      </c>
      <c r="M699" s="176" t="s">
        <v>148</v>
      </c>
      <c r="N699" s="176" t="s">
        <v>149</v>
      </c>
      <c r="O699" s="176" t="s">
        <v>150</v>
      </c>
      <c r="P699" s="176" t="s">
        <v>151</v>
      </c>
      <c r="Q699" s="176"/>
      <c r="R699" s="176" t="s">
        <v>5253</v>
      </c>
      <c r="S699" s="176"/>
      <c r="T699" s="176" t="s">
        <v>2989</v>
      </c>
      <c r="U699" s="176" t="s">
        <v>152</v>
      </c>
      <c r="V699" s="176" t="s">
        <v>23</v>
      </c>
    </row>
    <row r="700" spans="2:22" ht="12" customHeight="1">
      <c r="B700" s="211">
        <v>46215</v>
      </c>
      <c r="C700" s="211">
        <v>46215</v>
      </c>
      <c r="D700" s="176" t="s">
        <v>5254</v>
      </c>
      <c r="E700" s="176" t="s">
        <v>5255</v>
      </c>
      <c r="F700" s="176" t="s">
        <v>87</v>
      </c>
      <c r="G700" s="176" t="s">
        <v>2486</v>
      </c>
      <c r="H700" s="176">
        <v>40</v>
      </c>
      <c r="I700" s="176">
        <v>37.4</v>
      </c>
      <c r="J700" s="176">
        <v>37.4</v>
      </c>
      <c r="K700" s="176">
        <v>5</v>
      </c>
      <c r="L700" s="176">
        <v>0</v>
      </c>
      <c r="M700" s="176" t="s">
        <v>148</v>
      </c>
      <c r="N700" s="176" t="s">
        <v>149</v>
      </c>
      <c r="O700" s="176" t="s">
        <v>150</v>
      </c>
      <c r="P700" s="176" t="s">
        <v>151</v>
      </c>
      <c r="Q700" s="176"/>
      <c r="R700" s="176" t="s">
        <v>5255</v>
      </c>
      <c r="S700" s="176"/>
      <c r="T700" s="176" t="s">
        <v>2989</v>
      </c>
      <c r="U700" s="176" t="s">
        <v>152</v>
      </c>
      <c r="V700" s="176" t="s">
        <v>23</v>
      </c>
    </row>
    <row r="701" spans="2:22" ht="12" customHeight="1">
      <c r="B701" s="211">
        <v>46215</v>
      </c>
      <c r="C701" s="211">
        <v>46215</v>
      </c>
      <c r="D701" s="176" t="s">
        <v>5256</v>
      </c>
      <c r="E701" s="176" t="s">
        <v>5257</v>
      </c>
      <c r="F701" s="176" t="s">
        <v>87</v>
      </c>
      <c r="G701" s="176" t="s">
        <v>2552</v>
      </c>
      <c r="H701" s="176">
        <v>40</v>
      </c>
      <c r="I701" s="176">
        <v>36.4</v>
      </c>
      <c r="J701" s="176">
        <v>36.4</v>
      </c>
      <c r="K701" s="176">
        <v>5</v>
      </c>
      <c r="L701" s="176">
        <v>0</v>
      </c>
      <c r="M701" s="176" t="s">
        <v>148</v>
      </c>
      <c r="N701" s="176" t="s">
        <v>149</v>
      </c>
      <c r="O701" s="176" t="s">
        <v>150</v>
      </c>
      <c r="P701" s="176" t="s">
        <v>151</v>
      </c>
      <c r="Q701" s="176"/>
      <c r="R701" s="176" t="s">
        <v>5257</v>
      </c>
      <c r="S701" s="176"/>
      <c r="T701" s="176" t="s">
        <v>2989</v>
      </c>
      <c r="U701" s="176" t="s">
        <v>152</v>
      </c>
      <c r="V701" s="176" t="s">
        <v>23</v>
      </c>
    </row>
    <row r="702" spans="2:22" ht="12" customHeight="1">
      <c r="B702" s="211">
        <v>46215</v>
      </c>
      <c r="C702" s="211">
        <v>46215</v>
      </c>
      <c r="D702" s="176" t="s">
        <v>5258</v>
      </c>
      <c r="E702" s="176" t="s">
        <v>5259</v>
      </c>
      <c r="F702" s="176" t="s">
        <v>87</v>
      </c>
      <c r="G702" s="176" t="s">
        <v>2552</v>
      </c>
      <c r="H702" s="176">
        <v>40</v>
      </c>
      <c r="I702" s="176">
        <v>29.7</v>
      </c>
      <c r="J702" s="176">
        <v>29.7</v>
      </c>
      <c r="K702" s="176">
        <v>5</v>
      </c>
      <c r="L702" s="176">
        <v>0</v>
      </c>
      <c r="M702" s="176" t="s">
        <v>148</v>
      </c>
      <c r="N702" s="176" t="s">
        <v>149</v>
      </c>
      <c r="O702" s="176" t="s">
        <v>150</v>
      </c>
      <c r="P702" s="176" t="s">
        <v>151</v>
      </c>
      <c r="Q702" s="176"/>
      <c r="R702" s="176" t="s">
        <v>5259</v>
      </c>
      <c r="S702" s="176"/>
      <c r="T702" s="176" t="s">
        <v>2989</v>
      </c>
      <c r="U702" s="176" t="s">
        <v>152</v>
      </c>
      <c r="V702" s="176" t="s">
        <v>23</v>
      </c>
    </row>
    <row r="703" spans="2:22" ht="12" customHeight="1">
      <c r="B703" s="211">
        <v>46215</v>
      </c>
      <c r="C703" s="211">
        <v>46215</v>
      </c>
      <c r="D703" s="176" t="s">
        <v>5260</v>
      </c>
      <c r="E703" s="176" t="s">
        <v>5261</v>
      </c>
      <c r="F703" s="176" t="s">
        <v>87</v>
      </c>
      <c r="G703" s="176" t="s">
        <v>2552</v>
      </c>
      <c r="H703" s="176">
        <v>40</v>
      </c>
      <c r="I703" s="176">
        <v>29.7</v>
      </c>
      <c r="J703" s="176">
        <v>29.7</v>
      </c>
      <c r="K703" s="176">
        <v>5</v>
      </c>
      <c r="L703" s="176">
        <v>0</v>
      </c>
      <c r="M703" s="176" t="s">
        <v>148</v>
      </c>
      <c r="N703" s="176" t="s">
        <v>149</v>
      </c>
      <c r="O703" s="176" t="s">
        <v>150</v>
      </c>
      <c r="P703" s="176" t="s">
        <v>151</v>
      </c>
      <c r="Q703" s="176"/>
      <c r="R703" s="176" t="s">
        <v>5261</v>
      </c>
      <c r="S703" s="176"/>
      <c r="T703" s="176" t="s">
        <v>2989</v>
      </c>
      <c r="U703" s="176" t="s">
        <v>152</v>
      </c>
      <c r="V703" s="176" t="s">
        <v>23</v>
      </c>
    </row>
    <row r="704" spans="2:22" ht="12" customHeight="1">
      <c r="B704" s="211">
        <v>46215</v>
      </c>
      <c r="C704" s="211">
        <v>46215</v>
      </c>
      <c r="D704" s="176" t="s">
        <v>5262</v>
      </c>
      <c r="E704" s="176" t="s">
        <v>5263</v>
      </c>
      <c r="F704" s="176" t="s">
        <v>87</v>
      </c>
      <c r="G704" s="176" t="s">
        <v>2486</v>
      </c>
      <c r="H704" s="176">
        <v>40</v>
      </c>
      <c r="I704" s="176">
        <v>40.1</v>
      </c>
      <c r="J704" s="176">
        <v>40.1</v>
      </c>
      <c r="K704" s="176">
        <v>5</v>
      </c>
      <c r="L704" s="176">
        <v>0</v>
      </c>
      <c r="M704" s="176" t="s">
        <v>148</v>
      </c>
      <c r="N704" s="176" t="s">
        <v>149</v>
      </c>
      <c r="O704" s="176" t="s">
        <v>150</v>
      </c>
      <c r="P704" s="176" t="s">
        <v>151</v>
      </c>
      <c r="Q704" s="176"/>
      <c r="R704" s="176" t="s">
        <v>5263</v>
      </c>
      <c r="S704" s="176"/>
      <c r="T704" s="176" t="s">
        <v>2989</v>
      </c>
      <c r="U704" s="176" t="s">
        <v>152</v>
      </c>
      <c r="V704" s="176" t="s">
        <v>23</v>
      </c>
    </row>
    <row r="705" spans="2:22" ht="12" customHeight="1">
      <c r="B705" s="211">
        <v>46215</v>
      </c>
      <c r="C705" s="211">
        <v>46215</v>
      </c>
      <c r="D705" s="176" t="s">
        <v>5264</v>
      </c>
      <c r="E705" s="176" t="s">
        <v>5265</v>
      </c>
      <c r="F705" s="176" t="s">
        <v>87</v>
      </c>
      <c r="G705" s="176" t="s">
        <v>2486</v>
      </c>
      <c r="H705" s="176">
        <v>40</v>
      </c>
      <c r="I705" s="176">
        <v>34.200000000000003</v>
      </c>
      <c r="J705" s="176">
        <v>34.200000000000003</v>
      </c>
      <c r="K705" s="176">
        <v>5</v>
      </c>
      <c r="L705" s="176">
        <v>0</v>
      </c>
      <c r="M705" s="176" t="s">
        <v>148</v>
      </c>
      <c r="N705" s="176" t="s">
        <v>149</v>
      </c>
      <c r="O705" s="176" t="s">
        <v>150</v>
      </c>
      <c r="P705" s="176" t="s">
        <v>151</v>
      </c>
      <c r="Q705" s="176"/>
      <c r="R705" s="176" t="s">
        <v>5265</v>
      </c>
      <c r="S705" s="176"/>
      <c r="T705" s="176" t="s">
        <v>2989</v>
      </c>
      <c r="U705" s="176" t="s">
        <v>152</v>
      </c>
      <c r="V705" s="176" t="s">
        <v>23</v>
      </c>
    </row>
    <row r="706" spans="2:22" ht="12" customHeight="1">
      <c r="B706" s="211">
        <v>46215</v>
      </c>
      <c r="C706" s="211">
        <v>46215</v>
      </c>
      <c r="D706" s="176" t="s">
        <v>5266</v>
      </c>
      <c r="E706" s="176" t="s">
        <v>5267</v>
      </c>
      <c r="F706" s="176" t="s">
        <v>87</v>
      </c>
      <c r="G706" s="176" t="s">
        <v>2552</v>
      </c>
      <c r="H706" s="176">
        <v>40</v>
      </c>
      <c r="I706" s="176">
        <v>42.8</v>
      </c>
      <c r="J706" s="176">
        <v>42.8</v>
      </c>
      <c r="K706" s="176">
        <v>5</v>
      </c>
      <c r="L706" s="176">
        <v>0</v>
      </c>
      <c r="M706" s="176" t="s">
        <v>148</v>
      </c>
      <c r="N706" s="176" t="s">
        <v>149</v>
      </c>
      <c r="O706" s="176" t="s">
        <v>150</v>
      </c>
      <c r="P706" s="176" t="s">
        <v>151</v>
      </c>
      <c r="Q706" s="176"/>
      <c r="R706" s="176" t="s">
        <v>5267</v>
      </c>
      <c r="S706" s="176"/>
      <c r="T706" s="176" t="s">
        <v>2989</v>
      </c>
      <c r="U706" s="176" t="s">
        <v>152</v>
      </c>
      <c r="V706" s="176" t="s">
        <v>23</v>
      </c>
    </row>
    <row r="707" spans="2:22" ht="12" customHeight="1">
      <c r="B707" s="211">
        <v>46215</v>
      </c>
      <c r="C707" s="211">
        <v>46215</v>
      </c>
      <c r="D707" s="176" t="s">
        <v>5268</v>
      </c>
      <c r="E707" s="176" t="s">
        <v>5269</v>
      </c>
      <c r="F707" s="176" t="s">
        <v>87</v>
      </c>
      <c r="G707" s="176" t="s">
        <v>2486</v>
      </c>
      <c r="H707" s="176">
        <v>40</v>
      </c>
      <c r="I707" s="176">
        <v>34</v>
      </c>
      <c r="J707" s="176">
        <v>34</v>
      </c>
      <c r="K707" s="176">
        <v>5</v>
      </c>
      <c r="L707" s="176">
        <v>0</v>
      </c>
      <c r="M707" s="176" t="s">
        <v>148</v>
      </c>
      <c r="N707" s="176" t="s">
        <v>149</v>
      </c>
      <c r="O707" s="176" t="s">
        <v>150</v>
      </c>
      <c r="P707" s="176" t="s">
        <v>151</v>
      </c>
      <c r="Q707" s="176"/>
      <c r="R707" s="176" t="s">
        <v>5269</v>
      </c>
      <c r="S707" s="176"/>
      <c r="T707" s="176" t="s">
        <v>2989</v>
      </c>
      <c r="U707" s="176" t="s">
        <v>152</v>
      </c>
      <c r="V707" s="176" t="s">
        <v>23</v>
      </c>
    </row>
    <row r="708" spans="2:22" ht="12" customHeight="1">
      <c r="B708" s="211">
        <v>46215</v>
      </c>
      <c r="C708" s="211">
        <v>46215</v>
      </c>
      <c r="D708" s="176" t="s">
        <v>5270</v>
      </c>
      <c r="E708" s="176" t="s">
        <v>5271</v>
      </c>
      <c r="F708" s="176" t="s">
        <v>87</v>
      </c>
      <c r="G708" s="176" t="s">
        <v>4929</v>
      </c>
      <c r="H708" s="176">
        <v>55</v>
      </c>
      <c r="I708" s="176">
        <v>20.2</v>
      </c>
      <c r="J708" s="176">
        <v>20.2</v>
      </c>
      <c r="K708" s="176">
        <v>5</v>
      </c>
      <c r="L708" s="176">
        <v>0</v>
      </c>
      <c r="M708" s="176" t="s">
        <v>148</v>
      </c>
      <c r="N708" s="176" t="s">
        <v>149</v>
      </c>
      <c r="O708" s="176" t="s">
        <v>150</v>
      </c>
      <c r="P708" s="176" t="s">
        <v>151</v>
      </c>
      <c r="Q708" s="176"/>
      <c r="R708" s="176" t="s">
        <v>5271</v>
      </c>
      <c r="S708" s="176"/>
      <c r="T708" s="176" t="s">
        <v>2989</v>
      </c>
      <c r="U708" s="176" t="s">
        <v>152</v>
      </c>
      <c r="V708" s="176" t="s">
        <v>23</v>
      </c>
    </row>
    <row r="709" spans="2:22" ht="12" customHeight="1">
      <c r="B709" s="211">
        <v>46215</v>
      </c>
      <c r="C709" s="211">
        <v>46215</v>
      </c>
      <c r="D709" s="176" t="s">
        <v>5272</v>
      </c>
      <c r="E709" s="176" t="s">
        <v>5273</v>
      </c>
      <c r="F709" s="176" t="s">
        <v>87</v>
      </c>
      <c r="G709" s="176" t="s">
        <v>2486</v>
      </c>
      <c r="H709" s="176">
        <v>40</v>
      </c>
      <c r="I709" s="176">
        <v>39.700000000000003</v>
      </c>
      <c r="J709" s="176">
        <v>39.700000000000003</v>
      </c>
      <c r="K709" s="176">
        <v>5</v>
      </c>
      <c r="L709" s="176">
        <v>0</v>
      </c>
      <c r="M709" s="176" t="s">
        <v>148</v>
      </c>
      <c r="N709" s="176" t="s">
        <v>149</v>
      </c>
      <c r="O709" s="176" t="s">
        <v>150</v>
      </c>
      <c r="P709" s="176" t="s">
        <v>151</v>
      </c>
      <c r="Q709" s="176"/>
      <c r="R709" s="176" t="s">
        <v>5273</v>
      </c>
      <c r="S709" s="176"/>
      <c r="T709" s="176" t="s">
        <v>2989</v>
      </c>
      <c r="U709" s="176" t="s">
        <v>152</v>
      </c>
      <c r="V709" s="176" t="s">
        <v>23</v>
      </c>
    </row>
    <row r="710" spans="2:22" ht="12" customHeight="1">
      <c r="B710" s="211">
        <v>46216</v>
      </c>
      <c r="C710" s="211">
        <v>46216</v>
      </c>
      <c r="D710" s="176" t="s">
        <v>5274</v>
      </c>
      <c r="E710" s="176" t="s">
        <v>5275</v>
      </c>
      <c r="F710" s="176" t="s">
        <v>87</v>
      </c>
      <c r="G710" s="176" t="s">
        <v>2633</v>
      </c>
      <c r="H710" s="176">
        <v>40</v>
      </c>
      <c r="I710" s="176">
        <v>16.5</v>
      </c>
      <c r="J710" s="176">
        <v>16.5</v>
      </c>
      <c r="K710" s="176">
        <v>5</v>
      </c>
      <c r="L710" s="176">
        <v>0</v>
      </c>
      <c r="M710" s="176" t="s">
        <v>148</v>
      </c>
      <c r="N710" s="176" t="s">
        <v>149</v>
      </c>
      <c r="O710" s="176" t="s">
        <v>150</v>
      </c>
      <c r="P710" s="176" t="s">
        <v>151</v>
      </c>
      <c r="Q710" s="176"/>
      <c r="R710" s="176" t="s">
        <v>5275</v>
      </c>
      <c r="S710" s="176"/>
      <c r="T710" s="176" t="s">
        <v>3006</v>
      </c>
      <c r="U710" s="176" t="s">
        <v>152</v>
      </c>
      <c r="V710" s="176" t="s">
        <v>23</v>
      </c>
    </row>
    <row r="711" spans="2:22" ht="12" customHeight="1">
      <c r="B711" s="211">
        <v>46216</v>
      </c>
      <c r="C711" s="211">
        <v>46216</v>
      </c>
      <c r="D711" s="176" t="s">
        <v>5276</v>
      </c>
      <c r="E711" s="176" t="s">
        <v>5277</v>
      </c>
      <c r="F711" s="176" t="s">
        <v>87</v>
      </c>
      <c r="G711" s="176" t="s">
        <v>3866</v>
      </c>
      <c r="H711" s="176">
        <v>40</v>
      </c>
      <c r="I711" s="176">
        <v>16.5</v>
      </c>
      <c r="J711" s="176">
        <v>16.5</v>
      </c>
      <c r="K711" s="176">
        <v>5</v>
      </c>
      <c r="L711" s="176">
        <v>0</v>
      </c>
      <c r="M711" s="176" t="s">
        <v>148</v>
      </c>
      <c r="N711" s="176" t="s">
        <v>149</v>
      </c>
      <c r="O711" s="176" t="s">
        <v>150</v>
      </c>
      <c r="P711" s="176" t="s">
        <v>151</v>
      </c>
      <c r="Q711" s="176"/>
      <c r="R711" s="176" t="s">
        <v>5277</v>
      </c>
      <c r="S711" s="176"/>
      <c r="T711" s="176" t="s">
        <v>3006</v>
      </c>
      <c r="U711" s="176" t="s">
        <v>152</v>
      </c>
      <c r="V711" s="176" t="s">
        <v>23</v>
      </c>
    </row>
    <row r="712" spans="2:22" ht="12" customHeight="1">
      <c r="B712" s="211">
        <v>46216</v>
      </c>
      <c r="C712" s="211">
        <v>46216</v>
      </c>
      <c r="D712" s="176" t="s">
        <v>5278</v>
      </c>
      <c r="E712" s="176" t="s">
        <v>5279</v>
      </c>
      <c r="F712" s="176" t="s">
        <v>87</v>
      </c>
      <c r="G712" s="176" t="s">
        <v>4929</v>
      </c>
      <c r="H712" s="176">
        <v>55</v>
      </c>
      <c r="I712" s="176">
        <v>20.9</v>
      </c>
      <c r="J712" s="176">
        <v>20.9</v>
      </c>
      <c r="K712" s="176">
        <v>5</v>
      </c>
      <c r="L712" s="176">
        <v>0</v>
      </c>
      <c r="M712" s="176" t="s">
        <v>148</v>
      </c>
      <c r="N712" s="176" t="s">
        <v>149</v>
      </c>
      <c r="O712" s="176" t="s">
        <v>150</v>
      </c>
      <c r="P712" s="176" t="s">
        <v>151</v>
      </c>
      <c r="Q712" s="176"/>
      <c r="R712" s="176" t="s">
        <v>5279</v>
      </c>
      <c r="S712" s="176"/>
      <c r="T712" s="176" t="s">
        <v>3006</v>
      </c>
      <c r="U712" s="176" t="s">
        <v>152</v>
      </c>
      <c r="V712" s="176" t="s">
        <v>23</v>
      </c>
    </row>
    <row r="713" spans="2:22" ht="12" customHeight="1">
      <c r="B713" s="211">
        <v>46216</v>
      </c>
      <c r="C713" s="211">
        <v>46216</v>
      </c>
      <c r="D713" s="176" t="s">
        <v>5280</v>
      </c>
      <c r="E713" s="176" t="s">
        <v>5281</v>
      </c>
      <c r="F713" s="176" t="s">
        <v>87</v>
      </c>
      <c r="G713" s="176" t="s">
        <v>2552</v>
      </c>
      <c r="H713" s="176">
        <v>40</v>
      </c>
      <c r="I713" s="176">
        <v>43.2</v>
      </c>
      <c r="J713" s="176">
        <v>43.2</v>
      </c>
      <c r="K713" s="176">
        <v>5</v>
      </c>
      <c r="L713" s="176">
        <v>0</v>
      </c>
      <c r="M713" s="176" t="s">
        <v>148</v>
      </c>
      <c r="N713" s="176" t="s">
        <v>149</v>
      </c>
      <c r="O713" s="176" t="s">
        <v>150</v>
      </c>
      <c r="P713" s="176" t="s">
        <v>151</v>
      </c>
      <c r="Q713" s="176"/>
      <c r="R713" s="176" t="s">
        <v>5281</v>
      </c>
      <c r="S713" s="176"/>
      <c r="T713" s="176" t="s">
        <v>3006</v>
      </c>
      <c r="U713" s="176" t="s">
        <v>152</v>
      </c>
      <c r="V713" s="176" t="s">
        <v>23</v>
      </c>
    </row>
    <row r="714" spans="2:22" ht="12" customHeight="1">
      <c r="B714" s="211">
        <v>46216</v>
      </c>
      <c r="C714" s="211">
        <v>46216</v>
      </c>
      <c r="D714" s="176" t="s">
        <v>5282</v>
      </c>
      <c r="E714" s="176" t="s">
        <v>5283</v>
      </c>
      <c r="F714" s="176" t="s">
        <v>87</v>
      </c>
      <c r="G714" s="176" t="s">
        <v>2552</v>
      </c>
      <c r="H714" s="176">
        <v>40</v>
      </c>
      <c r="I714" s="176">
        <v>41</v>
      </c>
      <c r="J714" s="176">
        <v>41</v>
      </c>
      <c r="K714" s="176">
        <v>5</v>
      </c>
      <c r="L714" s="176">
        <v>0</v>
      </c>
      <c r="M714" s="176" t="s">
        <v>148</v>
      </c>
      <c r="N714" s="176" t="s">
        <v>149</v>
      </c>
      <c r="O714" s="176" t="s">
        <v>150</v>
      </c>
      <c r="P714" s="176" t="s">
        <v>151</v>
      </c>
      <c r="Q714" s="176"/>
      <c r="R714" s="176" t="s">
        <v>5283</v>
      </c>
      <c r="S714" s="176"/>
      <c r="T714" s="176" t="s">
        <v>3006</v>
      </c>
      <c r="U714" s="176" t="s">
        <v>152</v>
      </c>
      <c r="V714" s="176" t="s">
        <v>23</v>
      </c>
    </row>
    <row r="715" spans="2:22" ht="12" customHeight="1">
      <c r="B715" s="211">
        <v>46216</v>
      </c>
      <c r="C715" s="211">
        <v>46216</v>
      </c>
      <c r="D715" s="176" t="s">
        <v>5284</v>
      </c>
      <c r="E715" s="176" t="s">
        <v>5285</v>
      </c>
      <c r="F715" s="176" t="s">
        <v>87</v>
      </c>
      <c r="G715" s="176" t="s">
        <v>2552</v>
      </c>
      <c r="H715" s="176">
        <v>40</v>
      </c>
      <c r="I715" s="176">
        <v>39.4</v>
      </c>
      <c r="J715" s="176">
        <v>39.4</v>
      </c>
      <c r="K715" s="176">
        <v>5</v>
      </c>
      <c r="L715" s="176">
        <v>0</v>
      </c>
      <c r="M715" s="176" t="s">
        <v>148</v>
      </c>
      <c r="N715" s="176" t="s">
        <v>149</v>
      </c>
      <c r="O715" s="176" t="s">
        <v>150</v>
      </c>
      <c r="P715" s="176" t="s">
        <v>151</v>
      </c>
      <c r="Q715" s="176"/>
      <c r="R715" s="176" t="s">
        <v>5285</v>
      </c>
      <c r="S715" s="176"/>
      <c r="T715" s="176" t="s">
        <v>3006</v>
      </c>
      <c r="U715" s="176" t="s">
        <v>152</v>
      </c>
      <c r="V715" s="176" t="s">
        <v>23</v>
      </c>
    </row>
    <row r="716" spans="2:22" ht="12" customHeight="1">
      <c r="B716" s="211">
        <v>46216</v>
      </c>
      <c r="C716" s="211">
        <v>46216</v>
      </c>
      <c r="D716" s="176" t="s">
        <v>5286</v>
      </c>
      <c r="E716" s="176" t="s">
        <v>5287</v>
      </c>
      <c r="F716" s="176" t="s">
        <v>87</v>
      </c>
      <c r="G716" s="176" t="s">
        <v>2486</v>
      </c>
      <c r="H716" s="176">
        <v>40</v>
      </c>
      <c r="I716" s="176">
        <v>27.2</v>
      </c>
      <c r="J716" s="176">
        <v>27.2</v>
      </c>
      <c r="K716" s="176">
        <v>5</v>
      </c>
      <c r="L716" s="176">
        <v>0</v>
      </c>
      <c r="M716" s="176" t="s">
        <v>148</v>
      </c>
      <c r="N716" s="176" t="s">
        <v>149</v>
      </c>
      <c r="O716" s="176" t="s">
        <v>150</v>
      </c>
      <c r="P716" s="176" t="s">
        <v>151</v>
      </c>
      <c r="Q716" s="176"/>
      <c r="R716" s="176" t="s">
        <v>5287</v>
      </c>
      <c r="S716" s="176"/>
      <c r="T716" s="176" t="s">
        <v>3006</v>
      </c>
      <c r="U716" s="176" t="s">
        <v>152</v>
      </c>
      <c r="V716" s="176" t="s">
        <v>23</v>
      </c>
    </row>
    <row r="717" spans="2:22" ht="12" customHeight="1">
      <c r="B717" s="211">
        <v>46216</v>
      </c>
      <c r="C717" s="211">
        <v>46216</v>
      </c>
      <c r="D717" s="176" t="s">
        <v>5288</v>
      </c>
      <c r="E717" s="176" t="s">
        <v>5289</v>
      </c>
      <c r="F717" s="176" t="s">
        <v>87</v>
      </c>
      <c r="G717" s="176" t="s">
        <v>2001</v>
      </c>
      <c r="H717" s="176">
        <v>6</v>
      </c>
      <c r="I717" s="176">
        <v>19.399999999999999</v>
      </c>
      <c r="J717" s="176">
        <v>19.399999999999999</v>
      </c>
      <c r="K717" s="176">
        <v>1.5</v>
      </c>
      <c r="L717" s="176">
        <v>0</v>
      </c>
      <c r="M717" s="176" t="s">
        <v>148</v>
      </c>
      <c r="N717" s="176" t="s">
        <v>149</v>
      </c>
      <c r="O717" s="176" t="s">
        <v>150</v>
      </c>
      <c r="P717" s="176" t="s">
        <v>151</v>
      </c>
      <c r="Q717" s="176"/>
      <c r="R717" s="176" t="s">
        <v>5289</v>
      </c>
      <c r="S717" s="176"/>
      <c r="T717" s="176" t="s">
        <v>3006</v>
      </c>
      <c r="U717" s="176" t="s">
        <v>152</v>
      </c>
      <c r="V717" s="176" t="s">
        <v>23</v>
      </c>
    </row>
    <row r="718" spans="2:22" ht="12" customHeight="1">
      <c r="B718" s="211">
        <v>46216</v>
      </c>
      <c r="C718" s="211">
        <v>46216</v>
      </c>
      <c r="D718" s="176" t="s">
        <v>5290</v>
      </c>
      <c r="E718" s="176" t="s">
        <v>5291</v>
      </c>
      <c r="F718" s="176" t="s">
        <v>87</v>
      </c>
      <c r="G718" s="176" t="s">
        <v>2552</v>
      </c>
      <c r="H718" s="176">
        <v>40</v>
      </c>
      <c r="I718" s="176">
        <v>35.799999999999997</v>
      </c>
      <c r="J718" s="176">
        <v>35.799999999999997</v>
      </c>
      <c r="K718" s="176">
        <v>5</v>
      </c>
      <c r="L718" s="176">
        <v>0</v>
      </c>
      <c r="M718" s="176" t="s">
        <v>148</v>
      </c>
      <c r="N718" s="176" t="s">
        <v>149</v>
      </c>
      <c r="O718" s="176" t="s">
        <v>150</v>
      </c>
      <c r="P718" s="176" t="s">
        <v>151</v>
      </c>
      <c r="Q718" s="176"/>
      <c r="R718" s="176" t="s">
        <v>5291</v>
      </c>
      <c r="S718" s="176"/>
      <c r="T718" s="176" t="s">
        <v>3006</v>
      </c>
      <c r="U718" s="176" t="s">
        <v>152</v>
      </c>
      <c r="V718" s="176" t="s">
        <v>23</v>
      </c>
    </row>
    <row r="719" spans="2:22" ht="12" customHeight="1">
      <c r="B719" s="211">
        <v>46216</v>
      </c>
      <c r="C719" s="211">
        <v>46216</v>
      </c>
      <c r="D719" s="176" t="s">
        <v>5292</v>
      </c>
      <c r="E719" s="176" t="s">
        <v>5293</v>
      </c>
      <c r="F719" s="176" t="s">
        <v>87</v>
      </c>
      <c r="G719" s="176" t="s">
        <v>3934</v>
      </c>
      <c r="H719" s="176">
        <v>25</v>
      </c>
      <c r="I719" s="176">
        <v>32.799999999999997</v>
      </c>
      <c r="J719" s="176">
        <v>32.799999999999997</v>
      </c>
      <c r="K719" s="176">
        <v>4</v>
      </c>
      <c r="L719" s="176">
        <v>0</v>
      </c>
      <c r="M719" s="176" t="s">
        <v>148</v>
      </c>
      <c r="N719" s="176" t="s">
        <v>149</v>
      </c>
      <c r="O719" s="176" t="s">
        <v>150</v>
      </c>
      <c r="P719" s="176" t="s">
        <v>151</v>
      </c>
      <c r="Q719" s="176"/>
      <c r="R719" s="176" t="s">
        <v>5293</v>
      </c>
      <c r="S719" s="176"/>
      <c r="T719" s="176" t="s">
        <v>3006</v>
      </c>
      <c r="U719" s="176" t="s">
        <v>152</v>
      </c>
      <c r="V719" s="176" t="s">
        <v>23</v>
      </c>
    </row>
    <row r="720" spans="2:22" ht="12" customHeight="1">
      <c r="B720" s="211">
        <v>46216</v>
      </c>
      <c r="C720" s="211">
        <v>46216</v>
      </c>
      <c r="D720" s="176" t="s">
        <v>5294</v>
      </c>
      <c r="E720" s="176" t="s">
        <v>5295</v>
      </c>
      <c r="F720" s="176" t="s">
        <v>87</v>
      </c>
      <c r="G720" s="176" t="s">
        <v>4929</v>
      </c>
      <c r="H720" s="176">
        <v>55</v>
      </c>
      <c r="I720" s="176">
        <v>28.8</v>
      </c>
      <c r="J720" s="176">
        <v>28.8</v>
      </c>
      <c r="K720" s="176">
        <v>5</v>
      </c>
      <c r="L720" s="176">
        <v>0</v>
      </c>
      <c r="M720" s="176" t="s">
        <v>148</v>
      </c>
      <c r="N720" s="176" t="s">
        <v>149</v>
      </c>
      <c r="O720" s="176" t="s">
        <v>150</v>
      </c>
      <c r="P720" s="176" t="s">
        <v>151</v>
      </c>
      <c r="Q720" s="176"/>
      <c r="R720" s="176" t="s">
        <v>5295</v>
      </c>
      <c r="S720" s="176"/>
      <c r="T720" s="176" t="s">
        <v>3006</v>
      </c>
      <c r="U720" s="176" t="s">
        <v>152</v>
      </c>
      <c r="V720" s="176" t="s">
        <v>23</v>
      </c>
    </row>
    <row r="721" spans="2:22" ht="12" customHeight="1">
      <c r="B721" s="211">
        <v>46216</v>
      </c>
      <c r="C721" s="211">
        <v>46216</v>
      </c>
      <c r="D721" s="176" t="s">
        <v>5296</v>
      </c>
      <c r="E721" s="176" t="s">
        <v>5297</v>
      </c>
      <c r="F721" s="176" t="s">
        <v>87</v>
      </c>
      <c r="G721" s="176" t="s">
        <v>2639</v>
      </c>
      <c r="H721" s="176">
        <v>25</v>
      </c>
      <c r="I721" s="176">
        <v>15.8</v>
      </c>
      <c r="J721" s="176">
        <v>15.8</v>
      </c>
      <c r="K721" s="176">
        <v>4</v>
      </c>
      <c r="L721" s="176">
        <v>0</v>
      </c>
      <c r="M721" s="176" t="s">
        <v>148</v>
      </c>
      <c r="N721" s="176" t="s">
        <v>149</v>
      </c>
      <c r="O721" s="176" t="s">
        <v>150</v>
      </c>
      <c r="P721" s="176" t="s">
        <v>151</v>
      </c>
      <c r="Q721" s="176"/>
      <c r="R721" s="176" t="s">
        <v>5297</v>
      </c>
      <c r="S721" s="176"/>
      <c r="T721" s="176" t="s">
        <v>3006</v>
      </c>
      <c r="U721" s="176" t="s">
        <v>152</v>
      </c>
      <c r="V721" s="176" t="s">
        <v>23</v>
      </c>
    </row>
    <row r="722" spans="2:22" ht="12" customHeight="1">
      <c r="B722" s="211">
        <v>46216</v>
      </c>
      <c r="C722" s="211">
        <v>46216</v>
      </c>
      <c r="D722" s="176" t="s">
        <v>5298</v>
      </c>
      <c r="E722" s="176" t="s">
        <v>5299</v>
      </c>
      <c r="F722" s="176" t="s">
        <v>87</v>
      </c>
      <c r="G722" s="176" t="s">
        <v>2552</v>
      </c>
      <c r="H722" s="176">
        <v>40</v>
      </c>
      <c r="I722" s="176">
        <v>39.5</v>
      </c>
      <c r="J722" s="176">
        <v>39.5</v>
      </c>
      <c r="K722" s="176">
        <v>5</v>
      </c>
      <c r="L722" s="176">
        <v>0</v>
      </c>
      <c r="M722" s="176" t="s">
        <v>148</v>
      </c>
      <c r="N722" s="176" t="s">
        <v>149</v>
      </c>
      <c r="O722" s="176" t="s">
        <v>150</v>
      </c>
      <c r="P722" s="176" t="s">
        <v>151</v>
      </c>
      <c r="Q722" s="176"/>
      <c r="R722" s="176" t="s">
        <v>5299</v>
      </c>
      <c r="S722" s="176"/>
      <c r="T722" s="176" t="s">
        <v>3006</v>
      </c>
      <c r="U722" s="176" t="s">
        <v>152</v>
      </c>
      <c r="V722" s="176" t="s">
        <v>23</v>
      </c>
    </row>
    <row r="723" spans="2:22" ht="12" customHeight="1">
      <c r="B723" s="211">
        <v>46216</v>
      </c>
      <c r="C723" s="211">
        <v>46216</v>
      </c>
      <c r="D723" s="176" t="s">
        <v>5300</v>
      </c>
      <c r="E723" s="176" t="s">
        <v>5301</v>
      </c>
      <c r="F723" s="176" t="s">
        <v>87</v>
      </c>
      <c r="G723" s="176" t="s">
        <v>2552</v>
      </c>
      <c r="H723" s="176">
        <v>40</v>
      </c>
      <c r="I723" s="176">
        <v>49.4</v>
      </c>
      <c r="J723" s="176">
        <v>49.4</v>
      </c>
      <c r="K723" s="176">
        <v>5</v>
      </c>
      <c r="L723" s="176">
        <v>0</v>
      </c>
      <c r="M723" s="176" t="s">
        <v>148</v>
      </c>
      <c r="N723" s="176" t="s">
        <v>149</v>
      </c>
      <c r="O723" s="176" t="s">
        <v>150</v>
      </c>
      <c r="P723" s="176" t="s">
        <v>151</v>
      </c>
      <c r="Q723" s="176"/>
      <c r="R723" s="176" t="s">
        <v>5301</v>
      </c>
      <c r="S723" s="176"/>
      <c r="T723" s="176" t="s">
        <v>3006</v>
      </c>
      <c r="U723" s="176" t="s">
        <v>152</v>
      </c>
      <c r="V723" s="176" t="s">
        <v>23</v>
      </c>
    </row>
    <row r="724" spans="2:22" ht="12" customHeight="1">
      <c r="B724" s="211">
        <v>46216</v>
      </c>
      <c r="C724" s="211">
        <v>46216</v>
      </c>
      <c r="D724" s="176" t="s">
        <v>5302</v>
      </c>
      <c r="E724" s="176" t="s">
        <v>5303</v>
      </c>
      <c r="F724" s="176" t="s">
        <v>87</v>
      </c>
      <c r="G724" s="176" t="s">
        <v>2486</v>
      </c>
      <c r="H724" s="176">
        <v>40</v>
      </c>
      <c r="I724" s="176">
        <v>36.299999999999997</v>
      </c>
      <c r="J724" s="176">
        <v>36.299999999999997</v>
      </c>
      <c r="K724" s="176">
        <v>5</v>
      </c>
      <c r="L724" s="176">
        <v>0</v>
      </c>
      <c r="M724" s="176" t="s">
        <v>148</v>
      </c>
      <c r="N724" s="176" t="s">
        <v>149</v>
      </c>
      <c r="O724" s="176" t="s">
        <v>150</v>
      </c>
      <c r="P724" s="176" t="s">
        <v>151</v>
      </c>
      <c r="Q724" s="176"/>
      <c r="R724" s="176" t="s">
        <v>5303</v>
      </c>
      <c r="S724" s="176"/>
      <c r="T724" s="176" t="s">
        <v>3006</v>
      </c>
      <c r="U724" s="176" t="s">
        <v>152</v>
      </c>
      <c r="V724" s="176" t="s">
        <v>23</v>
      </c>
    </row>
    <row r="725" spans="2:22" ht="12" customHeight="1">
      <c r="B725" s="211">
        <v>46216</v>
      </c>
      <c r="C725" s="211">
        <v>46216</v>
      </c>
      <c r="D725" s="176" t="s">
        <v>5304</v>
      </c>
      <c r="E725" s="176" t="s">
        <v>5305</v>
      </c>
      <c r="F725" s="176" t="s">
        <v>87</v>
      </c>
      <c r="G725" s="176" t="s">
        <v>2639</v>
      </c>
      <c r="H725" s="176">
        <v>25</v>
      </c>
      <c r="I725" s="176">
        <v>34.799999999999997</v>
      </c>
      <c r="J725" s="176">
        <v>34.799999999999997</v>
      </c>
      <c r="K725" s="176">
        <v>4</v>
      </c>
      <c r="L725" s="176">
        <v>0</v>
      </c>
      <c r="M725" s="176" t="s">
        <v>148</v>
      </c>
      <c r="N725" s="176" t="s">
        <v>149</v>
      </c>
      <c r="O725" s="176" t="s">
        <v>150</v>
      </c>
      <c r="P725" s="176" t="s">
        <v>151</v>
      </c>
      <c r="Q725" s="176"/>
      <c r="R725" s="176" t="s">
        <v>5305</v>
      </c>
      <c r="S725" s="176"/>
      <c r="T725" s="176" t="s">
        <v>3006</v>
      </c>
      <c r="U725" s="176" t="s">
        <v>152</v>
      </c>
      <c r="V725" s="176" t="s">
        <v>23</v>
      </c>
    </row>
    <row r="726" spans="2:22" ht="12" customHeight="1">
      <c r="B726" s="211">
        <v>46216</v>
      </c>
      <c r="C726" s="211">
        <v>46216</v>
      </c>
      <c r="D726" s="176" t="s">
        <v>5306</v>
      </c>
      <c r="E726" s="176" t="s">
        <v>5307</v>
      </c>
      <c r="F726" s="176" t="s">
        <v>87</v>
      </c>
      <c r="G726" s="176" t="s">
        <v>2552</v>
      </c>
      <c r="H726" s="176">
        <v>40</v>
      </c>
      <c r="I726" s="176">
        <v>44.1</v>
      </c>
      <c r="J726" s="176">
        <v>44.1</v>
      </c>
      <c r="K726" s="176">
        <v>5</v>
      </c>
      <c r="L726" s="176">
        <v>0</v>
      </c>
      <c r="M726" s="176" t="s">
        <v>148</v>
      </c>
      <c r="N726" s="176" t="s">
        <v>149</v>
      </c>
      <c r="O726" s="176" t="s">
        <v>150</v>
      </c>
      <c r="P726" s="176" t="s">
        <v>151</v>
      </c>
      <c r="Q726" s="176"/>
      <c r="R726" s="176" t="s">
        <v>5307</v>
      </c>
      <c r="S726" s="176"/>
      <c r="T726" s="176" t="s">
        <v>3006</v>
      </c>
      <c r="U726" s="176" t="s">
        <v>152</v>
      </c>
      <c r="V726" s="176" t="s">
        <v>23</v>
      </c>
    </row>
    <row r="727" spans="2:22" ht="12" customHeight="1">
      <c r="B727" s="211">
        <v>46216</v>
      </c>
      <c r="C727" s="211">
        <v>46216</v>
      </c>
      <c r="D727" s="176" t="s">
        <v>5308</v>
      </c>
      <c r="E727" s="176" t="s">
        <v>5309</v>
      </c>
      <c r="F727" s="176" t="s">
        <v>87</v>
      </c>
      <c r="G727" s="176" t="s">
        <v>2552</v>
      </c>
      <c r="H727" s="176">
        <v>40</v>
      </c>
      <c r="I727" s="176">
        <v>32.700000000000003</v>
      </c>
      <c r="J727" s="176">
        <v>32.700000000000003</v>
      </c>
      <c r="K727" s="176">
        <v>5</v>
      </c>
      <c r="L727" s="176">
        <v>0</v>
      </c>
      <c r="M727" s="176" t="s">
        <v>148</v>
      </c>
      <c r="N727" s="176" t="s">
        <v>149</v>
      </c>
      <c r="O727" s="176" t="s">
        <v>150</v>
      </c>
      <c r="P727" s="176" t="s">
        <v>151</v>
      </c>
      <c r="Q727" s="176"/>
      <c r="R727" s="176" t="s">
        <v>5309</v>
      </c>
      <c r="S727" s="176"/>
      <c r="T727" s="176" t="s">
        <v>3006</v>
      </c>
      <c r="U727" s="176" t="s">
        <v>152</v>
      </c>
      <c r="V727" s="176" t="s">
        <v>23</v>
      </c>
    </row>
    <row r="728" spans="2:22" ht="12" customHeight="1">
      <c r="B728" s="211">
        <v>46216</v>
      </c>
      <c r="C728" s="211">
        <v>46216</v>
      </c>
      <c r="D728" s="176" t="s">
        <v>5310</v>
      </c>
      <c r="E728" s="176" t="s">
        <v>5311</v>
      </c>
      <c r="F728" s="176" t="s">
        <v>87</v>
      </c>
      <c r="G728" s="176" t="s">
        <v>2486</v>
      </c>
      <c r="H728" s="176">
        <v>40</v>
      </c>
      <c r="I728" s="176">
        <v>30.2</v>
      </c>
      <c r="J728" s="176">
        <v>30.2</v>
      </c>
      <c r="K728" s="176">
        <v>5</v>
      </c>
      <c r="L728" s="176">
        <v>0</v>
      </c>
      <c r="M728" s="176" t="s">
        <v>148</v>
      </c>
      <c r="N728" s="176" t="s">
        <v>149</v>
      </c>
      <c r="O728" s="176" t="s">
        <v>150</v>
      </c>
      <c r="P728" s="176" t="s">
        <v>151</v>
      </c>
      <c r="Q728" s="176"/>
      <c r="R728" s="176" t="s">
        <v>5311</v>
      </c>
      <c r="S728" s="176"/>
      <c r="T728" s="176" t="s">
        <v>3006</v>
      </c>
      <c r="U728" s="176" t="s">
        <v>152</v>
      </c>
      <c r="V728" s="176" t="s">
        <v>23</v>
      </c>
    </row>
    <row r="729" spans="2:22" ht="12" customHeight="1">
      <c r="B729" s="211">
        <v>46216</v>
      </c>
      <c r="C729" s="211">
        <v>46216</v>
      </c>
      <c r="D729" s="176" t="s">
        <v>5312</v>
      </c>
      <c r="E729" s="176" t="s">
        <v>5313</v>
      </c>
      <c r="F729" s="176" t="s">
        <v>87</v>
      </c>
      <c r="G729" s="176" t="s">
        <v>2552</v>
      </c>
      <c r="H729" s="176">
        <v>40</v>
      </c>
      <c r="I729" s="176">
        <v>48.1</v>
      </c>
      <c r="J729" s="176">
        <v>48.1</v>
      </c>
      <c r="K729" s="176">
        <v>5</v>
      </c>
      <c r="L729" s="176">
        <v>0</v>
      </c>
      <c r="M729" s="176" t="s">
        <v>148</v>
      </c>
      <c r="N729" s="176" t="s">
        <v>149</v>
      </c>
      <c r="O729" s="176" t="s">
        <v>150</v>
      </c>
      <c r="P729" s="176" t="s">
        <v>151</v>
      </c>
      <c r="Q729" s="176"/>
      <c r="R729" s="176" t="s">
        <v>5313</v>
      </c>
      <c r="S729" s="176"/>
      <c r="T729" s="176" t="s">
        <v>3006</v>
      </c>
      <c r="U729" s="176" t="s">
        <v>152</v>
      </c>
      <c r="V729" s="176" t="s">
        <v>23</v>
      </c>
    </row>
    <row r="730" spans="2:22" ht="12" customHeight="1">
      <c r="B730" s="211">
        <v>46216</v>
      </c>
      <c r="C730" s="211">
        <v>46216</v>
      </c>
      <c r="D730" s="176" t="s">
        <v>5314</v>
      </c>
      <c r="E730" s="176" t="s">
        <v>5315</v>
      </c>
      <c r="F730" s="176" t="s">
        <v>87</v>
      </c>
      <c r="G730" s="176" t="s">
        <v>2486</v>
      </c>
      <c r="H730" s="176">
        <v>40</v>
      </c>
      <c r="I730" s="176">
        <v>39</v>
      </c>
      <c r="J730" s="176">
        <v>39</v>
      </c>
      <c r="K730" s="176">
        <v>5</v>
      </c>
      <c r="L730" s="176">
        <v>0</v>
      </c>
      <c r="M730" s="176" t="s">
        <v>148</v>
      </c>
      <c r="N730" s="176" t="s">
        <v>149</v>
      </c>
      <c r="O730" s="176" t="s">
        <v>150</v>
      </c>
      <c r="P730" s="176" t="s">
        <v>151</v>
      </c>
      <c r="Q730" s="176"/>
      <c r="R730" s="176" t="s">
        <v>5315</v>
      </c>
      <c r="S730" s="176"/>
      <c r="T730" s="176" t="s">
        <v>3006</v>
      </c>
      <c r="U730" s="176" t="s">
        <v>152</v>
      </c>
      <c r="V730" s="176" t="s">
        <v>23</v>
      </c>
    </row>
    <row r="731" spans="2:22" ht="12" customHeight="1">
      <c r="B731" s="211">
        <v>46216</v>
      </c>
      <c r="C731" s="211">
        <v>46216</v>
      </c>
      <c r="D731" s="176" t="s">
        <v>5316</v>
      </c>
      <c r="E731" s="176" t="s">
        <v>5317</v>
      </c>
      <c r="F731" s="176" t="s">
        <v>87</v>
      </c>
      <c r="G731" s="176" t="s">
        <v>2486</v>
      </c>
      <c r="H731" s="176">
        <v>40</v>
      </c>
      <c r="I731" s="176">
        <v>38.799999999999997</v>
      </c>
      <c r="J731" s="176">
        <v>38.799999999999997</v>
      </c>
      <c r="K731" s="176">
        <v>5</v>
      </c>
      <c r="L731" s="176">
        <v>0</v>
      </c>
      <c r="M731" s="176" t="s">
        <v>148</v>
      </c>
      <c r="N731" s="176" t="s">
        <v>149</v>
      </c>
      <c r="O731" s="176" t="s">
        <v>150</v>
      </c>
      <c r="P731" s="176" t="s">
        <v>151</v>
      </c>
      <c r="Q731" s="176"/>
      <c r="R731" s="176" t="s">
        <v>5317</v>
      </c>
      <c r="S731" s="176"/>
      <c r="T731" s="176" t="s">
        <v>3006</v>
      </c>
      <c r="U731" s="176" t="s">
        <v>152</v>
      </c>
      <c r="V731" s="176" t="s">
        <v>23</v>
      </c>
    </row>
    <row r="732" spans="2:22" ht="12" customHeight="1">
      <c r="B732" s="211">
        <v>46216</v>
      </c>
      <c r="C732" s="211">
        <v>46216</v>
      </c>
      <c r="D732" s="176" t="s">
        <v>5318</v>
      </c>
      <c r="E732" s="176" t="s">
        <v>5319</v>
      </c>
      <c r="F732" s="176" t="s">
        <v>87</v>
      </c>
      <c r="G732" s="176" t="s">
        <v>2633</v>
      </c>
      <c r="H732" s="176">
        <v>40</v>
      </c>
      <c r="I732" s="176">
        <v>31.8</v>
      </c>
      <c r="J732" s="176">
        <v>31.8</v>
      </c>
      <c r="K732" s="176">
        <v>5</v>
      </c>
      <c r="L732" s="176">
        <v>0</v>
      </c>
      <c r="M732" s="176" t="s">
        <v>148</v>
      </c>
      <c r="N732" s="176" t="s">
        <v>149</v>
      </c>
      <c r="O732" s="176" t="s">
        <v>150</v>
      </c>
      <c r="P732" s="176" t="s">
        <v>151</v>
      </c>
      <c r="Q732" s="176"/>
      <c r="R732" s="176" t="s">
        <v>5319</v>
      </c>
      <c r="S732" s="176"/>
      <c r="T732" s="176" t="s">
        <v>3006</v>
      </c>
      <c r="U732" s="176" t="s">
        <v>152</v>
      </c>
      <c r="V732" s="176" t="s">
        <v>23</v>
      </c>
    </row>
    <row r="733" spans="2:22" ht="12" customHeight="1">
      <c r="B733" s="211">
        <v>46216</v>
      </c>
      <c r="C733" s="211">
        <v>46216</v>
      </c>
      <c r="D733" s="176" t="s">
        <v>5320</v>
      </c>
      <c r="E733" s="176" t="s">
        <v>5321</v>
      </c>
      <c r="F733" s="176" t="s">
        <v>87</v>
      </c>
      <c r="G733" s="176" t="s">
        <v>3934</v>
      </c>
      <c r="H733" s="176">
        <v>25</v>
      </c>
      <c r="I733" s="176">
        <v>36.4</v>
      </c>
      <c r="J733" s="176">
        <v>36.4</v>
      </c>
      <c r="K733" s="176">
        <v>4</v>
      </c>
      <c r="L733" s="176">
        <v>0</v>
      </c>
      <c r="M733" s="176" t="s">
        <v>148</v>
      </c>
      <c r="N733" s="176" t="s">
        <v>149</v>
      </c>
      <c r="O733" s="176" t="s">
        <v>150</v>
      </c>
      <c r="P733" s="176" t="s">
        <v>151</v>
      </c>
      <c r="Q733" s="176"/>
      <c r="R733" s="176" t="s">
        <v>5321</v>
      </c>
      <c r="S733" s="176"/>
      <c r="T733" s="176" t="s">
        <v>3006</v>
      </c>
      <c r="U733" s="176" t="s">
        <v>152</v>
      </c>
      <c r="V733" s="176" t="s">
        <v>23</v>
      </c>
    </row>
    <row r="734" spans="2:22" ht="12" customHeight="1">
      <c r="B734" s="211">
        <v>46216</v>
      </c>
      <c r="C734" s="211">
        <v>46216</v>
      </c>
      <c r="D734" s="176" t="s">
        <v>5322</v>
      </c>
      <c r="E734" s="176" t="s">
        <v>5323</v>
      </c>
      <c r="F734" s="176" t="s">
        <v>87</v>
      </c>
      <c r="G734" s="176" t="s">
        <v>2552</v>
      </c>
      <c r="H734" s="176">
        <v>40</v>
      </c>
      <c r="I734" s="176">
        <v>38.799999999999997</v>
      </c>
      <c r="J734" s="176">
        <v>38.799999999999997</v>
      </c>
      <c r="K734" s="176">
        <v>5</v>
      </c>
      <c r="L734" s="176">
        <v>0</v>
      </c>
      <c r="M734" s="176" t="s">
        <v>148</v>
      </c>
      <c r="N734" s="176" t="s">
        <v>149</v>
      </c>
      <c r="O734" s="176" t="s">
        <v>150</v>
      </c>
      <c r="P734" s="176" t="s">
        <v>151</v>
      </c>
      <c r="Q734" s="176"/>
      <c r="R734" s="176" t="s">
        <v>5323</v>
      </c>
      <c r="S734" s="176"/>
      <c r="T734" s="176" t="s">
        <v>3006</v>
      </c>
      <c r="U734" s="176" t="s">
        <v>152</v>
      </c>
      <c r="V734" s="176" t="s">
        <v>23</v>
      </c>
    </row>
    <row r="735" spans="2:22" ht="12" customHeight="1">
      <c r="B735" s="211">
        <v>46216</v>
      </c>
      <c r="C735" s="211">
        <v>46216</v>
      </c>
      <c r="D735" s="176" t="s">
        <v>5324</v>
      </c>
      <c r="E735" s="176" t="s">
        <v>5325</v>
      </c>
      <c r="F735" s="176" t="s">
        <v>87</v>
      </c>
      <c r="G735" s="176" t="s">
        <v>2552</v>
      </c>
      <c r="H735" s="176">
        <v>40</v>
      </c>
      <c r="I735" s="176">
        <v>41.8</v>
      </c>
      <c r="J735" s="176">
        <v>41.8</v>
      </c>
      <c r="K735" s="176">
        <v>5</v>
      </c>
      <c r="L735" s="176">
        <v>0</v>
      </c>
      <c r="M735" s="176" t="s">
        <v>148</v>
      </c>
      <c r="N735" s="176" t="s">
        <v>149</v>
      </c>
      <c r="O735" s="176" t="s">
        <v>150</v>
      </c>
      <c r="P735" s="176" t="s">
        <v>151</v>
      </c>
      <c r="Q735" s="176"/>
      <c r="R735" s="176" t="s">
        <v>5325</v>
      </c>
      <c r="S735" s="176"/>
      <c r="T735" s="176" t="s">
        <v>3006</v>
      </c>
      <c r="U735" s="176" t="s">
        <v>152</v>
      </c>
      <c r="V735" s="176" t="s">
        <v>23</v>
      </c>
    </row>
    <row r="736" spans="2:22" ht="12" customHeight="1">
      <c r="B736" s="211">
        <v>46216</v>
      </c>
      <c r="C736" s="211">
        <v>46216</v>
      </c>
      <c r="D736" s="176" t="s">
        <v>5326</v>
      </c>
      <c r="E736" s="176" t="s">
        <v>5327</v>
      </c>
      <c r="F736" s="176" t="s">
        <v>87</v>
      </c>
      <c r="G736" s="176" t="s">
        <v>2486</v>
      </c>
      <c r="H736" s="176">
        <v>40</v>
      </c>
      <c r="I736" s="176">
        <v>40.799999999999997</v>
      </c>
      <c r="J736" s="176">
        <v>40.799999999999997</v>
      </c>
      <c r="K736" s="176">
        <v>5</v>
      </c>
      <c r="L736" s="176">
        <v>0</v>
      </c>
      <c r="M736" s="176" t="s">
        <v>148</v>
      </c>
      <c r="N736" s="176" t="s">
        <v>149</v>
      </c>
      <c r="O736" s="176" t="s">
        <v>150</v>
      </c>
      <c r="P736" s="176" t="s">
        <v>151</v>
      </c>
      <c r="Q736" s="176"/>
      <c r="R736" s="176" t="s">
        <v>5327</v>
      </c>
      <c r="S736" s="176"/>
      <c r="T736" s="176" t="s">
        <v>3006</v>
      </c>
      <c r="U736" s="176" t="s">
        <v>152</v>
      </c>
      <c r="V736" s="176" t="s">
        <v>23</v>
      </c>
    </row>
    <row r="737" spans="2:22" ht="12" customHeight="1">
      <c r="B737" s="211">
        <v>46216</v>
      </c>
      <c r="C737" s="211">
        <v>46216</v>
      </c>
      <c r="D737" s="176" t="s">
        <v>5328</v>
      </c>
      <c r="E737" s="176" t="s">
        <v>5329</v>
      </c>
      <c r="F737" s="176" t="s">
        <v>87</v>
      </c>
      <c r="G737" s="176" t="s">
        <v>2552</v>
      </c>
      <c r="H737" s="176">
        <v>40</v>
      </c>
      <c r="I737" s="176">
        <v>39.799999999999997</v>
      </c>
      <c r="J737" s="176">
        <v>39.799999999999997</v>
      </c>
      <c r="K737" s="176">
        <v>5</v>
      </c>
      <c r="L737" s="176">
        <v>0</v>
      </c>
      <c r="M737" s="176" t="s">
        <v>148</v>
      </c>
      <c r="N737" s="176" t="s">
        <v>149</v>
      </c>
      <c r="O737" s="176" t="s">
        <v>150</v>
      </c>
      <c r="P737" s="176" t="s">
        <v>151</v>
      </c>
      <c r="Q737" s="176"/>
      <c r="R737" s="176" t="s">
        <v>5329</v>
      </c>
      <c r="S737" s="176"/>
      <c r="T737" s="176" t="s">
        <v>3006</v>
      </c>
      <c r="U737" s="176" t="s">
        <v>152</v>
      </c>
      <c r="V737" s="176" t="s">
        <v>23</v>
      </c>
    </row>
    <row r="738" spans="2:22" ht="12" customHeight="1">
      <c r="B738" s="211">
        <v>46216</v>
      </c>
      <c r="C738" s="211">
        <v>46216</v>
      </c>
      <c r="D738" s="176" t="s">
        <v>5330</v>
      </c>
      <c r="E738" s="176" t="s">
        <v>5331</v>
      </c>
      <c r="F738" s="176" t="s">
        <v>87</v>
      </c>
      <c r="G738" s="176" t="s">
        <v>2486</v>
      </c>
      <c r="H738" s="176">
        <v>40</v>
      </c>
      <c r="I738" s="176">
        <v>39.299999999999997</v>
      </c>
      <c r="J738" s="176">
        <v>39.299999999999997</v>
      </c>
      <c r="K738" s="176">
        <v>5</v>
      </c>
      <c r="L738" s="176">
        <v>0</v>
      </c>
      <c r="M738" s="176" t="s">
        <v>148</v>
      </c>
      <c r="N738" s="176" t="s">
        <v>149</v>
      </c>
      <c r="O738" s="176" t="s">
        <v>150</v>
      </c>
      <c r="P738" s="176" t="s">
        <v>151</v>
      </c>
      <c r="Q738" s="176"/>
      <c r="R738" s="176" t="s">
        <v>5331</v>
      </c>
      <c r="S738" s="176"/>
      <c r="T738" s="176" t="s">
        <v>3006</v>
      </c>
      <c r="U738" s="176" t="s">
        <v>152</v>
      </c>
      <c r="V738" s="176" t="s">
        <v>23</v>
      </c>
    </row>
    <row r="739" spans="2:22" ht="12" customHeight="1">
      <c r="B739" s="211">
        <v>46216</v>
      </c>
      <c r="C739" s="211">
        <v>46216</v>
      </c>
      <c r="D739" s="176" t="s">
        <v>5332</v>
      </c>
      <c r="E739" s="176" t="s">
        <v>5333</v>
      </c>
      <c r="F739" s="176" t="s">
        <v>87</v>
      </c>
      <c r="G739" s="176" t="s">
        <v>2001</v>
      </c>
      <c r="H739" s="176">
        <v>6</v>
      </c>
      <c r="I739" s="176">
        <v>12.3</v>
      </c>
      <c r="J739" s="176">
        <v>12.3</v>
      </c>
      <c r="K739" s="176">
        <v>1.5</v>
      </c>
      <c r="L739" s="176">
        <v>0</v>
      </c>
      <c r="M739" s="176" t="s">
        <v>148</v>
      </c>
      <c r="N739" s="176" t="s">
        <v>149</v>
      </c>
      <c r="O739" s="176" t="s">
        <v>150</v>
      </c>
      <c r="P739" s="176" t="s">
        <v>151</v>
      </c>
      <c r="Q739" s="176"/>
      <c r="R739" s="176" t="s">
        <v>5333</v>
      </c>
      <c r="S739" s="176"/>
      <c r="T739" s="176" t="s">
        <v>3006</v>
      </c>
      <c r="U739" s="176" t="s">
        <v>152</v>
      </c>
      <c r="V739" s="176" t="s">
        <v>23</v>
      </c>
    </row>
    <row r="740" spans="2:22" ht="12" customHeight="1">
      <c r="B740" s="211">
        <v>46216</v>
      </c>
      <c r="C740" s="211">
        <v>46216</v>
      </c>
      <c r="D740" s="176" t="s">
        <v>5334</v>
      </c>
      <c r="E740" s="176" t="s">
        <v>5335</v>
      </c>
      <c r="F740" s="176" t="s">
        <v>87</v>
      </c>
      <c r="G740" s="176" t="s">
        <v>3934</v>
      </c>
      <c r="H740" s="176">
        <v>25</v>
      </c>
      <c r="I740" s="176">
        <v>27.8</v>
      </c>
      <c r="J740" s="176">
        <v>27.8</v>
      </c>
      <c r="K740" s="176">
        <v>4</v>
      </c>
      <c r="L740" s="176">
        <v>0</v>
      </c>
      <c r="M740" s="176" t="s">
        <v>148</v>
      </c>
      <c r="N740" s="176" t="s">
        <v>149</v>
      </c>
      <c r="O740" s="176" t="s">
        <v>150</v>
      </c>
      <c r="P740" s="176" t="s">
        <v>151</v>
      </c>
      <c r="Q740" s="176"/>
      <c r="R740" s="176" t="s">
        <v>5335</v>
      </c>
      <c r="S740" s="176"/>
      <c r="T740" s="176" t="s">
        <v>3006</v>
      </c>
      <c r="U740" s="176" t="s">
        <v>152</v>
      </c>
      <c r="V740" s="176" t="s">
        <v>23</v>
      </c>
    </row>
    <row r="741" spans="2:22" ht="12" customHeight="1">
      <c r="B741" s="211">
        <v>46216</v>
      </c>
      <c r="C741" s="211">
        <v>46216</v>
      </c>
      <c r="D741" s="176" t="s">
        <v>5336</v>
      </c>
      <c r="E741" s="176" t="s">
        <v>5337</v>
      </c>
      <c r="F741" s="176" t="s">
        <v>87</v>
      </c>
      <c r="G741" s="176" t="s">
        <v>3934</v>
      </c>
      <c r="H741" s="176">
        <v>25</v>
      </c>
      <c r="I741" s="176">
        <v>39.200000000000003</v>
      </c>
      <c r="J741" s="176">
        <v>39.200000000000003</v>
      </c>
      <c r="K741" s="176">
        <v>4</v>
      </c>
      <c r="L741" s="176">
        <v>0</v>
      </c>
      <c r="M741" s="176" t="s">
        <v>148</v>
      </c>
      <c r="N741" s="176" t="s">
        <v>149</v>
      </c>
      <c r="O741" s="176" t="s">
        <v>150</v>
      </c>
      <c r="P741" s="176" t="s">
        <v>151</v>
      </c>
      <c r="Q741" s="176"/>
      <c r="R741" s="176" t="s">
        <v>5337</v>
      </c>
      <c r="S741" s="176"/>
      <c r="T741" s="176" t="s">
        <v>3006</v>
      </c>
      <c r="U741" s="176" t="s">
        <v>152</v>
      </c>
      <c r="V741" s="176" t="s">
        <v>23</v>
      </c>
    </row>
    <row r="742" spans="2:22" ht="12" customHeight="1">
      <c r="B742" s="211">
        <v>46216</v>
      </c>
      <c r="C742" s="211">
        <v>46216</v>
      </c>
      <c r="D742" s="176" t="s">
        <v>5338</v>
      </c>
      <c r="E742" s="176" t="s">
        <v>5339</v>
      </c>
      <c r="F742" s="176" t="s">
        <v>87</v>
      </c>
      <c r="G742" s="176" t="s">
        <v>3934</v>
      </c>
      <c r="H742" s="176">
        <v>25</v>
      </c>
      <c r="I742" s="176">
        <v>35.200000000000003</v>
      </c>
      <c r="J742" s="176">
        <v>35.200000000000003</v>
      </c>
      <c r="K742" s="176">
        <v>4</v>
      </c>
      <c r="L742" s="176">
        <v>0</v>
      </c>
      <c r="M742" s="176" t="s">
        <v>148</v>
      </c>
      <c r="N742" s="176" t="s">
        <v>149</v>
      </c>
      <c r="O742" s="176" t="s">
        <v>150</v>
      </c>
      <c r="P742" s="176" t="s">
        <v>151</v>
      </c>
      <c r="Q742" s="176"/>
      <c r="R742" s="176" t="s">
        <v>5339</v>
      </c>
      <c r="S742" s="176"/>
      <c r="T742" s="176" t="s">
        <v>3006</v>
      </c>
      <c r="U742" s="176" t="s">
        <v>152</v>
      </c>
      <c r="V742" s="176" t="s">
        <v>23</v>
      </c>
    </row>
    <row r="743" spans="2:22" ht="12" customHeight="1">
      <c r="B743" s="211">
        <v>46216</v>
      </c>
      <c r="C743" s="211">
        <v>46216</v>
      </c>
      <c r="D743" s="176" t="s">
        <v>5340</v>
      </c>
      <c r="E743" s="176" t="s">
        <v>5341</v>
      </c>
      <c r="F743" s="176" t="s">
        <v>87</v>
      </c>
      <c r="G743" s="176" t="s">
        <v>2638</v>
      </c>
      <c r="H743" s="176">
        <v>30</v>
      </c>
      <c r="I743" s="176">
        <v>46.4</v>
      </c>
      <c r="J743" s="176">
        <v>46.4</v>
      </c>
      <c r="K743" s="176">
        <v>4</v>
      </c>
      <c r="L743" s="176">
        <v>0</v>
      </c>
      <c r="M743" s="176" t="s">
        <v>148</v>
      </c>
      <c r="N743" s="176" t="s">
        <v>149</v>
      </c>
      <c r="O743" s="176" t="s">
        <v>150</v>
      </c>
      <c r="P743" s="176" t="s">
        <v>151</v>
      </c>
      <c r="Q743" s="176"/>
      <c r="R743" s="176" t="s">
        <v>5341</v>
      </c>
      <c r="S743" s="176"/>
      <c r="T743" s="176" t="s">
        <v>3006</v>
      </c>
      <c r="U743" s="176" t="s">
        <v>152</v>
      </c>
      <c r="V743" s="176" t="s">
        <v>23</v>
      </c>
    </row>
    <row r="744" spans="2:22" ht="12" customHeight="1">
      <c r="B744" s="211">
        <v>46216</v>
      </c>
      <c r="C744" s="211">
        <v>46216</v>
      </c>
      <c r="D744" s="176" t="s">
        <v>5342</v>
      </c>
      <c r="E744" s="176" t="s">
        <v>5343</v>
      </c>
      <c r="F744" s="176" t="s">
        <v>87</v>
      </c>
      <c r="G744" s="176" t="s">
        <v>2485</v>
      </c>
      <c r="H744" s="176">
        <v>30</v>
      </c>
      <c r="I744" s="176">
        <v>37.200000000000003</v>
      </c>
      <c r="J744" s="176">
        <v>37.200000000000003</v>
      </c>
      <c r="K744" s="176">
        <v>4</v>
      </c>
      <c r="L744" s="176">
        <v>0</v>
      </c>
      <c r="M744" s="176" t="s">
        <v>148</v>
      </c>
      <c r="N744" s="176" t="s">
        <v>149</v>
      </c>
      <c r="O744" s="176" t="s">
        <v>150</v>
      </c>
      <c r="P744" s="176" t="s">
        <v>151</v>
      </c>
      <c r="Q744" s="176"/>
      <c r="R744" s="176" t="s">
        <v>5343</v>
      </c>
      <c r="S744" s="176"/>
      <c r="T744" s="176" t="s">
        <v>3006</v>
      </c>
      <c r="U744" s="176" t="s">
        <v>152</v>
      </c>
      <c r="V744" s="176" t="s">
        <v>23</v>
      </c>
    </row>
    <row r="745" spans="2:22" ht="12" customHeight="1">
      <c r="B745" s="211">
        <v>46216</v>
      </c>
      <c r="C745" s="211">
        <v>46216</v>
      </c>
      <c r="D745" s="176" t="s">
        <v>5344</v>
      </c>
      <c r="E745" s="176" t="s">
        <v>5345</v>
      </c>
      <c r="F745" s="176" t="s">
        <v>87</v>
      </c>
      <c r="G745" s="176" t="s">
        <v>2485</v>
      </c>
      <c r="H745" s="176">
        <v>30</v>
      </c>
      <c r="I745" s="176">
        <v>20.2</v>
      </c>
      <c r="J745" s="176">
        <v>20.2</v>
      </c>
      <c r="K745" s="176">
        <v>4</v>
      </c>
      <c r="L745" s="176">
        <v>0</v>
      </c>
      <c r="M745" s="176" t="s">
        <v>148</v>
      </c>
      <c r="N745" s="176" t="s">
        <v>149</v>
      </c>
      <c r="O745" s="176" t="s">
        <v>150</v>
      </c>
      <c r="P745" s="176" t="s">
        <v>151</v>
      </c>
      <c r="Q745" s="176"/>
      <c r="R745" s="176" t="s">
        <v>5345</v>
      </c>
      <c r="S745" s="176"/>
      <c r="T745" s="176" t="s">
        <v>3006</v>
      </c>
      <c r="U745" s="176" t="s">
        <v>152</v>
      </c>
      <c r="V745" s="176" t="s">
        <v>23</v>
      </c>
    </row>
    <row r="746" spans="2:22" ht="12" customHeight="1">
      <c r="B746" s="211">
        <v>46216</v>
      </c>
      <c r="C746" s="211">
        <v>46216</v>
      </c>
      <c r="D746" s="176" t="s">
        <v>5346</v>
      </c>
      <c r="E746" s="176" t="s">
        <v>5347</v>
      </c>
      <c r="F746" s="176" t="s">
        <v>87</v>
      </c>
      <c r="G746" s="176" t="s">
        <v>2639</v>
      </c>
      <c r="H746" s="176">
        <v>25</v>
      </c>
      <c r="I746" s="176">
        <v>31.3</v>
      </c>
      <c r="J746" s="176">
        <v>31.3</v>
      </c>
      <c r="K746" s="176">
        <v>4</v>
      </c>
      <c r="L746" s="176">
        <v>0</v>
      </c>
      <c r="M746" s="176" t="s">
        <v>148</v>
      </c>
      <c r="N746" s="176" t="s">
        <v>149</v>
      </c>
      <c r="O746" s="176" t="s">
        <v>150</v>
      </c>
      <c r="P746" s="176" t="s">
        <v>151</v>
      </c>
      <c r="Q746" s="176"/>
      <c r="R746" s="176" t="s">
        <v>5347</v>
      </c>
      <c r="S746" s="176"/>
      <c r="T746" s="176" t="s">
        <v>3006</v>
      </c>
      <c r="U746" s="176" t="s">
        <v>152</v>
      </c>
      <c r="V746" s="176" t="s">
        <v>23</v>
      </c>
    </row>
    <row r="747" spans="2:22" ht="12" customHeight="1">
      <c r="B747" s="211">
        <v>46216</v>
      </c>
      <c r="C747" s="211">
        <v>46216</v>
      </c>
      <c r="D747" s="176" t="s">
        <v>5348</v>
      </c>
      <c r="E747" s="176" t="s">
        <v>5349</v>
      </c>
      <c r="F747" s="176" t="s">
        <v>87</v>
      </c>
      <c r="G747" s="176" t="s">
        <v>2001</v>
      </c>
      <c r="H747" s="176">
        <v>6</v>
      </c>
      <c r="I747" s="176">
        <v>27.8</v>
      </c>
      <c r="J747" s="176">
        <v>27.8</v>
      </c>
      <c r="K747" s="176">
        <v>1.5</v>
      </c>
      <c r="L747" s="176">
        <v>0</v>
      </c>
      <c r="M747" s="176" t="s">
        <v>148</v>
      </c>
      <c r="N747" s="176" t="s">
        <v>149</v>
      </c>
      <c r="O747" s="176" t="s">
        <v>150</v>
      </c>
      <c r="P747" s="176" t="s">
        <v>151</v>
      </c>
      <c r="Q747" s="176"/>
      <c r="R747" s="176" t="s">
        <v>5349</v>
      </c>
      <c r="S747" s="176"/>
      <c r="T747" s="176" t="s">
        <v>3006</v>
      </c>
      <c r="U747" s="176" t="s">
        <v>152</v>
      </c>
      <c r="V747" s="176" t="s">
        <v>23</v>
      </c>
    </row>
    <row r="748" spans="2:22" ht="12" customHeight="1">
      <c r="B748" s="211">
        <v>46216</v>
      </c>
      <c r="C748" s="211">
        <v>46216</v>
      </c>
      <c r="D748" s="176" t="s">
        <v>5350</v>
      </c>
      <c r="E748" s="176" t="s">
        <v>5351</v>
      </c>
      <c r="F748" s="176" t="s">
        <v>87</v>
      </c>
      <c r="G748" s="176" t="s">
        <v>2001</v>
      </c>
      <c r="H748" s="176">
        <v>6</v>
      </c>
      <c r="I748" s="176">
        <v>24.3</v>
      </c>
      <c r="J748" s="176">
        <v>24.3</v>
      </c>
      <c r="K748" s="176">
        <v>1.5</v>
      </c>
      <c r="L748" s="176">
        <v>0</v>
      </c>
      <c r="M748" s="176" t="s">
        <v>148</v>
      </c>
      <c r="N748" s="176" t="s">
        <v>149</v>
      </c>
      <c r="O748" s="176" t="s">
        <v>150</v>
      </c>
      <c r="P748" s="176" t="s">
        <v>151</v>
      </c>
      <c r="Q748" s="176"/>
      <c r="R748" s="176" t="s">
        <v>5351</v>
      </c>
      <c r="S748" s="176"/>
      <c r="T748" s="176" t="s">
        <v>3006</v>
      </c>
      <c r="U748" s="176" t="s">
        <v>152</v>
      </c>
      <c r="V748" s="176" t="s">
        <v>23</v>
      </c>
    </row>
    <row r="749" spans="2:22" ht="12" customHeight="1">
      <c r="B749" s="211">
        <v>46216</v>
      </c>
      <c r="C749" s="211">
        <v>46216</v>
      </c>
      <c r="D749" s="176" t="s">
        <v>5352</v>
      </c>
      <c r="E749" s="176" t="s">
        <v>5353</v>
      </c>
      <c r="F749" s="176" t="s">
        <v>87</v>
      </c>
      <c r="G749" s="176" t="s">
        <v>2486</v>
      </c>
      <c r="H749" s="176">
        <v>40</v>
      </c>
      <c r="I749" s="176">
        <v>39.4</v>
      </c>
      <c r="J749" s="176">
        <v>39.4</v>
      </c>
      <c r="K749" s="176">
        <v>5</v>
      </c>
      <c r="L749" s="176">
        <v>0</v>
      </c>
      <c r="M749" s="176" t="s">
        <v>148</v>
      </c>
      <c r="N749" s="176" t="s">
        <v>149</v>
      </c>
      <c r="O749" s="176" t="s">
        <v>150</v>
      </c>
      <c r="P749" s="176" t="s">
        <v>151</v>
      </c>
      <c r="Q749" s="176"/>
      <c r="R749" s="176" t="s">
        <v>5353</v>
      </c>
      <c r="S749" s="176"/>
      <c r="T749" s="176" t="s">
        <v>3006</v>
      </c>
      <c r="U749" s="176" t="s">
        <v>152</v>
      </c>
      <c r="V749" s="176" t="s">
        <v>23</v>
      </c>
    </row>
    <row r="750" spans="2:22" ht="12" customHeight="1">
      <c r="B750" s="211">
        <v>46216</v>
      </c>
      <c r="C750" s="211">
        <v>46216</v>
      </c>
      <c r="D750" s="176" t="s">
        <v>5354</v>
      </c>
      <c r="E750" s="176" t="s">
        <v>5355</v>
      </c>
      <c r="F750" s="176" t="s">
        <v>87</v>
      </c>
      <c r="G750" s="176" t="s">
        <v>2486</v>
      </c>
      <c r="H750" s="176">
        <v>40</v>
      </c>
      <c r="I750" s="176">
        <v>38.4</v>
      </c>
      <c r="J750" s="176">
        <v>38.4</v>
      </c>
      <c r="K750" s="176">
        <v>5</v>
      </c>
      <c r="L750" s="176">
        <v>0</v>
      </c>
      <c r="M750" s="176" t="s">
        <v>148</v>
      </c>
      <c r="N750" s="176" t="s">
        <v>149</v>
      </c>
      <c r="O750" s="176" t="s">
        <v>150</v>
      </c>
      <c r="P750" s="176" t="s">
        <v>151</v>
      </c>
      <c r="Q750" s="176"/>
      <c r="R750" s="176" t="s">
        <v>5355</v>
      </c>
      <c r="S750" s="176"/>
      <c r="T750" s="176" t="s">
        <v>3006</v>
      </c>
      <c r="U750" s="176" t="s">
        <v>152</v>
      </c>
      <c r="V750" s="176" t="s">
        <v>23</v>
      </c>
    </row>
    <row r="751" spans="2:22" ht="12" customHeight="1">
      <c r="B751" s="211">
        <v>46216</v>
      </c>
      <c r="C751" s="211">
        <v>46216</v>
      </c>
      <c r="D751" s="176" t="s">
        <v>5356</v>
      </c>
      <c r="E751" s="176" t="s">
        <v>5357</v>
      </c>
      <c r="F751" s="176" t="s">
        <v>87</v>
      </c>
      <c r="G751" s="176" t="s">
        <v>2485</v>
      </c>
      <c r="H751" s="176">
        <v>30</v>
      </c>
      <c r="I751" s="176">
        <v>43</v>
      </c>
      <c r="J751" s="176">
        <v>43</v>
      </c>
      <c r="K751" s="176">
        <v>4</v>
      </c>
      <c r="L751" s="176">
        <v>0</v>
      </c>
      <c r="M751" s="176" t="s">
        <v>148</v>
      </c>
      <c r="N751" s="176" t="s">
        <v>149</v>
      </c>
      <c r="O751" s="176" t="s">
        <v>150</v>
      </c>
      <c r="P751" s="176" t="s">
        <v>151</v>
      </c>
      <c r="Q751" s="176"/>
      <c r="R751" s="176" t="s">
        <v>5357</v>
      </c>
      <c r="S751" s="176"/>
      <c r="T751" s="176" t="s">
        <v>3006</v>
      </c>
      <c r="U751" s="176" t="s">
        <v>152</v>
      </c>
      <c r="V751" s="176" t="s">
        <v>23</v>
      </c>
    </row>
    <row r="752" spans="2:22" ht="12" customHeight="1">
      <c r="B752" s="211">
        <v>46216</v>
      </c>
      <c r="C752" s="211">
        <v>46216</v>
      </c>
      <c r="D752" s="176" t="s">
        <v>5358</v>
      </c>
      <c r="E752" s="176" t="s">
        <v>5359</v>
      </c>
      <c r="F752" s="176" t="s">
        <v>87</v>
      </c>
      <c r="G752" s="176" t="s">
        <v>2552</v>
      </c>
      <c r="H752" s="176">
        <v>40</v>
      </c>
      <c r="I752" s="176">
        <v>38.799999999999997</v>
      </c>
      <c r="J752" s="176">
        <v>38.799999999999997</v>
      </c>
      <c r="K752" s="176">
        <v>5</v>
      </c>
      <c r="L752" s="176">
        <v>0</v>
      </c>
      <c r="M752" s="176" t="s">
        <v>148</v>
      </c>
      <c r="N752" s="176" t="s">
        <v>149</v>
      </c>
      <c r="O752" s="176" t="s">
        <v>150</v>
      </c>
      <c r="P752" s="176" t="s">
        <v>151</v>
      </c>
      <c r="Q752" s="176"/>
      <c r="R752" s="176" t="s">
        <v>5359</v>
      </c>
      <c r="S752" s="176"/>
      <c r="T752" s="176" t="s">
        <v>3006</v>
      </c>
      <c r="U752" s="176" t="s">
        <v>152</v>
      </c>
      <c r="V752" s="176" t="s">
        <v>23</v>
      </c>
    </row>
    <row r="753" spans="2:22" ht="12" customHeight="1">
      <c r="B753" s="211">
        <v>46216</v>
      </c>
      <c r="C753" s="211">
        <v>46216</v>
      </c>
      <c r="D753" s="176" t="s">
        <v>5360</v>
      </c>
      <c r="E753" s="176" t="s">
        <v>5361</v>
      </c>
      <c r="F753" s="176" t="s">
        <v>87</v>
      </c>
      <c r="G753" s="176" t="s">
        <v>2552</v>
      </c>
      <c r="H753" s="176">
        <v>40</v>
      </c>
      <c r="I753" s="176">
        <v>42.8</v>
      </c>
      <c r="J753" s="176">
        <v>42.8</v>
      </c>
      <c r="K753" s="176">
        <v>5</v>
      </c>
      <c r="L753" s="176">
        <v>0</v>
      </c>
      <c r="M753" s="176" t="s">
        <v>148</v>
      </c>
      <c r="N753" s="176" t="s">
        <v>149</v>
      </c>
      <c r="O753" s="176" t="s">
        <v>150</v>
      </c>
      <c r="P753" s="176" t="s">
        <v>151</v>
      </c>
      <c r="Q753" s="176"/>
      <c r="R753" s="176" t="s">
        <v>5361</v>
      </c>
      <c r="S753" s="176"/>
      <c r="T753" s="176" t="s">
        <v>3006</v>
      </c>
      <c r="U753" s="176" t="s">
        <v>152</v>
      </c>
      <c r="V753" s="176" t="s">
        <v>23</v>
      </c>
    </row>
    <row r="754" spans="2:22" ht="12" customHeight="1">
      <c r="B754" s="211">
        <v>46216</v>
      </c>
      <c r="C754" s="211">
        <v>46216</v>
      </c>
      <c r="D754" s="176" t="s">
        <v>5362</v>
      </c>
      <c r="E754" s="176" t="s">
        <v>5363</v>
      </c>
      <c r="F754" s="176" t="s">
        <v>87</v>
      </c>
      <c r="G754" s="176" t="s">
        <v>2486</v>
      </c>
      <c r="H754" s="176">
        <v>40</v>
      </c>
      <c r="I754" s="176">
        <v>35.799999999999997</v>
      </c>
      <c r="J754" s="176">
        <v>35.799999999999997</v>
      </c>
      <c r="K754" s="176">
        <v>5</v>
      </c>
      <c r="L754" s="176">
        <v>0</v>
      </c>
      <c r="M754" s="176" t="s">
        <v>148</v>
      </c>
      <c r="N754" s="176" t="s">
        <v>149</v>
      </c>
      <c r="O754" s="176" t="s">
        <v>150</v>
      </c>
      <c r="P754" s="176" t="s">
        <v>151</v>
      </c>
      <c r="Q754" s="176"/>
      <c r="R754" s="176" t="s">
        <v>5363</v>
      </c>
      <c r="S754" s="176"/>
      <c r="T754" s="176" t="s">
        <v>3006</v>
      </c>
      <c r="U754" s="176" t="s">
        <v>152</v>
      </c>
      <c r="V754" s="176" t="s">
        <v>23</v>
      </c>
    </row>
    <row r="755" spans="2:22" ht="12" customHeight="1">
      <c r="B755" s="211">
        <v>46216</v>
      </c>
      <c r="C755" s="211">
        <v>46216</v>
      </c>
      <c r="D755" s="176" t="s">
        <v>5364</v>
      </c>
      <c r="E755" s="176" t="s">
        <v>5365</v>
      </c>
      <c r="F755" s="176" t="s">
        <v>87</v>
      </c>
      <c r="G755" s="176" t="s">
        <v>2486</v>
      </c>
      <c r="H755" s="176">
        <v>40</v>
      </c>
      <c r="I755" s="176">
        <v>41.5</v>
      </c>
      <c r="J755" s="176">
        <v>41.5</v>
      </c>
      <c r="K755" s="176">
        <v>5</v>
      </c>
      <c r="L755" s="176">
        <v>0</v>
      </c>
      <c r="M755" s="176" t="s">
        <v>148</v>
      </c>
      <c r="N755" s="176" t="s">
        <v>149</v>
      </c>
      <c r="O755" s="176" t="s">
        <v>150</v>
      </c>
      <c r="P755" s="176" t="s">
        <v>151</v>
      </c>
      <c r="Q755" s="176"/>
      <c r="R755" s="176" t="s">
        <v>5365</v>
      </c>
      <c r="S755" s="176"/>
      <c r="T755" s="176" t="s">
        <v>3006</v>
      </c>
      <c r="U755" s="176" t="s">
        <v>152</v>
      </c>
      <c r="V755" s="176" t="s">
        <v>23</v>
      </c>
    </row>
    <row r="756" spans="2:22" ht="12" customHeight="1">
      <c r="B756" s="211">
        <v>46216</v>
      </c>
      <c r="C756" s="211">
        <v>46216</v>
      </c>
      <c r="D756" s="176" t="s">
        <v>5366</v>
      </c>
      <c r="E756" s="176" t="s">
        <v>5367</v>
      </c>
      <c r="F756" s="176" t="s">
        <v>87</v>
      </c>
      <c r="G756" s="176" t="s">
        <v>2485</v>
      </c>
      <c r="H756" s="176">
        <v>30</v>
      </c>
      <c r="I756" s="176">
        <v>40.1</v>
      </c>
      <c r="J756" s="176">
        <v>40.1</v>
      </c>
      <c r="K756" s="176">
        <v>4</v>
      </c>
      <c r="L756" s="176">
        <v>0</v>
      </c>
      <c r="M756" s="176" t="s">
        <v>148</v>
      </c>
      <c r="N756" s="176" t="s">
        <v>149</v>
      </c>
      <c r="O756" s="176" t="s">
        <v>150</v>
      </c>
      <c r="P756" s="176" t="s">
        <v>151</v>
      </c>
      <c r="Q756" s="176"/>
      <c r="R756" s="176" t="s">
        <v>5367</v>
      </c>
      <c r="S756" s="176"/>
      <c r="T756" s="176" t="s">
        <v>3006</v>
      </c>
      <c r="U756" s="176" t="s">
        <v>152</v>
      </c>
      <c r="V756" s="176" t="s">
        <v>23</v>
      </c>
    </row>
    <row r="757" spans="2:22" ht="12" customHeight="1">
      <c r="B757" s="211">
        <v>46216</v>
      </c>
      <c r="C757" s="211">
        <v>46216</v>
      </c>
      <c r="D757" s="176" t="s">
        <v>5368</v>
      </c>
      <c r="E757" s="176" t="s">
        <v>5369</v>
      </c>
      <c r="F757" s="176" t="s">
        <v>87</v>
      </c>
      <c r="G757" s="176" t="s">
        <v>2639</v>
      </c>
      <c r="H757" s="176">
        <v>25</v>
      </c>
      <c r="I757" s="176">
        <v>35.799999999999997</v>
      </c>
      <c r="J757" s="176">
        <v>35.799999999999997</v>
      </c>
      <c r="K757" s="176">
        <v>4</v>
      </c>
      <c r="L757" s="176">
        <v>0</v>
      </c>
      <c r="M757" s="176" t="s">
        <v>148</v>
      </c>
      <c r="N757" s="176" t="s">
        <v>149</v>
      </c>
      <c r="O757" s="176" t="s">
        <v>150</v>
      </c>
      <c r="P757" s="176" t="s">
        <v>151</v>
      </c>
      <c r="Q757" s="176"/>
      <c r="R757" s="176" t="s">
        <v>5369</v>
      </c>
      <c r="S757" s="176"/>
      <c r="T757" s="176" t="s">
        <v>3006</v>
      </c>
      <c r="U757" s="176" t="s">
        <v>152</v>
      </c>
      <c r="V757" s="176" t="s">
        <v>23</v>
      </c>
    </row>
    <row r="758" spans="2:22" ht="12" customHeight="1">
      <c r="B758" s="211">
        <v>46216</v>
      </c>
      <c r="C758" s="211">
        <v>46216</v>
      </c>
      <c r="D758" s="176" t="s">
        <v>5370</v>
      </c>
      <c r="E758" s="176" t="s">
        <v>5371</v>
      </c>
      <c r="F758" s="176" t="s">
        <v>87</v>
      </c>
      <c r="G758" s="176" t="s">
        <v>3934</v>
      </c>
      <c r="H758" s="176">
        <v>25</v>
      </c>
      <c r="I758" s="176">
        <v>40.799999999999997</v>
      </c>
      <c r="J758" s="176">
        <v>40.799999999999997</v>
      </c>
      <c r="K758" s="176">
        <v>4</v>
      </c>
      <c r="L758" s="176">
        <v>0</v>
      </c>
      <c r="M758" s="176" t="s">
        <v>148</v>
      </c>
      <c r="N758" s="176" t="s">
        <v>149</v>
      </c>
      <c r="O758" s="176" t="s">
        <v>150</v>
      </c>
      <c r="P758" s="176" t="s">
        <v>151</v>
      </c>
      <c r="Q758" s="176"/>
      <c r="R758" s="176" t="s">
        <v>5371</v>
      </c>
      <c r="S758" s="176"/>
      <c r="T758" s="176" t="s">
        <v>3006</v>
      </c>
      <c r="U758" s="176" t="s">
        <v>152</v>
      </c>
      <c r="V758" s="176" t="s">
        <v>23</v>
      </c>
    </row>
    <row r="759" spans="2:22" ht="12" customHeight="1">
      <c r="B759" s="211">
        <v>46216</v>
      </c>
      <c r="C759" s="211">
        <v>46216</v>
      </c>
      <c r="D759" s="176" t="s">
        <v>5372</v>
      </c>
      <c r="E759" s="176" t="s">
        <v>5373</v>
      </c>
      <c r="F759" s="176" t="s">
        <v>87</v>
      </c>
      <c r="G759" s="176" t="s">
        <v>2485</v>
      </c>
      <c r="H759" s="176">
        <v>30</v>
      </c>
      <c r="I759" s="176">
        <v>39.299999999999997</v>
      </c>
      <c r="J759" s="176">
        <v>39.299999999999997</v>
      </c>
      <c r="K759" s="176">
        <v>4</v>
      </c>
      <c r="L759" s="176">
        <v>0</v>
      </c>
      <c r="M759" s="176" t="s">
        <v>148</v>
      </c>
      <c r="N759" s="176" t="s">
        <v>149</v>
      </c>
      <c r="O759" s="176" t="s">
        <v>150</v>
      </c>
      <c r="P759" s="176" t="s">
        <v>151</v>
      </c>
      <c r="Q759" s="176"/>
      <c r="R759" s="176" t="s">
        <v>5373</v>
      </c>
      <c r="S759" s="176"/>
      <c r="T759" s="176" t="s">
        <v>3006</v>
      </c>
      <c r="U759" s="176" t="s">
        <v>152</v>
      </c>
      <c r="V759" s="176" t="s">
        <v>23</v>
      </c>
    </row>
    <row r="760" spans="2:22" ht="12" customHeight="1">
      <c r="B760" s="211">
        <v>46216</v>
      </c>
      <c r="C760" s="211">
        <v>46216</v>
      </c>
      <c r="D760" s="176" t="s">
        <v>5374</v>
      </c>
      <c r="E760" s="176" t="s">
        <v>5375</v>
      </c>
      <c r="F760" s="176" t="s">
        <v>87</v>
      </c>
      <c r="G760" s="176" t="s">
        <v>2486</v>
      </c>
      <c r="H760" s="176">
        <v>40</v>
      </c>
      <c r="I760" s="176">
        <v>39.700000000000003</v>
      </c>
      <c r="J760" s="176">
        <v>39.700000000000003</v>
      </c>
      <c r="K760" s="176">
        <v>5</v>
      </c>
      <c r="L760" s="176">
        <v>0</v>
      </c>
      <c r="M760" s="176" t="s">
        <v>148</v>
      </c>
      <c r="N760" s="176" t="s">
        <v>149</v>
      </c>
      <c r="O760" s="176" t="s">
        <v>150</v>
      </c>
      <c r="P760" s="176" t="s">
        <v>151</v>
      </c>
      <c r="Q760" s="176"/>
      <c r="R760" s="176" t="s">
        <v>5375</v>
      </c>
      <c r="S760" s="176"/>
      <c r="T760" s="176" t="s">
        <v>3006</v>
      </c>
      <c r="U760" s="176" t="s">
        <v>152</v>
      </c>
      <c r="V760" s="176" t="s">
        <v>23</v>
      </c>
    </row>
    <row r="761" spans="2:22" ht="12" customHeight="1">
      <c r="B761" s="211">
        <v>46216</v>
      </c>
      <c r="C761" s="211">
        <v>46216</v>
      </c>
      <c r="D761" s="176" t="s">
        <v>5376</v>
      </c>
      <c r="E761" s="176" t="s">
        <v>5377</v>
      </c>
      <c r="F761" s="176" t="s">
        <v>87</v>
      </c>
      <c r="G761" s="176" t="s">
        <v>3934</v>
      </c>
      <c r="H761" s="176">
        <v>25</v>
      </c>
      <c r="I761" s="176">
        <v>22.4</v>
      </c>
      <c r="J761" s="176">
        <v>22.4</v>
      </c>
      <c r="K761" s="176">
        <v>4</v>
      </c>
      <c r="L761" s="176">
        <v>0</v>
      </c>
      <c r="M761" s="176" t="s">
        <v>148</v>
      </c>
      <c r="N761" s="176" t="s">
        <v>149</v>
      </c>
      <c r="O761" s="176" t="s">
        <v>150</v>
      </c>
      <c r="P761" s="176" t="s">
        <v>151</v>
      </c>
      <c r="Q761" s="176"/>
      <c r="R761" s="176" t="s">
        <v>5377</v>
      </c>
      <c r="S761" s="176"/>
      <c r="T761" s="176" t="s">
        <v>3006</v>
      </c>
      <c r="U761" s="176" t="s">
        <v>152</v>
      </c>
      <c r="V761" s="176" t="s">
        <v>23</v>
      </c>
    </row>
    <row r="762" spans="2:22" ht="12" customHeight="1">
      <c r="B762" s="211">
        <v>46216</v>
      </c>
      <c r="C762" s="211">
        <v>46216</v>
      </c>
      <c r="D762" s="176" t="s">
        <v>5378</v>
      </c>
      <c r="E762" s="176" t="s">
        <v>5379</v>
      </c>
      <c r="F762" s="176" t="s">
        <v>87</v>
      </c>
      <c r="G762" s="176" t="s">
        <v>3934</v>
      </c>
      <c r="H762" s="176">
        <v>25</v>
      </c>
      <c r="I762" s="176">
        <v>35.4</v>
      </c>
      <c r="J762" s="176">
        <v>35.4</v>
      </c>
      <c r="K762" s="176">
        <v>4</v>
      </c>
      <c r="L762" s="176">
        <v>0</v>
      </c>
      <c r="M762" s="176" t="s">
        <v>148</v>
      </c>
      <c r="N762" s="176" t="s">
        <v>149</v>
      </c>
      <c r="O762" s="176" t="s">
        <v>150</v>
      </c>
      <c r="P762" s="176" t="s">
        <v>151</v>
      </c>
      <c r="Q762" s="176"/>
      <c r="R762" s="176" t="s">
        <v>5379</v>
      </c>
      <c r="S762" s="176"/>
      <c r="T762" s="176" t="s">
        <v>3006</v>
      </c>
      <c r="U762" s="176" t="s">
        <v>152</v>
      </c>
      <c r="V762" s="176" t="s">
        <v>23</v>
      </c>
    </row>
    <row r="763" spans="2:22" ht="12" customHeight="1">
      <c r="B763" s="211">
        <v>46216</v>
      </c>
      <c r="C763" s="211">
        <v>46216</v>
      </c>
      <c r="D763" s="176" t="s">
        <v>5380</v>
      </c>
      <c r="E763" s="176" t="s">
        <v>5381</v>
      </c>
      <c r="F763" s="176" t="s">
        <v>87</v>
      </c>
      <c r="G763" s="176" t="s">
        <v>3934</v>
      </c>
      <c r="H763" s="176">
        <v>25</v>
      </c>
      <c r="I763" s="176">
        <v>41.7</v>
      </c>
      <c r="J763" s="176">
        <v>41.7</v>
      </c>
      <c r="K763" s="176">
        <v>4</v>
      </c>
      <c r="L763" s="176">
        <v>0</v>
      </c>
      <c r="M763" s="176" t="s">
        <v>148</v>
      </c>
      <c r="N763" s="176" t="s">
        <v>149</v>
      </c>
      <c r="O763" s="176" t="s">
        <v>150</v>
      </c>
      <c r="P763" s="176" t="s">
        <v>151</v>
      </c>
      <c r="Q763" s="176"/>
      <c r="R763" s="176" t="s">
        <v>5381</v>
      </c>
      <c r="S763" s="176"/>
      <c r="T763" s="176" t="s">
        <v>3006</v>
      </c>
      <c r="U763" s="176" t="s">
        <v>152</v>
      </c>
      <c r="V763" s="176" t="s">
        <v>23</v>
      </c>
    </row>
    <row r="764" spans="2:22" ht="12" customHeight="1">
      <c r="B764" s="211">
        <v>46216</v>
      </c>
      <c r="C764" s="211">
        <v>46216</v>
      </c>
      <c r="D764" s="176" t="s">
        <v>5382</v>
      </c>
      <c r="E764" s="176" t="s">
        <v>5383</v>
      </c>
      <c r="F764" s="176" t="s">
        <v>87</v>
      </c>
      <c r="G764" s="176" t="s">
        <v>2552</v>
      </c>
      <c r="H764" s="176">
        <v>40</v>
      </c>
      <c r="I764" s="176">
        <v>35.4</v>
      </c>
      <c r="J764" s="176">
        <v>35.4</v>
      </c>
      <c r="K764" s="176">
        <v>5</v>
      </c>
      <c r="L764" s="176">
        <v>0</v>
      </c>
      <c r="M764" s="176" t="s">
        <v>148</v>
      </c>
      <c r="N764" s="176" t="s">
        <v>149</v>
      </c>
      <c r="O764" s="176" t="s">
        <v>150</v>
      </c>
      <c r="P764" s="176" t="s">
        <v>151</v>
      </c>
      <c r="Q764" s="176"/>
      <c r="R764" s="176" t="s">
        <v>5383</v>
      </c>
      <c r="S764" s="176"/>
      <c r="T764" s="176" t="s">
        <v>3006</v>
      </c>
      <c r="U764" s="176" t="s">
        <v>152</v>
      </c>
      <c r="V764" s="176" t="s">
        <v>23</v>
      </c>
    </row>
    <row r="765" spans="2:22" ht="12" customHeight="1">
      <c r="B765" s="211">
        <v>46216</v>
      </c>
      <c r="C765" s="211">
        <v>46216</v>
      </c>
      <c r="D765" s="176" t="s">
        <v>5384</v>
      </c>
      <c r="E765" s="176" t="s">
        <v>5385</v>
      </c>
      <c r="F765" s="176" t="s">
        <v>87</v>
      </c>
      <c r="G765" s="176" t="s">
        <v>2486</v>
      </c>
      <c r="H765" s="176">
        <v>40</v>
      </c>
      <c r="I765" s="176">
        <v>35.4</v>
      </c>
      <c r="J765" s="176">
        <v>35.4</v>
      </c>
      <c r="K765" s="176">
        <v>5</v>
      </c>
      <c r="L765" s="176">
        <v>0</v>
      </c>
      <c r="M765" s="176" t="s">
        <v>148</v>
      </c>
      <c r="N765" s="176" t="s">
        <v>149</v>
      </c>
      <c r="O765" s="176" t="s">
        <v>150</v>
      </c>
      <c r="P765" s="176" t="s">
        <v>151</v>
      </c>
      <c r="Q765" s="176"/>
      <c r="R765" s="176" t="s">
        <v>5385</v>
      </c>
      <c r="S765" s="176"/>
      <c r="T765" s="176" t="s">
        <v>3006</v>
      </c>
      <c r="U765" s="176" t="s">
        <v>152</v>
      </c>
      <c r="V765" s="176" t="s">
        <v>23</v>
      </c>
    </row>
    <row r="766" spans="2:22" ht="12" customHeight="1">
      <c r="B766" s="211">
        <v>46216</v>
      </c>
      <c r="C766" s="211">
        <v>46216</v>
      </c>
      <c r="D766" s="176" t="s">
        <v>5386</v>
      </c>
      <c r="E766" s="176" t="s">
        <v>5387</v>
      </c>
      <c r="F766" s="176" t="s">
        <v>87</v>
      </c>
      <c r="G766" s="176" t="s">
        <v>2486</v>
      </c>
      <c r="H766" s="176">
        <v>40</v>
      </c>
      <c r="I766" s="176">
        <v>38.799999999999997</v>
      </c>
      <c r="J766" s="176">
        <v>38.799999999999997</v>
      </c>
      <c r="K766" s="176">
        <v>5</v>
      </c>
      <c r="L766" s="176">
        <v>0</v>
      </c>
      <c r="M766" s="176" t="s">
        <v>148</v>
      </c>
      <c r="N766" s="176" t="s">
        <v>149</v>
      </c>
      <c r="O766" s="176" t="s">
        <v>150</v>
      </c>
      <c r="P766" s="176" t="s">
        <v>151</v>
      </c>
      <c r="Q766" s="176"/>
      <c r="R766" s="176" t="s">
        <v>5387</v>
      </c>
      <c r="S766" s="176"/>
      <c r="T766" s="176" t="s">
        <v>3006</v>
      </c>
      <c r="U766" s="176" t="s">
        <v>152</v>
      </c>
      <c r="V766" s="176" t="s">
        <v>23</v>
      </c>
    </row>
    <row r="767" spans="2:22" ht="12" customHeight="1">
      <c r="B767" s="211">
        <v>46216</v>
      </c>
      <c r="C767" s="211">
        <v>46216</v>
      </c>
      <c r="D767" s="176" t="s">
        <v>5388</v>
      </c>
      <c r="E767" s="176" t="s">
        <v>5389</v>
      </c>
      <c r="F767" s="176" t="s">
        <v>87</v>
      </c>
      <c r="G767" s="176" t="s">
        <v>2633</v>
      </c>
      <c r="H767" s="176">
        <v>40</v>
      </c>
      <c r="I767" s="176">
        <v>32.299999999999997</v>
      </c>
      <c r="J767" s="176">
        <v>32.299999999999997</v>
      </c>
      <c r="K767" s="176">
        <v>5</v>
      </c>
      <c r="L767" s="176">
        <v>0</v>
      </c>
      <c r="M767" s="176" t="s">
        <v>148</v>
      </c>
      <c r="N767" s="176" t="s">
        <v>149</v>
      </c>
      <c r="O767" s="176" t="s">
        <v>150</v>
      </c>
      <c r="P767" s="176" t="s">
        <v>151</v>
      </c>
      <c r="Q767" s="176"/>
      <c r="R767" s="176" t="s">
        <v>5389</v>
      </c>
      <c r="S767" s="176"/>
      <c r="T767" s="176" t="s">
        <v>3006</v>
      </c>
      <c r="U767" s="176" t="s">
        <v>152</v>
      </c>
      <c r="V767" s="176" t="s">
        <v>23</v>
      </c>
    </row>
    <row r="768" spans="2:22" ht="12" customHeight="1">
      <c r="B768" s="211">
        <v>46216</v>
      </c>
      <c r="C768" s="211">
        <v>46216</v>
      </c>
      <c r="D768" s="176" t="s">
        <v>5390</v>
      </c>
      <c r="E768" s="176" t="s">
        <v>5391</v>
      </c>
      <c r="F768" s="176" t="s">
        <v>87</v>
      </c>
      <c r="G768" s="176" t="s">
        <v>3866</v>
      </c>
      <c r="H768" s="176">
        <v>40</v>
      </c>
      <c r="I768" s="176">
        <v>29.4</v>
      </c>
      <c r="J768" s="176">
        <v>29.4</v>
      </c>
      <c r="K768" s="176">
        <v>5</v>
      </c>
      <c r="L768" s="176">
        <v>0</v>
      </c>
      <c r="M768" s="176" t="s">
        <v>148</v>
      </c>
      <c r="N768" s="176" t="s">
        <v>149</v>
      </c>
      <c r="O768" s="176" t="s">
        <v>150</v>
      </c>
      <c r="P768" s="176" t="s">
        <v>151</v>
      </c>
      <c r="Q768" s="176"/>
      <c r="R768" s="176" t="s">
        <v>5391</v>
      </c>
      <c r="S768" s="176"/>
      <c r="T768" s="176" t="s">
        <v>3006</v>
      </c>
      <c r="U768" s="176" t="s">
        <v>152</v>
      </c>
      <c r="V768" s="176" t="s">
        <v>23</v>
      </c>
    </row>
    <row r="769" spans="2:22" ht="12" customHeight="1">
      <c r="B769" s="211">
        <v>46216</v>
      </c>
      <c r="C769" s="211">
        <v>46216</v>
      </c>
      <c r="D769" s="176" t="s">
        <v>5392</v>
      </c>
      <c r="E769" s="176" t="s">
        <v>5393</v>
      </c>
      <c r="F769" s="176" t="s">
        <v>87</v>
      </c>
      <c r="G769" s="176" t="s">
        <v>4929</v>
      </c>
      <c r="H769" s="176">
        <v>55</v>
      </c>
      <c r="I769" s="176">
        <v>39.4</v>
      </c>
      <c r="J769" s="176">
        <v>39.4</v>
      </c>
      <c r="K769" s="176">
        <v>5</v>
      </c>
      <c r="L769" s="176">
        <v>0</v>
      </c>
      <c r="M769" s="176" t="s">
        <v>148</v>
      </c>
      <c r="N769" s="176" t="s">
        <v>149</v>
      </c>
      <c r="O769" s="176" t="s">
        <v>150</v>
      </c>
      <c r="P769" s="176" t="s">
        <v>151</v>
      </c>
      <c r="Q769" s="176"/>
      <c r="R769" s="176" t="s">
        <v>5393</v>
      </c>
      <c r="S769" s="176"/>
      <c r="T769" s="176" t="s">
        <v>3006</v>
      </c>
      <c r="U769" s="176" t="s">
        <v>152</v>
      </c>
      <c r="V769" s="176" t="s">
        <v>23</v>
      </c>
    </row>
    <row r="770" spans="2:22" ht="12" customHeight="1">
      <c r="B770" s="211">
        <v>46216</v>
      </c>
      <c r="C770" s="211">
        <v>46216</v>
      </c>
      <c r="D770" s="176" t="s">
        <v>5394</v>
      </c>
      <c r="E770" s="176" t="s">
        <v>5395</v>
      </c>
      <c r="F770" s="176" t="s">
        <v>87</v>
      </c>
      <c r="G770" s="176" t="s">
        <v>2485</v>
      </c>
      <c r="H770" s="176">
        <v>30</v>
      </c>
      <c r="I770" s="176">
        <v>41.2</v>
      </c>
      <c r="J770" s="176">
        <v>41.2</v>
      </c>
      <c r="K770" s="176">
        <v>4</v>
      </c>
      <c r="L770" s="176">
        <v>0</v>
      </c>
      <c r="M770" s="176" t="s">
        <v>148</v>
      </c>
      <c r="N770" s="176" t="s">
        <v>149</v>
      </c>
      <c r="O770" s="176" t="s">
        <v>150</v>
      </c>
      <c r="P770" s="176" t="s">
        <v>151</v>
      </c>
      <c r="Q770" s="176"/>
      <c r="R770" s="176" t="s">
        <v>5395</v>
      </c>
      <c r="S770" s="176"/>
      <c r="T770" s="176" t="s">
        <v>3006</v>
      </c>
      <c r="U770" s="176" t="s">
        <v>152</v>
      </c>
      <c r="V770" s="176" t="s">
        <v>23</v>
      </c>
    </row>
    <row r="771" spans="2:22" ht="12" customHeight="1">
      <c r="B771" s="211">
        <v>46216</v>
      </c>
      <c r="C771" s="211">
        <v>46216</v>
      </c>
      <c r="D771" s="176" t="s">
        <v>5396</v>
      </c>
      <c r="E771" s="176" t="s">
        <v>5397</v>
      </c>
      <c r="F771" s="176" t="s">
        <v>87</v>
      </c>
      <c r="G771" s="176" t="s">
        <v>2552</v>
      </c>
      <c r="H771" s="176">
        <v>40</v>
      </c>
      <c r="I771" s="176">
        <v>34.799999999999997</v>
      </c>
      <c r="J771" s="176">
        <v>34.799999999999997</v>
      </c>
      <c r="K771" s="176">
        <v>5</v>
      </c>
      <c r="L771" s="176">
        <v>0</v>
      </c>
      <c r="M771" s="176" t="s">
        <v>148</v>
      </c>
      <c r="N771" s="176" t="s">
        <v>149</v>
      </c>
      <c r="O771" s="176" t="s">
        <v>150</v>
      </c>
      <c r="P771" s="176" t="s">
        <v>151</v>
      </c>
      <c r="Q771" s="176"/>
      <c r="R771" s="176" t="s">
        <v>5397</v>
      </c>
      <c r="S771" s="176"/>
      <c r="T771" s="176" t="s">
        <v>3006</v>
      </c>
      <c r="U771" s="176" t="s">
        <v>152</v>
      </c>
      <c r="V771" s="176" t="s">
        <v>23</v>
      </c>
    </row>
    <row r="772" spans="2:22" ht="12" customHeight="1">
      <c r="B772" s="211">
        <v>46216</v>
      </c>
      <c r="C772" s="211">
        <v>46216</v>
      </c>
      <c r="D772" s="176" t="s">
        <v>5398</v>
      </c>
      <c r="E772" s="176" t="s">
        <v>5399</v>
      </c>
      <c r="F772" s="176" t="s">
        <v>87</v>
      </c>
      <c r="G772" s="176" t="s">
        <v>2552</v>
      </c>
      <c r="H772" s="176">
        <v>40</v>
      </c>
      <c r="I772" s="176">
        <v>32.4</v>
      </c>
      <c r="J772" s="176">
        <v>32.4</v>
      </c>
      <c r="K772" s="176">
        <v>5</v>
      </c>
      <c r="L772" s="176">
        <v>0</v>
      </c>
      <c r="M772" s="176" t="s">
        <v>148</v>
      </c>
      <c r="N772" s="176" t="s">
        <v>149</v>
      </c>
      <c r="O772" s="176" t="s">
        <v>150</v>
      </c>
      <c r="P772" s="176" t="s">
        <v>151</v>
      </c>
      <c r="Q772" s="176"/>
      <c r="R772" s="176" t="s">
        <v>5399</v>
      </c>
      <c r="S772" s="176"/>
      <c r="T772" s="176" t="s">
        <v>3006</v>
      </c>
      <c r="U772" s="176" t="s">
        <v>152</v>
      </c>
      <c r="V772" s="176" t="s">
        <v>23</v>
      </c>
    </row>
    <row r="773" spans="2:22" ht="12" customHeight="1">
      <c r="B773" s="211">
        <v>46216</v>
      </c>
      <c r="C773" s="211">
        <v>46216</v>
      </c>
      <c r="D773" s="176" t="s">
        <v>5400</v>
      </c>
      <c r="E773" s="176" t="s">
        <v>5401</v>
      </c>
      <c r="F773" s="176" t="s">
        <v>87</v>
      </c>
      <c r="G773" s="176" t="s">
        <v>2552</v>
      </c>
      <c r="H773" s="176">
        <v>40</v>
      </c>
      <c r="I773" s="176">
        <v>45.2</v>
      </c>
      <c r="J773" s="176">
        <v>45.2</v>
      </c>
      <c r="K773" s="176">
        <v>5</v>
      </c>
      <c r="L773" s="176">
        <v>0</v>
      </c>
      <c r="M773" s="176" t="s">
        <v>148</v>
      </c>
      <c r="N773" s="176" t="s">
        <v>149</v>
      </c>
      <c r="O773" s="176" t="s">
        <v>150</v>
      </c>
      <c r="P773" s="176" t="s">
        <v>151</v>
      </c>
      <c r="Q773" s="176"/>
      <c r="R773" s="176" t="s">
        <v>5401</v>
      </c>
      <c r="S773" s="176"/>
      <c r="T773" s="176" t="s">
        <v>3006</v>
      </c>
      <c r="U773" s="176" t="s">
        <v>152</v>
      </c>
      <c r="V773" s="176" t="s">
        <v>23</v>
      </c>
    </row>
    <row r="774" spans="2:22" ht="12" customHeight="1">
      <c r="B774" s="211">
        <v>46216</v>
      </c>
      <c r="C774" s="211">
        <v>46216</v>
      </c>
      <c r="D774" s="176" t="s">
        <v>5402</v>
      </c>
      <c r="E774" s="176" t="s">
        <v>5403</v>
      </c>
      <c r="F774" s="176" t="s">
        <v>87</v>
      </c>
      <c r="G774" s="176" t="s">
        <v>3866</v>
      </c>
      <c r="H774" s="176">
        <v>40</v>
      </c>
      <c r="I774" s="176">
        <v>34.799999999999997</v>
      </c>
      <c r="J774" s="176">
        <v>34.799999999999997</v>
      </c>
      <c r="K774" s="176">
        <v>5</v>
      </c>
      <c r="L774" s="176">
        <v>0</v>
      </c>
      <c r="M774" s="176" t="s">
        <v>148</v>
      </c>
      <c r="N774" s="176" t="s">
        <v>149</v>
      </c>
      <c r="O774" s="176" t="s">
        <v>150</v>
      </c>
      <c r="P774" s="176" t="s">
        <v>151</v>
      </c>
      <c r="Q774" s="176"/>
      <c r="R774" s="176" t="s">
        <v>5403</v>
      </c>
      <c r="S774" s="176"/>
      <c r="T774" s="176" t="s">
        <v>3006</v>
      </c>
      <c r="U774" s="176" t="s">
        <v>152</v>
      </c>
      <c r="V774" s="176" t="s">
        <v>23</v>
      </c>
    </row>
    <row r="775" spans="2:22" ht="12" customHeight="1">
      <c r="B775" s="211">
        <v>46216</v>
      </c>
      <c r="C775" s="211">
        <v>46216</v>
      </c>
      <c r="D775" s="176" t="s">
        <v>5404</v>
      </c>
      <c r="E775" s="176" t="s">
        <v>5405</v>
      </c>
      <c r="F775" s="176" t="s">
        <v>87</v>
      </c>
      <c r="G775" s="176" t="s">
        <v>3934</v>
      </c>
      <c r="H775" s="176">
        <v>25</v>
      </c>
      <c r="I775" s="176">
        <v>34</v>
      </c>
      <c r="J775" s="176">
        <v>34</v>
      </c>
      <c r="K775" s="176">
        <v>4</v>
      </c>
      <c r="L775" s="176">
        <v>0</v>
      </c>
      <c r="M775" s="176" t="s">
        <v>148</v>
      </c>
      <c r="N775" s="176" t="s">
        <v>149</v>
      </c>
      <c r="O775" s="176" t="s">
        <v>150</v>
      </c>
      <c r="P775" s="176" t="s">
        <v>151</v>
      </c>
      <c r="Q775" s="176"/>
      <c r="R775" s="176" t="s">
        <v>5405</v>
      </c>
      <c r="S775" s="176"/>
      <c r="T775" s="176" t="s">
        <v>3006</v>
      </c>
      <c r="U775" s="176" t="s">
        <v>152</v>
      </c>
      <c r="V775" s="176" t="s">
        <v>23</v>
      </c>
    </row>
    <row r="776" spans="2:22" ht="12" customHeight="1">
      <c r="B776" s="211">
        <v>46217</v>
      </c>
      <c r="C776" s="211">
        <v>46217</v>
      </c>
      <c r="D776" s="176" t="s">
        <v>5406</v>
      </c>
      <c r="E776" s="176" t="s">
        <v>5407</v>
      </c>
      <c r="F776" s="176" t="s">
        <v>87</v>
      </c>
      <c r="G776" s="176" t="s">
        <v>2633</v>
      </c>
      <c r="H776" s="176">
        <v>40</v>
      </c>
      <c r="I776" s="176">
        <v>14.8</v>
      </c>
      <c r="J776" s="176">
        <v>14.8</v>
      </c>
      <c r="K776" s="176">
        <v>5</v>
      </c>
      <c r="L776" s="176">
        <v>0</v>
      </c>
      <c r="M776" s="176" t="s">
        <v>148</v>
      </c>
      <c r="N776" s="176" t="s">
        <v>149</v>
      </c>
      <c r="O776" s="176" t="s">
        <v>150</v>
      </c>
      <c r="P776" s="176" t="s">
        <v>151</v>
      </c>
      <c r="Q776" s="176"/>
      <c r="R776" s="176" t="s">
        <v>5407</v>
      </c>
      <c r="S776" s="176"/>
      <c r="T776" s="176" t="s">
        <v>3019</v>
      </c>
      <c r="U776" s="176" t="s">
        <v>152</v>
      </c>
      <c r="V776" s="176" t="s">
        <v>23</v>
      </c>
    </row>
    <row r="777" spans="2:22" ht="12" customHeight="1">
      <c r="B777" s="211">
        <v>46217</v>
      </c>
      <c r="C777" s="211">
        <v>46217</v>
      </c>
      <c r="D777" s="176" t="s">
        <v>5408</v>
      </c>
      <c r="E777" s="176" t="s">
        <v>5409</v>
      </c>
      <c r="F777" s="176" t="s">
        <v>87</v>
      </c>
      <c r="G777" s="176" t="s">
        <v>2552</v>
      </c>
      <c r="H777" s="176">
        <v>40</v>
      </c>
      <c r="I777" s="176">
        <v>33.799999999999997</v>
      </c>
      <c r="J777" s="176">
        <v>33.799999999999997</v>
      </c>
      <c r="K777" s="176">
        <v>5</v>
      </c>
      <c r="L777" s="176">
        <v>0</v>
      </c>
      <c r="M777" s="176" t="s">
        <v>148</v>
      </c>
      <c r="N777" s="176" t="s">
        <v>149</v>
      </c>
      <c r="O777" s="176" t="s">
        <v>150</v>
      </c>
      <c r="P777" s="176" t="s">
        <v>151</v>
      </c>
      <c r="Q777" s="176"/>
      <c r="R777" s="176" t="s">
        <v>5409</v>
      </c>
      <c r="S777" s="176"/>
      <c r="T777" s="176" t="s">
        <v>3019</v>
      </c>
      <c r="U777" s="176" t="s">
        <v>152</v>
      </c>
      <c r="V777" s="176" t="s">
        <v>23</v>
      </c>
    </row>
    <row r="778" spans="2:22" ht="12" customHeight="1">
      <c r="B778" s="211">
        <v>46217</v>
      </c>
      <c r="C778" s="211">
        <v>46217</v>
      </c>
      <c r="D778" s="176" t="s">
        <v>5410</v>
      </c>
      <c r="E778" s="176" t="s">
        <v>5411</v>
      </c>
      <c r="F778" s="176" t="s">
        <v>87</v>
      </c>
      <c r="G778" s="176" t="s">
        <v>2486</v>
      </c>
      <c r="H778" s="176">
        <v>40</v>
      </c>
      <c r="I778" s="176">
        <v>39.299999999999997</v>
      </c>
      <c r="J778" s="176">
        <v>39.299999999999997</v>
      </c>
      <c r="K778" s="176">
        <v>5</v>
      </c>
      <c r="L778" s="176">
        <v>0</v>
      </c>
      <c r="M778" s="176" t="s">
        <v>148</v>
      </c>
      <c r="N778" s="176" t="s">
        <v>149</v>
      </c>
      <c r="O778" s="176" t="s">
        <v>150</v>
      </c>
      <c r="P778" s="176" t="s">
        <v>151</v>
      </c>
      <c r="Q778" s="176"/>
      <c r="R778" s="176" t="s">
        <v>5411</v>
      </c>
      <c r="S778" s="176"/>
      <c r="T778" s="176" t="s">
        <v>3019</v>
      </c>
      <c r="U778" s="176" t="s">
        <v>152</v>
      </c>
      <c r="V778" s="176" t="s">
        <v>23</v>
      </c>
    </row>
    <row r="779" spans="2:22" ht="12" customHeight="1">
      <c r="B779" s="211">
        <v>46217</v>
      </c>
      <c r="C779" s="211">
        <v>46217</v>
      </c>
      <c r="D779" s="176" t="s">
        <v>5412</v>
      </c>
      <c r="E779" s="176" t="s">
        <v>5413</v>
      </c>
      <c r="F779" s="176" t="s">
        <v>87</v>
      </c>
      <c r="G779" s="176" t="s">
        <v>2552</v>
      </c>
      <c r="H779" s="176">
        <v>40</v>
      </c>
      <c r="I779" s="176">
        <v>42.2</v>
      </c>
      <c r="J779" s="176">
        <v>42.2</v>
      </c>
      <c r="K779" s="176">
        <v>5</v>
      </c>
      <c r="L779" s="176">
        <v>0</v>
      </c>
      <c r="M779" s="176" t="s">
        <v>148</v>
      </c>
      <c r="N779" s="176" t="s">
        <v>149</v>
      </c>
      <c r="O779" s="176" t="s">
        <v>150</v>
      </c>
      <c r="P779" s="176" t="s">
        <v>151</v>
      </c>
      <c r="Q779" s="176"/>
      <c r="R779" s="176" t="s">
        <v>5413</v>
      </c>
      <c r="S779" s="176"/>
      <c r="T779" s="176" t="s">
        <v>3019</v>
      </c>
      <c r="U779" s="176" t="s">
        <v>152</v>
      </c>
      <c r="V779" s="176" t="s">
        <v>23</v>
      </c>
    </row>
    <row r="780" spans="2:22" ht="12" customHeight="1">
      <c r="B780" s="211">
        <v>46217</v>
      </c>
      <c r="C780" s="211">
        <v>46217</v>
      </c>
      <c r="D780" s="176" t="s">
        <v>5414</v>
      </c>
      <c r="E780" s="176" t="s">
        <v>5415</v>
      </c>
      <c r="F780" s="176" t="s">
        <v>87</v>
      </c>
      <c r="G780" s="176" t="s">
        <v>2552</v>
      </c>
      <c r="H780" s="176">
        <v>40</v>
      </c>
      <c r="I780" s="176">
        <v>32.200000000000003</v>
      </c>
      <c r="J780" s="176">
        <v>32.200000000000003</v>
      </c>
      <c r="K780" s="176">
        <v>5</v>
      </c>
      <c r="L780" s="176">
        <v>0</v>
      </c>
      <c r="M780" s="176" t="s">
        <v>148</v>
      </c>
      <c r="N780" s="176" t="s">
        <v>149</v>
      </c>
      <c r="O780" s="176" t="s">
        <v>150</v>
      </c>
      <c r="P780" s="176" t="s">
        <v>151</v>
      </c>
      <c r="Q780" s="176"/>
      <c r="R780" s="176" t="s">
        <v>5415</v>
      </c>
      <c r="S780" s="176"/>
      <c r="T780" s="176" t="s">
        <v>3019</v>
      </c>
      <c r="U780" s="176" t="s">
        <v>152</v>
      </c>
      <c r="V780" s="176" t="s">
        <v>23</v>
      </c>
    </row>
    <row r="781" spans="2:22" ht="12" customHeight="1">
      <c r="B781" s="211">
        <v>46217</v>
      </c>
      <c r="C781" s="211">
        <v>46217</v>
      </c>
      <c r="D781" s="176" t="s">
        <v>5416</v>
      </c>
      <c r="E781" s="176" t="s">
        <v>5417</v>
      </c>
      <c r="F781" s="176" t="s">
        <v>87</v>
      </c>
      <c r="G781" s="176" t="s">
        <v>2552</v>
      </c>
      <c r="H781" s="176">
        <v>40</v>
      </c>
      <c r="I781" s="176">
        <v>24.2</v>
      </c>
      <c r="J781" s="176">
        <v>24.2</v>
      </c>
      <c r="K781" s="176">
        <v>5</v>
      </c>
      <c r="L781" s="176">
        <v>0</v>
      </c>
      <c r="M781" s="176" t="s">
        <v>148</v>
      </c>
      <c r="N781" s="176" t="s">
        <v>149</v>
      </c>
      <c r="O781" s="176" t="s">
        <v>150</v>
      </c>
      <c r="P781" s="176" t="s">
        <v>151</v>
      </c>
      <c r="Q781" s="176"/>
      <c r="R781" s="176" t="s">
        <v>5417</v>
      </c>
      <c r="S781" s="176"/>
      <c r="T781" s="176" t="s">
        <v>3019</v>
      </c>
      <c r="U781" s="176" t="s">
        <v>152</v>
      </c>
      <c r="V781" s="176" t="s">
        <v>23</v>
      </c>
    </row>
    <row r="782" spans="2:22" ht="12" customHeight="1">
      <c r="B782" s="211">
        <v>46217</v>
      </c>
      <c r="C782" s="211">
        <v>46217</v>
      </c>
      <c r="D782" s="176" t="s">
        <v>5418</v>
      </c>
      <c r="E782" s="176" t="s">
        <v>5419</v>
      </c>
      <c r="F782" s="176" t="s">
        <v>87</v>
      </c>
      <c r="G782" s="176" t="s">
        <v>2552</v>
      </c>
      <c r="H782" s="176">
        <v>40</v>
      </c>
      <c r="I782" s="176">
        <v>37.200000000000003</v>
      </c>
      <c r="J782" s="176">
        <v>37.200000000000003</v>
      </c>
      <c r="K782" s="176">
        <v>5</v>
      </c>
      <c r="L782" s="176">
        <v>0</v>
      </c>
      <c r="M782" s="176" t="s">
        <v>148</v>
      </c>
      <c r="N782" s="176" t="s">
        <v>149</v>
      </c>
      <c r="O782" s="176" t="s">
        <v>150</v>
      </c>
      <c r="P782" s="176" t="s">
        <v>151</v>
      </c>
      <c r="Q782" s="176"/>
      <c r="R782" s="176" t="s">
        <v>5419</v>
      </c>
      <c r="S782" s="176"/>
      <c r="T782" s="176" t="s">
        <v>3019</v>
      </c>
      <c r="U782" s="176" t="s">
        <v>152</v>
      </c>
      <c r="V782" s="176" t="s">
        <v>23</v>
      </c>
    </row>
    <row r="783" spans="2:22" ht="12" customHeight="1">
      <c r="B783" s="211">
        <v>46217</v>
      </c>
      <c r="C783" s="211">
        <v>46217</v>
      </c>
      <c r="D783" s="176" t="s">
        <v>5420</v>
      </c>
      <c r="E783" s="176" t="s">
        <v>5421</v>
      </c>
      <c r="F783" s="176" t="s">
        <v>87</v>
      </c>
      <c r="G783" s="176" t="s">
        <v>2552</v>
      </c>
      <c r="H783" s="176">
        <v>40</v>
      </c>
      <c r="I783" s="176">
        <v>42.3</v>
      </c>
      <c r="J783" s="176">
        <v>42.3</v>
      </c>
      <c r="K783" s="176">
        <v>5</v>
      </c>
      <c r="L783" s="176">
        <v>0</v>
      </c>
      <c r="M783" s="176" t="s">
        <v>148</v>
      </c>
      <c r="N783" s="176" t="s">
        <v>149</v>
      </c>
      <c r="O783" s="176" t="s">
        <v>150</v>
      </c>
      <c r="P783" s="176" t="s">
        <v>151</v>
      </c>
      <c r="Q783" s="176"/>
      <c r="R783" s="176" t="s">
        <v>5421</v>
      </c>
      <c r="S783" s="176"/>
      <c r="T783" s="176" t="s">
        <v>3019</v>
      </c>
      <c r="U783" s="176" t="s">
        <v>152</v>
      </c>
      <c r="V783" s="176" t="s">
        <v>23</v>
      </c>
    </row>
    <row r="784" spans="2:22" ht="12" customHeight="1">
      <c r="B784" s="211">
        <v>46217</v>
      </c>
      <c r="C784" s="211">
        <v>46217</v>
      </c>
      <c r="D784" s="176" t="s">
        <v>5422</v>
      </c>
      <c r="E784" s="176" t="s">
        <v>5423</v>
      </c>
      <c r="F784" s="176" t="s">
        <v>87</v>
      </c>
      <c r="G784" s="176" t="s">
        <v>2639</v>
      </c>
      <c r="H784" s="176">
        <v>25</v>
      </c>
      <c r="I784" s="176">
        <v>25.8</v>
      </c>
      <c r="J784" s="176">
        <v>25.8</v>
      </c>
      <c r="K784" s="176">
        <v>4</v>
      </c>
      <c r="L784" s="176">
        <v>0</v>
      </c>
      <c r="M784" s="176" t="s">
        <v>148</v>
      </c>
      <c r="N784" s="176" t="s">
        <v>149</v>
      </c>
      <c r="O784" s="176" t="s">
        <v>150</v>
      </c>
      <c r="P784" s="176" t="s">
        <v>151</v>
      </c>
      <c r="Q784" s="176"/>
      <c r="R784" s="176" t="s">
        <v>5423</v>
      </c>
      <c r="S784" s="176"/>
      <c r="T784" s="176" t="s">
        <v>3019</v>
      </c>
      <c r="U784" s="176" t="s">
        <v>152</v>
      </c>
      <c r="V784" s="176" t="s">
        <v>23</v>
      </c>
    </row>
    <row r="785" spans="2:22" ht="12" customHeight="1">
      <c r="B785" s="211">
        <v>46217</v>
      </c>
      <c r="C785" s="211">
        <v>46217</v>
      </c>
      <c r="D785" s="176" t="s">
        <v>5424</v>
      </c>
      <c r="E785" s="176" t="s">
        <v>5425</v>
      </c>
      <c r="F785" s="176" t="s">
        <v>87</v>
      </c>
      <c r="G785" s="176" t="s">
        <v>2486</v>
      </c>
      <c r="H785" s="176">
        <v>40</v>
      </c>
      <c r="I785" s="176">
        <v>38.5</v>
      </c>
      <c r="J785" s="176">
        <v>38.5</v>
      </c>
      <c r="K785" s="176">
        <v>5</v>
      </c>
      <c r="L785" s="176">
        <v>0</v>
      </c>
      <c r="M785" s="176" t="s">
        <v>148</v>
      </c>
      <c r="N785" s="176" t="s">
        <v>149</v>
      </c>
      <c r="O785" s="176" t="s">
        <v>150</v>
      </c>
      <c r="P785" s="176" t="s">
        <v>151</v>
      </c>
      <c r="Q785" s="176"/>
      <c r="R785" s="176" t="s">
        <v>5425</v>
      </c>
      <c r="S785" s="176"/>
      <c r="T785" s="176" t="s">
        <v>3019</v>
      </c>
      <c r="U785" s="176" t="s">
        <v>152</v>
      </c>
      <c r="V785" s="176" t="s">
        <v>23</v>
      </c>
    </row>
    <row r="786" spans="2:22" ht="12" customHeight="1">
      <c r="B786" s="211">
        <v>46217</v>
      </c>
      <c r="C786" s="211">
        <v>46217</v>
      </c>
      <c r="D786" s="176" t="s">
        <v>5426</v>
      </c>
      <c r="E786" s="176" t="s">
        <v>5427</v>
      </c>
      <c r="F786" s="176" t="s">
        <v>87</v>
      </c>
      <c r="G786" s="176" t="s">
        <v>2639</v>
      </c>
      <c r="H786" s="176">
        <v>25</v>
      </c>
      <c r="I786" s="176">
        <v>34</v>
      </c>
      <c r="J786" s="176">
        <v>34</v>
      </c>
      <c r="K786" s="176">
        <v>4</v>
      </c>
      <c r="L786" s="176">
        <v>0</v>
      </c>
      <c r="M786" s="176" t="s">
        <v>148</v>
      </c>
      <c r="N786" s="176" t="s">
        <v>149</v>
      </c>
      <c r="O786" s="176" t="s">
        <v>150</v>
      </c>
      <c r="P786" s="176" t="s">
        <v>151</v>
      </c>
      <c r="Q786" s="176"/>
      <c r="R786" s="176" t="s">
        <v>5427</v>
      </c>
      <c r="S786" s="176"/>
      <c r="T786" s="176" t="s">
        <v>3019</v>
      </c>
      <c r="U786" s="176" t="s">
        <v>152</v>
      </c>
      <c r="V786" s="176" t="s">
        <v>23</v>
      </c>
    </row>
    <row r="787" spans="2:22" ht="12" customHeight="1">
      <c r="B787" s="211">
        <v>46217</v>
      </c>
      <c r="C787" s="211">
        <v>46217</v>
      </c>
      <c r="D787" s="176" t="s">
        <v>5428</v>
      </c>
      <c r="E787" s="176" t="s">
        <v>5429</v>
      </c>
      <c r="F787" s="176" t="s">
        <v>87</v>
      </c>
      <c r="G787" s="176" t="s">
        <v>2633</v>
      </c>
      <c r="H787" s="176">
        <v>40</v>
      </c>
      <c r="I787" s="176">
        <v>27.5</v>
      </c>
      <c r="J787" s="176">
        <v>27.5</v>
      </c>
      <c r="K787" s="176">
        <v>5</v>
      </c>
      <c r="L787" s="176">
        <v>0</v>
      </c>
      <c r="M787" s="176" t="s">
        <v>148</v>
      </c>
      <c r="N787" s="176" t="s">
        <v>149</v>
      </c>
      <c r="O787" s="176" t="s">
        <v>150</v>
      </c>
      <c r="P787" s="176" t="s">
        <v>151</v>
      </c>
      <c r="Q787" s="176"/>
      <c r="R787" s="176" t="s">
        <v>5429</v>
      </c>
      <c r="S787" s="176"/>
      <c r="T787" s="176" t="s">
        <v>3019</v>
      </c>
      <c r="U787" s="176" t="s">
        <v>152</v>
      </c>
      <c r="V787" s="176" t="s">
        <v>23</v>
      </c>
    </row>
    <row r="788" spans="2:22" ht="12" customHeight="1">
      <c r="B788" s="211">
        <v>46217</v>
      </c>
      <c r="C788" s="211">
        <v>46217</v>
      </c>
      <c r="D788" s="176" t="s">
        <v>5430</v>
      </c>
      <c r="E788" s="176" t="s">
        <v>5431</v>
      </c>
      <c r="F788" s="176" t="s">
        <v>87</v>
      </c>
      <c r="G788" s="176" t="s">
        <v>4929</v>
      </c>
      <c r="H788" s="176">
        <v>55</v>
      </c>
      <c r="I788" s="176">
        <v>34.799999999999997</v>
      </c>
      <c r="J788" s="176">
        <v>34.799999999999997</v>
      </c>
      <c r="K788" s="176">
        <v>5</v>
      </c>
      <c r="L788" s="176">
        <v>0</v>
      </c>
      <c r="M788" s="176" t="s">
        <v>148</v>
      </c>
      <c r="N788" s="176" t="s">
        <v>149</v>
      </c>
      <c r="O788" s="176" t="s">
        <v>150</v>
      </c>
      <c r="P788" s="176" t="s">
        <v>151</v>
      </c>
      <c r="Q788" s="176"/>
      <c r="R788" s="176" t="s">
        <v>5431</v>
      </c>
      <c r="S788" s="176"/>
      <c r="T788" s="176" t="s">
        <v>3019</v>
      </c>
      <c r="U788" s="176" t="s">
        <v>152</v>
      </c>
      <c r="V788" s="176" t="s">
        <v>23</v>
      </c>
    </row>
    <row r="789" spans="2:22" ht="12" customHeight="1">
      <c r="B789" s="211">
        <v>46217</v>
      </c>
      <c r="C789" s="211">
        <v>46217</v>
      </c>
      <c r="D789" s="176" t="s">
        <v>5432</v>
      </c>
      <c r="E789" s="176" t="s">
        <v>5433</v>
      </c>
      <c r="F789" s="176" t="s">
        <v>87</v>
      </c>
      <c r="G789" s="176" t="s">
        <v>2552</v>
      </c>
      <c r="H789" s="176">
        <v>40</v>
      </c>
      <c r="I789" s="176">
        <v>48.1</v>
      </c>
      <c r="J789" s="176">
        <v>48.1</v>
      </c>
      <c r="K789" s="176">
        <v>5</v>
      </c>
      <c r="L789" s="176">
        <v>0</v>
      </c>
      <c r="M789" s="176" t="s">
        <v>148</v>
      </c>
      <c r="N789" s="176" t="s">
        <v>149</v>
      </c>
      <c r="O789" s="176" t="s">
        <v>150</v>
      </c>
      <c r="P789" s="176" t="s">
        <v>151</v>
      </c>
      <c r="Q789" s="176"/>
      <c r="R789" s="176" t="s">
        <v>5433</v>
      </c>
      <c r="S789" s="176"/>
      <c r="T789" s="176" t="s">
        <v>3019</v>
      </c>
      <c r="U789" s="176" t="s">
        <v>152</v>
      </c>
      <c r="V789" s="176" t="s">
        <v>23</v>
      </c>
    </row>
    <row r="790" spans="2:22" ht="12" customHeight="1">
      <c r="B790" s="211">
        <v>46217</v>
      </c>
      <c r="C790" s="211">
        <v>46217</v>
      </c>
      <c r="D790" s="176" t="s">
        <v>5434</v>
      </c>
      <c r="E790" s="176" t="s">
        <v>5435</v>
      </c>
      <c r="F790" s="176" t="s">
        <v>87</v>
      </c>
      <c r="G790" s="176" t="s">
        <v>2552</v>
      </c>
      <c r="H790" s="176">
        <v>40</v>
      </c>
      <c r="I790" s="176">
        <v>41.4</v>
      </c>
      <c r="J790" s="176">
        <v>41.4</v>
      </c>
      <c r="K790" s="176">
        <v>5</v>
      </c>
      <c r="L790" s="176">
        <v>0</v>
      </c>
      <c r="M790" s="176" t="s">
        <v>148</v>
      </c>
      <c r="N790" s="176" t="s">
        <v>149</v>
      </c>
      <c r="O790" s="176" t="s">
        <v>150</v>
      </c>
      <c r="P790" s="176" t="s">
        <v>151</v>
      </c>
      <c r="Q790" s="176"/>
      <c r="R790" s="176" t="s">
        <v>5435</v>
      </c>
      <c r="S790" s="176"/>
      <c r="T790" s="176" t="s">
        <v>3019</v>
      </c>
      <c r="U790" s="176" t="s">
        <v>152</v>
      </c>
      <c r="V790" s="176" t="s">
        <v>23</v>
      </c>
    </row>
    <row r="791" spans="2:22" ht="12" customHeight="1">
      <c r="B791" s="211">
        <v>46217</v>
      </c>
      <c r="C791" s="211">
        <v>46217</v>
      </c>
      <c r="D791" s="176" t="s">
        <v>5436</v>
      </c>
      <c r="E791" s="176" t="s">
        <v>5437</v>
      </c>
      <c r="F791" s="176" t="s">
        <v>87</v>
      </c>
      <c r="G791" s="176" t="s">
        <v>2552</v>
      </c>
      <c r="H791" s="176">
        <v>40</v>
      </c>
      <c r="I791" s="176">
        <v>38.4</v>
      </c>
      <c r="J791" s="176">
        <v>38.4</v>
      </c>
      <c r="K791" s="176">
        <v>5</v>
      </c>
      <c r="L791" s="176">
        <v>0</v>
      </c>
      <c r="M791" s="176" t="s">
        <v>148</v>
      </c>
      <c r="N791" s="176" t="s">
        <v>149</v>
      </c>
      <c r="O791" s="176" t="s">
        <v>150</v>
      </c>
      <c r="P791" s="176" t="s">
        <v>151</v>
      </c>
      <c r="Q791" s="176"/>
      <c r="R791" s="176" t="s">
        <v>5437</v>
      </c>
      <c r="S791" s="176"/>
      <c r="T791" s="176" t="s">
        <v>3019</v>
      </c>
      <c r="U791" s="176" t="s">
        <v>152</v>
      </c>
      <c r="V791" s="176" t="s">
        <v>23</v>
      </c>
    </row>
    <row r="792" spans="2:22" ht="12" customHeight="1">
      <c r="B792" s="211">
        <v>46217</v>
      </c>
      <c r="C792" s="211">
        <v>46217</v>
      </c>
      <c r="D792" s="176" t="s">
        <v>5438</v>
      </c>
      <c r="E792" s="176" t="s">
        <v>5439</v>
      </c>
      <c r="F792" s="176" t="s">
        <v>87</v>
      </c>
      <c r="G792" s="176" t="s">
        <v>2552</v>
      </c>
      <c r="H792" s="176">
        <v>40</v>
      </c>
      <c r="I792" s="176">
        <v>35.799999999999997</v>
      </c>
      <c r="J792" s="176">
        <v>35.799999999999997</v>
      </c>
      <c r="K792" s="176">
        <v>5</v>
      </c>
      <c r="L792" s="176">
        <v>0</v>
      </c>
      <c r="M792" s="176" t="s">
        <v>148</v>
      </c>
      <c r="N792" s="176" t="s">
        <v>149</v>
      </c>
      <c r="O792" s="176" t="s">
        <v>150</v>
      </c>
      <c r="P792" s="176" t="s">
        <v>151</v>
      </c>
      <c r="Q792" s="176"/>
      <c r="R792" s="176" t="s">
        <v>5439</v>
      </c>
      <c r="S792" s="176"/>
      <c r="T792" s="176" t="s">
        <v>3019</v>
      </c>
      <c r="U792" s="176" t="s">
        <v>152</v>
      </c>
      <c r="V792" s="176" t="s">
        <v>23</v>
      </c>
    </row>
    <row r="793" spans="2:22" ht="12" customHeight="1">
      <c r="B793" s="211">
        <v>46217</v>
      </c>
      <c r="C793" s="211">
        <v>46217</v>
      </c>
      <c r="D793" s="176" t="s">
        <v>5440</v>
      </c>
      <c r="E793" s="176" t="s">
        <v>5441</v>
      </c>
      <c r="F793" s="176" t="s">
        <v>87</v>
      </c>
      <c r="G793" s="176" t="s">
        <v>2552</v>
      </c>
      <c r="H793" s="176">
        <v>40</v>
      </c>
      <c r="I793" s="176">
        <v>29.3</v>
      </c>
      <c r="J793" s="176">
        <v>29.3</v>
      </c>
      <c r="K793" s="176">
        <v>5</v>
      </c>
      <c r="L793" s="176">
        <v>0</v>
      </c>
      <c r="M793" s="176" t="s">
        <v>148</v>
      </c>
      <c r="N793" s="176" t="s">
        <v>149</v>
      </c>
      <c r="O793" s="176" t="s">
        <v>150</v>
      </c>
      <c r="P793" s="176" t="s">
        <v>151</v>
      </c>
      <c r="Q793" s="176"/>
      <c r="R793" s="176" t="s">
        <v>5441</v>
      </c>
      <c r="S793" s="176"/>
      <c r="T793" s="176" t="s">
        <v>3019</v>
      </c>
      <c r="U793" s="176" t="s">
        <v>152</v>
      </c>
      <c r="V793" s="176" t="s">
        <v>23</v>
      </c>
    </row>
    <row r="794" spans="2:22" ht="12" customHeight="1">
      <c r="B794" s="211">
        <v>46217</v>
      </c>
      <c r="C794" s="211">
        <v>46217</v>
      </c>
      <c r="D794" s="176" t="s">
        <v>5442</v>
      </c>
      <c r="E794" s="176" t="s">
        <v>5443</v>
      </c>
      <c r="F794" s="176" t="s">
        <v>87</v>
      </c>
      <c r="G794" s="176" t="s">
        <v>3866</v>
      </c>
      <c r="H794" s="176">
        <v>40</v>
      </c>
      <c r="I794" s="176">
        <v>39</v>
      </c>
      <c r="J794" s="176">
        <v>39</v>
      </c>
      <c r="K794" s="176">
        <v>5</v>
      </c>
      <c r="L794" s="176">
        <v>0</v>
      </c>
      <c r="M794" s="176" t="s">
        <v>148</v>
      </c>
      <c r="N794" s="176" t="s">
        <v>149</v>
      </c>
      <c r="O794" s="176" t="s">
        <v>150</v>
      </c>
      <c r="P794" s="176" t="s">
        <v>151</v>
      </c>
      <c r="Q794" s="176"/>
      <c r="R794" s="176" t="s">
        <v>5443</v>
      </c>
      <c r="S794" s="176"/>
      <c r="T794" s="176" t="s">
        <v>3019</v>
      </c>
      <c r="U794" s="176" t="s">
        <v>152</v>
      </c>
      <c r="V794" s="176" t="s">
        <v>23</v>
      </c>
    </row>
    <row r="795" spans="2:22" ht="12" customHeight="1">
      <c r="B795" s="211">
        <v>46217</v>
      </c>
      <c r="C795" s="211">
        <v>46217</v>
      </c>
      <c r="D795" s="176" t="s">
        <v>5444</v>
      </c>
      <c r="E795" s="176" t="s">
        <v>5445</v>
      </c>
      <c r="F795" s="176" t="s">
        <v>87</v>
      </c>
      <c r="G795" s="176" t="s">
        <v>2001</v>
      </c>
      <c r="H795" s="176">
        <v>6</v>
      </c>
      <c r="I795" s="176">
        <v>9.8000000000000007</v>
      </c>
      <c r="J795" s="176">
        <v>9.8000000000000007</v>
      </c>
      <c r="K795" s="176">
        <v>1.5</v>
      </c>
      <c r="L795" s="176">
        <v>0</v>
      </c>
      <c r="M795" s="176" t="s">
        <v>148</v>
      </c>
      <c r="N795" s="176" t="s">
        <v>149</v>
      </c>
      <c r="O795" s="176" t="s">
        <v>150</v>
      </c>
      <c r="P795" s="176" t="s">
        <v>151</v>
      </c>
      <c r="Q795" s="176"/>
      <c r="R795" s="176" t="s">
        <v>5445</v>
      </c>
      <c r="S795" s="176"/>
      <c r="T795" s="176" t="s">
        <v>3019</v>
      </c>
      <c r="U795" s="176" t="s">
        <v>152</v>
      </c>
      <c r="V795" s="176" t="s">
        <v>23</v>
      </c>
    </row>
    <row r="796" spans="2:22" ht="12" customHeight="1">
      <c r="B796" s="211">
        <v>46217</v>
      </c>
      <c r="C796" s="211">
        <v>46217</v>
      </c>
      <c r="D796" s="176" t="s">
        <v>5446</v>
      </c>
      <c r="E796" s="176" t="s">
        <v>5447</v>
      </c>
      <c r="F796" s="176" t="s">
        <v>87</v>
      </c>
      <c r="G796" s="176" t="s">
        <v>2486</v>
      </c>
      <c r="H796" s="176">
        <v>40</v>
      </c>
      <c r="I796" s="176">
        <v>40.1</v>
      </c>
      <c r="J796" s="176">
        <v>40.1</v>
      </c>
      <c r="K796" s="176">
        <v>5</v>
      </c>
      <c r="L796" s="176">
        <v>0</v>
      </c>
      <c r="M796" s="176" t="s">
        <v>148</v>
      </c>
      <c r="N796" s="176" t="s">
        <v>149</v>
      </c>
      <c r="O796" s="176" t="s">
        <v>150</v>
      </c>
      <c r="P796" s="176" t="s">
        <v>151</v>
      </c>
      <c r="Q796" s="176"/>
      <c r="R796" s="176" t="s">
        <v>5447</v>
      </c>
      <c r="S796" s="176"/>
      <c r="T796" s="176" t="s">
        <v>3019</v>
      </c>
      <c r="U796" s="176" t="s">
        <v>152</v>
      </c>
      <c r="V796" s="176" t="s">
        <v>23</v>
      </c>
    </row>
    <row r="797" spans="2:22" ht="12" customHeight="1">
      <c r="B797" s="211">
        <v>46217</v>
      </c>
      <c r="C797" s="211">
        <v>46217</v>
      </c>
      <c r="D797" s="176" t="s">
        <v>5448</v>
      </c>
      <c r="E797" s="176" t="s">
        <v>5449</v>
      </c>
      <c r="F797" s="176" t="s">
        <v>87</v>
      </c>
      <c r="G797" s="176" t="s">
        <v>2552</v>
      </c>
      <c r="H797" s="176">
        <v>40</v>
      </c>
      <c r="I797" s="176">
        <v>44.8</v>
      </c>
      <c r="J797" s="176">
        <v>44.8</v>
      </c>
      <c r="K797" s="176">
        <v>5</v>
      </c>
      <c r="L797" s="176">
        <v>0</v>
      </c>
      <c r="M797" s="176" t="s">
        <v>148</v>
      </c>
      <c r="N797" s="176" t="s">
        <v>149</v>
      </c>
      <c r="O797" s="176" t="s">
        <v>150</v>
      </c>
      <c r="P797" s="176" t="s">
        <v>151</v>
      </c>
      <c r="Q797" s="176"/>
      <c r="R797" s="176" t="s">
        <v>5449</v>
      </c>
      <c r="S797" s="176"/>
      <c r="T797" s="176" t="s">
        <v>3019</v>
      </c>
      <c r="U797" s="176" t="s">
        <v>152</v>
      </c>
      <c r="V797" s="176" t="s">
        <v>23</v>
      </c>
    </row>
    <row r="798" spans="2:22" ht="12" customHeight="1">
      <c r="B798" s="211">
        <v>46217</v>
      </c>
      <c r="C798" s="211">
        <v>46217</v>
      </c>
      <c r="D798" s="176" t="s">
        <v>5450</v>
      </c>
      <c r="E798" s="176" t="s">
        <v>5451</v>
      </c>
      <c r="F798" s="176" t="s">
        <v>87</v>
      </c>
      <c r="G798" s="176" t="s">
        <v>2552</v>
      </c>
      <c r="H798" s="176">
        <v>40</v>
      </c>
      <c r="I798" s="176">
        <v>38.799999999999997</v>
      </c>
      <c r="J798" s="176">
        <v>38.799999999999997</v>
      </c>
      <c r="K798" s="176">
        <v>5</v>
      </c>
      <c r="L798" s="176">
        <v>0</v>
      </c>
      <c r="M798" s="176" t="s">
        <v>148</v>
      </c>
      <c r="N798" s="176" t="s">
        <v>149</v>
      </c>
      <c r="O798" s="176" t="s">
        <v>150</v>
      </c>
      <c r="P798" s="176" t="s">
        <v>151</v>
      </c>
      <c r="Q798" s="176"/>
      <c r="R798" s="176" t="s">
        <v>5451</v>
      </c>
      <c r="S798" s="176"/>
      <c r="T798" s="176" t="s">
        <v>3019</v>
      </c>
      <c r="U798" s="176" t="s">
        <v>152</v>
      </c>
      <c r="V798" s="176" t="s">
        <v>23</v>
      </c>
    </row>
    <row r="799" spans="2:22" ht="12" customHeight="1">
      <c r="B799" s="211">
        <v>46217</v>
      </c>
      <c r="C799" s="211">
        <v>46217</v>
      </c>
      <c r="D799" s="176" t="s">
        <v>5452</v>
      </c>
      <c r="E799" s="176" t="s">
        <v>5453</v>
      </c>
      <c r="F799" s="176" t="s">
        <v>87</v>
      </c>
      <c r="G799" s="176" t="s">
        <v>2486</v>
      </c>
      <c r="H799" s="176">
        <v>40</v>
      </c>
      <c r="I799" s="176">
        <v>34.200000000000003</v>
      </c>
      <c r="J799" s="176">
        <v>34.200000000000003</v>
      </c>
      <c r="K799" s="176">
        <v>5</v>
      </c>
      <c r="L799" s="176">
        <v>0</v>
      </c>
      <c r="M799" s="176" t="s">
        <v>148</v>
      </c>
      <c r="N799" s="176" t="s">
        <v>149</v>
      </c>
      <c r="O799" s="176" t="s">
        <v>150</v>
      </c>
      <c r="P799" s="176" t="s">
        <v>151</v>
      </c>
      <c r="Q799" s="176"/>
      <c r="R799" s="176" t="s">
        <v>5453</v>
      </c>
      <c r="S799" s="176"/>
      <c r="T799" s="176" t="s">
        <v>3019</v>
      </c>
      <c r="U799" s="176" t="s">
        <v>152</v>
      </c>
      <c r="V799" s="176" t="s">
        <v>23</v>
      </c>
    </row>
    <row r="800" spans="2:22" ht="12" customHeight="1">
      <c r="B800" s="211">
        <v>46217</v>
      </c>
      <c r="C800" s="211">
        <v>46217</v>
      </c>
      <c r="D800" s="176" t="s">
        <v>5454</v>
      </c>
      <c r="E800" s="176" t="s">
        <v>5455</v>
      </c>
      <c r="F800" s="176" t="s">
        <v>87</v>
      </c>
      <c r="G800" s="176" t="s">
        <v>2486</v>
      </c>
      <c r="H800" s="176">
        <v>40</v>
      </c>
      <c r="I800" s="176">
        <v>33.799999999999997</v>
      </c>
      <c r="J800" s="176">
        <v>33.799999999999997</v>
      </c>
      <c r="K800" s="176">
        <v>5</v>
      </c>
      <c r="L800" s="176">
        <v>0</v>
      </c>
      <c r="M800" s="176" t="s">
        <v>148</v>
      </c>
      <c r="N800" s="176" t="s">
        <v>149</v>
      </c>
      <c r="O800" s="176" t="s">
        <v>150</v>
      </c>
      <c r="P800" s="176" t="s">
        <v>151</v>
      </c>
      <c r="Q800" s="176"/>
      <c r="R800" s="176" t="s">
        <v>5455</v>
      </c>
      <c r="S800" s="176"/>
      <c r="T800" s="176" t="s">
        <v>3019</v>
      </c>
      <c r="U800" s="176" t="s">
        <v>152</v>
      </c>
      <c r="V800" s="176" t="s">
        <v>23</v>
      </c>
    </row>
    <row r="801" spans="2:22" ht="12" customHeight="1">
      <c r="B801" s="211">
        <v>46217</v>
      </c>
      <c r="C801" s="211">
        <v>46217</v>
      </c>
      <c r="D801" s="176" t="s">
        <v>5456</v>
      </c>
      <c r="E801" s="176" t="s">
        <v>5457</v>
      </c>
      <c r="F801" s="176" t="s">
        <v>87</v>
      </c>
      <c r="G801" s="176" t="s">
        <v>2639</v>
      </c>
      <c r="H801" s="176">
        <v>25</v>
      </c>
      <c r="I801" s="176">
        <v>23.3</v>
      </c>
      <c r="J801" s="176">
        <v>23.3</v>
      </c>
      <c r="K801" s="176">
        <v>4</v>
      </c>
      <c r="L801" s="176">
        <v>0</v>
      </c>
      <c r="M801" s="176" t="s">
        <v>148</v>
      </c>
      <c r="N801" s="176" t="s">
        <v>149</v>
      </c>
      <c r="O801" s="176" t="s">
        <v>150</v>
      </c>
      <c r="P801" s="176" t="s">
        <v>151</v>
      </c>
      <c r="Q801" s="176"/>
      <c r="R801" s="176" t="s">
        <v>5457</v>
      </c>
      <c r="S801" s="176"/>
      <c r="T801" s="176" t="s">
        <v>3019</v>
      </c>
      <c r="U801" s="176" t="s">
        <v>152</v>
      </c>
      <c r="V801" s="176" t="s">
        <v>23</v>
      </c>
    </row>
    <row r="802" spans="2:22" ht="12" customHeight="1">
      <c r="B802" s="211">
        <v>46217</v>
      </c>
      <c r="C802" s="211">
        <v>46217</v>
      </c>
      <c r="D802" s="176" t="s">
        <v>5458</v>
      </c>
      <c r="E802" s="176" t="s">
        <v>5459</v>
      </c>
      <c r="F802" s="176" t="s">
        <v>87</v>
      </c>
      <c r="G802" s="176" t="s">
        <v>2552</v>
      </c>
      <c r="H802" s="176">
        <v>40</v>
      </c>
      <c r="I802" s="176">
        <v>46.8</v>
      </c>
      <c r="J802" s="176">
        <v>46.8</v>
      </c>
      <c r="K802" s="176">
        <v>5</v>
      </c>
      <c r="L802" s="176">
        <v>0</v>
      </c>
      <c r="M802" s="176" t="s">
        <v>148</v>
      </c>
      <c r="N802" s="176" t="s">
        <v>149</v>
      </c>
      <c r="O802" s="176" t="s">
        <v>150</v>
      </c>
      <c r="P802" s="176" t="s">
        <v>151</v>
      </c>
      <c r="Q802" s="176"/>
      <c r="R802" s="176" t="s">
        <v>5459</v>
      </c>
      <c r="S802" s="176"/>
      <c r="T802" s="176" t="s">
        <v>3019</v>
      </c>
      <c r="U802" s="176" t="s">
        <v>152</v>
      </c>
      <c r="V802" s="176" t="s">
        <v>23</v>
      </c>
    </row>
    <row r="803" spans="2:22" ht="12" customHeight="1">
      <c r="B803" s="211">
        <v>46217</v>
      </c>
      <c r="C803" s="211">
        <v>46217</v>
      </c>
      <c r="D803" s="176" t="s">
        <v>5460</v>
      </c>
      <c r="E803" s="176" t="s">
        <v>5461</v>
      </c>
      <c r="F803" s="176" t="s">
        <v>87</v>
      </c>
      <c r="G803" s="176" t="s">
        <v>2552</v>
      </c>
      <c r="H803" s="176">
        <v>40</v>
      </c>
      <c r="I803" s="176">
        <v>37.799999999999997</v>
      </c>
      <c r="J803" s="176">
        <v>37.799999999999997</v>
      </c>
      <c r="K803" s="176">
        <v>5</v>
      </c>
      <c r="L803" s="176">
        <v>0</v>
      </c>
      <c r="M803" s="176" t="s">
        <v>148</v>
      </c>
      <c r="N803" s="176" t="s">
        <v>149</v>
      </c>
      <c r="O803" s="176" t="s">
        <v>150</v>
      </c>
      <c r="P803" s="176" t="s">
        <v>151</v>
      </c>
      <c r="Q803" s="176"/>
      <c r="R803" s="176" t="s">
        <v>5461</v>
      </c>
      <c r="S803" s="176"/>
      <c r="T803" s="176" t="s">
        <v>3019</v>
      </c>
      <c r="U803" s="176" t="s">
        <v>152</v>
      </c>
      <c r="V803" s="176" t="s">
        <v>23</v>
      </c>
    </row>
    <row r="804" spans="2:22" ht="12" customHeight="1">
      <c r="B804" s="211">
        <v>46217</v>
      </c>
      <c r="C804" s="211">
        <v>46217</v>
      </c>
      <c r="D804" s="176" t="s">
        <v>5462</v>
      </c>
      <c r="E804" s="176" t="s">
        <v>5463</v>
      </c>
      <c r="F804" s="176" t="s">
        <v>87</v>
      </c>
      <c r="G804" s="176" t="s">
        <v>2552</v>
      </c>
      <c r="H804" s="176">
        <v>40</v>
      </c>
      <c r="I804" s="176">
        <v>39.4</v>
      </c>
      <c r="J804" s="176">
        <v>39.4</v>
      </c>
      <c r="K804" s="176">
        <v>5</v>
      </c>
      <c r="L804" s="176">
        <v>0</v>
      </c>
      <c r="M804" s="176" t="s">
        <v>148</v>
      </c>
      <c r="N804" s="176" t="s">
        <v>149</v>
      </c>
      <c r="O804" s="176" t="s">
        <v>150</v>
      </c>
      <c r="P804" s="176" t="s">
        <v>151</v>
      </c>
      <c r="Q804" s="176"/>
      <c r="R804" s="176" t="s">
        <v>5463</v>
      </c>
      <c r="S804" s="176"/>
      <c r="T804" s="176" t="s">
        <v>3019</v>
      </c>
      <c r="U804" s="176" t="s">
        <v>152</v>
      </c>
      <c r="V804" s="176" t="s">
        <v>23</v>
      </c>
    </row>
    <row r="805" spans="2:22" ht="12" customHeight="1">
      <c r="B805" s="211">
        <v>46217</v>
      </c>
      <c r="C805" s="211">
        <v>46217</v>
      </c>
      <c r="D805" s="176" t="s">
        <v>5464</v>
      </c>
      <c r="E805" s="176" t="s">
        <v>5465</v>
      </c>
      <c r="F805" s="176" t="s">
        <v>87</v>
      </c>
      <c r="G805" s="176" t="s">
        <v>2552</v>
      </c>
      <c r="H805" s="176">
        <v>40</v>
      </c>
      <c r="I805" s="176">
        <v>41.2</v>
      </c>
      <c r="J805" s="176">
        <v>41.2</v>
      </c>
      <c r="K805" s="176">
        <v>5</v>
      </c>
      <c r="L805" s="176">
        <v>0</v>
      </c>
      <c r="M805" s="176" t="s">
        <v>148</v>
      </c>
      <c r="N805" s="176" t="s">
        <v>149</v>
      </c>
      <c r="O805" s="176" t="s">
        <v>150</v>
      </c>
      <c r="P805" s="176" t="s">
        <v>151</v>
      </c>
      <c r="Q805" s="176"/>
      <c r="R805" s="176" t="s">
        <v>5465</v>
      </c>
      <c r="S805" s="176"/>
      <c r="T805" s="176" t="s">
        <v>3019</v>
      </c>
      <c r="U805" s="176" t="s">
        <v>152</v>
      </c>
      <c r="V805" s="176" t="s">
        <v>23</v>
      </c>
    </row>
    <row r="806" spans="2:22" ht="12" customHeight="1">
      <c r="B806" s="211">
        <v>46217</v>
      </c>
      <c r="C806" s="211">
        <v>46217</v>
      </c>
      <c r="D806" s="176" t="s">
        <v>5466</v>
      </c>
      <c r="E806" s="176" t="s">
        <v>5467</v>
      </c>
      <c r="F806" s="176" t="s">
        <v>87</v>
      </c>
      <c r="G806" s="176" t="s">
        <v>2486</v>
      </c>
      <c r="H806" s="176">
        <v>40</v>
      </c>
      <c r="I806" s="176">
        <v>40.4</v>
      </c>
      <c r="J806" s="176">
        <v>40.4</v>
      </c>
      <c r="K806" s="176">
        <v>5</v>
      </c>
      <c r="L806" s="176">
        <v>0</v>
      </c>
      <c r="M806" s="176" t="s">
        <v>148</v>
      </c>
      <c r="N806" s="176" t="s">
        <v>149</v>
      </c>
      <c r="O806" s="176" t="s">
        <v>150</v>
      </c>
      <c r="P806" s="176" t="s">
        <v>151</v>
      </c>
      <c r="Q806" s="176"/>
      <c r="R806" s="176" t="s">
        <v>5467</v>
      </c>
      <c r="S806" s="176"/>
      <c r="T806" s="176" t="s">
        <v>3019</v>
      </c>
      <c r="U806" s="176" t="s">
        <v>152</v>
      </c>
      <c r="V806" s="176" t="s">
        <v>23</v>
      </c>
    </row>
    <row r="807" spans="2:22" ht="12" customHeight="1">
      <c r="B807" s="211">
        <v>46217</v>
      </c>
      <c r="C807" s="211">
        <v>46217</v>
      </c>
      <c r="D807" s="176" t="s">
        <v>5468</v>
      </c>
      <c r="E807" s="176" t="s">
        <v>5469</v>
      </c>
      <c r="F807" s="176" t="s">
        <v>87</v>
      </c>
      <c r="G807" s="176" t="s">
        <v>3866</v>
      </c>
      <c r="H807" s="176">
        <v>40</v>
      </c>
      <c r="I807" s="176">
        <v>32.700000000000003</v>
      </c>
      <c r="J807" s="176">
        <v>32.700000000000003</v>
      </c>
      <c r="K807" s="176">
        <v>5</v>
      </c>
      <c r="L807" s="176">
        <v>0</v>
      </c>
      <c r="M807" s="176" t="s">
        <v>148</v>
      </c>
      <c r="N807" s="176" t="s">
        <v>149</v>
      </c>
      <c r="O807" s="176" t="s">
        <v>150</v>
      </c>
      <c r="P807" s="176" t="s">
        <v>151</v>
      </c>
      <c r="Q807" s="176"/>
      <c r="R807" s="176" t="s">
        <v>5469</v>
      </c>
      <c r="S807" s="176"/>
      <c r="T807" s="176" t="s">
        <v>3019</v>
      </c>
      <c r="U807" s="176" t="s">
        <v>152</v>
      </c>
      <c r="V807" s="176" t="s">
        <v>23</v>
      </c>
    </row>
    <row r="808" spans="2:22" ht="12" customHeight="1">
      <c r="B808" s="211">
        <v>46217</v>
      </c>
      <c r="C808" s="211">
        <v>46217</v>
      </c>
      <c r="D808" s="176" t="s">
        <v>5470</v>
      </c>
      <c r="E808" s="176" t="s">
        <v>5471</v>
      </c>
      <c r="F808" s="176" t="s">
        <v>87</v>
      </c>
      <c r="G808" s="176" t="s">
        <v>2485</v>
      </c>
      <c r="H808" s="176">
        <v>30</v>
      </c>
      <c r="I808" s="176">
        <v>37.200000000000003</v>
      </c>
      <c r="J808" s="176">
        <v>37.200000000000003</v>
      </c>
      <c r="K808" s="176">
        <v>4</v>
      </c>
      <c r="L808" s="176">
        <v>0</v>
      </c>
      <c r="M808" s="176" t="s">
        <v>148</v>
      </c>
      <c r="N808" s="176" t="s">
        <v>149</v>
      </c>
      <c r="O808" s="176" t="s">
        <v>150</v>
      </c>
      <c r="P808" s="176" t="s">
        <v>151</v>
      </c>
      <c r="Q808" s="176"/>
      <c r="R808" s="176" t="s">
        <v>5471</v>
      </c>
      <c r="S808" s="176"/>
      <c r="T808" s="176" t="s">
        <v>3019</v>
      </c>
      <c r="U808" s="176" t="s">
        <v>152</v>
      </c>
      <c r="V808" s="176" t="s">
        <v>23</v>
      </c>
    </row>
    <row r="809" spans="2:22" ht="12" customHeight="1">
      <c r="B809" s="211">
        <v>46217</v>
      </c>
      <c r="C809" s="211">
        <v>46217</v>
      </c>
      <c r="D809" s="176" t="s">
        <v>5472</v>
      </c>
      <c r="E809" s="176" t="s">
        <v>5473</v>
      </c>
      <c r="F809" s="176" t="s">
        <v>87</v>
      </c>
      <c r="G809" s="176" t="s">
        <v>2001</v>
      </c>
      <c r="H809" s="176">
        <v>6</v>
      </c>
      <c r="I809" s="176">
        <v>15.8</v>
      </c>
      <c r="J809" s="176">
        <v>15.8</v>
      </c>
      <c r="K809" s="176">
        <v>1.5</v>
      </c>
      <c r="L809" s="176">
        <v>0</v>
      </c>
      <c r="M809" s="176" t="s">
        <v>148</v>
      </c>
      <c r="N809" s="176" t="s">
        <v>149</v>
      </c>
      <c r="O809" s="176" t="s">
        <v>150</v>
      </c>
      <c r="P809" s="176" t="s">
        <v>151</v>
      </c>
      <c r="Q809" s="176"/>
      <c r="R809" s="176" t="s">
        <v>5473</v>
      </c>
      <c r="S809" s="176"/>
      <c r="T809" s="176" t="s">
        <v>3019</v>
      </c>
      <c r="U809" s="176" t="s">
        <v>152</v>
      </c>
      <c r="V809" s="176" t="s">
        <v>23</v>
      </c>
    </row>
    <row r="810" spans="2:22" ht="12" customHeight="1">
      <c r="B810" s="211">
        <v>46217</v>
      </c>
      <c r="C810" s="211">
        <v>46217</v>
      </c>
      <c r="D810" s="176" t="s">
        <v>5474</v>
      </c>
      <c r="E810" s="176" t="s">
        <v>5475</v>
      </c>
      <c r="F810" s="176" t="s">
        <v>87</v>
      </c>
      <c r="G810" s="176" t="s">
        <v>2001</v>
      </c>
      <c r="H810" s="176">
        <v>6</v>
      </c>
      <c r="I810" s="176">
        <v>21.2</v>
      </c>
      <c r="J810" s="176">
        <v>21.2</v>
      </c>
      <c r="K810" s="176">
        <v>1.5</v>
      </c>
      <c r="L810" s="176">
        <v>0</v>
      </c>
      <c r="M810" s="176" t="s">
        <v>148</v>
      </c>
      <c r="N810" s="176" t="s">
        <v>149</v>
      </c>
      <c r="O810" s="176" t="s">
        <v>150</v>
      </c>
      <c r="P810" s="176" t="s">
        <v>151</v>
      </c>
      <c r="Q810" s="176"/>
      <c r="R810" s="176" t="s">
        <v>5475</v>
      </c>
      <c r="S810" s="176"/>
      <c r="T810" s="176" t="s">
        <v>3019</v>
      </c>
      <c r="U810" s="176" t="s">
        <v>152</v>
      </c>
      <c r="V810" s="176" t="s">
        <v>23</v>
      </c>
    </row>
    <row r="811" spans="2:22" ht="12" customHeight="1">
      <c r="B811" s="211">
        <v>46217</v>
      </c>
      <c r="C811" s="211">
        <v>46217</v>
      </c>
      <c r="D811" s="176" t="s">
        <v>5476</v>
      </c>
      <c r="E811" s="176" t="s">
        <v>5477</v>
      </c>
      <c r="F811" s="176" t="s">
        <v>87</v>
      </c>
      <c r="G811" s="176" t="s">
        <v>2485</v>
      </c>
      <c r="H811" s="176">
        <v>30</v>
      </c>
      <c r="I811" s="176">
        <v>35</v>
      </c>
      <c r="J811" s="176">
        <v>35</v>
      </c>
      <c r="K811" s="176">
        <v>4</v>
      </c>
      <c r="L811" s="176">
        <v>0</v>
      </c>
      <c r="M811" s="176" t="s">
        <v>148</v>
      </c>
      <c r="N811" s="176" t="s">
        <v>149</v>
      </c>
      <c r="O811" s="176" t="s">
        <v>150</v>
      </c>
      <c r="P811" s="176" t="s">
        <v>151</v>
      </c>
      <c r="Q811" s="176"/>
      <c r="R811" s="176" t="s">
        <v>5477</v>
      </c>
      <c r="S811" s="176"/>
      <c r="T811" s="176" t="s">
        <v>3019</v>
      </c>
      <c r="U811" s="176" t="s">
        <v>152</v>
      </c>
      <c r="V811" s="176" t="s">
        <v>23</v>
      </c>
    </row>
    <row r="812" spans="2:22" ht="12" customHeight="1">
      <c r="B812" s="211">
        <v>46217</v>
      </c>
      <c r="C812" s="211">
        <v>46217</v>
      </c>
      <c r="D812" s="176" t="s">
        <v>5478</v>
      </c>
      <c r="E812" s="176" t="s">
        <v>5479</v>
      </c>
      <c r="F812" s="176" t="s">
        <v>87</v>
      </c>
      <c r="G812" s="176" t="s">
        <v>2485</v>
      </c>
      <c r="H812" s="176">
        <v>30</v>
      </c>
      <c r="I812" s="176">
        <v>33.4</v>
      </c>
      <c r="J812" s="176">
        <v>33.4</v>
      </c>
      <c r="K812" s="176">
        <v>4</v>
      </c>
      <c r="L812" s="176">
        <v>0</v>
      </c>
      <c r="M812" s="176" t="s">
        <v>148</v>
      </c>
      <c r="N812" s="176" t="s">
        <v>149</v>
      </c>
      <c r="O812" s="176" t="s">
        <v>150</v>
      </c>
      <c r="P812" s="176" t="s">
        <v>151</v>
      </c>
      <c r="Q812" s="176"/>
      <c r="R812" s="176" t="s">
        <v>5479</v>
      </c>
      <c r="S812" s="176"/>
      <c r="T812" s="176" t="s">
        <v>3019</v>
      </c>
      <c r="U812" s="176" t="s">
        <v>152</v>
      </c>
      <c r="V812" s="176" t="s">
        <v>23</v>
      </c>
    </row>
    <row r="813" spans="2:22" ht="12" customHeight="1">
      <c r="B813" s="211">
        <v>46217</v>
      </c>
      <c r="C813" s="211">
        <v>46217</v>
      </c>
      <c r="D813" s="176" t="s">
        <v>5480</v>
      </c>
      <c r="E813" s="176" t="s">
        <v>5481</v>
      </c>
      <c r="F813" s="176" t="s">
        <v>87</v>
      </c>
      <c r="G813" s="176" t="s">
        <v>2552</v>
      </c>
      <c r="H813" s="176">
        <v>40</v>
      </c>
      <c r="I813" s="176">
        <v>40.299999999999997</v>
      </c>
      <c r="J813" s="176">
        <v>40.299999999999997</v>
      </c>
      <c r="K813" s="176">
        <v>5</v>
      </c>
      <c r="L813" s="176">
        <v>0</v>
      </c>
      <c r="M813" s="176" t="s">
        <v>148</v>
      </c>
      <c r="N813" s="176" t="s">
        <v>149</v>
      </c>
      <c r="O813" s="176" t="s">
        <v>150</v>
      </c>
      <c r="P813" s="176" t="s">
        <v>151</v>
      </c>
      <c r="Q813" s="176"/>
      <c r="R813" s="176" t="s">
        <v>5481</v>
      </c>
      <c r="S813" s="176"/>
      <c r="T813" s="176" t="s">
        <v>3019</v>
      </c>
      <c r="U813" s="176" t="s">
        <v>152</v>
      </c>
      <c r="V813" s="176" t="s">
        <v>23</v>
      </c>
    </row>
    <row r="814" spans="2:22" ht="12" customHeight="1">
      <c r="B814" s="211">
        <v>46217</v>
      </c>
      <c r="C814" s="211">
        <v>46217</v>
      </c>
      <c r="D814" s="176" t="s">
        <v>5482</v>
      </c>
      <c r="E814" s="176" t="s">
        <v>5483</v>
      </c>
      <c r="F814" s="176" t="s">
        <v>87</v>
      </c>
      <c r="G814" s="176" t="s">
        <v>2486</v>
      </c>
      <c r="H814" s="176">
        <v>40</v>
      </c>
      <c r="I814" s="176">
        <v>29.8</v>
      </c>
      <c r="J814" s="176">
        <v>29.8</v>
      </c>
      <c r="K814" s="176">
        <v>5</v>
      </c>
      <c r="L814" s="176">
        <v>0</v>
      </c>
      <c r="M814" s="176" t="s">
        <v>148</v>
      </c>
      <c r="N814" s="176" t="s">
        <v>149</v>
      </c>
      <c r="O814" s="176" t="s">
        <v>150</v>
      </c>
      <c r="P814" s="176" t="s">
        <v>151</v>
      </c>
      <c r="Q814" s="176"/>
      <c r="R814" s="176" t="s">
        <v>5483</v>
      </c>
      <c r="S814" s="176"/>
      <c r="T814" s="176" t="s">
        <v>3019</v>
      </c>
      <c r="U814" s="176" t="s">
        <v>152</v>
      </c>
      <c r="V814" s="176" t="s">
        <v>23</v>
      </c>
    </row>
    <row r="815" spans="2:22" ht="12" customHeight="1">
      <c r="B815" s="211">
        <v>46217</v>
      </c>
      <c r="C815" s="211">
        <v>46217</v>
      </c>
      <c r="D815" s="176" t="s">
        <v>5484</v>
      </c>
      <c r="E815" s="176" t="s">
        <v>5485</v>
      </c>
      <c r="F815" s="176" t="s">
        <v>87</v>
      </c>
      <c r="G815" s="176" t="s">
        <v>2485</v>
      </c>
      <c r="H815" s="176">
        <v>30</v>
      </c>
      <c r="I815" s="176">
        <v>42</v>
      </c>
      <c r="J815" s="176">
        <v>42</v>
      </c>
      <c r="K815" s="176">
        <v>4</v>
      </c>
      <c r="L815" s="176">
        <v>0</v>
      </c>
      <c r="M815" s="176" t="s">
        <v>148</v>
      </c>
      <c r="N815" s="176" t="s">
        <v>149</v>
      </c>
      <c r="O815" s="176" t="s">
        <v>150</v>
      </c>
      <c r="P815" s="176" t="s">
        <v>151</v>
      </c>
      <c r="Q815" s="176"/>
      <c r="R815" s="176" t="s">
        <v>5485</v>
      </c>
      <c r="S815" s="176"/>
      <c r="T815" s="176" t="s">
        <v>3019</v>
      </c>
      <c r="U815" s="176" t="s">
        <v>152</v>
      </c>
      <c r="V815" s="176" t="s">
        <v>23</v>
      </c>
    </row>
    <row r="816" spans="2:22" ht="12" customHeight="1">
      <c r="B816" s="211">
        <v>46217</v>
      </c>
      <c r="C816" s="211">
        <v>46217</v>
      </c>
      <c r="D816" s="176" t="s">
        <v>5486</v>
      </c>
      <c r="E816" s="176" t="s">
        <v>5487</v>
      </c>
      <c r="F816" s="176" t="s">
        <v>87</v>
      </c>
      <c r="G816" s="176" t="s">
        <v>2552</v>
      </c>
      <c r="H816" s="176">
        <v>40</v>
      </c>
      <c r="I816" s="176">
        <v>37.4</v>
      </c>
      <c r="J816" s="176">
        <v>37.4</v>
      </c>
      <c r="K816" s="176">
        <v>5</v>
      </c>
      <c r="L816" s="176">
        <v>0</v>
      </c>
      <c r="M816" s="176" t="s">
        <v>148</v>
      </c>
      <c r="N816" s="176" t="s">
        <v>149</v>
      </c>
      <c r="O816" s="176" t="s">
        <v>150</v>
      </c>
      <c r="P816" s="176" t="s">
        <v>151</v>
      </c>
      <c r="Q816" s="176"/>
      <c r="R816" s="176" t="s">
        <v>5487</v>
      </c>
      <c r="S816" s="176"/>
      <c r="T816" s="176" t="s">
        <v>3019</v>
      </c>
      <c r="U816" s="176" t="s">
        <v>152</v>
      </c>
      <c r="V816" s="176" t="s">
        <v>23</v>
      </c>
    </row>
    <row r="817" spans="2:22" ht="12" customHeight="1">
      <c r="B817" s="211">
        <v>46217</v>
      </c>
      <c r="C817" s="211">
        <v>46217</v>
      </c>
      <c r="D817" s="176" t="s">
        <v>5488</v>
      </c>
      <c r="E817" s="176" t="s">
        <v>5489</v>
      </c>
      <c r="F817" s="176" t="s">
        <v>87</v>
      </c>
      <c r="G817" s="176" t="s">
        <v>2552</v>
      </c>
      <c r="H817" s="176">
        <v>40</v>
      </c>
      <c r="I817" s="176">
        <v>49</v>
      </c>
      <c r="J817" s="176">
        <v>49</v>
      </c>
      <c r="K817" s="176">
        <v>5</v>
      </c>
      <c r="L817" s="176">
        <v>0</v>
      </c>
      <c r="M817" s="176" t="s">
        <v>148</v>
      </c>
      <c r="N817" s="176" t="s">
        <v>149</v>
      </c>
      <c r="O817" s="176" t="s">
        <v>150</v>
      </c>
      <c r="P817" s="176" t="s">
        <v>151</v>
      </c>
      <c r="Q817" s="176"/>
      <c r="R817" s="176" t="s">
        <v>5489</v>
      </c>
      <c r="S817" s="176"/>
      <c r="T817" s="176" t="s">
        <v>3019</v>
      </c>
      <c r="U817" s="176" t="s">
        <v>152</v>
      </c>
      <c r="V817" s="176" t="s">
        <v>23</v>
      </c>
    </row>
    <row r="818" spans="2:22" ht="12" customHeight="1">
      <c r="B818" s="211">
        <v>46217</v>
      </c>
      <c r="C818" s="211">
        <v>46217</v>
      </c>
      <c r="D818" s="176" t="s">
        <v>5490</v>
      </c>
      <c r="E818" s="176" t="s">
        <v>5491</v>
      </c>
      <c r="F818" s="176" t="s">
        <v>87</v>
      </c>
      <c r="G818" s="176" t="s">
        <v>2486</v>
      </c>
      <c r="H818" s="176">
        <v>40</v>
      </c>
      <c r="I818" s="176">
        <v>38.799999999999997</v>
      </c>
      <c r="J818" s="176">
        <v>38.799999999999997</v>
      </c>
      <c r="K818" s="176">
        <v>5</v>
      </c>
      <c r="L818" s="176">
        <v>0</v>
      </c>
      <c r="M818" s="176" t="s">
        <v>148</v>
      </c>
      <c r="N818" s="176" t="s">
        <v>149</v>
      </c>
      <c r="O818" s="176" t="s">
        <v>150</v>
      </c>
      <c r="P818" s="176" t="s">
        <v>151</v>
      </c>
      <c r="Q818" s="176"/>
      <c r="R818" s="176" t="s">
        <v>5491</v>
      </c>
      <c r="S818" s="176"/>
      <c r="T818" s="176" t="s">
        <v>3019</v>
      </c>
      <c r="U818" s="176" t="s">
        <v>152</v>
      </c>
      <c r="V818" s="176" t="s">
        <v>23</v>
      </c>
    </row>
    <row r="819" spans="2:22" ht="12" customHeight="1">
      <c r="B819" s="211">
        <v>46217</v>
      </c>
      <c r="C819" s="211">
        <v>46217</v>
      </c>
      <c r="D819" s="176" t="s">
        <v>5492</v>
      </c>
      <c r="E819" s="176" t="s">
        <v>5493</v>
      </c>
      <c r="F819" s="176" t="s">
        <v>87</v>
      </c>
      <c r="G819" s="176" t="s">
        <v>3866</v>
      </c>
      <c r="H819" s="176">
        <v>40</v>
      </c>
      <c r="I819" s="176">
        <v>14.5</v>
      </c>
      <c r="J819" s="176">
        <v>14.5</v>
      </c>
      <c r="K819" s="176">
        <v>5</v>
      </c>
      <c r="L819" s="176">
        <v>0</v>
      </c>
      <c r="M819" s="176" t="s">
        <v>148</v>
      </c>
      <c r="N819" s="176" t="s">
        <v>149</v>
      </c>
      <c r="O819" s="176" t="s">
        <v>150</v>
      </c>
      <c r="P819" s="176" t="s">
        <v>151</v>
      </c>
      <c r="Q819" s="176"/>
      <c r="R819" s="176" t="s">
        <v>5493</v>
      </c>
      <c r="S819" s="176"/>
      <c r="T819" s="176" t="s">
        <v>3019</v>
      </c>
      <c r="U819" s="176" t="s">
        <v>152</v>
      </c>
      <c r="V819" s="176" t="s">
        <v>23</v>
      </c>
    </row>
    <row r="820" spans="2:22" ht="12" customHeight="1">
      <c r="B820" s="211">
        <v>46217</v>
      </c>
      <c r="C820" s="211">
        <v>46217</v>
      </c>
      <c r="D820" s="176" t="s">
        <v>5494</v>
      </c>
      <c r="E820" s="176" t="s">
        <v>5495</v>
      </c>
      <c r="F820" s="176" t="s">
        <v>87</v>
      </c>
      <c r="G820" s="176" t="s">
        <v>2485</v>
      </c>
      <c r="H820" s="176">
        <v>30</v>
      </c>
      <c r="I820" s="176">
        <v>33.799999999999997</v>
      </c>
      <c r="J820" s="176">
        <v>33.799999999999997</v>
      </c>
      <c r="K820" s="176">
        <v>4</v>
      </c>
      <c r="L820" s="176">
        <v>0</v>
      </c>
      <c r="M820" s="176" t="s">
        <v>148</v>
      </c>
      <c r="N820" s="176" t="s">
        <v>149</v>
      </c>
      <c r="O820" s="176" t="s">
        <v>150</v>
      </c>
      <c r="P820" s="176" t="s">
        <v>151</v>
      </c>
      <c r="Q820" s="176"/>
      <c r="R820" s="176" t="s">
        <v>5495</v>
      </c>
      <c r="S820" s="176"/>
      <c r="T820" s="176" t="s">
        <v>3019</v>
      </c>
      <c r="U820" s="176" t="s">
        <v>152</v>
      </c>
      <c r="V820" s="176" t="s">
        <v>23</v>
      </c>
    </row>
    <row r="821" spans="2:22" ht="12" customHeight="1">
      <c r="B821" s="211">
        <v>46217</v>
      </c>
      <c r="C821" s="211">
        <v>46217</v>
      </c>
      <c r="D821" s="176" t="s">
        <v>5496</v>
      </c>
      <c r="E821" s="176" t="s">
        <v>5497</v>
      </c>
      <c r="F821" s="176" t="s">
        <v>87</v>
      </c>
      <c r="G821" s="176" t="s">
        <v>2486</v>
      </c>
      <c r="H821" s="176">
        <v>40</v>
      </c>
      <c r="I821" s="176">
        <v>34.200000000000003</v>
      </c>
      <c r="J821" s="176">
        <v>34.200000000000003</v>
      </c>
      <c r="K821" s="176">
        <v>5</v>
      </c>
      <c r="L821" s="176">
        <v>0</v>
      </c>
      <c r="M821" s="176" t="s">
        <v>148</v>
      </c>
      <c r="N821" s="176" t="s">
        <v>149</v>
      </c>
      <c r="O821" s="176" t="s">
        <v>150</v>
      </c>
      <c r="P821" s="176" t="s">
        <v>151</v>
      </c>
      <c r="Q821" s="176"/>
      <c r="R821" s="176" t="s">
        <v>5497</v>
      </c>
      <c r="S821" s="176"/>
      <c r="T821" s="176" t="s">
        <v>3019</v>
      </c>
      <c r="U821" s="176" t="s">
        <v>152</v>
      </c>
      <c r="V821" s="176" t="s">
        <v>23</v>
      </c>
    </row>
    <row r="822" spans="2:22" ht="12" customHeight="1">
      <c r="B822" s="211">
        <v>46217</v>
      </c>
      <c r="C822" s="211">
        <v>46217</v>
      </c>
      <c r="D822" s="176" t="s">
        <v>5498</v>
      </c>
      <c r="E822" s="176" t="s">
        <v>5499</v>
      </c>
      <c r="F822" s="176" t="s">
        <v>87</v>
      </c>
      <c r="G822" s="176" t="s">
        <v>2001</v>
      </c>
      <c r="H822" s="176">
        <v>6</v>
      </c>
      <c r="I822" s="176">
        <v>24.5</v>
      </c>
      <c r="J822" s="176">
        <v>24.5</v>
      </c>
      <c r="K822" s="176">
        <v>1.5</v>
      </c>
      <c r="L822" s="176">
        <v>0</v>
      </c>
      <c r="M822" s="176" t="s">
        <v>148</v>
      </c>
      <c r="N822" s="176" t="s">
        <v>149</v>
      </c>
      <c r="O822" s="176" t="s">
        <v>150</v>
      </c>
      <c r="P822" s="176" t="s">
        <v>151</v>
      </c>
      <c r="Q822" s="176"/>
      <c r="R822" s="176" t="s">
        <v>5499</v>
      </c>
      <c r="S822" s="176"/>
      <c r="T822" s="176" t="s">
        <v>3019</v>
      </c>
      <c r="U822" s="176" t="s">
        <v>152</v>
      </c>
      <c r="V822" s="176" t="s">
        <v>23</v>
      </c>
    </row>
    <row r="823" spans="2:22" ht="12" customHeight="1">
      <c r="B823" s="211">
        <v>46217</v>
      </c>
      <c r="C823" s="211">
        <v>46217</v>
      </c>
      <c r="D823" s="176" t="s">
        <v>5500</v>
      </c>
      <c r="E823" s="176" t="s">
        <v>5501</v>
      </c>
      <c r="F823" s="176" t="s">
        <v>87</v>
      </c>
      <c r="G823" s="176" t="s">
        <v>2636</v>
      </c>
      <c r="H823" s="176">
        <v>6</v>
      </c>
      <c r="I823" s="176">
        <v>11.3</v>
      </c>
      <c r="J823" s="176">
        <v>11.3</v>
      </c>
      <c r="K823" s="176">
        <v>1.5</v>
      </c>
      <c r="L823" s="176">
        <v>0</v>
      </c>
      <c r="M823" s="176" t="s">
        <v>148</v>
      </c>
      <c r="N823" s="176" t="s">
        <v>149</v>
      </c>
      <c r="O823" s="176" t="s">
        <v>150</v>
      </c>
      <c r="P823" s="176" t="s">
        <v>151</v>
      </c>
      <c r="Q823" s="176"/>
      <c r="R823" s="176" t="s">
        <v>5501</v>
      </c>
      <c r="S823" s="176"/>
      <c r="T823" s="176" t="s">
        <v>3019</v>
      </c>
      <c r="U823" s="176" t="s">
        <v>152</v>
      </c>
      <c r="V823" s="176" t="s">
        <v>23</v>
      </c>
    </row>
    <row r="824" spans="2:22" ht="12" customHeight="1">
      <c r="B824" s="211">
        <v>46217</v>
      </c>
      <c r="C824" s="211">
        <v>46217</v>
      </c>
      <c r="D824" s="176" t="s">
        <v>5502</v>
      </c>
      <c r="E824" s="176" t="s">
        <v>5503</v>
      </c>
      <c r="F824" s="176" t="s">
        <v>87</v>
      </c>
      <c r="G824" s="176" t="s">
        <v>4929</v>
      </c>
      <c r="H824" s="176">
        <v>55</v>
      </c>
      <c r="I824" s="176">
        <v>34.799999999999997</v>
      </c>
      <c r="J824" s="176">
        <v>34.799999999999997</v>
      </c>
      <c r="K824" s="176">
        <v>5</v>
      </c>
      <c r="L824" s="176">
        <v>0</v>
      </c>
      <c r="M824" s="176" t="s">
        <v>148</v>
      </c>
      <c r="N824" s="176" t="s">
        <v>149</v>
      </c>
      <c r="O824" s="176" t="s">
        <v>150</v>
      </c>
      <c r="P824" s="176" t="s">
        <v>151</v>
      </c>
      <c r="Q824" s="176"/>
      <c r="R824" s="176" t="s">
        <v>5503</v>
      </c>
      <c r="S824" s="176"/>
      <c r="T824" s="176" t="s">
        <v>3025</v>
      </c>
      <c r="U824" s="176" t="s">
        <v>152</v>
      </c>
      <c r="V824" s="176" t="s">
        <v>23</v>
      </c>
    </row>
    <row r="825" spans="2:22" ht="12" customHeight="1">
      <c r="B825" s="211">
        <v>46217</v>
      </c>
      <c r="C825" s="211">
        <v>46217</v>
      </c>
      <c r="D825" s="176" t="s">
        <v>5504</v>
      </c>
      <c r="E825" s="176" t="s">
        <v>5505</v>
      </c>
      <c r="F825" s="176" t="s">
        <v>87</v>
      </c>
      <c r="G825" s="176" t="s">
        <v>4929</v>
      </c>
      <c r="H825" s="176">
        <v>55</v>
      </c>
      <c r="I825" s="176">
        <v>31.2</v>
      </c>
      <c r="J825" s="176">
        <v>31.2</v>
      </c>
      <c r="K825" s="176">
        <v>5</v>
      </c>
      <c r="L825" s="176">
        <v>0</v>
      </c>
      <c r="M825" s="176" t="s">
        <v>148</v>
      </c>
      <c r="N825" s="176" t="s">
        <v>149</v>
      </c>
      <c r="O825" s="176" t="s">
        <v>150</v>
      </c>
      <c r="P825" s="176" t="s">
        <v>151</v>
      </c>
      <c r="Q825" s="176"/>
      <c r="R825" s="176" t="s">
        <v>5505</v>
      </c>
      <c r="S825" s="176"/>
      <c r="T825" s="176" t="s">
        <v>3025</v>
      </c>
      <c r="U825" s="176" t="s">
        <v>152</v>
      </c>
      <c r="V825" s="176" t="s">
        <v>23</v>
      </c>
    </row>
    <row r="826" spans="2:22" ht="12" customHeight="1">
      <c r="B826" s="211">
        <v>46219</v>
      </c>
      <c r="C826" s="211">
        <v>46219</v>
      </c>
      <c r="D826" s="176" t="s">
        <v>5506</v>
      </c>
      <c r="E826" s="176" t="s">
        <v>5507</v>
      </c>
      <c r="F826" s="176" t="s">
        <v>87</v>
      </c>
      <c r="G826" s="176" t="s">
        <v>3866</v>
      </c>
      <c r="H826" s="176">
        <v>40</v>
      </c>
      <c r="I826" s="176">
        <v>15.6</v>
      </c>
      <c r="J826" s="176">
        <v>15.6</v>
      </c>
      <c r="K826" s="176">
        <v>5</v>
      </c>
      <c r="L826" s="176">
        <v>0</v>
      </c>
      <c r="M826" s="176" t="s">
        <v>148</v>
      </c>
      <c r="N826" s="176" t="s">
        <v>149</v>
      </c>
      <c r="O826" s="176" t="s">
        <v>150</v>
      </c>
      <c r="P826" s="176" t="s">
        <v>151</v>
      </c>
      <c r="Q826" s="176"/>
      <c r="R826" s="176" t="s">
        <v>5507</v>
      </c>
      <c r="S826" s="176"/>
      <c r="T826" s="176" t="s">
        <v>3037</v>
      </c>
      <c r="U826" s="176" t="s">
        <v>152</v>
      </c>
      <c r="V826" s="176" t="s">
        <v>23</v>
      </c>
    </row>
    <row r="827" spans="2:22" ht="12" customHeight="1">
      <c r="B827" s="211">
        <v>46219</v>
      </c>
      <c r="C827" s="211">
        <v>46219</v>
      </c>
      <c r="D827" s="176" t="s">
        <v>5508</v>
      </c>
      <c r="E827" s="176" t="s">
        <v>5509</v>
      </c>
      <c r="F827" s="176" t="s">
        <v>87</v>
      </c>
      <c r="G827" s="176" t="s">
        <v>2485</v>
      </c>
      <c r="H827" s="176">
        <v>30</v>
      </c>
      <c r="I827" s="176">
        <v>29.7</v>
      </c>
      <c r="J827" s="176">
        <v>29.7</v>
      </c>
      <c r="K827" s="176">
        <v>4</v>
      </c>
      <c r="L827" s="176">
        <v>0</v>
      </c>
      <c r="M827" s="176" t="s">
        <v>148</v>
      </c>
      <c r="N827" s="176" t="s">
        <v>149</v>
      </c>
      <c r="O827" s="176" t="s">
        <v>150</v>
      </c>
      <c r="P827" s="176" t="s">
        <v>151</v>
      </c>
      <c r="Q827" s="176"/>
      <c r="R827" s="176" t="s">
        <v>5509</v>
      </c>
      <c r="S827" s="176"/>
      <c r="T827" s="176" t="s">
        <v>3037</v>
      </c>
      <c r="U827" s="176" t="s">
        <v>152</v>
      </c>
      <c r="V827" s="176" t="s">
        <v>23</v>
      </c>
    </row>
    <row r="828" spans="2:22" ht="12" customHeight="1">
      <c r="B828" s="211">
        <v>46219</v>
      </c>
      <c r="C828" s="211">
        <v>46219</v>
      </c>
      <c r="D828" s="176" t="s">
        <v>5510</v>
      </c>
      <c r="E828" s="176" t="s">
        <v>5511</v>
      </c>
      <c r="F828" s="176" t="s">
        <v>87</v>
      </c>
      <c r="G828" s="176" t="s">
        <v>3866</v>
      </c>
      <c r="H828" s="176">
        <v>40</v>
      </c>
      <c r="I828" s="176">
        <v>33</v>
      </c>
      <c r="J828" s="176">
        <v>33</v>
      </c>
      <c r="K828" s="176">
        <v>5</v>
      </c>
      <c r="L828" s="176">
        <v>0</v>
      </c>
      <c r="M828" s="176" t="s">
        <v>148</v>
      </c>
      <c r="N828" s="176" t="s">
        <v>149</v>
      </c>
      <c r="O828" s="176" t="s">
        <v>150</v>
      </c>
      <c r="P828" s="176" t="s">
        <v>151</v>
      </c>
      <c r="Q828" s="176"/>
      <c r="R828" s="176" t="s">
        <v>5511</v>
      </c>
      <c r="S828" s="176"/>
      <c r="T828" s="176" t="s">
        <v>3037</v>
      </c>
      <c r="U828" s="176" t="s">
        <v>152</v>
      </c>
      <c r="V828" s="176" t="s">
        <v>23</v>
      </c>
    </row>
    <row r="829" spans="2:22" ht="12" customHeight="1">
      <c r="B829" s="211">
        <v>46219</v>
      </c>
      <c r="C829" s="211">
        <v>46219</v>
      </c>
      <c r="D829" s="176" t="s">
        <v>5512</v>
      </c>
      <c r="E829" s="176" t="s">
        <v>5513</v>
      </c>
      <c r="F829" s="176" t="s">
        <v>87</v>
      </c>
      <c r="G829" s="176" t="s">
        <v>2485</v>
      </c>
      <c r="H829" s="176">
        <v>30</v>
      </c>
      <c r="I829" s="176">
        <v>20.7</v>
      </c>
      <c r="J829" s="176">
        <v>20.7</v>
      </c>
      <c r="K829" s="176">
        <v>4</v>
      </c>
      <c r="L829" s="176">
        <v>0</v>
      </c>
      <c r="M829" s="176" t="s">
        <v>148</v>
      </c>
      <c r="N829" s="176" t="s">
        <v>149</v>
      </c>
      <c r="O829" s="176" t="s">
        <v>150</v>
      </c>
      <c r="P829" s="176" t="s">
        <v>151</v>
      </c>
      <c r="Q829" s="176"/>
      <c r="R829" s="176" t="s">
        <v>5513</v>
      </c>
      <c r="S829" s="176"/>
      <c r="T829" s="176" t="s">
        <v>3037</v>
      </c>
      <c r="U829" s="176" t="s">
        <v>152</v>
      </c>
      <c r="V829" s="176" t="s">
        <v>23</v>
      </c>
    </row>
    <row r="830" spans="2:22" ht="12" customHeight="1">
      <c r="B830" s="211">
        <v>46219</v>
      </c>
      <c r="C830" s="211">
        <v>46219</v>
      </c>
      <c r="D830" s="176" t="s">
        <v>5514</v>
      </c>
      <c r="E830" s="176" t="s">
        <v>5515</v>
      </c>
      <c r="F830" s="176" t="s">
        <v>87</v>
      </c>
      <c r="G830" s="176" t="s">
        <v>1713</v>
      </c>
      <c r="H830" s="176">
        <v>30</v>
      </c>
      <c r="I830" s="176">
        <v>35.200000000000003</v>
      </c>
      <c r="J830" s="176">
        <v>35.200000000000003</v>
      </c>
      <c r="K830" s="176">
        <v>4</v>
      </c>
      <c r="L830" s="176">
        <v>0</v>
      </c>
      <c r="M830" s="176" t="s">
        <v>148</v>
      </c>
      <c r="N830" s="176" t="s">
        <v>149</v>
      </c>
      <c r="O830" s="176" t="s">
        <v>150</v>
      </c>
      <c r="P830" s="176" t="s">
        <v>151</v>
      </c>
      <c r="Q830" s="176"/>
      <c r="R830" s="176" t="s">
        <v>5515</v>
      </c>
      <c r="S830" s="176"/>
      <c r="T830" s="176" t="s">
        <v>3037</v>
      </c>
      <c r="U830" s="176" t="s">
        <v>152</v>
      </c>
      <c r="V830" s="176" t="s">
        <v>23</v>
      </c>
    </row>
    <row r="831" spans="2:22" ht="12" customHeight="1">
      <c r="B831" s="211">
        <v>46219</v>
      </c>
      <c r="C831" s="211">
        <v>46219</v>
      </c>
      <c r="D831" s="176" t="s">
        <v>5516</v>
      </c>
      <c r="E831" s="176" t="s">
        <v>5517</v>
      </c>
      <c r="F831" s="176" t="s">
        <v>87</v>
      </c>
      <c r="G831" s="176" t="s">
        <v>2552</v>
      </c>
      <c r="H831" s="176">
        <v>40</v>
      </c>
      <c r="I831" s="176">
        <v>36.4</v>
      </c>
      <c r="J831" s="176">
        <v>36.4</v>
      </c>
      <c r="K831" s="176">
        <v>5</v>
      </c>
      <c r="L831" s="176">
        <v>0</v>
      </c>
      <c r="M831" s="176" t="s">
        <v>148</v>
      </c>
      <c r="N831" s="176" t="s">
        <v>149</v>
      </c>
      <c r="O831" s="176" t="s">
        <v>150</v>
      </c>
      <c r="P831" s="176" t="s">
        <v>151</v>
      </c>
      <c r="Q831" s="176"/>
      <c r="R831" s="176" t="s">
        <v>5517</v>
      </c>
      <c r="S831" s="176"/>
      <c r="T831" s="176" t="s">
        <v>3037</v>
      </c>
      <c r="U831" s="176" t="s">
        <v>152</v>
      </c>
      <c r="V831" s="176" t="s">
        <v>23</v>
      </c>
    </row>
    <row r="832" spans="2:22" ht="12" customHeight="1">
      <c r="B832" s="211">
        <v>46219</v>
      </c>
      <c r="C832" s="211">
        <v>46219</v>
      </c>
      <c r="D832" s="176" t="s">
        <v>5518</v>
      </c>
      <c r="E832" s="176" t="s">
        <v>5519</v>
      </c>
      <c r="F832" s="176" t="s">
        <v>87</v>
      </c>
      <c r="G832" s="176" t="s">
        <v>2552</v>
      </c>
      <c r="H832" s="176">
        <v>40</v>
      </c>
      <c r="I832" s="176">
        <v>28.1</v>
      </c>
      <c r="J832" s="176">
        <v>28.1</v>
      </c>
      <c r="K832" s="176">
        <v>5</v>
      </c>
      <c r="L832" s="176">
        <v>0</v>
      </c>
      <c r="M832" s="176" t="s">
        <v>148</v>
      </c>
      <c r="N832" s="176" t="s">
        <v>149</v>
      </c>
      <c r="O832" s="176" t="s">
        <v>150</v>
      </c>
      <c r="P832" s="176" t="s">
        <v>151</v>
      </c>
      <c r="Q832" s="176"/>
      <c r="R832" s="176" t="s">
        <v>5519</v>
      </c>
      <c r="S832" s="176"/>
      <c r="T832" s="176" t="s">
        <v>3037</v>
      </c>
      <c r="U832" s="176" t="s">
        <v>152</v>
      </c>
      <c r="V832" s="176" t="s">
        <v>23</v>
      </c>
    </row>
    <row r="833" spans="2:22" ht="12" customHeight="1">
      <c r="B833" s="211">
        <v>46219</v>
      </c>
      <c r="C833" s="211">
        <v>46219</v>
      </c>
      <c r="D833" s="176" t="s">
        <v>5520</v>
      </c>
      <c r="E833" s="176" t="s">
        <v>5521</v>
      </c>
      <c r="F833" s="176" t="s">
        <v>87</v>
      </c>
      <c r="G833" s="176" t="s">
        <v>1713</v>
      </c>
      <c r="H833" s="176">
        <v>30</v>
      </c>
      <c r="I833" s="176">
        <v>24.5</v>
      </c>
      <c r="J833" s="176">
        <v>24.5</v>
      </c>
      <c r="K833" s="176">
        <v>4</v>
      </c>
      <c r="L833" s="176">
        <v>0</v>
      </c>
      <c r="M833" s="176" t="s">
        <v>148</v>
      </c>
      <c r="N833" s="176" t="s">
        <v>149</v>
      </c>
      <c r="O833" s="176" t="s">
        <v>150</v>
      </c>
      <c r="P833" s="176" t="s">
        <v>151</v>
      </c>
      <c r="Q833" s="176"/>
      <c r="R833" s="176" t="s">
        <v>5521</v>
      </c>
      <c r="S833" s="176"/>
      <c r="T833" s="176" t="s">
        <v>3037</v>
      </c>
      <c r="U833" s="176" t="s">
        <v>152</v>
      </c>
      <c r="V833" s="176" t="s">
        <v>23</v>
      </c>
    </row>
    <row r="834" spans="2:22" ht="12" customHeight="1">
      <c r="B834" s="211">
        <v>46219</v>
      </c>
      <c r="C834" s="211">
        <v>46219</v>
      </c>
      <c r="D834" s="176" t="s">
        <v>5522</v>
      </c>
      <c r="E834" s="176" t="s">
        <v>5523</v>
      </c>
      <c r="F834" s="176" t="s">
        <v>87</v>
      </c>
      <c r="G834" s="176" t="s">
        <v>2552</v>
      </c>
      <c r="H834" s="176">
        <v>40</v>
      </c>
      <c r="I834" s="176">
        <v>36.4</v>
      </c>
      <c r="J834" s="176">
        <v>36.4</v>
      </c>
      <c r="K834" s="176">
        <v>5</v>
      </c>
      <c r="L834" s="176">
        <v>0</v>
      </c>
      <c r="M834" s="176" t="s">
        <v>148</v>
      </c>
      <c r="N834" s="176" t="s">
        <v>149</v>
      </c>
      <c r="O834" s="176" t="s">
        <v>150</v>
      </c>
      <c r="P834" s="176" t="s">
        <v>151</v>
      </c>
      <c r="Q834" s="176"/>
      <c r="R834" s="176" t="s">
        <v>5523</v>
      </c>
      <c r="S834" s="176"/>
      <c r="T834" s="176" t="s">
        <v>3037</v>
      </c>
      <c r="U834" s="176" t="s">
        <v>152</v>
      </c>
      <c r="V834" s="176" t="s">
        <v>23</v>
      </c>
    </row>
    <row r="835" spans="2:22" ht="12" customHeight="1">
      <c r="B835" s="211">
        <v>46219</v>
      </c>
      <c r="C835" s="211">
        <v>46219</v>
      </c>
      <c r="D835" s="176" t="s">
        <v>5524</v>
      </c>
      <c r="E835" s="176" t="s">
        <v>5525</v>
      </c>
      <c r="F835" s="176" t="s">
        <v>87</v>
      </c>
      <c r="G835" s="176" t="s">
        <v>2552</v>
      </c>
      <c r="H835" s="176">
        <v>40</v>
      </c>
      <c r="I835" s="176">
        <v>39.299999999999997</v>
      </c>
      <c r="J835" s="176">
        <v>39.299999999999997</v>
      </c>
      <c r="K835" s="176">
        <v>5</v>
      </c>
      <c r="L835" s="176">
        <v>0</v>
      </c>
      <c r="M835" s="176" t="s">
        <v>148</v>
      </c>
      <c r="N835" s="176" t="s">
        <v>149</v>
      </c>
      <c r="O835" s="176" t="s">
        <v>150</v>
      </c>
      <c r="P835" s="176" t="s">
        <v>151</v>
      </c>
      <c r="Q835" s="176"/>
      <c r="R835" s="176" t="s">
        <v>5525</v>
      </c>
      <c r="S835" s="176"/>
      <c r="T835" s="176" t="s">
        <v>3037</v>
      </c>
      <c r="U835" s="176" t="s">
        <v>152</v>
      </c>
      <c r="V835" s="176" t="s">
        <v>23</v>
      </c>
    </row>
    <row r="836" spans="2:22" ht="12" customHeight="1">
      <c r="B836" s="211">
        <v>46219</v>
      </c>
      <c r="C836" s="211">
        <v>46219</v>
      </c>
      <c r="D836" s="176" t="s">
        <v>5526</v>
      </c>
      <c r="E836" s="176" t="s">
        <v>5527</v>
      </c>
      <c r="F836" s="176" t="s">
        <v>87</v>
      </c>
      <c r="G836" s="176" t="s">
        <v>2552</v>
      </c>
      <c r="H836" s="176">
        <v>40</v>
      </c>
      <c r="I836" s="176">
        <v>37.6</v>
      </c>
      <c r="J836" s="176">
        <v>37.6</v>
      </c>
      <c r="K836" s="176">
        <v>5</v>
      </c>
      <c r="L836" s="176">
        <v>0</v>
      </c>
      <c r="M836" s="176" t="s">
        <v>148</v>
      </c>
      <c r="N836" s="176" t="s">
        <v>149</v>
      </c>
      <c r="O836" s="176" t="s">
        <v>150</v>
      </c>
      <c r="P836" s="176" t="s">
        <v>151</v>
      </c>
      <c r="Q836" s="176"/>
      <c r="R836" s="176" t="s">
        <v>5527</v>
      </c>
      <c r="S836" s="176"/>
      <c r="T836" s="176" t="s">
        <v>3037</v>
      </c>
      <c r="U836" s="176" t="s">
        <v>152</v>
      </c>
      <c r="V836" s="176" t="s">
        <v>23</v>
      </c>
    </row>
    <row r="837" spans="2:22" ht="12" customHeight="1">
      <c r="B837" s="211">
        <v>46219</v>
      </c>
      <c r="C837" s="211">
        <v>46219</v>
      </c>
      <c r="D837" s="176" t="s">
        <v>5528</v>
      </c>
      <c r="E837" s="176" t="s">
        <v>5529</v>
      </c>
      <c r="F837" s="176" t="s">
        <v>87</v>
      </c>
      <c r="G837" s="176" t="s">
        <v>2552</v>
      </c>
      <c r="H837" s="176">
        <v>40</v>
      </c>
      <c r="I837" s="176">
        <v>25.8</v>
      </c>
      <c r="J837" s="176">
        <v>25.8</v>
      </c>
      <c r="K837" s="176">
        <v>5</v>
      </c>
      <c r="L837" s="176">
        <v>0</v>
      </c>
      <c r="M837" s="176" t="s">
        <v>148</v>
      </c>
      <c r="N837" s="176" t="s">
        <v>149</v>
      </c>
      <c r="O837" s="176" t="s">
        <v>150</v>
      </c>
      <c r="P837" s="176" t="s">
        <v>151</v>
      </c>
      <c r="Q837" s="176"/>
      <c r="R837" s="176" t="s">
        <v>5529</v>
      </c>
      <c r="S837" s="176"/>
      <c r="T837" s="176" t="s">
        <v>3037</v>
      </c>
      <c r="U837" s="176" t="s">
        <v>152</v>
      </c>
      <c r="V837" s="176" t="s">
        <v>23</v>
      </c>
    </row>
    <row r="838" spans="2:22" ht="12" customHeight="1">
      <c r="B838" s="211">
        <v>46219</v>
      </c>
      <c r="C838" s="211">
        <v>46219</v>
      </c>
      <c r="D838" s="176" t="s">
        <v>5530</v>
      </c>
      <c r="E838" s="176" t="s">
        <v>5531</v>
      </c>
      <c r="F838" s="176" t="s">
        <v>87</v>
      </c>
      <c r="G838" s="176" t="s">
        <v>2552</v>
      </c>
      <c r="H838" s="176">
        <v>40</v>
      </c>
      <c r="I838" s="176">
        <v>40.6</v>
      </c>
      <c r="J838" s="176">
        <v>40.6</v>
      </c>
      <c r="K838" s="176">
        <v>5</v>
      </c>
      <c r="L838" s="176">
        <v>0</v>
      </c>
      <c r="M838" s="176" t="s">
        <v>148</v>
      </c>
      <c r="N838" s="176" t="s">
        <v>149</v>
      </c>
      <c r="O838" s="176" t="s">
        <v>150</v>
      </c>
      <c r="P838" s="176" t="s">
        <v>151</v>
      </c>
      <c r="Q838" s="176"/>
      <c r="R838" s="176" t="s">
        <v>5531</v>
      </c>
      <c r="S838" s="176"/>
      <c r="T838" s="176" t="s">
        <v>3037</v>
      </c>
      <c r="U838" s="176" t="s">
        <v>152</v>
      </c>
      <c r="V838" s="176" t="s">
        <v>23</v>
      </c>
    </row>
    <row r="839" spans="2:22" ht="12" customHeight="1">
      <c r="B839" s="211">
        <v>46219</v>
      </c>
      <c r="C839" s="211">
        <v>46219</v>
      </c>
      <c r="D839" s="176" t="s">
        <v>5532</v>
      </c>
      <c r="E839" s="176" t="s">
        <v>5533</v>
      </c>
      <c r="F839" s="176" t="s">
        <v>87</v>
      </c>
      <c r="G839" s="176" t="s">
        <v>2486</v>
      </c>
      <c r="H839" s="176">
        <v>40</v>
      </c>
      <c r="I839" s="176">
        <v>37.799999999999997</v>
      </c>
      <c r="J839" s="176">
        <v>37.799999999999997</v>
      </c>
      <c r="K839" s="176">
        <v>5</v>
      </c>
      <c r="L839" s="176">
        <v>0</v>
      </c>
      <c r="M839" s="176" t="s">
        <v>148</v>
      </c>
      <c r="N839" s="176" t="s">
        <v>149</v>
      </c>
      <c r="O839" s="176" t="s">
        <v>150</v>
      </c>
      <c r="P839" s="176" t="s">
        <v>151</v>
      </c>
      <c r="Q839" s="176"/>
      <c r="R839" s="176" t="s">
        <v>5533</v>
      </c>
      <c r="S839" s="176"/>
      <c r="T839" s="176" t="s">
        <v>3037</v>
      </c>
      <c r="U839" s="176" t="s">
        <v>152</v>
      </c>
      <c r="V839" s="176" t="s">
        <v>23</v>
      </c>
    </row>
    <row r="840" spans="2:22" ht="12" customHeight="1">
      <c r="B840" s="211">
        <v>46219</v>
      </c>
      <c r="C840" s="211">
        <v>46219</v>
      </c>
      <c r="D840" s="176" t="s">
        <v>5534</v>
      </c>
      <c r="E840" s="176" t="s">
        <v>5535</v>
      </c>
      <c r="F840" s="176" t="s">
        <v>87</v>
      </c>
      <c r="G840" s="176" t="s">
        <v>2486</v>
      </c>
      <c r="H840" s="176">
        <v>40</v>
      </c>
      <c r="I840" s="176">
        <v>44.1</v>
      </c>
      <c r="J840" s="176">
        <v>44.1</v>
      </c>
      <c r="K840" s="176">
        <v>5</v>
      </c>
      <c r="L840" s="176">
        <v>0</v>
      </c>
      <c r="M840" s="176" t="s">
        <v>148</v>
      </c>
      <c r="N840" s="176" t="s">
        <v>149</v>
      </c>
      <c r="O840" s="176" t="s">
        <v>150</v>
      </c>
      <c r="P840" s="176" t="s">
        <v>151</v>
      </c>
      <c r="Q840" s="176"/>
      <c r="R840" s="176" t="s">
        <v>5535</v>
      </c>
      <c r="S840" s="176"/>
      <c r="T840" s="176" t="s">
        <v>3037</v>
      </c>
      <c r="U840" s="176" t="s">
        <v>152</v>
      </c>
      <c r="V840" s="176" t="s">
        <v>23</v>
      </c>
    </row>
    <row r="841" spans="2:22" ht="12" customHeight="1">
      <c r="B841" s="211">
        <v>46219</v>
      </c>
      <c r="C841" s="211">
        <v>46219</v>
      </c>
      <c r="D841" s="176" t="s">
        <v>5536</v>
      </c>
      <c r="E841" s="176" t="s">
        <v>5537</v>
      </c>
      <c r="F841" s="176" t="s">
        <v>87</v>
      </c>
      <c r="G841" s="176" t="s">
        <v>2552</v>
      </c>
      <c r="H841" s="176">
        <v>40</v>
      </c>
      <c r="I841" s="176">
        <v>23.8</v>
      </c>
      <c r="J841" s="176">
        <v>23.8</v>
      </c>
      <c r="K841" s="176">
        <v>5</v>
      </c>
      <c r="L841" s="176">
        <v>0</v>
      </c>
      <c r="M841" s="176" t="s">
        <v>148</v>
      </c>
      <c r="N841" s="176" t="s">
        <v>149</v>
      </c>
      <c r="O841" s="176" t="s">
        <v>150</v>
      </c>
      <c r="P841" s="176" t="s">
        <v>151</v>
      </c>
      <c r="Q841" s="176"/>
      <c r="R841" s="176" t="s">
        <v>5537</v>
      </c>
      <c r="S841" s="176"/>
      <c r="T841" s="176" t="s">
        <v>3037</v>
      </c>
      <c r="U841" s="176" t="s">
        <v>152</v>
      </c>
      <c r="V841" s="176" t="s">
        <v>23</v>
      </c>
    </row>
    <row r="842" spans="2:22" ht="12" customHeight="1">
      <c r="B842" s="211">
        <v>46219</v>
      </c>
      <c r="C842" s="211">
        <v>46219</v>
      </c>
      <c r="D842" s="176" t="s">
        <v>5538</v>
      </c>
      <c r="E842" s="176" t="s">
        <v>5539</v>
      </c>
      <c r="F842" s="176" t="s">
        <v>87</v>
      </c>
      <c r="G842" s="176" t="s">
        <v>2486</v>
      </c>
      <c r="H842" s="176">
        <v>40</v>
      </c>
      <c r="I842" s="176">
        <v>30.8</v>
      </c>
      <c r="J842" s="176">
        <v>30.8</v>
      </c>
      <c r="K842" s="176">
        <v>5</v>
      </c>
      <c r="L842" s="176">
        <v>0</v>
      </c>
      <c r="M842" s="176" t="s">
        <v>148</v>
      </c>
      <c r="N842" s="176" t="s">
        <v>149</v>
      </c>
      <c r="O842" s="176" t="s">
        <v>150</v>
      </c>
      <c r="P842" s="176" t="s">
        <v>151</v>
      </c>
      <c r="Q842" s="176"/>
      <c r="R842" s="176" t="s">
        <v>5539</v>
      </c>
      <c r="S842" s="176"/>
      <c r="T842" s="176" t="s">
        <v>3037</v>
      </c>
      <c r="U842" s="176" t="s">
        <v>152</v>
      </c>
      <c r="V842" s="176" t="s">
        <v>23</v>
      </c>
    </row>
    <row r="843" spans="2:22" ht="12" customHeight="1">
      <c r="B843" s="211">
        <v>46219</v>
      </c>
      <c r="C843" s="211">
        <v>46219</v>
      </c>
      <c r="D843" s="176" t="s">
        <v>5540</v>
      </c>
      <c r="E843" s="176" t="s">
        <v>5541</v>
      </c>
      <c r="F843" s="176" t="s">
        <v>87</v>
      </c>
      <c r="G843" s="176" t="s">
        <v>2486</v>
      </c>
      <c r="H843" s="176">
        <v>40</v>
      </c>
      <c r="I843" s="176">
        <v>26.3</v>
      </c>
      <c r="J843" s="176">
        <v>26.3</v>
      </c>
      <c r="K843" s="176">
        <v>5</v>
      </c>
      <c r="L843" s="176">
        <v>0</v>
      </c>
      <c r="M843" s="176" t="s">
        <v>148</v>
      </c>
      <c r="N843" s="176" t="s">
        <v>149</v>
      </c>
      <c r="O843" s="176" t="s">
        <v>150</v>
      </c>
      <c r="P843" s="176" t="s">
        <v>151</v>
      </c>
      <c r="Q843" s="176"/>
      <c r="R843" s="176" t="s">
        <v>5541</v>
      </c>
      <c r="S843" s="176"/>
      <c r="T843" s="176" t="s">
        <v>3037</v>
      </c>
      <c r="U843" s="176" t="s">
        <v>152</v>
      </c>
      <c r="V843" s="176" t="s">
        <v>23</v>
      </c>
    </row>
    <row r="844" spans="2:22" ht="12" customHeight="1">
      <c r="B844" s="211">
        <v>46219</v>
      </c>
      <c r="C844" s="211">
        <v>46219</v>
      </c>
      <c r="D844" s="176" t="s">
        <v>5542</v>
      </c>
      <c r="E844" s="176" t="s">
        <v>5543</v>
      </c>
      <c r="F844" s="176" t="s">
        <v>87</v>
      </c>
      <c r="G844" s="176" t="s">
        <v>4929</v>
      </c>
      <c r="H844" s="176">
        <v>55</v>
      </c>
      <c r="I844" s="176">
        <v>32.200000000000003</v>
      </c>
      <c r="J844" s="176">
        <v>32.200000000000003</v>
      </c>
      <c r="K844" s="176">
        <v>5</v>
      </c>
      <c r="L844" s="176">
        <v>0</v>
      </c>
      <c r="M844" s="176" t="s">
        <v>148</v>
      </c>
      <c r="N844" s="176" t="s">
        <v>149</v>
      </c>
      <c r="O844" s="176" t="s">
        <v>150</v>
      </c>
      <c r="P844" s="176" t="s">
        <v>151</v>
      </c>
      <c r="Q844" s="176"/>
      <c r="R844" s="176" t="s">
        <v>5543</v>
      </c>
      <c r="S844" s="176"/>
      <c r="T844" s="176" t="s">
        <v>3037</v>
      </c>
      <c r="U844" s="176" t="s">
        <v>152</v>
      </c>
      <c r="V844" s="176" t="s">
        <v>23</v>
      </c>
    </row>
    <row r="845" spans="2:22" ht="12" customHeight="1">
      <c r="B845" s="211">
        <v>46219</v>
      </c>
      <c r="C845" s="211">
        <v>46219</v>
      </c>
      <c r="D845" s="176" t="s">
        <v>5544</v>
      </c>
      <c r="E845" s="176" t="s">
        <v>5545</v>
      </c>
      <c r="F845" s="176" t="s">
        <v>87</v>
      </c>
      <c r="G845" s="176" t="s">
        <v>2485</v>
      </c>
      <c r="H845" s="176">
        <v>30</v>
      </c>
      <c r="I845" s="176">
        <v>28.2</v>
      </c>
      <c r="J845" s="176">
        <v>28.2</v>
      </c>
      <c r="K845" s="176">
        <v>4</v>
      </c>
      <c r="L845" s="176">
        <v>0</v>
      </c>
      <c r="M845" s="176" t="s">
        <v>148</v>
      </c>
      <c r="N845" s="176" t="s">
        <v>149</v>
      </c>
      <c r="O845" s="176" t="s">
        <v>150</v>
      </c>
      <c r="P845" s="176" t="s">
        <v>151</v>
      </c>
      <c r="Q845" s="176"/>
      <c r="R845" s="176" t="s">
        <v>5545</v>
      </c>
      <c r="S845" s="176"/>
      <c r="T845" s="176" t="s">
        <v>3037</v>
      </c>
      <c r="U845" s="176" t="s">
        <v>152</v>
      </c>
      <c r="V845" s="176" t="s">
        <v>23</v>
      </c>
    </row>
    <row r="846" spans="2:22" ht="12" customHeight="1">
      <c r="B846" s="211">
        <v>46219</v>
      </c>
      <c r="C846" s="211">
        <v>46219</v>
      </c>
      <c r="D846" s="176" t="s">
        <v>5546</v>
      </c>
      <c r="E846" s="176" t="s">
        <v>5547</v>
      </c>
      <c r="F846" s="176" t="s">
        <v>87</v>
      </c>
      <c r="G846" s="176" t="s">
        <v>2552</v>
      </c>
      <c r="H846" s="176">
        <v>40</v>
      </c>
      <c r="I846" s="176">
        <v>27.1</v>
      </c>
      <c r="J846" s="176">
        <v>27.1</v>
      </c>
      <c r="K846" s="176">
        <v>5</v>
      </c>
      <c r="L846" s="176">
        <v>0</v>
      </c>
      <c r="M846" s="176" t="s">
        <v>148</v>
      </c>
      <c r="N846" s="176" t="s">
        <v>149</v>
      </c>
      <c r="O846" s="176" t="s">
        <v>150</v>
      </c>
      <c r="P846" s="176" t="s">
        <v>151</v>
      </c>
      <c r="Q846" s="176"/>
      <c r="R846" s="176" t="s">
        <v>5547</v>
      </c>
      <c r="S846" s="176"/>
      <c r="T846" s="176" t="s">
        <v>3037</v>
      </c>
      <c r="U846" s="176" t="s">
        <v>152</v>
      </c>
      <c r="V846" s="176" t="s">
        <v>23</v>
      </c>
    </row>
    <row r="847" spans="2:22" ht="12" customHeight="1">
      <c r="B847" s="211">
        <v>46219</v>
      </c>
      <c r="C847" s="211">
        <v>46219</v>
      </c>
      <c r="D847" s="176" t="s">
        <v>5548</v>
      </c>
      <c r="E847" s="176" t="s">
        <v>5549</v>
      </c>
      <c r="F847" s="176" t="s">
        <v>87</v>
      </c>
      <c r="G847" s="176" t="s">
        <v>2486</v>
      </c>
      <c r="H847" s="176">
        <v>40</v>
      </c>
      <c r="I847" s="176">
        <v>24.1</v>
      </c>
      <c r="J847" s="176">
        <v>24.1</v>
      </c>
      <c r="K847" s="176">
        <v>5</v>
      </c>
      <c r="L847" s="176">
        <v>0</v>
      </c>
      <c r="M847" s="176" t="s">
        <v>148</v>
      </c>
      <c r="N847" s="176" t="s">
        <v>149</v>
      </c>
      <c r="O847" s="176" t="s">
        <v>150</v>
      </c>
      <c r="P847" s="176" t="s">
        <v>151</v>
      </c>
      <c r="Q847" s="176"/>
      <c r="R847" s="176" t="s">
        <v>5549</v>
      </c>
      <c r="S847" s="176"/>
      <c r="T847" s="176" t="s">
        <v>3037</v>
      </c>
      <c r="U847" s="176" t="s">
        <v>152</v>
      </c>
      <c r="V847" s="176" t="s">
        <v>23</v>
      </c>
    </row>
    <row r="848" spans="2:22" ht="12" customHeight="1">
      <c r="B848" s="211">
        <v>46219</v>
      </c>
      <c r="C848" s="211">
        <v>46219</v>
      </c>
      <c r="D848" s="176" t="s">
        <v>5550</v>
      </c>
      <c r="E848" s="176" t="s">
        <v>5551</v>
      </c>
      <c r="F848" s="176" t="s">
        <v>87</v>
      </c>
      <c r="G848" s="176" t="s">
        <v>2485</v>
      </c>
      <c r="H848" s="176">
        <v>30</v>
      </c>
      <c r="I848" s="176">
        <v>32.299999999999997</v>
      </c>
      <c r="J848" s="176">
        <v>32.299999999999997</v>
      </c>
      <c r="K848" s="176">
        <v>4</v>
      </c>
      <c r="L848" s="176">
        <v>0</v>
      </c>
      <c r="M848" s="176" t="s">
        <v>148</v>
      </c>
      <c r="N848" s="176" t="s">
        <v>149</v>
      </c>
      <c r="O848" s="176" t="s">
        <v>150</v>
      </c>
      <c r="P848" s="176" t="s">
        <v>151</v>
      </c>
      <c r="Q848" s="176"/>
      <c r="R848" s="176" t="s">
        <v>5551</v>
      </c>
      <c r="S848" s="176"/>
      <c r="T848" s="176" t="s">
        <v>3037</v>
      </c>
      <c r="U848" s="176" t="s">
        <v>152</v>
      </c>
      <c r="V848" s="176" t="s">
        <v>23</v>
      </c>
    </row>
    <row r="849" spans="2:22" ht="12" customHeight="1">
      <c r="B849" s="211">
        <v>46219</v>
      </c>
      <c r="C849" s="211">
        <v>46219</v>
      </c>
      <c r="D849" s="176" t="s">
        <v>5552</v>
      </c>
      <c r="E849" s="176" t="s">
        <v>5553</v>
      </c>
      <c r="F849" s="176" t="s">
        <v>87</v>
      </c>
      <c r="G849" s="176" t="s">
        <v>2486</v>
      </c>
      <c r="H849" s="176">
        <v>40</v>
      </c>
      <c r="I849" s="176">
        <v>32.299999999999997</v>
      </c>
      <c r="J849" s="176">
        <v>32.299999999999997</v>
      </c>
      <c r="K849" s="176">
        <v>5</v>
      </c>
      <c r="L849" s="176">
        <v>0</v>
      </c>
      <c r="M849" s="176" t="s">
        <v>148</v>
      </c>
      <c r="N849" s="176" t="s">
        <v>149</v>
      </c>
      <c r="O849" s="176" t="s">
        <v>150</v>
      </c>
      <c r="P849" s="176" t="s">
        <v>151</v>
      </c>
      <c r="Q849" s="176"/>
      <c r="R849" s="176" t="s">
        <v>5553</v>
      </c>
      <c r="S849" s="176"/>
      <c r="T849" s="176" t="s">
        <v>3037</v>
      </c>
      <c r="U849" s="176" t="s">
        <v>152</v>
      </c>
      <c r="V849" s="176" t="s">
        <v>23</v>
      </c>
    </row>
    <row r="850" spans="2:22" ht="12" customHeight="1">
      <c r="B850" s="211">
        <v>46219</v>
      </c>
      <c r="C850" s="211">
        <v>46219</v>
      </c>
      <c r="D850" s="176" t="s">
        <v>5554</v>
      </c>
      <c r="E850" s="176" t="s">
        <v>5555</v>
      </c>
      <c r="F850" s="176" t="s">
        <v>87</v>
      </c>
      <c r="G850" s="176" t="s">
        <v>2639</v>
      </c>
      <c r="H850" s="176">
        <v>25</v>
      </c>
      <c r="I850" s="176">
        <v>34.799999999999997</v>
      </c>
      <c r="J850" s="176">
        <v>34.799999999999997</v>
      </c>
      <c r="K850" s="176">
        <v>4</v>
      </c>
      <c r="L850" s="176">
        <v>0</v>
      </c>
      <c r="M850" s="176" t="s">
        <v>148</v>
      </c>
      <c r="N850" s="176" t="s">
        <v>149</v>
      </c>
      <c r="O850" s="176" t="s">
        <v>150</v>
      </c>
      <c r="P850" s="176" t="s">
        <v>151</v>
      </c>
      <c r="Q850" s="176"/>
      <c r="R850" s="176" t="s">
        <v>5555</v>
      </c>
      <c r="S850" s="176"/>
      <c r="T850" s="176" t="s">
        <v>3037</v>
      </c>
      <c r="U850" s="176" t="s">
        <v>152</v>
      </c>
      <c r="V850" s="176" t="s">
        <v>23</v>
      </c>
    </row>
    <row r="851" spans="2:22" ht="12" customHeight="1">
      <c r="B851" s="211">
        <v>46219</v>
      </c>
      <c r="C851" s="211">
        <v>46219</v>
      </c>
      <c r="D851" s="176" t="s">
        <v>5556</v>
      </c>
      <c r="E851" s="176" t="s">
        <v>5557</v>
      </c>
      <c r="F851" s="176" t="s">
        <v>87</v>
      </c>
      <c r="G851" s="176" t="s">
        <v>2552</v>
      </c>
      <c r="H851" s="176">
        <v>40</v>
      </c>
      <c r="I851" s="176">
        <v>34.799999999999997</v>
      </c>
      <c r="J851" s="176">
        <v>34.799999999999997</v>
      </c>
      <c r="K851" s="176">
        <v>5</v>
      </c>
      <c r="L851" s="176">
        <v>0</v>
      </c>
      <c r="M851" s="176" t="s">
        <v>148</v>
      </c>
      <c r="N851" s="176" t="s">
        <v>149</v>
      </c>
      <c r="O851" s="176" t="s">
        <v>150</v>
      </c>
      <c r="P851" s="176" t="s">
        <v>151</v>
      </c>
      <c r="Q851" s="176"/>
      <c r="R851" s="176" t="s">
        <v>5557</v>
      </c>
      <c r="S851" s="176"/>
      <c r="T851" s="176" t="s">
        <v>3037</v>
      </c>
      <c r="U851" s="176" t="s">
        <v>152</v>
      </c>
      <c r="V851" s="176" t="s">
        <v>23</v>
      </c>
    </row>
    <row r="852" spans="2:22" ht="12" customHeight="1">
      <c r="B852" s="211">
        <v>46219</v>
      </c>
      <c r="C852" s="211">
        <v>46219</v>
      </c>
      <c r="D852" s="176" t="s">
        <v>5558</v>
      </c>
      <c r="E852" s="176" t="s">
        <v>5559</v>
      </c>
      <c r="F852" s="176" t="s">
        <v>87</v>
      </c>
      <c r="G852" s="176" t="s">
        <v>2552</v>
      </c>
      <c r="H852" s="176">
        <v>40</v>
      </c>
      <c r="I852" s="176">
        <v>38.200000000000003</v>
      </c>
      <c r="J852" s="176">
        <v>38.200000000000003</v>
      </c>
      <c r="K852" s="176">
        <v>5</v>
      </c>
      <c r="L852" s="176">
        <v>0</v>
      </c>
      <c r="M852" s="176" t="s">
        <v>148</v>
      </c>
      <c r="N852" s="176" t="s">
        <v>149</v>
      </c>
      <c r="O852" s="176" t="s">
        <v>150</v>
      </c>
      <c r="P852" s="176" t="s">
        <v>151</v>
      </c>
      <c r="Q852" s="176"/>
      <c r="R852" s="176" t="s">
        <v>5559</v>
      </c>
      <c r="S852" s="176"/>
      <c r="T852" s="176" t="s">
        <v>3037</v>
      </c>
      <c r="U852" s="176" t="s">
        <v>152</v>
      </c>
      <c r="V852" s="176" t="s">
        <v>23</v>
      </c>
    </row>
    <row r="853" spans="2:22" ht="12" customHeight="1">
      <c r="B853" s="211">
        <v>46219</v>
      </c>
      <c r="C853" s="211">
        <v>46219</v>
      </c>
      <c r="D853" s="176" t="s">
        <v>5560</v>
      </c>
      <c r="E853" s="176" t="s">
        <v>5561</v>
      </c>
      <c r="F853" s="176" t="s">
        <v>87</v>
      </c>
      <c r="G853" s="176" t="s">
        <v>3866</v>
      </c>
      <c r="H853" s="176">
        <v>40</v>
      </c>
      <c r="I853" s="176">
        <v>33.799999999999997</v>
      </c>
      <c r="J853" s="176">
        <v>33.799999999999997</v>
      </c>
      <c r="K853" s="176">
        <v>5</v>
      </c>
      <c r="L853" s="176">
        <v>0</v>
      </c>
      <c r="M853" s="176" t="s">
        <v>148</v>
      </c>
      <c r="N853" s="176" t="s">
        <v>149</v>
      </c>
      <c r="O853" s="176" t="s">
        <v>150</v>
      </c>
      <c r="P853" s="176" t="s">
        <v>151</v>
      </c>
      <c r="Q853" s="176"/>
      <c r="R853" s="176" t="s">
        <v>5561</v>
      </c>
      <c r="S853" s="176"/>
      <c r="T853" s="176" t="s">
        <v>3037</v>
      </c>
      <c r="U853" s="176" t="s">
        <v>152</v>
      </c>
      <c r="V853" s="176" t="s">
        <v>23</v>
      </c>
    </row>
    <row r="854" spans="2:22" ht="12" customHeight="1">
      <c r="B854" s="211">
        <v>46219</v>
      </c>
      <c r="C854" s="211">
        <v>46219</v>
      </c>
      <c r="D854" s="176" t="s">
        <v>5562</v>
      </c>
      <c r="E854" s="176" t="s">
        <v>5563</v>
      </c>
      <c r="F854" s="176" t="s">
        <v>87</v>
      </c>
      <c r="G854" s="176" t="s">
        <v>2639</v>
      </c>
      <c r="H854" s="176">
        <v>25</v>
      </c>
      <c r="I854" s="176">
        <v>24.5</v>
      </c>
      <c r="J854" s="176">
        <v>24.5</v>
      </c>
      <c r="K854" s="176">
        <v>4</v>
      </c>
      <c r="L854" s="176">
        <v>0</v>
      </c>
      <c r="M854" s="176" t="s">
        <v>148</v>
      </c>
      <c r="N854" s="176" t="s">
        <v>149</v>
      </c>
      <c r="O854" s="176" t="s">
        <v>150</v>
      </c>
      <c r="P854" s="176" t="s">
        <v>151</v>
      </c>
      <c r="Q854" s="176"/>
      <c r="R854" s="176" t="s">
        <v>5563</v>
      </c>
      <c r="S854" s="176"/>
      <c r="T854" s="176" t="s">
        <v>3037</v>
      </c>
      <c r="U854" s="176" t="s">
        <v>152</v>
      </c>
      <c r="V854" s="176" t="s">
        <v>23</v>
      </c>
    </row>
    <row r="855" spans="2:22" ht="12" customHeight="1">
      <c r="B855" s="211">
        <v>46219</v>
      </c>
      <c r="C855" s="211">
        <v>46219</v>
      </c>
      <c r="D855" s="176" t="s">
        <v>5564</v>
      </c>
      <c r="E855" s="176" t="s">
        <v>5565</v>
      </c>
      <c r="F855" s="176" t="s">
        <v>87</v>
      </c>
      <c r="G855" s="176" t="s">
        <v>2639</v>
      </c>
      <c r="H855" s="176">
        <v>25</v>
      </c>
      <c r="I855" s="176">
        <v>26.8</v>
      </c>
      <c r="J855" s="176">
        <v>26.8</v>
      </c>
      <c r="K855" s="176">
        <v>4</v>
      </c>
      <c r="L855" s="176">
        <v>0</v>
      </c>
      <c r="M855" s="176" t="s">
        <v>148</v>
      </c>
      <c r="N855" s="176" t="s">
        <v>149</v>
      </c>
      <c r="O855" s="176" t="s">
        <v>150</v>
      </c>
      <c r="P855" s="176" t="s">
        <v>151</v>
      </c>
      <c r="Q855" s="176"/>
      <c r="R855" s="176" t="s">
        <v>5565</v>
      </c>
      <c r="S855" s="176"/>
      <c r="T855" s="176" t="s">
        <v>3037</v>
      </c>
      <c r="U855" s="176" t="s">
        <v>152</v>
      </c>
      <c r="V855" s="176" t="s">
        <v>23</v>
      </c>
    </row>
    <row r="856" spans="2:22" ht="12" customHeight="1">
      <c r="B856" s="211">
        <v>46219</v>
      </c>
      <c r="C856" s="211">
        <v>46219</v>
      </c>
      <c r="D856" s="176" t="s">
        <v>5566</v>
      </c>
      <c r="E856" s="176" t="s">
        <v>5567</v>
      </c>
      <c r="F856" s="176" t="s">
        <v>87</v>
      </c>
      <c r="G856" s="176" t="s">
        <v>2552</v>
      </c>
      <c r="H856" s="176">
        <v>40</v>
      </c>
      <c r="I856" s="176">
        <v>44.3</v>
      </c>
      <c r="J856" s="176">
        <v>44.3</v>
      </c>
      <c r="K856" s="176">
        <v>5</v>
      </c>
      <c r="L856" s="176">
        <v>0</v>
      </c>
      <c r="M856" s="176" t="s">
        <v>148</v>
      </c>
      <c r="N856" s="176" t="s">
        <v>149</v>
      </c>
      <c r="O856" s="176" t="s">
        <v>150</v>
      </c>
      <c r="P856" s="176" t="s">
        <v>151</v>
      </c>
      <c r="Q856" s="176"/>
      <c r="R856" s="176" t="s">
        <v>5567</v>
      </c>
      <c r="S856" s="176"/>
      <c r="T856" s="176" t="s">
        <v>3037</v>
      </c>
      <c r="U856" s="176" t="s">
        <v>152</v>
      </c>
      <c r="V856" s="176" t="s">
        <v>23</v>
      </c>
    </row>
    <row r="857" spans="2:22" ht="12" customHeight="1">
      <c r="B857" s="211">
        <v>46219</v>
      </c>
      <c r="C857" s="211">
        <v>46219</v>
      </c>
      <c r="D857" s="176" t="s">
        <v>5568</v>
      </c>
      <c r="E857" s="176" t="s">
        <v>5569</v>
      </c>
      <c r="F857" s="176" t="s">
        <v>87</v>
      </c>
      <c r="G857" s="176" t="s">
        <v>2552</v>
      </c>
      <c r="H857" s="176">
        <v>40</v>
      </c>
      <c r="I857" s="176">
        <v>40.799999999999997</v>
      </c>
      <c r="J857" s="176">
        <v>40.799999999999997</v>
      </c>
      <c r="K857" s="176">
        <v>5</v>
      </c>
      <c r="L857" s="176">
        <v>0</v>
      </c>
      <c r="M857" s="176" t="s">
        <v>148</v>
      </c>
      <c r="N857" s="176" t="s">
        <v>149</v>
      </c>
      <c r="O857" s="176" t="s">
        <v>150</v>
      </c>
      <c r="P857" s="176" t="s">
        <v>151</v>
      </c>
      <c r="Q857" s="176"/>
      <c r="R857" s="176" t="s">
        <v>5569</v>
      </c>
      <c r="S857" s="176"/>
      <c r="T857" s="176" t="s">
        <v>3037</v>
      </c>
      <c r="U857" s="176" t="s">
        <v>152</v>
      </c>
      <c r="V857" s="176" t="s">
        <v>23</v>
      </c>
    </row>
    <row r="858" spans="2:22" ht="12" customHeight="1">
      <c r="B858" s="211">
        <v>46219</v>
      </c>
      <c r="C858" s="211">
        <v>46219</v>
      </c>
      <c r="D858" s="176" t="s">
        <v>5570</v>
      </c>
      <c r="E858" s="176" t="s">
        <v>5571</v>
      </c>
      <c r="F858" s="176" t="s">
        <v>87</v>
      </c>
      <c r="G858" s="176" t="s">
        <v>2552</v>
      </c>
      <c r="H858" s="176">
        <v>40</v>
      </c>
      <c r="I858" s="176">
        <v>30.4</v>
      </c>
      <c r="J858" s="176">
        <v>30.4</v>
      </c>
      <c r="K858" s="176">
        <v>5</v>
      </c>
      <c r="L858" s="176">
        <v>0</v>
      </c>
      <c r="M858" s="176" t="s">
        <v>148</v>
      </c>
      <c r="N858" s="176" t="s">
        <v>149</v>
      </c>
      <c r="O858" s="176" t="s">
        <v>150</v>
      </c>
      <c r="P858" s="176" t="s">
        <v>151</v>
      </c>
      <c r="Q858" s="176"/>
      <c r="R858" s="176" t="s">
        <v>5571</v>
      </c>
      <c r="S858" s="176"/>
      <c r="T858" s="176" t="s">
        <v>3037</v>
      </c>
      <c r="U858" s="176" t="s">
        <v>152</v>
      </c>
      <c r="V858" s="176" t="s">
        <v>23</v>
      </c>
    </row>
    <row r="859" spans="2:22" ht="12" customHeight="1">
      <c r="B859" s="211">
        <v>46219</v>
      </c>
      <c r="C859" s="211">
        <v>46219</v>
      </c>
      <c r="D859" s="176" t="s">
        <v>5572</v>
      </c>
      <c r="E859" s="176" t="s">
        <v>5573</v>
      </c>
      <c r="F859" s="176" t="s">
        <v>87</v>
      </c>
      <c r="G859" s="176" t="s">
        <v>2552</v>
      </c>
      <c r="H859" s="176">
        <v>40</v>
      </c>
      <c r="I859" s="176">
        <v>38</v>
      </c>
      <c r="J859" s="176">
        <v>38</v>
      </c>
      <c r="K859" s="176">
        <v>5</v>
      </c>
      <c r="L859" s="176">
        <v>0</v>
      </c>
      <c r="M859" s="176" t="s">
        <v>148</v>
      </c>
      <c r="N859" s="176" t="s">
        <v>149</v>
      </c>
      <c r="O859" s="176" t="s">
        <v>150</v>
      </c>
      <c r="P859" s="176" t="s">
        <v>151</v>
      </c>
      <c r="Q859" s="176"/>
      <c r="R859" s="176" t="s">
        <v>5573</v>
      </c>
      <c r="S859" s="176"/>
      <c r="T859" s="176" t="s">
        <v>3037</v>
      </c>
      <c r="U859" s="176" t="s">
        <v>152</v>
      </c>
      <c r="V859" s="176" t="s">
        <v>23</v>
      </c>
    </row>
    <row r="860" spans="2:22" ht="12" customHeight="1">
      <c r="B860" s="211">
        <v>46219</v>
      </c>
      <c r="C860" s="211">
        <v>46219</v>
      </c>
      <c r="D860" s="176" t="s">
        <v>5574</v>
      </c>
      <c r="E860" s="176" t="s">
        <v>5575</v>
      </c>
      <c r="F860" s="176" t="s">
        <v>87</v>
      </c>
      <c r="G860" s="176" t="s">
        <v>2001</v>
      </c>
      <c r="H860" s="176">
        <v>6</v>
      </c>
      <c r="I860" s="176">
        <v>25.4</v>
      </c>
      <c r="J860" s="176">
        <v>25.4</v>
      </c>
      <c r="K860" s="176">
        <v>1.5</v>
      </c>
      <c r="L860" s="176">
        <v>0</v>
      </c>
      <c r="M860" s="176" t="s">
        <v>148</v>
      </c>
      <c r="N860" s="176" t="s">
        <v>149</v>
      </c>
      <c r="O860" s="176" t="s">
        <v>150</v>
      </c>
      <c r="P860" s="176" t="s">
        <v>151</v>
      </c>
      <c r="Q860" s="176"/>
      <c r="R860" s="176" t="s">
        <v>5575</v>
      </c>
      <c r="S860" s="176"/>
      <c r="T860" s="176" t="s">
        <v>3037</v>
      </c>
      <c r="U860" s="176" t="s">
        <v>152</v>
      </c>
      <c r="V860" s="176" t="s">
        <v>23</v>
      </c>
    </row>
    <row r="861" spans="2:22" ht="12" customHeight="1">
      <c r="B861" s="211">
        <v>46219</v>
      </c>
      <c r="C861" s="211">
        <v>46219</v>
      </c>
      <c r="D861" s="176" t="s">
        <v>5576</v>
      </c>
      <c r="E861" s="176" t="s">
        <v>5577</v>
      </c>
      <c r="F861" s="176" t="s">
        <v>87</v>
      </c>
      <c r="G861" s="176" t="s">
        <v>2636</v>
      </c>
      <c r="H861" s="176">
        <v>6</v>
      </c>
      <c r="I861" s="176">
        <v>13.8</v>
      </c>
      <c r="J861" s="176">
        <v>13.8</v>
      </c>
      <c r="K861" s="176">
        <v>1.5</v>
      </c>
      <c r="L861" s="176">
        <v>0</v>
      </c>
      <c r="M861" s="176" t="s">
        <v>148</v>
      </c>
      <c r="N861" s="176" t="s">
        <v>149</v>
      </c>
      <c r="O861" s="176" t="s">
        <v>150</v>
      </c>
      <c r="P861" s="176" t="s">
        <v>151</v>
      </c>
      <c r="Q861" s="176"/>
      <c r="R861" s="176" t="s">
        <v>5577</v>
      </c>
      <c r="S861" s="176"/>
      <c r="T861" s="176" t="s">
        <v>3037</v>
      </c>
      <c r="U861" s="176" t="s">
        <v>152</v>
      </c>
      <c r="V861" s="176" t="s">
        <v>23</v>
      </c>
    </row>
    <row r="862" spans="2:22" ht="12" customHeight="1">
      <c r="B862" s="211">
        <v>46219</v>
      </c>
      <c r="C862" s="211">
        <v>46219</v>
      </c>
      <c r="D862" s="176" t="s">
        <v>5578</v>
      </c>
      <c r="E862" s="176" t="s">
        <v>5579</v>
      </c>
      <c r="F862" s="176" t="s">
        <v>87</v>
      </c>
      <c r="G862" s="176" t="s">
        <v>2552</v>
      </c>
      <c r="H862" s="176">
        <v>40</v>
      </c>
      <c r="I862" s="176">
        <v>40.799999999999997</v>
      </c>
      <c r="J862" s="176">
        <v>40.799999999999997</v>
      </c>
      <c r="K862" s="176">
        <v>5</v>
      </c>
      <c r="L862" s="176">
        <v>0</v>
      </c>
      <c r="M862" s="176" t="s">
        <v>148</v>
      </c>
      <c r="N862" s="176" t="s">
        <v>149</v>
      </c>
      <c r="O862" s="176" t="s">
        <v>150</v>
      </c>
      <c r="P862" s="176" t="s">
        <v>151</v>
      </c>
      <c r="Q862" s="176"/>
      <c r="R862" s="176" t="s">
        <v>5579</v>
      </c>
      <c r="S862" s="176"/>
      <c r="T862" s="176" t="s">
        <v>3037</v>
      </c>
      <c r="U862" s="176" t="s">
        <v>152</v>
      </c>
      <c r="V862" s="176" t="s">
        <v>23</v>
      </c>
    </row>
    <row r="863" spans="2:22" ht="12" customHeight="1">
      <c r="B863" s="211">
        <v>46219</v>
      </c>
      <c r="C863" s="211">
        <v>46219</v>
      </c>
      <c r="D863" s="176" t="s">
        <v>5580</v>
      </c>
      <c r="E863" s="176" t="s">
        <v>5581</v>
      </c>
      <c r="F863" s="176" t="s">
        <v>87</v>
      </c>
      <c r="G863" s="176" t="s">
        <v>2486</v>
      </c>
      <c r="H863" s="176">
        <v>40</v>
      </c>
      <c r="I863" s="176">
        <v>43.8</v>
      </c>
      <c r="J863" s="176">
        <v>43.8</v>
      </c>
      <c r="K863" s="176">
        <v>5</v>
      </c>
      <c r="L863" s="176">
        <v>0</v>
      </c>
      <c r="M863" s="176" t="s">
        <v>148</v>
      </c>
      <c r="N863" s="176" t="s">
        <v>149</v>
      </c>
      <c r="O863" s="176" t="s">
        <v>150</v>
      </c>
      <c r="P863" s="176" t="s">
        <v>151</v>
      </c>
      <c r="Q863" s="176"/>
      <c r="R863" s="176" t="s">
        <v>5581</v>
      </c>
      <c r="S863" s="176"/>
      <c r="T863" s="176" t="s">
        <v>3037</v>
      </c>
      <c r="U863" s="176" t="s">
        <v>152</v>
      </c>
      <c r="V863" s="176" t="s">
        <v>23</v>
      </c>
    </row>
    <row r="864" spans="2:22" ht="12" customHeight="1">
      <c r="B864" s="211">
        <v>46219</v>
      </c>
      <c r="C864" s="211">
        <v>46219</v>
      </c>
      <c r="D864" s="176" t="s">
        <v>5582</v>
      </c>
      <c r="E864" s="176" t="s">
        <v>5583</v>
      </c>
      <c r="F864" s="176" t="s">
        <v>87</v>
      </c>
      <c r="G864" s="176" t="s">
        <v>4929</v>
      </c>
      <c r="H864" s="176">
        <v>55</v>
      </c>
      <c r="I864" s="176">
        <v>16</v>
      </c>
      <c r="J864" s="176">
        <v>16</v>
      </c>
      <c r="K864" s="176">
        <v>5</v>
      </c>
      <c r="L864" s="176">
        <v>0</v>
      </c>
      <c r="M864" s="176" t="s">
        <v>148</v>
      </c>
      <c r="N864" s="176" t="s">
        <v>149</v>
      </c>
      <c r="O864" s="176" t="s">
        <v>150</v>
      </c>
      <c r="P864" s="176" t="s">
        <v>151</v>
      </c>
      <c r="Q864" s="176"/>
      <c r="R864" s="176" t="s">
        <v>5583</v>
      </c>
      <c r="S864" s="176"/>
      <c r="T864" s="176" t="s">
        <v>3037</v>
      </c>
      <c r="U864" s="176" t="s">
        <v>152</v>
      </c>
      <c r="V864" s="176" t="s">
        <v>23</v>
      </c>
    </row>
    <row r="865" spans="2:22" ht="12" customHeight="1">
      <c r="B865" s="211">
        <v>46219</v>
      </c>
      <c r="C865" s="211">
        <v>46219</v>
      </c>
      <c r="D865" s="176" t="s">
        <v>5584</v>
      </c>
      <c r="E865" s="176" t="s">
        <v>5585</v>
      </c>
      <c r="F865" s="176" t="s">
        <v>87</v>
      </c>
      <c r="G865" s="176" t="s">
        <v>2552</v>
      </c>
      <c r="H865" s="176">
        <v>40</v>
      </c>
      <c r="I865" s="176">
        <v>30.4</v>
      </c>
      <c r="J865" s="176">
        <v>30.4</v>
      </c>
      <c r="K865" s="176">
        <v>5</v>
      </c>
      <c r="L865" s="176">
        <v>0</v>
      </c>
      <c r="M865" s="176" t="s">
        <v>148</v>
      </c>
      <c r="N865" s="176" t="s">
        <v>149</v>
      </c>
      <c r="O865" s="176" t="s">
        <v>150</v>
      </c>
      <c r="P865" s="176" t="s">
        <v>151</v>
      </c>
      <c r="Q865" s="176"/>
      <c r="R865" s="176" t="s">
        <v>5585</v>
      </c>
      <c r="S865" s="176"/>
      <c r="T865" s="176" t="s">
        <v>3037</v>
      </c>
      <c r="U865" s="176" t="s">
        <v>152</v>
      </c>
      <c r="V865" s="176" t="s">
        <v>23</v>
      </c>
    </row>
    <row r="866" spans="2:22" ht="12" customHeight="1">
      <c r="B866" s="211">
        <v>46219</v>
      </c>
      <c r="C866" s="211">
        <v>46219</v>
      </c>
      <c r="D866" s="176" t="s">
        <v>5586</v>
      </c>
      <c r="E866" s="176" t="s">
        <v>5587</v>
      </c>
      <c r="F866" s="176" t="s">
        <v>87</v>
      </c>
      <c r="G866" s="176" t="s">
        <v>2552</v>
      </c>
      <c r="H866" s="176">
        <v>40</v>
      </c>
      <c r="I866" s="176">
        <v>30.8</v>
      </c>
      <c r="J866" s="176">
        <v>30.8</v>
      </c>
      <c r="K866" s="176">
        <v>5</v>
      </c>
      <c r="L866" s="176">
        <v>0</v>
      </c>
      <c r="M866" s="176" t="s">
        <v>148</v>
      </c>
      <c r="N866" s="176" t="s">
        <v>149</v>
      </c>
      <c r="O866" s="176" t="s">
        <v>150</v>
      </c>
      <c r="P866" s="176" t="s">
        <v>151</v>
      </c>
      <c r="Q866" s="176"/>
      <c r="R866" s="176" t="s">
        <v>5587</v>
      </c>
      <c r="S866" s="176"/>
      <c r="T866" s="176" t="s">
        <v>3037</v>
      </c>
      <c r="U866" s="176" t="s">
        <v>152</v>
      </c>
      <c r="V866" s="176" t="s">
        <v>23</v>
      </c>
    </row>
    <row r="867" spans="2:22" ht="12" customHeight="1">
      <c r="B867" s="211">
        <v>46219</v>
      </c>
      <c r="C867" s="211">
        <v>46219</v>
      </c>
      <c r="D867" s="176" t="s">
        <v>5588</v>
      </c>
      <c r="E867" s="176" t="s">
        <v>5589</v>
      </c>
      <c r="F867" s="176" t="s">
        <v>87</v>
      </c>
      <c r="G867" s="176" t="s">
        <v>2486</v>
      </c>
      <c r="H867" s="176">
        <v>40</v>
      </c>
      <c r="I867" s="176">
        <v>42.3</v>
      </c>
      <c r="J867" s="176">
        <v>42.3</v>
      </c>
      <c r="K867" s="176">
        <v>5</v>
      </c>
      <c r="L867" s="176">
        <v>0</v>
      </c>
      <c r="M867" s="176" t="s">
        <v>148</v>
      </c>
      <c r="N867" s="176" t="s">
        <v>149</v>
      </c>
      <c r="O867" s="176" t="s">
        <v>150</v>
      </c>
      <c r="P867" s="176" t="s">
        <v>151</v>
      </c>
      <c r="Q867" s="176"/>
      <c r="R867" s="176" t="s">
        <v>5589</v>
      </c>
      <c r="S867" s="176"/>
      <c r="T867" s="176" t="s">
        <v>3037</v>
      </c>
      <c r="U867" s="176" t="s">
        <v>152</v>
      </c>
      <c r="V867" s="176" t="s">
        <v>23</v>
      </c>
    </row>
    <row r="868" spans="2:22" ht="12" customHeight="1">
      <c r="B868" s="211">
        <v>46219</v>
      </c>
      <c r="C868" s="211">
        <v>46219</v>
      </c>
      <c r="D868" s="176" t="s">
        <v>5590</v>
      </c>
      <c r="E868" s="176" t="s">
        <v>5591</v>
      </c>
      <c r="F868" s="176" t="s">
        <v>87</v>
      </c>
      <c r="G868" s="176" t="s">
        <v>2486</v>
      </c>
      <c r="H868" s="176">
        <v>40</v>
      </c>
      <c r="I868" s="176">
        <v>23.8</v>
      </c>
      <c r="J868" s="176">
        <v>23.8</v>
      </c>
      <c r="K868" s="176">
        <v>5</v>
      </c>
      <c r="L868" s="176">
        <v>0</v>
      </c>
      <c r="M868" s="176" t="s">
        <v>148</v>
      </c>
      <c r="N868" s="176" t="s">
        <v>149</v>
      </c>
      <c r="O868" s="176" t="s">
        <v>150</v>
      </c>
      <c r="P868" s="176" t="s">
        <v>151</v>
      </c>
      <c r="Q868" s="176"/>
      <c r="R868" s="176" t="s">
        <v>5591</v>
      </c>
      <c r="S868" s="176"/>
      <c r="T868" s="176" t="s">
        <v>3037</v>
      </c>
      <c r="U868" s="176" t="s">
        <v>152</v>
      </c>
      <c r="V868" s="176" t="s">
        <v>23</v>
      </c>
    </row>
    <row r="869" spans="2:22" ht="12" customHeight="1">
      <c r="B869" s="211">
        <v>46219</v>
      </c>
      <c r="C869" s="211">
        <v>46219</v>
      </c>
      <c r="D869" s="176" t="s">
        <v>5592</v>
      </c>
      <c r="E869" s="176" t="s">
        <v>5593</v>
      </c>
      <c r="F869" s="176" t="s">
        <v>87</v>
      </c>
      <c r="G869" s="176" t="s">
        <v>2485</v>
      </c>
      <c r="H869" s="176">
        <v>30</v>
      </c>
      <c r="I869" s="176">
        <v>41.7</v>
      </c>
      <c r="J869" s="176">
        <v>41.7</v>
      </c>
      <c r="K869" s="176">
        <v>4</v>
      </c>
      <c r="L869" s="176">
        <v>0</v>
      </c>
      <c r="M869" s="176" t="s">
        <v>148</v>
      </c>
      <c r="N869" s="176" t="s">
        <v>149</v>
      </c>
      <c r="O869" s="176" t="s">
        <v>150</v>
      </c>
      <c r="P869" s="176" t="s">
        <v>151</v>
      </c>
      <c r="Q869" s="176"/>
      <c r="R869" s="176" t="s">
        <v>5593</v>
      </c>
      <c r="S869" s="176"/>
      <c r="T869" s="176" t="s">
        <v>3037</v>
      </c>
      <c r="U869" s="176" t="s">
        <v>152</v>
      </c>
      <c r="V869" s="176" t="s">
        <v>23</v>
      </c>
    </row>
    <row r="870" spans="2:22" ht="12" customHeight="1">
      <c r="B870" s="211">
        <v>46219</v>
      </c>
      <c r="C870" s="211">
        <v>46219</v>
      </c>
      <c r="D870" s="176" t="s">
        <v>5594</v>
      </c>
      <c r="E870" s="176" t="s">
        <v>5595</v>
      </c>
      <c r="F870" s="176" t="s">
        <v>87</v>
      </c>
      <c r="G870" s="176" t="s">
        <v>2552</v>
      </c>
      <c r="H870" s="176">
        <v>40</v>
      </c>
      <c r="I870" s="176">
        <v>34.200000000000003</v>
      </c>
      <c r="J870" s="176">
        <v>34.200000000000003</v>
      </c>
      <c r="K870" s="176">
        <v>5</v>
      </c>
      <c r="L870" s="176">
        <v>0</v>
      </c>
      <c r="M870" s="176" t="s">
        <v>148</v>
      </c>
      <c r="N870" s="176" t="s">
        <v>149</v>
      </c>
      <c r="O870" s="176" t="s">
        <v>150</v>
      </c>
      <c r="P870" s="176" t="s">
        <v>151</v>
      </c>
      <c r="Q870" s="176"/>
      <c r="R870" s="176" t="s">
        <v>5595</v>
      </c>
      <c r="S870" s="176"/>
      <c r="T870" s="176" t="s">
        <v>3037</v>
      </c>
      <c r="U870" s="176" t="s">
        <v>152</v>
      </c>
      <c r="V870" s="176" t="s">
        <v>23</v>
      </c>
    </row>
    <row r="871" spans="2:22" ht="12" customHeight="1">
      <c r="B871" s="211">
        <v>46219</v>
      </c>
      <c r="C871" s="211">
        <v>46219</v>
      </c>
      <c r="D871" s="176" t="s">
        <v>5596</v>
      </c>
      <c r="E871" s="176" t="s">
        <v>5597</v>
      </c>
      <c r="F871" s="176" t="s">
        <v>87</v>
      </c>
      <c r="G871" s="176" t="s">
        <v>2486</v>
      </c>
      <c r="H871" s="176">
        <v>40</v>
      </c>
      <c r="I871" s="176">
        <v>43.8</v>
      </c>
      <c r="J871" s="176">
        <v>43.8</v>
      </c>
      <c r="K871" s="176">
        <v>5</v>
      </c>
      <c r="L871" s="176">
        <v>0</v>
      </c>
      <c r="M871" s="176" t="s">
        <v>148</v>
      </c>
      <c r="N871" s="176" t="s">
        <v>149</v>
      </c>
      <c r="O871" s="176" t="s">
        <v>150</v>
      </c>
      <c r="P871" s="176" t="s">
        <v>151</v>
      </c>
      <c r="Q871" s="176"/>
      <c r="R871" s="176" t="s">
        <v>5597</v>
      </c>
      <c r="S871" s="176"/>
      <c r="T871" s="176" t="s">
        <v>3037</v>
      </c>
      <c r="U871" s="176" t="s">
        <v>152</v>
      </c>
      <c r="V871" s="176" t="s">
        <v>23</v>
      </c>
    </row>
    <row r="872" spans="2:22" ht="12" customHeight="1">
      <c r="B872" s="211">
        <v>46219</v>
      </c>
      <c r="C872" s="211">
        <v>46219</v>
      </c>
      <c r="D872" s="176" t="s">
        <v>5598</v>
      </c>
      <c r="E872" s="176" t="s">
        <v>5599</v>
      </c>
      <c r="F872" s="176" t="s">
        <v>87</v>
      </c>
      <c r="G872" s="176" t="s">
        <v>4929</v>
      </c>
      <c r="H872" s="176">
        <v>55</v>
      </c>
      <c r="I872" s="176">
        <v>24</v>
      </c>
      <c r="J872" s="176">
        <v>24</v>
      </c>
      <c r="K872" s="176">
        <v>5</v>
      </c>
      <c r="L872" s="176">
        <v>0</v>
      </c>
      <c r="M872" s="176" t="s">
        <v>148</v>
      </c>
      <c r="N872" s="176" t="s">
        <v>149</v>
      </c>
      <c r="O872" s="176" t="s">
        <v>150</v>
      </c>
      <c r="P872" s="176" t="s">
        <v>151</v>
      </c>
      <c r="Q872" s="176"/>
      <c r="R872" s="176" t="s">
        <v>5599</v>
      </c>
      <c r="S872" s="176"/>
      <c r="T872" s="176" t="s">
        <v>3037</v>
      </c>
      <c r="U872" s="176" t="s">
        <v>152</v>
      </c>
      <c r="V872" s="176" t="s">
        <v>23</v>
      </c>
    </row>
    <row r="873" spans="2:22" ht="12" customHeight="1">
      <c r="B873" s="211">
        <v>46219</v>
      </c>
      <c r="C873" s="211">
        <v>46219</v>
      </c>
      <c r="D873" s="176" t="s">
        <v>5600</v>
      </c>
      <c r="E873" s="176" t="s">
        <v>5601</v>
      </c>
      <c r="F873" s="176" t="s">
        <v>87</v>
      </c>
      <c r="G873" s="176" t="s">
        <v>2485</v>
      </c>
      <c r="H873" s="176">
        <v>30</v>
      </c>
      <c r="I873" s="176">
        <v>43.3</v>
      </c>
      <c r="J873" s="176">
        <v>43.3</v>
      </c>
      <c r="K873" s="176">
        <v>4</v>
      </c>
      <c r="L873" s="176">
        <v>0</v>
      </c>
      <c r="M873" s="176" t="s">
        <v>148</v>
      </c>
      <c r="N873" s="176" t="s">
        <v>149</v>
      </c>
      <c r="O873" s="176" t="s">
        <v>150</v>
      </c>
      <c r="P873" s="176" t="s">
        <v>151</v>
      </c>
      <c r="Q873" s="176"/>
      <c r="R873" s="176" t="s">
        <v>5601</v>
      </c>
      <c r="S873" s="176"/>
      <c r="T873" s="176" t="s">
        <v>3037</v>
      </c>
      <c r="U873" s="176" t="s">
        <v>152</v>
      </c>
      <c r="V873" s="176" t="s">
        <v>23</v>
      </c>
    </row>
    <row r="874" spans="2:22" ht="12" customHeight="1">
      <c r="B874" s="211">
        <v>46219</v>
      </c>
      <c r="C874" s="211">
        <v>46219</v>
      </c>
      <c r="D874" s="176" t="s">
        <v>5602</v>
      </c>
      <c r="E874" s="176" t="s">
        <v>5603</v>
      </c>
      <c r="F874" s="176" t="s">
        <v>87</v>
      </c>
      <c r="G874" s="176" t="s">
        <v>2552</v>
      </c>
      <c r="H874" s="176">
        <v>40</v>
      </c>
      <c r="I874" s="176">
        <v>38.799999999999997</v>
      </c>
      <c r="J874" s="176">
        <v>38.799999999999997</v>
      </c>
      <c r="K874" s="176">
        <v>5</v>
      </c>
      <c r="L874" s="176">
        <v>0</v>
      </c>
      <c r="M874" s="176" t="s">
        <v>148</v>
      </c>
      <c r="N874" s="176" t="s">
        <v>149</v>
      </c>
      <c r="O874" s="176" t="s">
        <v>150</v>
      </c>
      <c r="P874" s="176" t="s">
        <v>151</v>
      </c>
      <c r="Q874" s="176"/>
      <c r="R874" s="176" t="s">
        <v>5603</v>
      </c>
      <c r="S874" s="176"/>
      <c r="T874" s="176" t="s">
        <v>3037</v>
      </c>
      <c r="U874" s="176" t="s">
        <v>152</v>
      </c>
      <c r="V874" s="176" t="s">
        <v>23</v>
      </c>
    </row>
    <row r="875" spans="2:22" ht="12" customHeight="1">
      <c r="B875" s="211">
        <v>46219</v>
      </c>
      <c r="C875" s="211">
        <v>46219</v>
      </c>
      <c r="D875" s="176" t="s">
        <v>5604</v>
      </c>
      <c r="E875" s="176" t="s">
        <v>5605</v>
      </c>
      <c r="F875" s="176" t="s">
        <v>87</v>
      </c>
      <c r="G875" s="176" t="s">
        <v>2486</v>
      </c>
      <c r="H875" s="176">
        <v>40</v>
      </c>
      <c r="I875" s="176">
        <v>40.4</v>
      </c>
      <c r="J875" s="176">
        <v>40.4</v>
      </c>
      <c r="K875" s="176">
        <v>5</v>
      </c>
      <c r="L875" s="176">
        <v>0</v>
      </c>
      <c r="M875" s="176" t="s">
        <v>148</v>
      </c>
      <c r="N875" s="176" t="s">
        <v>149</v>
      </c>
      <c r="O875" s="176" t="s">
        <v>150</v>
      </c>
      <c r="P875" s="176" t="s">
        <v>151</v>
      </c>
      <c r="Q875" s="176"/>
      <c r="R875" s="176" t="s">
        <v>5605</v>
      </c>
      <c r="S875" s="176"/>
      <c r="T875" s="176" t="s">
        <v>3037</v>
      </c>
      <c r="U875" s="176" t="s">
        <v>152</v>
      </c>
      <c r="V875" s="176" t="s">
        <v>23</v>
      </c>
    </row>
    <row r="876" spans="2:22" ht="12" customHeight="1">
      <c r="B876" s="211">
        <v>46219</v>
      </c>
      <c r="C876" s="211">
        <v>46219</v>
      </c>
      <c r="D876" s="176" t="s">
        <v>5606</v>
      </c>
      <c r="E876" s="176" t="s">
        <v>5607</v>
      </c>
      <c r="F876" s="176" t="s">
        <v>87</v>
      </c>
      <c r="G876" s="176" t="s">
        <v>2001</v>
      </c>
      <c r="H876" s="176">
        <v>6</v>
      </c>
      <c r="I876" s="176">
        <v>12.8</v>
      </c>
      <c r="J876" s="176">
        <v>12.8</v>
      </c>
      <c r="K876" s="176">
        <v>1.5</v>
      </c>
      <c r="L876" s="176">
        <v>0</v>
      </c>
      <c r="M876" s="176" t="s">
        <v>148</v>
      </c>
      <c r="N876" s="176" t="s">
        <v>149</v>
      </c>
      <c r="O876" s="176" t="s">
        <v>150</v>
      </c>
      <c r="P876" s="176" t="s">
        <v>151</v>
      </c>
      <c r="Q876" s="176"/>
      <c r="R876" s="176" t="s">
        <v>5607</v>
      </c>
      <c r="S876" s="176"/>
      <c r="T876" s="176" t="s">
        <v>3037</v>
      </c>
      <c r="U876" s="176" t="s">
        <v>152</v>
      </c>
      <c r="V876" s="176" t="s">
        <v>23</v>
      </c>
    </row>
    <row r="877" spans="2:22" ht="12" customHeight="1">
      <c r="B877" s="211">
        <v>46219</v>
      </c>
      <c r="C877" s="211">
        <v>46219</v>
      </c>
      <c r="D877" s="176" t="s">
        <v>5608</v>
      </c>
      <c r="E877" s="176" t="s">
        <v>5609</v>
      </c>
      <c r="F877" s="176" t="s">
        <v>87</v>
      </c>
      <c r="G877" s="176" t="s">
        <v>2552</v>
      </c>
      <c r="H877" s="176">
        <v>40</v>
      </c>
      <c r="I877" s="176">
        <v>36.4</v>
      </c>
      <c r="J877" s="176">
        <v>36.4</v>
      </c>
      <c r="K877" s="176">
        <v>5</v>
      </c>
      <c r="L877" s="176">
        <v>0</v>
      </c>
      <c r="M877" s="176" t="s">
        <v>148</v>
      </c>
      <c r="N877" s="176" t="s">
        <v>149</v>
      </c>
      <c r="O877" s="176" t="s">
        <v>150</v>
      </c>
      <c r="P877" s="176" t="s">
        <v>151</v>
      </c>
      <c r="Q877" s="176"/>
      <c r="R877" s="176" t="s">
        <v>5609</v>
      </c>
      <c r="S877" s="176"/>
      <c r="T877" s="176" t="s">
        <v>3037</v>
      </c>
      <c r="U877" s="176" t="s">
        <v>152</v>
      </c>
      <c r="V877" s="176" t="s">
        <v>23</v>
      </c>
    </row>
    <row r="878" spans="2:22" ht="12" customHeight="1">
      <c r="B878" s="211">
        <v>46219</v>
      </c>
      <c r="C878" s="211">
        <v>46219</v>
      </c>
      <c r="D878" s="176" t="s">
        <v>5610</v>
      </c>
      <c r="E878" s="176" t="s">
        <v>5611</v>
      </c>
      <c r="F878" s="176" t="s">
        <v>87</v>
      </c>
      <c r="G878" s="176" t="s">
        <v>2552</v>
      </c>
      <c r="H878" s="176">
        <v>40</v>
      </c>
      <c r="I878" s="176">
        <v>39.700000000000003</v>
      </c>
      <c r="J878" s="176">
        <v>39.700000000000003</v>
      </c>
      <c r="K878" s="176">
        <v>5</v>
      </c>
      <c r="L878" s="176">
        <v>0</v>
      </c>
      <c r="M878" s="176" t="s">
        <v>148</v>
      </c>
      <c r="N878" s="176" t="s">
        <v>149</v>
      </c>
      <c r="O878" s="176" t="s">
        <v>150</v>
      </c>
      <c r="P878" s="176" t="s">
        <v>151</v>
      </c>
      <c r="Q878" s="176"/>
      <c r="R878" s="176" t="s">
        <v>5611</v>
      </c>
      <c r="S878" s="176"/>
      <c r="T878" s="176" t="s">
        <v>3037</v>
      </c>
      <c r="U878" s="176" t="s">
        <v>152</v>
      </c>
      <c r="V878" s="176" t="s">
        <v>23</v>
      </c>
    </row>
    <row r="879" spans="2:22" ht="12" customHeight="1">
      <c r="B879" s="211">
        <v>46219</v>
      </c>
      <c r="C879" s="211">
        <v>46219</v>
      </c>
      <c r="D879" s="176" t="s">
        <v>5612</v>
      </c>
      <c r="E879" s="176" t="s">
        <v>5613</v>
      </c>
      <c r="F879" s="176" t="s">
        <v>87</v>
      </c>
      <c r="G879" s="176" t="s">
        <v>2552</v>
      </c>
      <c r="H879" s="176">
        <v>40</v>
      </c>
      <c r="I879" s="176">
        <v>39.700000000000003</v>
      </c>
      <c r="J879" s="176">
        <v>39.700000000000003</v>
      </c>
      <c r="K879" s="176">
        <v>5</v>
      </c>
      <c r="L879" s="176">
        <v>0</v>
      </c>
      <c r="M879" s="176" t="s">
        <v>148</v>
      </c>
      <c r="N879" s="176" t="s">
        <v>149</v>
      </c>
      <c r="O879" s="176" t="s">
        <v>150</v>
      </c>
      <c r="P879" s="176" t="s">
        <v>151</v>
      </c>
      <c r="Q879" s="176"/>
      <c r="R879" s="176" t="s">
        <v>5613</v>
      </c>
      <c r="S879" s="176"/>
      <c r="T879" s="176" t="s">
        <v>3037</v>
      </c>
      <c r="U879" s="176" t="s">
        <v>152</v>
      </c>
      <c r="V879" s="176" t="s">
        <v>23</v>
      </c>
    </row>
    <row r="880" spans="2:22" ht="12" customHeight="1">
      <c r="B880" s="211">
        <v>46219</v>
      </c>
      <c r="C880" s="211">
        <v>46219</v>
      </c>
      <c r="D880" s="176" t="s">
        <v>5614</v>
      </c>
      <c r="E880" s="176" t="s">
        <v>5615</v>
      </c>
      <c r="F880" s="176" t="s">
        <v>87</v>
      </c>
      <c r="G880" s="176" t="s">
        <v>3934</v>
      </c>
      <c r="H880" s="176">
        <v>25</v>
      </c>
      <c r="I880" s="176">
        <v>15.8</v>
      </c>
      <c r="J880" s="176">
        <v>15.8</v>
      </c>
      <c r="K880" s="176">
        <v>4</v>
      </c>
      <c r="L880" s="176">
        <v>0</v>
      </c>
      <c r="M880" s="176" t="s">
        <v>148</v>
      </c>
      <c r="N880" s="176" t="s">
        <v>149</v>
      </c>
      <c r="O880" s="176" t="s">
        <v>150</v>
      </c>
      <c r="P880" s="176" t="s">
        <v>151</v>
      </c>
      <c r="Q880" s="176"/>
      <c r="R880" s="176" t="s">
        <v>5615</v>
      </c>
      <c r="S880" s="176"/>
      <c r="T880" s="176" t="s">
        <v>3047</v>
      </c>
      <c r="U880" s="176" t="s">
        <v>152</v>
      </c>
      <c r="V880" s="176" t="s">
        <v>23</v>
      </c>
    </row>
    <row r="881" spans="2:22" ht="12" customHeight="1">
      <c r="B881" s="211">
        <v>46219</v>
      </c>
      <c r="C881" s="211">
        <v>46219</v>
      </c>
      <c r="D881" s="176" t="s">
        <v>5616</v>
      </c>
      <c r="E881" s="176" t="s">
        <v>5617</v>
      </c>
      <c r="F881" s="176" t="s">
        <v>87</v>
      </c>
      <c r="G881" s="176" t="s">
        <v>2485</v>
      </c>
      <c r="H881" s="176">
        <v>30</v>
      </c>
      <c r="I881" s="176">
        <v>36.299999999999997</v>
      </c>
      <c r="J881" s="176">
        <v>36.299999999999997</v>
      </c>
      <c r="K881" s="176">
        <v>4</v>
      </c>
      <c r="L881" s="176">
        <v>0</v>
      </c>
      <c r="M881" s="176" t="s">
        <v>148</v>
      </c>
      <c r="N881" s="176" t="s">
        <v>149</v>
      </c>
      <c r="O881" s="176" t="s">
        <v>150</v>
      </c>
      <c r="P881" s="176" t="s">
        <v>151</v>
      </c>
      <c r="Q881" s="176"/>
      <c r="R881" s="176" t="s">
        <v>5617</v>
      </c>
      <c r="S881" s="176"/>
      <c r="T881" s="176" t="s">
        <v>3047</v>
      </c>
      <c r="U881" s="176" t="s">
        <v>152</v>
      </c>
      <c r="V881" s="176" t="s">
        <v>23</v>
      </c>
    </row>
    <row r="882" spans="2:22" ht="12" customHeight="1">
      <c r="B882" s="211">
        <v>46219</v>
      </c>
      <c r="C882" s="211">
        <v>46219</v>
      </c>
      <c r="D882" s="176" t="s">
        <v>5618</v>
      </c>
      <c r="E882" s="176" t="s">
        <v>5619</v>
      </c>
      <c r="F882" s="176" t="s">
        <v>87</v>
      </c>
      <c r="G882" s="176" t="s">
        <v>3934</v>
      </c>
      <c r="H882" s="176">
        <v>25</v>
      </c>
      <c r="I882" s="176">
        <v>24.3</v>
      </c>
      <c r="J882" s="176">
        <v>24.3</v>
      </c>
      <c r="K882" s="176">
        <v>4</v>
      </c>
      <c r="L882" s="176">
        <v>0</v>
      </c>
      <c r="M882" s="176" t="s">
        <v>148</v>
      </c>
      <c r="N882" s="176" t="s">
        <v>149</v>
      </c>
      <c r="O882" s="176" t="s">
        <v>150</v>
      </c>
      <c r="P882" s="176" t="s">
        <v>151</v>
      </c>
      <c r="Q882" s="176"/>
      <c r="R882" s="176" t="s">
        <v>5619</v>
      </c>
      <c r="S882" s="176"/>
      <c r="T882" s="176" t="s">
        <v>3047</v>
      </c>
      <c r="U882" s="176" t="s">
        <v>152</v>
      </c>
      <c r="V882" s="176" t="s">
        <v>23</v>
      </c>
    </row>
    <row r="883" spans="2:22" ht="12" customHeight="1">
      <c r="B883" s="211">
        <v>46219</v>
      </c>
      <c r="C883" s="211">
        <v>46219</v>
      </c>
      <c r="D883" s="176" t="s">
        <v>5620</v>
      </c>
      <c r="E883" s="176" t="s">
        <v>5621</v>
      </c>
      <c r="F883" s="176" t="s">
        <v>87</v>
      </c>
      <c r="G883" s="176" t="s">
        <v>3934</v>
      </c>
      <c r="H883" s="176">
        <v>25</v>
      </c>
      <c r="I883" s="176">
        <v>25.4</v>
      </c>
      <c r="J883" s="176">
        <v>25.4</v>
      </c>
      <c r="K883" s="176">
        <v>4</v>
      </c>
      <c r="L883" s="176">
        <v>0</v>
      </c>
      <c r="M883" s="176" t="s">
        <v>148</v>
      </c>
      <c r="N883" s="176" t="s">
        <v>149</v>
      </c>
      <c r="O883" s="176" t="s">
        <v>150</v>
      </c>
      <c r="P883" s="176" t="s">
        <v>151</v>
      </c>
      <c r="Q883" s="176"/>
      <c r="R883" s="176" t="s">
        <v>5621</v>
      </c>
      <c r="S883" s="176"/>
      <c r="T883" s="176" t="s">
        <v>3047</v>
      </c>
      <c r="U883" s="176" t="s">
        <v>152</v>
      </c>
      <c r="V883" s="176" t="s">
        <v>23</v>
      </c>
    </row>
    <row r="884" spans="2:22" ht="12" customHeight="1">
      <c r="B884" s="211">
        <v>46219</v>
      </c>
      <c r="C884" s="211">
        <v>46219</v>
      </c>
      <c r="D884" s="176" t="s">
        <v>5622</v>
      </c>
      <c r="E884" s="176" t="s">
        <v>5623</v>
      </c>
      <c r="F884" s="176" t="s">
        <v>87</v>
      </c>
      <c r="G884" s="176" t="s">
        <v>2637</v>
      </c>
      <c r="H884" s="176">
        <v>40</v>
      </c>
      <c r="I884" s="176">
        <v>32.6</v>
      </c>
      <c r="J884" s="176">
        <v>32.6</v>
      </c>
      <c r="K884" s="176">
        <v>7</v>
      </c>
      <c r="L884" s="176">
        <v>0</v>
      </c>
      <c r="M884" s="176" t="s">
        <v>148</v>
      </c>
      <c r="N884" s="176" t="s">
        <v>149</v>
      </c>
      <c r="O884" s="176" t="s">
        <v>150</v>
      </c>
      <c r="P884" s="176" t="s">
        <v>151</v>
      </c>
      <c r="Q884" s="176"/>
      <c r="R884" s="176" t="s">
        <v>5623</v>
      </c>
      <c r="S884" s="176"/>
      <c r="T884" s="176" t="s">
        <v>3047</v>
      </c>
      <c r="U884" s="176" t="s">
        <v>152</v>
      </c>
      <c r="V884" s="176" t="s">
        <v>23</v>
      </c>
    </row>
    <row r="885" spans="2:22" ht="12" customHeight="1">
      <c r="B885" s="211">
        <v>46219</v>
      </c>
      <c r="C885" s="211">
        <v>46219</v>
      </c>
      <c r="D885" s="176" t="s">
        <v>5624</v>
      </c>
      <c r="E885" s="176" t="s">
        <v>5625</v>
      </c>
      <c r="F885" s="176" t="s">
        <v>87</v>
      </c>
      <c r="G885" s="176" t="s">
        <v>2001</v>
      </c>
      <c r="H885" s="176">
        <v>6</v>
      </c>
      <c r="I885" s="176">
        <v>24.3</v>
      </c>
      <c r="J885" s="176">
        <v>24.3</v>
      </c>
      <c r="K885" s="176">
        <v>1.5</v>
      </c>
      <c r="L885" s="176">
        <v>0</v>
      </c>
      <c r="M885" s="176" t="s">
        <v>148</v>
      </c>
      <c r="N885" s="176" t="s">
        <v>149</v>
      </c>
      <c r="O885" s="176" t="s">
        <v>150</v>
      </c>
      <c r="P885" s="176" t="s">
        <v>151</v>
      </c>
      <c r="Q885" s="176"/>
      <c r="R885" s="176" t="s">
        <v>5625</v>
      </c>
      <c r="S885" s="176"/>
      <c r="T885" s="176" t="s">
        <v>3047</v>
      </c>
      <c r="U885" s="176" t="s">
        <v>152</v>
      </c>
      <c r="V885" s="176" t="s">
        <v>23</v>
      </c>
    </row>
    <row r="886" spans="2:22" ht="12" customHeight="1">
      <c r="B886" s="211">
        <v>46219</v>
      </c>
      <c r="C886" s="211">
        <v>46219</v>
      </c>
      <c r="D886" s="176" t="s">
        <v>5626</v>
      </c>
      <c r="E886" s="176" t="s">
        <v>5627</v>
      </c>
      <c r="F886" s="176" t="s">
        <v>87</v>
      </c>
      <c r="G886" s="176" t="s">
        <v>3934</v>
      </c>
      <c r="H886" s="176">
        <v>25</v>
      </c>
      <c r="I886" s="176">
        <v>45.2</v>
      </c>
      <c r="J886" s="176">
        <v>45.2</v>
      </c>
      <c r="K886" s="176">
        <v>4</v>
      </c>
      <c r="L886" s="176">
        <v>0</v>
      </c>
      <c r="M886" s="176" t="s">
        <v>148</v>
      </c>
      <c r="N886" s="176" t="s">
        <v>149</v>
      </c>
      <c r="O886" s="176" t="s">
        <v>150</v>
      </c>
      <c r="P886" s="176" t="s">
        <v>151</v>
      </c>
      <c r="Q886" s="176"/>
      <c r="R886" s="176" t="s">
        <v>5627</v>
      </c>
      <c r="S886" s="176"/>
      <c r="T886" s="176" t="s">
        <v>3047</v>
      </c>
      <c r="U886" s="176" t="s">
        <v>152</v>
      </c>
      <c r="V886" s="176" t="s">
        <v>23</v>
      </c>
    </row>
    <row r="887" spans="2:22" ht="12" customHeight="1">
      <c r="B887" s="211">
        <v>46219</v>
      </c>
      <c r="C887" s="211">
        <v>46219</v>
      </c>
      <c r="D887" s="176" t="s">
        <v>5628</v>
      </c>
      <c r="E887" s="176" t="s">
        <v>5629</v>
      </c>
      <c r="F887" s="176" t="s">
        <v>87</v>
      </c>
      <c r="G887" s="176" t="s">
        <v>3934</v>
      </c>
      <c r="H887" s="176">
        <v>25</v>
      </c>
      <c r="I887" s="176">
        <v>41.5</v>
      </c>
      <c r="J887" s="176">
        <v>41.5</v>
      </c>
      <c r="K887" s="176">
        <v>4</v>
      </c>
      <c r="L887" s="176">
        <v>0</v>
      </c>
      <c r="M887" s="176" t="s">
        <v>148</v>
      </c>
      <c r="N887" s="176" t="s">
        <v>149</v>
      </c>
      <c r="O887" s="176" t="s">
        <v>150</v>
      </c>
      <c r="P887" s="176" t="s">
        <v>151</v>
      </c>
      <c r="Q887" s="176"/>
      <c r="R887" s="176" t="s">
        <v>5629</v>
      </c>
      <c r="S887" s="176"/>
      <c r="T887" s="176" t="s">
        <v>3047</v>
      </c>
      <c r="U887" s="176" t="s">
        <v>152</v>
      </c>
      <c r="V887" s="176" t="s">
        <v>23</v>
      </c>
    </row>
    <row r="888" spans="2:22" ht="12" customHeight="1">
      <c r="B888" s="211">
        <v>46219</v>
      </c>
      <c r="C888" s="211">
        <v>46219</v>
      </c>
      <c r="D888" s="176" t="s">
        <v>5630</v>
      </c>
      <c r="E888" s="176" t="s">
        <v>5631</v>
      </c>
      <c r="F888" s="176" t="s">
        <v>87</v>
      </c>
      <c r="G888" s="176" t="s">
        <v>3866</v>
      </c>
      <c r="H888" s="176">
        <v>40</v>
      </c>
      <c r="I888" s="176">
        <v>33.799999999999997</v>
      </c>
      <c r="J888" s="176">
        <v>33.799999999999997</v>
      </c>
      <c r="K888" s="176">
        <v>5</v>
      </c>
      <c r="L888" s="176">
        <v>0</v>
      </c>
      <c r="M888" s="176" t="s">
        <v>148</v>
      </c>
      <c r="N888" s="176" t="s">
        <v>149</v>
      </c>
      <c r="O888" s="176" t="s">
        <v>150</v>
      </c>
      <c r="P888" s="176" t="s">
        <v>151</v>
      </c>
      <c r="Q888" s="176"/>
      <c r="R888" s="176" t="s">
        <v>5631</v>
      </c>
      <c r="S888" s="176"/>
      <c r="T888" s="176" t="s">
        <v>3047</v>
      </c>
      <c r="U888" s="176" t="s">
        <v>152</v>
      </c>
      <c r="V888" s="176" t="s">
        <v>23</v>
      </c>
    </row>
    <row r="889" spans="2:22" ht="12" customHeight="1">
      <c r="B889" s="211">
        <v>46219</v>
      </c>
      <c r="C889" s="211">
        <v>46219</v>
      </c>
      <c r="D889" s="176" t="s">
        <v>5632</v>
      </c>
      <c r="E889" s="176" t="s">
        <v>5633</v>
      </c>
      <c r="F889" s="176" t="s">
        <v>87</v>
      </c>
      <c r="G889" s="176" t="s">
        <v>2637</v>
      </c>
      <c r="H889" s="176">
        <v>40</v>
      </c>
      <c r="I889" s="176">
        <v>32.799999999999997</v>
      </c>
      <c r="J889" s="176">
        <v>32.799999999999997</v>
      </c>
      <c r="K889" s="176">
        <v>7</v>
      </c>
      <c r="L889" s="176">
        <v>0</v>
      </c>
      <c r="M889" s="176" t="s">
        <v>148</v>
      </c>
      <c r="N889" s="176" t="s">
        <v>149</v>
      </c>
      <c r="O889" s="176" t="s">
        <v>150</v>
      </c>
      <c r="P889" s="176" t="s">
        <v>151</v>
      </c>
      <c r="Q889" s="176"/>
      <c r="R889" s="176" t="s">
        <v>5633</v>
      </c>
      <c r="S889" s="176"/>
      <c r="T889" s="176" t="s">
        <v>3047</v>
      </c>
      <c r="U889" s="176" t="s">
        <v>152</v>
      </c>
      <c r="V889" s="176" t="s">
        <v>23</v>
      </c>
    </row>
    <row r="890" spans="2:22" ht="12" customHeight="1">
      <c r="B890" s="211">
        <v>46219</v>
      </c>
      <c r="C890" s="211">
        <v>46219</v>
      </c>
      <c r="D890" s="176" t="s">
        <v>5634</v>
      </c>
      <c r="E890" s="176" t="s">
        <v>5635</v>
      </c>
      <c r="F890" s="176" t="s">
        <v>87</v>
      </c>
      <c r="G890" s="176" t="s">
        <v>3934</v>
      </c>
      <c r="H890" s="176">
        <v>25</v>
      </c>
      <c r="I890" s="176">
        <v>45</v>
      </c>
      <c r="J890" s="176">
        <v>45</v>
      </c>
      <c r="K890" s="176">
        <v>4</v>
      </c>
      <c r="L890" s="176">
        <v>0</v>
      </c>
      <c r="M890" s="176" t="s">
        <v>148</v>
      </c>
      <c r="N890" s="176" t="s">
        <v>149</v>
      </c>
      <c r="O890" s="176" t="s">
        <v>150</v>
      </c>
      <c r="P890" s="176" t="s">
        <v>151</v>
      </c>
      <c r="Q890" s="176"/>
      <c r="R890" s="176" t="s">
        <v>5635</v>
      </c>
      <c r="S890" s="176"/>
      <c r="T890" s="176" t="s">
        <v>3047</v>
      </c>
      <c r="U890" s="176" t="s">
        <v>152</v>
      </c>
      <c r="V890" s="176" t="s">
        <v>23</v>
      </c>
    </row>
    <row r="891" spans="2:22" ht="12" customHeight="1">
      <c r="B891" s="211">
        <v>46219</v>
      </c>
      <c r="C891" s="211">
        <v>46219</v>
      </c>
      <c r="D891" s="176" t="s">
        <v>5636</v>
      </c>
      <c r="E891" s="176" t="s">
        <v>5637</v>
      </c>
      <c r="F891" s="176" t="s">
        <v>87</v>
      </c>
      <c r="G891" s="176" t="s">
        <v>2552</v>
      </c>
      <c r="H891" s="176">
        <v>40</v>
      </c>
      <c r="I891" s="176">
        <v>39.299999999999997</v>
      </c>
      <c r="J891" s="176">
        <v>39.299999999999997</v>
      </c>
      <c r="K891" s="176">
        <v>5</v>
      </c>
      <c r="L891" s="176">
        <v>0</v>
      </c>
      <c r="M891" s="176" t="s">
        <v>148</v>
      </c>
      <c r="N891" s="176" t="s">
        <v>149</v>
      </c>
      <c r="O891" s="176" t="s">
        <v>150</v>
      </c>
      <c r="P891" s="176" t="s">
        <v>151</v>
      </c>
      <c r="Q891" s="176"/>
      <c r="R891" s="176" t="s">
        <v>5637</v>
      </c>
      <c r="S891" s="176"/>
      <c r="T891" s="176" t="s">
        <v>3047</v>
      </c>
      <c r="U891" s="176" t="s">
        <v>152</v>
      </c>
      <c r="V891" s="176" t="s">
        <v>23</v>
      </c>
    </row>
    <row r="892" spans="2:22">
      <c r="B892" s="389">
        <v>46219</v>
      </c>
      <c r="C892" s="389">
        <v>46219</v>
      </c>
      <c r="D892" s="387" t="s">
        <v>5638</v>
      </c>
      <c r="E892" s="388" t="s">
        <v>5639</v>
      </c>
      <c r="F892" s="387" t="s">
        <v>87</v>
      </c>
      <c r="G892" s="387" t="s">
        <v>2552</v>
      </c>
      <c r="H892" s="393">
        <v>40</v>
      </c>
      <c r="I892" s="387">
        <v>35.799999999999997</v>
      </c>
      <c r="J892" s="387">
        <v>35.799999999999997</v>
      </c>
      <c r="K892" s="387">
        <v>5</v>
      </c>
      <c r="L892" s="387">
        <v>0</v>
      </c>
      <c r="M892" s="387" t="s">
        <v>148</v>
      </c>
      <c r="N892" s="387" t="s">
        <v>149</v>
      </c>
      <c r="O892" s="387" t="s">
        <v>150</v>
      </c>
      <c r="P892" s="387" t="s">
        <v>151</v>
      </c>
      <c r="Q892" s="387"/>
      <c r="R892" s="387" t="s">
        <v>5639</v>
      </c>
      <c r="S892" s="387"/>
      <c r="T892" s="387" t="s">
        <v>3047</v>
      </c>
      <c r="U892" s="387" t="s">
        <v>152</v>
      </c>
      <c r="V892" s="387" t="s">
        <v>23</v>
      </c>
    </row>
    <row r="893" spans="2:22">
      <c r="B893" s="389">
        <v>46219</v>
      </c>
      <c r="C893" s="389">
        <v>46219</v>
      </c>
      <c r="D893" s="387" t="s">
        <v>5640</v>
      </c>
      <c r="E893" s="388" t="s">
        <v>5641</v>
      </c>
      <c r="F893" s="387" t="s">
        <v>87</v>
      </c>
      <c r="G893" s="387" t="s">
        <v>2552</v>
      </c>
      <c r="H893" s="393">
        <v>40</v>
      </c>
      <c r="I893" s="358">
        <v>37.6</v>
      </c>
      <c r="J893" s="363">
        <v>37.6</v>
      </c>
      <c r="K893" s="387">
        <v>5</v>
      </c>
      <c r="L893" s="387">
        <v>0</v>
      </c>
      <c r="M893" s="387" t="s">
        <v>148</v>
      </c>
      <c r="N893" s="387" t="s">
        <v>149</v>
      </c>
      <c r="O893" s="387" t="s">
        <v>150</v>
      </c>
      <c r="P893" s="387" t="s">
        <v>151</v>
      </c>
      <c r="Q893" s="387"/>
      <c r="R893" s="387" t="s">
        <v>5641</v>
      </c>
      <c r="S893" s="387"/>
      <c r="T893" s="387" t="s">
        <v>3047</v>
      </c>
      <c r="U893" s="387" t="s">
        <v>152</v>
      </c>
      <c r="V893" s="387" t="s">
        <v>23</v>
      </c>
    </row>
    <row r="894" spans="2:22">
      <c r="B894" s="389">
        <v>46219</v>
      </c>
      <c r="C894" s="389">
        <v>46219</v>
      </c>
      <c r="D894" s="387" t="s">
        <v>5642</v>
      </c>
      <c r="E894" s="388" t="s">
        <v>5643</v>
      </c>
      <c r="F894" s="387" t="s">
        <v>87</v>
      </c>
      <c r="G894" s="387" t="s">
        <v>1713</v>
      </c>
      <c r="H894" s="393">
        <v>30</v>
      </c>
      <c r="I894" s="387">
        <v>29.8</v>
      </c>
      <c r="J894" s="387">
        <v>29.8</v>
      </c>
      <c r="K894" s="387">
        <v>4</v>
      </c>
      <c r="L894" s="387">
        <v>0</v>
      </c>
      <c r="M894" s="387" t="s">
        <v>148</v>
      </c>
      <c r="N894" s="387" t="s">
        <v>149</v>
      </c>
      <c r="O894" s="387" t="s">
        <v>150</v>
      </c>
      <c r="P894" s="387" t="s">
        <v>151</v>
      </c>
      <c r="Q894" s="387"/>
      <c r="R894" s="387" t="s">
        <v>5643</v>
      </c>
      <c r="S894" s="387"/>
      <c r="T894" s="387" t="s">
        <v>3047</v>
      </c>
      <c r="U894" s="387" t="s">
        <v>152</v>
      </c>
      <c r="V894" s="387" t="s">
        <v>23</v>
      </c>
    </row>
    <row r="895" spans="2:22">
      <c r="B895" s="389">
        <v>46219</v>
      </c>
      <c r="C895" s="389">
        <v>46219</v>
      </c>
      <c r="D895" s="387" t="s">
        <v>5644</v>
      </c>
      <c r="E895" s="388" t="s">
        <v>5645</v>
      </c>
      <c r="F895" s="387" t="s">
        <v>87</v>
      </c>
      <c r="G895" s="387" t="s">
        <v>1713</v>
      </c>
      <c r="H895" s="393">
        <v>30</v>
      </c>
      <c r="I895" s="387">
        <v>26.1</v>
      </c>
      <c r="J895" s="387">
        <v>26.1</v>
      </c>
      <c r="K895" s="387">
        <v>4</v>
      </c>
      <c r="L895" s="387">
        <v>0</v>
      </c>
      <c r="M895" s="387" t="s">
        <v>148</v>
      </c>
      <c r="N895" s="387" t="s">
        <v>149</v>
      </c>
      <c r="O895" s="387" t="s">
        <v>150</v>
      </c>
      <c r="P895" s="387" t="s">
        <v>151</v>
      </c>
      <c r="Q895" s="387"/>
      <c r="R895" s="387" t="s">
        <v>5645</v>
      </c>
      <c r="S895" s="387"/>
      <c r="T895" s="387" t="s">
        <v>3047</v>
      </c>
      <c r="U895" s="387" t="s">
        <v>152</v>
      </c>
      <c r="V895" s="387" t="s">
        <v>23</v>
      </c>
    </row>
    <row r="896" spans="2:22">
      <c r="B896" s="389">
        <v>46219</v>
      </c>
      <c r="C896" s="389">
        <v>46219</v>
      </c>
      <c r="D896" s="387" t="s">
        <v>5646</v>
      </c>
      <c r="E896" s="388" t="s">
        <v>5647</v>
      </c>
      <c r="F896" s="387" t="s">
        <v>87</v>
      </c>
      <c r="G896" s="387" t="s">
        <v>2552</v>
      </c>
      <c r="H896" s="393">
        <v>40</v>
      </c>
      <c r="I896" s="387">
        <v>38.799999999999997</v>
      </c>
      <c r="J896" s="387">
        <v>38.799999999999997</v>
      </c>
      <c r="K896" s="387">
        <v>5</v>
      </c>
      <c r="L896" s="387">
        <v>0</v>
      </c>
      <c r="M896" s="387" t="s">
        <v>148</v>
      </c>
      <c r="N896" s="387" t="s">
        <v>149</v>
      </c>
      <c r="O896" s="387" t="s">
        <v>150</v>
      </c>
      <c r="P896" s="387" t="s">
        <v>151</v>
      </c>
      <c r="Q896" s="387"/>
      <c r="R896" s="387" t="s">
        <v>5647</v>
      </c>
      <c r="S896" s="387"/>
      <c r="T896" s="387" t="s">
        <v>3047</v>
      </c>
      <c r="U896" s="387" t="s">
        <v>152</v>
      </c>
      <c r="V896" s="387" t="s">
        <v>23</v>
      </c>
    </row>
    <row r="897" spans="2:22">
      <c r="B897" s="389">
        <v>46219</v>
      </c>
      <c r="C897" s="389">
        <v>46219</v>
      </c>
      <c r="D897" s="387" t="s">
        <v>5648</v>
      </c>
      <c r="E897" s="388" t="s">
        <v>5649</v>
      </c>
      <c r="F897" s="387" t="s">
        <v>87</v>
      </c>
      <c r="G897" s="387" t="s">
        <v>3934</v>
      </c>
      <c r="H897" s="393">
        <v>25</v>
      </c>
      <c r="I897" s="387">
        <v>38.200000000000003</v>
      </c>
      <c r="J897" s="387">
        <v>38.200000000000003</v>
      </c>
      <c r="K897" s="387">
        <v>4</v>
      </c>
      <c r="L897" s="387">
        <v>0</v>
      </c>
      <c r="M897" s="387" t="s">
        <v>148</v>
      </c>
      <c r="N897" s="387" t="s">
        <v>149</v>
      </c>
      <c r="O897" s="387" t="s">
        <v>150</v>
      </c>
      <c r="P897" s="387" t="s">
        <v>151</v>
      </c>
      <c r="Q897" s="387"/>
      <c r="R897" s="387" t="s">
        <v>5649</v>
      </c>
      <c r="S897" s="387"/>
      <c r="T897" s="387" t="s">
        <v>3047</v>
      </c>
      <c r="U897" s="387" t="s">
        <v>152</v>
      </c>
      <c r="V897" s="387" t="s">
        <v>23</v>
      </c>
    </row>
    <row r="898" spans="2:22">
      <c r="B898" s="389">
        <v>46219</v>
      </c>
      <c r="C898" s="389">
        <v>46219</v>
      </c>
      <c r="D898" s="387" t="s">
        <v>5650</v>
      </c>
      <c r="E898" s="388" t="s">
        <v>5651</v>
      </c>
      <c r="F898" s="387" t="s">
        <v>87</v>
      </c>
      <c r="G898" s="387" t="s">
        <v>2485</v>
      </c>
      <c r="H898" s="393">
        <v>30</v>
      </c>
      <c r="I898" s="387">
        <v>41.3</v>
      </c>
      <c r="J898" s="387">
        <v>41.3</v>
      </c>
      <c r="K898" s="387">
        <v>4</v>
      </c>
      <c r="L898" s="387">
        <v>0</v>
      </c>
      <c r="M898" s="387" t="s">
        <v>148</v>
      </c>
      <c r="N898" s="387" t="s">
        <v>149</v>
      </c>
      <c r="O898" s="387" t="s">
        <v>150</v>
      </c>
      <c r="P898" s="387" t="s">
        <v>151</v>
      </c>
      <c r="Q898" s="387"/>
      <c r="R898" s="387" t="s">
        <v>5651</v>
      </c>
      <c r="S898" s="387"/>
      <c r="T898" s="387" t="s">
        <v>3047</v>
      </c>
      <c r="U898" s="387" t="s">
        <v>152</v>
      </c>
      <c r="V898" s="387" t="s">
        <v>23</v>
      </c>
    </row>
    <row r="899" spans="2:22">
      <c r="B899" s="389">
        <v>46219</v>
      </c>
      <c r="C899" s="389">
        <v>46219</v>
      </c>
      <c r="D899" s="387" t="s">
        <v>5652</v>
      </c>
      <c r="E899" s="388" t="s">
        <v>5653</v>
      </c>
      <c r="F899" s="387" t="s">
        <v>87</v>
      </c>
      <c r="G899" s="387" t="s">
        <v>2637</v>
      </c>
      <c r="H899" s="393">
        <v>40</v>
      </c>
      <c r="I899" s="387">
        <v>22.2</v>
      </c>
      <c r="J899" s="387">
        <v>22.2</v>
      </c>
      <c r="K899" s="387">
        <v>7</v>
      </c>
      <c r="L899" s="387">
        <v>0</v>
      </c>
      <c r="M899" s="387" t="s">
        <v>148</v>
      </c>
      <c r="N899" s="387" t="s">
        <v>149</v>
      </c>
      <c r="O899" s="387" t="s">
        <v>150</v>
      </c>
      <c r="P899" s="387" t="s">
        <v>151</v>
      </c>
      <c r="Q899" s="387"/>
      <c r="R899" s="387" t="s">
        <v>5653</v>
      </c>
      <c r="S899" s="387"/>
      <c r="T899" s="387" t="s">
        <v>3047</v>
      </c>
      <c r="U899" s="387" t="s">
        <v>152</v>
      </c>
      <c r="V899" s="387" t="s">
        <v>23</v>
      </c>
    </row>
    <row r="900" spans="2:22">
      <c r="B900" s="389">
        <v>46219</v>
      </c>
      <c r="C900" s="389">
        <v>46219</v>
      </c>
      <c r="D900" s="387" t="s">
        <v>5654</v>
      </c>
      <c r="E900" s="388" t="s">
        <v>5655</v>
      </c>
      <c r="F900" s="387" t="s">
        <v>87</v>
      </c>
      <c r="G900" s="387" t="s">
        <v>2637</v>
      </c>
      <c r="H900" s="393">
        <v>40</v>
      </c>
      <c r="I900" s="387">
        <v>16.8</v>
      </c>
      <c r="J900" s="387">
        <v>16.8</v>
      </c>
      <c r="K900" s="387">
        <v>7</v>
      </c>
      <c r="L900" s="387">
        <v>0</v>
      </c>
      <c r="M900" s="387" t="s">
        <v>148</v>
      </c>
      <c r="N900" s="387" t="s">
        <v>149</v>
      </c>
      <c r="O900" s="387" t="s">
        <v>150</v>
      </c>
      <c r="P900" s="387" t="s">
        <v>151</v>
      </c>
      <c r="Q900" s="387"/>
      <c r="R900" s="387" t="s">
        <v>5655</v>
      </c>
      <c r="S900" s="387"/>
      <c r="T900" s="387" t="s">
        <v>3047</v>
      </c>
      <c r="U900" s="387" t="s">
        <v>152</v>
      </c>
      <c r="V900" s="387" t="s">
        <v>23</v>
      </c>
    </row>
    <row r="901" spans="2:22">
      <c r="B901" s="389">
        <v>46219</v>
      </c>
      <c r="C901" s="389">
        <v>46219</v>
      </c>
      <c r="D901" s="387" t="s">
        <v>5656</v>
      </c>
      <c r="E901" s="388" t="s">
        <v>5657</v>
      </c>
      <c r="F901" s="387" t="s">
        <v>87</v>
      </c>
      <c r="G901" s="387" t="s">
        <v>3934</v>
      </c>
      <c r="H901" s="393">
        <v>25</v>
      </c>
      <c r="I901" s="387">
        <v>29.3</v>
      </c>
      <c r="J901" s="387">
        <v>29.3</v>
      </c>
      <c r="K901" s="387">
        <v>4</v>
      </c>
      <c r="L901" s="387">
        <v>0</v>
      </c>
      <c r="M901" s="387" t="s">
        <v>148</v>
      </c>
      <c r="N901" s="387" t="s">
        <v>149</v>
      </c>
      <c r="O901" s="387" t="s">
        <v>150</v>
      </c>
      <c r="P901" s="387" t="s">
        <v>151</v>
      </c>
      <c r="Q901" s="387"/>
      <c r="R901" s="387" t="s">
        <v>5657</v>
      </c>
      <c r="S901" s="387"/>
      <c r="T901" s="387" t="s">
        <v>3047</v>
      </c>
      <c r="U901" s="387" t="s">
        <v>152</v>
      </c>
      <c r="V901" s="387" t="s">
        <v>23</v>
      </c>
    </row>
    <row r="902" spans="2:22">
      <c r="B902" s="389">
        <v>46219</v>
      </c>
      <c r="C902" s="389">
        <v>46219</v>
      </c>
      <c r="D902" s="387" t="s">
        <v>5658</v>
      </c>
      <c r="E902" s="388" t="s">
        <v>5659</v>
      </c>
      <c r="F902" s="387" t="s">
        <v>87</v>
      </c>
      <c r="G902" s="387" t="s">
        <v>1713</v>
      </c>
      <c r="H902" s="393">
        <v>30</v>
      </c>
      <c r="I902" s="387">
        <v>38.799999999999997</v>
      </c>
      <c r="J902" s="387">
        <v>38.799999999999997</v>
      </c>
      <c r="K902" s="387">
        <v>4</v>
      </c>
      <c r="L902" s="387">
        <v>0</v>
      </c>
      <c r="M902" s="387" t="s">
        <v>148</v>
      </c>
      <c r="N902" s="387" t="s">
        <v>149</v>
      </c>
      <c r="O902" s="387" t="s">
        <v>150</v>
      </c>
      <c r="P902" s="387" t="s">
        <v>151</v>
      </c>
      <c r="Q902" s="387"/>
      <c r="R902" s="387" t="s">
        <v>5659</v>
      </c>
      <c r="S902" s="387"/>
      <c r="T902" s="387" t="s">
        <v>3047</v>
      </c>
      <c r="U902" s="387" t="s">
        <v>152</v>
      </c>
      <c r="V902" s="387" t="s">
        <v>23</v>
      </c>
    </row>
    <row r="903" spans="2:22">
      <c r="B903" s="389">
        <v>46219</v>
      </c>
      <c r="C903" s="389">
        <v>46219</v>
      </c>
      <c r="D903" s="387" t="s">
        <v>5660</v>
      </c>
      <c r="E903" s="388" t="s">
        <v>5661</v>
      </c>
      <c r="F903" s="387" t="s">
        <v>87</v>
      </c>
      <c r="G903" s="387" t="s">
        <v>3934</v>
      </c>
      <c r="H903" s="393">
        <v>25</v>
      </c>
      <c r="I903" s="387">
        <v>36.799999999999997</v>
      </c>
      <c r="J903" s="387">
        <v>36.799999999999997</v>
      </c>
      <c r="K903" s="387">
        <v>4</v>
      </c>
      <c r="L903" s="387">
        <v>0</v>
      </c>
      <c r="M903" s="387" t="s">
        <v>148</v>
      </c>
      <c r="N903" s="387" t="s">
        <v>149</v>
      </c>
      <c r="O903" s="387" t="s">
        <v>150</v>
      </c>
      <c r="P903" s="387" t="s">
        <v>151</v>
      </c>
      <c r="Q903" s="387"/>
      <c r="R903" s="387" t="s">
        <v>5661</v>
      </c>
      <c r="S903" s="387"/>
      <c r="T903" s="387" t="s">
        <v>3047</v>
      </c>
      <c r="U903" s="387" t="s">
        <v>152</v>
      </c>
      <c r="V903" s="387" t="s">
        <v>23</v>
      </c>
    </row>
    <row r="904" spans="2:22">
      <c r="B904" s="389">
        <v>46219</v>
      </c>
      <c r="C904" s="389">
        <v>46219</v>
      </c>
      <c r="D904" s="387" t="s">
        <v>5662</v>
      </c>
      <c r="E904" s="388" t="s">
        <v>5663</v>
      </c>
      <c r="F904" s="387" t="s">
        <v>87</v>
      </c>
      <c r="G904" s="387" t="s">
        <v>2001</v>
      </c>
      <c r="H904" s="393">
        <v>6</v>
      </c>
      <c r="I904" s="387">
        <v>11.7</v>
      </c>
      <c r="J904" s="387">
        <v>11.7</v>
      </c>
      <c r="K904" s="387">
        <v>1.5</v>
      </c>
      <c r="L904" s="387">
        <v>0</v>
      </c>
      <c r="M904" s="387" t="s">
        <v>148</v>
      </c>
      <c r="N904" s="387" t="s">
        <v>149</v>
      </c>
      <c r="O904" s="387" t="s">
        <v>150</v>
      </c>
      <c r="P904" s="387" t="s">
        <v>151</v>
      </c>
      <c r="Q904" s="387"/>
      <c r="R904" s="387" t="s">
        <v>5663</v>
      </c>
      <c r="S904" s="387"/>
      <c r="T904" s="387" t="s">
        <v>3047</v>
      </c>
      <c r="U904" s="387" t="s">
        <v>152</v>
      </c>
      <c r="V904" s="387" t="s">
        <v>23</v>
      </c>
    </row>
    <row r="905" spans="2:22">
      <c r="B905" s="389">
        <v>46219</v>
      </c>
      <c r="C905" s="389">
        <v>46219</v>
      </c>
      <c r="D905" s="387" t="s">
        <v>5664</v>
      </c>
      <c r="E905" s="388" t="s">
        <v>5665</v>
      </c>
      <c r="F905" s="387" t="s">
        <v>87</v>
      </c>
      <c r="G905" s="387" t="s">
        <v>2001</v>
      </c>
      <c r="H905" s="393">
        <v>6</v>
      </c>
      <c r="I905" s="387">
        <v>12.8</v>
      </c>
      <c r="J905" s="387">
        <v>12.8</v>
      </c>
      <c r="K905" s="387">
        <v>1.5</v>
      </c>
      <c r="L905" s="387">
        <v>0</v>
      </c>
      <c r="M905" s="387" t="s">
        <v>148</v>
      </c>
      <c r="N905" s="387" t="s">
        <v>149</v>
      </c>
      <c r="O905" s="387" t="s">
        <v>150</v>
      </c>
      <c r="P905" s="387" t="s">
        <v>151</v>
      </c>
      <c r="Q905" s="387"/>
      <c r="R905" s="387" t="s">
        <v>5665</v>
      </c>
      <c r="S905" s="387"/>
      <c r="T905" s="387" t="s">
        <v>3047</v>
      </c>
      <c r="U905" s="387" t="s">
        <v>152</v>
      </c>
      <c r="V905" s="387" t="s">
        <v>23</v>
      </c>
    </row>
    <row r="906" spans="2:22">
      <c r="B906" s="389">
        <v>46219</v>
      </c>
      <c r="C906" s="389">
        <v>46219</v>
      </c>
      <c r="D906" s="387" t="s">
        <v>5666</v>
      </c>
      <c r="E906" s="388" t="s">
        <v>5667</v>
      </c>
      <c r="F906" s="387" t="s">
        <v>87</v>
      </c>
      <c r="G906" s="387" t="s">
        <v>2639</v>
      </c>
      <c r="H906" s="393">
        <v>25</v>
      </c>
      <c r="I906" s="387">
        <v>34.799999999999997</v>
      </c>
      <c r="J906" s="387">
        <v>34.799999999999997</v>
      </c>
      <c r="K906" s="387">
        <v>4</v>
      </c>
      <c r="L906" s="387">
        <v>0</v>
      </c>
      <c r="M906" s="387" t="s">
        <v>148</v>
      </c>
      <c r="N906" s="387" t="s">
        <v>149</v>
      </c>
      <c r="O906" s="387" t="s">
        <v>150</v>
      </c>
      <c r="P906" s="387" t="s">
        <v>151</v>
      </c>
      <c r="Q906" s="387"/>
      <c r="R906" s="387" t="s">
        <v>5667</v>
      </c>
      <c r="S906" s="387"/>
      <c r="T906" s="387" t="s">
        <v>3047</v>
      </c>
      <c r="U906" s="387" t="s">
        <v>152</v>
      </c>
      <c r="V906" s="387" t="s">
        <v>23</v>
      </c>
    </row>
    <row r="907" spans="2:22">
      <c r="B907" s="389">
        <v>46219</v>
      </c>
      <c r="C907" s="389">
        <v>46219</v>
      </c>
      <c r="D907" s="387" t="s">
        <v>5668</v>
      </c>
      <c r="E907" s="388" t="s">
        <v>5669</v>
      </c>
      <c r="F907" s="387" t="s">
        <v>87</v>
      </c>
      <c r="G907" s="387" t="s">
        <v>2552</v>
      </c>
      <c r="H907" s="393">
        <v>40</v>
      </c>
      <c r="I907" s="387">
        <v>31.6</v>
      </c>
      <c r="J907" s="387">
        <v>31.6</v>
      </c>
      <c r="K907" s="387">
        <v>5</v>
      </c>
      <c r="L907" s="387">
        <v>0</v>
      </c>
      <c r="M907" s="387" t="s">
        <v>148</v>
      </c>
      <c r="N907" s="387" t="s">
        <v>149</v>
      </c>
      <c r="O907" s="387" t="s">
        <v>150</v>
      </c>
      <c r="P907" s="387" t="s">
        <v>151</v>
      </c>
      <c r="Q907" s="387"/>
      <c r="R907" s="387" t="s">
        <v>5669</v>
      </c>
      <c r="S907" s="387"/>
      <c r="T907" s="387" t="s">
        <v>3047</v>
      </c>
      <c r="U907" s="387" t="s">
        <v>152</v>
      </c>
      <c r="V907" s="387" t="s">
        <v>23</v>
      </c>
    </row>
    <row r="908" spans="2:22">
      <c r="B908" s="389">
        <v>46219</v>
      </c>
      <c r="C908" s="389">
        <v>46219</v>
      </c>
      <c r="D908" s="387" t="s">
        <v>5670</v>
      </c>
      <c r="E908" s="388" t="s">
        <v>5671</v>
      </c>
      <c r="F908" s="387" t="s">
        <v>87</v>
      </c>
      <c r="G908" s="387" t="s">
        <v>2637</v>
      </c>
      <c r="H908" s="393">
        <v>40</v>
      </c>
      <c r="I908" s="387">
        <v>30.2</v>
      </c>
      <c r="J908" s="387">
        <v>30.2</v>
      </c>
      <c r="K908" s="387">
        <v>7</v>
      </c>
      <c r="L908" s="387">
        <v>0</v>
      </c>
      <c r="M908" s="387" t="s">
        <v>148</v>
      </c>
      <c r="N908" s="387" t="s">
        <v>149</v>
      </c>
      <c r="O908" s="387" t="s">
        <v>150</v>
      </c>
      <c r="P908" s="387" t="s">
        <v>151</v>
      </c>
      <c r="Q908" s="387"/>
      <c r="R908" s="387" t="s">
        <v>5671</v>
      </c>
      <c r="S908" s="387"/>
      <c r="T908" s="387" t="s">
        <v>3047</v>
      </c>
      <c r="U908" s="387" t="s">
        <v>152</v>
      </c>
      <c r="V908" s="387" t="s">
        <v>23</v>
      </c>
    </row>
    <row r="909" spans="2:22">
      <c r="B909" s="389">
        <v>46219</v>
      </c>
      <c r="C909" s="389">
        <v>46219</v>
      </c>
      <c r="D909" s="387" t="s">
        <v>5672</v>
      </c>
      <c r="E909" s="388" t="s">
        <v>5673</v>
      </c>
      <c r="F909" s="387" t="s">
        <v>87</v>
      </c>
      <c r="G909" s="387" t="s">
        <v>2637</v>
      </c>
      <c r="H909" s="393">
        <v>40</v>
      </c>
      <c r="I909" s="387">
        <v>33.4</v>
      </c>
      <c r="J909" s="387">
        <v>33.4</v>
      </c>
      <c r="K909" s="387">
        <v>7</v>
      </c>
      <c r="L909" s="387">
        <v>0</v>
      </c>
      <c r="M909" s="387" t="s">
        <v>148</v>
      </c>
      <c r="N909" s="387" t="s">
        <v>149</v>
      </c>
      <c r="O909" s="387" t="s">
        <v>150</v>
      </c>
      <c r="P909" s="387" t="s">
        <v>151</v>
      </c>
      <c r="Q909" s="387"/>
      <c r="R909" s="387" t="s">
        <v>5673</v>
      </c>
      <c r="S909" s="387"/>
      <c r="T909" s="387" t="s">
        <v>3047</v>
      </c>
      <c r="U909" s="387" t="s">
        <v>152</v>
      </c>
      <c r="V909" s="387" t="s">
        <v>23</v>
      </c>
    </row>
    <row r="910" spans="2:22">
      <c r="B910" s="389">
        <v>46219</v>
      </c>
      <c r="C910" s="389">
        <v>46219</v>
      </c>
      <c r="D910" s="387" t="s">
        <v>5674</v>
      </c>
      <c r="E910" s="388" t="s">
        <v>5675</v>
      </c>
      <c r="F910" s="387" t="s">
        <v>87</v>
      </c>
      <c r="G910" s="387" t="s">
        <v>3934</v>
      </c>
      <c r="H910" s="393">
        <v>25</v>
      </c>
      <c r="I910" s="387">
        <v>27.8</v>
      </c>
      <c r="J910" s="387">
        <v>27.8</v>
      </c>
      <c r="K910" s="387">
        <v>4</v>
      </c>
      <c r="L910" s="387">
        <v>0</v>
      </c>
      <c r="M910" s="387" t="s">
        <v>148</v>
      </c>
      <c r="N910" s="387" t="s">
        <v>149</v>
      </c>
      <c r="O910" s="387" t="s">
        <v>150</v>
      </c>
      <c r="P910" s="387" t="s">
        <v>151</v>
      </c>
      <c r="Q910" s="387"/>
      <c r="R910" s="387" t="s">
        <v>5675</v>
      </c>
      <c r="S910" s="387"/>
      <c r="T910" s="387" t="s">
        <v>3047</v>
      </c>
      <c r="U910" s="387" t="s">
        <v>152</v>
      </c>
      <c r="V910" s="387" t="s">
        <v>23</v>
      </c>
    </row>
    <row r="911" spans="2:22">
      <c r="B911" s="389">
        <v>46219</v>
      </c>
      <c r="C911" s="389">
        <v>46219</v>
      </c>
      <c r="D911" s="387" t="s">
        <v>5676</v>
      </c>
      <c r="E911" s="388" t="s">
        <v>5677</v>
      </c>
      <c r="F911" s="387" t="s">
        <v>87</v>
      </c>
      <c r="G911" s="387" t="s">
        <v>2485</v>
      </c>
      <c r="H911" s="393">
        <v>30</v>
      </c>
      <c r="I911" s="387">
        <v>29.4</v>
      </c>
      <c r="J911" s="387">
        <v>29.4</v>
      </c>
      <c r="K911" s="387">
        <v>4</v>
      </c>
      <c r="L911" s="387">
        <v>0</v>
      </c>
      <c r="M911" s="387" t="s">
        <v>148</v>
      </c>
      <c r="N911" s="387" t="s">
        <v>149</v>
      </c>
      <c r="O911" s="387" t="s">
        <v>150</v>
      </c>
      <c r="P911" s="387" t="s">
        <v>151</v>
      </c>
      <c r="Q911" s="387"/>
      <c r="R911" s="387" t="s">
        <v>5677</v>
      </c>
      <c r="S911" s="387"/>
      <c r="T911" s="387" t="s">
        <v>3047</v>
      </c>
      <c r="U911" s="387" t="s">
        <v>152</v>
      </c>
      <c r="V911" s="387" t="s">
        <v>23</v>
      </c>
    </row>
    <row r="912" spans="2:22">
      <c r="B912" s="389">
        <v>46219</v>
      </c>
      <c r="C912" s="389">
        <v>46219</v>
      </c>
      <c r="D912" s="387" t="s">
        <v>5678</v>
      </c>
      <c r="E912" s="388" t="s">
        <v>5679</v>
      </c>
      <c r="F912" s="387" t="s">
        <v>87</v>
      </c>
      <c r="G912" s="387" t="s">
        <v>2552</v>
      </c>
      <c r="H912" s="393">
        <v>40</v>
      </c>
      <c r="I912" s="387">
        <v>41.3</v>
      </c>
      <c r="J912" s="387">
        <v>41.3</v>
      </c>
      <c r="K912" s="387">
        <v>5</v>
      </c>
      <c r="L912" s="387">
        <v>0</v>
      </c>
      <c r="M912" s="387" t="s">
        <v>148</v>
      </c>
      <c r="N912" s="387" t="s">
        <v>149</v>
      </c>
      <c r="O912" s="387" t="s">
        <v>150</v>
      </c>
      <c r="P912" s="387" t="s">
        <v>151</v>
      </c>
      <c r="Q912" s="387"/>
      <c r="R912" s="387" t="s">
        <v>5679</v>
      </c>
      <c r="S912" s="387"/>
      <c r="T912" s="387" t="s">
        <v>3047</v>
      </c>
      <c r="U912" s="387" t="s">
        <v>152</v>
      </c>
      <c r="V912" s="387" t="s">
        <v>23</v>
      </c>
    </row>
    <row r="913" spans="2:22">
      <c r="B913" s="389">
        <v>46219</v>
      </c>
      <c r="C913" s="389">
        <v>46219</v>
      </c>
      <c r="D913" s="387" t="s">
        <v>5680</v>
      </c>
      <c r="E913" s="388" t="s">
        <v>5681</v>
      </c>
      <c r="F913" s="387" t="s">
        <v>87</v>
      </c>
      <c r="G913" s="387" t="s">
        <v>2552</v>
      </c>
      <c r="H913" s="393">
        <v>40</v>
      </c>
      <c r="I913" s="387">
        <v>41.3</v>
      </c>
      <c r="J913" s="387">
        <v>41.3</v>
      </c>
      <c r="K913" s="387">
        <v>5</v>
      </c>
      <c r="L913" s="387">
        <v>0</v>
      </c>
      <c r="M913" s="387" t="s">
        <v>148</v>
      </c>
      <c r="N913" s="387" t="s">
        <v>149</v>
      </c>
      <c r="O913" s="387" t="s">
        <v>150</v>
      </c>
      <c r="P913" s="387" t="s">
        <v>151</v>
      </c>
      <c r="Q913" s="387"/>
      <c r="R913" s="387" t="s">
        <v>5681</v>
      </c>
      <c r="S913" s="387"/>
      <c r="T913" s="387" t="s">
        <v>3047</v>
      </c>
      <c r="U913" s="387" t="s">
        <v>152</v>
      </c>
      <c r="V913" s="387" t="s">
        <v>23</v>
      </c>
    </row>
    <row r="914" spans="2:22">
      <c r="B914" s="389">
        <v>46219</v>
      </c>
      <c r="C914" s="389">
        <v>46219</v>
      </c>
      <c r="D914" s="387" t="s">
        <v>5682</v>
      </c>
      <c r="E914" s="388" t="s">
        <v>5683</v>
      </c>
      <c r="F914" s="387" t="s">
        <v>87</v>
      </c>
      <c r="G914" s="387" t="s">
        <v>2552</v>
      </c>
      <c r="H914" s="393">
        <v>40</v>
      </c>
      <c r="I914" s="387">
        <v>38.799999999999997</v>
      </c>
      <c r="J914" s="387">
        <v>38.799999999999997</v>
      </c>
      <c r="K914" s="387">
        <v>5</v>
      </c>
      <c r="L914" s="387">
        <v>0</v>
      </c>
      <c r="M914" s="387" t="s">
        <v>148</v>
      </c>
      <c r="N914" s="387" t="s">
        <v>149</v>
      </c>
      <c r="O914" s="387" t="s">
        <v>150</v>
      </c>
      <c r="P914" s="387" t="s">
        <v>151</v>
      </c>
      <c r="Q914" s="387"/>
      <c r="R914" s="387" t="s">
        <v>5683</v>
      </c>
      <c r="S914" s="387"/>
      <c r="T914" s="387" t="s">
        <v>3047</v>
      </c>
      <c r="U914" s="387" t="s">
        <v>152</v>
      </c>
      <c r="V914" s="387" t="s">
        <v>23</v>
      </c>
    </row>
    <row r="915" spans="2:22">
      <c r="B915" s="389">
        <v>46219</v>
      </c>
      <c r="C915" s="389">
        <v>46219</v>
      </c>
      <c r="D915" s="387" t="s">
        <v>5684</v>
      </c>
      <c r="E915" s="388" t="s">
        <v>5685</v>
      </c>
      <c r="F915" s="387" t="s">
        <v>87</v>
      </c>
      <c r="G915" s="387" t="s">
        <v>2552</v>
      </c>
      <c r="H915" s="393">
        <v>40</v>
      </c>
      <c r="I915" s="387">
        <v>33.799999999999997</v>
      </c>
      <c r="J915" s="387">
        <v>33.799999999999997</v>
      </c>
      <c r="K915" s="387">
        <v>5</v>
      </c>
      <c r="L915" s="387">
        <v>0</v>
      </c>
      <c r="M915" s="387" t="s">
        <v>148</v>
      </c>
      <c r="N915" s="387" t="s">
        <v>149</v>
      </c>
      <c r="O915" s="387" t="s">
        <v>150</v>
      </c>
      <c r="P915" s="387" t="s">
        <v>151</v>
      </c>
      <c r="Q915" s="387"/>
      <c r="R915" s="387" t="s">
        <v>5685</v>
      </c>
      <c r="S915" s="387"/>
      <c r="T915" s="387" t="s">
        <v>3047</v>
      </c>
      <c r="U915" s="387" t="s">
        <v>152</v>
      </c>
      <c r="V915" s="387" t="s">
        <v>23</v>
      </c>
    </row>
    <row r="916" spans="2:22">
      <c r="B916" s="389">
        <v>46219</v>
      </c>
      <c r="C916" s="389">
        <v>46219</v>
      </c>
      <c r="D916" s="387" t="s">
        <v>5686</v>
      </c>
      <c r="E916" s="388" t="s">
        <v>5687</v>
      </c>
      <c r="F916" s="387" t="s">
        <v>87</v>
      </c>
      <c r="G916" s="387" t="s">
        <v>2637</v>
      </c>
      <c r="H916" s="393">
        <v>40</v>
      </c>
      <c r="I916" s="387">
        <v>33</v>
      </c>
      <c r="J916" s="387">
        <v>33</v>
      </c>
      <c r="K916" s="387">
        <v>7</v>
      </c>
      <c r="L916" s="387">
        <v>0</v>
      </c>
      <c r="M916" s="387" t="s">
        <v>148</v>
      </c>
      <c r="N916" s="387" t="s">
        <v>149</v>
      </c>
      <c r="O916" s="387" t="s">
        <v>150</v>
      </c>
      <c r="P916" s="387" t="s">
        <v>151</v>
      </c>
      <c r="Q916" s="387"/>
      <c r="R916" s="387" t="s">
        <v>5687</v>
      </c>
      <c r="S916" s="387"/>
      <c r="T916" s="387" t="s">
        <v>3047</v>
      </c>
      <c r="U916" s="387" t="s">
        <v>152</v>
      </c>
      <c r="V916" s="387" t="s">
        <v>23</v>
      </c>
    </row>
    <row r="917" spans="2:22">
      <c r="B917" s="389">
        <v>46219</v>
      </c>
      <c r="C917" s="389">
        <v>46219</v>
      </c>
      <c r="D917" s="387" t="s">
        <v>5688</v>
      </c>
      <c r="E917" s="388" t="s">
        <v>5689</v>
      </c>
      <c r="F917" s="387" t="s">
        <v>87</v>
      </c>
      <c r="G917" s="387" t="s">
        <v>4929</v>
      </c>
      <c r="H917" s="393">
        <v>55</v>
      </c>
      <c r="I917" s="387">
        <v>38.799999999999997</v>
      </c>
      <c r="J917" s="387">
        <v>38.799999999999997</v>
      </c>
      <c r="K917" s="387">
        <v>5</v>
      </c>
      <c r="L917" s="387">
        <v>0</v>
      </c>
      <c r="M917" s="387" t="s">
        <v>148</v>
      </c>
      <c r="N917" s="387" t="s">
        <v>149</v>
      </c>
      <c r="O917" s="387" t="s">
        <v>150</v>
      </c>
      <c r="P917" s="387" t="s">
        <v>151</v>
      </c>
      <c r="Q917" s="387"/>
      <c r="R917" s="387" t="s">
        <v>5689</v>
      </c>
      <c r="S917" s="387"/>
      <c r="T917" s="387" t="s">
        <v>3047</v>
      </c>
      <c r="U917" s="387" t="s">
        <v>152</v>
      </c>
      <c r="V917" s="387" t="s">
        <v>23</v>
      </c>
    </row>
    <row r="918" spans="2:22">
      <c r="B918" s="389">
        <v>46219</v>
      </c>
      <c r="C918" s="389">
        <v>46219</v>
      </c>
      <c r="D918" s="387" t="s">
        <v>5690</v>
      </c>
      <c r="E918" s="388" t="s">
        <v>5691</v>
      </c>
      <c r="F918" s="387" t="s">
        <v>87</v>
      </c>
      <c r="G918" s="387" t="s">
        <v>2485</v>
      </c>
      <c r="H918" s="393">
        <v>30</v>
      </c>
      <c r="I918" s="387">
        <v>33.799999999999997</v>
      </c>
      <c r="J918" s="387">
        <v>33.799999999999997</v>
      </c>
      <c r="K918" s="387">
        <v>4</v>
      </c>
      <c r="L918" s="387">
        <v>0</v>
      </c>
      <c r="M918" s="387" t="s">
        <v>148</v>
      </c>
      <c r="N918" s="387" t="s">
        <v>149</v>
      </c>
      <c r="O918" s="387" t="s">
        <v>150</v>
      </c>
      <c r="P918" s="387" t="s">
        <v>151</v>
      </c>
      <c r="Q918" s="387"/>
      <c r="R918" s="387" t="s">
        <v>5691</v>
      </c>
      <c r="S918" s="387"/>
      <c r="T918" s="387" t="s">
        <v>3047</v>
      </c>
      <c r="U918" s="387" t="s">
        <v>152</v>
      </c>
      <c r="V918" s="387" t="s">
        <v>23</v>
      </c>
    </row>
    <row r="919" spans="2:22">
      <c r="B919" s="389">
        <v>46219</v>
      </c>
      <c r="C919" s="389">
        <v>46219</v>
      </c>
      <c r="D919" s="387" t="s">
        <v>5692</v>
      </c>
      <c r="E919" s="388" t="s">
        <v>5693</v>
      </c>
      <c r="F919" s="387" t="s">
        <v>87</v>
      </c>
      <c r="G919" s="387" t="s">
        <v>2486</v>
      </c>
      <c r="H919" s="393">
        <v>40</v>
      </c>
      <c r="I919" s="387">
        <v>37.799999999999997</v>
      </c>
      <c r="J919" s="387">
        <v>37.799999999999997</v>
      </c>
      <c r="K919" s="387">
        <v>5</v>
      </c>
      <c r="L919" s="387">
        <v>0</v>
      </c>
      <c r="M919" s="387" t="s">
        <v>148</v>
      </c>
      <c r="N919" s="387" t="s">
        <v>149</v>
      </c>
      <c r="O919" s="387" t="s">
        <v>150</v>
      </c>
      <c r="P919" s="387" t="s">
        <v>151</v>
      </c>
      <c r="Q919" s="387"/>
      <c r="R919" s="387" t="s">
        <v>5693</v>
      </c>
      <c r="S919" s="387"/>
      <c r="T919" s="387" t="s">
        <v>3047</v>
      </c>
      <c r="U919" s="387" t="s">
        <v>152</v>
      </c>
      <c r="V919" s="387" t="s">
        <v>23</v>
      </c>
    </row>
    <row r="920" spans="2:22">
      <c r="B920" s="389">
        <v>46219</v>
      </c>
      <c r="C920" s="389">
        <v>46219</v>
      </c>
      <c r="D920" s="387" t="s">
        <v>5694</v>
      </c>
      <c r="E920" s="388" t="s">
        <v>5695</v>
      </c>
      <c r="F920" s="387" t="s">
        <v>87</v>
      </c>
      <c r="G920" s="387" t="s">
        <v>2637</v>
      </c>
      <c r="H920" s="393">
        <v>40</v>
      </c>
      <c r="I920" s="387">
        <v>17.8</v>
      </c>
      <c r="J920" s="387">
        <v>17.8</v>
      </c>
      <c r="K920" s="387">
        <v>7</v>
      </c>
      <c r="L920" s="387">
        <v>0</v>
      </c>
      <c r="M920" s="387" t="s">
        <v>148</v>
      </c>
      <c r="N920" s="387" t="s">
        <v>149</v>
      </c>
      <c r="O920" s="387" t="s">
        <v>150</v>
      </c>
      <c r="P920" s="387" t="s">
        <v>151</v>
      </c>
      <c r="Q920" s="387"/>
      <c r="R920" s="387" t="s">
        <v>5695</v>
      </c>
      <c r="S920" s="387"/>
      <c r="T920" s="387" t="s">
        <v>3047</v>
      </c>
      <c r="U920" s="387" t="s">
        <v>152</v>
      </c>
      <c r="V920" s="387" t="s">
        <v>23</v>
      </c>
    </row>
    <row r="921" spans="2:22">
      <c r="B921" s="389">
        <v>46219</v>
      </c>
      <c r="C921" s="389">
        <v>46219</v>
      </c>
      <c r="D921" s="387" t="s">
        <v>5696</v>
      </c>
      <c r="E921" s="388" t="s">
        <v>5697</v>
      </c>
      <c r="F921" s="387" t="s">
        <v>87</v>
      </c>
      <c r="G921" s="387" t="s">
        <v>2639</v>
      </c>
      <c r="H921" s="393">
        <v>25</v>
      </c>
      <c r="I921" s="387">
        <v>25.4</v>
      </c>
      <c r="J921" s="387">
        <v>25.4</v>
      </c>
      <c r="K921" s="387">
        <v>4</v>
      </c>
      <c r="L921" s="387">
        <v>0</v>
      </c>
      <c r="M921" s="387" t="s">
        <v>148</v>
      </c>
      <c r="N921" s="387" t="s">
        <v>149</v>
      </c>
      <c r="O921" s="387" t="s">
        <v>150</v>
      </c>
      <c r="P921" s="387" t="s">
        <v>151</v>
      </c>
      <c r="Q921" s="387"/>
      <c r="R921" s="387" t="s">
        <v>5697</v>
      </c>
      <c r="S921" s="387"/>
      <c r="T921" s="387" t="s">
        <v>3047</v>
      </c>
      <c r="U921" s="387" t="s">
        <v>152</v>
      </c>
      <c r="V921" s="387" t="s">
        <v>23</v>
      </c>
    </row>
    <row r="922" spans="2:22">
      <c r="B922" s="389">
        <v>46219</v>
      </c>
      <c r="C922" s="389">
        <v>46219</v>
      </c>
      <c r="D922" s="387" t="s">
        <v>5698</v>
      </c>
      <c r="E922" s="388" t="s">
        <v>5699</v>
      </c>
      <c r="F922" s="387" t="s">
        <v>87</v>
      </c>
      <c r="G922" s="387" t="s">
        <v>3866</v>
      </c>
      <c r="H922" s="393">
        <v>40</v>
      </c>
      <c r="I922" s="387">
        <v>23.4</v>
      </c>
      <c r="J922" s="387">
        <v>23.4</v>
      </c>
      <c r="K922" s="387">
        <v>5</v>
      </c>
      <c r="L922" s="387">
        <v>0</v>
      </c>
      <c r="M922" s="387" t="s">
        <v>148</v>
      </c>
      <c r="N922" s="387" t="s">
        <v>149</v>
      </c>
      <c r="O922" s="387" t="s">
        <v>150</v>
      </c>
      <c r="P922" s="387" t="s">
        <v>151</v>
      </c>
      <c r="Q922" s="387"/>
      <c r="R922" s="387" t="s">
        <v>5699</v>
      </c>
      <c r="S922" s="387"/>
      <c r="T922" s="387" t="s">
        <v>3047</v>
      </c>
      <c r="U922" s="387" t="s">
        <v>152</v>
      </c>
      <c r="V922" s="387" t="s">
        <v>23</v>
      </c>
    </row>
    <row r="923" spans="2:22">
      <c r="B923" s="389">
        <v>46219</v>
      </c>
      <c r="C923" s="389">
        <v>46219</v>
      </c>
      <c r="D923" s="387" t="s">
        <v>5700</v>
      </c>
      <c r="E923" s="388" t="s">
        <v>5701</v>
      </c>
      <c r="F923" s="387" t="s">
        <v>87</v>
      </c>
      <c r="G923" s="387" t="s">
        <v>3934</v>
      </c>
      <c r="H923" s="393">
        <v>25</v>
      </c>
      <c r="I923" s="387">
        <v>39.200000000000003</v>
      </c>
      <c r="J923" s="387">
        <v>39.200000000000003</v>
      </c>
      <c r="K923" s="387">
        <v>4</v>
      </c>
      <c r="L923" s="387">
        <v>0</v>
      </c>
      <c r="M923" s="387" t="s">
        <v>148</v>
      </c>
      <c r="N923" s="387" t="s">
        <v>149</v>
      </c>
      <c r="O923" s="387" t="s">
        <v>150</v>
      </c>
      <c r="P923" s="387" t="s">
        <v>151</v>
      </c>
      <c r="Q923" s="387"/>
      <c r="R923" s="387" t="s">
        <v>5701</v>
      </c>
      <c r="S923" s="387"/>
      <c r="T923" s="387" t="s">
        <v>3047</v>
      </c>
      <c r="U923" s="387" t="s">
        <v>152</v>
      </c>
      <c r="V923" s="387" t="s">
        <v>23</v>
      </c>
    </row>
    <row r="924" spans="2:22">
      <c r="B924" s="389">
        <v>46219</v>
      </c>
      <c r="C924" s="389">
        <v>46219</v>
      </c>
      <c r="D924" s="387" t="s">
        <v>5702</v>
      </c>
      <c r="E924" s="388" t="s">
        <v>5703</v>
      </c>
      <c r="F924" s="387" t="s">
        <v>87</v>
      </c>
      <c r="G924" s="387" t="s">
        <v>3934</v>
      </c>
      <c r="H924" s="393">
        <v>25</v>
      </c>
      <c r="I924" s="387">
        <v>40.1</v>
      </c>
      <c r="J924" s="387">
        <v>40.1</v>
      </c>
      <c r="K924" s="387">
        <v>4</v>
      </c>
      <c r="L924" s="387">
        <v>0</v>
      </c>
      <c r="M924" s="387" t="s">
        <v>148</v>
      </c>
      <c r="N924" s="387" t="s">
        <v>149</v>
      </c>
      <c r="O924" s="387" t="s">
        <v>150</v>
      </c>
      <c r="P924" s="387" t="s">
        <v>151</v>
      </c>
      <c r="Q924" s="387"/>
      <c r="R924" s="387" t="s">
        <v>5703</v>
      </c>
      <c r="S924" s="387"/>
      <c r="T924" s="387" t="s">
        <v>3047</v>
      </c>
      <c r="U924" s="387" t="s">
        <v>152</v>
      </c>
      <c r="V924" s="387" t="s">
        <v>23</v>
      </c>
    </row>
    <row r="925" spans="2:22">
      <c r="B925" s="389">
        <v>46219</v>
      </c>
      <c r="C925" s="389">
        <v>46219</v>
      </c>
      <c r="D925" s="387" t="s">
        <v>5704</v>
      </c>
      <c r="E925" s="388" t="s">
        <v>5705</v>
      </c>
      <c r="F925" s="387" t="s">
        <v>87</v>
      </c>
      <c r="G925" s="387" t="s">
        <v>5706</v>
      </c>
      <c r="H925" s="393">
        <v>50</v>
      </c>
      <c r="I925" s="387">
        <v>19.7</v>
      </c>
      <c r="J925" s="387">
        <v>19.7</v>
      </c>
      <c r="K925" s="387">
        <v>5</v>
      </c>
      <c r="L925" s="387">
        <v>0</v>
      </c>
      <c r="M925" s="387" t="s">
        <v>148</v>
      </c>
      <c r="N925" s="387" t="s">
        <v>149</v>
      </c>
      <c r="O925" s="387" t="s">
        <v>150</v>
      </c>
      <c r="P925" s="387" t="s">
        <v>151</v>
      </c>
      <c r="Q925" s="387"/>
      <c r="R925" s="387" t="s">
        <v>5705</v>
      </c>
      <c r="S925" s="387"/>
      <c r="T925" s="387" t="s">
        <v>3047</v>
      </c>
      <c r="U925" s="387" t="s">
        <v>152</v>
      </c>
      <c r="V925" s="387" t="s">
        <v>23</v>
      </c>
    </row>
    <row r="926" spans="2:22">
      <c r="B926" s="389">
        <v>46219</v>
      </c>
      <c r="C926" s="389">
        <v>46219</v>
      </c>
      <c r="D926" s="387" t="s">
        <v>5707</v>
      </c>
      <c r="E926" s="388" t="s">
        <v>5708</v>
      </c>
      <c r="F926" s="387" t="s">
        <v>87</v>
      </c>
      <c r="G926" s="387" t="s">
        <v>2486</v>
      </c>
      <c r="H926" s="393">
        <v>40</v>
      </c>
      <c r="I926" s="387">
        <v>38.700000000000003</v>
      </c>
      <c r="J926" s="387">
        <v>38.700000000000003</v>
      </c>
      <c r="K926" s="387">
        <v>5</v>
      </c>
      <c r="L926" s="387">
        <v>0</v>
      </c>
      <c r="M926" s="387" t="s">
        <v>148</v>
      </c>
      <c r="N926" s="387" t="s">
        <v>149</v>
      </c>
      <c r="O926" s="387" t="s">
        <v>150</v>
      </c>
      <c r="P926" s="387" t="s">
        <v>151</v>
      </c>
      <c r="Q926" s="387"/>
      <c r="R926" s="387" t="s">
        <v>5708</v>
      </c>
      <c r="S926" s="387"/>
      <c r="T926" s="387" t="s">
        <v>3047</v>
      </c>
      <c r="U926" s="387" t="s">
        <v>152</v>
      </c>
      <c r="V926" s="387" t="s">
        <v>23</v>
      </c>
    </row>
    <row r="927" spans="2:22">
      <c r="B927" s="389">
        <v>46219</v>
      </c>
      <c r="C927" s="389">
        <v>46219</v>
      </c>
      <c r="D927" s="387" t="s">
        <v>5709</v>
      </c>
      <c r="E927" s="388" t="s">
        <v>5710</v>
      </c>
      <c r="F927" s="387" t="s">
        <v>87</v>
      </c>
      <c r="G927" s="387" t="s">
        <v>2552</v>
      </c>
      <c r="H927" s="393">
        <v>40</v>
      </c>
      <c r="I927" s="387">
        <v>37.799999999999997</v>
      </c>
      <c r="J927" s="387">
        <v>37.799999999999997</v>
      </c>
      <c r="K927" s="387">
        <v>5</v>
      </c>
      <c r="L927" s="387">
        <v>0</v>
      </c>
      <c r="M927" s="387" t="s">
        <v>148</v>
      </c>
      <c r="N927" s="387" t="s">
        <v>149</v>
      </c>
      <c r="O927" s="387" t="s">
        <v>150</v>
      </c>
      <c r="P927" s="387" t="s">
        <v>151</v>
      </c>
      <c r="Q927" s="387"/>
      <c r="R927" s="387" t="s">
        <v>5710</v>
      </c>
      <c r="S927" s="387"/>
      <c r="T927" s="387" t="s">
        <v>3047</v>
      </c>
      <c r="U927" s="387" t="s">
        <v>152</v>
      </c>
      <c r="V927" s="387" t="s">
        <v>23</v>
      </c>
    </row>
    <row r="928" spans="2:22">
      <c r="B928" s="389">
        <v>46219</v>
      </c>
      <c r="C928" s="389">
        <v>46219</v>
      </c>
      <c r="D928" s="387" t="s">
        <v>5711</v>
      </c>
      <c r="E928" s="388" t="s">
        <v>5712</v>
      </c>
      <c r="F928" s="387" t="s">
        <v>87</v>
      </c>
      <c r="G928" s="387" t="s">
        <v>2001</v>
      </c>
      <c r="H928" s="393">
        <v>6</v>
      </c>
      <c r="I928" s="387">
        <v>24.3</v>
      </c>
      <c r="J928" s="387">
        <v>24.3</v>
      </c>
      <c r="K928" s="387">
        <v>1.5</v>
      </c>
      <c r="L928" s="387">
        <v>0</v>
      </c>
      <c r="M928" s="387" t="s">
        <v>148</v>
      </c>
      <c r="N928" s="387" t="s">
        <v>149</v>
      </c>
      <c r="O928" s="387" t="s">
        <v>150</v>
      </c>
      <c r="P928" s="387" t="s">
        <v>151</v>
      </c>
      <c r="Q928" s="387"/>
      <c r="R928" s="387" t="s">
        <v>5712</v>
      </c>
      <c r="S928" s="387"/>
      <c r="T928" s="387" t="s">
        <v>3047</v>
      </c>
      <c r="U928" s="387" t="s">
        <v>152</v>
      </c>
      <c r="V928" s="387" t="s">
        <v>23</v>
      </c>
    </row>
    <row r="929" spans="2:22">
      <c r="B929" s="389">
        <v>46219</v>
      </c>
      <c r="C929" s="389">
        <v>46219</v>
      </c>
      <c r="D929" s="387" t="s">
        <v>5713</v>
      </c>
      <c r="E929" s="388" t="s">
        <v>5714</v>
      </c>
      <c r="F929" s="387" t="s">
        <v>87</v>
      </c>
      <c r="G929" s="387" t="s">
        <v>2486</v>
      </c>
      <c r="H929" s="393">
        <v>40</v>
      </c>
      <c r="I929" s="387">
        <v>41.4</v>
      </c>
      <c r="J929" s="387">
        <v>41.4</v>
      </c>
      <c r="K929" s="387">
        <v>5</v>
      </c>
      <c r="L929" s="387">
        <v>0</v>
      </c>
      <c r="M929" s="387" t="s">
        <v>148</v>
      </c>
      <c r="N929" s="387" t="s">
        <v>149</v>
      </c>
      <c r="O929" s="387" t="s">
        <v>150</v>
      </c>
      <c r="P929" s="387" t="s">
        <v>151</v>
      </c>
      <c r="Q929" s="387"/>
      <c r="R929" s="387" t="s">
        <v>5714</v>
      </c>
      <c r="S929" s="387"/>
      <c r="T929" s="387" t="s">
        <v>3047</v>
      </c>
      <c r="U929" s="387" t="s">
        <v>152</v>
      </c>
      <c r="V929" s="387" t="s">
        <v>23</v>
      </c>
    </row>
    <row r="930" spans="2:22">
      <c r="B930" s="389">
        <v>46219</v>
      </c>
      <c r="C930" s="389">
        <v>46219</v>
      </c>
      <c r="D930" s="387" t="s">
        <v>5715</v>
      </c>
      <c r="E930" s="388" t="s">
        <v>5716</v>
      </c>
      <c r="F930" s="387" t="s">
        <v>87</v>
      </c>
      <c r="G930" s="387" t="s">
        <v>3934</v>
      </c>
      <c r="H930" s="393">
        <v>25</v>
      </c>
      <c r="I930" s="387">
        <v>41.3</v>
      </c>
      <c r="J930" s="387">
        <v>41.3</v>
      </c>
      <c r="K930" s="387">
        <v>4</v>
      </c>
      <c r="L930" s="387">
        <v>0</v>
      </c>
      <c r="M930" s="387" t="s">
        <v>148</v>
      </c>
      <c r="N930" s="387" t="s">
        <v>149</v>
      </c>
      <c r="O930" s="387" t="s">
        <v>150</v>
      </c>
      <c r="P930" s="387" t="s">
        <v>151</v>
      </c>
      <c r="Q930" s="387"/>
      <c r="R930" s="387" t="s">
        <v>5716</v>
      </c>
      <c r="S930" s="387"/>
      <c r="T930" s="387" t="s">
        <v>3047</v>
      </c>
      <c r="U930" s="387" t="s">
        <v>152</v>
      </c>
      <c r="V930" s="387" t="s">
        <v>23</v>
      </c>
    </row>
    <row r="931" spans="2:22">
      <c r="B931" s="389">
        <v>46219</v>
      </c>
      <c r="C931" s="389">
        <v>46219</v>
      </c>
      <c r="D931" s="387" t="s">
        <v>5717</v>
      </c>
      <c r="E931" s="388" t="s">
        <v>5718</v>
      </c>
      <c r="F931" s="387" t="s">
        <v>87</v>
      </c>
      <c r="G931" s="387" t="s">
        <v>5706</v>
      </c>
      <c r="H931" s="393">
        <v>50</v>
      </c>
      <c r="I931" s="387">
        <v>39.700000000000003</v>
      </c>
      <c r="J931" s="387">
        <v>39.700000000000003</v>
      </c>
      <c r="K931" s="387">
        <v>5</v>
      </c>
      <c r="L931" s="387">
        <v>0</v>
      </c>
      <c r="M931" s="387" t="s">
        <v>148</v>
      </c>
      <c r="N931" s="387" t="s">
        <v>149</v>
      </c>
      <c r="O931" s="387" t="s">
        <v>150</v>
      </c>
      <c r="P931" s="387" t="s">
        <v>151</v>
      </c>
      <c r="Q931" s="387"/>
      <c r="R931" s="387" t="s">
        <v>5718</v>
      </c>
      <c r="S931" s="387"/>
      <c r="T931" s="387" t="s">
        <v>3047</v>
      </c>
      <c r="U931" s="387" t="s">
        <v>152</v>
      </c>
      <c r="V931" s="387" t="s">
        <v>23</v>
      </c>
    </row>
    <row r="932" spans="2:22">
      <c r="B932" s="389">
        <v>46219</v>
      </c>
      <c r="C932" s="389">
        <v>46219</v>
      </c>
      <c r="D932" s="387" t="s">
        <v>5719</v>
      </c>
      <c r="E932" s="388" t="s">
        <v>5720</v>
      </c>
      <c r="F932" s="387" t="s">
        <v>87</v>
      </c>
      <c r="G932" s="387" t="s">
        <v>2485</v>
      </c>
      <c r="H932" s="393">
        <v>30</v>
      </c>
      <c r="I932" s="387">
        <v>31.4</v>
      </c>
      <c r="J932" s="387">
        <v>31.4</v>
      </c>
      <c r="K932" s="387">
        <v>4</v>
      </c>
      <c r="L932" s="387">
        <v>0</v>
      </c>
      <c r="M932" s="387" t="s">
        <v>148</v>
      </c>
      <c r="N932" s="387" t="s">
        <v>149</v>
      </c>
      <c r="O932" s="387" t="s">
        <v>150</v>
      </c>
      <c r="P932" s="387" t="s">
        <v>151</v>
      </c>
      <c r="Q932" s="387"/>
      <c r="R932" s="387" t="s">
        <v>5720</v>
      </c>
      <c r="S932" s="387"/>
      <c r="T932" s="387" t="s">
        <v>3047</v>
      </c>
      <c r="U932" s="387" t="s">
        <v>152</v>
      </c>
      <c r="V932" s="387" t="s">
        <v>23</v>
      </c>
    </row>
    <row r="933" spans="2:22">
      <c r="B933" s="389">
        <v>46219</v>
      </c>
      <c r="C933" s="389">
        <v>46219</v>
      </c>
      <c r="D933" s="387" t="s">
        <v>5721</v>
      </c>
      <c r="E933" s="388" t="s">
        <v>5722</v>
      </c>
      <c r="F933" s="387" t="s">
        <v>87</v>
      </c>
      <c r="G933" s="387" t="s">
        <v>2552</v>
      </c>
      <c r="H933" s="393">
        <v>40</v>
      </c>
      <c r="I933" s="387">
        <v>41.2</v>
      </c>
      <c r="J933" s="387">
        <v>41.2</v>
      </c>
      <c r="K933" s="387">
        <v>5</v>
      </c>
      <c r="L933" s="387">
        <v>0</v>
      </c>
      <c r="M933" s="387" t="s">
        <v>148</v>
      </c>
      <c r="N933" s="387" t="s">
        <v>149</v>
      </c>
      <c r="O933" s="387" t="s">
        <v>150</v>
      </c>
      <c r="P933" s="387" t="s">
        <v>151</v>
      </c>
      <c r="Q933" s="387"/>
      <c r="R933" s="387" t="s">
        <v>5722</v>
      </c>
      <c r="S933" s="387"/>
      <c r="T933" s="387" t="s">
        <v>3047</v>
      </c>
      <c r="U933" s="387" t="s">
        <v>152</v>
      </c>
      <c r="V933" s="387" t="s">
        <v>23</v>
      </c>
    </row>
    <row r="934" spans="2:22">
      <c r="B934" s="389">
        <v>46219</v>
      </c>
      <c r="C934" s="389">
        <v>46219</v>
      </c>
      <c r="D934" s="387" t="s">
        <v>5723</v>
      </c>
      <c r="E934" s="388" t="s">
        <v>5724</v>
      </c>
      <c r="F934" s="387" t="s">
        <v>87</v>
      </c>
      <c r="G934" s="387" t="s">
        <v>3934</v>
      </c>
      <c r="H934" s="393">
        <v>25</v>
      </c>
      <c r="I934" s="387">
        <v>16.8</v>
      </c>
      <c r="J934" s="387">
        <v>16.8</v>
      </c>
      <c r="K934" s="387">
        <v>4</v>
      </c>
      <c r="L934" s="387">
        <v>0</v>
      </c>
      <c r="M934" s="387" t="s">
        <v>148</v>
      </c>
      <c r="N934" s="387" t="s">
        <v>149</v>
      </c>
      <c r="O934" s="387" t="s">
        <v>150</v>
      </c>
      <c r="P934" s="387" t="s">
        <v>151</v>
      </c>
      <c r="Q934" s="387"/>
      <c r="R934" s="387" t="s">
        <v>5724</v>
      </c>
      <c r="S934" s="387"/>
      <c r="T934" s="387" t="s">
        <v>3047</v>
      </c>
      <c r="U934" s="387" t="s">
        <v>152</v>
      </c>
      <c r="V934" s="387" t="s">
        <v>23</v>
      </c>
    </row>
    <row r="935" spans="2:22">
      <c r="B935" s="389">
        <v>46219</v>
      </c>
      <c r="C935" s="389">
        <v>46219</v>
      </c>
      <c r="D935" s="387" t="s">
        <v>5725</v>
      </c>
      <c r="E935" s="388" t="s">
        <v>5726</v>
      </c>
      <c r="F935" s="387" t="s">
        <v>87</v>
      </c>
      <c r="G935" s="387" t="s">
        <v>2637</v>
      </c>
      <c r="H935" s="393">
        <v>40</v>
      </c>
      <c r="I935" s="387">
        <v>23.2</v>
      </c>
      <c r="J935" s="387">
        <v>23.2</v>
      </c>
      <c r="K935" s="387">
        <v>7</v>
      </c>
      <c r="L935" s="387">
        <v>0</v>
      </c>
      <c r="M935" s="387" t="s">
        <v>148</v>
      </c>
      <c r="N935" s="387" t="s">
        <v>149</v>
      </c>
      <c r="O935" s="387" t="s">
        <v>150</v>
      </c>
      <c r="P935" s="387" t="s">
        <v>151</v>
      </c>
      <c r="Q935" s="387"/>
      <c r="R935" s="387" t="s">
        <v>5726</v>
      </c>
      <c r="S935" s="387"/>
      <c r="T935" s="387" t="s">
        <v>3047</v>
      </c>
      <c r="U935" s="387" t="s">
        <v>152</v>
      </c>
      <c r="V935" s="387" t="s">
        <v>23</v>
      </c>
    </row>
    <row r="936" spans="2:22">
      <c r="B936" s="389">
        <v>46219</v>
      </c>
      <c r="C936" s="389">
        <v>46219</v>
      </c>
      <c r="D936" s="387" t="s">
        <v>5727</v>
      </c>
      <c r="E936" s="388" t="s">
        <v>5728</v>
      </c>
      <c r="F936" s="387" t="s">
        <v>87</v>
      </c>
      <c r="G936" s="387" t="s">
        <v>2486</v>
      </c>
      <c r="H936" s="393">
        <v>40</v>
      </c>
      <c r="I936" s="387">
        <v>42.8</v>
      </c>
      <c r="J936" s="387">
        <v>42.8</v>
      </c>
      <c r="K936" s="387">
        <v>5</v>
      </c>
      <c r="L936" s="387">
        <v>0</v>
      </c>
      <c r="M936" s="387" t="s">
        <v>148</v>
      </c>
      <c r="N936" s="387" t="s">
        <v>149</v>
      </c>
      <c r="O936" s="387" t="s">
        <v>150</v>
      </c>
      <c r="P936" s="387" t="s">
        <v>151</v>
      </c>
      <c r="Q936" s="387"/>
      <c r="R936" s="387" t="s">
        <v>5728</v>
      </c>
      <c r="S936" s="387"/>
      <c r="T936" s="387" t="s">
        <v>3047</v>
      </c>
      <c r="U936" s="387" t="s">
        <v>152</v>
      </c>
      <c r="V936" s="387" t="s">
        <v>23</v>
      </c>
    </row>
    <row r="937" spans="2:22">
      <c r="B937" s="389">
        <v>46219</v>
      </c>
      <c r="C937" s="389">
        <v>46219</v>
      </c>
      <c r="D937" s="387" t="s">
        <v>5729</v>
      </c>
      <c r="E937" s="388" t="s">
        <v>5730</v>
      </c>
      <c r="F937" s="387" t="s">
        <v>87</v>
      </c>
      <c r="G937" s="387" t="s">
        <v>2486</v>
      </c>
      <c r="H937" s="393">
        <v>40</v>
      </c>
      <c r="I937" s="387">
        <v>38.700000000000003</v>
      </c>
      <c r="J937" s="387">
        <v>38.700000000000003</v>
      </c>
      <c r="K937" s="387">
        <v>5</v>
      </c>
      <c r="L937" s="387">
        <v>0</v>
      </c>
      <c r="M937" s="387" t="s">
        <v>148</v>
      </c>
      <c r="N937" s="387" t="s">
        <v>149</v>
      </c>
      <c r="O937" s="387" t="s">
        <v>150</v>
      </c>
      <c r="P937" s="387" t="s">
        <v>151</v>
      </c>
      <c r="Q937" s="387"/>
      <c r="R937" s="387" t="s">
        <v>5730</v>
      </c>
      <c r="S937" s="387"/>
      <c r="T937" s="387" t="s">
        <v>3047</v>
      </c>
      <c r="U937" s="387" t="s">
        <v>152</v>
      </c>
      <c r="V937" s="387" t="s">
        <v>23</v>
      </c>
    </row>
    <row r="938" spans="2:22">
      <c r="B938" s="389">
        <v>46219</v>
      </c>
      <c r="C938" s="389">
        <v>46219</v>
      </c>
      <c r="D938" s="387" t="s">
        <v>5731</v>
      </c>
      <c r="E938" s="388" t="s">
        <v>5732</v>
      </c>
      <c r="F938" s="387" t="s">
        <v>87</v>
      </c>
      <c r="G938" s="387" t="s">
        <v>3934</v>
      </c>
      <c r="H938" s="393">
        <v>25</v>
      </c>
      <c r="I938" s="387">
        <v>39</v>
      </c>
      <c r="J938" s="387">
        <v>39</v>
      </c>
      <c r="K938" s="387">
        <v>4</v>
      </c>
      <c r="L938" s="387">
        <v>0</v>
      </c>
      <c r="M938" s="387" t="s">
        <v>148</v>
      </c>
      <c r="N938" s="387" t="s">
        <v>149</v>
      </c>
      <c r="O938" s="387" t="s">
        <v>150</v>
      </c>
      <c r="P938" s="387" t="s">
        <v>151</v>
      </c>
      <c r="Q938" s="387"/>
      <c r="R938" s="387" t="s">
        <v>5732</v>
      </c>
      <c r="S938" s="387"/>
      <c r="T938" s="387" t="s">
        <v>3047</v>
      </c>
      <c r="U938" s="387" t="s">
        <v>152</v>
      </c>
      <c r="V938" s="387" t="s">
        <v>23</v>
      </c>
    </row>
    <row r="939" spans="2:22">
      <c r="B939" s="389">
        <v>46219</v>
      </c>
      <c r="C939" s="389">
        <v>46219</v>
      </c>
      <c r="D939" s="387" t="s">
        <v>5733</v>
      </c>
      <c r="E939" s="388" t="s">
        <v>5734</v>
      </c>
      <c r="F939" s="387" t="s">
        <v>87</v>
      </c>
      <c r="G939" s="387" t="s">
        <v>3934</v>
      </c>
      <c r="H939" s="393">
        <v>25</v>
      </c>
      <c r="I939" s="387">
        <v>20.399999999999999</v>
      </c>
      <c r="J939" s="387">
        <v>20.399999999999999</v>
      </c>
      <c r="K939" s="387">
        <v>4</v>
      </c>
      <c r="L939" s="387">
        <v>0</v>
      </c>
      <c r="M939" s="387" t="s">
        <v>148</v>
      </c>
      <c r="N939" s="387" t="s">
        <v>149</v>
      </c>
      <c r="O939" s="387" t="s">
        <v>150</v>
      </c>
      <c r="P939" s="387" t="s">
        <v>151</v>
      </c>
      <c r="Q939" s="387"/>
      <c r="R939" s="387" t="s">
        <v>5734</v>
      </c>
      <c r="S939" s="387"/>
      <c r="T939" s="387" t="s">
        <v>3047</v>
      </c>
      <c r="U939" s="387" t="s">
        <v>152</v>
      </c>
      <c r="V939" s="387" t="s">
        <v>23</v>
      </c>
    </row>
    <row r="940" spans="2:22">
      <c r="B940" s="389">
        <v>46219</v>
      </c>
      <c r="C940" s="389">
        <v>46219</v>
      </c>
      <c r="D940" s="387" t="s">
        <v>5735</v>
      </c>
      <c r="E940" s="388" t="s">
        <v>5736</v>
      </c>
      <c r="F940" s="387" t="s">
        <v>87</v>
      </c>
      <c r="G940" s="387" t="s">
        <v>2639</v>
      </c>
      <c r="H940" s="393">
        <v>25</v>
      </c>
      <c r="I940" s="387">
        <v>33.799999999999997</v>
      </c>
      <c r="J940" s="387">
        <v>33.799999999999997</v>
      </c>
      <c r="K940" s="387">
        <v>4</v>
      </c>
      <c r="L940" s="387">
        <v>0</v>
      </c>
      <c r="M940" s="387" t="s">
        <v>148</v>
      </c>
      <c r="N940" s="387" t="s">
        <v>149</v>
      </c>
      <c r="O940" s="387" t="s">
        <v>150</v>
      </c>
      <c r="P940" s="387" t="s">
        <v>151</v>
      </c>
      <c r="Q940" s="387"/>
      <c r="R940" s="387" t="s">
        <v>5736</v>
      </c>
      <c r="S940" s="387"/>
      <c r="T940" s="387" t="s">
        <v>3047</v>
      </c>
      <c r="U940" s="387" t="s">
        <v>152</v>
      </c>
      <c r="V940" s="387" t="s">
        <v>23</v>
      </c>
    </row>
    <row r="941" spans="2:22">
      <c r="B941" s="389">
        <v>46219</v>
      </c>
      <c r="C941" s="389">
        <v>46219</v>
      </c>
      <c r="D941" s="387" t="s">
        <v>5737</v>
      </c>
      <c r="E941" s="388" t="s">
        <v>5738</v>
      </c>
      <c r="F941" s="387" t="s">
        <v>87</v>
      </c>
      <c r="G941" s="387" t="s">
        <v>2552</v>
      </c>
      <c r="H941" s="393">
        <v>40</v>
      </c>
      <c r="I941" s="387">
        <v>40.799999999999997</v>
      </c>
      <c r="J941" s="387">
        <v>40.799999999999997</v>
      </c>
      <c r="K941" s="387">
        <v>5</v>
      </c>
      <c r="L941" s="387">
        <v>0</v>
      </c>
      <c r="M941" s="387" t="s">
        <v>148</v>
      </c>
      <c r="N941" s="387" t="s">
        <v>149</v>
      </c>
      <c r="O941" s="387" t="s">
        <v>150</v>
      </c>
      <c r="P941" s="387" t="s">
        <v>151</v>
      </c>
      <c r="Q941" s="387"/>
      <c r="R941" s="387" t="s">
        <v>5738</v>
      </c>
      <c r="S941" s="387"/>
      <c r="T941" s="387" t="s">
        <v>3047</v>
      </c>
      <c r="U941" s="387" t="s">
        <v>152</v>
      </c>
      <c r="V941" s="387" t="s">
        <v>23</v>
      </c>
    </row>
    <row r="942" spans="2:22">
      <c r="B942" s="389">
        <v>46219</v>
      </c>
      <c r="C942" s="389">
        <v>46219</v>
      </c>
      <c r="D942" s="387" t="s">
        <v>5739</v>
      </c>
      <c r="E942" s="388" t="s">
        <v>5740</v>
      </c>
      <c r="F942" s="387" t="s">
        <v>87</v>
      </c>
      <c r="G942" s="387" t="s">
        <v>2552</v>
      </c>
      <c r="H942" s="393">
        <v>40</v>
      </c>
      <c r="I942" s="387">
        <v>31.4</v>
      </c>
      <c r="J942" s="387">
        <v>31.4</v>
      </c>
      <c r="K942" s="387">
        <v>5</v>
      </c>
      <c r="L942" s="387">
        <v>0</v>
      </c>
      <c r="M942" s="387" t="s">
        <v>148</v>
      </c>
      <c r="N942" s="387" t="s">
        <v>149</v>
      </c>
      <c r="O942" s="387" t="s">
        <v>150</v>
      </c>
      <c r="P942" s="387" t="s">
        <v>151</v>
      </c>
      <c r="Q942" s="387"/>
      <c r="R942" s="387" t="s">
        <v>5740</v>
      </c>
      <c r="S942" s="387"/>
      <c r="T942" s="387" t="s">
        <v>3047</v>
      </c>
      <c r="U942" s="387" t="s">
        <v>152</v>
      </c>
      <c r="V942" s="387" t="s">
        <v>23</v>
      </c>
    </row>
    <row r="943" spans="2:22">
      <c r="B943" s="389">
        <v>46219</v>
      </c>
      <c r="C943" s="389">
        <v>46219</v>
      </c>
      <c r="D943" s="387" t="s">
        <v>5741</v>
      </c>
      <c r="E943" s="388" t="s">
        <v>5742</v>
      </c>
      <c r="F943" s="387" t="s">
        <v>87</v>
      </c>
      <c r="G943" s="387" t="s">
        <v>3934</v>
      </c>
      <c r="H943" s="393">
        <v>25</v>
      </c>
      <c r="I943" s="387">
        <v>26.4</v>
      </c>
      <c r="J943" s="387">
        <v>26.4</v>
      </c>
      <c r="K943" s="387">
        <v>4</v>
      </c>
      <c r="L943" s="387">
        <v>0</v>
      </c>
      <c r="M943" s="387" t="s">
        <v>148</v>
      </c>
      <c r="N943" s="387" t="s">
        <v>149</v>
      </c>
      <c r="O943" s="387" t="s">
        <v>150</v>
      </c>
      <c r="P943" s="387" t="s">
        <v>151</v>
      </c>
      <c r="Q943" s="387"/>
      <c r="R943" s="387" t="s">
        <v>5742</v>
      </c>
      <c r="S943" s="387"/>
      <c r="T943" s="387" t="s">
        <v>3047</v>
      </c>
      <c r="U943" s="387" t="s">
        <v>152</v>
      </c>
      <c r="V943" s="387" t="s">
        <v>23</v>
      </c>
    </row>
    <row r="944" spans="2:22">
      <c r="B944" s="389">
        <v>46219</v>
      </c>
      <c r="C944" s="389">
        <v>46219</v>
      </c>
      <c r="D944" s="387" t="s">
        <v>5743</v>
      </c>
      <c r="E944" s="388" t="s">
        <v>5744</v>
      </c>
      <c r="F944" s="387" t="s">
        <v>87</v>
      </c>
      <c r="G944" s="387" t="s">
        <v>2552</v>
      </c>
      <c r="H944" s="393">
        <v>40</v>
      </c>
      <c r="I944" s="387">
        <v>38.799999999999997</v>
      </c>
      <c r="J944" s="387">
        <v>38.799999999999997</v>
      </c>
      <c r="K944" s="387">
        <v>5</v>
      </c>
      <c r="L944" s="387">
        <v>0</v>
      </c>
      <c r="M944" s="387" t="s">
        <v>148</v>
      </c>
      <c r="N944" s="387" t="s">
        <v>149</v>
      </c>
      <c r="O944" s="387" t="s">
        <v>150</v>
      </c>
      <c r="P944" s="387" t="s">
        <v>151</v>
      </c>
      <c r="Q944" s="387"/>
      <c r="R944" s="387" t="s">
        <v>5744</v>
      </c>
      <c r="S944" s="387"/>
      <c r="T944" s="387" t="s">
        <v>3047</v>
      </c>
      <c r="U944" s="387" t="s">
        <v>152</v>
      </c>
      <c r="V944" s="387" t="s">
        <v>23</v>
      </c>
    </row>
    <row r="945" spans="2:22">
      <c r="B945" s="389">
        <v>46219</v>
      </c>
      <c r="C945" s="389">
        <v>46219</v>
      </c>
      <c r="D945" s="387" t="s">
        <v>5745</v>
      </c>
      <c r="E945" s="388" t="s">
        <v>5746</v>
      </c>
      <c r="F945" s="387" t="s">
        <v>87</v>
      </c>
      <c r="G945" s="387" t="s">
        <v>2485</v>
      </c>
      <c r="H945" s="393">
        <v>30</v>
      </c>
      <c r="I945" s="387">
        <v>15.8</v>
      </c>
      <c r="J945" s="387">
        <v>15.8</v>
      </c>
      <c r="K945" s="387">
        <v>4</v>
      </c>
      <c r="L945" s="387">
        <v>0</v>
      </c>
      <c r="M945" s="387" t="s">
        <v>148</v>
      </c>
      <c r="N945" s="387" t="s">
        <v>149</v>
      </c>
      <c r="O945" s="387" t="s">
        <v>150</v>
      </c>
      <c r="P945" s="387" t="s">
        <v>151</v>
      </c>
      <c r="Q945" s="387"/>
      <c r="R945" s="387" t="s">
        <v>5746</v>
      </c>
      <c r="S945" s="387"/>
      <c r="T945" s="387" t="s">
        <v>3047</v>
      </c>
      <c r="U945" s="387" t="s">
        <v>152</v>
      </c>
      <c r="V945" s="387" t="s">
        <v>23</v>
      </c>
    </row>
    <row r="946" spans="2:22">
      <c r="B946" s="389">
        <v>46219</v>
      </c>
      <c r="C946" s="389">
        <v>46219</v>
      </c>
      <c r="D946" s="387" t="s">
        <v>5747</v>
      </c>
      <c r="E946" s="388" t="s">
        <v>5748</v>
      </c>
      <c r="F946" s="387" t="s">
        <v>87</v>
      </c>
      <c r="G946" s="387" t="s">
        <v>2552</v>
      </c>
      <c r="H946" s="393">
        <v>40</v>
      </c>
      <c r="I946" s="387">
        <v>42.2</v>
      </c>
      <c r="J946" s="387">
        <v>42.2</v>
      </c>
      <c r="K946" s="387">
        <v>5</v>
      </c>
      <c r="L946" s="387">
        <v>0</v>
      </c>
      <c r="M946" s="387" t="s">
        <v>148</v>
      </c>
      <c r="N946" s="387" t="s">
        <v>149</v>
      </c>
      <c r="O946" s="387" t="s">
        <v>150</v>
      </c>
      <c r="P946" s="387" t="s">
        <v>151</v>
      </c>
      <c r="Q946" s="387"/>
      <c r="R946" s="387" t="s">
        <v>5748</v>
      </c>
      <c r="S946" s="387"/>
      <c r="T946" s="387" t="s">
        <v>3047</v>
      </c>
      <c r="U946" s="387" t="s">
        <v>152</v>
      </c>
      <c r="V946" s="387" t="s">
        <v>23</v>
      </c>
    </row>
    <row r="947" spans="2:22">
      <c r="B947" s="389">
        <v>46219</v>
      </c>
      <c r="C947" s="389">
        <v>46219</v>
      </c>
      <c r="D947" s="387" t="s">
        <v>5749</v>
      </c>
      <c r="E947" s="388" t="s">
        <v>5750</v>
      </c>
      <c r="F947" s="387" t="s">
        <v>87</v>
      </c>
      <c r="G947" s="387" t="s">
        <v>3934</v>
      </c>
      <c r="H947" s="393">
        <v>25</v>
      </c>
      <c r="I947" s="387">
        <v>41.2</v>
      </c>
      <c r="J947" s="387">
        <v>41.2</v>
      </c>
      <c r="K947" s="387">
        <v>4</v>
      </c>
      <c r="L947" s="387">
        <v>0</v>
      </c>
      <c r="M947" s="387" t="s">
        <v>148</v>
      </c>
      <c r="N947" s="387" t="s">
        <v>149</v>
      </c>
      <c r="O947" s="387" t="s">
        <v>150</v>
      </c>
      <c r="P947" s="387" t="s">
        <v>151</v>
      </c>
      <c r="Q947" s="387"/>
      <c r="R947" s="387" t="s">
        <v>5750</v>
      </c>
      <c r="S947" s="387"/>
      <c r="T947" s="387" t="s">
        <v>3047</v>
      </c>
      <c r="U947" s="387" t="s">
        <v>152</v>
      </c>
      <c r="V947" s="387" t="s">
        <v>23</v>
      </c>
    </row>
    <row r="948" spans="2:22">
      <c r="B948" s="389">
        <v>46219</v>
      </c>
      <c r="C948" s="389">
        <v>46219</v>
      </c>
      <c r="D948" s="387" t="s">
        <v>5751</v>
      </c>
      <c r="E948" s="388" t="s">
        <v>5752</v>
      </c>
      <c r="F948" s="387" t="s">
        <v>87</v>
      </c>
      <c r="G948" s="387" t="s">
        <v>3934</v>
      </c>
      <c r="H948" s="393">
        <v>25</v>
      </c>
      <c r="I948" s="387">
        <v>33.799999999999997</v>
      </c>
      <c r="J948" s="387">
        <v>33.799999999999997</v>
      </c>
      <c r="K948" s="387">
        <v>4</v>
      </c>
      <c r="L948" s="387">
        <v>0</v>
      </c>
      <c r="M948" s="387" t="s">
        <v>148</v>
      </c>
      <c r="N948" s="387" t="s">
        <v>149</v>
      </c>
      <c r="O948" s="387" t="s">
        <v>150</v>
      </c>
      <c r="P948" s="387" t="s">
        <v>151</v>
      </c>
      <c r="Q948" s="387"/>
      <c r="R948" s="387" t="s">
        <v>5752</v>
      </c>
      <c r="S948" s="387"/>
      <c r="T948" s="387" t="s">
        <v>3047</v>
      </c>
      <c r="U948" s="387" t="s">
        <v>152</v>
      </c>
      <c r="V948" s="387" t="s">
        <v>23</v>
      </c>
    </row>
    <row r="949" spans="2:22">
      <c r="B949" s="389">
        <v>46219</v>
      </c>
      <c r="C949" s="389">
        <v>46219</v>
      </c>
      <c r="D949" s="387" t="s">
        <v>5753</v>
      </c>
      <c r="E949" s="388" t="s">
        <v>5754</v>
      </c>
      <c r="F949" s="387" t="s">
        <v>87</v>
      </c>
      <c r="G949" s="387" t="s">
        <v>1713</v>
      </c>
      <c r="H949" s="393">
        <v>30</v>
      </c>
      <c r="I949" s="387">
        <v>30.2</v>
      </c>
      <c r="J949" s="387">
        <v>30.2</v>
      </c>
      <c r="K949" s="387">
        <v>4</v>
      </c>
      <c r="L949" s="387">
        <v>0</v>
      </c>
      <c r="M949" s="387" t="s">
        <v>148</v>
      </c>
      <c r="N949" s="387" t="s">
        <v>149</v>
      </c>
      <c r="O949" s="387" t="s">
        <v>150</v>
      </c>
      <c r="P949" s="387" t="s">
        <v>151</v>
      </c>
      <c r="Q949" s="387"/>
      <c r="R949" s="387" t="s">
        <v>5754</v>
      </c>
      <c r="S949" s="387"/>
      <c r="T949" s="387" t="s">
        <v>3047</v>
      </c>
      <c r="U949" s="387" t="s">
        <v>152</v>
      </c>
      <c r="V949" s="387" t="s">
        <v>23</v>
      </c>
    </row>
    <row r="950" spans="2:22">
      <c r="B950" s="389">
        <v>46220</v>
      </c>
      <c r="C950" s="389">
        <v>46220</v>
      </c>
      <c r="D950" s="387" t="s">
        <v>5755</v>
      </c>
      <c r="E950" s="388" t="s">
        <v>5756</v>
      </c>
      <c r="F950" s="387" t="s">
        <v>87</v>
      </c>
      <c r="G950" s="387" t="s">
        <v>3934</v>
      </c>
      <c r="H950" s="393">
        <v>25</v>
      </c>
      <c r="I950" s="387">
        <v>28.6</v>
      </c>
      <c r="J950" s="387">
        <v>28.6</v>
      </c>
      <c r="K950" s="387">
        <v>4</v>
      </c>
      <c r="L950" s="387">
        <v>0</v>
      </c>
      <c r="M950" s="387" t="s">
        <v>148</v>
      </c>
      <c r="N950" s="387" t="s">
        <v>149</v>
      </c>
      <c r="O950" s="387" t="s">
        <v>150</v>
      </c>
      <c r="P950" s="387" t="s">
        <v>151</v>
      </c>
      <c r="Q950" s="387"/>
      <c r="R950" s="387" t="s">
        <v>5756</v>
      </c>
      <c r="S950" s="387"/>
      <c r="T950" s="387" t="s">
        <v>3064</v>
      </c>
      <c r="U950" s="387" t="s">
        <v>152</v>
      </c>
      <c r="V950" s="387" t="s">
        <v>23</v>
      </c>
    </row>
    <row r="951" spans="2:22">
      <c r="B951" s="389">
        <v>46220</v>
      </c>
      <c r="C951" s="389">
        <v>46220</v>
      </c>
      <c r="D951" s="387" t="s">
        <v>5757</v>
      </c>
      <c r="E951" s="388" t="s">
        <v>5758</v>
      </c>
      <c r="F951" s="387" t="s">
        <v>87</v>
      </c>
      <c r="G951" s="387" t="s">
        <v>2485</v>
      </c>
      <c r="H951" s="393">
        <v>30</v>
      </c>
      <c r="I951" s="387">
        <v>29.8</v>
      </c>
      <c r="J951" s="387">
        <v>29.8</v>
      </c>
      <c r="K951" s="387">
        <v>4</v>
      </c>
      <c r="L951" s="387">
        <v>0</v>
      </c>
      <c r="M951" s="387" t="s">
        <v>148</v>
      </c>
      <c r="N951" s="387" t="s">
        <v>149</v>
      </c>
      <c r="O951" s="387" t="s">
        <v>150</v>
      </c>
      <c r="P951" s="387" t="s">
        <v>151</v>
      </c>
      <c r="Q951" s="387"/>
      <c r="R951" s="387" t="s">
        <v>5758</v>
      </c>
      <c r="S951" s="387"/>
      <c r="T951" s="387" t="s">
        <v>3064</v>
      </c>
      <c r="U951" s="387" t="s">
        <v>152</v>
      </c>
      <c r="V951" s="387" t="s">
        <v>23</v>
      </c>
    </row>
    <row r="952" spans="2:22">
      <c r="B952" s="389">
        <v>46220</v>
      </c>
      <c r="C952" s="389">
        <v>46220</v>
      </c>
      <c r="D952" s="387" t="s">
        <v>5759</v>
      </c>
      <c r="E952" s="388" t="s">
        <v>5760</v>
      </c>
      <c r="F952" s="387" t="s">
        <v>87</v>
      </c>
      <c r="G952" s="387" t="s">
        <v>1713</v>
      </c>
      <c r="H952" s="393">
        <v>30</v>
      </c>
      <c r="I952" s="387">
        <v>30.6</v>
      </c>
      <c r="J952" s="387">
        <v>30.6</v>
      </c>
      <c r="K952" s="387">
        <v>4</v>
      </c>
      <c r="L952" s="387">
        <v>0</v>
      </c>
      <c r="M952" s="387" t="s">
        <v>148</v>
      </c>
      <c r="N952" s="387" t="s">
        <v>149</v>
      </c>
      <c r="O952" s="387" t="s">
        <v>150</v>
      </c>
      <c r="P952" s="387" t="s">
        <v>151</v>
      </c>
      <c r="Q952" s="387"/>
      <c r="R952" s="387" t="s">
        <v>5760</v>
      </c>
      <c r="S952" s="387"/>
      <c r="T952" s="387" t="s">
        <v>3064</v>
      </c>
      <c r="U952" s="387" t="s">
        <v>152</v>
      </c>
      <c r="V952" s="387" t="s">
        <v>23</v>
      </c>
    </row>
    <row r="953" spans="2:22">
      <c r="B953" s="389">
        <v>46220</v>
      </c>
      <c r="C953" s="389">
        <v>46220</v>
      </c>
      <c r="D953" s="387" t="s">
        <v>5761</v>
      </c>
      <c r="E953" s="388" t="s">
        <v>5762</v>
      </c>
      <c r="F953" s="387" t="s">
        <v>87</v>
      </c>
      <c r="G953" s="387" t="s">
        <v>3866</v>
      </c>
      <c r="H953" s="393">
        <v>40</v>
      </c>
      <c r="I953" s="387">
        <v>23.2</v>
      </c>
      <c r="J953" s="387">
        <v>23.2</v>
      </c>
      <c r="K953" s="387">
        <v>5</v>
      </c>
      <c r="L953" s="387">
        <v>0</v>
      </c>
      <c r="M953" s="387" t="s">
        <v>148</v>
      </c>
      <c r="N953" s="387" t="s">
        <v>149</v>
      </c>
      <c r="O953" s="387" t="s">
        <v>150</v>
      </c>
      <c r="P953" s="387" t="s">
        <v>151</v>
      </c>
      <c r="Q953" s="387"/>
      <c r="R953" s="387" t="s">
        <v>5762</v>
      </c>
      <c r="S953" s="387"/>
      <c r="T953" s="387" t="s">
        <v>3064</v>
      </c>
      <c r="U953" s="387" t="s">
        <v>152</v>
      </c>
      <c r="V953" s="387" t="s">
        <v>23</v>
      </c>
    </row>
    <row r="954" spans="2:22">
      <c r="B954" s="389">
        <v>46220</v>
      </c>
      <c r="C954" s="389">
        <v>46220</v>
      </c>
      <c r="D954" s="387" t="s">
        <v>5763</v>
      </c>
      <c r="E954" s="388" t="s">
        <v>5764</v>
      </c>
      <c r="F954" s="387" t="s">
        <v>87</v>
      </c>
      <c r="G954" s="387" t="s">
        <v>1713</v>
      </c>
      <c r="H954" s="393">
        <v>30</v>
      </c>
      <c r="I954" s="387">
        <v>16.399999999999999</v>
      </c>
      <c r="J954" s="387">
        <v>16.399999999999999</v>
      </c>
      <c r="K954" s="387">
        <v>4</v>
      </c>
      <c r="L954" s="387">
        <v>0</v>
      </c>
      <c r="M954" s="387" t="s">
        <v>148</v>
      </c>
      <c r="N954" s="387" t="s">
        <v>149</v>
      </c>
      <c r="O954" s="387" t="s">
        <v>150</v>
      </c>
      <c r="P954" s="387" t="s">
        <v>151</v>
      </c>
      <c r="Q954" s="387"/>
      <c r="R954" s="387" t="s">
        <v>5764</v>
      </c>
      <c r="S954" s="387"/>
      <c r="T954" s="387" t="s">
        <v>3064</v>
      </c>
      <c r="U954" s="387" t="s">
        <v>152</v>
      </c>
      <c r="V954" s="387" t="s">
        <v>23</v>
      </c>
    </row>
    <row r="955" spans="2:22">
      <c r="B955" s="389">
        <v>46220</v>
      </c>
      <c r="C955" s="389">
        <v>46220</v>
      </c>
      <c r="D955" s="387" t="s">
        <v>5765</v>
      </c>
      <c r="E955" s="388" t="s">
        <v>5766</v>
      </c>
      <c r="F955" s="387" t="s">
        <v>87</v>
      </c>
      <c r="G955" s="387" t="s">
        <v>3934</v>
      </c>
      <c r="H955" s="393">
        <v>25</v>
      </c>
      <c r="I955" s="387">
        <v>32.4</v>
      </c>
      <c r="J955" s="387">
        <v>32.4</v>
      </c>
      <c r="K955" s="387">
        <v>4</v>
      </c>
      <c r="L955" s="387">
        <v>0</v>
      </c>
      <c r="M955" s="387" t="s">
        <v>148</v>
      </c>
      <c r="N955" s="387" t="s">
        <v>149</v>
      </c>
      <c r="O955" s="387" t="s">
        <v>150</v>
      </c>
      <c r="P955" s="387" t="s">
        <v>151</v>
      </c>
      <c r="Q955" s="387"/>
      <c r="R955" s="387" t="s">
        <v>5766</v>
      </c>
      <c r="S955" s="387"/>
      <c r="T955" s="387" t="s">
        <v>3064</v>
      </c>
      <c r="U955" s="387" t="s">
        <v>152</v>
      </c>
      <c r="V955" s="387" t="s">
        <v>23</v>
      </c>
    </row>
    <row r="956" spans="2:22">
      <c r="B956" s="389">
        <v>46220</v>
      </c>
      <c r="C956" s="389">
        <v>46220</v>
      </c>
      <c r="D956" s="387" t="s">
        <v>5767</v>
      </c>
      <c r="E956" s="388" t="s">
        <v>5768</v>
      </c>
      <c r="F956" s="387" t="s">
        <v>87</v>
      </c>
      <c r="G956" s="387" t="s">
        <v>2639</v>
      </c>
      <c r="H956" s="393">
        <v>25</v>
      </c>
      <c r="I956" s="387">
        <v>27.8</v>
      </c>
      <c r="J956" s="387">
        <v>27.8</v>
      </c>
      <c r="K956" s="387">
        <v>4</v>
      </c>
      <c r="L956" s="387">
        <v>0</v>
      </c>
      <c r="M956" s="387" t="s">
        <v>148</v>
      </c>
      <c r="N956" s="387" t="s">
        <v>149</v>
      </c>
      <c r="O956" s="387" t="s">
        <v>150</v>
      </c>
      <c r="P956" s="387" t="s">
        <v>151</v>
      </c>
      <c r="Q956" s="387"/>
      <c r="R956" s="387" t="s">
        <v>5768</v>
      </c>
      <c r="S956" s="387"/>
      <c r="T956" s="387" t="s">
        <v>3064</v>
      </c>
      <c r="U956" s="387" t="s">
        <v>152</v>
      </c>
      <c r="V956" s="387" t="s">
        <v>23</v>
      </c>
    </row>
    <row r="957" spans="2:22">
      <c r="B957" s="389">
        <v>46220</v>
      </c>
      <c r="C957" s="389">
        <v>46220</v>
      </c>
      <c r="D957" s="387" t="s">
        <v>5769</v>
      </c>
      <c r="E957" s="388" t="s">
        <v>5770</v>
      </c>
      <c r="F957" s="387" t="s">
        <v>87</v>
      </c>
      <c r="G957" s="387" t="s">
        <v>2637</v>
      </c>
      <c r="H957" s="393">
        <v>40</v>
      </c>
      <c r="I957" s="387">
        <v>32.200000000000003</v>
      </c>
      <c r="J957" s="387">
        <v>32.200000000000003</v>
      </c>
      <c r="K957" s="387">
        <v>7</v>
      </c>
      <c r="L957" s="387">
        <v>0</v>
      </c>
      <c r="M957" s="387" t="s">
        <v>148</v>
      </c>
      <c r="N957" s="387" t="s">
        <v>149</v>
      </c>
      <c r="O957" s="387" t="s">
        <v>150</v>
      </c>
      <c r="P957" s="387" t="s">
        <v>151</v>
      </c>
      <c r="Q957" s="387"/>
      <c r="R957" s="387" t="s">
        <v>5770</v>
      </c>
      <c r="S957" s="387"/>
      <c r="T957" s="387" t="s">
        <v>3064</v>
      </c>
      <c r="U957" s="387" t="s">
        <v>152</v>
      </c>
      <c r="V957" s="387" t="s">
        <v>23</v>
      </c>
    </row>
    <row r="958" spans="2:22">
      <c r="B958" s="389">
        <v>46220</v>
      </c>
      <c r="C958" s="389">
        <v>46220</v>
      </c>
      <c r="D958" s="387" t="s">
        <v>5771</v>
      </c>
      <c r="E958" s="388" t="s">
        <v>5772</v>
      </c>
      <c r="F958" s="387" t="s">
        <v>87</v>
      </c>
      <c r="G958" s="387" t="s">
        <v>2552</v>
      </c>
      <c r="H958" s="393">
        <v>40</v>
      </c>
      <c r="I958" s="387">
        <v>32.4</v>
      </c>
      <c r="J958" s="387">
        <v>32.4</v>
      </c>
      <c r="K958" s="387">
        <v>5</v>
      </c>
      <c r="L958" s="387">
        <v>0</v>
      </c>
      <c r="M958" s="387" t="s">
        <v>148</v>
      </c>
      <c r="N958" s="387" t="s">
        <v>149</v>
      </c>
      <c r="O958" s="387" t="s">
        <v>150</v>
      </c>
      <c r="P958" s="387" t="s">
        <v>151</v>
      </c>
      <c r="Q958" s="387"/>
      <c r="R958" s="387" t="s">
        <v>5772</v>
      </c>
      <c r="S958" s="387"/>
      <c r="T958" s="387" t="s">
        <v>3064</v>
      </c>
      <c r="U958" s="387" t="s">
        <v>152</v>
      </c>
      <c r="V958" s="387" t="s">
        <v>23</v>
      </c>
    </row>
    <row r="959" spans="2:22">
      <c r="B959" s="389">
        <v>46220</v>
      </c>
      <c r="C959" s="389">
        <v>46220</v>
      </c>
      <c r="D959" s="387" t="s">
        <v>5773</v>
      </c>
      <c r="E959" s="388" t="s">
        <v>5774</v>
      </c>
      <c r="F959" s="387" t="s">
        <v>87</v>
      </c>
      <c r="G959" s="387" t="s">
        <v>2552</v>
      </c>
      <c r="H959" s="393">
        <v>40</v>
      </c>
      <c r="I959" s="387">
        <v>40</v>
      </c>
      <c r="J959" s="387">
        <v>40</v>
      </c>
      <c r="K959" s="387">
        <v>5</v>
      </c>
      <c r="L959" s="387">
        <v>0</v>
      </c>
      <c r="M959" s="387" t="s">
        <v>148</v>
      </c>
      <c r="N959" s="387" t="s">
        <v>149</v>
      </c>
      <c r="O959" s="387" t="s">
        <v>150</v>
      </c>
      <c r="P959" s="387" t="s">
        <v>151</v>
      </c>
      <c r="Q959" s="387"/>
      <c r="R959" s="387" t="s">
        <v>5774</v>
      </c>
      <c r="S959" s="387"/>
      <c r="T959" s="387" t="s">
        <v>3064</v>
      </c>
      <c r="U959" s="387" t="s">
        <v>152</v>
      </c>
      <c r="V959" s="387" t="s">
        <v>23</v>
      </c>
    </row>
    <row r="960" spans="2:22">
      <c r="B960" s="389">
        <v>46220</v>
      </c>
      <c r="C960" s="389">
        <v>46220</v>
      </c>
      <c r="D960" s="387" t="s">
        <v>5775</v>
      </c>
      <c r="E960" s="388" t="s">
        <v>5776</v>
      </c>
      <c r="F960" s="387" t="s">
        <v>87</v>
      </c>
      <c r="G960" s="387" t="s">
        <v>2552</v>
      </c>
      <c r="H960" s="393">
        <v>40</v>
      </c>
      <c r="I960" s="387">
        <v>34.200000000000003</v>
      </c>
      <c r="J960" s="387">
        <v>34.200000000000003</v>
      </c>
      <c r="K960" s="387">
        <v>5</v>
      </c>
      <c r="L960" s="387">
        <v>0</v>
      </c>
      <c r="M960" s="387" t="s">
        <v>148</v>
      </c>
      <c r="N960" s="387" t="s">
        <v>149</v>
      </c>
      <c r="O960" s="387" t="s">
        <v>150</v>
      </c>
      <c r="P960" s="387" t="s">
        <v>151</v>
      </c>
      <c r="Q960" s="387"/>
      <c r="R960" s="387" t="s">
        <v>5776</v>
      </c>
      <c r="S960" s="387"/>
      <c r="T960" s="387" t="s">
        <v>3064</v>
      </c>
      <c r="U960" s="387" t="s">
        <v>152</v>
      </c>
      <c r="V960" s="387" t="s">
        <v>23</v>
      </c>
    </row>
    <row r="961" spans="2:22">
      <c r="B961" s="389">
        <v>46220</v>
      </c>
      <c r="C961" s="389">
        <v>46220</v>
      </c>
      <c r="D961" s="387" t="s">
        <v>5777</v>
      </c>
      <c r="E961" s="388" t="s">
        <v>5778</v>
      </c>
      <c r="F961" s="387" t="s">
        <v>87</v>
      </c>
      <c r="G961" s="387" t="s">
        <v>1713</v>
      </c>
      <c r="H961" s="393">
        <v>30</v>
      </c>
      <c r="I961" s="387">
        <v>25.8</v>
      </c>
      <c r="J961" s="387">
        <v>25.8</v>
      </c>
      <c r="K961" s="387">
        <v>4</v>
      </c>
      <c r="L961" s="387">
        <v>0</v>
      </c>
      <c r="M961" s="387" t="s">
        <v>148</v>
      </c>
      <c r="N961" s="387" t="s">
        <v>149</v>
      </c>
      <c r="O961" s="387" t="s">
        <v>150</v>
      </c>
      <c r="P961" s="387" t="s">
        <v>151</v>
      </c>
      <c r="Q961" s="387"/>
      <c r="R961" s="387" t="s">
        <v>5778</v>
      </c>
      <c r="S961" s="387"/>
      <c r="T961" s="387" t="s">
        <v>3064</v>
      </c>
      <c r="U961" s="387" t="s">
        <v>152</v>
      </c>
      <c r="V961" s="387" t="s">
        <v>23</v>
      </c>
    </row>
    <row r="962" spans="2:22">
      <c r="B962" s="389">
        <v>46220</v>
      </c>
      <c r="C962" s="389">
        <v>46220</v>
      </c>
      <c r="D962" s="387" t="s">
        <v>5779</v>
      </c>
      <c r="E962" s="388" t="s">
        <v>5780</v>
      </c>
      <c r="F962" s="387" t="s">
        <v>87</v>
      </c>
      <c r="G962" s="387" t="s">
        <v>3934</v>
      </c>
      <c r="H962" s="393">
        <v>25</v>
      </c>
      <c r="I962" s="387">
        <v>33.799999999999997</v>
      </c>
      <c r="J962" s="387">
        <v>33.799999999999997</v>
      </c>
      <c r="K962" s="387">
        <v>4</v>
      </c>
      <c r="L962" s="387">
        <v>0</v>
      </c>
      <c r="M962" s="387" t="s">
        <v>148</v>
      </c>
      <c r="N962" s="387" t="s">
        <v>149</v>
      </c>
      <c r="O962" s="387" t="s">
        <v>150</v>
      </c>
      <c r="P962" s="387" t="s">
        <v>151</v>
      </c>
      <c r="Q962" s="387"/>
      <c r="R962" s="387" t="s">
        <v>5780</v>
      </c>
      <c r="S962" s="387"/>
      <c r="T962" s="387" t="s">
        <v>3064</v>
      </c>
      <c r="U962" s="387" t="s">
        <v>152</v>
      </c>
      <c r="V962" s="387" t="s">
        <v>23</v>
      </c>
    </row>
    <row r="963" spans="2:22">
      <c r="B963" s="389">
        <v>46220</v>
      </c>
      <c r="C963" s="389">
        <v>46220</v>
      </c>
      <c r="D963" s="387" t="s">
        <v>5781</v>
      </c>
      <c r="E963" s="388" t="s">
        <v>5782</v>
      </c>
      <c r="F963" s="387" t="s">
        <v>87</v>
      </c>
      <c r="G963" s="387" t="s">
        <v>5706</v>
      </c>
      <c r="H963" s="393">
        <v>50</v>
      </c>
      <c r="I963" s="387">
        <v>39.700000000000003</v>
      </c>
      <c r="J963" s="387">
        <v>39.700000000000003</v>
      </c>
      <c r="K963" s="387">
        <v>5</v>
      </c>
      <c r="L963" s="387">
        <v>0</v>
      </c>
      <c r="M963" s="387" t="s">
        <v>148</v>
      </c>
      <c r="N963" s="387" t="s">
        <v>149</v>
      </c>
      <c r="O963" s="387" t="s">
        <v>150</v>
      </c>
      <c r="P963" s="387" t="s">
        <v>151</v>
      </c>
      <c r="Q963" s="387"/>
      <c r="R963" s="387" t="s">
        <v>5782</v>
      </c>
      <c r="S963" s="387"/>
      <c r="T963" s="387" t="s">
        <v>3064</v>
      </c>
      <c r="U963" s="387" t="s">
        <v>152</v>
      </c>
      <c r="V963" s="387" t="s">
        <v>23</v>
      </c>
    </row>
    <row r="964" spans="2:22">
      <c r="B964" s="389">
        <v>46220</v>
      </c>
      <c r="C964" s="389">
        <v>46220</v>
      </c>
      <c r="D964" s="387" t="s">
        <v>5783</v>
      </c>
      <c r="E964" s="388" t="s">
        <v>5784</v>
      </c>
      <c r="F964" s="387" t="s">
        <v>87</v>
      </c>
      <c r="G964" s="387" t="s">
        <v>5706</v>
      </c>
      <c r="H964" s="393">
        <v>50</v>
      </c>
      <c r="I964" s="387">
        <v>19.899999999999999</v>
      </c>
      <c r="J964" s="387">
        <v>19.899999999999999</v>
      </c>
      <c r="K964" s="387">
        <v>5</v>
      </c>
      <c r="L964" s="387">
        <v>0</v>
      </c>
      <c r="M964" s="387" t="s">
        <v>148</v>
      </c>
      <c r="N964" s="387" t="s">
        <v>149</v>
      </c>
      <c r="O964" s="387" t="s">
        <v>150</v>
      </c>
      <c r="P964" s="387" t="s">
        <v>151</v>
      </c>
      <c r="Q964" s="387"/>
      <c r="R964" s="387" t="s">
        <v>5784</v>
      </c>
      <c r="S964" s="387"/>
      <c r="T964" s="387" t="s">
        <v>3064</v>
      </c>
      <c r="U964" s="387" t="s">
        <v>152</v>
      </c>
      <c r="V964" s="387" t="s">
        <v>23</v>
      </c>
    </row>
    <row r="965" spans="2:22">
      <c r="B965" s="389">
        <v>46220</v>
      </c>
      <c r="C965" s="389">
        <v>46220</v>
      </c>
      <c r="D965" s="387" t="s">
        <v>5785</v>
      </c>
      <c r="E965" s="388" t="s">
        <v>5786</v>
      </c>
      <c r="F965" s="387" t="s">
        <v>87</v>
      </c>
      <c r="G965" s="387" t="s">
        <v>1713</v>
      </c>
      <c r="H965" s="393">
        <v>30</v>
      </c>
      <c r="I965" s="387">
        <v>25.4</v>
      </c>
      <c r="J965" s="387">
        <v>25.4</v>
      </c>
      <c r="K965" s="387">
        <v>4</v>
      </c>
      <c r="L965" s="387">
        <v>0</v>
      </c>
      <c r="M965" s="387" t="s">
        <v>148</v>
      </c>
      <c r="N965" s="387" t="s">
        <v>149</v>
      </c>
      <c r="O965" s="387" t="s">
        <v>150</v>
      </c>
      <c r="P965" s="387" t="s">
        <v>151</v>
      </c>
      <c r="Q965" s="387"/>
      <c r="R965" s="387" t="s">
        <v>5786</v>
      </c>
      <c r="S965" s="387"/>
      <c r="T965" s="387" t="s">
        <v>3064</v>
      </c>
      <c r="U965" s="387" t="s">
        <v>152</v>
      </c>
      <c r="V965" s="387" t="s">
        <v>23</v>
      </c>
    </row>
    <row r="966" spans="2:22">
      <c r="B966" s="389">
        <v>46220</v>
      </c>
      <c r="C966" s="389">
        <v>46220</v>
      </c>
      <c r="D966" s="387" t="s">
        <v>5787</v>
      </c>
      <c r="E966" s="388" t="s">
        <v>5788</v>
      </c>
      <c r="F966" s="387" t="s">
        <v>87</v>
      </c>
      <c r="G966" s="387" t="s">
        <v>3934</v>
      </c>
      <c r="H966" s="393">
        <v>25</v>
      </c>
      <c r="I966" s="387">
        <v>41.2</v>
      </c>
      <c r="J966" s="387">
        <v>41.2</v>
      </c>
      <c r="K966" s="387">
        <v>4</v>
      </c>
      <c r="L966" s="387">
        <v>0</v>
      </c>
      <c r="M966" s="387" t="s">
        <v>148</v>
      </c>
      <c r="N966" s="387" t="s">
        <v>149</v>
      </c>
      <c r="O966" s="387" t="s">
        <v>150</v>
      </c>
      <c r="P966" s="387" t="s">
        <v>151</v>
      </c>
      <c r="Q966" s="387"/>
      <c r="R966" s="387" t="s">
        <v>5788</v>
      </c>
      <c r="S966" s="387"/>
      <c r="T966" s="387" t="s">
        <v>3064</v>
      </c>
      <c r="U966" s="387" t="s">
        <v>152</v>
      </c>
      <c r="V966" s="387" t="s">
        <v>23</v>
      </c>
    </row>
    <row r="967" spans="2:22">
      <c r="B967" s="389">
        <v>46220</v>
      </c>
      <c r="C967" s="389">
        <v>46220</v>
      </c>
      <c r="D967" s="387" t="s">
        <v>5789</v>
      </c>
      <c r="E967" s="388" t="s">
        <v>5790</v>
      </c>
      <c r="F967" s="387" t="s">
        <v>87</v>
      </c>
      <c r="G967" s="387" t="s">
        <v>2485</v>
      </c>
      <c r="H967" s="393">
        <v>30</v>
      </c>
      <c r="I967" s="387">
        <v>30.4</v>
      </c>
      <c r="J967" s="387">
        <v>30.4</v>
      </c>
      <c r="K967" s="387">
        <v>4</v>
      </c>
      <c r="L967" s="387">
        <v>0</v>
      </c>
      <c r="M967" s="387" t="s">
        <v>148</v>
      </c>
      <c r="N967" s="387" t="s">
        <v>149</v>
      </c>
      <c r="O967" s="387" t="s">
        <v>150</v>
      </c>
      <c r="P967" s="387" t="s">
        <v>151</v>
      </c>
      <c r="Q967" s="387"/>
      <c r="R967" s="387" t="s">
        <v>5790</v>
      </c>
      <c r="S967" s="387"/>
      <c r="T967" s="387" t="s">
        <v>3064</v>
      </c>
      <c r="U967" s="387" t="s">
        <v>152</v>
      </c>
      <c r="V967" s="387" t="s">
        <v>23</v>
      </c>
    </row>
    <row r="968" spans="2:22">
      <c r="B968" s="389">
        <v>46220</v>
      </c>
      <c r="C968" s="389">
        <v>46220</v>
      </c>
      <c r="D968" s="387" t="s">
        <v>5791</v>
      </c>
      <c r="E968" s="388" t="s">
        <v>5792</v>
      </c>
      <c r="F968" s="387" t="s">
        <v>87</v>
      </c>
      <c r="G968" s="387" t="s">
        <v>2552</v>
      </c>
      <c r="H968" s="393">
        <v>40</v>
      </c>
      <c r="I968" s="387">
        <v>33.799999999999997</v>
      </c>
      <c r="J968" s="387">
        <v>33.799999999999997</v>
      </c>
      <c r="K968" s="387">
        <v>5</v>
      </c>
      <c r="L968" s="387">
        <v>0</v>
      </c>
      <c r="M968" s="387" t="s">
        <v>148</v>
      </c>
      <c r="N968" s="387" t="s">
        <v>149</v>
      </c>
      <c r="O968" s="387" t="s">
        <v>150</v>
      </c>
      <c r="P968" s="387" t="s">
        <v>151</v>
      </c>
      <c r="Q968" s="387"/>
      <c r="R968" s="387" t="s">
        <v>5792</v>
      </c>
      <c r="S968" s="387"/>
      <c r="T968" s="387" t="s">
        <v>3064</v>
      </c>
      <c r="U968" s="387" t="s">
        <v>152</v>
      </c>
      <c r="V968" s="387" t="s">
        <v>23</v>
      </c>
    </row>
    <row r="969" spans="2:22">
      <c r="B969" s="389">
        <v>46220</v>
      </c>
      <c r="C969" s="389">
        <v>46220</v>
      </c>
      <c r="D969" s="387" t="s">
        <v>5793</v>
      </c>
      <c r="E969" s="388" t="s">
        <v>5794</v>
      </c>
      <c r="F969" s="387" t="s">
        <v>87</v>
      </c>
      <c r="G969" s="387" t="s">
        <v>3866</v>
      </c>
      <c r="H969" s="393">
        <v>40</v>
      </c>
      <c r="I969" s="387">
        <v>26.8</v>
      </c>
      <c r="J969" s="387">
        <v>26.8</v>
      </c>
      <c r="K969" s="387">
        <v>5</v>
      </c>
      <c r="L969" s="387">
        <v>0</v>
      </c>
      <c r="M969" s="387" t="s">
        <v>148</v>
      </c>
      <c r="N969" s="387" t="s">
        <v>149</v>
      </c>
      <c r="O969" s="387" t="s">
        <v>150</v>
      </c>
      <c r="P969" s="387" t="s">
        <v>151</v>
      </c>
      <c r="Q969" s="387"/>
      <c r="R969" s="387" t="s">
        <v>5794</v>
      </c>
      <c r="S969" s="387"/>
      <c r="T969" s="387" t="s">
        <v>3064</v>
      </c>
      <c r="U969" s="387" t="s">
        <v>152</v>
      </c>
      <c r="V969" s="387" t="s">
        <v>23</v>
      </c>
    </row>
    <row r="970" spans="2:22">
      <c r="B970" s="389">
        <v>46220</v>
      </c>
      <c r="C970" s="389">
        <v>46220</v>
      </c>
      <c r="D970" s="387" t="s">
        <v>5795</v>
      </c>
      <c r="E970" s="388" t="s">
        <v>5796</v>
      </c>
      <c r="F970" s="387" t="s">
        <v>87</v>
      </c>
      <c r="G970" s="387" t="s">
        <v>3934</v>
      </c>
      <c r="H970" s="393">
        <v>25</v>
      </c>
      <c r="I970" s="387">
        <v>30.2</v>
      </c>
      <c r="J970" s="387">
        <v>30.2</v>
      </c>
      <c r="K970" s="387">
        <v>4</v>
      </c>
      <c r="L970" s="387">
        <v>0</v>
      </c>
      <c r="M970" s="387" t="s">
        <v>148</v>
      </c>
      <c r="N970" s="387" t="s">
        <v>149</v>
      </c>
      <c r="O970" s="387" t="s">
        <v>150</v>
      </c>
      <c r="P970" s="387" t="s">
        <v>151</v>
      </c>
      <c r="Q970" s="387"/>
      <c r="R970" s="387" t="s">
        <v>5796</v>
      </c>
      <c r="S970" s="387"/>
      <c r="T970" s="387" t="s">
        <v>3064</v>
      </c>
      <c r="U970" s="387" t="s">
        <v>152</v>
      </c>
      <c r="V970" s="387" t="s">
        <v>23</v>
      </c>
    </row>
    <row r="971" spans="2:22">
      <c r="B971" s="389">
        <v>46220</v>
      </c>
      <c r="C971" s="389">
        <v>46220</v>
      </c>
      <c r="D971" s="387" t="s">
        <v>5797</v>
      </c>
      <c r="E971" s="388" t="s">
        <v>5798</v>
      </c>
      <c r="F971" s="387" t="s">
        <v>87</v>
      </c>
      <c r="G971" s="387" t="s">
        <v>3934</v>
      </c>
      <c r="H971" s="393">
        <v>25</v>
      </c>
      <c r="I971" s="387">
        <v>30.2</v>
      </c>
      <c r="J971" s="387">
        <v>30.2</v>
      </c>
      <c r="K971" s="387">
        <v>4</v>
      </c>
      <c r="L971" s="387">
        <v>0</v>
      </c>
      <c r="M971" s="387" t="s">
        <v>148</v>
      </c>
      <c r="N971" s="387" t="s">
        <v>149</v>
      </c>
      <c r="O971" s="387" t="s">
        <v>150</v>
      </c>
      <c r="P971" s="387" t="s">
        <v>151</v>
      </c>
      <c r="Q971" s="387"/>
      <c r="R971" s="387" t="s">
        <v>5798</v>
      </c>
      <c r="S971" s="387"/>
      <c r="T971" s="387" t="s">
        <v>3064</v>
      </c>
      <c r="U971" s="387" t="s">
        <v>152</v>
      </c>
      <c r="V971" s="387" t="s">
        <v>23</v>
      </c>
    </row>
    <row r="972" spans="2:22">
      <c r="B972" s="389">
        <v>46220</v>
      </c>
      <c r="C972" s="389">
        <v>46220</v>
      </c>
      <c r="D972" s="387" t="s">
        <v>5799</v>
      </c>
      <c r="E972" s="388" t="s">
        <v>5800</v>
      </c>
      <c r="F972" s="387" t="s">
        <v>87</v>
      </c>
      <c r="G972" s="387" t="s">
        <v>2552</v>
      </c>
      <c r="H972" s="393">
        <v>40</v>
      </c>
      <c r="I972" s="387">
        <v>26.1</v>
      </c>
      <c r="J972" s="387">
        <v>26.1</v>
      </c>
      <c r="K972" s="387">
        <v>5</v>
      </c>
      <c r="L972" s="387">
        <v>0</v>
      </c>
      <c r="M972" s="387" t="s">
        <v>148</v>
      </c>
      <c r="N972" s="387" t="s">
        <v>149</v>
      </c>
      <c r="O972" s="387" t="s">
        <v>150</v>
      </c>
      <c r="P972" s="387" t="s">
        <v>151</v>
      </c>
      <c r="Q972" s="387"/>
      <c r="R972" s="387" t="s">
        <v>5800</v>
      </c>
      <c r="S972" s="387"/>
      <c r="T972" s="387" t="s">
        <v>3064</v>
      </c>
      <c r="U972" s="387" t="s">
        <v>152</v>
      </c>
      <c r="V972" s="387" t="s">
        <v>23</v>
      </c>
    </row>
    <row r="973" spans="2:22">
      <c r="B973" s="389">
        <v>46220</v>
      </c>
      <c r="C973" s="389">
        <v>46220</v>
      </c>
      <c r="D973" s="387" t="s">
        <v>5801</v>
      </c>
      <c r="E973" s="388" t="s">
        <v>5802</v>
      </c>
      <c r="F973" s="387" t="s">
        <v>87</v>
      </c>
      <c r="G973" s="387" t="s">
        <v>5706</v>
      </c>
      <c r="H973" s="393">
        <v>50</v>
      </c>
      <c r="I973" s="387">
        <v>30.8</v>
      </c>
      <c r="J973" s="387">
        <v>30.8</v>
      </c>
      <c r="K973" s="387">
        <v>5</v>
      </c>
      <c r="L973" s="387">
        <v>0</v>
      </c>
      <c r="M973" s="387" t="s">
        <v>148</v>
      </c>
      <c r="N973" s="387" t="s">
        <v>149</v>
      </c>
      <c r="O973" s="387" t="s">
        <v>150</v>
      </c>
      <c r="P973" s="387" t="s">
        <v>151</v>
      </c>
      <c r="Q973" s="387"/>
      <c r="R973" s="387" t="s">
        <v>5802</v>
      </c>
      <c r="S973" s="387"/>
      <c r="T973" s="387" t="s">
        <v>3064</v>
      </c>
      <c r="U973" s="387" t="s">
        <v>152</v>
      </c>
      <c r="V973" s="387" t="s">
        <v>23</v>
      </c>
    </row>
    <row r="974" spans="2:22">
      <c r="B974" s="389">
        <v>46220</v>
      </c>
      <c r="C974" s="389">
        <v>46220</v>
      </c>
      <c r="D974" s="387" t="s">
        <v>5803</v>
      </c>
      <c r="E974" s="388" t="s">
        <v>5804</v>
      </c>
      <c r="F974" s="387" t="s">
        <v>87</v>
      </c>
      <c r="G974" s="387" t="s">
        <v>2637</v>
      </c>
      <c r="H974" s="393">
        <v>40</v>
      </c>
      <c r="I974" s="387">
        <v>32.799999999999997</v>
      </c>
      <c r="J974" s="387">
        <v>32.799999999999997</v>
      </c>
      <c r="K974" s="387">
        <v>7</v>
      </c>
      <c r="L974" s="387">
        <v>0</v>
      </c>
      <c r="M974" s="387" t="s">
        <v>148</v>
      </c>
      <c r="N974" s="387" t="s">
        <v>149</v>
      </c>
      <c r="O974" s="387" t="s">
        <v>150</v>
      </c>
      <c r="P974" s="387" t="s">
        <v>151</v>
      </c>
      <c r="Q974" s="387"/>
      <c r="R974" s="387" t="s">
        <v>5804</v>
      </c>
      <c r="S974" s="387"/>
      <c r="T974" s="387" t="s">
        <v>3064</v>
      </c>
      <c r="U974" s="387" t="s">
        <v>152</v>
      </c>
      <c r="V974" s="387" t="s">
        <v>23</v>
      </c>
    </row>
    <row r="975" spans="2:22">
      <c r="B975" s="389">
        <v>46220</v>
      </c>
      <c r="C975" s="389">
        <v>46220</v>
      </c>
      <c r="D975" s="387" t="s">
        <v>5805</v>
      </c>
      <c r="E975" s="388" t="s">
        <v>5806</v>
      </c>
      <c r="F975" s="387" t="s">
        <v>87</v>
      </c>
      <c r="G975" s="387" t="s">
        <v>3934</v>
      </c>
      <c r="H975" s="393">
        <v>25</v>
      </c>
      <c r="I975" s="387">
        <v>34</v>
      </c>
      <c r="J975" s="387">
        <v>34</v>
      </c>
      <c r="K975" s="387">
        <v>4</v>
      </c>
      <c r="L975" s="387">
        <v>0</v>
      </c>
      <c r="M975" s="387" t="s">
        <v>148</v>
      </c>
      <c r="N975" s="387" t="s">
        <v>149</v>
      </c>
      <c r="O975" s="387" t="s">
        <v>150</v>
      </c>
      <c r="P975" s="387" t="s">
        <v>151</v>
      </c>
      <c r="Q975" s="387"/>
      <c r="R975" s="387" t="s">
        <v>5806</v>
      </c>
      <c r="S975" s="387"/>
      <c r="T975" s="387" t="s">
        <v>3064</v>
      </c>
      <c r="U975" s="387" t="s">
        <v>152</v>
      </c>
      <c r="V975" s="387" t="s">
        <v>23</v>
      </c>
    </row>
    <row r="976" spans="2:22">
      <c r="B976" s="389">
        <v>46220</v>
      </c>
      <c r="C976" s="389">
        <v>46220</v>
      </c>
      <c r="D976" s="387" t="s">
        <v>5807</v>
      </c>
      <c r="E976" s="388" t="s">
        <v>5808</v>
      </c>
      <c r="F976" s="387" t="s">
        <v>87</v>
      </c>
      <c r="G976" s="387" t="s">
        <v>3934</v>
      </c>
      <c r="H976" s="393">
        <v>25</v>
      </c>
      <c r="I976" s="387">
        <v>39.700000000000003</v>
      </c>
      <c r="J976" s="387">
        <v>39.700000000000003</v>
      </c>
      <c r="K976" s="387">
        <v>4</v>
      </c>
      <c r="L976" s="387">
        <v>0</v>
      </c>
      <c r="M976" s="387" t="s">
        <v>148</v>
      </c>
      <c r="N976" s="387" t="s">
        <v>149</v>
      </c>
      <c r="O976" s="387" t="s">
        <v>150</v>
      </c>
      <c r="P976" s="387" t="s">
        <v>151</v>
      </c>
      <c r="Q976" s="387"/>
      <c r="R976" s="387" t="s">
        <v>5808</v>
      </c>
      <c r="S976" s="387"/>
      <c r="T976" s="387" t="s">
        <v>3064</v>
      </c>
      <c r="U976" s="387" t="s">
        <v>152</v>
      </c>
      <c r="V976" s="387" t="s">
        <v>23</v>
      </c>
    </row>
    <row r="977" spans="2:22">
      <c r="B977" s="389">
        <v>46220</v>
      </c>
      <c r="C977" s="389">
        <v>46220</v>
      </c>
      <c r="D977" s="387" t="s">
        <v>5809</v>
      </c>
      <c r="E977" s="388" t="s">
        <v>5810</v>
      </c>
      <c r="F977" s="387" t="s">
        <v>87</v>
      </c>
      <c r="G977" s="387" t="s">
        <v>2639</v>
      </c>
      <c r="H977" s="393">
        <v>25</v>
      </c>
      <c r="I977" s="387">
        <v>29.8</v>
      </c>
      <c r="J977" s="387">
        <v>29.8</v>
      </c>
      <c r="K977" s="387">
        <v>4</v>
      </c>
      <c r="L977" s="387">
        <v>0</v>
      </c>
      <c r="M977" s="387" t="s">
        <v>148</v>
      </c>
      <c r="N977" s="387" t="s">
        <v>149</v>
      </c>
      <c r="O977" s="387" t="s">
        <v>150</v>
      </c>
      <c r="P977" s="387" t="s">
        <v>151</v>
      </c>
      <c r="Q977" s="387"/>
      <c r="R977" s="387" t="s">
        <v>5810</v>
      </c>
      <c r="S977" s="387"/>
      <c r="T977" s="387" t="s">
        <v>3064</v>
      </c>
      <c r="U977" s="387" t="s">
        <v>152</v>
      </c>
      <c r="V977" s="387" t="s">
        <v>23</v>
      </c>
    </row>
    <row r="978" spans="2:22">
      <c r="B978" s="389">
        <v>46220</v>
      </c>
      <c r="C978" s="389">
        <v>46220</v>
      </c>
      <c r="D978" s="387" t="s">
        <v>5811</v>
      </c>
      <c r="E978" s="388" t="s">
        <v>5812</v>
      </c>
      <c r="F978" s="387" t="s">
        <v>87</v>
      </c>
      <c r="G978" s="387" t="s">
        <v>2639</v>
      </c>
      <c r="H978" s="393">
        <v>25</v>
      </c>
      <c r="I978" s="387">
        <v>17.8</v>
      </c>
      <c r="J978" s="387">
        <v>17.8</v>
      </c>
      <c r="K978" s="387">
        <v>4</v>
      </c>
      <c r="L978" s="387">
        <v>0</v>
      </c>
      <c r="M978" s="387" t="s">
        <v>148</v>
      </c>
      <c r="N978" s="387" t="s">
        <v>149</v>
      </c>
      <c r="O978" s="387" t="s">
        <v>150</v>
      </c>
      <c r="P978" s="387" t="s">
        <v>151</v>
      </c>
      <c r="Q978" s="387"/>
      <c r="R978" s="387" t="s">
        <v>5812</v>
      </c>
      <c r="S978" s="387"/>
      <c r="T978" s="387" t="s">
        <v>3064</v>
      </c>
      <c r="U978" s="387" t="s">
        <v>152</v>
      </c>
      <c r="V978" s="387" t="s">
        <v>23</v>
      </c>
    </row>
    <row r="979" spans="2:22">
      <c r="B979" s="389">
        <v>46220</v>
      </c>
      <c r="C979" s="389">
        <v>46220</v>
      </c>
      <c r="D979" s="387" t="s">
        <v>5813</v>
      </c>
      <c r="E979" s="388" t="s">
        <v>5814</v>
      </c>
      <c r="F979" s="387" t="s">
        <v>87</v>
      </c>
      <c r="G979" s="387" t="s">
        <v>2552</v>
      </c>
      <c r="H979" s="393">
        <v>40</v>
      </c>
      <c r="I979" s="387">
        <v>42.1</v>
      </c>
      <c r="J979" s="387">
        <v>42.1</v>
      </c>
      <c r="K979" s="387">
        <v>5</v>
      </c>
      <c r="L979" s="387">
        <v>0</v>
      </c>
      <c r="M979" s="387" t="s">
        <v>148</v>
      </c>
      <c r="N979" s="387" t="s">
        <v>149</v>
      </c>
      <c r="O979" s="387" t="s">
        <v>150</v>
      </c>
      <c r="P979" s="387" t="s">
        <v>151</v>
      </c>
      <c r="Q979" s="387"/>
      <c r="R979" s="387" t="s">
        <v>5814</v>
      </c>
      <c r="S979" s="387"/>
      <c r="T979" s="387" t="s">
        <v>3064</v>
      </c>
      <c r="U979" s="387" t="s">
        <v>152</v>
      </c>
      <c r="V979" s="387" t="s">
        <v>23</v>
      </c>
    </row>
    <row r="980" spans="2:22">
      <c r="B980" s="389">
        <v>46220</v>
      </c>
      <c r="C980" s="389">
        <v>46220</v>
      </c>
      <c r="D980" s="387" t="s">
        <v>5815</v>
      </c>
      <c r="E980" s="388" t="s">
        <v>5816</v>
      </c>
      <c r="F980" s="387" t="s">
        <v>87</v>
      </c>
      <c r="G980" s="387" t="s">
        <v>3934</v>
      </c>
      <c r="H980" s="393">
        <v>25</v>
      </c>
      <c r="I980" s="387">
        <v>17.8</v>
      </c>
      <c r="J980" s="387">
        <v>17.8</v>
      </c>
      <c r="K980" s="387">
        <v>4</v>
      </c>
      <c r="L980" s="387">
        <v>0</v>
      </c>
      <c r="M980" s="387" t="s">
        <v>148</v>
      </c>
      <c r="N980" s="387" t="s">
        <v>149</v>
      </c>
      <c r="O980" s="387" t="s">
        <v>150</v>
      </c>
      <c r="P980" s="387" t="s">
        <v>151</v>
      </c>
      <c r="Q980" s="387"/>
      <c r="R980" s="387" t="s">
        <v>5816</v>
      </c>
      <c r="S980" s="387"/>
      <c r="T980" s="387" t="s">
        <v>3064</v>
      </c>
      <c r="U980" s="387" t="s">
        <v>152</v>
      </c>
      <c r="V980" s="387" t="s">
        <v>23</v>
      </c>
    </row>
    <row r="981" spans="2:22">
      <c r="B981" s="389">
        <v>46220</v>
      </c>
      <c r="C981" s="389">
        <v>46220</v>
      </c>
      <c r="D981" s="387" t="s">
        <v>5817</v>
      </c>
      <c r="E981" s="388" t="s">
        <v>5818</v>
      </c>
      <c r="F981" s="387" t="s">
        <v>87</v>
      </c>
      <c r="G981" s="387" t="s">
        <v>2485</v>
      </c>
      <c r="H981" s="393">
        <v>30</v>
      </c>
      <c r="I981" s="387">
        <v>31.2</v>
      </c>
      <c r="J981" s="387">
        <v>31.2</v>
      </c>
      <c r="K981" s="387">
        <v>4</v>
      </c>
      <c r="L981" s="387">
        <v>0</v>
      </c>
      <c r="M981" s="387" t="s">
        <v>148</v>
      </c>
      <c r="N981" s="387" t="s">
        <v>149</v>
      </c>
      <c r="O981" s="387" t="s">
        <v>150</v>
      </c>
      <c r="P981" s="387" t="s">
        <v>151</v>
      </c>
      <c r="Q981" s="387"/>
      <c r="R981" s="387" t="s">
        <v>5818</v>
      </c>
      <c r="S981" s="387"/>
      <c r="T981" s="387" t="s">
        <v>3064</v>
      </c>
      <c r="U981" s="387" t="s">
        <v>152</v>
      </c>
      <c r="V981" s="387" t="s">
        <v>23</v>
      </c>
    </row>
    <row r="982" spans="2:22">
      <c r="B982" s="389">
        <v>46220</v>
      </c>
      <c r="C982" s="389">
        <v>46220</v>
      </c>
      <c r="D982" s="387" t="s">
        <v>5819</v>
      </c>
      <c r="E982" s="388" t="s">
        <v>5820</v>
      </c>
      <c r="F982" s="387" t="s">
        <v>87</v>
      </c>
      <c r="G982" s="387" t="s">
        <v>2485</v>
      </c>
      <c r="H982" s="393">
        <v>30</v>
      </c>
      <c r="I982" s="387">
        <v>22.5</v>
      </c>
      <c r="J982" s="387">
        <v>22.5</v>
      </c>
      <c r="K982" s="387">
        <v>4</v>
      </c>
      <c r="L982" s="387">
        <v>0</v>
      </c>
      <c r="M982" s="387" t="s">
        <v>148</v>
      </c>
      <c r="N982" s="387" t="s">
        <v>149</v>
      </c>
      <c r="O982" s="387" t="s">
        <v>150</v>
      </c>
      <c r="P982" s="387" t="s">
        <v>151</v>
      </c>
      <c r="Q982" s="387"/>
      <c r="R982" s="387" t="s">
        <v>5820</v>
      </c>
      <c r="S982" s="387"/>
      <c r="T982" s="387" t="s">
        <v>3064</v>
      </c>
      <c r="U982" s="387" t="s">
        <v>152</v>
      </c>
      <c r="V982" s="387" t="s">
        <v>23</v>
      </c>
    </row>
    <row r="983" spans="2:22">
      <c r="B983" s="389">
        <v>46220</v>
      </c>
      <c r="C983" s="389">
        <v>46220</v>
      </c>
      <c r="D983" s="387" t="s">
        <v>5821</v>
      </c>
      <c r="E983" s="388" t="s">
        <v>5822</v>
      </c>
      <c r="F983" s="387" t="s">
        <v>87</v>
      </c>
      <c r="G983" s="387" t="s">
        <v>2637</v>
      </c>
      <c r="H983" s="393">
        <v>40</v>
      </c>
      <c r="I983" s="387">
        <v>23.2</v>
      </c>
      <c r="J983" s="387">
        <v>23.2</v>
      </c>
      <c r="K983" s="387">
        <v>7</v>
      </c>
      <c r="L983" s="387">
        <v>0</v>
      </c>
      <c r="M983" s="387" t="s">
        <v>148</v>
      </c>
      <c r="N983" s="387" t="s">
        <v>149</v>
      </c>
      <c r="O983" s="387" t="s">
        <v>150</v>
      </c>
      <c r="P983" s="387" t="s">
        <v>151</v>
      </c>
      <c r="Q983" s="387"/>
      <c r="R983" s="387" t="s">
        <v>5822</v>
      </c>
      <c r="S983" s="387"/>
      <c r="T983" s="387" t="s">
        <v>3064</v>
      </c>
      <c r="U983" s="387" t="s">
        <v>152</v>
      </c>
      <c r="V983" s="387" t="s">
        <v>23</v>
      </c>
    </row>
    <row r="984" spans="2:22">
      <c r="B984" s="389">
        <v>46221</v>
      </c>
      <c r="C984" s="389">
        <v>46221</v>
      </c>
      <c r="D984" s="387" t="s">
        <v>5823</v>
      </c>
      <c r="E984" s="388" t="s">
        <v>5824</v>
      </c>
      <c r="F984" s="387" t="s">
        <v>87</v>
      </c>
      <c r="G984" s="387" t="s">
        <v>5706</v>
      </c>
      <c r="H984" s="393">
        <v>50</v>
      </c>
      <c r="I984" s="387">
        <v>31.4</v>
      </c>
      <c r="J984" s="387">
        <v>31.4</v>
      </c>
      <c r="K984" s="387">
        <v>5</v>
      </c>
      <c r="L984" s="387">
        <v>0</v>
      </c>
      <c r="M984" s="387" t="s">
        <v>148</v>
      </c>
      <c r="N984" s="387" t="s">
        <v>149</v>
      </c>
      <c r="O984" s="387" t="s">
        <v>150</v>
      </c>
      <c r="P984" s="387" t="s">
        <v>151</v>
      </c>
      <c r="Q984" s="387"/>
      <c r="R984" s="387" t="s">
        <v>5824</v>
      </c>
      <c r="S984" s="387"/>
      <c r="T984" s="387" t="s">
        <v>3108</v>
      </c>
      <c r="U984" s="387" t="s">
        <v>152</v>
      </c>
      <c r="V984" s="387" t="s">
        <v>23</v>
      </c>
    </row>
    <row r="985" spans="2:22">
      <c r="B985" s="389">
        <v>46221</v>
      </c>
      <c r="C985" s="389">
        <v>46221</v>
      </c>
      <c r="D985" s="387" t="s">
        <v>5825</v>
      </c>
      <c r="E985" s="388" t="s">
        <v>5826</v>
      </c>
      <c r="F985" s="387" t="s">
        <v>87</v>
      </c>
      <c r="G985" s="387" t="s">
        <v>2485</v>
      </c>
      <c r="H985" s="393">
        <v>30</v>
      </c>
      <c r="I985" s="387">
        <v>37</v>
      </c>
      <c r="J985" s="387">
        <v>37</v>
      </c>
      <c r="K985" s="387">
        <v>4</v>
      </c>
      <c r="L985" s="387">
        <v>0</v>
      </c>
      <c r="M985" s="387" t="s">
        <v>148</v>
      </c>
      <c r="N985" s="387" t="s">
        <v>149</v>
      </c>
      <c r="O985" s="387" t="s">
        <v>150</v>
      </c>
      <c r="P985" s="387" t="s">
        <v>151</v>
      </c>
      <c r="Q985" s="387"/>
      <c r="R985" s="387" t="s">
        <v>5826</v>
      </c>
      <c r="S985" s="387"/>
      <c r="T985" s="387" t="s">
        <v>3108</v>
      </c>
      <c r="U985" s="387" t="s">
        <v>152</v>
      </c>
      <c r="V985" s="387" t="s">
        <v>23</v>
      </c>
    </row>
    <row r="986" spans="2:22">
      <c r="B986" s="389">
        <v>46221</v>
      </c>
      <c r="C986" s="389">
        <v>46221</v>
      </c>
      <c r="D986" s="387" t="s">
        <v>5827</v>
      </c>
      <c r="E986" s="388" t="s">
        <v>5828</v>
      </c>
      <c r="F986" s="387" t="s">
        <v>87</v>
      </c>
      <c r="G986" s="387" t="s">
        <v>2637</v>
      </c>
      <c r="H986" s="393">
        <v>40</v>
      </c>
      <c r="I986" s="387">
        <v>25.4</v>
      </c>
      <c r="J986" s="387">
        <v>25.4</v>
      </c>
      <c r="K986" s="387">
        <v>7</v>
      </c>
      <c r="L986" s="387">
        <v>0</v>
      </c>
      <c r="M986" s="387" t="s">
        <v>148</v>
      </c>
      <c r="N986" s="387" t="s">
        <v>149</v>
      </c>
      <c r="O986" s="387" t="s">
        <v>150</v>
      </c>
      <c r="P986" s="387" t="s">
        <v>151</v>
      </c>
      <c r="Q986" s="387"/>
      <c r="R986" s="387" t="s">
        <v>5828</v>
      </c>
      <c r="S986" s="387"/>
      <c r="T986" s="387" t="s">
        <v>3108</v>
      </c>
      <c r="U986" s="387" t="s">
        <v>152</v>
      </c>
      <c r="V986" s="387" t="s">
        <v>23</v>
      </c>
    </row>
    <row r="987" spans="2:22">
      <c r="B987" s="389">
        <v>46221</v>
      </c>
      <c r="C987" s="389">
        <v>46221</v>
      </c>
      <c r="D987" s="387" t="s">
        <v>5829</v>
      </c>
      <c r="E987" s="388" t="s">
        <v>5830</v>
      </c>
      <c r="F987" s="387" t="s">
        <v>87</v>
      </c>
      <c r="G987" s="387" t="s">
        <v>2552</v>
      </c>
      <c r="H987" s="393">
        <v>40</v>
      </c>
      <c r="I987" s="387">
        <v>16.8</v>
      </c>
      <c r="J987" s="387">
        <v>16.8</v>
      </c>
      <c r="K987" s="387">
        <v>5</v>
      </c>
      <c r="L987" s="387">
        <v>0</v>
      </c>
      <c r="M987" s="387" t="s">
        <v>148</v>
      </c>
      <c r="N987" s="387" t="s">
        <v>149</v>
      </c>
      <c r="O987" s="387" t="s">
        <v>150</v>
      </c>
      <c r="P987" s="387" t="s">
        <v>151</v>
      </c>
      <c r="Q987" s="387"/>
      <c r="R987" s="387" t="s">
        <v>5830</v>
      </c>
      <c r="S987" s="387"/>
      <c r="T987" s="387" t="s">
        <v>3108</v>
      </c>
      <c r="U987" s="387" t="s">
        <v>152</v>
      </c>
      <c r="V987" s="387" t="s">
        <v>23</v>
      </c>
    </row>
    <row r="988" spans="2:22">
      <c r="B988" s="389">
        <v>46221</v>
      </c>
      <c r="C988" s="389">
        <v>46221</v>
      </c>
      <c r="D988" s="387" t="s">
        <v>5831</v>
      </c>
      <c r="E988" s="388" t="s">
        <v>5832</v>
      </c>
      <c r="F988" s="387" t="s">
        <v>87</v>
      </c>
      <c r="G988" s="387" t="s">
        <v>2637</v>
      </c>
      <c r="H988" s="393">
        <v>40</v>
      </c>
      <c r="I988" s="387">
        <v>31.9</v>
      </c>
      <c r="J988" s="387">
        <v>31.9</v>
      </c>
      <c r="K988" s="387">
        <v>7</v>
      </c>
      <c r="L988" s="387">
        <v>0</v>
      </c>
      <c r="M988" s="387" t="s">
        <v>148</v>
      </c>
      <c r="N988" s="387" t="s">
        <v>149</v>
      </c>
      <c r="O988" s="387" t="s">
        <v>150</v>
      </c>
      <c r="P988" s="387" t="s">
        <v>151</v>
      </c>
      <c r="Q988" s="387"/>
      <c r="R988" s="387" t="s">
        <v>5832</v>
      </c>
      <c r="S988" s="387"/>
      <c r="T988" s="387" t="s">
        <v>3108</v>
      </c>
      <c r="U988" s="387" t="s">
        <v>152</v>
      </c>
      <c r="V988" s="387" t="s">
        <v>23</v>
      </c>
    </row>
    <row r="989" spans="2:22">
      <c r="B989" s="389">
        <v>46221</v>
      </c>
      <c r="C989" s="389">
        <v>46221</v>
      </c>
      <c r="D989" s="387" t="s">
        <v>5833</v>
      </c>
      <c r="E989" s="388" t="s">
        <v>5834</v>
      </c>
      <c r="F989" s="387" t="s">
        <v>87</v>
      </c>
      <c r="G989" s="387" t="s">
        <v>3866</v>
      </c>
      <c r="H989" s="393">
        <v>40</v>
      </c>
      <c r="I989" s="387">
        <v>28.2</v>
      </c>
      <c r="J989" s="387">
        <v>28.2</v>
      </c>
      <c r="K989" s="387">
        <v>5</v>
      </c>
      <c r="L989" s="387">
        <v>0</v>
      </c>
      <c r="M989" s="387" t="s">
        <v>148</v>
      </c>
      <c r="N989" s="387" t="s">
        <v>149</v>
      </c>
      <c r="O989" s="387" t="s">
        <v>150</v>
      </c>
      <c r="P989" s="387" t="s">
        <v>151</v>
      </c>
      <c r="Q989" s="387"/>
      <c r="R989" s="387" t="s">
        <v>5834</v>
      </c>
      <c r="S989" s="387"/>
      <c r="T989" s="387" t="s">
        <v>3108</v>
      </c>
      <c r="U989" s="387" t="s">
        <v>152</v>
      </c>
      <c r="V989" s="387" t="s">
        <v>23</v>
      </c>
    </row>
    <row r="990" spans="2:22">
      <c r="B990" s="389">
        <v>46221</v>
      </c>
      <c r="C990" s="389">
        <v>46221</v>
      </c>
      <c r="D990" s="387" t="s">
        <v>5835</v>
      </c>
      <c r="E990" s="388" t="s">
        <v>5836</v>
      </c>
      <c r="F990" s="387" t="s">
        <v>87</v>
      </c>
      <c r="G990" s="387" t="s">
        <v>2632</v>
      </c>
      <c r="H990" s="393">
        <v>30</v>
      </c>
      <c r="I990" s="387">
        <v>14.2</v>
      </c>
      <c r="J990" s="387">
        <v>14.2</v>
      </c>
      <c r="K990" s="387">
        <v>4</v>
      </c>
      <c r="L990" s="387">
        <v>0</v>
      </c>
      <c r="M990" s="387" t="s">
        <v>148</v>
      </c>
      <c r="N990" s="387" t="s">
        <v>149</v>
      </c>
      <c r="O990" s="387" t="s">
        <v>150</v>
      </c>
      <c r="P990" s="387" t="s">
        <v>151</v>
      </c>
      <c r="Q990" s="387"/>
      <c r="R990" s="387" t="s">
        <v>5836</v>
      </c>
      <c r="S990" s="387"/>
      <c r="T990" s="387" t="s">
        <v>3108</v>
      </c>
      <c r="U990" s="387" t="s">
        <v>152</v>
      </c>
      <c r="V990" s="387" t="s">
        <v>23</v>
      </c>
    </row>
    <row r="991" spans="2:22">
      <c r="B991" s="389">
        <v>46221</v>
      </c>
      <c r="C991" s="389">
        <v>46221</v>
      </c>
      <c r="D991" s="387" t="s">
        <v>5837</v>
      </c>
      <c r="E991" s="388" t="s">
        <v>5838</v>
      </c>
      <c r="F991" s="387" t="s">
        <v>87</v>
      </c>
      <c r="G991" s="387" t="s">
        <v>5706</v>
      </c>
      <c r="H991" s="393">
        <v>50</v>
      </c>
      <c r="I991" s="387">
        <v>39</v>
      </c>
      <c r="J991" s="387">
        <v>39</v>
      </c>
      <c r="K991" s="387">
        <v>5</v>
      </c>
      <c r="L991" s="387">
        <v>0</v>
      </c>
      <c r="M991" s="387" t="s">
        <v>148</v>
      </c>
      <c r="N991" s="387" t="s">
        <v>149</v>
      </c>
      <c r="O991" s="387" t="s">
        <v>150</v>
      </c>
      <c r="P991" s="387" t="s">
        <v>151</v>
      </c>
      <c r="Q991" s="387"/>
      <c r="R991" s="387" t="s">
        <v>5838</v>
      </c>
      <c r="S991" s="387"/>
      <c r="T991" s="387" t="s">
        <v>3108</v>
      </c>
      <c r="U991" s="387" t="s">
        <v>152</v>
      </c>
      <c r="V991" s="387" t="s">
        <v>23</v>
      </c>
    </row>
    <row r="992" spans="2:22">
      <c r="B992" s="389">
        <v>46221</v>
      </c>
      <c r="C992" s="389">
        <v>46221</v>
      </c>
      <c r="D992" s="387" t="s">
        <v>5839</v>
      </c>
      <c r="E992" s="388" t="s">
        <v>5840</v>
      </c>
      <c r="F992" s="387" t="s">
        <v>87</v>
      </c>
      <c r="G992" s="387" t="s">
        <v>2552</v>
      </c>
      <c r="H992" s="393">
        <v>40</v>
      </c>
      <c r="I992" s="387">
        <v>40.5</v>
      </c>
      <c r="J992" s="387">
        <v>40.5</v>
      </c>
      <c r="K992" s="387">
        <v>5</v>
      </c>
      <c r="L992" s="387">
        <v>0</v>
      </c>
      <c r="M992" s="387" t="s">
        <v>148</v>
      </c>
      <c r="N992" s="387" t="s">
        <v>149</v>
      </c>
      <c r="O992" s="387" t="s">
        <v>150</v>
      </c>
      <c r="P992" s="387" t="s">
        <v>151</v>
      </c>
      <c r="Q992" s="387"/>
      <c r="R992" s="387" t="s">
        <v>5840</v>
      </c>
      <c r="S992" s="387"/>
      <c r="T992" s="387" t="s">
        <v>3108</v>
      </c>
      <c r="U992" s="387" t="s">
        <v>152</v>
      </c>
      <c r="V992" s="387" t="s">
        <v>23</v>
      </c>
    </row>
    <row r="993" spans="2:22">
      <c r="B993" s="389">
        <v>46221</v>
      </c>
      <c r="C993" s="389">
        <v>46221</v>
      </c>
      <c r="D993" s="387" t="s">
        <v>5841</v>
      </c>
      <c r="E993" s="388" t="s">
        <v>5842</v>
      </c>
      <c r="F993" s="387" t="s">
        <v>87</v>
      </c>
      <c r="G993" s="387" t="s">
        <v>2552</v>
      </c>
      <c r="H993" s="393">
        <v>40</v>
      </c>
      <c r="I993" s="387">
        <v>43.8</v>
      </c>
      <c r="J993" s="387">
        <v>43.8</v>
      </c>
      <c r="K993" s="387">
        <v>5</v>
      </c>
      <c r="L993" s="387">
        <v>0</v>
      </c>
      <c r="M993" s="387" t="s">
        <v>148</v>
      </c>
      <c r="N993" s="387" t="s">
        <v>149</v>
      </c>
      <c r="O993" s="387" t="s">
        <v>150</v>
      </c>
      <c r="P993" s="387" t="s">
        <v>151</v>
      </c>
      <c r="Q993" s="387"/>
      <c r="R993" s="387" t="s">
        <v>5842</v>
      </c>
      <c r="S993" s="387"/>
      <c r="T993" s="387" t="s">
        <v>3108</v>
      </c>
      <c r="U993" s="387" t="s">
        <v>152</v>
      </c>
      <c r="V993" s="387" t="s">
        <v>23</v>
      </c>
    </row>
    <row r="994" spans="2:22">
      <c r="B994" s="389">
        <v>46221</v>
      </c>
      <c r="C994" s="389">
        <v>46221</v>
      </c>
      <c r="D994" s="387" t="s">
        <v>5843</v>
      </c>
      <c r="E994" s="388" t="s">
        <v>5844</v>
      </c>
      <c r="F994" s="387" t="s">
        <v>87</v>
      </c>
      <c r="G994" s="387" t="s">
        <v>3866</v>
      </c>
      <c r="H994" s="393">
        <v>40</v>
      </c>
      <c r="I994" s="387">
        <v>13.8</v>
      </c>
      <c r="J994" s="387">
        <v>13.8</v>
      </c>
      <c r="K994" s="387">
        <v>5</v>
      </c>
      <c r="L994" s="387">
        <v>0</v>
      </c>
      <c r="M994" s="387" t="s">
        <v>148</v>
      </c>
      <c r="N994" s="387" t="s">
        <v>149</v>
      </c>
      <c r="O994" s="387" t="s">
        <v>150</v>
      </c>
      <c r="P994" s="387" t="s">
        <v>151</v>
      </c>
      <c r="Q994" s="387"/>
      <c r="R994" s="387" t="s">
        <v>5844</v>
      </c>
      <c r="S994" s="387"/>
      <c r="T994" s="387" t="s">
        <v>3108</v>
      </c>
      <c r="U994" s="387" t="s">
        <v>152</v>
      </c>
      <c r="V994" s="387" t="s">
        <v>23</v>
      </c>
    </row>
    <row r="995" spans="2:22">
      <c r="B995" s="389">
        <v>46221</v>
      </c>
      <c r="C995" s="389">
        <v>46221</v>
      </c>
      <c r="D995" s="387" t="s">
        <v>5845</v>
      </c>
      <c r="E995" s="388" t="s">
        <v>5846</v>
      </c>
      <c r="F995" s="387" t="s">
        <v>87</v>
      </c>
      <c r="G995" s="387" t="s">
        <v>2552</v>
      </c>
      <c r="H995" s="393">
        <v>40</v>
      </c>
      <c r="I995" s="387">
        <v>38.299999999999997</v>
      </c>
      <c r="J995" s="387">
        <v>38.299999999999997</v>
      </c>
      <c r="K995" s="387">
        <v>5</v>
      </c>
      <c r="L995" s="387">
        <v>0</v>
      </c>
      <c r="M995" s="387" t="s">
        <v>148</v>
      </c>
      <c r="N995" s="387" t="s">
        <v>149</v>
      </c>
      <c r="O995" s="387" t="s">
        <v>150</v>
      </c>
      <c r="P995" s="387" t="s">
        <v>151</v>
      </c>
      <c r="Q995" s="387"/>
      <c r="R995" s="387" t="s">
        <v>5846</v>
      </c>
      <c r="S995" s="387"/>
      <c r="T995" s="387" t="s">
        <v>3108</v>
      </c>
      <c r="U995" s="387" t="s">
        <v>152</v>
      </c>
      <c r="V995" s="387" t="s">
        <v>23</v>
      </c>
    </row>
    <row r="996" spans="2:22">
      <c r="B996" s="389">
        <v>46221</v>
      </c>
      <c r="C996" s="389">
        <v>46221</v>
      </c>
      <c r="D996" s="387" t="s">
        <v>5847</v>
      </c>
      <c r="E996" s="388" t="s">
        <v>5848</v>
      </c>
      <c r="F996" s="387" t="s">
        <v>87</v>
      </c>
      <c r="G996" s="387" t="s">
        <v>1713</v>
      </c>
      <c r="H996" s="393">
        <v>30</v>
      </c>
      <c r="I996" s="387">
        <v>25.4</v>
      </c>
      <c r="J996" s="387">
        <v>25.4</v>
      </c>
      <c r="K996" s="387">
        <v>4</v>
      </c>
      <c r="L996" s="387">
        <v>0</v>
      </c>
      <c r="M996" s="387" t="s">
        <v>148</v>
      </c>
      <c r="N996" s="387" t="s">
        <v>149</v>
      </c>
      <c r="O996" s="387" t="s">
        <v>150</v>
      </c>
      <c r="P996" s="387" t="s">
        <v>151</v>
      </c>
      <c r="Q996" s="387"/>
      <c r="R996" s="387" t="s">
        <v>5848</v>
      </c>
      <c r="S996" s="387"/>
      <c r="T996" s="387" t="s">
        <v>3108</v>
      </c>
      <c r="U996" s="387" t="s">
        <v>152</v>
      </c>
      <c r="V996" s="387" t="s">
        <v>23</v>
      </c>
    </row>
    <row r="997" spans="2:22">
      <c r="B997" s="389">
        <v>46221</v>
      </c>
      <c r="C997" s="389">
        <v>46221</v>
      </c>
      <c r="D997" s="387" t="s">
        <v>5849</v>
      </c>
      <c r="E997" s="388" t="s">
        <v>5850</v>
      </c>
      <c r="F997" s="387" t="s">
        <v>87</v>
      </c>
      <c r="G997" s="387" t="s">
        <v>2552</v>
      </c>
      <c r="H997" s="393">
        <v>40</v>
      </c>
      <c r="I997" s="387">
        <v>39.200000000000003</v>
      </c>
      <c r="J997" s="387">
        <v>39.200000000000003</v>
      </c>
      <c r="K997" s="387">
        <v>5</v>
      </c>
      <c r="L997" s="387">
        <v>0</v>
      </c>
      <c r="M997" s="387" t="s">
        <v>148</v>
      </c>
      <c r="N997" s="387" t="s">
        <v>149</v>
      </c>
      <c r="O997" s="387" t="s">
        <v>150</v>
      </c>
      <c r="P997" s="387" t="s">
        <v>151</v>
      </c>
      <c r="Q997" s="387"/>
      <c r="R997" s="387" t="s">
        <v>5850</v>
      </c>
      <c r="S997" s="387"/>
      <c r="T997" s="387" t="s">
        <v>3108</v>
      </c>
      <c r="U997" s="387" t="s">
        <v>152</v>
      </c>
      <c r="V997" s="387" t="s">
        <v>23</v>
      </c>
    </row>
    <row r="998" spans="2:22">
      <c r="B998" s="389">
        <v>46221</v>
      </c>
      <c r="C998" s="389">
        <v>46221</v>
      </c>
      <c r="D998" s="387" t="s">
        <v>5851</v>
      </c>
      <c r="E998" s="388" t="s">
        <v>5852</v>
      </c>
      <c r="F998" s="387" t="s">
        <v>87</v>
      </c>
      <c r="G998" s="387" t="s">
        <v>2552</v>
      </c>
      <c r="H998" s="393">
        <v>40</v>
      </c>
      <c r="I998" s="387">
        <v>29.8</v>
      </c>
      <c r="J998" s="387">
        <v>29.8</v>
      </c>
      <c r="K998" s="387">
        <v>5</v>
      </c>
      <c r="L998" s="387">
        <v>0</v>
      </c>
      <c r="M998" s="387" t="s">
        <v>148</v>
      </c>
      <c r="N998" s="387" t="s">
        <v>149</v>
      </c>
      <c r="O998" s="387" t="s">
        <v>150</v>
      </c>
      <c r="P998" s="387" t="s">
        <v>151</v>
      </c>
      <c r="Q998" s="387"/>
      <c r="R998" s="387" t="s">
        <v>5852</v>
      </c>
      <c r="S998" s="387"/>
      <c r="T998" s="387" t="s">
        <v>3108</v>
      </c>
      <c r="U998" s="387" t="s">
        <v>152</v>
      </c>
      <c r="V998" s="387" t="s">
        <v>23</v>
      </c>
    </row>
    <row r="999" spans="2:22">
      <c r="B999" s="389">
        <v>46221</v>
      </c>
      <c r="C999" s="389">
        <v>46221</v>
      </c>
      <c r="D999" s="387" t="s">
        <v>5853</v>
      </c>
      <c r="E999" s="388" t="s">
        <v>5854</v>
      </c>
      <c r="F999" s="387" t="s">
        <v>87</v>
      </c>
      <c r="G999" s="387" t="s">
        <v>2639</v>
      </c>
      <c r="H999" s="393">
        <v>25</v>
      </c>
      <c r="I999" s="387">
        <v>32.200000000000003</v>
      </c>
      <c r="J999" s="387">
        <v>32.200000000000003</v>
      </c>
      <c r="K999" s="387">
        <v>4</v>
      </c>
      <c r="L999" s="387">
        <v>0</v>
      </c>
      <c r="M999" s="387" t="s">
        <v>148</v>
      </c>
      <c r="N999" s="387" t="s">
        <v>149</v>
      </c>
      <c r="O999" s="387" t="s">
        <v>150</v>
      </c>
      <c r="P999" s="387" t="s">
        <v>151</v>
      </c>
      <c r="Q999" s="387"/>
      <c r="R999" s="387" t="s">
        <v>5854</v>
      </c>
      <c r="S999" s="387"/>
      <c r="T999" s="387" t="s">
        <v>3108</v>
      </c>
      <c r="U999" s="387" t="s">
        <v>152</v>
      </c>
      <c r="V999" s="387" t="s">
        <v>23</v>
      </c>
    </row>
    <row r="1000" spans="2:22">
      <c r="B1000" s="389">
        <v>46221</v>
      </c>
      <c r="C1000" s="389">
        <v>46221</v>
      </c>
      <c r="D1000" s="387" t="s">
        <v>5855</v>
      </c>
      <c r="E1000" s="388" t="s">
        <v>5856</v>
      </c>
      <c r="F1000" s="387" t="s">
        <v>87</v>
      </c>
      <c r="G1000" s="387" t="s">
        <v>2634</v>
      </c>
      <c r="H1000" s="393">
        <v>32</v>
      </c>
      <c r="I1000" s="387">
        <v>23.3</v>
      </c>
      <c r="J1000" s="387">
        <v>23.3</v>
      </c>
      <c r="K1000" s="387">
        <v>4</v>
      </c>
      <c r="L1000" s="387">
        <v>0</v>
      </c>
      <c r="M1000" s="387" t="s">
        <v>148</v>
      </c>
      <c r="N1000" s="387" t="s">
        <v>149</v>
      </c>
      <c r="O1000" s="387" t="s">
        <v>150</v>
      </c>
      <c r="P1000" s="387" t="s">
        <v>151</v>
      </c>
      <c r="Q1000" s="387"/>
      <c r="R1000" s="387" t="s">
        <v>5856</v>
      </c>
      <c r="S1000" s="387"/>
      <c r="T1000" s="387" t="s">
        <v>3108</v>
      </c>
      <c r="U1000" s="387" t="s">
        <v>152</v>
      </c>
      <c r="V1000" s="387" t="s">
        <v>23</v>
      </c>
    </row>
    <row r="1001" spans="2:22">
      <c r="B1001" s="389">
        <v>46221</v>
      </c>
      <c r="C1001" s="389">
        <v>46221</v>
      </c>
      <c r="D1001" s="387" t="s">
        <v>5857</v>
      </c>
      <c r="E1001" s="388" t="s">
        <v>5858</v>
      </c>
      <c r="F1001" s="387" t="s">
        <v>87</v>
      </c>
      <c r="G1001" s="387" t="s">
        <v>2552</v>
      </c>
      <c r="H1001" s="393">
        <v>40</v>
      </c>
      <c r="I1001" s="387">
        <v>35.799999999999997</v>
      </c>
      <c r="J1001" s="387">
        <v>35.799999999999997</v>
      </c>
      <c r="K1001" s="387">
        <v>5</v>
      </c>
      <c r="L1001" s="387">
        <v>0</v>
      </c>
      <c r="M1001" s="387" t="s">
        <v>148</v>
      </c>
      <c r="N1001" s="387" t="s">
        <v>149</v>
      </c>
      <c r="O1001" s="387" t="s">
        <v>150</v>
      </c>
      <c r="P1001" s="387" t="s">
        <v>151</v>
      </c>
      <c r="Q1001" s="387"/>
      <c r="R1001" s="387" t="s">
        <v>5858</v>
      </c>
      <c r="S1001" s="387"/>
      <c r="T1001" s="387" t="s">
        <v>3108</v>
      </c>
      <c r="U1001" s="387" t="s">
        <v>152</v>
      </c>
      <c r="V1001" s="387" t="s">
        <v>23</v>
      </c>
    </row>
    <row r="1002" spans="2:22">
      <c r="B1002" s="389">
        <v>46221</v>
      </c>
      <c r="C1002" s="389">
        <v>46221</v>
      </c>
      <c r="D1002" s="387" t="s">
        <v>5859</v>
      </c>
      <c r="E1002" s="388" t="s">
        <v>5860</v>
      </c>
      <c r="F1002" s="387" t="s">
        <v>87</v>
      </c>
      <c r="G1002" s="387" t="s">
        <v>2552</v>
      </c>
      <c r="H1002" s="393">
        <v>40</v>
      </c>
      <c r="I1002" s="387">
        <v>26</v>
      </c>
      <c r="J1002" s="387">
        <v>26</v>
      </c>
      <c r="K1002" s="387">
        <v>5</v>
      </c>
      <c r="L1002" s="387">
        <v>0</v>
      </c>
      <c r="M1002" s="387" t="s">
        <v>148</v>
      </c>
      <c r="N1002" s="387" t="s">
        <v>149</v>
      </c>
      <c r="O1002" s="387" t="s">
        <v>150</v>
      </c>
      <c r="P1002" s="387" t="s">
        <v>151</v>
      </c>
      <c r="Q1002" s="387"/>
      <c r="R1002" s="387" t="s">
        <v>5860</v>
      </c>
      <c r="S1002" s="387"/>
      <c r="T1002" s="387" t="s">
        <v>3108</v>
      </c>
      <c r="U1002" s="387" t="s">
        <v>152</v>
      </c>
      <c r="V1002" s="387" t="s">
        <v>23</v>
      </c>
    </row>
    <row r="1003" spans="2:22">
      <c r="B1003" s="389">
        <v>46221</v>
      </c>
      <c r="C1003" s="389">
        <v>46221</v>
      </c>
      <c r="D1003" s="387" t="s">
        <v>5861</v>
      </c>
      <c r="E1003" s="388" t="s">
        <v>5862</v>
      </c>
      <c r="F1003" s="387" t="s">
        <v>87</v>
      </c>
      <c r="G1003" s="387" t="s">
        <v>2634</v>
      </c>
      <c r="H1003" s="393">
        <v>32</v>
      </c>
      <c r="I1003" s="387">
        <v>30.1</v>
      </c>
      <c r="J1003" s="387">
        <v>30.1</v>
      </c>
      <c r="K1003" s="387">
        <v>4</v>
      </c>
      <c r="L1003" s="387">
        <v>0</v>
      </c>
      <c r="M1003" s="387" t="s">
        <v>148</v>
      </c>
      <c r="N1003" s="387" t="s">
        <v>149</v>
      </c>
      <c r="O1003" s="387" t="s">
        <v>150</v>
      </c>
      <c r="P1003" s="387" t="s">
        <v>151</v>
      </c>
      <c r="Q1003" s="387"/>
      <c r="R1003" s="387" t="s">
        <v>5862</v>
      </c>
      <c r="S1003" s="387"/>
      <c r="T1003" s="387" t="s">
        <v>3108</v>
      </c>
      <c r="U1003" s="387" t="s">
        <v>152</v>
      </c>
      <c r="V1003" s="387" t="s">
        <v>23</v>
      </c>
    </row>
    <row r="1004" spans="2:22">
      <c r="B1004" s="389">
        <v>46221</v>
      </c>
      <c r="C1004" s="389">
        <v>46221</v>
      </c>
      <c r="D1004" s="387" t="s">
        <v>5863</v>
      </c>
      <c r="E1004" s="388" t="s">
        <v>5864</v>
      </c>
      <c r="F1004" s="387" t="s">
        <v>87</v>
      </c>
      <c r="G1004" s="387" t="s">
        <v>2639</v>
      </c>
      <c r="H1004" s="393">
        <v>25</v>
      </c>
      <c r="I1004" s="387">
        <v>28.5</v>
      </c>
      <c r="J1004" s="387">
        <v>28.5</v>
      </c>
      <c r="K1004" s="387">
        <v>4</v>
      </c>
      <c r="L1004" s="387">
        <v>0</v>
      </c>
      <c r="M1004" s="387" t="s">
        <v>148</v>
      </c>
      <c r="N1004" s="387" t="s">
        <v>149</v>
      </c>
      <c r="O1004" s="387" t="s">
        <v>150</v>
      </c>
      <c r="P1004" s="387" t="s">
        <v>151</v>
      </c>
      <c r="Q1004" s="387"/>
      <c r="R1004" s="387" t="s">
        <v>5864</v>
      </c>
      <c r="S1004" s="387"/>
      <c r="T1004" s="387" t="s">
        <v>3108</v>
      </c>
      <c r="U1004" s="387" t="s">
        <v>152</v>
      </c>
      <c r="V1004" s="387" t="s">
        <v>23</v>
      </c>
    </row>
    <row r="1005" spans="2:22">
      <c r="B1005" s="389">
        <v>46221</v>
      </c>
      <c r="C1005" s="389">
        <v>46221</v>
      </c>
      <c r="D1005" s="387" t="s">
        <v>5865</v>
      </c>
      <c r="E1005" s="388" t="s">
        <v>5866</v>
      </c>
      <c r="F1005" s="387" t="s">
        <v>87</v>
      </c>
      <c r="G1005" s="387" t="s">
        <v>2639</v>
      </c>
      <c r="H1005" s="393">
        <v>25</v>
      </c>
      <c r="I1005" s="387">
        <v>8.8000000000000007</v>
      </c>
      <c r="J1005" s="387">
        <v>8.8000000000000007</v>
      </c>
      <c r="K1005" s="387">
        <v>4</v>
      </c>
      <c r="L1005" s="387">
        <v>0</v>
      </c>
      <c r="M1005" s="387" t="s">
        <v>148</v>
      </c>
      <c r="N1005" s="387" t="s">
        <v>149</v>
      </c>
      <c r="O1005" s="387" t="s">
        <v>150</v>
      </c>
      <c r="P1005" s="387" t="s">
        <v>151</v>
      </c>
      <c r="Q1005" s="387"/>
      <c r="R1005" s="387" t="s">
        <v>5866</v>
      </c>
      <c r="S1005" s="387"/>
      <c r="T1005" s="387" t="s">
        <v>3108</v>
      </c>
      <c r="U1005" s="387" t="s">
        <v>152</v>
      </c>
      <c r="V1005" s="387" t="s">
        <v>23</v>
      </c>
    </row>
    <row r="1006" spans="2:22">
      <c r="B1006" s="389">
        <v>46221</v>
      </c>
      <c r="C1006" s="389">
        <v>46221</v>
      </c>
      <c r="D1006" s="387" t="s">
        <v>5867</v>
      </c>
      <c r="E1006" s="388" t="s">
        <v>5868</v>
      </c>
      <c r="F1006" s="387" t="s">
        <v>87</v>
      </c>
      <c r="G1006" s="387" t="s">
        <v>2552</v>
      </c>
      <c r="H1006" s="393">
        <v>40</v>
      </c>
      <c r="I1006" s="387">
        <v>32.799999999999997</v>
      </c>
      <c r="J1006" s="387">
        <v>32.799999999999997</v>
      </c>
      <c r="K1006" s="387">
        <v>5</v>
      </c>
      <c r="L1006" s="387">
        <v>0</v>
      </c>
      <c r="M1006" s="387" t="s">
        <v>148</v>
      </c>
      <c r="N1006" s="387" t="s">
        <v>149</v>
      </c>
      <c r="O1006" s="387" t="s">
        <v>150</v>
      </c>
      <c r="P1006" s="387" t="s">
        <v>151</v>
      </c>
      <c r="Q1006" s="387"/>
      <c r="R1006" s="387" t="s">
        <v>5868</v>
      </c>
      <c r="S1006" s="387"/>
      <c r="T1006" s="387" t="s">
        <v>3108</v>
      </c>
      <c r="U1006" s="387" t="s">
        <v>152</v>
      </c>
      <c r="V1006" s="387" t="s">
        <v>23</v>
      </c>
    </row>
    <row r="1007" spans="2:22">
      <c r="B1007" s="389">
        <v>46221</v>
      </c>
      <c r="C1007" s="389">
        <v>46221</v>
      </c>
      <c r="D1007" s="387" t="s">
        <v>5869</v>
      </c>
      <c r="E1007" s="388" t="s">
        <v>5870</v>
      </c>
      <c r="F1007" s="387" t="s">
        <v>87</v>
      </c>
      <c r="G1007" s="387" t="s">
        <v>3866</v>
      </c>
      <c r="H1007" s="393">
        <v>40</v>
      </c>
      <c r="I1007" s="387">
        <v>17.3</v>
      </c>
      <c r="J1007" s="387">
        <v>17.3</v>
      </c>
      <c r="K1007" s="387">
        <v>5</v>
      </c>
      <c r="L1007" s="387">
        <v>0</v>
      </c>
      <c r="M1007" s="387" t="s">
        <v>148</v>
      </c>
      <c r="N1007" s="387" t="s">
        <v>149</v>
      </c>
      <c r="O1007" s="387" t="s">
        <v>150</v>
      </c>
      <c r="P1007" s="387" t="s">
        <v>151</v>
      </c>
      <c r="Q1007" s="387"/>
      <c r="R1007" s="387" t="s">
        <v>5870</v>
      </c>
      <c r="S1007" s="387"/>
      <c r="T1007" s="387" t="s">
        <v>3108</v>
      </c>
      <c r="U1007" s="387" t="s">
        <v>152</v>
      </c>
      <c r="V1007" s="387" t="s">
        <v>23</v>
      </c>
    </row>
    <row r="1008" spans="2:22">
      <c r="B1008" s="389">
        <v>46221</v>
      </c>
      <c r="C1008" s="389">
        <v>46221</v>
      </c>
      <c r="D1008" s="387" t="s">
        <v>5871</v>
      </c>
      <c r="E1008" s="388" t="s">
        <v>5872</v>
      </c>
      <c r="F1008" s="387" t="s">
        <v>87</v>
      </c>
      <c r="G1008" s="387" t="s">
        <v>2632</v>
      </c>
      <c r="H1008" s="393">
        <v>30</v>
      </c>
      <c r="I1008" s="387">
        <v>23.2</v>
      </c>
      <c r="J1008" s="387">
        <v>23.2</v>
      </c>
      <c r="K1008" s="387">
        <v>4</v>
      </c>
      <c r="L1008" s="387">
        <v>0</v>
      </c>
      <c r="M1008" s="387" t="s">
        <v>148</v>
      </c>
      <c r="N1008" s="387" t="s">
        <v>149</v>
      </c>
      <c r="O1008" s="387" t="s">
        <v>150</v>
      </c>
      <c r="P1008" s="387" t="s">
        <v>151</v>
      </c>
      <c r="Q1008" s="387"/>
      <c r="R1008" s="387" t="s">
        <v>5872</v>
      </c>
      <c r="S1008" s="387"/>
      <c r="T1008" s="387" t="s">
        <v>3108</v>
      </c>
      <c r="U1008" s="387" t="s">
        <v>152</v>
      </c>
      <c r="V1008" s="387" t="s">
        <v>23</v>
      </c>
    </row>
    <row r="1009" spans="2:22">
      <c r="B1009" s="389">
        <v>46221</v>
      </c>
      <c r="C1009" s="389">
        <v>46221</v>
      </c>
      <c r="D1009" s="387" t="s">
        <v>5873</v>
      </c>
      <c r="E1009" s="388" t="s">
        <v>5874</v>
      </c>
      <c r="F1009" s="387" t="s">
        <v>87</v>
      </c>
      <c r="G1009" s="387" t="s">
        <v>2634</v>
      </c>
      <c r="H1009" s="393">
        <v>32</v>
      </c>
      <c r="I1009" s="387">
        <v>17.600000000000001</v>
      </c>
      <c r="J1009" s="387">
        <v>17.600000000000001</v>
      </c>
      <c r="K1009" s="387">
        <v>4</v>
      </c>
      <c r="L1009" s="387">
        <v>0</v>
      </c>
      <c r="M1009" s="387" t="s">
        <v>148</v>
      </c>
      <c r="N1009" s="387" t="s">
        <v>149</v>
      </c>
      <c r="O1009" s="387" t="s">
        <v>150</v>
      </c>
      <c r="P1009" s="387" t="s">
        <v>151</v>
      </c>
      <c r="Q1009" s="387"/>
      <c r="R1009" s="387" t="s">
        <v>5874</v>
      </c>
      <c r="S1009" s="387"/>
      <c r="T1009" s="387" t="s">
        <v>3108</v>
      </c>
      <c r="U1009" s="387" t="s">
        <v>152</v>
      </c>
      <c r="V1009" s="387" t="s">
        <v>23</v>
      </c>
    </row>
    <row r="1010" spans="2:22">
      <c r="B1010" s="389">
        <v>46221</v>
      </c>
      <c r="C1010" s="389">
        <v>46221</v>
      </c>
      <c r="D1010" s="387" t="s">
        <v>5875</v>
      </c>
      <c r="E1010" s="388" t="s">
        <v>5876</v>
      </c>
      <c r="F1010" s="387" t="s">
        <v>87</v>
      </c>
      <c r="G1010" s="387" t="s">
        <v>2637</v>
      </c>
      <c r="H1010" s="393">
        <v>40</v>
      </c>
      <c r="I1010" s="387">
        <v>23.8</v>
      </c>
      <c r="J1010" s="387">
        <v>23.8</v>
      </c>
      <c r="K1010" s="387">
        <v>7</v>
      </c>
      <c r="L1010" s="387">
        <v>0</v>
      </c>
      <c r="M1010" s="387" t="s">
        <v>148</v>
      </c>
      <c r="N1010" s="387" t="s">
        <v>149</v>
      </c>
      <c r="O1010" s="387" t="s">
        <v>150</v>
      </c>
      <c r="P1010" s="387" t="s">
        <v>151</v>
      </c>
      <c r="Q1010" s="387"/>
      <c r="R1010" s="387" t="s">
        <v>5876</v>
      </c>
      <c r="S1010" s="387"/>
      <c r="T1010" s="387" t="s">
        <v>3108</v>
      </c>
      <c r="U1010" s="387" t="s">
        <v>152</v>
      </c>
      <c r="V1010" s="387" t="s">
        <v>23</v>
      </c>
    </row>
    <row r="1011" spans="2:22">
      <c r="B1011" s="389">
        <v>46221</v>
      </c>
      <c r="C1011" s="389">
        <v>46221</v>
      </c>
      <c r="D1011" s="387" t="s">
        <v>5877</v>
      </c>
      <c r="E1011" s="388" t="s">
        <v>5878</v>
      </c>
      <c r="F1011" s="387" t="s">
        <v>87</v>
      </c>
      <c r="G1011" s="387" t="s">
        <v>2552</v>
      </c>
      <c r="H1011" s="393">
        <v>40</v>
      </c>
      <c r="I1011" s="387">
        <v>27.4</v>
      </c>
      <c r="J1011" s="387">
        <v>27.4</v>
      </c>
      <c r="K1011" s="387">
        <v>5</v>
      </c>
      <c r="L1011" s="387">
        <v>0</v>
      </c>
      <c r="M1011" s="387" t="s">
        <v>148</v>
      </c>
      <c r="N1011" s="387" t="s">
        <v>149</v>
      </c>
      <c r="O1011" s="387" t="s">
        <v>150</v>
      </c>
      <c r="P1011" s="387" t="s">
        <v>151</v>
      </c>
      <c r="Q1011" s="387"/>
      <c r="R1011" s="387" t="s">
        <v>5878</v>
      </c>
      <c r="S1011" s="387"/>
      <c r="T1011" s="387" t="s">
        <v>3108</v>
      </c>
      <c r="U1011" s="387" t="s">
        <v>152</v>
      </c>
      <c r="V1011" s="387" t="s">
        <v>23</v>
      </c>
    </row>
    <row r="1012" spans="2:22">
      <c r="B1012" s="389">
        <v>46221</v>
      </c>
      <c r="C1012" s="389">
        <v>46221</v>
      </c>
      <c r="D1012" s="387" t="s">
        <v>5879</v>
      </c>
      <c r="E1012" s="388" t="s">
        <v>5880</v>
      </c>
      <c r="F1012" s="387" t="s">
        <v>87</v>
      </c>
      <c r="G1012" s="387" t="s">
        <v>2552</v>
      </c>
      <c r="H1012" s="393">
        <v>40</v>
      </c>
      <c r="I1012" s="387">
        <v>32.4</v>
      </c>
      <c r="J1012" s="387">
        <v>32.4</v>
      </c>
      <c r="K1012" s="387">
        <v>5</v>
      </c>
      <c r="L1012" s="387">
        <v>0</v>
      </c>
      <c r="M1012" s="387" t="s">
        <v>148</v>
      </c>
      <c r="N1012" s="387" t="s">
        <v>149</v>
      </c>
      <c r="O1012" s="387" t="s">
        <v>150</v>
      </c>
      <c r="P1012" s="387" t="s">
        <v>151</v>
      </c>
      <c r="Q1012" s="387"/>
      <c r="R1012" s="387" t="s">
        <v>5880</v>
      </c>
      <c r="S1012" s="387"/>
      <c r="T1012" s="387" t="s">
        <v>3108</v>
      </c>
      <c r="U1012" s="387" t="s">
        <v>152</v>
      </c>
      <c r="V1012" s="387" t="s">
        <v>23</v>
      </c>
    </row>
    <row r="1013" spans="2:22">
      <c r="B1013" s="389">
        <v>46221</v>
      </c>
      <c r="C1013" s="389">
        <v>46221</v>
      </c>
      <c r="D1013" s="387" t="s">
        <v>5881</v>
      </c>
      <c r="E1013" s="388" t="s">
        <v>5882</v>
      </c>
      <c r="F1013" s="387" t="s">
        <v>87</v>
      </c>
      <c r="G1013" s="387" t="s">
        <v>5706</v>
      </c>
      <c r="H1013" s="393">
        <v>50</v>
      </c>
      <c r="I1013" s="387">
        <v>21.2</v>
      </c>
      <c r="J1013" s="387">
        <v>21.2</v>
      </c>
      <c r="K1013" s="387">
        <v>5</v>
      </c>
      <c r="L1013" s="387">
        <v>0</v>
      </c>
      <c r="M1013" s="387" t="s">
        <v>148</v>
      </c>
      <c r="N1013" s="387" t="s">
        <v>149</v>
      </c>
      <c r="O1013" s="387" t="s">
        <v>150</v>
      </c>
      <c r="P1013" s="387" t="s">
        <v>151</v>
      </c>
      <c r="Q1013" s="387"/>
      <c r="R1013" s="387" t="s">
        <v>5882</v>
      </c>
      <c r="S1013" s="387"/>
      <c r="T1013" s="387" t="s">
        <v>3108</v>
      </c>
      <c r="U1013" s="387" t="s">
        <v>152</v>
      </c>
      <c r="V1013" s="387" t="s">
        <v>23</v>
      </c>
    </row>
    <row r="1014" spans="2:22">
      <c r="B1014" s="389">
        <v>46221</v>
      </c>
      <c r="C1014" s="389">
        <v>46221</v>
      </c>
      <c r="D1014" s="387" t="s">
        <v>5883</v>
      </c>
      <c r="E1014" s="388" t="s">
        <v>5884</v>
      </c>
      <c r="F1014" s="387" t="s">
        <v>87</v>
      </c>
      <c r="G1014" s="387" t="s">
        <v>5706</v>
      </c>
      <c r="H1014" s="393">
        <v>50</v>
      </c>
      <c r="I1014" s="387">
        <v>30</v>
      </c>
      <c r="J1014" s="387">
        <v>30</v>
      </c>
      <c r="K1014" s="387">
        <v>5</v>
      </c>
      <c r="L1014" s="387">
        <v>0</v>
      </c>
      <c r="M1014" s="387" t="s">
        <v>148</v>
      </c>
      <c r="N1014" s="387" t="s">
        <v>149</v>
      </c>
      <c r="O1014" s="387" t="s">
        <v>150</v>
      </c>
      <c r="P1014" s="387" t="s">
        <v>151</v>
      </c>
      <c r="Q1014" s="387"/>
      <c r="R1014" s="387" t="s">
        <v>5884</v>
      </c>
      <c r="S1014" s="387"/>
      <c r="T1014" s="387" t="s">
        <v>3108</v>
      </c>
      <c r="U1014" s="387" t="s">
        <v>152</v>
      </c>
      <c r="V1014" s="387" t="s">
        <v>23</v>
      </c>
    </row>
    <row r="1015" spans="2:22">
      <c r="B1015" s="389">
        <v>46221</v>
      </c>
      <c r="C1015" s="389">
        <v>46221</v>
      </c>
      <c r="D1015" s="387" t="s">
        <v>5885</v>
      </c>
      <c r="E1015" s="388" t="s">
        <v>5886</v>
      </c>
      <c r="F1015" s="387" t="s">
        <v>87</v>
      </c>
      <c r="G1015" s="387" t="s">
        <v>2485</v>
      </c>
      <c r="H1015" s="393">
        <v>30</v>
      </c>
      <c r="I1015" s="387">
        <v>28.8</v>
      </c>
      <c r="J1015" s="387">
        <v>28.8</v>
      </c>
      <c r="K1015" s="387">
        <v>4</v>
      </c>
      <c r="L1015" s="387">
        <v>0</v>
      </c>
      <c r="M1015" s="387" t="s">
        <v>148</v>
      </c>
      <c r="N1015" s="387" t="s">
        <v>149</v>
      </c>
      <c r="O1015" s="387" t="s">
        <v>150</v>
      </c>
      <c r="P1015" s="387" t="s">
        <v>151</v>
      </c>
      <c r="Q1015" s="387"/>
      <c r="R1015" s="387" t="s">
        <v>5886</v>
      </c>
      <c r="S1015" s="387"/>
      <c r="T1015" s="387" t="s">
        <v>3108</v>
      </c>
      <c r="U1015" s="387" t="s">
        <v>152</v>
      </c>
      <c r="V1015" s="387" t="s">
        <v>23</v>
      </c>
    </row>
    <row r="1016" spans="2:22">
      <c r="B1016" s="389">
        <v>46221</v>
      </c>
      <c r="C1016" s="389">
        <v>46221</v>
      </c>
      <c r="D1016" s="387" t="s">
        <v>5887</v>
      </c>
      <c r="E1016" s="388" t="s">
        <v>5888</v>
      </c>
      <c r="F1016" s="387" t="s">
        <v>87</v>
      </c>
      <c r="G1016" s="387" t="s">
        <v>2637</v>
      </c>
      <c r="H1016" s="393">
        <v>40</v>
      </c>
      <c r="I1016" s="387">
        <v>33.4</v>
      </c>
      <c r="J1016" s="387">
        <v>33.4</v>
      </c>
      <c r="K1016" s="387">
        <v>7</v>
      </c>
      <c r="L1016" s="387">
        <v>0</v>
      </c>
      <c r="M1016" s="387" t="s">
        <v>148</v>
      </c>
      <c r="N1016" s="387" t="s">
        <v>149</v>
      </c>
      <c r="O1016" s="387" t="s">
        <v>150</v>
      </c>
      <c r="P1016" s="387" t="s">
        <v>151</v>
      </c>
      <c r="Q1016" s="387"/>
      <c r="R1016" s="387" t="s">
        <v>5888</v>
      </c>
      <c r="S1016" s="387"/>
      <c r="T1016" s="387" t="s">
        <v>3108</v>
      </c>
      <c r="U1016" s="387" t="s">
        <v>152</v>
      </c>
      <c r="V1016" s="387" t="s">
        <v>23</v>
      </c>
    </row>
    <row r="1017" spans="2:22">
      <c r="B1017" s="389">
        <v>46222</v>
      </c>
      <c r="C1017" s="389">
        <v>46222</v>
      </c>
      <c r="D1017" s="387" t="s">
        <v>5889</v>
      </c>
      <c r="E1017" s="388" t="s">
        <v>5890</v>
      </c>
      <c r="F1017" s="387" t="s">
        <v>87</v>
      </c>
      <c r="G1017" s="387" t="s">
        <v>2632</v>
      </c>
      <c r="H1017" s="393">
        <v>30</v>
      </c>
      <c r="I1017" s="387">
        <v>35.4</v>
      </c>
      <c r="J1017" s="387">
        <v>35.4</v>
      </c>
      <c r="K1017" s="387">
        <v>4</v>
      </c>
      <c r="L1017" s="387">
        <v>0</v>
      </c>
      <c r="M1017" s="387" t="s">
        <v>148</v>
      </c>
      <c r="N1017" s="387" t="s">
        <v>149</v>
      </c>
      <c r="O1017" s="387" t="s">
        <v>150</v>
      </c>
      <c r="P1017" s="387" t="s">
        <v>151</v>
      </c>
      <c r="Q1017" s="387"/>
      <c r="R1017" s="387" t="s">
        <v>5890</v>
      </c>
      <c r="S1017" s="387"/>
      <c r="T1017" s="387" t="s">
        <v>3121</v>
      </c>
      <c r="U1017" s="387" t="s">
        <v>152</v>
      </c>
      <c r="V1017" s="387" t="s">
        <v>23</v>
      </c>
    </row>
    <row r="1018" spans="2:22">
      <c r="B1018" s="389">
        <v>46222</v>
      </c>
      <c r="C1018" s="389">
        <v>46222</v>
      </c>
      <c r="D1018" s="387" t="s">
        <v>5891</v>
      </c>
      <c r="E1018" s="388" t="s">
        <v>5892</v>
      </c>
      <c r="F1018" s="387" t="s">
        <v>87</v>
      </c>
      <c r="G1018" s="387" t="s">
        <v>5706</v>
      </c>
      <c r="H1018" s="393">
        <v>50</v>
      </c>
      <c r="I1018" s="387">
        <v>46.8</v>
      </c>
      <c r="J1018" s="387">
        <v>46.8</v>
      </c>
      <c r="K1018" s="387">
        <v>5</v>
      </c>
      <c r="L1018" s="387">
        <v>0</v>
      </c>
      <c r="M1018" s="387" t="s">
        <v>148</v>
      </c>
      <c r="N1018" s="387" t="s">
        <v>149</v>
      </c>
      <c r="O1018" s="387" t="s">
        <v>150</v>
      </c>
      <c r="P1018" s="387" t="s">
        <v>151</v>
      </c>
      <c r="Q1018" s="387"/>
      <c r="R1018" s="387" t="s">
        <v>5892</v>
      </c>
      <c r="S1018" s="387"/>
      <c r="T1018" s="387" t="s">
        <v>3121</v>
      </c>
      <c r="U1018" s="387" t="s">
        <v>152</v>
      </c>
      <c r="V1018" s="387" t="s">
        <v>23</v>
      </c>
    </row>
    <row r="1019" spans="2:22">
      <c r="B1019" s="389">
        <v>46222</v>
      </c>
      <c r="C1019" s="389">
        <v>46222</v>
      </c>
      <c r="D1019" s="387" t="s">
        <v>5893</v>
      </c>
      <c r="E1019" s="388" t="s">
        <v>5894</v>
      </c>
      <c r="F1019" s="387" t="s">
        <v>87</v>
      </c>
      <c r="G1019" s="387" t="s">
        <v>2634</v>
      </c>
      <c r="H1019" s="393">
        <v>32</v>
      </c>
      <c r="I1019" s="387">
        <v>37.799999999999997</v>
      </c>
      <c r="J1019" s="387">
        <v>37.799999999999997</v>
      </c>
      <c r="K1019" s="387">
        <v>4</v>
      </c>
      <c r="L1019" s="387">
        <v>0</v>
      </c>
      <c r="M1019" s="387" t="s">
        <v>148</v>
      </c>
      <c r="N1019" s="387" t="s">
        <v>149</v>
      </c>
      <c r="O1019" s="387" t="s">
        <v>150</v>
      </c>
      <c r="P1019" s="387" t="s">
        <v>151</v>
      </c>
      <c r="Q1019" s="387"/>
      <c r="R1019" s="387" t="s">
        <v>5894</v>
      </c>
      <c r="S1019" s="387"/>
      <c r="T1019" s="387" t="s">
        <v>3121</v>
      </c>
      <c r="U1019" s="387" t="s">
        <v>152</v>
      </c>
      <c r="V1019" s="387" t="s">
        <v>23</v>
      </c>
    </row>
    <row r="1020" spans="2:22">
      <c r="B1020" s="389">
        <v>46222</v>
      </c>
      <c r="C1020" s="389">
        <v>46222</v>
      </c>
      <c r="D1020" s="387" t="s">
        <v>5895</v>
      </c>
      <c r="E1020" s="388" t="s">
        <v>5896</v>
      </c>
      <c r="F1020" s="387" t="s">
        <v>87</v>
      </c>
      <c r="G1020" s="387" t="s">
        <v>2634</v>
      </c>
      <c r="H1020" s="393">
        <v>32</v>
      </c>
      <c r="I1020" s="387">
        <v>26.4</v>
      </c>
      <c r="J1020" s="387">
        <v>26.4</v>
      </c>
      <c r="K1020" s="387">
        <v>4</v>
      </c>
      <c r="L1020" s="387">
        <v>0</v>
      </c>
      <c r="M1020" s="387" t="s">
        <v>148</v>
      </c>
      <c r="N1020" s="387" t="s">
        <v>149</v>
      </c>
      <c r="O1020" s="387" t="s">
        <v>150</v>
      </c>
      <c r="P1020" s="387" t="s">
        <v>151</v>
      </c>
      <c r="Q1020" s="387"/>
      <c r="R1020" s="387" t="s">
        <v>5896</v>
      </c>
      <c r="S1020" s="387"/>
      <c r="T1020" s="387" t="s">
        <v>3121</v>
      </c>
      <c r="U1020" s="387" t="s">
        <v>152</v>
      </c>
      <c r="V1020" s="387" t="s">
        <v>23</v>
      </c>
    </row>
    <row r="1021" spans="2:22">
      <c r="B1021" s="389">
        <v>46222</v>
      </c>
      <c r="C1021" s="389">
        <v>46222</v>
      </c>
      <c r="D1021" s="387" t="s">
        <v>5897</v>
      </c>
      <c r="E1021" s="388" t="s">
        <v>5898</v>
      </c>
      <c r="F1021" s="387" t="s">
        <v>87</v>
      </c>
      <c r="G1021" s="387" t="s">
        <v>2552</v>
      </c>
      <c r="H1021" s="393">
        <v>40</v>
      </c>
      <c r="I1021" s="387">
        <v>40.799999999999997</v>
      </c>
      <c r="J1021" s="387">
        <v>40.799999999999997</v>
      </c>
      <c r="K1021" s="387">
        <v>5</v>
      </c>
      <c r="L1021" s="387">
        <v>0</v>
      </c>
      <c r="M1021" s="387" t="s">
        <v>148</v>
      </c>
      <c r="N1021" s="387" t="s">
        <v>149</v>
      </c>
      <c r="O1021" s="387" t="s">
        <v>150</v>
      </c>
      <c r="P1021" s="387" t="s">
        <v>151</v>
      </c>
      <c r="Q1021" s="387"/>
      <c r="R1021" s="387" t="s">
        <v>5898</v>
      </c>
      <c r="S1021" s="387"/>
      <c r="T1021" s="387" t="s">
        <v>3121</v>
      </c>
      <c r="U1021" s="387" t="s">
        <v>152</v>
      </c>
      <c r="V1021" s="387" t="s">
        <v>23</v>
      </c>
    </row>
    <row r="1022" spans="2:22">
      <c r="B1022" s="389">
        <v>46222</v>
      </c>
      <c r="C1022" s="389">
        <v>46222</v>
      </c>
      <c r="D1022" s="387" t="s">
        <v>5899</v>
      </c>
      <c r="E1022" s="388" t="s">
        <v>5900</v>
      </c>
      <c r="F1022" s="387" t="s">
        <v>87</v>
      </c>
      <c r="G1022" s="387" t="s">
        <v>2634</v>
      </c>
      <c r="H1022" s="393">
        <v>32</v>
      </c>
      <c r="I1022" s="387">
        <v>23.8</v>
      </c>
      <c r="J1022" s="387">
        <v>23.8</v>
      </c>
      <c r="K1022" s="387">
        <v>4</v>
      </c>
      <c r="L1022" s="387">
        <v>0</v>
      </c>
      <c r="M1022" s="387" t="s">
        <v>148</v>
      </c>
      <c r="N1022" s="387" t="s">
        <v>149</v>
      </c>
      <c r="O1022" s="387" t="s">
        <v>150</v>
      </c>
      <c r="P1022" s="387" t="s">
        <v>151</v>
      </c>
      <c r="Q1022" s="387"/>
      <c r="R1022" s="387" t="s">
        <v>5900</v>
      </c>
      <c r="S1022" s="387"/>
      <c r="T1022" s="387" t="s">
        <v>3121</v>
      </c>
      <c r="U1022" s="387" t="s">
        <v>152</v>
      </c>
      <c r="V1022" s="387" t="s">
        <v>23</v>
      </c>
    </row>
    <row r="1023" spans="2:22">
      <c r="B1023" s="389">
        <v>46222</v>
      </c>
      <c r="C1023" s="389">
        <v>46222</v>
      </c>
      <c r="D1023" s="387" t="s">
        <v>5901</v>
      </c>
      <c r="E1023" s="388" t="s">
        <v>5902</v>
      </c>
      <c r="F1023" s="387" t="s">
        <v>87</v>
      </c>
      <c r="G1023" s="387" t="s">
        <v>3866</v>
      </c>
      <c r="H1023" s="393">
        <v>40</v>
      </c>
      <c r="I1023" s="387">
        <v>28.8</v>
      </c>
      <c r="J1023" s="387">
        <v>28.8</v>
      </c>
      <c r="K1023" s="387">
        <v>5</v>
      </c>
      <c r="L1023" s="387">
        <v>0</v>
      </c>
      <c r="M1023" s="387" t="s">
        <v>148</v>
      </c>
      <c r="N1023" s="387" t="s">
        <v>149</v>
      </c>
      <c r="O1023" s="387" t="s">
        <v>150</v>
      </c>
      <c r="P1023" s="387" t="s">
        <v>151</v>
      </c>
      <c r="Q1023" s="387"/>
      <c r="R1023" s="387" t="s">
        <v>5902</v>
      </c>
      <c r="S1023" s="387"/>
      <c r="T1023" s="387" t="s">
        <v>3121</v>
      </c>
      <c r="U1023" s="387" t="s">
        <v>152</v>
      </c>
      <c r="V1023" s="387" t="s">
        <v>23</v>
      </c>
    </row>
    <row r="1024" spans="2:22">
      <c r="B1024" s="389">
        <v>46222</v>
      </c>
      <c r="C1024" s="389">
        <v>46222</v>
      </c>
      <c r="D1024" s="387" t="s">
        <v>5903</v>
      </c>
      <c r="E1024" s="388" t="s">
        <v>5904</v>
      </c>
      <c r="F1024" s="387" t="s">
        <v>87</v>
      </c>
      <c r="G1024" s="387" t="s">
        <v>5706</v>
      </c>
      <c r="H1024" s="393">
        <v>50</v>
      </c>
      <c r="I1024" s="387">
        <v>20.2</v>
      </c>
      <c r="J1024" s="387">
        <v>20.2</v>
      </c>
      <c r="K1024" s="387">
        <v>5</v>
      </c>
      <c r="L1024" s="387">
        <v>0</v>
      </c>
      <c r="M1024" s="387" t="s">
        <v>148</v>
      </c>
      <c r="N1024" s="387" t="s">
        <v>149</v>
      </c>
      <c r="O1024" s="387" t="s">
        <v>150</v>
      </c>
      <c r="P1024" s="387" t="s">
        <v>151</v>
      </c>
      <c r="Q1024" s="387"/>
      <c r="R1024" s="387" t="s">
        <v>5904</v>
      </c>
      <c r="S1024" s="387"/>
      <c r="T1024" s="387" t="s">
        <v>3121</v>
      </c>
      <c r="U1024" s="387" t="s">
        <v>152</v>
      </c>
      <c r="V1024" s="387" t="s">
        <v>23</v>
      </c>
    </row>
    <row r="1025" spans="2:22">
      <c r="B1025" s="389">
        <v>46222</v>
      </c>
      <c r="C1025" s="389">
        <v>46222</v>
      </c>
      <c r="D1025" s="387" t="s">
        <v>5905</v>
      </c>
      <c r="E1025" s="388" t="s">
        <v>5906</v>
      </c>
      <c r="F1025" s="387" t="s">
        <v>87</v>
      </c>
      <c r="G1025" s="387" t="s">
        <v>2552</v>
      </c>
      <c r="H1025" s="393">
        <v>40</v>
      </c>
      <c r="I1025" s="387">
        <v>44.7</v>
      </c>
      <c r="J1025" s="387">
        <v>44.7</v>
      </c>
      <c r="K1025" s="387">
        <v>5</v>
      </c>
      <c r="L1025" s="387">
        <v>0</v>
      </c>
      <c r="M1025" s="387" t="s">
        <v>148</v>
      </c>
      <c r="N1025" s="387" t="s">
        <v>149</v>
      </c>
      <c r="O1025" s="387" t="s">
        <v>150</v>
      </c>
      <c r="P1025" s="387" t="s">
        <v>151</v>
      </c>
      <c r="Q1025" s="387"/>
      <c r="R1025" s="387" t="s">
        <v>5906</v>
      </c>
      <c r="S1025" s="387"/>
      <c r="T1025" s="387" t="s">
        <v>3121</v>
      </c>
      <c r="U1025" s="387" t="s">
        <v>152</v>
      </c>
      <c r="V1025" s="387" t="s">
        <v>23</v>
      </c>
    </row>
    <row r="1026" spans="2:22">
      <c r="B1026" s="389">
        <v>46222</v>
      </c>
      <c r="C1026" s="389">
        <v>46222</v>
      </c>
      <c r="D1026" s="387" t="s">
        <v>5907</v>
      </c>
      <c r="E1026" s="388" t="s">
        <v>5908</v>
      </c>
      <c r="F1026" s="387" t="s">
        <v>87</v>
      </c>
      <c r="G1026" s="387" t="s">
        <v>2552</v>
      </c>
      <c r="H1026" s="393">
        <v>40</v>
      </c>
      <c r="I1026" s="387">
        <v>22.6</v>
      </c>
      <c r="J1026" s="387">
        <v>22.6</v>
      </c>
      <c r="K1026" s="387">
        <v>5</v>
      </c>
      <c r="L1026" s="387">
        <v>0</v>
      </c>
      <c r="M1026" s="387" t="s">
        <v>148</v>
      </c>
      <c r="N1026" s="387" t="s">
        <v>149</v>
      </c>
      <c r="O1026" s="387" t="s">
        <v>150</v>
      </c>
      <c r="P1026" s="387" t="s">
        <v>151</v>
      </c>
      <c r="Q1026" s="387"/>
      <c r="R1026" s="387" t="s">
        <v>5908</v>
      </c>
      <c r="S1026" s="387"/>
      <c r="T1026" s="387" t="s">
        <v>3121</v>
      </c>
      <c r="U1026" s="387" t="s">
        <v>152</v>
      </c>
      <c r="V1026" s="387" t="s">
        <v>23</v>
      </c>
    </row>
    <row r="1027" spans="2:22">
      <c r="B1027" s="389">
        <v>46222</v>
      </c>
      <c r="C1027" s="389">
        <v>46222</v>
      </c>
      <c r="D1027" s="387" t="s">
        <v>5909</v>
      </c>
      <c r="E1027" s="388" t="s">
        <v>5910</v>
      </c>
      <c r="F1027" s="387" t="s">
        <v>87</v>
      </c>
      <c r="G1027" s="387" t="s">
        <v>2552</v>
      </c>
      <c r="H1027" s="393">
        <v>40</v>
      </c>
      <c r="I1027" s="387">
        <v>31.8</v>
      </c>
      <c r="J1027" s="387">
        <v>31.8</v>
      </c>
      <c r="K1027" s="387">
        <v>5</v>
      </c>
      <c r="L1027" s="387">
        <v>0</v>
      </c>
      <c r="M1027" s="387" t="s">
        <v>148</v>
      </c>
      <c r="N1027" s="387" t="s">
        <v>149</v>
      </c>
      <c r="O1027" s="387" t="s">
        <v>150</v>
      </c>
      <c r="P1027" s="387" t="s">
        <v>151</v>
      </c>
      <c r="Q1027" s="387"/>
      <c r="R1027" s="387" t="s">
        <v>5910</v>
      </c>
      <c r="S1027" s="387"/>
      <c r="T1027" s="387" t="s">
        <v>3121</v>
      </c>
      <c r="U1027" s="387" t="s">
        <v>152</v>
      </c>
      <c r="V1027" s="387" t="s">
        <v>23</v>
      </c>
    </row>
    <row r="1028" spans="2:22">
      <c r="B1028" s="389">
        <v>46222</v>
      </c>
      <c r="C1028" s="389">
        <v>46222</v>
      </c>
      <c r="D1028" s="387" t="s">
        <v>5911</v>
      </c>
      <c r="E1028" s="388" t="s">
        <v>5912</v>
      </c>
      <c r="F1028" s="387" t="s">
        <v>87</v>
      </c>
      <c r="G1028" s="387" t="s">
        <v>2552</v>
      </c>
      <c r="H1028" s="393">
        <v>40</v>
      </c>
      <c r="I1028" s="387">
        <v>34.299999999999997</v>
      </c>
      <c r="J1028" s="387">
        <v>34.299999999999997</v>
      </c>
      <c r="K1028" s="387">
        <v>5</v>
      </c>
      <c r="L1028" s="387">
        <v>0</v>
      </c>
      <c r="M1028" s="387" t="s">
        <v>148</v>
      </c>
      <c r="N1028" s="387" t="s">
        <v>149</v>
      </c>
      <c r="O1028" s="387" t="s">
        <v>150</v>
      </c>
      <c r="P1028" s="387" t="s">
        <v>151</v>
      </c>
      <c r="Q1028" s="387"/>
      <c r="R1028" s="387" t="s">
        <v>5912</v>
      </c>
      <c r="S1028" s="387"/>
      <c r="T1028" s="387" t="s">
        <v>3121</v>
      </c>
      <c r="U1028" s="387" t="s">
        <v>152</v>
      </c>
      <c r="V1028" s="387" t="s">
        <v>23</v>
      </c>
    </row>
    <row r="1029" spans="2:22">
      <c r="B1029" s="389">
        <v>46222</v>
      </c>
      <c r="C1029" s="389">
        <v>46222</v>
      </c>
      <c r="D1029" s="387" t="s">
        <v>5913</v>
      </c>
      <c r="E1029" s="388" t="s">
        <v>5914</v>
      </c>
      <c r="F1029" s="387" t="s">
        <v>87</v>
      </c>
      <c r="G1029" s="387" t="s">
        <v>2001</v>
      </c>
      <c r="H1029" s="393">
        <v>6</v>
      </c>
      <c r="I1029" s="387">
        <v>24.8</v>
      </c>
      <c r="J1029" s="387">
        <v>24.8</v>
      </c>
      <c r="K1029" s="387">
        <v>1.5</v>
      </c>
      <c r="L1029" s="387">
        <v>0</v>
      </c>
      <c r="M1029" s="387" t="s">
        <v>148</v>
      </c>
      <c r="N1029" s="387" t="s">
        <v>149</v>
      </c>
      <c r="O1029" s="387" t="s">
        <v>150</v>
      </c>
      <c r="P1029" s="387" t="s">
        <v>151</v>
      </c>
      <c r="Q1029" s="387"/>
      <c r="R1029" s="387" t="s">
        <v>5914</v>
      </c>
      <c r="S1029" s="387"/>
      <c r="T1029" s="387" t="s">
        <v>3121</v>
      </c>
      <c r="U1029" s="387" t="s">
        <v>152</v>
      </c>
      <c r="V1029" s="387" t="s">
        <v>23</v>
      </c>
    </row>
    <row r="1030" spans="2:22">
      <c r="B1030" s="389">
        <v>46222</v>
      </c>
      <c r="C1030" s="389">
        <v>46222</v>
      </c>
      <c r="D1030" s="387" t="s">
        <v>5915</v>
      </c>
      <c r="E1030" s="388" t="s">
        <v>5916</v>
      </c>
      <c r="F1030" s="387" t="s">
        <v>87</v>
      </c>
      <c r="G1030" s="387" t="s">
        <v>2552</v>
      </c>
      <c r="H1030" s="393">
        <v>40</v>
      </c>
      <c r="I1030" s="387">
        <v>40.5</v>
      </c>
      <c r="J1030" s="387">
        <v>40.5</v>
      </c>
      <c r="K1030" s="387">
        <v>5</v>
      </c>
      <c r="L1030" s="387">
        <v>0</v>
      </c>
      <c r="M1030" s="387" t="s">
        <v>148</v>
      </c>
      <c r="N1030" s="387" t="s">
        <v>149</v>
      </c>
      <c r="O1030" s="387" t="s">
        <v>150</v>
      </c>
      <c r="P1030" s="387" t="s">
        <v>151</v>
      </c>
      <c r="Q1030" s="387"/>
      <c r="R1030" s="387" t="s">
        <v>5916</v>
      </c>
      <c r="S1030" s="387"/>
      <c r="T1030" s="387" t="s">
        <v>3121</v>
      </c>
      <c r="U1030" s="387" t="s">
        <v>152</v>
      </c>
      <c r="V1030" s="387" t="s">
        <v>23</v>
      </c>
    </row>
    <row r="1031" spans="2:22">
      <c r="B1031" s="389">
        <v>46222</v>
      </c>
      <c r="C1031" s="389">
        <v>46222</v>
      </c>
      <c r="D1031" s="387" t="s">
        <v>5917</v>
      </c>
      <c r="E1031" s="388" t="s">
        <v>5918</v>
      </c>
      <c r="F1031" s="387" t="s">
        <v>87</v>
      </c>
      <c r="G1031" s="387" t="s">
        <v>2552</v>
      </c>
      <c r="H1031" s="393">
        <v>40</v>
      </c>
      <c r="I1031" s="387">
        <v>37.799999999999997</v>
      </c>
      <c r="J1031" s="387">
        <v>37.799999999999997</v>
      </c>
      <c r="K1031" s="387">
        <v>5</v>
      </c>
      <c r="L1031" s="387">
        <v>0</v>
      </c>
      <c r="M1031" s="387" t="s">
        <v>148</v>
      </c>
      <c r="N1031" s="387" t="s">
        <v>149</v>
      </c>
      <c r="O1031" s="387" t="s">
        <v>150</v>
      </c>
      <c r="P1031" s="387" t="s">
        <v>151</v>
      </c>
      <c r="Q1031" s="387"/>
      <c r="R1031" s="387" t="s">
        <v>5918</v>
      </c>
      <c r="S1031" s="387"/>
      <c r="T1031" s="387" t="s">
        <v>3121</v>
      </c>
      <c r="U1031" s="387" t="s">
        <v>152</v>
      </c>
      <c r="V1031" s="387" t="s">
        <v>23</v>
      </c>
    </row>
    <row r="1032" spans="2:22">
      <c r="B1032" s="389">
        <v>46222</v>
      </c>
      <c r="C1032" s="389">
        <v>46222</v>
      </c>
      <c r="D1032" s="387" t="s">
        <v>5919</v>
      </c>
      <c r="E1032" s="388" t="s">
        <v>5920</v>
      </c>
      <c r="F1032" s="387" t="s">
        <v>87</v>
      </c>
      <c r="G1032" s="387" t="s">
        <v>2552</v>
      </c>
      <c r="H1032" s="393">
        <v>40</v>
      </c>
      <c r="I1032" s="387">
        <v>29.8</v>
      </c>
      <c r="J1032" s="387">
        <v>29.8</v>
      </c>
      <c r="K1032" s="387">
        <v>5</v>
      </c>
      <c r="L1032" s="387">
        <v>0</v>
      </c>
      <c r="M1032" s="387" t="s">
        <v>148</v>
      </c>
      <c r="N1032" s="387" t="s">
        <v>149</v>
      </c>
      <c r="O1032" s="387" t="s">
        <v>150</v>
      </c>
      <c r="P1032" s="387" t="s">
        <v>151</v>
      </c>
      <c r="Q1032" s="387"/>
      <c r="R1032" s="387" t="s">
        <v>5920</v>
      </c>
      <c r="S1032" s="387"/>
      <c r="T1032" s="387" t="s">
        <v>3121</v>
      </c>
      <c r="U1032" s="387" t="s">
        <v>152</v>
      </c>
      <c r="V1032" s="387" t="s">
        <v>23</v>
      </c>
    </row>
    <row r="1033" spans="2:22">
      <c r="B1033" s="389">
        <v>46222</v>
      </c>
      <c r="C1033" s="389">
        <v>46222</v>
      </c>
      <c r="D1033" s="387" t="s">
        <v>5921</v>
      </c>
      <c r="E1033" s="388" t="s">
        <v>5922</v>
      </c>
      <c r="F1033" s="387" t="s">
        <v>87</v>
      </c>
      <c r="G1033" s="387" t="s">
        <v>5706</v>
      </c>
      <c r="H1033" s="393">
        <v>50</v>
      </c>
      <c r="I1033" s="387">
        <v>42</v>
      </c>
      <c r="J1033" s="387">
        <v>42</v>
      </c>
      <c r="K1033" s="387">
        <v>5</v>
      </c>
      <c r="L1033" s="387">
        <v>0</v>
      </c>
      <c r="M1033" s="387" t="s">
        <v>148</v>
      </c>
      <c r="N1033" s="387" t="s">
        <v>149</v>
      </c>
      <c r="O1033" s="387" t="s">
        <v>150</v>
      </c>
      <c r="P1033" s="387" t="s">
        <v>151</v>
      </c>
      <c r="Q1033" s="387"/>
      <c r="R1033" s="387" t="s">
        <v>5922</v>
      </c>
      <c r="S1033" s="387"/>
      <c r="T1033" s="387" t="s">
        <v>3121</v>
      </c>
      <c r="U1033" s="387" t="s">
        <v>152</v>
      </c>
      <c r="V1033" s="387" t="s">
        <v>23</v>
      </c>
    </row>
    <row r="1034" spans="2:22">
      <c r="B1034" s="389">
        <v>46222</v>
      </c>
      <c r="C1034" s="389">
        <v>46222</v>
      </c>
      <c r="D1034" s="387" t="s">
        <v>5923</v>
      </c>
      <c r="E1034" s="388" t="s">
        <v>5924</v>
      </c>
      <c r="F1034" s="387" t="s">
        <v>87</v>
      </c>
      <c r="G1034" s="387" t="s">
        <v>2634</v>
      </c>
      <c r="H1034" s="393">
        <v>32</v>
      </c>
      <c r="I1034" s="387">
        <v>30.3</v>
      </c>
      <c r="J1034" s="387">
        <v>30.3</v>
      </c>
      <c r="K1034" s="387">
        <v>4</v>
      </c>
      <c r="L1034" s="387">
        <v>0</v>
      </c>
      <c r="M1034" s="387" t="s">
        <v>148</v>
      </c>
      <c r="N1034" s="387" t="s">
        <v>149</v>
      </c>
      <c r="O1034" s="387" t="s">
        <v>150</v>
      </c>
      <c r="P1034" s="387" t="s">
        <v>151</v>
      </c>
      <c r="Q1034" s="387"/>
      <c r="R1034" s="387" t="s">
        <v>5924</v>
      </c>
      <c r="S1034" s="387"/>
      <c r="T1034" s="387" t="s">
        <v>3121</v>
      </c>
      <c r="U1034" s="387" t="s">
        <v>152</v>
      </c>
      <c r="V1034" s="387" t="s">
        <v>23</v>
      </c>
    </row>
    <row r="1035" spans="2:22">
      <c r="B1035" s="389">
        <v>46222</v>
      </c>
      <c r="C1035" s="389">
        <v>46222</v>
      </c>
      <c r="D1035" s="387" t="s">
        <v>5925</v>
      </c>
      <c r="E1035" s="388" t="s">
        <v>5926</v>
      </c>
      <c r="F1035" s="387" t="s">
        <v>87</v>
      </c>
      <c r="G1035" s="387" t="s">
        <v>2634</v>
      </c>
      <c r="H1035" s="393">
        <v>32</v>
      </c>
      <c r="I1035" s="387">
        <v>28.2</v>
      </c>
      <c r="J1035" s="387">
        <v>28.2</v>
      </c>
      <c r="K1035" s="387">
        <v>4</v>
      </c>
      <c r="L1035" s="387">
        <v>0</v>
      </c>
      <c r="M1035" s="387" t="s">
        <v>148</v>
      </c>
      <c r="N1035" s="387" t="s">
        <v>149</v>
      </c>
      <c r="O1035" s="387" t="s">
        <v>150</v>
      </c>
      <c r="P1035" s="387" t="s">
        <v>151</v>
      </c>
      <c r="Q1035" s="387"/>
      <c r="R1035" s="387" t="s">
        <v>5926</v>
      </c>
      <c r="S1035" s="387"/>
      <c r="T1035" s="387" t="s">
        <v>3121</v>
      </c>
      <c r="U1035" s="387" t="s">
        <v>152</v>
      </c>
      <c r="V1035" s="387" t="s">
        <v>23</v>
      </c>
    </row>
    <row r="1036" spans="2:22">
      <c r="B1036" s="389">
        <v>46222</v>
      </c>
      <c r="C1036" s="389">
        <v>46222</v>
      </c>
      <c r="D1036" s="387" t="s">
        <v>5927</v>
      </c>
      <c r="E1036" s="388" t="s">
        <v>5928</v>
      </c>
      <c r="F1036" s="387" t="s">
        <v>87</v>
      </c>
      <c r="G1036" s="387" t="s">
        <v>2552</v>
      </c>
      <c r="H1036" s="393">
        <v>40</v>
      </c>
      <c r="I1036" s="387">
        <v>38.200000000000003</v>
      </c>
      <c r="J1036" s="387">
        <v>38.200000000000003</v>
      </c>
      <c r="K1036" s="387">
        <v>5</v>
      </c>
      <c r="L1036" s="387">
        <v>0</v>
      </c>
      <c r="M1036" s="387" t="s">
        <v>148</v>
      </c>
      <c r="N1036" s="387" t="s">
        <v>149</v>
      </c>
      <c r="O1036" s="387" t="s">
        <v>150</v>
      </c>
      <c r="P1036" s="387" t="s">
        <v>151</v>
      </c>
      <c r="Q1036" s="387"/>
      <c r="R1036" s="387" t="s">
        <v>5928</v>
      </c>
      <c r="S1036" s="387"/>
      <c r="T1036" s="387" t="s">
        <v>3121</v>
      </c>
      <c r="U1036" s="387" t="s">
        <v>152</v>
      </c>
      <c r="V1036" s="387" t="s">
        <v>23</v>
      </c>
    </row>
    <row r="1037" spans="2:22">
      <c r="B1037" s="389">
        <v>46222</v>
      </c>
      <c r="C1037" s="389">
        <v>46222</v>
      </c>
      <c r="D1037" s="387" t="s">
        <v>5929</v>
      </c>
      <c r="E1037" s="388" t="s">
        <v>5930</v>
      </c>
      <c r="F1037" s="387" t="s">
        <v>87</v>
      </c>
      <c r="G1037" s="387" t="s">
        <v>2552</v>
      </c>
      <c r="H1037" s="393">
        <v>40</v>
      </c>
      <c r="I1037" s="387">
        <v>38.200000000000003</v>
      </c>
      <c r="J1037" s="387">
        <v>38.200000000000003</v>
      </c>
      <c r="K1037" s="387">
        <v>5</v>
      </c>
      <c r="L1037" s="387">
        <v>0</v>
      </c>
      <c r="M1037" s="387" t="s">
        <v>148</v>
      </c>
      <c r="N1037" s="387" t="s">
        <v>149</v>
      </c>
      <c r="O1037" s="387" t="s">
        <v>150</v>
      </c>
      <c r="P1037" s="387" t="s">
        <v>151</v>
      </c>
      <c r="Q1037" s="387"/>
      <c r="R1037" s="387" t="s">
        <v>5930</v>
      </c>
      <c r="S1037" s="387"/>
      <c r="T1037" s="387" t="s">
        <v>3121</v>
      </c>
      <c r="U1037" s="387" t="s">
        <v>152</v>
      </c>
      <c r="V1037" s="387" t="s">
        <v>23</v>
      </c>
    </row>
    <row r="1038" spans="2:22">
      <c r="B1038" s="389">
        <v>46222</v>
      </c>
      <c r="C1038" s="389">
        <v>46222</v>
      </c>
      <c r="D1038" s="387" t="s">
        <v>5931</v>
      </c>
      <c r="E1038" s="388" t="s">
        <v>5932</v>
      </c>
      <c r="F1038" s="387" t="s">
        <v>87</v>
      </c>
      <c r="G1038" s="387" t="s">
        <v>2552</v>
      </c>
      <c r="H1038" s="393">
        <v>40</v>
      </c>
      <c r="I1038" s="387">
        <v>38.299999999999997</v>
      </c>
      <c r="J1038" s="387">
        <v>38.299999999999997</v>
      </c>
      <c r="K1038" s="387">
        <v>5</v>
      </c>
      <c r="L1038" s="387">
        <v>0</v>
      </c>
      <c r="M1038" s="387" t="s">
        <v>148</v>
      </c>
      <c r="N1038" s="387" t="s">
        <v>149</v>
      </c>
      <c r="O1038" s="387" t="s">
        <v>150</v>
      </c>
      <c r="P1038" s="387" t="s">
        <v>151</v>
      </c>
      <c r="Q1038" s="387"/>
      <c r="R1038" s="387" t="s">
        <v>5932</v>
      </c>
      <c r="S1038" s="387"/>
      <c r="T1038" s="387" t="s">
        <v>3121</v>
      </c>
      <c r="U1038" s="387" t="s">
        <v>152</v>
      </c>
      <c r="V1038" s="387" t="s">
        <v>23</v>
      </c>
    </row>
    <row r="1039" spans="2:22">
      <c r="B1039" s="389">
        <v>46222</v>
      </c>
      <c r="C1039" s="389">
        <v>46222</v>
      </c>
      <c r="D1039" s="387" t="s">
        <v>5933</v>
      </c>
      <c r="E1039" s="388" t="s">
        <v>5934</v>
      </c>
      <c r="F1039" s="387" t="s">
        <v>87</v>
      </c>
      <c r="G1039" s="387" t="s">
        <v>2552</v>
      </c>
      <c r="H1039" s="393">
        <v>40</v>
      </c>
      <c r="I1039" s="387">
        <v>41.8</v>
      </c>
      <c r="J1039" s="387">
        <v>41.8</v>
      </c>
      <c r="K1039" s="387">
        <v>5</v>
      </c>
      <c r="L1039" s="387">
        <v>0</v>
      </c>
      <c r="M1039" s="387" t="s">
        <v>148</v>
      </c>
      <c r="N1039" s="387" t="s">
        <v>149</v>
      </c>
      <c r="O1039" s="387" t="s">
        <v>150</v>
      </c>
      <c r="P1039" s="387" t="s">
        <v>151</v>
      </c>
      <c r="Q1039" s="387"/>
      <c r="R1039" s="387" t="s">
        <v>5934</v>
      </c>
      <c r="S1039" s="387"/>
      <c r="T1039" s="387" t="s">
        <v>3121</v>
      </c>
      <c r="U1039" s="387" t="s">
        <v>152</v>
      </c>
      <c r="V1039" s="387" t="s">
        <v>23</v>
      </c>
    </row>
    <row r="1040" spans="2:22">
      <c r="B1040" s="389">
        <v>46222</v>
      </c>
      <c r="C1040" s="389">
        <v>46222</v>
      </c>
      <c r="D1040" s="387" t="s">
        <v>5935</v>
      </c>
      <c r="E1040" s="388" t="s">
        <v>5936</v>
      </c>
      <c r="F1040" s="387" t="s">
        <v>87</v>
      </c>
      <c r="G1040" s="387" t="s">
        <v>3866</v>
      </c>
      <c r="H1040" s="393">
        <v>40</v>
      </c>
      <c r="I1040" s="387">
        <v>28.1</v>
      </c>
      <c r="J1040" s="387">
        <v>28.1</v>
      </c>
      <c r="K1040" s="387">
        <v>5</v>
      </c>
      <c r="L1040" s="387">
        <v>0</v>
      </c>
      <c r="M1040" s="387" t="s">
        <v>148</v>
      </c>
      <c r="N1040" s="387" t="s">
        <v>149</v>
      </c>
      <c r="O1040" s="387" t="s">
        <v>150</v>
      </c>
      <c r="P1040" s="387" t="s">
        <v>151</v>
      </c>
      <c r="Q1040" s="387"/>
      <c r="R1040" s="387" t="s">
        <v>5936</v>
      </c>
      <c r="S1040" s="387"/>
      <c r="T1040" s="387" t="s">
        <v>3121</v>
      </c>
      <c r="U1040" s="387" t="s">
        <v>152</v>
      </c>
      <c r="V1040" s="387" t="s">
        <v>23</v>
      </c>
    </row>
    <row r="1041" spans="2:22">
      <c r="B1041" s="389">
        <v>46223</v>
      </c>
      <c r="C1041" s="389">
        <v>46223</v>
      </c>
      <c r="D1041" s="387" t="s">
        <v>5937</v>
      </c>
      <c r="E1041" s="388" t="s">
        <v>5938</v>
      </c>
      <c r="F1041" s="387" t="s">
        <v>87</v>
      </c>
      <c r="G1041" s="387" t="s">
        <v>2552</v>
      </c>
      <c r="H1041" s="393">
        <v>40</v>
      </c>
      <c r="I1041" s="387">
        <v>36.299999999999997</v>
      </c>
      <c r="J1041" s="387">
        <v>36.299999999999997</v>
      </c>
      <c r="K1041" s="387">
        <v>5</v>
      </c>
      <c r="L1041" s="387">
        <v>0</v>
      </c>
      <c r="M1041" s="387" t="s">
        <v>148</v>
      </c>
      <c r="N1041" s="387" t="s">
        <v>149</v>
      </c>
      <c r="O1041" s="387" t="s">
        <v>150</v>
      </c>
      <c r="P1041" s="387" t="s">
        <v>151</v>
      </c>
      <c r="Q1041" s="387"/>
      <c r="R1041" s="387" t="s">
        <v>5938</v>
      </c>
      <c r="S1041" s="387"/>
      <c r="T1041" s="387" t="s">
        <v>3147</v>
      </c>
      <c r="U1041" s="387" t="s">
        <v>152</v>
      </c>
      <c r="V1041" s="387" t="s">
        <v>23</v>
      </c>
    </row>
    <row r="1042" spans="2:22">
      <c r="B1042" s="389">
        <v>46223</v>
      </c>
      <c r="C1042" s="389">
        <v>46223</v>
      </c>
      <c r="D1042" s="387" t="s">
        <v>5939</v>
      </c>
      <c r="E1042" s="388" t="s">
        <v>5940</v>
      </c>
      <c r="F1042" s="387" t="s">
        <v>87</v>
      </c>
      <c r="G1042" s="387" t="s">
        <v>2634</v>
      </c>
      <c r="H1042" s="393">
        <v>32</v>
      </c>
      <c r="I1042" s="387">
        <v>30.8</v>
      </c>
      <c r="J1042" s="387">
        <v>30.8</v>
      </c>
      <c r="K1042" s="387">
        <v>4</v>
      </c>
      <c r="L1042" s="387">
        <v>0</v>
      </c>
      <c r="M1042" s="387" t="s">
        <v>148</v>
      </c>
      <c r="N1042" s="387" t="s">
        <v>149</v>
      </c>
      <c r="O1042" s="387" t="s">
        <v>150</v>
      </c>
      <c r="P1042" s="387" t="s">
        <v>151</v>
      </c>
      <c r="Q1042" s="387"/>
      <c r="R1042" s="387" t="s">
        <v>5940</v>
      </c>
      <c r="S1042" s="387"/>
      <c r="T1042" s="387" t="s">
        <v>3147</v>
      </c>
      <c r="U1042" s="387" t="s">
        <v>152</v>
      </c>
      <c r="V1042" s="387" t="s">
        <v>23</v>
      </c>
    </row>
    <row r="1043" spans="2:22">
      <c r="B1043" s="389">
        <v>46223</v>
      </c>
      <c r="C1043" s="389">
        <v>46223</v>
      </c>
      <c r="D1043" s="387" t="s">
        <v>5941</v>
      </c>
      <c r="E1043" s="388" t="s">
        <v>5942</v>
      </c>
      <c r="F1043" s="387" t="s">
        <v>87</v>
      </c>
      <c r="G1043" s="387" t="s">
        <v>5706</v>
      </c>
      <c r="H1043" s="393">
        <v>50</v>
      </c>
      <c r="I1043" s="387">
        <v>29.8</v>
      </c>
      <c r="J1043" s="387">
        <v>29.8</v>
      </c>
      <c r="K1043" s="387">
        <v>5</v>
      </c>
      <c r="L1043" s="387">
        <v>0</v>
      </c>
      <c r="M1043" s="387" t="s">
        <v>148</v>
      </c>
      <c r="N1043" s="387" t="s">
        <v>149</v>
      </c>
      <c r="O1043" s="387" t="s">
        <v>150</v>
      </c>
      <c r="P1043" s="387" t="s">
        <v>151</v>
      </c>
      <c r="Q1043" s="387"/>
      <c r="R1043" s="387" t="s">
        <v>5942</v>
      </c>
      <c r="S1043" s="387"/>
      <c r="T1043" s="387" t="s">
        <v>3147</v>
      </c>
      <c r="U1043" s="387" t="s">
        <v>152</v>
      </c>
      <c r="V1043" s="387" t="s">
        <v>23</v>
      </c>
    </row>
    <row r="1044" spans="2:22">
      <c r="B1044" s="389">
        <v>46223</v>
      </c>
      <c r="C1044" s="389">
        <v>46223</v>
      </c>
      <c r="D1044" s="387" t="s">
        <v>5943</v>
      </c>
      <c r="E1044" s="388" t="s">
        <v>5944</v>
      </c>
      <c r="F1044" s="387" t="s">
        <v>87</v>
      </c>
      <c r="G1044" s="387" t="s">
        <v>2634</v>
      </c>
      <c r="H1044" s="393">
        <v>32</v>
      </c>
      <c r="I1044" s="387">
        <v>21.2</v>
      </c>
      <c r="J1044" s="387">
        <v>21.2</v>
      </c>
      <c r="K1044" s="387">
        <v>4</v>
      </c>
      <c r="L1044" s="387">
        <v>0</v>
      </c>
      <c r="M1044" s="387" t="s">
        <v>148</v>
      </c>
      <c r="N1044" s="387" t="s">
        <v>149</v>
      </c>
      <c r="O1044" s="387" t="s">
        <v>150</v>
      </c>
      <c r="P1044" s="387" t="s">
        <v>151</v>
      </c>
      <c r="Q1044" s="387"/>
      <c r="R1044" s="387" t="s">
        <v>5944</v>
      </c>
      <c r="S1044" s="387"/>
      <c r="T1044" s="387" t="s">
        <v>3147</v>
      </c>
      <c r="U1044" s="387" t="s">
        <v>152</v>
      </c>
      <c r="V1044" s="387" t="s">
        <v>23</v>
      </c>
    </row>
    <row r="1045" spans="2:22">
      <c r="B1045" s="389">
        <v>46223</v>
      </c>
      <c r="C1045" s="389">
        <v>46223</v>
      </c>
      <c r="D1045" s="387" t="s">
        <v>5945</v>
      </c>
      <c r="E1045" s="388" t="s">
        <v>5946</v>
      </c>
      <c r="F1045" s="387" t="s">
        <v>87</v>
      </c>
      <c r="G1045" s="387" t="s">
        <v>5706</v>
      </c>
      <c r="H1045" s="393">
        <v>50</v>
      </c>
      <c r="I1045" s="387">
        <v>37.799999999999997</v>
      </c>
      <c r="J1045" s="387">
        <v>37.799999999999997</v>
      </c>
      <c r="K1045" s="387">
        <v>5</v>
      </c>
      <c r="L1045" s="387">
        <v>0</v>
      </c>
      <c r="M1045" s="387" t="s">
        <v>148</v>
      </c>
      <c r="N1045" s="387" t="s">
        <v>149</v>
      </c>
      <c r="O1045" s="387" t="s">
        <v>150</v>
      </c>
      <c r="P1045" s="387" t="s">
        <v>151</v>
      </c>
      <c r="Q1045" s="387"/>
      <c r="R1045" s="387" t="s">
        <v>5946</v>
      </c>
      <c r="S1045" s="387"/>
      <c r="T1045" s="387" t="s">
        <v>3147</v>
      </c>
      <c r="U1045" s="387" t="s">
        <v>152</v>
      </c>
      <c r="V1045" s="387" t="s">
        <v>23</v>
      </c>
    </row>
    <row r="1046" spans="2:22">
      <c r="B1046" s="389">
        <v>46223</v>
      </c>
      <c r="C1046" s="389">
        <v>46223</v>
      </c>
      <c r="D1046" s="387" t="s">
        <v>5947</v>
      </c>
      <c r="E1046" s="388" t="s">
        <v>5948</v>
      </c>
      <c r="F1046" s="387" t="s">
        <v>87</v>
      </c>
      <c r="G1046" s="387" t="s">
        <v>2552</v>
      </c>
      <c r="H1046" s="393">
        <v>40</v>
      </c>
      <c r="I1046" s="387">
        <v>35.4</v>
      </c>
      <c r="J1046" s="387">
        <v>35.4</v>
      </c>
      <c r="K1046" s="387">
        <v>5</v>
      </c>
      <c r="L1046" s="387">
        <v>0</v>
      </c>
      <c r="M1046" s="387" t="s">
        <v>148</v>
      </c>
      <c r="N1046" s="387" t="s">
        <v>149</v>
      </c>
      <c r="O1046" s="387" t="s">
        <v>150</v>
      </c>
      <c r="P1046" s="387" t="s">
        <v>151</v>
      </c>
      <c r="Q1046" s="387"/>
      <c r="R1046" s="387" t="s">
        <v>5948</v>
      </c>
      <c r="S1046" s="387"/>
      <c r="T1046" s="387" t="s">
        <v>3147</v>
      </c>
      <c r="U1046" s="387" t="s">
        <v>152</v>
      </c>
      <c r="V1046" s="387" t="s">
        <v>23</v>
      </c>
    </row>
    <row r="1047" spans="2:22">
      <c r="B1047" s="389">
        <v>46223</v>
      </c>
      <c r="C1047" s="389">
        <v>46223</v>
      </c>
      <c r="D1047" s="387" t="s">
        <v>5949</v>
      </c>
      <c r="E1047" s="388" t="s">
        <v>5950</v>
      </c>
      <c r="F1047" s="387" t="s">
        <v>87</v>
      </c>
      <c r="G1047" s="387" t="s">
        <v>2634</v>
      </c>
      <c r="H1047" s="393">
        <v>32</v>
      </c>
      <c r="I1047" s="387">
        <v>23.2</v>
      </c>
      <c r="J1047" s="387">
        <v>23.2</v>
      </c>
      <c r="K1047" s="387">
        <v>4</v>
      </c>
      <c r="L1047" s="387">
        <v>0</v>
      </c>
      <c r="M1047" s="387" t="s">
        <v>148</v>
      </c>
      <c r="N1047" s="387" t="s">
        <v>149</v>
      </c>
      <c r="O1047" s="387" t="s">
        <v>150</v>
      </c>
      <c r="P1047" s="387" t="s">
        <v>151</v>
      </c>
      <c r="Q1047" s="387"/>
      <c r="R1047" s="387" t="s">
        <v>5950</v>
      </c>
      <c r="S1047" s="387"/>
      <c r="T1047" s="387" t="s">
        <v>3147</v>
      </c>
      <c r="U1047" s="387" t="s">
        <v>152</v>
      </c>
      <c r="V1047" s="387" t="s">
        <v>23</v>
      </c>
    </row>
    <row r="1048" spans="2:22">
      <c r="B1048" s="389">
        <v>46223</v>
      </c>
      <c r="C1048" s="389">
        <v>46223</v>
      </c>
      <c r="D1048" s="387" t="s">
        <v>5951</v>
      </c>
      <c r="E1048" s="388" t="s">
        <v>5952</v>
      </c>
      <c r="F1048" s="387" t="s">
        <v>87</v>
      </c>
      <c r="G1048" s="387" t="s">
        <v>5706</v>
      </c>
      <c r="H1048" s="393">
        <v>50</v>
      </c>
      <c r="I1048" s="387">
        <v>42.4</v>
      </c>
      <c r="J1048" s="387">
        <v>42.4</v>
      </c>
      <c r="K1048" s="387">
        <v>5</v>
      </c>
      <c r="L1048" s="387">
        <v>0</v>
      </c>
      <c r="M1048" s="387" t="s">
        <v>148</v>
      </c>
      <c r="N1048" s="387" t="s">
        <v>149</v>
      </c>
      <c r="O1048" s="387" t="s">
        <v>150</v>
      </c>
      <c r="P1048" s="387" t="s">
        <v>151</v>
      </c>
      <c r="Q1048" s="387"/>
      <c r="R1048" s="387" t="s">
        <v>5952</v>
      </c>
      <c r="S1048" s="387"/>
      <c r="T1048" s="387" t="s">
        <v>3147</v>
      </c>
      <c r="U1048" s="387" t="s">
        <v>152</v>
      </c>
      <c r="V1048" s="387" t="s">
        <v>23</v>
      </c>
    </row>
    <row r="1049" spans="2:22">
      <c r="B1049" s="389">
        <v>46223</v>
      </c>
      <c r="C1049" s="389">
        <v>46223</v>
      </c>
      <c r="D1049" s="387" t="s">
        <v>5953</v>
      </c>
      <c r="E1049" s="388" t="s">
        <v>5954</v>
      </c>
      <c r="F1049" s="387" t="s">
        <v>87</v>
      </c>
      <c r="G1049" s="387" t="s">
        <v>2552</v>
      </c>
      <c r="H1049" s="393">
        <v>40</v>
      </c>
      <c r="I1049" s="387">
        <v>40.799999999999997</v>
      </c>
      <c r="J1049" s="387">
        <v>40.799999999999997</v>
      </c>
      <c r="K1049" s="387">
        <v>5</v>
      </c>
      <c r="L1049" s="387">
        <v>0</v>
      </c>
      <c r="M1049" s="387" t="s">
        <v>148</v>
      </c>
      <c r="N1049" s="387" t="s">
        <v>149</v>
      </c>
      <c r="O1049" s="387" t="s">
        <v>150</v>
      </c>
      <c r="P1049" s="387" t="s">
        <v>151</v>
      </c>
      <c r="Q1049" s="387"/>
      <c r="R1049" s="387" t="s">
        <v>5954</v>
      </c>
      <c r="S1049" s="387"/>
      <c r="T1049" s="387" t="s">
        <v>3147</v>
      </c>
      <c r="U1049" s="387" t="s">
        <v>152</v>
      </c>
      <c r="V1049" s="387" t="s">
        <v>23</v>
      </c>
    </row>
    <row r="1050" spans="2:22">
      <c r="B1050" s="389">
        <v>46223</v>
      </c>
      <c r="C1050" s="389">
        <v>46223</v>
      </c>
      <c r="D1050" s="387" t="s">
        <v>5955</v>
      </c>
      <c r="E1050" s="388" t="s">
        <v>5956</v>
      </c>
      <c r="F1050" s="387" t="s">
        <v>87</v>
      </c>
      <c r="G1050" s="387" t="s">
        <v>2552</v>
      </c>
      <c r="H1050" s="393">
        <v>40</v>
      </c>
      <c r="I1050" s="387">
        <v>37.799999999999997</v>
      </c>
      <c r="J1050" s="387">
        <v>37.799999999999997</v>
      </c>
      <c r="K1050" s="387">
        <v>5</v>
      </c>
      <c r="L1050" s="387">
        <v>0</v>
      </c>
      <c r="M1050" s="387" t="s">
        <v>148</v>
      </c>
      <c r="N1050" s="387" t="s">
        <v>149</v>
      </c>
      <c r="O1050" s="387" t="s">
        <v>150</v>
      </c>
      <c r="P1050" s="387" t="s">
        <v>151</v>
      </c>
      <c r="Q1050" s="387"/>
      <c r="R1050" s="387" t="s">
        <v>5956</v>
      </c>
      <c r="S1050" s="387"/>
      <c r="T1050" s="387" t="s">
        <v>3147</v>
      </c>
      <c r="U1050" s="387" t="s">
        <v>152</v>
      </c>
      <c r="V1050" s="387" t="s">
        <v>23</v>
      </c>
    </row>
    <row r="1051" spans="2:22">
      <c r="B1051" s="389">
        <v>46223</v>
      </c>
      <c r="C1051" s="389">
        <v>46223</v>
      </c>
      <c r="D1051" s="387" t="s">
        <v>5957</v>
      </c>
      <c r="E1051" s="388" t="s">
        <v>5958</v>
      </c>
      <c r="F1051" s="387" t="s">
        <v>87</v>
      </c>
      <c r="G1051" s="387" t="s">
        <v>3866</v>
      </c>
      <c r="H1051" s="393">
        <v>40</v>
      </c>
      <c r="I1051" s="387">
        <v>31.8</v>
      </c>
      <c r="J1051" s="387">
        <v>31.8</v>
      </c>
      <c r="K1051" s="387">
        <v>5</v>
      </c>
      <c r="L1051" s="387">
        <v>0</v>
      </c>
      <c r="M1051" s="387" t="s">
        <v>148</v>
      </c>
      <c r="N1051" s="387" t="s">
        <v>149</v>
      </c>
      <c r="O1051" s="387" t="s">
        <v>150</v>
      </c>
      <c r="P1051" s="387" t="s">
        <v>151</v>
      </c>
      <c r="Q1051" s="387"/>
      <c r="R1051" s="387" t="s">
        <v>5958</v>
      </c>
      <c r="S1051" s="387"/>
      <c r="T1051" s="387" t="s">
        <v>3147</v>
      </c>
      <c r="U1051" s="387" t="s">
        <v>152</v>
      </c>
      <c r="V1051" s="387" t="s">
        <v>23</v>
      </c>
    </row>
    <row r="1052" spans="2:22">
      <c r="B1052" s="389">
        <v>46223</v>
      </c>
      <c r="C1052" s="389">
        <v>46223</v>
      </c>
      <c r="D1052" s="387" t="s">
        <v>5959</v>
      </c>
      <c r="E1052" s="388" t="s">
        <v>5960</v>
      </c>
      <c r="F1052" s="387" t="s">
        <v>87</v>
      </c>
      <c r="G1052" s="387" t="s">
        <v>2632</v>
      </c>
      <c r="H1052" s="393">
        <v>30</v>
      </c>
      <c r="I1052" s="387">
        <v>31.8</v>
      </c>
      <c r="J1052" s="387">
        <v>31.8</v>
      </c>
      <c r="K1052" s="387">
        <v>4</v>
      </c>
      <c r="L1052" s="387">
        <v>0</v>
      </c>
      <c r="M1052" s="387" t="s">
        <v>148</v>
      </c>
      <c r="N1052" s="387" t="s">
        <v>149</v>
      </c>
      <c r="O1052" s="387" t="s">
        <v>150</v>
      </c>
      <c r="P1052" s="387" t="s">
        <v>151</v>
      </c>
      <c r="Q1052" s="387"/>
      <c r="R1052" s="387" t="s">
        <v>5960</v>
      </c>
      <c r="S1052" s="387"/>
      <c r="T1052" s="387" t="s">
        <v>3147</v>
      </c>
      <c r="U1052" s="387" t="s">
        <v>152</v>
      </c>
      <c r="V1052" s="387" t="s">
        <v>23</v>
      </c>
    </row>
    <row r="1053" spans="2:22">
      <c r="B1053" s="389">
        <v>46223</v>
      </c>
      <c r="C1053" s="389">
        <v>46223</v>
      </c>
      <c r="D1053" s="387" t="s">
        <v>5961</v>
      </c>
      <c r="E1053" s="388" t="s">
        <v>5962</v>
      </c>
      <c r="F1053" s="387" t="s">
        <v>87</v>
      </c>
      <c r="G1053" s="387" t="s">
        <v>2634</v>
      </c>
      <c r="H1053" s="393">
        <v>32</v>
      </c>
      <c r="I1053" s="387">
        <v>41.7</v>
      </c>
      <c r="J1053" s="387">
        <v>41.7</v>
      </c>
      <c r="K1053" s="387">
        <v>4</v>
      </c>
      <c r="L1053" s="387">
        <v>0</v>
      </c>
      <c r="M1053" s="387" t="s">
        <v>148</v>
      </c>
      <c r="N1053" s="387" t="s">
        <v>149</v>
      </c>
      <c r="O1053" s="387" t="s">
        <v>150</v>
      </c>
      <c r="P1053" s="387" t="s">
        <v>151</v>
      </c>
      <c r="Q1053" s="387"/>
      <c r="R1053" s="387" t="s">
        <v>5962</v>
      </c>
      <c r="S1053" s="387"/>
      <c r="T1053" s="387" t="s">
        <v>3147</v>
      </c>
      <c r="U1053" s="387" t="s">
        <v>152</v>
      </c>
      <c r="V1053" s="387" t="s">
        <v>23</v>
      </c>
    </row>
    <row r="1054" spans="2:22">
      <c r="B1054" s="389">
        <v>46223</v>
      </c>
      <c r="C1054" s="389">
        <v>46223</v>
      </c>
      <c r="D1054" s="387" t="s">
        <v>5963</v>
      </c>
      <c r="E1054" s="388" t="s">
        <v>5964</v>
      </c>
      <c r="F1054" s="387" t="s">
        <v>87</v>
      </c>
      <c r="G1054" s="387" t="s">
        <v>3866</v>
      </c>
      <c r="H1054" s="393">
        <v>40</v>
      </c>
      <c r="I1054" s="387">
        <v>22.8</v>
      </c>
      <c r="J1054" s="387">
        <v>22.8</v>
      </c>
      <c r="K1054" s="387">
        <v>5</v>
      </c>
      <c r="L1054" s="387">
        <v>0</v>
      </c>
      <c r="M1054" s="387" t="s">
        <v>148</v>
      </c>
      <c r="N1054" s="387" t="s">
        <v>149</v>
      </c>
      <c r="O1054" s="387" t="s">
        <v>150</v>
      </c>
      <c r="P1054" s="387" t="s">
        <v>151</v>
      </c>
      <c r="Q1054" s="387"/>
      <c r="R1054" s="387" t="s">
        <v>5964</v>
      </c>
      <c r="S1054" s="387"/>
      <c r="T1054" s="387" t="s">
        <v>3147</v>
      </c>
      <c r="U1054" s="387" t="s">
        <v>152</v>
      </c>
      <c r="V1054" s="387" t="s">
        <v>23</v>
      </c>
    </row>
    <row r="1055" spans="2:22">
      <c r="B1055" s="389">
        <v>46223</v>
      </c>
      <c r="C1055" s="389">
        <v>46223</v>
      </c>
      <c r="D1055" s="387" t="s">
        <v>5965</v>
      </c>
      <c r="E1055" s="388" t="s">
        <v>5966</v>
      </c>
      <c r="F1055" s="387" t="s">
        <v>87</v>
      </c>
      <c r="G1055" s="387" t="s">
        <v>2634</v>
      </c>
      <c r="H1055" s="393">
        <v>32</v>
      </c>
      <c r="I1055" s="387">
        <v>42.4</v>
      </c>
      <c r="J1055" s="387">
        <v>42.4</v>
      </c>
      <c r="K1055" s="387">
        <v>4</v>
      </c>
      <c r="L1055" s="387">
        <v>0</v>
      </c>
      <c r="M1055" s="387" t="s">
        <v>148</v>
      </c>
      <c r="N1055" s="387" t="s">
        <v>149</v>
      </c>
      <c r="O1055" s="387" t="s">
        <v>150</v>
      </c>
      <c r="P1055" s="387" t="s">
        <v>151</v>
      </c>
      <c r="Q1055" s="387"/>
      <c r="R1055" s="387" t="s">
        <v>5966</v>
      </c>
      <c r="S1055" s="387"/>
      <c r="T1055" s="387" t="s">
        <v>3147</v>
      </c>
      <c r="U1055" s="387" t="s">
        <v>152</v>
      </c>
      <c r="V1055" s="387" t="s">
        <v>23</v>
      </c>
    </row>
    <row r="1056" spans="2:22">
      <c r="B1056" s="389">
        <v>46224</v>
      </c>
      <c r="C1056" s="389">
        <v>46224</v>
      </c>
      <c r="D1056" s="387" t="s">
        <v>5967</v>
      </c>
      <c r="E1056" s="388" t="s">
        <v>5968</v>
      </c>
      <c r="F1056" s="387" t="s">
        <v>87</v>
      </c>
      <c r="G1056" s="387" t="s">
        <v>2553</v>
      </c>
      <c r="H1056" s="393">
        <v>30</v>
      </c>
      <c r="I1056" s="387">
        <v>42.8</v>
      </c>
      <c r="J1056" s="387">
        <v>42.8</v>
      </c>
      <c r="K1056" s="387">
        <v>4</v>
      </c>
      <c r="L1056" s="387">
        <v>0</v>
      </c>
      <c r="M1056" s="387" t="s">
        <v>148</v>
      </c>
      <c r="N1056" s="387" t="s">
        <v>149</v>
      </c>
      <c r="O1056" s="387" t="s">
        <v>150</v>
      </c>
      <c r="P1056" s="387" t="s">
        <v>151</v>
      </c>
      <c r="Q1056" s="387"/>
      <c r="R1056" s="387" t="s">
        <v>5968</v>
      </c>
      <c r="S1056" s="387"/>
      <c r="T1056" s="387" t="s">
        <v>5969</v>
      </c>
      <c r="U1056" s="387" t="s">
        <v>152</v>
      </c>
      <c r="V1056" s="387" t="s">
        <v>23</v>
      </c>
    </row>
    <row r="1057" spans="2:22">
      <c r="B1057" s="389">
        <v>46224</v>
      </c>
      <c r="C1057" s="389">
        <v>46224</v>
      </c>
      <c r="D1057" s="387" t="s">
        <v>5970</v>
      </c>
      <c r="E1057" s="388" t="s">
        <v>5971</v>
      </c>
      <c r="F1057" s="387" t="s">
        <v>87</v>
      </c>
      <c r="G1057" s="387" t="s">
        <v>2553</v>
      </c>
      <c r="H1057" s="393">
        <v>30</v>
      </c>
      <c r="I1057" s="387">
        <v>25.2</v>
      </c>
      <c r="J1057" s="387">
        <v>25.2</v>
      </c>
      <c r="K1057" s="387">
        <v>4</v>
      </c>
      <c r="L1057" s="387">
        <v>0</v>
      </c>
      <c r="M1057" s="387" t="s">
        <v>148</v>
      </c>
      <c r="N1057" s="387" t="s">
        <v>149</v>
      </c>
      <c r="O1057" s="387" t="s">
        <v>150</v>
      </c>
      <c r="P1057" s="387" t="s">
        <v>151</v>
      </c>
      <c r="Q1057" s="387"/>
      <c r="R1057" s="387" t="s">
        <v>5971</v>
      </c>
      <c r="S1057" s="387"/>
      <c r="T1057" s="387" t="s">
        <v>5969</v>
      </c>
      <c r="U1057" s="387" t="s">
        <v>152</v>
      </c>
      <c r="V1057" s="387" t="s">
        <v>23</v>
      </c>
    </row>
    <row r="1058" spans="2:22">
      <c r="B1058" s="389">
        <v>46224</v>
      </c>
      <c r="C1058" s="389">
        <v>46224</v>
      </c>
      <c r="D1058" s="387" t="s">
        <v>5972</v>
      </c>
      <c r="E1058" s="388" t="s">
        <v>5973</v>
      </c>
      <c r="F1058" s="387" t="s">
        <v>87</v>
      </c>
      <c r="G1058" s="387" t="s">
        <v>2553</v>
      </c>
      <c r="H1058" s="393">
        <v>30</v>
      </c>
      <c r="I1058" s="387">
        <v>37</v>
      </c>
      <c r="J1058" s="387">
        <v>37</v>
      </c>
      <c r="K1058" s="387">
        <v>4</v>
      </c>
      <c r="L1058" s="387">
        <v>0</v>
      </c>
      <c r="M1058" s="387" t="s">
        <v>148</v>
      </c>
      <c r="N1058" s="387" t="s">
        <v>149</v>
      </c>
      <c r="O1058" s="387" t="s">
        <v>150</v>
      </c>
      <c r="P1058" s="387" t="s">
        <v>151</v>
      </c>
      <c r="Q1058" s="387"/>
      <c r="R1058" s="387" t="s">
        <v>5973</v>
      </c>
      <c r="S1058" s="387"/>
      <c r="T1058" s="387" t="s">
        <v>5969</v>
      </c>
      <c r="U1058" s="387" t="s">
        <v>152</v>
      </c>
      <c r="V1058" s="387" t="s">
        <v>23</v>
      </c>
    </row>
    <row r="1059" spans="2:22">
      <c r="B1059" s="389">
        <v>46224</v>
      </c>
      <c r="C1059" s="389">
        <v>46224</v>
      </c>
      <c r="D1059" s="387" t="s">
        <v>5974</v>
      </c>
      <c r="E1059" s="388" t="s">
        <v>5975</v>
      </c>
      <c r="F1059" s="387" t="s">
        <v>87</v>
      </c>
      <c r="G1059" s="387" t="s">
        <v>2553</v>
      </c>
      <c r="H1059" s="393">
        <v>30</v>
      </c>
      <c r="I1059" s="387">
        <v>36.5</v>
      </c>
      <c r="J1059" s="387">
        <v>36.5</v>
      </c>
      <c r="K1059" s="387">
        <v>4</v>
      </c>
      <c r="L1059" s="387">
        <v>0</v>
      </c>
      <c r="M1059" s="387" t="s">
        <v>148</v>
      </c>
      <c r="N1059" s="387" t="s">
        <v>149</v>
      </c>
      <c r="O1059" s="387" t="s">
        <v>150</v>
      </c>
      <c r="P1059" s="387" t="s">
        <v>151</v>
      </c>
      <c r="Q1059" s="387"/>
      <c r="R1059" s="387" t="s">
        <v>5975</v>
      </c>
      <c r="S1059" s="387"/>
      <c r="T1059" s="387" t="s">
        <v>5969</v>
      </c>
      <c r="U1059" s="387" t="s">
        <v>152</v>
      </c>
      <c r="V1059" s="387" t="s">
        <v>23</v>
      </c>
    </row>
    <row r="1060" spans="2:22">
      <c r="B1060" s="389">
        <v>46224</v>
      </c>
      <c r="C1060" s="389">
        <v>46224</v>
      </c>
      <c r="D1060" s="387" t="s">
        <v>5976</v>
      </c>
      <c r="E1060" s="388" t="s">
        <v>5977</v>
      </c>
      <c r="F1060" s="387" t="s">
        <v>87</v>
      </c>
      <c r="G1060" s="387" t="s">
        <v>2553</v>
      </c>
      <c r="H1060" s="393">
        <v>30</v>
      </c>
      <c r="I1060" s="387">
        <v>18.2</v>
      </c>
      <c r="J1060" s="387">
        <v>18.2</v>
      </c>
      <c r="K1060" s="387">
        <v>4</v>
      </c>
      <c r="L1060" s="387">
        <v>0</v>
      </c>
      <c r="M1060" s="387" t="s">
        <v>148</v>
      </c>
      <c r="N1060" s="387" t="s">
        <v>149</v>
      </c>
      <c r="O1060" s="387" t="s">
        <v>150</v>
      </c>
      <c r="P1060" s="387" t="s">
        <v>151</v>
      </c>
      <c r="Q1060" s="387"/>
      <c r="R1060" s="387" t="s">
        <v>5977</v>
      </c>
      <c r="S1060" s="387"/>
      <c r="T1060" s="387" t="s">
        <v>5969</v>
      </c>
      <c r="U1060" s="387" t="s">
        <v>152</v>
      </c>
      <c r="V1060" s="387" t="s">
        <v>23</v>
      </c>
    </row>
    <row r="1061" spans="2:22">
      <c r="B1061" s="389">
        <v>46224</v>
      </c>
      <c r="C1061" s="389">
        <v>46224</v>
      </c>
      <c r="D1061" s="387" t="s">
        <v>5978</v>
      </c>
      <c r="E1061" s="388" t="s">
        <v>5979</v>
      </c>
      <c r="F1061" s="387" t="s">
        <v>87</v>
      </c>
      <c r="G1061" s="387" t="s">
        <v>2552</v>
      </c>
      <c r="H1061" s="393">
        <v>40</v>
      </c>
      <c r="I1061" s="387">
        <v>28.8</v>
      </c>
      <c r="J1061" s="387">
        <v>28.8</v>
      </c>
      <c r="K1061" s="387">
        <v>5</v>
      </c>
      <c r="L1061" s="387">
        <v>0</v>
      </c>
      <c r="M1061" s="387" t="s">
        <v>148</v>
      </c>
      <c r="N1061" s="387" t="s">
        <v>149</v>
      </c>
      <c r="O1061" s="387" t="s">
        <v>150</v>
      </c>
      <c r="P1061" s="387" t="s">
        <v>151</v>
      </c>
      <c r="Q1061" s="387"/>
      <c r="R1061" s="387" t="s">
        <v>5979</v>
      </c>
      <c r="S1061" s="387"/>
      <c r="T1061" s="387" t="s">
        <v>5969</v>
      </c>
      <c r="U1061" s="387" t="s">
        <v>152</v>
      </c>
      <c r="V1061" s="387" t="s">
        <v>23</v>
      </c>
    </row>
    <row r="1062" spans="2:22">
      <c r="B1062" s="389">
        <v>46224</v>
      </c>
      <c r="C1062" s="389">
        <v>46224</v>
      </c>
      <c r="D1062" s="387" t="s">
        <v>5980</v>
      </c>
      <c r="E1062" s="388" t="s">
        <v>5981</v>
      </c>
      <c r="F1062" s="387" t="s">
        <v>87</v>
      </c>
      <c r="G1062" s="387" t="s">
        <v>2553</v>
      </c>
      <c r="H1062" s="393">
        <v>30</v>
      </c>
      <c r="I1062" s="387">
        <v>30.4</v>
      </c>
      <c r="J1062" s="387">
        <v>30.4</v>
      </c>
      <c r="K1062" s="387">
        <v>4</v>
      </c>
      <c r="L1062" s="387">
        <v>0</v>
      </c>
      <c r="M1062" s="387" t="s">
        <v>148</v>
      </c>
      <c r="N1062" s="387" t="s">
        <v>149</v>
      </c>
      <c r="O1062" s="387" t="s">
        <v>150</v>
      </c>
      <c r="P1062" s="387" t="s">
        <v>151</v>
      </c>
      <c r="Q1062" s="387"/>
      <c r="R1062" s="387" t="s">
        <v>5981</v>
      </c>
      <c r="S1062" s="387"/>
      <c r="T1062" s="387" t="s">
        <v>5969</v>
      </c>
      <c r="U1062" s="387" t="s">
        <v>152</v>
      </c>
      <c r="V1062" s="387" t="s">
        <v>23</v>
      </c>
    </row>
    <row r="1063" spans="2:22">
      <c r="B1063" s="389">
        <v>46224</v>
      </c>
      <c r="C1063" s="389">
        <v>46224</v>
      </c>
      <c r="D1063" s="387" t="s">
        <v>5982</v>
      </c>
      <c r="E1063" s="388" t="s">
        <v>5983</v>
      </c>
      <c r="F1063" s="387" t="s">
        <v>87</v>
      </c>
      <c r="G1063" s="387" t="s">
        <v>2553</v>
      </c>
      <c r="H1063" s="393">
        <v>30</v>
      </c>
      <c r="I1063" s="387">
        <v>40</v>
      </c>
      <c r="J1063" s="387">
        <v>40</v>
      </c>
      <c r="K1063" s="387">
        <v>4</v>
      </c>
      <c r="L1063" s="387">
        <v>0</v>
      </c>
      <c r="M1063" s="387" t="s">
        <v>148</v>
      </c>
      <c r="N1063" s="387" t="s">
        <v>149</v>
      </c>
      <c r="O1063" s="387" t="s">
        <v>150</v>
      </c>
      <c r="P1063" s="387" t="s">
        <v>151</v>
      </c>
      <c r="Q1063" s="387"/>
      <c r="R1063" s="387" t="s">
        <v>5983</v>
      </c>
      <c r="S1063" s="387"/>
      <c r="T1063" s="387" t="s">
        <v>5969</v>
      </c>
      <c r="U1063" s="387" t="s">
        <v>152</v>
      </c>
      <c r="V1063" s="387" t="s">
        <v>23</v>
      </c>
    </row>
    <row r="1064" spans="2:22">
      <c r="B1064" s="389">
        <v>46224</v>
      </c>
      <c r="C1064" s="389">
        <v>46224</v>
      </c>
      <c r="D1064" s="387" t="s">
        <v>5984</v>
      </c>
      <c r="E1064" s="388" t="s">
        <v>5985</v>
      </c>
      <c r="F1064" s="387" t="s">
        <v>87</v>
      </c>
      <c r="G1064" s="387" t="s">
        <v>2553</v>
      </c>
      <c r="H1064" s="393">
        <v>30</v>
      </c>
      <c r="I1064" s="387">
        <v>35.4</v>
      </c>
      <c r="J1064" s="387">
        <v>35.4</v>
      </c>
      <c r="K1064" s="387">
        <v>4</v>
      </c>
      <c r="L1064" s="387">
        <v>0</v>
      </c>
      <c r="M1064" s="387" t="s">
        <v>148</v>
      </c>
      <c r="N1064" s="387" t="s">
        <v>149</v>
      </c>
      <c r="O1064" s="387" t="s">
        <v>150</v>
      </c>
      <c r="P1064" s="387" t="s">
        <v>151</v>
      </c>
      <c r="Q1064" s="387"/>
      <c r="R1064" s="387" t="s">
        <v>5985</v>
      </c>
      <c r="S1064" s="387"/>
      <c r="T1064" s="387" t="s">
        <v>5969</v>
      </c>
      <c r="U1064" s="387" t="s">
        <v>152</v>
      </c>
      <c r="V1064" s="387" t="s">
        <v>23</v>
      </c>
    </row>
    <row r="1065" spans="2:22">
      <c r="B1065" s="389">
        <v>46224</v>
      </c>
      <c r="C1065" s="389">
        <v>46224</v>
      </c>
      <c r="D1065" s="387" t="s">
        <v>5986</v>
      </c>
      <c r="E1065" s="388" t="s">
        <v>5987</v>
      </c>
      <c r="F1065" s="387" t="s">
        <v>87</v>
      </c>
      <c r="G1065" s="387" t="s">
        <v>2553</v>
      </c>
      <c r="H1065" s="393">
        <v>30</v>
      </c>
      <c r="I1065" s="387">
        <v>35.799999999999997</v>
      </c>
      <c r="J1065" s="387">
        <v>35.799999999999997</v>
      </c>
      <c r="K1065" s="387">
        <v>4</v>
      </c>
      <c r="L1065" s="387">
        <v>0</v>
      </c>
      <c r="M1065" s="387" t="s">
        <v>148</v>
      </c>
      <c r="N1065" s="387" t="s">
        <v>149</v>
      </c>
      <c r="O1065" s="387" t="s">
        <v>150</v>
      </c>
      <c r="P1065" s="387" t="s">
        <v>151</v>
      </c>
      <c r="Q1065" s="387"/>
      <c r="R1065" s="387" t="s">
        <v>5987</v>
      </c>
      <c r="S1065" s="387"/>
      <c r="T1065" s="387" t="s">
        <v>5969</v>
      </c>
      <c r="U1065" s="387" t="s">
        <v>152</v>
      </c>
      <c r="V1065" s="387" t="s">
        <v>23</v>
      </c>
    </row>
    <row r="1066" spans="2:22">
      <c r="B1066" s="389">
        <v>46224</v>
      </c>
      <c r="C1066" s="389">
        <v>46224</v>
      </c>
      <c r="D1066" s="387" t="s">
        <v>5988</v>
      </c>
      <c r="E1066" s="388" t="s">
        <v>5989</v>
      </c>
      <c r="F1066" s="387" t="s">
        <v>87</v>
      </c>
      <c r="G1066" s="387" t="s">
        <v>2634</v>
      </c>
      <c r="H1066" s="393">
        <v>32</v>
      </c>
      <c r="I1066" s="387">
        <v>18.8</v>
      </c>
      <c r="J1066" s="387">
        <v>18.8</v>
      </c>
      <c r="K1066" s="387">
        <v>4</v>
      </c>
      <c r="L1066" s="387">
        <v>0</v>
      </c>
      <c r="M1066" s="387" t="s">
        <v>148</v>
      </c>
      <c r="N1066" s="387" t="s">
        <v>149</v>
      </c>
      <c r="O1066" s="387" t="s">
        <v>150</v>
      </c>
      <c r="P1066" s="387" t="s">
        <v>151</v>
      </c>
      <c r="Q1066" s="387"/>
      <c r="R1066" s="387" t="s">
        <v>5989</v>
      </c>
      <c r="S1066" s="387"/>
      <c r="T1066" s="387" t="s">
        <v>5969</v>
      </c>
      <c r="U1066" s="387" t="s">
        <v>152</v>
      </c>
      <c r="V1066" s="387" t="s">
        <v>23</v>
      </c>
    </row>
    <row r="1067" spans="2:22">
      <c r="B1067" s="389">
        <v>46224</v>
      </c>
      <c r="C1067" s="389">
        <v>46224</v>
      </c>
      <c r="D1067" s="387" t="s">
        <v>5990</v>
      </c>
      <c r="E1067" s="388" t="s">
        <v>5991</v>
      </c>
      <c r="F1067" s="387" t="s">
        <v>87</v>
      </c>
      <c r="G1067" s="387" t="s">
        <v>2634</v>
      </c>
      <c r="H1067" s="393">
        <v>32</v>
      </c>
      <c r="I1067" s="387">
        <v>46.2</v>
      </c>
      <c r="J1067" s="387">
        <v>46.2</v>
      </c>
      <c r="K1067" s="387">
        <v>4</v>
      </c>
      <c r="L1067" s="387">
        <v>0</v>
      </c>
      <c r="M1067" s="387" t="s">
        <v>148</v>
      </c>
      <c r="N1067" s="387" t="s">
        <v>149</v>
      </c>
      <c r="O1067" s="387" t="s">
        <v>150</v>
      </c>
      <c r="P1067" s="387" t="s">
        <v>151</v>
      </c>
      <c r="Q1067" s="387"/>
      <c r="R1067" s="387" t="s">
        <v>5991</v>
      </c>
      <c r="S1067" s="387"/>
      <c r="T1067" s="387" t="s">
        <v>5969</v>
      </c>
      <c r="U1067" s="387" t="s">
        <v>152</v>
      </c>
      <c r="V1067" s="387" t="s">
        <v>23</v>
      </c>
    </row>
    <row r="1068" spans="2:22">
      <c r="B1068" s="389">
        <v>46224</v>
      </c>
      <c r="C1068" s="389">
        <v>46224</v>
      </c>
      <c r="D1068" s="387" t="s">
        <v>5992</v>
      </c>
      <c r="E1068" s="388" t="s">
        <v>5993</v>
      </c>
      <c r="F1068" s="387" t="s">
        <v>87</v>
      </c>
      <c r="G1068" s="387" t="s">
        <v>2552</v>
      </c>
      <c r="H1068" s="393">
        <v>40</v>
      </c>
      <c r="I1068" s="394">
        <v>31.2</v>
      </c>
      <c r="J1068" s="363">
        <v>31.2</v>
      </c>
      <c r="K1068" s="387">
        <v>5</v>
      </c>
      <c r="L1068" s="387">
        <v>0</v>
      </c>
      <c r="M1068" s="387" t="s">
        <v>148</v>
      </c>
      <c r="N1068" s="387" t="s">
        <v>149</v>
      </c>
      <c r="O1068" s="387" t="s">
        <v>150</v>
      </c>
      <c r="P1068" s="387" t="s">
        <v>151</v>
      </c>
      <c r="Q1068" s="387"/>
      <c r="R1068" s="387" t="s">
        <v>5993</v>
      </c>
      <c r="S1068" s="387"/>
      <c r="T1068" s="387" t="s">
        <v>5969</v>
      </c>
      <c r="U1068" s="387" t="s">
        <v>152</v>
      </c>
      <c r="V1068" s="387" t="s">
        <v>23</v>
      </c>
    </row>
    <row r="1069" spans="2:22">
      <c r="B1069" s="389">
        <v>46224</v>
      </c>
      <c r="C1069" s="389">
        <v>46224</v>
      </c>
      <c r="D1069" s="387" t="s">
        <v>5994</v>
      </c>
      <c r="E1069" s="388" t="s">
        <v>5995</v>
      </c>
      <c r="F1069" s="387" t="s">
        <v>87</v>
      </c>
      <c r="G1069" s="387" t="s">
        <v>2632</v>
      </c>
      <c r="H1069" s="393">
        <v>30</v>
      </c>
      <c r="I1069" s="387">
        <v>21.4</v>
      </c>
      <c r="J1069" s="387">
        <v>21.4</v>
      </c>
      <c r="K1069" s="387">
        <v>4</v>
      </c>
      <c r="L1069" s="387">
        <v>0</v>
      </c>
      <c r="M1069" s="387" t="s">
        <v>148</v>
      </c>
      <c r="N1069" s="387" t="s">
        <v>149</v>
      </c>
      <c r="O1069" s="387" t="s">
        <v>150</v>
      </c>
      <c r="P1069" s="387" t="s">
        <v>151</v>
      </c>
      <c r="Q1069" s="387"/>
      <c r="R1069" s="387" t="s">
        <v>5995</v>
      </c>
      <c r="S1069" s="387"/>
      <c r="T1069" s="387" t="s">
        <v>5969</v>
      </c>
      <c r="U1069" s="387" t="s">
        <v>152</v>
      </c>
      <c r="V1069" s="387" t="s">
        <v>23</v>
      </c>
    </row>
    <row r="1070" spans="2:22">
      <c r="B1070" s="389">
        <v>46224</v>
      </c>
      <c r="C1070" s="389">
        <v>46224</v>
      </c>
      <c r="D1070" s="387" t="s">
        <v>5996</v>
      </c>
      <c r="E1070" s="388" t="s">
        <v>5997</v>
      </c>
      <c r="F1070" s="387" t="s">
        <v>87</v>
      </c>
      <c r="G1070" s="387" t="s">
        <v>2552</v>
      </c>
      <c r="H1070" s="393">
        <v>40</v>
      </c>
      <c r="I1070" s="387">
        <v>27.1</v>
      </c>
      <c r="J1070" s="387">
        <v>27.1</v>
      </c>
      <c r="K1070" s="387">
        <v>5</v>
      </c>
      <c r="L1070" s="387">
        <v>0</v>
      </c>
      <c r="M1070" s="387" t="s">
        <v>148</v>
      </c>
      <c r="N1070" s="387" t="s">
        <v>149</v>
      </c>
      <c r="O1070" s="387" t="s">
        <v>150</v>
      </c>
      <c r="P1070" s="387" t="s">
        <v>151</v>
      </c>
      <c r="Q1070" s="387"/>
      <c r="R1070" s="387" t="s">
        <v>5997</v>
      </c>
      <c r="S1070" s="387"/>
      <c r="T1070" s="387" t="s">
        <v>5969</v>
      </c>
      <c r="U1070" s="387" t="s">
        <v>152</v>
      </c>
      <c r="V1070" s="387" t="s">
        <v>23</v>
      </c>
    </row>
    <row r="1071" spans="2:22">
      <c r="B1071" s="389">
        <v>46224</v>
      </c>
      <c r="C1071" s="389">
        <v>46224</v>
      </c>
      <c r="D1071" s="387" t="s">
        <v>5998</v>
      </c>
      <c r="E1071" s="388" t="s">
        <v>5999</v>
      </c>
      <c r="F1071" s="387" t="s">
        <v>87</v>
      </c>
      <c r="G1071" s="387" t="s">
        <v>3866</v>
      </c>
      <c r="H1071" s="393">
        <v>40</v>
      </c>
      <c r="I1071" s="387">
        <v>33.799999999999997</v>
      </c>
      <c r="J1071" s="387">
        <v>33.799999999999997</v>
      </c>
      <c r="K1071" s="387">
        <v>5</v>
      </c>
      <c r="L1071" s="387">
        <v>0</v>
      </c>
      <c r="M1071" s="387" t="s">
        <v>148</v>
      </c>
      <c r="N1071" s="387" t="s">
        <v>149</v>
      </c>
      <c r="O1071" s="387" t="s">
        <v>150</v>
      </c>
      <c r="P1071" s="387" t="s">
        <v>151</v>
      </c>
      <c r="Q1071" s="387"/>
      <c r="R1071" s="387" t="s">
        <v>5999</v>
      </c>
      <c r="S1071" s="387"/>
      <c r="T1071" s="387" t="s">
        <v>5969</v>
      </c>
      <c r="U1071" s="387" t="s">
        <v>152</v>
      </c>
      <c r="V1071" s="387" t="s">
        <v>23</v>
      </c>
    </row>
    <row r="1072" spans="2:22">
      <c r="B1072" s="389">
        <v>46224</v>
      </c>
      <c r="C1072" s="389">
        <v>46224</v>
      </c>
      <c r="D1072" s="387" t="s">
        <v>6000</v>
      </c>
      <c r="E1072" s="388" t="s">
        <v>6001</v>
      </c>
      <c r="F1072" s="387" t="s">
        <v>87</v>
      </c>
      <c r="G1072" s="387" t="s">
        <v>2553</v>
      </c>
      <c r="H1072" s="393">
        <v>30</v>
      </c>
      <c r="I1072" s="387">
        <v>27</v>
      </c>
      <c r="J1072" s="387">
        <v>27</v>
      </c>
      <c r="K1072" s="387">
        <v>4</v>
      </c>
      <c r="L1072" s="387">
        <v>0</v>
      </c>
      <c r="M1072" s="387" t="s">
        <v>148</v>
      </c>
      <c r="N1072" s="387" t="s">
        <v>149</v>
      </c>
      <c r="O1072" s="387" t="s">
        <v>150</v>
      </c>
      <c r="P1072" s="387" t="s">
        <v>151</v>
      </c>
      <c r="Q1072" s="387"/>
      <c r="R1072" s="387" t="s">
        <v>6001</v>
      </c>
      <c r="S1072" s="387"/>
      <c r="T1072" s="387" t="s">
        <v>5969</v>
      </c>
      <c r="U1072" s="387" t="s">
        <v>152</v>
      </c>
      <c r="V1072" s="387" t="s">
        <v>23</v>
      </c>
    </row>
    <row r="1073" spans="2:22">
      <c r="B1073" s="389">
        <v>46224</v>
      </c>
      <c r="C1073" s="389">
        <v>46224</v>
      </c>
      <c r="D1073" s="387" t="s">
        <v>6002</v>
      </c>
      <c r="E1073" s="388" t="s">
        <v>6003</v>
      </c>
      <c r="F1073" s="387" t="s">
        <v>87</v>
      </c>
      <c r="G1073" s="387" t="s">
        <v>2553</v>
      </c>
      <c r="H1073" s="393">
        <v>30</v>
      </c>
      <c r="I1073" s="387">
        <v>25.4</v>
      </c>
      <c r="J1073" s="387">
        <v>25.4</v>
      </c>
      <c r="K1073" s="387">
        <v>4</v>
      </c>
      <c r="L1073" s="387">
        <v>0</v>
      </c>
      <c r="M1073" s="387" t="s">
        <v>148</v>
      </c>
      <c r="N1073" s="387" t="s">
        <v>149</v>
      </c>
      <c r="O1073" s="387" t="s">
        <v>150</v>
      </c>
      <c r="P1073" s="387" t="s">
        <v>151</v>
      </c>
      <c r="Q1073" s="387"/>
      <c r="R1073" s="387" t="s">
        <v>6003</v>
      </c>
      <c r="S1073" s="387"/>
      <c r="T1073" s="387" t="s">
        <v>5969</v>
      </c>
      <c r="U1073" s="387" t="s">
        <v>152</v>
      </c>
      <c r="V1073" s="387" t="s">
        <v>23</v>
      </c>
    </row>
    <row r="1074" spans="2:22">
      <c r="B1074" s="389">
        <v>46224</v>
      </c>
      <c r="C1074" s="389">
        <v>46224</v>
      </c>
      <c r="D1074" s="387" t="s">
        <v>6004</v>
      </c>
      <c r="E1074" s="388" t="s">
        <v>6005</v>
      </c>
      <c r="F1074" s="387" t="s">
        <v>87</v>
      </c>
      <c r="G1074" s="387" t="s">
        <v>3866</v>
      </c>
      <c r="H1074" s="393">
        <v>40</v>
      </c>
      <c r="I1074" s="387">
        <v>32.799999999999997</v>
      </c>
      <c r="J1074" s="387">
        <v>32.799999999999997</v>
      </c>
      <c r="K1074" s="387">
        <v>5</v>
      </c>
      <c r="L1074" s="387">
        <v>0</v>
      </c>
      <c r="M1074" s="387" t="s">
        <v>148</v>
      </c>
      <c r="N1074" s="387" t="s">
        <v>149</v>
      </c>
      <c r="O1074" s="387" t="s">
        <v>150</v>
      </c>
      <c r="P1074" s="387" t="s">
        <v>151</v>
      </c>
      <c r="Q1074" s="387"/>
      <c r="R1074" s="387" t="s">
        <v>6005</v>
      </c>
      <c r="S1074" s="387"/>
      <c r="T1074" s="387" t="s">
        <v>5969</v>
      </c>
      <c r="U1074" s="387" t="s">
        <v>152</v>
      </c>
      <c r="V1074" s="387" t="s">
        <v>23</v>
      </c>
    </row>
    <row r="1075" spans="2:22">
      <c r="B1075" s="389">
        <v>46224</v>
      </c>
      <c r="C1075" s="389">
        <v>46224</v>
      </c>
      <c r="D1075" s="387" t="s">
        <v>6006</v>
      </c>
      <c r="E1075" s="388" t="s">
        <v>6007</v>
      </c>
      <c r="F1075" s="387" t="s">
        <v>87</v>
      </c>
      <c r="G1075" s="387" t="s">
        <v>2552</v>
      </c>
      <c r="H1075" s="393">
        <v>40</v>
      </c>
      <c r="I1075" s="387">
        <v>37.799999999999997</v>
      </c>
      <c r="J1075" s="387">
        <v>37.799999999999997</v>
      </c>
      <c r="K1075" s="387">
        <v>5</v>
      </c>
      <c r="L1075" s="387">
        <v>0</v>
      </c>
      <c r="M1075" s="387" t="s">
        <v>148</v>
      </c>
      <c r="N1075" s="387" t="s">
        <v>149</v>
      </c>
      <c r="O1075" s="387" t="s">
        <v>150</v>
      </c>
      <c r="P1075" s="387" t="s">
        <v>151</v>
      </c>
      <c r="Q1075" s="387"/>
      <c r="R1075" s="387" t="s">
        <v>6007</v>
      </c>
      <c r="S1075" s="387"/>
      <c r="T1075" s="387" t="s">
        <v>5969</v>
      </c>
      <c r="U1075" s="387" t="s">
        <v>152</v>
      </c>
      <c r="V1075" s="387" t="s">
        <v>23</v>
      </c>
    </row>
    <row r="1076" spans="2:22">
      <c r="B1076" s="389">
        <v>46224</v>
      </c>
      <c r="C1076" s="389">
        <v>46224</v>
      </c>
      <c r="D1076" s="387" t="s">
        <v>6008</v>
      </c>
      <c r="E1076" s="388" t="s">
        <v>6009</v>
      </c>
      <c r="F1076" s="387" t="s">
        <v>87</v>
      </c>
      <c r="G1076" s="387" t="s">
        <v>2634</v>
      </c>
      <c r="H1076" s="393">
        <v>32</v>
      </c>
      <c r="I1076" s="387">
        <v>27.4</v>
      </c>
      <c r="J1076" s="387">
        <v>27.4</v>
      </c>
      <c r="K1076" s="387">
        <v>4</v>
      </c>
      <c r="L1076" s="387">
        <v>0</v>
      </c>
      <c r="M1076" s="387" t="s">
        <v>148</v>
      </c>
      <c r="N1076" s="387" t="s">
        <v>149</v>
      </c>
      <c r="O1076" s="387" t="s">
        <v>150</v>
      </c>
      <c r="P1076" s="387" t="s">
        <v>151</v>
      </c>
      <c r="Q1076" s="387"/>
      <c r="R1076" s="387" t="s">
        <v>6009</v>
      </c>
      <c r="S1076" s="387"/>
      <c r="T1076" s="387" t="s">
        <v>5969</v>
      </c>
      <c r="U1076" s="387" t="s">
        <v>152</v>
      </c>
      <c r="V1076" s="387" t="s">
        <v>23</v>
      </c>
    </row>
    <row r="1077" spans="2:22">
      <c r="B1077" s="389">
        <v>46224</v>
      </c>
      <c r="C1077" s="389">
        <v>46224</v>
      </c>
      <c r="D1077" s="387" t="s">
        <v>6010</v>
      </c>
      <c r="E1077" s="388" t="s">
        <v>6011</v>
      </c>
      <c r="F1077" s="387" t="s">
        <v>87</v>
      </c>
      <c r="G1077" s="387" t="s">
        <v>3866</v>
      </c>
      <c r="H1077" s="393">
        <v>40</v>
      </c>
      <c r="I1077" s="387">
        <v>15.8</v>
      </c>
      <c r="J1077" s="387">
        <v>15.8</v>
      </c>
      <c r="K1077" s="387">
        <v>5</v>
      </c>
      <c r="L1077" s="387">
        <v>0</v>
      </c>
      <c r="M1077" s="387" t="s">
        <v>148</v>
      </c>
      <c r="N1077" s="387" t="s">
        <v>149</v>
      </c>
      <c r="O1077" s="387" t="s">
        <v>150</v>
      </c>
      <c r="P1077" s="387" t="s">
        <v>151</v>
      </c>
      <c r="Q1077" s="387"/>
      <c r="R1077" s="387" t="s">
        <v>6011</v>
      </c>
      <c r="S1077" s="387"/>
      <c r="T1077" s="387" t="s">
        <v>5969</v>
      </c>
      <c r="U1077" s="387" t="s">
        <v>152</v>
      </c>
      <c r="V1077" s="387" t="s">
        <v>23</v>
      </c>
    </row>
    <row r="1078" spans="2:22">
      <c r="B1078" s="389">
        <v>46224</v>
      </c>
      <c r="C1078" s="389">
        <v>46224</v>
      </c>
      <c r="D1078" s="387" t="s">
        <v>6012</v>
      </c>
      <c r="E1078" s="388" t="s">
        <v>6013</v>
      </c>
      <c r="F1078" s="387" t="s">
        <v>87</v>
      </c>
      <c r="G1078" s="387" t="s">
        <v>2553</v>
      </c>
      <c r="H1078" s="393">
        <v>30</v>
      </c>
      <c r="I1078" s="387">
        <v>43.8</v>
      </c>
      <c r="J1078" s="387">
        <v>43.8</v>
      </c>
      <c r="K1078" s="387">
        <v>4</v>
      </c>
      <c r="L1078" s="387">
        <v>0</v>
      </c>
      <c r="M1078" s="387" t="s">
        <v>148</v>
      </c>
      <c r="N1078" s="387" t="s">
        <v>149</v>
      </c>
      <c r="O1078" s="387" t="s">
        <v>150</v>
      </c>
      <c r="P1078" s="387" t="s">
        <v>151</v>
      </c>
      <c r="Q1078" s="387"/>
      <c r="R1078" s="387" t="s">
        <v>6013</v>
      </c>
      <c r="S1078" s="387"/>
      <c r="T1078" s="387" t="s">
        <v>5969</v>
      </c>
      <c r="U1078" s="387" t="s">
        <v>152</v>
      </c>
      <c r="V1078" s="387" t="s">
        <v>23</v>
      </c>
    </row>
    <row r="1079" spans="2:22">
      <c r="B1079" s="389">
        <v>46224</v>
      </c>
      <c r="C1079" s="389">
        <v>46224</v>
      </c>
      <c r="D1079" s="387" t="s">
        <v>6014</v>
      </c>
      <c r="E1079" s="388" t="s">
        <v>6015</v>
      </c>
      <c r="F1079" s="387" t="s">
        <v>87</v>
      </c>
      <c r="G1079" s="387" t="s">
        <v>5706</v>
      </c>
      <c r="H1079" s="393">
        <v>50</v>
      </c>
      <c r="I1079" s="387">
        <v>50</v>
      </c>
      <c r="J1079" s="387">
        <v>50</v>
      </c>
      <c r="K1079" s="387">
        <v>5</v>
      </c>
      <c r="L1079" s="387">
        <v>0</v>
      </c>
      <c r="M1079" s="387" t="s">
        <v>148</v>
      </c>
      <c r="N1079" s="387" t="s">
        <v>149</v>
      </c>
      <c r="O1079" s="387" t="s">
        <v>150</v>
      </c>
      <c r="P1079" s="387" t="s">
        <v>151</v>
      </c>
      <c r="Q1079" s="387"/>
      <c r="R1079" s="387" t="s">
        <v>6015</v>
      </c>
      <c r="S1079" s="387"/>
      <c r="T1079" s="387" t="s">
        <v>5969</v>
      </c>
      <c r="U1079" s="387" t="s">
        <v>152</v>
      </c>
      <c r="V1079" s="387" t="s">
        <v>23</v>
      </c>
    </row>
    <row r="1080" spans="2:22">
      <c r="B1080" s="389">
        <v>46224</v>
      </c>
      <c r="C1080" s="389">
        <v>46224</v>
      </c>
      <c r="D1080" s="387" t="s">
        <v>6016</v>
      </c>
      <c r="E1080" s="388" t="s">
        <v>6017</v>
      </c>
      <c r="F1080" s="387" t="s">
        <v>87</v>
      </c>
      <c r="G1080" s="387" t="s">
        <v>2553</v>
      </c>
      <c r="H1080" s="393">
        <v>30</v>
      </c>
      <c r="I1080" s="387">
        <v>30</v>
      </c>
      <c r="J1080" s="387">
        <v>30</v>
      </c>
      <c r="K1080" s="387">
        <v>4</v>
      </c>
      <c r="L1080" s="387">
        <v>0</v>
      </c>
      <c r="M1080" s="387" t="s">
        <v>148</v>
      </c>
      <c r="N1080" s="387" t="s">
        <v>149</v>
      </c>
      <c r="O1080" s="387" t="s">
        <v>150</v>
      </c>
      <c r="P1080" s="387" t="s">
        <v>151</v>
      </c>
      <c r="Q1080" s="387"/>
      <c r="R1080" s="387" t="s">
        <v>6017</v>
      </c>
      <c r="S1080" s="387"/>
      <c r="T1080" s="387" t="s">
        <v>5969</v>
      </c>
      <c r="U1080" s="387" t="s">
        <v>152</v>
      </c>
      <c r="V1080" s="387" t="s">
        <v>23</v>
      </c>
    </row>
    <row r="1081" spans="2:22">
      <c r="B1081" s="389">
        <v>46224</v>
      </c>
      <c r="C1081" s="389">
        <v>46224</v>
      </c>
      <c r="D1081" s="387" t="s">
        <v>6018</v>
      </c>
      <c r="E1081" s="388" t="s">
        <v>6019</v>
      </c>
      <c r="F1081" s="387" t="s">
        <v>87</v>
      </c>
      <c r="G1081" s="387" t="s">
        <v>2634</v>
      </c>
      <c r="H1081" s="393">
        <v>32</v>
      </c>
      <c r="I1081" s="387">
        <v>33.799999999999997</v>
      </c>
      <c r="J1081" s="387">
        <v>33.799999999999997</v>
      </c>
      <c r="K1081" s="387">
        <v>4</v>
      </c>
      <c r="L1081" s="387">
        <v>0</v>
      </c>
      <c r="M1081" s="387" t="s">
        <v>148</v>
      </c>
      <c r="N1081" s="387" t="s">
        <v>149</v>
      </c>
      <c r="O1081" s="387" t="s">
        <v>150</v>
      </c>
      <c r="P1081" s="387" t="s">
        <v>151</v>
      </c>
      <c r="Q1081" s="387"/>
      <c r="R1081" s="387" t="s">
        <v>6019</v>
      </c>
      <c r="S1081" s="387"/>
      <c r="T1081" s="387" t="s">
        <v>5969</v>
      </c>
      <c r="U1081" s="387" t="s">
        <v>152</v>
      </c>
      <c r="V1081" s="387" t="s">
        <v>23</v>
      </c>
    </row>
    <row r="1082" spans="2:22">
      <c r="B1082" s="389">
        <v>46224</v>
      </c>
      <c r="C1082" s="389">
        <v>46224</v>
      </c>
      <c r="D1082" s="387" t="s">
        <v>6020</v>
      </c>
      <c r="E1082" s="388" t="s">
        <v>6021</v>
      </c>
      <c r="F1082" s="387" t="s">
        <v>87</v>
      </c>
      <c r="G1082" s="387" t="s">
        <v>2553</v>
      </c>
      <c r="H1082" s="393">
        <v>30</v>
      </c>
      <c r="I1082" s="387">
        <v>40.9</v>
      </c>
      <c r="J1082" s="387">
        <v>40.9</v>
      </c>
      <c r="K1082" s="387">
        <v>4</v>
      </c>
      <c r="L1082" s="387">
        <v>0</v>
      </c>
      <c r="M1082" s="387" t="s">
        <v>148</v>
      </c>
      <c r="N1082" s="387" t="s">
        <v>149</v>
      </c>
      <c r="O1082" s="387" t="s">
        <v>150</v>
      </c>
      <c r="P1082" s="387" t="s">
        <v>151</v>
      </c>
      <c r="Q1082" s="387"/>
      <c r="R1082" s="387" t="s">
        <v>6021</v>
      </c>
      <c r="S1082" s="387"/>
      <c r="T1082" s="387" t="s">
        <v>5969</v>
      </c>
      <c r="U1082" s="387" t="s">
        <v>152</v>
      </c>
      <c r="V1082" s="387" t="s">
        <v>23</v>
      </c>
    </row>
    <row r="1083" spans="2:22">
      <c r="B1083" s="389">
        <v>46224</v>
      </c>
      <c r="C1083" s="389">
        <v>46224</v>
      </c>
      <c r="D1083" s="387" t="s">
        <v>6022</v>
      </c>
      <c r="E1083" s="388" t="s">
        <v>6023</v>
      </c>
      <c r="F1083" s="387" t="s">
        <v>87</v>
      </c>
      <c r="G1083" s="387" t="s">
        <v>2553</v>
      </c>
      <c r="H1083" s="393">
        <v>30</v>
      </c>
      <c r="I1083" s="387">
        <v>19.8</v>
      </c>
      <c r="J1083" s="387">
        <v>19.8</v>
      </c>
      <c r="K1083" s="387">
        <v>4</v>
      </c>
      <c r="L1083" s="387">
        <v>0</v>
      </c>
      <c r="M1083" s="387" t="s">
        <v>148</v>
      </c>
      <c r="N1083" s="387" t="s">
        <v>149</v>
      </c>
      <c r="O1083" s="387" t="s">
        <v>150</v>
      </c>
      <c r="P1083" s="387" t="s">
        <v>151</v>
      </c>
      <c r="Q1083" s="387"/>
      <c r="R1083" s="387" t="s">
        <v>6023</v>
      </c>
      <c r="S1083" s="387"/>
      <c r="T1083" s="387" t="s">
        <v>5969</v>
      </c>
      <c r="U1083" s="387" t="s">
        <v>152</v>
      </c>
      <c r="V1083" s="387" t="s">
        <v>23</v>
      </c>
    </row>
    <row r="1084" spans="2:22">
      <c r="B1084" s="389">
        <v>46224</v>
      </c>
      <c r="C1084" s="389">
        <v>46224</v>
      </c>
      <c r="D1084" s="387" t="s">
        <v>6024</v>
      </c>
      <c r="E1084" s="388" t="s">
        <v>6025</v>
      </c>
      <c r="F1084" s="387" t="s">
        <v>87</v>
      </c>
      <c r="G1084" s="387" t="s">
        <v>2634</v>
      </c>
      <c r="H1084" s="393">
        <v>32</v>
      </c>
      <c r="I1084" s="387">
        <v>29.8</v>
      </c>
      <c r="J1084" s="387">
        <v>29.8</v>
      </c>
      <c r="K1084" s="387">
        <v>4</v>
      </c>
      <c r="L1084" s="387">
        <v>0</v>
      </c>
      <c r="M1084" s="387" t="s">
        <v>148</v>
      </c>
      <c r="N1084" s="387" t="s">
        <v>149</v>
      </c>
      <c r="O1084" s="387" t="s">
        <v>150</v>
      </c>
      <c r="P1084" s="387" t="s">
        <v>151</v>
      </c>
      <c r="Q1084" s="387"/>
      <c r="R1084" s="387" t="s">
        <v>6025</v>
      </c>
      <c r="S1084" s="387"/>
      <c r="T1084" s="387" t="s">
        <v>5969</v>
      </c>
      <c r="U1084" s="387" t="s">
        <v>152</v>
      </c>
      <c r="V1084" s="387" t="s">
        <v>23</v>
      </c>
    </row>
    <row r="1085" spans="2:22">
      <c r="B1085" s="389">
        <v>46224</v>
      </c>
      <c r="C1085" s="389">
        <v>46224</v>
      </c>
      <c r="D1085" s="387" t="s">
        <v>6026</v>
      </c>
      <c r="E1085" s="388" t="s">
        <v>6027</v>
      </c>
      <c r="F1085" s="387" t="s">
        <v>87</v>
      </c>
      <c r="G1085" s="387" t="s">
        <v>2634</v>
      </c>
      <c r="H1085" s="393">
        <v>32</v>
      </c>
      <c r="I1085" s="387">
        <v>8.8000000000000007</v>
      </c>
      <c r="J1085" s="387">
        <v>8.8000000000000007</v>
      </c>
      <c r="K1085" s="387">
        <v>4</v>
      </c>
      <c r="L1085" s="387">
        <v>0</v>
      </c>
      <c r="M1085" s="387" t="s">
        <v>148</v>
      </c>
      <c r="N1085" s="387" t="s">
        <v>149</v>
      </c>
      <c r="O1085" s="387" t="s">
        <v>150</v>
      </c>
      <c r="P1085" s="387" t="s">
        <v>151</v>
      </c>
      <c r="Q1085" s="387"/>
      <c r="R1085" s="387" t="s">
        <v>6027</v>
      </c>
      <c r="S1085" s="387"/>
      <c r="T1085" s="387" t="s">
        <v>5969</v>
      </c>
      <c r="U1085" s="387" t="s">
        <v>152</v>
      </c>
      <c r="V1085" s="387" t="s">
        <v>23</v>
      </c>
    </row>
    <row r="1086" spans="2:22">
      <c r="B1086" s="389">
        <v>46225</v>
      </c>
      <c r="C1086" s="389">
        <v>46225</v>
      </c>
      <c r="D1086" s="387" t="s">
        <v>6028</v>
      </c>
      <c r="E1086" s="388" t="s">
        <v>6029</v>
      </c>
      <c r="F1086" s="387" t="s">
        <v>87</v>
      </c>
      <c r="G1086" s="387" t="s">
        <v>2632</v>
      </c>
      <c r="H1086" s="393">
        <v>30</v>
      </c>
      <c r="I1086" s="387">
        <v>40.799999999999997</v>
      </c>
      <c r="J1086" s="387">
        <v>40.799999999999997</v>
      </c>
      <c r="K1086" s="387">
        <v>4</v>
      </c>
      <c r="L1086" s="387">
        <v>0</v>
      </c>
      <c r="M1086" s="387" t="s">
        <v>148</v>
      </c>
      <c r="N1086" s="387" t="s">
        <v>149</v>
      </c>
      <c r="O1086" s="387" t="s">
        <v>150</v>
      </c>
      <c r="P1086" s="387" t="s">
        <v>151</v>
      </c>
      <c r="Q1086" s="387"/>
      <c r="R1086" s="387" t="s">
        <v>6029</v>
      </c>
      <c r="S1086" s="387"/>
      <c r="T1086" s="387" t="s">
        <v>3186</v>
      </c>
      <c r="U1086" s="387" t="s">
        <v>152</v>
      </c>
      <c r="V1086" s="387" t="s">
        <v>23</v>
      </c>
    </row>
    <row r="1087" spans="2:22">
      <c r="B1087" s="389">
        <v>46225</v>
      </c>
      <c r="C1087" s="389">
        <v>46225</v>
      </c>
      <c r="D1087" s="387" t="s">
        <v>6030</v>
      </c>
      <c r="E1087" s="388" t="s">
        <v>6031</v>
      </c>
      <c r="F1087" s="387" t="s">
        <v>87</v>
      </c>
      <c r="G1087" s="387" t="s">
        <v>2552</v>
      </c>
      <c r="H1087" s="393">
        <v>40</v>
      </c>
      <c r="I1087" s="387">
        <v>33.4</v>
      </c>
      <c r="J1087" s="387">
        <v>33.4</v>
      </c>
      <c r="K1087" s="387">
        <v>5</v>
      </c>
      <c r="L1087" s="387">
        <v>0</v>
      </c>
      <c r="M1087" s="387" t="s">
        <v>148</v>
      </c>
      <c r="N1087" s="387" t="s">
        <v>149</v>
      </c>
      <c r="O1087" s="387" t="s">
        <v>150</v>
      </c>
      <c r="P1087" s="387" t="s">
        <v>151</v>
      </c>
      <c r="Q1087" s="387"/>
      <c r="R1087" s="387" t="s">
        <v>6031</v>
      </c>
      <c r="S1087" s="387"/>
      <c r="T1087" s="387" t="s">
        <v>3186</v>
      </c>
      <c r="U1087" s="387" t="s">
        <v>152</v>
      </c>
      <c r="V1087" s="387" t="s">
        <v>23</v>
      </c>
    </row>
    <row r="1088" spans="2:22">
      <c r="B1088" s="389">
        <v>46225</v>
      </c>
      <c r="C1088" s="389">
        <v>46225</v>
      </c>
      <c r="D1088" s="387" t="s">
        <v>6032</v>
      </c>
      <c r="E1088" s="388" t="s">
        <v>6033</v>
      </c>
      <c r="F1088" s="387" t="s">
        <v>87</v>
      </c>
      <c r="G1088" s="387" t="s">
        <v>5706</v>
      </c>
      <c r="H1088" s="393">
        <v>50</v>
      </c>
      <c r="I1088" s="387">
        <v>17.8</v>
      </c>
      <c r="J1088" s="387">
        <v>17.8</v>
      </c>
      <c r="K1088" s="387">
        <v>5</v>
      </c>
      <c r="L1088" s="387">
        <v>0</v>
      </c>
      <c r="M1088" s="387" t="s">
        <v>148</v>
      </c>
      <c r="N1088" s="387" t="s">
        <v>149</v>
      </c>
      <c r="O1088" s="387" t="s">
        <v>150</v>
      </c>
      <c r="P1088" s="387" t="s">
        <v>151</v>
      </c>
      <c r="Q1088" s="387"/>
      <c r="R1088" s="387" t="s">
        <v>6033</v>
      </c>
      <c r="S1088" s="387"/>
      <c r="T1088" s="387" t="s">
        <v>3186</v>
      </c>
      <c r="U1088" s="387" t="s">
        <v>152</v>
      </c>
      <c r="V1088" s="387" t="s">
        <v>23</v>
      </c>
    </row>
    <row r="1089" spans="2:22">
      <c r="B1089" s="389">
        <v>46225</v>
      </c>
      <c r="C1089" s="389">
        <v>46225</v>
      </c>
      <c r="D1089" s="387" t="s">
        <v>6034</v>
      </c>
      <c r="E1089" s="388" t="s">
        <v>6035</v>
      </c>
      <c r="F1089" s="387" t="s">
        <v>87</v>
      </c>
      <c r="G1089" s="387" t="s">
        <v>2553</v>
      </c>
      <c r="H1089" s="393">
        <v>30</v>
      </c>
      <c r="I1089" s="387">
        <v>44.8</v>
      </c>
      <c r="J1089" s="387">
        <v>44.8</v>
      </c>
      <c r="K1089" s="387">
        <v>4</v>
      </c>
      <c r="L1089" s="387">
        <v>0</v>
      </c>
      <c r="M1089" s="387" t="s">
        <v>148</v>
      </c>
      <c r="N1089" s="387" t="s">
        <v>149</v>
      </c>
      <c r="O1089" s="387" t="s">
        <v>150</v>
      </c>
      <c r="P1089" s="387" t="s">
        <v>151</v>
      </c>
      <c r="Q1089" s="387"/>
      <c r="R1089" s="387" t="s">
        <v>6035</v>
      </c>
      <c r="S1089" s="387"/>
      <c r="T1089" s="387" t="s">
        <v>3186</v>
      </c>
      <c r="U1089" s="387" t="s">
        <v>152</v>
      </c>
      <c r="V1089" s="387" t="s">
        <v>23</v>
      </c>
    </row>
    <row r="1090" spans="2:22">
      <c r="B1090" s="389">
        <v>46225</v>
      </c>
      <c r="C1090" s="389">
        <v>46225</v>
      </c>
      <c r="D1090" s="387" t="s">
        <v>6036</v>
      </c>
      <c r="E1090" s="388" t="s">
        <v>6037</v>
      </c>
      <c r="F1090" s="387" t="s">
        <v>87</v>
      </c>
      <c r="G1090" s="387" t="s">
        <v>2552</v>
      </c>
      <c r="H1090" s="393">
        <v>40</v>
      </c>
      <c r="I1090" s="387">
        <v>31.4</v>
      </c>
      <c r="J1090" s="387">
        <v>31.4</v>
      </c>
      <c r="K1090" s="387">
        <v>5</v>
      </c>
      <c r="L1090" s="387">
        <v>0</v>
      </c>
      <c r="M1090" s="387" t="s">
        <v>148</v>
      </c>
      <c r="N1090" s="387" t="s">
        <v>149</v>
      </c>
      <c r="O1090" s="387" t="s">
        <v>150</v>
      </c>
      <c r="P1090" s="387" t="s">
        <v>151</v>
      </c>
      <c r="Q1090" s="387"/>
      <c r="R1090" s="387" t="s">
        <v>6037</v>
      </c>
      <c r="S1090" s="387"/>
      <c r="T1090" s="387" t="s">
        <v>3186</v>
      </c>
      <c r="U1090" s="387" t="s">
        <v>152</v>
      </c>
      <c r="V1090" s="387" t="s">
        <v>23</v>
      </c>
    </row>
    <row r="1091" spans="2:22">
      <c r="B1091" s="389">
        <v>46225</v>
      </c>
      <c r="C1091" s="389">
        <v>46225</v>
      </c>
      <c r="D1091" s="387" t="s">
        <v>6038</v>
      </c>
      <c r="E1091" s="388" t="s">
        <v>6039</v>
      </c>
      <c r="F1091" s="387" t="s">
        <v>87</v>
      </c>
      <c r="G1091" s="387" t="s">
        <v>3866</v>
      </c>
      <c r="H1091" s="393">
        <v>40</v>
      </c>
      <c r="I1091" s="387">
        <v>33.799999999999997</v>
      </c>
      <c r="J1091" s="387">
        <v>33.799999999999997</v>
      </c>
      <c r="K1091" s="387">
        <v>5</v>
      </c>
      <c r="L1091" s="387">
        <v>0</v>
      </c>
      <c r="M1091" s="387" t="s">
        <v>148</v>
      </c>
      <c r="N1091" s="387" t="s">
        <v>149</v>
      </c>
      <c r="O1091" s="387" t="s">
        <v>150</v>
      </c>
      <c r="P1091" s="387" t="s">
        <v>151</v>
      </c>
      <c r="Q1091" s="387"/>
      <c r="R1091" s="387" t="s">
        <v>6039</v>
      </c>
      <c r="S1091" s="387"/>
      <c r="T1091" s="387" t="s">
        <v>3186</v>
      </c>
      <c r="U1091" s="387" t="s">
        <v>152</v>
      </c>
      <c r="V1091" s="387" t="s">
        <v>23</v>
      </c>
    </row>
    <row r="1092" spans="2:22">
      <c r="B1092" s="389">
        <v>46225</v>
      </c>
      <c r="C1092" s="389">
        <v>46225</v>
      </c>
      <c r="D1092" s="387" t="s">
        <v>6040</v>
      </c>
      <c r="E1092" s="388" t="s">
        <v>6041</v>
      </c>
      <c r="F1092" s="387" t="s">
        <v>87</v>
      </c>
      <c r="G1092" s="387" t="s">
        <v>2552</v>
      </c>
      <c r="H1092" s="393">
        <v>40</v>
      </c>
      <c r="I1092" s="387">
        <v>36.799999999999997</v>
      </c>
      <c r="J1092" s="387">
        <v>36.799999999999997</v>
      </c>
      <c r="K1092" s="387">
        <v>5</v>
      </c>
      <c r="L1092" s="387">
        <v>0</v>
      </c>
      <c r="M1092" s="387" t="s">
        <v>148</v>
      </c>
      <c r="N1092" s="387" t="s">
        <v>149</v>
      </c>
      <c r="O1092" s="387" t="s">
        <v>150</v>
      </c>
      <c r="P1092" s="387" t="s">
        <v>151</v>
      </c>
      <c r="Q1092" s="387"/>
      <c r="R1092" s="387" t="s">
        <v>6041</v>
      </c>
      <c r="S1092" s="387"/>
      <c r="T1092" s="387" t="s">
        <v>3186</v>
      </c>
      <c r="U1092" s="387" t="s">
        <v>152</v>
      </c>
      <c r="V1092" s="387" t="s">
        <v>23</v>
      </c>
    </row>
    <row r="1093" spans="2:22">
      <c r="B1093" s="389">
        <v>46225</v>
      </c>
      <c r="C1093" s="389">
        <v>46225</v>
      </c>
      <c r="D1093" s="387" t="s">
        <v>6042</v>
      </c>
      <c r="E1093" s="388" t="s">
        <v>6043</v>
      </c>
      <c r="F1093" s="387" t="s">
        <v>87</v>
      </c>
      <c r="G1093" s="387" t="s">
        <v>2553</v>
      </c>
      <c r="H1093" s="393">
        <v>30</v>
      </c>
      <c r="I1093" s="387">
        <v>45.2</v>
      </c>
      <c r="J1093" s="387">
        <v>45.2</v>
      </c>
      <c r="K1093" s="387">
        <v>4</v>
      </c>
      <c r="L1093" s="387">
        <v>0</v>
      </c>
      <c r="M1093" s="387" t="s">
        <v>148</v>
      </c>
      <c r="N1093" s="387" t="s">
        <v>149</v>
      </c>
      <c r="O1093" s="387" t="s">
        <v>150</v>
      </c>
      <c r="P1093" s="387" t="s">
        <v>151</v>
      </c>
      <c r="Q1093" s="387"/>
      <c r="R1093" s="387" t="s">
        <v>6043</v>
      </c>
      <c r="S1093" s="387"/>
      <c r="T1093" s="387" t="s">
        <v>3186</v>
      </c>
      <c r="U1093" s="387" t="s">
        <v>152</v>
      </c>
      <c r="V1093" s="387" t="s">
        <v>23</v>
      </c>
    </row>
    <row r="1094" spans="2:22">
      <c r="B1094" s="389">
        <v>46225</v>
      </c>
      <c r="C1094" s="389">
        <v>46225</v>
      </c>
      <c r="D1094" s="387" t="s">
        <v>6044</v>
      </c>
      <c r="E1094" s="388" t="s">
        <v>6045</v>
      </c>
      <c r="F1094" s="387" t="s">
        <v>87</v>
      </c>
      <c r="G1094" s="387" t="s">
        <v>2632</v>
      </c>
      <c r="H1094" s="393">
        <v>30</v>
      </c>
      <c r="I1094" s="387">
        <v>35.200000000000003</v>
      </c>
      <c r="J1094" s="387">
        <v>35.200000000000003</v>
      </c>
      <c r="K1094" s="387">
        <v>4</v>
      </c>
      <c r="L1094" s="387">
        <v>0</v>
      </c>
      <c r="M1094" s="387" t="s">
        <v>148</v>
      </c>
      <c r="N1094" s="387" t="s">
        <v>149</v>
      </c>
      <c r="O1094" s="387" t="s">
        <v>150</v>
      </c>
      <c r="P1094" s="387" t="s">
        <v>151</v>
      </c>
      <c r="Q1094" s="387"/>
      <c r="R1094" s="387" t="s">
        <v>6045</v>
      </c>
      <c r="S1094" s="387"/>
      <c r="T1094" s="387" t="s">
        <v>3186</v>
      </c>
      <c r="U1094" s="387" t="s">
        <v>152</v>
      </c>
      <c r="V1094" s="387" t="s">
        <v>23</v>
      </c>
    </row>
    <row r="1095" spans="2:22">
      <c r="B1095" s="389">
        <v>46225</v>
      </c>
      <c r="C1095" s="389">
        <v>46225</v>
      </c>
      <c r="D1095" s="387" t="s">
        <v>6046</v>
      </c>
      <c r="E1095" s="388" t="s">
        <v>6047</v>
      </c>
      <c r="F1095" s="387" t="s">
        <v>87</v>
      </c>
      <c r="G1095" s="387" t="s">
        <v>2552</v>
      </c>
      <c r="H1095" s="393">
        <v>40</v>
      </c>
      <c r="I1095" s="387">
        <v>38.4</v>
      </c>
      <c r="J1095" s="387">
        <v>38.4</v>
      </c>
      <c r="K1095" s="387">
        <v>5</v>
      </c>
      <c r="L1095" s="387">
        <v>0</v>
      </c>
      <c r="M1095" s="387" t="s">
        <v>148</v>
      </c>
      <c r="N1095" s="387" t="s">
        <v>149</v>
      </c>
      <c r="O1095" s="387" t="s">
        <v>150</v>
      </c>
      <c r="P1095" s="387" t="s">
        <v>151</v>
      </c>
      <c r="Q1095" s="387"/>
      <c r="R1095" s="387" t="s">
        <v>6047</v>
      </c>
      <c r="S1095" s="387"/>
      <c r="T1095" s="387" t="s">
        <v>3186</v>
      </c>
      <c r="U1095" s="387" t="s">
        <v>152</v>
      </c>
      <c r="V1095" s="387" t="s">
        <v>23</v>
      </c>
    </row>
    <row r="1096" spans="2:22">
      <c r="B1096" s="389">
        <v>46225</v>
      </c>
      <c r="C1096" s="389">
        <v>46225</v>
      </c>
      <c r="D1096" s="387" t="s">
        <v>6048</v>
      </c>
      <c r="E1096" s="388" t="s">
        <v>6049</v>
      </c>
      <c r="F1096" s="387" t="s">
        <v>87</v>
      </c>
      <c r="G1096" s="387" t="s">
        <v>2552</v>
      </c>
      <c r="H1096" s="393">
        <v>40</v>
      </c>
      <c r="I1096" s="387">
        <v>37.5</v>
      </c>
      <c r="J1096" s="387">
        <v>37.5</v>
      </c>
      <c r="K1096" s="387">
        <v>5</v>
      </c>
      <c r="L1096" s="387">
        <v>0</v>
      </c>
      <c r="M1096" s="387" t="s">
        <v>148</v>
      </c>
      <c r="N1096" s="387" t="s">
        <v>149</v>
      </c>
      <c r="O1096" s="387" t="s">
        <v>150</v>
      </c>
      <c r="P1096" s="387" t="s">
        <v>151</v>
      </c>
      <c r="Q1096" s="387"/>
      <c r="R1096" s="387" t="s">
        <v>6049</v>
      </c>
      <c r="S1096" s="387"/>
      <c r="T1096" s="387" t="s">
        <v>3186</v>
      </c>
      <c r="U1096" s="387" t="s">
        <v>152</v>
      </c>
      <c r="V1096" s="387" t="s">
        <v>23</v>
      </c>
    </row>
    <row r="1097" spans="2:22">
      <c r="B1097" s="389">
        <v>46225</v>
      </c>
      <c r="C1097" s="389">
        <v>46225</v>
      </c>
      <c r="D1097" s="387" t="s">
        <v>6050</v>
      </c>
      <c r="E1097" s="388" t="s">
        <v>6051</v>
      </c>
      <c r="F1097" s="387" t="s">
        <v>87</v>
      </c>
      <c r="G1097" s="387" t="s">
        <v>2552</v>
      </c>
      <c r="H1097" s="393">
        <v>40</v>
      </c>
      <c r="I1097" s="387">
        <v>24.8</v>
      </c>
      <c r="J1097" s="387">
        <v>24.8</v>
      </c>
      <c r="K1097" s="387">
        <v>5</v>
      </c>
      <c r="L1097" s="387">
        <v>0</v>
      </c>
      <c r="M1097" s="387" t="s">
        <v>148</v>
      </c>
      <c r="N1097" s="387" t="s">
        <v>149</v>
      </c>
      <c r="O1097" s="387" t="s">
        <v>150</v>
      </c>
      <c r="P1097" s="387" t="s">
        <v>151</v>
      </c>
      <c r="Q1097" s="387"/>
      <c r="R1097" s="387" t="s">
        <v>6051</v>
      </c>
      <c r="S1097" s="387"/>
      <c r="T1097" s="387" t="s">
        <v>3186</v>
      </c>
      <c r="U1097" s="387" t="s">
        <v>152</v>
      </c>
      <c r="V1097" s="387" t="s">
        <v>23</v>
      </c>
    </row>
    <row r="1098" spans="2:22">
      <c r="B1098" s="389">
        <v>46225</v>
      </c>
      <c r="C1098" s="389">
        <v>46225</v>
      </c>
      <c r="D1098" s="387" t="s">
        <v>6052</v>
      </c>
      <c r="E1098" s="388" t="s">
        <v>6053</v>
      </c>
      <c r="F1098" s="387" t="s">
        <v>87</v>
      </c>
      <c r="G1098" s="387" t="s">
        <v>2634</v>
      </c>
      <c r="H1098" s="393">
        <v>32</v>
      </c>
      <c r="I1098" s="387">
        <v>32.299999999999997</v>
      </c>
      <c r="J1098" s="387">
        <v>32.299999999999997</v>
      </c>
      <c r="K1098" s="387">
        <v>4</v>
      </c>
      <c r="L1098" s="387">
        <v>0</v>
      </c>
      <c r="M1098" s="387" t="s">
        <v>148</v>
      </c>
      <c r="N1098" s="387" t="s">
        <v>149</v>
      </c>
      <c r="O1098" s="387" t="s">
        <v>150</v>
      </c>
      <c r="P1098" s="387" t="s">
        <v>151</v>
      </c>
      <c r="Q1098" s="387"/>
      <c r="R1098" s="387" t="s">
        <v>6053</v>
      </c>
      <c r="S1098" s="387"/>
      <c r="T1098" s="387" t="s">
        <v>3186</v>
      </c>
      <c r="U1098" s="387" t="s">
        <v>152</v>
      </c>
      <c r="V1098" s="387" t="s">
        <v>23</v>
      </c>
    </row>
    <row r="1099" spans="2:22">
      <c r="B1099" s="389">
        <v>46225</v>
      </c>
      <c r="C1099" s="389">
        <v>46225</v>
      </c>
      <c r="D1099" s="387" t="s">
        <v>6054</v>
      </c>
      <c r="E1099" s="388" t="s">
        <v>6055</v>
      </c>
      <c r="F1099" s="387" t="s">
        <v>87</v>
      </c>
      <c r="G1099" s="387" t="s">
        <v>2552</v>
      </c>
      <c r="H1099" s="393">
        <v>40</v>
      </c>
      <c r="I1099" s="387">
        <v>34.5</v>
      </c>
      <c r="J1099" s="387">
        <v>34.5</v>
      </c>
      <c r="K1099" s="387">
        <v>5</v>
      </c>
      <c r="L1099" s="387">
        <v>0</v>
      </c>
      <c r="M1099" s="387" t="s">
        <v>148</v>
      </c>
      <c r="N1099" s="387" t="s">
        <v>149</v>
      </c>
      <c r="O1099" s="387" t="s">
        <v>150</v>
      </c>
      <c r="P1099" s="387" t="s">
        <v>151</v>
      </c>
      <c r="Q1099" s="387"/>
      <c r="R1099" s="387" t="s">
        <v>6055</v>
      </c>
      <c r="S1099" s="387"/>
      <c r="T1099" s="387" t="s">
        <v>3186</v>
      </c>
      <c r="U1099" s="387" t="s">
        <v>152</v>
      </c>
      <c r="V1099" s="387" t="s">
        <v>23</v>
      </c>
    </row>
    <row r="1100" spans="2:22">
      <c r="B1100" s="389">
        <v>46225</v>
      </c>
      <c r="C1100" s="389">
        <v>46225</v>
      </c>
      <c r="D1100" s="387" t="s">
        <v>6056</v>
      </c>
      <c r="E1100" s="388" t="s">
        <v>6057</v>
      </c>
      <c r="F1100" s="387" t="s">
        <v>87</v>
      </c>
      <c r="G1100" s="387" t="s">
        <v>3866</v>
      </c>
      <c r="H1100" s="393">
        <v>40</v>
      </c>
      <c r="I1100" s="387">
        <v>31.3</v>
      </c>
      <c r="J1100" s="387">
        <v>31.3</v>
      </c>
      <c r="K1100" s="387">
        <v>5</v>
      </c>
      <c r="L1100" s="387">
        <v>0</v>
      </c>
      <c r="M1100" s="387" t="s">
        <v>148</v>
      </c>
      <c r="N1100" s="387" t="s">
        <v>149</v>
      </c>
      <c r="O1100" s="387" t="s">
        <v>150</v>
      </c>
      <c r="P1100" s="387" t="s">
        <v>151</v>
      </c>
      <c r="Q1100" s="387"/>
      <c r="R1100" s="387" t="s">
        <v>6057</v>
      </c>
      <c r="S1100" s="387"/>
      <c r="T1100" s="387" t="s">
        <v>3186</v>
      </c>
      <c r="U1100" s="387" t="s">
        <v>152</v>
      </c>
      <c r="V1100" s="387" t="s">
        <v>23</v>
      </c>
    </row>
    <row r="1101" spans="2:22">
      <c r="B1101" s="389">
        <v>46225</v>
      </c>
      <c r="C1101" s="389">
        <v>46225</v>
      </c>
      <c r="D1101" s="387" t="s">
        <v>6058</v>
      </c>
      <c r="E1101" s="388" t="s">
        <v>6059</v>
      </c>
      <c r="F1101" s="387" t="s">
        <v>87</v>
      </c>
      <c r="G1101" s="387" t="s">
        <v>5706</v>
      </c>
      <c r="H1101" s="393">
        <v>50</v>
      </c>
      <c r="I1101" s="387">
        <v>17.8</v>
      </c>
      <c r="J1101" s="387">
        <v>17.8</v>
      </c>
      <c r="K1101" s="387">
        <v>5</v>
      </c>
      <c r="L1101" s="387">
        <v>0</v>
      </c>
      <c r="M1101" s="387" t="s">
        <v>148</v>
      </c>
      <c r="N1101" s="387" t="s">
        <v>149</v>
      </c>
      <c r="O1101" s="387" t="s">
        <v>150</v>
      </c>
      <c r="P1101" s="387" t="s">
        <v>151</v>
      </c>
      <c r="Q1101" s="387"/>
      <c r="R1101" s="387" t="s">
        <v>6059</v>
      </c>
      <c r="S1101" s="387"/>
      <c r="T1101" s="387" t="s">
        <v>3186</v>
      </c>
      <c r="U1101" s="387" t="s">
        <v>152</v>
      </c>
      <c r="V1101" s="387" t="s">
        <v>23</v>
      </c>
    </row>
    <row r="1102" spans="2:22">
      <c r="B1102" s="389">
        <v>46225</v>
      </c>
      <c r="C1102" s="389">
        <v>46225</v>
      </c>
      <c r="D1102" s="387" t="s">
        <v>6060</v>
      </c>
      <c r="E1102" s="388" t="s">
        <v>6061</v>
      </c>
      <c r="F1102" s="387" t="s">
        <v>87</v>
      </c>
      <c r="G1102" s="387" t="s">
        <v>2632</v>
      </c>
      <c r="H1102" s="393">
        <v>30</v>
      </c>
      <c r="I1102" s="387">
        <v>34.700000000000003</v>
      </c>
      <c r="J1102" s="387">
        <v>34.700000000000003</v>
      </c>
      <c r="K1102" s="387">
        <v>4</v>
      </c>
      <c r="L1102" s="387">
        <v>0</v>
      </c>
      <c r="M1102" s="387" t="s">
        <v>148</v>
      </c>
      <c r="N1102" s="387" t="s">
        <v>149</v>
      </c>
      <c r="O1102" s="387" t="s">
        <v>150</v>
      </c>
      <c r="P1102" s="387" t="s">
        <v>151</v>
      </c>
      <c r="Q1102" s="387"/>
      <c r="R1102" s="387" t="s">
        <v>6061</v>
      </c>
      <c r="S1102" s="387"/>
      <c r="T1102" s="387" t="s">
        <v>3186</v>
      </c>
      <c r="U1102" s="387" t="s">
        <v>152</v>
      </c>
      <c r="V1102" s="387" t="s">
        <v>23</v>
      </c>
    </row>
    <row r="1103" spans="2:22">
      <c r="B1103" s="389">
        <v>46225</v>
      </c>
      <c r="C1103" s="389">
        <v>46225</v>
      </c>
      <c r="D1103" s="387" t="s">
        <v>6062</v>
      </c>
      <c r="E1103" s="388" t="s">
        <v>6063</v>
      </c>
      <c r="F1103" s="387" t="s">
        <v>87</v>
      </c>
      <c r="G1103" s="387" t="s">
        <v>2632</v>
      </c>
      <c r="H1103" s="393">
        <v>30</v>
      </c>
      <c r="I1103" s="387">
        <v>12.2</v>
      </c>
      <c r="J1103" s="387">
        <v>12.2</v>
      </c>
      <c r="K1103" s="387">
        <v>4</v>
      </c>
      <c r="L1103" s="387">
        <v>0</v>
      </c>
      <c r="M1103" s="387" t="s">
        <v>148</v>
      </c>
      <c r="N1103" s="387" t="s">
        <v>149</v>
      </c>
      <c r="O1103" s="387" t="s">
        <v>150</v>
      </c>
      <c r="P1103" s="387" t="s">
        <v>151</v>
      </c>
      <c r="Q1103" s="387"/>
      <c r="R1103" s="387" t="s">
        <v>6063</v>
      </c>
      <c r="S1103" s="387"/>
      <c r="T1103" s="387" t="s">
        <v>3186</v>
      </c>
      <c r="U1103" s="387" t="s">
        <v>152</v>
      </c>
      <c r="V1103" s="387" t="s">
        <v>23</v>
      </c>
    </row>
    <row r="1104" spans="2:22">
      <c r="B1104" s="389">
        <v>46225</v>
      </c>
      <c r="C1104" s="389">
        <v>46225</v>
      </c>
      <c r="D1104" s="387" t="s">
        <v>6064</v>
      </c>
      <c r="E1104" s="388" t="s">
        <v>6065</v>
      </c>
      <c r="F1104" s="387" t="s">
        <v>87</v>
      </c>
      <c r="G1104" s="387" t="s">
        <v>2553</v>
      </c>
      <c r="H1104" s="393">
        <v>30</v>
      </c>
      <c r="I1104" s="387">
        <v>30.8</v>
      </c>
      <c r="J1104" s="387">
        <v>30.8</v>
      </c>
      <c r="K1104" s="387">
        <v>4</v>
      </c>
      <c r="L1104" s="387">
        <v>0</v>
      </c>
      <c r="M1104" s="387" t="s">
        <v>148</v>
      </c>
      <c r="N1104" s="387" t="s">
        <v>149</v>
      </c>
      <c r="O1104" s="387" t="s">
        <v>150</v>
      </c>
      <c r="P1104" s="387" t="s">
        <v>151</v>
      </c>
      <c r="Q1104" s="387"/>
      <c r="R1104" s="387" t="s">
        <v>6065</v>
      </c>
      <c r="S1104" s="387"/>
      <c r="T1104" s="387" t="s">
        <v>3186</v>
      </c>
      <c r="U1104" s="387" t="s">
        <v>152</v>
      </c>
      <c r="V1104" s="387" t="s">
        <v>23</v>
      </c>
    </row>
    <row r="1105" spans="2:22">
      <c r="B1105" s="389">
        <v>46225</v>
      </c>
      <c r="C1105" s="389">
        <v>46225</v>
      </c>
      <c r="D1105" s="387" t="s">
        <v>6066</v>
      </c>
      <c r="E1105" s="388" t="s">
        <v>6067</v>
      </c>
      <c r="F1105" s="387" t="s">
        <v>87</v>
      </c>
      <c r="G1105" s="387" t="s">
        <v>5706</v>
      </c>
      <c r="H1105" s="393">
        <v>50</v>
      </c>
      <c r="I1105" s="387">
        <v>38.299999999999997</v>
      </c>
      <c r="J1105" s="387">
        <v>38.299999999999997</v>
      </c>
      <c r="K1105" s="387">
        <v>5</v>
      </c>
      <c r="L1105" s="387">
        <v>0</v>
      </c>
      <c r="M1105" s="387" t="s">
        <v>148</v>
      </c>
      <c r="N1105" s="387" t="s">
        <v>149</v>
      </c>
      <c r="O1105" s="387" t="s">
        <v>150</v>
      </c>
      <c r="P1105" s="387" t="s">
        <v>151</v>
      </c>
      <c r="Q1105" s="387"/>
      <c r="R1105" s="387" t="s">
        <v>6067</v>
      </c>
      <c r="S1105" s="387"/>
      <c r="T1105" s="387" t="s">
        <v>3186</v>
      </c>
      <c r="U1105" s="387" t="s">
        <v>152</v>
      </c>
      <c r="V1105" s="387" t="s">
        <v>23</v>
      </c>
    </row>
    <row r="1106" spans="2:22">
      <c r="B1106" s="389">
        <v>46225</v>
      </c>
      <c r="C1106" s="389">
        <v>46225</v>
      </c>
      <c r="D1106" s="387" t="s">
        <v>6068</v>
      </c>
      <c r="E1106" s="388" t="s">
        <v>6069</v>
      </c>
      <c r="F1106" s="387" t="s">
        <v>87</v>
      </c>
      <c r="G1106" s="387" t="s">
        <v>2634</v>
      </c>
      <c r="H1106" s="393">
        <v>32</v>
      </c>
      <c r="I1106" s="387">
        <v>42.8</v>
      </c>
      <c r="J1106" s="387">
        <v>42.8</v>
      </c>
      <c r="K1106" s="387">
        <v>4</v>
      </c>
      <c r="L1106" s="387">
        <v>0</v>
      </c>
      <c r="M1106" s="387" t="s">
        <v>148</v>
      </c>
      <c r="N1106" s="387" t="s">
        <v>149</v>
      </c>
      <c r="O1106" s="387" t="s">
        <v>150</v>
      </c>
      <c r="P1106" s="387" t="s">
        <v>151</v>
      </c>
      <c r="Q1106" s="387"/>
      <c r="R1106" s="387" t="s">
        <v>6069</v>
      </c>
      <c r="S1106" s="387"/>
      <c r="T1106" s="387" t="s">
        <v>3186</v>
      </c>
      <c r="U1106" s="387" t="s">
        <v>152</v>
      </c>
      <c r="V1106" s="387" t="s">
        <v>23</v>
      </c>
    </row>
    <row r="1107" spans="2:22">
      <c r="B1107" s="389">
        <v>46225</v>
      </c>
      <c r="C1107" s="389">
        <v>46225</v>
      </c>
      <c r="D1107" s="387" t="s">
        <v>6070</v>
      </c>
      <c r="E1107" s="388" t="s">
        <v>6071</v>
      </c>
      <c r="F1107" s="387" t="s">
        <v>87</v>
      </c>
      <c r="G1107" s="387" t="s">
        <v>2552</v>
      </c>
      <c r="H1107" s="393">
        <v>40</v>
      </c>
      <c r="I1107" s="387">
        <v>32.299999999999997</v>
      </c>
      <c r="J1107" s="387">
        <v>32.299999999999997</v>
      </c>
      <c r="K1107" s="387">
        <v>5</v>
      </c>
      <c r="L1107" s="387">
        <v>0</v>
      </c>
      <c r="M1107" s="387" t="s">
        <v>148</v>
      </c>
      <c r="N1107" s="387" t="s">
        <v>149</v>
      </c>
      <c r="O1107" s="387" t="s">
        <v>150</v>
      </c>
      <c r="P1107" s="387" t="s">
        <v>151</v>
      </c>
      <c r="Q1107" s="387"/>
      <c r="R1107" s="387" t="s">
        <v>6071</v>
      </c>
      <c r="S1107" s="387"/>
      <c r="T1107" s="387" t="s">
        <v>3186</v>
      </c>
      <c r="U1107" s="387" t="s">
        <v>152</v>
      </c>
      <c r="V1107" s="387" t="s">
        <v>23</v>
      </c>
    </row>
    <row r="1108" spans="2:22">
      <c r="B1108" s="389">
        <v>46225</v>
      </c>
      <c r="C1108" s="389">
        <v>46225</v>
      </c>
      <c r="D1108" s="387" t="s">
        <v>6072</v>
      </c>
      <c r="E1108" s="388" t="s">
        <v>6073</v>
      </c>
      <c r="F1108" s="387" t="s">
        <v>87</v>
      </c>
      <c r="G1108" s="387" t="s">
        <v>2553</v>
      </c>
      <c r="H1108" s="393">
        <v>30</v>
      </c>
      <c r="I1108" s="387">
        <v>26.8</v>
      </c>
      <c r="J1108" s="387">
        <v>26.8</v>
      </c>
      <c r="K1108" s="387">
        <v>4</v>
      </c>
      <c r="L1108" s="387">
        <v>0</v>
      </c>
      <c r="M1108" s="387" t="s">
        <v>148</v>
      </c>
      <c r="N1108" s="387" t="s">
        <v>149</v>
      </c>
      <c r="O1108" s="387" t="s">
        <v>150</v>
      </c>
      <c r="P1108" s="387" t="s">
        <v>151</v>
      </c>
      <c r="Q1108" s="387"/>
      <c r="R1108" s="387" t="s">
        <v>6073</v>
      </c>
      <c r="S1108" s="387"/>
      <c r="T1108" s="387" t="s">
        <v>3186</v>
      </c>
      <c r="U1108" s="387" t="s">
        <v>152</v>
      </c>
      <c r="V1108" s="387" t="s">
        <v>23</v>
      </c>
    </row>
    <row r="1109" spans="2:22">
      <c r="B1109" s="389">
        <v>46225</v>
      </c>
      <c r="C1109" s="389">
        <v>46225</v>
      </c>
      <c r="D1109" s="387" t="s">
        <v>6074</v>
      </c>
      <c r="E1109" s="388" t="s">
        <v>6075</v>
      </c>
      <c r="F1109" s="387" t="s">
        <v>87</v>
      </c>
      <c r="G1109" s="387" t="s">
        <v>2634</v>
      </c>
      <c r="H1109" s="393">
        <v>32</v>
      </c>
      <c r="I1109" s="387">
        <v>48.1</v>
      </c>
      <c r="J1109" s="387">
        <v>48.1</v>
      </c>
      <c r="K1109" s="387">
        <v>4</v>
      </c>
      <c r="L1109" s="387">
        <v>0</v>
      </c>
      <c r="M1109" s="387" t="s">
        <v>148</v>
      </c>
      <c r="N1109" s="387" t="s">
        <v>149</v>
      </c>
      <c r="O1109" s="387" t="s">
        <v>150</v>
      </c>
      <c r="P1109" s="387" t="s">
        <v>151</v>
      </c>
      <c r="Q1109" s="387"/>
      <c r="R1109" s="387" t="s">
        <v>6075</v>
      </c>
      <c r="S1109" s="387"/>
      <c r="T1109" s="387" t="s">
        <v>3186</v>
      </c>
      <c r="U1109" s="387" t="s">
        <v>152</v>
      </c>
      <c r="V1109" s="387" t="s">
        <v>23</v>
      </c>
    </row>
    <row r="1110" spans="2:22">
      <c r="B1110" s="389">
        <v>46225</v>
      </c>
      <c r="C1110" s="389">
        <v>46225</v>
      </c>
      <c r="D1110" s="387" t="s">
        <v>6076</v>
      </c>
      <c r="E1110" s="388" t="s">
        <v>6077</v>
      </c>
      <c r="F1110" s="387" t="s">
        <v>87</v>
      </c>
      <c r="G1110" s="387" t="s">
        <v>5706</v>
      </c>
      <c r="H1110" s="393">
        <v>50</v>
      </c>
      <c r="I1110" s="387">
        <v>37.799999999999997</v>
      </c>
      <c r="J1110" s="387">
        <v>37.799999999999997</v>
      </c>
      <c r="K1110" s="387">
        <v>5</v>
      </c>
      <c r="L1110" s="387">
        <v>0</v>
      </c>
      <c r="M1110" s="387" t="s">
        <v>148</v>
      </c>
      <c r="N1110" s="387" t="s">
        <v>149</v>
      </c>
      <c r="O1110" s="387" t="s">
        <v>150</v>
      </c>
      <c r="P1110" s="387" t="s">
        <v>151</v>
      </c>
      <c r="Q1110" s="387"/>
      <c r="R1110" s="387" t="s">
        <v>6077</v>
      </c>
      <c r="S1110" s="387"/>
      <c r="T1110" s="387" t="s">
        <v>3186</v>
      </c>
      <c r="U1110" s="387" t="s">
        <v>152</v>
      </c>
      <c r="V1110" s="387" t="s">
        <v>23</v>
      </c>
    </row>
    <row r="1111" spans="2:22">
      <c r="B1111" s="389">
        <v>46225</v>
      </c>
      <c r="C1111" s="389">
        <v>46225</v>
      </c>
      <c r="D1111" s="387" t="s">
        <v>6078</v>
      </c>
      <c r="E1111" s="388" t="s">
        <v>6079</v>
      </c>
      <c r="F1111" s="387" t="s">
        <v>87</v>
      </c>
      <c r="G1111" s="387" t="s">
        <v>3866</v>
      </c>
      <c r="H1111" s="393">
        <v>40</v>
      </c>
      <c r="I1111" s="387">
        <v>11.8</v>
      </c>
      <c r="J1111" s="387">
        <v>11.8</v>
      </c>
      <c r="K1111" s="387">
        <v>5</v>
      </c>
      <c r="L1111" s="387">
        <v>0</v>
      </c>
      <c r="M1111" s="387" t="s">
        <v>148</v>
      </c>
      <c r="N1111" s="387" t="s">
        <v>149</v>
      </c>
      <c r="O1111" s="387" t="s">
        <v>150</v>
      </c>
      <c r="P1111" s="387" t="s">
        <v>151</v>
      </c>
      <c r="Q1111" s="387"/>
      <c r="R1111" s="387" t="s">
        <v>6079</v>
      </c>
      <c r="S1111" s="387"/>
      <c r="T1111" s="387" t="s">
        <v>3186</v>
      </c>
      <c r="U1111" s="387" t="s">
        <v>152</v>
      </c>
      <c r="V1111" s="387" t="s">
        <v>23</v>
      </c>
    </row>
    <row r="1112" spans="2:22">
      <c r="B1112" s="389">
        <v>46225</v>
      </c>
      <c r="C1112" s="389">
        <v>46225</v>
      </c>
      <c r="D1112" s="387" t="s">
        <v>6080</v>
      </c>
      <c r="E1112" s="388" t="s">
        <v>6081</v>
      </c>
      <c r="F1112" s="387" t="s">
        <v>87</v>
      </c>
      <c r="G1112" s="387" t="s">
        <v>2552</v>
      </c>
      <c r="H1112" s="393">
        <v>40</v>
      </c>
      <c r="I1112" s="387">
        <v>30.8</v>
      </c>
      <c r="J1112" s="387">
        <v>30.8</v>
      </c>
      <c r="K1112" s="387">
        <v>5</v>
      </c>
      <c r="L1112" s="387">
        <v>0</v>
      </c>
      <c r="M1112" s="387" t="s">
        <v>148</v>
      </c>
      <c r="N1112" s="387" t="s">
        <v>149</v>
      </c>
      <c r="O1112" s="387" t="s">
        <v>150</v>
      </c>
      <c r="P1112" s="387" t="s">
        <v>151</v>
      </c>
      <c r="Q1112" s="387"/>
      <c r="R1112" s="387" t="s">
        <v>6081</v>
      </c>
      <c r="S1112" s="387"/>
      <c r="T1112" s="387" t="s">
        <v>3186</v>
      </c>
      <c r="U1112" s="387" t="s">
        <v>152</v>
      </c>
      <c r="V1112" s="387" t="s">
        <v>23</v>
      </c>
    </row>
    <row r="1113" spans="2:22">
      <c r="B1113" s="389">
        <v>46225</v>
      </c>
      <c r="C1113" s="389">
        <v>46225</v>
      </c>
      <c r="D1113" s="387" t="s">
        <v>6082</v>
      </c>
      <c r="E1113" s="388" t="s">
        <v>6083</v>
      </c>
      <c r="F1113" s="387" t="s">
        <v>87</v>
      </c>
      <c r="G1113" s="387" t="s">
        <v>2632</v>
      </c>
      <c r="H1113" s="393">
        <v>30</v>
      </c>
      <c r="I1113" s="387">
        <v>24.5</v>
      </c>
      <c r="J1113" s="387">
        <v>24.5</v>
      </c>
      <c r="K1113" s="387">
        <v>4</v>
      </c>
      <c r="L1113" s="387">
        <v>0</v>
      </c>
      <c r="M1113" s="387" t="s">
        <v>148</v>
      </c>
      <c r="N1113" s="387" t="s">
        <v>149</v>
      </c>
      <c r="O1113" s="387" t="s">
        <v>150</v>
      </c>
      <c r="P1113" s="387" t="s">
        <v>151</v>
      </c>
      <c r="Q1113" s="387"/>
      <c r="R1113" s="387" t="s">
        <v>6083</v>
      </c>
      <c r="S1113" s="387"/>
      <c r="T1113" s="387" t="s">
        <v>3186</v>
      </c>
      <c r="U1113" s="387" t="s">
        <v>152</v>
      </c>
      <c r="V1113" s="387" t="s">
        <v>23</v>
      </c>
    </row>
    <row r="1114" spans="2:22">
      <c r="B1114" s="389">
        <v>46225</v>
      </c>
      <c r="C1114" s="389">
        <v>46225</v>
      </c>
      <c r="D1114" s="387" t="s">
        <v>6084</v>
      </c>
      <c r="E1114" s="388" t="s">
        <v>6085</v>
      </c>
      <c r="F1114" s="387" t="s">
        <v>87</v>
      </c>
      <c r="G1114" s="387" t="s">
        <v>2634</v>
      </c>
      <c r="H1114" s="393">
        <v>32</v>
      </c>
      <c r="I1114" s="387">
        <v>43.8</v>
      </c>
      <c r="J1114" s="387">
        <v>43.8</v>
      </c>
      <c r="K1114" s="387">
        <v>4</v>
      </c>
      <c r="L1114" s="387">
        <v>0</v>
      </c>
      <c r="M1114" s="387" t="s">
        <v>148</v>
      </c>
      <c r="N1114" s="387" t="s">
        <v>149</v>
      </c>
      <c r="O1114" s="387" t="s">
        <v>150</v>
      </c>
      <c r="P1114" s="387" t="s">
        <v>151</v>
      </c>
      <c r="Q1114" s="387"/>
      <c r="R1114" s="387" t="s">
        <v>6085</v>
      </c>
      <c r="S1114" s="387"/>
      <c r="T1114" s="387" t="s">
        <v>3186</v>
      </c>
      <c r="U1114" s="387" t="s">
        <v>152</v>
      </c>
      <c r="V1114" s="387" t="s">
        <v>23</v>
      </c>
    </row>
    <row r="1115" spans="2:22">
      <c r="B1115" s="389">
        <v>46225</v>
      </c>
      <c r="C1115" s="389">
        <v>46225</v>
      </c>
      <c r="D1115" s="387" t="s">
        <v>6086</v>
      </c>
      <c r="E1115" s="388" t="s">
        <v>6087</v>
      </c>
      <c r="F1115" s="387" t="s">
        <v>87</v>
      </c>
      <c r="G1115" s="387" t="s">
        <v>5706</v>
      </c>
      <c r="H1115" s="393">
        <v>50</v>
      </c>
      <c r="I1115" s="387">
        <v>41</v>
      </c>
      <c r="J1115" s="387">
        <v>41</v>
      </c>
      <c r="K1115" s="387">
        <v>5</v>
      </c>
      <c r="L1115" s="387">
        <v>0</v>
      </c>
      <c r="M1115" s="387" t="s">
        <v>148</v>
      </c>
      <c r="N1115" s="387" t="s">
        <v>149</v>
      </c>
      <c r="O1115" s="387" t="s">
        <v>150</v>
      </c>
      <c r="P1115" s="387" t="s">
        <v>151</v>
      </c>
      <c r="Q1115" s="387"/>
      <c r="R1115" s="387" t="s">
        <v>6087</v>
      </c>
      <c r="S1115" s="387"/>
      <c r="T1115" s="387" t="s">
        <v>3186</v>
      </c>
      <c r="U1115" s="387" t="s">
        <v>152</v>
      </c>
      <c r="V1115" s="387" t="s">
        <v>23</v>
      </c>
    </row>
    <row r="1116" spans="2:22">
      <c r="B1116" s="389">
        <v>46225</v>
      </c>
      <c r="C1116" s="389">
        <v>46225</v>
      </c>
      <c r="D1116" s="387" t="s">
        <v>6088</v>
      </c>
      <c r="E1116" s="388" t="s">
        <v>6089</v>
      </c>
      <c r="F1116" s="387" t="s">
        <v>87</v>
      </c>
      <c r="G1116" s="387" t="s">
        <v>2632</v>
      </c>
      <c r="H1116" s="393">
        <v>30</v>
      </c>
      <c r="I1116" s="387">
        <v>32.200000000000003</v>
      </c>
      <c r="J1116" s="387">
        <v>32.200000000000003</v>
      </c>
      <c r="K1116" s="387">
        <v>4</v>
      </c>
      <c r="L1116" s="387">
        <v>0</v>
      </c>
      <c r="M1116" s="387" t="s">
        <v>148</v>
      </c>
      <c r="N1116" s="387" t="s">
        <v>149</v>
      </c>
      <c r="O1116" s="387" t="s">
        <v>150</v>
      </c>
      <c r="P1116" s="387" t="s">
        <v>151</v>
      </c>
      <c r="Q1116" s="387"/>
      <c r="R1116" s="387" t="s">
        <v>6089</v>
      </c>
      <c r="S1116" s="387"/>
      <c r="T1116" s="387" t="s">
        <v>3186</v>
      </c>
      <c r="U1116" s="387" t="s">
        <v>152</v>
      </c>
      <c r="V1116" s="387" t="s">
        <v>23</v>
      </c>
    </row>
    <row r="1117" spans="2:22">
      <c r="B1117" s="389">
        <v>46225</v>
      </c>
      <c r="C1117" s="389">
        <v>46225</v>
      </c>
      <c r="D1117" s="387" t="s">
        <v>6090</v>
      </c>
      <c r="E1117" s="388" t="s">
        <v>6091</v>
      </c>
      <c r="F1117" s="387" t="s">
        <v>87</v>
      </c>
      <c r="G1117" s="387" t="s">
        <v>2552</v>
      </c>
      <c r="H1117" s="393">
        <v>40</v>
      </c>
      <c r="I1117" s="387">
        <v>35.799999999999997</v>
      </c>
      <c r="J1117" s="387">
        <v>35.799999999999997</v>
      </c>
      <c r="K1117" s="387">
        <v>5</v>
      </c>
      <c r="L1117" s="387">
        <v>0</v>
      </c>
      <c r="M1117" s="387" t="s">
        <v>148</v>
      </c>
      <c r="N1117" s="387" t="s">
        <v>149</v>
      </c>
      <c r="O1117" s="387" t="s">
        <v>150</v>
      </c>
      <c r="P1117" s="387" t="s">
        <v>151</v>
      </c>
      <c r="Q1117" s="387"/>
      <c r="R1117" s="387" t="s">
        <v>6091</v>
      </c>
      <c r="S1117" s="387"/>
      <c r="T1117" s="387" t="s">
        <v>3186</v>
      </c>
      <c r="U1117" s="387" t="s">
        <v>152</v>
      </c>
      <c r="V1117" s="387" t="s">
        <v>23</v>
      </c>
    </row>
    <row r="1118" spans="2:22">
      <c r="B1118" s="389">
        <v>46226</v>
      </c>
      <c r="C1118" s="389">
        <v>46226</v>
      </c>
      <c r="D1118" s="387" t="s">
        <v>6092</v>
      </c>
      <c r="E1118" s="388" t="s">
        <v>6093</v>
      </c>
      <c r="F1118" s="387" t="s">
        <v>87</v>
      </c>
      <c r="G1118" s="387" t="s">
        <v>2553</v>
      </c>
      <c r="H1118" s="393">
        <v>30</v>
      </c>
      <c r="I1118" s="387">
        <v>33.799999999999997</v>
      </c>
      <c r="J1118" s="387">
        <v>33.799999999999997</v>
      </c>
      <c r="K1118" s="387">
        <v>4</v>
      </c>
      <c r="L1118" s="387">
        <v>0</v>
      </c>
      <c r="M1118" s="387" t="s">
        <v>148</v>
      </c>
      <c r="N1118" s="387" t="s">
        <v>149</v>
      </c>
      <c r="O1118" s="387" t="s">
        <v>150</v>
      </c>
      <c r="P1118" s="387" t="s">
        <v>151</v>
      </c>
      <c r="Q1118" s="387"/>
      <c r="R1118" s="387" t="s">
        <v>6093</v>
      </c>
      <c r="S1118" s="387"/>
      <c r="T1118" s="387" t="s">
        <v>3214</v>
      </c>
      <c r="U1118" s="387" t="s">
        <v>152</v>
      </c>
      <c r="V1118" s="387" t="s">
        <v>23</v>
      </c>
    </row>
    <row r="1119" spans="2:22">
      <c r="B1119" s="389">
        <v>46226</v>
      </c>
      <c r="C1119" s="389">
        <v>46226</v>
      </c>
      <c r="D1119" s="387" t="s">
        <v>6094</v>
      </c>
      <c r="E1119" s="388" t="s">
        <v>6095</v>
      </c>
      <c r="F1119" s="387" t="s">
        <v>87</v>
      </c>
      <c r="G1119" s="387" t="s">
        <v>2634</v>
      </c>
      <c r="H1119" s="393">
        <v>32</v>
      </c>
      <c r="I1119" s="387">
        <v>37.799999999999997</v>
      </c>
      <c r="J1119" s="387">
        <v>37.799999999999997</v>
      </c>
      <c r="K1119" s="387">
        <v>4</v>
      </c>
      <c r="L1119" s="387">
        <v>0</v>
      </c>
      <c r="M1119" s="387" t="s">
        <v>148</v>
      </c>
      <c r="N1119" s="387" t="s">
        <v>149</v>
      </c>
      <c r="O1119" s="387" t="s">
        <v>150</v>
      </c>
      <c r="P1119" s="387" t="s">
        <v>151</v>
      </c>
      <c r="Q1119" s="387"/>
      <c r="R1119" s="387" t="s">
        <v>6095</v>
      </c>
      <c r="S1119" s="387"/>
      <c r="T1119" s="387" t="s">
        <v>3214</v>
      </c>
      <c r="U1119" s="387" t="s">
        <v>152</v>
      </c>
      <c r="V1119" s="387" t="s">
        <v>23</v>
      </c>
    </row>
    <row r="1120" spans="2:22">
      <c r="B1120" s="389">
        <v>46226</v>
      </c>
      <c r="C1120" s="389">
        <v>46226</v>
      </c>
      <c r="D1120" s="387" t="s">
        <v>6096</v>
      </c>
      <c r="E1120" s="388" t="s">
        <v>6097</v>
      </c>
      <c r="F1120" s="387" t="s">
        <v>87</v>
      </c>
      <c r="G1120" s="387" t="s">
        <v>3866</v>
      </c>
      <c r="H1120" s="393">
        <v>40</v>
      </c>
      <c r="I1120" s="387">
        <v>25.8</v>
      </c>
      <c r="J1120" s="387">
        <v>25.8</v>
      </c>
      <c r="K1120" s="387">
        <v>5</v>
      </c>
      <c r="L1120" s="387">
        <v>0</v>
      </c>
      <c r="M1120" s="387" t="s">
        <v>148</v>
      </c>
      <c r="N1120" s="387" t="s">
        <v>149</v>
      </c>
      <c r="O1120" s="387" t="s">
        <v>150</v>
      </c>
      <c r="P1120" s="387" t="s">
        <v>151</v>
      </c>
      <c r="Q1120" s="387"/>
      <c r="R1120" s="387" t="s">
        <v>6097</v>
      </c>
      <c r="S1120" s="387"/>
      <c r="T1120" s="387" t="s">
        <v>3214</v>
      </c>
      <c r="U1120" s="387" t="s">
        <v>152</v>
      </c>
      <c r="V1120" s="387" t="s">
        <v>23</v>
      </c>
    </row>
    <row r="1121" spans="2:22">
      <c r="B1121" s="389">
        <v>46226</v>
      </c>
      <c r="C1121" s="389">
        <v>46226</v>
      </c>
      <c r="D1121" s="387" t="s">
        <v>6098</v>
      </c>
      <c r="E1121" s="388" t="s">
        <v>6099</v>
      </c>
      <c r="F1121" s="387" t="s">
        <v>87</v>
      </c>
      <c r="G1121" s="387" t="s">
        <v>2553</v>
      </c>
      <c r="H1121" s="393">
        <v>30</v>
      </c>
      <c r="I1121" s="387">
        <v>40.1</v>
      </c>
      <c r="J1121" s="387">
        <v>40.1</v>
      </c>
      <c r="K1121" s="387">
        <v>4</v>
      </c>
      <c r="L1121" s="387">
        <v>0</v>
      </c>
      <c r="M1121" s="387" t="s">
        <v>148</v>
      </c>
      <c r="N1121" s="387" t="s">
        <v>149</v>
      </c>
      <c r="O1121" s="387" t="s">
        <v>150</v>
      </c>
      <c r="P1121" s="387" t="s">
        <v>151</v>
      </c>
      <c r="Q1121" s="387"/>
      <c r="R1121" s="387" t="s">
        <v>6099</v>
      </c>
      <c r="S1121" s="387"/>
      <c r="T1121" s="387" t="s">
        <v>3214</v>
      </c>
      <c r="U1121" s="387" t="s">
        <v>152</v>
      </c>
      <c r="V1121" s="387" t="s">
        <v>23</v>
      </c>
    </row>
    <row r="1122" spans="2:22">
      <c r="B1122" s="389">
        <v>46226</v>
      </c>
      <c r="C1122" s="389">
        <v>46226</v>
      </c>
      <c r="D1122" s="387" t="s">
        <v>6100</v>
      </c>
      <c r="E1122" s="388" t="s">
        <v>6101</v>
      </c>
      <c r="F1122" s="387" t="s">
        <v>87</v>
      </c>
      <c r="G1122" s="387" t="s">
        <v>2553</v>
      </c>
      <c r="H1122" s="393">
        <v>30</v>
      </c>
      <c r="I1122" s="387">
        <v>30.2</v>
      </c>
      <c r="J1122" s="387">
        <v>30.2</v>
      </c>
      <c r="K1122" s="387">
        <v>4</v>
      </c>
      <c r="L1122" s="387">
        <v>0</v>
      </c>
      <c r="M1122" s="387" t="s">
        <v>148</v>
      </c>
      <c r="N1122" s="387" t="s">
        <v>149</v>
      </c>
      <c r="O1122" s="387" t="s">
        <v>150</v>
      </c>
      <c r="P1122" s="387" t="s">
        <v>151</v>
      </c>
      <c r="Q1122" s="387"/>
      <c r="R1122" s="387" t="s">
        <v>6101</v>
      </c>
      <c r="S1122" s="387"/>
      <c r="T1122" s="387" t="s">
        <v>3214</v>
      </c>
      <c r="U1122" s="387" t="s">
        <v>152</v>
      </c>
      <c r="V1122" s="387" t="s">
        <v>23</v>
      </c>
    </row>
    <row r="1123" spans="2:22">
      <c r="B1123" s="389">
        <v>46226</v>
      </c>
      <c r="C1123" s="389">
        <v>46226</v>
      </c>
      <c r="D1123" s="387" t="s">
        <v>6102</v>
      </c>
      <c r="E1123" s="388" t="s">
        <v>6103</v>
      </c>
      <c r="F1123" s="387" t="s">
        <v>87</v>
      </c>
      <c r="G1123" s="387" t="s">
        <v>5706</v>
      </c>
      <c r="H1123" s="393">
        <v>50</v>
      </c>
      <c r="I1123" s="387">
        <v>50.8</v>
      </c>
      <c r="J1123" s="387">
        <v>50.8</v>
      </c>
      <c r="K1123" s="387">
        <v>5</v>
      </c>
      <c r="L1123" s="387">
        <v>0</v>
      </c>
      <c r="M1123" s="387" t="s">
        <v>148</v>
      </c>
      <c r="N1123" s="387" t="s">
        <v>149</v>
      </c>
      <c r="O1123" s="387" t="s">
        <v>150</v>
      </c>
      <c r="P1123" s="387" t="s">
        <v>151</v>
      </c>
      <c r="Q1123" s="387"/>
      <c r="R1123" s="387" t="s">
        <v>6103</v>
      </c>
      <c r="S1123" s="387"/>
      <c r="T1123" s="387" t="s">
        <v>3214</v>
      </c>
      <c r="U1123" s="387" t="s">
        <v>152</v>
      </c>
      <c r="V1123" s="387" t="s">
        <v>23</v>
      </c>
    </row>
    <row r="1124" spans="2:22">
      <c r="B1124" s="389">
        <v>46226</v>
      </c>
      <c r="C1124" s="389">
        <v>46226</v>
      </c>
      <c r="D1124" s="387" t="s">
        <v>6104</v>
      </c>
      <c r="E1124" s="388" t="s">
        <v>6105</v>
      </c>
      <c r="F1124" s="387" t="s">
        <v>87</v>
      </c>
      <c r="G1124" s="387" t="s">
        <v>2552</v>
      </c>
      <c r="H1124" s="393">
        <v>40</v>
      </c>
      <c r="I1124" s="387">
        <v>36.299999999999997</v>
      </c>
      <c r="J1124" s="387">
        <v>36.299999999999997</v>
      </c>
      <c r="K1124" s="387">
        <v>5</v>
      </c>
      <c r="L1124" s="387">
        <v>0</v>
      </c>
      <c r="M1124" s="387" t="s">
        <v>148</v>
      </c>
      <c r="N1124" s="387" t="s">
        <v>149</v>
      </c>
      <c r="O1124" s="387" t="s">
        <v>150</v>
      </c>
      <c r="P1124" s="387" t="s">
        <v>151</v>
      </c>
      <c r="Q1124" s="387"/>
      <c r="R1124" s="387" t="s">
        <v>6105</v>
      </c>
      <c r="S1124" s="387"/>
      <c r="T1124" s="387" t="s">
        <v>3214</v>
      </c>
      <c r="U1124" s="387" t="s">
        <v>152</v>
      </c>
      <c r="V1124" s="387" t="s">
        <v>23</v>
      </c>
    </row>
    <row r="1125" spans="2:22">
      <c r="B1125" s="389">
        <v>46226</v>
      </c>
      <c r="C1125" s="389">
        <v>46226</v>
      </c>
      <c r="D1125" s="387" t="s">
        <v>6106</v>
      </c>
      <c r="E1125" s="388" t="s">
        <v>6107</v>
      </c>
      <c r="F1125" s="387" t="s">
        <v>87</v>
      </c>
      <c r="G1125" s="387" t="s">
        <v>2552</v>
      </c>
      <c r="H1125" s="393">
        <v>40</v>
      </c>
      <c r="I1125" s="387">
        <v>33.4</v>
      </c>
      <c r="J1125" s="387">
        <v>33.4</v>
      </c>
      <c r="K1125" s="387">
        <v>5</v>
      </c>
      <c r="L1125" s="387">
        <v>0</v>
      </c>
      <c r="M1125" s="387" t="s">
        <v>148</v>
      </c>
      <c r="N1125" s="387" t="s">
        <v>149</v>
      </c>
      <c r="O1125" s="387" t="s">
        <v>150</v>
      </c>
      <c r="P1125" s="387" t="s">
        <v>151</v>
      </c>
      <c r="Q1125" s="387"/>
      <c r="R1125" s="387" t="s">
        <v>6107</v>
      </c>
      <c r="S1125" s="387"/>
      <c r="T1125" s="387" t="s">
        <v>3214</v>
      </c>
      <c r="U1125" s="387" t="s">
        <v>152</v>
      </c>
      <c r="V1125" s="387" t="s">
        <v>23</v>
      </c>
    </row>
    <row r="1126" spans="2:22">
      <c r="B1126" s="389">
        <v>46226</v>
      </c>
      <c r="C1126" s="389">
        <v>46226</v>
      </c>
      <c r="D1126" s="387" t="s">
        <v>6108</v>
      </c>
      <c r="E1126" s="388" t="s">
        <v>6109</v>
      </c>
      <c r="F1126" s="387" t="s">
        <v>87</v>
      </c>
      <c r="G1126" s="387" t="s">
        <v>2553</v>
      </c>
      <c r="H1126" s="393">
        <v>30</v>
      </c>
      <c r="I1126" s="387">
        <v>31</v>
      </c>
      <c r="J1126" s="387">
        <v>31</v>
      </c>
      <c r="K1126" s="387">
        <v>4</v>
      </c>
      <c r="L1126" s="387">
        <v>0</v>
      </c>
      <c r="M1126" s="387" t="s">
        <v>148</v>
      </c>
      <c r="N1126" s="387" t="s">
        <v>149</v>
      </c>
      <c r="O1126" s="387" t="s">
        <v>150</v>
      </c>
      <c r="P1126" s="387" t="s">
        <v>151</v>
      </c>
      <c r="Q1126" s="387"/>
      <c r="R1126" s="387" t="s">
        <v>6109</v>
      </c>
      <c r="S1126" s="387"/>
      <c r="T1126" s="387" t="s">
        <v>3214</v>
      </c>
      <c r="U1126" s="387" t="s">
        <v>152</v>
      </c>
      <c r="V1126" s="387" t="s">
        <v>23</v>
      </c>
    </row>
    <row r="1127" spans="2:22">
      <c r="B1127" s="389">
        <v>46226</v>
      </c>
      <c r="C1127" s="389">
        <v>46226</v>
      </c>
      <c r="D1127" s="387" t="s">
        <v>6110</v>
      </c>
      <c r="E1127" s="388" t="s">
        <v>6111</v>
      </c>
      <c r="F1127" s="387" t="s">
        <v>87</v>
      </c>
      <c r="G1127" s="387" t="s">
        <v>2634</v>
      </c>
      <c r="H1127" s="393">
        <v>32</v>
      </c>
      <c r="I1127" s="387">
        <v>35.799999999999997</v>
      </c>
      <c r="J1127" s="387">
        <v>35.799999999999997</v>
      </c>
      <c r="K1127" s="387">
        <v>4</v>
      </c>
      <c r="L1127" s="387">
        <v>0</v>
      </c>
      <c r="M1127" s="387" t="s">
        <v>148</v>
      </c>
      <c r="N1127" s="387" t="s">
        <v>149</v>
      </c>
      <c r="O1127" s="387" t="s">
        <v>150</v>
      </c>
      <c r="P1127" s="387" t="s">
        <v>151</v>
      </c>
      <c r="Q1127" s="387"/>
      <c r="R1127" s="387" t="s">
        <v>6111</v>
      </c>
      <c r="S1127" s="387"/>
      <c r="T1127" s="387" t="s">
        <v>3214</v>
      </c>
      <c r="U1127" s="387" t="s">
        <v>152</v>
      </c>
      <c r="V1127" s="387" t="s">
        <v>23</v>
      </c>
    </row>
    <row r="1128" spans="2:22">
      <c r="B1128" s="389">
        <v>46226</v>
      </c>
      <c r="C1128" s="389">
        <v>46226</v>
      </c>
      <c r="D1128" s="387" t="s">
        <v>6112</v>
      </c>
      <c r="E1128" s="388" t="s">
        <v>6113</v>
      </c>
      <c r="F1128" s="387" t="s">
        <v>87</v>
      </c>
      <c r="G1128" s="387" t="s">
        <v>3866</v>
      </c>
      <c r="H1128" s="393">
        <v>40</v>
      </c>
      <c r="I1128" s="387">
        <v>32.799999999999997</v>
      </c>
      <c r="J1128" s="387">
        <v>32.799999999999997</v>
      </c>
      <c r="K1128" s="387">
        <v>5</v>
      </c>
      <c r="L1128" s="387">
        <v>0</v>
      </c>
      <c r="M1128" s="387" t="s">
        <v>148</v>
      </c>
      <c r="N1128" s="387" t="s">
        <v>149</v>
      </c>
      <c r="O1128" s="387" t="s">
        <v>150</v>
      </c>
      <c r="P1128" s="387" t="s">
        <v>151</v>
      </c>
      <c r="Q1128" s="387"/>
      <c r="R1128" s="387" t="s">
        <v>6113</v>
      </c>
      <c r="S1128" s="387"/>
      <c r="T1128" s="387" t="s">
        <v>3214</v>
      </c>
      <c r="U1128" s="387" t="s">
        <v>152</v>
      </c>
      <c r="V1128" s="387" t="s">
        <v>23</v>
      </c>
    </row>
    <row r="1129" spans="2:22">
      <c r="B1129" s="389">
        <v>46226</v>
      </c>
      <c r="C1129" s="389">
        <v>46226</v>
      </c>
      <c r="D1129" s="387" t="s">
        <v>6114</v>
      </c>
      <c r="E1129" s="388" t="s">
        <v>6115</v>
      </c>
      <c r="F1129" s="387" t="s">
        <v>87</v>
      </c>
      <c r="G1129" s="387" t="s">
        <v>5706</v>
      </c>
      <c r="H1129" s="393">
        <v>50</v>
      </c>
      <c r="I1129" s="387">
        <v>29.8</v>
      </c>
      <c r="J1129" s="387">
        <v>29.8</v>
      </c>
      <c r="K1129" s="387">
        <v>5</v>
      </c>
      <c r="L1129" s="387">
        <v>0</v>
      </c>
      <c r="M1129" s="387" t="s">
        <v>148</v>
      </c>
      <c r="N1129" s="387" t="s">
        <v>149</v>
      </c>
      <c r="O1129" s="387" t="s">
        <v>150</v>
      </c>
      <c r="P1129" s="387" t="s">
        <v>151</v>
      </c>
      <c r="Q1129" s="387"/>
      <c r="R1129" s="387" t="s">
        <v>6115</v>
      </c>
      <c r="S1129" s="387"/>
      <c r="T1129" s="387" t="s">
        <v>3214</v>
      </c>
      <c r="U1129" s="387" t="s">
        <v>152</v>
      </c>
      <c r="V1129" s="387" t="s">
        <v>23</v>
      </c>
    </row>
    <row r="1130" spans="2:22">
      <c r="B1130" s="389">
        <v>46226</v>
      </c>
      <c r="C1130" s="389">
        <v>46226</v>
      </c>
      <c r="D1130" s="387" t="s">
        <v>6116</v>
      </c>
      <c r="E1130" s="388" t="s">
        <v>6117</v>
      </c>
      <c r="F1130" s="387" t="s">
        <v>87</v>
      </c>
      <c r="G1130" s="387" t="s">
        <v>2553</v>
      </c>
      <c r="H1130" s="393">
        <v>30</v>
      </c>
      <c r="I1130" s="387">
        <v>30.6</v>
      </c>
      <c r="J1130" s="387">
        <v>30.6</v>
      </c>
      <c r="K1130" s="387">
        <v>4</v>
      </c>
      <c r="L1130" s="387">
        <v>0</v>
      </c>
      <c r="M1130" s="387" t="s">
        <v>148</v>
      </c>
      <c r="N1130" s="387" t="s">
        <v>149</v>
      </c>
      <c r="O1130" s="387" t="s">
        <v>150</v>
      </c>
      <c r="P1130" s="387" t="s">
        <v>151</v>
      </c>
      <c r="Q1130" s="387"/>
      <c r="R1130" s="387" t="s">
        <v>6117</v>
      </c>
      <c r="S1130" s="387"/>
      <c r="T1130" s="387" t="s">
        <v>3214</v>
      </c>
      <c r="U1130" s="387" t="s">
        <v>152</v>
      </c>
      <c r="V1130" s="387" t="s">
        <v>23</v>
      </c>
    </row>
    <row r="1131" spans="2:22">
      <c r="B1131" s="389">
        <v>46226</v>
      </c>
      <c r="C1131" s="389">
        <v>46226</v>
      </c>
      <c r="D1131" s="387" t="s">
        <v>6118</v>
      </c>
      <c r="E1131" s="388" t="s">
        <v>6119</v>
      </c>
      <c r="F1131" s="387" t="s">
        <v>87</v>
      </c>
      <c r="G1131" s="387" t="s">
        <v>2634</v>
      </c>
      <c r="H1131" s="393">
        <v>32</v>
      </c>
      <c r="I1131" s="387">
        <v>23.8</v>
      </c>
      <c r="J1131" s="387">
        <v>23.8</v>
      </c>
      <c r="K1131" s="387">
        <v>4</v>
      </c>
      <c r="L1131" s="387">
        <v>0</v>
      </c>
      <c r="M1131" s="387" t="s">
        <v>148</v>
      </c>
      <c r="N1131" s="387" t="s">
        <v>149</v>
      </c>
      <c r="O1131" s="387" t="s">
        <v>150</v>
      </c>
      <c r="P1131" s="387" t="s">
        <v>151</v>
      </c>
      <c r="Q1131" s="387"/>
      <c r="R1131" s="387" t="s">
        <v>6119</v>
      </c>
      <c r="S1131" s="387"/>
      <c r="T1131" s="387" t="s">
        <v>3214</v>
      </c>
      <c r="U1131" s="387" t="s">
        <v>152</v>
      </c>
      <c r="V1131" s="387" t="s">
        <v>23</v>
      </c>
    </row>
    <row r="1132" spans="2:22">
      <c r="B1132" s="389">
        <v>46226</v>
      </c>
      <c r="C1132" s="389">
        <v>46226</v>
      </c>
      <c r="D1132" s="387" t="s">
        <v>6120</v>
      </c>
      <c r="E1132" s="388" t="s">
        <v>6121</v>
      </c>
      <c r="F1132" s="387" t="s">
        <v>87</v>
      </c>
      <c r="G1132" s="387" t="s">
        <v>1713</v>
      </c>
      <c r="H1132" s="393">
        <v>30</v>
      </c>
      <c r="I1132" s="387">
        <v>25.8</v>
      </c>
      <c r="J1132" s="387">
        <v>25.8</v>
      </c>
      <c r="K1132" s="387">
        <v>4</v>
      </c>
      <c r="L1132" s="387">
        <v>0</v>
      </c>
      <c r="M1132" s="387" t="s">
        <v>148</v>
      </c>
      <c r="N1132" s="387" t="s">
        <v>149</v>
      </c>
      <c r="O1132" s="387" t="s">
        <v>150</v>
      </c>
      <c r="P1132" s="387" t="s">
        <v>151</v>
      </c>
      <c r="Q1132" s="387"/>
      <c r="R1132" s="387" t="s">
        <v>6121</v>
      </c>
      <c r="S1132" s="387"/>
      <c r="T1132" s="387" t="s">
        <v>3214</v>
      </c>
      <c r="U1132" s="387" t="s">
        <v>152</v>
      </c>
      <c r="V1132" s="387" t="s">
        <v>23</v>
      </c>
    </row>
    <row r="1133" spans="2:22">
      <c r="B1133" s="389">
        <v>46226</v>
      </c>
      <c r="C1133" s="389">
        <v>46226</v>
      </c>
      <c r="D1133" s="387" t="s">
        <v>6122</v>
      </c>
      <c r="E1133" s="388" t="s">
        <v>6123</v>
      </c>
      <c r="F1133" s="387" t="s">
        <v>87</v>
      </c>
      <c r="G1133" s="387" t="s">
        <v>3866</v>
      </c>
      <c r="H1133" s="393">
        <v>40</v>
      </c>
      <c r="I1133" s="387">
        <v>16.8</v>
      </c>
      <c r="J1133" s="387">
        <v>16.8</v>
      </c>
      <c r="K1133" s="387">
        <v>5</v>
      </c>
      <c r="L1133" s="387">
        <v>0</v>
      </c>
      <c r="M1133" s="387" t="s">
        <v>148</v>
      </c>
      <c r="N1133" s="387" t="s">
        <v>149</v>
      </c>
      <c r="O1133" s="387" t="s">
        <v>150</v>
      </c>
      <c r="P1133" s="387" t="s">
        <v>151</v>
      </c>
      <c r="Q1133" s="387"/>
      <c r="R1133" s="387" t="s">
        <v>6123</v>
      </c>
      <c r="S1133" s="387"/>
      <c r="T1133" s="387" t="s">
        <v>3214</v>
      </c>
      <c r="U1133" s="387" t="s">
        <v>152</v>
      </c>
      <c r="V1133" s="387" t="s">
        <v>23</v>
      </c>
    </row>
    <row r="1134" spans="2:22">
      <c r="B1134" s="389">
        <v>46226</v>
      </c>
      <c r="C1134" s="389">
        <v>46226</v>
      </c>
      <c r="D1134" s="387" t="s">
        <v>6124</v>
      </c>
      <c r="E1134" s="388" t="s">
        <v>6125</v>
      </c>
      <c r="F1134" s="387" t="s">
        <v>87</v>
      </c>
      <c r="G1134" s="387" t="s">
        <v>2553</v>
      </c>
      <c r="H1134" s="393">
        <v>30</v>
      </c>
      <c r="I1134" s="387">
        <v>38.799999999999997</v>
      </c>
      <c r="J1134" s="387">
        <v>38.799999999999997</v>
      </c>
      <c r="K1134" s="387">
        <v>4</v>
      </c>
      <c r="L1134" s="387">
        <v>0</v>
      </c>
      <c r="M1134" s="387" t="s">
        <v>148</v>
      </c>
      <c r="N1134" s="387" t="s">
        <v>149</v>
      </c>
      <c r="O1134" s="387" t="s">
        <v>150</v>
      </c>
      <c r="P1134" s="387" t="s">
        <v>151</v>
      </c>
      <c r="Q1134" s="387"/>
      <c r="R1134" s="387" t="s">
        <v>6125</v>
      </c>
      <c r="S1134" s="387"/>
      <c r="T1134" s="387" t="s">
        <v>3214</v>
      </c>
      <c r="U1134" s="387" t="s">
        <v>152</v>
      </c>
      <c r="V1134" s="387" t="s">
        <v>23</v>
      </c>
    </row>
    <row r="1135" spans="2:22">
      <c r="B1135" s="389">
        <v>46226</v>
      </c>
      <c r="C1135" s="389">
        <v>46226</v>
      </c>
      <c r="D1135" s="387" t="s">
        <v>6126</v>
      </c>
      <c r="E1135" s="388" t="s">
        <v>6127</v>
      </c>
      <c r="F1135" s="387" t="s">
        <v>87</v>
      </c>
      <c r="G1135" s="387" t="s">
        <v>2634</v>
      </c>
      <c r="H1135" s="393">
        <v>32</v>
      </c>
      <c r="I1135" s="387">
        <v>38.200000000000003</v>
      </c>
      <c r="J1135" s="387">
        <v>38.200000000000003</v>
      </c>
      <c r="K1135" s="387">
        <v>4</v>
      </c>
      <c r="L1135" s="387">
        <v>0</v>
      </c>
      <c r="M1135" s="387" t="s">
        <v>148</v>
      </c>
      <c r="N1135" s="387" t="s">
        <v>149</v>
      </c>
      <c r="O1135" s="387" t="s">
        <v>150</v>
      </c>
      <c r="P1135" s="387" t="s">
        <v>151</v>
      </c>
      <c r="Q1135" s="387"/>
      <c r="R1135" s="387" t="s">
        <v>6127</v>
      </c>
      <c r="S1135" s="387"/>
      <c r="T1135" s="387" t="s">
        <v>3214</v>
      </c>
      <c r="U1135" s="387" t="s">
        <v>152</v>
      </c>
      <c r="V1135" s="387" t="s">
        <v>23</v>
      </c>
    </row>
    <row r="1136" spans="2:22">
      <c r="B1136" s="389">
        <v>46226</v>
      </c>
      <c r="C1136" s="389">
        <v>46226</v>
      </c>
      <c r="D1136" s="387" t="s">
        <v>6128</v>
      </c>
      <c r="E1136" s="388" t="s">
        <v>6129</v>
      </c>
      <c r="F1136" s="387" t="s">
        <v>87</v>
      </c>
      <c r="G1136" s="387" t="s">
        <v>2552</v>
      </c>
      <c r="H1136" s="393">
        <v>40</v>
      </c>
      <c r="I1136" s="387">
        <v>33.799999999999997</v>
      </c>
      <c r="J1136" s="387">
        <v>33.799999999999997</v>
      </c>
      <c r="K1136" s="387">
        <v>5</v>
      </c>
      <c r="L1136" s="387">
        <v>0</v>
      </c>
      <c r="M1136" s="387" t="s">
        <v>148</v>
      </c>
      <c r="N1136" s="387" t="s">
        <v>149</v>
      </c>
      <c r="O1136" s="387" t="s">
        <v>150</v>
      </c>
      <c r="P1136" s="387" t="s">
        <v>151</v>
      </c>
      <c r="Q1136" s="387"/>
      <c r="R1136" s="387" t="s">
        <v>6129</v>
      </c>
      <c r="S1136" s="387"/>
      <c r="T1136" s="387" t="s">
        <v>3214</v>
      </c>
      <c r="U1136" s="387" t="s">
        <v>152</v>
      </c>
      <c r="V1136" s="387" t="s">
        <v>23</v>
      </c>
    </row>
    <row r="1137" spans="2:22">
      <c r="B1137" s="389">
        <v>46226</v>
      </c>
      <c r="C1137" s="389">
        <v>46226</v>
      </c>
      <c r="D1137" s="387" t="s">
        <v>6130</v>
      </c>
      <c r="E1137" s="388" t="s">
        <v>6131</v>
      </c>
      <c r="F1137" s="387" t="s">
        <v>87</v>
      </c>
      <c r="G1137" s="387" t="s">
        <v>2552</v>
      </c>
      <c r="H1137" s="393">
        <v>40</v>
      </c>
      <c r="I1137" s="387">
        <v>34.799999999999997</v>
      </c>
      <c r="J1137" s="387">
        <v>34.799999999999997</v>
      </c>
      <c r="K1137" s="387">
        <v>5</v>
      </c>
      <c r="L1137" s="387">
        <v>0</v>
      </c>
      <c r="M1137" s="387" t="s">
        <v>148</v>
      </c>
      <c r="N1137" s="387" t="s">
        <v>149</v>
      </c>
      <c r="O1137" s="387" t="s">
        <v>150</v>
      </c>
      <c r="P1137" s="387" t="s">
        <v>151</v>
      </c>
      <c r="Q1137" s="387"/>
      <c r="R1137" s="387" t="s">
        <v>6131</v>
      </c>
      <c r="S1137" s="387"/>
      <c r="T1137" s="387" t="s">
        <v>3214</v>
      </c>
      <c r="U1137" s="387" t="s">
        <v>152</v>
      </c>
      <c r="V1137" s="387" t="s">
        <v>23</v>
      </c>
    </row>
    <row r="1138" spans="2:22">
      <c r="B1138" s="389">
        <v>46226</v>
      </c>
      <c r="C1138" s="389">
        <v>46226</v>
      </c>
      <c r="D1138" s="387" t="s">
        <v>6132</v>
      </c>
      <c r="E1138" s="388" t="s">
        <v>6133</v>
      </c>
      <c r="F1138" s="387" t="s">
        <v>87</v>
      </c>
      <c r="G1138" s="387" t="s">
        <v>2552</v>
      </c>
      <c r="H1138" s="393">
        <v>40</v>
      </c>
      <c r="I1138" s="387">
        <v>30.5</v>
      </c>
      <c r="J1138" s="387">
        <v>30.5</v>
      </c>
      <c r="K1138" s="387">
        <v>5</v>
      </c>
      <c r="L1138" s="387">
        <v>0</v>
      </c>
      <c r="M1138" s="387" t="s">
        <v>148</v>
      </c>
      <c r="N1138" s="387" t="s">
        <v>149</v>
      </c>
      <c r="O1138" s="387" t="s">
        <v>150</v>
      </c>
      <c r="P1138" s="387" t="s">
        <v>151</v>
      </c>
      <c r="Q1138" s="387"/>
      <c r="R1138" s="387" t="s">
        <v>6133</v>
      </c>
      <c r="S1138" s="387"/>
      <c r="T1138" s="387" t="s">
        <v>3214</v>
      </c>
      <c r="U1138" s="387" t="s">
        <v>152</v>
      </c>
      <c r="V1138" s="387" t="s">
        <v>23</v>
      </c>
    </row>
    <row r="1139" spans="2:22">
      <c r="B1139" s="389">
        <v>46226</v>
      </c>
      <c r="C1139" s="389">
        <v>46226</v>
      </c>
      <c r="D1139" s="387" t="s">
        <v>6134</v>
      </c>
      <c r="E1139" s="388" t="s">
        <v>6135</v>
      </c>
      <c r="F1139" s="387" t="s">
        <v>87</v>
      </c>
      <c r="G1139" s="387" t="s">
        <v>2634</v>
      </c>
      <c r="H1139" s="393">
        <v>32</v>
      </c>
      <c r="I1139" s="387">
        <v>27.8</v>
      </c>
      <c r="J1139" s="387">
        <v>27.8</v>
      </c>
      <c r="K1139" s="387">
        <v>4</v>
      </c>
      <c r="L1139" s="387">
        <v>0</v>
      </c>
      <c r="M1139" s="387" t="s">
        <v>148</v>
      </c>
      <c r="N1139" s="387" t="s">
        <v>149</v>
      </c>
      <c r="O1139" s="387" t="s">
        <v>150</v>
      </c>
      <c r="P1139" s="387" t="s">
        <v>151</v>
      </c>
      <c r="Q1139" s="387"/>
      <c r="R1139" s="387" t="s">
        <v>6135</v>
      </c>
      <c r="S1139" s="387"/>
      <c r="T1139" s="387" t="s">
        <v>3214</v>
      </c>
      <c r="U1139" s="387" t="s">
        <v>152</v>
      </c>
      <c r="V1139" s="387" t="s">
        <v>23</v>
      </c>
    </row>
    <row r="1140" spans="2:22">
      <c r="B1140" s="389">
        <v>46226</v>
      </c>
      <c r="C1140" s="389">
        <v>46226</v>
      </c>
      <c r="D1140" s="387" t="s">
        <v>6136</v>
      </c>
      <c r="E1140" s="388" t="s">
        <v>6137</v>
      </c>
      <c r="F1140" s="387" t="s">
        <v>87</v>
      </c>
      <c r="G1140" s="387" t="s">
        <v>2552</v>
      </c>
      <c r="H1140" s="393">
        <v>40</v>
      </c>
      <c r="I1140" s="387">
        <v>34.200000000000003</v>
      </c>
      <c r="J1140" s="387">
        <v>34.200000000000003</v>
      </c>
      <c r="K1140" s="387">
        <v>5</v>
      </c>
      <c r="L1140" s="387">
        <v>0</v>
      </c>
      <c r="M1140" s="387" t="s">
        <v>148</v>
      </c>
      <c r="N1140" s="387" t="s">
        <v>149</v>
      </c>
      <c r="O1140" s="387" t="s">
        <v>150</v>
      </c>
      <c r="P1140" s="387" t="s">
        <v>151</v>
      </c>
      <c r="Q1140" s="387"/>
      <c r="R1140" s="387" t="s">
        <v>6137</v>
      </c>
      <c r="S1140" s="387"/>
      <c r="T1140" s="387" t="s">
        <v>3214</v>
      </c>
      <c r="U1140" s="387" t="s">
        <v>152</v>
      </c>
      <c r="V1140" s="387" t="s">
        <v>23</v>
      </c>
    </row>
    <row r="1141" spans="2:22">
      <c r="B1141" s="389">
        <v>46226</v>
      </c>
      <c r="C1141" s="389">
        <v>46226</v>
      </c>
      <c r="D1141" s="387" t="s">
        <v>6138</v>
      </c>
      <c r="E1141" s="388" t="s">
        <v>6139</v>
      </c>
      <c r="F1141" s="387" t="s">
        <v>87</v>
      </c>
      <c r="G1141" s="387" t="s">
        <v>1713</v>
      </c>
      <c r="H1141" s="393">
        <v>30</v>
      </c>
      <c r="I1141" s="387">
        <v>35.799999999999997</v>
      </c>
      <c r="J1141" s="387">
        <v>35.799999999999997</v>
      </c>
      <c r="K1141" s="387">
        <v>4</v>
      </c>
      <c r="L1141" s="387">
        <v>0</v>
      </c>
      <c r="M1141" s="387" t="s">
        <v>148</v>
      </c>
      <c r="N1141" s="387" t="s">
        <v>149</v>
      </c>
      <c r="O1141" s="387" t="s">
        <v>150</v>
      </c>
      <c r="P1141" s="387" t="s">
        <v>151</v>
      </c>
      <c r="Q1141" s="387"/>
      <c r="R1141" s="387" t="s">
        <v>6139</v>
      </c>
      <c r="S1141" s="387"/>
      <c r="T1141" s="387" t="s">
        <v>3214</v>
      </c>
      <c r="U1141" s="387" t="s">
        <v>152</v>
      </c>
      <c r="V1141" s="387" t="s">
        <v>23</v>
      </c>
    </row>
    <row r="1142" spans="2:22">
      <c r="B1142" s="389">
        <v>46226</v>
      </c>
      <c r="C1142" s="389">
        <v>46226</v>
      </c>
      <c r="D1142" s="387" t="s">
        <v>6140</v>
      </c>
      <c r="E1142" s="388" t="s">
        <v>6141</v>
      </c>
      <c r="F1142" s="387" t="s">
        <v>87</v>
      </c>
      <c r="G1142" s="387" t="s">
        <v>2552</v>
      </c>
      <c r="H1142" s="393">
        <v>40</v>
      </c>
      <c r="I1142" s="387">
        <v>34.9</v>
      </c>
      <c r="J1142" s="387">
        <v>34.9</v>
      </c>
      <c r="K1142" s="387">
        <v>5</v>
      </c>
      <c r="L1142" s="387">
        <v>0</v>
      </c>
      <c r="M1142" s="387" t="s">
        <v>148</v>
      </c>
      <c r="N1142" s="387" t="s">
        <v>149</v>
      </c>
      <c r="O1142" s="387" t="s">
        <v>150</v>
      </c>
      <c r="P1142" s="387" t="s">
        <v>151</v>
      </c>
      <c r="Q1142" s="387"/>
      <c r="R1142" s="387" t="s">
        <v>6141</v>
      </c>
      <c r="S1142" s="387"/>
      <c r="T1142" s="387" t="s">
        <v>3214</v>
      </c>
      <c r="U1142" s="387" t="s">
        <v>152</v>
      </c>
      <c r="V1142" s="387" t="s">
        <v>23</v>
      </c>
    </row>
    <row r="1143" spans="2:22">
      <c r="B1143" s="389">
        <v>46226</v>
      </c>
      <c r="C1143" s="389">
        <v>46226</v>
      </c>
      <c r="D1143" s="387" t="s">
        <v>6142</v>
      </c>
      <c r="E1143" s="388" t="s">
        <v>6143</v>
      </c>
      <c r="F1143" s="387" t="s">
        <v>87</v>
      </c>
      <c r="G1143" s="387" t="s">
        <v>2552</v>
      </c>
      <c r="H1143" s="393">
        <v>40</v>
      </c>
      <c r="I1143" s="387">
        <v>38.200000000000003</v>
      </c>
      <c r="J1143" s="387">
        <v>38.200000000000003</v>
      </c>
      <c r="K1143" s="387">
        <v>5</v>
      </c>
      <c r="L1143" s="387">
        <v>0</v>
      </c>
      <c r="M1143" s="387" t="s">
        <v>148</v>
      </c>
      <c r="N1143" s="387" t="s">
        <v>149</v>
      </c>
      <c r="O1143" s="387" t="s">
        <v>150</v>
      </c>
      <c r="P1143" s="387" t="s">
        <v>151</v>
      </c>
      <c r="Q1143" s="387"/>
      <c r="R1143" s="387" t="s">
        <v>6143</v>
      </c>
      <c r="S1143" s="387"/>
      <c r="T1143" s="387" t="s">
        <v>3214</v>
      </c>
      <c r="U1143" s="387" t="s">
        <v>152</v>
      </c>
      <c r="V1143" s="387" t="s">
        <v>23</v>
      </c>
    </row>
    <row r="1144" spans="2:22">
      <c r="B1144" s="389">
        <v>46226</v>
      </c>
      <c r="C1144" s="389">
        <v>46226</v>
      </c>
      <c r="D1144" s="387" t="s">
        <v>6144</v>
      </c>
      <c r="E1144" s="388" t="s">
        <v>6145</v>
      </c>
      <c r="F1144" s="387" t="s">
        <v>87</v>
      </c>
      <c r="G1144" s="387" t="s">
        <v>2552</v>
      </c>
      <c r="H1144" s="393">
        <v>40</v>
      </c>
      <c r="I1144" s="387">
        <v>37.5</v>
      </c>
      <c r="J1144" s="387">
        <v>37.5</v>
      </c>
      <c r="K1144" s="387">
        <v>5</v>
      </c>
      <c r="L1144" s="387">
        <v>0</v>
      </c>
      <c r="M1144" s="387" t="s">
        <v>148</v>
      </c>
      <c r="N1144" s="387" t="s">
        <v>149</v>
      </c>
      <c r="O1144" s="387" t="s">
        <v>150</v>
      </c>
      <c r="P1144" s="387" t="s">
        <v>151</v>
      </c>
      <c r="Q1144" s="387"/>
      <c r="R1144" s="387" t="s">
        <v>6145</v>
      </c>
      <c r="S1144" s="387"/>
      <c r="T1144" s="387" t="s">
        <v>3214</v>
      </c>
      <c r="U1144" s="387" t="s">
        <v>152</v>
      </c>
      <c r="V1144" s="387" t="s">
        <v>23</v>
      </c>
    </row>
    <row r="1145" spans="2:22">
      <c r="B1145" s="389">
        <v>46226</v>
      </c>
      <c r="C1145" s="389">
        <v>46226</v>
      </c>
      <c r="D1145" s="387" t="s">
        <v>6146</v>
      </c>
      <c r="E1145" s="388" t="s">
        <v>6147</v>
      </c>
      <c r="F1145" s="387" t="s">
        <v>87</v>
      </c>
      <c r="G1145" s="387" t="s">
        <v>1713</v>
      </c>
      <c r="H1145" s="393">
        <v>30</v>
      </c>
      <c r="I1145" s="387">
        <v>36.700000000000003</v>
      </c>
      <c r="J1145" s="387">
        <v>36.700000000000003</v>
      </c>
      <c r="K1145" s="387">
        <v>4</v>
      </c>
      <c r="L1145" s="387">
        <v>0</v>
      </c>
      <c r="M1145" s="387" t="s">
        <v>148</v>
      </c>
      <c r="N1145" s="387" t="s">
        <v>149</v>
      </c>
      <c r="O1145" s="387" t="s">
        <v>150</v>
      </c>
      <c r="P1145" s="387" t="s">
        <v>151</v>
      </c>
      <c r="Q1145" s="387"/>
      <c r="R1145" s="387" t="s">
        <v>6147</v>
      </c>
      <c r="S1145" s="387"/>
      <c r="T1145" s="387" t="s">
        <v>3214</v>
      </c>
      <c r="U1145" s="387" t="s">
        <v>152</v>
      </c>
      <c r="V1145" s="387" t="s">
        <v>23</v>
      </c>
    </row>
    <row r="1146" spans="2:22">
      <c r="B1146" s="389">
        <v>46226</v>
      </c>
      <c r="C1146" s="389">
        <v>46226</v>
      </c>
      <c r="D1146" s="387" t="s">
        <v>6148</v>
      </c>
      <c r="E1146" s="388" t="s">
        <v>6149</v>
      </c>
      <c r="F1146" s="387" t="s">
        <v>87</v>
      </c>
      <c r="G1146" s="387" t="s">
        <v>2552</v>
      </c>
      <c r="H1146" s="393">
        <v>40</v>
      </c>
      <c r="I1146" s="387">
        <v>41.3</v>
      </c>
      <c r="J1146" s="387">
        <v>41.3</v>
      </c>
      <c r="K1146" s="387">
        <v>5</v>
      </c>
      <c r="L1146" s="387">
        <v>0</v>
      </c>
      <c r="M1146" s="387" t="s">
        <v>148</v>
      </c>
      <c r="N1146" s="387" t="s">
        <v>149</v>
      </c>
      <c r="O1146" s="387" t="s">
        <v>150</v>
      </c>
      <c r="P1146" s="387" t="s">
        <v>151</v>
      </c>
      <c r="Q1146" s="387"/>
      <c r="R1146" s="387" t="s">
        <v>6149</v>
      </c>
      <c r="S1146" s="387"/>
      <c r="T1146" s="387" t="s">
        <v>3214</v>
      </c>
      <c r="U1146" s="387" t="s">
        <v>152</v>
      </c>
      <c r="V1146" s="387" t="s">
        <v>23</v>
      </c>
    </row>
    <row r="1147" spans="2:22">
      <c r="B1147" s="389">
        <v>46226</v>
      </c>
      <c r="C1147" s="389">
        <v>46226</v>
      </c>
      <c r="D1147" s="387" t="s">
        <v>6150</v>
      </c>
      <c r="E1147" s="388" t="s">
        <v>6151</v>
      </c>
      <c r="F1147" s="387" t="s">
        <v>87</v>
      </c>
      <c r="G1147" s="387" t="s">
        <v>5706</v>
      </c>
      <c r="H1147" s="393">
        <v>50</v>
      </c>
      <c r="I1147" s="387">
        <v>31.2</v>
      </c>
      <c r="J1147" s="387">
        <v>31.2</v>
      </c>
      <c r="K1147" s="387">
        <v>5</v>
      </c>
      <c r="L1147" s="387">
        <v>0</v>
      </c>
      <c r="M1147" s="387" t="s">
        <v>148</v>
      </c>
      <c r="N1147" s="387" t="s">
        <v>149</v>
      </c>
      <c r="O1147" s="387" t="s">
        <v>150</v>
      </c>
      <c r="P1147" s="387" t="s">
        <v>151</v>
      </c>
      <c r="Q1147" s="387"/>
      <c r="R1147" s="387" t="s">
        <v>6151</v>
      </c>
      <c r="S1147" s="387"/>
      <c r="T1147" s="387" t="s">
        <v>3214</v>
      </c>
      <c r="U1147" s="387" t="s">
        <v>152</v>
      </c>
      <c r="V1147" s="387" t="s">
        <v>23</v>
      </c>
    </row>
    <row r="1148" spans="2:22">
      <c r="B1148" s="389">
        <v>46226</v>
      </c>
      <c r="C1148" s="389">
        <v>46226</v>
      </c>
      <c r="D1148" s="387" t="s">
        <v>6152</v>
      </c>
      <c r="E1148" s="388" t="s">
        <v>6153</v>
      </c>
      <c r="F1148" s="387" t="s">
        <v>87</v>
      </c>
      <c r="G1148" s="387" t="s">
        <v>2552</v>
      </c>
      <c r="H1148" s="393">
        <v>40</v>
      </c>
      <c r="I1148" s="387">
        <v>33.4</v>
      </c>
      <c r="J1148" s="387">
        <v>33.4</v>
      </c>
      <c r="K1148" s="387">
        <v>5</v>
      </c>
      <c r="L1148" s="387">
        <v>0</v>
      </c>
      <c r="M1148" s="387" t="s">
        <v>148</v>
      </c>
      <c r="N1148" s="387" t="s">
        <v>149</v>
      </c>
      <c r="O1148" s="387" t="s">
        <v>150</v>
      </c>
      <c r="P1148" s="387" t="s">
        <v>151</v>
      </c>
      <c r="Q1148" s="387"/>
      <c r="R1148" s="387" t="s">
        <v>6153</v>
      </c>
      <c r="S1148" s="387"/>
      <c r="T1148" s="387" t="s">
        <v>3214</v>
      </c>
      <c r="U1148" s="387" t="s">
        <v>152</v>
      </c>
      <c r="V1148" s="387" t="s">
        <v>23</v>
      </c>
    </row>
    <row r="1149" spans="2:22">
      <c r="B1149" s="389">
        <v>46226</v>
      </c>
      <c r="C1149" s="389">
        <v>46226</v>
      </c>
      <c r="D1149" s="387" t="s">
        <v>6154</v>
      </c>
      <c r="E1149" s="388" t="s">
        <v>6155</v>
      </c>
      <c r="F1149" s="387" t="s">
        <v>87</v>
      </c>
      <c r="G1149" s="387" t="s">
        <v>2552</v>
      </c>
      <c r="H1149" s="393">
        <v>40</v>
      </c>
      <c r="I1149" s="387">
        <v>45.6</v>
      </c>
      <c r="J1149" s="387">
        <v>45.6</v>
      </c>
      <c r="K1149" s="387">
        <v>5</v>
      </c>
      <c r="L1149" s="387">
        <v>0</v>
      </c>
      <c r="M1149" s="387" t="s">
        <v>148</v>
      </c>
      <c r="N1149" s="387" t="s">
        <v>149</v>
      </c>
      <c r="O1149" s="387" t="s">
        <v>150</v>
      </c>
      <c r="P1149" s="387" t="s">
        <v>151</v>
      </c>
      <c r="Q1149" s="387"/>
      <c r="R1149" s="387" t="s">
        <v>6155</v>
      </c>
      <c r="S1149" s="387"/>
      <c r="T1149" s="387" t="s">
        <v>3214</v>
      </c>
      <c r="U1149" s="387" t="s">
        <v>152</v>
      </c>
      <c r="V1149" s="387" t="s">
        <v>23</v>
      </c>
    </row>
    <row r="1150" spans="2:22">
      <c r="B1150" s="389">
        <v>46226</v>
      </c>
      <c r="C1150" s="389">
        <v>46226</v>
      </c>
      <c r="D1150" s="387" t="s">
        <v>6156</v>
      </c>
      <c r="E1150" s="388" t="s">
        <v>6157</v>
      </c>
      <c r="F1150" s="387" t="s">
        <v>87</v>
      </c>
      <c r="G1150" s="387" t="s">
        <v>2552</v>
      </c>
      <c r="H1150" s="393">
        <v>40</v>
      </c>
      <c r="I1150" s="387">
        <v>35.799999999999997</v>
      </c>
      <c r="J1150" s="387">
        <v>35.799999999999997</v>
      </c>
      <c r="K1150" s="387">
        <v>5</v>
      </c>
      <c r="L1150" s="387">
        <v>0</v>
      </c>
      <c r="M1150" s="387" t="s">
        <v>148</v>
      </c>
      <c r="N1150" s="387" t="s">
        <v>149</v>
      </c>
      <c r="O1150" s="387" t="s">
        <v>150</v>
      </c>
      <c r="P1150" s="387" t="s">
        <v>151</v>
      </c>
      <c r="Q1150" s="387"/>
      <c r="R1150" s="387" t="s">
        <v>6157</v>
      </c>
      <c r="S1150" s="387"/>
      <c r="T1150" s="387" t="s">
        <v>3214</v>
      </c>
      <c r="U1150" s="387" t="s">
        <v>152</v>
      </c>
      <c r="V1150" s="387" t="s">
        <v>23</v>
      </c>
    </row>
    <row r="1151" spans="2:22">
      <c r="B1151" s="389">
        <v>46227</v>
      </c>
      <c r="C1151" s="389">
        <v>46227</v>
      </c>
      <c r="D1151" s="387" t="s">
        <v>6158</v>
      </c>
      <c r="E1151" s="388" t="s">
        <v>6159</v>
      </c>
      <c r="F1151" s="387" t="s">
        <v>87</v>
      </c>
      <c r="G1151" s="387" t="s">
        <v>2552</v>
      </c>
      <c r="H1151" s="393">
        <v>40</v>
      </c>
      <c r="I1151" s="387">
        <v>33.799999999999997</v>
      </c>
      <c r="J1151" s="387">
        <v>33.799999999999997</v>
      </c>
      <c r="K1151" s="387">
        <v>5</v>
      </c>
      <c r="L1151" s="387">
        <v>0</v>
      </c>
      <c r="M1151" s="387" t="s">
        <v>148</v>
      </c>
      <c r="N1151" s="387" t="s">
        <v>149</v>
      </c>
      <c r="O1151" s="387" t="s">
        <v>150</v>
      </c>
      <c r="P1151" s="387" t="s">
        <v>151</v>
      </c>
      <c r="Q1151" s="387"/>
      <c r="R1151" s="387" t="s">
        <v>6159</v>
      </c>
      <c r="S1151" s="387"/>
      <c r="T1151" s="387" t="s">
        <v>3230</v>
      </c>
      <c r="U1151" s="387" t="s">
        <v>152</v>
      </c>
      <c r="V1151" s="387" t="s">
        <v>23</v>
      </c>
    </row>
    <row r="1152" spans="2:22">
      <c r="B1152" s="389">
        <v>46227</v>
      </c>
      <c r="C1152" s="389">
        <v>46227</v>
      </c>
      <c r="D1152" s="387" t="s">
        <v>6160</v>
      </c>
      <c r="E1152" s="388" t="s">
        <v>6161</v>
      </c>
      <c r="F1152" s="387" t="s">
        <v>87</v>
      </c>
      <c r="G1152" s="387" t="s">
        <v>6162</v>
      </c>
      <c r="H1152" s="393">
        <v>50</v>
      </c>
      <c r="I1152" s="387">
        <v>31.7</v>
      </c>
      <c r="J1152" s="387">
        <v>31.7</v>
      </c>
      <c r="K1152" s="387">
        <v>5</v>
      </c>
      <c r="L1152" s="387">
        <v>0</v>
      </c>
      <c r="M1152" s="387" t="s">
        <v>148</v>
      </c>
      <c r="N1152" s="387" t="s">
        <v>149</v>
      </c>
      <c r="O1152" s="387" t="s">
        <v>150</v>
      </c>
      <c r="P1152" s="387" t="s">
        <v>151</v>
      </c>
      <c r="Q1152" s="387"/>
      <c r="R1152" s="387" t="s">
        <v>6161</v>
      </c>
      <c r="S1152" s="387"/>
      <c r="T1152" s="387" t="s">
        <v>3230</v>
      </c>
      <c r="U1152" s="387" t="s">
        <v>152</v>
      </c>
      <c r="V1152" s="387" t="s">
        <v>23</v>
      </c>
    </row>
    <row r="1153" spans="2:22">
      <c r="B1153" s="389">
        <v>46227</v>
      </c>
      <c r="C1153" s="389">
        <v>46227</v>
      </c>
      <c r="D1153" s="387" t="s">
        <v>6163</v>
      </c>
      <c r="E1153" s="388" t="s">
        <v>6164</v>
      </c>
      <c r="F1153" s="387" t="s">
        <v>87</v>
      </c>
      <c r="G1153" s="387" t="s">
        <v>6162</v>
      </c>
      <c r="H1153" s="393">
        <v>50</v>
      </c>
      <c r="I1153" s="387">
        <v>35.200000000000003</v>
      </c>
      <c r="J1153" s="387">
        <v>35.200000000000003</v>
      </c>
      <c r="K1153" s="387">
        <v>5</v>
      </c>
      <c r="L1153" s="387">
        <v>0</v>
      </c>
      <c r="M1153" s="387" t="s">
        <v>148</v>
      </c>
      <c r="N1153" s="387" t="s">
        <v>149</v>
      </c>
      <c r="O1153" s="387" t="s">
        <v>150</v>
      </c>
      <c r="P1153" s="387" t="s">
        <v>151</v>
      </c>
      <c r="Q1153" s="387"/>
      <c r="R1153" s="387" t="s">
        <v>6164</v>
      </c>
      <c r="S1153" s="387"/>
      <c r="T1153" s="387" t="s">
        <v>3230</v>
      </c>
      <c r="U1153" s="387" t="s">
        <v>152</v>
      </c>
      <c r="V1153" s="387" t="s">
        <v>23</v>
      </c>
    </row>
    <row r="1154" spans="2:22">
      <c r="B1154" s="389">
        <v>46227</v>
      </c>
      <c r="C1154" s="389">
        <v>46227</v>
      </c>
      <c r="D1154" s="387" t="s">
        <v>6165</v>
      </c>
      <c r="E1154" s="388" t="s">
        <v>6166</v>
      </c>
      <c r="F1154" s="387" t="s">
        <v>87</v>
      </c>
      <c r="G1154" s="387" t="s">
        <v>1713</v>
      </c>
      <c r="H1154" s="393">
        <v>30</v>
      </c>
      <c r="I1154" s="387">
        <v>35.799999999999997</v>
      </c>
      <c r="J1154" s="387">
        <v>35.799999999999997</v>
      </c>
      <c r="K1154" s="387">
        <v>4</v>
      </c>
      <c r="L1154" s="387">
        <v>0</v>
      </c>
      <c r="M1154" s="387" t="s">
        <v>148</v>
      </c>
      <c r="N1154" s="387" t="s">
        <v>149</v>
      </c>
      <c r="O1154" s="387" t="s">
        <v>150</v>
      </c>
      <c r="P1154" s="387" t="s">
        <v>151</v>
      </c>
      <c r="Q1154" s="387"/>
      <c r="R1154" s="387" t="s">
        <v>6166</v>
      </c>
      <c r="S1154" s="387"/>
      <c r="T1154" s="387" t="s">
        <v>3230</v>
      </c>
      <c r="U1154" s="387" t="s">
        <v>152</v>
      </c>
      <c r="V1154" s="387" t="s">
        <v>23</v>
      </c>
    </row>
    <row r="1155" spans="2:22">
      <c r="B1155" s="389">
        <v>46227</v>
      </c>
      <c r="C1155" s="389">
        <v>46227</v>
      </c>
      <c r="D1155" s="387" t="s">
        <v>6167</v>
      </c>
      <c r="E1155" s="388" t="s">
        <v>6168</v>
      </c>
      <c r="F1155" s="387" t="s">
        <v>87</v>
      </c>
      <c r="G1155" s="387" t="s">
        <v>2553</v>
      </c>
      <c r="H1155" s="393">
        <v>30</v>
      </c>
      <c r="I1155" s="387">
        <v>36</v>
      </c>
      <c r="J1155" s="387">
        <v>36</v>
      </c>
      <c r="K1155" s="387">
        <v>4</v>
      </c>
      <c r="L1155" s="387">
        <v>0</v>
      </c>
      <c r="M1155" s="387" t="s">
        <v>148</v>
      </c>
      <c r="N1155" s="387" t="s">
        <v>149</v>
      </c>
      <c r="O1155" s="387" t="s">
        <v>150</v>
      </c>
      <c r="P1155" s="387" t="s">
        <v>151</v>
      </c>
      <c r="Q1155" s="387"/>
      <c r="R1155" s="387" t="s">
        <v>6168</v>
      </c>
      <c r="S1155" s="387"/>
      <c r="T1155" s="387" t="s">
        <v>3230</v>
      </c>
      <c r="U1155" s="387" t="s">
        <v>152</v>
      </c>
      <c r="V1155" s="387" t="s">
        <v>23</v>
      </c>
    </row>
    <row r="1156" spans="2:22">
      <c r="B1156" s="389">
        <v>46227</v>
      </c>
      <c r="C1156" s="389">
        <v>46227</v>
      </c>
      <c r="D1156" s="387" t="s">
        <v>6169</v>
      </c>
      <c r="E1156" s="388" t="s">
        <v>6170</v>
      </c>
      <c r="F1156" s="387" t="s">
        <v>87</v>
      </c>
      <c r="G1156" s="387" t="s">
        <v>2552</v>
      </c>
      <c r="H1156" s="393">
        <v>40</v>
      </c>
      <c r="I1156" s="387">
        <v>33.200000000000003</v>
      </c>
      <c r="J1156" s="387">
        <v>33.200000000000003</v>
      </c>
      <c r="K1156" s="387">
        <v>5</v>
      </c>
      <c r="L1156" s="387">
        <v>0</v>
      </c>
      <c r="M1156" s="387" t="s">
        <v>148</v>
      </c>
      <c r="N1156" s="387" t="s">
        <v>149</v>
      </c>
      <c r="O1156" s="387" t="s">
        <v>150</v>
      </c>
      <c r="P1156" s="387" t="s">
        <v>151</v>
      </c>
      <c r="Q1156" s="387"/>
      <c r="R1156" s="387" t="s">
        <v>6170</v>
      </c>
      <c r="S1156" s="387"/>
      <c r="T1156" s="387" t="s">
        <v>3230</v>
      </c>
      <c r="U1156" s="387" t="s">
        <v>152</v>
      </c>
      <c r="V1156" s="387" t="s">
        <v>23</v>
      </c>
    </row>
    <row r="1157" spans="2:22">
      <c r="B1157" s="389">
        <v>46227</v>
      </c>
      <c r="C1157" s="389">
        <v>46227</v>
      </c>
      <c r="D1157" s="387" t="s">
        <v>6171</v>
      </c>
      <c r="E1157" s="388" t="s">
        <v>6172</v>
      </c>
      <c r="F1157" s="387" t="s">
        <v>87</v>
      </c>
      <c r="G1157" s="387" t="s">
        <v>1713</v>
      </c>
      <c r="H1157" s="393">
        <v>30</v>
      </c>
      <c r="I1157" s="387">
        <v>25.1</v>
      </c>
      <c r="J1157" s="387">
        <v>25.1</v>
      </c>
      <c r="K1157" s="387">
        <v>4</v>
      </c>
      <c r="L1157" s="387">
        <v>0</v>
      </c>
      <c r="M1157" s="387" t="s">
        <v>148</v>
      </c>
      <c r="N1157" s="387" t="s">
        <v>149</v>
      </c>
      <c r="O1157" s="387" t="s">
        <v>150</v>
      </c>
      <c r="P1157" s="387" t="s">
        <v>151</v>
      </c>
      <c r="Q1157" s="387"/>
      <c r="R1157" s="387" t="s">
        <v>6172</v>
      </c>
      <c r="S1157" s="387"/>
      <c r="T1157" s="387" t="s">
        <v>3230</v>
      </c>
      <c r="U1157" s="387" t="s">
        <v>152</v>
      </c>
      <c r="V1157" s="387" t="s">
        <v>23</v>
      </c>
    </row>
    <row r="1158" spans="2:22">
      <c r="B1158" s="389">
        <v>46227</v>
      </c>
      <c r="C1158" s="389">
        <v>46227</v>
      </c>
      <c r="D1158" s="387" t="s">
        <v>6173</v>
      </c>
      <c r="E1158" s="388" t="s">
        <v>6174</v>
      </c>
      <c r="F1158" s="387" t="s">
        <v>87</v>
      </c>
      <c r="G1158" s="387" t="s">
        <v>2553</v>
      </c>
      <c r="H1158" s="393">
        <v>30</v>
      </c>
      <c r="I1158" s="387">
        <v>41.3</v>
      </c>
      <c r="J1158" s="387">
        <v>41.3</v>
      </c>
      <c r="K1158" s="387">
        <v>4</v>
      </c>
      <c r="L1158" s="387">
        <v>0</v>
      </c>
      <c r="M1158" s="387" t="s">
        <v>148</v>
      </c>
      <c r="N1158" s="387" t="s">
        <v>149</v>
      </c>
      <c r="O1158" s="387" t="s">
        <v>150</v>
      </c>
      <c r="P1158" s="387" t="s">
        <v>151</v>
      </c>
      <c r="Q1158" s="387"/>
      <c r="R1158" s="387" t="s">
        <v>6174</v>
      </c>
      <c r="S1158" s="387"/>
      <c r="T1158" s="387" t="s">
        <v>3230</v>
      </c>
      <c r="U1158" s="387" t="s">
        <v>152</v>
      </c>
      <c r="V1158" s="387" t="s">
        <v>23</v>
      </c>
    </row>
    <row r="1159" spans="2:22">
      <c r="B1159" s="389">
        <v>46227</v>
      </c>
      <c r="C1159" s="389">
        <v>46227</v>
      </c>
      <c r="D1159" s="387" t="s">
        <v>6175</v>
      </c>
      <c r="E1159" s="388" t="s">
        <v>6176</v>
      </c>
      <c r="F1159" s="387" t="s">
        <v>87</v>
      </c>
      <c r="G1159" s="387" t="s">
        <v>5706</v>
      </c>
      <c r="H1159" s="393">
        <v>50</v>
      </c>
      <c r="I1159" s="387">
        <v>30.6</v>
      </c>
      <c r="J1159" s="387">
        <v>30.6</v>
      </c>
      <c r="K1159" s="387">
        <v>5</v>
      </c>
      <c r="L1159" s="387">
        <v>0</v>
      </c>
      <c r="M1159" s="387" t="s">
        <v>148</v>
      </c>
      <c r="N1159" s="387" t="s">
        <v>149</v>
      </c>
      <c r="O1159" s="387" t="s">
        <v>150</v>
      </c>
      <c r="P1159" s="387" t="s">
        <v>151</v>
      </c>
      <c r="Q1159" s="387"/>
      <c r="R1159" s="387" t="s">
        <v>6176</v>
      </c>
      <c r="S1159" s="387"/>
      <c r="T1159" s="387" t="s">
        <v>3230</v>
      </c>
      <c r="U1159" s="387" t="s">
        <v>152</v>
      </c>
      <c r="V1159" s="387" t="s">
        <v>23</v>
      </c>
    </row>
    <row r="1160" spans="2:22">
      <c r="B1160" s="389">
        <v>46227</v>
      </c>
      <c r="C1160" s="389">
        <v>46227</v>
      </c>
      <c r="D1160" s="387" t="s">
        <v>6177</v>
      </c>
      <c r="E1160" s="388" t="s">
        <v>6178</v>
      </c>
      <c r="F1160" s="387" t="s">
        <v>87</v>
      </c>
      <c r="G1160" s="387" t="s">
        <v>2552</v>
      </c>
      <c r="H1160" s="393">
        <v>40</v>
      </c>
      <c r="I1160" s="387">
        <v>28.8</v>
      </c>
      <c r="J1160" s="387">
        <v>28.8</v>
      </c>
      <c r="K1160" s="387">
        <v>5</v>
      </c>
      <c r="L1160" s="387">
        <v>0</v>
      </c>
      <c r="M1160" s="387" t="s">
        <v>148</v>
      </c>
      <c r="N1160" s="387" t="s">
        <v>149</v>
      </c>
      <c r="O1160" s="387" t="s">
        <v>150</v>
      </c>
      <c r="P1160" s="387" t="s">
        <v>151</v>
      </c>
      <c r="Q1160" s="387"/>
      <c r="R1160" s="387" t="s">
        <v>6178</v>
      </c>
      <c r="S1160" s="387"/>
      <c r="T1160" s="387" t="s">
        <v>3230</v>
      </c>
      <c r="U1160" s="387" t="s">
        <v>152</v>
      </c>
      <c r="V1160" s="387" t="s">
        <v>23</v>
      </c>
    </row>
    <row r="1161" spans="2:22">
      <c r="B1161" s="389">
        <v>46227</v>
      </c>
      <c r="C1161" s="389">
        <v>46227</v>
      </c>
      <c r="D1161" s="387" t="s">
        <v>6179</v>
      </c>
      <c r="E1161" s="388" t="s">
        <v>6180</v>
      </c>
      <c r="F1161" s="387" t="s">
        <v>87</v>
      </c>
      <c r="G1161" s="387" t="s">
        <v>2552</v>
      </c>
      <c r="H1161" s="393">
        <v>40</v>
      </c>
      <c r="I1161" s="387">
        <v>31.2</v>
      </c>
      <c r="J1161" s="387">
        <v>31.2</v>
      </c>
      <c r="K1161" s="387">
        <v>5</v>
      </c>
      <c r="L1161" s="387">
        <v>0</v>
      </c>
      <c r="M1161" s="387" t="s">
        <v>148</v>
      </c>
      <c r="N1161" s="387" t="s">
        <v>149</v>
      </c>
      <c r="O1161" s="387" t="s">
        <v>150</v>
      </c>
      <c r="P1161" s="387" t="s">
        <v>151</v>
      </c>
      <c r="Q1161" s="387"/>
      <c r="R1161" s="387" t="s">
        <v>6180</v>
      </c>
      <c r="S1161" s="387"/>
      <c r="T1161" s="387" t="s">
        <v>3230</v>
      </c>
      <c r="U1161" s="387" t="s">
        <v>152</v>
      </c>
      <c r="V1161" s="387" t="s">
        <v>23</v>
      </c>
    </row>
    <row r="1162" spans="2:22">
      <c r="B1162" s="389">
        <v>46227</v>
      </c>
      <c r="C1162" s="389">
        <v>46227</v>
      </c>
      <c r="D1162" s="387" t="s">
        <v>6181</v>
      </c>
      <c r="E1162" s="388" t="s">
        <v>6182</v>
      </c>
      <c r="F1162" s="387" t="s">
        <v>87</v>
      </c>
      <c r="G1162" s="387" t="s">
        <v>2552</v>
      </c>
      <c r="H1162" s="393">
        <v>40</v>
      </c>
      <c r="I1162" s="387">
        <v>42.2</v>
      </c>
      <c r="J1162" s="387">
        <v>42.2</v>
      </c>
      <c r="K1162" s="387">
        <v>5</v>
      </c>
      <c r="L1162" s="387">
        <v>0</v>
      </c>
      <c r="M1162" s="387" t="s">
        <v>148</v>
      </c>
      <c r="N1162" s="387" t="s">
        <v>149</v>
      </c>
      <c r="O1162" s="387" t="s">
        <v>150</v>
      </c>
      <c r="P1162" s="387" t="s">
        <v>151</v>
      </c>
      <c r="Q1162" s="387"/>
      <c r="R1162" s="387" t="s">
        <v>6182</v>
      </c>
      <c r="S1162" s="387"/>
      <c r="T1162" s="387" t="s">
        <v>3230</v>
      </c>
      <c r="U1162" s="387" t="s">
        <v>152</v>
      </c>
      <c r="V1162" s="387" t="s">
        <v>23</v>
      </c>
    </row>
    <row r="1163" spans="2:22">
      <c r="B1163" s="389">
        <v>46227</v>
      </c>
      <c r="C1163" s="389">
        <v>46227</v>
      </c>
      <c r="D1163" s="387" t="s">
        <v>6183</v>
      </c>
      <c r="E1163" s="388" t="s">
        <v>6184</v>
      </c>
      <c r="F1163" s="387" t="s">
        <v>87</v>
      </c>
      <c r="G1163" s="387" t="s">
        <v>5706</v>
      </c>
      <c r="H1163" s="393">
        <v>50</v>
      </c>
      <c r="I1163" s="387">
        <v>15.8</v>
      </c>
      <c r="J1163" s="387">
        <v>15.8</v>
      </c>
      <c r="K1163" s="387">
        <v>5</v>
      </c>
      <c r="L1163" s="387">
        <v>0</v>
      </c>
      <c r="M1163" s="387" t="s">
        <v>148</v>
      </c>
      <c r="N1163" s="387" t="s">
        <v>149</v>
      </c>
      <c r="O1163" s="387" t="s">
        <v>150</v>
      </c>
      <c r="P1163" s="387" t="s">
        <v>151</v>
      </c>
      <c r="Q1163" s="387"/>
      <c r="R1163" s="387" t="s">
        <v>6184</v>
      </c>
      <c r="S1163" s="387"/>
      <c r="T1163" s="387" t="s">
        <v>3230</v>
      </c>
      <c r="U1163" s="387" t="s">
        <v>152</v>
      </c>
      <c r="V1163" s="387" t="s">
        <v>23</v>
      </c>
    </row>
    <row r="1164" spans="2:22">
      <c r="B1164" s="389">
        <v>46227</v>
      </c>
      <c r="C1164" s="389">
        <v>46227</v>
      </c>
      <c r="D1164" s="387" t="s">
        <v>6185</v>
      </c>
      <c r="E1164" s="388" t="s">
        <v>6186</v>
      </c>
      <c r="F1164" s="387" t="s">
        <v>87</v>
      </c>
      <c r="G1164" s="387" t="s">
        <v>2001</v>
      </c>
      <c r="H1164" s="393">
        <v>6</v>
      </c>
      <c r="I1164" s="387">
        <v>30.8</v>
      </c>
      <c r="J1164" s="387">
        <v>30.8</v>
      </c>
      <c r="K1164" s="387">
        <v>1.5</v>
      </c>
      <c r="L1164" s="387">
        <v>0</v>
      </c>
      <c r="M1164" s="387" t="s">
        <v>148</v>
      </c>
      <c r="N1164" s="387" t="s">
        <v>149</v>
      </c>
      <c r="O1164" s="387" t="s">
        <v>150</v>
      </c>
      <c r="P1164" s="387" t="s">
        <v>151</v>
      </c>
      <c r="Q1164" s="387"/>
      <c r="R1164" s="387" t="s">
        <v>6186</v>
      </c>
      <c r="S1164" s="387"/>
      <c r="T1164" s="387" t="s">
        <v>3230</v>
      </c>
      <c r="U1164" s="387" t="s">
        <v>152</v>
      </c>
      <c r="V1164" s="387" t="s">
        <v>23</v>
      </c>
    </row>
    <row r="1165" spans="2:22">
      <c r="B1165" s="389">
        <v>46227</v>
      </c>
      <c r="C1165" s="389">
        <v>46227</v>
      </c>
      <c r="D1165" s="387" t="s">
        <v>6187</v>
      </c>
      <c r="E1165" s="388" t="s">
        <v>6188</v>
      </c>
      <c r="F1165" s="387" t="s">
        <v>87</v>
      </c>
      <c r="G1165" s="387" t="s">
        <v>5706</v>
      </c>
      <c r="H1165" s="393">
        <v>50</v>
      </c>
      <c r="I1165" s="387">
        <v>20.5</v>
      </c>
      <c r="J1165" s="387">
        <v>20.5</v>
      </c>
      <c r="K1165" s="387">
        <v>5</v>
      </c>
      <c r="L1165" s="387">
        <v>0</v>
      </c>
      <c r="M1165" s="387" t="s">
        <v>148</v>
      </c>
      <c r="N1165" s="387" t="s">
        <v>149</v>
      </c>
      <c r="O1165" s="387" t="s">
        <v>150</v>
      </c>
      <c r="P1165" s="387" t="s">
        <v>151</v>
      </c>
      <c r="Q1165" s="387"/>
      <c r="R1165" s="387" t="s">
        <v>6188</v>
      </c>
      <c r="S1165" s="387"/>
      <c r="T1165" s="387" t="s">
        <v>3230</v>
      </c>
      <c r="U1165" s="387" t="s">
        <v>152</v>
      </c>
      <c r="V1165" s="387" t="s">
        <v>23</v>
      </c>
    </row>
    <row r="1166" spans="2:22">
      <c r="B1166" s="389">
        <v>46227</v>
      </c>
      <c r="C1166" s="389">
        <v>46227</v>
      </c>
      <c r="D1166" s="387" t="s">
        <v>6189</v>
      </c>
      <c r="E1166" s="388" t="s">
        <v>6190</v>
      </c>
      <c r="F1166" s="387" t="s">
        <v>87</v>
      </c>
      <c r="G1166" s="387" t="s">
        <v>5706</v>
      </c>
      <c r="H1166" s="393">
        <v>50</v>
      </c>
      <c r="I1166" s="387">
        <v>37</v>
      </c>
      <c r="J1166" s="387">
        <v>37</v>
      </c>
      <c r="K1166" s="387">
        <v>5</v>
      </c>
      <c r="L1166" s="387">
        <v>0</v>
      </c>
      <c r="M1166" s="387" t="s">
        <v>148</v>
      </c>
      <c r="N1166" s="387" t="s">
        <v>149</v>
      </c>
      <c r="O1166" s="387" t="s">
        <v>150</v>
      </c>
      <c r="P1166" s="387" t="s">
        <v>151</v>
      </c>
      <c r="Q1166" s="387"/>
      <c r="R1166" s="387" t="s">
        <v>6190</v>
      </c>
      <c r="S1166" s="387"/>
      <c r="T1166" s="387" t="s">
        <v>3230</v>
      </c>
      <c r="U1166" s="387" t="s">
        <v>152</v>
      </c>
      <c r="V1166" s="387" t="s">
        <v>23</v>
      </c>
    </row>
    <row r="1167" spans="2:22">
      <c r="B1167" s="389">
        <v>46227</v>
      </c>
      <c r="C1167" s="389">
        <v>46227</v>
      </c>
      <c r="D1167" s="387" t="s">
        <v>6191</v>
      </c>
      <c r="E1167" s="388" t="s">
        <v>6192</v>
      </c>
      <c r="F1167" s="387" t="s">
        <v>87</v>
      </c>
      <c r="G1167" s="387" t="s">
        <v>2552</v>
      </c>
      <c r="H1167" s="393">
        <v>40</v>
      </c>
      <c r="I1167" s="387">
        <v>17.399999999999999</v>
      </c>
      <c r="J1167" s="387">
        <v>17.399999999999999</v>
      </c>
      <c r="K1167" s="387">
        <v>5</v>
      </c>
      <c r="L1167" s="387">
        <v>0</v>
      </c>
      <c r="M1167" s="387" t="s">
        <v>148</v>
      </c>
      <c r="N1167" s="387" t="s">
        <v>149</v>
      </c>
      <c r="O1167" s="387" t="s">
        <v>150</v>
      </c>
      <c r="P1167" s="387" t="s">
        <v>151</v>
      </c>
      <c r="Q1167" s="387"/>
      <c r="R1167" s="387" t="s">
        <v>6192</v>
      </c>
      <c r="S1167" s="387"/>
      <c r="T1167" s="387" t="s">
        <v>3230</v>
      </c>
      <c r="U1167" s="387" t="s">
        <v>152</v>
      </c>
      <c r="V1167" s="387" t="s">
        <v>23</v>
      </c>
    </row>
    <row r="1168" spans="2:22">
      <c r="B1168" s="389">
        <v>46227</v>
      </c>
      <c r="C1168" s="389">
        <v>46227</v>
      </c>
      <c r="D1168" s="387" t="s">
        <v>6193</v>
      </c>
      <c r="E1168" s="388" t="s">
        <v>6194</v>
      </c>
      <c r="F1168" s="387" t="s">
        <v>87</v>
      </c>
      <c r="G1168" s="387" t="s">
        <v>1713</v>
      </c>
      <c r="H1168" s="393">
        <v>30</v>
      </c>
      <c r="I1168" s="387">
        <v>29.8</v>
      </c>
      <c r="J1168" s="387">
        <v>29.8</v>
      </c>
      <c r="K1168" s="387">
        <v>4</v>
      </c>
      <c r="L1168" s="387">
        <v>0</v>
      </c>
      <c r="M1168" s="387" t="s">
        <v>148</v>
      </c>
      <c r="N1168" s="387" t="s">
        <v>149</v>
      </c>
      <c r="O1168" s="387" t="s">
        <v>150</v>
      </c>
      <c r="P1168" s="387" t="s">
        <v>151</v>
      </c>
      <c r="Q1168" s="387"/>
      <c r="R1168" s="387" t="s">
        <v>6194</v>
      </c>
      <c r="S1168" s="387"/>
      <c r="T1168" s="387" t="s">
        <v>3230</v>
      </c>
      <c r="U1168" s="387" t="s">
        <v>152</v>
      </c>
      <c r="V1168" s="387" t="s">
        <v>23</v>
      </c>
    </row>
    <row r="1169" spans="2:22">
      <c r="B1169" s="389">
        <v>46227</v>
      </c>
      <c r="C1169" s="389">
        <v>46227</v>
      </c>
      <c r="D1169" s="387" t="s">
        <v>6195</v>
      </c>
      <c r="E1169" s="388" t="s">
        <v>6196</v>
      </c>
      <c r="F1169" s="387" t="s">
        <v>87</v>
      </c>
      <c r="G1169" s="387" t="s">
        <v>2552</v>
      </c>
      <c r="H1169" s="393">
        <v>40</v>
      </c>
      <c r="I1169" s="387">
        <v>33.299999999999997</v>
      </c>
      <c r="J1169" s="387">
        <v>33.299999999999997</v>
      </c>
      <c r="K1169" s="387">
        <v>5</v>
      </c>
      <c r="L1169" s="387">
        <v>0</v>
      </c>
      <c r="M1169" s="387" t="s">
        <v>148</v>
      </c>
      <c r="N1169" s="387" t="s">
        <v>149</v>
      </c>
      <c r="O1169" s="387" t="s">
        <v>150</v>
      </c>
      <c r="P1169" s="387" t="s">
        <v>151</v>
      </c>
      <c r="Q1169" s="387"/>
      <c r="R1169" s="387" t="s">
        <v>6196</v>
      </c>
      <c r="S1169" s="387"/>
      <c r="T1169" s="387" t="s">
        <v>3230</v>
      </c>
      <c r="U1169" s="387" t="s">
        <v>152</v>
      </c>
      <c r="V1169" s="387" t="s">
        <v>23</v>
      </c>
    </row>
    <row r="1170" spans="2:22">
      <c r="B1170" s="389">
        <v>46227</v>
      </c>
      <c r="C1170" s="389">
        <v>46227</v>
      </c>
      <c r="D1170" s="387" t="s">
        <v>6197</v>
      </c>
      <c r="E1170" s="388" t="s">
        <v>6198</v>
      </c>
      <c r="F1170" s="387" t="s">
        <v>87</v>
      </c>
      <c r="G1170" s="387" t="s">
        <v>2001</v>
      </c>
      <c r="H1170" s="393">
        <v>6</v>
      </c>
      <c r="I1170" s="387">
        <v>12</v>
      </c>
      <c r="J1170" s="387">
        <v>12</v>
      </c>
      <c r="K1170" s="387">
        <v>1.5</v>
      </c>
      <c r="L1170" s="387">
        <v>0</v>
      </c>
      <c r="M1170" s="387" t="s">
        <v>148</v>
      </c>
      <c r="N1170" s="387" t="s">
        <v>149</v>
      </c>
      <c r="O1170" s="387" t="s">
        <v>150</v>
      </c>
      <c r="P1170" s="387" t="s">
        <v>151</v>
      </c>
      <c r="Q1170" s="387"/>
      <c r="R1170" s="387" t="s">
        <v>6198</v>
      </c>
      <c r="S1170" s="387"/>
      <c r="T1170" s="387" t="s">
        <v>3230</v>
      </c>
      <c r="U1170" s="387" t="s">
        <v>152</v>
      </c>
      <c r="V1170" s="387" t="s">
        <v>23</v>
      </c>
    </row>
    <row r="1171" spans="2:22">
      <c r="B1171" s="389">
        <v>46227</v>
      </c>
      <c r="C1171" s="389">
        <v>46227</v>
      </c>
      <c r="D1171" s="387" t="s">
        <v>6199</v>
      </c>
      <c r="E1171" s="388" t="s">
        <v>6200</v>
      </c>
      <c r="F1171" s="387" t="s">
        <v>87</v>
      </c>
      <c r="G1171" s="387" t="s">
        <v>6162</v>
      </c>
      <c r="H1171" s="393">
        <v>50</v>
      </c>
      <c r="I1171" s="387">
        <v>33.200000000000003</v>
      </c>
      <c r="J1171" s="387">
        <v>33.200000000000003</v>
      </c>
      <c r="K1171" s="387">
        <v>5</v>
      </c>
      <c r="L1171" s="387">
        <v>0</v>
      </c>
      <c r="M1171" s="387" t="s">
        <v>148</v>
      </c>
      <c r="N1171" s="387" t="s">
        <v>149</v>
      </c>
      <c r="O1171" s="387" t="s">
        <v>150</v>
      </c>
      <c r="P1171" s="387" t="s">
        <v>151</v>
      </c>
      <c r="Q1171" s="387"/>
      <c r="R1171" s="387" t="s">
        <v>6200</v>
      </c>
      <c r="S1171" s="387"/>
      <c r="T1171" s="387" t="s">
        <v>3230</v>
      </c>
      <c r="U1171" s="387" t="s">
        <v>152</v>
      </c>
      <c r="V1171" s="387" t="s">
        <v>23</v>
      </c>
    </row>
    <row r="1172" spans="2:22">
      <c r="B1172" s="389">
        <v>46227</v>
      </c>
      <c r="C1172" s="389">
        <v>46227</v>
      </c>
      <c r="D1172" s="387" t="s">
        <v>6201</v>
      </c>
      <c r="E1172" s="388" t="s">
        <v>6202</v>
      </c>
      <c r="F1172" s="387" t="s">
        <v>87</v>
      </c>
      <c r="G1172" s="387" t="s">
        <v>6162</v>
      </c>
      <c r="H1172" s="393">
        <v>50</v>
      </c>
      <c r="I1172" s="387">
        <v>24.2</v>
      </c>
      <c r="J1172" s="387">
        <v>24.2</v>
      </c>
      <c r="K1172" s="387">
        <v>5</v>
      </c>
      <c r="L1172" s="387">
        <v>0</v>
      </c>
      <c r="M1172" s="387" t="s">
        <v>148</v>
      </c>
      <c r="N1172" s="387" t="s">
        <v>149</v>
      </c>
      <c r="O1172" s="387" t="s">
        <v>150</v>
      </c>
      <c r="P1172" s="387" t="s">
        <v>151</v>
      </c>
      <c r="Q1172" s="387"/>
      <c r="R1172" s="387" t="s">
        <v>6202</v>
      </c>
      <c r="S1172" s="387"/>
      <c r="T1172" s="387" t="s">
        <v>3230</v>
      </c>
      <c r="U1172" s="387" t="s">
        <v>152</v>
      </c>
      <c r="V1172" s="387" t="s">
        <v>23</v>
      </c>
    </row>
    <row r="1173" spans="2:22">
      <c r="B1173" s="389">
        <v>46227</v>
      </c>
      <c r="C1173" s="389">
        <v>46227</v>
      </c>
      <c r="D1173" s="387" t="s">
        <v>6203</v>
      </c>
      <c r="E1173" s="388" t="s">
        <v>6204</v>
      </c>
      <c r="F1173" s="387" t="s">
        <v>87</v>
      </c>
      <c r="G1173" s="387" t="s">
        <v>1713</v>
      </c>
      <c r="H1173" s="393">
        <v>30</v>
      </c>
      <c r="I1173" s="387">
        <v>27.1</v>
      </c>
      <c r="J1173" s="387">
        <v>27.1</v>
      </c>
      <c r="K1173" s="387">
        <v>4</v>
      </c>
      <c r="L1173" s="387">
        <v>0</v>
      </c>
      <c r="M1173" s="387" t="s">
        <v>148</v>
      </c>
      <c r="N1173" s="387" t="s">
        <v>149</v>
      </c>
      <c r="O1173" s="387" t="s">
        <v>150</v>
      </c>
      <c r="P1173" s="387" t="s">
        <v>151</v>
      </c>
      <c r="Q1173" s="387"/>
      <c r="R1173" s="387" t="s">
        <v>6204</v>
      </c>
      <c r="S1173" s="387"/>
      <c r="T1173" s="387" t="s">
        <v>3230</v>
      </c>
      <c r="U1173" s="387" t="s">
        <v>152</v>
      </c>
      <c r="V1173" s="387" t="s">
        <v>23</v>
      </c>
    </row>
    <row r="1174" spans="2:22">
      <c r="B1174" s="389">
        <v>46227</v>
      </c>
      <c r="C1174" s="389">
        <v>46227</v>
      </c>
      <c r="D1174" s="387" t="s">
        <v>6205</v>
      </c>
      <c r="E1174" s="388" t="s">
        <v>6206</v>
      </c>
      <c r="F1174" s="387" t="s">
        <v>87</v>
      </c>
      <c r="G1174" s="387" t="s">
        <v>1713</v>
      </c>
      <c r="H1174" s="393">
        <v>30</v>
      </c>
      <c r="I1174" s="387">
        <v>33.299999999999997</v>
      </c>
      <c r="J1174" s="387">
        <v>33.299999999999997</v>
      </c>
      <c r="K1174" s="387">
        <v>4</v>
      </c>
      <c r="L1174" s="387">
        <v>0</v>
      </c>
      <c r="M1174" s="387" t="s">
        <v>148</v>
      </c>
      <c r="N1174" s="387" t="s">
        <v>149</v>
      </c>
      <c r="O1174" s="387" t="s">
        <v>150</v>
      </c>
      <c r="P1174" s="387" t="s">
        <v>151</v>
      </c>
      <c r="Q1174" s="387"/>
      <c r="R1174" s="387" t="s">
        <v>6206</v>
      </c>
      <c r="S1174" s="387"/>
      <c r="T1174" s="387" t="s">
        <v>3230</v>
      </c>
      <c r="U1174" s="387" t="s">
        <v>152</v>
      </c>
      <c r="V1174" s="387" t="s">
        <v>23</v>
      </c>
    </row>
    <row r="1175" spans="2:22">
      <c r="B1175" s="389">
        <v>46227</v>
      </c>
      <c r="C1175" s="389">
        <v>46227</v>
      </c>
      <c r="D1175" s="387" t="s">
        <v>6207</v>
      </c>
      <c r="E1175" s="388" t="s">
        <v>6208</v>
      </c>
      <c r="F1175" s="387" t="s">
        <v>87</v>
      </c>
      <c r="G1175" s="387" t="s">
        <v>2552</v>
      </c>
      <c r="H1175" s="393">
        <v>40</v>
      </c>
      <c r="I1175" s="387">
        <v>35</v>
      </c>
      <c r="J1175" s="387">
        <v>35</v>
      </c>
      <c r="K1175" s="387">
        <v>5</v>
      </c>
      <c r="L1175" s="387">
        <v>0</v>
      </c>
      <c r="M1175" s="387" t="s">
        <v>148</v>
      </c>
      <c r="N1175" s="387" t="s">
        <v>149</v>
      </c>
      <c r="O1175" s="387" t="s">
        <v>150</v>
      </c>
      <c r="P1175" s="387" t="s">
        <v>151</v>
      </c>
      <c r="Q1175" s="387"/>
      <c r="R1175" s="387" t="s">
        <v>6208</v>
      </c>
      <c r="S1175" s="387"/>
      <c r="T1175" s="387" t="s">
        <v>3230</v>
      </c>
      <c r="U1175" s="387" t="s">
        <v>152</v>
      </c>
      <c r="V1175" s="387" t="s">
        <v>23</v>
      </c>
    </row>
    <row r="1176" spans="2:22">
      <c r="B1176" s="389">
        <v>46228</v>
      </c>
      <c r="C1176" s="389">
        <v>46228</v>
      </c>
      <c r="D1176" s="387" t="s">
        <v>6209</v>
      </c>
      <c r="E1176" s="388" t="s">
        <v>6210</v>
      </c>
      <c r="F1176" s="387" t="s">
        <v>87</v>
      </c>
      <c r="G1176" s="387" t="s">
        <v>2486</v>
      </c>
      <c r="H1176" s="393">
        <v>40</v>
      </c>
      <c r="I1176" s="387">
        <v>26.2</v>
      </c>
      <c r="J1176" s="387">
        <v>26.2</v>
      </c>
      <c r="K1176" s="387">
        <v>5</v>
      </c>
      <c r="L1176" s="387">
        <v>0</v>
      </c>
      <c r="M1176" s="387" t="s">
        <v>148</v>
      </c>
      <c r="N1176" s="387" t="s">
        <v>149</v>
      </c>
      <c r="O1176" s="387" t="s">
        <v>150</v>
      </c>
      <c r="P1176" s="387" t="s">
        <v>151</v>
      </c>
      <c r="Q1176" s="387"/>
      <c r="R1176" s="387" t="s">
        <v>6210</v>
      </c>
      <c r="S1176" s="387"/>
      <c r="T1176" s="387" t="s">
        <v>3241</v>
      </c>
      <c r="U1176" s="387" t="s">
        <v>152</v>
      </c>
      <c r="V1176" s="387" t="s">
        <v>23</v>
      </c>
    </row>
    <row r="1177" spans="2:22">
      <c r="B1177" s="389">
        <v>46228</v>
      </c>
      <c r="C1177" s="389">
        <v>46228</v>
      </c>
      <c r="D1177" s="387" t="s">
        <v>6211</v>
      </c>
      <c r="E1177" s="388" t="s">
        <v>6212</v>
      </c>
      <c r="F1177" s="387" t="s">
        <v>87</v>
      </c>
      <c r="G1177" s="387" t="s">
        <v>5706</v>
      </c>
      <c r="H1177" s="393">
        <v>50</v>
      </c>
      <c r="I1177" s="387">
        <v>28</v>
      </c>
      <c r="J1177" s="387">
        <v>28</v>
      </c>
      <c r="K1177" s="387">
        <v>5</v>
      </c>
      <c r="L1177" s="387">
        <v>0</v>
      </c>
      <c r="M1177" s="387" t="s">
        <v>148</v>
      </c>
      <c r="N1177" s="387" t="s">
        <v>149</v>
      </c>
      <c r="O1177" s="387" t="s">
        <v>150</v>
      </c>
      <c r="P1177" s="387" t="s">
        <v>151</v>
      </c>
      <c r="Q1177" s="387"/>
      <c r="R1177" s="387" t="s">
        <v>6212</v>
      </c>
      <c r="S1177" s="387"/>
      <c r="T1177" s="387" t="s">
        <v>3241</v>
      </c>
      <c r="U1177" s="387" t="s">
        <v>152</v>
      </c>
      <c r="V1177" s="387" t="s">
        <v>23</v>
      </c>
    </row>
    <row r="1178" spans="2:22">
      <c r="B1178" s="389">
        <v>46228</v>
      </c>
      <c r="C1178" s="389">
        <v>46228</v>
      </c>
      <c r="D1178" s="387" t="s">
        <v>6213</v>
      </c>
      <c r="E1178" s="388" t="s">
        <v>6214</v>
      </c>
      <c r="F1178" s="387" t="s">
        <v>87</v>
      </c>
      <c r="G1178" s="387" t="s">
        <v>6162</v>
      </c>
      <c r="H1178" s="393">
        <v>50</v>
      </c>
      <c r="I1178" s="387">
        <v>14.2</v>
      </c>
      <c r="J1178" s="387">
        <v>14.2</v>
      </c>
      <c r="K1178" s="387">
        <v>5</v>
      </c>
      <c r="L1178" s="387">
        <v>0</v>
      </c>
      <c r="M1178" s="387" t="s">
        <v>148</v>
      </c>
      <c r="N1178" s="387" t="s">
        <v>149</v>
      </c>
      <c r="O1178" s="387" t="s">
        <v>150</v>
      </c>
      <c r="P1178" s="387" t="s">
        <v>151</v>
      </c>
      <c r="Q1178" s="387"/>
      <c r="R1178" s="387" t="s">
        <v>6214</v>
      </c>
      <c r="S1178" s="387"/>
      <c r="T1178" s="387" t="s">
        <v>3241</v>
      </c>
      <c r="U1178" s="387" t="s">
        <v>152</v>
      </c>
      <c r="V1178" s="387" t="s">
        <v>23</v>
      </c>
    </row>
    <row r="1179" spans="2:22">
      <c r="B1179" s="389">
        <v>46228</v>
      </c>
      <c r="C1179" s="389">
        <v>46228</v>
      </c>
      <c r="D1179" s="387" t="s">
        <v>6215</v>
      </c>
      <c r="E1179" s="388" t="s">
        <v>6216</v>
      </c>
      <c r="F1179" s="387" t="s">
        <v>87</v>
      </c>
      <c r="G1179" s="387" t="s">
        <v>2552</v>
      </c>
      <c r="H1179" s="393">
        <v>40</v>
      </c>
      <c r="I1179" s="387">
        <v>33.799999999999997</v>
      </c>
      <c r="J1179" s="387">
        <v>33.799999999999997</v>
      </c>
      <c r="K1179" s="387">
        <v>5</v>
      </c>
      <c r="L1179" s="387">
        <v>0</v>
      </c>
      <c r="M1179" s="387" t="s">
        <v>148</v>
      </c>
      <c r="N1179" s="387" t="s">
        <v>149</v>
      </c>
      <c r="O1179" s="387" t="s">
        <v>150</v>
      </c>
      <c r="P1179" s="387" t="s">
        <v>151</v>
      </c>
      <c r="Q1179" s="387"/>
      <c r="R1179" s="387" t="s">
        <v>6216</v>
      </c>
      <c r="S1179" s="387"/>
      <c r="T1179" s="387" t="s">
        <v>3241</v>
      </c>
      <c r="U1179" s="387" t="s">
        <v>152</v>
      </c>
      <c r="V1179" s="387" t="s">
        <v>23</v>
      </c>
    </row>
    <row r="1180" spans="2:22">
      <c r="B1180" s="389">
        <v>46228</v>
      </c>
      <c r="C1180" s="389">
        <v>46228</v>
      </c>
      <c r="D1180" s="387" t="s">
        <v>6217</v>
      </c>
      <c r="E1180" s="388" t="s">
        <v>6218</v>
      </c>
      <c r="F1180" s="387" t="s">
        <v>87</v>
      </c>
      <c r="G1180" s="387" t="s">
        <v>2486</v>
      </c>
      <c r="H1180" s="393">
        <v>40</v>
      </c>
      <c r="I1180" s="387">
        <v>28.2</v>
      </c>
      <c r="J1180" s="387">
        <v>28.2</v>
      </c>
      <c r="K1180" s="387">
        <v>5</v>
      </c>
      <c r="L1180" s="387">
        <v>0</v>
      </c>
      <c r="M1180" s="387" t="s">
        <v>148</v>
      </c>
      <c r="N1180" s="387" t="s">
        <v>149</v>
      </c>
      <c r="O1180" s="387" t="s">
        <v>150</v>
      </c>
      <c r="P1180" s="387" t="s">
        <v>151</v>
      </c>
      <c r="Q1180" s="387"/>
      <c r="R1180" s="387" t="s">
        <v>6218</v>
      </c>
      <c r="S1180" s="387"/>
      <c r="T1180" s="387" t="s">
        <v>3241</v>
      </c>
      <c r="U1180" s="387" t="s">
        <v>152</v>
      </c>
      <c r="V1180" s="387" t="s">
        <v>23</v>
      </c>
    </row>
    <row r="1181" spans="2:22">
      <c r="B1181" s="389">
        <v>46228</v>
      </c>
      <c r="C1181" s="389">
        <v>46228</v>
      </c>
      <c r="D1181" s="387" t="s">
        <v>6219</v>
      </c>
      <c r="E1181" s="388" t="s">
        <v>6220</v>
      </c>
      <c r="F1181" s="387" t="s">
        <v>87</v>
      </c>
      <c r="G1181" s="387" t="s">
        <v>2553</v>
      </c>
      <c r="H1181" s="393">
        <v>30</v>
      </c>
      <c r="I1181" s="387">
        <v>44.6</v>
      </c>
      <c r="J1181" s="387">
        <v>44.6</v>
      </c>
      <c r="K1181" s="387">
        <v>4</v>
      </c>
      <c r="L1181" s="387">
        <v>0</v>
      </c>
      <c r="M1181" s="387" t="s">
        <v>148</v>
      </c>
      <c r="N1181" s="387" t="s">
        <v>149</v>
      </c>
      <c r="O1181" s="387" t="s">
        <v>150</v>
      </c>
      <c r="P1181" s="387" t="s">
        <v>151</v>
      </c>
      <c r="Q1181" s="387"/>
      <c r="R1181" s="387" t="s">
        <v>6220</v>
      </c>
      <c r="S1181" s="387"/>
      <c r="T1181" s="387" t="s">
        <v>3241</v>
      </c>
      <c r="U1181" s="387" t="s">
        <v>152</v>
      </c>
      <c r="V1181" s="387" t="s">
        <v>23</v>
      </c>
    </row>
    <row r="1182" spans="2:22">
      <c r="B1182" s="389">
        <v>46228</v>
      </c>
      <c r="C1182" s="389">
        <v>46228</v>
      </c>
      <c r="D1182" s="387" t="s">
        <v>6221</v>
      </c>
      <c r="E1182" s="388" t="s">
        <v>6222</v>
      </c>
      <c r="F1182" s="387" t="s">
        <v>87</v>
      </c>
      <c r="G1182" s="387" t="s">
        <v>2553</v>
      </c>
      <c r="H1182" s="393">
        <v>30</v>
      </c>
      <c r="I1182" s="387">
        <v>40.200000000000003</v>
      </c>
      <c r="J1182" s="387">
        <v>40.200000000000003</v>
      </c>
      <c r="K1182" s="387">
        <v>4</v>
      </c>
      <c r="L1182" s="387">
        <v>0</v>
      </c>
      <c r="M1182" s="387" t="s">
        <v>148</v>
      </c>
      <c r="N1182" s="387" t="s">
        <v>149</v>
      </c>
      <c r="O1182" s="387" t="s">
        <v>150</v>
      </c>
      <c r="P1182" s="387" t="s">
        <v>151</v>
      </c>
      <c r="Q1182" s="387"/>
      <c r="R1182" s="387" t="s">
        <v>6222</v>
      </c>
      <c r="S1182" s="387"/>
      <c r="T1182" s="387" t="s">
        <v>3241</v>
      </c>
      <c r="U1182" s="387" t="s">
        <v>152</v>
      </c>
      <c r="V1182" s="387" t="s">
        <v>23</v>
      </c>
    </row>
    <row r="1183" spans="2:22">
      <c r="B1183" s="389">
        <v>46228</v>
      </c>
      <c r="C1183" s="389">
        <v>46228</v>
      </c>
      <c r="D1183" s="387" t="s">
        <v>6223</v>
      </c>
      <c r="E1183" s="388" t="s">
        <v>6224</v>
      </c>
      <c r="F1183" s="387" t="s">
        <v>87</v>
      </c>
      <c r="G1183" s="387" t="s">
        <v>6162</v>
      </c>
      <c r="H1183" s="393">
        <v>50</v>
      </c>
      <c r="I1183" s="387">
        <v>42.2</v>
      </c>
      <c r="J1183" s="387">
        <v>42.2</v>
      </c>
      <c r="K1183" s="387">
        <v>5</v>
      </c>
      <c r="L1183" s="387">
        <v>0</v>
      </c>
      <c r="M1183" s="387" t="s">
        <v>148</v>
      </c>
      <c r="N1183" s="387" t="s">
        <v>149</v>
      </c>
      <c r="O1183" s="387" t="s">
        <v>150</v>
      </c>
      <c r="P1183" s="387" t="s">
        <v>151</v>
      </c>
      <c r="Q1183" s="387"/>
      <c r="R1183" s="387" t="s">
        <v>6224</v>
      </c>
      <c r="S1183" s="387"/>
      <c r="T1183" s="387" t="s">
        <v>3241</v>
      </c>
      <c r="U1183" s="387" t="s">
        <v>152</v>
      </c>
      <c r="V1183" s="387" t="s">
        <v>23</v>
      </c>
    </row>
    <row r="1184" spans="2:22">
      <c r="B1184" s="389">
        <v>46228</v>
      </c>
      <c r="C1184" s="389">
        <v>46228</v>
      </c>
      <c r="D1184" s="387" t="s">
        <v>6225</v>
      </c>
      <c r="E1184" s="388" t="s">
        <v>6226</v>
      </c>
      <c r="F1184" s="387" t="s">
        <v>87</v>
      </c>
      <c r="G1184" s="387" t="s">
        <v>2552</v>
      </c>
      <c r="H1184" s="393">
        <v>40</v>
      </c>
      <c r="I1184" s="387">
        <v>38.799999999999997</v>
      </c>
      <c r="J1184" s="387">
        <v>38.799999999999997</v>
      </c>
      <c r="K1184" s="387">
        <v>5</v>
      </c>
      <c r="L1184" s="387">
        <v>0</v>
      </c>
      <c r="M1184" s="387" t="s">
        <v>148</v>
      </c>
      <c r="N1184" s="387" t="s">
        <v>149</v>
      </c>
      <c r="O1184" s="387" t="s">
        <v>150</v>
      </c>
      <c r="P1184" s="387" t="s">
        <v>151</v>
      </c>
      <c r="Q1184" s="387"/>
      <c r="R1184" s="387" t="s">
        <v>6226</v>
      </c>
      <c r="S1184" s="387"/>
      <c r="T1184" s="387" t="s">
        <v>3241</v>
      </c>
      <c r="U1184" s="387" t="s">
        <v>152</v>
      </c>
      <c r="V1184" s="387" t="s">
        <v>23</v>
      </c>
    </row>
    <row r="1185" spans="2:22">
      <c r="B1185" s="389">
        <v>46228</v>
      </c>
      <c r="C1185" s="389">
        <v>46228</v>
      </c>
      <c r="D1185" s="387" t="s">
        <v>6227</v>
      </c>
      <c r="E1185" s="388" t="s">
        <v>6228</v>
      </c>
      <c r="F1185" s="387" t="s">
        <v>87</v>
      </c>
      <c r="G1185" s="387" t="s">
        <v>2552</v>
      </c>
      <c r="H1185" s="393">
        <v>40</v>
      </c>
      <c r="I1185" s="387">
        <v>34.799999999999997</v>
      </c>
      <c r="J1185" s="387">
        <v>34.799999999999997</v>
      </c>
      <c r="K1185" s="387">
        <v>5</v>
      </c>
      <c r="L1185" s="387">
        <v>0</v>
      </c>
      <c r="M1185" s="387" t="s">
        <v>148</v>
      </c>
      <c r="N1185" s="387" t="s">
        <v>149</v>
      </c>
      <c r="O1185" s="387" t="s">
        <v>150</v>
      </c>
      <c r="P1185" s="387" t="s">
        <v>151</v>
      </c>
      <c r="Q1185" s="387"/>
      <c r="R1185" s="387" t="s">
        <v>6228</v>
      </c>
      <c r="S1185" s="387"/>
      <c r="T1185" s="387" t="s">
        <v>3241</v>
      </c>
      <c r="U1185" s="387" t="s">
        <v>152</v>
      </c>
      <c r="V1185" s="387" t="s">
        <v>23</v>
      </c>
    </row>
    <row r="1186" spans="2:22">
      <c r="B1186" s="389">
        <v>46228</v>
      </c>
      <c r="C1186" s="389">
        <v>46228</v>
      </c>
      <c r="D1186" s="387" t="s">
        <v>6229</v>
      </c>
      <c r="E1186" s="388" t="s">
        <v>6230</v>
      </c>
      <c r="F1186" s="387" t="s">
        <v>87</v>
      </c>
      <c r="G1186" s="387" t="s">
        <v>2552</v>
      </c>
      <c r="H1186" s="393">
        <v>40</v>
      </c>
      <c r="I1186" s="387">
        <v>33.799999999999997</v>
      </c>
      <c r="J1186" s="387">
        <v>33.799999999999997</v>
      </c>
      <c r="K1186" s="387">
        <v>5</v>
      </c>
      <c r="L1186" s="387">
        <v>0</v>
      </c>
      <c r="M1186" s="387" t="s">
        <v>148</v>
      </c>
      <c r="N1186" s="387" t="s">
        <v>149</v>
      </c>
      <c r="O1186" s="387" t="s">
        <v>150</v>
      </c>
      <c r="P1186" s="387" t="s">
        <v>151</v>
      </c>
      <c r="Q1186" s="387"/>
      <c r="R1186" s="387" t="s">
        <v>6230</v>
      </c>
      <c r="S1186" s="387"/>
      <c r="T1186" s="387" t="s">
        <v>3241</v>
      </c>
      <c r="U1186" s="387" t="s">
        <v>152</v>
      </c>
      <c r="V1186" s="387" t="s">
        <v>23</v>
      </c>
    </row>
    <row r="1187" spans="2:22">
      <c r="B1187" s="389">
        <v>46228</v>
      </c>
      <c r="C1187" s="389">
        <v>46228</v>
      </c>
      <c r="D1187" s="387" t="s">
        <v>6231</v>
      </c>
      <c r="E1187" s="388" t="s">
        <v>6232</v>
      </c>
      <c r="F1187" s="387" t="s">
        <v>87</v>
      </c>
      <c r="G1187" s="387" t="s">
        <v>5706</v>
      </c>
      <c r="H1187" s="393">
        <v>50</v>
      </c>
      <c r="I1187" s="387">
        <v>34.299999999999997</v>
      </c>
      <c r="J1187" s="387">
        <v>34.299999999999997</v>
      </c>
      <c r="K1187" s="387">
        <v>5</v>
      </c>
      <c r="L1187" s="387">
        <v>0</v>
      </c>
      <c r="M1187" s="387" t="s">
        <v>148</v>
      </c>
      <c r="N1187" s="387" t="s">
        <v>149</v>
      </c>
      <c r="O1187" s="387" t="s">
        <v>150</v>
      </c>
      <c r="P1187" s="387" t="s">
        <v>151</v>
      </c>
      <c r="Q1187" s="387"/>
      <c r="R1187" s="387" t="s">
        <v>6232</v>
      </c>
      <c r="S1187" s="387"/>
      <c r="T1187" s="387" t="s">
        <v>3241</v>
      </c>
      <c r="U1187" s="387" t="s">
        <v>152</v>
      </c>
      <c r="V1187" s="387" t="s">
        <v>23</v>
      </c>
    </row>
    <row r="1188" spans="2:22">
      <c r="B1188" s="389">
        <v>46228</v>
      </c>
      <c r="C1188" s="389">
        <v>46228</v>
      </c>
      <c r="D1188" s="387" t="s">
        <v>6233</v>
      </c>
      <c r="E1188" s="388" t="s">
        <v>6234</v>
      </c>
      <c r="F1188" s="387" t="s">
        <v>87</v>
      </c>
      <c r="G1188" s="387" t="s">
        <v>6162</v>
      </c>
      <c r="H1188" s="393">
        <v>50</v>
      </c>
      <c r="I1188" s="387">
        <v>32.299999999999997</v>
      </c>
      <c r="J1188" s="387">
        <v>32.299999999999997</v>
      </c>
      <c r="K1188" s="387">
        <v>5</v>
      </c>
      <c r="L1188" s="387">
        <v>0</v>
      </c>
      <c r="M1188" s="387" t="s">
        <v>148</v>
      </c>
      <c r="N1188" s="387" t="s">
        <v>149</v>
      </c>
      <c r="O1188" s="387" t="s">
        <v>150</v>
      </c>
      <c r="P1188" s="387" t="s">
        <v>151</v>
      </c>
      <c r="Q1188" s="387"/>
      <c r="R1188" s="387" t="s">
        <v>6234</v>
      </c>
      <c r="S1188" s="387"/>
      <c r="T1188" s="387" t="s">
        <v>3241</v>
      </c>
      <c r="U1188" s="387" t="s">
        <v>152</v>
      </c>
      <c r="V1188" s="387" t="s">
        <v>23</v>
      </c>
    </row>
    <row r="1189" spans="2:22">
      <c r="B1189" s="389">
        <v>46228</v>
      </c>
      <c r="C1189" s="389">
        <v>46228</v>
      </c>
      <c r="D1189" s="387" t="s">
        <v>6235</v>
      </c>
      <c r="E1189" s="388" t="s">
        <v>6236</v>
      </c>
      <c r="F1189" s="387" t="s">
        <v>87</v>
      </c>
      <c r="G1189" s="387" t="s">
        <v>2553</v>
      </c>
      <c r="H1189" s="393">
        <v>30</v>
      </c>
      <c r="I1189" s="387">
        <v>35.799999999999997</v>
      </c>
      <c r="J1189" s="387">
        <v>35.799999999999997</v>
      </c>
      <c r="K1189" s="387">
        <v>4</v>
      </c>
      <c r="L1189" s="387">
        <v>0</v>
      </c>
      <c r="M1189" s="387" t="s">
        <v>148</v>
      </c>
      <c r="N1189" s="387" t="s">
        <v>149</v>
      </c>
      <c r="O1189" s="387" t="s">
        <v>150</v>
      </c>
      <c r="P1189" s="387" t="s">
        <v>151</v>
      </c>
      <c r="Q1189" s="387"/>
      <c r="R1189" s="387" t="s">
        <v>6236</v>
      </c>
      <c r="S1189" s="387"/>
      <c r="T1189" s="387" t="s">
        <v>3241</v>
      </c>
      <c r="U1189" s="387" t="s">
        <v>152</v>
      </c>
      <c r="V1189" s="387" t="s">
        <v>23</v>
      </c>
    </row>
    <row r="1190" spans="2:22">
      <c r="B1190" s="389">
        <v>46228</v>
      </c>
      <c r="C1190" s="389">
        <v>46228</v>
      </c>
      <c r="D1190" s="387" t="s">
        <v>6237</v>
      </c>
      <c r="E1190" s="388" t="s">
        <v>6238</v>
      </c>
      <c r="F1190" s="387" t="s">
        <v>87</v>
      </c>
      <c r="G1190" s="387" t="s">
        <v>2552</v>
      </c>
      <c r="H1190" s="393">
        <v>40</v>
      </c>
      <c r="I1190" s="387">
        <v>27.3</v>
      </c>
      <c r="J1190" s="387">
        <v>27.3</v>
      </c>
      <c r="K1190" s="387">
        <v>5</v>
      </c>
      <c r="L1190" s="387">
        <v>0</v>
      </c>
      <c r="M1190" s="387" t="s">
        <v>148</v>
      </c>
      <c r="N1190" s="387" t="s">
        <v>149</v>
      </c>
      <c r="O1190" s="387" t="s">
        <v>150</v>
      </c>
      <c r="P1190" s="387" t="s">
        <v>151</v>
      </c>
      <c r="Q1190" s="387"/>
      <c r="R1190" s="387" t="s">
        <v>6238</v>
      </c>
      <c r="S1190" s="387"/>
      <c r="T1190" s="387" t="s">
        <v>3241</v>
      </c>
      <c r="U1190" s="387" t="s">
        <v>152</v>
      </c>
      <c r="V1190" s="387" t="s">
        <v>23</v>
      </c>
    </row>
    <row r="1191" spans="2:22">
      <c r="B1191" s="389">
        <v>46228</v>
      </c>
      <c r="C1191" s="389">
        <v>46228</v>
      </c>
      <c r="D1191" s="387" t="s">
        <v>6239</v>
      </c>
      <c r="E1191" s="388" t="s">
        <v>6240</v>
      </c>
      <c r="F1191" s="387" t="s">
        <v>87</v>
      </c>
      <c r="G1191" s="387" t="s">
        <v>2552</v>
      </c>
      <c r="H1191" s="393">
        <v>40</v>
      </c>
      <c r="I1191" s="387">
        <v>26.5</v>
      </c>
      <c r="J1191" s="387">
        <v>26.5</v>
      </c>
      <c r="K1191" s="387">
        <v>5</v>
      </c>
      <c r="L1191" s="387">
        <v>0</v>
      </c>
      <c r="M1191" s="387" t="s">
        <v>148</v>
      </c>
      <c r="N1191" s="387" t="s">
        <v>149</v>
      </c>
      <c r="O1191" s="387" t="s">
        <v>150</v>
      </c>
      <c r="P1191" s="387" t="s">
        <v>151</v>
      </c>
      <c r="Q1191" s="387"/>
      <c r="R1191" s="387" t="s">
        <v>6240</v>
      </c>
      <c r="S1191" s="387"/>
      <c r="T1191" s="387" t="s">
        <v>3241</v>
      </c>
      <c r="U1191" s="387" t="s">
        <v>152</v>
      </c>
      <c r="V1191" s="387" t="s">
        <v>23</v>
      </c>
    </row>
    <row r="1192" spans="2:22">
      <c r="B1192" s="389">
        <v>46228</v>
      </c>
      <c r="C1192" s="389">
        <v>46228</v>
      </c>
      <c r="D1192" s="387" t="s">
        <v>6241</v>
      </c>
      <c r="E1192" s="388" t="s">
        <v>6242</v>
      </c>
      <c r="F1192" s="387" t="s">
        <v>87</v>
      </c>
      <c r="G1192" s="387" t="s">
        <v>3866</v>
      </c>
      <c r="H1192" s="393">
        <v>40</v>
      </c>
      <c r="I1192" s="387">
        <v>24.5</v>
      </c>
      <c r="J1192" s="387">
        <v>24.5</v>
      </c>
      <c r="K1192" s="387">
        <v>5</v>
      </c>
      <c r="L1192" s="387">
        <v>0</v>
      </c>
      <c r="M1192" s="387" t="s">
        <v>148</v>
      </c>
      <c r="N1192" s="387" t="s">
        <v>149</v>
      </c>
      <c r="O1192" s="387" t="s">
        <v>150</v>
      </c>
      <c r="P1192" s="387" t="s">
        <v>151</v>
      </c>
      <c r="Q1192" s="387"/>
      <c r="R1192" s="387" t="s">
        <v>6242</v>
      </c>
      <c r="S1192" s="387"/>
      <c r="T1192" s="387" t="s">
        <v>3241</v>
      </c>
      <c r="U1192" s="387" t="s">
        <v>152</v>
      </c>
      <c r="V1192" s="387" t="s">
        <v>23</v>
      </c>
    </row>
    <row r="1193" spans="2:22">
      <c r="B1193" s="389">
        <v>46228</v>
      </c>
      <c r="C1193" s="389">
        <v>46228</v>
      </c>
      <c r="D1193" s="387" t="s">
        <v>6243</v>
      </c>
      <c r="E1193" s="388" t="s">
        <v>6244</v>
      </c>
      <c r="F1193" s="387" t="s">
        <v>87</v>
      </c>
      <c r="G1193" s="387" t="s">
        <v>2552</v>
      </c>
      <c r="H1193" s="393">
        <v>40</v>
      </c>
      <c r="I1193" s="387">
        <v>38.700000000000003</v>
      </c>
      <c r="J1193" s="387">
        <v>38.700000000000003</v>
      </c>
      <c r="K1193" s="387">
        <v>5</v>
      </c>
      <c r="L1193" s="387">
        <v>0</v>
      </c>
      <c r="M1193" s="387" t="s">
        <v>148</v>
      </c>
      <c r="N1193" s="387" t="s">
        <v>149</v>
      </c>
      <c r="O1193" s="387" t="s">
        <v>150</v>
      </c>
      <c r="P1193" s="387" t="s">
        <v>151</v>
      </c>
      <c r="Q1193" s="387"/>
      <c r="R1193" s="387" t="s">
        <v>6244</v>
      </c>
      <c r="S1193" s="387"/>
      <c r="T1193" s="387" t="s">
        <v>3241</v>
      </c>
      <c r="U1193" s="387" t="s">
        <v>152</v>
      </c>
      <c r="V1193" s="387" t="s">
        <v>23</v>
      </c>
    </row>
    <row r="1194" spans="2:22">
      <c r="B1194" s="389">
        <v>46228</v>
      </c>
      <c r="C1194" s="389">
        <v>46228</v>
      </c>
      <c r="D1194" s="387" t="s">
        <v>6245</v>
      </c>
      <c r="E1194" s="388" t="s">
        <v>6246</v>
      </c>
      <c r="F1194" s="387" t="s">
        <v>87</v>
      </c>
      <c r="G1194" s="387" t="s">
        <v>1713</v>
      </c>
      <c r="H1194" s="393">
        <v>30</v>
      </c>
      <c r="I1194" s="387">
        <v>34.799999999999997</v>
      </c>
      <c r="J1194" s="387">
        <v>34.799999999999997</v>
      </c>
      <c r="K1194" s="387">
        <v>4</v>
      </c>
      <c r="L1194" s="387">
        <v>0</v>
      </c>
      <c r="M1194" s="387" t="s">
        <v>148</v>
      </c>
      <c r="N1194" s="387" t="s">
        <v>149</v>
      </c>
      <c r="O1194" s="387" t="s">
        <v>150</v>
      </c>
      <c r="P1194" s="387" t="s">
        <v>151</v>
      </c>
      <c r="Q1194" s="387"/>
      <c r="R1194" s="387" t="s">
        <v>6246</v>
      </c>
      <c r="S1194" s="387"/>
      <c r="T1194" s="387" t="s">
        <v>3241</v>
      </c>
      <c r="U1194" s="387" t="s">
        <v>152</v>
      </c>
      <c r="V1194" s="387" t="s">
        <v>23</v>
      </c>
    </row>
    <row r="1195" spans="2:22">
      <c r="B1195" s="389">
        <v>46228</v>
      </c>
      <c r="C1195" s="389">
        <v>46228</v>
      </c>
      <c r="D1195" s="387" t="s">
        <v>6247</v>
      </c>
      <c r="E1195" s="388" t="s">
        <v>6248</v>
      </c>
      <c r="F1195" s="387" t="s">
        <v>87</v>
      </c>
      <c r="G1195" s="387" t="s">
        <v>2552</v>
      </c>
      <c r="H1195" s="393">
        <v>40</v>
      </c>
      <c r="I1195" s="387">
        <v>29.8</v>
      </c>
      <c r="J1195" s="387">
        <v>29.8</v>
      </c>
      <c r="K1195" s="387">
        <v>5</v>
      </c>
      <c r="L1195" s="387">
        <v>0</v>
      </c>
      <c r="M1195" s="387" t="s">
        <v>148</v>
      </c>
      <c r="N1195" s="387" t="s">
        <v>149</v>
      </c>
      <c r="O1195" s="387" t="s">
        <v>150</v>
      </c>
      <c r="P1195" s="387" t="s">
        <v>151</v>
      </c>
      <c r="Q1195" s="387"/>
      <c r="R1195" s="387" t="s">
        <v>6248</v>
      </c>
      <c r="S1195" s="387"/>
      <c r="T1195" s="387" t="s">
        <v>3241</v>
      </c>
      <c r="U1195" s="387" t="s">
        <v>152</v>
      </c>
      <c r="V1195" s="387" t="s">
        <v>23</v>
      </c>
    </row>
    <row r="1196" spans="2:22">
      <c r="B1196" s="389">
        <v>46228</v>
      </c>
      <c r="C1196" s="389">
        <v>46228</v>
      </c>
      <c r="D1196" s="387" t="s">
        <v>6249</v>
      </c>
      <c r="E1196" s="388" t="s">
        <v>6250</v>
      </c>
      <c r="F1196" s="387" t="s">
        <v>87</v>
      </c>
      <c r="G1196" s="387" t="s">
        <v>2486</v>
      </c>
      <c r="H1196" s="393">
        <v>40</v>
      </c>
      <c r="I1196" s="387">
        <v>37.799999999999997</v>
      </c>
      <c r="J1196" s="387">
        <v>37.799999999999997</v>
      </c>
      <c r="K1196" s="387">
        <v>5</v>
      </c>
      <c r="L1196" s="387">
        <v>0</v>
      </c>
      <c r="M1196" s="387" t="s">
        <v>148</v>
      </c>
      <c r="N1196" s="387" t="s">
        <v>149</v>
      </c>
      <c r="O1196" s="387" t="s">
        <v>150</v>
      </c>
      <c r="P1196" s="387" t="s">
        <v>151</v>
      </c>
      <c r="Q1196" s="387"/>
      <c r="R1196" s="387" t="s">
        <v>6250</v>
      </c>
      <c r="S1196" s="387"/>
      <c r="T1196" s="387" t="s">
        <v>3241</v>
      </c>
      <c r="U1196" s="387" t="s">
        <v>152</v>
      </c>
      <c r="V1196" s="387" t="s">
        <v>23</v>
      </c>
    </row>
    <row r="1197" spans="2:22">
      <c r="B1197" s="389">
        <v>46228</v>
      </c>
      <c r="C1197" s="389">
        <v>46228</v>
      </c>
      <c r="D1197" s="387" t="s">
        <v>6251</v>
      </c>
      <c r="E1197" s="388" t="s">
        <v>6252</v>
      </c>
      <c r="F1197" s="387" t="s">
        <v>87</v>
      </c>
      <c r="G1197" s="387" t="s">
        <v>2486</v>
      </c>
      <c r="H1197" s="393">
        <v>40</v>
      </c>
      <c r="I1197" s="387">
        <v>40.1</v>
      </c>
      <c r="J1197" s="387">
        <v>40.1</v>
      </c>
      <c r="K1197" s="387">
        <v>5</v>
      </c>
      <c r="L1197" s="387">
        <v>0</v>
      </c>
      <c r="M1197" s="387" t="s">
        <v>148</v>
      </c>
      <c r="N1197" s="387" t="s">
        <v>149</v>
      </c>
      <c r="O1197" s="387" t="s">
        <v>150</v>
      </c>
      <c r="P1197" s="387" t="s">
        <v>151</v>
      </c>
      <c r="Q1197" s="387"/>
      <c r="R1197" s="387" t="s">
        <v>6252</v>
      </c>
      <c r="S1197" s="387"/>
      <c r="T1197" s="387" t="s">
        <v>3241</v>
      </c>
      <c r="U1197" s="387" t="s">
        <v>152</v>
      </c>
      <c r="V1197" s="387" t="s">
        <v>23</v>
      </c>
    </row>
    <row r="1198" spans="2:22">
      <c r="B1198" s="389">
        <v>46228</v>
      </c>
      <c r="C1198" s="389">
        <v>46228</v>
      </c>
      <c r="D1198" s="387" t="s">
        <v>6253</v>
      </c>
      <c r="E1198" s="388" t="s">
        <v>6254</v>
      </c>
      <c r="F1198" s="387" t="s">
        <v>87</v>
      </c>
      <c r="G1198" s="387" t="s">
        <v>2552</v>
      </c>
      <c r="H1198" s="393">
        <v>40</v>
      </c>
      <c r="I1198" s="387">
        <v>31.5</v>
      </c>
      <c r="J1198" s="387">
        <v>31.5</v>
      </c>
      <c r="K1198" s="387">
        <v>5</v>
      </c>
      <c r="L1198" s="387">
        <v>0</v>
      </c>
      <c r="M1198" s="387" t="s">
        <v>148</v>
      </c>
      <c r="N1198" s="387" t="s">
        <v>149</v>
      </c>
      <c r="O1198" s="387" t="s">
        <v>150</v>
      </c>
      <c r="P1198" s="387" t="s">
        <v>151</v>
      </c>
      <c r="Q1198" s="387"/>
      <c r="R1198" s="387" t="s">
        <v>6254</v>
      </c>
      <c r="S1198" s="387"/>
      <c r="T1198" s="387" t="s">
        <v>3241</v>
      </c>
      <c r="U1198" s="387" t="s">
        <v>152</v>
      </c>
      <c r="V1198" s="387" t="s">
        <v>23</v>
      </c>
    </row>
    <row r="1199" spans="2:22">
      <c r="B1199" s="389">
        <v>46228</v>
      </c>
      <c r="C1199" s="389">
        <v>46228</v>
      </c>
      <c r="D1199" s="387" t="s">
        <v>6255</v>
      </c>
      <c r="E1199" s="388" t="s">
        <v>6256</v>
      </c>
      <c r="F1199" s="387" t="s">
        <v>87</v>
      </c>
      <c r="G1199" s="387" t="s">
        <v>5706</v>
      </c>
      <c r="H1199" s="393">
        <v>50</v>
      </c>
      <c r="I1199" s="387">
        <v>41.2</v>
      </c>
      <c r="J1199" s="387">
        <v>41.2</v>
      </c>
      <c r="K1199" s="387">
        <v>5</v>
      </c>
      <c r="L1199" s="387">
        <v>0</v>
      </c>
      <c r="M1199" s="387" t="s">
        <v>148</v>
      </c>
      <c r="N1199" s="387" t="s">
        <v>149</v>
      </c>
      <c r="O1199" s="387" t="s">
        <v>150</v>
      </c>
      <c r="P1199" s="387" t="s">
        <v>151</v>
      </c>
      <c r="Q1199" s="387"/>
      <c r="R1199" s="387" t="s">
        <v>6256</v>
      </c>
      <c r="S1199" s="387"/>
      <c r="T1199" s="387" t="s">
        <v>3241</v>
      </c>
      <c r="U1199" s="387" t="s">
        <v>152</v>
      </c>
      <c r="V1199" s="387" t="s">
        <v>23</v>
      </c>
    </row>
    <row r="1200" spans="2:22">
      <c r="B1200" s="389">
        <v>46228</v>
      </c>
      <c r="C1200" s="389">
        <v>46228</v>
      </c>
      <c r="D1200" s="387" t="s">
        <v>6257</v>
      </c>
      <c r="E1200" s="388" t="s">
        <v>6258</v>
      </c>
      <c r="F1200" s="387" t="s">
        <v>87</v>
      </c>
      <c r="G1200" s="387" t="s">
        <v>2001</v>
      </c>
      <c r="H1200" s="393">
        <v>6</v>
      </c>
      <c r="I1200" s="387">
        <v>27.2</v>
      </c>
      <c r="J1200" s="387">
        <v>27.2</v>
      </c>
      <c r="K1200" s="387">
        <v>1.5</v>
      </c>
      <c r="L1200" s="387">
        <v>0</v>
      </c>
      <c r="M1200" s="387" t="s">
        <v>148</v>
      </c>
      <c r="N1200" s="387" t="s">
        <v>149</v>
      </c>
      <c r="O1200" s="387" t="s">
        <v>150</v>
      </c>
      <c r="P1200" s="387" t="s">
        <v>151</v>
      </c>
      <c r="Q1200" s="387"/>
      <c r="R1200" s="387" t="s">
        <v>6258</v>
      </c>
      <c r="S1200" s="387"/>
      <c r="T1200" s="387" t="s">
        <v>3241</v>
      </c>
      <c r="U1200" s="387" t="s">
        <v>152</v>
      </c>
      <c r="V1200" s="387" t="s">
        <v>23</v>
      </c>
    </row>
    <row r="1201" spans="2:22">
      <c r="B1201" s="389">
        <v>46228</v>
      </c>
      <c r="C1201" s="389">
        <v>46228</v>
      </c>
      <c r="D1201" s="387" t="s">
        <v>6259</v>
      </c>
      <c r="E1201" s="388" t="s">
        <v>6260</v>
      </c>
      <c r="F1201" s="387" t="s">
        <v>87</v>
      </c>
      <c r="G1201" s="387" t="s">
        <v>2001</v>
      </c>
      <c r="H1201" s="393">
        <v>6</v>
      </c>
      <c r="I1201" s="387">
        <v>24.2</v>
      </c>
      <c r="J1201" s="387">
        <v>24.2</v>
      </c>
      <c r="K1201" s="387">
        <v>1.5</v>
      </c>
      <c r="L1201" s="387">
        <v>0</v>
      </c>
      <c r="M1201" s="387" t="s">
        <v>148</v>
      </c>
      <c r="N1201" s="387" t="s">
        <v>149</v>
      </c>
      <c r="O1201" s="387" t="s">
        <v>150</v>
      </c>
      <c r="P1201" s="387" t="s">
        <v>151</v>
      </c>
      <c r="Q1201" s="387"/>
      <c r="R1201" s="387" t="s">
        <v>6260</v>
      </c>
      <c r="S1201" s="387"/>
      <c r="T1201" s="387" t="s">
        <v>3241</v>
      </c>
      <c r="U1201" s="387" t="s">
        <v>152</v>
      </c>
      <c r="V1201" s="387" t="s">
        <v>23</v>
      </c>
    </row>
    <row r="1202" spans="2:22">
      <c r="B1202" s="389">
        <v>46228</v>
      </c>
      <c r="C1202" s="389">
        <v>46228</v>
      </c>
      <c r="D1202" s="387" t="s">
        <v>6261</v>
      </c>
      <c r="E1202" s="388" t="s">
        <v>6262</v>
      </c>
      <c r="F1202" s="387" t="s">
        <v>87</v>
      </c>
      <c r="G1202" s="387" t="s">
        <v>2486</v>
      </c>
      <c r="H1202" s="393">
        <v>40</v>
      </c>
      <c r="I1202" s="387">
        <v>41.2</v>
      </c>
      <c r="J1202" s="387">
        <v>41.2</v>
      </c>
      <c r="K1202" s="387">
        <v>5</v>
      </c>
      <c r="L1202" s="387">
        <v>0</v>
      </c>
      <c r="M1202" s="387" t="s">
        <v>148</v>
      </c>
      <c r="N1202" s="387" t="s">
        <v>149</v>
      </c>
      <c r="O1202" s="387" t="s">
        <v>150</v>
      </c>
      <c r="P1202" s="387" t="s">
        <v>151</v>
      </c>
      <c r="Q1202" s="387"/>
      <c r="R1202" s="387" t="s">
        <v>6262</v>
      </c>
      <c r="S1202" s="387"/>
      <c r="T1202" s="387" t="s">
        <v>3241</v>
      </c>
      <c r="U1202" s="387" t="s">
        <v>152</v>
      </c>
      <c r="V1202" s="387" t="s">
        <v>23</v>
      </c>
    </row>
    <row r="1203" spans="2:22">
      <c r="B1203" s="389">
        <v>46228</v>
      </c>
      <c r="C1203" s="389">
        <v>46228</v>
      </c>
      <c r="D1203" s="387" t="s">
        <v>6263</v>
      </c>
      <c r="E1203" s="388" t="s">
        <v>6264</v>
      </c>
      <c r="F1203" s="387" t="s">
        <v>87</v>
      </c>
      <c r="G1203" s="387" t="s">
        <v>1713</v>
      </c>
      <c r="H1203" s="393">
        <v>30</v>
      </c>
      <c r="I1203" s="387">
        <v>38.200000000000003</v>
      </c>
      <c r="J1203" s="387">
        <v>38.200000000000003</v>
      </c>
      <c r="K1203" s="387">
        <v>4</v>
      </c>
      <c r="L1203" s="387">
        <v>0</v>
      </c>
      <c r="M1203" s="387" t="s">
        <v>148</v>
      </c>
      <c r="N1203" s="387" t="s">
        <v>149</v>
      </c>
      <c r="O1203" s="387" t="s">
        <v>150</v>
      </c>
      <c r="P1203" s="387" t="s">
        <v>151</v>
      </c>
      <c r="Q1203" s="387"/>
      <c r="R1203" s="387" t="s">
        <v>6264</v>
      </c>
      <c r="S1203" s="387"/>
      <c r="T1203" s="387" t="s">
        <v>3241</v>
      </c>
      <c r="U1203" s="387" t="s">
        <v>152</v>
      </c>
      <c r="V1203" s="387" t="s">
        <v>23</v>
      </c>
    </row>
    <row r="1204" spans="2:22">
      <c r="B1204" s="389">
        <v>46228</v>
      </c>
      <c r="C1204" s="389">
        <v>46228</v>
      </c>
      <c r="D1204" s="387" t="s">
        <v>6265</v>
      </c>
      <c r="E1204" s="388" t="s">
        <v>6266</v>
      </c>
      <c r="F1204" s="387" t="s">
        <v>87</v>
      </c>
      <c r="G1204" s="387" t="s">
        <v>2486</v>
      </c>
      <c r="H1204" s="393">
        <v>40</v>
      </c>
      <c r="I1204" s="387">
        <v>22.6</v>
      </c>
      <c r="J1204" s="387">
        <v>22.6</v>
      </c>
      <c r="K1204" s="387">
        <v>5</v>
      </c>
      <c r="L1204" s="387">
        <v>0</v>
      </c>
      <c r="M1204" s="387" t="s">
        <v>148</v>
      </c>
      <c r="N1204" s="387" t="s">
        <v>149</v>
      </c>
      <c r="O1204" s="387" t="s">
        <v>150</v>
      </c>
      <c r="P1204" s="387" t="s">
        <v>151</v>
      </c>
      <c r="Q1204" s="387"/>
      <c r="R1204" s="387" t="s">
        <v>6266</v>
      </c>
      <c r="S1204" s="387"/>
      <c r="T1204" s="387" t="s">
        <v>3241</v>
      </c>
      <c r="U1204" s="387" t="s">
        <v>152</v>
      </c>
      <c r="V1204" s="387" t="s">
        <v>23</v>
      </c>
    </row>
    <row r="1205" spans="2:22">
      <c r="B1205" s="389">
        <v>46228</v>
      </c>
      <c r="C1205" s="389">
        <v>46228</v>
      </c>
      <c r="D1205" s="387" t="s">
        <v>6267</v>
      </c>
      <c r="E1205" s="388" t="s">
        <v>6268</v>
      </c>
      <c r="F1205" s="387" t="s">
        <v>87</v>
      </c>
      <c r="G1205" s="387" t="s">
        <v>2552</v>
      </c>
      <c r="H1205" s="393">
        <v>40</v>
      </c>
      <c r="I1205" s="387">
        <v>40.200000000000003</v>
      </c>
      <c r="J1205" s="387">
        <v>40.200000000000003</v>
      </c>
      <c r="K1205" s="387">
        <v>5</v>
      </c>
      <c r="L1205" s="387">
        <v>0</v>
      </c>
      <c r="M1205" s="387" t="s">
        <v>148</v>
      </c>
      <c r="N1205" s="387" t="s">
        <v>149</v>
      </c>
      <c r="O1205" s="387" t="s">
        <v>150</v>
      </c>
      <c r="P1205" s="387" t="s">
        <v>151</v>
      </c>
      <c r="Q1205" s="387"/>
      <c r="R1205" s="387" t="s">
        <v>6268</v>
      </c>
      <c r="S1205" s="387"/>
      <c r="T1205" s="387" t="s">
        <v>3241</v>
      </c>
      <c r="U1205" s="387" t="s">
        <v>152</v>
      </c>
      <c r="V1205" s="387" t="s">
        <v>23</v>
      </c>
    </row>
    <row r="1206" spans="2:22">
      <c r="B1206" s="389">
        <v>46228</v>
      </c>
      <c r="C1206" s="389">
        <v>46228</v>
      </c>
      <c r="D1206" s="387" t="s">
        <v>6269</v>
      </c>
      <c r="E1206" s="388" t="s">
        <v>6270</v>
      </c>
      <c r="F1206" s="387" t="s">
        <v>87</v>
      </c>
      <c r="G1206" s="387" t="s">
        <v>2552</v>
      </c>
      <c r="H1206" s="393">
        <v>40</v>
      </c>
      <c r="I1206" s="387">
        <v>35.799999999999997</v>
      </c>
      <c r="J1206" s="387">
        <v>35.799999999999997</v>
      </c>
      <c r="K1206" s="387">
        <v>5</v>
      </c>
      <c r="L1206" s="387">
        <v>0</v>
      </c>
      <c r="M1206" s="387" t="s">
        <v>148</v>
      </c>
      <c r="N1206" s="387" t="s">
        <v>149</v>
      </c>
      <c r="O1206" s="387" t="s">
        <v>150</v>
      </c>
      <c r="P1206" s="387" t="s">
        <v>151</v>
      </c>
      <c r="Q1206" s="387"/>
      <c r="R1206" s="387" t="s">
        <v>6270</v>
      </c>
      <c r="S1206" s="387"/>
      <c r="T1206" s="387" t="s">
        <v>3241</v>
      </c>
      <c r="U1206" s="387" t="s">
        <v>152</v>
      </c>
      <c r="V1206" s="387" t="s">
        <v>23</v>
      </c>
    </row>
    <row r="1207" spans="2:22">
      <c r="B1207" s="389">
        <v>46228</v>
      </c>
      <c r="C1207" s="389">
        <v>46228</v>
      </c>
      <c r="D1207" s="387" t="s">
        <v>6271</v>
      </c>
      <c r="E1207" s="388" t="s">
        <v>6272</v>
      </c>
      <c r="F1207" s="387" t="s">
        <v>87</v>
      </c>
      <c r="G1207" s="387" t="s">
        <v>1713</v>
      </c>
      <c r="H1207" s="393">
        <v>30</v>
      </c>
      <c r="I1207" s="387">
        <v>29.8</v>
      </c>
      <c r="J1207" s="387">
        <v>29.8</v>
      </c>
      <c r="K1207" s="387">
        <v>4</v>
      </c>
      <c r="L1207" s="387">
        <v>0</v>
      </c>
      <c r="M1207" s="387" t="s">
        <v>148</v>
      </c>
      <c r="N1207" s="387" t="s">
        <v>149</v>
      </c>
      <c r="O1207" s="387" t="s">
        <v>150</v>
      </c>
      <c r="P1207" s="387" t="s">
        <v>151</v>
      </c>
      <c r="Q1207" s="387"/>
      <c r="R1207" s="387" t="s">
        <v>6272</v>
      </c>
      <c r="S1207" s="387"/>
      <c r="T1207" s="387" t="s">
        <v>3241</v>
      </c>
      <c r="U1207" s="387" t="s">
        <v>152</v>
      </c>
      <c r="V1207" s="387" t="s">
        <v>23</v>
      </c>
    </row>
    <row r="1208" spans="2:22">
      <c r="B1208" s="389">
        <v>46228</v>
      </c>
      <c r="C1208" s="389">
        <v>46228</v>
      </c>
      <c r="D1208" s="387" t="s">
        <v>6273</v>
      </c>
      <c r="E1208" s="388" t="s">
        <v>6274</v>
      </c>
      <c r="F1208" s="387" t="s">
        <v>87</v>
      </c>
      <c r="G1208" s="387" t="s">
        <v>1713</v>
      </c>
      <c r="H1208" s="393">
        <v>30</v>
      </c>
      <c r="I1208" s="387">
        <v>22.9</v>
      </c>
      <c r="J1208" s="387">
        <v>22.9</v>
      </c>
      <c r="K1208" s="387">
        <v>4</v>
      </c>
      <c r="L1208" s="387">
        <v>0</v>
      </c>
      <c r="M1208" s="387" t="s">
        <v>148</v>
      </c>
      <c r="N1208" s="387" t="s">
        <v>149</v>
      </c>
      <c r="O1208" s="387" t="s">
        <v>150</v>
      </c>
      <c r="P1208" s="387" t="s">
        <v>151</v>
      </c>
      <c r="Q1208" s="387"/>
      <c r="R1208" s="387" t="s">
        <v>6274</v>
      </c>
      <c r="S1208" s="387"/>
      <c r="T1208" s="387" t="s">
        <v>3241</v>
      </c>
      <c r="U1208" s="387" t="s">
        <v>152</v>
      </c>
      <c r="V1208" s="387" t="s">
        <v>23</v>
      </c>
    </row>
    <row r="1209" spans="2:22">
      <c r="B1209" s="389">
        <v>46228</v>
      </c>
      <c r="C1209" s="389">
        <v>46228</v>
      </c>
      <c r="D1209" s="387" t="s">
        <v>6275</v>
      </c>
      <c r="E1209" s="388" t="s">
        <v>6276</v>
      </c>
      <c r="F1209" s="387" t="s">
        <v>87</v>
      </c>
      <c r="G1209" s="387" t="s">
        <v>2486</v>
      </c>
      <c r="H1209" s="393">
        <v>40</v>
      </c>
      <c r="I1209" s="387">
        <v>35.4</v>
      </c>
      <c r="J1209" s="387">
        <v>35.4</v>
      </c>
      <c r="K1209" s="387">
        <v>5</v>
      </c>
      <c r="L1209" s="387">
        <v>0</v>
      </c>
      <c r="M1209" s="387" t="s">
        <v>148</v>
      </c>
      <c r="N1209" s="387" t="s">
        <v>149</v>
      </c>
      <c r="O1209" s="387" t="s">
        <v>150</v>
      </c>
      <c r="P1209" s="387" t="s">
        <v>151</v>
      </c>
      <c r="Q1209" s="387"/>
      <c r="R1209" s="387" t="s">
        <v>6276</v>
      </c>
      <c r="S1209" s="387"/>
      <c r="T1209" s="387" t="s">
        <v>3241</v>
      </c>
      <c r="U1209" s="387" t="s">
        <v>152</v>
      </c>
      <c r="V1209" s="387" t="s">
        <v>23</v>
      </c>
    </row>
    <row r="1210" spans="2:22">
      <c r="B1210" s="389">
        <v>46228</v>
      </c>
      <c r="C1210" s="389">
        <v>46228</v>
      </c>
      <c r="D1210" s="387" t="s">
        <v>6277</v>
      </c>
      <c r="E1210" s="388" t="s">
        <v>6278</v>
      </c>
      <c r="F1210" s="387" t="s">
        <v>87</v>
      </c>
      <c r="G1210" s="387" t="s">
        <v>2552</v>
      </c>
      <c r="H1210" s="393">
        <v>40</v>
      </c>
      <c r="I1210" s="387">
        <v>38.799999999999997</v>
      </c>
      <c r="J1210" s="387">
        <v>38.799999999999997</v>
      </c>
      <c r="K1210" s="387">
        <v>5</v>
      </c>
      <c r="L1210" s="387">
        <v>0</v>
      </c>
      <c r="M1210" s="387" t="s">
        <v>148</v>
      </c>
      <c r="N1210" s="387" t="s">
        <v>149</v>
      </c>
      <c r="O1210" s="387" t="s">
        <v>150</v>
      </c>
      <c r="P1210" s="387" t="s">
        <v>151</v>
      </c>
      <c r="Q1210" s="387"/>
      <c r="R1210" s="387" t="s">
        <v>6278</v>
      </c>
      <c r="S1210" s="387"/>
      <c r="T1210" s="387" t="s">
        <v>3241</v>
      </c>
      <c r="U1210" s="387" t="s">
        <v>152</v>
      </c>
      <c r="V1210" s="387" t="s">
        <v>23</v>
      </c>
    </row>
    <row r="1211" spans="2:22">
      <c r="B1211" s="389">
        <v>46228</v>
      </c>
      <c r="C1211" s="389">
        <v>46228</v>
      </c>
      <c r="D1211" s="387" t="s">
        <v>6279</v>
      </c>
      <c r="E1211" s="388" t="s">
        <v>6280</v>
      </c>
      <c r="F1211" s="387" t="s">
        <v>87</v>
      </c>
      <c r="G1211" s="387" t="s">
        <v>2486</v>
      </c>
      <c r="H1211" s="393">
        <v>40</v>
      </c>
      <c r="I1211" s="387">
        <v>28.5</v>
      </c>
      <c r="J1211" s="387">
        <v>28.5</v>
      </c>
      <c r="K1211" s="387">
        <v>5</v>
      </c>
      <c r="L1211" s="387">
        <v>0</v>
      </c>
      <c r="M1211" s="387" t="s">
        <v>148</v>
      </c>
      <c r="N1211" s="387" t="s">
        <v>149</v>
      </c>
      <c r="O1211" s="387" t="s">
        <v>150</v>
      </c>
      <c r="P1211" s="387" t="s">
        <v>151</v>
      </c>
      <c r="Q1211" s="387"/>
      <c r="R1211" s="387" t="s">
        <v>6280</v>
      </c>
      <c r="S1211" s="387"/>
      <c r="T1211" s="387" t="s">
        <v>3241</v>
      </c>
      <c r="U1211" s="387" t="s">
        <v>152</v>
      </c>
      <c r="V1211" s="387" t="s">
        <v>23</v>
      </c>
    </row>
    <row r="1212" spans="2:22">
      <c r="B1212" s="389">
        <v>46228</v>
      </c>
      <c r="C1212" s="389">
        <v>46228</v>
      </c>
      <c r="D1212" s="387" t="s">
        <v>6281</v>
      </c>
      <c r="E1212" s="388" t="s">
        <v>6282</v>
      </c>
      <c r="F1212" s="387" t="s">
        <v>87</v>
      </c>
      <c r="G1212" s="387" t="s">
        <v>2001</v>
      </c>
      <c r="H1212" s="393">
        <v>6</v>
      </c>
      <c r="I1212" s="387">
        <v>10.9</v>
      </c>
      <c r="J1212" s="387">
        <v>10.9</v>
      </c>
      <c r="K1212" s="387">
        <v>1.5</v>
      </c>
      <c r="L1212" s="387">
        <v>0</v>
      </c>
      <c r="M1212" s="387" t="s">
        <v>148</v>
      </c>
      <c r="N1212" s="387" t="s">
        <v>149</v>
      </c>
      <c r="O1212" s="387" t="s">
        <v>150</v>
      </c>
      <c r="P1212" s="387" t="s">
        <v>151</v>
      </c>
      <c r="Q1212" s="387"/>
      <c r="R1212" s="387" t="s">
        <v>6282</v>
      </c>
      <c r="S1212" s="387"/>
      <c r="T1212" s="387" t="s">
        <v>3241</v>
      </c>
      <c r="U1212" s="387" t="s">
        <v>152</v>
      </c>
      <c r="V1212" s="387" t="s">
        <v>23</v>
      </c>
    </row>
    <row r="1213" spans="2:22">
      <c r="B1213" s="389">
        <v>46228</v>
      </c>
      <c r="C1213" s="389">
        <v>46228</v>
      </c>
      <c r="D1213" s="387" t="s">
        <v>6283</v>
      </c>
      <c r="E1213" s="388" t="s">
        <v>6284</v>
      </c>
      <c r="F1213" s="387" t="s">
        <v>87</v>
      </c>
      <c r="G1213" s="387" t="s">
        <v>5706</v>
      </c>
      <c r="H1213" s="393">
        <v>50</v>
      </c>
      <c r="I1213" s="387">
        <v>38.200000000000003</v>
      </c>
      <c r="J1213" s="387">
        <v>38.200000000000003</v>
      </c>
      <c r="K1213" s="387">
        <v>5</v>
      </c>
      <c r="L1213" s="387">
        <v>0</v>
      </c>
      <c r="M1213" s="387" t="s">
        <v>148</v>
      </c>
      <c r="N1213" s="387" t="s">
        <v>149</v>
      </c>
      <c r="O1213" s="387" t="s">
        <v>150</v>
      </c>
      <c r="P1213" s="387" t="s">
        <v>151</v>
      </c>
      <c r="Q1213" s="387"/>
      <c r="R1213" s="387" t="s">
        <v>6284</v>
      </c>
      <c r="S1213" s="387"/>
      <c r="T1213" s="387" t="s">
        <v>3241</v>
      </c>
      <c r="U1213" s="387" t="s">
        <v>152</v>
      </c>
      <c r="V1213" s="387" t="s">
        <v>23</v>
      </c>
    </row>
    <row r="1214" spans="2:22">
      <c r="B1214" s="389">
        <v>46228</v>
      </c>
      <c r="C1214" s="389">
        <v>46228</v>
      </c>
      <c r="D1214" s="387" t="s">
        <v>6285</v>
      </c>
      <c r="E1214" s="388" t="s">
        <v>6286</v>
      </c>
      <c r="F1214" s="387" t="s">
        <v>87</v>
      </c>
      <c r="G1214" s="387" t="s">
        <v>2486</v>
      </c>
      <c r="H1214" s="393">
        <v>40</v>
      </c>
      <c r="I1214" s="387">
        <v>41.6</v>
      </c>
      <c r="J1214" s="387">
        <v>41.6</v>
      </c>
      <c r="K1214" s="387">
        <v>5</v>
      </c>
      <c r="L1214" s="387">
        <v>0</v>
      </c>
      <c r="M1214" s="387" t="s">
        <v>148</v>
      </c>
      <c r="N1214" s="387" t="s">
        <v>149</v>
      </c>
      <c r="O1214" s="387" t="s">
        <v>150</v>
      </c>
      <c r="P1214" s="387" t="s">
        <v>151</v>
      </c>
      <c r="Q1214" s="387"/>
      <c r="R1214" s="387" t="s">
        <v>6286</v>
      </c>
      <c r="S1214" s="387"/>
      <c r="T1214" s="387" t="s">
        <v>3241</v>
      </c>
      <c r="U1214" s="387" t="s">
        <v>152</v>
      </c>
      <c r="V1214" s="387" t="s">
        <v>23</v>
      </c>
    </row>
    <row r="1215" spans="2:22">
      <c r="B1215" s="389">
        <v>46228</v>
      </c>
      <c r="C1215" s="389">
        <v>46228</v>
      </c>
      <c r="D1215" s="387" t="s">
        <v>6287</v>
      </c>
      <c r="E1215" s="388" t="s">
        <v>6288</v>
      </c>
      <c r="F1215" s="387" t="s">
        <v>87</v>
      </c>
      <c r="G1215" s="387" t="s">
        <v>2552</v>
      </c>
      <c r="H1215" s="393">
        <v>40</v>
      </c>
      <c r="I1215" s="387">
        <v>40.4</v>
      </c>
      <c r="J1215" s="387">
        <v>40.4</v>
      </c>
      <c r="K1215" s="387">
        <v>5</v>
      </c>
      <c r="L1215" s="387">
        <v>0</v>
      </c>
      <c r="M1215" s="387" t="s">
        <v>148</v>
      </c>
      <c r="N1215" s="387" t="s">
        <v>149</v>
      </c>
      <c r="O1215" s="387" t="s">
        <v>150</v>
      </c>
      <c r="P1215" s="387" t="s">
        <v>151</v>
      </c>
      <c r="Q1215" s="387"/>
      <c r="R1215" s="387" t="s">
        <v>6288</v>
      </c>
      <c r="S1215" s="387"/>
      <c r="T1215" s="387" t="s">
        <v>3241</v>
      </c>
      <c r="U1215" s="387" t="s">
        <v>152</v>
      </c>
      <c r="V1215" s="387" t="s">
        <v>23</v>
      </c>
    </row>
    <row r="1216" spans="2:22">
      <c r="B1216" s="389">
        <v>46228</v>
      </c>
      <c r="C1216" s="389">
        <v>46228</v>
      </c>
      <c r="D1216" s="387" t="s">
        <v>6289</v>
      </c>
      <c r="E1216" s="388" t="s">
        <v>6290</v>
      </c>
      <c r="F1216" s="387" t="s">
        <v>87</v>
      </c>
      <c r="G1216" s="387" t="s">
        <v>2486</v>
      </c>
      <c r="H1216" s="393">
        <v>40</v>
      </c>
      <c r="I1216" s="387">
        <v>41.5</v>
      </c>
      <c r="J1216" s="387">
        <v>41.5</v>
      </c>
      <c r="K1216" s="387">
        <v>5</v>
      </c>
      <c r="L1216" s="387">
        <v>0</v>
      </c>
      <c r="M1216" s="387" t="s">
        <v>148</v>
      </c>
      <c r="N1216" s="387" t="s">
        <v>149</v>
      </c>
      <c r="O1216" s="387" t="s">
        <v>150</v>
      </c>
      <c r="P1216" s="387" t="s">
        <v>151</v>
      </c>
      <c r="Q1216" s="387"/>
      <c r="R1216" s="387" t="s">
        <v>6290</v>
      </c>
      <c r="S1216" s="387"/>
      <c r="T1216" s="387" t="s">
        <v>3241</v>
      </c>
      <c r="U1216" s="387" t="s">
        <v>152</v>
      </c>
      <c r="V1216" s="387" t="s">
        <v>23</v>
      </c>
    </row>
    <row r="1217" spans="2:22">
      <c r="B1217" s="389">
        <v>46228</v>
      </c>
      <c r="C1217" s="389">
        <v>46228</v>
      </c>
      <c r="D1217" s="387" t="s">
        <v>6291</v>
      </c>
      <c r="E1217" s="388" t="s">
        <v>6292</v>
      </c>
      <c r="F1217" s="387" t="s">
        <v>87</v>
      </c>
      <c r="G1217" s="387" t="s">
        <v>6162</v>
      </c>
      <c r="H1217" s="393">
        <v>50</v>
      </c>
      <c r="I1217" s="387">
        <v>38</v>
      </c>
      <c r="J1217" s="387">
        <v>38</v>
      </c>
      <c r="K1217" s="387">
        <v>5</v>
      </c>
      <c r="L1217" s="387">
        <v>0</v>
      </c>
      <c r="M1217" s="387" t="s">
        <v>148</v>
      </c>
      <c r="N1217" s="387" t="s">
        <v>149</v>
      </c>
      <c r="O1217" s="387" t="s">
        <v>150</v>
      </c>
      <c r="P1217" s="387" t="s">
        <v>151</v>
      </c>
      <c r="Q1217" s="387"/>
      <c r="R1217" s="387" t="s">
        <v>6292</v>
      </c>
      <c r="S1217" s="387"/>
      <c r="T1217" s="387" t="s">
        <v>3241</v>
      </c>
      <c r="U1217" s="387" t="s">
        <v>152</v>
      </c>
      <c r="V1217" s="387" t="s">
        <v>23</v>
      </c>
    </row>
    <row r="1218" spans="2:22">
      <c r="B1218" s="389">
        <v>46228</v>
      </c>
      <c r="C1218" s="389">
        <v>46228</v>
      </c>
      <c r="D1218" s="387" t="s">
        <v>6293</v>
      </c>
      <c r="E1218" s="388" t="s">
        <v>6294</v>
      </c>
      <c r="F1218" s="387" t="s">
        <v>87</v>
      </c>
      <c r="G1218" s="387" t="s">
        <v>2486</v>
      </c>
      <c r="H1218" s="393">
        <v>40</v>
      </c>
      <c r="I1218" s="387">
        <v>36.799999999999997</v>
      </c>
      <c r="J1218" s="387">
        <v>36.799999999999997</v>
      </c>
      <c r="K1218" s="387">
        <v>5</v>
      </c>
      <c r="L1218" s="387">
        <v>0</v>
      </c>
      <c r="M1218" s="387" t="s">
        <v>148</v>
      </c>
      <c r="N1218" s="387" t="s">
        <v>149</v>
      </c>
      <c r="O1218" s="387" t="s">
        <v>150</v>
      </c>
      <c r="P1218" s="387" t="s">
        <v>151</v>
      </c>
      <c r="Q1218" s="387"/>
      <c r="R1218" s="387" t="s">
        <v>6294</v>
      </c>
      <c r="S1218" s="387"/>
      <c r="T1218" s="387" t="s">
        <v>3241</v>
      </c>
      <c r="U1218" s="387" t="s">
        <v>152</v>
      </c>
      <c r="V1218" s="387" t="s">
        <v>23</v>
      </c>
    </row>
    <row r="1219" spans="2:22">
      <c r="B1219" s="389">
        <v>46228</v>
      </c>
      <c r="C1219" s="389">
        <v>46228</v>
      </c>
      <c r="D1219" s="387" t="s">
        <v>6295</v>
      </c>
      <c r="E1219" s="388" t="s">
        <v>6296</v>
      </c>
      <c r="F1219" s="387" t="s">
        <v>87</v>
      </c>
      <c r="G1219" s="387" t="s">
        <v>2552</v>
      </c>
      <c r="H1219" s="393">
        <v>40</v>
      </c>
      <c r="I1219" s="387">
        <v>38.799999999999997</v>
      </c>
      <c r="J1219" s="387">
        <v>38.799999999999997</v>
      </c>
      <c r="K1219" s="387">
        <v>5</v>
      </c>
      <c r="L1219" s="387">
        <v>0</v>
      </c>
      <c r="M1219" s="387" t="s">
        <v>148</v>
      </c>
      <c r="N1219" s="387" t="s">
        <v>149</v>
      </c>
      <c r="O1219" s="387" t="s">
        <v>150</v>
      </c>
      <c r="P1219" s="387" t="s">
        <v>151</v>
      </c>
      <c r="Q1219" s="387"/>
      <c r="R1219" s="387" t="s">
        <v>6296</v>
      </c>
      <c r="S1219" s="387"/>
      <c r="T1219" s="387" t="s">
        <v>3241</v>
      </c>
      <c r="U1219" s="387" t="s">
        <v>152</v>
      </c>
      <c r="V1219" s="387" t="s">
        <v>23</v>
      </c>
    </row>
    <row r="1220" spans="2:22">
      <c r="B1220" s="389">
        <v>46228</v>
      </c>
      <c r="C1220" s="389">
        <v>46228</v>
      </c>
      <c r="D1220" s="387" t="s">
        <v>6297</v>
      </c>
      <c r="E1220" s="388" t="s">
        <v>6298</v>
      </c>
      <c r="F1220" s="387" t="s">
        <v>87</v>
      </c>
      <c r="G1220" s="387" t="s">
        <v>2486</v>
      </c>
      <c r="H1220" s="393">
        <v>40</v>
      </c>
      <c r="I1220" s="387">
        <v>34.799999999999997</v>
      </c>
      <c r="J1220" s="387">
        <v>34.799999999999997</v>
      </c>
      <c r="K1220" s="387">
        <v>5</v>
      </c>
      <c r="L1220" s="387">
        <v>0</v>
      </c>
      <c r="M1220" s="387" t="s">
        <v>148</v>
      </c>
      <c r="N1220" s="387" t="s">
        <v>149</v>
      </c>
      <c r="O1220" s="387" t="s">
        <v>150</v>
      </c>
      <c r="P1220" s="387" t="s">
        <v>151</v>
      </c>
      <c r="Q1220" s="387"/>
      <c r="R1220" s="387" t="s">
        <v>6298</v>
      </c>
      <c r="S1220" s="387"/>
      <c r="T1220" s="387" t="s">
        <v>3241</v>
      </c>
      <c r="U1220" s="387" t="s">
        <v>152</v>
      </c>
      <c r="V1220" s="387" t="s">
        <v>23</v>
      </c>
    </row>
    <row r="1221" spans="2:22">
      <c r="B1221" s="389">
        <v>46228</v>
      </c>
      <c r="C1221" s="389">
        <v>46228</v>
      </c>
      <c r="D1221" s="387" t="s">
        <v>6299</v>
      </c>
      <c r="E1221" s="388" t="s">
        <v>6300</v>
      </c>
      <c r="F1221" s="387" t="s">
        <v>87</v>
      </c>
      <c r="G1221" s="387" t="s">
        <v>2553</v>
      </c>
      <c r="H1221" s="393">
        <v>30</v>
      </c>
      <c r="I1221" s="387">
        <v>41.2</v>
      </c>
      <c r="J1221" s="387">
        <v>41.2</v>
      </c>
      <c r="K1221" s="387">
        <v>4</v>
      </c>
      <c r="L1221" s="387">
        <v>0</v>
      </c>
      <c r="M1221" s="387" t="s">
        <v>148</v>
      </c>
      <c r="N1221" s="387" t="s">
        <v>149</v>
      </c>
      <c r="O1221" s="387" t="s">
        <v>150</v>
      </c>
      <c r="P1221" s="387" t="s">
        <v>151</v>
      </c>
      <c r="Q1221" s="387"/>
      <c r="R1221" s="387" t="s">
        <v>6300</v>
      </c>
      <c r="S1221" s="387"/>
      <c r="T1221" s="387" t="s">
        <v>3241</v>
      </c>
      <c r="U1221" s="387" t="s">
        <v>152</v>
      </c>
      <c r="V1221" s="387" t="s">
        <v>23</v>
      </c>
    </row>
    <row r="1222" spans="2:22">
      <c r="B1222" s="389">
        <v>46228</v>
      </c>
      <c r="C1222" s="389">
        <v>46228</v>
      </c>
      <c r="D1222" s="387" t="s">
        <v>6301</v>
      </c>
      <c r="E1222" s="388" t="s">
        <v>6302</v>
      </c>
      <c r="F1222" s="387" t="s">
        <v>87</v>
      </c>
      <c r="G1222" s="387" t="s">
        <v>6162</v>
      </c>
      <c r="H1222" s="393">
        <v>50</v>
      </c>
      <c r="I1222" s="387">
        <v>40.200000000000003</v>
      </c>
      <c r="J1222" s="387">
        <v>40.200000000000003</v>
      </c>
      <c r="K1222" s="387">
        <v>5</v>
      </c>
      <c r="L1222" s="387">
        <v>0</v>
      </c>
      <c r="M1222" s="387" t="s">
        <v>148</v>
      </c>
      <c r="N1222" s="387" t="s">
        <v>149</v>
      </c>
      <c r="O1222" s="387" t="s">
        <v>150</v>
      </c>
      <c r="P1222" s="387" t="s">
        <v>151</v>
      </c>
      <c r="Q1222" s="387"/>
      <c r="R1222" s="387" t="s">
        <v>6302</v>
      </c>
      <c r="S1222" s="387"/>
      <c r="T1222" s="387" t="s">
        <v>3241</v>
      </c>
      <c r="U1222" s="387" t="s">
        <v>152</v>
      </c>
      <c r="V1222" s="387" t="s">
        <v>23</v>
      </c>
    </row>
    <row r="1223" spans="2:22">
      <c r="B1223" s="389">
        <v>46228</v>
      </c>
      <c r="C1223" s="389">
        <v>46228</v>
      </c>
      <c r="D1223" s="387" t="s">
        <v>6303</v>
      </c>
      <c r="E1223" s="388" t="s">
        <v>6304</v>
      </c>
      <c r="F1223" s="387" t="s">
        <v>87</v>
      </c>
      <c r="G1223" s="387" t="s">
        <v>2486</v>
      </c>
      <c r="H1223" s="393">
        <v>40</v>
      </c>
      <c r="I1223" s="387">
        <v>19.2</v>
      </c>
      <c r="J1223" s="387">
        <v>19.2</v>
      </c>
      <c r="K1223" s="387">
        <v>5</v>
      </c>
      <c r="L1223" s="387">
        <v>0</v>
      </c>
      <c r="M1223" s="387" t="s">
        <v>148</v>
      </c>
      <c r="N1223" s="387" t="s">
        <v>149</v>
      </c>
      <c r="O1223" s="387" t="s">
        <v>150</v>
      </c>
      <c r="P1223" s="387" t="s">
        <v>151</v>
      </c>
      <c r="Q1223" s="387"/>
      <c r="R1223" s="387" t="s">
        <v>6304</v>
      </c>
      <c r="S1223" s="387"/>
      <c r="T1223" s="387" t="s">
        <v>3241</v>
      </c>
      <c r="U1223" s="387" t="s">
        <v>152</v>
      </c>
      <c r="V1223" s="387" t="s">
        <v>23</v>
      </c>
    </row>
    <row r="1224" spans="2:22">
      <c r="B1224" s="389">
        <v>46228</v>
      </c>
      <c r="C1224" s="389">
        <v>46228</v>
      </c>
      <c r="D1224" s="387" t="s">
        <v>6305</v>
      </c>
      <c r="E1224" s="388" t="s">
        <v>6306</v>
      </c>
      <c r="F1224" s="387" t="s">
        <v>87</v>
      </c>
      <c r="G1224" s="387" t="s">
        <v>2553</v>
      </c>
      <c r="H1224" s="393">
        <v>30</v>
      </c>
      <c r="I1224" s="387">
        <v>38</v>
      </c>
      <c r="J1224" s="387">
        <v>38</v>
      </c>
      <c r="K1224" s="387">
        <v>4</v>
      </c>
      <c r="L1224" s="387">
        <v>0</v>
      </c>
      <c r="M1224" s="387" t="s">
        <v>148</v>
      </c>
      <c r="N1224" s="387" t="s">
        <v>149</v>
      </c>
      <c r="O1224" s="387" t="s">
        <v>150</v>
      </c>
      <c r="P1224" s="387" t="s">
        <v>151</v>
      </c>
      <c r="Q1224" s="387"/>
      <c r="R1224" s="387" t="s">
        <v>6306</v>
      </c>
      <c r="S1224" s="387"/>
      <c r="T1224" s="387" t="s">
        <v>3241</v>
      </c>
      <c r="U1224" s="387" t="s">
        <v>152</v>
      </c>
      <c r="V1224" s="387" t="s">
        <v>23</v>
      </c>
    </row>
    <row r="1225" spans="2:22">
      <c r="B1225" s="389">
        <v>46228</v>
      </c>
      <c r="C1225" s="389">
        <v>46228</v>
      </c>
      <c r="D1225" s="387" t="s">
        <v>6307</v>
      </c>
      <c r="E1225" s="388" t="s">
        <v>6308</v>
      </c>
      <c r="F1225" s="387" t="s">
        <v>87</v>
      </c>
      <c r="G1225" s="387" t="s">
        <v>2553</v>
      </c>
      <c r="H1225" s="393">
        <v>30</v>
      </c>
      <c r="I1225" s="387">
        <v>39.200000000000003</v>
      </c>
      <c r="J1225" s="387">
        <v>39.200000000000003</v>
      </c>
      <c r="K1225" s="387">
        <v>4</v>
      </c>
      <c r="L1225" s="387">
        <v>0</v>
      </c>
      <c r="M1225" s="387" t="s">
        <v>148</v>
      </c>
      <c r="N1225" s="387" t="s">
        <v>149</v>
      </c>
      <c r="O1225" s="387" t="s">
        <v>150</v>
      </c>
      <c r="P1225" s="387" t="s">
        <v>151</v>
      </c>
      <c r="Q1225" s="387"/>
      <c r="R1225" s="387" t="s">
        <v>6308</v>
      </c>
      <c r="S1225" s="387"/>
      <c r="T1225" s="387" t="s">
        <v>3241</v>
      </c>
      <c r="U1225" s="387" t="s">
        <v>152</v>
      </c>
      <c r="V1225" s="387" t="s">
        <v>23</v>
      </c>
    </row>
    <row r="1226" spans="2:22">
      <c r="B1226" s="389">
        <v>46228</v>
      </c>
      <c r="C1226" s="389">
        <v>46228</v>
      </c>
      <c r="D1226" s="387" t="s">
        <v>6309</v>
      </c>
      <c r="E1226" s="388" t="s">
        <v>6310</v>
      </c>
      <c r="F1226" s="387" t="s">
        <v>87</v>
      </c>
      <c r="G1226" s="387" t="s">
        <v>6162</v>
      </c>
      <c r="H1226" s="393">
        <v>50</v>
      </c>
      <c r="I1226" s="387">
        <v>35.799999999999997</v>
      </c>
      <c r="J1226" s="387">
        <v>35.799999999999997</v>
      </c>
      <c r="K1226" s="387">
        <v>5</v>
      </c>
      <c r="L1226" s="387">
        <v>0</v>
      </c>
      <c r="M1226" s="387" t="s">
        <v>148</v>
      </c>
      <c r="N1226" s="387" t="s">
        <v>149</v>
      </c>
      <c r="O1226" s="387" t="s">
        <v>150</v>
      </c>
      <c r="P1226" s="387" t="s">
        <v>151</v>
      </c>
      <c r="Q1226" s="387"/>
      <c r="R1226" s="387" t="s">
        <v>6310</v>
      </c>
      <c r="S1226" s="387"/>
      <c r="T1226" s="387" t="s">
        <v>3241</v>
      </c>
      <c r="U1226" s="387" t="s">
        <v>152</v>
      </c>
      <c r="V1226" s="387" t="s">
        <v>23</v>
      </c>
    </row>
    <row r="1227" spans="2:22">
      <c r="B1227" s="389">
        <v>46228</v>
      </c>
      <c r="C1227" s="389">
        <v>46228</v>
      </c>
      <c r="D1227" s="387" t="s">
        <v>6311</v>
      </c>
      <c r="E1227" s="388" t="s">
        <v>6312</v>
      </c>
      <c r="F1227" s="387" t="s">
        <v>87</v>
      </c>
      <c r="G1227" s="387" t="s">
        <v>1713</v>
      </c>
      <c r="H1227" s="393">
        <v>30</v>
      </c>
      <c r="I1227" s="387">
        <v>32.299999999999997</v>
      </c>
      <c r="J1227" s="387">
        <v>32.299999999999997</v>
      </c>
      <c r="K1227" s="387">
        <v>4</v>
      </c>
      <c r="L1227" s="387">
        <v>0</v>
      </c>
      <c r="M1227" s="387" t="s">
        <v>148</v>
      </c>
      <c r="N1227" s="387" t="s">
        <v>149</v>
      </c>
      <c r="O1227" s="387" t="s">
        <v>150</v>
      </c>
      <c r="P1227" s="387" t="s">
        <v>151</v>
      </c>
      <c r="Q1227" s="387"/>
      <c r="R1227" s="387" t="s">
        <v>6312</v>
      </c>
      <c r="S1227" s="387"/>
      <c r="T1227" s="387" t="s">
        <v>3241</v>
      </c>
      <c r="U1227" s="387" t="s">
        <v>152</v>
      </c>
      <c r="V1227" s="387" t="s">
        <v>23</v>
      </c>
    </row>
    <row r="1228" spans="2:22">
      <c r="B1228" s="389">
        <v>46228</v>
      </c>
      <c r="C1228" s="389">
        <v>46228</v>
      </c>
      <c r="D1228" s="387" t="s">
        <v>6313</v>
      </c>
      <c r="E1228" s="388" t="s">
        <v>6314</v>
      </c>
      <c r="F1228" s="387" t="s">
        <v>87</v>
      </c>
      <c r="G1228" s="387" t="s">
        <v>2553</v>
      </c>
      <c r="H1228" s="393">
        <v>30</v>
      </c>
      <c r="I1228" s="387">
        <v>44.2</v>
      </c>
      <c r="J1228" s="387">
        <v>44.2</v>
      </c>
      <c r="K1228" s="387">
        <v>4</v>
      </c>
      <c r="L1228" s="387">
        <v>0</v>
      </c>
      <c r="M1228" s="387" t="s">
        <v>148</v>
      </c>
      <c r="N1228" s="387" t="s">
        <v>149</v>
      </c>
      <c r="O1228" s="387" t="s">
        <v>150</v>
      </c>
      <c r="P1228" s="387" t="s">
        <v>151</v>
      </c>
      <c r="Q1228" s="387"/>
      <c r="R1228" s="387" t="s">
        <v>6314</v>
      </c>
      <c r="S1228" s="387"/>
      <c r="T1228" s="387" t="s">
        <v>3241</v>
      </c>
      <c r="U1228" s="387" t="s">
        <v>152</v>
      </c>
      <c r="V1228" s="387" t="s">
        <v>23</v>
      </c>
    </row>
    <row r="1229" spans="2:22">
      <c r="B1229" s="389">
        <v>46228</v>
      </c>
      <c r="C1229" s="389">
        <v>46228</v>
      </c>
      <c r="D1229" s="387" t="s">
        <v>6315</v>
      </c>
      <c r="E1229" s="388" t="s">
        <v>6316</v>
      </c>
      <c r="F1229" s="387" t="s">
        <v>87</v>
      </c>
      <c r="G1229" s="387" t="s">
        <v>6162</v>
      </c>
      <c r="H1229" s="393">
        <v>50</v>
      </c>
      <c r="I1229" s="387">
        <v>33.799999999999997</v>
      </c>
      <c r="J1229" s="387">
        <v>33.799999999999997</v>
      </c>
      <c r="K1229" s="387">
        <v>5</v>
      </c>
      <c r="L1229" s="387">
        <v>0</v>
      </c>
      <c r="M1229" s="387" t="s">
        <v>148</v>
      </c>
      <c r="N1229" s="387" t="s">
        <v>149</v>
      </c>
      <c r="O1229" s="387" t="s">
        <v>150</v>
      </c>
      <c r="P1229" s="387" t="s">
        <v>151</v>
      </c>
      <c r="Q1229" s="387"/>
      <c r="R1229" s="387" t="s">
        <v>6316</v>
      </c>
      <c r="S1229" s="387"/>
      <c r="T1229" s="387" t="s">
        <v>3241</v>
      </c>
      <c r="U1229" s="387" t="s">
        <v>152</v>
      </c>
      <c r="V1229" s="387" t="s">
        <v>23</v>
      </c>
    </row>
    <row r="1230" spans="2:22">
      <c r="B1230" s="389">
        <v>46228</v>
      </c>
      <c r="C1230" s="389">
        <v>46228</v>
      </c>
      <c r="D1230" s="387" t="s">
        <v>6317</v>
      </c>
      <c r="E1230" s="388" t="s">
        <v>6318</v>
      </c>
      <c r="F1230" s="387" t="s">
        <v>87</v>
      </c>
      <c r="G1230" s="387" t="s">
        <v>2486</v>
      </c>
      <c r="H1230" s="393">
        <v>40</v>
      </c>
      <c r="I1230" s="387">
        <v>38.200000000000003</v>
      </c>
      <c r="J1230" s="387">
        <v>38.200000000000003</v>
      </c>
      <c r="K1230" s="387">
        <v>5</v>
      </c>
      <c r="L1230" s="387">
        <v>0</v>
      </c>
      <c r="M1230" s="387" t="s">
        <v>148</v>
      </c>
      <c r="N1230" s="387" t="s">
        <v>149</v>
      </c>
      <c r="O1230" s="387" t="s">
        <v>150</v>
      </c>
      <c r="P1230" s="387" t="s">
        <v>151</v>
      </c>
      <c r="Q1230" s="387"/>
      <c r="R1230" s="387" t="s">
        <v>6318</v>
      </c>
      <c r="S1230" s="387"/>
      <c r="T1230" s="387" t="s">
        <v>3241</v>
      </c>
      <c r="U1230" s="387" t="s">
        <v>152</v>
      </c>
      <c r="V1230" s="387" t="s">
        <v>23</v>
      </c>
    </row>
    <row r="1231" spans="2:22">
      <c r="B1231" s="389">
        <v>46228</v>
      </c>
      <c r="C1231" s="389">
        <v>46228</v>
      </c>
      <c r="D1231" s="387" t="s">
        <v>6319</v>
      </c>
      <c r="E1231" s="388" t="s">
        <v>6320</v>
      </c>
      <c r="F1231" s="387" t="s">
        <v>87</v>
      </c>
      <c r="G1231" s="387" t="s">
        <v>2486</v>
      </c>
      <c r="H1231" s="393">
        <v>40</v>
      </c>
      <c r="I1231" s="387">
        <v>43.8</v>
      </c>
      <c r="J1231" s="387">
        <v>43.8</v>
      </c>
      <c r="K1231" s="387">
        <v>5</v>
      </c>
      <c r="L1231" s="387">
        <v>0</v>
      </c>
      <c r="M1231" s="387" t="s">
        <v>148</v>
      </c>
      <c r="N1231" s="387" t="s">
        <v>149</v>
      </c>
      <c r="O1231" s="387" t="s">
        <v>150</v>
      </c>
      <c r="P1231" s="387" t="s">
        <v>151</v>
      </c>
      <c r="Q1231" s="387"/>
      <c r="R1231" s="387" t="s">
        <v>6320</v>
      </c>
      <c r="S1231" s="387"/>
      <c r="T1231" s="387" t="s">
        <v>3241</v>
      </c>
      <c r="U1231" s="387" t="s">
        <v>152</v>
      </c>
      <c r="V1231" s="387" t="s">
        <v>23</v>
      </c>
    </row>
    <row r="1232" spans="2:22">
      <c r="B1232" s="389">
        <v>46228</v>
      </c>
      <c r="C1232" s="389">
        <v>46228</v>
      </c>
      <c r="D1232" s="387" t="s">
        <v>6321</v>
      </c>
      <c r="E1232" s="388" t="s">
        <v>6322</v>
      </c>
      <c r="F1232" s="387" t="s">
        <v>87</v>
      </c>
      <c r="G1232" s="387" t="s">
        <v>2552</v>
      </c>
      <c r="H1232" s="393">
        <v>40</v>
      </c>
      <c r="I1232" s="387">
        <v>22.4</v>
      </c>
      <c r="J1232" s="387">
        <v>22.4</v>
      </c>
      <c r="K1232" s="387">
        <v>5</v>
      </c>
      <c r="L1232" s="387">
        <v>0</v>
      </c>
      <c r="M1232" s="387" t="s">
        <v>148</v>
      </c>
      <c r="N1232" s="387" t="s">
        <v>149</v>
      </c>
      <c r="O1232" s="387" t="s">
        <v>150</v>
      </c>
      <c r="P1232" s="387" t="s">
        <v>151</v>
      </c>
      <c r="Q1232" s="387"/>
      <c r="R1232" s="387" t="s">
        <v>6322</v>
      </c>
      <c r="S1232" s="387"/>
      <c r="T1232" s="387" t="s">
        <v>3241</v>
      </c>
      <c r="U1232" s="387" t="s">
        <v>152</v>
      </c>
      <c r="V1232" s="387" t="s">
        <v>23</v>
      </c>
    </row>
    <row r="1233" spans="2:22">
      <c r="B1233" s="389">
        <v>46228</v>
      </c>
      <c r="C1233" s="389">
        <v>46228</v>
      </c>
      <c r="D1233" s="387" t="s">
        <v>6323</v>
      </c>
      <c r="E1233" s="388" t="s">
        <v>6324</v>
      </c>
      <c r="F1233" s="387" t="s">
        <v>87</v>
      </c>
      <c r="G1233" s="387" t="s">
        <v>2552</v>
      </c>
      <c r="H1233" s="393">
        <v>40</v>
      </c>
      <c r="I1233" s="387">
        <v>38.700000000000003</v>
      </c>
      <c r="J1233" s="387">
        <v>38.700000000000003</v>
      </c>
      <c r="K1233" s="387">
        <v>5</v>
      </c>
      <c r="L1233" s="387">
        <v>0</v>
      </c>
      <c r="M1233" s="387" t="s">
        <v>148</v>
      </c>
      <c r="N1233" s="387" t="s">
        <v>149</v>
      </c>
      <c r="O1233" s="387" t="s">
        <v>150</v>
      </c>
      <c r="P1233" s="387" t="s">
        <v>151</v>
      </c>
      <c r="Q1233" s="387"/>
      <c r="R1233" s="387" t="s">
        <v>6324</v>
      </c>
      <c r="S1233" s="387"/>
      <c r="T1233" s="387" t="s">
        <v>3241</v>
      </c>
      <c r="U1233" s="387" t="s">
        <v>152</v>
      </c>
      <c r="V1233" s="387" t="s">
        <v>23</v>
      </c>
    </row>
    <row r="1234" spans="2:22">
      <c r="B1234" s="389">
        <v>46228</v>
      </c>
      <c r="C1234" s="389">
        <v>46228</v>
      </c>
      <c r="D1234" s="387" t="s">
        <v>6325</v>
      </c>
      <c r="E1234" s="388" t="s">
        <v>6326</v>
      </c>
      <c r="F1234" s="387" t="s">
        <v>87</v>
      </c>
      <c r="G1234" s="387" t="s">
        <v>2486</v>
      </c>
      <c r="H1234" s="393">
        <v>40</v>
      </c>
      <c r="I1234" s="387">
        <v>36.700000000000003</v>
      </c>
      <c r="J1234" s="387">
        <v>36.700000000000003</v>
      </c>
      <c r="K1234" s="387">
        <v>5</v>
      </c>
      <c r="L1234" s="387">
        <v>0</v>
      </c>
      <c r="M1234" s="387" t="s">
        <v>148</v>
      </c>
      <c r="N1234" s="387" t="s">
        <v>149</v>
      </c>
      <c r="O1234" s="387" t="s">
        <v>150</v>
      </c>
      <c r="P1234" s="387" t="s">
        <v>151</v>
      </c>
      <c r="Q1234" s="387"/>
      <c r="R1234" s="387" t="s">
        <v>6326</v>
      </c>
      <c r="S1234" s="387"/>
      <c r="T1234" s="387" t="s">
        <v>3241</v>
      </c>
      <c r="U1234" s="387" t="s">
        <v>152</v>
      </c>
      <c r="V1234" s="387" t="s">
        <v>23</v>
      </c>
    </row>
    <row r="1235" spans="2:22">
      <c r="B1235" s="389">
        <v>46228</v>
      </c>
      <c r="C1235" s="389">
        <v>46228</v>
      </c>
      <c r="D1235" s="387" t="s">
        <v>6327</v>
      </c>
      <c r="E1235" s="388" t="s">
        <v>6328</v>
      </c>
      <c r="F1235" s="387" t="s">
        <v>87</v>
      </c>
      <c r="G1235" s="387" t="s">
        <v>2486</v>
      </c>
      <c r="H1235" s="393">
        <v>40</v>
      </c>
      <c r="I1235" s="387">
        <v>37.799999999999997</v>
      </c>
      <c r="J1235" s="387">
        <v>37.799999999999997</v>
      </c>
      <c r="K1235" s="387">
        <v>5</v>
      </c>
      <c r="L1235" s="387">
        <v>0</v>
      </c>
      <c r="M1235" s="387" t="s">
        <v>148</v>
      </c>
      <c r="N1235" s="387" t="s">
        <v>149</v>
      </c>
      <c r="O1235" s="387" t="s">
        <v>150</v>
      </c>
      <c r="P1235" s="387" t="s">
        <v>151</v>
      </c>
      <c r="Q1235" s="387"/>
      <c r="R1235" s="387" t="s">
        <v>6328</v>
      </c>
      <c r="S1235" s="387"/>
      <c r="T1235" s="387" t="s">
        <v>3241</v>
      </c>
      <c r="U1235" s="387" t="s">
        <v>152</v>
      </c>
      <c r="V1235" s="387" t="s">
        <v>23</v>
      </c>
    </row>
    <row r="1236" spans="2:22">
      <c r="B1236" s="389">
        <v>46229</v>
      </c>
      <c r="C1236" s="389">
        <v>46229</v>
      </c>
      <c r="D1236" s="387" t="s">
        <v>6329</v>
      </c>
      <c r="E1236" s="388" t="s">
        <v>6330</v>
      </c>
      <c r="F1236" s="387" t="s">
        <v>87</v>
      </c>
      <c r="G1236" s="387" t="s">
        <v>2553</v>
      </c>
      <c r="H1236" s="393">
        <v>30</v>
      </c>
      <c r="I1236" s="387">
        <v>35.799999999999997</v>
      </c>
      <c r="J1236" s="387">
        <v>35.799999999999997</v>
      </c>
      <c r="K1236" s="387">
        <v>4</v>
      </c>
      <c r="L1236" s="387">
        <v>0</v>
      </c>
      <c r="M1236" s="387" t="s">
        <v>148</v>
      </c>
      <c r="N1236" s="387" t="s">
        <v>149</v>
      </c>
      <c r="O1236" s="387" t="s">
        <v>150</v>
      </c>
      <c r="P1236" s="387" t="s">
        <v>151</v>
      </c>
      <c r="Q1236" s="387"/>
      <c r="R1236" s="387" t="s">
        <v>6330</v>
      </c>
      <c r="S1236" s="387"/>
      <c r="T1236" s="387" t="s">
        <v>3256</v>
      </c>
      <c r="U1236" s="387" t="s">
        <v>152</v>
      </c>
      <c r="V1236" s="387" t="s">
        <v>23</v>
      </c>
    </row>
    <row r="1237" spans="2:22">
      <c r="B1237" s="389">
        <v>46229</v>
      </c>
      <c r="C1237" s="389">
        <v>46229</v>
      </c>
      <c r="D1237" s="387" t="s">
        <v>6331</v>
      </c>
      <c r="E1237" s="388" t="s">
        <v>6332</v>
      </c>
      <c r="F1237" s="387" t="s">
        <v>87</v>
      </c>
      <c r="G1237" s="387" t="s">
        <v>3866</v>
      </c>
      <c r="H1237" s="393">
        <v>40</v>
      </c>
      <c r="I1237" s="387">
        <v>35.4</v>
      </c>
      <c r="J1237" s="387">
        <v>35.4</v>
      </c>
      <c r="K1237" s="387">
        <v>5</v>
      </c>
      <c r="L1237" s="387">
        <v>0</v>
      </c>
      <c r="M1237" s="387" t="s">
        <v>148</v>
      </c>
      <c r="N1237" s="387" t="s">
        <v>149</v>
      </c>
      <c r="O1237" s="387" t="s">
        <v>150</v>
      </c>
      <c r="P1237" s="387" t="s">
        <v>151</v>
      </c>
      <c r="Q1237" s="387"/>
      <c r="R1237" s="387" t="s">
        <v>6332</v>
      </c>
      <c r="S1237" s="387"/>
      <c r="T1237" s="387" t="s">
        <v>3256</v>
      </c>
      <c r="U1237" s="387" t="s">
        <v>152</v>
      </c>
      <c r="V1237" s="387" t="s">
        <v>23</v>
      </c>
    </row>
    <row r="1238" spans="2:22">
      <c r="B1238" s="389">
        <v>46229</v>
      </c>
      <c r="C1238" s="389">
        <v>46229</v>
      </c>
      <c r="D1238" s="387" t="s">
        <v>6333</v>
      </c>
      <c r="E1238" s="388" t="s">
        <v>6334</v>
      </c>
      <c r="F1238" s="387" t="s">
        <v>87</v>
      </c>
      <c r="G1238" s="387" t="s">
        <v>2552</v>
      </c>
      <c r="H1238" s="393">
        <v>40</v>
      </c>
      <c r="I1238" s="387">
        <v>34</v>
      </c>
      <c r="J1238" s="387">
        <v>34</v>
      </c>
      <c r="K1238" s="387">
        <v>5</v>
      </c>
      <c r="L1238" s="387">
        <v>0</v>
      </c>
      <c r="M1238" s="387" t="s">
        <v>148</v>
      </c>
      <c r="N1238" s="387" t="s">
        <v>149</v>
      </c>
      <c r="O1238" s="387" t="s">
        <v>150</v>
      </c>
      <c r="P1238" s="387" t="s">
        <v>151</v>
      </c>
      <c r="Q1238" s="387"/>
      <c r="R1238" s="387" t="s">
        <v>6334</v>
      </c>
      <c r="S1238" s="387"/>
      <c r="T1238" s="387" t="s">
        <v>3256</v>
      </c>
      <c r="U1238" s="387" t="s">
        <v>152</v>
      </c>
      <c r="V1238" s="387" t="s">
        <v>23</v>
      </c>
    </row>
    <row r="1239" spans="2:22">
      <c r="B1239" s="389">
        <v>46229</v>
      </c>
      <c r="C1239" s="389">
        <v>46229</v>
      </c>
      <c r="D1239" s="387" t="s">
        <v>6335</v>
      </c>
      <c r="E1239" s="388" t="s">
        <v>6336</v>
      </c>
      <c r="F1239" s="387" t="s">
        <v>87</v>
      </c>
      <c r="G1239" s="387" t="s">
        <v>3866</v>
      </c>
      <c r="H1239" s="393">
        <v>40</v>
      </c>
      <c r="I1239" s="387">
        <v>40.4</v>
      </c>
      <c r="J1239" s="387">
        <v>40.4</v>
      </c>
      <c r="K1239" s="387">
        <v>5</v>
      </c>
      <c r="L1239" s="387">
        <v>0</v>
      </c>
      <c r="M1239" s="387" t="s">
        <v>148</v>
      </c>
      <c r="N1239" s="387" t="s">
        <v>149</v>
      </c>
      <c r="O1239" s="387" t="s">
        <v>150</v>
      </c>
      <c r="P1239" s="387" t="s">
        <v>151</v>
      </c>
      <c r="Q1239" s="387"/>
      <c r="R1239" s="387" t="s">
        <v>6336</v>
      </c>
      <c r="S1239" s="387"/>
      <c r="T1239" s="387" t="s">
        <v>3256</v>
      </c>
      <c r="U1239" s="387" t="s">
        <v>152</v>
      </c>
      <c r="V1239" s="387" t="s">
        <v>23</v>
      </c>
    </row>
    <row r="1240" spans="2:22">
      <c r="B1240" s="389">
        <v>46229</v>
      </c>
      <c r="C1240" s="389">
        <v>46229</v>
      </c>
      <c r="D1240" s="387" t="s">
        <v>6337</v>
      </c>
      <c r="E1240" s="388" t="s">
        <v>6338</v>
      </c>
      <c r="F1240" s="387" t="s">
        <v>87</v>
      </c>
      <c r="G1240" s="387" t="s">
        <v>2001</v>
      </c>
      <c r="H1240" s="393">
        <v>6</v>
      </c>
      <c r="I1240" s="387">
        <v>19</v>
      </c>
      <c r="J1240" s="387">
        <v>19</v>
      </c>
      <c r="K1240" s="387">
        <v>1.5</v>
      </c>
      <c r="L1240" s="387">
        <v>0</v>
      </c>
      <c r="M1240" s="387" t="s">
        <v>148</v>
      </c>
      <c r="N1240" s="387" t="s">
        <v>149</v>
      </c>
      <c r="O1240" s="387" t="s">
        <v>150</v>
      </c>
      <c r="P1240" s="387" t="s">
        <v>151</v>
      </c>
      <c r="Q1240" s="387"/>
      <c r="R1240" s="387" t="s">
        <v>6338</v>
      </c>
      <c r="S1240" s="387"/>
      <c r="T1240" s="387" t="s">
        <v>3256</v>
      </c>
      <c r="U1240" s="387" t="s">
        <v>152</v>
      </c>
      <c r="V1240" s="387" t="s">
        <v>23</v>
      </c>
    </row>
    <row r="1241" spans="2:22">
      <c r="B1241" s="389">
        <v>46229</v>
      </c>
      <c r="C1241" s="389">
        <v>46229</v>
      </c>
      <c r="D1241" s="387" t="s">
        <v>6339</v>
      </c>
      <c r="E1241" s="388" t="s">
        <v>6340</v>
      </c>
      <c r="F1241" s="387" t="s">
        <v>87</v>
      </c>
      <c r="G1241" s="387" t="s">
        <v>6162</v>
      </c>
      <c r="H1241" s="393">
        <v>50</v>
      </c>
      <c r="I1241" s="387">
        <v>43.8</v>
      </c>
      <c r="J1241" s="387">
        <v>43.8</v>
      </c>
      <c r="K1241" s="387">
        <v>5</v>
      </c>
      <c r="L1241" s="387">
        <v>0</v>
      </c>
      <c r="M1241" s="387" t="s">
        <v>148</v>
      </c>
      <c r="N1241" s="387" t="s">
        <v>149</v>
      </c>
      <c r="O1241" s="387" t="s">
        <v>150</v>
      </c>
      <c r="P1241" s="387" t="s">
        <v>151</v>
      </c>
      <c r="Q1241" s="387"/>
      <c r="R1241" s="387" t="s">
        <v>6340</v>
      </c>
      <c r="S1241" s="387"/>
      <c r="T1241" s="387" t="s">
        <v>3256</v>
      </c>
      <c r="U1241" s="387" t="s">
        <v>152</v>
      </c>
      <c r="V1241" s="387" t="s">
        <v>23</v>
      </c>
    </row>
    <row r="1242" spans="2:22">
      <c r="B1242" s="389">
        <v>46229</v>
      </c>
      <c r="C1242" s="389">
        <v>46229</v>
      </c>
      <c r="D1242" s="387" t="s">
        <v>6341</v>
      </c>
      <c r="E1242" s="388" t="s">
        <v>6342</v>
      </c>
      <c r="F1242" s="387" t="s">
        <v>87</v>
      </c>
      <c r="G1242" s="387" t="s">
        <v>6162</v>
      </c>
      <c r="H1242" s="393">
        <v>50</v>
      </c>
      <c r="I1242" s="387">
        <v>28.2</v>
      </c>
      <c r="J1242" s="387">
        <v>28.2</v>
      </c>
      <c r="K1242" s="387">
        <v>5</v>
      </c>
      <c r="L1242" s="387">
        <v>0</v>
      </c>
      <c r="M1242" s="387" t="s">
        <v>148</v>
      </c>
      <c r="N1242" s="387" t="s">
        <v>149</v>
      </c>
      <c r="O1242" s="387" t="s">
        <v>150</v>
      </c>
      <c r="P1242" s="387" t="s">
        <v>151</v>
      </c>
      <c r="Q1242" s="387"/>
      <c r="R1242" s="387" t="s">
        <v>6342</v>
      </c>
      <c r="S1242" s="387"/>
      <c r="T1242" s="387" t="s">
        <v>3256</v>
      </c>
      <c r="U1242" s="387" t="s">
        <v>152</v>
      </c>
      <c r="V1242" s="387" t="s">
        <v>23</v>
      </c>
    </row>
    <row r="1243" spans="2:22">
      <c r="B1243" s="389">
        <v>46229</v>
      </c>
      <c r="C1243" s="389">
        <v>46229</v>
      </c>
      <c r="D1243" s="387" t="s">
        <v>6343</v>
      </c>
      <c r="E1243" s="388" t="s">
        <v>6344</v>
      </c>
      <c r="F1243" s="387" t="s">
        <v>87</v>
      </c>
      <c r="G1243" s="387" t="s">
        <v>2486</v>
      </c>
      <c r="H1243" s="393">
        <v>40</v>
      </c>
      <c r="I1243" s="387">
        <v>38.4</v>
      </c>
      <c r="J1243" s="387">
        <v>38.4</v>
      </c>
      <c r="K1243" s="387">
        <v>5</v>
      </c>
      <c r="L1243" s="387">
        <v>0</v>
      </c>
      <c r="M1243" s="387" t="s">
        <v>148</v>
      </c>
      <c r="N1243" s="387" t="s">
        <v>149</v>
      </c>
      <c r="O1243" s="387" t="s">
        <v>150</v>
      </c>
      <c r="P1243" s="387" t="s">
        <v>151</v>
      </c>
      <c r="Q1243" s="387"/>
      <c r="R1243" s="387" t="s">
        <v>6344</v>
      </c>
      <c r="S1243" s="387"/>
      <c r="T1243" s="387" t="s">
        <v>3256</v>
      </c>
      <c r="U1243" s="387" t="s">
        <v>152</v>
      </c>
      <c r="V1243" s="387" t="s">
        <v>23</v>
      </c>
    </row>
    <row r="1244" spans="2:22">
      <c r="B1244" s="389">
        <v>46229</v>
      </c>
      <c r="C1244" s="389">
        <v>46229</v>
      </c>
      <c r="D1244" s="387" t="s">
        <v>6345</v>
      </c>
      <c r="E1244" s="388" t="s">
        <v>6346</v>
      </c>
      <c r="F1244" s="387" t="s">
        <v>87</v>
      </c>
      <c r="G1244" s="387" t="s">
        <v>2552</v>
      </c>
      <c r="H1244" s="393">
        <v>40</v>
      </c>
      <c r="I1244" s="387">
        <v>43.8</v>
      </c>
      <c r="J1244" s="387">
        <v>43.8</v>
      </c>
      <c r="K1244" s="387">
        <v>5</v>
      </c>
      <c r="L1244" s="387">
        <v>0</v>
      </c>
      <c r="M1244" s="387" t="s">
        <v>148</v>
      </c>
      <c r="N1244" s="387" t="s">
        <v>149</v>
      </c>
      <c r="O1244" s="387" t="s">
        <v>150</v>
      </c>
      <c r="P1244" s="387" t="s">
        <v>151</v>
      </c>
      <c r="Q1244" s="387"/>
      <c r="R1244" s="387" t="s">
        <v>6346</v>
      </c>
      <c r="S1244" s="387"/>
      <c r="T1244" s="387" t="s">
        <v>3256</v>
      </c>
      <c r="U1244" s="387" t="s">
        <v>152</v>
      </c>
      <c r="V1244" s="387" t="s">
        <v>23</v>
      </c>
    </row>
    <row r="1245" spans="2:22">
      <c r="B1245" s="389">
        <v>46229</v>
      </c>
      <c r="C1245" s="389">
        <v>46229</v>
      </c>
      <c r="D1245" s="387" t="s">
        <v>6347</v>
      </c>
      <c r="E1245" s="388" t="s">
        <v>6348</v>
      </c>
      <c r="F1245" s="387" t="s">
        <v>87</v>
      </c>
      <c r="G1245" s="387" t="s">
        <v>2552</v>
      </c>
      <c r="H1245" s="393">
        <v>40</v>
      </c>
      <c r="I1245" s="387">
        <v>34.9</v>
      </c>
      <c r="J1245" s="387">
        <v>34.9</v>
      </c>
      <c r="K1245" s="387">
        <v>5</v>
      </c>
      <c r="L1245" s="387">
        <v>0</v>
      </c>
      <c r="M1245" s="387" t="s">
        <v>148</v>
      </c>
      <c r="N1245" s="387" t="s">
        <v>149</v>
      </c>
      <c r="O1245" s="387" t="s">
        <v>150</v>
      </c>
      <c r="P1245" s="387" t="s">
        <v>151</v>
      </c>
      <c r="Q1245" s="387"/>
      <c r="R1245" s="387" t="s">
        <v>6348</v>
      </c>
      <c r="S1245" s="387"/>
      <c r="T1245" s="387" t="s">
        <v>3256</v>
      </c>
      <c r="U1245" s="387" t="s">
        <v>152</v>
      </c>
      <c r="V1245" s="387" t="s">
        <v>23</v>
      </c>
    </row>
    <row r="1246" spans="2:22">
      <c r="B1246" s="389">
        <v>46229</v>
      </c>
      <c r="C1246" s="389">
        <v>46229</v>
      </c>
      <c r="D1246" s="387" t="s">
        <v>6349</v>
      </c>
      <c r="E1246" s="388" t="s">
        <v>6350</v>
      </c>
      <c r="F1246" s="387" t="s">
        <v>87</v>
      </c>
      <c r="G1246" s="387" t="s">
        <v>2486</v>
      </c>
      <c r="H1246" s="393">
        <v>40</v>
      </c>
      <c r="I1246" s="387">
        <v>39.700000000000003</v>
      </c>
      <c r="J1246" s="387">
        <v>39.700000000000003</v>
      </c>
      <c r="K1246" s="387">
        <v>5</v>
      </c>
      <c r="L1246" s="387">
        <v>0</v>
      </c>
      <c r="M1246" s="387" t="s">
        <v>148</v>
      </c>
      <c r="N1246" s="387" t="s">
        <v>149</v>
      </c>
      <c r="O1246" s="387" t="s">
        <v>150</v>
      </c>
      <c r="P1246" s="387" t="s">
        <v>151</v>
      </c>
      <c r="Q1246" s="387"/>
      <c r="R1246" s="387" t="s">
        <v>6350</v>
      </c>
      <c r="S1246" s="387"/>
      <c r="T1246" s="387" t="s">
        <v>3256</v>
      </c>
      <c r="U1246" s="387" t="s">
        <v>152</v>
      </c>
      <c r="V1246" s="387" t="s">
        <v>23</v>
      </c>
    </row>
    <row r="1247" spans="2:22">
      <c r="B1247" s="389">
        <v>46229</v>
      </c>
      <c r="C1247" s="389">
        <v>46229</v>
      </c>
      <c r="D1247" s="387" t="s">
        <v>6351</v>
      </c>
      <c r="E1247" s="388" t="s">
        <v>6352</v>
      </c>
      <c r="F1247" s="387" t="s">
        <v>87</v>
      </c>
      <c r="G1247" s="387" t="s">
        <v>5706</v>
      </c>
      <c r="H1247" s="393">
        <v>50</v>
      </c>
      <c r="I1247" s="387">
        <v>42</v>
      </c>
      <c r="J1247" s="387">
        <v>42</v>
      </c>
      <c r="K1247" s="387">
        <v>5</v>
      </c>
      <c r="L1247" s="387">
        <v>0</v>
      </c>
      <c r="M1247" s="387" t="s">
        <v>148</v>
      </c>
      <c r="N1247" s="387" t="s">
        <v>149</v>
      </c>
      <c r="O1247" s="387" t="s">
        <v>150</v>
      </c>
      <c r="P1247" s="387" t="s">
        <v>151</v>
      </c>
      <c r="Q1247" s="387"/>
      <c r="R1247" s="387" t="s">
        <v>6352</v>
      </c>
      <c r="S1247" s="387"/>
      <c r="T1247" s="387" t="s">
        <v>3256</v>
      </c>
      <c r="U1247" s="387" t="s">
        <v>152</v>
      </c>
      <c r="V1247" s="387" t="s">
        <v>23</v>
      </c>
    </row>
    <row r="1248" spans="2:22">
      <c r="B1248" s="389">
        <v>46229</v>
      </c>
      <c r="C1248" s="389">
        <v>46229</v>
      </c>
      <c r="D1248" s="387" t="s">
        <v>6353</v>
      </c>
      <c r="E1248" s="388" t="s">
        <v>6354</v>
      </c>
      <c r="F1248" s="387" t="s">
        <v>87</v>
      </c>
      <c r="G1248" s="387" t="s">
        <v>2553</v>
      </c>
      <c r="H1248" s="393">
        <v>30</v>
      </c>
      <c r="I1248" s="387">
        <v>35</v>
      </c>
      <c r="J1248" s="387">
        <v>35</v>
      </c>
      <c r="K1248" s="387">
        <v>4</v>
      </c>
      <c r="L1248" s="387">
        <v>0</v>
      </c>
      <c r="M1248" s="387" t="s">
        <v>148</v>
      </c>
      <c r="N1248" s="387" t="s">
        <v>149</v>
      </c>
      <c r="O1248" s="387" t="s">
        <v>150</v>
      </c>
      <c r="P1248" s="387" t="s">
        <v>151</v>
      </c>
      <c r="Q1248" s="387"/>
      <c r="R1248" s="387" t="s">
        <v>6354</v>
      </c>
      <c r="S1248" s="387"/>
      <c r="T1248" s="387" t="s">
        <v>3256</v>
      </c>
      <c r="U1248" s="387" t="s">
        <v>152</v>
      </c>
      <c r="V1248" s="387" t="s">
        <v>23</v>
      </c>
    </row>
    <row r="1249" spans="2:22">
      <c r="B1249" s="389">
        <v>46229</v>
      </c>
      <c r="C1249" s="389">
        <v>46229</v>
      </c>
      <c r="D1249" s="387" t="s">
        <v>6355</v>
      </c>
      <c r="E1249" s="388" t="s">
        <v>6356</v>
      </c>
      <c r="F1249" s="387" t="s">
        <v>87</v>
      </c>
      <c r="G1249" s="387" t="s">
        <v>2552</v>
      </c>
      <c r="H1249" s="393">
        <v>40</v>
      </c>
      <c r="I1249" s="387">
        <v>30.8</v>
      </c>
      <c r="J1249" s="387">
        <v>30.8</v>
      </c>
      <c r="K1249" s="387">
        <v>5</v>
      </c>
      <c r="L1249" s="387">
        <v>0</v>
      </c>
      <c r="M1249" s="387" t="s">
        <v>148</v>
      </c>
      <c r="N1249" s="387" t="s">
        <v>149</v>
      </c>
      <c r="O1249" s="387" t="s">
        <v>150</v>
      </c>
      <c r="P1249" s="387" t="s">
        <v>151</v>
      </c>
      <c r="Q1249" s="387"/>
      <c r="R1249" s="387" t="s">
        <v>6356</v>
      </c>
      <c r="S1249" s="387"/>
      <c r="T1249" s="387" t="s">
        <v>3256</v>
      </c>
      <c r="U1249" s="387" t="s">
        <v>152</v>
      </c>
      <c r="V1249" s="387" t="s">
        <v>23</v>
      </c>
    </row>
    <row r="1250" spans="2:22">
      <c r="B1250" s="389">
        <v>46229</v>
      </c>
      <c r="C1250" s="389">
        <v>46229</v>
      </c>
      <c r="D1250" s="387" t="s">
        <v>6357</v>
      </c>
      <c r="E1250" s="388" t="s">
        <v>6358</v>
      </c>
      <c r="F1250" s="387" t="s">
        <v>87</v>
      </c>
      <c r="G1250" s="387" t="s">
        <v>2552</v>
      </c>
      <c r="H1250" s="393">
        <v>40</v>
      </c>
      <c r="I1250" s="387">
        <v>26.8</v>
      </c>
      <c r="J1250" s="387">
        <v>26.8</v>
      </c>
      <c r="K1250" s="387">
        <v>5</v>
      </c>
      <c r="L1250" s="387">
        <v>0</v>
      </c>
      <c r="M1250" s="387" t="s">
        <v>148</v>
      </c>
      <c r="N1250" s="387" t="s">
        <v>149</v>
      </c>
      <c r="O1250" s="387" t="s">
        <v>150</v>
      </c>
      <c r="P1250" s="387" t="s">
        <v>151</v>
      </c>
      <c r="Q1250" s="387"/>
      <c r="R1250" s="387" t="s">
        <v>6358</v>
      </c>
      <c r="S1250" s="387"/>
      <c r="T1250" s="387" t="s">
        <v>3256</v>
      </c>
      <c r="U1250" s="387" t="s">
        <v>152</v>
      </c>
      <c r="V1250" s="387" t="s">
        <v>23</v>
      </c>
    </row>
    <row r="1251" spans="2:22">
      <c r="B1251" s="389">
        <v>46229</v>
      </c>
      <c r="C1251" s="389">
        <v>46229</v>
      </c>
      <c r="D1251" s="387" t="s">
        <v>6359</v>
      </c>
      <c r="E1251" s="388" t="s">
        <v>6360</v>
      </c>
      <c r="F1251" s="387" t="s">
        <v>87</v>
      </c>
      <c r="G1251" s="387" t="s">
        <v>2001</v>
      </c>
      <c r="H1251" s="393">
        <v>6</v>
      </c>
      <c r="I1251" s="387">
        <v>24.5</v>
      </c>
      <c r="J1251" s="387">
        <v>24.5</v>
      </c>
      <c r="K1251" s="387">
        <v>1.5</v>
      </c>
      <c r="L1251" s="387">
        <v>0</v>
      </c>
      <c r="M1251" s="387" t="s">
        <v>148</v>
      </c>
      <c r="N1251" s="387" t="s">
        <v>149</v>
      </c>
      <c r="O1251" s="387" t="s">
        <v>150</v>
      </c>
      <c r="P1251" s="387" t="s">
        <v>151</v>
      </c>
      <c r="Q1251" s="387"/>
      <c r="R1251" s="387" t="s">
        <v>6360</v>
      </c>
      <c r="S1251" s="387"/>
      <c r="T1251" s="387" t="s">
        <v>3256</v>
      </c>
      <c r="U1251" s="387" t="s">
        <v>152</v>
      </c>
      <c r="V1251" s="387" t="s">
        <v>23</v>
      </c>
    </row>
    <row r="1252" spans="2:22">
      <c r="B1252" s="389">
        <v>46229</v>
      </c>
      <c r="C1252" s="389">
        <v>46229</v>
      </c>
      <c r="D1252" s="387" t="s">
        <v>6361</v>
      </c>
      <c r="E1252" s="388" t="s">
        <v>6362</v>
      </c>
      <c r="F1252" s="387" t="s">
        <v>87</v>
      </c>
      <c r="G1252" s="387" t="s">
        <v>2553</v>
      </c>
      <c r="H1252" s="393">
        <v>30</v>
      </c>
      <c r="I1252" s="387">
        <v>43.8</v>
      </c>
      <c r="J1252" s="387">
        <v>43.8</v>
      </c>
      <c r="K1252" s="387">
        <v>4</v>
      </c>
      <c r="L1252" s="387">
        <v>0</v>
      </c>
      <c r="M1252" s="387" t="s">
        <v>148</v>
      </c>
      <c r="N1252" s="387" t="s">
        <v>149</v>
      </c>
      <c r="O1252" s="387" t="s">
        <v>150</v>
      </c>
      <c r="P1252" s="387" t="s">
        <v>151</v>
      </c>
      <c r="Q1252" s="387"/>
      <c r="R1252" s="387" t="s">
        <v>6362</v>
      </c>
      <c r="S1252" s="387"/>
      <c r="T1252" s="387" t="s">
        <v>3256</v>
      </c>
      <c r="U1252" s="387" t="s">
        <v>152</v>
      </c>
      <c r="V1252" s="387" t="s">
        <v>23</v>
      </c>
    </row>
    <row r="1253" spans="2:22">
      <c r="B1253" s="389">
        <v>46229</v>
      </c>
      <c r="C1253" s="389">
        <v>46229</v>
      </c>
      <c r="D1253" s="387" t="s">
        <v>6363</v>
      </c>
      <c r="E1253" s="388" t="s">
        <v>6364</v>
      </c>
      <c r="F1253" s="387" t="s">
        <v>87</v>
      </c>
      <c r="G1253" s="387" t="s">
        <v>2553</v>
      </c>
      <c r="H1253" s="393">
        <v>30</v>
      </c>
      <c r="I1253" s="387">
        <v>41.4</v>
      </c>
      <c r="J1253" s="387">
        <v>41.4</v>
      </c>
      <c r="K1253" s="387">
        <v>4</v>
      </c>
      <c r="L1253" s="387">
        <v>0</v>
      </c>
      <c r="M1253" s="387" t="s">
        <v>148</v>
      </c>
      <c r="N1253" s="387" t="s">
        <v>149</v>
      </c>
      <c r="O1253" s="387" t="s">
        <v>150</v>
      </c>
      <c r="P1253" s="387" t="s">
        <v>151</v>
      </c>
      <c r="Q1253" s="387"/>
      <c r="R1253" s="387" t="s">
        <v>6364</v>
      </c>
      <c r="S1253" s="387"/>
      <c r="T1253" s="387" t="s">
        <v>3256</v>
      </c>
      <c r="U1253" s="387" t="s">
        <v>152</v>
      </c>
      <c r="V1253" s="387" t="s">
        <v>23</v>
      </c>
    </row>
    <row r="1254" spans="2:22">
      <c r="B1254" s="389">
        <v>46229</v>
      </c>
      <c r="C1254" s="389">
        <v>46229</v>
      </c>
      <c r="D1254" s="387" t="s">
        <v>6365</v>
      </c>
      <c r="E1254" s="388" t="s">
        <v>6366</v>
      </c>
      <c r="F1254" s="387" t="s">
        <v>87</v>
      </c>
      <c r="G1254" s="387" t="s">
        <v>2001</v>
      </c>
      <c r="H1254" s="393">
        <v>6</v>
      </c>
      <c r="I1254" s="387">
        <v>7.5</v>
      </c>
      <c r="J1254" s="387">
        <v>7.5</v>
      </c>
      <c r="K1254" s="387">
        <v>1.5</v>
      </c>
      <c r="L1254" s="387">
        <v>0</v>
      </c>
      <c r="M1254" s="387" t="s">
        <v>148</v>
      </c>
      <c r="N1254" s="387" t="s">
        <v>149</v>
      </c>
      <c r="O1254" s="387" t="s">
        <v>150</v>
      </c>
      <c r="P1254" s="387" t="s">
        <v>151</v>
      </c>
      <c r="Q1254" s="387"/>
      <c r="R1254" s="387" t="s">
        <v>6366</v>
      </c>
      <c r="S1254" s="387"/>
      <c r="T1254" s="387" t="s">
        <v>3256</v>
      </c>
      <c r="U1254" s="387" t="s">
        <v>152</v>
      </c>
      <c r="V1254" s="387" t="s">
        <v>23</v>
      </c>
    </row>
    <row r="1255" spans="2:22">
      <c r="B1255" s="389">
        <v>46229</v>
      </c>
      <c r="C1255" s="389">
        <v>46229</v>
      </c>
      <c r="D1255" s="387" t="s">
        <v>6367</v>
      </c>
      <c r="E1255" s="388" t="s">
        <v>6368</v>
      </c>
      <c r="F1255" s="387" t="s">
        <v>87</v>
      </c>
      <c r="G1255" s="387" t="s">
        <v>2552</v>
      </c>
      <c r="H1255" s="393">
        <v>40</v>
      </c>
      <c r="I1255" s="387">
        <v>38.799999999999997</v>
      </c>
      <c r="J1255" s="387">
        <v>38.799999999999997</v>
      </c>
      <c r="K1255" s="387">
        <v>5</v>
      </c>
      <c r="L1255" s="387">
        <v>0</v>
      </c>
      <c r="M1255" s="387" t="s">
        <v>148</v>
      </c>
      <c r="N1255" s="387" t="s">
        <v>149</v>
      </c>
      <c r="O1255" s="387" t="s">
        <v>150</v>
      </c>
      <c r="P1255" s="387" t="s">
        <v>151</v>
      </c>
      <c r="Q1255" s="387"/>
      <c r="R1255" s="387" t="s">
        <v>6368</v>
      </c>
      <c r="S1255" s="387"/>
      <c r="T1255" s="387" t="s">
        <v>3256</v>
      </c>
      <c r="U1255" s="387" t="s">
        <v>152</v>
      </c>
      <c r="V1255" s="387" t="s">
        <v>23</v>
      </c>
    </row>
    <row r="1256" spans="2:22">
      <c r="B1256" s="389">
        <v>46229</v>
      </c>
      <c r="C1256" s="389">
        <v>46229</v>
      </c>
      <c r="D1256" s="387" t="s">
        <v>6369</v>
      </c>
      <c r="E1256" s="388" t="s">
        <v>6370</v>
      </c>
      <c r="F1256" s="387" t="s">
        <v>87</v>
      </c>
      <c r="G1256" s="387" t="s">
        <v>2486</v>
      </c>
      <c r="H1256" s="393">
        <v>40</v>
      </c>
      <c r="I1256" s="387">
        <v>29.4</v>
      </c>
      <c r="J1256" s="387">
        <v>29.4</v>
      </c>
      <c r="K1256" s="387">
        <v>5</v>
      </c>
      <c r="L1256" s="387">
        <v>0</v>
      </c>
      <c r="M1256" s="387" t="s">
        <v>148</v>
      </c>
      <c r="N1256" s="387" t="s">
        <v>149</v>
      </c>
      <c r="O1256" s="387" t="s">
        <v>150</v>
      </c>
      <c r="P1256" s="387" t="s">
        <v>151</v>
      </c>
      <c r="Q1256" s="387"/>
      <c r="R1256" s="387" t="s">
        <v>6370</v>
      </c>
      <c r="S1256" s="387"/>
      <c r="T1256" s="387" t="s">
        <v>3256</v>
      </c>
      <c r="U1256" s="387" t="s">
        <v>152</v>
      </c>
      <c r="V1256" s="387" t="s">
        <v>23</v>
      </c>
    </row>
    <row r="1257" spans="2:22">
      <c r="B1257" s="389">
        <v>46229</v>
      </c>
      <c r="C1257" s="389">
        <v>46229</v>
      </c>
      <c r="D1257" s="387" t="s">
        <v>6371</v>
      </c>
      <c r="E1257" s="388" t="s">
        <v>6372</v>
      </c>
      <c r="F1257" s="387" t="s">
        <v>87</v>
      </c>
      <c r="G1257" s="387" t="s">
        <v>2486</v>
      </c>
      <c r="H1257" s="393">
        <v>40</v>
      </c>
      <c r="I1257" s="387">
        <v>27.8</v>
      </c>
      <c r="J1257" s="387">
        <v>27.8</v>
      </c>
      <c r="K1257" s="387">
        <v>5</v>
      </c>
      <c r="L1257" s="387">
        <v>0</v>
      </c>
      <c r="M1257" s="387" t="s">
        <v>148</v>
      </c>
      <c r="N1257" s="387" t="s">
        <v>149</v>
      </c>
      <c r="O1257" s="387" t="s">
        <v>150</v>
      </c>
      <c r="P1257" s="387" t="s">
        <v>151</v>
      </c>
      <c r="Q1257" s="387"/>
      <c r="R1257" s="387" t="s">
        <v>6372</v>
      </c>
      <c r="S1257" s="387"/>
      <c r="T1257" s="387" t="s">
        <v>3256</v>
      </c>
      <c r="U1257" s="387" t="s">
        <v>152</v>
      </c>
      <c r="V1257" s="387" t="s">
        <v>23</v>
      </c>
    </row>
    <row r="1258" spans="2:22">
      <c r="B1258" s="389">
        <v>46229</v>
      </c>
      <c r="C1258" s="389">
        <v>46229</v>
      </c>
      <c r="D1258" s="387" t="s">
        <v>6373</v>
      </c>
      <c r="E1258" s="388" t="s">
        <v>6374</v>
      </c>
      <c r="F1258" s="387" t="s">
        <v>87</v>
      </c>
      <c r="G1258" s="387" t="s">
        <v>2552</v>
      </c>
      <c r="H1258" s="393">
        <v>40</v>
      </c>
      <c r="I1258" s="387">
        <v>29.8</v>
      </c>
      <c r="J1258" s="387">
        <v>29.8</v>
      </c>
      <c r="K1258" s="387">
        <v>5</v>
      </c>
      <c r="L1258" s="387">
        <v>0</v>
      </c>
      <c r="M1258" s="387" t="s">
        <v>148</v>
      </c>
      <c r="N1258" s="387" t="s">
        <v>149</v>
      </c>
      <c r="O1258" s="387" t="s">
        <v>150</v>
      </c>
      <c r="P1258" s="387" t="s">
        <v>151</v>
      </c>
      <c r="Q1258" s="387"/>
      <c r="R1258" s="387" t="s">
        <v>6374</v>
      </c>
      <c r="S1258" s="387"/>
      <c r="T1258" s="387" t="s">
        <v>3256</v>
      </c>
      <c r="U1258" s="387" t="s">
        <v>152</v>
      </c>
      <c r="V1258" s="387" t="s">
        <v>23</v>
      </c>
    </row>
    <row r="1259" spans="2:22">
      <c r="B1259" s="389">
        <v>46229</v>
      </c>
      <c r="C1259" s="389">
        <v>46229</v>
      </c>
      <c r="D1259" s="387" t="s">
        <v>6375</v>
      </c>
      <c r="E1259" s="388" t="s">
        <v>6376</v>
      </c>
      <c r="F1259" s="387" t="s">
        <v>87</v>
      </c>
      <c r="G1259" s="387" t="s">
        <v>2552</v>
      </c>
      <c r="H1259" s="393">
        <v>40</v>
      </c>
      <c r="I1259" s="387">
        <v>27.2</v>
      </c>
      <c r="J1259" s="387">
        <v>27.2</v>
      </c>
      <c r="K1259" s="387">
        <v>5</v>
      </c>
      <c r="L1259" s="387">
        <v>0</v>
      </c>
      <c r="M1259" s="387" t="s">
        <v>148</v>
      </c>
      <c r="N1259" s="387" t="s">
        <v>149</v>
      </c>
      <c r="O1259" s="387" t="s">
        <v>150</v>
      </c>
      <c r="P1259" s="387" t="s">
        <v>151</v>
      </c>
      <c r="Q1259" s="387"/>
      <c r="R1259" s="387" t="s">
        <v>6376</v>
      </c>
      <c r="S1259" s="387"/>
      <c r="T1259" s="387" t="s">
        <v>3256</v>
      </c>
      <c r="U1259" s="387" t="s">
        <v>152</v>
      </c>
      <c r="V1259" s="387" t="s">
        <v>23</v>
      </c>
    </row>
    <row r="1260" spans="2:22">
      <c r="B1260" s="389">
        <v>46229</v>
      </c>
      <c r="C1260" s="389">
        <v>46229</v>
      </c>
      <c r="D1260" s="387" t="s">
        <v>6377</v>
      </c>
      <c r="E1260" s="388" t="s">
        <v>6378</v>
      </c>
      <c r="F1260" s="387" t="s">
        <v>87</v>
      </c>
      <c r="G1260" s="387" t="s">
        <v>2552</v>
      </c>
      <c r="H1260" s="393">
        <v>40</v>
      </c>
      <c r="I1260" s="387">
        <v>39.799999999999997</v>
      </c>
      <c r="J1260" s="387">
        <v>39.799999999999997</v>
      </c>
      <c r="K1260" s="387">
        <v>5</v>
      </c>
      <c r="L1260" s="387">
        <v>0</v>
      </c>
      <c r="M1260" s="387" t="s">
        <v>148</v>
      </c>
      <c r="N1260" s="387" t="s">
        <v>149</v>
      </c>
      <c r="O1260" s="387" t="s">
        <v>150</v>
      </c>
      <c r="P1260" s="387" t="s">
        <v>151</v>
      </c>
      <c r="Q1260" s="387"/>
      <c r="R1260" s="387" t="s">
        <v>6378</v>
      </c>
      <c r="S1260" s="387"/>
      <c r="T1260" s="387" t="s">
        <v>3256</v>
      </c>
      <c r="U1260" s="387" t="s">
        <v>152</v>
      </c>
      <c r="V1260" s="387" t="s">
        <v>23</v>
      </c>
    </row>
    <row r="1261" spans="2:22">
      <c r="B1261" s="389">
        <v>46229</v>
      </c>
      <c r="C1261" s="389">
        <v>46229</v>
      </c>
      <c r="D1261" s="387" t="s">
        <v>6379</v>
      </c>
      <c r="E1261" s="388" t="s">
        <v>6380</v>
      </c>
      <c r="F1261" s="387" t="s">
        <v>87</v>
      </c>
      <c r="G1261" s="387" t="s">
        <v>2552</v>
      </c>
      <c r="H1261" s="393">
        <v>40</v>
      </c>
      <c r="I1261" s="387">
        <v>37.799999999999997</v>
      </c>
      <c r="J1261" s="387">
        <v>37.799999999999997</v>
      </c>
      <c r="K1261" s="387">
        <v>5</v>
      </c>
      <c r="L1261" s="387">
        <v>0</v>
      </c>
      <c r="M1261" s="387" t="s">
        <v>148</v>
      </c>
      <c r="N1261" s="387" t="s">
        <v>149</v>
      </c>
      <c r="O1261" s="387" t="s">
        <v>150</v>
      </c>
      <c r="P1261" s="387" t="s">
        <v>151</v>
      </c>
      <c r="Q1261" s="387"/>
      <c r="R1261" s="387" t="s">
        <v>6380</v>
      </c>
      <c r="S1261" s="387"/>
      <c r="T1261" s="387" t="s">
        <v>3256</v>
      </c>
      <c r="U1261" s="387" t="s">
        <v>152</v>
      </c>
      <c r="V1261" s="387" t="s">
        <v>23</v>
      </c>
    </row>
    <row r="1262" spans="2:22">
      <c r="B1262" s="389">
        <v>46229</v>
      </c>
      <c r="C1262" s="389">
        <v>46229</v>
      </c>
      <c r="D1262" s="387" t="s">
        <v>6381</v>
      </c>
      <c r="E1262" s="388" t="s">
        <v>6382</v>
      </c>
      <c r="F1262" s="387" t="s">
        <v>87</v>
      </c>
      <c r="G1262" s="387" t="s">
        <v>2486</v>
      </c>
      <c r="H1262" s="393">
        <v>40</v>
      </c>
      <c r="I1262" s="387">
        <v>41.1</v>
      </c>
      <c r="J1262" s="387">
        <v>41.1</v>
      </c>
      <c r="K1262" s="387">
        <v>5</v>
      </c>
      <c r="L1262" s="387">
        <v>0</v>
      </c>
      <c r="M1262" s="387" t="s">
        <v>148</v>
      </c>
      <c r="N1262" s="387" t="s">
        <v>149</v>
      </c>
      <c r="O1262" s="387" t="s">
        <v>150</v>
      </c>
      <c r="P1262" s="387" t="s">
        <v>151</v>
      </c>
      <c r="Q1262" s="387"/>
      <c r="R1262" s="387" t="s">
        <v>6382</v>
      </c>
      <c r="S1262" s="387"/>
      <c r="T1262" s="387" t="s">
        <v>3256</v>
      </c>
      <c r="U1262" s="387" t="s">
        <v>152</v>
      </c>
      <c r="V1262" s="387" t="s">
        <v>23</v>
      </c>
    </row>
    <row r="1263" spans="2:22">
      <c r="B1263" s="389">
        <v>46229</v>
      </c>
      <c r="C1263" s="389">
        <v>46229</v>
      </c>
      <c r="D1263" s="387" t="s">
        <v>6383</v>
      </c>
      <c r="E1263" s="388" t="s">
        <v>6384</v>
      </c>
      <c r="F1263" s="387" t="s">
        <v>87</v>
      </c>
      <c r="G1263" s="387" t="s">
        <v>2552</v>
      </c>
      <c r="H1263" s="393">
        <v>40</v>
      </c>
      <c r="I1263" s="387">
        <v>31.9</v>
      </c>
      <c r="J1263" s="387">
        <v>31.9</v>
      </c>
      <c r="K1263" s="387">
        <v>5</v>
      </c>
      <c r="L1263" s="387">
        <v>0</v>
      </c>
      <c r="M1263" s="387" t="s">
        <v>148</v>
      </c>
      <c r="N1263" s="387" t="s">
        <v>149</v>
      </c>
      <c r="O1263" s="387" t="s">
        <v>150</v>
      </c>
      <c r="P1263" s="387" t="s">
        <v>151</v>
      </c>
      <c r="Q1263" s="387"/>
      <c r="R1263" s="387" t="s">
        <v>6384</v>
      </c>
      <c r="S1263" s="387"/>
      <c r="T1263" s="387" t="s">
        <v>3256</v>
      </c>
      <c r="U1263" s="387" t="s">
        <v>152</v>
      </c>
      <c r="V1263" s="387" t="s">
        <v>23</v>
      </c>
    </row>
    <row r="1264" spans="2:22">
      <c r="B1264" s="389">
        <v>46229</v>
      </c>
      <c r="C1264" s="389">
        <v>46229</v>
      </c>
      <c r="D1264" s="387" t="s">
        <v>6385</v>
      </c>
      <c r="E1264" s="388" t="s">
        <v>6386</v>
      </c>
      <c r="F1264" s="387" t="s">
        <v>87</v>
      </c>
      <c r="G1264" s="387" t="s">
        <v>2486</v>
      </c>
      <c r="H1264" s="393">
        <v>40</v>
      </c>
      <c r="I1264" s="387">
        <v>35.799999999999997</v>
      </c>
      <c r="J1264" s="387">
        <v>35.799999999999997</v>
      </c>
      <c r="K1264" s="387">
        <v>5</v>
      </c>
      <c r="L1264" s="387">
        <v>0</v>
      </c>
      <c r="M1264" s="387" t="s">
        <v>148</v>
      </c>
      <c r="N1264" s="387" t="s">
        <v>149</v>
      </c>
      <c r="O1264" s="387" t="s">
        <v>150</v>
      </c>
      <c r="P1264" s="387" t="s">
        <v>151</v>
      </c>
      <c r="Q1264" s="387"/>
      <c r="R1264" s="387" t="s">
        <v>6386</v>
      </c>
      <c r="S1264" s="387"/>
      <c r="T1264" s="387" t="s">
        <v>3256</v>
      </c>
      <c r="U1264" s="387" t="s">
        <v>152</v>
      </c>
      <c r="V1264" s="387" t="s">
        <v>23</v>
      </c>
    </row>
    <row r="1265" spans="2:22">
      <c r="B1265" s="389">
        <v>46229</v>
      </c>
      <c r="C1265" s="389">
        <v>46229</v>
      </c>
      <c r="D1265" s="387" t="s">
        <v>6387</v>
      </c>
      <c r="E1265" s="388" t="s">
        <v>6388</v>
      </c>
      <c r="F1265" s="387" t="s">
        <v>87</v>
      </c>
      <c r="G1265" s="387" t="s">
        <v>2552</v>
      </c>
      <c r="H1265" s="393">
        <v>40</v>
      </c>
      <c r="I1265" s="387">
        <v>30.8</v>
      </c>
      <c r="J1265" s="387">
        <v>30.8</v>
      </c>
      <c r="K1265" s="387">
        <v>5</v>
      </c>
      <c r="L1265" s="387">
        <v>0</v>
      </c>
      <c r="M1265" s="387" t="s">
        <v>148</v>
      </c>
      <c r="N1265" s="387" t="s">
        <v>149</v>
      </c>
      <c r="O1265" s="387" t="s">
        <v>150</v>
      </c>
      <c r="P1265" s="387" t="s">
        <v>151</v>
      </c>
      <c r="Q1265" s="387"/>
      <c r="R1265" s="387" t="s">
        <v>6388</v>
      </c>
      <c r="S1265" s="387"/>
      <c r="T1265" s="387" t="s">
        <v>3256</v>
      </c>
      <c r="U1265" s="387" t="s">
        <v>152</v>
      </c>
      <c r="V1265" s="387" t="s">
        <v>23</v>
      </c>
    </row>
    <row r="1266" spans="2:22">
      <c r="B1266" s="389">
        <v>46229</v>
      </c>
      <c r="C1266" s="389">
        <v>46229</v>
      </c>
      <c r="D1266" s="387" t="s">
        <v>6389</v>
      </c>
      <c r="E1266" s="388" t="s">
        <v>6390</v>
      </c>
      <c r="F1266" s="387" t="s">
        <v>87</v>
      </c>
      <c r="G1266" s="387" t="s">
        <v>2552</v>
      </c>
      <c r="H1266" s="393">
        <v>40</v>
      </c>
      <c r="I1266" s="387">
        <v>40.799999999999997</v>
      </c>
      <c r="J1266" s="387">
        <v>40.799999999999997</v>
      </c>
      <c r="K1266" s="387">
        <v>5</v>
      </c>
      <c r="L1266" s="387">
        <v>0</v>
      </c>
      <c r="M1266" s="387" t="s">
        <v>148</v>
      </c>
      <c r="N1266" s="387" t="s">
        <v>149</v>
      </c>
      <c r="O1266" s="387" t="s">
        <v>150</v>
      </c>
      <c r="P1266" s="387" t="s">
        <v>151</v>
      </c>
      <c r="Q1266" s="387"/>
      <c r="R1266" s="387" t="s">
        <v>6390</v>
      </c>
      <c r="S1266" s="387"/>
      <c r="T1266" s="387" t="s">
        <v>3256</v>
      </c>
      <c r="U1266" s="387" t="s">
        <v>152</v>
      </c>
      <c r="V1266" s="387" t="s">
        <v>23</v>
      </c>
    </row>
    <row r="1267" spans="2:22">
      <c r="B1267" s="389">
        <v>46229</v>
      </c>
      <c r="C1267" s="389">
        <v>46229</v>
      </c>
      <c r="D1267" s="387" t="s">
        <v>6391</v>
      </c>
      <c r="E1267" s="388" t="s">
        <v>6392</v>
      </c>
      <c r="F1267" s="387" t="s">
        <v>87</v>
      </c>
      <c r="G1267" s="387" t="s">
        <v>5706</v>
      </c>
      <c r="H1267" s="393">
        <v>50</v>
      </c>
      <c r="I1267" s="387">
        <v>20.2</v>
      </c>
      <c r="J1267" s="387">
        <v>20.2</v>
      </c>
      <c r="K1267" s="387">
        <v>5</v>
      </c>
      <c r="L1267" s="387">
        <v>0</v>
      </c>
      <c r="M1267" s="387" t="s">
        <v>148</v>
      </c>
      <c r="N1267" s="387" t="s">
        <v>149</v>
      </c>
      <c r="O1267" s="387" t="s">
        <v>150</v>
      </c>
      <c r="P1267" s="387" t="s">
        <v>151</v>
      </c>
      <c r="Q1267" s="387"/>
      <c r="R1267" s="387" t="s">
        <v>6392</v>
      </c>
      <c r="S1267" s="387"/>
      <c r="T1267" s="387" t="s">
        <v>3256</v>
      </c>
      <c r="U1267" s="387" t="s">
        <v>152</v>
      </c>
      <c r="V1267" s="387" t="s">
        <v>23</v>
      </c>
    </row>
    <row r="1268" spans="2:22">
      <c r="B1268" s="389">
        <v>46229</v>
      </c>
      <c r="C1268" s="389">
        <v>46229</v>
      </c>
      <c r="D1268" s="387" t="s">
        <v>6393</v>
      </c>
      <c r="E1268" s="388" t="s">
        <v>6394</v>
      </c>
      <c r="F1268" s="387" t="s">
        <v>87</v>
      </c>
      <c r="G1268" s="387" t="s">
        <v>3866</v>
      </c>
      <c r="H1268" s="393">
        <v>40</v>
      </c>
      <c r="I1268" s="387">
        <v>42.5</v>
      </c>
      <c r="J1268" s="387">
        <v>42.5</v>
      </c>
      <c r="K1268" s="387">
        <v>5</v>
      </c>
      <c r="L1268" s="387">
        <v>0</v>
      </c>
      <c r="M1268" s="387" t="s">
        <v>148</v>
      </c>
      <c r="N1268" s="387" t="s">
        <v>149</v>
      </c>
      <c r="O1268" s="387" t="s">
        <v>150</v>
      </c>
      <c r="P1268" s="387" t="s">
        <v>151</v>
      </c>
      <c r="Q1268" s="387"/>
      <c r="R1268" s="387" t="s">
        <v>6394</v>
      </c>
      <c r="S1268" s="387"/>
      <c r="T1268" s="387" t="s">
        <v>3256</v>
      </c>
      <c r="U1268" s="387" t="s">
        <v>152</v>
      </c>
      <c r="V1268" s="387" t="s">
        <v>23</v>
      </c>
    </row>
    <row r="1269" spans="2:22">
      <c r="B1269" s="389">
        <v>46229</v>
      </c>
      <c r="C1269" s="389">
        <v>46229</v>
      </c>
      <c r="D1269" s="387" t="s">
        <v>6395</v>
      </c>
      <c r="E1269" s="388" t="s">
        <v>6396</v>
      </c>
      <c r="F1269" s="387" t="s">
        <v>87</v>
      </c>
      <c r="G1269" s="387" t="s">
        <v>2486</v>
      </c>
      <c r="H1269" s="393">
        <v>40</v>
      </c>
      <c r="I1269" s="387">
        <v>44.2</v>
      </c>
      <c r="J1269" s="387">
        <v>44.2</v>
      </c>
      <c r="K1269" s="387">
        <v>5</v>
      </c>
      <c r="L1269" s="387">
        <v>0</v>
      </c>
      <c r="M1269" s="387" t="s">
        <v>148</v>
      </c>
      <c r="N1269" s="387" t="s">
        <v>149</v>
      </c>
      <c r="O1269" s="387" t="s">
        <v>150</v>
      </c>
      <c r="P1269" s="387" t="s">
        <v>151</v>
      </c>
      <c r="Q1269" s="387"/>
      <c r="R1269" s="387" t="s">
        <v>6396</v>
      </c>
      <c r="S1269" s="387"/>
      <c r="T1269" s="387" t="s">
        <v>3256</v>
      </c>
      <c r="U1269" s="387" t="s">
        <v>152</v>
      </c>
      <c r="V1269" s="387" t="s">
        <v>23</v>
      </c>
    </row>
    <row r="1270" spans="2:22">
      <c r="B1270" s="389">
        <v>46229</v>
      </c>
      <c r="C1270" s="389">
        <v>46229</v>
      </c>
      <c r="D1270" s="387" t="s">
        <v>6397</v>
      </c>
      <c r="E1270" s="388" t="s">
        <v>6398</v>
      </c>
      <c r="F1270" s="387" t="s">
        <v>87</v>
      </c>
      <c r="G1270" s="387" t="s">
        <v>2552</v>
      </c>
      <c r="H1270" s="393">
        <v>40</v>
      </c>
      <c r="I1270" s="387">
        <v>40.200000000000003</v>
      </c>
      <c r="J1270" s="387">
        <v>40.200000000000003</v>
      </c>
      <c r="K1270" s="387">
        <v>5</v>
      </c>
      <c r="L1270" s="387">
        <v>0</v>
      </c>
      <c r="M1270" s="387" t="s">
        <v>148</v>
      </c>
      <c r="N1270" s="387" t="s">
        <v>149</v>
      </c>
      <c r="O1270" s="387" t="s">
        <v>150</v>
      </c>
      <c r="P1270" s="387" t="s">
        <v>151</v>
      </c>
      <c r="Q1270" s="387"/>
      <c r="R1270" s="387" t="s">
        <v>6398</v>
      </c>
      <c r="S1270" s="387"/>
      <c r="T1270" s="387" t="s">
        <v>3256</v>
      </c>
      <c r="U1270" s="387" t="s">
        <v>152</v>
      </c>
      <c r="V1270" s="387" t="s">
        <v>23</v>
      </c>
    </row>
    <row r="1271" spans="2:22">
      <c r="B1271" s="389">
        <v>46229</v>
      </c>
      <c r="C1271" s="389">
        <v>46229</v>
      </c>
      <c r="D1271" s="387" t="s">
        <v>6399</v>
      </c>
      <c r="E1271" s="388" t="s">
        <v>6400</v>
      </c>
      <c r="F1271" s="387" t="s">
        <v>87</v>
      </c>
      <c r="G1271" s="387" t="s">
        <v>2486</v>
      </c>
      <c r="H1271" s="393">
        <v>40</v>
      </c>
      <c r="I1271" s="387">
        <v>40.200000000000003</v>
      </c>
      <c r="J1271" s="387">
        <v>40.200000000000003</v>
      </c>
      <c r="K1271" s="387">
        <v>5</v>
      </c>
      <c r="L1271" s="387">
        <v>0</v>
      </c>
      <c r="M1271" s="387" t="s">
        <v>148</v>
      </c>
      <c r="N1271" s="387" t="s">
        <v>149</v>
      </c>
      <c r="O1271" s="387" t="s">
        <v>150</v>
      </c>
      <c r="P1271" s="387" t="s">
        <v>151</v>
      </c>
      <c r="Q1271" s="387"/>
      <c r="R1271" s="387" t="s">
        <v>6400</v>
      </c>
      <c r="S1271" s="387"/>
      <c r="T1271" s="387" t="s">
        <v>3256</v>
      </c>
      <c r="U1271" s="387" t="s">
        <v>152</v>
      </c>
      <c r="V1271" s="387" t="s">
        <v>23</v>
      </c>
    </row>
    <row r="1272" spans="2:22">
      <c r="B1272" s="389">
        <v>46229</v>
      </c>
      <c r="C1272" s="389">
        <v>46229</v>
      </c>
      <c r="D1272" s="387" t="s">
        <v>6401</v>
      </c>
      <c r="E1272" s="388" t="s">
        <v>6402</v>
      </c>
      <c r="F1272" s="387" t="s">
        <v>87</v>
      </c>
      <c r="G1272" s="387" t="s">
        <v>2486</v>
      </c>
      <c r="H1272" s="393">
        <v>40</v>
      </c>
      <c r="I1272" s="387">
        <v>39.4</v>
      </c>
      <c r="J1272" s="387">
        <v>39.4</v>
      </c>
      <c r="K1272" s="387">
        <v>5</v>
      </c>
      <c r="L1272" s="387">
        <v>0</v>
      </c>
      <c r="M1272" s="387" t="s">
        <v>148</v>
      </c>
      <c r="N1272" s="387" t="s">
        <v>149</v>
      </c>
      <c r="O1272" s="387" t="s">
        <v>150</v>
      </c>
      <c r="P1272" s="387" t="s">
        <v>151</v>
      </c>
      <c r="Q1272" s="387"/>
      <c r="R1272" s="387" t="s">
        <v>6402</v>
      </c>
      <c r="S1272" s="387"/>
      <c r="T1272" s="387" t="s">
        <v>3256</v>
      </c>
      <c r="U1272" s="387" t="s">
        <v>152</v>
      </c>
      <c r="V1272" s="387" t="s">
        <v>23</v>
      </c>
    </row>
    <row r="1273" spans="2:22">
      <c r="B1273" s="389">
        <v>46229</v>
      </c>
      <c r="C1273" s="389">
        <v>46229</v>
      </c>
      <c r="D1273" s="387" t="s">
        <v>6403</v>
      </c>
      <c r="E1273" s="388" t="s">
        <v>6404</v>
      </c>
      <c r="F1273" s="387" t="s">
        <v>87</v>
      </c>
      <c r="G1273" s="387" t="s">
        <v>2486</v>
      </c>
      <c r="H1273" s="393">
        <v>40</v>
      </c>
      <c r="I1273" s="387">
        <v>35.799999999999997</v>
      </c>
      <c r="J1273" s="387">
        <v>35.799999999999997</v>
      </c>
      <c r="K1273" s="387">
        <v>5</v>
      </c>
      <c r="L1273" s="387">
        <v>0</v>
      </c>
      <c r="M1273" s="387" t="s">
        <v>148</v>
      </c>
      <c r="N1273" s="387" t="s">
        <v>149</v>
      </c>
      <c r="O1273" s="387" t="s">
        <v>150</v>
      </c>
      <c r="P1273" s="387" t="s">
        <v>151</v>
      </c>
      <c r="Q1273" s="387"/>
      <c r="R1273" s="387" t="s">
        <v>6404</v>
      </c>
      <c r="S1273" s="387"/>
      <c r="T1273" s="387" t="s">
        <v>3256</v>
      </c>
      <c r="U1273" s="387" t="s">
        <v>152</v>
      </c>
      <c r="V1273" s="387" t="s">
        <v>23</v>
      </c>
    </row>
    <row r="1274" spans="2:22">
      <c r="B1274" s="389">
        <v>46229</v>
      </c>
      <c r="C1274" s="389">
        <v>46229</v>
      </c>
      <c r="D1274" s="387" t="s">
        <v>6405</v>
      </c>
      <c r="E1274" s="388" t="s">
        <v>6406</v>
      </c>
      <c r="F1274" s="387" t="s">
        <v>87</v>
      </c>
      <c r="G1274" s="387" t="s">
        <v>2001</v>
      </c>
      <c r="H1274" s="393">
        <v>6</v>
      </c>
      <c r="I1274" s="387">
        <v>27.8</v>
      </c>
      <c r="J1274" s="387">
        <v>27.8</v>
      </c>
      <c r="K1274" s="387">
        <v>1.5</v>
      </c>
      <c r="L1274" s="387">
        <v>0</v>
      </c>
      <c r="M1274" s="387" t="s">
        <v>148</v>
      </c>
      <c r="N1274" s="387" t="s">
        <v>149</v>
      </c>
      <c r="O1274" s="387" t="s">
        <v>150</v>
      </c>
      <c r="P1274" s="387" t="s">
        <v>151</v>
      </c>
      <c r="Q1274" s="387"/>
      <c r="R1274" s="387" t="s">
        <v>6406</v>
      </c>
      <c r="S1274" s="387"/>
      <c r="T1274" s="387" t="s">
        <v>3256</v>
      </c>
      <c r="U1274" s="387" t="s">
        <v>152</v>
      </c>
      <c r="V1274" s="387" t="s">
        <v>23</v>
      </c>
    </row>
    <row r="1275" spans="2:22">
      <c r="B1275" s="389">
        <v>46229</v>
      </c>
      <c r="C1275" s="389">
        <v>46229</v>
      </c>
      <c r="D1275" s="387" t="s">
        <v>6407</v>
      </c>
      <c r="E1275" s="388" t="s">
        <v>6408</v>
      </c>
      <c r="F1275" s="387" t="s">
        <v>87</v>
      </c>
      <c r="G1275" s="387" t="s">
        <v>6162</v>
      </c>
      <c r="H1275" s="393">
        <v>50</v>
      </c>
      <c r="I1275" s="387">
        <v>34.299999999999997</v>
      </c>
      <c r="J1275" s="387">
        <v>34.299999999999997</v>
      </c>
      <c r="K1275" s="387">
        <v>5</v>
      </c>
      <c r="L1275" s="387">
        <v>0</v>
      </c>
      <c r="M1275" s="387" t="s">
        <v>148</v>
      </c>
      <c r="N1275" s="387" t="s">
        <v>149</v>
      </c>
      <c r="O1275" s="387" t="s">
        <v>150</v>
      </c>
      <c r="P1275" s="387" t="s">
        <v>151</v>
      </c>
      <c r="Q1275" s="387"/>
      <c r="R1275" s="387" t="s">
        <v>6408</v>
      </c>
      <c r="S1275" s="387"/>
      <c r="T1275" s="387" t="s">
        <v>3256</v>
      </c>
      <c r="U1275" s="387" t="s">
        <v>152</v>
      </c>
      <c r="V1275" s="387" t="s">
        <v>23</v>
      </c>
    </row>
    <row r="1276" spans="2:22">
      <c r="B1276" s="389">
        <v>46229</v>
      </c>
      <c r="C1276" s="389">
        <v>46229</v>
      </c>
      <c r="D1276" s="387" t="s">
        <v>6409</v>
      </c>
      <c r="E1276" s="388" t="s">
        <v>6410</v>
      </c>
      <c r="F1276" s="387" t="s">
        <v>87</v>
      </c>
      <c r="G1276" s="387" t="s">
        <v>2552</v>
      </c>
      <c r="H1276" s="393">
        <v>40</v>
      </c>
      <c r="I1276" s="387">
        <v>35.4</v>
      </c>
      <c r="J1276" s="387">
        <v>35.4</v>
      </c>
      <c r="K1276" s="387">
        <v>5</v>
      </c>
      <c r="L1276" s="387">
        <v>0</v>
      </c>
      <c r="M1276" s="387" t="s">
        <v>148</v>
      </c>
      <c r="N1276" s="387" t="s">
        <v>149</v>
      </c>
      <c r="O1276" s="387" t="s">
        <v>150</v>
      </c>
      <c r="P1276" s="387" t="s">
        <v>151</v>
      </c>
      <c r="Q1276" s="387"/>
      <c r="R1276" s="387" t="s">
        <v>6410</v>
      </c>
      <c r="S1276" s="387"/>
      <c r="T1276" s="387" t="s">
        <v>3256</v>
      </c>
      <c r="U1276" s="387" t="s">
        <v>152</v>
      </c>
      <c r="V1276" s="387" t="s">
        <v>23</v>
      </c>
    </row>
    <row r="1277" spans="2:22">
      <c r="B1277" s="389">
        <v>46229</v>
      </c>
      <c r="C1277" s="389">
        <v>46229</v>
      </c>
      <c r="D1277" s="387" t="s">
        <v>6411</v>
      </c>
      <c r="E1277" s="388" t="s">
        <v>6412</v>
      </c>
      <c r="F1277" s="387" t="s">
        <v>87</v>
      </c>
      <c r="G1277" s="387" t="s">
        <v>2552</v>
      </c>
      <c r="H1277" s="393">
        <v>40</v>
      </c>
      <c r="I1277" s="387">
        <v>33.799999999999997</v>
      </c>
      <c r="J1277" s="387">
        <v>33.799999999999997</v>
      </c>
      <c r="K1277" s="387">
        <v>5</v>
      </c>
      <c r="L1277" s="387">
        <v>0</v>
      </c>
      <c r="M1277" s="387" t="s">
        <v>148</v>
      </c>
      <c r="N1277" s="387" t="s">
        <v>149</v>
      </c>
      <c r="O1277" s="387" t="s">
        <v>150</v>
      </c>
      <c r="P1277" s="387" t="s">
        <v>151</v>
      </c>
      <c r="Q1277" s="387"/>
      <c r="R1277" s="387" t="s">
        <v>6412</v>
      </c>
      <c r="S1277" s="387"/>
      <c r="T1277" s="387" t="s">
        <v>3256</v>
      </c>
      <c r="U1277" s="387" t="s">
        <v>152</v>
      </c>
      <c r="V1277" s="387" t="s">
        <v>23</v>
      </c>
    </row>
    <row r="1278" spans="2:22">
      <c r="B1278" s="389">
        <v>46229</v>
      </c>
      <c r="C1278" s="389">
        <v>46229</v>
      </c>
      <c r="D1278" s="387" t="s">
        <v>6413</v>
      </c>
      <c r="E1278" s="388" t="s">
        <v>6414</v>
      </c>
      <c r="F1278" s="387" t="s">
        <v>87</v>
      </c>
      <c r="G1278" s="387" t="s">
        <v>2552</v>
      </c>
      <c r="H1278" s="393">
        <v>40</v>
      </c>
      <c r="I1278" s="387">
        <v>36.200000000000003</v>
      </c>
      <c r="J1278" s="387">
        <v>36.200000000000003</v>
      </c>
      <c r="K1278" s="387">
        <v>5</v>
      </c>
      <c r="L1278" s="387">
        <v>0</v>
      </c>
      <c r="M1278" s="387" t="s">
        <v>148</v>
      </c>
      <c r="N1278" s="387" t="s">
        <v>149</v>
      </c>
      <c r="O1278" s="387" t="s">
        <v>150</v>
      </c>
      <c r="P1278" s="387" t="s">
        <v>151</v>
      </c>
      <c r="Q1278" s="387"/>
      <c r="R1278" s="387" t="s">
        <v>6414</v>
      </c>
      <c r="S1278" s="387"/>
      <c r="T1278" s="387" t="s">
        <v>3256</v>
      </c>
      <c r="U1278" s="387" t="s">
        <v>152</v>
      </c>
      <c r="V1278" s="387" t="s">
        <v>23</v>
      </c>
    </row>
    <row r="1279" spans="2:22">
      <c r="B1279" s="389">
        <v>46229</v>
      </c>
      <c r="C1279" s="389">
        <v>46229</v>
      </c>
      <c r="D1279" s="387" t="s">
        <v>6415</v>
      </c>
      <c r="E1279" s="388" t="s">
        <v>6416</v>
      </c>
      <c r="F1279" s="387" t="s">
        <v>87</v>
      </c>
      <c r="G1279" s="387" t="s">
        <v>2486</v>
      </c>
      <c r="H1279" s="393">
        <v>40</v>
      </c>
      <c r="I1279" s="387">
        <v>37.200000000000003</v>
      </c>
      <c r="J1279" s="387">
        <v>37.200000000000003</v>
      </c>
      <c r="K1279" s="387">
        <v>5</v>
      </c>
      <c r="L1279" s="387">
        <v>0</v>
      </c>
      <c r="M1279" s="387" t="s">
        <v>148</v>
      </c>
      <c r="N1279" s="387" t="s">
        <v>149</v>
      </c>
      <c r="O1279" s="387" t="s">
        <v>150</v>
      </c>
      <c r="P1279" s="387" t="s">
        <v>151</v>
      </c>
      <c r="Q1279" s="387"/>
      <c r="R1279" s="387" t="s">
        <v>6416</v>
      </c>
      <c r="S1279" s="387"/>
      <c r="T1279" s="387" t="s">
        <v>3256</v>
      </c>
      <c r="U1279" s="387" t="s">
        <v>152</v>
      </c>
      <c r="V1279" s="387" t="s">
        <v>23</v>
      </c>
    </row>
    <row r="1280" spans="2:22">
      <c r="B1280" s="389">
        <v>46229</v>
      </c>
      <c r="C1280" s="389">
        <v>46229</v>
      </c>
      <c r="D1280" s="387" t="s">
        <v>6417</v>
      </c>
      <c r="E1280" s="388" t="s">
        <v>6418</v>
      </c>
      <c r="F1280" s="387" t="s">
        <v>87</v>
      </c>
      <c r="G1280" s="387" t="s">
        <v>2001</v>
      </c>
      <c r="H1280" s="393">
        <v>6</v>
      </c>
      <c r="I1280" s="387">
        <v>23.8</v>
      </c>
      <c r="J1280" s="387">
        <v>23.8</v>
      </c>
      <c r="K1280" s="387">
        <v>1.5</v>
      </c>
      <c r="L1280" s="387">
        <v>0</v>
      </c>
      <c r="M1280" s="387" t="s">
        <v>148</v>
      </c>
      <c r="N1280" s="387" t="s">
        <v>149</v>
      </c>
      <c r="O1280" s="387" t="s">
        <v>150</v>
      </c>
      <c r="P1280" s="387" t="s">
        <v>151</v>
      </c>
      <c r="Q1280" s="387"/>
      <c r="R1280" s="387" t="s">
        <v>6418</v>
      </c>
      <c r="S1280" s="387"/>
      <c r="T1280" s="387" t="s">
        <v>3256</v>
      </c>
      <c r="U1280" s="387" t="s">
        <v>152</v>
      </c>
      <c r="V1280" s="387" t="s">
        <v>23</v>
      </c>
    </row>
    <row r="1281" spans="2:22">
      <c r="B1281" s="389">
        <v>46229</v>
      </c>
      <c r="C1281" s="389">
        <v>46229</v>
      </c>
      <c r="D1281" s="387" t="s">
        <v>6419</v>
      </c>
      <c r="E1281" s="388" t="s">
        <v>6420</v>
      </c>
      <c r="F1281" s="387" t="s">
        <v>87</v>
      </c>
      <c r="G1281" s="387" t="s">
        <v>2553</v>
      </c>
      <c r="H1281" s="393">
        <v>30</v>
      </c>
      <c r="I1281" s="387">
        <v>31</v>
      </c>
      <c r="J1281" s="387">
        <v>31</v>
      </c>
      <c r="K1281" s="387">
        <v>4</v>
      </c>
      <c r="L1281" s="387">
        <v>0</v>
      </c>
      <c r="M1281" s="387" t="s">
        <v>148</v>
      </c>
      <c r="N1281" s="387" t="s">
        <v>149</v>
      </c>
      <c r="O1281" s="387" t="s">
        <v>150</v>
      </c>
      <c r="P1281" s="387" t="s">
        <v>151</v>
      </c>
      <c r="Q1281" s="387"/>
      <c r="R1281" s="387" t="s">
        <v>6420</v>
      </c>
      <c r="S1281" s="387"/>
      <c r="T1281" s="387" t="s">
        <v>3256</v>
      </c>
      <c r="U1281" s="387" t="s">
        <v>152</v>
      </c>
      <c r="V1281" s="387" t="s">
        <v>23</v>
      </c>
    </row>
    <row r="1282" spans="2:22">
      <c r="B1282" s="389">
        <v>46229</v>
      </c>
      <c r="C1282" s="389">
        <v>46229</v>
      </c>
      <c r="D1282" s="387" t="s">
        <v>6421</v>
      </c>
      <c r="E1282" s="388" t="s">
        <v>6422</v>
      </c>
      <c r="F1282" s="387" t="s">
        <v>87</v>
      </c>
      <c r="G1282" s="387" t="s">
        <v>6162</v>
      </c>
      <c r="H1282" s="393">
        <v>50</v>
      </c>
      <c r="I1282" s="387">
        <v>37.799999999999997</v>
      </c>
      <c r="J1282" s="387">
        <v>37.799999999999997</v>
      </c>
      <c r="K1282" s="387">
        <v>5</v>
      </c>
      <c r="L1282" s="387">
        <v>0</v>
      </c>
      <c r="M1282" s="387" t="s">
        <v>148</v>
      </c>
      <c r="N1282" s="387" t="s">
        <v>149</v>
      </c>
      <c r="O1282" s="387" t="s">
        <v>150</v>
      </c>
      <c r="P1282" s="387" t="s">
        <v>151</v>
      </c>
      <c r="Q1282" s="387"/>
      <c r="R1282" s="387" t="s">
        <v>6422</v>
      </c>
      <c r="S1282" s="387"/>
      <c r="T1282" s="387" t="s">
        <v>3256</v>
      </c>
      <c r="U1282" s="387" t="s">
        <v>152</v>
      </c>
      <c r="V1282" s="387" t="s">
        <v>23</v>
      </c>
    </row>
    <row r="1283" spans="2:22">
      <c r="B1283" s="389">
        <v>46229</v>
      </c>
      <c r="C1283" s="389">
        <v>46229</v>
      </c>
      <c r="D1283" s="387" t="s">
        <v>6423</v>
      </c>
      <c r="E1283" s="388" t="s">
        <v>6424</v>
      </c>
      <c r="F1283" s="387" t="s">
        <v>87</v>
      </c>
      <c r="G1283" s="387" t="s">
        <v>2486</v>
      </c>
      <c r="H1283" s="393">
        <v>40</v>
      </c>
      <c r="I1283" s="387">
        <v>29.3</v>
      </c>
      <c r="J1283" s="387">
        <v>29.3</v>
      </c>
      <c r="K1283" s="387">
        <v>5</v>
      </c>
      <c r="L1283" s="387">
        <v>0</v>
      </c>
      <c r="M1283" s="387" t="s">
        <v>148</v>
      </c>
      <c r="N1283" s="387" t="s">
        <v>149</v>
      </c>
      <c r="O1283" s="387" t="s">
        <v>150</v>
      </c>
      <c r="P1283" s="387" t="s">
        <v>151</v>
      </c>
      <c r="Q1283" s="387"/>
      <c r="R1283" s="387" t="s">
        <v>6424</v>
      </c>
      <c r="S1283" s="387"/>
      <c r="T1283" s="387" t="s">
        <v>3256</v>
      </c>
      <c r="U1283" s="387" t="s">
        <v>152</v>
      </c>
      <c r="V1283" s="387" t="s">
        <v>23</v>
      </c>
    </row>
    <row r="1284" spans="2:22">
      <c r="B1284" s="389">
        <v>46229</v>
      </c>
      <c r="C1284" s="389">
        <v>46229</v>
      </c>
      <c r="D1284" s="387" t="s">
        <v>6425</v>
      </c>
      <c r="E1284" s="388" t="s">
        <v>6426</v>
      </c>
      <c r="F1284" s="387" t="s">
        <v>87</v>
      </c>
      <c r="G1284" s="387" t="s">
        <v>2552</v>
      </c>
      <c r="H1284" s="393">
        <v>40</v>
      </c>
      <c r="I1284" s="387">
        <v>35</v>
      </c>
      <c r="J1284" s="387">
        <v>35</v>
      </c>
      <c r="K1284" s="387">
        <v>5</v>
      </c>
      <c r="L1284" s="387">
        <v>0</v>
      </c>
      <c r="M1284" s="387" t="s">
        <v>148</v>
      </c>
      <c r="N1284" s="387" t="s">
        <v>149</v>
      </c>
      <c r="O1284" s="387" t="s">
        <v>150</v>
      </c>
      <c r="P1284" s="387" t="s">
        <v>151</v>
      </c>
      <c r="Q1284" s="387"/>
      <c r="R1284" s="387" t="s">
        <v>6426</v>
      </c>
      <c r="S1284" s="387"/>
      <c r="T1284" s="387" t="s">
        <v>3256</v>
      </c>
      <c r="U1284" s="387" t="s">
        <v>152</v>
      </c>
      <c r="V1284" s="387" t="s">
        <v>23</v>
      </c>
    </row>
    <row r="1285" spans="2:22">
      <c r="B1285" s="389">
        <v>46229</v>
      </c>
      <c r="C1285" s="389">
        <v>46229</v>
      </c>
      <c r="D1285" s="387" t="s">
        <v>6427</v>
      </c>
      <c r="E1285" s="388" t="s">
        <v>6428</v>
      </c>
      <c r="F1285" s="387" t="s">
        <v>87</v>
      </c>
      <c r="G1285" s="387" t="s">
        <v>2001</v>
      </c>
      <c r="H1285" s="393">
        <v>6</v>
      </c>
      <c r="I1285" s="387">
        <v>15.4</v>
      </c>
      <c r="J1285" s="387">
        <v>15.4</v>
      </c>
      <c r="K1285" s="387">
        <v>1.5</v>
      </c>
      <c r="L1285" s="387">
        <v>0</v>
      </c>
      <c r="M1285" s="387" t="s">
        <v>148</v>
      </c>
      <c r="N1285" s="387" t="s">
        <v>149</v>
      </c>
      <c r="O1285" s="387" t="s">
        <v>150</v>
      </c>
      <c r="P1285" s="387" t="s">
        <v>151</v>
      </c>
      <c r="Q1285" s="387"/>
      <c r="R1285" s="387" t="s">
        <v>6428</v>
      </c>
      <c r="S1285" s="387"/>
      <c r="T1285" s="387" t="s">
        <v>3256</v>
      </c>
      <c r="U1285" s="387" t="s">
        <v>152</v>
      </c>
      <c r="V1285" s="387" t="s">
        <v>23</v>
      </c>
    </row>
    <row r="1286" spans="2:22">
      <c r="B1286" s="389">
        <v>46229</v>
      </c>
      <c r="C1286" s="389">
        <v>46229</v>
      </c>
      <c r="D1286" s="387" t="s">
        <v>6429</v>
      </c>
      <c r="E1286" s="388" t="s">
        <v>6430</v>
      </c>
      <c r="F1286" s="387" t="s">
        <v>87</v>
      </c>
      <c r="G1286" s="387" t="s">
        <v>5706</v>
      </c>
      <c r="H1286" s="393">
        <v>50</v>
      </c>
      <c r="I1286" s="387">
        <v>41.4</v>
      </c>
      <c r="J1286" s="387">
        <v>41.4</v>
      </c>
      <c r="K1286" s="387">
        <v>5</v>
      </c>
      <c r="L1286" s="387">
        <v>0</v>
      </c>
      <c r="M1286" s="387" t="s">
        <v>148</v>
      </c>
      <c r="N1286" s="387" t="s">
        <v>149</v>
      </c>
      <c r="O1286" s="387" t="s">
        <v>150</v>
      </c>
      <c r="P1286" s="387" t="s">
        <v>151</v>
      </c>
      <c r="Q1286" s="387"/>
      <c r="R1286" s="387" t="s">
        <v>6430</v>
      </c>
      <c r="S1286" s="387"/>
      <c r="T1286" s="387" t="s">
        <v>3256</v>
      </c>
      <c r="U1286" s="387" t="s">
        <v>152</v>
      </c>
      <c r="V1286" s="387" t="s">
        <v>23</v>
      </c>
    </row>
    <row r="1287" spans="2:22">
      <c r="B1287" s="389">
        <v>46229</v>
      </c>
      <c r="C1287" s="389">
        <v>46229</v>
      </c>
      <c r="D1287" s="387" t="s">
        <v>6431</v>
      </c>
      <c r="E1287" s="388" t="s">
        <v>6432</v>
      </c>
      <c r="F1287" s="387" t="s">
        <v>87</v>
      </c>
      <c r="G1287" s="387" t="s">
        <v>6162</v>
      </c>
      <c r="H1287" s="393">
        <v>50</v>
      </c>
      <c r="I1287" s="387">
        <v>43.8</v>
      </c>
      <c r="J1287" s="387">
        <v>43.8</v>
      </c>
      <c r="K1287" s="387">
        <v>5</v>
      </c>
      <c r="L1287" s="387">
        <v>0</v>
      </c>
      <c r="M1287" s="387" t="s">
        <v>148</v>
      </c>
      <c r="N1287" s="387" t="s">
        <v>149</v>
      </c>
      <c r="O1287" s="387" t="s">
        <v>150</v>
      </c>
      <c r="P1287" s="387" t="s">
        <v>151</v>
      </c>
      <c r="Q1287" s="387"/>
      <c r="R1287" s="387" t="s">
        <v>6432</v>
      </c>
      <c r="S1287" s="387"/>
      <c r="T1287" s="387" t="s">
        <v>3256</v>
      </c>
      <c r="U1287" s="387" t="s">
        <v>152</v>
      </c>
      <c r="V1287" s="387" t="s">
        <v>23</v>
      </c>
    </row>
    <row r="1288" spans="2:22">
      <c r="B1288" s="389">
        <v>46229</v>
      </c>
      <c r="C1288" s="389">
        <v>46229</v>
      </c>
      <c r="D1288" s="387" t="s">
        <v>6433</v>
      </c>
      <c r="E1288" s="388" t="s">
        <v>6434</v>
      </c>
      <c r="F1288" s="387" t="s">
        <v>87</v>
      </c>
      <c r="G1288" s="387" t="s">
        <v>2486</v>
      </c>
      <c r="H1288" s="393">
        <v>40</v>
      </c>
      <c r="I1288" s="387">
        <v>43.9</v>
      </c>
      <c r="J1288" s="387">
        <v>43.9</v>
      </c>
      <c r="K1288" s="387">
        <v>5</v>
      </c>
      <c r="L1288" s="387">
        <v>0</v>
      </c>
      <c r="M1288" s="387" t="s">
        <v>148</v>
      </c>
      <c r="N1288" s="387" t="s">
        <v>149</v>
      </c>
      <c r="O1288" s="387" t="s">
        <v>150</v>
      </c>
      <c r="P1288" s="387" t="s">
        <v>151</v>
      </c>
      <c r="Q1288" s="387"/>
      <c r="R1288" s="387" t="s">
        <v>6434</v>
      </c>
      <c r="S1288" s="387"/>
      <c r="T1288" s="387" t="s">
        <v>3256</v>
      </c>
      <c r="U1288" s="387" t="s">
        <v>152</v>
      </c>
      <c r="V1288" s="387" t="s">
        <v>23</v>
      </c>
    </row>
    <row r="1289" spans="2:22">
      <c r="B1289" s="389">
        <v>46229</v>
      </c>
      <c r="C1289" s="389">
        <v>46229</v>
      </c>
      <c r="D1289" s="387" t="s">
        <v>6435</v>
      </c>
      <c r="E1289" s="388" t="s">
        <v>6436</v>
      </c>
      <c r="F1289" s="387" t="s">
        <v>87</v>
      </c>
      <c r="G1289" s="387" t="s">
        <v>2552</v>
      </c>
      <c r="H1289" s="393">
        <v>40</v>
      </c>
      <c r="I1289" s="387">
        <v>39</v>
      </c>
      <c r="J1289" s="387">
        <v>39</v>
      </c>
      <c r="K1289" s="387">
        <v>5</v>
      </c>
      <c r="L1289" s="387">
        <v>0</v>
      </c>
      <c r="M1289" s="387" t="s">
        <v>148</v>
      </c>
      <c r="N1289" s="387" t="s">
        <v>149</v>
      </c>
      <c r="O1289" s="387" t="s">
        <v>150</v>
      </c>
      <c r="P1289" s="387" t="s">
        <v>151</v>
      </c>
      <c r="Q1289" s="387"/>
      <c r="R1289" s="387" t="s">
        <v>6436</v>
      </c>
      <c r="S1289" s="387"/>
      <c r="T1289" s="387" t="s">
        <v>3256</v>
      </c>
      <c r="U1289" s="387" t="s">
        <v>152</v>
      </c>
      <c r="V1289" s="387" t="s">
        <v>23</v>
      </c>
    </row>
    <row r="1290" spans="2:22">
      <c r="B1290" s="389">
        <v>46229</v>
      </c>
      <c r="C1290" s="389">
        <v>46229</v>
      </c>
      <c r="D1290" s="387" t="s">
        <v>6437</v>
      </c>
      <c r="E1290" s="388" t="s">
        <v>6438</v>
      </c>
      <c r="F1290" s="387" t="s">
        <v>87</v>
      </c>
      <c r="G1290" s="387" t="s">
        <v>2552</v>
      </c>
      <c r="H1290" s="393">
        <v>40</v>
      </c>
      <c r="I1290" s="387">
        <v>38.799999999999997</v>
      </c>
      <c r="J1290" s="387">
        <v>38.799999999999997</v>
      </c>
      <c r="K1290" s="387">
        <v>5</v>
      </c>
      <c r="L1290" s="387">
        <v>0</v>
      </c>
      <c r="M1290" s="387" t="s">
        <v>148</v>
      </c>
      <c r="N1290" s="387" t="s">
        <v>149</v>
      </c>
      <c r="O1290" s="387" t="s">
        <v>150</v>
      </c>
      <c r="P1290" s="387" t="s">
        <v>151</v>
      </c>
      <c r="Q1290" s="387"/>
      <c r="R1290" s="387" t="s">
        <v>6438</v>
      </c>
      <c r="S1290" s="387"/>
      <c r="T1290" s="387" t="s">
        <v>3256</v>
      </c>
      <c r="U1290" s="387" t="s">
        <v>152</v>
      </c>
      <c r="V1290" s="387" t="s">
        <v>23</v>
      </c>
    </row>
    <row r="1291" spans="2:22">
      <c r="B1291" s="389">
        <v>46229</v>
      </c>
      <c r="C1291" s="389">
        <v>46229</v>
      </c>
      <c r="D1291" s="387" t="s">
        <v>6439</v>
      </c>
      <c r="E1291" s="388" t="s">
        <v>6440</v>
      </c>
      <c r="F1291" s="387" t="s">
        <v>87</v>
      </c>
      <c r="G1291" s="387" t="s">
        <v>2001</v>
      </c>
      <c r="H1291" s="393">
        <v>6</v>
      </c>
      <c r="I1291" s="387">
        <v>27.8</v>
      </c>
      <c r="J1291" s="387">
        <v>27.8</v>
      </c>
      <c r="K1291" s="387">
        <v>1.5</v>
      </c>
      <c r="L1291" s="387">
        <v>0</v>
      </c>
      <c r="M1291" s="387" t="s">
        <v>148</v>
      </c>
      <c r="N1291" s="387" t="s">
        <v>149</v>
      </c>
      <c r="O1291" s="387" t="s">
        <v>150</v>
      </c>
      <c r="P1291" s="387" t="s">
        <v>151</v>
      </c>
      <c r="Q1291" s="387"/>
      <c r="R1291" s="387" t="s">
        <v>6440</v>
      </c>
      <c r="S1291" s="387"/>
      <c r="T1291" s="387" t="s">
        <v>3256</v>
      </c>
      <c r="U1291" s="387" t="s">
        <v>152</v>
      </c>
      <c r="V1291" s="387" t="s">
        <v>23</v>
      </c>
    </row>
    <row r="1292" spans="2:22">
      <c r="B1292" s="389">
        <v>46229</v>
      </c>
      <c r="C1292" s="389">
        <v>46229</v>
      </c>
      <c r="D1292" s="387" t="s">
        <v>6441</v>
      </c>
      <c r="E1292" s="388" t="s">
        <v>6442</v>
      </c>
      <c r="F1292" s="387" t="s">
        <v>87</v>
      </c>
      <c r="G1292" s="387" t="s">
        <v>2486</v>
      </c>
      <c r="H1292" s="393">
        <v>40</v>
      </c>
      <c r="I1292" s="387">
        <v>19.8</v>
      </c>
      <c r="J1292" s="387">
        <v>19.8</v>
      </c>
      <c r="K1292" s="387">
        <v>5</v>
      </c>
      <c r="L1292" s="387">
        <v>0</v>
      </c>
      <c r="M1292" s="387" t="s">
        <v>148</v>
      </c>
      <c r="N1292" s="387" t="s">
        <v>149</v>
      </c>
      <c r="O1292" s="387" t="s">
        <v>150</v>
      </c>
      <c r="P1292" s="387" t="s">
        <v>151</v>
      </c>
      <c r="Q1292" s="387"/>
      <c r="R1292" s="387" t="s">
        <v>6442</v>
      </c>
      <c r="S1292" s="387"/>
      <c r="T1292" s="387" t="s">
        <v>3256</v>
      </c>
      <c r="U1292" s="387" t="s">
        <v>152</v>
      </c>
      <c r="V1292" s="387" t="s">
        <v>23</v>
      </c>
    </row>
    <row r="1293" spans="2:22">
      <c r="B1293" s="389">
        <v>46229</v>
      </c>
      <c r="C1293" s="389">
        <v>46229</v>
      </c>
      <c r="D1293" s="387" t="s">
        <v>6443</v>
      </c>
      <c r="E1293" s="388" t="s">
        <v>6444</v>
      </c>
      <c r="F1293" s="387" t="s">
        <v>87</v>
      </c>
      <c r="G1293" s="387" t="s">
        <v>6162</v>
      </c>
      <c r="H1293" s="393">
        <v>50</v>
      </c>
      <c r="I1293" s="387">
        <v>13.8</v>
      </c>
      <c r="J1293" s="387">
        <v>13.8</v>
      </c>
      <c r="K1293" s="387">
        <v>5</v>
      </c>
      <c r="L1293" s="387">
        <v>0</v>
      </c>
      <c r="M1293" s="387" t="s">
        <v>148</v>
      </c>
      <c r="N1293" s="387" t="s">
        <v>149</v>
      </c>
      <c r="O1293" s="387" t="s">
        <v>150</v>
      </c>
      <c r="P1293" s="387" t="s">
        <v>151</v>
      </c>
      <c r="Q1293" s="387"/>
      <c r="R1293" s="387" t="s">
        <v>6444</v>
      </c>
      <c r="S1293" s="387"/>
      <c r="T1293" s="387" t="s">
        <v>3256</v>
      </c>
      <c r="U1293" s="387" t="s">
        <v>152</v>
      </c>
      <c r="V1293" s="387" t="s">
        <v>23</v>
      </c>
    </row>
    <row r="1294" spans="2:22">
      <c r="B1294" s="389">
        <v>46229</v>
      </c>
      <c r="C1294" s="389">
        <v>46229</v>
      </c>
      <c r="D1294" s="387" t="s">
        <v>6445</v>
      </c>
      <c r="E1294" s="388" t="s">
        <v>6446</v>
      </c>
      <c r="F1294" s="387" t="s">
        <v>87</v>
      </c>
      <c r="G1294" s="387" t="s">
        <v>2486</v>
      </c>
      <c r="H1294" s="393">
        <v>40</v>
      </c>
      <c r="I1294" s="387">
        <v>42.8</v>
      </c>
      <c r="J1294" s="387">
        <v>42.8</v>
      </c>
      <c r="K1294" s="387">
        <v>5</v>
      </c>
      <c r="L1294" s="387">
        <v>0</v>
      </c>
      <c r="M1294" s="387" t="s">
        <v>148</v>
      </c>
      <c r="N1294" s="387" t="s">
        <v>149</v>
      </c>
      <c r="O1294" s="387" t="s">
        <v>150</v>
      </c>
      <c r="P1294" s="387" t="s">
        <v>151</v>
      </c>
      <c r="Q1294" s="387"/>
      <c r="R1294" s="387" t="s">
        <v>6446</v>
      </c>
      <c r="S1294" s="387"/>
      <c r="T1294" s="387" t="s">
        <v>3256</v>
      </c>
      <c r="U1294" s="387" t="s">
        <v>152</v>
      </c>
      <c r="V1294" s="387" t="s">
        <v>23</v>
      </c>
    </row>
    <row r="1295" spans="2:22">
      <c r="B1295" s="389">
        <v>46229</v>
      </c>
      <c r="C1295" s="389">
        <v>46229</v>
      </c>
      <c r="D1295" s="387" t="s">
        <v>6447</v>
      </c>
      <c r="E1295" s="388" t="s">
        <v>6448</v>
      </c>
      <c r="F1295" s="387" t="s">
        <v>87</v>
      </c>
      <c r="G1295" s="387" t="s">
        <v>2552</v>
      </c>
      <c r="H1295" s="393">
        <v>40</v>
      </c>
      <c r="I1295" s="387">
        <v>40.9</v>
      </c>
      <c r="J1295" s="387">
        <v>40.9</v>
      </c>
      <c r="K1295" s="387">
        <v>5</v>
      </c>
      <c r="L1295" s="387">
        <v>0</v>
      </c>
      <c r="M1295" s="387" t="s">
        <v>148</v>
      </c>
      <c r="N1295" s="387" t="s">
        <v>149</v>
      </c>
      <c r="O1295" s="387" t="s">
        <v>150</v>
      </c>
      <c r="P1295" s="387" t="s">
        <v>151</v>
      </c>
      <c r="Q1295" s="387"/>
      <c r="R1295" s="387" t="s">
        <v>6448</v>
      </c>
      <c r="S1295" s="387"/>
      <c r="T1295" s="387" t="s">
        <v>3256</v>
      </c>
      <c r="U1295" s="387" t="s">
        <v>152</v>
      </c>
      <c r="V1295" s="387" t="s">
        <v>23</v>
      </c>
    </row>
    <row r="1296" spans="2:22">
      <c r="B1296" s="389">
        <v>46229</v>
      </c>
      <c r="C1296" s="389">
        <v>46229</v>
      </c>
      <c r="D1296" s="387" t="s">
        <v>6449</v>
      </c>
      <c r="E1296" s="388" t="s">
        <v>6450</v>
      </c>
      <c r="F1296" s="387" t="s">
        <v>87</v>
      </c>
      <c r="G1296" s="387" t="s">
        <v>2552</v>
      </c>
      <c r="H1296" s="393">
        <v>40</v>
      </c>
      <c r="I1296" s="387">
        <v>35.200000000000003</v>
      </c>
      <c r="J1296" s="387">
        <v>35.200000000000003</v>
      </c>
      <c r="K1296" s="387">
        <v>5</v>
      </c>
      <c r="L1296" s="387">
        <v>0</v>
      </c>
      <c r="M1296" s="387" t="s">
        <v>148</v>
      </c>
      <c r="N1296" s="387" t="s">
        <v>149</v>
      </c>
      <c r="O1296" s="387" t="s">
        <v>150</v>
      </c>
      <c r="P1296" s="387" t="s">
        <v>151</v>
      </c>
      <c r="Q1296" s="387"/>
      <c r="R1296" s="387" t="s">
        <v>6450</v>
      </c>
      <c r="S1296" s="387"/>
      <c r="T1296" s="387" t="s">
        <v>3256</v>
      </c>
      <c r="U1296" s="387" t="s">
        <v>152</v>
      </c>
      <c r="V1296" s="387" t="s">
        <v>23</v>
      </c>
    </row>
    <row r="1297" spans="2:22">
      <c r="B1297" s="389">
        <v>46229</v>
      </c>
      <c r="C1297" s="389">
        <v>46229</v>
      </c>
      <c r="D1297" s="387" t="s">
        <v>6451</v>
      </c>
      <c r="E1297" s="388" t="s">
        <v>6452</v>
      </c>
      <c r="F1297" s="387" t="s">
        <v>87</v>
      </c>
      <c r="G1297" s="387" t="s">
        <v>2486</v>
      </c>
      <c r="H1297" s="393">
        <v>40</v>
      </c>
      <c r="I1297" s="387">
        <v>43.2</v>
      </c>
      <c r="J1297" s="387">
        <v>43.2</v>
      </c>
      <c r="K1297" s="387">
        <v>5</v>
      </c>
      <c r="L1297" s="387">
        <v>0</v>
      </c>
      <c r="M1297" s="387" t="s">
        <v>148</v>
      </c>
      <c r="N1297" s="387" t="s">
        <v>149</v>
      </c>
      <c r="O1297" s="387" t="s">
        <v>150</v>
      </c>
      <c r="P1297" s="387" t="s">
        <v>151</v>
      </c>
      <c r="Q1297" s="387"/>
      <c r="R1297" s="387" t="s">
        <v>6452</v>
      </c>
      <c r="S1297" s="387"/>
      <c r="T1297" s="387" t="s">
        <v>3256</v>
      </c>
      <c r="U1297" s="387" t="s">
        <v>152</v>
      </c>
      <c r="V1297" s="387" t="s">
        <v>23</v>
      </c>
    </row>
    <row r="1298" spans="2:22">
      <c r="B1298" s="389">
        <v>46229</v>
      </c>
      <c r="C1298" s="389">
        <v>46229</v>
      </c>
      <c r="D1298" s="387" t="s">
        <v>6453</v>
      </c>
      <c r="E1298" s="388" t="s">
        <v>6454</v>
      </c>
      <c r="F1298" s="387" t="s">
        <v>87</v>
      </c>
      <c r="G1298" s="387" t="s">
        <v>6455</v>
      </c>
      <c r="H1298" s="393">
        <v>42</v>
      </c>
      <c r="I1298" s="387">
        <v>29</v>
      </c>
      <c r="J1298" s="387">
        <v>29</v>
      </c>
      <c r="K1298" s="387">
        <v>7</v>
      </c>
      <c r="L1298" s="387">
        <v>0</v>
      </c>
      <c r="M1298" s="387" t="s">
        <v>148</v>
      </c>
      <c r="N1298" s="387" t="s">
        <v>149</v>
      </c>
      <c r="O1298" s="387" t="s">
        <v>150</v>
      </c>
      <c r="P1298" s="387" t="s">
        <v>151</v>
      </c>
      <c r="Q1298" s="387"/>
      <c r="R1298" s="387" t="s">
        <v>6454</v>
      </c>
      <c r="S1298" s="387"/>
      <c r="T1298" s="387" t="s">
        <v>3256</v>
      </c>
      <c r="U1298" s="387" t="s">
        <v>152</v>
      </c>
      <c r="V1298" s="387" t="s">
        <v>23</v>
      </c>
    </row>
    <row r="1299" spans="2:22">
      <c r="B1299" s="389">
        <v>46229</v>
      </c>
      <c r="C1299" s="389">
        <v>46229</v>
      </c>
      <c r="D1299" s="387" t="s">
        <v>6456</v>
      </c>
      <c r="E1299" s="388" t="s">
        <v>6457</v>
      </c>
      <c r="F1299" s="387" t="s">
        <v>87</v>
      </c>
      <c r="G1299" s="387" t="s">
        <v>1713</v>
      </c>
      <c r="H1299" s="393">
        <v>30</v>
      </c>
      <c r="I1299" s="387">
        <v>32</v>
      </c>
      <c r="J1299" s="387">
        <v>32</v>
      </c>
      <c r="K1299" s="387">
        <v>4</v>
      </c>
      <c r="L1299" s="387">
        <v>0</v>
      </c>
      <c r="M1299" s="387" t="s">
        <v>148</v>
      </c>
      <c r="N1299" s="387" t="s">
        <v>149</v>
      </c>
      <c r="O1299" s="387" t="s">
        <v>150</v>
      </c>
      <c r="P1299" s="387" t="s">
        <v>151</v>
      </c>
      <c r="Q1299" s="387"/>
      <c r="R1299" s="387" t="s">
        <v>6457</v>
      </c>
      <c r="S1299" s="387"/>
      <c r="T1299" s="387" t="s">
        <v>3256</v>
      </c>
      <c r="U1299" s="387" t="s">
        <v>152</v>
      </c>
      <c r="V1299" s="387" t="s">
        <v>23</v>
      </c>
    </row>
    <row r="1300" spans="2:22">
      <c r="B1300" s="389">
        <v>46229</v>
      </c>
      <c r="C1300" s="389">
        <v>46229</v>
      </c>
      <c r="D1300" s="387" t="s">
        <v>6458</v>
      </c>
      <c r="E1300" s="388" t="s">
        <v>6459</v>
      </c>
      <c r="F1300" s="387" t="s">
        <v>87</v>
      </c>
      <c r="G1300" s="387" t="s">
        <v>2553</v>
      </c>
      <c r="H1300" s="393">
        <v>30</v>
      </c>
      <c r="I1300" s="387">
        <v>44.2</v>
      </c>
      <c r="J1300" s="387">
        <v>44.2</v>
      </c>
      <c r="K1300" s="387">
        <v>4</v>
      </c>
      <c r="L1300" s="387">
        <v>0</v>
      </c>
      <c r="M1300" s="387" t="s">
        <v>148</v>
      </c>
      <c r="N1300" s="387" t="s">
        <v>149</v>
      </c>
      <c r="O1300" s="387" t="s">
        <v>150</v>
      </c>
      <c r="P1300" s="387" t="s">
        <v>151</v>
      </c>
      <c r="Q1300" s="387"/>
      <c r="R1300" s="387" t="s">
        <v>6459</v>
      </c>
      <c r="S1300" s="387"/>
      <c r="T1300" s="387" t="s">
        <v>3256</v>
      </c>
      <c r="U1300" s="387" t="s">
        <v>152</v>
      </c>
      <c r="V1300" s="387" t="s">
        <v>23</v>
      </c>
    </row>
    <row r="1301" spans="2:22">
      <c r="B1301" s="389">
        <v>46229</v>
      </c>
      <c r="C1301" s="389">
        <v>46229</v>
      </c>
      <c r="D1301" s="387" t="s">
        <v>6460</v>
      </c>
      <c r="E1301" s="388" t="s">
        <v>6461</v>
      </c>
      <c r="F1301" s="387" t="s">
        <v>87</v>
      </c>
      <c r="G1301" s="387" t="s">
        <v>2553</v>
      </c>
      <c r="H1301" s="393">
        <v>30</v>
      </c>
      <c r="I1301" s="387">
        <v>43.8</v>
      </c>
      <c r="J1301" s="387">
        <v>43.8</v>
      </c>
      <c r="K1301" s="387">
        <v>4</v>
      </c>
      <c r="L1301" s="387">
        <v>0</v>
      </c>
      <c r="M1301" s="387" t="s">
        <v>148</v>
      </c>
      <c r="N1301" s="387" t="s">
        <v>149</v>
      </c>
      <c r="O1301" s="387" t="s">
        <v>150</v>
      </c>
      <c r="P1301" s="387" t="s">
        <v>151</v>
      </c>
      <c r="Q1301" s="387"/>
      <c r="R1301" s="387" t="s">
        <v>6461</v>
      </c>
      <c r="S1301" s="387"/>
      <c r="T1301" s="387" t="s">
        <v>3256</v>
      </c>
      <c r="U1301" s="387" t="s">
        <v>152</v>
      </c>
      <c r="V1301" s="387" t="s">
        <v>23</v>
      </c>
    </row>
    <row r="1302" spans="2:22">
      <c r="B1302" s="389">
        <v>46229</v>
      </c>
      <c r="C1302" s="389">
        <v>46229</v>
      </c>
      <c r="D1302" s="387" t="s">
        <v>6462</v>
      </c>
      <c r="E1302" s="388" t="s">
        <v>6463</v>
      </c>
      <c r="F1302" s="387" t="s">
        <v>87</v>
      </c>
      <c r="G1302" s="387" t="s">
        <v>3866</v>
      </c>
      <c r="H1302" s="393">
        <v>40</v>
      </c>
      <c r="I1302" s="387">
        <v>35.200000000000003</v>
      </c>
      <c r="J1302" s="387">
        <v>35.200000000000003</v>
      </c>
      <c r="K1302" s="387">
        <v>5</v>
      </c>
      <c r="L1302" s="387">
        <v>0</v>
      </c>
      <c r="M1302" s="387" t="s">
        <v>148</v>
      </c>
      <c r="N1302" s="387" t="s">
        <v>149</v>
      </c>
      <c r="O1302" s="387" t="s">
        <v>150</v>
      </c>
      <c r="P1302" s="387" t="s">
        <v>151</v>
      </c>
      <c r="Q1302" s="387"/>
      <c r="R1302" s="387" t="s">
        <v>6463</v>
      </c>
      <c r="S1302" s="387"/>
      <c r="T1302" s="387" t="s">
        <v>3256</v>
      </c>
      <c r="U1302" s="387" t="s">
        <v>152</v>
      </c>
      <c r="V1302" s="387" t="s">
        <v>23</v>
      </c>
    </row>
    <row r="1303" spans="2:22">
      <c r="B1303" s="389">
        <v>46229</v>
      </c>
      <c r="C1303" s="389">
        <v>46229</v>
      </c>
      <c r="D1303" s="387" t="s">
        <v>6464</v>
      </c>
      <c r="E1303" s="388" t="s">
        <v>6465</v>
      </c>
      <c r="F1303" s="387" t="s">
        <v>87</v>
      </c>
      <c r="G1303" s="387" t="s">
        <v>2001</v>
      </c>
      <c r="H1303" s="393">
        <v>6</v>
      </c>
      <c r="I1303" s="387">
        <v>15.8</v>
      </c>
      <c r="J1303" s="387">
        <v>15.8</v>
      </c>
      <c r="K1303" s="387">
        <v>1.5</v>
      </c>
      <c r="L1303" s="387">
        <v>0</v>
      </c>
      <c r="M1303" s="387" t="s">
        <v>148</v>
      </c>
      <c r="N1303" s="387" t="s">
        <v>149</v>
      </c>
      <c r="O1303" s="387" t="s">
        <v>150</v>
      </c>
      <c r="P1303" s="387" t="s">
        <v>151</v>
      </c>
      <c r="Q1303" s="387"/>
      <c r="R1303" s="387" t="s">
        <v>6465</v>
      </c>
      <c r="S1303" s="387"/>
      <c r="T1303" s="387" t="s">
        <v>3256</v>
      </c>
      <c r="U1303" s="387" t="s">
        <v>152</v>
      </c>
      <c r="V1303" s="387" t="s">
        <v>23</v>
      </c>
    </row>
    <row r="1304" spans="2:22">
      <c r="B1304" s="389">
        <v>46230</v>
      </c>
      <c r="C1304" s="389">
        <v>46230</v>
      </c>
      <c r="D1304" s="387" t="s">
        <v>6466</v>
      </c>
      <c r="E1304" s="388" t="s">
        <v>6467</v>
      </c>
      <c r="F1304" s="387" t="s">
        <v>87</v>
      </c>
      <c r="G1304" s="387" t="s">
        <v>3866</v>
      </c>
      <c r="H1304" s="393">
        <v>40</v>
      </c>
      <c r="I1304" s="387">
        <v>32.299999999999997</v>
      </c>
      <c r="J1304" s="387">
        <v>32.299999999999997</v>
      </c>
      <c r="K1304" s="387">
        <v>5</v>
      </c>
      <c r="L1304" s="387">
        <v>0</v>
      </c>
      <c r="M1304" s="387" t="s">
        <v>148</v>
      </c>
      <c r="N1304" s="387" t="s">
        <v>149</v>
      </c>
      <c r="O1304" s="387" t="s">
        <v>150</v>
      </c>
      <c r="P1304" s="387" t="s">
        <v>151</v>
      </c>
      <c r="Q1304" s="387"/>
      <c r="R1304" s="387" t="s">
        <v>6467</v>
      </c>
      <c r="S1304" s="387"/>
      <c r="T1304" s="387" t="s">
        <v>3263</v>
      </c>
      <c r="U1304" s="387" t="s">
        <v>152</v>
      </c>
      <c r="V1304" s="387" t="s">
        <v>23</v>
      </c>
    </row>
    <row r="1305" spans="2:22">
      <c r="B1305" s="389">
        <v>46230</v>
      </c>
      <c r="C1305" s="389">
        <v>46230</v>
      </c>
      <c r="D1305" s="387" t="s">
        <v>6468</v>
      </c>
      <c r="E1305" s="388" t="s">
        <v>6469</v>
      </c>
      <c r="F1305" s="387" t="s">
        <v>87</v>
      </c>
      <c r="G1305" s="387" t="s">
        <v>2552</v>
      </c>
      <c r="H1305" s="393">
        <v>40</v>
      </c>
      <c r="I1305" s="387">
        <v>34</v>
      </c>
      <c r="J1305" s="387">
        <v>34</v>
      </c>
      <c r="K1305" s="387">
        <v>5</v>
      </c>
      <c r="L1305" s="387">
        <v>0</v>
      </c>
      <c r="M1305" s="387" t="s">
        <v>148</v>
      </c>
      <c r="N1305" s="387" t="s">
        <v>149</v>
      </c>
      <c r="O1305" s="387" t="s">
        <v>150</v>
      </c>
      <c r="P1305" s="387" t="s">
        <v>151</v>
      </c>
      <c r="Q1305" s="387"/>
      <c r="R1305" s="387" t="s">
        <v>6469</v>
      </c>
      <c r="S1305" s="387"/>
      <c r="T1305" s="387" t="s">
        <v>3263</v>
      </c>
      <c r="U1305" s="387" t="s">
        <v>152</v>
      </c>
      <c r="V1305" s="387" t="s">
        <v>23</v>
      </c>
    </row>
    <row r="1306" spans="2:22">
      <c r="B1306" s="389">
        <v>46230</v>
      </c>
      <c r="C1306" s="389">
        <v>46230</v>
      </c>
      <c r="D1306" s="387" t="s">
        <v>6470</v>
      </c>
      <c r="E1306" s="388" t="s">
        <v>6471</v>
      </c>
      <c r="F1306" s="387" t="s">
        <v>87</v>
      </c>
      <c r="G1306" s="387" t="s">
        <v>2486</v>
      </c>
      <c r="H1306" s="393">
        <v>40</v>
      </c>
      <c r="I1306" s="387">
        <v>37</v>
      </c>
      <c r="J1306" s="387">
        <v>37</v>
      </c>
      <c r="K1306" s="387">
        <v>5</v>
      </c>
      <c r="L1306" s="387">
        <v>0</v>
      </c>
      <c r="M1306" s="387" t="s">
        <v>148</v>
      </c>
      <c r="N1306" s="387" t="s">
        <v>149</v>
      </c>
      <c r="O1306" s="387" t="s">
        <v>150</v>
      </c>
      <c r="P1306" s="387" t="s">
        <v>151</v>
      </c>
      <c r="Q1306" s="387"/>
      <c r="R1306" s="387" t="s">
        <v>6471</v>
      </c>
      <c r="S1306" s="387"/>
      <c r="T1306" s="387" t="s">
        <v>3263</v>
      </c>
      <c r="U1306" s="387" t="s">
        <v>152</v>
      </c>
      <c r="V1306" s="387" t="s">
        <v>23</v>
      </c>
    </row>
    <row r="1307" spans="2:22">
      <c r="B1307" s="389">
        <v>46230</v>
      </c>
      <c r="C1307" s="389">
        <v>46230</v>
      </c>
      <c r="D1307" s="387" t="s">
        <v>6472</v>
      </c>
      <c r="E1307" s="388" t="s">
        <v>6473</v>
      </c>
      <c r="F1307" s="387" t="s">
        <v>87</v>
      </c>
      <c r="G1307" s="387" t="s">
        <v>2001</v>
      </c>
      <c r="H1307" s="393">
        <v>6</v>
      </c>
      <c r="I1307" s="387">
        <v>19.8</v>
      </c>
      <c r="J1307" s="387">
        <v>19.8</v>
      </c>
      <c r="K1307" s="387">
        <v>1.5</v>
      </c>
      <c r="L1307" s="387">
        <v>0</v>
      </c>
      <c r="M1307" s="387" t="s">
        <v>148</v>
      </c>
      <c r="N1307" s="387" t="s">
        <v>149</v>
      </c>
      <c r="O1307" s="387" t="s">
        <v>150</v>
      </c>
      <c r="P1307" s="387" t="s">
        <v>151</v>
      </c>
      <c r="Q1307" s="387"/>
      <c r="R1307" s="387" t="s">
        <v>6473</v>
      </c>
      <c r="S1307" s="387"/>
      <c r="T1307" s="387" t="s">
        <v>3263</v>
      </c>
      <c r="U1307" s="387" t="s">
        <v>152</v>
      </c>
      <c r="V1307" s="387" t="s">
        <v>23</v>
      </c>
    </row>
    <row r="1308" spans="2:22">
      <c r="B1308" s="389">
        <v>46230</v>
      </c>
      <c r="C1308" s="389">
        <v>46230</v>
      </c>
      <c r="D1308" s="387" t="s">
        <v>6474</v>
      </c>
      <c r="E1308" s="388" t="s">
        <v>6475</v>
      </c>
      <c r="F1308" s="387" t="s">
        <v>87</v>
      </c>
      <c r="G1308" s="387" t="s">
        <v>3866</v>
      </c>
      <c r="H1308" s="393">
        <v>40</v>
      </c>
      <c r="I1308" s="387">
        <v>25.4</v>
      </c>
      <c r="J1308" s="387">
        <v>25.4</v>
      </c>
      <c r="K1308" s="387">
        <v>5</v>
      </c>
      <c r="L1308" s="387">
        <v>0</v>
      </c>
      <c r="M1308" s="387" t="s">
        <v>148</v>
      </c>
      <c r="N1308" s="387" t="s">
        <v>149</v>
      </c>
      <c r="O1308" s="387" t="s">
        <v>150</v>
      </c>
      <c r="P1308" s="387" t="s">
        <v>151</v>
      </c>
      <c r="Q1308" s="387"/>
      <c r="R1308" s="387" t="s">
        <v>6475</v>
      </c>
      <c r="S1308" s="387"/>
      <c r="T1308" s="387" t="s">
        <v>3263</v>
      </c>
      <c r="U1308" s="387" t="s">
        <v>152</v>
      </c>
      <c r="V1308" s="387" t="s">
        <v>23</v>
      </c>
    </row>
    <row r="1309" spans="2:22">
      <c r="B1309" s="389">
        <v>46230</v>
      </c>
      <c r="C1309" s="389">
        <v>46230</v>
      </c>
      <c r="D1309" s="387" t="s">
        <v>6476</v>
      </c>
      <c r="E1309" s="388" t="s">
        <v>6477</v>
      </c>
      <c r="F1309" s="387" t="s">
        <v>87</v>
      </c>
      <c r="G1309" s="387" t="s">
        <v>2552</v>
      </c>
      <c r="H1309" s="393">
        <v>40</v>
      </c>
      <c r="I1309" s="387">
        <v>36.299999999999997</v>
      </c>
      <c r="J1309" s="387">
        <v>36.299999999999997</v>
      </c>
      <c r="K1309" s="387">
        <v>5</v>
      </c>
      <c r="L1309" s="387">
        <v>0</v>
      </c>
      <c r="M1309" s="387" t="s">
        <v>148</v>
      </c>
      <c r="N1309" s="387" t="s">
        <v>149</v>
      </c>
      <c r="O1309" s="387" t="s">
        <v>150</v>
      </c>
      <c r="P1309" s="387" t="s">
        <v>151</v>
      </c>
      <c r="Q1309" s="387"/>
      <c r="R1309" s="387" t="s">
        <v>6477</v>
      </c>
      <c r="S1309" s="387"/>
      <c r="T1309" s="387" t="s">
        <v>3263</v>
      </c>
      <c r="U1309" s="387" t="s">
        <v>152</v>
      </c>
      <c r="V1309" s="387" t="s">
        <v>23</v>
      </c>
    </row>
    <row r="1310" spans="2:22">
      <c r="B1310" s="389">
        <v>46230</v>
      </c>
      <c r="C1310" s="389">
        <v>46230</v>
      </c>
      <c r="D1310" s="387" t="s">
        <v>6478</v>
      </c>
      <c r="E1310" s="388" t="s">
        <v>6479</v>
      </c>
      <c r="F1310" s="387" t="s">
        <v>87</v>
      </c>
      <c r="G1310" s="387" t="s">
        <v>2001</v>
      </c>
      <c r="H1310" s="393">
        <v>6</v>
      </c>
      <c r="I1310" s="387">
        <v>31.5</v>
      </c>
      <c r="J1310" s="387">
        <v>31.5</v>
      </c>
      <c r="K1310" s="387">
        <v>1.5</v>
      </c>
      <c r="L1310" s="387">
        <v>0</v>
      </c>
      <c r="M1310" s="387" t="s">
        <v>148</v>
      </c>
      <c r="N1310" s="387" t="s">
        <v>149</v>
      </c>
      <c r="O1310" s="387" t="s">
        <v>150</v>
      </c>
      <c r="P1310" s="387" t="s">
        <v>151</v>
      </c>
      <c r="Q1310" s="387"/>
      <c r="R1310" s="387" t="s">
        <v>6479</v>
      </c>
      <c r="S1310" s="387"/>
      <c r="T1310" s="387" t="s">
        <v>3263</v>
      </c>
      <c r="U1310" s="387" t="s">
        <v>152</v>
      </c>
      <c r="V1310" s="387" t="s">
        <v>23</v>
      </c>
    </row>
    <row r="1311" spans="2:22">
      <c r="B1311" s="389">
        <v>46230</v>
      </c>
      <c r="C1311" s="389">
        <v>46230</v>
      </c>
      <c r="D1311" s="387" t="s">
        <v>6480</v>
      </c>
      <c r="E1311" s="388" t="s">
        <v>6481</v>
      </c>
      <c r="F1311" s="387" t="s">
        <v>87</v>
      </c>
      <c r="G1311" s="387" t="s">
        <v>6162</v>
      </c>
      <c r="H1311" s="393">
        <v>50</v>
      </c>
      <c r="I1311" s="387">
        <v>25.8</v>
      </c>
      <c r="J1311" s="387">
        <v>25.8</v>
      </c>
      <c r="K1311" s="387">
        <v>5</v>
      </c>
      <c r="L1311" s="387">
        <v>0</v>
      </c>
      <c r="M1311" s="387" t="s">
        <v>148</v>
      </c>
      <c r="N1311" s="387" t="s">
        <v>149</v>
      </c>
      <c r="O1311" s="387" t="s">
        <v>150</v>
      </c>
      <c r="P1311" s="387" t="s">
        <v>151</v>
      </c>
      <c r="Q1311" s="387"/>
      <c r="R1311" s="387" t="s">
        <v>6481</v>
      </c>
      <c r="S1311" s="387"/>
      <c r="T1311" s="387" t="s">
        <v>3263</v>
      </c>
      <c r="U1311" s="387" t="s">
        <v>152</v>
      </c>
      <c r="V1311" s="387" t="s">
        <v>23</v>
      </c>
    </row>
    <row r="1312" spans="2:22">
      <c r="B1312" s="389">
        <v>46230</v>
      </c>
      <c r="C1312" s="389">
        <v>46230</v>
      </c>
      <c r="D1312" s="387" t="s">
        <v>6482</v>
      </c>
      <c r="E1312" s="388" t="s">
        <v>6483</v>
      </c>
      <c r="F1312" s="387" t="s">
        <v>87</v>
      </c>
      <c r="G1312" s="387" t="s">
        <v>2486</v>
      </c>
      <c r="H1312" s="393">
        <v>40</v>
      </c>
      <c r="I1312" s="387">
        <v>28.4</v>
      </c>
      <c r="J1312" s="387">
        <v>28.4</v>
      </c>
      <c r="K1312" s="387">
        <v>5</v>
      </c>
      <c r="L1312" s="387">
        <v>0</v>
      </c>
      <c r="M1312" s="387" t="s">
        <v>148</v>
      </c>
      <c r="N1312" s="387" t="s">
        <v>149</v>
      </c>
      <c r="O1312" s="387" t="s">
        <v>150</v>
      </c>
      <c r="P1312" s="387" t="s">
        <v>151</v>
      </c>
      <c r="Q1312" s="387"/>
      <c r="R1312" s="387" t="s">
        <v>6483</v>
      </c>
      <c r="S1312" s="387"/>
      <c r="T1312" s="387" t="s">
        <v>3263</v>
      </c>
      <c r="U1312" s="387" t="s">
        <v>152</v>
      </c>
      <c r="V1312" s="387" t="s">
        <v>23</v>
      </c>
    </row>
    <row r="1313" spans="2:22">
      <c r="B1313" s="389">
        <v>46230</v>
      </c>
      <c r="C1313" s="389">
        <v>46230</v>
      </c>
      <c r="D1313" s="387" t="s">
        <v>6484</v>
      </c>
      <c r="E1313" s="388" t="s">
        <v>6485</v>
      </c>
      <c r="F1313" s="387" t="s">
        <v>87</v>
      </c>
      <c r="G1313" s="387" t="s">
        <v>2552</v>
      </c>
      <c r="H1313" s="393">
        <v>40</v>
      </c>
      <c r="I1313" s="387">
        <v>37.5</v>
      </c>
      <c r="J1313" s="387">
        <v>37.5</v>
      </c>
      <c r="K1313" s="387">
        <v>5</v>
      </c>
      <c r="L1313" s="387">
        <v>0</v>
      </c>
      <c r="M1313" s="387" t="s">
        <v>148</v>
      </c>
      <c r="N1313" s="387" t="s">
        <v>149</v>
      </c>
      <c r="O1313" s="387" t="s">
        <v>150</v>
      </c>
      <c r="P1313" s="387" t="s">
        <v>151</v>
      </c>
      <c r="Q1313" s="387"/>
      <c r="R1313" s="387" t="s">
        <v>6485</v>
      </c>
      <c r="S1313" s="387"/>
      <c r="T1313" s="387" t="s">
        <v>3263</v>
      </c>
      <c r="U1313" s="387" t="s">
        <v>152</v>
      </c>
      <c r="V1313" s="387" t="s">
        <v>23</v>
      </c>
    </row>
    <row r="1314" spans="2:22">
      <c r="B1314" s="389">
        <v>46230</v>
      </c>
      <c r="C1314" s="389">
        <v>46230</v>
      </c>
      <c r="D1314" s="387" t="s">
        <v>6486</v>
      </c>
      <c r="E1314" s="388" t="s">
        <v>6487</v>
      </c>
      <c r="F1314" s="387" t="s">
        <v>87</v>
      </c>
      <c r="G1314" s="387" t="s">
        <v>2486</v>
      </c>
      <c r="H1314" s="393">
        <v>40</v>
      </c>
      <c r="I1314" s="387">
        <v>22</v>
      </c>
      <c r="J1314" s="387">
        <v>22</v>
      </c>
      <c r="K1314" s="387">
        <v>5</v>
      </c>
      <c r="L1314" s="387">
        <v>0</v>
      </c>
      <c r="M1314" s="387" t="s">
        <v>148</v>
      </c>
      <c r="N1314" s="387" t="s">
        <v>149</v>
      </c>
      <c r="O1314" s="387" t="s">
        <v>150</v>
      </c>
      <c r="P1314" s="387" t="s">
        <v>151</v>
      </c>
      <c r="Q1314" s="387"/>
      <c r="R1314" s="387" t="s">
        <v>6487</v>
      </c>
      <c r="S1314" s="387"/>
      <c r="T1314" s="387" t="s">
        <v>3263</v>
      </c>
      <c r="U1314" s="387" t="s">
        <v>152</v>
      </c>
      <c r="V1314" s="387" t="s">
        <v>23</v>
      </c>
    </row>
    <row r="1315" spans="2:22">
      <c r="B1315" s="389">
        <v>46230</v>
      </c>
      <c r="C1315" s="389">
        <v>46230</v>
      </c>
      <c r="D1315" s="387" t="s">
        <v>6488</v>
      </c>
      <c r="E1315" s="388" t="s">
        <v>6489</v>
      </c>
      <c r="F1315" s="387" t="s">
        <v>87</v>
      </c>
      <c r="G1315" s="387" t="s">
        <v>2553</v>
      </c>
      <c r="H1315" s="393">
        <v>30</v>
      </c>
      <c r="I1315" s="387">
        <v>39.5</v>
      </c>
      <c r="J1315" s="387">
        <v>39.5</v>
      </c>
      <c r="K1315" s="387">
        <v>4</v>
      </c>
      <c r="L1315" s="387">
        <v>0</v>
      </c>
      <c r="M1315" s="387" t="s">
        <v>148</v>
      </c>
      <c r="N1315" s="387" t="s">
        <v>149</v>
      </c>
      <c r="O1315" s="387" t="s">
        <v>150</v>
      </c>
      <c r="P1315" s="387" t="s">
        <v>151</v>
      </c>
      <c r="Q1315" s="387"/>
      <c r="R1315" s="387" t="s">
        <v>6489</v>
      </c>
      <c r="S1315" s="387"/>
      <c r="T1315" s="387" t="s">
        <v>3263</v>
      </c>
      <c r="U1315" s="387" t="s">
        <v>152</v>
      </c>
      <c r="V1315" s="387" t="s">
        <v>23</v>
      </c>
    </row>
    <row r="1316" spans="2:22">
      <c r="B1316" s="389">
        <v>46230</v>
      </c>
      <c r="C1316" s="389">
        <v>46230</v>
      </c>
      <c r="D1316" s="387" t="s">
        <v>6490</v>
      </c>
      <c r="E1316" s="388" t="s">
        <v>6491</v>
      </c>
      <c r="F1316" s="387" t="s">
        <v>87</v>
      </c>
      <c r="G1316" s="387" t="s">
        <v>2552</v>
      </c>
      <c r="H1316" s="393">
        <v>40</v>
      </c>
      <c r="I1316" s="387">
        <v>39.799999999999997</v>
      </c>
      <c r="J1316" s="387">
        <v>39.799999999999997</v>
      </c>
      <c r="K1316" s="387">
        <v>5</v>
      </c>
      <c r="L1316" s="387">
        <v>0</v>
      </c>
      <c r="M1316" s="387" t="s">
        <v>148</v>
      </c>
      <c r="N1316" s="387" t="s">
        <v>149</v>
      </c>
      <c r="O1316" s="387" t="s">
        <v>150</v>
      </c>
      <c r="P1316" s="387" t="s">
        <v>151</v>
      </c>
      <c r="Q1316" s="387"/>
      <c r="R1316" s="387" t="s">
        <v>6491</v>
      </c>
      <c r="S1316" s="387"/>
      <c r="T1316" s="387" t="s">
        <v>3263</v>
      </c>
      <c r="U1316" s="387" t="s">
        <v>152</v>
      </c>
      <c r="V1316" s="387" t="s">
        <v>23</v>
      </c>
    </row>
    <row r="1317" spans="2:22">
      <c r="B1317" s="389">
        <v>46230</v>
      </c>
      <c r="C1317" s="389">
        <v>46230</v>
      </c>
      <c r="D1317" s="387" t="s">
        <v>6492</v>
      </c>
      <c r="E1317" s="388" t="s">
        <v>6493</v>
      </c>
      <c r="F1317" s="387" t="s">
        <v>87</v>
      </c>
      <c r="G1317" s="387" t="s">
        <v>2001</v>
      </c>
      <c r="H1317" s="393">
        <v>6</v>
      </c>
      <c r="I1317" s="387">
        <v>27.8</v>
      </c>
      <c r="J1317" s="387">
        <v>27.8</v>
      </c>
      <c r="K1317" s="387">
        <v>1.5</v>
      </c>
      <c r="L1317" s="387">
        <v>0</v>
      </c>
      <c r="M1317" s="387" t="s">
        <v>148</v>
      </c>
      <c r="N1317" s="387" t="s">
        <v>149</v>
      </c>
      <c r="O1317" s="387" t="s">
        <v>150</v>
      </c>
      <c r="P1317" s="387" t="s">
        <v>151</v>
      </c>
      <c r="Q1317" s="387"/>
      <c r="R1317" s="387" t="s">
        <v>6493</v>
      </c>
      <c r="S1317" s="387"/>
      <c r="T1317" s="387" t="s">
        <v>3263</v>
      </c>
      <c r="U1317" s="387" t="s">
        <v>152</v>
      </c>
      <c r="V1317" s="387" t="s">
        <v>23</v>
      </c>
    </row>
    <row r="1318" spans="2:22">
      <c r="B1318" s="389">
        <v>46230</v>
      </c>
      <c r="C1318" s="389">
        <v>46230</v>
      </c>
      <c r="D1318" s="387" t="s">
        <v>6494</v>
      </c>
      <c r="E1318" s="388" t="s">
        <v>6495</v>
      </c>
      <c r="F1318" s="387" t="s">
        <v>87</v>
      </c>
      <c r="G1318" s="387" t="s">
        <v>6162</v>
      </c>
      <c r="H1318" s="393">
        <v>50</v>
      </c>
      <c r="I1318" s="387">
        <v>41.3</v>
      </c>
      <c r="J1318" s="387">
        <v>41.3</v>
      </c>
      <c r="K1318" s="387">
        <v>5</v>
      </c>
      <c r="L1318" s="387">
        <v>0</v>
      </c>
      <c r="M1318" s="387" t="s">
        <v>148</v>
      </c>
      <c r="N1318" s="387" t="s">
        <v>149</v>
      </c>
      <c r="O1318" s="387" t="s">
        <v>150</v>
      </c>
      <c r="P1318" s="387" t="s">
        <v>151</v>
      </c>
      <c r="Q1318" s="387"/>
      <c r="R1318" s="387" t="s">
        <v>6495</v>
      </c>
      <c r="S1318" s="387"/>
      <c r="T1318" s="387" t="s">
        <v>3263</v>
      </c>
      <c r="U1318" s="387" t="s">
        <v>152</v>
      </c>
      <c r="V1318" s="387" t="s">
        <v>23</v>
      </c>
    </row>
    <row r="1319" spans="2:22">
      <c r="B1319" s="389">
        <v>46230</v>
      </c>
      <c r="C1319" s="389">
        <v>46230</v>
      </c>
      <c r="D1319" s="387" t="s">
        <v>6496</v>
      </c>
      <c r="E1319" s="388" t="s">
        <v>6497</v>
      </c>
      <c r="F1319" s="387" t="s">
        <v>87</v>
      </c>
      <c r="G1319" s="387" t="s">
        <v>2552</v>
      </c>
      <c r="H1319" s="393">
        <v>40</v>
      </c>
      <c r="I1319" s="387">
        <v>36.799999999999997</v>
      </c>
      <c r="J1319" s="387">
        <v>36.799999999999997</v>
      </c>
      <c r="K1319" s="387">
        <v>5</v>
      </c>
      <c r="L1319" s="387">
        <v>0</v>
      </c>
      <c r="M1319" s="387" t="s">
        <v>148</v>
      </c>
      <c r="N1319" s="387" t="s">
        <v>149</v>
      </c>
      <c r="O1319" s="387" t="s">
        <v>150</v>
      </c>
      <c r="P1319" s="387" t="s">
        <v>151</v>
      </c>
      <c r="Q1319" s="387"/>
      <c r="R1319" s="387" t="s">
        <v>6497</v>
      </c>
      <c r="S1319" s="387"/>
      <c r="T1319" s="387" t="s">
        <v>3263</v>
      </c>
      <c r="U1319" s="387" t="s">
        <v>152</v>
      </c>
      <c r="V1319" s="387" t="s">
        <v>23</v>
      </c>
    </row>
    <row r="1320" spans="2:22">
      <c r="B1320" s="389">
        <v>46230</v>
      </c>
      <c r="C1320" s="389">
        <v>46230</v>
      </c>
      <c r="D1320" s="387" t="s">
        <v>6498</v>
      </c>
      <c r="E1320" s="388" t="s">
        <v>6499</v>
      </c>
      <c r="F1320" s="387" t="s">
        <v>87</v>
      </c>
      <c r="G1320" s="387" t="s">
        <v>2486</v>
      </c>
      <c r="H1320" s="393">
        <v>40</v>
      </c>
      <c r="I1320" s="387">
        <v>32</v>
      </c>
      <c r="J1320" s="387">
        <v>32</v>
      </c>
      <c r="K1320" s="387">
        <v>5</v>
      </c>
      <c r="L1320" s="387">
        <v>0</v>
      </c>
      <c r="M1320" s="387" t="s">
        <v>148</v>
      </c>
      <c r="N1320" s="387" t="s">
        <v>149</v>
      </c>
      <c r="O1320" s="387" t="s">
        <v>150</v>
      </c>
      <c r="P1320" s="387" t="s">
        <v>151</v>
      </c>
      <c r="Q1320" s="387"/>
      <c r="R1320" s="387" t="s">
        <v>6499</v>
      </c>
      <c r="S1320" s="387"/>
      <c r="T1320" s="387" t="s">
        <v>3263</v>
      </c>
      <c r="U1320" s="387" t="s">
        <v>152</v>
      </c>
      <c r="V1320" s="387" t="s">
        <v>23</v>
      </c>
    </row>
    <row r="1321" spans="2:22">
      <c r="B1321" s="389">
        <v>46230</v>
      </c>
      <c r="C1321" s="389">
        <v>46230</v>
      </c>
      <c r="D1321" s="387" t="s">
        <v>6500</v>
      </c>
      <c r="E1321" s="388" t="s">
        <v>6501</v>
      </c>
      <c r="F1321" s="387" t="s">
        <v>87</v>
      </c>
      <c r="G1321" s="387" t="s">
        <v>2552</v>
      </c>
      <c r="H1321" s="393">
        <v>40</v>
      </c>
      <c r="I1321" s="387">
        <v>30.8</v>
      </c>
      <c r="J1321" s="387">
        <v>30.8</v>
      </c>
      <c r="K1321" s="387">
        <v>5</v>
      </c>
      <c r="L1321" s="387">
        <v>0</v>
      </c>
      <c r="M1321" s="387" t="s">
        <v>148</v>
      </c>
      <c r="N1321" s="387" t="s">
        <v>149</v>
      </c>
      <c r="O1321" s="387" t="s">
        <v>150</v>
      </c>
      <c r="P1321" s="387" t="s">
        <v>151</v>
      </c>
      <c r="Q1321" s="387"/>
      <c r="R1321" s="387" t="s">
        <v>6501</v>
      </c>
      <c r="S1321" s="387"/>
      <c r="T1321" s="387" t="s">
        <v>3263</v>
      </c>
      <c r="U1321" s="387" t="s">
        <v>152</v>
      </c>
      <c r="V1321" s="387" t="s">
        <v>23</v>
      </c>
    </row>
    <row r="1322" spans="2:22">
      <c r="B1322" s="389">
        <v>46230</v>
      </c>
      <c r="C1322" s="389">
        <v>46230</v>
      </c>
      <c r="D1322" s="387" t="s">
        <v>6502</v>
      </c>
      <c r="E1322" s="388" t="s">
        <v>6503</v>
      </c>
      <c r="F1322" s="387" t="s">
        <v>87</v>
      </c>
      <c r="G1322" s="387" t="s">
        <v>2553</v>
      </c>
      <c r="H1322" s="393">
        <v>30</v>
      </c>
      <c r="I1322" s="387">
        <v>34.799999999999997</v>
      </c>
      <c r="J1322" s="387">
        <v>34.799999999999997</v>
      </c>
      <c r="K1322" s="387">
        <v>4</v>
      </c>
      <c r="L1322" s="387">
        <v>0</v>
      </c>
      <c r="M1322" s="387" t="s">
        <v>148</v>
      </c>
      <c r="N1322" s="387" t="s">
        <v>149</v>
      </c>
      <c r="O1322" s="387" t="s">
        <v>150</v>
      </c>
      <c r="P1322" s="387" t="s">
        <v>151</v>
      </c>
      <c r="Q1322" s="387"/>
      <c r="R1322" s="387" t="s">
        <v>6503</v>
      </c>
      <c r="S1322" s="387"/>
      <c r="T1322" s="387" t="s">
        <v>3263</v>
      </c>
      <c r="U1322" s="387" t="s">
        <v>152</v>
      </c>
      <c r="V1322" s="387" t="s">
        <v>23</v>
      </c>
    </row>
    <row r="1323" spans="2:22">
      <c r="B1323" s="389">
        <v>46230</v>
      </c>
      <c r="C1323" s="389">
        <v>46230</v>
      </c>
      <c r="D1323" s="387" t="s">
        <v>6504</v>
      </c>
      <c r="E1323" s="388" t="s">
        <v>6505</v>
      </c>
      <c r="F1323" s="387" t="s">
        <v>87</v>
      </c>
      <c r="G1323" s="387" t="s">
        <v>6162</v>
      </c>
      <c r="H1323" s="393">
        <v>50</v>
      </c>
      <c r="I1323" s="387">
        <v>15.4</v>
      </c>
      <c r="J1323" s="387">
        <v>15.4</v>
      </c>
      <c r="K1323" s="387">
        <v>5</v>
      </c>
      <c r="L1323" s="387">
        <v>0</v>
      </c>
      <c r="M1323" s="387" t="s">
        <v>148</v>
      </c>
      <c r="N1323" s="387" t="s">
        <v>149</v>
      </c>
      <c r="O1323" s="387" t="s">
        <v>150</v>
      </c>
      <c r="P1323" s="387" t="s">
        <v>151</v>
      </c>
      <c r="Q1323" s="387"/>
      <c r="R1323" s="387" t="s">
        <v>6505</v>
      </c>
      <c r="S1323" s="387"/>
      <c r="T1323" s="387" t="s">
        <v>3263</v>
      </c>
      <c r="U1323" s="387" t="s">
        <v>152</v>
      </c>
      <c r="V1323" s="387" t="s">
        <v>23</v>
      </c>
    </row>
    <row r="1324" spans="2:22">
      <c r="B1324" s="389">
        <v>46230</v>
      </c>
      <c r="C1324" s="389">
        <v>46230</v>
      </c>
      <c r="D1324" s="387" t="s">
        <v>6506</v>
      </c>
      <c r="E1324" s="388" t="s">
        <v>6507</v>
      </c>
      <c r="F1324" s="387" t="s">
        <v>87</v>
      </c>
      <c r="G1324" s="387" t="s">
        <v>6162</v>
      </c>
      <c r="H1324" s="393">
        <v>50</v>
      </c>
      <c r="I1324" s="387">
        <v>37.799999999999997</v>
      </c>
      <c r="J1324" s="387">
        <v>37.799999999999997</v>
      </c>
      <c r="K1324" s="387">
        <v>5</v>
      </c>
      <c r="L1324" s="387">
        <v>0</v>
      </c>
      <c r="M1324" s="387" t="s">
        <v>148</v>
      </c>
      <c r="N1324" s="387" t="s">
        <v>149</v>
      </c>
      <c r="O1324" s="387" t="s">
        <v>150</v>
      </c>
      <c r="P1324" s="387" t="s">
        <v>151</v>
      </c>
      <c r="Q1324" s="387"/>
      <c r="R1324" s="387" t="s">
        <v>6507</v>
      </c>
      <c r="S1324" s="387"/>
      <c r="T1324" s="387" t="s">
        <v>3263</v>
      </c>
      <c r="U1324" s="387" t="s">
        <v>152</v>
      </c>
      <c r="V1324" s="387" t="s">
        <v>23</v>
      </c>
    </row>
    <row r="1325" spans="2:22">
      <c r="B1325" s="389">
        <v>46230</v>
      </c>
      <c r="C1325" s="389">
        <v>46230</v>
      </c>
      <c r="D1325" s="387" t="s">
        <v>6508</v>
      </c>
      <c r="E1325" s="388" t="s">
        <v>6509</v>
      </c>
      <c r="F1325" s="387" t="s">
        <v>87</v>
      </c>
      <c r="G1325" s="387" t="s">
        <v>2119</v>
      </c>
      <c r="H1325" s="393">
        <v>6</v>
      </c>
      <c r="I1325" s="387">
        <v>26</v>
      </c>
      <c r="J1325" s="387">
        <v>26</v>
      </c>
      <c r="K1325" s="387">
        <v>1.5</v>
      </c>
      <c r="L1325" s="387">
        <v>0</v>
      </c>
      <c r="M1325" s="387" t="s">
        <v>148</v>
      </c>
      <c r="N1325" s="387" t="s">
        <v>149</v>
      </c>
      <c r="O1325" s="387" t="s">
        <v>150</v>
      </c>
      <c r="P1325" s="387" t="s">
        <v>151</v>
      </c>
      <c r="Q1325" s="387"/>
      <c r="R1325" s="387" t="s">
        <v>6509</v>
      </c>
      <c r="S1325" s="387"/>
      <c r="T1325" s="387" t="s">
        <v>3263</v>
      </c>
      <c r="U1325" s="387" t="s">
        <v>152</v>
      </c>
      <c r="V1325" s="387" t="s">
        <v>23</v>
      </c>
    </row>
    <row r="1326" spans="2:22">
      <c r="B1326" s="389">
        <v>46230</v>
      </c>
      <c r="C1326" s="389">
        <v>46230</v>
      </c>
      <c r="D1326" s="387" t="s">
        <v>6510</v>
      </c>
      <c r="E1326" s="388" t="s">
        <v>6511</v>
      </c>
      <c r="F1326" s="387" t="s">
        <v>87</v>
      </c>
      <c r="G1326" s="387" t="s">
        <v>2553</v>
      </c>
      <c r="H1326" s="393">
        <v>30</v>
      </c>
      <c r="I1326" s="387">
        <v>34.299999999999997</v>
      </c>
      <c r="J1326" s="387">
        <v>34.299999999999997</v>
      </c>
      <c r="K1326" s="387">
        <v>4</v>
      </c>
      <c r="L1326" s="387">
        <v>0</v>
      </c>
      <c r="M1326" s="387" t="s">
        <v>148</v>
      </c>
      <c r="N1326" s="387" t="s">
        <v>149</v>
      </c>
      <c r="O1326" s="387" t="s">
        <v>150</v>
      </c>
      <c r="P1326" s="387" t="s">
        <v>151</v>
      </c>
      <c r="Q1326" s="387"/>
      <c r="R1326" s="387" t="s">
        <v>6511</v>
      </c>
      <c r="S1326" s="387"/>
      <c r="T1326" s="387" t="s">
        <v>3263</v>
      </c>
      <c r="U1326" s="387" t="s">
        <v>152</v>
      </c>
      <c r="V1326" s="387" t="s">
        <v>23</v>
      </c>
    </row>
    <row r="1327" spans="2:22">
      <c r="B1327" s="389">
        <v>46230</v>
      </c>
      <c r="C1327" s="389">
        <v>46230</v>
      </c>
      <c r="D1327" s="387" t="s">
        <v>6512</v>
      </c>
      <c r="E1327" s="388" t="s">
        <v>6513</v>
      </c>
      <c r="F1327" s="387" t="s">
        <v>87</v>
      </c>
      <c r="G1327" s="387" t="s">
        <v>6162</v>
      </c>
      <c r="H1327" s="393">
        <v>50</v>
      </c>
      <c r="I1327" s="387">
        <v>42.8</v>
      </c>
      <c r="J1327" s="387">
        <v>42.8</v>
      </c>
      <c r="K1327" s="387">
        <v>5</v>
      </c>
      <c r="L1327" s="387">
        <v>0</v>
      </c>
      <c r="M1327" s="387" t="s">
        <v>148</v>
      </c>
      <c r="N1327" s="387" t="s">
        <v>149</v>
      </c>
      <c r="O1327" s="387" t="s">
        <v>150</v>
      </c>
      <c r="P1327" s="387" t="s">
        <v>151</v>
      </c>
      <c r="Q1327" s="387"/>
      <c r="R1327" s="387" t="s">
        <v>6513</v>
      </c>
      <c r="S1327" s="387"/>
      <c r="T1327" s="387" t="s">
        <v>3263</v>
      </c>
      <c r="U1327" s="387" t="s">
        <v>152</v>
      </c>
      <c r="V1327" s="387" t="s">
        <v>23</v>
      </c>
    </row>
    <row r="1328" spans="2:22">
      <c r="B1328" s="389">
        <v>46230</v>
      </c>
      <c r="C1328" s="389">
        <v>46230</v>
      </c>
      <c r="D1328" s="387" t="s">
        <v>6514</v>
      </c>
      <c r="E1328" s="388" t="s">
        <v>6515</v>
      </c>
      <c r="F1328" s="387" t="s">
        <v>87</v>
      </c>
      <c r="G1328" s="387" t="s">
        <v>2486</v>
      </c>
      <c r="H1328" s="393">
        <v>40</v>
      </c>
      <c r="I1328" s="387">
        <v>27.8</v>
      </c>
      <c r="J1328" s="387">
        <v>27.8</v>
      </c>
      <c r="K1328" s="387">
        <v>5</v>
      </c>
      <c r="L1328" s="387">
        <v>0</v>
      </c>
      <c r="M1328" s="387" t="s">
        <v>148</v>
      </c>
      <c r="N1328" s="387" t="s">
        <v>149</v>
      </c>
      <c r="O1328" s="387" t="s">
        <v>150</v>
      </c>
      <c r="P1328" s="387" t="s">
        <v>151</v>
      </c>
      <c r="Q1328" s="387"/>
      <c r="R1328" s="387" t="s">
        <v>6515</v>
      </c>
      <c r="S1328" s="387"/>
      <c r="T1328" s="387" t="s">
        <v>3263</v>
      </c>
      <c r="U1328" s="387" t="s">
        <v>152</v>
      </c>
      <c r="V1328" s="387" t="s">
        <v>23</v>
      </c>
    </row>
    <row r="1329" spans="2:22">
      <c r="B1329" s="389">
        <v>46230</v>
      </c>
      <c r="C1329" s="389">
        <v>46230</v>
      </c>
      <c r="D1329" s="387" t="s">
        <v>6516</v>
      </c>
      <c r="E1329" s="388" t="s">
        <v>6517</v>
      </c>
      <c r="F1329" s="387" t="s">
        <v>87</v>
      </c>
      <c r="G1329" s="387" t="s">
        <v>6162</v>
      </c>
      <c r="H1329" s="393">
        <v>50</v>
      </c>
      <c r="I1329" s="387">
        <v>36.799999999999997</v>
      </c>
      <c r="J1329" s="387">
        <v>36.799999999999997</v>
      </c>
      <c r="K1329" s="387">
        <v>5</v>
      </c>
      <c r="L1329" s="387">
        <v>0</v>
      </c>
      <c r="M1329" s="387" t="s">
        <v>148</v>
      </c>
      <c r="N1329" s="387" t="s">
        <v>149</v>
      </c>
      <c r="O1329" s="387" t="s">
        <v>150</v>
      </c>
      <c r="P1329" s="387" t="s">
        <v>151</v>
      </c>
      <c r="Q1329" s="387"/>
      <c r="R1329" s="387" t="s">
        <v>6517</v>
      </c>
      <c r="S1329" s="387"/>
      <c r="T1329" s="387" t="s">
        <v>3263</v>
      </c>
      <c r="U1329" s="387" t="s">
        <v>152</v>
      </c>
      <c r="V1329" s="387" t="s">
        <v>23</v>
      </c>
    </row>
    <row r="1330" spans="2:22">
      <c r="B1330" s="389">
        <v>46230</v>
      </c>
      <c r="C1330" s="389">
        <v>46230</v>
      </c>
      <c r="D1330" s="387" t="s">
        <v>6518</v>
      </c>
      <c r="E1330" s="388" t="s">
        <v>6519</v>
      </c>
      <c r="F1330" s="387" t="s">
        <v>87</v>
      </c>
      <c r="G1330" s="387" t="s">
        <v>2486</v>
      </c>
      <c r="H1330" s="393">
        <v>40</v>
      </c>
      <c r="I1330" s="387">
        <v>22.8</v>
      </c>
      <c r="J1330" s="387">
        <v>22.8</v>
      </c>
      <c r="K1330" s="387">
        <v>5</v>
      </c>
      <c r="L1330" s="387">
        <v>0</v>
      </c>
      <c r="M1330" s="387" t="s">
        <v>148</v>
      </c>
      <c r="N1330" s="387" t="s">
        <v>149</v>
      </c>
      <c r="O1330" s="387" t="s">
        <v>150</v>
      </c>
      <c r="P1330" s="387" t="s">
        <v>151</v>
      </c>
      <c r="Q1330" s="387"/>
      <c r="R1330" s="387" t="s">
        <v>6519</v>
      </c>
      <c r="S1330" s="387"/>
      <c r="T1330" s="387" t="s">
        <v>3263</v>
      </c>
      <c r="U1330" s="387" t="s">
        <v>152</v>
      </c>
      <c r="V1330" s="387" t="s">
        <v>23</v>
      </c>
    </row>
    <row r="1331" spans="2:22">
      <c r="B1331" s="389">
        <v>46230</v>
      </c>
      <c r="C1331" s="389">
        <v>46230</v>
      </c>
      <c r="D1331" s="387" t="s">
        <v>6520</v>
      </c>
      <c r="E1331" s="388" t="s">
        <v>6521</v>
      </c>
      <c r="F1331" s="387" t="s">
        <v>87</v>
      </c>
      <c r="G1331" s="387" t="s">
        <v>2486</v>
      </c>
      <c r="H1331" s="393">
        <v>40</v>
      </c>
      <c r="I1331" s="387">
        <v>31.5</v>
      </c>
      <c r="J1331" s="387">
        <v>31.5</v>
      </c>
      <c r="K1331" s="387">
        <v>5</v>
      </c>
      <c r="L1331" s="387">
        <v>0</v>
      </c>
      <c r="M1331" s="387" t="s">
        <v>148</v>
      </c>
      <c r="N1331" s="387" t="s">
        <v>149</v>
      </c>
      <c r="O1331" s="387" t="s">
        <v>150</v>
      </c>
      <c r="P1331" s="387" t="s">
        <v>151</v>
      </c>
      <c r="Q1331" s="387"/>
      <c r="R1331" s="387" t="s">
        <v>6521</v>
      </c>
      <c r="S1331" s="387"/>
      <c r="T1331" s="387" t="s">
        <v>3263</v>
      </c>
      <c r="U1331" s="387" t="s">
        <v>152</v>
      </c>
      <c r="V1331" s="387" t="s">
        <v>23</v>
      </c>
    </row>
    <row r="1332" spans="2:22">
      <c r="B1332" s="389">
        <v>46230</v>
      </c>
      <c r="C1332" s="389">
        <v>46230</v>
      </c>
      <c r="D1332" s="387" t="s">
        <v>6522</v>
      </c>
      <c r="E1332" s="388" t="s">
        <v>6523</v>
      </c>
      <c r="F1332" s="387" t="s">
        <v>87</v>
      </c>
      <c r="G1332" s="387" t="s">
        <v>2486</v>
      </c>
      <c r="H1332" s="393">
        <v>40</v>
      </c>
      <c r="I1332" s="387">
        <v>40.299999999999997</v>
      </c>
      <c r="J1332" s="387">
        <v>40.299999999999997</v>
      </c>
      <c r="K1332" s="387">
        <v>5</v>
      </c>
      <c r="L1332" s="387">
        <v>0</v>
      </c>
      <c r="M1332" s="387" t="s">
        <v>148</v>
      </c>
      <c r="N1332" s="387" t="s">
        <v>149</v>
      </c>
      <c r="O1332" s="387" t="s">
        <v>150</v>
      </c>
      <c r="P1332" s="387" t="s">
        <v>151</v>
      </c>
      <c r="Q1332" s="387"/>
      <c r="R1332" s="387" t="s">
        <v>6523</v>
      </c>
      <c r="S1332" s="387"/>
      <c r="T1332" s="387" t="s">
        <v>3263</v>
      </c>
      <c r="U1332" s="387" t="s">
        <v>152</v>
      </c>
      <c r="V1332" s="387" t="s">
        <v>23</v>
      </c>
    </row>
    <row r="1333" spans="2:22">
      <c r="B1333" s="389">
        <v>46230</v>
      </c>
      <c r="C1333" s="389">
        <v>46230</v>
      </c>
      <c r="D1333" s="387" t="s">
        <v>6524</v>
      </c>
      <c r="E1333" s="388" t="s">
        <v>6525</v>
      </c>
      <c r="F1333" s="387" t="s">
        <v>87</v>
      </c>
      <c r="G1333" s="387" t="s">
        <v>3866</v>
      </c>
      <c r="H1333" s="393">
        <v>40</v>
      </c>
      <c r="I1333" s="387">
        <v>28.3</v>
      </c>
      <c r="J1333" s="387">
        <v>28.3</v>
      </c>
      <c r="K1333" s="387">
        <v>5</v>
      </c>
      <c r="L1333" s="387">
        <v>0</v>
      </c>
      <c r="M1333" s="387" t="s">
        <v>148</v>
      </c>
      <c r="N1333" s="387" t="s">
        <v>149</v>
      </c>
      <c r="O1333" s="387" t="s">
        <v>150</v>
      </c>
      <c r="P1333" s="387" t="s">
        <v>151</v>
      </c>
      <c r="Q1333" s="387"/>
      <c r="R1333" s="387" t="s">
        <v>6525</v>
      </c>
      <c r="S1333" s="387"/>
      <c r="T1333" s="387" t="s">
        <v>3263</v>
      </c>
      <c r="U1333" s="387" t="s">
        <v>152</v>
      </c>
      <c r="V1333" s="387" t="s">
        <v>23</v>
      </c>
    </row>
    <row r="1334" spans="2:22">
      <c r="B1334" s="389">
        <v>46230</v>
      </c>
      <c r="C1334" s="389">
        <v>46230</v>
      </c>
      <c r="D1334" s="387" t="s">
        <v>6526</v>
      </c>
      <c r="E1334" s="388" t="s">
        <v>6527</v>
      </c>
      <c r="F1334" s="387" t="s">
        <v>87</v>
      </c>
      <c r="G1334" s="387" t="s">
        <v>2553</v>
      </c>
      <c r="H1334" s="393">
        <v>30</v>
      </c>
      <c r="I1334" s="387">
        <v>40.799999999999997</v>
      </c>
      <c r="J1334" s="387">
        <v>40.799999999999997</v>
      </c>
      <c r="K1334" s="387">
        <v>4</v>
      </c>
      <c r="L1334" s="387">
        <v>0</v>
      </c>
      <c r="M1334" s="387" t="s">
        <v>148</v>
      </c>
      <c r="N1334" s="387" t="s">
        <v>149</v>
      </c>
      <c r="O1334" s="387" t="s">
        <v>150</v>
      </c>
      <c r="P1334" s="387" t="s">
        <v>151</v>
      </c>
      <c r="Q1334" s="387"/>
      <c r="R1334" s="387" t="s">
        <v>6527</v>
      </c>
      <c r="S1334" s="387"/>
      <c r="T1334" s="387" t="s">
        <v>3263</v>
      </c>
      <c r="U1334" s="387" t="s">
        <v>152</v>
      </c>
      <c r="V1334" s="387" t="s">
        <v>23</v>
      </c>
    </row>
    <row r="1335" spans="2:22">
      <c r="B1335" s="389">
        <v>46230</v>
      </c>
      <c r="C1335" s="389">
        <v>46230</v>
      </c>
      <c r="D1335" s="387" t="s">
        <v>6528</v>
      </c>
      <c r="E1335" s="388" t="s">
        <v>6529</v>
      </c>
      <c r="F1335" s="387" t="s">
        <v>87</v>
      </c>
      <c r="G1335" s="387" t="s">
        <v>2486</v>
      </c>
      <c r="H1335" s="393">
        <v>40</v>
      </c>
      <c r="I1335" s="387">
        <v>42.8</v>
      </c>
      <c r="J1335" s="387">
        <v>42.8</v>
      </c>
      <c r="K1335" s="387">
        <v>5</v>
      </c>
      <c r="L1335" s="387">
        <v>0</v>
      </c>
      <c r="M1335" s="387" t="s">
        <v>148</v>
      </c>
      <c r="N1335" s="387" t="s">
        <v>149</v>
      </c>
      <c r="O1335" s="387" t="s">
        <v>150</v>
      </c>
      <c r="P1335" s="387" t="s">
        <v>151</v>
      </c>
      <c r="Q1335" s="387"/>
      <c r="R1335" s="387" t="s">
        <v>6529</v>
      </c>
      <c r="S1335" s="387"/>
      <c r="T1335" s="387" t="s">
        <v>3263</v>
      </c>
      <c r="U1335" s="387" t="s">
        <v>152</v>
      </c>
      <c r="V1335" s="387" t="s">
        <v>23</v>
      </c>
    </row>
    <row r="1336" spans="2:22">
      <c r="B1336" s="389">
        <v>46230</v>
      </c>
      <c r="C1336" s="389">
        <v>46230</v>
      </c>
      <c r="D1336" s="387" t="s">
        <v>6530</v>
      </c>
      <c r="E1336" s="388" t="s">
        <v>6531</v>
      </c>
      <c r="F1336" s="387" t="s">
        <v>87</v>
      </c>
      <c r="G1336" s="387" t="s">
        <v>2552</v>
      </c>
      <c r="H1336" s="393">
        <v>40</v>
      </c>
      <c r="I1336" s="387">
        <v>36.4</v>
      </c>
      <c r="J1336" s="387">
        <v>36.4</v>
      </c>
      <c r="K1336" s="387">
        <v>5</v>
      </c>
      <c r="L1336" s="387">
        <v>0</v>
      </c>
      <c r="M1336" s="387" t="s">
        <v>148</v>
      </c>
      <c r="N1336" s="387" t="s">
        <v>149</v>
      </c>
      <c r="O1336" s="387" t="s">
        <v>150</v>
      </c>
      <c r="P1336" s="387" t="s">
        <v>151</v>
      </c>
      <c r="Q1336" s="387"/>
      <c r="R1336" s="387" t="s">
        <v>6531</v>
      </c>
      <c r="S1336" s="387"/>
      <c r="T1336" s="387" t="s">
        <v>3263</v>
      </c>
      <c r="U1336" s="387" t="s">
        <v>152</v>
      </c>
      <c r="V1336" s="387" t="s">
        <v>23</v>
      </c>
    </row>
    <row r="1337" spans="2:22">
      <c r="B1337" s="389">
        <v>46230</v>
      </c>
      <c r="C1337" s="389">
        <v>46230</v>
      </c>
      <c r="D1337" s="387" t="s">
        <v>6532</v>
      </c>
      <c r="E1337" s="388" t="s">
        <v>6533</v>
      </c>
      <c r="F1337" s="387" t="s">
        <v>87</v>
      </c>
      <c r="G1337" s="387" t="s">
        <v>2553</v>
      </c>
      <c r="H1337" s="393">
        <v>30</v>
      </c>
      <c r="I1337" s="387">
        <v>34.799999999999997</v>
      </c>
      <c r="J1337" s="387">
        <v>34.799999999999997</v>
      </c>
      <c r="K1337" s="387">
        <v>4</v>
      </c>
      <c r="L1337" s="387">
        <v>0</v>
      </c>
      <c r="M1337" s="387" t="s">
        <v>148</v>
      </c>
      <c r="N1337" s="387" t="s">
        <v>149</v>
      </c>
      <c r="O1337" s="387" t="s">
        <v>150</v>
      </c>
      <c r="P1337" s="387" t="s">
        <v>151</v>
      </c>
      <c r="Q1337" s="387"/>
      <c r="R1337" s="387" t="s">
        <v>6533</v>
      </c>
      <c r="S1337" s="387"/>
      <c r="T1337" s="387" t="s">
        <v>3263</v>
      </c>
      <c r="U1337" s="387" t="s">
        <v>152</v>
      </c>
      <c r="V1337" s="387" t="s">
        <v>23</v>
      </c>
    </row>
    <row r="1338" spans="2:22">
      <c r="B1338" s="389">
        <v>46230</v>
      </c>
      <c r="C1338" s="389">
        <v>46230</v>
      </c>
      <c r="D1338" s="387" t="s">
        <v>6534</v>
      </c>
      <c r="E1338" s="388" t="s">
        <v>6535</v>
      </c>
      <c r="F1338" s="387" t="s">
        <v>87</v>
      </c>
      <c r="G1338" s="387" t="s">
        <v>6162</v>
      </c>
      <c r="H1338" s="393">
        <v>50</v>
      </c>
      <c r="I1338" s="387">
        <v>31</v>
      </c>
      <c r="J1338" s="387">
        <v>31</v>
      </c>
      <c r="K1338" s="387">
        <v>5</v>
      </c>
      <c r="L1338" s="387">
        <v>0</v>
      </c>
      <c r="M1338" s="387" t="s">
        <v>148</v>
      </c>
      <c r="N1338" s="387" t="s">
        <v>149</v>
      </c>
      <c r="O1338" s="387" t="s">
        <v>150</v>
      </c>
      <c r="P1338" s="387" t="s">
        <v>151</v>
      </c>
      <c r="Q1338" s="387"/>
      <c r="R1338" s="387" t="s">
        <v>6535</v>
      </c>
      <c r="S1338" s="387"/>
      <c r="T1338" s="387" t="s">
        <v>3263</v>
      </c>
      <c r="U1338" s="387" t="s">
        <v>152</v>
      </c>
      <c r="V1338" s="387" t="s">
        <v>23</v>
      </c>
    </row>
    <row r="1339" spans="2:22">
      <c r="B1339" s="389">
        <v>46230</v>
      </c>
      <c r="C1339" s="389">
        <v>46230</v>
      </c>
      <c r="D1339" s="387" t="s">
        <v>6536</v>
      </c>
      <c r="E1339" s="388" t="s">
        <v>6537</v>
      </c>
      <c r="F1339" s="387" t="s">
        <v>87</v>
      </c>
      <c r="G1339" s="387" t="s">
        <v>2553</v>
      </c>
      <c r="H1339" s="393">
        <v>30</v>
      </c>
      <c r="I1339" s="387">
        <v>41.3</v>
      </c>
      <c r="J1339" s="387">
        <v>41.3</v>
      </c>
      <c r="K1339" s="387">
        <v>4</v>
      </c>
      <c r="L1339" s="387">
        <v>0</v>
      </c>
      <c r="M1339" s="387" t="s">
        <v>148</v>
      </c>
      <c r="N1339" s="387" t="s">
        <v>149</v>
      </c>
      <c r="O1339" s="387" t="s">
        <v>150</v>
      </c>
      <c r="P1339" s="387" t="s">
        <v>151</v>
      </c>
      <c r="Q1339" s="387"/>
      <c r="R1339" s="387" t="s">
        <v>6537</v>
      </c>
      <c r="S1339" s="387"/>
      <c r="T1339" s="387" t="s">
        <v>3263</v>
      </c>
      <c r="U1339" s="387" t="s">
        <v>152</v>
      </c>
      <c r="V1339" s="387" t="s">
        <v>23</v>
      </c>
    </row>
    <row r="1340" spans="2:22">
      <c r="B1340" s="389">
        <v>46230</v>
      </c>
      <c r="C1340" s="389">
        <v>46230</v>
      </c>
      <c r="D1340" s="387" t="s">
        <v>6538</v>
      </c>
      <c r="E1340" s="388" t="s">
        <v>6539</v>
      </c>
      <c r="F1340" s="387" t="s">
        <v>87</v>
      </c>
      <c r="G1340" s="387" t="s">
        <v>2552</v>
      </c>
      <c r="H1340" s="393">
        <v>40</v>
      </c>
      <c r="I1340" s="387">
        <v>32.299999999999997</v>
      </c>
      <c r="J1340" s="387">
        <v>32.299999999999997</v>
      </c>
      <c r="K1340" s="387">
        <v>5</v>
      </c>
      <c r="L1340" s="387">
        <v>0</v>
      </c>
      <c r="M1340" s="387" t="s">
        <v>148</v>
      </c>
      <c r="N1340" s="387" t="s">
        <v>149</v>
      </c>
      <c r="O1340" s="387" t="s">
        <v>150</v>
      </c>
      <c r="P1340" s="387" t="s">
        <v>151</v>
      </c>
      <c r="Q1340" s="387"/>
      <c r="R1340" s="387" t="s">
        <v>6539</v>
      </c>
      <c r="S1340" s="387"/>
      <c r="T1340" s="387" t="s">
        <v>3263</v>
      </c>
      <c r="U1340" s="387" t="s">
        <v>152</v>
      </c>
      <c r="V1340" s="387" t="s">
        <v>23</v>
      </c>
    </row>
    <row r="1341" spans="2:22">
      <c r="B1341" s="389">
        <v>46230</v>
      </c>
      <c r="C1341" s="389">
        <v>46230</v>
      </c>
      <c r="D1341" s="387" t="s">
        <v>6540</v>
      </c>
      <c r="E1341" s="388" t="s">
        <v>6541</v>
      </c>
      <c r="F1341" s="387" t="s">
        <v>87</v>
      </c>
      <c r="G1341" s="387" t="s">
        <v>2552</v>
      </c>
      <c r="H1341" s="393">
        <v>40</v>
      </c>
      <c r="I1341" s="387">
        <v>25.4</v>
      </c>
      <c r="J1341" s="387">
        <v>25.4</v>
      </c>
      <c r="K1341" s="387">
        <v>5</v>
      </c>
      <c r="L1341" s="387">
        <v>0</v>
      </c>
      <c r="M1341" s="387" t="s">
        <v>148</v>
      </c>
      <c r="N1341" s="387" t="s">
        <v>149</v>
      </c>
      <c r="O1341" s="387" t="s">
        <v>150</v>
      </c>
      <c r="P1341" s="387" t="s">
        <v>151</v>
      </c>
      <c r="Q1341" s="387"/>
      <c r="R1341" s="387" t="s">
        <v>6541</v>
      </c>
      <c r="S1341" s="387"/>
      <c r="T1341" s="387" t="s">
        <v>3263</v>
      </c>
      <c r="U1341" s="387" t="s">
        <v>152</v>
      </c>
      <c r="V1341" s="387" t="s">
        <v>23</v>
      </c>
    </row>
    <row r="1342" spans="2:22">
      <c r="B1342" s="389">
        <v>46230</v>
      </c>
      <c r="C1342" s="389">
        <v>46230</v>
      </c>
      <c r="D1342" s="387" t="s">
        <v>6542</v>
      </c>
      <c r="E1342" s="388" t="s">
        <v>6543</v>
      </c>
      <c r="F1342" s="387" t="s">
        <v>87</v>
      </c>
      <c r="G1342" s="387" t="s">
        <v>3866</v>
      </c>
      <c r="H1342" s="393">
        <v>40</v>
      </c>
      <c r="I1342" s="387">
        <v>39.4</v>
      </c>
      <c r="J1342" s="387">
        <v>39.4</v>
      </c>
      <c r="K1342" s="387">
        <v>5</v>
      </c>
      <c r="L1342" s="387">
        <v>0</v>
      </c>
      <c r="M1342" s="387" t="s">
        <v>148</v>
      </c>
      <c r="N1342" s="387" t="s">
        <v>149</v>
      </c>
      <c r="O1342" s="387" t="s">
        <v>150</v>
      </c>
      <c r="P1342" s="387" t="s">
        <v>151</v>
      </c>
      <c r="Q1342" s="387"/>
      <c r="R1342" s="387" t="s">
        <v>6543</v>
      </c>
      <c r="S1342" s="387"/>
      <c r="T1342" s="387" t="s">
        <v>3263</v>
      </c>
      <c r="U1342" s="387" t="s">
        <v>152</v>
      </c>
      <c r="V1342" s="387" t="s">
        <v>23</v>
      </c>
    </row>
    <row r="1343" spans="2:22">
      <c r="B1343" s="389">
        <v>46230</v>
      </c>
      <c r="C1343" s="389">
        <v>46230</v>
      </c>
      <c r="D1343" s="387" t="s">
        <v>6544</v>
      </c>
      <c r="E1343" s="388" t="s">
        <v>6545</v>
      </c>
      <c r="F1343" s="387" t="s">
        <v>87</v>
      </c>
      <c r="G1343" s="387" t="s">
        <v>2552</v>
      </c>
      <c r="H1343" s="393">
        <v>40</v>
      </c>
      <c r="I1343" s="387">
        <v>34.799999999999997</v>
      </c>
      <c r="J1343" s="387">
        <v>34.799999999999997</v>
      </c>
      <c r="K1343" s="387">
        <v>5</v>
      </c>
      <c r="L1343" s="387">
        <v>0</v>
      </c>
      <c r="M1343" s="387" t="s">
        <v>148</v>
      </c>
      <c r="N1343" s="387" t="s">
        <v>149</v>
      </c>
      <c r="O1343" s="387" t="s">
        <v>150</v>
      </c>
      <c r="P1343" s="387" t="s">
        <v>151</v>
      </c>
      <c r="Q1343" s="387"/>
      <c r="R1343" s="387" t="s">
        <v>6545</v>
      </c>
      <c r="S1343" s="387"/>
      <c r="T1343" s="387" t="s">
        <v>3263</v>
      </c>
      <c r="U1343" s="387" t="s">
        <v>152</v>
      </c>
      <c r="V1343" s="387" t="s">
        <v>23</v>
      </c>
    </row>
    <row r="1344" spans="2:22">
      <c r="B1344" s="389">
        <v>46230</v>
      </c>
      <c r="C1344" s="389">
        <v>46230</v>
      </c>
      <c r="D1344" s="387" t="s">
        <v>6546</v>
      </c>
      <c r="E1344" s="388" t="s">
        <v>6547</v>
      </c>
      <c r="F1344" s="387" t="s">
        <v>87</v>
      </c>
      <c r="G1344" s="387" t="s">
        <v>2552</v>
      </c>
      <c r="H1344" s="393">
        <v>40</v>
      </c>
      <c r="I1344" s="387">
        <v>28.3</v>
      </c>
      <c r="J1344" s="387">
        <v>28.3</v>
      </c>
      <c r="K1344" s="387">
        <v>5</v>
      </c>
      <c r="L1344" s="387">
        <v>0</v>
      </c>
      <c r="M1344" s="387" t="s">
        <v>148</v>
      </c>
      <c r="N1344" s="387" t="s">
        <v>149</v>
      </c>
      <c r="O1344" s="387" t="s">
        <v>150</v>
      </c>
      <c r="P1344" s="387" t="s">
        <v>151</v>
      </c>
      <c r="Q1344" s="387"/>
      <c r="R1344" s="387" t="s">
        <v>6547</v>
      </c>
      <c r="S1344" s="387"/>
      <c r="T1344" s="387" t="s">
        <v>3263</v>
      </c>
      <c r="U1344" s="387" t="s">
        <v>152</v>
      </c>
      <c r="V1344" s="387" t="s">
        <v>23</v>
      </c>
    </row>
    <row r="1345" spans="2:22">
      <c r="B1345" s="389">
        <v>46230</v>
      </c>
      <c r="C1345" s="389">
        <v>46230</v>
      </c>
      <c r="D1345" s="387" t="s">
        <v>6548</v>
      </c>
      <c r="E1345" s="388" t="s">
        <v>6549</v>
      </c>
      <c r="F1345" s="387" t="s">
        <v>87</v>
      </c>
      <c r="G1345" s="387" t="s">
        <v>2486</v>
      </c>
      <c r="H1345" s="393">
        <v>40</v>
      </c>
      <c r="I1345" s="387">
        <v>39.4</v>
      </c>
      <c r="J1345" s="387">
        <v>39.4</v>
      </c>
      <c r="K1345" s="387">
        <v>5</v>
      </c>
      <c r="L1345" s="387">
        <v>0</v>
      </c>
      <c r="M1345" s="387" t="s">
        <v>148</v>
      </c>
      <c r="N1345" s="387" t="s">
        <v>149</v>
      </c>
      <c r="O1345" s="387" t="s">
        <v>150</v>
      </c>
      <c r="P1345" s="387" t="s">
        <v>151</v>
      </c>
      <c r="Q1345" s="387"/>
      <c r="R1345" s="387" t="s">
        <v>6549</v>
      </c>
      <c r="S1345" s="387"/>
      <c r="T1345" s="387" t="s">
        <v>3263</v>
      </c>
      <c r="U1345" s="387" t="s">
        <v>152</v>
      </c>
      <c r="V1345" s="387" t="s">
        <v>23</v>
      </c>
    </row>
    <row r="1346" spans="2:22">
      <c r="B1346" s="389">
        <v>46230</v>
      </c>
      <c r="C1346" s="389">
        <v>46230</v>
      </c>
      <c r="D1346" s="387" t="s">
        <v>6550</v>
      </c>
      <c r="E1346" s="388" t="s">
        <v>6551</v>
      </c>
      <c r="F1346" s="387" t="s">
        <v>87</v>
      </c>
      <c r="G1346" s="387" t="s">
        <v>2552</v>
      </c>
      <c r="H1346" s="393">
        <v>40</v>
      </c>
      <c r="I1346" s="387">
        <v>36.299999999999997</v>
      </c>
      <c r="J1346" s="387">
        <v>36.299999999999997</v>
      </c>
      <c r="K1346" s="387">
        <v>5</v>
      </c>
      <c r="L1346" s="387">
        <v>0</v>
      </c>
      <c r="M1346" s="387" t="s">
        <v>148</v>
      </c>
      <c r="N1346" s="387" t="s">
        <v>149</v>
      </c>
      <c r="O1346" s="387" t="s">
        <v>150</v>
      </c>
      <c r="P1346" s="387" t="s">
        <v>151</v>
      </c>
      <c r="Q1346" s="387"/>
      <c r="R1346" s="387" t="s">
        <v>6551</v>
      </c>
      <c r="S1346" s="387"/>
      <c r="T1346" s="387" t="s">
        <v>3263</v>
      </c>
      <c r="U1346" s="387" t="s">
        <v>152</v>
      </c>
      <c r="V1346" s="387" t="s">
        <v>23</v>
      </c>
    </row>
    <row r="1347" spans="2:22">
      <c r="B1347" s="389">
        <v>46230</v>
      </c>
      <c r="C1347" s="389">
        <v>46230</v>
      </c>
      <c r="D1347" s="387" t="s">
        <v>6552</v>
      </c>
      <c r="E1347" s="388" t="s">
        <v>6553</v>
      </c>
      <c r="F1347" s="387" t="s">
        <v>87</v>
      </c>
      <c r="G1347" s="387" t="s">
        <v>2486</v>
      </c>
      <c r="H1347" s="393">
        <v>40</v>
      </c>
      <c r="I1347" s="387">
        <v>31</v>
      </c>
      <c r="J1347" s="387">
        <v>31</v>
      </c>
      <c r="K1347" s="387">
        <v>5</v>
      </c>
      <c r="L1347" s="387">
        <v>0</v>
      </c>
      <c r="M1347" s="387" t="s">
        <v>148</v>
      </c>
      <c r="N1347" s="387" t="s">
        <v>149</v>
      </c>
      <c r="O1347" s="387" t="s">
        <v>150</v>
      </c>
      <c r="P1347" s="387" t="s">
        <v>151</v>
      </c>
      <c r="Q1347" s="387"/>
      <c r="R1347" s="387" t="s">
        <v>6553</v>
      </c>
      <c r="S1347" s="387"/>
      <c r="T1347" s="387" t="s">
        <v>3263</v>
      </c>
      <c r="U1347" s="387" t="s">
        <v>152</v>
      </c>
      <c r="V1347" s="387" t="s">
        <v>23</v>
      </c>
    </row>
    <row r="1348" spans="2:22">
      <c r="B1348" s="389">
        <v>46230</v>
      </c>
      <c r="C1348" s="389">
        <v>46230</v>
      </c>
      <c r="D1348" s="387" t="s">
        <v>6554</v>
      </c>
      <c r="E1348" s="388" t="s">
        <v>6555</v>
      </c>
      <c r="F1348" s="387" t="s">
        <v>87</v>
      </c>
      <c r="G1348" s="387" t="s">
        <v>2552</v>
      </c>
      <c r="H1348" s="393">
        <v>40</v>
      </c>
      <c r="I1348" s="387">
        <v>37.799999999999997</v>
      </c>
      <c r="J1348" s="387">
        <v>37.799999999999997</v>
      </c>
      <c r="K1348" s="387">
        <v>5</v>
      </c>
      <c r="L1348" s="387">
        <v>0</v>
      </c>
      <c r="M1348" s="387" t="s">
        <v>148</v>
      </c>
      <c r="N1348" s="387" t="s">
        <v>149</v>
      </c>
      <c r="O1348" s="387" t="s">
        <v>150</v>
      </c>
      <c r="P1348" s="387" t="s">
        <v>151</v>
      </c>
      <c r="Q1348" s="387"/>
      <c r="R1348" s="387" t="s">
        <v>6555</v>
      </c>
      <c r="S1348" s="387"/>
      <c r="T1348" s="387" t="s">
        <v>3263</v>
      </c>
      <c r="U1348" s="387" t="s">
        <v>152</v>
      </c>
      <c r="V1348" s="387" t="s">
        <v>23</v>
      </c>
    </row>
    <row r="1349" spans="2:22">
      <c r="B1349" s="389">
        <v>46230</v>
      </c>
      <c r="C1349" s="389">
        <v>46230</v>
      </c>
      <c r="D1349" s="387" t="s">
        <v>6556</v>
      </c>
      <c r="E1349" s="388" t="s">
        <v>6557</v>
      </c>
      <c r="F1349" s="387" t="s">
        <v>87</v>
      </c>
      <c r="G1349" s="387" t="s">
        <v>5706</v>
      </c>
      <c r="H1349" s="393">
        <v>50</v>
      </c>
      <c r="I1349" s="387">
        <v>16.3</v>
      </c>
      <c r="J1349" s="387">
        <v>16.3</v>
      </c>
      <c r="K1349" s="387">
        <v>5</v>
      </c>
      <c r="L1349" s="387">
        <v>0</v>
      </c>
      <c r="M1349" s="387" t="s">
        <v>148</v>
      </c>
      <c r="N1349" s="387" t="s">
        <v>149</v>
      </c>
      <c r="O1349" s="387" t="s">
        <v>150</v>
      </c>
      <c r="P1349" s="387" t="s">
        <v>151</v>
      </c>
      <c r="Q1349" s="387"/>
      <c r="R1349" s="387" t="s">
        <v>6557</v>
      </c>
      <c r="S1349" s="387"/>
      <c r="T1349" s="387" t="s">
        <v>3263</v>
      </c>
      <c r="U1349" s="387" t="s">
        <v>152</v>
      </c>
      <c r="V1349" s="387" t="s">
        <v>23</v>
      </c>
    </row>
    <row r="1350" spans="2:22">
      <c r="B1350" s="389">
        <v>46230</v>
      </c>
      <c r="C1350" s="389">
        <v>46230</v>
      </c>
      <c r="D1350" s="387" t="s">
        <v>6558</v>
      </c>
      <c r="E1350" s="388" t="s">
        <v>6559</v>
      </c>
      <c r="F1350" s="387" t="s">
        <v>87</v>
      </c>
      <c r="G1350" s="387" t="s">
        <v>5706</v>
      </c>
      <c r="H1350" s="393">
        <v>50</v>
      </c>
      <c r="I1350" s="387">
        <v>40.799999999999997</v>
      </c>
      <c r="J1350" s="387">
        <v>40.799999999999997</v>
      </c>
      <c r="K1350" s="387">
        <v>5</v>
      </c>
      <c r="L1350" s="387">
        <v>0</v>
      </c>
      <c r="M1350" s="387" t="s">
        <v>148</v>
      </c>
      <c r="N1350" s="387" t="s">
        <v>149</v>
      </c>
      <c r="O1350" s="387" t="s">
        <v>150</v>
      </c>
      <c r="P1350" s="387" t="s">
        <v>151</v>
      </c>
      <c r="Q1350" s="387"/>
      <c r="R1350" s="387" t="s">
        <v>6559</v>
      </c>
      <c r="S1350" s="387"/>
      <c r="T1350" s="387" t="s">
        <v>3263</v>
      </c>
      <c r="U1350" s="387" t="s">
        <v>152</v>
      </c>
      <c r="V1350" s="387" t="s">
        <v>23</v>
      </c>
    </row>
    <row r="1351" spans="2:22">
      <c r="B1351" s="389">
        <v>46230</v>
      </c>
      <c r="C1351" s="389">
        <v>46230</v>
      </c>
      <c r="D1351" s="387" t="s">
        <v>6560</v>
      </c>
      <c r="E1351" s="388" t="s">
        <v>6561</v>
      </c>
      <c r="F1351" s="387" t="s">
        <v>87</v>
      </c>
      <c r="G1351" s="387" t="s">
        <v>2552</v>
      </c>
      <c r="H1351" s="393">
        <v>40</v>
      </c>
      <c r="I1351" s="387">
        <v>34.799999999999997</v>
      </c>
      <c r="J1351" s="387">
        <v>34.799999999999997</v>
      </c>
      <c r="K1351" s="387">
        <v>5</v>
      </c>
      <c r="L1351" s="387">
        <v>0</v>
      </c>
      <c r="M1351" s="387" t="s">
        <v>148</v>
      </c>
      <c r="N1351" s="387" t="s">
        <v>149</v>
      </c>
      <c r="O1351" s="387" t="s">
        <v>150</v>
      </c>
      <c r="P1351" s="387" t="s">
        <v>151</v>
      </c>
      <c r="Q1351" s="387"/>
      <c r="R1351" s="387" t="s">
        <v>6561</v>
      </c>
      <c r="S1351" s="387"/>
      <c r="T1351" s="387" t="s">
        <v>3263</v>
      </c>
      <c r="U1351" s="387" t="s">
        <v>152</v>
      </c>
      <c r="V1351" s="387" t="s">
        <v>23</v>
      </c>
    </row>
    <row r="1352" spans="2:22">
      <c r="B1352" s="389">
        <v>46230</v>
      </c>
      <c r="C1352" s="389">
        <v>46230</v>
      </c>
      <c r="D1352" s="387" t="s">
        <v>6562</v>
      </c>
      <c r="E1352" s="388" t="s">
        <v>6563</v>
      </c>
      <c r="F1352" s="387" t="s">
        <v>87</v>
      </c>
      <c r="G1352" s="387" t="s">
        <v>2552</v>
      </c>
      <c r="H1352" s="393">
        <v>40</v>
      </c>
      <c r="I1352" s="387">
        <v>43</v>
      </c>
      <c r="J1352" s="387">
        <v>43</v>
      </c>
      <c r="K1352" s="387">
        <v>5</v>
      </c>
      <c r="L1352" s="387">
        <v>0</v>
      </c>
      <c r="M1352" s="387" t="s">
        <v>148</v>
      </c>
      <c r="N1352" s="387" t="s">
        <v>149</v>
      </c>
      <c r="O1352" s="387" t="s">
        <v>150</v>
      </c>
      <c r="P1352" s="387" t="s">
        <v>151</v>
      </c>
      <c r="Q1352" s="387"/>
      <c r="R1352" s="387" t="s">
        <v>6563</v>
      </c>
      <c r="S1352" s="387"/>
      <c r="T1352" s="387" t="s">
        <v>3263</v>
      </c>
      <c r="U1352" s="387" t="s">
        <v>152</v>
      </c>
      <c r="V1352" s="387" t="s">
        <v>23</v>
      </c>
    </row>
    <row r="1353" spans="2:22">
      <c r="B1353" s="389">
        <v>46230</v>
      </c>
      <c r="C1353" s="389">
        <v>46230</v>
      </c>
      <c r="D1353" s="387" t="s">
        <v>6564</v>
      </c>
      <c r="E1353" s="388" t="s">
        <v>6565</v>
      </c>
      <c r="F1353" s="387" t="s">
        <v>87</v>
      </c>
      <c r="G1353" s="387" t="s">
        <v>2552</v>
      </c>
      <c r="H1353" s="393">
        <v>40</v>
      </c>
      <c r="I1353" s="387">
        <v>39.799999999999997</v>
      </c>
      <c r="J1353" s="387">
        <v>39.799999999999997</v>
      </c>
      <c r="K1353" s="387">
        <v>5</v>
      </c>
      <c r="L1353" s="387">
        <v>0</v>
      </c>
      <c r="M1353" s="387" t="s">
        <v>148</v>
      </c>
      <c r="N1353" s="387" t="s">
        <v>149</v>
      </c>
      <c r="O1353" s="387" t="s">
        <v>150</v>
      </c>
      <c r="P1353" s="387" t="s">
        <v>151</v>
      </c>
      <c r="Q1353" s="387"/>
      <c r="R1353" s="387" t="s">
        <v>6565</v>
      </c>
      <c r="S1353" s="387"/>
      <c r="T1353" s="387" t="s">
        <v>3263</v>
      </c>
      <c r="U1353" s="387" t="s">
        <v>152</v>
      </c>
      <c r="V1353" s="387" t="s">
        <v>23</v>
      </c>
    </row>
    <row r="1354" spans="2:22">
      <c r="B1354" s="389">
        <v>46230</v>
      </c>
      <c r="C1354" s="389">
        <v>46230</v>
      </c>
      <c r="D1354" s="387" t="s">
        <v>6566</v>
      </c>
      <c r="E1354" s="388" t="s">
        <v>6567</v>
      </c>
      <c r="F1354" s="387" t="s">
        <v>87</v>
      </c>
      <c r="G1354" s="387" t="s">
        <v>2486</v>
      </c>
      <c r="H1354" s="393">
        <v>40</v>
      </c>
      <c r="I1354" s="387">
        <v>39</v>
      </c>
      <c r="J1354" s="387">
        <v>39</v>
      </c>
      <c r="K1354" s="387">
        <v>5</v>
      </c>
      <c r="L1354" s="387">
        <v>0</v>
      </c>
      <c r="M1354" s="387" t="s">
        <v>148</v>
      </c>
      <c r="N1354" s="387" t="s">
        <v>149</v>
      </c>
      <c r="O1354" s="387" t="s">
        <v>150</v>
      </c>
      <c r="P1354" s="387" t="s">
        <v>151</v>
      </c>
      <c r="Q1354" s="387"/>
      <c r="R1354" s="387" t="s">
        <v>6567</v>
      </c>
      <c r="S1354" s="387"/>
      <c r="T1354" s="387" t="s">
        <v>3263</v>
      </c>
      <c r="U1354" s="387" t="s">
        <v>152</v>
      </c>
      <c r="V1354" s="387" t="s">
        <v>23</v>
      </c>
    </row>
    <row r="1355" spans="2:22">
      <c r="B1355" s="389">
        <v>46230</v>
      </c>
      <c r="C1355" s="389">
        <v>46230</v>
      </c>
      <c r="D1355" s="387" t="s">
        <v>6568</v>
      </c>
      <c r="E1355" s="388" t="s">
        <v>6569</v>
      </c>
      <c r="F1355" s="387" t="s">
        <v>87</v>
      </c>
      <c r="G1355" s="387" t="s">
        <v>2486</v>
      </c>
      <c r="H1355" s="393">
        <v>40</v>
      </c>
      <c r="I1355" s="387">
        <v>39.799999999999997</v>
      </c>
      <c r="J1355" s="387">
        <v>39.799999999999997</v>
      </c>
      <c r="K1355" s="387">
        <v>5</v>
      </c>
      <c r="L1355" s="387">
        <v>0</v>
      </c>
      <c r="M1355" s="387" t="s">
        <v>148</v>
      </c>
      <c r="N1355" s="387" t="s">
        <v>149</v>
      </c>
      <c r="O1355" s="387" t="s">
        <v>150</v>
      </c>
      <c r="P1355" s="387" t="s">
        <v>151</v>
      </c>
      <c r="Q1355" s="387"/>
      <c r="R1355" s="387" t="s">
        <v>6569</v>
      </c>
      <c r="S1355" s="387"/>
      <c r="T1355" s="387" t="s">
        <v>3263</v>
      </c>
      <c r="U1355" s="387" t="s">
        <v>152</v>
      </c>
      <c r="V1355" s="387" t="s">
        <v>23</v>
      </c>
    </row>
    <row r="1356" spans="2:22">
      <c r="B1356" s="389">
        <v>46230</v>
      </c>
      <c r="C1356" s="389">
        <v>46230</v>
      </c>
      <c r="D1356" s="387" t="s">
        <v>6570</v>
      </c>
      <c r="E1356" s="388" t="s">
        <v>6571</v>
      </c>
      <c r="F1356" s="387" t="s">
        <v>87</v>
      </c>
      <c r="G1356" s="387" t="s">
        <v>2486</v>
      </c>
      <c r="H1356" s="393">
        <v>40</v>
      </c>
      <c r="I1356" s="387">
        <v>39.4</v>
      </c>
      <c r="J1356" s="387">
        <v>39.4</v>
      </c>
      <c r="K1356" s="387">
        <v>5</v>
      </c>
      <c r="L1356" s="387">
        <v>0</v>
      </c>
      <c r="M1356" s="387" t="s">
        <v>148</v>
      </c>
      <c r="N1356" s="387" t="s">
        <v>149</v>
      </c>
      <c r="O1356" s="387" t="s">
        <v>150</v>
      </c>
      <c r="P1356" s="387" t="s">
        <v>151</v>
      </c>
      <c r="Q1356" s="387"/>
      <c r="R1356" s="387" t="s">
        <v>6571</v>
      </c>
      <c r="S1356" s="387"/>
      <c r="T1356" s="387" t="s">
        <v>3263</v>
      </c>
      <c r="U1356" s="387" t="s">
        <v>152</v>
      </c>
      <c r="V1356" s="387" t="s">
        <v>23</v>
      </c>
    </row>
    <row r="1357" spans="2:22">
      <c r="B1357" s="389">
        <v>46230</v>
      </c>
      <c r="C1357" s="389">
        <v>46230</v>
      </c>
      <c r="D1357" s="387" t="s">
        <v>6572</v>
      </c>
      <c r="E1357" s="388" t="s">
        <v>6573</v>
      </c>
      <c r="F1357" s="387" t="s">
        <v>87</v>
      </c>
      <c r="G1357" s="387" t="s">
        <v>2553</v>
      </c>
      <c r="H1357" s="393">
        <v>30</v>
      </c>
      <c r="I1357" s="387">
        <v>39.799999999999997</v>
      </c>
      <c r="J1357" s="387">
        <v>39.799999999999997</v>
      </c>
      <c r="K1357" s="387">
        <v>4</v>
      </c>
      <c r="L1357" s="387">
        <v>0</v>
      </c>
      <c r="M1357" s="387" t="s">
        <v>148</v>
      </c>
      <c r="N1357" s="387" t="s">
        <v>149</v>
      </c>
      <c r="O1357" s="387" t="s">
        <v>150</v>
      </c>
      <c r="P1357" s="387" t="s">
        <v>151</v>
      </c>
      <c r="Q1357" s="387"/>
      <c r="R1357" s="387" t="s">
        <v>6573</v>
      </c>
      <c r="S1357" s="387"/>
      <c r="T1357" s="387" t="s">
        <v>3263</v>
      </c>
      <c r="U1357" s="387" t="s">
        <v>152</v>
      </c>
      <c r="V1357" s="387" t="s">
        <v>23</v>
      </c>
    </row>
    <row r="1358" spans="2:22">
      <c r="B1358" s="389">
        <v>46230</v>
      </c>
      <c r="C1358" s="389">
        <v>46230</v>
      </c>
      <c r="D1358" s="387" t="s">
        <v>6574</v>
      </c>
      <c r="E1358" s="388" t="s">
        <v>6575</v>
      </c>
      <c r="F1358" s="387" t="s">
        <v>87</v>
      </c>
      <c r="G1358" s="387" t="s">
        <v>2552</v>
      </c>
      <c r="H1358" s="393">
        <v>40</v>
      </c>
      <c r="I1358" s="387">
        <v>31.8</v>
      </c>
      <c r="J1358" s="387">
        <v>31.8</v>
      </c>
      <c r="K1358" s="387">
        <v>5</v>
      </c>
      <c r="L1358" s="387">
        <v>0</v>
      </c>
      <c r="M1358" s="387" t="s">
        <v>148</v>
      </c>
      <c r="N1358" s="387" t="s">
        <v>149</v>
      </c>
      <c r="O1358" s="387" t="s">
        <v>150</v>
      </c>
      <c r="P1358" s="387" t="s">
        <v>151</v>
      </c>
      <c r="Q1358" s="387"/>
      <c r="R1358" s="387" t="s">
        <v>6575</v>
      </c>
      <c r="S1358" s="387"/>
      <c r="T1358" s="387" t="s">
        <v>3263</v>
      </c>
      <c r="U1358" s="387" t="s">
        <v>152</v>
      </c>
      <c r="V1358" s="387" t="s">
        <v>23</v>
      </c>
    </row>
    <row r="1359" spans="2:22">
      <c r="B1359" s="389">
        <v>46230</v>
      </c>
      <c r="C1359" s="389">
        <v>46230</v>
      </c>
      <c r="D1359" s="387" t="s">
        <v>6576</v>
      </c>
      <c r="E1359" s="388" t="s">
        <v>6577</v>
      </c>
      <c r="F1359" s="387" t="s">
        <v>87</v>
      </c>
      <c r="G1359" s="387" t="s">
        <v>3866</v>
      </c>
      <c r="H1359" s="393">
        <v>40</v>
      </c>
      <c r="I1359" s="387">
        <v>23.3</v>
      </c>
      <c r="J1359" s="387">
        <v>23.3</v>
      </c>
      <c r="K1359" s="387">
        <v>5</v>
      </c>
      <c r="L1359" s="387">
        <v>0</v>
      </c>
      <c r="M1359" s="387" t="s">
        <v>148</v>
      </c>
      <c r="N1359" s="387" t="s">
        <v>149</v>
      </c>
      <c r="O1359" s="387" t="s">
        <v>150</v>
      </c>
      <c r="P1359" s="387" t="s">
        <v>151</v>
      </c>
      <c r="Q1359" s="387"/>
      <c r="R1359" s="387" t="s">
        <v>6577</v>
      </c>
      <c r="S1359" s="387"/>
      <c r="T1359" s="387" t="s">
        <v>3263</v>
      </c>
      <c r="U1359" s="387" t="s">
        <v>152</v>
      </c>
      <c r="V1359" s="387" t="s">
        <v>23</v>
      </c>
    </row>
    <row r="1360" spans="2:22">
      <c r="B1360" s="389">
        <v>46231</v>
      </c>
      <c r="C1360" s="389">
        <v>46231</v>
      </c>
      <c r="D1360" s="387" t="s">
        <v>6578</v>
      </c>
      <c r="E1360" s="388" t="s">
        <v>6579</v>
      </c>
      <c r="F1360" s="387" t="s">
        <v>87</v>
      </c>
      <c r="G1360" s="387" t="s">
        <v>5706</v>
      </c>
      <c r="H1360" s="393">
        <v>50</v>
      </c>
      <c r="I1360" s="387">
        <v>31.4</v>
      </c>
      <c r="J1360" s="387">
        <v>31.4</v>
      </c>
      <c r="K1360" s="387">
        <v>5</v>
      </c>
      <c r="L1360" s="387">
        <v>0</v>
      </c>
      <c r="M1360" s="387" t="s">
        <v>148</v>
      </c>
      <c r="N1360" s="387" t="s">
        <v>149</v>
      </c>
      <c r="O1360" s="387" t="s">
        <v>150</v>
      </c>
      <c r="P1360" s="387" t="s">
        <v>151</v>
      </c>
      <c r="Q1360" s="387"/>
      <c r="R1360" s="387" t="s">
        <v>6579</v>
      </c>
      <c r="S1360" s="387"/>
      <c r="T1360" s="387" t="s">
        <v>3285</v>
      </c>
      <c r="U1360" s="387" t="s">
        <v>152</v>
      </c>
      <c r="V1360" s="387" t="s">
        <v>23</v>
      </c>
    </row>
    <row r="1361" spans="2:22">
      <c r="B1361" s="389">
        <v>46231</v>
      </c>
      <c r="C1361" s="389">
        <v>46231</v>
      </c>
      <c r="D1361" s="387" t="s">
        <v>6580</v>
      </c>
      <c r="E1361" s="388" t="s">
        <v>6581</v>
      </c>
      <c r="F1361" s="387" t="s">
        <v>87</v>
      </c>
      <c r="G1361" s="387" t="s">
        <v>2486</v>
      </c>
      <c r="H1361" s="393">
        <v>40</v>
      </c>
      <c r="I1361" s="387">
        <v>39.200000000000003</v>
      </c>
      <c r="J1361" s="387">
        <v>39.200000000000003</v>
      </c>
      <c r="K1361" s="387">
        <v>5</v>
      </c>
      <c r="L1361" s="387">
        <v>0</v>
      </c>
      <c r="M1361" s="387" t="s">
        <v>148</v>
      </c>
      <c r="N1361" s="387" t="s">
        <v>149</v>
      </c>
      <c r="O1361" s="387" t="s">
        <v>150</v>
      </c>
      <c r="P1361" s="387" t="s">
        <v>151</v>
      </c>
      <c r="Q1361" s="387"/>
      <c r="R1361" s="387" t="s">
        <v>6581</v>
      </c>
      <c r="S1361" s="387"/>
      <c r="T1361" s="387" t="s">
        <v>3285</v>
      </c>
      <c r="U1361" s="387" t="s">
        <v>152</v>
      </c>
      <c r="V1361" s="387" t="s">
        <v>23</v>
      </c>
    </row>
    <row r="1362" spans="2:22">
      <c r="B1362" s="389">
        <v>46231</v>
      </c>
      <c r="C1362" s="389">
        <v>46231</v>
      </c>
      <c r="D1362" s="387" t="s">
        <v>6582</v>
      </c>
      <c r="E1362" s="388" t="s">
        <v>6583</v>
      </c>
      <c r="F1362" s="387" t="s">
        <v>87</v>
      </c>
      <c r="G1362" s="387" t="s">
        <v>2486</v>
      </c>
      <c r="H1362" s="393">
        <v>40</v>
      </c>
      <c r="I1362" s="387">
        <v>37.799999999999997</v>
      </c>
      <c r="J1362" s="387">
        <v>37.799999999999997</v>
      </c>
      <c r="K1362" s="387">
        <v>5</v>
      </c>
      <c r="L1362" s="387">
        <v>0</v>
      </c>
      <c r="M1362" s="387" t="s">
        <v>148</v>
      </c>
      <c r="N1362" s="387" t="s">
        <v>149</v>
      </c>
      <c r="O1362" s="387" t="s">
        <v>150</v>
      </c>
      <c r="P1362" s="387" t="s">
        <v>151</v>
      </c>
      <c r="Q1362" s="387"/>
      <c r="R1362" s="387" t="s">
        <v>6583</v>
      </c>
      <c r="S1362" s="387"/>
      <c r="T1362" s="387" t="s">
        <v>3285</v>
      </c>
      <c r="U1362" s="387" t="s">
        <v>152</v>
      </c>
      <c r="V1362" s="387" t="s">
        <v>23</v>
      </c>
    </row>
    <row r="1363" spans="2:22">
      <c r="B1363" s="389">
        <v>46231</v>
      </c>
      <c r="C1363" s="389">
        <v>46231</v>
      </c>
      <c r="D1363" s="387" t="s">
        <v>6584</v>
      </c>
      <c r="E1363" s="388" t="s">
        <v>6585</v>
      </c>
      <c r="F1363" s="387" t="s">
        <v>87</v>
      </c>
      <c r="G1363" s="387" t="s">
        <v>2552</v>
      </c>
      <c r="H1363" s="393">
        <v>40</v>
      </c>
      <c r="I1363" s="387">
        <v>33.799999999999997</v>
      </c>
      <c r="J1363" s="387">
        <v>33.799999999999997</v>
      </c>
      <c r="K1363" s="387">
        <v>5</v>
      </c>
      <c r="L1363" s="387">
        <v>0</v>
      </c>
      <c r="M1363" s="387" t="s">
        <v>148</v>
      </c>
      <c r="N1363" s="387" t="s">
        <v>149</v>
      </c>
      <c r="O1363" s="387" t="s">
        <v>150</v>
      </c>
      <c r="P1363" s="387" t="s">
        <v>151</v>
      </c>
      <c r="Q1363" s="387"/>
      <c r="R1363" s="387" t="s">
        <v>6585</v>
      </c>
      <c r="S1363" s="387"/>
      <c r="T1363" s="387" t="s">
        <v>3285</v>
      </c>
      <c r="U1363" s="387" t="s">
        <v>152</v>
      </c>
      <c r="V1363" s="387" t="s">
        <v>23</v>
      </c>
    </row>
    <row r="1364" spans="2:22">
      <c r="B1364" s="389">
        <v>46231</v>
      </c>
      <c r="C1364" s="389">
        <v>46231</v>
      </c>
      <c r="D1364" s="387" t="s">
        <v>6586</v>
      </c>
      <c r="E1364" s="388" t="s">
        <v>6587</v>
      </c>
      <c r="F1364" s="387" t="s">
        <v>87</v>
      </c>
      <c r="G1364" s="387" t="s">
        <v>6162</v>
      </c>
      <c r="H1364" s="393">
        <v>50</v>
      </c>
      <c r="I1364" s="387">
        <v>25.4</v>
      </c>
      <c r="J1364" s="387">
        <v>25.4</v>
      </c>
      <c r="K1364" s="387">
        <v>5</v>
      </c>
      <c r="L1364" s="387">
        <v>0</v>
      </c>
      <c r="M1364" s="387" t="s">
        <v>148</v>
      </c>
      <c r="N1364" s="387" t="s">
        <v>149</v>
      </c>
      <c r="O1364" s="387" t="s">
        <v>150</v>
      </c>
      <c r="P1364" s="387" t="s">
        <v>151</v>
      </c>
      <c r="Q1364" s="387"/>
      <c r="R1364" s="387" t="s">
        <v>6587</v>
      </c>
      <c r="S1364" s="387"/>
      <c r="T1364" s="387" t="s">
        <v>3285</v>
      </c>
      <c r="U1364" s="387" t="s">
        <v>152</v>
      </c>
      <c r="V1364" s="387" t="s">
        <v>23</v>
      </c>
    </row>
    <row r="1365" spans="2:22">
      <c r="B1365" s="389">
        <v>46231</v>
      </c>
      <c r="C1365" s="389">
        <v>46231</v>
      </c>
      <c r="D1365" s="387" t="s">
        <v>6588</v>
      </c>
      <c r="E1365" s="388" t="s">
        <v>6589</v>
      </c>
      <c r="F1365" s="387" t="s">
        <v>87</v>
      </c>
      <c r="G1365" s="387" t="s">
        <v>4501</v>
      </c>
      <c r="H1365" s="393">
        <v>55</v>
      </c>
      <c r="I1365" s="387">
        <v>32.5</v>
      </c>
      <c r="J1365" s="387">
        <v>32.5</v>
      </c>
      <c r="K1365" s="387">
        <v>5</v>
      </c>
      <c r="L1365" s="387">
        <v>0</v>
      </c>
      <c r="M1365" s="387" t="s">
        <v>148</v>
      </c>
      <c r="N1365" s="387" t="s">
        <v>149</v>
      </c>
      <c r="O1365" s="387" t="s">
        <v>150</v>
      </c>
      <c r="P1365" s="387" t="s">
        <v>151</v>
      </c>
      <c r="Q1365" s="387"/>
      <c r="R1365" s="387" t="s">
        <v>6589</v>
      </c>
      <c r="S1365" s="387"/>
      <c r="T1365" s="387" t="s">
        <v>3285</v>
      </c>
      <c r="U1365" s="387" t="s">
        <v>152</v>
      </c>
      <c r="V1365" s="387" t="s">
        <v>23</v>
      </c>
    </row>
    <row r="1366" spans="2:22">
      <c r="B1366" s="389">
        <v>46231</v>
      </c>
      <c r="C1366" s="389">
        <v>46231</v>
      </c>
      <c r="D1366" s="387" t="s">
        <v>6590</v>
      </c>
      <c r="E1366" s="388" t="s">
        <v>6591</v>
      </c>
      <c r="F1366" s="387" t="s">
        <v>87</v>
      </c>
      <c r="G1366" s="387" t="s">
        <v>2486</v>
      </c>
      <c r="H1366" s="393">
        <v>40</v>
      </c>
      <c r="I1366" s="387">
        <v>38.799999999999997</v>
      </c>
      <c r="J1366" s="387">
        <v>38.799999999999997</v>
      </c>
      <c r="K1366" s="387">
        <v>5</v>
      </c>
      <c r="L1366" s="387">
        <v>0</v>
      </c>
      <c r="M1366" s="387" t="s">
        <v>148</v>
      </c>
      <c r="N1366" s="387" t="s">
        <v>149</v>
      </c>
      <c r="O1366" s="387" t="s">
        <v>150</v>
      </c>
      <c r="P1366" s="387" t="s">
        <v>151</v>
      </c>
      <c r="Q1366" s="387"/>
      <c r="R1366" s="387" t="s">
        <v>6591</v>
      </c>
      <c r="S1366" s="387"/>
      <c r="T1366" s="387" t="s">
        <v>3285</v>
      </c>
      <c r="U1366" s="387" t="s">
        <v>152</v>
      </c>
      <c r="V1366" s="387" t="s">
        <v>23</v>
      </c>
    </row>
    <row r="1367" spans="2:22">
      <c r="B1367" s="389">
        <v>46231</v>
      </c>
      <c r="C1367" s="389">
        <v>46231</v>
      </c>
      <c r="D1367" s="387" t="s">
        <v>6592</v>
      </c>
      <c r="E1367" s="388" t="s">
        <v>6593</v>
      </c>
      <c r="F1367" s="387" t="s">
        <v>87</v>
      </c>
      <c r="G1367" s="387" t="s">
        <v>2552</v>
      </c>
      <c r="H1367" s="393">
        <v>40</v>
      </c>
      <c r="I1367" s="387">
        <v>24.8</v>
      </c>
      <c r="J1367" s="387">
        <v>24.8</v>
      </c>
      <c r="K1367" s="387">
        <v>5</v>
      </c>
      <c r="L1367" s="387">
        <v>0</v>
      </c>
      <c r="M1367" s="387" t="s">
        <v>148</v>
      </c>
      <c r="N1367" s="387" t="s">
        <v>149</v>
      </c>
      <c r="O1367" s="387" t="s">
        <v>150</v>
      </c>
      <c r="P1367" s="387" t="s">
        <v>151</v>
      </c>
      <c r="Q1367" s="387"/>
      <c r="R1367" s="387" t="s">
        <v>6593</v>
      </c>
      <c r="S1367" s="387"/>
      <c r="T1367" s="387" t="s">
        <v>3285</v>
      </c>
      <c r="U1367" s="387" t="s">
        <v>152</v>
      </c>
      <c r="V1367" s="387" t="s">
        <v>23</v>
      </c>
    </row>
    <row r="1368" spans="2:22">
      <c r="B1368" s="389">
        <v>46231</v>
      </c>
      <c r="C1368" s="389">
        <v>46231</v>
      </c>
      <c r="D1368" s="387" t="s">
        <v>6594</v>
      </c>
      <c r="E1368" s="388" t="s">
        <v>6595</v>
      </c>
      <c r="F1368" s="387" t="s">
        <v>87</v>
      </c>
      <c r="G1368" s="387" t="s">
        <v>2552</v>
      </c>
      <c r="H1368" s="393">
        <v>40</v>
      </c>
      <c r="I1368" s="387">
        <v>33.5</v>
      </c>
      <c r="J1368" s="387">
        <v>33.5</v>
      </c>
      <c r="K1368" s="387">
        <v>5</v>
      </c>
      <c r="L1368" s="387">
        <v>0</v>
      </c>
      <c r="M1368" s="387" t="s">
        <v>148</v>
      </c>
      <c r="N1368" s="387" t="s">
        <v>149</v>
      </c>
      <c r="O1368" s="387" t="s">
        <v>150</v>
      </c>
      <c r="P1368" s="387" t="s">
        <v>151</v>
      </c>
      <c r="Q1368" s="387"/>
      <c r="R1368" s="387" t="s">
        <v>6595</v>
      </c>
      <c r="S1368" s="387"/>
      <c r="T1368" s="387" t="s">
        <v>3285</v>
      </c>
      <c r="U1368" s="387" t="s">
        <v>152</v>
      </c>
      <c r="V1368" s="387" t="s">
        <v>23</v>
      </c>
    </row>
    <row r="1369" spans="2:22">
      <c r="B1369" s="389">
        <v>46231</v>
      </c>
      <c r="C1369" s="389">
        <v>46231</v>
      </c>
      <c r="D1369" s="387" t="s">
        <v>6596</v>
      </c>
      <c r="E1369" s="388" t="s">
        <v>6597</v>
      </c>
      <c r="F1369" s="387" t="s">
        <v>87</v>
      </c>
      <c r="G1369" s="387" t="s">
        <v>6162</v>
      </c>
      <c r="H1369" s="393">
        <v>50</v>
      </c>
      <c r="I1369" s="387">
        <v>22.2</v>
      </c>
      <c r="J1369" s="387">
        <v>22.2</v>
      </c>
      <c r="K1369" s="387">
        <v>5</v>
      </c>
      <c r="L1369" s="387">
        <v>0</v>
      </c>
      <c r="M1369" s="387" t="s">
        <v>148</v>
      </c>
      <c r="N1369" s="387" t="s">
        <v>149</v>
      </c>
      <c r="O1369" s="387" t="s">
        <v>150</v>
      </c>
      <c r="P1369" s="387" t="s">
        <v>151</v>
      </c>
      <c r="Q1369" s="387"/>
      <c r="R1369" s="387" t="s">
        <v>6597</v>
      </c>
      <c r="S1369" s="387"/>
      <c r="T1369" s="387" t="s">
        <v>3285</v>
      </c>
      <c r="U1369" s="387" t="s">
        <v>152</v>
      </c>
      <c r="V1369" s="387" t="s">
        <v>23</v>
      </c>
    </row>
    <row r="1370" spans="2:22">
      <c r="B1370" s="389">
        <v>46231</v>
      </c>
      <c r="C1370" s="389">
        <v>46231</v>
      </c>
      <c r="D1370" s="387" t="s">
        <v>6598</v>
      </c>
      <c r="E1370" s="388" t="s">
        <v>6599</v>
      </c>
      <c r="F1370" s="387" t="s">
        <v>87</v>
      </c>
      <c r="G1370" s="387" t="s">
        <v>2552</v>
      </c>
      <c r="H1370" s="393">
        <v>40</v>
      </c>
      <c r="I1370" s="387">
        <v>38.200000000000003</v>
      </c>
      <c r="J1370" s="387">
        <v>38.200000000000003</v>
      </c>
      <c r="K1370" s="387">
        <v>5</v>
      </c>
      <c r="L1370" s="387">
        <v>0</v>
      </c>
      <c r="M1370" s="387" t="s">
        <v>148</v>
      </c>
      <c r="N1370" s="387" t="s">
        <v>149</v>
      </c>
      <c r="O1370" s="387" t="s">
        <v>150</v>
      </c>
      <c r="P1370" s="387" t="s">
        <v>151</v>
      </c>
      <c r="Q1370" s="387"/>
      <c r="R1370" s="387" t="s">
        <v>6599</v>
      </c>
      <c r="S1370" s="387"/>
      <c r="T1370" s="387" t="s">
        <v>3285</v>
      </c>
      <c r="U1370" s="387" t="s">
        <v>152</v>
      </c>
      <c r="V1370" s="387" t="s">
        <v>23</v>
      </c>
    </row>
    <row r="1371" spans="2:22">
      <c r="B1371" s="389">
        <v>46231</v>
      </c>
      <c r="C1371" s="389">
        <v>46231</v>
      </c>
      <c r="D1371" s="387" t="s">
        <v>6600</v>
      </c>
      <c r="E1371" s="388" t="s">
        <v>6601</v>
      </c>
      <c r="F1371" s="387" t="s">
        <v>87</v>
      </c>
      <c r="G1371" s="387" t="s">
        <v>2486</v>
      </c>
      <c r="H1371" s="393">
        <v>40</v>
      </c>
      <c r="I1371" s="387">
        <v>41.4</v>
      </c>
      <c r="J1371" s="387">
        <v>41.4</v>
      </c>
      <c r="K1371" s="387">
        <v>5</v>
      </c>
      <c r="L1371" s="387">
        <v>0</v>
      </c>
      <c r="M1371" s="387" t="s">
        <v>148</v>
      </c>
      <c r="N1371" s="387" t="s">
        <v>149</v>
      </c>
      <c r="O1371" s="387" t="s">
        <v>150</v>
      </c>
      <c r="P1371" s="387" t="s">
        <v>151</v>
      </c>
      <c r="Q1371" s="387"/>
      <c r="R1371" s="387" t="s">
        <v>6601</v>
      </c>
      <c r="S1371" s="387"/>
      <c r="T1371" s="387" t="s">
        <v>3285</v>
      </c>
      <c r="U1371" s="387" t="s">
        <v>152</v>
      </c>
      <c r="V1371" s="387" t="s">
        <v>23</v>
      </c>
    </row>
    <row r="1372" spans="2:22">
      <c r="B1372" s="389">
        <v>46231</v>
      </c>
      <c r="C1372" s="389">
        <v>46231</v>
      </c>
      <c r="D1372" s="387" t="s">
        <v>6602</v>
      </c>
      <c r="E1372" s="388" t="s">
        <v>6603</v>
      </c>
      <c r="F1372" s="387" t="s">
        <v>87</v>
      </c>
      <c r="G1372" s="387" t="s">
        <v>2001</v>
      </c>
      <c r="H1372" s="393">
        <v>6</v>
      </c>
      <c r="I1372" s="387">
        <v>23.9</v>
      </c>
      <c r="J1372" s="387">
        <v>23.9</v>
      </c>
      <c r="K1372" s="387">
        <v>1.5</v>
      </c>
      <c r="L1372" s="387">
        <v>0</v>
      </c>
      <c r="M1372" s="387" t="s">
        <v>148</v>
      </c>
      <c r="N1372" s="387" t="s">
        <v>149</v>
      </c>
      <c r="O1372" s="387" t="s">
        <v>150</v>
      </c>
      <c r="P1372" s="387" t="s">
        <v>151</v>
      </c>
      <c r="Q1372" s="387"/>
      <c r="R1372" s="387" t="s">
        <v>6603</v>
      </c>
      <c r="S1372" s="387"/>
      <c r="T1372" s="387" t="s">
        <v>3285</v>
      </c>
      <c r="U1372" s="387" t="s">
        <v>152</v>
      </c>
      <c r="V1372" s="387" t="s">
        <v>23</v>
      </c>
    </row>
    <row r="1373" spans="2:22">
      <c r="B1373" s="389">
        <v>46231</v>
      </c>
      <c r="C1373" s="389">
        <v>46231</v>
      </c>
      <c r="D1373" s="387" t="s">
        <v>6604</v>
      </c>
      <c r="E1373" s="388" t="s">
        <v>6605</v>
      </c>
      <c r="F1373" s="387" t="s">
        <v>87</v>
      </c>
      <c r="G1373" s="387" t="s">
        <v>6162</v>
      </c>
      <c r="H1373" s="393">
        <v>50</v>
      </c>
      <c r="I1373" s="387">
        <v>38.799999999999997</v>
      </c>
      <c r="J1373" s="387">
        <v>38.799999999999997</v>
      </c>
      <c r="K1373" s="387">
        <v>5</v>
      </c>
      <c r="L1373" s="387">
        <v>0</v>
      </c>
      <c r="M1373" s="387" t="s">
        <v>148</v>
      </c>
      <c r="N1373" s="387" t="s">
        <v>149</v>
      </c>
      <c r="O1373" s="387" t="s">
        <v>150</v>
      </c>
      <c r="P1373" s="387" t="s">
        <v>151</v>
      </c>
      <c r="Q1373" s="387"/>
      <c r="R1373" s="387" t="s">
        <v>6605</v>
      </c>
      <c r="S1373" s="387"/>
      <c r="T1373" s="387" t="s">
        <v>3285</v>
      </c>
      <c r="U1373" s="387" t="s">
        <v>152</v>
      </c>
      <c r="V1373" s="387" t="s">
        <v>23</v>
      </c>
    </row>
    <row r="1374" spans="2:22">
      <c r="B1374" s="389">
        <v>46231</v>
      </c>
      <c r="C1374" s="389">
        <v>46231</v>
      </c>
      <c r="D1374" s="387" t="s">
        <v>6606</v>
      </c>
      <c r="E1374" s="388" t="s">
        <v>6607</v>
      </c>
      <c r="F1374" s="387" t="s">
        <v>87</v>
      </c>
      <c r="G1374" s="387" t="s">
        <v>2486</v>
      </c>
      <c r="H1374" s="393">
        <v>40</v>
      </c>
      <c r="I1374" s="387">
        <v>40.299999999999997</v>
      </c>
      <c r="J1374" s="387">
        <v>40.299999999999997</v>
      </c>
      <c r="K1374" s="387">
        <v>5</v>
      </c>
      <c r="L1374" s="387">
        <v>0</v>
      </c>
      <c r="M1374" s="387" t="s">
        <v>148</v>
      </c>
      <c r="N1374" s="387" t="s">
        <v>149</v>
      </c>
      <c r="O1374" s="387" t="s">
        <v>150</v>
      </c>
      <c r="P1374" s="387" t="s">
        <v>151</v>
      </c>
      <c r="Q1374" s="387"/>
      <c r="R1374" s="387" t="s">
        <v>6607</v>
      </c>
      <c r="S1374" s="387"/>
      <c r="T1374" s="387" t="s">
        <v>3285</v>
      </c>
      <c r="U1374" s="387" t="s">
        <v>152</v>
      </c>
      <c r="V1374" s="387" t="s">
        <v>23</v>
      </c>
    </row>
    <row r="1375" spans="2:22">
      <c r="B1375" s="389">
        <v>46231</v>
      </c>
      <c r="C1375" s="389">
        <v>46231</v>
      </c>
      <c r="D1375" s="387" t="s">
        <v>6608</v>
      </c>
      <c r="E1375" s="388" t="s">
        <v>6609</v>
      </c>
      <c r="F1375" s="387" t="s">
        <v>87</v>
      </c>
      <c r="G1375" s="387" t="s">
        <v>5706</v>
      </c>
      <c r="H1375" s="393">
        <v>50</v>
      </c>
      <c r="I1375" s="387">
        <v>14.2</v>
      </c>
      <c r="J1375" s="387">
        <v>14.2</v>
      </c>
      <c r="K1375" s="387">
        <v>5</v>
      </c>
      <c r="L1375" s="387">
        <v>0</v>
      </c>
      <c r="M1375" s="387" t="s">
        <v>148</v>
      </c>
      <c r="N1375" s="387" t="s">
        <v>149</v>
      </c>
      <c r="O1375" s="387" t="s">
        <v>150</v>
      </c>
      <c r="P1375" s="387" t="s">
        <v>151</v>
      </c>
      <c r="Q1375" s="387"/>
      <c r="R1375" s="387" t="s">
        <v>6609</v>
      </c>
      <c r="S1375" s="387"/>
      <c r="T1375" s="387" t="s">
        <v>3285</v>
      </c>
      <c r="U1375" s="387" t="s">
        <v>152</v>
      </c>
      <c r="V1375" s="387" t="s">
        <v>23</v>
      </c>
    </row>
    <row r="1376" spans="2:22">
      <c r="B1376" s="389">
        <v>46231</v>
      </c>
      <c r="C1376" s="389">
        <v>46231</v>
      </c>
      <c r="D1376" s="387" t="s">
        <v>6610</v>
      </c>
      <c r="E1376" s="388" t="s">
        <v>6611</v>
      </c>
      <c r="F1376" s="387" t="s">
        <v>87</v>
      </c>
      <c r="G1376" s="387" t="s">
        <v>6162</v>
      </c>
      <c r="H1376" s="393">
        <v>50</v>
      </c>
      <c r="I1376" s="387">
        <v>33.9</v>
      </c>
      <c r="J1376" s="387">
        <v>33.9</v>
      </c>
      <c r="K1376" s="387">
        <v>5</v>
      </c>
      <c r="L1376" s="387">
        <v>0</v>
      </c>
      <c r="M1376" s="387" t="s">
        <v>148</v>
      </c>
      <c r="N1376" s="387" t="s">
        <v>149</v>
      </c>
      <c r="O1376" s="387" t="s">
        <v>150</v>
      </c>
      <c r="P1376" s="387" t="s">
        <v>151</v>
      </c>
      <c r="Q1376" s="387"/>
      <c r="R1376" s="387" t="s">
        <v>6611</v>
      </c>
      <c r="S1376" s="387"/>
      <c r="T1376" s="387" t="s">
        <v>3285</v>
      </c>
      <c r="U1376" s="387" t="s">
        <v>152</v>
      </c>
      <c r="V1376" s="387" t="s">
        <v>23</v>
      </c>
    </row>
    <row r="1377" spans="2:22">
      <c r="B1377" s="389">
        <v>46231</v>
      </c>
      <c r="C1377" s="389">
        <v>46231</v>
      </c>
      <c r="D1377" s="387" t="s">
        <v>6612</v>
      </c>
      <c r="E1377" s="388" t="s">
        <v>6613</v>
      </c>
      <c r="F1377" s="387" t="s">
        <v>87</v>
      </c>
      <c r="G1377" s="387" t="s">
        <v>2552</v>
      </c>
      <c r="H1377" s="393">
        <v>40</v>
      </c>
      <c r="I1377" s="387">
        <v>23.4</v>
      </c>
      <c r="J1377" s="387">
        <v>23.4</v>
      </c>
      <c r="K1377" s="387">
        <v>5</v>
      </c>
      <c r="L1377" s="387">
        <v>0</v>
      </c>
      <c r="M1377" s="387" t="s">
        <v>148</v>
      </c>
      <c r="N1377" s="387" t="s">
        <v>149</v>
      </c>
      <c r="O1377" s="387" t="s">
        <v>150</v>
      </c>
      <c r="P1377" s="387" t="s">
        <v>151</v>
      </c>
      <c r="Q1377" s="387"/>
      <c r="R1377" s="387" t="s">
        <v>6613</v>
      </c>
      <c r="S1377" s="387"/>
      <c r="T1377" s="387" t="s">
        <v>3285</v>
      </c>
      <c r="U1377" s="387" t="s">
        <v>152</v>
      </c>
      <c r="V1377" s="387" t="s">
        <v>23</v>
      </c>
    </row>
    <row r="1378" spans="2:22">
      <c r="B1378" s="389">
        <v>46231</v>
      </c>
      <c r="C1378" s="389">
        <v>46231</v>
      </c>
      <c r="D1378" s="387" t="s">
        <v>6614</v>
      </c>
      <c r="E1378" s="388" t="s">
        <v>6615</v>
      </c>
      <c r="F1378" s="387" t="s">
        <v>87</v>
      </c>
      <c r="G1378" s="387" t="s">
        <v>2486</v>
      </c>
      <c r="H1378" s="393">
        <v>40</v>
      </c>
      <c r="I1378" s="387">
        <v>31.8</v>
      </c>
      <c r="J1378" s="387">
        <v>31.8</v>
      </c>
      <c r="K1378" s="387">
        <v>5</v>
      </c>
      <c r="L1378" s="387">
        <v>0</v>
      </c>
      <c r="M1378" s="387" t="s">
        <v>148</v>
      </c>
      <c r="N1378" s="387" t="s">
        <v>149</v>
      </c>
      <c r="O1378" s="387" t="s">
        <v>150</v>
      </c>
      <c r="P1378" s="387" t="s">
        <v>151</v>
      </c>
      <c r="Q1378" s="387"/>
      <c r="R1378" s="387" t="s">
        <v>6615</v>
      </c>
      <c r="S1378" s="387"/>
      <c r="T1378" s="387" t="s">
        <v>3285</v>
      </c>
      <c r="U1378" s="387" t="s">
        <v>152</v>
      </c>
      <c r="V1378" s="387" t="s">
        <v>23</v>
      </c>
    </row>
    <row r="1379" spans="2:22">
      <c r="B1379" s="389">
        <v>46231</v>
      </c>
      <c r="C1379" s="389">
        <v>46231</v>
      </c>
      <c r="D1379" s="387" t="s">
        <v>6616</v>
      </c>
      <c r="E1379" s="388" t="s">
        <v>6617</v>
      </c>
      <c r="F1379" s="387" t="s">
        <v>87</v>
      </c>
      <c r="G1379" s="387" t="s">
        <v>2486</v>
      </c>
      <c r="H1379" s="393">
        <v>40</v>
      </c>
      <c r="I1379" s="387">
        <v>37.799999999999997</v>
      </c>
      <c r="J1379" s="387">
        <v>37.799999999999997</v>
      </c>
      <c r="K1379" s="387">
        <v>5</v>
      </c>
      <c r="L1379" s="387">
        <v>0</v>
      </c>
      <c r="M1379" s="387" t="s">
        <v>148</v>
      </c>
      <c r="N1379" s="387" t="s">
        <v>149</v>
      </c>
      <c r="O1379" s="387" t="s">
        <v>150</v>
      </c>
      <c r="P1379" s="387" t="s">
        <v>151</v>
      </c>
      <c r="Q1379" s="387"/>
      <c r="R1379" s="387" t="s">
        <v>6617</v>
      </c>
      <c r="S1379" s="387"/>
      <c r="T1379" s="387" t="s">
        <v>3285</v>
      </c>
      <c r="U1379" s="387" t="s">
        <v>152</v>
      </c>
      <c r="V1379" s="387" t="s">
        <v>23</v>
      </c>
    </row>
    <row r="1380" spans="2:22">
      <c r="B1380" s="389">
        <v>46231</v>
      </c>
      <c r="C1380" s="389">
        <v>46231</v>
      </c>
      <c r="D1380" s="387" t="s">
        <v>6618</v>
      </c>
      <c r="E1380" s="388" t="s">
        <v>6619</v>
      </c>
      <c r="F1380" s="387" t="s">
        <v>87</v>
      </c>
      <c r="G1380" s="387" t="s">
        <v>2552</v>
      </c>
      <c r="H1380" s="393">
        <v>40</v>
      </c>
      <c r="I1380" s="387">
        <v>40.4</v>
      </c>
      <c r="J1380" s="387">
        <v>40.4</v>
      </c>
      <c r="K1380" s="387">
        <v>5</v>
      </c>
      <c r="L1380" s="387">
        <v>0</v>
      </c>
      <c r="M1380" s="387" t="s">
        <v>148</v>
      </c>
      <c r="N1380" s="387" t="s">
        <v>149</v>
      </c>
      <c r="O1380" s="387" t="s">
        <v>150</v>
      </c>
      <c r="P1380" s="387" t="s">
        <v>151</v>
      </c>
      <c r="Q1380" s="387"/>
      <c r="R1380" s="387" t="s">
        <v>6619</v>
      </c>
      <c r="S1380" s="387"/>
      <c r="T1380" s="387" t="s">
        <v>3285</v>
      </c>
      <c r="U1380" s="387" t="s">
        <v>152</v>
      </c>
      <c r="V1380" s="387" t="s">
        <v>23</v>
      </c>
    </row>
    <row r="1381" spans="2:22">
      <c r="B1381" s="389">
        <v>46231</v>
      </c>
      <c r="C1381" s="389">
        <v>46231</v>
      </c>
      <c r="D1381" s="387" t="s">
        <v>6620</v>
      </c>
      <c r="E1381" s="388" t="s">
        <v>6621</v>
      </c>
      <c r="F1381" s="387" t="s">
        <v>87</v>
      </c>
      <c r="G1381" s="387" t="s">
        <v>2552</v>
      </c>
      <c r="H1381" s="393">
        <v>40</v>
      </c>
      <c r="I1381" s="387">
        <v>40.4</v>
      </c>
      <c r="J1381" s="387">
        <v>40.4</v>
      </c>
      <c r="K1381" s="387">
        <v>5</v>
      </c>
      <c r="L1381" s="387">
        <v>0</v>
      </c>
      <c r="M1381" s="387" t="s">
        <v>148</v>
      </c>
      <c r="N1381" s="387" t="s">
        <v>149</v>
      </c>
      <c r="O1381" s="387" t="s">
        <v>150</v>
      </c>
      <c r="P1381" s="387" t="s">
        <v>151</v>
      </c>
      <c r="Q1381" s="387"/>
      <c r="R1381" s="387" t="s">
        <v>6621</v>
      </c>
      <c r="S1381" s="387"/>
      <c r="T1381" s="387" t="s">
        <v>3285</v>
      </c>
      <c r="U1381" s="387" t="s">
        <v>152</v>
      </c>
      <c r="V1381" s="387" t="s">
        <v>23</v>
      </c>
    </row>
    <row r="1382" spans="2:22">
      <c r="B1382" s="389">
        <v>46231</v>
      </c>
      <c r="C1382" s="389">
        <v>46231</v>
      </c>
      <c r="D1382" s="387" t="s">
        <v>6622</v>
      </c>
      <c r="E1382" s="388" t="s">
        <v>6623</v>
      </c>
      <c r="F1382" s="387" t="s">
        <v>87</v>
      </c>
      <c r="G1382" s="387" t="s">
        <v>2001</v>
      </c>
      <c r="H1382" s="393">
        <v>6</v>
      </c>
      <c r="I1382" s="387">
        <v>19.8</v>
      </c>
      <c r="J1382" s="387">
        <v>19.8</v>
      </c>
      <c r="K1382" s="387">
        <v>1.5</v>
      </c>
      <c r="L1382" s="387">
        <v>0</v>
      </c>
      <c r="M1382" s="387" t="s">
        <v>148</v>
      </c>
      <c r="N1382" s="387" t="s">
        <v>149</v>
      </c>
      <c r="O1382" s="387" t="s">
        <v>150</v>
      </c>
      <c r="P1382" s="387" t="s">
        <v>151</v>
      </c>
      <c r="Q1382" s="387"/>
      <c r="R1382" s="387" t="s">
        <v>6623</v>
      </c>
      <c r="S1382" s="387"/>
      <c r="T1382" s="387" t="s">
        <v>3285</v>
      </c>
      <c r="U1382" s="387" t="s">
        <v>152</v>
      </c>
      <c r="V1382" s="387" t="s">
        <v>23</v>
      </c>
    </row>
    <row r="1383" spans="2:22">
      <c r="B1383" s="389">
        <v>46231</v>
      </c>
      <c r="C1383" s="389">
        <v>46231</v>
      </c>
      <c r="D1383" s="387" t="s">
        <v>6624</v>
      </c>
      <c r="E1383" s="388" t="s">
        <v>6625</v>
      </c>
      <c r="F1383" s="387" t="s">
        <v>87</v>
      </c>
      <c r="G1383" s="387" t="s">
        <v>2552</v>
      </c>
      <c r="H1383" s="393">
        <v>40</v>
      </c>
      <c r="I1383" s="387">
        <v>33.299999999999997</v>
      </c>
      <c r="J1383" s="387">
        <v>33.299999999999997</v>
      </c>
      <c r="K1383" s="387">
        <v>5</v>
      </c>
      <c r="L1383" s="387">
        <v>0</v>
      </c>
      <c r="M1383" s="387" t="s">
        <v>148</v>
      </c>
      <c r="N1383" s="387" t="s">
        <v>149</v>
      </c>
      <c r="O1383" s="387" t="s">
        <v>150</v>
      </c>
      <c r="P1383" s="387" t="s">
        <v>151</v>
      </c>
      <c r="Q1383" s="387"/>
      <c r="R1383" s="387" t="s">
        <v>6625</v>
      </c>
      <c r="S1383" s="387"/>
      <c r="T1383" s="387" t="s">
        <v>3285</v>
      </c>
      <c r="U1383" s="387" t="s">
        <v>152</v>
      </c>
      <c r="V1383" s="387" t="s">
        <v>23</v>
      </c>
    </row>
    <row r="1384" spans="2:22">
      <c r="B1384" s="389">
        <v>46231</v>
      </c>
      <c r="C1384" s="389">
        <v>46231</v>
      </c>
      <c r="D1384" s="387" t="s">
        <v>6626</v>
      </c>
      <c r="E1384" s="388" t="s">
        <v>6627</v>
      </c>
      <c r="F1384" s="387" t="s">
        <v>87</v>
      </c>
      <c r="G1384" s="387" t="s">
        <v>2486</v>
      </c>
      <c r="H1384" s="393">
        <v>40</v>
      </c>
      <c r="I1384" s="387">
        <v>32.200000000000003</v>
      </c>
      <c r="J1384" s="387">
        <v>32.200000000000003</v>
      </c>
      <c r="K1384" s="387">
        <v>5</v>
      </c>
      <c r="L1384" s="387">
        <v>0</v>
      </c>
      <c r="M1384" s="387" t="s">
        <v>148</v>
      </c>
      <c r="N1384" s="387" t="s">
        <v>149</v>
      </c>
      <c r="O1384" s="387" t="s">
        <v>150</v>
      </c>
      <c r="P1384" s="387" t="s">
        <v>151</v>
      </c>
      <c r="Q1384" s="387"/>
      <c r="R1384" s="387" t="s">
        <v>6627</v>
      </c>
      <c r="S1384" s="387"/>
      <c r="T1384" s="387" t="s">
        <v>3285</v>
      </c>
      <c r="U1384" s="387" t="s">
        <v>152</v>
      </c>
      <c r="V1384" s="387" t="s">
        <v>23</v>
      </c>
    </row>
    <row r="1385" spans="2:22">
      <c r="B1385" s="389">
        <v>46231</v>
      </c>
      <c r="C1385" s="389">
        <v>46231</v>
      </c>
      <c r="D1385" s="387" t="s">
        <v>6628</v>
      </c>
      <c r="E1385" s="388" t="s">
        <v>6629</v>
      </c>
      <c r="F1385" s="387" t="s">
        <v>87</v>
      </c>
      <c r="G1385" s="387" t="s">
        <v>2486</v>
      </c>
      <c r="H1385" s="393">
        <v>40</v>
      </c>
      <c r="I1385" s="387">
        <v>38.200000000000003</v>
      </c>
      <c r="J1385" s="387">
        <v>38.200000000000003</v>
      </c>
      <c r="K1385" s="387">
        <v>5</v>
      </c>
      <c r="L1385" s="387">
        <v>0</v>
      </c>
      <c r="M1385" s="387" t="s">
        <v>148</v>
      </c>
      <c r="N1385" s="387" t="s">
        <v>149</v>
      </c>
      <c r="O1385" s="387" t="s">
        <v>150</v>
      </c>
      <c r="P1385" s="387" t="s">
        <v>151</v>
      </c>
      <c r="Q1385" s="387"/>
      <c r="R1385" s="387" t="s">
        <v>6629</v>
      </c>
      <c r="S1385" s="387"/>
      <c r="T1385" s="387" t="s">
        <v>3285</v>
      </c>
      <c r="U1385" s="387" t="s">
        <v>152</v>
      </c>
      <c r="V1385" s="387" t="s">
        <v>23</v>
      </c>
    </row>
    <row r="1386" spans="2:22">
      <c r="B1386" s="389">
        <v>46231</v>
      </c>
      <c r="C1386" s="389">
        <v>46231</v>
      </c>
      <c r="D1386" s="387" t="s">
        <v>6630</v>
      </c>
      <c r="E1386" s="388" t="s">
        <v>6631</v>
      </c>
      <c r="F1386" s="387" t="s">
        <v>87</v>
      </c>
      <c r="G1386" s="387" t="s">
        <v>2486</v>
      </c>
      <c r="H1386" s="393">
        <v>40</v>
      </c>
      <c r="I1386" s="387">
        <v>39.9</v>
      </c>
      <c r="J1386" s="387">
        <v>39.9</v>
      </c>
      <c r="K1386" s="387">
        <v>5</v>
      </c>
      <c r="L1386" s="387">
        <v>0</v>
      </c>
      <c r="M1386" s="387" t="s">
        <v>148</v>
      </c>
      <c r="N1386" s="387" t="s">
        <v>149</v>
      </c>
      <c r="O1386" s="387" t="s">
        <v>150</v>
      </c>
      <c r="P1386" s="387" t="s">
        <v>151</v>
      </c>
      <c r="Q1386" s="387"/>
      <c r="R1386" s="387" t="s">
        <v>6631</v>
      </c>
      <c r="S1386" s="387"/>
      <c r="T1386" s="387" t="s">
        <v>3285</v>
      </c>
      <c r="U1386" s="387" t="s">
        <v>152</v>
      </c>
      <c r="V1386" s="387" t="s">
        <v>23</v>
      </c>
    </row>
    <row r="1387" spans="2:22">
      <c r="B1387" s="389">
        <v>46231</v>
      </c>
      <c r="C1387" s="389">
        <v>46231</v>
      </c>
      <c r="D1387" s="387" t="s">
        <v>6632</v>
      </c>
      <c r="E1387" s="388" t="s">
        <v>6633</v>
      </c>
      <c r="F1387" s="387" t="s">
        <v>87</v>
      </c>
      <c r="G1387" s="387" t="s">
        <v>2486</v>
      </c>
      <c r="H1387" s="393">
        <v>40</v>
      </c>
      <c r="I1387" s="387">
        <v>34.299999999999997</v>
      </c>
      <c r="J1387" s="387">
        <v>34.299999999999997</v>
      </c>
      <c r="K1387" s="387">
        <v>5</v>
      </c>
      <c r="L1387" s="387">
        <v>0</v>
      </c>
      <c r="M1387" s="387" t="s">
        <v>148</v>
      </c>
      <c r="N1387" s="387" t="s">
        <v>149</v>
      </c>
      <c r="O1387" s="387" t="s">
        <v>150</v>
      </c>
      <c r="P1387" s="387" t="s">
        <v>151</v>
      </c>
      <c r="Q1387" s="387"/>
      <c r="R1387" s="387" t="s">
        <v>6633</v>
      </c>
      <c r="S1387" s="387"/>
      <c r="T1387" s="387" t="s">
        <v>3285</v>
      </c>
      <c r="U1387" s="387" t="s">
        <v>152</v>
      </c>
      <c r="V1387" s="387" t="s">
        <v>23</v>
      </c>
    </row>
    <row r="1388" spans="2:22">
      <c r="B1388" s="389">
        <v>46231</v>
      </c>
      <c r="C1388" s="389">
        <v>46231</v>
      </c>
      <c r="D1388" s="387" t="s">
        <v>6634</v>
      </c>
      <c r="E1388" s="388" t="s">
        <v>6635</v>
      </c>
      <c r="F1388" s="387" t="s">
        <v>87</v>
      </c>
      <c r="G1388" s="387" t="s">
        <v>3866</v>
      </c>
      <c r="H1388" s="393">
        <v>40</v>
      </c>
      <c r="I1388" s="387">
        <v>29.4</v>
      </c>
      <c r="J1388" s="387">
        <v>29.4</v>
      </c>
      <c r="K1388" s="387">
        <v>5</v>
      </c>
      <c r="L1388" s="387">
        <v>0</v>
      </c>
      <c r="M1388" s="387" t="s">
        <v>148</v>
      </c>
      <c r="N1388" s="387" t="s">
        <v>149</v>
      </c>
      <c r="O1388" s="387" t="s">
        <v>150</v>
      </c>
      <c r="P1388" s="387" t="s">
        <v>151</v>
      </c>
      <c r="Q1388" s="387"/>
      <c r="R1388" s="387" t="s">
        <v>6635</v>
      </c>
      <c r="S1388" s="387"/>
      <c r="T1388" s="387" t="s">
        <v>3285</v>
      </c>
      <c r="U1388" s="387" t="s">
        <v>152</v>
      </c>
      <c r="V1388" s="387" t="s">
        <v>23</v>
      </c>
    </row>
    <row r="1389" spans="2:22">
      <c r="B1389" s="389">
        <v>46231</v>
      </c>
      <c r="C1389" s="389">
        <v>46231</v>
      </c>
      <c r="D1389" s="387" t="s">
        <v>6636</v>
      </c>
      <c r="E1389" s="388" t="s">
        <v>6637</v>
      </c>
      <c r="F1389" s="387" t="s">
        <v>87</v>
      </c>
      <c r="G1389" s="387" t="s">
        <v>2552</v>
      </c>
      <c r="H1389" s="393">
        <v>40</v>
      </c>
      <c r="I1389" s="387">
        <v>38.799999999999997</v>
      </c>
      <c r="J1389" s="387">
        <v>38.799999999999997</v>
      </c>
      <c r="K1389" s="387">
        <v>5</v>
      </c>
      <c r="L1389" s="387">
        <v>0</v>
      </c>
      <c r="M1389" s="387" t="s">
        <v>148</v>
      </c>
      <c r="N1389" s="387" t="s">
        <v>149</v>
      </c>
      <c r="O1389" s="387" t="s">
        <v>150</v>
      </c>
      <c r="P1389" s="387" t="s">
        <v>151</v>
      </c>
      <c r="Q1389" s="387"/>
      <c r="R1389" s="387" t="s">
        <v>6637</v>
      </c>
      <c r="S1389" s="387"/>
      <c r="T1389" s="387" t="s">
        <v>3285</v>
      </c>
      <c r="U1389" s="387" t="s">
        <v>152</v>
      </c>
      <c r="V1389" s="387" t="s">
        <v>23</v>
      </c>
    </row>
    <row r="1390" spans="2:22">
      <c r="B1390" s="389">
        <v>46231</v>
      </c>
      <c r="C1390" s="389">
        <v>46231</v>
      </c>
      <c r="D1390" s="387" t="s">
        <v>6638</v>
      </c>
      <c r="E1390" s="388" t="s">
        <v>6639</v>
      </c>
      <c r="F1390" s="387" t="s">
        <v>87</v>
      </c>
      <c r="G1390" s="387" t="s">
        <v>5706</v>
      </c>
      <c r="H1390" s="393">
        <v>50</v>
      </c>
      <c r="I1390" s="387">
        <v>45.4</v>
      </c>
      <c r="J1390" s="387">
        <v>45.4</v>
      </c>
      <c r="K1390" s="387">
        <v>5</v>
      </c>
      <c r="L1390" s="387">
        <v>0</v>
      </c>
      <c r="M1390" s="387" t="s">
        <v>148</v>
      </c>
      <c r="N1390" s="387" t="s">
        <v>149</v>
      </c>
      <c r="O1390" s="387" t="s">
        <v>150</v>
      </c>
      <c r="P1390" s="387" t="s">
        <v>151</v>
      </c>
      <c r="Q1390" s="387"/>
      <c r="R1390" s="387" t="s">
        <v>6639</v>
      </c>
      <c r="S1390" s="387"/>
      <c r="T1390" s="387" t="s">
        <v>3285</v>
      </c>
      <c r="U1390" s="387" t="s">
        <v>152</v>
      </c>
      <c r="V1390" s="387" t="s">
        <v>23</v>
      </c>
    </row>
    <row r="1391" spans="2:22">
      <c r="B1391" s="389">
        <v>46231</v>
      </c>
      <c r="C1391" s="389">
        <v>46231</v>
      </c>
      <c r="D1391" s="387" t="s">
        <v>6640</v>
      </c>
      <c r="E1391" s="388" t="s">
        <v>6641</v>
      </c>
      <c r="F1391" s="387" t="s">
        <v>87</v>
      </c>
      <c r="G1391" s="387" t="s">
        <v>2486</v>
      </c>
      <c r="H1391" s="393">
        <v>40</v>
      </c>
      <c r="I1391" s="387">
        <v>36.299999999999997</v>
      </c>
      <c r="J1391" s="387">
        <v>36.299999999999997</v>
      </c>
      <c r="K1391" s="387">
        <v>5</v>
      </c>
      <c r="L1391" s="387">
        <v>0</v>
      </c>
      <c r="M1391" s="387" t="s">
        <v>148</v>
      </c>
      <c r="N1391" s="387" t="s">
        <v>149</v>
      </c>
      <c r="O1391" s="387" t="s">
        <v>150</v>
      </c>
      <c r="P1391" s="387" t="s">
        <v>151</v>
      </c>
      <c r="Q1391" s="387"/>
      <c r="R1391" s="387" t="s">
        <v>6641</v>
      </c>
      <c r="S1391" s="387"/>
      <c r="T1391" s="387" t="s">
        <v>3285</v>
      </c>
      <c r="U1391" s="387" t="s">
        <v>152</v>
      </c>
      <c r="V1391" s="387" t="s">
        <v>23</v>
      </c>
    </row>
    <row r="1392" spans="2:22">
      <c r="B1392" s="389">
        <v>46231</v>
      </c>
      <c r="C1392" s="389">
        <v>46231</v>
      </c>
      <c r="D1392" s="387" t="s">
        <v>6642</v>
      </c>
      <c r="E1392" s="388" t="s">
        <v>6643</v>
      </c>
      <c r="F1392" s="387" t="s">
        <v>87</v>
      </c>
      <c r="G1392" s="387" t="s">
        <v>2552</v>
      </c>
      <c r="H1392" s="393">
        <v>40</v>
      </c>
      <c r="I1392" s="387">
        <v>42.2</v>
      </c>
      <c r="J1392" s="387">
        <v>42.2</v>
      </c>
      <c r="K1392" s="387">
        <v>5</v>
      </c>
      <c r="L1392" s="387">
        <v>0</v>
      </c>
      <c r="M1392" s="387" t="s">
        <v>148</v>
      </c>
      <c r="N1392" s="387" t="s">
        <v>149</v>
      </c>
      <c r="O1392" s="387" t="s">
        <v>150</v>
      </c>
      <c r="P1392" s="387" t="s">
        <v>151</v>
      </c>
      <c r="Q1392" s="387"/>
      <c r="R1392" s="387" t="s">
        <v>6643</v>
      </c>
      <c r="S1392" s="387"/>
      <c r="T1392" s="387" t="s">
        <v>3285</v>
      </c>
      <c r="U1392" s="387" t="s">
        <v>152</v>
      </c>
      <c r="V1392" s="387" t="s">
        <v>23</v>
      </c>
    </row>
    <row r="1393" spans="2:22">
      <c r="B1393" s="389">
        <v>46231</v>
      </c>
      <c r="C1393" s="389">
        <v>46231</v>
      </c>
      <c r="D1393" s="387" t="s">
        <v>6644</v>
      </c>
      <c r="E1393" s="388" t="s">
        <v>6645</v>
      </c>
      <c r="F1393" s="387" t="s">
        <v>87</v>
      </c>
      <c r="G1393" s="387" t="s">
        <v>2552</v>
      </c>
      <c r="H1393" s="393">
        <v>40</v>
      </c>
      <c r="I1393" s="387">
        <v>63.2</v>
      </c>
      <c r="J1393" s="387">
        <v>63.2</v>
      </c>
      <c r="K1393" s="387">
        <v>5</v>
      </c>
      <c r="L1393" s="387">
        <v>0</v>
      </c>
      <c r="M1393" s="387" t="s">
        <v>148</v>
      </c>
      <c r="N1393" s="387" t="s">
        <v>149</v>
      </c>
      <c r="O1393" s="387" t="s">
        <v>150</v>
      </c>
      <c r="P1393" s="387" t="s">
        <v>151</v>
      </c>
      <c r="Q1393" s="387"/>
      <c r="R1393" s="387" t="s">
        <v>6645</v>
      </c>
      <c r="S1393" s="387"/>
      <c r="T1393" s="387" t="s">
        <v>3285</v>
      </c>
      <c r="U1393" s="387" t="s">
        <v>152</v>
      </c>
      <c r="V1393" s="387" t="s">
        <v>23</v>
      </c>
    </row>
    <row r="1394" spans="2:22">
      <c r="B1394" s="389">
        <v>46231</v>
      </c>
      <c r="C1394" s="389">
        <v>46231</v>
      </c>
      <c r="D1394" s="387" t="s">
        <v>6646</v>
      </c>
      <c r="E1394" s="388" t="s">
        <v>6647</v>
      </c>
      <c r="F1394" s="387" t="s">
        <v>87</v>
      </c>
      <c r="G1394" s="387" t="s">
        <v>2486</v>
      </c>
      <c r="H1394" s="393">
        <v>40</v>
      </c>
      <c r="I1394" s="387">
        <v>44.6</v>
      </c>
      <c r="J1394" s="387">
        <v>44.6</v>
      </c>
      <c r="K1394" s="387">
        <v>5</v>
      </c>
      <c r="L1394" s="387">
        <v>0</v>
      </c>
      <c r="M1394" s="387" t="s">
        <v>148</v>
      </c>
      <c r="N1394" s="387" t="s">
        <v>149</v>
      </c>
      <c r="O1394" s="387" t="s">
        <v>150</v>
      </c>
      <c r="P1394" s="387" t="s">
        <v>151</v>
      </c>
      <c r="Q1394" s="387"/>
      <c r="R1394" s="387" t="s">
        <v>6647</v>
      </c>
      <c r="S1394" s="387"/>
      <c r="T1394" s="387" t="s">
        <v>3285</v>
      </c>
      <c r="U1394" s="387" t="s">
        <v>152</v>
      </c>
      <c r="V1394" s="387" t="s">
        <v>23</v>
      </c>
    </row>
    <row r="1395" spans="2:22">
      <c r="B1395" s="389">
        <v>46231</v>
      </c>
      <c r="C1395" s="389">
        <v>46231</v>
      </c>
      <c r="D1395" s="387" t="s">
        <v>6648</v>
      </c>
      <c r="E1395" s="388" t="s">
        <v>6649</v>
      </c>
      <c r="F1395" s="387" t="s">
        <v>87</v>
      </c>
      <c r="G1395" s="387" t="s">
        <v>2001</v>
      </c>
      <c r="H1395" s="393">
        <v>6</v>
      </c>
      <c r="I1395" s="387">
        <v>13.8</v>
      </c>
      <c r="J1395" s="387">
        <v>13.8</v>
      </c>
      <c r="K1395" s="387">
        <v>1.5</v>
      </c>
      <c r="L1395" s="387">
        <v>0</v>
      </c>
      <c r="M1395" s="387" t="s">
        <v>148</v>
      </c>
      <c r="N1395" s="387" t="s">
        <v>149</v>
      </c>
      <c r="O1395" s="387" t="s">
        <v>150</v>
      </c>
      <c r="P1395" s="387" t="s">
        <v>151</v>
      </c>
      <c r="Q1395" s="387"/>
      <c r="R1395" s="387" t="s">
        <v>6649</v>
      </c>
      <c r="S1395" s="387"/>
      <c r="T1395" s="387" t="s">
        <v>3285</v>
      </c>
      <c r="U1395" s="387" t="s">
        <v>152</v>
      </c>
      <c r="V1395" s="387" t="s">
        <v>23</v>
      </c>
    </row>
    <row r="1396" spans="2:22">
      <c r="B1396" s="389">
        <v>46231</v>
      </c>
      <c r="C1396" s="389">
        <v>46231</v>
      </c>
      <c r="D1396" s="387" t="s">
        <v>6650</v>
      </c>
      <c r="E1396" s="388" t="s">
        <v>6651</v>
      </c>
      <c r="F1396" s="387" t="s">
        <v>87</v>
      </c>
      <c r="G1396" s="387" t="s">
        <v>2552</v>
      </c>
      <c r="H1396" s="393">
        <v>40</v>
      </c>
      <c r="I1396" s="387">
        <v>39.799999999999997</v>
      </c>
      <c r="J1396" s="387">
        <v>39.799999999999997</v>
      </c>
      <c r="K1396" s="387">
        <v>5</v>
      </c>
      <c r="L1396" s="387">
        <v>0</v>
      </c>
      <c r="M1396" s="387" t="s">
        <v>148</v>
      </c>
      <c r="N1396" s="387" t="s">
        <v>149</v>
      </c>
      <c r="O1396" s="387" t="s">
        <v>150</v>
      </c>
      <c r="P1396" s="387" t="s">
        <v>151</v>
      </c>
      <c r="Q1396" s="387"/>
      <c r="R1396" s="387" t="s">
        <v>6651</v>
      </c>
      <c r="S1396" s="387"/>
      <c r="T1396" s="387" t="s">
        <v>3285</v>
      </c>
      <c r="U1396" s="387" t="s">
        <v>152</v>
      </c>
      <c r="V1396" s="387" t="s">
        <v>23</v>
      </c>
    </row>
    <row r="1397" spans="2:22">
      <c r="B1397" s="389">
        <v>46231</v>
      </c>
      <c r="C1397" s="389">
        <v>46231</v>
      </c>
      <c r="D1397" s="387" t="s">
        <v>6652</v>
      </c>
      <c r="E1397" s="388" t="s">
        <v>6653</v>
      </c>
      <c r="F1397" s="387" t="s">
        <v>87</v>
      </c>
      <c r="G1397" s="387" t="s">
        <v>2486</v>
      </c>
      <c r="H1397" s="393">
        <v>40</v>
      </c>
      <c r="I1397" s="387">
        <v>39.200000000000003</v>
      </c>
      <c r="J1397" s="387">
        <v>39.200000000000003</v>
      </c>
      <c r="K1397" s="387">
        <v>5</v>
      </c>
      <c r="L1397" s="387">
        <v>0</v>
      </c>
      <c r="M1397" s="387" t="s">
        <v>148</v>
      </c>
      <c r="N1397" s="387" t="s">
        <v>149</v>
      </c>
      <c r="O1397" s="387" t="s">
        <v>150</v>
      </c>
      <c r="P1397" s="387" t="s">
        <v>151</v>
      </c>
      <c r="Q1397" s="387"/>
      <c r="R1397" s="387" t="s">
        <v>6653</v>
      </c>
      <c r="S1397" s="387"/>
      <c r="T1397" s="387" t="s">
        <v>3285</v>
      </c>
      <c r="U1397" s="387" t="s">
        <v>152</v>
      </c>
      <c r="V1397" s="387" t="s">
        <v>23</v>
      </c>
    </row>
    <row r="1398" spans="2:22">
      <c r="B1398" s="389">
        <v>46231</v>
      </c>
      <c r="C1398" s="389">
        <v>46231</v>
      </c>
      <c r="D1398" s="387" t="s">
        <v>6654</v>
      </c>
      <c r="E1398" s="388" t="s">
        <v>6655</v>
      </c>
      <c r="F1398" s="387" t="s">
        <v>87</v>
      </c>
      <c r="G1398" s="387" t="s">
        <v>2552</v>
      </c>
      <c r="H1398" s="393">
        <v>40</v>
      </c>
      <c r="I1398" s="387">
        <v>36.5</v>
      </c>
      <c r="J1398" s="387">
        <v>36.5</v>
      </c>
      <c r="K1398" s="387">
        <v>5</v>
      </c>
      <c r="L1398" s="387">
        <v>0</v>
      </c>
      <c r="M1398" s="387" t="s">
        <v>148</v>
      </c>
      <c r="N1398" s="387" t="s">
        <v>149</v>
      </c>
      <c r="O1398" s="387" t="s">
        <v>150</v>
      </c>
      <c r="P1398" s="387" t="s">
        <v>151</v>
      </c>
      <c r="Q1398" s="387"/>
      <c r="R1398" s="387" t="s">
        <v>6655</v>
      </c>
      <c r="S1398" s="387"/>
      <c r="T1398" s="387" t="s">
        <v>3285</v>
      </c>
      <c r="U1398" s="387" t="s">
        <v>152</v>
      </c>
      <c r="V1398" s="387" t="s">
        <v>23</v>
      </c>
    </row>
    <row r="1399" spans="2:22">
      <c r="B1399" s="389">
        <v>46231</v>
      </c>
      <c r="C1399" s="389">
        <v>46231</v>
      </c>
      <c r="D1399" s="387" t="s">
        <v>6656</v>
      </c>
      <c r="E1399" s="388" t="s">
        <v>6657</v>
      </c>
      <c r="F1399" s="387" t="s">
        <v>87</v>
      </c>
      <c r="G1399" s="387" t="s">
        <v>2486</v>
      </c>
      <c r="H1399" s="393">
        <v>40</v>
      </c>
      <c r="I1399" s="387">
        <v>35.799999999999997</v>
      </c>
      <c r="J1399" s="387">
        <v>35.799999999999997</v>
      </c>
      <c r="K1399" s="387">
        <v>5</v>
      </c>
      <c r="L1399" s="387">
        <v>0</v>
      </c>
      <c r="M1399" s="387" t="s">
        <v>148</v>
      </c>
      <c r="N1399" s="387" t="s">
        <v>149</v>
      </c>
      <c r="O1399" s="387" t="s">
        <v>150</v>
      </c>
      <c r="P1399" s="387" t="s">
        <v>151</v>
      </c>
      <c r="Q1399" s="387"/>
      <c r="R1399" s="387" t="s">
        <v>6657</v>
      </c>
      <c r="S1399" s="387"/>
      <c r="T1399" s="387" t="s">
        <v>3285</v>
      </c>
      <c r="U1399" s="387" t="s">
        <v>152</v>
      </c>
      <c r="V1399" s="387" t="s">
        <v>23</v>
      </c>
    </row>
    <row r="1400" spans="2:22">
      <c r="B1400" s="389">
        <v>46231</v>
      </c>
      <c r="C1400" s="389">
        <v>46231</v>
      </c>
      <c r="D1400" s="387" t="s">
        <v>6658</v>
      </c>
      <c r="E1400" s="388" t="s">
        <v>6659</v>
      </c>
      <c r="F1400" s="387" t="s">
        <v>87</v>
      </c>
      <c r="G1400" s="387" t="s">
        <v>3866</v>
      </c>
      <c r="H1400" s="393">
        <v>40</v>
      </c>
      <c r="I1400" s="387">
        <v>29.9</v>
      </c>
      <c r="J1400" s="387">
        <v>29.9</v>
      </c>
      <c r="K1400" s="387">
        <v>5</v>
      </c>
      <c r="L1400" s="387">
        <v>0</v>
      </c>
      <c r="M1400" s="387" t="s">
        <v>148</v>
      </c>
      <c r="N1400" s="387" t="s">
        <v>149</v>
      </c>
      <c r="O1400" s="387" t="s">
        <v>150</v>
      </c>
      <c r="P1400" s="387" t="s">
        <v>151</v>
      </c>
      <c r="Q1400" s="387"/>
      <c r="R1400" s="387" t="s">
        <v>6659</v>
      </c>
      <c r="S1400" s="387"/>
      <c r="T1400" s="387" t="s">
        <v>3285</v>
      </c>
      <c r="U1400" s="387" t="s">
        <v>152</v>
      </c>
      <c r="V1400" s="387" t="s">
        <v>23</v>
      </c>
    </row>
    <row r="1401" spans="2:22">
      <c r="B1401" s="389">
        <v>46231</v>
      </c>
      <c r="C1401" s="389">
        <v>46231</v>
      </c>
      <c r="D1401" s="387" t="s">
        <v>6660</v>
      </c>
      <c r="E1401" s="388" t="s">
        <v>6661</v>
      </c>
      <c r="F1401" s="387" t="s">
        <v>87</v>
      </c>
      <c r="G1401" s="387" t="s">
        <v>2552</v>
      </c>
      <c r="H1401" s="393">
        <v>40</v>
      </c>
      <c r="I1401" s="387">
        <v>39.4</v>
      </c>
      <c r="J1401" s="387">
        <v>39.4</v>
      </c>
      <c r="K1401" s="387">
        <v>5</v>
      </c>
      <c r="L1401" s="387">
        <v>0</v>
      </c>
      <c r="M1401" s="387" t="s">
        <v>148</v>
      </c>
      <c r="N1401" s="387" t="s">
        <v>149</v>
      </c>
      <c r="O1401" s="387" t="s">
        <v>150</v>
      </c>
      <c r="P1401" s="387" t="s">
        <v>151</v>
      </c>
      <c r="Q1401" s="387"/>
      <c r="R1401" s="387" t="s">
        <v>6661</v>
      </c>
      <c r="S1401" s="387"/>
      <c r="T1401" s="387" t="s">
        <v>3285</v>
      </c>
      <c r="U1401" s="387" t="s">
        <v>152</v>
      </c>
      <c r="V1401" s="387" t="s">
        <v>23</v>
      </c>
    </row>
    <row r="1402" spans="2:22">
      <c r="B1402" s="389">
        <v>46231</v>
      </c>
      <c r="C1402" s="389">
        <v>46231</v>
      </c>
      <c r="D1402" s="387" t="s">
        <v>6662</v>
      </c>
      <c r="E1402" s="388" t="s">
        <v>6663</v>
      </c>
      <c r="F1402" s="387" t="s">
        <v>87</v>
      </c>
      <c r="G1402" s="387" t="s">
        <v>6162</v>
      </c>
      <c r="H1402" s="393">
        <v>50</v>
      </c>
      <c r="I1402" s="387">
        <v>31.5</v>
      </c>
      <c r="J1402" s="387">
        <v>31.5</v>
      </c>
      <c r="K1402" s="387">
        <v>5</v>
      </c>
      <c r="L1402" s="387">
        <v>0</v>
      </c>
      <c r="M1402" s="387" t="s">
        <v>148</v>
      </c>
      <c r="N1402" s="387" t="s">
        <v>149</v>
      </c>
      <c r="O1402" s="387" t="s">
        <v>150</v>
      </c>
      <c r="P1402" s="387" t="s">
        <v>151</v>
      </c>
      <c r="Q1402" s="387"/>
      <c r="R1402" s="387" t="s">
        <v>6663</v>
      </c>
      <c r="S1402" s="387"/>
      <c r="T1402" s="387" t="s">
        <v>3287</v>
      </c>
      <c r="U1402" s="387" t="s">
        <v>152</v>
      </c>
      <c r="V1402" s="387" t="s">
        <v>23</v>
      </c>
    </row>
    <row r="1403" spans="2:22">
      <c r="B1403" s="389">
        <v>46232</v>
      </c>
      <c r="C1403" s="389">
        <v>46232</v>
      </c>
      <c r="D1403" s="387" t="s">
        <v>6664</v>
      </c>
      <c r="E1403" s="388" t="s">
        <v>6665</v>
      </c>
      <c r="F1403" s="387" t="s">
        <v>87</v>
      </c>
      <c r="G1403" s="387" t="s">
        <v>2486</v>
      </c>
      <c r="H1403" s="393">
        <v>40</v>
      </c>
      <c r="I1403" s="387">
        <v>38.200000000000003</v>
      </c>
      <c r="J1403" s="387">
        <v>38.200000000000003</v>
      </c>
      <c r="K1403" s="387">
        <v>5</v>
      </c>
      <c r="L1403" s="387">
        <v>0</v>
      </c>
      <c r="M1403" s="387" t="s">
        <v>148</v>
      </c>
      <c r="N1403" s="387" t="s">
        <v>149</v>
      </c>
      <c r="O1403" s="387" t="s">
        <v>150</v>
      </c>
      <c r="P1403" s="387" t="s">
        <v>151</v>
      </c>
      <c r="Q1403" s="387"/>
      <c r="R1403" s="387" t="s">
        <v>6665</v>
      </c>
      <c r="S1403" s="387"/>
      <c r="T1403" s="387" t="s">
        <v>3317</v>
      </c>
      <c r="U1403" s="387" t="s">
        <v>152</v>
      </c>
      <c r="V1403" s="387" t="s">
        <v>23</v>
      </c>
    </row>
    <row r="1404" spans="2:22">
      <c r="B1404" s="389">
        <v>46232</v>
      </c>
      <c r="C1404" s="389">
        <v>46232</v>
      </c>
      <c r="D1404" s="387" t="s">
        <v>6666</v>
      </c>
      <c r="E1404" s="388" t="s">
        <v>6667</v>
      </c>
      <c r="F1404" s="387" t="s">
        <v>87</v>
      </c>
      <c r="G1404" s="387" t="s">
        <v>3934</v>
      </c>
      <c r="H1404" s="393">
        <v>25</v>
      </c>
      <c r="I1404" s="387">
        <v>61.3</v>
      </c>
      <c r="J1404" s="387">
        <v>61.3</v>
      </c>
      <c r="K1404" s="387">
        <v>4</v>
      </c>
      <c r="L1404" s="387">
        <v>0</v>
      </c>
      <c r="M1404" s="387" t="s">
        <v>148</v>
      </c>
      <c r="N1404" s="387" t="s">
        <v>149</v>
      </c>
      <c r="O1404" s="387" t="s">
        <v>150</v>
      </c>
      <c r="P1404" s="387" t="s">
        <v>151</v>
      </c>
      <c r="Q1404" s="387"/>
      <c r="R1404" s="387" t="s">
        <v>6667</v>
      </c>
      <c r="S1404" s="387"/>
      <c r="T1404" s="387" t="s">
        <v>3317</v>
      </c>
      <c r="U1404" s="387" t="s">
        <v>152</v>
      </c>
      <c r="V1404" s="387" t="s">
        <v>23</v>
      </c>
    </row>
    <row r="1405" spans="2:22">
      <c r="B1405" s="389">
        <v>46232</v>
      </c>
      <c r="C1405" s="389">
        <v>46232</v>
      </c>
      <c r="D1405" s="387" t="s">
        <v>6668</v>
      </c>
      <c r="E1405" s="388" t="s">
        <v>6669</v>
      </c>
      <c r="F1405" s="387" t="s">
        <v>87</v>
      </c>
      <c r="G1405" s="387" t="s">
        <v>5706</v>
      </c>
      <c r="H1405" s="393">
        <v>50</v>
      </c>
      <c r="I1405" s="387">
        <v>19.3</v>
      </c>
      <c r="J1405" s="387">
        <v>19.3</v>
      </c>
      <c r="K1405" s="387">
        <v>5</v>
      </c>
      <c r="L1405" s="387">
        <v>0</v>
      </c>
      <c r="M1405" s="387" t="s">
        <v>148</v>
      </c>
      <c r="N1405" s="387" t="s">
        <v>149</v>
      </c>
      <c r="O1405" s="387" t="s">
        <v>150</v>
      </c>
      <c r="P1405" s="387" t="s">
        <v>151</v>
      </c>
      <c r="Q1405" s="387"/>
      <c r="R1405" s="387" t="s">
        <v>6669</v>
      </c>
      <c r="S1405" s="387"/>
      <c r="T1405" s="387" t="s">
        <v>3317</v>
      </c>
      <c r="U1405" s="387" t="s">
        <v>152</v>
      </c>
      <c r="V1405" s="387" t="s">
        <v>23</v>
      </c>
    </row>
    <row r="1406" spans="2:22">
      <c r="B1406" s="389">
        <v>46232</v>
      </c>
      <c r="C1406" s="389">
        <v>46232</v>
      </c>
      <c r="D1406" s="387" t="s">
        <v>6670</v>
      </c>
      <c r="E1406" s="388" t="s">
        <v>6671</v>
      </c>
      <c r="F1406" s="387" t="s">
        <v>87</v>
      </c>
      <c r="G1406" s="387" t="s">
        <v>4501</v>
      </c>
      <c r="H1406" s="393">
        <v>55</v>
      </c>
      <c r="I1406" s="387">
        <v>41.3</v>
      </c>
      <c r="J1406" s="387">
        <v>41.3</v>
      </c>
      <c r="K1406" s="387">
        <v>5</v>
      </c>
      <c r="L1406" s="387">
        <v>0</v>
      </c>
      <c r="M1406" s="387" t="s">
        <v>148</v>
      </c>
      <c r="N1406" s="387" t="s">
        <v>149</v>
      </c>
      <c r="O1406" s="387" t="s">
        <v>150</v>
      </c>
      <c r="P1406" s="387" t="s">
        <v>151</v>
      </c>
      <c r="Q1406" s="387"/>
      <c r="R1406" s="387" t="s">
        <v>6671</v>
      </c>
      <c r="S1406" s="387"/>
      <c r="T1406" s="387" t="s">
        <v>3317</v>
      </c>
      <c r="U1406" s="387" t="s">
        <v>152</v>
      </c>
      <c r="V1406" s="387" t="s">
        <v>23</v>
      </c>
    </row>
    <row r="1407" spans="2:22">
      <c r="B1407" s="389">
        <v>46232</v>
      </c>
      <c r="C1407" s="389">
        <v>46232</v>
      </c>
      <c r="D1407" s="387" t="s">
        <v>6672</v>
      </c>
      <c r="E1407" s="388" t="s">
        <v>6673</v>
      </c>
      <c r="F1407" s="387" t="s">
        <v>87</v>
      </c>
      <c r="G1407" s="387" t="s">
        <v>2486</v>
      </c>
      <c r="H1407" s="393">
        <v>40</v>
      </c>
      <c r="I1407" s="387">
        <v>34.299999999999997</v>
      </c>
      <c r="J1407" s="387">
        <v>34.299999999999997</v>
      </c>
      <c r="K1407" s="387">
        <v>5</v>
      </c>
      <c r="L1407" s="387">
        <v>0</v>
      </c>
      <c r="M1407" s="387" t="s">
        <v>148</v>
      </c>
      <c r="N1407" s="387" t="s">
        <v>149</v>
      </c>
      <c r="O1407" s="387" t="s">
        <v>150</v>
      </c>
      <c r="P1407" s="387" t="s">
        <v>151</v>
      </c>
      <c r="Q1407" s="387"/>
      <c r="R1407" s="387" t="s">
        <v>6673</v>
      </c>
      <c r="S1407" s="387"/>
      <c r="T1407" s="387" t="s">
        <v>3317</v>
      </c>
      <c r="U1407" s="387" t="s">
        <v>152</v>
      </c>
      <c r="V1407" s="387" t="s">
        <v>23</v>
      </c>
    </row>
    <row r="1408" spans="2:22">
      <c r="B1408" s="389">
        <v>46232</v>
      </c>
      <c r="C1408" s="389">
        <v>46232</v>
      </c>
      <c r="D1408" s="387" t="s">
        <v>6674</v>
      </c>
      <c r="E1408" s="388" t="s">
        <v>6675</v>
      </c>
      <c r="F1408" s="387" t="s">
        <v>87</v>
      </c>
      <c r="G1408" s="387" t="s">
        <v>2486</v>
      </c>
      <c r="H1408" s="393">
        <v>40</v>
      </c>
      <c r="I1408" s="387">
        <v>38.799999999999997</v>
      </c>
      <c r="J1408" s="387">
        <v>38.799999999999997</v>
      </c>
      <c r="K1408" s="387">
        <v>5</v>
      </c>
      <c r="L1408" s="387">
        <v>0</v>
      </c>
      <c r="M1408" s="387" t="s">
        <v>148</v>
      </c>
      <c r="N1408" s="387" t="s">
        <v>149</v>
      </c>
      <c r="O1408" s="387" t="s">
        <v>150</v>
      </c>
      <c r="P1408" s="387" t="s">
        <v>151</v>
      </c>
      <c r="Q1408" s="387"/>
      <c r="R1408" s="387" t="s">
        <v>6675</v>
      </c>
      <c r="S1408" s="387"/>
      <c r="T1408" s="387" t="s">
        <v>3317</v>
      </c>
      <c r="U1408" s="387" t="s">
        <v>152</v>
      </c>
      <c r="V1408" s="387" t="s">
        <v>23</v>
      </c>
    </row>
    <row r="1409" spans="2:22">
      <c r="B1409" s="389">
        <v>46232</v>
      </c>
      <c r="C1409" s="389">
        <v>46232</v>
      </c>
      <c r="D1409" s="387" t="s">
        <v>6676</v>
      </c>
      <c r="E1409" s="388" t="s">
        <v>6677</v>
      </c>
      <c r="F1409" s="387" t="s">
        <v>87</v>
      </c>
      <c r="G1409" s="387" t="s">
        <v>4501</v>
      </c>
      <c r="H1409" s="393">
        <v>55</v>
      </c>
      <c r="I1409" s="387">
        <v>18.399999999999999</v>
      </c>
      <c r="J1409" s="387">
        <v>18.399999999999999</v>
      </c>
      <c r="K1409" s="387">
        <v>5</v>
      </c>
      <c r="L1409" s="387">
        <v>0</v>
      </c>
      <c r="M1409" s="387" t="s">
        <v>148</v>
      </c>
      <c r="N1409" s="387" t="s">
        <v>149</v>
      </c>
      <c r="O1409" s="387" t="s">
        <v>150</v>
      </c>
      <c r="P1409" s="387" t="s">
        <v>151</v>
      </c>
      <c r="Q1409" s="387"/>
      <c r="R1409" s="387" t="s">
        <v>6677</v>
      </c>
      <c r="S1409" s="387"/>
      <c r="T1409" s="387" t="s">
        <v>3317</v>
      </c>
      <c r="U1409" s="387" t="s">
        <v>152</v>
      </c>
      <c r="V1409" s="387" t="s">
        <v>23</v>
      </c>
    </row>
    <row r="1410" spans="2:22">
      <c r="B1410" s="389">
        <v>46232</v>
      </c>
      <c r="C1410" s="389">
        <v>46232</v>
      </c>
      <c r="D1410" s="387" t="s">
        <v>6678</v>
      </c>
      <c r="E1410" s="388" t="s">
        <v>6679</v>
      </c>
      <c r="F1410" s="387" t="s">
        <v>87</v>
      </c>
      <c r="G1410" s="387" t="s">
        <v>3934</v>
      </c>
      <c r="H1410" s="393">
        <v>25</v>
      </c>
      <c r="I1410" s="387">
        <v>45.8</v>
      </c>
      <c r="J1410" s="387">
        <v>45.8</v>
      </c>
      <c r="K1410" s="387">
        <v>4</v>
      </c>
      <c r="L1410" s="387">
        <v>0</v>
      </c>
      <c r="M1410" s="387" t="s">
        <v>148</v>
      </c>
      <c r="N1410" s="387" t="s">
        <v>149</v>
      </c>
      <c r="O1410" s="387" t="s">
        <v>150</v>
      </c>
      <c r="P1410" s="387" t="s">
        <v>151</v>
      </c>
      <c r="Q1410" s="387"/>
      <c r="R1410" s="387" t="s">
        <v>6679</v>
      </c>
      <c r="S1410" s="387"/>
      <c r="T1410" s="387" t="s">
        <v>3317</v>
      </c>
      <c r="U1410" s="387" t="s">
        <v>152</v>
      </c>
      <c r="V1410" s="387" t="s">
        <v>23</v>
      </c>
    </row>
    <row r="1411" spans="2:22">
      <c r="B1411" s="389">
        <v>46232</v>
      </c>
      <c r="C1411" s="389">
        <v>46232</v>
      </c>
      <c r="D1411" s="387" t="s">
        <v>6680</v>
      </c>
      <c r="E1411" s="388" t="s">
        <v>6681</v>
      </c>
      <c r="F1411" s="387" t="s">
        <v>87</v>
      </c>
      <c r="G1411" s="387" t="s">
        <v>3866</v>
      </c>
      <c r="H1411" s="393">
        <v>40</v>
      </c>
      <c r="I1411" s="387">
        <v>33.799999999999997</v>
      </c>
      <c r="J1411" s="387">
        <v>33.799999999999997</v>
      </c>
      <c r="K1411" s="387">
        <v>5</v>
      </c>
      <c r="L1411" s="387">
        <v>0</v>
      </c>
      <c r="M1411" s="387" t="s">
        <v>148</v>
      </c>
      <c r="N1411" s="387" t="s">
        <v>149</v>
      </c>
      <c r="O1411" s="387" t="s">
        <v>150</v>
      </c>
      <c r="P1411" s="387" t="s">
        <v>151</v>
      </c>
      <c r="Q1411" s="387"/>
      <c r="R1411" s="387" t="s">
        <v>6681</v>
      </c>
      <c r="S1411" s="387"/>
      <c r="T1411" s="387" t="s">
        <v>3317</v>
      </c>
      <c r="U1411" s="387" t="s">
        <v>152</v>
      </c>
      <c r="V1411" s="387" t="s">
        <v>23</v>
      </c>
    </row>
    <row r="1412" spans="2:22">
      <c r="B1412" s="389">
        <v>46232</v>
      </c>
      <c r="C1412" s="389">
        <v>46232</v>
      </c>
      <c r="D1412" s="387" t="s">
        <v>6682</v>
      </c>
      <c r="E1412" s="388" t="s">
        <v>6683</v>
      </c>
      <c r="F1412" s="387" t="s">
        <v>87</v>
      </c>
      <c r="G1412" s="387" t="s">
        <v>2001</v>
      </c>
      <c r="H1412" s="393">
        <v>6</v>
      </c>
      <c r="I1412" s="387">
        <v>29.7</v>
      </c>
      <c r="J1412" s="387">
        <v>29.7</v>
      </c>
      <c r="K1412" s="387">
        <v>1.5</v>
      </c>
      <c r="L1412" s="387">
        <v>0</v>
      </c>
      <c r="M1412" s="387" t="s">
        <v>148</v>
      </c>
      <c r="N1412" s="387" t="s">
        <v>149</v>
      </c>
      <c r="O1412" s="387" t="s">
        <v>150</v>
      </c>
      <c r="P1412" s="387" t="s">
        <v>151</v>
      </c>
      <c r="Q1412" s="387"/>
      <c r="R1412" s="387" t="s">
        <v>6683</v>
      </c>
      <c r="S1412" s="387"/>
      <c r="T1412" s="387" t="s">
        <v>3317</v>
      </c>
      <c r="U1412" s="387" t="s">
        <v>152</v>
      </c>
      <c r="V1412" s="387" t="s">
        <v>23</v>
      </c>
    </row>
    <row r="1413" spans="2:22">
      <c r="B1413" s="389">
        <v>46232</v>
      </c>
      <c r="C1413" s="389">
        <v>46232</v>
      </c>
      <c r="D1413" s="387" t="s">
        <v>6684</v>
      </c>
      <c r="E1413" s="388" t="s">
        <v>6685</v>
      </c>
      <c r="F1413" s="387" t="s">
        <v>87</v>
      </c>
      <c r="G1413" s="387" t="s">
        <v>3934</v>
      </c>
      <c r="H1413" s="393">
        <v>25</v>
      </c>
      <c r="I1413" s="387">
        <v>42.8</v>
      </c>
      <c r="J1413" s="387">
        <v>42.8</v>
      </c>
      <c r="K1413" s="387">
        <v>4</v>
      </c>
      <c r="L1413" s="387">
        <v>0</v>
      </c>
      <c r="M1413" s="387" t="s">
        <v>148</v>
      </c>
      <c r="N1413" s="387" t="s">
        <v>149</v>
      </c>
      <c r="O1413" s="387" t="s">
        <v>150</v>
      </c>
      <c r="P1413" s="387" t="s">
        <v>151</v>
      </c>
      <c r="Q1413" s="387"/>
      <c r="R1413" s="387" t="s">
        <v>6685</v>
      </c>
      <c r="S1413" s="387"/>
      <c r="T1413" s="387" t="s">
        <v>3317</v>
      </c>
      <c r="U1413" s="387" t="s">
        <v>152</v>
      </c>
      <c r="V1413" s="387" t="s">
        <v>23</v>
      </c>
    </row>
    <row r="1414" spans="2:22">
      <c r="B1414" s="389">
        <v>46232</v>
      </c>
      <c r="C1414" s="389">
        <v>46232</v>
      </c>
      <c r="D1414" s="387" t="s">
        <v>6686</v>
      </c>
      <c r="E1414" s="388" t="s">
        <v>6687</v>
      </c>
      <c r="F1414" s="387" t="s">
        <v>87</v>
      </c>
      <c r="G1414" s="387" t="s">
        <v>2486</v>
      </c>
      <c r="H1414" s="393">
        <v>40</v>
      </c>
      <c r="I1414" s="387">
        <v>34.299999999999997</v>
      </c>
      <c r="J1414" s="387">
        <v>34.299999999999997</v>
      </c>
      <c r="K1414" s="387">
        <v>5</v>
      </c>
      <c r="L1414" s="387">
        <v>0</v>
      </c>
      <c r="M1414" s="387" t="s">
        <v>148</v>
      </c>
      <c r="N1414" s="387" t="s">
        <v>149</v>
      </c>
      <c r="O1414" s="387" t="s">
        <v>150</v>
      </c>
      <c r="P1414" s="387" t="s">
        <v>151</v>
      </c>
      <c r="Q1414" s="387"/>
      <c r="R1414" s="387" t="s">
        <v>6687</v>
      </c>
      <c r="S1414" s="387"/>
      <c r="T1414" s="387" t="s">
        <v>3317</v>
      </c>
      <c r="U1414" s="387" t="s">
        <v>152</v>
      </c>
      <c r="V1414" s="387" t="s">
        <v>23</v>
      </c>
    </row>
    <row r="1415" spans="2:22">
      <c r="B1415" s="389">
        <v>46232</v>
      </c>
      <c r="C1415" s="389">
        <v>46232</v>
      </c>
      <c r="D1415" s="387" t="s">
        <v>6688</v>
      </c>
      <c r="E1415" s="388" t="s">
        <v>6689</v>
      </c>
      <c r="F1415" s="387" t="s">
        <v>87</v>
      </c>
      <c r="G1415" s="387" t="s">
        <v>2486</v>
      </c>
      <c r="H1415" s="393">
        <v>40</v>
      </c>
      <c r="I1415" s="387">
        <v>23.3</v>
      </c>
      <c r="J1415" s="387">
        <v>23.3</v>
      </c>
      <c r="K1415" s="387">
        <v>5</v>
      </c>
      <c r="L1415" s="387">
        <v>0</v>
      </c>
      <c r="M1415" s="387" t="s">
        <v>148</v>
      </c>
      <c r="N1415" s="387" t="s">
        <v>149</v>
      </c>
      <c r="O1415" s="387" t="s">
        <v>150</v>
      </c>
      <c r="P1415" s="387" t="s">
        <v>151</v>
      </c>
      <c r="Q1415" s="387"/>
      <c r="R1415" s="387" t="s">
        <v>6689</v>
      </c>
      <c r="S1415" s="387"/>
      <c r="T1415" s="387" t="s">
        <v>3317</v>
      </c>
      <c r="U1415" s="387" t="s">
        <v>152</v>
      </c>
      <c r="V1415" s="387" t="s">
        <v>23</v>
      </c>
    </row>
    <row r="1416" spans="2:22">
      <c r="B1416" s="389">
        <v>46232</v>
      </c>
      <c r="C1416" s="389">
        <v>46232</v>
      </c>
      <c r="D1416" s="387" t="s">
        <v>6690</v>
      </c>
      <c r="E1416" s="388" t="s">
        <v>6691</v>
      </c>
      <c r="F1416" s="387" t="s">
        <v>87</v>
      </c>
      <c r="G1416" s="387" t="s">
        <v>3934</v>
      </c>
      <c r="H1416" s="393">
        <v>25</v>
      </c>
      <c r="I1416" s="387">
        <v>51.5</v>
      </c>
      <c r="J1416" s="387">
        <v>51.5</v>
      </c>
      <c r="K1416" s="387">
        <v>4</v>
      </c>
      <c r="L1416" s="387">
        <v>0</v>
      </c>
      <c r="M1416" s="387" t="s">
        <v>148</v>
      </c>
      <c r="N1416" s="387" t="s">
        <v>149</v>
      </c>
      <c r="O1416" s="387" t="s">
        <v>150</v>
      </c>
      <c r="P1416" s="387" t="s">
        <v>151</v>
      </c>
      <c r="Q1416" s="387"/>
      <c r="R1416" s="387" t="s">
        <v>6691</v>
      </c>
      <c r="S1416" s="387"/>
      <c r="T1416" s="387" t="s">
        <v>3317</v>
      </c>
      <c r="U1416" s="387" t="s">
        <v>152</v>
      </c>
      <c r="V1416" s="387" t="s">
        <v>23</v>
      </c>
    </row>
    <row r="1417" spans="2:22">
      <c r="B1417" s="389">
        <v>46232</v>
      </c>
      <c r="C1417" s="389">
        <v>46232</v>
      </c>
      <c r="D1417" s="387" t="s">
        <v>6692</v>
      </c>
      <c r="E1417" s="388" t="s">
        <v>6693</v>
      </c>
      <c r="F1417" s="387" t="s">
        <v>87</v>
      </c>
      <c r="G1417" s="387" t="s">
        <v>3866</v>
      </c>
      <c r="H1417" s="393">
        <v>40</v>
      </c>
      <c r="I1417" s="387">
        <v>14.8</v>
      </c>
      <c r="J1417" s="387">
        <v>14.8</v>
      </c>
      <c r="K1417" s="387">
        <v>5</v>
      </c>
      <c r="L1417" s="387">
        <v>0</v>
      </c>
      <c r="M1417" s="387" t="s">
        <v>148</v>
      </c>
      <c r="N1417" s="387" t="s">
        <v>149</v>
      </c>
      <c r="O1417" s="387" t="s">
        <v>150</v>
      </c>
      <c r="P1417" s="387" t="s">
        <v>151</v>
      </c>
      <c r="Q1417" s="387"/>
      <c r="R1417" s="387" t="s">
        <v>6693</v>
      </c>
      <c r="S1417" s="387"/>
      <c r="T1417" s="387" t="s">
        <v>3317</v>
      </c>
      <c r="U1417" s="387" t="s">
        <v>152</v>
      </c>
      <c r="V1417" s="387" t="s">
        <v>23</v>
      </c>
    </row>
    <row r="1418" spans="2:22">
      <c r="B1418" s="389">
        <v>46232</v>
      </c>
      <c r="C1418" s="389">
        <v>46232</v>
      </c>
      <c r="D1418" s="387" t="s">
        <v>6694</v>
      </c>
      <c r="E1418" s="388" t="s">
        <v>6695</v>
      </c>
      <c r="F1418" s="387" t="s">
        <v>87</v>
      </c>
      <c r="G1418" s="387" t="s">
        <v>3934</v>
      </c>
      <c r="H1418" s="393">
        <v>25</v>
      </c>
      <c r="I1418" s="387">
        <v>60.8</v>
      </c>
      <c r="J1418" s="387">
        <v>60.8</v>
      </c>
      <c r="K1418" s="387">
        <v>4</v>
      </c>
      <c r="L1418" s="387">
        <v>0</v>
      </c>
      <c r="M1418" s="387" t="s">
        <v>148</v>
      </c>
      <c r="N1418" s="387" t="s">
        <v>149</v>
      </c>
      <c r="O1418" s="387" t="s">
        <v>150</v>
      </c>
      <c r="P1418" s="387" t="s">
        <v>151</v>
      </c>
      <c r="Q1418" s="387"/>
      <c r="R1418" s="387" t="s">
        <v>6695</v>
      </c>
      <c r="S1418" s="387"/>
      <c r="T1418" s="387" t="s">
        <v>3317</v>
      </c>
      <c r="U1418" s="387" t="s">
        <v>152</v>
      </c>
      <c r="V1418" s="387" t="s">
        <v>23</v>
      </c>
    </row>
    <row r="1419" spans="2:22">
      <c r="B1419" s="389">
        <v>46232</v>
      </c>
      <c r="C1419" s="389">
        <v>46232</v>
      </c>
      <c r="D1419" s="387" t="s">
        <v>6696</v>
      </c>
      <c r="E1419" s="388" t="s">
        <v>6697</v>
      </c>
      <c r="F1419" s="387" t="s">
        <v>87</v>
      </c>
      <c r="G1419" s="387" t="s">
        <v>2486</v>
      </c>
      <c r="H1419" s="393">
        <v>40</v>
      </c>
      <c r="I1419" s="387">
        <v>41.7</v>
      </c>
      <c r="J1419" s="387">
        <v>41.7</v>
      </c>
      <c r="K1419" s="387">
        <v>5</v>
      </c>
      <c r="L1419" s="387">
        <v>0</v>
      </c>
      <c r="M1419" s="387" t="s">
        <v>148</v>
      </c>
      <c r="N1419" s="387" t="s">
        <v>149</v>
      </c>
      <c r="O1419" s="387" t="s">
        <v>150</v>
      </c>
      <c r="P1419" s="387" t="s">
        <v>151</v>
      </c>
      <c r="Q1419" s="387"/>
      <c r="R1419" s="387" t="s">
        <v>6697</v>
      </c>
      <c r="S1419" s="387"/>
      <c r="T1419" s="387" t="s">
        <v>3317</v>
      </c>
      <c r="U1419" s="387" t="s">
        <v>152</v>
      </c>
      <c r="V1419" s="387" t="s">
        <v>23</v>
      </c>
    </row>
    <row r="1420" spans="2:22">
      <c r="B1420" s="389">
        <v>46232</v>
      </c>
      <c r="C1420" s="389">
        <v>46232</v>
      </c>
      <c r="D1420" s="387" t="s">
        <v>6698</v>
      </c>
      <c r="E1420" s="388" t="s">
        <v>6699</v>
      </c>
      <c r="F1420" s="387" t="s">
        <v>87</v>
      </c>
      <c r="G1420" s="387" t="s">
        <v>5706</v>
      </c>
      <c r="H1420" s="393">
        <v>50</v>
      </c>
      <c r="I1420" s="387">
        <v>38.4</v>
      </c>
      <c r="J1420" s="387">
        <v>38.4</v>
      </c>
      <c r="K1420" s="387">
        <v>5</v>
      </c>
      <c r="L1420" s="387">
        <v>0</v>
      </c>
      <c r="M1420" s="387" t="s">
        <v>148</v>
      </c>
      <c r="N1420" s="387" t="s">
        <v>149</v>
      </c>
      <c r="O1420" s="387" t="s">
        <v>150</v>
      </c>
      <c r="P1420" s="387" t="s">
        <v>151</v>
      </c>
      <c r="Q1420" s="387"/>
      <c r="R1420" s="387" t="s">
        <v>6699</v>
      </c>
      <c r="S1420" s="387"/>
      <c r="T1420" s="387" t="s">
        <v>3317</v>
      </c>
      <c r="U1420" s="387" t="s">
        <v>152</v>
      </c>
      <c r="V1420" s="387" t="s">
        <v>23</v>
      </c>
    </row>
    <row r="1421" spans="2:22">
      <c r="B1421" s="389">
        <v>46232</v>
      </c>
      <c r="C1421" s="389">
        <v>46232</v>
      </c>
      <c r="D1421" s="387" t="s">
        <v>6700</v>
      </c>
      <c r="E1421" s="388" t="s">
        <v>6701</v>
      </c>
      <c r="F1421" s="387" t="s">
        <v>87</v>
      </c>
      <c r="G1421" s="387" t="s">
        <v>6162</v>
      </c>
      <c r="H1421" s="393">
        <v>50</v>
      </c>
      <c r="I1421" s="387">
        <v>21.5</v>
      </c>
      <c r="J1421" s="387">
        <v>21.5</v>
      </c>
      <c r="K1421" s="387">
        <v>5</v>
      </c>
      <c r="L1421" s="387">
        <v>0</v>
      </c>
      <c r="M1421" s="387" t="s">
        <v>148</v>
      </c>
      <c r="N1421" s="387" t="s">
        <v>149</v>
      </c>
      <c r="O1421" s="387" t="s">
        <v>150</v>
      </c>
      <c r="P1421" s="387" t="s">
        <v>151</v>
      </c>
      <c r="Q1421" s="387"/>
      <c r="R1421" s="387" t="s">
        <v>6701</v>
      </c>
      <c r="S1421" s="387"/>
      <c r="T1421" s="387" t="s">
        <v>3317</v>
      </c>
      <c r="U1421" s="387" t="s">
        <v>152</v>
      </c>
      <c r="V1421" s="387" t="s">
        <v>23</v>
      </c>
    </row>
    <row r="1422" spans="2:22">
      <c r="B1422" s="389">
        <v>46232</v>
      </c>
      <c r="C1422" s="389">
        <v>46232</v>
      </c>
      <c r="D1422" s="387" t="s">
        <v>6702</v>
      </c>
      <c r="E1422" s="388" t="s">
        <v>6703</v>
      </c>
      <c r="F1422" s="387" t="s">
        <v>87</v>
      </c>
      <c r="G1422" s="387" t="s">
        <v>5706</v>
      </c>
      <c r="H1422" s="393">
        <v>50</v>
      </c>
      <c r="I1422" s="387">
        <v>37.799999999999997</v>
      </c>
      <c r="J1422" s="387">
        <v>37.799999999999997</v>
      </c>
      <c r="K1422" s="387">
        <v>5</v>
      </c>
      <c r="L1422" s="387">
        <v>0</v>
      </c>
      <c r="M1422" s="387" t="s">
        <v>148</v>
      </c>
      <c r="N1422" s="387" t="s">
        <v>149</v>
      </c>
      <c r="O1422" s="387" t="s">
        <v>150</v>
      </c>
      <c r="P1422" s="387" t="s">
        <v>151</v>
      </c>
      <c r="Q1422" s="387"/>
      <c r="R1422" s="387" t="s">
        <v>6703</v>
      </c>
      <c r="S1422" s="387"/>
      <c r="T1422" s="387" t="s">
        <v>3317</v>
      </c>
      <c r="U1422" s="387" t="s">
        <v>152</v>
      </c>
      <c r="V1422" s="387" t="s">
        <v>23</v>
      </c>
    </row>
    <row r="1423" spans="2:22">
      <c r="B1423" s="389">
        <v>46232</v>
      </c>
      <c r="C1423" s="389">
        <v>46232</v>
      </c>
      <c r="D1423" s="387" t="s">
        <v>6704</v>
      </c>
      <c r="E1423" s="388" t="s">
        <v>6705</v>
      </c>
      <c r="F1423" s="387" t="s">
        <v>87</v>
      </c>
      <c r="G1423" s="387" t="s">
        <v>5706</v>
      </c>
      <c r="H1423" s="393">
        <v>50</v>
      </c>
      <c r="I1423" s="387">
        <v>15.8</v>
      </c>
      <c r="J1423" s="387">
        <v>15.8</v>
      </c>
      <c r="K1423" s="387">
        <v>5</v>
      </c>
      <c r="L1423" s="387">
        <v>0</v>
      </c>
      <c r="M1423" s="387" t="s">
        <v>148</v>
      </c>
      <c r="N1423" s="387" t="s">
        <v>149</v>
      </c>
      <c r="O1423" s="387" t="s">
        <v>150</v>
      </c>
      <c r="P1423" s="387" t="s">
        <v>151</v>
      </c>
      <c r="Q1423" s="387"/>
      <c r="R1423" s="387" t="s">
        <v>6705</v>
      </c>
      <c r="S1423" s="387"/>
      <c r="T1423" s="387" t="s">
        <v>3317</v>
      </c>
      <c r="U1423" s="387" t="s">
        <v>152</v>
      </c>
      <c r="V1423" s="387" t="s">
        <v>23</v>
      </c>
    </row>
    <row r="1424" spans="2:22">
      <c r="B1424" s="389">
        <v>46232</v>
      </c>
      <c r="C1424" s="389">
        <v>46232</v>
      </c>
      <c r="D1424" s="387" t="s">
        <v>6706</v>
      </c>
      <c r="E1424" s="388" t="s">
        <v>6707</v>
      </c>
      <c r="F1424" s="387" t="s">
        <v>87</v>
      </c>
      <c r="G1424" s="387" t="s">
        <v>2486</v>
      </c>
      <c r="H1424" s="393">
        <v>40</v>
      </c>
      <c r="I1424" s="387">
        <v>40.1</v>
      </c>
      <c r="J1424" s="387">
        <v>40.1</v>
      </c>
      <c r="K1424" s="387">
        <v>5</v>
      </c>
      <c r="L1424" s="387">
        <v>0</v>
      </c>
      <c r="M1424" s="387" t="s">
        <v>148</v>
      </c>
      <c r="N1424" s="387" t="s">
        <v>149</v>
      </c>
      <c r="O1424" s="387" t="s">
        <v>150</v>
      </c>
      <c r="P1424" s="387" t="s">
        <v>151</v>
      </c>
      <c r="Q1424" s="387"/>
      <c r="R1424" s="387" t="s">
        <v>6707</v>
      </c>
      <c r="S1424" s="387"/>
      <c r="T1424" s="387" t="s">
        <v>3317</v>
      </c>
      <c r="U1424" s="387" t="s">
        <v>152</v>
      </c>
      <c r="V1424" s="387" t="s">
        <v>23</v>
      </c>
    </row>
    <row r="1425" spans="2:22">
      <c r="B1425" s="389">
        <v>46232</v>
      </c>
      <c r="C1425" s="389">
        <v>46232</v>
      </c>
      <c r="D1425" s="387" t="s">
        <v>6708</v>
      </c>
      <c r="E1425" s="388" t="s">
        <v>6709</v>
      </c>
      <c r="F1425" s="387" t="s">
        <v>87</v>
      </c>
      <c r="G1425" s="387" t="s">
        <v>3934</v>
      </c>
      <c r="H1425" s="393">
        <v>25</v>
      </c>
      <c r="I1425" s="387">
        <v>59.8</v>
      </c>
      <c r="J1425" s="387">
        <v>59.8</v>
      </c>
      <c r="K1425" s="387">
        <v>4</v>
      </c>
      <c r="L1425" s="387">
        <v>0</v>
      </c>
      <c r="M1425" s="387" t="s">
        <v>148</v>
      </c>
      <c r="N1425" s="387" t="s">
        <v>149</v>
      </c>
      <c r="O1425" s="387" t="s">
        <v>150</v>
      </c>
      <c r="P1425" s="387" t="s">
        <v>151</v>
      </c>
      <c r="Q1425" s="387"/>
      <c r="R1425" s="387" t="s">
        <v>6709</v>
      </c>
      <c r="S1425" s="387"/>
      <c r="T1425" s="387" t="s">
        <v>3317</v>
      </c>
      <c r="U1425" s="387" t="s">
        <v>152</v>
      </c>
      <c r="V1425" s="387" t="s">
        <v>23</v>
      </c>
    </row>
    <row r="1426" spans="2:22">
      <c r="B1426" s="389">
        <v>46232</v>
      </c>
      <c r="C1426" s="389">
        <v>46232</v>
      </c>
      <c r="D1426" s="387" t="s">
        <v>6710</v>
      </c>
      <c r="E1426" s="388" t="s">
        <v>6711</v>
      </c>
      <c r="F1426" s="387" t="s">
        <v>87</v>
      </c>
      <c r="G1426" s="387" t="s">
        <v>4501</v>
      </c>
      <c r="H1426" s="393">
        <v>55</v>
      </c>
      <c r="I1426" s="387">
        <v>44</v>
      </c>
      <c r="J1426" s="387">
        <v>44</v>
      </c>
      <c r="K1426" s="387">
        <v>5</v>
      </c>
      <c r="L1426" s="387">
        <v>0</v>
      </c>
      <c r="M1426" s="387" t="s">
        <v>148</v>
      </c>
      <c r="N1426" s="387" t="s">
        <v>149</v>
      </c>
      <c r="O1426" s="387" t="s">
        <v>150</v>
      </c>
      <c r="P1426" s="387" t="s">
        <v>151</v>
      </c>
      <c r="Q1426" s="387"/>
      <c r="R1426" s="387" t="s">
        <v>6711</v>
      </c>
      <c r="S1426" s="387"/>
      <c r="T1426" s="387" t="s">
        <v>3317</v>
      </c>
      <c r="U1426" s="387" t="s">
        <v>152</v>
      </c>
      <c r="V1426" s="387" t="s">
        <v>23</v>
      </c>
    </row>
    <row r="1427" spans="2:22">
      <c r="B1427" s="389">
        <v>46232</v>
      </c>
      <c r="C1427" s="389">
        <v>46232</v>
      </c>
      <c r="D1427" s="387" t="s">
        <v>6712</v>
      </c>
      <c r="E1427" s="388" t="s">
        <v>6713</v>
      </c>
      <c r="F1427" s="387" t="s">
        <v>87</v>
      </c>
      <c r="G1427" s="387" t="s">
        <v>2486</v>
      </c>
      <c r="H1427" s="393">
        <v>40</v>
      </c>
      <c r="I1427" s="387">
        <v>37.799999999999997</v>
      </c>
      <c r="J1427" s="387">
        <v>37.799999999999997</v>
      </c>
      <c r="K1427" s="387">
        <v>5</v>
      </c>
      <c r="L1427" s="387">
        <v>0</v>
      </c>
      <c r="M1427" s="387" t="s">
        <v>148</v>
      </c>
      <c r="N1427" s="387" t="s">
        <v>149</v>
      </c>
      <c r="O1427" s="387" t="s">
        <v>150</v>
      </c>
      <c r="P1427" s="387" t="s">
        <v>151</v>
      </c>
      <c r="Q1427" s="387"/>
      <c r="R1427" s="387" t="s">
        <v>6713</v>
      </c>
      <c r="S1427" s="387"/>
      <c r="T1427" s="387" t="s">
        <v>3317</v>
      </c>
      <c r="U1427" s="387" t="s">
        <v>152</v>
      </c>
      <c r="V1427" s="387" t="s">
        <v>23</v>
      </c>
    </row>
    <row r="1428" spans="2:22">
      <c r="B1428" s="389">
        <v>46232</v>
      </c>
      <c r="C1428" s="389">
        <v>46232</v>
      </c>
      <c r="D1428" s="387" t="s">
        <v>6714</v>
      </c>
      <c r="E1428" s="388" t="s">
        <v>6715</v>
      </c>
      <c r="F1428" s="387" t="s">
        <v>87</v>
      </c>
      <c r="G1428" s="387" t="s">
        <v>2486</v>
      </c>
      <c r="H1428" s="393">
        <v>40</v>
      </c>
      <c r="I1428" s="387">
        <v>43.2</v>
      </c>
      <c r="J1428" s="387">
        <v>43.2</v>
      </c>
      <c r="K1428" s="387">
        <v>5</v>
      </c>
      <c r="L1428" s="387">
        <v>0</v>
      </c>
      <c r="M1428" s="387" t="s">
        <v>148</v>
      </c>
      <c r="N1428" s="387" t="s">
        <v>149</v>
      </c>
      <c r="O1428" s="387" t="s">
        <v>150</v>
      </c>
      <c r="P1428" s="387" t="s">
        <v>151</v>
      </c>
      <c r="Q1428" s="387"/>
      <c r="R1428" s="387" t="s">
        <v>6715</v>
      </c>
      <c r="S1428" s="387"/>
      <c r="T1428" s="387" t="s">
        <v>3317</v>
      </c>
      <c r="U1428" s="387" t="s">
        <v>152</v>
      </c>
      <c r="V1428" s="387" t="s">
        <v>23</v>
      </c>
    </row>
    <row r="1429" spans="2:22">
      <c r="B1429" s="389">
        <v>46232</v>
      </c>
      <c r="C1429" s="389">
        <v>46232</v>
      </c>
      <c r="D1429" s="387" t="s">
        <v>6716</v>
      </c>
      <c r="E1429" s="388" t="s">
        <v>6717</v>
      </c>
      <c r="F1429" s="387" t="s">
        <v>87</v>
      </c>
      <c r="G1429" s="387" t="s">
        <v>3934</v>
      </c>
      <c r="H1429" s="393">
        <v>25</v>
      </c>
      <c r="I1429" s="387">
        <v>57.3</v>
      </c>
      <c r="J1429" s="387">
        <v>57.3</v>
      </c>
      <c r="K1429" s="387">
        <v>4</v>
      </c>
      <c r="L1429" s="387">
        <v>0</v>
      </c>
      <c r="M1429" s="387" t="s">
        <v>148</v>
      </c>
      <c r="N1429" s="387" t="s">
        <v>149</v>
      </c>
      <c r="O1429" s="387" t="s">
        <v>150</v>
      </c>
      <c r="P1429" s="387" t="s">
        <v>151</v>
      </c>
      <c r="Q1429" s="387"/>
      <c r="R1429" s="387" t="s">
        <v>6717</v>
      </c>
      <c r="S1429" s="387"/>
      <c r="T1429" s="387" t="s">
        <v>3317</v>
      </c>
      <c r="U1429" s="387" t="s">
        <v>152</v>
      </c>
      <c r="V1429" s="387" t="s">
        <v>23</v>
      </c>
    </row>
    <row r="1430" spans="2:22">
      <c r="B1430" s="389">
        <v>46232</v>
      </c>
      <c r="C1430" s="389">
        <v>46232</v>
      </c>
      <c r="D1430" s="387" t="s">
        <v>6718</v>
      </c>
      <c r="E1430" s="388" t="s">
        <v>6719</v>
      </c>
      <c r="F1430" s="387" t="s">
        <v>87</v>
      </c>
      <c r="G1430" s="387" t="s">
        <v>4501</v>
      </c>
      <c r="H1430" s="393">
        <v>55</v>
      </c>
      <c r="I1430" s="387">
        <v>24</v>
      </c>
      <c r="J1430" s="387">
        <v>24</v>
      </c>
      <c r="K1430" s="387">
        <v>5</v>
      </c>
      <c r="L1430" s="387">
        <v>0</v>
      </c>
      <c r="M1430" s="387" t="s">
        <v>148</v>
      </c>
      <c r="N1430" s="387" t="s">
        <v>149</v>
      </c>
      <c r="O1430" s="387" t="s">
        <v>150</v>
      </c>
      <c r="P1430" s="387" t="s">
        <v>151</v>
      </c>
      <c r="Q1430" s="387"/>
      <c r="R1430" s="387" t="s">
        <v>6719</v>
      </c>
      <c r="S1430" s="387"/>
      <c r="T1430" s="387" t="s">
        <v>3317</v>
      </c>
      <c r="U1430" s="387" t="s">
        <v>152</v>
      </c>
      <c r="V1430" s="387" t="s">
        <v>23</v>
      </c>
    </row>
    <row r="1431" spans="2:22">
      <c r="B1431" s="389">
        <v>46232</v>
      </c>
      <c r="C1431" s="389">
        <v>46232</v>
      </c>
      <c r="D1431" s="387" t="s">
        <v>6720</v>
      </c>
      <c r="E1431" s="388" t="s">
        <v>6721</v>
      </c>
      <c r="F1431" s="387" t="s">
        <v>87</v>
      </c>
      <c r="G1431" s="387" t="s">
        <v>4501</v>
      </c>
      <c r="H1431" s="393">
        <v>55</v>
      </c>
      <c r="I1431" s="387">
        <v>41.7</v>
      </c>
      <c r="J1431" s="387">
        <v>41.7</v>
      </c>
      <c r="K1431" s="387">
        <v>5</v>
      </c>
      <c r="L1431" s="387">
        <v>0</v>
      </c>
      <c r="M1431" s="387" t="s">
        <v>148</v>
      </c>
      <c r="N1431" s="387" t="s">
        <v>149</v>
      </c>
      <c r="O1431" s="387" t="s">
        <v>150</v>
      </c>
      <c r="P1431" s="387" t="s">
        <v>151</v>
      </c>
      <c r="Q1431" s="387"/>
      <c r="R1431" s="387" t="s">
        <v>6721</v>
      </c>
      <c r="S1431" s="387"/>
      <c r="T1431" s="387" t="s">
        <v>3317</v>
      </c>
      <c r="U1431" s="387" t="s">
        <v>152</v>
      </c>
      <c r="V1431" s="387" t="s">
        <v>23</v>
      </c>
    </row>
    <row r="1432" spans="2:22">
      <c r="B1432" s="389">
        <v>46232</v>
      </c>
      <c r="C1432" s="389">
        <v>46232</v>
      </c>
      <c r="D1432" s="387" t="s">
        <v>6722</v>
      </c>
      <c r="E1432" s="388" t="s">
        <v>6723</v>
      </c>
      <c r="F1432" s="387" t="s">
        <v>87</v>
      </c>
      <c r="G1432" s="387" t="s">
        <v>2486</v>
      </c>
      <c r="H1432" s="393">
        <v>40</v>
      </c>
      <c r="I1432" s="387">
        <v>30.8</v>
      </c>
      <c r="J1432" s="387">
        <v>30.8</v>
      </c>
      <c r="K1432" s="387">
        <v>5</v>
      </c>
      <c r="L1432" s="387">
        <v>0</v>
      </c>
      <c r="M1432" s="387" t="s">
        <v>148</v>
      </c>
      <c r="N1432" s="387" t="s">
        <v>149</v>
      </c>
      <c r="O1432" s="387" t="s">
        <v>150</v>
      </c>
      <c r="P1432" s="387" t="s">
        <v>151</v>
      </c>
      <c r="Q1432" s="387"/>
      <c r="R1432" s="387" t="s">
        <v>6723</v>
      </c>
      <c r="S1432" s="387"/>
      <c r="T1432" s="387" t="s">
        <v>3317</v>
      </c>
      <c r="U1432" s="387" t="s">
        <v>152</v>
      </c>
      <c r="V1432" s="387" t="s">
        <v>23</v>
      </c>
    </row>
    <row r="1433" spans="2:22">
      <c r="B1433" s="389">
        <v>46232</v>
      </c>
      <c r="C1433" s="389">
        <v>46232</v>
      </c>
      <c r="D1433" s="387" t="s">
        <v>6724</v>
      </c>
      <c r="E1433" s="388" t="s">
        <v>6725</v>
      </c>
      <c r="F1433" s="387" t="s">
        <v>87</v>
      </c>
      <c r="G1433" s="387" t="s">
        <v>2001</v>
      </c>
      <c r="H1433" s="393">
        <v>6</v>
      </c>
      <c r="I1433" s="387">
        <v>27.2</v>
      </c>
      <c r="J1433" s="387">
        <v>27.2</v>
      </c>
      <c r="K1433" s="387">
        <v>1.5</v>
      </c>
      <c r="L1433" s="387">
        <v>0</v>
      </c>
      <c r="M1433" s="387" t="s">
        <v>148</v>
      </c>
      <c r="N1433" s="387" t="s">
        <v>149</v>
      </c>
      <c r="O1433" s="387" t="s">
        <v>150</v>
      </c>
      <c r="P1433" s="387" t="s">
        <v>151</v>
      </c>
      <c r="Q1433" s="387"/>
      <c r="R1433" s="387" t="s">
        <v>6725</v>
      </c>
      <c r="S1433" s="387"/>
      <c r="T1433" s="387" t="s">
        <v>3317</v>
      </c>
      <c r="U1433" s="387" t="s">
        <v>152</v>
      </c>
      <c r="V1433" s="387" t="s">
        <v>23</v>
      </c>
    </row>
    <row r="1434" spans="2:22">
      <c r="B1434" s="389">
        <v>46232</v>
      </c>
      <c r="C1434" s="389">
        <v>46232</v>
      </c>
      <c r="D1434" s="387" t="s">
        <v>6726</v>
      </c>
      <c r="E1434" s="388" t="s">
        <v>6727</v>
      </c>
      <c r="F1434" s="387" t="s">
        <v>87</v>
      </c>
      <c r="G1434" s="387" t="s">
        <v>2001</v>
      </c>
      <c r="H1434" s="393">
        <v>6</v>
      </c>
      <c r="I1434" s="387">
        <v>23.8</v>
      </c>
      <c r="J1434" s="387">
        <v>23.8</v>
      </c>
      <c r="K1434" s="387">
        <v>1.5</v>
      </c>
      <c r="L1434" s="387">
        <v>0</v>
      </c>
      <c r="M1434" s="387" t="s">
        <v>148</v>
      </c>
      <c r="N1434" s="387" t="s">
        <v>149</v>
      </c>
      <c r="O1434" s="387" t="s">
        <v>150</v>
      </c>
      <c r="P1434" s="387" t="s">
        <v>151</v>
      </c>
      <c r="Q1434" s="387"/>
      <c r="R1434" s="387" t="s">
        <v>6727</v>
      </c>
      <c r="S1434" s="387"/>
      <c r="T1434" s="387" t="s">
        <v>3317</v>
      </c>
      <c r="U1434" s="387" t="s">
        <v>152</v>
      </c>
      <c r="V1434" s="387" t="s">
        <v>23</v>
      </c>
    </row>
    <row r="1435" spans="2:22">
      <c r="B1435" s="389">
        <v>46232</v>
      </c>
      <c r="C1435" s="389">
        <v>46232</v>
      </c>
      <c r="D1435" s="387" t="s">
        <v>6728</v>
      </c>
      <c r="E1435" s="388" t="s">
        <v>6729</v>
      </c>
      <c r="F1435" s="387" t="s">
        <v>87</v>
      </c>
      <c r="G1435" s="387" t="s">
        <v>2486</v>
      </c>
      <c r="H1435" s="393">
        <v>40</v>
      </c>
      <c r="I1435" s="387">
        <v>40.1</v>
      </c>
      <c r="J1435" s="387">
        <v>40.1</v>
      </c>
      <c r="K1435" s="387">
        <v>5</v>
      </c>
      <c r="L1435" s="387">
        <v>0</v>
      </c>
      <c r="M1435" s="387" t="s">
        <v>148</v>
      </c>
      <c r="N1435" s="387" t="s">
        <v>149</v>
      </c>
      <c r="O1435" s="387" t="s">
        <v>150</v>
      </c>
      <c r="P1435" s="387" t="s">
        <v>151</v>
      </c>
      <c r="Q1435" s="387"/>
      <c r="R1435" s="387" t="s">
        <v>6729</v>
      </c>
      <c r="S1435" s="387"/>
      <c r="T1435" s="387" t="s">
        <v>3317</v>
      </c>
      <c r="U1435" s="387" t="s">
        <v>152</v>
      </c>
      <c r="V1435" s="387" t="s">
        <v>23</v>
      </c>
    </row>
    <row r="1436" spans="2:22">
      <c r="B1436" s="389">
        <v>46232</v>
      </c>
      <c r="C1436" s="389">
        <v>46232</v>
      </c>
      <c r="D1436" s="387" t="s">
        <v>6730</v>
      </c>
      <c r="E1436" s="388" t="s">
        <v>6731</v>
      </c>
      <c r="F1436" s="387" t="s">
        <v>87</v>
      </c>
      <c r="G1436" s="387" t="s">
        <v>2001</v>
      </c>
      <c r="H1436" s="393">
        <v>6</v>
      </c>
      <c r="I1436" s="387">
        <v>16.399999999999999</v>
      </c>
      <c r="J1436" s="387">
        <v>16.399999999999999</v>
      </c>
      <c r="K1436" s="387">
        <v>1.5</v>
      </c>
      <c r="L1436" s="387">
        <v>0</v>
      </c>
      <c r="M1436" s="387" t="s">
        <v>148</v>
      </c>
      <c r="N1436" s="387" t="s">
        <v>149</v>
      </c>
      <c r="O1436" s="387" t="s">
        <v>150</v>
      </c>
      <c r="P1436" s="387" t="s">
        <v>151</v>
      </c>
      <c r="Q1436" s="387"/>
      <c r="R1436" s="387" t="s">
        <v>6731</v>
      </c>
      <c r="S1436" s="387"/>
      <c r="T1436" s="387" t="s">
        <v>3317</v>
      </c>
      <c r="U1436" s="387" t="s">
        <v>152</v>
      </c>
      <c r="V1436" s="387" t="s">
        <v>23</v>
      </c>
    </row>
    <row r="1437" spans="2:22">
      <c r="B1437" s="389">
        <v>46233</v>
      </c>
      <c r="C1437" s="389">
        <v>46233</v>
      </c>
      <c r="D1437" s="387" t="s">
        <v>6732</v>
      </c>
      <c r="E1437" s="388" t="s">
        <v>6733</v>
      </c>
      <c r="F1437" s="387" t="s">
        <v>87</v>
      </c>
      <c r="G1437" s="387" t="s">
        <v>2486</v>
      </c>
      <c r="H1437" s="393">
        <v>40</v>
      </c>
      <c r="I1437" s="387">
        <v>42.2</v>
      </c>
      <c r="J1437" s="387">
        <v>42.2</v>
      </c>
      <c r="K1437" s="387">
        <v>5</v>
      </c>
      <c r="L1437" s="387">
        <v>0</v>
      </c>
      <c r="M1437" s="387" t="s">
        <v>148</v>
      </c>
      <c r="N1437" s="387" t="s">
        <v>149</v>
      </c>
      <c r="O1437" s="387" t="s">
        <v>150</v>
      </c>
      <c r="P1437" s="387" t="s">
        <v>151</v>
      </c>
      <c r="Q1437" s="387"/>
      <c r="R1437" s="387" t="s">
        <v>6733</v>
      </c>
      <c r="S1437" s="387"/>
      <c r="T1437" s="387" t="s">
        <v>3349</v>
      </c>
      <c r="U1437" s="387" t="s">
        <v>152</v>
      </c>
      <c r="V1437" s="387" t="s">
        <v>23</v>
      </c>
    </row>
    <row r="1438" spans="2:22">
      <c r="B1438" s="389">
        <v>46233</v>
      </c>
      <c r="C1438" s="389">
        <v>46233</v>
      </c>
      <c r="D1438" s="387" t="s">
        <v>6734</v>
      </c>
      <c r="E1438" s="388" t="s">
        <v>6735</v>
      </c>
      <c r="F1438" s="387" t="s">
        <v>87</v>
      </c>
      <c r="G1438" s="387" t="s">
        <v>2486</v>
      </c>
      <c r="H1438" s="393">
        <v>40</v>
      </c>
      <c r="I1438" s="387">
        <v>31.4</v>
      </c>
      <c r="J1438" s="387">
        <v>31.4</v>
      </c>
      <c r="K1438" s="387">
        <v>5</v>
      </c>
      <c r="L1438" s="387">
        <v>0</v>
      </c>
      <c r="M1438" s="387" t="s">
        <v>148</v>
      </c>
      <c r="N1438" s="387" t="s">
        <v>149</v>
      </c>
      <c r="O1438" s="387" t="s">
        <v>150</v>
      </c>
      <c r="P1438" s="387" t="s">
        <v>151</v>
      </c>
      <c r="Q1438" s="387"/>
      <c r="R1438" s="387" t="s">
        <v>6735</v>
      </c>
      <c r="S1438" s="387"/>
      <c r="T1438" s="387" t="s">
        <v>3349</v>
      </c>
      <c r="U1438" s="387" t="s">
        <v>152</v>
      </c>
      <c r="V1438" s="387" t="s">
        <v>23</v>
      </c>
    </row>
    <row r="1439" spans="2:22">
      <c r="B1439" s="389">
        <v>46233</v>
      </c>
      <c r="C1439" s="389">
        <v>46233</v>
      </c>
      <c r="D1439" s="387" t="s">
        <v>6736</v>
      </c>
      <c r="E1439" s="388" t="s">
        <v>6737</v>
      </c>
      <c r="F1439" s="387" t="s">
        <v>87</v>
      </c>
      <c r="G1439" s="387" t="s">
        <v>6738</v>
      </c>
      <c r="H1439" s="393">
        <v>6</v>
      </c>
      <c r="I1439" s="387">
        <v>32.200000000000003</v>
      </c>
      <c r="J1439" s="387">
        <v>32.200000000000003</v>
      </c>
      <c r="K1439" s="387">
        <v>1</v>
      </c>
      <c r="L1439" s="387">
        <v>0</v>
      </c>
      <c r="M1439" s="387" t="s">
        <v>148</v>
      </c>
      <c r="N1439" s="387" t="s">
        <v>149</v>
      </c>
      <c r="O1439" s="387" t="s">
        <v>150</v>
      </c>
      <c r="P1439" s="387" t="s">
        <v>151</v>
      </c>
      <c r="Q1439" s="387"/>
      <c r="R1439" s="387" t="s">
        <v>6737</v>
      </c>
      <c r="S1439" s="387"/>
      <c r="T1439" s="387" t="s">
        <v>3349</v>
      </c>
      <c r="U1439" s="387" t="s">
        <v>152</v>
      </c>
      <c r="V1439" s="387" t="s">
        <v>23</v>
      </c>
    </row>
    <row r="1440" spans="2:22">
      <c r="B1440" s="389">
        <v>46233</v>
      </c>
      <c r="C1440" s="389">
        <v>46233</v>
      </c>
      <c r="D1440" s="387" t="s">
        <v>6739</v>
      </c>
      <c r="E1440" s="388" t="s">
        <v>6740</v>
      </c>
      <c r="F1440" s="387" t="s">
        <v>87</v>
      </c>
      <c r="G1440" s="387" t="s">
        <v>5706</v>
      </c>
      <c r="H1440" s="393">
        <v>50</v>
      </c>
      <c r="I1440" s="387">
        <v>28.4</v>
      </c>
      <c r="J1440" s="387">
        <v>28.4</v>
      </c>
      <c r="K1440" s="387">
        <v>5</v>
      </c>
      <c r="L1440" s="387">
        <v>0</v>
      </c>
      <c r="M1440" s="387" t="s">
        <v>148</v>
      </c>
      <c r="N1440" s="387" t="s">
        <v>149</v>
      </c>
      <c r="O1440" s="387" t="s">
        <v>150</v>
      </c>
      <c r="P1440" s="387" t="s">
        <v>151</v>
      </c>
      <c r="Q1440" s="387"/>
      <c r="R1440" s="387" t="s">
        <v>6740</v>
      </c>
      <c r="S1440" s="387"/>
      <c r="T1440" s="387" t="s">
        <v>3349</v>
      </c>
      <c r="U1440" s="387" t="s">
        <v>152</v>
      </c>
      <c r="V1440" s="387" t="s">
        <v>23</v>
      </c>
    </row>
    <row r="1441" spans="2:22">
      <c r="B1441" s="389">
        <v>46233</v>
      </c>
      <c r="C1441" s="389">
        <v>46233</v>
      </c>
      <c r="D1441" s="387" t="s">
        <v>6741</v>
      </c>
      <c r="E1441" s="388" t="s">
        <v>6742</v>
      </c>
      <c r="F1441" s="387" t="s">
        <v>87</v>
      </c>
      <c r="G1441" s="387" t="s">
        <v>3934</v>
      </c>
      <c r="H1441" s="393">
        <v>25</v>
      </c>
      <c r="I1441" s="387">
        <v>17.399999999999999</v>
      </c>
      <c r="J1441" s="387">
        <v>17.399999999999999</v>
      </c>
      <c r="K1441" s="387">
        <v>4</v>
      </c>
      <c r="L1441" s="387">
        <v>0</v>
      </c>
      <c r="M1441" s="387" t="s">
        <v>148</v>
      </c>
      <c r="N1441" s="387" t="s">
        <v>149</v>
      </c>
      <c r="O1441" s="387" t="s">
        <v>150</v>
      </c>
      <c r="P1441" s="387" t="s">
        <v>151</v>
      </c>
      <c r="Q1441" s="387"/>
      <c r="R1441" s="387" t="s">
        <v>6742</v>
      </c>
      <c r="S1441" s="387"/>
      <c r="T1441" s="387" t="s">
        <v>3349</v>
      </c>
      <c r="U1441" s="387" t="s">
        <v>152</v>
      </c>
      <c r="V1441" s="387" t="s">
        <v>23</v>
      </c>
    </row>
    <row r="1442" spans="2:22">
      <c r="B1442" s="389">
        <v>46233</v>
      </c>
      <c r="C1442" s="389">
        <v>46233</v>
      </c>
      <c r="D1442" s="387" t="s">
        <v>6743</v>
      </c>
      <c r="E1442" s="388" t="s">
        <v>6744</v>
      </c>
      <c r="F1442" s="387" t="s">
        <v>87</v>
      </c>
      <c r="G1442" s="387" t="s">
        <v>2552</v>
      </c>
      <c r="H1442" s="393">
        <v>40</v>
      </c>
      <c r="I1442" s="387">
        <v>44.2</v>
      </c>
      <c r="J1442" s="387">
        <v>44.2</v>
      </c>
      <c r="K1442" s="387">
        <v>5</v>
      </c>
      <c r="L1442" s="387">
        <v>0</v>
      </c>
      <c r="M1442" s="387" t="s">
        <v>148</v>
      </c>
      <c r="N1442" s="387" t="s">
        <v>149</v>
      </c>
      <c r="O1442" s="387" t="s">
        <v>150</v>
      </c>
      <c r="P1442" s="387" t="s">
        <v>151</v>
      </c>
      <c r="Q1442" s="387"/>
      <c r="R1442" s="387" t="s">
        <v>6744</v>
      </c>
      <c r="S1442" s="387"/>
      <c r="T1442" s="387" t="s">
        <v>3349</v>
      </c>
      <c r="U1442" s="387" t="s">
        <v>152</v>
      </c>
      <c r="V1442" s="387" t="s">
        <v>23</v>
      </c>
    </row>
    <row r="1443" spans="2:22">
      <c r="B1443" s="389">
        <v>46233</v>
      </c>
      <c r="C1443" s="389">
        <v>46233</v>
      </c>
      <c r="D1443" s="387" t="s">
        <v>6745</v>
      </c>
      <c r="E1443" s="388" t="s">
        <v>6746</v>
      </c>
      <c r="F1443" s="387" t="s">
        <v>87</v>
      </c>
      <c r="G1443" s="387" t="s">
        <v>2552</v>
      </c>
      <c r="H1443" s="393">
        <v>40</v>
      </c>
      <c r="I1443" s="387">
        <v>37.799999999999997</v>
      </c>
      <c r="J1443" s="387">
        <v>37.799999999999997</v>
      </c>
      <c r="K1443" s="387">
        <v>5</v>
      </c>
      <c r="L1443" s="387">
        <v>0</v>
      </c>
      <c r="M1443" s="387" t="s">
        <v>148</v>
      </c>
      <c r="N1443" s="387" t="s">
        <v>149</v>
      </c>
      <c r="O1443" s="387" t="s">
        <v>150</v>
      </c>
      <c r="P1443" s="387" t="s">
        <v>151</v>
      </c>
      <c r="Q1443" s="387"/>
      <c r="R1443" s="387" t="s">
        <v>6746</v>
      </c>
      <c r="S1443" s="387"/>
      <c r="T1443" s="387" t="s">
        <v>3349</v>
      </c>
      <c r="U1443" s="387" t="s">
        <v>152</v>
      </c>
      <c r="V1443" s="387" t="s">
        <v>23</v>
      </c>
    </row>
    <row r="1444" spans="2:22">
      <c r="B1444" s="389">
        <v>46233</v>
      </c>
      <c r="C1444" s="389">
        <v>46233</v>
      </c>
      <c r="D1444" s="387" t="s">
        <v>6747</v>
      </c>
      <c r="E1444" s="388" t="s">
        <v>6748</v>
      </c>
      <c r="F1444" s="387" t="s">
        <v>87</v>
      </c>
      <c r="G1444" s="387" t="s">
        <v>2486</v>
      </c>
      <c r="H1444" s="393">
        <v>40</v>
      </c>
      <c r="I1444" s="387">
        <v>31.2</v>
      </c>
      <c r="J1444" s="387">
        <v>31.2</v>
      </c>
      <c r="K1444" s="387">
        <v>5</v>
      </c>
      <c r="L1444" s="387">
        <v>0</v>
      </c>
      <c r="M1444" s="387" t="s">
        <v>148</v>
      </c>
      <c r="N1444" s="387" t="s">
        <v>149</v>
      </c>
      <c r="O1444" s="387" t="s">
        <v>150</v>
      </c>
      <c r="P1444" s="387" t="s">
        <v>151</v>
      </c>
      <c r="Q1444" s="387"/>
      <c r="R1444" s="387" t="s">
        <v>6748</v>
      </c>
      <c r="S1444" s="387"/>
      <c r="T1444" s="387" t="s">
        <v>3349</v>
      </c>
      <c r="U1444" s="387" t="s">
        <v>152</v>
      </c>
      <c r="V1444" s="387" t="s">
        <v>23</v>
      </c>
    </row>
    <row r="1445" spans="2:22">
      <c r="B1445" s="389">
        <v>46233</v>
      </c>
      <c r="C1445" s="389">
        <v>46233</v>
      </c>
      <c r="D1445" s="387" t="s">
        <v>6749</v>
      </c>
      <c r="E1445" s="388" t="s">
        <v>6750</v>
      </c>
      <c r="F1445" s="387" t="s">
        <v>87</v>
      </c>
      <c r="G1445" s="387" t="s">
        <v>2552</v>
      </c>
      <c r="H1445" s="393">
        <v>40</v>
      </c>
      <c r="I1445" s="387">
        <v>27.8</v>
      </c>
      <c r="J1445" s="387">
        <v>27.8</v>
      </c>
      <c r="K1445" s="387">
        <v>5</v>
      </c>
      <c r="L1445" s="387">
        <v>0</v>
      </c>
      <c r="M1445" s="387" t="s">
        <v>148</v>
      </c>
      <c r="N1445" s="387" t="s">
        <v>149</v>
      </c>
      <c r="O1445" s="387" t="s">
        <v>150</v>
      </c>
      <c r="P1445" s="387" t="s">
        <v>151</v>
      </c>
      <c r="Q1445" s="387"/>
      <c r="R1445" s="387" t="s">
        <v>6750</v>
      </c>
      <c r="S1445" s="387"/>
      <c r="T1445" s="387" t="s">
        <v>3349</v>
      </c>
      <c r="U1445" s="387" t="s">
        <v>152</v>
      </c>
      <c r="V1445" s="387" t="s">
        <v>23</v>
      </c>
    </row>
    <row r="1446" spans="2:22">
      <c r="B1446" s="389">
        <v>46233</v>
      </c>
      <c r="C1446" s="389">
        <v>46233</v>
      </c>
      <c r="D1446" s="387" t="s">
        <v>6751</v>
      </c>
      <c r="E1446" s="388" t="s">
        <v>6752</v>
      </c>
      <c r="F1446" s="387" t="s">
        <v>87</v>
      </c>
      <c r="G1446" s="387" t="s">
        <v>2552</v>
      </c>
      <c r="H1446" s="393">
        <v>40</v>
      </c>
      <c r="I1446" s="387">
        <v>39.4</v>
      </c>
      <c r="J1446" s="387">
        <v>39.4</v>
      </c>
      <c r="K1446" s="387">
        <v>5</v>
      </c>
      <c r="L1446" s="387">
        <v>0</v>
      </c>
      <c r="M1446" s="387" t="s">
        <v>148</v>
      </c>
      <c r="N1446" s="387" t="s">
        <v>149</v>
      </c>
      <c r="O1446" s="387" t="s">
        <v>150</v>
      </c>
      <c r="P1446" s="387" t="s">
        <v>151</v>
      </c>
      <c r="Q1446" s="387"/>
      <c r="R1446" s="387" t="s">
        <v>6752</v>
      </c>
      <c r="S1446" s="387"/>
      <c r="T1446" s="387" t="s">
        <v>3349</v>
      </c>
      <c r="U1446" s="387" t="s">
        <v>152</v>
      </c>
      <c r="V1446" s="387" t="s">
        <v>23</v>
      </c>
    </row>
    <row r="1447" spans="2:22">
      <c r="B1447" s="389">
        <v>46233</v>
      </c>
      <c r="C1447" s="389">
        <v>46233</v>
      </c>
      <c r="D1447" s="387" t="s">
        <v>6753</v>
      </c>
      <c r="E1447" s="388" t="s">
        <v>6754</v>
      </c>
      <c r="F1447" s="387" t="s">
        <v>87</v>
      </c>
      <c r="G1447" s="387" t="s">
        <v>3934</v>
      </c>
      <c r="H1447" s="393">
        <v>25</v>
      </c>
      <c r="I1447" s="387">
        <v>38.200000000000003</v>
      </c>
      <c r="J1447" s="387">
        <v>38.200000000000003</v>
      </c>
      <c r="K1447" s="387">
        <v>4</v>
      </c>
      <c r="L1447" s="387">
        <v>0</v>
      </c>
      <c r="M1447" s="387" t="s">
        <v>148</v>
      </c>
      <c r="N1447" s="387" t="s">
        <v>149</v>
      </c>
      <c r="O1447" s="387" t="s">
        <v>150</v>
      </c>
      <c r="P1447" s="387" t="s">
        <v>151</v>
      </c>
      <c r="Q1447" s="387"/>
      <c r="R1447" s="387" t="s">
        <v>6754</v>
      </c>
      <c r="S1447" s="387"/>
      <c r="T1447" s="387" t="s">
        <v>3349</v>
      </c>
      <c r="U1447" s="387" t="s">
        <v>152</v>
      </c>
      <c r="V1447" s="387" t="s">
        <v>23</v>
      </c>
    </row>
    <row r="1448" spans="2:22">
      <c r="B1448" s="389">
        <v>46233</v>
      </c>
      <c r="C1448" s="389">
        <v>46233</v>
      </c>
      <c r="D1448" s="387" t="s">
        <v>6755</v>
      </c>
      <c r="E1448" s="388" t="s">
        <v>6756</v>
      </c>
      <c r="F1448" s="387" t="s">
        <v>87</v>
      </c>
      <c r="G1448" s="387" t="s">
        <v>3934</v>
      </c>
      <c r="H1448" s="393">
        <v>25</v>
      </c>
      <c r="I1448" s="387">
        <v>39.9</v>
      </c>
      <c r="J1448" s="387">
        <v>39.9</v>
      </c>
      <c r="K1448" s="387">
        <v>4</v>
      </c>
      <c r="L1448" s="387">
        <v>0</v>
      </c>
      <c r="M1448" s="387" t="s">
        <v>148</v>
      </c>
      <c r="N1448" s="387" t="s">
        <v>149</v>
      </c>
      <c r="O1448" s="387" t="s">
        <v>150</v>
      </c>
      <c r="P1448" s="387" t="s">
        <v>151</v>
      </c>
      <c r="Q1448" s="387"/>
      <c r="R1448" s="387" t="s">
        <v>6756</v>
      </c>
      <c r="S1448" s="387"/>
      <c r="T1448" s="387" t="s">
        <v>3349</v>
      </c>
      <c r="U1448" s="387" t="s">
        <v>152</v>
      </c>
      <c r="V1448" s="387" t="s">
        <v>23</v>
      </c>
    </row>
    <row r="1449" spans="2:22">
      <c r="B1449" s="389">
        <v>46233</v>
      </c>
      <c r="C1449" s="389">
        <v>46233</v>
      </c>
      <c r="D1449" s="387" t="s">
        <v>6757</v>
      </c>
      <c r="E1449" s="388" t="s">
        <v>6758</v>
      </c>
      <c r="F1449" s="387" t="s">
        <v>87</v>
      </c>
      <c r="G1449" s="387" t="s">
        <v>3934</v>
      </c>
      <c r="H1449" s="393">
        <v>25</v>
      </c>
      <c r="I1449" s="387">
        <v>28.4</v>
      </c>
      <c r="J1449" s="387">
        <v>28.4</v>
      </c>
      <c r="K1449" s="387">
        <v>4</v>
      </c>
      <c r="L1449" s="387">
        <v>0</v>
      </c>
      <c r="M1449" s="387" t="s">
        <v>148</v>
      </c>
      <c r="N1449" s="387" t="s">
        <v>149</v>
      </c>
      <c r="O1449" s="387" t="s">
        <v>150</v>
      </c>
      <c r="P1449" s="387" t="s">
        <v>151</v>
      </c>
      <c r="Q1449" s="387"/>
      <c r="R1449" s="387" t="s">
        <v>6758</v>
      </c>
      <c r="S1449" s="387"/>
      <c r="T1449" s="387" t="s">
        <v>3349</v>
      </c>
      <c r="U1449" s="387" t="s">
        <v>152</v>
      </c>
      <c r="V1449" s="387" t="s">
        <v>23</v>
      </c>
    </row>
    <row r="1450" spans="2:22">
      <c r="B1450" s="389">
        <v>46233</v>
      </c>
      <c r="C1450" s="389">
        <v>46233</v>
      </c>
      <c r="D1450" s="387" t="s">
        <v>6759</v>
      </c>
      <c r="E1450" s="388" t="s">
        <v>6760</v>
      </c>
      <c r="F1450" s="387" t="s">
        <v>87</v>
      </c>
      <c r="G1450" s="387" t="s">
        <v>5706</v>
      </c>
      <c r="H1450" s="393">
        <v>50</v>
      </c>
      <c r="I1450" s="387">
        <v>33.799999999999997</v>
      </c>
      <c r="J1450" s="387">
        <v>33.799999999999997</v>
      </c>
      <c r="K1450" s="387">
        <v>5</v>
      </c>
      <c r="L1450" s="387">
        <v>0</v>
      </c>
      <c r="M1450" s="387" t="s">
        <v>148</v>
      </c>
      <c r="N1450" s="387" t="s">
        <v>149</v>
      </c>
      <c r="O1450" s="387" t="s">
        <v>150</v>
      </c>
      <c r="P1450" s="387" t="s">
        <v>151</v>
      </c>
      <c r="Q1450" s="387"/>
      <c r="R1450" s="387" t="s">
        <v>6760</v>
      </c>
      <c r="S1450" s="387"/>
      <c r="T1450" s="387" t="s">
        <v>3349</v>
      </c>
      <c r="U1450" s="387" t="s">
        <v>152</v>
      </c>
      <c r="V1450" s="387" t="s">
        <v>23</v>
      </c>
    </row>
    <row r="1451" spans="2:22">
      <c r="B1451" s="389">
        <v>46233</v>
      </c>
      <c r="C1451" s="389">
        <v>46233</v>
      </c>
      <c r="D1451" s="387" t="s">
        <v>6761</v>
      </c>
      <c r="E1451" s="388" t="s">
        <v>6762</v>
      </c>
      <c r="F1451" s="387" t="s">
        <v>87</v>
      </c>
      <c r="G1451" s="387" t="s">
        <v>2486</v>
      </c>
      <c r="H1451" s="393">
        <v>40</v>
      </c>
      <c r="I1451" s="387">
        <v>30.5</v>
      </c>
      <c r="J1451" s="387">
        <v>30.5</v>
      </c>
      <c r="K1451" s="387">
        <v>5</v>
      </c>
      <c r="L1451" s="387">
        <v>0</v>
      </c>
      <c r="M1451" s="387" t="s">
        <v>148</v>
      </c>
      <c r="N1451" s="387" t="s">
        <v>149</v>
      </c>
      <c r="O1451" s="387" t="s">
        <v>150</v>
      </c>
      <c r="P1451" s="387" t="s">
        <v>151</v>
      </c>
      <c r="Q1451" s="387"/>
      <c r="R1451" s="387" t="s">
        <v>6762</v>
      </c>
      <c r="S1451" s="387"/>
      <c r="T1451" s="387" t="s">
        <v>3349</v>
      </c>
      <c r="U1451" s="387" t="s">
        <v>152</v>
      </c>
      <c r="V1451" s="387" t="s">
        <v>23</v>
      </c>
    </row>
    <row r="1452" spans="2:22">
      <c r="B1452" s="389">
        <v>46233</v>
      </c>
      <c r="C1452" s="389">
        <v>46233</v>
      </c>
      <c r="D1452" s="387" t="s">
        <v>6763</v>
      </c>
      <c r="E1452" s="388" t="s">
        <v>6764</v>
      </c>
      <c r="F1452" s="387" t="s">
        <v>87</v>
      </c>
      <c r="G1452" s="387" t="s">
        <v>2486</v>
      </c>
      <c r="H1452" s="393">
        <v>40</v>
      </c>
      <c r="I1452" s="387">
        <v>29.8</v>
      </c>
      <c r="J1452" s="387">
        <v>29.8</v>
      </c>
      <c r="K1452" s="387">
        <v>5</v>
      </c>
      <c r="L1452" s="387">
        <v>0</v>
      </c>
      <c r="M1452" s="387" t="s">
        <v>148</v>
      </c>
      <c r="N1452" s="387" t="s">
        <v>149</v>
      </c>
      <c r="O1452" s="387" t="s">
        <v>150</v>
      </c>
      <c r="P1452" s="387" t="s">
        <v>151</v>
      </c>
      <c r="Q1452" s="387"/>
      <c r="R1452" s="387" t="s">
        <v>6764</v>
      </c>
      <c r="S1452" s="387"/>
      <c r="T1452" s="387" t="s">
        <v>3349</v>
      </c>
      <c r="U1452" s="387" t="s">
        <v>152</v>
      </c>
      <c r="V1452" s="387" t="s">
        <v>23</v>
      </c>
    </row>
    <row r="1453" spans="2:22">
      <c r="B1453" s="389">
        <v>46233</v>
      </c>
      <c r="C1453" s="389">
        <v>46233</v>
      </c>
      <c r="D1453" s="387" t="s">
        <v>6765</v>
      </c>
      <c r="E1453" s="388" t="s">
        <v>6766</v>
      </c>
      <c r="F1453" s="387" t="s">
        <v>87</v>
      </c>
      <c r="G1453" s="387" t="s">
        <v>2486</v>
      </c>
      <c r="H1453" s="393">
        <v>40</v>
      </c>
      <c r="I1453" s="387">
        <v>30.7</v>
      </c>
      <c r="J1453" s="387">
        <v>30.7</v>
      </c>
      <c r="K1453" s="387">
        <v>5</v>
      </c>
      <c r="L1453" s="387">
        <v>0</v>
      </c>
      <c r="M1453" s="387" t="s">
        <v>148</v>
      </c>
      <c r="N1453" s="387" t="s">
        <v>149</v>
      </c>
      <c r="O1453" s="387" t="s">
        <v>150</v>
      </c>
      <c r="P1453" s="387" t="s">
        <v>151</v>
      </c>
      <c r="Q1453" s="387"/>
      <c r="R1453" s="387" t="s">
        <v>6766</v>
      </c>
      <c r="S1453" s="387"/>
      <c r="T1453" s="387" t="s">
        <v>3349</v>
      </c>
      <c r="U1453" s="387" t="s">
        <v>152</v>
      </c>
      <c r="V1453" s="387" t="s">
        <v>23</v>
      </c>
    </row>
    <row r="1454" spans="2:22">
      <c r="B1454" s="389">
        <v>46233</v>
      </c>
      <c r="C1454" s="389">
        <v>46233</v>
      </c>
      <c r="D1454" s="387" t="s">
        <v>6767</v>
      </c>
      <c r="E1454" s="388" t="s">
        <v>6768</v>
      </c>
      <c r="F1454" s="387" t="s">
        <v>87</v>
      </c>
      <c r="G1454" s="387" t="s">
        <v>2552</v>
      </c>
      <c r="H1454" s="393">
        <v>40</v>
      </c>
      <c r="I1454" s="387">
        <v>34.299999999999997</v>
      </c>
      <c r="J1454" s="387">
        <v>34.299999999999997</v>
      </c>
      <c r="K1454" s="387">
        <v>5</v>
      </c>
      <c r="L1454" s="387">
        <v>0</v>
      </c>
      <c r="M1454" s="387" t="s">
        <v>148</v>
      </c>
      <c r="N1454" s="387" t="s">
        <v>149</v>
      </c>
      <c r="O1454" s="387" t="s">
        <v>150</v>
      </c>
      <c r="P1454" s="387" t="s">
        <v>151</v>
      </c>
      <c r="Q1454" s="387"/>
      <c r="R1454" s="387" t="s">
        <v>6768</v>
      </c>
      <c r="S1454" s="387"/>
      <c r="T1454" s="387" t="s">
        <v>3349</v>
      </c>
      <c r="U1454" s="387" t="s">
        <v>152</v>
      </c>
      <c r="V1454" s="387" t="s">
        <v>23</v>
      </c>
    </row>
    <row r="1455" spans="2:22">
      <c r="B1455" s="389">
        <v>46233</v>
      </c>
      <c r="C1455" s="389">
        <v>46233</v>
      </c>
      <c r="D1455" s="387" t="s">
        <v>6769</v>
      </c>
      <c r="E1455" s="388" t="s">
        <v>6770</v>
      </c>
      <c r="F1455" s="387" t="s">
        <v>87</v>
      </c>
      <c r="G1455" s="387" t="s">
        <v>2552</v>
      </c>
      <c r="H1455" s="393">
        <v>40</v>
      </c>
      <c r="I1455" s="387">
        <v>38</v>
      </c>
      <c r="J1455" s="387">
        <v>38</v>
      </c>
      <c r="K1455" s="387">
        <v>5</v>
      </c>
      <c r="L1455" s="387">
        <v>0</v>
      </c>
      <c r="M1455" s="387" t="s">
        <v>148</v>
      </c>
      <c r="N1455" s="387" t="s">
        <v>149</v>
      </c>
      <c r="O1455" s="387" t="s">
        <v>150</v>
      </c>
      <c r="P1455" s="387" t="s">
        <v>151</v>
      </c>
      <c r="Q1455" s="387"/>
      <c r="R1455" s="387" t="s">
        <v>6770</v>
      </c>
      <c r="S1455" s="387"/>
      <c r="T1455" s="387" t="s">
        <v>3349</v>
      </c>
      <c r="U1455" s="387" t="s">
        <v>152</v>
      </c>
      <c r="V1455" s="387" t="s">
        <v>23</v>
      </c>
    </row>
    <row r="1456" spans="2:22">
      <c r="B1456" s="389">
        <v>46233</v>
      </c>
      <c r="C1456" s="389">
        <v>46233</v>
      </c>
      <c r="D1456" s="387" t="s">
        <v>6771</v>
      </c>
      <c r="E1456" s="388" t="s">
        <v>6772</v>
      </c>
      <c r="F1456" s="387" t="s">
        <v>87</v>
      </c>
      <c r="G1456" s="387" t="s">
        <v>4501</v>
      </c>
      <c r="H1456" s="393">
        <v>55</v>
      </c>
      <c r="I1456" s="387">
        <v>41.2</v>
      </c>
      <c r="J1456" s="387">
        <v>41.2</v>
      </c>
      <c r="K1456" s="387">
        <v>5</v>
      </c>
      <c r="L1456" s="387">
        <v>0</v>
      </c>
      <c r="M1456" s="387" t="s">
        <v>148</v>
      </c>
      <c r="N1456" s="387" t="s">
        <v>149</v>
      </c>
      <c r="O1456" s="387" t="s">
        <v>150</v>
      </c>
      <c r="P1456" s="387" t="s">
        <v>151</v>
      </c>
      <c r="Q1456" s="387"/>
      <c r="R1456" s="387" t="s">
        <v>6772</v>
      </c>
      <c r="S1456" s="387"/>
      <c r="T1456" s="387" t="s">
        <v>3349</v>
      </c>
      <c r="U1456" s="387" t="s">
        <v>152</v>
      </c>
      <c r="V1456" s="387" t="s">
        <v>23</v>
      </c>
    </row>
    <row r="1457" spans="2:22">
      <c r="B1457" s="389">
        <v>46233</v>
      </c>
      <c r="C1457" s="389">
        <v>46233</v>
      </c>
      <c r="D1457" s="387" t="s">
        <v>6773</v>
      </c>
      <c r="E1457" s="388" t="s">
        <v>6774</v>
      </c>
      <c r="F1457" s="387" t="s">
        <v>87</v>
      </c>
      <c r="G1457" s="387" t="s">
        <v>4501</v>
      </c>
      <c r="H1457" s="393">
        <v>55</v>
      </c>
      <c r="I1457" s="387">
        <v>43.8</v>
      </c>
      <c r="J1457" s="387">
        <v>43.8</v>
      </c>
      <c r="K1457" s="387">
        <v>5</v>
      </c>
      <c r="L1457" s="387">
        <v>0</v>
      </c>
      <c r="M1457" s="387" t="s">
        <v>148</v>
      </c>
      <c r="N1457" s="387" t="s">
        <v>149</v>
      </c>
      <c r="O1457" s="387" t="s">
        <v>150</v>
      </c>
      <c r="P1457" s="387" t="s">
        <v>151</v>
      </c>
      <c r="Q1457" s="387"/>
      <c r="R1457" s="387" t="s">
        <v>6774</v>
      </c>
      <c r="S1457" s="387"/>
      <c r="T1457" s="387" t="s">
        <v>3349</v>
      </c>
      <c r="U1457" s="387" t="s">
        <v>152</v>
      </c>
      <c r="V1457" s="387" t="s">
        <v>23</v>
      </c>
    </row>
    <row r="1458" spans="2:22">
      <c r="B1458" s="389">
        <v>46233</v>
      </c>
      <c r="C1458" s="389">
        <v>46233</v>
      </c>
      <c r="D1458" s="387" t="s">
        <v>6775</v>
      </c>
      <c r="E1458" s="388" t="s">
        <v>6776</v>
      </c>
      <c r="F1458" s="387" t="s">
        <v>87</v>
      </c>
      <c r="G1458" s="387" t="s">
        <v>3934</v>
      </c>
      <c r="H1458" s="393">
        <v>25</v>
      </c>
      <c r="I1458" s="387">
        <v>41.2</v>
      </c>
      <c r="J1458" s="387">
        <v>41.2</v>
      </c>
      <c r="K1458" s="387">
        <v>4</v>
      </c>
      <c r="L1458" s="387">
        <v>0</v>
      </c>
      <c r="M1458" s="387" t="s">
        <v>148</v>
      </c>
      <c r="N1458" s="387" t="s">
        <v>149</v>
      </c>
      <c r="O1458" s="387" t="s">
        <v>150</v>
      </c>
      <c r="P1458" s="387" t="s">
        <v>151</v>
      </c>
      <c r="Q1458" s="387"/>
      <c r="R1458" s="387" t="s">
        <v>6776</v>
      </c>
      <c r="S1458" s="387"/>
      <c r="T1458" s="387" t="s">
        <v>3349</v>
      </c>
      <c r="U1458" s="387" t="s">
        <v>152</v>
      </c>
      <c r="V1458" s="387" t="s">
        <v>23</v>
      </c>
    </row>
    <row r="1459" spans="2:22">
      <c r="B1459" s="389">
        <v>46233</v>
      </c>
      <c r="C1459" s="389">
        <v>46233</v>
      </c>
      <c r="D1459" s="387" t="s">
        <v>6777</v>
      </c>
      <c r="E1459" s="388" t="s">
        <v>6778</v>
      </c>
      <c r="F1459" s="387" t="s">
        <v>87</v>
      </c>
      <c r="G1459" s="387" t="s">
        <v>2552</v>
      </c>
      <c r="H1459" s="393">
        <v>40</v>
      </c>
      <c r="I1459" s="387">
        <v>43.8</v>
      </c>
      <c r="J1459" s="387">
        <v>43.8</v>
      </c>
      <c r="K1459" s="387">
        <v>5</v>
      </c>
      <c r="L1459" s="387">
        <v>0</v>
      </c>
      <c r="M1459" s="387" t="s">
        <v>148</v>
      </c>
      <c r="N1459" s="387" t="s">
        <v>149</v>
      </c>
      <c r="O1459" s="387" t="s">
        <v>150</v>
      </c>
      <c r="P1459" s="387" t="s">
        <v>151</v>
      </c>
      <c r="Q1459" s="387"/>
      <c r="R1459" s="387" t="s">
        <v>6778</v>
      </c>
      <c r="S1459" s="387"/>
      <c r="T1459" s="387" t="s">
        <v>3349</v>
      </c>
      <c r="U1459" s="387" t="s">
        <v>152</v>
      </c>
      <c r="V1459" s="387" t="s">
        <v>23</v>
      </c>
    </row>
    <row r="1460" spans="2:22">
      <c r="B1460" s="389">
        <v>46233</v>
      </c>
      <c r="C1460" s="389">
        <v>46233</v>
      </c>
      <c r="D1460" s="387" t="s">
        <v>6779</v>
      </c>
      <c r="E1460" s="388" t="s">
        <v>6780</v>
      </c>
      <c r="F1460" s="387" t="s">
        <v>87</v>
      </c>
      <c r="G1460" s="387" t="s">
        <v>2552</v>
      </c>
      <c r="H1460" s="393">
        <v>40</v>
      </c>
      <c r="I1460" s="387">
        <v>39.700000000000003</v>
      </c>
      <c r="J1460" s="387">
        <v>39.700000000000003</v>
      </c>
      <c r="K1460" s="387">
        <v>5</v>
      </c>
      <c r="L1460" s="387">
        <v>0</v>
      </c>
      <c r="M1460" s="387" t="s">
        <v>148</v>
      </c>
      <c r="N1460" s="387" t="s">
        <v>149</v>
      </c>
      <c r="O1460" s="387" t="s">
        <v>150</v>
      </c>
      <c r="P1460" s="387" t="s">
        <v>151</v>
      </c>
      <c r="Q1460" s="387"/>
      <c r="R1460" s="387" t="s">
        <v>6780</v>
      </c>
      <c r="S1460" s="387"/>
      <c r="T1460" s="387" t="s">
        <v>3349</v>
      </c>
      <c r="U1460" s="387" t="s">
        <v>152</v>
      </c>
      <c r="V1460" s="387" t="s">
        <v>23</v>
      </c>
    </row>
    <row r="1461" spans="2:22">
      <c r="B1461" s="389">
        <v>46233</v>
      </c>
      <c r="C1461" s="389">
        <v>46233</v>
      </c>
      <c r="D1461" s="387" t="s">
        <v>6781</v>
      </c>
      <c r="E1461" s="388" t="s">
        <v>6782</v>
      </c>
      <c r="F1461" s="387" t="s">
        <v>87</v>
      </c>
      <c r="G1461" s="387" t="s">
        <v>2552</v>
      </c>
      <c r="H1461" s="393">
        <v>40</v>
      </c>
      <c r="I1461" s="387">
        <v>39.799999999999997</v>
      </c>
      <c r="J1461" s="387">
        <v>39.799999999999997</v>
      </c>
      <c r="K1461" s="387">
        <v>5</v>
      </c>
      <c r="L1461" s="387">
        <v>0</v>
      </c>
      <c r="M1461" s="387" t="s">
        <v>148</v>
      </c>
      <c r="N1461" s="387" t="s">
        <v>149</v>
      </c>
      <c r="O1461" s="387" t="s">
        <v>150</v>
      </c>
      <c r="P1461" s="387" t="s">
        <v>151</v>
      </c>
      <c r="Q1461" s="387"/>
      <c r="R1461" s="387" t="s">
        <v>6782</v>
      </c>
      <c r="S1461" s="387"/>
      <c r="T1461" s="387" t="s">
        <v>3349</v>
      </c>
      <c r="U1461" s="387" t="s">
        <v>152</v>
      </c>
      <c r="V1461" s="387" t="s">
        <v>23</v>
      </c>
    </row>
    <row r="1462" spans="2:22">
      <c r="B1462" s="389">
        <v>46233</v>
      </c>
      <c r="C1462" s="389">
        <v>46233</v>
      </c>
      <c r="D1462" s="387" t="s">
        <v>6783</v>
      </c>
      <c r="E1462" s="388" t="s">
        <v>6784</v>
      </c>
      <c r="F1462" s="387" t="s">
        <v>87</v>
      </c>
      <c r="G1462" s="387" t="s">
        <v>3934</v>
      </c>
      <c r="H1462" s="393">
        <v>25</v>
      </c>
      <c r="I1462" s="387">
        <v>34.799999999999997</v>
      </c>
      <c r="J1462" s="387">
        <v>34.799999999999997</v>
      </c>
      <c r="K1462" s="387">
        <v>4</v>
      </c>
      <c r="L1462" s="387">
        <v>0</v>
      </c>
      <c r="M1462" s="387" t="s">
        <v>148</v>
      </c>
      <c r="N1462" s="387" t="s">
        <v>149</v>
      </c>
      <c r="O1462" s="387" t="s">
        <v>150</v>
      </c>
      <c r="P1462" s="387" t="s">
        <v>151</v>
      </c>
      <c r="Q1462" s="387"/>
      <c r="R1462" s="387" t="s">
        <v>6784</v>
      </c>
      <c r="S1462" s="387"/>
      <c r="T1462" s="387" t="s">
        <v>3349</v>
      </c>
      <c r="U1462" s="387" t="s">
        <v>152</v>
      </c>
      <c r="V1462" s="387" t="s">
        <v>23</v>
      </c>
    </row>
    <row r="1463" spans="2:22">
      <c r="B1463" s="389">
        <v>46233</v>
      </c>
      <c r="C1463" s="389">
        <v>46233</v>
      </c>
      <c r="D1463" s="387" t="s">
        <v>6785</v>
      </c>
      <c r="E1463" s="388" t="s">
        <v>6786</v>
      </c>
      <c r="F1463" s="387" t="s">
        <v>87</v>
      </c>
      <c r="G1463" s="387" t="s">
        <v>4501</v>
      </c>
      <c r="H1463" s="393">
        <v>55</v>
      </c>
      <c r="I1463" s="387">
        <v>14.4</v>
      </c>
      <c r="J1463" s="387">
        <v>14.4</v>
      </c>
      <c r="K1463" s="387">
        <v>5</v>
      </c>
      <c r="L1463" s="387">
        <v>0</v>
      </c>
      <c r="M1463" s="387" t="s">
        <v>148</v>
      </c>
      <c r="N1463" s="387" t="s">
        <v>149</v>
      </c>
      <c r="O1463" s="387" t="s">
        <v>150</v>
      </c>
      <c r="P1463" s="387" t="s">
        <v>151</v>
      </c>
      <c r="Q1463" s="387"/>
      <c r="R1463" s="387" t="s">
        <v>6786</v>
      </c>
      <c r="S1463" s="387"/>
      <c r="T1463" s="387" t="s">
        <v>3349</v>
      </c>
      <c r="U1463" s="387" t="s">
        <v>152</v>
      </c>
      <c r="V1463" s="387" t="s">
        <v>23</v>
      </c>
    </row>
    <row r="1464" spans="2:22">
      <c r="B1464" s="389">
        <v>46233</v>
      </c>
      <c r="C1464" s="389">
        <v>46233</v>
      </c>
      <c r="D1464" s="387" t="s">
        <v>6787</v>
      </c>
      <c r="E1464" s="388" t="s">
        <v>6788</v>
      </c>
      <c r="F1464" s="387" t="s">
        <v>87</v>
      </c>
      <c r="G1464" s="387" t="s">
        <v>2552</v>
      </c>
      <c r="H1464" s="393">
        <v>40</v>
      </c>
      <c r="I1464" s="387">
        <v>17.8</v>
      </c>
      <c r="J1464" s="387">
        <v>17.8</v>
      </c>
      <c r="K1464" s="387">
        <v>5</v>
      </c>
      <c r="L1464" s="387">
        <v>0</v>
      </c>
      <c r="M1464" s="387" t="s">
        <v>148</v>
      </c>
      <c r="N1464" s="387" t="s">
        <v>149</v>
      </c>
      <c r="O1464" s="387" t="s">
        <v>150</v>
      </c>
      <c r="P1464" s="387" t="s">
        <v>151</v>
      </c>
      <c r="Q1464" s="387"/>
      <c r="R1464" s="387" t="s">
        <v>6788</v>
      </c>
      <c r="S1464" s="387"/>
      <c r="T1464" s="387" t="s">
        <v>3349</v>
      </c>
      <c r="U1464" s="387" t="s">
        <v>152</v>
      </c>
      <c r="V1464" s="387" t="s">
        <v>23</v>
      </c>
    </row>
    <row r="1465" spans="2:22">
      <c r="B1465" s="389">
        <v>46233</v>
      </c>
      <c r="C1465" s="389">
        <v>46233</v>
      </c>
      <c r="D1465" s="387" t="s">
        <v>6789</v>
      </c>
      <c r="E1465" s="388" t="s">
        <v>6790</v>
      </c>
      <c r="F1465" s="387" t="s">
        <v>87</v>
      </c>
      <c r="G1465" s="387" t="s">
        <v>2552</v>
      </c>
      <c r="H1465" s="393">
        <v>40</v>
      </c>
      <c r="I1465" s="387">
        <v>28.3</v>
      </c>
      <c r="J1465" s="387">
        <v>28.3</v>
      </c>
      <c r="K1465" s="387">
        <v>5</v>
      </c>
      <c r="L1465" s="387">
        <v>0</v>
      </c>
      <c r="M1465" s="387" t="s">
        <v>148</v>
      </c>
      <c r="N1465" s="387" t="s">
        <v>149</v>
      </c>
      <c r="O1465" s="387" t="s">
        <v>150</v>
      </c>
      <c r="P1465" s="387" t="s">
        <v>151</v>
      </c>
      <c r="Q1465" s="387"/>
      <c r="R1465" s="387" t="s">
        <v>6790</v>
      </c>
      <c r="S1465" s="387"/>
      <c r="T1465" s="387" t="s">
        <v>3349</v>
      </c>
      <c r="U1465" s="387" t="s">
        <v>152</v>
      </c>
      <c r="V1465" s="387" t="s">
        <v>23</v>
      </c>
    </row>
    <row r="1466" spans="2:22">
      <c r="B1466" s="389">
        <v>46233</v>
      </c>
      <c r="C1466" s="389">
        <v>46233</v>
      </c>
      <c r="D1466" s="387" t="s">
        <v>6791</v>
      </c>
      <c r="E1466" s="388" t="s">
        <v>6792</v>
      </c>
      <c r="F1466" s="387" t="s">
        <v>87</v>
      </c>
      <c r="G1466" s="387" t="s">
        <v>2486</v>
      </c>
      <c r="H1466" s="393">
        <v>40</v>
      </c>
      <c r="I1466" s="387">
        <v>20.399999999999999</v>
      </c>
      <c r="J1466" s="387">
        <v>20.399999999999999</v>
      </c>
      <c r="K1466" s="387">
        <v>5</v>
      </c>
      <c r="L1466" s="387">
        <v>0</v>
      </c>
      <c r="M1466" s="387" t="s">
        <v>148</v>
      </c>
      <c r="N1466" s="387" t="s">
        <v>149</v>
      </c>
      <c r="O1466" s="387" t="s">
        <v>150</v>
      </c>
      <c r="P1466" s="387" t="s">
        <v>151</v>
      </c>
      <c r="Q1466" s="387"/>
      <c r="R1466" s="387" t="s">
        <v>6792</v>
      </c>
      <c r="S1466" s="387"/>
      <c r="T1466" s="387" t="s">
        <v>3349</v>
      </c>
      <c r="U1466" s="387" t="s">
        <v>152</v>
      </c>
      <c r="V1466" s="387" t="s">
        <v>23</v>
      </c>
    </row>
    <row r="1467" spans="2:22">
      <c r="B1467" s="389">
        <v>46233</v>
      </c>
      <c r="C1467" s="389">
        <v>46233</v>
      </c>
      <c r="D1467" s="387" t="s">
        <v>6793</v>
      </c>
      <c r="E1467" s="388" t="s">
        <v>6794</v>
      </c>
      <c r="F1467" s="387" t="s">
        <v>87</v>
      </c>
      <c r="G1467" s="387" t="s">
        <v>2552</v>
      </c>
      <c r="H1467" s="393">
        <v>40</v>
      </c>
      <c r="I1467" s="387">
        <v>43.9</v>
      </c>
      <c r="J1467" s="387">
        <v>43.9</v>
      </c>
      <c r="K1467" s="387">
        <v>5</v>
      </c>
      <c r="L1467" s="387">
        <v>0</v>
      </c>
      <c r="M1467" s="387" t="s">
        <v>148</v>
      </c>
      <c r="N1467" s="387" t="s">
        <v>149</v>
      </c>
      <c r="O1467" s="387" t="s">
        <v>150</v>
      </c>
      <c r="P1467" s="387" t="s">
        <v>151</v>
      </c>
      <c r="Q1467" s="387"/>
      <c r="R1467" s="387" t="s">
        <v>6794</v>
      </c>
      <c r="S1467" s="387"/>
      <c r="T1467" s="387" t="s">
        <v>3349</v>
      </c>
      <c r="U1467" s="387" t="s">
        <v>152</v>
      </c>
      <c r="V1467" s="387" t="s">
        <v>23</v>
      </c>
    </row>
    <row r="1468" spans="2:22">
      <c r="B1468" s="389">
        <v>46233</v>
      </c>
      <c r="C1468" s="389">
        <v>46233</v>
      </c>
      <c r="D1468" s="387" t="s">
        <v>6795</v>
      </c>
      <c r="E1468" s="388" t="s">
        <v>6796</v>
      </c>
      <c r="F1468" s="387" t="s">
        <v>87</v>
      </c>
      <c r="G1468" s="387" t="s">
        <v>5706</v>
      </c>
      <c r="H1468" s="393">
        <v>50</v>
      </c>
      <c r="I1468" s="387">
        <v>40.4</v>
      </c>
      <c r="J1468" s="387">
        <v>40.4</v>
      </c>
      <c r="K1468" s="387">
        <v>5</v>
      </c>
      <c r="L1468" s="387">
        <v>0</v>
      </c>
      <c r="M1468" s="387" t="s">
        <v>148</v>
      </c>
      <c r="N1468" s="387" t="s">
        <v>149</v>
      </c>
      <c r="O1468" s="387" t="s">
        <v>150</v>
      </c>
      <c r="P1468" s="387" t="s">
        <v>151</v>
      </c>
      <c r="Q1468" s="387"/>
      <c r="R1468" s="387" t="s">
        <v>6796</v>
      </c>
      <c r="S1468" s="387"/>
      <c r="T1468" s="387" t="s">
        <v>3349</v>
      </c>
      <c r="U1468" s="387" t="s">
        <v>152</v>
      </c>
      <c r="V1468" s="387" t="s">
        <v>23</v>
      </c>
    </row>
    <row r="1469" spans="2:22">
      <c r="B1469" s="389">
        <v>46233</v>
      </c>
      <c r="C1469" s="389">
        <v>46233</v>
      </c>
      <c r="D1469" s="387" t="s">
        <v>6797</v>
      </c>
      <c r="E1469" s="388" t="s">
        <v>6798</v>
      </c>
      <c r="F1469" s="387" t="s">
        <v>87</v>
      </c>
      <c r="G1469" s="387" t="s">
        <v>2486</v>
      </c>
      <c r="H1469" s="393">
        <v>40</v>
      </c>
      <c r="I1469" s="387">
        <v>38.299999999999997</v>
      </c>
      <c r="J1469" s="387">
        <v>38.299999999999997</v>
      </c>
      <c r="K1469" s="387">
        <v>5</v>
      </c>
      <c r="L1469" s="387">
        <v>0</v>
      </c>
      <c r="M1469" s="387" t="s">
        <v>148</v>
      </c>
      <c r="N1469" s="387" t="s">
        <v>149</v>
      </c>
      <c r="O1469" s="387" t="s">
        <v>150</v>
      </c>
      <c r="P1469" s="387" t="s">
        <v>151</v>
      </c>
      <c r="Q1469" s="387"/>
      <c r="R1469" s="387" t="s">
        <v>6798</v>
      </c>
      <c r="S1469" s="387"/>
      <c r="T1469" s="387" t="s">
        <v>3349</v>
      </c>
      <c r="U1469" s="387" t="s">
        <v>152</v>
      </c>
      <c r="V1469" s="387" t="s">
        <v>23</v>
      </c>
    </row>
    <row r="1470" spans="2:22">
      <c r="B1470" s="389">
        <v>46233</v>
      </c>
      <c r="C1470" s="389">
        <v>46233</v>
      </c>
      <c r="D1470" s="387" t="s">
        <v>6799</v>
      </c>
      <c r="E1470" s="388" t="s">
        <v>6800</v>
      </c>
      <c r="F1470" s="387" t="s">
        <v>87</v>
      </c>
      <c r="G1470" s="387" t="s">
        <v>4501</v>
      </c>
      <c r="H1470" s="393">
        <v>55</v>
      </c>
      <c r="I1470" s="387">
        <v>32.799999999999997</v>
      </c>
      <c r="J1470" s="387">
        <v>32.799999999999997</v>
      </c>
      <c r="K1470" s="387">
        <v>5</v>
      </c>
      <c r="L1470" s="387">
        <v>0</v>
      </c>
      <c r="M1470" s="387" t="s">
        <v>148</v>
      </c>
      <c r="N1470" s="387" t="s">
        <v>149</v>
      </c>
      <c r="O1470" s="387" t="s">
        <v>150</v>
      </c>
      <c r="P1470" s="387" t="s">
        <v>151</v>
      </c>
      <c r="Q1470" s="387"/>
      <c r="R1470" s="387" t="s">
        <v>6800</v>
      </c>
      <c r="S1470" s="387"/>
      <c r="T1470" s="387" t="s">
        <v>3349</v>
      </c>
      <c r="U1470" s="387" t="s">
        <v>152</v>
      </c>
      <c r="V1470" s="387" t="s">
        <v>23</v>
      </c>
    </row>
    <row r="1471" spans="2:22">
      <c r="B1471" s="389">
        <v>46233</v>
      </c>
      <c r="C1471" s="389">
        <v>46233</v>
      </c>
      <c r="D1471" s="387" t="s">
        <v>6801</v>
      </c>
      <c r="E1471" s="388" t="s">
        <v>6802</v>
      </c>
      <c r="F1471" s="387" t="s">
        <v>87</v>
      </c>
      <c r="G1471" s="387" t="s">
        <v>2552</v>
      </c>
      <c r="H1471" s="393">
        <v>40</v>
      </c>
      <c r="I1471" s="387">
        <v>37.799999999999997</v>
      </c>
      <c r="J1471" s="387">
        <v>37.799999999999997</v>
      </c>
      <c r="K1471" s="387">
        <v>5</v>
      </c>
      <c r="L1471" s="387">
        <v>0</v>
      </c>
      <c r="M1471" s="387" t="s">
        <v>148</v>
      </c>
      <c r="N1471" s="387" t="s">
        <v>149</v>
      </c>
      <c r="O1471" s="387" t="s">
        <v>150</v>
      </c>
      <c r="P1471" s="387" t="s">
        <v>151</v>
      </c>
      <c r="Q1471" s="387"/>
      <c r="R1471" s="387" t="s">
        <v>6802</v>
      </c>
      <c r="S1471" s="387"/>
      <c r="T1471" s="387" t="s">
        <v>3349</v>
      </c>
      <c r="U1471" s="387" t="s">
        <v>152</v>
      </c>
      <c r="V1471" s="387" t="s">
        <v>23</v>
      </c>
    </row>
    <row r="1472" spans="2:22">
      <c r="B1472" s="389">
        <v>46233</v>
      </c>
      <c r="C1472" s="389">
        <v>46233</v>
      </c>
      <c r="D1472" s="387" t="s">
        <v>6803</v>
      </c>
      <c r="E1472" s="388" t="s">
        <v>6804</v>
      </c>
      <c r="F1472" s="387" t="s">
        <v>87</v>
      </c>
      <c r="G1472" s="387" t="s">
        <v>2486</v>
      </c>
      <c r="H1472" s="393">
        <v>40</v>
      </c>
      <c r="I1472" s="387">
        <v>35.200000000000003</v>
      </c>
      <c r="J1472" s="387">
        <v>35.200000000000003</v>
      </c>
      <c r="K1472" s="387">
        <v>5</v>
      </c>
      <c r="L1472" s="387">
        <v>0</v>
      </c>
      <c r="M1472" s="387" t="s">
        <v>148</v>
      </c>
      <c r="N1472" s="387" t="s">
        <v>149</v>
      </c>
      <c r="O1472" s="387" t="s">
        <v>150</v>
      </c>
      <c r="P1472" s="387" t="s">
        <v>151</v>
      </c>
      <c r="Q1472" s="387"/>
      <c r="R1472" s="387" t="s">
        <v>6804</v>
      </c>
      <c r="S1472" s="387"/>
      <c r="T1472" s="387" t="s">
        <v>3349</v>
      </c>
      <c r="U1472" s="387" t="s">
        <v>152</v>
      </c>
      <c r="V1472" s="387" t="s">
        <v>23</v>
      </c>
    </row>
    <row r="1473" spans="2:22">
      <c r="B1473" s="389">
        <v>46233</v>
      </c>
      <c r="C1473" s="389">
        <v>46233</v>
      </c>
      <c r="D1473" s="387" t="s">
        <v>6805</v>
      </c>
      <c r="E1473" s="388" t="s">
        <v>6806</v>
      </c>
      <c r="F1473" s="387" t="s">
        <v>87</v>
      </c>
      <c r="G1473" s="387" t="s">
        <v>6807</v>
      </c>
      <c r="H1473" s="393">
        <v>6</v>
      </c>
      <c r="I1473" s="387">
        <v>15.8</v>
      </c>
      <c r="J1473" s="387">
        <v>15.8</v>
      </c>
      <c r="K1473" s="387">
        <v>1</v>
      </c>
      <c r="L1473" s="387">
        <v>0</v>
      </c>
      <c r="M1473" s="387" t="s">
        <v>148</v>
      </c>
      <c r="N1473" s="387" t="s">
        <v>149</v>
      </c>
      <c r="O1473" s="387" t="s">
        <v>150</v>
      </c>
      <c r="P1473" s="387" t="s">
        <v>151</v>
      </c>
      <c r="Q1473" s="387"/>
      <c r="R1473" s="387" t="s">
        <v>6806</v>
      </c>
      <c r="S1473" s="387"/>
      <c r="T1473" s="387" t="s">
        <v>3349</v>
      </c>
      <c r="U1473" s="387" t="s">
        <v>152</v>
      </c>
      <c r="V1473" s="387" t="s">
        <v>23</v>
      </c>
    </row>
    <row r="1474" spans="2:22">
      <c r="B1474" s="389">
        <v>46233</v>
      </c>
      <c r="C1474" s="389">
        <v>46233</v>
      </c>
      <c r="D1474" s="387" t="s">
        <v>6808</v>
      </c>
      <c r="E1474" s="388" t="s">
        <v>6809</v>
      </c>
      <c r="F1474" s="387" t="s">
        <v>87</v>
      </c>
      <c r="G1474" s="387" t="s">
        <v>2552</v>
      </c>
      <c r="H1474" s="393">
        <v>40</v>
      </c>
      <c r="I1474" s="387">
        <v>34.799999999999997</v>
      </c>
      <c r="J1474" s="387">
        <v>34.799999999999997</v>
      </c>
      <c r="K1474" s="387">
        <v>5</v>
      </c>
      <c r="L1474" s="387">
        <v>0</v>
      </c>
      <c r="M1474" s="387" t="s">
        <v>148</v>
      </c>
      <c r="N1474" s="387" t="s">
        <v>149</v>
      </c>
      <c r="O1474" s="387" t="s">
        <v>150</v>
      </c>
      <c r="P1474" s="387" t="s">
        <v>151</v>
      </c>
      <c r="Q1474" s="387"/>
      <c r="R1474" s="387" t="s">
        <v>6809</v>
      </c>
      <c r="S1474" s="387"/>
      <c r="T1474" s="387" t="s">
        <v>3349</v>
      </c>
      <c r="U1474" s="387" t="s">
        <v>152</v>
      </c>
      <c r="V1474" s="387" t="s">
        <v>23</v>
      </c>
    </row>
    <row r="1475" spans="2:22">
      <c r="B1475" s="389">
        <v>46233</v>
      </c>
      <c r="C1475" s="389">
        <v>46233</v>
      </c>
      <c r="D1475" s="387" t="s">
        <v>6810</v>
      </c>
      <c r="E1475" s="388" t="s">
        <v>6811</v>
      </c>
      <c r="F1475" s="387" t="s">
        <v>87</v>
      </c>
      <c r="G1475" s="387" t="s">
        <v>2486</v>
      </c>
      <c r="H1475" s="393">
        <v>40</v>
      </c>
      <c r="I1475" s="387">
        <v>34.799999999999997</v>
      </c>
      <c r="J1475" s="387">
        <v>34.799999999999997</v>
      </c>
      <c r="K1475" s="387">
        <v>5</v>
      </c>
      <c r="L1475" s="387">
        <v>0</v>
      </c>
      <c r="M1475" s="387" t="s">
        <v>148</v>
      </c>
      <c r="N1475" s="387" t="s">
        <v>149</v>
      </c>
      <c r="O1475" s="387" t="s">
        <v>150</v>
      </c>
      <c r="P1475" s="387" t="s">
        <v>151</v>
      </c>
      <c r="Q1475" s="387"/>
      <c r="R1475" s="387" t="s">
        <v>6811</v>
      </c>
      <c r="S1475" s="387"/>
      <c r="T1475" s="387" t="s">
        <v>3349</v>
      </c>
      <c r="U1475" s="387" t="s">
        <v>152</v>
      </c>
      <c r="V1475" s="387" t="s">
        <v>23</v>
      </c>
    </row>
    <row r="1476" spans="2:22">
      <c r="B1476" s="389">
        <v>46233</v>
      </c>
      <c r="C1476" s="389">
        <v>46233</v>
      </c>
      <c r="D1476" s="387" t="s">
        <v>6812</v>
      </c>
      <c r="E1476" s="388" t="s">
        <v>6813</v>
      </c>
      <c r="F1476" s="387" t="s">
        <v>87</v>
      </c>
      <c r="G1476" s="387" t="s">
        <v>2552</v>
      </c>
      <c r="H1476" s="393">
        <v>40</v>
      </c>
      <c r="I1476" s="387">
        <v>35.799999999999997</v>
      </c>
      <c r="J1476" s="387">
        <v>35.799999999999997</v>
      </c>
      <c r="K1476" s="387">
        <v>5</v>
      </c>
      <c r="L1476" s="387">
        <v>0</v>
      </c>
      <c r="M1476" s="387" t="s">
        <v>148</v>
      </c>
      <c r="N1476" s="387" t="s">
        <v>149</v>
      </c>
      <c r="O1476" s="387" t="s">
        <v>150</v>
      </c>
      <c r="P1476" s="387" t="s">
        <v>151</v>
      </c>
      <c r="Q1476" s="387"/>
      <c r="R1476" s="387" t="s">
        <v>6813</v>
      </c>
      <c r="S1476" s="387"/>
      <c r="T1476" s="387" t="s">
        <v>3349</v>
      </c>
      <c r="U1476" s="387" t="s">
        <v>152</v>
      </c>
      <c r="V1476" s="387" t="s">
        <v>23</v>
      </c>
    </row>
    <row r="1477" spans="2:22">
      <c r="B1477" s="389">
        <v>46233</v>
      </c>
      <c r="C1477" s="389">
        <v>46233</v>
      </c>
      <c r="D1477" s="387" t="s">
        <v>6814</v>
      </c>
      <c r="E1477" s="388" t="s">
        <v>6815</v>
      </c>
      <c r="F1477" s="387" t="s">
        <v>87</v>
      </c>
      <c r="G1477" s="387" t="s">
        <v>2552</v>
      </c>
      <c r="H1477" s="393">
        <v>40</v>
      </c>
      <c r="I1477" s="387">
        <v>36.200000000000003</v>
      </c>
      <c r="J1477" s="387">
        <v>36.200000000000003</v>
      </c>
      <c r="K1477" s="387">
        <v>5</v>
      </c>
      <c r="L1477" s="387">
        <v>0</v>
      </c>
      <c r="M1477" s="387" t="s">
        <v>148</v>
      </c>
      <c r="N1477" s="387" t="s">
        <v>149</v>
      </c>
      <c r="O1477" s="387" t="s">
        <v>150</v>
      </c>
      <c r="P1477" s="387" t="s">
        <v>151</v>
      </c>
      <c r="Q1477" s="387"/>
      <c r="R1477" s="387" t="s">
        <v>6815</v>
      </c>
      <c r="S1477" s="387"/>
      <c r="T1477" s="387" t="s">
        <v>3349</v>
      </c>
      <c r="U1477" s="387" t="s">
        <v>152</v>
      </c>
      <c r="V1477" s="387" t="s">
        <v>23</v>
      </c>
    </row>
    <row r="1478" spans="2:22">
      <c r="B1478" s="389">
        <v>46233</v>
      </c>
      <c r="C1478" s="389">
        <v>46233</v>
      </c>
      <c r="D1478" s="387" t="s">
        <v>6816</v>
      </c>
      <c r="E1478" s="388" t="s">
        <v>6817</v>
      </c>
      <c r="F1478" s="387" t="s">
        <v>87</v>
      </c>
      <c r="G1478" s="387" t="s">
        <v>2486</v>
      </c>
      <c r="H1478" s="393">
        <v>40</v>
      </c>
      <c r="I1478" s="387">
        <v>35.799999999999997</v>
      </c>
      <c r="J1478" s="387">
        <v>35.799999999999997</v>
      </c>
      <c r="K1478" s="387">
        <v>5</v>
      </c>
      <c r="L1478" s="387">
        <v>0</v>
      </c>
      <c r="M1478" s="387" t="s">
        <v>148</v>
      </c>
      <c r="N1478" s="387" t="s">
        <v>149</v>
      </c>
      <c r="O1478" s="387" t="s">
        <v>150</v>
      </c>
      <c r="P1478" s="387" t="s">
        <v>151</v>
      </c>
      <c r="Q1478" s="387"/>
      <c r="R1478" s="387" t="s">
        <v>6817</v>
      </c>
      <c r="S1478" s="387"/>
      <c r="T1478" s="387" t="s">
        <v>3349</v>
      </c>
      <c r="U1478" s="387" t="s">
        <v>152</v>
      </c>
      <c r="V1478" s="387" t="s">
        <v>23</v>
      </c>
    </row>
    <row r="1479" spans="2:22">
      <c r="B1479" s="389">
        <v>46233</v>
      </c>
      <c r="C1479" s="389">
        <v>46233</v>
      </c>
      <c r="D1479" s="387" t="s">
        <v>6818</v>
      </c>
      <c r="E1479" s="388" t="s">
        <v>6819</v>
      </c>
      <c r="F1479" s="387" t="s">
        <v>87</v>
      </c>
      <c r="G1479" s="387" t="s">
        <v>3934</v>
      </c>
      <c r="H1479" s="393">
        <v>25</v>
      </c>
      <c r="I1479" s="387">
        <v>40.4</v>
      </c>
      <c r="J1479" s="387">
        <v>40.4</v>
      </c>
      <c r="K1479" s="387">
        <v>4</v>
      </c>
      <c r="L1479" s="387">
        <v>0</v>
      </c>
      <c r="M1479" s="387" t="s">
        <v>148</v>
      </c>
      <c r="N1479" s="387" t="s">
        <v>149</v>
      </c>
      <c r="O1479" s="387" t="s">
        <v>150</v>
      </c>
      <c r="P1479" s="387" t="s">
        <v>151</v>
      </c>
      <c r="Q1479" s="387"/>
      <c r="R1479" s="387" t="s">
        <v>6819</v>
      </c>
      <c r="S1479" s="387"/>
      <c r="T1479" s="387" t="s">
        <v>3349</v>
      </c>
      <c r="U1479" s="387" t="s">
        <v>152</v>
      </c>
      <c r="V1479" s="387" t="s">
        <v>23</v>
      </c>
    </row>
    <row r="1480" spans="2:22">
      <c r="B1480" s="389">
        <v>46233</v>
      </c>
      <c r="C1480" s="389">
        <v>46233</v>
      </c>
      <c r="D1480" s="387" t="s">
        <v>6820</v>
      </c>
      <c r="E1480" s="388" t="s">
        <v>6821</v>
      </c>
      <c r="F1480" s="387" t="s">
        <v>87</v>
      </c>
      <c r="G1480" s="387" t="s">
        <v>4501</v>
      </c>
      <c r="H1480" s="393">
        <v>55</v>
      </c>
      <c r="I1480" s="387">
        <v>41.8</v>
      </c>
      <c r="J1480" s="387">
        <v>41.8</v>
      </c>
      <c r="K1480" s="387">
        <v>5</v>
      </c>
      <c r="L1480" s="387">
        <v>0</v>
      </c>
      <c r="M1480" s="387" t="s">
        <v>148</v>
      </c>
      <c r="N1480" s="387" t="s">
        <v>149</v>
      </c>
      <c r="O1480" s="387" t="s">
        <v>150</v>
      </c>
      <c r="P1480" s="387" t="s">
        <v>151</v>
      </c>
      <c r="Q1480" s="387"/>
      <c r="R1480" s="387" t="s">
        <v>6821</v>
      </c>
      <c r="S1480" s="387"/>
      <c r="T1480" s="387" t="s">
        <v>3349</v>
      </c>
      <c r="U1480" s="387" t="s">
        <v>152</v>
      </c>
      <c r="V1480" s="387" t="s">
        <v>23</v>
      </c>
    </row>
    <row r="1481" spans="2:22">
      <c r="B1481" s="389">
        <v>46233</v>
      </c>
      <c r="C1481" s="389">
        <v>46233</v>
      </c>
      <c r="D1481" s="387" t="s">
        <v>6822</v>
      </c>
      <c r="E1481" s="388" t="s">
        <v>6823</v>
      </c>
      <c r="F1481" s="387" t="s">
        <v>87</v>
      </c>
      <c r="G1481" s="387" t="s">
        <v>2552</v>
      </c>
      <c r="H1481" s="393">
        <v>40</v>
      </c>
      <c r="I1481" s="387">
        <v>38.799999999999997</v>
      </c>
      <c r="J1481" s="387">
        <v>38.799999999999997</v>
      </c>
      <c r="K1481" s="387">
        <v>5</v>
      </c>
      <c r="L1481" s="387">
        <v>0</v>
      </c>
      <c r="M1481" s="387" t="s">
        <v>148</v>
      </c>
      <c r="N1481" s="387" t="s">
        <v>149</v>
      </c>
      <c r="O1481" s="387" t="s">
        <v>150</v>
      </c>
      <c r="P1481" s="387" t="s">
        <v>151</v>
      </c>
      <c r="Q1481" s="387"/>
      <c r="R1481" s="387" t="s">
        <v>6823</v>
      </c>
      <c r="S1481" s="387"/>
      <c r="T1481" s="387" t="s">
        <v>3349</v>
      </c>
      <c r="U1481" s="387" t="s">
        <v>152</v>
      </c>
      <c r="V1481" s="387" t="s">
        <v>23</v>
      </c>
    </row>
    <row r="1482" spans="2:22">
      <c r="B1482" s="389">
        <v>46233</v>
      </c>
      <c r="C1482" s="389">
        <v>46233</v>
      </c>
      <c r="D1482" s="387" t="s">
        <v>6824</v>
      </c>
      <c r="E1482" s="388" t="s">
        <v>6825</v>
      </c>
      <c r="F1482" s="387" t="s">
        <v>87</v>
      </c>
      <c r="G1482" s="387" t="s">
        <v>3934</v>
      </c>
      <c r="H1482" s="393">
        <v>25</v>
      </c>
      <c r="I1482" s="387">
        <v>36.700000000000003</v>
      </c>
      <c r="J1482" s="387">
        <v>36.700000000000003</v>
      </c>
      <c r="K1482" s="387">
        <v>4</v>
      </c>
      <c r="L1482" s="387">
        <v>0</v>
      </c>
      <c r="M1482" s="387" t="s">
        <v>148</v>
      </c>
      <c r="N1482" s="387" t="s">
        <v>149</v>
      </c>
      <c r="O1482" s="387" t="s">
        <v>150</v>
      </c>
      <c r="P1482" s="387" t="s">
        <v>151</v>
      </c>
      <c r="Q1482" s="387"/>
      <c r="R1482" s="387" t="s">
        <v>6825</v>
      </c>
      <c r="S1482" s="387"/>
      <c r="T1482" s="387" t="s">
        <v>3349</v>
      </c>
      <c r="U1482" s="387" t="s">
        <v>152</v>
      </c>
      <c r="V1482" s="387" t="s">
        <v>23</v>
      </c>
    </row>
    <row r="1483" spans="2:22">
      <c r="B1483" s="389">
        <v>46233</v>
      </c>
      <c r="C1483" s="389">
        <v>46233</v>
      </c>
      <c r="D1483" s="387" t="s">
        <v>6826</v>
      </c>
      <c r="E1483" s="388" t="s">
        <v>6827</v>
      </c>
      <c r="F1483" s="387" t="s">
        <v>87</v>
      </c>
      <c r="G1483" s="387" t="s">
        <v>3934</v>
      </c>
      <c r="H1483" s="393">
        <v>25</v>
      </c>
      <c r="I1483" s="387">
        <v>40.4</v>
      </c>
      <c r="J1483" s="387">
        <v>40.4</v>
      </c>
      <c r="K1483" s="387">
        <v>4</v>
      </c>
      <c r="L1483" s="387">
        <v>0</v>
      </c>
      <c r="M1483" s="387" t="s">
        <v>148</v>
      </c>
      <c r="N1483" s="387" t="s">
        <v>149</v>
      </c>
      <c r="O1483" s="387" t="s">
        <v>150</v>
      </c>
      <c r="P1483" s="387" t="s">
        <v>151</v>
      </c>
      <c r="Q1483" s="387"/>
      <c r="R1483" s="387" t="s">
        <v>6827</v>
      </c>
      <c r="S1483" s="387"/>
      <c r="T1483" s="387" t="s">
        <v>3349</v>
      </c>
      <c r="U1483" s="387" t="s">
        <v>152</v>
      </c>
      <c r="V1483" s="387" t="s">
        <v>23</v>
      </c>
    </row>
    <row r="1484" spans="2:22">
      <c r="B1484" s="389">
        <v>46233</v>
      </c>
      <c r="C1484" s="389">
        <v>46233</v>
      </c>
      <c r="D1484" s="387" t="s">
        <v>6828</v>
      </c>
      <c r="E1484" s="388" t="s">
        <v>6829</v>
      </c>
      <c r="F1484" s="387" t="s">
        <v>87</v>
      </c>
      <c r="G1484" s="387" t="s">
        <v>3934</v>
      </c>
      <c r="H1484" s="393">
        <v>25</v>
      </c>
      <c r="I1484" s="387">
        <v>68.8</v>
      </c>
      <c r="J1484" s="387">
        <v>68.8</v>
      </c>
      <c r="K1484" s="387">
        <v>4</v>
      </c>
      <c r="L1484" s="387">
        <v>0</v>
      </c>
      <c r="M1484" s="387" t="s">
        <v>148</v>
      </c>
      <c r="N1484" s="387" t="s">
        <v>149</v>
      </c>
      <c r="O1484" s="387" t="s">
        <v>150</v>
      </c>
      <c r="P1484" s="387" t="s">
        <v>151</v>
      </c>
      <c r="Q1484" s="387"/>
      <c r="R1484" s="387" t="s">
        <v>6829</v>
      </c>
      <c r="S1484" s="387"/>
      <c r="T1484" s="387" t="s">
        <v>3349</v>
      </c>
      <c r="U1484" s="387" t="s">
        <v>152</v>
      </c>
      <c r="V1484" s="387" t="s">
        <v>23</v>
      </c>
    </row>
    <row r="1485" spans="2:22">
      <c r="B1485" s="389">
        <v>46233</v>
      </c>
      <c r="C1485" s="389">
        <v>46233</v>
      </c>
      <c r="D1485" s="387" t="s">
        <v>6830</v>
      </c>
      <c r="E1485" s="388" t="s">
        <v>6831</v>
      </c>
      <c r="F1485" s="387" t="s">
        <v>87</v>
      </c>
      <c r="G1485" s="387" t="s">
        <v>4501</v>
      </c>
      <c r="H1485" s="393">
        <v>55</v>
      </c>
      <c r="I1485" s="387">
        <v>37.4</v>
      </c>
      <c r="J1485" s="387">
        <v>37.4</v>
      </c>
      <c r="K1485" s="387">
        <v>5</v>
      </c>
      <c r="L1485" s="387">
        <v>0</v>
      </c>
      <c r="M1485" s="387" t="s">
        <v>148</v>
      </c>
      <c r="N1485" s="387" t="s">
        <v>149</v>
      </c>
      <c r="O1485" s="387" t="s">
        <v>150</v>
      </c>
      <c r="P1485" s="387" t="s">
        <v>151</v>
      </c>
      <c r="Q1485" s="387"/>
      <c r="R1485" s="387" t="s">
        <v>6831</v>
      </c>
      <c r="S1485" s="387"/>
      <c r="T1485" s="387" t="s">
        <v>3349</v>
      </c>
      <c r="U1485" s="387" t="s">
        <v>152</v>
      </c>
      <c r="V1485" s="387" t="s">
        <v>23</v>
      </c>
    </row>
    <row r="1486" spans="2:22">
      <c r="B1486" s="389">
        <v>46233</v>
      </c>
      <c r="C1486" s="389">
        <v>46233</v>
      </c>
      <c r="D1486" s="387" t="s">
        <v>6832</v>
      </c>
      <c r="E1486" s="388" t="s">
        <v>6833</v>
      </c>
      <c r="F1486" s="387" t="s">
        <v>87</v>
      </c>
      <c r="G1486" s="387" t="s">
        <v>2486</v>
      </c>
      <c r="H1486" s="393">
        <v>40</v>
      </c>
      <c r="I1486" s="387">
        <v>40.799999999999997</v>
      </c>
      <c r="J1486" s="387">
        <v>40.799999999999997</v>
      </c>
      <c r="K1486" s="387">
        <v>5</v>
      </c>
      <c r="L1486" s="387">
        <v>0</v>
      </c>
      <c r="M1486" s="387" t="s">
        <v>148</v>
      </c>
      <c r="N1486" s="387" t="s">
        <v>149</v>
      </c>
      <c r="O1486" s="387" t="s">
        <v>150</v>
      </c>
      <c r="P1486" s="387" t="s">
        <v>151</v>
      </c>
      <c r="Q1486" s="387"/>
      <c r="R1486" s="387" t="s">
        <v>6833</v>
      </c>
      <c r="S1486" s="387"/>
      <c r="T1486" s="387" t="s">
        <v>3349</v>
      </c>
      <c r="U1486" s="387" t="s">
        <v>152</v>
      </c>
      <c r="V1486" s="387" t="s">
        <v>23</v>
      </c>
    </row>
    <row r="1487" spans="2:22">
      <c r="B1487" s="389">
        <v>46234</v>
      </c>
      <c r="C1487" s="389">
        <v>46234</v>
      </c>
      <c r="D1487" s="387" t="s">
        <v>6834</v>
      </c>
      <c r="E1487" s="388" t="s">
        <v>6835</v>
      </c>
      <c r="F1487" s="387" t="s">
        <v>87</v>
      </c>
      <c r="G1487" s="387" t="s">
        <v>2486</v>
      </c>
      <c r="H1487" s="393">
        <v>40</v>
      </c>
      <c r="I1487" s="387">
        <v>30.2</v>
      </c>
      <c r="J1487" s="387">
        <v>30.2</v>
      </c>
      <c r="K1487" s="387">
        <v>5</v>
      </c>
      <c r="L1487" s="387">
        <v>0</v>
      </c>
      <c r="M1487" s="387" t="s">
        <v>148</v>
      </c>
      <c r="N1487" s="387" t="s">
        <v>149</v>
      </c>
      <c r="O1487" s="387" t="s">
        <v>150</v>
      </c>
      <c r="P1487" s="387" t="s">
        <v>151</v>
      </c>
      <c r="Q1487" s="387"/>
      <c r="R1487" s="387" t="s">
        <v>6835</v>
      </c>
      <c r="S1487" s="387"/>
      <c r="T1487" s="387" t="s">
        <v>3357</v>
      </c>
      <c r="U1487" s="387" t="s">
        <v>152</v>
      </c>
      <c r="V1487" s="387" t="s">
        <v>23</v>
      </c>
    </row>
    <row r="1488" spans="2:22">
      <c r="B1488" s="389">
        <v>46234</v>
      </c>
      <c r="C1488" s="389">
        <v>46234</v>
      </c>
      <c r="D1488" s="387" t="s">
        <v>6836</v>
      </c>
      <c r="E1488" s="388" t="s">
        <v>6837</v>
      </c>
      <c r="F1488" s="387" t="s">
        <v>87</v>
      </c>
      <c r="G1488" s="387" t="s">
        <v>2486</v>
      </c>
      <c r="H1488" s="393">
        <v>40</v>
      </c>
      <c r="I1488" s="387">
        <v>24.8</v>
      </c>
      <c r="J1488" s="387">
        <v>24.8</v>
      </c>
      <c r="K1488" s="387">
        <v>5</v>
      </c>
      <c r="L1488" s="387">
        <v>0</v>
      </c>
      <c r="M1488" s="387" t="s">
        <v>148</v>
      </c>
      <c r="N1488" s="387" t="s">
        <v>149</v>
      </c>
      <c r="O1488" s="387" t="s">
        <v>150</v>
      </c>
      <c r="P1488" s="387" t="s">
        <v>151</v>
      </c>
      <c r="Q1488" s="387"/>
      <c r="R1488" s="387" t="s">
        <v>6837</v>
      </c>
      <c r="S1488" s="387"/>
      <c r="T1488" s="387" t="s">
        <v>3357</v>
      </c>
      <c r="U1488" s="387" t="s">
        <v>152</v>
      </c>
      <c r="V1488" s="387" t="s">
        <v>23</v>
      </c>
    </row>
    <row r="1489" spans="2:22">
      <c r="B1489" s="389">
        <v>46234</v>
      </c>
      <c r="C1489" s="389">
        <v>46234</v>
      </c>
      <c r="D1489" s="387" t="s">
        <v>6838</v>
      </c>
      <c r="E1489" s="388" t="s">
        <v>6839</v>
      </c>
      <c r="F1489" s="387" t="s">
        <v>87</v>
      </c>
      <c r="G1489" s="387" t="s">
        <v>2552</v>
      </c>
      <c r="H1489" s="393">
        <v>40</v>
      </c>
      <c r="I1489" s="387">
        <v>41</v>
      </c>
      <c r="J1489" s="387">
        <v>41</v>
      </c>
      <c r="K1489" s="387">
        <v>5</v>
      </c>
      <c r="L1489" s="387">
        <v>0</v>
      </c>
      <c r="M1489" s="387" t="s">
        <v>148</v>
      </c>
      <c r="N1489" s="387" t="s">
        <v>149</v>
      </c>
      <c r="O1489" s="387" t="s">
        <v>150</v>
      </c>
      <c r="P1489" s="387" t="s">
        <v>151</v>
      </c>
      <c r="Q1489" s="387"/>
      <c r="R1489" s="387" t="s">
        <v>6839</v>
      </c>
      <c r="S1489" s="387"/>
      <c r="T1489" s="387" t="s">
        <v>3357</v>
      </c>
      <c r="U1489" s="387" t="s">
        <v>152</v>
      </c>
      <c r="V1489" s="387" t="s">
        <v>23</v>
      </c>
    </row>
    <row r="1490" spans="2:22">
      <c r="B1490" s="389">
        <v>46234</v>
      </c>
      <c r="C1490" s="389">
        <v>46234</v>
      </c>
      <c r="D1490" s="387" t="s">
        <v>6840</v>
      </c>
      <c r="E1490" s="388" t="s">
        <v>6841</v>
      </c>
      <c r="F1490" s="387" t="s">
        <v>87</v>
      </c>
      <c r="G1490" s="387" t="s">
        <v>2552</v>
      </c>
      <c r="H1490" s="393">
        <v>40</v>
      </c>
      <c r="I1490" s="387">
        <v>37.299999999999997</v>
      </c>
      <c r="J1490" s="387">
        <v>37.299999999999997</v>
      </c>
      <c r="K1490" s="387">
        <v>5</v>
      </c>
      <c r="L1490" s="387">
        <v>0</v>
      </c>
      <c r="M1490" s="387" t="s">
        <v>148</v>
      </c>
      <c r="N1490" s="387" t="s">
        <v>149</v>
      </c>
      <c r="O1490" s="387" t="s">
        <v>150</v>
      </c>
      <c r="P1490" s="387" t="s">
        <v>151</v>
      </c>
      <c r="Q1490" s="387"/>
      <c r="R1490" s="387" t="s">
        <v>6841</v>
      </c>
      <c r="S1490" s="387"/>
      <c r="T1490" s="387" t="s">
        <v>3357</v>
      </c>
      <c r="U1490" s="387" t="s">
        <v>152</v>
      </c>
      <c r="V1490" s="387" t="s">
        <v>23</v>
      </c>
    </row>
    <row r="1491" spans="2:22">
      <c r="B1491" s="389">
        <v>46234</v>
      </c>
      <c r="C1491" s="389">
        <v>46234</v>
      </c>
      <c r="D1491" s="387" t="s">
        <v>6842</v>
      </c>
      <c r="E1491" s="388" t="s">
        <v>6843</v>
      </c>
      <c r="F1491" s="387" t="s">
        <v>87</v>
      </c>
      <c r="G1491" s="387" t="s">
        <v>2001</v>
      </c>
      <c r="H1491" s="393">
        <v>6</v>
      </c>
      <c r="I1491" s="387">
        <v>26.8</v>
      </c>
      <c r="J1491" s="387">
        <v>26.8</v>
      </c>
      <c r="K1491" s="387">
        <v>1.5</v>
      </c>
      <c r="L1491" s="387">
        <v>0</v>
      </c>
      <c r="M1491" s="387" t="s">
        <v>148</v>
      </c>
      <c r="N1491" s="387" t="s">
        <v>149</v>
      </c>
      <c r="O1491" s="387" t="s">
        <v>150</v>
      </c>
      <c r="P1491" s="387" t="s">
        <v>151</v>
      </c>
      <c r="Q1491" s="387"/>
      <c r="R1491" s="387" t="s">
        <v>6843</v>
      </c>
      <c r="S1491" s="387"/>
      <c r="T1491" s="387" t="s">
        <v>3357</v>
      </c>
      <c r="U1491" s="387" t="s">
        <v>152</v>
      </c>
      <c r="V1491" s="387" t="s">
        <v>23</v>
      </c>
    </row>
    <row r="1492" spans="2:22">
      <c r="B1492" s="389">
        <v>46234</v>
      </c>
      <c r="C1492" s="389">
        <v>46234</v>
      </c>
      <c r="D1492" s="387" t="s">
        <v>6844</v>
      </c>
      <c r="E1492" s="388" t="s">
        <v>6845</v>
      </c>
      <c r="F1492" s="387" t="s">
        <v>87</v>
      </c>
      <c r="G1492" s="387" t="s">
        <v>2001</v>
      </c>
      <c r="H1492" s="393">
        <v>6</v>
      </c>
      <c r="I1492" s="387">
        <v>8.8000000000000007</v>
      </c>
      <c r="J1492" s="387">
        <v>8.8000000000000007</v>
      </c>
      <c r="K1492" s="387">
        <v>1.5</v>
      </c>
      <c r="L1492" s="387">
        <v>0</v>
      </c>
      <c r="M1492" s="387" t="s">
        <v>148</v>
      </c>
      <c r="N1492" s="387" t="s">
        <v>149</v>
      </c>
      <c r="O1492" s="387" t="s">
        <v>150</v>
      </c>
      <c r="P1492" s="387" t="s">
        <v>151</v>
      </c>
      <c r="Q1492" s="387"/>
      <c r="R1492" s="387" t="s">
        <v>6845</v>
      </c>
      <c r="S1492" s="387"/>
      <c r="T1492" s="387" t="s">
        <v>3357</v>
      </c>
      <c r="U1492" s="387" t="s">
        <v>152</v>
      </c>
      <c r="V1492" s="387" t="s">
        <v>23</v>
      </c>
    </row>
    <row r="1493" spans="2:22">
      <c r="B1493" s="389">
        <v>46234</v>
      </c>
      <c r="C1493" s="389">
        <v>46234</v>
      </c>
      <c r="D1493" s="387" t="s">
        <v>6846</v>
      </c>
      <c r="E1493" s="388" t="s">
        <v>6847</v>
      </c>
      <c r="F1493" s="387" t="s">
        <v>87</v>
      </c>
      <c r="G1493" s="387" t="s">
        <v>3934</v>
      </c>
      <c r="H1493" s="393">
        <v>25</v>
      </c>
      <c r="I1493" s="387">
        <v>41.2</v>
      </c>
      <c r="J1493" s="387">
        <v>41.2</v>
      </c>
      <c r="K1493" s="387">
        <v>4</v>
      </c>
      <c r="L1493" s="387">
        <v>0</v>
      </c>
      <c r="M1493" s="387" t="s">
        <v>148</v>
      </c>
      <c r="N1493" s="387" t="s">
        <v>149</v>
      </c>
      <c r="O1493" s="387" t="s">
        <v>150</v>
      </c>
      <c r="P1493" s="387" t="s">
        <v>151</v>
      </c>
      <c r="Q1493" s="387"/>
      <c r="R1493" s="387" t="s">
        <v>6847</v>
      </c>
      <c r="S1493" s="387"/>
      <c r="T1493" s="387" t="s">
        <v>3357</v>
      </c>
      <c r="U1493" s="387" t="s">
        <v>152</v>
      </c>
      <c r="V1493" s="387" t="s">
        <v>23</v>
      </c>
    </row>
    <row r="1494" spans="2:22">
      <c r="B1494" s="389">
        <v>46234</v>
      </c>
      <c r="C1494" s="389">
        <v>46234</v>
      </c>
      <c r="D1494" s="387" t="s">
        <v>6848</v>
      </c>
      <c r="E1494" s="388" t="s">
        <v>6849</v>
      </c>
      <c r="F1494" s="387" t="s">
        <v>87</v>
      </c>
      <c r="G1494" s="387" t="s">
        <v>2486</v>
      </c>
      <c r="H1494" s="393">
        <v>40</v>
      </c>
      <c r="I1494" s="387">
        <v>35.799999999999997</v>
      </c>
      <c r="J1494" s="387">
        <v>35.799999999999997</v>
      </c>
      <c r="K1494" s="387">
        <v>5</v>
      </c>
      <c r="L1494" s="387">
        <v>0</v>
      </c>
      <c r="M1494" s="387" t="s">
        <v>148</v>
      </c>
      <c r="N1494" s="387" t="s">
        <v>149</v>
      </c>
      <c r="O1494" s="387" t="s">
        <v>150</v>
      </c>
      <c r="P1494" s="387" t="s">
        <v>151</v>
      </c>
      <c r="Q1494" s="387"/>
      <c r="R1494" s="387" t="s">
        <v>6849</v>
      </c>
      <c r="S1494" s="387"/>
      <c r="T1494" s="387" t="s">
        <v>3357</v>
      </c>
      <c r="U1494" s="387" t="s">
        <v>152</v>
      </c>
      <c r="V1494" s="387" t="s">
        <v>23</v>
      </c>
    </row>
    <row r="1495" spans="2:22">
      <c r="B1495" s="389">
        <v>46234</v>
      </c>
      <c r="C1495" s="389">
        <v>46234</v>
      </c>
      <c r="D1495" s="387" t="s">
        <v>6850</v>
      </c>
      <c r="E1495" s="388" t="s">
        <v>6851</v>
      </c>
      <c r="F1495" s="387" t="s">
        <v>87</v>
      </c>
      <c r="G1495" s="387" t="s">
        <v>2001</v>
      </c>
      <c r="H1495" s="393">
        <v>6</v>
      </c>
      <c r="I1495" s="387">
        <v>30.6</v>
      </c>
      <c r="J1495" s="387">
        <v>30.6</v>
      </c>
      <c r="K1495" s="387">
        <v>1.5</v>
      </c>
      <c r="L1495" s="387">
        <v>0</v>
      </c>
      <c r="M1495" s="387" t="s">
        <v>148</v>
      </c>
      <c r="N1495" s="387" t="s">
        <v>149</v>
      </c>
      <c r="O1495" s="387" t="s">
        <v>150</v>
      </c>
      <c r="P1495" s="387" t="s">
        <v>151</v>
      </c>
      <c r="Q1495" s="387"/>
      <c r="R1495" s="387" t="s">
        <v>6851</v>
      </c>
      <c r="S1495" s="387"/>
      <c r="T1495" s="387" t="s">
        <v>3357</v>
      </c>
      <c r="U1495" s="387" t="s">
        <v>152</v>
      </c>
      <c r="V1495" s="387" t="s">
        <v>23</v>
      </c>
    </row>
    <row r="1496" spans="2:22">
      <c r="B1496" s="389">
        <v>46234</v>
      </c>
      <c r="C1496" s="389">
        <v>46234</v>
      </c>
      <c r="D1496" s="387" t="s">
        <v>6852</v>
      </c>
      <c r="E1496" s="388" t="s">
        <v>6853</v>
      </c>
      <c r="F1496" s="387" t="s">
        <v>87</v>
      </c>
      <c r="G1496" s="387" t="s">
        <v>2001</v>
      </c>
      <c r="H1496" s="393">
        <v>6</v>
      </c>
      <c r="I1496" s="387">
        <v>14.6</v>
      </c>
      <c r="J1496" s="387">
        <v>14.6</v>
      </c>
      <c r="K1496" s="387">
        <v>1.5</v>
      </c>
      <c r="L1496" s="387">
        <v>0</v>
      </c>
      <c r="M1496" s="387" t="s">
        <v>148</v>
      </c>
      <c r="N1496" s="387" t="s">
        <v>149</v>
      </c>
      <c r="O1496" s="387" t="s">
        <v>150</v>
      </c>
      <c r="P1496" s="387" t="s">
        <v>151</v>
      </c>
      <c r="Q1496" s="387"/>
      <c r="R1496" s="387" t="s">
        <v>6853</v>
      </c>
      <c r="S1496" s="387"/>
      <c r="T1496" s="387" t="s">
        <v>3357</v>
      </c>
      <c r="U1496" s="387" t="s">
        <v>152</v>
      </c>
      <c r="V1496" s="387" t="s">
        <v>23</v>
      </c>
    </row>
    <row r="1497" spans="2:22">
      <c r="B1497" s="389">
        <v>46234</v>
      </c>
      <c r="C1497" s="389">
        <v>46234</v>
      </c>
      <c r="D1497" s="387" t="s">
        <v>6854</v>
      </c>
      <c r="E1497" s="388" t="s">
        <v>6855</v>
      </c>
      <c r="F1497" s="387" t="s">
        <v>87</v>
      </c>
      <c r="G1497" s="387" t="s">
        <v>4501</v>
      </c>
      <c r="H1497" s="393">
        <v>55</v>
      </c>
      <c r="I1497" s="387">
        <v>41.5</v>
      </c>
      <c r="J1497" s="387">
        <v>41.5</v>
      </c>
      <c r="K1497" s="387">
        <v>5</v>
      </c>
      <c r="L1497" s="387">
        <v>0</v>
      </c>
      <c r="M1497" s="387" t="s">
        <v>148</v>
      </c>
      <c r="N1497" s="387" t="s">
        <v>149</v>
      </c>
      <c r="O1497" s="387" t="s">
        <v>150</v>
      </c>
      <c r="P1497" s="387" t="s">
        <v>151</v>
      </c>
      <c r="Q1497" s="387"/>
      <c r="R1497" s="387" t="s">
        <v>6855</v>
      </c>
      <c r="S1497" s="387"/>
      <c r="T1497" s="387" t="s">
        <v>3357</v>
      </c>
      <c r="U1497" s="387" t="s">
        <v>152</v>
      </c>
      <c r="V1497" s="387" t="s">
        <v>23</v>
      </c>
    </row>
    <row r="1498" spans="2:22">
      <c r="B1498" s="389">
        <v>46234</v>
      </c>
      <c r="C1498" s="389">
        <v>46234</v>
      </c>
      <c r="D1498" s="387" t="s">
        <v>6856</v>
      </c>
      <c r="E1498" s="388" t="s">
        <v>6857</v>
      </c>
      <c r="F1498" s="387" t="s">
        <v>87</v>
      </c>
      <c r="G1498" s="387" t="s">
        <v>3934</v>
      </c>
      <c r="H1498" s="393">
        <v>25</v>
      </c>
      <c r="I1498" s="387">
        <v>40.9</v>
      </c>
      <c r="J1498" s="387">
        <v>40.9</v>
      </c>
      <c r="K1498" s="387">
        <v>4</v>
      </c>
      <c r="L1498" s="387">
        <v>0</v>
      </c>
      <c r="M1498" s="387" t="s">
        <v>148</v>
      </c>
      <c r="N1498" s="387" t="s">
        <v>149</v>
      </c>
      <c r="O1498" s="387" t="s">
        <v>150</v>
      </c>
      <c r="P1498" s="387" t="s">
        <v>151</v>
      </c>
      <c r="Q1498" s="387"/>
      <c r="R1498" s="387" t="s">
        <v>6857</v>
      </c>
      <c r="S1498" s="387"/>
      <c r="T1498" s="387" t="s">
        <v>3357</v>
      </c>
      <c r="U1498" s="387" t="s">
        <v>152</v>
      </c>
      <c r="V1498" s="387" t="s">
        <v>23</v>
      </c>
    </row>
    <row r="1499" spans="2:22">
      <c r="B1499" s="389">
        <v>46234</v>
      </c>
      <c r="C1499" s="389">
        <v>46234</v>
      </c>
      <c r="D1499" s="387" t="s">
        <v>6858</v>
      </c>
      <c r="E1499" s="388" t="s">
        <v>6859</v>
      </c>
      <c r="F1499" s="387" t="s">
        <v>87</v>
      </c>
      <c r="G1499" s="387" t="s">
        <v>4501</v>
      </c>
      <c r="H1499" s="393">
        <v>55</v>
      </c>
      <c r="I1499" s="387">
        <v>44.2</v>
      </c>
      <c r="J1499" s="387">
        <v>44.2</v>
      </c>
      <c r="K1499" s="387">
        <v>5</v>
      </c>
      <c r="L1499" s="387">
        <v>0</v>
      </c>
      <c r="M1499" s="387" t="s">
        <v>148</v>
      </c>
      <c r="N1499" s="387" t="s">
        <v>149</v>
      </c>
      <c r="O1499" s="387" t="s">
        <v>150</v>
      </c>
      <c r="P1499" s="387" t="s">
        <v>151</v>
      </c>
      <c r="Q1499" s="387"/>
      <c r="R1499" s="387" t="s">
        <v>6859</v>
      </c>
      <c r="S1499" s="387"/>
      <c r="T1499" s="387" t="s">
        <v>3357</v>
      </c>
      <c r="U1499" s="387" t="s">
        <v>152</v>
      </c>
      <c r="V1499" s="387" t="s">
        <v>23</v>
      </c>
    </row>
    <row r="1500" spans="2:22">
      <c r="B1500" s="389">
        <v>46234</v>
      </c>
      <c r="C1500" s="389">
        <v>46234</v>
      </c>
      <c r="D1500" s="387" t="s">
        <v>6860</v>
      </c>
      <c r="E1500" s="388" t="s">
        <v>6861</v>
      </c>
      <c r="F1500" s="387" t="s">
        <v>87</v>
      </c>
      <c r="G1500" s="387" t="s">
        <v>2486</v>
      </c>
      <c r="H1500" s="393">
        <v>40</v>
      </c>
      <c r="I1500" s="387">
        <v>29.8</v>
      </c>
      <c r="J1500" s="387">
        <v>29.8</v>
      </c>
      <c r="K1500" s="387">
        <v>5</v>
      </c>
      <c r="L1500" s="387">
        <v>0</v>
      </c>
      <c r="M1500" s="387" t="s">
        <v>148</v>
      </c>
      <c r="N1500" s="387" t="s">
        <v>149</v>
      </c>
      <c r="O1500" s="387" t="s">
        <v>150</v>
      </c>
      <c r="P1500" s="387" t="s">
        <v>151</v>
      </c>
      <c r="Q1500" s="387"/>
      <c r="R1500" s="387" t="s">
        <v>6861</v>
      </c>
      <c r="S1500" s="387"/>
      <c r="T1500" s="387" t="s">
        <v>3357</v>
      </c>
      <c r="U1500" s="387" t="s">
        <v>152</v>
      </c>
      <c r="V1500" s="387" t="s">
        <v>23</v>
      </c>
    </row>
    <row r="1501" spans="2:22">
      <c r="B1501" s="389">
        <v>46234</v>
      </c>
      <c r="C1501" s="389">
        <v>46234</v>
      </c>
      <c r="D1501" s="387" t="s">
        <v>6862</v>
      </c>
      <c r="E1501" s="388" t="s">
        <v>6863</v>
      </c>
      <c r="F1501" s="387" t="s">
        <v>87</v>
      </c>
      <c r="G1501" s="387" t="s">
        <v>2001</v>
      </c>
      <c r="H1501" s="393">
        <v>6</v>
      </c>
      <c r="I1501" s="387">
        <v>29.4</v>
      </c>
      <c r="J1501" s="387">
        <v>29.4</v>
      </c>
      <c r="K1501" s="387">
        <v>1.5</v>
      </c>
      <c r="L1501" s="387">
        <v>0</v>
      </c>
      <c r="M1501" s="387" t="s">
        <v>148</v>
      </c>
      <c r="N1501" s="387" t="s">
        <v>149</v>
      </c>
      <c r="O1501" s="387" t="s">
        <v>150</v>
      </c>
      <c r="P1501" s="387" t="s">
        <v>151</v>
      </c>
      <c r="Q1501" s="387"/>
      <c r="R1501" s="387" t="s">
        <v>6863</v>
      </c>
      <c r="S1501" s="387"/>
      <c r="T1501" s="387" t="s">
        <v>3357</v>
      </c>
      <c r="U1501" s="387" t="s">
        <v>152</v>
      </c>
      <c r="V1501" s="387" t="s">
        <v>23</v>
      </c>
    </row>
    <row r="1502" spans="2:22">
      <c r="B1502" s="389">
        <v>46234</v>
      </c>
      <c r="C1502" s="389">
        <v>46234</v>
      </c>
      <c r="D1502" s="387" t="s">
        <v>6864</v>
      </c>
      <c r="E1502" s="388" t="s">
        <v>6865</v>
      </c>
      <c r="F1502" s="387" t="s">
        <v>87</v>
      </c>
      <c r="G1502" s="387" t="s">
        <v>3934</v>
      </c>
      <c r="H1502" s="393">
        <v>25</v>
      </c>
      <c r="I1502" s="387">
        <v>45.4</v>
      </c>
      <c r="J1502" s="387">
        <v>45.4</v>
      </c>
      <c r="K1502" s="387">
        <v>4</v>
      </c>
      <c r="L1502" s="387">
        <v>0</v>
      </c>
      <c r="M1502" s="387" t="s">
        <v>148</v>
      </c>
      <c r="N1502" s="387" t="s">
        <v>149</v>
      </c>
      <c r="O1502" s="387" t="s">
        <v>150</v>
      </c>
      <c r="P1502" s="387" t="s">
        <v>151</v>
      </c>
      <c r="Q1502" s="387"/>
      <c r="R1502" s="387" t="s">
        <v>6865</v>
      </c>
      <c r="S1502" s="387"/>
      <c r="T1502" s="387" t="s">
        <v>3357</v>
      </c>
      <c r="U1502" s="387" t="s">
        <v>152</v>
      </c>
      <c r="V1502" s="387" t="s">
        <v>23</v>
      </c>
    </row>
    <row r="1503" spans="2:22">
      <c r="B1503" s="389">
        <v>46234</v>
      </c>
      <c r="C1503" s="389">
        <v>46234</v>
      </c>
      <c r="D1503" s="387" t="s">
        <v>6866</v>
      </c>
      <c r="E1503" s="388" t="s">
        <v>6867</v>
      </c>
      <c r="F1503" s="387" t="s">
        <v>87</v>
      </c>
      <c r="G1503" s="387" t="s">
        <v>2552</v>
      </c>
      <c r="H1503" s="393">
        <v>40</v>
      </c>
      <c r="I1503" s="387">
        <v>42.8</v>
      </c>
      <c r="J1503" s="387">
        <v>42.8</v>
      </c>
      <c r="K1503" s="387">
        <v>5</v>
      </c>
      <c r="L1503" s="387">
        <v>0</v>
      </c>
      <c r="M1503" s="387" t="s">
        <v>148</v>
      </c>
      <c r="N1503" s="387" t="s">
        <v>149</v>
      </c>
      <c r="O1503" s="387" t="s">
        <v>150</v>
      </c>
      <c r="P1503" s="387" t="s">
        <v>151</v>
      </c>
      <c r="Q1503" s="387"/>
      <c r="R1503" s="387" t="s">
        <v>6867</v>
      </c>
      <c r="S1503" s="387"/>
      <c r="T1503" s="387" t="s">
        <v>3357</v>
      </c>
      <c r="U1503" s="387" t="s">
        <v>152</v>
      </c>
      <c r="V1503" s="387" t="s">
        <v>23</v>
      </c>
    </row>
    <row r="1504" spans="2:22">
      <c r="B1504" s="389">
        <v>46234</v>
      </c>
      <c r="C1504" s="389">
        <v>46234</v>
      </c>
      <c r="D1504" s="387" t="s">
        <v>6868</v>
      </c>
      <c r="E1504" s="388" t="s">
        <v>6869</v>
      </c>
      <c r="F1504" s="387" t="s">
        <v>87</v>
      </c>
      <c r="G1504" s="387" t="s">
        <v>2552</v>
      </c>
      <c r="H1504" s="393">
        <v>40</v>
      </c>
      <c r="I1504" s="387">
        <v>35.4</v>
      </c>
      <c r="J1504" s="387">
        <v>35.4</v>
      </c>
      <c r="K1504" s="387">
        <v>5</v>
      </c>
      <c r="L1504" s="387">
        <v>0</v>
      </c>
      <c r="M1504" s="387" t="s">
        <v>148</v>
      </c>
      <c r="N1504" s="387" t="s">
        <v>149</v>
      </c>
      <c r="O1504" s="387" t="s">
        <v>150</v>
      </c>
      <c r="P1504" s="387" t="s">
        <v>151</v>
      </c>
      <c r="Q1504" s="387"/>
      <c r="R1504" s="387" t="s">
        <v>6869</v>
      </c>
      <c r="S1504" s="387"/>
      <c r="T1504" s="387" t="s">
        <v>3357</v>
      </c>
      <c r="U1504" s="387" t="s">
        <v>152</v>
      </c>
      <c r="V1504" s="387" t="s">
        <v>23</v>
      </c>
    </row>
    <row r="1505" spans="2:22">
      <c r="B1505" s="389">
        <v>46234</v>
      </c>
      <c r="C1505" s="389">
        <v>46234</v>
      </c>
      <c r="D1505" s="387" t="s">
        <v>6870</v>
      </c>
      <c r="E1505" s="388" t="s">
        <v>6871</v>
      </c>
      <c r="F1505" s="387" t="s">
        <v>87</v>
      </c>
      <c r="G1505" s="387" t="s">
        <v>2486</v>
      </c>
      <c r="H1505" s="393">
        <v>40</v>
      </c>
      <c r="I1505" s="387">
        <v>41.5</v>
      </c>
      <c r="J1505" s="387">
        <v>41.5</v>
      </c>
      <c r="K1505" s="387">
        <v>5</v>
      </c>
      <c r="L1505" s="387">
        <v>0</v>
      </c>
      <c r="M1505" s="387" t="s">
        <v>148</v>
      </c>
      <c r="N1505" s="387" t="s">
        <v>149</v>
      </c>
      <c r="O1505" s="387" t="s">
        <v>150</v>
      </c>
      <c r="P1505" s="387" t="s">
        <v>151</v>
      </c>
      <c r="Q1505" s="387"/>
      <c r="R1505" s="387" t="s">
        <v>6871</v>
      </c>
      <c r="S1505" s="387"/>
      <c r="T1505" s="387" t="s">
        <v>3357</v>
      </c>
      <c r="U1505" s="387" t="s">
        <v>152</v>
      </c>
      <c r="V1505" s="387" t="s">
        <v>23</v>
      </c>
    </row>
    <row r="1506" spans="2:22">
      <c r="B1506" s="389">
        <v>46234</v>
      </c>
      <c r="C1506" s="389">
        <v>46234</v>
      </c>
      <c r="D1506" s="387" t="s">
        <v>6872</v>
      </c>
      <c r="E1506" s="388" t="s">
        <v>6873</v>
      </c>
      <c r="F1506" s="387" t="s">
        <v>87</v>
      </c>
      <c r="G1506" s="387" t="s">
        <v>3934</v>
      </c>
      <c r="H1506" s="393">
        <v>25</v>
      </c>
      <c r="I1506" s="387">
        <v>51.3</v>
      </c>
      <c r="J1506" s="387">
        <v>51.3</v>
      </c>
      <c r="K1506" s="387">
        <v>4</v>
      </c>
      <c r="L1506" s="387">
        <v>0</v>
      </c>
      <c r="M1506" s="387" t="s">
        <v>148</v>
      </c>
      <c r="N1506" s="387" t="s">
        <v>149</v>
      </c>
      <c r="O1506" s="387" t="s">
        <v>150</v>
      </c>
      <c r="P1506" s="387" t="s">
        <v>151</v>
      </c>
      <c r="Q1506" s="387"/>
      <c r="R1506" s="387" t="s">
        <v>6873</v>
      </c>
      <c r="S1506" s="387"/>
      <c r="T1506" s="387" t="s">
        <v>3357</v>
      </c>
      <c r="U1506" s="387" t="s">
        <v>152</v>
      </c>
      <c r="V1506" s="387" t="s">
        <v>23</v>
      </c>
    </row>
    <row r="1507" spans="2:22">
      <c r="B1507" s="389">
        <v>46234</v>
      </c>
      <c r="C1507" s="389">
        <v>46234</v>
      </c>
      <c r="D1507" s="387" t="s">
        <v>6874</v>
      </c>
      <c r="E1507" s="388" t="s">
        <v>6875</v>
      </c>
      <c r="F1507" s="387" t="s">
        <v>87</v>
      </c>
      <c r="G1507" s="387" t="s">
        <v>3934</v>
      </c>
      <c r="H1507" s="393">
        <v>25</v>
      </c>
      <c r="I1507" s="387">
        <v>49.8</v>
      </c>
      <c r="J1507" s="387">
        <v>49.8</v>
      </c>
      <c r="K1507" s="387">
        <v>4</v>
      </c>
      <c r="L1507" s="387">
        <v>0</v>
      </c>
      <c r="M1507" s="387" t="s">
        <v>148</v>
      </c>
      <c r="N1507" s="387" t="s">
        <v>149</v>
      </c>
      <c r="O1507" s="387" t="s">
        <v>150</v>
      </c>
      <c r="P1507" s="387" t="s">
        <v>151</v>
      </c>
      <c r="Q1507" s="387"/>
      <c r="R1507" s="387" t="s">
        <v>6875</v>
      </c>
      <c r="S1507" s="387"/>
      <c r="T1507" s="387" t="s">
        <v>3357</v>
      </c>
      <c r="U1507" s="387" t="s">
        <v>152</v>
      </c>
      <c r="V1507" s="387" t="s">
        <v>23</v>
      </c>
    </row>
    <row r="1508" spans="2:22">
      <c r="B1508" s="389">
        <v>46234</v>
      </c>
      <c r="C1508" s="389">
        <v>46234</v>
      </c>
      <c r="D1508" s="387" t="s">
        <v>6876</v>
      </c>
      <c r="E1508" s="388" t="s">
        <v>6877</v>
      </c>
      <c r="F1508" s="387" t="s">
        <v>87</v>
      </c>
      <c r="G1508" s="387" t="s">
        <v>2486</v>
      </c>
      <c r="H1508" s="393">
        <v>40</v>
      </c>
      <c r="I1508" s="387">
        <v>36.799999999999997</v>
      </c>
      <c r="J1508" s="387">
        <v>36.799999999999997</v>
      </c>
      <c r="K1508" s="387">
        <v>5</v>
      </c>
      <c r="L1508" s="387">
        <v>0</v>
      </c>
      <c r="M1508" s="387" t="s">
        <v>148</v>
      </c>
      <c r="N1508" s="387" t="s">
        <v>149</v>
      </c>
      <c r="O1508" s="387" t="s">
        <v>150</v>
      </c>
      <c r="P1508" s="387" t="s">
        <v>151</v>
      </c>
      <c r="Q1508" s="387"/>
      <c r="R1508" s="387" t="s">
        <v>6877</v>
      </c>
      <c r="S1508" s="387"/>
      <c r="T1508" s="387" t="s">
        <v>3357</v>
      </c>
      <c r="U1508" s="387" t="s">
        <v>152</v>
      </c>
      <c r="V1508" s="387" t="s">
        <v>23</v>
      </c>
    </row>
    <row r="1509" spans="2:22">
      <c r="B1509" s="389">
        <v>46234</v>
      </c>
      <c r="C1509" s="389">
        <v>46234</v>
      </c>
      <c r="D1509" s="387" t="s">
        <v>6878</v>
      </c>
      <c r="E1509" s="388" t="s">
        <v>6879</v>
      </c>
      <c r="F1509" s="387" t="s">
        <v>87</v>
      </c>
      <c r="G1509" s="387" t="s">
        <v>2552</v>
      </c>
      <c r="H1509" s="393">
        <v>40</v>
      </c>
      <c r="I1509" s="387">
        <v>30.8</v>
      </c>
      <c r="J1509" s="387">
        <v>30.8</v>
      </c>
      <c r="K1509" s="387">
        <v>5</v>
      </c>
      <c r="L1509" s="387">
        <v>0</v>
      </c>
      <c r="M1509" s="387" t="s">
        <v>148</v>
      </c>
      <c r="N1509" s="387" t="s">
        <v>149</v>
      </c>
      <c r="O1509" s="387" t="s">
        <v>150</v>
      </c>
      <c r="P1509" s="387" t="s">
        <v>151</v>
      </c>
      <c r="Q1509" s="387"/>
      <c r="R1509" s="387" t="s">
        <v>6879</v>
      </c>
      <c r="S1509" s="387"/>
      <c r="T1509" s="387" t="s">
        <v>3357</v>
      </c>
      <c r="U1509" s="387" t="s">
        <v>152</v>
      </c>
      <c r="V1509" s="387" t="s">
        <v>23</v>
      </c>
    </row>
    <row r="1510" spans="2:22">
      <c r="B1510" s="389">
        <v>46234</v>
      </c>
      <c r="C1510" s="389">
        <v>46234</v>
      </c>
      <c r="D1510" s="387" t="s">
        <v>6880</v>
      </c>
      <c r="E1510" s="388" t="s">
        <v>6881</v>
      </c>
      <c r="F1510" s="387" t="s">
        <v>87</v>
      </c>
      <c r="G1510" s="387" t="s">
        <v>2001</v>
      </c>
      <c r="H1510" s="393">
        <v>6</v>
      </c>
      <c r="I1510" s="387">
        <v>24.3</v>
      </c>
      <c r="J1510" s="387">
        <v>24.3</v>
      </c>
      <c r="K1510" s="387">
        <v>1.5</v>
      </c>
      <c r="L1510" s="387">
        <v>0</v>
      </c>
      <c r="M1510" s="387" t="s">
        <v>148</v>
      </c>
      <c r="N1510" s="387" t="s">
        <v>149</v>
      </c>
      <c r="O1510" s="387" t="s">
        <v>150</v>
      </c>
      <c r="P1510" s="387" t="s">
        <v>151</v>
      </c>
      <c r="Q1510" s="387"/>
      <c r="R1510" s="387" t="s">
        <v>6881</v>
      </c>
      <c r="S1510" s="387"/>
      <c r="T1510" s="387" t="s">
        <v>3357</v>
      </c>
      <c r="U1510" s="387" t="s">
        <v>152</v>
      </c>
      <c r="V1510" s="387" t="s">
        <v>23</v>
      </c>
    </row>
    <row r="1511" spans="2:22">
      <c r="B1511" s="389">
        <v>46234</v>
      </c>
      <c r="C1511" s="389">
        <v>46234</v>
      </c>
      <c r="D1511" s="387" t="s">
        <v>6882</v>
      </c>
      <c r="E1511" s="388" t="s">
        <v>6883</v>
      </c>
      <c r="F1511" s="387" t="s">
        <v>87</v>
      </c>
      <c r="G1511" s="387" t="s">
        <v>2552</v>
      </c>
      <c r="H1511" s="393">
        <v>40</v>
      </c>
      <c r="I1511" s="387">
        <v>26.8</v>
      </c>
      <c r="J1511" s="387">
        <v>26.8</v>
      </c>
      <c r="K1511" s="387">
        <v>5</v>
      </c>
      <c r="L1511" s="387">
        <v>0</v>
      </c>
      <c r="M1511" s="387" t="s">
        <v>148</v>
      </c>
      <c r="N1511" s="387" t="s">
        <v>149</v>
      </c>
      <c r="O1511" s="387" t="s">
        <v>150</v>
      </c>
      <c r="P1511" s="387" t="s">
        <v>151</v>
      </c>
      <c r="Q1511" s="387"/>
      <c r="R1511" s="387" t="s">
        <v>6883</v>
      </c>
      <c r="S1511" s="387"/>
      <c r="T1511" s="387" t="s">
        <v>3357</v>
      </c>
      <c r="U1511" s="387" t="s">
        <v>152</v>
      </c>
      <c r="V1511" s="387" t="s">
        <v>23</v>
      </c>
    </row>
    <row r="1512" spans="2:22">
      <c r="B1512" s="389">
        <v>46234</v>
      </c>
      <c r="C1512" s="389">
        <v>46234</v>
      </c>
      <c r="D1512" s="387" t="s">
        <v>6884</v>
      </c>
      <c r="E1512" s="388" t="s">
        <v>6885</v>
      </c>
      <c r="F1512" s="387" t="s">
        <v>87</v>
      </c>
      <c r="G1512" s="387" t="s">
        <v>2486</v>
      </c>
      <c r="H1512" s="393">
        <v>40</v>
      </c>
      <c r="I1512" s="387">
        <v>36.200000000000003</v>
      </c>
      <c r="J1512" s="387">
        <v>36.200000000000003</v>
      </c>
      <c r="K1512" s="387">
        <v>5</v>
      </c>
      <c r="L1512" s="387">
        <v>0</v>
      </c>
      <c r="M1512" s="387" t="s">
        <v>148</v>
      </c>
      <c r="N1512" s="387" t="s">
        <v>149</v>
      </c>
      <c r="O1512" s="387" t="s">
        <v>150</v>
      </c>
      <c r="P1512" s="387" t="s">
        <v>151</v>
      </c>
      <c r="Q1512" s="387"/>
      <c r="R1512" s="387" t="s">
        <v>6885</v>
      </c>
      <c r="S1512" s="387"/>
      <c r="T1512" s="387" t="s">
        <v>3357</v>
      </c>
      <c r="U1512" s="387" t="s">
        <v>152</v>
      </c>
      <c r="V1512" s="387" t="s">
        <v>23</v>
      </c>
    </row>
    <row r="1513" spans="2:22">
      <c r="B1513" s="389">
        <v>46234</v>
      </c>
      <c r="C1513" s="389">
        <v>46234</v>
      </c>
      <c r="D1513" s="387" t="s">
        <v>6886</v>
      </c>
      <c r="E1513" s="388" t="s">
        <v>6887</v>
      </c>
      <c r="F1513" s="387" t="s">
        <v>87</v>
      </c>
      <c r="G1513" s="387" t="s">
        <v>2486</v>
      </c>
      <c r="H1513" s="393">
        <v>40</v>
      </c>
      <c r="I1513" s="387">
        <v>38.200000000000003</v>
      </c>
      <c r="J1513" s="387">
        <v>38.200000000000003</v>
      </c>
      <c r="K1513" s="387">
        <v>5</v>
      </c>
      <c r="L1513" s="387">
        <v>0</v>
      </c>
      <c r="M1513" s="387" t="s">
        <v>148</v>
      </c>
      <c r="N1513" s="387" t="s">
        <v>149</v>
      </c>
      <c r="O1513" s="387" t="s">
        <v>150</v>
      </c>
      <c r="P1513" s="387" t="s">
        <v>151</v>
      </c>
      <c r="Q1513" s="387"/>
      <c r="R1513" s="387" t="s">
        <v>6887</v>
      </c>
      <c r="S1513" s="387"/>
      <c r="T1513" s="387" t="s">
        <v>3357</v>
      </c>
      <c r="U1513" s="387" t="s">
        <v>152</v>
      </c>
      <c r="V1513" s="387" t="s">
        <v>23</v>
      </c>
    </row>
    <row r="1514" spans="2:22">
      <c r="B1514" s="389">
        <v>46234</v>
      </c>
      <c r="C1514" s="389">
        <v>46234</v>
      </c>
      <c r="D1514" s="387" t="s">
        <v>6888</v>
      </c>
      <c r="E1514" s="388" t="s">
        <v>6889</v>
      </c>
      <c r="F1514" s="387" t="s">
        <v>87</v>
      </c>
      <c r="G1514" s="387" t="s">
        <v>2001</v>
      </c>
      <c r="H1514" s="393">
        <v>6</v>
      </c>
      <c r="I1514" s="387">
        <v>19.8</v>
      </c>
      <c r="J1514" s="387">
        <v>19.8</v>
      </c>
      <c r="K1514" s="387">
        <v>1.5</v>
      </c>
      <c r="L1514" s="387">
        <v>0</v>
      </c>
      <c r="M1514" s="387" t="s">
        <v>148</v>
      </c>
      <c r="N1514" s="387" t="s">
        <v>149</v>
      </c>
      <c r="O1514" s="387" t="s">
        <v>150</v>
      </c>
      <c r="P1514" s="387" t="s">
        <v>151</v>
      </c>
      <c r="Q1514" s="387"/>
      <c r="R1514" s="387" t="s">
        <v>6889</v>
      </c>
      <c r="S1514" s="387"/>
      <c r="T1514" s="387" t="s">
        <v>3357</v>
      </c>
      <c r="U1514" s="387" t="s">
        <v>152</v>
      </c>
      <c r="V1514" s="387" t="s">
        <v>23</v>
      </c>
    </row>
    <row r="1515" spans="2:22">
      <c r="B1515" s="389">
        <v>46234</v>
      </c>
      <c r="C1515" s="389">
        <v>46234</v>
      </c>
      <c r="D1515" s="387" t="s">
        <v>6890</v>
      </c>
      <c r="E1515" s="388" t="s">
        <v>6891</v>
      </c>
      <c r="F1515" s="387" t="s">
        <v>87</v>
      </c>
      <c r="G1515" s="387" t="s">
        <v>2119</v>
      </c>
      <c r="H1515" s="393">
        <v>6</v>
      </c>
      <c r="I1515" s="387">
        <v>41.8</v>
      </c>
      <c r="J1515" s="387">
        <v>41.8</v>
      </c>
      <c r="K1515" s="387">
        <v>1.5</v>
      </c>
      <c r="L1515" s="387">
        <v>0</v>
      </c>
      <c r="M1515" s="387" t="s">
        <v>148</v>
      </c>
      <c r="N1515" s="387" t="s">
        <v>149</v>
      </c>
      <c r="O1515" s="387" t="s">
        <v>150</v>
      </c>
      <c r="P1515" s="387" t="s">
        <v>151</v>
      </c>
      <c r="Q1515" s="387"/>
      <c r="R1515" s="387" t="s">
        <v>6891</v>
      </c>
      <c r="S1515" s="387"/>
      <c r="T1515" s="387" t="s">
        <v>3357</v>
      </c>
      <c r="U1515" s="387" t="s">
        <v>152</v>
      </c>
      <c r="V1515" s="387" t="s">
        <v>23</v>
      </c>
    </row>
    <row r="1516" spans="2:22">
      <c r="B1516" s="389">
        <v>46234</v>
      </c>
      <c r="C1516" s="389">
        <v>46234</v>
      </c>
      <c r="D1516" s="387" t="s">
        <v>6892</v>
      </c>
      <c r="E1516" s="388" t="s">
        <v>6893</v>
      </c>
      <c r="F1516" s="387" t="s">
        <v>87</v>
      </c>
      <c r="G1516" s="387" t="s">
        <v>4501</v>
      </c>
      <c r="H1516" s="393">
        <v>55</v>
      </c>
      <c r="I1516" s="387">
        <v>42.3</v>
      </c>
      <c r="J1516" s="387">
        <v>42.3</v>
      </c>
      <c r="K1516" s="387">
        <v>5</v>
      </c>
      <c r="L1516" s="387">
        <v>0</v>
      </c>
      <c r="M1516" s="387" t="s">
        <v>148</v>
      </c>
      <c r="N1516" s="387" t="s">
        <v>149</v>
      </c>
      <c r="O1516" s="387" t="s">
        <v>150</v>
      </c>
      <c r="P1516" s="387" t="s">
        <v>151</v>
      </c>
      <c r="Q1516" s="387"/>
      <c r="R1516" s="387" t="s">
        <v>6893</v>
      </c>
      <c r="S1516" s="387"/>
      <c r="T1516" s="387" t="s">
        <v>3357</v>
      </c>
      <c r="U1516" s="387" t="s">
        <v>152</v>
      </c>
      <c r="V1516" s="387" t="s">
        <v>23</v>
      </c>
    </row>
    <row r="1517" spans="2:22">
      <c r="B1517" s="389">
        <v>46234</v>
      </c>
      <c r="C1517" s="389">
        <v>46234</v>
      </c>
      <c r="D1517" s="387" t="s">
        <v>6894</v>
      </c>
      <c r="E1517" s="388" t="s">
        <v>6895</v>
      </c>
      <c r="F1517" s="387" t="s">
        <v>87</v>
      </c>
      <c r="G1517" s="387" t="s">
        <v>2552</v>
      </c>
      <c r="H1517" s="393">
        <v>40</v>
      </c>
      <c r="I1517" s="387">
        <v>41.5</v>
      </c>
      <c r="J1517" s="387">
        <v>41.5</v>
      </c>
      <c r="K1517" s="387">
        <v>5</v>
      </c>
      <c r="L1517" s="387">
        <v>0</v>
      </c>
      <c r="M1517" s="387" t="s">
        <v>148</v>
      </c>
      <c r="N1517" s="387" t="s">
        <v>149</v>
      </c>
      <c r="O1517" s="387" t="s">
        <v>150</v>
      </c>
      <c r="P1517" s="387" t="s">
        <v>151</v>
      </c>
      <c r="Q1517" s="387"/>
      <c r="R1517" s="387" t="s">
        <v>6895</v>
      </c>
      <c r="S1517" s="387"/>
      <c r="T1517" s="387" t="s">
        <v>3357</v>
      </c>
      <c r="U1517" s="387" t="s">
        <v>152</v>
      </c>
      <c r="V1517" s="387" t="s">
        <v>23</v>
      </c>
    </row>
    <row r="1518" spans="2:22">
      <c r="B1518" s="389">
        <v>46234</v>
      </c>
      <c r="C1518" s="389">
        <v>46234</v>
      </c>
      <c r="D1518" s="387" t="s">
        <v>6896</v>
      </c>
      <c r="E1518" s="388" t="s">
        <v>6897</v>
      </c>
      <c r="F1518" s="387" t="s">
        <v>87</v>
      </c>
      <c r="G1518" s="387" t="s">
        <v>2001</v>
      </c>
      <c r="H1518" s="393">
        <v>6</v>
      </c>
      <c r="I1518" s="387">
        <v>28</v>
      </c>
      <c r="J1518" s="387">
        <v>28</v>
      </c>
      <c r="K1518" s="387">
        <v>1.5</v>
      </c>
      <c r="L1518" s="387">
        <v>0</v>
      </c>
      <c r="M1518" s="387" t="s">
        <v>148</v>
      </c>
      <c r="N1518" s="387" t="s">
        <v>149</v>
      </c>
      <c r="O1518" s="387" t="s">
        <v>150</v>
      </c>
      <c r="P1518" s="387" t="s">
        <v>151</v>
      </c>
      <c r="Q1518" s="387"/>
      <c r="R1518" s="387" t="s">
        <v>6897</v>
      </c>
      <c r="S1518" s="387"/>
      <c r="T1518" s="387" t="s">
        <v>3357</v>
      </c>
      <c r="U1518" s="387" t="s">
        <v>152</v>
      </c>
      <c r="V1518" s="387" t="s">
        <v>23</v>
      </c>
    </row>
    <row r="1519" spans="2:22">
      <c r="B1519" s="389">
        <v>46234</v>
      </c>
      <c r="C1519" s="389">
        <v>46234</v>
      </c>
      <c r="D1519" s="387" t="s">
        <v>6898</v>
      </c>
      <c r="E1519" s="388" t="s">
        <v>6899</v>
      </c>
      <c r="F1519" s="387" t="s">
        <v>87</v>
      </c>
      <c r="G1519" s="387" t="s">
        <v>2552</v>
      </c>
      <c r="H1519" s="393">
        <v>40</v>
      </c>
      <c r="I1519" s="387">
        <v>46.6</v>
      </c>
      <c r="J1519" s="387">
        <v>46.6</v>
      </c>
      <c r="K1519" s="387">
        <v>5</v>
      </c>
      <c r="L1519" s="387">
        <v>0</v>
      </c>
      <c r="M1519" s="387" t="s">
        <v>148</v>
      </c>
      <c r="N1519" s="387" t="s">
        <v>149</v>
      </c>
      <c r="O1519" s="387" t="s">
        <v>150</v>
      </c>
      <c r="P1519" s="387" t="s">
        <v>151</v>
      </c>
      <c r="Q1519" s="387"/>
      <c r="R1519" s="387" t="s">
        <v>6899</v>
      </c>
      <c r="S1519" s="387"/>
      <c r="T1519" s="387" t="s">
        <v>3357</v>
      </c>
      <c r="U1519" s="387" t="s">
        <v>152</v>
      </c>
      <c r="V1519" s="387" t="s">
        <v>23</v>
      </c>
    </row>
    <row r="1520" spans="2:22">
      <c r="B1520" s="389">
        <v>46234</v>
      </c>
      <c r="C1520" s="389">
        <v>46234</v>
      </c>
      <c r="D1520" s="387" t="s">
        <v>6900</v>
      </c>
      <c r="E1520" s="388" t="s">
        <v>6901</v>
      </c>
      <c r="F1520" s="387" t="s">
        <v>87</v>
      </c>
      <c r="G1520" s="387" t="s">
        <v>2552</v>
      </c>
      <c r="H1520" s="393">
        <v>40</v>
      </c>
      <c r="I1520" s="387">
        <v>28.2</v>
      </c>
      <c r="J1520" s="387">
        <v>28.2</v>
      </c>
      <c r="K1520" s="387">
        <v>5</v>
      </c>
      <c r="L1520" s="387">
        <v>0</v>
      </c>
      <c r="M1520" s="387" t="s">
        <v>148</v>
      </c>
      <c r="N1520" s="387" t="s">
        <v>149</v>
      </c>
      <c r="O1520" s="387" t="s">
        <v>150</v>
      </c>
      <c r="P1520" s="387" t="s">
        <v>151</v>
      </c>
      <c r="Q1520" s="387"/>
      <c r="R1520" s="387" t="s">
        <v>6901</v>
      </c>
      <c r="S1520" s="387"/>
      <c r="T1520" s="387" t="s">
        <v>3357</v>
      </c>
      <c r="U1520" s="387" t="s">
        <v>152</v>
      </c>
      <c r="V1520" s="387" t="s">
        <v>23</v>
      </c>
    </row>
    <row r="1521" spans="2:22">
      <c r="B1521" s="389">
        <v>46234</v>
      </c>
      <c r="C1521" s="389">
        <v>46234</v>
      </c>
      <c r="D1521" s="387" t="s">
        <v>6902</v>
      </c>
      <c r="E1521" s="388" t="s">
        <v>6903</v>
      </c>
      <c r="F1521" s="387" t="s">
        <v>87</v>
      </c>
      <c r="G1521" s="387" t="s">
        <v>2486</v>
      </c>
      <c r="H1521" s="393">
        <v>40</v>
      </c>
      <c r="I1521" s="387">
        <v>33.9</v>
      </c>
      <c r="J1521" s="387">
        <v>33.9</v>
      </c>
      <c r="K1521" s="387">
        <v>5</v>
      </c>
      <c r="L1521" s="387">
        <v>0</v>
      </c>
      <c r="M1521" s="387" t="s">
        <v>148</v>
      </c>
      <c r="N1521" s="387" t="s">
        <v>149</v>
      </c>
      <c r="O1521" s="387" t="s">
        <v>150</v>
      </c>
      <c r="P1521" s="387" t="s">
        <v>151</v>
      </c>
      <c r="Q1521" s="387"/>
      <c r="R1521" s="387" t="s">
        <v>6903</v>
      </c>
      <c r="S1521" s="387"/>
      <c r="T1521" s="387" t="s">
        <v>3357</v>
      </c>
      <c r="U1521" s="387" t="s">
        <v>152</v>
      </c>
      <c r="V1521" s="387" t="s">
        <v>23</v>
      </c>
    </row>
    <row r="1522" spans="2:22">
      <c r="B1522" s="389">
        <v>46234</v>
      </c>
      <c r="C1522" s="389">
        <v>46234</v>
      </c>
      <c r="D1522" s="387" t="s">
        <v>6904</v>
      </c>
      <c r="E1522" s="388" t="s">
        <v>6905</v>
      </c>
      <c r="F1522" s="387" t="s">
        <v>87</v>
      </c>
      <c r="G1522" s="387" t="s">
        <v>2552</v>
      </c>
      <c r="H1522" s="393">
        <v>40</v>
      </c>
      <c r="I1522" s="387">
        <v>34.700000000000003</v>
      </c>
      <c r="J1522" s="387">
        <v>34.700000000000003</v>
      </c>
      <c r="K1522" s="387">
        <v>5</v>
      </c>
      <c r="L1522" s="387">
        <v>0</v>
      </c>
      <c r="M1522" s="387" t="s">
        <v>148</v>
      </c>
      <c r="N1522" s="387" t="s">
        <v>149</v>
      </c>
      <c r="O1522" s="387" t="s">
        <v>150</v>
      </c>
      <c r="P1522" s="387" t="s">
        <v>151</v>
      </c>
      <c r="Q1522" s="387"/>
      <c r="R1522" s="387" t="s">
        <v>6905</v>
      </c>
      <c r="S1522" s="387"/>
      <c r="T1522" s="387" t="s">
        <v>3357</v>
      </c>
      <c r="U1522" s="387" t="s">
        <v>152</v>
      </c>
      <c r="V1522" s="387" t="s">
        <v>23</v>
      </c>
    </row>
    <row r="1523" spans="2:22">
      <c r="B1523" s="389">
        <v>46234</v>
      </c>
      <c r="C1523" s="389">
        <v>46234</v>
      </c>
      <c r="D1523" s="387" t="s">
        <v>6906</v>
      </c>
      <c r="E1523" s="388" t="s">
        <v>6907</v>
      </c>
      <c r="F1523" s="387" t="s">
        <v>87</v>
      </c>
      <c r="G1523" s="387" t="s">
        <v>3934</v>
      </c>
      <c r="H1523" s="393">
        <v>25</v>
      </c>
      <c r="I1523" s="387">
        <v>28.8</v>
      </c>
      <c r="J1523" s="387">
        <v>28.8</v>
      </c>
      <c r="K1523" s="387">
        <v>4</v>
      </c>
      <c r="L1523" s="387">
        <v>0</v>
      </c>
      <c r="M1523" s="387" t="s">
        <v>148</v>
      </c>
      <c r="N1523" s="387" t="s">
        <v>149</v>
      </c>
      <c r="O1523" s="387" t="s">
        <v>150</v>
      </c>
      <c r="P1523" s="387" t="s">
        <v>151</v>
      </c>
      <c r="Q1523" s="387"/>
      <c r="R1523" s="387" t="s">
        <v>6907</v>
      </c>
      <c r="S1523" s="387"/>
      <c r="T1523" s="387" t="s">
        <v>3357</v>
      </c>
      <c r="U1523" s="387" t="s">
        <v>152</v>
      </c>
      <c r="V1523" s="387" t="s">
        <v>23</v>
      </c>
    </row>
    <row r="1524" spans="2:22">
      <c r="B1524" s="389">
        <v>46234</v>
      </c>
      <c r="C1524" s="389">
        <v>46234</v>
      </c>
      <c r="D1524" s="387" t="s">
        <v>6908</v>
      </c>
      <c r="E1524" s="388" t="s">
        <v>6909</v>
      </c>
      <c r="F1524" s="387" t="s">
        <v>87</v>
      </c>
      <c r="G1524" s="387" t="s">
        <v>2552</v>
      </c>
      <c r="H1524" s="393">
        <v>40</v>
      </c>
      <c r="I1524" s="387">
        <v>15.8</v>
      </c>
      <c r="J1524" s="387">
        <v>15.8</v>
      </c>
      <c r="K1524" s="387">
        <v>5</v>
      </c>
      <c r="L1524" s="387">
        <v>0</v>
      </c>
      <c r="M1524" s="387" t="s">
        <v>148</v>
      </c>
      <c r="N1524" s="387" t="s">
        <v>149</v>
      </c>
      <c r="O1524" s="387" t="s">
        <v>150</v>
      </c>
      <c r="P1524" s="387" t="s">
        <v>151</v>
      </c>
      <c r="Q1524" s="387"/>
      <c r="R1524" s="387" t="s">
        <v>6909</v>
      </c>
      <c r="S1524" s="387"/>
      <c r="T1524" s="387" t="s">
        <v>3357</v>
      </c>
      <c r="U1524" s="387" t="s">
        <v>152</v>
      </c>
      <c r="V1524" s="387" t="s">
        <v>23</v>
      </c>
    </row>
    <row r="1525" spans="2:22">
      <c r="B1525" s="389">
        <v>46234</v>
      </c>
      <c r="C1525" s="389">
        <v>46234</v>
      </c>
      <c r="D1525" s="387" t="s">
        <v>6910</v>
      </c>
      <c r="E1525" s="388" t="s">
        <v>6911</v>
      </c>
      <c r="F1525" s="387" t="s">
        <v>87</v>
      </c>
      <c r="G1525" s="387" t="s">
        <v>2552</v>
      </c>
      <c r="H1525" s="393">
        <v>40</v>
      </c>
      <c r="I1525" s="387">
        <v>40.4</v>
      </c>
      <c r="J1525" s="387">
        <v>40.4</v>
      </c>
      <c r="K1525" s="387">
        <v>5</v>
      </c>
      <c r="L1525" s="387">
        <v>0</v>
      </c>
      <c r="M1525" s="387" t="s">
        <v>148</v>
      </c>
      <c r="N1525" s="387" t="s">
        <v>149</v>
      </c>
      <c r="O1525" s="387" t="s">
        <v>150</v>
      </c>
      <c r="P1525" s="387" t="s">
        <v>151</v>
      </c>
      <c r="Q1525" s="387"/>
      <c r="R1525" s="387" t="s">
        <v>6911</v>
      </c>
      <c r="S1525" s="387"/>
      <c r="T1525" s="387" t="s">
        <v>3357</v>
      </c>
      <c r="U1525" s="387" t="s">
        <v>152</v>
      </c>
      <c r="V1525" s="387" t="s">
        <v>23</v>
      </c>
    </row>
    <row r="1526" spans="2:22">
      <c r="B1526" s="389">
        <v>46234</v>
      </c>
      <c r="C1526" s="389">
        <v>46234</v>
      </c>
      <c r="D1526" s="387" t="s">
        <v>6912</v>
      </c>
      <c r="E1526" s="388" t="s">
        <v>6913</v>
      </c>
      <c r="F1526" s="387" t="s">
        <v>87</v>
      </c>
      <c r="G1526" s="387" t="s">
        <v>2486</v>
      </c>
      <c r="H1526" s="393">
        <v>40</v>
      </c>
      <c r="I1526" s="387">
        <v>34</v>
      </c>
      <c r="J1526" s="387">
        <v>34</v>
      </c>
      <c r="K1526" s="387">
        <v>5</v>
      </c>
      <c r="L1526" s="387">
        <v>0</v>
      </c>
      <c r="M1526" s="387" t="s">
        <v>148</v>
      </c>
      <c r="N1526" s="387" t="s">
        <v>149</v>
      </c>
      <c r="O1526" s="387" t="s">
        <v>150</v>
      </c>
      <c r="P1526" s="387" t="s">
        <v>151</v>
      </c>
      <c r="Q1526" s="387"/>
      <c r="R1526" s="387" t="s">
        <v>6913</v>
      </c>
      <c r="S1526" s="387"/>
      <c r="T1526" s="387" t="s">
        <v>3357</v>
      </c>
      <c r="U1526" s="387" t="s">
        <v>152</v>
      </c>
      <c r="V1526" s="387" t="s">
        <v>23</v>
      </c>
    </row>
    <row r="1527" spans="2:22">
      <c r="B1527" s="389">
        <v>46234</v>
      </c>
      <c r="C1527" s="389">
        <v>46234</v>
      </c>
      <c r="D1527" s="387" t="s">
        <v>6914</v>
      </c>
      <c r="E1527" s="388" t="s">
        <v>6915</v>
      </c>
      <c r="F1527" s="387" t="s">
        <v>87</v>
      </c>
      <c r="G1527" s="387" t="s">
        <v>2486</v>
      </c>
      <c r="H1527" s="393">
        <v>40</v>
      </c>
      <c r="I1527" s="387">
        <v>31.3</v>
      </c>
      <c r="J1527" s="387">
        <v>31.3</v>
      </c>
      <c r="K1527" s="387">
        <v>5</v>
      </c>
      <c r="L1527" s="387">
        <v>0</v>
      </c>
      <c r="M1527" s="387" t="s">
        <v>148</v>
      </c>
      <c r="N1527" s="387" t="s">
        <v>149</v>
      </c>
      <c r="O1527" s="387" t="s">
        <v>150</v>
      </c>
      <c r="P1527" s="387" t="s">
        <v>151</v>
      </c>
      <c r="Q1527" s="387"/>
      <c r="R1527" s="387" t="s">
        <v>6915</v>
      </c>
      <c r="S1527" s="387"/>
      <c r="T1527" s="387" t="s">
        <v>3357</v>
      </c>
      <c r="U1527" s="387" t="s">
        <v>152</v>
      </c>
      <c r="V1527" s="387" t="s">
        <v>23</v>
      </c>
    </row>
    <row r="1528" spans="2:22">
      <c r="B1528" s="389">
        <v>46234</v>
      </c>
      <c r="C1528" s="389">
        <v>46234</v>
      </c>
      <c r="D1528" s="387" t="s">
        <v>6916</v>
      </c>
      <c r="E1528" s="388" t="s">
        <v>6917</v>
      </c>
      <c r="F1528" s="387" t="s">
        <v>87</v>
      </c>
      <c r="G1528" s="387" t="s">
        <v>2486</v>
      </c>
      <c r="H1528" s="393">
        <v>40</v>
      </c>
      <c r="I1528" s="387">
        <v>30.2</v>
      </c>
      <c r="J1528" s="387">
        <v>30.2</v>
      </c>
      <c r="K1528" s="387">
        <v>5</v>
      </c>
      <c r="L1528" s="387">
        <v>0</v>
      </c>
      <c r="M1528" s="387" t="s">
        <v>148</v>
      </c>
      <c r="N1528" s="387" t="s">
        <v>149</v>
      </c>
      <c r="O1528" s="387" t="s">
        <v>150</v>
      </c>
      <c r="P1528" s="387" t="s">
        <v>151</v>
      </c>
      <c r="Q1528" s="387"/>
      <c r="R1528" s="387" t="s">
        <v>6917</v>
      </c>
      <c r="S1528" s="387"/>
      <c r="T1528" s="387" t="s">
        <v>3357</v>
      </c>
      <c r="U1528" s="387" t="s">
        <v>152</v>
      </c>
      <c r="V1528" s="387" t="s">
        <v>23</v>
      </c>
    </row>
    <row r="1529" spans="2:22">
      <c r="B1529" s="389">
        <v>46234</v>
      </c>
      <c r="C1529" s="389">
        <v>46234</v>
      </c>
      <c r="D1529" s="387" t="s">
        <v>6918</v>
      </c>
      <c r="E1529" s="388" t="s">
        <v>6919</v>
      </c>
      <c r="F1529" s="387" t="s">
        <v>87</v>
      </c>
      <c r="G1529" s="387" t="s">
        <v>2486</v>
      </c>
      <c r="H1529" s="393">
        <v>40</v>
      </c>
      <c r="I1529" s="387">
        <v>37.799999999999997</v>
      </c>
      <c r="J1529" s="387">
        <v>37.799999999999997</v>
      </c>
      <c r="K1529" s="387">
        <v>5</v>
      </c>
      <c r="L1529" s="387">
        <v>0</v>
      </c>
      <c r="M1529" s="387" t="s">
        <v>148</v>
      </c>
      <c r="N1529" s="387" t="s">
        <v>149</v>
      </c>
      <c r="O1529" s="387" t="s">
        <v>150</v>
      </c>
      <c r="P1529" s="387" t="s">
        <v>151</v>
      </c>
      <c r="Q1529" s="387"/>
      <c r="R1529" s="387" t="s">
        <v>6919</v>
      </c>
      <c r="S1529" s="387"/>
      <c r="T1529" s="387" t="s">
        <v>3357</v>
      </c>
      <c r="U1529" s="387" t="s">
        <v>152</v>
      </c>
      <c r="V1529" s="387" t="s">
        <v>23</v>
      </c>
    </row>
    <row r="1530" spans="2:22">
      <c r="B1530" s="389">
        <v>46234</v>
      </c>
      <c r="C1530" s="389">
        <v>46234</v>
      </c>
      <c r="D1530" s="387" t="s">
        <v>6920</v>
      </c>
      <c r="E1530" s="388" t="s">
        <v>6921</v>
      </c>
      <c r="F1530" s="387" t="s">
        <v>87</v>
      </c>
      <c r="G1530" s="387" t="s">
        <v>2552</v>
      </c>
      <c r="H1530" s="393">
        <v>40</v>
      </c>
      <c r="I1530" s="387">
        <v>30.8</v>
      </c>
      <c r="J1530" s="387">
        <v>30.8</v>
      </c>
      <c r="K1530" s="387">
        <v>5</v>
      </c>
      <c r="L1530" s="387">
        <v>0</v>
      </c>
      <c r="M1530" s="387" t="s">
        <v>148</v>
      </c>
      <c r="N1530" s="387" t="s">
        <v>149</v>
      </c>
      <c r="O1530" s="387" t="s">
        <v>150</v>
      </c>
      <c r="P1530" s="387" t="s">
        <v>151</v>
      </c>
      <c r="Q1530" s="387"/>
      <c r="R1530" s="387" t="s">
        <v>6921</v>
      </c>
      <c r="S1530" s="387"/>
      <c r="T1530" s="387" t="s">
        <v>3357</v>
      </c>
      <c r="U1530" s="387" t="s">
        <v>152</v>
      </c>
      <c r="V1530" s="387" t="s">
        <v>23</v>
      </c>
    </row>
    <row r="1531" spans="2:22">
      <c r="B1531" s="389">
        <v>46234</v>
      </c>
      <c r="C1531" s="389">
        <v>46234</v>
      </c>
      <c r="D1531" s="387" t="s">
        <v>6922</v>
      </c>
      <c r="E1531" s="388" t="s">
        <v>6923</v>
      </c>
      <c r="F1531" s="387" t="s">
        <v>87</v>
      </c>
      <c r="G1531" s="387" t="s">
        <v>3934</v>
      </c>
      <c r="H1531" s="393">
        <v>25</v>
      </c>
      <c r="I1531" s="387">
        <v>38.4</v>
      </c>
      <c r="J1531" s="387">
        <v>38.4</v>
      </c>
      <c r="K1531" s="387">
        <v>4</v>
      </c>
      <c r="L1531" s="387">
        <v>0</v>
      </c>
      <c r="M1531" s="387" t="s">
        <v>148</v>
      </c>
      <c r="N1531" s="387" t="s">
        <v>149</v>
      </c>
      <c r="O1531" s="387" t="s">
        <v>150</v>
      </c>
      <c r="P1531" s="387" t="s">
        <v>151</v>
      </c>
      <c r="Q1531" s="387"/>
      <c r="R1531" s="387" t="s">
        <v>6923</v>
      </c>
      <c r="S1531" s="387"/>
      <c r="T1531" s="387" t="s">
        <v>3357</v>
      </c>
      <c r="U1531" s="387" t="s">
        <v>152</v>
      </c>
      <c r="V1531" s="387" t="s">
        <v>23</v>
      </c>
    </row>
    <row r="1532" spans="2:22">
      <c r="B1532" s="389">
        <v>46234</v>
      </c>
      <c r="C1532" s="389">
        <v>46234</v>
      </c>
      <c r="D1532" s="387" t="s">
        <v>6924</v>
      </c>
      <c r="E1532" s="388" t="s">
        <v>6925</v>
      </c>
      <c r="F1532" s="387" t="s">
        <v>87</v>
      </c>
      <c r="G1532" s="387" t="s">
        <v>2486</v>
      </c>
      <c r="H1532" s="393">
        <v>40</v>
      </c>
      <c r="I1532" s="387">
        <v>45.4</v>
      </c>
      <c r="J1532" s="387">
        <v>45.4</v>
      </c>
      <c r="K1532" s="387">
        <v>5</v>
      </c>
      <c r="L1532" s="387">
        <v>0</v>
      </c>
      <c r="M1532" s="387" t="s">
        <v>148</v>
      </c>
      <c r="N1532" s="387" t="s">
        <v>149</v>
      </c>
      <c r="O1532" s="387" t="s">
        <v>150</v>
      </c>
      <c r="P1532" s="387" t="s">
        <v>151</v>
      </c>
      <c r="Q1532" s="387"/>
      <c r="R1532" s="387" t="s">
        <v>6925</v>
      </c>
      <c r="S1532" s="387"/>
      <c r="T1532" s="387" t="s">
        <v>3357</v>
      </c>
      <c r="U1532" s="387" t="s">
        <v>152</v>
      </c>
      <c r="V1532" s="387" t="s">
        <v>23</v>
      </c>
    </row>
    <row r="1533" spans="2:22">
      <c r="B1533" s="389">
        <v>46234</v>
      </c>
      <c r="C1533" s="389">
        <v>46234</v>
      </c>
      <c r="D1533" s="387" t="s">
        <v>6926</v>
      </c>
      <c r="E1533" s="388" t="s">
        <v>6927</v>
      </c>
      <c r="F1533" s="387" t="s">
        <v>87</v>
      </c>
      <c r="G1533" s="387" t="s">
        <v>2552</v>
      </c>
      <c r="H1533" s="393">
        <v>40</v>
      </c>
      <c r="I1533" s="387">
        <v>31.2</v>
      </c>
      <c r="J1533" s="387">
        <v>31.2</v>
      </c>
      <c r="K1533" s="387">
        <v>5</v>
      </c>
      <c r="L1533" s="387">
        <v>0</v>
      </c>
      <c r="M1533" s="387" t="s">
        <v>148</v>
      </c>
      <c r="N1533" s="387" t="s">
        <v>149</v>
      </c>
      <c r="O1533" s="387" t="s">
        <v>150</v>
      </c>
      <c r="P1533" s="387" t="s">
        <v>151</v>
      </c>
      <c r="Q1533" s="387"/>
      <c r="R1533" s="387" t="s">
        <v>6927</v>
      </c>
      <c r="S1533" s="387"/>
      <c r="T1533" s="387" t="s">
        <v>3357</v>
      </c>
      <c r="U1533" s="387" t="s">
        <v>152</v>
      </c>
      <c r="V1533" s="387" t="s">
        <v>23</v>
      </c>
    </row>
    <row r="1534" spans="2:22">
      <c r="B1534" s="389">
        <v>46234</v>
      </c>
      <c r="C1534" s="389">
        <v>46234</v>
      </c>
      <c r="D1534" s="387" t="s">
        <v>6928</v>
      </c>
      <c r="E1534" s="388" t="s">
        <v>6929</v>
      </c>
      <c r="F1534" s="387" t="s">
        <v>87</v>
      </c>
      <c r="G1534" s="387" t="s">
        <v>2552</v>
      </c>
      <c r="H1534" s="393">
        <v>40</v>
      </c>
      <c r="I1534" s="387">
        <v>44.2</v>
      </c>
      <c r="J1534" s="387">
        <v>44.2</v>
      </c>
      <c r="K1534" s="387">
        <v>5</v>
      </c>
      <c r="L1534" s="387">
        <v>0</v>
      </c>
      <c r="M1534" s="387" t="s">
        <v>148</v>
      </c>
      <c r="N1534" s="387" t="s">
        <v>149</v>
      </c>
      <c r="O1534" s="387" t="s">
        <v>150</v>
      </c>
      <c r="P1534" s="387" t="s">
        <v>151</v>
      </c>
      <c r="Q1534" s="387"/>
      <c r="R1534" s="387" t="s">
        <v>6929</v>
      </c>
      <c r="S1534" s="387"/>
      <c r="T1534" s="387" t="s">
        <v>3357</v>
      </c>
      <c r="U1534" s="387" t="s">
        <v>152</v>
      </c>
      <c r="V1534" s="387" t="s">
        <v>23</v>
      </c>
    </row>
    <row r="1535" spans="2:22">
      <c r="B1535" s="389">
        <v>46234</v>
      </c>
      <c r="C1535" s="389">
        <v>46234</v>
      </c>
      <c r="D1535" s="387" t="s">
        <v>6930</v>
      </c>
      <c r="E1535" s="388" t="s">
        <v>6931</v>
      </c>
      <c r="F1535" s="387" t="s">
        <v>87</v>
      </c>
      <c r="G1535" s="387" t="s">
        <v>3934</v>
      </c>
      <c r="H1535" s="393">
        <v>25</v>
      </c>
      <c r="I1535" s="387">
        <v>59.8</v>
      </c>
      <c r="J1535" s="387">
        <v>59.8</v>
      </c>
      <c r="K1535" s="387">
        <v>4</v>
      </c>
      <c r="L1535" s="387">
        <v>0</v>
      </c>
      <c r="M1535" s="387" t="s">
        <v>148</v>
      </c>
      <c r="N1535" s="387" t="s">
        <v>149</v>
      </c>
      <c r="O1535" s="387" t="s">
        <v>150</v>
      </c>
      <c r="P1535" s="387" t="s">
        <v>151</v>
      </c>
      <c r="Q1535" s="387"/>
      <c r="R1535" s="387" t="s">
        <v>6931</v>
      </c>
      <c r="S1535" s="387"/>
      <c r="T1535" s="387" t="s">
        <v>3357</v>
      </c>
      <c r="U1535" s="387" t="s">
        <v>152</v>
      </c>
      <c r="V1535" s="387" t="s">
        <v>23</v>
      </c>
    </row>
    <row r="1536" spans="2:22">
      <c r="B1536" s="389">
        <v>46234</v>
      </c>
      <c r="C1536" s="389">
        <v>46234</v>
      </c>
      <c r="D1536" s="387" t="s">
        <v>6932</v>
      </c>
      <c r="E1536" s="388" t="s">
        <v>6933</v>
      </c>
      <c r="F1536" s="387" t="s">
        <v>87</v>
      </c>
      <c r="G1536" s="387" t="s">
        <v>2552</v>
      </c>
      <c r="H1536" s="393">
        <v>40</v>
      </c>
      <c r="I1536" s="387">
        <v>43.3</v>
      </c>
      <c r="J1536" s="387">
        <v>43.3</v>
      </c>
      <c r="K1536" s="387">
        <v>5</v>
      </c>
      <c r="L1536" s="387">
        <v>0</v>
      </c>
      <c r="M1536" s="387" t="s">
        <v>148</v>
      </c>
      <c r="N1536" s="387" t="s">
        <v>149</v>
      </c>
      <c r="O1536" s="387" t="s">
        <v>150</v>
      </c>
      <c r="P1536" s="387" t="s">
        <v>151</v>
      </c>
      <c r="Q1536" s="387"/>
      <c r="R1536" s="387" t="s">
        <v>6933</v>
      </c>
      <c r="S1536" s="387"/>
      <c r="T1536" s="387" t="s">
        <v>3357</v>
      </c>
      <c r="U1536" s="387" t="s">
        <v>152</v>
      </c>
      <c r="V1536" s="387" t="s">
        <v>23</v>
      </c>
    </row>
    <row r="1537" spans="2:22">
      <c r="B1537" s="389">
        <v>46234</v>
      </c>
      <c r="C1537" s="389">
        <v>46234</v>
      </c>
      <c r="D1537" s="387" t="s">
        <v>6934</v>
      </c>
      <c r="E1537" s="388" t="s">
        <v>6935</v>
      </c>
      <c r="F1537" s="387" t="s">
        <v>87</v>
      </c>
      <c r="G1537" s="387" t="s">
        <v>2119</v>
      </c>
      <c r="H1537" s="393">
        <v>6</v>
      </c>
      <c r="I1537" s="387">
        <v>32.799999999999997</v>
      </c>
      <c r="J1537" s="387">
        <v>32.799999999999997</v>
      </c>
      <c r="K1537" s="387">
        <v>1.5</v>
      </c>
      <c r="L1537" s="387">
        <v>0</v>
      </c>
      <c r="M1537" s="387" t="s">
        <v>148</v>
      </c>
      <c r="N1537" s="387" t="s">
        <v>149</v>
      </c>
      <c r="O1537" s="387" t="s">
        <v>150</v>
      </c>
      <c r="P1537" s="387" t="s">
        <v>151</v>
      </c>
      <c r="Q1537" s="387"/>
      <c r="R1537" s="387" t="s">
        <v>6935</v>
      </c>
      <c r="S1537" s="387"/>
      <c r="T1537" s="387" t="s">
        <v>3357</v>
      </c>
      <c r="U1537" s="387" t="s">
        <v>152</v>
      </c>
      <c r="V1537" s="387" t="s">
        <v>23</v>
      </c>
    </row>
    <row r="1538" spans="2:22">
      <c r="B1538" s="389">
        <v>46234</v>
      </c>
      <c r="C1538" s="389">
        <v>46234</v>
      </c>
      <c r="D1538" s="387" t="s">
        <v>6936</v>
      </c>
      <c r="E1538" s="388" t="s">
        <v>6937</v>
      </c>
      <c r="F1538" s="387" t="s">
        <v>87</v>
      </c>
      <c r="G1538" s="387" t="s">
        <v>4501</v>
      </c>
      <c r="H1538" s="393">
        <v>55</v>
      </c>
      <c r="I1538" s="387">
        <v>24.8</v>
      </c>
      <c r="J1538" s="387">
        <v>24.8</v>
      </c>
      <c r="K1538" s="387">
        <v>5</v>
      </c>
      <c r="L1538" s="387">
        <v>0</v>
      </c>
      <c r="M1538" s="387" t="s">
        <v>148</v>
      </c>
      <c r="N1538" s="387" t="s">
        <v>149</v>
      </c>
      <c r="O1538" s="387" t="s">
        <v>150</v>
      </c>
      <c r="P1538" s="387" t="s">
        <v>151</v>
      </c>
      <c r="Q1538" s="387"/>
      <c r="R1538" s="387" t="s">
        <v>6937</v>
      </c>
      <c r="S1538" s="387"/>
      <c r="T1538" s="387" t="s">
        <v>3359</v>
      </c>
      <c r="U1538" s="387" t="s">
        <v>152</v>
      </c>
      <c r="V1538" s="387" t="s">
        <v>23</v>
      </c>
    </row>
    <row r="1539" spans="2:22">
      <c r="B1539" s="389">
        <v>46234</v>
      </c>
      <c r="C1539" s="389">
        <v>46234</v>
      </c>
      <c r="D1539" s="387" t="s">
        <v>6938</v>
      </c>
      <c r="E1539" s="388" t="s">
        <v>6939</v>
      </c>
      <c r="F1539" s="387" t="s">
        <v>87</v>
      </c>
      <c r="G1539" s="387" t="s">
        <v>4501</v>
      </c>
      <c r="H1539" s="393">
        <v>55</v>
      </c>
      <c r="I1539" s="387">
        <v>45.4</v>
      </c>
      <c r="J1539" s="387">
        <v>45.4</v>
      </c>
      <c r="K1539" s="387">
        <v>5</v>
      </c>
      <c r="L1539" s="387">
        <v>0</v>
      </c>
      <c r="M1539" s="387" t="s">
        <v>148</v>
      </c>
      <c r="N1539" s="387" t="s">
        <v>149</v>
      </c>
      <c r="O1539" s="387" t="s">
        <v>150</v>
      </c>
      <c r="P1539" s="387" t="s">
        <v>151</v>
      </c>
      <c r="Q1539" s="387"/>
      <c r="R1539" s="387" t="s">
        <v>6939</v>
      </c>
      <c r="S1539" s="387"/>
      <c r="T1539" s="387" t="s">
        <v>3359</v>
      </c>
      <c r="U1539" s="387" t="s">
        <v>152</v>
      </c>
      <c r="V1539" s="387" t="s">
        <v>23</v>
      </c>
    </row>
    <row r="1540" spans="2:22">
      <c r="B1540" s="389">
        <v>46234</v>
      </c>
      <c r="C1540" s="389">
        <v>46234</v>
      </c>
      <c r="D1540" s="387" t="s">
        <v>6940</v>
      </c>
      <c r="E1540" s="388" t="s">
        <v>6941</v>
      </c>
      <c r="F1540" s="387" t="s">
        <v>87</v>
      </c>
      <c r="G1540" s="387" t="s">
        <v>2637</v>
      </c>
      <c r="H1540" s="393">
        <v>40</v>
      </c>
      <c r="I1540" s="387">
        <v>17.2</v>
      </c>
      <c r="J1540" s="387">
        <v>17.2</v>
      </c>
      <c r="K1540" s="387">
        <v>7</v>
      </c>
      <c r="L1540" s="387">
        <v>0</v>
      </c>
      <c r="M1540" s="387" t="s">
        <v>148</v>
      </c>
      <c r="N1540" s="387" t="s">
        <v>149</v>
      </c>
      <c r="O1540" s="387" t="s">
        <v>150</v>
      </c>
      <c r="P1540" s="387" t="s">
        <v>151</v>
      </c>
      <c r="Q1540" s="387"/>
      <c r="R1540" s="387" t="s">
        <v>6941</v>
      </c>
      <c r="S1540" s="387"/>
      <c r="T1540" s="387" t="s">
        <v>3361</v>
      </c>
      <c r="U1540" s="387" t="s">
        <v>152</v>
      </c>
      <c r="V1540" s="387" t="s">
        <v>23</v>
      </c>
    </row>
    <row r="1541" spans="2:22">
      <c r="B1541" s="389">
        <v>46234</v>
      </c>
      <c r="C1541" s="389">
        <v>46234</v>
      </c>
      <c r="D1541" s="387" t="s">
        <v>6942</v>
      </c>
      <c r="E1541" s="388" t="s">
        <v>6943</v>
      </c>
      <c r="F1541" s="387" t="s">
        <v>87</v>
      </c>
      <c r="G1541" s="387" t="s">
        <v>2637</v>
      </c>
      <c r="H1541" s="393">
        <v>40</v>
      </c>
      <c r="I1541" s="387">
        <v>30.4</v>
      </c>
      <c r="J1541" s="387">
        <v>30.4</v>
      </c>
      <c r="K1541" s="387">
        <v>7</v>
      </c>
      <c r="L1541" s="387">
        <v>0</v>
      </c>
      <c r="M1541" s="387" t="s">
        <v>148</v>
      </c>
      <c r="N1541" s="387" t="s">
        <v>149</v>
      </c>
      <c r="O1541" s="387" t="s">
        <v>150</v>
      </c>
      <c r="P1541" s="387" t="s">
        <v>151</v>
      </c>
      <c r="Q1541" s="387"/>
      <c r="R1541" s="387" t="s">
        <v>6943</v>
      </c>
      <c r="S1541" s="387"/>
      <c r="T1541" s="387" t="s">
        <v>3361</v>
      </c>
      <c r="U1541" s="387" t="s">
        <v>152</v>
      </c>
      <c r="V1541" s="387" t="s">
        <v>23</v>
      </c>
    </row>
    <row r="1542" spans="2:22">
      <c r="B1542" s="389"/>
      <c r="C1542" s="389"/>
      <c r="D1542" s="387"/>
      <c r="E1542" s="388"/>
      <c r="F1542" s="387"/>
      <c r="G1542" s="387"/>
      <c r="H1542" s="393"/>
      <c r="I1542" s="387"/>
      <c r="J1542" s="387"/>
      <c r="K1542" s="387"/>
      <c r="L1542" s="387"/>
      <c r="M1542" s="387"/>
      <c r="N1542" s="387"/>
      <c r="O1542" s="387"/>
      <c r="P1542" s="387"/>
      <c r="Q1542" s="387"/>
      <c r="R1542" s="387"/>
      <c r="S1542" s="387"/>
      <c r="T1542" s="387"/>
      <c r="U1542" s="387"/>
      <c r="V1542" s="387"/>
    </row>
    <row r="1543" spans="2:22">
      <c r="I1543" s="358" t="s">
        <v>2640</v>
      </c>
      <c r="J1543" s="363">
        <f>SUM(J2:J1542)</f>
        <v>50926.800000000447</v>
      </c>
    </row>
  </sheetData>
  <autoFilter ref="B1:V891"/>
  <pageMargins left="0.7" right="0.7" top="0.75" bottom="0.75" header="0.3" footer="0.3"/>
  <pageSetup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V1394"/>
  <sheetViews>
    <sheetView topLeftCell="A1380" workbookViewId="0">
      <selection activeCell="E1396" sqref="E1396"/>
    </sheetView>
  </sheetViews>
  <sheetFormatPr defaultRowHeight="12.75"/>
  <cols>
    <col min="1" max="1" width="7.7109375" style="72" customWidth="1"/>
    <col min="2" max="2" width="15.7109375" style="10" bestFit="1" customWidth="1"/>
    <col min="3" max="3" width="18" style="10" bestFit="1" customWidth="1"/>
    <col min="4" max="4" width="18.7109375" style="10" bestFit="1" customWidth="1"/>
    <col min="5" max="5" width="26" style="10" bestFit="1" customWidth="1"/>
    <col min="6" max="6" width="34.5703125" style="10" bestFit="1" customWidth="1"/>
    <col min="7" max="7" width="32.85546875" style="10" customWidth="1"/>
    <col min="8" max="8" width="13.28515625" style="10" bestFit="1" customWidth="1"/>
    <col min="9" max="9" width="14.7109375" style="10" bestFit="1" customWidth="1"/>
    <col min="10" max="10" width="11.5703125" style="10" bestFit="1" customWidth="1"/>
    <col min="11" max="11" width="9.140625" style="10"/>
    <col min="12" max="12" width="11.140625" style="10" bestFit="1" customWidth="1"/>
    <col min="13" max="13" width="20.5703125" style="10" bestFit="1" customWidth="1"/>
    <col min="14" max="14" width="20.42578125" style="10" bestFit="1" customWidth="1"/>
    <col min="15" max="15" width="12.42578125" style="10" bestFit="1" customWidth="1"/>
    <col min="16" max="16" width="13.42578125" style="10" bestFit="1" customWidth="1"/>
    <col min="17" max="17" width="13.28515625" style="10" bestFit="1" customWidth="1"/>
    <col min="18" max="18" width="18.85546875" style="10" bestFit="1" customWidth="1"/>
    <col min="19" max="19" width="17.28515625" style="10" customWidth="1"/>
    <col min="20" max="20" width="17.5703125" style="10" customWidth="1"/>
    <col min="21" max="21" width="19.140625" style="10" bestFit="1" customWidth="1"/>
    <col min="22" max="22" width="14.85546875" style="10" bestFit="1" customWidth="1"/>
    <col min="23" max="16384" width="9.140625" style="72"/>
  </cols>
  <sheetData>
    <row r="1" spans="1:22">
      <c r="A1" s="6"/>
      <c r="B1" s="422" t="s">
        <v>127</v>
      </c>
      <c r="C1" s="422" t="s">
        <v>128</v>
      </c>
      <c r="D1" s="422" t="s">
        <v>129</v>
      </c>
      <c r="E1" s="422" t="s">
        <v>130</v>
      </c>
      <c r="F1" s="422" t="s">
        <v>131</v>
      </c>
      <c r="G1" s="422" t="s">
        <v>132</v>
      </c>
      <c r="H1" s="422" t="s">
        <v>133</v>
      </c>
      <c r="I1" s="422" t="s">
        <v>134</v>
      </c>
      <c r="J1" s="422" t="s">
        <v>135</v>
      </c>
      <c r="K1" s="422" t="s">
        <v>136</v>
      </c>
      <c r="L1" s="422" t="s">
        <v>137</v>
      </c>
      <c r="M1" s="422" t="s">
        <v>138</v>
      </c>
      <c r="N1" s="422" t="s">
        <v>139</v>
      </c>
      <c r="O1" s="422" t="s">
        <v>140</v>
      </c>
      <c r="P1" s="422" t="s">
        <v>141</v>
      </c>
      <c r="Q1" s="422" t="s">
        <v>142</v>
      </c>
      <c r="R1" s="422" t="s">
        <v>143</v>
      </c>
      <c r="S1" s="422" t="s">
        <v>144</v>
      </c>
      <c r="T1" s="422" t="s">
        <v>145</v>
      </c>
      <c r="U1" s="422" t="s">
        <v>146</v>
      </c>
      <c r="V1" s="422" t="s">
        <v>147</v>
      </c>
    </row>
    <row r="2" spans="1:22">
      <c r="A2" s="6"/>
      <c r="B2" s="216">
        <v>46204</v>
      </c>
      <c r="C2" s="216">
        <v>46204</v>
      </c>
      <c r="D2" s="403" t="s">
        <v>6944</v>
      </c>
      <c r="E2" s="403">
        <v>260104619169</v>
      </c>
      <c r="F2" s="403" t="s">
        <v>87</v>
      </c>
      <c r="G2" s="403" t="s">
        <v>859</v>
      </c>
      <c r="H2" s="403">
        <v>152</v>
      </c>
      <c r="I2" s="403">
        <v>272</v>
      </c>
      <c r="J2" s="374">
        <v>272</v>
      </c>
      <c r="K2" s="403">
        <v>104</v>
      </c>
      <c r="L2" s="217">
        <v>1800</v>
      </c>
      <c r="M2" s="403" t="s">
        <v>153</v>
      </c>
      <c r="N2" s="403" t="s">
        <v>149</v>
      </c>
      <c r="O2" s="403" t="s">
        <v>154</v>
      </c>
      <c r="P2" s="403" t="s">
        <v>151</v>
      </c>
      <c r="Q2" s="403" t="s">
        <v>155</v>
      </c>
      <c r="R2" s="403" t="s">
        <v>6945</v>
      </c>
      <c r="S2" s="403"/>
      <c r="T2" s="403" t="s">
        <v>2760</v>
      </c>
      <c r="U2" s="403" t="s">
        <v>152</v>
      </c>
      <c r="V2" s="403" t="s">
        <v>18</v>
      </c>
    </row>
    <row r="3" spans="1:22">
      <c r="A3" s="6"/>
      <c r="B3" s="216">
        <v>46204</v>
      </c>
      <c r="C3" s="216">
        <v>46204</v>
      </c>
      <c r="D3" s="403" t="s">
        <v>6946</v>
      </c>
      <c r="E3" s="403">
        <v>260102419177</v>
      </c>
      <c r="F3" s="403" t="s">
        <v>87</v>
      </c>
      <c r="G3" s="403" t="s">
        <v>2554</v>
      </c>
      <c r="H3" s="403">
        <v>102</v>
      </c>
      <c r="I3" s="403">
        <v>245</v>
      </c>
      <c r="J3" s="374">
        <v>245</v>
      </c>
      <c r="K3" s="403">
        <v>125</v>
      </c>
      <c r="L3" s="217">
        <v>1000</v>
      </c>
      <c r="M3" s="403" t="s">
        <v>153</v>
      </c>
      <c r="N3" s="403" t="s">
        <v>149</v>
      </c>
      <c r="O3" s="403" t="s">
        <v>154</v>
      </c>
      <c r="P3" s="403" t="s">
        <v>151</v>
      </c>
      <c r="Q3" s="403" t="s">
        <v>155</v>
      </c>
      <c r="R3" s="403" t="s">
        <v>6947</v>
      </c>
      <c r="S3" s="403"/>
      <c r="T3" s="403" t="s">
        <v>2760</v>
      </c>
      <c r="U3" s="403" t="s">
        <v>152</v>
      </c>
      <c r="V3" s="403" t="s">
        <v>18</v>
      </c>
    </row>
    <row r="4" spans="1:22">
      <c r="A4" s="6"/>
      <c r="B4" s="216">
        <v>46204</v>
      </c>
      <c r="C4" s="216">
        <v>46204</v>
      </c>
      <c r="D4" s="403" t="s">
        <v>6948</v>
      </c>
      <c r="E4" s="403">
        <v>260103919201</v>
      </c>
      <c r="F4" s="403" t="s">
        <v>87</v>
      </c>
      <c r="G4" s="403" t="s">
        <v>2408</v>
      </c>
      <c r="H4" s="403">
        <v>95</v>
      </c>
      <c r="I4" s="403">
        <v>374</v>
      </c>
      <c r="J4" s="374">
        <v>374</v>
      </c>
      <c r="K4" s="403">
        <v>134</v>
      </c>
      <c r="L4" s="217">
        <v>1530</v>
      </c>
      <c r="M4" s="403" t="s">
        <v>153</v>
      </c>
      <c r="N4" s="403" t="s">
        <v>149</v>
      </c>
      <c r="O4" s="403" t="s">
        <v>154</v>
      </c>
      <c r="P4" s="403" t="s">
        <v>151</v>
      </c>
      <c r="Q4" s="403" t="s">
        <v>155</v>
      </c>
      <c r="R4" s="403" t="s">
        <v>6949</v>
      </c>
      <c r="S4" s="403"/>
      <c r="T4" s="403" t="s">
        <v>2760</v>
      </c>
      <c r="U4" s="403" t="s">
        <v>152</v>
      </c>
      <c r="V4" s="403" t="s">
        <v>18</v>
      </c>
    </row>
    <row r="5" spans="1:22">
      <c r="A5" s="6"/>
      <c r="B5" s="216">
        <v>46204</v>
      </c>
      <c r="C5" s="216">
        <v>46204</v>
      </c>
      <c r="D5" s="403" t="s">
        <v>6950</v>
      </c>
      <c r="E5" s="403">
        <v>260100719220</v>
      </c>
      <c r="F5" s="403" t="s">
        <v>87</v>
      </c>
      <c r="G5" s="403" t="s">
        <v>2518</v>
      </c>
      <c r="H5" s="403">
        <v>142</v>
      </c>
      <c r="I5" s="403">
        <v>328</v>
      </c>
      <c r="J5" s="374">
        <v>328</v>
      </c>
      <c r="K5" s="403">
        <v>150</v>
      </c>
      <c r="L5" s="217">
        <v>800</v>
      </c>
      <c r="M5" s="403" t="s">
        <v>153</v>
      </c>
      <c r="N5" s="403" t="s">
        <v>149</v>
      </c>
      <c r="O5" s="403" t="s">
        <v>154</v>
      </c>
      <c r="P5" s="403" t="s">
        <v>151</v>
      </c>
      <c r="Q5" s="403" t="s">
        <v>155</v>
      </c>
      <c r="R5" s="403" t="s">
        <v>6951</v>
      </c>
      <c r="S5" s="403"/>
      <c r="T5" s="403" t="s">
        <v>2760</v>
      </c>
      <c r="U5" s="403" t="s">
        <v>152</v>
      </c>
      <c r="V5" s="403" t="s">
        <v>18</v>
      </c>
    </row>
    <row r="6" spans="1:22">
      <c r="A6" s="6"/>
      <c r="B6" s="216">
        <v>46204</v>
      </c>
      <c r="C6" s="216">
        <v>46204</v>
      </c>
      <c r="D6" s="403" t="s">
        <v>6952</v>
      </c>
      <c r="E6" s="403">
        <v>260106819170</v>
      </c>
      <c r="F6" s="403" t="s">
        <v>87</v>
      </c>
      <c r="G6" s="403" t="s">
        <v>2425</v>
      </c>
      <c r="H6" s="403">
        <v>132</v>
      </c>
      <c r="I6" s="403">
        <v>130</v>
      </c>
      <c r="J6" s="374">
        <v>130</v>
      </c>
      <c r="K6" s="403">
        <v>92</v>
      </c>
      <c r="L6" s="217">
        <v>1090</v>
      </c>
      <c r="M6" s="403" t="s">
        <v>153</v>
      </c>
      <c r="N6" s="403" t="s">
        <v>149</v>
      </c>
      <c r="O6" s="403" t="s">
        <v>154</v>
      </c>
      <c r="P6" s="403" t="s">
        <v>151</v>
      </c>
      <c r="Q6" s="403" t="s">
        <v>155</v>
      </c>
      <c r="R6" s="403" t="s">
        <v>6953</v>
      </c>
      <c r="S6" s="403"/>
      <c r="T6" s="403" t="s">
        <v>2760</v>
      </c>
      <c r="U6" s="403" t="s">
        <v>152</v>
      </c>
      <c r="V6" s="403" t="s">
        <v>18</v>
      </c>
    </row>
    <row r="7" spans="1:22">
      <c r="A7" s="6"/>
      <c r="B7" s="216">
        <v>46204</v>
      </c>
      <c r="C7" s="216">
        <v>46204</v>
      </c>
      <c r="D7" s="403" t="s">
        <v>6954</v>
      </c>
      <c r="E7" s="403">
        <v>260101919175</v>
      </c>
      <c r="F7" s="403" t="s">
        <v>87</v>
      </c>
      <c r="G7" s="403" t="s">
        <v>2563</v>
      </c>
      <c r="H7" s="403">
        <v>95</v>
      </c>
      <c r="I7" s="403">
        <v>318</v>
      </c>
      <c r="J7" s="374">
        <v>318</v>
      </c>
      <c r="K7" s="403">
        <v>134</v>
      </c>
      <c r="L7" s="217">
        <v>1330</v>
      </c>
      <c r="M7" s="403" t="s">
        <v>153</v>
      </c>
      <c r="N7" s="403" t="s">
        <v>149</v>
      </c>
      <c r="O7" s="403" t="s">
        <v>154</v>
      </c>
      <c r="P7" s="403" t="s">
        <v>151</v>
      </c>
      <c r="Q7" s="403" t="s">
        <v>155</v>
      </c>
      <c r="R7" s="403" t="s">
        <v>6955</v>
      </c>
      <c r="S7" s="403"/>
      <c r="T7" s="403" t="s">
        <v>2760</v>
      </c>
      <c r="U7" s="403" t="s">
        <v>152</v>
      </c>
      <c r="V7" s="403" t="s">
        <v>18</v>
      </c>
    </row>
    <row r="8" spans="1:22">
      <c r="A8" s="6"/>
      <c r="B8" s="216">
        <v>46204</v>
      </c>
      <c r="C8" s="216">
        <v>46204</v>
      </c>
      <c r="D8" s="403" t="s">
        <v>6956</v>
      </c>
      <c r="E8" s="403">
        <v>260102819180</v>
      </c>
      <c r="F8" s="403" t="s">
        <v>87</v>
      </c>
      <c r="G8" s="403" t="s">
        <v>2658</v>
      </c>
      <c r="H8" s="403">
        <v>105</v>
      </c>
      <c r="I8" s="403">
        <v>351</v>
      </c>
      <c r="J8" s="374">
        <v>351</v>
      </c>
      <c r="K8" s="403">
        <v>130</v>
      </c>
      <c r="L8" s="217">
        <v>1360</v>
      </c>
      <c r="M8" s="403" t="s">
        <v>153</v>
      </c>
      <c r="N8" s="403" t="s">
        <v>149</v>
      </c>
      <c r="O8" s="403" t="s">
        <v>154</v>
      </c>
      <c r="P8" s="403" t="s">
        <v>151</v>
      </c>
      <c r="Q8" s="403" t="s">
        <v>155</v>
      </c>
      <c r="R8" s="403" t="s">
        <v>6957</v>
      </c>
      <c r="S8" s="403"/>
      <c r="T8" s="403" t="s">
        <v>2760</v>
      </c>
      <c r="U8" s="403" t="s">
        <v>152</v>
      </c>
      <c r="V8" s="403" t="s">
        <v>18</v>
      </c>
    </row>
    <row r="9" spans="1:22">
      <c r="A9" s="6"/>
      <c r="B9" s="216">
        <v>46204</v>
      </c>
      <c r="C9" s="216">
        <v>46204</v>
      </c>
      <c r="D9" s="403" t="s">
        <v>6958</v>
      </c>
      <c r="E9" s="297">
        <v>260102419197</v>
      </c>
      <c r="F9" s="403" t="s">
        <v>87</v>
      </c>
      <c r="G9" s="403" t="s">
        <v>2554</v>
      </c>
      <c r="H9" s="403">
        <v>102</v>
      </c>
      <c r="I9" s="403">
        <v>246</v>
      </c>
      <c r="J9" s="374">
        <v>246</v>
      </c>
      <c r="K9" s="403">
        <v>125</v>
      </c>
      <c r="L9" s="217">
        <v>1000</v>
      </c>
      <c r="M9" s="403" t="s">
        <v>153</v>
      </c>
      <c r="N9" s="403" t="s">
        <v>149</v>
      </c>
      <c r="O9" s="403" t="s">
        <v>154</v>
      </c>
      <c r="P9" s="403" t="s">
        <v>151</v>
      </c>
      <c r="Q9" s="403" t="s">
        <v>155</v>
      </c>
      <c r="R9" s="403" t="s">
        <v>6959</v>
      </c>
      <c r="S9" s="403"/>
      <c r="T9" s="403" t="s">
        <v>2760</v>
      </c>
      <c r="U9" s="403" t="s">
        <v>152</v>
      </c>
      <c r="V9" s="403" t="s">
        <v>18</v>
      </c>
    </row>
    <row r="10" spans="1:22">
      <c r="A10" s="6"/>
      <c r="B10" s="216">
        <v>46204</v>
      </c>
      <c r="C10" s="216">
        <v>46204</v>
      </c>
      <c r="D10" s="403" t="s">
        <v>6960</v>
      </c>
      <c r="E10" s="297">
        <v>260102919171</v>
      </c>
      <c r="F10" s="403" t="s">
        <v>87</v>
      </c>
      <c r="G10" s="403" t="s">
        <v>859</v>
      </c>
      <c r="H10" s="403">
        <v>152</v>
      </c>
      <c r="I10" s="403">
        <v>238</v>
      </c>
      <c r="J10" s="374">
        <v>238</v>
      </c>
      <c r="K10" s="403">
        <v>104</v>
      </c>
      <c r="L10" s="217">
        <v>1550</v>
      </c>
      <c r="M10" s="403" t="s">
        <v>153</v>
      </c>
      <c r="N10" s="403" t="s">
        <v>149</v>
      </c>
      <c r="O10" s="403" t="s">
        <v>154</v>
      </c>
      <c r="P10" s="403" t="s">
        <v>151</v>
      </c>
      <c r="Q10" s="403" t="s">
        <v>155</v>
      </c>
      <c r="R10" s="403" t="s">
        <v>6961</v>
      </c>
      <c r="S10" s="403"/>
      <c r="T10" s="403" t="s">
        <v>2760</v>
      </c>
      <c r="U10" s="403" t="s">
        <v>152</v>
      </c>
      <c r="V10" s="403" t="s">
        <v>18</v>
      </c>
    </row>
    <row r="11" spans="1:22">
      <c r="A11" s="6"/>
      <c r="B11" s="216">
        <v>46204</v>
      </c>
      <c r="C11" s="216">
        <v>46204</v>
      </c>
      <c r="D11" s="403" t="s">
        <v>6962</v>
      </c>
      <c r="E11" s="297">
        <v>260102919172</v>
      </c>
      <c r="F11" s="403" t="s">
        <v>87</v>
      </c>
      <c r="G11" s="403" t="s">
        <v>859</v>
      </c>
      <c r="H11" s="403">
        <v>152</v>
      </c>
      <c r="I11" s="403">
        <v>233</v>
      </c>
      <c r="J11" s="374">
        <v>233</v>
      </c>
      <c r="K11" s="403">
        <v>104</v>
      </c>
      <c r="L11" s="217">
        <v>1550</v>
      </c>
      <c r="M11" s="403" t="s">
        <v>153</v>
      </c>
      <c r="N11" s="403" t="s">
        <v>149</v>
      </c>
      <c r="O11" s="403" t="s">
        <v>154</v>
      </c>
      <c r="P11" s="403" t="s">
        <v>151</v>
      </c>
      <c r="Q11" s="403" t="s">
        <v>155</v>
      </c>
      <c r="R11" s="403" t="s">
        <v>6963</v>
      </c>
      <c r="S11" s="403"/>
      <c r="T11" s="403" t="s">
        <v>2760</v>
      </c>
      <c r="U11" s="403" t="s">
        <v>152</v>
      </c>
      <c r="V11" s="403" t="s">
        <v>18</v>
      </c>
    </row>
    <row r="12" spans="1:22">
      <c r="A12" s="6"/>
      <c r="B12" s="216">
        <v>46204</v>
      </c>
      <c r="C12" s="216">
        <v>46204</v>
      </c>
      <c r="D12" s="403" t="s">
        <v>6964</v>
      </c>
      <c r="E12" s="297">
        <v>260103319203</v>
      </c>
      <c r="F12" s="403" t="s">
        <v>87</v>
      </c>
      <c r="G12" s="403" t="s">
        <v>2564</v>
      </c>
      <c r="H12" s="403">
        <v>172</v>
      </c>
      <c r="I12" s="403">
        <v>236</v>
      </c>
      <c r="J12" s="374">
        <v>236</v>
      </c>
      <c r="K12" s="403">
        <v>96</v>
      </c>
      <c r="L12" s="217">
        <v>1500</v>
      </c>
      <c r="M12" s="403" t="s">
        <v>153</v>
      </c>
      <c r="N12" s="403" t="s">
        <v>149</v>
      </c>
      <c r="O12" s="403" t="s">
        <v>154</v>
      </c>
      <c r="P12" s="403" t="s">
        <v>151</v>
      </c>
      <c r="Q12" s="403" t="s">
        <v>155</v>
      </c>
      <c r="R12" s="403" t="s">
        <v>6965</v>
      </c>
      <c r="S12" s="403"/>
      <c r="T12" s="403" t="s">
        <v>2760</v>
      </c>
      <c r="U12" s="403" t="s">
        <v>152</v>
      </c>
      <c r="V12" s="403" t="s">
        <v>18</v>
      </c>
    </row>
    <row r="13" spans="1:22">
      <c r="A13" s="6"/>
      <c r="B13" s="216">
        <v>46204</v>
      </c>
      <c r="C13" s="216">
        <v>46204</v>
      </c>
      <c r="D13" s="403" t="s">
        <v>6966</v>
      </c>
      <c r="E13" s="297">
        <v>260105219213</v>
      </c>
      <c r="F13" s="403" t="s">
        <v>87</v>
      </c>
      <c r="G13" s="403" t="s">
        <v>6967</v>
      </c>
      <c r="H13" s="403">
        <v>122</v>
      </c>
      <c r="I13" s="403">
        <v>233</v>
      </c>
      <c r="J13" s="374">
        <v>233</v>
      </c>
      <c r="K13" s="403">
        <v>89</v>
      </c>
      <c r="L13" s="217">
        <v>2180</v>
      </c>
      <c r="M13" s="403" t="s">
        <v>153</v>
      </c>
      <c r="N13" s="403" t="s">
        <v>149</v>
      </c>
      <c r="O13" s="403" t="s">
        <v>154</v>
      </c>
      <c r="P13" s="403" t="s">
        <v>151</v>
      </c>
      <c r="Q13" s="403" t="s">
        <v>155</v>
      </c>
      <c r="R13" s="403" t="s">
        <v>6968</v>
      </c>
      <c r="S13" s="403"/>
      <c r="T13" s="403" t="s">
        <v>2760</v>
      </c>
      <c r="U13" s="403" t="s">
        <v>152</v>
      </c>
      <c r="V13" s="403" t="s">
        <v>18</v>
      </c>
    </row>
    <row r="14" spans="1:22">
      <c r="A14" s="6"/>
      <c r="B14" s="216">
        <v>46204</v>
      </c>
      <c r="C14" s="216">
        <v>46204</v>
      </c>
      <c r="D14" s="403" t="s">
        <v>6969</v>
      </c>
      <c r="E14" s="297">
        <v>260106819217</v>
      </c>
      <c r="F14" s="403" t="s">
        <v>87</v>
      </c>
      <c r="G14" s="403" t="s">
        <v>2425</v>
      </c>
      <c r="H14" s="403">
        <v>132</v>
      </c>
      <c r="I14" s="403">
        <v>242</v>
      </c>
      <c r="J14" s="374">
        <v>242</v>
      </c>
      <c r="K14" s="403">
        <v>92</v>
      </c>
      <c r="L14" s="217">
        <v>2030</v>
      </c>
      <c r="M14" s="403" t="s">
        <v>153</v>
      </c>
      <c r="N14" s="403" t="s">
        <v>149</v>
      </c>
      <c r="O14" s="403" t="s">
        <v>154</v>
      </c>
      <c r="P14" s="403" t="s">
        <v>151</v>
      </c>
      <c r="Q14" s="403" t="s">
        <v>155</v>
      </c>
      <c r="R14" s="403" t="s">
        <v>6970</v>
      </c>
      <c r="S14" s="403"/>
      <c r="T14" s="403" t="s">
        <v>2760</v>
      </c>
      <c r="U14" s="403" t="s">
        <v>152</v>
      </c>
      <c r="V14" s="403" t="s">
        <v>18</v>
      </c>
    </row>
    <row r="15" spans="1:22">
      <c r="A15" s="6"/>
      <c r="B15" s="216">
        <v>46204</v>
      </c>
      <c r="C15" s="216">
        <v>46204</v>
      </c>
      <c r="D15" s="403" t="s">
        <v>6971</v>
      </c>
      <c r="E15" s="297">
        <v>260100419219</v>
      </c>
      <c r="F15" s="403" t="s">
        <v>87</v>
      </c>
      <c r="G15" s="403" t="s">
        <v>2657</v>
      </c>
      <c r="H15" s="403">
        <v>122</v>
      </c>
      <c r="I15" s="403">
        <v>388</v>
      </c>
      <c r="J15" s="374">
        <v>388</v>
      </c>
      <c r="K15" s="403">
        <v>190</v>
      </c>
      <c r="L15" s="217">
        <v>850</v>
      </c>
      <c r="M15" s="403" t="s">
        <v>153</v>
      </c>
      <c r="N15" s="403" t="s">
        <v>149</v>
      </c>
      <c r="O15" s="403" t="s">
        <v>154</v>
      </c>
      <c r="P15" s="403" t="s">
        <v>151</v>
      </c>
      <c r="Q15" s="403" t="s">
        <v>155</v>
      </c>
      <c r="R15" s="403" t="s">
        <v>6972</v>
      </c>
      <c r="S15" s="403"/>
      <c r="T15" s="403" t="s">
        <v>2760</v>
      </c>
      <c r="U15" s="403" t="s">
        <v>152</v>
      </c>
      <c r="V15" s="403" t="s">
        <v>18</v>
      </c>
    </row>
    <row r="16" spans="1:22">
      <c r="A16" s="6"/>
      <c r="B16" s="216">
        <v>46204</v>
      </c>
      <c r="C16" s="216">
        <v>46204</v>
      </c>
      <c r="D16" s="403" t="s">
        <v>6973</v>
      </c>
      <c r="E16" s="297">
        <v>260107619187</v>
      </c>
      <c r="F16" s="403" t="s">
        <v>87</v>
      </c>
      <c r="G16" s="403" t="s">
        <v>2652</v>
      </c>
      <c r="H16" s="403">
        <v>140</v>
      </c>
      <c r="I16" s="403">
        <v>243</v>
      </c>
      <c r="J16" s="374">
        <v>243</v>
      </c>
      <c r="K16" s="403">
        <v>88</v>
      </c>
      <c r="L16" s="217">
        <v>2000</v>
      </c>
      <c r="M16" s="403" t="s">
        <v>153</v>
      </c>
      <c r="N16" s="403" t="s">
        <v>149</v>
      </c>
      <c r="O16" s="403" t="s">
        <v>154</v>
      </c>
      <c r="P16" s="403" t="s">
        <v>151</v>
      </c>
      <c r="Q16" s="403" t="s">
        <v>155</v>
      </c>
      <c r="R16" s="403" t="s">
        <v>6974</v>
      </c>
      <c r="S16" s="403"/>
      <c r="T16" s="403" t="s">
        <v>2760</v>
      </c>
      <c r="U16" s="403" t="s">
        <v>152</v>
      </c>
      <c r="V16" s="403" t="s">
        <v>18</v>
      </c>
    </row>
    <row r="17" spans="1:22">
      <c r="A17" s="6"/>
      <c r="B17" s="216">
        <v>46204</v>
      </c>
      <c r="C17" s="216">
        <v>46204</v>
      </c>
      <c r="D17" s="403" t="s">
        <v>6975</v>
      </c>
      <c r="E17" s="297">
        <v>260101519191</v>
      </c>
      <c r="F17" s="403" t="s">
        <v>87</v>
      </c>
      <c r="G17" s="403" t="s">
        <v>2120</v>
      </c>
      <c r="H17" s="403">
        <v>92</v>
      </c>
      <c r="I17" s="403">
        <v>424</v>
      </c>
      <c r="J17" s="374">
        <v>424</v>
      </c>
      <c r="K17" s="403">
        <v>180</v>
      </c>
      <c r="L17" s="217">
        <v>1200</v>
      </c>
      <c r="M17" s="403" t="s">
        <v>153</v>
      </c>
      <c r="N17" s="403" t="s">
        <v>149</v>
      </c>
      <c r="O17" s="403" t="s">
        <v>154</v>
      </c>
      <c r="P17" s="403" t="s">
        <v>151</v>
      </c>
      <c r="Q17" s="403" t="s">
        <v>155</v>
      </c>
      <c r="R17" s="403" t="s">
        <v>6976</v>
      </c>
      <c r="S17" s="403"/>
      <c r="T17" s="403" t="s">
        <v>2760</v>
      </c>
      <c r="U17" s="403" t="s">
        <v>152</v>
      </c>
      <c r="V17" s="403" t="s">
        <v>18</v>
      </c>
    </row>
    <row r="18" spans="1:22">
      <c r="A18" s="6"/>
      <c r="B18" s="216">
        <v>46204</v>
      </c>
      <c r="C18" s="216">
        <v>46204</v>
      </c>
      <c r="D18" s="403" t="s">
        <v>6977</v>
      </c>
      <c r="E18" s="297">
        <v>260102619179</v>
      </c>
      <c r="F18" s="403" t="s">
        <v>87</v>
      </c>
      <c r="G18" s="403" t="s">
        <v>2658</v>
      </c>
      <c r="H18" s="403">
        <v>95</v>
      </c>
      <c r="I18" s="403">
        <v>246</v>
      </c>
      <c r="J18" s="374">
        <v>246</v>
      </c>
      <c r="K18" s="403">
        <v>130</v>
      </c>
      <c r="L18" s="217">
        <v>1000</v>
      </c>
      <c r="M18" s="403" t="s">
        <v>153</v>
      </c>
      <c r="N18" s="403" t="s">
        <v>149</v>
      </c>
      <c r="O18" s="403" t="s">
        <v>154</v>
      </c>
      <c r="P18" s="403" t="s">
        <v>151</v>
      </c>
      <c r="Q18" s="403" t="s">
        <v>155</v>
      </c>
      <c r="R18" s="403" t="s">
        <v>6978</v>
      </c>
      <c r="S18" s="403"/>
      <c r="T18" s="403" t="s">
        <v>2760</v>
      </c>
      <c r="U18" s="403" t="s">
        <v>152</v>
      </c>
      <c r="V18" s="403" t="s">
        <v>18</v>
      </c>
    </row>
    <row r="19" spans="1:22">
      <c r="A19" s="6"/>
      <c r="B19" s="216">
        <v>46204</v>
      </c>
      <c r="C19" s="216">
        <v>46204</v>
      </c>
      <c r="D19" s="403" t="s">
        <v>6979</v>
      </c>
      <c r="E19" s="297">
        <v>260100419181</v>
      </c>
      <c r="F19" s="403" t="s">
        <v>87</v>
      </c>
      <c r="G19" s="403" t="s">
        <v>2657</v>
      </c>
      <c r="H19" s="403">
        <v>122</v>
      </c>
      <c r="I19" s="403">
        <v>399</v>
      </c>
      <c r="J19" s="374">
        <v>399</v>
      </c>
      <c r="K19" s="403">
        <v>190</v>
      </c>
      <c r="L19" s="217">
        <v>860</v>
      </c>
      <c r="M19" s="403" t="s">
        <v>153</v>
      </c>
      <c r="N19" s="403" t="s">
        <v>149</v>
      </c>
      <c r="O19" s="403" t="s">
        <v>154</v>
      </c>
      <c r="P19" s="403" t="s">
        <v>151</v>
      </c>
      <c r="Q19" s="403" t="s">
        <v>155</v>
      </c>
      <c r="R19" s="403" t="s">
        <v>6980</v>
      </c>
      <c r="S19" s="403"/>
      <c r="T19" s="403" t="s">
        <v>2760</v>
      </c>
      <c r="U19" s="403" t="s">
        <v>152</v>
      </c>
      <c r="V19" s="403" t="s">
        <v>18</v>
      </c>
    </row>
    <row r="20" spans="1:22">
      <c r="A20" s="6"/>
      <c r="B20" s="216">
        <v>46204</v>
      </c>
      <c r="C20" s="216">
        <v>46204</v>
      </c>
      <c r="D20" s="403" t="s">
        <v>6981</v>
      </c>
      <c r="E20" s="297">
        <v>260107819182</v>
      </c>
      <c r="F20" s="403" t="s">
        <v>87</v>
      </c>
      <c r="G20" s="403" t="s">
        <v>2425</v>
      </c>
      <c r="H20" s="403">
        <v>132</v>
      </c>
      <c r="I20" s="403">
        <v>275</v>
      </c>
      <c r="J20" s="374">
        <v>275</v>
      </c>
      <c r="K20" s="403">
        <v>92</v>
      </c>
      <c r="L20" s="217">
        <v>2300</v>
      </c>
      <c r="M20" s="403" t="s">
        <v>153</v>
      </c>
      <c r="N20" s="403" t="s">
        <v>149</v>
      </c>
      <c r="O20" s="403" t="s">
        <v>154</v>
      </c>
      <c r="P20" s="403" t="s">
        <v>151</v>
      </c>
      <c r="Q20" s="403" t="s">
        <v>155</v>
      </c>
      <c r="R20" s="403" t="s">
        <v>6982</v>
      </c>
      <c r="S20" s="403"/>
      <c r="T20" s="403" t="s">
        <v>2760</v>
      </c>
      <c r="U20" s="403" t="s">
        <v>152</v>
      </c>
      <c r="V20" s="403" t="s">
        <v>18</v>
      </c>
    </row>
    <row r="21" spans="1:22">
      <c r="A21" s="6"/>
      <c r="B21" s="216">
        <v>46204</v>
      </c>
      <c r="C21" s="216">
        <v>46204</v>
      </c>
      <c r="D21" s="403" t="s">
        <v>6983</v>
      </c>
      <c r="E21" s="297">
        <v>260102719192</v>
      </c>
      <c r="F21" s="403" t="s">
        <v>87</v>
      </c>
      <c r="G21" s="403" t="s">
        <v>2658</v>
      </c>
      <c r="H21" s="403">
        <v>105</v>
      </c>
      <c r="I21" s="403">
        <v>267</v>
      </c>
      <c r="J21" s="374">
        <v>267</v>
      </c>
      <c r="K21" s="403">
        <v>130</v>
      </c>
      <c r="L21" s="217">
        <v>1030</v>
      </c>
      <c r="M21" s="403" t="s">
        <v>153</v>
      </c>
      <c r="N21" s="403" t="s">
        <v>149</v>
      </c>
      <c r="O21" s="403" t="s">
        <v>154</v>
      </c>
      <c r="P21" s="403" t="s">
        <v>151</v>
      </c>
      <c r="Q21" s="403" t="s">
        <v>155</v>
      </c>
      <c r="R21" s="403" t="s">
        <v>6984</v>
      </c>
      <c r="S21" s="403"/>
      <c r="T21" s="403" t="s">
        <v>2760</v>
      </c>
      <c r="U21" s="403" t="s">
        <v>152</v>
      </c>
      <c r="V21" s="403" t="s">
        <v>18</v>
      </c>
    </row>
    <row r="22" spans="1:22">
      <c r="A22" s="6"/>
      <c r="B22" s="216">
        <v>46204</v>
      </c>
      <c r="C22" s="216">
        <v>46204</v>
      </c>
      <c r="D22" s="403" t="s">
        <v>6985</v>
      </c>
      <c r="E22" s="297">
        <v>260101819193</v>
      </c>
      <c r="F22" s="403" t="s">
        <v>87</v>
      </c>
      <c r="G22" s="403" t="s">
        <v>2408</v>
      </c>
      <c r="H22" s="403">
        <v>95</v>
      </c>
      <c r="I22" s="403">
        <v>246</v>
      </c>
      <c r="J22" s="374">
        <v>246</v>
      </c>
      <c r="K22" s="403">
        <v>134</v>
      </c>
      <c r="L22" s="217">
        <v>1000</v>
      </c>
      <c r="M22" s="403" t="s">
        <v>153</v>
      </c>
      <c r="N22" s="403" t="s">
        <v>149</v>
      </c>
      <c r="O22" s="403" t="s">
        <v>154</v>
      </c>
      <c r="P22" s="403" t="s">
        <v>151</v>
      </c>
      <c r="Q22" s="403" t="s">
        <v>155</v>
      </c>
      <c r="R22" s="403" t="s">
        <v>6986</v>
      </c>
      <c r="S22" s="403"/>
      <c r="T22" s="403" t="s">
        <v>2760</v>
      </c>
      <c r="U22" s="403" t="s">
        <v>152</v>
      </c>
      <c r="V22" s="403" t="s">
        <v>18</v>
      </c>
    </row>
    <row r="23" spans="1:22">
      <c r="A23" s="6"/>
      <c r="B23" s="216">
        <v>46204</v>
      </c>
      <c r="C23" s="216">
        <v>46204</v>
      </c>
      <c r="D23" s="403" t="s">
        <v>6987</v>
      </c>
      <c r="E23" s="297">
        <v>260101719196</v>
      </c>
      <c r="F23" s="403" t="s">
        <v>87</v>
      </c>
      <c r="G23" s="403" t="s">
        <v>2554</v>
      </c>
      <c r="H23" s="403">
        <v>132</v>
      </c>
      <c r="I23" s="403">
        <v>120</v>
      </c>
      <c r="J23" s="374">
        <v>120</v>
      </c>
      <c r="K23" s="403">
        <v>125</v>
      </c>
      <c r="L23" s="217">
        <v>370</v>
      </c>
      <c r="M23" s="403" t="s">
        <v>153</v>
      </c>
      <c r="N23" s="403" t="s">
        <v>149</v>
      </c>
      <c r="O23" s="403" t="s">
        <v>154</v>
      </c>
      <c r="P23" s="403" t="s">
        <v>151</v>
      </c>
      <c r="Q23" s="403" t="s">
        <v>155</v>
      </c>
      <c r="R23" s="403" t="s">
        <v>6988</v>
      </c>
      <c r="S23" s="403"/>
      <c r="T23" s="403" t="s">
        <v>2760</v>
      </c>
      <c r="U23" s="403" t="s">
        <v>152</v>
      </c>
      <c r="V23" s="403" t="s">
        <v>18</v>
      </c>
    </row>
    <row r="24" spans="1:22">
      <c r="A24" s="6"/>
      <c r="B24" s="216">
        <v>46204</v>
      </c>
      <c r="C24" s="216">
        <v>46204</v>
      </c>
      <c r="D24" s="403" t="s">
        <v>6989</v>
      </c>
      <c r="E24" s="297">
        <v>260107019218</v>
      </c>
      <c r="F24" s="403" t="s">
        <v>87</v>
      </c>
      <c r="G24" s="403" t="s">
        <v>2652</v>
      </c>
      <c r="H24" s="403">
        <v>140</v>
      </c>
      <c r="I24" s="403">
        <v>181</v>
      </c>
      <c r="J24" s="374">
        <v>181</v>
      </c>
      <c r="K24" s="403">
        <v>88</v>
      </c>
      <c r="L24" s="217">
        <v>1500</v>
      </c>
      <c r="M24" s="403" t="s">
        <v>153</v>
      </c>
      <c r="N24" s="403" t="s">
        <v>149</v>
      </c>
      <c r="O24" s="403" t="s">
        <v>154</v>
      </c>
      <c r="P24" s="403" t="s">
        <v>151</v>
      </c>
      <c r="Q24" s="403" t="s">
        <v>155</v>
      </c>
      <c r="R24" s="403" t="s">
        <v>6990</v>
      </c>
      <c r="S24" s="403"/>
      <c r="T24" s="403" t="s">
        <v>2760</v>
      </c>
      <c r="U24" s="403" t="s">
        <v>152</v>
      </c>
      <c r="V24" s="403" t="s">
        <v>18</v>
      </c>
    </row>
    <row r="25" spans="1:22">
      <c r="A25" s="6"/>
      <c r="B25" s="216">
        <v>46204</v>
      </c>
      <c r="C25" s="216">
        <v>46204</v>
      </c>
      <c r="D25" s="403" t="s">
        <v>6991</v>
      </c>
      <c r="E25" s="297">
        <v>260107419173</v>
      </c>
      <c r="F25" s="403" t="s">
        <v>87</v>
      </c>
      <c r="G25" s="403" t="s">
        <v>2562</v>
      </c>
      <c r="H25" s="403">
        <v>125</v>
      </c>
      <c r="I25" s="403">
        <v>273</v>
      </c>
      <c r="J25" s="374">
        <v>273</v>
      </c>
      <c r="K25" s="403">
        <v>97</v>
      </c>
      <c r="L25" s="217">
        <v>2270</v>
      </c>
      <c r="M25" s="403" t="s">
        <v>153</v>
      </c>
      <c r="N25" s="403" t="s">
        <v>149</v>
      </c>
      <c r="O25" s="403" t="s">
        <v>154</v>
      </c>
      <c r="P25" s="403" t="s">
        <v>151</v>
      </c>
      <c r="Q25" s="403" t="s">
        <v>155</v>
      </c>
      <c r="R25" s="403" t="s">
        <v>6992</v>
      </c>
      <c r="S25" s="403"/>
      <c r="T25" s="403" t="s">
        <v>2760</v>
      </c>
      <c r="U25" s="403" t="s">
        <v>152</v>
      </c>
      <c r="V25" s="403" t="s">
        <v>18</v>
      </c>
    </row>
    <row r="26" spans="1:22">
      <c r="A26" s="6"/>
      <c r="B26" s="216">
        <v>46204</v>
      </c>
      <c r="C26" s="216">
        <v>46204</v>
      </c>
      <c r="D26" s="403" t="s">
        <v>6993</v>
      </c>
      <c r="E26" s="297">
        <v>260104019200</v>
      </c>
      <c r="F26" s="403" t="s">
        <v>87</v>
      </c>
      <c r="G26" s="403" t="s">
        <v>2563</v>
      </c>
      <c r="H26" s="403">
        <v>95</v>
      </c>
      <c r="I26" s="403">
        <v>300</v>
      </c>
      <c r="J26" s="374">
        <v>300</v>
      </c>
      <c r="K26" s="403">
        <v>134</v>
      </c>
      <c r="L26" s="217">
        <v>1220</v>
      </c>
      <c r="M26" s="403" t="s">
        <v>153</v>
      </c>
      <c r="N26" s="403" t="s">
        <v>149</v>
      </c>
      <c r="O26" s="403" t="s">
        <v>154</v>
      </c>
      <c r="P26" s="403" t="s">
        <v>151</v>
      </c>
      <c r="Q26" s="403" t="s">
        <v>155</v>
      </c>
      <c r="R26" s="403" t="s">
        <v>6994</v>
      </c>
      <c r="S26" s="403"/>
      <c r="T26" s="403" t="s">
        <v>2760</v>
      </c>
      <c r="U26" s="403" t="s">
        <v>152</v>
      </c>
      <c r="V26" s="403" t="s">
        <v>18</v>
      </c>
    </row>
    <row r="27" spans="1:22">
      <c r="A27" s="6"/>
      <c r="B27" s="216">
        <v>46204</v>
      </c>
      <c r="C27" s="216">
        <v>46204</v>
      </c>
      <c r="D27" s="403" t="s">
        <v>6995</v>
      </c>
      <c r="E27" s="297">
        <v>260103319202</v>
      </c>
      <c r="F27" s="403" t="s">
        <v>87</v>
      </c>
      <c r="G27" s="403" t="s">
        <v>2564</v>
      </c>
      <c r="H27" s="403">
        <v>172</v>
      </c>
      <c r="I27" s="403">
        <v>239</v>
      </c>
      <c r="J27" s="374">
        <v>239</v>
      </c>
      <c r="K27" s="403">
        <v>96</v>
      </c>
      <c r="L27" s="217">
        <v>1500</v>
      </c>
      <c r="M27" s="403" t="s">
        <v>153</v>
      </c>
      <c r="N27" s="403" t="s">
        <v>149</v>
      </c>
      <c r="O27" s="403" t="s">
        <v>154</v>
      </c>
      <c r="P27" s="403" t="s">
        <v>151</v>
      </c>
      <c r="Q27" s="403" t="s">
        <v>155</v>
      </c>
      <c r="R27" s="403" t="s">
        <v>6996</v>
      </c>
      <c r="S27" s="403"/>
      <c r="T27" s="403" t="s">
        <v>2760</v>
      </c>
      <c r="U27" s="403" t="s">
        <v>152</v>
      </c>
      <c r="V27" s="403" t="s">
        <v>18</v>
      </c>
    </row>
    <row r="28" spans="1:22">
      <c r="A28" s="6"/>
      <c r="B28" s="216">
        <v>46204</v>
      </c>
      <c r="C28" s="216">
        <v>46204</v>
      </c>
      <c r="D28" s="403" t="s">
        <v>6997</v>
      </c>
      <c r="E28" s="297">
        <v>260105319214</v>
      </c>
      <c r="F28" s="403" t="s">
        <v>87</v>
      </c>
      <c r="G28" s="403" t="s">
        <v>2555</v>
      </c>
      <c r="H28" s="403">
        <v>152</v>
      </c>
      <c r="I28" s="403">
        <v>314</v>
      </c>
      <c r="J28" s="374">
        <v>314</v>
      </c>
      <c r="K28" s="403">
        <v>104</v>
      </c>
      <c r="L28" s="217">
        <v>2080</v>
      </c>
      <c r="M28" s="403" t="s">
        <v>153</v>
      </c>
      <c r="N28" s="403" t="s">
        <v>149</v>
      </c>
      <c r="O28" s="403" t="s">
        <v>154</v>
      </c>
      <c r="P28" s="403" t="s">
        <v>151</v>
      </c>
      <c r="Q28" s="403" t="s">
        <v>155</v>
      </c>
      <c r="R28" s="403" t="s">
        <v>6998</v>
      </c>
      <c r="S28" s="403"/>
      <c r="T28" s="403" t="s">
        <v>2760</v>
      </c>
      <c r="U28" s="403" t="s">
        <v>152</v>
      </c>
      <c r="V28" s="403" t="s">
        <v>18</v>
      </c>
    </row>
    <row r="29" spans="1:22">
      <c r="A29" s="6"/>
      <c r="B29" s="216">
        <v>46204</v>
      </c>
      <c r="C29" s="216">
        <v>46204</v>
      </c>
      <c r="D29" s="403" t="s">
        <v>6999</v>
      </c>
      <c r="E29" s="297">
        <v>260102019174</v>
      </c>
      <c r="F29" s="403" t="s">
        <v>87</v>
      </c>
      <c r="G29" s="403" t="s">
        <v>2563</v>
      </c>
      <c r="H29" s="403">
        <v>95</v>
      </c>
      <c r="I29" s="403">
        <v>287</v>
      </c>
      <c r="J29" s="374">
        <v>287</v>
      </c>
      <c r="K29" s="403">
        <v>134</v>
      </c>
      <c r="L29" s="217">
        <v>1200</v>
      </c>
      <c r="M29" s="403" t="s">
        <v>153</v>
      </c>
      <c r="N29" s="403" t="s">
        <v>149</v>
      </c>
      <c r="O29" s="403" t="s">
        <v>154</v>
      </c>
      <c r="P29" s="403" t="s">
        <v>151</v>
      </c>
      <c r="Q29" s="403" t="s">
        <v>155</v>
      </c>
      <c r="R29" s="403" t="s">
        <v>7000</v>
      </c>
      <c r="S29" s="403"/>
      <c r="T29" s="403" t="s">
        <v>2760</v>
      </c>
      <c r="U29" s="403" t="s">
        <v>152</v>
      </c>
      <c r="V29" s="403" t="s">
        <v>18</v>
      </c>
    </row>
    <row r="30" spans="1:22">
      <c r="A30" s="6"/>
      <c r="B30" s="216">
        <v>46204</v>
      </c>
      <c r="C30" s="216">
        <v>46204</v>
      </c>
      <c r="D30" s="403" t="s">
        <v>7001</v>
      </c>
      <c r="E30" s="297">
        <v>260107919186</v>
      </c>
      <c r="F30" s="403" t="s">
        <v>87</v>
      </c>
      <c r="G30" s="403" t="s">
        <v>2425</v>
      </c>
      <c r="H30" s="403">
        <v>132</v>
      </c>
      <c r="I30" s="403">
        <v>236</v>
      </c>
      <c r="J30" s="374">
        <v>236</v>
      </c>
      <c r="K30" s="403">
        <v>92</v>
      </c>
      <c r="L30" s="217">
        <v>2000</v>
      </c>
      <c r="M30" s="403" t="s">
        <v>153</v>
      </c>
      <c r="N30" s="403" t="s">
        <v>149</v>
      </c>
      <c r="O30" s="403" t="s">
        <v>154</v>
      </c>
      <c r="P30" s="403" t="s">
        <v>151</v>
      </c>
      <c r="Q30" s="403" t="s">
        <v>155</v>
      </c>
      <c r="R30" s="403" t="s">
        <v>7002</v>
      </c>
      <c r="S30" s="403"/>
      <c r="T30" s="403" t="s">
        <v>2760</v>
      </c>
      <c r="U30" s="403" t="s">
        <v>152</v>
      </c>
      <c r="V30" s="403" t="s">
        <v>18</v>
      </c>
    </row>
    <row r="31" spans="1:22">
      <c r="A31" s="6"/>
      <c r="B31" s="216">
        <v>46204</v>
      </c>
      <c r="C31" s="216">
        <v>46204</v>
      </c>
      <c r="D31" s="403" t="s">
        <v>7003</v>
      </c>
      <c r="E31" s="297">
        <v>260101619194</v>
      </c>
      <c r="F31" s="403" t="s">
        <v>87</v>
      </c>
      <c r="G31" s="403" t="s">
        <v>2120</v>
      </c>
      <c r="H31" s="403">
        <v>112</v>
      </c>
      <c r="I31" s="403">
        <v>391</v>
      </c>
      <c r="J31" s="374">
        <v>391</v>
      </c>
      <c r="K31" s="403">
        <v>180</v>
      </c>
      <c r="L31" s="217">
        <v>1000</v>
      </c>
      <c r="M31" s="403" t="s">
        <v>153</v>
      </c>
      <c r="N31" s="403" t="s">
        <v>149</v>
      </c>
      <c r="O31" s="403" t="s">
        <v>154</v>
      </c>
      <c r="P31" s="403" t="s">
        <v>151</v>
      </c>
      <c r="Q31" s="403" t="s">
        <v>155</v>
      </c>
      <c r="R31" s="403" t="s">
        <v>7004</v>
      </c>
      <c r="S31" s="403"/>
      <c r="T31" s="403" t="s">
        <v>2760</v>
      </c>
      <c r="U31" s="403" t="s">
        <v>152</v>
      </c>
      <c r="V31" s="403" t="s">
        <v>18</v>
      </c>
    </row>
    <row r="32" spans="1:22">
      <c r="A32" s="6"/>
      <c r="B32" s="216">
        <v>46204</v>
      </c>
      <c r="C32" s="216">
        <v>46204</v>
      </c>
      <c r="D32" s="403" t="s">
        <v>7005</v>
      </c>
      <c r="E32" s="297">
        <v>260102519195</v>
      </c>
      <c r="F32" s="403" t="s">
        <v>87</v>
      </c>
      <c r="G32" s="403" t="s">
        <v>2658</v>
      </c>
      <c r="H32" s="403">
        <v>95</v>
      </c>
      <c r="I32" s="403">
        <v>246</v>
      </c>
      <c r="J32" s="374">
        <v>246</v>
      </c>
      <c r="K32" s="403">
        <v>130</v>
      </c>
      <c r="L32" s="217">
        <v>1000</v>
      </c>
      <c r="M32" s="403" t="s">
        <v>153</v>
      </c>
      <c r="N32" s="403" t="s">
        <v>149</v>
      </c>
      <c r="O32" s="403" t="s">
        <v>154</v>
      </c>
      <c r="P32" s="403" t="s">
        <v>151</v>
      </c>
      <c r="Q32" s="403" t="s">
        <v>155</v>
      </c>
      <c r="R32" s="403" t="s">
        <v>7006</v>
      </c>
      <c r="S32" s="403"/>
      <c r="T32" s="403" t="s">
        <v>2760</v>
      </c>
      <c r="U32" s="403" t="s">
        <v>152</v>
      </c>
      <c r="V32" s="403" t="s">
        <v>18</v>
      </c>
    </row>
    <row r="33" spans="1:22">
      <c r="A33" s="6"/>
      <c r="B33" s="216">
        <v>46204</v>
      </c>
      <c r="C33" s="216">
        <v>46204</v>
      </c>
      <c r="D33" s="403" t="s">
        <v>7007</v>
      </c>
      <c r="E33" s="297">
        <v>260103719204</v>
      </c>
      <c r="F33" s="403" t="s">
        <v>87</v>
      </c>
      <c r="G33" s="403" t="s">
        <v>2563</v>
      </c>
      <c r="H33" s="403">
        <v>95</v>
      </c>
      <c r="I33" s="403">
        <v>395</v>
      </c>
      <c r="J33" s="374">
        <v>395</v>
      </c>
      <c r="K33" s="403">
        <v>134</v>
      </c>
      <c r="L33" s="217">
        <v>1610</v>
      </c>
      <c r="M33" s="403" t="s">
        <v>153</v>
      </c>
      <c r="N33" s="403" t="s">
        <v>149</v>
      </c>
      <c r="O33" s="403" t="s">
        <v>154</v>
      </c>
      <c r="P33" s="403" t="s">
        <v>151</v>
      </c>
      <c r="Q33" s="403" t="s">
        <v>155</v>
      </c>
      <c r="R33" s="403" t="s">
        <v>7008</v>
      </c>
      <c r="S33" s="403"/>
      <c r="T33" s="403" t="s">
        <v>2760</v>
      </c>
      <c r="U33" s="403" t="s">
        <v>152</v>
      </c>
      <c r="V33" s="403" t="s">
        <v>18</v>
      </c>
    </row>
    <row r="34" spans="1:22">
      <c r="A34" s="6"/>
      <c r="B34" s="216">
        <v>46204</v>
      </c>
      <c r="C34" s="216">
        <v>46204</v>
      </c>
      <c r="D34" s="403" t="s">
        <v>7009</v>
      </c>
      <c r="E34" s="297">
        <v>260106119210</v>
      </c>
      <c r="F34" s="403" t="s">
        <v>87</v>
      </c>
      <c r="G34" s="403" t="s">
        <v>2310</v>
      </c>
      <c r="H34" s="403">
        <v>132</v>
      </c>
      <c r="I34" s="403">
        <v>247</v>
      </c>
      <c r="J34" s="374">
        <v>247</v>
      </c>
      <c r="K34" s="403">
        <v>87</v>
      </c>
      <c r="L34" s="217">
        <v>2115</v>
      </c>
      <c r="M34" s="403" t="s">
        <v>153</v>
      </c>
      <c r="N34" s="403" t="s">
        <v>149</v>
      </c>
      <c r="O34" s="403" t="s">
        <v>154</v>
      </c>
      <c r="P34" s="403" t="s">
        <v>151</v>
      </c>
      <c r="Q34" s="403" t="s">
        <v>155</v>
      </c>
      <c r="R34" s="403" t="s">
        <v>7010</v>
      </c>
      <c r="S34" s="403"/>
      <c r="T34" s="403" t="s">
        <v>2760</v>
      </c>
      <c r="U34" s="403" t="s">
        <v>152</v>
      </c>
      <c r="V34" s="403" t="s">
        <v>18</v>
      </c>
    </row>
    <row r="35" spans="1:22">
      <c r="A35" s="6"/>
      <c r="B35" s="216">
        <v>46204</v>
      </c>
      <c r="C35" s="216">
        <v>46204</v>
      </c>
      <c r="D35" s="403" t="s">
        <v>7011</v>
      </c>
      <c r="E35" s="297">
        <v>260101619231</v>
      </c>
      <c r="F35" s="403" t="s">
        <v>87</v>
      </c>
      <c r="G35" s="403" t="s">
        <v>2120</v>
      </c>
      <c r="H35" s="403">
        <v>112</v>
      </c>
      <c r="I35" s="403">
        <v>397</v>
      </c>
      <c r="J35" s="374">
        <v>397</v>
      </c>
      <c r="K35" s="403">
        <v>180</v>
      </c>
      <c r="L35" s="217">
        <v>1000</v>
      </c>
      <c r="M35" s="403" t="s">
        <v>153</v>
      </c>
      <c r="N35" s="403" t="s">
        <v>149</v>
      </c>
      <c r="O35" s="403" t="s">
        <v>154</v>
      </c>
      <c r="P35" s="403" t="s">
        <v>151</v>
      </c>
      <c r="Q35" s="403" t="s">
        <v>155</v>
      </c>
      <c r="R35" s="403" t="s">
        <v>7012</v>
      </c>
      <c r="S35" s="403"/>
      <c r="T35" s="403" t="s">
        <v>2760</v>
      </c>
      <c r="U35" s="403" t="s">
        <v>152</v>
      </c>
      <c r="V35" s="403" t="s">
        <v>18</v>
      </c>
    </row>
    <row r="36" spans="1:22">
      <c r="A36" s="6"/>
      <c r="B36" s="216">
        <v>46204</v>
      </c>
      <c r="C36" s="216">
        <v>46204</v>
      </c>
      <c r="D36" s="403" t="s">
        <v>7013</v>
      </c>
      <c r="E36" s="297">
        <v>260103010763</v>
      </c>
      <c r="F36" s="403" t="s">
        <v>87</v>
      </c>
      <c r="G36" s="403" t="s">
        <v>7014</v>
      </c>
      <c r="H36" s="403" t="s">
        <v>2653</v>
      </c>
      <c r="I36" s="403">
        <v>112</v>
      </c>
      <c r="J36" s="374">
        <v>112</v>
      </c>
      <c r="K36" s="403">
        <v>22</v>
      </c>
      <c r="L36" s="217">
        <v>4800</v>
      </c>
      <c r="M36" s="403" t="s">
        <v>153</v>
      </c>
      <c r="N36" s="403" t="s">
        <v>149</v>
      </c>
      <c r="O36" s="403" t="s">
        <v>154</v>
      </c>
      <c r="P36" s="403" t="s">
        <v>151</v>
      </c>
      <c r="Q36" s="403" t="s">
        <v>156</v>
      </c>
      <c r="R36" s="403" t="s">
        <v>7015</v>
      </c>
      <c r="S36" s="403"/>
      <c r="T36" s="403" t="s">
        <v>2760</v>
      </c>
      <c r="U36" s="403" t="s">
        <v>152</v>
      </c>
      <c r="V36" s="403" t="s">
        <v>20</v>
      </c>
    </row>
    <row r="37" spans="1:22">
      <c r="A37" s="6"/>
      <c r="B37" s="216">
        <v>46204</v>
      </c>
      <c r="C37" s="216">
        <v>46204</v>
      </c>
      <c r="D37" s="403" t="s">
        <v>7016</v>
      </c>
      <c r="E37" s="297">
        <v>260107018134</v>
      </c>
      <c r="F37" s="403" t="s">
        <v>87</v>
      </c>
      <c r="G37" s="403" t="s">
        <v>7014</v>
      </c>
      <c r="H37" s="403" t="s">
        <v>2655</v>
      </c>
      <c r="I37" s="403">
        <v>39</v>
      </c>
      <c r="J37" s="374">
        <v>39</v>
      </c>
      <c r="K37" s="403">
        <v>22</v>
      </c>
      <c r="L37" s="217">
        <v>2200</v>
      </c>
      <c r="M37" s="403" t="s">
        <v>153</v>
      </c>
      <c r="N37" s="403" t="s">
        <v>149</v>
      </c>
      <c r="O37" s="403" t="s">
        <v>154</v>
      </c>
      <c r="P37" s="403" t="s">
        <v>151</v>
      </c>
      <c r="Q37" s="403" t="s">
        <v>156</v>
      </c>
      <c r="R37" s="403" t="s">
        <v>7017</v>
      </c>
      <c r="S37" s="403"/>
      <c r="T37" s="403" t="s">
        <v>2760</v>
      </c>
      <c r="U37" s="403" t="s">
        <v>152</v>
      </c>
      <c r="V37" s="403" t="s">
        <v>20</v>
      </c>
    </row>
    <row r="38" spans="1:22">
      <c r="A38" s="6"/>
      <c r="B38" s="216">
        <v>46204</v>
      </c>
      <c r="C38" s="216">
        <v>46204</v>
      </c>
      <c r="D38" s="403" t="s">
        <v>7018</v>
      </c>
      <c r="E38" s="297">
        <v>260107018134</v>
      </c>
      <c r="F38" s="403" t="s">
        <v>87</v>
      </c>
      <c r="G38" s="403" t="s">
        <v>7019</v>
      </c>
      <c r="H38" s="403" t="s">
        <v>2655</v>
      </c>
      <c r="I38" s="403">
        <v>138</v>
      </c>
      <c r="J38" s="374">
        <v>138</v>
      </c>
      <c r="K38" s="403">
        <v>78</v>
      </c>
      <c r="L38" s="217">
        <v>2200</v>
      </c>
      <c r="M38" s="403" t="s">
        <v>153</v>
      </c>
      <c r="N38" s="403" t="s">
        <v>149</v>
      </c>
      <c r="O38" s="403" t="s">
        <v>154</v>
      </c>
      <c r="P38" s="403" t="s">
        <v>151</v>
      </c>
      <c r="Q38" s="403" t="s">
        <v>156</v>
      </c>
      <c r="R38" s="403" t="s">
        <v>7020</v>
      </c>
      <c r="S38" s="403"/>
      <c r="T38" s="403" t="s">
        <v>2760</v>
      </c>
      <c r="U38" s="403" t="s">
        <v>152</v>
      </c>
      <c r="V38" s="403" t="s">
        <v>20</v>
      </c>
    </row>
    <row r="39" spans="1:22">
      <c r="A39" s="6"/>
      <c r="B39" s="216">
        <v>46204</v>
      </c>
      <c r="C39" s="216">
        <v>46204</v>
      </c>
      <c r="D39" s="403" t="s">
        <v>7021</v>
      </c>
      <c r="E39" s="297">
        <v>260101619178</v>
      </c>
      <c r="F39" s="403" t="s">
        <v>87</v>
      </c>
      <c r="G39" s="403" t="s">
        <v>2120</v>
      </c>
      <c r="H39" s="403">
        <v>112</v>
      </c>
      <c r="I39" s="403">
        <v>392</v>
      </c>
      <c r="J39" s="374">
        <v>392</v>
      </c>
      <c r="K39" s="403">
        <v>180</v>
      </c>
      <c r="L39" s="217">
        <v>1000</v>
      </c>
      <c r="M39" s="403" t="s">
        <v>153</v>
      </c>
      <c r="N39" s="403" t="s">
        <v>149</v>
      </c>
      <c r="O39" s="403" t="s">
        <v>154</v>
      </c>
      <c r="P39" s="403" t="s">
        <v>151</v>
      </c>
      <c r="Q39" s="403" t="s">
        <v>155</v>
      </c>
      <c r="R39" s="403" t="s">
        <v>7022</v>
      </c>
      <c r="S39" s="403"/>
      <c r="T39" s="403" t="s">
        <v>2762</v>
      </c>
      <c r="U39" s="403" t="s">
        <v>152</v>
      </c>
      <c r="V39" s="403" t="s">
        <v>18</v>
      </c>
    </row>
    <row r="40" spans="1:22">
      <c r="A40" s="6"/>
      <c r="B40" s="216">
        <v>46204</v>
      </c>
      <c r="C40" s="216">
        <v>46204</v>
      </c>
      <c r="D40" s="403" t="s">
        <v>7023</v>
      </c>
      <c r="E40" s="297">
        <v>260103010763</v>
      </c>
      <c r="F40" s="403" t="s">
        <v>87</v>
      </c>
      <c r="G40" s="403" t="s">
        <v>7019</v>
      </c>
      <c r="H40" s="403" t="s">
        <v>2653</v>
      </c>
      <c r="I40" s="403">
        <v>400</v>
      </c>
      <c r="J40" s="374">
        <v>400</v>
      </c>
      <c r="K40" s="403">
        <v>78</v>
      </c>
      <c r="L40" s="217">
        <v>4800</v>
      </c>
      <c r="M40" s="403" t="s">
        <v>153</v>
      </c>
      <c r="N40" s="403" t="s">
        <v>149</v>
      </c>
      <c r="O40" s="403" t="s">
        <v>154</v>
      </c>
      <c r="P40" s="403" t="s">
        <v>151</v>
      </c>
      <c r="Q40" s="403" t="s">
        <v>156</v>
      </c>
      <c r="R40" s="403" t="s">
        <v>7024</v>
      </c>
      <c r="S40" s="403"/>
      <c r="T40" s="403" t="s">
        <v>2762</v>
      </c>
      <c r="U40" s="403" t="s">
        <v>152</v>
      </c>
      <c r="V40" s="403" t="s">
        <v>20</v>
      </c>
    </row>
    <row r="41" spans="1:22">
      <c r="A41" s="6"/>
      <c r="B41" s="216">
        <v>46204</v>
      </c>
      <c r="C41" s="216">
        <v>46204</v>
      </c>
      <c r="D41" s="403" t="s">
        <v>7025</v>
      </c>
      <c r="E41" s="297">
        <v>260101319055</v>
      </c>
      <c r="F41" s="403" t="s">
        <v>87</v>
      </c>
      <c r="G41" s="403" t="s">
        <v>7026</v>
      </c>
      <c r="H41" s="403" t="s">
        <v>7027</v>
      </c>
      <c r="I41" s="403">
        <v>571</v>
      </c>
      <c r="J41" s="374">
        <v>571</v>
      </c>
      <c r="K41" s="403">
        <v>190</v>
      </c>
      <c r="L41" s="217">
        <v>990</v>
      </c>
      <c r="M41" s="403" t="s">
        <v>153</v>
      </c>
      <c r="N41" s="403" t="s">
        <v>149</v>
      </c>
      <c r="O41" s="403" t="s">
        <v>154</v>
      </c>
      <c r="P41" s="403" t="s">
        <v>151</v>
      </c>
      <c r="Q41" s="403" t="s">
        <v>156</v>
      </c>
      <c r="R41" s="403" t="s">
        <v>7028</v>
      </c>
      <c r="S41" s="403"/>
      <c r="T41" s="403" t="s">
        <v>2762</v>
      </c>
      <c r="U41" s="403" t="s">
        <v>152</v>
      </c>
      <c r="V41" s="403" t="s">
        <v>20</v>
      </c>
    </row>
    <row r="42" spans="1:22">
      <c r="A42" s="6"/>
      <c r="B42" s="216">
        <v>46204</v>
      </c>
      <c r="C42" s="216">
        <v>46204</v>
      </c>
      <c r="D42" s="403" t="s">
        <v>7029</v>
      </c>
      <c r="E42" s="297" t="s">
        <v>7030</v>
      </c>
      <c r="F42" s="403" t="s">
        <v>87</v>
      </c>
      <c r="G42" s="403" t="s">
        <v>2517</v>
      </c>
      <c r="H42" s="403">
        <v>95</v>
      </c>
      <c r="I42" s="403">
        <v>316</v>
      </c>
      <c r="J42" s="374">
        <v>316</v>
      </c>
      <c r="K42" s="403">
        <v>125</v>
      </c>
      <c r="L42" s="217">
        <v>1354</v>
      </c>
      <c r="M42" s="403" t="s">
        <v>153</v>
      </c>
      <c r="N42" s="403" t="s">
        <v>149</v>
      </c>
      <c r="O42" s="403" t="s">
        <v>154</v>
      </c>
      <c r="P42" s="403" t="s">
        <v>151</v>
      </c>
      <c r="Q42" s="403" t="s">
        <v>155</v>
      </c>
      <c r="R42" s="403" t="s">
        <v>7031</v>
      </c>
      <c r="S42" s="403"/>
      <c r="T42" s="403" t="s">
        <v>2766</v>
      </c>
      <c r="U42" s="403" t="s">
        <v>152</v>
      </c>
      <c r="V42" s="403" t="s">
        <v>18</v>
      </c>
    </row>
    <row r="43" spans="1:22">
      <c r="A43" s="6"/>
      <c r="B43" s="216">
        <v>46204</v>
      </c>
      <c r="C43" s="216">
        <v>46204</v>
      </c>
      <c r="D43" s="403" t="s">
        <v>7032</v>
      </c>
      <c r="E43" s="297" t="s">
        <v>7033</v>
      </c>
      <c r="F43" s="403" t="s">
        <v>87</v>
      </c>
      <c r="G43" s="403" t="s">
        <v>2517</v>
      </c>
      <c r="H43" s="403">
        <v>95</v>
      </c>
      <c r="I43" s="403">
        <v>175</v>
      </c>
      <c r="J43" s="374">
        <v>175</v>
      </c>
      <c r="K43" s="403">
        <v>125</v>
      </c>
      <c r="L43" s="217">
        <v>766</v>
      </c>
      <c r="M43" s="403" t="s">
        <v>153</v>
      </c>
      <c r="N43" s="403" t="s">
        <v>149</v>
      </c>
      <c r="O43" s="403" t="s">
        <v>154</v>
      </c>
      <c r="P43" s="403" t="s">
        <v>151</v>
      </c>
      <c r="Q43" s="403" t="s">
        <v>155</v>
      </c>
      <c r="R43" s="403" t="s">
        <v>7034</v>
      </c>
      <c r="S43" s="403"/>
      <c r="T43" s="403" t="s">
        <v>2766</v>
      </c>
      <c r="U43" s="403" t="s">
        <v>152</v>
      </c>
      <c r="V43" s="403" t="s">
        <v>18</v>
      </c>
    </row>
    <row r="44" spans="1:22">
      <c r="A44" s="6"/>
      <c r="B44" s="216">
        <v>46204</v>
      </c>
      <c r="C44" s="216">
        <v>46204</v>
      </c>
      <c r="D44" s="403" t="s">
        <v>7035</v>
      </c>
      <c r="E44" s="297">
        <v>2913</v>
      </c>
      <c r="F44" s="403" t="s">
        <v>87</v>
      </c>
      <c r="G44" s="403" t="s">
        <v>7036</v>
      </c>
      <c r="H44" s="403" t="s">
        <v>2377</v>
      </c>
      <c r="I44" s="403">
        <v>362</v>
      </c>
      <c r="J44" s="374">
        <v>362</v>
      </c>
      <c r="K44" s="403">
        <v>107</v>
      </c>
      <c r="L44" s="217">
        <v>1850</v>
      </c>
      <c r="M44" s="403" t="s">
        <v>153</v>
      </c>
      <c r="N44" s="403" t="s">
        <v>149</v>
      </c>
      <c r="O44" s="403" t="s">
        <v>154</v>
      </c>
      <c r="P44" s="403" t="s">
        <v>151</v>
      </c>
      <c r="Q44" s="403" t="s">
        <v>156</v>
      </c>
      <c r="R44" s="403" t="s">
        <v>7037</v>
      </c>
      <c r="S44" s="403"/>
      <c r="T44" s="403" t="s">
        <v>2766</v>
      </c>
      <c r="U44" s="403" t="s">
        <v>152</v>
      </c>
      <c r="V44" s="403" t="s">
        <v>20</v>
      </c>
    </row>
    <row r="45" spans="1:22">
      <c r="A45" s="6"/>
      <c r="B45" s="216">
        <v>46205</v>
      </c>
      <c r="C45" s="216">
        <v>46205</v>
      </c>
      <c r="D45" s="403" t="s">
        <v>7038</v>
      </c>
      <c r="E45" s="297">
        <v>260102519265</v>
      </c>
      <c r="F45" s="403" t="s">
        <v>87</v>
      </c>
      <c r="G45" s="403" t="s">
        <v>2658</v>
      </c>
      <c r="H45" s="403">
        <v>95</v>
      </c>
      <c r="I45" s="403">
        <v>244</v>
      </c>
      <c r="J45" s="374">
        <v>244</v>
      </c>
      <c r="K45" s="403">
        <v>130</v>
      </c>
      <c r="L45" s="217">
        <v>1000</v>
      </c>
      <c r="M45" s="403" t="s">
        <v>153</v>
      </c>
      <c r="N45" s="403" t="s">
        <v>149</v>
      </c>
      <c r="O45" s="403" t="s">
        <v>154</v>
      </c>
      <c r="P45" s="403" t="s">
        <v>151</v>
      </c>
      <c r="Q45" s="403" t="s">
        <v>155</v>
      </c>
      <c r="R45" s="403" t="s">
        <v>7039</v>
      </c>
      <c r="S45" s="403"/>
      <c r="T45" s="403" t="s">
        <v>2768</v>
      </c>
      <c r="U45" s="403" t="s">
        <v>152</v>
      </c>
      <c r="V45" s="403" t="s">
        <v>18</v>
      </c>
    </row>
    <row r="46" spans="1:22">
      <c r="A46" s="6"/>
      <c r="B46" s="216">
        <v>46205</v>
      </c>
      <c r="C46" s="216">
        <v>46205</v>
      </c>
      <c r="D46" s="403" t="s">
        <v>7040</v>
      </c>
      <c r="E46" s="297">
        <v>260102619249</v>
      </c>
      <c r="F46" s="403" t="s">
        <v>87</v>
      </c>
      <c r="G46" s="403" t="s">
        <v>2658</v>
      </c>
      <c r="H46" s="403">
        <v>95</v>
      </c>
      <c r="I46" s="403">
        <v>249</v>
      </c>
      <c r="J46" s="374">
        <v>249</v>
      </c>
      <c r="K46" s="403">
        <v>130</v>
      </c>
      <c r="L46" s="217">
        <v>1000</v>
      </c>
      <c r="M46" s="403" t="s">
        <v>153</v>
      </c>
      <c r="N46" s="403" t="s">
        <v>149</v>
      </c>
      <c r="O46" s="403" t="s">
        <v>154</v>
      </c>
      <c r="P46" s="403" t="s">
        <v>151</v>
      </c>
      <c r="Q46" s="403" t="s">
        <v>155</v>
      </c>
      <c r="R46" s="403" t="s">
        <v>7041</v>
      </c>
      <c r="S46" s="403"/>
      <c r="T46" s="403" t="s">
        <v>2768</v>
      </c>
      <c r="U46" s="403" t="s">
        <v>152</v>
      </c>
      <c r="V46" s="403" t="s">
        <v>18</v>
      </c>
    </row>
    <row r="47" spans="1:22">
      <c r="A47" s="6"/>
      <c r="B47" s="216">
        <v>46205</v>
      </c>
      <c r="C47" s="216">
        <v>46205</v>
      </c>
      <c r="D47" s="403" t="s">
        <v>7042</v>
      </c>
      <c r="E47" s="297">
        <v>260102819261</v>
      </c>
      <c r="F47" s="403" t="s">
        <v>87</v>
      </c>
      <c r="G47" s="403" t="s">
        <v>2658</v>
      </c>
      <c r="H47" s="403">
        <v>105</v>
      </c>
      <c r="I47" s="403">
        <v>261</v>
      </c>
      <c r="J47" s="374">
        <v>261</v>
      </c>
      <c r="K47" s="403">
        <v>130</v>
      </c>
      <c r="L47" s="217">
        <v>1000</v>
      </c>
      <c r="M47" s="403" t="s">
        <v>153</v>
      </c>
      <c r="N47" s="403" t="s">
        <v>149</v>
      </c>
      <c r="O47" s="403" t="s">
        <v>154</v>
      </c>
      <c r="P47" s="403" t="s">
        <v>151</v>
      </c>
      <c r="Q47" s="403" t="s">
        <v>155</v>
      </c>
      <c r="R47" s="403" t="s">
        <v>7043</v>
      </c>
      <c r="S47" s="403"/>
      <c r="T47" s="403" t="s">
        <v>2768</v>
      </c>
      <c r="U47" s="403" t="s">
        <v>152</v>
      </c>
      <c r="V47" s="403" t="s">
        <v>18</v>
      </c>
    </row>
    <row r="48" spans="1:22">
      <c r="A48" s="6"/>
      <c r="B48" s="216">
        <v>46205</v>
      </c>
      <c r="C48" s="216">
        <v>46205</v>
      </c>
      <c r="D48" s="403" t="s">
        <v>7044</v>
      </c>
      <c r="E48" s="297">
        <v>260107619258</v>
      </c>
      <c r="F48" s="403" t="s">
        <v>87</v>
      </c>
      <c r="G48" s="403" t="s">
        <v>2652</v>
      </c>
      <c r="H48" s="403">
        <v>140</v>
      </c>
      <c r="I48" s="403">
        <v>268</v>
      </c>
      <c r="J48" s="374">
        <v>268</v>
      </c>
      <c r="K48" s="403">
        <v>88</v>
      </c>
      <c r="L48" s="217">
        <v>2250</v>
      </c>
      <c r="M48" s="403" t="s">
        <v>153</v>
      </c>
      <c r="N48" s="403" t="s">
        <v>149</v>
      </c>
      <c r="O48" s="403" t="s">
        <v>154</v>
      </c>
      <c r="P48" s="403" t="s">
        <v>151</v>
      </c>
      <c r="Q48" s="403" t="s">
        <v>155</v>
      </c>
      <c r="R48" s="403" t="s">
        <v>7045</v>
      </c>
      <c r="S48" s="403"/>
      <c r="T48" s="403" t="s">
        <v>2768</v>
      </c>
      <c r="U48" s="403" t="s">
        <v>152</v>
      </c>
      <c r="V48" s="403" t="s">
        <v>18</v>
      </c>
    </row>
    <row r="49" spans="1:22">
      <c r="A49" s="6"/>
      <c r="B49" s="216">
        <v>46205</v>
      </c>
      <c r="C49" s="216">
        <v>46205</v>
      </c>
      <c r="D49" s="403" t="s">
        <v>7046</v>
      </c>
      <c r="E49" s="297">
        <v>260101519260</v>
      </c>
      <c r="F49" s="403" t="s">
        <v>87</v>
      </c>
      <c r="G49" s="403" t="s">
        <v>2120</v>
      </c>
      <c r="H49" s="403">
        <v>92</v>
      </c>
      <c r="I49" s="403">
        <v>351</v>
      </c>
      <c r="J49" s="374">
        <v>351</v>
      </c>
      <c r="K49" s="403">
        <v>180</v>
      </c>
      <c r="L49" s="217">
        <v>1000</v>
      </c>
      <c r="M49" s="403" t="s">
        <v>153</v>
      </c>
      <c r="N49" s="403" t="s">
        <v>149</v>
      </c>
      <c r="O49" s="403" t="s">
        <v>154</v>
      </c>
      <c r="P49" s="403" t="s">
        <v>151</v>
      </c>
      <c r="Q49" s="403" t="s">
        <v>155</v>
      </c>
      <c r="R49" s="403" t="s">
        <v>7047</v>
      </c>
      <c r="S49" s="403"/>
      <c r="T49" s="403" t="s">
        <v>2768</v>
      </c>
      <c r="U49" s="403" t="s">
        <v>152</v>
      </c>
      <c r="V49" s="403" t="s">
        <v>18</v>
      </c>
    </row>
    <row r="50" spans="1:22">
      <c r="A50" s="6"/>
      <c r="B50" s="216">
        <v>46205</v>
      </c>
      <c r="C50" s="216">
        <v>46205</v>
      </c>
      <c r="D50" s="403" t="s">
        <v>7048</v>
      </c>
      <c r="E50" s="297">
        <v>260102619264</v>
      </c>
      <c r="F50" s="403" t="s">
        <v>87</v>
      </c>
      <c r="G50" s="403" t="s">
        <v>2658</v>
      </c>
      <c r="H50" s="403">
        <v>95</v>
      </c>
      <c r="I50" s="403">
        <v>246</v>
      </c>
      <c r="J50" s="374">
        <v>246</v>
      </c>
      <c r="K50" s="403">
        <v>130</v>
      </c>
      <c r="L50" s="217">
        <v>1000</v>
      </c>
      <c r="M50" s="403" t="s">
        <v>153</v>
      </c>
      <c r="N50" s="403" t="s">
        <v>149</v>
      </c>
      <c r="O50" s="403" t="s">
        <v>154</v>
      </c>
      <c r="P50" s="403" t="s">
        <v>151</v>
      </c>
      <c r="Q50" s="403" t="s">
        <v>155</v>
      </c>
      <c r="R50" s="403" t="s">
        <v>7049</v>
      </c>
      <c r="S50" s="403"/>
      <c r="T50" s="403" t="s">
        <v>2768</v>
      </c>
      <c r="U50" s="403" t="s">
        <v>152</v>
      </c>
      <c r="V50" s="403" t="s">
        <v>18</v>
      </c>
    </row>
    <row r="51" spans="1:22">
      <c r="A51" s="6"/>
      <c r="B51" s="216">
        <v>46205</v>
      </c>
      <c r="C51" s="216">
        <v>46205</v>
      </c>
      <c r="D51" s="403" t="s">
        <v>7050</v>
      </c>
      <c r="E51" s="297">
        <v>260101719266</v>
      </c>
      <c r="F51" s="403" t="s">
        <v>87</v>
      </c>
      <c r="G51" s="403" t="s">
        <v>2408</v>
      </c>
      <c r="H51" s="403">
        <v>95</v>
      </c>
      <c r="I51" s="403">
        <v>246</v>
      </c>
      <c r="J51" s="374">
        <v>246</v>
      </c>
      <c r="K51" s="403">
        <v>134</v>
      </c>
      <c r="L51" s="217">
        <v>1000</v>
      </c>
      <c r="M51" s="403" t="s">
        <v>153</v>
      </c>
      <c r="N51" s="403" t="s">
        <v>149</v>
      </c>
      <c r="O51" s="403" t="s">
        <v>154</v>
      </c>
      <c r="P51" s="403" t="s">
        <v>151</v>
      </c>
      <c r="Q51" s="403" t="s">
        <v>155</v>
      </c>
      <c r="R51" s="403" t="s">
        <v>7051</v>
      </c>
      <c r="S51" s="403"/>
      <c r="T51" s="403" t="s">
        <v>2768</v>
      </c>
      <c r="U51" s="403" t="s">
        <v>152</v>
      </c>
      <c r="V51" s="403" t="s">
        <v>18</v>
      </c>
    </row>
    <row r="52" spans="1:22">
      <c r="A52" s="6"/>
      <c r="B52" s="216">
        <v>46205</v>
      </c>
      <c r="C52" s="216">
        <v>46205</v>
      </c>
      <c r="D52" s="403" t="s">
        <v>7052</v>
      </c>
      <c r="E52" s="297">
        <v>260104019275</v>
      </c>
      <c r="F52" s="403" t="s">
        <v>87</v>
      </c>
      <c r="G52" s="403" t="s">
        <v>2563</v>
      </c>
      <c r="H52" s="403">
        <v>95</v>
      </c>
      <c r="I52" s="403">
        <v>304</v>
      </c>
      <c r="J52" s="374">
        <v>304</v>
      </c>
      <c r="K52" s="403">
        <v>134</v>
      </c>
      <c r="L52" s="217">
        <v>1230</v>
      </c>
      <c r="M52" s="403" t="s">
        <v>153</v>
      </c>
      <c r="N52" s="403" t="s">
        <v>149</v>
      </c>
      <c r="O52" s="403" t="s">
        <v>154</v>
      </c>
      <c r="P52" s="403" t="s">
        <v>151</v>
      </c>
      <c r="Q52" s="403" t="s">
        <v>155</v>
      </c>
      <c r="R52" s="403" t="s">
        <v>7053</v>
      </c>
      <c r="S52" s="403"/>
      <c r="T52" s="403" t="s">
        <v>2768</v>
      </c>
      <c r="U52" s="403" t="s">
        <v>152</v>
      </c>
      <c r="V52" s="403" t="s">
        <v>18</v>
      </c>
    </row>
    <row r="53" spans="1:22">
      <c r="A53" s="6"/>
      <c r="B53" s="216">
        <v>46205</v>
      </c>
      <c r="C53" s="216">
        <v>46205</v>
      </c>
      <c r="D53" s="403" t="s">
        <v>7054</v>
      </c>
      <c r="E53" s="297">
        <v>260105319285</v>
      </c>
      <c r="F53" s="403" t="s">
        <v>87</v>
      </c>
      <c r="G53" s="403" t="s">
        <v>2555</v>
      </c>
      <c r="H53" s="403">
        <v>152</v>
      </c>
      <c r="I53" s="403">
        <v>249</v>
      </c>
      <c r="J53" s="374">
        <v>249</v>
      </c>
      <c r="K53" s="403">
        <v>104</v>
      </c>
      <c r="L53" s="217">
        <v>1630</v>
      </c>
      <c r="M53" s="403" t="s">
        <v>153</v>
      </c>
      <c r="N53" s="403" t="s">
        <v>149</v>
      </c>
      <c r="O53" s="403" t="s">
        <v>154</v>
      </c>
      <c r="P53" s="403" t="s">
        <v>151</v>
      </c>
      <c r="Q53" s="403" t="s">
        <v>155</v>
      </c>
      <c r="R53" s="403" t="s">
        <v>7055</v>
      </c>
      <c r="S53" s="403"/>
      <c r="T53" s="403" t="s">
        <v>2768</v>
      </c>
      <c r="U53" s="403" t="s">
        <v>152</v>
      </c>
      <c r="V53" s="403" t="s">
        <v>18</v>
      </c>
    </row>
    <row r="54" spans="1:22">
      <c r="A54" s="6"/>
      <c r="B54" s="216">
        <v>46205</v>
      </c>
      <c r="C54" s="216">
        <v>46205</v>
      </c>
      <c r="D54" s="403" t="s">
        <v>7056</v>
      </c>
      <c r="E54" s="297">
        <v>260101819250</v>
      </c>
      <c r="F54" s="403" t="s">
        <v>87</v>
      </c>
      <c r="G54" s="403" t="s">
        <v>2408</v>
      </c>
      <c r="H54" s="403">
        <v>95</v>
      </c>
      <c r="I54" s="403">
        <v>243</v>
      </c>
      <c r="J54" s="374">
        <v>243</v>
      </c>
      <c r="K54" s="403">
        <v>134</v>
      </c>
      <c r="L54" s="217">
        <v>1000</v>
      </c>
      <c r="M54" s="403" t="s">
        <v>153</v>
      </c>
      <c r="N54" s="403" t="s">
        <v>149</v>
      </c>
      <c r="O54" s="403" t="s">
        <v>154</v>
      </c>
      <c r="P54" s="403" t="s">
        <v>151</v>
      </c>
      <c r="Q54" s="403" t="s">
        <v>155</v>
      </c>
      <c r="R54" s="403" t="s">
        <v>7057</v>
      </c>
      <c r="S54" s="403"/>
      <c r="T54" s="403" t="s">
        <v>2768</v>
      </c>
      <c r="U54" s="403" t="s">
        <v>152</v>
      </c>
      <c r="V54" s="403" t="s">
        <v>18</v>
      </c>
    </row>
    <row r="55" spans="1:22">
      <c r="A55" s="6"/>
      <c r="B55" s="216">
        <v>46205</v>
      </c>
      <c r="C55" s="216">
        <v>46205</v>
      </c>
      <c r="D55" s="403" t="s">
        <v>7058</v>
      </c>
      <c r="E55" s="297">
        <v>260103719276</v>
      </c>
      <c r="F55" s="403" t="s">
        <v>87</v>
      </c>
      <c r="G55" s="403" t="s">
        <v>2563</v>
      </c>
      <c r="H55" s="403">
        <v>95</v>
      </c>
      <c r="I55" s="403">
        <v>348</v>
      </c>
      <c r="J55" s="374">
        <v>348</v>
      </c>
      <c r="K55" s="403">
        <v>134</v>
      </c>
      <c r="L55" s="217">
        <v>1410</v>
      </c>
      <c r="M55" s="403" t="s">
        <v>153</v>
      </c>
      <c r="N55" s="403" t="s">
        <v>149</v>
      </c>
      <c r="O55" s="403" t="s">
        <v>154</v>
      </c>
      <c r="P55" s="403" t="s">
        <v>151</v>
      </c>
      <c r="Q55" s="403" t="s">
        <v>155</v>
      </c>
      <c r="R55" s="403" t="s">
        <v>7059</v>
      </c>
      <c r="S55" s="403"/>
      <c r="T55" s="403" t="s">
        <v>2768</v>
      </c>
      <c r="U55" s="403" t="s">
        <v>152</v>
      </c>
      <c r="V55" s="403" t="s">
        <v>18</v>
      </c>
    </row>
    <row r="56" spans="1:22">
      <c r="A56" s="6"/>
      <c r="B56" s="216">
        <v>46205</v>
      </c>
      <c r="C56" s="216">
        <v>46205</v>
      </c>
      <c r="D56" s="403" t="s">
        <v>7060</v>
      </c>
      <c r="E56" s="297">
        <v>260101919270</v>
      </c>
      <c r="F56" s="403" t="s">
        <v>87</v>
      </c>
      <c r="G56" s="403" t="s">
        <v>2563</v>
      </c>
      <c r="H56" s="403">
        <v>95</v>
      </c>
      <c r="I56" s="403">
        <v>272</v>
      </c>
      <c r="J56" s="374">
        <v>272</v>
      </c>
      <c r="K56" s="403">
        <v>134</v>
      </c>
      <c r="L56" s="217">
        <v>1100</v>
      </c>
      <c r="M56" s="403" t="s">
        <v>153</v>
      </c>
      <c r="N56" s="403" t="s">
        <v>149</v>
      </c>
      <c r="O56" s="403" t="s">
        <v>154</v>
      </c>
      <c r="P56" s="403" t="s">
        <v>151</v>
      </c>
      <c r="Q56" s="403" t="s">
        <v>155</v>
      </c>
      <c r="R56" s="403" t="s">
        <v>7061</v>
      </c>
      <c r="S56" s="403"/>
      <c r="T56" s="403" t="s">
        <v>2768</v>
      </c>
      <c r="U56" s="403" t="s">
        <v>152</v>
      </c>
      <c r="V56" s="403" t="s">
        <v>18</v>
      </c>
    </row>
    <row r="57" spans="1:22">
      <c r="A57" s="6"/>
      <c r="B57" s="216">
        <v>46205</v>
      </c>
      <c r="C57" s="216">
        <v>46205</v>
      </c>
      <c r="D57" s="403" t="s">
        <v>7062</v>
      </c>
      <c r="E57" s="297">
        <v>260102919273</v>
      </c>
      <c r="F57" s="403" t="s">
        <v>87</v>
      </c>
      <c r="G57" s="403" t="s">
        <v>859</v>
      </c>
      <c r="H57" s="403">
        <v>152</v>
      </c>
      <c r="I57" s="403">
        <v>313</v>
      </c>
      <c r="J57" s="374">
        <v>313</v>
      </c>
      <c r="K57" s="403">
        <v>104</v>
      </c>
      <c r="L57" s="217">
        <v>2060</v>
      </c>
      <c r="M57" s="403" t="s">
        <v>153</v>
      </c>
      <c r="N57" s="403" t="s">
        <v>149</v>
      </c>
      <c r="O57" s="403" t="s">
        <v>154</v>
      </c>
      <c r="P57" s="403" t="s">
        <v>151</v>
      </c>
      <c r="Q57" s="403" t="s">
        <v>155</v>
      </c>
      <c r="R57" s="403" t="s">
        <v>7063</v>
      </c>
      <c r="S57" s="403"/>
      <c r="T57" s="403" t="s">
        <v>2768</v>
      </c>
      <c r="U57" s="403" t="s">
        <v>152</v>
      </c>
      <c r="V57" s="403" t="s">
        <v>18</v>
      </c>
    </row>
    <row r="58" spans="1:22">
      <c r="A58" s="6"/>
      <c r="B58" s="216">
        <v>46205</v>
      </c>
      <c r="C58" s="216">
        <v>46205</v>
      </c>
      <c r="D58" s="403" t="s">
        <v>7064</v>
      </c>
      <c r="E58" s="297">
        <v>260104619279</v>
      </c>
      <c r="F58" s="403" t="s">
        <v>87</v>
      </c>
      <c r="G58" s="403" t="s">
        <v>859</v>
      </c>
      <c r="H58" s="403">
        <v>152</v>
      </c>
      <c r="I58" s="403">
        <v>278</v>
      </c>
      <c r="J58" s="374">
        <v>278</v>
      </c>
      <c r="K58" s="403">
        <v>104</v>
      </c>
      <c r="L58" s="217">
        <v>1810</v>
      </c>
      <c r="M58" s="403" t="s">
        <v>153</v>
      </c>
      <c r="N58" s="403" t="s">
        <v>149</v>
      </c>
      <c r="O58" s="403" t="s">
        <v>154</v>
      </c>
      <c r="P58" s="403" t="s">
        <v>151</v>
      </c>
      <c r="Q58" s="403" t="s">
        <v>155</v>
      </c>
      <c r="R58" s="403" t="s">
        <v>7065</v>
      </c>
      <c r="S58" s="403"/>
      <c r="T58" s="403" t="s">
        <v>2768</v>
      </c>
      <c r="U58" s="403" t="s">
        <v>152</v>
      </c>
      <c r="V58" s="403" t="s">
        <v>18</v>
      </c>
    </row>
    <row r="59" spans="1:22">
      <c r="A59" s="6"/>
      <c r="B59" s="216">
        <v>46205</v>
      </c>
      <c r="C59" s="216">
        <v>46205</v>
      </c>
      <c r="D59" s="403" t="s">
        <v>7066</v>
      </c>
      <c r="E59" s="297">
        <v>260102819248</v>
      </c>
      <c r="F59" s="403" t="s">
        <v>87</v>
      </c>
      <c r="G59" s="403" t="s">
        <v>2658</v>
      </c>
      <c r="H59" s="403">
        <v>105</v>
      </c>
      <c r="I59" s="403">
        <v>267</v>
      </c>
      <c r="J59" s="374">
        <v>267</v>
      </c>
      <c r="K59" s="403">
        <v>130</v>
      </c>
      <c r="L59" s="217">
        <v>1000</v>
      </c>
      <c r="M59" s="403" t="s">
        <v>153</v>
      </c>
      <c r="N59" s="403" t="s">
        <v>149</v>
      </c>
      <c r="O59" s="403" t="s">
        <v>154</v>
      </c>
      <c r="P59" s="403" t="s">
        <v>151</v>
      </c>
      <c r="Q59" s="403" t="s">
        <v>155</v>
      </c>
      <c r="R59" s="403" t="s">
        <v>7067</v>
      </c>
      <c r="S59" s="403"/>
      <c r="T59" s="403" t="s">
        <v>2768</v>
      </c>
      <c r="U59" s="403" t="s">
        <v>152</v>
      </c>
      <c r="V59" s="403" t="s">
        <v>18</v>
      </c>
    </row>
    <row r="60" spans="1:22">
      <c r="A60" s="6"/>
      <c r="B60" s="216">
        <v>46205</v>
      </c>
      <c r="C60" s="216">
        <v>46205</v>
      </c>
      <c r="D60" s="403" t="s">
        <v>7068</v>
      </c>
      <c r="E60" s="297">
        <v>260102019271</v>
      </c>
      <c r="F60" s="403" t="s">
        <v>87</v>
      </c>
      <c r="G60" s="403" t="s">
        <v>2563</v>
      </c>
      <c r="H60" s="403">
        <v>95</v>
      </c>
      <c r="I60" s="403">
        <v>244</v>
      </c>
      <c r="J60" s="374">
        <v>244</v>
      </c>
      <c r="K60" s="403">
        <v>134</v>
      </c>
      <c r="L60" s="217">
        <v>1000</v>
      </c>
      <c r="M60" s="403" t="s">
        <v>153</v>
      </c>
      <c r="N60" s="403" t="s">
        <v>149</v>
      </c>
      <c r="O60" s="403" t="s">
        <v>154</v>
      </c>
      <c r="P60" s="403" t="s">
        <v>151</v>
      </c>
      <c r="Q60" s="403" t="s">
        <v>155</v>
      </c>
      <c r="R60" s="403" t="s">
        <v>7069</v>
      </c>
      <c r="S60" s="403"/>
      <c r="T60" s="403" t="s">
        <v>2768</v>
      </c>
      <c r="U60" s="403" t="s">
        <v>152</v>
      </c>
      <c r="V60" s="403" t="s">
        <v>18</v>
      </c>
    </row>
    <row r="61" spans="1:22">
      <c r="A61" s="6"/>
      <c r="B61" s="216">
        <v>46205</v>
      </c>
      <c r="C61" s="216">
        <v>46205</v>
      </c>
      <c r="D61" s="403" t="s">
        <v>7070</v>
      </c>
      <c r="E61" s="297">
        <v>260107919286</v>
      </c>
      <c r="F61" s="403" t="s">
        <v>87</v>
      </c>
      <c r="G61" s="403" t="s">
        <v>2425</v>
      </c>
      <c r="H61" s="403">
        <v>132</v>
      </c>
      <c r="I61" s="403">
        <v>227</v>
      </c>
      <c r="J61" s="374">
        <v>227</v>
      </c>
      <c r="K61" s="403">
        <v>92</v>
      </c>
      <c r="L61" s="217">
        <v>1930</v>
      </c>
      <c r="M61" s="403" t="s">
        <v>153</v>
      </c>
      <c r="N61" s="403" t="s">
        <v>149</v>
      </c>
      <c r="O61" s="403" t="s">
        <v>154</v>
      </c>
      <c r="P61" s="403" t="s">
        <v>151</v>
      </c>
      <c r="Q61" s="403" t="s">
        <v>155</v>
      </c>
      <c r="R61" s="403" t="s">
        <v>7071</v>
      </c>
      <c r="S61" s="403"/>
      <c r="T61" s="403" t="s">
        <v>2768</v>
      </c>
      <c r="U61" s="403" t="s">
        <v>152</v>
      </c>
      <c r="V61" s="403" t="s">
        <v>18</v>
      </c>
    </row>
    <row r="62" spans="1:22">
      <c r="A62" s="6"/>
      <c r="B62" s="216">
        <v>46205</v>
      </c>
      <c r="C62" s="216">
        <v>46205</v>
      </c>
      <c r="D62" s="403" t="s">
        <v>7072</v>
      </c>
      <c r="E62" s="297">
        <v>260102019251</v>
      </c>
      <c r="F62" s="403" t="s">
        <v>87</v>
      </c>
      <c r="G62" s="403" t="s">
        <v>2563</v>
      </c>
      <c r="H62" s="403">
        <v>95</v>
      </c>
      <c r="I62" s="403">
        <v>241</v>
      </c>
      <c r="J62" s="374">
        <v>241</v>
      </c>
      <c r="K62" s="403">
        <v>134</v>
      </c>
      <c r="L62" s="217">
        <v>1000</v>
      </c>
      <c r="M62" s="403" t="s">
        <v>153</v>
      </c>
      <c r="N62" s="403" t="s">
        <v>149</v>
      </c>
      <c r="O62" s="403" t="s">
        <v>154</v>
      </c>
      <c r="P62" s="403" t="s">
        <v>151</v>
      </c>
      <c r="Q62" s="403" t="s">
        <v>155</v>
      </c>
      <c r="R62" s="403" t="s">
        <v>7073</v>
      </c>
      <c r="S62" s="403"/>
      <c r="T62" s="403" t="s">
        <v>2768</v>
      </c>
      <c r="U62" s="403" t="s">
        <v>152</v>
      </c>
      <c r="V62" s="403" t="s">
        <v>18</v>
      </c>
    </row>
    <row r="63" spans="1:22">
      <c r="A63" s="6"/>
      <c r="B63" s="216">
        <v>46205</v>
      </c>
      <c r="C63" s="216">
        <v>46205</v>
      </c>
      <c r="D63" s="403" t="s">
        <v>7074</v>
      </c>
      <c r="E63" s="297">
        <v>260102719262</v>
      </c>
      <c r="F63" s="403" t="s">
        <v>87</v>
      </c>
      <c r="G63" s="403" t="s">
        <v>2658</v>
      </c>
      <c r="H63" s="403">
        <v>105</v>
      </c>
      <c r="I63" s="403">
        <v>266</v>
      </c>
      <c r="J63" s="374">
        <v>266</v>
      </c>
      <c r="K63" s="403">
        <v>130</v>
      </c>
      <c r="L63" s="217">
        <v>1000</v>
      </c>
      <c r="M63" s="403" t="s">
        <v>153</v>
      </c>
      <c r="N63" s="403" t="s">
        <v>149</v>
      </c>
      <c r="O63" s="403" t="s">
        <v>154</v>
      </c>
      <c r="P63" s="403" t="s">
        <v>151</v>
      </c>
      <c r="Q63" s="403" t="s">
        <v>155</v>
      </c>
      <c r="R63" s="403" t="s">
        <v>7075</v>
      </c>
      <c r="S63" s="403"/>
      <c r="T63" s="403" t="s">
        <v>2768</v>
      </c>
      <c r="U63" s="403" t="s">
        <v>152</v>
      </c>
      <c r="V63" s="403" t="s">
        <v>18</v>
      </c>
    </row>
    <row r="64" spans="1:22">
      <c r="A64" s="6"/>
      <c r="B64" s="216">
        <v>46205</v>
      </c>
      <c r="C64" s="216">
        <v>46205</v>
      </c>
      <c r="D64" s="403" t="s">
        <v>7076</v>
      </c>
      <c r="E64" s="297">
        <v>260101619263</v>
      </c>
      <c r="F64" s="403" t="s">
        <v>87</v>
      </c>
      <c r="G64" s="403" t="s">
        <v>2120</v>
      </c>
      <c r="H64" s="403">
        <v>112</v>
      </c>
      <c r="I64" s="403">
        <v>463</v>
      </c>
      <c r="J64" s="374">
        <v>463</v>
      </c>
      <c r="K64" s="403">
        <v>180</v>
      </c>
      <c r="L64" s="217">
        <v>1160</v>
      </c>
      <c r="M64" s="403" t="s">
        <v>153</v>
      </c>
      <c r="N64" s="403" t="s">
        <v>149</v>
      </c>
      <c r="O64" s="403" t="s">
        <v>154</v>
      </c>
      <c r="P64" s="403" t="s">
        <v>151</v>
      </c>
      <c r="Q64" s="403" t="s">
        <v>155</v>
      </c>
      <c r="R64" s="403" t="s">
        <v>7077</v>
      </c>
      <c r="S64" s="403"/>
      <c r="T64" s="403" t="s">
        <v>2768</v>
      </c>
      <c r="U64" s="403" t="s">
        <v>152</v>
      </c>
      <c r="V64" s="403" t="s">
        <v>18</v>
      </c>
    </row>
    <row r="65" spans="1:22">
      <c r="A65" s="6"/>
      <c r="B65" s="216">
        <v>46205</v>
      </c>
      <c r="C65" s="216">
        <v>46205</v>
      </c>
      <c r="D65" s="403" t="s">
        <v>7078</v>
      </c>
      <c r="E65" s="297">
        <v>260101819268</v>
      </c>
      <c r="F65" s="403" t="s">
        <v>87</v>
      </c>
      <c r="G65" s="403" t="s">
        <v>2408</v>
      </c>
      <c r="H65" s="403">
        <v>95</v>
      </c>
      <c r="I65" s="403">
        <v>278</v>
      </c>
      <c r="J65" s="374">
        <v>278</v>
      </c>
      <c r="K65" s="403">
        <v>134</v>
      </c>
      <c r="L65" s="217">
        <v>1120</v>
      </c>
      <c r="M65" s="403" t="s">
        <v>153</v>
      </c>
      <c r="N65" s="403" t="s">
        <v>149</v>
      </c>
      <c r="O65" s="403" t="s">
        <v>154</v>
      </c>
      <c r="P65" s="403" t="s">
        <v>151</v>
      </c>
      <c r="Q65" s="403" t="s">
        <v>155</v>
      </c>
      <c r="R65" s="403" t="s">
        <v>7079</v>
      </c>
      <c r="S65" s="403"/>
      <c r="T65" s="403" t="s">
        <v>2768</v>
      </c>
      <c r="U65" s="403" t="s">
        <v>152</v>
      </c>
      <c r="V65" s="403" t="s">
        <v>18</v>
      </c>
    </row>
    <row r="66" spans="1:22">
      <c r="A66" s="6"/>
      <c r="B66" s="216">
        <v>46205</v>
      </c>
      <c r="C66" s="216">
        <v>46205</v>
      </c>
      <c r="D66" s="403" t="s">
        <v>7080</v>
      </c>
      <c r="E66" s="297">
        <v>260102919272</v>
      </c>
      <c r="F66" s="403" t="s">
        <v>87</v>
      </c>
      <c r="G66" s="403" t="s">
        <v>859</v>
      </c>
      <c r="H66" s="403">
        <v>152</v>
      </c>
      <c r="I66" s="403">
        <v>309</v>
      </c>
      <c r="J66" s="374">
        <v>309</v>
      </c>
      <c r="K66" s="403">
        <v>104</v>
      </c>
      <c r="L66" s="217">
        <v>2060</v>
      </c>
      <c r="M66" s="403" t="s">
        <v>153</v>
      </c>
      <c r="N66" s="403" t="s">
        <v>149</v>
      </c>
      <c r="O66" s="403" t="s">
        <v>154</v>
      </c>
      <c r="P66" s="403" t="s">
        <v>151</v>
      </c>
      <c r="Q66" s="403" t="s">
        <v>155</v>
      </c>
      <c r="R66" s="403" t="s">
        <v>7081</v>
      </c>
      <c r="S66" s="403"/>
      <c r="T66" s="403" t="s">
        <v>2768</v>
      </c>
      <c r="U66" s="403" t="s">
        <v>152</v>
      </c>
      <c r="V66" s="403" t="s">
        <v>18</v>
      </c>
    </row>
    <row r="67" spans="1:22">
      <c r="A67" s="6"/>
      <c r="B67" s="216">
        <v>46205</v>
      </c>
      <c r="C67" s="216">
        <v>46205</v>
      </c>
      <c r="D67" s="403" t="s">
        <v>7082</v>
      </c>
      <c r="E67" s="297">
        <v>260100419274</v>
      </c>
      <c r="F67" s="403" t="s">
        <v>87</v>
      </c>
      <c r="G67" s="403" t="s">
        <v>2657</v>
      </c>
      <c r="H67" s="403">
        <v>122</v>
      </c>
      <c r="I67" s="403">
        <v>235</v>
      </c>
      <c r="J67" s="374">
        <v>235</v>
      </c>
      <c r="K67" s="403">
        <v>190</v>
      </c>
      <c r="L67" s="217">
        <v>530</v>
      </c>
      <c r="M67" s="403" t="s">
        <v>153</v>
      </c>
      <c r="N67" s="403" t="s">
        <v>149</v>
      </c>
      <c r="O67" s="403" t="s">
        <v>154</v>
      </c>
      <c r="P67" s="403" t="s">
        <v>151</v>
      </c>
      <c r="Q67" s="403" t="s">
        <v>155</v>
      </c>
      <c r="R67" s="403" t="s">
        <v>7083</v>
      </c>
      <c r="S67" s="403"/>
      <c r="T67" s="403" t="s">
        <v>2768</v>
      </c>
      <c r="U67" s="403" t="s">
        <v>152</v>
      </c>
      <c r="V67" s="403" t="s">
        <v>18</v>
      </c>
    </row>
    <row r="68" spans="1:22">
      <c r="A68" s="6"/>
      <c r="B68" s="216">
        <v>46205</v>
      </c>
      <c r="C68" s="216">
        <v>46205</v>
      </c>
      <c r="D68" s="403" t="s">
        <v>7084</v>
      </c>
      <c r="E68" s="297">
        <v>260106119277</v>
      </c>
      <c r="F68" s="403" t="s">
        <v>87</v>
      </c>
      <c r="G68" s="403" t="s">
        <v>2310</v>
      </c>
      <c r="H68" s="403">
        <v>132</v>
      </c>
      <c r="I68" s="403">
        <v>190</v>
      </c>
      <c r="J68" s="374">
        <v>190</v>
      </c>
      <c r="K68" s="403">
        <v>87</v>
      </c>
      <c r="L68" s="217">
        <v>1610</v>
      </c>
      <c r="M68" s="403" t="s">
        <v>153</v>
      </c>
      <c r="N68" s="403" t="s">
        <v>149</v>
      </c>
      <c r="O68" s="403" t="s">
        <v>154</v>
      </c>
      <c r="P68" s="403" t="s">
        <v>151</v>
      </c>
      <c r="Q68" s="403" t="s">
        <v>155</v>
      </c>
      <c r="R68" s="403" t="s">
        <v>7085</v>
      </c>
      <c r="S68" s="403"/>
      <c r="T68" s="403" t="s">
        <v>2768</v>
      </c>
      <c r="U68" s="403" t="s">
        <v>152</v>
      </c>
      <c r="V68" s="403" t="s">
        <v>18</v>
      </c>
    </row>
    <row r="69" spans="1:22">
      <c r="A69" s="6"/>
      <c r="B69" s="216">
        <v>46205</v>
      </c>
      <c r="C69" s="216">
        <v>46205</v>
      </c>
      <c r="D69" s="403" t="s">
        <v>7086</v>
      </c>
      <c r="E69" s="297">
        <v>260102419267</v>
      </c>
      <c r="F69" s="403" t="s">
        <v>87</v>
      </c>
      <c r="G69" s="403" t="s">
        <v>2554</v>
      </c>
      <c r="H69" s="403">
        <v>102</v>
      </c>
      <c r="I69" s="403">
        <v>244</v>
      </c>
      <c r="J69" s="374">
        <v>244</v>
      </c>
      <c r="K69" s="403">
        <v>125</v>
      </c>
      <c r="L69" s="217">
        <v>1000</v>
      </c>
      <c r="M69" s="403" t="s">
        <v>153</v>
      </c>
      <c r="N69" s="403" t="s">
        <v>149</v>
      </c>
      <c r="O69" s="403" t="s">
        <v>154</v>
      </c>
      <c r="P69" s="403" t="s">
        <v>151</v>
      </c>
      <c r="Q69" s="403" t="s">
        <v>155</v>
      </c>
      <c r="R69" s="403" t="s">
        <v>7087</v>
      </c>
      <c r="S69" s="403"/>
      <c r="T69" s="403" t="s">
        <v>2768</v>
      </c>
      <c r="U69" s="403" t="s">
        <v>152</v>
      </c>
      <c r="V69" s="403" t="s">
        <v>18</v>
      </c>
    </row>
    <row r="70" spans="1:22">
      <c r="A70" s="6"/>
      <c r="B70" s="216">
        <v>46205</v>
      </c>
      <c r="C70" s="216">
        <v>46205</v>
      </c>
      <c r="D70" s="403" t="s">
        <v>7088</v>
      </c>
      <c r="E70" s="297" t="s">
        <v>7089</v>
      </c>
      <c r="F70" s="403" t="s">
        <v>87</v>
      </c>
      <c r="G70" s="403" t="s">
        <v>7019</v>
      </c>
      <c r="H70" s="403" t="s">
        <v>2655</v>
      </c>
      <c r="I70" s="403">
        <v>320</v>
      </c>
      <c r="J70" s="374">
        <v>320</v>
      </c>
      <c r="K70" s="403">
        <v>78</v>
      </c>
      <c r="L70" s="217">
        <v>5040</v>
      </c>
      <c r="M70" s="403" t="s">
        <v>153</v>
      </c>
      <c r="N70" s="403" t="s">
        <v>149</v>
      </c>
      <c r="O70" s="403" t="s">
        <v>154</v>
      </c>
      <c r="P70" s="403" t="s">
        <v>151</v>
      </c>
      <c r="Q70" s="403" t="s">
        <v>156</v>
      </c>
      <c r="R70" s="403" t="s">
        <v>7090</v>
      </c>
      <c r="S70" s="403"/>
      <c r="T70" s="403" t="s">
        <v>2768</v>
      </c>
      <c r="U70" s="403" t="s">
        <v>152</v>
      </c>
      <c r="V70" s="403" t="s">
        <v>20</v>
      </c>
    </row>
    <row r="71" spans="1:22">
      <c r="A71" s="6"/>
      <c r="B71" s="216">
        <v>46205</v>
      </c>
      <c r="C71" s="216">
        <v>46205</v>
      </c>
      <c r="D71" s="403" t="s">
        <v>7091</v>
      </c>
      <c r="E71" s="297" t="s">
        <v>7092</v>
      </c>
      <c r="F71" s="403" t="s">
        <v>87</v>
      </c>
      <c r="G71" s="403" t="s">
        <v>2651</v>
      </c>
      <c r="H71" s="403" t="s">
        <v>2253</v>
      </c>
      <c r="I71" s="403">
        <v>166</v>
      </c>
      <c r="J71" s="374">
        <v>166</v>
      </c>
      <c r="K71" s="403">
        <v>55</v>
      </c>
      <c r="L71" s="217">
        <v>4075</v>
      </c>
      <c r="M71" s="403" t="s">
        <v>153</v>
      </c>
      <c r="N71" s="403" t="s">
        <v>149</v>
      </c>
      <c r="O71" s="403" t="s">
        <v>154</v>
      </c>
      <c r="P71" s="403" t="s">
        <v>151</v>
      </c>
      <c r="Q71" s="403" t="s">
        <v>156</v>
      </c>
      <c r="R71" s="403" t="s">
        <v>7093</v>
      </c>
      <c r="S71" s="403"/>
      <c r="T71" s="403" t="s">
        <v>2768</v>
      </c>
      <c r="U71" s="403" t="s">
        <v>152</v>
      </c>
      <c r="V71" s="403" t="s">
        <v>20</v>
      </c>
    </row>
    <row r="72" spans="1:22">
      <c r="A72" s="6"/>
      <c r="B72" s="216">
        <v>46205</v>
      </c>
      <c r="C72" s="216">
        <v>46205</v>
      </c>
      <c r="D72" s="403" t="s">
        <v>7094</v>
      </c>
      <c r="E72" s="297" t="s">
        <v>7092</v>
      </c>
      <c r="F72" s="403" t="s">
        <v>87</v>
      </c>
      <c r="G72" s="403" t="s">
        <v>2651</v>
      </c>
      <c r="H72" s="403" t="s">
        <v>2253</v>
      </c>
      <c r="I72" s="403">
        <v>175</v>
      </c>
      <c r="J72" s="374">
        <v>175</v>
      </c>
      <c r="K72" s="403">
        <v>55</v>
      </c>
      <c r="L72" s="217">
        <v>4075</v>
      </c>
      <c r="M72" s="403" t="s">
        <v>153</v>
      </c>
      <c r="N72" s="403" t="s">
        <v>149</v>
      </c>
      <c r="O72" s="403" t="s">
        <v>154</v>
      </c>
      <c r="P72" s="403" t="s">
        <v>151</v>
      </c>
      <c r="Q72" s="403" t="s">
        <v>156</v>
      </c>
      <c r="R72" s="403" t="s">
        <v>7095</v>
      </c>
      <c r="S72" s="403"/>
      <c r="T72" s="403" t="s">
        <v>2768</v>
      </c>
      <c r="U72" s="403" t="s">
        <v>152</v>
      </c>
      <c r="V72" s="403" t="s">
        <v>20</v>
      </c>
    </row>
    <row r="73" spans="1:22">
      <c r="A73" s="6"/>
      <c r="B73" s="216">
        <v>46205</v>
      </c>
      <c r="C73" s="216">
        <v>46205</v>
      </c>
      <c r="D73" s="403" t="s">
        <v>7096</v>
      </c>
      <c r="E73" s="297">
        <v>260101319230</v>
      </c>
      <c r="F73" s="403" t="s">
        <v>87</v>
      </c>
      <c r="G73" s="403" t="s">
        <v>7026</v>
      </c>
      <c r="H73" s="403" t="s">
        <v>7027</v>
      </c>
      <c r="I73" s="403">
        <v>598</v>
      </c>
      <c r="J73" s="374">
        <v>598</v>
      </c>
      <c r="K73" s="403">
        <v>190</v>
      </c>
      <c r="L73" s="217">
        <v>1020</v>
      </c>
      <c r="M73" s="403" t="s">
        <v>153</v>
      </c>
      <c r="N73" s="403" t="s">
        <v>149</v>
      </c>
      <c r="O73" s="403" t="s">
        <v>154</v>
      </c>
      <c r="P73" s="403" t="s">
        <v>151</v>
      </c>
      <c r="Q73" s="403" t="s">
        <v>156</v>
      </c>
      <c r="R73" s="403" t="s">
        <v>7097</v>
      </c>
      <c r="S73" s="403"/>
      <c r="T73" s="403" t="s">
        <v>2768</v>
      </c>
      <c r="U73" s="403" t="s">
        <v>152</v>
      </c>
      <c r="V73" s="403" t="s">
        <v>20</v>
      </c>
    </row>
    <row r="74" spans="1:22">
      <c r="A74" s="6"/>
      <c r="B74" s="216">
        <v>46205</v>
      </c>
      <c r="C74" s="216">
        <v>46205</v>
      </c>
      <c r="D74" s="403" t="s">
        <v>7098</v>
      </c>
      <c r="E74" s="297">
        <v>260101319130</v>
      </c>
      <c r="F74" s="403" t="s">
        <v>87</v>
      </c>
      <c r="G74" s="403" t="s">
        <v>7026</v>
      </c>
      <c r="H74" s="403" t="s">
        <v>7027</v>
      </c>
      <c r="I74" s="403">
        <v>670</v>
      </c>
      <c r="J74" s="374">
        <v>670</v>
      </c>
      <c r="K74" s="403">
        <v>190</v>
      </c>
      <c r="L74" s="217">
        <v>1125</v>
      </c>
      <c r="M74" s="403" t="s">
        <v>153</v>
      </c>
      <c r="N74" s="403" t="s">
        <v>149</v>
      </c>
      <c r="O74" s="403" t="s">
        <v>154</v>
      </c>
      <c r="P74" s="403" t="s">
        <v>151</v>
      </c>
      <c r="Q74" s="403" t="s">
        <v>156</v>
      </c>
      <c r="R74" s="403" t="s">
        <v>7099</v>
      </c>
      <c r="S74" s="403"/>
      <c r="T74" s="403" t="s">
        <v>2768</v>
      </c>
      <c r="U74" s="403" t="s">
        <v>152</v>
      </c>
      <c r="V74" s="403" t="s">
        <v>20</v>
      </c>
    </row>
    <row r="75" spans="1:22">
      <c r="A75" s="6"/>
      <c r="B75" s="216">
        <v>46205</v>
      </c>
      <c r="C75" s="216">
        <v>46205</v>
      </c>
      <c r="D75" s="403" t="s">
        <v>7100</v>
      </c>
      <c r="E75" s="297">
        <v>260104916294</v>
      </c>
      <c r="F75" s="403" t="s">
        <v>87</v>
      </c>
      <c r="G75" s="403" t="s">
        <v>7101</v>
      </c>
      <c r="H75" s="403" t="s">
        <v>2377</v>
      </c>
      <c r="I75" s="403">
        <v>215</v>
      </c>
      <c r="J75" s="374">
        <v>215</v>
      </c>
      <c r="K75" s="403">
        <v>110</v>
      </c>
      <c r="L75" s="217">
        <v>1050</v>
      </c>
      <c r="M75" s="403" t="s">
        <v>153</v>
      </c>
      <c r="N75" s="403" t="s">
        <v>149</v>
      </c>
      <c r="O75" s="403" t="s">
        <v>154</v>
      </c>
      <c r="P75" s="403" t="s">
        <v>151</v>
      </c>
      <c r="Q75" s="403" t="s">
        <v>156</v>
      </c>
      <c r="R75" s="403" t="s">
        <v>7102</v>
      </c>
      <c r="S75" s="403"/>
      <c r="T75" s="403" t="s">
        <v>2768</v>
      </c>
      <c r="U75" s="403" t="s">
        <v>152</v>
      </c>
      <c r="V75" s="403" t="s">
        <v>20</v>
      </c>
    </row>
    <row r="76" spans="1:22">
      <c r="A76" s="6"/>
      <c r="B76" s="216">
        <v>46206</v>
      </c>
      <c r="C76" s="216">
        <v>46206</v>
      </c>
      <c r="D76" s="403" t="s">
        <v>7103</v>
      </c>
      <c r="E76" s="297">
        <v>260101519314</v>
      </c>
      <c r="F76" s="403" t="s">
        <v>87</v>
      </c>
      <c r="G76" s="403" t="s">
        <v>2120</v>
      </c>
      <c r="H76" s="403">
        <v>92</v>
      </c>
      <c r="I76" s="403">
        <v>345</v>
      </c>
      <c r="J76" s="374">
        <v>345</v>
      </c>
      <c r="K76" s="403">
        <v>180</v>
      </c>
      <c r="L76" s="217">
        <v>1000</v>
      </c>
      <c r="M76" s="403" t="s">
        <v>153</v>
      </c>
      <c r="N76" s="403" t="s">
        <v>149</v>
      </c>
      <c r="O76" s="403" t="s">
        <v>154</v>
      </c>
      <c r="P76" s="403" t="s">
        <v>151</v>
      </c>
      <c r="Q76" s="403" t="s">
        <v>155</v>
      </c>
      <c r="R76" s="403" t="s">
        <v>7104</v>
      </c>
      <c r="S76" s="403"/>
      <c r="T76" s="403" t="s">
        <v>2789</v>
      </c>
      <c r="U76" s="403" t="s">
        <v>152</v>
      </c>
      <c r="V76" s="403" t="s">
        <v>18</v>
      </c>
    </row>
    <row r="77" spans="1:22">
      <c r="A77" s="6"/>
      <c r="B77" s="216">
        <v>46206</v>
      </c>
      <c r="C77" s="216">
        <v>46206</v>
      </c>
      <c r="D77" s="403" t="s">
        <v>7105</v>
      </c>
      <c r="E77" s="297">
        <v>260102919324</v>
      </c>
      <c r="F77" s="403" t="s">
        <v>87</v>
      </c>
      <c r="G77" s="403" t="s">
        <v>859</v>
      </c>
      <c r="H77" s="403">
        <v>152</v>
      </c>
      <c r="I77" s="403">
        <v>286</v>
      </c>
      <c r="J77" s="374">
        <v>286</v>
      </c>
      <c r="K77" s="403">
        <v>104</v>
      </c>
      <c r="L77" s="217">
        <v>1880</v>
      </c>
      <c r="M77" s="403" t="s">
        <v>153</v>
      </c>
      <c r="N77" s="403" t="s">
        <v>149</v>
      </c>
      <c r="O77" s="403" t="s">
        <v>154</v>
      </c>
      <c r="P77" s="403" t="s">
        <v>151</v>
      </c>
      <c r="Q77" s="403" t="s">
        <v>155</v>
      </c>
      <c r="R77" s="403" t="s">
        <v>7106</v>
      </c>
      <c r="S77" s="403"/>
      <c r="T77" s="403" t="s">
        <v>2789</v>
      </c>
      <c r="U77" s="403" t="s">
        <v>152</v>
      </c>
      <c r="V77" s="403" t="s">
        <v>18</v>
      </c>
    </row>
    <row r="78" spans="1:22">
      <c r="A78" s="6"/>
      <c r="B78" s="216">
        <v>46206</v>
      </c>
      <c r="C78" s="216">
        <v>46206</v>
      </c>
      <c r="D78" s="403" t="s">
        <v>7107</v>
      </c>
      <c r="E78" s="403">
        <v>260102719337</v>
      </c>
      <c r="F78" s="403" t="s">
        <v>87</v>
      </c>
      <c r="G78" s="403" t="s">
        <v>2658</v>
      </c>
      <c r="H78" s="403">
        <v>105</v>
      </c>
      <c r="I78" s="403">
        <v>273</v>
      </c>
      <c r="J78" s="374">
        <v>273</v>
      </c>
      <c r="K78" s="403">
        <v>130</v>
      </c>
      <c r="L78" s="217">
        <v>1030</v>
      </c>
      <c r="M78" s="403" t="s">
        <v>153</v>
      </c>
      <c r="N78" s="403" t="s">
        <v>149</v>
      </c>
      <c r="O78" s="403" t="s">
        <v>154</v>
      </c>
      <c r="P78" s="403" t="s">
        <v>151</v>
      </c>
      <c r="Q78" s="403" t="s">
        <v>155</v>
      </c>
      <c r="R78" s="403" t="s">
        <v>7108</v>
      </c>
      <c r="S78" s="403"/>
      <c r="T78" s="403" t="s">
        <v>2789</v>
      </c>
      <c r="U78" s="403" t="s">
        <v>152</v>
      </c>
      <c r="V78" s="403" t="s">
        <v>18</v>
      </c>
    </row>
    <row r="79" spans="1:22">
      <c r="A79" s="6"/>
      <c r="B79" s="216">
        <v>46206</v>
      </c>
      <c r="C79" s="216">
        <v>46206</v>
      </c>
      <c r="D79" s="403" t="s">
        <v>7109</v>
      </c>
      <c r="E79" s="403">
        <v>260102419317</v>
      </c>
      <c r="F79" s="403" t="s">
        <v>87</v>
      </c>
      <c r="G79" s="403" t="s">
        <v>2554</v>
      </c>
      <c r="H79" s="403">
        <v>102</v>
      </c>
      <c r="I79" s="403">
        <v>241</v>
      </c>
      <c r="J79" s="374">
        <v>241</v>
      </c>
      <c r="K79" s="403">
        <v>125</v>
      </c>
      <c r="L79" s="217">
        <v>1000</v>
      </c>
      <c r="M79" s="403" t="s">
        <v>153</v>
      </c>
      <c r="N79" s="403" t="s">
        <v>149</v>
      </c>
      <c r="O79" s="403" t="s">
        <v>154</v>
      </c>
      <c r="P79" s="403" t="s">
        <v>151</v>
      </c>
      <c r="Q79" s="403" t="s">
        <v>155</v>
      </c>
      <c r="R79" s="403" t="s">
        <v>7110</v>
      </c>
      <c r="S79" s="403"/>
      <c r="T79" s="403" t="s">
        <v>2789</v>
      </c>
      <c r="U79" s="403" t="s">
        <v>152</v>
      </c>
      <c r="V79" s="403" t="s">
        <v>18</v>
      </c>
    </row>
    <row r="80" spans="1:22">
      <c r="A80" s="6"/>
      <c r="B80" s="216">
        <v>46206</v>
      </c>
      <c r="C80" s="216">
        <v>46206</v>
      </c>
      <c r="D80" s="403" t="s">
        <v>7111</v>
      </c>
      <c r="E80" s="403">
        <v>260102519340</v>
      </c>
      <c r="F80" s="403" t="s">
        <v>87</v>
      </c>
      <c r="G80" s="403" t="s">
        <v>2658</v>
      </c>
      <c r="H80" s="403">
        <v>95</v>
      </c>
      <c r="I80" s="403">
        <v>239</v>
      </c>
      <c r="J80" s="374">
        <v>239</v>
      </c>
      <c r="K80" s="403">
        <v>130</v>
      </c>
      <c r="L80" s="217">
        <v>1000</v>
      </c>
      <c r="M80" s="403" t="s">
        <v>153</v>
      </c>
      <c r="N80" s="403" t="s">
        <v>149</v>
      </c>
      <c r="O80" s="403" t="s">
        <v>154</v>
      </c>
      <c r="P80" s="403" t="s">
        <v>151</v>
      </c>
      <c r="Q80" s="403" t="s">
        <v>155</v>
      </c>
      <c r="R80" s="403" t="s">
        <v>7112</v>
      </c>
      <c r="S80" s="403"/>
      <c r="T80" s="403" t="s">
        <v>2789</v>
      </c>
      <c r="U80" s="403" t="s">
        <v>152</v>
      </c>
      <c r="V80" s="403" t="s">
        <v>18</v>
      </c>
    </row>
    <row r="81" spans="1:22">
      <c r="A81" s="6"/>
      <c r="B81" s="216">
        <v>46206</v>
      </c>
      <c r="C81" s="216">
        <v>46206</v>
      </c>
      <c r="D81" s="403" t="s">
        <v>7113</v>
      </c>
      <c r="E81" s="403">
        <v>260101919345</v>
      </c>
      <c r="F81" s="403" t="s">
        <v>87</v>
      </c>
      <c r="G81" s="403" t="s">
        <v>2563</v>
      </c>
      <c r="H81" s="403">
        <v>95</v>
      </c>
      <c r="I81" s="403">
        <v>241</v>
      </c>
      <c r="J81" s="374">
        <v>241</v>
      </c>
      <c r="K81" s="403">
        <v>134</v>
      </c>
      <c r="L81" s="217">
        <v>1000</v>
      </c>
      <c r="M81" s="403" t="s">
        <v>153</v>
      </c>
      <c r="N81" s="403" t="s">
        <v>149</v>
      </c>
      <c r="O81" s="403" t="s">
        <v>154</v>
      </c>
      <c r="P81" s="403" t="s">
        <v>151</v>
      </c>
      <c r="Q81" s="403" t="s">
        <v>155</v>
      </c>
      <c r="R81" s="403" t="s">
        <v>7114</v>
      </c>
      <c r="S81" s="403"/>
      <c r="T81" s="403" t="s">
        <v>2789</v>
      </c>
      <c r="U81" s="403" t="s">
        <v>152</v>
      </c>
      <c r="V81" s="403" t="s">
        <v>18</v>
      </c>
    </row>
    <row r="82" spans="1:22">
      <c r="A82" s="6"/>
      <c r="B82" s="216">
        <v>46206</v>
      </c>
      <c r="C82" s="216">
        <v>46206</v>
      </c>
      <c r="D82" s="403" t="s">
        <v>7115</v>
      </c>
      <c r="E82" s="403">
        <v>260104019325</v>
      </c>
      <c r="F82" s="403" t="s">
        <v>87</v>
      </c>
      <c r="G82" s="403" t="s">
        <v>2563</v>
      </c>
      <c r="H82" s="403">
        <v>95</v>
      </c>
      <c r="I82" s="403">
        <v>334</v>
      </c>
      <c r="J82" s="374">
        <v>334</v>
      </c>
      <c r="K82" s="403">
        <v>134</v>
      </c>
      <c r="L82" s="217">
        <v>1265</v>
      </c>
      <c r="M82" s="403" t="s">
        <v>153</v>
      </c>
      <c r="N82" s="403" t="s">
        <v>149</v>
      </c>
      <c r="O82" s="403" t="s">
        <v>154</v>
      </c>
      <c r="P82" s="403" t="s">
        <v>151</v>
      </c>
      <c r="Q82" s="403" t="s">
        <v>155</v>
      </c>
      <c r="R82" s="403" t="s">
        <v>7116</v>
      </c>
      <c r="S82" s="403"/>
      <c r="T82" s="403" t="s">
        <v>2789</v>
      </c>
      <c r="U82" s="403" t="s">
        <v>152</v>
      </c>
      <c r="V82" s="403" t="s">
        <v>18</v>
      </c>
    </row>
    <row r="83" spans="1:22">
      <c r="A83" s="6"/>
      <c r="B83" s="216">
        <v>46206</v>
      </c>
      <c r="C83" s="216">
        <v>46206</v>
      </c>
      <c r="D83" s="403" t="s">
        <v>7117</v>
      </c>
      <c r="E83" s="403">
        <v>260101819344</v>
      </c>
      <c r="F83" s="403" t="s">
        <v>87</v>
      </c>
      <c r="G83" s="403" t="s">
        <v>2408</v>
      </c>
      <c r="H83" s="403">
        <v>95</v>
      </c>
      <c r="I83" s="403">
        <v>258</v>
      </c>
      <c r="J83" s="374">
        <v>258</v>
      </c>
      <c r="K83" s="403">
        <v>134</v>
      </c>
      <c r="L83" s="217">
        <v>1035</v>
      </c>
      <c r="M83" s="403" t="s">
        <v>153</v>
      </c>
      <c r="N83" s="403" t="s">
        <v>149</v>
      </c>
      <c r="O83" s="403" t="s">
        <v>154</v>
      </c>
      <c r="P83" s="403" t="s">
        <v>151</v>
      </c>
      <c r="Q83" s="403" t="s">
        <v>155</v>
      </c>
      <c r="R83" s="403" t="s">
        <v>7118</v>
      </c>
      <c r="S83" s="403"/>
      <c r="T83" s="403" t="s">
        <v>2789</v>
      </c>
      <c r="U83" s="403" t="s">
        <v>152</v>
      </c>
      <c r="V83" s="403" t="s">
        <v>18</v>
      </c>
    </row>
    <row r="84" spans="1:22">
      <c r="A84" s="6"/>
      <c r="B84" s="216">
        <v>46206</v>
      </c>
      <c r="C84" s="216">
        <v>46206</v>
      </c>
      <c r="D84" s="403" t="s">
        <v>7119</v>
      </c>
      <c r="E84" s="403">
        <v>260107019347</v>
      </c>
      <c r="F84" s="403" t="s">
        <v>87</v>
      </c>
      <c r="G84" s="403" t="s">
        <v>2652</v>
      </c>
      <c r="H84" s="403">
        <v>140</v>
      </c>
      <c r="I84" s="403">
        <v>265</v>
      </c>
      <c r="J84" s="374">
        <v>265</v>
      </c>
      <c r="K84" s="403">
        <v>88</v>
      </c>
      <c r="L84" s="217">
        <v>2190</v>
      </c>
      <c r="M84" s="403" t="s">
        <v>153</v>
      </c>
      <c r="N84" s="403" t="s">
        <v>149</v>
      </c>
      <c r="O84" s="403" t="s">
        <v>154</v>
      </c>
      <c r="P84" s="403" t="s">
        <v>151</v>
      </c>
      <c r="Q84" s="403" t="s">
        <v>155</v>
      </c>
      <c r="R84" s="403" t="s">
        <v>7120</v>
      </c>
      <c r="S84" s="403"/>
      <c r="T84" s="403" t="s">
        <v>2789</v>
      </c>
      <c r="U84" s="403" t="s">
        <v>152</v>
      </c>
      <c r="V84" s="403" t="s">
        <v>18</v>
      </c>
    </row>
    <row r="85" spans="1:22">
      <c r="A85" s="6"/>
      <c r="B85" s="216">
        <v>46206</v>
      </c>
      <c r="C85" s="216">
        <v>46206</v>
      </c>
      <c r="D85" s="403" t="s">
        <v>7121</v>
      </c>
      <c r="E85" s="403">
        <v>260102519313</v>
      </c>
      <c r="F85" s="403" t="s">
        <v>87</v>
      </c>
      <c r="G85" s="403" t="s">
        <v>2658</v>
      </c>
      <c r="H85" s="403">
        <v>95</v>
      </c>
      <c r="I85" s="403">
        <v>235</v>
      </c>
      <c r="J85" s="374">
        <v>235</v>
      </c>
      <c r="K85" s="403">
        <v>130</v>
      </c>
      <c r="L85" s="217">
        <v>1000</v>
      </c>
      <c r="M85" s="403" t="s">
        <v>153</v>
      </c>
      <c r="N85" s="403" t="s">
        <v>149</v>
      </c>
      <c r="O85" s="403" t="s">
        <v>154</v>
      </c>
      <c r="P85" s="403" t="s">
        <v>151</v>
      </c>
      <c r="Q85" s="403" t="s">
        <v>155</v>
      </c>
      <c r="R85" s="403" t="s">
        <v>7122</v>
      </c>
      <c r="S85" s="403"/>
      <c r="T85" s="403" t="s">
        <v>2789</v>
      </c>
      <c r="U85" s="403" t="s">
        <v>152</v>
      </c>
      <c r="V85" s="403" t="s">
        <v>18</v>
      </c>
    </row>
    <row r="86" spans="1:22">
      <c r="A86" s="6"/>
      <c r="B86" s="216">
        <v>46206</v>
      </c>
      <c r="C86" s="216">
        <v>46206</v>
      </c>
      <c r="D86" s="403" t="s">
        <v>7123</v>
      </c>
      <c r="E86" s="403">
        <v>260101919318</v>
      </c>
      <c r="F86" s="403" t="s">
        <v>87</v>
      </c>
      <c r="G86" s="403" t="s">
        <v>2563</v>
      </c>
      <c r="H86" s="403">
        <v>95</v>
      </c>
      <c r="I86" s="403">
        <v>238</v>
      </c>
      <c r="J86" s="374">
        <v>238</v>
      </c>
      <c r="K86" s="403">
        <v>134</v>
      </c>
      <c r="L86" s="217">
        <v>1000</v>
      </c>
      <c r="M86" s="403" t="s">
        <v>153</v>
      </c>
      <c r="N86" s="403" t="s">
        <v>149</v>
      </c>
      <c r="O86" s="403" t="s">
        <v>154</v>
      </c>
      <c r="P86" s="403" t="s">
        <v>151</v>
      </c>
      <c r="Q86" s="403" t="s">
        <v>155</v>
      </c>
      <c r="R86" s="403" t="s">
        <v>7124</v>
      </c>
      <c r="S86" s="403"/>
      <c r="T86" s="403" t="s">
        <v>2789</v>
      </c>
      <c r="U86" s="403" t="s">
        <v>152</v>
      </c>
      <c r="V86" s="403" t="s">
        <v>18</v>
      </c>
    </row>
    <row r="87" spans="1:22">
      <c r="A87" s="6"/>
      <c r="B87" s="216">
        <v>46206</v>
      </c>
      <c r="C87" s="216">
        <v>46206</v>
      </c>
      <c r="D87" s="403" t="s">
        <v>7125</v>
      </c>
      <c r="E87" s="403">
        <v>260103319327</v>
      </c>
      <c r="F87" s="403" t="s">
        <v>87</v>
      </c>
      <c r="G87" s="403" t="s">
        <v>2564</v>
      </c>
      <c r="H87" s="403">
        <v>172</v>
      </c>
      <c r="I87" s="403">
        <v>280</v>
      </c>
      <c r="J87" s="374">
        <v>280</v>
      </c>
      <c r="K87" s="403">
        <v>96</v>
      </c>
      <c r="L87" s="217">
        <v>1770</v>
      </c>
      <c r="M87" s="403" t="s">
        <v>153</v>
      </c>
      <c r="N87" s="403" t="s">
        <v>149</v>
      </c>
      <c r="O87" s="403" t="s">
        <v>154</v>
      </c>
      <c r="P87" s="403" t="s">
        <v>151</v>
      </c>
      <c r="Q87" s="403" t="s">
        <v>155</v>
      </c>
      <c r="R87" s="403" t="s">
        <v>7126</v>
      </c>
      <c r="S87" s="403"/>
      <c r="T87" s="403" t="s">
        <v>2789</v>
      </c>
      <c r="U87" s="403" t="s">
        <v>152</v>
      </c>
      <c r="V87" s="403" t="s">
        <v>18</v>
      </c>
    </row>
    <row r="88" spans="1:22">
      <c r="A88" s="6"/>
      <c r="B88" s="216">
        <v>46206</v>
      </c>
      <c r="C88" s="216">
        <v>46206</v>
      </c>
      <c r="D88" s="403" t="s">
        <v>7127</v>
      </c>
      <c r="E88" s="403">
        <v>260102619339</v>
      </c>
      <c r="F88" s="403" t="s">
        <v>87</v>
      </c>
      <c r="G88" s="403" t="s">
        <v>2658</v>
      </c>
      <c r="H88" s="403">
        <v>95</v>
      </c>
      <c r="I88" s="403">
        <v>249</v>
      </c>
      <c r="J88" s="374">
        <v>249</v>
      </c>
      <c r="K88" s="403">
        <v>130</v>
      </c>
      <c r="L88" s="217">
        <v>1020</v>
      </c>
      <c r="M88" s="403" t="s">
        <v>153</v>
      </c>
      <c r="N88" s="403" t="s">
        <v>149</v>
      </c>
      <c r="O88" s="403" t="s">
        <v>154</v>
      </c>
      <c r="P88" s="403" t="s">
        <v>151</v>
      </c>
      <c r="Q88" s="403" t="s">
        <v>155</v>
      </c>
      <c r="R88" s="403" t="s">
        <v>7128</v>
      </c>
      <c r="S88" s="403"/>
      <c r="T88" s="403" t="s">
        <v>2789</v>
      </c>
      <c r="U88" s="403" t="s">
        <v>152</v>
      </c>
      <c r="V88" s="403" t="s">
        <v>18</v>
      </c>
    </row>
    <row r="89" spans="1:22">
      <c r="A89" s="6"/>
      <c r="B89" s="216">
        <v>46206</v>
      </c>
      <c r="C89" s="216">
        <v>46206</v>
      </c>
      <c r="D89" s="403" t="s">
        <v>7129</v>
      </c>
      <c r="E89" s="403">
        <v>260100419304</v>
      </c>
      <c r="F89" s="403" t="s">
        <v>87</v>
      </c>
      <c r="G89" s="403" t="s">
        <v>7130</v>
      </c>
      <c r="H89" s="403">
        <v>182</v>
      </c>
      <c r="I89" s="403">
        <v>420</v>
      </c>
      <c r="J89" s="374">
        <v>420</v>
      </c>
      <c r="K89" s="403">
        <v>190</v>
      </c>
      <c r="L89" s="217">
        <v>600</v>
      </c>
      <c r="M89" s="403" t="s">
        <v>153</v>
      </c>
      <c r="N89" s="403" t="s">
        <v>149</v>
      </c>
      <c r="O89" s="403" t="s">
        <v>154</v>
      </c>
      <c r="P89" s="403" t="s">
        <v>151</v>
      </c>
      <c r="Q89" s="403" t="s">
        <v>155</v>
      </c>
      <c r="R89" s="403" t="s">
        <v>7131</v>
      </c>
      <c r="S89" s="403"/>
      <c r="T89" s="403" t="s">
        <v>2789</v>
      </c>
      <c r="U89" s="403" t="s">
        <v>152</v>
      </c>
      <c r="V89" s="403" t="s">
        <v>18</v>
      </c>
    </row>
    <row r="90" spans="1:22">
      <c r="A90" s="6"/>
      <c r="B90" s="216">
        <v>46206</v>
      </c>
      <c r="C90" s="216">
        <v>46206</v>
      </c>
      <c r="D90" s="403" t="s">
        <v>7132</v>
      </c>
      <c r="E90" s="403">
        <v>260103919311</v>
      </c>
      <c r="F90" s="403" t="s">
        <v>87</v>
      </c>
      <c r="G90" s="403" t="s">
        <v>2408</v>
      </c>
      <c r="H90" s="403">
        <v>95</v>
      </c>
      <c r="I90" s="403">
        <v>283</v>
      </c>
      <c r="J90" s="374">
        <v>283</v>
      </c>
      <c r="K90" s="403">
        <v>134</v>
      </c>
      <c r="L90" s="217">
        <v>1180</v>
      </c>
      <c r="M90" s="403" t="s">
        <v>153</v>
      </c>
      <c r="N90" s="403" t="s">
        <v>149</v>
      </c>
      <c r="O90" s="403" t="s">
        <v>154</v>
      </c>
      <c r="P90" s="403" t="s">
        <v>151</v>
      </c>
      <c r="Q90" s="403" t="s">
        <v>155</v>
      </c>
      <c r="R90" s="403" t="s">
        <v>7133</v>
      </c>
      <c r="S90" s="403"/>
      <c r="T90" s="403" t="s">
        <v>2789</v>
      </c>
      <c r="U90" s="403" t="s">
        <v>152</v>
      </c>
      <c r="V90" s="403" t="s">
        <v>18</v>
      </c>
    </row>
    <row r="91" spans="1:22">
      <c r="A91" s="6"/>
      <c r="B91" s="216">
        <v>46206</v>
      </c>
      <c r="C91" s="216">
        <v>46206</v>
      </c>
      <c r="D91" s="403" t="s">
        <v>7134</v>
      </c>
      <c r="E91" s="403">
        <v>260107419320</v>
      </c>
      <c r="F91" s="403" t="s">
        <v>87</v>
      </c>
      <c r="G91" s="403" t="s">
        <v>2562</v>
      </c>
      <c r="H91" s="403">
        <v>125</v>
      </c>
      <c r="I91" s="403">
        <v>289</v>
      </c>
      <c r="J91" s="374">
        <v>289</v>
      </c>
      <c r="K91" s="403">
        <v>97</v>
      </c>
      <c r="L91" s="217">
        <v>2420</v>
      </c>
      <c r="M91" s="403" t="s">
        <v>153</v>
      </c>
      <c r="N91" s="403" t="s">
        <v>149</v>
      </c>
      <c r="O91" s="403" t="s">
        <v>154</v>
      </c>
      <c r="P91" s="403" t="s">
        <v>151</v>
      </c>
      <c r="Q91" s="403" t="s">
        <v>155</v>
      </c>
      <c r="R91" s="403" t="s">
        <v>7135</v>
      </c>
      <c r="S91" s="403"/>
      <c r="T91" s="403" t="s">
        <v>2789</v>
      </c>
      <c r="U91" s="403" t="s">
        <v>152</v>
      </c>
      <c r="V91" s="403" t="s">
        <v>18</v>
      </c>
    </row>
    <row r="92" spans="1:22">
      <c r="A92" s="6"/>
      <c r="B92" s="216">
        <v>46206</v>
      </c>
      <c r="C92" s="216">
        <v>46206</v>
      </c>
      <c r="D92" s="403" t="s">
        <v>7136</v>
      </c>
      <c r="E92" s="403">
        <v>260106119330</v>
      </c>
      <c r="F92" s="403" t="s">
        <v>87</v>
      </c>
      <c r="G92" s="403" t="s">
        <v>2310</v>
      </c>
      <c r="H92" s="403">
        <v>132</v>
      </c>
      <c r="I92" s="403">
        <v>241</v>
      </c>
      <c r="J92" s="374">
        <v>241</v>
      </c>
      <c r="K92" s="403">
        <v>87</v>
      </c>
      <c r="L92" s="217">
        <v>2120</v>
      </c>
      <c r="M92" s="403" t="s">
        <v>153</v>
      </c>
      <c r="N92" s="403" t="s">
        <v>149</v>
      </c>
      <c r="O92" s="403" t="s">
        <v>154</v>
      </c>
      <c r="P92" s="403" t="s">
        <v>151</v>
      </c>
      <c r="Q92" s="403" t="s">
        <v>155</v>
      </c>
      <c r="R92" s="403" t="s">
        <v>7137</v>
      </c>
      <c r="S92" s="403"/>
      <c r="T92" s="403" t="s">
        <v>2789</v>
      </c>
      <c r="U92" s="403" t="s">
        <v>152</v>
      </c>
      <c r="V92" s="403" t="s">
        <v>18</v>
      </c>
    </row>
    <row r="93" spans="1:22">
      <c r="A93" s="6"/>
      <c r="B93" s="216">
        <v>46206</v>
      </c>
      <c r="C93" s="216">
        <v>46206</v>
      </c>
      <c r="D93" s="403" t="s">
        <v>7138</v>
      </c>
      <c r="E93" s="403">
        <v>260101719341</v>
      </c>
      <c r="F93" s="403" t="s">
        <v>87</v>
      </c>
      <c r="G93" s="403" t="s">
        <v>2408</v>
      </c>
      <c r="H93" s="403">
        <v>95</v>
      </c>
      <c r="I93" s="403">
        <v>244</v>
      </c>
      <c r="J93" s="374">
        <v>244</v>
      </c>
      <c r="K93" s="403">
        <v>134</v>
      </c>
      <c r="L93" s="217">
        <v>1000</v>
      </c>
      <c r="M93" s="403" t="s">
        <v>153</v>
      </c>
      <c r="N93" s="403" t="s">
        <v>149</v>
      </c>
      <c r="O93" s="403" t="s">
        <v>154</v>
      </c>
      <c r="P93" s="403" t="s">
        <v>151</v>
      </c>
      <c r="Q93" s="403" t="s">
        <v>155</v>
      </c>
      <c r="R93" s="403" t="s">
        <v>7139</v>
      </c>
      <c r="S93" s="403"/>
      <c r="T93" s="403" t="s">
        <v>2789</v>
      </c>
      <c r="U93" s="403" t="s">
        <v>152</v>
      </c>
      <c r="V93" s="403" t="s">
        <v>18</v>
      </c>
    </row>
    <row r="94" spans="1:22">
      <c r="A94" s="6"/>
      <c r="B94" s="216">
        <v>46206</v>
      </c>
      <c r="C94" s="216">
        <v>46206</v>
      </c>
      <c r="D94" s="403" t="s">
        <v>7140</v>
      </c>
      <c r="E94" s="403">
        <v>260102019346</v>
      </c>
      <c r="F94" s="403" t="s">
        <v>87</v>
      </c>
      <c r="G94" s="403" t="s">
        <v>2563</v>
      </c>
      <c r="H94" s="403">
        <v>95</v>
      </c>
      <c r="I94" s="403">
        <v>251</v>
      </c>
      <c r="J94" s="374">
        <v>251</v>
      </c>
      <c r="K94" s="403">
        <v>134</v>
      </c>
      <c r="L94" s="217">
        <v>1030</v>
      </c>
      <c r="M94" s="403" t="s">
        <v>153</v>
      </c>
      <c r="N94" s="403" t="s">
        <v>149</v>
      </c>
      <c r="O94" s="403" t="s">
        <v>154</v>
      </c>
      <c r="P94" s="403" t="s">
        <v>151</v>
      </c>
      <c r="Q94" s="403" t="s">
        <v>155</v>
      </c>
      <c r="R94" s="403" t="s">
        <v>7141</v>
      </c>
      <c r="S94" s="403"/>
      <c r="T94" s="403" t="s">
        <v>2789</v>
      </c>
      <c r="U94" s="403" t="s">
        <v>152</v>
      </c>
      <c r="V94" s="403" t="s">
        <v>18</v>
      </c>
    </row>
    <row r="95" spans="1:22">
      <c r="A95" s="6"/>
      <c r="B95" s="216">
        <v>46206</v>
      </c>
      <c r="C95" s="216">
        <v>46206</v>
      </c>
      <c r="D95" s="403" t="s">
        <v>7142</v>
      </c>
      <c r="E95" s="403">
        <v>260103319326</v>
      </c>
      <c r="F95" s="403" t="s">
        <v>87</v>
      </c>
      <c r="G95" s="403" t="s">
        <v>2564</v>
      </c>
      <c r="H95" s="403">
        <v>172</v>
      </c>
      <c r="I95" s="403">
        <v>282</v>
      </c>
      <c r="J95" s="374">
        <v>282</v>
      </c>
      <c r="K95" s="403">
        <v>96</v>
      </c>
      <c r="L95" s="217">
        <v>1770</v>
      </c>
      <c r="M95" s="403" t="s">
        <v>153</v>
      </c>
      <c r="N95" s="403" t="s">
        <v>149</v>
      </c>
      <c r="O95" s="403" t="s">
        <v>154</v>
      </c>
      <c r="P95" s="403" t="s">
        <v>151</v>
      </c>
      <c r="Q95" s="403" t="s">
        <v>155</v>
      </c>
      <c r="R95" s="403" t="s">
        <v>7143</v>
      </c>
      <c r="S95" s="403"/>
      <c r="T95" s="403" t="s">
        <v>2789</v>
      </c>
      <c r="U95" s="403" t="s">
        <v>152</v>
      </c>
      <c r="V95" s="403" t="s">
        <v>18</v>
      </c>
    </row>
    <row r="96" spans="1:22">
      <c r="A96" s="6"/>
      <c r="B96" s="216">
        <v>46206</v>
      </c>
      <c r="C96" s="216">
        <v>46206</v>
      </c>
      <c r="D96" s="403" t="s">
        <v>7144</v>
      </c>
      <c r="E96" s="403">
        <v>260102819336</v>
      </c>
      <c r="F96" s="403" t="s">
        <v>87</v>
      </c>
      <c r="G96" s="403" t="s">
        <v>2658</v>
      </c>
      <c r="H96" s="403">
        <v>105</v>
      </c>
      <c r="I96" s="403">
        <v>268</v>
      </c>
      <c r="J96" s="374">
        <v>268</v>
      </c>
      <c r="K96" s="403">
        <v>130</v>
      </c>
      <c r="L96" s="217">
        <v>1000</v>
      </c>
      <c r="M96" s="403" t="s">
        <v>153</v>
      </c>
      <c r="N96" s="403" t="s">
        <v>149</v>
      </c>
      <c r="O96" s="403" t="s">
        <v>154</v>
      </c>
      <c r="P96" s="403" t="s">
        <v>151</v>
      </c>
      <c r="Q96" s="403" t="s">
        <v>155</v>
      </c>
      <c r="R96" s="403" t="s">
        <v>7145</v>
      </c>
      <c r="S96" s="403"/>
      <c r="T96" s="403" t="s">
        <v>2789</v>
      </c>
      <c r="U96" s="403" t="s">
        <v>152</v>
      </c>
      <c r="V96" s="403" t="s">
        <v>18</v>
      </c>
    </row>
    <row r="97" spans="1:22">
      <c r="A97" s="6"/>
      <c r="B97" s="216">
        <v>46206</v>
      </c>
      <c r="C97" s="216">
        <v>46206</v>
      </c>
      <c r="D97" s="403" t="s">
        <v>7146</v>
      </c>
      <c r="E97" s="403">
        <v>260103719328</v>
      </c>
      <c r="F97" s="403" t="s">
        <v>87</v>
      </c>
      <c r="G97" s="403" t="s">
        <v>2563</v>
      </c>
      <c r="H97" s="403">
        <v>95</v>
      </c>
      <c r="I97" s="403">
        <v>314</v>
      </c>
      <c r="J97" s="374">
        <v>314</v>
      </c>
      <c r="K97" s="403">
        <v>134</v>
      </c>
      <c r="L97" s="217">
        <v>1300</v>
      </c>
      <c r="M97" s="403" t="s">
        <v>153</v>
      </c>
      <c r="N97" s="403" t="s">
        <v>149</v>
      </c>
      <c r="O97" s="403" t="s">
        <v>154</v>
      </c>
      <c r="P97" s="403" t="s">
        <v>151</v>
      </c>
      <c r="Q97" s="403" t="s">
        <v>155</v>
      </c>
      <c r="R97" s="403" t="s">
        <v>7147</v>
      </c>
      <c r="S97" s="403"/>
      <c r="T97" s="403" t="s">
        <v>2789</v>
      </c>
      <c r="U97" s="403" t="s">
        <v>152</v>
      </c>
      <c r="V97" s="403" t="s">
        <v>18</v>
      </c>
    </row>
    <row r="98" spans="1:22">
      <c r="A98" s="6"/>
      <c r="B98" s="216">
        <v>46206</v>
      </c>
      <c r="C98" s="216">
        <v>46206</v>
      </c>
      <c r="D98" s="403" t="s">
        <v>7148</v>
      </c>
      <c r="E98" s="403">
        <v>260101619338</v>
      </c>
      <c r="F98" s="403" t="s">
        <v>87</v>
      </c>
      <c r="G98" s="403" t="s">
        <v>2120</v>
      </c>
      <c r="H98" s="403">
        <v>112</v>
      </c>
      <c r="I98" s="403">
        <v>397</v>
      </c>
      <c r="J98" s="374">
        <v>397</v>
      </c>
      <c r="K98" s="403">
        <v>180</v>
      </c>
      <c r="L98" s="217">
        <v>1000</v>
      </c>
      <c r="M98" s="403" t="s">
        <v>153</v>
      </c>
      <c r="N98" s="403" t="s">
        <v>149</v>
      </c>
      <c r="O98" s="403" t="s">
        <v>154</v>
      </c>
      <c r="P98" s="403" t="s">
        <v>151</v>
      </c>
      <c r="Q98" s="403" t="s">
        <v>155</v>
      </c>
      <c r="R98" s="403" t="s">
        <v>7149</v>
      </c>
      <c r="S98" s="403"/>
      <c r="T98" s="403" t="s">
        <v>2789</v>
      </c>
      <c r="U98" s="403" t="s">
        <v>152</v>
      </c>
      <c r="V98" s="403" t="s">
        <v>18</v>
      </c>
    </row>
    <row r="99" spans="1:22">
      <c r="A99" s="6"/>
      <c r="B99" s="216">
        <v>46206</v>
      </c>
      <c r="C99" s="216">
        <v>46206</v>
      </c>
      <c r="D99" s="403" t="s">
        <v>7150</v>
      </c>
      <c r="E99" s="403">
        <v>260101719312</v>
      </c>
      <c r="F99" s="403" t="s">
        <v>87</v>
      </c>
      <c r="G99" s="403" t="s">
        <v>2408</v>
      </c>
      <c r="H99" s="403">
        <v>95</v>
      </c>
      <c r="I99" s="403">
        <v>241</v>
      </c>
      <c r="J99" s="374">
        <v>241</v>
      </c>
      <c r="K99" s="403">
        <v>134</v>
      </c>
      <c r="L99" s="217">
        <v>1000</v>
      </c>
      <c r="M99" s="403" t="s">
        <v>153</v>
      </c>
      <c r="N99" s="403" t="s">
        <v>149</v>
      </c>
      <c r="O99" s="403" t="s">
        <v>154</v>
      </c>
      <c r="P99" s="403" t="s">
        <v>151</v>
      </c>
      <c r="Q99" s="403" t="s">
        <v>155</v>
      </c>
      <c r="R99" s="403" t="s">
        <v>7151</v>
      </c>
      <c r="S99" s="403"/>
      <c r="T99" s="403" t="s">
        <v>2789</v>
      </c>
      <c r="U99" s="403" t="s">
        <v>152</v>
      </c>
      <c r="V99" s="403" t="s">
        <v>18</v>
      </c>
    </row>
    <row r="100" spans="1:22">
      <c r="A100" s="6"/>
      <c r="B100" s="216">
        <v>46206</v>
      </c>
      <c r="C100" s="216">
        <v>46206</v>
      </c>
      <c r="D100" s="403" t="s">
        <v>7152</v>
      </c>
      <c r="E100" s="403">
        <v>260105219309</v>
      </c>
      <c r="F100" s="403" t="s">
        <v>87</v>
      </c>
      <c r="G100" s="403" t="s">
        <v>6967</v>
      </c>
      <c r="H100" s="403">
        <v>122</v>
      </c>
      <c r="I100" s="403">
        <v>289</v>
      </c>
      <c r="J100" s="374">
        <v>289</v>
      </c>
      <c r="K100" s="403">
        <v>89</v>
      </c>
      <c r="L100" s="217">
        <v>2660</v>
      </c>
      <c r="M100" s="403" t="s">
        <v>153</v>
      </c>
      <c r="N100" s="403" t="s">
        <v>149</v>
      </c>
      <c r="O100" s="403" t="s">
        <v>154</v>
      </c>
      <c r="P100" s="403" t="s">
        <v>151</v>
      </c>
      <c r="Q100" s="403" t="s">
        <v>155</v>
      </c>
      <c r="R100" s="403" t="s">
        <v>7153</v>
      </c>
      <c r="S100" s="403"/>
      <c r="T100" s="403" t="s">
        <v>2789</v>
      </c>
      <c r="U100" s="403" t="s">
        <v>152</v>
      </c>
      <c r="V100" s="403" t="s">
        <v>18</v>
      </c>
    </row>
    <row r="101" spans="1:22">
      <c r="A101" s="6"/>
      <c r="B101" s="216">
        <v>46206</v>
      </c>
      <c r="C101" s="216">
        <v>46206</v>
      </c>
      <c r="D101" s="403" t="s">
        <v>7154</v>
      </c>
      <c r="E101" s="403">
        <v>260100719315</v>
      </c>
      <c r="F101" s="403" t="s">
        <v>87</v>
      </c>
      <c r="G101" s="403" t="s">
        <v>2518</v>
      </c>
      <c r="H101" s="403">
        <v>142</v>
      </c>
      <c r="I101" s="403">
        <v>198</v>
      </c>
      <c r="J101" s="374">
        <v>198</v>
      </c>
      <c r="K101" s="403">
        <v>150</v>
      </c>
      <c r="L101" s="217">
        <v>470</v>
      </c>
      <c r="M101" s="403" t="s">
        <v>153</v>
      </c>
      <c r="N101" s="403" t="s">
        <v>149</v>
      </c>
      <c r="O101" s="403" t="s">
        <v>154</v>
      </c>
      <c r="P101" s="403" t="s">
        <v>151</v>
      </c>
      <c r="Q101" s="403" t="s">
        <v>155</v>
      </c>
      <c r="R101" s="403" t="s">
        <v>7155</v>
      </c>
      <c r="S101" s="403"/>
      <c r="T101" s="403" t="s">
        <v>2789</v>
      </c>
      <c r="U101" s="403" t="s">
        <v>152</v>
      </c>
      <c r="V101" s="403" t="s">
        <v>18</v>
      </c>
    </row>
    <row r="102" spans="1:22">
      <c r="A102" s="6"/>
      <c r="B102" s="216">
        <v>46206</v>
      </c>
      <c r="C102" s="216">
        <v>46206</v>
      </c>
      <c r="D102" s="403" t="s">
        <v>7156</v>
      </c>
      <c r="E102" s="403">
        <v>260105719333</v>
      </c>
      <c r="F102" s="403" t="s">
        <v>87</v>
      </c>
      <c r="G102" s="403" t="s">
        <v>2409</v>
      </c>
      <c r="H102" s="403">
        <v>152</v>
      </c>
      <c r="I102" s="403">
        <v>254</v>
      </c>
      <c r="J102" s="374">
        <v>254</v>
      </c>
      <c r="K102" s="403">
        <v>97</v>
      </c>
      <c r="L102" s="217">
        <v>1800</v>
      </c>
      <c r="M102" s="403" t="s">
        <v>153</v>
      </c>
      <c r="N102" s="403" t="s">
        <v>149</v>
      </c>
      <c r="O102" s="403" t="s">
        <v>154</v>
      </c>
      <c r="P102" s="403" t="s">
        <v>151</v>
      </c>
      <c r="Q102" s="403" t="s">
        <v>155</v>
      </c>
      <c r="R102" s="403" t="s">
        <v>7157</v>
      </c>
      <c r="S102" s="403"/>
      <c r="T102" s="403" t="s">
        <v>2789</v>
      </c>
      <c r="U102" s="403" t="s">
        <v>152</v>
      </c>
      <c r="V102" s="403" t="s">
        <v>18</v>
      </c>
    </row>
    <row r="103" spans="1:22">
      <c r="A103" s="6"/>
      <c r="B103" s="216">
        <v>46206</v>
      </c>
      <c r="C103" s="216">
        <v>46206</v>
      </c>
      <c r="D103" s="403" t="s">
        <v>7158</v>
      </c>
      <c r="E103" s="403">
        <v>260105019305</v>
      </c>
      <c r="F103" s="403" t="s">
        <v>87</v>
      </c>
      <c r="G103" s="403" t="s">
        <v>2409</v>
      </c>
      <c r="H103" s="403">
        <v>142</v>
      </c>
      <c r="I103" s="403">
        <v>246</v>
      </c>
      <c r="J103" s="374">
        <v>246</v>
      </c>
      <c r="K103" s="403">
        <v>97</v>
      </c>
      <c r="L103" s="217">
        <v>1810</v>
      </c>
      <c r="M103" s="403" t="s">
        <v>153</v>
      </c>
      <c r="N103" s="403" t="s">
        <v>149</v>
      </c>
      <c r="O103" s="403" t="s">
        <v>154</v>
      </c>
      <c r="P103" s="403" t="s">
        <v>151</v>
      </c>
      <c r="Q103" s="403" t="s">
        <v>155</v>
      </c>
      <c r="R103" s="403" t="s">
        <v>7159</v>
      </c>
      <c r="S103" s="403"/>
      <c r="T103" s="403" t="s">
        <v>2791</v>
      </c>
      <c r="U103" s="403" t="s">
        <v>152</v>
      </c>
      <c r="V103" s="403" t="s">
        <v>18</v>
      </c>
    </row>
    <row r="104" spans="1:22">
      <c r="A104" s="6"/>
      <c r="B104" s="216">
        <v>46206</v>
      </c>
      <c r="C104" s="216">
        <v>46206</v>
      </c>
      <c r="D104" s="403" t="s">
        <v>7160</v>
      </c>
      <c r="E104" s="403">
        <v>260100719303</v>
      </c>
      <c r="F104" s="403" t="s">
        <v>87</v>
      </c>
      <c r="G104" s="403" t="s">
        <v>2518</v>
      </c>
      <c r="H104" s="403">
        <v>142</v>
      </c>
      <c r="I104" s="403">
        <v>370</v>
      </c>
      <c r="J104" s="374">
        <v>370</v>
      </c>
      <c r="K104" s="403">
        <v>150</v>
      </c>
      <c r="L104" s="217">
        <v>910</v>
      </c>
      <c r="M104" s="403" t="s">
        <v>153</v>
      </c>
      <c r="N104" s="403" t="s">
        <v>149</v>
      </c>
      <c r="O104" s="403" t="s">
        <v>154</v>
      </c>
      <c r="P104" s="403" t="s">
        <v>151</v>
      </c>
      <c r="Q104" s="403" t="s">
        <v>155</v>
      </c>
      <c r="R104" s="403" t="s">
        <v>7161</v>
      </c>
      <c r="S104" s="403"/>
      <c r="T104" s="403" t="s">
        <v>2791</v>
      </c>
      <c r="U104" s="403" t="s">
        <v>152</v>
      </c>
      <c r="V104" s="403" t="s">
        <v>18</v>
      </c>
    </row>
    <row r="105" spans="1:22">
      <c r="A105" s="6"/>
      <c r="B105" s="216">
        <v>46206</v>
      </c>
      <c r="C105" s="216">
        <v>46206</v>
      </c>
      <c r="D105" s="403" t="s">
        <v>7162</v>
      </c>
      <c r="E105" s="403">
        <v>260105018774</v>
      </c>
      <c r="F105" s="403" t="s">
        <v>87</v>
      </c>
      <c r="G105" s="403" t="s">
        <v>2409</v>
      </c>
      <c r="H105" s="403">
        <v>142</v>
      </c>
      <c r="I105" s="403">
        <v>204</v>
      </c>
      <c r="J105" s="374">
        <v>204</v>
      </c>
      <c r="K105" s="403">
        <v>97</v>
      </c>
      <c r="L105" s="217">
        <v>1500</v>
      </c>
      <c r="M105" s="403" t="s">
        <v>153</v>
      </c>
      <c r="N105" s="403" t="s">
        <v>149</v>
      </c>
      <c r="O105" s="403" t="s">
        <v>154</v>
      </c>
      <c r="P105" s="403" t="s">
        <v>151</v>
      </c>
      <c r="Q105" s="403" t="s">
        <v>155</v>
      </c>
      <c r="R105" s="403" t="s">
        <v>7163</v>
      </c>
      <c r="S105" s="403"/>
      <c r="T105" s="403" t="s">
        <v>2791</v>
      </c>
      <c r="U105" s="403" t="s">
        <v>152</v>
      </c>
      <c r="V105" s="403" t="s">
        <v>18</v>
      </c>
    </row>
    <row r="106" spans="1:22">
      <c r="A106" s="6"/>
      <c r="B106" s="216">
        <v>46206</v>
      </c>
      <c r="C106" s="216">
        <v>46206</v>
      </c>
      <c r="D106" s="403" t="s">
        <v>7164</v>
      </c>
      <c r="E106" s="403">
        <v>260107819308</v>
      </c>
      <c r="F106" s="403" t="s">
        <v>87</v>
      </c>
      <c r="G106" s="403" t="s">
        <v>2425</v>
      </c>
      <c r="H106" s="403">
        <v>132</v>
      </c>
      <c r="I106" s="403">
        <v>334</v>
      </c>
      <c r="J106" s="374">
        <v>334</v>
      </c>
      <c r="K106" s="403">
        <v>92</v>
      </c>
      <c r="L106" s="217">
        <v>2800</v>
      </c>
      <c r="M106" s="403" t="s">
        <v>153</v>
      </c>
      <c r="N106" s="403" t="s">
        <v>149</v>
      </c>
      <c r="O106" s="403" t="s">
        <v>154</v>
      </c>
      <c r="P106" s="403" t="s">
        <v>151</v>
      </c>
      <c r="Q106" s="403" t="s">
        <v>155</v>
      </c>
      <c r="R106" s="403" t="s">
        <v>7165</v>
      </c>
      <c r="S106" s="403"/>
      <c r="T106" s="403" t="s">
        <v>2791</v>
      </c>
      <c r="U106" s="403" t="s">
        <v>152</v>
      </c>
      <c r="V106" s="403" t="s">
        <v>18</v>
      </c>
    </row>
    <row r="107" spans="1:22">
      <c r="A107" s="6"/>
      <c r="B107" s="216">
        <v>46206</v>
      </c>
      <c r="C107" s="216">
        <v>46206</v>
      </c>
      <c r="D107" s="403" t="s">
        <v>7166</v>
      </c>
      <c r="E107" s="403">
        <v>260105719212</v>
      </c>
      <c r="F107" s="403" t="s">
        <v>87</v>
      </c>
      <c r="G107" s="403" t="s">
        <v>2409</v>
      </c>
      <c r="H107" s="403">
        <v>152</v>
      </c>
      <c r="I107" s="403">
        <v>208</v>
      </c>
      <c r="J107" s="374">
        <v>208</v>
      </c>
      <c r="K107" s="403">
        <v>97</v>
      </c>
      <c r="L107" s="217">
        <v>1500</v>
      </c>
      <c r="M107" s="403" t="s">
        <v>153</v>
      </c>
      <c r="N107" s="403" t="s">
        <v>149</v>
      </c>
      <c r="O107" s="403" t="s">
        <v>154</v>
      </c>
      <c r="P107" s="403" t="s">
        <v>151</v>
      </c>
      <c r="Q107" s="403" t="s">
        <v>155</v>
      </c>
      <c r="R107" s="403" t="s">
        <v>7167</v>
      </c>
      <c r="S107" s="403"/>
      <c r="T107" s="403" t="s">
        <v>2791</v>
      </c>
      <c r="U107" s="403" t="s">
        <v>152</v>
      </c>
      <c r="V107" s="403" t="s">
        <v>18</v>
      </c>
    </row>
    <row r="108" spans="1:22">
      <c r="A108" s="6"/>
      <c r="B108" s="216">
        <v>46206</v>
      </c>
      <c r="C108" s="216">
        <v>46206</v>
      </c>
      <c r="D108" s="403" t="s">
        <v>7168</v>
      </c>
      <c r="E108" s="403">
        <v>260102919323</v>
      </c>
      <c r="F108" s="403" t="s">
        <v>87</v>
      </c>
      <c r="G108" s="403" t="s">
        <v>859</v>
      </c>
      <c r="H108" s="403">
        <v>152</v>
      </c>
      <c r="I108" s="403">
        <v>286</v>
      </c>
      <c r="J108" s="374">
        <v>286</v>
      </c>
      <c r="K108" s="403">
        <v>104</v>
      </c>
      <c r="L108" s="217">
        <v>1880</v>
      </c>
      <c r="M108" s="403" t="s">
        <v>153</v>
      </c>
      <c r="N108" s="403" t="s">
        <v>149</v>
      </c>
      <c r="O108" s="403" t="s">
        <v>154</v>
      </c>
      <c r="P108" s="403" t="s">
        <v>151</v>
      </c>
      <c r="Q108" s="403" t="s">
        <v>155</v>
      </c>
      <c r="R108" s="403" t="s">
        <v>7169</v>
      </c>
      <c r="S108" s="403"/>
      <c r="T108" s="403" t="s">
        <v>2791</v>
      </c>
      <c r="U108" s="403" t="s">
        <v>152</v>
      </c>
      <c r="V108" s="403" t="s">
        <v>18</v>
      </c>
    </row>
    <row r="109" spans="1:22">
      <c r="A109" s="6"/>
      <c r="B109" s="216">
        <v>46207</v>
      </c>
      <c r="C109" s="216">
        <v>46207</v>
      </c>
      <c r="D109" s="403" t="s">
        <v>7170</v>
      </c>
      <c r="E109" s="403" t="s">
        <v>7171</v>
      </c>
      <c r="F109" s="403" t="s">
        <v>87</v>
      </c>
      <c r="G109" s="403" t="s">
        <v>7172</v>
      </c>
      <c r="H109" s="403" t="s">
        <v>2377</v>
      </c>
      <c r="I109" s="403">
        <v>282</v>
      </c>
      <c r="J109" s="374">
        <v>282</v>
      </c>
      <c r="K109" s="403">
        <v>107</v>
      </c>
      <c r="L109" s="217">
        <v>1550</v>
      </c>
      <c r="M109" s="403" t="s">
        <v>153</v>
      </c>
      <c r="N109" s="403" t="s">
        <v>149</v>
      </c>
      <c r="O109" s="403" t="s">
        <v>154</v>
      </c>
      <c r="P109" s="403" t="s">
        <v>151</v>
      </c>
      <c r="Q109" s="403" t="s">
        <v>156</v>
      </c>
      <c r="R109" s="403" t="s">
        <v>7173</v>
      </c>
      <c r="S109" s="403"/>
      <c r="T109" s="403" t="s">
        <v>2797</v>
      </c>
      <c r="U109" s="403" t="s">
        <v>152</v>
      </c>
      <c r="V109" s="403" t="s">
        <v>20</v>
      </c>
    </row>
    <row r="110" spans="1:22">
      <c r="A110" s="6"/>
      <c r="B110" s="216">
        <v>46207</v>
      </c>
      <c r="C110" s="216">
        <v>46207</v>
      </c>
      <c r="D110" s="403" t="s">
        <v>7174</v>
      </c>
      <c r="E110" s="403">
        <v>260101519375</v>
      </c>
      <c r="F110" s="403" t="s">
        <v>87</v>
      </c>
      <c r="G110" s="403" t="s">
        <v>2120</v>
      </c>
      <c r="H110" s="403">
        <v>92</v>
      </c>
      <c r="I110" s="403">
        <v>330</v>
      </c>
      <c r="J110" s="374">
        <v>330</v>
      </c>
      <c r="K110" s="403">
        <v>180</v>
      </c>
      <c r="L110" s="217">
        <v>1000</v>
      </c>
      <c r="M110" s="403" t="s">
        <v>153</v>
      </c>
      <c r="N110" s="403" t="s">
        <v>149</v>
      </c>
      <c r="O110" s="403" t="s">
        <v>154</v>
      </c>
      <c r="P110" s="403" t="s">
        <v>151</v>
      </c>
      <c r="Q110" s="403" t="s">
        <v>155</v>
      </c>
      <c r="R110" s="403" t="s">
        <v>7175</v>
      </c>
      <c r="S110" s="403"/>
      <c r="T110" s="403" t="s">
        <v>2799</v>
      </c>
      <c r="U110" s="403" t="s">
        <v>152</v>
      </c>
      <c r="V110" s="403" t="s">
        <v>18</v>
      </c>
    </row>
    <row r="111" spans="1:22">
      <c r="A111" s="6"/>
      <c r="B111" s="216">
        <v>46207</v>
      </c>
      <c r="C111" s="216">
        <v>46207</v>
      </c>
      <c r="D111" s="403" t="s">
        <v>7176</v>
      </c>
      <c r="E111" s="403">
        <v>260107619389</v>
      </c>
      <c r="F111" s="403" t="s">
        <v>87</v>
      </c>
      <c r="G111" s="403" t="s">
        <v>2652</v>
      </c>
      <c r="H111" s="403">
        <v>140</v>
      </c>
      <c r="I111" s="403">
        <v>286</v>
      </c>
      <c r="J111" s="374">
        <v>286</v>
      </c>
      <c r="K111" s="403">
        <v>88</v>
      </c>
      <c r="L111" s="217">
        <v>2400</v>
      </c>
      <c r="M111" s="403" t="s">
        <v>153</v>
      </c>
      <c r="N111" s="403" t="s">
        <v>149</v>
      </c>
      <c r="O111" s="403" t="s">
        <v>154</v>
      </c>
      <c r="P111" s="403" t="s">
        <v>151</v>
      </c>
      <c r="Q111" s="403" t="s">
        <v>155</v>
      </c>
      <c r="R111" s="403" t="s">
        <v>7177</v>
      </c>
      <c r="S111" s="403"/>
      <c r="T111" s="403" t="s">
        <v>2799</v>
      </c>
      <c r="U111" s="403" t="s">
        <v>152</v>
      </c>
      <c r="V111" s="403" t="s">
        <v>18</v>
      </c>
    </row>
    <row r="112" spans="1:22">
      <c r="A112" s="6"/>
      <c r="B112" s="216">
        <v>46207</v>
      </c>
      <c r="C112" s="216">
        <v>46207</v>
      </c>
      <c r="D112" s="403" t="s">
        <v>7178</v>
      </c>
      <c r="E112" s="403">
        <v>260105019383</v>
      </c>
      <c r="F112" s="403" t="s">
        <v>87</v>
      </c>
      <c r="G112" s="403" t="s">
        <v>2409</v>
      </c>
      <c r="H112" s="403">
        <v>142</v>
      </c>
      <c r="I112" s="403">
        <v>250</v>
      </c>
      <c r="J112" s="374">
        <v>250</v>
      </c>
      <c r="K112" s="403">
        <v>97</v>
      </c>
      <c r="L112" s="217">
        <v>1870</v>
      </c>
      <c r="M112" s="403" t="s">
        <v>153</v>
      </c>
      <c r="N112" s="403" t="s">
        <v>149</v>
      </c>
      <c r="O112" s="403" t="s">
        <v>154</v>
      </c>
      <c r="P112" s="403" t="s">
        <v>151</v>
      </c>
      <c r="Q112" s="403" t="s">
        <v>155</v>
      </c>
      <c r="R112" s="403" t="s">
        <v>7179</v>
      </c>
      <c r="S112" s="403"/>
      <c r="T112" s="403" t="s">
        <v>2799</v>
      </c>
      <c r="U112" s="403" t="s">
        <v>152</v>
      </c>
      <c r="V112" s="403" t="s">
        <v>18</v>
      </c>
    </row>
    <row r="113" spans="1:22">
      <c r="A113" s="6"/>
      <c r="B113" s="216">
        <v>46207</v>
      </c>
      <c r="C113" s="216">
        <v>46207</v>
      </c>
      <c r="D113" s="403" t="s">
        <v>7180</v>
      </c>
      <c r="E113" s="403">
        <v>260105319391</v>
      </c>
      <c r="F113" s="403" t="s">
        <v>87</v>
      </c>
      <c r="G113" s="403" t="s">
        <v>2555</v>
      </c>
      <c r="H113" s="403">
        <v>152</v>
      </c>
      <c r="I113" s="403">
        <v>294</v>
      </c>
      <c r="J113" s="374">
        <v>294</v>
      </c>
      <c r="K113" s="403">
        <v>104</v>
      </c>
      <c r="L113" s="217">
        <v>1860</v>
      </c>
      <c r="M113" s="403" t="s">
        <v>153</v>
      </c>
      <c r="N113" s="403" t="s">
        <v>149</v>
      </c>
      <c r="O113" s="403" t="s">
        <v>154</v>
      </c>
      <c r="P113" s="403" t="s">
        <v>151</v>
      </c>
      <c r="Q113" s="403" t="s">
        <v>155</v>
      </c>
      <c r="R113" s="403" t="s">
        <v>7181</v>
      </c>
      <c r="S113" s="403"/>
      <c r="T113" s="403" t="s">
        <v>2799</v>
      </c>
      <c r="U113" s="403" t="s">
        <v>152</v>
      </c>
      <c r="V113" s="403" t="s">
        <v>18</v>
      </c>
    </row>
    <row r="114" spans="1:22">
      <c r="A114" s="6"/>
      <c r="B114" s="216">
        <v>46207</v>
      </c>
      <c r="C114" s="216">
        <v>46207</v>
      </c>
      <c r="D114" s="403" t="s">
        <v>7182</v>
      </c>
      <c r="E114" s="403">
        <v>260101919410</v>
      </c>
      <c r="F114" s="403" t="s">
        <v>87</v>
      </c>
      <c r="G114" s="403" t="s">
        <v>2563</v>
      </c>
      <c r="H114" s="403">
        <v>95</v>
      </c>
      <c r="I114" s="403">
        <v>242</v>
      </c>
      <c r="J114" s="374">
        <v>242</v>
      </c>
      <c r="K114" s="403">
        <v>134</v>
      </c>
      <c r="L114" s="217">
        <v>1000</v>
      </c>
      <c r="M114" s="403" t="s">
        <v>153</v>
      </c>
      <c r="N114" s="403" t="s">
        <v>149</v>
      </c>
      <c r="O114" s="403" t="s">
        <v>154</v>
      </c>
      <c r="P114" s="403" t="s">
        <v>151</v>
      </c>
      <c r="Q114" s="403" t="s">
        <v>155</v>
      </c>
      <c r="R114" s="403" t="s">
        <v>7183</v>
      </c>
      <c r="S114" s="403"/>
      <c r="T114" s="403" t="s">
        <v>2799</v>
      </c>
      <c r="U114" s="403" t="s">
        <v>152</v>
      </c>
      <c r="V114" s="403" t="s">
        <v>18</v>
      </c>
    </row>
    <row r="115" spans="1:22">
      <c r="A115" s="6"/>
      <c r="B115" s="216">
        <v>46207</v>
      </c>
      <c r="C115" s="216">
        <v>46207</v>
      </c>
      <c r="D115" s="403" t="s">
        <v>7184</v>
      </c>
      <c r="E115" s="403">
        <v>260104019413</v>
      </c>
      <c r="F115" s="403" t="s">
        <v>87</v>
      </c>
      <c r="G115" s="403" t="s">
        <v>2563</v>
      </c>
      <c r="H115" s="403">
        <v>95</v>
      </c>
      <c r="I115" s="403">
        <v>256</v>
      </c>
      <c r="J115" s="374">
        <v>256</v>
      </c>
      <c r="K115" s="403">
        <v>134</v>
      </c>
      <c r="L115" s="217">
        <v>1040</v>
      </c>
      <c r="M115" s="403" t="s">
        <v>153</v>
      </c>
      <c r="N115" s="403" t="s">
        <v>149</v>
      </c>
      <c r="O115" s="403" t="s">
        <v>154</v>
      </c>
      <c r="P115" s="403" t="s">
        <v>151</v>
      </c>
      <c r="Q115" s="403" t="s">
        <v>155</v>
      </c>
      <c r="R115" s="403" t="s">
        <v>7185</v>
      </c>
      <c r="S115" s="403"/>
      <c r="T115" s="403" t="s">
        <v>2799</v>
      </c>
      <c r="U115" s="403" t="s">
        <v>152</v>
      </c>
      <c r="V115" s="403" t="s">
        <v>18</v>
      </c>
    </row>
    <row r="116" spans="1:22">
      <c r="A116" s="6"/>
      <c r="B116" s="216">
        <v>46207</v>
      </c>
      <c r="C116" s="216">
        <v>46207</v>
      </c>
      <c r="D116" s="403" t="s">
        <v>7186</v>
      </c>
      <c r="E116" s="403">
        <v>260102619407</v>
      </c>
      <c r="F116" s="403" t="s">
        <v>87</v>
      </c>
      <c r="G116" s="403" t="s">
        <v>2658</v>
      </c>
      <c r="H116" s="403">
        <v>95</v>
      </c>
      <c r="I116" s="403">
        <v>241</v>
      </c>
      <c r="J116" s="374">
        <v>241</v>
      </c>
      <c r="K116" s="403">
        <v>130</v>
      </c>
      <c r="L116" s="217">
        <v>1000</v>
      </c>
      <c r="M116" s="403" t="s">
        <v>153</v>
      </c>
      <c r="N116" s="403" t="s">
        <v>149</v>
      </c>
      <c r="O116" s="403" t="s">
        <v>154</v>
      </c>
      <c r="P116" s="403" t="s">
        <v>151</v>
      </c>
      <c r="Q116" s="403" t="s">
        <v>155</v>
      </c>
      <c r="R116" s="403" t="s">
        <v>7187</v>
      </c>
      <c r="S116" s="403"/>
      <c r="T116" s="403" t="s">
        <v>2799</v>
      </c>
      <c r="U116" s="403" t="s">
        <v>152</v>
      </c>
      <c r="V116" s="403" t="s">
        <v>18</v>
      </c>
    </row>
    <row r="117" spans="1:22">
      <c r="A117" s="6"/>
      <c r="B117" s="216">
        <v>46207</v>
      </c>
      <c r="C117" s="216">
        <v>46207</v>
      </c>
      <c r="D117" s="403" t="s">
        <v>7188</v>
      </c>
      <c r="E117" s="403">
        <v>260103919414</v>
      </c>
      <c r="F117" s="403" t="s">
        <v>87</v>
      </c>
      <c r="G117" s="403" t="s">
        <v>2408</v>
      </c>
      <c r="H117" s="403">
        <v>95</v>
      </c>
      <c r="I117" s="403">
        <v>305</v>
      </c>
      <c r="J117" s="374">
        <v>305</v>
      </c>
      <c r="K117" s="403">
        <v>134</v>
      </c>
      <c r="L117" s="217">
        <v>1240</v>
      </c>
      <c r="M117" s="403" t="s">
        <v>153</v>
      </c>
      <c r="N117" s="403" t="s">
        <v>149</v>
      </c>
      <c r="O117" s="403" t="s">
        <v>154</v>
      </c>
      <c r="P117" s="403" t="s">
        <v>151</v>
      </c>
      <c r="Q117" s="403" t="s">
        <v>155</v>
      </c>
      <c r="R117" s="403" t="s">
        <v>7189</v>
      </c>
      <c r="S117" s="403"/>
      <c r="T117" s="403" t="s">
        <v>2799</v>
      </c>
      <c r="U117" s="403" t="s">
        <v>152</v>
      </c>
      <c r="V117" s="403" t="s">
        <v>18</v>
      </c>
    </row>
    <row r="118" spans="1:22">
      <c r="A118" s="6"/>
      <c r="B118" s="216">
        <v>46207</v>
      </c>
      <c r="C118" s="216">
        <v>46207</v>
      </c>
      <c r="D118" s="403" t="s">
        <v>7190</v>
      </c>
      <c r="E118" s="403">
        <v>260101719380</v>
      </c>
      <c r="F118" s="403" t="s">
        <v>87</v>
      </c>
      <c r="G118" s="403" t="s">
        <v>2408</v>
      </c>
      <c r="H118" s="403">
        <v>95</v>
      </c>
      <c r="I118" s="403">
        <v>242</v>
      </c>
      <c r="J118" s="374">
        <v>242</v>
      </c>
      <c r="K118" s="403">
        <v>134</v>
      </c>
      <c r="L118" s="217">
        <v>1000</v>
      </c>
      <c r="M118" s="403" t="s">
        <v>153</v>
      </c>
      <c r="N118" s="403" t="s">
        <v>149</v>
      </c>
      <c r="O118" s="403" t="s">
        <v>154</v>
      </c>
      <c r="P118" s="403" t="s">
        <v>151</v>
      </c>
      <c r="Q118" s="403" t="s">
        <v>155</v>
      </c>
      <c r="R118" s="403" t="s">
        <v>7191</v>
      </c>
      <c r="S118" s="403"/>
      <c r="T118" s="403" t="s">
        <v>2799</v>
      </c>
      <c r="U118" s="403" t="s">
        <v>152</v>
      </c>
      <c r="V118" s="403" t="s">
        <v>18</v>
      </c>
    </row>
    <row r="119" spans="1:22">
      <c r="A119" s="6"/>
      <c r="B119" s="216">
        <v>46207</v>
      </c>
      <c r="C119" s="216">
        <v>46207</v>
      </c>
      <c r="D119" s="403" t="s">
        <v>7192</v>
      </c>
      <c r="E119" s="403">
        <v>260102019411</v>
      </c>
      <c r="F119" s="403" t="s">
        <v>87</v>
      </c>
      <c r="G119" s="403" t="s">
        <v>2563</v>
      </c>
      <c r="H119" s="403">
        <v>95</v>
      </c>
      <c r="I119" s="403">
        <v>243</v>
      </c>
      <c r="J119" s="374">
        <v>243</v>
      </c>
      <c r="K119" s="403">
        <v>134</v>
      </c>
      <c r="L119" s="217">
        <v>1000</v>
      </c>
      <c r="M119" s="403" t="s">
        <v>153</v>
      </c>
      <c r="N119" s="403" t="s">
        <v>149</v>
      </c>
      <c r="O119" s="403" t="s">
        <v>154</v>
      </c>
      <c r="P119" s="403" t="s">
        <v>151</v>
      </c>
      <c r="Q119" s="403" t="s">
        <v>155</v>
      </c>
      <c r="R119" s="403" t="s">
        <v>7193</v>
      </c>
      <c r="S119" s="403"/>
      <c r="T119" s="403" t="s">
        <v>2799</v>
      </c>
      <c r="U119" s="403" t="s">
        <v>152</v>
      </c>
      <c r="V119" s="403" t="s">
        <v>18</v>
      </c>
    </row>
    <row r="120" spans="1:22">
      <c r="A120" s="6"/>
      <c r="B120" s="216">
        <v>46207</v>
      </c>
      <c r="C120" s="216">
        <v>46207</v>
      </c>
      <c r="D120" s="403" t="s">
        <v>7194</v>
      </c>
      <c r="E120" s="403">
        <v>260105219421</v>
      </c>
      <c r="F120" s="403" t="s">
        <v>87</v>
      </c>
      <c r="G120" s="403" t="s">
        <v>6967</v>
      </c>
      <c r="H120" s="403">
        <v>122</v>
      </c>
      <c r="I120" s="403">
        <v>272</v>
      </c>
      <c r="J120" s="374">
        <v>272</v>
      </c>
      <c r="K120" s="403">
        <v>89</v>
      </c>
      <c r="L120" s="217">
        <v>2550</v>
      </c>
      <c r="M120" s="403" t="s">
        <v>153</v>
      </c>
      <c r="N120" s="403" t="s">
        <v>149</v>
      </c>
      <c r="O120" s="403" t="s">
        <v>154</v>
      </c>
      <c r="P120" s="403" t="s">
        <v>151</v>
      </c>
      <c r="Q120" s="403" t="s">
        <v>155</v>
      </c>
      <c r="R120" s="403" t="s">
        <v>7195</v>
      </c>
      <c r="S120" s="403"/>
      <c r="T120" s="403" t="s">
        <v>2799</v>
      </c>
      <c r="U120" s="403" t="s">
        <v>152</v>
      </c>
      <c r="V120" s="403" t="s">
        <v>18</v>
      </c>
    </row>
    <row r="121" spans="1:22">
      <c r="A121" s="6"/>
      <c r="B121" s="216">
        <v>46207</v>
      </c>
      <c r="C121" s="216">
        <v>46207</v>
      </c>
      <c r="D121" s="403" t="s">
        <v>7196</v>
      </c>
      <c r="E121" s="403">
        <v>260100719426</v>
      </c>
      <c r="F121" s="403" t="s">
        <v>87</v>
      </c>
      <c r="G121" s="403" t="s">
        <v>7197</v>
      </c>
      <c r="H121" s="403">
        <v>182</v>
      </c>
      <c r="I121" s="403">
        <v>329</v>
      </c>
      <c r="J121" s="374">
        <v>329</v>
      </c>
      <c r="K121" s="403">
        <v>150</v>
      </c>
      <c r="L121" s="217">
        <v>615</v>
      </c>
      <c r="M121" s="403" t="s">
        <v>153</v>
      </c>
      <c r="N121" s="403" t="s">
        <v>149</v>
      </c>
      <c r="O121" s="403" t="s">
        <v>154</v>
      </c>
      <c r="P121" s="403" t="s">
        <v>151</v>
      </c>
      <c r="Q121" s="403" t="s">
        <v>155</v>
      </c>
      <c r="R121" s="403" t="s">
        <v>7198</v>
      </c>
      <c r="S121" s="403"/>
      <c r="T121" s="403" t="s">
        <v>2799</v>
      </c>
      <c r="U121" s="403" t="s">
        <v>152</v>
      </c>
      <c r="V121" s="403" t="s">
        <v>18</v>
      </c>
    </row>
    <row r="122" spans="1:22">
      <c r="A122" s="6"/>
      <c r="B122" s="216">
        <v>46207</v>
      </c>
      <c r="C122" s="216">
        <v>46207</v>
      </c>
      <c r="D122" s="403" t="s">
        <v>7199</v>
      </c>
      <c r="E122" s="403">
        <v>260100318616</v>
      </c>
      <c r="F122" s="403" t="s">
        <v>87</v>
      </c>
      <c r="G122" s="403" t="s">
        <v>7200</v>
      </c>
      <c r="H122" s="403">
        <v>270</v>
      </c>
      <c r="I122" s="403">
        <v>150</v>
      </c>
      <c r="J122" s="374">
        <v>150</v>
      </c>
      <c r="K122" s="403">
        <v>176.5</v>
      </c>
      <c r="L122" s="217">
        <v>153</v>
      </c>
      <c r="M122" s="403" t="s">
        <v>153</v>
      </c>
      <c r="N122" s="403" t="s">
        <v>149</v>
      </c>
      <c r="O122" s="403" t="s">
        <v>154</v>
      </c>
      <c r="P122" s="403" t="s">
        <v>151</v>
      </c>
      <c r="Q122" s="403" t="s">
        <v>155</v>
      </c>
      <c r="R122" s="403" t="s">
        <v>7201</v>
      </c>
      <c r="S122" s="403"/>
      <c r="T122" s="403" t="s">
        <v>2799</v>
      </c>
      <c r="U122" s="403" t="s">
        <v>152</v>
      </c>
      <c r="V122" s="403" t="s">
        <v>18</v>
      </c>
    </row>
    <row r="123" spans="1:22">
      <c r="A123" s="6"/>
      <c r="B123" s="216">
        <v>46207</v>
      </c>
      <c r="C123" s="216">
        <v>46207</v>
      </c>
      <c r="D123" s="403" t="s">
        <v>7202</v>
      </c>
      <c r="E123" s="403">
        <v>260101619376</v>
      </c>
      <c r="F123" s="403" t="s">
        <v>87</v>
      </c>
      <c r="G123" s="403" t="s">
        <v>2120</v>
      </c>
      <c r="H123" s="403">
        <v>112</v>
      </c>
      <c r="I123" s="403">
        <v>469</v>
      </c>
      <c r="J123" s="374">
        <v>469</v>
      </c>
      <c r="K123" s="403">
        <v>180</v>
      </c>
      <c r="L123" s="217">
        <v>1180</v>
      </c>
      <c r="M123" s="403" t="s">
        <v>153</v>
      </c>
      <c r="N123" s="403" t="s">
        <v>149</v>
      </c>
      <c r="O123" s="403" t="s">
        <v>154</v>
      </c>
      <c r="P123" s="403" t="s">
        <v>151</v>
      </c>
      <c r="Q123" s="403" t="s">
        <v>155</v>
      </c>
      <c r="R123" s="403" t="s">
        <v>7203</v>
      </c>
      <c r="S123" s="403"/>
      <c r="T123" s="403" t="s">
        <v>2799</v>
      </c>
      <c r="U123" s="403" t="s">
        <v>152</v>
      </c>
      <c r="V123" s="403" t="s">
        <v>18</v>
      </c>
    </row>
    <row r="124" spans="1:22">
      <c r="A124" s="6"/>
      <c r="B124" s="216">
        <v>46207</v>
      </c>
      <c r="C124" s="216">
        <v>46207</v>
      </c>
      <c r="D124" s="403" t="s">
        <v>7204</v>
      </c>
      <c r="E124" s="403">
        <v>260102719377</v>
      </c>
      <c r="F124" s="403" t="s">
        <v>87</v>
      </c>
      <c r="G124" s="403" t="s">
        <v>2658</v>
      </c>
      <c r="H124" s="403">
        <v>105</v>
      </c>
      <c r="I124" s="403">
        <v>268</v>
      </c>
      <c r="J124" s="374">
        <v>268</v>
      </c>
      <c r="K124" s="403">
        <v>130</v>
      </c>
      <c r="L124" s="217">
        <v>1000</v>
      </c>
      <c r="M124" s="403" t="s">
        <v>153</v>
      </c>
      <c r="N124" s="403" t="s">
        <v>149</v>
      </c>
      <c r="O124" s="403" t="s">
        <v>154</v>
      </c>
      <c r="P124" s="403" t="s">
        <v>151</v>
      </c>
      <c r="Q124" s="403" t="s">
        <v>155</v>
      </c>
      <c r="R124" s="403" t="s">
        <v>7205</v>
      </c>
      <c r="S124" s="403"/>
      <c r="T124" s="403" t="s">
        <v>2799</v>
      </c>
      <c r="U124" s="403" t="s">
        <v>152</v>
      </c>
      <c r="V124" s="403" t="s">
        <v>18</v>
      </c>
    </row>
    <row r="125" spans="1:22">
      <c r="A125" s="6"/>
      <c r="B125" s="216">
        <v>46207</v>
      </c>
      <c r="C125" s="216">
        <v>46207</v>
      </c>
      <c r="D125" s="403" t="s">
        <v>7206</v>
      </c>
      <c r="E125" s="403">
        <v>260104619387</v>
      </c>
      <c r="F125" s="403" t="s">
        <v>87</v>
      </c>
      <c r="G125" s="403" t="s">
        <v>859</v>
      </c>
      <c r="H125" s="403">
        <v>152</v>
      </c>
      <c r="I125" s="403">
        <v>313</v>
      </c>
      <c r="J125" s="374">
        <v>313</v>
      </c>
      <c r="K125" s="403">
        <v>104</v>
      </c>
      <c r="L125" s="217">
        <v>2100</v>
      </c>
      <c r="M125" s="403" t="s">
        <v>153</v>
      </c>
      <c r="N125" s="403" t="s">
        <v>149</v>
      </c>
      <c r="O125" s="403" t="s">
        <v>154</v>
      </c>
      <c r="P125" s="403" t="s">
        <v>151</v>
      </c>
      <c r="Q125" s="403" t="s">
        <v>155</v>
      </c>
      <c r="R125" s="403" t="s">
        <v>7207</v>
      </c>
      <c r="S125" s="403"/>
      <c r="T125" s="403" t="s">
        <v>2799</v>
      </c>
      <c r="U125" s="403" t="s">
        <v>152</v>
      </c>
      <c r="V125" s="403" t="s">
        <v>18</v>
      </c>
    </row>
    <row r="126" spans="1:22">
      <c r="A126" s="6"/>
      <c r="B126" s="216">
        <v>46207</v>
      </c>
      <c r="C126" s="216">
        <v>46207</v>
      </c>
      <c r="D126" s="403" t="s">
        <v>7208</v>
      </c>
      <c r="E126" s="403">
        <v>260106819390</v>
      </c>
      <c r="F126" s="403" t="s">
        <v>87</v>
      </c>
      <c r="G126" s="403" t="s">
        <v>2425</v>
      </c>
      <c r="H126" s="403">
        <v>132</v>
      </c>
      <c r="I126" s="403">
        <v>275</v>
      </c>
      <c r="J126" s="374">
        <v>275</v>
      </c>
      <c r="K126" s="403">
        <v>92</v>
      </c>
      <c r="L126" s="217">
        <v>2300</v>
      </c>
      <c r="M126" s="403" t="s">
        <v>153</v>
      </c>
      <c r="N126" s="403" t="s">
        <v>149</v>
      </c>
      <c r="O126" s="403" t="s">
        <v>154</v>
      </c>
      <c r="P126" s="403" t="s">
        <v>151</v>
      </c>
      <c r="Q126" s="403" t="s">
        <v>155</v>
      </c>
      <c r="R126" s="403" t="s">
        <v>7209</v>
      </c>
      <c r="S126" s="403"/>
      <c r="T126" s="403" t="s">
        <v>2799</v>
      </c>
      <c r="U126" s="403" t="s">
        <v>152</v>
      </c>
      <c r="V126" s="403" t="s">
        <v>18</v>
      </c>
    </row>
    <row r="127" spans="1:22">
      <c r="A127" s="6"/>
      <c r="B127" s="216">
        <v>46207</v>
      </c>
      <c r="C127" s="216">
        <v>46207</v>
      </c>
      <c r="D127" s="403" t="s">
        <v>7210</v>
      </c>
      <c r="E127" s="403">
        <v>260105319422</v>
      </c>
      <c r="F127" s="403" t="s">
        <v>87</v>
      </c>
      <c r="G127" s="403" t="s">
        <v>2555</v>
      </c>
      <c r="H127" s="403">
        <v>152</v>
      </c>
      <c r="I127" s="403">
        <v>272</v>
      </c>
      <c r="J127" s="374">
        <v>272</v>
      </c>
      <c r="K127" s="403">
        <v>104</v>
      </c>
      <c r="L127" s="217">
        <v>1790</v>
      </c>
      <c r="M127" s="403" t="s">
        <v>153</v>
      </c>
      <c r="N127" s="403" t="s">
        <v>149</v>
      </c>
      <c r="O127" s="403" t="s">
        <v>154</v>
      </c>
      <c r="P127" s="403" t="s">
        <v>151</v>
      </c>
      <c r="Q127" s="403" t="s">
        <v>155</v>
      </c>
      <c r="R127" s="403" t="s">
        <v>7211</v>
      </c>
      <c r="S127" s="403"/>
      <c r="T127" s="403" t="s">
        <v>2799</v>
      </c>
      <c r="U127" s="403" t="s">
        <v>152</v>
      </c>
      <c r="V127" s="403" t="s">
        <v>18</v>
      </c>
    </row>
    <row r="128" spans="1:22">
      <c r="A128" s="6"/>
      <c r="B128" s="216">
        <v>46207</v>
      </c>
      <c r="C128" s="216">
        <v>46207</v>
      </c>
      <c r="D128" s="403" t="s">
        <v>7212</v>
      </c>
      <c r="E128" s="403">
        <v>260102519378</v>
      </c>
      <c r="F128" s="403" t="s">
        <v>87</v>
      </c>
      <c r="G128" s="403" t="s">
        <v>2658</v>
      </c>
      <c r="H128" s="403">
        <v>95</v>
      </c>
      <c r="I128" s="403">
        <v>236</v>
      </c>
      <c r="J128" s="374">
        <v>236</v>
      </c>
      <c r="K128" s="403">
        <v>130</v>
      </c>
      <c r="L128" s="217">
        <v>1000</v>
      </c>
      <c r="M128" s="403" t="s">
        <v>153</v>
      </c>
      <c r="N128" s="403" t="s">
        <v>149</v>
      </c>
      <c r="O128" s="403" t="s">
        <v>154</v>
      </c>
      <c r="P128" s="403" t="s">
        <v>151</v>
      </c>
      <c r="Q128" s="403" t="s">
        <v>155</v>
      </c>
      <c r="R128" s="403" t="s">
        <v>7213</v>
      </c>
      <c r="S128" s="403"/>
      <c r="T128" s="403" t="s">
        <v>2799</v>
      </c>
      <c r="U128" s="403" t="s">
        <v>152</v>
      </c>
      <c r="V128" s="403" t="s">
        <v>18</v>
      </c>
    </row>
    <row r="129" spans="1:22">
      <c r="A129" s="6"/>
      <c r="B129" s="216">
        <v>46207</v>
      </c>
      <c r="C129" s="216">
        <v>46207</v>
      </c>
      <c r="D129" s="403" t="s">
        <v>7214</v>
      </c>
      <c r="E129" s="403">
        <v>260104019382</v>
      </c>
      <c r="F129" s="403" t="s">
        <v>87</v>
      </c>
      <c r="G129" s="403" t="s">
        <v>2563</v>
      </c>
      <c r="H129" s="403">
        <v>95</v>
      </c>
      <c r="I129" s="403">
        <v>104</v>
      </c>
      <c r="J129" s="374">
        <v>104</v>
      </c>
      <c r="K129" s="403">
        <v>134</v>
      </c>
      <c r="L129" s="217">
        <v>430</v>
      </c>
      <c r="M129" s="403" t="s">
        <v>153</v>
      </c>
      <c r="N129" s="403" t="s">
        <v>149</v>
      </c>
      <c r="O129" s="403" t="s">
        <v>154</v>
      </c>
      <c r="P129" s="403" t="s">
        <v>151</v>
      </c>
      <c r="Q129" s="403" t="s">
        <v>155</v>
      </c>
      <c r="R129" s="403" t="s">
        <v>7215</v>
      </c>
      <c r="S129" s="403"/>
      <c r="T129" s="403" t="s">
        <v>2799</v>
      </c>
      <c r="U129" s="403" t="s">
        <v>152</v>
      </c>
      <c r="V129" s="403" t="s">
        <v>18</v>
      </c>
    </row>
    <row r="130" spans="1:22">
      <c r="A130" s="6"/>
      <c r="B130" s="216">
        <v>46207</v>
      </c>
      <c r="C130" s="216">
        <v>46207</v>
      </c>
      <c r="D130" s="403" t="s">
        <v>7216</v>
      </c>
      <c r="E130" s="403">
        <v>260100719374</v>
      </c>
      <c r="F130" s="403" t="s">
        <v>87</v>
      </c>
      <c r="G130" s="403" t="s">
        <v>7197</v>
      </c>
      <c r="H130" s="403">
        <v>182</v>
      </c>
      <c r="I130" s="403">
        <v>313</v>
      </c>
      <c r="J130" s="374">
        <v>313</v>
      </c>
      <c r="K130" s="403">
        <v>150</v>
      </c>
      <c r="L130" s="217">
        <v>600</v>
      </c>
      <c r="M130" s="403" t="s">
        <v>153</v>
      </c>
      <c r="N130" s="403" t="s">
        <v>149</v>
      </c>
      <c r="O130" s="403" t="s">
        <v>154</v>
      </c>
      <c r="P130" s="403" t="s">
        <v>151</v>
      </c>
      <c r="Q130" s="403" t="s">
        <v>155</v>
      </c>
      <c r="R130" s="403" t="s">
        <v>7217</v>
      </c>
      <c r="S130" s="403"/>
      <c r="T130" s="403" t="s">
        <v>2799</v>
      </c>
      <c r="U130" s="403" t="s">
        <v>152</v>
      </c>
      <c r="V130" s="403" t="s">
        <v>18</v>
      </c>
    </row>
    <row r="131" spans="1:22">
      <c r="A131" s="6"/>
      <c r="B131" s="216">
        <v>46207</v>
      </c>
      <c r="C131" s="216">
        <v>46207</v>
      </c>
      <c r="D131" s="403" t="s">
        <v>7218</v>
      </c>
      <c r="E131" s="403">
        <v>260101819379</v>
      </c>
      <c r="F131" s="403" t="s">
        <v>87</v>
      </c>
      <c r="G131" s="403" t="s">
        <v>2408</v>
      </c>
      <c r="H131" s="403">
        <v>95</v>
      </c>
      <c r="I131" s="403">
        <v>246</v>
      </c>
      <c r="J131" s="374">
        <v>246</v>
      </c>
      <c r="K131" s="403">
        <v>134</v>
      </c>
      <c r="L131" s="217">
        <v>1000</v>
      </c>
      <c r="M131" s="403" t="s">
        <v>153</v>
      </c>
      <c r="N131" s="403" t="s">
        <v>149</v>
      </c>
      <c r="O131" s="403" t="s">
        <v>154</v>
      </c>
      <c r="P131" s="403" t="s">
        <v>151</v>
      </c>
      <c r="Q131" s="403" t="s">
        <v>155</v>
      </c>
      <c r="R131" s="403" t="s">
        <v>7219</v>
      </c>
      <c r="S131" s="403"/>
      <c r="T131" s="403" t="s">
        <v>2799</v>
      </c>
      <c r="U131" s="403" t="s">
        <v>152</v>
      </c>
      <c r="V131" s="403" t="s">
        <v>18</v>
      </c>
    </row>
    <row r="132" spans="1:22">
      <c r="A132" s="6"/>
      <c r="B132" s="216">
        <v>46207</v>
      </c>
      <c r="C132" s="216">
        <v>46207</v>
      </c>
      <c r="D132" s="403" t="s">
        <v>7220</v>
      </c>
      <c r="E132" s="403">
        <v>260102819406</v>
      </c>
      <c r="F132" s="403" t="s">
        <v>87</v>
      </c>
      <c r="G132" s="403" t="s">
        <v>2658</v>
      </c>
      <c r="H132" s="403">
        <v>105</v>
      </c>
      <c r="I132" s="403">
        <v>269</v>
      </c>
      <c r="J132" s="374">
        <v>269</v>
      </c>
      <c r="K132" s="403">
        <v>130</v>
      </c>
      <c r="L132" s="217">
        <v>1000</v>
      </c>
      <c r="M132" s="403" t="s">
        <v>153</v>
      </c>
      <c r="N132" s="403" t="s">
        <v>149</v>
      </c>
      <c r="O132" s="403" t="s">
        <v>154</v>
      </c>
      <c r="P132" s="403" t="s">
        <v>151</v>
      </c>
      <c r="Q132" s="403" t="s">
        <v>155</v>
      </c>
      <c r="R132" s="403" t="s">
        <v>7221</v>
      </c>
      <c r="S132" s="403"/>
      <c r="T132" s="403" t="s">
        <v>2799</v>
      </c>
      <c r="U132" s="403" t="s">
        <v>152</v>
      </c>
      <c r="V132" s="403" t="s">
        <v>18</v>
      </c>
    </row>
    <row r="133" spans="1:22">
      <c r="A133" s="6"/>
      <c r="B133" s="216">
        <v>46207</v>
      </c>
      <c r="C133" s="216">
        <v>46207</v>
      </c>
      <c r="D133" s="403" t="s">
        <v>7222</v>
      </c>
      <c r="E133" s="403">
        <v>260107819423</v>
      </c>
      <c r="F133" s="403" t="s">
        <v>87</v>
      </c>
      <c r="G133" s="403" t="s">
        <v>2425</v>
      </c>
      <c r="H133" s="403">
        <v>132</v>
      </c>
      <c r="I133" s="403">
        <v>362</v>
      </c>
      <c r="J133" s="374">
        <v>362</v>
      </c>
      <c r="K133" s="403">
        <v>92</v>
      </c>
      <c r="L133" s="217">
        <v>2970</v>
      </c>
      <c r="M133" s="403" t="s">
        <v>153</v>
      </c>
      <c r="N133" s="403" t="s">
        <v>149</v>
      </c>
      <c r="O133" s="403" t="s">
        <v>154</v>
      </c>
      <c r="P133" s="403" t="s">
        <v>151</v>
      </c>
      <c r="Q133" s="403" t="s">
        <v>155</v>
      </c>
      <c r="R133" s="403" t="s">
        <v>7223</v>
      </c>
      <c r="S133" s="403"/>
      <c r="T133" s="403" t="s">
        <v>2799</v>
      </c>
      <c r="U133" s="403" t="s">
        <v>152</v>
      </c>
      <c r="V133" s="403" t="s">
        <v>18</v>
      </c>
    </row>
    <row r="134" spans="1:22">
      <c r="A134" s="6"/>
      <c r="B134" s="216">
        <v>46207</v>
      </c>
      <c r="C134" s="216">
        <v>46207</v>
      </c>
      <c r="D134" s="403" t="s">
        <v>7224</v>
      </c>
      <c r="E134" s="403">
        <v>260105719419</v>
      </c>
      <c r="F134" s="403" t="s">
        <v>87</v>
      </c>
      <c r="G134" s="403" t="s">
        <v>2409</v>
      </c>
      <c r="H134" s="403">
        <v>152</v>
      </c>
      <c r="I134" s="403">
        <v>258</v>
      </c>
      <c r="J134" s="374">
        <v>258</v>
      </c>
      <c r="K134" s="403">
        <v>97</v>
      </c>
      <c r="L134" s="217">
        <v>1860</v>
      </c>
      <c r="M134" s="403" t="s">
        <v>153</v>
      </c>
      <c r="N134" s="403" t="s">
        <v>149</v>
      </c>
      <c r="O134" s="403" t="s">
        <v>154</v>
      </c>
      <c r="P134" s="403" t="s">
        <v>151</v>
      </c>
      <c r="Q134" s="403" t="s">
        <v>155</v>
      </c>
      <c r="R134" s="403" t="s">
        <v>7225</v>
      </c>
      <c r="S134" s="403"/>
      <c r="T134" s="403" t="s">
        <v>2799</v>
      </c>
      <c r="U134" s="403" t="s">
        <v>152</v>
      </c>
      <c r="V134" s="403" t="s">
        <v>18</v>
      </c>
    </row>
    <row r="135" spans="1:22">
      <c r="A135" s="6"/>
      <c r="B135" s="216">
        <v>46207</v>
      </c>
      <c r="C135" s="216">
        <v>46207</v>
      </c>
      <c r="D135" s="403" t="s">
        <v>7226</v>
      </c>
      <c r="E135" s="403">
        <v>260100419427</v>
      </c>
      <c r="F135" s="403" t="s">
        <v>87</v>
      </c>
      <c r="G135" s="403" t="s">
        <v>7130</v>
      </c>
      <c r="H135" s="403">
        <v>182</v>
      </c>
      <c r="I135" s="403">
        <v>385</v>
      </c>
      <c r="J135" s="374">
        <v>385</v>
      </c>
      <c r="K135" s="403">
        <v>190</v>
      </c>
      <c r="L135" s="217">
        <v>560</v>
      </c>
      <c r="M135" s="403" t="s">
        <v>153</v>
      </c>
      <c r="N135" s="403" t="s">
        <v>149</v>
      </c>
      <c r="O135" s="403" t="s">
        <v>154</v>
      </c>
      <c r="P135" s="403" t="s">
        <v>151</v>
      </c>
      <c r="Q135" s="403" t="s">
        <v>155</v>
      </c>
      <c r="R135" s="403" t="s">
        <v>7227</v>
      </c>
      <c r="S135" s="403"/>
      <c r="T135" s="403" t="s">
        <v>2799</v>
      </c>
      <c r="U135" s="403" t="s">
        <v>152</v>
      </c>
      <c r="V135" s="403" t="s">
        <v>18</v>
      </c>
    </row>
    <row r="136" spans="1:22">
      <c r="A136" s="6"/>
      <c r="B136" s="216">
        <v>46207</v>
      </c>
      <c r="C136" s="216">
        <v>46207</v>
      </c>
      <c r="D136" s="403" t="s">
        <v>7228</v>
      </c>
      <c r="E136" s="403">
        <v>260103719415</v>
      </c>
      <c r="F136" s="403" t="s">
        <v>87</v>
      </c>
      <c r="G136" s="403" t="s">
        <v>2563</v>
      </c>
      <c r="H136" s="403">
        <v>95</v>
      </c>
      <c r="I136" s="403">
        <v>315</v>
      </c>
      <c r="J136" s="374">
        <v>315</v>
      </c>
      <c r="K136" s="403">
        <v>134</v>
      </c>
      <c r="L136" s="217">
        <v>1280</v>
      </c>
      <c r="M136" s="403" t="s">
        <v>153</v>
      </c>
      <c r="N136" s="403" t="s">
        <v>149</v>
      </c>
      <c r="O136" s="403" t="s">
        <v>154</v>
      </c>
      <c r="P136" s="403" t="s">
        <v>151</v>
      </c>
      <c r="Q136" s="403" t="s">
        <v>155</v>
      </c>
      <c r="R136" s="403" t="s">
        <v>7229</v>
      </c>
      <c r="S136" s="403"/>
      <c r="T136" s="403" t="s">
        <v>2799</v>
      </c>
      <c r="U136" s="403" t="s">
        <v>152</v>
      </c>
      <c r="V136" s="403" t="s">
        <v>18</v>
      </c>
    </row>
    <row r="137" spans="1:22">
      <c r="A137" s="6"/>
      <c r="B137" s="216">
        <v>46207</v>
      </c>
      <c r="C137" s="216">
        <v>46207</v>
      </c>
      <c r="D137" s="403" t="s">
        <v>7230</v>
      </c>
      <c r="E137" s="403">
        <v>260100419398</v>
      </c>
      <c r="F137" s="403" t="s">
        <v>87</v>
      </c>
      <c r="G137" s="403" t="s">
        <v>7130</v>
      </c>
      <c r="H137" s="403">
        <v>182</v>
      </c>
      <c r="I137" s="403">
        <v>415</v>
      </c>
      <c r="J137" s="374">
        <v>415</v>
      </c>
      <c r="K137" s="403">
        <v>190</v>
      </c>
      <c r="L137" s="217">
        <v>600</v>
      </c>
      <c r="M137" s="403" t="s">
        <v>153</v>
      </c>
      <c r="N137" s="403" t="s">
        <v>149</v>
      </c>
      <c r="O137" s="403" t="s">
        <v>154</v>
      </c>
      <c r="P137" s="403" t="s">
        <v>151</v>
      </c>
      <c r="Q137" s="403" t="s">
        <v>155</v>
      </c>
      <c r="R137" s="403" t="s">
        <v>7231</v>
      </c>
      <c r="S137" s="403"/>
      <c r="T137" s="403" t="s">
        <v>2799</v>
      </c>
      <c r="U137" s="403" t="s">
        <v>152</v>
      </c>
      <c r="V137" s="403" t="s">
        <v>18</v>
      </c>
    </row>
    <row r="138" spans="1:22">
      <c r="A138" s="6"/>
      <c r="B138" s="216">
        <v>46207</v>
      </c>
      <c r="C138" s="216">
        <v>46207</v>
      </c>
      <c r="D138" s="403" t="s">
        <v>7232</v>
      </c>
      <c r="E138" s="403" t="s">
        <v>7233</v>
      </c>
      <c r="F138" s="403" t="s">
        <v>87</v>
      </c>
      <c r="G138" s="403" t="s">
        <v>7036</v>
      </c>
      <c r="H138" s="403" t="s">
        <v>2253</v>
      </c>
      <c r="I138" s="403">
        <v>373</v>
      </c>
      <c r="J138" s="374">
        <v>373</v>
      </c>
      <c r="K138" s="403">
        <v>107</v>
      </c>
      <c r="L138" s="217">
        <v>4400</v>
      </c>
      <c r="M138" s="403" t="s">
        <v>153</v>
      </c>
      <c r="N138" s="403" t="s">
        <v>149</v>
      </c>
      <c r="O138" s="403" t="s">
        <v>154</v>
      </c>
      <c r="P138" s="403" t="s">
        <v>151</v>
      </c>
      <c r="Q138" s="403" t="s">
        <v>156</v>
      </c>
      <c r="R138" s="403" t="s">
        <v>7234</v>
      </c>
      <c r="S138" s="403"/>
      <c r="T138" s="403" t="s">
        <v>2799</v>
      </c>
      <c r="U138" s="403" t="s">
        <v>152</v>
      </c>
      <c r="V138" s="403" t="s">
        <v>20</v>
      </c>
    </row>
    <row r="139" spans="1:22">
      <c r="A139" s="6"/>
      <c r="B139" s="216">
        <v>46207</v>
      </c>
      <c r="C139" s="216">
        <v>46207</v>
      </c>
      <c r="D139" s="403" t="s">
        <v>7235</v>
      </c>
      <c r="E139" s="403" t="s">
        <v>7236</v>
      </c>
      <c r="F139" s="403" t="s">
        <v>87</v>
      </c>
      <c r="G139" s="403" t="s">
        <v>7237</v>
      </c>
      <c r="H139" s="403" t="s">
        <v>7238</v>
      </c>
      <c r="I139" s="403">
        <v>372</v>
      </c>
      <c r="J139" s="374">
        <v>372</v>
      </c>
      <c r="K139" s="403">
        <v>80</v>
      </c>
      <c r="L139" s="217">
        <v>4150</v>
      </c>
      <c r="M139" s="403" t="s">
        <v>153</v>
      </c>
      <c r="N139" s="403" t="s">
        <v>149</v>
      </c>
      <c r="O139" s="403" t="s">
        <v>154</v>
      </c>
      <c r="P139" s="403" t="s">
        <v>151</v>
      </c>
      <c r="Q139" s="403" t="s">
        <v>156</v>
      </c>
      <c r="R139" s="403" t="s">
        <v>7239</v>
      </c>
      <c r="S139" s="403"/>
      <c r="T139" s="403" t="s">
        <v>2801</v>
      </c>
      <c r="U139" s="403" t="s">
        <v>152</v>
      </c>
      <c r="V139" s="403" t="s">
        <v>20</v>
      </c>
    </row>
    <row r="140" spans="1:22">
      <c r="A140" s="6"/>
      <c r="B140" s="216">
        <v>46207</v>
      </c>
      <c r="C140" s="216">
        <v>46207</v>
      </c>
      <c r="D140" s="403" t="s">
        <v>7240</v>
      </c>
      <c r="E140" s="403" t="s">
        <v>7241</v>
      </c>
      <c r="F140" s="403" t="s">
        <v>87</v>
      </c>
      <c r="G140" s="403" t="s">
        <v>7242</v>
      </c>
      <c r="H140" s="403" t="s">
        <v>2653</v>
      </c>
      <c r="I140" s="403">
        <v>136</v>
      </c>
      <c r="J140" s="374">
        <v>136</v>
      </c>
      <c r="K140" s="403">
        <v>58</v>
      </c>
      <c r="L140" s="217">
        <v>2100</v>
      </c>
      <c r="M140" s="403" t="s">
        <v>153</v>
      </c>
      <c r="N140" s="403" t="s">
        <v>149</v>
      </c>
      <c r="O140" s="403" t="s">
        <v>154</v>
      </c>
      <c r="P140" s="403" t="s">
        <v>151</v>
      </c>
      <c r="Q140" s="403" t="s">
        <v>156</v>
      </c>
      <c r="R140" s="403" t="s">
        <v>7243</v>
      </c>
      <c r="S140" s="403"/>
      <c r="T140" s="403" t="s">
        <v>2801</v>
      </c>
      <c r="U140" s="403" t="s">
        <v>152</v>
      </c>
      <c r="V140" s="403" t="s">
        <v>20</v>
      </c>
    </row>
    <row r="141" spans="1:22">
      <c r="A141" s="6"/>
      <c r="B141" s="216">
        <v>46207</v>
      </c>
      <c r="C141" s="216">
        <v>46207</v>
      </c>
      <c r="D141" s="403" t="s">
        <v>7244</v>
      </c>
      <c r="E141" s="403" t="s">
        <v>7245</v>
      </c>
      <c r="F141" s="403" t="s">
        <v>87</v>
      </c>
      <c r="G141" s="403" t="s">
        <v>2517</v>
      </c>
      <c r="H141" s="403">
        <v>92</v>
      </c>
      <c r="I141" s="403">
        <v>209</v>
      </c>
      <c r="J141" s="374">
        <v>209</v>
      </c>
      <c r="K141" s="403">
        <v>125</v>
      </c>
      <c r="L141" s="217">
        <v>830</v>
      </c>
      <c r="M141" s="403" t="s">
        <v>153</v>
      </c>
      <c r="N141" s="403" t="s">
        <v>149</v>
      </c>
      <c r="O141" s="403" t="s">
        <v>154</v>
      </c>
      <c r="P141" s="403" t="s">
        <v>151</v>
      </c>
      <c r="Q141" s="403" t="s">
        <v>155</v>
      </c>
      <c r="R141" s="403" t="s">
        <v>7246</v>
      </c>
      <c r="S141" s="403"/>
      <c r="T141" s="403" t="s">
        <v>2813</v>
      </c>
      <c r="U141" s="403" t="s">
        <v>152</v>
      </c>
      <c r="V141" s="403" t="s">
        <v>18</v>
      </c>
    </row>
    <row r="142" spans="1:22">
      <c r="A142" s="6"/>
      <c r="B142" s="216">
        <v>46207</v>
      </c>
      <c r="C142" s="216">
        <v>46207</v>
      </c>
      <c r="D142" s="403" t="s">
        <v>7247</v>
      </c>
      <c r="E142" s="403" t="s">
        <v>7248</v>
      </c>
      <c r="F142" s="403" t="s">
        <v>87</v>
      </c>
      <c r="G142" s="403" t="s">
        <v>2517</v>
      </c>
      <c r="H142" s="403">
        <v>92</v>
      </c>
      <c r="I142" s="403">
        <v>247</v>
      </c>
      <c r="J142" s="374">
        <v>247</v>
      </c>
      <c r="K142" s="403">
        <v>125</v>
      </c>
      <c r="L142" s="217">
        <v>1013</v>
      </c>
      <c r="M142" s="403" t="s">
        <v>153</v>
      </c>
      <c r="N142" s="403" t="s">
        <v>149</v>
      </c>
      <c r="O142" s="403" t="s">
        <v>154</v>
      </c>
      <c r="P142" s="403" t="s">
        <v>151</v>
      </c>
      <c r="Q142" s="403" t="s">
        <v>155</v>
      </c>
      <c r="R142" s="403" t="s">
        <v>7249</v>
      </c>
      <c r="S142" s="403"/>
      <c r="T142" s="403" t="s">
        <v>2813</v>
      </c>
      <c r="U142" s="403" t="s">
        <v>152</v>
      </c>
      <c r="V142" s="403" t="s">
        <v>18</v>
      </c>
    </row>
    <row r="143" spans="1:22">
      <c r="A143" s="6"/>
      <c r="B143" s="216">
        <v>46207</v>
      </c>
      <c r="C143" s="216">
        <v>46207</v>
      </c>
      <c r="D143" s="403" t="s">
        <v>7250</v>
      </c>
      <c r="E143" s="403" t="s">
        <v>7251</v>
      </c>
      <c r="F143" s="403" t="s">
        <v>87</v>
      </c>
      <c r="G143" s="403" t="s">
        <v>2517</v>
      </c>
      <c r="H143" s="403">
        <v>92</v>
      </c>
      <c r="I143" s="403">
        <v>145</v>
      </c>
      <c r="J143" s="374">
        <v>145</v>
      </c>
      <c r="K143" s="403">
        <v>125</v>
      </c>
      <c r="L143" s="217">
        <v>600</v>
      </c>
      <c r="M143" s="403" t="s">
        <v>153</v>
      </c>
      <c r="N143" s="403" t="s">
        <v>149</v>
      </c>
      <c r="O143" s="403" t="s">
        <v>154</v>
      </c>
      <c r="P143" s="403" t="s">
        <v>151</v>
      </c>
      <c r="Q143" s="403" t="s">
        <v>155</v>
      </c>
      <c r="R143" s="403" t="s">
        <v>7252</v>
      </c>
      <c r="S143" s="403"/>
      <c r="T143" s="403" t="s">
        <v>2813</v>
      </c>
      <c r="U143" s="403" t="s">
        <v>152</v>
      </c>
      <c r="V143" s="403" t="s">
        <v>18</v>
      </c>
    </row>
    <row r="144" spans="1:22">
      <c r="A144" s="6"/>
      <c r="B144" s="216">
        <v>46208</v>
      </c>
      <c r="C144" s="216">
        <v>46208</v>
      </c>
      <c r="D144" s="403" t="s">
        <v>7253</v>
      </c>
      <c r="E144" s="403" t="s">
        <v>7254</v>
      </c>
      <c r="F144" s="403" t="s">
        <v>87</v>
      </c>
      <c r="G144" s="403" t="s">
        <v>2517</v>
      </c>
      <c r="H144" s="403">
        <v>95</v>
      </c>
      <c r="I144" s="403">
        <v>270</v>
      </c>
      <c r="J144" s="374">
        <v>270</v>
      </c>
      <c r="K144" s="403">
        <v>125</v>
      </c>
      <c r="L144" s="217">
        <v>1133</v>
      </c>
      <c r="M144" s="403" t="s">
        <v>153</v>
      </c>
      <c r="N144" s="403" t="s">
        <v>149</v>
      </c>
      <c r="O144" s="403" t="s">
        <v>154</v>
      </c>
      <c r="P144" s="403" t="s">
        <v>151</v>
      </c>
      <c r="Q144" s="403" t="s">
        <v>155</v>
      </c>
      <c r="R144" s="403" t="s">
        <v>7255</v>
      </c>
      <c r="S144" s="403"/>
      <c r="T144" s="403" t="s">
        <v>2797</v>
      </c>
      <c r="U144" s="403" t="s">
        <v>152</v>
      </c>
      <c r="V144" s="403" t="s">
        <v>18</v>
      </c>
    </row>
    <row r="145" spans="1:22">
      <c r="A145" s="6"/>
      <c r="B145" s="216">
        <v>46208</v>
      </c>
      <c r="C145" s="216">
        <v>46208</v>
      </c>
      <c r="D145" s="403" t="s">
        <v>7256</v>
      </c>
      <c r="E145" s="403" t="s">
        <v>7257</v>
      </c>
      <c r="F145" s="403" t="s">
        <v>87</v>
      </c>
      <c r="G145" s="403" t="s">
        <v>2517</v>
      </c>
      <c r="H145" s="403">
        <v>92</v>
      </c>
      <c r="I145" s="403">
        <v>210</v>
      </c>
      <c r="J145" s="374">
        <v>210</v>
      </c>
      <c r="K145" s="403">
        <v>125</v>
      </c>
      <c r="L145" s="217">
        <v>863</v>
      </c>
      <c r="M145" s="403" t="s">
        <v>153</v>
      </c>
      <c r="N145" s="403" t="s">
        <v>149</v>
      </c>
      <c r="O145" s="403" t="s">
        <v>154</v>
      </c>
      <c r="P145" s="403" t="s">
        <v>151</v>
      </c>
      <c r="Q145" s="403" t="s">
        <v>155</v>
      </c>
      <c r="R145" s="403" t="s">
        <v>7258</v>
      </c>
      <c r="S145" s="403"/>
      <c r="T145" s="403" t="s">
        <v>2797</v>
      </c>
      <c r="U145" s="403" t="s">
        <v>152</v>
      </c>
      <c r="V145" s="403" t="s">
        <v>18</v>
      </c>
    </row>
    <row r="146" spans="1:22">
      <c r="A146" s="6"/>
      <c r="B146" s="216">
        <v>46208</v>
      </c>
      <c r="C146" s="216">
        <v>46208</v>
      </c>
      <c r="D146" s="403" t="s">
        <v>7259</v>
      </c>
      <c r="E146" s="403" t="s">
        <v>7260</v>
      </c>
      <c r="F146" s="403" t="s">
        <v>87</v>
      </c>
      <c r="G146" s="403" t="s">
        <v>2517</v>
      </c>
      <c r="H146" s="403">
        <v>92</v>
      </c>
      <c r="I146" s="403">
        <v>280</v>
      </c>
      <c r="J146" s="374">
        <v>280</v>
      </c>
      <c r="K146" s="403">
        <v>125</v>
      </c>
      <c r="L146" s="217">
        <v>1156</v>
      </c>
      <c r="M146" s="403" t="s">
        <v>153</v>
      </c>
      <c r="N146" s="403" t="s">
        <v>149</v>
      </c>
      <c r="O146" s="403" t="s">
        <v>154</v>
      </c>
      <c r="P146" s="403" t="s">
        <v>151</v>
      </c>
      <c r="Q146" s="403" t="s">
        <v>155</v>
      </c>
      <c r="R146" s="403" t="s">
        <v>7261</v>
      </c>
      <c r="S146" s="403"/>
      <c r="T146" s="403" t="s">
        <v>2797</v>
      </c>
      <c r="U146" s="403" t="s">
        <v>152</v>
      </c>
      <c r="V146" s="403" t="s">
        <v>18</v>
      </c>
    </row>
    <row r="147" spans="1:22">
      <c r="A147" s="6"/>
      <c r="B147" s="216">
        <v>46208</v>
      </c>
      <c r="C147" s="216">
        <v>46208</v>
      </c>
      <c r="D147" s="403" t="s">
        <v>7262</v>
      </c>
      <c r="E147" s="403" t="s">
        <v>7263</v>
      </c>
      <c r="F147" s="403" t="s">
        <v>87</v>
      </c>
      <c r="G147" s="403" t="s">
        <v>2517</v>
      </c>
      <c r="H147" s="403">
        <v>95</v>
      </c>
      <c r="I147" s="403">
        <v>232</v>
      </c>
      <c r="J147" s="374">
        <v>232</v>
      </c>
      <c r="K147" s="403">
        <v>125</v>
      </c>
      <c r="L147" s="217">
        <v>938</v>
      </c>
      <c r="M147" s="403" t="s">
        <v>153</v>
      </c>
      <c r="N147" s="403" t="s">
        <v>149</v>
      </c>
      <c r="O147" s="403" t="s">
        <v>154</v>
      </c>
      <c r="P147" s="403" t="s">
        <v>151</v>
      </c>
      <c r="Q147" s="403" t="s">
        <v>155</v>
      </c>
      <c r="R147" s="403" t="s">
        <v>7264</v>
      </c>
      <c r="S147" s="403"/>
      <c r="T147" s="403" t="s">
        <v>2797</v>
      </c>
      <c r="U147" s="403" t="s">
        <v>152</v>
      </c>
      <c r="V147" s="403" t="s">
        <v>18</v>
      </c>
    </row>
    <row r="148" spans="1:22">
      <c r="A148" s="6"/>
      <c r="B148" s="216">
        <v>46208</v>
      </c>
      <c r="C148" s="216">
        <v>46208</v>
      </c>
      <c r="D148" s="403" t="s">
        <v>7265</v>
      </c>
      <c r="E148" s="403">
        <v>260100419503</v>
      </c>
      <c r="F148" s="403" t="s">
        <v>87</v>
      </c>
      <c r="G148" s="403" t="s">
        <v>7130</v>
      </c>
      <c r="H148" s="403">
        <v>182</v>
      </c>
      <c r="I148" s="403">
        <v>433</v>
      </c>
      <c r="J148" s="374">
        <v>433</v>
      </c>
      <c r="K148" s="403">
        <v>190</v>
      </c>
      <c r="L148" s="217">
        <v>650</v>
      </c>
      <c r="M148" s="403" t="s">
        <v>153</v>
      </c>
      <c r="N148" s="403" t="s">
        <v>149</v>
      </c>
      <c r="O148" s="403" t="s">
        <v>154</v>
      </c>
      <c r="P148" s="403" t="s">
        <v>151</v>
      </c>
      <c r="Q148" s="403" t="s">
        <v>155</v>
      </c>
      <c r="R148" s="403" t="s">
        <v>7266</v>
      </c>
      <c r="S148" s="403"/>
      <c r="T148" s="403" t="s">
        <v>2815</v>
      </c>
      <c r="U148" s="403" t="s">
        <v>152</v>
      </c>
      <c r="V148" s="403" t="s">
        <v>18</v>
      </c>
    </row>
    <row r="149" spans="1:22">
      <c r="A149" s="6"/>
      <c r="B149" s="216">
        <v>46208</v>
      </c>
      <c r="C149" s="216">
        <v>46208</v>
      </c>
      <c r="D149" s="403" t="s">
        <v>7267</v>
      </c>
      <c r="E149" s="403">
        <v>2601012519504</v>
      </c>
      <c r="F149" s="403" t="s">
        <v>87</v>
      </c>
      <c r="G149" s="403" t="s">
        <v>2658</v>
      </c>
      <c r="H149" s="403">
        <v>95</v>
      </c>
      <c r="I149" s="403">
        <v>238</v>
      </c>
      <c r="J149" s="374">
        <v>238</v>
      </c>
      <c r="K149" s="403">
        <v>130</v>
      </c>
      <c r="L149" s="217">
        <v>1000</v>
      </c>
      <c r="M149" s="403" t="s">
        <v>153</v>
      </c>
      <c r="N149" s="403" t="s">
        <v>149</v>
      </c>
      <c r="O149" s="403" t="s">
        <v>154</v>
      </c>
      <c r="P149" s="403" t="s">
        <v>151</v>
      </c>
      <c r="Q149" s="403" t="s">
        <v>155</v>
      </c>
      <c r="R149" s="403" t="s">
        <v>7268</v>
      </c>
      <c r="S149" s="403"/>
      <c r="T149" s="403" t="s">
        <v>2815</v>
      </c>
      <c r="U149" s="403" t="s">
        <v>152</v>
      </c>
      <c r="V149" s="403" t="s">
        <v>18</v>
      </c>
    </row>
    <row r="150" spans="1:22">
      <c r="A150" s="6"/>
      <c r="B150" s="216">
        <v>46208</v>
      </c>
      <c r="C150" s="216">
        <v>46208</v>
      </c>
      <c r="D150" s="403" t="s">
        <v>7269</v>
      </c>
      <c r="E150" s="403">
        <v>260105219495</v>
      </c>
      <c r="F150" s="403" t="s">
        <v>87</v>
      </c>
      <c r="G150" s="403" t="s">
        <v>7270</v>
      </c>
      <c r="H150" s="403" t="s">
        <v>7271</v>
      </c>
      <c r="I150" s="403">
        <v>355</v>
      </c>
      <c r="J150" s="374">
        <v>355</v>
      </c>
      <c r="K150" s="403">
        <v>107</v>
      </c>
      <c r="L150" s="217">
        <v>2023</v>
      </c>
      <c r="M150" s="403" t="s">
        <v>153</v>
      </c>
      <c r="N150" s="403" t="s">
        <v>149</v>
      </c>
      <c r="O150" s="403" t="s">
        <v>154</v>
      </c>
      <c r="P150" s="403" t="s">
        <v>151</v>
      </c>
      <c r="Q150" s="403" t="s">
        <v>156</v>
      </c>
      <c r="R150" s="403" t="s">
        <v>7272</v>
      </c>
      <c r="S150" s="403"/>
      <c r="T150" s="403" t="s">
        <v>2815</v>
      </c>
      <c r="U150" s="403" t="s">
        <v>152</v>
      </c>
      <c r="V150" s="403" t="s">
        <v>20</v>
      </c>
    </row>
    <row r="151" spans="1:22">
      <c r="A151" s="6"/>
      <c r="B151" s="216">
        <v>46208</v>
      </c>
      <c r="C151" s="216">
        <v>46208</v>
      </c>
      <c r="D151" s="403" t="s">
        <v>7273</v>
      </c>
      <c r="E151" s="403">
        <v>260103319445</v>
      </c>
      <c r="F151" s="403" t="s">
        <v>87</v>
      </c>
      <c r="G151" s="403" t="s">
        <v>2409</v>
      </c>
      <c r="H151" s="403">
        <v>172</v>
      </c>
      <c r="I151" s="403">
        <v>274</v>
      </c>
      <c r="J151" s="374">
        <v>274</v>
      </c>
      <c r="K151" s="403">
        <v>97</v>
      </c>
      <c r="L151" s="217">
        <v>1710</v>
      </c>
      <c r="M151" s="403" t="s">
        <v>153</v>
      </c>
      <c r="N151" s="403" t="s">
        <v>149</v>
      </c>
      <c r="O151" s="403" t="s">
        <v>154</v>
      </c>
      <c r="P151" s="403" t="s">
        <v>151</v>
      </c>
      <c r="Q151" s="403" t="s">
        <v>155</v>
      </c>
      <c r="R151" s="403" t="s">
        <v>7274</v>
      </c>
      <c r="S151" s="403"/>
      <c r="T151" s="403" t="s">
        <v>2819</v>
      </c>
      <c r="U151" s="403" t="s">
        <v>152</v>
      </c>
      <c r="V151" s="403" t="s">
        <v>18</v>
      </c>
    </row>
    <row r="152" spans="1:22">
      <c r="A152" s="6"/>
      <c r="B152" s="216">
        <v>46208</v>
      </c>
      <c r="C152" s="216">
        <v>46208</v>
      </c>
      <c r="D152" s="403" t="s">
        <v>7275</v>
      </c>
      <c r="E152" s="403">
        <v>260102919446</v>
      </c>
      <c r="F152" s="403" t="s">
        <v>87</v>
      </c>
      <c r="G152" s="403" t="s">
        <v>859</v>
      </c>
      <c r="H152" s="403">
        <v>152</v>
      </c>
      <c r="I152" s="403">
        <v>263</v>
      </c>
      <c r="J152" s="374">
        <v>263</v>
      </c>
      <c r="K152" s="403">
        <v>104</v>
      </c>
      <c r="L152" s="217">
        <v>1750</v>
      </c>
      <c r="M152" s="403" t="s">
        <v>153</v>
      </c>
      <c r="N152" s="403" t="s">
        <v>149</v>
      </c>
      <c r="O152" s="403" t="s">
        <v>154</v>
      </c>
      <c r="P152" s="403" t="s">
        <v>151</v>
      </c>
      <c r="Q152" s="403" t="s">
        <v>155</v>
      </c>
      <c r="R152" s="403" t="s">
        <v>7276</v>
      </c>
      <c r="S152" s="403"/>
      <c r="T152" s="403" t="s">
        <v>2819</v>
      </c>
      <c r="U152" s="403" t="s">
        <v>152</v>
      </c>
      <c r="V152" s="403" t="s">
        <v>18</v>
      </c>
    </row>
    <row r="153" spans="1:22">
      <c r="A153" s="6"/>
      <c r="B153" s="216">
        <v>46208</v>
      </c>
      <c r="C153" s="216">
        <v>46208</v>
      </c>
      <c r="D153" s="403" t="s">
        <v>7277</v>
      </c>
      <c r="E153" s="403">
        <v>260101919471</v>
      </c>
      <c r="F153" s="403" t="s">
        <v>87</v>
      </c>
      <c r="G153" s="403" t="s">
        <v>2563</v>
      </c>
      <c r="H153" s="403">
        <v>95</v>
      </c>
      <c r="I153" s="403">
        <v>270</v>
      </c>
      <c r="J153" s="374">
        <v>270</v>
      </c>
      <c r="K153" s="403">
        <v>134</v>
      </c>
      <c r="L153" s="217">
        <v>1120</v>
      </c>
      <c r="M153" s="403" t="s">
        <v>153</v>
      </c>
      <c r="N153" s="403" t="s">
        <v>149</v>
      </c>
      <c r="O153" s="403" t="s">
        <v>154</v>
      </c>
      <c r="P153" s="403" t="s">
        <v>151</v>
      </c>
      <c r="Q153" s="403" t="s">
        <v>155</v>
      </c>
      <c r="R153" s="403" t="s">
        <v>7278</v>
      </c>
      <c r="S153" s="403"/>
      <c r="T153" s="403" t="s">
        <v>2819</v>
      </c>
      <c r="U153" s="403" t="s">
        <v>152</v>
      </c>
      <c r="V153" s="403" t="s">
        <v>18</v>
      </c>
    </row>
    <row r="154" spans="1:22">
      <c r="A154" s="6"/>
      <c r="B154" s="216">
        <v>46208</v>
      </c>
      <c r="C154" s="216">
        <v>46208</v>
      </c>
      <c r="D154" s="403" t="s">
        <v>7279</v>
      </c>
      <c r="E154" s="403">
        <v>260100419484</v>
      </c>
      <c r="F154" s="403" t="s">
        <v>87</v>
      </c>
      <c r="G154" s="403" t="s">
        <v>7130</v>
      </c>
      <c r="H154" s="403">
        <v>182</v>
      </c>
      <c r="I154" s="403">
        <v>419</v>
      </c>
      <c r="J154" s="374">
        <v>419</v>
      </c>
      <c r="K154" s="403">
        <v>190</v>
      </c>
      <c r="L154" s="217">
        <v>600</v>
      </c>
      <c r="M154" s="403" t="s">
        <v>153</v>
      </c>
      <c r="N154" s="403" t="s">
        <v>149</v>
      </c>
      <c r="O154" s="403" t="s">
        <v>154</v>
      </c>
      <c r="P154" s="403" t="s">
        <v>151</v>
      </c>
      <c r="Q154" s="403" t="s">
        <v>155</v>
      </c>
      <c r="R154" s="403" t="s">
        <v>7280</v>
      </c>
      <c r="S154" s="403"/>
      <c r="T154" s="403" t="s">
        <v>2819</v>
      </c>
      <c r="U154" s="403" t="s">
        <v>152</v>
      </c>
      <c r="V154" s="403" t="s">
        <v>18</v>
      </c>
    </row>
    <row r="155" spans="1:22">
      <c r="A155" s="6"/>
      <c r="B155" s="216">
        <v>46208</v>
      </c>
      <c r="C155" s="216">
        <v>46208</v>
      </c>
      <c r="D155" s="403" t="s">
        <v>7281</v>
      </c>
      <c r="E155" s="403">
        <v>260102619459</v>
      </c>
      <c r="F155" s="403" t="s">
        <v>87</v>
      </c>
      <c r="G155" s="403" t="s">
        <v>2658</v>
      </c>
      <c r="H155" s="403">
        <v>95</v>
      </c>
      <c r="I155" s="403">
        <v>238</v>
      </c>
      <c r="J155" s="374">
        <v>238</v>
      </c>
      <c r="K155" s="403">
        <v>130</v>
      </c>
      <c r="L155" s="217">
        <v>1000</v>
      </c>
      <c r="M155" s="403" t="s">
        <v>153</v>
      </c>
      <c r="N155" s="403" t="s">
        <v>149</v>
      </c>
      <c r="O155" s="403" t="s">
        <v>154</v>
      </c>
      <c r="P155" s="403" t="s">
        <v>151</v>
      </c>
      <c r="Q155" s="403" t="s">
        <v>155</v>
      </c>
      <c r="R155" s="403" t="s">
        <v>7282</v>
      </c>
      <c r="S155" s="403"/>
      <c r="T155" s="403" t="s">
        <v>2819</v>
      </c>
      <c r="U155" s="403" t="s">
        <v>152</v>
      </c>
      <c r="V155" s="403" t="s">
        <v>18</v>
      </c>
    </row>
    <row r="156" spans="1:22">
      <c r="A156" s="6"/>
      <c r="B156" s="216">
        <v>46208</v>
      </c>
      <c r="C156" s="216">
        <v>46208</v>
      </c>
      <c r="D156" s="403" t="s">
        <v>7283</v>
      </c>
      <c r="E156" s="403">
        <v>260101719469</v>
      </c>
      <c r="F156" s="403" t="s">
        <v>87</v>
      </c>
      <c r="G156" s="403" t="s">
        <v>2408</v>
      </c>
      <c r="H156" s="403">
        <v>95</v>
      </c>
      <c r="I156" s="403">
        <v>245</v>
      </c>
      <c r="J156" s="374">
        <v>245</v>
      </c>
      <c r="K156" s="403">
        <v>134</v>
      </c>
      <c r="L156" s="217">
        <v>1000</v>
      </c>
      <c r="M156" s="403" t="s">
        <v>153</v>
      </c>
      <c r="N156" s="403" t="s">
        <v>149</v>
      </c>
      <c r="O156" s="403" t="s">
        <v>154</v>
      </c>
      <c r="P156" s="403" t="s">
        <v>151</v>
      </c>
      <c r="Q156" s="403" t="s">
        <v>155</v>
      </c>
      <c r="R156" s="403" t="s">
        <v>7284</v>
      </c>
      <c r="S156" s="403"/>
      <c r="T156" s="403" t="s">
        <v>2819</v>
      </c>
      <c r="U156" s="403" t="s">
        <v>152</v>
      </c>
      <c r="V156" s="403" t="s">
        <v>18</v>
      </c>
    </row>
    <row r="157" spans="1:22">
      <c r="A157" s="6"/>
      <c r="B157" s="216">
        <v>46208</v>
      </c>
      <c r="C157" s="216">
        <v>46208</v>
      </c>
      <c r="D157" s="403" t="s">
        <v>7285</v>
      </c>
      <c r="E157" s="403">
        <v>260100419485</v>
      </c>
      <c r="F157" s="403" t="s">
        <v>87</v>
      </c>
      <c r="G157" s="403" t="s">
        <v>7130</v>
      </c>
      <c r="H157" s="403">
        <v>182</v>
      </c>
      <c r="I157" s="403">
        <v>448</v>
      </c>
      <c r="J157" s="374">
        <v>448</v>
      </c>
      <c r="K157" s="403">
        <v>190</v>
      </c>
      <c r="L157" s="217">
        <v>650</v>
      </c>
      <c r="M157" s="403" t="s">
        <v>153</v>
      </c>
      <c r="N157" s="403" t="s">
        <v>149</v>
      </c>
      <c r="O157" s="403" t="s">
        <v>154</v>
      </c>
      <c r="P157" s="403" t="s">
        <v>151</v>
      </c>
      <c r="Q157" s="403" t="s">
        <v>155</v>
      </c>
      <c r="R157" s="403" t="s">
        <v>7286</v>
      </c>
      <c r="S157" s="403"/>
      <c r="T157" s="403" t="s">
        <v>2819</v>
      </c>
      <c r="U157" s="403" t="s">
        <v>152</v>
      </c>
      <c r="V157" s="403" t="s">
        <v>18</v>
      </c>
    </row>
    <row r="158" spans="1:22">
      <c r="A158" s="6"/>
      <c r="B158" s="216">
        <v>46208</v>
      </c>
      <c r="C158" s="216">
        <v>46208</v>
      </c>
      <c r="D158" s="403" t="s">
        <v>7287</v>
      </c>
      <c r="E158" s="403">
        <v>260102919447</v>
      </c>
      <c r="F158" s="403" t="s">
        <v>87</v>
      </c>
      <c r="G158" s="403" t="s">
        <v>859</v>
      </c>
      <c r="H158" s="403">
        <v>152</v>
      </c>
      <c r="I158" s="403">
        <v>265</v>
      </c>
      <c r="J158" s="374">
        <v>265</v>
      </c>
      <c r="K158" s="403">
        <v>104</v>
      </c>
      <c r="L158" s="217">
        <v>1750</v>
      </c>
      <c r="M158" s="403" t="s">
        <v>153</v>
      </c>
      <c r="N158" s="403" t="s">
        <v>149</v>
      </c>
      <c r="O158" s="403" t="s">
        <v>154</v>
      </c>
      <c r="P158" s="403" t="s">
        <v>151</v>
      </c>
      <c r="Q158" s="403" t="s">
        <v>155</v>
      </c>
      <c r="R158" s="403" t="s">
        <v>7288</v>
      </c>
      <c r="S158" s="403"/>
      <c r="T158" s="403" t="s">
        <v>2819</v>
      </c>
      <c r="U158" s="403" t="s">
        <v>152</v>
      </c>
      <c r="V158" s="403" t="s">
        <v>18</v>
      </c>
    </row>
    <row r="159" spans="1:22">
      <c r="A159" s="6"/>
      <c r="B159" s="216">
        <v>46208</v>
      </c>
      <c r="C159" s="216">
        <v>46208</v>
      </c>
      <c r="D159" s="403" t="s">
        <v>7289</v>
      </c>
      <c r="E159" s="403">
        <v>260101719456</v>
      </c>
      <c r="F159" s="403" t="s">
        <v>87</v>
      </c>
      <c r="G159" s="403" t="s">
        <v>2408</v>
      </c>
      <c r="H159" s="403">
        <v>95</v>
      </c>
      <c r="I159" s="403">
        <v>244</v>
      </c>
      <c r="J159" s="374">
        <v>244</v>
      </c>
      <c r="K159" s="403">
        <v>134</v>
      </c>
      <c r="L159" s="217">
        <v>1000</v>
      </c>
      <c r="M159" s="403" t="s">
        <v>153</v>
      </c>
      <c r="N159" s="403" t="s">
        <v>149</v>
      </c>
      <c r="O159" s="403" t="s">
        <v>154</v>
      </c>
      <c r="P159" s="403" t="s">
        <v>151</v>
      </c>
      <c r="Q159" s="403" t="s">
        <v>155</v>
      </c>
      <c r="R159" s="403" t="s">
        <v>7290</v>
      </c>
      <c r="S159" s="403"/>
      <c r="T159" s="403" t="s">
        <v>2819</v>
      </c>
      <c r="U159" s="403" t="s">
        <v>152</v>
      </c>
      <c r="V159" s="403" t="s">
        <v>18</v>
      </c>
    </row>
    <row r="160" spans="1:22">
      <c r="A160" s="6"/>
      <c r="B160" s="216">
        <v>46208</v>
      </c>
      <c r="C160" s="216">
        <v>46208</v>
      </c>
      <c r="D160" s="403" t="s">
        <v>7291</v>
      </c>
      <c r="E160" s="403">
        <v>260106819480</v>
      </c>
      <c r="F160" s="403" t="s">
        <v>87</v>
      </c>
      <c r="G160" s="403" t="s">
        <v>2425</v>
      </c>
      <c r="H160" s="403">
        <v>132</v>
      </c>
      <c r="I160" s="403">
        <v>272</v>
      </c>
      <c r="J160" s="374">
        <v>272</v>
      </c>
      <c r="K160" s="403">
        <v>92</v>
      </c>
      <c r="L160" s="217">
        <v>2255</v>
      </c>
      <c r="M160" s="403" t="s">
        <v>153</v>
      </c>
      <c r="N160" s="403" t="s">
        <v>149</v>
      </c>
      <c r="O160" s="403" t="s">
        <v>154</v>
      </c>
      <c r="P160" s="403" t="s">
        <v>151</v>
      </c>
      <c r="Q160" s="403" t="s">
        <v>155</v>
      </c>
      <c r="R160" s="403" t="s">
        <v>7292</v>
      </c>
      <c r="S160" s="403"/>
      <c r="T160" s="403" t="s">
        <v>2819</v>
      </c>
      <c r="U160" s="403" t="s">
        <v>152</v>
      </c>
      <c r="V160" s="403" t="s">
        <v>18</v>
      </c>
    </row>
    <row r="161" spans="1:22">
      <c r="A161" s="6"/>
      <c r="B161" s="216">
        <v>46208</v>
      </c>
      <c r="C161" s="216">
        <v>46208</v>
      </c>
      <c r="D161" s="403" t="s">
        <v>7293</v>
      </c>
      <c r="E161" s="403">
        <v>260101519452</v>
      </c>
      <c r="F161" s="403" t="s">
        <v>87</v>
      </c>
      <c r="G161" s="403" t="s">
        <v>2120</v>
      </c>
      <c r="H161" s="403">
        <v>92</v>
      </c>
      <c r="I161" s="403">
        <v>324</v>
      </c>
      <c r="J161" s="374">
        <v>324</v>
      </c>
      <c r="K161" s="403">
        <v>180</v>
      </c>
      <c r="L161" s="217">
        <v>1000</v>
      </c>
      <c r="M161" s="403" t="s">
        <v>153</v>
      </c>
      <c r="N161" s="403" t="s">
        <v>149</v>
      </c>
      <c r="O161" s="403" t="s">
        <v>154</v>
      </c>
      <c r="P161" s="403" t="s">
        <v>151</v>
      </c>
      <c r="Q161" s="403" t="s">
        <v>155</v>
      </c>
      <c r="R161" s="403" t="s">
        <v>7294</v>
      </c>
      <c r="S161" s="403"/>
      <c r="T161" s="403" t="s">
        <v>2819</v>
      </c>
      <c r="U161" s="403" t="s">
        <v>152</v>
      </c>
      <c r="V161" s="403" t="s">
        <v>18</v>
      </c>
    </row>
    <row r="162" spans="1:22">
      <c r="A162" s="6"/>
      <c r="B162" s="216">
        <v>46208</v>
      </c>
      <c r="C162" s="216">
        <v>46208</v>
      </c>
      <c r="D162" s="403" t="s">
        <v>7295</v>
      </c>
      <c r="E162" s="403">
        <v>260101819455</v>
      </c>
      <c r="F162" s="403" t="s">
        <v>87</v>
      </c>
      <c r="G162" s="403" t="s">
        <v>2408</v>
      </c>
      <c r="H162" s="403">
        <v>95</v>
      </c>
      <c r="I162" s="403">
        <v>246</v>
      </c>
      <c r="J162" s="374">
        <v>246</v>
      </c>
      <c r="K162" s="403">
        <v>134</v>
      </c>
      <c r="L162" s="217">
        <v>1000</v>
      </c>
      <c r="M162" s="403" t="s">
        <v>153</v>
      </c>
      <c r="N162" s="403" t="s">
        <v>149</v>
      </c>
      <c r="O162" s="403" t="s">
        <v>154</v>
      </c>
      <c r="P162" s="403" t="s">
        <v>151</v>
      </c>
      <c r="Q162" s="403" t="s">
        <v>155</v>
      </c>
      <c r="R162" s="403" t="s">
        <v>7296</v>
      </c>
      <c r="S162" s="403"/>
      <c r="T162" s="403" t="s">
        <v>2819</v>
      </c>
      <c r="U162" s="403" t="s">
        <v>152</v>
      </c>
      <c r="V162" s="403" t="s">
        <v>18</v>
      </c>
    </row>
    <row r="163" spans="1:22">
      <c r="A163" s="6"/>
      <c r="B163" s="216">
        <v>46208</v>
      </c>
      <c r="C163" s="216">
        <v>46208</v>
      </c>
      <c r="D163" s="403" t="s">
        <v>7297</v>
      </c>
      <c r="E163" s="403">
        <v>260102519458</v>
      </c>
      <c r="F163" s="403" t="s">
        <v>87</v>
      </c>
      <c r="G163" s="403" t="s">
        <v>2658</v>
      </c>
      <c r="H163" s="403">
        <v>95</v>
      </c>
      <c r="I163" s="403">
        <v>237</v>
      </c>
      <c r="J163" s="374">
        <v>237</v>
      </c>
      <c r="K163" s="403">
        <v>130</v>
      </c>
      <c r="L163" s="217">
        <v>1000</v>
      </c>
      <c r="M163" s="403" t="s">
        <v>153</v>
      </c>
      <c r="N163" s="403" t="s">
        <v>149</v>
      </c>
      <c r="O163" s="403" t="s">
        <v>154</v>
      </c>
      <c r="P163" s="403" t="s">
        <v>151</v>
      </c>
      <c r="Q163" s="403" t="s">
        <v>155</v>
      </c>
      <c r="R163" s="403" t="s">
        <v>7298</v>
      </c>
      <c r="S163" s="403"/>
      <c r="T163" s="403" t="s">
        <v>2819</v>
      </c>
      <c r="U163" s="403" t="s">
        <v>152</v>
      </c>
      <c r="V163" s="403" t="s">
        <v>18</v>
      </c>
    </row>
    <row r="164" spans="1:22">
      <c r="A164" s="6"/>
      <c r="B164" s="216">
        <v>46208</v>
      </c>
      <c r="C164" s="216">
        <v>46208</v>
      </c>
      <c r="D164" s="403" t="s">
        <v>7299</v>
      </c>
      <c r="E164" s="403">
        <v>260102719453</v>
      </c>
      <c r="F164" s="403" t="s">
        <v>87</v>
      </c>
      <c r="G164" s="403" t="s">
        <v>2658</v>
      </c>
      <c r="H164" s="403">
        <v>105</v>
      </c>
      <c r="I164" s="403">
        <v>263</v>
      </c>
      <c r="J164" s="374">
        <v>263</v>
      </c>
      <c r="K164" s="403">
        <v>130</v>
      </c>
      <c r="L164" s="217">
        <v>1000</v>
      </c>
      <c r="M164" s="403" t="s">
        <v>153</v>
      </c>
      <c r="N164" s="403" t="s">
        <v>149</v>
      </c>
      <c r="O164" s="403" t="s">
        <v>154</v>
      </c>
      <c r="P164" s="403" t="s">
        <v>151</v>
      </c>
      <c r="Q164" s="403" t="s">
        <v>155</v>
      </c>
      <c r="R164" s="403" t="s">
        <v>7300</v>
      </c>
      <c r="S164" s="403"/>
      <c r="T164" s="403" t="s">
        <v>2819</v>
      </c>
      <c r="U164" s="403" t="s">
        <v>152</v>
      </c>
      <c r="V164" s="403" t="s">
        <v>18</v>
      </c>
    </row>
    <row r="165" spans="1:22">
      <c r="A165" s="6"/>
      <c r="B165" s="216">
        <v>46208</v>
      </c>
      <c r="C165" s="216">
        <v>46208</v>
      </c>
      <c r="D165" s="403" t="s">
        <v>7301</v>
      </c>
      <c r="E165" s="403">
        <v>260101619466</v>
      </c>
      <c r="F165" s="403" t="s">
        <v>87</v>
      </c>
      <c r="G165" s="403" t="s">
        <v>2120</v>
      </c>
      <c r="H165" s="403">
        <v>112</v>
      </c>
      <c r="I165" s="403">
        <v>394</v>
      </c>
      <c r="J165" s="374">
        <v>394</v>
      </c>
      <c r="K165" s="403">
        <v>180</v>
      </c>
      <c r="L165" s="217">
        <v>1000</v>
      </c>
      <c r="M165" s="403" t="s">
        <v>153</v>
      </c>
      <c r="N165" s="403" t="s">
        <v>149</v>
      </c>
      <c r="O165" s="403" t="s">
        <v>154</v>
      </c>
      <c r="P165" s="403" t="s">
        <v>151</v>
      </c>
      <c r="Q165" s="403" t="s">
        <v>155</v>
      </c>
      <c r="R165" s="403" t="s">
        <v>7302</v>
      </c>
      <c r="S165" s="403"/>
      <c r="T165" s="403" t="s">
        <v>2819</v>
      </c>
      <c r="U165" s="403" t="s">
        <v>152</v>
      </c>
      <c r="V165" s="403" t="s">
        <v>18</v>
      </c>
    </row>
    <row r="166" spans="1:22">
      <c r="A166" s="6"/>
      <c r="B166" s="216">
        <v>46208</v>
      </c>
      <c r="C166" s="216">
        <v>46208</v>
      </c>
      <c r="D166" s="403" t="s">
        <v>7303</v>
      </c>
      <c r="E166" s="403">
        <v>260107619479</v>
      </c>
      <c r="F166" s="403" t="s">
        <v>87</v>
      </c>
      <c r="G166" s="403" t="s">
        <v>2652</v>
      </c>
      <c r="H166" s="403">
        <v>140</v>
      </c>
      <c r="I166" s="403">
        <v>269</v>
      </c>
      <c r="J166" s="374">
        <v>269</v>
      </c>
      <c r="K166" s="403">
        <v>88</v>
      </c>
      <c r="L166" s="217">
        <v>2220</v>
      </c>
      <c r="M166" s="403" t="s">
        <v>153</v>
      </c>
      <c r="N166" s="403" t="s">
        <v>149</v>
      </c>
      <c r="O166" s="403" t="s">
        <v>154</v>
      </c>
      <c r="P166" s="403" t="s">
        <v>151</v>
      </c>
      <c r="Q166" s="403" t="s">
        <v>155</v>
      </c>
      <c r="R166" s="403" t="s">
        <v>7304</v>
      </c>
      <c r="S166" s="403"/>
      <c r="T166" s="403" t="s">
        <v>2819</v>
      </c>
      <c r="U166" s="403" t="s">
        <v>152</v>
      </c>
      <c r="V166" s="403" t="s">
        <v>18</v>
      </c>
    </row>
    <row r="167" spans="1:22">
      <c r="A167" s="6"/>
      <c r="B167" s="216">
        <v>46208</v>
      </c>
      <c r="C167" s="216">
        <v>46208</v>
      </c>
      <c r="D167" s="403" t="s">
        <v>7305</v>
      </c>
      <c r="E167" s="403">
        <v>260107019482</v>
      </c>
      <c r="F167" s="403" t="s">
        <v>87</v>
      </c>
      <c r="G167" s="403" t="s">
        <v>2652</v>
      </c>
      <c r="H167" s="403">
        <v>140</v>
      </c>
      <c r="I167" s="403">
        <v>250</v>
      </c>
      <c r="J167" s="374">
        <v>250</v>
      </c>
      <c r="K167" s="403">
        <v>88</v>
      </c>
      <c r="L167" s="217">
        <v>2060</v>
      </c>
      <c r="M167" s="403" t="s">
        <v>153</v>
      </c>
      <c r="N167" s="403" t="s">
        <v>149</v>
      </c>
      <c r="O167" s="403" t="s">
        <v>154</v>
      </c>
      <c r="P167" s="403" t="s">
        <v>151</v>
      </c>
      <c r="Q167" s="403" t="s">
        <v>155</v>
      </c>
      <c r="R167" s="403" t="s">
        <v>7306</v>
      </c>
      <c r="S167" s="403"/>
      <c r="T167" s="403" t="s">
        <v>2819</v>
      </c>
      <c r="U167" s="403" t="s">
        <v>152</v>
      </c>
      <c r="V167" s="403" t="s">
        <v>18</v>
      </c>
    </row>
    <row r="168" spans="1:22">
      <c r="A168" s="6"/>
      <c r="B168" s="216">
        <v>46208</v>
      </c>
      <c r="C168" s="216">
        <v>46208</v>
      </c>
      <c r="D168" s="403" t="s">
        <v>7307</v>
      </c>
      <c r="E168" s="403">
        <v>260100719494</v>
      </c>
      <c r="F168" s="403" t="s">
        <v>87</v>
      </c>
      <c r="G168" s="403" t="s">
        <v>7197</v>
      </c>
      <c r="H168" s="403">
        <v>182</v>
      </c>
      <c r="I168" s="403">
        <v>313</v>
      </c>
      <c r="J168" s="374">
        <v>313</v>
      </c>
      <c r="K168" s="403">
        <v>150</v>
      </c>
      <c r="L168" s="217">
        <v>600</v>
      </c>
      <c r="M168" s="403" t="s">
        <v>153</v>
      </c>
      <c r="N168" s="403" t="s">
        <v>149</v>
      </c>
      <c r="O168" s="403" t="s">
        <v>154</v>
      </c>
      <c r="P168" s="403" t="s">
        <v>151</v>
      </c>
      <c r="Q168" s="403" t="s">
        <v>155</v>
      </c>
      <c r="R168" s="403" t="s">
        <v>7308</v>
      </c>
      <c r="S168" s="403"/>
      <c r="T168" s="403" t="s">
        <v>2819</v>
      </c>
      <c r="U168" s="403" t="s">
        <v>152</v>
      </c>
      <c r="V168" s="403" t="s">
        <v>18</v>
      </c>
    </row>
    <row r="169" spans="1:22">
      <c r="A169" s="6"/>
      <c r="B169" s="216">
        <v>46208</v>
      </c>
      <c r="C169" s="216">
        <v>46208</v>
      </c>
      <c r="D169" s="403" t="s">
        <v>7309</v>
      </c>
      <c r="E169" s="403">
        <v>260105019475</v>
      </c>
      <c r="F169" s="403" t="s">
        <v>87</v>
      </c>
      <c r="G169" s="403" t="s">
        <v>2409</v>
      </c>
      <c r="H169" s="403">
        <v>142</v>
      </c>
      <c r="I169" s="403">
        <v>276</v>
      </c>
      <c r="J169" s="374">
        <v>276</v>
      </c>
      <c r="K169" s="403">
        <v>97</v>
      </c>
      <c r="L169" s="217">
        <v>2070</v>
      </c>
      <c r="M169" s="403" t="s">
        <v>153</v>
      </c>
      <c r="N169" s="403" t="s">
        <v>149</v>
      </c>
      <c r="O169" s="403" t="s">
        <v>154</v>
      </c>
      <c r="P169" s="403" t="s">
        <v>151</v>
      </c>
      <c r="Q169" s="403" t="s">
        <v>155</v>
      </c>
      <c r="R169" s="403" t="s">
        <v>7310</v>
      </c>
      <c r="S169" s="403"/>
      <c r="T169" s="403" t="s">
        <v>2819</v>
      </c>
      <c r="U169" s="403" t="s">
        <v>152</v>
      </c>
      <c r="V169" s="403" t="s">
        <v>18</v>
      </c>
    </row>
    <row r="170" spans="1:22">
      <c r="A170" s="6"/>
      <c r="B170" s="216">
        <v>46208</v>
      </c>
      <c r="C170" s="216">
        <v>46208</v>
      </c>
      <c r="D170" s="403" t="s">
        <v>7311</v>
      </c>
      <c r="E170" s="403">
        <v>260102819465</v>
      </c>
      <c r="F170" s="403" t="s">
        <v>87</v>
      </c>
      <c r="G170" s="403" t="s">
        <v>2658</v>
      </c>
      <c r="H170" s="403">
        <v>105</v>
      </c>
      <c r="I170" s="403">
        <v>262</v>
      </c>
      <c r="J170" s="374">
        <v>262</v>
      </c>
      <c r="K170" s="403">
        <v>130</v>
      </c>
      <c r="L170" s="217">
        <v>1000</v>
      </c>
      <c r="M170" s="403" t="s">
        <v>153</v>
      </c>
      <c r="N170" s="403" t="s">
        <v>149</v>
      </c>
      <c r="O170" s="403" t="s">
        <v>154</v>
      </c>
      <c r="P170" s="403" t="s">
        <v>151</v>
      </c>
      <c r="Q170" s="403" t="s">
        <v>155</v>
      </c>
      <c r="R170" s="403" t="s">
        <v>7312</v>
      </c>
      <c r="S170" s="403"/>
      <c r="T170" s="403" t="s">
        <v>2819</v>
      </c>
      <c r="U170" s="403" t="s">
        <v>152</v>
      </c>
      <c r="V170" s="403" t="s">
        <v>18</v>
      </c>
    </row>
    <row r="171" spans="1:22">
      <c r="A171" s="6"/>
      <c r="B171" s="216">
        <v>46208</v>
      </c>
      <c r="C171" s="216">
        <v>46208</v>
      </c>
      <c r="D171" s="403" t="s">
        <v>7313</v>
      </c>
      <c r="E171" s="403">
        <v>260101619454</v>
      </c>
      <c r="F171" s="403" t="s">
        <v>87</v>
      </c>
      <c r="G171" s="403" t="s">
        <v>2120</v>
      </c>
      <c r="H171" s="403">
        <v>112</v>
      </c>
      <c r="I171" s="403">
        <v>378</v>
      </c>
      <c r="J171" s="374">
        <v>378</v>
      </c>
      <c r="K171" s="403">
        <v>180</v>
      </c>
      <c r="L171" s="217">
        <v>1000</v>
      </c>
      <c r="M171" s="403" t="s">
        <v>153</v>
      </c>
      <c r="N171" s="403" t="s">
        <v>149</v>
      </c>
      <c r="O171" s="403" t="s">
        <v>154</v>
      </c>
      <c r="P171" s="403" t="s">
        <v>151</v>
      </c>
      <c r="Q171" s="403" t="s">
        <v>155</v>
      </c>
      <c r="R171" s="403" t="s">
        <v>7314</v>
      </c>
      <c r="S171" s="403"/>
      <c r="T171" s="403" t="s">
        <v>2819</v>
      </c>
      <c r="U171" s="403" t="s">
        <v>152</v>
      </c>
      <c r="V171" s="403" t="s">
        <v>18</v>
      </c>
    </row>
    <row r="172" spans="1:22">
      <c r="A172" s="6"/>
      <c r="B172" s="216">
        <v>46208</v>
      </c>
      <c r="C172" s="216">
        <v>46208</v>
      </c>
      <c r="D172" s="403" t="s">
        <v>7315</v>
      </c>
      <c r="E172" s="403">
        <v>260102619467</v>
      </c>
      <c r="F172" s="403" t="s">
        <v>87</v>
      </c>
      <c r="G172" s="403" t="s">
        <v>2658</v>
      </c>
      <c r="H172" s="403">
        <v>95</v>
      </c>
      <c r="I172" s="403">
        <v>241</v>
      </c>
      <c r="J172" s="374">
        <v>241</v>
      </c>
      <c r="K172" s="403">
        <v>130</v>
      </c>
      <c r="L172" s="217">
        <v>1000</v>
      </c>
      <c r="M172" s="403" t="s">
        <v>153</v>
      </c>
      <c r="N172" s="403" t="s">
        <v>149</v>
      </c>
      <c r="O172" s="403" t="s">
        <v>154</v>
      </c>
      <c r="P172" s="403" t="s">
        <v>151</v>
      </c>
      <c r="Q172" s="403" t="s">
        <v>155</v>
      </c>
      <c r="R172" s="403" t="s">
        <v>7316</v>
      </c>
      <c r="S172" s="403"/>
      <c r="T172" s="403" t="s">
        <v>2819</v>
      </c>
      <c r="U172" s="403" t="s">
        <v>152</v>
      </c>
      <c r="V172" s="403" t="s">
        <v>18</v>
      </c>
    </row>
    <row r="173" spans="1:22">
      <c r="A173" s="6"/>
      <c r="B173" s="216">
        <v>46208</v>
      </c>
      <c r="C173" s="216">
        <v>46208</v>
      </c>
      <c r="D173" s="403" t="s">
        <v>7317</v>
      </c>
      <c r="E173" s="403">
        <v>260107419481</v>
      </c>
      <c r="F173" s="403" t="s">
        <v>87</v>
      </c>
      <c r="G173" s="403" t="s">
        <v>2562</v>
      </c>
      <c r="H173" s="403">
        <v>125</v>
      </c>
      <c r="I173" s="403">
        <v>268</v>
      </c>
      <c r="J173" s="374">
        <v>268</v>
      </c>
      <c r="K173" s="403">
        <v>97</v>
      </c>
      <c r="L173" s="217">
        <v>2240</v>
      </c>
      <c r="M173" s="403" t="s">
        <v>153</v>
      </c>
      <c r="N173" s="403" t="s">
        <v>149</v>
      </c>
      <c r="O173" s="403" t="s">
        <v>154</v>
      </c>
      <c r="P173" s="403" t="s">
        <v>151</v>
      </c>
      <c r="Q173" s="403" t="s">
        <v>155</v>
      </c>
      <c r="R173" s="403" t="s">
        <v>7318</v>
      </c>
      <c r="S173" s="403"/>
      <c r="T173" s="403" t="s">
        <v>2819</v>
      </c>
      <c r="U173" s="403" t="s">
        <v>152</v>
      </c>
      <c r="V173" s="403" t="s">
        <v>18</v>
      </c>
    </row>
    <row r="174" spans="1:22">
      <c r="A174" s="6"/>
      <c r="B174" s="216">
        <v>46208</v>
      </c>
      <c r="C174" s="216">
        <v>46208</v>
      </c>
      <c r="D174" s="403" t="s">
        <v>7319</v>
      </c>
      <c r="E174" s="403">
        <v>260103319444</v>
      </c>
      <c r="F174" s="403" t="s">
        <v>87</v>
      </c>
      <c r="G174" s="403" t="s">
        <v>2409</v>
      </c>
      <c r="H174" s="403">
        <v>172</v>
      </c>
      <c r="I174" s="403">
        <v>271</v>
      </c>
      <c r="J174" s="374">
        <v>271</v>
      </c>
      <c r="K174" s="403">
        <v>97</v>
      </c>
      <c r="L174" s="217">
        <v>1710</v>
      </c>
      <c r="M174" s="403" t="s">
        <v>153</v>
      </c>
      <c r="N174" s="403" t="s">
        <v>149</v>
      </c>
      <c r="O174" s="403" t="s">
        <v>154</v>
      </c>
      <c r="P174" s="403" t="s">
        <v>151</v>
      </c>
      <c r="Q174" s="403" t="s">
        <v>155</v>
      </c>
      <c r="R174" s="403" t="s">
        <v>7320</v>
      </c>
      <c r="S174" s="403"/>
      <c r="T174" s="403" t="s">
        <v>2819</v>
      </c>
      <c r="U174" s="403" t="s">
        <v>152</v>
      </c>
      <c r="V174" s="403" t="s">
        <v>18</v>
      </c>
    </row>
    <row r="175" spans="1:22">
      <c r="A175" s="6"/>
      <c r="B175" s="216">
        <v>46208</v>
      </c>
      <c r="C175" s="216">
        <v>46208</v>
      </c>
      <c r="D175" s="403" t="s">
        <v>7321</v>
      </c>
      <c r="E175" s="403">
        <v>260102519468</v>
      </c>
      <c r="F175" s="403" t="s">
        <v>87</v>
      </c>
      <c r="G175" s="403" t="s">
        <v>2658</v>
      </c>
      <c r="H175" s="403">
        <v>95</v>
      </c>
      <c r="I175" s="403">
        <v>237</v>
      </c>
      <c r="J175" s="374">
        <v>237</v>
      </c>
      <c r="K175" s="403">
        <v>130</v>
      </c>
      <c r="L175" s="217">
        <v>1000</v>
      </c>
      <c r="M175" s="403" t="s">
        <v>153</v>
      </c>
      <c r="N175" s="403" t="s">
        <v>149</v>
      </c>
      <c r="O175" s="403" t="s">
        <v>154</v>
      </c>
      <c r="P175" s="403" t="s">
        <v>151</v>
      </c>
      <c r="Q175" s="403" t="s">
        <v>155</v>
      </c>
      <c r="R175" s="403" t="s">
        <v>7322</v>
      </c>
      <c r="S175" s="403"/>
      <c r="T175" s="403" t="s">
        <v>2819</v>
      </c>
      <c r="U175" s="403" t="s">
        <v>152</v>
      </c>
      <c r="V175" s="403" t="s">
        <v>18</v>
      </c>
    </row>
    <row r="176" spans="1:22">
      <c r="A176" s="6"/>
      <c r="B176" s="216">
        <v>46208</v>
      </c>
      <c r="C176" s="216">
        <v>46208</v>
      </c>
      <c r="D176" s="403" t="s">
        <v>7323</v>
      </c>
      <c r="E176" s="403">
        <v>260102019472</v>
      </c>
      <c r="F176" s="403" t="s">
        <v>87</v>
      </c>
      <c r="G176" s="403" t="s">
        <v>2563</v>
      </c>
      <c r="H176" s="403">
        <v>95</v>
      </c>
      <c r="I176" s="403">
        <v>244</v>
      </c>
      <c r="J176" s="374">
        <v>244</v>
      </c>
      <c r="K176" s="403">
        <v>134</v>
      </c>
      <c r="L176" s="217">
        <v>1000</v>
      </c>
      <c r="M176" s="403" t="s">
        <v>153</v>
      </c>
      <c r="N176" s="403" t="s">
        <v>149</v>
      </c>
      <c r="O176" s="403" t="s">
        <v>154</v>
      </c>
      <c r="P176" s="403" t="s">
        <v>151</v>
      </c>
      <c r="Q176" s="403" t="s">
        <v>155</v>
      </c>
      <c r="R176" s="403" t="s">
        <v>7324</v>
      </c>
      <c r="S176" s="403"/>
      <c r="T176" s="403" t="s">
        <v>2819</v>
      </c>
      <c r="U176" s="403" t="s">
        <v>152</v>
      </c>
      <c r="V176" s="403" t="s">
        <v>18</v>
      </c>
    </row>
    <row r="177" spans="1:22">
      <c r="A177" s="6"/>
      <c r="B177" s="216">
        <v>46208</v>
      </c>
      <c r="C177" s="216">
        <v>46208</v>
      </c>
      <c r="D177" s="403" t="s">
        <v>7325</v>
      </c>
      <c r="E177" s="403">
        <v>260104019483</v>
      </c>
      <c r="F177" s="403" t="s">
        <v>87</v>
      </c>
      <c r="G177" s="403" t="s">
        <v>2563</v>
      </c>
      <c r="H177" s="403">
        <v>95</v>
      </c>
      <c r="I177" s="403">
        <v>347</v>
      </c>
      <c r="J177" s="374">
        <v>347</v>
      </c>
      <c r="K177" s="403">
        <v>134</v>
      </c>
      <c r="L177" s="217">
        <v>1430</v>
      </c>
      <c r="M177" s="403" t="s">
        <v>153</v>
      </c>
      <c r="N177" s="403" t="s">
        <v>149</v>
      </c>
      <c r="O177" s="403" t="s">
        <v>154</v>
      </c>
      <c r="P177" s="403" t="s">
        <v>151</v>
      </c>
      <c r="Q177" s="403" t="s">
        <v>155</v>
      </c>
      <c r="R177" s="403" t="s">
        <v>7326</v>
      </c>
      <c r="S177" s="403"/>
      <c r="T177" s="403" t="s">
        <v>2819</v>
      </c>
      <c r="U177" s="403" t="s">
        <v>152</v>
      </c>
      <c r="V177" s="403" t="s">
        <v>18</v>
      </c>
    </row>
    <row r="178" spans="1:22">
      <c r="A178" s="6"/>
      <c r="B178" s="216">
        <v>46208</v>
      </c>
      <c r="C178" s="216">
        <v>46208</v>
      </c>
      <c r="D178" s="403" t="s">
        <v>7327</v>
      </c>
      <c r="E178" s="403">
        <v>260105819316</v>
      </c>
      <c r="F178" s="403" t="s">
        <v>87</v>
      </c>
      <c r="G178" s="403" t="s">
        <v>2646</v>
      </c>
      <c r="H178" s="403" t="s">
        <v>7328</v>
      </c>
      <c r="I178" s="403">
        <v>450</v>
      </c>
      <c r="J178" s="374">
        <v>450</v>
      </c>
      <c r="K178" s="403">
        <v>105</v>
      </c>
      <c r="L178" s="217">
        <v>2400</v>
      </c>
      <c r="M178" s="403" t="s">
        <v>153</v>
      </c>
      <c r="N178" s="403" t="s">
        <v>149</v>
      </c>
      <c r="O178" s="403" t="s">
        <v>154</v>
      </c>
      <c r="P178" s="403" t="s">
        <v>151</v>
      </c>
      <c r="Q178" s="403" t="s">
        <v>156</v>
      </c>
      <c r="R178" s="403" t="s">
        <v>7329</v>
      </c>
      <c r="S178" s="403"/>
      <c r="T178" s="403" t="s">
        <v>2819</v>
      </c>
      <c r="U178" s="403" t="s">
        <v>152</v>
      </c>
      <c r="V178" s="403" t="s">
        <v>20</v>
      </c>
    </row>
    <row r="179" spans="1:22">
      <c r="A179" s="6"/>
      <c r="B179" s="216">
        <v>46208</v>
      </c>
      <c r="C179" s="216">
        <v>46208</v>
      </c>
      <c r="D179" s="403" t="s">
        <v>7330</v>
      </c>
      <c r="E179" s="403">
        <v>260101319223</v>
      </c>
      <c r="F179" s="403" t="s">
        <v>87</v>
      </c>
      <c r="G179" s="403" t="s">
        <v>7026</v>
      </c>
      <c r="H179" s="403" t="s">
        <v>7027</v>
      </c>
      <c r="I179" s="403">
        <v>598</v>
      </c>
      <c r="J179" s="374">
        <v>598</v>
      </c>
      <c r="K179" s="403">
        <v>190</v>
      </c>
      <c r="L179" s="217">
        <v>1000</v>
      </c>
      <c r="M179" s="403" t="s">
        <v>153</v>
      </c>
      <c r="N179" s="403" t="s">
        <v>149</v>
      </c>
      <c r="O179" s="403" t="s">
        <v>154</v>
      </c>
      <c r="P179" s="403" t="s">
        <v>151</v>
      </c>
      <c r="Q179" s="403" t="s">
        <v>156</v>
      </c>
      <c r="R179" s="403" t="s">
        <v>7331</v>
      </c>
      <c r="S179" s="403"/>
      <c r="T179" s="403" t="s">
        <v>2819</v>
      </c>
      <c r="U179" s="403" t="s">
        <v>152</v>
      </c>
      <c r="V179" s="403" t="s">
        <v>20</v>
      </c>
    </row>
    <row r="180" spans="1:22">
      <c r="A180" s="6"/>
      <c r="B180" s="216">
        <v>46208</v>
      </c>
      <c r="C180" s="216">
        <v>46208</v>
      </c>
      <c r="D180" s="403" t="s">
        <v>7332</v>
      </c>
      <c r="E180" s="403">
        <v>260101319296</v>
      </c>
      <c r="F180" s="403" t="s">
        <v>87</v>
      </c>
      <c r="G180" s="403" t="s">
        <v>7026</v>
      </c>
      <c r="H180" s="403" t="s">
        <v>7027</v>
      </c>
      <c r="I180" s="403">
        <v>618</v>
      </c>
      <c r="J180" s="374">
        <v>618</v>
      </c>
      <c r="K180" s="403">
        <v>190</v>
      </c>
      <c r="L180" s="217">
        <v>1000</v>
      </c>
      <c r="M180" s="403" t="s">
        <v>153</v>
      </c>
      <c r="N180" s="403" t="s">
        <v>149</v>
      </c>
      <c r="O180" s="403" t="s">
        <v>154</v>
      </c>
      <c r="P180" s="403" t="s">
        <v>151</v>
      </c>
      <c r="Q180" s="403" t="s">
        <v>156</v>
      </c>
      <c r="R180" s="403" t="s">
        <v>7333</v>
      </c>
      <c r="S180" s="403"/>
      <c r="T180" s="403" t="s">
        <v>2819</v>
      </c>
      <c r="U180" s="403" t="s">
        <v>152</v>
      </c>
      <c r="V180" s="403" t="s">
        <v>20</v>
      </c>
    </row>
    <row r="181" spans="1:22">
      <c r="A181" s="6"/>
      <c r="B181" s="216">
        <v>46208</v>
      </c>
      <c r="C181" s="216">
        <v>46208</v>
      </c>
      <c r="D181" s="403" t="s">
        <v>7334</v>
      </c>
      <c r="E181" s="403">
        <v>260101319349</v>
      </c>
      <c r="F181" s="403" t="s">
        <v>87</v>
      </c>
      <c r="G181" s="403" t="s">
        <v>7026</v>
      </c>
      <c r="H181" s="403" t="s">
        <v>7027</v>
      </c>
      <c r="I181" s="403">
        <v>575</v>
      </c>
      <c r="J181" s="374">
        <v>575</v>
      </c>
      <c r="K181" s="403">
        <v>190</v>
      </c>
      <c r="L181" s="217">
        <v>980</v>
      </c>
      <c r="M181" s="403" t="s">
        <v>153</v>
      </c>
      <c r="N181" s="403" t="s">
        <v>149</v>
      </c>
      <c r="O181" s="403" t="s">
        <v>154</v>
      </c>
      <c r="P181" s="403" t="s">
        <v>151</v>
      </c>
      <c r="Q181" s="403" t="s">
        <v>156</v>
      </c>
      <c r="R181" s="403" t="s">
        <v>7335</v>
      </c>
      <c r="S181" s="403"/>
      <c r="T181" s="403" t="s">
        <v>2819</v>
      </c>
      <c r="U181" s="403" t="s">
        <v>152</v>
      </c>
      <c r="V181" s="403" t="s">
        <v>20</v>
      </c>
    </row>
    <row r="182" spans="1:22">
      <c r="A182" s="6"/>
      <c r="B182" s="216">
        <v>46208</v>
      </c>
      <c r="C182" s="216">
        <v>46208</v>
      </c>
      <c r="D182" s="403" t="s">
        <v>7336</v>
      </c>
      <c r="E182" s="403">
        <v>260105819418</v>
      </c>
      <c r="F182" s="403" t="s">
        <v>87</v>
      </c>
      <c r="G182" s="403" t="s">
        <v>2646</v>
      </c>
      <c r="H182" s="403" t="s">
        <v>7328</v>
      </c>
      <c r="I182" s="403">
        <v>382</v>
      </c>
      <c r="J182" s="374">
        <v>382</v>
      </c>
      <c r="K182" s="403">
        <v>105</v>
      </c>
      <c r="L182" s="217">
        <v>1990</v>
      </c>
      <c r="M182" s="403" t="s">
        <v>153</v>
      </c>
      <c r="N182" s="403" t="s">
        <v>149</v>
      </c>
      <c r="O182" s="403" t="s">
        <v>154</v>
      </c>
      <c r="P182" s="403" t="s">
        <v>151</v>
      </c>
      <c r="Q182" s="403" t="s">
        <v>156</v>
      </c>
      <c r="R182" s="403" t="s">
        <v>7337</v>
      </c>
      <c r="S182" s="403"/>
      <c r="T182" s="403" t="s">
        <v>2819</v>
      </c>
      <c r="U182" s="403" t="s">
        <v>152</v>
      </c>
      <c r="V182" s="403" t="s">
        <v>20</v>
      </c>
    </row>
    <row r="183" spans="1:22">
      <c r="A183" s="6"/>
      <c r="B183" s="216">
        <v>46209</v>
      </c>
      <c r="C183" s="216">
        <v>46209</v>
      </c>
      <c r="D183" s="403" t="s">
        <v>7338</v>
      </c>
      <c r="E183" s="403">
        <v>260104619460</v>
      </c>
      <c r="F183" s="403" t="s">
        <v>87</v>
      </c>
      <c r="G183" s="403" t="s">
        <v>859</v>
      </c>
      <c r="H183" s="403">
        <v>152</v>
      </c>
      <c r="I183" s="403">
        <v>220</v>
      </c>
      <c r="J183" s="374">
        <v>220</v>
      </c>
      <c r="K183" s="403">
        <v>104</v>
      </c>
      <c r="L183" s="217">
        <v>1450</v>
      </c>
      <c r="M183" s="403" t="s">
        <v>153</v>
      </c>
      <c r="N183" s="403" t="s">
        <v>149</v>
      </c>
      <c r="O183" s="403" t="s">
        <v>154</v>
      </c>
      <c r="P183" s="403" t="s">
        <v>151</v>
      </c>
      <c r="Q183" s="403" t="s">
        <v>155</v>
      </c>
      <c r="R183" s="403" t="s">
        <v>7339</v>
      </c>
      <c r="S183" s="403"/>
      <c r="T183" s="403" t="s">
        <v>2843</v>
      </c>
      <c r="U183" s="403" t="s">
        <v>152</v>
      </c>
      <c r="V183" s="403" t="s">
        <v>18</v>
      </c>
    </row>
    <row r="184" spans="1:22">
      <c r="A184" s="6"/>
      <c r="B184" s="216">
        <v>46209</v>
      </c>
      <c r="C184" s="216">
        <v>46209</v>
      </c>
      <c r="D184" s="403" t="s">
        <v>7340</v>
      </c>
      <c r="E184" s="403">
        <v>260102719510</v>
      </c>
      <c r="F184" s="403" t="s">
        <v>87</v>
      </c>
      <c r="G184" s="403" t="s">
        <v>2658</v>
      </c>
      <c r="H184" s="403">
        <v>105</v>
      </c>
      <c r="I184" s="403">
        <v>281</v>
      </c>
      <c r="J184" s="374">
        <v>281</v>
      </c>
      <c r="K184" s="403">
        <v>130</v>
      </c>
      <c r="L184" s="217">
        <v>1055</v>
      </c>
      <c r="M184" s="403" t="s">
        <v>153</v>
      </c>
      <c r="N184" s="403" t="s">
        <v>149</v>
      </c>
      <c r="O184" s="403" t="s">
        <v>154</v>
      </c>
      <c r="P184" s="403" t="s">
        <v>151</v>
      </c>
      <c r="Q184" s="403" t="s">
        <v>155</v>
      </c>
      <c r="R184" s="403" t="s">
        <v>7341</v>
      </c>
      <c r="S184" s="403"/>
      <c r="T184" s="403" t="s">
        <v>2845</v>
      </c>
      <c r="U184" s="403" t="s">
        <v>152</v>
      </c>
      <c r="V184" s="403" t="s">
        <v>18</v>
      </c>
    </row>
    <row r="185" spans="1:22">
      <c r="A185" s="6"/>
      <c r="B185" s="216">
        <v>46209</v>
      </c>
      <c r="C185" s="216">
        <v>46209</v>
      </c>
      <c r="D185" s="403" t="s">
        <v>7342</v>
      </c>
      <c r="E185" s="403">
        <v>260107819538</v>
      </c>
      <c r="F185" s="403" t="s">
        <v>87</v>
      </c>
      <c r="G185" s="403" t="s">
        <v>2425</v>
      </c>
      <c r="H185" s="403">
        <v>132</v>
      </c>
      <c r="I185" s="403">
        <v>294</v>
      </c>
      <c r="J185" s="374">
        <v>294</v>
      </c>
      <c r="K185" s="403">
        <v>92</v>
      </c>
      <c r="L185" s="217">
        <v>2480</v>
      </c>
      <c r="M185" s="403" t="s">
        <v>153</v>
      </c>
      <c r="N185" s="403" t="s">
        <v>149</v>
      </c>
      <c r="O185" s="403" t="s">
        <v>154</v>
      </c>
      <c r="P185" s="403" t="s">
        <v>151</v>
      </c>
      <c r="Q185" s="403" t="s">
        <v>155</v>
      </c>
      <c r="R185" s="403" t="s">
        <v>7343</v>
      </c>
      <c r="S185" s="403"/>
      <c r="T185" s="403" t="s">
        <v>2845</v>
      </c>
      <c r="U185" s="403" t="s">
        <v>152</v>
      </c>
      <c r="V185" s="403" t="s">
        <v>18</v>
      </c>
    </row>
    <row r="186" spans="1:22">
      <c r="A186" s="6"/>
      <c r="B186" s="216">
        <v>46209</v>
      </c>
      <c r="C186" s="216">
        <v>46209</v>
      </c>
      <c r="D186" s="403" t="s">
        <v>7344</v>
      </c>
      <c r="E186" s="403">
        <v>260101819516</v>
      </c>
      <c r="F186" s="403" t="s">
        <v>87</v>
      </c>
      <c r="G186" s="403" t="s">
        <v>2408</v>
      </c>
      <c r="H186" s="403">
        <v>95</v>
      </c>
      <c r="I186" s="403">
        <v>252</v>
      </c>
      <c r="J186" s="374">
        <v>252</v>
      </c>
      <c r="K186" s="403">
        <v>134</v>
      </c>
      <c r="L186" s="217">
        <v>1000</v>
      </c>
      <c r="M186" s="403" t="s">
        <v>153</v>
      </c>
      <c r="N186" s="403" t="s">
        <v>149</v>
      </c>
      <c r="O186" s="403" t="s">
        <v>154</v>
      </c>
      <c r="P186" s="403" t="s">
        <v>151</v>
      </c>
      <c r="Q186" s="403" t="s">
        <v>155</v>
      </c>
      <c r="R186" s="403" t="s">
        <v>7345</v>
      </c>
      <c r="S186" s="403"/>
      <c r="T186" s="403" t="s">
        <v>2845</v>
      </c>
      <c r="U186" s="403" t="s">
        <v>152</v>
      </c>
      <c r="V186" s="403" t="s">
        <v>18</v>
      </c>
    </row>
    <row r="187" spans="1:22">
      <c r="A187" s="6"/>
      <c r="B187" s="216">
        <v>46209</v>
      </c>
      <c r="C187" s="216">
        <v>46209</v>
      </c>
      <c r="D187" s="403" t="s">
        <v>7346</v>
      </c>
      <c r="E187" s="403">
        <v>260102719526</v>
      </c>
      <c r="F187" s="403" t="s">
        <v>87</v>
      </c>
      <c r="G187" s="403" t="s">
        <v>2516</v>
      </c>
      <c r="H187" s="403">
        <v>95</v>
      </c>
      <c r="I187" s="403">
        <v>246</v>
      </c>
      <c r="J187" s="374">
        <v>246</v>
      </c>
      <c r="K187" s="403">
        <v>130</v>
      </c>
      <c r="L187" s="217">
        <v>1000</v>
      </c>
      <c r="M187" s="403" t="s">
        <v>153</v>
      </c>
      <c r="N187" s="403" t="s">
        <v>149</v>
      </c>
      <c r="O187" s="403" t="s">
        <v>154</v>
      </c>
      <c r="P187" s="403" t="s">
        <v>151</v>
      </c>
      <c r="Q187" s="403" t="s">
        <v>155</v>
      </c>
      <c r="R187" s="403" t="s">
        <v>7347</v>
      </c>
      <c r="S187" s="403"/>
      <c r="T187" s="403" t="s">
        <v>2845</v>
      </c>
      <c r="U187" s="403" t="s">
        <v>152</v>
      </c>
      <c r="V187" s="403" t="s">
        <v>18</v>
      </c>
    </row>
    <row r="188" spans="1:22">
      <c r="A188" s="6"/>
      <c r="B188" s="216">
        <v>46209</v>
      </c>
      <c r="C188" s="216">
        <v>46209</v>
      </c>
      <c r="D188" s="403" t="s">
        <v>7348</v>
      </c>
      <c r="E188" s="403">
        <v>260101919528</v>
      </c>
      <c r="F188" s="403" t="s">
        <v>87</v>
      </c>
      <c r="G188" s="403" t="s">
        <v>2563</v>
      </c>
      <c r="H188" s="403">
        <v>95</v>
      </c>
      <c r="I188" s="403">
        <v>307</v>
      </c>
      <c r="J188" s="374">
        <v>307</v>
      </c>
      <c r="K188" s="403">
        <v>134</v>
      </c>
      <c r="L188" s="217">
        <v>1250</v>
      </c>
      <c r="M188" s="403" t="s">
        <v>153</v>
      </c>
      <c r="N188" s="403" t="s">
        <v>149</v>
      </c>
      <c r="O188" s="403" t="s">
        <v>154</v>
      </c>
      <c r="P188" s="403" t="s">
        <v>151</v>
      </c>
      <c r="Q188" s="403" t="s">
        <v>155</v>
      </c>
      <c r="R188" s="403" t="s">
        <v>7349</v>
      </c>
      <c r="S188" s="403"/>
      <c r="T188" s="403" t="s">
        <v>2845</v>
      </c>
      <c r="U188" s="403" t="s">
        <v>152</v>
      </c>
      <c r="V188" s="403" t="s">
        <v>18</v>
      </c>
    </row>
    <row r="189" spans="1:22">
      <c r="A189" s="6"/>
      <c r="B189" s="216">
        <v>46209</v>
      </c>
      <c r="C189" s="216">
        <v>46209</v>
      </c>
      <c r="D189" s="403" t="s">
        <v>7350</v>
      </c>
      <c r="E189" s="403">
        <v>260107619539</v>
      </c>
      <c r="F189" s="403" t="s">
        <v>87</v>
      </c>
      <c r="G189" s="403" t="s">
        <v>2652</v>
      </c>
      <c r="H189" s="403">
        <v>140</v>
      </c>
      <c r="I189" s="403">
        <v>288</v>
      </c>
      <c r="J189" s="374">
        <v>288</v>
      </c>
      <c r="K189" s="403">
        <v>88</v>
      </c>
      <c r="L189" s="217">
        <v>2400</v>
      </c>
      <c r="M189" s="403" t="s">
        <v>153</v>
      </c>
      <c r="N189" s="403" t="s">
        <v>149</v>
      </c>
      <c r="O189" s="403" t="s">
        <v>154</v>
      </c>
      <c r="P189" s="403" t="s">
        <v>151</v>
      </c>
      <c r="Q189" s="403" t="s">
        <v>155</v>
      </c>
      <c r="R189" s="403" t="s">
        <v>7351</v>
      </c>
      <c r="S189" s="403"/>
      <c r="T189" s="403" t="s">
        <v>2845</v>
      </c>
      <c r="U189" s="403" t="s">
        <v>152</v>
      </c>
      <c r="V189" s="403" t="s">
        <v>18</v>
      </c>
    </row>
    <row r="190" spans="1:22">
      <c r="A190" s="6"/>
      <c r="B190" s="216">
        <v>46209</v>
      </c>
      <c r="C190" s="216">
        <v>46209</v>
      </c>
      <c r="D190" s="403" t="s">
        <v>7352</v>
      </c>
      <c r="E190" s="403">
        <v>260107019540</v>
      </c>
      <c r="F190" s="403" t="s">
        <v>87</v>
      </c>
      <c r="G190" s="403" t="s">
        <v>2652</v>
      </c>
      <c r="H190" s="403">
        <v>140</v>
      </c>
      <c r="I190" s="403">
        <v>219</v>
      </c>
      <c r="J190" s="374">
        <v>219</v>
      </c>
      <c r="K190" s="403">
        <v>88</v>
      </c>
      <c r="L190" s="217">
        <v>1810</v>
      </c>
      <c r="M190" s="403" t="s">
        <v>153</v>
      </c>
      <c r="N190" s="403" t="s">
        <v>149</v>
      </c>
      <c r="O190" s="403" t="s">
        <v>154</v>
      </c>
      <c r="P190" s="403" t="s">
        <v>151</v>
      </c>
      <c r="Q190" s="403" t="s">
        <v>155</v>
      </c>
      <c r="R190" s="403" t="s">
        <v>7353</v>
      </c>
      <c r="S190" s="403"/>
      <c r="T190" s="403" t="s">
        <v>2845</v>
      </c>
      <c r="U190" s="403" t="s">
        <v>152</v>
      </c>
      <c r="V190" s="403" t="s">
        <v>18</v>
      </c>
    </row>
    <row r="191" spans="1:22">
      <c r="A191" s="6"/>
      <c r="B191" s="216">
        <v>46209</v>
      </c>
      <c r="C191" s="216">
        <v>46209</v>
      </c>
      <c r="D191" s="403" t="s">
        <v>7354</v>
      </c>
      <c r="E191" s="403">
        <v>260103319523</v>
      </c>
      <c r="F191" s="403" t="s">
        <v>87</v>
      </c>
      <c r="G191" s="403" t="s">
        <v>2409</v>
      </c>
      <c r="H191" s="403">
        <v>172</v>
      </c>
      <c r="I191" s="403">
        <v>305</v>
      </c>
      <c r="J191" s="374">
        <v>305</v>
      </c>
      <c r="K191" s="403">
        <v>97</v>
      </c>
      <c r="L191" s="217">
        <v>1910</v>
      </c>
      <c r="M191" s="403" t="s">
        <v>153</v>
      </c>
      <c r="N191" s="403" t="s">
        <v>149</v>
      </c>
      <c r="O191" s="403" t="s">
        <v>154</v>
      </c>
      <c r="P191" s="403" t="s">
        <v>151</v>
      </c>
      <c r="Q191" s="403" t="s">
        <v>155</v>
      </c>
      <c r="R191" s="403" t="s">
        <v>7355</v>
      </c>
      <c r="S191" s="403"/>
      <c r="T191" s="403" t="s">
        <v>2845</v>
      </c>
      <c r="U191" s="403" t="s">
        <v>152</v>
      </c>
      <c r="V191" s="403" t="s">
        <v>18</v>
      </c>
    </row>
    <row r="192" spans="1:22">
      <c r="A192" s="6"/>
      <c r="B192" s="216">
        <v>46209</v>
      </c>
      <c r="C192" s="216">
        <v>46209</v>
      </c>
      <c r="D192" s="403" t="s">
        <v>7356</v>
      </c>
      <c r="E192" s="403">
        <v>260103319524</v>
      </c>
      <c r="F192" s="403" t="s">
        <v>87</v>
      </c>
      <c r="G192" s="403" t="s">
        <v>2409</v>
      </c>
      <c r="H192" s="403">
        <v>172</v>
      </c>
      <c r="I192" s="403">
        <v>303</v>
      </c>
      <c r="J192" s="374">
        <v>303</v>
      </c>
      <c r="K192" s="403">
        <v>97</v>
      </c>
      <c r="L192" s="217">
        <v>1910</v>
      </c>
      <c r="M192" s="403" t="s">
        <v>153</v>
      </c>
      <c r="N192" s="403" t="s">
        <v>149</v>
      </c>
      <c r="O192" s="403" t="s">
        <v>154</v>
      </c>
      <c r="P192" s="403" t="s">
        <v>151</v>
      </c>
      <c r="Q192" s="403" t="s">
        <v>155</v>
      </c>
      <c r="R192" s="403" t="s">
        <v>7357</v>
      </c>
      <c r="S192" s="403"/>
      <c r="T192" s="403" t="s">
        <v>2845</v>
      </c>
      <c r="U192" s="403" t="s">
        <v>152</v>
      </c>
      <c r="V192" s="403" t="s">
        <v>18</v>
      </c>
    </row>
    <row r="193" spans="1:22">
      <c r="A193" s="6"/>
      <c r="B193" s="216">
        <v>46209</v>
      </c>
      <c r="C193" s="216">
        <v>46209</v>
      </c>
      <c r="D193" s="403" t="s">
        <v>7358</v>
      </c>
      <c r="E193" s="403">
        <v>260101519525</v>
      </c>
      <c r="F193" s="403" t="s">
        <v>87</v>
      </c>
      <c r="G193" s="403" t="s">
        <v>2120</v>
      </c>
      <c r="H193" s="403">
        <v>92</v>
      </c>
      <c r="I193" s="403">
        <v>323</v>
      </c>
      <c r="J193" s="374">
        <v>323</v>
      </c>
      <c r="K193" s="403">
        <v>180</v>
      </c>
      <c r="L193" s="217">
        <v>1000</v>
      </c>
      <c r="M193" s="403" t="s">
        <v>153</v>
      </c>
      <c r="N193" s="403" t="s">
        <v>149</v>
      </c>
      <c r="O193" s="403" t="s">
        <v>154</v>
      </c>
      <c r="P193" s="403" t="s">
        <v>151</v>
      </c>
      <c r="Q193" s="403" t="s">
        <v>155</v>
      </c>
      <c r="R193" s="403" t="s">
        <v>7359</v>
      </c>
      <c r="S193" s="403"/>
      <c r="T193" s="403" t="s">
        <v>2845</v>
      </c>
      <c r="U193" s="403" t="s">
        <v>152</v>
      </c>
      <c r="V193" s="403" t="s">
        <v>18</v>
      </c>
    </row>
    <row r="194" spans="1:22">
      <c r="A194" s="6"/>
      <c r="B194" s="216">
        <v>46209</v>
      </c>
      <c r="C194" s="216">
        <v>46209</v>
      </c>
      <c r="D194" s="403" t="s">
        <v>7360</v>
      </c>
      <c r="E194" s="403">
        <v>260105019534</v>
      </c>
      <c r="F194" s="403" t="s">
        <v>87</v>
      </c>
      <c r="G194" s="403" t="s">
        <v>2409</v>
      </c>
      <c r="H194" s="403">
        <v>142</v>
      </c>
      <c r="I194" s="403">
        <v>290</v>
      </c>
      <c r="J194" s="374">
        <v>290</v>
      </c>
      <c r="K194" s="403">
        <v>97</v>
      </c>
      <c r="L194" s="217">
        <v>2150</v>
      </c>
      <c r="M194" s="403" t="s">
        <v>153</v>
      </c>
      <c r="N194" s="403" t="s">
        <v>149</v>
      </c>
      <c r="O194" s="403" t="s">
        <v>154</v>
      </c>
      <c r="P194" s="403" t="s">
        <v>151</v>
      </c>
      <c r="Q194" s="403" t="s">
        <v>155</v>
      </c>
      <c r="R194" s="403" t="s">
        <v>7361</v>
      </c>
      <c r="S194" s="403"/>
      <c r="T194" s="403" t="s">
        <v>2845</v>
      </c>
      <c r="U194" s="403" t="s">
        <v>152</v>
      </c>
      <c r="V194" s="403" t="s">
        <v>18</v>
      </c>
    </row>
    <row r="195" spans="1:22">
      <c r="A195" s="6"/>
      <c r="B195" s="216">
        <v>46209</v>
      </c>
      <c r="C195" s="216">
        <v>46209</v>
      </c>
      <c r="D195" s="403" t="s">
        <v>7362</v>
      </c>
      <c r="E195" s="403">
        <v>260106819542</v>
      </c>
      <c r="F195" s="403" t="s">
        <v>87</v>
      </c>
      <c r="G195" s="403" t="s">
        <v>2425</v>
      </c>
      <c r="H195" s="403">
        <v>132</v>
      </c>
      <c r="I195" s="403">
        <v>248</v>
      </c>
      <c r="J195" s="374">
        <v>248</v>
      </c>
      <c r="K195" s="403">
        <v>92</v>
      </c>
      <c r="L195" s="217">
        <v>2100</v>
      </c>
      <c r="M195" s="403" t="s">
        <v>153</v>
      </c>
      <c r="N195" s="403" t="s">
        <v>149</v>
      </c>
      <c r="O195" s="403" t="s">
        <v>154</v>
      </c>
      <c r="P195" s="403" t="s">
        <v>151</v>
      </c>
      <c r="Q195" s="403" t="s">
        <v>155</v>
      </c>
      <c r="R195" s="403" t="s">
        <v>7363</v>
      </c>
      <c r="S195" s="403"/>
      <c r="T195" s="403" t="s">
        <v>2845</v>
      </c>
      <c r="U195" s="403" t="s">
        <v>152</v>
      </c>
      <c r="V195" s="403" t="s">
        <v>18</v>
      </c>
    </row>
    <row r="196" spans="1:22">
      <c r="A196" s="6"/>
      <c r="B196" s="216">
        <v>46209</v>
      </c>
      <c r="C196" s="216">
        <v>46209</v>
      </c>
      <c r="D196" s="403" t="s">
        <v>7364</v>
      </c>
      <c r="E196" s="403">
        <v>260100719544</v>
      </c>
      <c r="F196" s="403" t="s">
        <v>87</v>
      </c>
      <c r="G196" s="403" t="s">
        <v>7197</v>
      </c>
      <c r="H196" s="403">
        <v>182</v>
      </c>
      <c r="I196" s="403">
        <v>352</v>
      </c>
      <c r="J196" s="374">
        <v>352</v>
      </c>
      <c r="K196" s="403">
        <v>150</v>
      </c>
      <c r="L196" s="217">
        <v>660</v>
      </c>
      <c r="M196" s="403" t="s">
        <v>153</v>
      </c>
      <c r="N196" s="403" t="s">
        <v>149</v>
      </c>
      <c r="O196" s="403" t="s">
        <v>154</v>
      </c>
      <c r="P196" s="403" t="s">
        <v>151</v>
      </c>
      <c r="Q196" s="403" t="s">
        <v>155</v>
      </c>
      <c r="R196" s="403" t="s">
        <v>7365</v>
      </c>
      <c r="S196" s="403"/>
      <c r="T196" s="403" t="s">
        <v>2845</v>
      </c>
      <c r="U196" s="403" t="s">
        <v>152</v>
      </c>
      <c r="V196" s="403" t="s">
        <v>18</v>
      </c>
    </row>
    <row r="197" spans="1:22">
      <c r="A197" s="6"/>
      <c r="B197" s="216">
        <v>46209</v>
      </c>
      <c r="C197" s="216">
        <v>46209</v>
      </c>
      <c r="D197" s="403" t="s">
        <v>7366</v>
      </c>
      <c r="E197" s="403">
        <v>260101719527</v>
      </c>
      <c r="F197" s="403" t="s">
        <v>87</v>
      </c>
      <c r="G197" s="403" t="s">
        <v>2408</v>
      </c>
      <c r="H197" s="403">
        <v>95</v>
      </c>
      <c r="I197" s="403">
        <v>312</v>
      </c>
      <c r="J197" s="374">
        <v>312</v>
      </c>
      <c r="K197" s="403">
        <v>134</v>
      </c>
      <c r="L197" s="217">
        <v>1270</v>
      </c>
      <c r="M197" s="403" t="s">
        <v>153</v>
      </c>
      <c r="N197" s="403" t="s">
        <v>149</v>
      </c>
      <c r="O197" s="403" t="s">
        <v>154</v>
      </c>
      <c r="P197" s="403" t="s">
        <v>151</v>
      </c>
      <c r="Q197" s="403" t="s">
        <v>155</v>
      </c>
      <c r="R197" s="403" t="s">
        <v>7367</v>
      </c>
      <c r="S197" s="403"/>
      <c r="T197" s="403" t="s">
        <v>2845</v>
      </c>
      <c r="U197" s="403" t="s">
        <v>152</v>
      </c>
      <c r="V197" s="403" t="s">
        <v>18</v>
      </c>
    </row>
    <row r="198" spans="1:22">
      <c r="A198" s="6"/>
      <c r="B198" s="216">
        <v>46209</v>
      </c>
      <c r="C198" s="216">
        <v>46209</v>
      </c>
      <c r="D198" s="403" t="s">
        <v>7368</v>
      </c>
      <c r="E198" s="403">
        <v>260103719515</v>
      </c>
      <c r="F198" s="403" t="s">
        <v>87</v>
      </c>
      <c r="G198" s="403" t="s">
        <v>2563</v>
      </c>
      <c r="H198" s="403">
        <v>95</v>
      </c>
      <c r="I198" s="403">
        <v>356</v>
      </c>
      <c r="J198" s="374">
        <v>356</v>
      </c>
      <c r="K198" s="403">
        <v>134</v>
      </c>
      <c r="L198" s="217">
        <v>1460</v>
      </c>
      <c r="M198" s="403" t="s">
        <v>153</v>
      </c>
      <c r="N198" s="403" t="s">
        <v>149</v>
      </c>
      <c r="O198" s="403" t="s">
        <v>154</v>
      </c>
      <c r="P198" s="403" t="s">
        <v>151</v>
      </c>
      <c r="Q198" s="403" t="s">
        <v>155</v>
      </c>
      <c r="R198" s="403" t="s">
        <v>7369</v>
      </c>
      <c r="S198" s="403"/>
      <c r="T198" s="403" t="s">
        <v>2845</v>
      </c>
      <c r="U198" s="403" t="s">
        <v>152</v>
      </c>
      <c r="V198" s="403" t="s">
        <v>18</v>
      </c>
    </row>
    <row r="199" spans="1:22">
      <c r="A199" s="6"/>
      <c r="B199" s="216">
        <v>46209</v>
      </c>
      <c r="C199" s="216">
        <v>46209</v>
      </c>
      <c r="D199" s="403" t="s">
        <v>7370</v>
      </c>
      <c r="E199" s="403">
        <v>260105319537</v>
      </c>
      <c r="F199" s="403" t="s">
        <v>87</v>
      </c>
      <c r="G199" s="403" t="s">
        <v>2555</v>
      </c>
      <c r="H199" s="403">
        <v>152</v>
      </c>
      <c r="I199" s="403">
        <v>328</v>
      </c>
      <c r="J199" s="374">
        <v>328</v>
      </c>
      <c r="K199" s="403">
        <v>104</v>
      </c>
      <c r="L199" s="217">
        <v>2120</v>
      </c>
      <c r="M199" s="403" t="s">
        <v>153</v>
      </c>
      <c r="N199" s="403" t="s">
        <v>149</v>
      </c>
      <c r="O199" s="403" t="s">
        <v>154</v>
      </c>
      <c r="P199" s="403" t="s">
        <v>151</v>
      </c>
      <c r="Q199" s="403" t="s">
        <v>155</v>
      </c>
      <c r="R199" s="403" t="s">
        <v>7371</v>
      </c>
      <c r="S199" s="403"/>
      <c r="T199" s="403" t="s">
        <v>2845</v>
      </c>
      <c r="U199" s="403" t="s">
        <v>152</v>
      </c>
      <c r="V199" s="403" t="s">
        <v>18</v>
      </c>
    </row>
    <row r="200" spans="1:22">
      <c r="A200" s="6"/>
      <c r="B200" s="216">
        <v>46209</v>
      </c>
      <c r="C200" s="216">
        <v>46209</v>
      </c>
      <c r="D200" s="403" t="s">
        <v>7372</v>
      </c>
      <c r="E200" s="403">
        <v>260100719543</v>
      </c>
      <c r="F200" s="403" t="s">
        <v>87</v>
      </c>
      <c r="G200" s="403" t="s">
        <v>7197</v>
      </c>
      <c r="H200" s="403">
        <v>182</v>
      </c>
      <c r="I200" s="403">
        <v>294</v>
      </c>
      <c r="J200" s="374">
        <v>294</v>
      </c>
      <c r="K200" s="403">
        <v>150</v>
      </c>
      <c r="L200" s="217">
        <v>540</v>
      </c>
      <c r="M200" s="403" t="s">
        <v>153</v>
      </c>
      <c r="N200" s="403" t="s">
        <v>149</v>
      </c>
      <c r="O200" s="403" t="s">
        <v>154</v>
      </c>
      <c r="P200" s="403" t="s">
        <v>151</v>
      </c>
      <c r="Q200" s="403" t="s">
        <v>155</v>
      </c>
      <c r="R200" s="403" t="s">
        <v>7373</v>
      </c>
      <c r="S200" s="403"/>
      <c r="T200" s="403" t="s">
        <v>2845</v>
      </c>
      <c r="U200" s="403" t="s">
        <v>152</v>
      </c>
      <c r="V200" s="403" t="s">
        <v>18</v>
      </c>
    </row>
    <row r="201" spans="1:22">
      <c r="A201" s="6"/>
      <c r="B201" s="216">
        <v>46209</v>
      </c>
      <c r="C201" s="216">
        <v>46209</v>
      </c>
      <c r="D201" s="403" t="s">
        <v>7374</v>
      </c>
      <c r="E201" s="403">
        <v>260103919514</v>
      </c>
      <c r="F201" s="403" t="s">
        <v>87</v>
      </c>
      <c r="G201" s="403" t="s">
        <v>2408</v>
      </c>
      <c r="H201" s="403">
        <v>95</v>
      </c>
      <c r="I201" s="403">
        <v>242</v>
      </c>
      <c r="J201" s="374">
        <v>242</v>
      </c>
      <c r="K201" s="403">
        <v>134</v>
      </c>
      <c r="L201" s="217">
        <v>1000</v>
      </c>
      <c r="M201" s="403" t="s">
        <v>153</v>
      </c>
      <c r="N201" s="403" t="s">
        <v>149</v>
      </c>
      <c r="O201" s="403" t="s">
        <v>154</v>
      </c>
      <c r="P201" s="403" t="s">
        <v>151</v>
      </c>
      <c r="Q201" s="403" t="s">
        <v>155</v>
      </c>
      <c r="R201" s="403" t="s">
        <v>7375</v>
      </c>
      <c r="S201" s="403"/>
      <c r="T201" s="403" t="s">
        <v>2845</v>
      </c>
      <c r="U201" s="403" t="s">
        <v>152</v>
      </c>
      <c r="V201" s="403" t="s">
        <v>18</v>
      </c>
    </row>
    <row r="202" spans="1:22">
      <c r="A202" s="6"/>
      <c r="B202" s="216">
        <v>46209</v>
      </c>
      <c r="C202" s="216">
        <v>46209</v>
      </c>
      <c r="D202" s="403" t="s">
        <v>7376</v>
      </c>
      <c r="E202" s="403">
        <v>260102919521</v>
      </c>
      <c r="F202" s="403" t="s">
        <v>87</v>
      </c>
      <c r="G202" s="403" t="s">
        <v>859</v>
      </c>
      <c r="H202" s="403">
        <v>152</v>
      </c>
      <c r="I202" s="403">
        <v>338</v>
      </c>
      <c r="J202" s="374">
        <v>338</v>
      </c>
      <c r="K202" s="403">
        <v>104</v>
      </c>
      <c r="L202" s="217">
        <v>2220</v>
      </c>
      <c r="M202" s="403" t="s">
        <v>153</v>
      </c>
      <c r="N202" s="403" t="s">
        <v>149</v>
      </c>
      <c r="O202" s="403" t="s">
        <v>154</v>
      </c>
      <c r="P202" s="403" t="s">
        <v>151</v>
      </c>
      <c r="Q202" s="403" t="s">
        <v>155</v>
      </c>
      <c r="R202" s="403" t="s">
        <v>7377</v>
      </c>
      <c r="S202" s="403"/>
      <c r="T202" s="403" t="s">
        <v>2845</v>
      </c>
      <c r="U202" s="403" t="s">
        <v>152</v>
      </c>
      <c r="V202" s="403" t="s">
        <v>18</v>
      </c>
    </row>
    <row r="203" spans="1:22">
      <c r="A203" s="6"/>
      <c r="B203" s="216">
        <v>46209</v>
      </c>
      <c r="C203" s="216">
        <v>46209</v>
      </c>
      <c r="D203" s="403" t="s">
        <v>7378</v>
      </c>
      <c r="E203" s="403">
        <v>260102919522</v>
      </c>
      <c r="F203" s="403" t="s">
        <v>87</v>
      </c>
      <c r="G203" s="403" t="s">
        <v>859</v>
      </c>
      <c r="H203" s="403">
        <v>152</v>
      </c>
      <c r="I203" s="403">
        <v>340</v>
      </c>
      <c r="J203" s="374">
        <v>340</v>
      </c>
      <c r="K203" s="403">
        <v>104</v>
      </c>
      <c r="L203" s="217">
        <v>2220</v>
      </c>
      <c r="M203" s="403" t="s">
        <v>153</v>
      </c>
      <c r="N203" s="403" t="s">
        <v>149</v>
      </c>
      <c r="O203" s="403" t="s">
        <v>154</v>
      </c>
      <c r="P203" s="403" t="s">
        <v>151</v>
      </c>
      <c r="Q203" s="403" t="s">
        <v>155</v>
      </c>
      <c r="R203" s="403" t="s">
        <v>7379</v>
      </c>
      <c r="S203" s="403"/>
      <c r="T203" s="403" t="s">
        <v>2845</v>
      </c>
      <c r="U203" s="403" t="s">
        <v>152</v>
      </c>
      <c r="V203" s="403" t="s">
        <v>18</v>
      </c>
    </row>
    <row r="204" spans="1:22">
      <c r="A204" s="6"/>
      <c r="B204" s="216">
        <v>46209</v>
      </c>
      <c r="C204" s="216">
        <v>46209</v>
      </c>
      <c r="D204" s="403" t="s">
        <v>7380</v>
      </c>
      <c r="E204" s="403">
        <v>260105719533</v>
      </c>
      <c r="F204" s="403" t="s">
        <v>87</v>
      </c>
      <c r="G204" s="403" t="s">
        <v>2409</v>
      </c>
      <c r="H204" s="403">
        <v>152</v>
      </c>
      <c r="I204" s="403">
        <v>216</v>
      </c>
      <c r="J204" s="374">
        <v>216</v>
      </c>
      <c r="K204" s="403">
        <v>97</v>
      </c>
      <c r="L204" s="217">
        <v>1560</v>
      </c>
      <c r="M204" s="403" t="s">
        <v>153</v>
      </c>
      <c r="N204" s="403" t="s">
        <v>149</v>
      </c>
      <c r="O204" s="403" t="s">
        <v>154</v>
      </c>
      <c r="P204" s="403" t="s">
        <v>151</v>
      </c>
      <c r="Q204" s="403" t="s">
        <v>155</v>
      </c>
      <c r="R204" s="403" t="s">
        <v>7381</v>
      </c>
      <c r="S204" s="403"/>
      <c r="T204" s="403" t="s">
        <v>2845</v>
      </c>
      <c r="U204" s="403" t="s">
        <v>152</v>
      </c>
      <c r="V204" s="403" t="s">
        <v>18</v>
      </c>
    </row>
    <row r="205" spans="1:22">
      <c r="A205" s="6"/>
      <c r="B205" s="216">
        <v>46209</v>
      </c>
      <c r="C205" s="216">
        <v>46209</v>
      </c>
      <c r="D205" s="403" t="s">
        <v>7382</v>
      </c>
      <c r="E205" s="403">
        <v>260102619509</v>
      </c>
      <c r="F205" s="403" t="s">
        <v>87</v>
      </c>
      <c r="G205" s="403" t="s">
        <v>2658</v>
      </c>
      <c r="H205" s="403">
        <v>95</v>
      </c>
      <c r="I205" s="403">
        <v>190</v>
      </c>
      <c r="J205" s="374">
        <v>190</v>
      </c>
      <c r="K205" s="403">
        <v>130</v>
      </c>
      <c r="L205" s="217">
        <v>800</v>
      </c>
      <c r="M205" s="403" t="s">
        <v>153</v>
      </c>
      <c r="N205" s="403" t="s">
        <v>149</v>
      </c>
      <c r="O205" s="403" t="s">
        <v>154</v>
      </c>
      <c r="P205" s="403" t="s">
        <v>151</v>
      </c>
      <c r="Q205" s="403" t="s">
        <v>155</v>
      </c>
      <c r="R205" s="403" t="s">
        <v>7383</v>
      </c>
      <c r="S205" s="403"/>
      <c r="T205" s="403" t="s">
        <v>2845</v>
      </c>
      <c r="U205" s="403" t="s">
        <v>152</v>
      </c>
      <c r="V205" s="403" t="s">
        <v>18</v>
      </c>
    </row>
    <row r="206" spans="1:22">
      <c r="A206" s="6"/>
      <c r="B206" s="216">
        <v>46209</v>
      </c>
      <c r="C206" s="216">
        <v>46209</v>
      </c>
      <c r="D206" s="403" t="s">
        <v>7384</v>
      </c>
      <c r="E206" s="403">
        <v>260102019517</v>
      </c>
      <c r="F206" s="403" t="s">
        <v>87</v>
      </c>
      <c r="G206" s="403" t="s">
        <v>2563</v>
      </c>
      <c r="H206" s="403">
        <v>95</v>
      </c>
      <c r="I206" s="403">
        <v>249</v>
      </c>
      <c r="J206" s="374">
        <v>249</v>
      </c>
      <c r="K206" s="403">
        <v>134</v>
      </c>
      <c r="L206" s="217">
        <v>1000</v>
      </c>
      <c r="M206" s="403" t="s">
        <v>153</v>
      </c>
      <c r="N206" s="403" t="s">
        <v>149</v>
      </c>
      <c r="O206" s="403" t="s">
        <v>154</v>
      </c>
      <c r="P206" s="403" t="s">
        <v>151</v>
      </c>
      <c r="Q206" s="403" t="s">
        <v>155</v>
      </c>
      <c r="R206" s="403" t="s">
        <v>7385</v>
      </c>
      <c r="S206" s="403"/>
      <c r="T206" s="403" t="s">
        <v>2845</v>
      </c>
      <c r="U206" s="403" t="s">
        <v>152</v>
      </c>
      <c r="V206" s="403" t="s">
        <v>18</v>
      </c>
    </row>
    <row r="207" spans="1:22">
      <c r="A207" s="6"/>
      <c r="B207" s="216">
        <v>46209</v>
      </c>
      <c r="C207" s="216">
        <v>46209</v>
      </c>
      <c r="D207" s="403" t="s">
        <v>7386</v>
      </c>
      <c r="E207" s="403">
        <v>260102819511</v>
      </c>
      <c r="F207" s="403" t="s">
        <v>87</v>
      </c>
      <c r="G207" s="403" t="s">
        <v>2658</v>
      </c>
      <c r="H207" s="403">
        <v>105</v>
      </c>
      <c r="I207" s="403">
        <v>270</v>
      </c>
      <c r="J207" s="374">
        <v>270</v>
      </c>
      <c r="K207" s="403">
        <v>130</v>
      </c>
      <c r="L207" s="217">
        <v>1015</v>
      </c>
      <c r="M207" s="403" t="s">
        <v>153</v>
      </c>
      <c r="N207" s="403" t="s">
        <v>149</v>
      </c>
      <c r="O207" s="403" t="s">
        <v>154</v>
      </c>
      <c r="P207" s="403" t="s">
        <v>151</v>
      </c>
      <c r="Q207" s="403" t="s">
        <v>155</v>
      </c>
      <c r="R207" s="403" t="s">
        <v>7387</v>
      </c>
      <c r="S207" s="403"/>
      <c r="T207" s="403" t="s">
        <v>2845</v>
      </c>
      <c r="U207" s="403" t="s">
        <v>152</v>
      </c>
      <c r="V207" s="403" t="s">
        <v>18</v>
      </c>
    </row>
    <row r="208" spans="1:22">
      <c r="A208" s="6"/>
      <c r="B208" s="216">
        <v>46209</v>
      </c>
      <c r="C208" s="216">
        <v>46209</v>
      </c>
      <c r="D208" s="403" t="s">
        <v>7388</v>
      </c>
      <c r="E208" s="403">
        <v>260101519512</v>
      </c>
      <c r="F208" s="403" t="s">
        <v>87</v>
      </c>
      <c r="G208" s="403" t="s">
        <v>2120</v>
      </c>
      <c r="H208" s="403">
        <v>92</v>
      </c>
      <c r="I208" s="403">
        <v>349</v>
      </c>
      <c r="J208" s="374">
        <v>349</v>
      </c>
      <c r="K208" s="403">
        <v>180</v>
      </c>
      <c r="L208" s="217">
        <v>1080</v>
      </c>
      <c r="M208" s="403" t="s">
        <v>153</v>
      </c>
      <c r="N208" s="403" t="s">
        <v>149</v>
      </c>
      <c r="O208" s="403" t="s">
        <v>154</v>
      </c>
      <c r="P208" s="403" t="s">
        <v>151</v>
      </c>
      <c r="Q208" s="403" t="s">
        <v>155</v>
      </c>
      <c r="R208" s="403" t="s">
        <v>7389</v>
      </c>
      <c r="S208" s="403"/>
      <c r="T208" s="403" t="s">
        <v>2845</v>
      </c>
      <c r="U208" s="403" t="s">
        <v>152</v>
      </c>
      <c r="V208" s="403" t="s">
        <v>18</v>
      </c>
    </row>
    <row r="209" spans="1:22">
      <c r="A209" s="6"/>
      <c r="B209" s="216">
        <v>46210</v>
      </c>
      <c r="C209" s="216">
        <v>46210</v>
      </c>
      <c r="D209" s="403" t="s">
        <v>7390</v>
      </c>
      <c r="E209" s="403" t="s">
        <v>7391</v>
      </c>
      <c r="F209" s="403" t="s">
        <v>87</v>
      </c>
      <c r="G209" s="403" t="s">
        <v>2517</v>
      </c>
      <c r="H209" s="403">
        <v>92</v>
      </c>
      <c r="I209" s="403">
        <v>274</v>
      </c>
      <c r="J209" s="374">
        <v>274</v>
      </c>
      <c r="K209" s="403">
        <v>125</v>
      </c>
      <c r="L209" s="217">
        <v>1146</v>
      </c>
      <c r="M209" s="403" t="s">
        <v>153</v>
      </c>
      <c r="N209" s="403" t="s">
        <v>149</v>
      </c>
      <c r="O209" s="403" t="s">
        <v>154</v>
      </c>
      <c r="P209" s="403" t="s">
        <v>151</v>
      </c>
      <c r="Q209" s="403" t="s">
        <v>155</v>
      </c>
      <c r="R209" s="403" t="s">
        <v>7392</v>
      </c>
      <c r="S209" s="403"/>
      <c r="T209" s="403" t="s">
        <v>2863</v>
      </c>
      <c r="U209" s="403" t="s">
        <v>152</v>
      </c>
      <c r="V209" s="403" t="s">
        <v>18</v>
      </c>
    </row>
    <row r="210" spans="1:22">
      <c r="A210" s="6"/>
      <c r="B210" s="216">
        <v>46210</v>
      </c>
      <c r="C210" s="216">
        <v>46210</v>
      </c>
      <c r="D210" s="403" t="s">
        <v>7393</v>
      </c>
      <c r="E210" s="403" t="s">
        <v>7394</v>
      </c>
      <c r="F210" s="403" t="s">
        <v>87</v>
      </c>
      <c r="G210" s="403" t="s">
        <v>2517</v>
      </c>
      <c r="H210" s="403">
        <v>92</v>
      </c>
      <c r="I210" s="403">
        <v>254</v>
      </c>
      <c r="J210" s="374">
        <v>254</v>
      </c>
      <c r="K210" s="403">
        <v>125</v>
      </c>
      <c r="L210" s="217">
        <v>1069</v>
      </c>
      <c r="M210" s="403" t="s">
        <v>153</v>
      </c>
      <c r="N210" s="403" t="s">
        <v>149</v>
      </c>
      <c r="O210" s="403" t="s">
        <v>154</v>
      </c>
      <c r="P210" s="403" t="s">
        <v>151</v>
      </c>
      <c r="Q210" s="403" t="s">
        <v>155</v>
      </c>
      <c r="R210" s="403" t="s">
        <v>7395</v>
      </c>
      <c r="S210" s="403"/>
      <c r="T210" s="403" t="s">
        <v>2863</v>
      </c>
      <c r="U210" s="403" t="s">
        <v>152</v>
      </c>
      <c r="V210" s="403" t="s">
        <v>18</v>
      </c>
    </row>
    <row r="211" spans="1:22">
      <c r="A211" s="6"/>
      <c r="B211" s="216">
        <v>46210</v>
      </c>
      <c r="C211" s="216">
        <v>46210</v>
      </c>
      <c r="D211" s="403" t="s">
        <v>7396</v>
      </c>
      <c r="E211" s="403" t="s">
        <v>7397</v>
      </c>
      <c r="F211" s="403" t="s">
        <v>87</v>
      </c>
      <c r="G211" s="403" t="s">
        <v>2517</v>
      </c>
      <c r="H211" s="403">
        <v>92</v>
      </c>
      <c r="I211" s="403">
        <v>295</v>
      </c>
      <c r="J211" s="374">
        <v>295</v>
      </c>
      <c r="K211" s="403">
        <v>125</v>
      </c>
      <c r="L211" s="217">
        <v>1214</v>
      </c>
      <c r="M211" s="403" t="s">
        <v>153</v>
      </c>
      <c r="N211" s="403" t="s">
        <v>149</v>
      </c>
      <c r="O211" s="403" t="s">
        <v>154</v>
      </c>
      <c r="P211" s="403" t="s">
        <v>151</v>
      </c>
      <c r="Q211" s="403" t="s">
        <v>155</v>
      </c>
      <c r="R211" s="403" t="s">
        <v>7398</v>
      </c>
      <c r="S211" s="403"/>
      <c r="T211" s="403" t="s">
        <v>2863</v>
      </c>
      <c r="U211" s="403" t="s">
        <v>152</v>
      </c>
      <c r="V211" s="403" t="s">
        <v>18</v>
      </c>
    </row>
    <row r="212" spans="1:22">
      <c r="A212" s="6"/>
      <c r="B212" s="216">
        <v>46210</v>
      </c>
      <c r="C212" s="216">
        <v>46210</v>
      </c>
      <c r="D212" s="403" t="s">
        <v>7399</v>
      </c>
      <c r="E212" s="403" t="s">
        <v>7400</v>
      </c>
      <c r="F212" s="403" t="s">
        <v>87</v>
      </c>
      <c r="G212" s="403" t="s">
        <v>2517</v>
      </c>
      <c r="H212" s="403">
        <v>92</v>
      </c>
      <c r="I212" s="403">
        <v>270</v>
      </c>
      <c r="J212" s="374">
        <v>270</v>
      </c>
      <c r="K212" s="403">
        <v>125</v>
      </c>
      <c r="L212" s="217">
        <v>1141</v>
      </c>
      <c r="M212" s="403" t="s">
        <v>153</v>
      </c>
      <c r="N212" s="403" t="s">
        <v>149</v>
      </c>
      <c r="O212" s="403" t="s">
        <v>154</v>
      </c>
      <c r="P212" s="403" t="s">
        <v>151</v>
      </c>
      <c r="Q212" s="403" t="s">
        <v>155</v>
      </c>
      <c r="R212" s="403" t="s">
        <v>7401</v>
      </c>
      <c r="S212" s="403"/>
      <c r="T212" s="403" t="s">
        <v>2863</v>
      </c>
      <c r="U212" s="403" t="s">
        <v>152</v>
      </c>
      <c r="V212" s="403" t="s">
        <v>18</v>
      </c>
    </row>
    <row r="213" spans="1:22">
      <c r="A213" s="6"/>
      <c r="B213" s="216">
        <v>46210</v>
      </c>
      <c r="C213" s="216">
        <v>46210</v>
      </c>
      <c r="D213" s="403" t="s">
        <v>7402</v>
      </c>
      <c r="E213" s="403">
        <v>260103419569</v>
      </c>
      <c r="F213" s="403" t="s">
        <v>87</v>
      </c>
      <c r="G213" s="403" t="s">
        <v>7403</v>
      </c>
      <c r="H213" s="403">
        <v>222</v>
      </c>
      <c r="I213" s="403">
        <v>205</v>
      </c>
      <c r="J213" s="374">
        <v>205</v>
      </c>
      <c r="K213" s="403">
        <v>105</v>
      </c>
      <c r="L213" s="217">
        <v>900</v>
      </c>
      <c r="M213" s="403" t="s">
        <v>153</v>
      </c>
      <c r="N213" s="403" t="s">
        <v>149</v>
      </c>
      <c r="O213" s="403" t="s">
        <v>154</v>
      </c>
      <c r="P213" s="403" t="s">
        <v>151</v>
      </c>
      <c r="Q213" s="403" t="s">
        <v>155</v>
      </c>
      <c r="R213" s="403" t="s">
        <v>7404</v>
      </c>
      <c r="S213" s="403"/>
      <c r="T213" s="403" t="s">
        <v>2865</v>
      </c>
      <c r="U213" s="403" t="s">
        <v>152</v>
      </c>
      <c r="V213" s="403" t="s">
        <v>18</v>
      </c>
    </row>
    <row r="214" spans="1:22">
      <c r="A214" s="6"/>
      <c r="B214" s="216">
        <v>46210</v>
      </c>
      <c r="C214" s="216">
        <v>46210</v>
      </c>
      <c r="D214" s="403" t="s">
        <v>7405</v>
      </c>
      <c r="E214" s="403">
        <v>260103419568</v>
      </c>
      <c r="F214" s="403" t="s">
        <v>87</v>
      </c>
      <c r="G214" s="403" t="s">
        <v>7403</v>
      </c>
      <c r="H214" s="403">
        <v>222</v>
      </c>
      <c r="I214" s="403">
        <v>205</v>
      </c>
      <c r="J214" s="374">
        <v>205</v>
      </c>
      <c r="K214" s="403">
        <v>105</v>
      </c>
      <c r="L214" s="217">
        <v>900</v>
      </c>
      <c r="M214" s="403" t="s">
        <v>153</v>
      </c>
      <c r="N214" s="403" t="s">
        <v>149</v>
      </c>
      <c r="O214" s="403" t="s">
        <v>154</v>
      </c>
      <c r="P214" s="403" t="s">
        <v>151</v>
      </c>
      <c r="Q214" s="403" t="s">
        <v>155</v>
      </c>
      <c r="R214" s="403" t="s">
        <v>7406</v>
      </c>
      <c r="S214" s="403"/>
      <c r="T214" s="403" t="s">
        <v>2865</v>
      </c>
      <c r="U214" s="403" t="s">
        <v>152</v>
      </c>
      <c r="V214" s="403" t="s">
        <v>18</v>
      </c>
    </row>
    <row r="215" spans="1:22">
      <c r="A215" s="6"/>
      <c r="B215" s="216">
        <v>46210</v>
      </c>
      <c r="C215" s="216">
        <v>46210</v>
      </c>
      <c r="D215" s="403" t="s">
        <v>7407</v>
      </c>
      <c r="E215" s="403">
        <v>260105319578</v>
      </c>
      <c r="F215" s="403" t="s">
        <v>87</v>
      </c>
      <c r="G215" s="403" t="s">
        <v>2555</v>
      </c>
      <c r="H215" s="403">
        <v>152</v>
      </c>
      <c r="I215" s="403">
        <v>320</v>
      </c>
      <c r="J215" s="374">
        <v>320</v>
      </c>
      <c r="K215" s="403">
        <v>104</v>
      </c>
      <c r="L215" s="217">
        <v>2100</v>
      </c>
      <c r="M215" s="403" t="s">
        <v>153</v>
      </c>
      <c r="N215" s="403" t="s">
        <v>149</v>
      </c>
      <c r="O215" s="403" t="s">
        <v>154</v>
      </c>
      <c r="P215" s="403" t="s">
        <v>151</v>
      </c>
      <c r="Q215" s="403" t="s">
        <v>155</v>
      </c>
      <c r="R215" s="403" t="s">
        <v>7408</v>
      </c>
      <c r="S215" s="403"/>
      <c r="T215" s="403" t="s">
        <v>2869</v>
      </c>
      <c r="U215" s="403" t="s">
        <v>152</v>
      </c>
      <c r="V215" s="403" t="s">
        <v>18</v>
      </c>
    </row>
    <row r="216" spans="1:22">
      <c r="A216" s="6"/>
      <c r="B216" s="216">
        <v>46210</v>
      </c>
      <c r="C216" s="216">
        <v>46210</v>
      </c>
      <c r="D216" s="403" t="s">
        <v>7409</v>
      </c>
      <c r="E216" s="403">
        <v>260100419579</v>
      </c>
      <c r="F216" s="403" t="s">
        <v>87</v>
      </c>
      <c r="G216" s="403" t="s">
        <v>7130</v>
      </c>
      <c r="H216" s="403">
        <v>182</v>
      </c>
      <c r="I216" s="403">
        <v>519</v>
      </c>
      <c r="J216" s="374">
        <v>519</v>
      </c>
      <c r="K216" s="403">
        <v>190</v>
      </c>
      <c r="L216" s="217">
        <v>770</v>
      </c>
      <c r="M216" s="403" t="s">
        <v>153</v>
      </c>
      <c r="N216" s="403" t="s">
        <v>149</v>
      </c>
      <c r="O216" s="403" t="s">
        <v>154</v>
      </c>
      <c r="P216" s="403" t="s">
        <v>151</v>
      </c>
      <c r="Q216" s="403" t="s">
        <v>155</v>
      </c>
      <c r="R216" s="403" t="s">
        <v>7410</v>
      </c>
      <c r="S216" s="403"/>
      <c r="T216" s="403" t="s">
        <v>2869</v>
      </c>
      <c r="U216" s="403" t="s">
        <v>152</v>
      </c>
      <c r="V216" s="403" t="s">
        <v>18</v>
      </c>
    </row>
    <row r="217" spans="1:22">
      <c r="A217" s="6"/>
      <c r="B217" s="216">
        <v>46210</v>
      </c>
      <c r="C217" s="216">
        <v>46210</v>
      </c>
      <c r="D217" s="403" t="s">
        <v>7411</v>
      </c>
      <c r="E217" s="403">
        <v>260101619567</v>
      </c>
      <c r="F217" s="403" t="s">
        <v>87</v>
      </c>
      <c r="G217" s="403" t="s">
        <v>2120</v>
      </c>
      <c r="H217" s="403">
        <v>112</v>
      </c>
      <c r="I217" s="403">
        <v>402</v>
      </c>
      <c r="J217" s="374">
        <v>402</v>
      </c>
      <c r="K217" s="403">
        <v>180</v>
      </c>
      <c r="L217" s="217">
        <v>1020</v>
      </c>
      <c r="M217" s="403" t="s">
        <v>153</v>
      </c>
      <c r="N217" s="403" t="s">
        <v>149</v>
      </c>
      <c r="O217" s="403" t="s">
        <v>154</v>
      </c>
      <c r="P217" s="403" t="s">
        <v>151</v>
      </c>
      <c r="Q217" s="403" t="s">
        <v>155</v>
      </c>
      <c r="R217" s="403" t="s">
        <v>7412</v>
      </c>
      <c r="S217" s="403"/>
      <c r="T217" s="403" t="s">
        <v>2869</v>
      </c>
      <c r="U217" s="403" t="s">
        <v>152</v>
      </c>
      <c r="V217" s="403" t="s">
        <v>18</v>
      </c>
    </row>
    <row r="218" spans="1:22">
      <c r="A218" s="6"/>
      <c r="B218" s="216">
        <v>46210</v>
      </c>
      <c r="C218" s="216">
        <v>46210</v>
      </c>
      <c r="D218" s="403" t="s">
        <v>7413</v>
      </c>
      <c r="E218" s="403">
        <v>260101819566</v>
      </c>
      <c r="F218" s="403" t="s">
        <v>87</v>
      </c>
      <c r="G218" s="403" t="s">
        <v>2408</v>
      </c>
      <c r="H218" s="403">
        <v>95</v>
      </c>
      <c r="I218" s="403">
        <v>320</v>
      </c>
      <c r="J218" s="374">
        <v>320</v>
      </c>
      <c r="K218" s="403">
        <v>134</v>
      </c>
      <c r="L218" s="217">
        <v>1270</v>
      </c>
      <c r="M218" s="403" t="s">
        <v>153</v>
      </c>
      <c r="N218" s="403" t="s">
        <v>149</v>
      </c>
      <c r="O218" s="403" t="s">
        <v>154</v>
      </c>
      <c r="P218" s="403" t="s">
        <v>151</v>
      </c>
      <c r="Q218" s="403" t="s">
        <v>155</v>
      </c>
      <c r="R218" s="403" t="s">
        <v>7414</v>
      </c>
      <c r="S218" s="403"/>
      <c r="T218" s="403" t="s">
        <v>2869</v>
      </c>
      <c r="U218" s="403" t="s">
        <v>152</v>
      </c>
      <c r="V218" s="403" t="s">
        <v>18</v>
      </c>
    </row>
    <row r="219" spans="1:22">
      <c r="A219" s="6"/>
      <c r="B219" s="216">
        <v>46210</v>
      </c>
      <c r="C219" s="216">
        <v>46210</v>
      </c>
      <c r="D219" s="403" t="s">
        <v>7415</v>
      </c>
      <c r="E219" s="403">
        <v>260102519565</v>
      </c>
      <c r="F219" s="403" t="s">
        <v>87</v>
      </c>
      <c r="G219" s="403" t="s">
        <v>2658</v>
      </c>
      <c r="H219" s="403">
        <v>95</v>
      </c>
      <c r="I219" s="403">
        <v>237</v>
      </c>
      <c r="J219" s="374">
        <v>237</v>
      </c>
      <c r="K219" s="403">
        <v>130</v>
      </c>
      <c r="L219" s="217">
        <v>1000</v>
      </c>
      <c r="M219" s="403" t="s">
        <v>153</v>
      </c>
      <c r="N219" s="403" t="s">
        <v>149</v>
      </c>
      <c r="O219" s="403" t="s">
        <v>154</v>
      </c>
      <c r="P219" s="403" t="s">
        <v>151</v>
      </c>
      <c r="Q219" s="403" t="s">
        <v>155</v>
      </c>
      <c r="R219" s="403" t="s">
        <v>7416</v>
      </c>
      <c r="S219" s="403"/>
      <c r="T219" s="403" t="s">
        <v>2869</v>
      </c>
      <c r="U219" s="403" t="s">
        <v>152</v>
      </c>
      <c r="V219" s="403" t="s">
        <v>18</v>
      </c>
    </row>
    <row r="220" spans="1:22">
      <c r="A220" s="6"/>
      <c r="B220" s="216">
        <v>46210</v>
      </c>
      <c r="C220" s="216">
        <v>46210</v>
      </c>
      <c r="D220" s="403" t="s">
        <v>7417</v>
      </c>
      <c r="E220" s="403">
        <v>260102519599</v>
      </c>
      <c r="F220" s="403" t="s">
        <v>87</v>
      </c>
      <c r="G220" s="403" t="s">
        <v>2658</v>
      </c>
      <c r="H220" s="403">
        <v>95</v>
      </c>
      <c r="I220" s="403">
        <v>232</v>
      </c>
      <c r="J220" s="374">
        <v>232</v>
      </c>
      <c r="K220" s="403">
        <v>130</v>
      </c>
      <c r="L220" s="217">
        <v>1000</v>
      </c>
      <c r="M220" s="403" t="s">
        <v>153</v>
      </c>
      <c r="N220" s="403" t="s">
        <v>149</v>
      </c>
      <c r="O220" s="403" t="s">
        <v>154</v>
      </c>
      <c r="P220" s="403" t="s">
        <v>151</v>
      </c>
      <c r="Q220" s="403" t="s">
        <v>155</v>
      </c>
      <c r="R220" s="403" t="s">
        <v>7418</v>
      </c>
      <c r="S220" s="403"/>
      <c r="T220" s="403" t="s">
        <v>2869</v>
      </c>
      <c r="U220" s="403" t="s">
        <v>152</v>
      </c>
      <c r="V220" s="403" t="s">
        <v>18</v>
      </c>
    </row>
    <row r="221" spans="1:22">
      <c r="A221" s="6"/>
      <c r="B221" s="216">
        <v>46210</v>
      </c>
      <c r="C221" s="216">
        <v>46210</v>
      </c>
      <c r="D221" s="403" t="s">
        <v>7419</v>
      </c>
      <c r="E221" s="403">
        <v>260101719600</v>
      </c>
      <c r="F221" s="403" t="s">
        <v>87</v>
      </c>
      <c r="G221" s="403" t="s">
        <v>2408</v>
      </c>
      <c r="H221" s="403">
        <v>95</v>
      </c>
      <c r="I221" s="403">
        <v>294</v>
      </c>
      <c r="J221" s="374">
        <v>294</v>
      </c>
      <c r="K221" s="403">
        <v>134</v>
      </c>
      <c r="L221" s="217">
        <v>1210</v>
      </c>
      <c r="M221" s="403" t="s">
        <v>153</v>
      </c>
      <c r="N221" s="403" t="s">
        <v>149</v>
      </c>
      <c r="O221" s="403" t="s">
        <v>154</v>
      </c>
      <c r="P221" s="403" t="s">
        <v>151</v>
      </c>
      <c r="Q221" s="403" t="s">
        <v>155</v>
      </c>
      <c r="R221" s="403" t="s">
        <v>7420</v>
      </c>
      <c r="S221" s="403"/>
      <c r="T221" s="403" t="s">
        <v>2869</v>
      </c>
      <c r="U221" s="403" t="s">
        <v>152</v>
      </c>
      <c r="V221" s="403" t="s">
        <v>18</v>
      </c>
    </row>
    <row r="222" spans="1:22">
      <c r="A222" s="6"/>
      <c r="B222" s="216">
        <v>46210</v>
      </c>
      <c r="C222" s="216">
        <v>46210</v>
      </c>
      <c r="D222" s="403" t="s">
        <v>7421</v>
      </c>
      <c r="E222" s="403">
        <v>260100719610</v>
      </c>
      <c r="F222" s="403" t="s">
        <v>87</v>
      </c>
      <c r="G222" s="403" t="s">
        <v>7197</v>
      </c>
      <c r="H222" s="403">
        <v>182</v>
      </c>
      <c r="I222" s="403">
        <v>317</v>
      </c>
      <c r="J222" s="374">
        <v>317</v>
      </c>
      <c r="K222" s="403">
        <v>150</v>
      </c>
      <c r="L222" s="217">
        <v>600</v>
      </c>
      <c r="M222" s="403" t="s">
        <v>153</v>
      </c>
      <c r="N222" s="403" t="s">
        <v>149</v>
      </c>
      <c r="O222" s="403" t="s">
        <v>154</v>
      </c>
      <c r="P222" s="403" t="s">
        <v>151</v>
      </c>
      <c r="Q222" s="403" t="s">
        <v>155</v>
      </c>
      <c r="R222" s="403" t="s">
        <v>7422</v>
      </c>
      <c r="S222" s="403"/>
      <c r="T222" s="403" t="s">
        <v>2869</v>
      </c>
      <c r="U222" s="403" t="s">
        <v>152</v>
      </c>
      <c r="V222" s="403" t="s">
        <v>18</v>
      </c>
    </row>
    <row r="223" spans="1:22">
      <c r="A223" s="6"/>
      <c r="B223" s="216">
        <v>46210</v>
      </c>
      <c r="C223" s="216">
        <v>46210</v>
      </c>
      <c r="D223" s="403" t="s">
        <v>7423</v>
      </c>
      <c r="E223" s="403">
        <v>260103719584</v>
      </c>
      <c r="F223" s="403" t="s">
        <v>87</v>
      </c>
      <c r="G223" s="403" t="s">
        <v>2563</v>
      </c>
      <c r="H223" s="403">
        <v>95</v>
      </c>
      <c r="I223" s="403">
        <v>416</v>
      </c>
      <c r="J223" s="374">
        <v>416</v>
      </c>
      <c r="K223" s="403">
        <v>134</v>
      </c>
      <c r="L223" s="217">
        <v>1720</v>
      </c>
      <c r="M223" s="403" t="s">
        <v>153</v>
      </c>
      <c r="N223" s="403" t="s">
        <v>149</v>
      </c>
      <c r="O223" s="403" t="s">
        <v>154</v>
      </c>
      <c r="P223" s="403" t="s">
        <v>151</v>
      </c>
      <c r="Q223" s="403" t="s">
        <v>155</v>
      </c>
      <c r="R223" s="403" t="s">
        <v>7424</v>
      </c>
      <c r="S223" s="403"/>
      <c r="T223" s="403" t="s">
        <v>2869</v>
      </c>
      <c r="U223" s="403" t="s">
        <v>152</v>
      </c>
      <c r="V223" s="403" t="s">
        <v>18</v>
      </c>
    </row>
    <row r="224" spans="1:22">
      <c r="A224" s="6"/>
      <c r="B224" s="216">
        <v>46210</v>
      </c>
      <c r="C224" s="216">
        <v>46210</v>
      </c>
      <c r="D224" s="403" t="s">
        <v>7425</v>
      </c>
      <c r="E224" s="403">
        <v>260102619589</v>
      </c>
      <c r="F224" s="403" t="s">
        <v>87</v>
      </c>
      <c r="G224" s="403" t="s">
        <v>2658</v>
      </c>
      <c r="H224" s="403">
        <v>95</v>
      </c>
      <c r="I224" s="403">
        <v>258</v>
      </c>
      <c r="J224" s="374">
        <v>258</v>
      </c>
      <c r="K224" s="403">
        <v>130</v>
      </c>
      <c r="L224" s="217">
        <v>1100</v>
      </c>
      <c r="M224" s="403" t="s">
        <v>153</v>
      </c>
      <c r="N224" s="403" t="s">
        <v>149</v>
      </c>
      <c r="O224" s="403" t="s">
        <v>154</v>
      </c>
      <c r="P224" s="403" t="s">
        <v>151</v>
      </c>
      <c r="Q224" s="403" t="s">
        <v>155</v>
      </c>
      <c r="R224" s="403" t="s">
        <v>7426</v>
      </c>
      <c r="S224" s="403"/>
      <c r="T224" s="403" t="s">
        <v>2869</v>
      </c>
      <c r="U224" s="403" t="s">
        <v>152</v>
      </c>
      <c r="V224" s="403" t="s">
        <v>18</v>
      </c>
    </row>
    <row r="225" spans="1:22">
      <c r="A225" s="6"/>
      <c r="B225" s="216">
        <v>46210</v>
      </c>
      <c r="C225" s="216">
        <v>46210</v>
      </c>
      <c r="D225" s="403" t="s">
        <v>7427</v>
      </c>
      <c r="E225" s="403">
        <v>260102619598</v>
      </c>
      <c r="F225" s="403" t="s">
        <v>87</v>
      </c>
      <c r="G225" s="403" t="s">
        <v>2658</v>
      </c>
      <c r="H225" s="403">
        <v>95</v>
      </c>
      <c r="I225" s="403">
        <v>232</v>
      </c>
      <c r="J225" s="374">
        <v>232</v>
      </c>
      <c r="K225" s="403">
        <v>130</v>
      </c>
      <c r="L225" s="217">
        <v>1000</v>
      </c>
      <c r="M225" s="403" t="s">
        <v>153</v>
      </c>
      <c r="N225" s="403" t="s">
        <v>149</v>
      </c>
      <c r="O225" s="403" t="s">
        <v>154</v>
      </c>
      <c r="P225" s="403" t="s">
        <v>151</v>
      </c>
      <c r="Q225" s="403" t="s">
        <v>155</v>
      </c>
      <c r="R225" s="403" t="s">
        <v>7428</v>
      </c>
      <c r="S225" s="403"/>
      <c r="T225" s="403" t="s">
        <v>2869</v>
      </c>
      <c r="U225" s="403" t="s">
        <v>152</v>
      </c>
      <c r="V225" s="403" t="s">
        <v>18</v>
      </c>
    </row>
    <row r="226" spans="1:22">
      <c r="A226" s="6"/>
      <c r="B226" s="216">
        <v>46210</v>
      </c>
      <c r="C226" s="216">
        <v>46210</v>
      </c>
      <c r="D226" s="403" t="s">
        <v>7429</v>
      </c>
      <c r="E226" s="403">
        <v>260100719586</v>
      </c>
      <c r="F226" s="403" t="s">
        <v>87</v>
      </c>
      <c r="G226" s="403" t="s">
        <v>7197</v>
      </c>
      <c r="H226" s="403">
        <v>182</v>
      </c>
      <c r="I226" s="403">
        <v>457</v>
      </c>
      <c r="J226" s="374">
        <v>457</v>
      </c>
      <c r="K226" s="403">
        <v>150</v>
      </c>
      <c r="L226" s="217">
        <v>870</v>
      </c>
      <c r="M226" s="403" t="s">
        <v>153</v>
      </c>
      <c r="N226" s="403" t="s">
        <v>149</v>
      </c>
      <c r="O226" s="403" t="s">
        <v>154</v>
      </c>
      <c r="P226" s="403" t="s">
        <v>151</v>
      </c>
      <c r="Q226" s="403" t="s">
        <v>155</v>
      </c>
      <c r="R226" s="403" t="s">
        <v>7430</v>
      </c>
      <c r="S226" s="403"/>
      <c r="T226" s="403" t="s">
        <v>2869</v>
      </c>
      <c r="U226" s="403" t="s">
        <v>152</v>
      </c>
      <c r="V226" s="403" t="s">
        <v>18</v>
      </c>
    </row>
    <row r="227" spans="1:22">
      <c r="A227" s="6"/>
      <c r="B227" s="216">
        <v>46210</v>
      </c>
      <c r="C227" s="216">
        <v>46210</v>
      </c>
      <c r="D227" s="403" t="s">
        <v>7431</v>
      </c>
      <c r="E227" s="403">
        <v>260104019588</v>
      </c>
      <c r="F227" s="403" t="s">
        <v>87</v>
      </c>
      <c r="G227" s="403" t="s">
        <v>2563</v>
      </c>
      <c r="H227" s="403">
        <v>95</v>
      </c>
      <c r="I227" s="403">
        <v>255</v>
      </c>
      <c r="J227" s="374">
        <v>255</v>
      </c>
      <c r="K227" s="403">
        <v>134</v>
      </c>
      <c r="L227" s="217">
        <v>1050</v>
      </c>
      <c r="M227" s="403" t="s">
        <v>153</v>
      </c>
      <c r="N227" s="403" t="s">
        <v>149</v>
      </c>
      <c r="O227" s="403" t="s">
        <v>154</v>
      </c>
      <c r="P227" s="403" t="s">
        <v>151</v>
      </c>
      <c r="Q227" s="403" t="s">
        <v>155</v>
      </c>
      <c r="R227" s="403" t="s">
        <v>7432</v>
      </c>
      <c r="S227" s="403"/>
      <c r="T227" s="403" t="s">
        <v>2869</v>
      </c>
      <c r="U227" s="403" t="s">
        <v>152</v>
      </c>
      <c r="V227" s="403" t="s">
        <v>18</v>
      </c>
    </row>
    <row r="228" spans="1:22">
      <c r="A228" s="6"/>
      <c r="B228" s="216">
        <v>46210</v>
      </c>
      <c r="C228" s="216">
        <v>46210</v>
      </c>
      <c r="D228" s="403" t="s">
        <v>7433</v>
      </c>
      <c r="E228" s="403">
        <v>260105719607</v>
      </c>
      <c r="F228" s="403" t="s">
        <v>87</v>
      </c>
      <c r="G228" s="403" t="s">
        <v>2409</v>
      </c>
      <c r="H228" s="403">
        <v>152</v>
      </c>
      <c r="I228" s="403">
        <v>220</v>
      </c>
      <c r="J228" s="374">
        <v>220</v>
      </c>
      <c r="K228" s="403">
        <v>97</v>
      </c>
      <c r="L228" s="217">
        <v>1580</v>
      </c>
      <c r="M228" s="403" t="s">
        <v>153</v>
      </c>
      <c r="N228" s="403" t="s">
        <v>149</v>
      </c>
      <c r="O228" s="403" t="s">
        <v>154</v>
      </c>
      <c r="P228" s="403" t="s">
        <v>151</v>
      </c>
      <c r="Q228" s="403" t="s">
        <v>155</v>
      </c>
      <c r="R228" s="403" t="s">
        <v>7434</v>
      </c>
      <c r="S228" s="403"/>
      <c r="T228" s="403" t="s">
        <v>2869</v>
      </c>
      <c r="U228" s="403" t="s">
        <v>152</v>
      </c>
      <c r="V228" s="403" t="s">
        <v>18</v>
      </c>
    </row>
    <row r="229" spans="1:22">
      <c r="A229" s="6"/>
      <c r="B229" s="216">
        <v>46210</v>
      </c>
      <c r="C229" s="216">
        <v>46210</v>
      </c>
      <c r="D229" s="403" t="s">
        <v>7435</v>
      </c>
      <c r="E229" s="403">
        <v>260107719590</v>
      </c>
      <c r="F229" s="403" t="s">
        <v>87</v>
      </c>
      <c r="G229" s="403" t="s">
        <v>2409</v>
      </c>
      <c r="H229" s="403">
        <v>132</v>
      </c>
      <c r="I229" s="403">
        <v>269</v>
      </c>
      <c r="J229" s="374">
        <v>269</v>
      </c>
      <c r="K229" s="403">
        <v>97</v>
      </c>
      <c r="L229" s="217">
        <v>2170</v>
      </c>
      <c r="M229" s="403" t="s">
        <v>153</v>
      </c>
      <c r="N229" s="403" t="s">
        <v>149</v>
      </c>
      <c r="O229" s="403" t="s">
        <v>154</v>
      </c>
      <c r="P229" s="403" t="s">
        <v>151</v>
      </c>
      <c r="Q229" s="403" t="s">
        <v>155</v>
      </c>
      <c r="R229" s="403" t="s">
        <v>7436</v>
      </c>
      <c r="S229" s="403"/>
      <c r="T229" s="403" t="s">
        <v>2869</v>
      </c>
      <c r="U229" s="403" t="s">
        <v>152</v>
      </c>
      <c r="V229" s="403" t="s">
        <v>18</v>
      </c>
    </row>
    <row r="230" spans="1:22">
      <c r="A230" s="6"/>
      <c r="B230" s="216">
        <v>46210</v>
      </c>
      <c r="C230" s="216">
        <v>46210</v>
      </c>
      <c r="D230" s="403" t="s">
        <v>7437</v>
      </c>
      <c r="E230" s="403">
        <v>260104619580</v>
      </c>
      <c r="F230" s="403" t="s">
        <v>87</v>
      </c>
      <c r="G230" s="403" t="s">
        <v>859</v>
      </c>
      <c r="H230" s="403">
        <v>152</v>
      </c>
      <c r="I230" s="403">
        <v>303</v>
      </c>
      <c r="J230" s="374">
        <v>303</v>
      </c>
      <c r="K230" s="403">
        <v>104</v>
      </c>
      <c r="L230" s="217">
        <v>2000</v>
      </c>
      <c r="M230" s="403" t="s">
        <v>153</v>
      </c>
      <c r="N230" s="403" t="s">
        <v>149</v>
      </c>
      <c r="O230" s="403" t="s">
        <v>154</v>
      </c>
      <c r="P230" s="403" t="s">
        <v>151</v>
      </c>
      <c r="Q230" s="403" t="s">
        <v>155</v>
      </c>
      <c r="R230" s="403" t="s">
        <v>7438</v>
      </c>
      <c r="S230" s="403"/>
      <c r="T230" s="403" t="s">
        <v>2869</v>
      </c>
      <c r="U230" s="403" t="s">
        <v>152</v>
      </c>
      <c r="V230" s="403" t="s">
        <v>18</v>
      </c>
    </row>
    <row r="231" spans="1:22">
      <c r="A231" s="6"/>
      <c r="B231" s="216">
        <v>46210</v>
      </c>
      <c r="C231" s="216">
        <v>46210</v>
      </c>
      <c r="D231" s="403" t="s">
        <v>7439</v>
      </c>
      <c r="E231" s="403">
        <v>260102019583</v>
      </c>
      <c r="F231" s="403" t="s">
        <v>87</v>
      </c>
      <c r="G231" s="403" t="s">
        <v>2563</v>
      </c>
      <c r="H231" s="403">
        <v>95</v>
      </c>
      <c r="I231" s="403">
        <v>248</v>
      </c>
      <c r="J231" s="374">
        <v>248</v>
      </c>
      <c r="K231" s="403">
        <v>134</v>
      </c>
      <c r="L231" s="217">
        <v>1050</v>
      </c>
      <c r="M231" s="403" t="s">
        <v>153</v>
      </c>
      <c r="N231" s="403" t="s">
        <v>149</v>
      </c>
      <c r="O231" s="403" t="s">
        <v>154</v>
      </c>
      <c r="P231" s="403" t="s">
        <v>151</v>
      </c>
      <c r="Q231" s="403" t="s">
        <v>155</v>
      </c>
      <c r="R231" s="403" t="s">
        <v>7440</v>
      </c>
      <c r="S231" s="403"/>
      <c r="T231" s="403" t="s">
        <v>2869</v>
      </c>
      <c r="U231" s="403" t="s">
        <v>152</v>
      </c>
      <c r="V231" s="403" t="s">
        <v>18</v>
      </c>
    </row>
    <row r="232" spans="1:22">
      <c r="A232" s="6"/>
      <c r="B232" s="216">
        <v>46210</v>
      </c>
      <c r="C232" s="216">
        <v>46210</v>
      </c>
      <c r="D232" s="403" t="s">
        <v>7441</v>
      </c>
      <c r="E232" s="403">
        <v>260101619597</v>
      </c>
      <c r="F232" s="403" t="s">
        <v>87</v>
      </c>
      <c r="G232" s="403" t="s">
        <v>2642</v>
      </c>
      <c r="H232" s="403">
        <v>112</v>
      </c>
      <c r="I232" s="403">
        <v>352</v>
      </c>
      <c r="J232" s="374">
        <v>352</v>
      </c>
      <c r="K232" s="403">
        <v>160</v>
      </c>
      <c r="L232" s="217">
        <v>1000</v>
      </c>
      <c r="M232" s="403" t="s">
        <v>153</v>
      </c>
      <c r="N232" s="403" t="s">
        <v>149</v>
      </c>
      <c r="O232" s="403" t="s">
        <v>154</v>
      </c>
      <c r="P232" s="403" t="s">
        <v>151</v>
      </c>
      <c r="Q232" s="403" t="s">
        <v>155</v>
      </c>
      <c r="R232" s="403" t="s">
        <v>7442</v>
      </c>
      <c r="S232" s="403"/>
      <c r="T232" s="403" t="s">
        <v>2869</v>
      </c>
      <c r="U232" s="403" t="s">
        <v>152</v>
      </c>
      <c r="V232" s="403" t="s">
        <v>18</v>
      </c>
    </row>
    <row r="233" spans="1:22">
      <c r="A233" s="6"/>
      <c r="B233" s="216">
        <v>46210</v>
      </c>
      <c r="C233" s="216">
        <v>46210</v>
      </c>
      <c r="D233" s="403" t="s">
        <v>7443</v>
      </c>
      <c r="E233" s="403">
        <v>260107419612</v>
      </c>
      <c r="F233" s="403" t="s">
        <v>87</v>
      </c>
      <c r="G233" s="403" t="s">
        <v>2562</v>
      </c>
      <c r="H233" s="403">
        <v>125</v>
      </c>
      <c r="I233" s="403">
        <v>291</v>
      </c>
      <c r="J233" s="374">
        <v>291</v>
      </c>
      <c r="K233" s="403">
        <v>97</v>
      </c>
      <c r="L233" s="217">
        <v>2470</v>
      </c>
      <c r="M233" s="403" t="s">
        <v>153</v>
      </c>
      <c r="N233" s="403" t="s">
        <v>149</v>
      </c>
      <c r="O233" s="403" t="s">
        <v>154</v>
      </c>
      <c r="P233" s="403" t="s">
        <v>151</v>
      </c>
      <c r="Q233" s="403" t="s">
        <v>155</v>
      </c>
      <c r="R233" s="403" t="s">
        <v>7444</v>
      </c>
      <c r="S233" s="403"/>
      <c r="T233" s="403" t="s">
        <v>2869</v>
      </c>
      <c r="U233" s="403" t="s">
        <v>152</v>
      </c>
      <c r="V233" s="403" t="s">
        <v>18</v>
      </c>
    </row>
    <row r="234" spans="1:22">
      <c r="A234" s="6"/>
      <c r="B234" s="216">
        <v>46210</v>
      </c>
      <c r="C234" s="216">
        <v>46210</v>
      </c>
      <c r="D234" s="403" t="s">
        <v>7445</v>
      </c>
      <c r="E234" s="403">
        <v>260102819587</v>
      </c>
      <c r="F234" s="403" t="s">
        <v>87</v>
      </c>
      <c r="G234" s="403" t="s">
        <v>2516</v>
      </c>
      <c r="H234" s="403">
        <v>95</v>
      </c>
      <c r="I234" s="403">
        <v>264</v>
      </c>
      <c r="J234" s="374">
        <v>264</v>
      </c>
      <c r="K234" s="403">
        <v>130</v>
      </c>
      <c r="L234" s="217">
        <v>1115</v>
      </c>
      <c r="M234" s="403" t="s">
        <v>153</v>
      </c>
      <c r="N234" s="403" t="s">
        <v>149</v>
      </c>
      <c r="O234" s="403" t="s">
        <v>154</v>
      </c>
      <c r="P234" s="403" t="s">
        <v>151</v>
      </c>
      <c r="Q234" s="403" t="s">
        <v>155</v>
      </c>
      <c r="R234" s="403" t="s">
        <v>7446</v>
      </c>
      <c r="S234" s="403"/>
      <c r="T234" s="403" t="s">
        <v>2869</v>
      </c>
      <c r="U234" s="403" t="s">
        <v>152</v>
      </c>
      <c r="V234" s="403" t="s">
        <v>18</v>
      </c>
    </row>
    <row r="235" spans="1:22">
      <c r="A235" s="6"/>
      <c r="B235" s="216">
        <v>46210</v>
      </c>
      <c r="C235" s="216">
        <v>46210</v>
      </c>
      <c r="D235" s="403" t="s">
        <v>7447</v>
      </c>
      <c r="E235" s="403">
        <v>260103919591</v>
      </c>
      <c r="F235" s="403" t="s">
        <v>87</v>
      </c>
      <c r="G235" s="403" t="s">
        <v>2408</v>
      </c>
      <c r="H235" s="403">
        <v>95</v>
      </c>
      <c r="I235" s="403">
        <v>300</v>
      </c>
      <c r="J235" s="374">
        <v>300</v>
      </c>
      <c r="K235" s="403">
        <v>134</v>
      </c>
      <c r="L235" s="217">
        <v>1260</v>
      </c>
      <c r="M235" s="403" t="s">
        <v>153</v>
      </c>
      <c r="N235" s="403" t="s">
        <v>149</v>
      </c>
      <c r="O235" s="403" t="s">
        <v>154</v>
      </c>
      <c r="P235" s="403" t="s">
        <v>151</v>
      </c>
      <c r="Q235" s="403" t="s">
        <v>155</v>
      </c>
      <c r="R235" s="403" t="s">
        <v>7448</v>
      </c>
      <c r="S235" s="403"/>
      <c r="T235" s="403" t="s">
        <v>2869</v>
      </c>
      <c r="U235" s="403" t="s">
        <v>152</v>
      </c>
      <c r="V235" s="403" t="s">
        <v>18</v>
      </c>
    </row>
    <row r="236" spans="1:22">
      <c r="A236" s="6"/>
      <c r="B236" s="216">
        <v>46210</v>
      </c>
      <c r="C236" s="216">
        <v>46210</v>
      </c>
      <c r="D236" s="403" t="s">
        <v>7449</v>
      </c>
      <c r="E236" s="403">
        <v>260101519595</v>
      </c>
      <c r="F236" s="403" t="s">
        <v>87</v>
      </c>
      <c r="G236" s="403" t="s">
        <v>2120</v>
      </c>
      <c r="H236" s="403">
        <v>92</v>
      </c>
      <c r="I236" s="403">
        <v>395</v>
      </c>
      <c r="J236" s="374">
        <v>395</v>
      </c>
      <c r="K236" s="403">
        <v>180</v>
      </c>
      <c r="L236" s="217">
        <v>1200</v>
      </c>
      <c r="M236" s="403" t="s">
        <v>153</v>
      </c>
      <c r="N236" s="403" t="s">
        <v>149</v>
      </c>
      <c r="O236" s="403" t="s">
        <v>154</v>
      </c>
      <c r="P236" s="403" t="s">
        <v>151</v>
      </c>
      <c r="Q236" s="403" t="s">
        <v>155</v>
      </c>
      <c r="R236" s="403" t="s">
        <v>7450</v>
      </c>
      <c r="S236" s="403"/>
      <c r="T236" s="403" t="s">
        <v>2869</v>
      </c>
      <c r="U236" s="403" t="s">
        <v>152</v>
      </c>
      <c r="V236" s="403" t="s">
        <v>18</v>
      </c>
    </row>
    <row r="237" spans="1:22">
      <c r="A237" s="6"/>
      <c r="B237" s="216">
        <v>46210</v>
      </c>
      <c r="C237" s="216">
        <v>46210</v>
      </c>
      <c r="D237" s="403" t="s">
        <v>7451</v>
      </c>
      <c r="E237" s="403">
        <v>260102719596</v>
      </c>
      <c r="F237" s="403" t="s">
        <v>87</v>
      </c>
      <c r="G237" s="403" t="s">
        <v>2516</v>
      </c>
      <c r="H237" s="403">
        <v>95</v>
      </c>
      <c r="I237" s="403">
        <v>240</v>
      </c>
      <c r="J237" s="374">
        <v>240</v>
      </c>
      <c r="K237" s="403">
        <v>130</v>
      </c>
      <c r="L237" s="217">
        <v>1000</v>
      </c>
      <c r="M237" s="403" t="s">
        <v>153</v>
      </c>
      <c r="N237" s="403" t="s">
        <v>149</v>
      </c>
      <c r="O237" s="403" t="s">
        <v>154</v>
      </c>
      <c r="P237" s="403" t="s">
        <v>151</v>
      </c>
      <c r="Q237" s="403" t="s">
        <v>155</v>
      </c>
      <c r="R237" s="403" t="s">
        <v>7452</v>
      </c>
      <c r="S237" s="403"/>
      <c r="T237" s="403" t="s">
        <v>2869</v>
      </c>
      <c r="U237" s="403" t="s">
        <v>152</v>
      </c>
      <c r="V237" s="403" t="s">
        <v>18</v>
      </c>
    </row>
    <row r="238" spans="1:22">
      <c r="A238" s="6"/>
      <c r="B238" s="216">
        <v>46210</v>
      </c>
      <c r="C238" s="216">
        <v>46210</v>
      </c>
      <c r="D238" s="403" t="s">
        <v>7453</v>
      </c>
      <c r="E238" s="403">
        <v>260100419614</v>
      </c>
      <c r="F238" s="403" t="s">
        <v>87</v>
      </c>
      <c r="G238" s="403" t="s">
        <v>7130</v>
      </c>
      <c r="H238" s="403">
        <v>182</v>
      </c>
      <c r="I238" s="403">
        <v>401</v>
      </c>
      <c r="J238" s="374">
        <v>401</v>
      </c>
      <c r="K238" s="403">
        <v>190</v>
      </c>
      <c r="L238" s="217">
        <v>600</v>
      </c>
      <c r="M238" s="403" t="s">
        <v>153</v>
      </c>
      <c r="N238" s="403" t="s">
        <v>149</v>
      </c>
      <c r="O238" s="403" t="s">
        <v>154</v>
      </c>
      <c r="P238" s="403" t="s">
        <v>151</v>
      </c>
      <c r="Q238" s="403" t="s">
        <v>155</v>
      </c>
      <c r="R238" s="403" t="s">
        <v>7454</v>
      </c>
      <c r="S238" s="403"/>
      <c r="T238" s="403" t="s">
        <v>2869</v>
      </c>
      <c r="U238" s="403" t="s">
        <v>152</v>
      </c>
      <c r="V238" s="403" t="s">
        <v>18</v>
      </c>
    </row>
    <row r="239" spans="1:22">
      <c r="A239" s="6"/>
      <c r="B239" s="216">
        <v>46210</v>
      </c>
      <c r="C239" s="216">
        <v>46210</v>
      </c>
      <c r="D239" s="403" t="s">
        <v>7455</v>
      </c>
      <c r="E239" s="403">
        <v>260101919601</v>
      </c>
      <c r="F239" s="403" t="s">
        <v>87</v>
      </c>
      <c r="G239" s="403" t="s">
        <v>2563</v>
      </c>
      <c r="H239" s="403">
        <v>95</v>
      </c>
      <c r="I239" s="403">
        <v>240</v>
      </c>
      <c r="J239" s="374">
        <v>240</v>
      </c>
      <c r="K239" s="403">
        <v>134</v>
      </c>
      <c r="L239" s="217">
        <v>1000</v>
      </c>
      <c r="M239" s="403" t="s">
        <v>153</v>
      </c>
      <c r="N239" s="403" t="s">
        <v>149</v>
      </c>
      <c r="O239" s="403" t="s">
        <v>154</v>
      </c>
      <c r="P239" s="403" t="s">
        <v>151</v>
      </c>
      <c r="Q239" s="403" t="s">
        <v>155</v>
      </c>
      <c r="R239" s="403" t="s">
        <v>7456</v>
      </c>
      <c r="S239" s="403"/>
      <c r="T239" s="403" t="s">
        <v>2869</v>
      </c>
      <c r="U239" s="403" t="s">
        <v>152</v>
      </c>
      <c r="V239" s="403" t="s">
        <v>18</v>
      </c>
    </row>
    <row r="240" spans="1:22">
      <c r="A240" s="6"/>
      <c r="B240" s="216">
        <v>46210</v>
      </c>
      <c r="C240" s="216">
        <v>46210</v>
      </c>
      <c r="D240" s="403" t="s">
        <v>7457</v>
      </c>
      <c r="E240" s="403">
        <v>260101319548</v>
      </c>
      <c r="F240" s="403" t="s">
        <v>87</v>
      </c>
      <c r="G240" s="403" t="s">
        <v>7026</v>
      </c>
      <c r="H240" s="403" t="s">
        <v>7027</v>
      </c>
      <c r="I240" s="403">
        <v>580</v>
      </c>
      <c r="J240" s="374">
        <v>580</v>
      </c>
      <c r="K240" s="403">
        <v>190</v>
      </c>
      <c r="L240" s="217">
        <v>1000</v>
      </c>
      <c r="M240" s="403" t="s">
        <v>153</v>
      </c>
      <c r="N240" s="403" t="s">
        <v>149</v>
      </c>
      <c r="O240" s="403" t="s">
        <v>154</v>
      </c>
      <c r="P240" s="403" t="s">
        <v>151</v>
      </c>
      <c r="Q240" s="403" t="s">
        <v>156</v>
      </c>
      <c r="R240" s="403" t="s">
        <v>7458</v>
      </c>
      <c r="S240" s="403"/>
      <c r="T240" s="403" t="s">
        <v>2871</v>
      </c>
      <c r="U240" s="403" t="s">
        <v>152</v>
      </c>
      <c r="V240" s="403" t="s">
        <v>20</v>
      </c>
    </row>
    <row r="241" spans="1:22">
      <c r="A241" s="6"/>
      <c r="B241" s="216">
        <v>46210</v>
      </c>
      <c r="C241" s="216">
        <v>46210</v>
      </c>
      <c r="D241" s="403" t="s">
        <v>7459</v>
      </c>
      <c r="E241" s="403">
        <v>260105819211</v>
      </c>
      <c r="F241" s="403" t="s">
        <v>87</v>
      </c>
      <c r="G241" s="403" t="s">
        <v>2646</v>
      </c>
      <c r="H241" s="403" t="s">
        <v>7328</v>
      </c>
      <c r="I241" s="403">
        <v>406</v>
      </c>
      <c r="J241" s="374">
        <v>406</v>
      </c>
      <c r="K241" s="403">
        <v>105</v>
      </c>
      <c r="L241" s="217">
        <v>2220</v>
      </c>
      <c r="M241" s="403" t="s">
        <v>153</v>
      </c>
      <c r="N241" s="403" t="s">
        <v>149</v>
      </c>
      <c r="O241" s="403" t="s">
        <v>154</v>
      </c>
      <c r="P241" s="403" t="s">
        <v>151</v>
      </c>
      <c r="Q241" s="403" t="s">
        <v>156</v>
      </c>
      <c r="R241" s="403" t="s">
        <v>7460</v>
      </c>
      <c r="S241" s="403"/>
      <c r="T241" s="403" t="s">
        <v>2871</v>
      </c>
      <c r="U241" s="403" t="s">
        <v>152</v>
      </c>
      <c r="V241" s="403" t="s">
        <v>20</v>
      </c>
    </row>
    <row r="242" spans="1:22">
      <c r="A242" s="6"/>
      <c r="B242" s="216">
        <v>46210</v>
      </c>
      <c r="C242" s="216">
        <v>46210</v>
      </c>
      <c r="D242" s="403" t="s">
        <v>7461</v>
      </c>
      <c r="E242" s="403">
        <v>260101319491</v>
      </c>
      <c r="F242" s="403" t="s">
        <v>87</v>
      </c>
      <c r="G242" s="403" t="s">
        <v>7026</v>
      </c>
      <c r="H242" s="403" t="s">
        <v>7027</v>
      </c>
      <c r="I242" s="403">
        <v>570</v>
      </c>
      <c r="J242" s="374">
        <v>570</v>
      </c>
      <c r="K242" s="403">
        <v>190</v>
      </c>
      <c r="L242" s="217">
        <v>1000</v>
      </c>
      <c r="M242" s="403" t="s">
        <v>153</v>
      </c>
      <c r="N242" s="403" t="s">
        <v>149</v>
      </c>
      <c r="O242" s="403" t="s">
        <v>154</v>
      </c>
      <c r="P242" s="403" t="s">
        <v>151</v>
      </c>
      <c r="Q242" s="403" t="s">
        <v>156</v>
      </c>
      <c r="R242" s="403" t="s">
        <v>7462</v>
      </c>
      <c r="S242" s="403"/>
      <c r="T242" s="403" t="s">
        <v>2871</v>
      </c>
      <c r="U242" s="403" t="s">
        <v>152</v>
      </c>
      <c r="V242" s="403" t="s">
        <v>20</v>
      </c>
    </row>
    <row r="243" spans="1:22">
      <c r="A243" s="6"/>
      <c r="B243" s="216">
        <v>46210</v>
      </c>
      <c r="C243" s="216">
        <v>46210</v>
      </c>
      <c r="D243" s="403" t="s">
        <v>7463</v>
      </c>
      <c r="E243" s="403">
        <v>260101319486</v>
      </c>
      <c r="F243" s="403" t="s">
        <v>87</v>
      </c>
      <c r="G243" s="403" t="s">
        <v>7026</v>
      </c>
      <c r="H243" s="403" t="s">
        <v>7027</v>
      </c>
      <c r="I243" s="403">
        <v>589</v>
      </c>
      <c r="J243" s="374">
        <v>589</v>
      </c>
      <c r="K243" s="403">
        <v>190</v>
      </c>
      <c r="L243" s="217">
        <v>1000</v>
      </c>
      <c r="M243" s="403" t="s">
        <v>153</v>
      </c>
      <c r="N243" s="403" t="s">
        <v>149</v>
      </c>
      <c r="O243" s="403" t="s">
        <v>154</v>
      </c>
      <c r="P243" s="403" t="s">
        <v>151</v>
      </c>
      <c r="Q243" s="403" t="s">
        <v>156</v>
      </c>
      <c r="R243" s="403" t="s">
        <v>7464</v>
      </c>
      <c r="S243" s="403"/>
      <c r="T243" s="403" t="s">
        <v>2871</v>
      </c>
      <c r="U243" s="403" t="s">
        <v>152</v>
      </c>
      <c r="V243" s="403" t="s">
        <v>20</v>
      </c>
    </row>
    <row r="244" spans="1:22">
      <c r="A244" s="6"/>
      <c r="B244" s="216">
        <v>46210</v>
      </c>
      <c r="C244" s="216">
        <v>46210</v>
      </c>
      <c r="D244" s="403" t="s">
        <v>7465</v>
      </c>
      <c r="E244" s="403" t="s">
        <v>7466</v>
      </c>
      <c r="F244" s="403" t="s">
        <v>94</v>
      </c>
      <c r="G244" s="403" t="s">
        <v>859</v>
      </c>
      <c r="H244" s="403">
        <v>152</v>
      </c>
      <c r="I244" s="403">
        <v>235.5</v>
      </c>
      <c r="J244" s="374">
        <v>235.5</v>
      </c>
      <c r="K244" s="403">
        <v>104</v>
      </c>
      <c r="L244" s="217">
        <v>1565</v>
      </c>
      <c r="M244" s="403" t="s">
        <v>153</v>
      </c>
      <c r="N244" s="403" t="s">
        <v>149</v>
      </c>
      <c r="O244" s="403" t="s">
        <v>154</v>
      </c>
      <c r="P244" s="403" t="s">
        <v>151</v>
      </c>
      <c r="Q244" s="403" t="s">
        <v>155</v>
      </c>
      <c r="R244" s="403" t="s">
        <v>7466</v>
      </c>
      <c r="S244" s="403"/>
      <c r="T244" s="403" t="s">
        <v>7467</v>
      </c>
      <c r="U244" s="403" t="s">
        <v>152</v>
      </c>
      <c r="V244" s="403" t="s">
        <v>18</v>
      </c>
    </row>
    <row r="245" spans="1:22">
      <c r="A245" s="6"/>
      <c r="B245" s="216">
        <v>46210</v>
      </c>
      <c r="C245" s="216">
        <v>46210</v>
      </c>
      <c r="D245" s="403" t="s">
        <v>7468</v>
      </c>
      <c r="E245" s="403">
        <v>260105318895</v>
      </c>
      <c r="F245" s="403" t="s">
        <v>94</v>
      </c>
      <c r="G245" s="403" t="s">
        <v>2555</v>
      </c>
      <c r="H245" s="403">
        <v>152</v>
      </c>
      <c r="I245" s="403">
        <v>276</v>
      </c>
      <c r="J245" s="374">
        <v>276</v>
      </c>
      <c r="K245" s="403">
        <v>104</v>
      </c>
      <c r="L245" s="217">
        <v>1780</v>
      </c>
      <c r="M245" s="403" t="s">
        <v>153</v>
      </c>
      <c r="N245" s="403" t="s">
        <v>149</v>
      </c>
      <c r="O245" s="403" t="s">
        <v>154</v>
      </c>
      <c r="P245" s="403" t="s">
        <v>151</v>
      </c>
      <c r="Q245" s="403" t="s">
        <v>155</v>
      </c>
      <c r="R245" s="403" t="s">
        <v>7469</v>
      </c>
      <c r="S245" s="403"/>
      <c r="T245" s="403" t="s">
        <v>7467</v>
      </c>
      <c r="U245" s="403" t="s">
        <v>152</v>
      </c>
      <c r="V245" s="403" t="s">
        <v>18</v>
      </c>
    </row>
    <row r="246" spans="1:22">
      <c r="A246" s="6"/>
      <c r="B246" s="216">
        <v>46210</v>
      </c>
      <c r="C246" s="216">
        <v>46210</v>
      </c>
      <c r="D246" s="403" t="s">
        <v>7470</v>
      </c>
      <c r="E246" s="403" t="s">
        <v>7471</v>
      </c>
      <c r="F246" s="403" t="s">
        <v>94</v>
      </c>
      <c r="G246" s="403" t="s">
        <v>2659</v>
      </c>
      <c r="H246" s="403">
        <v>162</v>
      </c>
      <c r="I246" s="403">
        <v>250.5</v>
      </c>
      <c r="J246" s="374">
        <v>250.5</v>
      </c>
      <c r="K246" s="403">
        <v>92</v>
      </c>
      <c r="L246" s="217">
        <v>1699</v>
      </c>
      <c r="M246" s="403" t="s">
        <v>153</v>
      </c>
      <c r="N246" s="403" t="s">
        <v>149</v>
      </c>
      <c r="O246" s="403" t="s">
        <v>154</v>
      </c>
      <c r="P246" s="403" t="s">
        <v>151</v>
      </c>
      <c r="Q246" s="403" t="s">
        <v>155</v>
      </c>
      <c r="R246" s="403" t="s">
        <v>7472</v>
      </c>
      <c r="S246" s="403"/>
      <c r="T246" s="403" t="s">
        <v>7467</v>
      </c>
      <c r="U246" s="403" t="s">
        <v>152</v>
      </c>
      <c r="V246" s="403" t="s">
        <v>18</v>
      </c>
    </row>
    <row r="247" spans="1:22">
      <c r="A247" s="6"/>
      <c r="B247" s="216">
        <v>46211</v>
      </c>
      <c r="C247" s="216">
        <v>46211</v>
      </c>
      <c r="D247" s="403" t="s">
        <v>7473</v>
      </c>
      <c r="E247" s="403" t="s">
        <v>7474</v>
      </c>
      <c r="F247" s="403" t="s">
        <v>94</v>
      </c>
      <c r="G247" s="403" t="s">
        <v>2641</v>
      </c>
      <c r="H247" s="403">
        <v>202</v>
      </c>
      <c r="I247" s="403">
        <v>230</v>
      </c>
      <c r="J247" s="374">
        <v>230</v>
      </c>
      <c r="K247" s="403">
        <v>102</v>
      </c>
      <c r="L247" s="217">
        <v>1165</v>
      </c>
      <c r="M247" s="403" t="s">
        <v>153</v>
      </c>
      <c r="N247" s="403" t="s">
        <v>149</v>
      </c>
      <c r="O247" s="403" t="s">
        <v>154</v>
      </c>
      <c r="P247" s="403" t="s">
        <v>151</v>
      </c>
      <c r="Q247" s="403" t="s">
        <v>155</v>
      </c>
      <c r="R247" s="403" t="s">
        <v>7474</v>
      </c>
      <c r="S247" s="403"/>
      <c r="T247" s="403" t="s">
        <v>7475</v>
      </c>
      <c r="U247" s="403" t="s">
        <v>152</v>
      </c>
      <c r="V247" s="403" t="s">
        <v>18</v>
      </c>
    </row>
    <row r="248" spans="1:22">
      <c r="A248" s="6"/>
      <c r="B248" s="216">
        <v>46211</v>
      </c>
      <c r="C248" s="216">
        <v>46211</v>
      </c>
      <c r="D248" s="403" t="s">
        <v>7476</v>
      </c>
      <c r="E248" s="403" t="s">
        <v>7477</v>
      </c>
      <c r="F248" s="403" t="s">
        <v>89</v>
      </c>
      <c r="G248" s="403" t="s">
        <v>2407</v>
      </c>
      <c r="H248" s="403">
        <v>92</v>
      </c>
      <c r="I248" s="403">
        <v>228</v>
      </c>
      <c r="J248" s="374">
        <v>228</v>
      </c>
      <c r="K248" s="403">
        <v>125</v>
      </c>
      <c r="L248" s="217">
        <v>1000</v>
      </c>
      <c r="M248" s="403" t="s">
        <v>153</v>
      </c>
      <c r="N248" s="403" t="s">
        <v>149</v>
      </c>
      <c r="O248" s="403" t="s">
        <v>154</v>
      </c>
      <c r="P248" s="403" t="s">
        <v>151</v>
      </c>
      <c r="Q248" s="403" t="s">
        <v>155</v>
      </c>
      <c r="R248" s="403" t="s">
        <v>7478</v>
      </c>
      <c r="S248" s="403"/>
      <c r="T248" s="403" t="s">
        <v>2893</v>
      </c>
      <c r="U248" s="403" t="s">
        <v>152</v>
      </c>
      <c r="V248" s="403" t="s">
        <v>18</v>
      </c>
    </row>
    <row r="249" spans="1:22">
      <c r="A249" s="6"/>
      <c r="B249" s="216">
        <v>46211</v>
      </c>
      <c r="C249" s="216">
        <v>46211</v>
      </c>
      <c r="D249" s="403" t="s">
        <v>7479</v>
      </c>
      <c r="E249" s="403" t="s">
        <v>7480</v>
      </c>
      <c r="F249" s="403" t="s">
        <v>89</v>
      </c>
      <c r="G249" s="403" t="s">
        <v>2407</v>
      </c>
      <c r="H249" s="403">
        <v>92</v>
      </c>
      <c r="I249" s="403">
        <v>228.3</v>
      </c>
      <c r="J249" s="374">
        <v>228.3</v>
      </c>
      <c r="K249" s="403">
        <v>125</v>
      </c>
      <c r="L249" s="217">
        <v>1000</v>
      </c>
      <c r="M249" s="403" t="s">
        <v>153</v>
      </c>
      <c r="N249" s="403" t="s">
        <v>149</v>
      </c>
      <c r="O249" s="403" t="s">
        <v>154</v>
      </c>
      <c r="P249" s="403" t="s">
        <v>151</v>
      </c>
      <c r="Q249" s="403" t="s">
        <v>155</v>
      </c>
      <c r="R249" s="403" t="s">
        <v>7481</v>
      </c>
      <c r="S249" s="403"/>
      <c r="T249" s="403" t="s">
        <v>2893</v>
      </c>
      <c r="U249" s="403" t="s">
        <v>152</v>
      </c>
      <c r="V249" s="403" t="s">
        <v>18</v>
      </c>
    </row>
    <row r="250" spans="1:22">
      <c r="A250" s="6"/>
      <c r="B250" s="216">
        <v>46211</v>
      </c>
      <c r="C250" s="216">
        <v>46211</v>
      </c>
      <c r="D250" s="403" t="s">
        <v>7482</v>
      </c>
      <c r="E250" s="403" t="s">
        <v>7483</v>
      </c>
      <c r="F250" s="403" t="s">
        <v>89</v>
      </c>
      <c r="G250" s="403" t="s">
        <v>2407</v>
      </c>
      <c r="H250" s="403">
        <v>92</v>
      </c>
      <c r="I250" s="403">
        <v>229</v>
      </c>
      <c r="J250" s="374">
        <v>229</v>
      </c>
      <c r="K250" s="403">
        <v>125</v>
      </c>
      <c r="L250" s="217">
        <v>1000</v>
      </c>
      <c r="M250" s="403" t="s">
        <v>153</v>
      </c>
      <c r="N250" s="403" t="s">
        <v>149</v>
      </c>
      <c r="O250" s="403" t="s">
        <v>154</v>
      </c>
      <c r="P250" s="403" t="s">
        <v>151</v>
      </c>
      <c r="Q250" s="403" t="s">
        <v>155</v>
      </c>
      <c r="R250" s="403" t="s">
        <v>7484</v>
      </c>
      <c r="S250" s="403"/>
      <c r="T250" s="403" t="s">
        <v>2893</v>
      </c>
      <c r="U250" s="403" t="s">
        <v>152</v>
      </c>
      <c r="V250" s="403" t="s">
        <v>18</v>
      </c>
    </row>
    <row r="251" spans="1:22">
      <c r="A251" s="6"/>
      <c r="B251" s="216">
        <v>46211</v>
      </c>
      <c r="C251" s="216">
        <v>46211</v>
      </c>
      <c r="D251" s="403" t="s">
        <v>7485</v>
      </c>
      <c r="E251" s="403" t="s">
        <v>7486</v>
      </c>
      <c r="F251" s="403" t="s">
        <v>89</v>
      </c>
      <c r="G251" s="403" t="s">
        <v>2407</v>
      </c>
      <c r="H251" s="403">
        <v>92</v>
      </c>
      <c r="I251" s="403">
        <v>224.6</v>
      </c>
      <c r="J251" s="374">
        <v>224.6</v>
      </c>
      <c r="K251" s="403">
        <v>125</v>
      </c>
      <c r="L251" s="217">
        <v>1000</v>
      </c>
      <c r="M251" s="403" t="s">
        <v>153</v>
      </c>
      <c r="N251" s="403" t="s">
        <v>149</v>
      </c>
      <c r="O251" s="403" t="s">
        <v>154</v>
      </c>
      <c r="P251" s="403" t="s">
        <v>151</v>
      </c>
      <c r="Q251" s="403" t="s">
        <v>155</v>
      </c>
      <c r="R251" s="403" t="s">
        <v>7487</v>
      </c>
      <c r="S251" s="403"/>
      <c r="T251" s="403" t="s">
        <v>2893</v>
      </c>
      <c r="U251" s="403" t="s">
        <v>152</v>
      </c>
      <c r="V251" s="403" t="s">
        <v>18</v>
      </c>
    </row>
    <row r="252" spans="1:22">
      <c r="A252" s="6"/>
      <c r="B252" s="216">
        <v>46211</v>
      </c>
      <c r="C252" s="216">
        <v>46211</v>
      </c>
      <c r="D252" s="403" t="s">
        <v>7488</v>
      </c>
      <c r="E252" s="403" t="s">
        <v>7489</v>
      </c>
      <c r="F252" s="403" t="s">
        <v>89</v>
      </c>
      <c r="G252" s="403" t="s">
        <v>2407</v>
      </c>
      <c r="H252" s="403">
        <v>92</v>
      </c>
      <c r="I252" s="403">
        <v>223</v>
      </c>
      <c r="J252" s="374">
        <v>223</v>
      </c>
      <c r="K252" s="403">
        <v>125</v>
      </c>
      <c r="L252" s="217">
        <v>1000</v>
      </c>
      <c r="M252" s="403" t="s">
        <v>153</v>
      </c>
      <c r="N252" s="403" t="s">
        <v>149</v>
      </c>
      <c r="O252" s="403" t="s">
        <v>154</v>
      </c>
      <c r="P252" s="403" t="s">
        <v>151</v>
      </c>
      <c r="Q252" s="403" t="s">
        <v>155</v>
      </c>
      <c r="R252" s="403" t="s">
        <v>7490</v>
      </c>
      <c r="S252" s="403"/>
      <c r="T252" s="403" t="s">
        <v>2893</v>
      </c>
      <c r="U252" s="403" t="s">
        <v>152</v>
      </c>
      <c r="V252" s="403" t="s">
        <v>18</v>
      </c>
    </row>
    <row r="253" spans="1:22">
      <c r="A253" s="6"/>
      <c r="B253" s="216">
        <v>46211</v>
      </c>
      <c r="C253" s="216">
        <v>46211</v>
      </c>
      <c r="D253" s="403" t="s">
        <v>7491</v>
      </c>
      <c r="E253" s="403" t="s">
        <v>7492</v>
      </c>
      <c r="F253" s="403" t="s">
        <v>89</v>
      </c>
      <c r="G253" s="403" t="s">
        <v>2407</v>
      </c>
      <c r="H253" s="403">
        <v>92</v>
      </c>
      <c r="I253" s="403">
        <v>226</v>
      </c>
      <c r="J253" s="374">
        <v>226</v>
      </c>
      <c r="K253" s="403">
        <v>125</v>
      </c>
      <c r="L253" s="217">
        <v>1000</v>
      </c>
      <c r="M253" s="403" t="s">
        <v>153</v>
      </c>
      <c r="N253" s="403" t="s">
        <v>149</v>
      </c>
      <c r="O253" s="403" t="s">
        <v>154</v>
      </c>
      <c r="P253" s="403" t="s">
        <v>151</v>
      </c>
      <c r="Q253" s="403" t="s">
        <v>155</v>
      </c>
      <c r="R253" s="403" t="s">
        <v>7493</v>
      </c>
      <c r="S253" s="403"/>
      <c r="T253" s="403" t="s">
        <v>2893</v>
      </c>
      <c r="U253" s="403" t="s">
        <v>152</v>
      </c>
      <c r="V253" s="403" t="s">
        <v>18</v>
      </c>
    </row>
    <row r="254" spans="1:22">
      <c r="A254" s="6"/>
      <c r="B254" s="216">
        <v>46211</v>
      </c>
      <c r="C254" s="216">
        <v>46211</v>
      </c>
      <c r="D254" s="403" t="s">
        <v>7494</v>
      </c>
      <c r="E254" s="403" t="s">
        <v>7495</v>
      </c>
      <c r="F254" s="403" t="s">
        <v>89</v>
      </c>
      <c r="G254" s="403" t="s">
        <v>2407</v>
      </c>
      <c r="H254" s="403">
        <v>92</v>
      </c>
      <c r="I254" s="403">
        <v>223</v>
      </c>
      <c r="J254" s="374">
        <v>223</v>
      </c>
      <c r="K254" s="403">
        <v>125</v>
      </c>
      <c r="L254" s="217">
        <v>1000</v>
      </c>
      <c r="M254" s="403" t="s">
        <v>153</v>
      </c>
      <c r="N254" s="403" t="s">
        <v>149</v>
      </c>
      <c r="O254" s="403" t="s">
        <v>154</v>
      </c>
      <c r="P254" s="403" t="s">
        <v>151</v>
      </c>
      <c r="Q254" s="403" t="s">
        <v>155</v>
      </c>
      <c r="R254" s="403" t="s">
        <v>7496</v>
      </c>
      <c r="S254" s="403"/>
      <c r="T254" s="403" t="s">
        <v>2893</v>
      </c>
      <c r="U254" s="403" t="s">
        <v>152</v>
      </c>
      <c r="V254" s="403" t="s">
        <v>18</v>
      </c>
    </row>
    <row r="255" spans="1:22">
      <c r="A255" s="6"/>
      <c r="B255" s="216">
        <v>46211</v>
      </c>
      <c r="C255" s="216">
        <v>46211</v>
      </c>
      <c r="D255" s="403" t="s">
        <v>7497</v>
      </c>
      <c r="E255" s="403" t="s">
        <v>7498</v>
      </c>
      <c r="F255" s="403" t="s">
        <v>89</v>
      </c>
      <c r="G255" s="403" t="s">
        <v>2407</v>
      </c>
      <c r="H255" s="403">
        <v>92</v>
      </c>
      <c r="I255" s="403">
        <v>227</v>
      </c>
      <c r="J255" s="374">
        <v>227</v>
      </c>
      <c r="K255" s="403">
        <v>125</v>
      </c>
      <c r="L255" s="217">
        <v>1000</v>
      </c>
      <c r="M255" s="403" t="s">
        <v>153</v>
      </c>
      <c r="N255" s="403" t="s">
        <v>149</v>
      </c>
      <c r="O255" s="403" t="s">
        <v>154</v>
      </c>
      <c r="P255" s="403" t="s">
        <v>151</v>
      </c>
      <c r="Q255" s="403" t="s">
        <v>155</v>
      </c>
      <c r="R255" s="403" t="s">
        <v>7499</v>
      </c>
      <c r="S255" s="403"/>
      <c r="T255" s="403" t="s">
        <v>2893</v>
      </c>
      <c r="U255" s="403" t="s">
        <v>152</v>
      </c>
      <c r="V255" s="403" t="s">
        <v>18</v>
      </c>
    </row>
    <row r="256" spans="1:22">
      <c r="A256" s="6"/>
      <c r="B256" s="216">
        <v>46211</v>
      </c>
      <c r="C256" s="216">
        <v>46211</v>
      </c>
      <c r="D256" s="403" t="s">
        <v>7500</v>
      </c>
      <c r="E256" s="403" t="s">
        <v>7501</v>
      </c>
      <c r="F256" s="403" t="s">
        <v>89</v>
      </c>
      <c r="G256" s="403" t="s">
        <v>2407</v>
      </c>
      <c r="H256" s="403">
        <v>92</v>
      </c>
      <c r="I256" s="403">
        <v>225.9</v>
      </c>
      <c r="J256" s="374">
        <v>225.9</v>
      </c>
      <c r="K256" s="403">
        <v>125</v>
      </c>
      <c r="L256" s="217">
        <v>1000</v>
      </c>
      <c r="M256" s="403" t="s">
        <v>153</v>
      </c>
      <c r="N256" s="403" t="s">
        <v>149</v>
      </c>
      <c r="O256" s="403" t="s">
        <v>154</v>
      </c>
      <c r="P256" s="403" t="s">
        <v>151</v>
      </c>
      <c r="Q256" s="403" t="s">
        <v>155</v>
      </c>
      <c r="R256" s="403" t="s">
        <v>7502</v>
      </c>
      <c r="S256" s="403"/>
      <c r="T256" s="403" t="s">
        <v>2893</v>
      </c>
      <c r="U256" s="403" t="s">
        <v>152</v>
      </c>
      <c r="V256" s="403" t="s">
        <v>18</v>
      </c>
    </row>
    <row r="257" spans="1:22">
      <c r="A257" s="6"/>
      <c r="B257" s="216">
        <v>46211</v>
      </c>
      <c r="C257" s="216">
        <v>46211</v>
      </c>
      <c r="D257" s="403" t="s">
        <v>7503</v>
      </c>
      <c r="E257" s="403" t="s">
        <v>7504</v>
      </c>
      <c r="F257" s="403" t="s">
        <v>89</v>
      </c>
      <c r="G257" s="403" t="s">
        <v>2407</v>
      </c>
      <c r="H257" s="403">
        <v>92</v>
      </c>
      <c r="I257" s="403">
        <v>232</v>
      </c>
      <c r="J257" s="374">
        <v>232</v>
      </c>
      <c r="K257" s="403">
        <v>125</v>
      </c>
      <c r="L257" s="217">
        <v>1000</v>
      </c>
      <c r="M257" s="403" t="s">
        <v>153</v>
      </c>
      <c r="N257" s="403" t="s">
        <v>149</v>
      </c>
      <c r="O257" s="403" t="s">
        <v>154</v>
      </c>
      <c r="P257" s="403" t="s">
        <v>151</v>
      </c>
      <c r="Q257" s="403" t="s">
        <v>155</v>
      </c>
      <c r="R257" s="403" t="s">
        <v>7505</v>
      </c>
      <c r="S257" s="403"/>
      <c r="T257" s="403" t="s">
        <v>2893</v>
      </c>
      <c r="U257" s="403" t="s">
        <v>152</v>
      </c>
      <c r="V257" s="403" t="s">
        <v>18</v>
      </c>
    </row>
    <row r="258" spans="1:22">
      <c r="A258" s="6"/>
      <c r="B258" s="216">
        <v>46211</v>
      </c>
      <c r="C258" s="216">
        <v>46211</v>
      </c>
      <c r="D258" s="403" t="s">
        <v>7506</v>
      </c>
      <c r="E258" s="403" t="s">
        <v>7507</v>
      </c>
      <c r="F258" s="403" t="s">
        <v>89</v>
      </c>
      <c r="G258" s="403" t="s">
        <v>2407</v>
      </c>
      <c r="H258" s="403">
        <v>92</v>
      </c>
      <c r="I258" s="403">
        <v>225</v>
      </c>
      <c r="J258" s="374">
        <v>225</v>
      </c>
      <c r="K258" s="403">
        <v>125</v>
      </c>
      <c r="L258" s="217">
        <v>1000</v>
      </c>
      <c r="M258" s="403" t="s">
        <v>153</v>
      </c>
      <c r="N258" s="403" t="s">
        <v>149</v>
      </c>
      <c r="O258" s="403" t="s">
        <v>154</v>
      </c>
      <c r="P258" s="403" t="s">
        <v>151</v>
      </c>
      <c r="Q258" s="403" t="s">
        <v>155</v>
      </c>
      <c r="R258" s="403" t="s">
        <v>7508</v>
      </c>
      <c r="S258" s="403"/>
      <c r="T258" s="403" t="s">
        <v>2893</v>
      </c>
      <c r="U258" s="403" t="s">
        <v>152</v>
      </c>
      <c r="V258" s="403" t="s">
        <v>18</v>
      </c>
    </row>
    <row r="259" spans="1:22">
      <c r="A259" s="6"/>
      <c r="B259" s="216">
        <v>46211</v>
      </c>
      <c r="C259" s="216">
        <v>46211</v>
      </c>
      <c r="D259" s="403" t="s">
        <v>7509</v>
      </c>
      <c r="E259" s="403" t="s">
        <v>7510</v>
      </c>
      <c r="F259" s="403" t="s">
        <v>89</v>
      </c>
      <c r="G259" s="403" t="s">
        <v>2407</v>
      </c>
      <c r="H259" s="403">
        <v>92</v>
      </c>
      <c r="I259" s="403">
        <v>227.7</v>
      </c>
      <c r="J259" s="374">
        <v>227.7</v>
      </c>
      <c r="K259" s="403">
        <v>125</v>
      </c>
      <c r="L259" s="217">
        <v>1000</v>
      </c>
      <c r="M259" s="403" t="s">
        <v>153</v>
      </c>
      <c r="N259" s="403" t="s">
        <v>149</v>
      </c>
      <c r="O259" s="403" t="s">
        <v>154</v>
      </c>
      <c r="P259" s="403" t="s">
        <v>151</v>
      </c>
      <c r="Q259" s="403" t="s">
        <v>155</v>
      </c>
      <c r="R259" s="403" t="s">
        <v>7511</v>
      </c>
      <c r="S259" s="403"/>
      <c r="T259" s="403" t="s">
        <v>2893</v>
      </c>
      <c r="U259" s="403" t="s">
        <v>152</v>
      </c>
      <c r="V259" s="403" t="s">
        <v>18</v>
      </c>
    </row>
    <row r="260" spans="1:22">
      <c r="A260" s="6"/>
      <c r="B260" s="216">
        <v>46211</v>
      </c>
      <c r="C260" s="216">
        <v>46211</v>
      </c>
      <c r="D260" s="403" t="s">
        <v>7512</v>
      </c>
      <c r="E260" s="403" t="s">
        <v>7513</v>
      </c>
      <c r="F260" s="403" t="s">
        <v>89</v>
      </c>
      <c r="G260" s="403" t="s">
        <v>2407</v>
      </c>
      <c r="H260" s="403">
        <v>92</v>
      </c>
      <c r="I260" s="403">
        <v>222</v>
      </c>
      <c r="J260" s="374">
        <v>222</v>
      </c>
      <c r="K260" s="403">
        <v>125</v>
      </c>
      <c r="L260" s="217">
        <v>1000</v>
      </c>
      <c r="M260" s="403" t="s">
        <v>153</v>
      </c>
      <c r="N260" s="403" t="s">
        <v>149</v>
      </c>
      <c r="O260" s="403" t="s">
        <v>154</v>
      </c>
      <c r="P260" s="403" t="s">
        <v>151</v>
      </c>
      <c r="Q260" s="403" t="s">
        <v>155</v>
      </c>
      <c r="R260" s="403" t="s">
        <v>7514</v>
      </c>
      <c r="S260" s="403"/>
      <c r="T260" s="403" t="s">
        <v>2893</v>
      </c>
      <c r="U260" s="403" t="s">
        <v>152</v>
      </c>
      <c r="V260" s="403" t="s">
        <v>18</v>
      </c>
    </row>
    <row r="261" spans="1:22">
      <c r="A261" s="6"/>
      <c r="B261" s="216">
        <v>46211</v>
      </c>
      <c r="C261" s="216">
        <v>46211</v>
      </c>
      <c r="D261" s="403" t="s">
        <v>7515</v>
      </c>
      <c r="E261" s="403" t="s">
        <v>7516</v>
      </c>
      <c r="F261" s="403" t="s">
        <v>89</v>
      </c>
      <c r="G261" s="403" t="s">
        <v>2407</v>
      </c>
      <c r="H261" s="403">
        <v>92</v>
      </c>
      <c r="I261" s="403">
        <v>224</v>
      </c>
      <c r="J261" s="374">
        <v>224</v>
      </c>
      <c r="K261" s="403">
        <v>125</v>
      </c>
      <c r="L261" s="217">
        <v>1000</v>
      </c>
      <c r="M261" s="403" t="s">
        <v>153</v>
      </c>
      <c r="N261" s="403" t="s">
        <v>149</v>
      </c>
      <c r="O261" s="403" t="s">
        <v>154</v>
      </c>
      <c r="P261" s="403" t="s">
        <v>151</v>
      </c>
      <c r="Q261" s="403" t="s">
        <v>155</v>
      </c>
      <c r="R261" s="403" t="s">
        <v>7517</v>
      </c>
      <c r="S261" s="403"/>
      <c r="T261" s="403" t="s">
        <v>2893</v>
      </c>
      <c r="U261" s="403" t="s">
        <v>152</v>
      </c>
      <c r="V261" s="403" t="s">
        <v>18</v>
      </c>
    </row>
    <row r="262" spans="1:22">
      <c r="A262" s="6"/>
      <c r="B262" s="216">
        <v>46211</v>
      </c>
      <c r="C262" s="216">
        <v>46211</v>
      </c>
      <c r="D262" s="403" t="s">
        <v>7518</v>
      </c>
      <c r="E262" s="403" t="s">
        <v>7519</v>
      </c>
      <c r="F262" s="403" t="s">
        <v>89</v>
      </c>
      <c r="G262" s="403" t="s">
        <v>2407</v>
      </c>
      <c r="H262" s="403">
        <v>92</v>
      </c>
      <c r="I262" s="403">
        <v>228</v>
      </c>
      <c r="J262" s="374">
        <v>228</v>
      </c>
      <c r="K262" s="403">
        <v>125</v>
      </c>
      <c r="L262" s="217">
        <v>1000</v>
      </c>
      <c r="M262" s="403" t="s">
        <v>153</v>
      </c>
      <c r="N262" s="403" t="s">
        <v>149</v>
      </c>
      <c r="O262" s="403" t="s">
        <v>154</v>
      </c>
      <c r="P262" s="403" t="s">
        <v>151</v>
      </c>
      <c r="Q262" s="403" t="s">
        <v>155</v>
      </c>
      <c r="R262" s="403" t="s">
        <v>7520</v>
      </c>
      <c r="S262" s="403"/>
      <c r="T262" s="403" t="s">
        <v>2893</v>
      </c>
      <c r="U262" s="403" t="s">
        <v>152</v>
      </c>
      <c r="V262" s="403" t="s">
        <v>18</v>
      </c>
    </row>
    <row r="263" spans="1:22">
      <c r="A263" s="6"/>
      <c r="B263" s="216">
        <v>46211</v>
      </c>
      <c r="C263" s="216">
        <v>46211</v>
      </c>
      <c r="D263" s="403" t="s">
        <v>7521</v>
      </c>
      <c r="E263" s="403" t="s">
        <v>7522</v>
      </c>
      <c r="F263" s="403" t="s">
        <v>89</v>
      </c>
      <c r="G263" s="403" t="s">
        <v>2407</v>
      </c>
      <c r="H263" s="403">
        <v>92</v>
      </c>
      <c r="I263" s="403">
        <v>220.2</v>
      </c>
      <c r="J263" s="374">
        <v>220.2</v>
      </c>
      <c r="K263" s="403">
        <v>125</v>
      </c>
      <c r="L263" s="217">
        <v>1000</v>
      </c>
      <c r="M263" s="403" t="s">
        <v>153</v>
      </c>
      <c r="N263" s="403" t="s">
        <v>149</v>
      </c>
      <c r="O263" s="403" t="s">
        <v>154</v>
      </c>
      <c r="P263" s="403" t="s">
        <v>151</v>
      </c>
      <c r="Q263" s="403" t="s">
        <v>155</v>
      </c>
      <c r="R263" s="403" t="s">
        <v>7523</v>
      </c>
      <c r="S263" s="403"/>
      <c r="T263" s="403" t="s">
        <v>2893</v>
      </c>
      <c r="U263" s="403" t="s">
        <v>152</v>
      </c>
      <c r="V263" s="403" t="s">
        <v>18</v>
      </c>
    </row>
    <row r="264" spans="1:22">
      <c r="A264" s="6"/>
      <c r="B264" s="216">
        <v>46211</v>
      </c>
      <c r="C264" s="216">
        <v>46211</v>
      </c>
      <c r="D264" s="403" t="s">
        <v>7524</v>
      </c>
      <c r="E264" s="403" t="s">
        <v>7525</v>
      </c>
      <c r="F264" s="403" t="s">
        <v>89</v>
      </c>
      <c r="G264" s="403" t="s">
        <v>2407</v>
      </c>
      <c r="H264" s="403">
        <v>92</v>
      </c>
      <c r="I264" s="403">
        <v>226</v>
      </c>
      <c r="J264" s="374">
        <v>226</v>
      </c>
      <c r="K264" s="403">
        <v>125</v>
      </c>
      <c r="L264" s="217">
        <v>1000</v>
      </c>
      <c r="M264" s="403" t="s">
        <v>153</v>
      </c>
      <c r="N264" s="403" t="s">
        <v>149</v>
      </c>
      <c r="O264" s="403" t="s">
        <v>154</v>
      </c>
      <c r="P264" s="403" t="s">
        <v>151</v>
      </c>
      <c r="Q264" s="403" t="s">
        <v>155</v>
      </c>
      <c r="R264" s="403" t="s">
        <v>7526</v>
      </c>
      <c r="S264" s="403"/>
      <c r="T264" s="403" t="s">
        <v>2893</v>
      </c>
      <c r="U264" s="403" t="s">
        <v>152</v>
      </c>
      <c r="V264" s="403" t="s">
        <v>18</v>
      </c>
    </row>
    <row r="265" spans="1:22">
      <c r="A265" s="6"/>
      <c r="B265" s="216">
        <v>46211</v>
      </c>
      <c r="C265" s="216">
        <v>46211</v>
      </c>
      <c r="D265" s="403" t="s">
        <v>7527</v>
      </c>
      <c r="E265" s="403" t="s">
        <v>7528</v>
      </c>
      <c r="F265" s="403" t="s">
        <v>89</v>
      </c>
      <c r="G265" s="403" t="s">
        <v>2407</v>
      </c>
      <c r="H265" s="403">
        <v>92</v>
      </c>
      <c r="I265" s="403">
        <v>228.5</v>
      </c>
      <c r="J265" s="374">
        <v>228.5</v>
      </c>
      <c r="K265" s="403">
        <v>125</v>
      </c>
      <c r="L265" s="217">
        <v>1000</v>
      </c>
      <c r="M265" s="403" t="s">
        <v>153</v>
      </c>
      <c r="N265" s="403" t="s">
        <v>149</v>
      </c>
      <c r="O265" s="403" t="s">
        <v>154</v>
      </c>
      <c r="P265" s="403" t="s">
        <v>151</v>
      </c>
      <c r="Q265" s="403" t="s">
        <v>155</v>
      </c>
      <c r="R265" s="403" t="s">
        <v>7529</v>
      </c>
      <c r="S265" s="403"/>
      <c r="T265" s="403" t="s">
        <v>2893</v>
      </c>
      <c r="U265" s="403" t="s">
        <v>152</v>
      </c>
      <c r="V265" s="403" t="s">
        <v>18</v>
      </c>
    </row>
    <row r="266" spans="1:22">
      <c r="A266" s="6"/>
      <c r="B266" s="216">
        <v>46211</v>
      </c>
      <c r="C266" s="216">
        <v>46211</v>
      </c>
      <c r="D266" s="403" t="s">
        <v>7530</v>
      </c>
      <c r="E266" s="403" t="s">
        <v>7531</v>
      </c>
      <c r="F266" s="403" t="s">
        <v>89</v>
      </c>
      <c r="G266" s="403" t="s">
        <v>2407</v>
      </c>
      <c r="H266" s="403">
        <v>92</v>
      </c>
      <c r="I266" s="403">
        <v>228</v>
      </c>
      <c r="J266" s="374">
        <v>228</v>
      </c>
      <c r="K266" s="403">
        <v>125</v>
      </c>
      <c r="L266" s="217">
        <v>1000</v>
      </c>
      <c r="M266" s="403" t="s">
        <v>153</v>
      </c>
      <c r="N266" s="403" t="s">
        <v>149</v>
      </c>
      <c r="O266" s="403" t="s">
        <v>154</v>
      </c>
      <c r="P266" s="403" t="s">
        <v>151</v>
      </c>
      <c r="Q266" s="403" t="s">
        <v>155</v>
      </c>
      <c r="R266" s="403" t="s">
        <v>7532</v>
      </c>
      <c r="S266" s="403"/>
      <c r="T266" s="403" t="s">
        <v>2893</v>
      </c>
      <c r="U266" s="403" t="s">
        <v>152</v>
      </c>
      <c r="V266" s="403" t="s">
        <v>18</v>
      </c>
    </row>
    <row r="267" spans="1:22">
      <c r="A267" s="6"/>
      <c r="B267" s="216">
        <v>46211</v>
      </c>
      <c r="C267" s="216">
        <v>46211</v>
      </c>
      <c r="D267" s="403" t="s">
        <v>7533</v>
      </c>
      <c r="E267" s="403" t="s">
        <v>7534</v>
      </c>
      <c r="F267" s="403" t="s">
        <v>89</v>
      </c>
      <c r="G267" s="403" t="s">
        <v>2407</v>
      </c>
      <c r="H267" s="403">
        <v>92</v>
      </c>
      <c r="I267" s="403">
        <v>231.5</v>
      </c>
      <c r="J267" s="374">
        <v>231.5</v>
      </c>
      <c r="K267" s="403">
        <v>125</v>
      </c>
      <c r="L267" s="217">
        <v>1000</v>
      </c>
      <c r="M267" s="403" t="s">
        <v>153</v>
      </c>
      <c r="N267" s="403" t="s">
        <v>149</v>
      </c>
      <c r="O267" s="403" t="s">
        <v>154</v>
      </c>
      <c r="P267" s="403" t="s">
        <v>151</v>
      </c>
      <c r="Q267" s="403" t="s">
        <v>155</v>
      </c>
      <c r="R267" s="403" t="s">
        <v>7535</v>
      </c>
      <c r="S267" s="403"/>
      <c r="T267" s="403" t="s">
        <v>2893</v>
      </c>
      <c r="U267" s="403" t="s">
        <v>152</v>
      </c>
      <c r="V267" s="403" t="s">
        <v>18</v>
      </c>
    </row>
    <row r="268" spans="1:22">
      <c r="A268" s="6"/>
      <c r="B268" s="216">
        <v>46211</v>
      </c>
      <c r="C268" s="216">
        <v>46211</v>
      </c>
      <c r="D268" s="403" t="s">
        <v>7536</v>
      </c>
      <c r="E268" s="403" t="s">
        <v>7537</v>
      </c>
      <c r="F268" s="403" t="s">
        <v>89</v>
      </c>
      <c r="G268" s="403" t="s">
        <v>2407</v>
      </c>
      <c r="H268" s="403">
        <v>92</v>
      </c>
      <c r="I268" s="403">
        <v>229</v>
      </c>
      <c r="J268" s="374">
        <v>229</v>
      </c>
      <c r="K268" s="403">
        <v>125</v>
      </c>
      <c r="L268" s="217">
        <v>1000</v>
      </c>
      <c r="M268" s="403" t="s">
        <v>153</v>
      </c>
      <c r="N268" s="403" t="s">
        <v>149</v>
      </c>
      <c r="O268" s="403" t="s">
        <v>154</v>
      </c>
      <c r="P268" s="403" t="s">
        <v>151</v>
      </c>
      <c r="Q268" s="403" t="s">
        <v>155</v>
      </c>
      <c r="R268" s="403" t="s">
        <v>7538</v>
      </c>
      <c r="S268" s="403"/>
      <c r="T268" s="403" t="s">
        <v>2893</v>
      </c>
      <c r="U268" s="403" t="s">
        <v>152</v>
      </c>
      <c r="V268" s="403" t="s">
        <v>18</v>
      </c>
    </row>
    <row r="269" spans="1:22">
      <c r="A269" s="6"/>
      <c r="B269" s="216">
        <v>46211</v>
      </c>
      <c r="C269" s="216">
        <v>46211</v>
      </c>
      <c r="D269" s="403" t="s">
        <v>7539</v>
      </c>
      <c r="E269" s="403" t="s">
        <v>7540</v>
      </c>
      <c r="F269" s="403" t="s">
        <v>89</v>
      </c>
      <c r="G269" s="403" t="s">
        <v>2407</v>
      </c>
      <c r="H269" s="403">
        <v>92</v>
      </c>
      <c r="I269" s="403">
        <v>225.5</v>
      </c>
      <c r="J269" s="374">
        <v>225.5</v>
      </c>
      <c r="K269" s="403">
        <v>125</v>
      </c>
      <c r="L269" s="217">
        <v>1000</v>
      </c>
      <c r="M269" s="403" t="s">
        <v>153</v>
      </c>
      <c r="N269" s="403" t="s">
        <v>149</v>
      </c>
      <c r="O269" s="403" t="s">
        <v>154</v>
      </c>
      <c r="P269" s="403" t="s">
        <v>151</v>
      </c>
      <c r="Q269" s="403" t="s">
        <v>155</v>
      </c>
      <c r="R269" s="403" t="s">
        <v>7541</v>
      </c>
      <c r="S269" s="403"/>
      <c r="T269" s="403" t="s">
        <v>2893</v>
      </c>
      <c r="U269" s="403" t="s">
        <v>152</v>
      </c>
      <c r="V269" s="403" t="s">
        <v>18</v>
      </c>
    </row>
    <row r="270" spans="1:22">
      <c r="A270" s="6"/>
      <c r="B270" s="216">
        <v>46211</v>
      </c>
      <c r="C270" s="216">
        <v>46211</v>
      </c>
      <c r="D270" s="403" t="s">
        <v>7542</v>
      </c>
      <c r="E270" s="395" t="s">
        <v>7543</v>
      </c>
      <c r="F270" s="403" t="s">
        <v>89</v>
      </c>
      <c r="G270" s="403" t="s">
        <v>2407</v>
      </c>
      <c r="H270" s="403">
        <v>92</v>
      </c>
      <c r="I270" s="403">
        <v>228</v>
      </c>
      <c r="J270" s="374">
        <v>228</v>
      </c>
      <c r="K270" s="403">
        <v>125</v>
      </c>
      <c r="L270" s="217">
        <v>1000</v>
      </c>
      <c r="M270" s="403" t="s">
        <v>153</v>
      </c>
      <c r="N270" s="403" t="s">
        <v>149</v>
      </c>
      <c r="O270" s="403" t="s">
        <v>154</v>
      </c>
      <c r="P270" s="403" t="s">
        <v>151</v>
      </c>
      <c r="Q270" s="403" t="s">
        <v>155</v>
      </c>
      <c r="R270" s="403" t="s">
        <v>7544</v>
      </c>
      <c r="S270" s="403"/>
      <c r="T270" s="403" t="s">
        <v>2893</v>
      </c>
      <c r="U270" s="403" t="s">
        <v>152</v>
      </c>
      <c r="V270" s="403" t="s">
        <v>18</v>
      </c>
    </row>
    <row r="271" spans="1:22">
      <c r="A271" s="6"/>
      <c r="B271" s="216">
        <v>46211</v>
      </c>
      <c r="C271" s="216">
        <v>46211</v>
      </c>
      <c r="D271" s="403" t="s">
        <v>7545</v>
      </c>
      <c r="E271" s="403" t="s">
        <v>7546</v>
      </c>
      <c r="F271" s="403" t="s">
        <v>89</v>
      </c>
      <c r="G271" s="403" t="s">
        <v>2407</v>
      </c>
      <c r="H271" s="403">
        <v>92</v>
      </c>
      <c r="I271" s="403">
        <v>226.3</v>
      </c>
      <c r="J271" s="374">
        <v>226.3</v>
      </c>
      <c r="K271" s="403">
        <v>125</v>
      </c>
      <c r="L271" s="217">
        <v>1000</v>
      </c>
      <c r="M271" s="403" t="s">
        <v>153</v>
      </c>
      <c r="N271" s="403" t="s">
        <v>149</v>
      </c>
      <c r="O271" s="403" t="s">
        <v>154</v>
      </c>
      <c r="P271" s="403" t="s">
        <v>151</v>
      </c>
      <c r="Q271" s="403" t="s">
        <v>155</v>
      </c>
      <c r="R271" s="403" t="s">
        <v>7547</v>
      </c>
      <c r="S271" s="403"/>
      <c r="T271" s="403" t="s">
        <v>2893</v>
      </c>
      <c r="U271" s="403" t="s">
        <v>152</v>
      </c>
      <c r="V271" s="403" t="s">
        <v>18</v>
      </c>
    </row>
    <row r="272" spans="1:22">
      <c r="A272" s="6"/>
      <c r="B272" s="216">
        <v>46211</v>
      </c>
      <c r="C272" s="216">
        <v>46211</v>
      </c>
      <c r="D272" s="403" t="s">
        <v>7548</v>
      </c>
      <c r="E272" s="403" t="s">
        <v>7549</v>
      </c>
      <c r="F272" s="403" t="s">
        <v>89</v>
      </c>
      <c r="G272" s="403" t="s">
        <v>2407</v>
      </c>
      <c r="H272" s="403">
        <v>92</v>
      </c>
      <c r="I272" s="403">
        <v>227.2</v>
      </c>
      <c r="J272" s="374">
        <v>227.2</v>
      </c>
      <c r="K272" s="403">
        <v>125</v>
      </c>
      <c r="L272" s="217">
        <v>1000</v>
      </c>
      <c r="M272" s="403" t="s">
        <v>153</v>
      </c>
      <c r="N272" s="403" t="s">
        <v>149</v>
      </c>
      <c r="O272" s="403" t="s">
        <v>154</v>
      </c>
      <c r="P272" s="403" t="s">
        <v>151</v>
      </c>
      <c r="Q272" s="403" t="s">
        <v>155</v>
      </c>
      <c r="R272" s="403" t="s">
        <v>7550</v>
      </c>
      <c r="S272" s="403"/>
      <c r="T272" s="403" t="s">
        <v>2893</v>
      </c>
      <c r="U272" s="403" t="s">
        <v>152</v>
      </c>
      <c r="V272" s="403" t="s">
        <v>18</v>
      </c>
    </row>
    <row r="273" spans="1:22">
      <c r="A273" s="6"/>
      <c r="B273" s="216">
        <v>46211</v>
      </c>
      <c r="C273" s="216">
        <v>46211</v>
      </c>
      <c r="D273" s="403" t="s">
        <v>7551</v>
      </c>
      <c r="E273" s="403" t="s">
        <v>7552</v>
      </c>
      <c r="F273" s="403" t="s">
        <v>89</v>
      </c>
      <c r="G273" s="403" t="s">
        <v>2407</v>
      </c>
      <c r="H273" s="403">
        <v>92</v>
      </c>
      <c r="I273" s="403">
        <v>219.1</v>
      </c>
      <c r="J273" s="374">
        <v>219.1</v>
      </c>
      <c r="K273" s="403">
        <v>125</v>
      </c>
      <c r="L273" s="217">
        <v>1000</v>
      </c>
      <c r="M273" s="403" t="s">
        <v>153</v>
      </c>
      <c r="N273" s="403" t="s">
        <v>149</v>
      </c>
      <c r="O273" s="403" t="s">
        <v>154</v>
      </c>
      <c r="P273" s="403" t="s">
        <v>151</v>
      </c>
      <c r="Q273" s="403" t="s">
        <v>155</v>
      </c>
      <c r="R273" s="403" t="s">
        <v>7553</v>
      </c>
      <c r="S273" s="403"/>
      <c r="T273" s="403" t="s">
        <v>2893</v>
      </c>
      <c r="U273" s="403" t="s">
        <v>152</v>
      </c>
      <c r="V273" s="403" t="s">
        <v>18</v>
      </c>
    </row>
    <row r="274" spans="1:22">
      <c r="A274" s="6"/>
      <c r="B274" s="216">
        <v>46211</v>
      </c>
      <c r="C274" s="216">
        <v>46211</v>
      </c>
      <c r="D274" s="403" t="s">
        <v>7554</v>
      </c>
      <c r="E274" s="403" t="s">
        <v>7555</v>
      </c>
      <c r="F274" s="403" t="s">
        <v>89</v>
      </c>
      <c r="G274" s="403" t="s">
        <v>2407</v>
      </c>
      <c r="H274" s="403">
        <v>92</v>
      </c>
      <c r="I274" s="403">
        <v>222.4</v>
      </c>
      <c r="J274" s="374">
        <v>222.4</v>
      </c>
      <c r="K274" s="403">
        <v>125</v>
      </c>
      <c r="L274" s="217">
        <v>1000</v>
      </c>
      <c r="M274" s="403" t="s">
        <v>153</v>
      </c>
      <c r="N274" s="403" t="s">
        <v>149</v>
      </c>
      <c r="O274" s="403" t="s">
        <v>154</v>
      </c>
      <c r="P274" s="403" t="s">
        <v>151</v>
      </c>
      <c r="Q274" s="403" t="s">
        <v>155</v>
      </c>
      <c r="R274" s="403" t="s">
        <v>7556</v>
      </c>
      <c r="S274" s="403"/>
      <c r="T274" s="403" t="s">
        <v>2893</v>
      </c>
      <c r="U274" s="403" t="s">
        <v>152</v>
      </c>
      <c r="V274" s="403" t="s">
        <v>18</v>
      </c>
    </row>
    <row r="275" spans="1:22">
      <c r="A275" s="6"/>
      <c r="B275" s="216">
        <v>46211</v>
      </c>
      <c r="C275" s="216">
        <v>46211</v>
      </c>
      <c r="D275" s="403" t="s">
        <v>7557</v>
      </c>
      <c r="E275" s="403" t="s">
        <v>7558</v>
      </c>
      <c r="F275" s="403" t="s">
        <v>89</v>
      </c>
      <c r="G275" s="403" t="s">
        <v>2407</v>
      </c>
      <c r="H275" s="403">
        <v>92</v>
      </c>
      <c r="I275" s="403">
        <v>221.9</v>
      </c>
      <c r="J275" s="374">
        <v>221.9</v>
      </c>
      <c r="K275" s="403">
        <v>125</v>
      </c>
      <c r="L275" s="217">
        <v>1000</v>
      </c>
      <c r="M275" s="403" t="s">
        <v>153</v>
      </c>
      <c r="N275" s="403" t="s">
        <v>149</v>
      </c>
      <c r="O275" s="403" t="s">
        <v>154</v>
      </c>
      <c r="P275" s="403" t="s">
        <v>151</v>
      </c>
      <c r="Q275" s="403" t="s">
        <v>155</v>
      </c>
      <c r="R275" s="403" t="s">
        <v>7559</v>
      </c>
      <c r="S275" s="403"/>
      <c r="T275" s="403" t="s">
        <v>2893</v>
      </c>
      <c r="U275" s="403" t="s">
        <v>152</v>
      </c>
      <c r="V275" s="403" t="s">
        <v>18</v>
      </c>
    </row>
    <row r="276" spans="1:22">
      <c r="A276" s="6"/>
      <c r="B276" s="216">
        <v>46211</v>
      </c>
      <c r="C276" s="216">
        <v>46211</v>
      </c>
      <c r="D276" s="403" t="s">
        <v>7560</v>
      </c>
      <c r="E276" s="403" t="s">
        <v>7561</v>
      </c>
      <c r="F276" s="403" t="s">
        <v>89</v>
      </c>
      <c r="G276" s="403" t="s">
        <v>2407</v>
      </c>
      <c r="H276" s="403">
        <v>92</v>
      </c>
      <c r="I276" s="403">
        <v>228</v>
      </c>
      <c r="J276" s="374">
        <v>228</v>
      </c>
      <c r="K276" s="403">
        <v>125</v>
      </c>
      <c r="L276" s="217">
        <v>1000</v>
      </c>
      <c r="M276" s="403" t="s">
        <v>153</v>
      </c>
      <c r="N276" s="403" t="s">
        <v>149</v>
      </c>
      <c r="O276" s="403" t="s">
        <v>154</v>
      </c>
      <c r="P276" s="403" t="s">
        <v>151</v>
      </c>
      <c r="Q276" s="403" t="s">
        <v>155</v>
      </c>
      <c r="R276" s="403" t="s">
        <v>7562</v>
      </c>
      <c r="S276" s="403"/>
      <c r="T276" s="403" t="s">
        <v>2893</v>
      </c>
      <c r="U276" s="403" t="s">
        <v>152</v>
      </c>
      <c r="V276" s="403" t="s">
        <v>18</v>
      </c>
    </row>
    <row r="277" spans="1:22">
      <c r="A277" s="6"/>
      <c r="B277" s="216">
        <v>46211</v>
      </c>
      <c r="C277" s="216">
        <v>46211</v>
      </c>
      <c r="D277" s="403" t="s">
        <v>7563</v>
      </c>
      <c r="E277" s="403" t="s">
        <v>7564</v>
      </c>
      <c r="F277" s="403" t="s">
        <v>89</v>
      </c>
      <c r="G277" s="403" t="s">
        <v>2407</v>
      </c>
      <c r="H277" s="403">
        <v>92</v>
      </c>
      <c r="I277" s="403">
        <v>220.5</v>
      </c>
      <c r="J277" s="374">
        <v>220.5</v>
      </c>
      <c r="K277" s="403">
        <v>125</v>
      </c>
      <c r="L277" s="217">
        <v>1000</v>
      </c>
      <c r="M277" s="403" t="s">
        <v>153</v>
      </c>
      <c r="N277" s="403" t="s">
        <v>149</v>
      </c>
      <c r="O277" s="403" t="s">
        <v>154</v>
      </c>
      <c r="P277" s="403" t="s">
        <v>151</v>
      </c>
      <c r="Q277" s="403" t="s">
        <v>155</v>
      </c>
      <c r="R277" s="403" t="s">
        <v>7565</v>
      </c>
      <c r="S277" s="403"/>
      <c r="T277" s="403" t="s">
        <v>2893</v>
      </c>
      <c r="U277" s="403" t="s">
        <v>152</v>
      </c>
      <c r="V277" s="403" t="s">
        <v>18</v>
      </c>
    </row>
    <row r="278" spans="1:22">
      <c r="A278" s="6"/>
      <c r="B278" s="216">
        <v>46211</v>
      </c>
      <c r="C278" s="216">
        <v>46211</v>
      </c>
      <c r="D278" s="403" t="s">
        <v>7566</v>
      </c>
      <c r="E278" s="403" t="s">
        <v>7567</v>
      </c>
      <c r="F278" s="403" t="s">
        <v>89</v>
      </c>
      <c r="G278" s="403" t="s">
        <v>2407</v>
      </c>
      <c r="H278" s="403">
        <v>92</v>
      </c>
      <c r="I278" s="403">
        <v>206</v>
      </c>
      <c r="J278" s="374">
        <v>206</v>
      </c>
      <c r="K278" s="403">
        <v>125</v>
      </c>
      <c r="L278" s="217">
        <v>900</v>
      </c>
      <c r="M278" s="403" t="s">
        <v>153</v>
      </c>
      <c r="N278" s="403" t="s">
        <v>149</v>
      </c>
      <c r="O278" s="403" t="s">
        <v>154</v>
      </c>
      <c r="P278" s="403" t="s">
        <v>151</v>
      </c>
      <c r="Q278" s="403" t="s">
        <v>155</v>
      </c>
      <c r="R278" s="403" t="s">
        <v>7568</v>
      </c>
      <c r="S278" s="403"/>
      <c r="T278" s="403" t="s">
        <v>2893</v>
      </c>
      <c r="U278" s="403" t="s">
        <v>152</v>
      </c>
      <c r="V278" s="403" t="s">
        <v>18</v>
      </c>
    </row>
    <row r="279" spans="1:22">
      <c r="A279" s="6"/>
      <c r="B279" s="216">
        <v>46211</v>
      </c>
      <c r="C279" s="216">
        <v>46211</v>
      </c>
      <c r="D279" s="403" t="s">
        <v>7569</v>
      </c>
      <c r="E279" s="403" t="s">
        <v>7570</v>
      </c>
      <c r="F279" s="403" t="s">
        <v>89</v>
      </c>
      <c r="G279" s="403" t="s">
        <v>2407</v>
      </c>
      <c r="H279" s="403">
        <v>92</v>
      </c>
      <c r="I279" s="403">
        <v>222.3</v>
      </c>
      <c r="J279" s="374">
        <v>222.3</v>
      </c>
      <c r="K279" s="403">
        <v>125</v>
      </c>
      <c r="L279" s="217">
        <v>1000</v>
      </c>
      <c r="M279" s="403" t="s">
        <v>153</v>
      </c>
      <c r="N279" s="403" t="s">
        <v>149</v>
      </c>
      <c r="O279" s="403" t="s">
        <v>154</v>
      </c>
      <c r="P279" s="403" t="s">
        <v>151</v>
      </c>
      <c r="Q279" s="403" t="s">
        <v>155</v>
      </c>
      <c r="R279" s="403" t="s">
        <v>7571</v>
      </c>
      <c r="S279" s="403"/>
      <c r="T279" s="403" t="s">
        <v>2893</v>
      </c>
      <c r="U279" s="403" t="s">
        <v>152</v>
      </c>
      <c r="V279" s="403" t="s">
        <v>18</v>
      </c>
    </row>
    <row r="280" spans="1:22">
      <c r="A280" s="6"/>
      <c r="B280" s="216">
        <v>46211</v>
      </c>
      <c r="C280" s="216">
        <v>46211</v>
      </c>
      <c r="D280" s="403" t="s">
        <v>7572</v>
      </c>
      <c r="E280" s="403" t="s">
        <v>7573</v>
      </c>
      <c r="F280" s="403" t="s">
        <v>89</v>
      </c>
      <c r="G280" s="403" t="s">
        <v>2407</v>
      </c>
      <c r="H280" s="403">
        <v>92</v>
      </c>
      <c r="I280" s="403">
        <v>226</v>
      </c>
      <c r="J280" s="374">
        <v>226</v>
      </c>
      <c r="K280" s="403">
        <v>125</v>
      </c>
      <c r="L280" s="217">
        <v>1000</v>
      </c>
      <c r="M280" s="403" t="s">
        <v>153</v>
      </c>
      <c r="N280" s="403" t="s">
        <v>149</v>
      </c>
      <c r="O280" s="403" t="s">
        <v>154</v>
      </c>
      <c r="P280" s="403" t="s">
        <v>151</v>
      </c>
      <c r="Q280" s="403" t="s">
        <v>155</v>
      </c>
      <c r="R280" s="403" t="s">
        <v>7574</v>
      </c>
      <c r="S280" s="403"/>
      <c r="T280" s="403" t="s">
        <v>2893</v>
      </c>
      <c r="U280" s="403" t="s">
        <v>152</v>
      </c>
      <c r="V280" s="403" t="s">
        <v>18</v>
      </c>
    </row>
    <row r="281" spans="1:22">
      <c r="A281" s="6"/>
      <c r="B281" s="216">
        <v>46211</v>
      </c>
      <c r="C281" s="216">
        <v>46211</v>
      </c>
      <c r="D281" s="403" t="s">
        <v>7575</v>
      </c>
      <c r="E281" s="403" t="s">
        <v>7576</v>
      </c>
      <c r="F281" s="403" t="s">
        <v>89</v>
      </c>
      <c r="G281" s="403" t="s">
        <v>2407</v>
      </c>
      <c r="H281" s="403">
        <v>92</v>
      </c>
      <c r="I281" s="403">
        <v>230.1</v>
      </c>
      <c r="J281" s="374">
        <v>230.1</v>
      </c>
      <c r="K281" s="403">
        <v>125</v>
      </c>
      <c r="L281" s="217">
        <v>1000</v>
      </c>
      <c r="M281" s="403" t="s">
        <v>153</v>
      </c>
      <c r="N281" s="403" t="s">
        <v>149</v>
      </c>
      <c r="O281" s="403" t="s">
        <v>154</v>
      </c>
      <c r="P281" s="403" t="s">
        <v>151</v>
      </c>
      <c r="Q281" s="403" t="s">
        <v>155</v>
      </c>
      <c r="R281" s="403" t="s">
        <v>7577</v>
      </c>
      <c r="S281" s="403"/>
      <c r="T281" s="403" t="s">
        <v>2893</v>
      </c>
      <c r="U281" s="403" t="s">
        <v>152</v>
      </c>
      <c r="V281" s="403" t="s">
        <v>18</v>
      </c>
    </row>
    <row r="282" spans="1:22">
      <c r="A282" s="6"/>
      <c r="B282" s="216">
        <v>46211</v>
      </c>
      <c r="C282" s="216">
        <v>46211</v>
      </c>
      <c r="D282" s="403" t="s">
        <v>7578</v>
      </c>
      <c r="E282" s="403" t="s">
        <v>7579</v>
      </c>
      <c r="F282" s="403" t="s">
        <v>89</v>
      </c>
      <c r="G282" s="403" t="s">
        <v>2407</v>
      </c>
      <c r="H282" s="403">
        <v>92</v>
      </c>
      <c r="I282" s="403">
        <v>226.8</v>
      </c>
      <c r="J282" s="374">
        <v>226.8</v>
      </c>
      <c r="K282" s="403">
        <v>125</v>
      </c>
      <c r="L282" s="217">
        <v>1000</v>
      </c>
      <c r="M282" s="403" t="s">
        <v>153</v>
      </c>
      <c r="N282" s="403" t="s">
        <v>149</v>
      </c>
      <c r="O282" s="403" t="s">
        <v>154</v>
      </c>
      <c r="P282" s="403" t="s">
        <v>151</v>
      </c>
      <c r="Q282" s="403" t="s">
        <v>155</v>
      </c>
      <c r="R282" s="403" t="s">
        <v>7580</v>
      </c>
      <c r="S282" s="403"/>
      <c r="T282" s="403" t="s">
        <v>2893</v>
      </c>
      <c r="U282" s="403" t="s">
        <v>152</v>
      </c>
      <c r="V282" s="403" t="s">
        <v>18</v>
      </c>
    </row>
    <row r="283" spans="1:22">
      <c r="A283" s="6"/>
      <c r="B283" s="216">
        <v>46211</v>
      </c>
      <c r="C283" s="216">
        <v>46211</v>
      </c>
      <c r="D283" s="403" t="s">
        <v>7581</v>
      </c>
      <c r="E283" s="403" t="s">
        <v>7582</v>
      </c>
      <c r="F283" s="403" t="s">
        <v>89</v>
      </c>
      <c r="G283" s="403" t="s">
        <v>2407</v>
      </c>
      <c r="H283" s="403">
        <v>92</v>
      </c>
      <c r="I283" s="403">
        <v>227.4</v>
      </c>
      <c r="J283" s="374">
        <v>227.4</v>
      </c>
      <c r="K283" s="403">
        <v>125</v>
      </c>
      <c r="L283" s="217">
        <v>1000</v>
      </c>
      <c r="M283" s="403" t="s">
        <v>153</v>
      </c>
      <c r="N283" s="403" t="s">
        <v>149</v>
      </c>
      <c r="O283" s="403" t="s">
        <v>154</v>
      </c>
      <c r="P283" s="403" t="s">
        <v>151</v>
      </c>
      <c r="Q283" s="403" t="s">
        <v>155</v>
      </c>
      <c r="R283" s="403" t="s">
        <v>7583</v>
      </c>
      <c r="S283" s="403"/>
      <c r="T283" s="403" t="s">
        <v>2893</v>
      </c>
      <c r="U283" s="403" t="s">
        <v>152</v>
      </c>
      <c r="V283" s="403" t="s">
        <v>18</v>
      </c>
    </row>
    <row r="284" spans="1:22">
      <c r="A284" s="6"/>
      <c r="B284" s="216">
        <v>46211</v>
      </c>
      <c r="C284" s="216">
        <v>46211</v>
      </c>
      <c r="D284" s="403" t="s">
        <v>7584</v>
      </c>
      <c r="E284" s="403" t="s">
        <v>7585</v>
      </c>
      <c r="F284" s="403" t="s">
        <v>89</v>
      </c>
      <c r="G284" s="403" t="s">
        <v>2407</v>
      </c>
      <c r="H284" s="403">
        <v>92</v>
      </c>
      <c r="I284" s="403">
        <v>220.5</v>
      </c>
      <c r="J284" s="374">
        <v>220.5</v>
      </c>
      <c r="K284" s="403">
        <v>125</v>
      </c>
      <c r="L284" s="217">
        <v>1000</v>
      </c>
      <c r="M284" s="403" t="s">
        <v>153</v>
      </c>
      <c r="N284" s="403" t="s">
        <v>149</v>
      </c>
      <c r="O284" s="403" t="s">
        <v>154</v>
      </c>
      <c r="P284" s="403" t="s">
        <v>151</v>
      </c>
      <c r="Q284" s="403" t="s">
        <v>155</v>
      </c>
      <c r="R284" s="403" t="s">
        <v>7586</v>
      </c>
      <c r="S284" s="403"/>
      <c r="T284" s="403" t="s">
        <v>2893</v>
      </c>
      <c r="U284" s="403" t="s">
        <v>152</v>
      </c>
      <c r="V284" s="403" t="s">
        <v>18</v>
      </c>
    </row>
    <row r="285" spans="1:22">
      <c r="A285" s="6"/>
      <c r="B285" s="216">
        <v>46211</v>
      </c>
      <c r="C285" s="216">
        <v>46211</v>
      </c>
      <c r="D285" s="403" t="s">
        <v>7587</v>
      </c>
      <c r="E285" s="403" t="s">
        <v>7588</v>
      </c>
      <c r="F285" s="403" t="s">
        <v>89</v>
      </c>
      <c r="G285" s="403" t="s">
        <v>2407</v>
      </c>
      <c r="H285" s="403">
        <v>92</v>
      </c>
      <c r="I285" s="403">
        <v>229.2</v>
      </c>
      <c r="J285" s="374">
        <v>229.2</v>
      </c>
      <c r="K285" s="403">
        <v>125</v>
      </c>
      <c r="L285" s="217">
        <v>1000</v>
      </c>
      <c r="M285" s="403" t="s">
        <v>153</v>
      </c>
      <c r="N285" s="403" t="s">
        <v>149</v>
      </c>
      <c r="O285" s="403" t="s">
        <v>154</v>
      </c>
      <c r="P285" s="403" t="s">
        <v>151</v>
      </c>
      <c r="Q285" s="403" t="s">
        <v>155</v>
      </c>
      <c r="R285" s="403" t="s">
        <v>7589</v>
      </c>
      <c r="S285" s="403"/>
      <c r="T285" s="403" t="s">
        <v>2893</v>
      </c>
      <c r="U285" s="403" t="s">
        <v>152</v>
      </c>
      <c r="V285" s="403" t="s">
        <v>18</v>
      </c>
    </row>
    <row r="286" spans="1:22">
      <c r="A286" s="6"/>
      <c r="B286" s="216">
        <v>46211</v>
      </c>
      <c r="C286" s="216">
        <v>46211</v>
      </c>
      <c r="D286" s="403" t="s">
        <v>7590</v>
      </c>
      <c r="E286" s="403" t="s">
        <v>7591</v>
      </c>
      <c r="F286" s="403" t="s">
        <v>89</v>
      </c>
      <c r="G286" s="403" t="s">
        <v>2407</v>
      </c>
      <c r="H286" s="403">
        <v>92</v>
      </c>
      <c r="I286" s="403">
        <v>226</v>
      </c>
      <c r="J286" s="374">
        <v>226</v>
      </c>
      <c r="K286" s="403">
        <v>125</v>
      </c>
      <c r="L286" s="217">
        <v>1000</v>
      </c>
      <c r="M286" s="403" t="s">
        <v>153</v>
      </c>
      <c r="N286" s="403" t="s">
        <v>149</v>
      </c>
      <c r="O286" s="403" t="s">
        <v>154</v>
      </c>
      <c r="P286" s="403" t="s">
        <v>151</v>
      </c>
      <c r="Q286" s="403" t="s">
        <v>155</v>
      </c>
      <c r="R286" s="403" t="s">
        <v>7592</v>
      </c>
      <c r="S286" s="403"/>
      <c r="T286" s="403" t="s">
        <v>2893</v>
      </c>
      <c r="U286" s="403" t="s">
        <v>152</v>
      </c>
      <c r="V286" s="403" t="s">
        <v>18</v>
      </c>
    </row>
    <row r="287" spans="1:22">
      <c r="A287" s="6"/>
      <c r="B287" s="216">
        <v>46211</v>
      </c>
      <c r="C287" s="216">
        <v>46211</v>
      </c>
      <c r="D287" s="403" t="s">
        <v>7593</v>
      </c>
      <c r="E287" s="403" t="s">
        <v>7594</v>
      </c>
      <c r="F287" s="403" t="s">
        <v>94</v>
      </c>
      <c r="G287" s="403" t="s">
        <v>2555</v>
      </c>
      <c r="H287" s="403">
        <v>152</v>
      </c>
      <c r="I287" s="403">
        <v>203</v>
      </c>
      <c r="J287" s="374">
        <v>203</v>
      </c>
      <c r="K287" s="403">
        <v>104</v>
      </c>
      <c r="L287" s="217">
        <v>1350</v>
      </c>
      <c r="M287" s="403" t="s">
        <v>153</v>
      </c>
      <c r="N287" s="403" t="s">
        <v>149</v>
      </c>
      <c r="O287" s="403" t="s">
        <v>154</v>
      </c>
      <c r="P287" s="403" t="s">
        <v>151</v>
      </c>
      <c r="Q287" s="403" t="s">
        <v>155</v>
      </c>
      <c r="R287" s="403" t="s">
        <v>7595</v>
      </c>
      <c r="S287" s="403"/>
      <c r="T287" s="403" t="s">
        <v>7596</v>
      </c>
      <c r="U287" s="403" t="s">
        <v>152</v>
      </c>
      <c r="V287" s="403" t="s">
        <v>18</v>
      </c>
    </row>
    <row r="288" spans="1:22">
      <c r="A288" s="6"/>
      <c r="B288" s="216">
        <v>46211</v>
      </c>
      <c r="C288" s="216">
        <v>46211</v>
      </c>
      <c r="D288" s="403" t="s">
        <v>7597</v>
      </c>
      <c r="E288" s="403">
        <v>1</v>
      </c>
      <c r="F288" s="403" t="s">
        <v>94</v>
      </c>
      <c r="G288" s="403" t="s">
        <v>2555</v>
      </c>
      <c r="H288" s="403">
        <v>152</v>
      </c>
      <c r="I288" s="403">
        <v>138</v>
      </c>
      <c r="J288" s="374">
        <v>138</v>
      </c>
      <c r="K288" s="403">
        <v>104</v>
      </c>
      <c r="L288" s="217">
        <v>873</v>
      </c>
      <c r="M288" s="403" t="s">
        <v>153</v>
      </c>
      <c r="N288" s="403" t="s">
        <v>149</v>
      </c>
      <c r="O288" s="403" t="s">
        <v>154</v>
      </c>
      <c r="P288" s="403" t="s">
        <v>151</v>
      </c>
      <c r="Q288" s="403" t="s">
        <v>155</v>
      </c>
      <c r="R288" s="403" t="s">
        <v>7598</v>
      </c>
      <c r="S288" s="403"/>
      <c r="T288" s="403" t="s">
        <v>7596</v>
      </c>
      <c r="U288" s="403" t="s">
        <v>152</v>
      </c>
      <c r="V288" s="403" t="s">
        <v>18</v>
      </c>
    </row>
    <row r="289" spans="1:22">
      <c r="A289" s="6"/>
      <c r="B289" s="216">
        <v>46211</v>
      </c>
      <c r="C289" s="216">
        <v>46211</v>
      </c>
      <c r="D289" s="403" t="s">
        <v>7599</v>
      </c>
      <c r="E289" s="403" t="s">
        <v>7600</v>
      </c>
      <c r="F289" s="403" t="s">
        <v>94</v>
      </c>
      <c r="G289" s="403" t="s">
        <v>7601</v>
      </c>
      <c r="H289" s="403" t="s">
        <v>2653</v>
      </c>
      <c r="I289" s="403">
        <v>215</v>
      </c>
      <c r="J289" s="374">
        <v>215</v>
      </c>
      <c r="K289" s="403">
        <v>58</v>
      </c>
      <c r="L289" s="217">
        <v>3600</v>
      </c>
      <c r="M289" s="403" t="s">
        <v>153</v>
      </c>
      <c r="N289" s="403" t="s">
        <v>149</v>
      </c>
      <c r="O289" s="403" t="s">
        <v>154</v>
      </c>
      <c r="P289" s="403" t="s">
        <v>151</v>
      </c>
      <c r="Q289" s="403" t="s">
        <v>156</v>
      </c>
      <c r="R289" s="403" t="s">
        <v>7602</v>
      </c>
      <c r="S289" s="403"/>
      <c r="T289" s="403" t="s">
        <v>7603</v>
      </c>
      <c r="U289" s="403" t="s">
        <v>152</v>
      </c>
      <c r="V289" s="403" t="s">
        <v>20</v>
      </c>
    </row>
    <row r="290" spans="1:22">
      <c r="A290" s="6"/>
      <c r="B290" s="216">
        <v>46211</v>
      </c>
      <c r="C290" s="216">
        <v>46211</v>
      </c>
      <c r="D290" s="403" t="s">
        <v>7604</v>
      </c>
      <c r="E290" s="403">
        <v>260101519652</v>
      </c>
      <c r="F290" s="403" t="s">
        <v>87</v>
      </c>
      <c r="G290" s="403" t="s">
        <v>2120</v>
      </c>
      <c r="H290" s="403">
        <v>92</v>
      </c>
      <c r="I290" s="403">
        <v>364</v>
      </c>
      <c r="J290" s="374">
        <v>364</v>
      </c>
      <c r="K290" s="403">
        <v>180</v>
      </c>
      <c r="L290" s="217">
        <v>1130</v>
      </c>
      <c r="M290" s="403" t="s">
        <v>153</v>
      </c>
      <c r="N290" s="403" t="s">
        <v>149</v>
      </c>
      <c r="O290" s="403" t="s">
        <v>154</v>
      </c>
      <c r="P290" s="403" t="s">
        <v>151</v>
      </c>
      <c r="Q290" s="403" t="s">
        <v>155</v>
      </c>
      <c r="R290" s="403" t="s">
        <v>7605</v>
      </c>
      <c r="S290" s="403"/>
      <c r="T290" s="403" t="s">
        <v>2887</v>
      </c>
      <c r="U290" s="403" t="s">
        <v>152</v>
      </c>
      <c r="V290" s="403" t="s">
        <v>18</v>
      </c>
    </row>
    <row r="291" spans="1:22">
      <c r="A291" s="6"/>
      <c r="B291" s="216">
        <v>46211</v>
      </c>
      <c r="C291" s="216">
        <v>46211</v>
      </c>
      <c r="D291" s="403" t="s">
        <v>7606</v>
      </c>
      <c r="E291" s="403">
        <v>260102019648</v>
      </c>
      <c r="F291" s="403" t="s">
        <v>87</v>
      </c>
      <c r="G291" s="403" t="s">
        <v>2563</v>
      </c>
      <c r="H291" s="403">
        <v>95</v>
      </c>
      <c r="I291" s="403">
        <v>269</v>
      </c>
      <c r="J291" s="374">
        <v>269</v>
      </c>
      <c r="K291" s="403">
        <v>134</v>
      </c>
      <c r="L291" s="217">
        <v>1115</v>
      </c>
      <c r="M291" s="403" t="s">
        <v>153</v>
      </c>
      <c r="N291" s="403" t="s">
        <v>149</v>
      </c>
      <c r="O291" s="403" t="s">
        <v>154</v>
      </c>
      <c r="P291" s="403" t="s">
        <v>151</v>
      </c>
      <c r="Q291" s="403" t="s">
        <v>155</v>
      </c>
      <c r="R291" s="403" t="s">
        <v>7607</v>
      </c>
      <c r="S291" s="403"/>
      <c r="T291" s="403" t="s">
        <v>2887</v>
      </c>
      <c r="U291" s="403" t="s">
        <v>152</v>
      </c>
      <c r="V291" s="403" t="s">
        <v>18</v>
      </c>
    </row>
    <row r="292" spans="1:22">
      <c r="A292" s="6"/>
      <c r="B292" s="216">
        <v>46211</v>
      </c>
      <c r="C292" s="216">
        <v>46211</v>
      </c>
      <c r="D292" s="403" t="s">
        <v>7608</v>
      </c>
      <c r="E292" s="403">
        <v>260101619654</v>
      </c>
      <c r="F292" s="403" t="s">
        <v>87</v>
      </c>
      <c r="G292" s="403" t="s">
        <v>2642</v>
      </c>
      <c r="H292" s="403">
        <v>112</v>
      </c>
      <c r="I292" s="403">
        <v>368</v>
      </c>
      <c r="J292" s="374">
        <v>368</v>
      </c>
      <c r="K292" s="403">
        <v>160</v>
      </c>
      <c r="L292" s="217">
        <v>1030</v>
      </c>
      <c r="M292" s="403" t="s">
        <v>153</v>
      </c>
      <c r="N292" s="403" t="s">
        <v>149</v>
      </c>
      <c r="O292" s="403" t="s">
        <v>154</v>
      </c>
      <c r="P292" s="403" t="s">
        <v>151</v>
      </c>
      <c r="Q292" s="403" t="s">
        <v>155</v>
      </c>
      <c r="R292" s="403" t="s">
        <v>7609</v>
      </c>
      <c r="S292" s="403"/>
      <c r="T292" s="403" t="s">
        <v>2887</v>
      </c>
      <c r="U292" s="403" t="s">
        <v>152</v>
      </c>
      <c r="V292" s="403" t="s">
        <v>18</v>
      </c>
    </row>
    <row r="293" spans="1:22">
      <c r="A293" s="6"/>
      <c r="B293" s="216">
        <v>46211</v>
      </c>
      <c r="C293" s="216">
        <v>46211</v>
      </c>
      <c r="D293" s="403" t="s">
        <v>7610</v>
      </c>
      <c r="E293" s="403">
        <v>260100719669</v>
      </c>
      <c r="F293" s="403" t="s">
        <v>87</v>
      </c>
      <c r="G293" s="403" t="s">
        <v>7197</v>
      </c>
      <c r="H293" s="403">
        <v>182</v>
      </c>
      <c r="I293" s="403">
        <v>311</v>
      </c>
      <c r="J293" s="374">
        <v>311</v>
      </c>
      <c r="K293" s="403">
        <v>150</v>
      </c>
      <c r="L293" s="217">
        <v>600</v>
      </c>
      <c r="M293" s="403" t="s">
        <v>153</v>
      </c>
      <c r="N293" s="403" t="s">
        <v>149</v>
      </c>
      <c r="O293" s="403" t="s">
        <v>154</v>
      </c>
      <c r="P293" s="403" t="s">
        <v>151</v>
      </c>
      <c r="Q293" s="403" t="s">
        <v>155</v>
      </c>
      <c r="R293" s="403" t="s">
        <v>7611</v>
      </c>
      <c r="S293" s="403"/>
      <c r="T293" s="403" t="s">
        <v>2887</v>
      </c>
      <c r="U293" s="403" t="s">
        <v>152</v>
      </c>
      <c r="V293" s="403" t="s">
        <v>18</v>
      </c>
    </row>
    <row r="294" spans="1:22">
      <c r="A294" s="6"/>
      <c r="B294" s="216">
        <v>46211</v>
      </c>
      <c r="C294" s="216">
        <v>46211</v>
      </c>
      <c r="D294" s="403" t="s">
        <v>7612</v>
      </c>
      <c r="E294" s="403">
        <v>260105019632</v>
      </c>
      <c r="F294" s="403" t="s">
        <v>87</v>
      </c>
      <c r="G294" s="403" t="s">
        <v>2409</v>
      </c>
      <c r="H294" s="403">
        <v>142</v>
      </c>
      <c r="I294" s="403">
        <v>311</v>
      </c>
      <c r="J294" s="374">
        <v>311</v>
      </c>
      <c r="K294" s="403">
        <v>97</v>
      </c>
      <c r="L294" s="217">
        <v>2260</v>
      </c>
      <c r="M294" s="403" t="s">
        <v>153</v>
      </c>
      <c r="N294" s="403" t="s">
        <v>149</v>
      </c>
      <c r="O294" s="403" t="s">
        <v>154</v>
      </c>
      <c r="P294" s="403" t="s">
        <v>151</v>
      </c>
      <c r="Q294" s="403" t="s">
        <v>155</v>
      </c>
      <c r="R294" s="403" t="s">
        <v>7613</v>
      </c>
      <c r="S294" s="403"/>
      <c r="T294" s="403" t="s">
        <v>2887</v>
      </c>
      <c r="U294" s="403" t="s">
        <v>152</v>
      </c>
      <c r="V294" s="403" t="s">
        <v>18</v>
      </c>
    </row>
    <row r="295" spans="1:22">
      <c r="A295" s="6"/>
      <c r="B295" s="216">
        <v>46211</v>
      </c>
      <c r="C295" s="216">
        <v>46211</v>
      </c>
      <c r="D295" s="403" t="s">
        <v>7614</v>
      </c>
      <c r="E295" s="403">
        <v>260102919634</v>
      </c>
      <c r="F295" s="403" t="s">
        <v>87</v>
      </c>
      <c r="G295" s="403" t="s">
        <v>859</v>
      </c>
      <c r="H295" s="403">
        <v>152</v>
      </c>
      <c r="I295" s="403">
        <v>322</v>
      </c>
      <c r="J295" s="374">
        <v>322</v>
      </c>
      <c r="K295" s="403">
        <v>104</v>
      </c>
      <c r="L295" s="217">
        <v>2150</v>
      </c>
      <c r="M295" s="403" t="s">
        <v>153</v>
      </c>
      <c r="N295" s="403" t="s">
        <v>149</v>
      </c>
      <c r="O295" s="403" t="s">
        <v>154</v>
      </c>
      <c r="P295" s="403" t="s">
        <v>151</v>
      </c>
      <c r="Q295" s="403" t="s">
        <v>155</v>
      </c>
      <c r="R295" s="403" t="s">
        <v>7615</v>
      </c>
      <c r="S295" s="403"/>
      <c r="T295" s="403" t="s">
        <v>2887</v>
      </c>
      <c r="U295" s="403" t="s">
        <v>152</v>
      </c>
      <c r="V295" s="403" t="s">
        <v>18</v>
      </c>
    </row>
    <row r="296" spans="1:22">
      <c r="A296" s="6"/>
      <c r="B296" s="216">
        <v>46211</v>
      </c>
      <c r="C296" s="216">
        <v>46211</v>
      </c>
      <c r="D296" s="403" t="s">
        <v>7616</v>
      </c>
      <c r="E296" s="403">
        <v>260102719645</v>
      </c>
      <c r="F296" s="403" t="s">
        <v>87</v>
      </c>
      <c r="G296" s="403" t="s">
        <v>2516</v>
      </c>
      <c r="H296" s="403">
        <v>95</v>
      </c>
      <c r="I296" s="403">
        <v>245</v>
      </c>
      <c r="J296" s="374">
        <v>245</v>
      </c>
      <c r="K296" s="403">
        <v>130</v>
      </c>
      <c r="L296" s="217">
        <v>1000</v>
      </c>
      <c r="M296" s="403" t="s">
        <v>153</v>
      </c>
      <c r="N296" s="403" t="s">
        <v>149</v>
      </c>
      <c r="O296" s="403" t="s">
        <v>154</v>
      </c>
      <c r="P296" s="403" t="s">
        <v>151</v>
      </c>
      <c r="Q296" s="403" t="s">
        <v>155</v>
      </c>
      <c r="R296" s="403" t="s">
        <v>7617</v>
      </c>
      <c r="S296" s="403"/>
      <c r="T296" s="403" t="s">
        <v>2887</v>
      </c>
      <c r="U296" s="403" t="s">
        <v>152</v>
      </c>
      <c r="V296" s="403" t="s">
        <v>18</v>
      </c>
    </row>
    <row r="297" spans="1:22">
      <c r="A297" s="6"/>
      <c r="B297" s="216">
        <v>46211</v>
      </c>
      <c r="C297" s="216">
        <v>46211</v>
      </c>
      <c r="D297" s="403" t="s">
        <v>7618</v>
      </c>
      <c r="E297" s="403">
        <v>260103319641</v>
      </c>
      <c r="F297" s="403" t="s">
        <v>87</v>
      </c>
      <c r="G297" s="403" t="s">
        <v>2409</v>
      </c>
      <c r="H297" s="403">
        <v>172</v>
      </c>
      <c r="I297" s="403">
        <v>306</v>
      </c>
      <c r="J297" s="374">
        <v>306</v>
      </c>
      <c r="K297" s="403">
        <v>97</v>
      </c>
      <c r="L297" s="217">
        <v>1900</v>
      </c>
      <c r="M297" s="403" t="s">
        <v>153</v>
      </c>
      <c r="N297" s="403" t="s">
        <v>149</v>
      </c>
      <c r="O297" s="403" t="s">
        <v>154</v>
      </c>
      <c r="P297" s="403" t="s">
        <v>151</v>
      </c>
      <c r="Q297" s="403" t="s">
        <v>155</v>
      </c>
      <c r="R297" s="403" t="s">
        <v>7619</v>
      </c>
      <c r="S297" s="403"/>
      <c r="T297" s="403" t="s">
        <v>2887</v>
      </c>
      <c r="U297" s="403" t="s">
        <v>152</v>
      </c>
      <c r="V297" s="403" t="s">
        <v>18</v>
      </c>
    </row>
    <row r="298" spans="1:22">
      <c r="A298" s="6"/>
      <c r="B298" s="216">
        <v>46211</v>
      </c>
      <c r="C298" s="216">
        <v>46211</v>
      </c>
      <c r="D298" s="403" t="s">
        <v>7620</v>
      </c>
      <c r="E298" s="403">
        <v>260101819649</v>
      </c>
      <c r="F298" s="403" t="s">
        <v>87</v>
      </c>
      <c r="G298" s="403" t="s">
        <v>2408</v>
      </c>
      <c r="H298" s="403">
        <v>95</v>
      </c>
      <c r="I298" s="403">
        <v>292</v>
      </c>
      <c r="J298" s="374">
        <v>292</v>
      </c>
      <c r="K298" s="403">
        <v>134</v>
      </c>
      <c r="L298" s="217">
        <v>1200</v>
      </c>
      <c r="M298" s="403" t="s">
        <v>153</v>
      </c>
      <c r="N298" s="403" t="s">
        <v>149</v>
      </c>
      <c r="O298" s="403" t="s">
        <v>154</v>
      </c>
      <c r="P298" s="403" t="s">
        <v>151</v>
      </c>
      <c r="Q298" s="403" t="s">
        <v>155</v>
      </c>
      <c r="R298" s="403" t="s">
        <v>7621</v>
      </c>
      <c r="S298" s="403"/>
      <c r="T298" s="403" t="s">
        <v>2887</v>
      </c>
      <c r="U298" s="403" t="s">
        <v>152</v>
      </c>
      <c r="V298" s="403" t="s">
        <v>18</v>
      </c>
    </row>
    <row r="299" spans="1:22">
      <c r="A299" s="6"/>
      <c r="B299" s="216">
        <v>46211</v>
      </c>
      <c r="C299" s="216">
        <v>46211</v>
      </c>
      <c r="D299" s="403" t="s">
        <v>7622</v>
      </c>
      <c r="E299" s="403">
        <v>260104619658</v>
      </c>
      <c r="F299" s="403" t="s">
        <v>87</v>
      </c>
      <c r="G299" s="403" t="s">
        <v>859</v>
      </c>
      <c r="H299" s="403">
        <v>152</v>
      </c>
      <c r="I299" s="403">
        <v>275</v>
      </c>
      <c r="J299" s="374">
        <v>275</v>
      </c>
      <c r="K299" s="403">
        <v>104</v>
      </c>
      <c r="L299" s="217">
        <v>1815</v>
      </c>
      <c r="M299" s="403" t="s">
        <v>153</v>
      </c>
      <c r="N299" s="403" t="s">
        <v>149</v>
      </c>
      <c r="O299" s="403" t="s">
        <v>154</v>
      </c>
      <c r="P299" s="403" t="s">
        <v>151</v>
      </c>
      <c r="Q299" s="403" t="s">
        <v>155</v>
      </c>
      <c r="R299" s="403" t="s">
        <v>7623</v>
      </c>
      <c r="S299" s="403"/>
      <c r="T299" s="403" t="s">
        <v>2887</v>
      </c>
      <c r="U299" s="403" t="s">
        <v>152</v>
      </c>
      <c r="V299" s="403" t="s">
        <v>18</v>
      </c>
    </row>
    <row r="300" spans="1:22">
      <c r="A300" s="6"/>
      <c r="B300" s="216">
        <v>46211</v>
      </c>
      <c r="C300" s="216">
        <v>46211</v>
      </c>
      <c r="D300" s="403" t="s">
        <v>7624</v>
      </c>
      <c r="E300" s="403">
        <v>260102919635</v>
      </c>
      <c r="F300" s="403" t="s">
        <v>87</v>
      </c>
      <c r="G300" s="403" t="s">
        <v>859</v>
      </c>
      <c r="H300" s="403">
        <v>152</v>
      </c>
      <c r="I300" s="403">
        <v>331</v>
      </c>
      <c r="J300" s="374">
        <v>331</v>
      </c>
      <c r="K300" s="403">
        <v>104</v>
      </c>
      <c r="L300" s="217">
        <v>2150</v>
      </c>
      <c r="M300" s="403" t="s">
        <v>153</v>
      </c>
      <c r="N300" s="403" t="s">
        <v>149</v>
      </c>
      <c r="O300" s="403" t="s">
        <v>154</v>
      </c>
      <c r="P300" s="403" t="s">
        <v>151</v>
      </c>
      <c r="Q300" s="403" t="s">
        <v>155</v>
      </c>
      <c r="R300" s="403" t="s">
        <v>7625</v>
      </c>
      <c r="S300" s="403"/>
      <c r="T300" s="403" t="s">
        <v>2887</v>
      </c>
      <c r="U300" s="403" t="s">
        <v>152</v>
      </c>
      <c r="V300" s="403" t="s">
        <v>18</v>
      </c>
    </row>
    <row r="301" spans="1:22">
      <c r="A301" s="6"/>
      <c r="B301" s="216">
        <v>46211</v>
      </c>
      <c r="C301" s="216">
        <v>46211</v>
      </c>
      <c r="D301" s="403" t="s">
        <v>7626</v>
      </c>
      <c r="E301" s="403">
        <v>260103419642</v>
      </c>
      <c r="F301" s="403" t="s">
        <v>87</v>
      </c>
      <c r="G301" s="403" t="s">
        <v>7403</v>
      </c>
      <c r="H301" s="403">
        <v>222</v>
      </c>
      <c r="I301" s="403">
        <v>209</v>
      </c>
      <c r="J301" s="374">
        <v>209</v>
      </c>
      <c r="K301" s="403">
        <v>105</v>
      </c>
      <c r="L301" s="217">
        <v>920</v>
      </c>
      <c r="M301" s="403" t="s">
        <v>153</v>
      </c>
      <c r="N301" s="403" t="s">
        <v>149</v>
      </c>
      <c r="O301" s="403" t="s">
        <v>154</v>
      </c>
      <c r="P301" s="403" t="s">
        <v>151</v>
      </c>
      <c r="Q301" s="403" t="s">
        <v>155</v>
      </c>
      <c r="R301" s="403" t="s">
        <v>7627</v>
      </c>
      <c r="S301" s="403"/>
      <c r="T301" s="403" t="s">
        <v>2887</v>
      </c>
      <c r="U301" s="403" t="s">
        <v>152</v>
      </c>
      <c r="V301" s="403" t="s">
        <v>18</v>
      </c>
    </row>
    <row r="302" spans="1:22">
      <c r="A302" s="6"/>
      <c r="B302" s="216">
        <v>46211</v>
      </c>
      <c r="C302" s="216">
        <v>46211</v>
      </c>
      <c r="D302" s="403" t="s">
        <v>7628</v>
      </c>
      <c r="E302" s="403">
        <v>260103719646</v>
      </c>
      <c r="F302" s="403" t="s">
        <v>87</v>
      </c>
      <c r="G302" s="403" t="s">
        <v>2563</v>
      </c>
      <c r="H302" s="403">
        <v>95</v>
      </c>
      <c r="I302" s="403">
        <v>342</v>
      </c>
      <c r="J302" s="374">
        <v>342</v>
      </c>
      <c r="K302" s="403">
        <v>134</v>
      </c>
      <c r="L302" s="217">
        <v>1410</v>
      </c>
      <c r="M302" s="403" t="s">
        <v>153</v>
      </c>
      <c r="N302" s="403" t="s">
        <v>149</v>
      </c>
      <c r="O302" s="403" t="s">
        <v>154</v>
      </c>
      <c r="P302" s="403" t="s">
        <v>151</v>
      </c>
      <c r="Q302" s="403" t="s">
        <v>155</v>
      </c>
      <c r="R302" s="403" t="s">
        <v>7629</v>
      </c>
      <c r="S302" s="403"/>
      <c r="T302" s="403" t="s">
        <v>2887</v>
      </c>
      <c r="U302" s="403" t="s">
        <v>152</v>
      </c>
      <c r="V302" s="403" t="s">
        <v>18</v>
      </c>
    </row>
    <row r="303" spans="1:22">
      <c r="A303" s="6"/>
      <c r="B303" s="216">
        <v>46211</v>
      </c>
      <c r="C303" s="216">
        <v>46211</v>
      </c>
      <c r="D303" s="403" t="s">
        <v>7630</v>
      </c>
      <c r="E303" s="403">
        <v>260100719627</v>
      </c>
      <c r="F303" s="403" t="s">
        <v>87</v>
      </c>
      <c r="G303" s="403" t="s">
        <v>7197</v>
      </c>
      <c r="H303" s="403">
        <v>182</v>
      </c>
      <c r="I303" s="403">
        <v>329</v>
      </c>
      <c r="J303" s="374">
        <v>329</v>
      </c>
      <c r="K303" s="403">
        <v>150</v>
      </c>
      <c r="L303" s="217">
        <v>630</v>
      </c>
      <c r="M303" s="403" t="s">
        <v>153</v>
      </c>
      <c r="N303" s="403" t="s">
        <v>149</v>
      </c>
      <c r="O303" s="403" t="s">
        <v>154</v>
      </c>
      <c r="P303" s="403" t="s">
        <v>151</v>
      </c>
      <c r="Q303" s="403" t="s">
        <v>155</v>
      </c>
      <c r="R303" s="403" t="s">
        <v>7631</v>
      </c>
      <c r="S303" s="403"/>
      <c r="T303" s="403" t="s">
        <v>2887</v>
      </c>
      <c r="U303" s="403" t="s">
        <v>152</v>
      </c>
      <c r="V303" s="403" t="s">
        <v>18</v>
      </c>
    </row>
    <row r="304" spans="1:22">
      <c r="A304" s="6"/>
      <c r="B304" s="216">
        <v>46211</v>
      </c>
      <c r="C304" s="216">
        <v>46211</v>
      </c>
      <c r="D304" s="403" t="s">
        <v>7632</v>
      </c>
      <c r="E304" s="403">
        <v>260105319636</v>
      </c>
      <c r="F304" s="403" t="s">
        <v>87</v>
      </c>
      <c r="G304" s="403" t="s">
        <v>2555</v>
      </c>
      <c r="H304" s="403">
        <v>152</v>
      </c>
      <c r="I304" s="403">
        <v>323</v>
      </c>
      <c r="J304" s="374">
        <v>323</v>
      </c>
      <c r="K304" s="403">
        <v>104</v>
      </c>
      <c r="L304" s="217">
        <v>2090</v>
      </c>
      <c r="M304" s="403" t="s">
        <v>153</v>
      </c>
      <c r="N304" s="403" t="s">
        <v>149</v>
      </c>
      <c r="O304" s="403" t="s">
        <v>154</v>
      </c>
      <c r="P304" s="403" t="s">
        <v>151</v>
      </c>
      <c r="Q304" s="403" t="s">
        <v>155</v>
      </c>
      <c r="R304" s="403" t="s">
        <v>7633</v>
      </c>
      <c r="S304" s="403"/>
      <c r="T304" s="403" t="s">
        <v>2887</v>
      </c>
      <c r="U304" s="403" t="s">
        <v>152</v>
      </c>
      <c r="V304" s="403" t="s">
        <v>18</v>
      </c>
    </row>
    <row r="305" spans="1:22">
      <c r="A305" s="6"/>
      <c r="B305" s="216">
        <v>46211</v>
      </c>
      <c r="C305" s="216">
        <v>46211</v>
      </c>
      <c r="D305" s="403" t="s">
        <v>7634</v>
      </c>
      <c r="E305" s="403">
        <v>260102519650</v>
      </c>
      <c r="F305" s="403" t="s">
        <v>87</v>
      </c>
      <c r="G305" s="403" t="s">
        <v>2658</v>
      </c>
      <c r="H305" s="403">
        <v>95</v>
      </c>
      <c r="I305" s="403">
        <v>141</v>
      </c>
      <c r="J305" s="374">
        <v>141</v>
      </c>
      <c r="K305" s="403">
        <v>130</v>
      </c>
      <c r="L305" s="217">
        <v>600</v>
      </c>
      <c r="M305" s="403" t="s">
        <v>153</v>
      </c>
      <c r="N305" s="403" t="s">
        <v>149</v>
      </c>
      <c r="O305" s="403" t="s">
        <v>154</v>
      </c>
      <c r="P305" s="403" t="s">
        <v>151</v>
      </c>
      <c r="Q305" s="403" t="s">
        <v>155</v>
      </c>
      <c r="R305" s="403" t="s">
        <v>7635</v>
      </c>
      <c r="S305" s="403"/>
      <c r="T305" s="403" t="s">
        <v>2887</v>
      </c>
      <c r="U305" s="403" t="s">
        <v>152</v>
      </c>
      <c r="V305" s="403" t="s">
        <v>18</v>
      </c>
    </row>
    <row r="306" spans="1:22">
      <c r="A306" s="6"/>
      <c r="B306" s="216">
        <v>46211</v>
      </c>
      <c r="C306" s="216">
        <v>46211</v>
      </c>
      <c r="D306" s="403" t="s">
        <v>7636</v>
      </c>
      <c r="E306" s="403">
        <v>260101719653</v>
      </c>
      <c r="F306" s="403" t="s">
        <v>87</v>
      </c>
      <c r="G306" s="403" t="s">
        <v>2408</v>
      </c>
      <c r="H306" s="403">
        <v>95</v>
      </c>
      <c r="I306" s="403">
        <v>243</v>
      </c>
      <c r="J306" s="374">
        <v>243</v>
      </c>
      <c r="K306" s="403">
        <v>134</v>
      </c>
      <c r="L306" s="217">
        <v>1000</v>
      </c>
      <c r="M306" s="403" t="s">
        <v>153</v>
      </c>
      <c r="N306" s="403" t="s">
        <v>149</v>
      </c>
      <c r="O306" s="403" t="s">
        <v>154</v>
      </c>
      <c r="P306" s="403" t="s">
        <v>151</v>
      </c>
      <c r="Q306" s="403" t="s">
        <v>155</v>
      </c>
      <c r="R306" s="403" t="s">
        <v>7637</v>
      </c>
      <c r="S306" s="403"/>
      <c r="T306" s="403" t="s">
        <v>2887</v>
      </c>
      <c r="U306" s="403" t="s">
        <v>152</v>
      </c>
      <c r="V306" s="403" t="s">
        <v>18</v>
      </c>
    </row>
    <row r="307" spans="1:22">
      <c r="A307" s="6"/>
      <c r="B307" s="216">
        <v>46211</v>
      </c>
      <c r="C307" s="216">
        <v>46211</v>
      </c>
      <c r="D307" s="403" t="s">
        <v>7638</v>
      </c>
      <c r="E307" s="403">
        <v>260107419666</v>
      </c>
      <c r="F307" s="403" t="s">
        <v>87</v>
      </c>
      <c r="G307" s="403" t="s">
        <v>2562</v>
      </c>
      <c r="H307" s="403">
        <v>125</v>
      </c>
      <c r="I307" s="403">
        <v>267</v>
      </c>
      <c r="J307" s="374">
        <v>267</v>
      </c>
      <c r="K307" s="403">
        <v>97</v>
      </c>
      <c r="L307" s="217">
        <v>2140</v>
      </c>
      <c r="M307" s="403" t="s">
        <v>153</v>
      </c>
      <c r="N307" s="403" t="s">
        <v>149</v>
      </c>
      <c r="O307" s="403" t="s">
        <v>154</v>
      </c>
      <c r="P307" s="403" t="s">
        <v>151</v>
      </c>
      <c r="Q307" s="403" t="s">
        <v>155</v>
      </c>
      <c r="R307" s="403" t="s">
        <v>7639</v>
      </c>
      <c r="S307" s="403"/>
      <c r="T307" s="403" t="s">
        <v>2887</v>
      </c>
      <c r="U307" s="403" t="s">
        <v>152</v>
      </c>
      <c r="V307" s="403" t="s">
        <v>18</v>
      </c>
    </row>
    <row r="308" spans="1:22">
      <c r="A308" s="6"/>
      <c r="B308" s="216">
        <v>46211</v>
      </c>
      <c r="C308" s="216">
        <v>46211</v>
      </c>
      <c r="D308" s="403" t="s">
        <v>7640</v>
      </c>
      <c r="E308" s="403">
        <v>260103319640</v>
      </c>
      <c r="F308" s="403" t="s">
        <v>87</v>
      </c>
      <c r="G308" s="403" t="s">
        <v>2409</v>
      </c>
      <c r="H308" s="403">
        <v>172</v>
      </c>
      <c r="I308" s="403">
        <v>302</v>
      </c>
      <c r="J308" s="374">
        <v>302</v>
      </c>
      <c r="K308" s="403">
        <v>97</v>
      </c>
      <c r="L308" s="217">
        <v>1900</v>
      </c>
      <c r="M308" s="403" t="s">
        <v>153</v>
      </c>
      <c r="N308" s="403" t="s">
        <v>149</v>
      </c>
      <c r="O308" s="403" t="s">
        <v>154</v>
      </c>
      <c r="P308" s="403" t="s">
        <v>151</v>
      </c>
      <c r="Q308" s="403" t="s">
        <v>155</v>
      </c>
      <c r="R308" s="403" t="s">
        <v>7641</v>
      </c>
      <c r="S308" s="403"/>
      <c r="T308" s="403" t="s">
        <v>2887</v>
      </c>
      <c r="U308" s="403" t="s">
        <v>152</v>
      </c>
      <c r="V308" s="403" t="s">
        <v>18</v>
      </c>
    </row>
    <row r="309" spans="1:22">
      <c r="A309" s="6"/>
      <c r="B309" s="216">
        <v>46211</v>
      </c>
      <c r="C309" s="216">
        <v>46211</v>
      </c>
      <c r="D309" s="403" t="s">
        <v>7642</v>
      </c>
      <c r="E309" s="403">
        <v>260100419668</v>
      </c>
      <c r="F309" s="403" t="s">
        <v>87</v>
      </c>
      <c r="G309" s="403" t="s">
        <v>7130</v>
      </c>
      <c r="H309" s="403">
        <v>182</v>
      </c>
      <c r="I309" s="403">
        <v>428</v>
      </c>
      <c r="J309" s="374">
        <v>428</v>
      </c>
      <c r="K309" s="403">
        <v>190</v>
      </c>
      <c r="L309" s="217">
        <v>625</v>
      </c>
      <c r="M309" s="403" t="s">
        <v>153</v>
      </c>
      <c r="N309" s="403" t="s">
        <v>149</v>
      </c>
      <c r="O309" s="403" t="s">
        <v>154</v>
      </c>
      <c r="P309" s="403" t="s">
        <v>151</v>
      </c>
      <c r="Q309" s="403" t="s">
        <v>155</v>
      </c>
      <c r="R309" s="403" t="s">
        <v>7643</v>
      </c>
      <c r="S309" s="403"/>
      <c r="T309" s="403" t="s">
        <v>2887</v>
      </c>
      <c r="U309" s="403" t="s">
        <v>152</v>
      </c>
      <c r="V309" s="403" t="s">
        <v>18</v>
      </c>
    </row>
    <row r="310" spans="1:22">
      <c r="A310" s="6"/>
      <c r="B310" s="216">
        <v>46211</v>
      </c>
      <c r="C310" s="216">
        <v>46211</v>
      </c>
      <c r="D310" s="403" t="s">
        <v>7644</v>
      </c>
      <c r="E310" s="403">
        <v>260105719661</v>
      </c>
      <c r="F310" s="403" t="s">
        <v>87</v>
      </c>
      <c r="G310" s="403" t="s">
        <v>2409</v>
      </c>
      <c r="H310" s="403">
        <v>152</v>
      </c>
      <c r="I310" s="403">
        <v>244</v>
      </c>
      <c r="J310" s="374">
        <v>244</v>
      </c>
      <c r="K310" s="403">
        <v>97</v>
      </c>
      <c r="L310" s="217">
        <v>1740</v>
      </c>
      <c r="M310" s="403" t="s">
        <v>153</v>
      </c>
      <c r="N310" s="403" t="s">
        <v>149</v>
      </c>
      <c r="O310" s="403" t="s">
        <v>154</v>
      </c>
      <c r="P310" s="403" t="s">
        <v>151</v>
      </c>
      <c r="Q310" s="403" t="s">
        <v>155</v>
      </c>
      <c r="R310" s="403" t="s">
        <v>7645</v>
      </c>
      <c r="S310" s="403"/>
      <c r="T310" s="403" t="s">
        <v>2887</v>
      </c>
      <c r="U310" s="403" t="s">
        <v>152</v>
      </c>
      <c r="V310" s="403" t="s">
        <v>18</v>
      </c>
    </row>
    <row r="311" spans="1:22">
      <c r="A311" s="6"/>
      <c r="B311" s="216">
        <v>46211</v>
      </c>
      <c r="C311" s="216">
        <v>46211</v>
      </c>
      <c r="D311" s="403" t="s">
        <v>7646</v>
      </c>
      <c r="E311" s="403">
        <v>260107719665</v>
      </c>
      <c r="F311" s="403" t="s">
        <v>87</v>
      </c>
      <c r="G311" s="403" t="s">
        <v>2409</v>
      </c>
      <c r="H311" s="403">
        <v>132</v>
      </c>
      <c r="I311" s="403">
        <v>284</v>
      </c>
      <c r="J311" s="374">
        <v>284</v>
      </c>
      <c r="K311" s="403">
        <v>97</v>
      </c>
      <c r="L311" s="217">
        <v>2200</v>
      </c>
      <c r="M311" s="403" t="s">
        <v>153</v>
      </c>
      <c r="N311" s="403" t="s">
        <v>149</v>
      </c>
      <c r="O311" s="403" t="s">
        <v>154</v>
      </c>
      <c r="P311" s="403" t="s">
        <v>151</v>
      </c>
      <c r="Q311" s="403" t="s">
        <v>155</v>
      </c>
      <c r="R311" s="403" t="s">
        <v>7647</v>
      </c>
      <c r="S311" s="403"/>
      <c r="T311" s="403" t="s">
        <v>2887</v>
      </c>
      <c r="U311" s="403" t="s">
        <v>152</v>
      </c>
      <c r="V311" s="403" t="s">
        <v>18</v>
      </c>
    </row>
    <row r="312" spans="1:22">
      <c r="A312" s="6"/>
      <c r="B312" s="216">
        <v>46211</v>
      </c>
      <c r="C312" s="216">
        <v>46211</v>
      </c>
      <c r="D312" s="403" t="s">
        <v>7648</v>
      </c>
      <c r="E312" s="403">
        <v>260103919637</v>
      </c>
      <c r="F312" s="403" t="s">
        <v>87</v>
      </c>
      <c r="G312" s="403" t="s">
        <v>2408</v>
      </c>
      <c r="H312" s="403">
        <v>95</v>
      </c>
      <c r="I312" s="403">
        <v>320</v>
      </c>
      <c r="J312" s="374">
        <v>320</v>
      </c>
      <c r="K312" s="403">
        <v>134</v>
      </c>
      <c r="L312" s="217">
        <v>1330</v>
      </c>
      <c r="M312" s="403" t="s">
        <v>153</v>
      </c>
      <c r="N312" s="403" t="s">
        <v>149</v>
      </c>
      <c r="O312" s="403" t="s">
        <v>154</v>
      </c>
      <c r="P312" s="403" t="s">
        <v>151</v>
      </c>
      <c r="Q312" s="403" t="s">
        <v>155</v>
      </c>
      <c r="R312" s="403" t="s">
        <v>7649</v>
      </c>
      <c r="S312" s="403"/>
      <c r="T312" s="403" t="s">
        <v>2887</v>
      </c>
      <c r="U312" s="403" t="s">
        <v>152</v>
      </c>
      <c r="V312" s="403" t="s">
        <v>18</v>
      </c>
    </row>
    <row r="313" spans="1:22">
      <c r="A313" s="6"/>
      <c r="B313" s="216">
        <v>46211</v>
      </c>
      <c r="C313" s="216">
        <v>46211</v>
      </c>
      <c r="D313" s="403" t="s">
        <v>7650</v>
      </c>
      <c r="E313" s="403">
        <v>260104019639</v>
      </c>
      <c r="F313" s="403" t="s">
        <v>87</v>
      </c>
      <c r="G313" s="403" t="s">
        <v>2563</v>
      </c>
      <c r="H313" s="403">
        <v>95</v>
      </c>
      <c r="I313" s="403">
        <v>353</v>
      </c>
      <c r="J313" s="374">
        <v>353</v>
      </c>
      <c r="K313" s="403">
        <v>134</v>
      </c>
      <c r="L313" s="217">
        <v>1440</v>
      </c>
      <c r="M313" s="403" t="s">
        <v>153</v>
      </c>
      <c r="N313" s="403" t="s">
        <v>149</v>
      </c>
      <c r="O313" s="403" t="s">
        <v>154</v>
      </c>
      <c r="P313" s="403" t="s">
        <v>151</v>
      </c>
      <c r="Q313" s="403" t="s">
        <v>155</v>
      </c>
      <c r="R313" s="403" t="s">
        <v>7651</v>
      </c>
      <c r="S313" s="403"/>
      <c r="T313" s="403" t="s">
        <v>2887</v>
      </c>
      <c r="U313" s="403" t="s">
        <v>152</v>
      </c>
      <c r="V313" s="403" t="s">
        <v>18</v>
      </c>
    </row>
    <row r="314" spans="1:22">
      <c r="A314" s="6"/>
      <c r="B314" s="216">
        <v>46211</v>
      </c>
      <c r="C314" s="216">
        <v>46211</v>
      </c>
      <c r="D314" s="403" t="s">
        <v>7652</v>
      </c>
      <c r="E314" s="403">
        <v>260102819644</v>
      </c>
      <c r="F314" s="403" t="s">
        <v>87</v>
      </c>
      <c r="G314" s="403" t="s">
        <v>2516</v>
      </c>
      <c r="H314" s="403">
        <v>95</v>
      </c>
      <c r="I314" s="403">
        <v>246</v>
      </c>
      <c r="J314" s="374">
        <v>246</v>
      </c>
      <c r="K314" s="403">
        <v>130</v>
      </c>
      <c r="L314" s="217">
        <v>1000</v>
      </c>
      <c r="M314" s="403" t="s">
        <v>153</v>
      </c>
      <c r="N314" s="403" t="s">
        <v>149</v>
      </c>
      <c r="O314" s="403" t="s">
        <v>154</v>
      </c>
      <c r="P314" s="403" t="s">
        <v>151</v>
      </c>
      <c r="Q314" s="403" t="s">
        <v>155</v>
      </c>
      <c r="R314" s="403" t="s">
        <v>7653</v>
      </c>
      <c r="S314" s="403"/>
      <c r="T314" s="403" t="s">
        <v>2889</v>
      </c>
      <c r="U314" s="403" t="s">
        <v>152</v>
      </c>
      <c r="V314" s="403" t="s">
        <v>18</v>
      </c>
    </row>
    <row r="315" spans="1:22">
      <c r="A315" s="6"/>
      <c r="B315" s="216">
        <v>46211</v>
      </c>
      <c r="C315" s="216">
        <v>46211</v>
      </c>
      <c r="D315" s="403" t="s">
        <v>7654</v>
      </c>
      <c r="E315" s="403">
        <v>260103419643</v>
      </c>
      <c r="F315" s="403" t="s">
        <v>87</v>
      </c>
      <c r="G315" s="403" t="s">
        <v>7403</v>
      </c>
      <c r="H315" s="403">
        <v>222</v>
      </c>
      <c r="I315" s="403">
        <v>208</v>
      </c>
      <c r="J315" s="374">
        <v>208</v>
      </c>
      <c r="K315" s="403">
        <v>105</v>
      </c>
      <c r="L315" s="217">
        <v>920</v>
      </c>
      <c r="M315" s="403" t="s">
        <v>153</v>
      </c>
      <c r="N315" s="403" t="s">
        <v>149</v>
      </c>
      <c r="O315" s="403" t="s">
        <v>154</v>
      </c>
      <c r="P315" s="403" t="s">
        <v>151</v>
      </c>
      <c r="Q315" s="403" t="s">
        <v>155</v>
      </c>
      <c r="R315" s="403" t="s">
        <v>7655</v>
      </c>
      <c r="S315" s="403"/>
      <c r="T315" s="403" t="s">
        <v>2889</v>
      </c>
      <c r="U315" s="403" t="s">
        <v>152</v>
      </c>
      <c r="V315" s="403" t="s">
        <v>18</v>
      </c>
    </row>
    <row r="316" spans="1:22">
      <c r="A316" s="6"/>
      <c r="B316" s="216">
        <v>46211</v>
      </c>
      <c r="C316" s="216">
        <v>46211</v>
      </c>
      <c r="D316" s="403" t="s">
        <v>7656</v>
      </c>
      <c r="E316" s="403">
        <v>260102519656</v>
      </c>
      <c r="F316" s="403" t="s">
        <v>87</v>
      </c>
      <c r="G316" s="403" t="s">
        <v>2658</v>
      </c>
      <c r="H316" s="403">
        <v>95</v>
      </c>
      <c r="I316" s="403">
        <v>237</v>
      </c>
      <c r="J316" s="374">
        <v>237</v>
      </c>
      <c r="K316" s="403">
        <v>130</v>
      </c>
      <c r="L316" s="217">
        <v>1000</v>
      </c>
      <c r="M316" s="403" t="s">
        <v>153</v>
      </c>
      <c r="N316" s="403" t="s">
        <v>149</v>
      </c>
      <c r="O316" s="403" t="s">
        <v>154</v>
      </c>
      <c r="P316" s="403" t="s">
        <v>151</v>
      </c>
      <c r="Q316" s="403" t="s">
        <v>155</v>
      </c>
      <c r="R316" s="403" t="s">
        <v>7657</v>
      </c>
      <c r="S316" s="403"/>
      <c r="T316" s="403" t="s">
        <v>2889</v>
      </c>
      <c r="U316" s="403" t="s">
        <v>152</v>
      </c>
      <c r="V316" s="403" t="s">
        <v>18</v>
      </c>
    </row>
    <row r="317" spans="1:22">
      <c r="A317" s="6"/>
      <c r="B317" s="216">
        <v>46211</v>
      </c>
      <c r="C317" s="216">
        <v>46211</v>
      </c>
      <c r="D317" s="403" t="s">
        <v>7658</v>
      </c>
      <c r="E317" s="403">
        <v>260102419676</v>
      </c>
      <c r="F317" s="403" t="s">
        <v>87</v>
      </c>
      <c r="G317" s="403" t="s">
        <v>7659</v>
      </c>
      <c r="H317" s="403">
        <v>102</v>
      </c>
      <c r="I317" s="403">
        <v>12</v>
      </c>
      <c r="J317" s="374">
        <v>12</v>
      </c>
      <c r="K317" s="403">
        <v>115</v>
      </c>
      <c r="L317" s="217">
        <v>50</v>
      </c>
      <c r="M317" s="403" t="s">
        <v>153</v>
      </c>
      <c r="N317" s="403" t="s">
        <v>149</v>
      </c>
      <c r="O317" s="403" t="s">
        <v>154</v>
      </c>
      <c r="P317" s="403" t="s">
        <v>151</v>
      </c>
      <c r="Q317" s="403" t="s">
        <v>155</v>
      </c>
      <c r="R317" s="403" t="s">
        <v>7660</v>
      </c>
      <c r="S317" s="403"/>
      <c r="T317" s="403" t="s">
        <v>2889</v>
      </c>
      <c r="U317" s="403" t="s">
        <v>152</v>
      </c>
      <c r="V317" s="403" t="s">
        <v>18</v>
      </c>
    </row>
    <row r="318" spans="1:22">
      <c r="A318" s="6"/>
      <c r="B318" s="216">
        <v>46211</v>
      </c>
      <c r="C318" s="216">
        <v>46211</v>
      </c>
      <c r="D318" s="403" t="s">
        <v>7661</v>
      </c>
      <c r="E318" s="403">
        <v>260102619655</v>
      </c>
      <c r="F318" s="403" t="s">
        <v>87</v>
      </c>
      <c r="G318" s="403" t="s">
        <v>2658</v>
      </c>
      <c r="H318" s="403">
        <v>95</v>
      </c>
      <c r="I318" s="403">
        <v>267</v>
      </c>
      <c r="J318" s="374">
        <v>267</v>
      </c>
      <c r="K318" s="403">
        <v>130</v>
      </c>
      <c r="L318" s="217">
        <v>1125</v>
      </c>
      <c r="M318" s="403" t="s">
        <v>153</v>
      </c>
      <c r="N318" s="403" t="s">
        <v>149</v>
      </c>
      <c r="O318" s="403" t="s">
        <v>154</v>
      </c>
      <c r="P318" s="403" t="s">
        <v>151</v>
      </c>
      <c r="Q318" s="403" t="s">
        <v>155</v>
      </c>
      <c r="R318" s="403" t="s">
        <v>7662</v>
      </c>
      <c r="S318" s="403"/>
      <c r="T318" s="403" t="s">
        <v>2889</v>
      </c>
      <c r="U318" s="403" t="s">
        <v>152</v>
      </c>
      <c r="V318" s="403" t="s">
        <v>18</v>
      </c>
    </row>
    <row r="319" spans="1:22">
      <c r="A319" s="6"/>
      <c r="B319" s="216">
        <v>46211</v>
      </c>
      <c r="C319" s="216">
        <v>46211</v>
      </c>
      <c r="D319" s="403" t="s">
        <v>7663</v>
      </c>
      <c r="E319" s="403">
        <v>260107619630</v>
      </c>
      <c r="F319" s="403" t="s">
        <v>87</v>
      </c>
      <c r="G319" s="403" t="s">
        <v>2652</v>
      </c>
      <c r="H319" s="403">
        <v>140</v>
      </c>
      <c r="I319" s="403">
        <v>216</v>
      </c>
      <c r="J319" s="374">
        <v>216</v>
      </c>
      <c r="K319" s="403">
        <v>88</v>
      </c>
      <c r="L319" s="217">
        <v>1800</v>
      </c>
      <c r="M319" s="403" t="s">
        <v>153</v>
      </c>
      <c r="N319" s="403" t="s">
        <v>149</v>
      </c>
      <c r="O319" s="403" t="s">
        <v>154</v>
      </c>
      <c r="P319" s="403" t="s">
        <v>151</v>
      </c>
      <c r="Q319" s="403" t="s">
        <v>155</v>
      </c>
      <c r="R319" s="403" t="s">
        <v>7664</v>
      </c>
      <c r="S319" s="403"/>
      <c r="T319" s="403" t="s">
        <v>2889</v>
      </c>
      <c r="U319" s="403" t="s">
        <v>152</v>
      </c>
      <c r="V319" s="403" t="s">
        <v>18</v>
      </c>
    </row>
    <row r="320" spans="1:22">
      <c r="A320" s="6"/>
      <c r="B320" s="216">
        <v>46211</v>
      </c>
      <c r="C320" s="216">
        <v>46211</v>
      </c>
      <c r="D320" s="403" t="s">
        <v>7665</v>
      </c>
      <c r="E320" s="403">
        <v>260101919647</v>
      </c>
      <c r="F320" s="403" t="s">
        <v>87</v>
      </c>
      <c r="G320" s="403" t="s">
        <v>2563</v>
      </c>
      <c r="H320" s="403">
        <v>95</v>
      </c>
      <c r="I320" s="403">
        <v>240</v>
      </c>
      <c r="J320" s="374">
        <v>240</v>
      </c>
      <c r="K320" s="403">
        <v>134</v>
      </c>
      <c r="L320" s="217">
        <v>1000</v>
      </c>
      <c r="M320" s="403" t="s">
        <v>153</v>
      </c>
      <c r="N320" s="403" t="s">
        <v>149</v>
      </c>
      <c r="O320" s="403" t="s">
        <v>154</v>
      </c>
      <c r="P320" s="403" t="s">
        <v>151</v>
      </c>
      <c r="Q320" s="403" t="s">
        <v>155</v>
      </c>
      <c r="R320" s="403" t="s">
        <v>7666</v>
      </c>
      <c r="S320" s="403"/>
      <c r="T320" s="403" t="s">
        <v>2889</v>
      </c>
      <c r="U320" s="403" t="s">
        <v>152</v>
      </c>
      <c r="V320" s="403" t="s">
        <v>18</v>
      </c>
    </row>
    <row r="321" spans="1:22">
      <c r="A321" s="6"/>
      <c r="B321" s="216">
        <v>46211</v>
      </c>
      <c r="C321" s="216">
        <v>46211</v>
      </c>
      <c r="D321" s="403" t="s">
        <v>7667</v>
      </c>
      <c r="E321" s="403">
        <v>260106917709</v>
      </c>
      <c r="F321" s="403" t="s">
        <v>87</v>
      </c>
      <c r="G321" s="403" t="s">
        <v>2646</v>
      </c>
      <c r="H321" s="403" t="s">
        <v>7027</v>
      </c>
      <c r="I321" s="403">
        <v>320</v>
      </c>
      <c r="J321" s="374">
        <v>320</v>
      </c>
      <c r="K321" s="403">
        <v>105</v>
      </c>
      <c r="L321" s="217">
        <v>2050</v>
      </c>
      <c r="M321" s="403" t="s">
        <v>153</v>
      </c>
      <c r="N321" s="403" t="s">
        <v>149</v>
      </c>
      <c r="O321" s="403" t="s">
        <v>154</v>
      </c>
      <c r="P321" s="403" t="s">
        <v>151</v>
      </c>
      <c r="Q321" s="403" t="s">
        <v>156</v>
      </c>
      <c r="R321" s="403" t="s">
        <v>7668</v>
      </c>
      <c r="S321" s="403"/>
      <c r="T321" s="403" t="s">
        <v>2889</v>
      </c>
      <c r="U321" s="403" t="s">
        <v>152</v>
      </c>
      <c r="V321" s="403" t="s">
        <v>20</v>
      </c>
    </row>
    <row r="322" spans="1:22">
      <c r="A322" s="6"/>
      <c r="B322" s="216">
        <v>46212</v>
      </c>
      <c r="C322" s="216">
        <v>46212</v>
      </c>
      <c r="D322" s="403" t="s">
        <v>7669</v>
      </c>
      <c r="E322" s="403">
        <v>260102919753</v>
      </c>
      <c r="F322" s="403" t="s">
        <v>87</v>
      </c>
      <c r="G322" s="403" t="s">
        <v>859</v>
      </c>
      <c r="H322" s="403">
        <v>152</v>
      </c>
      <c r="I322" s="403">
        <v>104</v>
      </c>
      <c r="J322" s="374">
        <v>104</v>
      </c>
      <c r="K322" s="403">
        <v>104</v>
      </c>
      <c r="L322" s="217">
        <v>680</v>
      </c>
      <c r="M322" s="403" t="s">
        <v>153</v>
      </c>
      <c r="N322" s="403" t="s">
        <v>149</v>
      </c>
      <c r="O322" s="403" t="s">
        <v>154</v>
      </c>
      <c r="P322" s="403" t="s">
        <v>151</v>
      </c>
      <c r="Q322" s="403" t="s">
        <v>155</v>
      </c>
      <c r="R322" s="403" t="s">
        <v>7670</v>
      </c>
      <c r="S322" s="403"/>
      <c r="T322" s="403" t="s">
        <v>2916</v>
      </c>
      <c r="U322" s="403" t="s">
        <v>152</v>
      </c>
      <c r="V322" s="403" t="s">
        <v>18</v>
      </c>
    </row>
    <row r="323" spans="1:22">
      <c r="A323" s="6"/>
      <c r="B323" s="216">
        <v>46212</v>
      </c>
      <c r="C323" s="216">
        <v>46212</v>
      </c>
      <c r="D323" s="403" t="s">
        <v>7671</v>
      </c>
      <c r="E323" s="403">
        <v>260105319752</v>
      </c>
      <c r="F323" s="403" t="s">
        <v>87</v>
      </c>
      <c r="G323" s="403" t="s">
        <v>859</v>
      </c>
      <c r="H323" s="403">
        <v>152</v>
      </c>
      <c r="I323" s="403">
        <v>294</v>
      </c>
      <c r="J323" s="374">
        <v>294</v>
      </c>
      <c r="K323" s="403">
        <v>104</v>
      </c>
      <c r="L323" s="217">
        <v>1890</v>
      </c>
      <c r="M323" s="403" t="s">
        <v>153</v>
      </c>
      <c r="N323" s="403" t="s">
        <v>149</v>
      </c>
      <c r="O323" s="403" t="s">
        <v>154</v>
      </c>
      <c r="P323" s="403" t="s">
        <v>151</v>
      </c>
      <c r="Q323" s="403" t="s">
        <v>155</v>
      </c>
      <c r="R323" s="403" t="s">
        <v>7672</v>
      </c>
      <c r="S323" s="403"/>
      <c r="T323" s="403" t="s">
        <v>2916</v>
      </c>
      <c r="U323" s="403" t="s">
        <v>152</v>
      </c>
      <c r="V323" s="403" t="s">
        <v>18</v>
      </c>
    </row>
    <row r="324" spans="1:22">
      <c r="A324" s="6"/>
      <c r="B324" s="216">
        <v>46212</v>
      </c>
      <c r="C324" s="216">
        <v>46212</v>
      </c>
      <c r="D324" s="403" t="s">
        <v>7673</v>
      </c>
      <c r="E324" s="403">
        <v>260104619751</v>
      </c>
      <c r="F324" s="403" t="s">
        <v>87</v>
      </c>
      <c r="G324" s="403" t="s">
        <v>859</v>
      </c>
      <c r="H324" s="403">
        <v>152</v>
      </c>
      <c r="I324" s="403">
        <v>242</v>
      </c>
      <c r="J324" s="374">
        <v>242</v>
      </c>
      <c r="K324" s="403">
        <v>104</v>
      </c>
      <c r="L324" s="217">
        <v>1580</v>
      </c>
      <c r="M324" s="403" t="s">
        <v>153</v>
      </c>
      <c r="N324" s="403" t="s">
        <v>149</v>
      </c>
      <c r="O324" s="403" t="s">
        <v>154</v>
      </c>
      <c r="P324" s="403" t="s">
        <v>151</v>
      </c>
      <c r="Q324" s="403" t="s">
        <v>155</v>
      </c>
      <c r="R324" s="403" t="s">
        <v>7674</v>
      </c>
      <c r="S324" s="403"/>
      <c r="T324" s="403" t="s">
        <v>2916</v>
      </c>
      <c r="U324" s="403" t="s">
        <v>152</v>
      </c>
      <c r="V324" s="403" t="s">
        <v>18</v>
      </c>
    </row>
    <row r="325" spans="1:22">
      <c r="A325" s="6"/>
      <c r="B325" s="216">
        <v>46212</v>
      </c>
      <c r="C325" s="216">
        <v>46212</v>
      </c>
      <c r="D325" s="403" t="s">
        <v>7675</v>
      </c>
      <c r="E325" s="403">
        <v>260102919754</v>
      </c>
      <c r="F325" s="403" t="s">
        <v>87</v>
      </c>
      <c r="G325" s="403" t="s">
        <v>859</v>
      </c>
      <c r="H325" s="403">
        <v>152</v>
      </c>
      <c r="I325" s="403">
        <v>105</v>
      </c>
      <c r="J325" s="374">
        <v>105</v>
      </c>
      <c r="K325" s="403">
        <v>104</v>
      </c>
      <c r="L325" s="217">
        <v>680</v>
      </c>
      <c r="M325" s="403" t="s">
        <v>153</v>
      </c>
      <c r="N325" s="403" t="s">
        <v>149</v>
      </c>
      <c r="O325" s="403" t="s">
        <v>154</v>
      </c>
      <c r="P325" s="403" t="s">
        <v>151</v>
      </c>
      <c r="Q325" s="403" t="s">
        <v>155</v>
      </c>
      <c r="R325" s="403" t="s">
        <v>7676</v>
      </c>
      <c r="S325" s="403"/>
      <c r="T325" s="403" t="s">
        <v>2916</v>
      </c>
      <c r="U325" s="403" t="s">
        <v>152</v>
      </c>
      <c r="V325" s="403" t="s">
        <v>18</v>
      </c>
    </row>
    <row r="326" spans="1:22">
      <c r="A326" s="6"/>
      <c r="B326" s="216">
        <v>46212</v>
      </c>
      <c r="C326" s="216">
        <v>46212</v>
      </c>
      <c r="D326" s="403" t="s">
        <v>7677</v>
      </c>
      <c r="E326" s="403">
        <v>260104019705</v>
      </c>
      <c r="F326" s="403" t="s">
        <v>87</v>
      </c>
      <c r="G326" s="403" t="s">
        <v>2563</v>
      </c>
      <c r="H326" s="403">
        <v>95</v>
      </c>
      <c r="I326" s="403">
        <v>252</v>
      </c>
      <c r="J326" s="374">
        <v>252</v>
      </c>
      <c r="K326" s="403">
        <v>134</v>
      </c>
      <c r="L326" s="217">
        <v>1020</v>
      </c>
      <c r="M326" s="403" t="s">
        <v>153</v>
      </c>
      <c r="N326" s="403" t="s">
        <v>149</v>
      </c>
      <c r="O326" s="403" t="s">
        <v>154</v>
      </c>
      <c r="P326" s="403" t="s">
        <v>151</v>
      </c>
      <c r="Q326" s="403" t="s">
        <v>155</v>
      </c>
      <c r="R326" s="403" t="s">
        <v>7678</v>
      </c>
      <c r="S326" s="403"/>
      <c r="T326" s="403" t="s">
        <v>2918</v>
      </c>
      <c r="U326" s="403" t="s">
        <v>152</v>
      </c>
      <c r="V326" s="403" t="s">
        <v>18</v>
      </c>
    </row>
    <row r="327" spans="1:22">
      <c r="A327" s="6"/>
      <c r="B327" s="216">
        <v>46212</v>
      </c>
      <c r="C327" s="216">
        <v>46212</v>
      </c>
      <c r="D327" s="403" t="s">
        <v>7679</v>
      </c>
      <c r="E327" s="403">
        <v>260102719709</v>
      </c>
      <c r="F327" s="403" t="s">
        <v>87</v>
      </c>
      <c r="G327" s="403" t="s">
        <v>2516</v>
      </c>
      <c r="H327" s="403">
        <v>95</v>
      </c>
      <c r="I327" s="403">
        <v>245</v>
      </c>
      <c r="J327" s="374">
        <v>245</v>
      </c>
      <c r="K327" s="403">
        <v>130</v>
      </c>
      <c r="L327" s="217">
        <v>1000</v>
      </c>
      <c r="M327" s="403" t="s">
        <v>153</v>
      </c>
      <c r="N327" s="403" t="s">
        <v>149</v>
      </c>
      <c r="O327" s="403" t="s">
        <v>154</v>
      </c>
      <c r="P327" s="403" t="s">
        <v>151</v>
      </c>
      <c r="Q327" s="403" t="s">
        <v>155</v>
      </c>
      <c r="R327" s="403" t="s">
        <v>7680</v>
      </c>
      <c r="S327" s="403"/>
      <c r="T327" s="403" t="s">
        <v>2918</v>
      </c>
      <c r="U327" s="403" t="s">
        <v>152</v>
      </c>
      <c r="V327" s="403" t="s">
        <v>18</v>
      </c>
    </row>
    <row r="328" spans="1:22">
      <c r="A328" s="6"/>
      <c r="B328" s="216">
        <v>46212</v>
      </c>
      <c r="C328" s="216">
        <v>46212</v>
      </c>
      <c r="D328" s="403" t="s">
        <v>7681</v>
      </c>
      <c r="E328" s="403">
        <v>260101719712</v>
      </c>
      <c r="F328" s="403" t="s">
        <v>87</v>
      </c>
      <c r="G328" s="403" t="s">
        <v>2408</v>
      </c>
      <c r="H328" s="403">
        <v>95</v>
      </c>
      <c r="I328" s="403">
        <v>247</v>
      </c>
      <c r="J328" s="374">
        <v>247</v>
      </c>
      <c r="K328" s="403">
        <v>134</v>
      </c>
      <c r="L328" s="217">
        <v>1000</v>
      </c>
      <c r="M328" s="403" t="s">
        <v>153</v>
      </c>
      <c r="N328" s="403" t="s">
        <v>149</v>
      </c>
      <c r="O328" s="403" t="s">
        <v>154</v>
      </c>
      <c r="P328" s="403" t="s">
        <v>151</v>
      </c>
      <c r="Q328" s="403" t="s">
        <v>155</v>
      </c>
      <c r="R328" s="403" t="s">
        <v>7682</v>
      </c>
      <c r="S328" s="403"/>
      <c r="T328" s="403" t="s">
        <v>2918</v>
      </c>
      <c r="U328" s="403" t="s">
        <v>152</v>
      </c>
      <c r="V328" s="403" t="s">
        <v>18</v>
      </c>
    </row>
    <row r="329" spans="1:22">
      <c r="A329" s="6"/>
      <c r="B329" s="216">
        <v>46212</v>
      </c>
      <c r="C329" s="216">
        <v>46212</v>
      </c>
      <c r="D329" s="403" t="s">
        <v>7683</v>
      </c>
      <c r="E329" s="403">
        <v>260100419738</v>
      </c>
      <c r="F329" s="403" t="s">
        <v>87</v>
      </c>
      <c r="G329" s="403" t="s">
        <v>7130</v>
      </c>
      <c r="H329" s="403">
        <v>182</v>
      </c>
      <c r="I329" s="403">
        <v>404</v>
      </c>
      <c r="J329" s="374">
        <v>404</v>
      </c>
      <c r="K329" s="403">
        <v>190</v>
      </c>
      <c r="L329" s="217">
        <v>600</v>
      </c>
      <c r="M329" s="403" t="s">
        <v>153</v>
      </c>
      <c r="N329" s="403" t="s">
        <v>149</v>
      </c>
      <c r="O329" s="403" t="s">
        <v>154</v>
      </c>
      <c r="P329" s="403" t="s">
        <v>151</v>
      </c>
      <c r="Q329" s="403" t="s">
        <v>155</v>
      </c>
      <c r="R329" s="403" t="s">
        <v>7684</v>
      </c>
      <c r="S329" s="403"/>
      <c r="T329" s="403" t="s">
        <v>2918</v>
      </c>
      <c r="U329" s="403" t="s">
        <v>152</v>
      </c>
      <c r="V329" s="403" t="s">
        <v>18</v>
      </c>
    </row>
    <row r="330" spans="1:22">
      <c r="A330" s="6"/>
      <c r="B330" s="216">
        <v>46212</v>
      </c>
      <c r="C330" s="216">
        <v>46212</v>
      </c>
      <c r="D330" s="403" t="s">
        <v>7685</v>
      </c>
      <c r="E330" s="403">
        <v>260102519744</v>
      </c>
      <c r="F330" s="403" t="s">
        <v>87</v>
      </c>
      <c r="G330" s="403" t="s">
        <v>2658</v>
      </c>
      <c r="H330" s="403">
        <v>95</v>
      </c>
      <c r="I330" s="403">
        <v>94</v>
      </c>
      <c r="J330" s="374">
        <v>94</v>
      </c>
      <c r="K330" s="403">
        <v>130</v>
      </c>
      <c r="L330" s="217">
        <v>390</v>
      </c>
      <c r="M330" s="403" t="s">
        <v>153</v>
      </c>
      <c r="N330" s="403" t="s">
        <v>149</v>
      </c>
      <c r="O330" s="403" t="s">
        <v>154</v>
      </c>
      <c r="P330" s="403" t="s">
        <v>151</v>
      </c>
      <c r="Q330" s="403" t="s">
        <v>155</v>
      </c>
      <c r="R330" s="403" t="s">
        <v>7686</v>
      </c>
      <c r="S330" s="403"/>
      <c r="T330" s="403" t="s">
        <v>2918</v>
      </c>
      <c r="U330" s="403" t="s">
        <v>152</v>
      </c>
      <c r="V330" s="403" t="s">
        <v>18</v>
      </c>
    </row>
    <row r="331" spans="1:22">
      <c r="A331" s="6"/>
      <c r="B331" s="216">
        <v>46212</v>
      </c>
      <c r="C331" s="216">
        <v>46212</v>
      </c>
      <c r="D331" s="403" t="s">
        <v>7687</v>
      </c>
      <c r="E331" s="403">
        <v>260105319707</v>
      </c>
      <c r="F331" s="403" t="s">
        <v>87</v>
      </c>
      <c r="G331" s="403" t="s">
        <v>2555</v>
      </c>
      <c r="H331" s="403">
        <v>152</v>
      </c>
      <c r="I331" s="403">
        <v>280</v>
      </c>
      <c r="J331" s="374">
        <v>280</v>
      </c>
      <c r="K331" s="403">
        <v>104</v>
      </c>
      <c r="L331" s="217">
        <v>1830</v>
      </c>
      <c r="M331" s="403" t="s">
        <v>153</v>
      </c>
      <c r="N331" s="403" t="s">
        <v>149</v>
      </c>
      <c r="O331" s="403" t="s">
        <v>154</v>
      </c>
      <c r="P331" s="403" t="s">
        <v>151</v>
      </c>
      <c r="Q331" s="403" t="s">
        <v>155</v>
      </c>
      <c r="R331" s="403" t="s">
        <v>7688</v>
      </c>
      <c r="S331" s="403"/>
      <c r="T331" s="403" t="s">
        <v>2918</v>
      </c>
      <c r="U331" s="403" t="s">
        <v>152</v>
      </c>
      <c r="V331" s="403" t="s">
        <v>18</v>
      </c>
    </row>
    <row r="332" spans="1:22">
      <c r="A332" s="6"/>
      <c r="B332" s="216">
        <v>46212</v>
      </c>
      <c r="C332" s="216">
        <v>46212</v>
      </c>
      <c r="D332" s="403" t="s">
        <v>7689</v>
      </c>
      <c r="E332" s="403">
        <v>260101619710</v>
      </c>
      <c r="F332" s="403" t="s">
        <v>87</v>
      </c>
      <c r="G332" s="403" t="s">
        <v>2642</v>
      </c>
      <c r="H332" s="403">
        <v>112</v>
      </c>
      <c r="I332" s="403">
        <v>353</v>
      </c>
      <c r="J332" s="374">
        <v>353</v>
      </c>
      <c r="K332" s="403">
        <v>160</v>
      </c>
      <c r="L332" s="217">
        <v>1000</v>
      </c>
      <c r="M332" s="403" t="s">
        <v>153</v>
      </c>
      <c r="N332" s="403" t="s">
        <v>149</v>
      </c>
      <c r="O332" s="403" t="s">
        <v>154</v>
      </c>
      <c r="P332" s="403" t="s">
        <v>151</v>
      </c>
      <c r="Q332" s="403" t="s">
        <v>155</v>
      </c>
      <c r="R332" s="403" t="s">
        <v>7690</v>
      </c>
      <c r="S332" s="403"/>
      <c r="T332" s="403" t="s">
        <v>2918</v>
      </c>
      <c r="U332" s="403" t="s">
        <v>152</v>
      </c>
      <c r="V332" s="403" t="s">
        <v>18</v>
      </c>
    </row>
    <row r="333" spans="1:22">
      <c r="A333" s="6"/>
      <c r="B333" s="216">
        <v>46212</v>
      </c>
      <c r="C333" s="216">
        <v>46212</v>
      </c>
      <c r="D333" s="403" t="s">
        <v>7691</v>
      </c>
      <c r="E333" s="403">
        <v>260102719719</v>
      </c>
      <c r="F333" s="403" t="s">
        <v>87</v>
      </c>
      <c r="G333" s="403" t="s">
        <v>2516</v>
      </c>
      <c r="H333" s="403">
        <v>95</v>
      </c>
      <c r="I333" s="403">
        <v>244</v>
      </c>
      <c r="J333" s="374">
        <v>244</v>
      </c>
      <c r="K333" s="403">
        <v>130</v>
      </c>
      <c r="L333" s="217">
        <v>1000</v>
      </c>
      <c r="M333" s="403" t="s">
        <v>153</v>
      </c>
      <c r="N333" s="403" t="s">
        <v>149</v>
      </c>
      <c r="O333" s="403" t="s">
        <v>154</v>
      </c>
      <c r="P333" s="403" t="s">
        <v>151</v>
      </c>
      <c r="Q333" s="403" t="s">
        <v>155</v>
      </c>
      <c r="R333" s="403" t="s">
        <v>7692</v>
      </c>
      <c r="S333" s="403"/>
      <c r="T333" s="403" t="s">
        <v>2918</v>
      </c>
      <c r="U333" s="403" t="s">
        <v>152</v>
      </c>
      <c r="V333" s="403" t="s">
        <v>18</v>
      </c>
    </row>
    <row r="334" spans="1:22">
      <c r="A334" s="6"/>
      <c r="B334" s="216">
        <v>46212</v>
      </c>
      <c r="C334" s="216">
        <v>46212</v>
      </c>
      <c r="D334" s="403" t="s">
        <v>7693</v>
      </c>
      <c r="E334" s="403">
        <v>260102019720</v>
      </c>
      <c r="F334" s="403" t="s">
        <v>87</v>
      </c>
      <c r="G334" s="403" t="s">
        <v>2563</v>
      </c>
      <c r="H334" s="403">
        <v>95</v>
      </c>
      <c r="I334" s="403">
        <v>247</v>
      </c>
      <c r="J334" s="374">
        <v>247</v>
      </c>
      <c r="K334" s="403">
        <v>134</v>
      </c>
      <c r="L334" s="217">
        <v>1000</v>
      </c>
      <c r="M334" s="403" t="s">
        <v>153</v>
      </c>
      <c r="N334" s="403" t="s">
        <v>149</v>
      </c>
      <c r="O334" s="403" t="s">
        <v>154</v>
      </c>
      <c r="P334" s="403" t="s">
        <v>151</v>
      </c>
      <c r="Q334" s="403" t="s">
        <v>155</v>
      </c>
      <c r="R334" s="403" t="s">
        <v>7694</v>
      </c>
      <c r="S334" s="403"/>
      <c r="T334" s="403" t="s">
        <v>2918</v>
      </c>
      <c r="U334" s="403" t="s">
        <v>152</v>
      </c>
      <c r="V334" s="403" t="s">
        <v>18</v>
      </c>
    </row>
    <row r="335" spans="1:22">
      <c r="A335" s="6"/>
      <c r="B335" s="216">
        <v>46212</v>
      </c>
      <c r="C335" s="216">
        <v>46212</v>
      </c>
      <c r="D335" s="403" t="s">
        <v>7695</v>
      </c>
      <c r="E335" s="403">
        <v>260103919726</v>
      </c>
      <c r="F335" s="403" t="s">
        <v>87</v>
      </c>
      <c r="G335" s="403" t="s">
        <v>2408</v>
      </c>
      <c r="H335" s="403">
        <v>95</v>
      </c>
      <c r="I335" s="403">
        <v>387</v>
      </c>
      <c r="J335" s="374">
        <v>387</v>
      </c>
      <c r="K335" s="403">
        <v>134</v>
      </c>
      <c r="L335" s="217">
        <v>1565</v>
      </c>
      <c r="M335" s="403" t="s">
        <v>153</v>
      </c>
      <c r="N335" s="403" t="s">
        <v>149</v>
      </c>
      <c r="O335" s="403" t="s">
        <v>154</v>
      </c>
      <c r="P335" s="403" t="s">
        <v>151</v>
      </c>
      <c r="Q335" s="403" t="s">
        <v>155</v>
      </c>
      <c r="R335" s="403" t="s">
        <v>7696</v>
      </c>
      <c r="S335" s="403"/>
      <c r="T335" s="403" t="s">
        <v>2918</v>
      </c>
      <c r="U335" s="403" t="s">
        <v>152</v>
      </c>
      <c r="V335" s="403" t="s">
        <v>18</v>
      </c>
    </row>
    <row r="336" spans="1:22">
      <c r="A336" s="6"/>
      <c r="B336" s="216">
        <v>46212</v>
      </c>
      <c r="C336" s="216">
        <v>46212</v>
      </c>
      <c r="D336" s="403" t="s">
        <v>7697</v>
      </c>
      <c r="E336" s="403">
        <v>260102619711</v>
      </c>
      <c r="F336" s="403" t="s">
        <v>87</v>
      </c>
      <c r="G336" s="403" t="s">
        <v>2658</v>
      </c>
      <c r="H336" s="403">
        <v>95</v>
      </c>
      <c r="I336" s="403">
        <v>233</v>
      </c>
      <c r="J336" s="374">
        <v>233</v>
      </c>
      <c r="K336" s="403">
        <v>130</v>
      </c>
      <c r="L336" s="217">
        <v>1000</v>
      </c>
      <c r="M336" s="403" t="s">
        <v>153</v>
      </c>
      <c r="N336" s="403" t="s">
        <v>149</v>
      </c>
      <c r="O336" s="403" t="s">
        <v>154</v>
      </c>
      <c r="P336" s="403" t="s">
        <v>151</v>
      </c>
      <c r="Q336" s="403" t="s">
        <v>155</v>
      </c>
      <c r="R336" s="403" t="s">
        <v>7698</v>
      </c>
      <c r="S336" s="403"/>
      <c r="T336" s="403" t="s">
        <v>2918</v>
      </c>
      <c r="U336" s="403" t="s">
        <v>152</v>
      </c>
      <c r="V336" s="403" t="s">
        <v>18</v>
      </c>
    </row>
    <row r="337" spans="1:22">
      <c r="A337" s="6"/>
      <c r="B337" s="216">
        <v>46212</v>
      </c>
      <c r="C337" s="216">
        <v>46212</v>
      </c>
      <c r="D337" s="403" t="s">
        <v>7699</v>
      </c>
      <c r="E337" s="403">
        <v>260101819713</v>
      </c>
      <c r="F337" s="403" t="s">
        <v>87</v>
      </c>
      <c r="G337" s="403" t="s">
        <v>2408</v>
      </c>
      <c r="H337" s="403">
        <v>95</v>
      </c>
      <c r="I337" s="403">
        <v>251</v>
      </c>
      <c r="J337" s="374">
        <v>251</v>
      </c>
      <c r="K337" s="403">
        <v>134</v>
      </c>
      <c r="L337" s="217">
        <v>1020</v>
      </c>
      <c r="M337" s="403" t="s">
        <v>153</v>
      </c>
      <c r="N337" s="403" t="s">
        <v>149</v>
      </c>
      <c r="O337" s="403" t="s">
        <v>154</v>
      </c>
      <c r="P337" s="403" t="s">
        <v>151</v>
      </c>
      <c r="Q337" s="403" t="s">
        <v>155</v>
      </c>
      <c r="R337" s="403" t="s">
        <v>7700</v>
      </c>
      <c r="S337" s="403"/>
      <c r="T337" s="403" t="s">
        <v>2918</v>
      </c>
      <c r="U337" s="403" t="s">
        <v>152</v>
      </c>
      <c r="V337" s="403" t="s">
        <v>18</v>
      </c>
    </row>
    <row r="338" spans="1:22">
      <c r="A338" s="6"/>
      <c r="B338" s="216">
        <v>46212</v>
      </c>
      <c r="C338" s="216">
        <v>46212</v>
      </c>
      <c r="D338" s="403" t="s">
        <v>7701</v>
      </c>
      <c r="E338" s="403">
        <v>260107619737</v>
      </c>
      <c r="F338" s="403" t="s">
        <v>87</v>
      </c>
      <c r="G338" s="403" t="s">
        <v>2652</v>
      </c>
      <c r="H338" s="403">
        <v>140</v>
      </c>
      <c r="I338" s="403">
        <v>262</v>
      </c>
      <c r="J338" s="374">
        <v>262</v>
      </c>
      <c r="K338" s="403">
        <v>88</v>
      </c>
      <c r="L338" s="217">
        <v>2205</v>
      </c>
      <c r="M338" s="403" t="s">
        <v>153</v>
      </c>
      <c r="N338" s="403" t="s">
        <v>149</v>
      </c>
      <c r="O338" s="403" t="s">
        <v>154</v>
      </c>
      <c r="P338" s="403" t="s">
        <v>151</v>
      </c>
      <c r="Q338" s="403" t="s">
        <v>155</v>
      </c>
      <c r="R338" s="403" t="s">
        <v>7702</v>
      </c>
      <c r="S338" s="403"/>
      <c r="T338" s="403" t="s">
        <v>2918</v>
      </c>
      <c r="U338" s="403" t="s">
        <v>152</v>
      </c>
      <c r="V338" s="403" t="s">
        <v>18</v>
      </c>
    </row>
    <row r="339" spans="1:22">
      <c r="A339" s="6"/>
      <c r="B339" s="216">
        <v>46212</v>
      </c>
      <c r="C339" s="216">
        <v>46212</v>
      </c>
      <c r="D339" s="403" t="s">
        <v>7703</v>
      </c>
      <c r="E339" s="403">
        <v>260102819708</v>
      </c>
      <c r="F339" s="403" t="s">
        <v>87</v>
      </c>
      <c r="G339" s="403" t="s">
        <v>2516</v>
      </c>
      <c r="H339" s="403">
        <v>95</v>
      </c>
      <c r="I339" s="403">
        <v>294</v>
      </c>
      <c r="J339" s="374">
        <v>294</v>
      </c>
      <c r="K339" s="403">
        <v>130</v>
      </c>
      <c r="L339" s="217">
        <v>1250</v>
      </c>
      <c r="M339" s="403" t="s">
        <v>153</v>
      </c>
      <c r="N339" s="403" t="s">
        <v>149</v>
      </c>
      <c r="O339" s="403" t="s">
        <v>154</v>
      </c>
      <c r="P339" s="403" t="s">
        <v>151</v>
      </c>
      <c r="Q339" s="403" t="s">
        <v>155</v>
      </c>
      <c r="R339" s="403" t="s">
        <v>7704</v>
      </c>
      <c r="S339" s="403"/>
      <c r="T339" s="403" t="s">
        <v>2918</v>
      </c>
      <c r="U339" s="403" t="s">
        <v>152</v>
      </c>
      <c r="V339" s="403" t="s">
        <v>18</v>
      </c>
    </row>
    <row r="340" spans="1:22">
      <c r="A340" s="6"/>
      <c r="B340" s="216">
        <v>46212</v>
      </c>
      <c r="C340" s="216">
        <v>46212</v>
      </c>
      <c r="D340" s="403" t="s">
        <v>7705</v>
      </c>
      <c r="E340" s="403">
        <v>260102019714</v>
      </c>
      <c r="F340" s="403" t="s">
        <v>87</v>
      </c>
      <c r="G340" s="403" t="s">
        <v>2563</v>
      </c>
      <c r="H340" s="403">
        <v>95</v>
      </c>
      <c r="I340" s="403">
        <v>259</v>
      </c>
      <c r="J340" s="374">
        <v>259</v>
      </c>
      <c r="K340" s="403">
        <v>134</v>
      </c>
      <c r="L340" s="217">
        <v>1075</v>
      </c>
      <c r="M340" s="403" t="s">
        <v>153</v>
      </c>
      <c r="N340" s="403" t="s">
        <v>149</v>
      </c>
      <c r="O340" s="403" t="s">
        <v>154</v>
      </c>
      <c r="P340" s="403" t="s">
        <v>151</v>
      </c>
      <c r="Q340" s="403" t="s">
        <v>155</v>
      </c>
      <c r="R340" s="403" t="s">
        <v>7706</v>
      </c>
      <c r="S340" s="403"/>
      <c r="T340" s="403" t="s">
        <v>2918</v>
      </c>
      <c r="U340" s="403" t="s">
        <v>152</v>
      </c>
      <c r="V340" s="403" t="s">
        <v>18</v>
      </c>
    </row>
    <row r="341" spans="1:22">
      <c r="A341" s="6"/>
      <c r="B341" s="216">
        <v>46212</v>
      </c>
      <c r="C341" s="216">
        <v>46212</v>
      </c>
      <c r="D341" s="403" t="s">
        <v>7707</v>
      </c>
      <c r="E341" s="403">
        <v>260101919715</v>
      </c>
      <c r="F341" s="403" t="s">
        <v>87</v>
      </c>
      <c r="G341" s="403" t="s">
        <v>2563</v>
      </c>
      <c r="H341" s="403">
        <v>95</v>
      </c>
      <c r="I341" s="403">
        <v>265</v>
      </c>
      <c r="J341" s="374">
        <v>265</v>
      </c>
      <c r="K341" s="403">
        <v>134</v>
      </c>
      <c r="L341" s="217">
        <v>1100</v>
      </c>
      <c r="M341" s="403" t="s">
        <v>153</v>
      </c>
      <c r="N341" s="403" t="s">
        <v>149</v>
      </c>
      <c r="O341" s="403" t="s">
        <v>154</v>
      </c>
      <c r="P341" s="403" t="s">
        <v>151</v>
      </c>
      <c r="Q341" s="403" t="s">
        <v>155</v>
      </c>
      <c r="R341" s="403" t="s">
        <v>7708</v>
      </c>
      <c r="S341" s="403"/>
      <c r="T341" s="403" t="s">
        <v>2918</v>
      </c>
      <c r="U341" s="403" t="s">
        <v>152</v>
      </c>
      <c r="V341" s="403" t="s">
        <v>18</v>
      </c>
    </row>
    <row r="342" spans="1:22">
      <c r="A342" s="6"/>
      <c r="B342" s="216">
        <v>46212</v>
      </c>
      <c r="C342" s="216">
        <v>46212</v>
      </c>
      <c r="D342" s="403" t="s">
        <v>7709</v>
      </c>
      <c r="E342" s="403">
        <v>260102819718</v>
      </c>
      <c r="F342" s="403" t="s">
        <v>87</v>
      </c>
      <c r="G342" s="403" t="s">
        <v>2516</v>
      </c>
      <c r="H342" s="403">
        <v>95</v>
      </c>
      <c r="I342" s="403">
        <v>245</v>
      </c>
      <c r="J342" s="374">
        <v>245</v>
      </c>
      <c r="K342" s="403">
        <v>130</v>
      </c>
      <c r="L342" s="217">
        <v>1000</v>
      </c>
      <c r="M342" s="403" t="s">
        <v>153</v>
      </c>
      <c r="N342" s="403" t="s">
        <v>149</v>
      </c>
      <c r="O342" s="403" t="s">
        <v>154</v>
      </c>
      <c r="P342" s="403" t="s">
        <v>151</v>
      </c>
      <c r="Q342" s="403" t="s">
        <v>155</v>
      </c>
      <c r="R342" s="403" t="s">
        <v>7710</v>
      </c>
      <c r="S342" s="403"/>
      <c r="T342" s="403" t="s">
        <v>2918</v>
      </c>
      <c r="U342" s="403" t="s">
        <v>152</v>
      </c>
      <c r="V342" s="403" t="s">
        <v>18</v>
      </c>
    </row>
    <row r="343" spans="1:22">
      <c r="A343" s="6"/>
      <c r="B343" s="216">
        <v>46212</v>
      </c>
      <c r="C343" s="216">
        <v>46212</v>
      </c>
      <c r="D343" s="403" t="s">
        <v>7711</v>
      </c>
      <c r="E343" s="403">
        <v>260105019734</v>
      </c>
      <c r="F343" s="403" t="s">
        <v>87</v>
      </c>
      <c r="G343" s="403" t="s">
        <v>2409</v>
      </c>
      <c r="H343" s="403">
        <v>142</v>
      </c>
      <c r="I343" s="403">
        <v>330</v>
      </c>
      <c r="J343" s="374">
        <v>330</v>
      </c>
      <c r="K343" s="403">
        <v>97</v>
      </c>
      <c r="L343" s="217">
        <v>2445</v>
      </c>
      <c r="M343" s="403" t="s">
        <v>153</v>
      </c>
      <c r="N343" s="403" t="s">
        <v>149</v>
      </c>
      <c r="O343" s="403" t="s">
        <v>154</v>
      </c>
      <c r="P343" s="403" t="s">
        <v>151</v>
      </c>
      <c r="Q343" s="403" t="s">
        <v>155</v>
      </c>
      <c r="R343" s="403" t="s">
        <v>7712</v>
      </c>
      <c r="S343" s="403"/>
      <c r="T343" s="403" t="s">
        <v>2918</v>
      </c>
      <c r="U343" s="403" t="s">
        <v>152</v>
      </c>
      <c r="V343" s="403" t="s">
        <v>18</v>
      </c>
    </row>
    <row r="344" spans="1:22">
      <c r="A344" s="6"/>
      <c r="B344" s="216">
        <v>46212</v>
      </c>
      <c r="C344" s="216">
        <v>46212</v>
      </c>
      <c r="D344" s="403" t="s">
        <v>7713</v>
      </c>
      <c r="E344" s="403">
        <v>260107819736</v>
      </c>
      <c r="F344" s="403" t="s">
        <v>87</v>
      </c>
      <c r="G344" s="403" t="s">
        <v>2425</v>
      </c>
      <c r="H344" s="403">
        <v>132</v>
      </c>
      <c r="I344" s="403">
        <v>303</v>
      </c>
      <c r="J344" s="374">
        <v>303</v>
      </c>
      <c r="K344" s="403">
        <v>92</v>
      </c>
      <c r="L344" s="217">
        <v>2560</v>
      </c>
      <c r="M344" s="403" t="s">
        <v>153</v>
      </c>
      <c r="N344" s="403" t="s">
        <v>149</v>
      </c>
      <c r="O344" s="403" t="s">
        <v>154</v>
      </c>
      <c r="P344" s="403" t="s">
        <v>151</v>
      </c>
      <c r="Q344" s="403" t="s">
        <v>155</v>
      </c>
      <c r="R344" s="403" t="s">
        <v>7714</v>
      </c>
      <c r="S344" s="403"/>
      <c r="T344" s="403" t="s">
        <v>2918</v>
      </c>
      <c r="U344" s="403" t="s">
        <v>152</v>
      </c>
      <c r="V344" s="403" t="s">
        <v>18</v>
      </c>
    </row>
    <row r="345" spans="1:22">
      <c r="A345" s="6"/>
      <c r="B345" s="216">
        <v>46212</v>
      </c>
      <c r="C345" s="216">
        <v>46212</v>
      </c>
      <c r="D345" s="403" t="s">
        <v>7715</v>
      </c>
      <c r="E345" s="403">
        <v>260106819702</v>
      </c>
      <c r="F345" s="403" t="s">
        <v>87</v>
      </c>
      <c r="G345" s="403" t="s">
        <v>2425</v>
      </c>
      <c r="H345" s="403">
        <v>132</v>
      </c>
      <c r="I345" s="403">
        <v>239</v>
      </c>
      <c r="J345" s="374">
        <v>239</v>
      </c>
      <c r="K345" s="403">
        <v>92</v>
      </c>
      <c r="L345" s="217">
        <v>2050</v>
      </c>
      <c r="M345" s="403" t="s">
        <v>153</v>
      </c>
      <c r="N345" s="403" t="s">
        <v>149</v>
      </c>
      <c r="O345" s="403" t="s">
        <v>154</v>
      </c>
      <c r="P345" s="403" t="s">
        <v>151</v>
      </c>
      <c r="Q345" s="403" t="s">
        <v>155</v>
      </c>
      <c r="R345" s="403" t="s">
        <v>7716</v>
      </c>
      <c r="S345" s="403"/>
      <c r="T345" s="403" t="s">
        <v>2918</v>
      </c>
      <c r="U345" s="403" t="s">
        <v>152</v>
      </c>
      <c r="V345" s="403" t="s">
        <v>18</v>
      </c>
    </row>
    <row r="346" spans="1:22">
      <c r="A346" s="6"/>
      <c r="B346" s="216">
        <v>46212</v>
      </c>
      <c r="C346" s="216">
        <v>46212</v>
      </c>
      <c r="D346" s="403" t="s">
        <v>7717</v>
      </c>
      <c r="E346" s="403">
        <v>260102919725</v>
      </c>
      <c r="F346" s="403" t="s">
        <v>87</v>
      </c>
      <c r="G346" s="403" t="s">
        <v>859</v>
      </c>
      <c r="H346" s="403">
        <v>152</v>
      </c>
      <c r="I346" s="403">
        <v>240</v>
      </c>
      <c r="J346" s="374">
        <v>240</v>
      </c>
      <c r="K346" s="403">
        <v>104</v>
      </c>
      <c r="L346" s="217">
        <v>1600</v>
      </c>
      <c r="M346" s="403" t="s">
        <v>153</v>
      </c>
      <c r="N346" s="403" t="s">
        <v>149</v>
      </c>
      <c r="O346" s="403" t="s">
        <v>154</v>
      </c>
      <c r="P346" s="403" t="s">
        <v>151</v>
      </c>
      <c r="Q346" s="403" t="s">
        <v>155</v>
      </c>
      <c r="R346" s="403" t="s">
        <v>7718</v>
      </c>
      <c r="S346" s="403"/>
      <c r="T346" s="403" t="s">
        <v>2918</v>
      </c>
      <c r="U346" s="403" t="s">
        <v>152</v>
      </c>
      <c r="V346" s="403" t="s">
        <v>18</v>
      </c>
    </row>
    <row r="347" spans="1:22">
      <c r="A347" s="6"/>
      <c r="B347" s="216">
        <v>46212</v>
      </c>
      <c r="C347" s="216">
        <v>46212</v>
      </c>
      <c r="D347" s="403" t="s">
        <v>7719</v>
      </c>
      <c r="E347" s="403">
        <v>260103319729</v>
      </c>
      <c r="F347" s="403" t="s">
        <v>87</v>
      </c>
      <c r="G347" s="403" t="s">
        <v>2409</v>
      </c>
      <c r="H347" s="403">
        <v>172</v>
      </c>
      <c r="I347" s="403">
        <v>232</v>
      </c>
      <c r="J347" s="374">
        <v>232</v>
      </c>
      <c r="K347" s="403">
        <v>97</v>
      </c>
      <c r="L347" s="217">
        <v>1455</v>
      </c>
      <c r="M347" s="403" t="s">
        <v>153</v>
      </c>
      <c r="N347" s="403" t="s">
        <v>149</v>
      </c>
      <c r="O347" s="403" t="s">
        <v>154</v>
      </c>
      <c r="P347" s="403" t="s">
        <v>151</v>
      </c>
      <c r="Q347" s="403" t="s">
        <v>155</v>
      </c>
      <c r="R347" s="403" t="s">
        <v>7720</v>
      </c>
      <c r="S347" s="403"/>
      <c r="T347" s="403" t="s">
        <v>2918</v>
      </c>
      <c r="U347" s="403" t="s">
        <v>152</v>
      </c>
      <c r="V347" s="403" t="s">
        <v>18</v>
      </c>
    </row>
    <row r="348" spans="1:22">
      <c r="A348" s="6"/>
      <c r="B348" s="216">
        <v>46212</v>
      </c>
      <c r="C348" s="216">
        <v>46212</v>
      </c>
      <c r="D348" s="403" t="s">
        <v>7721</v>
      </c>
      <c r="E348" s="403">
        <v>260105719733</v>
      </c>
      <c r="F348" s="403" t="s">
        <v>87</v>
      </c>
      <c r="G348" s="403" t="s">
        <v>2409</v>
      </c>
      <c r="H348" s="403">
        <v>152</v>
      </c>
      <c r="I348" s="403">
        <v>249</v>
      </c>
      <c r="J348" s="374">
        <v>249</v>
      </c>
      <c r="K348" s="403">
        <v>97</v>
      </c>
      <c r="L348" s="217">
        <v>1790</v>
      </c>
      <c r="M348" s="403" t="s">
        <v>153</v>
      </c>
      <c r="N348" s="403" t="s">
        <v>149</v>
      </c>
      <c r="O348" s="403" t="s">
        <v>154</v>
      </c>
      <c r="P348" s="403" t="s">
        <v>151</v>
      </c>
      <c r="Q348" s="403" t="s">
        <v>155</v>
      </c>
      <c r="R348" s="403" t="s">
        <v>7722</v>
      </c>
      <c r="S348" s="403"/>
      <c r="T348" s="403" t="s">
        <v>2918</v>
      </c>
      <c r="U348" s="403" t="s">
        <v>152</v>
      </c>
      <c r="V348" s="403" t="s">
        <v>18</v>
      </c>
    </row>
    <row r="349" spans="1:22">
      <c r="A349" s="6"/>
      <c r="B349" s="216">
        <v>46212</v>
      </c>
      <c r="C349" s="216">
        <v>46212</v>
      </c>
      <c r="D349" s="403" t="s">
        <v>7723</v>
      </c>
      <c r="E349" s="403">
        <v>260103719727</v>
      </c>
      <c r="F349" s="403" t="s">
        <v>87</v>
      </c>
      <c r="G349" s="403" t="s">
        <v>2563</v>
      </c>
      <c r="H349" s="403">
        <v>95</v>
      </c>
      <c r="I349" s="403">
        <v>372</v>
      </c>
      <c r="J349" s="374">
        <v>372</v>
      </c>
      <c r="K349" s="403">
        <v>134</v>
      </c>
      <c r="L349" s="217">
        <v>1510</v>
      </c>
      <c r="M349" s="403" t="s">
        <v>153</v>
      </c>
      <c r="N349" s="403" t="s">
        <v>149</v>
      </c>
      <c r="O349" s="403" t="s">
        <v>154</v>
      </c>
      <c r="P349" s="403" t="s">
        <v>151</v>
      </c>
      <c r="Q349" s="403" t="s">
        <v>155</v>
      </c>
      <c r="R349" s="403" t="s">
        <v>7724</v>
      </c>
      <c r="S349" s="403"/>
      <c r="T349" s="403" t="s">
        <v>2918</v>
      </c>
      <c r="U349" s="403" t="s">
        <v>152</v>
      </c>
      <c r="V349" s="403" t="s">
        <v>18</v>
      </c>
    </row>
    <row r="350" spans="1:22">
      <c r="A350" s="6"/>
      <c r="B350" s="216">
        <v>46212</v>
      </c>
      <c r="C350" s="216">
        <v>46212</v>
      </c>
      <c r="D350" s="403" t="s">
        <v>7725</v>
      </c>
      <c r="E350" s="403">
        <v>260100719699</v>
      </c>
      <c r="F350" s="403" t="s">
        <v>87</v>
      </c>
      <c r="G350" s="403" t="s">
        <v>7197</v>
      </c>
      <c r="H350" s="403">
        <v>182</v>
      </c>
      <c r="I350" s="403">
        <v>398</v>
      </c>
      <c r="J350" s="374">
        <v>398</v>
      </c>
      <c r="K350" s="403">
        <v>150</v>
      </c>
      <c r="L350" s="217">
        <v>770</v>
      </c>
      <c r="M350" s="403" t="s">
        <v>153</v>
      </c>
      <c r="N350" s="403" t="s">
        <v>149</v>
      </c>
      <c r="O350" s="403" t="s">
        <v>154</v>
      </c>
      <c r="P350" s="403" t="s">
        <v>151</v>
      </c>
      <c r="Q350" s="403" t="s">
        <v>155</v>
      </c>
      <c r="R350" s="403" t="s">
        <v>7726</v>
      </c>
      <c r="S350" s="403"/>
      <c r="T350" s="403" t="s">
        <v>2918</v>
      </c>
      <c r="U350" s="403" t="s">
        <v>152</v>
      </c>
      <c r="V350" s="403" t="s">
        <v>18</v>
      </c>
    </row>
    <row r="351" spans="1:22">
      <c r="A351" s="6"/>
      <c r="B351" s="216">
        <v>46212</v>
      </c>
      <c r="C351" s="216">
        <v>46212</v>
      </c>
      <c r="D351" s="403" t="s">
        <v>7727</v>
      </c>
      <c r="E351" s="403">
        <v>260101819721</v>
      </c>
      <c r="F351" s="403" t="s">
        <v>87</v>
      </c>
      <c r="G351" s="403" t="s">
        <v>2408</v>
      </c>
      <c r="H351" s="403">
        <v>95</v>
      </c>
      <c r="I351" s="403">
        <v>250</v>
      </c>
      <c r="J351" s="374">
        <v>250</v>
      </c>
      <c r="K351" s="403">
        <v>134</v>
      </c>
      <c r="L351" s="217">
        <v>1000</v>
      </c>
      <c r="M351" s="403" t="s">
        <v>153</v>
      </c>
      <c r="N351" s="403" t="s">
        <v>149</v>
      </c>
      <c r="O351" s="403" t="s">
        <v>154</v>
      </c>
      <c r="P351" s="403" t="s">
        <v>151</v>
      </c>
      <c r="Q351" s="403" t="s">
        <v>155</v>
      </c>
      <c r="R351" s="403" t="s">
        <v>7728</v>
      </c>
      <c r="S351" s="403"/>
      <c r="T351" s="403" t="s">
        <v>2918</v>
      </c>
      <c r="U351" s="403" t="s">
        <v>152</v>
      </c>
      <c r="V351" s="403" t="s">
        <v>18</v>
      </c>
    </row>
    <row r="352" spans="1:22">
      <c r="A352" s="6"/>
      <c r="B352" s="216">
        <v>46212</v>
      </c>
      <c r="C352" s="216">
        <v>46212</v>
      </c>
      <c r="D352" s="403" t="s">
        <v>7729</v>
      </c>
      <c r="E352" s="403">
        <v>260103319728</v>
      </c>
      <c r="F352" s="403" t="s">
        <v>87</v>
      </c>
      <c r="G352" s="403" t="s">
        <v>2409</v>
      </c>
      <c r="H352" s="403">
        <v>172</v>
      </c>
      <c r="I352" s="403">
        <v>234</v>
      </c>
      <c r="J352" s="374">
        <v>234</v>
      </c>
      <c r="K352" s="403">
        <v>97</v>
      </c>
      <c r="L352" s="217">
        <v>1455</v>
      </c>
      <c r="M352" s="403" t="s">
        <v>153</v>
      </c>
      <c r="N352" s="403" t="s">
        <v>149</v>
      </c>
      <c r="O352" s="403" t="s">
        <v>154</v>
      </c>
      <c r="P352" s="403" t="s">
        <v>151</v>
      </c>
      <c r="Q352" s="403" t="s">
        <v>155</v>
      </c>
      <c r="R352" s="403" t="s">
        <v>7730</v>
      </c>
      <c r="S352" s="403"/>
      <c r="T352" s="403" t="s">
        <v>2918</v>
      </c>
      <c r="U352" s="403" t="s">
        <v>152</v>
      </c>
      <c r="V352" s="403" t="s">
        <v>18</v>
      </c>
    </row>
    <row r="353" spans="1:22">
      <c r="A353" s="6"/>
      <c r="B353" s="216">
        <v>46212</v>
      </c>
      <c r="C353" s="216">
        <v>46212</v>
      </c>
      <c r="D353" s="403" t="s">
        <v>7731</v>
      </c>
      <c r="E353" s="403">
        <v>260105719283</v>
      </c>
      <c r="F353" s="403" t="s">
        <v>87</v>
      </c>
      <c r="G353" s="403" t="s">
        <v>2409</v>
      </c>
      <c r="H353" s="403">
        <v>152</v>
      </c>
      <c r="I353" s="403">
        <v>240</v>
      </c>
      <c r="J353" s="374">
        <v>240</v>
      </c>
      <c r="K353" s="403">
        <v>97</v>
      </c>
      <c r="L353" s="217">
        <v>1715</v>
      </c>
      <c r="M353" s="403" t="s">
        <v>153</v>
      </c>
      <c r="N353" s="403" t="s">
        <v>149</v>
      </c>
      <c r="O353" s="403" t="s">
        <v>154</v>
      </c>
      <c r="P353" s="403" t="s">
        <v>151</v>
      </c>
      <c r="Q353" s="403" t="s">
        <v>155</v>
      </c>
      <c r="R353" s="403" t="s">
        <v>7732</v>
      </c>
      <c r="S353" s="403"/>
      <c r="T353" s="403" t="s">
        <v>2920</v>
      </c>
      <c r="U353" s="403" t="s">
        <v>152</v>
      </c>
      <c r="V353" s="403" t="s">
        <v>18</v>
      </c>
    </row>
    <row r="354" spans="1:22">
      <c r="A354" s="6"/>
      <c r="B354" s="216">
        <v>46212</v>
      </c>
      <c r="C354" s="216">
        <v>46212</v>
      </c>
      <c r="D354" s="403" t="s">
        <v>7733</v>
      </c>
      <c r="E354" s="403">
        <v>260103317553</v>
      </c>
      <c r="F354" s="403" t="s">
        <v>87</v>
      </c>
      <c r="G354" s="403" t="s">
        <v>2564</v>
      </c>
      <c r="H354" s="403">
        <v>162</v>
      </c>
      <c r="I354" s="403">
        <v>235</v>
      </c>
      <c r="J354" s="374">
        <v>235</v>
      </c>
      <c r="K354" s="403">
        <v>96</v>
      </c>
      <c r="L354" s="217">
        <v>1630</v>
      </c>
      <c r="M354" s="403" t="s">
        <v>153</v>
      </c>
      <c r="N354" s="403" t="s">
        <v>149</v>
      </c>
      <c r="O354" s="403" t="s">
        <v>154</v>
      </c>
      <c r="P354" s="403" t="s">
        <v>151</v>
      </c>
      <c r="Q354" s="403" t="s">
        <v>155</v>
      </c>
      <c r="R354" s="403" t="s">
        <v>7734</v>
      </c>
      <c r="S354" s="403"/>
      <c r="T354" s="403" t="s">
        <v>2920</v>
      </c>
      <c r="U354" s="403" t="s">
        <v>152</v>
      </c>
      <c r="V354" s="403" t="s">
        <v>18</v>
      </c>
    </row>
    <row r="355" spans="1:22">
      <c r="A355" s="6"/>
      <c r="B355" s="216">
        <v>46212</v>
      </c>
      <c r="C355" s="216">
        <v>46212</v>
      </c>
      <c r="D355" s="403" t="s">
        <v>7735</v>
      </c>
      <c r="E355" s="403">
        <v>260105019044</v>
      </c>
      <c r="F355" s="403" t="s">
        <v>87</v>
      </c>
      <c r="G355" s="403" t="s">
        <v>2409</v>
      </c>
      <c r="H355" s="403">
        <v>142</v>
      </c>
      <c r="I355" s="403">
        <v>183</v>
      </c>
      <c r="J355" s="374">
        <v>183</v>
      </c>
      <c r="K355" s="403">
        <v>97</v>
      </c>
      <c r="L355" s="217">
        <v>1350</v>
      </c>
      <c r="M355" s="403" t="s">
        <v>153</v>
      </c>
      <c r="N355" s="403" t="s">
        <v>149</v>
      </c>
      <c r="O355" s="403" t="s">
        <v>154</v>
      </c>
      <c r="P355" s="403" t="s">
        <v>151</v>
      </c>
      <c r="Q355" s="403" t="s">
        <v>155</v>
      </c>
      <c r="R355" s="403" t="s">
        <v>7736</v>
      </c>
      <c r="S355" s="403"/>
      <c r="T355" s="403" t="s">
        <v>2920</v>
      </c>
      <c r="U355" s="403" t="s">
        <v>152</v>
      </c>
      <c r="V355" s="403" t="s">
        <v>18</v>
      </c>
    </row>
    <row r="356" spans="1:22">
      <c r="A356" s="6"/>
      <c r="B356" s="216">
        <v>46212</v>
      </c>
      <c r="C356" s="216">
        <v>46212</v>
      </c>
      <c r="D356" s="403" t="s">
        <v>7737</v>
      </c>
      <c r="E356" s="403">
        <v>260102919724</v>
      </c>
      <c r="F356" s="403" t="s">
        <v>87</v>
      </c>
      <c r="G356" s="403" t="s">
        <v>859</v>
      </c>
      <c r="H356" s="403">
        <v>152</v>
      </c>
      <c r="I356" s="403">
        <v>245</v>
      </c>
      <c r="J356" s="374">
        <v>245</v>
      </c>
      <c r="K356" s="403">
        <v>104</v>
      </c>
      <c r="L356" s="217">
        <v>1600</v>
      </c>
      <c r="M356" s="403" t="s">
        <v>153</v>
      </c>
      <c r="N356" s="403" t="s">
        <v>149</v>
      </c>
      <c r="O356" s="403" t="s">
        <v>154</v>
      </c>
      <c r="P356" s="403" t="s">
        <v>151</v>
      </c>
      <c r="Q356" s="403" t="s">
        <v>155</v>
      </c>
      <c r="R356" s="403" t="s">
        <v>7738</v>
      </c>
      <c r="S356" s="403"/>
      <c r="T356" s="403" t="s">
        <v>2920</v>
      </c>
      <c r="U356" s="403" t="s">
        <v>152</v>
      </c>
      <c r="V356" s="403" t="s">
        <v>18</v>
      </c>
    </row>
    <row r="357" spans="1:22">
      <c r="A357" s="6"/>
      <c r="B357" s="216">
        <v>46212</v>
      </c>
      <c r="C357" s="216">
        <v>46212</v>
      </c>
      <c r="D357" s="403" t="s">
        <v>7739</v>
      </c>
      <c r="E357" s="403">
        <v>260103317552</v>
      </c>
      <c r="F357" s="403" t="s">
        <v>87</v>
      </c>
      <c r="G357" s="403" t="s">
        <v>2564</v>
      </c>
      <c r="H357" s="403">
        <v>162</v>
      </c>
      <c r="I357" s="403">
        <v>235</v>
      </c>
      <c r="J357" s="374">
        <v>235</v>
      </c>
      <c r="K357" s="403">
        <v>96</v>
      </c>
      <c r="L357" s="217">
        <v>1630</v>
      </c>
      <c r="M357" s="403" t="s">
        <v>153</v>
      </c>
      <c r="N357" s="403" t="s">
        <v>149</v>
      </c>
      <c r="O357" s="403" t="s">
        <v>154</v>
      </c>
      <c r="P357" s="403" t="s">
        <v>151</v>
      </c>
      <c r="Q357" s="403" t="s">
        <v>155</v>
      </c>
      <c r="R357" s="403" t="s">
        <v>7740</v>
      </c>
      <c r="S357" s="403"/>
      <c r="T357" s="403" t="s">
        <v>2920</v>
      </c>
      <c r="U357" s="403" t="s">
        <v>152</v>
      </c>
      <c r="V357" s="403" t="s">
        <v>18</v>
      </c>
    </row>
    <row r="358" spans="1:22">
      <c r="A358" s="6"/>
      <c r="B358" s="216">
        <v>46212</v>
      </c>
      <c r="C358" s="216">
        <v>46212</v>
      </c>
      <c r="D358" s="403" t="s">
        <v>7741</v>
      </c>
      <c r="E358" s="403">
        <v>260105019207</v>
      </c>
      <c r="F358" s="403" t="s">
        <v>87</v>
      </c>
      <c r="G358" s="403" t="s">
        <v>2409</v>
      </c>
      <c r="H358" s="403">
        <v>142</v>
      </c>
      <c r="I358" s="403">
        <v>264</v>
      </c>
      <c r="J358" s="374">
        <v>264</v>
      </c>
      <c r="K358" s="403">
        <v>97</v>
      </c>
      <c r="L358" s="217">
        <v>2030</v>
      </c>
      <c r="M358" s="403" t="s">
        <v>153</v>
      </c>
      <c r="N358" s="403" t="s">
        <v>149</v>
      </c>
      <c r="O358" s="403" t="s">
        <v>154</v>
      </c>
      <c r="P358" s="403" t="s">
        <v>151</v>
      </c>
      <c r="Q358" s="403" t="s">
        <v>155</v>
      </c>
      <c r="R358" s="403" t="s">
        <v>7742</v>
      </c>
      <c r="S358" s="403"/>
      <c r="T358" s="403" t="s">
        <v>2920</v>
      </c>
      <c r="U358" s="403" t="s">
        <v>152</v>
      </c>
      <c r="V358" s="403" t="s">
        <v>18</v>
      </c>
    </row>
    <row r="359" spans="1:22">
      <c r="A359" s="6"/>
      <c r="B359" s="216">
        <v>46212</v>
      </c>
      <c r="C359" s="216">
        <v>46212</v>
      </c>
      <c r="D359" s="403" t="s">
        <v>7743</v>
      </c>
      <c r="E359" s="403">
        <v>260101519717</v>
      </c>
      <c r="F359" s="403" t="s">
        <v>87</v>
      </c>
      <c r="G359" s="403" t="s">
        <v>2120</v>
      </c>
      <c r="H359" s="403">
        <v>92</v>
      </c>
      <c r="I359" s="403">
        <v>391</v>
      </c>
      <c r="J359" s="374">
        <v>391</v>
      </c>
      <c r="K359" s="403">
        <v>180</v>
      </c>
      <c r="L359" s="217">
        <v>1220</v>
      </c>
      <c r="M359" s="403" t="s">
        <v>153</v>
      </c>
      <c r="N359" s="403" t="s">
        <v>149</v>
      </c>
      <c r="O359" s="403" t="s">
        <v>154</v>
      </c>
      <c r="P359" s="403" t="s">
        <v>151</v>
      </c>
      <c r="Q359" s="403" t="s">
        <v>155</v>
      </c>
      <c r="R359" s="403" t="s">
        <v>7744</v>
      </c>
      <c r="S359" s="403"/>
      <c r="T359" s="403" t="s">
        <v>2920</v>
      </c>
      <c r="U359" s="403" t="s">
        <v>152</v>
      </c>
      <c r="V359" s="403" t="s">
        <v>18</v>
      </c>
    </row>
    <row r="360" spans="1:22">
      <c r="A360" s="6"/>
      <c r="B360" s="216">
        <v>46212</v>
      </c>
      <c r="C360" s="216">
        <v>46212</v>
      </c>
      <c r="D360" s="403" t="s">
        <v>7745</v>
      </c>
      <c r="E360" s="403">
        <v>260101319618</v>
      </c>
      <c r="F360" s="403" t="s">
        <v>87</v>
      </c>
      <c r="G360" s="403" t="s">
        <v>7026</v>
      </c>
      <c r="H360" s="403" t="s">
        <v>7027</v>
      </c>
      <c r="I360" s="403">
        <v>614</v>
      </c>
      <c r="J360" s="374">
        <v>614</v>
      </c>
      <c r="K360" s="403">
        <v>190</v>
      </c>
      <c r="L360" s="217">
        <v>1040</v>
      </c>
      <c r="M360" s="403" t="s">
        <v>153</v>
      </c>
      <c r="N360" s="403" t="s">
        <v>149</v>
      </c>
      <c r="O360" s="403" t="s">
        <v>154</v>
      </c>
      <c r="P360" s="403" t="s">
        <v>151</v>
      </c>
      <c r="Q360" s="403" t="s">
        <v>156</v>
      </c>
      <c r="R360" s="403" t="s">
        <v>7746</v>
      </c>
      <c r="S360" s="403"/>
      <c r="T360" s="403" t="s">
        <v>2920</v>
      </c>
      <c r="U360" s="403" t="s">
        <v>152</v>
      </c>
      <c r="V360" s="403" t="s">
        <v>20</v>
      </c>
    </row>
    <row r="361" spans="1:22">
      <c r="A361" s="6"/>
      <c r="B361" s="216">
        <v>46213</v>
      </c>
      <c r="C361" s="216">
        <v>46213</v>
      </c>
      <c r="D361" s="403" t="s">
        <v>7747</v>
      </c>
      <c r="E361" s="403" t="s">
        <v>7748</v>
      </c>
      <c r="F361" s="403" t="s">
        <v>87</v>
      </c>
      <c r="G361" s="403" t="s">
        <v>2517</v>
      </c>
      <c r="H361" s="403">
        <v>92</v>
      </c>
      <c r="I361" s="403">
        <v>155</v>
      </c>
      <c r="J361" s="374">
        <v>155</v>
      </c>
      <c r="K361" s="403">
        <v>125</v>
      </c>
      <c r="L361" s="217">
        <v>625</v>
      </c>
      <c r="M361" s="403" t="s">
        <v>153</v>
      </c>
      <c r="N361" s="403" t="s">
        <v>149</v>
      </c>
      <c r="O361" s="403" t="s">
        <v>154</v>
      </c>
      <c r="P361" s="403" t="s">
        <v>151</v>
      </c>
      <c r="Q361" s="403" t="s">
        <v>155</v>
      </c>
      <c r="R361" s="403" t="s">
        <v>7749</v>
      </c>
      <c r="S361" s="403"/>
      <c r="T361" s="403" t="s">
        <v>2940</v>
      </c>
      <c r="U361" s="403" t="s">
        <v>152</v>
      </c>
      <c r="V361" s="403" t="s">
        <v>18</v>
      </c>
    </row>
    <row r="362" spans="1:22">
      <c r="A362" s="6"/>
      <c r="B362" s="216">
        <v>46213</v>
      </c>
      <c r="C362" s="216">
        <v>46213</v>
      </c>
      <c r="D362" s="403" t="s">
        <v>7750</v>
      </c>
      <c r="E362" s="403" t="s">
        <v>7751</v>
      </c>
      <c r="F362" s="403" t="s">
        <v>87</v>
      </c>
      <c r="G362" s="403" t="s">
        <v>2517</v>
      </c>
      <c r="H362" s="403">
        <v>92</v>
      </c>
      <c r="I362" s="403">
        <v>215</v>
      </c>
      <c r="J362" s="374">
        <v>215</v>
      </c>
      <c r="K362" s="403">
        <v>125</v>
      </c>
      <c r="L362" s="217">
        <v>925</v>
      </c>
      <c r="M362" s="403" t="s">
        <v>153</v>
      </c>
      <c r="N362" s="403" t="s">
        <v>149</v>
      </c>
      <c r="O362" s="403" t="s">
        <v>154</v>
      </c>
      <c r="P362" s="403" t="s">
        <v>151</v>
      </c>
      <c r="Q362" s="403" t="s">
        <v>155</v>
      </c>
      <c r="R362" s="403" t="s">
        <v>7752</v>
      </c>
      <c r="S362" s="403"/>
      <c r="T362" s="403" t="s">
        <v>2940</v>
      </c>
      <c r="U362" s="403" t="s">
        <v>152</v>
      </c>
      <c r="V362" s="403" t="s">
        <v>18</v>
      </c>
    </row>
    <row r="363" spans="1:22">
      <c r="A363" s="6"/>
      <c r="B363" s="216">
        <v>46213</v>
      </c>
      <c r="C363" s="216">
        <v>46213</v>
      </c>
      <c r="D363" s="403" t="s">
        <v>7753</v>
      </c>
      <c r="E363" s="403" t="s">
        <v>7754</v>
      </c>
      <c r="F363" s="403" t="s">
        <v>87</v>
      </c>
      <c r="G363" s="403" t="s">
        <v>2517</v>
      </c>
      <c r="H363" s="403">
        <v>92</v>
      </c>
      <c r="I363" s="403">
        <v>310</v>
      </c>
      <c r="J363" s="374">
        <v>310</v>
      </c>
      <c r="K363" s="403">
        <v>125</v>
      </c>
      <c r="L363" s="217">
        <v>1255</v>
      </c>
      <c r="M363" s="403" t="s">
        <v>153</v>
      </c>
      <c r="N363" s="403" t="s">
        <v>149</v>
      </c>
      <c r="O363" s="403" t="s">
        <v>154</v>
      </c>
      <c r="P363" s="403" t="s">
        <v>151</v>
      </c>
      <c r="Q363" s="403" t="s">
        <v>155</v>
      </c>
      <c r="R363" s="403" t="s">
        <v>7755</v>
      </c>
      <c r="S363" s="403"/>
      <c r="T363" s="403" t="s">
        <v>2940</v>
      </c>
      <c r="U363" s="403" t="s">
        <v>152</v>
      </c>
      <c r="V363" s="403" t="s">
        <v>18</v>
      </c>
    </row>
    <row r="364" spans="1:22">
      <c r="A364" s="6"/>
      <c r="B364" s="216">
        <v>46213</v>
      </c>
      <c r="C364" s="216">
        <v>46213</v>
      </c>
      <c r="D364" s="403" t="s">
        <v>7756</v>
      </c>
      <c r="E364" s="403" t="s">
        <v>7757</v>
      </c>
      <c r="F364" s="403" t="s">
        <v>87</v>
      </c>
      <c r="G364" s="403" t="s">
        <v>2517</v>
      </c>
      <c r="H364" s="403">
        <v>92</v>
      </c>
      <c r="I364" s="403">
        <v>264</v>
      </c>
      <c r="J364" s="374">
        <v>264</v>
      </c>
      <c r="K364" s="403">
        <v>125</v>
      </c>
      <c r="L364" s="217">
        <v>1086</v>
      </c>
      <c r="M364" s="403" t="s">
        <v>153</v>
      </c>
      <c r="N364" s="403" t="s">
        <v>149</v>
      </c>
      <c r="O364" s="403" t="s">
        <v>154</v>
      </c>
      <c r="P364" s="403" t="s">
        <v>151</v>
      </c>
      <c r="Q364" s="403" t="s">
        <v>155</v>
      </c>
      <c r="R364" s="403" t="s">
        <v>7758</v>
      </c>
      <c r="S364" s="403"/>
      <c r="T364" s="403" t="s">
        <v>2940</v>
      </c>
      <c r="U364" s="403" t="s">
        <v>152</v>
      </c>
      <c r="V364" s="403" t="s">
        <v>18</v>
      </c>
    </row>
    <row r="365" spans="1:22">
      <c r="A365" s="6"/>
      <c r="B365" s="216">
        <v>46213</v>
      </c>
      <c r="C365" s="216">
        <v>46213</v>
      </c>
      <c r="D365" s="403" t="s">
        <v>7759</v>
      </c>
      <c r="E365" s="403" t="s">
        <v>7760</v>
      </c>
      <c r="F365" s="403" t="s">
        <v>87</v>
      </c>
      <c r="G365" s="403" t="s">
        <v>2517</v>
      </c>
      <c r="H365" s="403">
        <v>92</v>
      </c>
      <c r="I365" s="403">
        <v>254</v>
      </c>
      <c r="J365" s="374">
        <v>254</v>
      </c>
      <c r="K365" s="403">
        <v>125</v>
      </c>
      <c r="L365" s="217">
        <v>1077</v>
      </c>
      <c r="M365" s="403" t="s">
        <v>153</v>
      </c>
      <c r="N365" s="403" t="s">
        <v>149</v>
      </c>
      <c r="O365" s="403" t="s">
        <v>154</v>
      </c>
      <c r="P365" s="403" t="s">
        <v>151</v>
      </c>
      <c r="Q365" s="403" t="s">
        <v>155</v>
      </c>
      <c r="R365" s="403" t="s">
        <v>7761</v>
      </c>
      <c r="S365" s="403"/>
      <c r="T365" s="403" t="s">
        <v>2940</v>
      </c>
      <c r="U365" s="403" t="s">
        <v>152</v>
      </c>
      <c r="V365" s="403" t="s">
        <v>18</v>
      </c>
    </row>
    <row r="366" spans="1:22">
      <c r="A366" s="6"/>
      <c r="B366" s="216">
        <v>46213</v>
      </c>
      <c r="C366" s="216">
        <v>46213</v>
      </c>
      <c r="D366" s="403" t="s">
        <v>7762</v>
      </c>
      <c r="E366" s="403" t="s">
        <v>7763</v>
      </c>
      <c r="F366" s="403" t="s">
        <v>87</v>
      </c>
      <c r="G366" s="403" t="s">
        <v>2517</v>
      </c>
      <c r="H366" s="403">
        <v>92</v>
      </c>
      <c r="I366" s="403">
        <v>155</v>
      </c>
      <c r="J366" s="374">
        <v>155</v>
      </c>
      <c r="K366" s="403">
        <v>125</v>
      </c>
      <c r="L366" s="217">
        <v>674</v>
      </c>
      <c r="M366" s="403" t="s">
        <v>153</v>
      </c>
      <c r="N366" s="403" t="s">
        <v>149</v>
      </c>
      <c r="O366" s="403" t="s">
        <v>154</v>
      </c>
      <c r="P366" s="403" t="s">
        <v>151</v>
      </c>
      <c r="Q366" s="403" t="s">
        <v>155</v>
      </c>
      <c r="R366" s="403" t="s">
        <v>7764</v>
      </c>
      <c r="S366" s="403"/>
      <c r="T366" s="403" t="s">
        <v>2940</v>
      </c>
      <c r="U366" s="403" t="s">
        <v>152</v>
      </c>
      <c r="V366" s="403" t="s">
        <v>18</v>
      </c>
    </row>
    <row r="367" spans="1:22">
      <c r="A367" s="6"/>
      <c r="B367" s="216">
        <v>46213</v>
      </c>
      <c r="C367" s="216">
        <v>46213</v>
      </c>
      <c r="D367" s="403" t="s">
        <v>7765</v>
      </c>
      <c r="E367" s="403">
        <v>260102519776</v>
      </c>
      <c r="F367" s="403" t="s">
        <v>87</v>
      </c>
      <c r="G367" s="403" t="s">
        <v>7766</v>
      </c>
      <c r="H367" s="403">
        <v>112</v>
      </c>
      <c r="I367" s="403">
        <v>230</v>
      </c>
      <c r="J367" s="374">
        <v>230</v>
      </c>
      <c r="K367" s="403">
        <v>104</v>
      </c>
      <c r="L367" s="217">
        <v>1000</v>
      </c>
      <c r="M367" s="403" t="s">
        <v>153</v>
      </c>
      <c r="N367" s="403" t="s">
        <v>149</v>
      </c>
      <c r="O367" s="403" t="s">
        <v>154</v>
      </c>
      <c r="P367" s="403" t="s">
        <v>151</v>
      </c>
      <c r="Q367" s="403" t="s">
        <v>155</v>
      </c>
      <c r="R367" s="403" t="s">
        <v>7767</v>
      </c>
      <c r="S367" s="403"/>
      <c r="T367" s="403" t="s">
        <v>2944</v>
      </c>
      <c r="U367" s="403" t="s">
        <v>152</v>
      </c>
      <c r="V367" s="403" t="s">
        <v>18</v>
      </c>
    </row>
    <row r="368" spans="1:22">
      <c r="A368" s="6"/>
      <c r="B368" s="216">
        <v>46213</v>
      </c>
      <c r="C368" s="216">
        <v>46213</v>
      </c>
      <c r="D368" s="403" t="s">
        <v>7768</v>
      </c>
      <c r="E368" s="403">
        <v>260103319794</v>
      </c>
      <c r="F368" s="403" t="s">
        <v>87</v>
      </c>
      <c r="G368" s="403" t="s">
        <v>2310</v>
      </c>
      <c r="H368" s="403">
        <v>172</v>
      </c>
      <c r="I368" s="403">
        <v>230</v>
      </c>
      <c r="J368" s="374">
        <v>230</v>
      </c>
      <c r="K368" s="403">
        <v>87</v>
      </c>
      <c r="L368" s="217">
        <v>1550</v>
      </c>
      <c r="M368" s="403" t="s">
        <v>153</v>
      </c>
      <c r="N368" s="403" t="s">
        <v>149</v>
      </c>
      <c r="O368" s="403" t="s">
        <v>154</v>
      </c>
      <c r="P368" s="403" t="s">
        <v>151</v>
      </c>
      <c r="Q368" s="403" t="s">
        <v>155</v>
      </c>
      <c r="R368" s="403" t="s">
        <v>7769</v>
      </c>
      <c r="S368" s="403"/>
      <c r="T368" s="403" t="s">
        <v>2944</v>
      </c>
      <c r="U368" s="403" t="s">
        <v>152</v>
      </c>
      <c r="V368" s="403" t="s">
        <v>18</v>
      </c>
    </row>
    <row r="369" spans="1:22">
      <c r="A369" s="6"/>
      <c r="B369" s="216">
        <v>46213</v>
      </c>
      <c r="C369" s="216">
        <v>46213</v>
      </c>
      <c r="D369" s="403" t="s">
        <v>7770</v>
      </c>
      <c r="E369" s="403">
        <v>260101719777</v>
      </c>
      <c r="F369" s="403" t="s">
        <v>87</v>
      </c>
      <c r="G369" s="403" t="s">
        <v>2408</v>
      </c>
      <c r="H369" s="403">
        <v>95</v>
      </c>
      <c r="I369" s="403">
        <v>271</v>
      </c>
      <c r="J369" s="374">
        <v>271</v>
      </c>
      <c r="K369" s="403">
        <v>134</v>
      </c>
      <c r="L369" s="217">
        <v>1080</v>
      </c>
      <c r="M369" s="403" t="s">
        <v>153</v>
      </c>
      <c r="N369" s="403" t="s">
        <v>149</v>
      </c>
      <c r="O369" s="403" t="s">
        <v>154</v>
      </c>
      <c r="P369" s="403" t="s">
        <v>151</v>
      </c>
      <c r="Q369" s="403" t="s">
        <v>155</v>
      </c>
      <c r="R369" s="403" t="s">
        <v>7771</v>
      </c>
      <c r="S369" s="403"/>
      <c r="T369" s="403" t="s">
        <v>2944</v>
      </c>
      <c r="U369" s="403" t="s">
        <v>152</v>
      </c>
      <c r="V369" s="403" t="s">
        <v>18</v>
      </c>
    </row>
    <row r="370" spans="1:22">
      <c r="A370" s="6"/>
      <c r="B370" s="216">
        <v>46213</v>
      </c>
      <c r="C370" s="216">
        <v>46213</v>
      </c>
      <c r="D370" s="403" t="s">
        <v>7772</v>
      </c>
      <c r="E370" s="403">
        <v>260102619786</v>
      </c>
      <c r="F370" s="403" t="s">
        <v>87</v>
      </c>
      <c r="G370" s="403" t="s">
        <v>2658</v>
      </c>
      <c r="H370" s="403">
        <v>95</v>
      </c>
      <c r="I370" s="403">
        <v>252</v>
      </c>
      <c r="J370" s="374">
        <v>252</v>
      </c>
      <c r="K370" s="403">
        <v>130</v>
      </c>
      <c r="L370" s="217">
        <v>1060</v>
      </c>
      <c r="M370" s="403" t="s">
        <v>153</v>
      </c>
      <c r="N370" s="403" t="s">
        <v>149</v>
      </c>
      <c r="O370" s="403" t="s">
        <v>154</v>
      </c>
      <c r="P370" s="403" t="s">
        <v>151</v>
      </c>
      <c r="Q370" s="403" t="s">
        <v>155</v>
      </c>
      <c r="R370" s="403" t="s">
        <v>7773</v>
      </c>
      <c r="S370" s="403"/>
      <c r="T370" s="403" t="s">
        <v>2944</v>
      </c>
      <c r="U370" s="403" t="s">
        <v>152</v>
      </c>
      <c r="V370" s="403" t="s">
        <v>18</v>
      </c>
    </row>
    <row r="371" spans="1:22">
      <c r="A371" s="6"/>
      <c r="B371" s="216">
        <v>46213</v>
      </c>
      <c r="C371" s="216">
        <v>46213</v>
      </c>
      <c r="D371" s="403" t="s">
        <v>7774</v>
      </c>
      <c r="E371" s="403">
        <v>260101719787</v>
      </c>
      <c r="F371" s="403" t="s">
        <v>87</v>
      </c>
      <c r="G371" s="403" t="s">
        <v>2408</v>
      </c>
      <c r="H371" s="403">
        <v>95</v>
      </c>
      <c r="I371" s="403">
        <v>247</v>
      </c>
      <c r="J371" s="374">
        <v>247</v>
      </c>
      <c r="K371" s="403">
        <v>134</v>
      </c>
      <c r="L371" s="217">
        <v>1000</v>
      </c>
      <c r="M371" s="403" t="s">
        <v>153</v>
      </c>
      <c r="N371" s="403" t="s">
        <v>149</v>
      </c>
      <c r="O371" s="403" t="s">
        <v>154</v>
      </c>
      <c r="P371" s="403" t="s">
        <v>151</v>
      </c>
      <c r="Q371" s="403" t="s">
        <v>155</v>
      </c>
      <c r="R371" s="403" t="s">
        <v>7775</v>
      </c>
      <c r="S371" s="403"/>
      <c r="T371" s="403" t="s">
        <v>2944</v>
      </c>
      <c r="U371" s="403" t="s">
        <v>152</v>
      </c>
      <c r="V371" s="403" t="s">
        <v>18</v>
      </c>
    </row>
    <row r="372" spans="1:22">
      <c r="A372" s="6"/>
      <c r="B372" s="216">
        <v>46213</v>
      </c>
      <c r="C372" s="216">
        <v>46213</v>
      </c>
      <c r="D372" s="403" t="s">
        <v>7776</v>
      </c>
      <c r="E372" s="403">
        <v>260102019791</v>
      </c>
      <c r="F372" s="403" t="s">
        <v>87</v>
      </c>
      <c r="G372" s="403" t="s">
        <v>2563</v>
      </c>
      <c r="H372" s="403">
        <v>95</v>
      </c>
      <c r="I372" s="403">
        <v>270</v>
      </c>
      <c r="J372" s="374">
        <v>270</v>
      </c>
      <c r="K372" s="403">
        <v>134</v>
      </c>
      <c r="L372" s="217">
        <v>1110</v>
      </c>
      <c r="M372" s="403" t="s">
        <v>153</v>
      </c>
      <c r="N372" s="403" t="s">
        <v>149</v>
      </c>
      <c r="O372" s="403" t="s">
        <v>154</v>
      </c>
      <c r="P372" s="403" t="s">
        <v>151</v>
      </c>
      <c r="Q372" s="403" t="s">
        <v>155</v>
      </c>
      <c r="R372" s="403" t="s">
        <v>7777</v>
      </c>
      <c r="S372" s="403"/>
      <c r="T372" s="403" t="s">
        <v>2944</v>
      </c>
      <c r="U372" s="403" t="s">
        <v>152</v>
      </c>
      <c r="V372" s="403" t="s">
        <v>18</v>
      </c>
    </row>
    <row r="373" spans="1:22">
      <c r="A373" s="6"/>
      <c r="B373" s="216">
        <v>46213</v>
      </c>
      <c r="C373" s="216">
        <v>46213</v>
      </c>
      <c r="D373" s="403" t="s">
        <v>7778</v>
      </c>
      <c r="E373" s="403">
        <v>260105719803</v>
      </c>
      <c r="F373" s="403" t="s">
        <v>87</v>
      </c>
      <c r="G373" s="403" t="s">
        <v>2409</v>
      </c>
      <c r="H373" s="403">
        <v>152</v>
      </c>
      <c r="I373" s="403">
        <v>260</v>
      </c>
      <c r="J373" s="374">
        <v>260</v>
      </c>
      <c r="K373" s="403">
        <v>97</v>
      </c>
      <c r="L373" s="217">
        <v>1840</v>
      </c>
      <c r="M373" s="403" t="s">
        <v>153</v>
      </c>
      <c r="N373" s="403" t="s">
        <v>149</v>
      </c>
      <c r="O373" s="403" t="s">
        <v>154</v>
      </c>
      <c r="P373" s="403" t="s">
        <v>151</v>
      </c>
      <c r="Q373" s="403" t="s">
        <v>155</v>
      </c>
      <c r="R373" s="403" t="s">
        <v>7779</v>
      </c>
      <c r="S373" s="403"/>
      <c r="T373" s="403" t="s">
        <v>2944</v>
      </c>
      <c r="U373" s="403" t="s">
        <v>152</v>
      </c>
      <c r="V373" s="403" t="s">
        <v>18</v>
      </c>
    </row>
    <row r="374" spans="1:22">
      <c r="A374" s="6"/>
      <c r="B374" s="216">
        <v>46213</v>
      </c>
      <c r="C374" s="216">
        <v>46213</v>
      </c>
      <c r="D374" s="403" t="s">
        <v>7780</v>
      </c>
      <c r="E374" s="403">
        <v>260100919807</v>
      </c>
      <c r="F374" s="403" t="s">
        <v>87</v>
      </c>
      <c r="G374" s="403" t="s">
        <v>2656</v>
      </c>
      <c r="H374" s="403">
        <v>202</v>
      </c>
      <c r="I374" s="403">
        <v>357</v>
      </c>
      <c r="J374" s="374">
        <v>357</v>
      </c>
      <c r="K374" s="403">
        <v>180</v>
      </c>
      <c r="L374" s="217">
        <v>500</v>
      </c>
      <c r="M374" s="403" t="s">
        <v>153</v>
      </c>
      <c r="N374" s="403" t="s">
        <v>149</v>
      </c>
      <c r="O374" s="403" t="s">
        <v>154</v>
      </c>
      <c r="P374" s="403" t="s">
        <v>151</v>
      </c>
      <c r="Q374" s="403" t="s">
        <v>155</v>
      </c>
      <c r="R374" s="403" t="s">
        <v>7781</v>
      </c>
      <c r="S374" s="403"/>
      <c r="T374" s="403" t="s">
        <v>2944</v>
      </c>
      <c r="U374" s="403" t="s">
        <v>152</v>
      </c>
      <c r="V374" s="403" t="s">
        <v>18</v>
      </c>
    </row>
    <row r="375" spans="1:22">
      <c r="A375" s="6"/>
      <c r="B375" s="216">
        <v>46213</v>
      </c>
      <c r="C375" s="216">
        <v>46213</v>
      </c>
      <c r="D375" s="403" t="s">
        <v>7782</v>
      </c>
      <c r="E375" s="403">
        <v>260100719808</v>
      </c>
      <c r="F375" s="403" t="s">
        <v>87</v>
      </c>
      <c r="G375" s="403" t="s">
        <v>7197</v>
      </c>
      <c r="H375" s="403">
        <v>182</v>
      </c>
      <c r="I375" s="403">
        <v>323</v>
      </c>
      <c r="J375" s="374">
        <v>323</v>
      </c>
      <c r="K375" s="403">
        <v>150</v>
      </c>
      <c r="L375" s="217">
        <v>600</v>
      </c>
      <c r="M375" s="403" t="s">
        <v>153</v>
      </c>
      <c r="N375" s="403" t="s">
        <v>149</v>
      </c>
      <c r="O375" s="403" t="s">
        <v>154</v>
      </c>
      <c r="P375" s="403" t="s">
        <v>151</v>
      </c>
      <c r="Q375" s="403" t="s">
        <v>155</v>
      </c>
      <c r="R375" s="403" t="s">
        <v>7783</v>
      </c>
      <c r="S375" s="403"/>
      <c r="T375" s="403" t="s">
        <v>2944</v>
      </c>
      <c r="U375" s="403" t="s">
        <v>152</v>
      </c>
      <c r="V375" s="403" t="s">
        <v>18</v>
      </c>
    </row>
    <row r="376" spans="1:22">
      <c r="A376" s="6"/>
      <c r="B376" s="216">
        <v>46213</v>
      </c>
      <c r="C376" s="216">
        <v>46213</v>
      </c>
      <c r="D376" s="403" t="s">
        <v>7784</v>
      </c>
      <c r="E376" s="403">
        <v>260100919764</v>
      </c>
      <c r="F376" s="403" t="s">
        <v>87</v>
      </c>
      <c r="G376" s="403" t="s">
        <v>2656</v>
      </c>
      <c r="H376" s="403">
        <v>202</v>
      </c>
      <c r="I376" s="403">
        <v>404</v>
      </c>
      <c r="J376" s="374">
        <v>404</v>
      </c>
      <c r="K376" s="403">
        <v>180</v>
      </c>
      <c r="L376" s="217">
        <v>570</v>
      </c>
      <c r="M376" s="403" t="s">
        <v>153</v>
      </c>
      <c r="N376" s="403" t="s">
        <v>149</v>
      </c>
      <c r="O376" s="403" t="s">
        <v>154</v>
      </c>
      <c r="P376" s="403" t="s">
        <v>151</v>
      </c>
      <c r="Q376" s="403" t="s">
        <v>155</v>
      </c>
      <c r="R376" s="403" t="s">
        <v>7785</v>
      </c>
      <c r="S376" s="403"/>
      <c r="T376" s="403" t="s">
        <v>2944</v>
      </c>
      <c r="U376" s="403" t="s">
        <v>152</v>
      </c>
      <c r="V376" s="403" t="s">
        <v>18</v>
      </c>
    </row>
    <row r="377" spans="1:22">
      <c r="A377" s="6"/>
      <c r="B377" s="216">
        <v>46213</v>
      </c>
      <c r="C377" s="216">
        <v>46213</v>
      </c>
      <c r="D377" s="403" t="s">
        <v>7786</v>
      </c>
      <c r="E377" s="403">
        <v>260100419765</v>
      </c>
      <c r="F377" s="403" t="s">
        <v>87</v>
      </c>
      <c r="G377" s="403" t="s">
        <v>7130</v>
      </c>
      <c r="H377" s="403">
        <v>182</v>
      </c>
      <c r="I377" s="403">
        <v>240</v>
      </c>
      <c r="J377" s="374">
        <v>240</v>
      </c>
      <c r="K377" s="403">
        <v>190</v>
      </c>
      <c r="L377" s="217">
        <v>360</v>
      </c>
      <c r="M377" s="403" t="s">
        <v>153</v>
      </c>
      <c r="N377" s="403" t="s">
        <v>149</v>
      </c>
      <c r="O377" s="403" t="s">
        <v>154</v>
      </c>
      <c r="P377" s="403" t="s">
        <v>151</v>
      </c>
      <c r="Q377" s="403" t="s">
        <v>155</v>
      </c>
      <c r="R377" s="403" t="s">
        <v>7787</v>
      </c>
      <c r="S377" s="403"/>
      <c r="T377" s="403" t="s">
        <v>2944</v>
      </c>
      <c r="U377" s="403" t="s">
        <v>152</v>
      </c>
      <c r="V377" s="403" t="s">
        <v>18</v>
      </c>
    </row>
    <row r="378" spans="1:22">
      <c r="A378" s="6"/>
      <c r="B378" s="216">
        <v>46213</v>
      </c>
      <c r="C378" s="216">
        <v>46213</v>
      </c>
      <c r="D378" s="403" t="s">
        <v>7788</v>
      </c>
      <c r="E378" s="403">
        <v>260100719766</v>
      </c>
      <c r="F378" s="403" t="s">
        <v>87</v>
      </c>
      <c r="G378" s="403" t="s">
        <v>7197</v>
      </c>
      <c r="H378" s="403">
        <v>182</v>
      </c>
      <c r="I378" s="403">
        <v>341</v>
      </c>
      <c r="J378" s="374">
        <v>341</v>
      </c>
      <c r="K378" s="403">
        <v>150</v>
      </c>
      <c r="L378" s="217">
        <v>640</v>
      </c>
      <c r="M378" s="403" t="s">
        <v>153</v>
      </c>
      <c r="N378" s="403" t="s">
        <v>149</v>
      </c>
      <c r="O378" s="403" t="s">
        <v>154</v>
      </c>
      <c r="P378" s="403" t="s">
        <v>151</v>
      </c>
      <c r="Q378" s="403" t="s">
        <v>155</v>
      </c>
      <c r="R378" s="403" t="s">
        <v>7789</v>
      </c>
      <c r="S378" s="403"/>
      <c r="T378" s="403" t="s">
        <v>2944</v>
      </c>
      <c r="U378" s="403" t="s">
        <v>152</v>
      </c>
      <c r="V378" s="403" t="s">
        <v>18</v>
      </c>
    </row>
    <row r="379" spans="1:22">
      <c r="A379" s="6"/>
      <c r="B379" s="216">
        <v>46213</v>
      </c>
      <c r="C379" s="216">
        <v>46213</v>
      </c>
      <c r="D379" s="403" t="s">
        <v>7790</v>
      </c>
      <c r="E379" s="403">
        <v>260104019773</v>
      </c>
      <c r="F379" s="403" t="s">
        <v>87</v>
      </c>
      <c r="G379" s="403" t="s">
        <v>2563</v>
      </c>
      <c r="H379" s="403">
        <v>95</v>
      </c>
      <c r="I379" s="403">
        <v>326</v>
      </c>
      <c r="J379" s="374">
        <v>326</v>
      </c>
      <c r="K379" s="403">
        <v>134</v>
      </c>
      <c r="L379" s="217">
        <v>1360</v>
      </c>
      <c r="M379" s="403" t="s">
        <v>153</v>
      </c>
      <c r="N379" s="403" t="s">
        <v>149</v>
      </c>
      <c r="O379" s="403" t="s">
        <v>154</v>
      </c>
      <c r="P379" s="403" t="s">
        <v>151</v>
      </c>
      <c r="Q379" s="403" t="s">
        <v>155</v>
      </c>
      <c r="R379" s="403" t="s">
        <v>7791</v>
      </c>
      <c r="S379" s="403"/>
      <c r="T379" s="403" t="s">
        <v>2944</v>
      </c>
      <c r="U379" s="403" t="s">
        <v>152</v>
      </c>
      <c r="V379" s="403" t="s">
        <v>18</v>
      </c>
    </row>
    <row r="380" spans="1:22">
      <c r="A380" s="6"/>
      <c r="B380" s="216">
        <v>46213</v>
      </c>
      <c r="C380" s="216">
        <v>46213</v>
      </c>
      <c r="D380" s="403" t="s">
        <v>7792</v>
      </c>
      <c r="E380" s="403">
        <v>260101619784</v>
      </c>
      <c r="F380" s="403" t="s">
        <v>87</v>
      </c>
      <c r="G380" s="403" t="s">
        <v>2642</v>
      </c>
      <c r="H380" s="403">
        <v>112</v>
      </c>
      <c r="I380" s="403">
        <v>355</v>
      </c>
      <c r="J380" s="374">
        <v>355</v>
      </c>
      <c r="K380" s="403">
        <v>160</v>
      </c>
      <c r="L380" s="217">
        <v>1000</v>
      </c>
      <c r="M380" s="403" t="s">
        <v>153</v>
      </c>
      <c r="N380" s="403" t="s">
        <v>149</v>
      </c>
      <c r="O380" s="403" t="s">
        <v>154</v>
      </c>
      <c r="P380" s="403" t="s">
        <v>151</v>
      </c>
      <c r="Q380" s="403" t="s">
        <v>155</v>
      </c>
      <c r="R380" s="403" t="s">
        <v>7793</v>
      </c>
      <c r="S380" s="403"/>
      <c r="T380" s="403" t="s">
        <v>2944</v>
      </c>
      <c r="U380" s="403" t="s">
        <v>152</v>
      </c>
      <c r="V380" s="403" t="s">
        <v>18</v>
      </c>
    </row>
    <row r="381" spans="1:22">
      <c r="A381" s="6"/>
      <c r="B381" s="216">
        <v>46213</v>
      </c>
      <c r="C381" s="216">
        <v>46213</v>
      </c>
      <c r="D381" s="403" t="s">
        <v>7794</v>
      </c>
      <c r="E381" s="403">
        <v>260101819788</v>
      </c>
      <c r="F381" s="403" t="s">
        <v>87</v>
      </c>
      <c r="G381" s="403" t="s">
        <v>2408</v>
      </c>
      <c r="H381" s="403">
        <v>95</v>
      </c>
      <c r="I381" s="403">
        <v>271</v>
      </c>
      <c r="J381" s="374">
        <v>271</v>
      </c>
      <c r="K381" s="403">
        <v>134</v>
      </c>
      <c r="L381" s="217">
        <v>1115</v>
      </c>
      <c r="M381" s="403" t="s">
        <v>153</v>
      </c>
      <c r="N381" s="403" t="s">
        <v>149</v>
      </c>
      <c r="O381" s="403" t="s">
        <v>154</v>
      </c>
      <c r="P381" s="403" t="s">
        <v>151</v>
      </c>
      <c r="Q381" s="403" t="s">
        <v>155</v>
      </c>
      <c r="R381" s="403" t="s">
        <v>7795</v>
      </c>
      <c r="S381" s="403"/>
      <c r="T381" s="403" t="s">
        <v>2944</v>
      </c>
      <c r="U381" s="403" t="s">
        <v>152</v>
      </c>
      <c r="V381" s="403" t="s">
        <v>18</v>
      </c>
    </row>
    <row r="382" spans="1:22">
      <c r="A382" s="6"/>
      <c r="B382" s="216">
        <v>46213</v>
      </c>
      <c r="C382" s="216">
        <v>46213</v>
      </c>
      <c r="D382" s="403" t="s">
        <v>7796</v>
      </c>
      <c r="E382" s="403">
        <v>260103319795</v>
      </c>
      <c r="F382" s="403" t="s">
        <v>87</v>
      </c>
      <c r="G382" s="403" t="s">
        <v>2310</v>
      </c>
      <c r="H382" s="403">
        <v>172</v>
      </c>
      <c r="I382" s="403">
        <v>229</v>
      </c>
      <c r="J382" s="374">
        <v>229</v>
      </c>
      <c r="K382" s="403">
        <v>87</v>
      </c>
      <c r="L382" s="217">
        <v>1550</v>
      </c>
      <c r="M382" s="403" t="s">
        <v>153</v>
      </c>
      <c r="N382" s="403" t="s">
        <v>149</v>
      </c>
      <c r="O382" s="403" t="s">
        <v>154</v>
      </c>
      <c r="P382" s="403" t="s">
        <v>151</v>
      </c>
      <c r="Q382" s="403" t="s">
        <v>155</v>
      </c>
      <c r="R382" s="403" t="s">
        <v>7797</v>
      </c>
      <c r="S382" s="403"/>
      <c r="T382" s="403" t="s">
        <v>2944</v>
      </c>
      <c r="U382" s="403" t="s">
        <v>152</v>
      </c>
      <c r="V382" s="403" t="s">
        <v>18</v>
      </c>
    </row>
    <row r="383" spans="1:22">
      <c r="A383" s="6"/>
      <c r="B383" s="216">
        <v>46213</v>
      </c>
      <c r="C383" s="216">
        <v>46213</v>
      </c>
      <c r="D383" s="403" t="s">
        <v>7798</v>
      </c>
      <c r="E383" s="403">
        <v>260103419797</v>
      </c>
      <c r="F383" s="403" t="s">
        <v>87</v>
      </c>
      <c r="G383" s="403" t="s">
        <v>7403</v>
      </c>
      <c r="H383" s="403">
        <v>222</v>
      </c>
      <c r="I383" s="403">
        <v>343</v>
      </c>
      <c r="J383" s="374">
        <v>343</v>
      </c>
      <c r="K383" s="403">
        <v>105</v>
      </c>
      <c r="L383" s="217">
        <v>1500</v>
      </c>
      <c r="M383" s="403" t="s">
        <v>153</v>
      </c>
      <c r="N383" s="403" t="s">
        <v>149</v>
      </c>
      <c r="O383" s="403" t="s">
        <v>154</v>
      </c>
      <c r="P383" s="403" t="s">
        <v>151</v>
      </c>
      <c r="Q383" s="403" t="s">
        <v>155</v>
      </c>
      <c r="R383" s="403" t="s">
        <v>7799</v>
      </c>
      <c r="S383" s="403"/>
      <c r="T383" s="403" t="s">
        <v>2944</v>
      </c>
      <c r="U383" s="403" t="s">
        <v>152</v>
      </c>
      <c r="V383" s="403" t="s">
        <v>18</v>
      </c>
    </row>
    <row r="384" spans="1:22">
      <c r="A384" s="6"/>
      <c r="B384" s="216">
        <v>46213</v>
      </c>
      <c r="C384" s="216">
        <v>46213</v>
      </c>
      <c r="D384" s="403" t="s">
        <v>7800</v>
      </c>
      <c r="E384" s="403">
        <v>260101919790</v>
      </c>
      <c r="F384" s="403" t="s">
        <v>87</v>
      </c>
      <c r="G384" s="403" t="s">
        <v>2563</v>
      </c>
      <c r="H384" s="403">
        <v>95</v>
      </c>
      <c r="I384" s="403">
        <v>250</v>
      </c>
      <c r="J384" s="374">
        <v>250</v>
      </c>
      <c r="K384" s="403">
        <v>134</v>
      </c>
      <c r="L384" s="217">
        <v>1030</v>
      </c>
      <c r="M384" s="403" t="s">
        <v>153</v>
      </c>
      <c r="N384" s="403" t="s">
        <v>149</v>
      </c>
      <c r="O384" s="403" t="s">
        <v>154</v>
      </c>
      <c r="P384" s="403" t="s">
        <v>151</v>
      </c>
      <c r="Q384" s="403" t="s">
        <v>155</v>
      </c>
      <c r="R384" s="403" t="s">
        <v>7801</v>
      </c>
      <c r="S384" s="403"/>
      <c r="T384" s="403" t="s">
        <v>2944</v>
      </c>
      <c r="U384" s="403" t="s">
        <v>152</v>
      </c>
      <c r="V384" s="403" t="s">
        <v>18</v>
      </c>
    </row>
    <row r="385" spans="1:22">
      <c r="A385" s="6"/>
      <c r="B385" s="216">
        <v>46213</v>
      </c>
      <c r="C385" s="216">
        <v>46213</v>
      </c>
      <c r="D385" s="403" t="s">
        <v>7802</v>
      </c>
      <c r="E385" s="403">
        <v>260107419767</v>
      </c>
      <c r="F385" s="403" t="s">
        <v>87</v>
      </c>
      <c r="G385" s="403" t="s">
        <v>2562</v>
      </c>
      <c r="H385" s="403">
        <v>125</v>
      </c>
      <c r="I385" s="403">
        <v>231</v>
      </c>
      <c r="J385" s="374">
        <v>231</v>
      </c>
      <c r="K385" s="403">
        <v>97</v>
      </c>
      <c r="L385" s="217">
        <v>1960</v>
      </c>
      <c r="M385" s="403" t="s">
        <v>153</v>
      </c>
      <c r="N385" s="403" t="s">
        <v>149</v>
      </c>
      <c r="O385" s="403" t="s">
        <v>154</v>
      </c>
      <c r="P385" s="403" t="s">
        <v>151</v>
      </c>
      <c r="Q385" s="403" t="s">
        <v>155</v>
      </c>
      <c r="R385" s="403" t="s">
        <v>7803</v>
      </c>
      <c r="S385" s="403"/>
      <c r="T385" s="403" t="s">
        <v>2944</v>
      </c>
      <c r="U385" s="403" t="s">
        <v>152</v>
      </c>
      <c r="V385" s="403" t="s">
        <v>18</v>
      </c>
    </row>
    <row r="386" spans="1:22">
      <c r="A386" s="6"/>
      <c r="B386" s="216">
        <v>46213</v>
      </c>
      <c r="C386" s="216">
        <v>46213</v>
      </c>
      <c r="D386" s="403" t="s">
        <v>7804</v>
      </c>
      <c r="E386" s="403">
        <v>260101519774</v>
      </c>
      <c r="F386" s="403" t="s">
        <v>87</v>
      </c>
      <c r="G386" s="403" t="s">
        <v>2120</v>
      </c>
      <c r="H386" s="403">
        <v>92</v>
      </c>
      <c r="I386" s="403">
        <v>320</v>
      </c>
      <c r="J386" s="374">
        <v>320</v>
      </c>
      <c r="K386" s="403">
        <v>180</v>
      </c>
      <c r="L386" s="217">
        <v>1000</v>
      </c>
      <c r="M386" s="403" t="s">
        <v>153</v>
      </c>
      <c r="N386" s="403" t="s">
        <v>149</v>
      </c>
      <c r="O386" s="403" t="s">
        <v>154</v>
      </c>
      <c r="P386" s="403" t="s">
        <v>151</v>
      </c>
      <c r="Q386" s="403" t="s">
        <v>155</v>
      </c>
      <c r="R386" s="403" t="s">
        <v>7805</v>
      </c>
      <c r="S386" s="403"/>
      <c r="T386" s="403" t="s">
        <v>2944</v>
      </c>
      <c r="U386" s="403" t="s">
        <v>152</v>
      </c>
      <c r="V386" s="403" t="s">
        <v>18</v>
      </c>
    </row>
    <row r="387" spans="1:22">
      <c r="A387" s="6"/>
      <c r="B387" s="216">
        <v>46213</v>
      </c>
      <c r="C387" s="216">
        <v>46213</v>
      </c>
      <c r="D387" s="403" t="s">
        <v>7806</v>
      </c>
      <c r="E387" s="403">
        <v>260101619775</v>
      </c>
      <c r="F387" s="403" t="s">
        <v>87</v>
      </c>
      <c r="G387" s="403" t="s">
        <v>2642</v>
      </c>
      <c r="H387" s="403">
        <v>112</v>
      </c>
      <c r="I387" s="403">
        <v>410</v>
      </c>
      <c r="J387" s="374">
        <v>410</v>
      </c>
      <c r="K387" s="403">
        <v>160</v>
      </c>
      <c r="L387" s="217">
        <v>1150</v>
      </c>
      <c r="M387" s="403" t="s">
        <v>153</v>
      </c>
      <c r="N387" s="403" t="s">
        <v>149</v>
      </c>
      <c r="O387" s="403" t="s">
        <v>154</v>
      </c>
      <c r="P387" s="403" t="s">
        <v>151</v>
      </c>
      <c r="Q387" s="403" t="s">
        <v>155</v>
      </c>
      <c r="R387" s="403" t="s">
        <v>7807</v>
      </c>
      <c r="S387" s="403"/>
      <c r="T387" s="403" t="s">
        <v>2944</v>
      </c>
      <c r="U387" s="403" t="s">
        <v>152</v>
      </c>
      <c r="V387" s="403" t="s">
        <v>18</v>
      </c>
    </row>
    <row r="388" spans="1:22">
      <c r="A388" s="6"/>
      <c r="B388" s="216">
        <v>46213</v>
      </c>
      <c r="C388" s="216">
        <v>46213</v>
      </c>
      <c r="D388" s="403" t="s">
        <v>7808</v>
      </c>
      <c r="E388" s="403">
        <v>260102819782</v>
      </c>
      <c r="F388" s="403" t="s">
        <v>87</v>
      </c>
      <c r="G388" s="403" t="s">
        <v>2516</v>
      </c>
      <c r="H388" s="403">
        <v>95</v>
      </c>
      <c r="I388" s="403">
        <v>246</v>
      </c>
      <c r="J388" s="374">
        <v>246</v>
      </c>
      <c r="K388" s="403">
        <v>130</v>
      </c>
      <c r="L388" s="217">
        <v>1000</v>
      </c>
      <c r="M388" s="403" t="s">
        <v>153</v>
      </c>
      <c r="N388" s="403" t="s">
        <v>149</v>
      </c>
      <c r="O388" s="403" t="s">
        <v>154</v>
      </c>
      <c r="P388" s="403" t="s">
        <v>151</v>
      </c>
      <c r="Q388" s="403" t="s">
        <v>155</v>
      </c>
      <c r="R388" s="403" t="s">
        <v>7809</v>
      </c>
      <c r="S388" s="403"/>
      <c r="T388" s="403" t="s">
        <v>2944</v>
      </c>
      <c r="U388" s="403" t="s">
        <v>152</v>
      </c>
      <c r="V388" s="403" t="s">
        <v>18</v>
      </c>
    </row>
    <row r="389" spans="1:22">
      <c r="A389" s="6"/>
      <c r="B389" s="216">
        <v>46213</v>
      </c>
      <c r="C389" s="216">
        <v>46213</v>
      </c>
      <c r="D389" s="403" t="s">
        <v>7810</v>
      </c>
      <c r="E389" s="403">
        <v>260103919793</v>
      </c>
      <c r="F389" s="403" t="s">
        <v>87</v>
      </c>
      <c r="G389" s="403" t="s">
        <v>2408</v>
      </c>
      <c r="H389" s="403">
        <v>95</v>
      </c>
      <c r="I389" s="403">
        <v>335</v>
      </c>
      <c r="J389" s="374">
        <v>335</v>
      </c>
      <c r="K389" s="403">
        <v>134</v>
      </c>
      <c r="L389" s="217">
        <v>1370</v>
      </c>
      <c r="M389" s="403" t="s">
        <v>153</v>
      </c>
      <c r="N389" s="403" t="s">
        <v>149</v>
      </c>
      <c r="O389" s="403" t="s">
        <v>154</v>
      </c>
      <c r="P389" s="403" t="s">
        <v>151</v>
      </c>
      <c r="Q389" s="403" t="s">
        <v>155</v>
      </c>
      <c r="R389" s="403" t="s">
        <v>7811</v>
      </c>
      <c r="S389" s="403"/>
      <c r="T389" s="403" t="s">
        <v>2944</v>
      </c>
      <c r="U389" s="403" t="s">
        <v>152</v>
      </c>
      <c r="V389" s="403" t="s">
        <v>18</v>
      </c>
    </row>
    <row r="390" spans="1:22">
      <c r="A390" s="6"/>
      <c r="B390" s="216">
        <v>46213</v>
      </c>
      <c r="C390" s="216">
        <v>46213</v>
      </c>
      <c r="D390" s="403" t="s">
        <v>7812</v>
      </c>
      <c r="E390" s="403">
        <v>260103419796</v>
      </c>
      <c r="F390" s="403" t="s">
        <v>87</v>
      </c>
      <c r="G390" s="403" t="s">
        <v>7403</v>
      </c>
      <c r="H390" s="403">
        <v>222</v>
      </c>
      <c r="I390" s="403">
        <v>344</v>
      </c>
      <c r="J390" s="374">
        <v>344</v>
      </c>
      <c r="K390" s="403">
        <v>105</v>
      </c>
      <c r="L390" s="217">
        <v>1500</v>
      </c>
      <c r="M390" s="403" t="s">
        <v>153</v>
      </c>
      <c r="N390" s="403" t="s">
        <v>149</v>
      </c>
      <c r="O390" s="403" t="s">
        <v>154</v>
      </c>
      <c r="P390" s="403" t="s">
        <v>151</v>
      </c>
      <c r="Q390" s="403" t="s">
        <v>155</v>
      </c>
      <c r="R390" s="403" t="s">
        <v>7813</v>
      </c>
      <c r="S390" s="403"/>
      <c r="T390" s="403" t="s">
        <v>2944</v>
      </c>
      <c r="U390" s="403" t="s">
        <v>152</v>
      </c>
      <c r="V390" s="403" t="s">
        <v>18</v>
      </c>
    </row>
    <row r="391" spans="1:22">
      <c r="A391" s="6"/>
      <c r="B391" s="216">
        <v>46213</v>
      </c>
      <c r="C391" s="216">
        <v>46213</v>
      </c>
      <c r="D391" s="403" t="s">
        <v>7814</v>
      </c>
      <c r="E391" s="403">
        <v>260103719798</v>
      </c>
      <c r="F391" s="403" t="s">
        <v>87</v>
      </c>
      <c r="G391" s="403" t="s">
        <v>2563</v>
      </c>
      <c r="H391" s="403">
        <v>95</v>
      </c>
      <c r="I391" s="403">
        <v>335</v>
      </c>
      <c r="J391" s="374">
        <v>335</v>
      </c>
      <c r="K391" s="403">
        <v>134</v>
      </c>
      <c r="L391" s="217">
        <v>1360</v>
      </c>
      <c r="M391" s="403" t="s">
        <v>153</v>
      </c>
      <c r="N391" s="403" t="s">
        <v>149</v>
      </c>
      <c r="O391" s="403" t="s">
        <v>154</v>
      </c>
      <c r="P391" s="403" t="s">
        <v>151</v>
      </c>
      <c r="Q391" s="403" t="s">
        <v>155</v>
      </c>
      <c r="R391" s="403" t="s">
        <v>7815</v>
      </c>
      <c r="S391" s="403"/>
      <c r="T391" s="403" t="s">
        <v>2944</v>
      </c>
      <c r="U391" s="403" t="s">
        <v>152</v>
      </c>
      <c r="V391" s="403" t="s">
        <v>18</v>
      </c>
    </row>
    <row r="392" spans="1:22">
      <c r="A392" s="6"/>
      <c r="B392" s="216">
        <v>46213</v>
      </c>
      <c r="C392" s="216">
        <v>46213</v>
      </c>
      <c r="D392" s="403" t="s">
        <v>7816</v>
      </c>
      <c r="E392" s="403">
        <v>260101319743</v>
      </c>
      <c r="F392" s="403" t="s">
        <v>87</v>
      </c>
      <c r="G392" s="403" t="s">
        <v>7026</v>
      </c>
      <c r="H392" s="403" t="s">
        <v>7027</v>
      </c>
      <c r="I392" s="403">
        <v>747</v>
      </c>
      <c r="J392" s="374">
        <v>747</v>
      </c>
      <c r="K392" s="403">
        <v>190</v>
      </c>
      <c r="L392" s="217">
        <v>1260</v>
      </c>
      <c r="M392" s="403" t="s">
        <v>153</v>
      </c>
      <c r="N392" s="403" t="s">
        <v>149</v>
      </c>
      <c r="O392" s="403" t="s">
        <v>154</v>
      </c>
      <c r="P392" s="403" t="s">
        <v>151</v>
      </c>
      <c r="Q392" s="403" t="s">
        <v>156</v>
      </c>
      <c r="R392" s="403" t="s">
        <v>7817</v>
      </c>
      <c r="S392" s="403"/>
      <c r="T392" s="403" t="s">
        <v>2944</v>
      </c>
      <c r="U392" s="403" t="s">
        <v>152</v>
      </c>
      <c r="V392" s="403" t="s">
        <v>20</v>
      </c>
    </row>
    <row r="393" spans="1:22">
      <c r="A393" s="6"/>
      <c r="B393" s="216">
        <v>46213</v>
      </c>
      <c r="C393" s="216">
        <v>46213</v>
      </c>
      <c r="D393" s="403" t="s">
        <v>7818</v>
      </c>
      <c r="E393" s="403">
        <v>260101319671</v>
      </c>
      <c r="F393" s="403" t="s">
        <v>87</v>
      </c>
      <c r="G393" s="403" t="s">
        <v>7026</v>
      </c>
      <c r="H393" s="403" t="s">
        <v>7027</v>
      </c>
      <c r="I393" s="403">
        <v>557</v>
      </c>
      <c r="J393" s="374">
        <v>557</v>
      </c>
      <c r="K393" s="403">
        <v>190</v>
      </c>
      <c r="L393" s="217">
        <v>970</v>
      </c>
      <c r="M393" s="403" t="s">
        <v>153</v>
      </c>
      <c r="N393" s="403" t="s">
        <v>149</v>
      </c>
      <c r="O393" s="403" t="s">
        <v>154</v>
      </c>
      <c r="P393" s="403" t="s">
        <v>151</v>
      </c>
      <c r="Q393" s="403" t="s">
        <v>156</v>
      </c>
      <c r="R393" s="403" t="s">
        <v>7819</v>
      </c>
      <c r="S393" s="403"/>
      <c r="T393" s="403" t="s">
        <v>2944</v>
      </c>
      <c r="U393" s="403" t="s">
        <v>152</v>
      </c>
      <c r="V393" s="403" t="s">
        <v>20</v>
      </c>
    </row>
    <row r="394" spans="1:22">
      <c r="A394" s="6"/>
      <c r="B394" s="216">
        <v>46213</v>
      </c>
      <c r="C394" s="216">
        <v>46213</v>
      </c>
      <c r="D394" s="403" t="s">
        <v>7820</v>
      </c>
      <c r="E394" s="403">
        <v>260105019806</v>
      </c>
      <c r="F394" s="403" t="s">
        <v>87</v>
      </c>
      <c r="G394" s="403" t="s">
        <v>2409</v>
      </c>
      <c r="H394" s="403">
        <v>142</v>
      </c>
      <c r="I394" s="403">
        <v>116</v>
      </c>
      <c r="J394" s="374">
        <v>116</v>
      </c>
      <c r="K394" s="403">
        <v>97</v>
      </c>
      <c r="L394" s="217">
        <v>850</v>
      </c>
      <c r="M394" s="403" t="s">
        <v>153</v>
      </c>
      <c r="N394" s="403" t="s">
        <v>149</v>
      </c>
      <c r="O394" s="403" t="s">
        <v>154</v>
      </c>
      <c r="P394" s="403" t="s">
        <v>151</v>
      </c>
      <c r="Q394" s="403" t="s">
        <v>155</v>
      </c>
      <c r="R394" s="403" t="s">
        <v>7821</v>
      </c>
      <c r="S394" s="403"/>
      <c r="T394" s="403" t="s">
        <v>7822</v>
      </c>
      <c r="U394" s="403" t="s">
        <v>152</v>
      </c>
      <c r="V394" s="403" t="s">
        <v>18</v>
      </c>
    </row>
    <row r="395" spans="1:22">
      <c r="A395" s="6"/>
      <c r="B395" s="216">
        <v>46213</v>
      </c>
      <c r="C395" s="216">
        <v>46213</v>
      </c>
      <c r="D395" s="403" t="s">
        <v>7823</v>
      </c>
      <c r="E395" s="403">
        <v>260102719783</v>
      </c>
      <c r="F395" s="403" t="s">
        <v>87</v>
      </c>
      <c r="G395" s="403" t="s">
        <v>2516</v>
      </c>
      <c r="H395" s="403">
        <v>95</v>
      </c>
      <c r="I395" s="403">
        <v>254</v>
      </c>
      <c r="J395" s="374">
        <v>254</v>
      </c>
      <c r="K395" s="403">
        <v>130</v>
      </c>
      <c r="L395" s="217">
        <v>1040</v>
      </c>
      <c r="M395" s="403" t="s">
        <v>153</v>
      </c>
      <c r="N395" s="403" t="s">
        <v>149</v>
      </c>
      <c r="O395" s="403" t="s">
        <v>154</v>
      </c>
      <c r="P395" s="403" t="s">
        <v>151</v>
      </c>
      <c r="Q395" s="403" t="s">
        <v>155</v>
      </c>
      <c r="R395" s="403" t="s">
        <v>7824</v>
      </c>
      <c r="S395" s="403"/>
      <c r="T395" s="403" t="s">
        <v>7822</v>
      </c>
      <c r="U395" s="403" t="s">
        <v>152</v>
      </c>
      <c r="V395" s="403" t="s">
        <v>18</v>
      </c>
    </row>
    <row r="396" spans="1:22">
      <c r="A396" s="6"/>
      <c r="B396" s="216">
        <v>46213</v>
      </c>
      <c r="C396" s="216">
        <v>46213</v>
      </c>
      <c r="D396" s="403" t="s">
        <v>7825</v>
      </c>
      <c r="E396" s="403">
        <v>260102519785</v>
      </c>
      <c r="F396" s="403" t="s">
        <v>87</v>
      </c>
      <c r="G396" s="403" t="s">
        <v>7766</v>
      </c>
      <c r="H396" s="403">
        <v>112</v>
      </c>
      <c r="I396" s="403">
        <v>227</v>
      </c>
      <c r="J396" s="374">
        <v>227</v>
      </c>
      <c r="K396" s="403">
        <v>104</v>
      </c>
      <c r="L396" s="217">
        <v>1000</v>
      </c>
      <c r="M396" s="403" t="s">
        <v>153</v>
      </c>
      <c r="N396" s="403" t="s">
        <v>149</v>
      </c>
      <c r="O396" s="403" t="s">
        <v>154</v>
      </c>
      <c r="P396" s="403" t="s">
        <v>151</v>
      </c>
      <c r="Q396" s="403" t="s">
        <v>155</v>
      </c>
      <c r="R396" s="403" t="s">
        <v>7826</v>
      </c>
      <c r="S396" s="403"/>
      <c r="T396" s="403" t="s">
        <v>7822</v>
      </c>
      <c r="U396" s="403" t="s">
        <v>152</v>
      </c>
      <c r="V396" s="403" t="s">
        <v>18</v>
      </c>
    </row>
    <row r="397" spans="1:22">
      <c r="A397" s="6"/>
      <c r="B397" s="216">
        <v>46213</v>
      </c>
      <c r="C397" s="216">
        <v>46213</v>
      </c>
      <c r="D397" s="403" t="s">
        <v>7827</v>
      </c>
      <c r="E397" s="403">
        <v>260104619825</v>
      </c>
      <c r="F397" s="403" t="s">
        <v>87</v>
      </c>
      <c r="G397" s="403" t="s">
        <v>859</v>
      </c>
      <c r="H397" s="403">
        <v>152</v>
      </c>
      <c r="I397" s="403">
        <v>253</v>
      </c>
      <c r="J397" s="374">
        <v>253</v>
      </c>
      <c r="K397" s="403">
        <v>104</v>
      </c>
      <c r="L397" s="217">
        <v>1640</v>
      </c>
      <c r="M397" s="403" t="s">
        <v>153</v>
      </c>
      <c r="N397" s="403" t="s">
        <v>149</v>
      </c>
      <c r="O397" s="403" t="s">
        <v>154</v>
      </c>
      <c r="P397" s="403" t="s">
        <v>151</v>
      </c>
      <c r="Q397" s="403" t="s">
        <v>155</v>
      </c>
      <c r="R397" s="403" t="s">
        <v>7828</v>
      </c>
      <c r="S397" s="403"/>
      <c r="T397" s="403" t="s">
        <v>2948</v>
      </c>
      <c r="U397" s="403" t="s">
        <v>152</v>
      </c>
      <c r="V397" s="403" t="s">
        <v>18</v>
      </c>
    </row>
    <row r="398" spans="1:22">
      <c r="A398" s="6"/>
      <c r="B398" s="216">
        <v>46213</v>
      </c>
      <c r="C398" s="216">
        <v>46213</v>
      </c>
      <c r="D398" s="403" t="s">
        <v>7829</v>
      </c>
      <c r="E398" s="403">
        <v>260105319826</v>
      </c>
      <c r="F398" s="403" t="s">
        <v>87</v>
      </c>
      <c r="G398" s="403" t="s">
        <v>859</v>
      </c>
      <c r="H398" s="403">
        <v>152</v>
      </c>
      <c r="I398" s="403">
        <v>296</v>
      </c>
      <c r="J398" s="374">
        <v>296</v>
      </c>
      <c r="K398" s="403">
        <v>104</v>
      </c>
      <c r="L398" s="217">
        <v>1890</v>
      </c>
      <c r="M398" s="403" t="s">
        <v>153</v>
      </c>
      <c r="N398" s="403" t="s">
        <v>149</v>
      </c>
      <c r="O398" s="403" t="s">
        <v>154</v>
      </c>
      <c r="P398" s="403" t="s">
        <v>151</v>
      </c>
      <c r="Q398" s="403" t="s">
        <v>155</v>
      </c>
      <c r="R398" s="403" t="s">
        <v>7830</v>
      </c>
      <c r="S398" s="403"/>
      <c r="T398" s="403" t="s">
        <v>2948</v>
      </c>
      <c r="U398" s="403" t="s">
        <v>152</v>
      </c>
      <c r="V398" s="403" t="s">
        <v>18</v>
      </c>
    </row>
    <row r="399" spans="1:22">
      <c r="A399" s="6"/>
      <c r="B399" s="216">
        <v>46213</v>
      </c>
      <c r="C399" s="216">
        <v>46213</v>
      </c>
      <c r="D399" s="403" t="s">
        <v>7831</v>
      </c>
      <c r="E399" s="403">
        <v>260107007507</v>
      </c>
      <c r="F399" s="403" t="s">
        <v>87</v>
      </c>
      <c r="G399" s="403" t="s">
        <v>7832</v>
      </c>
      <c r="H399" s="403">
        <v>132</v>
      </c>
      <c r="I399" s="403">
        <v>259</v>
      </c>
      <c r="J399" s="374">
        <v>259</v>
      </c>
      <c r="K399" s="403">
        <v>97</v>
      </c>
      <c r="L399" s="217">
        <v>2000</v>
      </c>
      <c r="M399" s="403" t="s">
        <v>153</v>
      </c>
      <c r="N399" s="403" t="s">
        <v>149</v>
      </c>
      <c r="O399" s="403" t="s">
        <v>154</v>
      </c>
      <c r="P399" s="403" t="s">
        <v>151</v>
      </c>
      <c r="Q399" s="403" t="s">
        <v>155</v>
      </c>
      <c r="R399" s="403" t="s">
        <v>7833</v>
      </c>
      <c r="S399" s="403"/>
      <c r="T399" s="403" t="s">
        <v>2948</v>
      </c>
      <c r="U399" s="403" t="s">
        <v>152</v>
      </c>
      <c r="V399" s="403" t="s">
        <v>1712</v>
      </c>
    </row>
    <row r="400" spans="1:22">
      <c r="A400" s="6"/>
      <c r="B400" s="216">
        <v>46213</v>
      </c>
      <c r="C400" s="216">
        <v>46213</v>
      </c>
      <c r="D400" s="403" t="s">
        <v>7834</v>
      </c>
      <c r="E400" s="403" t="s">
        <v>7835</v>
      </c>
      <c r="F400" s="403" t="s">
        <v>87</v>
      </c>
      <c r="G400" s="403" t="s">
        <v>7836</v>
      </c>
      <c r="H400" s="403">
        <v>142</v>
      </c>
      <c r="I400" s="403">
        <v>151</v>
      </c>
      <c r="J400" s="374">
        <v>151</v>
      </c>
      <c r="K400" s="403">
        <v>97</v>
      </c>
      <c r="L400" s="217">
        <v>1080</v>
      </c>
      <c r="M400" s="403" t="s">
        <v>153</v>
      </c>
      <c r="N400" s="403" t="s">
        <v>149</v>
      </c>
      <c r="O400" s="403" t="s">
        <v>154</v>
      </c>
      <c r="P400" s="403" t="s">
        <v>151</v>
      </c>
      <c r="Q400" s="403" t="s">
        <v>155</v>
      </c>
      <c r="R400" s="403" t="s">
        <v>7837</v>
      </c>
      <c r="S400" s="403"/>
      <c r="T400" s="403" t="s">
        <v>2948</v>
      </c>
      <c r="U400" s="403" t="s">
        <v>152</v>
      </c>
      <c r="V400" s="403" t="s">
        <v>1712</v>
      </c>
    </row>
    <row r="401" spans="1:22">
      <c r="A401" s="6"/>
      <c r="B401" s="216">
        <v>46213</v>
      </c>
      <c r="C401" s="216">
        <v>46213</v>
      </c>
      <c r="D401" s="403" t="s">
        <v>7838</v>
      </c>
      <c r="E401" s="403" t="s">
        <v>7839</v>
      </c>
      <c r="F401" s="403" t="s">
        <v>94</v>
      </c>
      <c r="G401" s="403" t="s">
        <v>859</v>
      </c>
      <c r="H401" s="403">
        <v>152</v>
      </c>
      <c r="I401" s="403">
        <v>161</v>
      </c>
      <c r="J401" s="374">
        <v>161</v>
      </c>
      <c r="K401" s="403">
        <v>104</v>
      </c>
      <c r="L401" s="217">
        <v>1084</v>
      </c>
      <c r="M401" s="403" t="s">
        <v>153</v>
      </c>
      <c r="N401" s="403" t="s">
        <v>149</v>
      </c>
      <c r="O401" s="403" t="s">
        <v>154</v>
      </c>
      <c r="P401" s="403" t="s">
        <v>151</v>
      </c>
      <c r="Q401" s="403" t="s">
        <v>155</v>
      </c>
      <c r="R401" s="403" t="s">
        <v>7839</v>
      </c>
      <c r="S401" s="403"/>
      <c r="T401" s="403" t="s">
        <v>7840</v>
      </c>
      <c r="U401" s="403" t="s">
        <v>152</v>
      </c>
      <c r="V401" s="403" t="s">
        <v>18</v>
      </c>
    </row>
    <row r="402" spans="1:22">
      <c r="A402" s="6"/>
      <c r="B402" s="216">
        <v>46213</v>
      </c>
      <c r="C402" s="216">
        <v>46213</v>
      </c>
      <c r="D402" s="403" t="s">
        <v>7841</v>
      </c>
      <c r="E402" s="403" t="s">
        <v>7842</v>
      </c>
      <c r="F402" s="403" t="s">
        <v>94</v>
      </c>
      <c r="G402" s="403" t="s">
        <v>859</v>
      </c>
      <c r="H402" s="403">
        <v>152</v>
      </c>
      <c r="I402" s="403">
        <v>160.19999999999999</v>
      </c>
      <c r="J402" s="374">
        <v>160.19999999999999</v>
      </c>
      <c r="K402" s="403">
        <v>104</v>
      </c>
      <c r="L402" s="217">
        <v>1084</v>
      </c>
      <c r="M402" s="403" t="s">
        <v>153</v>
      </c>
      <c r="N402" s="403" t="s">
        <v>149</v>
      </c>
      <c r="O402" s="403" t="s">
        <v>154</v>
      </c>
      <c r="P402" s="403" t="s">
        <v>151</v>
      </c>
      <c r="Q402" s="403" t="s">
        <v>155</v>
      </c>
      <c r="R402" s="403" t="s">
        <v>7842</v>
      </c>
      <c r="S402" s="403"/>
      <c r="T402" s="403" t="s">
        <v>7840</v>
      </c>
      <c r="U402" s="403" t="s">
        <v>152</v>
      </c>
      <c r="V402" s="403" t="s">
        <v>18</v>
      </c>
    </row>
    <row r="403" spans="1:22">
      <c r="A403" s="6"/>
      <c r="B403" s="216">
        <v>46214</v>
      </c>
      <c r="C403" s="216">
        <v>46214</v>
      </c>
      <c r="D403" s="403" t="s">
        <v>7843</v>
      </c>
      <c r="E403" s="403">
        <v>260101919778</v>
      </c>
      <c r="F403" s="403" t="s">
        <v>87</v>
      </c>
      <c r="G403" s="403" t="s">
        <v>2563</v>
      </c>
      <c r="H403" s="403">
        <v>95</v>
      </c>
      <c r="I403" s="403">
        <v>247</v>
      </c>
      <c r="J403" s="374">
        <v>247</v>
      </c>
      <c r="K403" s="403">
        <v>134</v>
      </c>
      <c r="L403" s="217">
        <v>1000</v>
      </c>
      <c r="M403" s="403" t="s">
        <v>153</v>
      </c>
      <c r="N403" s="403" t="s">
        <v>149</v>
      </c>
      <c r="O403" s="403" t="s">
        <v>154</v>
      </c>
      <c r="P403" s="403" t="s">
        <v>151</v>
      </c>
      <c r="Q403" s="403" t="s">
        <v>155</v>
      </c>
      <c r="R403" s="403" t="s">
        <v>7844</v>
      </c>
      <c r="S403" s="403"/>
      <c r="T403" s="403" t="s">
        <v>2942</v>
      </c>
      <c r="U403" s="403" t="s">
        <v>152</v>
      </c>
      <c r="V403" s="403" t="s">
        <v>18</v>
      </c>
    </row>
    <row r="404" spans="1:22">
      <c r="A404" s="6"/>
      <c r="B404" s="216">
        <v>46214</v>
      </c>
      <c r="C404" s="216">
        <v>46214</v>
      </c>
      <c r="D404" s="403" t="s">
        <v>7845</v>
      </c>
      <c r="E404" s="403">
        <v>260104619893</v>
      </c>
      <c r="F404" s="403" t="s">
        <v>87</v>
      </c>
      <c r="G404" s="403" t="s">
        <v>859</v>
      </c>
      <c r="H404" s="403">
        <v>152</v>
      </c>
      <c r="I404" s="403">
        <v>230</v>
      </c>
      <c r="J404" s="374">
        <v>230</v>
      </c>
      <c r="K404" s="403">
        <v>104</v>
      </c>
      <c r="L404" s="217">
        <v>1530</v>
      </c>
      <c r="M404" s="403" t="s">
        <v>153</v>
      </c>
      <c r="N404" s="403" t="s">
        <v>149</v>
      </c>
      <c r="O404" s="403" t="s">
        <v>154</v>
      </c>
      <c r="P404" s="403" t="s">
        <v>151</v>
      </c>
      <c r="Q404" s="403" t="s">
        <v>155</v>
      </c>
      <c r="R404" s="403" t="s">
        <v>7846</v>
      </c>
      <c r="S404" s="403"/>
      <c r="T404" s="403" t="s">
        <v>2963</v>
      </c>
      <c r="U404" s="403" t="s">
        <v>152</v>
      </c>
      <c r="V404" s="403" t="s">
        <v>18</v>
      </c>
    </row>
    <row r="405" spans="1:22">
      <c r="A405" s="6"/>
      <c r="B405" s="216">
        <v>46214</v>
      </c>
      <c r="C405" s="216">
        <v>46214</v>
      </c>
      <c r="D405" s="403" t="s">
        <v>7847</v>
      </c>
      <c r="E405" s="403">
        <v>260102919869</v>
      </c>
      <c r="F405" s="403" t="s">
        <v>87</v>
      </c>
      <c r="G405" s="403" t="s">
        <v>859</v>
      </c>
      <c r="H405" s="403">
        <v>152</v>
      </c>
      <c r="I405" s="403">
        <v>238</v>
      </c>
      <c r="J405" s="374">
        <v>238</v>
      </c>
      <c r="K405" s="403">
        <v>104</v>
      </c>
      <c r="L405" s="217">
        <v>1530</v>
      </c>
      <c r="M405" s="403" t="s">
        <v>153</v>
      </c>
      <c r="N405" s="403" t="s">
        <v>149</v>
      </c>
      <c r="O405" s="403" t="s">
        <v>154</v>
      </c>
      <c r="P405" s="403" t="s">
        <v>151</v>
      </c>
      <c r="Q405" s="403" t="s">
        <v>155</v>
      </c>
      <c r="R405" s="403" t="s">
        <v>7848</v>
      </c>
      <c r="S405" s="403"/>
      <c r="T405" s="403" t="s">
        <v>2963</v>
      </c>
      <c r="U405" s="403" t="s">
        <v>152</v>
      </c>
      <c r="V405" s="403" t="s">
        <v>18</v>
      </c>
    </row>
    <row r="406" spans="1:22">
      <c r="A406" s="6"/>
      <c r="B406" s="216">
        <v>46214</v>
      </c>
      <c r="C406" s="216">
        <v>46214</v>
      </c>
      <c r="D406" s="403" t="s">
        <v>7849</v>
      </c>
      <c r="E406" s="403">
        <v>260102919870</v>
      </c>
      <c r="F406" s="403" t="s">
        <v>87</v>
      </c>
      <c r="G406" s="403" t="s">
        <v>859</v>
      </c>
      <c r="H406" s="403">
        <v>152</v>
      </c>
      <c r="I406" s="403">
        <v>233</v>
      </c>
      <c r="J406" s="374">
        <v>233</v>
      </c>
      <c r="K406" s="403">
        <v>104</v>
      </c>
      <c r="L406" s="217">
        <v>1530</v>
      </c>
      <c r="M406" s="403" t="s">
        <v>153</v>
      </c>
      <c r="N406" s="403" t="s">
        <v>149</v>
      </c>
      <c r="O406" s="403" t="s">
        <v>154</v>
      </c>
      <c r="P406" s="403" t="s">
        <v>151</v>
      </c>
      <c r="Q406" s="403" t="s">
        <v>155</v>
      </c>
      <c r="R406" s="403" t="s">
        <v>7850</v>
      </c>
      <c r="S406" s="403"/>
      <c r="T406" s="403" t="s">
        <v>2963</v>
      </c>
      <c r="U406" s="403" t="s">
        <v>152</v>
      </c>
      <c r="V406" s="403" t="s">
        <v>18</v>
      </c>
    </row>
    <row r="407" spans="1:22">
      <c r="A407" s="6"/>
      <c r="B407" s="216">
        <v>46214</v>
      </c>
      <c r="C407" s="216">
        <v>46214</v>
      </c>
      <c r="D407" s="403" t="s">
        <v>7851</v>
      </c>
      <c r="E407" s="403">
        <v>260105719878</v>
      </c>
      <c r="F407" s="403" t="s">
        <v>87</v>
      </c>
      <c r="G407" s="403" t="s">
        <v>2409</v>
      </c>
      <c r="H407" s="403">
        <v>142</v>
      </c>
      <c r="I407" s="403">
        <v>243</v>
      </c>
      <c r="J407" s="374">
        <v>243</v>
      </c>
      <c r="K407" s="403">
        <v>97</v>
      </c>
      <c r="L407" s="217">
        <v>1860</v>
      </c>
      <c r="M407" s="403" t="s">
        <v>153</v>
      </c>
      <c r="N407" s="403" t="s">
        <v>149</v>
      </c>
      <c r="O407" s="403" t="s">
        <v>154</v>
      </c>
      <c r="P407" s="403" t="s">
        <v>151</v>
      </c>
      <c r="Q407" s="403" t="s">
        <v>155</v>
      </c>
      <c r="R407" s="403" t="s">
        <v>7852</v>
      </c>
      <c r="S407" s="403"/>
      <c r="T407" s="403" t="s">
        <v>2963</v>
      </c>
      <c r="U407" s="403" t="s">
        <v>152</v>
      </c>
      <c r="V407" s="403" t="s">
        <v>18</v>
      </c>
    </row>
    <row r="408" spans="1:22">
      <c r="A408" s="6"/>
      <c r="B408" s="216">
        <v>46214</v>
      </c>
      <c r="C408" s="216">
        <v>46214</v>
      </c>
      <c r="D408" s="403" t="s">
        <v>7853</v>
      </c>
      <c r="E408" s="403">
        <v>260105319883</v>
      </c>
      <c r="F408" s="403" t="s">
        <v>87</v>
      </c>
      <c r="G408" s="403" t="s">
        <v>2555</v>
      </c>
      <c r="H408" s="403">
        <v>152</v>
      </c>
      <c r="I408" s="403">
        <v>229</v>
      </c>
      <c r="J408" s="374">
        <v>229</v>
      </c>
      <c r="K408" s="403">
        <v>104</v>
      </c>
      <c r="L408" s="217">
        <v>1500</v>
      </c>
      <c r="M408" s="403" t="s">
        <v>153</v>
      </c>
      <c r="N408" s="403" t="s">
        <v>149</v>
      </c>
      <c r="O408" s="403" t="s">
        <v>154</v>
      </c>
      <c r="P408" s="403" t="s">
        <v>151</v>
      </c>
      <c r="Q408" s="403" t="s">
        <v>155</v>
      </c>
      <c r="R408" s="403" t="s">
        <v>7854</v>
      </c>
      <c r="S408" s="403"/>
      <c r="T408" s="403" t="s">
        <v>2963</v>
      </c>
      <c r="U408" s="403" t="s">
        <v>152</v>
      </c>
      <c r="V408" s="403" t="s">
        <v>18</v>
      </c>
    </row>
    <row r="409" spans="1:22">
      <c r="A409" s="6"/>
      <c r="B409" s="216">
        <v>46214</v>
      </c>
      <c r="C409" s="216">
        <v>46214</v>
      </c>
      <c r="D409" s="403" t="s">
        <v>7855</v>
      </c>
      <c r="E409" s="403">
        <v>260100919886</v>
      </c>
      <c r="F409" s="403" t="s">
        <v>87</v>
      </c>
      <c r="G409" s="403" t="s">
        <v>2656</v>
      </c>
      <c r="H409" s="403">
        <v>202</v>
      </c>
      <c r="I409" s="403">
        <v>359</v>
      </c>
      <c r="J409" s="374">
        <v>359</v>
      </c>
      <c r="K409" s="403">
        <v>180</v>
      </c>
      <c r="L409" s="217">
        <v>500</v>
      </c>
      <c r="M409" s="403" t="s">
        <v>153</v>
      </c>
      <c r="N409" s="403" t="s">
        <v>149</v>
      </c>
      <c r="O409" s="403" t="s">
        <v>154</v>
      </c>
      <c r="P409" s="403" t="s">
        <v>151</v>
      </c>
      <c r="Q409" s="403" t="s">
        <v>155</v>
      </c>
      <c r="R409" s="403" t="s">
        <v>7856</v>
      </c>
      <c r="S409" s="403"/>
      <c r="T409" s="403" t="s">
        <v>2969</v>
      </c>
      <c r="U409" s="403" t="s">
        <v>152</v>
      </c>
      <c r="V409" s="403" t="s">
        <v>18</v>
      </c>
    </row>
    <row r="410" spans="1:22">
      <c r="A410" s="6"/>
      <c r="B410" s="216">
        <v>46214</v>
      </c>
      <c r="C410" s="216">
        <v>46214</v>
      </c>
      <c r="D410" s="403" t="s">
        <v>7857</v>
      </c>
      <c r="E410" s="403">
        <v>260107719852</v>
      </c>
      <c r="F410" s="403" t="s">
        <v>87</v>
      </c>
      <c r="G410" s="403" t="s">
        <v>2409</v>
      </c>
      <c r="H410" s="403">
        <v>132</v>
      </c>
      <c r="I410" s="403">
        <v>254</v>
      </c>
      <c r="J410" s="374">
        <v>254</v>
      </c>
      <c r="K410" s="403">
        <v>97</v>
      </c>
      <c r="L410" s="217">
        <v>1960</v>
      </c>
      <c r="M410" s="403" t="s">
        <v>153</v>
      </c>
      <c r="N410" s="403" t="s">
        <v>149</v>
      </c>
      <c r="O410" s="403" t="s">
        <v>154</v>
      </c>
      <c r="P410" s="403" t="s">
        <v>151</v>
      </c>
      <c r="Q410" s="403" t="s">
        <v>155</v>
      </c>
      <c r="R410" s="403" t="s">
        <v>7858</v>
      </c>
      <c r="S410" s="403"/>
      <c r="T410" s="403" t="s">
        <v>2969</v>
      </c>
      <c r="U410" s="403" t="s">
        <v>152</v>
      </c>
      <c r="V410" s="403" t="s">
        <v>18</v>
      </c>
    </row>
    <row r="411" spans="1:22">
      <c r="A411" s="6"/>
      <c r="B411" s="216">
        <v>46214</v>
      </c>
      <c r="C411" s="216">
        <v>46214</v>
      </c>
      <c r="D411" s="403" t="s">
        <v>7859</v>
      </c>
      <c r="E411" s="403">
        <v>260101719862</v>
      </c>
      <c r="F411" s="403" t="s">
        <v>87</v>
      </c>
      <c r="G411" s="403" t="s">
        <v>2408</v>
      </c>
      <c r="H411" s="403">
        <v>95</v>
      </c>
      <c r="I411" s="403">
        <v>248</v>
      </c>
      <c r="J411" s="374">
        <v>248</v>
      </c>
      <c r="K411" s="403">
        <v>134</v>
      </c>
      <c r="L411" s="217">
        <v>1000</v>
      </c>
      <c r="M411" s="403" t="s">
        <v>153</v>
      </c>
      <c r="N411" s="403" t="s">
        <v>149</v>
      </c>
      <c r="O411" s="403" t="s">
        <v>154</v>
      </c>
      <c r="P411" s="403" t="s">
        <v>151</v>
      </c>
      <c r="Q411" s="403" t="s">
        <v>155</v>
      </c>
      <c r="R411" s="403" t="s">
        <v>7860</v>
      </c>
      <c r="S411" s="403"/>
      <c r="T411" s="403" t="s">
        <v>2969</v>
      </c>
      <c r="U411" s="403" t="s">
        <v>152</v>
      </c>
      <c r="V411" s="403" t="s">
        <v>18</v>
      </c>
    </row>
    <row r="412" spans="1:22">
      <c r="A412" s="6"/>
      <c r="B412" s="216">
        <v>46214</v>
      </c>
      <c r="C412" s="216">
        <v>46214</v>
      </c>
      <c r="D412" s="403" t="s">
        <v>7861</v>
      </c>
      <c r="E412" s="403">
        <v>260104019868</v>
      </c>
      <c r="F412" s="403" t="s">
        <v>87</v>
      </c>
      <c r="G412" s="403" t="s">
        <v>2563</v>
      </c>
      <c r="H412" s="403">
        <v>95</v>
      </c>
      <c r="I412" s="403">
        <v>303</v>
      </c>
      <c r="J412" s="374">
        <v>303</v>
      </c>
      <c r="K412" s="403">
        <v>134</v>
      </c>
      <c r="L412" s="217">
        <v>1200</v>
      </c>
      <c r="M412" s="403" t="s">
        <v>153</v>
      </c>
      <c r="N412" s="403" t="s">
        <v>149</v>
      </c>
      <c r="O412" s="403" t="s">
        <v>154</v>
      </c>
      <c r="P412" s="403" t="s">
        <v>151</v>
      </c>
      <c r="Q412" s="403" t="s">
        <v>155</v>
      </c>
      <c r="R412" s="403" t="s">
        <v>7862</v>
      </c>
      <c r="S412" s="403"/>
      <c r="T412" s="403" t="s">
        <v>2969</v>
      </c>
      <c r="U412" s="403" t="s">
        <v>152</v>
      </c>
      <c r="V412" s="403" t="s">
        <v>18</v>
      </c>
    </row>
    <row r="413" spans="1:22">
      <c r="A413" s="6"/>
      <c r="B413" s="216">
        <v>46214</v>
      </c>
      <c r="C413" s="216">
        <v>46214</v>
      </c>
      <c r="D413" s="403" t="s">
        <v>7863</v>
      </c>
      <c r="E413" s="403">
        <v>260100719887</v>
      </c>
      <c r="F413" s="403" t="s">
        <v>87</v>
      </c>
      <c r="G413" s="403" t="s">
        <v>7197</v>
      </c>
      <c r="H413" s="403">
        <v>182</v>
      </c>
      <c r="I413" s="403">
        <v>323</v>
      </c>
      <c r="J413" s="374">
        <v>323</v>
      </c>
      <c r="K413" s="403">
        <v>150</v>
      </c>
      <c r="L413" s="217">
        <v>600</v>
      </c>
      <c r="M413" s="403" t="s">
        <v>153</v>
      </c>
      <c r="N413" s="403" t="s">
        <v>149</v>
      </c>
      <c r="O413" s="403" t="s">
        <v>154</v>
      </c>
      <c r="P413" s="403" t="s">
        <v>151</v>
      </c>
      <c r="Q413" s="403" t="s">
        <v>155</v>
      </c>
      <c r="R413" s="403" t="s">
        <v>7864</v>
      </c>
      <c r="S413" s="403"/>
      <c r="T413" s="403" t="s">
        <v>2969</v>
      </c>
      <c r="U413" s="403" t="s">
        <v>152</v>
      </c>
      <c r="V413" s="403" t="s">
        <v>18</v>
      </c>
    </row>
    <row r="414" spans="1:22">
      <c r="A414" s="6"/>
      <c r="B414" s="216">
        <v>46214</v>
      </c>
      <c r="C414" s="216">
        <v>46214</v>
      </c>
      <c r="D414" s="403" t="s">
        <v>7865</v>
      </c>
      <c r="E414" s="403">
        <v>260105819894</v>
      </c>
      <c r="F414" s="403" t="s">
        <v>87</v>
      </c>
      <c r="G414" s="403" t="s">
        <v>2646</v>
      </c>
      <c r="H414" s="403">
        <v>152</v>
      </c>
      <c r="I414" s="403">
        <v>272</v>
      </c>
      <c r="J414" s="374">
        <v>272</v>
      </c>
      <c r="K414" s="403">
        <v>105</v>
      </c>
      <c r="L414" s="217">
        <v>1790</v>
      </c>
      <c r="M414" s="403" t="s">
        <v>153</v>
      </c>
      <c r="N414" s="403" t="s">
        <v>149</v>
      </c>
      <c r="O414" s="403" t="s">
        <v>154</v>
      </c>
      <c r="P414" s="403" t="s">
        <v>151</v>
      </c>
      <c r="Q414" s="403" t="s">
        <v>155</v>
      </c>
      <c r="R414" s="403" t="s">
        <v>7866</v>
      </c>
      <c r="S414" s="403"/>
      <c r="T414" s="403" t="s">
        <v>2969</v>
      </c>
      <c r="U414" s="403" t="s">
        <v>152</v>
      </c>
      <c r="V414" s="403" t="s">
        <v>18</v>
      </c>
    </row>
    <row r="415" spans="1:22">
      <c r="A415" s="6"/>
      <c r="B415" s="216">
        <v>46214</v>
      </c>
      <c r="C415" s="216">
        <v>46214</v>
      </c>
      <c r="D415" s="403" t="s">
        <v>7867</v>
      </c>
      <c r="E415" s="403">
        <v>260104219843</v>
      </c>
      <c r="F415" s="403" t="s">
        <v>87</v>
      </c>
      <c r="G415" s="403" t="s">
        <v>7868</v>
      </c>
      <c r="H415" s="403">
        <v>242</v>
      </c>
      <c r="I415" s="403">
        <v>343</v>
      </c>
      <c r="J415" s="374">
        <v>343</v>
      </c>
      <c r="K415" s="403">
        <v>100</v>
      </c>
      <c r="L415" s="217">
        <v>1440</v>
      </c>
      <c r="M415" s="403" t="s">
        <v>153</v>
      </c>
      <c r="N415" s="403" t="s">
        <v>149</v>
      </c>
      <c r="O415" s="403" t="s">
        <v>154</v>
      </c>
      <c r="P415" s="403" t="s">
        <v>151</v>
      </c>
      <c r="Q415" s="403" t="s">
        <v>155</v>
      </c>
      <c r="R415" s="403" t="s">
        <v>7869</v>
      </c>
      <c r="S415" s="403"/>
      <c r="T415" s="403" t="s">
        <v>2969</v>
      </c>
      <c r="U415" s="403" t="s">
        <v>152</v>
      </c>
      <c r="V415" s="403" t="s">
        <v>18</v>
      </c>
    </row>
    <row r="416" spans="1:22">
      <c r="A416" s="6"/>
      <c r="B416" s="216">
        <v>46214</v>
      </c>
      <c r="C416" s="216">
        <v>46214</v>
      </c>
      <c r="D416" s="403" t="s">
        <v>7870</v>
      </c>
      <c r="E416" s="403">
        <v>260107819851</v>
      </c>
      <c r="F416" s="403" t="s">
        <v>87</v>
      </c>
      <c r="G416" s="403" t="s">
        <v>2425</v>
      </c>
      <c r="H416" s="403">
        <v>132</v>
      </c>
      <c r="I416" s="403">
        <v>284</v>
      </c>
      <c r="J416" s="374">
        <v>284</v>
      </c>
      <c r="K416" s="403">
        <v>92</v>
      </c>
      <c r="L416" s="217">
        <v>2400</v>
      </c>
      <c r="M416" s="403" t="s">
        <v>153</v>
      </c>
      <c r="N416" s="403" t="s">
        <v>149</v>
      </c>
      <c r="O416" s="403" t="s">
        <v>154</v>
      </c>
      <c r="P416" s="403" t="s">
        <v>151</v>
      </c>
      <c r="Q416" s="403" t="s">
        <v>155</v>
      </c>
      <c r="R416" s="403" t="s">
        <v>7871</v>
      </c>
      <c r="S416" s="403"/>
      <c r="T416" s="403" t="s">
        <v>2969</v>
      </c>
      <c r="U416" s="403" t="s">
        <v>152</v>
      </c>
      <c r="V416" s="403" t="s">
        <v>18</v>
      </c>
    </row>
    <row r="417" spans="1:22">
      <c r="A417" s="6"/>
      <c r="B417" s="216">
        <v>46214</v>
      </c>
      <c r="C417" s="216">
        <v>46214</v>
      </c>
      <c r="D417" s="403" t="s">
        <v>7872</v>
      </c>
      <c r="E417" s="403">
        <v>260101819863</v>
      </c>
      <c r="F417" s="403" t="s">
        <v>87</v>
      </c>
      <c r="G417" s="403" t="s">
        <v>2408</v>
      </c>
      <c r="H417" s="403">
        <v>95</v>
      </c>
      <c r="I417" s="403">
        <v>250</v>
      </c>
      <c r="J417" s="374">
        <v>250</v>
      </c>
      <c r="K417" s="403">
        <v>134</v>
      </c>
      <c r="L417" s="217">
        <v>1000</v>
      </c>
      <c r="M417" s="403" t="s">
        <v>153</v>
      </c>
      <c r="N417" s="403" t="s">
        <v>149</v>
      </c>
      <c r="O417" s="403" t="s">
        <v>154</v>
      </c>
      <c r="P417" s="403" t="s">
        <v>151</v>
      </c>
      <c r="Q417" s="403" t="s">
        <v>155</v>
      </c>
      <c r="R417" s="403" t="s">
        <v>7873</v>
      </c>
      <c r="S417" s="403"/>
      <c r="T417" s="403" t="s">
        <v>2969</v>
      </c>
      <c r="U417" s="403" t="s">
        <v>152</v>
      </c>
      <c r="V417" s="403" t="s">
        <v>18</v>
      </c>
    </row>
    <row r="418" spans="1:22">
      <c r="A418" s="6"/>
      <c r="B418" s="216">
        <v>46214</v>
      </c>
      <c r="C418" s="216">
        <v>46214</v>
      </c>
      <c r="D418" s="403" t="s">
        <v>7874</v>
      </c>
      <c r="E418" s="403">
        <v>260103719873</v>
      </c>
      <c r="F418" s="403" t="s">
        <v>87</v>
      </c>
      <c r="G418" s="403" t="s">
        <v>2563</v>
      </c>
      <c r="H418" s="403">
        <v>95</v>
      </c>
      <c r="I418" s="403">
        <v>293</v>
      </c>
      <c r="J418" s="374">
        <v>293</v>
      </c>
      <c r="K418" s="403">
        <v>134</v>
      </c>
      <c r="L418" s="217">
        <v>1190</v>
      </c>
      <c r="M418" s="403" t="s">
        <v>153</v>
      </c>
      <c r="N418" s="403" t="s">
        <v>149</v>
      </c>
      <c r="O418" s="403" t="s">
        <v>154</v>
      </c>
      <c r="P418" s="403" t="s">
        <v>151</v>
      </c>
      <c r="Q418" s="403" t="s">
        <v>155</v>
      </c>
      <c r="R418" s="403" t="s">
        <v>7875</v>
      </c>
      <c r="S418" s="403"/>
      <c r="T418" s="403" t="s">
        <v>2969</v>
      </c>
      <c r="U418" s="403" t="s">
        <v>152</v>
      </c>
      <c r="V418" s="403" t="s">
        <v>18</v>
      </c>
    </row>
    <row r="419" spans="1:22">
      <c r="A419" s="6"/>
      <c r="B419" s="216">
        <v>46214</v>
      </c>
      <c r="C419" s="216">
        <v>46214</v>
      </c>
      <c r="D419" s="403" t="s">
        <v>7876</v>
      </c>
      <c r="E419" s="403">
        <v>260100419889</v>
      </c>
      <c r="F419" s="403" t="s">
        <v>87</v>
      </c>
      <c r="G419" s="403" t="s">
        <v>2120</v>
      </c>
      <c r="H419" s="403">
        <v>202</v>
      </c>
      <c r="I419" s="403">
        <v>428</v>
      </c>
      <c r="J419" s="374">
        <v>428</v>
      </c>
      <c r="K419" s="403">
        <v>180</v>
      </c>
      <c r="L419" s="217">
        <v>600</v>
      </c>
      <c r="M419" s="403" t="s">
        <v>153</v>
      </c>
      <c r="N419" s="403" t="s">
        <v>149</v>
      </c>
      <c r="O419" s="403" t="s">
        <v>154</v>
      </c>
      <c r="P419" s="403" t="s">
        <v>151</v>
      </c>
      <c r="Q419" s="403" t="s">
        <v>155</v>
      </c>
      <c r="R419" s="403" t="s">
        <v>7877</v>
      </c>
      <c r="S419" s="403"/>
      <c r="T419" s="403" t="s">
        <v>2969</v>
      </c>
      <c r="U419" s="403" t="s">
        <v>152</v>
      </c>
      <c r="V419" s="403" t="s">
        <v>18</v>
      </c>
    </row>
    <row r="420" spans="1:22">
      <c r="A420" s="6"/>
      <c r="B420" s="216">
        <v>46214</v>
      </c>
      <c r="C420" s="216">
        <v>46214</v>
      </c>
      <c r="D420" s="403" t="s">
        <v>7878</v>
      </c>
      <c r="E420" s="403">
        <v>260102619841</v>
      </c>
      <c r="F420" s="403" t="s">
        <v>87</v>
      </c>
      <c r="G420" s="403" t="s">
        <v>7879</v>
      </c>
      <c r="H420" s="403">
        <v>112</v>
      </c>
      <c r="I420" s="403">
        <v>314</v>
      </c>
      <c r="J420" s="374">
        <v>314</v>
      </c>
      <c r="K420" s="403">
        <v>124</v>
      </c>
      <c r="L420" s="217">
        <v>1150</v>
      </c>
      <c r="M420" s="403" t="s">
        <v>153</v>
      </c>
      <c r="N420" s="403" t="s">
        <v>149</v>
      </c>
      <c r="O420" s="403" t="s">
        <v>154</v>
      </c>
      <c r="P420" s="403" t="s">
        <v>151</v>
      </c>
      <c r="Q420" s="403" t="s">
        <v>155</v>
      </c>
      <c r="R420" s="403" t="s">
        <v>7880</v>
      </c>
      <c r="S420" s="403"/>
      <c r="T420" s="403" t="s">
        <v>2969</v>
      </c>
      <c r="U420" s="403" t="s">
        <v>152</v>
      </c>
      <c r="V420" s="403" t="s">
        <v>18</v>
      </c>
    </row>
    <row r="421" spans="1:22">
      <c r="A421" s="6"/>
      <c r="B421" s="216">
        <v>46214</v>
      </c>
      <c r="C421" s="216">
        <v>46214</v>
      </c>
      <c r="D421" s="403" t="s">
        <v>7881</v>
      </c>
      <c r="E421" s="403">
        <v>260107419856</v>
      </c>
      <c r="F421" s="403" t="s">
        <v>87</v>
      </c>
      <c r="G421" s="403" t="s">
        <v>2562</v>
      </c>
      <c r="H421" s="403">
        <v>125</v>
      </c>
      <c r="I421" s="403">
        <v>262</v>
      </c>
      <c r="J421" s="374">
        <v>262</v>
      </c>
      <c r="K421" s="403">
        <v>97</v>
      </c>
      <c r="L421" s="217">
        <v>2220</v>
      </c>
      <c r="M421" s="403" t="s">
        <v>153</v>
      </c>
      <c r="N421" s="403" t="s">
        <v>149</v>
      </c>
      <c r="O421" s="403" t="s">
        <v>154</v>
      </c>
      <c r="P421" s="403" t="s">
        <v>151</v>
      </c>
      <c r="Q421" s="403" t="s">
        <v>155</v>
      </c>
      <c r="R421" s="403" t="s">
        <v>7882</v>
      </c>
      <c r="S421" s="403"/>
      <c r="T421" s="403" t="s">
        <v>2969</v>
      </c>
      <c r="U421" s="403" t="s">
        <v>152</v>
      </c>
      <c r="V421" s="403" t="s">
        <v>18</v>
      </c>
    </row>
    <row r="422" spans="1:22">
      <c r="A422" s="6"/>
      <c r="B422" s="216">
        <v>46214</v>
      </c>
      <c r="C422" s="216">
        <v>46214</v>
      </c>
      <c r="D422" s="403" t="s">
        <v>7883</v>
      </c>
      <c r="E422" s="403">
        <v>260106819857</v>
      </c>
      <c r="F422" s="403" t="s">
        <v>87</v>
      </c>
      <c r="G422" s="403" t="s">
        <v>2425</v>
      </c>
      <c r="H422" s="403">
        <v>132</v>
      </c>
      <c r="I422" s="403">
        <v>283</v>
      </c>
      <c r="J422" s="374">
        <v>283</v>
      </c>
      <c r="K422" s="403">
        <v>92</v>
      </c>
      <c r="L422" s="217">
        <v>2440</v>
      </c>
      <c r="M422" s="403" t="s">
        <v>153</v>
      </c>
      <c r="N422" s="403" t="s">
        <v>149</v>
      </c>
      <c r="O422" s="403" t="s">
        <v>154</v>
      </c>
      <c r="P422" s="403" t="s">
        <v>151</v>
      </c>
      <c r="Q422" s="403" t="s">
        <v>155</v>
      </c>
      <c r="R422" s="403" t="s">
        <v>7884</v>
      </c>
      <c r="S422" s="403"/>
      <c r="T422" s="403" t="s">
        <v>2969</v>
      </c>
      <c r="U422" s="403" t="s">
        <v>152</v>
      </c>
      <c r="V422" s="403" t="s">
        <v>18</v>
      </c>
    </row>
    <row r="423" spans="1:22">
      <c r="A423" s="6"/>
      <c r="B423" s="216">
        <v>46214</v>
      </c>
      <c r="C423" s="216">
        <v>46214</v>
      </c>
      <c r="D423" s="403" t="s">
        <v>7885</v>
      </c>
      <c r="E423" s="403">
        <v>260103419872</v>
      </c>
      <c r="F423" s="403" t="s">
        <v>87</v>
      </c>
      <c r="G423" s="403" t="s">
        <v>7403</v>
      </c>
      <c r="H423" s="403">
        <v>222</v>
      </c>
      <c r="I423" s="403">
        <v>345</v>
      </c>
      <c r="J423" s="374">
        <v>345</v>
      </c>
      <c r="K423" s="403">
        <v>105</v>
      </c>
      <c r="L423" s="217">
        <v>1500</v>
      </c>
      <c r="M423" s="403" t="s">
        <v>153</v>
      </c>
      <c r="N423" s="403" t="s">
        <v>149</v>
      </c>
      <c r="O423" s="403" t="s">
        <v>154</v>
      </c>
      <c r="P423" s="403" t="s">
        <v>151</v>
      </c>
      <c r="Q423" s="403" t="s">
        <v>155</v>
      </c>
      <c r="R423" s="403" t="s">
        <v>7886</v>
      </c>
      <c r="S423" s="403"/>
      <c r="T423" s="403" t="s">
        <v>2969</v>
      </c>
      <c r="U423" s="403" t="s">
        <v>152</v>
      </c>
      <c r="V423" s="403" t="s">
        <v>18</v>
      </c>
    </row>
    <row r="424" spans="1:22">
      <c r="A424" s="6"/>
      <c r="B424" s="216">
        <v>46214</v>
      </c>
      <c r="C424" s="216">
        <v>46214</v>
      </c>
      <c r="D424" s="403" t="s">
        <v>7887</v>
      </c>
      <c r="E424" s="403">
        <v>260100719836</v>
      </c>
      <c r="F424" s="403" t="s">
        <v>87</v>
      </c>
      <c r="G424" s="403" t="s">
        <v>7197</v>
      </c>
      <c r="H424" s="403">
        <v>182</v>
      </c>
      <c r="I424" s="403">
        <v>376</v>
      </c>
      <c r="J424" s="374">
        <v>376</v>
      </c>
      <c r="K424" s="403">
        <v>150</v>
      </c>
      <c r="L424" s="217">
        <v>720</v>
      </c>
      <c r="M424" s="403" t="s">
        <v>153</v>
      </c>
      <c r="N424" s="403" t="s">
        <v>149</v>
      </c>
      <c r="O424" s="403" t="s">
        <v>154</v>
      </c>
      <c r="P424" s="403" t="s">
        <v>151</v>
      </c>
      <c r="Q424" s="403" t="s">
        <v>155</v>
      </c>
      <c r="R424" s="403" t="s">
        <v>7888</v>
      </c>
      <c r="S424" s="403"/>
      <c r="T424" s="403" t="s">
        <v>2969</v>
      </c>
      <c r="U424" s="403" t="s">
        <v>152</v>
      </c>
      <c r="V424" s="403" t="s">
        <v>18</v>
      </c>
    </row>
    <row r="425" spans="1:22">
      <c r="A425" s="6"/>
      <c r="B425" s="216">
        <v>46214</v>
      </c>
      <c r="C425" s="216">
        <v>46214</v>
      </c>
      <c r="D425" s="403" t="s">
        <v>7889</v>
      </c>
      <c r="E425" s="403">
        <v>260101519840</v>
      </c>
      <c r="F425" s="403" t="s">
        <v>87</v>
      </c>
      <c r="G425" s="403" t="s">
        <v>2120</v>
      </c>
      <c r="H425" s="403">
        <v>92</v>
      </c>
      <c r="I425" s="403">
        <v>342</v>
      </c>
      <c r="J425" s="374">
        <v>342</v>
      </c>
      <c r="K425" s="403">
        <v>180</v>
      </c>
      <c r="L425" s="217">
        <v>1060</v>
      </c>
      <c r="M425" s="403" t="s">
        <v>153</v>
      </c>
      <c r="N425" s="403" t="s">
        <v>149</v>
      </c>
      <c r="O425" s="403" t="s">
        <v>154</v>
      </c>
      <c r="P425" s="403" t="s">
        <v>151</v>
      </c>
      <c r="Q425" s="403" t="s">
        <v>155</v>
      </c>
      <c r="R425" s="403" t="s">
        <v>7890</v>
      </c>
      <c r="S425" s="403"/>
      <c r="T425" s="403" t="s">
        <v>2969</v>
      </c>
      <c r="U425" s="403" t="s">
        <v>152</v>
      </c>
      <c r="V425" s="403" t="s">
        <v>18</v>
      </c>
    </row>
    <row r="426" spans="1:22">
      <c r="A426" s="6"/>
      <c r="B426" s="216">
        <v>46214</v>
      </c>
      <c r="C426" s="216">
        <v>46214</v>
      </c>
      <c r="D426" s="403" t="s">
        <v>7891</v>
      </c>
      <c r="E426" s="403">
        <v>260102519860</v>
      </c>
      <c r="F426" s="403" t="s">
        <v>87</v>
      </c>
      <c r="G426" s="403" t="s">
        <v>7766</v>
      </c>
      <c r="H426" s="403">
        <v>112</v>
      </c>
      <c r="I426" s="403">
        <v>231</v>
      </c>
      <c r="J426" s="374">
        <v>231</v>
      </c>
      <c r="K426" s="403">
        <v>104</v>
      </c>
      <c r="L426" s="217">
        <v>1000</v>
      </c>
      <c r="M426" s="403" t="s">
        <v>153</v>
      </c>
      <c r="N426" s="403" t="s">
        <v>149</v>
      </c>
      <c r="O426" s="403" t="s">
        <v>154</v>
      </c>
      <c r="P426" s="403" t="s">
        <v>151</v>
      </c>
      <c r="Q426" s="403" t="s">
        <v>155</v>
      </c>
      <c r="R426" s="403" t="s">
        <v>7892</v>
      </c>
      <c r="S426" s="403"/>
      <c r="T426" s="403" t="s">
        <v>2969</v>
      </c>
      <c r="U426" s="403" t="s">
        <v>152</v>
      </c>
      <c r="V426" s="403" t="s">
        <v>18</v>
      </c>
    </row>
    <row r="427" spans="1:22">
      <c r="A427" s="6"/>
      <c r="B427" s="216">
        <v>46214</v>
      </c>
      <c r="C427" s="216">
        <v>46214</v>
      </c>
      <c r="D427" s="403" t="s">
        <v>7893</v>
      </c>
      <c r="E427" s="403">
        <v>260100419838</v>
      </c>
      <c r="F427" s="403" t="s">
        <v>87</v>
      </c>
      <c r="G427" s="403" t="s">
        <v>2120</v>
      </c>
      <c r="H427" s="403">
        <v>202</v>
      </c>
      <c r="I427" s="403">
        <v>430</v>
      </c>
      <c r="J427" s="374">
        <v>430</v>
      </c>
      <c r="K427" s="403">
        <v>180</v>
      </c>
      <c r="L427" s="217">
        <v>600</v>
      </c>
      <c r="M427" s="403" t="s">
        <v>153</v>
      </c>
      <c r="N427" s="403" t="s">
        <v>149</v>
      </c>
      <c r="O427" s="403" t="s">
        <v>154</v>
      </c>
      <c r="P427" s="403" t="s">
        <v>151</v>
      </c>
      <c r="Q427" s="403" t="s">
        <v>155</v>
      </c>
      <c r="R427" s="403" t="s">
        <v>7894</v>
      </c>
      <c r="S427" s="403"/>
      <c r="T427" s="403" t="s">
        <v>2969</v>
      </c>
      <c r="U427" s="403" t="s">
        <v>152</v>
      </c>
      <c r="V427" s="403" t="s">
        <v>18</v>
      </c>
    </row>
    <row r="428" spans="1:22">
      <c r="A428" s="6"/>
      <c r="B428" s="216">
        <v>46214</v>
      </c>
      <c r="C428" s="216">
        <v>46214</v>
      </c>
      <c r="D428" s="403" t="s">
        <v>7895</v>
      </c>
      <c r="E428" s="403">
        <v>260100919837</v>
      </c>
      <c r="F428" s="403" t="s">
        <v>87</v>
      </c>
      <c r="G428" s="403" t="s">
        <v>2656</v>
      </c>
      <c r="H428" s="403">
        <v>202</v>
      </c>
      <c r="I428" s="403">
        <v>378</v>
      </c>
      <c r="J428" s="374">
        <v>378</v>
      </c>
      <c r="K428" s="403">
        <v>180</v>
      </c>
      <c r="L428" s="217">
        <v>540</v>
      </c>
      <c r="M428" s="403" t="s">
        <v>153</v>
      </c>
      <c r="N428" s="403" t="s">
        <v>149</v>
      </c>
      <c r="O428" s="403" t="s">
        <v>154</v>
      </c>
      <c r="P428" s="403" t="s">
        <v>151</v>
      </c>
      <c r="Q428" s="403" t="s">
        <v>155</v>
      </c>
      <c r="R428" s="403" t="s">
        <v>7896</v>
      </c>
      <c r="S428" s="403"/>
      <c r="T428" s="403" t="s">
        <v>2969</v>
      </c>
      <c r="U428" s="403" t="s">
        <v>152</v>
      </c>
      <c r="V428" s="403" t="s">
        <v>18</v>
      </c>
    </row>
    <row r="429" spans="1:22">
      <c r="A429" s="6"/>
      <c r="B429" s="216">
        <v>46214</v>
      </c>
      <c r="C429" s="216">
        <v>46214</v>
      </c>
      <c r="D429" s="403" t="s">
        <v>7897</v>
      </c>
      <c r="E429" s="403">
        <v>260107619884</v>
      </c>
      <c r="F429" s="403" t="s">
        <v>87</v>
      </c>
      <c r="G429" s="403" t="s">
        <v>2652</v>
      </c>
      <c r="H429" s="403">
        <v>140</v>
      </c>
      <c r="I429" s="403">
        <v>206</v>
      </c>
      <c r="J429" s="374">
        <v>206</v>
      </c>
      <c r="K429" s="403">
        <v>88</v>
      </c>
      <c r="L429" s="217">
        <v>1720</v>
      </c>
      <c r="M429" s="403" t="s">
        <v>153</v>
      </c>
      <c r="N429" s="403" t="s">
        <v>149</v>
      </c>
      <c r="O429" s="403" t="s">
        <v>154</v>
      </c>
      <c r="P429" s="403" t="s">
        <v>151</v>
      </c>
      <c r="Q429" s="403" t="s">
        <v>155</v>
      </c>
      <c r="R429" s="403" t="s">
        <v>7898</v>
      </c>
      <c r="S429" s="403"/>
      <c r="T429" s="403" t="s">
        <v>2969</v>
      </c>
      <c r="U429" s="403" t="s">
        <v>152</v>
      </c>
      <c r="V429" s="403" t="s">
        <v>18</v>
      </c>
    </row>
    <row r="430" spans="1:22">
      <c r="A430" s="6"/>
      <c r="B430" s="216">
        <v>46214</v>
      </c>
      <c r="C430" s="216">
        <v>46214</v>
      </c>
      <c r="D430" s="403" t="s">
        <v>7899</v>
      </c>
      <c r="E430" s="403">
        <v>260101919864</v>
      </c>
      <c r="F430" s="403" t="s">
        <v>87</v>
      </c>
      <c r="G430" s="403" t="s">
        <v>2563</v>
      </c>
      <c r="H430" s="403">
        <v>95</v>
      </c>
      <c r="I430" s="403">
        <v>245</v>
      </c>
      <c r="J430" s="374">
        <v>245</v>
      </c>
      <c r="K430" s="403">
        <v>134</v>
      </c>
      <c r="L430" s="217">
        <v>1000</v>
      </c>
      <c r="M430" s="403" t="s">
        <v>153</v>
      </c>
      <c r="N430" s="403" t="s">
        <v>149</v>
      </c>
      <c r="O430" s="403" t="s">
        <v>154</v>
      </c>
      <c r="P430" s="403" t="s">
        <v>151</v>
      </c>
      <c r="Q430" s="403" t="s">
        <v>155</v>
      </c>
      <c r="R430" s="403" t="s">
        <v>7900</v>
      </c>
      <c r="S430" s="403"/>
      <c r="T430" s="403" t="s">
        <v>2969</v>
      </c>
      <c r="U430" s="403" t="s">
        <v>152</v>
      </c>
      <c r="V430" s="403" t="s">
        <v>18</v>
      </c>
    </row>
    <row r="431" spans="1:22">
      <c r="A431" s="6"/>
      <c r="B431" s="216">
        <v>46214</v>
      </c>
      <c r="C431" s="216">
        <v>46214</v>
      </c>
      <c r="D431" s="403" t="s">
        <v>7901</v>
      </c>
      <c r="E431" s="403">
        <v>260103919867</v>
      </c>
      <c r="F431" s="403" t="s">
        <v>87</v>
      </c>
      <c r="G431" s="403" t="s">
        <v>2408</v>
      </c>
      <c r="H431" s="403">
        <v>95</v>
      </c>
      <c r="I431" s="403">
        <v>251</v>
      </c>
      <c r="J431" s="374">
        <v>251</v>
      </c>
      <c r="K431" s="403">
        <v>134</v>
      </c>
      <c r="L431" s="217">
        <v>1000</v>
      </c>
      <c r="M431" s="403" t="s">
        <v>153</v>
      </c>
      <c r="N431" s="403" t="s">
        <v>149</v>
      </c>
      <c r="O431" s="403" t="s">
        <v>154</v>
      </c>
      <c r="P431" s="403" t="s">
        <v>151</v>
      </c>
      <c r="Q431" s="403" t="s">
        <v>155</v>
      </c>
      <c r="R431" s="403" t="s">
        <v>7902</v>
      </c>
      <c r="S431" s="403"/>
      <c r="T431" s="403" t="s">
        <v>2969</v>
      </c>
      <c r="U431" s="403" t="s">
        <v>152</v>
      </c>
      <c r="V431" s="403" t="s">
        <v>18</v>
      </c>
    </row>
    <row r="432" spans="1:22">
      <c r="A432" s="6"/>
      <c r="B432" s="216">
        <v>46214</v>
      </c>
      <c r="C432" s="216">
        <v>46214</v>
      </c>
      <c r="D432" s="403" t="s">
        <v>7903</v>
      </c>
      <c r="E432" s="403">
        <v>260103419871</v>
      </c>
      <c r="F432" s="403" t="s">
        <v>87</v>
      </c>
      <c r="G432" s="403" t="s">
        <v>7403</v>
      </c>
      <c r="H432" s="403">
        <v>222</v>
      </c>
      <c r="I432" s="403">
        <v>344</v>
      </c>
      <c r="J432" s="374">
        <v>344</v>
      </c>
      <c r="K432" s="403">
        <v>105</v>
      </c>
      <c r="L432" s="217">
        <v>1500</v>
      </c>
      <c r="M432" s="403" t="s">
        <v>153</v>
      </c>
      <c r="N432" s="403" t="s">
        <v>149</v>
      </c>
      <c r="O432" s="403" t="s">
        <v>154</v>
      </c>
      <c r="P432" s="403" t="s">
        <v>151</v>
      </c>
      <c r="Q432" s="403" t="s">
        <v>155</v>
      </c>
      <c r="R432" s="403" t="s">
        <v>7904</v>
      </c>
      <c r="S432" s="403"/>
      <c r="T432" s="403" t="s">
        <v>2969</v>
      </c>
      <c r="U432" s="403" t="s">
        <v>152</v>
      </c>
      <c r="V432" s="403" t="s">
        <v>18</v>
      </c>
    </row>
    <row r="433" spans="1:22">
      <c r="A433" s="6"/>
      <c r="B433" s="216">
        <v>46214</v>
      </c>
      <c r="C433" s="216">
        <v>46214</v>
      </c>
      <c r="D433" s="403" t="s">
        <v>7905</v>
      </c>
      <c r="E433" s="403">
        <v>260102719859</v>
      </c>
      <c r="F433" s="403" t="s">
        <v>87</v>
      </c>
      <c r="G433" s="403" t="s">
        <v>2554</v>
      </c>
      <c r="H433" s="403">
        <v>102</v>
      </c>
      <c r="I433" s="403">
        <v>252</v>
      </c>
      <c r="J433" s="374">
        <v>252</v>
      </c>
      <c r="K433" s="403">
        <v>125</v>
      </c>
      <c r="L433" s="217">
        <v>1000</v>
      </c>
      <c r="M433" s="403" t="s">
        <v>153</v>
      </c>
      <c r="N433" s="403" t="s">
        <v>149</v>
      </c>
      <c r="O433" s="403" t="s">
        <v>154</v>
      </c>
      <c r="P433" s="403" t="s">
        <v>151</v>
      </c>
      <c r="Q433" s="403" t="s">
        <v>155</v>
      </c>
      <c r="R433" s="403" t="s">
        <v>7906</v>
      </c>
      <c r="S433" s="403"/>
      <c r="T433" s="403" t="s">
        <v>2969</v>
      </c>
      <c r="U433" s="403" t="s">
        <v>152</v>
      </c>
      <c r="V433" s="403" t="s">
        <v>18</v>
      </c>
    </row>
    <row r="434" spans="1:22">
      <c r="A434" s="6"/>
      <c r="B434" s="216">
        <v>46214</v>
      </c>
      <c r="C434" s="216">
        <v>46214</v>
      </c>
      <c r="D434" s="403" t="s">
        <v>7907</v>
      </c>
      <c r="E434" s="403">
        <v>260102019865</v>
      </c>
      <c r="F434" s="403" t="s">
        <v>87</v>
      </c>
      <c r="G434" s="403" t="s">
        <v>2563</v>
      </c>
      <c r="H434" s="403">
        <v>95</v>
      </c>
      <c r="I434" s="403">
        <v>244</v>
      </c>
      <c r="J434" s="375">
        <v>244</v>
      </c>
      <c r="K434" s="403">
        <v>134</v>
      </c>
      <c r="L434" s="217">
        <v>1000</v>
      </c>
      <c r="M434" s="403" t="s">
        <v>153</v>
      </c>
      <c r="N434" s="403" t="s">
        <v>149</v>
      </c>
      <c r="O434" s="403" t="s">
        <v>154</v>
      </c>
      <c r="P434" s="403" t="s">
        <v>151</v>
      </c>
      <c r="Q434" s="403" t="s">
        <v>155</v>
      </c>
      <c r="R434" s="403" t="s">
        <v>7908</v>
      </c>
      <c r="S434" s="403"/>
      <c r="T434" s="403" t="s">
        <v>2969</v>
      </c>
      <c r="U434" s="403" t="s">
        <v>152</v>
      </c>
      <c r="V434" s="403" t="s">
        <v>18</v>
      </c>
    </row>
    <row r="435" spans="1:22">
      <c r="A435" s="6"/>
      <c r="B435" s="216">
        <v>46214</v>
      </c>
      <c r="C435" s="216">
        <v>46214</v>
      </c>
      <c r="D435" s="403" t="s">
        <v>7909</v>
      </c>
      <c r="E435" s="403">
        <v>260101319834</v>
      </c>
      <c r="F435" s="403" t="s">
        <v>87</v>
      </c>
      <c r="G435" s="403" t="s">
        <v>7026</v>
      </c>
      <c r="H435" s="403" t="s">
        <v>7027</v>
      </c>
      <c r="I435" s="403">
        <v>988</v>
      </c>
      <c r="J435" s="374">
        <v>988</v>
      </c>
      <c r="K435" s="403">
        <v>190</v>
      </c>
      <c r="L435" s="217">
        <v>1650</v>
      </c>
      <c r="M435" s="403" t="s">
        <v>153</v>
      </c>
      <c r="N435" s="403" t="s">
        <v>149</v>
      </c>
      <c r="O435" s="403" t="s">
        <v>154</v>
      </c>
      <c r="P435" s="403" t="s">
        <v>151</v>
      </c>
      <c r="Q435" s="403" t="s">
        <v>156</v>
      </c>
      <c r="R435" s="403" t="s">
        <v>7910</v>
      </c>
      <c r="S435" s="403"/>
      <c r="T435" s="403" t="s">
        <v>2969</v>
      </c>
      <c r="U435" s="403" t="s">
        <v>152</v>
      </c>
      <c r="V435" s="403" t="s">
        <v>20</v>
      </c>
    </row>
    <row r="436" spans="1:22">
      <c r="A436" s="6"/>
      <c r="B436" s="216">
        <v>46214</v>
      </c>
      <c r="C436" s="216">
        <v>46214</v>
      </c>
      <c r="D436" s="403" t="s">
        <v>7911</v>
      </c>
      <c r="E436" s="403">
        <v>260101319011</v>
      </c>
      <c r="F436" s="403" t="s">
        <v>87</v>
      </c>
      <c r="G436" s="403" t="s">
        <v>7026</v>
      </c>
      <c r="H436" s="403" t="s">
        <v>7027</v>
      </c>
      <c r="I436" s="403">
        <v>768</v>
      </c>
      <c r="J436" s="374">
        <v>768</v>
      </c>
      <c r="K436" s="403">
        <v>190</v>
      </c>
      <c r="L436" s="217">
        <v>1300</v>
      </c>
      <c r="M436" s="403" t="s">
        <v>153</v>
      </c>
      <c r="N436" s="403" t="s">
        <v>149</v>
      </c>
      <c r="O436" s="403" t="s">
        <v>154</v>
      </c>
      <c r="P436" s="403" t="s">
        <v>151</v>
      </c>
      <c r="Q436" s="403" t="s">
        <v>156</v>
      </c>
      <c r="R436" s="403" t="s">
        <v>7912</v>
      </c>
      <c r="S436" s="403"/>
      <c r="T436" s="403" t="s">
        <v>2969</v>
      </c>
      <c r="U436" s="403" t="s">
        <v>152</v>
      </c>
      <c r="V436" s="403" t="s">
        <v>20</v>
      </c>
    </row>
    <row r="437" spans="1:22">
      <c r="A437" s="6"/>
      <c r="B437" s="216">
        <v>46215</v>
      </c>
      <c r="C437" s="216">
        <v>46215</v>
      </c>
      <c r="D437" s="403" t="s">
        <v>7913</v>
      </c>
      <c r="E437" s="403">
        <v>260101519924</v>
      </c>
      <c r="F437" s="403" t="s">
        <v>87</v>
      </c>
      <c r="G437" s="403" t="s">
        <v>2120</v>
      </c>
      <c r="H437" s="403">
        <v>92</v>
      </c>
      <c r="I437" s="403">
        <v>322</v>
      </c>
      <c r="J437" s="374">
        <v>322</v>
      </c>
      <c r="K437" s="403">
        <v>180</v>
      </c>
      <c r="L437" s="217">
        <v>1000</v>
      </c>
      <c r="M437" s="403" t="s">
        <v>153</v>
      </c>
      <c r="N437" s="403" t="s">
        <v>149</v>
      </c>
      <c r="O437" s="403" t="s">
        <v>154</v>
      </c>
      <c r="P437" s="403" t="s">
        <v>151</v>
      </c>
      <c r="Q437" s="403" t="s">
        <v>155</v>
      </c>
      <c r="R437" s="403" t="s">
        <v>7914</v>
      </c>
      <c r="S437" s="403"/>
      <c r="T437" s="403" t="s">
        <v>2985</v>
      </c>
      <c r="U437" s="403" t="s">
        <v>152</v>
      </c>
      <c r="V437" s="403" t="s">
        <v>18</v>
      </c>
    </row>
    <row r="438" spans="1:22">
      <c r="A438" s="6"/>
      <c r="B438" s="216">
        <v>46215</v>
      </c>
      <c r="C438" s="216">
        <v>46215</v>
      </c>
      <c r="D438" s="403" t="s">
        <v>7915</v>
      </c>
      <c r="E438" s="403">
        <v>260102619928</v>
      </c>
      <c r="F438" s="403" t="s">
        <v>87</v>
      </c>
      <c r="G438" s="403" t="s">
        <v>7879</v>
      </c>
      <c r="H438" s="403">
        <v>112</v>
      </c>
      <c r="I438" s="403">
        <v>360</v>
      </c>
      <c r="J438" s="374">
        <v>360</v>
      </c>
      <c r="K438" s="403">
        <v>124</v>
      </c>
      <c r="L438" s="217">
        <v>1300</v>
      </c>
      <c r="M438" s="403" t="s">
        <v>153</v>
      </c>
      <c r="N438" s="403" t="s">
        <v>149</v>
      </c>
      <c r="O438" s="403" t="s">
        <v>154</v>
      </c>
      <c r="P438" s="403" t="s">
        <v>151</v>
      </c>
      <c r="Q438" s="403" t="s">
        <v>155</v>
      </c>
      <c r="R438" s="403" t="s">
        <v>7916</v>
      </c>
      <c r="S438" s="403"/>
      <c r="T438" s="403" t="s">
        <v>2985</v>
      </c>
      <c r="U438" s="403" t="s">
        <v>152</v>
      </c>
      <c r="V438" s="403" t="s">
        <v>18</v>
      </c>
    </row>
    <row r="439" spans="1:22">
      <c r="A439" s="6"/>
      <c r="B439" s="216">
        <v>46215</v>
      </c>
      <c r="C439" s="216">
        <v>46215</v>
      </c>
      <c r="D439" s="403" t="s">
        <v>7917</v>
      </c>
      <c r="E439" s="403">
        <v>260107719951</v>
      </c>
      <c r="F439" s="403" t="s">
        <v>87</v>
      </c>
      <c r="G439" s="403" t="s">
        <v>2409</v>
      </c>
      <c r="H439" s="403">
        <v>132</v>
      </c>
      <c r="I439" s="403">
        <v>293</v>
      </c>
      <c r="J439" s="374">
        <v>293</v>
      </c>
      <c r="K439" s="403">
        <v>97</v>
      </c>
      <c r="L439" s="217">
        <v>2430</v>
      </c>
      <c r="M439" s="403" t="s">
        <v>153</v>
      </c>
      <c r="N439" s="403" t="s">
        <v>149</v>
      </c>
      <c r="O439" s="403" t="s">
        <v>154</v>
      </c>
      <c r="P439" s="403" t="s">
        <v>151</v>
      </c>
      <c r="Q439" s="403" t="s">
        <v>155</v>
      </c>
      <c r="R439" s="403" t="s">
        <v>7918</v>
      </c>
      <c r="S439" s="403"/>
      <c r="T439" s="403" t="s">
        <v>2985</v>
      </c>
      <c r="U439" s="403" t="s">
        <v>152</v>
      </c>
      <c r="V439" s="403" t="s">
        <v>18</v>
      </c>
    </row>
    <row r="440" spans="1:22">
      <c r="A440" s="6"/>
      <c r="B440" s="216">
        <v>46215</v>
      </c>
      <c r="C440" s="216">
        <v>46215</v>
      </c>
      <c r="D440" s="403" t="s">
        <v>7919</v>
      </c>
      <c r="E440" s="403">
        <v>260103319919</v>
      </c>
      <c r="F440" s="403" t="s">
        <v>87</v>
      </c>
      <c r="G440" s="403" t="s">
        <v>2310</v>
      </c>
      <c r="H440" s="403">
        <v>172</v>
      </c>
      <c r="I440" s="403">
        <v>216</v>
      </c>
      <c r="J440" s="374">
        <v>216</v>
      </c>
      <c r="K440" s="403">
        <v>87</v>
      </c>
      <c r="L440" s="217">
        <v>1500</v>
      </c>
      <c r="M440" s="403" t="s">
        <v>153</v>
      </c>
      <c r="N440" s="403" t="s">
        <v>149</v>
      </c>
      <c r="O440" s="403" t="s">
        <v>154</v>
      </c>
      <c r="P440" s="403" t="s">
        <v>151</v>
      </c>
      <c r="Q440" s="403" t="s">
        <v>155</v>
      </c>
      <c r="R440" s="403" t="s">
        <v>7920</v>
      </c>
      <c r="S440" s="403"/>
      <c r="T440" s="403" t="s">
        <v>2985</v>
      </c>
      <c r="U440" s="403" t="s">
        <v>152</v>
      </c>
      <c r="V440" s="403" t="s">
        <v>18</v>
      </c>
    </row>
    <row r="441" spans="1:22">
      <c r="A441" s="6"/>
      <c r="B441" s="216">
        <v>46215</v>
      </c>
      <c r="C441" s="216">
        <v>46215</v>
      </c>
      <c r="D441" s="403" t="s">
        <v>7921</v>
      </c>
      <c r="E441" s="403">
        <v>260100419922</v>
      </c>
      <c r="F441" s="403" t="s">
        <v>87</v>
      </c>
      <c r="G441" s="403" t="s">
        <v>2120</v>
      </c>
      <c r="H441" s="403">
        <v>202</v>
      </c>
      <c r="I441" s="403">
        <v>423</v>
      </c>
      <c r="J441" s="374">
        <v>423</v>
      </c>
      <c r="K441" s="403">
        <v>180</v>
      </c>
      <c r="L441" s="217">
        <v>600</v>
      </c>
      <c r="M441" s="403" t="s">
        <v>153</v>
      </c>
      <c r="N441" s="403" t="s">
        <v>149</v>
      </c>
      <c r="O441" s="403" t="s">
        <v>154</v>
      </c>
      <c r="P441" s="403" t="s">
        <v>151</v>
      </c>
      <c r="Q441" s="403" t="s">
        <v>155</v>
      </c>
      <c r="R441" s="403" t="s">
        <v>7922</v>
      </c>
      <c r="S441" s="403"/>
      <c r="T441" s="403" t="s">
        <v>2985</v>
      </c>
      <c r="U441" s="403" t="s">
        <v>152</v>
      </c>
      <c r="V441" s="403" t="s">
        <v>18</v>
      </c>
    </row>
    <row r="442" spans="1:22">
      <c r="A442" s="6"/>
      <c r="B442" s="216">
        <v>46215</v>
      </c>
      <c r="C442" s="216">
        <v>46215</v>
      </c>
      <c r="D442" s="403" t="s">
        <v>7923</v>
      </c>
      <c r="E442" s="403">
        <v>260101919938</v>
      </c>
      <c r="F442" s="403" t="s">
        <v>87</v>
      </c>
      <c r="G442" s="403" t="s">
        <v>2563</v>
      </c>
      <c r="H442" s="403">
        <v>95</v>
      </c>
      <c r="I442" s="403">
        <v>251</v>
      </c>
      <c r="J442" s="374">
        <v>251</v>
      </c>
      <c r="K442" s="403">
        <v>134</v>
      </c>
      <c r="L442" s="217">
        <v>1050</v>
      </c>
      <c r="M442" s="403" t="s">
        <v>153</v>
      </c>
      <c r="N442" s="403" t="s">
        <v>149</v>
      </c>
      <c r="O442" s="403" t="s">
        <v>154</v>
      </c>
      <c r="P442" s="403" t="s">
        <v>151</v>
      </c>
      <c r="Q442" s="403" t="s">
        <v>155</v>
      </c>
      <c r="R442" s="403" t="s">
        <v>7924</v>
      </c>
      <c r="S442" s="403"/>
      <c r="T442" s="403" t="s">
        <v>2985</v>
      </c>
      <c r="U442" s="403" t="s">
        <v>152</v>
      </c>
      <c r="V442" s="403" t="s">
        <v>18</v>
      </c>
    </row>
    <row r="443" spans="1:22">
      <c r="A443" s="6"/>
      <c r="B443" s="216">
        <v>46215</v>
      </c>
      <c r="C443" s="216">
        <v>46215</v>
      </c>
      <c r="D443" s="403" t="s">
        <v>7925</v>
      </c>
      <c r="E443" s="403">
        <v>260104019942</v>
      </c>
      <c r="F443" s="403" t="s">
        <v>87</v>
      </c>
      <c r="G443" s="403" t="s">
        <v>2563</v>
      </c>
      <c r="H443" s="403">
        <v>95</v>
      </c>
      <c r="I443" s="403">
        <v>314</v>
      </c>
      <c r="J443" s="374">
        <v>314</v>
      </c>
      <c r="K443" s="403">
        <v>134</v>
      </c>
      <c r="L443" s="217">
        <v>1270</v>
      </c>
      <c r="M443" s="403" t="s">
        <v>153</v>
      </c>
      <c r="N443" s="403" t="s">
        <v>149</v>
      </c>
      <c r="O443" s="403" t="s">
        <v>154</v>
      </c>
      <c r="P443" s="403" t="s">
        <v>151</v>
      </c>
      <c r="Q443" s="403" t="s">
        <v>155</v>
      </c>
      <c r="R443" s="403" t="s">
        <v>7926</v>
      </c>
      <c r="S443" s="403"/>
      <c r="T443" s="403" t="s">
        <v>2985</v>
      </c>
      <c r="U443" s="403" t="s">
        <v>152</v>
      </c>
      <c r="V443" s="403" t="s">
        <v>18</v>
      </c>
    </row>
    <row r="444" spans="1:22">
      <c r="A444" s="6"/>
      <c r="B444" s="216">
        <v>46215</v>
      </c>
      <c r="C444" s="216">
        <v>46215</v>
      </c>
      <c r="D444" s="403" t="s">
        <v>7927</v>
      </c>
      <c r="E444" s="403">
        <v>260107619954</v>
      </c>
      <c r="F444" s="403" t="s">
        <v>87</v>
      </c>
      <c r="G444" s="403" t="s">
        <v>7928</v>
      </c>
      <c r="H444" s="403">
        <v>132</v>
      </c>
      <c r="I444" s="403">
        <v>245</v>
      </c>
      <c r="J444" s="374">
        <v>245</v>
      </c>
      <c r="K444" s="403">
        <v>87</v>
      </c>
      <c r="L444" s="217">
        <v>2250</v>
      </c>
      <c r="M444" s="403" t="s">
        <v>153</v>
      </c>
      <c r="N444" s="403" t="s">
        <v>149</v>
      </c>
      <c r="O444" s="403" t="s">
        <v>154</v>
      </c>
      <c r="P444" s="403" t="s">
        <v>151</v>
      </c>
      <c r="Q444" s="403" t="s">
        <v>155</v>
      </c>
      <c r="R444" s="403" t="s">
        <v>7929</v>
      </c>
      <c r="S444" s="403"/>
      <c r="T444" s="403" t="s">
        <v>2985</v>
      </c>
      <c r="U444" s="403" t="s">
        <v>152</v>
      </c>
      <c r="V444" s="403" t="s">
        <v>18</v>
      </c>
    </row>
    <row r="445" spans="1:22">
      <c r="A445" s="6"/>
      <c r="B445" s="216">
        <v>46215</v>
      </c>
      <c r="C445" s="216">
        <v>46215</v>
      </c>
      <c r="D445" s="403" t="s">
        <v>7930</v>
      </c>
      <c r="E445" s="403">
        <v>260101819930</v>
      </c>
      <c r="F445" s="403" t="s">
        <v>87</v>
      </c>
      <c r="G445" s="403" t="s">
        <v>2408</v>
      </c>
      <c r="H445" s="403">
        <v>95</v>
      </c>
      <c r="I445" s="403">
        <v>247</v>
      </c>
      <c r="J445" s="374">
        <v>247</v>
      </c>
      <c r="K445" s="403">
        <v>134</v>
      </c>
      <c r="L445" s="217">
        <v>1035</v>
      </c>
      <c r="M445" s="403" t="s">
        <v>153</v>
      </c>
      <c r="N445" s="403" t="s">
        <v>149</v>
      </c>
      <c r="O445" s="403" t="s">
        <v>154</v>
      </c>
      <c r="P445" s="403" t="s">
        <v>151</v>
      </c>
      <c r="Q445" s="403" t="s">
        <v>155</v>
      </c>
      <c r="R445" s="403" t="s">
        <v>7931</v>
      </c>
      <c r="S445" s="403"/>
      <c r="T445" s="403" t="s">
        <v>2985</v>
      </c>
      <c r="U445" s="403" t="s">
        <v>152</v>
      </c>
      <c r="V445" s="403" t="s">
        <v>18</v>
      </c>
    </row>
    <row r="446" spans="1:22">
      <c r="A446" s="6"/>
      <c r="B446" s="216">
        <v>46215</v>
      </c>
      <c r="C446" s="216">
        <v>46215</v>
      </c>
      <c r="D446" s="403" t="s">
        <v>7932</v>
      </c>
      <c r="E446" s="403">
        <v>260102019937</v>
      </c>
      <c r="F446" s="403" t="s">
        <v>87</v>
      </c>
      <c r="G446" s="403" t="s">
        <v>2563</v>
      </c>
      <c r="H446" s="403">
        <v>95</v>
      </c>
      <c r="I446" s="403">
        <v>249</v>
      </c>
      <c r="J446" s="374">
        <v>249</v>
      </c>
      <c r="K446" s="403">
        <v>134</v>
      </c>
      <c r="L446" s="217">
        <v>1000</v>
      </c>
      <c r="M446" s="403" t="s">
        <v>153</v>
      </c>
      <c r="N446" s="403" t="s">
        <v>149</v>
      </c>
      <c r="O446" s="403" t="s">
        <v>154</v>
      </c>
      <c r="P446" s="403" t="s">
        <v>151</v>
      </c>
      <c r="Q446" s="403" t="s">
        <v>155</v>
      </c>
      <c r="R446" s="403" t="s">
        <v>7933</v>
      </c>
      <c r="S446" s="403"/>
      <c r="T446" s="403" t="s">
        <v>2985</v>
      </c>
      <c r="U446" s="403" t="s">
        <v>152</v>
      </c>
      <c r="V446" s="403" t="s">
        <v>18</v>
      </c>
    </row>
    <row r="447" spans="1:22">
      <c r="A447" s="6"/>
      <c r="B447" s="216">
        <v>46215</v>
      </c>
      <c r="C447" s="216">
        <v>46215</v>
      </c>
      <c r="D447" s="403" t="s">
        <v>7934</v>
      </c>
      <c r="E447" s="403">
        <v>260102819925</v>
      </c>
      <c r="F447" s="403" t="s">
        <v>87</v>
      </c>
      <c r="G447" s="403" t="s">
        <v>2516</v>
      </c>
      <c r="H447" s="403">
        <v>95</v>
      </c>
      <c r="I447" s="403">
        <v>346</v>
      </c>
      <c r="J447" s="374">
        <v>346</v>
      </c>
      <c r="K447" s="403">
        <v>130</v>
      </c>
      <c r="L447" s="217">
        <v>1455</v>
      </c>
      <c r="M447" s="403" t="s">
        <v>153</v>
      </c>
      <c r="N447" s="403" t="s">
        <v>149</v>
      </c>
      <c r="O447" s="403" t="s">
        <v>154</v>
      </c>
      <c r="P447" s="403" t="s">
        <v>151</v>
      </c>
      <c r="Q447" s="403" t="s">
        <v>155</v>
      </c>
      <c r="R447" s="403" t="s">
        <v>7935</v>
      </c>
      <c r="S447" s="403"/>
      <c r="T447" s="403" t="s">
        <v>2985</v>
      </c>
      <c r="U447" s="403" t="s">
        <v>152</v>
      </c>
      <c r="V447" s="403" t="s">
        <v>18</v>
      </c>
    </row>
    <row r="448" spans="1:22">
      <c r="A448" s="6"/>
      <c r="B448" s="216">
        <v>46215</v>
      </c>
      <c r="C448" s="216">
        <v>46215</v>
      </c>
      <c r="D448" s="403" t="s">
        <v>7936</v>
      </c>
      <c r="E448" s="403">
        <v>260101719926</v>
      </c>
      <c r="F448" s="403" t="s">
        <v>87</v>
      </c>
      <c r="G448" s="403" t="s">
        <v>2408</v>
      </c>
      <c r="H448" s="403">
        <v>95</v>
      </c>
      <c r="I448" s="403">
        <v>243</v>
      </c>
      <c r="J448" s="374">
        <v>243</v>
      </c>
      <c r="K448" s="403">
        <v>134</v>
      </c>
      <c r="L448" s="217">
        <v>1000</v>
      </c>
      <c r="M448" s="403" t="s">
        <v>153</v>
      </c>
      <c r="N448" s="403" t="s">
        <v>149</v>
      </c>
      <c r="O448" s="403" t="s">
        <v>154</v>
      </c>
      <c r="P448" s="403" t="s">
        <v>151</v>
      </c>
      <c r="Q448" s="403" t="s">
        <v>155</v>
      </c>
      <c r="R448" s="403" t="s">
        <v>7937</v>
      </c>
      <c r="S448" s="403"/>
      <c r="T448" s="403" t="s">
        <v>2985</v>
      </c>
      <c r="U448" s="403" t="s">
        <v>152</v>
      </c>
      <c r="V448" s="403" t="s">
        <v>18</v>
      </c>
    </row>
    <row r="449" spans="1:22">
      <c r="A449" s="6"/>
      <c r="B449" s="216">
        <v>46215</v>
      </c>
      <c r="C449" s="216">
        <v>46215</v>
      </c>
      <c r="D449" s="403" t="s">
        <v>7938</v>
      </c>
      <c r="E449" s="403">
        <v>260100419955</v>
      </c>
      <c r="F449" s="403" t="s">
        <v>87</v>
      </c>
      <c r="G449" s="403" t="s">
        <v>2120</v>
      </c>
      <c r="H449" s="403">
        <v>202</v>
      </c>
      <c r="I449" s="403">
        <v>425</v>
      </c>
      <c r="J449" s="374">
        <v>425</v>
      </c>
      <c r="K449" s="403">
        <v>180</v>
      </c>
      <c r="L449" s="217">
        <v>600</v>
      </c>
      <c r="M449" s="403" t="s">
        <v>153</v>
      </c>
      <c r="N449" s="403" t="s">
        <v>149</v>
      </c>
      <c r="O449" s="403" t="s">
        <v>154</v>
      </c>
      <c r="P449" s="403" t="s">
        <v>151</v>
      </c>
      <c r="Q449" s="403" t="s">
        <v>155</v>
      </c>
      <c r="R449" s="403" t="s">
        <v>7939</v>
      </c>
      <c r="S449" s="403"/>
      <c r="T449" s="403" t="s">
        <v>2985</v>
      </c>
      <c r="U449" s="403" t="s">
        <v>152</v>
      </c>
      <c r="V449" s="403" t="s">
        <v>18</v>
      </c>
    </row>
    <row r="450" spans="1:22">
      <c r="A450" s="6"/>
      <c r="B450" s="216">
        <v>46215</v>
      </c>
      <c r="C450" s="216">
        <v>46215</v>
      </c>
      <c r="D450" s="403" t="s">
        <v>7940</v>
      </c>
      <c r="E450" s="403">
        <v>260102719934</v>
      </c>
      <c r="F450" s="403" t="s">
        <v>87</v>
      </c>
      <c r="G450" s="403" t="s">
        <v>2554</v>
      </c>
      <c r="H450" s="403">
        <v>102</v>
      </c>
      <c r="I450" s="403">
        <v>249</v>
      </c>
      <c r="J450" s="374">
        <v>249</v>
      </c>
      <c r="K450" s="403">
        <v>125</v>
      </c>
      <c r="L450" s="217">
        <v>1000</v>
      </c>
      <c r="M450" s="403" t="s">
        <v>153</v>
      </c>
      <c r="N450" s="403" t="s">
        <v>149</v>
      </c>
      <c r="O450" s="403" t="s">
        <v>154</v>
      </c>
      <c r="P450" s="403" t="s">
        <v>151</v>
      </c>
      <c r="Q450" s="403" t="s">
        <v>155</v>
      </c>
      <c r="R450" s="403" t="s">
        <v>7941</v>
      </c>
      <c r="S450" s="403"/>
      <c r="T450" s="403" t="s">
        <v>2985</v>
      </c>
      <c r="U450" s="403" t="s">
        <v>152</v>
      </c>
      <c r="V450" s="403" t="s">
        <v>18</v>
      </c>
    </row>
    <row r="451" spans="1:22">
      <c r="A451" s="6"/>
      <c r="B451" s="216">
        <v>46215</v>
      </c>
      <c r="C451" s="216">
        <v>46215</v>
      </c>
      <c r="D451" s="403" t="s">
        <v>7942</v>
      </c>
      <c r="E451" s="403">
        <v>260107819950</v>
      </c>
      <c r="F451" s="403" t="s">
        <v>87</v>
      </c>
      <c r="G451" s="403" t="s">
        <v>2425</v>
      </c>
      <c r="H451" s="403">
        <v>132</v>
      </c>
      <c r="I451" s="403">
        <v>283</v>
      </c>
      <c r="J451" s="374">
        <v>283</v>
      </c>
      <c r="K451" s="403">
        <v>92</v>
      </c>
      <c r="L451" s="217">
        <v>2325</v>
      </c>
      <c r="M451" s="403" t="s">
        <v>153</v>
      </c>
      <c r="N451" s="403" t="s">
        <v>149</v>
      </c>
      <c r="O451" s="403" t="s">
        <v>154</v>
      </c>
      <c r="P451" s="403" t="s">
        <v>151</v>
      </c>
      <c r="Q451" s="403" t="s">
        <v>155</v>
      </c>
      <c r="R451" s="403" t="s">
        <v>7943</v>
      </c>
      <c r="S451" s="403"/>
      <c r="T451" s="403" t="s">
        <v>2985</v>
      </c>
      <c r="U451" s="403" t="s">
        <v>152</v>
      </c>
      <c r="V451" s="403" t="s">
        <v>18</v>
      </c>
    </row>
    <row r="452" spans="1:22">
      <c r="A452" s="6"/>
      <c r="B452" s="216">
        <v>46215</v>
      </c>
      <c r="C452" s="216">
        <v>46215</v>
      </c>
      <c r="D452" s="403" t="s">
        <v>7944</v>
      </c>
      <c r="E452" s="403">
        <v>260106819952</v>
      </c>
      <c r="F452" s="403" t="s">
        <v>87</v>
      </c>
      <c r="G452" s="403" t="s">
        <v>2425</v>
      </c>
      <c r="H452" s="403">
        <v>132</v>
      </c>
      <c r="I452" s="403">
        <v>276</v>
      </c>
      <c r="J452" s="374">
        <v>276</v>
      </c>
      <c r="K452" s="403">
        <v>92</v>
      </c>
      <c r="L452" s="217">
        <v>2380</v>
      </c>
      <c r="M452" s="403" t="s">
        <v>153</v>
      </c>
      <c r="N452" s="403" t="s">
        <v>149</v>
      </c>
      <c r="O452" s="403" t="s">
        <v>154</v>
      </c>
      <c r="P452" s="403" t="s">
        <v>151</v>
      </c>
      <c r="Q452" s="403" t="s">
        <v>155</v>
      </c>
      <c r="R452" s="403" t="s">
        <v>7945</v>
      </c>
      <c r="S452" s="403"/>
      <c r="T452" s="403" t="s">
        <v>2985</v>
      </c>
      <c r="U452" s="403" t="s">
        <v>152</v>
      </c>
      <c r="V452" s="403" t="s">
        <v>18</v>
      </c>
    </row>
    <row r="453" spans="1:22">
      <c r="A453" s="6"/>
      <c r="B453" s="216">
        <v>46215</v>
      </c>
      <c r="C453" s="216">
        <v>46215</v>
      </c>
      <c r="D453" s="403" t="s">
        <v>7946</v>
      </c>
      <c r="E453" s="403">
        <v>260100919931</v>
      </c>
      <c r="F453" s="403" t="s">
        <v>87</v>
      </c>
      <c r="G453" s="403" t="s">
        <v>2656</v>
      </c>
      <c r="H453" s="403">
        <v>202</v>
      </c>
      <c r="I453" s="403">
        <v>366</v>
      </c>
      <c r="J453" s="374">
        <v>366</v>
      </c>
      <c r="K453" s="403">
        <v>180</v>
      </c>
      <c r="L453" s="217">
        <v>510</v>
      </c>
      <c r="M453" s="403" t="s">
        <v>153</v>
      </c>
      <c r="N453" s="403" t="s">
        <v>149</v>
      </c>
      <c r="O453" s="403" t="s">
        <v>154</v>
      </c>
      <c r="P453" s="403" t="s">
        <v>151</v>
      </c>
      <c r="Q453" s="403" t="s">
        <v>155</v>
      </c>
      <c r="R453" s="403" t="s">
        <v>7947</v>
      </c>
      <c r="S453" s="403"/>
      <c r="T453" s="403" t="s">
        <v>2985</v>
      </c>
      <c r="U453" s="403" t="s">
        <v>152</v>
      </c>
      <c r="V453" s="403" t="s">
        <v>18</v>
      </c>
    </row>
    <row r="454" spans="1:22">
      <c r="A454" s="6"/>
      <c r="B454" s="216">
        <v>46215</v>
      </c>
      <c r="C454" s="216">
        <v>46215</v>
      </c>
      <c r="D454" s="403" t="s">
        <v>7948</v>
      </c>
      <c r="E454" s="403">
        <v>260103319918</v>
      </c>
      <c r="F454" s="403" t="s">
        <v>87</v>
      </c>
      <c r="G454" s="403" t="s">
        <v>2310</v>
      </c>
      <c r="H454" s="403">
        <v>172</v>
      </c>
      <c r="I454" s="403">
        <v>215</v>
      </c>
      <c r="J454" s="374">
        <v>215</v>
      </c>
      <c r="K454" s="403">
        <v>87</v>
      </c>
      <c r="L454" s="217">
        <v>1500</v>
      </c>
      <c r="M454" s="403" t="s">
        <v>153</v>
      </c>
      <c r="N454" s="403" t="s">
        <v>149</v>
      </c>
      <c r="O454" s="403" t="s">
        <v>154</v>
      </c>
      <c r="P454" s="403" t="s">
        <v>151</v>
      </c>
      <c r="Q454" s="403" t="s">
        <v>155</v>
      </c>
      <c r="R454" s="403" t="s">
        <v>7949</v>
      </c>
      <c r="S454" s="403"/>
      <c r="T454" s="403" t="s">
        <v>2985</v>
      </c>
      <c r="U454" s="403" t="s">
        <v>152</v>
      </c>
      <c r="V454" s="403" t="s">
        <v>18</v>
      </c>
    </row>
    <row r="455" spans="1:22">
      <c r="A455" s="6"/>
      <c r="B455" s="216">
        <v>46215</v>
      </c>
      <c r="C455" s="216">
        <v>46215</v>
      </c>
      <c r="D455" s="403" t="s">
        <v>7950</v>
      </c>
      <c r="E455" s="403">
        <v>260101519933</v>
      </c>
      <c r="F455" s="403" t="s">
        <v>87</v>
      </c>
      <c r="G455" s="403" t="s">
        <v>2120</v>
      </c>
      <c r="H455" s="403">
        <v>92</v>
      </c>
      <c r="I455" s="403">
        <v>320</v>
      </c>
      <c r="J455" s="374">
        <v>320</v>
      </c>
      <c r="K455" s="403">
        <v>180</v>
      </c>
      <c r="L455" s="217">
        <v>1000</v>
      </c>
      <c r="M455" s="403" t="s">
        <v>153</v>
      </c>
      <c r="N455" s="403" t="s">
        <v>149</v>
      </c>
      <c r="O455" s="403" t="s">
        <v>154</v>
      </c>
      <c r="P455" s="403" t="s">
        <v>151</v>
      </c>
      <c r="Q455" s="403" t="s">
        <v>155</v>
      </c>
      <c r="R455" s="403" t="s">
        <v>7951</v>
      </c>
      <c r="S455" s="403"/>
      <c r="T455" s="403" t="s">
        <v>2985</v>
      </c>
      <c r="U455" s="403" t="s">
        <v>152</v>
      </c>
      <c r="V455" s="403" t="s">
        <v>18</v>
      </c>
    </row>
    <row r="456" spans="1:22">
      <c r="A456" s="6"/>
      <c r="B456" s="216">
        <v>46215</v>
      </c>
      <c r="C456" s="216">
        <v>46215</v>
      </c>
      <c r="D456" s="403" t="s">
        <v>7952</v>
      </c>
      <c r="E456" s="403">
        <v>260104219941</v>
      </c>
      <c r="F456" s="403" t="s">
        <v>87</v>
      </c>
      <c r="G456" s="403" t="s">
        <v>7868</v>
      </c>
      <c r="H456" s="403">
        <v>242</v>
      </c>
      <c r="I456" s="403">
        <v>450</v>
      </c>
      <c r="J456" s="374">
        <v>450</v>
      </c>
      <c r="K456" s="403">
        <v>100</v>
      </c>
      <c r="L456" s="217">
        <v>1880</v>
      </c>
      <c r="M456" s="403" t="s">
        <v>153</v>
      </c>
      <c r="N456" s="403" t="s">
        <v>149</v>
      </c>
      <c r="O456" s="403" t="s">
        <v>154</v>
      </c>
      <c r="P456" s="403" t="s">
        <v>151</v>
      </c>
      <c r="Q456" s="403" t="s">
        <v>155</v>
      </c>
      <c r="R456" s="403" t="s">
        <v>7953</v>
      </c>
      <c r="S456" s="403"/>
      <c r="T456" s="403" t="s">
        <v>2985</v>
      </c>
      <c r="U456" s="403" t="s">
        <v>152</v>
      </c>
      <c r="V456" s="403" t="s">
        <v>18</v>
      </c>
    </row>
    <row r="457" spans="1:22">
      <c r="A457" s="6"/>
      <c r="B457" s="216">
        <v>46215</v>
      </c>
      <c r="C457" s="216">
        <v>46215</v>
      </c>
      <c r="D457" s="403" t="s">
        <v>7954</v>
      </c>
      <c r="E457" s="403">
        <v>260102519935</v>
      </c>
      <c r="F457" s="403" t="s">
        <v>87</v>
      </c>
      <c r="G457" s="403" t="s">
        <v>7766</v>
      </c>
      <c r="H457" s="403">
        <v>112</v>
      </c>
      <c r="I457" s="403">
        <v>230</v>
      </c>
      <c r="J457" s="374">
        <v>230</v>
      </c>
      <c r="K457" s="403">
        <v>104</v>
      </c>
      <c r="L457" s="217">
        <v>1000</v>
      </c>
      <c r="M457" s="403" t="s">
        <v>153</v>
      </c>
      <c r="N457" s="403" t="s">
        <v>149</v>
      </c>
      <c r="O457" s="403" t="s">
        <v>154</v>
      </c>
      <c r="P457" s="403" t="s">
        <v>151</v>
      </c>
      <c r="Q457" s="403" t="s">
        <v>155</v>
      </c>
      <c r="R457" s="403" t="s">
        <v>7955</v>
      </c>
      <c r="S457" s="403"/>
      <c r="T457" s="403" t="s">
        <v>2985</v>
      </c>
      <c r="U457" s="403" t="s">
        <v>152</v>
      </c>
      <c r="V457" s="403" t="s">
        <v>18</v>
      </c>
    </row>
    <row r="458" spans="1:22">
      <c r="A458" s="6"/>
      <c r="B458" s="216">
        <v>46215</v>
      </c>
      <c r="C458" s="216">
        <v>46215</v>
      </c>
      <c r="D458" s="403" t="s">
        <v>7956</v>
      </c>
      <c r="E458" s="403">
        <v>260103719943</v>
      </c>
      <c r="F458" s="403" t="s">
        <v>87</v>
      </c>
      <c r="G458" s="403" t="s">
        <v>2563</v>
      </c>
      <c r="H458" s="403">
        <v>95</v>
      </c>
      <c r="I458" s="403">
        <v>340</v>
      </c>
      <c r="J458" s="374">
        <v>340</v>
      </c>
      <c r="K458" s="403">
        <v>134</v>
      </c>
      <c r="L458" s="217">
        <v>1390</v>
      </c>
      <c r="M458" s="403" t="s">
        <v>153</v>
      </c>
      <c r="N458" s="403" t="s">
        <v>149</v>
      </c>
      <c r="O458" s="403" t="s">
        <v>154</v>
      </c>
      <c r="P458" s="403" t="s">
        <v>151</v>
      </c>
      <c r="Q458" s="403" t="s">
        <v>155</v>
      </c>
      <c r="R458" s="403" t="s">
        <v>7957</v>
      </c>
      <c r="S458" s="403"/>
      <c r="T458" s="403" t="s">
        <v>2985</v>
      </c>
      <c r="U458" s="403" t="s">
        <v>152</v>
      </c>
      <c r="V458" s="403" t="s">
        <v>18</v>
      </c>
    </row>
    <row r="459" spans="1:22">
      <c r="A459" s="6"/>
      <c r="B459" s="216">
        <v>46215</v>
      </c>
      <c r="C459" s="216">
        <v>46215</v>
      </c>
      <c r="D459" s="403" t="s">
        <v>7958</v>
      </c>
      <c r="E459" s="403">
        <v>260105319949</v>
      </c>
      <c r="F459" s="403" t="s">
        <v>87</v>
      </c>
      <c r="G459" s="403" t="s">
        <v>2555</v>
      </c>
      <c r="H459" s="403">
        <v>152</v>
      </c>
      <c r="I459" s="403">
        <v>297</v>
      </c>
      <c r="J459" s="374">
        <v>297</v>
      </c>
      <c r="K459" s="403">
        <v>104</v>
      </c>
      <c r="L459" s="217">
        <v>1925</v>
      </c>
      <c r="M459" s="403" t="s">
        <v>153</v>
      </c>
      <c r="N459" s="403" t="s">
        <v>149</v>
      </c>
      <c r="O459" s="403" t="s">
        <v>154</v>
      </c>
      <c r="P459" s="403" t="s">
        <v>151</v>
      </c>
      <c r="Q459" s="403" t="s">
        <v>155</v>
      </c>
      <c r="R459" s="403" t="s">
        <v>7959</v>
      </c>
      <c r="S459" s="403"/>
      <c r="T459" s="403" t="s">
        <v>2985</v>
      </c>
      <c r="U459" s="403" t="s">
        <v>152</v>
      </c>
      <c r="V459" s="403" t="s">
        <v>18</v>
      </c>
    </row>
    <row r="460" spans="1:22">
      <c r="A460" s="6"/>
      <c r="B460" s="216">
        <v>46215</v>
      </c>
      <c r="C460" s="216">
        <v>46215</v>
      </c>
      <c r="D460" s="403" t="s">
        <v>7960</v>
      </c>
      <c r="E460" s="403">
        <v>260107419953</v>
      </c>
      <c r="F460" s="403" t="s">
        <v>87</v>
      </c>
      <c r="G460" s="403" t="s">
        <v>2562</v>
      </c>
      <c r="H460" s="403">
        <v>125</v>
      </c>
      <c r="I460" s="403">
        <v>289</v>
      </c>
      <c r="J460" s="374">
        <v>289</v>
      </c>
      <c r="K460" s="403">
        <v>97</v>
      </c>
      <c r="L460" s="217">
        <v>2370</v>
      </c>
      <c r="M460" s="403" t="s">
        <v>153</v>
      </c>
      <c r="N460" s="403" t="s">
        <v>149</v>
      </c>
      <c r="O460" s="403" t="s">
        <v>154</v>
      </c>
      <c r="P460" s="403" t="s">
        <v>151</v>
      </c>
      <c r="Q460" s="403" t="s">
        <v>155</v>
      </c>
      <c r="R460" s="403" t="s">
        <v>7961</v>
      </c>
      <c r="S460" s="403"/>
      <c r="T460" s="403" t="s">
        <v>2985</v>
      </c>
      <c r="U460" s="403" t="s">
        <v>152</v>
      </c>
      <c r="V460" s="403" t="s">
        <v>18</v>
      </c>
    </row>
    <row r="461" spans="1:22">
      <c r="A461" s="6"/>
      <c r="B461" s="216">
        <v>46215</v>
      </c>
      <c r="C461" s="216">
        <v>46215</v>
      </c>
      <c r="D461" s="403" t="s">
        <v>7962</v>
      </c>
      <c r="E461" s="403">
        <v>260100919958</v>
      </c>
      <c r="F461" s="403" t="s">
        <v>87</v>
      </c>
      <c r="G461" s="403" t="s">
        <v>2656</v>
      </c>
      <c r="H461" s="403">
        <v>202</v>
      </c>
      <c r="I461" s="403">
        <v>406</v>
      </c>
      <c r="J461" s="374">
        <v>406</v>
      </c>
      <c r="K461" s="403">
        <v>180</v>
      </c>
      <c r="L461" s="217">
        <v>570</v>
      </c>
      <c r="M461" s="403" t="s">
        <v>153</v>
      </c>
      <c r="N461" s="403" t="s">
        <v>149</v>
      </c>
      <c r="O461" s="403" t="s">
        <v>154</v>
      </c>
      <c r="P461" s="403" t="s">
        <v>151</v>
      </c>
      <c r="Q461" s="403" t="s">
        <v>155</v>
      </c>
      <c r="R461" s="403" t="s">
        <v>7963</v>
      </c>
      <c r="S461" s="403"/>
      <c r="T461" s="403" t="s">
        <v>2985</v>
      </c>
      <c r="U461" s="403" t="s">
        <v>152</v>
      </c>
      <c r="V461" s="403" t="s">
        <v>18</v>
      </c>
    </row>
    <row r="462" spans="1:22">
      <c r="A462" s="6"/>
      <c r="B462" s="216">
        <v>46215</v>
      </c>
      <c r="C462" s="216">
        <v>46215</v>
      </c>
      <c r="D462" s="403" t="s">
        <v>7964</v>
      </c>
      <c r="E462" s="403">
        <v>260101819939</v>
      </c>
      <c r="F462" s="403" t="s">
        <v>87</v>
      </c>
      <c r="G462" s="403" t="s">
        <v>2408</v>
      </c>
      <c r="H462" s="403">
        <v>95</v>
      </c>
      <c r="I462" s="403">
        <v>247</v>
      </c>
      <c r="J462" s="374">
        <v>247</v>
      </c>
      <c r="K462" s="403">
        <v>134</v>
      </c>
      <c r="L462" s="217">
        <v>1000</v>
      </c>
      <c r="M462" s="403" t="s">
        <v>153</v>
      </c>
      <c r="N462" s="403" t="s">
        <v>149</v>
      </c>
      <c r="O462" s="403" t="s">
        <v>154</v>
      </c>
      <c r="P462" s="403" t="s">
        <v>151</v>
      </c>
      <c r="Q462" s="403" t="s">
        <v>155</v>
      </c>
      <c r="R462" s="403" t="s">
        <v>7965</v>
      </c>
      <c r="S462" s="403"/>
      <c r="T462" s="403" t="s">
        <v>2985</v>
      </c>
      <c r="U462" s="403" t="s">
        <v>152</v>
      </c>
      <c r="V462" s="403" t="s">
        <v>18</v>
      </c>
    </row>
    <row r="463" spans="1:22">
      <c r="A463" s="6"/>
      <c r="B463" s="216">
        <v>46215</v>
      </c>
      <c r="C463" s="216">
        <v>46215</v>
      </c>
      <c r="D463" s="403" t="s">
        <v>7966</v>
      </c>
      <c r="E463" s="403" t="s">
        <v>7967</v>
      </c>
      <c r="F463" s="403" t="s">
        <v>87</v>
      </c>
      <c r="G463" s="403" t="s">
        <v>2517</v>
      </c>
      <c r="H463" s="403">
        <v>92</v>
      </c>
      <c r="I463" s="403">
        <v>320</v>
      </c>
      <c r="J463" s="374">
        <v>320</v>
      </c>
      <c r="K463" s="403">
        <v>125</v>
      </c>
      <c r="L463" s="217">
        <v>1410</v>
      </c>
      <c r="M463" s="403" t="s">
        <v>153</v>
      </c>
      <c r="N463" s="403" t="s">
        <v>149</v>
      </c>
      <c r="O463" s="403" t="s">
        <v>154</v>
      </c>
      <c r="P463" s="403" t="s">
        <v>151</v>
      </c>
      <c r="Q463" s="403" t="s">
        <v>155</v>
      </c>
      <c r="R463" s="403" t="s">
        <v>7968</v>
      </c>
      <c r="S463" s="403"/>
      <c r="T463" s="403" t="s">
        <v>2987</v>
      </c>
      <c r="U463" s="403" t="s">
        <v>152</v>
      </c>
      <c r="V463" s="403" t="s">
        <v>18</v>
      </c>
    </row>
    <row r="464" spans="1:22">
      <c r="A464" s="6"/>
      <c r="B464" s="216">
        <v>46215</v>
      </c>
      <c r="C464" s="216">
        <v>46215</v>
      </c>
      <c r="D464" s="403" t="s">
        <v>7969</v>
      </c>
      <c r="E464" s="403" t="s">
        <v>7970</v>
      </c>
      <c r="F464" s="403" t="s">
        <v>87</v>
      </c>
      <c r="G464" s="403" t="s">
        <v>2517</v>
      </c>
      <c r="H464" s="403">
        <v>92</v>
      </c>
      <c r="I464" s="403">
        <v>168</v>
      </c>
      <c r="J464" s="374">
        <v>168</v>
      </c>
      <c r="K464" s="403">
        <v>125</v>
      </c>
      <c r="L464" s="217">
        <v>691</v>
      </c>
      <c r="M464" s="403" t="s">
        <v>153</v>
      </c>
      <c r="N464" s="403" t="s">
        <v>149</v>
      </c>
      <c r="O464" s="403" t="s">
        <v>154</v>
      </c>
      <c r="P464" s="403" t="s">
        <v>151</v>
      </c>
      <c r="Q464" s="403" t="s">
        <v>155</v>
      </c>
      <c r="R464" s="403" t="s">
        <v>7971</v>
      </c>
      <c r="S464" s="403"/>
      <c r="T464" s="403" t="s">
        <v>2987</v>
      </c>
      <c r="U464" s="403" t="s">
        <v>152</v>
      </c>
      <c r="V464" s="403" t="s">
        <v>18</v>
      </c>
    </row>
    <row r="465" spans="1:22">
      <c r="A465" s="6"/>
      <c r="B465" s="216">
        <v>46215</v>
      </c>
      <c r="C465" s="216">
        <v>46215</v>
      </c>
      <c r="D465" s="403" t="s">
        <v>7972</v>
      </c>
      <c r="E465" s="403" t="s">
        <v>7973</v>
      </c>
      <c r="F465" s="403" t="s">
        <v>87</v>
      </c>
      <c r="G465" s="403" t="s">
        <v>2517</v>
      </c>
      <c r="H465" s="403">
        <v>92</v>
      </c>
      <c r="I465" s="403">
        <v>276</v>
      </c>
      <c r="J465" s="374">
        <v>276</v>
      </c>
      <c r="K465" s="403">
        <v>125</v>
      </c>
      <c r="L465" s="217">
        <v>1183</v>
      </c>
      <c r="M465" s="403" t="s">
        <v>153</v>
      </c>
      <c r="N465" s="403" t="s">
        <v>149</v>
      </c>
      <c r="O465" s="403" t="s">
        <v>154</v>
      </c>
      <c r="P465" s="403" t="s">
        <v>151</v>
      </c>
      <c r="Q465" s="403" t="s">
        <v>155</v>
      </c>
      <c r="R465" s="403" t="s">
        <v>7974</v>
      </c>
      <c r="S465" s="403"/>
      <c r="T465" s="403" t="s">
        <v>2987</v>
      </c>
      <c r="U465" s="403" t="s">
        <v>152</v>
      </c>
      <c r="V465" s="403" t="s">
        <v>18</v>
      </c>
    </row>
    <row r="466" spans="1:22">
      <c r="A466" s="6"/>
      <c r="B466" s="216">
        <v>46215</v>
      </c>
      <c r="C466" s="216">
        <v>46215</v>
      </c>
      <c r="D466" s="403" t="s">
        <v>7975</v>
      </c>
      <c r="E466" s="403" t="s">
        <v>7976</v>
      </c>
      <c r="F466" s="403" t="s">
        <v>87</v>
      </c>
      <c r="G466" s="403" t="s">
        <v>2517</v>
      </c>
      <c r="H466" s="403">
        <v>92</v>
      </c>
      <c r="I466" s="403">
        <v>129</v>
      </c>
      <c r="J466" s="375">
        <v>129</v>
      </c>
      <c r="K466" s="403">
        <v>125</v>
      </c>
      <c r="L466" s="217">
        <v>559</v>
      </c>
      <c r="M466" s="403" t="s">
        <v>153</v>
      </c>
      <c r="N466" s="403" t="s">
        <v>149</v>
      </c>
      <c r="O466" s="403" t="s">
        <v>154</v>
      </c>
      <c r="P466" s="403" t="s">
        <v>151</v>
      </c>
      <c r="Q466" s="403" t="s">
        <v>155</v>
      </c>
      <c r="R466" s="403" t="s">
        <v>7977</v>
      </c>
      <c r="S466" s="403"/>
      <c r="T466" s="403" t="s">
        <v>2987</v>
      </c>
      <c r="U466" s="403" t="s">
        <v>152</v>
      </c>
      <c r="V466" s="403" t="s">
        <v>18</v>
      </c>
    </row>
    <row r="467" spans="1:22">
      <c r="A467" s="6"/>
      <c r="B467" s="216">
        <v>46215</v>
      </c>
      <c r="C467" s="216">
        <v>46215</v>
      </c>
      <c r="D467" s="403" t="s">
        <v>7978</v>
      </c>
      <c r="E467" s="403" t="s">
        <v>7979</v>
      </c>
      <c r="F467" s="403" t="s">
        <v>87</v>
      </c>
      <c r="G467" s="403" t="s">
        <v>2517</v>
      </c>
      <c r="H467" s="403">
        <v>92</v>
      </c>
      <c r="I467" s="403">
        <v>315</v>
      </c>
      <c r="J467" s="374">
        <v>315</v>
      </c>
      <c r="K467" s="403">
        <v>125</v>
      </c>
      <c r="L467" s="217">
        <v>1392</v>
      </c>
      <c r="M467" s="403" t="s">
        <v>153</v>
      </c>
      <c r="N467" s="403" t="s">
        <v>149</v>
      </c>
      <c r="O467" s="403" t="s">
        <v>154</v>
      </c>
      <c r="P467" s="403" t="s">
        <v>151</v>
      </c>
      <c r="Q467" s="403" t="s">
        <v>155</v>
      </c>
      <c r="R467" s="403" t="s">
        <v>7980</v>
      </c>
      <c r="S467" s="403"/>
      <c r="T467" s="403" t="s">
        <v>2987</v>
      </c>
      <c r="U467" s="403" t="s">
        <v>152</v>
      </c>
      <c r="V467" s="403" t="s">
        <v>18</v>
      </c>
    </row>
    <row r="468" spans="1:22">
      <c r="A468" s="6"/>
      <c r="B468" s="216">
        <v>46215</v>
      </c>
      <c r="C468" s="216">
        <v>46215</v>
      </c>
      <c r="D468" s="403" t="s">
        <v>7981</v>
      </c>
      <c r="E468" s="403" t="s">
        <v>7982</v>
      </c>
      <c r="F468" s="403" t="s">
        <v>87</v>
      </c>
      <c r="G468" s="403" t="s">
        <v>2517</v>
      </c>
      <c r="H468" s="403">
        <v>92</v>
      </c>
      <c r="I468" s="403">
        <v>208</v>
      </c>
      <c r="J468" s="374">
        <v>208</v>
      </c>
      <c r="K468" s="403">
        <v>125</v>
      </c>
      <c r="L468" s="217">
        <v>857</v>
      </c>
      <c r="M468" s="403" t="s">
        <v>153</v>
      </c>
      <c r="N468" s="403" t="s">
        <v>149</v>
      </c>
      <c r="O468" s="403" t="s">
        <v>154</v>
      </c>
      <c r="P468" s="403" t="s">
        <v>151</v>
      </c>
      <c r="Q468" s="403" t="s">
        <v>155</v>
      </c>
      <c r="R468" s="403" t="s">
        <v>7983</v>
      </c>
      <c r="S468" s="403"/>
      <c r="T468" s="403" t="s">
        <v>2987</v>
      </c>
      <c r="U468" s="403" t="s">
        <v>152</v>
      </c>
      <c r="V468" s="403" t="s">
        <v>18</v>
      </c>
    </row>
    <row r="469" spans="1:22">
      <c r="A469" s="6"/>
      <c r="B469" s="216">
        <v>46215</v>
      </c>
      <c r="C469" s="216">
        <v>46215</v>
      </c>
      <c r="D469" s="403" t="s">
        <v>7984</v>
      </c>
      <c r="E469" s="403" t="s">
        <v>7985</v>
      </c>
      <c r="F469" s="403" t="s">
        <v>87</v>
      </c>
      <c r="G469" s="403" t="s">
        <v>2517</v>
      </c>
      <c r="H469" s="403">
        <v>92</v>
      </c>
      <c r="I469" s="403">
        <v>201</v>
      </c>
      <c r="J469" s="374">
        <v>201</v>
      </c>
      <c r="K469" s="403">
        <v>125</v>
      </c>
      <c r="L469" s="217">
        <v>910</v>
      </c>
      <c r="M469" s="403" t="s">
        <v>153</v>
      </c>
      <c r="N469" s="403" t="s">
        <v>149</v>
      </c>
      <c r="O469" s="403" t="s">
        <v>154</v>
      </c>
      <c r="P469" s="403" t="s">
        <v>151</v>
      </c>
      <c r="Q469" s="403" t="s">
        <v>155</v>
      </c>
      <c r="R469" s="403" t="s">
        <v>7986</v>
      </c>
      <c r="S469" s="403"/>
      <c r="T469" s="403" t="s">
        <v>2987</v>
      </c>
      <c r="U469" s="403" t="s">
        <v>152</v>
      </c>
      <c r="V469" s="403" t="s">
        <v>18</v>
      </c>
    </row>
    <row r="470" spans="1:22">
      <c r="A470" s="6"/>
      <c r="B470" s="216">
        <v>46215</v>
      </c>
      <c r="C470" s="216">
        <v>46215</v>
      </c>
      <c r="D470" s="403" t="s">
        <v>7987</v>
      </c>
      <c r="E470" s="403" t="s">
        <v>7988</v>
      </c>
      <c r="F470" s="403" t="s">
        <v>87</v>
      </c>
      <c r="G470" s="403" t="s">
        <v>2517</v>
      </c>
      <c r="H470" s="403">
        <v>92</v>
      </c>
      <c r="I470" s="403">
        <v>231</v>
      </c>
      <c r="J470" s="376">
        <v>231</v>
      </c>
      <c r="K470" s="403">
        <v>125</v>
      </c>
      <c r="L470" s="217">
        <v>1059</v>
      </c>
      <c r="M470" s="403" t="s">
        <v>153</v>
      </c>
      <c r="N470" s="403" t="s">
        <v>149</v>
      </c>
      <c r="O470" s="403" t="s">
        <v>154</v>
      </c>
      <c r="P470" s="403" t="s">
        <v>151</v>
      </c>
      <c r="Q470" s="403" t="s">
        <v>155</v>
      </c>
      <c r="R470" s="403" t="s">
        <v>7989</v>
      </c>
      <c r="S470" s="403"/>
      <c r="T470" s="403" t="s">
        <v>2987</v>
      </c>
      <c r="U470" s="403" t="s">
        <v>152</v>
      </c>
      <c r="V470" s="403" t="s">
        <v>18</v>
      </c>
    </row>
    <row r="471" spans="1:22">
      <c r="A471" s="6"/>
      <c r="B471" s="216">
        <v>46215</v>
      </c>
      <c r="C471" s="216">
        <v>46215</v>
      </c>
      <c r="D471" s="403" t="s">
        <v>7990</v>
      </c>
      <c r="E471" s="403" t="s">
        <v>7991</v>
      </c>
      <c r="F471" s="403" t="s">
        <v>87</v>
      </c>
      <c r="G471" s="403" t="s">
        <v>2517</v>
      </c>
      <c r="H471" s="403">
        <v>92</v>
      </c>
      <c r="I471" s="403">
        <v>251</v>
      </c>
      <c r="J471" s="376">
        <v>251</v>
      </c>
      <c r="K471" s="403">
        <v>125</v>
      </c>
      <c r="L471" s="217">
        <v>1102</v>
      </c>
      <c r="M471" s="403" t="s">
        <v>153</v>
      </c>
      <c r="N471" s="403" t="s">
        <v>149</v>
      </c>
      <c r="O471" s="403" t="s">
        <v>154</v>
      </c>
      <c r="P471" s="403" t="s">
        <v>151</v>
      </c>
      <c r="Q471" s="403" t="s">
        <v>155</v>
      </c>
      <c r="R471" s="403" t="s">
        <v>7992</v>
      </c>
      <c r="S471" s="403"/>
      <c r="T471" s="403" t="s">
        <v>2987</v>
      </c>
      <c r="U471" s="403" t="s">
        <v>152</v>
      </c>
      <c r="V471" s="403" t="s">
        <v>18</v>
      </c>
    </row>
    <row r="472" spans="1:22">
      <c r="A472" s="6"/>
      <c r="B472" s="216">
        <v>46215</v>
      </c>
      <c r="C472" s="216">
        <v>46215</v>
      </c>
      <c r="D472" s="403" t="s">
        <v>7993</v>
      </c>
      <c r="E472" s="403" t="s">
        <v>7994</v>
      </c>
      <c r="F472" s="403" t="s">
        <v>94</v>
      </c>
      <c r="G472" s="403" t="s">
        <v>859</v>
      </c>
      <c r="H472" s="403">
        <v>152</v>
      </c>
      <c r="I472" s="403">
        <v>282</v>
      </c>
      <c r="J472" s="376">
        <v>282</v>
      </c>
      <c r="K472" s="403">
        <v>104</v>
      </c>
      <c r="L472" s="217">
        <v>1901</v>
      </c>
      <c r="M472" s="403" t="s">
        <v>153</v>
      </c>
      <c r="N472" s="403" t="s">
        <v>149</v>
      </c>
      <c r="O472" s="403" t="s">
        <v>154</v>
      </c>
      <c r="P472" s="403" t="s">
        <v>151</v>
      </c>
      <c r="Q472" s="403" t="s">
        <v>155</v>
      </c>
      <c r="R472" s="403" t="s">
        <v>7994</v>
      </c>
      <c r="S472" s="403"/>
      <c r="T472" s="403" t="s">
        <v>7995</v>
      </c>
      <c r="U472" s="403" t="s">
        <v>152</v>
      </c>
      <c r="V472" s="403" t="s">
        <v>18</v>
      </c>
    </row>
    <row r="473" spans="1:22">
      <c r="A473" s="6"/>
      <c r="B473" s="216">
        <v>46215</v>
      </c>
      <c r="C473" s="216">
        <v>46215</v>
      </c>
      <c r="D473" s="403" t="s">
        <v>7996</v>
      </c>
      <c r="E473" s="403" t="s">
        <v>7997</v>
      </c>
      <c r="F473" s="403" t="s">
        <v>94</v>
      </c>
      <c r="G473" s="403" t="s">
        <v>859</v>
      </c>
      <c r="H473" s="403">
        <v>152</v>
      </c>
      <c r="I473" s="403">
        <v>274</v>
      </c>
      <c r="J473" s="376">
        <v>274</v>
      </c>
      <c r="K473" s="403">
        <v>104</v>
      </c>
      <c r="L473" s="217">
        <v>1901</v>
      </c>
      <c r="M473" s="403" t="s">
        <v>153</v>
      </c>
      <c r="N473" s="403" t="s">
        <v>149</v>
      </c>
      <c r="O473" s="403" t="s">
        <v>154</v>
      </c>
      <c r="P473" s="403" t="s">
        <v>151</v>
      </c>
      <c r="Q473" s="403" t="s">
        <v>155</v>
      </c>
      <c r="R473" s="403" t="s">
        <v>7997</v>
      </c>
      <c r="S473" s="403"/>
      <c r="T473" s="403" t="s">
        <v>7995</v>
      </c>
      <c r="U473" s="403" t="s">
        <v>152</v>
      </c>
      <c r="V473" s="403" t="s">
        <v>18</v>
      </c>
    </row>
    <row r="474" spans="1:22">
      <c r="A474" s="6"/>
      <c r="B474" s="216">
        <v>46215</v>
      </c>
      <c r="C474" s="216">
        <v>46215</v>
      </c>
      <c r="D474" s="403" t="s">
        <v>7998</v>
      </c>
      <c r="E474" s="403">
        <v>260102519927</v>
      </c>
      <c r="F474" s="403" t="s">
        <v>87</v>
      </c>
      <c r="G474" s="403" t="s">
        <v>7766</v>
      </c>
      <c r="H474" s="403">
        <v>112</v>
      </c>
      <c r="I474" s="403">
        <v>229</v>
      </c>
      <c r="J474" s="376">
        <v>229</v>
      </c>
      <c r="K474" s="403">
        <v>104</v>
      </c>
      <c r="L474" s="217">
        <v>1000</v>
      </c>
      <c r="M474" s="403" t="s">
        <v>153</v>
      </c>
      <c r="N474" s="403" t="s">
        <v>149</v>
      </c>
      <c r="O474" s="403" t="s">
        <v>154</v>
      </c>
      <c r="P474" s="403" t="s">
        <v>151</v>
      </c>
      <c r="Q474" s="403" t="s">
        <v>155</v>
      </c>
      <c r="R474" s="403" t="s">
        <v>7999</v>
      </c>
      <c r="S474" s="403"/>
      <c r="T474" s="403" t="s">
        <v>2989</v>
      </c>
      <c r="U474" s="403" t="s">
        <v>152</v>
      </c>
      <c r="V474" s="403" t="s">
        <v>18</v>
      </c>
    </row>
    <row r="475" spans="1:22">
      <c r="A475" s="6"/>
      <c r="B475" s="216">
        <v>46215</v>
      </c>
      <c r="C475" s="216">
        <v>46215</v>
      </c>
      <c r="D475" s="403" t="s">
        <v>8000</v>
      </c>
      <c r="E475" s="403">
        <v>260102919971</v>
      </c>
      <c r="F475" s="403" t="s">
        <v>87</v>
      </c>
      <c r="G475" s="403" t="s">
        <v>859</v>
      </c>
      <c r="H475" s="403">
        <v>152</v>
      </c>
      <c r="I475" s="403">
        <v>277</v>
      </c>
      <c r="J475" s="376">
        <v>277</v>
      </c>
      <c r="K475" s="403">
        <v>104</v>
      </c>
      <c r="L475" s="217">
        <v>1850</v>
      </c>
      <c r="M475" s="403" t="s">
        <v>153</v>
      </c>
      <c r="N475" s="403" t="s">
        <v>149</v>
      </c>
      <c r="O475" s="403" t="s">
        <v>154</v>
      </c>
      <c r="P475" s="403" t="s">
        <v>151</v>
      </c>
      <c r="Q475" s="403" t="s">
        <v>155</v>
      </c>
      <c r="R475" s="403" t="s">
        <v>8001</v>
      </c>
      <c r="S475" s="403"/>
      <c r="T475" s="403" t="s">
        <v>2989</v>
      </c>
      <c r="U475" s="403" t="s">
        <v>152</v>
      </c>
      <c r="V475" s="403" t="s">
        <v>18</v>
      </c>
    </row>
    <row r="476" spans="1:22">
      <c r="A476" s="6"/>
      <c r="B476" s="216">
        <v>46215</v>
      </c>
      <c r="C476" s="216">
        <v>46215</v>
      </c>
      <c r="D476" s="403" t="s">
        <v>8002</v>
      </c>
      <c r="E476" s="403">
        <v>260105019879</v>
      </c>
      <c r="F476" s="403" t="s">
        <v>87</v>
      </c>
      <c r="G476" s="403" t="s">
        <v>2558</v>
      </c>
      <c r="H476" s="403">
        <v>222</v>
      </c>
      <c r="I476" s="403">
        <v>237</v>
      </c>
      <c r="J476" s="376">
        <v>237</v>
      </c>
      <c r="K476" s="403">
        <v>98</v>
      </c>
      <c r="L476" s="217">
        <v>1100</v>
      </c>
      <c r="M476" s="403" t="s">
        <v>153</v>
      </c>
      <c r="N476" s="403" t="s">
        <v>149</v>
      </c>
      <c r="O476" s="403" t="s">
        <v>154</v>
      </c>
      <c r="P476" s="403" t="s">
        <v>151</v>
      </c>
      <c r="Q476" s="403" t="s">
        <v>155</v>
      </c>
      <c r="R476" s="403" t="s">
        <v>8003</v>
      </c>
      <c r="S476" s="403"/>
      <c r="T476" s="403" t="s">
        <v>2989</v>
      </c>
      <c r="U476" s="403" t="s">
        <v>152</v>
      </c>
      <c r="V476" s="403" t="s">
        <v>18</v>
      </c>
    </row>
    <row r="477" spans="1:22">
      <c r="A477" s="6"/>
      <c r="B477" s="216">
        <v>46215</v>
      </c>
      <c r="C477" s="216">
        <v>46215</v>
      </c>
      <c r="D477" s="403" t="s">
        <v>8004</v>
      </c>
      <c r="E477" s="403">
        <v>260105719946</v>
      </c>
      <c r="F477" s="403" t="s">
        <v>87</v>
      </c>
      <c r="G477" s="403" t="s">
        <v>2409</v>
      </c>
      <c r="H477" s="403">
        <v>142</v>
      </c>
      <c r="I477" s="403">
        <v>237</v>
      </c>
      <c r="J477" s="374">
        <v>237</v>
      </c>
      <c r="K477" s="403">
        <v>97</v>
      </c>
      <c r="L477" s="217">
        <v>1800</v>
      </c>
      <c r="M477" s="403" t="s">
        <v>153</v>
      </c>
      <c r="N477" s="403" t="s">
        <v>149</v>
      </c>
      <c r="O477" s="403" t="s">
        <v>154</v>
      </c>
      <c r="P477" s="403" t="s">
        <v>151</v>
      </c>
      <c r="Q477" s="403" t="s">
        <v>155</v>
      </c>
      <c r="R477" s="403" t="s">
        <v>8005</v>
      </c>
      <c r="S477" s="403"/>
      <c r="T477" s="403" t="s">
        <v>2989</v>
      </c>
      <c r="U477" s="403" t="s">
        <v>152</v>
      </c>
      <c r="V477" s="403" t="s">
        <v>18</v>
      </c>
    </row>
    <row r="478" spans="1:22">
      <c r="A478" s="6"/>
      <c r="B478" s="216">
        <v>46215</v>
      </c>
      <c r="C478" s="216">
        <v>46215</v>
      </c>
      <c r="D478" s="403" t="s">
        <v>8006</v>
      </c>
      <c r="E478" s="403">
        <v>260105819969</v>
      </c>
      <c r="F478" s="403" t="s">
        <v>87</v>
      </c>
      <c r="G478" s="403" t="s">
        <v>859</v>
      </c>
      <c r="H478" s="403">
        <v>152</v>
      </c>
      <c r="I478" s="403">
        <v>250</v>
      </c>
      <c r="J478" s="374">
        <v>250</v>
      </c>
      <c r="K478" s="403">
        <v>104</v>
      </c>
      <c r="L478" s="217">
        <v>1620</v>
      </c>
      <c r="M478" s="403" t="s">
        <v>153</v>
      </c>
      <c r="N478" s="403" t="s">
        <v>149</v>
      </c>
      <c r="O478" s="403" t="s">
        <v>154</v>
      </c>
      <c r="P478" s="403" t="s">
        <v>151</v>
      </c>
      <c r="Q478" s="403" t="s">
        <v>155</v>
      </c>
      <c r="R478" s="403" t="s">
        <v>8007</v>
      </c>
      <c r="S478" s="403"/>
      <c r="T478" s="403" t="s">
        <v>2989</v>
      </c>
      <c r="U478" s="403" t="s">
        <v>152</v>
      </c>
      <c r="V478" s="403" t="s">
        <v>18</v>
      </c>
    </row>
    <row r="479" spans="1:22">
      <c r="A479" s="6"/>
      <c r="B479" s="216">
        <v>46215</v>
      </c>
      <c r="C479" s="216">
        <v>46215</v>
      </c>
      <c r="D479" s="403" t="s">
        <v>8008</v>
      </c>
      <c r="E479" s="403">
        <v>260102919972</v>
      </c>
      <c r="F479" s="403" t="s">
        <v>87</v>
      </c>
      <c r="G479" s="403" t="s">
        <v>859</v>
      </c>
      <c r="H479" s="403">
        <v>152</v>
      </c>
      <c r="I479" s="403">
        <v>281</v>
      </c>
      <c r="J479" s="374">
        <v>281</v>
      </c>
      <c r="K479" s="403">
        <v>104</v>
      </c>
      <c r="L479" s="217">
        <v>1850</v>
      </c>
      <c r="M479" s="403" t="s">
        <v>153</v>
      </c>
      <c r="N479" s="403" t="s">
        <v>149</v>
      </c>
      <c r="O479" s="403" t="s">
        <v>154</v>
      </c>
      <c r="P479" s="403" t="s">
        <v>151</v>
      </c>
      <c r="Q479" s="403" t="s">
        <v>155</v>
      </c>
      <c r="R479" s="403" t="s">
        <v>8009</v>
      </c>
      <c r="S479" s="403"/>
      <c r="T479" s="403" t="s">
        <v>2989</v>
      </c>
      <c r="U479" s="403" t="s">
        <v>152</v>
      </c>
      <c r="V479" s="403" t="s">
        <v>18</v>
      </c>
    </row>
    <row r="480" spans="1:22">
      <c r="A480" s="6"/>
      <c r="B480" s="216">
        <v>46215</v>
      </c>
      <c r="C480" s="216">
        <v>46215</v>
      </c>
      <c r="D480" s="403" t="s">
        <v>8010</v>
      </c>
      <c r="E480" s="403">
        <v>260101619929</v>
      </c>
      <c r="F480" s="403" t="s">
        <v>87</v>
      </c>
      <c r="G480" s="403" t="s">
        <v>2642</v>
      </c>
      <c r="H480" s="403">
        <v>112</v>
      </c>
      <c r="I480" s="403">
        <v>353</v>
      </c>
      <c r="J480" s="374">
        <v>353</v>
      </c>
      <c r="K480" s="403">
        <v>160</v>
      </c>
      <c r="L480" s="217">
        <v>1020</v>
      </c>
      <c r="M480" s="403" t="s">
        <v>153</v>
      </c>
      <c r="N480" s="403" t="s">
        <v>149</v>
      </c>
      <c r="O480" s="403" t="s">
        <v>154</v>
      </c>
      <c r="P480" s="403" t="s">
        <v>151</v>
      </c>
      <c r="Q480" s="403" t="s">
        <v>155</v>
      </c>
      <c r="R480" s="403" t="s">
        <v>8011</v>
      </c>
      <c r="S480" s="403"/>
      <c r="T480" s="403" t="s">
        <v>2989</v>
      </c>
      <c r="U480" s="403" t="s">
        <v>152</v>
      </c>
      <c r="V480" s="403" t="s">
        <v>18</v>
      </c>
    </row>
    <row r="481" spans="1:22">
      <c r="A481" s="6"/>
      <c r="B481" s="216">
        <v>46215</v>
      </c>
      <c r="C481" s="216">
        <v>46215</v>
      </c>
      <c r="D481" s="403" t="s">
        <v>8012</v>
      </c>
      <c r="E481" s="403">
        <v>260104619970</v>
      </c>
      <c r="F481" s="403" t="s">
        <v>87</v>
      </c>
      <c r="G481" s="403" t="s">
        <v>859</v>
      </c>
      <c r="H481" s="403">
        <v>152</v>
      </c>
      <c r="I481" s="403">
        <v>272</v>
      </c>
      <c r="J481" s="374">
        <v>272</v>
      </c>
      <c r="K481" s="403">
        <v>104</v>
      </c>
      <c r="L481" s="217">
        <v>1840</v>
      </c>
      <c r="M481" s="403" t="s">
        <v>153</v>
      </c>
      <c r="N481" s="403" t="s">
        <v>149</v>
      </c>
      <c r="O481" s="403" t="s">
        <v>154</v>
      </c>
      <c r="P481" s="403" t="s">
        <v>151</v>
      </c>
      <c r="Q481" s="403" t="s">
        <v>155</v>
      </c>
      <c r="R481" s="403" t="s">
        <v>8013</v>
      </c>
      <c r="S481" s="403"/>
      <c r="T481" s="403" t="s">
        <v>2989</v>
      </c>
      <c r="U481" s="403" t="s">
        <v>152</v>
      </c>
      <c r="V481" s="403" t="s">
        <v>18</v>
      </c>
    </row>
    <row r="482" spans="1:22">
      <c r="A482" s="6"/>
      <c r="B482" s="216">
        <v>46215</v>
      </c>
      <c r="C482" s="216">
        <v>46215</v>
      </c>
      <c r="D482" s="403" t="s">
        <v>8014</v>
      </c>
      <c r="E482" s="403">
        <v>260100719956</v>
      </c>
      <c r="F482" s="403" t="s">
        <v>87</v>
      </c>
      <c r="G482" s="403" t="s">
        <v>7197</v>
      </c>
      <c r="H482" s="403">
        <v>182</v>
      </c>
      <c r="I482" s="403">
        <v>310</v>
      </c>
      <c r="J482" s="374">
        <v>310</v>
      </c>
      <c r="K482" s="403">
        <v>150</v>
      </c>
      <c r="L482" s="217">
        <v>580</v>
      </c>
      <c r="M482" s="403" t="s">
        <v>153</v>
      </c>
      <c r="N482" s="403" t="s">
        <v>149</v>
      </c>
      <c r="O482" s="403" t="s">
        <v>154</v>
      </c>
      <c r="P482" s="403" t="s">
        <v>151</v>
      </c>
      <c r="Q482" s="403" t="s">
        <v>155</v>
      </c>
      <c r="R482" s="403" t="s">
        <v>8015</v>
      </c>
      <c r="S482" s="403"/>
      <c r="T482" s="403" t="s">
        <v>2989</v>
      </c>
      <c r="U482" s="403" t="s">
        <v>152</v>
      </c>
      <c r="V482" s="403" t="s">
        <v>18</v>
      </c>
    </row>
    <row r="483" spans="1:22">
      <c r="A483" s="6"/>
      <c r="B483" s="216">
        <v>46215</v>
      </c>
      <c r="C483" s="216">
        <v>46215</v>
      </c>
      <c r="D483" s="403" t="s">
        <v>8016</v>
      </c>
      <c r="E483" s="403">
        <v>260105019839</v>
      </c>
      <c r="F483" s="403" t="s">
        <v>87</v>
      </c>
      <c r="G483" s="403" t="s">
        <v>2558</v>
      </c>
      <c r="H483" s="403">
        <v>222</v>
      </c>
      <c r="I483" s="403">
        <v>210</v>
      </c>
      <c r="J483" s="374">
        <v>210</v>
      </c>
      <c r="K483" s="403">
        <v>98</v>
      </c>
      <c r="L483" s="217">
        <v>1000</v>
      </c>
      <c r="M483" s="403" t="s">
        <v>153</v>
      </c>
      <c r="N483" s="403" t="s">
        <v>149</v>
      </c>
      <c r="O483" s="403" t="s">
        <v>154</v>
      </c>
      <c r="P483" s="403" t="s">
        <v>151</v>
      </c>
      <c r="Q483" s="403" t="s">
        <v>155</v>
      </c>
      <c r="R483" s="403" t="s">
        <v>8017</v>
      </c>
      <c r="S483" s="403"/>
      <c r="T483" s="403" t="s">
        <v>2989</v>
      </c>
      <c r="U483" s="403" t="s">
        <v>152</v>
      </c>
      <c r="V483" s="403" t="s">
        <v>18</v>
      </c>
    </row>
    <row r="484" spans="1:22">
      <c r="A484" s="6"/>
      <c r="B484" s="216">
        <v>46215</v>
      </c>
      <c r="C484" s="216">
        <v>46215</v>
      </c>
      <c r="D484" s="403" t="s">
        <v>8018</v>
      </c>
      <c r="E484" s="403">
        <v>260100719957</v>
      </c>
      <c r="F484" s="403" t="s">
        <v>87</v>
      </c>
      <c r="G484" s="403" t="s">
        <v>7197</v>
      </c>
      <c r="H484" s="403">
        <v>182</v>
      </c>
      <c r="I484" s="403">
        <v>323</v>
      </c>
      <c r="J484" s="374">
        <v>323</v>
      </c>
      <c r="K484" s="403">
        <v>150</v>
      </c>
      <c r="L484" s="217">
        <v>600</v>
      </c>
      <c r="M484" s="403" t="s">
        <v>153</v>
      </c>
      <c r="N484" s="403" t="s">
        <v>149</v>
      </c>
      <c r="O484" s="403" t="s">
        <v>154</v>
      </c>
      <c r="P484" s="403" t="s">
        <v>151</v>
      </c>
      <c r="Q484" s="403" t="s">
        <v>155</v>
      </c>
      <c r="R484" s="403" t="s">
        <v>8019</v>
      </c>
      <c r="S484" s="403"/>
      <c r="T484" s="403" t="s">
        <v>2989</v>
      </c>
      <c r="U484" s="403" t="s">
        <v>152</v>
      </c>
      <c r="V484" s="403" t="s">
        <v>18</v>
      </c>
    </row>
    <row r="485" spans="1:22">
      <c r="A485" s="6"/>
      <c r="B485" s="216">
        <v>46215</v>
      </c>
      <c r="C485" s="216">
        <v>46215</v>
      </c>
      <c r="D485" s="403" t="s">
        <v>8020</v>
      </c>
      <c r="E485" s="403">
        <v>260105819802</v>
      </c>
      <c r="F485" s="403" t="s">
        <v>87</v>
      </c>
      <c r="G485" s="403" t="s">
        <v>2646</v>
      </c>
      <c r="H485" s="403" t="s">
        <v>7328</v>
      </c>
      <c r="I485" s="403">
        <v>315</v>
      </c>
      <c r="J485" s="374">
        <v>315</v>
      </c>
      <c r="K485" s="403">
        <v>105</v>
      </c>
      <c r="L485" s="217">
        <v>1740</v>
      </c>
      <c r="M485" s="403" t="s">
        <v>153</v>
      </c>
      <c r="N485" s="403" t="s">
        <v>149</v>
      </c>
      <c r="O485" s="403" t="s">
        <v>154</v>
      </c>
      <c r="P485" s="403" t="s">
        <v>151</v>
      </c>
      <c r="Q485" s="403" t="s">
        <v>156</v>
      </c>
      <c r="R485" s="403" t="s">
        <v>8021</v>
      </c>
      <c r="S485" s="403"/>
      <c r="T485" s="403" t="s">
        <v>2989</v>
      </c>
      <c r="U485" s="403" t="s">
        <v>152</v>
      </c>
      <c r="V485" s="403" t="s">
        <v>20</v>
      </c>
    </row>
    <row r="486" spans="1:22">
      <c r="A486" s="6"/>
      <c r="B486" s="216">
        <v>46215</v>
      </c>
      <c r="C486" s="216">
        <v>46215</v>
      </c>
      <c r="D486" s="403" t="s">
        <v>8022</v>
      </c>
      <c r="E486" s="403">
        <v>260105219593</v>
      </c>
      <c r="F486" s="403" t="s">
        <v>87</v>
      </c>
      <c r="G486" s="403" t="s">
        <v>8023</v>
      </c>
      <c r="H486" s="403" t="s">
        <v>7271</v>
      </c>
      <c r="I486" s="403">
        <v>330</v>
      </c>
      <c r="J486" s="374">
        <v>330</v>
      </c>
      <c r="K486" s="403">
        <v>107</v>
      </c>
      <c r="L486" s="217">
        <v>1900</v>
      </c>
      <c r="M486" s="403" t="s">
        <v>153</v>
      </c>
      <c r="N486" s="403" t="s">
        <v>149</v>
      </c>
      <c r="O486" s="403" t="s">
        <v>154</v>
      </c>
      <c r="P486" s="403" t="s">
        <v>151</v>
      </c>
      <c r="Q486" s="403" t="s">
        <v>156</v>
      </c>
      <c r="R486" s="403" t="s">
        <v>8024</v>
      </c>
      <c r="S486" s="403"/>
      <c r="T486" s="403" t="s">
        <v>2989</v>
      </c>
      <c r="U486" s="403" t="s">
        <v>152</v>
      </c>
      <c r="V486" s="403" t="s">
        <v>20</v>
      </c>
    </row>
    <row r="487" spans="1:22">
      <c r="A487" s="6"/>
      <c r="B487" s="216">
        <v>46215</v>
      </c>
      <c r="C487" s="216">
        <v>46215</v>
      </c>
      <c r="D487" s="403" t="s">
        <v>8025</v>
      </c>
      <c r="E487" s="403">
        <v>260105219771</v>
      </c>
      <c r="F487" s="403" t="s">
        <v>87</v>
      </c>
      <c r="G487" s="403" t="s">
        <v>8023</v>
      </c>
      <c r="H487" s="403" t="s">
        <v>7271</v>
      </c>
      <c r="I487" s="403">
        <v>431</v>
      </c>
      <c r="J487" s="374">
        <v>431</v>
      </c>
      <c r="K487" s="403">
        <v>107</v>
      </c>
      <c r="L487" s="217">
        <v>2460</v>
      </c>
      <c r="M487" s="403" t="s">
        <v>153</v>
      </c>
      <c r="N487" s="403" t="s">
        <v>149</v>
      </c>
      <c r="O487" s="403" t="s">
        <v>154</v>
      </c>
      <c r="P487" s="403" t="s">
        <v>151</v>
      </c>
      <c r="Q487" s="403" t="s">
        <v>156</v>
      </c>
      <c r="R487" s="403" t="s">
        <v>8026</v>
      </c>
      <c r="S487" s="403"/>
      <c r="T487" s="403" t="s">
        <v>2989</v>
      </c>
      <c r="U487" s="403" t="s">
        <v>152</v>
      </c>
      <c r="V487" s="403" t="s">
        <v>20</v>
      </c>
    </row>
    <row r="488" spans="1:22">
      <c r="A488" s="6"/>
      <c r="B488" s="216">
        <v>46215</v>
      </c>
      <c r="C488" s="216">
        <v>46215</v>
      </c>
      <c r="D488" s="403" t="s">
        <v>8027</v>
      </c>
      <c r="E488" s="403">
        <v>260105819732</v>
      </c>
      <c r="F488" s="403" t="s">
        <v>87</v>
      </c>
      <c r="G488" s="403" t="s">
        <v>2646</v>
      </c>
      <c r="H488" s="403" t="s">
        <v>7328</v>
      </c>
      <c r="I488" s="403">
        <v>421</v>
      </c>
      <c r="J488" s="374">
        <v>421</v>
      </c>
      <c r="K488" s="403">
        <v>105</v>
      </c>
      <c r="L488" s="217">
        <v>2310</v>
      </c>
      <c r="M488" s="403" t="s">
        <v>153</v>
      </c>
      <c r="N488" s="403" t="s">
        <v>149</v>
      </c>
      <c r="O488" s="403" t="s">
        <v>154</v>
      </c>
      <c r="P488" s="403" t="s">
        <v>151</v>
      </c>
      <c r="Q488" s="403" t="s">
        <v>156</v>
      </c>
      <c r="R488" s="403" t="s">
        <v>8028</v>
      </c>
      <c r="S488" s="403"/>
      <c r="T488" s="403" t="s">
        <v>2989</v>
      </c>
      <c r="U488" s="403" t="s">
        <v>152</v>
      </c>
      <c r="V488" s="403" t="s">
        <v>20</v>
      </c>
    </row>
    <row r="489" spans="1:22">
      <c r="A489" s="6"/>
      <c r="B489" s="216">
        <v>46215</v>
      </c>
      <c r="C489" s="216">
        <v>46215</v>
      </c>
      <c r="D489" s="403" t="s">
        <v>8029</v>
      </c>
      <c r="E489" s="403">
        <v>260101319968</v>
      </c>
      <c r="F489" s="403" t="s">
        <v>87</v>
      </c>
      <c r="G489" s="403" t="s">
        <v>7026</v>
      </c>
      <c r="H489" s="403" t="s">
        <v>7027</v>
      </c>
      <c r="I489" s="403">
        <v>698</v>
      </c>
      <c r="J489" s="374">
        <v>698</v>
      </c>
      <c r="K489" s="403">
        <v>190</v>
      </c>
      <c r="L489" s="217">
        <v>1185</v>
      </c>
      <c r="M489" s="403" t="s">
        <v>153</v>
      </c>
      <c r="N489" s="403" t="s">
        <v>149</v>
      </c>
      <c r="O489" s="403" t="s">
        <v>154</v>
      </c>
      <c r="P489" s="403" t="s">
        <v>151</v>
      </c>
      <c r="Q489" s="403" t="s">
        <v>156</v>
      </c>
      <c r="R489" s="403" t="s">
        <v>8030</v>
      </c>
      <c r="S489" s="403"/>
      <c r="T489" s="403" t="s">
        <v>2989</v>
      </c>
      <c r="U489" s="403" t="s">
        <v>152</v>
      </c>
      <c r="V489" s="403" t="s">
        <v>20</v>
      </c>
    </row>
    <row r="490" spans="1:22">
      <c r="A490" s="6"/>
      <c r="B490" s="216">
        <v>46215</v>
      </c>
      <c r="C490" s="216">
        <v>46215</v>
      </c>
      <c r="D490" s="403" t="s">
        <v>8031</v>
      </c>
      <c r="E490" s="403">
        <v>260105819532</v>
      </c>
      <c r="F490" s="403" t="s">
        <v>87</v>
      </c>
      <c r="G490" s="403" t="s">
        <v>2646</v>
      </c>
      <c r="H490" s="403" t="s">
        <v>7328</v>
      </c>
      <c r="I490" s="403">
        <v>501</v>
      </c>
      <c r="J490" s="374">
        <v>501</v>
      </c>
      <c r="K490" s="403">
        <v>105</v>
      </c>
      <c r="L490" s="217">
        <v>2740</v>
      </c>
      <c r="M490" s="403" t="s">
        <v>153</v>
      </c>
      <c r="N490" s="403" t="s">
        <v>149</v>
      </c>
      <c r="O490" s="403" t="s">
        <v>154</v>
      </c>
      <c r="P490" s="403" t="s">
        <v>151</v>
      </c>
      <c r="Q490" s="403" t="s">
        <v>156</v>
      </c>
      <c r="R490" s="403" t="s">
        <v>8032</v>
      </c>
      <c r="S490" s="403"/>
      <c r="T490" s="403" t="s">
        <v>2989</v>
      </c>
      <c r="U490" s="403" t="s">
        <v>152</v>
      </c>
      <c r="V490" s="403" t="s">
        <v>20</v>
      </c>
    </row>
    <row r="491" spans="1:22">
      <c r="A491" s="6"/>
      <c r="B491" s="216">
        <v>46215</v>
      </c>
      <c r="C491" s="216">
        <v>46215</v>
      </c>
      <c r="D491" s="403" t="s">
        <v>8033</v>
      </c>
      <c r="E491" s="403">
        <v>260105219706</v>
      </c>
      <c r="F491" s="403" t="s">
        <v>87</v>
      </c>
      <c r="G491" s="403" t="s">
        <v>8023</v>
      </c>
      <c r="H491" s="403" t="s">
        <v>7271</v>
      </c>
      <c r="I491" s="403">
        <v>529</v>
      </c>
      <c r="J491" s="374">
        <v>529</v>
      </c>
      <c r="K491" s="403">
        <v>107</v>
      </c>
      <c r="L491" s="217">
        <v>3000</v>
      </c>
      <c r="M491" s="403" t="s">
        <v>153</v>
      </c>
      <c r="N491" s="403" t="s">
        <v>149</v>
      </c>
      <c r="O491" s="403" t="s">
        <v>154</v>
      </c>
      <c r="P491" s="403" t="s">
        <v>151</v>
      </c>
      <c r="Q491" s="403" t="s">
        <v>156</v>
      </c>
      <c r="R491" s="403" t="s">
        <v>8034</v>
      </c>
      <c r="S491" s="403"/>
      <c r="T491" s="403" t="s">
        <v>2989</v>
      </c>
      <c r="U491" s="403" t="s">
        <v>152</v>
      </c>
      <c r="V491" s="403" t="s">
        <v>20</v>
      </c>
    </row>
    <row r="492" spans="1:22">
      <c r="A492" s="6"/>
      <c r="B492" s="216">
        <v>46215</v>
      </c>
      <c r="C492" s="216">
        <v>46215</v>
      </c>
      <c r="D492" s="403" t="s">
        <v>8035</v>
      </c>
      <c r="E492" s="403">
        <v>260105819631</v>
      </c>
      <c r="F492" s="403" t="s">
        <v>87</v>
      </c>
      <c r="G492" s="403" t="s">
        <v>2646</v>
      </c>
      <c r="H492" s="403" t="s">
        <v>7328</v>
      </c>
      <c r="I492" s="403">
        <v>432</v>
      </c>
      <c r="J492" s="374">
        <v>432</v>
      </c>
      <c r="K492" s="403">
        <v>105</v>
      </c>
      <c r="L492" s="217">
        <v>2340</v>
      </c>
      <c r="M492" s="403" t="s">
        <v>153</v>
      </c>
      <c r="N492" s="403" t="s">
        <v>149</v>
      </c>
      <c r="O492" s="403" t="s">
        <v>154</v>
      </c>
      <c r="P492" s="403" t="s">
        <v>151</v>
      </c>
      <c r="Q492" s="403" t="s">
        <v>156</v>
      </c>
      <c r="R492" s="403" t="s">
        <v>8036</v>
      </c>
      <c r="S492" s="403"/>
      <c r="T492" s="403" t="s">
        <v>2989</v>
      </c>
      <c r="U492" s="403" t="s">
        <v>152</v>
      </c>
      <c r="V492" s="403" t="s">
        <v>20</v>
      </c>
    </row>
    <row r="493" spans="1:22">
      <c r="A493" s="6"/>
      <c r="B493" s="216">
        <v>46216</v>
      </c>
      <c r="C493" s="216">
        <v>46216</v>
      </c>
      <c r="D493" s="403" t="s">
        <v>8037</v>
      </c>
      <c r="E493" s="403">
        <v>260102020002</v>
      </c>
      <c r="F493" s="403" t="s">
        <v>87</v>
      </c>
      <c r="G493" s="403" t="s">
        <v>2563</v>
      </c>
      <c r="H493" s="403">
        <v>95</v>
      </c>
      <c r="I493" s="403">
        <v>237</v>
      </c>
      <c r="J493" s="374">
        <v>237</v>
      </c>
      <c r="K493" s="403">
        <v>134</v>
      </c>
      <c r="L493" s="217">
        <v>1000</v>
      </c>
      <c r="M493" s="403" t="s">
        <v>153</v>
      </c>
      <c r="N493" s="403" t="s">
        <v>149</v>
      </c>
      <c r="O493" s="403" t="s">
        <v>154</v>
      </c>
      <c r="P493" s="403" t="s">
        <v>151</v>
      </c>
      <c r="Q493" s="403" t="s">
        <v>155</v>
      </c>
      <c r="R493" s="403" t="s">
        <v>8038</v>
      </c>
      <c r="S493" s="403"/>
      <c r="T493" s="403" t="s">
        <v>3006</v>
      </c>
      <c r="U493" s="403" t="s">
        <v>152</v>
      </c>
      <c r="V493" s="403" t="s">
        <v>18</v>
      </c>
    </row>
    <row r="494" spans="1:22">
      <c r="A494" s="6"/>
      <c r="B494" s="216">
        <v>46216</v>
      </c>
      <c r="C494" s="216">
        <v>46216</v>
      </c>
      <c r="D494" s="403" t="s">
        <v>8039</v>
      </c>
      <c r="E494" s="403">
        <v>260103720023</v>
      </c>
      <c r="F494" s="403" t="s">
        <v>87</v>
      </c>
      <c r="G494" s="403" t="s">
        <v>2563</v>
      </c>
      <c r="H494" s="403">
        <v>95</v>
      </c>
      <c r="I494" s="403">
        <v>304</v>
      </c>
      <c r="J494" s="374">
        <v>304</v>
      </c>
      <c r="K494" s="403">
        <v>134</v>
      </c>
      <c r="L494" s="217">
        <v>1240</v>
      </c>
      <c r="M494" s="403" t="s">
        <v>153</v>
      </c>
      <c r="N494" s="403" t="s">
        <v>149</v>
      </c>
      <c r="O494" s="403" t="s">
        <v>154</v>
      </c>
      <c r="P494" s="403" t="s">
        <v>151</v>
      </c>
      <c r="Q494" s="403" t="s">
        <v>155</v>
      </c>
      <c r="R494" s="403" t="s">
        <v>8040</v>
      </c>
      <c r="S494" s="403"/>
      <c r="T494" s="403" t="s">
        <v>3006</v>
      </c>
      <c r="U494" s="403" t="s">
        <v>152</v>
      </c>
      <c r="V494" s="403" t="s">
        <v>18</v>
      </c>
    </row>
    <row r="495" spans="1:22">
      <c r="A495" s="6"/>
      <c r="B495" s="216">
        <v>46216</v>
      </c>
      <c r="C495" s="216">
        <v>46216</v>
      </c>
      <c r="D495" s="403" t="s">
        <v>8041</v>
      </c>
      <c r="E495" s="403">
        <v>260101420032</v>
      </c>
      <c r="F495" s="403" t="s">
        <v>87</v>
      </c>
      <c r="G495" s="403" t="s">
        <v>859</v>
      </c>
      <c r="H495" s="403">
        <v>152</v>
      </c>
      <c r="I495" s="403">
        <v>230</v>
      </c>
      <c r="J495" s="374">
        <v>230</v>
      </c>
      <c r="K495" s="403">
        <v>104</v>
      </c>
      <c r="L495" s="217">
        <v>1500</v>
      </c>
      <c r="M495" s="403" t="s">
        <v>153</v>
      </c>
      <c r="N495" s="403" t="s">
        <v>149</v>
      </c>
      <c r="O495" s="403" t="s">
        <v>154</v>
      </c>
      <c r="P495" s="403" t="s">
        <v>151</v>
      </c>
      <c r="Q495" s="403" t="s">
        <v>155</v>
      </c>
      <c r="R495" s="403" t="s">
        <v>8042</v>
      </c>
      <c r="S495" s="403"/>
      <c r="T495" s="403" t="s">
        <v>3006</v>
      </c>
      <c r="U495" s="403" t="s">
        <v>152</v>
      </c>
      <c r="V495" s="403" t="s">
        <v>18</v>
      </c>
    </row>
    <row r="496" spans="1:22">
      <c r="A496" s="6"/>
      <c r="B496" s="216">
        <v>46216</v>
      </c>
      <c r="C496" s="216">
        <v>46216</v>
      </c>
      <c r="D496" s="403" t="s">
        <v>8043</v>
      </c>
      <c r="E496" s="403">
        <v>260101420033</v>
      </c>
      <c r="F496" s="403" t="s">
        <v>87</v>
      </c>
      <c r="G496" s="403" t="s">
        <v>859</v>
      </c>
      <c r="H496" s="403">
        <v>152</v>
      </c>
      <c r="I496" s="403">
        <v>234</v>
      </c>
      <c r="J496" s="374">
        <v>234</v>
      </c>
      <c r="K496" s="403">
        <v>104</v>
      </c>
      <c r="L496" s="217">
        <v>1500</v>
      </c>
      <c r="M496" s="403" t="s">
        <v>153</v>
      </c>
      <c r="N496" s="403" t="s">
        <v>149</v>
      </c>
      <c r="O496" s="403" t="s">
        <v>154</v>
      </c>
      <c r="P496" s="403" t="s">
        <v>151</v>
      </c>
      <c r="Q496" s="403" t="s">
        <v>155</v>
      </c>
      <c r="R496" s="403" t="s">
        <v>8044</v>
      </c>
      <c r="S496" s="403"/>
      <c r="T496" s="403" t="s">
        <v>3006</v>
      </c>
      <c r="U496" s="403" t="s">
        <v>152</v>
      </c>
      <c r="V496" s="403" t="s">
        <v>18</v>
      </c>
    </row>
    <row r="497" spans="1:22">
      <c r="A497" s="6"/>
      <c r="B497" s="216">
        <v>46216</v>
      </c>
      <c r="C497" s="216">
        <v>46216</v>
      </c>
      <c r="D497" s="403" t="s">
        <v>8045</v>
      </c>
      <c r="E497" s="403">
        <v>260101420035</v>
      </c>
      <c r="F497" s="403" t="s">
        <v>87</v>
      </c>
      <c r="G497" s="403" t="s">
        <v>859</v>
      </c>
      <c r="H497" s="403">
        <v>152</v>
      </c>
      <c r="I497" s="403">
        <v>233</v>
      </c>
      <c r="J497" s="374">
        <v>233</v>
      </c>
      <c r="K497" s="403">
        <v>104</v>
      </c>
      <c r="L497" s="217">
        <v>1500</v>
      </c>
      <c r="M497" s="403" t="s">
        <v>153</v>
      </c>
      <c r="N497" s="403" t="s">
        <v>149</v>
      </c>
      <c r="O497" s="403" t="s">
        <v>154</v>
      </c>
      <c r="P497" s="403" t="s">
        <v>151</v>
      </c>
      <c r="Q497" s="403" t="s">
        <v>155</v>
      </c>
      <c r="R497" s="403" t="s">
        <v>8046</v>
      </c>
      <c r="S497" s="403"/>
      <c r="T497" s="403" t="s">
        <v>3006</v>
      </c>
      <c r="U497" s="403" t="s">
        <v>152</v>
      </c>
      <c r="V497" s="403" t="s">
        <v>18</v>
      </c>
    </row>
    <row r="498" spans="1:22">
      <c r="A498" s="6"/>
      <c r="B498" s="216">
        <v>46216</v>
      </c>
      <c r="C498" s="216">
        <v>46216</v>
      </c>
      <c r="D498" s="403" t="s">
        <v>8047</v>
      </c>
      <c r="E498" s="395">
        <v>260100919991</v>
      </c>
      <c r="F498" s="403" t="s">
        <v>87</v>
      </c>
      <c r="G498" s="403" t="s">
        <v>2656</v>
      </c>
      <c r="H498" s="403">
        <v>202</v>
      </c>
      <c r="I498" s="403">
        <v>415</v>
      </c>
      <c r="J498" s="374">
        <v>415</v>
      </c>
      <c r="K498" s="403">
        <v>180</v>
      </c>
      <c r="L498" s="217">
        <v>580</v>
      </c>
      <c r="M498" s="403" t="s">
        <v>153</v>
      </c>
      <c r="N498" s="403" t="s">
        <v>149</v>
      </c>
      <c r="O498" s="403" t="s">
        <v>154</v>
      </c>
      <c r="P498" s="403" t="s">
        <v>151</v>
      </c>
      <c r="Q498" s="403" t="s">
        <v>155</v>
      </c>
      <c r="R498" s="403" t="s">
        <v>8048</v>
      </c>
      <c r="S498" s="403"/>
      <c r="T498" s="403" t="s">
        <v>3006</v>
      </c>
      <c r="U498" s="403" t="s">
        <v>152</v>
      </c>
      <c r="V498" s="403" t="s">
        <v>18</v>
      </c>
    </row>
    <row r="499" spans="1:22">
      <c r="A499" s="6"/>
      <c r="B499" s="216">
        <v>46216</v>
      </c>
      <c r="C499" s="216">
        <v>46216</v>
      </c>
      <c r="D499" s="403" t="s">
        <v>8049</v>
      </c>
      <c r="E499" s="403">
        <v>260101619995</v>
      </c>
      <c r="F499" s="403" t="s">
        <v>87</v>
      </c>
      <c r="G499" s="403" t="s">
        <v>2642</v>
      </c>
      <c r="H499" s="403">
        <v>112</v>
      </c>
      <c r="I499" s="403">
        <v>352</v>
      </c>
      <c r="J499" s="374">
        <v>352</v>
      </c>
      <c r="K499" s="403">
        <v>160</v>
      </c>
      <c r="L499" s="217">
        <v>1000</v>
      </c>
      <c r="M499" s="403" t="s">
        <v>153</v>
      </c>
      <c r="N499" s="403" t="s">
        <v>149</v>
      </c>
      <c r="O499" s="403" t="s">
        <v>154</v>
      </c>
      <c r="P499" s="403" t="s">
        <v>151</v>
      </c>
      <c r="Q499" s="403" t="s">
        <v>155</v>
      </c>
      <c r="R499" s="403" t="s">
        <v>8050</v>
      </c>
      <c r="S499" s="403"/>
      <c r="T499" s="403" t="s">
        <v>3006</v>
      </c>
      <c r="U499" s="403" t="s">
        <v>152</v>
      </c>
      <c r="V499" s="403" t="s">
        <v>18</v>
      </c>
    </row>
    <row r="500" spans="1:22">
      <c r="A500" s="6"/>
      <c r="B500" s="216">
        <v>46216</v>
      </c>
      <c r="C500" s="216">
        <v>46216</v>
      </c>
      <c r="D500" s="403" t="s">
        <v>8051</v>
      </c>
      <c r="E500" s="395">
        <v>260102519998</v>
      </c>
      <c r="F500" s="403" t="s">
        <v>87</v>
      </c>
      <c r="G500" s="403" t="s">
        <v>7766</v>
      </c>
      <c r="H500" s="403">
        <v>112</v>
      </c>
      <c r="I500" s="403">
        <v>230</v>
      </c>
      <c r="J500" s="374">
        <v>230</v>
      </c>
      <c r="K500" s="403">
        <v>104</v>
      </c>
      <c r="L500" s="217">
        <v>1000</v>
      </c>
      <c r="M500" s="403" t="s">
        <v>153</v>
      </c>
      <c r="N500" s="403" t="s">
        <v>149</v>
      </c>
      <c r="O500" s="403" t="s">
        <v>154</v>
      </c>
      <c r="P500" s="403" t="s">
        <v>151</v>
      </c>
      <c r="Q500" s="403" t="s">
        <v>155</v>
      </c>
      <c r="R500" s="403" t="s">
        <v>8052</v>
      </c>
      <c r="S500" s="403"/>
      <c r="T500" s="403" t="s">
        <v>3006</v>
      </c>
      <c r="U500" s="403" t="s">
        <v>152</v>
      </c>
      <c r="V500" s="403" t="s">
        <v>18</v>
      </c>
    </row>
    <row r="501" spans="1:22">
      <c r="A501" s="6"/>
      <c r="B501" s="216">
        <v>46216</v>
      </c>
      <c r="C501" s="216">
        <v>46216</v>
      </c>
      <c r="D501" s="403" t="s">
        <v>8053</v>
      </c>
      <c r="E501" s="403">
        <v>260102820011</v>
      </c>
      <c r="F501" s="403" t="s">
        <v>87</v>
      </c>
      <c r="G501" s="403" t="s">
        <v>2554</v>
      </c>
      <c r="H501" s="403">
        <v>102</v>
      </c>
      <c r="I501" s="403">
        <v>248</v>
      </c>
      <c r="J501" s="374">
        <v>248</v>
      </c>
      <c r="K501" s="403">
        <v>125</v>
      </c>
      <c r="L501" s="217">
        <v>1000</v>
      </c>
      <c r="M501" s="403" t="s">
        <v>153</v>
      </c>
      <c r="N501" s="403" t="s">
        <v>149</v>
      </c>
      <c r="O501" s="403" t="s">
        <v>154</v>
      </c>
      <c r="P501" s="403" t="s">
        <v>151</v>
      </c>
      <c r="Q501" s="403" t="s">
        <v>155</v>
      </c>
      <c r="R501" s="403" t="s">
        <v>8054</v>
      </c>
      <c r="S501" s="403"/>
      <c r="T501" s="403" t="s">
        <v>3006</v>
      </c>
      <c r="U501" s="403" t="s">
        <v>152</v>
      </c>
      <c r="V501" s="403" t="s">
        <v>18</v>
      </c>
    </row>
    <row r="502" spans="1:22">
      <c r="A502" s="6"/>
      <c r="B502" s="216">
        <v>46216</v>
      </c>
      <c r="C502" s="216">
        <v>46216</v>
      </c>
      <c r="D502" s="403" t="s">
        <v>8055</v>
      </c>
      <c r="E502" s="403">
        <v>260101620013</v>
      </c>
      <c r="F502" s="403" t="s">
        <v>87</v>
      </c>
      <c r="G502" s="403" t="s">
        <v>2642</v>
      </c>
      <c r="H502" s="403">
        <v>112</v>
      </c>
      <c r="I502" s="403">
        <v>355</v>
      </c>
      <c r="J502" s="374">
        <v>355</v>
      </c>
      <c r="K502" s="403">
        <v>160</v>
      </c>
      <c r="L502" s="217">
        <v>1000</v>
      </c>
      <c r="M502" s="403" t="s">
        <v>153</v>
      </c>
      <c r="N502" s="403" t="s">
        <v>149</v>
      </c>
      <c r="O502" s="403" t="s">
        <v>154</v>
      </c>
      <c r="P502" s="403" t="s">
        <v>151</v>
      </c>
      <c r="Q502" s="403" t="s">
        <v>155</v>
      </c>
      <c r="R502" s="403" t="s">
        <v>8056</v>
      </c>
      <c r="S502" s="403"/>
      <c r="T502" s="403" t="s">
        <v>3006</v>
      </c>
      <c r="U502" s="403" t="s">
        <v>152</v>
      </c>
      <c r="V502" s="403" t="s">
        <v>18</v>
      </c>
    </row>
    <row r="503" spans="1:22">
      <c r="A503" s="6"/>
      <c r="B503" s="216">
        <v>46216</v>
      </c>
      <c r="C503" s="216">
        <v>46216</v>
      </c>
      <c r="D503" s="403" t="s">
        <v>8057</v>
      </c>
      <c r="E503" s="403">
        <v>260101720016</v>
      </c>
      <c r="F503" s="403" t="s">
        <v>87</v>
      </c>
      <c r="G503" s="403" t="s">
        <v>2408</v>
      </c>
      <c r="H503" s="403">
        <v>95</v>
      </c>
      <c r="I503" s="403">
        <v>248</v>
      </c>
      <c r="J503" s="374">
        <v>248</v>
      </c>
      <c r="K503" s="403">
        <v>134</v>
      </c>
      <c r="L503" s="217">
        <v>1000</v>
      </c>
      <c r="M503" s="403" t="s">
        <v>153</v>
      </c>
      <c r="N503" s="403" t="s">
        <v>149</v>
      </c>
      <c r="O503" s="403" t="s">
        <v>154</v>
      </c>
      <c r="P503" s="403" t="s">
        <v>151</v>
      </c>
      <c r="Q503" s="403" t="s">
        <v>155</v>
      </c>
      <c r="R503" s="403" t="s">
        <v>8058</v>
      </c>
      <c r="S503" s="403"/>
      <c r="T503" s="403" t="s">
        <v>3006</v>
      </c>
      <c r="U503" s="403" t="s">
        <v>152</v>
      </c>
      <c r="V503" s="403" t="s">
        <v>18</v>
      </c>
    </row>
    <row r="504" spans="1:22">
      <c r="A504" s="6"/>
      <c r="B504" s="216">
        <v>46216</v>
      </c>
      <c r="C504" s="216">
        <v>46216</v>
      </c>
      <c r="D504" s="403" t="s">
        <v>8059</v>
      </c>
      <c r="E504" s="395">
        <v>260103920020</v>
      </c>
      <c r="F504" s="403" t="s">
        <v>87</v>
      </c>
      <c r="G504" s="403" t="s">
        <v>2408</v>
      </c>
      <c r="H504" s="403">
        <v>95</v>
      </c>
      <c r="I504" s="403">
        <v>240</v>
      </c>
      <c r="J504" s="374">
        <v>240</v>
      </c>
      <c r="K504" s="403">
        <v>134</v>
      </c>
      <c r="L504" s="217">
        <v>1000</v>
      </c>
      <c r="M504" s="403" t="s">
        <v>153</v>
      </c>
      <c r="N504" s="403" t="s">
        <v>149</v>
      </c>
      <c r="O504" s="403" t="s">
        <v>154</v>
      </c>
      <c r="P504" s="403" t="s">
        <v>151</v>
      </c>
      <c r="Q504" s="403" t="s">
        <v>155</v>
      </c>
      <c r="R504" s="403" t="s">
        <v>8060</v>
      </c>
      <c r="S504" s="403"/>
      <c r="T504" s="403" t="s">
        <v>3006</v>
      </c>
      <c r="U504" s="403" t="s">
        <v>152</v>
      </c>
      <c r="V504" s="403" t="s">
        <v>18</v>
      </c>
    </row>
    <row r="505" spans="1:22">
      <c r="A505" s="6"/>
      <c r="B505" s="216">
        <v>46216</v>
      </c>
      <c r="C505" s="216">
        <v>46216</v>
      </c>
      <c r="D505" s="403" t="s">
        <v>8061</v>
      </c>
      <c r="E505" s="395">
        <v>260102620014</v>
      </c>
      <c r="F505" s="403" t="s">
        <v>87</v>
      </c>
      <c r="G505" s="403" t="s">
        <v>7879</v>
      </c>
      <c r="H505" s="403">
        <v>112</v>
      </c>
      <c r="I505" s="403">
        <v>265</v>
      </c>
      <c r="J505" s="374">
        <v>265</v>
      </c>
      <c r="K505" s="403">
        <v>124</v>
      </c>
      <c r="L505" s="217">
        <v>1000</v>
      </c>
      <c r="M505" s="403" t="s">
        <v>153</v>
      </c>
      <c r="N505" s="403" t="s">
        <v>149</v>
      </c>
      <c r="O505" s="403" t="s">
        <v>154</v>
      </c>
      <c r="P505" s="403" t="s">
        <v>151</v>
      </c>
      <c r="Q505" s="403" t="s">
        <v>155</v>
      </c>
      <c r="R505" s="403" t="s">
        <v>8062</v>
      </c>
      <c r="S505" s="403"/>
      <c r="T505" s="403" t="s">
        <v>3006</v>
      </c>
      <c r="U505" s="403" t="s">
        <v>152</v>
      </c>
      <c r="V505" s="403" t="s">
        <v>18</v>
      </c>
    </row>
    <row r="506" spans="1:22">
      <c r="A506" s="6"/>
      <c r="B506" s="216">
        <v>46216</v>
      </c>
      <c r="C506" s="216">
        <v>46216</v>
      </c>
      <c r="D506" s="403" t="s">
        <v>8063</v>
      </c>
      <c r="E506" s="395">
        <v>260105019947</v>
      </c>
      <c r="F506" s="403" t="s">
        <v>87</v>
      </c>
      <c r="G506" s="403" t="s">
        <v>2558</v>
      </c>
      <c r="H506" s="403">
        <v>222</v>
      </c>
      <c r="I506" s="403">
        <v>256</v>
      </c>
      <c r="J506" s="374">
        <v>256</v>
      </c>
      <c r="K506" s="403">
        <v>98</v>
      </c>
      <c r="L506" s="217">
        <v>1230</v>
      </c>
      <c r="M506" s="403" t="s">
        <v>153</v>
      </c>
      <c r="N506" s="403" t="s">
        <v>149</v>
      </c>
      <c r="O506" s="403" t="s">
        <v>154</v>
      </c>
      <c r="P506" s="403" t="s">
        <v>151</v>
      </c>
      <c r="Q506" s="403" t="s">
        <v>155</v>
      </c>
      <c r="R506" s="403" t="s">
        <v>8064</v>
      </c>
      <c r="S506" s="403"/>
      <c r="T506" s="403" t="s">
        <v>3006</v>
      </c>
      <c r="U506" s="403" t="s">
        <v>152</v>
      </c>
      <c r="V506" s="403" t="s">
        <v>18</v>
      </c>
    </row>
    <row r="507" spans="1:22">
      <c r="A507" s="6"/>
      <c r="B507" s="216">
        <v>46216</v>
      </c>
      <c r="C507" s="216">
        <v>46216</v>
      </c>
      <c r="D507" s="403" t="s">
        <v>8065</v>
      </c>
      <c r="E507" s="395">
        <v>260101820018</v>
      </c>
      <c r="F507" s="403" t="s">
        <v>87</v>
      </c>
      <c r="G507" s="403" t="s">
        <v>2408</v>
      </c>
      <c r="H507" s="403">
        <v>95</v>
      </c>
      <c r="I507" s="403">
        <v>251</v>
      </c>
      <c r="J507" s="374">
        <v>251</v>
      </c>
      <c r="K507" s="403">
        <v>134</v>
      </c>
      <c r="L507" s="217">
        <v>1000</v>
      </c>
      <c r="M507" s="403" t="s">
        <v>153</v>
      </c>
      <c r="N507" s="403" t="s">
        <v>149</v>
      </c>
      <c r="O507" s="403" t="s">
        <v>154</v>
      </c>
      <c r="P507" s="403" t="s">
        <v>151</v>
      </c>
      <c r="Q507" s="403" t="s">
        <v>155</v>
      </c>
      <c r="R507" s="403" t="s">
        <v>8066</v>
      </c>
      <c r="S507" s="403"/>
      <c r="T507" s="403" t="s">
        <v>3006</v>
      </c>
      <c r="U507" s="403" t="s">
        <v>152</v>
      </c>
      <c r="V507" s="403" t="s">
        <v>18</v>
      </c>
    </row>
    <row r="508" spans="1:22">
      <c r="A508" s="6"/>
      <c r="B508" s="216">
        <v>46216</v>
      </c>
      <c r="C508" s="216">
        <v>46216</v>
      </c>
      <c r="D508" s="403" t="s">
        <v>8067</v>
      </c>
      <c r="E508" s="395">
        <v>260104220031</v>
      </c>
      <c r="F508" s="403" t="s">
        <v>87</v>
      </c>
      <c r="G508" s="403" t="s">
        <v>7868</v>
      </c>
      <c r="H508" s="403">
        <v>242</v>
      </c>
      <c r="I508" s="403">
        <v>173</v>
      </c>
      <c r="J508" s="374">
        <v>173</v>
      </c>
      <c r="K508" s="403">
        <v>100</v>
      </c>
      <c r="L508" s="217">
        <v>730</v>
      </c>
      <c r="M508" s="403" t="s">
        <v>153</v>
      </c>
      <c r="N508" s="403" t="s">
        <v>149</v>
      </c>
      <c r="O508" s="403" t="s">
        <v>154</v>
      </c>
      <c r="P508" s="403" t="s">
        <v>151</v>
      </c>
      <c r="Q508" s="403" t="s">
        <v>155</v>
      </c>
      <c r="R508" s="403" t="s">
        <v>8068</v>
      </c>
      <c r="S508" s="403"/>
      <c r="T508" s="403" t="s">
        <v>3006</v>
      </c>
      <c r="U508" s="403" t="s">
        <v>152</v>
      </c>
      <c r="V508" s="403" t="s">
        <v>18</v>
      </c>
    </row>
    <row r="509" spans="1:22">
      <c r="A509" s="6"/>
      <c r="B509" s="216">
        <v>46216</v>
      </c>
      <c r="C509" s="216">
        <v>46216</v>
      </c>
      <c r="D509" s="403" t="s">
        <v>8069</v>
      </c>
      <c r="E509" s="395">
        <v>260101420034</v>
      </c>
      <c r="F509" s="403" t="s">
        <v>87</v>
      </c>
      <c r="G509" s="403" t="s">
        <v>859</v>
      </c>
      <c r="H509" s="403">
        <v>152</v>
      </c>
      <c r="I509" s="403">
        <v>233</v>
      </c>
      <c r="J509" s="374">
        <v>233</v>
      </c>
      <c r="K509" s="403">
        <v>104</v>
      </c>
      <c r="L509" s="217">
        <v>1500</v>
      </c>
      <c r="M509" s="403" t="s">
        <v>153</v>
      </c>
      <c r="N509" s="403" t="s">
        <v>149</v>
      </c>
      <c r="O509" s="403" t="s">
        <v>154</v>
      </c>
      <c r="P509" s="403" t="s">
        <v>151</v>
      </c>
      <c r="Q509" s="403" t="s">
        <v>155</v>
      </c>
      <c r="R509" s="403" t="s">
        <v>8070</v>
      </c>
      <c r="S509" s="403"/>
      <c r="T509" s="403" t="s">
        <v>3006</v>
      </c>
      <c r="U509" s="403" t="s">
        <v>152</v>
      </c>
      <c r="V509" s="403" t="s">
        <v>18</v>
      </c>
    </row>
    <row r="510" spans="1:22">
      <c r="A510" s="6"/>
      <c r="B510" s="216">
        <v>46216</v>
      </c>
      <c r="C510" s="216">
        <v>46216</v>
      </c>
      <c r="D510" s="403" t="s">
        <v>8071</v>
      </c>
      <c r="E510" s="395">
        <v>260102720012</v>
      </c>
      <c r="F510" s="403" t="s">
        <v>87</v>
      </c>
      <c r="G510" s="403" t="s">
        <v>2554</v>
      </c>
      <c r="H510" s="403">
        <v>102</v>
      </c>
      <c r="I510" s="403">
        <v>250</v>
      </c>
      <c r="J510" s="374">
        <v>250</v>
      </c>
      <c r="K510" s="403">
        <v>125</v>
      </c>
      <c r="L510" s="217">
        <v>1000</v>
      </c>
      <c r="M510" s="403" t="s">
        <v>153</v>
      </c>
      <c r="N510" s="403" t="s">
        <v>149</v>
      </c>
      <c r="O510" s="403" t="s">
        <v>154</v>
      </c>
      <c r="P510" s="403" t="s">
        <v>151</v>
      </c>
      <c r="Q510" s="403" t="s">
        <v>155</v>
      </c>
      <c r="R510" s="403" t="s">
        <v>8072</v>
      </c>
      <c r="S510" s="403"/>
      <c r="T510" s="403" t="s">
        <v>3006</v>
      </c>
      <c r="U510" s="403" t="s">
        <v>152</v>
      </c>
      <c r="V510" s="403" t="s">
        <v>18</v>
      </c>
    </row>
    <row r="511" spans="1:22">
      <c r="A511" s="6"/>
      <c r="B511" s="216">
        <v>46216</v>
      </c>
      <c r="C511" s="216">
        <v>46216</v>
      </c>
      <c r="D511" s="403" t="s">
        <v>8073</v>
      </c>
      <c r="E511" s="395">
        <v>260102520015</v>
      </c>
      <c r="F511" s="403" t="s">
        <v>87</v>
      </c>
      <c r="G511" s="403" t="s">
        <v>7766</v>
      </c>
      <c r="H511" s="403">
        <v>112</v>
      </c>
      <c r="I511" s="403">
        <v>230</v>
      </c>
      <c r="J511" s="374">
        <v>230</v>
      </c>
      <c r="K511" s="403">
        <v>104</v>
      </c>
      <c r="L511" s="217">
        <v>1000</v>
      </c>
      <c r="M511" s="403" t="s">
        <v>153</v>
      </c>
      <c r="N511" s="403" t="s">
        <v>149</v>
      </c>
      <c r="O511" s="403" t="s">
        <v>154</v>
      </c>
      <c r="P511" s="403" t="s">
        <v>151</v>
      </c>
      <c r="Q511" s="403" t="s">
        <v>155</v>
      </c>
      <c r="R511" s="403" t="s">
        <v>8074</v>
      </c>
      <c r="S511" s="403"/>
      <c r="T511" s="403" t="s">
        <v>3006</v>
      </c>
      <c r="U511" s="403" t="s">
        <v>152</v>
      </c>
      <c r="V511" s="403" t="s">
        <v>18</v>
      </c>
    </row>
    <row r="512" spans="1:22">
      <c r="A512" s="6"/>
      <c r="B512" s="216">
        <v>46216</v>
      </c>
      <c r="C512" s="216">
        <v>46216</v>
      </c>
      <c r="D512" s="403" t="s">
        <v>8075</v>
      </c>
      <c r="E512" s="395">
        <v>260100920037</v>
      </c>
      <c r="F512" s="403" t="s">
        <v>87</v>
      </c>
      <c r="G512" s="403" t="s">
        <v>2656</v>
      </c>
      <c r="H512" s="403">
        <v>202</v>
      </c>
      <c r="I512" s="403">
        <v>369</v>
      </c>
      <c r="J512" s="374">
        <v>369</v>
      </c>
      <c r="K512" s="403">
        <v>180</v>
      </c>
      <c r="L512" s="217">
        <v>510</v>
      </c>
      <c r="M512" s="403" t="s">
        <v>153</v>
      </c>
      <c r="N512" s="403" t="s">
        <v>149</v>
      </c>
      <c r="O512" s="403" t="s">
        <v>154</v>
      </c>
      <c r="P512" s="403" t="s">
        <v>151</v>
      </c>
      <c r="Q512" s="403" t="s">
        <v>155</v>
      </c>
      <c r="R512" s="403" t="s">
        <v>8076</v>
      </c>
      <c r="S512" s="403"/>
      <c r="T512" s="403" t="s">
        <v>3006</v>
      </c>
      <c r="U512" s="403" t="s">
        <v>152</v>
      </c>
      <c r="V512" s="403" t="s">
        <v>18</v>
      </c>
    </row>
    <row r="513" spans="1:22">
      <c r="A513" s="6"/>
      <c r="B513" s="216">
        <v>46216</v>
      </c>
      <c r="C513" s="216">
        <v>46216</v>
      </c>
      <c r="D513" s="403" t="s">
        <v>8077</v>
      </c>
      <c r="E513" s="395">
        <v>260100719993</v>
      </c>
      <c r="F513" s="403" t="s">
        <v>87</v>
      </c>
      <c r="G513" s="403" t="s">
        <v>7197</v>
      </c>
      <c r="H513" s="403">
        <v>182</v>
      </c>
      <c r="I513" s="403">
        <v>242</v>
      </c>
      <c r="J513" s="374">
        <v>242</v>
      </c>
      <c r="K513" s="403">
        <v>150</v>
      </c>
      <c r="L513" s="217">
        <v>460</v>
      </c>
      <c r="M513" s="403" t="s">
        <v>153</v>
      </c>
      <c r="N513" s="403" t="s">
        <v>149</v>
      </c>
      <c r="O513" s="403" t="s">
        <v>154</v>
      </c>
      <c r="P513" s="403" t="s">
        <v>151</v>
      </c>
      <c r="Q513" s="403" t="s">
        <v>155</v>
      </c>
      <c r="R513" s="403" t="s">
        <v>8078</v>
      </c>
      <c r="S513" s="403"/>
      <c r="T513" s="403" t="s">
        <v>3006</v>
      </c>
      <c r="U513" s="403" t="s">
        <v>152</v>
      </c>
      <c r="V513" s="403" t="s">
        <v>18</v>
      </c>
    </row>
    <row r="514" spans="1:22">
      <c r="A514" s="6"/>
      <c r="B514" s="216">
        <v>46216</v>
      </c>
      <c r="C514" s="216">
        <v>46216</v>
      </c>
      <c r="D514" s="403" t="s">
        <v>8079</v>
      </c>
      <c r="E514" s="395">
        <v>260102819994</v>
      </c>
      <c r="F514" s="403" t="s">
        <v>87</v>
      </c>
      <c r="G514" s="403" t="s">
        <v>2554</v>
      </c>
      <c r="H514" s="403">
        <v>102</v>
      </c>
      <c r="I514" s="403">
        <v>246</v>
      </c>
      <c r="J514" s="374">
        <v>246</v>
      </c>
      <c r="K514" s="403">
        <v>125</v>
      </c>
      <c r="L514" s="217">
        <v>1000</v>
      </c>
      <c r="M514" s="403" t="s">
        <v>153</v>
      </c>
      <c r="N514" s="403" t="s">
        <v>149</v>
      </c>
      <c r="O514" s="403" t="s">
        <v>154</v>
      </c>
      <c r="P514" s="403" t="s">
        <v>151</v>
      </c>
      <c r="Q514" s="403" t="s">
        <v>155</v>
      </c>
      <c r="R514" s="403" t="s">
        <v>8080</v>
      </c>
      <c r="S514" s="403"/>
      <c r="T514" s="403" t="s">
        <v>3006</v>
      </c>
      <c r="U514" s="403" t="s">
        <v>152</v>
      </c>
      <c r="V514" s="403" t="s">
        <v>18</v>
      </c>
    </row>
    <row r="515" spans="1:22">
      <c r="A515" s="6"/>
      <c r="B515" s="216">
        <v>46216</v>
      </c>
      <c r="C515" s="216">
        <v>46216</v>
      </c>
      <c r="D515" s="403" t="s">
        <v>8081</v>
      </c>
      <c r="E515" s="395">
        <v>260101720000</v>
      </c>
      <c r="F515" s="403" t="s">
        <v>87</v>
      </c>
      <c r="G515" s="403" t="s">
        <v>2408</v>
      </c>
      <c r="H515" s="403">
        <v>95</v>
      </c>
      <c r="I515" s="403">
        <v>244</v>
      </c>
      <c r="J515" s="374">
        <v>244</v>
      </c>
      <c r="K515" s="403">
        <v>134</v>
      </c>
      <c r="L515" s="217">
        <v>1000</v>
      </c>
      <c r="M515" s="403" t="s">
        <v>153</v>
      </c>
      <c r="N515" s="403" t="s">
        <v>149</v>
      </c>
      <c r="O515" s="403" t="s">
        <v>154</v>
      </c>
      <c r="P515" s="403" t="s">
        <v>151</v>
      </c>
      <c r="Q515" s="403" t="s">
        <v>155</v>
      </c>
      <c r="R515" s="403" t="s">
        <v>8082</v>
      </c>
      <c r="S515" s="403"/>
      <c r="T515" s="403" t="s">
        <v>3006</v>
      </c>
      <c r="U515" s="403" t="s">
        <v>152</v>
      </c>
      <c r="V515" s="403" t="s">
        <v>18</v>
      </c>
    </row>
    <row r="516" spans="1:22">
      <c r="A516" s="6"/>
      <c r="B516" s="216">
        <v>46216</v>
      </c>
      <c r="C516" s="216">
        <v>46216</v>
      </c>
      <c r="D516" s="403" t="s">
        <v>8083</v>
      </c>
      <c r="E516" s="395">
        <v>260101520010</v>
      </c>
      <c r="F516" s="403" t="s">
        <v>87</v>
      </c>
      <c r="G516" s="403" t="s">
        <v>2120</v>
      </c>
      <c r="H516" s="403">
        <v>92</v>
      </c>
      <c r="I516" s="403">
        <v>325</v>
      </c>
      <c r="J516" s="374">
        <v>325</v>
      </c>
      <c r="K516" s="403">
        <v>180</v>
      </c>
      <c r="L516" s="217">
        <v>1000</v>
      </c>
      <c r="M516" s="403" t="s">
        <v>153</v>
      </c>
      <c r="N516" s="403" t="s">
        <v>149</v>
      </c>
      <c r="O516" s="403" t="s">
        <v>154</v>
      </c>
      <c r="P516" s="403" t="s">
        <v>151</v>
      </c>
      <c r="Q516" s="403" t="s">
        <v>155</v>
      </c>
      <c r="R516" s="403" t="s">
        <v>8084</v>
      </c>
      <c r="S516" s="403"/>
      <c r="T516" s="403" t="s">
        <v>3006</v>
      </c>
      <c r="U516" s="403" t="s">
        <v>152</v>
      </c>
      <c r="V516" s="403" t="s">
        <v>18</v>
      </c>
    </row>
    <row r="517" spans="1:22">
      <c r="A517" s="6"/>
      <c r="B517" s="216">
        <v>46216</v>
      </c>
      <c r="C517" s="216">
        <v>46216</v>
      </c>
      <c r="D517" s="403" t="s">
        <v>8085</v>
      </c>
      <c r="E517" s="395">
        <v>260103320022</v>
      </c>
      <c r="F517" s="403" t="s">
        <v>87</v>
      </c>
      <c r="G517" s="403" t="s">
        <v>2310</v>
      </c>
      <c r="H517" s="403">
        <v>172</v>
      </c>
      <c r="I517" s="403">
        <v>220</v>
      </c>
      <c r="J517" s="374">
        <v>220</v>
      </c>
      <c r="K517" s="403">
        <v>87</v>
      </c>
      <c r="L517" s="217">
        <v>1500</v>
      </c>
      <c r="M517" s="403" t="s">
        <v>153</v>
      </c>
      <c r="N517" s="403" t="s">
        <v>149</v>
      </c>
      <c r="O517" s="403" t="s">
        <v>154</v>
      </c>
      <c r="P517" s="403" t="s">
        <v>151</v>
      </c>
      <c r="Q517" s="403" t="s">
        <v>155</v>
      </c>
      <c r="R517" s="403" t="s">
        <v>8086</v>
      </c>
      <c r="S517" s="403"/>
      <c r="T517" s="403" t="s">
        <v>3006</v>
      </c>
      <c r="U517" s="403" t="s">
        <v>152</v>
      </c>
      <c r="V517" s="403" t="s">
        <v>18</v>
      </c>
    </row>
    <row r="518" spans="1:22">
      <c r="A518" s="6"/>
      <c r="B518" s="216">
        <v>46216</v>
      </c>
      <c r="C518" s="216">
        <v>46216</v>
      </c>
      <c r="D518" s="403" t="s">
        <v>8087</v>
      </c>
      <c r="E518" s="395">
        <v>260105320030</v>
      </c>
      <c r="F518" s="403" t="s">
        <v>87</v>
      </c>
      <c r="G518" s="403" t="s">
        <v>2555</v>
      </c>
      <c r="H518" s="403">
        <v>152</v>
      </c>
      <c r="I518" s="403">
        <v>292</v>
      </c>
      <c r="J518" s="374">
        <v>292</v>
      </c>
      <c r="K518" s="403">
        <v>104</v>
      </c>
      <c r="L518" s="217">
        <v>1910</v>
      </c>
      <c r="M518" s="403" t="s">
        <v>153</v>
      </c>
      <c r="N518" s="403" t="s">
        <v>149</v>
      </c>
      <c r="O518" s="403" t="s">
        <v>154</v>
      </c>
      <c r="P518" s="403" t="s">
        <v>151</v>
      </c>
      <c r="Q518" s="403" t="s">
        <v>155</v>
      </c>
      <c r="R518" s="403" t="s">
        <v>8088</v>
      </c>
      <c r="S518" s="403"/>
      <c r="T518" s="403" t="s">
        <v>3006</v>
      </c>
      <c r="U518" s="403" t="s">
        <v>152</v>
      </c>
      <c r="V518" s="403" t="s">
        <v>18</v>
      </c>
    </row>
    <row r="519" spans="1:22">
      <c r="A519" s="6"/>
      <c r="B519" s="216">
        <v>46216</v>
      </c>
      <c r="C519" s="216">
        <v>46216</v>
      </c>
      <c r="D519" s="403" t="s">
        <v>8089</v>
      </c>
      <c r="E519" s="395">
        <v>260100420036</v>
      </c>
      <c r="F519" s="403" t="s">
        <v>87</v>
      </c>
      <c r="G519" s="403" t="s">
        <v>2120</v>
      </c>
      <c r="H519" s="403">
        <v>202</v>
      </c>
      <c r="I519" s="403">
        <v>429</v>
      </c>
      <c r="J519" s="374">
        <v>429</v>
      </c>
      <c r="K519" s="403">
        <v>180</v>
      </c>
      <c r="L519" s="217">
        <v>600</v>
      </c>
      <c r="M519" s="403" t="s">
        <v>153</v>
      </c>
      <c r="N519" s="403" t="s">
        <v>149</v>
      </c>
      <c r="O519" s="403" t="s">
        <v>154</v>
      </c>
      <c r="P519" s="403" t="s">
        <v>151</v>
      </c>
      <c r="Q519" s="403" t="s">
        <v>155</v>
      </c>
      <c r="R519" s="403" t="s">
        <v>8090</v>
      </c>
      <c r="S519" s="403"/>
      <c r="T519" s="403" t="s">
        <v>3006</v>
      </c>
      <c r="U519" s="403" t="s">
        <v>152</v>
      </c>
      <c r="V519" s="403" t="s">
        <v>18</v>
      </c>
    </row>
    <row r="520" spans="1:22">
      <c r="A520" s="6"/>
      <c r="B520" s="216">
        <v>46216</v>
      </c>
      <c r="C520" s="216">
        <v>46216</v>
      </c>
      <c r="D520" s="403" t="s">
        <v>8091</v>
      </c>
      <c r="E520" s="395">
        <v>260103320021</v>
      </c>
      <c r="F520" s="403" t="s">
        <v>87</v>
      </c>
      <c r="G520" s="403" t="s">
        <v>2310</v>
      </c>
      <c r="H520" s="403">
        <v>172</v>
      </c>
      <c r="I520" s="403">
        <v>222</v>
      </c>
      <c r="J520" s="374">
        <v>222</v>
      </c>
      <c r="K520" s="403">
        <v>87</v>
      </c>
      <c r="L520" s="217">
        <v>1500</v>
      </c>
      <c r="M520" s="403" t="s">
        <v>153</v>
      </c>
      <c r="N520" s="403" t="s">
        <v>149</v>
      </c>
      <c r="O520" s="403" t="s">
        <v>154</v>
      </c>
      <c r="P520" s="403" t="s">
        <v>151</v>
      </c>
      <c r="Q520" s="403" t="s">
        <v>155</v>
      </c>
      <c r="R520" s="403" t="s">
        <v>8092</v>
      </c>
      <c r="S520" s="403"/>
      <c r="T520" s="403" t="s">
        <v>3006</v>
      </c>
      <c r="U520" s="403" t="s">
        <v>152</v>
      </c>
      <c r="V520" s="403" t="s">
        <v>18</v>
      </c>
    </row>
    <row r="521" spans="1:22">
      <c r="A521" s="6"/>
      <c r="B521" s="216">
        <v>46216</v>
      </c>
      <c r="C521" s="216">
        <v>46216</v>
      </c>
      <c r="D521" s="403" t="s">
        <v>8093</v>
      </c>
      <c r="E521" s="395">
        <v>260105020028</v>
      </c>
      <c r="F521" s="403" t="s">
        <v>87</v>
      </c>
      <c r="G521" s="403" t="s">
        <v>2558</v>
      </c>
      <c r="H521" s="403">
        <v>222</v>
      </c>
      <c r="I521" s="403">
        <v>162</v>
      </c>
      <c r="J521" s="374">
        <v>162</v>
      </c>
      <c r="K521" s="403">
        <v>98</v>
      </c>
      <c r="L521" s="217">
        <v>770</v>
      </c>
      <c r="M521" s="403" t="s">
        <v>153</v>
      </c>
      <c r="N521" s="403" t="s">
        <v>149</v>
      </c>
      <c r="O521" s="403" t="s">
        <v>154</v>
      </c>
      <c r="P521" s="403" t="s">
        <v>151</v>
      </c>
      <c r="Q521" s="403" t="s">
        <v>155</v>
      </c>
      <c r="R521" s="403" t="s">
        <v>8094</v>
      </c>
      <c r="S521" s="403"/>
      <c r="T521" s="403" t="s">
        <v>3006</v>
      </c>
      <c r="U521" s="403" t="s">
        <v>152</v>
      </c>
      <c r="V521" s="403" t="s">
        <v>18</v>
      </c>
    </row>
    <row r="522" spans="1:22">
      <c r="A522" s="6"/>
      <c r="B522" s="216">
        <v>46216</v>
      </c>
      <c r="C522" s="216">
        <v>46216</v>
      </c>
      <c r="D522" s="403" t="s">
        <v>8095</v>
      </c>
      <c r="E522" s="395">
        <v>260102619997</v>
      </c>
      <c r="F522" s="403" t="s">
        <v>87</v>
      </c>
      <c r="G522" s="403" t="s">
        <v>7879</v>
      </c>
      <c r="H522" s="403">
        <v>112</v>
      </c>
      <c r="I522" s="403">
        <v>267</v>
      </c>
      <c r="J522" s="374">
        <v>267</v>
      </c>
      <c r="K522" s="403">
        <v>124</v>
      </c>
      <c r="L522" s="217">
        <v>1000</v>
      </c>
      <c r="M522" s="403" t="s">
        <v>153</v>
      </c>
      <c r="N522" s="403" t="s">
        <v>149</v>
      </c>
      <c r="O522" s="403" t="s">
        <v>154</v>
      </c>
      <c r="P522" s="403" t="s">
        <v>151</v>
      </c>
      <c r="Q522" s="403" t="s">
        <v>155</v>
      </c>
      <c r="R522" s="403" t="s">
        <v>8096</v>
      </c>
      <c r="S522" s="403"/>
      <c r="T522" s="403" t="s">
        <v>3006</v>
      </c>
      <c r="U522" s="403" t="s">
        <v>152</v>
      </c>
      <c r="V522" s="403" t="s">
        <v>18</v>
      </c>
    </row>
    <row r="523" spans="1:22">
      <c r="A523" s="6"/>
      <c r="B523" s="216">
        <v>46216</v>
      </c>
      <c r="C523" s="216">
        <v>46216</v>
      </c>
      <c r="D523" s="403" t="s">
        <v>8097</v>
      </c>
      <c r="E523" s="395">
        <v>260101920001</v>
      </c>
      <c r="F523" s="403" t="s">
        <v>87</v>
      </c>
      <c r="G523" s="403" t="s">
        <v>2563</v>
      </c>
      <c r="H523" s="403">
        <v>95</v>
      </c>
      <c r="I523" s="403">
        <v>241</v>
      </c>
      <c r="J523" s="374">
        <v>241</v>
      </c>
      <c r="K523" s="403">
        <v>134</v>
      </c>
      <c r="L523" s="217">
        <v>1000</v>
      </c>
      <c r="M523" s="403" t="s">
        <v>153</v>
      </c>
      <c r="N523" s="403" t="s">
        <v>149</v>
      </c>
      <c r="O523" s="403" t="s">
        <v>154</v>
      </c>
      <c r="P523" s="403" t="s">
        <v>151</v>
      </c>
      <c r="Q523" s="403" t="s">
        <v>155</v>
      </c>
      <c r="R523" s="403" t="s">
        <v>8098</v>
      </c>
      <c r="S523" s="403"/>
      <c r="T523" s="403" t="s">
        <v>3006</v>
      </c>
      <c r="U523" s="403" t="s">
        <v>152</v>
      </c>
      <c r="V523" s="403" t="s">
        <v>18</v>
      </c>
    </row>
    <row r="524" spans="1:22">
      <c r="A524" s="6"/>
      <c r="B524" s="216">
        <v>46216</v>
      </c>
      <c r="C524" s="216">
        <v>46216</v>
      </c>
      <c r="D524" s="403" t="s">
        <v>8099</v>
      </c>
      <c r="E524" s="395">
        <v>260104020019</v>
      </c>
      <c r="F524" s="403" t="s">
        <v>87</v>
      </c>
      <c r="G524" s="403" t="s">
        <v>2563</v>
      </c>
      <c r="H524" s="403">
        <v>95</v>
      </c>
      <c r="I524" s="403">
        <v>314</v>
      </c>
      <c r="J524" s="374">
        <v>314</v>
      </c>
      <c r="K524" s="403">
        <v>134</v>
      </c>
      <c r="L524" s="217">
        <v>1270</v>
      </c>
      <c r="M524" s="403" t="s">
        <v>153</v>
      </c>
      <c r="N524" s="403" t="s">
        <v>149</v>
      </c>
      <c r="O524" s="403" t="s">
        <v>154</v>
      </c>
      <c r="P524" s="403" t="s">
        <v>151</v>
      </c>
      <c r="Q524" s="403" t="s">
        <v>155</v>
      </c>
      <c r="R524" s="403" t="s">
        <v>8100</v>
      </c>
      <c r="S524" s="403"/>
      <c r="T524" s="403" t="s">
        <v>3006</v>
      </c>
      <c r="U524" s="403" t="s">
        <v>152</v>
      </c>
      <c r="V524" s="403" t="s">
        <v>18</v>
      </c>
    </row>
    <row r="525" spans="1:22">
      <c r="A525" s="6"/>
      <c r="B525" s="216">
        <v>46216</v>
      </c>
      <c r="C525" s="216">
        <v>46216</v>
      </c>
      <c r="D525" s="403" t="s">
        <v>8101</v>
      </c>
      <c r="E525" s="395" t="s">
        <v>8102</v>
      </c>
      <c r="F525" s="403" t="s">
        <v>87</v>
      </c>
      <c r="G525" s="403" t="s">
        <v>7237</v>
      </c>
      <c r="H525" s="403" t="s">
        <v>7238</v>
      </c>
      <c r="I525" s="403">
        <v>246</v>
      </c>
      <c r="J525" s="374">
        <v>246</v>
      </c>
      <c r="K525" s="403">
        <v>80</v>
      </c>
      <c r="L525" s="217">
        <v>2700</v>
      </c>
      <c r="M525" s="403" t="s">
        <v>153</v>
      </c>
      <c r="N525" s="403" t="s">
        <v>149</v>
      </c>
      <c r="O525" s="403" t="s">
        <v>154</v>
      </c>
      <c r="P525" s="403" t="s">
        <v>151</v>
      </c>
      <c r="Q525" s="403" t="s">
        <v>156</v>
      </c>
      <c r="R525" s="403" t="s">
        <v>8103</v>
      </c>
      <c r="S525" s="403"/>
      <c r="T525" s="403" t="s">
        <v>3006</v>
      </c>
      <c r="U525" s="403" t="s">
        <v>152</v>
      </c>
      <c r="V525" s="403" t="s">
        <v>20</v>
      </c>
    </row>
    <row r="526" spans="1:22">
      <c r="A526" s="6"/>
      <c r="B526" s="216">
        <v>46216</v>
      </c>
      <c r="C526" s="216">
        <v>46216</v>
      </c>
      <c r="D526" s="403" t="s">
        <v>8104</v>
      </c>
      <c r="E526" s="395">
        <v>260101518806</v>
      </c>
      <c r="F526" s="403" t="s">
        <v>87</v>
      </c>
      <c r="G526" s="403" t="s">
        <v>2643</v>
      </c>
      <c r="H526" s="403" t="s">
        <v>2377</v>
      </c>
      <c r="I526" s="403">
        <v>775</v>
      </c>
      <c r="J526" s="374">
        <v>775</v>
      </c>
      <c r="K526" s="403">
        <v>170</v>
      </c>
      <c r="L526" s="217">
        <v>1240</v>
      </c>
      <c r="M526" s="403" t="s">
        <v>153</v>
      </c>
      <c r="N526" s="403" t="s">
        <v>149</v>
      </c>
      <c r="O526" s="403" t="s">
        <v>154</v>
      </c>
      <c r="P526" s="403" t="s">
        <v>151</v>
      </c>
      <c r="Q526" s="403" t="s">
        <v>156</v>
      </c>
      <c r="R526" s="403" t="s">
        <v>8105</v>
      </c>
      <c r="S526" s="403"/>
      <c r="T526" s="403" t="s">
        <v>3006</v>
      </c>
      <c r="U526" s="403" t="s">
        <v>152</v>
      </c>
      <c r="V526" s="403" t="s">
        <v>20</v>
      </c>
    </row>
    <row r="527" spans="1:22">
      <c r="A527" s="6"/>
      <c r="B527" s="216">
        <v>46216</v>
      </c>
      <c r="C527" s="216">
        <v>46216</v>
      </c>
      <c r="D527" s="403" t="s">
        <v>8106</v>
      </c>
      <c r="E527" s="395" t="s">
        <v>8107</v>
      </c>
      <c r="F527" s="403" t="s">
        <v>89</v>
      </c>
      <c r="G527" s="403" t="s">
        <v>2407</v>
      </c>
      <c r="H527" s="403">
        <v>95</v>
      </c>
      <c r="I527" s="403">
        <v>187</v>
      </c>
      <c r="J527" s="374">
        <v>187</v>
      </c>
      <c r="K527" s="403">
        <v>125</v>
      </c>
      <c r="L527" s="217">
        <v>825</v>
      </c>
      <c r="M527" s="403" t="s">
        <v>153</v>
      </c>
      <c r="N527" s="403" t="s">
        <v>149</v>
      </c>
      <c r="O527" s="403" t="s">
        <v>154</v>
      </c>
      <c r="P527" s="403" t="s">
        <v>151</v>
      </c>
      <c r="Q527" s="403" t="s">
        <v>155</v>
      </c>
      <c r="R527" s="403" t="s">
        <v>8107</v>
      </c>
      <c r="S527" s="403"/>
      <c r="T527" s="403" t="s">
        <v>3010</v>
      </c>
      <c r="U527" s="403" t="s">
        <v>152</v>
      </c>
      <c r="V527" s="403" t="s">
        <v>18</v>
      </c>
    </row>
    <row r="528" spans="1:22">
      <c r="A528" s="6"/>
      <c r="B528" s="216">
        <v>46216</v>
      </c>
      <c r="C528" s="216">
        <v>46216</v>
      </c>
      <c r="D528" s="403" t="s">
        <v>8108</v>
      </c>
      <c r="E528" s="395" t="s">
        <v>8109</v>
      </c>
      <c r="F528" s="403" t="s">
        <v>89</v>
      </c>
      <c r="G528" s="403" t="s">
        <v>2407</v>
      </c>
      <c r="H528" s="403">
        <v>95</v>
      </c>
      <c r="I528" s="403">
        <v>179</v>
      </c>
      <c r="J528" s="374">
        <v>179</v>
      </c>
      <c r="K528" s="403">
        <v>125</v>
      </c>
      <c r="L528" s="217">
        <v>800</v>
      </c>
      <c r="M528" s="403" t="s">
        <v>153</v>
      </c>
      <c r="N528" s="403" t="s">
        <v>149</v>
      </c>
      <c r="O528" s="403" t="s">
        <v>154</v>
      </c>
      <c r="P528" s="403" t="s">
        <v>151</v>
      </c>
      <c r="Q528" s="403" t="s">
        <v>155</v>
      </c>
      <c r="R528" s="403" t="s">
        <v>8109</v>
      </c>
      <c r="S528" s="403"/>
      <c r="T528" s="403" t="s">
        <v>3010</v>
      </c>
      <c r="U528" s="403" t="s">
        <v>152</v>
      </c>
      <c r="V528" s="403" t="s">
        <v>18</v>
      </c>
    </row>
    <row r="529" spans="1:22">
      <c r="A529" s="6"/>
      <c r="B529" s="216">
        <v>46216</v>
      </c>
      <c r="C529" s="216">
        <v>46216</v>
      </c>
      <c r="D529" s="403" t="s">
        <v>8110</v>
      </c>
      <c r="E529" s="395" t="s">
        <v>8111</v>
      </c>
      <c r="F529" s="403" t="s">
        <v>89</v>
      </c>
      <c r="G529" s="403" t="s">
        <v>2407</v>
      </c>
      <c r="H529" s="403">
        <v>95</v>
      </c>
      <c r="I529" s="403">
        <v>184</v>
      </c>
      <c r="J529" s="374">
        <v>184</v>
      </c>
      <c r="K529" s="403">
        <v>125</v>
      </c>
      <c r="L529" s="217">
        <v>800</v>
      </c>
      <c r="M529" s="403" t="s">
        <v>153</v>
      </c>
      <c r="N529" s="403" t="s">
        <v>149</v>
      </c>
      <c r="O529" s="403" t="s">
        <v>154</v>
      </c>
      <c r="P529" s="403" t="s">
        <v>151</v>
      </c>
      <c r="Q529" s="403" t="s">
        <v>155</v>
      </c>
      <c r="R529" s="403" t="s">
        <v>8111</v>
      </c>
      <c r="S529" s="403"/>
      <c r="T529" s="403" t="s">
        <v>3010</v>
      </c>
      <c r="U529" s="403" t="s">
        <v>152</v>
      </c>
      <c r="V529" s="403" t="s">
        <v>18</v>
      </c>
    </row>
    <row r="530" spans="1:22">
      <c r="A530" s="6"/>
      <c r="B530" s="216">
        <v>46216</v>
      </c>
      <c r="C530" s="216">
        <v>46216</v>
      </c>
      <c r="D530" s="403" t="s">
        <v>8112</v>
      </c>
      <c r="E530" s="395" t="s">
        <v>8113</v>
      </c>
      <c r="F530" s="403" t="s">
        <v>89</v>
      </c>
      <c r="G530" s="403" t="s">
        <v>2407</v>
      </c>
      <c r="H530" s="403">
        <v>92</v>
      </c>
      <c r="I530" s="403">
        <v>173</v>
      </c>
      <c r="J530" s="374">
        <v>173</v>
      </c>
      <c r="K530" s="403">
        <v>125</v>
      </c>
      <c r="L530" s="217">
        <v>750</v>
      </c>
      <c r="M530" s="403" t="s">
        <v>153</v>
      </c>
      <c r="N530" s="403" t="s">
        <v>149</v>
      </c>
      <c r="O530" s="403" t="s">
        <v>154</v>
      </c>
      <c r="P530" s="403" t="s">
        <v>151</v>
      </c>
      <c r="Q530" s="403" t="s">
        <v>155</v>
      </c>
      <c r="R530" s="403" t="s">
        <v>8113</v>
      </c>
      <c r="S530" s="403"/>
      <c r="T530" s="403" t="s">
        <v>3010</v>
      </c>
      <c r="U530" s="403" t="s">
        <v>152</v>
      </c>
      <c r="V530" s="403" t="s">
        <v>18</v>
      </c>
    </row>
    <row r="531" spans="1:22">
      <c r="A531" s="6"/>
      <c r="B531" s="216">
        <v>46216</v>
      </c>
      <c r="C531" s="216">
        <v>46216</v>
      </c>
      <c r="D531" s="403" t="s">
        <v>8114</v>
      </c>
      <c r="E531" s="395" t="s">
        <v>8115</v>
      </c>
      <c r="F531" s="403" t="s">
        <v>89</v>
      </c>
      <c r="G531" s="403" t="s">
        <v>2407</v>
      </c>
      <c r="H531" s="403">
        <v>95</v>
      </c>
      <c r="I531" s="403">
        <v>191</v>
      </c>
      <c r="J531" s="374">
        <v>191</v>
      </c>
      <c r="K531" s="403">
        <v>125</v>
      </c>
      <c r="L531" s="217">
        <v>800</v>
      </c>
      <c r="M531" s="403" t="s">
        <v>153</v>
      </c>
      <c r="N531" s="403" t="s">
        <v>149</v>
      </c>
      <c r="O531" s="403" t="s">
        <v>154</v>
      </c>
      <c r="P531" s="403" t="s">
        <v>151</v>
      </c>
      <c r="Q531" s="403" t="s">
        <v>155</v>
      </c>
      <c r="R531" s="403" t="s">
        <v>8115</v>
      </c>
      <c r="S531" s="403"/>
      <c r="T531" s="403" t="s">
        <v>3010</v>
      </c>
      <c r="U531" s="403" t="s">
        <v>152</v>
      </c>
      <c r="V531" s="403" t="s">
        <v>18</v>
      </c>
    </row>
    <row r="532" spans="1:22">
      <c r="A532" s="6"/>
      <c r="B532" s="216">
        <v>46216</v>
      </c>
      <c r="C532" s="216">
        <v>46216</v>
      </c>
      <c r="D532" s="403" t="s">
        <v>8116</v>
      </c>
      <c r="E532" s="395" t="s">
        <v>8117</v>
      </c>
      <c r="F532" s="403" t="s">
        <v>93</v>
      </c>
      <c r="G532" s="403" t="s">
        <v>8118</v>
      </c>
      <c r="H532" s="403">
        <v>145</v>
      </c>
      <c r="I532" s="403">
        <v>158.6</v>
      </c>
      <c r="J532" s="374">
        <v>158.6</v>
      </c>
      <c r="K532" s="403">
        <v>95</v>
      </c>
      <c r="L532" s="217">
        <v>1167</v>
      </c>
      <c r="M532" s="403" t="s">
        <v>153</v>
      </c>
      <c r="N532" s="403" t="s">
        <v>149</v>
      </c>
      <c r="O532" s="403" t="s">
        <v>154</v>
      </c>
      <c r="P532" s="403" t="s">
        <v>151</v>
      </c>
      <c r="Q532" s="403" t="s">
        <v>155</v>
      </c>
      <c r="R532" s="403" t="s">
        <v>8119</v>
      </c>
      <c r="S532" s="403"/>
      <c r="T532" s="403" t="s">
        <v>2998</v>
      </c>
      <c r="U532" s="403" t="s">
        <v>152</v>
      </c>
      <c r="V532" s="403" t="s">
        <v>18</v>
      </c>
    </row>
    <row r="533" spans="1:22">
      <c r="A533" s="6"/>
      <c r="B533" s="216">
        <v>46216</v>
      </c>
      <c r="C533" s="216">
        <v>46216</v>
      </c>
      <c r="D533" s="403" t="s">
        <v>8120</v>
      </c>
      <c r="E533" s="395" t="s">
        <v>8121</v>
      </c>
      <c r="F533" s="403" t="s">
        <v>93</v>
      </c>
      <c r="G533" s="403" t="s">
        <v>8118</v>
      </c>
      <c r="H533" s="403">
        <v>145</v>
      </c>
      <c r="I533" s="403">
        <v>158</v>
      </c>
      <c r="J533" s="374">
        <v>158</v>
      </c>
      <c r="K533" s="403">
        <v>95</v>
      </c>
      <c r="L533" s="217">
        <v>1167</v>
      </c>
      <c r="M533" s="403" t="s">
        <v>153</v>
      </c>
      <c r="N533" s="403" t="s">
        <v>149</v>
      </c>
      <c r="O533" s="403" t="s">
        <v>154</v>
      </c>
      <c r="P533" s="403" t="s">
        <v>151</v>
      </c>
      <c r="Q533" s="403" t="s">
        <v>155</v>
      </c>
      <c r="R533" s="403" t="s">
        <v>8122</v>
      </c>
      <c r="S533" s="403"/>
      <c r="T533" s="403" t="s">
        <v>2998</v>
      </c>
      <c r="U533" s="403" t="s">
        <v>152</v>
      </c>
      <c r="V533" s="403" t="s">
        <v>18</v>
      </c>
    </row>
    <row r="534" spans="1:22">
      <c r="A534" s="6"/>
      <c r="B534" s="216">
        <v>46216</v>
      </c>
      <c r="C534" s="216">
        <v>46216</v>
      </c>
      <c r="D534" s="403" t="s">
        <v>8123</v>
      </c>
      <c r="E534" s="395" t="s">
        <v>8124</v>
      </c>
      <c r="F534" s="403" t="s">
        <v>93</v>
      </c>
      <c r="G534" s="403" t="s">
        <v>8118</v>
      </c>
      <c r="H534" s="403">
        <v>145</v>
      </c>
      <c r="I534" s="403">
        <v>198</v>
      </c>
      <c r="J534" s="374">
        <v>198</v>
      </c>
      <c r="K534" s="403">
        <v>95</v>
      </c>
      <c r="L534" s="217">
        <v>1415</v>
      </c>
      <c r="M534" s="403" t="s">
        <v>153</v>
      </c>
      <c r="N534" s="403" t="s">
        <v>149</v>
      </c>
      <c r="O534" s="403" t="s">
        <v>154</v>
      </c>
      <c r="P534" s="403" t="s">
        <v>151</v>
      </c>
      <c r="Q534" s="403" t="s">
        <v>155</v>
      </c>
      <c r="R534" s="403" t="s">
        <v>8125</v>
      </c>
      <c r="S534" s="403"/>
      <c r="T534" s="403" t="s">
        <v>2998</v>
      </c>
      <c r="U534" s="403" t="s">
        <v>152</v>
      </c>
      <c r="V534" s="403" t="s">
        <v>18</v>
      </c>
    </row>
    <row r="535" spans="1:22">
      <c r="A535" s="6"/>
      <c r="B535" s="216">
        <v>46216</v>
      </c>
      <c r="C535" s="216">
        <v>46216</v>
      </c>
      <c r="D535" s="403" t="s">
        <v>8126</v>
      </c>
      <c r="E535" s="395" t="s">
        <v>8127</v>
      </c>
      <c r="F535" s="403" t="s">
        <v>93</v>
      </c>
      <c r="G535" s="403" t="s">
        <v>8118</v>
      </c>
      <c r="H535" s="403">
        <v>145</v>
      </c>
      <c r="I535" s="403">
        <v>159</v>
      </c>
      <c r="J535" s="374">
        <v>159</v>
      </c>
      <c r="K535" s="403">
        <v>95</v>
      </c>
      <c r="L535" s="217">
        <v>1167</v>
      </c>
      <c r="M535" s="403" t="s">
        <v>153</v>
      </c>
      <c r="N535" s="403" t="s">
        <v>149</v>
      </c>
      <c r="O535" s="403" t="s">
        <v>154</v>
      </c>
      <c r="P535" s="403" t="s">
        <v>151</v>
      </c>
      <c r="Q535" s="403" t="s">
        <v>155</v>
      </c>
      <c r="R535" s="403" t="s">
        <v>8128</v>
      </c>
      <c r="S535" s="403"/>
      <c r="T535" s="403" t="s">
        <v>2998</v>
      </c>
      <c r="U535" s="403" t="s">
        <v>152</v>
      </c>
      <c r="V535" s="403" t="s">
        <v>18</v>
      </c>
    </row>
    <row r="536" spans="1:22">
      <c r="A536" s="6"/>
      <c r="B536" s="216">
        <v>46216</v>
      </c>
      <c r="C536" s="216">
        <v>46216</v>
      </c>
      <c r="D536" s="403" t="s">
        <v>8129</v>
      </c>
      <c r="E536" s="395" t="s">
        <v>8130</v>
      </c>
      <c r="F536" s="403" t="s">
        <v>93</v>
      </c>
      <c r="G536" s="403" t="s">
        <v>8118</v>
      </c>
      <c r="H536" s="403">
        <v>145</v>
      </c>
      <c r="I536" s="403">
        <v>205.5</v>
      </c>
      <c r="J536" s="374">
        <v>205.5</v>
      </c>
      <c r="K536" s="403">
        <v>95</v>
      </c>
      <c r="L536" s="217">
        <v>1460</v>
      </c>
      <c r="M536" s="403" t="s">
        <v>153</v>
      </c>
      <c r="N536" s="403" t="s">
        <v>149</v>
      </c>
      <c r="O536" s="403" t="s">
        <v>154</v>
      </c>
      <c r="P536" s="403" t="s">
        <v>151</v>
      </c>
      <c r="Q536" s="403" t="s">
        <v>155</v>
      </c>
      <c r="R536" s="403" t="s">
        <v>8131</v>
      </c>
      <c r="S536" s="403"/>
      <c r="T536" s="403" t="s">
        <v>2998</v>
      </c>
      <c r="U536" s="403" t="s">
        <v>152</v>
      </c>
      <c r="V536" s="403" t="s">
        <v>18</v>
      </c>
    </row>
    <row r="537" spans="1:22">
      <c r="A537" s="6"/>
      <c r="B537" s="216">
        <v>46216</v>
      </c>
      <c r="C537" s="216">
        <v>46216</v>
      </c>
      <c r="D537" s="403" t="s">
        <v>8132</v>
      </c>
      <c r="E537" s="395" t="s">
        <v>8133</v>
      </c>
      <c r="F537" s="403" t="s">
        <v>93</v>
      </c>
      <c r="G537" s="403" t="s">
        <v>8118</v>
      </c>
      <c r="H537" s="403">
        <v>145</v>
      </c>
      <c r="I537" s="403">
        <v>201</v>
      </c>
      <c r="J537" s="374">
        <v>201</v>
      </c>
      <c r="K537" s="403">
        <v>95</v>
      </c>
      <c r="L537" s="217">
        <v>1440</v>
      </c>
      <c r="M537" s="403" t="s">
        <v>153</v>
      </c>
      <c r="N537" s="403" t="s">
        <v>149</v>
      </c>
      <c r="O537" s="403" t="s">
        <v>154</v>
      </c>
      <c r="P537" s="403" t="s">
        <v>151</v>
      </c>
      <c r="Q537" s="403" t="s">
        <v>155</v>
      </c>
      <c r="R537" s="403" t="s">
        <v>8134</v>
      </c>
      <c r="S537" s="403"/>
      <c r="T537" s="403" t="s">
        <v>2998</v>
      </c>
      <c r="U537" s="403" t="s">
        <v>152</v>
      </c>
      <c r="V537" s="403" t="s">
        <v>18</v>
      </c>
    </row>
    <row r="538" spans="1:22">
      <c r="A538" s="6"/>
      <c r="B538" s="216">
        <v>46217</v>
      </c>
      <c r="C538" s="216">
        <v>46217</v>
      </c>
      <c r="D538" s="403" t="s">
        <v>8135</v>
      </c>
      <c r="E538" s="395">
        <v>260101320041</v>
      </c>
      <c r="F538" s="403" t="s">
        <v>87</v>
      </c>
      <c r="G538" s="403" t="s">
        <v>7026</v>
      </c>
      <c r="H538" s="403" t="s">
        <v>7027</v>
      </c>
      <c r="I538" s="403">
        <v>800</v>
      </c>
      <c r="J538" s="374">
        <v>800</v>
      </c>
      <c r="K538" s="403">
        <v>190</v>
      </c>
      <c r="L538" s="217">
        <v>1360</v>
      </c>
      <c r="M538" s="403" t="s">
        <v>153</v>
      </c>
      <c r="N538" s="403" t="s">
        <v>149</v>
      </c>
      <c r="O538" s="403" t="s">
        <v>154</v>
      </c>
      <c r="P538" s="403" t="s">
        <v>151</v>
      </c>
      <c r="Q538" s="403" t="s">
        <v>156</v>
      </c>
      <c r="R538" s="403" t="s">
        <v>8136</v>
      </c>
      <c r="S538" s="403"/>
      <c r="T538" s="403" t="s">
        <v>3017</v>
      </c>
      <c r="U538" s="403" t="s">
        <v>152</v>
      </c>
      <c r="V538" s="403" t="s">
        <v>20</v>
      </c>
    </row>
    <row r="539" spans="1:22">
      <c r="A539" s="6"/>
      <c r="B539" s="216">
        <v>46217</v>
      </c>
      <c r="C539" s="216">
        <v>46217</v>
      </c>
      <c r="D539" s="403" t="s">
        <v>8137</v>
      </c>
      <c r="E539" s="395">
        <v>260101320104</v>
      </c>
      <c r="F539" s="403" t="s">
        <v>87</v>
      </c>
      <c r="G539" s="403" t="s">
        <v>7026</v>
      </c>
      <c r="H539" s="403" t="s">
        <v>7027</v>
      </c>
      <c r="I539" s="403">
        <v>922</v>
      </c>
      <c r="J539" s="374">
        <v>922</v>
      </c>
      <c r="K539" s="403">
        <v>190</v>
      </c>
      <c r="L539" s="217">
        <v>1550</v>
      </c>
      <c r="M539" s="403" t="s">
        <v>153</v>
      </c>
      <c r="N539" s="403" t="s">
        <v>149</v>
      </c>
      <c r="O539" s="403" t="s">
        <v>154</v>
      </c>
      <c r="P539" s="403" t="s">
        <v>151</v>
      </c>
      <c r="Q539" s="403" t="s">
        <v>156</v>
      </c>
      <c r="R539" s="403" t="s">
        <v>8138</v>
      </c>
      <c r="S539" s="403"/>
      <c r="T539" s="403" t="s">
        <v>3017</v>
      </c>
      <c r="U539" s="403" t="s">
        <v>152</v>
      </c>
      <c r="V539" s="403" t="s">
        <v>20</v>
      </c>
    </row>
    <row r="540" spans="1:22">
      <c r="A540" s="6"/>
      <c r="B540" s="216">
        <v>46217</v>
      </c>
      <c r="C540" s="216">
        <v>46217</v>
      </c>
      <c r="D540" s="403" t="s">
        <v>8139</v>
      </c>
      <c r="E540" s="395" t="s">
        <v>8140</v>
      </c>
      <c r="F540" s="403" t="s">
        <v>87</v>
      </c>
      <c r="G540" s="403" t="s">
        <v>2517</v>
      </c>
      <c r="H540" s="403">
        <v>92</v>
      </c>
      <c r="I540" s="403">
        <v>287</v>
      </c>
      <c r="J540" s="374">
        <v>287</v>
      </c>
      <c r="K540" s="403">
        <v>125</v>
      </c>
      <c r="L540" s="217">
        <v>1198</v>
      </c>
      <c r="M540" s="403" t="s">
        <v>153</v>
      </c>
      <c r="N540" s="403" t="s">
        <v>149</v>
      </c>
      <c r="O540" s="403" t="s">
        <v>154</v>
      </c>
      <c r="P540" s="403" t="s">
        <v>151</v>
      </c>
      <c r="Q540" s="403" t="s">
        <v>155</v>
      </c>
      <c r="R540" s="403" t="s">
        <v>8141</v>
      </c>
      <c r="S540" s="403"/>
      <c r="T540" s="403" t="s">
        <v>3021</v>
      </c>
      <c r="U540" s="403" t="s">
        <v>152</v>
      </c>
      <c r="V540" s="403" t="s">
        <v>18</v>
      </c>
    </row>
    <row r="541" spans="1:22">
      <c r="A541" s="6"/>
      <c r="B541" s="216">
        <v>46217</v>
      </c>
      <c r="C541" s="216">
        <v>46217</v>
      </c>
      <c r="D541" s="403" t="s">
        <v>8142</v>
      </c>
      <c r="E541" s="395" t="s">
        <v>8143</v>
      </c>
      <c r="F541" s="403" t="s">
        <v>87</v>
      </c>
      <c r="G541" s="403" t="s">
        <v>2517</v>
      </c>
      <c r="H541" s="403">
        <v>92</v>
      </c>
      <c r="I541" s="403">
        <v>311</v>
      </c>
      <c r="J541" s="374">
        <v>311</v>
      </c>
      <c r="K541" s="403">
        <v>125</v>
      </c>
      <c r="L541" s="217">
        <v>1284</v>
      </c>
      <c r="M541" s="403" t="s">
        <v>153</v>
      </c>
      <c r="N541" s="403" t="s">
        <v>149</v>
      </c>
      <c r="O541" s="403" t="s">
        <v>154</v>
      </c>
      <c r="P541" s="403" t="s">
        <v>151</v>
      </c>
      <c r="Q541" s="403" t="s">
        <v>155</v>
      </c>
      <c r="R541" s="403" t="s">
        <v>8144</v>
      </c>
      <c r="S541" s="403"/>
      <c r="T541" s="403" t="s">
        <v>3021</v>
      </c>
      <c r="U541" s="403" t="s">
        <v>152</v>
      </c>
      <c r="V541" s="403" t="s">
        <v>18</v>
      </c>
    </row>
    <row r="542" spans="1:22">
      <c r="A542" s="6"/>
      <c r="B542" s="216">
        <v>46217</v>
      </c>
      <c r="C542" s="216">
        <v>46217</v>
      </c>
      <c r="D542" s="403" t="s">
        <v>8145</v>
      </c>
      <c r="E542" s="395" t="s">
        <v>8146</v>
      </c>
      <c r="F542" s="403" t="s">
        <v>87</v>
      </c>
      <c r="G542" s="403" t="s">
        <v>2517</v>
      </c>
      <c r="H542" s="403">
        <v>92</v>
      </c>
      <c r="I542" s="403">
        <v>309</v>
      </c>
      <c r="J542" s="374">
        <v>309</v>
      </c>
      <c r="K542" s="403">
        <v>125</v>
      </c>
      <c r="L542" s="217">
        <v>1305</v>
      </c>
      <c r="M542" s="403" t="s">
        <v>153</v>
      </c>
      <c r="N542" s="403" t="s">
        <v>149</v>
      </c>
      <c r="O542" s="403" t="s">
        <v>154</v>
      </c>
      <c r="P542" s="403" t="s">
        <v>151</v>
      </c>
      <c r="Q542" s="403" t="s">
        <v>155</v>
      </c>
      <c r="R542" s="403" t="s">
        <v>8147</v>
      </c>
      <c r="S542" s="403"/>
      <c r="T542" s="403" t="s">
        <v>3021</v>
      </c>
      <c r="U542" s="403" t="s">
        <v>152</v>
      </c>
      <c r="V542" s="403" t="s">
        <v>18</v>
      </c>
    </row>
    <row r="543" spans="1:22">
      <c r="A543" s="6"/>
      <c r="B543" s="216">
        <v>46217</v>
      </c>
      <c r="C543" s="216">
        <v>46217</v>
      </c>
      <c r="D543" s="403" t="s">
        <v>8148</v>
      </c>
      <c r="E543" s="395" t="s">
        <v>8149</v>
      </c>
      <c r="F543" s="403" t="s">
        <v>87</v>
      </c>
      <c r="G543" s="403" t="s">
        <v>2517</v>
      </c>
      <c r="H543" s="403">
        <v>92</v>
      </c>
      <c r="I543" s="403">
        <v>129</v>
      </c>
      <c r="J543" s="374">
        <v>129</v>
      </c>
      <c r="K543" s="403">
        <v>125</v>
      </c>
      <c r="L543" s="217">
        <v>522</v>
      </c>
      <c r="M543" s="403" t="s">
        <v>153</v>
      </c>
      <c r="N543" s="403" t="s">
        <v>149</v>
      </c>
      <c r="O543" s="403" t="s">
        <v>154</v>
      </c>
      <c r="P543" s="403" t="s">
        <v>151</v>
      </c>
      <c r="Q543" s="403" t="s">
        <v>155</v>
      </c>
      <c r="R543" s="403" t="s">
        <v>8150</v>
      </c>
      <c r="S543" s="403"/>
      <c r="T543" s="403" t="s">
        <v>3021</v>
      </c>
      <c r="U543" s="403" t="s">
        <v>152</v>
      </c>
      <c r="V543" s="403" t="s">
        <v>18</v>
      </c>
    </row>
    <row r="544" spans="1:22">
      <c r="A544" s="6"/>
      <c r="B544" s="216">
        <v>46217</v>
      </c>
      <c r="C544" s="216">
        <v>46217</v>
      </c>
      <c r="D544" s="403" t="s">
        <v>8151</v>
      </c>
      <c r="E544" s="395" t="s">
        <v>8152</v>
      </c>
      <c r="F544" s="403" t="s">
        <v>87</v>
      </c>
      <c r="G544" s="403" t="s">
        <v>2517</v>
      </c>
      <c r="H544" s="403">
        <v>92</v>
      </c>
      <c r="I544" s="403">
        <v>236</v>
      </c>
      <c r="J544" s="374">
        <v>236</v>
      </c>
      <c r="K544" s="403">
        <v>125</v>
      </c>
      <c r="L544" s="217">
        <v>975</v>
      </c>
      <c r="M544" s="403" t="s">
        <v>153</v>
      </c>
      <c r="N544" s="403" t="s">
        <v>149</v>
      </c>
      <c r="O544" s="403" t="s">
        <v>154</v>
      </c>
      <c r="P544" s="403" t="s">
        <v>151</v>
      </c>
      <c r="Q544" s="403" t="s">
        <v>155</v>
      </c>
      <c r="R544" s="403" t="s">
        <v>8153</v>
      </c>
      <c r="S544" s="403"/>
      <c r="T544" s="403" t="s">
        <v>3021</v>
      </c>
      <c r="U544" s="403" t="s">
        <v>152</v>
      </c>
      <c r="V544" s="403" t="s">
        <v>18</v>
      </c>
    </row>
    <row r="545" spans="1:22">
      <c r="A545" s="6"/>
      <c r="B545" s="216">
        <v>46217</v>
      </c>
      <c r="C545" s="216">
        <v>46217</v>
      </c>
      <c r="D545" s="403" t="s">
        <v>8154</v>
      </c>
      <c r="E545" s="395" t="s">
        <v>8155</v>
      </c>
      <c r="F545" s="403" t="s">
        <v>87</v>
      </c>
      <c r="G545" s="403" t="s">
        <v>2517</v>
      </c>
      <c r="H545" s="403">
        <v>92</v>
      </c>
      <c r="I545" s="403">
        <v>287</v>
      </c>
      <c r="J545" s="374">
        <v>287</v>
      </c>
      <c r="K545" s="403">
        <v>125</v>
      </c>
      <c r="L545" s="217">
        <v>1237</v>
      </c>
      <c r="M545" s="403" t="s">
        <v>153</v>
      </c>
      <c r="N545" s="403" t="s">
        <v>149</v>
      </c>
      <c r="O545" s="403" t="s">
        <v>154</v>
      </c>
      <c r="P545" s="403" t="s">
        <v>151</v>
      </c>
      <c r="Q545" s="403" t="s">
        <v>155</v>
      </c>
      <c r="R545" s="403" t="s">
        <v>8156</v>
      </c>
      <c r="S545" s="403"/>
      <c r="T545" s="403" t="s">
        <v>3021</v>
      </c>
      <c r="U545" s="403" t="s">
        <v>152</v>
      </c>
      <c r="V545" s="403" t="s">
        <v>18</v>
      </c>
    </row>
    <row r="546" spans="1:22">
      <c r="A546" s="6"/>
      <c r="B546" s="216">
        <v>46217</v>
      </c>
      <c r="C546" s="216">
        <v>46217</v>
      </c>
      <c r="D546" s="403" t="s">
        <v>8157</v>
      </c>
      <c r="E546" s="395" t="s">
        <v>8158</v>
      </c>
      <c r="F546" s="403" t="s">
        <v>87</v>
      </c>
      <c r="G546" s="403" t="s">
        <v>2517</v>
      </c>
      <c r="H546" s="403">
        <v>92</v>
      </c>
      <c r="I546" s="403">
        <v>231</v>
      </c>
      <c r="J546" s="374">
        <v>231</v>
      </c>
      <c r="K546" s="403">
        <v>125</v>
      </c>
      <c r="L546" s="217">
        <v>939</v>
      </c>
      <c r="M546" s="403" t="s">
        <v>153</v>
      </c>
      <c r="N546" s="403" t="s">
        <v>149</v>
      </c>
      <c r="O546" s="403" t="s">
        <v>154</v>
      </c>
      <c r="P546" s="403" t="s">
        <v>151</v>
      </c>
      <c r="Q546" s="403" t="s">
        <v>155</v>
      </c>
      <c r="R546" s="403" t="s">
        <v>8159</v>
      </c>
      <c r="S546" s="403"/>
      <c r="T546" s="403" t="s">
        <v>3021</v>
      </c>
      <c r="U546" s="403" t="s">
        <v>152</v>
      </c>
      <c r="V546" s="403" t="s">
        <v>18</v>
      </c>
    </row>
    <row r="547" spans="1:22">
      <c r="A547" s="6"/>
      <c r="B547" s="216">
        <v>46217</v>
      </c>
      <c r="C547" s="216">
        <v>46217</v>
      </c>
      <c r="D547" s="403" t="s">
        <v>8160</v>
      </c>
      <c r="E547" s="403">
        <v>260104820063</v>
      </c>
      <c r="F547" s="403" t="s">
        <v>87</v>
      </c>
      <c r="G547" s="403" t="s">
        <v>8161</v>
      </c>
      <c r="H547" s="403">
        <v>140</v>
      </c>
      <c r="I547" s="403">
        <v>248</v>
      </c>
      <c r="J547" s="374">
        <v>248</v>
      </c>
      <c r="K547" s="403">
        <v>120</v>
      </c>
      <c r="L547" s="217">
        <v>1500</v>
      </c>
      <c r="M547" s="403" t="s">
        <v>153</v>
      </c>
      <c r="N547" s="403" t="s">
        <v>149</v>
      </c>
      <c r="O547" s="403" t="s">
        <v>154</v>
      </c>
      <c r="P547" s="403" t="s">
        <v>151</v>
      </c>
      <c r="Q547" s="403" t="s">
        <v>155</v>
      </c>
      <c r="R547" s="403" t="s">
        <v>8162</v>
      </c>
      <c r="S547" s="403"/>
      <c r="T547" s="403" t="s">
        <v>3023</v>
      </c>
      <c r="U547" s="403" t="s">
        <v>152</v>
      </c>
      <c r="V547" s="403" t="s">
        <v>18</v>
      </c>
    </row>
    <row r="548" spans="1:22">
      <c r="A548" s="6"/>
      <c r="B548" s="216">
        <v>46217</v>
      </c>
      <c r="C548" s="216">
        <v>46217</v>
      </c>
      <c r="D548" s="403" t="s">
        <v>8163</v>
      </c>
      <c r="E548" s="403">
        <v>260104020088</v>
      </c>
      <c r="F548" s="403" t="s">
        <v>87</v>
      </c>
      <c r="G548" s="403" t="s">
        <v>2563</v>
      </c>
      <c r="H548" s="403">
        <v>95</v>
      </c>
      <c r="I548" s="403">
        <v>303</v>
      </c>
      <c r="J548" s="374">
        <v>303</v>
      </c>
      <c r="K548" s="403">
        <v>134</v>
      </c>
      <c r="L548" s="217">
        <v>1210</v>
      </c>
      <c r="M548" s="403" t="s">
        <v>153</v>
      </c>
      <c r="N548" s="403" t="s">
        <v>149</v>
      </c>
      <c r="O548" s="403" t="s">
        <v>154</v>
      </c>
      <c r="P548" s="403" t="s">
        <v>151</v>
      </c>
      <c r="Q548" s="403" t="s">
        <v>155</v>
      </c>
      <c r="R548" s="403" t="s">
        <v>8164</v>
      </c>
      <c r="S548" s="403"/>
      <c r="T548" s="403" t="s">
        <v>3023</v>
      </c>
      <c r="U548" s="403" t="s">
        <v>152</v>
      </c>
      <c r="V548" s="403" t="s">
        <v>18</v>
      </c>
    </row>
    <row r="549" spans="1:22">
      <c r="A549" s="6"/>
      <c r="B549" s="216">
        <v>46217</v>
      </c>
      <c r="C549" s="216">
        <v>46217</v>
      </c>
      <c r="D549" s="403" t="s">
        <v>8165</v>
      </c>
      <c r="E549" s="403">
        <v>260105320098</v>
      </c>
      <c r="F549" s="403" t="s">
        <v>87</v>
      </c>
      <c r="G549" s="403" t="s">
        <v>2555</v>
      </c>
      <c r="H549" s="403">
        <v>152</v>
      </c>
      <c r="I549" s="403">
        <v>328</v>
      </c>
      <c r="J549" s="374">
        <v>328</v>
      </c>
      <c r="K549" s="403">
        <v>104</v>
      </c>
      <c r="L549" s="217">
        <v>2145</v>
      </c>
      <c r="M549" s="403" t="s">
        <v>153</v>
      </c>
      <c r="N549" s="403" t="s">
        <v>149</v>
      </c>
      <c r="O549" s="403" t="s">
        <v>154</v>
      </c>
      <c r="P549" s="403" t="s">
        <v>151</v>
      </c>
      <c r="Q549" s="403" t="s">
        <v>155</v>
      </c>
      <c r="R549" s="403" t="s">
        <v>8166</v>
      </c>
      <c r="S549" s="403"/>
      <c r="T549" s="403" t="s">
        <v>3023</v>
      </c>
      <c r="U549" s="403" t="s">
        <v>152</v>
      </c>
      <c r="V549" s="403" t="s">
        <v>18</v>
      </c>
    </row>
    <row r="550" spans="1:22">
      <c r="A550" s="6"/>
      <c r="B550" s="216">
        <v>46217</v>
      </c>
      <c r="C550" s="216">
        <v>46217</v>
      </c>
      <c r="D550" s="403" t="s">
        <v>8167</v>
      </c>
      <c r="E550" s="403">
        <v>260100920102</v>
      </c>
      <c r="F550" s="403" t="s">
        <v>87</v>
      </c>
      <c r="G550" s="403" t="s">
        <v>2656</v>
      </c>
      <c r="H550" s="403">
        <v>202</v>
      </c>
      <c r="I550" s="403">
        <v>383</v>
      </c>
      <c r="J550" s="374">
        <v>383</v>
      </c>
      <c r="K550" s="403">
        <v>180</v>
      </c>
      <c r="L550" s="217">
        <v>540</v>
      </c>
      <c r="M550" s="403" t="s">
        <v>153</v>
      </c>
      <c r="N550" s="403" t="s">
        <v>149</v>
      </c>
      <c r="O550" s="403" t="s">
        <v>154</v>
      </c>
      <c r="P550" s="403" t="s">
        <v>151</v>
      </c>
      <c r="Q550" s="403" t="s">
        <v>155</v>
      </c>
      <c r="R550" s="403" t="s">
        <v>8168</v>
      </c>
      <c r="S550" s="403"/>
      <c r="T550" s="403" t="s">
        <v>3023</v>
      </c>
      <c r="U550" s="403" t="s">
        <v>152</v>
      </c>
      <c r="V550" s="403" t="s">
        <v>18</v>
      </c>
    </row>
    <row r="551" spans="1:22">
      <c r="A551" s="6"/>
      <c r="B551" s="216">
        <v>46217</v>
      </c>
      <c r="C551" s="216">
        <v>46217</v>
      </c>
      <c r="D551" s="403" t="s">
        <v>8169</v>
      </c>
      <c r="E551" s="403">
        <v>260106820074</v>
      </c>
      <c r="F551" s="403" t="s">
        <v>87</v>
      </c>
      <c r="G551" s="403" t="s">
        <v>2425</v>
      </c>
      <c r="H551" s="403">
        <v>132</v>
      </c>
      <c r="I551" s="403">
        <v>286</v>
      </c>
      <c r="J551" s="374">
        <v>286</v>
      </c>
      <c r="K551" s="403">
        <v>92</v>
      </c>
      <c r="L551" s="217">
        <v>2450</v>
      </c>
      <c r="M551" s="403" t="s">
        <v>153</v>
      </c>
      <c r="N551" s="403" t="s">
        <v>149</v>
      </c>
      <c r="O551" s="403" t="s">
        <v>154</v>
      </c>
      <c r="P551" s="403" t="s">
        <v>151</v>
      </c>
      <c r="Q551" s="403" t="s">
        <v>155</v>
      </c>
      <c r="R551" s="403" t="s">
        <v>8170</v>
      </c>
      <c r="S551" s="403"/>
      <c r="T551" s="403" t="s">
        <v>3023</v>
      </c>
      <c r="U551" s="403" t="s">
        <v>152</v>
      </c>
      <c r="V551" s="403" t="s">
        <v>18</v>
      </c>
    </row>
    <row r="552" spans="1:22">
      <c r="A552" s="6"/>
      <c r="B552" s="216">
        <v>46217</v>
      </c>
      <c r="C552" s="216">
        <v>46217</v>
      </c>
      <c r="D552" s="403" t="s">
        <v>8171</v>
      </c>
      <c r="E552" s="403">
        <v>260100720101</v>
      </c>
      <c r="F552" s="403" t="s">
        <v>87</v>
      </c>
      <c r="G552" s="403" t="s">
        <v>7197</v>
      </c>
      <c r="H552" s="403">
        <v>182</v>
      </c>
      <c r="I552" s="403">
        <v>292</v>
      </c>
      <c r="J552" s="374">
        <v>292</v>
      </c>
      <c r="K552" s="403">
        <v>150</v>
      </c>
      <c r="L552" s="217">
        <v>550</v>
      </c>
      <c r="M552" s="403" t="s">
        <v>153</v>
      </c>
      <c r="N552" s="403" t="s">
        <v>149</v>
      </c>
      <c r="O552" s="403" t="s">
        <v>154</v>
      </c>
      <c r="P552" s="403" t="s">
        <v>151</v>
      </c>
      <c r="Q552" s="403" t="s">
        <v>155</v>
      </c>
      <c r="R552" s="403" t="s">
        <v>8172</v>
      </c>
      <c r="S552" s="403"/>
      <c r="T552" s="403" t="s">
        <v>3023</v>
      </c>
      <c r="U552" s="403" t="s">
        <v>152</v>
      </c>
      <c r="V552" s="403" t="s">
        <v>18</v>
      </c>
    </row>
    <row r="553" spans="1:22">
      <c r="A553" s="6"/>
      <c r="B553" s="216">
        <v>46217</v>
      </c>
      <c r="C553" s="216">
        <v>46217</v>
      </c>
      <c r="D553" s="403" t="s">
        <v>8173</v>
      </c>
      <c r="E553" s="403">
        <v>260100420049</v>
      </c>
      <c r="F553" s="403" t="s">
        <v>87</v>
      </c>
      <c r="G553" s="403" t="s">
        <v>2120</v>
      </c>
      <c r="H553" s="403">
        <v>202</v>
      </c>
      <c r="I553" s="403">
        <v>437</v>
      </c>
      <c r="J553" s="374">
        <v>437</v>
      </c>
      <c r="K553" s="403">
        <v>180</v>
      </c>
      <c r="L553" s="217">
        <v>610</v>
      </c>
      <c r="M553" s="403" t="s">
        <v>153</v>
      </c>
      <c r="N553" s="403" t="s">
        <v>149</v>
      </c>
      <c r="O553" s="403" t="s">
        <v>154</v>
      </c>
      <c r="P553" s="403" t="s">
        <v>151</v>
      </c>
      <c r="Q553" s="403" t="s">
        <v>155</v>
      </c>
      <c r="R553" s="403" t="s">
        <v>8174</v>
      </c>
      <c r="S553" s="403"/>
      <c r="T553" s="403" t="s">
        <v>3023</v>
      </c>
      <c r="U553" s="403" t="s">
        <v>152</v>
      </c>
      <c r="V553" s="403" t="s">
        <v>18</v>
      </c>
    </row>
    <row r="554" spans="1:22">
      <c r="A554" s="6"/>
      <c r="B554" s="216">
        <v>46217</v>
      </c>
      <c r="C554" s="216">
        <v>46217</v>
      </c>
      <c r="D554" s="403" t="s">
        <v>8175</v>
      </c>
      <c r="E554" s="403">
        <v>260102620051</v>
      </c>
      <c r="F554" s="403" t="s">
        <v>87</v>
      </c>
      <c r="G554" s="403" t="s">
        <v>2554</v>
      </c>
      <c r="H554" s="403">
        <v>102</v>
      </c>
      <c r="I554" s="403">
        <v>255</v>
      </c>
      <c r="J554" s="374">
        <v>255</v>
      </c>
      <c r="K554" s="403">
        <v>125</v>
      </c>
      <c r="L554" s="217">
        <v>1000</v>
      </c>
      <c r="M554" s="403" t="s">
        <v>153</v>
      </c>
      <c r="N554" s="403" t="s">
        <v>149</v>
      </c>
      <c r="O554" s="403" t="s">
        <v>154</v>
      </c>
      <c r="P554" s="403" t="s">
        <v>151</v>
      </c>
      <c r="Q554" s="403" t="s">
        <v>155</v>
      </c>
      <c r="R554" s="403" t="s">
        <v>8176</v>
      </c>
      <c r="S554" s="403"/>
      <c r="T554" s="403" t="s">
        <v>3023</v>
      </c>
      <c r="U554" s="403" t="s">
        <v>152</v>
      </c>
      <c r="V554" s="403" t="s">
        <v>18</v>
      </c>
    </row>
    <row r="555" spans="1:22">
      <c r="A555" s="6"/>
      <c r="B555" s="216">
        <v>46217</v>
      </c>
      <c r="C555" s="216">
        <v>46217</v>
      </c>
      <c r="D555" s="403" t="s">
        <v>8177</v>
      </c>
      <c r="E555" s="403">
        <v>260105020095</v>
      </c>
      <c r="F555" s="403" t="s">
        <v>87</v>
      </c>
      <c r="G555" s="403" t="s">
        <v>7403</v>
      </c>
      <c r="H555" s="403">
        <v>222</v>
      </c>
      <c r="I555" s="403">
        <v>384</v>
      </c>
      <c r="J555" s="374">
        <v>384</v>
      </c>
      <c r="K555" s="403">
        <v>105</v>
      </c>
      <c r="L555" s="217">
        <v>1700</v>
      </c>
      <c r="M555" s="403" t="s">
        <v>153</v>
      </c>
      <c r="N555" s="403" t="s">
        <v>149</v>
      </c>
      <c r="O555" s="403" t="s">
        <v>154</v>
      </c>
      <c r="P555" s="403" t="s">
        <v>151</v>
      </c>
      <c r="Q555" s="403" t="s">
        <v>155</v>
      </c>
      <c r="R555" s="403" t="s">
        <v>8178</v>
      </c>
      <c r="S555" s="403"/>
      <c r="T555" s="403" t="s">
        <v>3023</v>
      </c>
      <c r="U555" s="403" t="s">
        <v>152</v>
      </c>
      <c r="V555" s="403" t="s">
        <v>18</v>
      </c>
    </row>
    <row r="556" spans="1:22">
      <c r="A556" s="6"/>
      <c r="B556" s="216">
        <v>46217</v>
      </c>
      <c r="C556" s="216">
        <v>46217</v>
      </c>
      <c r="D556" s="403" t="s">
        <v>8179</v>
      </c>
      <c r="E556" s="403">
        <v>260107820099</v>
      </c>
      <c r="F556" s="403" t="s">
        <v>87</v>
      </c>
      <c r="G556" s="403" t="s">
        <v>2425</v>
      </c>
      <c r="H556" s="403">
        <v>132</v>
      </c>
      <c r="I556" s="403">
        <v>332</v>
      </c>
      <c r="J556" s="374">
        <v>332</v>
      </c>
      <c r="K556" s="403">
        <v>92</v>
      </c>
      <c r="L556" s="217">
        <v>2710</v>
      </c>
      <c r="M556" s="403" t="s">
        <v>153</v>
      </c>
      <c r="N556" s="403" t="s">
        <v>149</v>
      </c>
      <c r="O556" s="403" t="s">
        <v>154</v>
      </c>
      <c r="P556" s="403" t="s">
        <v>151</v>
      </c>
      <c r="Q556" s="403" t="s">
        <v>155</v>
      </c>
      <c r="R556" s="403" t="s">
        <v>8180</v>
      </c>
      <c r="S556" s="403"/>
      <c r="T556" s="403" t="s">
        <v>3023</v>
      </c>
      <c r="U556" s="403" t="s">
        <v>152</v>
      </c>
      <c r="V556" s="403" t="s">
        <v>18</v>
      </c>
    </row>
    <row r="557" spans="1:22">
      <c r="A557" s="6"/>
      <c r="B557" s="216">
        <v>46217</v>
      </c>
      <c r="C557" s="216">
        <v>46217</v>
      </c>
      <c r="D557" s="403" t="s">
        <v>8181</v>
      </c>
      <c r="E557" s="403">
        <v>260101620082</v>
      </c>
      <c r="F557" s="403" t="s">
        <v>87</v>
      </c>
      <c r="G557" s="403" t="s">
        <v>2642</v>
      </c>
      <c r="H557" s="403">
        <v>112</v>
      </c>
      <c r="I557" s="403">
        <v>363</v>
      </c>
      <c r="J557" s="374">
        <v>363</v>
      </c>
      <c r="K557" s="403">
        <v>160</v>
      </c>
      <c r="L557" s="217">
        <v>1020</v>
      </c>
      <c r="M557" s="403" t="s">
        <v>153</v>
      </c>
      <c r="N557" s="403" t="s">
        <v>149</v>
      </c>
      <c r="O557" s="403" t="s">
        <v>154</v>
      </c>
      <c r="P557" s="403" t="s">
        <v>151</v>
      </c>
      <c r="Q557" s="403" t="s">
        <v>155</v>
      </c>
      <c r="R557" s="403" t="s">
        <v>8182</v>
      </c>
      <c r="S557" s="403"/>
      <c r="T557" s="403" t="s">
        <v>3023</v>
      </c>
      <c r="U557" s="403" t="s">
        <v>152</v>
      </c>
      <c r="V557" s="403" t="s">
        <v>18</v>
      </c>
    </row>
    <row r="558" spans="1:22">
      <c r="A558" s="6"/>
      <c r="B558" s="216">
        <v>46217</v>
      </c>
      <c r="C558" s="216">
        <v>46217</v>
      </c>
      <c r="D558" s="403" t="s">
        <v>8183</v>
      </c>
      <c r="E558" s="403">
        <v>260103320089</v>
      </c>
      <c r="F558" s="403" t="s">
        <v>87</v>
      </c>
      <c r="G558" s="403" t="s">
        <v>2310</v>
      </c>
      <c r="H558" s="403">
        <v>172</v>
      </c>
      <c r="I558" s="403">
        <v>239</v>
      </c>
      <c r="J558" s="374">
        <v>239</v>
      </c>
      <c r="K558" s="403">
        <v>87</v>
      </c>
      <c r="L558" s="217">
        <v>1620</v>
      </c>
      <c r="M558" s="403" t="s">
        <v>153</v>
      </c>
      <c r="N558" s="403" t="s">
        <v>149</v>
      </c>
      <c r="O558" s="403" t="s">
        <v>154</v>
      </c>
      <c r="P558" s="403" t="s">
        <v>151</v>
      </c>
      <c r="Q558" s="403" t="s">
        <v>155</v>
      </c>
      <c r="R558" s="403" t="s">
        <v>8184</v>
      </c>
      <c r="S558" s="403"/>
      <c r="T558" s="403" t="s">
        <v>3023</v>
      </c>
      <c r="U558" s="403" t="s">
        <v>152</v>
      </c>
      <c r="V558" s="403" t="s">
        <v>18</v>
      </c>
    </row>
    <row r="559" spans="1:22">
      <c r="A559" s="6"/>
      <c r="B559" s="216">
        <v>46217</v>
      </c>
      <c r="C559" s="216">
        <v>46217</v>
      </c>
      <c r="D559" s="403" t="s">
        <v>8185</v>
      </c>
      <c r="E559" s="403">
        <v>260103320090</v>
      </c>
      <c r="F559" s="403" t="s">
        <v>87</v>
      </c>
      <c r="G559" s="403" t="s">
        <v>2310</v>
      </c>
      <c r="H559" s="403">
        <v>172</v>
      </c>
      <c r="I559" s="403">
        <v>244</v>
      </c>
      <c r="J559" s="374">
        <v>244</v>
      </c>
      <c r="K559" s="403">
        <v>87</v>
      </c>
      <c r="L559" s="217">
        <v>1620</v>
      </c>
      <c r="M559" s="403" t="s">
        <v>153</v>
      </c>
      <c r="N559" s="403" t="s">
        <v>149</v>
      </c>
      <c r="O559" s="403" t="s">
        <v>154</v>
      </c>
      <c r="P559" s="403" t="s">
        <v>151</v>
      </c>
      <c r="Q559" s="403" t="s">
        <v>155</v>
      </c>
      <c r="R559" s="403" t="s">
        <v>8186</v>
      </c>
      <c r="S559" s="403"/>
      <c r="T559" s="403" t="s">
        <v>3023</v>
      </c>
      <c r="U559" s="403" t="s">
        <v>152</v>
      </c>
      <c r="V559" s="403" t="s">
        <v>18</v>
      </c>
    </row>
    <row r="560" spans="1:22">
      <c r="A560" s="6"/>
      <c r="B560" s="216">
        <v>46217</v>
      </c>
      <c r="C560" s="216">
        <v>46217</v>
      </c>
      <c r="D560" s="403" t="s">
        <v>8187</v>
      </c>
      <c r="E560" s="403">
        <v>260102020058</v>
      </c>
      <c r="F560" s="403" t="s">
        <v>87</v>
      </c>
      <c r="G560" s="403" t="s">
        <v>2563</v>
      </c>
      <c r="H560" s="403">
        <v>95</v>
      </c>
      <c r="I560" s="403">
        <v>272</v>
      </c>
      <c r="J560" s="374">
        <v>272</v>
      </c>
      <c r="K560" s="403">
        <v>134</v>
      </c>
      <c r="L560" s="217">
        <v>1120</v>
      </c>
      <c r="M560" s="403" t="s">
        <v>153</v>
      </c>
      <c r="N560" s="403" t="s">
        <v>149</v>
      </c>
      <c r="O560" s="403" t="s">
        <v>154</v>
      </c>
      <c r="P560" s="403" t="s">
        <v>151</v>
      </c>
      <c r="Q560" s="403" t="s">
        <v>155</v>
      </c>
      <c r="R560" s="403" t="s">
        <v>8188</v>
      </c>
      <c r="S560" s="403"/>
      <c r="T560" s="403" t="s">
        <v>3023</v>
      </c>
      <c r="U560" s="403" t="s">
        <v>152</v>
      </c>
      <c r="V560" s="403" t="s">
        <v>18</v>
      </c>
    </row>
    <row r="561" spans="1:22">
      <c r="A561" s="6"/>
      <c r="B561" s="216">
        <v>46217</v>
      </c>
      <c r="C561" s="216">
        <v>46217</v>
      </c>
      <c r="D561" s="403" t="s">
        <v>8189</v>
      </c>
      <c r="E561" s="403">
        <v>260101520079</v>
      </c>
      <c r="F561" s="403" t="s">
        <v>87</v>
      </c>
      <c r="G561" s="403" t="s">
        <v>2120</v>
      </c>
      <c r="H561" s="403">
        <v>92</v>
      </c>
      <c r="I561" s="403">
        <v>370</v>
      </c>
      <c r="J561" s="374">
        <v>370</v>
      </c>
      <c r="K561" s="403">
        <v>180</v>
      </c>
      <c r="L561" s="217">
        <v>1140</v>
      </c>
      <c r="M561" s="403" t="s">
        <v>153</v>
      </c>
      <c r="N561" s="403" t="s">
        <v>149</v>
      </c>
      <c r="O561" s="403" t="s">
        <v>154</v>
      </c>
      <c r="P561" s="403" t="s">
        <v>151</v>
      </c>
      <c r="Q561" s="403" t="s">
        <v>155</v>
      </c>
      <c r="R561" s="403" t="s">
        <v>8190</v>
      </c>
      <c r="S561" s="403"/>
      <c r="T561" s="403" t="s">
        <v>3023</v>
      </c>
      <c r="U561" s="403" t="s">
        <v>152</v>
      </c>
      <c r="V561" s="403" t="s">
        <v>18</v>
      </c>
    </row>
    <row r="562" spans="1:22">
      <c r="A562" s="6"/>
      <c r="B562" s="216">
        <v>46217</v>
      </c>
      <c r="C562" s="216">
        <v>46217</v>
      </c>
      <c r="D562" s="403" t="s">
        <v>8191</v>
      </c>
      <c r="E562" s="403">
        <v>260105720094</v>
      </c>
      <c r="F562" s="403" t="s">
        <v>87</v>
      </c>
      <c r="G562" s="403" t="s">
        <v>2409</v>
      </c>
      <c r="H562" s="403">
        <v>152</v>
      </c>
      <c r="I562" s="403">
        <v>234</v>
      </c>
      <c r="J562" s="374">
        <v>234</v>
      </c>
      <c r="K562" s="403">
        <v>97</v>
      </c>
      <c r="L562" s="217">
        <v>1600</v>
      </c>
      <c r="M562" s="403" t="s">
        <v>153</v>
      </c>
      <c r="N562" s="403" t="s">
        <v>149</v>
      </c>
      <c r="O562" s="403" t="s">
        <v>154</v>
      </c>
      <c r="P562" s="403" t="s">
        <v>151</v>
      </c>
      <c r="Q562" s="403" t="s">
        <v>155</v>
      </c>
      <c r="R562" s="403" t="s">
        <v>8192</v>
      </c>
      <c r="S562" s="403"/>
      <c r="T562" s="403" t="s">
        <v>3023</v>
      </c>
      <c r="U562" s="403" t="s">
        <v>152</v>
      </c>
      <c r="V562" s="403" t="s">
        <v>18</v>
      </c>
    </row>
    <row r="563" spans="1:22">
      <c r="A563" s="6"/>
      <c r="B563" s="216">
        <v>46217</v>
      </c>
      <c r="C563" s="216">
        <v>46217</v>
      </c>
      <c r="D563" s="403" t="s">
        <v>8193</v>
      </c>
      <c r="E563" s="403">
        <v>260104620068</v>
      </c>
      <c r="F563" s="403" t="s">
        <v>87</v>
      </c>
      <c r="G563" s="403" t="s">
        <v>859</v>
      </c>
      <c r="H563" s="403">
        <v>152</v>
      </c>
      <c r="I563" s="403">
        <v>245</v>
      </c>
      <c r="J563" s="374">
        <v>245</v>
      </c>
      <c r="K563" s="403">
        <v>104</v>
      </c>
      <c r="L563" s="217">
        <v>1640</v>
      </c>
      <c r="M563" s="403" t="s">
        <v>153</v>
      </c>
      <c r="N563" s="403" t="s">
        <v>149</v>
      </c>
      <c r="O563" s="403" t="s">
        <v>154</v>
      </c>
      <c r="P563" s="403" t="s">
        <v>151</v>
      </c>
      <c r="Q563" s="403" t="s">
        <v>155</v>
      </c>
      <c r="R563" s="403" t="s">
        <v>8194</v>
      </c>
      <c r="S563" s="403"/>
      <c r="T563" s="403" t="s">
        <v>3023</v>
      </c>
      <c r="U563" s="403" t="s">
        <v>152</v>
      </c>
      <c r="V563" s="403" t="s">
        <v>18</v>
      </c>
    </row>
    <row r="564" spans="1:22">
      <c r="A564" s="6"/>
      <c r="B564" s="216">
        <v>46217</v>
      </c>
      <c r="C564" s="216">
        <v>46217</v>
      </c>
      <c r="D564" s="403" t="s">
        <v>8195</v>
      </c>
      <c r="E564" s="403">
        <v>260102720081</v>
      </c>
      <c r="F564" s="403" t="s">
        <v>87</v>
      </c>
      <c r="G564" s="403" t="s">
        <v>2554</v>
      </c>
      <c r="H564" s="403">
        <v>102</v>
      </c>
      <c r="I564" s="403">
        <v>247</v>
      </c>
      <c r="J564" s="374">
        <v>247</v>
      </c>
      <c r="K564" s="403">
        <v>125</v>
      </c>
      <c r="L564" s="217">
        <v>1000</v>
      </c>
      <c r="M564" s="403" t="s">
        <v>153</v>
      </c>
      <c r="N564" s="403" t="s">
        <v>149</v>
      </c>
      <c r="O564" s="403" t="s">
        <v>154</v>
      </c>
      <c r="P564" s="403" t="s">
        <v>151</v>
      </c>
      <c r="Q564" s="403" t="s">
        <v>155</v>
      </c>
      <c r="R564" s="403" t="s">
        <v>8196</v>
      </c>
      <c r="S564" s="403"/>
      <c r="T564" s="403" t="s">
        <v>3023</v>
      </c>
      <c r="U564" s="403" t="s">
        <v>152</v>
      </c>
      <c r="V564" s="403" t="s">
        <v>18</v>
      </c>
    </row>
    <row r="565" spans="1:22">
      <c r="A565" s="6"/>
      <c r="B565" s="216">
        <v>46217</v>
      </c>
      <c r="C565" s="216">
        <v>46217</v>
      </c>
      <c r="D565" s="403" t="s">
        <v>8197</v>
      </c>
      <c r="E565" s="403">
        <v>260107720071</v>
      </c>
      <c r="F565" s="403" t="s">
        <v>87</v>
      </c>
      <c r="G565" s="403" t="s">
        <v>2409</v>
      </c>
      <c r="H565" s="403">
        <v>132</v>
      </c>
      <c r="I565" s="403">
        <v>287</v>
      </c>
      <c r="J565" s="374">
        <v>287</v>
      </c>
      <c r="K565" s="403">
        <v>97</v>
      </c>
      <c r="L565" s="217">
        <v>2300</v>
      </c>
      <c r="M565" s="403" t="s">
        <v>153</v>
      </c>
      <c r="N565" s="403" t="s">
        <v>149</v>
      </c>
      <c r="O565" s="403" t="s">
        <v>154</v>
      </c>
      <c r="P565" s="403" t="s">
        <v>151</v>
      </c>
      <c r="Q565" s="403" t="s">
        <v>155</v>
      </c>
      <c r="R565" s="403" t="s">
        <v>8198</v>
      </c>
      <c r="S565" s="403"/>
      <c r="T565" s="403" t="s">
        <v>3023</v>
      </c>
      <c r="U565" s="403" t="s">
        <v>152</v>
      </c>
      <c r="V565" s="403" t="s">
        <v>18</v>
      </c>
    </row>
    <row r="566" spans="1:22">
      <c r="A566" s="6"/>
      <c r="B566" s="216">
        <v>46217</v>
      </c>
      <c r="C566" s="216">
        <v>46217</v>
      </c>
      <c r="D566" s="403" t="s">
        <v>8199</v>
      </c>
      <c r="E566" s="403">
        <v>260102920055</v>
      </c>
      <c r="F566" s="403" t="s">
        <v>87</v>
      </c>
      <c r="G566" s="403" t="s">
        <v>859</v>
      </c>
      <c r="H566" s="403">
        <v>152</v>
      </c>
      <c r="I566" s="403">
        <v>226</v>
      </c>
      <c r="J566" s="374">
        <v>226</v>
      </c>
      <c r="K566" s="403">
        <v>104</v>
      </c>
      <c r="L566" s="217">
        <v>1500</v>
      </c>
      <c r="M566" s="403" t="s">
        <v>153</v>
      </c>
      <c r="N566" s="403" t="s">
        <v>149</v>
      </c>
      <c r="O566" s="403" t="s">
        <v>154</v>
      </c>
      <c r="P566" s="403" t="s">
        <v>151</v>
      </c>
      <c r="Q566" s="403" t="s">
        <v>155</v>
      </c>
      <c r="R566" s="403" t="s">
        <v>8200</v>
      </c>
      <c r="S566" s="403"/>
      <c r="T566" s="403" t="s">
        <v>3023</v>
      </c>
      <c r="U566" s="403" t="s">
        <v>152</v>
      </c>
      <c r="V566" s="403" t="s">
        <v>18</v>
      </c>
    </row>
    <row r="567" spans="1:22">
      <c r="A567" s="6"/>
      <c r="B567" s="216">
        <v>46217</v>
      </c>
      <c r="C567" s="216">
        <v>46217</v>
      </c>
      <c r="D567" s="403" t="s">
        <v>8201</v>
      </c>
      <c r="E567" s="403">
        <v>260102920056</v>
      </c>
      <c r="F567" s="403" t="s">
        <v>87</v>
      </c>
      <c r="G567" s="403" t="s">
        <v>859</v>
      </c>
      <c r="H567" s="403">
        <v>152</v>
      </c>
      <c r="I567" s="403">
        <v>225</v>
      </c>
      <c r="J567" s="374">
        <v>225</v>
      </c>
      <c r="K567" s="403">
        <v>104</v>
      </c>
      <c r="L567" s="217">
        <v>1500</v>
      </c>
      <c r="M567" s="403" t="s">
        <v>153</v>
      </c>
      <c r="N567" s="403" t="s">
        <v>149</v>
      </c>
      <c r="O567" s="403" t="s">
        <v>154</v>
      </c>
      <c r="P567" s="403" t="s">
        <v>151</v>
      </c>
      <c r="Q567" s="403" t="s">
        <v>155</v>
      </c>
      <c r="R567" s="403" t="s">
        <v>8202</v>
      </c>
      <c r="S567" s="403"/>
      <c r="T567" s="403" t="s">
        <v>3023</v>
      </c>
      <c r="U567" s="403" t="s">
        <v>152</v>
      </c>
      <c r="V567" s="403" t="s">
        <v>18</v>
      </c>
    </row>
    <row r="568" spans="1:22">
      <c r="A568" s="6"/>
      <c r="B568" s="216">
        <v>46217</v>
      </c>
      <c r="C568" s="216">
        <v>46217</v>
      </c>
      <c r="D568" s="403" t="s">
        <v>8203</v>
      </c>
      <c r="E568" s="403">
        <v>260105720065</v>
      </c>
      <c r="F568" s="403" t="s">
        <v>87</v>
      </c>
      <c r="G568" s="403" t="s">
        <v>2409</v>
      </c>
      <c r="H568" s="403">
        <v>152</v>
      </c>
      <c r="I568" s="403">
        <v>247</v>
      </c>
      <c r="J568" s="374">
        <v>247</v>
      </c>
      <c r="K568" s="403">
        <v>97</v>
      </c>
      <c r="L568" s="217">
        <v>1700</v>
      </c>
      <c r="M568" s="403" t="s">
        <v>153</v>
      </c>
      <c r="N568" s="403" t="s">
        <v>149</v>
      </c>
      <c r="O568" s="403" t="s">
        <v>154</v>
      </c>
      <c r="P568" s="403" t="s">
        <v>151</v>
      </c>
      <c r="Q568" s="403" t="s">
        <v>155</v>
      </c>
      <c r="R568" s="403" t="s">
        <v>8204</v>
      </c>
      <c r="S568" s="403"/>
      <c r="T568" s="403" t="s">
        <v>3023</v>
      </c>
      <c r="U568" s="403" t="s">
        <v>152</v>
      </c>
      <c r="V568" s="403" t="s">
        <v>18</v>
      </c>
    </row>
    <row r="569" spans="1:22">
      <c r="A569" s="6"/>
      <c r="B569" s="216">
        <v>46217</v>
      </c>
      <c r="C569" s="216">
        <v>46217</v>
      </c>
      <c r="D569" s="403" t="s">
        <v>8205</v>
      </c>
      <c r="E569" s="403">
        <v>260100720048</v>
      </c>
      <c r="F569" s="403" t="s">
        <v>87</v>
      </c>
      <c r="G569" s="403" t="s">
        <v>7197</v>
      </c>
      <c r="H569" s="403">
        <v>182</v>
      </c>
      <c r="I569" s="403">
        <v>373</v>
      </c>
      <c r="J569" s="374">
        <v>373</v>
      </c>
      <c r="K569" s="403">
        <v>150</v>
      </c>
      <c r="L569" s="217">
        <v>700</v>
      </c>
      <c r="M569" s="403" t="s">
        <v>153</v>
      </c>
      <c r="N569" s="403" t="s">
        <v>149</v>
      </c>
      <c r="O569" s="403" t="s">
        <v>154</v>
      </c>
      <c r="P569" s="403" t="s">
        <v>151</v>
      </c>
      <c r="Q569" s="403" t="s">
        <v>155</v>
      </c>
      <c r="R569" s="403" t="s">
        <v>8206</v>
      </c>
      <c r="S569" s="403"/>
      <c r="T569" s="403" t="s">
        <v>3023</v>
      </c>
      <c r="U569" s="403" t="s">
        <v>152</v>
      </c>
      <c r="V569" s="403" t="s">
        <v>18</v>
      </c>
    </row>
    <row r="570" spans="1:22">
      <c r="A570" s="6"/>
      <c r="B570" s="216">
        <v>46217</v>
      </c>
      <c r="C570" s="216">
        <v>46217</v>
      </c>
      <c r="D570" s="403" t="s">
        <v>8207</v>
      </c>
      <c r="E570" s="403">
        <v>260100920050</v>
      </c>
      <c r="F570" s="403" t="s">
        <v>87</v>
      </c>
      <c r="G570" s="403" t="s">
        <v>2656</v>
      </c>
      <c r="H570" s="403">
        <v>202</v>
      </c>
      <c r="I570" s="403">
        <v>388</v>
      </c>
      <c r="J570" s="374">
        <v>388</v>
      </c>
      <c r="K570" s="403">
        <v>180</v>
      </c>
      <c r="L570" s="217">
        <v>540</v>
      </c>
      <c r="M570" s="403" t="s">
        <v>153</v>
      </c>
      <c r="N570" s="403" t="s">
        <v>149</v>
      </c>
      <c r="O570" s="403" t="s">
        <v>154</v>
      </c>
      <c r="P570" s="403" t="s">
        <v>151</v>
      </c>
      <c r="Q570" s="403" t="s">
        <v>155</v>
      </c>
      <c r="R570" s="403" t="s">
        <v>8208</v>
      </c>
      <c r="S570" s="403"/>
      <c r="T570" s="403" t="s">
        <v>3023</v>
      </c>
      <c r="U570" s="403" t="s">
        <v>152</v>
      </c>
      <c r="V570" s="403" t="s">
        <v>18</v>
      </c>
    </row>
    <row r="571" spans="1:22">
      <c r="A571" s="6"/>
      <c r="B571" s="216">
        <v>46217</v>
      </c>
      <c r="C571" s="216">
        <v>46217</v>
      </c>
      <c r="D571" s="403" t="s">
        <v>8209</v>
      </c>
      <c r="E571" s="403">
        <v>260105820064</v>
      </c>
      <c r="F571" s="403" t="s">
        <v>87</v>
      </c>
      <c r="G571" s="403" t="s">
        <v>2646</v>
      </c>
      <c r="H571" s="403">
        <v>152</v>
      </c>
      <c r="I571" s="403">
        <v>270</v>
      </c>
      <c r="J571" s="374">
        <v>270</v>
      </c>
      <c r="K571" s="403">
        <v>105</v>
      </c>
      <c r="L571" s="217">
        <v>1750</v>
      </c>
      <c r="M571" s="403" t="s">
        <v>153</v>
      </c>
      <c r="N571" s="403" t="s">
        <v>149</v>
      </c>
      <c r="O571" s="403" t="s">
        <v>154</v>
      </c>
      <c r="P571" s="403" t="s">
        <v>151</v>
      </c>
      <c r="Q571" s="403" t="s">
        <v>155</v>
      </c>
      <c r="R571" s="403" t="s">
        <v>8210</v>
      </c>
      <c r="S571" s="403"/>
      <c r="T571" s="403" t="s">
        <v>3023</v>
      </c>
      <c r="U571" s="403" t="s">
        <v>152</v>
      </c>
      <c r="V571" s="403" t="s">
        <v>18</v>
      </c>
    </row>
    <row r="572" spans="1:22">
      <c r="A572" s="6"/>
      <c r="B572" s="216">
        <v>46217</v>
      </c>
      <c r="C572" s="216">
        <v>46217</v>
      </c>
      <c r="D572" s="403" t="s">
        <v>8211</v>
      </c>
      <c r="E572" s="403">
        <v>260103420059</v>
      </c>
      <c r="F572" s="403" t="s">
        <v>87</v>
      </c>
      <c r="G572" s="403" t="s">
        <v>7403</v>
      </c>
      <c r="H572" s="403">
        <v>222</v>
      </c>
      <c r="I572" s="403">
        <v>241</v>
      </c>
      <c r="J572" s="374">
        <v>241</v>
      </c>
      <c r="K572" s="403">
        <v>105</v>
      </c>
      <c r="L572" s="217">
        <v>1050</v>
      </c>
      <c r="M572" s="403" t="s">
        <v>153</v>
      </c>
      <c r="N572" s="403" t="s">
        <v>149</v>
      </c>
      <c r="O572" s="403" t="s">
        <v>154</v>
      </c>
      <c r="P572" s="403" t="s">
        <v>151</v>
      </c>
      <c r="Q572" s="403" t="s">
        <v>155</v>
      </c>
      <c r="R572" s="403" t="s">
        <v>8212</v>
      </c>
      <c r="S572" s="403"/>
      <c r="T572" s="403" t="s">
        <v>3023</v>
      </c>
      <c r="U572" s="403" t="s">
        <v>152</v>
      </c>
      <c r="V572" s="403" t="s">
        <v>18</v>
      </c>
    </row>
    <row r="573" spans="1:22">
      <c r="A573" s="6"/>
      <c r="B573" s="216">
        <v>46217</v>
      </c>
      <c r="C573" s="216">
        <v>46217</v>
      </c>
      <c r="D573" s="403" t="s">
        <v>8213</v>
      </c>
      <c r="E573" s="403" t="s">
        <v>8214</v>
      </c>
      <c r="F573" s="403" t="s">
        <v>94</v>
      </c>
      <c r="G573" s="403" t="s">
        <v>2310</v>
      </c>
      <c r="H573" s="403">
        <v>142</v>
      </c>
      <c r="I573" s="403">
        <v>182</v>
      </c>
      <c r="J573" s="374">
        <v>182</v>
      </c>
      <c r="K573" s="403">
        <v>87</v>
      </c>
      <c r="L573" s="217">
        <v>1482</v>
      </c>
      <c r="M573" s="403" t="s">
        <v>153</v>
      </c>
      <c r="N573" s="403" t="s">
        <v>149</v>
      </c>
      <c r="O573" s="403" t="s">
        <v>154</v>
      </c>
      <c r="P573" s="403" t="s">
        <v>151</v>
      </c>
      <c r="Q573" s="403" t="s">
        <v>155</v>
      </c>
      <c r="R573" s="403" t="s">
        <v>8214</v>
      </c>
      <c r="S573" s="403"/>
      <c r="T573" s="403" t="s">
        <v>8215</v>
      </c>
      <c r="U573" s="403" t="s">
        <v>152</v>
      </c>
      <c r="V573" s="403" t="s">
        <v>18</v>
      </c>
    </row>
    <row r="574" spans="1:22">
      <c r="A574" s="6"/>
      <c r="B574" s="216">
        <v>46217</v>
      </c>
      <c r="C574" s="216">
        <v>46217</v>
      </c>
      <c r="D574" s="403" t="s">
        <v>8216</v>
      </c>
      <c r="E574" s="403" t="s">
        <v>8217</v>
      </c>
      <c r="F574" s="403" t="s">
        <v>94</v>
      </c>
      <c r="G574" s="403" t="s">
        <v>2310</v>
      </c>
      <c r="H574" s="403">
        <v>142</v>
      </c>
      <c r="I574" s="403">
        <v>188</v>
      </c>
      <c r="J574" s="374">
        <v>188</v>
      </c>
      <c r="K574" s="403">
        <v>87</v>
      </c>
      <c r="L574" s="217">
        <v>1548</v>
      </c>
      <c r="M574" s="403" t="s">
        <v>153</v>
      </c>
      <c r="N574" s="403" t="s">
        <v>149</v>
      </c>
      <c r="O574" s="403" t="s">
        <v>154</v>
      </c>
      <c r="P574" s="403" t="s">
        <v>151</v>
      </c>
      <c r="Q574" s="403" t="s">
        <v>155</v>
      </c>
      <c r="R574" s="403" t="s">
        <v>8217</v>
      </c>
      <c r="S574" s="403"/>
      <c r="T574" s="403" t="s">
        <v>8215</v>
      </c>
      <c r="U574" s="403" t="s">
        <v>152</v>
      </c>
      <c r="V574" s="403" t="s">
        <v>18</v>
      </c>
    </row>
    <row r="575" spans="1:22">
      <c r="A575" s="6"/>
      <c r="B575" s="216">
        <v>46217</v>
      </c>
      <c r="C575" s="216">
        <v>46217</v>
      </c>
      <c r="D575" s="403" t="s">
        <v>8218</v>
      </c>
      <c r="E575" s="403" t="s">
        <v>8219</v>
      </c>
      <c r="F575" s="403" t="s">
        <v>94</v>
      </c>
      <c r="G575" s="403" t="s">
        <v>2310</v>
      </c>
      <c r="H575" s="403">
        <v>142</v>
      </c>
      <c r="I575" s="403">
        <v>20</v>
      </c>
      <c r="J575" s="374">
        <v>20</v>
      </c>
      <c r="K575" s="403">
        <v>87</v>
      </c>
      <c r="L575" s="217">
        <v>163</v>
      </c>
      <c r="M575" s="403" t="s">
        <v>153</v>
      </c>
      <c r="N575" s="403" t="s">
        <v>149</v>
      </c>
      <c r="O575" s="403" t="s">
        <v>154</v>
      </c>
      <c r="P575" s="403" t="s">
        <v>151</v>
      </c>
      <c r="Q575" s="403" t="s">
        <v>155</v>
      </c>
      <c r="R575" s="403" t="s">
        <v>8219</v>
      </c>
      <c r="S575" s="403"/>
      <c r="T575" s="403" t="s">
        <v>8215</v>
      </c>
      <c r="U575" s="403" t="s">
        <v>152</v>
      </c>
      <c r="V575" s="403" t="s">
        <v>18</v>
      </c>
    </row>
    <row r="576" spans="1:22">
      <c r="A576" s="6"/>
      <c r="B576" s="216">
        <v>46217</v>
      </c>
      <c r="C576" s="216">
        <v>46217</v>
      </c>
      <c r="D576" s="403" t="s">
        <v>8220</v>
      </c>
      <c r="E576" s="403" t="s">
        <v>8221</v>
      </c>
      <c r="F576" s="403" t="s">
        <v>94</v>
      </c>
      <c r="G576" s="403" t="s">
        <v>859</v>
      </c>
      <c r="H576" s="403">
        <v>152</v>
      </c>
      <c r="I576" s="403">
        <v>146</v>
      </c>
      <c r="J576" s="374">
        <v>146</v>
      </c>
      <c r="K576" s="403">
        <v>104</v>
      </c>
      <c r="L576" s="217">
        <v>938</v>
      </c>
      <c r="M576" s="403" t="s">
        <v>153</v>
      </c>
      <c r="N576" s="403" t="s">
        <v>149</v>
      </c>
      <c r="O576" s="403" t="s">
        <v>154</v>
      </c>
      <c r="P576" s="403" t="s">
        <v>151</v>
      </c>
      <c r="Q576" s="403" t="s">
        <v>155</v>
      </c>
      <c r="R576" s="403" t="s">
        <v>8221</v>
      </c>
      <c r="S576" s="403"/>
      <c r="T576" s="403" t="s">
        <v>8215</v>
      </c>
      <c r="U576" s="403" t="s">
        <v>152</v>
      </c>
      <c r="V576" s="403" t="s">
        <v>18</v>
      </c>
    </row>
    <row r="577" spans="1:22">
      <c r="A577" s="6"/>
      <c r="B577" s="216">
        <v>46217</v>
      </c>
      <c r="C577" s="216">
        <v>46217</v>
      </c>
      <c r="D577" s="403" t="s">
        <v>8222</v>
      </c>
      <c r="E577" s="403" t="s">
        <v>8223</v>
      </c>
      <c r="F577" s="403" t="s">
        <v>94</v>
      </c>
      <c r="G577" s="403" t="s">
        <v>2310</v>
      </c>
      <c r="H577" s="403">
        <v>142</v>
      </c>
      <c r="I577" s="403">
        <v>174</v>
      </c>
      <c r="J577" s="374">
        <v>174</v>
      </c>
      <c r="K577" s="403">
        <v>87</v>
      </c>
      <c r="L577" s="217">
        <v>1415</v>
      </c>
      <c r="M577" s="403" t="s">
        <v>153</v>
      </c>
      <c r="N577" s="403" t="s">
        <v>149</v>
      </c>
      <c r="O577" s="403" t="s">
        <v>154</v>
      </c>
      <c r="P577" s="403" t="s">
        <v>151</v>
      </c>
      <c r="Q577" s="403" t="s">
        <v>155</v>
      </c>
      <c r="R577" s="403" t="s">
        <v>8223</v>
      </c>
      <c r="S577" s="403"/>
      <c r="T577" s="403" t="s">
        <v>8215</v>
      </c>
      <c r="U577" s="403" t="s">
        <v>152</v>
      </c>
      <c r="V577" s="403" t="s">
        <v>18</v>
      </c>
    </row>
    <row r="578" spans="1:22">
      <c r="A578" s="6"/>
      <c r="B578" s="216">
        <v>46217</v>
      </c>
      <c r="C578" s="216">
        <v>46217</v>
      </c>
      <c r="D578" s="403" t="s">
        <v>8224</v>
      </c>
      <c r="E578" s="403" t="s">
        <v>8225</v>
      </c>
      <c r="F578" s="403" t="s">
        <v>94</v>
      </c>
      <c r="G578" s="403" t="s">
        <v>859</v>
      </c>
      <c r="H578" s="403">
        <v>152</v>
      </c>
      <c r="I578" s="403">
        <v>146</v>
      </c>
      <c r="J578" s="374">
        <v>146</v>
      </c>
      <c r="K578" s="403">
        <v>104</v>
      </c>
      <c r="L578" s="217">
        <v>938</v>
      </c>
      <c r="M578" s="403" t="s">
        <v>153</v>
      </c>
      <c r="N578" s="403" t="s">
        <v>149</v>
      </c>
      <c r="O578" s="403" t="s">
        <v>154</v>
      </c>
      <c r="P578" s="403" t="s">
        <v>151</v>
      </c>
      <c r="Q578" s="403" t="s">
        <v>155</v>
      </c>
      <c r="R578" s="403" t="s">
        <v>8225</v>
      </c>
      <c r="S578" s="403"/>
      <c r="T578" s="403" t="s">
        <v>8215</v>
      </c>
      <c r="U578" s="403" t="s">
        <v>152</v>
      </c>
      <c r="V578" s="403" t="s">
        <v>18</v>
      </c>
    </row>
    <row r="579" spans="1:22">
      <c r="A579" s="6"/>
      <c r="B579" s="216">
        <v>46217</v>
      </c>
      <c r="C579" s="216">
        <v>46217</v>
      </c>
      <c r="D579" s="403" t="s">
        <v>8226</v>
      </c>
      <c r="E579" s="403" t="s">
        <v>8227</v>
      </c>
      <c r="F579" s="403" t="s">
        <v>94</v>
      </c>
      <c r="G579" s="403" t="s">
        <v>2310</v>
      </c>
      <c r="H579" s="403">
        <v>142</v>
      </c>
      <c r="I579" s="403">
        <v>215.5</v>
      </c>
      <c r="J579" s="374">
        <v>215.5</v>
      </c>
      <c r="K579" s="403">
        <v>87</v>
      </c>
      <c r="L579" s="217">
        <v>1764</v>
      </c>
      <c r="M579" s="403" t="s">
        <v>153</v>
      </c>
      <c r="N579" s="403" t="s">
        <v>149</v>
      </c>
      <c r="O579" s="403" t="s">
        <v>154</v>
      </c>
      <c r="P579" s="403" t="s">
        <v>151</v>
      </c>
      <c r="Q579" s="403" t="s">
        <v>155</v>
      </c>
      <c r="R579" s="403" t="s">
        <v>8227</v>
      </c>
      <c r="S579" s="403"/>
      <c r="T579" s="403" t="s">
        <v>8215</v>
      </c>
      <c r="U579" s="403" t="s">
        <v>152</v>
      </c>
      <c r="V579" s="403" t="s">
        <v>18</v>
      </c>
    </row>
    <row r="580" spans="1:22">
      <c r="A580" s="6"/>
      <c r="B580" s="216">
        <v>46217</v>
      </c>
      <c r="C580" s="216">
        <v>46217</v>
      </c>
      <c r="D580" s="403" t="s">
        <v>8228</v>
      </c>
      <c r="E580" s="403">
        <v>260107620070</v>
      </c>
      <c r="F580" s="403" t="s">
        <v>87</v>
      </c>
      <c r="G580" s="403" t="s">
        <v>7928</v>
      </c>
      <c r="H580" s="403">
        <v>132</v>
      </c>
      <c r="I580" s="403">
        <v>205</v>
      </c>
      <c r="J580" s="374">
        <v>205</v>
      </c>
      <c r="K580" s="403">
        <v>87</v>
      </c>
      <c r="L580" s="217">
        <v>1870</v>
      </c>
      <c r="M580" s="403" t="s">
        <v>153</v>
      </c>
      <c r="N580" s="403" t="s">
        <v>149</v>
      </c>
      <c r="O580" s="403" t="s">
        <v>154</v>
      </c>
      <c r="P580" s="403" t="s">
        <v>151</v>
      </c>
      <c r="Q580" s="403" t="s">
        <v>155</v>
      </c>
      <c r="R580" s="403" t="s">
        <v>8229</v>
      </c>
      <c r="S580" s="403"/>
      <c r="T580" s="403" t="s">
        <v>3025</v>
      </c>
      <c r="U580" s="403" t="s">
        <v>152</v>
      </c>
      <c r="V580" s="403" t="s">
        <v>18</v>
      </c>
    </row>
    <row r="581" spans="1:22">
      <c r="A581" s="6"/>
      <c r="B581" s="216">
        <v>46217</v>
      </c>
      <c r="C581" s="216">
        <v>46217</v>
      </c>
      <c r="D581" s="403" t="s">
        <v>8230</v>
      </c>
      <c r="E581" s="403">
        <v>260107420078</v>
      </c>
      <c r="F581" s="403" t="s">
        <v>87</v>
      </c>
      <c r="G581" s="403" t="s">
        <v>2562</v>
      </c>
      <c r="H581" s="403">
        <v>125</v>
      </c>
      <c r="I581" s="403">
        <v>272</v>
      </c>
      <c r="J581" s="374">
        <v>272</v>
      </c>
      <c r="K581" s="403">
        <v>97</v>
      </c>
      <c r="L581" s="217">
        <v>2280</v>
      </c>
      <c r="M581" s="403" t="s">
        <v>153</v>
      </c>
      <c r="N581" s="403" t="s">
        <v>149</v>
      </c>
      <c r="O581" s="403" t="s">
        <v>154</v>
      </c>
      <c r="P581" s="403" t="s">
        <v>151</v>
      </c>
      <c r="Q581" s="403" t="s">
        <v>155</v>
      </c>
      <c r="R581" s="403" t="s">
        <v>8231</v>
      </c>
      <c r="S581" s="403"/>
      <c r="T581" s="403" t="s">
        <v>3025</v>
      </c>
      <c r="U581" s="403" t="s">
        <v>152</v>
      </c>
      <c r="V581" s="403" t="s">
        <v>18</v>
      </c>
    </row>
    <row r="582" spans="1:22">
      <c r="A582" s="6"/>
      <c r="B582" s="216">
        <v>46217</v>
      </c>
      <c r="C582" s="216">
        <v>46217</v>
      </c>
      <c r="D582" s="403" t="s">
        <v>8232</v>
      </c>
      <c r="E582" s="403">
        <v>260106818200</v>
      </c>
      <c r="F582" s="403" t="s">
        <v>87</v>
      </c>
      <c r="G582" s="403" t="s">
        <v>2649</v>
      </c>
      <c r="H582" s="403">
        <v>132</v>
      </c>
      <c r="I582" s="403">
        <v>247</v>
      </c>
      <c r="J582" s="374">
        <v>247</v>
      </c>
      <c r="K582" s="403">
        <v>92</v>
      </c>
      <c r="L582" s="217">
        <v>2070</v>
      </c>
      <c r="M582" s="403" t="s">
        <v>153</v>
      </c>
      <c r="N582" s="403" t="s">
        <v>149</v>
      </c>
      <c r="O582" s="403" t="s">
        <v>154</v>
      </c>
      <c r="P582" s="403" t="s">
        <v>151</v>
      </c>
      <c r="Q582" s="403" t="s">
        <v>155</v>
      </c>
      <c r="R582" s="403" t="s">
        <v>8233</v>
      </c>
      <c r="S582" s="403"/>
      <c r="T582" s="403" t="s">
        <v>3025</v>
      </c>
      <c r="U582" s="403" t="s">
        <v>152</v>
      </c>
      <c r="V582" s="403" t="s">
        <v>18</v>
      </c>
    </row>
    <row r="583" spans="1:22">
      <c r="A583" s="6"/>
      <c r="B583" s="216">
        <v>46217</v>
      </c>
      <c r="C583" s="216">
        <v>46217</v>
      </c>
      <c r="D583" s="403" t="s">
        <v>8234</v>
      </c>
      <c r="E583" s="403">
        <v>260102820080</v>
      </c>
      <c r="F583" s="403" t="s">
        <v>87</v>
      </c>
      <c r="G583" s="403" t="s">
        <v>2554</v>
      </c>
      <c r="H583" s="403">
        <v>102</v>
      </c>
      <c r="I583" s="403">
        <v>243</v>
      </c>
      <c r="J583" s="374">
        <v>243</v>
      </c>
      <c r="K583" s="403">
        <v>125</v>
      </c>
      <c r="L583" s="217">
        <v>1000</v>
      </c>
      <c r="M583" s="403" t="s">
        <v>153</v>
      </c>
      <c r="N583" s="403" t="s">
        <v>149</v>
      </c>
      <c r="O583" s="403" t="s">
        <v>154</v>
      </c>
      <c r="P583" s="403" t="s">
        <v>151</v>
      </c>
      <c r="Q583" s="403" t="s">
        <v>155</v>
      </c>
      <c r="R583" s="403" t="s">
        <v>8235</v>
      </c>
      <c r="S583" s="403"/>
      <c r="T583" s="403" t="s">
        <v>3025</v>
      </c>
      <c r="U583" s="403" t="s">
        <v>152</v>
      </c>
      <c r="V583" s="403" t="s">
        <v>18</v>
      </c>
    </row>
    <row r="584" spans="1:22">
      <c r="A584" s="6"/>
      <c r="B584" s="216">
        <v>46217</v>
      </c>
      <c r="C584" s="216">
        <v>46217</v>
      </c>
      <c r="D584" s="403" t="s">
        <v>8236</v>
      </c>
      <c r="E584" s="403">
        <v>260101820053</v>
      </c>
      <c r="F584" s="403" t="s">
        <v>87</v>
      </c>
      <c r="G584" s="403" t="s">
        <v>2408</v>
      </c>
      <c r="H584" s="403">
        <v>95</v>
      </c>
      <c r="I584" s="403">
        <v>248</v>
      </c>
      <c r="J584" s="374">
        <v>248</v>
      </c>
      <c r="K584" s="403">
        <v>134</v>
      </c>
      <c r="L584" s="217">
        <v>1000</v>
      </c>
      <c r="M584" s="403" t="s">
        <v>153</v>
      </c>
      <c r="N584" s="403" t="s">
        <v>149</v>
      </c>
      <c r="O584" s="403" t="s">
        <v>154</v>
      </c>
      <c r="P584" s="403" t="s">
        <v>151</v>
      </c>
      <c r="Q584" s="403" t="s">
        <v>155</v>
      </c>
      <c r="R584" s="403" t="s">
        <v>8237</v>
      </c>
      <c r="S584" s="403"/>
      <c r="T584" s="403" t="s">
        <v>3025</v>
      </c>
      <c r="U584" s="403" t="s">
        <v>152</v>
      </c>
      <c r="V584" s="403" t="s">
        <v>18</v>
      </c>
    </row>
    <row r="585" spans="1:22">
      <c r="A585" s="6"/>
      <c r="B585" s="216">
        <v>46217</v>
      </c>
      <c r="C585" s="216">
        <v>46217</v>
      </c>
      <c r="D585" s="403" t="s">
        <v>8238</v>
      </c>
      <c r="E585" s="403">
        <v>260100420103</v>
      </c>
      <c r="F585" s="403" t="s">
        <v>87</v>
      </c>
      <c r="G585" s="403" t="s">
        <v>2120</v>
      </c>
      <c r="H585" s="403">
        <v>182</v>
      </c>
      <c r="I585" s="403">
        <v>324</v>
      </c>
      <c r="J585" s="374">
        <v>324</v>
      </c>
      <c r="K585" s="403">
        <v>180</v>
      </c>
      <c r="L585" s="217">
        <v>500</v>
      </c>
      <c r="M585" s="403" t="s">
        <v>153</v>
      </c>
      <c r="N585" s="403" t="s">
        <v>149</v>
      </c>
      <c r="O585" s="403" t="s">
        <v>154</v>
      </c>
      <c r="P585" s="403" t="s">
        <v>151</v>
      </c>
      <c r="Q585" s="403" t="s">
        <v>155</v>
      </c>
      <c r="R585" s="403" t="s">
        <v>8239</v>
      </c>
      <c r="S585" s="403"/>
      <c r="T585" s="403" t="s">
        <v>3025</v>
      </c>
      <c r="U585" s="403" t="s">
        <v>152</v>
      </c>
      <c r="V585" s="403" t="s">
        <v>18</v>
      </c>
    </row>
    <row r="586" spans="1:22">
      <c r="A586" s="6"/>
      <c r="B586" s="216">
        <v>46217</v>
      </c>
      <c r="C586" s="216">
        <v>46217</v>
      </c>
      <c r="D586" s="403" t="s">
        <v>8240</v>
      </c>
      <c r="E586" s="403">
        <v>260106918315</v>
      </c>
      <c r="F586" s="403" t="s">
        <v>87</v>
      </c>
      <c r="G586" s="403" t="s">
        <v>2650</v>
      </c>
      <c r="H586" s="403">
        <v>132</v>
      </c>
      <c r="I586" s="403">
        <v>118</v>
      </c>
      <c r="J586" s="374">
        <v>118</v>
      </c>
      <c r="K586" s="403">
        <v>97</v>
      </c>
      <c r="L586" s="217">
        <v>950</v>
      </c>
      <c r="M586" s="403" t="s">
        <v>153</v>
      </c>
      <c r="N586" s="403" t="s">
        <v>149</v>
      </c>
      <c r="O586" s="403" t="s">
        <v>154</v>
      </c>
      <c r="P586" s="403" t="s">
        <v>151</v>
      </c>
      <c r="Q586" s="403" t="s">
        <v>155</v>
      </c>
      <c r="R586" s="403" t="s">
        <v>8241</v>
      </c>
      <c r="S586" s="403"/>
      <c r="T586" s="403" t="s">
        <v>3025</v>
      </c>
      <c r="U586" s="403" t="s">
        <v>152</v>
      </c>
      <c r="V586" s="403" t="s">
        <v>18</v>
      </c>
    </row>
    <row r="587" spans="1:22">
      <c r="A587" s="6"/>
      <c r="B587" s="216">
        <v>46217</v>
      </c>
      <c r="C587" s="216">
        <v>46217</v>
      </c>
      <c r="D587" s="403" t="s">
        <v>8242</v>
      </c>
      <c r="E587" s="403">
        <v>260105416989</v>
      </c>
      <c r="F587" s="403" t="s">
        <v>87</v>
      </c>
      <c r="G587" s="403" t="s">
        <v>2557</v>
      </c>
      <c r="H587" s="403">
        <v>135</v>
      </c>
      <c r="I587" s="403">
        <v>213</v>
      </c>
      <c r="J587" s="374">
        <v>213</v>
      </c>
      <c r="K587" s="403">
        <v>87</v>
      </c>
      <c r="L587" s="217">
        <v>1830</v>
      </c>
      <c r="M587" s="403" t="s">
        <v>153</v>
      </c>
      <c r="N587" s="403" t="s">
        <v>149</v>
      </c>
      <c r="O587" s="403" t="s">
        <v>154</v>
      </c>
      <c r="P587" s="403" t="s">
        <v>151</v>
      </c>
      <c r="Q587" s="403" t="s">
        <v>155</v>
      </c>
      <c r="R587" s="403" t="s">
        <v>8243</v>
      </c>
      <c r="S587" s="403"/>
      <c r="T587" s="403" t="s">
        <v>3025</v>
      </c>
      <c r="U587" s="403" t="s">
        <v>152</v>
      </c>
      <c r="V587" s="403" t="s">
        <v>18</v>
      </c>
    </row>
    <row r="588" spans="1:22">
      <c r="A588" s="6"/>
      <c r="B588" s="216">
        <v>46217</v>
      </c>
      <c r="C588" s="216">
        <v>46217</v>
      </c>
      <c r="D588" s="403" t="s">
        <v>8244</v>
      </c>
      <c r="E588" s="403">
        <v>260105918887</v>
      </c>
      <c r="F588" s="403" t="s">
        <v>87</v>
      </c>
      <c r="G588" s="403" t="s">
        <v>2557</v>
      </c>
      <c r="H588" s="403">
        <v>142</v>
      </c>
      <c r="I588" s="403">
        <v>185</v>
      </c>
      <c r="J588" s="374">
        <v>185</v>
      </c>
      <c r="K588" s="403">
        <v>87</v>
      </c>
      <c r="L588" s="217">
        <v>1530</v>
      </c>
      <c r="M588" s="403" t="s">
        <v>153</v>
      </c>
      <c r="N588" s="403" t="s">
        <v>149</v>
      </c>
      <c r="O588" s="403" t="s">
        <v>154</v>
      </c>
      <c r="P588" s="403" t="s">
        <v>151</v>
      </c>
      <c r="Q588" s="403" t="s">
        <v>155</v>
      </c>
      <c r="R588" s="403" t="s">
        <v>8245</v>
      </c>
      <c r="S588" s="403"/>
      <c r="T588" s="403" t="s">
        <v>3025</v>
      </c>
      <c r="U588" s="403" t="s">
        <v>152</v>
      </c>
      <c r="V588" s="403" t="s">
        <v>18</v>
      </c>
    </row>
    <row r="589" spans="1:22">
      <c r="A589" s="6"/>
      <c r="B589" s="216">
        <v>46217</v>
      </c>
      <c r="C589" s="216">
        <v>46217</v>
      </c>
      <c r="D589" s="403" t="s">
        <v>8246</v>
      </c>
      <c r="E589" s="403">
        <v>260102520083</v>
      </c>
      <c r="F589" s="403" t="s">
        <v>87</v>
      </c>
      <c r="G589" s="403" t="s">
        <v>7766</v>
      </c>
      <c r="H589" s="403">
        <v>112</v>
      </c>
      <c r="I589" s="403">
        <v>231</v>
      </c>
      <c r="J589" s="374">
        <v>231</v>
      </c>
      <c r="K589" s="403">
        <v>104</v>
      </c>
      <c r="L589" s="217">
        <v>1000</v>
      </c>
      <c r="M589" s="403" t="s">
        <v>153</v>
      </c>
      <c r="N589" s="403" t="s">
        <v>149</v>
      </c>
      <c r="O589" s="403" t="s">
        <v>154</v>
      </c>
      <c r="P589" s="403" t="s">
        <v>151</v>
      </c>
      <c r="Q589" s="403" t="s">
        <v>155</v>
      </c>
      <c r="R589" s="403" t="s">
        <v>8247</v>
      </c>
      <c r="S589" s="403"/>
      <c r="T589" s="403" t="s">
        <v>3025</v>
      </c>
      <c r="U589" s="403" t="s">
        <v>152</v>
      </c>
      <c r="V589" s="403" t="s">
        <v>18</v>
      </c>
    </row>
    <row r="590" spans="1:22">
      <c r="A590" s="6"/>
      <c r="B590" s="216">
        <v>46217</v>
      </c>
      <c r="C590" s="216">
        <v>46217</v>
      </c>
      <c r="D590" s="403" t="s">
        <v>8248</v>
      </c>
      <c r="E590" s="403">
        <v>260105417162</v>
      </c>
      <c r="F590" s="403" t="s">
        <v>87</v>
      </c>
      <c r="G590" s="403" t="s">
        <v>2557</v>
      </c>
      <c r="H590" s="403">
        <v>135</v>
      </c>
      <c r="I590" s="403">
        <v>174</v>
      </c>
      <c r="J590" s="374">
        <v>174</v>
      </c>
      <c r="K590" s="403">
        <v>87</v>
      </c>
      <c r="L590" s="217">
        <v>1500</v>
      </c>
      <c r="M590" s="403" t="s">
        <v>153</v>
      </c>
      <c r="N590" s="403" t="s">
        <v>149</v>
      </c>
      <c r="O590" s="403" t="s">
        <v>154</v>
      </c>
      <c r="P590" s="403" t="s">
        <v>151</v>
      </c>
      <c r="Q590" s="403" t="s">
        <v>155</v>
      </c>
      <c r="R590" s="403" t="s">
        <v>8249</v>
      </c>
      <c r="S590" s="403"/>
      <c r="T590" s="403" t="s">
        <v>3025</v>
      </c>
      <c r="U590" s="403" t="s">
        <v>152</v>
      </c>
      <c r="V590" s="403" t="s">
        <v>18</v>
      </c>
    </row>
    <row r="591" spans="1:22">
      <c r="A591" s="6"/>
      <c r="B591" s="216">
        <v>46217</v>
      </c>
      <c r="C591" s="216">
        <v>46217</v>
      </c>
      <c r="D591" s="403" t="s">
        <v>8250</v>
      </c>
      <c r="E591" s="403">
        <v>260106117313</v>
      </c>
      <c r="F591" s="403" t="s">
        <v>87</v>
      </c>
      <c r="G591" s="403" t="s">
        <v>8251</v>
      </c>
      <c r="H591" s="403">
        <v>135</v>
      </c>
      <c r="I591" s="403">
        <v>205</v>
      </c>
      <c r="J591" s="374">
        <v>205</v>
      </c>
      <c r="K591" s="403">
        <v>87</v>
      </c>
      <c r="L591" s="217">
        <v>1800</v>
      </c>
      <c r="M591" s="403" t="s">
        <v>153</v>
      </c>
      <c r="N591" s="403" t="s">
        <v>149</v>
      </c>
      <c r="O591" s="403" t="s">
        <v>154</v>
      </c>
      <c r="P591" s="403" t="s">
        <v>151</v>
      </c>
      <c r="Q591" s="403" t="s">
        <v>155</v>
      </c>
      <c r="R591" s="403" t="s">
        <v>8252</v>
      </c>
      <c r="S591" s="403"/>
      <c r="T591" s="403" t="s">
        <v>3025</v>
      </c>
      <c r="U591" s="403" t="s">
        <v>152</v>
      </c>
      <c r="V591" s="403" t="s">
        <v>18</v>
      </c>
    </row>
    <row r="592" spans="1:22">
      <c r="A592" s="6"/>
      <c r="B592" s="216">
        <v>46217</v>
      </c>
      <c r="C592" s="216">
        <v>46217</v>
      </c>
      <c r="D592" s="403" t="s">
        <v>8253</v>
      </c>
      <c r="E592" s="403">
        <v>260101720084</v>
      </c>
      <c r="F592" s="403" t="s">
        <v>87</v>
      </c>
      <c r="G592" s="403" t="s">
        <v>2408</v>
      </c>
      <c r="H592" s="403">
        <v>95</v>
      </c>
      <c r="I592" s="403">
        <v>247</v>
      </c>
      <c r="J592" s="374">
        <v>247</v>
      </c>
      <c r="K592" s="403">
        <v>134</v>
      </c>
      <c r="L592" s="217">
        <v>1000</v>
      </c>
      <c r="M592" s="403" t="s">
        <v>153</v>
      </c>
      <c r="N592" s="403" t="s">
        <v>149</v>
      </c>
      <c r="O592" s="403" t="s">
        <v>154</v>
      </c>
      <c r="P592" s="403" t="s">
        <v>151</v>
      </c>
      <c r="Q592" s="403" t="s">
        <v>155</v>
      </c>
      <c r="R592" s="403" t="s">
        <v>8254</v>
      </c>
      <c r="S592" s="403"/>
      <c r="T592" s="403" t="s">
        <v>3025</v>
      </c>
      <c r="U592" s="403" t="s">
        <v>152</v>
      </c>
      <c r="V592" s="403" t="s">
        <v>18</v>
      </c>
    </row>
    <row r="593" spans="1:22">
      <c r="A593" s="6"/>
      <c r="B593" s="216">
        <v>46217</v>
      </c>
      <c r="C593" s="216">
        <v>46217</v>
      </c>
      <c r="D593" s="403" t="s">
        <v>8255</v>
      </c>
      <c r="E593" s="403">
        <v>260101820085</v>
      </c>
      <c r="F593" s="403" t="s">
        <v>87</v>
      </c>
      <c r="G593" s="403" t="s">
        <v>2408</v>
      </c>
      <c r="H593" s="403">
        <v>95</v>
      </c>
      <c r="I593" s="403">
        <v>250</v>
      </c>
      <c r="J593" s="374">
        <v>250</v>
      </c>
      <c r="K593" s="403">
        <v>134</v>
      </c>
      <c r="L593" s="217">
        <v>1000</v>
      </c>
      <c r="M593" s="403" t="s">
        <v>153</v>
      </c>
      <c r="N593" s="403" t="s">
        <v>149</v>
      </c>
      <c r="O593" s="403" t="s">
        <v>154</v>
      </c>
      <c r="P593" s="403" t="s">
        <v>151</v>
      </c>
      <c r="Q593" s="403" t="s">
        <v>155</v>
      </c>
      <c r="R593" s="403" t="s">
        <v>8256</v>
      </c>
      <c r="S593" s="403"/>
      <c r="T593" s="403" t="s">
        <v>3025</v>
      </c>
      <c r="U593" s="403" t="s">
        <v>152</v>
      </c>
      <c r="V593" s="403" t="s">
        <v>18</v>
      </c>
    </row>
    <row r="594" spans="1:22">
      <c r="A594" s="6"/>
      <c r="B594" s="216">
        <v>46217</v>
      </c>
      <c r="C594" s="216">
        <v>46217</v>
      </c>
      <c r="D594" s="403" t="s">
        <v>8257</v>
      </c>
      <c r="E594" s="403">
        <v>260106918271</v>
      </c>
      <c r="F594" s="403" t="s">
        <v>87</v>
      </c>
      <c r="G594" s="403" t="s">
        <v>2650</v>
      </c>
      <c r="H594" s="403">
        <v>132</v>
      </c>
      <c r="I594" s="403">
        <v>181</v>
      </c>
      <c r="J594" s="374">
        <v>181</v>
      </c>
      <c r="K594" s="403">
        <v>97</v>
      </c>
      <c r="L594" s="217">
        <v>1490</v>
      </c>
      <c r="M594" s="403" t="s">
        <v>153</v>
      </c>
      <c r="N594" s="403" t="s">
        <v>149</v>
      </c>
      <c r="O594" s="403" t="s">
        <v>154</v>
      </c>
      <c r="P594" s="403" t="s">
        <v>151</v>
      </c>
      <c r="Q594" s="403" t="s">
        <v>155</v>
      </c>
      <c r="R594" s="403" t="s">
        <v>8258</v>
      </c>
      <c r="S594" s="403"/>
      <c r="T594" s="403" t="s">
        <v>3025</v>
      </c>
      <c r="U594" s="403" t="s">
        <v>152</v>
      </c>
      <c r="V594" s="403" t="s">
        <v>18</v>
      </c>
    </row>
    <row r="595" spans="1:22">
      <c r="A595" s="6"/>
      <c r="B595" s="216">
        <v>46217</v>
      </c>
      <c r="C595" s="216">
        <v>46217</v>
      </c>
      <c r="D595" s="403" t="s">
        <v>8259</v>
      </c>
      <c r="E595" s="403" t="s">
        <v>8260</v>
      </c>
      <c r="F595" s="403" t="s">
        <v>87</v>
      </c>
      <c r="G595" s="403" t="s">
        <v>8261</v>
      </c>
      <c r="H595" s="403">
        <v>142</v>
      </c>
      <c r="I595" s="403">
        <v>39</v>
      </c>
      <c r="J595" s="374">
        <v>39</v>
      </c>
      <c r="K595" s="403">
        <v>87</v>
      </c>
      <c r="L595" s="217">
        <v>330</v>
      </c>
      <c r="M595" s="403" t="s">
        <v>153</v>
      </c>
      <c r="N595" s="403" t="s">
        <v>149</v>
      </c>
      <c r="O595" s="403" t="s">
        <v>154</v>
      </c>
      <c r="P595" s="403" t="s">
        <v>151</v>
      </c>
      <c r="Q595" s="403" t="s">
        <v>155</v>
      </c>
      <c r="R595" s="403" t="s">
        <v>8262</v>
      </c>
      <c r="S595" s="403"/>
      <c r="T595" s="403" t="s">
        <v>3025</v>
      </c>
      <c r="U595" s="403" t="s">
        <v>152</v>
      </c>
      <c r="V595" s="403" t="s">
        <v>18</v>
      </c>
    </row>
    <row r="596" spans="1:22">
      <c r="A596" s="6"/>
      <c r="B596" s="216">
        <v>46217</v>
      </c>
      <c r="C596" s="216">
        <v>46217</v>
      </c>
      <c r="D596" s="403" t="s">
        <v>8263</v>
      </c>
      <c r="E596" s="403">
        <v>260101920057</v>
      </c>
      <c r="F596" s="403" t="s">
        <v>87</v>
      </c>
      <c r="G596" s="403" t="s">
        <v>2563</v>
      </c>
      <c r="H596" s="403">
        <v>95</v>
      </c>
      <c r="I596" s="403">
        <v>244</v>
      </c>
      <c r="J596" s="374">
        <v>244</v>
      </c>
      <c r="K596" s="403">
        <v>134</v>
      </c>
      <c r="L596" s="217">
        <v>1000</v>
      </c>
      <c r="M596" s="403" t="s">
        <v>153</v>
      </c>
      <c r="N596" s="403" t="s">
        <v>149</v>
      </c>
      <c r="O596" s="403" t="s">
        <v>154</v>
      </c>
      <c r="P596" s="403" t="s">
        <v>151</v>
      </c>
      <c r="Q596" s="403" t="s">
        <v>155</v>
      </c>
      <c r="R596" s="403" t="s">
        <v>8264</v>
      </c>
      <c r="S596" s="403"/>
      <c r="T596" s="403" t="s">
        <v>3025</v>
      </c>
      <c r="U596" s="403" t="s">
        <v>152</v>
      </c>
      <c r="V596" s="403" t="s">
        <v>18</v>
      </c>
    </row>
    <row r="597" spans="1:22">
      <c r="A597" s="6"/>
      <c r="B597" s="216">
        <v>46217</v>
      </c>
      <c r="C597" s="216">
        <v>46217</v>
      </c>
      <c r="D597" s="403" t="s">
        <v>8265</v>
      </c>
      <c r="E597" s="403">
        <v>260106117215</v>
      </c>
      <c r="F597" s="403" t="s">
        <v>87</v>
      </c>
      <c r="G597" s="403" t="s">
        <v>8251</v>
      </c>
      <c r="H597" s="403">
        <v>135</v>
      </c>
      <c r="I597" s="403">
        <v>185</v>
      </c>
      <c r="J597" s="374">
        <v>185</v>
      </c>
      <c r="K597" s="403">
        <v>87</v>
      </c>
      <c r="L597" s="217">
        <v>1580</v>
      </c>
      <c r="M597" s="403" t="s">
        <v>153</v>
      </c>
      <c r="N597" s="403" t="s">
        <v>149</v>
      </c>
      <c r="O597" s="403" t="s">
        <v>154</v>
      </c>
      <c r="P597" s="403" t="s">
        <v>151</v>
      </c>
      <c r="Q597" s="403" t="s">
        <v>155</v>
      </c>
      <c r="R597" s="403" t="s">
        <v>8266</v>
      </c>
      <c r="S597" s="403"/>
      <c r="T597" s="403" t="s">
        <v>3025</v>
      </c>
      <c r="U597" s="403" t="s">
        <v>152</v>
      </c>
      <c r="V597" s="403" t="s">
        <v>18</v>
      </c>
    </row>
    <row r="598" spans="1:22">
      <c r="A598" s="6"/>
      <c r="B598" s="216">
        <v>46217</v>
      </c>
      <c r="C598" s="216">
        <v>46217</v>
      </c>
      <c r="D598" s="403" t="s">
        <v>8267</v>
      </c>
      <c r="E598" s="403">
        <v>260106117384</v>
      </c>
      <c r="F598" s="403" t="s">
        <v>87</v>
      </c>
      <c r="G598" s="403" t="s">
        <v>8251</v>
      </c>
      <c r="H598" s="403">
        <v>135</v>
      </c>
      <c r="I598" s="403">
        <v>168</v>
      </c>
      <c r="J598" s="374">
        <v>168</v>
      </c>
      <c r="K598" s="403">
        <v>87</v>
      </c>
      <c r="L598" s="217">
        <v>1500</v>
      </c>
      <c r="M598" s="403" t="s">
        <v>153</v>
      </c>
      <c r="N598" s="403" t="s">
        <v>149</v>
      </c>
      <c r="O598" s="403" t="s">
        <v>154</v>
      </c>
      <c r="P598" s="403" t="s">
        <v>151</v>
      </c>
      <c r="Q598" s="403" t="s">
        <v>155</v>
      </c>
      <c r="R598" s="403" t="s">
        <v>8268</v>
      </c>
      <c r="S598" s="403"/>
      <c r="T598" s="403" t="s">
        <v>3025</v>
      </c>
      <c r="U598" s="403" t="s">
        <v>152</v>
      </c>
      <c r="V598" s="403" t="s">
        <v>18</v>
      </c>
    </row>
    <row r="599" spans="1:22">
      <c r="A599" s="6"/>
      <c r="B599" s="216">
        <v>46217</v>
      </c>
      <c r="C599" s="216">
        <v>46217</v>
      </c>
      <c r="D599" s="403" t="s">
        <v>8269</v>
      </c>
      <c r="E599" s="403" t="s">
        <v>8270</v>
      </c>
      <c r="F599" s="403" t="s">
        <v>87</v>
      </c>
      <c r="G599" s="403" t="s">
        <v>8261</v>
      </c>
      <c r="H599" s="403">
        <v>142</v>
      </c>
      <c r="I599" s="403">
        <v>212</v>
      </c>
      <c r="J599" s="374">
        <v>212</v>
      </c>
      <c r="K599" s="403">
        <v>87</v>
      </c>
      <c r="L599" s="217">
        <v>1800</v>
      </c>
      <c r="M599" s="403" t="s">
        <v>153</v>
      </c>
      <c r="N599" s="403" t="s">
        <v>149</v>
      </c>
      <c r="O599" s="403" t="s">
        <v>154</v>
      </c>
      <c r="P599" s="403" t="s">
        <v>151</v>
      </c>
      <c r="Q599" s="403" t="s">
        <v>155</v>
      </c>
      <c r="R599" s="403" t="s">
        <v>8271</v>
      </c>
      <c r="S599" s="403"/>
      <c r="T599" s="403" t="s">
        <v>3025</v>
      </c>
      <c r="U599" s="403" t="s">
        <v>152</v>
      </c>
      <c r="V599" s="403" t="s">
        <v>1712</v>
      </c>
    </row>
    <row r="600" spans="1:22">
      <c r="A600" s="6"/>
      <c r="B600" s="216">
        <v>46217</v>
      </c>
      <c r="C600" s="216">
        <v>46217</v>
      </c>
      <c r="D600" s="403" t="s">
        <v>8272</v>
      </c>
      <c r="E600" s="403" t="s">
        <v>8273</v>
      </c>
      <c r="F600" s="403" t="s">
        <v>87</v>
      </c>
      <c r="G600" s="403" t="s">
        <v>8261</v>
      </c>
      <c r="H600" s="403">
        <v>142</v>
      </c>
      <c r="I600" s="403">
        <v>236</v>
      </c>
      <c r="J600" s="374">
        <v>236</v>
      </c>
      <c r="K600" s="403">
        <v>87</v>
      </c>
      <c r="L600" s="217">
        <v>1970</v>
      </c>
      <c r="M600" s="403" t="s">
        <v>153</v>
      </c>
      <c r="N600" s="403" t="s">
        <v>149</v>
      </c>
      <c r="O600" s="403" t="s">
        <v>154</v>
      </c>
      <c r="P600" s="403" t="s">
        <v>151</v>
      </c>
      <c r="Q600" s="403" t="s">
        <v>155</v>
      </c>
      <c r="R600" s="403" t="s">
        <v>8274</v>
      </c>
      <c r="S600" s="403"/>
      <c r="T600" s="403" t="s">
        <v>3025</v>
      </c>
      <c r="U600" s="403" t="s">
        <v>152</v>
      </c>
      <c r="V600" s="403" t="s">
        <v>1712</v>
      </c>
    </row>
    <row r="601" spans="1:22">
      <c r="A601" s="6"/>
      <c r="B601" s="216">
        <v>46217</v>
      </c>
      <c r="C601" s="216">
        <v>46217</v>
      </c>
      <c r="D601" s="403" t="s">
        <v>8275</v>
      </c>
      <c r="E601" s="403" t="s">
        <v>8276</v>
      </c>
      <c r="F601" s="403" t="s">
        <v>87</v>
      </c>
      <c r="G601" s="403" t="s">
        <v>8277</v>
      </c>
      <c r="H601" s="403">
        <v>202</v>
      </c>
      <c r="I601" s="403">
        <v>270</v>
      </c>
      <c r="J601" s="374">
        <v>270</v>
      </c>
      <c r="K601" s="403">
        <v>97</v>
      </c>
      <c r="L601" s="217">
        <v>1400</v>
      </c>
      <c r="M601" s="403" t="s">
        <v>153</v>
      </c>
      <c r="N601" s="403" t="s">
        <v>149</v>
      </c>
      <c r="O601" s="403" t="s">
        <v>154</v>
      </c>
      <c r="P601" s="403" t="s">
        <v>151</v>
      </c>
      <c r="Q601" s="403" t="s">
        <v>155</v>
      </c>
      <c r="R601" s="403" t="s">
        <v>8278</v>
      </c>
      <c r="S601" s="403"/>
      <c r="T601" s="403" t="s">
        <v>3025</v>
      </c>
      <c r="U601" s="403" t="s">
        <v>152</v>
      </c>
      <c r="V601" s="403" t="s">
        <v>1712</v>
      </c>
    </row>
    <row r="602" spans="1:22">
      <c r="A602" s="6"/>
      <c r="B602" s="216">
        <v>46217</v>
      </c>
      <c r="C602" s="216">
        <v>46217</v>
      </c>
      <c r="D602" s="403" t="s">
        <v>8279</v>
      </c>
      <c r="E602" s="403">
        <v>260103011283</v>
      </c>
      <c r="F602" s="403" t="s">
        <v>87</v>
      </c>
      <c r="G602" s="403" t="s">
        <v>2645</v>
      </c>
      <c r="H602" s="403" t="s">
        <v>2653</v>
      </c>
      <c r="I602" s="403">
        <v>179</v>
      </c>
      <c r="J602" s="374">
        <v>179</v>
      </c>
      <c r="K602" s="403">
        <v>102</v>
      </c>
      <c r="L602" s="217">
        <v>1640</v>
      </c>
      <c r="M602" s="403" t="s">
        <v>153</v>
      </c>
      <c r="N602" s="403" t="s">
        <v>149</v>
      </c>
      <c r="O602" s="403" t="s">
        <v>154</v>
      </c>
      <c r="P602" s="403" t="s">
        <v>151</v>
      </c>
      <c r="Q602" s="403" t="s">
        <v>156</v>
      </c>
      <c r="R602" s="403" t="s">
        <v>8280</v>
      </c>
      <c r="S602" s="403"/>
      <c r="T602" s="403" t="s">
        <v>3025</v>
      </c>
      <c r="U602" s="403" t="s">
        <v>152</v>
      </c>
      <c r="V602" s="403" t="s">
        <v>20</v>
      </c>
    </row>
    <row r="603" spans="1:22">
      <c r="A603" s="6"/>
      <c r="B603" s="216">
        <v>46217</v>
      </c>
      <c r="C603" s="216">
        <v>46217</v>
      </c>
      <c r="D603" s="403" t="s">
        <v>8281</v>
      </c>
      <c r="E603" s="403" t="s">
        <v>8282</v>
      </c>
      <c r="F603" s="403" t="s">
        <v>87</v>
      </c>
      <c r="G603" s="403" t="s">
        <v>8283</v>
      </c>
      <c r="H603" s="403" t="s">
        <v>2253</v>
      </c>
      <c r="I603" s="403">
        <v>316</v>
      </c>
      <c r="J603" s="374">
        <v>316</v>
      </c>
      <c r="K603" s="403">
        <v>93</v>
      </c>
      <c r="L603" s="217">
        <v>4450</v>
      </c>
      <c r="M603" s="403" t="s">
        <v>153</v>
      </c>
      <c r="N603" s="403" t="s">
        <v>149</v>
      </c>
      <c r="O603" s="403" t="s">
        <v>154</v>
      </c>
      <c r="P603" s="403" t="s">
        <v>151</v>
      </c>
      <c r="Q603" s="403" t="s">
        <v>156</v>
      </c>
      <c r="R603" s="403" t="s">
        <v>8284</v>
      </c>
      <c r="S603" s="403"/>
      <c r="T603" s="403" t="s">
        <v>3025</v>
      </c>
      <c r="U603" s="403" t="s">
        <v>152</v>
      </c>
      <c r="V603" s="403" t="s">
        <v>20</v>
      </c>
    </row>
    <row r="604" spans="1:22">
      <c r="A604" s="6"/>
      <c r="B604" s="216">
        <v>46217</v>
      </c>
      <c r="C604" s="216">
        <v>46217</v>
      </c>
      <c r="D604" s="403" t="s">
        <v>8285</v>
      </c>
      <c r="E604" s="403" t="s">
        <v>8286</v>
      </c>
      <c r="F604" s="403" t="s">
        <v>87</v>
      </c>
      <c r="G604" s="403" t="s">
        <v>7036</v>
      </c>
      <c r="H604" s="403" t="s">
        <v>8287</v>
      </c>
      <c r="I604" s="403">
        <v>299</v>
      </c>
      <c r="J604" s="374">
        <v>299</v>
      </c>
      <c r="K604" s="403">
        <v>107</v>
      </c>
      <c r="L604" s="217">
        <v>3645</v>
      </c>
      <c r="M604" s="403" t="s">
        <v>153</v>
      </c>
      <c r="N604" s="403" t="s">
        <v>149</v>
      </c>
      <c r="O604" s="403" t="s">
        <v>154</v>
      </c>
      <c r="P604" s="403" t="s">
        <v>151</v>
      </c>
      <c r="Q604" s="403" t="s">
        <v>156</v>
      </c>
      <c r="R604" s="403" t="s">
        <v>8288</v>
      </c>
      <c r="S604" s="403"/>
      <c r="T604" s="403" t="s">
        <v>3025</v>
      </c>
      <c r="U604" s="403" t="s">
        <v>152</v>
      </c>
      <c r="V604" s="403" t="s">
        <v>20</v>
      </c>
    </row>
    <row r="605" spans="1:22">
      <c r="A605" s="6"/>
      <c r="B605" s="216">
        <v>46217</v>
      </c>
      <c r="C605" s="216">
        <v>46217</v>
      </c>
      <c r="D605" s="403" t="s">
        <v>8289</v>
      </c>
      <c r="E605" s="403" t="s">
        <v>8290</v>
      </c>
      <c r="F605" s="403" t="s">
        <v>87</v>
      </c>
      <c r="G605" s="403" t="s">
        <v>2659</v>
      </c>
      <c r="H605" s="403" t="s">
        <v>2253</v>
      </c>
      <c r="I605" s="403">
        <v>396</v>
      </c>
      <c r="J605" s="374">
        <v>396</v>
      </c>
      <c r="K605" s="403">
        <v>92</v>
      </c>
      <c r="L605" s="217">
        <v>5500</v>
      </c>
      <c r="M605" s="403" t="s">
        <v>153</v>
      </c>
      <c r="N605" s="403" t="s">
        <v>149</v>
      </c>
      <c r="O605" s="403" t="s">
        <v>154</v>
      </c>
      <c r="P605" s="403" t="s">
        <v>151</v>
      </c>
      <c r="Q605" s="403" t="s">
        <v>156</v>
      </c>
      <c r="R605" s="403" t="s">
        <v>8291</v>
      </c>
      <c r="S605" s="403"/>
      <c r="T605" s="403" t="s">
        <v>3025</v>
      </c>
      <c r="U605" s="403" t="s">
        <v>152</v>
      </c>
      <c r="V605" s="403" t="s">
        <v>20</v>
      </c>
    </row>
    <row r="606" spans="1:22">
      <c r="A606" s="6"/>
      <c r="B606" s="216">
        <v>46219</v>
      </c>
      <c r="C606" s="216">
        <v>46219</v>
      </c>
      <c r="D606" s="403" t="s">
        <v>8292</v>
      </c>
      <c r="E606" s="403">
        <v>260105820152</v>
      </c>
      <c r="F606" s="403" t="s">
        <v>87</v>
      </c>
      <c r="G606" s="403" t="s">
        <v>2646</v>
      </c>
      <c r="H606" s="403">
        <v>152</v>
      </c>
      <c r="I606" s="403">
        <v>266</v>
      </c>
      <c r="J606" s="374">
        <v>266</v>
      </c>
      <c r="K606" s="403">
        <v>105</v>
      </c>
      <c r="L606" s="217">
        <v>1700</v>
      </c>
      <c r="M606" s="403" t="s">
        <v>153</v>
      </c>
      <c r="N606" s="403" t="s">
        <v>149</v>
      </c>
      <c r="O606" s="403" t="s">
        <v>154</v>
      </c>
      <c r="P606" s="403" t="s">
        <v>151</v>
      </c>
      <c r="Q606" s="403" t="s">
        <v>155</v>
      </c>
      <c r="R606" s="403" t="s">
        <v>8293</v>
      </c>
      <c r="S606" s="403"/>
      <c r="T606" s="403" t="s">
        <v>3037</v>
      </c>
      <c r="U606" s="403" t="s">
        <v>152</v>
      </c>
      <c r="V606" s="403" t="s">
        <v>18</v>
      </c>
    </row>
    <row r="607" spans="1:22">
      <c r="A607" s="6"/>
      <c r="B607" s="216">
        <v>46219</v>
      </c>
      <c r="C607" s="216">
        <v>46219</v>
      </c>
      <c r="D607" s="403" t="s">
        <v>8294</v>
      </c>
      <c r="E607" s="403">
        <v>260104620151</v>
      </c>
      <c r="F607" s="403" t="s">
        <v>87</v>
      </c>
      <c r="G607" s="403" t="s">
        <v>859</v>
      </c>
      <c r="H607" s="403">
        <v>152</v>
      </c>
      <c r="I607" s="403">
        <v>231</v>
      </c>
      <c r="J607" s="374">
        <v>231</v>
      </c>
      <c r="K607" s="403">
        <v>104</v>
      </c>
      <c r="L607" s="217">
        <v>1500</v>
      </c>
      <c r="M607" s="403" t="s">
        <v>153</v>
      </c>
      <c r="N607" s="403" t="s">
        <v>149</v>
      </c>
      <c r="O607" s="403" t="s">
        <v>154</v>
      </c>
      <c r="P607" s="403" t="s">
        <v>151</v>
      </c>
      <c r="Q607" s="403" t="s">
        <v>155</v>
      </c>
      <c r="R607" s="403" t="s">
        <v>8295</v>
      </c>
      <c r="S607" s="403"/>
      <c r="T607" s="403" t="s">
        <v>3037</v>
      </c>
      <c r="U607" s="403" t="s">
        <v>152</v>
      </c>
      <c r="V607" s="403" t="s">
        <v>18</v>
      </c>
    </row>
    <row r="608" spans="1:22">
      <c r="A608" s="6"/>
      <c r="B608" s="216">
        <v>46219</v>
      </c>
      <c r="C608" s="216">
        <v>46219</v>
      </c>
      <c r="D608" s="403" t="s">
        <v>8296</v>
      </c>
      <c r="E608" s="403">
        <v>260107720150</v>
      </c>
      <c r="F608" s="403" t="s">
        <v>87</v>
      </c>
      <c r="G608" s="403" t="s">
        <v>2409</v>
      </c>
      <c r="H608" s="403">
        <v>132</v>
      </c>
      <c r="I608" s="403">
        <v>137</v>
      </c>
      <c r="J608" s="374">
        <v>137</v>
      </c>
      <c r="K608" s="403">
        <v>97</v>
      </c>
      <c r="L608" s="217">
        <v>1060</v>
      </c>
      <c r="M608" s="403" t="s">
        <v>153</v>
      </c>
      <c r="N608" s="403" t="s">
        <v>149</v>
      </c>
      <c r="O608" s="403" t="s">
        <v>154</v>
      </c>
      <c r="P608" s="403" t="s">
        <v>151</v>
      </c>
      <c r="Q608" s="403" t="s">
        <v>155</v>
      </c>
      <c r="R608" s="403" t="s">
        <v>8297</v>
      </c>
      <c r="S608" s="403"/>
      <c r="T608" s="403" t="s">
        <v>3037</v>
      </c>
      <c r="U608" s="403" t="s">
        <v>152</v>
      </c>
      <c r="V608" s="403" t="s">
        <v>18</v>
      </c>
    </row>
    <row r="609" spans="1:22">
      <c r="A609" s="6"/>
      <c r="B609" s="216">
        <v>46219</v>
      </c>
      <c r="C609" s="216">
        <v>46219</v>
      </c>
      <c r="D609" s="403" t="s">
        <v>8298</v>
      </c>
      <c r="E609" s="403">
        <v>260101420149</v>
      </c>
      <c r="F609" s="403" t="s">
        <v>87</v>
      </c>
      <c r="G609" s="403" t="s">
        <v>859</v>
      </c>
      <c r="H609" s="403">
        <v>152</v>
      </c>
      <c r="I609" s="403">
        <v>231</v>
      </c>
      <c r="J609" s="374">
        <v>231</v>
      </c>
      <c r="K609" s="403">
        <v>104</v>
      </c>
      <c r="L609" s="217">
        <v>1500</v>
      </c>
      <c r="M609" s="403" t="s">
        <v>153</v>
      </c>
      <c r="N609" s="403" t="s">
        <v>149</v>
      </c>
      <c r="O609" s="403" t="s">
        <v>154</v>
      </c>
      <c r="P609" s="403" t="s">
        <v>151</v>
      </c>
      <c r="Q609" s="403" t="s">
        <v>155</v>
      </c>
      <c r="R609" s="403" t="s">
        <v>8299</v>
      </c>
      <c r="S609" s="403"/>
      <c r="T609" s="403" t="s">
        <v>3037</v>
      </c>
      <c r="U609" s="403" t="s">
        <v>152</v>
      </c>
      <c r="V609" s="403" t="s">
        <v>18</v>
      </c>
    </row>
    <row r="610" spans="1:22">
      <c r="A610" s="6"/>
      <c r="B610" s="216">
        <v>46219</v>
      </c>
      <c r="C610" s="216">
        <v>46219</v>
      </c>
      <c r="D610" s="403" t="s">
        <v>8300</v>
      </c>
      <c r="E610" s="403">
        <v>260102520156</v>
      </c>
      <c r="F610" s="403" t="s">
        <v>87</v>
      </c>
      <c r="G610" s="403" t="s">
        <v>7766</v>
      </c>
      <c r="H610" s="403">
        <v>112</v>
      </c>
      <c r="I610" s="403">
        <v>231</v>
      </c>
      <c r="J610" s="374">
        <v>231</v>
      </c>
      <c r="K610" s="403">
        <v>104</v>
      </c>
      <c r="L610" s="217">
        <v>1000</v>
      </c>
      <c r="M610" s="403" t="s">
        <v>153</v>
      </c>
      <c r="N610" s="403" t="s">
        <v>149</v>
      </c>
      <c r="O610" s="403" t="s">
        <v>154</v>
      </c>
      <c r="P610" s="403" t="s">
        <v>151</v>
      </c>
      <c r="Q610" s="403" t="s">
        <v>155</v>
      </c>
      <c r="R610" s="403" t="s">
        <v>8301</v>
      </c>
      <c r="S610" s="403"/>
      <c r="T610" s="403" t="s">
        <v>3039</v>
      </c>
      <c r="U610" s="403" t="s">
        <v>152</v>
      </c>
      <c r="V610" s="403" t="s">
        <v>18</v>
      </c>
    </row>
    <row r="611" spans="1:22">
      <c r="A611" s="6"/>
      <c r="B611" s="216">
        <v>46219</v>
      </c>
      <c r="C611" s="216">
        <v>46219</v>
      </c>
      <c r="D611" s="403" t="s">
        <v>8302</v>
      </c>
      <c r="E611" s="403">
        <v>260104020176</v>
      </c>
      <c r="F611" s="403" t="s">
        <v>87</v>
      </c>
      <c r="G611" s="403" t="s">
        <v>2563</v>
      </c>
      <c r="H611" s="403">
        <v>95</v>
      </c>
      <c r="I611" s="403">
        <v>257</v>
      </c>
      <c r="J611" s="374">
        <v>257</v>
      </c>
      <c r="K611" s="403">
        <v>134</v>
      </c>
      <c r="L611" s="217">
        <v>1050</v>
      </c>
      <c r="M611" s="403" t="s">
        <v>153</v>
      </c>
      <c r="N611" s="403" t="s">
        <v>149</v>
      </c>
      <c r="O611" s="403" t="s">
        <v>154</v>
      </c>
      <c r="P611" s="403" t="s">
        <v>151</v>
      </c>
      <c r="Q611" s="403" t="s">
        <v>155</v>
      </c>
      <c r="R611" s="403" t="s">
        <v>8303</v>
      </c>
      <c r="S611" s="403"/>
      <c r="T611" s="403" t="s">
        <v>3039</v>
      </c>
      <c r="U611" s="403" t="s">
        <v>152</v>
      </c>
      <c r="V611" s="403" t="s">
        <v>18</v>
      </c>
    </row>
    <row r="612" spans="1:22">
      <c r="A612" s="6"/>
      <c r="B612" s="216">
        <v>46219</v>
      </c>
      <c r="C612" s="216">
        <v>46219</v>
      </c>
      <c r="D612" s="403" t="s">
        <v>8304</v>
      </c>
      <c r="E612" s="403">
        <v>260101720183</v>
      </c>
      <c r="F612" s="403" t="s">
        <v>87</v>
      </c>
      <c r="G612" s="403" t="s">
        <v>2408</v>
      </c>
      <c r="H612" s="403">
        <v>95</v>
      </c>
      <c r="I612" s="403">
        <v>258</v>
      </c>
      <c r="J612" s="374">
        <v>258</v>
      </c>
      <c r="K612" s="403">
        <v>134</v>
      </c>
      <c r="L612" s="217">
        <v>1030</v>
      </c>
      <c r="M612" s="403" t="s">
        <v>153</v>
      </c>
      <c r="N612" s="403" t="s">
        <v>149</v>
      </c>
      <c r="O612" s="403" t="s">
        <v>154</v>
      </c>
      <c r="P612" s="403" t="s">
        <v>151</v>
      </c>
      <c r="Q612" s="403" t="s">
        <v>155</v>
      </c>
      <c r="R612" s="403" t="s">
        <v>8305</v>
      </c>
      <c r="S612" s="403"/>
      <c r="T612" s="403" t="s">
        <v>3039</v>
      </c>
      <c r="U612" s="403" t="s">
        <v>152</v>
      </c>
      <c r="V612" s="403" t="s">
        <v>18</v>
      </c>
    </row>
    <row r="613" spans="1:22">
      <c r="A613" s="6"/>
      <c r="B613" s="216">
        <v>46219</v>
      </c>
      <c r="C613" s="216">
        <v>46219</v>
      </c>
      <c r="D613" s="403" t="s">
        <v>8306</v>
      </c>
      <c r="E613" s="403">
        <v>260100920139</v>
      </c>
      <c r="F613" s="403" t="s">
        <v>87</v>
      </c>
      <c r="G613" s="403" t="s">
        <v>2656</v>
      </c>
      <c r="H613" s="403">
        <v>202</v>
      </c>
      <c r="I613" s="403">
        <v>404</v>
      </c>
      <c r="J613" s="374">
        <v>404</v>
      </c>
      <c r="K613" s="403">
        <v>180</v>
      </c>
      <c r="L613" s="217">
        <v>570</v>
      </c>
      <c r="M613" s="403" t="s">
        <v>153</v>
      </c>
      <c r="N613" s="403" t="s">
        <v>149</v>
      </c>
      <c r="O613" s="403" t="s">
        <v>154</v>
      </c>
      <c r="P613" s="403" t="s">
        <v>151</v>
      </c>
      <c r="Q613" s="403" t="s">
        <v>155</v>
      </c>
      <c r="R613" s="403" t="s">
        <v>8307</v>
      </c>
      <c r="S613" s="403"/>
      <c r="T613" s="403" t="s">
        <v>3039</v>
      </c>
      <c r="U613" s="403" t="s">
        <v>152</v>
      </c>
      <c r="V613" s="403" t="s">
        <v>18</v>
      </c>
    </row>
    <row r="614" spans="1:22">
      <c r="A614" s="6"/>
      <c r="B614" s="216">
        <v>46219</v>
      </c>
      <c r="C614" s="216">
        <v>46219</v>
      </c>
      <c r="D614" s="403" t="s">
        <v>8308</v>
      </c>
      <c r="E614" s="403">
        <v>260102720154</v>
      </c>
      <c r="F614" s="403" t="s">
        <v>87</v>
      </c>
      <c r="G614" s="403" t="s">
        <v>2554</v>
      </c>
      <c r="H614" s="403">
        <v>102</v>
      </c>
      <c r="I614" s="403">
        <v>246</v>
      </c>
      <c r="J614" s="374">
        <v>246</v>
      </c>
      <c r="K614" s="403">
        <v>125</v>
      </c>
      <c r="L614" s="217">
        <v>1000</v>
      </c>
      <c r="M614" s="403" t="s">
        <v>153</v>
      </c>
      <c r="N614" s="403" t="s">
        <v>149</v>
      </c>
      <c r="O614" s="403" t="s">
        <v>154</v>
      </c>
      <c r="P614" s="403" t="s">
        <v>151</v>
      </c>
      <c r="Q614" s="403" t="s">
        <v>155</v>
      </c>
      <c r="R614" s="403" t="s">
        <v>8309</v>
      </c>
      <c r="S614" s="403"/>
      <c r="T614" s="403" t="s">
        <v>3039</v>
      </c>
      <c r="U614" s="403" t="s">
        <v>152</v>
      </c>
      <c r="V614" s="403" t="s">
        <v>18</v>
      </c>
    </row>
    <row r="615" spans="1:22">
      <c r="A615" s="6"/>
      <c r="B615" s="216">
        <v>46219</v>
      </c>
      <c r="C615" s="216">
        <v>46219</v>
      </c>
      <c r="D615" s="403" t="s">
        <v>8310</v>
      </c>
      <c r="E615" s="403">
        <v>260101720157</v>
      </c>
      <c r="F615" s="403" t="s">
        <v>87</v>
      </c>
      <c r="G615" s="403" t="s">
        <v>2408</v>
      </c>
      <c r="H615" s="403">
        <v>95</v>
      </c>
      <c r="I615" s="403">
        <v>262</v>
      </c>
      <c r="J615" s="374">
        <v>262</v>
      </c>
      <c r="K615" s="403">
        <v>134</v>
      </c>
      <c r="L615" s="217">
        <v>1075</v>
      </c>
      <c r="M615" s="403" t="s">
        <v>153</v>
      </c>
      <c r="N615" s="403" t="s">
        <v>149</v>
      </c>
      <c r="O615" s="403" t="s">
        <v>154</v>
      </c>
      <c r="P615" s="403" t="s">
        <v>151</v>
      </c>
      <c r="Q615" s="403" t="s">
        <v>155</v>
      </c>
      <c r="R615" s="403" t="s">
        <v>8311</v>
      </c>
      <c r="S615" s="403"/>
      <c r="T615" s="403" t="s">
        <v>3039</v>
      </c>
      <c r="U615" s="403" t="s">
        <v>152</v>
      </c>
      <c r="V615" s="403" t="s">
        <v>18</v>
      </c>
    </row>
    <row r="616" spans="1:22">
      <c r="A616" s="6"/>
      <c r="B616" s="216">
        <v>46219</v>
      </c>
      <c r="C616" s="216">
        <v>46219</v>
      </c>
      <c r="D616" s="403" t="s">
        <v>8312</v>
      </c>
      <c r="E616" s="403">
        <v>260107420164</v>
      </c>
      <c r="F616" s="403" t="s">
        <v>87</v>
      </c>
      <c r="G616" s="403" t="s">
        <v>2562</v>
      </c>
      <c r="H616" s="403">
        <v>125</v>
      </c>
      <c r="I616" s="403">
        <v>265</v>
      </c>
      <c r="J616" s="374">
        <v>265</v>
      </c>
      <c r="K616" s="403">
        <v>97</v>
      </c>
      <c r="L616" s="217">
        <v>2210</v>
      </c>
      <c r="M616" s="403" t="s">
        <v>153</v>
      </c>
      <c r="N616" s="403" t="s">
        <v>149</v>
      </c>
      <c r="O616" s="403" t="s">
        <v>154</v>
      </c>
      <c r="P616" s="403" t="s">
        <v>151</v>
      </c>
      <c r="Q616" s="403" t="s">
        <v>155</v>
      </c>
      <c r="R616" s="403" t="s">
        <v>8313</v>
      </c>
      <c r="S616" s="403"/>
      <c r="T616" s="403" t="s">
        <v>3039</v>
      </c>
      <c r="U616" s="403" t="s">
        <v>152</v>
      </c>
      <c r="V616" s="403" t="s">
        <v>18</v>
      </c>
    </row>
    <row r="617" spans="1:22">
      <c r="A617" s="6"/>
      <c r="B617" s="216">
        <v>46219</v>
      </c>
      <c r="C617" s="216">
        <v>46219</v>
      </c>
      <c r="D617" s="403" t="s">
        <v>8314</v>
      </c>
      <c r="E617" s="403">
        <v>260105320171</v>
      </c>
      <c r="F617" s="403" t="s">
        <v>87</v>
      </c>
      <c r="G617" s="403" t="s">
        <v>2555</v>
      </c>
      <c r="H617" s="403">
        <v>152</v>
      </c>
      <c r="I617" s="403">
        <v>297</v>
      </c>
      <c r="J617" s="374">
        <v>297</v>
      </c>
      <c r="K617" s="403">
        <v>104</v>
      </c>
      <c r="L617" s="217">
        <v>1905</v>
      </c>
      <c r="M617" s="403" t="s">
        <v>153</v>
      </c>
      <c r="N617" s="403" t="s">
        <v>149</v>
      </c>
      <c r="O617" s="403" t="s">
        <v>154</v>
      </c>
      <c r="P617" s="403" t="s">
        <v>151</v>
      </c>
      <c r="Q617" s="403" t="s">
        <v>155</v>
      </c>
      <c r="R617" s="403" t="s">
        <v>8315</v>
      </c>
      <c r="S617" s="403"/>
      <c r="T617" s="403" t="s">
        <v>3039</v>
      </c>
      <c r="U617" s="403" t="s">
        <v>152</v>
      </c>
      <c r="V617" s="403" t="s">
        <v>18</v>
      </c>
    </row>
    <row r="618" spans="1:22">
      <c r="A618" s="6"/>
      <c r="B618" s="216">
        <v>46219</v>
      </c>
      <c r="C618" s="216">
        <v>46219</v>
      </c>
      <c r="D618" s="403" t="s">
        <v>8316</v>
      </c>
      <c r="E618" s="403">
        <v>260101620181</v>
      </c>
      <c r="F618" s="403" t="s">
        <v>87</v>
      </c>
      <c r="G618" s="403" t="s">
        <v>2642</v>
      </c>
      <c r="H618" s="403">
        <v>112</v>
      </c>
      <c r="I618" s="403">
        <v>349</v>
      </c>
      <c r="J618" s="374">
        <v>349</v>
      </c>
      <c r="K618" s="403">
        <v>160</v>
      </c>
      <c r="L618" s="217">
        <v>1000</v>
      </c>
      <c r="M618" s="403" t="s">
        <v>153</v>
      </c>
      <c r="N618" s="403" t="s">
        <v>149</v>
      </c>
      <c r="O618" s="403" t="s">
        <v>154</v>
      </c>
      <c r="P618" s="403" t="s">
        <v>151</v>
      </c>
      <c r="Q618" s="403" t="s">
        <v>155</v>
      </c>
      <c r="R618" s="403" t="s">
        <v>8317</v>
      </c>
      <c r="S618" s="403"/>
      <c r="T618" s="403" t="s">
        <v>3039</v>
      </c>
      <c r="U618" s="403" t="s">
        <v>152</v>
      </c>
      <c r="V618" s="403" t="s">
        <v>18</v>
      </c>
    </row>
    <row r="619" spans="1:22">
      <c r="A619" s="6"/>
      <c r="B619" s="216">
        <v>46219</v>
      </c>
      <c r="C619" s="216">
        <v>46219</v>
      </c>
      <c r="D619" s="403" t="s">
        <v>8318</v>
      </c>
      <c r="E619" s="403">
        <v>260100720138</v>
      </c>
      <c r="F619" s="403" t="s">
        <v>87</v>
      </c>
      <c r="G619" s="403" t="s">
        <v>7197</v>
      </c>
      <c r="H619" s="403">
        <v>182</v>
      </c>
      <c r="I619" s="403">
        <v>358</v>
      </c>
      <c r="J619" s="374">
        <v>358</v>
      </c>
      <c r="K619" s="403">
        <v>150</v>
      </c>
      <c r="L619" s="217">
        <v>680</v>
      </c>
      <c r="M619" s="403" t="s">
        <v>153</v>
      </c>
      <c r="N619" s="403" t="s">
        <v>149</v>
      </c>
      <c r="O619" s="403" t="s">
        <v>154</v>
      </c>
      <c r="P619" s="403" t="s">
        <v>151</v>
      </c>
      <c r="Q619" s="403" t="s">
        <v>155</v>
      </c>
      <c r="R619" s="403" t="s">
        <v>8319</v>
      </c>
      <c r="S619" s="403"/>
      <c r="T619" s="403" t="s">
        <v>3039</v>
      </c>
      <c r="U619" s="403" t="s">
        <v>152</v>
      </c>
      <c r="V619" s="403" t="s">
        <v>18</v>
      </c>
    </row>
    <row r="620" spans="1:22">
      <c r="A620" s="6"/>
      <c r="B620" s="216">
        <v>46219</v>
      </c>
      <c r="C620" s="216">
        <v>46219</v>
      </c>
      <c r="D620" s="403" t="s">
        <v>8320</v>
      </c>
      <c r="E620" s="403">
        <v>260102020158</v>
      </c>
      <c r="F620" s="403" t="s">
        <v>87</v>
      </c>
      <c r="G620" s="403" t="s">
        <v>2563</v>
      </c>
      <c r="H620" s="403">
        <v>95</v>
      </c>
      <c r="I620" s="403">
        <v>258</v>
      </c>
      <c r="J620" s="374">
        <v>258</v>
      </c>
      <c r="K620" s="403">
        <v>134</v>
      </c>
      <c r="L620" s="217">
        <v>1065</v>
      </c>
      <c r="M620" s="403" t="s">
        <v>153</v>
      </c>
      <c r="N620" s="403" t="s">
        <v>149</v>
      </c>
      <c r="O620" s="403" t="s">
        <v>154</v>
      </c>
      <c r="P620" s="403" t="s">
        <v>151</v>
      </c>
      <c r="Q620" s="403" t="s">
        <v>155</v>
      </c>
      <c r="R620" s="403" t="s">
        <v>8321</v>
      </c>
      <c r="S620" s="403"/>
      <c r="T620" s="403" t="s">
        <v>3039</v>
      </c>
      <c r="U620" s="403" t="s">
        <v>152</v>
      </c>
      <c r="V620" s="403" t="s">
        <v>18</v>
      </c>
    </row>
    <row r="621" spans="1:22">
      <c r="A621" s="6"/>
      <c r="B621" s="216">
        <v>46219</v>
      </c>
      <c r="C621" s="216">
        <v>46219</v>
      </c>
      <c r="D621" s="403" t="s">
        <v>8322</v>
      </c>
      <c r="E621" s="403">
        <v>260107620162</v>
      </c>
      <c r="F621" s="403" t="s">
        <v>87</v>
      </c>
      <c r="G621" s="403" t="s">
        <v>7928</v>
      </c>
      <c r="H621" s="403">
        <v>132</v>
      </c>
      <c r="I621" s="403">
        <v>268</v>
      </c>
      <c r="J621" s="374">
        <v>268</v>
      </c>
      <c r="K621" s="403">
        <v>87</v>
      </c>
      <c r="L621" s="217">
        <v>2430</v>
      </c>
      <c r="M621" s="403" t="s">
        <v>153</v>
      </c>
      <c r="N621" s="403" t="s">
        <v>149</v>
      </c>
      <c r="O621" s="403" t="s">
        <v>154</v>
      </c>
      <c r="P621" s="403" t="s">
        <v>151</v>
      </c>
      <c r="Q621" s="403" t="s">
        <v>155</v>
      </c>
      <c r="R621" s="403" t="s">
        <v>8323</v>
      </c>
      <c r="S621" s="403"/>
      <c r="T621" s="403" t="s">
        <v>3039</v>
      </c>
      <c r="U621" s="403" t="s">
        <v>152</v>
      </c>
      <c r="V621" s="403" t="s">
        <v>18</v>
      </c>
    </row>
    <row r="622" spans="1:22">
      <c r="A622" s="6"/>
      <c r="B622" s="216">
        <v>46219</v>
      </c>
      <c r="C622" s="216">
        <v>46219</v>
      </c>
      <c r="D622" s="403" t="s">
        <v>8324</v>
      </c>
      <c r="E622" s="403">
        <v>260102620180</v>
      </c>
      <c r="F622" s="403" t="s">
        <v>87</v>
      </c>
      <c r="G622" s="403" t="s">
        <v>2554</v>
      </c>
      <c r="H622" s="403">
        <v>102</v>
      </c>
      <c r="I622" s="403">
        <v>255</v>
      </c>
      <c r="J622" s="374">
        <v>255</v>
      </c>
      <c r="K622" s="403">
        <v>125</v>
      </c>
      <c r="L622" s="217">
        <v>1020</v>
      </c>
      <c r="M622" s="403" t="s">
        <v>153</v>
      </c>
      <c r="N622" s="403" t="s">
        <v>149</v>
      </c>
      <c r="O622" s="403" t="s">
        <v>154</v>
      </c>
      <c r="P622" s="403" t="s">
        <v>151</v>
      </c>
      <c r="Q622" s="403" t="s">
        <v>155</v>
      </c>
      <c r="R622" s="403" t="s">
        <v>8325</v>
      </c>
      <c r="S622" s="403"/>
      <c r="T622" s="403" t="s">
        <v>3039</v>
      </c>
      <c r="U622" s="403" t="s">
        <v>152</v>
      </c>
      <c r="V622" s="403" t="s">
        <v>18</v>
      </c>
    </row>
    <row r="623" spans="1:22">
      <c r="A623" s="6"/>
      <c r="B623" s="216">
        <v>46219</v>
      </c>
      <c r="C623" s="216">
        <v>46219</v>
      </c>
      <c r="D623" s="403" t="s">
        <v>8326</v>
      </c>
      <c r="E623" s="403">
        <v>260101520182</v>
      </c>
      <c r="F623" s="403" t="s">
        <v>87</v>
      </c>
      <c r="G623" s="403" t="s">
        <v>2120</v>
      </c>
      <c r="H623" s="403">
        <v>92</v>
      </c>
      <c r="I623" s="403">
        <v>398</v>
      </c>
      <c r="J623" s="374">
        <v>398</v>
      </c>
      <c r="K623" s="403">
        <v>180</v>
      </c>
      <c r="L623" s="217">
        <v>1230</v>
      </c>
      <c r="M623" s="403" t="s">
        <v>153</v>
      </c>
      <c r="N623" s="403" t="s">
        <v>149</v>
      </c>
      <c r="O623" s="403" t="s">
        <v>154</v>
      </c>
      <c r="P623" s="403" t="s">
        <v>151</v>
      </c>
      <c r="Q623" s="403" t="s">
        <v>155</v>
      </c>
      <c r="R623" s="403" t="s">
        <v>8327</v>
      </c>
      <c r="S623" s="403"/>
      <c r="T623" s="403" t="s">
        <v>3039</v>
      </c>
      <c r="U623" s="403" t="s">
        <v>152</v>
      </c>
      <c r="V623" s="403" t="s">
        <v>18</v>
      </c>
    </row>
    <row r="624" spans="1:22">
      <c r="A624" s="6"/>
      <c r="B624" s="216">
        <v>46219</v>
      </c>
      <c r="C624" s="216">
        <v>46219</v>
      </c>
      <c r="D624" s="403" t="s">
        <v>8328</v>
      </c>
      <c r="E624" s="403">
        <v>260101920185</v>
      </c>
      <c r="F624" s="403" t="s">
        <v>87</v>
      </c>
      <c r="G624" s="403" t="s">
        <v>2563</v>
      </c>
      <c r="H624" s="403">
        <v>95</v>
      </c>
      <c r="I624" s="403">
        <v>246</v>
      </c>
      <c r="J624" s="374">
        <v>246</v>
      </c>
      <c r="K624" s="403">
        <v>134</v>
      </c>
      <c r="L624" s="217">
        <v>1000</v>
      </c>
      <c r="M624" s="403" t="s">
        <v>153</v>
      </c>
      <c r="N624" s="403" t="s">
        <v>149</v>
      </c>
      <c r="O624" s="403" t="s">
        <v>154</v>
      </c>
      <c r="P624" s="403" t="s">
        <v>151</v>
      </c>
      <c r="Q624" s="403" t="s">
        <v>155</v>
      </c>
      <c r="R624" s="403" t="s">
        <v>8329</v>
      </c>
      <c r="S624" s="403"/>
      <c r="T624" s="403" t="s">
        <v>3039</v>
      </c>
      <c r="U624" s="403" t="s">
        <v>152</v>
      </c>
      <c r="V624" s="403" t="s">
        <v>18</v>
      </c>
    </row>
    <row r="625" spans="1:22">
      <c r="A625" s="6"/>
      <c r="B625" s="216">
        <v>46219</v>
      </c>
      <c r="C625" s="216">
        <v>46219</v>
      </c>
      <c r="D625" s="403" t="s">
        <v>8330</v>
      </c>
      <c r="E625" s="403">
        <v>260101420147</v>
      </c>
      <c r="F625" s="403" t="s">
        <v>87</v>
      </c>
      <c r="G625" s="403" t="s">
        <v>859</v>
      </c>
      <c r="H625" s="403">
        <v>152</v>
      </c>
      <c r="I625" s="403">
        <v>231</v>
      </c>
      <c r="J625" s="374">
        <v>231</v>
      </c>
      <c r="K625" s="403">
        <v>104</v>
      </c>
      <c r="L625" s="217">
        <v>1500</v>
      </c>
      <c r="M625" s="403" t="s">
        <v>153</v>
      </c>
      <c r="N625" s="403" t="s">
        <v>149</v>
      </c>
      <c r="O625" s="403" t="s">
        <v>154</v>
      </c>
      <c r="P625" s="403" t="s">
        <v>151</v>
      </c>
      <c r="Q625" s="403" t="s">
        <v>155</v>
      </c>
      <c r="R625" s="403" t="s">
        <v>8331</v>
      </c>
      <c r="S625" s="403"/>
      <c r="T625" s="403" t="s">
        <v>3039</v>
      </c>
      <c r="U625" s="403" t="s">
        <v>152</v>
      </c>
      <c r="V625" s="403" t="s">
        <v>18</v>
      </c>
    </row>
    <row r="626" spans="1:22">
      <c r="A626" s="6"/>
      <c r="B626" s="216">
        <v>46219</v>
      </c>
      <c r="C626" s="216">
        <v>46219</v>
      </c>
      <c r="D626" s="403" t="s">
        <v>8332</v>
      </c>
      <c r="E626" s="403">
        <v>260101420148</v>
      </c>
      <c r="F626" s="403" t="s">
        <v>87</v>
      </c>
      <c r="G626" s="403" t="s">
        <v>859</v>
      </c>
      <c r="H626" s="403">
        <v>152</v>
      </c>
      <c r="I626" s="403">
        <v>232</v>
      </c>
      <c r="J626" s="374">
        <v>232</v>
      </c>
      <c r="K626" s="403">
        <v>104</v>
      </c>
      <c r="L626" s="217">
        <v>1500</v>
      </c>
      <c r="M626" s="403" t="s">
        <v>153</v>
      </c>
      <c r="N626" s="403" t="s">
        <v>149</v>
      </c>
      <c r="O626" s="403" t="s">
        <v>154</v>
      </c>
      <c r="P626" s="403" t="s">
        <v>151</v>
      </c>
      <c r="Q626" s="403" t="s">
        <v>155</v>
      </c>
      <c r="R626" s="403" t="s">
        <v>8333</v>
      </c>
      <c r="S626" s="403"/>
      <c r="T626" s="403" t="s">
        <v>3039</v>
      </c>
      <c r="U626" s="403" t="s">
        <v>152</v>
      </c>
      <c r="V626" s="403" t="s">
        <v>18</v>
      </c>
    </row>
    <row r="627" spans="1:22">
      <c r="A627" s="6"/>
      <c r="B627" s="216">
        <v>46219</v>
      </c>
      <c r="C627" s="216">
        <v>46219</v>
      </c>
      <c r="D627" s="403" t="s">
        <v>8334</v>
      </c>
      <c r="E627" s="403">
        <v>260106820163</v>
      </c>
      <c r="F627" s="403" t="s">
        <v>87</v>
      </c>
      <c r="G627" s="403" t="s">
        <v>2425</v>
      </c>
      <c r="H627" s="403">
        <v>132</v>
      </c>
      <c r="I627" s="403">
        <v>252</v>
      </c>
      <c r="J627" s="374">
        <v>252</v>
      </c>
      <c r="K627" s="403">
        <v>92</v>
      </c>
      <c r="L627" s="217">
        <v>2150</v>
      </c>
      <c r="M627" s="403" t="s">
        <v>153</v>
      </c>
      <c r="N627" s="403" t="s">
        <v>149</v>
      </c>
      <c r="O627" s="403" t="s">
        <v>154</v>
      </c>
      <c r="P627" s="403" t="s">
        <v>151</v>
      </c>
      <c r="Q627" s="403" t="s">
        <v>155</v>
      </c>
      <c r="R627" s="403" t="s">
        <v>8335</v>
      </c>
      <c r="S627" s="403"/>
      <c r="T627" s="403" t="s">
        <v>3039</v>
      </c>
      <c r="U627" s="403" t="s">
        <v>152</v>
      </c>
      <c r="V627" s="403" t="s">
        <v>18</v>
      </c>
    </row>
    <row r="628" spans="1:22">
      <c r="A628" s="6"/>
      <c r="B628" s="216">
        <v>46219</v>
      </c>
      <c r="C628" s="216">
        <v>46219</v>
      </c>
      <c r="D628" s="403" t="s">
        <v>8336</v>
      </c>
      <c r="E628" s="403">
        <v>260100420172</v>
      </c>
      <c r="F628" s="403" t="s">
        <v>87</v>
      </c>
      <c r="G628" s="403" t="s">
        <v>2120</v>
      </c>
      <c r="H628" s="403">
        <v>182</v>
      </c>
      <c r="I628" s="403">
        <v>342</v>
      </c>
      <c r="J628" s="374">
        <v>342</v>
      </c>
      <c r="K628" s="403">
        <v>180</v>
      </c>
      <c r="L628" s="217">
        <v>530</v>
      </c>
      <c r="M628" s="403" t="s">
        <v>153</v>
      </c>
      <c r="N628" s="403" t="s">
        <v>149</v>
      </c>
      <c r="O628" s="403" t="s">
        <v>154</v>
      </c>
      <c r="P628" s="403" t="s">
        <v>151</v>
      </c>
      <c r="Q628" s="403" t="s">
        <v>155</v>
      </c>
      <c r="R628" s="403" t="s">
        <v>8337</v>
      </c>
      <c r="S628" s="403"/>
      <c r="T628" s="403" t="s">
        <v>3039</v>
      </c>
      <c r="U628" s="403" t="s">
        <v>152</v>
      </c>
      <c r="V628" s="403" t="s">
        <v>18</v>
      </c>
    </row>
    <row r="629" spans="1:22">
      <c r="A629" s="6"/>
      <c r="B629" s="216">
        <v>46219</v>
      </c>
      <c r="C629" s="216">
        <v>46219</v>
      </c>
      <c r="D629" s="403" t="s">
        <v>8338</v>
      </c>
      <c r="E629" s="403">
        <v>260103720145</v>
      </c>
      <c r="F629" s="403" t="s">
        <v>87</v>
      </c>
      <c r="G629" s="403" t="s">
        <v>2563</v>
      </c>
      <c r="H629" s="403">
        <v>95</v>
      </c>
      <c r="I629" s="403">
        <v>401</v>
      </c>
      <c r="J629" s="374">
        <v>401</v>
      </c>
      <c r="K629" s="403">
        <v>134</v>
      </c>
      <c r="L629" s="217">
        <v>1655</v>
      </c>
      <c r="M629" s="403" t="s">
        <v>153</v>
      </c>
      <c r="N629" s="403" t="s">
        <v>149</v>
      </c>
      <c r="O629" s="403" t="s">
        <v>154</v>
      </c>
      <c r="P629" s="403" t="s">
        <v>151</v>
      </c>
      <c r="Q629" s="403" t="s">
        <v>155</v>
      </c>
      <c r="R629" s="403" t="s">
        <v>8339</v>
      </c>
      <c r="S629" s="403"/>
      <c r="T629" s="403" t="s">
        <v>3039</v>
      </c>
      <c r="U629" s="403" t="s">
        <v>152</v>
      </c>
      <c r="V629" s="403" t="s">
        <v>18</v>
      </c>
    </row>
    <row r="630" spans="1:22">
      <c r="A630" s="6"/>
      <c r="B630" s="216">
        <v>46219</v>
      </c>
      <c r="C630" s="216">
        <v>46219</v>
      </c>
      <c r="D630" s="403" t="s">
        <v>8340</v>
      </c>
      <c r="E630" s="403">
        <v>260102620155</v>
      </c>
      <c r="F630" s="403" t="s">
        <v>87</v>
      </c>
      <c r="G630" s="403" t="s">
        <v>2554</v>
      </c>
      <c r="H630" s="403">
        <v>102</v>
      </c>
      <c r="I630" s="403">
        <v>252</v>
      </c>
      <c r="J630" s="374">
        <v>252</v>
      </c>
      <c r="K630" s="403">
        <v>125</v>
      </c>
      <c r="L630" s="217">
        <v>1000</v>
      </c>
      <c r="M630" s="403" t="s">
        <v>153</v>
      </c>
      <c r="N630" s="403" t="s">
        <v>149</v>
      </c>
      <c r="O630" s="403" t="s">
        <v>154</v>
      </c>
      <c r="P630" s="403" t="s">
        <v>151</v>
      </c>
      <c r="Q630" s="403" t="s">
        <v>155</v>
      </c>
      <c r="R630" s="403" t="s">
        <v>8341</v>
      </c>
      <c r="S630" s="403"/>
      <c r="T630" s="403" t="s">
        <v>3039</v>
      </c>
      <c r="U630" s="403" t="s">
        <v>152</v>
      </c>
      <c r="V630" s="403" t="s">
        <v>18</v>
      </c>
    </row>
    <row r="631" spans="1:22">
      <c r="A631" s="6"/>
      <c r="B631" s="216">
        <v>46219</v>
      </c>
      <c r="C631" s="216">
        <v>46219</v>
      </c>
      <c r="D631" s="403" t="s">
        <v>8342</v>
      </c>
      <c r="E631" s="403">
        <v>260101820161</v>
      </c>
      <c r="F631" s="403" t="s">
        <v>87</v>
      </c>
      <c r="G631" s="403" t="s">
        <v>2408</v>
      </c>
      <c r="H631" s="403">
        <v>95</v>
      </c>
      <c r="I631" s="403">
        <v>246</v>
      </c>
      <c r="J631" s="374">
        <v>246</v>
      </c>
      <c r="K631" s="403">
        <v>134</v>
      </c>
      <c r="L631" s="217">
        <v>1000</v>
      </c>
      <c r="M631" s="403" t="s">
        <v>153</v>
      </c>
      <c r="N631" s="403" t="s">
        <v>149</v>
      </c>
      <c r="O631" s="403" t="s">
        <v>154</v>
      </c>
      <c r="P631" s="403" t="s">
        <v>151</v>
      </c>
      <c r="Q631" s="403" t="s">
        <v>155</v>
      </c>
      <c r="R631" s="403" t="s">
        <v>8343</v>
      </c>
      <c r="S631" s="403"/>
      <c r="T631" s="403" t="s">
        <v>3039</v>
      </c>
      <c r="U631" s="403" t="s">
        <v>152</v>
      </c>
      <c r="V631" s="403" t="s">
        <v>18</v>
      </c>
    </row>
    <row r="632" spans="1:22">
      <c r="A632" s="6"/>
      <c r="B632" s="216">
        <v>46219</v>
      </c>
      <c r="C632" s="216">
        <v>46219</v>
      </c>
      <c r="D632" s="403" t="s">
        <v>8344</v>
      </c>
      <c r="E632" s="403">
        <v>260101420146</v>
      </c>
      <c r="F632" s="403" t="s">
        <v>87</v>
      </c>
      <c r="G632" s="403" t="s">
        <v>859</v>
      </c>
      <c r="H632" s="403">
        <v>152</v>
      </c>
      <c r="I632" s="403">
        <v>230</v>
      </c>
      <c r="J632" s="374">
        <v>230</v>
      </c>
      <c r="K632" s="403">
        <v>104</v>
      </c>
      <c r="L632" s="217">
        <v>1500</v>
      </c>
      <c r="M632" s="403" t="s">
        <v>153</v>
      </c>
      <c r="N632" s="403" t="s">
        <v>149</v>
      </c>
      <c r="O632" s="403" t="s">
        <v>154</v>
      </c>
      <c r="P632" s="403" t="s">
        <v>151</v>
      </c>
      <c r="Q632" s="403" t="s">
        <v>155</v>
      </c>
      <c r="R632" s="403" t="s">
        <v>8345</v>
      </c>
      <c r="S632" s="403"/>
      <c r="T632" s="403" t="s">
        <v>3039</v>
      </c>
      <c r="U632" s="403" t="s">
        <v>152</v>
      </c>
      <c r="V632" s="403" t="s">
        <v>18</v>
      </c>
    </row>
    <row r="633" spans="1:22">
      <c r="A633" s="6"/>
      <c r="B633" s="216">
        <v>46219</v>
      </c>
      <c r="C633" s="216">
        <v>46219</v>
      </c>
      <c r="D633" s="403" t="s">
        <v>8346</v>
      </c>
      <c r="E633" s="403">
        <v>260105220170</v>
      </c>
      <c r="F633" s="403" t="s">
        <v>87</v>
      </c>
      <c r="G633" s="403" t="s">
        <v>8347</v>
      </c>
      <c r="H633" s="403">
        <v>152</v>
      </c>
      <c r="I633" s="403">
        <v>262</v>
      </c>
      <c r="J633" s="374">
        <v>262</v>
      </c>
      <c r="K633" s="403">
        <v>104</v>
      </c>
      <c r="L633" s="217">
        <v>1750</v>
      </c>
      <c r="M633" s="403" t="s">
        <v>153</v>
      </c>
      <c r="N633" s="403" t="s">
        <v>149</v>
      </c>
      <c r="O633" s="403" t="s">
        <v>154</v>
      </c>
      <c r="P633" s="403" t="s">
        <v>151</v>
      </c>
      <c r="Q633" s="403" t="s">
        <v>155</v>
      </c>
      <c r="R633" s="403" t="s">
        <v>8348</v>
      </c>
      <c r="S633" s="403"/>
      <c r="T633" s="403" t="s">
        <v>3039</v>
      </c>
      <c r="U633" s="403" t="s">
        <v>152</v>
      </c>
      <c r="V633" s="403" t="s">
        <v>18</v>
      </c>
    </row>
    <row r="634" spans="1:22">
      <c r="A634" s="6"/>
      <c r="B634" s="216">
        <v>46219</v>
      </c>
      <c r="C634" s="216">
        <v>46219</v>
      </c>
      <c r="D634" s="403" t="s">
        <v>8349</v>
      </c>
      <c r="E634" s="403">
        <v>260103920173</v>
      </c>
      <c r="F634" s="403" t="s">
        <v>87</v>
      </c>
      <c r="G634" s="403" t="s">
        <v>2408</v>
      </c>
      <c r="H634" s="403">
        <v>95</v>
      </c>
      <c r="I634" s="403">
        <v>347</v>
      </c>
      <c r="J634" s="374">
        <v>347</v>
      </c>
      <c r="K634" s="403">
        <v>134</v>
      </c>
      <c r="L634" s="217">
        <v>1440</v>
      </c>
      <c r="M634" s="403" t="s">
        <v>153</v>
      </c>
      <c r="N634" s="403" t="s">
        <v>149</v>
      </c>
      <c r="O634" s="403" t="s">
        <v>154</v>
      </c>
      <c r="P634" s="403" t="s">
        <v>151</v>
      </c>
      <c r="Q634" s="403" t="s">
        <v>155</v>
      </c>
      <c r="R634" s="403" t="s">
        <v>8350</v>
      </c>
      <c r="S634" s="403"/>
      <c r="T634" s="403" t="s">
        <v>3039</v>
      </c>
      <c r="U634" s="403" t="s">
        <v>152</v>
      </c>
      <c r="V634" s="403" t="s">
        <v>18</v>
      </c>
    </row>
    <row r="635" spans="1:22">
      <c r="A635" s="6"/>
      <c r="B635" s="216">
        <v>46219</v>
      </c>
      <c r="C635" s="216">
        <v>46219</v>
      </c>
      <c r="D635" s="403" t="s">
        <v>8351</v>
      </c>
      <c r="E635" s="403">
        <v>260103820178</v>
      </c>
      <c r="F635" s="403" t="s">
        <v>87</v>
      </c>
      <c r="G635" s="403" t="s">
        <v>8352</v>
      </c>
      <c r="H635" s="403">
        <v>192</v>
      </c>
      <c r="I635" s="403">
        <v>280</v>
      </c>
      <c r="J635" s="374">
        <v>280</v>
      </c>
      <c r="K635" s="403">
        <v>104</v>
      </c>
      <c r="L635" s="217">
        <v>1430</v>
      </c>
      <c r="M635" s="403" t="s">
        <v>153</v>
      </c>
      <c r="N635" s="403" t="s">
        <v>149</v>
      </c>
      <c r="O635" s="403" t="s">
        <v>154</v>
      </c>
      <c r="P635" s="403" t="s">
        <v>151</v>
      </c>
      <c r="Q635" s="403" t="s">
        <v>155</v>
      </c>
      <c r="R635" s="403" t="s">
        <v>8353</v>
      </c>
      <c r="S635" s="403"/>
      <c r="T635" s="403" t="s">
        <v>3039</v>
      </c>
      <c r="U635" s="403" t="s">
        <v>152</v>
      </c>
      <c r="V635" s="403" t="s">
        <v>18</v>
      </c>
    </row>
    <row r="636" spans="1:22">
      <c r="A636" s="6"/>
      <c r="B636" s="216">
        <v>46219</v>
      </c>
      <c r="C636" s="216">
        <v>46219</v>
      </c>
      <c r="D636" s="403" t="s">
        <v>8354</v>
      </c>
      <c r="E636" s="403">
        <v>260103820179</v>
      </c>
      <c r="F636" s="403" t="s">
        <v>87</v>
      </c>
      <c r="G636" s="403" t="s">
        <v>8355</v>
      </c>
      <c r="H636" s="403">
        <v>192</v>
      </c>
      <c r="I636" s="403">
        <v>281</v>
      </c>
      <c r="J636" s="374">
        <v>281</v>
      </c>
      <c r="K636" s="403">
        <v>104</v>
      </c>
      <c r="L636" s="217">
        <v>1430</v>
      </c>
      <c r="M636" s="403" t="s">
        <v>153</v>
      </c>
      <c r="N636" s="403" t="s">
        <v>149</v>
      </c>
      <c r="O636" s="403" t="s">
        <v>154</v>
      </c>
      <c r="P636" s="403" t="s">
        <v>151</v>
      </c>
      <c r="Q636" s="403" t="s">
        <v>155</v>
      </c>
      <c r="R636" s="403" t="s">
        <v>8356</v>
      </c>
      <c r="S636" s="403"/>
      <c r="T636" s="403" t="s">
        <v>3039</v>
      </c>
      <c r="U636" s="403" t="s">
        <v>152</v>
      </c>
      <c r="V636" s="403" t="s">
        <v>18</v>
      </c>
    </row>
    <row r="637" spans="1:22">
      <c r="A637" s="6"/>
      <c r="B637" s="216">
        <v>46219</v>
      </c>
      <c r="C637" s="216">
        <v>46219</v>
      </c>
      <c r="D637" s="403" t="s">
        <v>8357</v>
      </c>
      <c r="E637" s="403">
        <v>260102920174</v>
      </c>
      <c r="F637" s="403" t="s">
        <v>87</v>
      </c>
      <c r="G637" s="403" t="s">
        <v>859</v>
      </c>
      <c r="H637" s="403">
        <v>152</v>
      </c>
      <c r="I637" s="403">
        <v>273</v>
      </c>
      <c r="J637" s="374">
        <v>273</v>
      </c>
      <c r="K637" s="403">
        <v>104</v>
      </c>
      <c r="L637" s="217">
        <v>1800</v>
      </c>
      <c r="M637" s="403" t="s">
        <v>153</v>
      </c>
      <c r="N637" s="403" t="s">
        <v>149</v>
      </c>
      <c r="O637" s="403" t="s">
        <v>154</v>
      </c>
      <c r="P637" s="403" t="s">
        <v>151</v>
      </c>
      <c r="Q637" s="403" t="s">
        <v>155</v>
      </c>
      <c r="R637" s="403" t="s">
        <v>8358</v>
      </c>
      <c r="S637" s="403"/>
      <c r="T637" s="403" t="s">
        <v>3039</v>
      </c>
      <c r="U637" s="403" t="s">
        <v>152</v>
      </c>
      <c r="V637" s="403" t="s">
        <v>18</v>
      </c>
    </row>
    <row r="638" spans="1:22">
      <c r="A638" s="6"/>
      <c r="B638" s="216">
        <v>46219</v>
      </c>
      <c r="C638" s="216">
        <v>46219</v>
      </c>
      <c r="D638" s="403" t="s">
        <v>8359</v>
      </c>
      <c r="E638" s="403">
        <v>260102920175</v>
      </c>
      <c r="F638" s="403" t="s">
        <v>87</v>
      </c>
      <c r="G638" s="403" t="s">
        <v>859</v>
      </c>
      <c r="H638" s="403">
        <v>152</v>
      </c>
      <c r="I638" s="403">
        <v>277</v>
      </c>
      <c r="J638" s="374">
        <v>277</v>
      </c>
      <c r="K638" s="403">
        <v>104</v>
      </c>
      <c r="L638" s="217">
        <v>1800</v>
      </c>
      <c r="M638" s="403" t="s">
        <v>153</v>
      </c>
      <c r="N638" s="403" t="s">
        <v>149</v>
      </c>
      <c r="O638" s="403" t="s">
        <v>154</v>
      </c>
      <c r="P638" s="403" t="s">
        <v>151</v>
      </c>
      <c r="Q638" s="403" t="s">
        <v>155</v>
      </c>
      <c r="R638" s="403" t="s">
        <v>8360</v>
      </c>
      <c r="S638" s="403"/>
      <c r="T638" s="403" t="s">
        <v>3039</v>
      </c>
      <c r="U638" s="403" t="s">
        <v>152</v>
      </c>
      <c r="V638" s="403" t="s">
        <v>18</v>
      </c>
    </row>
    <row r="639" spans="1:22">
      <c r="A639" s="6"/>
      <c r="B639" s="216">
        <v>46219</v>
      </c>
      <c r="C639" s="216">
        <v>46219</v>
      </c>
      <c r="D639" s="403" t="s">
        <v>8361</v>
      </c>
      <c r="E639" s="403">
        <v>260102820177</v>
      </c>
      <c r="F639" s="403" t="s">
        <v>87</v>
      </c>
      <c r="G639" s="403" t="s">
        <v>2554</v>
      </c>
      <c r="H639" s="403">
        <v>102</v>
      </c>
      <c r="I639" s="403">
        <v>244</v>
      </c>
      <c r="J639" s="374">
        <v>244</v>
      </c>
      <c r="K639" s="403">
        <v>125</v>
      </c>
      <c r="L639" s="217">
        <v>1000</v>
      </c>
      <c r="M639" s="403" t="s">
        <v>153</v>
      </c>
      <c r="N639" s="403" t="s">
        <v>149</v>
      </c>
      <c r="O639" s="403" t="s">
        <v>154</v>
      </c>
      <c r="P639" s="403" t="s">
        <v>151</v>
      </c>
      <c r="Q639" s="403" t="s">
        <v>155</v>
      </c>
      <c r="R639" s="403" t="s">
        <v>8362</v>
      </c>
      <c r="S639" s="403"/>
      <c r="T639" s="403" t="s">
        <v>3039</v>
      </c>
      <c r="U639" s="403" t="s">
        <v>152</v>
      </c>
      <c r="V639" s="403" t="s">
        <v>18</v>
      </c>
    </row>
    <row r="640" spans="1:22">
      <c r="A640" s="6"/>
      <c r="B640" s="216">
        <v>46219</v>
      </c>
      <c r="C640" s="216">
        <v>46219</v>
      </c>
      <c r="D640" s="403" t="s">
        <v>8363</v>
      </c>
      <c r="E640" s="403">
        <v>260101820186</v>
      </c>
      <c r="F640" s="403" t="s">
        <v>87</v>
      </c>
      <c r="G640" s="403" t="s">
        <v>2408</v>
      </c>
      <c r="H640" s="403">
        <v>95</v>
      </c>
      <c r="I640" s="403">
        <v>243</v>
      </c>
      <c r="J640" s="374">
        <v>243</v>
      </c>
      <c r="K640" s="403">
        <v>134</v>
      </c>
      <c r="L640" s="217">
        <v>1000</v>
      </c>
      <c r="M640" s="403" t="s">
        <v>153</v>
      </c>
      <c r="N640" s="403" t="s">
        <v>149</v>
      </c>
      <c r="O640" s="403" t="s">
        <v>154</v>
      </c>
      <c r="P640" s="403" t="s">
        <v>151</v>
      </c>
      <c r="Q640" s="403" t="s">
        <v>155</v>
      </c>
      <c r="R640" s="403" t="s">
        <v>8364</v>
      </c>
      <c r="S640" s="403"/>
      <c r="T640" s="403" t="s">
        <v>3039</v>
      </c>
      <c r="U640" s="403" t="s">
        <v>152</v>
      </c>
      <c r="V640" s="403" t="s">
        <v>18</v>
      </c>
    </row>
    <row r="641" spans="1:22">
      <c r="A641" s="6"/>
      <c r="B641" s="216">
        <v>46219</v>
      </c>
      <c r="C641" s="216">
        <v>46219</v>
      </c>
      <c r="D641" s="403" t="s">
        <v>8365</v>
      </c>
      <c r="E641" s="403">
        <v>260105219989</v>
      </c>
      <c r="F641" s="403" t="s">
        <v>87</v>
      </c>
      <c r="G641" s="403" t="s">
        <v>8023</v>
      </c>
      <c r="H641" s="403" t="s">
        <v>7271</v>
      </c>
      <c r="I641" s="403">
        <v>463</v>
      </c>
      <c r="J641" s="374">
        <v>463</v>
      </c>
      <c r="K641" s="403">
        <v>107</v>
      </c>
      <c r="L641" s="217">
        <v>2670</v>
      </c>
      <c r="M641" s="403" t="s">
        <v>153</v>
      </c>
      <c r="N641" s="403" t="s">
        <v>149</v>
      </c>
      <c r="O641" s="403" t="s">
        <v>154</v>
      </c>
      <c r="P641" s="403" t="s">
        <v>151</v>
      </c>
      <c r="Q641" s="403" t="s">
        <v>156</v>
      </c>
      <c r="R641" s="403" t="s">
        <v>8366</v>
      </c>
      <c r="S641" s="403"/>
      <c r="T641" s="403" t="s">
        <v>3039</v>
      </c>
      <c r="U641" s="403" t="s">
        <v>152</v>
      </c>
      <c r="V641" s="403" t="s">
        <v>20</v>
      </c>
    </row>
    <row r="642" spans="1:22">
      <c r="A642" s="6"/>
      <c r="B642" s="216">
        <v>46219</v>
      </c>
      <c r="C642" s="216">
        <v>46219</v>
      </c>
      <c r="D642" s="403" t="s">
        <v>8367</v>
      </c>
      <c r="E642" s="403">
        <v>260105220097</v>
      </c>
      <c r="F642" s="403" t="s">
        <v>87</v>
      </c>
      <c r="G642" s="403" t="s">
        <v>8023</v>
      </c>
      <c r="H642" s="403" t="s">
        <v>7271</v>
      </c>
      <c r="I642" s="403">
        <v>569</v>
      </c>
      <c r="J642" s="374">
        <v>569</v>
      </c>
      <c r="K642" s="403">
        <v>107</v>
      </c>
      <c r="L642" s="217">
        <v>3150</v>
      </c>
      <c r="M642" s="403" t="s">
        <v>153</v>
      </c>
      <c r="N642" s="403" t="s">
        <v>149</v>
      </c>
      <c r="O642" s="403" t="s">
        <v>154</v>
      </c>
      <c r="P642" s="403" t="s">
        <v>151</v>
      </c>
      <c r="Q642" s="403" t="s">
        <v>156</v>
      </c>
      <c r="R642" s="403" t="s">
        <v>8368</v>
      </c>
      <c r="S642" s="403"/>
      <c r="T642" s="403" t="s">
        <v>3039</v>
      </c>
      <c r="U642" s="403" t="s">
        <v>152</v>
      </c>
      <c r="V642" s="403" t="s">
        <v>20</v>
      </c>
    </row>
    <row r="643" spans="1:22">
      <c r="A643" s="6"/>
      <c r="B643" s="216">
        <v>46219</v>
      </c>
      <c r="C643" s="216">
        <v>46219</v>
      </c>
      <c r="D643" s="403" t="s">
        <v>8369</v>
      </c>
      <c r="E643" s="403" t="s">
        <v>8370</v>
      </c>
      <c r="F643" s="403" t="s">
        <v>87</v>
      </c>
      <c r="G643" s="403" t="s">
        <v>2659</v>
      </c>
      <c r="H643" s="403" t="s">
        <v>2253</v>
      </c>
      <c r="I643" s="403">
        <v>486</v>
      </c>
      <c r="J643" s="374">
        <v>486</v>
      </c>
      <c r="K643" s="403">
        <v>92</v>
      </c>
      <c r="L643" s="217">
        <v>6700</v>
      </c>
      <c r="M643" s="403" t="s">
        <v>153</v>
      </c>
      <c r="N643" s="403" t="s">
        <v>149</v>
      </c>
      <c r="O643" s="403" t="s">
        <v>154</v>
      </c>
      <c r="P643" s="403" t="s">
        <v>151</v>
      </c>
      <c r="Q643" s="403" t="s">
        <v>156</v>
      </c>
      <c r="R643" s="403" t="s">
        <v>8371</v>
      </c>
      <c r="S643" s="403"/>
      <c r="T643" s="403" t="s">
        <v>3039</v>
      </c>
      <c r="U643" s="403" t="s">
        <v>152</v>
      </c>
      <c r="V643" s="403" t="s">
        <v>20</v>
      </c>
    </row>
    <row r="644" spans="1:22">
      <c r="A644" s="6"/>
      <c r="B644" s="216">
        <v>46219</v>
      </c>
      <c r="C644" s="216">
        <v>46219</v>
      </c>
      <c r="D644" s="403" t="s">
        <v>8372</v>
      </c>
      <c r="E644" s="403">
        <v>260102720234</v>
      </c>
      <c r="F644" s="403" t="s">
        <v>87</v>
      </c>
      <c r="G644" s="403" t="s">
        <v>2554</v>
      </c>
      <c r="H644" s="403">
        <v>102</v>
      </c>
      <c r="I644" s="403">
        <v>243</v>
      </c>
      <c r="J644" s="374">
        <v>243</v>
      </c>
      <c r="K644" s="403">
        <v>125</v>
      </c>
      <c r="L644" s="217">
        <v>1000</v>
      </c>
      <c r="M644" s="403" t="s">
        <v>153</v>
      </c>
      <c r="N644" s="403" t="s">
        <v>149</v>
      </c>
      <c r="O644" s="403" t="s">
        <v>154</v>
      </c>
      <c r="P644" s="403" t="s">
        <v>151</v>
      </c>
      <c r="Q644" s="403" t="s">
        <v>155</v>
      </c>
      <c r="R644" s="403" t="s">
        <v>8373</v>
      </c>
      <c r="S644" s="403"/>
      <c r="T644" s="403" t="s">
        <v>3041</v>
      </c>
      <c r="U644" s="403" t="s">
        <v>152</v>
      </c>
      <c r="V644" s="403" t="s">
        <v>18</v>
      </c>
    </row>
    <row r="645" spans="1:22">
      <c r="A645" s="6"/>
      <c r="B645" s="216">
        <v>46219</v>
      </c>
      <c r="C645" s="216">
        <v>46219</v>
      </c>
      <c r="D645" s="403" t="s">
        <v>8374</v>
      </c>
      <c r="E645" s="403">
        <v>260102820207</v>
      </c>
      <c r="F645" s="403" t="s">
        <v>87</v>
      </c>
      <c r="G645" s="403" t="s">
        <v>2554</v>
      </c>
      <c r="H645" s="403">
        <v>102</v>
      </c>
      <c r="I645" s="403">
        <v>240</v>
      </c>
      <c r="J645" s="374">
        <v>240</v>
      </c>
      <c r="K645" s="403">
        <v>125</v>
      </c>
      <c r="L645" s="217">
        <v>1000</v>
      </c>
      <c r="M645" s="403" t="s">
        <v>153</v>
      </c>
      <c r="N645" s="403" t="s">
        <v>149</v>
      </c>
      <c r="O645" s="403" t="s">
        <v>154</v>
      </c>
      <c r="P645" s="403" t="s">
        <v>151</v>
      </c>
      <c r="Q645" s="403" t="s">
        <v>155</v>
      </c>
      <c r="R645" s="403" t="s">
        <v>8375</v>
      </c>
      <c r="S645" s="403"/>
      <c r="T645" s="403" t="s">
        <v>3041</v>
      </c>
      <c r="U645" s="403" t="s">
        <v>152</v>
      </c>
      <c r="V645" s="403" t="s">
        <v>18</v>
      </c>
    </row>
    <row r="646" spans="1:22">
      <c r="A646" s="6"/>
      <c r="B646" s="216">
        <v>46219</v>
      </c>
      <c r="C646" s="216">
        <v>46219</v>
      </c>
      <c r="D646" s="403" t="s">
        <v>8376</v>
      </c>
      <c r="E646" s="403">
        <v>260101520233</v>
      </c>
      <c r="F646" s="403" t="s">
        <v>87</v>
      </c>
      <c r="G646" s="403" t="s">
        <v>2120</v>
      </c>
      <c r="H646" s="403">
        <v>92</v>
      </c>
      <c r="I646" s="403">
        <v>339</v>
      </c>
      <c r="J646" s="374">
        <v>339</v>
      </c>
      <c r="K646" s="403">
        <v>180</v>
      </c>
      <c r="L646" s="217">
        <v>1050</v>
      </c>
      <c r="M646" s="403" t="s">
        <v>153</v>
      </c>
      <c r="N646" s="403" t="s">
        <v>149</v>
      </c>
      <c r="O646" s="403" t="s">
        <v>154</v>
      </c>
      <c r="P646" s="403" t="s">
        <v>151</v>
      </c>
      <c r="Q646" s="403" t="s">
        <v>155</v>
      </c>
      <c r="R646" s="403" t="s">
        <v>8377</v>
      </c>
      <c r="S646" s="403"/>
      <c r="T646" s="403" t="s">
        <v>3041</v>
      </c>
      <c r="U646" s="403" t="s">
        <v>152</v>
      </c>
      <c r="V646" s="403" t="s">
        <v>18</v>
      </c>
    </row>
    <row r="647" spans="1:22">
      <c r="A647" s="6"/>
      <c r="B647" s="216">
        <v>46219</v>
      </c>
      <c r="C647" s="216">
        <v>46219</v>
      </c>
      <c r="D647" s="403" t="s">
        <v>8378</v>
      </c>
      <c r="E647" s="403">
        <v>260107420251</v>
      </c>
      <c r="F647" s="403" t="s">
        <v>87</v>
      </c>
      <c r="G647" s="403" t="s">
        <v>2562</v>
      </c>
      <c r="H647" s="403">
        <v>125</v>
      </c>
      <c r="I647" s="403">
        <v>194</v>
      </c>
      <c r="J647" s="374">
        <v>194</v>
      </c>
      <c r="K647" s="403">
        <v>97</v>
      </c>
      <c r="L647" s="217">
        <v>1570</v>
      </c>
      <c r="M647" s="403" t="s">
        <v>153</v>
      </c>
      <c r="N647" s="403" t="s">
        <v>149</v>
      </c>
      <c r="O647" s="403" t="s">
        <v>154</v>
      </c>
      <c r="P647" s="403" t="s">
        <v>151</v>
      </c>
      <c r="Q647" s="403" t="s">
        <v>155</v>
      </c>
      <c r="R647" s="403" t="s">
        <v>8379</v>
      </c>
      <c r="S647" s="403"/>
      <c r="T647" s="403" t="s">
        <v>3041</v>
      </c>
      <c r="U647" s="403" t="s">
        <v>152</v>
      </c>
      <c r="V647" s="403" t="s">
        <v>18</v>
      </c>
    </row>
    <row r="648" spans="1:22">
      <c r="A648" s="6"/>
      <c r="B648" s="216">
        <v>46219</v>
      </c>
      <c r="C648" s="216">
        <v>46219</v>
      </c>
      <c r="D648" s="403" t="s">
        <v>8380</v>
      </c>
      <c r="E648" s="403">
        <v>260100920253</v>
      </c>
      <c r="F648" s="403" t="s">
        <v>87</v>
      </c>
      <c r="G648" s="403" t="s">
        <v>7130</v>
      </c>
      <c r="H648" s="403">
        <v>182</v>
      </c>
      <c r="I648" s="403">
        <v>429</v>
      </c>
      <c r="J648" s="374">
        <v>429</v>
      </c>
      <c r="K648" s="403">
        <v>190</v>
      </c>
      <c r="L648" s="217">
        <v>635</v>
      </c>
      <c r="M648" s="403" t="s">
        <v>153</v>
      </c>
      <c r="N648" s="403" t="s">
        <v>149</v>
      </c>
      <c r="O648" s="403" t="s">
        <v>154</v>
      </c>
      <c r="P648" s="403" t="s">
        <v>151</v>
      </c>
      <c r="Q648" s="403" t="s">
        <v>155</v>
      </c>
      <c r="R648" s="403" t="s">
        <v>8381</v>
      </c>
      <c r="S648" s="403"/>
      <c r="T648" s="403" t="s">
        <v>3041</v>
      </c>
      <c r="U648" s="403" t="s">
        <v>152</v>
      </c>
      <c r="V648" s="403" t="s">
        <v>18</v>
      </c>
    </row>
    <row r="649" spans="1:22">
      <c r="A649" s="6"/>
      <c r="B649" s="216">
        <v>46219</v>
      </c>
      <c r="C649" s="216">
        <v>46219</v>
      </c>
      <c r="D649" s="403" t="s">
        <v>8382</v>
      </c>
      <c r="E649" s="403">
        <v>260101620235</v>
      </c>
      <c r="F649" s="403" t="s">
        <v>87</v>
      </c>
      <c r="G649" s="403" t="s">
        <v>2642</v>
      </c>
      <c r="H649" s="403">
        <v>112</v>
      </c>
      <c r="I649" s="403">
        <v>354</v>
      </c>
      <c r="J649" s="374">
        <v>354</v>
      </c>
      <c r="K649" s="403">
        <v>160</v>
      </c>
      <c r="L649" s="217">
        <v>1000</v>
      </c>
      <c r="M649" s="403" t="s">
        <v>153</v>
      </c>
      <c r="N649" s="403" t="s">
        <v>149</v>
      </c>
      <c r="O649" s="403" t="s">
        <v>154</v>
      </c>
      <c r="P649" s="403" t="s">
        <v>151</v>
      </c>
      <c r="Q649" s="403" t="s">
        <v>155</v>
      </c>
      <c r="R649" s="403" t="s">
        <v>8383</v>
      </c>
      <c r="S649" s="403"/>
      <c r="T649" s="403" t="s">
        <v>3041</v>
      </c>
      <c r="U649" s="403" t="s">
        <v>152</v>
      </c>
      <c r="V649" s="403" t="s">
        <v>18</v>
      </c>
    </row>
    <row r="650" spans="1:22">
      <c r="A650" s="6"/>
      <c r="B650" s="216">
        <v>46219</v>
      </c>
      <c r="C650" s="216">
        <v>46219</v>
      </c>
      <c r="D650" s="403" t="s">
        <v>8384</v>
      </c>
      <c r="E650" s="403">
        <v>260101720236</v>
      </c>
      <c r="F650" s="403" t="s">
        <v>87</v>
      </c>
      <c r="G650" s="403" t="s">
        <v>2408</v>
      </c>
      <c r="H650" s="403">
        <v>95</v>
      </c>
      <c r="I650" s="403">
        <v>255</v>
      </c>
      <c r="J650" s="374">
        <v>255</v>
      </c>
      <c r="K650" s="403">
        <v>134</v>
      </c>
      <c r="L650" s="217">
        <v>1020</v>
      </c>
      <c r="M650" s="403" t="s">
        <v>153</v>
      </c>
      <c r="N650" s="403" t="s">
        <v>149</v>
      </c>
      <c r="O650" s="403" t="s">
        <v>154</v>
      </c>
      <c r="P650" s="403" t="s">
        <v>151</v>
      </c>
      <c r="Q650" s="403" t="s">
        <v>155</v>
      </c>
      <c r="R650" s="403" t="s">
        <v>8385</v>
      </c>
      <c r="S650" s="403"/>
      <c r="T650" s="403" t="s">
        <v>3041</v>
      </c>
      <c r="U650" s="403" t="s">
        <v>152</v>
      </c>
      <c r="V650" s="403" t="s">
        <v>18</v>
      </c>
    </row>
    <row r="651" spans="1:22">
      <c r="A651" s="6"/>
      <c r="B651" s="216">
        <v>46219</v>
      </c>
      <c r="C651" s="216">
        <v>46219</v>
      </c>
      <c r="D651" s="403" t="s">
        <v>8386</v>
      </c>
      <c r="E651" s="403">
        <v>260105720246</v>
      </c>
      <c r="F651" s="403" t="s">
        <v>87</v>
      </c>
      <c r="G651" s="403" t="s">
        <v>2310</v>
      </c>
      <c r="H651" s="403">
        <v>142</v>
      </c>
      <c r="I651" s="403">
        <v>183</v>
      </c>
      <c r="J651" s="374">
        <v>183</v>
      </c>
      <c r="K651" s="403">
        <v>87</v>
      </c>
      <c r="L651" s="217">
        <v>1460</v>
      </c>
      <c r="M651" s="403" t="s">
        <v>153</v>
      </c>
      <c r="N651" s="403" t="s">
        <v>149</v>
      </c>
      <c r="O651" s="403" t="s">
        <v>154</v>
      </c>
      <c r="P651" s="403" t="s">
        <v>151</v>
      </c>
      <c r="Q651" s="403" t="s">
        <v>155</v>
      </c>
      <c r="R651" s="403" t="s">
        <v>8387</v>
      </c>
      <c r="S651" s="403"/>
      <c r="T651" s="403" t="s">
        <v>3041</v>
      </c>
      <c r="U651" s="403" t="s">
        <v>152</v>
      </c>
      <c r="V651" s="403" t="s">
        <v>18</v>
      </c>
    </row>
    <row r="652" spans="1:22">
      <c r="A652" s="6"/>
      <c r="B652" s="216">
        <v>46219</v>
      </c>
      <c r="C652" s="216">
        <v>46219</v>
      </c>
      <c r="D652" s="403" t="s">
        <v>8388</v>
      </c>
      <c r="E652" s="403">
        <v>260101820239</v>
      </c>
      <c r="F652" s="403" t="s">
        <v>87</v>
      </c>
      <c r="G652" s="403" t="s">
        <v>2408</v>
      </c>
      <c r="H652" s="403">
        <v>95</v>
      </c>
      <c r="I652" s="403">
        <v>246</v>
      </c>
      <c r="J652" s="374">
        <v>246</v>
      </c>
      <c r="K652" s="403">
        <v>134</v>
      </c>
      <c r="L652" s="217">
        <v>1000</v>
      </c>
      <c r="M652" s="403" t="s">
        <v>153</v>
      </c>
      <c r="N652" s="403" t="s">
        <v>149</v>
      </c>
      <c r="O652" s="403" t="s">
        <v>154</v>
      </c>
      <c r="P652" s="403" t="s">
        <v>151</v>
      </c>
      <c r="Q652" s="403" t="s">
        <v>155</v>
      </c>
      <c r="R652" s="403" t="s">
        <v>8389</v>
      </c>
      <c r="S652" s="403"/>
      <c r="T652" s="403" t="s">
        <v>3041</v>
      </c>
      <c r="U652" s="403" t="s">
        <v>152</v>
      </c>
      <c r="V652" s="403" t="s">
        <v>18</v>
      </c>
    </row>
    <row r="653" spans="1:22">
      <c r="A653" s="6"/>
      <c r="B653" s="216">
        <v>46219</v>
      </c>
      <c r="C653" s="216">
        <v>46219</v>
      </c>
      <c r="D653" s="403" t="s">
        <v>8390</v>
      </c>
      <c r="E653" s="403">
        <v>260101620200</v>
      </c>
      <c r="F653" s="403" t="s">
        <v>87</v>
      </c>
      <c r="G653" s="403" t="s">
        <v>2642</v>
      </c>
      <c r="H653" s="403">
        <v>112</v>
      </c>
      <c r="I653" s="403">
        <v>292</v>
      </c>
      <c r="J653" s="374">
        <v>292</v>
      </c>
      <c r="K653" s="403">
        <v>160</v>
      </c>
      <c r="L653" s="217">
        <v>815</v>
      </c>
      <c r="M653" s="403" t="s">
        <v>153</v>
      </c>
      <c r="N653" s="403" t="s">
        <v>149</v>
      </c>
      <c r="O653" s="403" t="s">
        <v>154</v>
      </c>
      <c r="P653" s="403" t="s">
        <v>151</v>
      </c>
      <c r="Q653" s="403" t="s">
        <v>155</v>
      </c>
      <c r="R653" s="403" t="s">
        <v>8391</v>
      </c>
      <c r="S653" s="403"/>
      <c r="T653" s="403" t="s">
        <v>3041</v>
      </c>
      <c r="U653" s="403" t="s">
        <v>152</v>
      </c>
      <c r="V653" s="403" t="s">
        <v>18</v>
      </c>
    </row>
    <row r="654" spans="1:22">
      <c r="A654" s="6"/>
      <c r="B654" s="216">
        <v>46219</v>
      </c>
      <c r="C654" s="216">
        <v>46219</v>
      </c>
      <c r="D654" s="403" t="s">
        <v>8392</v>
      </c>
      <c r="E654" s="403">
        <v>260100720201</v>
      </c>
      <c r="F654" s="403" t="s">
        <v>87</v>
      </c>
      <c r="G654" s="403" t="s">
        <v>2518</v>
      </c>
      <c r="H654" s="403">
        <v>132</v>
      </c>
      <c r="I654" s="403">
        <v>357</v>
      </c>
      <c r="J654" s="374">
        <v>357</v>
      </c>
      <c r="K654" s="403">
        <v>150</v>
      </c>
      <c r="L654" s="217">
        <v>910</v>
      </c>
      <c r="M654" s="403" t="s">
        <v>153</v>
      </c>
      <c r="N654" s="403" t="s">
        <v>149</v>
      </c>
      <c r="O654" s="403" t="s">
        <v>154</v>
      </c>
      <c r="P654" s="403" t="s">
        <v>151</v>
      </c>
      <c r="Q654" s="403" t="s">
        <v>155</v>
      </c>
      <c r="R654" s="403" t="s">
        <v>8393</v>
      </c>
      <c r="S654" s="403"/>
      <c r="T654" s="403" t="s">
        <v>3041</v>
      </c>
      <c r="U654" s="403" t="s">
        <v>152</v>
      </c>
      <c r="V654" s="403" t="s">
        <v>18</v>
      </c>
    </row>
    <row r="655" spans="1:22">
      <c r="A655" s="6"/>
      <c r="B655" s="216">
        <v>46219</v>
      </c>
      <c r="C655" s="216">
        <v>46219</v>
      </c>
      <c r="D655" s="403" t="s">
        <v>8394</v>
      </c>
      <c r="E655" s="403">
        <v>260103320210</v>
      </c>
      <c r="F655" s="403" t="s">
        <v>87</v>
      </c>
      <c r="G655" s="403" t="s">
        <v>2310</v>
      </c>
      <c r="H655" s="403">
        <v>172</v>
      </c>
      <c r="I655" s="403">
        <v>268</v>
      </c>
      <c r="J655" s="374">
        <v>268</v>
      </c>
      <c r="K655" s="403">
        <v>87</v>
      </c>
      <c r="L655" s="217">
        <v>1840</v>
      </c>
      <c r="M655" s="403" t="s">
        <v>153</v>
      </c>
      <c r="N655" s="403" t="s">
        <v>149</v>
      </c>
      <c r="O655" s="403" t="s">
        <v>154</v>
      </c>
      <c r="P655" s="403" t="s">
        <v>151</v>
      </c>
      <c r="Q655" s="403" t="s">
        <v>155</v>
      </c>
      <c r="R655" s="403" t="s">
        <v>8395</v>
      </c>
      <c r="S655" s="403"/>
      <c r="T655" s="403" t="s">
        <v>3041</v>
      </c>
      <c r="U655" s="403" t="s">
        <v>152</v>
      </c>
      <c r="V655" s="403" t="s">
        <v>18</v>
      </c>
    </row>
    <row r="656" spans="1:22">
      <c r="A656" s="6"/>
      <c r="B656" s="216">
        <v>46219</v>
      </c>
      <c r="C656" s="216">
        <v>46219</v>
      </c>
      <c r="D656" s="403" t="s">
        <v>8396</v>
      </c>
      <c r="E656" s="403">
        <v>260103720203</v>
      </c>
      <c r="F656" s="403" t="s">
        <v>87</v>
      </c>
      <c r="G656" s="403" t="s">
        <v>2563</v>
      </c>
      <c r="H656" s="403">
        <v>95</v>
      </c>
      <c r="I656" s="403">
        <v>357</v>
      </c>
      <c r="J656" s="374">
        <v>357</v>
      </c>
      <c r="K656" s="403">
        <v>134</v>
      </c>
      <c r="L656" s="217">
        <v>1460</v>
      </c>
      <c r="M656" s="403" t="s">
        <v>153</v>
      </c>
      <c r="N656" s="403" t="s">
        <v>149</v>
      </c>
      <c r="O656" s="403" t="s">
        <v>154</v>
      </c>
      <c r="P656" s="403" t="s">
        <v>151</v>
      </c>
      <c r="Q656" s="403" t="s">
        <v>155</v>
      </c>
      <c r="R656" s="403" t="s">
        <v>8397</v>
      </c>
      <c r="S656" s="403"/>
      <c r="T656" s="403" t="s">
        <v>3041</v>
      </c>
      <c r="U656" s="403" t="s">
        <v>152</v>
      </c>
      <c r="V656" s="403" t="s">
        <v>18</v>
      </c>
    </row>
    <row r="657" spans="1:22">
      <c r="A657" s="6"/>
      <c r="B657" s="216">
        <v>46219</v>
      </c>
      <c r="C657" s="216">
        <v>46219</v>
      </c>
      <c r="D657" s="403" t="s">
        <v>8398</v>
      </c>
      <c r="E657" s="403">
        <v>260101920240</v>
      </c>
      <c r="F657" s="403" t="s">
        <v>87</v>
      </c>
      <c r="G657" s="403" t="s">
        <v>2563</v>
      </c>
      <c r="H657" s="403">
        <v>95</v>
      </c>
      <c r="I657" s="403">
        <v>239</v>
      </c>
      <c r="J657" s="374">
        <v>239</v>
      </c>
      <c r="K657" s="403">
        <v>134</v>
      </c>
      <c r="L657" s="217">
        <v>1000</v>
      </c>
      <c r="M657" s="403" t="s">
        <v>153</v>
      </c>
      <c r="N657" s="403" t="s">
        <v>149</v>
      </c>
      <c r="O657" s="403" t="s">
        <v>154</v>
      </c>
      <c r="P657" s="403" t="s">
        <v>151</v>
      </c>
      <c r="Q657" s="403" t="s">
        <v>155</v>
      </c>
      <c r="R657" s="403" t="s">
        <v>8399</v>
      </c>
      <c r="S657" s="403"/>
      <c r="T657" s="403" t="s">
        <v>3041</v>
      </c>
      <c r="U657" s="403" t="s">
        <v>152</v>
      </c>
      <c r="V657" s="403" t="s">
        <v>18</v>
      </c>
    </row>
    <row r="658" spans="1:22">
      <c r="A658" s="6"/>
      <c r="B658" s="216">
        <v>46219</v>
      </c>
      <c r="C658" s="216">
        <v>46219</v>
      </c>
      <c r="D658" s="403" t="s">
        <v>8400</v>
      </c>
      <c r="E658" s="403">
        <v>260107020252</v>
      </c>
      <c r="F658" s="403" t="s">
        <v>87</v>
      </c>
      <c r="G658" s="403" t="s">
        <v>2310</v>
      </c>
      <c r="H658" s="403">
        <v>125</v>
      </c>
      <c r="I658" s="403">
        <v>242</v>
      </c>
      <c r="J658" s="374">
        <v>242</v>
      </c>
      <c r="K658" s="403">
        <v>87</v>
      </c>
      <c r="L658" s="217">
        <v>2240</v>
      </c>
      <c r="M658" s="403" t="s">
        <v>153</v>
      </c>
      <c r="N658" s="403" t="s">
        <v>149</v>
      </c>
      <c r="O658" s="403" t="s">
        <v>154</v>
      </c>
      <c r="P658" s="403" t="s">
        <v>151</v>
      </c>
      <c r="Q658" s="403" t="s">
        <v>155</v>
      </c>
      <c r="R658" s="403" t="s">
        <v>8401</v>
      </c>
      <c r="S658" s="403"/>
      <c r="T658" s="403" t="s">
        <v>3041</v>
      </c>
      <c r="U658" s="403" t="s">
        <v>152</v>
      </c>
      <c r="V658" s="403" t="s">
        <v>18</v>
      </c>
    </row>
    <row r="659" spans="1:22">
      <c r="A659" s="6"/>
      <c r="B659" s="216">
        <v>46219</v>
      </c>
      <c r="C659" s="216">
        <v>46219</v>
      </c>
      <c r="D659" s="403" t="s">
        <v>8402</v>
      </c>
      <c r="E659" s="403">
        <v>260103420209</v>
      </c>
      <c r="F659" s="403" t="s">
        <v>87</v>
      </c>
      <c r="G659" s="403" t="s">
        <v>859</v>
      </c>
      <c r="H659" s="403">
        <v>152</v>
      </c>
      <c r="I659" s="403">
        <v>295</v>
      </c>
      <c r="J659" s="374">
        <v>295</v>
      </c>
      <c r="K659" s="403">
        <v>104</v>
      </c>
      <c r="L659" s="217">
        <v>1930</v>
      </c>
      <c r="M659" s="403" t="s">
        <v>153</v>
      </c>
      <c r="N659" s="403" t="s">
        <v>149</v>
      </c>
      <c r="O659" s="403" t="s">
        <v>154</v>
      </c>
      <c r="P659" s="403" t="s">
        <v>151</v>
      </c>
      <c r="Q659" s="403" t="s">
        <v>155</v>
      </c>
      <c r="R659" s="403" t="s">
        <v>8403</v>
      </c>
      <c r="S659" s="403"/>
      <c r="T659" s="403" t="s">
        <v>3041</v>
      </c>
      <c r="U659" s="403" t="s">
        <v>152</v>
      </c>
      <c r="V659" s="403" t="s">
        <v>18</v>
      </c>
    </row>
    <row r="660" spans="1:22">
      <c r="A660" s="6"/>
      <c r="B660" s="216">
        <v>46219</v>
      </c>
      <c r="C660" s="216">
        <v>46219</v>
      </c>
      <c r="D660" s="403" t="s">
        <v>8404</v>
      </c>
      <c r="E660" s="403">
        <v>260104620212</v>
      </c>
      <c r="F660" s="403" t="s">
        <v>87</v>
      </c>
      <c r="G660" s="403" t="s">
        <v>859</v>
      </c>
      <c r="H660" s="403">
        <v>152</v>
      </c>
      <c r="I660" s="403">
        <v>276</v>
      </c>
      <c r="J660" s="374">
        <v>276</v>
      </c>
      <c r="K660" s="403">
        <v>104</v>
      </c>
      <c r="L660" s="217">
        <v>1830</v>
      </c>
      <c r="M660" s="403" t="s">
        <v>153</v>
      </c>
      <c r="N660" s="403" t="s">
        <v>149</v>
      </c>
      <c r="O660" s="403" t="s">
        <v>154</v>
      </c>
      <c r="P660" s="403" t="s">
        <v>151</v>
      </c>
      <c r="Q660" s="403" t="s">
        <v>155</v>
      </c>
      <c r="R660" s="403" t="s">
        <v>8405</v>
      </c>
      <c r="S660" s="403"/>
      <c r="T660" s="403" t="s">
        <v>3041</v>
      </c>
      <c r="U660" s="403" t="s">
        <v>152</v>
      </c>
      <c r="V660" s="403" t="s">
        <v>18</v>
      </c>
    </row>
    <row r="661" spans="1:22">
      <c r="A661" s="6"/>
      <c r="B661" s="216">
        <v>46219</v>
      </c>
      <c r="C661" s="216">
        <v>46219</v>
      </c>
      <c r="D661" s="403" t="s">
        <v>8406</v>
      </c>
      <c r="E661" s="403">
        <v>260105820215</v>
      </c>
      <c r="F661" s="403" t="s">
        <v>87</v>
      </c>
      <c r="G661" s="403" t="s">
        <v>2646</v>
      </c>
      <c r="H661" s="403">
        <v>152</v>
      </c>
      <c r="I661" s="403">
        <v>283</v>
      </c>
      <c r="J661" s="374">
        <v>283</v>
      </c>
      <c r="K661" s="403">
        <v>105</v>
      </c>
      <c r="L661" s="217">
        <v>1850</v>
      </c>
      <c r="M661" s="403" t="s">
        <v>153</v>
      </c>
      <c r="N661" s="403" t="s">
        <v>149</v>
      </c>
      <c r="O661" s="403" t="s">
        <v>154</v>
      </c>
      <c r="P661" s="403" t="s">
        <v>151</v>
      </c>
      <c r="Q661" s="403" t="s">
        <v>155</v>
      </c>
      <c r="R661" s="403" t="s">
        <v>8407</v>
      </c>
      <c r="S661" s="403"/>
      <c r="T661" s="403" t="s">
        <v>3041</v>
      </c>
      <c r="U661" s="403" t="s">
        <v>152</v>
      </c>
      <c r="V661" s="403" t="s">
        <v>18</v>
      </c>
    </row>
    <row r="662" spans="1:22">
      <c r="A662" s="6"/>
      <c r="B662" s="216">
        <v>46219</v>
      </c>
      <c r="C662" s="216">
        <v>46219</v>
      </c>
      <c r="D662" s="403" t="s">
        <v>8408</v>
      </c>
      <c r="E662" s="403">
        <v>260105720214</v>
      </c>
      <c r="F662" s="403" t="s">
        <v>87</v>
      </c>
      <c r="G662" s="403" t="s">
        <v>2409</v>
      </c>
      <c r="H662" s="403">
        <v>152</v>
      </c>
      <c r="I662" s="403">
        <v>218</v>
      </c>
      <c r="J662" s="374">
        <v>218</v>
      </c>
      <c r="K662" s="403">
        <v>97</v>
      </c>
      <c r="L662" s="217">
        <v>1545</v>
      </c>
      <c r="M662" s="403" t="s">
        <v>153</v>
      </c>
      <c r="N662" s="403" t="s">
        <v>149</v>
      </c>
      <c r="O662" s="403" t="s">
        <v>154</v>
      </c>
      <c r="P662" s="403" t="s">
        <v>151</v>
      </c>
      <c r="Q662" s="403" t="s">
        <v>155</v>
      </c>
      <c r="R662" s="403" t="s">
        <v>8409</v>
      </c>
      <c r="S662" s="403"/>
      <c r="T662" s="403" t="s">
        <v>3041</v>
      </c>
      <c r="U662" s="403" t="s">
        <v>152</v>
      </c>
      <c r="V662" s="403" t="s">
        <v>18</v>
      </c>
    </row>
    <row r="663" spans="1:22">
      <c r="A663" s="6"/>
      <c r="B663" s="216">
        <v>46219</v>
      </c>
      <c r="C663" s="216">
        <v>46219</v>
      </c>
      <c r="D663" s="403" t="s">
        <v>8410</v>
      </c>
      <c r="E663" s="403">
        <v>260100920202</v>
      </c>
      <c r="F663" s="403" t="s">
        <v>87</v>
      </c>
      <c r="G663" s="403" t="s">
        <v>2656</v>
      </c>
      <c r="H663" s="403">
        <v>202</v>
      </c>
      <c r="I663" s="403">
        <v>373</v>
      </c>
      <c r="J663" s="374">
        <v>373</v>
      </c>
      <c r="K663" s="403">
        <v>180</v>
      </c>
      <c r="L663" s="217">
        <v>525</v>
      </c>
      <c r="M663" s="403" t="s">
        <v>153</v>
      </c>
      <c r="N663" s="403" t="s">
        <v>149</v>
      </c>
      <c r="O663" s="403" t="s">
        <v>154</v>
      </c>
      <c r="P663" s="403" t="s">
        <v>151</v>
      </c>
      <c r="Q663" s="403" t="s">
        <v>155</v>
      </c>
      <c r="R663" s="403" t="s">
        <v>8411</v>
      </c>
      <c r="S663" s="403"/>
      <c r="T663" s="403" t="s">
        <v>3041</v>
      </c>
      <c r="U663" s="403" t="s">
        <v>152</v>
      </c>
      <c r="V663" s="403" t="s">
        <v>18</v>
      </c>
    </row>
    <row r="664" spans="1:22">
      <c r="A664" s="6"/>
      <c r="B664" s="216">
        <v>46219</v>
      </c>
      <c r="C664" s="216">
        <v>46219</v>
      </c>
      <c r="D664" s="403" t="s">
        <v>8412</v>
      </c>
      <c r="E664" s="403">
        <v>260102020204</v>
      </c>
      <c r="F664" s="403" t="s">
        <v>87</v>
      </c>
      <c r="G664" s="403" t="s">
        <v>2563</v>
      </c>
      <c r="H664" s="403">
        <v>95</v>
      </c>
      <c r="I664" s="403">
        <v>272</v>
      </c>
      <c r="J664" s="374">
        <v>272</v>
      </c>
      <c r="K664" s="403">
        <v>134</v>
      </c>
      <c r="L664" s="217">
        <v>1120</v>
      </c>
      <c r="M664" s="403" t="s">
        <v>153</v>
      </c>
      <c r="N664" s="403" t="s">
        <v>149</v>
      </c>
      <c r="O664" s="403" t="s">
        <v>154</v>
      </c>
      <c r="P664" s="403" t="s">
        <v>151</v>
      </c>
      <c r="Q664" s="403" t="s">
        <v>155</v>
      </c>
      <c r="R664" s="403" t="s">
        <v>8413</v>
      </c>
      <c r="S664" s="403"/>
      <c r="T664" s="403" t="s">
        <v>3041</v>
      </c>
      <c r="U664" s="403" t="s">
        <v>152</v>
      </c>
      <c r="V664" s="403" t="s">
        <v>18</v>
      </c>
    </row>
    <row r="665" spans="1:22">
      <c r="A665" s="6"/>
      <c r="B665" s="216">
        <v>46219</v>
      </c>
      <c r="C665" s="216">
        <v>46219</v>
      </c>
      <c r="D665" s="403" t="s">
        <v>8414</v>
      </c>
      <c r="E665" s="403">
        <v>260103820245</v>
      </c>
      <c r="F665" s="403" t="s">
        <v>87</v>
      </c>
      <c r="G665" s="403" t="s">
        <v>2555</v>
      </c>
      <c r="H665" s="403">
        <v>192</v>
      </c>
      <c r="I665" s="403">
        <v>254</v>
      </c>
      <c r="J665" s="374">
        <v>254</v>
      </c>
      <c r="K665" s="403">
        <v>104</v>
      </c>
      <c r="L665" s="217">
        <v>1300</v>
      </c>
      <c r="M665" s="403" t="s">
        <v>153</v>
      </c>
      <c r="N665" s="403" t="s">
        <v>149</v>
      </c>
      <c r="O665" s="403" t="s">
        <v>154</v>
      </c>
      <c r="P665" s="403" t="s">
        <v>151</v>
      </c>
      <c r="Q665" s="403" t="s">
        <v>155</v>
      </c>
      <c r="R665" s="403" t="s">
        <v>8415</v>
      </c>
      <c r="S665" s="403"/>
      <c r="T665" s="403"/>
      <c r="U665" s="403" t="s">
        <v>152</v>
      </c>
      <c r="V665" s="403" t="s">
        <v>18</v>
      </c>
    </row>
    <row r="666" spans="1:22">
      <c r="A666" s="6"/>
      <c r="B666" s="216">
        <v>46219</v>
      </c>
      <c r="C666" s="216">
        <v>46219</v>
      </c>
      <c r="D666" s="403" t="s">
        <v>8416</v>
      </c>
      <c r="E666" s="403">
        <v>260100420254</v>
      </c>
      <c r="F666" s="403" t="s">
        <v>87</v>
      </c>
      <c r="G666" s="403" t="s">
        <v>7130</v>
      </c>
      <c r="H666" s="403">
        <v>182</v>
      </c>
      <c r="I666" s="403">
        <v>484</v>
      </c>
      <c r="J666" s="374">
        <v>484</v>
      </c>
      <c r="K666" s="403">
        <v>190</v>
      </c>
      <c r="L666" s="217">
        <v>715</v>
      </c>
      <c r="M666" s="403" t="s">
        <v>153</v>
      </c>
      <c r="N666" s="403" t="s">
        <v>149</v>
      </c>
      <c r="O666" s="403" t="s">
        <v>154</v>
      </c>
      <c r="P666" s="403" t="s">
        <v>151</v>
      </c>
      <c r="Q666" s="403" t="s">
        <v>155</v>
      </c>
      <c r="R666" s="403" t="s">
        <v>8417</v>
      </c>
      <c r="S666" s="403"/>
      <c r="T666" s="403" t="s">
        <v>3041</v>
      </c>
      <c r="U666" s="403" t="s">
        <v>152</v>
      </c>
      <c r="V666" s="403" t="s">
        <v>18</v>
      </c>
    </row>
    <row r="667" spans="1:22">
      <c r="A667" s="6"/>
      <c r="B667" s="216">
        <v>46219</v>
      </c>
      <c r="C667" s="216">
        <v>46219</v>
      </c>
      <c r="D667" s="403" t="s">
        <v>8418</v>
      </c>
      <c r="E667" s="403" t="s">
        <v>8419</v>
      </c>
      <c r="F667" s="403" t="s">
        <v>94</v>
      </c>
      <c r="G667" s="403" t="s">
        <v>859</v>
      </c>
      <c r="H667" s="403">
        <v>152</v>
      </c>
      <c r="I667" s="403">
        <v>274.5</v>
      </c>
      <c r="J667" s="374">
        <v>274.5</v>
      </c>
      <c r="K667" s="403">
        <v>104</v>
      </c>
      <c r="L667" s="217">
        <v>1840</v>
      </c>
      <c r="M667" s="403" t="s">
        <v>153</v>
      </c>
      <c r="N667" s="403" t="s">
        <v>149</v>
      </c>
      <c r="O667" s="403" t="s">
        <v>154</v>
      </c>
      <c r="P667" s="403" t="s">
        <v>151</v>
      </c>
      <c r="Q667" s="403" t="s">
        <v>155</v>
      </c>
      <c r="R667" s="403" t="s">
        <v>8419</v>
      </c>
      <c r="S667" s="403"/>
      <c r="T667" s="403" t="s">
        <v>8420</v>
      </c>
      <c r="U667" s="403" t="s">
        <v>152</v>
      </c>
      <c r="V667" s="403" t="s">
        <v>18</v>
      </c>
    </row>
    <row r="668" spans="1:22">
      <c r="A668" s="6"/>
      <c r="B668" s="216">
        <v>46219</v>
      </c>
      <c r="C668" s="216">
        <v>46219</v>
      </c>
      <c r="D668" s="403" t="s">
        <v>8421</v>
      </c>
      <c r="E668" s="403" t="s">
        <v>8422</v>
      </c>
      <c r="F668" s="403" t="s">
        <v>94</v>
      </c>
      <c r="G668" s="403" t="s">
        <v>859</v>
      </c>
      <c r="H668" s="403">
        <v>152</v>
      </c>
      <c r="I668" s="403">
        <v>279.60000000000002</v>
      </c>
      <c r="J668" s="374">
        <v>279.60000000000002</v>
      </c>
      <c r="K668" s="403">
        <v>104</v>
      </c>
      <c r="L668" s="217">
        <v>1840</v>
      </c>
      <c r="M668" s="403" t="s">
        <v>153</v>
      </c>
      <c r="N668" s="403" t="s">
        <v>149</v>
      </c>
      <c r="O668" s="403" t="s">
        <v>154</v>
      </c>
      <c r="P668" s="403" t="s">
        <v>151</v>
      </c>
      <c r="Q668" s="403" t="s">
        <v>155</v>
      </c>
      <c r="R668" s="403" t="s">
        <v>8422</v>
      </c>
      <c r="S668" s="403"/>
      <c r="T668" s="403" t="s">
        <v>8420</v>
      </c>
      <c r="U668" s="403" t="s">
        <v>152</v>
      </c>
      <c r="V668" s="403" t="s">
        <v>18</v>
      </c>
    </row>
    <row r="669" spans="1:22">
      <c r="A669" s="6"/>
      <c r="B669" s="216">
        <v>46219</v>
      </c>
      <c r="C669" s="216">
        <v>46219</v>
      </c>
      <c r="D669" s="403" t="s">
        <v>8423</v>
      </c>
      <c r="E669" s="403" t="s">
        <v>8424</v>
      </c>
      <c r="F669" s="403" t="s">
        <v>94</v>
      </c>
      <c r="G669" s="403" t="s">
        <v>7242</v>
      </c>
      <c r="H669" s="403" t="s">
        <v>2653</v>
      </c>
      <c r="I669" s="403">
        <v>105</v>
      </c>
      <c r="J669" s="374">
        <v>105</v>
      </c>
      <c r="K669" s="403">
        <v>58</v>
      </c>
      <c r="L669" s="217">
        <v>1750</v>
      </c>
      <c r="M669" s="403" t="s">
        <v>153</v>
      </c>
      <c r="N669" s="403" t="s">
        <v>149</v>
      </c>
      <c r="O669" s="403" t="s">
        <v>154</v>
      </c>
      <c r="P669" s="403" t="s">
        <v>151</v>
      </c>
      <c r="Q669" s="403" t="s">
        <v>156</v>
      </c>
      <c r="R669" s="403" t="s">
        <v>8424</v>
      </c>
      <c r="S669" s="403"/>
      <c r="T669" s="403" t="s">
        <v>8425</v>
      </c>
      <c r="U669" s="403" t="s">
        <v>152</v>
      </c>
      <c r="V669" s="403" t="s">
        <v>20</v>
      </c>
    </row>
    <row r="670" spans="1:22">
      <c r="A670" s="6"/>
      <c r="B670" s="216">
        <v>46219</v>
      </c>
      <c r="C670" s="216">
        <v>46219</v>
      </c>
      <c r="D670" s="403" t="s">
        <v>8426</v>
      </c>
      <c r="E670" s="403">
        <v>260101420229</v>
      </c>
      <c r="F670" s="403" t="s">
        <v>87</v>
      </c>
      <c r="G670" s="403" t="s">
        <v>859</v>
      </c>
      <c r="H670" s="403">
        <v>152</v>
      </c>
      <c r="I670" s="403">
        <v>231</v>
      </c>
      <c r="J670" s="374">
        <v>231</v>
      </c>
      <c r="K670" s="403">
        <v>104</v>
      </c>
      <c r="L670" s="217">
        <v>1500</v>
      </c>
      <c r="M670" s="403" t="s">
        <v>153</v>
      </c>
      <c r="N670" s="403" t="s">
        <v>149</v>
      </c>
      <c r="O670" s="403" t="s">
        <v>154</v>
      </c>
      <c r="P670" s="403" t="s">
        <v>151</v>
      </c>
      <c r="Q670" s="403" t="s">
        <v>155</v>
      </c>
      <c r="R670" s="403" t="s">
        <v>8427</v>
      </c>
      <c r="S670" s="403"/>
      <c r="T670" s="403" t="s">
        <v>3043</v>
      </c>
      <c r="U670" s="403" t="s">
        <v>152</v>
      </c>
      <c r="V670" s="403" t="s">
        <v>18</v>
      </c>
    </row>
    <row r="671" spans="1:22">
      <c r="A671" s="6"/>
      <c r="B671" s="216">
        <v>46219</v>
      </c>
      <c r="C671" s="216">
        <v>46219</v>
      </c>
      <c r="D671" s="403" t="s">
        <v>8428</v>
      </c>
      <c r="E671" s="403">
        <v>260101420232</v>
      </c>
      <c r="F671" s="403" t="s">
        <v>87</v>
      </c>
      <c r="G671" s="403" t="s">
        <v>859</v>
      </c>
      <c r="H671" s="403">
        <v>152</v>
      </c>
      <c r="I671" s="403">
        <v>228</v>
      </c>
      <c r="J671" s="374">
        <v>228</v>
      </c>
      <c r="K671" s="403">
        <v>104</v>
      </c>
      <c r="L671" s="217">
        <v>1500</v>
      </c>
      <c r="M671" s="403" t="s">
        <v>153</v>
      </c>
      <c r="N671" s="403" t="s">
        <v>149</v>
      </c>
      <c r="O671" s="403" t="s">
        <v>154</v>
      </c>
      <c r="P671" s="403" t="s">
        <v>151</v>
      </c>
      <c r="Q671" s="403" t="s">
        <v>155</v>
      </c>
      <c r="R671" s="403" t="s">
        <v>8429</v>
      </c>
      <c r="S671" s="403"/>
      <c r="T671" s="403" t="s">
        <v>3043</v>
      </c>
      <c r="U671" s="403" t="s">
        <v>152</v>
      </c>
      <c r="V671" s="403" t="s">
        <v>18</v>
      </c>
    </row>
    <row r="672" spans="1:22">
      <c r="A672" s="6"/>
      <c r="B672" s="216">
        <v>46219</v>
      </c>
      <c r="C672" s="216">
        <v>46219</v>
      </c>
      <c r="D672" s="403" t="s">
        <v>8430</v>
      </c>
      <c r="E672" s="403">
        <v>260102920241</v>
      </c>
      <c r="F672" s="403" t="s">
        <v>87</v>
      </c>
      <c r="G672" s="403" t="s">
        <v>859</v>
      </c>
      <c r="H672" s="403">
        <v>152</v>
      </c>
      <c r="I672" s="403">
        <v>232</v>
      </c>
      <c r="J672" s="374">
        <v>232</v>
      </c>
      <c r="K672" s="403">
        <v>104</v>
      </c>
      <c r="L672" s="217">
        <v>1500</v>
      </c>
      <c r="M672" s="403" t="s">
        <v>153</v>
      </c>
      <c r="N672" s="403" t="s">
        <v>149</v>
      </c>
      <c r="O672" s="403" t="s">
        <v>154</v>
      </c>
      <c r="P672" s="403" t="s">
        <v>151</v>
      </c>
      <c r="Q672" s="403" t="s">
        <v>155</v>
      </c>
      <c r="R672" s="403" t="s">
        <v>8431</v>
      </c>
      <c r="S672" s="403"/>
      <c r="T672" s="403" t="s">
        <v>3043</v>
      </c>
      <c r="U672" s="403" t="s">
        <v>152</v>
      </c>
      <c r="V672" s="403" t="s">
        <v>18</v>
      </c>
    </row>
    <row r="673" spans="1:22">
      <c r="A673" s="6"/>
      <c r="B673" s="216">
        <v>46219</v>
      </c>
      <c r="C673" s="216">
        <v>46219</v>
      </c>
      <c r="D673" s="403" t="s">
        <v>8432</v>
      </c>
      <c r="E673" s="403">
        <v>260103420208</v>
      </c>
      <c r="F673" s="403" t="s">
        <v>87</v>
      </c>
      <c r="G673" s="403" t="s">
        <v>859</v>
      </c>
      <c r="H673" s="403">
        <v>152</v>
      </c>
      <c r="I673" s="403">
        <v>295</v>
      </c>
      <c r="J673" s="374">
        <v>295</v>
      </c>
      <c r="K673" s="403">
        <v>104</v>
      </c>
      <c r="L673" s="217">
        <v>1930</v>
      </c>
      <c r="M673" s="403" t="s">
        <v>153</v>
      </c>
      <c r="N673" s="403" t="s">
        <v>149</v>
      </c>
      <c r="O673" s="403" t="s">
        <v>154</v>
      </c>
      <c r="P673" s="403" t="s">
        <v>151</v>
      </c>
      <c r="Q673" s="403" t="s">
        <v>155</v>
      </c>
      <c r="R673" s="403" t="s">
        <v>8433</v>
      </c>
      <c r="S673" s="403"/>
      <c r="T673" s="403" t="s">
        <v>3043</v>
      </c>
      <c r="U673" s="403" t="s">
        <v>152</v>
      </c>
      <c r="V673" s="403" t="s">
        <v>18</v>
      </c>
    </row>
    <row r="674" spans="1:22">
      <c r="A674" s="6"/>
      <c r="B674" s="216">
        <v>46219</v>
      </c>
      <c r="C674" s="216">
        <v>46219</v>
      </c>
      <c r="D674" s="403" t="s">
        <v>8434</v>
      </c>
      <c r="E674" s="403">
        <v>260101420231</v>
      </c>
      <c r="F674" s="403" t="s">
        <v>87</v>
      </c>
      <c r="G674" s="403" t="s">
        <v>859</v>
      </c>
      <c r="H674" s="403">
        <v>152</v>
      </c>
      <c r="I674" s="403">
        <v>229</v>
      </c>
      <c r="J674" s="374">
        <v>229</v>
      </c>
      <c r="K674" s="403">
        <v>104</v>
      </c>
      <c r="L674" s="217">
        <v>1500</v>
      </c>
      <c r="M674" s="403" t="s">
        <v>153</v>
      </c>
      <c r="N674" s="403" t="s">
        <v>149</v>
      </c>
      <c r="O674" s="403" t="s">
        <v>154</v>
      </c>
      <c r="P674" s="403" t="s">
        <v>151</v>
      </c>
      <c r="Q674" s="403" t="s">
        <v>155</v>
      </c>
      <c r="R674" s="403" t="s">
        <v>8435</v>
      </c>
      <c r="S674" s="403"/>
      <c r="T674" s="403" t="s">
        <v>3043</v>
      </c>
      <c r="U674" s="403" t="s">
        <v>152</v>
      </c>
      <c r="V674" s="403" t="s">
        <v>18</v>
      </c>
    </row>
    <row r="675" spans="1:22">
      <c r="A675" s="6"/>
      <c r="B675" s="216">
        <v>46219</v>
      </c>
      <c r="C675" s="216">
        <v>46219</v>
      </c>
      <c r="D675" s="403" t="s">
        <v>8436</v>
      </c>
      <c r="E675" s="403">
        <v>260101420230</v>
      </c>
      <c r="F675" s="403" t="s">
        <v>87</v>
      </c>
      <c r="G675" s="403" t="s">
        <v>859</v>
      </c>
      <c r="H675" s="403">
        <v>152</v>
      </c>
      <c r="I675" s="403">
        <v>228</v>
      </c>
      <c r="J675" s="374">
        <v>228</v>
      </c>
      <c r="K675" s="403">
        <v>104</v>
      </c>
      <c r="L675" s="217">
        <v>1500</v>
      </c>
      <c r="M675" s="403" t="s">
        <v>153</v>
      </c>
      <c r="N675" s="403" t="s">
        <v>149</v>
      </c>
      <c r="O675" s="403" t="s">
        <v>154</v>
      </c>
      <c r="P675" s="403" t="s">
        <v>151</v>
      </c>
      <c r="Q675" s="403" t="s">
        <v>155</v>
      </c>
      <c r="R675" s="403" t="s">
        <v>8437</v>
      </c>
      <c r="S675" s="403"/>
      <c r="T675" s="403" t="s">
        <v>3043</v>
      </c>
      <c r="U675" s="403" t="s">
        <v>152</v>
      </c>
      <c r="V675" s="403" t="s">
        <v>18</v>
      </c>
    </row>
    <row r="676" spans="1:22">
      <c r="A676" s="6"/>
      <c r="B676" s="216">
        <v>46219</v>
      </c>
      <c r="C676" s="216">
        <v>46219</v>
      </c>
      <c r="D676" s="403" t="s">
        <v>8438</v>
      </c>
      <c r="E676" s="403">
        <v>260103820244</v>
      </c>
      <c r="F676" s="403" t="s">
        <v>87</v>
      </c>
      <c r="G676" s="403" t="s">
        <v>2555</v>
      </c>
      <c r="H676" s="403">
        <v>192</v>
      </c>
      <c r="I676" s="403">
        <v>253</v>
      </c>
      <c r="J676" s="374">
        <v>253</v>
      </c>
      <c r="K676" s="403">
        <v>104</v>
      </c>
      <c r="L676" s="217">
        <v>1300</v>
      </c>
      <c r="M676" s="403" t="s">
        <v>153</v>
      </c>
      <c r="N676" s="403" t="s">
        <v>149</v>
      </c>
      <c r="O676" s="403" t="s">
        <v>154</v>
      </c>
      <c r="P676" s="403" t="s">
        <v>151</v>
      </c>
      <c r="Q676" s="403" t="s">
        <v>155</v>
      </c>
      <c r="R676" s="403" t="s">
        <v>8439</v>
      </c>
      <c r="S676" s="403"/>
      <c r="T676" s="403"/>
      <c r="U676" s="403" t="s">
        <v>152</v>
      </c>
      <c r="V676" s="403" t="s">
        <v>18</v>
      </c>
    </row>
    <row r="677" spans="1:22">
      <c r="A677" s="6"/>
      <c r="B677" s="216">
        <v>46219</v>
      </c>
      <c r="C677" s="216">
        <v>46219</v>
      </c>
      <c r="D677" s="403" t="s">
        <v>8440</v>
      </c>
      <c r="E677" s="403">
        <v>260103320211</v>
      </c>
      <c r="F677" s="403" t="s">
        <v>87</v>
      </c>
      <c r="G677" s="403" t="s">
        <v>2310</v>
      </c>
      <c r="H677" s="403">
        <v>172</v>
      </c>
      <c r="I677" s="403">
        <v>272</v>
      </c>
      <c r="J677" s="374">
        <v>272</v>
      </c>
      <c r="K677" s="403">
        <v>87</v>
      </c>
      <c r="L677" s="217">
        <v>1840</v>
      </c>
      <c r="M677" s="403" t="s">
        <v>153</v>
      </c>
      <c r="N677" s="403" t="s">
        <v>149</v>
      </c>
      <c r="O677" s="403" t="s">
        <v>154</v>
      </c>
      <c r="P677" s="403" t="s">
        <v>151</v>
      </c>
      <c r="Q677" s="403" t="s">
        <v>155</v>
      </c>
      <c r="R677" s="403" t="s">
        <v>8441</v>
      </c>
      <c r="S677" s="403"/>
      <c r="T677" s="403" t="s">
        <v>3047</v>
      </c>
      <c r="U677" s="403" t="s">
        <v>152</v>
      </c>
      <c r="V677" s="403" t="s">
        <v>18</v>
      </c>
    </row>
    <row r="678" spans="1:22">
      <c r="A678" s="6"/>
      <c r="B678" s="216">
        <v>46219</v>
      </c>
      <c r="C678" s="216">
        <v>46219</v>
      </c>
      <c r="D678" s="403" t="s">
        <v>8442</v>
      </c>
      <c r="E678" s="403">
        <v>260107820218</v>
      </c>
      <c r="F678" s="403" t="s">
        <v>87</v>
      </c>
      <c r="G678" s="403" t="s">
        <v>2425</v>
      </c>
      <c r="H678" s="403">
        <v>132</v>
      </c>
      <c r="I678" s="403">
        <v>311</v>
      </c>
      <c r="J678" s="374">
        <v>311</v>
      </c>
      <c r="K678" s="403">
        <v>92</v>
      </c>
      <c r="L678" s="217">
        <v>2660</v>
      </c>
      <c r="M678" s="403" t="s">
        <v>153</v>
      </c>
      <c r="N678" s="403" t="s">
        <v>149</v>
      </c>
      <c r="O678" s="403" t="s">
        <v>154</v>
      </c>
      <c r="P678" s="403" t="s">
        <v>151</v>
      </c>
      <c r="Q678" s="403" t="s">
        <v>155</v>
      </c>
      <c r="R678" s="403" t="s">
        <v>8443</v>
      </c>
      <c r="S678" s="403"/>
      <c r="T678" s="403" t="s">
        <v>3047</v>
      </c>
      <c r="U678" s="403" t="s">
        <v>152</v>
      </c>
      <c r="V678" s="403" t="s">
        <v>18</v>
      </c>
    </row>
    <row r="679" spans="1:22">
      <c r="A679" s="6"/>
      <c r="B679" s="216">
        <v>46219</v>
      </c>
      <c r="C679" s="216">
        <v>46219</v>
      </c>
      <c r="D679" s="403" t="s">
        <v>8444</v>
      </c>
      <c r="E679" s="403">
        <v>260102720206</v>
      </c>
      <c r="F679" s="403" t="s">
        <v>87</v>
      </c>
      <c r="G679" s="403" t="s">
        <v>2554</v>
      </c>
      <c r="H679" s="403">
        <v>102</v>
      </c>
      <c r="I679" s="403">
        <v>242</v>
      </c>
      <c r="J679" s="374">
        <v>242</v>
      </c>
      <c r="K679" s="403">
        <v>125</v>
      </c>
      <c r="L679" s="217">
        <v>1000</v>
      </c>
      <c r="M679" s="403" t="s">
        <v>153</v>
      </c>
      <c r="N679" s="403" t="s">
        <v>149</v>
      </c>
      <c r="O679" s="403" t="s">
        <v>154</v>
      </c>
      <c r="P679" s="403" t="s">
        <v>151</v>
      </c>
      <c r="Q679" s="403" t="s">
        <v>155</v>
      </c>
      <c r="R679" s="403" t="s">
        <v>8445</v>
      </c>
      <c r="S679" s="403"/>
      <c r="T679" s="403" t="s">
        <v>3047</v>
      </c>
      <c r="U679" s="403" t="s">
        <v>152</v>
      </c>
      <c r="V679" s="403" t="s">
        <v>18</v>
      </c>
    </row>
    <row r="680" spans="1:22">
      <c r="A680" s="6"/>
      <c r="B680" s="216">
        <v>46219</v>
      </c>
      <c r="C680" s="216">
        <v>46219</v>
      </c>
      <c r="D680" s="403" t="s">
        <v>8446</v>
      </c>
      <c r="E680" s="403">
        <v>260105020213</v>
      </c>
      <c r="F680" s="403" t="s">
        <v>87</v>
      </c>
      <c r="G680" s="403" t="s">
        <v>7403</v>
      </c>
      <c r="H680" s="403">
        <v>222</v>
      </c>
      <c r="I680" s="403">
        <v>344</v>
      </c>
      <c r="J680" s="374">
        <v>344</v>
      </c>
      <c r="K680" s="403">
        <v>105</v>
      </c>
      <c r="L680" s="217">
        <v>1500</v>
      </c>
      <c r="M680" s="403" t="s">
        <v>153</v>
      </c>
      <c r="N680" s="403" t="s">
        <v>149</v>
      </c>
      <c r="O680" s="403" t="s">
        <v>154</v>
      </c>
      <c r="P680" s="403" t="s">
        <v>151</v>
      </c>
      <c r="Q680" s="403" t="s">
        <v>155</v>
      </c>
      <c r="R680" s="403" t="s">
        <v>8447</v>
      </c>
      <c r="S680" s="403"/>
      <c r="T680" s="403" t="s">
        <v>3047</v>
      </c>
      <c r="U680" s="403" t="s">
        <v>152</v>
      </c>
      <c r="V680" s="403" t="s">
        <v>18</v>
      </c>
    </row>
    <row r="681" spans="1:22">
      <c r="A681" s="6"/>
      <c r="B681" s="216">
        <v>46219</v>
      </c>
      <c r="C681" s="216">
        <v>46219</v>
      </c>
      <c r="D681" s="403" t="s">
        <v>8448</v>
      </c>
      <c r="E681" s="403">
        <v>260102620205</v>
      </c>
      <c r="F681" s="403" t="s">
        <v>87</v>
      </c>
      <c r="G681" s="403" t="s">
        <v>2554</v>
      </c>
      <c r="H681" s="403">
        <v>102</v>
      </c>
      <c r="I681" s="403">
        <v>254</v>
      </c>
      <c r="J681" s="374">
        <v>254</v>
      </c>
      <c r="K681" s="403">
        <v>125</v>
      </c>
      <c r="L681" s="217">
        <v>1000</v>
      </c>
      <c r="M681" s="403" t="s">
        <v>153</v>
      </c>
      <c r="N681" s="403" t="s">
        <v>149</v>
      </c>
      <c r="O681" s="403" t="s">
        <v>154</v>
      </c>
      <c r="P681" s="403" t="s">
        <v>151</v>
      </c>
      <c r="Q681" s="403" t="s">
        <v>155</v>
      </c>
      <c r="R681" s="403" t="s">
        <v>8449</v>
      </c>
      <c r="S681" s="403"/>
      <c r="T681" s="403" t="s">
        <v>3047</v>
      </c>
      <c r="U681" s="403" t="s">
        <v>152</v>
      </c>
      <c r="V681" s="403" t="s">
        <v>18</v>
      </c>
    </row>
    <row r="682" spans="1:22">
      <c r="A682" s="6"/>
      <c r="B682" s="216">
        <v>46219</v>
      </c>
      <c r="C682" s="216">
        <v>46219</v>
      </c>
      <c r="D682" s="403" t="s">
        <v>8450</v>
      </c>
      <c r="E682" s="403">
        <v>260100720255</v>
      </c>
      <c r="F682" s="403" t="s">
        <v>87</v>
      </c>
      <c r="G682" s="403" t="s">
        <v>2518</v>
      </c>
      <c r="H682" s="403">
        <v>132</v>
      </c>
      <c r="I682" s="403">
        <v>324</v>
      </c>
      <c r="J682" s="374">
        <v>324</v>
      </c>
      <c r="K682" s="403">
        <v>150</v>
      </c>
      <c r="L682" s="217">
        <v>820</v>
      </c>
      <c r="M682" s="403" t="s">
        <v>153</v>
      </c>
      <c r="N682" s="403" t="s">
        <v>149</v>
      </c>
      <c r="O682" s="403" t="s">
        <v>154</v>
      </c>
      <c r="P682" s="403" t="s">
        <v>151</v>
      </c>
      <c r="Q682" s="403" t="s">
        <v>155</v>
      </c>
      <c r="R682" s="403" t="s">
        <v>8451</v>
      </c>
      <c r="S682" s="403"/>
      <c r="T682" s="403" t="s">
        <v>3047</v>
      </c>
      <c r="U682" s="403" t="s">
        <v>152</v>
      </c>
      <c r="V682" s="403" t="s">
        <v>18</v>
      </c>
    </row>
    <row r="683" spans="1:22">
      <c r="A683" s="6"/>
      <c r="B683" s="216">
        <v>46219</v>
      </c>
      <c r="C683" s="216">
        <v>46219</v>
      </c>
      <c r="D683" s="403" t="s">
        <v>8452</v>
      </c>
      <c r="E683" s="403" t="s">
        <v>8453</v>
      </c>
      <c r="F683" s="403" t="s">
        <v>87</v>
      </c>
      <c r="G683" s="403" t="s">
        <v>2651</v>
      </c>
      <c r="H683" s="403" t="s">
        <v>2253</v>
      </c>
      <c r="I683" s="403">
        <v>148</v>
      </c>
      <c r="J683" s="374">
        <v>148</v>
      </c>
      <c r="K683" s="403">
        <v>55</v>
      </c>
      <c r="L683" s="217">
        <v>3550</v>
      </c>
      <c r="M683" s="403" t="s">
        <v>153</v>
      </c>
      <c r="N683" s="403" t="s">
        <v>149</v>
      </c>
      <c r="O683" s="403" t="s">
        <v>154</v>
      </c>
      <c r="P683" s="403" t="s">
        <v>151</v>
      </c>
      <c r="Q683" s="403" t="s">
        <v>156</v>
      </c>
      <c r="R683" s="403" t="s">
        <v>8454</v>
      </c>
      <c r="S683" s="403"/>
      <c r="T683" s="403" t="s">
        <v>3047</v>
      </c>
      <c r="U683" s="403" t="s">
        <v>152</v>
      </c>
      <c r="V683" s="403" t="s">
        <v>20</v>
      </c>
    </row>
    <row r="684" spans="1:22">
      <c r="A684" s="6"/>
      <c r="B684" s="216">
        <v>46219</v>
      </c>
      <c r="C684" s="216">
        <v>46219</v>
      </c>
      <c r="D684" s="403" t="s">
        <v>8455</v>
      </c>
      <c r="E684" s="403" t="s">
        <v>8453</v>
      </c>
      <c r="F684" s="403" t="s">
        <v>87</v>
      </c>
      <c r="G684" s="403" t="s">
        <v>2651</v>
      </c>
      <c r="H684" s="403" t="s">
        <v>2253</v>
      </c>
      <c r="I684" s="403">
        <v>146</v>
      </c>
      <c r="J684" s="374">
        <v>146</v>
      </c>
      <c r="K684" s="403">
        <v>55</v>
      </c>
      <c r="L684" s="217">
        <v>3550</v>
      </c>
      <c r="M684" s="403" t="s">
        <v>153</v>
      </c>
      <c r="N684" s="403" t="s">
        <v>149</v>
      </c>
      <c r="O684" s="403" t="s">
        <v>154</v>
      </c>
      <c r="P684" s="403" t="s">
        <v>151</v>
      </c>
      <c r="Q684" s="403" t="s">
        <v>156</v>
      </c>
      <c r="R684" s="403" t="s">
        <v>8456</v>
      </c>
      <c r="S684" s="403"/>
      <c r="T684" s="403" t="s">
        <v>3047</v>
      </c>
      <c r="U684" s="403" t="s">
        <v>152</v>
      </c>
      <c r="V684" s="403" t="s">
        <v>20</v>
      </c>
    </row>
    <row r="685" spans="1:22">
      <c r="A685" s="6"/>
      <c r="B685" s="216">
        <v>46219</v>
      </c>
      <c r="C685" s="216">
        <v>46219</v>
      </c>
      <c r="D685" s="403" t="s">
        <v>8457</v>
      </c>
      <c r="E685" s="403" t="s">
        <v>8458</v>
      </c>
      <c r="F685" s="403" t="s">
        <v>87</v>
      </c>
      <c r="G685" s="403" t="s">
        <v>8459</v>
      </c>
      <c r="H685" s="403" t="s">
        <v>2253</v>
      </c>
      <c r="I685" s="403">
        <v>346</v>
      </c>
      <c r="J685" s="374">
        <v>346</v>
      </c>
      <c r="K685" s="403">
        <v>78</v>
      </c>
      <c r="L685" s="217">
        <v>5800</v>
      </c>
      <c r="M685" s="403" t="s">
        <v>153</v>
      </c>
      <c r="N685" s="403" t="s">
        <v>149</v>
      </c>
      <c r="O685" s="403" t="s">
        <v>154</v>
      </c>
      <c r="P685" s="403" t="s">
        <v>151</v>
      </c>
      <c r="Q685" s="403" t="s">
        <v>156</v>
      </c>
      <c r="R685" s="403" t="s">
        <v>8460</v>
      </c>
      <c r="S685" s="403"/>
      <c r="T685" s="403" t="s">
        <v>3047</v>
      </c>
      <c r="U685" s="403" t="s">
        <v>152</v>
      </c>
      <c r="V685" s="403" t="s">
        <v>20</v>
      </c>
    </row>
    <row r="686" spans="1:22">
      <c r="A686" s="6"/>
      <c r="B686" s="216">
        <v>46219</v>
      </c>
      <c r="C686" s="216">
        <v>46219</v>
      </c>
      <c r="D686" s="403" t="s">
        <v>8461</v>
      </c>
      <c r="E686" s="403" t="s">
        <v>8462</v>
      </c>
      <c r="F686" s="403" t="s">
        <v>87</v>
      </c>
      <c r="G686" s="403" t="s">
        <v>8459</v>
      </c>
      <c r="H686" s="403" t="s">
        <v>2253</v>
      </c>
      <c r="I686" s="403">
        <v>293</v>
      </c>
      <c r="J686" s="374">
        <v>293</v>
      </c>
      <c r="K686" s="403">
        <v>78</v>
      </c>
      <c r="L686" s="217">
        <v>4950</v>
      </c>
      <c r="M686" s="403" t="s">
        <v>153</v>
      </c>
      <c r="N686" s="403" t="s">
        <v>149</v>
      </c>
      <c r="O686" s="403" t="s">
        <v>154</v>
      </c>
      <c r="P686" s="403" t="s">
        <v>151</v>
      </c>
      <c r="Q686" s="403" t="s">
        <v>156</v>
      </c>
      <c r="R686" s="403" t="s">
        <v>8463</v>
      </c>
      <c r="S686" s="403"/>
      <c r="T686" s="403" t="s">
        <v>3047</v>
      </c>
      <c r="U686" s="403" t="s">
        <v>152</v>
      </c>
      <c r="V686" s="403" t="s">
        <v>20</v>
      </c>
    </row>
    <row r="687" spans="1:22">
      <c r="A687" s="6"/>
      <c r="B687" s="216">
        <v>46220</v>
      </c>
      <c r="C687" s="216">
        <v>46220</v>
      </c>
      <c r="D687" s="403" t="s">
        <v>8464</v>
      </c>
      <c r="E687" s="403" t="s">
        <v>8465</v>
      </c>
      <c r="F687" s="403" t="s">
        <v>103</v>
      </c>
      <c r="G687" s="403" t="s">
        <v>8466</v>
      </c>
      <c r="H687" s="403">
        <v>60</v>
      </c>
      <c r="I687" s="403">
        <v>224</v>
      </c>
      <c r="J687" s="374">
        <v>224</v>
      </c>
      <c r="K687" s="403">
        <v>108</v>
      </c>
      <c r="L687" s="217">
        <v>3491</v>
      </c>
      <c r="M687" s="403" t="s">
        <v>153</v>
      </c>
      <c r="N687" s="403" t="s">
        <v>149</v>
      </c>
      <c r="O687" s="403" t="s">
        <v>154</v>
      </c>
      <c r="P687" s="403" t="s">
        <v>151</v>
      </c>
      <c r="Q687" s="403" t="s">
        <v>155</v>
      </c>
      <c r="R687" s="403" t="s">
        <v>8465</v>
      </c>
      <c r="S687" s="403" t="s">
        <v>61</v>
      </c>
      <c r="T687" s="403" t="s">
        <v>3434</v>
      </c>
      <c r="U687" s="403" t="s">
        <v>152</v>
      </c>
      <c r="V687" s="403" t="s">
        <v>18</v>
      </c>
    </row>
    <row r="688" spans="1:22">
      <c r="A688" s="6"/>
      <c r="B688" s="216">
        <v>46220</v>
      </c>
      <c r="C688" s="216">
        <v>46220</v>
      </c>
      <c r="D688" s="403" t="s">
        <v>8467</v>
      </c>
      <c r="E688" s="403" t="s">
        <v>8468</v>
      </c>
      <c r="F688" s="403" t="s">
        <v>103</v>
      </c>
      <c r="G688" s="403" t="s">
        <v>8469</v>
      </c>
      <c r="H688" s="403">
        <v>60</v>
      </c>
      <c r="I688" s="403">
        <v>232</v>
      </c>
      <c r="J688" s="374">
        <v>232</v>
      </c>
      <c r="K688" s="403">
        <v>113</v>
      </c>
      <c r="L688" s="217">
        <v>3392</v>
      </c>
      <c r="M688" s="403" t="s">
        <v>153</v>
      </c>
      <c r="N688" s="403" t="s">
        <v>149</v>
      </c>
      <c r="O688" s="403" t="s">
        <v>154</v>
      </c>
      <c r="P688" s="403" t="s">
        <v>151</v>
      </c>
      <c r="Q688" s="403" t="s">
        <v>155</v>
      </c>
      <c r="R688" s="403" t="s">
        <v>8468</v>
      </c>
      <c r="S688" s="403" t="s">
        <v>61</v>
      </c>
      <c r="T688" s="403" t="s">
        <v>3434</v>
      </c>
      <c r="U688" s="403" t="s">
        <v>152</v>
      </c>
      <c r="V688" s="403" t="s">
        <v>18</v>
      </c>
    </row>
    <row r="689" spans="1:22">
      <c r="A689" s="6"/>
      <c r="B689" s="216">
        <v>46220</v>
      </c>
      <c r="C689" s="216">
        <v>46220</v>
      </c>
      <c r="D689" s="403" t="s">
        <v>8470</v>
      </c>
      <c r="E689" s="403" t="s">
        <v>8471</v>
      </c>
      <c r="F689" s="403" t="s">
        <v>103</v>
      </c>
      <c r="G689" s="403" t="s">
        <v>8466</v>
      </c>
      <c r="H689" s="403">
        <v>60</v>
      </c>
      <c r="I689" s="403">
        <v>260</v>
      </c>
      <c r="J689" s="374">
        <v>260</v>
      </c>
      <c r="K689" s="403">
        <v>108</v>
      </c>
      <c r="L689" s="217">
        <v>3712</v>
      </c>
      <c r="M689" s="403" t="s">
        <v>153</v>
      </c>
      <c r="N689" s="403" t="s">
        <v>149</v>
      </c>
      <c r="O689" s="403" t="s">
        <v>154</v>
      </c>
      <c r="P689" s="403" t="s">
        <v>151</v>
      </c>
      <c r="Q689" s="403" t="s">
        <v>155</v>
      </c>
      <c r="R689" s="403" t="s">
        <v>8471</v>
      </c>
      <c r="S689" s="403" t="s">
        <v>61</v>
      </c>
      <c r="T689" s="403" t="s">
        <v>3434</v>
      </c>
      <c r="U689" s="403" t="s">
        <v>152</v>
      </c>
      <c r="V689" s="403" t="s">
        <v>18</v>
      </c>
    </row>
    <row r="690" spans="1:22">
      <c r="A690" s="6"/>
      <c r="B690" s="216">
        <v>46220</v>
      </c>
      <c r="C690" s="216">
        <v>46220</v>
      </c>
      <c r="D690" s="403" t="s">
        <v>8472</v>
      </c>
      <c r="E690" s="403" t="s">
        <v>8473</v>
      </c>
      <c r="F690" s="403" t="s">
        <v>103</v>
      </c>
      <c r="G690" s="403" t="s">
        <v>2472</v>
      </c>
      <c r="H690" s="403">
        <v>60</v>
      </c>
      <c r="I690" s="403">
        <v>264</v>
      </c>
      <c r="J690" s="374">
        <v>264</v>
      </c>
      <c r="K690" s="403">
        <v>95</v>
      </c>
      <c r="L690" s="217">
        <v>4605</v>
      </c>
      <c r="M690" s="403" t="s">
        <v>153</v>
      </c>
      <c r="N690" s="403" t="s">
        <v>149</v>
      </c>
      <c r="O690" s="403" t="s">
        <v>154</v>
      </c>
      <c r="P690" s="403" t="s">
        <v>151</v>
      </c>
      <c r="Q690" s="403" t="s">
        <v>155</v>
      </c>
      <c r="R690" s="403" t="s">
        <v>8473</v>
      </c>
      <c r="S690" s="403" t="s">
        <v>61</v>
      </c>
      <c r="T690" s="403" t="s">
        <v>3434</v>
      </c>
      <c r="U690" s="403" t="s">
        <v>152</v>
      </c>
      <c r="V690" s="403" t="s">
        <v>18</v>
      </c>
    </row>
    <row r="691" spans="1:22">
      <c r="A691" s="6"/>
      <c r="B691" s="216">
        <v>46220</v>
      </c>
      <c r="C691" s="216">
        <v>46220</v>
      </c>
      <c r="D691" s="403" t="s">
        <v>8474</v>
      </c>
      <c r="E691" s="403" t="s">
        <v>8475</v>
      </c>
      <c r="F691" s="403" t="s">
        <v>103</v>
      </c>
      <c r="G691" s="403" t="s">
        <v>7101</v>
      </c>
      <c r="H691" s="403">
        <v>65</v>
      </c>
      <c r="I691" s="403">
        <v>258</v>
      </c>
      <c r="J691" s="374">
        <v>258</v>
      </c>
      <c r="K691" s="403">
        <v>110</v>
      </c>
      <c r="L691" s="217">
        <v>3523</v>
      </c>
      <c r="M691" s="403" t="s">
        <v>153</v>
      </c>
      <c r="N691" s="403" t="s">
        <v>149</v>
      </c>
      <c r="O691" s="403" t="s">
        <v>154</v>
      </c>
      <c r="P691" s="403" t="s">
        <v>151</v>
      </c>
      <c r="Q691" s="403" t="s">
        <v>155</v>
      </c>
      <c r="R691" s="403" t="s">
        <v>8475</v>
      </c>
      <c r="S691" s="403" t="s">
        <v>61</v>
      </c>
      <c r="T691" s="403" t="s">
        <v>3434</v>
      </c>
      <c r="U691" s="403" t="s">
        <v>152</v>
      </c>
      <c r="V691" s="403" t="s">
        <v>18</v>
      </c>
    </row>
    <row r="692" spans="1:22">
      <c r="A692" s="6"/>
      <c r="B692" s="216">
        <v>46220</v>
      </c>
      <c r="C692" s="216">
        <v>46220</v>
      </c>
      <c r="D692" s="403" t="s">
        <v>8476</v>
      </c>
      <c r="E692" s="403" t="s">
        <v>8477</v>
      </c>
      <c r="F692" s="403" t="s">
        <v>103</v>
      </c>
      <c r="G692" s="403" t="s">
        <v>8469</v>
      </c>
      <c r="H692" s="403">
        <v>60</v>
      </c>
      <c r="I692" s="403">
        <v>321</v>
      </c>
      <c r="J692" s="374">
        <v>321</v>
      </c>
      <c r="K692" s="403">
        <v>113</v>
      </c>
      <c r="L692" s="217">
        <v>4808</v>
      </c>
      <c r="M692" s="403" t="s">
        <v>153</v>
      </c>
      <c r="N692" s="403" t="s">
        <v>149</v>
      </c>
      <c r="O692" s="403" t="s">
        <v>154</v>
      </c>
      <c r="P692" s="403" t="s">
        <v>151</v>
      </c>
      <c r="Q692" s="403" t="s">
        <v>155</v>
      </c>
      <c r="R692" s="403" t="s">
        <v>8477</v>
      </c>
      <c r="S692" s="403" t="s">
        <v>61</v>
      </c>
      <c r="T692" s="403" t="s">
        <v>3434</v>
      </c>
      <c r="U692" s="403" t="s">
        <v>152</v>
      </c>
      <c r="V692" s="403" t="s">
        <v>18</v>
      </c>
    </row>
    <row r="693" spans="1:22">
      <c r="A693" s="6"/>
      <c r="B693" s="216">
        <v>46220</v>
      </c>
      <c r="C693" s="216">
        <v>46220</v>
      </c>
      <c r="D693" s="403" t="s">
        <v>8478</v>
      </c>
      <c r="E693" s="403">
        <v>260102820333</v>
      </c>
      <c r="F693" s="403" t="s">
        <v>87</v>
      </c>
      <c r="G693" s="403" t="s">
        <v>2554</v>
      </c>
      <c r="H693" s="403">
        <v>102</v>
      </c>
      <c r="I693" s="403">
        <v>242</v>
      </c>
      <c r="J693" s="374">
        <v>242</v>
      </c>
      <c r="K693" s="403">
        <v>125</v>
      </c>
      <c r="L693" s="217">
        <v>1000</v>
      </c>
      <c r="M693" s="403" t="s">
        <v>153</v>
      </c>
      <c r="N693" s="403" t="s">
        <v>149</v>
      </c>
      <c r="O693" s="403" t="s">
        <v>154</v>
      </c>
      <c r="P693" s="403" t="s">
        <v>151</v>
      </c>
      <c r="Q693" s="403" t="s">
        <v>155</v>
      </c>
      <c r="R693" s="403" t="s">
        <v>8479</v>
      </c>
      <c r="S693" s="403"/>
      <c r="T693" s="403" t="s">
        <v>3060</v>
      </c>
      <c r="U693" s="403" t="s">
        <v>152</v>
      </c>
      <c r="V693" s="403" t="s">
        <v>18</v>
      </c>
    </row>
    <row r="694" spans="1:22">
      <c r="A694" s="6"/>
      <c r="B694" s="216">
        <v>46220</v>
      </c>
      <c r="C694" s="216">
        <v>46220</v>
      </c>
      <c r="D694" s="403" t="s">
        <v>8480</v>
      </c>
      <c r="E694" s="403">
        <v>260100420347</v>
      </c>
      <c r="F694" s="403" t="s">
        <v>87</v>
      </c>
      <c r="G694" s="403" t="s">
        <v>7130</v>
      </c>
      <c r="H694" s="403">
        <v>182</v>
      </c>
      <c r="I694" s="403">
        <v>453</v>
      </c>
      <c r="J694" s="374">
        <v>453</v>
      </c>
      <c r="K694" s="403">
        <v>190</v>
      </c>
      <c r="L694" s="217">
        <v>670</v>
      </c>
      <c r="M694" s="403" t="s">
        <v>153</v>
      </c>
      <c r="N694" s="403" t="s">
        <v>149</v>
      </c>
      <c r="O694" s="403" t="s">
        <v>154</v>
      </c>
      <c r="P694" s="403" t="s">
        <v>151</v>
      </c>
      <c r="Q694" s="403" t="s">
        <v>155</v>
      </c>
      <c r="R694" s="403" t="s">
        <v>8481</v>
      </c>
      <c r="S694" s="403"/>
      <c r="T694" s="403" t="s">
        <v>3060</v>
      </c>
      <c r="U694" s="403" t="s">
        <v>152</v>
      </c>
      <c r="V694" s="403" t="s">
        <v>18</v>
      </c>
    </row>
    <row r="695" spans="1:22">
      <c r="A695" s="6"/>
      <c r="B695" s="216">
        <v>46220</v>
      </c>
      <c r="C695" s="216">
        <v>46220</v>
      </c>
      <c r="D695" s="403" t="s">
        <v>8482</v>
      </c>
      <c r="E695" s="403">
        <v>260100420303</v>
      </c>
      <c r="F695" s="403" t="s">
        <v>87</v>
      </c>
      <c r="G695" s="403" t="s">
        <v>7130</v>
      </c>
      <c r="H695" s="403">
        <v>182</v>
      </c>
      <c r="I695" s="403">
        <v>461</v>
      </c>
      <c r="J695" s="374">
        <v>461</v>
      </c>
      <c r="K695" s="403">
        <v>190</v>
      </c>
      <c r="L695" s="217">
        <v>690</v>
      </c>
      <c r="M695" s="403" t="s">
        <v>153</v>
      </c>
      <c r="N695" s="403" t="s">
        <v>149</v>
      </c>
      <c r="O695" s="403" t="s">
        <v>154</v>
      </c>
      <c r="P695" s="403" t="s">
        <v>151</v>
      </c>
      <c r="Q695" s="403" t="s">
        <v>155</v>
      </c>
      <c r="R695" s="403" t="s">
        <v>8483</v>
      </c>
      <c r="S695" s="403"/>
      <c r="T695" s="403" t="s">
        <v>3060</v>
      </c>
      <c r="U695" s="403" t="s">
        <v>152</v>
      </c>
      <c r="V695" s="403" t="s">
        <v>18</v>
      </c>
    </row>
    <row r="696" spans="1:22">
      <c r="A696" s="6"/>
      <c r="B696" s="216">
        <v>46220</v>
      </c>
      <c r="C696" s="216">
        <v>46220</v>
      </c>
      <c r="D696" s="403" t="s">
        <v>8484</v>
      </c>
      <c r="E696" s="403">
        <v>260101520304</v>
      </c>
      <c r="F696" s="403" t="s">
        <v>87</v>
      </c>
      <c r="G696" s="403" t="s">
        <v>2120</v>
      </c>
      <c r="H696" s="403">
        <v>92</v>
      </c>
      <c r="I696" s="403">
        <v>324</v>
      </c>
      <c r="J696" s="374">
        <v>324</v>
      </c>
      <c r="K696" s="403">
        <v>180</v>
      </c>
      <c r="L696" s="217">
        <v>1000</v>
      </c>
      <c r="M696" s="403" t="s">
        <v>153</v>
      </c>
      <c r="N696" s="403" t="s">
        <v>149</v>
      </c>
      <c r="O696" s="403" t="s">
        <v>154</v>
      </c>
      <c r="P696" s="403" t="s">
        <v>151</v>
      </c>
      <c r="Q696" s="403" t="s">
        <v>155</v>
      </c>
      <c r="R696" s="403" t="s">
        <v>8485</v>
      </c>
      <c r="S696" s="403"/>
      <c r="T696" s="403" t="s">
        <v>3060</v>
      </c>
      <c r="U696" s="403" t="s">
        <v>152</v>
      </c>
      <c r="V696" s="403" t="s">
        <v>18</v>
      </c>
    </row>
    <row r="697" spans="1:22">
      <c r="A697" s="6"/>
      <c r="B697" s="216">
        <v>46220</v>
      </c>
      <c r="C697" s="216">
        <v>46220</v>
      </c>
      <c r="D697" s="403" t="s">
        <v>8486</v>
      </c>
      <c r="E697" s="403">
        <v>260101820306</v>
      </c>
      <c r="F697" s="403" t="s">
        <v>87</v>
      </c>
      <c r="G697" s="403" t="s">
        <v>2408</v>
      </c>
      <c r="H697" s="403">
        <v>95</v>
      </c>
      <c r="I697" s="403">
        <v>250</v>
      </c>
      <c r="J697" s="374">
        <v>250</v>
      </c>
      <c r="K697" s="403">
        <v>134</v>
      </c>
      <c r="L697" s="217">
        <v>1000</v>
      </c>
      <c r="M697" s="403" t="s">
        <v>153</v>
      </c>
      <c r="N697" s="403" t="s">
        <v>149</v>
      </c>
      <c r="O697" s="403" t="s">
        <v>154</v>
      </c>
      <c r="P697" s="403" t="s">
        <v>151</v>
      </c>
      <c r="Q697" s="403" t="s">
        <v>155</v>
      </c>
      <c r="R697" s="403" t="s">
        <v>8487</v>
      </c>
      <c r="S697" s="403"/>
      <c r="T697" s="403" t="s">
        <v>3060</v>
      </c>
      <c r="U697" s="403" t="s">
        <v>152</v>
      </c>
      <c r="V697" s="403" t="s">
        <v>18</v>
      </c>
    </row>
    <row r="698" spans="1:22">
      <c r="A698" s="6"/>
      <c r="B698" s="216">
        <v>46220</v>
      </c>
      <c r="C698" s="216">
        <v>46220</v>
      </c>
      <c r="D698" s="403" t="s">
        <v>8488</v>
      </c>
      <c r="E698" s="403">
        <v>260106820318</v>
      </c>
      <c r="F698" s="403" t="s">
        <v>87</v>
      </c>
      <c r="G698" s="403" t="s">
        <v>2425</v>
      </c>
      <c r="H698" s="403">
        <v>132</v>
      </c>
      <c r="I698" s="403">
        <v>368</v>
      </c>
      <c r="J698" s="374">
        <v>368</v>
      </c>
      <c r="K698" s="403">
        <v>92</v>
      </c>
      <c r="L698" s="217">
        <v>3100</v>
      </c>
      <c r="M698" s="403" t="s">
        <v>153</v>
      </c>
      <c r="N698" s="403" t="s">
        <v>149</v>
      </c>
      <c r="O698" s="403" t="s">
        <v>154</v>
      </c>
      <c r="P698" s="403" t="s">
        <v>151</v>
      </c>
      <c r="Q698" s="403" t="s">
        <v>155</v>
      </c>
      <c r="R698" s="403" t="s">
        <v>8489</v>
      </c>
      <c r="S698" s="403"/>
      <c r="T698" s="403" t="s">
        <v>3060</v>
      </c>
      <c r="U698" s="403" t="s">
        <v>152</v>
      </c>
      <c r="V698" s="403" t="s">
        <v>18</v>
      </c>
    </row>
    <row r="699" spans="1:22">
      <c r="A699" s="6"/>
      <c r="B699" s="216">
        <v>46220</v>
      </c>
      <c r="C699" s="216">
        <v>46220</v>
      </c>
      <c r="D699" s="403" t="s">
        <v>8490</v>
      </c>
      <c r="E699" s="403">
        <v>260101720337</v>
      </c>
      <c r="F699" s="403" t="s">
        <v>87</v>
      </c>
      <c r="G699" s="403" t="s">
        <v>2408</v>
      </c>
      <c r="H699" s="403">
        <v>95</v>
      </c>
      <c r="I699" s="403">
        <v>253</v>
      </c>
      <c r="J699" s="374">
        <v>253</v>
      </c>
      <c r="K699" s="403">
        <v>134</v>
      </c>
      <c r="L699" s="217">
        <v>1020</v>
      </c>
      <c r="M699" s="403" t="s">
        <v>153</v>
      </c>
      <c r="N699" s="403" t="s">
        <v>149</v>
      </c>
      <c r="O699" s="403" t="s">
        <v>154</v>
      </c>
      <c r="P699" s="403" t="s">
        <v>151</v>
      </c>
      <c r="Q699" s="403" t="s">
        <v>155</v>
      </c>
      <c r="R699" s="403" t="s">
        <v>8491</v>
      </c>
      <c r="S699" s="403"/>
      <c r="T699" s="403" t="s">
        <v>3060</v>
      </c>
      <c r="U699" s="403" t="s">
        <v>152</v>
      </c>
      <c r="V699" s="403" t="s">
        <v>18</v>
      </c>
    </row>
    <row r="700" spans="1:22">
      <c r="A700" s="6"/>
      <c r="B700" s="216">
        <v>46220</v>
      </c>
      <c r="C700" s="216">
        <v>46220</v>
      </c>
      <c r="D700" s="403" t="s">
        <v>8492</v>
      </c>
      <c r="E700" s="403">
        <v>260101620338</v>
      </c>
      <c r="F700" s="403" t="s">
        <v>87</v>
      </c>
      <c r="G700" s="403" t="s">
        <v>2642</v>
      </c>
      <c r="H700" s="403">
        <v>112</v>
      </c>
      <c r="I700" s="403">
        <v>348</v>
      </c>
      <c r="J700" s="374">
        <v>348</v>
      </c>
      <c r="K700" s="403">
        <v>160</v>
      </c>
      <c r="L700" s="217">
        <v>1000</v>
      </c>
      <c r="M700" s="403" t="s">
        <v>153</v>
      </c>
      <c r="N700" s="403" t="s">
        <v>149</v>
      </c>
      <c r="O700" s="403" t="s">
        <v>154</v>
      </c>
      <c r="P700" s="403" t="s">
        <v>151</v>
      </c>
      <c r="Q700" s="403" t="s">
        <v>155</v>
      </c>
      <c r="R700" s="403" t="s">
        <v>8493</v>
      </c>
      <c r="S700" s="403"/>
      <c r="T700" s="403" t="s">
        <v>3060</v>
      </c>
      <c r="U700" s="403" t="s">
        <v>152</v>
      </c>
      <c r="V700" s="403" t="s">
        <v>18</v>
      </c>
    </row>
    <row r="701" spans="1:22">
      <c r="A701" s="6"/>
      <c r="B701" s="216">
        <v>46220</v>
      </c>
      <c r="C701" s="216">
        <v>46220</v>
      </c>
      <c r="D701" s="403" t="s">
        <v>8494</v>
      </c>
      <c r="E701" s="403">
        <v>260103720298</v>
      </c>
      <c r="F701" s="403" t="s">
        <v>87</v>
      </c>
      <c r="G701" s="403" t="s">
        <v>2563</v>
      </c>
      <c r="H701" s="403">
        <v>95</v>
      </c>
      <c r="I701" s="403">
        <v>388</v>
      </c>
      <c r="J701" s="374">
        <v>388</v>
      </c>
      <c r="K701" s="403">
        <v>134</v>
      </c>
      <c r="L701" s="217">
        <v>1600</v>
      </c>
      <c r="M701" s="403" t="s">
        <v>153</v>
      </c>
      <c r="N701" s="403" t="s">
        <v>149</v>
      </c>
      <c r="O701" s="403" t="s">
        <v>154</v>
      </c>
      <c r="P701" s="403" t="s">
        <v>151</v>
      </c>
      <c r="Q701" s="403" t="s">
        <v>155</v>
      </c>
      <c r="R701" s="403" t="s">
        <v>8495</v>
      </c>
      <c r="S701" s="403"/>
      <c r="T701" s="403" t="s">
        <v>3060</v>
      </c>
      <c r="U701" s="403" t="s">
        <v>152</v>
      </c>
      <c r="V701" s="403" t="s">
        <v>18</v>
      </c>
    </row>
    <row r="702" spans="1:22">
      <c r="A702" s="6"/>
      <c r="B702" s="216">
        <v>46220</v>
      </c>
      <c r="C702" s="216">
        <v>46220</v>
      </c>
      <c r="D702" s="403" t="s">
        <v>8496</v>
      </c>
      <c r="E702" s="403">
        <v>260105420312</v>
      </c>
      <c r="F702" s="403" t="s">
        <v>87</v>
      </c>
      <c r="G702" s="403" t="s">
        <v>2310</v>
      </c>
      <c r="H702" s="403">
        <v>125</v>
      </c>
      <c r="I702" s="403">
        <v>248</v>
      </c>
      <c r="J702" s="374">
        <v>248</v>
      </c>
      <c r="K702" s="403">
        <v>87</v>
      </c>
      <c r="L702" s="217">
        <v>2345</v>
      </c>
      <c r="M702" s="403" t="s">
        <v>153</v>
      </c>
      <c r="N702" s="403" t="s">
        <v>149</v>
      </c>
      <c r="O702" s="403" t="s">
        <v>154</v>
      </c>
      <c r="P702" s="403" t="s">
        <v>151</v>
      </c>
      <c r="Q702" s="403" t="s">
        <v>155</v>
      </c>
      <c r="R702" s="403" t="s">
        <v>8497</v>
      </c>
      <c r="S702" s="403"/>
      <c r="T702" s="403" t="s">
        <v>3060</v>
      </c>
      <c r="U702" s="403" t="s">
        <v>152</v>
      </c>
      <c r="V702" s="403" t="s">
        <v>18</v>
      </c>
    </row>
    <row r="703" spans="1:22">
      <c r="A703" s="6"/>
      <c r="B703" s="216">
        <v>46220</v>
      </c>
      <c r="C703" s="216">
        <v>46220</v>
      </c>
      <c r="D703" s="403" t="s">
        <v>8498</v>
      </c>
      <c r="E703" s="403">
        <v>260104020300</v>
      </c>
      <c r="F703" s="403" t="s">
        <v>87</v>
      </c>
      <c r="G703" s="403" t="s">
        <v>2563</v>
      </c>
      <c r="H703" s="403">
        <v>95</v>
      </c>
      <c r="I703" s="403">
        <v>122</v>
      </c>
      <c r="J703" s="374">
        <v>122</v>
      </c>
      <c r="K703" s="403">
        <v>134</v>
      </c>
      <c r="L703" s="217">
        <v>500</v>
      </c>
      <c r="M703" s="403" t="s">
        <v>153</v>
      </c>
      <c r="N703" s="403" t="s">
        <v>149</v>
      </c>
      <c r="O703" s="403" t="s">
        <v>154</v>
      </c>
      <c r="P703" s="403" t="s">
        <v>151</v>
      </c>
      <c r="Q703" s="403" t="s">
        <v>155</v>
      </c>
      <c r="R703" s="403" t="s">
        <v>8499</v>
      </c>
      <c r="S703" s="403"/>
      <c r="T703" s="403" t="s">
        <v>3060</v>
      </c>
      <c r="U703" s="403" t="s">
        <v>152</v>
      </c>
      <c r="V703" s="403" t="s">
        <v>18</v>
      </c>
    </row>
    <row r="704" spans="1:22">
      <c r="A704" s="6"/>
      <c r="B704" s="216">
        <v>46220</v>
      </c>
      <c r="C704" s="216">
        <v>46220</v>
      </c>
      <c r="D704" s="403" t="s">
        <v>8500</v>
      </c>
      <c r="E704" s="403">
        <v>260101920335</v>
      </c>
      <c r="F704" s="403" t="s">
        <v>87</v>
      </c>
      <c r="G704" s="403" t="s">
        <v>2563</v>
      </c>
      <c r="H704" s="403">
        <v>95</v>
      </c>
      <c r="I704" s="403">
        <v>244</v>
      </c>
      <c r="J704" s="374">
        <v>244</v>
      </c>
      <c r="K704" s="403">
        <v>134</v>
      </c>
      <c r="L704" s="217">
        <v>1000</v>
      </c>
      <c r="M704" s="403" t="s">
        <v>153</v>
      </c>
      <c r="N704" s="403" t="s">
        <v>149</v>
      </c>
      <c r="O704" s="403" t="s">
        <v>154</v>
      </c>
      <c r="P704" s="403" t="s">
        <v>151</v>
      </c>
      <c r="Q704" s="403" t="s">
        <v>155</v>
      </c>
      <c r="R704" s="403" t="s">
        <v>8501</v>
      </c>
      <c r="S704" s="403"/>
      <c r="T704" s="403" t="s">
        <v>3060</v>
      </c>
      <c r="U704" s="403" t="s">
        <v>152</v>
      </c>
      <c r="V704" s="403" t="s">
        <v>18</v>
      </c>
    </row>
    <row r="705" spans="1:22">
      <c r="A705" s="6"/>
      <c r="B705" s="216">
        <v>46220</v>
      </c>
      <c r="C705" s="216">
        <v>46220</v>
      </c>
      <c r="D705" s="403" t="s">
        <v>8502</v>
      </c>
      <c r="E705" s="403">
        <v>260105320343</v>
      </c>
      <c r="F705" s="403" t="s">
        <v>87</v>
      </c>
      <c r="G705" s="403" t="s">
        <v>2555</v>
      </c>
      <c r="H705" s="403">
        <v>152</v>
      </c>
      <c r="I705" s="403">
        <v>297</v>
      </c>
      <c r="J705" s="374">
        <v>297</v>
      </c>
      <c r="K705" s="403">
        <v>104</v>
      </c>
      <c r="L705" s="217">
        <v>1960</v>
      </c>
      <c r="M705" s="403" t="s">
        <v>153</v>
      </c>
      <c r="N705" s="403" t="s">
        <v>149</v>
      </c>
      <c r="O705" s="403" t="s">
        <v>154</v>
      </c>
      <c r="P705" s="403" t="s">
        <v>151</v>
      </c>
      <c r="Q705" s="403" t="s">
        <v>155</v>
      </c>
      <c r="R705" s="403" t="s">
        <v>8503</v>
      </c>
      <c r="S705" s="403"/>
      <c r="T705" s="403" t="s">
        <v>3060</v>
      </c>
      <c r="U705" s="403" t="s">
        <v>152</v>
      </c>
      <c r="V705" s="403" t="s">
        <v>18</v>
      </c>
    </row>
    <row r="706" spans="1:22">
      <c r="A706" s="6"/>
      <c r="B706" s="216">
        <v>46220</v>
      </c>
      <c r="C706" s="216">
        <v>46220</v>
      </c>
      <c r="D706" s="403" t="s">
        <v>8504</v>
      </c>
      <c r="E706" s="403">
        <v>260102020339</v>
      </c>
      <c r="F706" s="403" t="s">
        <v>87</v>
      </c>
      <c r="G706" s="403" t="s">
        <v>2563</v>
      </c>
      <c r="H706" s="403">
        <v>95</v>
      </c>
      <c r="I706" s="403">
        <v>245</v>
      </c>
      <c r="J706" s="374">
        <v>245</v>
      </c>
      <c r="K706" s="403">
        <v>134</v>
      </c>
      <c r="L706" s="217">
        <v>1000</v>
      </c>
      <c r="M706" s="403" t="s">
        <v>153</v>
      </c>
      <c r="N706" s="403" t="s">
        <v>149</v>
      </c>
      <c r="O706" s="403" t="s">
        <v>154</v>
      </c>
      <c r="P706" s="403" t="s">
        <v>151</v>
      </c>
      <c r="Q706" s="403" t="s">
        <v>155</v>
      </c>
      <c r="R706" s="403" t="s">
        <v>8505</v>
      </c>
      <c r="S706" s="403"/>
      <c r="T706" s="403" t="s">
        <v>3060</v>
      </c>
      <c r="U706" s="403" t="s">
        <v>152</v>
      </c>
      <c r="V706" s="403" t="s">
        <v>18</v>
      </c>
    </row>
    <row r="707" spans="1:22">
      <c r="A707" s="6"/>
      <c r="B707" s="216">
        <v>46220</v>
      </c>
      <c r="C707" s="216">
        <v>46220</v>
      </c>
      <c r="D707" s="403" t="s">
        <v>8506</v>
      </c>
      <c r="E707" s="403">
        <v>260100920332</v>
      </c>
      <c r="F707" s="403" t="s">
        <v>87</v>
      </c>
      <c r="G707" s="403" t="s">
        <v>7130</v>
      </c>
      <c r="H707" s="403">
        <v>182</v>
      </c>
      <c r="I707" s="403">
        <v>351</v>
      </c>
      <c r="J707" s="374">
        <v>351</v>
      </c>
      <c r="K707" s="403">
        <v>190</v>
      </c>
      <c r="L707" s="217">
        <v>520</v>
      </c>
      <c r="M707" s="403" t="s">
        <v>153</v>
      </c>
      <c r="N707" s="403" t="s">
        <v>149</v>
      </c>
      <c r="O707" s="403" t="s">
        <v>154</v>
      </c>
      <c r="P707" s="403" t="s">
        <v>151</v>
      </c>
      <c r="Q707" s="403" t="s">
        <v>155</v>
      </c>
      <c r="R707" s="403" t="s">
        <v>8507</v>
      </c>
      <c r="S707" s="403"/>
      <c r="T707" s="403" t="s">
        <v>3060</v>
      </c>
      <c r="U707" s="403" t="s">
        <v>152</v>
      </c>
      <c r="V707" s="403" t="s">
        <v>18</v>
      </c>
    </row>
    <row r="708" spans="1:22">
      <c r="A708" s="6"/>
      <c r="B708" s="216">
        <v>46220</v>
      </c>
      <c r="C708" s="216">
        <v>46220</v>
      </c>
      <c r="D708" s="403" t="s">
        <v>8508</v>
      </c>
      <c r="E708" s="403">
        <v>260107020354</v>
      </c>
      <c r="F708" s="403" t="s">
        <v>87</v>
      </c>
      <c r="G708" s="403" t="s">
        <v>2310</v>
      </c>
      <c r="H708" s="403">
        <v>125</v>
      </c>
      <c r="I708" s="403">
        <v>245</v>
      </c>
      <c r="J708" s="374">
        <v>245</v>
      </c>
      <c r="K708" s="403">
        <v>87</v>
      </c>
      <c r="L708" s="217">
        <v>2310</v>
      </c>
      <c r="M708" s="403" t="s">
        <v>153</v>
      </c>
      <c r="N708" s="403" t="s">
        <v>149</v>
      </c>
      <c r="O708" s="403" t="s">
        <v>154</v>
      </c>
      <c r="P708" s="403" t="s">
        <v>151</v>
      </c>
      <c r="Q708" s="403" t="s">
        <v>155</v>
      </c>
      <c r="R708" s="403" t="s">
        <v>8509</v>
      </c>
      <c r="S708" s="403"/>
      <c r="T708" s="403" t="s">
        <v>3060</v>
      </c>
      <c r="U708" s="403" t="s">
        <v>152</v>
      </c>
      <c r="V708" s="403" t="s">
        <v>18</v>
      </c>
    </row>
    <row r="709" spans="1:22">
      <c r="A709" s="6"/>
      <c r="B709" s="216">
        <v>46220</v>
      </c>
      <c r="C709" s="216">
        <v>46220</v>
      </c>
      <c r="D709" s="403" t="s">
        <v>8510</v>
      </c>
      <c r="E709" s="403">
        <v>260107820352</v>
      </c>
      <c r="F709" s="403" t="s">
        <v>87</v>
      </c>
      <c r="G709" s="403" t="s">
        <v>2425</v>
      </c>
      <c r="H709" s="403">
        <v>132</v>
      </c>
      <c r="I709" s="403">
        <v>278</v>
      </c>
      <c r="J709" s="374">
        <v>278</v>
      </c>
      <c r="K709" s="403">
        <v>92</v>
      </c>
      <c r="L709" s="217">
        <v>2390</v>
      </c>
      <c r="M709" s="403" t="s">
        <v>153</v>
      </c>
      <c r="N709" s="403" t="s">
        <v>149</v>
      </c>
      <c r="O709" s="403" t="s">
        <v>154</v>
      </c>
      <c r="P709" s="403" t="s">
        <v>151</v>
      </c>
      <c r="Q709" s="403" t="s">
        <v>155</v>
      </c>
      <c r="R709" s="403" t="s">
        <v>8511</v>
      </c>
      <c r="S709" s="403"/>
      <c r="T709" s="403" t="s">
        <v>3060</v>
      </c>
      <c r="U709" s="403" t="s">
        <v>152</v>
      </c>
      <c r="V709" s="403" t="s">
        <v>18</v>
      </c>
    </row>
    <row r="710" spans="1:22">
      <c r="A710" s="6"/>
      <c r="B710" s="216">
        <v>46220</v>
      </c>
      <c r="C710" s="216">
        <v>46220</v>
      </c>
      <c r="D710" s="403" t="s">
        <v>8512</v>
      </c>
      <c r="E710" s="403">
        <v>260107520353</v>
      </c>
      <c r="F710" s="403" t="s">
        <v>87</v>
      </c>
      <c r="G710" s="403" t="s">
        <v>2310</v>
      </c>
      <c r="H710" s="403">
        <v>125</v>
      </c>
      <c r="I710" s="403">
        <v>286</v>
      </c>
      <c r="J710" s="374">
        <v>286</v>
      </c>
      <c r="K710" s="403">
        <v>87</v>
      </c>
      <c r="L710" s="217">
        <v>2700</v>
      </c>
      <c r="M710" s="403" t="s">
        <v>153</v>
      </c>
      <c r="N710" s="403" t="s">
        <v>149</v>
      </c>
      <c r="O710" s="403" t="s">
        <v>154</v>
      </c>
      <c r="P710" s="403" t="s">
        <v>151</v>
      </c>
      <c r="Q710" s="403" t="s">
        <v>155</v>
      </c>
      <c r="R710" s="403" t="s">
        <v>8513</v>
      </c>
      <c r="S710" s="403"/>
      <c r="T710" s="403" t="s">
        <v>3060</v>
      </c>
      <c r="U710" s="403" t="s">
        <v>152</v>
      </c>
      <c r="V710" s="403" t="s">
        <v>18</v>
      </c>
    </row>
    <row r="711" spans="1:22">
      <c r="A711" s="6"/>
      <c r="B711" s="216">
        <v>46220</v>
      </c>
      <c r="C711" s="216">
        <v>46220</v>
      </c>
      <c r="D711" s="403" t="s">
        <v>8514</v>
      </c>
      <c r="E711" s="403">
        <v>260106120309</v>
      </c>
      <c r="F711" s="403" t="s">
        <v>87</v>
      </c>
      <c r="G711" s="403" t="s">
        <v>2310</v>
      </c>
      <c r="H711" s="403">
        <v>125</v>
      </c>
      <c r="I711" s="403">
        <v>248</v>
      </c>
      <c r="J711" s="374">
        <v>248</v>
      </c>
      <c r="K711" s="403">
        <v>87</v>
      </c>
      <c r="L711" s="217">
        <v>2360</v>
      </c>
      <c r="M711" s="403" t="s">
        <v>153</v>
      </c>
      <c r="N711" s="403" t="s">
        <v>149</v>
      </c>
      <c r="O711" s="403" t="s">
        <v>154</v>
      </c>
      <c r="P711" s="403" t="s">
        <v>151</v>
      </c>
      <c r="Q711" s="403" t="s">
        <v>155</v>
      </c>
      <c r="R711" s="403" t="s">
        <v>8515</v>
      </c>
      <c r="S711" s="403"/>
      <c r="T711" s="403" t="s">
        <v>3060</v>
      </c>
      <c r="U711" s="403" t="s">
        <v>152</v>
      </c>
      <c r="V711" s="403" t="s">
        <v>18</v>
      </c>
    </row>
    <row r="712" spans="1:22">
      <c r="A712" s="6"/>
      <c r="B712" s="216">
        <v>46220</v>
      </c>
      <c r="C712" s="216">
        <v>46220</v>
      </c>
      <c r="D712" s="403" t="s">
        <v>8516</v>
      </c>
      <c r="E712" s="403">
        <v>260107620314</v>
      </c>
      <c r="F712" s="403" t="s">
        <v>87</v>
      </c>
      <c r="G712" s="403" t="s">
        <v>7928</v>
      </c>
      <c r="H712" s="403">
        <v>132</v>
      </c>
      <c r="I712" s="403">
        <v>251</v>
      </c>
      <c r="J712" s="374">
        <v>251</v>
      </c>
      <c r="K712" s="403">
        <v>87</v>
      </c>
      <c r="L712" s="217">
        <v>2300</v>
      </c>
      <c r="M712" s="403" t="s">
        <v>153</v>
      </c>
      <c r="N712" s="403" t="s">
        <v>149</v>
      </c>
      <c r="O712" s="403" t="s">
        <v>154</v>
      </c>
      <c r="P712" s="403" t="s">
        <v>151</v>
      </c>
      <c r="Q712" s="403" t="s">
        <v>155</v>
      </c>
      <c r="R712" s="403" t="s">
        <v>8517</v>
      </c>
      <c r="S712" s="403"/>
      <c r="T712" s="403" t="s">
        <v>3060</v>
      </c>
      <c r="U712" s="403" t="s">
        <v>152</v>
      </c>
      <c r="V712" s="403" t="s">
        <v>18</v>
      </c>
    </row>
    <row r="713" spans="1:22">
      <c r="A713" s="6"/>
      <c r="B713" s="216">
        <v>46220</v>
      </c>
      <c r="C713" s="216">
        <v>46220</v>
      </c>
      <c r="D713" s="403" t="s">
        <v>8518</v>
      </c>
      <c r="E713" s="403">
        <v>260102720301</v>
      </c>
      <c r="F713" s="403" t="s">
        <v>87</v>
      </c>
      <c r="G713" s="403" t="s">
        <v>2554</v>
      </c>
      <c r="H713" s="403">
        <v>102</v>
      </c>
      <c r="I713" s="403">
        <v>242</v>
      </c>
      <c r="J713" s="374">
        <v>242</v>
      </c>
      <c r="K713" s="403">
        <v>125</v>
      </c>
      <c r="L713" s="217">
        <v>1000</v>
      </c>
      <c r="M713" s="403" t="s">
        <v>153</v>
      </c>
      <c r="N713" s="403" t="s">
        <v>149</v>
      </c>
      <c r="O713" s="403" t="s">
        <v>154</v>
      </c>
      <c r="P713" s="403" t="s">
        <v>151</v>
      </c>
      <c r="Q713" s="403" t="s">
        <v>155</v>
      </c>
      <c r="R713" s="403" t="s">
        <v>8519</v>
      </c>
      <c r="S713" s="403"/>
      <c r="T713" s="403" t="s">
        <v>3060</v>
      </c>
      <c r="U713" s="403" t="s">
        <v>152</v>
      </c>
      <c r="V713" s="403" t="s">
        <v>18</v>
      </c>
    </row>
    <row r="714" spans="1:22">
      <c r="A714" s="6"/>
      <c r="B714" s="216">
        <v>46220</v>
      </c>
      <c r="C714" s="216">
        <v>46220</v>
      </c>
      <c r="D714" s="403" t="s">
        <v>8520</v>
      </c>
      <c r="E714" s="403">
        <v>260100920302</v>
      </c>
      <c r="F714" s="403" t="s">
        <v>87</v>
      </c>
      <c r="G714" s="403" t="s">
        <v>7130</v>
      </c>
      <c r="H714" s="403">
        <v>182</v>
      </c>
      <c r="I714" s="403">
        <v>339</v>
      </c>
      <c r="J714" s="374">
        <v>339</v>
      </c>
      <c r="K714" s="403">
        <v>190</v>
      </c>
      <c r="L714" s="217">
        <v>500</v>
      </c>
      <c r="M714" s="403" t="s">
        <v>153</v>
      </c>
      <c r="N714" s="403" t="s">
        <v>149</v>
      </c>
      <c r="O714" s="403" t="s">
        <v>154</v>
      </c>
      <c r="P714" s="403" t="s">
        <v>151</v>
      </c>
      <c r="Q714" s="403" t="s">
        <v>155</v>
      </c>
      <c r="R714" s="403" t="s">
        <v>8521</v>
      </c>
      <c r="S714" s="403"/>
      <c r="T714" s="403" t="s">
        <v>3060</v>
      </c>
      <c r="U714" s="403" t="s">
        <v>152</v>
      </c>
      <c r="V714" s="403" t="s">
        <v>18</v>
      </c>
    </row>
    <row r="715" spans="1:22">
      <c r="A715" s="6"/>
      <c r="B715" s="216">
        <v>46220</v>
      </c>
      <c r="C715" s="216">
        <v>46220</v>
      </c>
      <c r="D715" s="403" t="s">
        <v>8522</v>
      </c>
      <c r="E715" s="403">
        <v>260105220344</v>
      </c>
      <c r="F715" s="403" t="s">
        <v>87</v>
      </c>
      <c r="G715" s="403" t="s">
        <v>8347</v>
      </c>
      <c r="H715" s="403">
        <v>152</v>
      </c>
      <c r="I715" s="403">
        <v>299</v>
      </c>
      <c r="J715" s="374">
        <v>299</v>
      </c>
      <c r="K715" s="403">
        <v>104</v>
      </c>
      <c r="L715" s="217">
        <v>1960</v>
      </c>
      <c r="M715" s="403" t="s">
        <v>153</v>
      </c>
      <c r="N715" s="403" t="s">
        <v>149</v>
      </c>
      <c r="O715" s="403" t="s">
        <v>154</v>
      </c>
      <c r="P715" s="403" t="s">
        <v>151</v>
      </c>
      <c r="Q715" s="403" t="s">
        <v>155</v>
      </c>
      <c r="R715" s="403" t="s">
        <v>8523</v>
      </c>
      <c r="S715" s="403"/>
      <c r="T715" s="403" t="s">
        <v>3060</v>
      </c>
      <c r="U715" s="403" t="s">
        <v>152</v>
      </c>
      <c r="V715" s="403" t="s">
        <v>18</v>
      </c>
    </row>
    <row r="716" spans="1:22">
      <c r="A716" s="6"/>
      <c r="B716" s="216">
        <v>46220</v>
      </c>
      <c r="C716" s="216">
        <v>46220</v>
      </c>
      <c r="D716" s="403" t="s">
        <v>8524</v>
      </c>
      <c r="E716" s="403">
        <v>260101320259</v>
      </c>
      <c r="F716" s="403" t="s">
        <v>87</v>
      </c>
      <c r="G716" s="403" t="s">
        <v>7026</v>
      </c>
      <c r="H716" s="403" t="s">
        <v>8525</v>
      </c>
      <c r="I716" s="403">
        <v>815</v>
      </c>
      <c r="J716" s="374">
        <v>815</v>
      </c>
      <c r="K716" s="403">
        <v>190</v>
      </c>
      <c r="L716" s="217">
        <v>1400</v>
      </c>
      <c r="M716" s="403" t="s">
        <v>153</v>
      </c>
      <c r="N716" s="403" t="s">
        <v>149</v>
      </c>
      <c r="O716" s="403" t="s">
        <v>154</v>
      </c>
      <c r="P716" s="403" t="s">
        <v>151</v>
      </c>
      <c r="Q716" s="403" t="s">
        <v>156</v>
      </c>
      <c r="R716" s="403" t="s">
        <v>8526</v>
      </c>
      <c r="S716" s="403"/>
      <c r="T716" s="403" t="s">
        <v>3060</v>
      </c>
      <c r="U716" s="403" t="s">
        <v>152</v>
      </c>
      <c r="V716" s="403" t="s">
        <v>20</v>
      </c>
    </row>
    <row r="717" spans="1:22">
      <c r="A717" s="6"/>
      <c r="B717" s="216">
        <v>46220</v>
      </c>
      <c r="C717" s="216">
        <v>46220</v>
      </c>
      <c r="D717" s="403" t="s">
        <v>8527</v>
      </c>
      <c r="E717" s="403" t="s">
        <v>8528</v>
      </c>
      <c r="F717" s="403" t="s">
        <v>87</v>
      </c>
      <c r="G717" s="403" t="s">
        <v>2659</v>
      </c>
      <c r="H717" s="403" t="s">
        <v>8529</v>
      </c>
      <c r="I717" s="403">
        <v>335</v>
      </c>
      <c r="J717" s="374">
        <v>335</v>
      </c>
      <c r="K717" s="403">
        <v>92</v>
      </c>
      <c r="L717" s="217">
        <v>4900</v>
      </c>
      <c r="M717" s="403" t="s">
        <v>153</v>
      </c>
      <c r="N717" s="403" t="s">
        <v>149</v>
      </c>
      <c r="O717" s="403" t="s">
        <v>154</v>
      </c>
      <c r="P717" s="403" t="s">
        <v>151</v>
      </c>
      <c r="Q717" s="403" t="s">
        <v>156</v>
      </c>
      <c r="R717" s="403" t="s">
        <v>8530</v>
      </c>
      <c r="S717" s="403"/>
      <c r="T717" s="403" t="s">
        <v>3060</v>
      </c>
      <c r="U717" s="403" t="s">
        <v>152</v>
      </c>
      <c r="V717" s="403" t="s">
        <v>20</v>
      </c>
    </row>
    <row r="718" spans="1:22">
      <c r="A718" s="6"/>
      <c r="B718" s="216">
        <v>46220</v>
      </c>
      <c r="C718" s="216">
        <v>46220</v>
      </c>
      <c r="D718" s="403" t="s">
        <v>8531</v>
      </c>
      <c r="E718" s="403">
        <v>260101420358</v>
      </c>
      <c r="F718" s="403" t="s">
        <v>87</v>
      </c>
      <c r="G718" s="403" t="s">
        <v>859</v>
      </c>
      <c r="H718" s="403">
        <v>152</v>
      </c>
      <c r="I718" s="403">
        <v>230</v>
      </c>
      <c r="J718" s="374">
        <v>230</v>
      </c>
      <c r="K718" s="403">
        <v>104</v>
      </c>
      <c r="L718" s="217">
        <v>1500</v>
      </c>
      <c r="M718" s="403" t="s">
        <v>153</v>
      </c>
      <c r="N718" s="403" t="s">
        <v>149</v>
      </c>
      <c r="O718" s="403" t="s">
        <v>154</v>
      </c>
      <c r="P718" s="403" t="s">
        <v>151</v>
      </c>
      <c r="Q718" s="403" t="s">
        <v>155</v>
      </c>
      <c r="R718" s="403" t="s">
        <v>8532</v>
      </c>
      <c r="S718" s="403"/>
      <c r="T718" s="403" t="s">
        <v>3064</v>
      </c>
      <c r="U718" s="403" t="s">
        <v>152</v>
      </c>
      <c r="V718" s="403" t="s">
        <v>18</v>
      </c>
    </row>
    <row r="719" spans="1:22">
      <c r="A719" s="6"/>
      <c r="B719" s="216">
        <v>46220</v>
      </c>
      <c r="C719" s="216">
        <v>46220</v>
      </c>
      <c r="D719" s="403" t="s">
        <v>8533</v>
      </c>
      <c r="E719" s="403">
        <v>260102820305</v>
      </c>
      <c r="F719" s="403" t="s">
        <v>87</v>
      </c>
      <c r="G719" s="403" t="s">
        <v>2554</v>
      </c>
      <c r="H719" s="403">
        <v>102</v>
      </c>
      <c r="I719" s="403">
        <v>238</v>
      </c>
      <c r="J719" s="374">
        <v>238</v>
      </c>
      <c r="K719" s="403">
        <v>125</v>
      </c>
      <c r="L719" s="217">
        <v>1000</v>
      </c>
      <c r="M719" s="403" t="s">
        <v>153</v>
      </c>
      <c r="N719" s="403" t="s">
        <v>149</v>
      </c>
      <c r="O719" s="403" t="s">
        <v>154</v>
      </c>
      <c r="P719" s="403" t="s">
        <v>151</v>
      </c>
      <c r="Q719" s="403" t="s">
        <v>155</v>
      </c>
      <c r="R719" s="403" t="s">
        <v>8534</v>
      </c>
      <c r="S719" s="403"/>
      <c r="T719" s="403" t="s">
        <v>3064</v>
      </c>
      <c r="U719" s="403" t="s">
        <v>152</v>
      </c>
      <c r="V719" s="403" t="s">
        <v>18</v>
      </c>
    </row>
    <row r="720" spans="1:22">
      <c r="A720" s="6"/>
      <c r="B720" s="216">
        <v>46220</v>
      </c>
      <c r="C720" s="216">
        <v>46220</v>
      </c>
      <c r="D720" s="403" t="s">
        <v>8535</v>
      </c>
      <c r="E720" s="403">
        <v>260101420355</v>
      </c>
      <c r="F720" s="403" t="s">
        <v>87</v>
      </c>
      <c r="G720" s="403" t="s">
        <v>859</v>
      </c>
      <c r="H720" s="403">
        <v>152</v>
      </c>
      <c r="I720" s="403">
        <v>230</v>
      </c>
      <c r="J720" s="374">
        <v>230</v>
      </c>
      <c r="K720" s="403">
        <v>104</v>
      </c>
      <c r="L720" s="217">
        <v>1500</v>
      </c>
      <c r="M720" s="403" t="s">
        <v>153</v>
      </c>
      <c r="N720" s="403" t="s">
        <v>149</v>
      </c>
      <c r="O720" s="403" t="s">
        <v>154</v>
      </c>
      <c r="P720" s="403" t="s">
        <v>151</v>
      </c>
      <c r="Q720" s="403" t="s">
        <v>155</v>
      </c>
      <c r="R720" s="403" t="s">
        <v>8536</v>
      </c>
      <c r="S720" s="403"/>
      <c r="T720" s="403" t="s">
        <v>3064</v>
      </c>
      <c r="U720" s="403" t="s">
        <v>152</v>
      </c>
      <c r="V720" s="403" t="s">
        <v>18</v>
      </c>
    </row>
    <row r="721" spans="1:22">
      <c r="A721" s="6"/>
      <c r="B721" s="216">
        <v>46220</v>
      </c>
      <c r="C721" s="216">
        <v>46220</v>
      </c>
      <c r="D721" s="403" t="s">
        <v>8537</v>
      </c>
      <c r="E721" s="403">
        <v>260102920359</v>
      </c>
      <c r="F721" s="403" t="s">
        <v>87</v>
      </c>
      <c r="G721" s="403" t="s">
        <v>859</v>
      </c>
      <c r="H721" s="403">
        <v>152</v>
      </c>
      <c r="I721" s="403">
        <v>253</v>
      </c>
      <c r="J721" s="374">
        <v>253</v>
      </c>
      <c r="K721" s="403">
        <v>104</v>
      </c>
      <c r="L721" s="217">
        <v>1640</v>
      </c>
      <c r="M721" s="403" t="s">
        <v>153</v>
      </c>
      <c r="N721" s="403" t="s">
        <v>149</v>
      </c>
      <c r="O721" s="403" t="s">
        <v>154</v>
      </c>
      <c r="P721" s="403" t="s">
        <v>151</v>
      </c>
      <c r="Q721" s="403" t="s">
        <v>155</v>
      </c>
      <c r="R721" s="403" t="s">
        <v>8538</v>
      </c>
      <c r="S721" s="403"/>
      <c r="T721" s="403" t="s">
        <v>3064</v>
      </c>
      <c r="U721" s="403" t="s">
        <v>152</v>
      </c>
      <c r="V721" s="403" t="s">
        <v>18</v>
      </c>
    </row>
    <row r="722" spans="1:22">
      <c r="A722" s="6"/>
      <c r="B722" s="216">
        <v>46220</v>
      </c>
      <c r="C722" s="216">
        <v>46220</v>
      </c>
      <c r="D722" s="403" t="s">
        <v>8539</v>
      </c>
      <c r="E722" s="403">
        <v>260101420357</v>
      </c>
      <c r="F722" s="403" t="s">
        <v>87</v>
      </c>
      <c r="G722" s="403" t="s">
        <v>859</v>
      </c>
      <c r="H722" s="403">
        <v>152</v>
      </c>
      <c r="I722" s="403">
        <v>231</v>
      </c>
      <c r="J722" s="374">
        <v>231</v>
      </c>
      <c r="K722" s="403">
        <v>104</v>
      </c>
      <c r="L722" s="217">
        <v>1500</v>
      </c>
      <c r="M722" s="403" t="s">
        <v>153</v>
      </c>
      <c r="N722" s="403" t="s">
        <v>149</v>
      </c>
      <c r="O722" s="403" t="s">
        <v>154</v>
      </c>
      <c r="P722" s="403" t="s">
        <v>151</v>
      </c>
      <c r="Q722" s="403" t="s">
        <v>155</v>
      </c>
      <c r="R722" s="403" t="s">
        <v>8540</v>
      </c>
      <c r="S722" s="403"/>
      <c r="T722" s="403" t="s">
        <v>3064</v>
      </c>
      <c r="U722" s="403" t="s">
        <v>152</v>
      </c>
      <c r="V722" s="403" t="s">
        <v>18</v>
      </c>
    </row>
    <row r="723" spans="1:22">
      <c r="A723" s="6"/>
      <c r="B723" s="216">
        <v>46220</v>
      </c>
      <c r="C723" s="216">
        <v>46220</v>
      </c>
      <c r="D723" s="403" t="s">
        <v>8541</v>
      </c>
      <c r="E723" s="403">
        <v>260102920360</v>
      </c>
      <c r="F723" s="403" t="s">
        <v>87</v>
      </c>
      <c r="G723" s="403" t="s">
        <v>859</v>
      </c>
      <c r="H723" s="403">
        <v>152</v>
      </c>
      <c r="I723" s="403">
        <v>259</v>
      </c>
      <c r="J723" s="374">
        <v>259</v>
      </c>
      <c r="K723" s="403">
        <v>104</v>
      </c>
      <c r="L723" s="217">
        <v>1640</v>
      </c>
      <c r="M723" s="403" t="s">
        <v>153</v>
      </c>
      <c r="N723" s="403" t="s">
        <v>149</v>
      </c>
      <c r="O723" s="403" t="s">
        <v>154</v>
      </c>
      <c r="P723" s="403" t="s">
        <v>151</v>
      </c>
      <c r="Q723" s="403" t="s">
        <v>155</v>
      </c>
      <c r="R723" s="403" t="s">
        <v>8542</v>
      </c>
      <c r="S723" s="403"/>
      <c r="T723" s="403" t="s">
        <v>3064</v>
      </c>
      <c r="U723" s="403" t="s">
        <v>152</v>
      </c>
      <c r="V723" s="403" t="s">
        <v>18</v>
      </c>
    </row>
    <row r="724" spans="1:22">
      <c r="A724" s="6"/>
      <c r="B724" s="216">
        <v>46220</v>
      </c>
      <c r="C724" s="216">
        <v>46220</v>
      </c>
      <c r="D724" s="403" t="s">
        <v>8543</v>
      </c>
      <c r="E724" s="403">
        <v>260102620334</v>
      </c>
      <c r="F724" s="403" t="s">
        <v>87</v>
      </c>
      <c r="G724" s="403" t="s">
        <v>2554</v>
      </c>
      <c r="H724" s="403">
        <v>102</v>
      </c>
      <c r="I724" s="403">
        <v>255</v>
      </c>
      <c r="J724" s="374">
        <v>255</v>
      </c>
      <c r="K724" s="403">
        <v>125</v>
      </c>
      <c r="L724" s="217">
        <v>1030</v>
      </c>
      <c r="M724" s="403" t="s">
        <v>153</v>
      </c>
      <c r="N724" s="403" t="s">
        <v>149</v>
      </c>
      <c r="O724" s="403" t="s">
        <v>154</v>
      </c>
      <c r="P724" s="403" t="s">
        <v>151</v>
      </c>
      <c r="Q724" s="403" t="s">
        <v>155</v>
      </c>
      <c r="R724" s="403" t="s">
        <v>8544</v>
      </c>
      <c r="S724" s="403"/>
      <c r="T724" s="403" t="s">
        <v>3064</v>
      </c>
      <c r="U724" s="403" t="s">
        <v>152</v>
      </c>
      <c r="V724" s="403" t="s">
        <v>18</v>
      </c>
    </row>
    <row r="725" spans="1:22">
      <c r="A725" s="6"/>
      <c r="B725" s="216">
        <v>46220</v>
      </c>
      <c r="C725" s="216">
        <v>46220</v>
      </c>
      <c r="D725" s="403" t="s">
        <v>8545</v>
      </c>
      <c r="E725" s="403">
        <v>260105520345</v>
      </c>
      <c r="F725" s="403" t="s">
        <v>87</v>
      </c>
      <c r="G725" s="403" t="s">
        <v>8546</v>
      </c>
      <c r="H725" s="403">
        <v>162</v>
      </c>
      <c r="I725" s="403">
        <v>191</v>
      </c>
      <c r="J725" s="374">
        <v>191</v>
      </c>
      <c r="K725" s="403">
        <v>77</v>
      </c>
      <c r="L725" s="217">
        <v>1600</v>
      </c>
      <c r="M725" s="403" t="s">
        <v>153</v>
      </c>
      <c r="N725" s="403" t="s">
        <v>149</v>
      </c>
      <c r="O725" s="403" t="s">
        <v>154</v>
      </c>
      <c r="P725" s="403" t="s">
        <v>151</v>
      </c>
      <c r="Q725" s="403" t="s">
        <v>155</v>
      </c>
      <c r="R725" s="403" t="s">
        <v>8547</v>
      </c>
      <c r="S725" s="403"/>
      <c r="T725" s="403" t="s">
        <v>3064</v>
      </c>
      <c r="U725" s="403" t="s">
        <v>152</v>
      </c>
      <c r="V725" s="403" t="s">
        <v>18</v>
      </c>
    </row>
    <row r="726" spans="1:22">
      <c r="A726" s="6"/>
      <c r="B726" s="216">
        <v>46220</v>
      </c>
      <c r="C726" s="216">
        <v>46220</v>
      </c>
      <c r="D726" s="403" t="s">
        <v>8548</v>
      </c>
      <c r="E726" s="403">
        <v>260101420356</v>
      </c>
      <c r="F726" s="403" t="s">
        <v>87</v>
      </c>
      <c r="G726" s="403" t="s">
        <v>859</v>
      </c>
      <c r="H726" s="403">
        <v>152</v>
      </c>
      <c r="I726" s="403">
        <v>232</v>
      </c>
      <c r="J726" s="374">
        <v>232</v>
      </c>
      <c r="K726" s="403">
        <v>104</v>
      </c>
      <c r="L726" s="217">
        <v>1500</v>
      </c>
      <c r="M726" s="403" t="s">
        <v>153</v>
      </c>
      <c r="N726" s="403" t="s">
        <v>149</v>
      </c>
      <c r="O726" s="403" t="s">
        <v>154</v>
      </c>
      <c r="P726" s="403" t="s">
        <v>151</v>
      </c>
      <c r="Q726" s="403" t="s">
        <v>155</v>
      </c>
      <c r="R726" s="403" t="s">
        <v>8549</v>
      </c>
      <c r="S726" s="403"/>
      <c r="T726" s="403" t="s">
        <v>3064</v>
      </c>
      <c r="U726" s="403" t="s">
        <v>152</v>
      </c>
      <c r="V726" s="403" t="s">
        <v>18</v>
      </c>
    </row>
    <row r="727" spans="1:22">
      <c r="A727" s="6"/>
      <c r="B727" s="216">
        <v>46220</v>
      </c>
      <c r="C727" s="216">
        <v>46220</v>
      </c>
      <c r="D727" s="403" t="s">
        <v>8550</v>
      </c>
      <c r="E727" s="403">
        <v>260101320323</v>
      </c>
      <c r="F727" s="403" t="s">
        <v>87</v>
      </c>
      <c r="G727" s="403" t="s">
        <v>7026</v>
      </c>
      <c r="H727" s="403" t="s">
        <v>8525</v>
      </c>
      <c r="I727" s="403">
        <v>700</v>
      </c>
      <c r="J727" s="374">
        <v>700</v>
      </c>
      <c r="K727" s="403">
        <v>190</v>
      </c>
      <c r="L727" s="217">
        <v>1195</v>
      </c>
      <c r="M727" s="403" t="s">
        <v>153</v>
      </c>
      <c r="N727" s="403" t="s">
        <v>149</v>
      </c>
      <c r="O727" s="403" t="s">
        <v>154</v>
      </c>
      <c r="P727" s="403" t="s">
        <v>151</v>
      </c>
      <c r="Q727" s="403" t="s">
        <v>156</v>
      </c>
      <c r="R727" s="403" t="s">
        <v>8551</v>
      </c>
      <c r="S727" s="403"/>
      <c r="T727" s="403" t="s">
        <v>3064</v>
      </c>
      <c r="U727" s="403" t="s">
        <v>152</v>
      </c>
      <c r="V727" s="403" t="s">
        <v>20</v>
      </c>
    </row>
    <row r="728" spans="1:22">
      <c r="A728" s="6"/>
      <c r="B728" s="216">
        <v>46220</v>
      </c>
      <c r="C728" s="216">
        <v>46220</v>
      </c>
      <c r="D728" s="403" t="s">
        <v>8552</v>
      </c>
      <c r="E728" s="403">
        <v>19676</v>
      </c>
      <c r="F728" s="403" t="s">
        <v>87</v>
      </c>
      <c r="G728" s="403" t="s">
        <v>8553</v>
      </c>
      <c r="H728" s="403">
        <v>50</v>
      </c>
      <c r="I728" s="403">
        <v>12</v>
      </c>
      <c r="J728" s="374">
        <v>12</v>
      </c>
      <c r="K728" s="403">
        <v>115</v>
      </c>
      <c r="L728" s="217">
        <v>50</v>
      </c>
      <c r="M728" s="403" t="s">
        <v>153</v>
      </c>
      <c r="N728" s="403" t="s">
        <v>149</v>
      </c>
      <c r="O728" s="403" t="s">
        <v>154</v>
      </c>
      <c r="P728" s="403" t="s">
        <v>151</v>
      </c>
      <c r="Q728" s="403" t="s">
        <v>155</v>
      </c>
      <c r="R728" s="403" t="s">
        <v>8554</v>
      </c>
      <c r="S728" s="403"/>
      <c r="T728" s="403" t="s">
        <v>3062</v>
      </c>
      <c r="U728" s="403" t="s">
        <v>152</v>
      </c>
      <c r="V728" s="403" t="s">
        <v>18</v>
      </c>
    </row>
    <row r="729" spans="1:22">
      <c r="A729" s="6"/>
      <c r="B729" s="216">
        <v>46221</v>
      </c>
      <c r="C729" s="216">
        <v>46221</v>
      </c>
      <c r="D729" s="403" t="s">
        <v>8555</v>
      </c>
      <c r="E729" s="403">
        <v>260105020311</v>
      </c>
      <c r="F729" s="403" t="s">
        <v>87</v>
      </c>
      <c r="G729" s="403" t="s">
        <v>7403</v>
      </c>
      <c r="H729" s="403">
        <v>222</v>
      </c>
      <c r="I729" s="403">
        <v>353</v>
      </c>
      <c r="J729" s="374">
        <v>353</v>
      </c>
      <c r="K729" s="403">
        <v>105</v>
      </c>
      <c r="L729" s="217">
        <v>1560</v>
      </c>
      <c r="M729" s="403" t="s">
        <v>153</v>
      </c>
      <c r="N729" s="403" t="s">
        <v>149</v>
      </c>
      <c r="O729" s="403" t="s">
        <v>154</v>
      </c>
      <c r="P729" s="403" t="s">
        <v>151</v>
      </c>
      <c r="Q729" s="403" t="s">
        <v>155</v>
      </c>
      <c r="R729" s="403" t="s">
        <v>8556</v>
      </c>
      <c r="S729" s="403"/>
      <c r="T729" s="403" t="s">
        <v>3100</v>
      </c>
      <c r="U729" s="403" t="s">
        <v>152</v>
      </c>
      <c r="V729" s="403" t="s">
        <v>18</v>
      </c>
    </row>
    <row r="730" spans="1:22">
      <c r="A730" s="6"/>
      <c r="B730" s="216">
        <v>46221</v>
      </c>
      <c r="C730" s="216">
        <v>46221</v>
      </c>
      <c r="D730" s="403" t="s">
        <v>8557</v>
      </c>
      <c r="E730" s="403">
        <v>260101620400</v>
      </c>
      <c r="F730" s="403" t="s">
        <v>87</v>
      </c>
      <c r="G730" s="403" t="s">
        <v>2642</v>
      </c>
      <c r="H730" s="403">
        <v>112</v>
      </c>
      <c r="I730" s="403">
        <v>308</v>
      </c>
      <c r="J730" s="374">
        <v>308</v>
      </c>
      <c r="K730" s="403">
        <v>160</v>
      </c>
      <c r="L730" s="217">
        <v>880</v>
      </c>
      <c r="M730" s="403" t="s">
        <v>153</v>
      </c>
      <c r="N730" s="403" t="s">
        <v>149</v>
      </c>
      <c r="O730" s="403" t="s">
        <v>154</v>
      </c>
      <c r="P730" s="403" t="s">
        <v>151</v>
      </c>
      <c r="Q730" s="403" t="s">
        <v>155</v>
      </c>
      <c r="R730" s="403" t="s">
        <v>8558</v>
      </c>
      <c r="S730" s="403"/>
      <c r="T730" s="403" t="s">
        <v>3100</v>
      </c>
      <c r="U730" s="403" t="s">
        <v>152</v>
      </c>
      <c r="V730" s="403" t="s">
        <v>18</v>
      </c>
    </row>
    <row r="731" spans="1:22">
      <c r="A731" s="6"/>
      <c r="B731" s="216">
        <v>46221</v>
      </c>
      <c r="C731" s="216">
        <v>46221</v>
      </c>
      <c r="D731" s="403" t="s">
        <v>8559</v>
      </c>
      <c r="E731" s="403">
        <v>260101520403</v>
      </c>
      <c r="F731" s="403" t="s">
        <v>87</v>
      </c>
      <c r="G731" s="403" t="s">
        <v>2120</v>
      </c>
      <c r="H731" s="403">
        <v>92</v>
      </c>
      <c r="I731" s="403">
        <v>366</v>
      </c>
      <c r="J731" s="374">
        <v>366</v>
      </c>
      <c r="K731" s="403">
        <v>180</v>
      </c>
      <c r="L731" s="217">
        <v>1130</v>
      </c>
      <c r="M731" s="403" t="s">
        <v>153</v>
      </c>
      <c r="N731" s="403" t="s">
        <v>149</v>
      </c>
      <c r="O731" s="403" t="s">
        <v>154</v>
      </c>
      <c r="P731" s="403" t="s">
        <v>151</v>
      </c>
      <c r="Q731" s="403" t="s">
        <v>155</v>
      </c>
      <c r="R731" s="403" t="s">
        <v>8560</v>
      </c>
      <c r="S731" s="403"/>
      <c r="T731" s="403" t="s">
        <v>3100</v>
      </c>
      <c r="U731" s="403" t="s">
        <v>152</v>
      </c>
      <c r="V731" s="403" t="s">
        <v>18</v>
      </c>
    </row>
    <row r="732" spans="1:22">
      <c r="A732" s="6"/>
      <c r="B732" s="216">
        <v>46221</v>
      </c>
      <c r="C732" s="216">
        <v>46221</v>
      </c>
      <c r="D732" s="403" t="s">
        <v>8561</v>
      </c>
      <c r="E732" s="403">
        <v>260100720391</v>
      </c>
      <c r="F732" s="403" t="s">
        <v>87</v>
      </c>
      <c r="G732" s="403" t="s">
        <v>2518</v>
      </c>
      <c r="H732" s="403">
        <v>132</v>
      </c>
      <c r="I732" s="403">
        <v>94</v>
      </c>
      <c r="J732" s="374">
        <v>94</v>
      </c>
      <c r="K732" s="403">
        <v>150</v>
      </c>
      <c r="L732" s="217">
        <v>240</v>
      </c>
      <c r="M732" s="403" t="s">
        <v>153</v>
      </c>
      <c r="N732" s="403" t="s">
        <v>149</v>
      </c>
      <c r="O732" s="403" t="s">
        <v>154</v>
      </c>
      <c r="P732" s="403" t="s">
        <v>151</v>
      </c>
      <c r="Q732" s="403" t="s">
        <v>155</v>
      </c>
      <c r="R732" s="403" t="s">
        <v>8562</v>
      </c>
      <c r="S732" s="403"/>
      <c r="T732" s="403" t="s">
        <v>3100</v>
      </c>
      <c r="U732" s="403" t="s">
        <v>152</v>
      </c>
      <c r="V732" s="403" t="s">
        <v>18</v>
      </c>
    </row>
    <row r="733" spans="1:22">
      <c r="A733" s="6"/>
      <c r="B733" s="216">
        <v>46221</v>
      </c>
      <c r="C733" s="216">
        <v>46221</v>
      </c>
      <c r="D733" s="403" t="s">
        <v>8563</v>
      </c>
      <c r="E733" s="403">
        <v>260107420394</v>
      </c>
      <c r="F733" s="403" t="s">
        <v>87</v>
      </c>
      <c r="G733" s="403" t="s">
        <v>2562</v>
      </c>
      <c r="H733" s="403">
        <v>125</v>
      </c>
      <c r="I733" s="403">
        <v>257</v>
      </c>
      <c r="J733" s="374">
        <v>257</v>
      </c>
      <c r="K733" s="403">
        <v>97</v>
      </c>
      <c r="L733" s="217">
        <v>2120</v>
      </c>
      <c r="M733" s="403" t="s">
        <v>153</v>
      </c>
      <c r="N733" s="403" t="s">
        <v>149</v>
      </c>
      <c r="O733" s="403" t="s">
        <v>154</v>
      </c>
      <c r="P733" s="403" t="s">
        <v>151</v>
      </c>
      <c r="Q733" s="403" t="s">
        <v>155</v>
      </c>
      <c r="R733" s="403" t="s">
        <v>8564</v>
      </c>
      <c r="S733" s="403"/>
      <c r="T733" s="403" t="s">
        <v>3100</v>
      </c>
      <c r="U733" s="403" t="s">
        <v>152</v>
      </c>
      <c r="V733" s="403" t="s">
        <v>18</v>
      </c>
    </row>
    <row r="734" spans="1:22">
      <c r="A734" s="6"/>
      <c r="B734" s="216">
        <v>46221</v>
      </c>
      <c r="C734" s="216">
        <v>46221</v>
      </c>
      <c r="D734" s="403" t="s">
        <v>8565</v>
      </c>
      <c r="E734" s="403">
        <v>260102620397</v>
      </c>
      <c r="F734" s="403" t="s">
        <v>87</v>
      </c>
      <c r="G734" s="403" t="s">
        <v>2554</v>
      </c>
      <c r="H734" s="403">
        <v>102</v>
      </c>
      <c r="I734" s="403">
        <v>249</v>
      </c>
      <c r="J734" s="374">
        <v>249</v>
      </c>
      <c r="K734" s="403">
        <v>125</v>
      </c>
      <c r="L734" s="217">
        <v>1000</v>
      </c>
      <c r="M734" s="403" t="s">
        <v>153</v>
      </c>
      <c r="N734" s="403" t="s">
        <v>149</v>
      </c>
      <c r="O734" s="403" t="s">
        <v>154</v>
      </c>
      <c r="P734" s="403" t="s">
        <v>151</v>
      </c>
      <c r="Q734" s="403" t="s">
        <v>155</v>
      </c>
      <c r="R734" s="403" t="s">
        <v>8566</v>
      </c>
      <c r="S734" s="403"/>
      <c r="T734" s="403" t="s">
        <v>3100</v>
      </c>
      <c r="U734" s="403" t="s">
        <v>152</v>
      </c>
      <c r="V734" s="403" t="s">
        <v>18</v>
      </c>
    </row>
    <row r="735" spans="1:22">
      <c r="A735" s="6"/>
      <c r="B735" s="216">
        <v>46221</v>
      </c>
      <c r="C735" s="216">
        <v>46221</v>
      </c>
      <c r="D735" s="403" t="s">
        <v>8567</v>
      </c>
      <c r="E735" s="403">
        <v>260105420421</v>
      </c>
      <c r="F735" s="403" t="s">
        <v>87</v>
      </c>
      <c r="G735" s="403" t="s">
        <v>2310</v>
      </c>
      <c r="H735" s="403">
        <v>125</v>
      </c>
      <c r="I735" s="403">
        <v>258</v>
      </c>
      <c r="J735" s="374">
        <v>258</v>
      </c>
      <c r="K735" s="403">
        <v>87</v>
      </c>
      <c r="L735" s="217">
        <v>2385</v>
      </c>
      <c r="M735" s="403" t="s">
        <v>153</v>
      </c>
      <c r="N735" s="403" t="s">
        <v>149</v>
      </c>
      <c r="O735" s="403" t="s">
        <v>154</v>
      </c>
      <c r="P735" s="403" t="s">
        <v>151</v>
      </c>
      <c r="Q735" s="403" t="s">
        <v>155</v>
      </c>
      <c r="R735" s="403" t="s">
        <v>8568</v>
      </c>
      <c r="S735" s="403"/>
      <c r="T735" s="403" t="s">
        <v>3100</v>
      </c>
      <c r="U735" s="403" t="s">
        <v>152</v>
      </c>
      <c r="V735" s="403" t="s">
        <v>18</v>
      </c>
    </row>
    <row r="736" spans="1:22">
      <c r="A736" s="6"/>
      <c r="B736" s="216">
        <v>46221</v>
      </c>
      <c r="C736" s="216">
        <v>46221</v>
      </c>
      <c r="D736" s="403" t="s">
        <v>8569</v>
      </c>
      <c r="E736" s="403">
        <v>260100420423</v>
      </c>
      <c r="F736" s="403" t="s">
        <v>87</v>
      </c>
      <c r="G736" s="403" t="s">
        <v>7130</v>
      </c>
      <c r="H736" s="403">
        <v>182</v>
      </c>
      <c r="I736" s="403">
        <v>410</v>
      </c>
      <c r="J736" s="374">
        <v>410</v>
      </c>
      <c r="K736" s="403">
        <v>190</v>
      </c>
      <c r="L736" s="217">
        <v>600</v>
      </c>
      <c r="M736" s="403" t="s">
        <v>153</v>
      </c>
      <c r="N736" s="403" t="s">
        <v>149</v>
      </c>
      <c r="O736" s="403" t="s">
        <v>154</v>
      </c>
      <c r="P736" s="403" t="s">
        <v>151</v>
      </c>
      <c r="Q736" s="403" t="s">
        <v>155</v>
      </c>
      <c r="R736" s="403" t="s">
        <v>8570</v>
      </c>
      <c r="S736" s="403"/>
      <c r="T736" s="403" t="s">
        <v>3100</v>
      </c>
      <c r="U736" s="403" t="s">
        <v>152</v>
      </c>
      <c r="V736" s="403" t="s">
        <v>18</v>
      </c>
    </row>
    <row r="737" spans="1:22">
      <c r="A737" s="6"/>
      <c r="B737" s="216">
        <v>46221</v>
      </c>
      <c r="C737" s="216">
        <v>46221</v>
      </c>
      <c r="D737" s="403" t="s">
        <v>8571</v>
      </c>
      <c r="E737" s="403">
        <v>260107620425</v>
      </c>
      <c r="F737" s="403" t="s">
        <v>87</v>
      </c>
      <c r="G737" s="403" t="s">
        <v>7928</v>
      </c>
      <c r="H737" s="403">
        <v>132</v>
      </c>
      <c r="I737" s="403">
        <v>248</v>
      </c>
      <c r="J737" s="374">
        <v>248</v>
      </c>
      <c r="K737" s="403">
        <v>87</v>
      </c>
      <c r="L737" s="217">
        <v>2220</v>
      </c>
      <c r="M737" s="403" t="s">
        <v>153</v>
      </c>
      <c r="N737" s="403" t="s">
        <v>149</v>
      </c>
      <c r="O737" s="403" t="s">
        <v>154</v>
      </c>
      <c r="P737" s="403" t="s">
        <v>151</v>
      </c>
      <c r="Q737" s="403" t="s">
        <v>155</v>
      </c>
      <c r="R737" s="403" t="s">
        <v>8572</v>
      </c>
      <c r="S737" s="403"/>
      <c r="T737" s="403" t="s">
        <v>3100</v>
      </c>
      <c r="U737" s="403" t="s">
        <v>152</v>
      </c>
      <c r="V737" s="403" t="s">
        <v>18</v>
      </c>
    </row>
    <row r="738" spans="1:22">
      <c r="A738" s="6"/>
      <c r="B738" s="216">
        <v>46221</v>
      </c>
      <c r="C738" s="216">
        <v>46221</v>
      </c>
      <c r="D738" s="403" t="s">
        <v>8573</v>
      </c>
      <c r="E738" s="403">
        <v>260103320381</v>
      </c>
      <c r="F738" s="403" t="s">
        <v>87</v>
      </c>
      <c r="G738" s="403" t="s">
        <v>2310</v>
      </c>
      <c r="H738" s="403">
        <v>172</v>
      </c>
      <c r="I738" s="403">
        <v>180</v>
      </c>
      <c r="J738" s="374">
        <v>180</v>
      </c>
      <c r="K738" s="403">
        <v>87</v>
      </c>
      <c r="L738" s="217">
        <v>1250</v>
      </c>
      <c r="M738" s="403" t="s">
        <v>153</v>
      </c>
      <c r="N738" s="403" t="s">
        <v>149</v>
      </c>
      <c r="O738" s="403" t="s">
        <v>154</v>
      </c>
      <c r="P738" s="403" t="s">
        <v>151</v>
      </c>
      <c r="Q738" s="403" t="s">
        <v>155</v>
      </c>
      <c r="R738" s="403" t="s">
        <v>8574</v>
      </c>
      <c r="S738" s="403"/>
      <c r="T738" s="403" t="s">
        <v>3100</v>
      </c>
      <c r="U738" s="403" t="s">
        <v>152</v>
      </c>
      <c r="V738" s="403" t="s">
        <v>18</v>
      </c>
    </row>
    <row r="739" spans="1:22">
      <c r="A739" s="6"/>
      <c r="B739" s="216">
        <v>46221</v>
      </c>
      <c r="C739" s="216">
        <v>46221</v>
      </c>
      <c r="D739" s="403" t="s">
        <v>8575</v>
      </c>
      <c r="E739" s="403">
        <v>260103820384</v>
      </c>
      <c r="F739" s="403" t="s">
        <v>87</v>
      </c>
      <c r="G739" s="403" t="s">
        <v>859</v>
      </c>
      <c r="H739" s="403">
        <v>192</v>
      </c>
      <c r="I739" s="403">
        <v>333</v>
      </c>
      <c r="J739" s="374">
        <v>333</v>
      </c>
      <c r="K739" s="403">
        <v>104</v>
      </c>
      <c r="L739" s="217">
        <v>1700</v>
      </c>
      <c r="M739" s="403" t="s">
        <v>153</v>
      </c>
      <c r="N739" s="403" t="s">
        <v>149</v>
      </c>
      <c r="O739" s="403" t="s">
        <v>154</v>
      </c>
      <c r="P739" s="403" t="s">
        <v>151</v>
      </c>
      <c r="Q739" s="403" t="s">
        <v>155</v>
      </c>
      <c r="R739" s="403" t="s">
        <v>8576</v>
      </c>
      <c r="S739" s="403"/>
      <c r="T739" s="403" t="s">
        <v>3100</v>
      </c>
      <c r="U739" s="403" t="s">
        <v>152</v>
      </c>
      <c r="V739" s="403" t="s">
        <v>18</v>
      </c>
    </row>
    <row r="740" spans="1:22">
      <c r="A740" s="6"/>
      <c r="B740" s="216">
        <v>46221</v>
      </c>
      <c r="C740" s="216">
        <v>46221</v>
      </c>
      <c r="D740" s="403" t="s">
        <v>8577</v>
      </c>
      <c r="E740" s="403">
        <v>260103820385</v>
      </c>
      <c r="F740" s="403" t="s">
        <v>87</v>
      </c>
      <c r="G740" s="403" t="s">
        <v>859</v>
      </c>
      <c r="H740" s="403">
        <v>192</v>
      </c>
      <c r="I740" s="403">
        <v>330</v>
      </c>
      <c r="J740" s="374">
        <v>330</v>
      </c>
      <c r="K740" s="403">
        <v>104</v>
      </c>
      <c r="L740" s="217">
        <v>1700</v>
      </c>
      <c r="M740" s="403" t="s">
        <v>153</v>
      </c>
      <c r="N740" s="403" t="s">
        <v>149</v>
      </c>
      <c r="O740" s="403" t="s">
        <v>154</v>
      </c>
      <c r="P740" s="403" t="s">
        <v>151</v>
      </c>
      <c r="Q740" s="403" t="s">
        <v>155</v>
      </c>
      <c r="R740" s="403" t="s">
        <v>8578</v>
      </c>
      <c r="S740" s="403"/>
      <c r="T740" s="403" t="s">
        <v>3100</v>
      </c>
      <c r="U740" s="403" t="s">
        <v>152</v>
      </c>
      <c r="V740" s="403" t="s">
        <v>18</v>
      </c>
    </row>
    <row r="741" spans="1:22">
      <c r="A741" s="6"/>
      <c r="B741" s="216">
        <v>46221</v>
      </c>
      <c r="C741" s="216">
        <v>46221</v>
      </c>
      <c r="D741" s="403" t="s">
        <v>8579</v>
      </c>
      <c r="E741" s="403">
        <v>260101720401</v>
      </c>
      <c r="F741" s="403" t="s">
        <v>87</v>
      </c>
      <c r="G741" s="403" t="s">
        <v>2408</v>
      </c>
      <c r="H741" s="403">
        <v>105</v>
      </c>
      <c r="I741" s="403">
        <v>271</v>
      </c>
      <c r="J741" s="374">
        <v>271</v>
      </c>
      <c r="K741" s="403">
        <v>134</v>
      </c>
      <c r="L741" s="217">
        <v>1000</v>
      </c>
      <c r="M741" s="403" t="s">
        <v>153</v>
      </c>
      <c r="N741" s="403" t="s">
        <v>149</v>
      </c>
      <c r="O741" s="403" t="s">
        <v>154</v>
      </c>
      <c r="P741" s="403" t="s">
        <v>151</v>
      </c>
      <c r="Q741" s="403" t="s">
        <v>155</v>
      </c>
      <c r="R741" s="403" t="s">
        <v>8580</v>
      </c>
      <c r="S741" s="403"/>
      <c r="T741" s="403" t="s">
        <v>3100</v>
      </c>
      <c r="U741" s="403" t="s">
        <v>152</v>
      </c>
      <c r="V741" s="403" t="s">
        <v>18</v>
      </c>
    </row>
    <row r="742" spans="1:22">
      <c r="A742" s="6"/>
      <c r="B742" s="216">
        <v>46221</v>
      </c>
      <c r="C742" s="216">
        <v>46221</v>
      </c>
      <c r="D742" s="403" t="s">
        <v>8581</v>
      </c>
      <c r="E742" s="403">
        <v>260102520402</v>
      </c>
      <c r="F742" s="403" t="s">
        <v>87</v>
      </c>
      <c r="G742" s="403" t="s">
        <v>7766</v>
      </c>
      <c r="H742" s="403">
        <v>112</v>
      </c>
      <c r="I742" s="403">
        <v>229</v>
      </c>
      <c r="J742" s="374">
        <v>229</v>
      </c>
      <c r="K742" s="403">
        <v>104</v>
      </c>
      <c r="L742" s="217">
        <v>1000</v>
      </c>
      <c r="M742" s="403" t="s">
        <v>153</v>
      </c>
      <c r="N742" s="403" t="s">
        <v>149</v>
      </c>
      <c r="O742" s="403" t="s">
        <v>154</v>
      </c>
      <c r="P742" s="403" t="s">
        <v>151</v>
      </c>
      <c r="Q742" s="403" t="s">
        <v>155</v>
      </c>
      <c r="R742" s="403" t="s">
        <v>8582</v>
      </c>
      <c r="S742" s="403"/>
      <c r="T742" s="403" t="s">
        <v>3100</v>
      </c>
      <c r="U742" s="403" t="s">
        <v>152</v>
      </c>
      <c r="V742" s="403" t="s">
        <v>18</v>
      </c>
    </row>
    <row r="743" spans="1:22">
      <c r="A743" s="6"/>
      <c r="B743" s="216">
        <v>46221</v>
      </c>
      <c r="C743" s="216">
        <v>46221</v>
      </c>
      <c r="D743" s="403" t="s">
        <v>8583</v>
      </c>
      <c r="E743" s="403">
        <v>260105020418</v>
      </c>
      <c r="F743" s="403" t="s">
        <v>87</v>
      </c>
      <c r="G743" s="403" t="s">
        <v>7403</v>
      </c>
      <c r="H743" s="403">
        <v>222</v>
      </c>
      <c r="I743" s="403">
        <v>322</v>
      </c>
      <c r="J743" s="374">
        <v>322</v>
      </c>
      <c r="K743" s="403">
        <v>105</v>
      </c>
      <c r="L743" s="217">
        <v>1430</v>
      </c>
      <c r="M743" s="403" t="s">
        <v>153</v>
      </c>
      <c r="N743" s="403" t="s">
        <v>149</v>
      </c>
      <c r="O743" s="403" t="s">
        <v>154</v>
      </c>
      <c r="P743" s="403" t="s">
        <v>151</v>
      </c>
      <c r="Q743" s="403" t="s">
        <v>155</v>
      </c>
      <c r="R743" s="403" t="s">
        <v>8584</v>
      </c>
      <c r="S743" s="403"/>
      <c r="T743" s="403" t="s">
        <v>3100</v>
      </c>
      <c r="U743" s="403" t="s">
        <v>152</v>
      </c>
      <c r="V743" s="403" t="s">
        <v>18</v>
      </c>
    </row>
    <row r="744" spans="1:22">
      <c r="A744" s="6"/>
      <c r="B744" s="216">
        <v>46221</v>
      </c>
      <c r="C744" s="216">
        <v>46221</v>
      </c>
      <c r="D744" s="403" t="s">
        <v>8585</v>
      </c>
      <c r="E744" s="403">
        <v>260101820406</v>
      </c>
      <c r="F744" s="403" t="s">
        <v>87</v>
      </c>
      <c r="G744" s="403" t="s">
        <v>2408</v>
      </c>
      <c r="H744" s="403">
        <v>95</v>
      </c>
      <c r="I744" s="403">
        <v>246</v>
      </c>
      <c r="J744" s="374">
        <v>246</v>
      </c>
      <c r="K744" s="403">
        <v>134</v>
      </c>
      <c r="L744" s="217">
        <v>1000</v>
      </c>
      <c r="M744" s="403" t="s">
        <v>153</v>
      </c>
      <c r="N744" s="403" t="s">
        <v>149</v>
      </c>
      <c r="O744" s="403" t="s">
        <v>154</v>
      </c>
      <c r="P744" s="403" t="s">
        <v>151</v>
      </c>
      <c r="Q744" s="403" t="s">
        <v>155</v>
      </c>
      <c r="R744" s="403" t="s">
        <v>8586</v>
      </c>
      <c r="S744" s="403"/>
      <c r="T744" s="403" t="s">
        <v>3100</v>
      </c>
      <c r="U744" s="403" t="s">
        <v>152</v>
      </c>
      <c r="V744" s="403" t="s">
        <v>18</v>
      </c>
    </row>
    <row r="745" spans="1:22">
      <c r="A745" s="6"/>
      <c r="B745" s="216">
        <v>46221</v>
      </c>
      <c r="C745" s="216">
        <v>46221</v>
      </c>
      <c r="D745" s="403" t="s">
        <v>8587</v>
      </c>
      <c r="E745" s="403">
        <v>260102020398</v>
      </c>
      <c r="F745" s="403" t="s">
        <v>87</v>
      </c>
      <c r="G745" s="403" t="s">
        <v>2563</v>
      </c>
      <c r="H745" s="403">
        <v>95</v>
      </c>
      <c r="I745" s="403">
        <v>242</v>
      </c>
      <c r="J745" s="374">
        <v>242</v>
      </c>
      <c r="K745" s="403">
        <v>134</v>
      </c>
      <c r="L745" s="217">
        <v>1000</v>
      </c>
      <c r="M745" s="403" t="s">
        <v>153</v>
      </c>
      <c r="N745" s="403" t="s">
        <v>149</v>
      </c>
      <c r="O745" s="403" t="s">
        <v>154</v>
      </c>
      <c r="P745" s="403" t="s">
        <v>151</v>
      </c>
      <c r="Q745" s="403" t="s">
        <v>155</v>
      </c>
      <c r="R745" s="403" t="s">
        <v>8588</v>
      </c>
      <c r="S745" s="403"/>
      <c r="T745" s="403" t="s">
        <v>3100</v>
      </c>
      <c r="U745" s="403" t="s">
        <v>152</v>
      </c>
      <c r="V745" s="403" t="s">
        <v>18</v>
      </c>
    </row>
    <row r="746" spans="1:22">
      <c r="A746" s="6"/>
      <c r="B746" s="216">
        <v>46221</v>
      </c>
      <c r="C746" s="216">
        <v>46221</v>
      </c>
      <c r="D746" s="403" t="s">
        <v>8589</v>
      </c>
      <c r="E746" s="403">
        <v>260105220420</v>
      </c>
      <c r="F746" s="403" t="s">
        <v>87</v>
      </c>
      <c r="G746" s="403" t="s">
        <v>8347</v>
      </c>
      <c r="H746" s="403">
        <v>152</v>
      </c>
      <c r="I746" s="403">
        <v>204</v>
      </c>
      <c r="J746" s="374">
        <v>204</v>
      </c>
      <c r="K746" s="403">
        <v>104</v>
      </c>
      <c r="L746" s="217">
        <v>1370</v>
      </c>
      <c r="M746" s="403" t="s">
        <v>153</v>
      </c>
      <c r="N746" s="403" t="s">
        <v>149</v>
      </c>
      <c r="O746" s="403" t="s">
        <v>154</v>
      </c>
      <c r="P746" s="403" t="s">
        <v>151</v>
      </c>
      <c r="Q746" s="403" t="s">
        <v>155</v>
      </c>
      <c r="R746" s="403" t="s">
        <v>8590</v>
      </c>
      <c r="S746" s="403"/>
      <c r="T746" s="403" t="s">
        <v>3100</v>
      </c>
      <c r="U746" s="403" t="s">
        <v>152</v>
      </c>
      <c r="V746" s="403" t="s">
        <v>18</v>
      </c>
    </row>
    <row r="747" spans="1:22">
      <c r="A747" s="6"/>
      <c r="B747" s="216">
        <v>46221</v>
      </c>
      <c r="C747" s="216">
        <v>46221</v>
      </c>
      <c r="D747" s="403" t="s">
        <v>8591</v>
      </c>
      <c r="E747" s="403">
        <v>260103720412</v>
      </c>
      <c r="F747" s="403" t="s">
        <v>87</v>
      </c>
      <c r="G747" s="403" t="s">
        <v>2563</v>
      </c>
      <c r="H747" s="403">
        <v>95</v>
      </c>
      <c r="I747" s="403">
        <v>213</v>
      </c>
      <c r="J747" s="374">
        <v>213</v>
      </c>
      <c r="K747" s="403">
        <v>134</v>
      </c>
      <c r="L747" s="217">
        <v>850</v>
      </c>
      <c r="M747" s="403" t="s">
        <v>153</v>
      </c>
      <c r="N747" s="403" t="s">
        <v>149</v>
      </c>
      <c r="O747" s="403" t="s">
        <v>154</v>
      </c>
      <c r="P747" s="403" t="s">
        <v>151</v>
      </c>
      <c r="Q747" s="403" t="s">
        <v>155</v>
      </c>
      <c r="R747" s="403" t="s">
        <v>8592</v>
      </c>
      <c r="S747" s="403"/>
      <c r="T747" s="403" t="s">
        <v>3100</v>
      </c>
      <c r="U747" s="403" t="s">
        <v>152</v>
      </c>
      <c r="V747" s="403" t="s">
        <v>18</v>
      </c>
    </row>
    <row r="748" spans="1:22">
      <c r="A748" s="6"/>
      <c r="B748" s="216">
        <v>46221</v>
      </c>
      <c r="C748" s="216">
        <v>46221</v>
      </c>
      <c r="D748" s="403" t="s">
        <v>8593</v>
      </c>
      <c r="E748" s="403">
        <v>260100920424</v>
      </c>
      <c r="F748" s="403" t="s">
        <v>87</v>
      </c>
      <c r="G748" s="403" t="s">
        <v>7130</v>
      </c>
      <c r="H748" s="403">
        <v>182</v>
      </c>
      <c r="I748" s="403">
        <v>391</v>
      </c>
      <c r="J748" s="374">
        <v>391</v>
      </c>
      <c r="K748" s="403">
        <v>190</v>
      </c>
      <c r="L748" s="217">
        <v>575</v>
      </c>
      <c r="M748" s="403" t="s">
        <v>153</v>
      </c>
      <c r="N748" s="403" t="s">
        <v>149</v>
      </c>
      <c r="O748" s="403" t="s">
        <v>154</v>
      </c>
      <c r="P748" s="403" t="s">
        <v>151</v>
      </c>
      <c r="Q748" s="403" t="s">
        <v>155</v>
      </c>
      <c r="R748" s="403" t="s">
        <v>8594</v>
      </c>
      <c r="S748" s="403"/>
      <c r="T748" s="403" t="s">
        <v>3100</v>
      </c>
      <c r="U748" s="403" t="s">
        <v>152</v>
      </c>
      <c r="V748" s="403" t="s">
        <v>18</v>
      </c>
    </row>
    <row r="749" spans="1:22">
      <c r="A749" s="6"/>
      <c r="B749" s="216">
        <v>46221</v>
      </c>
      <c r="C749" s="216">
        <v>46221</v>
      </c>
      <c r="D749" s="403" t="s">
        <v>8595</v>
      </c>
      <c r="E749" s="403">
        <v>260100720390</v>
      </c>
      <c r="F749" s="403" t="s">
        <v>87</v>
      </c>
      <c r="G749" s="403" t="s">
        <v>2518</v>
      </c>
      <c r="H749" s="403">
        <v>132</v>
      </c>
      <c r="I749" s="403">
        <v>110</v>
      </c>
      <c r="J749" s="374">
        <v>110</v>
      </c>
      <c r="K749" s="403">
        <v>150</v>
      </c>
      <c r="L749" s="217">
        <v>290</v>
      </c>
      <c r="M749" s="403" t="s">
        <v>153</v>
      </c>
      <c r="N749" s="403" t="s">
        <v>149</v>
      </c>
      <c r="O749" s="403" t="s">
        <v>154</v>
      </c>
      <c r="P749" s="403" t="s">
        <v>151</v>
      </c>
      <c r="Q749" s="403" t="s">
        <v>155</v>
      </c>
      <c r="R749" s="403" t="s">
        <v>8596</v>
      </c>
      <c r="S749" s="403"/>
      <c r="T749" s="403" t="s">
        <v>3100</v>
      </c>
      <c r="U749" s="403" t="s">
        <v>152</v>
      </c>
      <c r="V749" s="403" t="s">
        <v>18</v>
      </c>
    </row>
    <row r="750" spans="1:22">
      <c r="A750" s="6"/>
      <c r="B750" s="216">
        <v>46221</v>
      </c>
      <c r="C750" s="216">
        <v>46221</v>
      </c>
      <c r="D750" s="403" t="s">
        <v>8597</v>
      </c>
      <c r="E750" s="403">
        <v>260101820399</v>
      </c>
      <c r="F750" s="403" t="s">
        <v>87</v>
      </c>
      <c r="G750" s="403" t="s">
        <v>2408</v>
      </c>
      <c r="H750" s="403">
        <v>95</v>
      </c>
      <c r="I750" s="403">
        <v>248</v>
      </c>
      <c r="J750" s="374">
        <v>248</v>
      </c>
      <c r="K750" s="403">
        <v>134</v>
      </c>
      <c r="L750" s="217">
        <v>1000</v>
      </c>
      <c r="M750" s="403" t="s">
        <v>153</v>
      </c>
      <c r="N750" s="403" t="s">
        <v>149</v>
      </c>
      <c r="O750" s="403" t="s">
        <v>154</v>
      </c>
      <c r="P750" s="403" t="s">
        <v>151</v>
      </c>
      <c r="Q750" s="403" t="s">
        <v>155</v>
      </c>
      <c r="R750" s="403" t="s">
        <v>8598</v>
      </c>
      <c r="S750" s="403"/>
      <c r="T750" s="403" t="s">
        <v>3100</v>
      </c>
      <c r="U750" s="403" t="s">
        <v>152</v>
      </c>
      <c r="V750" s="403" t="s">
        <v>18</v>
      </c>
    </row>
    <row r="751" spans="1:22">
      <c r="A751" s="6"/>
      <c r="B751" s="216">
        <v>46221</v>
      </c>
      <c r="C751" s="216">
        <v>46221</v>
      </c>
      <c r="D751" s="403" t="s">
        <v>8599</v>
      </c>
      <c r="E751" s="403">
        <v>260102720405</v>
      </c>
      <c r="F751" s="403" t="s">
        <v>87</v>
      </c>
      <c r="G751" s="403" t="s">
        <v>2554</v>
      </c>
      <c r="H751" s="403">
        <v>102</v>
      </c>
      <c r="I751" s="403">
        <v>255</v>
      </c>
      <c r="J751" s="374">
        <v>255</v>
      </c>
      <c r="K751" s="403">
        <v>125</v>
      </c>
      <c r="L751" s="217">
        <v>1000</v>
      </c>
      <c r="M751" s="403" t="s">
        <v>153</v>
      </c>
      <c r="N751" s="403" t="s">
        <v>149</v>
      </c>
      <c r="O751" s="403" t="s">
        <v>154</v>
      </c>
      <c r="P751" s="403" t="s">
        <v>151</v>
      </c>
      <c r="Q751" s="403" t="s">
        <v>155</v>
      </c>
      <c r="R751" s="403" t="s">
        <v>8600</v>
      </c>
      <c r="S751" s="403"/>
      <c r="T751" s="403" t="s">
        <v>3100</v>
      </c>
      <c r="U751" s="403" t="s">
        <v>152</v>
      </c>
      <c r="V751" s="403" t="s">
        <v>18</v>
      </c>
    </row>
    <row r="752" spans="1:22">
      <c r="A752" s="6"/>
      <c r="B752" s="216">
        <v>46221</v>
      </c>
      <c r="C752" s="216">
        <v>46221</v>
      </c>
      <c r="D752" s="403" t="s">
        <v>8601</v>
      </c>
      <c r="E752" s="403">
        <v>260106120414</v>
      </c>
      <c r="F752" s="403" t="s">
        <v>87</v>
      </c>
      <c r="G752" s="403" t="s">
        <v>2310</v>
      </c>
      <c r="H752" s="403">
        <v>125</v>
      </c>
      <c r="I752" s="403">
        <v>211</v>
      </c>
      <c r="J752" s="374">
        <v>211</v>
      </c>
      <c r="K752" s="403">
        <v>87</v>
      </c>
      <c r="L752" s="217">
        <v>2000</v>
      </c>
      <c r="M752" s="403" t="s">
        <v>153</v>
      </c>
      <c r="N752" s="403" t="s">
        <v>149</v>
      </c>
      <c r="O752" s="403" t="s">
        <v>154</v>
      </c>
      <c r="P752" s="403" t="s">
        <v>151</v>
      </c>
      <c r="Q752" s="403" t="s">
        <v>155</v>
      </c>
      <c r="R752" s="403" t="s">
        <v>8602</v>
      </c>
      <c r="S752" s="403"/>
      <c r="T752" s="403" t="s">
        <v>3100</v>
      </c>
      <c r="U752" s="403" t="s">
        <v>152</v>
      </c>
      <c r="V752" s="403" t="s">
        <v>18</v>
      </c>
    </row>
    <row r="753" spans="1:22">
      <c r="A753" s="6"/>
      <c r="B753" s="216">
        <v>46221</v>
      </c>
      <c r="C753" s="216">
        <v>46221</v>
      </c>
      <c r="D753" s="403" t="s">
        <v>8603</v>
      </c>
      <c r="E753" s="403">
        <v>260100920371</v>
      </c>
      <c r="F753" s="403" t="s">
        <v>87</v>
      </c>
      <c r="G753" s="403" t="s">
        <v>7130</v>
      </c>
      <c r="H753" s="403">
        <v>182</v>
      </c>
      <c r="I753" s="403">
        <v>412</v>
      </c>
      <c r="J753" s="374">
        <v>412</v>
      </c>
      <c r="K753" s="403">
        <v>190</v>
      </c>
      <c r="L753" s="217">
        <v>610</v>
      </c>
      <c r="M753" s="403" t="s">
        <v>153</v>
      </c>
      <c r="N753" s="403" t="s">
        <v>149</v>
      </c>
      <c r="O753" s="403" t="s">
        <v>154</v>
      </c>
      <c r="P753" s="403" t="s">
        <v>151</v>
      </c>
      <c r="Q753" s="403" t="s">
        <v>155</v>
      </c>
      <c r="R753" s="403" t="s">
        <v>8604</v>
      </c>
      <c r="S753" s="403"/>
      <c r="T753" s="403" t="s">
        <v>3100</v>
      </c>
      <c r="U753" s="403" t="s">
        <v>152</v>
      </c>
      <c r="V753" s="403" t="s">
        <v>18</v>
      </c>
    </row>
    <row r="754" spans="1:22">
      <c r="A754" s="6"/>
      <c r="B754" s="216">
        <v>46221</v>
      </c>
      <c r="C754" s="216">
        <v>46221</v>
      </c>
      <c r="D754" s="403" t="s">
        <v>8605</v>
      </c>
      <c r="E754" s="403">
        <v>260103320382</v>
      </c>
      <c r="F754" s="403" t="s">
        <v>87</v>
      </c>
      <c r="G754" s="403" t="s">
        <v>2310</v>
      </c>
      <c r="H754" s="403">
        <v>172</v>
      </c>
      <c r="I754" s="403">
        <v>180</v>
      </c>
      <c r="J754" s="374">
        <v>180</v>
      </c>
      <c r="K754" s="403">
        <v>87</v>
      </c>
      <c r="L754" s="217">
        <v>1250</v>
      </c>
      <c r="M754" s="403" t="s">
        <v>153</v>
      </c>
      <c r="N754" s="403" t="s">
        <v>149</v>
      </c>
      <c r="O754" s="403" t="s">
        <v>154</v>
      </c>
      <c r="P754" s="403" t="s">
        <v>151</v>
      </c>
      <c r="Q754" s="403" t="s">
        <v>155</v>
      </c>
      <c r="R754" s="403" t="s">
        <v>8606</v>
      </c>
      <c r="S754" s="403"/>
      <c r="T754" s="403" t="s">
        <v>3100</v>
      </c>
      <c r="U754" s="403" t="s">
        <v>152</v>
      </c>
      <c r="V754" s="403" t="s">
        <v>18</v>
      </c>
    </row>
    <row r="755" spans="1:22">
      <c r="A755" s="6"/>
      <c r="B755" s="216">
        <v>46221</v>
      </c>
      <c r="C755" s="216">
        <v>46221</v>
      </c>
      <c r="D755" s="403" t="s">
        <v>8607</v>
      </c>
      <c r="E755" s="403">
        <v>260102820407</v>
      </c>
      <c r="F755" s="403" t="s">
        <v>87</v>
      </c>
      <c r="G755" s="403" t="s">
        <v>2554</v>
      </c>
      <c r="H755" s="403">
        <v>102</v>
      </c>
      <c r="I755" s="403">
        <v>242</v>
      </c>
      <c r="J755" s="374">
        <v>242</v>
      </c>
      <c r="K755" s="403">
        <v>125</v>
      </c>
      <c r="L755" s="217">
        <v>1000</v>
      </c>
      <c r="M755" s="403" t="s">
        <v>153</v>
      </c>
      <c r="N755" s="403" t="s">
        <v>149</v>
      </c>
      <c r="O755" s="403" t="s">
        <v>154</v>
      </c>
      <c r="P755" s="403" t="s">
        <v>151</v>
      </c>
      <c r="Q755" s="403" t="s">
        <v>155</v>
      </c>
      <c r="R755" s="403" t="s">
        <v>8608</v>
      </c>
      <c r="S755" s="403"/>
      <c r="T755" s="403" t="s">
        <v>3100</v>
      </c>
      <c r="U755" s="403" t="s">
        <v>152</v>
      </c>
      <c r="V755" s="403" t="s">
        <v>18</v>
      </c>
    </row>
    <row r="756" spans="1:22">
      <c r="A756" s="6"/>
      <c r="B756" s="216">
        <v>46221</v>
      </c>
      <c r="C756" s="216">
        <v>46221</v>
      </c>
      <c r="D756" s="403" t="s">
        <v>8609</v>
      </c>
      <c r="E756" s="403">
        <v>260102720408</v>
      </c>
      <c r="F756" s="403" t="s">
        <v>87</v>
      </c>
      <c r="G756" s="403" t="s">
        <v>2554</v>
      </c>
      <c r="H756" s="403">
        <v>102</v>
      </c>
      <c r="I756" s="403">
        <v>248</v>
      </c>
      <c r="J756" s="374">
        <v>248</v>
      </c>
      <c r="K756" s="403">
        <v>125</v>
      </c>
      <c r="L756" s="217">
        <v>1000</v>
      </c>
      <c r="M756" s="403" t="s">
        <v>153</v>
      </c>
      <c r="N756" s="403" t="s">
        <v>149</v>
      </c>
      <c r="O756" s="403" t="s">
        <v>154</v>
      </c>
      <c r="P756" s="403" t="s">
        <v>151</v>
      </c>
      <c r="Q756" s="403" t="s">
        <v>155</v>
      </c>
      <c r="R756" s="403" t="s">
        <v>8610</v>
      </c>
      <c r="S756" s="403"/>
      <c r="T756" s="403" t="s">
        <v>3100</v>
      </c>
      <c r="U756" s="403" t="s">
        <v>152</v>
      </c>
      <c r="V756" s="403" t="s">
        <v>18</v>
      </c>
    </row>
    <row r="757" spans="1:22">
      <c r="A757" s="6"/>
      <c r="B757" s="216">
        <v>46221</v>
      </c>
      <c r="C757" s="216">
        <v>46221</v>
      </c>
      <c r="D757" s="403" t="s">
        <v>8611</v>
      </c>
      <c r="E757" s="403">
        <v>260101920410</v>
      </c>
      <c r="F757" s="403" t="s">
        <v>87</v>
      </c>
      <c r="G757" s="403" t="s">
        <v>2563</v>
      </c>
      <c r="H757" s="403">
        <v>95</v>
      </c>
      <c r="I757" s="403">
        <v>174</v>
      </c>
      <c r="J757" s="374">
        <v>174</v>
      </c>
      <c r="K757" s="403">
        <v>134</v>
      </c>
      <c r="L757" s="217">
        <v>710</v>
      </c>
      <c r="M757" s="403" t="s">
        <v>153</v>
      </c>
      <c r="N757" s="403" t="s">
        <v>149</v>
      </c>
      <c r="O757" s="403" t="s">
        <v>154</v>
      </c>
      <c r="P757" s="403" t="s">
        <v>151</v>
      </c>
      <c r="Q757" s="403" t="s">
        <v>155</v>
      </c>
      <c r="R757" s="403" t="s">
        <v>8612</v>
      </c>
      <c r="S757" s="403"/>
      <c r="T757" s="403" t="s">
        <v>3100</v>
      </c>
      <c r="U757" s="403" t="s">
        <v>152</v>
      </c>
      <c r="V757" s="403" t="s">
        <v>18</v>
      </c>
    </row>
    <row r="758" spans="1:22">
      <c r="A758" s="6"/>
      <c r="B758" s="216">
        <v>46221</v>
      </c>
      <c r="C758" s="216">
        <v>46221</v>
      </c>
      <c r="D758" s="403" t="s">
        <v>8613</v>
      </c>
      <c r="E758" s="403">
        <v>260105520419</v>
      </c>
      <c r="F758" s="403" t="s">
        <v>87</v>
      </c>
      <c r="G758" s="403" t="s">
        <v>8546</v>
      </c>
      <c r="H758" s="403">
        <v>162</v>
      </c>
      <c r="I758" s="403">
        <v>221</v>
      </c>
      <c r="J758" s="374">
        <v>221</v>
      </c>
      <c r="K758" s="403">
        <v>77</v>
      </c>
      <c r="L758" s="217">
        <v>1815</v>
      </c>
      <c r="M758" s="403" t="s">
        <v>153</v>
      </c>
      <c r="N758" s="403" t="s">
        <v>149</v>
      </c>
      <c r="O758" s="403" t="s">
        <v>154</v>
      </c>
      <c r="P758" s="403" t="s">
        <v>151</v>
      </c>
      <c r="Q758" s="403" t="s">
        <v>155</v>
      </c>
      <c r="R758" s="403" t="s">
        <v>8614</v>
      </c>
      <c r="S758" s="403"/>
      <c r="T758" s="403" t="s">
        <v>3100</v>
      </c>
      <c r="U758" s="403" t="s">
        <v>152</v>
      </c>
      <c r="V758" s="403" t="s">
        <v>18</v>
      </c>
    </row>
    <row r="759" spans="1:22">
      <c r="A759" s="6"/>
      <c r="B759" s="216">
        <v>46221</v>
      </c>
      <c r="C759" s="216">
        <v>46221</v>
      </c>
      <c r="D759" s="403" t="s">
        <v>8615</v>
      </c>
      <c r="E759" s="403">
        <v>260105720417</v>
      </c>
      <c r="F759" s="403" t="s">
        <v>87</v>
      </c>
      <c r="G759" s="403" t="s">
        <v>2310</v>
      </c>
      <c r="H759" s="403">
        <v>142</v>
      </c>
      <c r="I759" s="403">
        <v>228</v>
      </c>
      <c r="J759" s="374">
        <v>228</v>
      </c>
      <c r="K759" s="403">
        <v>87</v>
      </c>
      <c r="L759" s="217">
        <v>1880</v>
      </c>
      <c r="M759" s="403" t="s">
        <v>153</v>
      </c>
      <c r="N759" s="403" t="s">
        <v>149</v>
      </c>
      <c r="O759" s="403" t="s">
        <v>154</v>
      </c>
      <c r="P759" s="403" t="s">
        <v>151</v>
      </c>
      <c r="Q759" s="403" t="s">
        <v>155</v>
      </c>
      <c r="R759" s="403" t="s">
        <v>8616</v>
      </c>
      <c r="S759" s="403"/>
      <c r="T759" s="403" t="s">
        <v>3100</v>
      </c>
      <c r="U759" s="403" t="s">
        <v>152</v>
      </c>
      <c r="V759" s="403" t="s">
        <v>18</v>
      </c>
    </row>
    <row r="760" spans="1:22">
      <c r="A760" s="6"/>
      <c r="B760" s="216">
        <v>46221</v>
      </c>
      <c r="C760" s="216">
        <v>46221</v>
      </c>
      <c r="D760" s="403" t="s">
        <v>8617</v>
      </c>
      <c r="E760" s="403">
        <v>260100920452</v>
      </c>
      <c r="F760" s="403" t="s">
        <v>87</v>
      </c>
      <c r="G760" s="403" t="s">
        <v>7130</v>
      </c>
      <c r="H760" s="403">
        <v>182</v>
      </c>
      <c r="I760" s="403">
        <v>424</v>
      </c>
      <c r="J760" s="374">
        <v>424</v>
      </c>
      <c r="K760" s="403">
        <v>190</v>
      </c>
      <c r="L760" s="217">
        <v>620</v>
      </c>
      <c r="M760" s="403" t="s">
        <v>153</v>
      </c>
      <c r="N760" s="403" t="s">
        <v>149</v>
      </c>
      <c r="O760" s="403" t="s">
        <v>154</v>
      </c>
      <c r="P760" s="403" t="s">
        <v>151</v>
      </c>
      <c r="Q760" s="403" t="s">
        <v>155</v>
      </c>
      <c r="R760" s="403" t="s">
        <v>8618</v>
      </c>
      <c r="S760" s="403"/>
      <c r="T760" s="403" t="s">
        <v>3102</v>
      </c>
      <c r="U760" s="403" t="s">
        <v>152</v>
      </c>
      <c r="V760" s="403" t="s">
        <v>18</v>
      </c>
    </row>
    <row r="761" spans="1:22">
      <c r="A761" s="6"/>
      <c r="B761" s="216">
        <v>46221</v>
      </c>
      <c r="C761" s="216">
        <v>46221</v>
      </c>
      <c r="D761" s="403" t="s">
        <v>8619</v>
      </c>
      <c r="E761" s="403" t="s">
        <v>8620</v>
      </c>
      <c r="F761" s="403" t="s">
        <v>87</v>
      </c>
      <c r="G761" s="403" t="s">
        <v>8621</v>
      </c>
      <c r="H761" s="403" t="s">
        <v>2653</v>
      </c>
      <c r="I761" s="403">
        <v>290</v>
      </c>
      <c r="J761" s="374">
        <v>290</v>
      </c>
      <c r="K761" s="403">
        <v>57</v>
      </c>
      <c r="L761" s="217">
        <v>4750</v>
      </c>
      <c r="M761" s="403" t="s">
        <v>153</v>
      </c>
      <c r="N761" s="403" t="s">
        <v>149</v>
      </c>
      <c r="O761" s="403" t="s">
        <v>154</v>
      </c>
      <c r="P761" s="403" t="s">
        <v>151</v>
      </c>
      <c r="Q761" s="403" t="s">
        <v>156</v>
      </c>
      <c r="R761" s="403" t="s">
        <v>8622</v>
      </c>
      <c r="S761" s="403"/>
      <c r="T761" s="403" t="s">
        <v>3102</v>
      </c>
      <c r="U761" s="403" t="s">
        <v>152</v>
      </c>
      <c r="V761" s="403" t="s">
        <v>20</v>
      </c>
    </row>
    <row r="762" spans="1:22">
      <c r="A762" s="6"/>
      <c r="B762" s="216">
        <v>46221</v>
      </c>
      <c r="C762" s="216">
        <v>46221</v>
      </c>
      <c r="D762" s="403" t="s">
        <v>8623</v>
      </c>
      <c r="E762" s="403" t="s">
        <v>8620</v>
      </c>
      <c r="F762" s="403" t="s">
        <v>87</v>
      </c>
      <c r="G762" s="403" t="s">
        <v>8621</v>
      </c>
      <c r="H762" s="403" t="s">
        <v>2653</v>
      </c>
      <c r="I762" s="403">
        <v>278</v>
      </c>
      <c r="J762" s="374">
        <v>278</v>
      </c>
      <c r="K762" s="403">
        <v>57</v>
      </c>
      <c r="L762" s="217">
        <v>4750</v>
      </c>
      <c r="M762" s="403" t="s">
        <v>153</v>
      </c>
      <c r="N762" s="403" t="s">
        <v>149</v>
      </c>
      <c r="O762" s="403" t="s">
        <v>154</v>
      </c>
      <c r="P762" s="403" t="s">
        <v>151</v>
      </c>
      <c r="Q762" s="403" t="s">
        <v>156</v>
      </c>
      <c r="R762" s="403" t="s">
        <v>8624</v>
      </c>
      <c r="S762" s="403"/>
      <c r="T762" s="403" t="s">
        <v>3102</v>
      </c>
      <c r="U762" s="403" t="s">
        <v>152</v>
      </c>
      <c r="V762" s="403" t="s">
        <v>20</v>
      </c>
    </row>
    <row r="763" spans="1:22">
      <c r="A763" s="6"/>
      <c r="B763" s="216">
        <v>46221</v>
      </c>
      <c r="C763" s="216">
        <v>46221</v>
      </c>
      <c r="D763" s="403" t="s">
        <v>8625</v>
      </c>
      <c r="E763" s="403" t="s">
        <v>8626</v>
      </c>
      <c r="F763" s="403" t="s">
        <v>87</v>
      </c>
      <c r="G763" s="403" t="s">
        <v>7237</v>
      </c>
      <c r="H763" s="403" t="s">
        <v>7238</v>
      </c>
      <c r="I763" s="403">
        <v>273</v>
      </c>
      <c r="J763" s="374">
        <v>273</v>
      </c>
      <c r="K763" s="403">
        <v>80</v>
      </c>
      <c r="L763" s="217">
        <v>2920</v>
      </c>
      <c r="M763" s="403" t="s">
        <v>153</v>
      </c>
      <c r="N763" s="403" t="s">
        <v>149</v>
      </c>
      <c r="O763" s="403" t="s">
        <v>154</v>
      </c>
      <c r="P763" s="403" t="s">
        <v>151</v>
      </c>
      <c r="Q763" s="403" t="s">
        <v>156</v>
      </c>
      <c r="R763" s="403" t="s">
        <v>8627</v>
      </c>
      <c r="S763" s="403"/>
      <c r="T763" s="403" t="s">
        <v>3104</v>
      </c>
      <c r="U763" s="403" t="s">
        <v>152</v>
      </c>
      <c r="V763" s="403" t="s">
        <v>20</v>
      </c>
    </row>
    <row r="764" spans="1:22">
      <c r="A764" s="6"/>
      <c r="B764" s="216">
        <v>46221</v>
      </c>
      <c r="C764" s="216">
        <v>46221</v>
      </c>
      <c r="D764" s="403" t="s">
        <v>8628</v>
      </c>
      <c r="E764" s="403" t="s">
        <v>8629</v>
      </c>
      <c r="F764" s="403" t="s">
        <v>87</v>
      </c>
      <c r="G764" s="403" t="s">
        <v>7242</v>
      </c>
      <c r="H764" s="403" t="s">
        <v>2653</v>
      </c>
      <c r="I764" s="403">
        <v>386</v>
      </c>
      <c r="J764" s="374">
        <v>386</v>
      </c>
      <c r="K764" s="403">
        <v>58</v>
      </c>
      <c r="L764" s="217">
        <v>5800</v>
      </c>
      <c r="M764" s="403" t="s">
        <v>153</v>
      </c>
      <c r="N764" s="403" t="s">
        <v>149</v>
      </c>
      <c r="O764" s="403" t="s">
        <v>154</v>
      </c>
      <c r="P764" s="403" t="s">
        <v>151</v>
      </c>
      <c r="Q764" s="403" t="s">
        <v>156</v>
      </c>
      <c r="R764" s="403" t="s">
        <v>8630</v>
      </c>
      <c r="S764" s="403"/>
      <c r="T764" s="403" t="s">
        <v>3104</v>
      </c>
      <c r="U764" s="403" t="s">
        <v>152</v>
      </c>
      <c r="V764" s="403" t="s">
        <v>20</v>
      </c>
    </row>
    <row r="765" spans="1:22">
      <c r="A765" s="6"/>
      <c r="B765" s="216">
        <v>46221</v>
      </c>
      <c r="C765" s="216">
        <v>46221</v>
      </c>
      <c r="D765" s="403" t="s">
        <v>8631</v>
      </c>
      <c r="E765" s="403" t="s">
        <v>8632</v>
      </c>
      <c r="F765" s="403" t="s">
        <v>87</v>
      </c>
      <c r="G765" s="403" t="s">
        <v>2517</v>
      </c>
      <c r="H765" s="403">
        <v>92</v>
      </c>
      <c r="I765" s="403">
        <v>240</v>
      </c>
      <c r="J765" s="374">
        <v>240</v>
      </c>
      <c r="K765" s="403">
        <v>125</v>
      </c>
      <c r="L765" s="217">
        <v>984</v>
      </c>
      <c r="M765" s="403" t="s">
        <v>153</v>
      </c>
      <c r="N765" s="403" t="s">
        <v>149</v>
      </c>
      <c r="O765" s="403" t="s">
        <v>154</v>
      </c>
      <c r="P765" s="403" t="s">
        <v>151</v>
      </c>
      <c r="Q765" s="403" t="s">
        <v>155</v>
      </c>
      <c r="R765" s="403" t="s">
        <v>8633</v>
      </c>
      <c r="S765" s="403"/>
      <c r="T765" s="403" t="s">
        <v>3106</v>
      </c>
      <c r="U765" s="403" t="s">
        <v>152</v>
      </c>
      <c r="V765" s="403" t="s">
        <v>18</v>
      </c>
    </row>
    <row r="766" spans="1:22">
      <c r="A766" s="6"/>
      <c r="B766" s="216">
        <v>46221</v>
      </c>
      <c r="C766" s="216">
        <v>46221</v>
      </c>
      <c r="D766" s="403" t="s">
        <v>8634</v>
      </c>
      <c r="E766" s="403" t="s">
        <v>8635</v>
      </c>
      <c r="F766" s="403" t="s">
        <v>87</v>
      </c>
      <c r="G766" s="403" t="s">
        <v>2517</v>
      </c>
      <c r="H766" s="403">
        <v>92</v>
      </c>
      <c r="I766" s="403">
        <v>240</v>
      </c>
      <c r="J766" s="374">
        <v>240</v>
      </c>
      <c r="K766" s="403">
        <v>125</v>
      </c>
      <c r="L766" s="217">
        <v>1033</v>
      </c>
      <c r="M766" s="403" t="s">
        <v>153</v>
      </c>
      <c r="N766" s="403" t="s">
        <v>149</v>
      </c>
      <c r="O766" s="403" t="s">
        <v>154</v>
      </c>
      <c r="P766" s="403" t="s">
        <v>151</v>
      </c>
      <c r="Q766" s="403" t="s">
        <v>155</v>
      </c>
      <c r="R766" s="403" t="s">
        <v>8636</v>
      </c>
      <c r="S766" s="403"/>
      <c r="T766" s="403" t="s">
        <v>3106</v>
      </c>
      <c r="U766" s="403" t="s">
        <v>152</v>
      </c>
      <c r="V766" s="403" t="s">
        <v>18</v>
      </c>
    </row>
    <row r="767" spans="1:22">
      <c r="A767" s="6"/>
      <c r="B767" s="216">
        <v>46221</v>
      </c>
      <c r="C767" s="216">
        <v>46221</v>
      </c>
      <c r="D767" s="403" t="s">
        <v>8637</v>
      </c>
      <c r="E767" s="403" t="s">
        <v>8638</v>
      </c>
      <c r="F767" s="403" t="s">
        <v>87</v>
      </c>
      <c r="G767" s="403" t="s">
        <v>2517</v>
      </c>
      <c r="H767" s="403">
        <v>92</v>
      </c>
      <c r="I767" s="403">
        <v>247</v>
      </c>
      <c r="J767" s="374">
        <v>247</v>
      </c>
      <c r="K767" s="403">
        <v>125</v>
      </c>
      <c r="L767" s="217">
        <v>1078</v>
      </c>
      <c r="M767" s="403" t="s">
        <v>153</v>
      </c>
      <c r="N767" s="403" t="s">
        <v>149</v>
      </c>
      <c r="O767" s="403" t="s">
        <v>154</v>
      </c>
      <c r="P767" s="403" t="s">
        <v>151</v>
      </c>
      <c r="Q767" s="403" t="s">
        <v>155</v>
      </c>
      <c r="R767" s="403" t="s">
        <v>8639</v>
      </c>
      <c r="S767" s="403"/>
      <c r="T767" s="403" t="s">
        <v>3106</v>
      </c>
      <c r="U767" s="403" t="s">
        <v>152</v>
      </c>
      <c r="V767" s="403" t="s">
        <v>18</v>
      </c>
    </row>
    <row r="768" spans="1:22">
      <c r="A768" s="6"/>
      <c r="B768" s="216">
        <v>46221</v>
      </c>
      <c r="C768" s="216">
        <v>46221</v>
      </c>
      <c r="D768" s="403" t="s">
        <v>8640</v>
      </c>
      <c r="E768" s="403" t="s">
        <v>8641</v>
      </c>
      <c r="F768" s="403" t="s">
        <v>87</v>
      </c>
      <c r="G768" s="403" t="s">
        <v>2517</v>
      </c>
      <c r="H768" s="403">
        <v>92</v>
      </c>
      <c r="I768" s="403">
        <v>220</v>
      </c>
      <c r="J768" s="374">
        <v>220</v>
      </c>
      <c r="K768" s="403">
        <v>125</v>
      </c>
      <c r="L768" s="217">
        <v>884</v>
      </c>
      <c r="M768" s="403" t="s">
        <v>153</v>
      </c>
      <c r="N768" s="403" t="s">
        <v>149</v>
      </c>
      <c r="O768" s="403" t="s">
        <v>154</v>
      </c>
      <c r="P768" s="403" t="s">
        <v>151</v>
      </c>
      <c r="Q768" s="403" t="s">
        <v>155</v>
      </c>
      <c r="R768" s="403" t="s">
        <v>8642</v>
      </c>
      <c r="S768" s="403"/>
      <c r="T768" s="403" t="s">
        <v>3106</v>
      </c>
      <c r="U768" s="403" t="s">
        <v>152</v>
      </c>
      <c r="V768" s="403" t="s">
        <v>18</v>
      </c>
    </row>
    <row r="769" spans="1:22">
      <c r="A769" s="6"/>
      <c r="B769" s="216">
        <v>46221</v>
      </c>
      <c r="C769" s="216">
        <v>46221</v>
      </c>
      <c r="D769" s="403" t="s">
        <v>8643</v>
      </c>
      <c r="E769" s="403" t="s">
        <v>8644</v>
      </c>
      <c r="F769" s="403" t="s">
        <v>87</v>
      </c>
      <c r="G769" s="403" t="s">
        <v>2517</v>
      </c>
      <c r="H769" s="403">
        <v>92</v>
      </c>
      <c r="I769" s="403">
        <v>335</v>
      </c>
      <c r="J769" s="374">
        <v>335</v>
      </c>
      <c r="K769" s="403">
        <v>125</v>
      </c>
      <c r="L769" s="217">
        <v>1390</v>
      </c>
      <c r="M769" s="403" t="s">
        <v>153</v>
      </c>
      <c r="N769" s="403" t="s">
        <v>149</v>
      </c>
      <c r="O769" s="403" t="s">
        <v>154</v>
      </c>
      <c r="P769" s="403" t="s">
        <v>151</v>
      </c>
      <c r="Q769" s="403" t="s">
        <v>155</v>
      </c>
      <c r="R769" s="403" t="s">
        <v>8645</v>
      </c>
      <c r="S769" s="403"/>
      <c r="T769" s="403" t="s">
        <v>3106</v>
      </c>
      <c r="U769" s="403" t="s">
        <v>152</v>
      </c>
      <c r="V769" s="403" t="s">
        <v>18</v>
      </c>
    </row>
    <row r="770" spans="1:22">
      <c r="A770" s="6"/>
      <c r="B770" s="216">
        <v>46221</v>
      </c>
      <c r="C770" s="216">
        <v>46221</v>
      </c>
      <c r="D770" s="403" t="s">
        <v>8646</v>
      </c>
      <c r="E770" s="403" t="s">
        <v>8647</v>
      </c>
      <c r="F770" s="403" t="s">
        <v>87</v>
      </c>
      <c r="G770" s="403" t="s">
        <v>2517</v>
      </c>
      <c r="H770" s="403">
        <v>92</v>
      </c>
      <c r="I770" s="403">
        <v>193</v>
      </c>
      <c r="J770" s="374">
        <v>193</v>
      </c>
      <c r="K770" s="403">
        <v>125</v>
      </c>
      <c r="L770" s="217">
        <v>850</v>
      </c>
      <c r="M770" s="403" t="s">
        <v>153</v>
      </c>
      <c r="N770" s="403" t="s">
        <v>149</v>
      </c>
      <c r="O770" s="403" t="s">
        <v>154</v>
      </c>
      <c r="P770" s="403" t="s">
        <v>151</v>
      </c>
      <c r="Q770" s="403" t="s">
        <v>155</v>
      </c>
      <c r="R770" s="403" t="s">
        <v>8648</v>
      </c>
      <c r="S770" s="403"/>
      <c r="T770" s="403" t="s">
        <v>3106</v>
      </c>
      <c r="U770" s="403" t="s">
        <v>152</v>
      </c>
      <c r="V770" s="403" t="s">
        <v>18</v>
      </c>
    </row>
    <row r="771" spans="1:22">
      <c r="A771" s="6"/>
      <c r="B771" s="216">
        <v>46221</v>
      </c>
      <c r="C771" s="216">
        <v>46221</v>
      </c>
      <c r="D771" s="403" t="s">
        <v>8649</v>
      </c>
      <c r="E771" s="403" t="s">
        <v>8650</v>
      </c>
      <c r="F771" s="403" t="s">
        <v>87</v>
      </c>
      <c r="G771" s="403" t="s">
        <v>2517</v>
      </c>
      <c r="H771" s="403">
        <v>92</v>
      </c>
      <c r="I771" s="403">
        <v>240</v>
      </c>
      <c r="J771" s="374">
        <v>240</v>
      </c>
      <c r="K771" s="403">
        <v>125</v>
      </c>
      <c r="L771" s="217">
        <v>964</v>
      </c>
      <c r="M771" s="403" t="s">
        <v>153</v>
      </c>
      <c r="N771" s="403" t="s">
        <v>149</v>
      </c>
      <c r="O771" s="403" t="s">
        <v>154</v>
      </c>
      <c r="P771" s="403" t="s">
        <v>151</v>
      </c>
      <c r="Q771" s="403" t="s">
        <v>155</v>
      </c>
      <c r="R771" s="403" t="s">
        <v>8651</v>
      </c>
      <c r="S771" s="403"/>
      <c r="T771" s="403" t="s">
        <v>3106</v>
      </c>
      <c r="U771" s="403" t="s">
        <v>152</v>
      </c>
      <c r="V771" s="403" t="s">
        <v>18</v>
      </c>
    </row>
    <row r="772" spans="1:22">
      <c r="A772" s="6"/>
      <c r="B772" s="216">
        <v>46221</v>
      </c>
      <c r="C772" s="216">
        <v>46221</v>
      </c>
      <c r="D772" s="403" t="s">
        <v>8652</v>
      </c>
      <c r="E772" s="403" t="s">
        <v>8653</v>
      </c>
      <c r="F772" s="403" t="s">
        <v>87</v>
      </c>
      <c r="G772" s="403" t="s">
        <v>2517</v>
      </c>
      <c r="H772" s="403">
        <v>92</v>
      </c>
      <c r="I772" s="403">
        <v>243</v>
      </c>
      <c r="J772" s="374">
        <v>243</v>
      </c>
      <c r="K772" s="403">
        <v>125</v>
      </c>
      <c r="L772" s="217">
        <v>989</v>
      </c>
      <c r="M772" s="403" t="s">
        <v>153</v>
      </c>
      <c r="N772" s="403" t="s">
        <v>149</v>
      </c>
      <c r="O772" s="403" t="s">
        <v>154</v>
      </c>
      <c r="P772" s="403" t="s">
        <v>151</v>
      </c>
      <c r="Q772" s="403" t="s">
        <v>155</v>
      </c>
      <c r="R772" s="403" t="s">
        <v>8654</v>
      </c>
      <c r="S772" s="403"/>
      <c r="T772" s="403" t="s">
        <v>3106</v>
      </c>
      <c r="U772" s="403" t="s">
        <v>152</v>
      </c>
      <c r="V772" s="403" t="s">
        <v>18</v>
      </c>
    </row>
    <row r="773" spans="1:22">
      <c r="A773" s="6"/>
      <c r="B773" s="216">
        <v>46221</v>
      </c>
      <c r="C773" s="216">
        <v>46221</v>
      </c>
      <c r="D773" s="403" t="s">
        <v>8655</v>
      </c>
      <c r="E773" s="403" t="s">
        <v>8656</v>
      </c>
      <c r="F773" s="403" t="s">
        <v>87</v>
      </c>
      <c r="G773" s="403" t="s">
        <v>2517</v>
      </c>
      <c r="H773" s="403">
        <v>92</v>
      </c>
      <c r="I773" s="403">
        <v>258</v>
      </c>
      <c r="J773" s="374">
        <v>258</v>
      </c>
      <c r="K773" s="403">
        <v>125</v>
      </c>
      <c r="L773" s="217">
        <v>1072</v>
      </c>
      <c r="M773" s="403" t="s">
        <v>153</v>
      </c>
      <c r="N773" s="403" t="s">
        <v>149</v>
      </c>
      <c r="O773" s="403" t="s">
        <v>154</v>
      </c>
      <c r="P773" s="403" t="s">
        <v>151</v>
      </c>
      <c r="Q773" s="403" t="s">
        <v>155</v>
      </c>
      <c r="R773" s="403" t="s">
        <v>8657</v>
      </c>
      <c r="S773" s="403"/>
      <c r="T773" s="403" t="s">
        <v>3106</v>
      </c>
      <c r="U773" s="403" t="s">
        <v>152</v>
      </c>
      <c r="V773" s="403" t="s">
        <v>18</v>
      </c>
    </row>
    <row r="774" spans="1:22">
      <c r="A774" s="6"/>
      <c r="B774" s="216">
        <v>46221</v>
      </c>
      <c r="C774" s="216">
        <v>46221</v>
      </c>
      <c r="D774" s="403" t="s">
        <v>8658</v>
      </c>
      <c r="E774" s="403" t="s">
        <v>8659</v>
      </c>
      <c r="F774" s="403" t="s">
        <v>87</v>
      </c>
      <c r="G774" s="403" t="s">
        <v>2644</v>
      </c>
      <c r="H774" s="403" t="s">
        <v>7238</v>
      </c>
      <c r="I774" s="403">
        <v>424</v>
      </c>
      <c r="J774" s="374">
        <v>424</v>
      </c>
      <c r="K774" s="403">
        <v>97</v>
      </c>
      <c r="L774" s="217">
        <v>4480</v>
      </c>
      <c r="M774" s="403" t="s">
        <v>153</v>
      </c>
      <c r="N774" s="403" t="s">
        <v>149</v>
      </c>
      <c r="O774" s="403" t="s">
        <v>154</v>
      </c>
      <c r="P774" s="403" t="s">
        <v>151</v>
      </c>
      <c r="Q774" s="403" t="s">
        <v>156</v>
      </c>
      <c r="R774" s="403" t="s">
        <v>8660</v>
      </c>
      <c r="S774" s="403"/>
      <c r="T774" s="403" t="s">
        <v>3106</v>
      </c>
      <c r="U774" s="403" t="s">
        <v>152</v>
      </c>
      <c r="V774" s="403" t="s">
        <v>20</v>
      </c>
    </row>
    <row r="775" spans="1:22">
      <c r="A775" s="6"/>
      <c r="B775" s="216">
        <v>46221</v>
      </c>
      <c r="C775" s="216">
        <v>46221</v>
      </c>
      <c r="D775" s="403" t="s">
        <v>8661</v>
      </c>
      <c r="E775" s="403">
        <v>260102920442</v>
      </c>
      <c r="F775" s="403" t="s">
        <v>87</v>
      </c>
      <c r="G775" s="403" t="s">
        <v>859</v>
      </c>
      <c r="H775" s="403">
        <v>152</v>
      </c>
      <c r="I775" s="403">
        <v>216</v>
      </c>
      <c r="J775" s="374">
        <v>216</v>
      </c>
      <c r="K775" s="403">
        <v>104</v>
      </c>
      <c r="L775" s="217">
        <v>1400</v>
      </c>
      <c r="M775" s="403" t="s">
        <v>153</v>
      </c>
      <c r="N775" s="403" t="s">
        <v>149</v>
      </c>
      <c r="O775" s="403" t="s">
        <v>154</v>
      </c>
      <c r="P775" s="403" t="s">
        <v>151</v>
      </c>
      <c r="Q775" s="403" t="s">
        <v>155</v>
      </c>
      <c r="R775" s="403" t="s">
        <v>8662</v>
      </c>
      <c r="S775" s="403"/>
      <c r="T775" s="403" t="s">
        <v>3108</v>
      </c>
      <c r="U775" s="403" t="s">
        <v>152</v>
      </c>
      <c r="V775" s="403" t="s">
        <v>18</v>
      </c>
    </row>
    <row r="776" spans="1:22">
      <c r="A776" s="6"/>
      <c r="B776" s="216">
        <v>46221</v>
      </c>
      <c r="C776" s="216">
        <v>46221</v>
      </c>
      <c r="D776" s="403" t="s">
        <v>8663</v>
      </c>
      <c r="E776" s="403">
        <v>260103420439</v>
      </c>
      <c r="F776" s="403" t="s">
        <v>87</v>
      </c>
      <c r="G776" s="403" t="s">
        <v>859</v>
      </c>
      <c r="H776" s="403">
        <v>152</v>
      </c>
      <c r="I776" s="403">
        <v>319</v>
      </c>
      <c r="J776" s="374">
        <v>319</v>
      </c>
      <c r="K776" s="403">
        <v>104</v>
      </c>
      <c r="L776" s="217">
        <v>2070</v>
      </c>
      <c r="M776" s="403" t="s">
        <v>153</v>
      </c>
      <c r="N776" s="403" t="s">
        <v>149</v>
      </c>
      <c r="O776" s="403" t="s">
        <v>154</v>
      </c>
      <c r="P776" s="403" t="s">
        <v>151</v>
      </c>
      <c r="Q776" s="403" t="s">
        <v>155</v>
      </c>
      <c r="R776" s="403" t="s">
        <v>8664</v>
      </c>
      <c r="S776" s="403"/>
      <c r="T776" s="403" t="s">
        <v>3108</v>
      </c>
      <c r="U776" s="403" t="s">
        <v>152</v>
      </c>
      <c r="V776" s="403" t="s">
        <v>18</v>
      </c>
    </row>
    <row r="777" spans="1:22">
      <c r="A777" s="6"/>
      <c r="B777" s="216">
        <v>46221</v>
      </c>
      <c r="C777" s="216">
        <v>46221</v>
      </c>
      <c r="D777" s="403" t="s">
        <v>8665</v>
      </c>
      <c r="E777" s="403">
        <v>260105820441</v>
      </c>
      <c r="F777" s="403" t="s">
        <v>87</v>
      </c>
      <c r="G777" s="403" t="s">
        <v>859</v>
      </c>
      <c r="H777" s="403">
        <v>152</v>
      </c>
      <c r="I777" s="403">
        <v>268</v>
      </c>
      <c r="J777" s="374">
        <v>268</v>
      </c>
      <c r="K777" s="403">
        <v>104</v>
      </c>
      <c r="L777" s="217">
        <v>1770</v>
      </c>
      <c r="M777" s="403" t="s">
        <v>153</v>
      </c>
      <c r="N777" s="403" t="s">
        <v>149</v>
      </c>
      <c r="O777" s="403" t="s">
        <v>154</v>
      </c>
      <c r="P777" s="403" t="s">
        <v>151</v>
      </c>
      <c r="Q777" s="403" t="s">
        <v>155</v>
      </c>
      <c r="R777" s="403" t="s">
        <v>8666</v>
      </c>
      <c r="S777" s="403"/>
      <c r="T777" s="403" t="s">
        <v>3108</v>
      </c>
      <c r="U777" s="403" t="s">
        <v>152</v>
      </c>
      <c r="V777" s="403" t="s">
        <v>18</v>
      </c>
    </row>
    <row r="778" spans="1:22">
      <c r="A778" s="6"/>
      <c r="B778" s="216">
        <v>46221</v>
      </c>
      <c r="C778" s="216">
        <v>46221</v>
      </c>
      <c r="D778" s="403" t="s">
        <v>8667</v>
      </c>
      <c r="E778" s="403">
        <v>260102920443</v>
      </c>
      <c r="F778" s="403" t="s">
        <v>87</v>
      </c>
      <c r="G778" s="403" t="s">
        <v>859</v>
      </c>
      <c r="H778" s="403">
        <v>152</v>
      </c>
      <c r="I778" s="403">
        <v>213</v>
      </c>
      <c r="J778" s="374">
        <v>213</v>
      </c>
      <c r="K778" s="403">
        <v>104</v>
      </c>
      <c r="L778" s="217">
        <v>1400</v>
      </c>
      <c r="M778" s="403" t="s">
        <v>153</v>
      </c>
      <c r="N778" s="403" t="s">
        <v>149</v>
      </c>
      <c r="O778" s="403" t="s">
        <v>154</v>
      </c>
      <c r="P778" s="403" t="s">
        <v>151</v>
      </c>
      <c r="Q778" s="403" t="s">
        <v>155</v>
      </c>
      <c r="R778" s="403" t="s">
        <v>8668</v>
      </c>
      <c r="S778" s="403"/>
      <c r="T778" s="403" t="s">
        <v>3108</v>
      </c>
      <c r="U778" s="403" t="s">
        <v>152</v>
      </c>
      <c r="V778" s="403" t="s">
        <v>18</v>
      </c>
    </row>
    <row r="779" spans="1:22">
      <c r="A779" s="6"/>
      <c r="B779" s="216">
        <v>46221</v>
      </c>
      <c r="C779" s="216">
        <v>46221</v>
      </c>
      <c r="D779" s="403" t="s">
        <v>8669</v>
      </c>
      <c r="E779" s="403">
        <v>260103420440</v>
      </c>
      <c r="F779" s="403" t="s">
        <v>87</v>
      </c>
      <c r="G779" s="403" t="s">
        <v>859</v>
      </c>
      <c r="H779" s="403">
        <v>152</v>
      </c>
      <c r="I779" s="403">
        <v>316</v>
      </c>
      <c r="J779" s="374">
        <v>316</v>
      </c>
      <c r="K779" s="403">
        <v>104</v>
      </c>
      <c r="L779" s="217">
        <v>2070</v>
      </c>
      <c r="M779" s="403" t="s">
        <v>153</v>
      </c>
      <c r="N779" s="403" t="s">
        <v>149</v>
      </c>
      <c r="O779" s="403" t="s">
        <v>154</v>
      </c>
      <c r="P779" s="403" t="s">
        <v>151</v>
      </c>
      <c r="Q779" s="403" t="s">
        <v>155</v>
      </c>
      <c r="R779" s="403" t="s">
        <v>8670</v>
      </c>
      <c r="S779" s="403"/>
      <c r="T779" s="403" t="s">
        <v>3108</v>
      </c>
      <c r="U779" s="403" t="s">
        <v>152</v>
      </c>
      <c r="V779" s="403" t="s">
        <v>18</v>
      </c>
    </row>
    <row r="780" spans="1:22">
      <c r="A780" s="6"/>
      <c r="B780" s="216">
        <v>46221</v>
      </c>
      <c r="C780" s="216">
        <v>46221</v>
      </c>
      <c r="D780" s="403" t="s">
        <v>8671</v>
      </c>
      <c r="E780" s="403">
        <v>260107020445</v>
      </c>
      <c r="F780" s="403" t="s">
        <v>87</v>
      </c>
      <c r="G780" s="403" t="s">
        <v>2310</v>
      </c>
      <c r="H780" s="403">
        <v>125</v>
      </c>
      <c r="I780" s="403">
        <v>264</v>
      </c>
      <c r="J780" s="374">
        <v>264</v>
      </c>
      <c r="K780" s="403">
        <v>87</v>
      </c>
      <c r="L780" s="217">
        <v>2490</v>
      </c>
      <c r="M780" s="403" t="s">
        <v>153</v>
      </c>
      <c r="N780" s="403" t="s">
        <v>149</v>
      </c>
      <c r="O780" s="403" t="s">
        <v>154</v>
      </c>
      <c r="P780" s="403" t="s">
        <v>151</v>
      </c>
      <c r="Q780" s="403" t="s">
        <v>155</v>
      </c>
      <c r="R780" s="403" t="s">
        <v>8672</v>
      </c>
      <c r="S780" s="403"/>
      <c r="T780" s="403" t="s">
        <v>3108</v>
      </c>
      <c r="U780" s="403" t="s">
        <v>152</v>
      </c>
      <c r="V780" s="403" t="s">
        <v>18</v>
      </c>
    </row>
    <row r="781" spans="1:22">
      <c r="A781" s="6"/>
      <c r="B781" s="216">
        <v>46221</v>
      </c>
      <c r="C781" s="216">
        <v>46221</v>
      </c>
      <c r="D781" s="403" t="s">
        <v>8673</v>
      </c>
      <c r="E781" s="403">
        <v>260107520444</v>
      </c>
      <c r="F781" s="403" t="s">
        <v>87</v>
      </c>
      <c r="G781" s="403" t="s">
        <v>2310</v>
      </c>
      <c r="H781" s="403">
        <v>125</v>
      </c>
      <c r="I781" s="403">
        <v>273</v>
      </c>
      <c r="J781" s="374">
        <v>273</v>
      </c>
      <c r="K781" s="403">
        <v>87</v>
      </c>
      <c r="L781" s="217">
        <v>2590</v>
      </c>
      <c r="M781" s="403" t="s">
        <v>153</v>
      </c>
      <c r="N781" s="403" t="s">
        <v>149</v>
      </c>
      <c r="O781" s="403" t="s">
        <v>154</v>
      </c>
      <c r="P781" s="403" t="s">
        <v>151</v>
      </c>
      <c r="Q781" s="403" t="s">
        <v>155</v>
      </c>
      <c r="R781" s="403" t="s">
        <v>8674</v>
      </c>
      <c r="S781" s="403"/>
      <c r="T781" s="403" t="s">
        <v>3108</v>
      </c>
      <c r="U781" s="403" t="s">
        <v>152</v>
      </c>
      <c r="V781" s="403" t="s">
        <v>18</v>
      </c>
    </row>
    <row r="782" spans="1:22">
      <c r="A782" s="6"/>
      <c r="B782" s="216">
        <v>46222</v>
      </c>
      <c r="C782" s="216">
        <v>46222</v>
      </c>
      <c r="D782" s="403" t="s">
        <v>8675</v>
      </c>
      <c r="E782" s="403">
        <v>260100420514</v>
      </c>
      <c r="F782" s="403" t="s">
        <v>87</v>
      </c>
      <c r="G782" s="403" t="s">
        <v>7130</v>
      </c>
      <c r="H782" s="403">
        <v>182</v>
      </c>
      <c r="I782" s="403">
        <v>494</v>
      </c>
      <c r="J782" s="374">
        <v>494</v>
      </c>
      <c r="K782" s="403">
        <v>190</v>
      </c>
      <c r="L782" s="217">
        <v>720</v>
      </c>
      <c r="M782" s="403" t="s">
        <v>153</v>
      </c>
      <c r="N782" s="403" t="s">
        <v>149</v>
      </c>
      <c r="O782" s="403" t="s">
        <v>154</v>
      </c>
      <c r="P782" s="403" t="s">
        <v>151</v>
      </c>
      <c r="Q782" s="403" t="s">
        <v>155</v>
      </c>
      <c r="R782" s="403" t="s">
        <v>8676</v>
      </c>
      <c r="S782" s="403"/>
      <c r="T782" s="403" t="s">
        <v>3119</v>
      </c>
      <c r="U782" s="403" t="s">
        <v>152</v>
      </c>
      <c r="V782" s="403" t="s">
        <v>18</v>
      </c>
    </row>
    <row r="783" spans="1:22">
      <c r="A783" s="6"/>
      <c r="B783" s="216">
        <v>46222</v>
      </c>
      <c r="C783" s="216">
        <v>46222</v>
      </c>
      <c r="D783" s="403" t="s">
        <v>8677</v>
      </c>
      <c r="E783" s="403">
        <v>260107020516</v>
      </c>
      <c r="F783" s="403" t="s">
        <v>87</v>
      </c>
      <c r="G783" s="403" t="s">
        <v>2310</v>
      </c>
      <c r="H783" s="403">
        <v>125</v>
      </c>
      <c r="I783" s="403">
        <v>219</v>
      </c>
      <c r="J783" s="374">
        <v>219</v>
      </c>
      <c r="K783" s="403">
        <v>87</v>
      </c>
      <c r="L783" s="217">
        <v>2070</v>
      </c>
      <c r="M783" s="403" t="s">
        <v>153</v>
      </c>
      <c r="N783" s="403" t="s">
        <v>149</v>
      </c>
      <c r="O783" s="403" t="s">
        <v>154</v>
      </c>
      <c r="P783" s="403" t="s">
        <v>151</v>
      </c>
      <c r="Q783" s="403" t="s">
        <v>155</v>
      </c>
      <c r="R783" s="403" t="s">
        <v>8678</v>
      </c>
      <c r="S783" s="403"/>
      <c r="T783" s="403" t="s">
        <v>3119</v>
      </c>
      <c r="U783" s="403" t="s">
        <v>152</v>
      </c>
      <c r="V783" s="403" t="s">
        <v>18</v>
      </c>
    </row>
    <row r="784" spans="1:22">
      <c r="A784" s="6"/>
      <c r="B784" s="216">
        <v>46222</v>
      </c>
      <c r="C784" s="216">
        <v>46222</v>
      </c>
      <c r="D784" s="403" t="s">
        <v>8679</v>
      </c>
      <c r="E784" s="403">
        <v>260102020462</v>
      </c>
      <c r="F784" s="403" t="s">
        <v>87</v>
      </c>
      <c r="G784" s="403" t="s">
        <v>2563</v>
      </c>
      <c r="H784" s="403">
        <v>95</v>
      </c>
      <c r="I784" s="403">
        <v>253</v>
      </c>
      <c r="J784" s="374">
        <v>253</v>
      </c>
      <c r="K784" s="403">
        <v>134</v>
      </c>
      <c r="L784" s="217">
        <v>1000</v>
      </c>
      <c r="M784" s="403" t="s">
        <v>153</v>
      </c>
      <c r="N784" s="403" t="s">
        <v>149</v>
      </c>
      <c r="O784" s="403" t="s">
        <v>154</v>
      </c>
      <c r="P784" s="403" t="s">
        <v>151</v>
      </c>
      <c r="Q784" s="403" t="s">
        <v>155</v>
      </c>
      <c r="R784" s="403" t="s">
        <v>8680</v>
      </c>
      <c r="S784" s="403"/>
      <c r="T784" s="403" t="s">
        <v>3119</v>
      </c>
      <c r="U784" s="403" t="s">
        <v>152</v>
      </c>
      <c r="V784" s="403" t="s">
        <v>18</v>
      </c>
    </row>
    <row r="785" spans="1:22">
      <c r="A785" s="6"/>
      <c r="B785" s="216">
        <v>46222</v>
      </c>
      <c r="C785" s="216">
        <v>46222</v>
      </c>
      <c r="D785" s="403" t="s">
        <v>8681</v>
      </c>
      <c r="E785" s="403">
        <v>260107520515</v>
      </c>
      <c r="F785" s="403" t="s">
        <v>87</v>
      </c>
      <c r="G785" s="403" t="s">
        <v>2310</v>
      </c>
      <c r="H785" s="403">
        <v>125</v>
      </c>
      <c r="I785" s="403">
        <v>214</v>
      </c>
      <c r="J785" s="374">
        <v>214</v>
      </c>
      <c r="K785" s="403">
        <v>87</v>
      </c>
      <c r="L785" s="217">
        <v>2020</v>
      </c>
      <c r="M785" s="403" t="s">
        <v>153</v>
      </c>
      <c r="N785" s="403" t="s">
        <v>149</v>
      </c>
      <c r="O785" s="403" t="s">
        <v>154</v>
      </c>
      <c r="P785" s="403" t="s">
        <v>151</v>
      </c>
      <c r="Q785" s="403" t="s">
        <v>155</v>
      </c>
      <c r="R785" s="403" t="s">
        <v>8682</v>
      </c>
      <c r="S785" s="403"/>
      <c r="T785" s="403" t="s">
        <v>3119</v>
      </c>
      <c r="U785" s="403" t="s">
        <v>152</v>
      </c>
      <c r="V785" s="403" t="s">
        <v>18</v>
      </c>
    </row>
    <row r="786" spans="1:22">
      <c r="A786" s="6"/>
      <c r="B786" s="216">
        <v>46222</v>
      </c>
      <c r="C786" s="216">
        <v>46222</v>
      </c>
      <c r="D786" s="403" t="s">
        <v>8683</v>
      </c>
      <c r="E786" s="403">
        <v>260102820459</v>
      </c>
      <c r="F786" s="403" t="s">
        <v>87</v>
      </c>
      <c r="G786" s="403" t="s">
        <v>2554</v>
      </c>
      <c r="H786" s="403">
        <v>102</v>
      </c>
      <c r="I786" s="403">
        <v>244</v>
      </c>
      <c r="J786" s="374">
        <v>244</v>
      </c>
      <c r="K786" s="403">
        <v>125</v>
      </c>
      <c r="L786" s="217">
        <v>1000</v>
      </c>
      <c r="M786" s="403" t="s">
        <v>153</v>
      </c>
      <c r="N786" s="403" t="s">
        <v>149</v>
      </c>
      <c r="O786" s="403" t="s">
        <v>154</v>
      </c>
      <c r="P786" s="403" t="s">
        <v>151</v>
      </c>
      <c r="Q786" s="403" t="s">
        <v>155</v>
      </c>
      <c r="R786" s="403" t="s">
        <v>8684</v>
      </c>
      <c r="S786" s="403"/>
      <c r="T786" s="403" t="s">
        <v>3119</v>
      </c>
      <c r="U786" s="403" t="s">
        <v>152</v>
      </c>
      <c r="V786" s="403" t="s">
        <v>18</v>
      </c>
    </row>
    <row r="787" spans="1:22">
      <c r="A787" s="6"/>
      <c r="B787" s="216">
        <v>46222</v>
      </c>
      <c r="C787" s="216">
        <v>46222</v>
      </c>
      <c r="D787" s="403" t="s">
        <v>8685</v>
      </c>
      <c r="E787" s="403">
        <v>260106820469</v>
      </c>
      <c r="F787" s="403" t="s">
        <v>87</v>
      </c>
      <c r="G787" s="403" t="s">
        <v>2425</v>
      </c>
      <c r="H787" s="403">
        <v>132</v>
      </c>
      <c r="I787" s="403">
        <v>345</v>
      </c>
      <c r="J787" s="374">
        <v>345</v>
      </c>
      <c r="K787" s="403">
        <v>92</v>
      </c>
      <c r="L787" s="217">
        <v>2960</v>
      </c>
      <c r="M787" s="403" t="s">
        <v>153</v>
      </c>
      <c r="N787" s="403" t="s">
        <v>149</v>
      </c>
      <c r="O787" s="403" t="s">
        <v>154</v>
      </c>
      <c r="P787" s="403" t="s">
        <v>151</v>
      </c>
      <c r="Q787" s="403" t="s">
        <v>155</v>
      </c>
      <c r="R787" s="403" t="s">
        <v>8686</v>
      </c>
      <c r="S787" s="403"/>
      <c r="T787" s="403" t="s">
        <v>3119</v>
      </c>
      <c r="U787" s="403" t="s">
        <v>152</v>
      </c>
      <c r="V787" s="403" t="s">
        <v>18</v>
      </c>
    </row>
    <row r="788" spans="1:22">
      <c r="A788" s="6"/>
      <c r="B788" s="216">
        <v>46222</v>
      </c>
      <c r="C788" s="216">
        <v>46222</v>
      </c>
      <c r="D788" s="403" t="s">
        <v>8687</v>
      </c>
      <c r="E788" s="403">
        <v>260101620507</v>
      </c>
      <c r="F788" s="403" t="s">
        <v>87</v>
      </c>
      <c r="G788" s="403" t="s">
        <v>2642</v>
      </c>
      <c r="H788" s="403">
        <v>112</v>
      </c>
      <c r="I788" s="403">
        <v>350</v>
      </c>
      <c r="J788" s="374">
        <v>350</v>
      </c>
      <c r="K788" s="403">
        <v>160</v>
      </c>
      <c r="L788" s="217">
        <v>1000</v>
      </c>
      <c r="M788" s="403" t="s">
        <v>153</v>
      </c>
      <c r="N788" s="403" t="s">
        <v>149</v>
      </c>
      <c r="O788" s="403" t="s">
        <v>154</v>
      </c>
      <c r="P788" s="403" t="s">
        <v>151</v>
      </c>
      <c r="Q788" s="403" t="s">
        <v>155</v>
      </c>
      <c r="R788" s="403" t="s">
        <v>8688</v>
      </c>
      <c r="S788" s="403"/>
      <c r="T788" s="403" t="s">
        <v>3119</v>
      </c>
      <c r="U788" s="403" t="s">
        <v>152</v>
      </c>
      <c r="V788" s="403" t="s">
        <v>18</v>
      </c>
    </row>
    <row r="789" spans="1:22">
      <c r="A789" s="6"/>
      <c r="B789" s="216">
        <v>46222</v>
      </c>
      <c r="C789" s="216">
        <v>46222</v>
      </c>
      <c r="D789" s="403" t="s">
        <v>8689</v>
      </c>
      <c r="E789" s="403" t="s">
        <v>8473</v>
      </c>
      <c r="F789" s="403" t="s">
        <v>87</v>
      </c>
      <c r="G789" s="403" t="s">
        <v>2659</v>
      </c>
      <c r="H789" s="403" t="s">
        <v>2253</v>
      </c>
      <c r="I789" s="403">
        <v>361</v>
      </c>
      <c r="J789" s="374">
        <v>361</v>
      </c>
      <c r="K789" s="403">
        <v>92</v>
      </c>
      <c r="L789" s="217">
        <v>5200</v>
      </c>
      <c r="M789" s="403" t="s">
        <v>153</v>
      </c>
      <c r="N789" s="403" t="s">
        <v>149</v>
      </c>
      <c r="O789" s="403" t="s">
        <v>154</v>
      </c>
      <c r="P789" s="403" t="s">
        <v>151</v>
      </c>
      <c r="Q789" s="403" t="s">
        <v>156</v>
      </c>
      <c r="R789" s="403" t="s">
        <v>8690</v>
      </c>
      <c r="S789" s="403"/>
      <c r="T789" s="403" t="s">
        <v>3119</v>
      </c>
      <c r="U789" s="403" t="s">
        <v>152</v>
      </c>
      <c r="V789" s="403" t="s">
        <v>20</v>
      </c>
    </row>
    <row r="790" spans="1:22">
      <c r="A790" s="6"/>
      <c r="B790" s="216">
        <v>46222</v>
      </c>
      <c r="C790" s="216">
        <v>46222</v>
      </c>
      <c r="D790" s="403" t="s">
        <v>8691</v>
      </c>
      <c r="E790" s="403">
        <v>260103820491</v>
      </c>
      <c r="F790" s="403" t="s">
        <v>87</v>
      </c>
      <c r="G790" s="403" t="s">
        <v>859</v>
      </c>
      <c r="H790" s="403">
        <v>192</v>
      </c>
      <c r="I790" s="403">
        <v>353</v>
      </c>
      <c r="J790" s="374">
        <v>353</v>
      </c>
      <c r="K790" s="403">
        <v>104</v>
      </c>
      <c r="L790" s="217">
        <v>1790</v>
      </c>
      <c r="M790" s="403" t="s">
        <v>153</v>
      </c>
      <c r="N790" s="403" t="s">
        <v>149</v>
      </c>
      <c r="O790" s="403" t="s">
        <v>154</v>
      </c>
      <c r="P790" s="403" t="s">
        <v>151</v>
      </c>
      <c r="Q790" s="403" t="s">
        <v>155</v>
      </c>
      <c r="R790" s="403" t="s">
        <v>8692</v>
      </c>
      <c r="S790" s="403"/>
      <c r="T790" s="403" t="s">
        <v>3121</v>
      </c>
      <c r="U790" s="403" t="s">
        <v>152</v>
      </c>
      <c r="V790" s="403" t="s">
        <v>18</v>
      </c>
    </row>
    <row r="791" spans="1:22">
      <c r="A791" s="6"/>
      <c r="B791" s="216">
        <v>46222</v>
      </c>
      <c r="C791" s="216">
        <v>46222</v>
      </c>
      <c r="D791" s="403" t="s">
        <v>8693</v>
      </c>
      <c r="E791" s="403">
        <v>260105720468</v>
      </c>
      <c r="F791" s="403" t="s">
        <v>87</v>
      </c>
      <c r="G791" s="403" t="s">
        <v>2561</v>
      </c>
      <c r="H791" s="403">
        <v>142</v>
      </c>
      <c r="I791" s="403">
        <v>186</v>
      </c>
      <c r="J791" s="374">
        <v>186</v>
      </c>
      <c r="K791" s="403">
        <v>67</v>
      </c>
      <c r="L791" s="217">
        <v>1965</v>
      </c>
      <c r="M791" s="403" t="s">
        <v>153</v>
      </c>
      <c r="N791" s="403" t="s">
        <v>149</v>
      </c>
      <c r="O791" s="403" t="s">
        <v>154</v>
      </c>
      <c r="P791" s="403" t="s">
        <v>151</v>
      </c>
      <c r="Q791" s="403" t="s">
        <v>155</v>
      </c>
      <c r="R791" s="403" t="s">
        <v>8694</v>
      </c>
      <c r="S791" s="403"/>
      <c r="T791" s="403" t="s">
        <v>3121</v>
      </c>
      <c r="U791" s="403" t="s">
        <v>152</v>
      </c>
      <c r="V791" s="403" t="s">
        <v>18</v>
      </c>
    </row>
    <row r="792" spans="1:22">
      <c r="A792" s="6"/>
      <c r="B792" s="216">
        <v>46222</v>
      </c>
      <c r="C792" s="216">
        <v>46222</v>
      </c>
      <c r="D792" s="403" t="s">
        <v>8695</v>
      </c>
      <c r="E792" s="403">
        <v>260106120481</v>
      </c>
      <c r="F792" s="403" t="s">
        <v>87</v>
      </c>
      <c r="G792" s="403" t="s">
        <v>2310</v>
      </c>
      <c r="H792" s="403">
        <v>125</v>
      </c>
      <c r="I792" s="403">
        <v>274</v>
      </c>
      <c r="J792" s="374">
        <v>274</v>
      </c>
      <c r="K792" s="403">
        <v>87</v>
      </c>
      <c r="L792" s="217">
        <v>2600</v>
      </c>
      <c r="M792" s="403" t="s">
        <v>153</v>
      </c>
      <c r="N792" s="403" t="s">
        <v>149</v>
      </c>
      <c r="O792" s="403" t="s">
        <v>154</v>
      </c>
      <c r="P792" s="403" t="s">
        <v>151</v>
      </c>
      <c r="Q792" s="403" t="s">
        <v>155</v>
      </c>
      <c r="R792" s="403" t="s">
        <v>8696</v>
      </c>
      <c r="S792" s="403"/>
      <c r="T792" s="403" t="s">
        <v>3121</v>
      </c>
      <c r="U792" s="403" t="s">
        <v>152</v>
      </c>
      <c r="V792" s="403" t="s">
        <v>18</v>
      </c>
    </row>
    <row r="793" spans="1:22">
      <c r="A793" s="6"/>
      <c r="B793" s="216">
        <v>46222</v>
      </c>
      <c r="C793" s="216">
        <v>46222</v>
      </c>
      <c r="D793" s="403" t="s">
        <v>8697</v>
      </c>
      <c r="E793" s="403">
        <v>260105320488</v>
      </c>
      <c r="F793" s="403" t="s">
        <v>87</v>
      </c>
      <c r="G793" s="403" t="s">
        <v>2555</v>
      </c>
      <c r="H793" s="403">
        <v>152</v>
      </c>
      <c r="I793" s="403">
        <v>260</v>
      </c>
      <c r="J793" s="374">
        <v>260</v>
      </c>
      <c r="K793" s="403">
        <v>104</v>
      </c>
      <c r="L793" s="217">
        <v>1710</v>
      </c>
      <c r="M793" s="403" t="s">
        <v>153</v>
      </c>
      <c r="N793" s="403" t="s">
        <v>149</v>
      </c>
      <c r="O793" s="403" t="s">
        <v>154</v>
      </c>
      <c r="P793" s="403" t="s">
        <v>151</v>
      </c>
      <c r="Q793" s="403" t="s">
        <v>155</v>
      </c>
      <c r="R793" s="403" t="s">
        <v>8698</v>
      </c>
      <c r="S793" s="403"/>
      <c r="T793" s="403" t="s">
        <v>3121</v>
      </c>
      <c r="U793" s="403" t="s">
        <v>152</v>
      </c>
      <c r="V793" s="403" t="s">
        <v>18</v>
      </c>
    </row>
    <row r="794" spans="1:22">
      <c r="A794" s="6"/>
      <c r="B794" s="216">
        <v>46222</v>
      </c>
      <c r="C794" s="216">
        <v>46222</v>
      </c>
      <c r="D794" s="403" t="s">
        <v>8699</v>
      </c>
      <c r="E794" s="403">
        <v>260103320492</v>
      </c>
      <c r="F794" s="403" t="s">
        <v>87</v>
      </c>
      <c r="G794" s="403" t="s">
        <v>2641</v>
      </c>
      <c r="H794" s="403">
        <v>160</v>
      </c>
      <c r="I794" s="403">
        <v>326</v>
      </c>
      <c r="J794" s="374">
        <v>326</v>
      </c>
      <c r="K794" s="403">
        <v>102</v>
      </c>
      <c r="L794" s="217">
        <v>2100</v>
      </c>
      <c r="M794" s="403" t="s">
        <v>153</v>
      </c>
      <c r="N794" s="403" t="s">
        <v>149</v>
      </c>
      <c r="O794" s="403" t="s">
        <v>154</v>
      </c>
      <c r="P794" s="403" t="s">
        <v>151</v>
      </c>
      <c r="Q794" s="403" t="s">
        <v>155</v>
      </c>
      <c r="R794" s="403" t="s">
        <v>8700</v>
      </c>
      <c r="S794" s="403"/>
      <c r="T794" s="403" t="s">
        <v>3121</v>
      </c>
      <c r="U794" s="403" t="s">
        <v>152</v>
      </c>
      <c r="V794" s="403" t="s">
        <v>18</v>
      </c>
    </row>
    <row r="795" spans="1:22">
      <c r="A795" s="6"/>
      <c r="B795" s="216">
        <v>46222</v>
      </c>
      <c r="C795" s="216">
        <v>46222</v>
      </c>
      <c r="D795" s="403" t="s">
        <v>8701</v>
      </c>
      <c r="E795" s="403">
        <v>260103320493</v>
      </c>
      <c r="F795" s="403" t="s">
        <v>87</v>
      </c>
      <c r="G795" s="403" t="s">
        <v>2641</v>
      </c>
      <c r="H795" s="403">
        <v>160</v>
      </c>
      <c r="I795" s="403">
        <v>328</v>
      </c>
      <c r="J795" s="374">
        <v>328</v>
      </c>
      <c r="K795" s="403">
        <v>102</v>
      </c>
      <c r="L795" s="217">
        <v>2100</v>
      </c>
      <c r="M795" s="403" t="s">
        <v>153</v>
      </c>
      <c r="N795" s="403" t="s">
        <v>149</v>
      </c>
      <c r="O795" s="403" t="s">
        <v>154</v>
      </c>
      <c r="P795" s="403" t="s">
        <v>151</v>
      </c>
      <c r="Q795" s="403" t="s">
        <v>155</v>
      </c>
      <c r="R795" s="403" t="s">
        <v>8702</v>
      </c>
      <c r="S795" s="403"/>
      <c r="T795" s="403" t="s">
        <v>3121</v>
      </c>
      <c r="U795" s="403" t="s">
        <v>152</v>
      </c>
      <c r="V795" s="403" t="s">
        <v>18</v>
      </c>
    </row>
    <row r="796" spans="1:22">
      <c r="A796" s="6"/>
      <c r="B796" s="216">
        <v>46222</v>
      </c>
      <c r="C796" s="216">
        <v>46222</v>
      </c>
      <c r="D796" s="403" t="s">
        <v>8703</v>
      </c>
      <c r="E796" s="403">
        <v>260101520497</v>
      </c>
      <c r="F796" s="403" t="s">
        <v>87</v>
      </c>
      <c r="G796" s="403" t="s">
        <v>2120</v>
      </c>
      <c r="H796" s="403">
        <v>92</v>
      </c>
      <c r="I796" s="403">
        <v>324</v>
      </c>
      <c r="J796" s="374">
        <v>324</v>
      </c>
      <c r="K796" s="403">
        <v>180</v>
      </c>
      <c r="L796" s="217">
        <v>1000</v>
      </c>
      <c r="M796" s="403" t="s">
        <v>153</v>
      </c>
      <c r="N796" s="403" t="s">
        <v>149</v>
      </c>
      <c r="O796" s="403" t="s">
        <v>154</v>
      </c>
      <c r="P796" s="403" t="s">
        <v>151</v>
      </c>
      <c r="Q796" s="403" t="s">
        <v>155</v>
      </c>
      <c r="R796" s="403" t="s">
        <v>8704</v>
      </c>
      <c r="S796" s="403"/>
      <c r="T796" s="403" t="s">
        <v>3121</v>
      </c>
      <c r="U796" s="403" t="s">
        <v>152</v>
      </c>
      <c r="V796" s="403" t="s">
        <v>18</v>
      </c>
    </row>
    <row r="797" spans="1:22">
      <c r="A797" s="6"/>
      <c r="B797" s="216">
        <v>46222</v>
      </c>
      <c r="C797" s="216">
        <v>46222</v>
      </c>
      <c r="D797" s="403" t="s">
        <v>8705</v>
      </c>
      <c r="E797" s="403">
        <v>260101420456</v>
      </c>
      <c r="F797" s="403" t="s">
        <v>87</v>
      </c>
      <c r="G797" s="403" t="s">
        <v>859</v>
      </c>
      <c r="H797" s="403">
        <v>152</v>
      </c>
      <c r="I797" s="403">
        <v>227</v>
      </c>
      <c r="J797" s="374">
        <v>227</v>
      </c>
      <c r="K797" s="403">
        <v>104</v>
      </c>
      <c r="L797" s="217">
        <v>1500</v>
      </c>
      <c r="M797" s="403" t="s">
        <v>153</v>
      </c>
      <c r="N797" s="403" t="s">
        <v>149</v>
      </c>
      <c r="O797" s="403" t="s">
        <v>154</v>
      </c>
      <c r="P797" s="403" t="s">
        <v>151</v>
      </c>
      <c r="Q797" s="403" t="s">
        <v>155</v>
      </c>
      <c r="R797" s="403" t="s">
        <v>8706</v>
      </c>
      <c r="S797" s="403"/>
      <c r="T797" s="403" t="s">
        <v>3121</v>
      </c>
      <c r="U797" s="403" t="s">
        <v>152</v>
      </c>
      <c r="V797" s="403" t="s">
        <v>18</v>
      </c>
    </row>
    <row r="798" spans="1:22">
      <c r="A798" s="6"/>
      <c r="B798" s="216">
        <v>46222</v>
      </c>
      <c r="C798" s="216">
        <v>46222</v>
      </c>
      <c r="D798" s="403" t="s">
        <v>8707</v>
      </c>
      <c r="E798" s="403">
        <v>260101520457</v>
      </c>
      <c r="F798" s="403" t="s">
        <v>87</v>
      </c>
      <c r="G798" s="403" t="s">
        <v>2120</v>
      </c>
      <c r="H798" s="403">
        <v>92</v>
      </c>
      <c r="I798" s="403">
        <v>380</v>
      </c>
      <c r="J798" s="374">
        <v>380</v>
      </c>
      <c r="K798" s="403">
        <v>180</v>
      </c>
      <c r="L798" s="217">
        <v>1160</v>
      </c>
      <c r="M798" s="403" t="s">
        <v>153</v>
      </c>
      <c r="N798" s="403" t="s">
        <v>149</v>
      </c>
      <c r="O798" s="403" t="s">
        <v>154</v>
      </c>
      <c r="P798" s="403" t="s">
        <v>151</v>
      </c>
      <c r="Q798" s="403" t="s">
        <v>155</v>
      </c>
      <c r="R798" s="403" t="s">
        <v>8708</v>
      </c>
      <c r="S798" s="403"/>
      <c r="T798" s="403" t="s">
        <v>3121</v>
      </c>
      <c r="U798" s="403" t="s">
        <v>152</v>
      </c>
      <c r="V798" s="403" t="s">
        <v>18</v>
      </c>
    </row>
    <row r="799" spans="1:22">
      <c r="A799" s="6"/>
      <c r="B799" s="216">
        <v>46222</v>
      </c>
      <c r="C799" s="216">
        <v>46222</v>
      </c>
      <c r="D799" s="403" t="s">
        <v>8709</v>
      </c>
      <c r="E799" s="403">
        <v>260102620460</v>
      </c>
      <c r="F799" s="403" t="s">
        <v>87</v>
      </c>
      <c r="G799" s="403" t="s">
        <v>2554</v>
      </c>
      <c r="H799" s="403">
        <v>102</v>
      </c>
      <c r="I799" s="403">
        <v>248</v>
      </c>
      <c r="J799" s="374">
        <v>248</v>
      </c>
      <c r="K799" s="403">
        <v>125</v>
      </c>
      <c r="L799" s="217">
        <v>1000</v>
      </c>
      <c r="M799" s="403" t="s">
        <v>153</v>
      </c>
      <c r="N799" s="403" t="s">
        <v>149</v>
      </c>
      <c r="O799" s="403" t="s">
        <v>154</v>
      </c>
      <c r="P799" s="403" t="s">
        <v>151</v>
      </c>
      <c r="Q799" s="403" t="s">
        <v>155</v>
      </c>
      <c r="R799" s="403" t="s">
        <v>8710</v>
      </c>
      <c r="S799" s="403"/>
      <c r="T799" s="403" t="s">
        <v>3121</v>
      </c>
      <c r="U799" s="403" t="s">
        <v>152</v>
      </c>
      <c r="V799" s="403" t="s">
        <v>18</v>
      </c>
    </row>
    <row r="800" spans="1:22">
      <c r="A800" s="6"/>
      <c r="B800" s="216">
        <v>46222</v>
      </c>
      <c r="C800" s="216">
        <v>46222</v>
      </c>
      <c r="D800" s="403" t="s">
        <v>8711</v>
      </c>
      <c r="E800" s="403">
        <v>260102820496</v>
      </c>
      <c r="F800" s="403" t="s">
        <v>87</v>
      </c>
      <c r="G800" s="403" t="s">
        <v>2554</v>
      </c>
      <c r="H800" s="403">
        <v>102</v>
      </c>
      <c r="I800" s="403">
        <v>243</v>
      </c>
      <c r="J800" s="374">
        <v>243</v>
      </c>
      <c r="K800" s="403">
        <v>125</v>
      </c>
      <c r="L800" s="217">
        <v>1000</v>
      </c>
      <c r="M800" s="403" t="s">
        <v>153</v>
      </c>
      <c r="N800" s="403" t="s">
        <v>149</v>
      </c>
      <c r="O800" s="403" t="s">
        <v>154</v>
      </c>
      <c r="P800" s="403" t="s">
        <v>151</v>
      </c>
      <c r="Q800" s="403" t="s">
        <v>155</v>
      </c>
      <c r="R800" s="403" t="s">
        <v>8712</v>
      </c>
      <c r="S800" s="403"/>
      <c r="T800" s="403" t="s">
        <v>3121</v>
      </c>
      <c r="U800" s="403" t="s">
        <v>152</v>
      </c>
      <c r="V800" s="403" t="s">
        <v>18</v>
      </c>
    </row>
    <row r="801" spans="1:22">
      <c r="A801" s="6"/>
      <c r="B801" s="216">
        <v>46222</v>
      </c>
      <c r="C801" s="216">
        <v>46222</v>
      </c>
      <c r="D801" s="403" t="s">
        <v>8713</v>
      </c>
      <c r="E801" s="403">
        <v>260100420458</v>
      </c>
      <c r="F801" s="403" t="s">
        <v>87</v>
      </c>
      <c r="G801" s="403" t="s">
        <v>7130</v>
      </c>
      <c r="H801" s="403">
        <v>182</v>
      </c>
      <c r="I801" s="403">
        <v>486</v>
      </c>
      <c r="J801" s="374">
        <v>486</v>
      </c>
      <c r="K801" s="403">
        <v>190</v>
      </c>
      <c r="L801" s="217">
        <v>720</v>
      </c>
      <c r="M801" s="403" t="s">
        <v>153</v>
      </c>
      <c r="N801" s="403" t="s">
        <v>149</v>
      </c>
      <c r="O801" s="403" t="s">
        <v>154</v>
      </c>
      <c r="P801" s="403" t="s">
        <v>151</v>
      </c>
      <c r="Q801" s="403" t="s">
        <v>155</v>
      </c>
      <c r="R801" s="403" t="s">
        <v>8714</v>
      </c>
      <c r="S801" s="403"/>
      <c r="T801" s="403" t="s">
        <v>3121</v>
      </c>
      <c r="U801" s="403" t="s">
        <v>152</v>
      </c>
      <c r="V801" s="403" t="s">
        <v>18</v>
      </c>
    </row>
    <row r="802" spans="1:22">
      <c r="A802" s="6"/>
      <c r="B802" s="216">
        <v>46222</v>
      </c>
      <c r="C802" s="216">
        <v>46222</v>
      </c>
      <c r="D802" s="403" t="s">
        <v>8715</v>
      </c>
      <c r="E802" s="403">
        <v>260101720466</v>
      </c>
      <c r="F802" s="403" t="s">
        <v>87</v>
      </c>
      <c r="G802" s="403" t="s">
        <v>2408</v>
      </c>
      <c r="H802" s="403">
        <v>105</v>
      </c>
      <c r="I802" s="403">
        <v>274</v>
      </c>
      <c r="J802" s="374">
        <v>274</v>
      </c>
      <c r="K802" s="403">
        <v>134</v>
      </c>
      <c r="L802" s="217">
        <v>1000</v>
      </c>
      <c r="M802" s="403" t="s">
        <v>153</v>
      </c>
      <c r="N802" s="403" t="s">
        <v>149</v>
      </c>
      <c r="O802" s="403" t="s">
        <v>154</v>
      </c>
      <c r="P802" s="403" t="s">
        <v>151</v>
      </c>
      <c r="Q802" s="403" t="s">
        <v>155</v>
      </c>
      <c r="R802" s="403" t="s">
        <v>8716</v>
      </c>
      <c r="S802" s="403"/>
      <c r="T802" s="403" t="s">
        <v>3121</v>
      </c>
      <c r="U802" s="403" t="s">
        <v>152</v>
      </c>
      <c r="V802" s="403" t="s">
        <v>18</v>
      </c>
    </row>
    <row r="803" spans="1:22">
      <c r="A803" s="6"/>
      <c r="B803" s="216">
        <v>46222</v>
      </c>
      <c r="C803" s="216">
        <v>46222</v>
      </c>
      <c r="D803" s="403" t="s">
        <v>8717</v>
      </c>
      <c r="E803" s="403">
        <v>260105520486</v>
      </c>
      <c r="F803" s="403" t="s">
        <v>87</v>
      </c>
      <c r="G803" s="403" t="s">
        <v>8546</v>
      </c>
      <c r="H803" s="403">
        <v>162</v>
      </c>
      <c r="I803" s="403">
        <v>198</v>
      </c>
      <c r="J803" s="374">
        <v>198</v>
      </c>
      <c r="K803" s="403">
        <v>77</v>
      </c>
      <c r="L803" s="217">
        <v>1615</v>
      </c>
      <c r="M803" s="403" t="s">
        <v>153</v>
      </c>
      <c r="N803" s="403" t="s">
        <v>149</v>
      </c>
      <c r="O803" s="403" t="s">
        <v>154</v>
      </c>
      <c r="P803" s="403" t="s">
        <v>151</v>
      </c>
      <c r="Q803" s="403" t="s">
        <v>155</v>
      </c>
      <c r="R803" s="403" t="s">
        <v>8718</v>
      </c>
      <c r="S803" s="403"/>
      <c r="T803" s="403" t="s">
        <v>3121</v>
      </c>
      <c r="U803" s="403" t="s">
        <v>152</v>
      </c>
      <c r="V803" s="403" t="s">
        <v>18</v>
      </c>
    </row>
    <row r="804" spans="1:22">
      <c r="A804" s="6"/>
      <c r="B804" s="216">
        <v>46222</v>
      </c>
      <c r="C804" s="216">
        <v>46222</v>
      </c>
      <c r="D804" s="403" t="s">
        <v>8719</v>
      </c>
      <c r="E804" s="403">
        <v>260102720498</v>
      </c>
      <c r="F804" s="403" t="s">
        <v>87</v>
      </c>
      <c r="G804" s="403" t="s">
        <v>2554</v>
      </c>
      <c r="H804" s="403">
        <v>102</v>
      </c>
      <c r="I804" s="403">
        <v>246</v>
      </c>
      <c r="J804" s="374">
        <v>246</v>
      </c>
      <c r="K804" s="403">
        <v>125</v>
      </c>
      <c r="L804" s="217">
        <v>1000</v>
      </c>
      <c r="M804" s="403" t="s">
        <v>153</v>
      </c>
      <c r="N804" s="403" t="s">
        <v>149</v>
      </c>
      <c r="O804" s="403" t="s">
        <v>154</v>
      </c>
      <c r="P804" s="403" t="s">
        <v>151</v>
      </c>
      <c r="Q804" s="403" t="s">
        <v>155</v>
      </c>
      <c r="R804" s="403" t="s">
        <v>8720</v>
      </c>
      <c r="S804" s="403"/>
      <c r="T804" s="403" t="s">
        <v>3121</v>
      </c>
      <c r="U804" s="403" t="s">
        <v>152</v>
      </c>
      <c r="V804" s="403" t="s">
        <v>18</v>
      </c>
    </row>
    <row r="805" spans="1:22">
      <c r="A805" s="6"/>
      <c r="B805" s="216">
        <v>46222</v>
      </c>
      <c r="C805" s="216">
        <v>46222</v>
      </c>
      <c r="D805" s="403" t="s">
        <v>8721</v>
      </c>
      <c r="E805" s="403">
        <v>260103820490</v>
      </c>
      <c r="F805" s="403" t="s">
        <v>87</v>
      </c>
      <c r="G805" s="403" t="s">
        <v>859</v>
      </c>
      <c r="H805" s="403">
        <v>192</v>
      </c>
      <c r="I805" s="403">
        <v>356</v>
      </c>
      <c r="J805" s="374">
        <v>356</v>
      </c>
      <c r="K805" s="403">
        <v>104</v>
      </c>
      <c r="L805" s="217">
        <v>1790</v>
      </c>
      <c r="M805" s="403" t="s">
        <v>153</v>
      </c>
      <c r="N805" s="403" t="s">
        <v>149</v>
      </c>
      <c r="O805" s="403" t="s">
        <v>154</v>
      </c>
      <c r="P805" s="403" t="s">
        <v>151</v>
      </c>
      <c r="Q805" s="403" t="s">
        <v>155</v>
      </c>
      <c r="R805" s="403" t="s">
        <v>8722</v>
      </c>
      <c r="S805" s="403"/>
      <c r="T805" s="403" t="s">
        <v>3121</v>
      </c>
      <c r="U805" s="403" t="s">
        <v>152</v>
      </c>
      <c r="V805" s="403" t="s">
        <v>18</v>
      </c>
    </row>
    <row r="806" spans="1:22">
      <c r="A806" s="6"/>
      <c r="B806" s="216">
        <v>46222</v>
      </c>
      <c r="C806" s="216">
        <v>46222</v>
      </c>
      <c r="D806" s="403" t="s">
        <v>8723</v>
      </c>
      <c r="E806" s="403">
        <v>260100720502</v>
      </c>
      <c r="F806" s="403" t="s">
        <v>87</v>
      </c>
      <c r="G806" s="403" t="s">
        <v>2120</v>
      </c>
      <c r="H806" s="403">
        <v>145</v>
      </c>
      <c r="I806" s="403">
        <v>409</v>
      </c>
      <c r="J806" s="374">
        <v>409</v>
      </c>
      <c r="K806" s="403">
        <v>180</v>
      </c>
      <c r="L806" s="217">
        <v>800</v>
      </c>
      <c r="M806" s="403" t="s">
        <v>153</v>
      </c>
      <c r="N806" s="403" t="s">
        <v>149</v>
      </c>
      <c r="O806" s="403" t="s">
        <v>154</v>
      </c>
      <c r="P806" s="403" t="s">
        <v>151</v>
      </c>
      <c r="Q806" s="403" t="s">
        <v>155</v>
      </c>
      <c r="R806" s="403" t="s">
        <v>8724</v>
      </c>
      <c r="S806" s="403"/>
      <c r="T806" s="403" t="s">
        <v>3121</v>
      </c>
      <c r="U806" s="403" t="s">
        <v>152</v>
      </c>
      <c r="V806" s="403" t="s">
        <v>18</v>
      </c>
    </row>
    <row r="807" spans="1:22">
      <c r="A807" s="6"/>
      <c r="B807" s="216">
        <v>46222</v>
      </c>
      <c r="C807" s="216">
        <v>46222</v>
      </c>
      <c r="D807" s="403" t="s">
        <v>8725</v>
      </c>
      <c r="E807" s="403">
        <v>260100920503</v>
      </c>
      <c r="F807" s="403" t="s">
        <v>87</v>
      </c>
      <c r="G807" s="403" t="s">
        <v>7130</v>
      </c>
      <c r="H807" s="403">
        <v>182</v>
      </c>
      <c r="I807" s="403">
        <v>360</v>
      </c>
      <c r="J807" s="374">
        <v>360</v>
      </c>
      <c r="K807" s="403">
        <v>190</v>
      </c>
      <c r="L807" s="217">
        <v>530</v>
      </c>
      <c r="M807" s="403" t="s">
        <v>153</v>
      </c>
      <c r="N807" s="403" t="s">
        <v>149</v>
      </c>
      <c r="O807" s="403" t="s">
        <v>154</v>
      </c>
      <c r="P807" s="403" t="s">
        <v>151</v>
      </c>
      <c r="Q807" s="403" t="s">
        <v>155</v>
      </c>
      <c r="R807" s="403" t="s">
        <v>8726</v>
      </c>
      <c r="S807" s="403"/>
      <c r="T807" s="403" t="s">
        <v>3121</v>
      </c>
      <c r="U807" s="403" t="s">
        <v>152</v>
      </c>
      <c r="V807" s="403" t="s">
        <v>18</v>
      </c>
    </row>
    <row r="808" spans="1:22">
      <c r="A808" s="6"/>
      <c r="B808" s="216">
        <v>46222</v>
      </c>
      <c r="C808" s="216">
        <v>46222</v>
      </c>
      <c r="D808" s="403" t="s">
        <v>8727</v>
      </c>
      <c r="E808" s="403">
        <v>260101620461</v>
      </c>
      <c r="F808" s="403" t="s">
        <v>87</v>
      </c>
      <c r="G808" s="403" t="s">
        <v>2642</v>
      </c>
      <c r="H808" s="403">
        <v>112</v>
      </c>
      <c r="I808" s="403">
        <v>359</v>
      </c>
      <c r="J808" s="374">
        <v>359</v>
      </c>
      <c r="K808" s="403">
        <v>160</v>
      </c>
      <c r="L808" s="217">
        <v>1010</v>
      </c>
      <c r="M808" s="403" t="s">
        <v>153</v>
      </c>
      <c r="N808" s="403" t="s">
        <v>149</v>
      </c>
      <c r="O808" s="403" t="s">
        <v>154</v>
      </c>
      <c r="P808" s="403" t="s">
        <v>151</v>
      </c>
      <c r="Q808" s="403" t="s">
        <v>155</v>
      </c>
      <c r="R808" s="403" t="s">
        <v>8728</v>
      </c>
      <c r="S808" s="403"/>
      <c r="T808" s="403" t="s">
        <v>3121</v>
      </c>
      <c r="U808" s="403" t="s">
        <v>152</v>
      </c>
      <c r="V808" s="403" t="s">
        <v>18</v>
      </c>
    </row>
    <row r="809" spans="1:22">
      <c r="A809" s="6"/>
      <c r="B809" s="216">
        <v>46222</v>
      </c>
      <c r="C809" s="216">
        <v>46222</v>
      </c>
      <c r="D809" s="403" t="s">
        <v>8729</v>
      </c>
      <c r="E809" s="403">
        <v>260105220487</v>
      </c>
      <c r="F809" s="403" t="s">
        <v>87</v>
      </c>
      <c r="G809" s="403" t="s">
        <v>8347</v>
      </c>
      <c r="H809" s="403">
        <v>152</v>
      </c>
      <c r="I809" s="403">
        <v>280</v>
      </c>
      <c r="J809" s="374">
        <v>280</v>
      </c>
      <c r="K809" s="403">
        <v>104</v>
      </c>
      <c r="L809" s="217">
        <v>1830</v>
      </c>
      <c r="M809" s="403" t="s">
        <v>153</v>
      </c>
      <c r="N809" s="403" t="s">
        <v>149</v>
      </c>
      <c r="O809" s="403" t="s">
        <v>154</v>
      </c>
      <c r="P809" s="403" t="s">
        <v>151</v>
      </c>
      <c r="Q809" s="403" t="s">
        <v>155</v>
      </c>
      <c r="R809" s="403" t="s">
        <v>8730</v>
      </c>
      <c r="S809" s="403"/>
      <c r="T809" s="403" t="s">
        <v>3121</v>
      </c>
      <c r="U809" s="403" t="s">
        <v>152</v>
      </c>
      <c r="V809" s="403" t="s">
        <v>18</v>
      </c>
    </row>
    <row r="810" spans="1:22">
      <c r="A810" s="6"/>
      <c r="B810" s="216">
        <v>46222</v>
      </c>
      <c r="C810" s="216">
        <v>46222</v>
      </c>
      <c r="D810" s="403" t="s">
        <v>8731</v>
      </c>
      <c r="E810" s="403">
        <v>260101920499</v>
      </c>
      <c r="F810" s="403" t="s">
        <v>87</v>
      </c>
      <c r="G810" s="403" t="s">
        <v>2563</v>
      </c>
      <c r="H810" s="403">
        <v>95</v>
      </c>
      <c r="I810" s="403">
        <v>190</v>
      </c>
      <c r="J810" s="374">
        <v>190</v>
      </c>
      <c r="K810" s="403">
        <v>134</v>
      </c>
      <c r="L810" s="217">
        <v>780</v>
      </c>
      <c r="M810" s="403" t="s">
        <v>153</v>
      </c>
      <c r="N810" s="403" t="s">
        <v>149</v>
      </c>
      <c r="O810" s="403" t="s">
        <v>154</v>
      </c>
      <c r="P810" s="403" t="s">
        <v>151</v>
      </c>
      <c r="Q810" s="403" t="s">
        <v>155</v>
      </c>
      <c r="R810" s="403" t="s">
        <v>8732</v>
      </c>
      <c r="S810" s="403"/>
      <c r="T810" s="403" t="s">
        <v>3121</v>
      </c>
      <c r="U810" s="403" t="s">
        <v>152</v>
      </c>
      <c r="V810" s="403" t="s">
        <v>18</v>
      </c>
    </row>
    <row r="811" spans="1:22">
      <c r="A811" s="6"/>
      <c r="B811" s="216">
        <v>46222</v>
      </c>
      <c r="C811" s="216">
        <v>46222</v>
      </c>
      <c r="D811" s="403" t="s">
        <v>8733</v>
      </c>
      <c r="E811" s="403">
        <v>260102620500</v>
      </c>
      <c r="F811" s="403" t="s">
        <v>87</v>
      </c>
      <c r="G811" s="403" t="s">
        <v>2554</v>
      </c>
      <c r="H811" s="403">
        <v>102</v>
      </c>
      <c r="I811" s="403">
        <v>246</v>
      </c>
      <c r="J811" s="374">
        <v>246</v>
      </c>
      <c r="K811" s="403">
        <v>125</v>
      </c>
      <c r="L811" s="217">
        <v>1000</v>
      </c>
      <c r="M811" s="403" t="s">
        <v>153</v>
      </c>
      <c r="N811" s="403" t="s">
        <v>149</v>
      </c>
      <c r="O811" s="403" t="s">
        <v>154</v>
      </c>
      <c r="P811" s="403" t="s">
        <v>151</v>
      </c>
      <c r="Q811" s="403" t="s">
        <v>155</v>
      </c>
      <c r="R811" s="403" t="s">
        <v>8734</v>
      </c>
      <c r="S811" s="403"/>
      <c r="T811" s="403" t="s">
        <v>3121</v>
      </c>
      <c r="U811" s="403" t="s">
        <v>152</v>
      </c>
      <c r="V811" s="403" t="s">
        <v>18</v>
      </c>
    </row>
    <row r="812" spans="1:22">
      <c r="A812" s="6"/>
      <c r="B812" s="216">
        <v>46222</v>
      </c>
      <c r="C812" s="216">
        <v>46222</v>
      </c>
      <c r="D812" s="403" t="s">
        <v>8735</v>
      </c>
      <c r="E812" s="403">
        <v>260101420453</v>
      </c>
      <c r="F812" s="403" t="s">
        <v>87</v>
      </c>
      <c r="G812" s="403" t="s">
        <v>859</v>
      </c>
      <c r="H812" s="403">
        <v>152</v>
      </c>
      <c r="I812" s="403">
        <v>229</v>
      </c>
      <c r="J812" s="374">
        <v>229</v>
      </c>
      <c r="K812" s="403">
        <v>104</v>
      </c>
      <c r="L812" s="217">
        <v>1500</v>
      </c>
      <c r="M812" s="403" t="s">
        <v>153</v>
      </c>
      <c r="N812" s="403" t="s">
        <v>149</v>
      </c>
      <c r="O812" s="403" t="s">
        <v>154</v>
      </c>
      <c r="P812" s="403" t="s">
        <v>151</v>
      </c>
      <c r="Q812" s="403" t="s">
        <v>155</v>
      </c>
      <c r="R812" s="403" t="s">
        <v>8736</v>
      </c>
      <c r="S812" s="403"/>
      <c r="T812" s="403" t="s">
        <v>3121</v>
      </c>
      <c r="U812" s="403" t="s">
        <v>152</v>
      </c>
      <c r="V812" s="403" t="s">
        <v>18</v>
      </c>
    </row>
    <row r="813" spans="1:22">
      <c r="A813" s="6"/>
      <c r="B813" s="216">
        <v>46222</v>
      </c>
      <c r="C813" s="216">
        <v>46222</v>
      </c>
      <c r="D813" s="403" t="s">
        <v>8737</v>
      </c>
      <c r="E813" s="403">
        <v>260107820474</v>
      </c>
      <c r="F813" s="403" t="s">
        <v>87</v>
      </c>
      <c r="G813" s="403" t="s">
        <v>2425</v>
      </c>
      <c r="H813" s="403">
        <v>132</v>
      </c>
      <c r="I813" s="403">
        <v>306</v>
      </c>
      <c r="J813" s="374">
        <v>306</v>
      </c>
      <c r="K813" s="403">
        <v>92</v>
      </c>
      <c r="L813" s="217">
        <v>2570</v>
      </c>
      <c r="M813" s="403" t="s">
        <v>153</v>
      </c>
      <c r="N813" s="403" t="s">
        <v>149</v>
      </c>
      <c r="O813" s="403" t="s">
        <v>154</v>
      </c>
      <c r="P813" s="403" t="s">
        <v>151</v>
      </c>
      <c r="Q813" s="403" t="s">
        <v>155</v>
      </c>
      <c r="R813" s="403" t="s">
        <v>8738</v>
      </c>
      <c r="S813" s="403"/>
      <c r="T813" s="403" t="s">
        <v>3121</v>
      </c>
      <c r="U813" s="403" t="s">
        <v>152</v>
      </c>
      <c r="V813" s="403" t="s">
        <v>18</v>
      </c>
    </row>
    <row r="814" spans="1:22">
      <c r="A814" s="6"/>
      <c r="B814" s="216">
        <v>46222</v>
      </c>
      <c r="C814" s="216">
        <v>46222</v>
      </c>
      <c r="D814" s="403" t="s">
        <v>8739</v>
      </c>
      <c r="E814" s="403">
        <v>260107620476</v>
      </c>
      <c r="F814" s="403" t="s">
        <v>87</v>
      </c>
      <c r="G814" s="403" t="s">
        <v>7928</v>
      </c>
      <c r="H814" s="403">
        <v>132</v>
      </c>
      <c r="I814" s="403">
        <v>242</v>
      </c>
      <c r="J814" s="374">
        <v>242</v>
      </c>
      <c r="K814" s="403">
        <v>87</v>
      </c>
      <c r="L814" s="217">
        <v>2200</v>
      </c>
      <c r="M814" s="403" t="s">
        <v>153</v>
      </c>
      <c r="N814" s="403" t="s">
        <v>149</v>
      </c>
      <c r="O814" s="403" t="s">
        <v>154</v>
      </c>
      <c r="P814" s="403" t="s">
        <v>151</v>
      </c>
      <c r="Q814" s="403" t="s">
        <v>155</v>
      </c>
      <c r="R814" s="403" t="s">
        <v>8740</v>
      </c>
      <c r="S814" s="403"/>
      <c r="T814" s="403" t="s">
        <v>3121</v>
      </c>
      <c r="U814" s="403" t="s">
        <v>152</v>
      </c>
      <c r="V814" s="403" t="s">
        <v>18</v>
      </c>
    </row>
    <row r="815" spans="1:22">
      <c r="A815" s="6"/>
      <c r="B815" s="216">
        <v>46222</v>
      </c>
      <c r="C815" s="216">
        <v>46222</v>
      </c>
      <c r="D815" s="403" t="s">
        <v>8741</v>
      </c>
      <c r="E815" s="403">
        <v>260104620482</v>
      </c>
      <c r="F815" s="403" t="s">
        <v>87</v>
      </c>
      <c r="G815" s="403" t="s">
        <v>859</v>
      </c>
      <c r="H815" s="403">
        <v>152</v>
      </c>
      <c r="I815" s="403">
        <v>232</v>
      </c>
      <c r="J815" s="374">
        <v>232</v>
      </c>
      <c r="K815" s="403">
        <v>104</v>
      </c>
      <c r="L815" s="217">
        <v>1550</v>
      </c>
      <c r="M815" s="403" t="s">
        <v>153</v>
      </c>
      <c r="N815" s="403" t="s">
        <v>149</v>
      </c>
      <c r="O815" s="403" t="s">
        <v>154</v>
      </c>
      <c r="P815" s="403" t="s">
        <v>151</v>
      </c>
      <c r="Q815" s="403" t="s">
        <v>155</v>
      </c>
      <c r="R815" s="403" t="s">
        <v>8742</v>
      </c>
      <c r="S815" s="403"/>
      <c r="T815" s="403" t="s">
        <v>3121</v>
      </c>
      <c r="U815" s="403" t="s">
        <v>152</v>
      </c>
      <c r="V815" s="403" t="s">
        <v>18</v>
      </c>
    </row>
    <row r="816" spans="1:22">
      <c r="A816" s="6"/>
      <c r="B816" s="216">
        <v>46222</v>
      </c>
      <c r="C816" s="216">
        <v>46222</v>
      </c>
      <c r="D816" s="403" t="s">
        <v>8743</v>
      </c>
      <c r="E816" s="403">
        <v>260101920464</v>
      </c>
      <c r="F816" s="403" t="s">
        <v>87</v>
      </c>
      <c r="G816" s="403" t="s">
        <v>2563</v>
      </c>
      <c r="H816" s="403">
        <v>95</v>
      </c>
      <c r="I816" s="403">
        <v>253</v>
      </c>
      <c r="J816" s="374">
        <v>253</v>
      </c>
      <c r="K816" s="403">
        <v>134</v>
      </c>
      <c r="L816" s="217">
        <v>1030</v>
      </c>
      <c r="M816" s="403" t="s">
        <v>153</v>
      </c>
      <c r="N816" s="403" t="s">
        <v>149</v>
      </c>
      <c r="O816" s="403" t="s">
        <v>154</v>
      </c>
      <c r="P816" s="403" t="s">
        <v>151</v>
      </c>
      <c r="Q816" s="403" t="s">
        <v>155</v>
      </c>
      <c r="R816" s="403" t="s">
        <v>8744</v>
      </c>
      <c r="S816" s="403"/>
      <c r="T816" s="403" t="s">
        <v>3121</v>
      </c>
      <c r="U816" s="403" t="s">
        <v>152</v>
      </c>
      <c r="V816" s="403" t="s">
        <v>18</v>
      </c>
    </row>
    <row r="817" spans="1:22">
      <c r="A817" s="6"/>
      <c r="B817" s="216">
        <v>46222</v>
      </c>
      <c r="C817" s="216">
        <v>46222</v>
      </c>
      <c r="D817" s="403" t="s">
        <v>8745</v>
      </c>
      <c r="E817" s="403">
        <v>260107420477</v>
      </c>
      <c r="F817" s="403" t="s">
        <v>87</v>
      </c>
      <c r="G817" s="403" t="s">
        <v>2562</v>
      </c>
      <c r="H817" s="403">
        <v>125</v>
      </c>
      <c r="I817" s="403">
        <v>257</v>
      </c>
      <c r="J817" s="374">
        <v>257</v>
      </c>
      <c r="K817" s="403">
        <v>97</v>
      </c>
      <c r="L817" s="217">
        <v>2140</v>
      </c>
      <c r="M817" s="403" t="s">
        <v>153</v>
      </c>
      <c r="N817" s="403" t="s">
        <v>149</v>
      </c>
      <c r="O817" s="403" t="s">
        <v>154</v>
      </c>
      <c r="P817" s="403" t="s">
        <v>151</v>
      </c>
      <c r="Q817" s="403" t="s">
        <v>155</v>
      </c>
      <c r="R817" s="403" t="s">
        <v>8746</v>
      </c>
      <c r="S817" s="403"/>
      <c r="T817" s="403" t="s">
        <v>3121</v>
      </c>
      <c r="U817" s="403" t="s">
        <v>152</v>
      </c>
      <c r="V817" s="403" t="s">
        <v>18</v>
      </c>
    </row>
    <row r="818" spans="1:22">
      <c r="A818" s="6"/>
      <c r="B818" s="216">
        <v>46222</v>
      </c>
      <c r="C818" s="216">
        <v>46222</v>
      </c>
      <c r="D818" s="403" t="s">
        <v>8747</v>
      </c>
      <c r="E818" s="403">
        <v>260105420489</v>
      </c>
      <c r="F818" s="403" t="s">
        <v>87</v>
      </c>
      <c r="G818" s="403" t="s">
        <v>2310</v>
      </c>
      <c r="H818" s="403">
        <v>125</v>
      </c>
      <c r="I818" s="403">
        <v>250</v>
      </c>
      <c r="J818" s="374">
        <v>250</v>
      </c>
      <c r="K818" s="403">
        <v>87</v>
      </c>
      <c r="L818" s="217">
        <v>2350</v>
      </c>
      <c r="M818" s="403" t="s">
        <v>153</v>
      </c>
      <c r="N818" s="403" t="s">
        <v>149</v>
      </c>
      <c r="O818" s="403" t="s">
        <v>154</v>
      </c>
      <c r="P818" s="403" t="s">
        <v>151</v>
      </c>
      <c r="Q818" s="403" t="s">
        <v>155</v>
      </c>
      <c r="R818" s="403" t="s">
        <v>8748</v>
      </c>
      <c r="S818" s="403"/>
      <c r="T818" s="403" t="s">
        <v>3121</v>
      </c>
      <c r="U818" s="403" t="s">
        <v>152</v>
      </c>
      <c r="V818" s="403" t="s">
        <v>18</v>
      </c>
    </row>
    <row r="819" spans="1:22">
      <c r="A819" s="6"/>
      <c r="B819" s="216">
        <v>46222</v>
      </c>
      <c r="C819" s="216">
        <v>46222</v>
      </c>
      <c r="D819" s="403" t="s">
        <v>8749</v>
      </c>
      <c r="E819" s="403">
        <v>260100420504</v>
      </c>
      <c r="F819" s="403" t="s">
        <v>87</v>
      </c>
      <c r="G819" s="403" t="s">
        <v>7130</v>
      </c>
      <c r="H819" s="403">
        <v>182</v>
      </c>
      <c r="I819" s="403">
        <v>257</v>
      </c>
      <c r="J819" s="374">
        <v>257</v>
      </c>
      <c r="K819" s="403">
        <v>190</v>
      </c>
      <c r="L819" s="217">
        <v>380</v>
      </c>
      <c r="M819" s="403" t="s">
        <v>153</v>
      </c>
      <c r="N819" s="403" t="s">
        <v>149</v>
      </c>
      <c r="O819" s="403" t="s">
        <v>154</v>
      </c>
      <c r="P819" s="403" t="s">
        <v>151</v>
      </c>
      <c r="Q819" s="403" t="s">
        <v>155</v>
      </c>
      <c r="R819" s="403" t="s">
        <v>8750</v>
      </c>
      <c r="S819" s="403"/>
      <c r="T819" s="403" t="s">
        <v>3121</v>
      </c>
      <c r="U819" s="403" t="s">
        <v>152</v>
      </c>
      <c r="V819" s="403" t="s">
        <v>18</v>
      </c>
    </row>
    <row r="820" spans="1:22">
      <c r="A820" s="6"/>
      <c r="B820" s="216">
        <v>46222</v>
      </c>
      <c r="C820" s="216">
        <v>46222</v>
      </c>
      <c r="D820" s="403" t="s">
        <v>8751</v>
      </c>
      <c r="E820" s="403">
        <v>260101320379</v>
      </c>
      <c r="F820" s="403" t="s">
        <v>87</v>
      </c>
      <c r="G820" s="403" t="s">
        <v>7026</v>
      </c>
      <c r="H820" s="403" t="s">
        <v>8525</v>
      </c>
      <c r="I820" s="403">
        <v>613</v>
      </c>
      <c r="J820" s="374">
        <v>613</v>
      </c>
      <c r="K820" s="403">
        <v>190</v>
      </c>
      <c r="L820" s="217">
        <v>1000</v>
      </c>
      <c r="M820" s="403" t="s">
        <v>153</v>
      </c>
      <c r="N820" s="403" t="s">
        <v>149</v>
      </c>
      <c r="O820" s="403" t="s">
        <v>154</v>
      </c>
      <c r="P820" s="403" t="s">
        <v>151</v>
      </c>
      <c r="Q820" s="403" t="s">
        <v>156</v>
      </c>
      <c r="R820" s="403" t="s">
        <v>8752</v>
      </c>
      <c r="S820" s="403"/>
      <c r="T820" s="403" t="s">
        <v>3121</v>
      </c>
      <c r="U820" s="403" t="s">
        <v>152</v>
      </c>
      <c r="V820" s="403" t="s">
        <v>20</v>
      </c>
    </row>
    <row r="821" spans="1:22">
      <c r="A821" s="6"/>
      <c r="B821" s="216">
        <v>46222</v>
      </c>
      <c r="C821" s="216">
        <v>46222</v>
      </c>
      <c r="D821" s="403" t="s">
        <v>8753</v>
      </c>
      <c r="E821" s="403">
        <v>260101320428</v>
      </c>
      <c r="F821" s="403" t="s">
        <v>87</v>
      </c>
      <c r="G821" s="403" t="s">
        <v>7026</v>
      </c>
      <c r="H821" s="403" t="s">
        <v>7027</v>
      </c>
      <c r="I821" s="403">
        <v>637</v>
      </c>
      <c r="J821" s="374">
        <v>637</v>
      </c>
      <c r="K821" s="403">
        <v>190</v>
      </c>
      <c r="L821" s="217">
        <v>1100</v>
      </c>
      <c r="M821" s="403" t="s">
        <v>153</v>
      </c>
      <c r="N821" s="403" t="s">
        <v>149</v>
      </c>
      <c r="O821" s="403" t="s">
        <v>154</v>
      </c>
      <c r="P821" s="403" t="s">
        <v>151</v>
      </c>
      <c r="Q821" s="403" t="s">
        <v>156</v>
      </c>
      <c r="R821" s="403" t="s">
        <v>8754</v>
      </c>
      <c r="S821" s="403"/>
      <c r="T821" s="403" t="s">
        <v>3121</v>
      </c>
      <c r="U821" s="403" t="s">
        <v>152</v>
      </c>
      <c r="V821" s="403" t="s">
        <v>20</v>
      </c>
    </row>
    <row r="822" spans="1:22">
      <c r="A822" s="6"/>
      <c r="B822" s="216">
        <v>46223</v>
      </c>
      <c r="C822" s="216">
        <v>46223</v>
      </c>
      <c r="D822" s="403" t="s">
        <v>8755</v>
      </c>
      <c r="E822" s="403">
        <v>260103420533</v>
      </c>
      <c r="F822" s="403" t="s">
        <v>87</v>
      </c>
      <c r="G822" s="403" t="s">
        <v>859</v>
      </c>
      <c r="H822" s="403">
        <v>152</v>
      </c>
      <c r="I822" s="403">
        <v>280</v>
      </c>
      <c r="J822" s="374">
        <v>280</v>
      </c>
      <c r="K822" s="403">
        <v>104</v>
      </c>
      <c r="L822" s="217">
        <v>1830</v>
      </c>
      <c r="M822" s="403" t="s">
        <v>153</v>
      </c>
      <c r="N822" s="403" t="s">
        <v>149</v>
      </c>
      <c r="O822" s="403" t="s">
        <v>154</v>
      </c>
      <c r="P822" s="403" t="s">
        <v>151</v>
      </c>
      <c r="Q822" s="403" t="s">
        <v>155</v>
      </c>
      <c r="R822" s="403" t="s">
        <v>8756</v>
      </c>
      <c r="S822" s="403"/>
      <c r="T822" s="403" t="s">
        <v>3145</v>
      </c>
      <c r="U822" s="403" t="s">
        <v>152</v>
      </c>
      <c r="V822" s="403" t="s">
        <v>18</v>
      </c>
    </row>
    <row r="823" spans="1:22">
      <c r="A823" s="6"/>
      <c r="B823" s="216">
        <v>46223</v>
      </c>
      <c r="C823" s="216">
        <v>46223</v>
      </c>
      <c r="D823" s="403" t="s">
        <v>8757</v>
      </c>
      <c r="E823" s="403">
        <v>260103420534</v>
      </c>
      <c r="F823" s="403" t="s">
        <v>87</v>
      </c>
      <c r="G823" s="403" t="s">
        <v>859</v>
      </c>
      <c r="H823" s="403">
        <v>152</v>
      </c>
      <c r="I823" s="403">
        <v>277</v>
      </c>
      <c r="J823" s="374">
        <v>277</v>
      </c>
      <c r="K823" s="403">
        <v>104</v>
      </c>
      <c r="L823" s="217">
        <v>1830</v>
      </c>
      <c r="M823" s="403" t="s">
        <v>153</v>
      </c>
      <c r="N823" s="403" t="s">
        <v>149</v>
      </c>
      <c r="O823" s="403" t="s">
        <v>154</v>
      </c>
      <c r="P823" s="403" t="s">
        <v>151</v>
      </c>
      <c r="Q823" s="403" t="s">
        <v>155</v>
      </c>
      <c r="R823" s="403" t="s">
        <v>8758</v>
      </c>
      <c r="S823" s="403"/>
      <c r="T823" s="403" t="s">
        <v>3145</v>
      </c>
      <c r="U823" s="403" t="s">
        <v>152</v>
      </c>
      <c r="V823" s="403" t="s">
        <v>18</v>
      </c>
    </row>
    <row r="824" spans="1:22">
      <c r="A824" s="6"/>
      <c r="B824" s="216">
        <v>46223</v>
      </c>
      <c r="C824" s="216">
        <v>46223</v>
      </c>
      <c r="D824" s="403" t="s">
        <v>8759</v>
      </c>
      <c r="E824" s="403">
        <v>260101420539</v>
      </c>
      <c r="F824" s="403" t="s">
        <v>87</v>
      </c>
      <c r="G824" s="403" t="s">
        <v>859</v>
      </c>
      <c r="H824" s="403">
        <v>152</v>
      </c>
      <c r="I824" s="403">
        <v>228</v>
      </c>
      <c r="J824" s="374">
        <v>228</v>
      </c>
      <c r="K824" s="403">
        <v>104</v>
      </c>
      <c r="L824" s="217">
        <v>1500</v>
      </c>
      <c r="M824" s="403" t="s">
        <v>153</v>
      </c>
      <c r="N824" s="403" t="s">
        <v>149</v>
      </c>
      <c r="O824" s="403" t="s">
        <v>154</v>
      </c>
      <c r="P824" s="403" t="s">
        <v>151</v>
      </c>
      <c r="Q824" s="403" t="s">
        <v>155</v>
      </c>
      <c r="R824" s="403" t="s">
        <v>8760</v>
      </c>
      <c r="S824" s="403"/>
      <c r="T824" s="403" t="s">
        <v>3145</v>
      </c>
      <c r="U824" s="403" t="s">
        <v>152</v>
      </c>
      <c r="V824" s="403" t="s">
        <v>18</v>
      </c>
    </row>
    <row r="825" spans="1:22">
      <c r="A825" s="6"/>
      <c r="B825" s="216">
        <v>46223</v>
      </c>
      <c r="C825" s="216">
        <v>46223</v>
      </c>
      <c r="D825" s="403" t="s">
        <v>8761</v>
      </c>
      <c r="E825" s="403">
        <v>260105420558</v>
      </c>
      <c r="F825" s="403" t="s">
        <v>87</v>
      </c>
      <c r="G825" s="403" t="s">
        <v>2310</v>
      </c>
      <c r="H825" s="403">
        <v>125</v>
      </c>
      <c r="I825" s="403">
        <v>235</v>
      </c>
      <c r="J825" s="374">
        <v>235</v>
      </c>
      <c r="K825" s="403">
        <v>87</v>
      </c>
      <c r="L825" s="217">
        <v>2230</v>
      </c>
      <c r="M825" s="403" t="s">
        <v>153</v>
      </c>
      <c r="N825" s="403" t="s">
        <v>149</v>
      </c>
      <c r="O825" s="403" t="s">
        <v>154</v>
      </c>
      <c r="P825" s="403" t="s">
        <v>151</v>
      </c>
      <c r="Q825" s="403" t="s">
        <v>155</v>
      </c>
      <c r="R825" s="403" t="s">
        <v>8762</v>
      </c>
      <c r="S825" s="403"/>
      <c r="T825" s="403" t="s">
        <v>3145</v>
      </c>
      <c r="U825" s="403" t="s">
        <v>152</v>
      </c>
      <c r="V825" s="403" t="s">
        <v>18</v>
      </c>
    </row>
    <row r="826" spans="1:22">
      <c r="A826" s="6"/>
      <c r="B826" s="216">
        <v>46223</v>
      </c>
      <c r="C826" s="216">
        <v>46223</v>
      </c>
      <c r="D826" s="403" t="s">
        <v>8763</v>
      </c>
      <c r="E826" s="403">
        <v>260101620569</v>
      </c>
      <c r="F826" s="403" t="s">
        <v>87</v>
      </c>
      <c r="G826" s="403" t="s">
        <v>2642</v>
      </c>
      <c r="H826" s="403">
        <v>112</v>
      </c>
      <c r="I826" s="403">
        <v>346</v>
      </c>
      <c r="J826" s="374">
        <v>346</v>
      </c>
      <c r="K826" s="403">
        <v>160</v>
      </c>
      <c r="L826" s="217">
        <v>1000</v>
      </c>
      <c r="M826" s="403" t="s">
        <v>153</v>
      </c>
      <c r="N826" s="403" t="s">
        <v>149</v>
      </c>
      <c r="O826" s="403" t="s">
        <v>154</v>
      </c>
      <c r="P826" s="403" t="s">
        <v>151</v>
      </c>
      <c r="Q826" s="403" t="s">
        <v>155</v>
      </c>
      <c r="R826" s="403" t="s">
        <v>8764</v>
      </c>
      <c r="S826" s="403"/>
      <c r="T826" s="403" t="s">
        <v>3145</v>
      </c>
      <c r="U826" s="403" t="s">
        <v>152</v>
      </c>
      <c r="V826" s="403" t="s">
        <v>18</v>
      </c>
    </row>
    <row r="827" spans="1:22">
      <c r="A827" s="6"/>
      <c r="B827" s="216">
        <v>46223</v>
      </c>
      <c r="C827" s="216">
        <v>46223</v>
      </c>
      <c r="D827" s="403" t="s">
        <v>8765</v>
      </c>
      <c r="E827" s="403">
        <v>260105020537</v>
      </c>
      <c r="F827" s="403" t="s">
        <v>87</v>
      </c>
      <c r="G827" s="403" t="s">
        <v>2641</v>
      </c>
      <c r="H827" s="403">
        <v>160</v>
      </c>
      <c r="I827" s="403">
        <v>300</v>
      </c>
      <c r="J827" s="374">
        <v>300</v>
      </c>
      <c r="K827" s="403">
        <v>102</v>
      </c>
      <c r="L827" s="217">
        <v>1850</v>
      </c>
      <c r="M827" s="403" t="s">
        <v>153</v>
      </c>
      <c r="N827" s="403" t="s">
        <v>149</v>
      </c>
      <c r="O827" s="403" t="s">
        <v>154</v>
      </c>
      <c r="P827" s="403" t="s">
        <v>151</v>
      </c>
      <c r="Q827" s="403" t="s">
        <v>155</v>
      </c>
      <c r="R827" s="403" t="s">
        <v>8766</v>
      </c>
      <c r="S827" s="403"/>
      <c r="T827" s="403" t="s">
        <v>3145</v>
      </c>
      <c r="U827" s="403" t="s">
        <v>152</v>
      </c>
      <c r="V827" s="403" t="s">
        <v>18</v>
      </c>
    </row>
    <row r="828" spans="1:22">
      <c r="A828" s="6"/>
      <c r="B828" s="216">
        <v>46223</v>
      </c>
      <c r="C828" s="216">
        <v>46223</v>
      </c>
      <c r="D828" s="403" t="s">
        <v>8767</v>
      </c>
      <c r="E828" s="403">
        <v>260101420542</v>
      </c>
      <c r="F828" s="403" t="s">
        <v>87</v>
      </c>
      <c r="G828" s="403" t="s">
        <v>859</v>
      </c>
      <c r="H828" s="403">
        <v>152</v>
      </c>
      <c r="I828" s="403">
        <v>232</v>
      </c>
      <c r="J828" s="374">
        <v>232</v>
      </c>
      <c r="K828" s="403">
        <v>104</v>
      </c>
      <c r="L828" s="217">
        <v>1500</v>
      </c>
      <c r="M828" s="403" t="s">
        <v>153</v>
      </c>
      <c r="N828" s="403" t="s">
        <v>149</v>
      </c>
      <c r="O828" s="403" t="s">
        <v>154</v>
      </c>
      <c r="P828" s="403" t="s">
        <v>151</v>
      </c>
      <c r="Q828" s="403" t="s">
        <v>155</v>
      </c>
      <c r="R828" s="403" t="s">
        <v>8768</v>
      </c>
      <c r="S828" s="403"/>
      <c r="T828" s="403" t="s">
        <v>3145</v>
      </c>
      <c r="U828" s="403" t="s">
        <v>152</v>
      </c>
      <c r="V828" s="403" t="s">
        <v>18</v>
      </c>
    </row>
    <row r="829" spans="1:22">
      <c r="A829" s="6"/>
      <c r="B829" s="216">
        <v>46223</v>
      </c>
      <c r="C829" s="216">
        <v>46223</v>
      </c>
      <c r="D829" s="403" t="s">
        <v>8769</v>
      </c>
      <c r="E829" s="403">
        <v>260100920544</v>
      </c>
      <c r="F829" s="403" t="s">
        <v>87</v>
      </c>
      <c r="G829" s="403" t="s">
        <v>7130</v>
      </c>
      <c r="H829" s="403">
        <v>182</v>
      </c>
      <c r="I829" s="403">
        <v>389</v>
      </c>
      <c r="J829" s="374">
        <v>389</v>
      </c>
      <c r="K829" s="403">
        <v>190</v>
      </c>
      <c r="L829" s="217">
        <v>580</v>
      </c>
      <c r="M829" s="403" t="s">
        <v>153</v>
      </c>
      <c r="N829" s="403" t="s">
        <v>149</v>
      </c>
      <c r="O829" s="403" t="s">
        <v>154</v>
      </c>
      <c r="P829" s="403" t="s">
        <v>151</v>
      </c>
      <c r="Q829" s="403" t="s">
        <v>155</v>
      </c>
      <c r="R829" s="403" t="s">
        <v>8770</v>
      </c>
      <c r="S829" s="403"/>
      <c r="T829" s="403" t="s">
        <v>3145</v>
      </c>
      <c r="U829" s="403" t="s">
        <v>152</v>
      </c>
      <c r="V829" s="403" t="s">
        <v>18</v>
      </c>
    </row>
    <row r="830" spans="1:22">
      <c r="A830" s="6"/>
      <c r="B830" s="216">
        <v>46223</v>
      </c>
      <c r="C830" s="216">
        <v>46223</v>
      </c>
      <c r="D830" s="403" t="s">
        <v>8771</v>
      </c>
      <c r="E830" s="403">
        <v>260105520556</v>
      </c>
      <c r="F830" s="403" t="s">
        <v>87</v>
      </c>
      <c r="G830" s="403" t="s">
        <v>8546</v>
      </c>
      <c r="H830" s="403">
        <v>162</v>
      </c>
      <c r="I830" s="403">
        <v>224</v>
      </c>
      <c r="J830" s="374">
        <v>224</v>
      </c>
      <c r="K830" s="403">
        <v>77</v>
      </c>
      <c r="L830" s="217">
        <v>1860</v>
      </c>
      <c r="M830" s="403" t="s">
        <v>153</v>
      </c>
      <c r="N830" s="403" t="s">
        <v>149</v>
      </c>
      <c r="O830" s="403" t="s">
        <v>154</v>
      </c>
      <c r="P830" s="403" t="s">
        <v>151</v>
      </c>
      <c r="Q830" s="403" t="s">
        <v>155</v>
      </c>
      <c r="R830" s="403" t="s">
        <v>8772</v>
      </c>
      <c r="S830" s="403"/>
      <c r="T830" s="403" t="s">
        <v>3145</v>
      </c>
      <c r="U830" s="403" t="s">
        <v>152</v>
      </c>
      <c r="V830" s="403" t="s">
        <v>18</v>
      </c>
    </row>
    <row r="831" spans="1:22">
      <c r="A831" s="6"/>
      <c r="B831" s="216">
        <v>46223</v>
      </c>
      <c r="C831" s="216">
        <v>46223</v>
      </c>
      <c r="D831" s="403" t="s">
        <v>8773</v>
      </c>
      <c r="E831" s="403">
        <v>260101520565</v>
      </c>
      <c r="F831" s="403" t="s">
        <v>87</v>
      </c>
      <c r="G831" s="403" t="s">
        <v>2120</v>
      </c>
      <c r="H831" s="403">
        <v>92</v>
      </c>
      <c r="I831" s="403">
        <v>387</v>
      </c>
      <c r="J831" s="374">
        <v>387</v>
      </c>
      <c r="K831" s="403">
        <v>180</v>
      </c>
      <c r="L831" s="217">
        <v>1210</v>
      </c>
      <c r="M831" s="403" t="s">
        <v>153</v>
      </c>
      <c r="N831" s="403" t="s">
        <v>149</v>
      </c>
      <c r="O831" s="403" t="s">
        <v>154</v>
      </c>
      <c r="P831" s="403" t="s">
        <v>151</v>
      </c>
      <c r="Q831" s="403" t="s">
        <v>155</v>
      </c>
      <c r="R831" s="403" t="s">
        <v>8774</v>
      </c>
      <c r="S831" s="403"/>
      <c r="T831" s="403" t="s">
        <v>3145</v>
      </c>
      <c r="U831" s="403" t="s">
        <v>152</v>
      </c>
      <c r="V831" s="403" t="s">
        <v>18</v>
      </c>
    </row>
    <row r="832" spans="1:22">
      <c r="A832" s="6"/>
      <c r="B832" s="216">
        <v>46223</v>
      </c>
      <c r="C832" s="216">
        <v>46223</v>
      </c>
      <c r="D832" s="403" t="s">
        <v>8775</v>
      </c>
      <c r="E832" s="403">
        <v>260102620570</v>
      </c>
      <c r="F832" s="403" t="s">
        <v>87</v>
      </c>
      <c r="G832" s="403" t="s">
        <v>2554</v>
      </c>
      <c r="H832" s="403">
        <v>102</v>
      </c>
      <c r="I832" s="403">
        <v>247</v>
      </c>
      <c r="J832" s="374">
        <v>247</v>
      </c>
      <c r="K832" s="403">
        <v>125</v>
      </c>
      <c r="L832" s="217">
        <v>1000</v>
      </c>
      <c r="M832" s="403" t="s">
        <v>153</v>
      </c>
      <c r="N832" s="403" t="s">
        <v>149</v>
      </c>
      <c r="O832" s="403" t="s">
        <v>154</v>
      </c>
      <c r="P832" s="403" t="s">
        <v>151</v>
      </c>
      <c r="Q832" s="403" t="s">
        <v>155</v>
      </c>
      <c r="R832" s="403" t="s">
        <v>8776</v>
      </c>
      <c r="S832" s="403"/>
      <c r="T832" s="403" t="s">
        <v>3145</v>
      </c>
      <c r="U832" s="403" t="s">
        <v>152</v>
      </c>
      <c r="V832" s="403" t="s">
        <v>18</v>
      </c>
    </row>
    <row r="833" spans="1:22">
      <c r="A833" s="6"/>
      <c r="B833" s="216">
        <v>46223</v>
      </c>
      <c r="C833" s="216">
        <v>46223</v>
      </c>
      <c r="D833" s="403" t="s">
        <v>8777</v>
      </c>
      <c r="E833" s="403">
        <v>260106820546</v>
      </c>
      <c r="F833" s="403" t="s">
        <v>87</v>
      </c>
      <c r="G833" s="403" t="s">
        <v>2425</v>
      </c>
      <c r="H833" s="403">
        <v>132</v>
      </c>
      <c r="I833" s="403">
        <v>210</v>
      </c>
      <c r="J833" s="374">
        <v>210</v>
      </c>
      <c r="K833" s="403">
        <v>92</v>
      </c>
      <c r="L833" s="217">
        <v>1820</v>
      </c>
      <c r="M833" s="403" t="s">
        <v>153</v>
      </c>
      <c r="N833" s="403" t="s">
        <v>149</v>
      </c>
      <c r="O833" s="403" t="s">
        <v>154</v>
      </c>
      <c r="P833" s="403" t="s">
        <v>151</v>
      </c>
      <c r="Q833" s="403" t="s">
        <v>155</v>
      </c>
      <c r="R833" s="403" t="s">
        <v>8778</v>
      </c>
      <c r="S833" s="403"/>
      <c r="T833" s="403" t="s">
        <v>3145</v>
      </c>
      <c r="U833" s="403" t="s">
        <v>152</v>
      </c>
      <c r="V833" s="403" t="s">
        <v>18</v>
      </c>
    </row>
    <row r="834" spans="1:22">
      <c r="A834" s="6"/>
      <c r="B834" s="216">
        <v>46223</v>
      </c>
      <c r="C834" s="216">
        <v>46223</v>
      </c>
      <c r="D834" s="403" t="s">
        <v>8779</v>
      </c>
      <c r="E834" s="403">
        <v>260102820566</v>
      </c>
      <c r="F834" s="403" t="s">
        <v>87</v>
      </c>
      <c r="G834" s="403" t="s">
        <v>2554</v>
      </c>
      <c r="H834" s="403">
        <v>102</v>
      </c>
      <c r="I834" s="403">
        <v>242</v>
      </c>
      <c r="J834" s="374">
        <v>242</v>
      </c>
      <c r="K834" s="403">
        <v>125</v>
      </c>
      <c r="L834" s="217">
        <v>1000</v>
      </c>
      <c r="M834" s="403" t="s">
        <v>153</v>
      </c>
      <c r="N834" s="403" t="s">
        <v>149</v>
      </c>
      <c r="O834" s="403" t="s">
        <v>154</v>
      </c>
      <c r="P834" s="403" t="s">
        <v>151</v>
      </c>
      <c r="Q834" s="403" t="s">
        <v>155</v>
      </c>
      <c r="R834" s="403" t="s">
        <v>8780</v>
      </c>
      <c r="S834" s="403"/>
      <c r="T834" s="403" t="s">
        <v>3145</v>
      </c>
      <c r="U834" s="403" t="s">
        <v>152</v>
      </c>
      <c r="V834" s="403" t="s">
        <v>18</v>
      </c>
    </row>
    <row r="835" spans="1:22">
      <c r="A835" s="6"/>
      <c r="B835" s="216">
        <v>46223</v>
      </c>
      <c r="C835" s="216">
        <v>46223</v>
      </c>
      <c r="D835" s="403" t="s">
        <v>8781</v>
      </c>
      <c r="E835" s="403">
        <v>260103820564</v>
      </c>
      <c r="F835" s="403" t="s">
        <v>87</v>
      </c>
      <c r="G835" s="403" t="s">
        <v>859</v>
      </c>
      <c r="H835" s="403">
        <v>192</v>
      </c>
      <c r="I835" s="403">
        <v>258</v>
      </c>
      <c r="J835" s="374">
        <v>258</v>
      </c>
      <c r="K835" s="403">
        <v>104</v>
      </c>
      <c r="L835" s="217">
        <v>1300</v>
      </c>
      <c r="M835" s="403" t="s">
        <v>153</v>
      </c>
      <c r="N835" s="403" t="s">
        <v>149</v>
      </c>
      <c r="O835" s="403" t="s">
        <v>154</v>
      </c>
      <c r="P835" s="403" t="s">
        <v>151</v>
      </c>
      <c r="Q835" s="403" t="s">
        <v>155</v>
      </c>
      <c r="R835" s="403" t="s">
        <v>8782</v>
      </c>
      <c r="S835" s="403"/>
      <c r="T835" s="403" t="s">
        <v>3145</v>
      </c>
      <c r="U835" s="403" t="s">
        <v>152</v>
      </c>
      <c r="V835" s="403" t="s">
        <v>18</v>
      </c>
    </row>
    <row r="836" spans="1:22">
      <c r="A836" s="6"/>
      <c r="B836" s="216">
        <v>46223</v>
      </c>
      <c r="C836" s="216">
        <v>46223</v>
      </c>
      <c r="D836" s="403" t="s">
        <v>8783</v>
      </c>
      <c r="E836" s="403">
        <v>260102020572</v>
      </c>
      <c r="F836" s="403" t="s">
        <v>87</v>
      </c>
      <c r="G836" s="403" t="s">
        <v>2563</v>
      </c>
      <c r="H836" s="403">
        <v>95</v>
      </c>
      <c r="I836" s="403">
        <v>266</v>
      </c>
      <c r="J836" s="374">
        <v>266</v>
      </c>
      <c r="K836" s="403">
        <v>134</v>
      </c>
      <c r="L836" s="217">
        <v>1100</v>
      </c>
      <c r="M836" s="403" t="s">
        <v>153</v>
      </c>
      <c r="N836" s="403" t="s">
        <v>149</v>
      </c>
      <c r="O836" s="403" t="s">
        <v>154</v>
      </c>
      <c r="P836" s="403" t="s">
        <v>151</v>
      </c>
      <c r="Q836" s="403" t="s">
        <v>155</v>
      </c>
      <c r="R836" s="403" t="s">
        <v>8784</v>
      </c>
      <c r="S836" s="403"/>
      <c r="T836" s="403" t="s">
        <v>3145</v>
      </c>
      <c r="U836" s="403" t="s">
        <v>152</v>
      </c>
      <c r="V836" s="403" t="s">
        <v>18</v>
      </c>
    </row>
    <row r="837" spans="1:22">
      <c r="A837" s="6"/>
      <c r="B837" s="216">
        <v>46223</v>
      </c>
      <c r="C837" s="216">
        <v>46223</v>
      </c>
      <c r="D837" s="403" t="s">
        <v>8785</v>
      </c>
      <c r="E837" s="403">
        <v>260102020532</v>
      </c>
      <c r="F837" s="403" t="s">
        <v>87</v>
      </c>
      <c r="G837" s="403" t="s">
        <v>2563</v>
      </c>
      <c r="H837" s="403">
        <v>95</v>
      </c>
      <c r="I837" s="403">
        <v>273</v>
      </c>
      <c r="J837" s="374">
        <v>273</v>
      </c>
      <c r="K837" s="403">
        <v>134</v>
      </c>
      <c r="L837" s="217">
        <v>1110</v>
      </c>
      <c r="M837" s="403" t="s">
        <v>153</v>
      </c>
      <c r="N837" s="403" t="s">
        <v>149</v>
      </c>
      <c r="O837" s="403" t="s">
        <v>154</v>
      </c>
      <c r="P837" s="403" t="s">
        <v>151</v>
      </c>
      <c r="Q837" s="403" t="s">
        <v>155</v>
      </c>
      <c r="R837" s="403" t="s">
        <v>8786</v>
      </c>
      <c r="S837" s="403"/>
      <c r="T837" s="403" t="s">
        <v>3145</v>
      </c>
      <c r="U837" s="403" t="s">
        <v>152</v>
      </c>
      <c r="V837" s="403" t="s">
        <v>18</v>
      </c>
    </row>
    <row r="838" spans="1:22">
      <c r="A838" s="6"/>
      <c r="B838" s="216">
        <v>46223</v>
      </c>
      <c r="C838" s="216">
        <v>46223</v>
      </c>
      <c r="D838" s="403" t="s">
        <v>8787</v>
      </c>
      <c r="E838" s="403">
        <v>260100420543</v>
      </c>
      <c r="F838" s="403" t="s">
        <v>87</v>
      </c>
      <c r="G838" s="403" t="s">
        <v>7130</v>
      </c>
      <c r="H838" s="403">
        <v>182</v>
      </c>
      <c r="I838" s="403">
        <v>465</v>
      </c>
      <c r="J838" s="374">
        <v>465</v>
      </c>
      <c r="K838" s="403">
        <v>190</v>
      </c>
      <c r="L838" s="217">
        <v>690</v>
      </c>
      <c r="M838" s="403" t="s">
        <v>153</v>
      </c>
      <c r="N838" s="403" t="s">
        <v>149</v>
      </c>
      <c r="O838" s="403" t="s">
        <v>154</v>
      </c>
      <c r="P838" s="403" t="s">
        <v>151</v>
      </c>
      <c r="Q838" s="403" t="s">
        <v>155</v>
      </c>
      <c r="R838" s="403" t="s">
        <v>8788</v>
      </c>
      <c r="S838" s="403"/>
      <c r="T838" s="403" t="s">
        <v>3145</v>
      </c>
      <c r="U838" s="403" t="s">
        <v>152</v>
      </c>
      <c r="V838" s="403" t="s">
        <v>18</v>
      </c>
    </row>
    <row r="839" spans="1:22">
      <c r="A839" s="6"/>
      <c r="B839" s="216">
        <v>46223</v>
      </c>
      <c r="C839" s="216">
        <v>46223</v>
      </c>
      <c r="D839" s="403" t="s">
        <v>8789</v>
      </c>
      <c r="E839" s="403">
        <v>260107620549</v>
      </c>
      <c r="F839" s="403" t="s">
        <v>87</v>
      </c>
      <c r="G839" s="403" t="s">
        <v>7928</v>
      </c>
      <c r="H839" s="403">
        <v>132</v>
      </c>
      <c r="I839" s="403">
        <v>227</v>
      </c>
      <c r="J839" s="374">
        <v>227</v>
      </c>
      <c r="K839" s="403">
        <v>87</v>
      </c>
      <c r="L839" s="217">
        <v>1990</v>
      </c>
      <c r="M839" s="403" t="s">
        <v>153</v>
      </c>
      <c r="N839" s="403" t="s">
        <v>149</v>
      </c>
      <c r="O839" s="403" t="s">
        <v>154</v>
      </c>
      <c r="P839" s="403" t="s">
        <v>151</v>
      </c>
      <c r="Q839" s="403" t="s">
        <v>155</v>
      </c>
      <c r="R839" s="403" t="s">
        <v>8790</v>
      </c>
      <c r="S839" s="403"/>
      <c r="T839" s="403" t="s">
        <v>3145</v>
      </c>
      <c r="U839" s="403" t="s">
        <v>152</v>
      </c>
      <c r="V839" s="403" t="s">
        <v>18</v>
      </c>
    </row>
    <row r="840" spans="1:22">
      <c r="A840" s="6"/>
      <c r="B840" s="216">
        <v>46223</v>
      </c>
      <c r="C840" s="216">
        <v>46223</v>
      </c>
      <c r="D840" s="403" t="s">
        <v>8791</v>
      </c>
      <c r="E840" s="403">
        <v>260106120551</v>
      </c>
      <c r="F840" s="403" t="s">
        <v>87</v>
      </c>
      <c r="G840" s="403" t="s">
        <v>2310</v>
      </c>
      <c r="H840" s="403">
        <v>125</v>
      </c>
      <c r="I840" s="403">
        <v>211</v>
      </c>
      <c r="J840" s="374">
        <v>211</v>
      </c>
      <c r="K840" s="403">
        <v>87</v>
      </c>
      <c r="L840" s="217">
        <v>2000</v>
      </c>
      <c r="M840" s="403" t="s">
        <v>153</v>
      </c>
      <c r="N840" s="403" t="s">
        <v>149</v>
      </c>
      <c r="O840" s="403" t="s">
        <v>154</v>
      </c>
      <c r="P840" s="403" t="s">
        <v>151</v>
      </c>
      <c r="Q840" s="403" t="s">
        <v>155</v>
      </c>
      <c r="R840" s="403" t="s">
        <v>8792</v>
      </c>
      <c r="S840" s="403"/>
      <c r="T840" s="403" t="s">
        <v>3145</v>
      </c>
      <c r="U840" s="403" t="s">
        <v>152</v>
      </c>
      <c r="V840" s="403" t="s">
        <v>18</v>
      </c>
    </row>
    <row r="841" spans="1:22">
      <c r="A841" s="6"/>
      <c r="B841" s="216">
        <v>46223</v>
      </c>
      <c r="C841" s="216">
        <v>46223</v>
      </c>
      <c r="D841" s="403" t="s">
        <v>8793</v>
      </c>
      <c r="E841" s="403">
        <v>260105220557</v>
      </c>
      <c r="F841" s="403" t="s">
        <v>87</v>
      </c>
      <c r="G841" s="403" t="s">
        <v>8347</v>
      </c>
      <c r="H841" s="403">
        <v>152</v>
      </c>
      <c r="I841" s="403">
        <v>305</v>
      </c>
      <c r="J841" s="374">
        <v>305</v>
      </c>
      <c r="K841" s="403">
        <v>104</v>
      </c>
      <c r="L841" s="217">
        <v>1980</v>
      </c>
      <c r="M841" s="403" t="s">
        <v>153</v>
      </c>
      <c r="N841" s="403" t="s">
        <v>149</v>
      </c>
      <c r="O841" s="403" t="s">
        <v>154</v>
      </c>
      <c r="P841" s="403" t="s">
        <v>151</v>
      </c>
      <c r="Q841" s="403" t="s">
        <v>155</v>
      </c>
      <c r="R841" s="403" t="s">
        <v>8794</v>
      </c>
      <c r="S841" s="403"/>
      <c r="T841" s="403" t="s">
        <v>3145</v>
      </c>
      <c r="U841" s="403" t="s">
        <v>152</v>
      </c>
      <c r="V841" s="403" t="s">
        <v>18</v>
      </c>
    </row>
    <row r="842" spans="1:22">
      <c r="A842" s="6"/>
      <c r="B842" s="216">
        <v>46223</v>
      </c>
      <c r="C842" s="216">
        <v>46223</v>
      </c>
      <c r="D842" s="403" t="s">
        <v>8795</v>
      </c>
      <c r="E842" s="403">
        <v>260101920571</v>
      </c>
      <c r="F842" s="403" t="s">
        <v>87</v>
      </c>
      <c r="G842" s="403" t="s">
        <v>2563</v>
      </c>
      <c r="H842" s="403">
        <v>95</v>
      </c>
      <c r="I842" s="403">
        <v>240</v>
      </c>
      <c r="J842" s="374">
        <v>240</v>
      </c>
      <c r="K842" s="403">
        <v>134</v>
      </c>
      <c r="L842" s="217">
        <v>1000</v>
      </c>
      <c r="M842" s="403" t="s">
        <v>153</v>
      </c>
      <c r="N842" s="403" t="s">
        <v>149</v>
      </c>
      <c r="O842" s="403" t="s">
        <v>154</v>
      </c>
      <c r="P842" s="403" t="s">
        <v>151</v>
      </c>
      <c r="Q842" s="403" t="s">
        <v>155</v>
      </c>
      <c r="R842" s="403" t="s">
        <v>8796</v>
      </c>
      <c r="S842" s="403"/>
      <c r="T842" s="403" t="s">
        <v>3145</v>
      </c>
      <c r="U842" s="403" t="s">
        <v>152</v>
      </c>
      <c r="V842" s="403" t="s">
        <v>18</v>
      </c>
    </row>
    <row r="843" spans="1:22">
      <c r="A843" s="6"/>
      <c r="B843" s="216">
        <v>46223</v>
      </c>
      <c r="C843" s="216">
        <v>46223</v>
      </c>
      <c r="D843" s="403" t="s">
        <v>8797</v>
      </c>
      <c r="E843" s="403">
        <v>260101720531</v>
      </c>
      <c r="F843" s="403" t="s">
        <v>87</v>
      </c>
      <c r="G843" s="403" t="s">
        <v>2408</v>
      </c>
      <c r="H843" s="403">
        <v>105</v>
      </c>
      <c r="I843" s="403">
        <v>271</v>
      </c>
      <c r="J843" s="374">
        <v>271</v>
      </c>
      <c r="K843" s="403">
        <v>134</v>
      </c>
      <c r="L843" s="217">
        <v>1000</v>
      </c>
      <c r="M843" s="403" t="s">
        <v>153</v>
      </c>
      <c r="N843" s="403" t="s">
        <v>149</v>
      </c>
      <c r="O843" s="403" t="s">
        <v>154</v>
      </c>
      <c r="P843" s="403" t="s">
        <v>151</v>
      </c>
      <c r="Q843" s="403" t="s">
        <v>155</v>
      </c>
      <c r="R843" s="403" t="s">
        <v>8798</v>
      </c>
      <c r="S843" s="403"/>
      <c r="T843" s="403" t="s">
        <v>3145</v>
      </c>
      <c r="U843" s="403" t="s">
        <v>152</v>
      </c>
      <c r="V843" s="403" t="s">
        <v>18</v>
      </c>
    </row>
    <row r="844" spans="1:22">
      <c r="A844" s="6"/>
      <c r="B844" s="216">
        <v>46223</v>
      </c>
      <c r="C844" s="216">
        <v>46223</v>
      </c>
      <c r="D844" s="403" t="s">
        <v>8799</v>
      </c>
      <c r="E844" s="403">
        <v>260101420540</v>
      </c>
      <c r="F844" s="403" t="s">
        <v>87</v>
      </c>
      <c r="G844" s="403" t="s">
        <v>859</v>
      </c>
      <c r="H844" s="403">
        <v>152</v>
      </c>
      <c r="I844" s="403">
        <v>230</v>
      </c>
      <c r="J844" s="374">
        <v>230</v>
      </c>
      <c r="K844" s="403">
        <v>104</v>
      </c>
      <c r="L844" s="217">
        <v>1500</v>
      </c>
      <c r="M844" s="403" t="s">
        <v>153</v>
      </c>
      <c r="N844" s="403" t="s">
        <v>149</v>
      </c>
      <c r="O844" s="403" t="s">
        <v>154</v>
      </c>
      <c r="P844" s="403" t="s">
        <v>151</v>
      </c>
      <c r="Q844" s="403" t="s">
        <v>155</v>
      </c>
      <c r="R844" s="403" t="s">
        <v>8800</v>
      </c>
      <c r="S844" s="403"/>
      <c r="T844" s="403" t="s">
        <v>3145</v>
      </c>
      <c r="U844" s="403" t="s">
        <v>152</v>
      </c>
      <c r="V844" s="403" t="s">
        <v>18</v>
      </c>
    </row>
    <row r="845" spans="1:22">
      <c r="A845" s="6"/>
      <c r="B845" s="216">
        <v>46223</v>
      </c>
      <c r="C845" s="216">
        <v>46223</v>
      </c>
      <c r="D845" s="403" t="s">
        <v>8801</v>
      </c>
      <c r="E845" s="403">
        <v>260101420541</v>
      </c>
      <c r="F845" s="403" t="s">
        <v>87</v>
      </c>
      <c r="G845" s="403" t="s">
        <v>859</v>
      </c>
      <c r="H845" s="403">
        <v>152</v>
      </c>
      <c r="I845" s="403">
        <v>231</v>
      </c>
      <c r="J845" s="374">
        <v>231</v>
      </c>
      <c r="K845" s="403">
        <v>104</v>
      </c>
      <c r="L845" s="217">
        <v>1500</v>
      </c>
      <c r="M845" s="403" t="s">
        <v>153</v>
      </c>
      <c r="N845" s="403" t="s">
        <v>149</v>
      </c>
      <c r="O845" s="403" t="s">
        <v>154</v>
      </c>
      <c r="P845" s="403" t="s">
        <v>151</v>
      </c>
      <c r="Q845" s="403" t="s">
        <v>155</v>
      </c>
      <c r="R845" s="403" t="s">
        <v>8802</v>
      </c>
      <c r="S845" s="403"/>
      <c r="T845" s="403" t="s">
        <v>3145</v>
      </c>
      <c r="U845" s="403" t="s">
        <v>152</v>
      </c>
      <c r="V845" s="403" t="s">
        <v>18</v>
      </c>
    </row>
    <row r="846" spans="1:22">
      <c r="A846" s="6"/>
      <c r="B846" s="216">
        <v>46223</v>
      </c>
      <c r="C846" s="216">
        <v>46223</v>
      </c>
      <c r="D846" s="403" t="s">
        <v>8803</v>
      </c>
      <c r="E846" s="403">
        <v>260104620552</v>
      </c>
      <c r="F846" s="403" t="s">
        <v>87</v>
      </c>
      <c r="G846" s="403" t="s">
        <v>859</v>
      </c>
      <c r="H846" s="403">
        <v>152</v>
      </c>
      <c r="I846" s="403">
        <v>260</v>
      </c>
      <c r="J846" s="374">
        <v>260</v>
      </c>
      <c r="K846" s="403">
        <v>104</v>
      </c>
      <c r="L846" s="217">
        <v>1740</v>
      </c>
      <c r="M846" s="403" t="s">
        <v>153</v>
      </c>
      <c r="N846" s="403" t="s">
        <v>149</v>
      </c>
      <c r="O846" s="403" t="s">
        <v>154</v>
      </c>
      <c r="P846" s="403" t="s">
        <v>151</v>
      </c>
      <c r="Q846" s="403" t="s">
        <v>155</v>
      </c>
      <c r="R846" s="403" t="s">
        <v>8804</v>
      </c>
      <c r="S846" s="403"/>
      <c r="T846" s="403" t="s">
        <v>3145</v>
      </c>
      <c r="U846" s="403" t="s">
        <v>152</v>
      </c>
      <c r="V846" s="403" t="s">
        <v>18</v>
      </c>
    </row>
    <row r="847" spans="1:22">
      <c r="A847" s="6"/>
      <c r="B847" s="216">
        <v>46223</v>
      </c>
      <c r="C847" s="216">
        <v>46223</v>
      </c>
      <c r="D847" s="403" t="s">
        <v>8805</v>
      </c>
      <c r="E847" s="403">
        <v>260100720545</v>
      </c>
      <c r="F847" s="403" t="s">
        <v>87</v>
      </c>
      <c r="G847" s="403" t="s">
        <v>2120</v>
      </c>
      <c r="H847" s="403">
        <v>145</v>
      </c>
      <c r="I847" s="403">
        <v>505</v>
      </c>
      <c r="J847" s="374">
        <v>505</v>
      </c>
      <c r="K847" s="403">
        <v>180</v>
      </c>
      <c r="L847" s="217">
        <v>975</v>
      </c>
      <c r="M847" s="403" t="s">
        <v>153</v>
      </c>
      <c r="N847" s="403" t="s">
        <v>149</v>
      </c>
      <c r="O847" s="403" t="s">
        <v>154</v>
      </c>
      <c r="P847" s="403" t="s">
        <v>151</v>
      </c>
      <c r="Q847" s="403" t="s">
        <v>155</v>
      </c>
      <c r="R847" s="403" t="s">
        <v>8806</v>
      </c>
      <c r="S847" s="403"/>
      <c r="T847" s="403" t="s">
        <v>3145</v>
      </c>
      <c r="U847" s="403" t="s">
        <v>152</v>
      </c>
      <c r="V847" s="403" t="s">
        <v>18</v>
      </c>
    </row>
    <row r="848" spans="1:22">
      <c r="A848" s="6"/>
      <c r="B848" s="216">
        <v>46223</v>
      </c>
      <c r="C848" s="216">
        <v>46223</v>
      </c>
      <c r="D848" s="403" t="s">
        <v>8807</v>
      </c>
      <c r="E848" s="403">
        <v>260107820547</v>
      </c>
      <c r="F848" s="403" t="s">
        <v>87</v>
      </c>
      <c r="G848" s="403" t="s">
        <v>2425</v>
      </c>
      <c r="H848" s="403">
        <v>132</v>
      </c>
      <c r="I848" s="403">
        <v>216</v>
      </c>
      <c r="J848" s="374">
        <v>216</v>
      </c>
      <c r="K848" s="403">
        <v>92</v>
      </c>
      <c r="L848" s="217">
        <v>1850</v>
      </c>
      <c r="M848" s="403" t="s">
        <v>153</v>
      </c>
      <c r="N848" s="403" t="s">
        <v>149</v>
      </c>
      <c r="O848" s="403" t="s">
        <v>154</v>
      </c>
      <c r="P848" s="403" t="s">
        <v>151</v>
      </c>
      <c r="Q848" s="403" t="s">
        <v>155</v>
      </c>
      <c r="R848" s="403" t="s">
        <v>8808</v>
      </c>
      <c r="S848" s="403"/>
      <c r="T848" s="403" t="s">
        <v>3145</v>
      </c>
      <c r="U848" s="403" t="s">
        <v>152</v>
      </c>
      <c r="V848" s="403" t="s">
        <v>18</v>
      </c>
    </row>
    <row r="849" spans="1:22">
      <c r="A849" s="6"/>
      <c r="B849" s="216">
        <v>46223</v>
      </c>
      <c r="C849" s="216">
        <v>46223</v>
      </c>
      <c r="D849" s="403" t="s">
        <v>8809</v>
      </c>
      <c r="E849" s="403">
        <v>260103820563</v>
      </c>
      <c r="F849" s="403" t="s">
        <v>87</v>
      </c>
      <c r="G849" s="403" t="s">
        <v>859</v>
      </c>
      <c r="H849" s="403">
        <v>192</v>
      </c>
      <c r="I849" s="403">
        <v>257</v>
      </c>
      <c r="J849" s="374">
        <v>257</v>
      </c>
      <c r="K849" s="403">
        <v>104</v>
      </c>
      <c r="L849" s="217">
        <v>1300</v>
      </c>
      <c r="M849" s="403" t="s">
        <v>153</v>
      </c>
      <c r="N849" s="403" t="s">
        <v>149</v>
      </c>
      <c r="O849" s="403" t="s">
        <v>154</v>
      </c>
      <c r="P849" s="403" t="s">
        <v>151</v>
      </c>
      <c r="Q849" s="403" t="s">
        <v>155</v>
      </c>
      <c r="R849" s="403" t="s">
        <v>8810</v>
      </c>
      <c r="S849" s="403"/>
      <c r="T849" s="403" t="s">
        <v>3145</v>
      </c>
      <c r="U849" s="403" t="s">
        <v>152</v>
      </c>
      <c r="V849" s="403" t="s">
        <v>18</v>
      </c>
    </row>
    <row r="850" spans="1:22">
      <c r="A850" s="6"/>
      <c r="B850" s="216">
        <v>46223</v>
      </c>
      <c r="C850" s="216">
        <v>46223</v>
      </c>
      <c r="D850" s="403" t="s">
        <v>8811</v>
      </c>
      <c r="E850" s="403">
        <v>260100920579</v>
      </c>
      <c r="F850" s="403" t="s">
        <v>87</v>
      </c>
      <c r="G850" s="403" t="s">
        <v>7130</v>
      </c>
      <c r="H850" s="403">
        <v>182</v>
      </c>
      <c r="I850" s="403">
        <v>374</v>
      </c>
      <c r="J850" s="374">
        <v>374</v>
      </c>
      <c r="K850" s="403">
        <v>190</v>
      </c>
      <c r="L850" s="217">
        <v>550</v>
      </c>
      <c r="M850" s="403" t="s">
        <v>153</v>
      </c>
      <c r="N850" s="403" t="s">
        <v>149</v>
      </c>
      <c r="O850" s="403" t="s">
        <v>154</v>
      </c>
      <c r="P850" s="403" t="s">
        <v>151</v>
      </c>
      <c r="Q850" s="403" t="s">
        <v>155</v>
      </c>
      <c r="R850" s="403" t="s">
        <v>8812</v>
      </c>
      <c r="S850" s="403"/>
      <c r="T850" s="403" t="s">
        <v>3147</v>
      </c>
      <c r="U850" s="403" t="s">
        <v>152</v>
      </c>
      <c r="V850" s="403" t="s">
        <v>18</v>
      </c>
    </row>
    <row r="851" spans="1:22">
      <c r="A851" s="6"/>
      <c r="B851" s="216">
        <v>46223</v>
      </c>
      <c r="C851" s="216">
        <v>46223</v>
      </c>
      <c r="D851" s="403" t="s">
        <v>8813</v>
      </c>
      <c r="E851" s="403">
        <v>260105720536</v>
      </c>
      <c r="F851" s="403" t="s">
        <v>87</v>
      </c>
      <c r="G851" s="403" t="s">
        <v>2561</v>
      </c>
      <c r="H851" s="403">
        <v>142</v>
      </c>
      <c r="I851" s="403">
        <v>178</v>
      </c>
      <c r="J851" s="374">
        <v>178</v>
      </c>
      <c r="K851" s="403">
        <v>67</v>
      </c>
      <c r="L851" s="217">
        <v>1880</v>
      </c>
      <c r="M851" s="403" t="s">
        <v>153</v>
      </c>
      <c r="N851" s="403" t="s">
        <v>149</v>
      </c>
      <c r="O851" s="403" t="s">
        <v>154</v>
      </c>
      <c r="P851" s="403" t="s">
        <v>151</v>
      </c>
      <c r="Q851" s="403" t="s">
        <v>155</v>
      </c>
      <c r="R851" s="403" t="s">
        <v>8814</v>
      </c>
      <c r="S851" s="403"/>
      <c r="T851" s="403" t="s">
        <v>3147</v>
      </c>
      <c r="U851" s="403" t="s">
        <v>152</v>
      </c>
      <c r="V851" s="403" t="s">
        <v>18</v>
      </c>
    </row>
    <row r="852" spans="1:22">
      <c r="A852" s="6"/>
      <c r="B852" s="216">
        <v>46223</v>
      </c>
      <c r="C852" s="216">
        <v>46223</v>
      </c>
      <c r="D852" s="403" t="s">
        <v>8815</v>
      </c>
      <c r="E852" s="403">
        <v>260101720573</v>
      </c>
      <c r="F852" s="403" t="s">
        <v>87</v>
      </c>
      <c r="G852" s="403" t="s">
        <v>2408</v>
      </c>
      <c r="H852" s="403">
        <v>105</v>
      </c>
      <c r="I852" s="403">
        <v>283</v>
      </c>
      <c r="J852" s="374">
        <v>283</v>
      </c>
      <c r="K852" s="403">
        <v>134</v>
      </c>
      <c r="L852" s="217">
        <v>1020</v>
      </c>
      <c r="M852" s="403" t="s">
        <v>153</v>
      </c>
      <c r="N852" s="403" t="s">
        <v>149</v>
      </c>
      <c r="O852" s="403" t="s">
        <v>154</v>
      </c>
      <c r="P852" s="403" t="s">
        <v>151</v>
      </c>
      <c r="Q852" s="403" t="s">
        <v>155</v>
      </c>
      <c r="R852" s="403" t="s">
        <v>8816</v>
      </c>
      <c r="S852" s="403"/>
      <c r="T852" s="403" t="s">
        <v>3147</v>
      </c>
      <c r="U852" s="403" t="s">
        <v>152</v>
      </c>
      <c r="V852" s="403" t="s">
        <v>18</v>
      </c>
    </row>
    <row r="853" spans="1:22">
      <c r="A853" s="6"/>
      <c r="B853" s="216">
        <v>46223</v>
      </c>
      <c r="C853" s="216">
        <v>46223</v>
      </c>
      <c r="D853" s="403" t="s">
        <v>8817</v>
      </c>
      <c r="E853" s="403">
        <v>260105820580</v>
      </c>
      <c r="F853" s="403" t="s">
        <v>87</v>
      </c>
      <c r="G853" s="403" t="s">
        <v>2555</v>
      </c>
      <c r="H853" s="403">
        <v>152</v>
      </c>
      <c r="I853" s="403">
        <v>253</v>
      </c>
      <c r="J853" s="374">
        <v>253</v>
      </c>
      <c r="K853" s="403">
        <v>104</v>
      </c>
      <c r="L853" s="217">
        <v>1640</v>
      </c>
      <c r="M853" s="403" t="s">
        <v>153</v>
      </c>
      <c r="N853" s="403" t="s">
        <v>149</v>
      </c>
      <c r="O853" s="403" t="s">
        <v>154</v>
      </c>
      <c r="P853" s="403" t="s">
        <v>151</v>
      </c>
      <c r="Q853" s="403" t="s">
        <v>155</v>
      </c>
      <c r="R853" s="403" t="s">
        <v>8818</v>
      </c>
      <c r="S853" s="403"/>
      <c r="T853" s="403" t="s">
        <v>3147</v>
      </c>
      <c r="U853" s="403" t="s">
        <v>152</v>
      </c>
      <c r="V853" s="403" t="s">
        <v>18</v>
      </c>
    </row>
    <row r="854" spans="1:22">
      <c r="A854" s="6"/>
      <c r="B854" s="216">
        <v>46223</v>
      </c>
      <c r="C854" s="216">
        <v>46223</v>
      </c>
      <c r="D854" s="403" t="s">
        <v>8819</v>
      </c>
      <c r="E854" s="403">
        <v>260102720567</v>
      </c>
      <c r="F854" s="403" t="s">
        <v>87</v>
      </c>
      <c r="G854" s="403" t="s">
        <v>2554</v>
      </c>
      <c r="H854" s="403">
        <v>102</v>
      </c>
      <c r="I854" s="403">
        <v>247</v>
      </c>
      <c r="J854" s="374">
        <v>247</v>
      </c>
      <c r="K854" s="403">
        <v>125</v>
      </c>
      <c r="L854" s="217">
        <v>1000</v>
      </c>
      <c r="M854" s="403" t="s">
        <v>153</v>
      </c>
      <c r="N854" s="403" t="s">
        <v>149</v>
      </c>
      <c r="O854" s="403" t="s">
        <v>154</v>
      </c>
      <c r="P854" s="403" t="s">
        <v>151</v>
      </c>
      <c r="Q854" s="403" t="s">
        <v>155</v>
      </c>
      <c r="R854" s="403" t="s">
        <v>8820</v>
      </c>
      <c r="S854" s="403"/>
      <c r="T854" s="403" t="s">
        <v>3147</v>
      </c>
      <c r="U854" s="403" t="s">
        <v>152</v>
      </c>
      <c r="V854" s="403" t="s">
        <v>18</v>
      </c>
    </row>
    <row r="855" spans="1:22">
      <c r="A855" s="6"/>
      <c r="B855" s="216">
        <v>46223</v>
      </c>
      <c r="C855" s="216">
        <v>46223</v>
      </c>
      <c r="D855" s="403" t="s">
        <v>8821</v>
      </c>
      <c r="E855" s="403">
        <v>260107520581</v>
      </c>
      <c r="F855" s="403" t="s">
        <v>87</v>
      </c>
      <c r="G855" s="403" t="s">
        <v>2310</v>
      </c>
      <c r="H855" s="403">
        <v>125</v>
      </c>
      <c r="I855" s="403">
        <v>174</v>
      </c>
      <c r="J855" s="374">
        <v>174</v>
      </c>
      <c r="K855" s="403">
        <v>87</v>
      </c>
      <c r="L855" s="217">
        <v>1640</v>
      </c>
      <c r="M855" s="403" t="s">
        <v>153</v>
      </c>
      <c r="N855" s="403" t="s">
        <v>149</v>
      </c>
      <c r="O855" s="403" t="s">
        <v>154</v>
      </c>
      <c r="P855" s="403" t="s">
        <v>151</v>
      </c>
      <c r="Q855" s="403" t="s">
        <v>155</v>
      </c>
      <c r="R855" s="403" t="s">
        <v>8822</v>
      </c>
      <c r="S855" s="403"/>
      <c r="T855" s="403" t="s">
        <v>3147</v>
      </c>
      <c r="U855" s="403" t="s">
        <v>152</v>
      </c>
      <c r="V855" s="403" t="s">
        <v>18</v>
      </c>
    </row>
    <row r="856" spans="1:22">
      <c r="A856" s="6"/>
      <c r="B856" s="216">
        <v>46223</v>
      </c>
      <c r="C856" s="216">
        <v>46223</v>
      </c>
      <c r="D856" s="403" t="s">
        <v>8823</v>
      </c>
      <c r="E856" s="403">
        <v>260107020582</v>
      </c>
      <c r="F856" s="403" t="s">
        <v>87</v>
      </c>
      <c r="G856" s="403" t="s">
        <v>2310</v>
      </c>
      <c r="H856" s="403">
        <v>125</v>
      </c>
      <c r="I856" s="403">
        <v>207</v>
      </c>
      <c r="J856" s="374">
        <v>207</v>
      </c>
      <c r="K856" s="403">
        <v>87</v>
      </c>
      <c r="L856" s="217">
        <v>1970</v>
      </c>
      <c r="M856" s="403" t="s">
        <v>153</v>
      </c>
      <c r="N856" s="403" t="s">
        <v>149</v>
      </c>
      <c r="O856" s="403" t="s">
        <v>154</v>
      </c>
      <c r="P856" s="403" t="s">
        <v>151</v>
      </c>
      <c r="Q856" s="403" t="s">
        <v>155</v>
      </c>
      <c r="R856" s="403" t="s">
        <v>8824</v>
      </c>
      <c r="S856" s="403"/>
      <c r="T856" s="403" t="s">
        <v>3147</v>
      </c>
      <c r="U856" s="403" t="s">
        <v>152</v>
      </c>
      <c r="V856" s="403" t="s">
        <v>18</v>
      </c>
    </row>
    <row r="857" spans="1:22">
      <c r="A857" s="6"/>
      <c r="B857" s="216">
        <v>46223</v>
      </c>
      <c r="C857" s="216">
        <v>46223</v>
      </c>
      <c r="D857" s="403" t="s">
        <v>8825</v>
      </c>
      <c r="E857" s="403">
        <v>260100420583</v>
      </c>
      <c r="F857" s="403" t="s">
        <v>87</v>
      </c>
      <c r="G857" s="403" t="s">
        <v>7130</v>
      </c>
      <c r="H857" s="403">
        <v>182</v>
      </c>
      <c r="I857" s="403">
        <v>302</v>
      </c>
      <c r="J857" s="374">
        <v>302</v>
      </c>
      <c r="K857" s="403">
        <v>190</v>
      </c>
      <c r="L857" s="217">
        <v>450</v>
      </c>
      <c r="M857" s="403" t="s">
        <v>153</v>
      </c>
      <c r="N857" s="403" t="s">
        <v>149</v>
      </c>
      <c r="O857" s="403" t="s">
        <v>154</v>
      </c>
      <c r="P857" s="403" t="s">
        <v>151</v>
      </c>
      <c r="Q857" s="403" t="s">
        <v>155</v>
      </c>
      <c r="R857" s="403" t="s">
        <v>8826</v>
      </c>
      <c r="S857" s="403"/>
      <c r="T857" s="403" t="s">
        <v>3147</v>
      </c>
      <c r="U857" s="403" t="s">
        <v>152</v>
      </c>
      <c r="V857" s="403" t="s">
        <v>18</v>
      </c>
    </row>
    <row r="858" spans="1:22">
      <c r="A858" s="6"/>
      <c r="B858" s="216">
        <v>46223</v>
      </c>
      <c r="C858" s="216">
        <v>46223</v>
      </c>
      <c r="D858" s="403" t="s">
        <v>8827</v>
      </c>
      <c r="E858" s="395" t="s">
        <v>8828</v>
      </c>
      <c r="F858" s="403" t="s">
        <v>87</v>
      </c>
      <c r="G858" s="403" t="s">
        <v>2654</v>
      </c>
      <c r="H858" s="403" t="s">
        <v>2653</v>
      </c>
      <c r="I858" s="403">
        <v>305</v>
      </c>
      <c r="J858" s="374">
        <v>305</v>
      </c>
      <c r="K858" s="403">
        <v>78</v>
      </c>
      <c r="L858" s="217">
        <v>3826</v>
      </c>
      <c r="M858" s="403" t="s">
        <v>153</v>
      </c>
      <c r="N858" s="403" t="s">
        <v>149</v>
      </c>
      <c r="O858" s="403" t="s">
        <v>154</v>
      </c>
      <c r="P858" s="403" t="s">
        <v>151</v>
      </c>
      <c r="Q858" s="403" t="s">
        <v>156</v>
      </c>
      <c r="R858" s="403" t="s">
        <v>8829</v>
      </c>
      <c r="S858" s="403"/>
      <c r="T858" s="403" t="s">
        <v>3147</v>
      </c>
      <c r="U858" s="403" t="s">
        <v>152</v>
      </c>
      <c r="V858" s="403" t="s">
        <v>20</v>
      </c>
    </row>
    <row r="859" spans="1:22">
      <c r="A859" s="6"/>
      <c r="B859" s="216">
        <v>46223</v>
      </c>
      <c r="C859" s="216">
        <v>46223</v>
      </c>
      <c r="D859" s="403" t="s">
        <v>8830</v>
      </c>
      <c r="E859" s="395" t="s">
        <v>8465</v>
      </c>
      <c r="F859" s="403" t="s">
        <v>87</v>
      </c>
      <c r="G859" s="403" t="s">
        <v>2645</v>
      </c>
      <c r="H859" s="403" t="s">
        <v>8529</v>
      </c>
      <c r="I859" s="403">
        <v>242</v>
      </c>
      <c r="J859" s="374">
        <v>242</v>
      </c>
      <c r="K859" s="403">
        <v>102</v>
      </c>
      <c r="L859" s="217">
        <v>3500</v>
      </c>
      <c r="M859" s="403" t="s">
        <v>153</v>
      </c>
      <c r="N859" s="403" t="s">
        <v>149</v>
      </c>
      <c r="O859" s="403" t="s">
        <v>154</v>
      </c>
      <c r="P859" s="403" t="s">
        <v>151</v>
      </c>
      <c r="Q859" s="403" t="s">
        <v>156</v>
      </c>
      <c r="R859" s="403" t="s">
        <v>8831</v>
      </c>
      <c r="S859" s="403"/>
      <c r="T859" s="403" t="s">
        <v>3147</v>
      </c>
      <c r="U859" s="403" t="s">
        <v>152</v>
      </c>
      <c r="V859" s="403" t="s">
        <v>20</v>
      </c>
    </row>
    <row r="860" spans="1:22">
      <c r="A860" s="6"/>
      <c r="B860" s="216">
        <v>46223</v>
      </c>
      <c r="C860" s="216">
        <v>46223</v>
      </c>
      <c r="D860" s="403" t="s">
        <v>8832</v>
      </c>
      <c r="E860" s="395" t="s">
        <v>8468</v>
      </c>
      <c r="F860" s="403" t="s">
        <v>87</v>
      </c>
      <c r="G860" s="403" t="s">
        <v>2651</v>
      </c>
      <c r="H860" s="403" t="s">
        <v>8529</v>
      </c>
      <c r="I860" s="403">
        <v>138</v>
      </c>
      <c r="J860" s="374">
        <v>138</v>
      </c>
      <c r="K860" s="403">
        <v>55</v>
      </c>
      <c r="L860" s="217">
        <v>3390</v>
      </c>
      <c r="M860" s="403" t="s">
        <v>153</v>
      </c>
      <c r="N860" s="403" t="s">
        <v>149</v>
      </c>
      <c r="O860" s="403" t="s">
        <v>154</v>
      </c>
      <c r="P860" s="403" t="s">
        <v>151</v>
      </c>
      <c r="Q860" s="403" t="s">
        <v>156</v>
      </c>
      <c r="R860" s="403" t="s">
        <v>8833</v>
      </c>
      <c r="S860" s="403"/>
      <c r="T860" s="403" t="s">
        <v>3147</v>
      </c>
      <c r="U860" s="403" t="s">
        <v>152</v>
      </c>
      <c r="V860" s="403" t="s">
        <v>20</v>
      </c>
    </row>
    <row r="861" spans="1:22">
      <c r="A861" s="6"/>
      <c r="B861" s="216">
        <v>46223</v>
      </c>
      <c r="C861" s="216">
        <v>46223</v>
      </c>
      <c r="D861" s="403" t="s">
        <v>8834</v>
      </c>
      <c r="E861" s="395" t="s">
        <v>8468</v>
      </c>
      <c r="F861" s="403" t="s">
        <v>87</v>
      </c>
      <c r="G861" s="403" t="s">
        <v>2651</v>
      </c>
      <c r="H861" s="403" t="s">
        <v>8529</v>
      </c>
      <c r="I861" s="403">
        <v>146</v>
      </c>
      <c r="J861" s="374">
        <v>146</v>
      </c>
      <c r="K861" s="403">
        <v>55</v>
      </c>
      <c r="L861" s="217">
        <v>3390</v>
      </c>
      <c r="M861" s="403" t="s">
        <v>153</v>
      </c>
      <c r="N861" s="403" t="s">
        <v>149</v>
      </c>
      <c r="O861" s="403" t="s">
        <v>154</v>
      </c>
      <c r="P861" s="403" t="s">
        <v>151</v>
      </c>
      <c r="Q861" s="403" t="s">
        <v>156</v>
      </c>
      <c r="R861" s="403" t="s">
        <v>8835</v>
      </c>
      <c r="S861" s="403"/>
      <c r="T861" s="403" t="s">
        <v>3147</v>
      </c>
      <c r="U861" s="403" t="s">
        <v>152</v>
      </c>
      <c r="V861" s="403" t="s">
        <v>20</v>
      </c>
    </row>
    <row r="862" spans="1:22">
      <c r="A862" s="6"/>
      <c r="B862" s="216">
        <v>46223</v>
      </c>
      <c r="C862" s="216">
        <v>46223</v>
      </c>
      <c r="D862" s="403" t="s">
        <v>8836</v>
      </c>
      <c r="E862" s="395" t="s">
        <v>8477</v>
      </c>
      <c r="F862" s="403" t="s">
        <v>87</v>
      </c>
      <c r="G862" s="403" t="s">
        <v>2651</v>
      </c>
      <c r="H862" s="403" t="s">
        <v>8529</v>
      </c>
      <c r="I862" s="403">
        <v>187</v>
      </c>
      <c r="J862" s="374">
        <v>187</v>
      </c>
      <c r="K862" s="403">
        <v>55</v>
      </c>
      <c r="L862" s="217">
        <v>4800</v>
      </c>
      <c r="M862" s="403" t="s">
        <v>153</v>
      </c>
      <c r="N862" s="403" t="s">
        <v>149</v>
      </c>
      <c r="O862" s="403" t="s">
        <v>154</v>
      </c>
      <c r="P862" s="403" t="s">
        <v>151</v>
      </c>
      <c r="Q862" s="403" t="s">
        <v>156</v>
      </c>
      <c r="R862" s="403" t="s">
        <v>8837</v>
      </c>
      <c r="S862" s="403"/>
      <c r="T862" s="403" t="s">
        <v>3147</v>
      </c>
      <c r="U862" s="403" t="s">
        <v>152</v>
      </c>
      <c r="V862" s="403" t="s">
        <v>20</v>
      </c>
    </row>
    <row r="863" spans="1:22">
      <c r="A863" s="6"/>
      <c r="B863" s="216">
        <v>46223</v>
      </c>
      <c r="C863" s="216">
        <v>46223</v>
      </c>
      <c r="D863" s="403" t="s">
        <v>8838</v>
      </c>
      <c r="E863" s="395" t="s">
        <v>8477</v>
      </c>
      <c r="F863" s="403" t="s">
        <v>87</v>
      </c>
      <c r="G863" s="403" t="s">
        <v>2651</v>
      </c>
      <c r="H863" s="403" t="s">
        <v>8529</v>
      </c>
      <c r="I863" s="403">
        <v>186</v>
      </c>
      <c r="J863" s="374">
        <v>186</v>
      </c>
      <c r="K863" s="403">
        <v>55</v>
      </c>
      <c r="L863" s="217">
        <v>4800</v>
      </c>
      <c r="M863" s="403" t="s">
        <v>153</v>
      </c>
      <c r="N863" s="403" t="s">
        <v>149</v>
      </c>
      <c r="O863" s="403" t="s">
        <v>154</v>
      </c>
      <c r="P863" s="403" t="s">
        <v>151</v>
      </c>
      <c r="Q863" s="403" t="s">
        <v>156</v>
      </c>
      <c r="R863" s="403" t="s">
        <v>8839</v>
      </c>
      <c r="S863" s="403"/>
      <c r="T863" s="403" t="s">
        <v>3147</v>
      </c>
      <c r="U863" s="403" t="s">
        <v>152</v>
      </c>
      <c r="V863" s="403" t="s">
        <v>20</v>
      </c>
    </row>
    <row r="864" spans="1:22">
      <c r="A864" s="6"/>
      <c r="B864" s="216">
        <v>46223</v>
      </c>
      <c r="C864" s="216">
        <v>46223</v>
      </c>
      <c r="D864" s="403" t="s">
        <v>8840</v>
      </c>
      <c r="E864" s="395" t="s">
        <v>8471</v>
      </c>
      <c r="F864" s="403" t="s">
        <v>87</v>
      </c>
      <c r="G864" s="403" t="s">
        <v>2645</v>
      </c>
      <c r="H864" s="403" t="s">
        <v>8529</v>
      </c>
      <c r="I864" s="403">
        <v>294</v>
      </c>
      <c r="J864" s="374">
        <v>294</v>
      </c>
      <c r="K864" s="403">
        <v>102</v>
      </c>
      <c r="L864" s="217">
        <v>3700</v>
      </c>
      <c r="M864" s="403" t="s">
        <v>153</v>
      </c>
      <c r="N864" s="403" t="s">
        <v>149</v>
      </c>
      <c r="O864" s="403" t="s">
        <v>154</v>
      </c>
      <c r="P864" s="403" t="s">
        <v>151</v>
      </c>
      <c r="Q864" s="403" t="s">
        <v>156</v>
      </c>
      <c r="R864" s="403" t="s">
        <v>8841</v>
      </c>
      <c r="S864" s="403"/>
      <c r="T864" s="403" t="s">
        <v>3147</v>
      </c>
      <c r="U864" s="403" t="s">
        <v>152</v>
      </c>
      <c r="V864" s="403" t="s">
        <v>20</v>
      </c>
    </row>
    <row r="865" spans="1:22">
      <c r="A865" s="6"/>
      <c r="B865" s="216">
        <v>46224</v>
      </c>
      <c r="C865" s="216">
        <v>46224</v>
      </c>
      <c r="D865" s="403" t="s">
        <v>8842</v>
      </c>
      <c r="E865" s="395">
        <v>260103420060</v>
      </c>
      <c r="F865" s="403" t="s">
        <v>87</v>
      </c>
      <c r="G865" s="403" t="s">
        <v>7403</v>
      </c>
      <c r="H865" s="403">
        <v>222</v>
      </c>
      <c r="I865" s="403">
        <v>239</v>
      </c>
      <c r="J865" s="374">
        <v>239</v>
      </c>
      <c r="K865" s="403">
        <v>105</v>
      </c>
      <c r="L865" s="217">
        <v>1050</v>
      </c>
      <c r="M865" s="403" t="s">
        <v>153</v>
      </c>
      <c r="N865" s="403" t="s">
        <v>149</v>
      </c>
      <c r="O865" s="403" t="s">
        <v>154</v>
      </c>
      <c r="P865" s="403" t="s">
        <v>151</v>
      </c>
      <c r="Q865" s="403" t="s">
        <v>155</v>
      </c>
      <c r="R865" s="403" t="s">
        <v>8843</v>
      </c>
      <c r="S865" s="403"/>
      <c r="T865" s="403" t="s">
        <v>3161</v>
      </c>
      <c r="U865" s="403" t="s">
        <v>152</v>
      </c>
      <c r="V865" s="403" t="s">
        <v>18</v>
      </c>
    </row>
    <row r="866" spans="1:22">
      <c r="A866" s="6"/>
      <c r="B866" s="216">
        <v>46224</v>
      </c>
      <c r="C866" s="216">
        <v>46224</v>
      </c>
      <c r="D866" s="403" t="s">
        <v>8844</v>
      </c>
      <c r="E866" s="395">
        <v>260101520623</v>
      </c>
      <c r="F866" s="403" t="s">
        <v>87</v>
      </c>
      <c r="G866" s="403" t="s">
        <v>2120</v>
      </c>
      <c r="H866" s="403">
        <v>92</v>
      </c>
      <c r="I866" s="403">
        <v>325</v>
      </c>
      <c r="J866" s="374">
        <v>325</v>
      </c>
      <c r="K866" s="403">
        <v>180</v>
      </c>
      <c r="L866" s="217">
        <v>1000</v>
      </c>
      <c r="M866" s="403" t="s">
        <v>153</v>
      </c>
      <c r="N866" s="403" t="s">
        <v>149</v>
      </c>
      <c r="O866" s="403" t="s">
        <v>154</v>
      </c>
      <c r="P866" s="403" t="s">
        <v>151</v>
      </c>
      <c r="Q866" s="403" t="s">
        <v>155</v>
      </c>
      <c r="R866" s="403" t="s">
        <v>8845</v>
      </c>
      <c r="S866" s="403"/>
      <c r="T866" s="403" t="s">
        <v>3163</v>
      </c>
      <c r="U866" s="403" t="s">
        <v>152</v>
      </c>
      <c r="V866" s="403" t="s">
        <v>18</v>
      </c>
    </row>
    <row r="867" spans="1:22">
      <c r="A867" s="6"/>
      <c r="B867" s="216">
        <v>46224</v>
      </c>
      <c r="C867" s="216">
        <v>46224</v>
      </c>
      <c r="D867" s="403" t="s">
        <v>8846</v>
      </c>
      <c r="E867" s="395">
        <v>260101620624</v>
      </c>
      <c r="F867" s="403" t="s">
        <v>87</v>
      </c>
      <c r="G867" s="403" t="s">
        <v>2642</v>
      </c>
      <c r="H867" s="403">
        <v>112</v>
      </c>
      <c r="I867" s="403">
        <v>329</v>
      </c>
      <c r="J867" s="374">
        <v>329</v>
      </c>
      <c r="K867" s="403">
        <v>160</v>
      </c>
      <c r="L867" s="217">
        <v>910</v>
      </c>
      <c r="M867" s="403" t="s">
        <v>153</v>
      </c>
      <c r="N867" s="403" t="s">
        <v>149</v>
      </c>
      <c r="O867" s="403" t="s">
        <v>154</v>
      </c>
      <c r="P867" s="403" t="s">
        <v>151</v>
      </c>
      <c r="Q867" s="403" t="s">
        <v>155</v>
      </c>
      <c r="R867" s="403" t="s">
        <v>8847</v>
      </c>
      <c r="S867" s="403"/>
      <c r="T867" s="403" t="s">
        <v>3163</v>
      </c>
      <c r="U867" s="403" t="s">
        <v>152</v>
      </c>
      <c r="V867" s="403" t="s">
        <v>18</v>
      </c>
    </row>
    <row r="868" spans="1:22">
      <c r="A868" s="6"/>
      <c r="B868" s="216">
        <v>46224</v>
      </c>
      <c r="C868" s="216">
        <v>46224</v>
      </c>
      <c r="D868" s="403" t="s">
        <v>8848</v>
      </c>
      <c r="E868" s="395">
        <v>260106820644</v>
      </c>
      <c r="F868" s="403" t="s">
        <v>87</v>
      </c>
      <c r="G868" s="403" t="s">
        <v>2425</v>
      </c>
      <c r="H868" s="403">
        <v>132</v>
      </c>
      <c r="I868" s="403">
        <v>237</v>
      </c>
      <c r="J868" s="374">
        <v>237</v>
      </c>
      <c r="K868" s="403">
        <v>92</v>
      </c>
      <c r="L868" s="217">
        <v>2035</v>
      </c>
      <c r="M868" s="403" t="s">
        <v>153</v>
      </c>
      <c r="N868" s="403" t="s">
        <v>149</v>
      </c>
      <c r="O868" s="403" t="s">
        <v>154</v>
      </c>
      <c r="P868" s="403" t="s">
        <v>151</v>
      </c>
      <c r="Q868" s="403" t="s">
        <v>155</v>
      </c>
      <c r="R868" s="403" t="s">
        <v>8849</v>
      </c>
      <c r="S868" s="403"/>
      <c r="T868" s="403" t="s">
        <v>3163</v>
      </c>
      <c r="U868" s="403" t="s">
        <v>152</v>
      </c>
      <c r="V868" s="403" t="s">
        <v>18</v>
      </c>
    </row>
    <row r="869" spans="1:22">
      <c r="A869" s="6"/>
      <c r="B869" s="216">
        <v>46224</v>
      </c>
      <c r="C869" s="216">
        <v>46224</v>
      </c>
      <c r="D869" s="403" t="s">
        <v>8850</v>
      </c>
      <c r="E869" s="395">
        <v>260102720652</v>
      </c>
      <c r="F869" s="403" t="s">
        <v>87</v>
      </c>
      <c r="G869" s="403" t="s">
        <v>2554</v>
      </c>
      <c r="H869" s="403">
        <v>102</v>
      </c>
      <c r="I869" s="403">
        <v>243</v>
      </c>
      <c r="J869" s="374">
        <v>243</v>
      </c>
      <c r="K869" s="403">
        <v>125</v>
      </c>
      <c r="L869" s="217">
        <v>1000</v>
      </c>
      <c r="M869" s="403" t="s">
        <v>153</v>
      </c>
      <c r="N869" s="403" t="s">
        <v>149</v>
      </c>
      <c r="O869" s="403" t="s">
        <v>154</v>
      </c>
      <c r="P869" s="403" t="s">
        <v>151</v>
      </c>
      <c r="Q869" s="403" t="s">
        <v>155</v>
      </c>
      <c r="R869" s="403" t="s">
        <v>8851</v>
      </c>
      <c r="S869" s="403"/>
      <c r="T869" s="403" t="s">
        <v>3163</v>
      </c>
      <c r="U869" s="403" t="s">
        <v>152</v>
      </c>
      <c r="V869" s="403" t="s">
        <v>18</v>
      </c>
    </row>
    <row r="870" spans="1:22">
      <c r="A870" s="6"/>
      <c r="B870" s="216">
        <v>46224</v>
      </c>
      <c r="C870" s="216">
        <v>46224</v>
      </c>
      <c r="D870" s="403" t="s">
        <v>8852</v>
      </c>
      <c r="E870" s="395">
        <v>260103820668</v>
      </c>
      <c r="F870" s="403" t="s">
        <v>87</v>
      </c>
      <c r="G870" s="403" t="s">
        <v>859</v>
      </c>
      <c r="H870" s="403">
        <v>192</v>
      </c>
      <c r="I870" s="403">
        <v>285</v>
      </c>
      <c r="J870" s="374">
        <v>285</v>
      </c>
      <c r="K870" s="403">
        <v>104</v>
      </c>
      <c r="L870" s="217">
        <v>1465</v>
      </c>
      <c r="M870" s="403" t="s">
        <v>153</v>
      </c>
      <c r="N870" s="403" t="s">
        <v>149</v>
      </c>
      <c r="O870" s="403" t="s">
        <v>154</v>
      </c>
      <c r="P870" s="403" t="s">
        <v>151</v>
      </c>
      <c r="Q870" s="403" t="s">
        <v>155</v>
      </c>
      <c r="R870" s="403" t="s">
        <v>8853</v>
      </c>
      <c r="S870" s="403"/>
      <c r="T870" s="403" t="s">
        <v>3163</v>
      </c>
      <c r="U870" s="403" t="s">
        <v>152</v>
      </c>
      <c r="V870" s="403" t="s">
        <v>18</v>
      </c>
    </row>
    <row r="871" spans="1:22">
      <c r="A871" s="6"/>
      <c r="B871" s="216">
        <v>46224</v>
      </c>
      <c r="C871" s="216">
        <v>46224</v>
      </c>
      <c r="D871" s="403" t="s">
        <v>8854</v>
      </c>
      <c r="E871" s="395">
        <v>260101920671</v>
      </c>
      <c r="F871" s="403" t="s">
        <v>87</v>
      </c>
      <c r="G871" s="403" t="s">
        <v>2563</v>
      </c>
      <c r="H871" s="403">
        <v>95</v>
      </c>
      <c r="I871" s="403">
        <v>245</v>
      </c>
      <c r="J871" s="374">
        <v>245</v>
      </c>
      <c r="K871" s="403">
        <v>134</v>
      </c>
      <c r="L871" s="217">
        <v>1000</v>
      </c>
      <c r="M871" s="403" t="s">
        <v>153</v>
      </c>
      <c r="N871" s="403" t="s">
        <v>149</v>
      </c>
      <c r="O871" s="403" t="s">
        <v>154</v>
      </c>
      <c r="P871" s="403" t="s">
        <v>151</v>
      </c>
      <c r="Q871" s="403" t="s">
        <v>155</v>
      </c>
      <c r="R871" s="403" t="s">
        <v>8855</v>
      </c>
      <c r="S871" s="403"/>
      <c r="T871" s="403" t="s">
        <v>3163</v>
      </c>
      <c r="U871" s="403" t="s">
        <v>152</v>
      </c>
      <c r="V871" s="403" t="s">
        <v>18</v>
      </c>
    </row>
    <row r="872" spans="1:22">
      <c r="A872" s="6"/>
      <c r="B872" s="216">
        <v>46224</v>
      </c>
      <c r="C872" s="216">
        <v>46224</v>
      </c>
      <c r="D872" s="403" t="s">
        <v>8856</v>
      </c>
      <c r="E872" s="395">
        <v>260103320626</v>
      </c>
      <c r="F872" s="403" t="s">
        <v>87</v>
      </c>
      <c r="G872" s="403" t="s">
        <v>2641</v>
      </c>
      <c r="H872" s="403">
        <v>160</v>
      </c>
      <c r="I872" s="403">
        <v>291</v>
      </c>
      <c r="J872" s="374">
        <v>291</v>
      </c>
      <c r="K872" s="403">
        <v>102</v>
      </c>
      <c r="L872" s="217">
        <v>1800</v>
      </c>
      <c r="M872" s="403" t="s">
        <v>153</v>
      </c>
      <c r="N872" s="403" t="s">
        <v>149</v>
      </c>
      <c r="O872" s="403" t="s">
        <v>154</v>
      </c>
      <c r="P872" s="403" t="s">
        <v>151</v>
      </c>
      <c r="Q872" s="403" t="s">
        <v>155</v>
      </c>
      <c r="R872" s="403" t="s">
        <v>8857</v>
      </c>
      <c r="S872" s="403"/>
      <c r="T872" s="403" t="s">
        <v>3163</v>
      </c>
      <c r="U872" s="403" t="s">
        <v>152</v>
      </c>
      <c r="V872" s="403" t="s">
        <v>18</v>
      </c>
    </row>
    <row r="873" spans="1:22">
      <c r="A873" s="6"/>
      <c r="B873" s="216">
        <v>46224</v>
      </c>
      <c r="C873" s="216">
        <v>46224</v>
      </c>
      <c r="D873" s="403" t="s">
        <v>8858</v>
      </c>
      <c r="E873" s="395">
        <v>260105720629</v>
      </c>
      <c r="F873" s="403" t="s">
        <v>87</v>
      </c>
      <c r="G873" s="403" t="s">
        <v>2561</v>
      </c>
      <c r="H873" s="403">
        <v>142</v>
      </c>
      <c r="I873" s="403">
        <v>173</v>
      </c>
      <c r="J873" s="374">
        <v>173</v>
      </c>
      <c r="K873" s="403">
        <v>67</v>
      </c>
      <c r="L873" s="217">
        <v>1870</v>
      </c>
      <c r="M873" s="403" t="s">
        <v>153</v>
      </c>
      <c r="N873" s="403" t="s">
        <v>149</v>
      </c>
      <c r="O873" s="403" t="s">
        <v>154</v>
      </c>
      <c r="P873" s="403" t="s">
        <v>151</v>
      </c>
      <c r="Q873" s="403" t="s">
        <v>155</v>
      </c>
      <c r="R873" s="403" t="s">
        <v>8859</v>
      </c>
      <c r="S873" s="403"/>
      <c r="T873" s="403" t="s">
        <v>3163</v>
      </c>
      <c r="U873" s="403" t="s">
        <v>152</v>
      </c>
      <c r="V873" s="403" t="s">
        <v>18</v>
      </c>
    </row>
    <row r="874" spans="1:22">
      <c r="A874" s="6"/>
      <c r="B874" s="216">
        <v>46224</v>
      </c>
      <c r="C874" s="216">
        <v>46224</v>
      </c>
      <c r="D874" s="403" t="s">
        <v>8860</v>
      </c>
      <c r="E874" s="395">
        <v>260105020632</v>
      </c>
      <c r="F874" s="403" t="s">
        <v>87</v>
      </c>
      <c r="G874" s="403" t="s">
        <v>2641</v>
      </c>
      <c r="H874" s="403">
        <v>162</v>
      </c>
      <c r="I874" s="403">
        <v>291</v>
      </c>
      <c r="J874" s="374">
        <v>291</v>
      </c>
      <c r="K874" s="403">
        <v>102</v>
      </c>
      <c r="L874" s="217">
        <v>1815</v>
      </c>
      <c r="M874" s="403" t="s">
        <v>153</v>
      </c>
      <c r="N874" s="403" t="s">
        <v>149</v>
      </c>
      <c r="O874" s="403" t="s">
        <v>154</v>
      </c>
      <c r="P874" s="403" t="s">
        <v>151</v>
      </c>
      <c r="Q874" s="403" t="s">
        <v>155</v>
      </c>
      <c r="R874" s="403" t="s">
        <v>8861</v>
      </c>
      <c r="S874" s="403"/>
      <c r="T874" s="403" t="s">
        <v>3163</v>
      </c>
      <c r="U874" s="403" t="s">
        <v>152</v>
      </c>
      <c r="V874" s="403" t="s">
        <v>18</v>
      </c>
    </row>
    <row r="875" spans="1:22">
      <c r="A875" s="6"/>
      <c r="B875" s="216">
        <v>46224</v>
      </c>
      <c r="C875" s="216">
        <v>46224</v>
      </c>
      <c r="D875" s="403" t="s">
        <v>8862</v>
      </c>
      <c r="E875" s="395">
        <v>260103420650</v>
      </c>
      <c r="F875" s="403" t="s">
        <v>87</v>
      </c>
      <c r="G875" s="403" t="s">
        <v>859</v>
      </c>
      <c r="H875" s="403">
        <v>152</v>
      </c>
      <c r="I875" s="403">
        <v>230</v>
      </c>
      <c r="J875" s="374">
        <v>230</v>
      </c>
      <c r="K875" s="403">
        <v>104</v>
      </c>
      <c r="L875" s="217">
        <v>1500</v>
      </c>
      <c r="M875" s="403" t="s">
        <v>153</v>
      </c>
      <c r="N875" s="403" t="s">
        <v>149</v>
      </c>
      <c r="O875" s="403" t="s">
        <v>154</v>
      </c>
      <c r="P875" s="403" t="s">
        <v>151</v>
      </c>
      <c r="Q875" s="403" t="s">
        <v>155</v>
      </c>
      <c r="R875" s="403" t="s">
        <v>8863</v>
      </c>
      <c r="S875" s="403"/>
      <c r="T875" s="403" t="s">
        <v>3163</v>
      </c>
      <c r="U875" s="403" t="s">
        <v>152</v>
      </c>
      <c r="V875" s="403" t="s">
        <v>18</v>
      </c>
    </row>
    <row r="876" spans="1:22">
      <c r="A876" s="6"/>
      <c r="B876" s="216">
        <v>46224</v>
      </c>
      <c r="C876" s="216">
        <v>46224</v>
      </c>
      <c r="D876" s="403" t="s">
        <v>8864</v>
      </c>
      <c r="E876" s="395">
        <v>260102820651</v>
      </c>
      <c r="F876" s="403" t="s">
        <v>87</v>
      </c>
      <c r="G876" s="403" t="s">
        <v>2554</v>
      </c>
      <c r="H876" s="403">
        <v>102</v>
      </c>
      <c r="I876" s="403">
        <v>244</v>
      </c>
      <c r="J876" s="374">
        <v>244</v>
      </c>
      <c r="K876" s="403">
        <v>125</v>
      </c>
      <c r="L876" s="217">
        <v>1000</v>
      </c>
      <c r="M876" s="403" t="s">
        <v>153</v>
      </c>
      <c r="N876" s="403" t="s">
        <v>149</v>
      </c>
      <c r="O876" s="403" t="s">
        <v>154</v>
      </c>
      <c r="P876" s="403" t="s">
        <v>151</v>
      </c>
      <c r="Q876" s="403" t="s">
        <v>155</v>
      </c>
      <c r="R876" s="403" t="s">
        <v>8865</v>
      </c>
      <c r="S876" s="403"/>
      <c r="T876" s="403" t="s">
        <v>3163</v>
      </c>
      <c r="U876" s="403" t="s">
        <v>152</v>
      </c>
      <c r="V876" s="403" t="s">
        <v>18</v>
      </c>
    </row>
    <row r="877" spans="1:22">
      <c r="A877" s="6"/>
      <c r="B877" s="216">
        <v>46224</v>
      </c>
      <c r="C877" s="216">
        <v>46224</v>
      </c>
      <c r="D877" s="403" t="s">
        <v>8866</v>
      </c>
      <c r="E877" s="395">
        <v>260105520660</v>
      </c>
      <c r="F877" s="403" t="s">
        <v>87</v>
      </c>
      <c r="G877" s="403" t="s">
        <v>8546</v>
      </c>
      <c r="H877" s="403">
        <v>162</v>
      </c>
      <c r="I877" s="403">
        <v>248</v>
      </c>
      <c r="J877" s="374">
        <v>248</v>
      </c>
      <c r="K877" s="403">
        <v>77</v>
      </c>
      <c r="L877" s="217">
        <v>2060</v>
      </c>
      <c r="M877" s="403" t="s">
        <v>153</v>
      </c>
      <c r="N877" s="403" t="s">
        <v>149</v>
      </c>
      <c r="O877" s="403" t="s">
        <v>154</v>
      </c>
      <c r="P877" s="403" t="s">
        <v>151</v>
      </c>
      <c r="Q877" s="403" t="s">
        <v>155</v>
      </c>
      <c r="R877" s="403" t="s">
        <v>8867</v>
      </c>
      <c r="S877" s="403"/>
      <c r="T877" s="403" t="s">
        <v>3163</v>
      </c>
      <c r="U877" s="403" t="s">
        <v>152</v>
      </c>
      <c r="V877" s="403" t="s">
        <v>18</v>
      </c>
    </row>
    <row r="878" spans="1:22">
      <c r="A878" s="6"/>
      <c r="B878" s="216">
        <v>46224</v>
      </c>
      <c r="C878" s="216">
        <v>46224</v>
      </c>
      <c r="D878" s="403" t="s">
        <v>8868</v>
      </c>
      <c r="E878" s="395">
        <v>260103820669</v>
      </c>
      <c r="F878" s="403" t="s">
        <v>87</v>
      </c>
      <c r="G878" s="403" t="s">
        <v>859</v>
      </c>
      <c r="H878" s="403">
        <v>192</v>
      </c>
      <c r="I878" s="403">
        <v>288</v>
      </c>
      <c r="J878" s="374">
        <v>288</v>
      </c>
      <c r="K878" s="403">
        <v>104</v>
      </c>
      <c r="L878" s="217">
        <v>1465</v>
      </c>
      <c r="M878" s="403" t="s">
        <v>153</v>
      </c>
      <c r="N878" s="403" t="s">
        <v>149</v>
      </c>
      <c r="O878" s="403" t="s">
        <v>154</v>
      </c>
      <c r="P878" s="403" t="s">
        <v>151</v>
      </c>
      <c r="Q878" s="403" t="s">
        <v>155</v>
      </c>
      <c r="R878" s="403" t="s">
        <v>8869</v>
      </c>
      <c r="S878" s="403"/>
      <c r="T878" s="403" t="s">
        <v>3163</v>
      </c>
      <c r="U878" s="403" t="s">
        <v>152</v>
      </c>
      <c r="V878" s="403" t="s">
        <v>18</v>
      </c>
    </row>
    <row r="879" spans="1:22">
      <c r="A879" s="6"/>
      <c r="B879" s="216">
        <v>46224</v>
      </c>
      <c r="C879" s="216">
        <v>46224</v>
      </c>
      <c r="D879" s="403" t="s">
        <v>8870</v>
      </c>
      <c r="E879" s="395">
        <v>260100720673</v>
      </c>
      <c r="F879" s="403" t="s">
        <v>87</v>
      </c>
      <c r="G879" s="403" t="s">
        <v>2120</v>
      </c>
      <c r="H879" s="403">
        <v>145</v>
      </c>
      <c r="I879" s="403">
        <v>418</v>
      </c>
      <c r="J879" s="374">
        <v>418</v>
      </c>
      <c r="K879" s="403">
        <v>180</v>
      </c>
      <c r="L879" s="217">
        <v>810</v>
      </c>
      <c r="M879" s="403" t="s">
        <v>153</v>
      </c>
      <c r="N879" s="403" t="s">
        <v>149</v>
      </c>
      <c r="O879" s="403" t="s">
        <v>154</v>
      </c>
      <c r="P879" s="403" t="s">
        <v>151</v>
      </c>
      <c r="Q879" s="403" t="s">
        <v>155</v>
      </c>
      <c r="R879" s="403" t="s">
        <v>8871</v>
      </c>
      <c r="S879" s="403"/>
      <c r="T879" s="403" t="s">
        <v>3163</v>
      </c>
      <c r="U879" s="403" t="s">
        <v>152</v>
      </c>
      <c r="V879" s="403" t="s">
        <v>18</v>
      </c>
    </row>
    <row r="880" spans="1:22">
      <c r="A880" s="6"/>
      <c r="B880" s="216">
        <v>46224</v>
      </c>
      <c r="C880" s="216">
        <v>46224</v>
      </c>
      <c r="D880" s="403" t="s">
        <v>8872</v>
      </c>
      <c r="E880" s="395">
        <v>260100420674</v>
      </c>
      <c r="F880" s="403" t="s">
        <v>87</v>
      </c>
      <c r="G880" s="403" t="s">
        <v>7130</v>
      </c>
      <c r="H880" s="403">
        <v>182</v>
      </c>
      <c r="I880" s="403">
        <v>407</v>
      </c>
      <c r="J880" s="374">
        <v>407</v>
      </c>
      <c r="K880" s="403">
        <v>190</v>
      </c>
      <c r="L880" s="217">
        <v>600</v>
      </c>
      <c r="M880" s="403" t="s">
        <v>153</v>
      </c>
      <c r="N880" s="403" t="s">
        <v>149</v>
      </c>
      <c r="O880" s="403" t="s">
        <v>154</v>
      </c>
      <c r="P880" s="403" t="s">
        <v>151</v>
      </c>
      <c r="Q880" s="403" t="s">
        <v>155</v>
      </c>
      <c r="R880" s="403" t="s">
        <v>8873</v>
      </c>
      <c r="S880" s="403"/>
      <c r="T880" s="403" t="s">
        <v>3163</v>
      </c>
      <c r="U880" s="403" t="s">
        <v>152</v>
      </c>
      <c r="V880" s="403" t="s">
        <v>18</v>
      </c>
    </row>
    <row r="881" spans="1:22">
      <c r="A881" s="6"/>
      <c r="B881" s="216">
        <v>46224</v>
      </c>
      <c r="C881" s="216">
        <v>46224</v>
      </c>
      <c r="D881" s="403" t="s">
        <v>8874</v>
      </c>
      <c r="E881" s="395">
        <v>260106120656</v>
      </c>
      <c r="F881" s="403" t="s">
        <v>87</v>
      </c>
      <c r="G881" s="403" t="s">
        <v>2310</v>
      </c>
      <c r="H881" s="403">
        <v>125</v>
      </c>
      <c r="I881" s="403">
        <v>218</v>
      </c>
      <c r="J881" s="374">
        <v>218</v>
      </c>
      <c r="K881" s="403">
        <v>87</v>
      </c>
      <c r="L881" s="217">
        <v>2065</v>
      </c>
      <c r="M881" s="403" t="s">
        <v>153</v>
      </c>
      <c r="N881" s="403" t="s">
        <v>149</v>
      </c>
      <c r="O881" s="403" t="s">
        <v>154</v>
      </c>
      <c r="P881" s="403" t="s">
        <v>151</v>
      </c>
      <c r="Q881" s="403" t="s">
        <v>155</v>
      </c>
      <c r="R881" s="403" t="s">
        <v>8875</v>
      </c>
      <c r="S881" s="403"/>
      <c r="T881" s="403" t="s">
        <v>3163</v>
      </c>
      <c r="U881" s="403" t="s">
        <v>152</v>
      </c>
      <c r="V881" s="403" t="s">
        <v>18</v>
      </c>
    </row>
    <row r="882" spans="1:22">
      <c r="A882" s="6"/>
      <c r="B882" s="216">
        <v>46224</v>
      </c>
      <c r="C882" s="216">
        <v>46224</v>
      </c>
      <c r="D882" s="403" t="s">
        <v>8876</v>
      </c>
      <c r="E882" s="395">
        <v>260105720659</v>
      </c>
      <c r="F882" s="403" t="s">
        <v>87</v>
      </c>
      <c r="G882" s="403" t="s">
        <v>2561</v>
      </c>
      <c r="H882" s="403">
        <v>142</v>
      </c>
      <c r="I882" s="403">
        <v>149</v>
      </c>
      <c r="J882" s="374">
        <v>149</v>
      </c>
      <c r="K882" s="403">
        <v>67</v>
      </c>
      <c r="L882" s="217">
        <v>1600</v>
      </c>
      <c r="M882" s="403" t="s">
        <v>153</v>
      </c>
      <c r="N882" s="403" t="s">
        <v>149</v>
      </c>
      <c r="O882" s="403" t="s">
        <v>154</v>
      </c>
      <c r="P882" s="403" t="s">
        <v>151</v>
      </c>
      <c r="Q882" s="403" t="s">
        <v>155</v>
      </c>
      <c r="R882" s="403" t="s">
        <v>8877</v>
      </c>
      <c r="S882" s="403"/>
      <c r="T882" s="403" t="s">
        <v>3163</v>
      </c>
      <c r="U882" s="403" t="s">
        <v>152</v>
      </c>
      <c r="V882" s="403" t="s">
        <v>18</v>
      </c>
    </row>
    <row r="883" spans="1:22">
      <c r="A883" s="6"/>
      <c r="B883" s="216">
        <v>46224</v>
      </c>
      <c r="C883" s="216">
        <v>46224</v>
      </c>
      <c r="D883" s="403" t="s">
        <v>8878</v>
      </c>
      <c r="E883" s="395">
        <v>260105420663</v>
      </c>
      <c r="F883" s="403" t="s">
        <v>87</v>
      </c>
      <c r="G883" s="403" t="s">
        <v>2310</v>
      </c>
      <c r="H883" s="403">
        <v>125</v>
      </c>
      <c r="I883" s="403">
        <v>237</v>
      </c>
      <c r="J883" s="374">
        <v>237</v>
      </c>
      <c r="K883" s="403">
        <v>87</v>
      </c>
      <c r="L883" s="217">
        <v>2240</v>
      </c>
      <c r="M883" s="403" t="s">
        <v>153</v>
      </c>
      <c r="N883" s="403" t="s">
        <v>149</v>
      </c>
      <c r="O883" s="403" t="s">
        <v>154</v>
      </c>
      <c r="P883" s="403" t="s">
        <v>151</v>
      </c>
      <c r="Q883" s="403" t="s">
        <v>155</v>
      </c>
      <c r="R883" s="403" t="s">
        <v>8879</v>
      </c>
      <c r="S883" s="403"/>
      <c r="T883" s="403" t="s">
        <v>3163</v>
      </c>
      <c r="U883" s="403" t="s">
        <v>152</v>
      </c>
      <c r="V883" s="403" t="s">
        <v>18</v>
      </c>
    </row>
    <row r="884" spans="1:22">
      <c r="A884" s="6"/>
      <c r="B884" s="216">
        <v>46224</v>
      </c>
      <c r="C884" s="216">
        <v>46224</v>
      </c>
      <c r="D884" s="403" t="s">
        <v>8880</v>
      </c>
      <c r="E884" s="395">
        <v>260105120633</v>
      </c>
      <c r="F884" s="403" t="s">
        <v>87</v>
      </c>
      <c r="G884" s="403" t="s">
        <v>8881</v>
      </c>
      <c r="H884" s="403">
        <v>162</v>
      </c>
      <c r="I884" s="403">
        <v>281</v>
      </c>
      <c r="J884" s="374">
        <v>281</v>
      </c>
      <c r="K884" s="403">
        <v>102</v>
      </c>
      <c r="L884" s="217">
        <v>1720</v>
      </c>
      <c r="M884" s="403" t="s">
        <v>153</v>
      </c>
      <c r="N884" s="403" t="s">
        <v>149</v>
      </c>
      <c r="O884" s="403" t="s">
        <v>154</v>
      </c>
      <c r="P884" s="403" t="s">
        <v>151</v>
      </c>
      <c r="Q884" s="403" t="s">
        <v>155</v>
      </c>
      <c r="R884" s="403" t="s">
        <v>8882</v>
      </c>
      <c r="S884" s="403"/>
      <c r="T884" s="403" t="s">
        <v>3163</v>
      </c>
      <c r="U884" s="403" t="s">
        <v>152</v>
      </c>
      <c r="V884" s="403" t="s">
        <v>18</v>
      </c>
    </row>
    <row r="885" spans="1:22">
      <c r="A885" s="6"/>
      <c r="B885" s="216">
        <v>46224</v>
      </c>
      <c r="C885" s="216">
        <v>46224</v>
      </c>
      <c r="D885" s="403" t="s">
        <v>8883</v>
      </c>
      <c r="E885" s="403">
        <v>260107320647</v>
      </c>
      <c r="F885" s="403" t="s">
        <v>87</v>
      </c>
      <c r="G885" s="403" t="s">
        <v>859</v>
      </c>
      <c r="H885" s="403">
        <v>152</v>
      </c>
      <c r="I885" s="403">
        <v>176</v>
      </c>
      <c r="J885" s="374">
        <v>176</v>
      </c>
      <c r="K885" s="403">
        <v>104</v>
      </c>
      <c r="L885" s="217">
        <v>1160</v>
      </c>
      <c r="M885" s="403" t="s">
        <v>153</v>
      </c>
      <c r="N885" s="403" t="s">
        <v>149</v>
      </c>
      <c r="O885" s="403" t="s">
        <v>154</v>
      </c>
      <c r="P885" s="403" t="s">
        <v>151</v>
      </c>
      <c r="Q885" s="403" t="s">
        <v>155</v>
      </c>
      <c r="R885" s="403" t="s">
        <v>8884</v>
      </c>
      <c r="S885" s="403"/>
      <c r="T885" s="403" t="s">
        <v>3163</v>
      </c>
      <c r="U885" s="403" t="s">
        <v>152</v>
      </c>
      <c r="V885" s="403" t="s">
        <v>18</v>
      </c>
    </row>
    <row r="886" spans="1:22">
      <c r="A886" s="6"/>
      <c r="B886" s="216">
        <v>46224</v>
      </c>
      <c r="C886" s="216">
        <v>46224</v>
      </c>
      <c r="D886" s="403" t="s">
        <v>8885</v>
      </c>
      <c r="E886" s="403">
        <v>260101720653</v>
      </c>
      <c r="F886" s="403" t="s">
        <v>87</v>
      </c>
      <c r="G886" s="403" t="s">
        <v>2408</v>
      </c>
      <c r="H886" s="403">
        <v>95</v>
      </c>
      <c r="I886" s="403">
        <v>257</v>
      </c>
      <c r="J886" s="374">
        <v>257</v>
      </c>
      <c r="K886" s="403">
        <v>134</v>
      </c>
      <c r="L886" s="217">
        <v>1000</v>
      </c>
      <c r="M886" s="403" t="s">
        <v>153</v>
      </c>
      <c r="N886" s="403" t="s">
        <v>149</v>
      </c>
      <c r="O886" s="403" t="s">
        <v>154</v>
      </c>
      <c r="P886" s="403" t="s">
        <v>151</v>
      </c>
      <c r="Q886" s="403" t="s">
        <v>155</v>
      </c>
      <c r="R886" s="403" t="s">
        <v>8886</v>
      </c>
      <c r="S886" s="403"/>
      <c r="T886" s="403" t="s">
        <v>3163</v>
      </c>
      <c r="U886" s="403" t="s">
        <v>152</v>
      </c>
      <c r="V886" s="403" t="s">
        <v>18</v>
      </c>
    </row>
    <row r="887" spans="1:22">
      <c r="A887" s="6"/>
      <c r="B887" s="216">
        <v>46224</v>
      </c>
      <c r="C887" s="216">
        <v>46224</v>
      </c>
      <c r="D887" s="403" t="s">
        <v>8887</v>
      </c>
      <c r="E887" s="403">
        <v>260103320625</v>
      </c>
      <c r="F887" s="403" t="s">
        <v>87</v>
      </c>
      <c r="G887" s="403" t="s">
        <v>2641</v>
      </c>
      <c r="H887" s="403">
        <v>160</v>
      </c>
      <c r="I887" s="403">
        <v>285</v>
      </c>
      <c r="J887" s="374">
        <v>285</v>
      </c>
      <c r="K887" s="403">
        <v>102</v>
      </c>
      <c r="L887" s="217">
        <v>1800</v>
      </c>
      <c r="M887" s="403" t="s">
        <v>153</v>
      </c>
      <c r="N887" s="403" t="s">
        <v>149</v>
      </c>
      <c r="O887" s="403" t="s">
        <v>154</v>
      </c>
      <c r="P887" s="403" t="s">
        <v>151</v>
      </c>
      <c r="Q887" s="403" t="s">
        <v>155</v>
      </c>
      <c r="R887" s="403" t="s">
        <v>8888</v>
      </c>
      <c r="S887" s="403"/>
      <c r="T887" s="403" t="s">
        <v>3163</v>
      </c>
      <c r="U887" s="403" t="s">
        <v>152</v>
      </c>
      <c r="V887" s="403" t="s">
        <v>18</v>
      </c>
    </row>
    <row r="888" spans="1:22">
      <c r="A888" s="6"/>
      <c r="B888" s="216">
        <v>46224</v>
      </c>
      <c r="C888" s="216">
        <v>46224</v>
      </c>
      <c r="D888" s="403" t="s">
        <v>8889</v>
      </c>
      <c r="E888" s="403">
        <v>260107420645</v>
      </c>
      <c r="F888" s="403" t="s">
        <v>87</v>
      </c>
      <c r="G888" s="403" t="s">
        <v>2562</v>
      </c>
      <c r="H888" s="403">
        <v>125</v>
      </c>
      <c r="I888" s="403">
        <v>289</v>
      </c>
      <c r="J888" s="374">
        <v>289</v>
      </c>
      <c r="K888" s="403">
        <v>97</v>
      </c>
      <c r="L888" s="217">
        <v>2400</v>
      </c>
      <c r="M888" s="403" t="s">
        <v>153</v>
      </c>
      <c r="N888" s="403" t="s">
        <v>149</v>
      </c>
      <c r="O888" s="403" t="s">
        <v>154</v>
      </c>
      <c r="P888" s="403" t="s">
        <v>151</v>
      </c>
      <c r="Q888" s="403" t="s">
        <v>155</v>
      </c>
      <c r="R888" s="403" t="s">
        <v>8890</v>
      </c>
      <c r="S888" s="403"/>
      <c r="T888" s="403" t="s">
        <v>3163</v>
      </c>
      <c r="U888" s="403" t="s">
        <v>152</v>
      </c>
      <c r="V888" s="403" t="s">
        <v>18</v>
      </c>
    </row>
    <row r="889" spans="1:22">
      <c r="A889" s="6"/>
      <c r="B889" s="216">
        <v>46224</v>
      </c>
      <c r="C889" s="216">
        <v>46224</v>
      </c>
      <c r="D889" s="403" t="s">
        <v>8891</v>
      </c>
      <c r="E889" s="403">
        <v>260104620657</v>
      </c>
      <c r="F889" s="403" t="s">
        <v>87</v>
      </c>
      <c r="G889" s="403" t="s">
        <v>859</v>
      </c>
      <c r="H889" s="403">
        <v>152</v>
      </c>
      <c r="I889" s="403">
        <v>271</v>
      </c>
      <c r="J889" s="374">
        <v>271</v>
      </c>
      <c r="K889" s="403">
        <v>104</v>
      </c>
      <c r="L889" s="217">
        <v>1820</v>
      </c>
      <c r="M889" s="403" t="s">
        <v>153</v>
      </c>
      <c r="N889" s="403" t="s">
        <v>149</v>
      </c>
      <c r="O889" s="403" t="s">
        <v>154</v>
      </c>
      <c r="P889" s="403" t="s">
        <v>151</v>
      </c>
      <c r="Q889" s="403" t="s">
        <v>155</v>
      </c>
      <c r="R889" s="403" t="s">
        <v>8892</v>
      </c>
      <c r="S889" s="403"/>
      <c r="T889" s="403" t="s">
        <v>3163</v>
      </c>
      <c r="U889" s="403" t="s">
        <v>152</v>
      </c>
      <c r="V889" s="403" t="s">
        <v>18</v>
      </c>
    </row>
    <row r="890" spans="1:22">
      <c r="A890" s="6"/>
      <c r="B890" s="216">
        <v>46224</v>
      </c>
      <c r="C890" s="216">
        <v>46224</v>
      </c>
      <c r="D890" s="403" t="s">
        <v>8893</v>
      </c>
      <c r="E890" s="403">
        <v>260102620622</v>
      </c>
      <c r="F890" s="403" t="s">
        <v>87</v>
      </c>
      <c r="G890" s="403" t="s">
        <v>2554</v>
      </c>
      <c r="H890" s="403">
        <v>102</v>
      </c>
      <c r="I890" s="403">
        <v>244</v>
      </c>
      <c r="J890" s="374">
        <v>244</v>
      </c>
      <c r="K890" s="403">
        <v>125</v>
      </c>
      <c r="L890" s="217">
        <v>1000</v>
      </c>
      <c r="M890" s="403" t="s">
        <v>153</v>
      </c>
      <c r="N890" s="403" t="s">
        <v>149</v>
      </c>
      <c r="O890" s="403" t="s">
        <v>154</v>
      </c>
      <c r="P890" s="403" t="s">
        <v>151</v>
      </c>
      <c r="Q890" s="403" t="s">
        <v>155</v>
      </c>
      <c r="R890" s="403" t="s">
        <v>8894</v>
      </c>
      <c r="S890" s="403"/>
      <c r="T890" s="403" t="s">
        <v>3163</v>
      </c>
      <c r="U890" s="403" t="s">
        <v>152</v>
      </c>
      <c r="V890" s="403" t="s">
        <v>18</v>
      </c>
    </row>
    <row r="891" spans="1:22">
      <c r="A891" s="6"/>
      <c r="B891" s="216">
        <v>46224</v>
      </c>
      <c r="C891" s="216">
        <v>46224</v>
      </c>
      <c r="D891" s="403" t="s">
        <v>8895</v>
      </c>
      <c r="E891" s="403">
        <v>260102020672</v>
      </c>
      <c r="F891" s="403" t="s">
        <v>87</v>
      </c>
      <c r="G891" s="403" t="s">
        <v>2563</v>
      </c>
      <c r="H891" s="403">
        <v>95</v>
      </c>
      <c r="I891" s="403">
        <v>245</v>
      </c>
      <c r="J891" s="374">
        <v>245</v>
      </c>
      <c r="K891" s="403">
        <v>134</v>
      </c>
      <c r="L891" s="217">
        <v>1000</v>
      </c>
      <c r="M891" s="403" t="s">
        <v>153</v>
      </c>
      <c r="N891" s="403" t="s">
        <v>149</v>
      </c>
      <c r="O891" s="403" t="s">
        <v>154</v>
      </c>
      <c r="P891" s="403" t="s">
        <v>151</v>
      </c>
      <c r="Q891" s="403" t="s">
        <v>155</v>
      </c>
      <c r="R891" s="403" t="s">
        <v>8896</v>
      </c>
      <c r="S891" s="403"/>
      <c r="T891" s="403" t="s">
        <v>3163</v>
      </c>
      <c r="U891" s="403" t="s">
        <v>152</v>
      </c>
      <c r="V891" s="403" t="s">
        <v>18</v>
      </c>
    </row>
    <row r="892" spans="1:22">
      <c r="A892" s="6"/>
      <c r="B892" s="216">
        <v>46224</v>
      </c>
      <c r="C892" s="216">
        <v>46224</v>
      </c>
      <c r="D892" s="403" t="s">
        <v>8897</v>
      </c>
      <c r="E892" s="403">
        <v>260100720621</v>
      </c>
      <c r="F892" s="403" t="s">
        <v>87</v>
      </c>
      <c r="G892" s="403" t="s">
        <v>2120</v>
      </c>
      <c r="H892" s="403">
        <v>145</v>
      </c>
      <c r="I892" s="403">
        <v>456</v>
      </c>
      <c r="J892" s="374">
        <v>456</v>
      </c>
      <c r="K892" s="403">
        <v>180</v>
      </c>
      <c r="L892" s="217">
        <v>890</v>
      </c>
      <c r="M892" s="403" t="s">
        <v>153</v>
      </c>
      <c r="N892" s="403" t="s">
        <v>149</v>
      </c>
      <c r="O892" s="403" t="s">
        <v>154</v>
      </c>
      <c r="P892" s="403" t="s">
        <v>151</v>
      </c>
      <c r="Q892" s="403" t="s">
        <v>155</v>
      </c>
      <c r="R892" s="403" t="s">
        <v>8898</v>
      </c>
      <c r="S892" s="403"/>
      <c r="T892" s="403" t="s">
        <v>3163</v>
      </c>
      <c r="U892" s="403" t="s">
        <v>152</v>
      </c>
      <c r="V892" s="403" t="s">
        <v>18</v>
      </c>
    </row>
    <row r="893" spans="1:22">
      <c r="A893" s="6"/>
      <c r="B893" s="216">
        <v>46224</v>
      </c>
      <c r="C893" s="216">
        <v>46224</v>
      </c>
      <c r="D893" s="403" t="s">
        <v>8899</v>
      </c>
      <c r="E893" s="403">
        <v>260100520639</v>
      </c>
      <c r="F893" s="403" t="s">
        <v>87</v>
      </c>
      <c r="G893" s="403" t="s">
        <v>8900</v>
      </c>
      <c r="H893" s="403">
        <v>182</v>
      </c>
      <c r="I893" s="403">
        <v>392</v>
      </c>
      <c r="J893" s="374">
        <v>392</v>
      </c>
      <c r="K893" s="403">
        <v>180</v>
      </c>
      <c r="L893" s="217">
        <v>600</v>
      </c>
      <c r="M893" s="403" t="s">
        <v>153</v>
      </c>
      <c r="N893" s="403" t="s">
        <v>149</v>
      </c>
      <c r="O893" s="403" t="s">
        <v>154</v>
      </c>
      <c r="P893" s="403" t="s">
        <v>151</v>
      </c>
      <c r="Q893" s="403" t="s">
        <v>155</v>
      </c>
      <c r="R893" s="403" t="s">
        <v>8901</v>
      </c>
      <c r="S893" s="403"/>
      <c r="T893" s="403" t="s">
        <v>3163</v>
      </c>
      <c r="U893" s="403" t="s">
        <v>152</v>
      </c>
      <c r="V893" s="403" t="s">
        <v>18</v>
      </c>
    </row>
    <row r="894" spans="1:22">
      <c r="A894" s="6"/>
      <c r="B894" s="216">
        <v>46224</v>
      </c>
      <c r="C894" s="216">
        <v>46224</v>
      </c>
      <c r="D894" s="403" t="s">
        <v>8902</v>
      </c>
      <c r="E894" s="403">
        <v>260103420649</v>
      </c>
      <c r="F894" s="403" t="s">
        <v>87</v>
      </c>
      <c r="G894" s="403" t="s">
        <v>859</v>
      </c>
      <c r="H894" s="403">
        <v>152</v>
      </c>
      <c r="I894" s="403">
        <v>234</v>
      </c>
      <c r="J894" s="374">
        <v>234</v>
      </c>
      <c r="K894" s="403">
        <v>104</v>
      </c>
      <c r="L894" s="217">
        <v>1500</v>
      </c>
      <c r="M894" s="403" t="s">
        <v>153</v>
      </c>
      <c r="N894" s="403" t="s">
        <v>149</v>
      </c>
      <c r="O894" s="403" t="s">
        <v>154</v>
      </c>
      <c r="P894" s="403" t="s">
        <v>151</v>
      </c>
      <c r="Q894" s="403" t="s">
        <v>155</v>
      </c>
      <c r="R894" s="403" t="s">
        <v>8903</v>
      </c>
      <c r="S894" s="403"/>
      <c r="T894" s="403" t="s">
        <v>3163</v>
      </c>
      <c r="U894" s="403" t="s">
        <v>152</v>
      </c>
      <c r="V894" s="403" t="s">
        <v>18</v>
      </c>
    </row>
    <row r="895" spans="1:22">
      <c r="A895" s="6"/>
      <c r="B895" s="216">
        <v>46224</v>
      </c>
      <c r="C895" s="216">
        <v>46224</v>
      </c>
      <c r="D895" s="403" t="s">
        <v>8904</v>
      </c>
      <c r="E895" s="403">
        <v>260100920675</v>
      </c>
      <c r="F895" s="403" t="s">
        <v>87</v>
      </c>
      <c r="G895" s="403" t="s">
        <v>7130</v>
      </c>
      <c r="H895" s="403">
        <v>182</v>
      </c>
      <c r="I895" s="403">
        <v>311</v>
      </c>
      <c r="J895" s="374">
        <v>311</v>
      </c>
      <c r="K895" s="403">
        <v>190</v>
      </c>
      <c r="L895" s="217">
        <v>460</v>
      </c>
      <c r="M895" s="403" t="s">
        <v>153</v>
      </c>
      <c r="N895" s="403" t="s">
        <v>149</v>
      </c>
      <c r="O895" s="403" t="s">
        <v>154</v>
      </c>
      <c r="P895" s="403" t="s">
        <v>151</v>
      </c>
      <c r="Q895" s="403" t="s">
        <v>155</v>
      </c>
      <c r="R895" s="403" t="s">
        <v>8905</v>
      </c>
      <c r="S895" s="403"/>
      <c r="T895" s="403" t="s">
        <v>3163</v>
      </c>
      <c r="U895" s="403" t="s">
        <v>152</v>
      </c>
      <c r="V895" s="403" t="s">
        <v>18</v>
      </c>
    </row>
    <row r="896" spans="1:22">
      <c r="A896" s="6"/>
      <c r="B896" s="216">
        <v>46224</v>
      </c>
      <c r="C896" s="216">
        <v>46224</v>
      </c>
      <c r="D896" s="403" t="s">
        <v>8906</v>
      </c>
      <c r="E896" s="403">
        <v>260100920686</v>
      </c>
      <c r="F896" s="403" t="s">
        <v>87</v>
      </c>
      <c r="G896" s="403" t="s">
        <v>7130</v>
      </c>
      <c r="H896" s="403">
        <v>182</v>
      </c>
      <c r="I896" s="403">
        <v>358</v>
      </c>
      <c r="J896" s="374">
        <v>358</v>
      </c>
      <c r="K896" s="403">
        <v>190</v>
      </c>
      <c r="L896" s="217">
        <v>530</v>
      </c>
      <c r="M896" s="403" t="s">
        <v>153</v>
      </c>
      <c r="N896" s="403" t="s">
        <v>149</v>
      </c>
      <c r="O896" s="403" t="s">
        <v>154</v>
      </c>
      <c r="P896" s="403" t="s">
        <v>151</v>
      </c>
      <c r="Q896" s="403" t="s">
        <v>155</v>
      </c>
      <c r="R896" s="403" t="s">
        <v>8907</v>
      </c>
      <c r="S896" s="403"/>
      <c r="T896" s="403" t="s">
        <v>5969</v>
      </c>
      <c r="U896" s="403" t="s">
        <v>152</v>
      </c>
      <c r="V896" s="403" t="s">
        <v>18</v>
      </c>
    </row>
    <row r="897" spans="1:22">
      <c r="A897" s="6"/>
      <c r="B897" s="216">
        <v>46224</v>
      </c>
      <c r="C897" s="216">
        <v>46224</v>
      </c>
      <c r="D897" s="403" t="s">
        <v>8908</v>
      </c>
      <c r="E897" s="403">
        <v>260101420683</v>
      </c>
      <c r="F897" s="403" t="s">
        <v>87</v>
      </c>
      <c r="G897" s="403" t="s">
        <v>859</v>
      </c>
      <c r="H897" s="403">
        <v>152</v>
      </c>
      <c r="I897" s="403">
        <v>250</v>
      </c>
      <c r="J897" s="374">
        <v>250</v>
      </c>
      <c r="K897" s="403">
        <v>104</v>
      </c>
      <c r="L897" s="217">
        <v>1620</v>
      </c>
      <c r="M897" s="403" t="s">
        <v>153</v>
      </c>
      <c r="N897" s="403" t="s">
        <v>149</v>
      </c>
      <c r="O897" s="403" t="s">
        <v>154</v>
      </c>
      <c r="P897" s="403" t="s">
        <v>151</v>
      </c>
      <c r="Q897" s="403" t="s">
        <v>155</v>
      </c>
      <c r="R897" s="403" t="s">
        <v>8909</v>
      </c>
      <c r="S897" s="403"/>
      <c r="T897" s="403" t="s">
        <v>5969</v>
      </c>
      <c r="U897" s="403" t="s">
        <v>152</v>
      </c>
      <c r="V897" s="403" t="s">
        <v>18</v>
      </c>
    </row>
    <row r="898" spans="1:22">
      <c r="A898" s="6"/>
      <c r="B898" s="216">
        <v>46224</v>
      </c>
      <c r="C898" s="216">
        <v>46224</v>
      </c>
      <c r="D898" s="403" t="s">
        <v>8910</v>
      </c>
      <c r="E898" s="403">
        <v>260101420682</v>
      </c>
      <c r="F898" s="403" t="s">
        <v>87</v>
      </c>
      <c r="G898" s="403" t="s">
        <v>859</v>
      </c>
      <c r="H898" s="403">
        <v>152</v>
      </c>
      <c r="I898" s="403">
        <v>247</v>
      </c>
      <c r="J898" s="374">
        <v>247</v>
      </c>
      <c r="K898" s="403">
        <v>104</v>
      </c>
      <c r="L898" s="217">
        <v>1620</v>
      </c>
      <c r="M898" s="403" t="s">
        <v>153</v>
      </c>
      <c r="N898" s="403" t="s">
        <v>149</v>
      </c>
      <c r="O898" s="403" t="s">
        <v>154</v>
      </c>
      <c r="P898" s="403" t="s">
        <v>151</v>
      </c>
      <c r="Q898" s="403" t="s">
        <v>155</v>
      </c>
      <c r="R898" s="403" t="s">
        <v>8911</v>
      </c>
      <c r="S898" s="403"/>
      <c r="T898" s="403" t="s">
        <v>5969</v>
      </c>
      <c r="U898" s="403" t="s">
        <v>152</v>
      </c>
      <c r="V898" s="403" t="s">
        <v>18</v>
      </c>
    </row>
    <row r="899" spans="1:22">
      <c r="A899" s="6"/>
      <c r="B899" s="216">
        <v>46224</v>
      </c>
      <c r="C899" s="216">
        <v>46224</v>
      </c>
      <c r="D899" s="403" t="s">
        <v>8912</v>
      </c>
      <c r="E899" s="403">
        <v>260101420685</v>
      </c>
      <c r="F899" s="403" t="s">
        <v>87</v>
      </c>
      <c r="G899" s="403" t="s">
        <v>859</v>
      </c>
      <c r="H899" s="403">
        <v>152</v>
      </c>
      <c r="I899" s="403">
        <v>250</v>
      </c>
      <c r="J899" s="374">
        <v>250</v>
      </c>
      <c r="K899" s="403">
        <v>104</v>
      </c>
      <c r="L899" s="217">
        <v>1620</v>
      </c>
      <c r="M899" s="403" t="s">
        <v>153</v>
      </c>
      <c r="N899" s="403" t="s">
        <v>149</v>
      </c>
      <c r="O899" s="403" t="s">
        <v>154</v>
      </c>
      <c r="P899" s="403" t="s">
        <v>151</v>
      </c>
      <c r="Q899" s="403" t="s">
        <v>155</v>
      </c>
      <c r="R899" s="403" t="s">
        <v>8913</v>
      </c>
      <c r="S899" s="403"/>
      <c r="T899" s="403" t="s">
        <v>5969</v>
      </c>
      <c r="U899" s="403" t="s">
        <v>152</v>
      </c>
      <c r="V899" s="403" t="s">
        <v>18</v>
      </c>
    </row>
    <row r="900" spans="1:22">
      <c r="A900" s="6"/>
      <c r="B900" s="216">
        <v>46224</v>
      </c>
      <c r="C900" s="216">
        <v>46224</v>
      </c>
      <c r="D900" s="403" t="s">
        <v>8914</v>
      </c>
      <c r="E900" s="403">
        <v>260107020687</v>
      </c>
      <c r="F900" s="403" t="s">
        <v>87</v>
      </c>
      <c r="G900" s="403" t="s">
        <v>2310</v>
      </c>
      <c r="H900" s="403">
        <v>125</v>
      </c>
      <c r="I900" s="403">
        <v>224</v>
      </c>
      <c r="J900" s="374">
        <v>224</v>
      </c>
      <c r="K900" s="403">
        <v>87</v>
      </c>
      <c r="L900" s="217">
        <v>2100</v>
      </c>
      <c r="M900" s="403" t="s">
        <v>153</v>
      </c>
      <c r="N900" s="403" t="s">
        <v>149</v>
      </c>
      <c r="O900" s="403" t="s">
        <v>154</v>
      </c>
      <c r="P900" s="403" t="s">
        <v>151</v>
      </c>
      <c r="Q900" s="403" t="s">
        <v>155</v>
      </c>
      <c r="R900" s="403" t="s">
        <v>8915</v>
      </c>
      <c r="S900" s="403"/>
      <c r="T900" s="403" t="s">
        <v>5969</v>
      </c>
      <c r="U900" s="403" t="s">
        <v>152</v>
      </c>
      <c r="V900" s="403" t="s">
        <v>18</v>
      </c>
    </row>
    <row r="901" spans="1:22">
      <c r="A901" s="6"/>
      <c r="B901" s="216">
        <v>46224</v>
      </c>
      <c r="C901" s="216">
        <v>46224</v>
      </c>
      <c r="D901" s="403" t="s">
        <v>8916</v>
      </c>
      <c r="E901" s="403">
        <v>260107520688</v>
      </c>
      <c r="F901" s="403" t="s">
        <v>87</v>
      </c>
      <c r="G901" s="403" t="s">
        <v>2310</v>
      </c>
      <c r="H901" s="403">
        <v>125</v>
      </c>
      <c r="I901" s="403">
        <v>218</v>
      </c>
      <c r="J901" s="374">
        <v>218</v>
      </c>
      <c r="K901" s="403">
        <v>87</v>
      </c>
      <c r="L901" s="217">
        <v>2040</v>
      </c>
      <c r="M901" s="403" t="s">
        <v>153</v>
      </c>
      <c r="N901" s="403" t="s">
        <v>149</v>
      </c>
      <c r="O901" s="403" t="s">
        <v>154</v>
      </c>
      <c r="P901" s="403" t="s">
        <v>151</v>
      </c>
      <c r="Q901" s="403" t="s">
        <v>155</v>
      </c>
      <c r="R901" s="403" t="s">
        <v>8917</v>
      </c>
      <c r="S901" s="403"/>
      <c r="T901" s="403" t="s">
        <v>5969</v>
      </c>
      <c r="U901" s="403" t="s">
        <v>152</v>
      </c>
      <c r="V901" s="403" t="s">
        <v>18</v>
      </c>
    </row>
    <row r="902" spans="1:22">
      <c r="A902" s="6"/>
      <c r="B902" s="216">
        <v>46224</v>
      </c>
      <c r="C902" s="216">
        <v>46224</v>
      </c>
      <c r="D902" s="403" t="s">
        <v>8918</v>
      </c>
      <c r="E902" s="403">
        <v>260101420684</v>
      </c>
      <c r="F902" s="403" t="s">
        <v>87</v>
      </c>
      <c r="G902" s="403" t="s">
        <v>859</v>
      </c>
      <c r="H902" s="403">
        <v>152</v>
      </c>
      <c r="I902" s="403">
        <v>246</v>
      </c>
      <c r="J902" s="374">
        <v>246</v>
      </c>
      <c r="K902" s="403">
        <v>104</v>
      </c>
      <c r="L902" s="217">
        <v>1620</v>
      </c>
      <c r="M902" s="403" t="s">
        <v>153</v>
      </c>
      <c r="N902" s="403" t="s">
        <v>149</v>
      </c>
      <c r="O902" s="403" t="s">
        <v>154</v>
      </c>
      <c r="P902" s="403" t="s">
        <v>151</v>
      </c>
      <c r="Q902" s="403" t="s">
        <v>155</v>
      </c>
      <c r="R902" s="403" t="s">
        <v>8919</v>
      </c>
      <c r="S902" s="403"/>
      <c r="T902" s="403" t="s">
        <v>5969</v>
      </c>
      <c r="U902" s="403" t="s">
        <v>152</v>
      </c>
      <c r="V902" s="403" t="s">
        <v>18</v>
      </c>
    </row>
    <row r="903" spans="1:22">
      <c r="A903" s="6"/>
      <c r="B903" s="216">
        <v>46224</v>
      </c>
      <c r="C903" s="216">
        <v>46224</v>
      </c>
      <c r="D903" s="403" t="s">
        <v>8920</v>
      </c>
      <c r="E903" s="403" t="s">
        <v>8921</v>
      </c>
      <c r="F903" s="403" t="s">
        <v>87</v>
      </c>
      <c r="G903" s="403" t="s">
        <v>7237</v>
      </c>
      <c r="H903" s="403" t="s">
        <v>7238</v>
      </c>
      <c r="I903" s="403">
        <v>246</v>
      </c>
      <c r="J903" s="374">
        <v>246</v>
      </c>
      <c r="K903" s="403">
        <v>80</v>
      </c>
      <c r="L903" s="217">
        <v>2770</v>
      </c>
      <c r="M903" s="403" t="s">
        <v>153</v>
      </c>
      <c r="N903" s="403" t="s">
        <v>149</v>
      </c>
      <c r="O903" s="403" t="s">
        <v>154</v>
      </c>
      <c r="P903" s="403" t="s">
        <v>151</v>
      </c>
      <c r="Q903" s="403" t="s">
        <v>156</v>
      </c>
      <c r="R903" s="403" t="s">
        <v>8922</v>
      </c>
      <c r="S903" s="403"/>
      <c r="T903" s="403" t="s">
        <v>5969</v>
      </c>
      <c r="U903" s="403" t="s">
        <v>152</v>
      </c>
      <c r="V903" s="403" t="s">
        <v>20</v>
      </c>
    </row>
    <row r="904" spans="1:22">
      <c r="A904" s="6"/>
      <c r="B904" s="216">
        <v>46224</v>
      </c>
      <c r="C904" s="216">
        <v>46224</v>
      </c>
      <c r="D904" s="403" t="s">
        <v>8923</v>
      </c>
      <c r="E904" s="403">
        <v>260101320680</v>
      </c>
      <c r="F904" s="403" t="s">
        <v>87</v>
      </c>
      <c r="G904" s="403" t="s">
        <v>7026</v>
      </c>
      <c r="H904" s="403" t="s">
        <v>7027</v>
      </c>
      <c r="I904" s="403">
        <v>712</v>
      </c>
      <c r="J904" s="374">
        <v>712</v>
      </c>
      <c r="K904" s="403">
        <v>190</v>
      </c>
      <c r="L904" s="217">
        <v>1200</v>
      </c>
      <c r="M904" s="403" t="s">
        <v>153</v>
      </c>
      <c r="N904" s="403" t="s">
        <v>149</v>
      </c>
      <c r="O904" s="403" t="s">
        <v>154</v>
      </c>
      <c r="P904" s="403" t="s">
        <v>151</v>
      </c>
      <c r="Q904" s="403" t="s">
        <v>156</v>
      </c>
      <c r="R904" s="403" t="s">
        <v>8924</v>
      </c>
      <c r="S904" s="403"/>
      <c r="T904" s="403" t="s">
        <v>5969</v>
      </c>
      <c r="U904" s="403" t="s">
        <v>152</v>
      </c>
      <c r="V904" s="403" t="s">
        <v>20</v>
      </c>
    </row>
    <row r="905" spans="1:22">
      <c r="A905" s="6"/>
      <c r="B905" s="216">
        <v>46224</v>
      </c>
      <c r="C905" s="216">
        <v>46224</v>
      </c>
      <c r="D905" s="403" t="s">
        <v>8925</v>
      </c>
      <c r="E905" s="403" t="s">
        <v>8926</v>
      </c>
      <c r="F905" s="403" t="s">
        <v>87</v>
      </c>
      <c r="G905" s="403" t="s">
        <v>7237</v>
      </c>
      <c r="H905" s="403" t="s">
        <v>7238</v>
      </c>
      <c r="I905" s="403">
        <v>215</v>
      </c>
      <c r="J905" s="374">
        <v>215</v>
      </c>
      <c r="K905" s="403">
        <v>80</v>
      </c>
      <c r="L905" s="217">
        <v>2400</v>
      </c>
      <c r="M905" s="403" t="s">
        <v>153</v>
      </c>
      <c r="N905" s="403" t="s">
        <v>149</v>
      </c>
      <c r="O905" s="403" t="s">
        <v>154</v>
      </c>
      <c r="P905" s="403" t="s">
        <v>151</v>
      </c>
      <c r="Q905" s="403" t="s">
        <v>156</v>
      </c>
      <c r="R905" s="403" t="s">
        <v>8927</v>
      </c>
      <c r="S905" s="403"/>
      <c r="T905" s="403" t="s">
        <v>5969</v>
      </c>
      <c r="U905" s="403" t="s">
        <v>152</v>
      </c>
      <c r="V905" s="403" t="s">
        <v>20</v>
      </c>
    </row>
    <row r="906" spans="1:22">
      <c r="A906" s="6"/>
      <c r="B906" s="216">
        <v>46225</v>
      </c>
      <c r="C906" s="216">
        <v>46225</v>
      </c>
      <c r="D906" s="403" t="s">
        <v>8928</v>
      </c>
      <c r="E906" s="403" t="s">
        <v>8929</v>
      </c>
      <c r="F906" s="403" t="s">
        <v>93</v>
      </c>
      <c r="G906" s="403" t="s">
        <v>8930</v>
      </c>
      <c r="H906" s="403">
        <v>182</v>
      </c>
      <c r="I906" s="403">
        <v>235.2</v>
      </c>
      <c r="J906" s="374">
        <v>235.2</v>
      </c>
      <c r="K906" s="403">
        <v>98</v>
      </c>
      <c r="L906" s="217">
        <v>1338</v>
      </c>
      <c r="M906" s="403" t="s">
        <v>153</v>
      </c>
      <c r="N906" s="403" t="s">
        <v>149</v>
      </c>
      <c r="O906" s="403" t="s">
        <v>154</v>
      </c>
      <c r="P906" s="403" t="s">
        <v>151</v>
      </c>
      <c r="Q906" s="403" t="s">
        <v>155</v>
      </c>
      <c r="R906" s="403" t="s">
        <v>8931</v>
      </c>
      <c r="S906" s="403"/>
      <c r="T906" s="403" t="s">
        <v>3173</v>
      </c>
      <c r="U906" s="403" t="s">
        <v>152</v>
      </c>
      <c r="V906" s="403" t="s">
        <v>18</v>
      </c>
    </row>
    <row r="907" spans="1:22">
      <c r="A907" s="6"/>
      <c r="B907" s="216">
        <v>46225</v>
      </c>
      <c r="C907" s="216">
        <v>46225</v>
      </c>
      <c r="D907" s="403" t="s">
        <v>8932</v>
      </c>
      <c r="E907" s="403" t="s">
        <v>8933</v>
      </c>
      <c r="F907" s="403" t="s">
        <v>93</v>
      </c>
      <c r="G907" s="403" t="s">
        <v>8930</v>
      </c>
      <c r="H907" s="403">
        <v>182</v>
      </c>
      <c r="I907" s="403">
        <v>235</v>
      </c>
      <c r="J907" s="374">
        <v>235</v>
      </c>
      <c r="K907" s="403">
        <v>98</v>
      </c>
      <c r="L907" s="217">
        <v>1338</v>
      </c>
      <c r="M907" s="403" t="s">
        <v>153</v>
      </c>
      <c r="N907" s="403" t="s">
        <v>149</v>
      </c>
      <c r="O907" s="403" t="s">
        <v>154</v>
      </c>
      <c r="P907" s="403" t="s">
        <v>151</v>
      </c>
      <c r="Q907" s="403" t="s">
        <v>155</v>
      </c>
      <c r="R907" s="403" t="s">
        <v>8934</v>
      </c>
      <c r="S907" s="403"/>
      <c r="T907" s="403" t="s">
        <v>3173</v>
      </c>
      <c r="U907" s="403" t="s">
        <v>152</v>
      </c>
      <c r="V907" s="403" t="s">
        <v>18</v>
      </c>
    </row>
    <row r="908" spans="1:22">
      <c r="A908" s="6"/>
      <c r="B908" s="216">
        <v>46225</v>
      </c>
      <c r="C908" s="216">
        <v>46225</v>
      </c>
      <c r="D908" s="403" t="s">
        <v>8935</v>
      </c>
      <c r="E908" s="403" t="s">
        <v>8936</v>
      </c>
      <c r="F908" s="403" t="s">
        <v>93</v>
      </c>
      <c r="G908" s="403" t="s">
        <v>8930</v>
      </c>
      <c r="H908" s="403">
        <v>182</v>
      </c>
      <c r="I908" s="403">
        <v>188</v>
      </c>
      <c r="J908" s="374">
        <v>188</v>
      </c>
      <c r="K908" s="403">
        <v>98</v>
      </c>
      <c r="L908" s="217">
        <v>1070</v>
      </c>
      <c r="M908" s="403" t="s">
        <v>153</v>
      </c>
      <c r="N908" s="403" t="s">
        <v>149</v>
      </c>
      <c r="O908" s="403" t="s">
        <v>154</v>
      </c>
      <c r="P908" s="403" t="s">
        <v>151</v>
      </c>
      <c r="Q908" s="403" t="s">
        <v>155</v>
      </c>
      <c r="R908" s="403" t="s">
        <v>8937</v>
      </c>
      <c r="S908" s="403"/>
      <c r="T908" s="403" t="s">
        <v>3173</v>
      </c>
      <c r="U908" s="403" t="s">
        <v>152</v>
      </c>
      <c r="V908" s="403" t="s">
        <v>18</v>
      </c>
    </row>
    <row r="909" spans="1:22">
      <c r="A909" s="6"/>
      <c r="B909" s="216">
        <v>46225</v>
      </c>
      <c r="C909" s="216">
        <v>46225</v>
      </c>
      <c r="D909" s="403" t="s">
        <v>8938</v>
      </c>
      <c r="E909" s="403" t="s">
        <v>8939</v>
      </c>
      <c r="F909" s="403" t="s">
        <v>93</v>
      </c>
      <c r="G909" s="403" t="s">
        <v>8930</v>
      </c>
      <c r="H909" s="403">
        <v>182</v>
      </c>
      <c r="I909" s="403">
        <v>188.2</v>
      </c>
      <c r="J909" s="374">
        <v>188.2</v>
      </c>
      <c r="K909" s="403">
        <v>98</v>
      </c>
      <c r="L909" s="217">
        <v>1070</v>
      </c>
      <c r="M909" s="403" t="s">
        <v>153</v>
      </c>
      <c r="N909" s="403" t="s">
        <v>149</v>
      </c>
      <c r="O909" s="403" t="s">
        <v>154</v>
      </c>
      <c r="P909" s="403" t="s">
        <v>151</v>
      </c>
      <c r="Q909" s="403" t="s">
        <v>155</v>
      </c>
      <c r="R909" s="403" t="s">
        <v>8940</v>
      </c>
      <c r="S909" s="403"/>
      <c r="T909" s="403" t="s">
        <v>3173</v>
      </c>
      <c r="U909" s="403" t="s">
        <v>152</v>
      </c>
      <c r="V909" s="403" t="s">
        <v>18</v>
      </c>
    </row>
    <row r="910" spans="1:22">
      <c r="A910" s="6"/>
      <c r="B910" s="216">
        <v>46225</v>
      </c>
      <c r="C910" s="216">
        <v>46225</v>
      </c>
      <c r="D910" s="403" t="s">
        <v>8941</v>
      </c>
      <c r="E910" s="403" t="s">
        <v>8942</v>
      </c>
      <c r="F910" s="403" t="s">
        <v>93</v>
      </c>
      <c r="G910" s="403" t="s">
        <v>8930</v>
      </c>
      <c r="H910" s="403">
        <v>182</v>
      </c>
      <c r="I910" s="403">
        <v>189</v>
      </c>
      <c r="J910" s="374">
        <v>189</v>
      </c>
      <c r="K910" s="403">
        <v>98</v>
      </c>
      <c r="L910" s="217">
        <v>1070</v>
      </c>
      <c r="M910" s="403" t="s">
        <v>153</v>
      </c>
      <c r="N910" s="403" t="s">
        <v>149</v>
      </c>
      <c r="O910" s="403" t="s">
        <v>154</v>
      </c>
      <c r="P910" s="403" t="s">
        <v>151</v>
      </c>
      <c r="Q910" s="403" t="s">
        <v>155</v>
      </c>
      <c r="R910" s="403" t="s">
        <v>8943</v>
      </c>
      <c r="S910" s="403"/>
      <c r="T910" s="403" t="s">
        <v>3173</v>
      </c>
      <c r="U910" s="403" t="s">
        <v>152</v>
      </c>
      <c r="V910" s="403" t="s">
        <v>18</v>
      </c>
    </row>
    <row r="911" spans="1:22">
      <c r="A911" s="6"/>
      <c r="B911" s="216">
        <v>46225</v>
      </c>
      <c r="C911" s="216">
        <v>46225</v>
      </c>
      <c r="D911" s="403" t="s">
        <v>8944</v>
      </c>
      <c r="E911" s="403" t="s">
        <v>8945</v>
      </c>
      <c r="F911" s="403" t="s">
        <v>93</v>
      </c>
      <c r="G911" s="403" t="s">
        <v>8930</v>
      </c>
      <c r="H911" s="403">
        <v>182</v>
      </c>
      <c r="I911" s="403">
        <v>235.4</v>
      </c>
      <c r="J911" s="374">
        <v>235.4</v>
      </c>
      <c r="K911" s="403">
        <v>98</v>
      </c>
      <c r="L911" s="217">
        <v>1338</v>
      </c>
      <c r="M911" s="403" t="s">
        <v>153</v>
      </c>
      <c r="N911" s="403" t="s">
        <v>149</v>
      </c>
      <c r="O911" s="403" t="s">
        <v>154</v>
      </c>
      <c r="P911" s="403" t="s">
        <v>151</v>
      </c>
      <c r="Q911" s="403" t="s">
        <v>155</v>
      </c>
      <c r="R911" s="403" t="s">
        <v>8946</v>
      </c>
      <c r="S911" s="403"/>
      <c r="T911" s="403" t="s">
        <v>3173</v>
      </c>
      <c r="U911" s="403" t="s">
        <v>152</v>
      </c>
      <c r="V911" s="403" t="s">
        <v>18</v>
      </c>
    </row>
    <row r="912" spans="1:22">
      <c r="A912" s="6"/>
      <c r="B912" s="216">
        <v>46225</v>
      </c>
      <c r="C912" s="216">
        <v>46225</v>
      </c>
      <c r="D912" s="403" t="s">
        <v>8947</v>
      </c>
      <c r="E912" s="403">
        <v>260101920748</v>
      </c>
      <c r="F912" s="403" t="s">
        <v>87</v>
      </c>
      <c r="G912" s="403" t="s">
        <v>2563</v>
      </c>
      <c r="H912" s="403">
        <v>95</v>
      </c>
      <c r="I912" s="403">
        <v>245</v>
      </c>
      <c r="J912" s="374">
        <v>245</v>
      </c>
      <c r="K912" s="403">
        <v>134</v>
      </c>
      <c r="L912" s="217">
        <v>1000</v>
      </c>
      <c r="M912" s="403" t="s">
        <v>153</v>
      </c>
      <c r="N912" s="403" t="s">
        <v>149</v>
      </c>
      <c r="O912" s="403" t="s">
        <v>154</v>
      </c>
      <c r="P912" s="403" t="s">
        <v>151</v>
      </c>
      <c r="Q912" s="403" t="s">
        <v>155</v>
      </c>
      <c r="R912" s="403" t="s">
        <v>8948</v>
      </c>
      <c r="S912" s="403"/>
      <c r="T912" s="403" t="s">
        <v>3182</v>
      </c>
      <c r="U912" s="403" t="s">
        <v>152</v>
      </c>
      <c r="V912" s="403" t="s">
        <v>18</v>
      </c>
    </row>
    <row r="913" spans="1:22">
      <c r="A913" s="6"/>
      <c r="B913" s="216">
        <v>46225</v>
      </c>
      <c r="C913" s="216">
        <v>46225</v>
      </c>
      <c r="D913" s="403" t="s">
        <v>8949</v>
      </c>
      <c r="E913" s="403">
        <v>260100420700</v>
      </c>
      <c r="F913" s="403" t="s">
        <v>87</v>
      </c>
      <c r="G913" s="403" t="s">
        <v>7130</v>
      </c>
      <c r="H913" s="403">
        <v>182</v>
      </c>
      <c r="I913" s="403">
        <v>434</v>
      </c>
      <c r="J913" s="374">
        <v>434</v>
      </c>
      <c r="K913" s="403">
        <v>190</v>
      </c>
      <c r="L913" s="217">
        <v>640</v>
      </c>
      <c r="M913" s="403" t="s">
        <v>153</v>
      </c>
      <c r="N913" s="403" t="s">
        <v>149</v>
      </c>
      <c r="O913" s="403" t="s">
        <v>154</v>
      </c>
      <c r="P913" s="403" t="s">
        <v>151</v>
      </c>
      <c r="Q913" s="403" t="s">
        <v>155</v>
      </c>
      <c r="R913" s="403" t="s">
        <v>8950</v>
      </c>
      <c r="S913" s="403"/>
      <c r="T913" s="403" t="s">
        <v>3182</v>
      </c>
      <c r="U913" s="403" t="s">
        <v>152</v>
      </c>
      <c r="V913" s="403" t="s">
        <v>18</v>
      </c>
    </row>
    <row r="914" spans="1:22">
      <c r="A914" s="6"/>
      <c r="B914" s="216">
        <v>46225</v>
      </c>
      <c r="C914" s="216">
        <v>46225</v>
      </c>
      <c r="D914" s="403" t="s">
        <v>8951</v>
      </c>
      <c r="E914" s="403">
        <v>260102920703</v>
      </c>
      <c r="F914" s="403" t="s">
        <v>87</v>
      </c>
      <c r="G914" s="403" t="s">
        <v>859</v>
      </c>
      <c r="H914" s="403">
        <v>152</v>
      </c>
      <c r="I914" s="403">
        <v>327</v>
      </c>
      <c r="J914" s="374">
        <v>327</v>
      </c>
      <c r="K914" s="403">
        <v>104</v>
      </c>
      <c r="L914" s="217">
        <v>2130</v>
      </c>
      <c r="M914" s="403" t="s">
        <v>153</v>
      </c>
      <c r="N914" s="403" t="s">
        <v>149</v>
      </c>
      <c r="O914" s="403" t="s">
        <v>154</v>
      </c>
      <c r="P914" s="403" t="s">
        <v>151</v>
      </c>
      <c r="Q914" s="403" t="s">
        <v>155</v>
      </c>
      <c r="R914" s="403">
        <v>669</v>
      </c>
      <c r="S914" s="403"/>
      <c r="T914" s="403" t="s">
        <v>3182</v>
      </c>
      <c r="U914" s="403" t="s">
        <v>152</v>
      </c>
      <c r="V914" s="403" t="s">
        <v>18</v>
      </c>
    </row>
    <row r="915" spans="1:22">
      <c r="A915" s="6"/>
      <c r="B915" s="216">
        <v>46225</v>
      </c>
      <c r="C915" s="216">
        <v>46225</v>
      </c>
      <c r="D915" s="403" t="s">
        <v>8952</v>
      </c>
      <c r="E915" s="403">
        <v>260102620704</v>
      </c>
      <c r="F915" s="403" t="s">
        <v>87</v>
      </c>
      <c r="G915" s="403" t="s">
        <v>2554</v>
      </c>
      <c r="H915" s="403">
        <v>102</v>
      </c>
      <c r="I915" s="403">
        <v>249</v>
      </c>
      <c r="J915" s="374">
        <v>249</v>
      </c>
      <c r="K915" s="403">
        <v>125</v>
      </c>
      <c r="L915" s="217">
        <v>1000</v>
      </c>
      <c r="M915" s="403" t="s">
        <v>153</v>
      </c>
      <c r="N915" s="403" t="s">
        <v>149</v>
      </c>
      <c r="O915" s="403" t="s">
        <v>154</v>
      </c>
      <c r="P915" s="403" t="s">
        <v>151</v>
      </c>
      <c r="Q915" s="403" t="s">
        <v>155</v>
      </c>
      <c r="R915" s="403" t="s">
        <v>8953</v>
      </c>
      <c r="S915" s="403"/>
      <c r="T915" s="403" t="s">
        <v>3182</v>
      </c>
      <c r="U915" s="403" t="s">
        <v>152</v>
      </c>
      <c r="V915" s="403" t="s">
        <v>18</v>
      </c>
    </row>
    <row r="916" spans="1:22">
      <c r="A916" s="6"/>
      <c r="B916" s="216">
        <v>46225</v>
      </c>
      <c r="C916" s="216">
        <v>46225</v>
      </c>
      <c r="D916" s="403" t="s">
        <v>8954</v>
      </c>
      <c r="E916" s="403">
        <v>260105120711</v>
      </c>
      <c r="F916" s="403" t="s">
        <v>87</v>
      </c>
      <c r="G916" s="403" t="s">
        <v>8881</v>
      </c>
      <c r="H916" s="403">
        <v>162</v>
      </c>
      <c r="I916" s="403">
        <v>318</v>
      </c>
      <c r="J916" s="374">
        <v>318</v>
      </c>
      <c r="K916" s="403">
        <v>102</v>
      </c>
      <c r="L916" s="217">
        <v>1900</v>
      </c>
      <c r="M916" s="403" t="s">
        <v>153</v>
      </c>
      <c r="N916" s="403" t="s">
        <v>149</v>
      </c>
      <c r="O916" s="403" t="s">
        <v>154</v>
      </c>
      <c r="P916" s="403" t="s">
        <v>151</v>
      </c>
      <c r="Q916" s="403" t="s">
        <v>155</v>
      </c>
      <c r="R916" s="403" t="s">
        <v>8955</v>
      </c>
      <c r="S916" s="403"/>
      <c r="T916" s="403" t="s">
        <v>3182</v>
      </c>
      <c r="U916" s="403" t="s">
        <v>152</v>
      </c>
      <c r="V916" s="403" t="s">
        <v>18</v>
      </c>
    </row>
    <row r="917" spans="1:22">
      <c r="A917" s="6"/>
      <c r="B917" s="216">
        <v>46225</v>
      </c>
      <c r="C917" s="216">
        <v>46225</v>
      </c>
      <c r="D917" s="403" t="s">
        <v>8956</v>
      </c>
      <c r="E917" s="403">
        <v>260101720747</v>
      </c>
      <c r="F917" s="403" t="s">
        <v>87</v>
      </c>
      <c r="G917" s="403" t="s">
        <v>2408</v>
      </c>
      <c r="H917" s="403">
        <v>95</v>
      </c>
      <c r="I917" s="403">
        <v>255</v>
      </c>
      <c r="J917" s="374">
        <v>255</v>
      </c>
      <c r="K917" s="403">
        <v>134</v>
      </c>
      <c r="L917" s="217">
        <v>1020</v>
      </c>
      <c r="M917" s="403" t="s">
        <v>153</v>
      </c>
      <c r="N917" s="403" t="s">
        <v>149</v>
      </c>
      <c r="O917" s="403" t="s">
        <v>154</v>
      </c>
      <c r="P917" s="403" t="s">
        <v>151</v>
      </c>
      <c r="Q917" s="403" t="s">
        <v>155</v>
      </c>
      <c r="R917" s="403" t="s">
        <v>8957</v>
      </c>
      <c r="S917" s="403"/>
      <c r="T917" s="403" t="s">
        <v>3182</v>
      </c>
      <c r="U917" s="403" t="s">
        <v>152</v>
      </c>
      <c r="V917" s="403" t="s">
        <v>18</v>
      </c>
    </row>
    <row r="918" spans="1:22">
      <c r="A918" s="6"/>
      <c r="B918" s="216">
        <v>46225</v>
      </c>
      <c r="C918" s="216">
        <v>46225</v>
      </c>
      <c r="D918" s="403" t="s">
        <v>8958</v>
      </c>
      <c r="E918" s="403">
        <v>260100520698</v>
      </c>
      <c r="F918" s="403" t="s">
        <v>87</v>
      </c>
      <c r="G918" s="403" t="s">
        <v>8900</v>
      </c>
      <c r="H918" s="403">
        <v>182</v>
      </c>
      <c r="I918" s="403">
        <v>458</v>
      </c>
      <c r="J918" s="374">
        <v>458</v>
      </c>
      <c r="K918" s="403">
        <v>180</v>
      </c>
      <c r="L918" s="217">
        <v>720</v>
      </c>
      <c r="M918" s="403" t="s">
        <v>153</v>
      </c>
      <c r="N918" s="403" t="s">
        <v>149</v>
      </c>
      <c r="O918" s="403" t="s">
        <v>154</v>
      </c>
      <c r="P918" s="403" t="s">
        <v>151</v>
      </c>
      <c r="Q918" s="403" t="s">
        <v>155</v>
      </c>
      <c r="R918" s="403" t="s">
        <v>8959</v>
      </c>
      <c r="S918" s="403"/>
      <c r="T918" s="403" t="s">
        <v>3182</v>
      </c>
      <c r="U918" s="403" t="s">
        <v>152</v>
      </c>
      <c r="V918" s="403" t="s">
        <v>18</v>
      </c>
    </row>
    <row r="919" spans="1:22">
      <c r="A919" s="6"/>
      <c r="B919" s="216">
        <v>46225</v>
      </c>
      <c r="C919" s="216">
        <v>46225</v>
      </c>
      <c r="D919" s="403" t="s">
        <v>8960</v>
      </c>
      <c r="E919" s="403">
        <v>260105220730</v>
      </c>
      <c r="F919" s="403" t="s">
        <v>87</v>
      </c>
      <c r="G919" s="403" t="s">
        <v>8347</v>
      </c>
      <c r="H919" s="403">
        <v>152</v>
      </c>
      <c r="I919" s="403">
        <v>321</v>
      </c>
      <c r="J919" s="374">
        <v>321</v>
      </c>
      <c r="K919" s="403">
        <v>104</v>
      </c>
      <c r="L919" s="217">
        <v>2100</v>
      </c>
      <c r="M919" s="403" t="s">
        <v>153</v>
      </c>
      <c r="N919" s="403" t="s">
        <v>149</v>
      </c>
      <c r="O919" s="403" t="s">
        <v>154</v>
      </c>
      <c r="P919" s="403" t="s">
        <v>151</v>
      </c>
      <c r="Q919" s="403" t="s">
        <v>155</v>
      </c>
      <c r="R919" s="403" t="s">
        <v>8961</v>
      </c>
      <c r="S919" s="403"/>
      <c r="T919" s="403" t="s">
        <v>3182</v>
      </c>
      <c r="U919" s="403" t="s">
        <v>152</v>
      </c>
      <c r="V919" s="403" t="s">
        <v>18</v>
      </c>
    </row>
    <row r="920" spans="1:22">
      <c r="A920" s="6"/>
      <c r="B920" s="216">
        <v>46225</v>
      </c>
      <c r="C920" s="216">
        <v>46225</v>
      </c>
      <c r="D920" s="403" t="s">
        <v>8962</v>
      </c>
      <c r="E920" s="403">
        <v>260105420731</v>
      </c>
      <c r="F920" s="403" t="s">
        <v>87</v>
      </c>
      <c r="G920" s="403" t="s">
        <v>2310</v>
      </c>
      <c r="H920" s="403">
        <v>125</v>
      </c>
      <c r="I920" s="403">
        <v>236</v>
      </c>
      <c r="J920" s="374">
        <v>236</v>
      </c>
      <c r="K920" s="403">
        <v>87</v>
      </c>
      <c r="L920" s="217">
        <v>2240</v>
      </c>
      <c r="M920" s="403" t="s">
        <v>153</v>
      </c>
      <c r="N920" s="403" t="s">
        <v>149</v>
      </c>
      <c r="O920" s="403" t="s">
        <v>154</v>
      </c>
      <c r="P920" s="403" t="s">
        <v>151</v>
      </c>
      <c r="Q920" s="403" t="s">
        <v>155</v>
      </c>
      <c r="R920" s="403" t="s">
        <v>8963</v>
      </c>
      <c r="S920" s="403"/>
      <c r="T920" s="403" t="s">
        <v>3182</v>
      </c>
      <c r="U920" s="403" t="s">
        <v>152</v>
      </c>
      <c r="V920" s="403" t="s">
        <v>18</v>
      </c>
    </row>
    <row r="921" spans="1:22">
      <c r="A921" s="6"/>
      <c r="B921" s="216">
        <v>46225</v>
      </c>
      <c r="C921" s="216">
        <v>46225</v>
      </c>
      <c r="D921" s="403" t="s">
        <v>8964</v>
      </c>
      <c r="E921" s="403">
        <v>260103820735</v>
      </c>
      <c r="F921" s="403" t="s">
        <v>87</v>
      </c>
      <c r="G921" s="403" t="s">
        <v>859</v>
      </c>
      <c r="H921" s="403">
        <v>192</v>
      </c>
      <c r="I921" s="403">
        <v>202</v>
      </c>
      <c r="J921" s="374">
        <v>202</v>
      </c>
      <c r="K921" s="403">
        <v>104</v>
      </c>
      <c r="L921" s="217">
        <v>1010</v>
      </c>
      <c r="M921" s="403" t="s">
        <v>153</v>
      </c>
      <c r="N921" s="403" t="s">
        <v>149</v>
      </c>
      <c r="O921" s="403" t="s">
        <v>154</v>
      </c>
      <c r="P921" s="403" t="s">
        <v>151</v>
      </c>
      <c r="Q921" s="403" t="s">
        <v>155</v>
      </c>
      <c r="R921" s="403" t="s">
        <v>8965</v>
      </c>
      <c r="S921" s="403"/>
      <c r="T921" s="403" t="s">
        <v>3182</v>
      </c>
      <c r="U921" s="403" t="s">
        <v>152</v>
      </c>
      <c r="V921" s="403" t="s">
        <v>18</v>
      </c>
    </row>
    <row r="922" spans="1:22" ht="15">
      <c r="A922" s="6"/>
      <c r="B922" s="251">
        <v>46225</v>
      </c>
      <c r="C922" s="251">
        <v>46225</v>
      </c>
      <c r="D922" s="177" t="s">
        <v>8966</v>
      </c>
      <c r="E922" s="177">
        <v>260100420751</v>
      </c>
      <c r="F922" s="177" t="s">
        <v>87</v>
      </c>
      <c r="G922" s="177" t="s">
        <v>7130</v>
      </c>
      <c r="H922" s="177">
        <v>182</v>
      </c>
      <c r="I922" s="252">
        <v>507</v>
      </c>
      <c r="J922" s="377">
        <v>507</v>
      </c>
      <c r="K922" s="177">
        <v>190</v>
      </c>
      <c r="L922" s="253">
        <v>750</v>
      </c>
      <c r="M922" s="177" t="s">
        <v>153</v>
      </c>
      <c r="N922" s="177" t="s">
        <v>149</v>
      </c>
      <c r="O922" s="177" t="s">
        <v>154</v>
      </c>
      <c r="P922" s="177" t="s">
        <v>151</v>
      </c>
      <c r="Q922" s="177" t="s">
        <v>155</v>
      </c>
      <c r="R922" s="177" t="s">
        <v>8967</v>
      </c>
      <c r="S922" s="177"/>
      <c r="T922" s="177" t="s">
        <v>3182</v>
      </c>
      <c r="U922" s="177" t="s">
        <v>152</v>
      </c>
      <c r="V922" s="177" t="s">
        <v>18</v>
      </c>
    </row>
    <row r="923" spans="1:22" ht="15">
      <c r="A923" s="6"/>
      <c r="B923" s="251">
        <v>46225</v>
      </c>
      <c r="C923" s="251">
        <v>46225</v>
      </c>
      <c r="D923" s="177" t="s">
        <v>8968</v>
      </c>
      <c r="E923" s="177">
        <v>260103820736</v>
      </c>
      <c r="F923" s="177" t="s">
        <v>87</v>
      </c>
      <c r="G923" s="177" t="s">
        <v>859</v>
      </c>
      <c r="H923" s="177">
        <v>192</v>
      </c>
      <c r="I923" s="252">
        <v>200</v>
      </c>
      <c r="J923" s="377">
        <v>200</v>
      </c>
      <c r="K923" s="177">
        <v>104</v>
      </c>
      <c r="L923" s="253">
        <v>1010</v>
      </c>
      <c r="M923" s="177" t="s">
        <v>153</v>
      </c>
      <c r="N923" s="177" t="s">
        <v>149</v>
      </c>
      <c r="O923" s="177" t="s">
        <v>154</v>
      </c>
      <c r="P923" s="177" t="s">
        <v>151</v>
      </c>
      <c r="Q923" s="177" t="s">
        <v>155</v>
      </c>
      <c r="R923" s="177" t="s">
        <v>8969</v>
      </c>
      <c r="S923" s="177"/>
      <c r="T923" s="177" t="s">
        <v>3182</v>
      </c>
      <c r="U923" s="177" t="s">
        <v>152</v>
      </c>
      <c r="V923" s="177" t="s">
        <v>18</v>
      </c>
    </row>
    <row r="924" spans="1:22" ht="15">
      <c r="A924" s="6"/>
      <c r="B924" s="251">
        <v>46225</v>
      </c>
      <c r="C924" s="251">
        <v>46225</v>
      </c>
      <c r="D924" s="177" t="s">
        <v>8970</v>
      </c>
      <c r="E924" s="177">
        <v>260107320722</v>
      </c>
      <c r="F924" s="177" t="s">
        <v>87</v>
      </c>
      <c r="G924" s="177" t="s">
        <v>859</v>
      </c>
      <c r="H924" s="177">
        <v>152</v>
      </c>
      <c r="I924" s="252">
        <v>277</v>
      </c>
      <c r="J924" s="377">
        <v>277</v>
      </c>
      <c r="K924" s="177">
        <v>104</v>
      </c>
      <c r="L924" s="253">
        <v>1850</v>
      </c>
      <c r="M924" s="177" t="s">
        <v>153</v>
      </c>
      <c r="N924" s="177" t="s">
        <v>149</v>
      </c>
      <c r="O924" s="177" t="s">
        <v>154</v>
      </c>
      <c r="P924" s="177" t="s">
        <v>151</v>
      </c>
      <c r="Q924" s="177" t="s">
        <v>155</v>
      </c>
      <c r="R924" s="177" t="s">
        <v>8971</v>
      </c>
      <c r="S924" s="177"/>
      <c r="T924" s="177" t="s">
        <v>3182</v>
      </c>
      <c r="U924" s="177" t="s">
        <v>152</v>
      </c>
      <c r="V924" s="177" t="s">
        <v>18</v>
      </c>
    </row>
    <row r="925" spans="1:22">
      <c r="A925" s="6"/>
      <c r="B925" s="251">
        <v>46225</v>
      </c>
      <c r="C925" s="251">
        <v>46225</v>
      </c>
      <c r="D925" s="177" t="s">
        <v>8972</v>
      </c>
      <c r="E925" s="177">
        <v>260106120723</v>
      </c>
      <c r="F925" s="177" t="s">
        <v>87</v>
      </c>
      <c r="G925" s="177" t="s">
        <v>2310</v>
      </c>
      <c r="H925" s="177">
        <v>125</v>
      </c>
      <c r="I925" s="177">
        <v>202</v>
      </c>
      <c r="J925" s="378">
        <v>202</v>
      </c>
      <c r="K925" s="177">
        <v>87</v>
      </c>
      <c r="L925" s="253">
        <v>1900</v>
      </c>
      <c r="M925" s="177" t="s">
        <v>153</v>
      </c>
      <c r="N925" s="177" t="s">
        <v>149</v>
      </c>
      <c r="O925" s="177" t="s">
        <v>154</v>
      </c>
      <c r="P925" s="177" t="s">
        <v>151</v>
      </c>
      <c r="Q925" s="177" t="s">
        <v>155</v>
      </c>
      <c r="R925" s="177" t="s">
        <v>8973</v>
      </c>
      <c r="S925" s="177"/>
      <c r="T925" s="177" t="s">
        <v>3182</v>
      </c>
      <c r="U925" s="177" t="s">
        <v>152</v>
      </c>
      <c r="V925" s="177" t="s">
        <v>18</v>
      </c>
    </row>
    <row r="926" spans="1:22">
      <c r="A926" s="6"/>
      <c r="B926" s="251">
        <v>46225</v>
      </c>
      <c r="C926" s="251">
        <v>46225</v>
      </c>
      <c r="D926" s="177" t="s">
        <v>8974</v>
      </c>
      <c r="E926" s="177">
        <v>260104620724</v>
      </c>
      <c r="F926" s="177" t="s">
        <v>87</v>
      </c>
      <c r="G926" s="254" t="s">
        <v>859</v>
      </c>
      <c r="H926" s="177">
        <v>152</v>
      </c>
      <c r="I926" s="177">
        <v>273</v>
      </c>
      <c r="J926" s="378">
        <v>273</v>
      </c>
      <c r="K926" s="177">
        <v>104</v>
      </c>
      <c r="L926" s="253">
        <v>1820</v>
      </c>
      <c r="M926" s="177" t="s">
        <v>153</v>
      </c>
      <c r="N926" s="177" t="s">
        <v>149</v>
      </c>
      <c r="O926" s="177" t="s">
        <v>154</v>
      </c>
      <c r="P926" s="177" t="s">
        <v>151</v>
      </c>
      <c r="Q926" s="177" t="s">
        <v>155</v>
      </c>
      <c r="R926" s="177" t="s">
        <v>8975</v>
      </c>
      <c r="S926" s="177"/>
      <c r="T926" s="177" t="s">
        <v>3182</v>
      </c>
      <c r="U926" s="177" t="s">
        <v>152</v>
      </c>
      <c r="V926" s="177" t="s">
        <v>18</v>
      </c>
    </row>
    <row r="927" spans="1:22">
      <c r="A927" s="6"/>
      <c r="B927" s="251">
        <v>46225</v>
      </c>
      <c r="C927" s="251">
        <v>46225</v>
      </c>
      <c r="D927" s="177" t="s">
        <v>8976</v>
      </c>
      <c r="E927" s="177">
        <v>260103320733</v>
      </c>
      <c r="F927" s="177" t="s">
        <v>87</v>
      </c>
      <c r="G927" s="177" t="s">
        <v>2641</v>
      </c>
      <c r="H927" s="177">
        <v>160</v>
      </c>
      <c r="I927" s="177">
        <v>331</v>
      </c>
      <c r="J927" s="379">
        <v>331</v>
      </c>
      <c r="K927" s="177">
        <v>102</v>
      </c>
      <c r="L927" s="253">
        <v>2120</v>
      </c>
      <c r="M927" s="177" t="s">
        <v>153</v>
      </c>
      <c r="N927" s="177" t="s">
        <v>149</v>
      </c>
      <c r="O927" s="177" t="s">
        <v>154</v>
      </c>
      <c r="P927" s="177" t="s">
        <v>151</v>
      </c>
      <c r="Q927" s="177" t="s">
        <v>155</v>
      </c>
      <c r="R927" s="177" t="s">
        <v>8977</v>
      </c>
      <c r="S927" s="177"/>
      <c r="T927" s="177" t="s">
        <v>3182</v>
      </c>
      <c r="U927" s="177" t="s">
        <v>152</v>
      </c>
      <c r="V927" s="177" t="s">
        <v>18</v>
      </c>
    </row>
    <row r="928" spans="1:22">
      <c r="A928" s="6"/>
      <c r="B928" s="251">
        <v>46225</v>
      </c>
      <c r="C928" s="251">
        <v>46225</v>
      </c>
      <c r="D928" s="177" t="s">
        <v>8978</v>
      </c>
      <c r="E928" s="177">
        <v>260103320734</v>
      </c>
      <c r="F928" s="177" t="s">
        <v>87</v>
      </c>
      <c r="G928" s="254" t="s">
        <v>2641</v>
      </c>
      <c r="H928" s="177">
        <v>160</v>
      </c>
      <c r="I928" s="177">
        <v>336</v>
      </c>
      <c r="J928" s="378">
        <v>336</v>
      </c>
      <c r="K928" s="177">
        <v>102</v>
      </c>
      <c r="L928" s="253">
        <v>2120</v>
      </c>
      <c r="M928" s="177" t="s">
        <v>153</v>
      </c>
      <c r="N928" s="177" t="s">
        <v>149</v>
      </c>
      <c r="O928" s="177" t="s">
        <v>154</v>
      </c>
      <c r="P928" s="177" t="s">
        <v>151</v>
      </c>
      <c r="Q928" s="177" t="s">
        <v>155</v>
      </c>
      <c r="R928" s="177" t="s">
        <v>8979</v>
      </c>
      <c r="S928" s="177"/>
      <c r="T928" s="177" t="s">
        <v>3182</v>
      </c>
      <c r="U928" s="177" t="s">
        <v>152</v>
      </c>
      <c r="V928" s="177" t="s">
        <v>18</v>
      </c>
    </row>
    <row r="929" spans="1:22">
      <c r="A929" s="6"/>
      <c r="B929" s="251">
        <v>46225</v>
      </c>
      <c r="C929" s="251">
        <v>46225</v>
      </c>
      <c r="D929" s="177" t="s">
        <v>8980</v>
      </c>
      <c r="E929" s="177">
        <v>260101720707</v>
      </c>
      <c r="F929" s="177" t="s">
        <v>87</v>
      </c>
      <c r="G929" s="177" t="s">
        <v>2408</v>
      </c>
      <c r="H929" s="177">
        <v>95</v>
      </c>
      <c r="I929" s="177">
        <v>260</v>
      </c>
      <c r="J929" s="378">
        <v>260</v>
      </c>
      <c r="K929" s="177">
        <v>134</v>
      </c>
      <c r="L929" s="253">
        <v>1000</v>
      </c>
      <c r="M929" s="177" t="s">
        <v>153</v>
      </c>
      <c r="N929" s="177" t="s">
        <v>149</v>
      </c>
      <c r="O929" s="177" t="s">
        <v>154</v>
      </c>
      <c r="P929" s="177" t="s">
        <v>151</v>
      </c>
      <c r="Q929" s="177" t="s">
        <v>155</v>
      </c>
      <c r="R929" s="177" t="s">
        <v>8981</v>
      </c>
      <c r="S929" s="177"/>
      <c r="T929" s="177" t="s">
        <v>3182</v>
      </c>
      <c r="U929" s="177" t="s">
        <v>152</v>
      </c>
      <c r="V929" s="177" t="s">
        <v>18</v>
      </c>
    </row>
    <row r="930" spans="1:22">
      <c r="A930" s="6"/>
      <c r="B930" s="251">
        <v>46225</v>
      </c>
      <c r="C930" s="251">
        <v>46225</v>
      </c>
      <c r="D930" s="177" t="s">
        <v>8982</v>
      </c>
      <c r="E930" s="177">
        <v>260100720701</v>
      </c>
      <c r="F930" s="177" t="s">
        <v>87</v>
      </c>
      <c r="G930" s="177" t="s">
        <v>2120</v>
      </c>
      <c r="H930" s="177">
        <v>145</v>
      </c>
      <c r="I930" s="177">
        <v>216</v>
      </c>
      <c r="J930" s="378">
        <v>216</v>
      </c>
      <c r="K930" s="177">
        <v>180</v>
      </c>
      <c r="L930" s="253">
        <v>420</v>
      </c>
      <c r="M930" s="177" t="s">
        <v>153</v>
      </c>
      <c r="N930" s="177" t="s">
        <v>149</v>
      </c>
      <c r="O930" s="177" t="s">
        <v>154</v>
      </c>
      <c r="P930" s="177" t="s">
        <v>151</v>
      </c>
      <c r="Q930" s="177" t="s">
        <v>155</v>
      </c>
      <c r="R930" s="177" t="s">
        <v>8983</v>
      </c>
      <c r="S930" s="177"/>
      <c r="T930" s="177" t="s">
        <v>3182</v>
      </c>
      <c r="U930" s="177" t="s">
        <v>152</v>
      </c>
      <c r="V930" s="177" t="s">
        <v>18</v>
      </c>
    </row>
    <row r="931" spans="1:22">
      <c r="A931" s="6"/>
      <c r="B931" s="251">
        <v>46225</v>
      </c>
      <c r="C931" s="251">
        <v>46225</v>
      </c>
      <c r="D931" s="177" t="s">
        <v>8984</v>
      </c>
      <c r="E931" s="177">
        <v>260102720706</v>
      </c>
      <c r="F931" s="177" t="s">
        <v>87</v>
      </c>
      <c r="G931" s="177" t="s">
        <v>2554</v>
      </c>
      <c r="H931" s="177">
        <v>102</v>
      </c>
      <c r="I931" s="177">
        <v>246</v>
      </c>
      <c r="J931" s="378">
        <v>246</v>
      </c>
      <c r="K931" s="177">
        <v>125</v>
      </c>
      <c r="L931" s="253">
        <v>1000</v>
      </c>
      <c r="M931" s="177" t="s">
        <v>153</v>
      </c>
      <c r="N931" s="177" t="s">
        <v>149</v>
      </c>
      <c r="O931" s="177" t="s">
        <v>154</v>
      </c>
      <c r="P931" s="177" t="s">
        <v>151</v>
      </c>
      <c r="Q931" s="177" t="s">
        <v>155</v>
      </c>
      <c r="R931" s="177" t="s">
        <v>8985</v>
      </c>
      <c r="S931" s="177"/>
      <c r="T931" s="177" t="s">
        <v>3182</v>
      </c>
      <c r="U931" s="177" t="s">
        <v>152</v>
      </c>
      <c r="V931" s="177" t="s">
        <v>18</v>
      </c>
    </row>
    <row r="932" spans="1:22">
      <c r="A932" s="6"/>
      <c r="B932" s="251">
        <v>46225</v>
      </c>
      <c r="C932" s="251">
        <v>46225</v>
      </c>
      <c r="D932" s="177" t="s">
        <v>8986</v>
      </c>
      <c r="E932" s="177">
        <v>260102620743</v>
      </c>
      <c r="F932" s="177" t="s">
        <v>87</v>
      </c>
      <c r="G932" s="177" t="s">
        <v>2554</v>
      </c>
      <c r="H932" s="177">
        <v>102</v>
      </c>
      <c r="I932" s="177">
        <v>246</v>
      </c>
      <c r="J932" s="378">
        <v>246</v>
      </c>
      <c r="K932" s="177">
        <v>125</v>
      </c>
      <c r="L932" s="253">
        <v>1000</v>
      </c>
      <c r="M932" s="177" t="s">
        <v>153</v>
      </c>
      <c r="N932" s="177" t="s">
        <v>149</v>
      </c>
      <c r="O932" s="177" t="s">
        <v>154</v>
      </c>
      <c r="P932" s="177" t="s">
        <v>151</v>
      </c>
      <c r="Q932" s="177" t="s">
        <v>155</v>
      </c>
      <c r="R932" s="177" t="s">
        <v>8987</v>
      </c>
      <c r="S932" s="177"/>
      <c r="T932" s="177" t="s">
        <v>3182</v>
      </c>
      <c r="U932" s="177" t="s">
        <v>152</v>
      </c>
      <c r="V932" s="177" t="s">
        <v>18</v>
      </c>
    </row>
    <row r="933" spans="1:22">
      <c r="A933" s="6"/>
      <c r="B933" s="251">
        <v>46225</v>
      </c>
      <c r="C933" s="251">
        <v>46225</v>
      </c>
      <c r="D933" s="177" t="s">
        <v>8988</v>
      </c>
      <c r="E933" s="177">
        <v>260105820728</v>
      </c>
      <c r="F933" s="177" t="s">
        <v>87</v>
      </c>
      <c r="G933" s="177" t="s">
        <v>859</v>
      </c>
      <c r="H933" s="177">
        <v>152</v>
      </c>
      <c r="I933" s="177">
        <v>227</v>
      </c>
      <c r="J933" s="378">
        <v>227</v>
      </c>
      <c r="K933" s="177">
        <v>104</v>
      </c>
      <c r="L933" s="253">
        <v>1500</v>
      </c>
      <c r="M933" s="177" t="s">
        <v>153</v>
      </c>
      <c r="N933" s="177" t="s">
        <v>149</v>
      </c>
      <c r="O933" s="177" t="s">
        <v>154</v>
      </c>
      <c r="P933" s="177" t="s">
        <v>151</v>
      </c>
      <c r="Q933" s="177" t="s">
        <v>155</v>
      </c>
      <c r="R933" s="177" t="s">
        <v>8989</v>
      </c>
      <c r="S933" s="177"/>
      <c r="T933" s="177" t="s">
        <v>3182</v>
      </c>
      <c r="U933" s="177" t="s">
        <v>152</v>
      </c>
      <c r="V933" s="177" t="s">
        <v>18</v>
      </c>
    </row>
    <row r="934" spans="1:22">
      <c r="A934" s="6"/>
      <c r="B934" s="251">
        <v>46225</v>
      </c>
      <c r="C934" s="251">
        <v>46225</v>
      </c>
      <c r="D934" s="177" t="s">
        <v>8990</v>
      </c>
      <c r="E934" s="177" t="s">
        <v>8991</v>
      </c>
      <c r="F934" s="177" t="s">
        <v>87</v>
      </c>
      <c r="G934" s="177" t="s">
        <v>8992</v>
      </c>
      <c r="H934" s="177" t="s">
        <v>8529</v>
      </c>
      <c r="I934" s="177">
        <v>132</v>
      </c>
      <c r="J934" s="378">
        <v>132</v>
      </c>
      <c r="K934" s="177">
        <v>45</v>
      </c>
      <c r="L934" s="253">
        <v>4400</v>
      </c>
      <c r="M934" s="177" t="s">
        <v>153</v>
      </c>
      <c r="N934" s="177" t="s">
        <v>149</v>
      </c>
      <c r="O934" s="177" t="s">
        <v>154</v>
      </c>
      <c r="P934" s="177" t="s">
        <v>151</v>
      </c>
      <c r="Q934" s="177" t="s">
        <v>156</v>
      </c>
      <c r="R934" s="177" t="s">
        <v>8993</v>
      </c>
      <c r="S934" s="177"/>
      <c r="T934" s="177" t="s">
        <v>3182</v>
      </c>
      <c r="U934" s="177" t="s">
        <v>152</v>
      </c>
      <c r="V934" s="177" t="s">
        <v>20</v>
      </c>
    </row>
    <row r="935" spans="1:22">
      <c r="A935" s="6"/>
      <c r="B935" s="251">
        <v>46225</v>
      </c>
      <c r="C935" s="251">
        <v>46225</v>
      </c>
      <c r="D935" s="177" t="s">
        <v>8994</v>
      </c>
      <c r="E935" s="177" t="s">
        <v>8991</v>
      </c>
      <c r="F935" s="177" t="s">
        <v>87</v>
      </c>
      <c r="G935" s="177" t="s">
        <v>8992</v>
      </c>
      <c r="H935" s="177" t="s">
        <v>8529</v>
      </c>
      <c r="I935" s="177">
        <v>131</v>
      </c>
      <c r="J935" s="378">
        <v>131</v>
      </c>
      <c r="K935" s="177">
        <v>45</v>
      </c>
      <c r="L935" s="253">
        <v>4400</v>
      </c>
      <c r="M935" s="177" t="s">
        <v>153</v>
      </c>
      <c r="N935" s="177" t="s">
        <v>149</v>
      </c>
      <c r="O935" s="177" t="s">
        <v>154</v>
      </c>
      <c r="P935" s="177" t="s">
        <v>151</v>
      </c>
      <c r="Q935" s="177" t="s">
        <v>156</v>
      </c>
      <c r="R935" s="177" t="s">
        <v>8995</v>
      </c>
      <c r="S935" s="177"/>
      <c r="T935" s="177" t="s">
        <v>3182</v>
      </c>
      <c r="U935" s="177" t="s">
        <v>152</v>
      </c>
      <c r="V935" s="177" t="s">
        <v>20</v>
      </c>
    </row>
    <row r="936" spans="1:22">
      <c r="A936" s="6"/>
      <c r="B936" s="251">
        <v>46225</v>
      </c>
      <c r="C936" s="251">
        <v>46225</v>
      </c>
      <c r="D936" s="177" t="s">
        <v>8996</v>
      </c>
      <c r="E936" s="177">
        <v>260101320294</v>
      </c>
      <c r="F936" s="177" t="s">
        <v>87</v>
      </c>
      <c r="G936" s="177" t="s">
        <v>7026</v>
      </c>
      <c r="H936" s="177" t="s">
        <v>7027</v>
      </c>
      <c r="I936" s="177">
        <v>750</v>
      </c>
      <c r="J936" s="378">
        <v>750</v>
      </c>
      <c r="K936" s="177">
        <v>190</v>
      </c>
      <c r="L936" s="253">
        <v>1280</v>
      </c>
      <c r="M936" s="177" t="s">
        <v>153</v>
      </c>
      <c r="N936" s="177" t="s">
        <v>149</v>
      </c>
      <c r="O936" s="177" t="s">
        <v>154</v>
      </c>
      <c r="P936" s="177" t="s">
        <v>151</v>
      </c>
      <c r="Q936" s="177" t="s">
        <v>156</v>
      </c>
      <c r="R936" s="177" t="s">
        <v>8997</v>
      </c>
      <c r="S936" s="177"/>
      <c r="T936" s="177" t="s">
        <v>3182</v>
      </c>
      <c r="U936" s="177" t="s">
        <v>152</v>
      </c>
      <c r="V936" s="177" t="s">
        <v>20</v>
      </c>
    </row>
    <row r="937" spans="1:22">
      <c r="A937" s="6"/>
      <c r="B937" s="251">
        <v>46225</v>
      </c>
      <c r="C937" s="251">
        <v>46225</v>
      </c>
      <c r="D937" s="177" t="s">
        <v>8998</v>
      </c>
      <c r="E937" s="177">
        <v>260101320510</v>
      </c>
      <c r="F937" s="177" t="s">
        <v>87</v>
      </c>
      <c r="G937" s="177" t="s">
        <v>7026</v>
      </c>
      <c r="H937" s="177" t="s">
        <v>7027</v>
      </c>
      <c r="I937" s="177">
        <v>595</v>
      </c>
      <c r="J937" s="378">
        <v>595</v>
      </c>
      <c r="K937" s="177">
        <v>190</v>
      </c>
      <c r="L937" s="253">
        <v>1000</v>
      </c>
      <c r="M937" s="177" t="s">
        <v>153</v>
      </c>
      <c r="N937" s="177" t="s">
        <v>149</v>
      </c>
      <c r="O937" s="177" t="s">
        <v>154</v>
      </c>
      <c r="P937" s="177" t="s">
        <v>151</v>
      </c>
      <c r="Q937" s="177" t="s">
        <v>156</v>
      </c>
      <c r="R937" s="177" t="s">
        <v>8999</v>
      </c>
      <c r="S937" s="177"/>
      <c r="T937" s="177" t="s">
        <v>3182</v>
      </c>
      <c r="U937" s="177" t="s">
        <v>152</v>
      </c>
      <c r="V937" s="177" t="s">
        <v>20</v>
      </c>
    </row>
    <row r="938" spans="1:22">
      <c r="A938" s="6"/>
      <c r="B938" s="251">
        <v>46225</v>
      </c>
      <c r="C938" s="251">
        <v>46225</v>
      </c>
      <c r="D938" s="177" t="s">
        <v>9000</v>
      </c>
      <c r="E938" s="177">
        <v>260102920763</v>
      </c>
      <c r="F938" s="177" t="s">
        <v>87</v>
      </c>
      <c r="G938" s="177" t="s">
        <v>859</v>
      </c>
      <c r="H938" s="177">
        <v>152</v>
      </c>
      <c r="I938" s="177">
        <v>222</v>
      </c>
      <c r="J938" s="378">
        <v>222</v>
      </c>
      <c r="K938" s="177">
        <v>104</v>
      </c>
      <c r="L938" s="253">
        <v>1420</v>
      </c>
      <c r="M938" s="177" t="s">
        <v>153</v>
      </c>
      <c r="N938" s="177" t="s">
        <v>149</v>
      </c>
      <c r="O938" s="177" t="s">
        <v>154</v>
      </c>
      <c r="P938" s="177" t="s">
        <v>151</v>
      </c>
      <c r="Q938" s="177" t="s">
        <v>155</v>
      </c>
      <c r="R938" s="177" t="s">
        <v>9001</v>
      </c>
      <c r="S938" s="177"/>
      <c r="T938" s="177" t="s">
        <v>9002</v>
      </c>
      <c r="U938" s="177" t="s">
        <v>152</v>
      </c>
      <c r="V938" s="177" t="s">
        <v>18</v>
      </c>
    </row>
    <row r="939" spans="1:22">
      <c r="A939" s="6"/>
      <c r="B939" s="251">
        <v>46225</v>
      </c>
      <c r="C939" s="251">
        <v>46225</v>
      </c>
      <c r="D939" s="177" t="s">
        <v>9003</v>
      </c>
      <c r="E939" s="177">
        <v>260107020764</v>
      </c>
      <c r="F939" s="177" t="s">
        <v>87</v>
      </c>
      <c r="G939" s="177" t="s">
        <v>2310</v>
      </c>
      <c r="H939" s="177">
        <v>125</v>
      </c>
      <c r="I939" s="177">
        <v>194</v>
      </c>
      <c r="J939" s="378">
        <v>194</v>
      </c>
      <c r="K939" s="177">
        <v>87</v>
      </c>
      <c r="L939" s="253">
        <v>1830</v>
      </c>
      <c r="M939" s="177" t="s">
        <v>153</v>
      </c>
      <c r="N939" s="177" t="s">
        <v>149</v>
      </c>
      <c r="O939" s="177" t="s">
        <v>154</v>
      </c>
      <c r="P939" s="177" t="s">
        <v>151</v>
      </c>
      <c r="Q939" s="177" t="s">
        <v>155</v>
      </c>
      <c r="R939" s="177" t="s">
        <v>9004</v>
      </c>
      <c r="S939" s="177"/>
      <c r="T939" s="177" t="s">
        <v>9002</v>
      </c>
      <c r="U939" s="177" t="s">
        <v>152</v>
      </c>
      <c r="V939" s="177" t="s">
        <v>18</v>
      </c>
    </row>
    <row r="940" spans="1:22">
      <c r="A940" s="6"/>
      <c r="B940" s="251">
        <v>46225</v>
      </c>
      <c r="C940" s="251">
        <v>46225</v>
      </c>
      <c r="D940" s="177" t="s">
        <v>9005</v>
      </c>
      <c r="E940" s="177">
        <v>260102920762</v>
      </c>
      <c r="F940" s="177" t="s">
        <v>87</v>
      </c>
      <c r="G940" s="177" t="s">
        <v>859</v>
      </c>
      <c r="H940" s="177">
        <v>152</v>
      </c>
      <c r="I940" s="177">
        <v>223</v>
      </c>
      <c r="J940" s="378">
        <v>223</v>
      </c>
      <c r="K940" s="177">
        <v>104</v>
      </c>
      <c r="L940" s="253">
        <v>1420</v>
      </c>
      <c r="M940" s="177" t="s">
        <v>153</v>
      </c>
      <c r="N940" s="177" t="s">
        <v>149</v>
      </c>
      <c r="O940" s="177" t="s">
        <v>154</v>
      </c>
      <c r="P940" s="177" t="s">
        <v>151</v>
      </c>
      <c r="Q940" s="177" t="s">
        <v>155</v>
      </c>
      <c r="R940" s="177" t="s">
        <v>9006</v>
      </c>
      <c r="S940" s="177"/>
      <c r="T940" s="177" t="s">
        <v>9002</v>
      </c>
      <c r="U940" s="177" t="s">
        <v>152</v>
      </c>
      <c r="V940" s="177" t="s">
        <v>18</v>
      </c>
    </row>
    <row r="941" spans="1:22">
      <c r="A941" s="6"/>
      <c r="B941" s="251">
        <v>46225</v>
      </c>
      <c r="C941" s="251">
        <v>46225</v>
      </c>
      <c r="D941" s="177" t="s">
        <v>9007</v>
      </c>
      <c r="E941" s="177">
        <v>260100920766</v>
      </c>
      <c r="F941" s="177" t="s">
        <v>87</v>
      </c>
      <c r="G941" s="177" t="s">
        <v>7130</v>
      </c>
      <c r="H941" s="177">
        <v>182</v>
      </c>
      <c r="I941" s="177">
        <v>369</v>
      </c>
      <c r="J941" s="378">
        <v>369</v>
      </c>
      <c r="K941" s="177">
        <v>190</v>
      </c>
      <c r="L941" s="253">
        <v>550</v>
      </c>
      <c r="M941" s="177" t="s">
        <v>153</v>
      </c>
      <c r="N941" s="177" t="s">
        <v>149</v>
      </c>
      <c r="O941" s="177" t="s">
        <v>154</v>
      </c>
      <c r="P941" s="177" t="s">
        <v>151</v>
      </c>
      <c r="Q941" s="177" t="s">
        <v>155</v>
      </c>
      <c r="R941" s="177" t="s">
        <v>9008</v>
      </c>
      <c r="S941" s="177"/>
      <c r="T941" s="177" t="s">
        <v>9002</v>
      </c>
      <c r="U941" s="177" t="s">
        <v>152</v>
      </c>
      <c r="V941" s="177" t="s">
        <v>18</v>
      </c>
    </row>
    <row r="942" spans="1:22">
      <c r="A942" s="6"/>
      <c r="B942" s="251">
        <v>46225</v>
      </c>
      <c r="C942" s="251">
        <v>46225</v>
      </c>
      <c r="D942" s="177" t="s">
        <v>9009</v>
      </c>
      <c r="E942" s="177">
        <v>260107520765</v>
      </c>
      <c r="F942" s="177" t="s">
        <v>87</v>
      </c>
      <c r="G942" s="177" t="s">
        <v>2310</v>
      </c>
      <c r="H942" s="177">
        <v>125</v>
      </c>
      <c r="I942" s="177">
        <v>212</v>
      </c>
      <c r="J942" s="378">
        <v>212</v>
      </c>
      <c r="K942" s="177">
        <v>87</v>
      </c>
      <c r="L942" s="253">
        <v>2000</v>
      </c>
      <c r="M942" s="177" t="s">
        <v>153</v>
      </c>
      <c r="N942" s="177" t="s">
        <v>149</v>
      </c>
      <c r="O942" s="177" t="s">
        <v>154</v>
      </c>
      <c r="P942" s="177" t="s">
        <v>151</v>
      </c>
      <c r="Q942" s="177" t="s">
        <v>155</v>
      </c>
      <c r="R942" s="177" t="s">
        <v>9010</v>
      </c>
      <c r="S942" s="177"/>
      <c r="T942" s="177" t="s">
        <v>9002</v>
      </c>
      <c r="U942" s="177" t="s">
        <v>152</v>
      </c>
      <c r="V942" s="177" t="s">
        <v>18</v>
      </c>
    </row>
    <row r="943" spans="1:22">
      <c r="A943" s="6"/>
      <c r="B943" s="251">
        <v>46225</v>
      </c>
      <c r="C943" s="251">
        <v>46225</v>
      </c>
      <c r="D943" s="177" t="s">
        <v>9011</v>
      </c>
      <c r="E943" s="177">
        <v>260100520753</v>
      </c>
      <c r="F943" s="177" t="s">
        <v>87</v>
      </c>
      <c r="G943" s="177" t="s">
        <v>8900</v>
      </c>
      <c r="H943" s="177">
        <v>182</v>
      </c>
      <c r="I943" s="177">
        <v>382</v>
      </c>
      <c r="J943" s="378">
        <v>382</v>
      </c>
      <c r="K943" s="177">
        <v>180</v>
      </c>
      <c r="L943" s="253">
        <v>600</v>
      </c>
      <c r="M943" s="177" t="s">
        <v>153</v>
      </c>
      <c r="N943" s="177" t="s">
        <v>149</v>
      </c>
      <c r="O943" s="177" t="s">
        <v>154</v>
      </c>
      <c r="P943" s="177" t="s">
        <v>151</v>
      </c>
      <c r="Q943" s="177" t="s">
        <v>155</v>
      </c>
      <c r="R943" s="177" t="s">
        <v>9012</v>
      </c>
      <c r="S943" s="177"/>
      <c r="T943" s="177" t="s">
        <v>3186</v>
      </c>
      <c r="U943" s="177" t="s">
        <v>152</v>
      </c>
      <c r="V943" s="177" t="s">
        <v>18</v>
      </c>
    </row>
    <row r="944" spans="1:22">
      <c r="A944" s="6"/>
      <c r="B944" s="251">
        <v>46225</v>
      </c>
      <c r="C944" s="251">
        <v>46225</v>
      </c>
      <c r="D944" s="177" t="s">
        <v>9013</v>
      </c>
      <c r="E944" s="177">
        <v>260102020749</v>
      </c>
      <c r="F944" s="177" t="s">
        <v>87</v>
      </c>
      <c r="G944" s="177" t="s">
        <v>2563</v>
      </c>
      <c r="H944" s="177">
        <v>95</v>
      </c>
      <c r="I944" s="177">
        <v>255</v>
      </c>
      <c r="J944" s="378">
        <v>255</v>
      </c>
      <c r="K944" s="177">
        <v>134</v>
      </c>
      <c r="L944" s="253">
        <v>1030</v>
      </c>
      <c r="M944" s="177" t="s">
        <v>153</v>
      </c>
      <c r="N944" s="177" t="s">
        <v>149</v>
      </c>
      <c r="O944" s="177" t="s">
        <v>154</v>
      </c>
      <c r="P944" s="177" t="s">
        <v>151</v>
      </c>
      <c r="Q944" s="177" t="s">
        <v>155</v>
      </c>
      <c r="R944" s="177" t="s">
        <v>9014</v>
      </c>
      <c r="S944" s="177"/>
      <c r="T944" s="177" t="s">
        <v>3186</v>
      </c>
      <c r="U944" s="177" t="s">
        <v>152</v>
      </c>
      <c r="V944" s="177" t="s">
        <v>18</v>
      </c>
    </row>
    <row r="945" spans="1:22">
      <c r="A945" s="6"/>
      <c r="B945" s="251">
        <v>46225</v>
      </c>
      <c r="C945" s="251">
        <v>46225</v>
      </c>
      <c r="D945" s="177" t="s">
        <v>9015</v>
      </c>
      <c r="E945" s="177">
        <v>260100920752</v>
      </c>
      <c r="F945" s="177" t="s">
        <v>87</v>
      </c>
      <c r="G945" s="177" t="s">
        <v>7130</v>
      </c>
      <c r="H945" s="177">
        <v>182</v>
      </c>
      <c r="I945" s="177">
        <v>341</v>
      </c>
      <c r="J945" s="378">
        <v>341</v>
      </c>
      <c r="K945" s="177">
        <v>190</v>
      </c>
      <c r="L945" s="253">
        <v>500</v>
      </c>
      <c r="M945" s="177" t="s">
        <v>153</v>
      </c>
      <c r="N945" s="177" t="s">
        <v>149</v>
      </c>
      <c r="O945" s="177" t="s">
        <v>154</v>
      </c>
      <c r="P945" s="177" t="s">
        <v>151</v>
      </c>
      <c r="Q945" s="177" t="s">
        <v>155</v>
      </c>
      <c r="R945" s="177" t="s">
        <v>9016</v>
      </c>
      <c r="S945" s="177"/>
      <c r="T945" s="177" t="s">
        <v>3186</v>
      </c>
      <c r="U945" s="177" t="s">
        <v>152</v>
      </c>
      <c r="V945" s="177" t="s">
        <v>18</v>
      </c>
    </row>
    <row r="946" spans="1:22">
      <c r="A946" s="6"/>
      <c r="B946" s="251">
        <v>46225</v>
      </c>
      <c r="C946" s="251">
        <v>46225</v>
      </c>
      <c r="D946" s="177" t="s">
        <v>9017</v>
      </c>
      <c r="E946" s="177">
        <v>260101620744</v>
      </c>
      <c r="F946" s="177" t="s">
        <v>87</v>
      </c>
      <c r="G946" s="177" t="s">
        <v>2642</v>
      </c>
      <c r="H946" s="177">
        <v>112</v>
      </c>
      <c r="I946" s="177">
        <v>454</v>
      </c>
      <c r="J946" s="378">
        <v>454</v>
      </c>
      <c r="K946" s="177">
        <v>160</v>
      </c>
      <c r="L946" s="253">
        <v>1300</v>
      </c>
      <c r="M946" s="177" t="s">
        <v>153</v>
      </c>
      <c r="N946" s="177" t="s">
        <v>149</v>
      </c>
      <c r="O946" s="177" t="s">
        <v>154</v>
      </c>
      <c r="P946" s="177" t="s">
        <v>151</v>
      </c>
      <c r="Q946" s="177" t="s">
        <v>155</v>
      </c>
      <c r="R946" s="177" t="s">
        <v>9018</v>
      </c>
      <c r="S946" s="177"/>
      <c r="T946" s="177" t="s">
        <v>3186</v>
      </c>
      <c r="U946" s="177" t="s">
        <v>152</v>
      </c>
      <c r="V946" s="177" t="s">
        <v>18</v>
      </c>
    </row>
    <row r="947" spans="1:22">
      <c r="A947" s="6"/>
      <c r="B947" s="251">
        <v>46225</v>
      </c>
      <c r="C947" s="251">
        <v>46225</v>
      </c>
      <c r="D947" s="177" t="s">
        <v>9019</v>
      </c>
      <c r="E947" s="177">
        <v>260102920702</v>
      </c>
      <c r="F947" s="177" t="s">
        <v>87</v>
      </c>
      <c r="G947" s="177" t="s">
        <v>859</v>
      </c>
      <c r="H947" s="177">
        <v>152</v>
      </c>
      <c r="I947" s="177">
        <v>327</v>
      </c>
      <c r="J947" s="378">
        <v>327</v>
      </c>
      <c r="K947" s="177">
        <v>104</v>
      </c>
      <c r="L947" s="253">
        <v>2130</v>
      </c>
      <c r="M947" s="177" t="s">
        <v>153</v>
      </c>
      <c r="N947" s="177" t="s">
        <v>149</v>
      </c>
      <c r="O947" s="177" t="s">
        <v>154</v>
      </c>
      <c r="P947" s="177" t="s">
        <v>151</v>
      </c>
      <c r="Q947" s="177" t="s">
        <v>155</v>
      </c>
      <c r="R947" s="177" t="s">
        <v>9020</v>
      </c>
      <c r="S947" s="177"/>
      <c r="T947" s="177" t="s">
        <v>3186</v>
      </c>
      <c r="U947" s="177" t="s">
        <v>152</v>
      </c>
      <c r="V947" s="177" t="s">
        <v>18</v>
      </c>
    </row>
    <row r="948" spans="1:22">
      <c r="A948" s="6"/>
      <c r="B948" s="251">
        <v>46225</v>
      </c>
      <c r="C948" s="251">
        <v>46225</v>
      </c>
      <c r="D948" s="177" t="s">
        <v>9021</v>
      </c>
      <c r="E948" s="177">
        <v>260102820742</v>
      </c>
      <c r="F948" s="177" t="s">
        <v>87</v>
      </c>
      <c r="G948" s="177" t="s">
        <v>2554</v>
      </c>
      <c r="H948" s="177">
        <v>102</v>
      </c>
      <c r="I948" s="177">
        <v>244</v>
      </c>
      <c r="J948" s="378">
        <v>244</v>
      </c>
      <c r="K948" s="177">
        <v>125</v>
      </c>
      <c r="L948" s="253">
        <v>1000</v>
      </c>
      <c r="M948" s="177" t="s">
        <v>153</v>
      </c>
      <c r="N948" s="177" t="s">
        <v>149</v>
      </c>
      <c r="O948" s="177" t="s">
        <v>154</v>
      </c>
      <c r="P948" s="177" t="s">
        <v>151</v>
      </c>
      <c r="Q948" s="177" t="s">
        <v>155</v>
      </c>
      <c r="R948" s="177" t="s">
        <v>9022</v>
      </c>
      <c r="S948" s="177"/>
      <c r="T948" s="177" t="s">
        <v>3186</v>
      </c>
      <c r="U948" s="177" t="s">
        <v>152</v>
      </c>
      <c r="V948" s="177" t="s">
        <v>18</v>
      </c>
    </row>
    <row r="949" spans="1:22">
      <c r="A949" s="6"/>
      <c r="B949" s="251">
        <v>46225</v>
      </c>
      <c r="C949" s="251">
        <v>46225</v>
      </c>
      <c r="D949" s="177" t="s">
        <v>9023</v>
      </c>
      <c r="E949" s="177">
        <v>260107620713</v>
      </c>
      <c r="F949" s="177" t="s">
        <v>87</v>
      </c>
      <c r="G949" s="177" t="s">
        <v>7928</v>
      </c>
      <c r="H949" s="177">
        <v>132</v>
      </c>
      <c r="I949" s="177">
        <v>215</v>
      </c>
      <c r="J949" s="378">
        <v>215</v>
      </c>
      <c r="K949" s="177">
        <v>87</v>
      </c>
      <c r="L949" s="253">
        <v>1935</v>
      </c>
      <c r="M949" s="177" t="s">
        <v>153</v>
      </c>
      <c r="N949" s="177" t="s">
        <v>149</v>
      </c>
      <c r="O949" s="177" t="s">
        <v>154</v>
      </c>
      <c r="P949" s="177" t="s">
        <v>151</v>
      </c>
      <c r="Q949" s="177" t="s">
        <v>155</v>
      </c>
      <c r="R949" s="177" t="s">
        <v>9024</v>
      </c>
      <c r="S949" s="177"/>
      <c r="T949" s="177" t="s">
        <v>3186</v>
      </c>
      <c r="U949" s="177" t="s">
        <v>152</v>
      </c>
      <c r="V949" s="177" t="s">
        <v>18</v>
      </c>
    </row>
    <row r="950" spans="1:22">
      <c r="A950" s="6"/>
      <c r="B950" s="251">
        <v>46225</v>
      </c>
      <c r="C950" s="251">
        <v>46225</v>
      </c>
      <c r="D950" s="177" t="s">
        <v>9025</v>
      </c>
      <c r="E950" s="177">
        <v>260105020712</v>
      </c>
      <c r="F950" s="177" t="s">
        <v>87</v>
      </c>
      <c r="G950" s="177" t="s">
        <v>2641</v>
      </c>
      <c r="H950" s="177">
        <v>162</v>
      </c>
      <c r="I950" s="177">
        <v>279</v>
      </c>
      <c r="J950" s="378">
        <v>279</v>
      </c>
      <c r="K950" s="177">
        <v>102</v>
      </c>
      <c r="L950" s="253">
        <v>1710</v>
      </c>
      <c r="M950" s="177" t="s">
        <v>153</v>
      </c>
      <c r="N950" s="177" t="s">
        <v>149</v>
      </c>
      <c r="O950" s="177" t="s">
        <v>154</v>
      </c>
      <c r="P950" s="177" t="s">
        <v>151</v>
      </c>
      <c r="Q950" s="177" t="s">
        <v>155</v>
      </c>
      <c r="R950" s="177" t="s">
        <v>9026</v>
      </c>
      <c r="S950" s="177"/>
      <c r="T950" s="177" t="s">
        <v>3186</v>
      </c>
      <c r="U950" s="177" t="s">
        <v>152</v>
      </c>
      <c r="V950" s="177" t="s">
        <v>18</v>
      </c>
    </row>
    <row r="951" spans="1:22">
      <c r="A951" s="6"/>
      <c r="B951" s="251">
        <v>46225</v>
      </c>
      <c r="C951" s="251">
        <v>46225</v>
      </c>
      <c r="D951" s="177" t="s">
        <v>9027</v>
      </c>
      <c r="E951" s="177">
        <v>260107820714</v>
      </c>
      <c r="F951" s="177" t="s">
        <v>87</v>
      </c>
      <c r="G951" s="177" t="s">
        <v>2425</v>
      </c>
      <c r="H951" s="177">
        <v>132</v>
      </c>
      <c r="I951" s="177">
        <v>308</v>
      </c>
      <c r="J951" s="378">
        <v>308</v>
      </c>
      <c r="K951" s="177">
        <v>92</v>
      </c>
      <c r="L951" s="253">
        <v>2630</v>
      </c>
      <c r="M951" s="177" t="s">
        <v>153</v>
      </c>
      <c r="N951" s="177" t="s">
        <v>149</v>
      </c>
      <c r="O951" s="177" t="s">
        <v>154</v>
      </c>
      <c r="P951" s="177" t="s">
        <v>151</v>
      </c>
      <c r="Q951" s="177" t="s">
        <v>155</v>
      </c>
      <c r="R951" s="177" t="s">
        <v>9028</v>
      </c>
      <c r="S951" s="177"/>
      <c r="T951" s="177" t="s">
        <v>3186</v>
      </c>
      <c r="U951" s="177" t="s">
        <v>152</v>
      </c>
      <c r="V951" s="177" t="s">
        <v>18</v>
      </c>
    </row>
    <row r="952" spans="1:22">
      <c r="A952" s="6"/>
      <c r="B952" s="251">
        <v>46225</v>
      </c>
      <c r="C952" s="251">
        <v>46225</v>
      </c>
      <c r="D952" s="177" t="s">
        <v>9029</v>
      </c>
      <c r="E952" s="177">
        <v>260100720750</v>
      </c>
      <c r="F952" s="177" t="s">
        <v>87</v>
      </c>
      <c r="G952" s="177" t="s">
        <v>2120</v>
      </c>
      <c r="H952" s="177">
        <v>142</v>
      </c>
      <c r="I952" s="177">
        <v>424</v>
      </c>
      <c r="J952" s="378">
        <v>424</v>
      </c>
      <c r="K952" s="177">
        <v>180</v>
      </c>
      <c r="L952" s="253">
        <v>850</v>
      </c>
      <c r="M952" s="177" t="s">
        <v>153</v>
      </c>
      <c r="N952" s="177" t="s">
        <v>149</v>
      </c>
      <c r="O952" s="177" t="s">
        <v>154</v>
      </c>
      <c r="P952" s="177" t="s">
        <v>151</v>
      </c>
      <c r="Q952" s="177" t="s">
        <v>155</v>
      </c>
      <c r="R952" s="177" t="s">
        <v>9030</v>
      </c>
      <c r="S952" s="177"/>
      <c r="T952" s="177" t="s">
        <v>3186</v>
      </c>
      <c r="U952" s="177" t="s">
        <v>152</v>
      </c>
      <c r="V952" s="177" t="s">
        <v>18</v>
      </c>
    </row>
    <row r="953" spans="1:22">
      <c r="A953" s="6"/>
      <c r="B953" s="251">
        <v>46225</v>
      </c>
      <c r="C953" s="251">
        <v>46225</v>
      </c>
      <c r="D953" s="177" t="s">
        <v>9031</v>
      </c>
      <c r="E953" s="177">
        <v>260101520699</v>
      </c>
      <c r="F953" s="177" t="s">
        <v>87</v>
      </c>
      <c r="G953" s="177" t="s">
        <v>2120</v>
      </c>
      <c r="H953" s="177">
        <v>92</v>
      </c>
      <c r="I953" s="177">
        <v>378</v>
      </c>
      <c r="J953" s="378">
        <v>378</v>
      </c>
      <c r="K953" s="177">
        <v>180</v>
      </c>
      <c r="L953" s="253">
        <v>1160</v>
      </c>
      <c r="M953" s="177" t="s">
        <v>153</v>
      </c>
      <c r="N953" s="177" t="s">
        <v>149</v>
      </c>
      <c r="O953" s="177" t="s">
        <v>154</v>
      </c>
      <c r="P953" s="177" t="s">
        <v>151</v>
      </c>
      <c r="Q953" s="177" t="s">
        <v>155</v>
      </c>
      <c r="R953" s="177" t="s">
        <v>9032</v>
      </c>
      <c r="S953" s="177"/>
      <c r="T953" s="177" t="s">
        <v>3186</v>
      </c>
      <c r="U953" s="177" t="s">
        <v>152</v>
      </c>
      <c r="V953" s="177" t="s">
        <v>18</v>
      </c>
    </row>
    <row r="954" spans="1:22">
      <c r="A954" s="6"/>
      <c r="B954" s="251">
        <v>46225</v>
      </c>
      <c r="C954" s="251">
        <v>46225</v>
      </c>
      <c r="D954" s="177" t="s">
        <v>9033</v>
      </c>
      <c r="E954" s="177">
        <v>260102820705</v>
      </c>
      <c r="F954" s="177" t="s">
        <v>87</v>
      </c>
      <c r="G954" s="177" t="s">
        <v>2554</v>
      </c>
      <c r="H954" s="177">
        <v>102</v>
      </c>
      <c r="I954" s="177">
        <v>243</v>
      </c>
      <c r="J954" s="378">
        <v>243</v>
      </c>
      <c r="K954" s="177">
        <v>125</v>
      </c>
      <c r="L954" s="253">
        <v>1000</v>
      </c>
      <c r="M954" s="177" t="s">
        <v>153</v>
      </c>
      <c r="N954" s="177" t="s">
        <v>149</v>
      </c>
      <c r="O954" s="177" t="s">
        <v>154</v>
      </c>
      <c r="P954" s="177" t="s">
        <v>151</v>
      </c>
      <c r="Q954" s="177" t="s">
        <v>155</v>
      </c>
      <c r="R954" s="177" t="s">
        <v>9034</v>
      </c>
      <c r="S954" s="177"/>
      <c r="T954" s="177" t="s">
        <v>3186</v>
      </c>
      <c r="U954" s="177" t="s">
        <v>152</v>
      </c>
      <c r="V954" s="177" t="s">
        <v>18</v>
      </c>
    </row>
    <row r="955" spans="1:22">
      <c r="A955" s="6"/>
      <c r="B955" s="251">
        <v>46225</v>
      </c>
      <c r="C955" s="251">
        <v>46225</v>
      </c>
      <c r="D955" s="177" t="s">
        <v>9035</v>
      </c>
      <c r="E955" s="177" t="s">
        <v>9036</v>
      </c>
      <c r="F955" s="177" t="s">
        <v>87</v>
      </c>
      <c r="G955" s="177" t="s">
        <v>2517</v>
      </c>
      <c r="H955" s="177">
        <v>92</v>
      </c>
      <c r="I955" s="177">
        <v>252</v>
      </c>
      <c r="J955" s="378">
        <v>252</v>
      </c>
      <c r="K955" s="177">
        <v>125</v>
      </c>
      <c r="L955" s="253">
        <v>1037</v>
      </c>
      <c r="M955" s="177" t="s">
        <v>153</v>
      </c>
      <c r="N955" s="177" t="s">
        <v>149</v>
      </c>
      <c r="O955" s="177" t="s">
        <v>154</v>
      </c>
      <c r="P955" s="177" t="s">
        <v>151</v>
      </c>
      <c r="Q955" s="177" t="s">
        <v>155</v>
      </c>
      <c r="R955" s="177" t="s">
        <v>9037</v>
      </c>
      <c r="S955" s="177"/>
      <c r="T955" s="177" t="s">
        <v>3212</v>
      </c>
      <c r="U955" s="177" t="s">
        <v>152</v>
      </c>
      <c r="V955" s="177" t="s">
        <v>18</v>
      </c>
    </row>
    <row r="956" spans="1:22">
      <c r="A956" s="6"/>
      <c r="B956" s="251">
        <v>46225</v>
      </c>
      <c r="C956" s="251">
        <v>46225</v>
      </c>
      <c r="D956" s="177" t="s">
        <v>9038</v>
      </c>
      <c r="E956" s="177" t="s">
        <v>9039</v>
      </c>
      <c r="F956" s="177" t="s">
        <v>87</v>
      </c>
      <c r="G956" s="177" t="s">
        <v>2517</v>
      </c>
      <c r="H956" s="177">
        <v>92</v>
      </c>
      <c r="I956" s="177">
        <v>268</v>
      </c>
      <c r="J956" s="378">
        <v>268</v>
      </c>
      <c r="K956" s="177">
        <v>125</v>
      </c>
      <c r="L956" s="253">
        <v>1080</v>
      </c>
      <c r="M956" s="177" t="s">
        <v>153</v>
      </c>
      <c r="N956" s="177" t="s">
        <v>149</v>
      </c>
      <c r="O956" s="177" t="s">
        <v>154</v>
      </c>
      <c r="P956" s="177" t="s">
        <v>151</v>
      </c>
      <c r="Q956" s="177" t="s">
        <v>155</v>
      </c>
      <c r="R956" s="177" t="s">
        <v>9040</v>
      </c>
      <c r="S956" s="177"/>
      <c r="T956" s="177" t="s">
        <v>3212</v>
      </c>
      <c r="U956" s="177" t="s">
        <v>152</v>
      </c>
      <c r="V956" s="177" t="s">
        <v>18</v>
      </c>
    </row>
    <row r="957" spans="1:22">
      <c r="A957" s="6"/>
      <c r="B957" s="251">
        <v>46225</v>
      </c>
      <c r="C957" s="251">
        <v>46225</v>
      </c>
      <c r="D957" s="177" t="s">
        <v>9041</v>
      </c>
      <c r="E957" s="177" t="s">
        <v>9042</v>
      </c>
      <c r="F957" s="177" t="s">
        <v>87</v>
      </c>
      <c r="G957" s="177" t="s">
        <v>2517</v>
      </c>
      <c r="H957" s="177">
        <v>92</v>
      </c>
      <c r="I957" s="177">
        <v>192</v>
      </c>
      <c r="J957" s="378">
        <v>192</v>
      </c>
      <c r="K957" s="177">
        <v>125</v>
      </c>
      <c r="L957" s="253">
        <v>793</v>
      </c>
      <c r="M957" s="177" t="s">
        <v>153</v>
      </c>
      <c r="N957" s="177" t="s">
        <v>149</v>
      </c>
      <c r="O957" s="177" t="s">
        <v>154</v>
      </c>
      <c r="P957" s="177" t="s">
        <v>151</v>
      </c>
      <c r="Q957" s="177" t="s">
        <v>155</v>
      </c>
      <c r="R957" s="177" t="s">
        <v>9043</v>
      </c>
      <c r="S957" s="177"/>
      <c r="T957" s="177" t="s">
        <v>3212</v>
      </c>
      <c r="U957" s="177" t="s">
        <v>152</v>
      </c>
      <c r="V957" s="177" t="s">
        <v>18</v>
      </c>
    </row>
    <row r="958" spans="1:22">
      <c r="A958" s="6"/>
      <c r="B958" s="251">
        <v>46225</v>
      </c>
      <c r="C958" s="251">
        <v>46225</v>
      </c>
      <c r="D958" s="177" t="s">
        <v>9044</v>
      </c>
      <c r="E958" s="177" t="s">
        <v>9045</v>
      </c>
      <c r="F958" s="177" t="s">
        <v>87</v>
      </c>
      <c r="G958" s="177" t="s">
        <v>2517</v>
      </c>
      <c r="H958" s="177">
        <v>92</v>
      </c>
      <c r="I958" s="177">
        <v>263</v>
      </c>
      <c r="J958" s="378">
        <v>263</v>
      </c>
      <c r="K958" s="177">
        <v>125</v>
      </c>
      <c r="L958" s="253">
        <v>991</v>
      </c>
      <c r="M958" s="177" t="s">
        <v>153</v>
      </c>
      <c r="N958" s="177" t="s">
        <v>149</v>
      </c>
      <c r="O958" s="177" t="s">
        <v>154</v>
      </c>
      <c r="P958" s="177" t="s">
        <v>151</v>
      </c>
      <c r="Q958" s="177" t="s">
        <v>155</v>
      </c>
      <c r="R958" s="177" t="s">
        <v>9046</v>
      </c>
      <c r="S958" s="177"/>
      <c r="T958" s="177" t="s">
        <v>3212</v>
      </c>
      <c r="U958" s="177" t="s">
        <v>152</v>
      </c>
      <c r="V958" s="177" t="s">
        <v>18</v>
      </c>
    </row>
    <row r="959" spans="1:22">
      <c r="A959" s="6"/>
      <c r="B959" s="251">
        <v>46225</v>
      </c>
      <c r="C959" s="251">
        <v>46225</v>
      </c>
      <c r="D959" s="177" t="s">
        <v>9047</v>
      </c>
      <c r="E959" s="177" t="s">
        <v>9048</v>
      </c>
      <c r="F959" s="177" t="s">
        <v>87</v>
      </c>
      <c r="G959" s="177" t="s">
        <v>2517</v>
      </c>
      <c r="H959" s="177">
        <v>92</v>
      </c>
      <c r="I959" s="177">
        <v>202</v>
      </c>
      <c r="J959" s="378">
        <v>202</v>
      </c>
      <c r="K959" s="177">
        <v>125</v>
      </c>
      <c r="L959" s="253">
        <v>824</v>
      </c>
      <c r="M959" s="177" t="s">
        <v>153</v>
      </c>
      <c r="N959" s="177" t="s">
        <v>149</v>
      </c>
      <c r="O959" s="177" t="s">
        <v>154</v>
      </c>
      <c r="P959" s="177" t="s">
        <v>151</v>
      </c>
      <c r="Q959" s="177" t="s">
        <v>155</v>
      </c>
      <c r="R959" s="177" t="s">
        <v>9049</v>
      </c>
      <c r="S959" s="177"/>
      <c r="T959" s="177" t="s">
        <v>3212</v>
      </c>
      <c r="U959" s="177" t="s">
        <v>152</v>
      </c>
      <c r="V959" s="177" t="s">
        <v>18</v>
      </c>
    </row>
    <row r="960" spans="1:22">
      <c r="A960" s="6"/>
      <c r="B960" s="251">
        <v>46225</v>
      </c>
      <c r="C960" s="251">
        <v>46225</v>
      </c>
      <c r="D960" s="177" t="s">
        <v>9050</v>
      </c>
      <c r="E960" s="177" t="s">
        <v>9051</v>
      </c>
      <c r="F960" s="177" t="s">
        <v>87</v>
      </c>
      <c r="G960" s="177" t="s">
        <v>2517</v>
      </c>
      <c r="H960" s="177">
        <v>92</v>
      </c>
      <c r="I960" s="177">
        <v>250</v>
      </c>
      <c r="J960" s="378">
        <v>250</v>
      </c>
      <c r="K960" s="177">
        <v>125</v>
      </c>
      <c r="L960" s="253">
        <v>1108</v>
      </c>
      <c r="M960" s="177" t="s">
        <v>153</v>
      </c>
      <c r="N960" s="177" t="s">
        <v>149</v>
      </c>
      <c r="O960" s="177" t="s">
        <v>154</v>
      </c>
      <c r="P960" s="177" t="s">
        <v>151</v>
      </c>
      <c r="Q960" s="177" t="s">
        <v>155</v>
      </c>
      <c r="R960" s="177" t="s">
        <v>9052</v>
      </c>
      <c r="S960" s="177"/>
      <c r="T960" s="177" t="s">
        <v>3212</v>
      </c>
      <c r="U960" s="177" t="s">
        <v>152</v>
      </c>
      <c r="V960" s="177" t="s">
        <v>18</v>
      </c>
    </row>
    <row r="961" spans="1:22">
      <c r="A961" s="6"/>
      <c r="B961" s="251">
        <v>46225</v>
      </c>
      <c r="C961" s="251">
        <v>46225</v>
      </c>
      <c r="D961" s="177" t="s">
        <v>9053</v>
      </c>
      <c r="E961" s="177" t="s">
        <v>9054</v>
      </c>
      <c r="F961" s="177" t="s">
        <v>87</v>
      </c>
      <c r="G961" s="177" t="s">
        <v>2517</v>
      </c>
      <c r="H961" s="177">
        <v>92</v>
      </c>
      <c r="I961" s="177">
        <v>263</v>
      </c>
      <c r="J961" s="378">
        <v>263</v>
      </c>
      <c r="K961" s="177">
        <v>125</v>
      </c>
      <c r="L961" s="253">
        <v>1061</v>
      </c>
      <c r="M961" s="177" t="s">
        <v>153</v>
      </c>
      <c r="N961" s="177" t="s">
        <v>149</v>
      </c>
      <c r="O961" s="177" t="s">
        <v>154</v>
      </c>
      <c r="P961" s="177" t="s">
        <v>151</v>
      </c>
      <c r="Q961" s="177" t="s">
        <v>155</v>
      </c>
      <c r="R961" s="177" t="s">
        <v>9055</v>
      </c>
      <c r="S961" s="177"/>
      <c r="T961" s="177" t="s">
        <v>3212</v>
      </c>
      <c r="U961" s="177" t="s">
        <v>152</v>
      </c>
      <c r="V961" s="177" t="s">
        <v>18</v>
      </c>
    </row>
    <row r="962" spans="1:22">
      <c r="A962" s="6"/>
      <c r="B962" s="251">
        <v>46225</v>
      </c>
      <c r="C962" s="251">
        <v>46225</v>
      </c>
      <c r="D962" s="177" t="s">
        <v>9056</v>
      </c>
      <c r="E962" s="177" t="s">
        <v>9057</v>
      </c>
      <c r="F962" s="177" t="s">
        <v>87</v>
      </c>
      <c r="G962" s="177" t="s">
        <v>2517</v>
      </c>
      <c r="H962" s="177">
        <v>92</v>
      </c>
      <c r="I962" s="177">
        <v>271</v>
      </c>
      <c r="J962" s="378">
        <v>271</v>
      </c>
      <c r="K962" s="177">
        <v>125</v>
      </c>
      <c r="L962" s="253">
        <v>1073</v>
      </c>
      <c r="M962" s="177" t="s">
        <v>153</v>
      </c>
      <c r="N962" s="177" t="s">
        <v>149</v>
      </c>
      <c r="O962" s="177" t="s">
        <v>154</v>
      </c>
      <c r="P962" s="177" t="s">
        <v>151</v>
      </c>
      <c r="Q962" s="177" t="s">
        <v>155</v>
      </c>
      <c r="R962" s="177" t="s">
        <v>9058</v>
      </c>
      <c r="S962" s="177"/>
      <c r="T962" s="177" t="s">
        <v>3212</v>
      </c>
      <c r="U962" s="177" t="s">
        <v>152</v>
      </c>
      <c r="V962" s="177" t="s">
        <v>18</v>
      </c>
    </row>
    <row r="963" spans="1:22">
      <c r="A963" s="6"/>
      <c r="B963" s="251">
        <v>46225</v>
      </c>
      <c r="C963" s="251">
        <v>46225</v>
      </c>
      <c r="D963" s="177" t="s">
        <v>9059</v>
      </c>
      <c r="E963" s="177" t="s">
        <v>9060</v>
      </c>
      <c r="F963" s="177" t="s">
        <v>87</v>
      </c>
      <c r="G963" s="177" t="s">
        <v>2517</v>
      </c>
      <c r="H963" s="177">
        <v>92</v>
      </c>
      <c r="I963" s="177">
        <v>260</v>
      </c>
      <c r="J963" s="378">
        <v>260</v>
      </c>
      <c r="K963" s="177">
        <v>125</v>
      </c>
      <c r="L963" s="253">
        <v>1053</v>
      </c>
      <c r="M963" s="177" t="s">
        <v>153</v>
      </c>
      <c r="N963" s="177" t="s">
        <v>149</v>
      </c>
      <c r="O963" s="177" t="s">
        <v>154</v>
      </c>
      <c r="P963" s="177" t="s">
        <v>151</v>
      </c>
      <c r="Q963" s="177" t="s">
        <v>155</v>
      </c>
      <c r="R963" s="177" t="s">
        <v>9061</v>
      </c>
      <c r="S963" s="177"/>
      <c r="T963" s="177" t="s">
        <v>3212</v>
      </c>
      <c r="U963" s="177" t="s">
        <v>152</v>
      </c>
      <c r="V963" s="177" t="s">
        <v>18</v>
      </c>
    </row>
    <row r="964" spans="1:22">
      <c r="A964" s="6"/>
      <c r="B964" s="251">
        <v>46225</v>
      </c>
      <c r="C964" s="251">
        <v>46225</v>
      </c>
      <c r="D964" s="177" t="s">
        <v>9062</v>
      </c>
      <c r="E964" s="177" t="s">
        <v>9063</v>
      </c>
      <c r="F964" s="177" t="s">
        <v>87</v>
      </c>
      <c r="G964" s="177" t="s">
        <v>2517</v>
      </c>
      <c r="H964" s="177">
        <v>92</v>
      </c>
      <c r="I964" s="177">
        <v>235</v>
      </c>
      <c r="J964" s="378">
        <v>235</v>
      </c>
      <c r="K964" s="177">
        <v>125</v>
      </c>
      <c r="L964" s="253">
        <v>961</v>
      </c>
      <c r="M964" s="177" t="s">
        <v>153</v>
      </c>
      <c r="N964" s="177" t="s">
        <v>149</v>
      </c>
      <c r="O964" s="177" t="s">
        <v>154</v>
      </c>
      <c r="P964" s="177" t="s">
        <v>151</v>
      </c>
      <c r="Q964" s="177" t="s">
        <v>155</v>
      </c>
      <c r="R964" s="177" t="s">
        <v>9064</v>
      </c>
      <c r="S964" s="177"/>
      <c r="T964" s="177" t="s">
        <v>3212</v>
      </c>
      <c r="U964" s="177" t="s">
        <v>152</v>
      </c>
      <c r="V964" s="177" t="s">
        <v>18</v>
      </c>
    </row>
    <row r="965" spans="1:22">
      <c r="A965" s="6"/>
      <c r="B965" s="251">
        <v>46225</v>
      </c>
      <c r="C965" s="251">
        <v>46225</v>
      </c>
      <c r="D965" s="177" t="s">
        <v>9065</v>
      </c>
      <c r="E965" s="177" t="s">
        <v>9066</v>
      </c>
      <c r="F965" s="177" t="s">
        <v>87</v>
      </c>
      <c r="G965" s="177" t="s">
        <v>2517</v>
      </c>
      <c r="H965" s="177">
        <v>92</v>
      </c>
      <c r="I965" s="177">
        <v>196</v>
      </c>
      <c r="J965" s="378">
        <v>196</v>
      </c>
      <c r="K965" s="177">
        <v>125</v>
      </c>
      <c r="L965" s="253">
        <v>729</v>
      </c>
      <c r="M965" s="177" t="s">
        <v>153</v>
      </c>
      <c r="N965" s="177" t="s">
        <v>149</v>
      </c>
      <c r="O965" s="177" t="s">
        <v>154</v>
      </c>
      <c r="P965" s="177" t="s">
        <v>151</v>
      </c>
      <c r="Q965" s="177" t="s">
        <v>155</v>
      </c>
      <c r="R965" s="177" t="s">
        <v>9067</v>
      </c>
      <c r="S965" s="177"/>
      <c r="T965" s="177" t="s">
        <v>3212</v>
      </c>
      <c r="U965" s="177" t="s">
        <v>152</v>
      </c>
      <c r="V965" s="177" t="s">
        <v>18</v>
      </c>
    </row>
    <row r="966" spans="1:22">
      <c r="A966" s="6"/>
      <c r="B966" s="251">
        <v>46226</v>
      </c>
      <c r="C966" s="251">
        <v>46226</v>
      </c>
      <c r="D966" s="177" t="s">
        <v>9068</v>
      </c>
      <c r="E966" s="177">
        <v>260101420778</v>
      </c>
      <c r="F966" s="177" t="s">
        <v>87</v>
      </c>
      <c r="G966" s="177" t="s">
        <v>859</v>
      </c>
      <c r="H966" s="177">
        <v>152</v>
      </c>
      <c r="I966" s="177">
        <v>233</v>
      </c>
      <c r="J966" s="378">
        <v>233</v>
      </c>
      <c r="K966" s="177">
        <v>104</v>
      </c>
      <c r="L966" s="253">
        <v>1500</v>
      </c>
      <c r="M966" s="177" t="s">
        <v>153</v>
      </c>
      <c r="N966" s="177" t="s">
        <v>149</v>
      </c>
      <c r="O966" s="177" t="s">
        <v>154</v>
      </c>
      <c r="P966" s="177" t="s">
        <v>151</v>
      </c>
      <c r="Q966" s="177" t="s">
        <v>155</v>
      </c>
      <c r="R966" s="177" t="s">
        <v>9069</v>
      </c>
      <c r="S966" s="177"/>
      <c r="T966" s="177" t="s">
        <v>3210</v>
      </c>
      <c r="U966" s="177" t="s">
        <v>152</v>
      </c>
      <c r="V966" s="177" t="s">
        <v>18</v>
      </c>
    </row>
    <row r="967" spans="1:22">
      <c r="A967" s="6"/>
      <c r="B967" s="251">
        <v>46226</v>
      </c>
      <c r="C967" s="251">
        <v>46226</v>
      </c>
      <c r="D967" s="177" t="s">
        <v>9070</v>
      </c>
      <c r="E967" s="177">
        <v>260105320811</v>
      </c>
      <c r="F967" s="177" t="s">
        <v>87</v>
      </c>
      <c r="G967" s="177" t="s">
        <v>859</v>
      </c>
      <c r="H967" s="177">
        <v>152</v>
      </c>
      <c r="I967" s="177">
        <v>260</v>
      </c>
      <c r="J967" s="378">
        <v>260</v>
      </c>
      <c r="K967" s="177">
        <v>104</v>
      </c>
      <c r="L967" s="253">
        <v>1685</v>
      </c>
      <c r="M967" s="177" t="s">
        <v>153</v>
      </c>
      <c r="N967" s="177" t="s">
        <v>149</v>
      </c>
      <c r="O967" s="177" t="s">
        <v>154</v>
      </c>
      <c r="P967" s="177" t="s">
        <v>151</v>
      </c>
      <c r="Q967" s="177" t="s">
        <v>155</v>
      </c>
      <c r="R967" s="177" t="s">
        <v>9071</v>
      </c>
      <c r="S967" s="177"/>
      <c r="T967" s="177" t="s">
        <v>3210</v>
      </c>
      <c r="U967" s="177" t="s">
        <v>152</v>
      </c>
      <c r="V967" s="177" t="s">
        <v>18</v>
      </c>
    </row>
    <row r="968" spans="1:22">
      <c r="A968" s="6"/>
      <c r="B968" s="251">
        <v>46226</v>
      </c>
      <c r="C968" s="251">
        <v>46226</v>
      </c>
      <c r="D968" s="177" t="s">
        <v>9072</v>
      </c>
      <c r="E968" s="177">
        <v>260103320815</v>
      </c>
      <c r="F968" s="177" t="s">
        <v>87</v>
      </c>
      <c r="G968" s="177" t="s">
        <v>2641</v>
      </c>
      <c r="H968" s="177">
        <v>160</v>
      </c>
      <c r="I968" s="177">
        <v>247</v>
      </c>
      <c r="J968" s="378">
        <v>247</v>
      </c>
      <c r="K968" s="177">
        <v>102</v>
      </c>
      <c r="L968" s="253">
        <v>1500</v>
      </c>
      <c r="M968" s="177" t="s">
        <v>153</v>
      </c>
      <c r="N968" s="177" t="s">
        <v>149</v>
      </c>
      <c r="O968" s="177" t="s">
        <v>154</v>
      </c>
      <c r="P968" s="177" t="s">
        <v>151</v>
      </c>
      <c r="Q968" s="177" t="s">
        <v>155</v>
      </c>
      <c r="R968" s="177" t="s">
        <v>9073</v>
      </c>
      <c r="S968" s="177"/>
      <c r="T968" s="177" t="s">
        <v>3210</v>
      </c>
      <c r="U968" s="177" t="s">
        <v>152</v>
      </c>
      <c r="V968" s="177" t="s">
        <v>18</v>
      </c>
    </row>
    <row r="969" spans="1:22">
      <c r="A969" s="6"/>
      <c r="B969" s="251">
        <v>46226</v>
      </c>
      <c r="C969" s="251">
        <v>46226</v>
      </c>
      <c r="D969" s="177" t="s">
        <v>9074</v>
      </c>
      <c r="E969" s="177">
        <v>260102720782</v>
      </c>
      <c r="F969" s="177" t="s">
        <v>87</v>
      </c>
      <c r="G969" s="177" t="s">
        <v>2554</v>
      </c>
      <c r="H969" s="177">
        <v>102</v>
      </c>
      <c r="I969" s="177">
        <v>253</v>
      </c>
      <c r="J969" s="378">
        <v>253</v>
      </c>
      <c r="K969" s="177">
        <v>125</v>
      </c>
      <c r="L969" s="253">
        <v>1000</v>
      </c>
      <c r="M969" s="177" t="s">
        <v>153</v>
      </c>
      <c r="N969" s="177" t="s">
        <v>149</v>
      </c>
      <c r="O969" s="177" t="s">
        <v>154</v>
      </c>
      <c r="P969" s="177" t="s">
        <v>151</v>
      </c>
      <c r="Q969" s="177" t="s">
        <v>155</v>
      </c>
      <c r="R969" s="177" t="s">
        <v>9075</v>
      </c>
      <c r="S969" s="177"/>
      <c r="T969" s="177" t="s">
        <v>3210</v>
      </c>
      <c r="U969" s="177" t="s">
        <v>152</v>
      </c>
      <c r="V969" s="177" t="s">
        <v>18</v>
      </c>
    </row>
    <row r="970" spans="1:22">
      <c r="A970" s="6"/>
      <c r="B970" s="251">
        <v>46226</v>
      </c>
      <c r="C970" s="251">
        <v>46226</v>
      </c>
      <c r="D970" s="177" t="s">
        <v>9076</v>
      </c>
      <c r="E970" s="177">
        <v>260101520781</v>
      </c>
      <c r="F970" s="177" t="s">
        <v>87</v>
      </c>
      <c r="G970" s="177" t="s">
        <v>2120</v>
      </c>
      <c r="H970" s="177">
        <v>92</v>
      </c>
      <c r="I970" s="177">
        <v>354</v>
      </c>
      <c r="J970" s="378">
        <v>354</v>
      </c>
      <c r="K970" s="177">
        <v>180</v>
      </c>
      <c r="L970" s="253">
        <v>1060</v>
      </c>
      <c r="M970" s="177" t="s">
        <v>153</v>
      </c>
      <c r="N970" s="177" t="s">
        <v>149</v>
      </c>
      <c r="O970" s="177" t="s">
        <v>154</v>
      </c>
      <c r="P970" s="177" t="s">
        <v>151</v>
      </c>
      <c r="Q970" s="177" t="s">
        <v>155</v>
      </c>
      <c r="R970" s="177" t="s">
        <v>9077</v>
      </c>
      <c r="S970" s="177"/>
      <c r="T970" s="177" t="s">
        <v>3210</v>
      </c>
      <c r="U970" s="177" t="s">
        <v>152</v>
      </c>
      <c r="V970" s="177" t="s">
        <v>18</v>
      </c>
    </row>
    <row r="971" spans="1:22">
      <c r="A971" s="6"/>
      <c r="B971" s="251">
        <v>46226</v>
      </c>
      <c r="C971" s="251">
        <v>46226</v>
      </c>
      <c r="D971" s="177" t="s">
        <v>9078</v>
      </c>
      <c r="E971" s="177">
        <v>260101720822</v>
      </c>
      <c r="F971" s="177" t="s">
        <v>87</v>
      </c>
      <c r="G971" s="177" t="s">
        <v>2408</v>
      </c>
      <c r="H971" s="177">
        <v>95</v>
      </c>
      <c r="I971" s="177">
        <v>249</v>
      </c>
      <c r="J971" s="378">
        <v>249</v>
      </c>
      <c r="K971" s="177">
        <v>134</v>
      </c>
      <c r="L971" s="253">
        <v>1000</v>
      </c>
      <c r="M971" s="177" t="s">
        <v>153</v>
      </c>
      <c r="N971" s="177" t="s">
        <v>149</v>
      </c>
      <c r="O971" s="177" t="s">
        <v>154</v>
      </c>
      <c r="P971" s="177" t="s">
        <v>151</v>
      </c>
      <c r="Q971" s="177" t="s">
        <v>155</v>
      </c>
      <c r="R971" s="177" t="s">
        <v>9079</v>
      </c>
      <c r="S971" s="177"/>
      <c r="T971" s="177" t="s">
        <v>3210</v>
      </c>
      <c r="U971" s="177" t="s">
        <v>152</v>
      </c>
      <c r="V971" s="177" t="s">
        <v>18</v>
      </c>
    </row>
    <row r="972" spans="1:22">
      <c r="A972" s="6"/>
      <c r="B972" s="251">
        <v>46226</v>
      </c>
      <c r="C972" s="251">
        <v>46226</v>
      </c>
      <c r="D972" s="177" t="s">
        <v>9080</v>
      </c>
      <c r="E972" s="177">
        <v>260100420827</v>
      </c>
      <c r="F972" s="177" t="s">
        <v>87</v>
      </c>
      <c r="G972" s="177" t="s">
        <v>7130</v>
      </c>
      <c r="H972" s="177">
        <v>182</v>
      </c>
      <c r="I972" s="177">
        <v>438</v>
      </c>
      <c r="J972" s="378">
        <v>438</v>
      </c>
      <c r="K972" s="177">
        <v>190</v>
      </c>
      <c r="L972" s="253">
        <v>650</v>
      </c>
      <c r="M972" s="177" t="s">
        <v>153</v>
      </c>
      <c r="N972" s="177" t="s">
        <v>149</v>
      </c>
      <c r="O972" s="177" t="s">
        <v>154</v>
      </c>
      <c r="P972" s="177" t="s">
        <v>151</v>
      </c>
      <c r="Q972" s="177" t="s">
        <v>155</v>
      </c>
      <c r="R972" s="177" t="s">
        <v>9081</v>
      </c>
      <c r="S972" s="177"/>
      <c r="T972" s="177" t="s">
        <v>3210</v>
      </c>
      <c r="U972" s="177" t="s">
        <v>152</v>
      </c>
      <c r="V972" s="177" t="s">
        <v>18</v>
      </c>
    </row>
    <row r="973" spans="1:22">
      <c r="A973" s="6"/>
      <c r="B973" s="251">
        <v>46226</v>
      </c>
      <c r="C973" s="251">
        <v>46226</v>
      </c>
      <c r="D973" s="177" t="s">
        <v>9082</v>
      </c>
      <c r="E973" s="177">
        <v>260105120792</v>
      </c>
      <c r="F973" s="177" t="s">
        <v>87</v>
      </c>
      <c r="G973" s="177" t="s">
        <v>8881</v>
      </c>
      <c r="H973" s="177">
        <v>162</v>
      </c>
      <c r="I973" s="177">
        <v>272</v>
      </c>
      <c r="J973" s="378">
        <v>272</v>
      </c>
      <c r="K973" s="177">
        <v>102</v>
      </c>
      <c r="L973" s="253">
        <v>1650</v>
      </c>
      <c r="M973" s="177" t="s">
        <v>153</v>
      </c>
      <c r="N973" s="177" t="s">
        <v>149</v>
      </c>
      <c r="O973" s="177" t="s">
        <v>154</v>
      </c>
      <c r="P973" s="177" t="s">
        <v>151</v>
      </c>
      <c r="Q973" s="177" t="s">
        <v>155</v>
      </c>
      <c r="R973" s="177" t="s">
        <v>9083</v>
      </c>
      <c r="S973" s="177"/>
      <c r="T973" s="177" t="s">
        <v>3210</v>
      </c>
      <c r="U973" s="177" t="s">
        <v>152</v>
      </c>
      <c r="V973" s="177" t="s">
        <v>18</v>
      </c>
    </row>
    <row r="974" spans="1:22">
      <c r="A974" s="6"/>
      <c r="B974" s="251">
        <v>46226</v>
      </c>
      <c r="C974" s="251">
        <v>46226</v>
      </c>
      <c r="D974" s="177" t="s">
        <v>9084</v>
      </c>
      <c r="E974" s="177">
        <v>260106120804</v>
      </c>
      <c r="F974" s="177" t="s">
        <v>87</v>
      </c>
      <c r="G974" s="177" t="s">
        <v>2310</v>
      </c>
      <c r="H974" s="177">
        <v>125</v>
      </c>
      <c r="I974" s="177">
        <v>209</v>
      </c>
      <c r="J974" s="378">
        <v>209</v>
      </c>
      <c r="K974" s="177">
        <v>87</v>
      </c>
      <c r="L974" s="253">
        <v>1990</v>
      </c>
      <c r="M974" s="177" t="s">
        <v>153</v>
      </c>
      <c r="N974" s="177" t="s">
        <v>149</v>
      </c>
      <c r="O974" s="177" t="s">
        <v>154</v>
      </c>
      <c r="P974" s="177" t="s">
        <v>151</v>
      </c>
      <c r="Q974" s="177" t="s">
        <v>155</v>
      </c>
      <c r="R974" s="177" t="s">
        <v>9085</v>
      </c>
      <c r="S974" s="177"/>
      <c r="T974" s="177" t="s">
        <v>3210</v>
      </c>
      <c r="U974" s="177" t="s">
        <v>152</v>
      </c>
      <c r="V974" s="177" t="s">
        <v>18</v>
      </c>
    </row>
    <row r="975" spans="1:22">
      <c r="A975" s="6"/>
      <c r="B975" s="251">
        <v>46226</v>
      </c>
      <c r="C975" s="251">
        <v>46226</v>
      </c>
      <c r="D975" s="177" t="s">
        <v>9086</v>
      </c>
      <c r="E975" s="177">
        <v>260103320816</v>
      </c>
      <c r="F975" s="177" t="s">
        <v>87</v>
      </c>
      <c r="G975" s="177" t="s">
        <v>2641</v>
      </c>
      <c r="H975" s="177">
        <v>160</v>
      </c>
      <c r="I975" s="253">
        <v>243</v>
      </c>
      <c r="J975" s="380">
        <v>243</v>
      </c>
      <c r="K975" s="177">
        <v>102</v>
      </c>
      <c r="L975" s="253">
        <v>1500</v>
      </c>
      <c r="M975" s="177" t="s">
        <v>153</v>
      </c>
      <c r="N975" s="177" t="s">
        <v>149</v>
      </c>
      <c r="O975" s="177" t="s">
        <v>154</v>
      </c>
      <c r="P975" s="177" t="s">
        <v>151</v>
      </c>
      <c r="Q975" s="177" t="s">
        <v>155</v>
      </c>
      <c r="R975" s="177" t="s">
        <v>9087</v>
      </c>
      <c r="S975" s="177"/>
      <c r="T975" s="177" t="s">
        <v>3210</v>
      </c>
      <c r="U975" s="177" t="s">
        <v>152</v>
      </c>
      <c r="V975" s="177" t="s">
        <v>18</v>
      </c>
    </row>
    <row r="976" spans="1:22">
      <c r="A976" s="6"/>
      <c r="B976" s="251">
        <v>46226</v>
      </c>
      <c r="C976" s="251">
        <v>46226</v>
      </c>
      <c r="D976" s="177" t="s">
        <v>9088</v>
      </c>
      <c r="E976" s="177">
        <v>260103420818</v>
      </c>
      <c r="F976" s="177" t="s">
        <v>87</v>
      </c>
      <c r="G976" s="177" t="s">
        <v>859</v>
      </c>
      <c r="H976" s="177">
        <v>152</v>
      </c>
      <c r="I976" s="177">
        <v>242</v>
      </c>
      <c r="J976" s="378">
        <v>242</v>
      </c>
      <c r="K976" s="177">
        <v>104</v>
      </c>
      <c r="L976" s="253">
        <v>1570</v>
      </c>
      <c r="M976" s="177" t="s">
        <v>153</v>
      </c>
      <c r="N976" s="177" t="s">
        <v>149</v>
      </c>
      <c r="O976" s="177" t="s">
        <v>154</v>
      </c>
      <c r="P976" s="177" t="s">
        <v>151</v>
      </c>
      <c r="Q976" s="177" t="s">
        <v>155</v>
      </c>
      <c r="R976" s="177" t="s">
        <v>9089</v>
      </c>
      <c r="S976" s="177"/>
      <c r="T976" s="177" t="s">
        <v>3210</v>
      </c>
      <c r="U976" s="177" t="s">
        <v>152</v>
      </c>
      <c r="V976" s="177" t="s">
        <v>18</v>
      </c>
    </row>
    <row r="977" spans="1:22">
      <c r="A977" s="6"/>
      <c r="B977" s="251">
        <v>46226</v>
      </c>
      <c r="C977" s="251">
        <v>46226</v>
      </c>
      <c r="D977" s="177" t="s">
        <v>9090</v>
      </c>
      <c r="E977" s="177">
        <v>260100920826</v>
      </c>
      <c r="F977" s="177" t="s">
        <v>87</v>
      </c>
      <c r="G977" s="177" t="s">
        <v>7130</v>
      </c>
      <c r="H977" s="177">
        <v>182</v>
      </c>
      <c r="I977" s="177">
        <v>341</v>
      </c>
      <c r="J977" s="378">
        <v>341</v>
      </c>
      <c r="K977" s="177">
        <v>190</v>
      </c>
      <c r="L977" s="253">
        <v>500</v>
      </c>
      <c r="M977" s="177" t="s">
        <v>153</v>
      </c>
      <c r="N977" s="177" t="s">
        <v>149</v>
      </c>
      <c r="O977" s="177" t="s">
        <v>154</v>
      </c>
      <c r="P977" s="177" t="s">
        <v>151</v>
      </c>
      <c r="Q977" s="177" t="s">
        <v>155</v>
      </c>
      <c r="R977" s="177" t="s">
        <v>9091</v>
      </c>
      <c r="S977" s="177"/>
      <c r="T977" s="177" t="s">
        <v>3210</v>
      </c>
      <c r="U977" s="177" t="s">
        <v>152</v>
      </c>
      <c r="V977" s="177" t="s">
        <v>18</v>
      </c>
    </row>
    <row r="978" spans="1:22">
      <c r="A978" s="6"/>
      <c r="B978" s="251">
        <v>46226</v>
      </c>
      <c r="C978" s="251">
        <v>46226</v>
      </c>
      <c r="D978" s="177" t="s">
        <v>9092</v>
      </c>
      <c r="E978" s="177">
        <v>260100520828</v>
      </c>
      <c r="F978" s="177" t="s">
        <v>87</v>
      </c>
      <c r="G978" s="177" t="s">
        <v>8900</v>
      </c>
      <c r="H978" s="177">
        <v>182</v>
      </c>
      <c r="I978" s="177">
        <v>396</v>
      </c>
      <c r="J978" s="378">
        <v>396</v>
      </c>
      <c r="K978" s="177">
        <v>180</v>
      </c>
      <c r="L978" s="253">
        <v>620</v>
      </c>
      <c r="M978" s="177" t="s">
        <v>153</v>
      </c>
      <c r="N978" s="177" t="s">
        <v>149</v>
      </c>
      <c r="O978" s="177" t="s">
        <v>154</v>
      </c>
      <c r="P978" s="177" t="s">
        <v>151</v>
      </c>
      <c r="Q978" s="177" t="s">
        <v>155</v>
      </c>
      <c r="R978" s="177" t="s">
        <v>9093</v>
      </c>
      <c r="S978" s="177"/>
      <c r="T978" s="177" t="s">
        <v>3210</v>
      </c>
      <c r="U978" s="177" t="s">
        <v>152</v>
      </c>
      <c r="V978" s="177" t="s">
        <v>18</v>
      </c>
    </row>
    <row r="979" spans="1:22">
      <c r="A979" s="6"/>
      <c r="B979" s="251">
        <v>46226</v>
      </c>
      <c r="C979" s="251">
        <v>46226</v>
      </c>
      <c r="D979" s="177" t="s">
        <v>9094</v>
      </c>
      <c r="E979" s="177">
        <v>260105020791</v>
      </c>
      <c r="F979" s="177" t="s">
        <v>87</v>
      </c>
      <c r="G979" s="177" t="s">
        <v>2641</v>
      </c>
      <c r="H979" s="177">
        <v>162</v>
      </c>
      <c r="I979" s="177">
        <v>294</v>
      </c>
      <c r="J979" s="378">
        <v>294</v>
      </c>
      <c r="K979" s="177">
        <v>102</v>
      </c>
      <c r="L979" s="253">
        <v>1810</v>
      </c>
      <c r="M979" s="177" t="s">
        <v>153</v>
      </c>
      <c r="N979" s="177" t="s">
        <v>149</v>
      </c>
      <c r="O979" s="177" t="s">
        <v>154</v>
      </c>
      <c r="P979" s="177" t="s">
        <v>151</v>
      </c>
      <c r="Q979" s="177" t="s">
        <v>155</v>
      </c>
      <c r="R979" s="177" t="s">
        <v>9095</v>
      </c>
      <c r="S979" s="177"/>
      <c r="T979" s="177" t="s">
        <v>3210</v>
      </c>
      <c r="U979" s="177" t="s">
        <v>152</v>
      </c>
      <c r="V979" s="177" t="s">
        <v>18</v>
      </c>
    </row>
    <row r="980" spans="1:22">
      <c r="A980" s="6"/>
      <c r="B980" s="251">
        <v>46226</v>
      </c>
      <c r="C980" s="251">
        <v>46226</v>
      </c>
      <c r="D980" s="177" t="s">
        <v>9096</v>
      </c>
      <c r="E980" s="177">
        <v>260105220810</v>
      </c>
      <c r="F980" s="177" t="s">
        <v>87</v>
      </c>
      <c r="G980" s="177" t="s">
        <v>8347</v>
      </c>
      <c r="H980" s="177">
        <v>152</v>
      </c>
      <c r="I980" s="177">
        <v>259</v>
      </c>
      <c r="J980" s="378">
        <v>259</v>
      </c>
      <c r="K980" s="177">
        <v>104</v>
      </c>
      <c r="L980" s="253">
        <v>1695</v>
      </c>
      <c r="M980" s="177" t="s">
        <v>153</v>
      </c>
      <c r="N980" s="177" t="s">
        <v>149</v>
      </c>
      <c r="O980" s="177" t="s">
        <v>154</v>
      </c>
      <c r="P980" s="177" t="s">
        <v>151</v>
      </c>
      <c r="Q980" s="177" t="s">
        <v>155</v>
      </c>
      <c r="R980" s="177" t="s">
        <v>9097</v>
      </c>
      <c r="S980" s="177"/>
      <c r="T980" s="177" t="s">
        <v>3210</v>
      </c>
      <c r="U980" s="177" t="s">
        <v>152</v>
      </c>
      <c r="V980" s="177" t="s">
        <v>18</v>
      </c>
    </row>
    <row r="981" spans="1:22">
      <c r="A981" s="6"/>
      <c r="B981" s="251">
        <v>46226</v>
      </c>
      <c r="C981" s="251">
        <v>46226</v>
      </c>
      <c r="D981" s="177" t="s">
        <v>9098</v>
      </c>
      <c r="E981" s="177">
        <v>260102820819</v>
      </c>
      <c r="F981" s="177" t="s">
        <v>87</v>
      </c>
      <c r="G981" s="177" t="s">
        <v>2554</v>
      </c>
      <c r="H981" s="177">
        <v>102</v>
      </c>
      <c r="I981" s="177">
        <v>242</v>
      </c>
      <c r="J981" s="378">
        <v>242</v>
      </c>
      <c r="K981" s="177">
        <v>125</v>
      </c>
      <c r="L981" s="253">
        <v>1000</v>
      </c>
      <c r="M981" s="177" t="s">
        <v>153</v>
      </c>
      <c r="N981" s="177" t="s">
        <v>149</v>
      </c>
      <c r="O981" s="177" t="s">
        <v>154</v>
      </c>
      <c r="P981" s="177" t="s">
        <v>151</v>
      </c>
      <c r="Q981" s="177" t="s">
        <v>155</v>
      </c>
      <c r="R981" s="177" t="s">
        <v>9099</v>
      </c>
      <c r="S981" s="177"/>
      <c r="T981" s="177" t="s">
        <v>3210</v>
      </c>
      <c r="U981" s="177" t="s">
        <v>152</v>
      </c>
      <c r="V981" s="177" t="s">
        <v>18</v>
      </c>
    </row>
    <row r="982" spans="1:22">
      <c r="A982" s="6"/>
      <c r="B982" s="251">
        <v>46226</v>
      </c>
      <c r="C982" s="251">
        <v>46226</v>
      </c>
      <c r="D982" s="177" t="s">
        <v>9100</v>
      </c>
      <c r="E982" s="177">
        <v>260101620821</v>
      </c>
      <c r="F982" s="177" t="s">
        <v>87</v>
      </c>
      <c r="G982" s="177" t="s">
        <v>2120</v>
      </c>
      <c r="H982" s="177">
        <v>112</v>
      </c>
      <c r="I982" s="177">
        <v>393</v>
      </c>
      <c r="J982" s="378">
        <v>393</v>
      </c>
      <c r="K982" s="177">
        <v>180</v>
      </c>
      <c r="L982" s="253">
        <v>1000</v>
      </c>
      <c r="M982" s="177" t="s">
        <v>153</v>
      </c>
      <c r="N982" s="177" t="s">
        <v>149</v>
      </c>
      <c r="O982" s="177" t="s">
        <v>154</v>
      </c>
      <c r="P982" s="177" t="s">
        <v>151</v>
      </c>
      <c r="Q982" s="177" t="s">
        <v>155</v>
      </c>
      <c r="R982" s="177" t="s">
        <v>9101</v>
      </c>
      <c r="S982" s="177"/>
      <c r="T982" s="177" t="s">
        <v>3210</v>
      </c>
      <c r="U982" s="177" t="s">
        <v>152</v>
      </c>
      <c r="V982" s="177" t="s">
        <v>18</v>
      </c>
    </row>
    <row r="983" spans="1:22">
      <c r="A983" s="6"/>
      <c r="B983" s="251">
        <v>46226</v>
      </c>
      <c r="C983" s="251">
        <v>46226</v>
      </c>
      <c r="D983" s="177" t="s">
        <v>9102</v>
      </c>
      <c r="E983" s="177">
        <v>260105520793</v>
      </c>
      <c r="F983" s="177" t="s">
        <v>87</v>
      </c>
      <c r="G983" s="177" t="s">
        <v>8546</v>
      </c>
      <c r="H983" s="177">
        <v>162</v>
      </c>
      <c r="I983" s="177">
        <v>141</v>
      </c>
      <c r="J983" s="378">
        <v>141</v>
      </c>
      <c r="K983" s="177">
        <v>77</v>
      </c>
      <c r="L983" s="253">
        <v>1180</v>
      </c>
      <c r="M983" s="177" t="s">
        <v>153</v>
      </c>
      <c r="N983" s="177" t="s">
        <v>149</v>
      </c>
      <c r="O983" s="177" t="s">
        <v>154</v>
      </c>
      <c r="P983" s="177" t="s">
        <v>151</v>
      </c>
      <c r="Q983" s="177" t="s">
        <v>155</v>
      </c>
      <c r="R983" s="177" t="s">
        <v>9103</v>
      </c>
      <c r="S983" s="177"/>
      <c r="T983" s="177" t="s">
        <v>3210</v>
      </c>
      <c r="U983" s="177" t="s">
        <v>152</v>
      </c>
      <c r="V983" s="177" t="s">
        <v>18</v>
      </c>
    </row>
    <row r="984" spans="1:22">
      <c r="A984" s="6"/>
      <c r="B984" s="251">
        <v>46226</v>
      </c>
      <c r="C984" s="251">
        <v>46226</v>
      </c>
      <c r="D984" s="177" t="s">
        <v>9104</v>
      </c>
      <c r="E984" s="177">
        <v>260107620800</v>
      </c>
      <c r="F984" s="177" t="s">
        <v>87</v>
      </c>
      <c r="G984" s="177" t="s">
        <v>2310</v>
      </c>
      <c r="H984" s="177">
        <v>125</v>
      </c>
      <c r="I984" s="177">
        <v>291</v>
      </c>
      <c r="J984" s="378">
        <v>291</v>
      </c>
      <c r="K984" s="177">
        <v>87</v>
      </c>
      <c r="L984" s="253">
        <v>2770</v>
      </c>
      <c r="M984" s="177" t="s">
        <v>153</v>
      </c>
      <c r="N984" s="177" t="s">
        <v>149</v>
      </c>
      <c r="O984" s="177" t="s">
        <v>154</v>
      </c>
      <c r="P984" s="177" t="s">
        <v>151</v>
      </c>
      <c r="Q984" s="177" t="s">
        <v>155</v>
      </c>
      <c r="R984" s="177" t="s">
        <v>9105</v>
      </c>
      <c r="S984" s="177"/>
      <c r="T984" s="177" t="s">
        <v>3210</v>
      </c>
      <c r="U984" s="177" t="s">
        <v>152</v>
      </c>
      <c r="V984" s="177" t="s">
        <v>18</v>
      </c>
    </row>
    <row r="985" spans="1:22">
      <c r="A985" s="6"/>
      <c r="B985" s="251">
        <v>46226</v>
      </c>
      <c r="C985" s="251">
        <v>46226</v>
      </c>
      <c r="D985" s="177" t="s">
        <v>9106</v>
      </c>
      <c r="E985" s="177">
        <v>260105420812</v>
      </c>
      <c r="F985" s="177" t="s">
        <v>87</v>
      </c>
      <c r="G985" s="177" t="s">
        <v>2310</v>
      </c>
      <c r="H985" s="177">
        <v>125</v>
      </c>
      <c r="I985" s="177">
        <v>179</v>
      </c>
      <c r="J985" s="378">
        <v>179</v>
      </c>
      <c r="K985" s="177">
        <v>87</v>
      </c>
      <c r="L985" s="253">
        <v>1695</v>
      </c>
      <c r="M985" s="177" t="s">
        <v>153</v>
      </c>
      <c r="N985" s="177" t="s">
        <v>149</v>
      </c>
      <c r="O985" s="177" t="s">
        <v>154</v>
      </c>
      <c r="P985" s="177" t="s">
        <v>151</v>
      </c>
      <c r="Q985" s="177" t="s">
        <v>155</v>
      </c>
      <c r="R985" s="177" t="s">
        <v>9107</v>
      </c>
      <c r="S985" s="177"/>
      <c r="T985" s="177" t="s">
        <v>3210</v>
      </c>
      <c r="U985" s="177" t="s">
        <v>152</v>
      </c>
      <c r="V985" s="177" t="s">
        <v>18</v>
      </c>
    </row>
    <row r="986" spans="1:22">
      <c r="A986" s="6"/>
      <c r="B986" s="251">
        <v>46226</v>
      </c>
      <c r="C986" s="251">
        <v>46226</v>
      </c>
      <c r="D986" s="177" t="s">
        <v>9108</v>
      </c>
      <c r="E986" s="177">
        <v>260100720825</v>
      </c>
      <c r="F986" s="177" t="s">
        <v>87</v>
      </c>
      <c r="G986" s="177" t="s">
        <v>2120</v>
      </c>
      <c r="H986" s="177">
        <v>145</v>
      </c>
      <c r="I986" s="177">
        <v>415</v>
      </c>
      <c r="J986" s="378">
        <v>415</v>
      </c>
      <c r="K986" s="177">
        <v>180</v>
      </c>
      <c r="L986" s="253">
        <v>800</v>
      </c>
      <c r="M986" s="177" t="s">
        <v>153</v>
      </c>
      <c r="N986" s="177" t="s">
        <v>149</v>
      </c>
      <c r="O986" s="177" t="s">
        <v>154</v>
      </c>
      <c r="P986" s="177" t="s">
        <v>151</v>
      </c>
      <c r="Q986" s="177" t="s">
        <v>155</v>
      </c>
      <c r="R986" s="177" t="s">
        <v>9109</v>
      </c>
      <c r="S986" s="177"/>
      <c r="T986" s="177" t="s">
        <v>3210</v>
      </c>
      <c r="U986" s="177" t="s">
        <v>152</v>
      </c>
      <c r="V986" s="177" t="s">
        <v>18</v>
      </c>
    </row>
    <row r="987" spans="1:22">
      <c r="A987" s="6"/>
      <c r="B987" s="251">
        <v>46226</v>
      </c>
      <c r="C987" s="251">
        <v>46226</v>
      </c>
      <c r="D987" s="177" t="s">
        <v>9110</v>
      </c>
      <c r="E987" s="177">
        <v>260102620789</v>
      </c>
      <c r="F987" s="177" t="s">
        <v>87</v>
      </c>
      <c r="G987" s="177" t="s">
        <v>2554</v>
      </c>
      <c r="H987" s="177">
        <v>102</v>
      </c>
      <c r="I987" s="177">
        <v>254</v>
      </c>
      <c r="J987" s="378">
        <v>254</v>
      </c>
      <c r="K987" s="177">
        <v>125</v>
      </c>
      <c r="L987" s="253">
        <v>1000</v>
      </c>
      <c r="M987" s="177" t="s">
        <v>153</v>
      </c>
      <c r="N987" s="177" t="s">
        <v>149</v>
      </c>
      <c r="O987" s="177" t="s">
        <v>154</v>
      </c>
      <c r="P987" s="177" t="s">
        <v>151</v>
      </c>
      <c r="Q987" s="177" t="s">
        <v>155</v>
      </c>
      <c r="R987" s="177" t="s">
        <v>9111</v>
      </c>
      <c r="S987" s="177"/>
      <c r="T987" s="177" t="s">
        <v>3210</v>
      </c>
      <c r="U987" s="177" t="s">
        <v>152</v>
      </c>
      <c r="V987" s="177" t="s">
        <v>18</v>
      </c>
    </row>
    <row r="988" spans="1:22">
      <c r="A988" s="6"/>
      <c r="B988" s="251">
        <v>46226</v>
      </c>
      <c r="C988" s="251">
        <v>46226</v>
      </c>
      <c r="D988" s="177" t="s">
        <v>9112</v>
      </c>
      <c r="E988" s="177">
        <v>260101520820</v>
      </c>
      <c r="F988" s="177" t="s">
        <v>87</v>
      </c>
      <c r="G988" s="177" t="s">
        <v>2120</v>
      </c>
      <c r="H988" s="177">
        <v>92</v>
      </c>
      <c r="I988" s="177">
        <v>322</v>
      </c>
      <c r="J988" s="378">
        <v>322</v>
      </c>
      <c r="K988" s="177">
        <v>180</v>
      </c>
      <c r="L988" s="253">
        <v>1000</v>
      </c>
      <c r="M988" s="177" t="s">
        <v>153</v>
      </c>
      <c r="N988" s="177" t="s">
        <v>149</v>
      </c>
      <c r="O988" s="177" t="s">
        <v>154</v>
      </c>
      <c r="P988" s="177" t="s">
        <v>151</v>
      </c>
      <c r="Q988" s="177" t="s">
        <v>155</v>
      </c>
      <c r="R988" s="177" t="s">
        <v>9113</v>
      </c>
      <c r="S988" s="177"/>
      <c r="T988" s="177" t="s">
        <v>3210</v>
      </c>
      <c r="U988" s="177" t="s">
        <v>152</v>
      </c>
      <c r="V988" s="177" t="s">
        <v>18</v>
      </c>
    </row>
    <row r="989" spans="1:22">
      <c r="A989" s="6"/>
      <c r="B989" s="251">
        <v>46226</v>
      </c>
      <c r="C989" s="251">
        <v>46226</v>
      </c>
      <c r="D989" s="177" t="s">
        <v>9114</v>
      </c>
      <c r="E989" s="177">
        <v>260101920823</v>
      </c>
      <c r="F989" s="177" t="s">
        <v>87</v>
      </c>
      <c r="G989" s="177" t="s">
        <v>2563</v>
      </c>
      <c r="H989" s="177">
        <v>95</v>
      </c>
      <c r="I989" s="177">
        <v>246</v>
      </c>
      <c r="J989" s="378">
        <v>246</v>
      </c>
      <c r="K989" s="177">
        <v>134</v>
      </c>
      <c r="L989" s="253">
        <v>1000</v>
      </c>
      <c r="M989" s="177" t="s">
        <v>153</v>
      </c>
      <c r="N989" s="177" t="s">
        <v>149</v>
      </c>
      <c r="O989" s="177" t="s">
        <v>154</v>
      </c>
      <c r="P989" s="177" t="s">
        <v>151</v>
      </c>
      <c r="Q989" s="177" t="s">
        <v>155</v>
      </c>
      <c r="R989" s="177" t="s">
        <v>9115</v>
      </c>
      <c r="S989" s="177"/>
      <c r="T989" s="177" t="s">
        <v>3210</v>
      </c>
      <c r="U989" s="177" t="s">
        <v>152</v>
      </c>
      <c r="V989" s="177" t="s">
        <v>18</v>
      </c>
    </row>
    <row r="990" spans="1:22">
      <c r="A990" s="6"/>
      <c r="B990" s="251">
        <v>46226</v>
      </c>
      <c r="C990" s="251">
        <v>46226</v>
      </c>
      <c r="D990" s="177" t="s">
        <v>9116</v>
      </c>
      <c r="E990" s="177">
        <v>260101420777</v>
      </c>
      <c r="F990" s="177" t="s">
        <v>87</v>
      </c>
      <c r="G990" s="177" t="s">
        <v>859</v>
      </c>
      <c r="H990" s="177">
        <v>152</v>
      </c>
      <c r="I990" s="177">
        <v>230</v>
      </c>
      <c r="J990" s="378">
        <v>230</v>
      </c>
      <c r="K990" s="177">
        <v>104</v>
      </c>
      <c r="L990" s="253">
        <v>1500</v>
      </c>
      <c r="M990" s="177" t="s">
        <v>153</v>
      </c>
      <c r="N990" s="177" t="s">
        <v>149</v>
      </c>
      <c r="O990" s="177" t="s">
        <v>154</v>
      </c>
      <c r="P990" s="177" t="s">
        <v>151</v>
      </c>
      <c r="Q990" s="177" t="s">
        <v>155</v>
      </c>
      <c r="R990" s="177" t="s">
        <v>9117</v>
      </c>
      <c r="S990" s="177"/>
      <c r="T990" s="177" t="s">
        <v>3210</v>
      </c>
      <c r="U990" s="177" t="s">
        <v>152</v>
      </c>
      <c r="V990" s="177" t="s">
        <v>18</v>
      </c>
    </row>
    <row r="991" spans="1:22">
      <c r="A991" s="6"/>
      <c r="B991" s="251">
        <v>46226</v>
      </c>
      <c r="C991" s="251">
        <v>46226</v>
      </c>
      <c r="D991" s="177" t="s">
        <v>9118</v>
      </c>
      <c r="E991" s="177">
        <v>260101420779</v>
      </c>
      <c r="F991" s="177" t="s">
        <v>87</v>
      </c>
      <c r="G991" s="177" t="s">
        <v>859</v>
      </c>
      <c r="H991" s="177">
        <v>152</v>
      </c>
      <c r="I991" s="177">
        <v>227</v>
      </c>
      <c r="J991" s="378">
        <v>227</v>
      </c>
      <c r="K991" s="177">
        <v>104</v>
      </c>
      <c r="L991" s="253">
        <v>1500</v>
      </c>
      <c r="M991" s="177" t="s">
        <v>153</v>
      </c>
      <c r="N991" s="177" t="s">
        <v>149</v>
      </c>
      <c r="O991" s="177" t="s">
        <v>154</v>
      </c>
      <c r="P991" s="177" t="s">
        <v>151</v>
      </c>
      <c r="Q991" s="177" t="s">
        <v>155</v>
      </c>
      <c r="R991" s="177" t="s">
        <v>9119</v>
      </c>
      <c r="S991" s="177"/>
      <c r="T991" s="177" t="s">
        <v>3210</v>
      </c>
      <c r="U991" s="177" t="s">
        <v>152</v>
      </c>
      <c r="V991" s="177" t="s">
        <v>18</v>
      </c>
    </row>
    <row r="992" spans="1:22">
      <c r="A992" s="6"/>
      <c r="B992" s="251">
        <v>46226</v>
      </c>
      <c r="C992" s="251">
        <v>46226</v>
      </c>
      <c r="D992" s="177" t="s">
        <v>9120</v>
      </c>
      <c r="E992" s="177">
        <v>260103420817</v>
      </c>
      <c r="F992" s="177" t="s">
        <v>87</v>
      </c>
      <c r="G992" s="177" t="s">
        <v>859</v>
      </c>
      <c r="H992" s="177">
        <v>152</v>
      </c>
      <c r="I992" s="177">
        <v>247</v>
      </c>
      <c r="J992" s="378">
        <v>247</v>
      </c>
      <c r="K992" s="177">
        <v>104</v>
      </c>
      <c r="L992" s="253">
        <v>1570</v>
      </c>
      <c r="M992" s="177" t="s">
        <v>153</v>
      </c>
      <c r="N992" s="177" t="s">
        <v>149</v>
      </c>
      <c r="O992" s="177" t="s">
        <v>154</v>
      </c>
      <c r="P992" s="177" t="s">
        <v>151</v>
      </c>
      <c r="Q992" s="177" t="s">
        <v>155</v>
      </c>
      <c r="R992" s="177" t="s">
        <v>9121</v>
      </c>
      <c r="S992" s="177"/>
      <c r="T992" s="177" t="s">
        <v>3210</v>
      </c>
      <c r="U992" s="177" t="s">
        <v>152</v>
      </c>
      <c r="V992" s="177" t="s">
        <v>18</v>
      </c>
    </row>
    <row r="993" spans="1:22">
      <c r="A993" s="6"/>
      <c r="B993" s="251">
        <v>46226</v>
      </c>
      <c r="C993" s="251">
        <v>46226</v>
      </c>
      <c r="D993" s="177" t="s">
        <v>9122</v>
      </c>
      <c r="E993" s="177">
        <v>260100520787</v>
      </c>
      <c r="F993" s="177" t="s">
        <v>87</v>
      </c>
      <c r="G993" s="177" t="s">
        <v>8900</v>
      </c>
      <c r="H993" s="177">
        <v>182</v>
      </c>
      <c r="I993" s="177">
        <v>410</v>
      </c>
      <c r="J993" s="378">
        <v>410</v>
      </c>
      <c r="K993" s="177">
        <v>180</v>
      </c>
      <c r="L993" s="253">
        <v>640</v>
      </c>
      <c r="M993" s="177" t="s">
        <v>153</v>
      </c>
      <c r="N993" s="177" t="s">
        <v>149</v>
      </c>
      <c r="O993" s="177" t="s">
        <v>154</v>
      </c>
      <c r="P993" s="177" t="s">
        <v>151</v>
      </c>
      <c r="Q993" s="177" t="s">
        <v>155</v>
      </c>
      <c r="R993" s="177" t="s">
        <v>9123</v>
      </c>
      <c r="S993" s="177"/>
      <c r="T993" s="177" t="s">
        <v>3214</v>
      </c>
      <c r="U993" s="177" t="s">
        <v>152</v>
      </c>
      <c r="V993" s="177" t="s">
        <v>18</v>
      </c>
    </row>
    <row r="994" spans="1:22">
      <c r="A994" s="6"/>
      <c r="B994" s="251">
        <v>46226</v>
      </c>
      <c r="C994" s="251">
        <v>46226</v>
      </c>
      <c r="D994" s="177" t="s">
        <v>9124</v>
      </c>
      <c r="E994" s="177">
        <v>260102920838</v>
      </c>
      <c r="F994" s="177" t="s">
        <v>87</v>
      </c>
      <c r="G994" s="177" t="s">
        <v>859</v>
      </c>
      <c r="H994" s="177">
        <v>152</v>
      </c>
      <c r="I994" s="177">
        <v>197</v>
      </c>
      <c r="J994" s="378">
        <v>197</v>
      </c>
      <c r="K994" s="177">
        <v>104</v>
      </c>
      <c r="L994" s="253">
        <v>1300</v>
      </c>
      <c r="M994" s="177" t="s">
        <v>153</v>
      </c>
      <c r="N994" s="177" t="s">
        <v>149</v>
      </c>
      <c r="O994" s="177" t="s">
        <v>154</v>
      </c>
      <c r="P994" s="177" t="s">
        <v>151</v>
      </c>
      <c r="Q994" s="177" t="s">
        <v>155</v>
      </c>
      <c r="R994" s="177" t="s">
        <v>9125</v>
      </c>
      <c r="S994" s="177"/>
      <c r="T994" s="177" t="s">
        <v>3214</v>
      </c>
      <c r="U994" s="177" t="s">
        <v>152</v>
      </c>
      <c r="V994" s="177" t="s">
        <v>18</v>
      </c>
    </row>
    <row r="995" spans="1:22">
      <c r="B995" s="251">
        <v>46226</v>
      </c>
      <c r="C995" s="251">
        <v>46226</v>
      </c>
      <c r="D995" s="177" t="s">
        <v>9126</v>
      </c>
      <c r="E995" s="177">
        <v>260100420835</v>
      </c>
      <c r="F995" s="177" t="s">
        <v>87</v>
      </c>
      <c r="G995" s="177" t="s">
        <v>7130</v>
      </c>
      <c r="H995" s="177">
        <v>182</v>
      </c>
      <c r="I995" s="245">
        <v>437</v>
      </c>
      <c r="J995" s="381">
        <v>437</v>
      </c>
      <c r="K995" s="177">
        <v>190</v>
      </c>
      <c r="L995" s="253">
        <v>640</v>
      </c>
      <c r="M995" s="177" t="s">
        <v>153</v>
      </c>
      <c r="N995" s="177" t="s">
        <v>149</v>
      </c>
      <c r="O995" s="177" t="s">
        <v>154</v>
      </c>
      <c r="P995" s="177" t="s">
        <v>151</v>
      </c>
      <c r="Q995" s="177" t="s">
        <v>155</v>
      </c>
      <c r="R995" s="177" t="s">
        <v>9127</v>
      </c>
      <c r="S995" s="177"/>
      <c r="T995" s="177" t="s">
        <v>3214</v>
      </c>
      <c r="U995" s="177" t="s">
        <v>152</v>
      </c>
      <c r="V995" s="177" t="s">
        <v>18</v>
      </c>
    </row>
    <row r="996" spans="1:22">
      <c r="B996" s="251">
        <v>46226</v>
      </c>
      <c r="C996" s="251">
        <v>46226</v>
      </c>
      <c r="D996" s="177" t="s">
        <v>9128</v>
      </c>
      <c r="E996" s="177">
        <v>260107520837</v>
      </c>
      <c r="F996" s="177" t="s">
        <v>87</v>
      </c>
      <c r="G996" s="177" t="s">
        <v>2310</v>
      </c>
      <c r="H996" s="177">
        <v>125</v>
      </c>
      <c r="I996" s="245">
        <v>200</v>
      </c>
      <c r="J996" s="382">
        <v>200</v>
      </c>
      <c r="K996" s="177">
        <v>87</v>
      </c>
      <c r="L996" s="253">
        <v>1890</v>
      </c>
      <c r="M996" s="177" t="s">
        <v>153</v>
      </c>
      <c r="N996" s="177" t="s">
        <v>149</v>
      </c>
      <c r="O996" s="177" t="s">
        <v>154</v>
      </c>
      <c r="P996" s="177" t="s">
        <v>151</v>
      </c>
      <c r="Q996" s="177" t="s">
        <v>155</v>
      </c>
      <c r="R996" s="177" t="s">
        <v>9129</v>
      </c>
      <c r="S996" s="177"/>
      <c r="T996" s="177" t="s">
        <v>3214</v>
      </c>
      <c r="U996" s="177" t="s">
        <v>152</v>
      </c>
      <c r="V996" s="177" t="s">
        <v>18</v>
      </c>
    </row>
    <row r="997" spans="1:22">
      <c r="B997" s="251">
        <v>46226</v>
      </c>
      <c r="C997" s="251">
        <v>46226</v>
      </c>
      <c r="D997" s="177" t="s">
        <v>9130</v>
      </c>
      <c r="E997" s="177">
        <v>260107020836</v>
      </c>
      <c r="F997" s="177" t="s">
        <v>87</v>
      </c>
      <c r="G997" s="177" t="s">
        <v>2310</v>
      </c>
      <c r="H997" s="177">
        <v>125</v>
      </c>
      <c r="I997" s="245">
        <v>191</v>
      </c>
      <c r="J997" s="381">
        <v>191</v>
      </c>
      <c r="K997" s="177">
        <v>87</v>
      </c>
      <c r="L997" s="253">
        <v>1800</v>
      </c>
      <c r="M997" s="177" t="s">
        <v>153</v>
      </c>
      <c r="N997" s="177" t="s">
        <v>149</v>
      </c>
      <c r="O997" s="177" t="s">
        <v>154</v>
      </c>
      <c r="P997" s="177" t="s">
        <v>151</v>
      </c>
      <c r="Q997" s="177" t="s">
        <v>155</v>
      </c>
      <c r="R997" s="177" t="s">
        <v>9131</v>
      </c>
      <c r="S997" s="177"/>
      <c r="T997" s="177" t="s">
        <v>3214</v>
      </c>
      <c r="U997" s="177" t="s">
        <v>152</v>
      </c>
      <c r="V997" s="177" t="s">
        <v>18</v>
      </c>
    </row>
    <row r="998" spans="1:22">
      <c r="B998" s="251">
        <v>46226</v>
      </c>
      <c r="C998" s="251">
        <v>46226</v>
      </c>
      <c r="D998" s="177" t="s">
        <v>9132</v>
      </c>
      <c r="E998" s="177">
        <v>260102920839</v>
      </c>
      <c r="F998" s="177" t="s">
        <v>87</v>
      </c>
      <c r="G998" s="177" t="s">
        <v>859</v>
      </c>
      <c r="H998" s="177">
        <v>152</v>
      </c>
      <c r="I998" s="177">
        <v>203</v>
      </c>
      <c r="J998" s="378">
        <v>203</v>
      </c>
      <c r="K998" s="177">
        <v>104</v>
      </c>
      <c r="L998" s="253">
        <v>1300</v>
      </c>
      <c r="M998" s="177" t="s">
        <v>153</v>
      </c>
      <c r="N998" s="177" t="s">
        <v>149</v>
      </c>
      <c r="O998" s="177" t="s">
        <v>154</v>
      </c>
      <c r="P998" s="177" t="s">
        <v>151</v>
      </c>
      <c r="Q998" s="177" t="s">
        <v>155</v>
      </c>
      <c r="R998" s="177" t="s">
        <v>9133</v>
      </c>
      <c r="S998" s="177"/>
      <c r="T998" s="177" t="s">
        <v>3214</v>
      </c>
      <c r="U998" s="177" t="s">
        <v>152</v>
      </c>
      <c r="V998" s="177" t="s">
        <v>18</v>
      </c>
    </row>
    <row r="999" spans="1:22">
      <c r="B999" s="251">
        <v>46226</v>
      </c>
      <c r="C999" s="251">
        <v>46226</v>
      </c>
      <c r="D999" s="177" t="s">
        <v>9134</v>
      </c>
      <c r="E999" s="177" t="s">
        <v>9135</v>
      </c>
      <c r="F999" s="177" t="s">
        <v>87</v>
      </c>
      <c r="G999" s="177" t="s">
        <v>9136</v>
      </c>
      <c r="H999" s="177" t="s">
        <v>8529</v>
      </c>
      <c r="I999" s="177">
        <v>268</v>
      </c>
      <c r="J999" s="378">
        <v>268</v>
      </c>
      <c r="K999" s="177">
        <v>108</v>
      </c>
      <c r="L999" s="253">
        <v>3760</v>
      </c>
      <c r="M999" s="177" t="s">
        <v>153</v>
      </c>
      <c r="N999" s="177" t="s">
        <v>149</v>
      </c>
      <c r="O999" s="177" t="s">
        <v>154</v>
      </c>
      <c r="P999" s="177" t="s">
        <v>151</v>
      </c>
      <c r="Q999" s="177" t="s">
        <v>156</v>
      </c>
      <c r="R999" s="177" t="s">
        <v>9137</v>
      </c>
      <c r="S999" s="177"/>
      <c r="T999" s="177" t="s">
        <v>3214</v>
      </c>
      <c r="U999" s="177" t="s">
        <v>152</v>
      </c>
      <c r="V999" s="177" t="s">
        <v>20</v>
      </c>
    </row>
    <row r="1000" spans="1:22">
      <c r="B1000" s="251">
        <v>46226</v>
      </c>
      <c r="C1000" s="251">
        <v>46226</v>
      </c>
      <c r="D1000" s="177" t="s">
        <v>9138</v>
      </c>
      <c r="E1000" s="177" t="s">
        <v>9139</v>
      </c>
      <c r="F1000" s="177" t="s">
        <v>94</v>
      </c>
      <c r="G1000" s="177" t="s">
        <v>9140</v>
      </c>
      <c r="H1000" s="177" t="s">
        <v>9141</v>
      </c>
      <c r="I1000" s="177">
        <v>78</v>
      </c>
      <c r="J1000" s="378">
        <v>78</v>
      </c>
      <c r="K1000" s="177">
        <v>114</v>
      </c>
      <c r="L1000" s="253">
        <v>900</v>
      </c>
      <c r="M1000" s="177" t="s">
        <v>153</v>
      </c>
      <c r="N1000" s="177" t="s">
        <v>149</v>
      </c>
      <c r="O1000" s="177" t="s">
        <v>154</v>
      </c>
      <c r="P1000" s="177" t="s">
        <v>151</v>
      </c>
      <c r="Q1000" s="177" t="s">
        <v>156</v>
      </c>
      <c r="R1000" s="177" t="s">
        <v>9142</v>
      </c>
      <c r="S1000" s="177"/>
      <c r="T1000" s="177" t="s">
        <v>9143</v>
      </c>
      <c r="U1000" s="177" t="s">
        <v>152</v>
      </c>
      <c r="V1000" s="177" t="s">
        <v>20</v>
      </c>
    </row>
    <row r="1001" spans="1:22">
      <c r="B1001" s="251">
        <v>46226</v>
      </c>
      <c r="C1001" s="251">
        <v>46226</v>
      </c>
      <c r="D1001" s="177" t="s">
        <v>9144</v>
      </c>
      <c r="E1001" s="177" t="s">
        <v>9145</v>
      </c>
      <c r="F1001" s="177" t="s">
        <v>94</v>
      </c>
      <c r="G1001" s="177" t="s">
        <v>9146</v>
      </c>
      <c r="H1001" s="177" t="s">
        <v>2653</v>
      </c>
      <c r="I1001" s="177">
        <v>238.8</v>
      </c>
      <c r="J1001" s="378">
        <v>238.8</v>
      </c>
      <c r="K1001" s="177">
        <v>82</v>
      </c>
      <c r="L1001" s="253">
        <v>2860</v>
      </c>
      <c r="M1001" s="177" t="s">
        <v>153</v>
      </c>
      <c r="N1001" s="177" t="s">
        <v>149</v>
      </c>
      <c r="O1001" s="177" t="s">
        <v>154</v>
      </c>
      <c r="P1001" s="177" t="s">
        <v>151</v>
      </c>
      <c r="Q1001" s="177" t="s">
        <v>156</v>
      </c>
      <c r="R1001" s="177" t="s">
        <v>9147</v>
      </c>
      <c r="S1001" s="177"/>
      <c r="T1001" s="177" t="s">
        <v>9143</v>
      </c>
      <c r="U1001" s="177" t="s">
        <v>152</v>
      </c>
      <c r="V1001" s="177" t="s">
        <v>20</v>
      </c>
    </row>
    <row r="1002" spans="1:22">
      <c r="B1002" s="251">
        <v>46227</v>
      </c>
      <c r="C1002" s="251">
        <v>46227</v>
      </c>
      <c r="D1002" s="177" t="s">
        <v>9148</v>
      </c>
      <c r="E1002" s="177">
        <v>260103317447</v>
      </c>
      <c r="F1002" s="177" t="s">
        <v>87</v>
      </c>
      <c r="G1002" s="177" t="s">
        <v>2564</v>
      </c>
      <c r="H1002" s="177">
        <v>162</v>
      </c>
      <c r="I1002" s="177">
        <v>227</v>
      </c>
      <c r="J1002" s="378">
        <v>227</v>
      </c>
      <c r="K1002" s="177">
        <v>96</v>
      </c>
      <c r="L1002" s="253">
        <v>1500</v>
      </c>
      <c r="M1002" s="177" t="s">
        <v>153</v>
      </c>
      <c r="N1002" s="177" t="s">
        <v>149</v>
      </c>
      <c r="O1002" s="177" t="s">
        <v>154</v>
      </c>
      <c r="P1002" s="177" t="s">
        <v>151</v>
      </c>
      <c r="Q1002" s="177" t="s">
        <v>155</v>
      </c>
      <c r="R1002" s="177" t="s">
        <v>9149</v>
      </c>
      <c r="S1002" s="177"/>
      <c r="T1002" s="177" t="s">
        <v>3230</v>
      </c>
      <c r="U1002" s="177" t="s">
        <v>152</v>
      </c>
      <c r="V1002" s="177" t="s">
        <v>18</v>
      </c>
    </row>
    <row r="1003" spans="1:22">
      <c r="B1003" s="251">
        <v>46227</v>
      </c>
      <c r="C1003" s="251">
        <v>46227</v>
      </c>
      <c r="D1003" s="177" t="s">
        <v>9150</v>
      </c>
      <c r="E1003" s="177">
        <v>260107320916</v>
      </c>
      <c r="F1003" s="177" t="s">
        <v>87</v>
      </c>
      <c r="G1003" s="177" t="s">
        <v>859</v>
      </c>
      <c r="H1003" s="177">
        <v>152</v>
      </c>
      <c r="I1003" s="177">
        <v>282</v>
      </c>
      <c r="J1003" s="378">
        <v>282</v>
      </c>
      <c r="K1003" s="177">
        <v>104</v>
      </c>
      <c r="L1003" s="253">
        <v>1870</v>
      </c>
      <c r="M1003" s="177" t="s">
        <v>153</v>
      </c>
      <c r="N1003" s="177" t="s">
        <v>149</v>
      </c>
      <c r="O1003" s="177" t="s">
        <v>154</v>
      </c>
      <c r="P1003" s="177" t="s">
        <v>151</v>
      </c>
      <c r="Q1003" s="177" t="s">
        <v>155</v>
      </c>
      <c r="R1003" s="177" t="s">
        <v>9151</v>
      </c>
      <c r="S1003" s="177"/>
      <c r="T1003" s="177" t="s">
        <v>3230</v>
      </c>
      <c r="U1003" s="177" t="s">
        <v>152</v>
      </c>
      <c r="V1003" s="177" t="s">
        <v>18</v>
      </c>
    </row>
    <row r="1004" spans="1:22">
      <c r="B1004" s="251">
        <v>46227</v>
      </c>
      <c r="C1004" s="251">
        <v>46227</v>
      </c>
      <c r="D1004" s="177" t="s">
        <v>9152</v>
      </c>
      <c r="E1004" s="177">
        <v>260103920858</v>
      </c>
      <c r="F1004" s="177" t="s">
        <v>87</v>
      </c>
      <c r="G1004" s="177" t="s">
        <v>2425</v>
      </c>
      <c r="H1004" s="177">
        <v>135</v>
      </c>
      <c r="I1004" s="177">
        <v>264</v>
      </c>
      <c r="J1004" s="378">
        <v>264</v>
      </c>
      <c r="K1004" s="177">
        <v>92</v>
      </c>
      <c r="L1004" s="253">
        <v>2200</v>
      </c>
      <c r="M1004" s="177" t="s">
        <v>153</v>
      </c>
      <c r="N1004" s="177" t="s">
        <v>149</v>
      </c>
      <c r="O1004" s="177" t="s">
        <v>154</v>
      </c>
      <c r="P1004" s="177" t="s">
        <v>151</v>
      </c>
      <c r="Q1004" s="177" t="s">
        <v>155</v>
      </c>
      <c r="R1004" s="177" t="s">
        <v>9153</v>
      </c>
      <c r="S1004" s="177"/>
      <c r="T1004" s="177" t="s">
        <v>3230</v>
      </c>
      <c r="U1004" s="177" t="s">
        <v>152</v>
      </c>
      <c r="V1004" s="177" t="s">
        <v>18</v>
      </c>
    </row>
    <row r="1005" spans="1:22">
      <c r="B1005" s="251">
        <v>46227</v>
      </c>
      <c r="C1005" s="251">
        <v>46227</v>
      </c>
      <c r="D1005" s="177" t="s">
        <v>9154</v>
      </c>
      <c r="E1005" s="177">
        <v>260100920863</v>
      </c>
      <c r="F1005" s="177" t="s">
        <v>87</v>
      </c>
      <c r="G1005" s="177" t="s">
        <v>7130</v>
      </c>
      <c r="H1005" s="177">
        <v>182</v>
      </c>
      <c r="I1005" s="177">
        <v>370</v>
      </c>
      <c r="J1005" s="378">
        <v>370</v>
      </c>
      <c r="K1005" s="177">
        <v>190</v>
      </c>
      <c r="L1005" s="253">
        <v>540</v>
      </c>
      <c r="M1005" s="177" t="s">
        <v>153</v>
      </c>
      <c r="N1005" s="177" t="s">
        <v>149</v>
      </c>
      <c r="O1005" s="177" t="s">
        <v>154</v>
      </c>
      <c r="P1005" s="177" t="s">
        <v>151</v>
      </c>
      <c r="Q1005" s="177" t="s">
        <v>155</v>
      </c>
      <c r="R1005" s="177" t="s">
        <v>9155</v>
      </c>
      <c r="S1005" s="177"/>
      <c r="T1005" s="177" t="s">
        <v>3230</v>
      </c>
      <c r="U1005" s="177" t="s">
        <v>152</v>
      </c>
      <c r="V1005" s="177" t="s">
        <v>18</v>
      </c>
    </row>
    <row r="1006" spans="1:22">
      <c r="B1006" s="251">
        <v>46227</v>
      </c>
      <c r="C1006" s="251">
        <v>46227</v>
      </c>
      <c r="D1006" s="177" t="s">
        <v>9156</v>
      </c>
      <c r="E1006" s="177">
        <v>260100420909</v>
      </c>
      <c r="F1006" s="177" t="s">
        <v>87</v>
      </c>
      <c r="G1006" s="177" t="s">
        <v>7130</v>
      </c>
      <c r="H1006" s="177">
        <v>182</v>
      </c>
      <c r="I1006" s="177">
        <v>342</v>
      </c>
      <c r="J1006" s="378">
        <v>342</v>
      </c>
      <c r="K1006" s="177">
        <v>190</v>
      </c>
      <c r="L1006" s="253">
        <v>515</v>
      </c>
      <c r="M1006" s="177" t="s">
        <v>153</v>
      </c>
      <c r="N1006" s="177" t="s">
        <v>149</v>
      </c>
      <c r="O1006" s="177" t="s">
        <v>154</v>
      </c>
      <c r="P1006" s="177" t="s">
        <v>151</v>
      </c>
      <c r="Q1006" s="177" t="s">
        <v>155</v>
      </c>
      <c r="R1006" s="177" t="s">
        <v>9157</v>
      </c>
      <c r="S1006" s="177"/>
      <c r="T1006" s="177" t="s">
        <v>3230</v>
      </c>
      <c r="U1006" s="177" t="s">
        <v>152</v>
      </c>
      <c r="V1006" s="177" t="s">
        <v>18</v>
      </c>
    </row>
    <row r="1007" spans="1:22">
      <c r="B1007" s="251">
        <v>46227</v>
      </c>
      <c r="C1007" s="251">
        <v>46227</v>
      </c>
      <c r="D1007" s="177" t="s">
        <v>9158</v>
      </c>
      <c r="E1007" s="177">
        <v>260107520914</v>
      </c>
      <c r="F1007" s="177" t="s">
        <v>87</v>
      </c>
      <c r="G1007" s="177" t="s">
        <v>2310</v>
      </c>
      <c r="H1007" s="177">
        <v>125</v>
      </c>
      <c r="I1007" s="177">
        <v>205</v>
      </c>
      <c r="J1007" s="378">
        <v>205</v>
      </c>
      <c r="K1007" s="177">
        <v>87</v>
      </c>
      <c r="L1007" s="253">
        <v>2000</v>
      </c>
      <c r="M1007" s="177" t="s">
        <v>153</v>
      </c>
      <c r="N1007" s="177" t="s">
        <v>149</v>
      </c>
      <c r="O1007" s="177" t="s">
        <v>154</v>
      </c>
      <c r="P1007" s="177" t="s">
        <v>151</v>
      </c>
      <c r="Q1007" s="177" t="s">
        <v>155</v>
      </c>
      <c r="R1007" s="177" t="s">
        <v>9159</v>
      </c>
      <c r="S1007" s="177"/>
      <c r="T1007" s="177" t="s">
        <v>3230</v>
      </c>
      <c r="U1007" s="177" t="s">
        <v>152</v>
      </c>
      <c r="V1007" s="177" t="s">
        <v>18</v>
      </c>
    </row>
    <row r="1008" spans="1:22">
      <c r="B1008" s="251">
        <v>46227</v>
      </c>
      <c r="C1008" s="251">
        <v>46227</v>
      </c>
      <c r="D1008" s="177" t="s">
        <v>9160</v>
      </c>
      <c r="E1008" s="177">
        <v>260107020915</v>
      </c>
      <c r="F1008" s="177" t="s">
        <v>87</v>
      </c>
      <c r="G1008" s="177" t="s">
        <v>2310</v>
      </c>
      <c r="H1008" s="177">
        <v>125</v>
      </c>
      <c r="I1008" s="177">
        <v>182</v>
      </c>
      <c r="J1008" s="378">
        <v>182</v>
      </c>
      <c r="K1008" s="177">
        <v>87</v>
      </c>
      <c r="L1008" s="253">
        <v>1770</v>
      </c>
      <c r="M1008" s="177" t="s">
        <v>153</v>
      </c>
      <c r="N1008" s="177" t="s">
        <v>149</v>
      </c>
      <c r="O1008" s="177" t="s">
        <v>154</v>
      </c>
      <c r="P1008" s="177" t="s">
        <v>151</v>
      </c>
      <c r="Q1008" s="177" t="s">
        <v>155</v>
      </c>
      <c r="R1008" s="177" t="s">
        <v>9161</v>
      </c>
      <c r="S1008" s="177"/>
      <c r="T1008" s="177" t="s">
        <v>3230</v>
      </c>
      <c r="U1008" s="177" t="s">
        <v>152</v>
      </c>
      <c r="V1008" s="177" t="s">
        <v>18</v>
      </c>
    </row>
    <row r="1009" spans="2:22">
      <c r="B1009" s="251">
        <v>46227</v>
      </c>
      <c r="C1009" s="251">
        <v>46227</v>
      </c>
      <c r="D1009" s="177" t="s">
        <v>9162</v>
      </c>
      <c r="E1009" s="177">
        <v>260102720897</v>
      </c>
      <c r="F1009" s="177" t="s">
        <v>87</v>
      </c>
      <c r="G1009" s="177" t="s">
        <v>2554</v>
      </c>
      <c r="H1009" s="177">
        <v>102</v>
      </c>
      <c r="I1009" s="177">
        <v>199</v>
      </c>
      <c r="J1009" s="378">
        <v>199</v>
      </c>
      <c r="K1009" s="177">
        <v>125</v>
      </c>
      <c r="L1009" s="253">
        <v>800</v>
      </c>
      <c r="M1009" s="177" t="s">
        <v>153</v>
      </c>
      <c r="N1009" s="177" t="s">
        <v>149</v>
      </c>
      <c r="O1009" s="177" t="s">
        <v>154</v>
      </c>
      <c r="P1009" s="177" t="s">
        <v>151</v>
      </c>
      <c r="Q1009" s="177" t="s">
        <v>155</v>
      </c>
      <c r="R1009" s="177" t="s">
        <v>9163</v>
      </c>
      <c r="S1009" s="177"/>
      <c r="T1009" s="177" t="s">
        <v>3230</v>
      </c>
      <c r="U1009" s="177" t="s">
        <v>152</v>
      </c>
      <c r="V1009" s="177" t="s">
        <v>18</v>
      </c>
    </row>
    <row r="1010" spans="2:22">
      <c r="B1010" s="251">
        <v>46227</v>
      </c>
      <c r="C1010" s="251">
        <v>46227</v>
      </c>
      <c r="D1010" s="177" t="s">
        <v>9164</v>
      </c>
      <c r="E1010" s="177">
        <v>260103620912</v>
      </c>
      <c r="F1010" s="177" t="s">
        <v>87</v>
      </c>
      <c r="G1010" s="177" t="s">
        <v>2310</v>
      </c>
      <c r="H1010" s="177">
        <v>125</v>
      </c>
      <c r="I1010" s="177">
        <v>165</v>
      </c>
      <c r="J1010" s="378">
        <v>165</v>
      </c>
      <c r="K1010" s="177">
        <v>87</v>
      </c>
      <c r="L1010" s="253">
        <v>1560</v>
      </c>
      <c r="M1010" s="177" t="s">
        <v>153</v>
      </c>
      <c r="N1010" s="177" t="s">
        <v>149</v>
      </c>
      <c r="O1010" s="177" t="s">
        <v>154</v>
      </c>
      <c r="P1010" s="177" t="s">
        <v>151</v>
      </c>
      <c r="Q1010" s="177" t="s">
        <v>155</v>
      </c>
      <c r="R1010" s="177" t="s">
        <v>9165</v>
      </c>
      <c r="S1010" s="177"/>
      <c r="T1010" s="177" t="s">
        <v>3230</v>
      </c>
      <c r="U1010" s="177" t="s">
        <v>152</v>
      </c>
      <c r="V1010" s="177" t="s">
        <v>18</v>
      </c>
    </row>
    <row r="1011" spans="2:22">
      <c r="B1011" s="251">
        <v>46227</v>
      </c>
      <c r="C1011" s="251">
        <v>46227</v>
      </c>
      <c r="D1011" s="177" t="s">
        <v>9166</v>
      </c>
      <c r="E1011" s="177">
        <v>260103620913</v>
      </c>
      <c r="F1011" s="177" t="s">
        <v>87</v>
      </c>
      <c r="G1011" s="177" t="s">
        <v>2310</v>
      </c>
      <c r="H1011" s="177">
        <v>125</v>
      </c>
      <c r="I1011" s="177">
        <v>163</v>
      </c>
      <c r="J1011" s="378">
        <v>163</v>
      </c>
      <c r="K1011" s="177">
        <v>87</v>
      </c>
      <c r="L1011" s="253">
        <v>1560</v>
      </c>
      <c r="M1011" s="177" t="s">
        <v>153</v>
      </c>
      <c r="N1011" s="177" t="s">
        <v>149</v>
      </c>
      <c r="O1011" s="177" t="s">
        <v>154</v>
      </c>
      <c r="P1011" s="177" t="s">
        <v>151</v>
      </c>
      <c r="Q1011" s="177" t="s">
        <v>155</v>
      </c>
      <c r="R1011" s="177" t="s">
        <v>9167</v>
      </c>
      <c r="S1011" s="177"/>
      <c r="T1011" s="177" t="s">
        <v>3230</v>
      </c>
      <c r="U1011" s="177" t="s">
        <v>152</v>
      </c>
      <c r="V1011" s="177" t="s">
        <v>18</v>
      </c>
    </row>
    <row r="1012" spans="2:22">
      <c r="B1012" s="251">
        <v>46227</v>
      </c>
      <c r="C1012" s="251">
        <v>46227</v>
      </c>
      <c r="D1012" s="177" t="s">
        <v>9168</v>
      </c>
      <c r="E1012" s="177">
        <v>260103920857</v>
      </c>
      <c r="F1012" s="177" t="s">
        <v>87</v>
      </c>
      <c r="G1012" s="177" t="s">
        <v>2425</v>
      </c>
      <c r="H1012" s="177">
        <v>135</v>
      </c>
      <c r="I1012" s="177">
        <v>270</v>
      </c>
      <c r="J1012" s="378">
        <v>270</v>
      </c>
      <c r="K1012" s="177">
        <v>92</v>
      </c>
      <c r="L1012" s="253">
        <v>2200</v>
      </c>
      <c r="M1012" s="177" t="s">
        <v>153</v>
      </c>
      <c r="N1012" s="177" t="s">
        <v>149</v>
      </c>
      <c r="O1012" s="177" t="s">
        <v>154</v>
      </c>
      <c r="P1012" s="177" t="s">
        <v>151</v>
      </c>
      <c r="Q1012" s="177" t="s">
        <v>155</v>
      </c>
      <c r="R1012" s="177" t="s">
        <v>9169</v>
      </c>
      <c r="S1012" s="177"/>
      <c r="T1012" s="177" t="s">
        <v>3230</v>
      </c>
      <c r="U1012" s="177" t="s">
        <v>152</v>
      </c>
      <c r="V1012" s="177" t="s">
        <v>18</v>
      </c>
    </row>
    <row r="1013" spans="2:22">
      <c r="B1013" s="251">
        <v>46227</v>
      </c>
      <c r="C1013" s="251">
        <v>46227</v>
      </c>
      <c r="D1013" s="177" t="s">
        <v>9170</v>
      </c>
      <c r="E1013" s="177">
        <v>260103820855</v>
      </c>
      <c r="F1013" s="177" t="s">
        <v>87</v>
      </c>
      <c r="G1013" s="177" t="s">
        <v>859</v>
      </c>
      <c r="H1013" s="177">
        <v>182</v>
      </c>
      <c r="I1013" s="177">
        <v>298</v>
      </c>
      <c r="J1013" s="378">
        <v>298</v>
      </c>
      <c r="K1013" s="177">
        <v>104</v>
      </c>
      <c r="L1013" s="253">
        <v>1590</v>
      </c>
      <c r="M1013" s="177" t="s">
        <v>153</v>
      </c>
      <c r="N1013" s="177" t="s">
        <v>149</v>
      </c>
      <c r="O1013" s="177" t="s">
        <v>154</v>
      </c>
      <c r="P1013" s="177" t="s">
        <v>151</v>
      </c>
      <c r="Q1013" s="177" t="s">
        <v>155</v>
      </c>
      <c r="R1013" s="177" t="s">
        <v>9171</v>
      </c>
      <c r="S1013" s="177"/>
      <c r="T1013" s="177" t="s">
        <v>3230</v>
      </c>
      <c r="U1013" s="177" t="s">
        <v>152</v>
      </c>
      <c r="V1013" s="177" t="s">
        <v>18</v>
      </c>
    </row>
    <row r="1014" spans="2:22">
      <c r="B1014" s="251">
        <v>46227</v>
      </c>
      <c r="C1014" s="251">
        <v>46227</v>
      </c>
      <c r="D1014" s="177" t="s">
        <v>9172</v>
      </c>
      <c r="E1014" s="177">
        <v>260100720904</v>
      </c>
      <c r="F1014" s="177" t="s">
        <v>87</v>
      </c>
      <c r="G1014" s="177" t="s">
        <v>2120</v>
      </c>
      <c r="H1014" s="177">
        <v>145</v>
      </c>
      <c r="I1014" s="177">
        <v>455</v>
      </c>
      <c r="J1014" s="378">
        <v>455</v>
      </c>
      <c r="K1014" s="177">
        <v>180</v>
      </c>
      <c r="L1014" s="253">
        <v>900</v>
      </c>
      <c r="M1014" s="177" t="s">
        <v>153</v>
      </c>
      <c r="N1014" s="177" t="s">
        <v>149</v>
      </c>
      <c r="O1014" s="177" t="s">
        <v>154</v>
      </c>
      <c r="P1014" s="177" t="s">
        <v>151</v>
      </c>
      <c r="Q1014" s="177" t="s">
        <v>155</v>
      </c>
      <c r="R1014" s="177" t="s">
        <v>9173</v>
      </c>
      <c r="S1014" s="177"/>
      <c r="T1014" s="177" t="s">
        <v>3230</v>
      </c>
      <c r="U1014" s="177" t="s">
        <v>152</v>
      </c>
      <c r="V1014" s="177" t="s">
        <v>18</v>
      </c>
    </row>
    <row r="1015" spans="2:22">
      <c r="B1015" s="251">
        <v>46227</v>
      </c>
      <c r="C1015" s="251">
        <v>46227</v>
      </c>
      <c r="D1015" s="177" t="s">
        <v>9174</v>
      </c>
      <c r="E1015" s="177">
        <v>260102920910</v>
      </c>
      <c r="F1015" s="177" t="s">
        <v>87</v>
      </c>
      <c r="G1015" s="177" t="s">
        <v>859</v>
      </c>
      <c r="H1015" s="177">
        <v>152</v>
      </c>
      <c r="I1015" s="177">
        <v>212</v>
      </c>
      <c r="J1015" s="378">
        <v>212</v>
      </c>
      <c r="K1015" s="177">
        <v>104</v>
      </c>
      <c r="L1015" s="253">
        <v>1400</v>
      </c>
      <c r="M1015" s="177" t="s">
        <v>153</v>
      </c>
      <c r="N1015" s="177" t="s">
        <v>149</v>
      </c>
      <c r="O1015" s="177" t="s">
        <v>154</v>
      </c>
      <c r="P1015" s="177" t="s">
        <v>151</v>
      </c>
      <c r="Q1015" s="177" t="s">
        <v>155</v>
      </c>
      <c r="R1015" s="177" t="s">
        <v>9175</v>
      </c>
      <c r="S1015" s="177"/>
      <c r="T1015" s="177" t="s">
        <v>3230</v>
      </c>
      <c r="U1015" s="177" t="s">
        <v>152</v>
      </c>
      <c r="V1015" s="177" t="s">
        <v>18</v>
      </c>
    </row>
    <row r="1016" spans="2:22">
      <c r="B1016" s="251">
        <v>46227</v>
      </c>
      <c r="C1016" s="251">
        <v>46227</v>
      </c>
      <c r="D1016" s="177" t="s">
        <v>9176</v>
      </c>
      <c r="E1016" s="177">
        <v>260102920911</v>
      </c>
      <c r="F1016" s="177" t="s">
        <v>87</v>
      </c>
      <c r="G1016" s="177" t="s">
        <v>859</v>
      </c>
      <c r="H1016" s="177">
        <v>152</v>
      </c>
      <c r="I1016" s="177">
        <v>214</v>
      </c>
      <c r="J1016" s="378">
        <v>214</v>
      </c>
      <c r="K1016" s="177">
        <v>104</v>
      </c>
      <c r="L1016" s="253">
        <v>1400</v>
      </c>
      <c r="M1016" s="177" t="s">
        <v>153</v>
      </c>
      <c r="N1016" s="177" t="s">
        <v>149</v>
      </c>
      <c r="O1016" s="177" t="s">
        <v>154</v>
      </c>
      <c r="P1016" s="177" t="s">
        <v>151</v>
      </c>
      <c r="Q1016" s="177" t="s">
        <v>155</v>
      </c>
      <c r="R1016" s="177" t="s">
        <v>9177</v>
      </c>
      <c r="S1016" s="177"/>
      <c r="T1016" s="177" t="s">
        <v>3230</v>
      </c>
      <c r="U1016" s="177" t="s">
        <v>152</v>
      </c>
      <c r="V1016" s="177" t="s">
        <v>18</v>
      </c>
    </row>
    <row r="1017" spans="2:22">
      <c r="B1017" s="251">
        <v>46227</v>
      </c>
      <c r="C1017" s="251">
        <v>46227</v>
      </c>
      <c r="D1017" s="177" t="s">
        <v>9178</v>
      </c>
      <c r="E1017" s="177">
        <v>260107320871</v>
      </c>
      <c r="F1017" s="177" t="s">
        <v>87</v>
      </c>
      <c r="G1017" s="177" t="s">
        <v>859</v>
      </c>
      <c r="H1017" s="177">
        <v>152</v>
      </c>
      <c r="I1017" s="177">
        <v>314</v>
      </c>
      <c r="J1017" s="378">
        <v>314</v>
      </c>
      <c r="K1017" s="177">
        <v>104</v>
      </c>
      <c r="L1017" s="253">
        <v>2050</v>
      </c>
      <c r="M1017" s="177" t="s">
        <v>153</v>
      </c>
      <c r="N1017" s="177" t="s">
        <v>149</v>
      </c>
      <c r="O1017" s="177" t="s">
        <v>154</v>
      </c>
      <c r="P1017" s="177" t="s">
        <v>151</v>
      </c>
      <c r="Q1017" s="177" t="s">
        <v>155</v>
      </c>
      <c r="R1017" s="177" t="s">
        <v>9179</v>
      </c>
      <c r="S1017" s="177"/>
      <c r="T1017" s="177" t="s">
        <v>3230</v>
      </c>
      <c r="U1017" s="177" t="s">
        <v>152</v>
      </c>
      <c r="V1017" s="177" t="s">
        <v>18</v>
      </c>
    </row>
    <row r="1018" spans="2:22">
      <c r="B1018" s="251">
        <v>46227</v>
      </c>
      <c r="C1018" s="251">
        <v>46227</v>
      </c>
      <c r="D1018" s="177" t="s">
        <v>9180</v>
      </c>
      <c r="E1018" s="177">
        <v>260102620850</v>
      </c>
      <c r="F1018" s="177" t="s">
        <v>87</v>
      </c>
      <c r="G1018" s="177" t="s">
        <v>2554</v>
      </c>
      <c r="H1018" s="177">
        <v>102</v>
      </c>
      <c r="I1018" s="177">
        <v>249</v>
      </c>
      <c r="J1018" s="378">
        <v>249</v>
      </c>
      <c r="K1018" s="177">
        <v>125</v>
      </c>
      <c r="L1018" s="253">
        <v>1000</v>
      </c>
      <c r="M1018" s="177" t="s">
        <v>153</v>
      </c>
      <c r="N1018" s="177" t="s">
        <v>149</v>
      </c>
      <c r="O1018" s="177" t="s">
        <v>154</v>
      </c>
      <c r="P1018" s="177" t="s">
        <v>151</v>
      </c>
      <c r="Q1018" s="177" t="s">
        <v>155</v>
      </c>
      <c r="R1018" s="177" t="s">
        <v>9181</v>
      </c>
      <c r="S1018" s="177"/>
      <c r="T1018" s="177" t="s">
        <v>3230</v>
      </c>
      <c r="U1018" s="177" t="s">
        <v>152</v>
      </c>
      <c r="V1018" s="177" t="s">
        <v>18</v>
      </c>
    </row>
    <row r="1019" spans="2:22">
      <c r="B1019" s="251">
        <v>46227</v>
      </c>
      <c r="C1019" s="251">
        <v>46227</v>
      </c>
      <c r="D1019" s="177" t="s">
        <v>9182</v>
      </c>
      <c r="E1019" s="177">
        <v>260103820856</v>
      </c>
      <c r="F1019" s="177" t="s">
        <v>87</v>
      </c>
      <c r="G1019" s="177" t="s">
        <v>859</v>
      </c>
      <c r="H1019" s="177">
        <v>182</v>
      </c>
      <c r="I1019" s="177">
        <v>292</v>
      </c>
      <c r="J1019" s="378">
        <v>292</v>
      </c>
      <c r="K1019" s="177">
        <v>104</v>
      </c>
      <c r="L1019" s="253">
        <v>1590</v>
      </c>
      <c r="M1019" s="177" t="s">
        <v>153</v>
      </c>
      <c r="N1019" s="177" t="s">
        <v>149</v>
      </c>
      <c r="O1019" s="177" t="s">
        <v>154</v>
      </c>
      <c r="P1019" s="177" t="s">
        <v>151</v>
      </c>
      <c r="Q1019" s="177" t="s">
        <v>155</v>
      </c>
      <c r="R1019" s="177" t="s">
        <v>9183</v>
      </c>
      <c r="S1019" s="177"/>
      <c r="T1019" s="177" t="s">
        <v>3230</v>
      </c>
      <c r="U1019" s="177" t="s">
        <v>152</v>
      </c>
      <c r="V1019" s="177" t="s">
        <v>18</v>
      </c>
    </row>
    <row r="1020" spans="2:22">
      <c r="B1020" s="251">
        <v>46227</v>
      </c>
      <c r="C1020" s="251">
        <v>46227</v>
      </c>
      <c r="D1020" s="177" t="s">
        <v>9184</v>
      </c>
      <c r="E1020" s="177" t="s">
        <v>9185</v>
      </c>
      <c r="F1020" s="177" t="s">
        <v>87</v>
      </c>
      <c r="G1020" s="177" t="s">
        <v>8283</v>
      </c>
      <c r="H1020" s="177" t="s">
        <v>8529</v>
      </c>
      <c r="I1020" s="177">
        <v>357</v>
      </c>
      <c r="J1020" s="378">
        <v>357</v>
      </c>
      <c r="K1020" s="177">
        <v>93</v>
      </c>
      <c r="L1020" s="253">
        <v>5000</v>
      </c>
      <c r="M1020" s="177" t="s">
        <v>153</v>
      </c>
      <c r="N1020" s="177" t="s">
        <v>149</v>
      </c>
      <c r="O1020" s="177" t="s">
        <v>154</v>
      </c>
      <c r="P1020" s="177" t="s">
        <v>151</v>
      </c>
      <c r="Q1020" s="177" t="s">
        <v>156</v>
      </c>
      <c r="R1020" s="177" t="s">
        <v>9186</v>
      </c>
      <c r="S1020" s="177"/>
      <c r="T1020" s="177" t="s">
        <v>3230</v>
      </c>
      <c r="U1020" s="177" t="s">
        <v>152</v>
      </c>
      <c r="V1020" s="177" t="s">
        <v>20</v>
      </c>
    </row>
    <row r="1021" spans="2:22">
      <c r="B1021" s="251">
        <v>46227</v>
      </c>
      <c r="C1021" s="251">
        <v>46227</v>
      </c>
      <c r="D1021" s="177" t="s">
        <v>9187</v>
      </c>
      <c r="E1021" s="177">
        <v>260103420892</v>
      </c>
      <c r="F1021" s="177" t="s">
        <v>87</v>
      </c>
      <c r="G1021" s="177" t="s">
        <v>859</v>
      </c>
      <c r="H1021" s="177">
        <v>152</v>
      </c>
      <c r="I1021" s="177">
        <v>269</v>
      </c>
      <c r="J1021" s="378">
        <v>269</v>
      </c>
      <c r="K1021" s="177">
        <v>104</v>
      </c>
      <c r="L1021" s="253">
        <v>1750</v>
      </c>
      <c r="M1021" s="177" t="s">
        <v>153</v>
      </c>
      <c r="N1021" s="177" t="s">
        <v>149</v>
      </c>
      <c r="O1021" s="177" t="s">
        <v>154</v>
      </c>
      <c r="P1021" s="177" t="s">
        <v>151</v>
      </c>
      <c r="Q1021" s="177" t="s">
        <v>155</v>
      </c>
      <c r="R1021" s="177" t="s">
        <v>9188</v>
      </c>
      <c r="S1021" s="177"/>
      <c r="T1021" s="177" t="s">
        <v>3232</v>
      </c>
      <c r="U1021" s="177" t="s">
        <v>152</v>
      </c>
      <c r="V1021" s="177" t="s">
        <v>18</v>
      </c>
    </row>
    <row r="1022" spans="2:22">
      <c r="B1022" s="251">
        <v>46227</v>
      </c>
      <c r="C1022" s="251">
        <v>46227</v>
      </c>
      <c r="D1022" s="177" t="s">
        <v>9189</v>
      </c>
      <c r="E1022" s="177">
        <v>260100520900</v>
      </c>
      <c r="F1022" s="177" t="s">
        <v>87</v>
      </c>
      <c r="G1022" s="177" t="s">
        <v>8900</v>
      </c>
      <c r="H1022" s="177">
        <v>192</v>
      </c>
      <c r="I1022" s="177">
        <v>337</v>
      </c>
      <c r="J1022" s="378">
        <v>337</v>
      </c>
      <c r="K1022" s="177">
        <v>180</v>
      </c>
      <c r="L1022" s="253">
        <v>500</v>
      </c>
      <c r="M1022" s="177" t="s">
        <v>153</v>
      </c>
      <c r="N1022" s="177" t="s">
        <v>149</v>
      </c>
      <c r="O1022" s="177" t="s">
        <v>154</v>
      </c>
      <c r="P1022" s="177" t="s">
        <v>151</v>
      </c>
      <c r="Q1022" s="177" t="s">
        <v>155</v>
      </c>
      <c r="R1022" s="177" t="s">
        <v>9190</v>
      </c>
      <c r="S1022" s="177"/>
      <c r="T1022" s="177" t="s">
        <v>3232</v>
      </c>
      <c r="U1022" s="177" t="s">
        <v>152</v>
      </c>
      <c r="V1022" s="177" t="s">
        <v>18</v>
      </c>
    </row>
    <row r="1023" spans="2:22">
      <c r="B1023" s="251">
        <v>46227</v>
      </c>
      <c r="C1023" s="251">
        <v>46227</v>
      </c>
      <c r="D1023" s="177" t="s">
        <v>9191</v>
      </c>
      <c r="E1023" s="177">
        <v>260101420908</v>
      </c>
      <c r="F1023" s="177" t="s">
        <v>87</v>
      </c>
      <c r="G1023" s="177" t="s">
        <v>859</v>
      </c>
      <c r="H1023" s="177">
        <v>152</v>
      </c>
      <c r="I1023" s="177">
        <v>229</v>
      </c>
      <c r="J1023" s="378">
        <v>229</v>
      </c>
      <c r="K1023" s="177">
        <v>104</v>
      </c>
      <c r="L1023" s="253">
        <v>1500</v>
      </c>
      <c r="M1023" s="177" t="s">
        <v>153</v>
      </c>
      <c r="N1023" s="177" t="s">
        <v>149</v>
      </c>
      <c r="O1023" s="177" t="s">
        <v>154</v>
      </c>
      <c r="P1023" s="177" t="s">
        <v>151</v>
      </c>
      <c r="Q1023" s="177" t="s">
        <v>155</v>
      </c>
      <c r="R1023" s="177" t="s">
        <v>9192</v>
      </c>
      <c r="S1023" s="177"/>
      <c r="T1023" s="177" t="s">
        <v>3232</v>
      </c>
      <c r="U1023" s="177" t="s">
        <v>152</v>
      </c>
      <c r="V1023" s="177" t="s">
        <v>18</v>
      </c>
    </row>
    <row r="1024" spans="2:22">
      <c r="B1024" s="251">
        <v>46227</v>
      </c>
      <c r="C1024" s="251">
        <v>46227</v>
      </c>
      <c r="D1024" s="177" t="s">
        <v>9193</v>
      </c>
      <c r="E1024" s="177">
        <v>260105020865</v>
      </c>
      <c r="F1024" s="177" t="s">
        <v>87</v>
      </c>
      <c r="G1024" s="177" t="s">
        <v>2641</v>
      </c>
      <c r="H1024" s="177">
        <v>162</v>
      </c>
      <c r="I1024" s="177">
        <v>237</v>
      </c>
      <c r="J1024" s="378">
        <v>237</v>
      </c>
      <c r="K1024" s="177">
        <v>102</v>
      </c>
      <c r="L1024" s="253">
        <v>1500</v>
      </c>
      <c r="M1024" s="177" t="s">
        <v>153</v>
      </c>
      <c r="N1024" s="177" t="s">
        <v>149</v>
      </c>
      <c r="O1024" s="177" t="s">
        <v>154</v>
      </c>
      <c r="P1024" s="177" t="s">
        <v>151</v>
      </c>
      <c r="Q1024" s="177" t="s">
        <v>155</v>
      </c>
      <c r="R1024" s="177" t="s">
        <v>9194</v>
      </c>
      <c r="S1024" s="177"/>
      <c r="T1024" s="177" t="s">
        <v>3232</v>
      </c>
      <c r="U1024" s="177" t="s">
        <v>152</v>
      </c>
      <c r="V1024" s="177" t="s">
        <v>18</v>
      </c>
    </row>
    <row r="1025" spans="2:22">
      <c r="B1025" s="251">
        <v>46227</v>
      </c>
      <c r="C1025" s="251">
        <v>46227</v>
      </c>
      <c r="D1025" s="177" t="s">
        <v>9195</v>
      </c>
      <c r="E1025" s="177">
        <v>260105120887</v>
      </c>
      <c r="F1025" s="177" t="s">
        <v>87</v>
      </c>
      <c r="G1025" s="177" t="s">
        <v>8881</v>
      </c>
      <c r="H1025" s="177">
        <v>162</v>
      </c>
      <c r="I1025" s="177">
        <v>339</v>
      </c>
      <c r="J1025" s="378">
        <v>339</v>
      </c>
      <c r="K1025" s="177">
        <v>102</v>
      </c>
      <c r="L1025" s="253">
        <v>2080</v>
      </c>
      <c r="M1025" s="177" t="s">
        <v>153</v>
      </c>
      <c r="N1025" s="177" t="s">
        <v>149</v>
      </c>
      <c r="O1025" s="177" t="s">
        <v>154</v>
      </c>
      <c r="P1025" s="177" t="s">
        <v>151</v>
      </c>
      <c r="Q1025" s="177" t="s">
        <v>155</v>
      </c>
      <c r="R1025" s="177" t="s">
        <v>9196</v>
      </c>
      <c r="S1025" s="177"/>
      <c r="T1025" s="177" t="s">
        <v>3232</v>
      </c>
      <c r="U1025" s="177" t="s">
        <v>152</v>
      </c>
      <c r="V1025" s="177" t="s">
        <v>18</v>
      </c>
    </row>
    <row r="1026" spans="2:22">
      <c r="B1026" s="251">
        <v>46227</v>
      </c>
      <c r="C1026" s="251">
        <v>46227</v>
      </c>
      <c r="D1026" s="177" t="s">
        <v>9197</v>
      </c>
      <c r="E1026" s="177">
        <v>260105420890</v>
      </c>
      <c r="F1026" s="177" t="s">
        <v>87</v>
      </c>
      <c r="G1026" s="177" t="s">
        <v>2310</v>
      </c>
      <c r="H1026" s="177">
        <v>125</v>
      </c>
      <c r="I1026" s="177">
        <v>271</v>
      </c>
      <c r="J1026" s="378">
        <v>271</v>
      </c>
      <c r="K1026" s="177">
        <v>87</v>
      </c>
      <c r="L1026" s="253">
        <v>2630</v>
      </c>
      <c r="M1026" s="177" t="s">
        <v>153</v>
      </c>
      <c r="N1026" s="177" t="s">
        <v>149</v>
      </c>
      <c r="O1026" s="177" t="s">
        <v>154</v>
      </c>
      <c r="P1026" s="177" t="s">
        <v>151</v>
      </c>
      <c r="Q1026" s="177" t="s">
        <v>155</v>
      </c>
      <c r="R1026" s="177" t="s">
        <v>9198</v>
      </c>
      <c r="S1026" s="177"/>
      <c r="T1026" s="177" t="s">
        <v>3232</v>
      </c>
      <c r="U1026" s="177" t="s">
        <v>152</v>
      </c>
      <c r="V1026" s="177" t="s">
        <v>18</v>
      </c>
    </row>
    <row r="1027" spans="2:22">
      <c r="B1027" s="251">
        <v>46227</v>
      </c>
      <c r="C1027" s="251">
        <v>46227</v>
      </c>
      <c r="D1027" s="177" t="s">
        <v>9199</v>
      </c>
      <c r="E1027" s="177">
        <v>260102820847</v>
      </c>
      <c r="F1027" s="177" t="s">
        <v>87</v>
      </c>
      <c r="G1027" s="177" t="s">
        <v>2554</v>
      </c>
      <c r="H1027" s="177">
        <v>102</v>
      </c>
      <c r="I1027" s="177">
        <v>245</v>
      </c>
      <c r="J1027" s="378">
        <v>245</v>
      </c>
      <c r="K1027" s="177">
        <v>125</v>
      </c>
      <c r="L1027" s="253">
        <v>1000</v>
      </c>
      <c r="M1027" s="177" t="s">
        <v>153</v>
      </c>
      <c r="N1027" s="177" t="s">
        <v>149</v>
      </c>
      <c r="O1027" s="177" t="s">
        <v>154</v>
      </c>
      <c r="P1027" s="177" t="s">
        <v>151</v>
      </c>
      <c r="Q1027" s="177" t="s">
        <v>155</v>
      </c>
      <c r="R1027" s="177" t="s">
        <v>9200</v>
      </c>
      <c r="S1027" s="177"/>
      <c r="T1027" s="177" t="s">
        <v>3232</v>
      </c>
      <c r="U1027" s="177" t="s">
        <v>152</v>
      </c>
      <c r="V1027" s="177" t="s">
        <v>18</v>
      </c>
    </row>
    <row r="1028" spans="2:22">
      <c r="B1028" s="251">
        <v>46227</v>
      </c>
      <c r="C1028" s="251">
        <v>46227</v>
      </c>
      <c r="D1028" s="177" t="s">
        <v>9201</v>
      </c>
      <c r="E1028" s="177">
        <v>260102020854</v>
      </c>
      <c r="F1028" s="177" t="s">
        <v>87</v>
      </c>
      <c r="G1028" s="177" t="s">
        <v>2563</v>
      </c>
      <c r="H1028" s="177">
        <v>95</v>
      </c>
      <c r="I1028" s="177">
        <v>265</v>
      </c>
      <c r="J1028" s="378">
        <v>265</v>
      </c>
      <c r="K1028" s="177">
        <v>134</v>
      </c>
      <c r="L1028" s="253">
        <v>1060</v>
      </c>
      <c r="M1028" s="177" t="s">
        <v>153</v>
      </c>
      <c r="N1028" s="177" t="s">
        <v>149</v>
      </c>
      <c r="O1028" s="177" t="s">
        <v>154</v>
      </c>
      <c r="P1028" s="177" t="s">
        <v>151</v>
      </c>
      <c r="Q1028" s="177" t="s">
        <v>155</v>
      </c>
      <c r="R1028" s="177" t="s">
        <v>9202</v>
      </c>
      <c r="S1028" s="177"/>
      <c r="T1028" s="177" t="s">
        <v>3232</v>
      </c>
      <c r="U1028" s="177" t="s">
        <v>152</v>
      </c>
      <c r="V1028" s="177" t="s">
        <v>18</v>
      </c>
    </row>
    <row r="1029" spans="2:22">
      <c r="B1029" s="251">
        <v>46227</v>
      </c>
      <c r="C1029" s="251">
        <v>46227</v>
      </c>
      <c r="D1029" s="177" t="s">
        <v>9203</v>
      </c>
      <c r="E1029" s="177">
        <v>260106120881</v>
      </c>
      <c r="F1029" s="177" t="s">
        <v>87</v>
      </c>
      <c r="G1029" s="177" t="s">
        <v>2310</v>
      </c>
      <c r="H1029" s="177">
        <v>125</v>
      </c>
      <c r="I1029" s="177">
        <v>228</v>
      </c>
      <c r="J1029" s="378">
        <v>228</v>
      </c>
      <c r="K1029" s="177">
        <v>87</v>
      </c>
      <c r="L1029" s="253">
        <v>2200</v>
      </c>
      <c r="M1029" s="177" t="s">
        <v>153</v>
      </c>
      <c r="N1029" s="177" t="s">
        <v>149</v>
      </c>
      <c r="O1029" s="177" t="s">
        <v>154</v>
      </c>
      <c r="P1029" s="177" t="s">
        <v>151</v>
      </c>
      <c r="Q1029" s="177" t="s">
        <v>155</v>
      </c>
      <c r="R1029" s="177" t="s">
        <v>9204</v>
      </c>
      <c r="S1029" s="177"/>
      <c r="T1029" s="177" t="s">
        <v>3232</v>
      </c>
      <c r="U1029" s="177" t="s">
        <v>152</v>
      </c>
      <c r="V1029" s="177" t="s">
        <v>18</v>
      </c>
    </row>
    <row r="1030" spans="2:22">
      <c r="B1030" s="251">
        <v>46227</v>
      </c>
      <c r="C1030" s="251">
        <v>46227</v>
      </c>
      <c r="D1030" s="177" t="s">
        <v>9205</v>
      </c>
      <c r="E1030" s="177">
        <v>260101720852</v>
      </c>
      <c r="F1030" s="177" t="s">
        <v>87</v>
      </c>
      <c r="G1030" s="177" t="s">
        <v>2408</v>
      </c>
      <c r="H1030" s="177">
        <v>95</v>
      </c>
      <c r="I1030" s="177">
        <v>250</v>
      </c>
      <c r="J1030" s="378">
        <v>250</v>
      </c>
      <c r="K1030" s="177">
        <v>134</v>
      </c>
      <c r="L1030" s="253">
        <v>1000</v>
      </c>
      <c r="M1030" s="177" t="s">
        <v>153</v>
      </c>
      <c r="N1030" s="177" t="s">
        <v>149</v>
      </c>
      <c r="O1030" s="177" t="s">
        <v>154</v>
      </c>
      <c r="P1030" s="177" t="s">
        <v>151</v>
      </c>
      <c r="Q1030" s="177" t="s">
        <v>155</v>
      </c>
      <c r="R1030" s="177" t="s">
        <v>9206</v>
      </c>
      <c r="S1030" s="177"/>
      <c r="T1030" s="177" t="s">
        <v>3232</v>
      </c>
      <c r="U1030" s="177" t="s">
        <v>152</v>
      </c>
      <c r="V1030" s="177" t="s">
        <v>18</v>
      </c>
    </row>
    <row r="1031" spans="2:22">
      <c r="B1031" s="251">
        <v>46227</v>
      </c>
      <c r="C1031" s="251">
        <v>46227</v>
      </c>
      <c r="D1031" s="177" t="s">
        <v>9207</v>
      </c>
      <c r="E1031" s="177">
        <v>260105220888</v>
      </c>
      <c r="F1031" s="177" t="s">
        <v>87</v>
      </c>
      <c r="G1031" s="177" t="s">
        <v>8347</v>
      </c>
      <c r="H1031" s="177">
        <v>152</v>
      </c>
      <c r="I1031" s="177">
        <v>289</v>
      </c>
      <c r="J1031" s="378">
        <v>289</v>
      </c>
      <c r="K1031" s="177">
        <v>104</v>
      </c>
      <c r="L1031" s="253">
        <v>1900</v>
      </c>
      <c r="M1031" s="177" t="s">
        <v>153</v>
      </c>
      <c r="N1031" s="177" t="s">
        <v>149</v>
      </c>
      <c r="O1031" s="177" t="s">
        <v>154</v>
      </c>
      <c r="P1031" s="177" t="s">
        <v>151</v>
      </c>
      <c r="Q1031" s="177" t="s">
        <v>155</v>
      </c>
      <c r="R1031" s="177" t="s">
        <v>9208</v>
      </c>
      <c r="S1031" s="177"/>
      <c r="T1031" s="177" t="s">
        <v>3232</v>
      </c>
      <c r="U1031" s="177" t="s">
        <v>152</v>
      </c>
      <c r="V1031" s="177" t="s">
        <v>18</v>
      </c>
    </row>
    <row r="1032" spans="2:22">
      <c r="B1032" s="251">
        <v>46227</v>
      </c>
      <c r="C1032" s="251">
        <v>46227</v>
      </c>
      <c r="D1032" s="177" t="s">
        <v>9209</v>
      </c>
      <c r="E1032" s="177">
        <v>260101520896</v>
      </c>
      <c r="F1032" s="177" t="s">
        <v>87</v>
      </c>
      <c r="G1032" s="177" t="s">
        <v>2120</v>
      </c>
      <c r="H1032" s="177">
        <v>92</v>
      </c>
      <c r="I1032" s="177">
        <v>323</v>
      </c>
      <c r="J1032" s="378">
        <v>323</v>
      </c>
      <c r="K1032" s="177">
        <v>180</v>
      </c>
      <c r="L1032" s="253">
        <v>1010</v>
      </c>
      <c r="M1032" s="177" t="s">
        <v>153</v>
      </c>
      <c r="N1032" s="177" t="s">
        <v>149</v>
      </c>
      <c r="O1032" s="177" t="s">
        <v>154</v>
      </c>
      <c r="P1032" s="177" t="s">
        <v>151</v>
      </c>
      <c r="Q1032" s="177" t="s">
        <v>155</v>
      </c>
      <c r="R1032" s="177" t="s">
        <v>9210</v>
      </c>
      <c r="S1032" s="177"/>
      <c r="T1032" s="177" t="s">
        <v>3232</v>
      </c>
      <c r="U1032" s="177" t="s">
        <v>152</v>
      </c>
      <c r="V1032" s="177" t="s">
        <v>18</v>
      </c>
    </row>
    <row r="1033" spans="2:22">
      <c r="B1033" s="251">
        <v>46227</v>
      </c>
      <c r="C1033" s="251">
        <v>46227</v>
      </c>
      <c r="D1033" s="177" t="s">
        <v>9211</v>
      </c>
      <c r="E1033" s="177">
        <v>260102620898</v>
      </c>
      <c r="F1033" s="177" t="s">
        <v>87</v>
      </c>
      <c r="G1033" s="177" t="s">
        <v>2554</v>
      </c>
      <c r="H1033" s="177">
        <v>102</v>
      </c>
      <c r="I1033" s="177">
        <v>249</v>
      </c>
      <c r="J1033" s="378">
        <v>249</v>
      </c>
      <c r="K1033" s="177">
        <v>125</v>
      </c>
      <c r="L1033" s="253">
        <v>1000</v>
      </c>
      <c r="M1033" s="177" t="s">
        <v>153</v>
      </c>
      <c r="N1033" s="177" t="s">
        <v>149</v>
      </c>
      <c r="O1033" s="177" t="s">
        <v>154</v>
      </c>
      <c r="P1033" s="177" t="s">
        <v>151</v>
      </c>
      <c r="Q1033" s="177" t="s">
        <v>155</v>
      </c>
      <c r="R1033" s="177" t="s">
        <v>9212</v>
      </c>
      <c r="S1033" s="177"/>
      <c r="T1033" s="177" t="s">
        <v>3232</v>
      </c>
      <c r="U1033" s="177" t="s">
        <v>152</v>
      </c>
      <c r="V1033" s="177" t="s">
        <v>18</v>
      </c>
    </row>
    <row r="1034" spans="2:22">
      <c r="B1034" s="251">
        <v>46227</v>
      </c>
      <c r="C1034" s="251">
        <v>46227</v>
      </c>
      <c r="D1034" s="177" t="s">
        <v>9213</v>
      </c>
      <c r="E1034" s="177">
        <v>260101620849</v>
      </c>
      <c r="F1034" s="177" t="s">
        <v>87</v>
      </c>
      <c r="G1034" s="177" t="s">
        <v>2120</v>
      </c>
      <c r="H1034" s="177">
        <v>112</v>
      </c>
      <c r="I1034" s="177">
        <v>389</v>
      </c>
      <c r="J1034" s="378">
        <v>389</v>
      </c>
      <c r="K1034" s="177">
        <v>180</v>
      </c>
      <c r="L1034" s="253">
        <v>1000</v>
      </c>
      <c r="M1034" s="177" t="s">
        <v>153</v>
      </c>
      <c r="N1034" s="177" t="s">
        <v>149</v>
      </c>
      <c r="O1034" s="177" t="s">
        <v>154</v>
      </c>
      <c r="P1034" s="177" t="s">
        <v>151</v>
      </c>
      <c r="Q1034" s="177" t="s">
        <v>155</v>
      </c>
      <c r="R1034" s="177" t="s">
        <v>9214</v>
      </c>
      <c r="S1034" s="177"/>
      <c r="T1034" s="177" t="s">
        <v>3232</v>
      </c>
      <c r="U1034" s="177" t="s">
        <v>152</v>
      </c>
      <c r="V1034" s="177" t="s">
        <v>18</v>
      </c>
    </row>
    <row r="1035" spans="2:22">
      <c r="B1035" s="251">
        <v>46227</v>
      </c>
      <c r="C1035" s="251">
        <v>46227</v>
      </c>
      <c r="D1035" s="177" t="s">
        <v>9215</v>
      </c>
      <c r="E1035" s="177">
        <v>260105820884</v>
      </c>
      <c r="F1035" s="177" t="s">
        <v>87</v>
      </c>
      <c r="G1035" s="177" t="s">
        <v>859</v>
      </c>
      <c r="H1035" s="177">
        <v>152</v>
      </c>
      <c r="I1035" s="177">
        <v>262</v>
      </c>
      <c r="J1035" s="378">
        <v>262</v>
      </c>
      <c r="K1035" s="177">
        <v>104</v>
      </c>
      <c r="L1035" s="253">
        <v>1760</v>
      </c>
      <c r="M1035" s="177" t="s">
        <v>153</v>
      </c>
      <c r="N1035" s="177" t="s">
        <v>149</v>
      </c>
      <c r="O1035" s="177" t="s">
        <v>154</v>
      </c>
      <c r="P1035" s="177" t="s">
        <v>151</v>
      </c>
      <c r="Q1035" s="177" t="s">
        <v>155</v>
      </c>
      <c r="R1035" s="177" t="s">
        <v>9216</v>
      </c>
      <c r="S1035" s="177"/>
      <c r="T1035" s="177" t="s">
        <v>3232</v>
      </c>
      <c r="U1035" s="177" t="s">
        <v>152</v>
      </c>
      <c r="V1035" s="177" t="s">
        <v>18</v>
      </c>
    </row>
    <row r="1036" spans="2:22">
      <c r="B1036" s="251">
        <v>46227</v>
      </c>
      <c r="C1036" s="251">
        <v>46227</v>
      </c>
      <c r="D1036" s="177" t="s">
        <v>9217</v>
      </c>
      <c r="E1036" s="177">
        <v>260105320889</v>
      </c>
      <c r="F1036" s="177" t="s">
        <v>87</v>
      </c>
      <c r="G1036" s="177" t="s">
        <v>859</v>
      </c>
      <c r="H1036" s="177">
        <v>152</v>
      </c>
      <c r="I1036" s="177">
        <v>304</v>
      </c>
      <c r="J1036" s="378">
        <v>304</v>
      </c>
      <c r="K1036" s="177">
        <v>104</v>
      </c>
      <c r="L1036" s="253">
        <v>2015</v>
      </c>
      <c r="M1036" s="177" t="s">
        <v>153</v>
      </c>
      <c r="N1036" s="177" t="s">
        <v>149</v>
      </c>
      <c r="O1036" s="177" t="s">
        <v>154</v>
      </c>
      <c r="P1036" s="177" t="s">
        <v>151</v>
      </c>
      <c r="Q1036" s="177" t="s">
        <v>155</v>
      </c>
      <c r="R1036" s="177" t="s">
        <v>9218</v>
      </c>
      <c r="S1036" s="177"/>
      <c r="T1036" s="177" t="s">
        <v>3232</v>
      </c>
      <c r="U1036" s="177" t="s">
        <v>152</v>
      </c>
      <c r="V1036" s="177" t="s">
        <v>18</v>
      </c>
    </row>
    <row r="1037" spans="2:22">
      <c r="B1037" s="251">
        <v>46227</v>
      </c>
      <c r="C1037" s="251">
        <v>46227</v>
      </c>
      <c r="D1037" s="177" t="s">
        <v>9219</v>
      </c>
      <c r="E1037" s="177">
        <v>260100520901</v>
      </c>
      <c r="F1037" s="177" t="s">
        <v>87</v>
      </c>
      <c r="G1037" s="177" t="s">
        <v>8900</v>
      </c>
      <c r="H1037" s="177">
        <v>192</v>
      </c>
      <c r="I1037" s="177">
        <v>374</v>
      </c>
      <c r="J1037" s="378">
        <v>374</v>
      </c>
      <c r="K1037" s="177">
        <v>180</v>
      </c>
      <c r="L1037" s="253">
        <v>550</v>
      </c>
      <c r="M1037" s="177" t="s">
        <v>153</v>
      </c>
      <c r="N1037" s="177" t="s">
        <v>149</v>
      </c>
      <c r="O1037" s="177" t="s">
        <v>154</v>
      </c>
      <c r="P1037" s="177" t="s">
        <v>151</v>
      </c>
      <c r="Q1037" s="177" t="s">
        <v>155</v>
      </c>
      <c r="R1037" s="177" t="s">
        <v>9220</v>
      </c>
      <c r="S1037" s="177"/>
      <c r="T1037" s="177" t="s">
        <v>3232</v>
      </c>
      <c r="U1037" s="177" t="s">
        <v>152</v>
      </c>
      <c r="V1037" s="177" t="s">
        <v>18</v>
      </c>
    </row>
    <row r="1038" spans="2:22">
      <c r="B1038" s="251">
        <v>46227</v>
      </c>
      <c r="C1038" s="251">
        <v>46227</v>
      </c>
      <c r="D1038" s="177" t="s">
        <v>9221</v>
      </c>
      <c r="E1038" s="177">
        <v>260100420902</v>
      </c>
      <c r="F1038" s="177" t="s">
        <v>87</v>
      </c>
      <c r="G1038" s="177" t="s">
        <v>7130</v>
      </c>
      <c r="H1038" s="177">
        <v>182</v>
      </c>
      <c r="I1038" s="177">
        <v>504</v>
      </c>
      <c r="J1038" s="378">
        <v>504</v>
      </c>
      <c r="K1038" s="177">
        <v>190</v>
      </c>
      <c r="L1038" s="253">
        <v>760</v>
      </c>
      <c r="M1038" s="177" t="s">
        <v>153</v>
      </c>
      <c r="N1038" s="177" t="s">
        <v>149</v>
      </c>
      <c r="O1038" s="177" t="s">
        <v>154</v>
      </c>
      <c r="P1038" s="177" t="s">
        <v>151</v>
      </c>
      <c r="Q1038" s="177" t="s">
        <v>155</v>
      </c>
      <c r="R1038" s="177" t="s">
        <v>9222</v>
      </c>
      <c r="S1038" s="177"/>
      <c r="T1038" s="177" t="s">
        <v>3232</v>
      </c>
      <c r="U1038" s="177" t="s">
        <v>152</v>
      </c>
      <c r="V1038" s="177" t="s">
        <v>18</v>
      </c>
    </row>
    <row r="1039" spans="2:22">
      <c r="B1039" s="251">
        <v>46227</v>
      </c>
      <c r="C1039" s="251">
        <v>46227</v>
      </c>
      <c r="D1039" s="177" t="s">
        <v>9223</v>
      </c>
      <c r="E1039" s="177">
        <v>260100920903</v>
      </c>
      <c r="F1039" s="177" t="s">
        <v>87</v>
      </c>
      <c r="G1039" s="177" t="s">
        <v>7130</v>
      </c>
      <c r="H1039" s="177">
        <v>182</v>
      </c>
      <c r="I1039" s="177">
        <v>375</v>
      </c>
      <c r="J1039" s="378">
        <v>375</v>
      </c>
      <c r="K1039" s="177">
        <v>190</v>
      </c>
      <c r="L1039" s="253">
        <v>560</v>
      </c>
      <c r="M1039" s="177" t="s">
        <v>153</v>
      </c>
      <c r="N1039" s="177" t="s">
        <v>149</v>
      </c>
      <c r="O1039" s="177" t="s">
        <v>154</v>
      </c>
      <c r="P1039" s="177" t="s">
        <v>151</v>
      </c>
      <c r="Q1039" s="177" t="s">
        <v>155</v>
      </c>
      <c r="R1039" s="177" t="s">
        <v>9224</v>
      </c>
      <c r="S1039" s="177"/>
      <c r="T1039" s="177" t="s">
        <v>3232</v>
      </c>
      <c r="U1039" s="177" t="s">
        <v>152</v>
      </c>
      <c r="V1039" s="177" t="s">
        <v>18</v>
      </c>
    </row>
    <row r="1040" spans="2:22">
      <c r="B1040" s="251">
        <v>46227</v>
      </c>
      <c r="C1040" s="251">
        <v>46227</v>
      </c>
      <c r="D1040" s="177" t="s">
        <v>9225</v>
      </c>
      <c r="E1040" s="177">
        <v>260104620880</v>
      </c>
      <c r="F1040" s="177" t="s">
        <v>87</v>
      </c>
      <c r="G1040" s="177" t="s">
        <v>859</v>
      </c>
      <c r="H1040" s="177">
        <v>152</v>
      </c>
      <c r="I1040" s="177">
        <v>292</v>
      </c>
      <c r="J1040" s="378">
        <v>292</v>
      </c>
      <c r="K1040" s="177">
        <v>104</v>
      </c>
      <c r="L1040" s="253">
        <v>1900</v>
      </c>
      <c r="M1040" s="177" t="s">
        <v>153</v>
      </c>
      <c r="N1040" s="177" t="s">
        <v>149</v>
      </c>
      <c r="O1040" s="177" t="s">
        <v>154</v>
      </c>
      <c r="P1040" s="177" t="s">
        <v>151</v>
      </c>
      <c r="Q1040" s="177" t="s">
        <v>155</v>
      </c>
      <c r="R1040" s="177" t="s">
        <v>9226</v>
      </c>
      <c r="S1040" s="177"/>
      <c r="T1040" s="177" t="s">
        <v>3232</v>
      </c>
      <c r="U1040" s="177" t="s">
        <v>152</v>
      </c>
      <c r="V1040" s="177" t="s">
        <v>18</v>
      </c>
    </row>
    <row r="1041" spans="2:22">
      <c r="B1041" s="251">
        <v>46227</v>
      </c>
      <c r="C1041" s="251">
        <v>46227</v>
      </c>
      <c r="D1041" s="177" t="s">
        <v>9227</v>
      </c>
      <c r="E1041" s="177">
        <v>260101920853</v>
      </c>
      <c r="F1041" s="177" t="s">
        <v>87</v>
      </c>
      <c r="G1041" s="177" t="s">
        <v>2563</v>
      </c>
      <c r="H1041" s="177">
        <v>95</v>
      </c>
      <c r="I1041" s="177">
        <v>247</v>
      </c>
      <c r="J1041" s="378">
        <v>247</v>
      </c>
      <c r="K1041" s="177">
        <v>134</v>
      </c>
      <c r="L1041" s="253">
        <v>1000</v>
      </c>
      <c r="M1041" s="177" t="s">
        <v>153</v>
      </c>
      <c r="N1041" s="177" t="s">
        <v>149</v>
      </c>
      <c r="O1041" s="177" t="s">
        <v>154</v>
      </c>
      <c r="P1041" s="177" t="s">
        <v>151</v>
      </c>
      <c r="Q1041" s="177" t="s">
        <v>155</v>
      </c>
      <c r="R1041" s="177" t="s">
        <v>9228</v>
      </c>
      <c r="S1041" s="177"/>
      <c r="T1041" s="177" t="s">
        <v>3232</v>
      </c>
      <c r="U1041" s="177" t="s">
        <v>152</v>
      </c>
      <c r="V1041" s="177" t="s">
        <v>18</v>
      </c>
    </row>
    <row r="1042" spans="2:22">
      <c r="B1042" s="251">
        <v>46227</v>
      </c>
      <c r="C1042" s="251">
        <v>46227</v>
      </c>
      <c r="D1042" s="177" t="s">
        <v>9229</v>
      </c>
      <c r="E1042" s="177">
        <v>260103420893</v>
      </c>
      <c r="F1042" s="177" t="s">
        <v>87</v>
      </c>
      <c r="G1042" s="177" t="s">
        <v>859</v>
      </c>
      <c r="H1042" s="177">
        <v>152</v>
      </c>
      <c r="I1042" s="177">
        <v>265</v>
      </c>
      <c r="J1042" s="378">
        <v>265</v>
      </c>
      <c r="K1042" s="177">
        <v>104</v>
      </c>
      <c r="L1042" s="253">
        <v>1750</v>
      </c>
      <c r="M1042" s="177" t="s">
        <v>153</v>
      </c>
      <c r="N1042" s="177" t="s">
        <v>149</v>
      </c>
      <c r="O1042" s="177" t="s">
        <v>154</v>
      </c>
      <c r="P1042" s="177" t="s">
        <v>151</v>
      </c>
      <c r="Q1042" s="177" t="s">
        <v>155</v>
      </c>
      <c r="R1042" s="177" t="s">
        <v>9230</v>
      </c>
      <c r="S1042" s="177"/>
      <c r="T1042" s="177" t="s">
        <v>3232</v>
      </c>
      <c r="U1042" s="177" t="s">
        <v>152</v>
      </c>
      <c r="V1042" s="177" t="s">
        <v>18</v>
      </c>
    </row>
    <row r="1043" spans="2:22">
      <c r="B1043" s="251">
        <v>46227</v>
      </c>
      <c r="C1043" s="251">
        <v>46227</v>
      </c>
      <c r="D1043" s="177" t="s">
        <v>9231</v>
      </c>
      <c r="E1043" s="177">
        <v>260101420907</v>
      </c>
      <c r="F1043" s="177" t="s">
        <v>87</v>
      </c>
      <c r="G1043" s="177" t="s">
        <v>859</v>
      </c>
      <c r="H1043" s="177">
        <v>152</v>
      </c>
      <c r="I1043" s="177">
        <v>225</v>
      </c>
      <c r="J1043" s="378">
        <v>225</v>
      </c>
      <c r="K1043" s="177">
        <v>104</v>
      </c>
      <c r="L1043" s="253">
        <v>1500</v>
      </c>
      <c r="M1043" s="177" t="s">
        <v>153</v>
      </c>
      <c r="N1043" s="177" t="s">
        <v>149</v>
      </c>
      <c r="O1043" s="177" t="s">
        <v>154</v>
      </c>
      <c r="P1043" s="177" t="s">
        <v>151</v>
      </c>
      <c r="Q1043" s="177" t="s">
        <v>155</v>
      </c>
      <c r="R1043" s="177" t="s">
        <v>9232</v>
      </c>
      <c r="S1043" s="177"/>
      <c r="T1043" s="177" t="s">
        <v>3232</v>
      </c>
      <c r="U1043" s="177" t="s">
        <v>152</v>
      </c>
      <c r="V1043" s="177" t="s">
        <v>18</v>
      </c>
    </row>
    <row r="1044" spans="2:22">
      <c r="B1044" s="251">
        <v>46227</v>
      </c>
      <c r="C1044" s="251">
        <v>46227</v>
      </c>
      <c r="D1044" s="177" t="s">
        <v>9233</v>
      </c>
      <c r="E1044" s="177">
        <v>260102720848</v>
      </c>
      <c r="F1044" s="177" t="s">
        <v>87</v>
      </c>
      <c r="G1044" s="177" t="s">
        <v>2554</v>
      </c>
      <c r="H1044" s="177">
        <v>102</v>
      </c>
      <c r="I1044" s="177">
        <v>307</v>
      </c>
      <c r="J1044" s="378">
        <v>307</v>
      </c>
      <c r="K1044" s="177">
        <v>125</v>
      </c>
      <c r="L1044" s="253">
        <v>1220</v>
      </c>
      <c r="M1044" s="177" t="s">
        <v>153</v>
      </c>
      <c r="N1044" s="177" t="s">
        <v>149</v>
      </c>
      <c r="O1044" s="177" t="s">
        <v>154</v>
      </c>
      <c r="P1044" s="177" t="s">
        <v>151</v>
      </c>
      <c r="Q1044" s="177" t="s">
        <v>155</v>
      </c>
      <c r="R1044" s="177" t="s">
        <v>9234</v>
      </c>
      <c r="S1044" s="177"/>
      <c r="T1044" s="177" t="s">
        <v>3232</v>
      </c>
      <c r="U1044" s="177" t="s">
        <v>152</v>
      </c>
      <c r="V1044" s="177" t="s">
        <v>18</v>
      </c>
    </row>
    <row r="1045" spans="2:22">
      <c r="B1045" s="251">
        <v>46227</v>
      </c>
      <c r="C1045" s="251">
        <v>46227</v>
      </c>
      <c r="D1045" s="177" t="s">
        <v>9235</v>
      </c>
      <c r="E1045" s="177">
        <v>260101320775</v>
      </c>
      <c r="F1045" s="177" t="s">
        <v>87</v>
      </c>
      <c r="G1045" s="177" t="s">
        <v>2656</v>
      </c>
      <c r="H1045" s="177" t="s">
        <v>2647</v>
      </c>
      <c r="I1045" s="177">
        <v>842</v>
      </c>
      <c r="J1045" s="378">
        <v>842</v>
      </c>
      <c r="K1045" s="177">
        <v>180</v>
      </c>
      <c r="L1045" s="253">
        <v>1560</v>
      </c>
      <c r="M1045" s="177" t="s">
        <v>153</v>
      </c>
      <c r="N1045" s="177" t="s">
        <v>149</v>
      </c>
      <c r="O1045" s="177" t="s">
        <v>154</v>
      </c>
      <c r="P1045" s="177" t="s">
        <v>151</v>
      </c>
      <c r="Q1045" s="177" t="s">
        <v>156</v>
      </c>
      <c r="R1045" s="177" t="s">
        <v>9236</v>
      </c>
      <c r="S1045" s="177"/>
      <c r="T1045" s="177" t="s">
        <v>3232</v>
      </c>
      <c r="U1045" s="177" t="s">
        <v>152</v>
      </c>
      <c r="V1045" s="177" t="s">
        <v>20</v>
      </c>
    </row>
    <row r="1046" spans="2:22">
      <c r="B1046" s="251">
        <v>46227</v>
      </c>
      <c r="C1046" s="251">
        <v>46227</v>
      </c>
      <c r="D1046" s="177" t="s">
        <v>9237</v>
      </c>
      <c r="E1046" s="177">
        <v>260101320843</v>
      </c>
      <c r="F1046" s="177" t="s">
        <v>87</v>
      </c>
      <c r="G1046" s="177" t="s">
        <v>2656</v>
      </c>
      <c r="H1046" s="177" t="s">
        <v>2647</v>
      </c>
      <c r="I1046" s="177">
        <v>810</v>
      </c>
      <c r="J1046" s="378">
        <v>810</v>
      </c>
      <c r="K1046" s="177">
        <v>180</v>
      </c>
      <c r="L1046" s="253">
        <v>1570</v>
      </c>
      <c r="M1046" s="177" t="s">
        <v>153</v>
      </c>
      <c r="N1046" s="177" t="s">
        <v>149</v>
      </c>
      <c r="O1046" s="177" t="s">
        <v>154</v>
      </c>
      <c r="P1046" s="177" t="s">
        <v>151</v>
      </c>
      <c r="Q1046" s="177" t="s">
        <v>156</v>
      </c>
      <c r="R1046" s="177" t="s">
        <v>9238</v>
      </c>
      <c r="S1046" s="177"/>
      <c r="T1046" s="177" t="s">
        <v>3232</v>
      </c>
      <c r="U1046" s="177" t="s">
        <v>152</v>
      </c>
      <c r="V1046" s="177" t="s">
        <v>20</v>
      </c>
    </row>
    <row r="1047" spans="2:22">
      <c r="B1047" s="251">
        <v>46227</v>
      </c>
      <c r="C1047" s="251">
        <v>46227</v>
      </c>
      <c r="D1047" s="177" t="s">
        <v>9239</v>
      </c>
      <c r="E1047" s="177" t="s">
        <v>8828</v>
      </c>
      <c r="F1047" s="177" t="s">
        <v>94</v>
      </c>
      <c r="G1047" s="177" t="s">
        <v>2654</v>
      </c>
      <c r="H1047" s="177" t="s">
        <v>2653</v>
      </c>
      <c r="I1047" s="177">
        <v>126</v>
      </c>
      <c r="J1047" s="378">
        <v>126</v>
      </c>
      <c r="K1047" s="177">
        <v>78</v>
      </c>
      <c r="L1047" s="253">
        <v>1575</v>
      </c>
      <c r="M1047" s="177" t="s">
        <v>153</v>
      </c>
      <c r="N1047" s="177" t="s">
        <v>149</v>
      </c>
      <c r="O1047" s="177" t="s">
        <v>154</v>
      </c>
      <c r="P1047" s="177" t="s">
        <v>151</v>
      </c>
      <c r="Q1047" s="177" t="s">
        <v>156</v>
      </c>
      <c r="R1047" s="177" t="s">
        <v>9240</v>
      </c>
      <c r="S1047" s="177"/>
      <c r="T1047" s="177" t="s">
        <v>9241</v>
      </c>
      <c r="U1047" s="177" t="s">
        <v>152</v>
      </c>
      <c r="V1047" s="177" t="s">
        <v>20</v>
      </c>
    </row>
    <row r="1048" spans="2:22">
      <c r="B1048" s="251">
        <v>46227</v>
      </c>
      <c r="C1048" s="251">
        <v>46227</v>
      </c>
      <c r="D1048" s="177" t="s">
        <v>9242</v>
      </c>
      <c r="E1048" s="177" t="s">
        <v>9243</v>
      </c>
      <c r="F1048" s="177" t="s">
        <v>94</v>
      </c>
      <c r="G1048" s="177" t="s">
        <v>2559</v>
      </c>
      <c r="H1048" s="177" t="s">
        <v>2653</v>
      </c>
      <c r="I1048" s="177">
        <v>210</v>
      </c>
      <c r="J1048" s="378">
        <v>210</v>
      </c>
      <c r="K1048" s="177">
        <v>82</v>
      </c>
      <c r="L1048" s="253">
        <v>2511</v>
      </c>
      <c r="M1048" s="177" t="s">
        <v>153</v>
      </c>
      <c r="N1048" s="177" t="s">
        <v>149</v>
      </c>
      <c r="O1048" s="177" t="s">
        <v>154</v>
      </c>
      <c r="P1048" s="177" t="s">
        <v>151</v>
      </c>
      <c r="Q1048" s="177" t="s">
        <v>156</v>
      </c>
      <c r="R1048" s="177" t="s">
        <v>9244</v>
      </c>
      <c r="S1048" s="177"/>
      <c r="T1048" s="177" t="s">
        <v>9241</v>
      </c>
      <c r="U1048" s="177" t="s">
        <v>152</v>
      </c>
      <c r="V1048" s="177" t="s">
        <v>20</v>
      </c>
    </row>
    <row r="1049" spans="2:22">
      <c r="B1049" s="251">
        <v>46228</v>
      </c>
      <c r="C1049" s="251">
        <v>46228</v>
      </c>
      <c r="D1049" s="177" t="s">
        <v>9245</v>
      </c>
      <c r="E1049" s="177">
        <v>260103420992</v>
      </c>
      <c r="F1049" s="177" t="s">
        <v>87</v>
      </c>
      <c r="G1049" s="177" t="s">
        <v>859</v>
      </c>
      <c r="H1049" s="177">
        <v>152</v>
      </c>
      <c r="I1049" s="177">
        <v>272</v>
      </c>
      <c r="J1049" s="378">
        <v>272</v>
      </c>
      <c r="K1049" s="177">
        <v>104</v>
      </c>
      <c r="L1049" s="253">
        <v>1800</v>
      </c>
      <c r="M1049" s="177" t="s">
        <v>153</v>
      </c>
      <c r="N1049" s="177" t="s">
        <v>149</v>
      </c>
      <c r="O1049" s="177" t="s">
        <v>154</v>
      </c>
      <c r="P1049" s="177" t="s">
        <v>151</v>
      </c>
      <c r="Q1049" s="177" t="s">
        <v>155</v>
      </c>
      <c r="R1049" s="177" t="s">
        <v>9246</v>
      </c>
      <c r="S1049" s="177"/>
      <c r="T1049" s="177" t="s">
        <v>3241</v>
      </c>
      <c r="U1049" s="177" t="s">
        <v>152</v>
      </c>
      <c r="V1049" s="177" t="s">
        <v>18</v>
      </c>
    </row>
    <row r="1050" spans="2:22">
      <c r="B1050" s="251">
        <v>46228</v>
      </c>
      <c r="C1050" s="251">
        <v>46228</v>
      </c>
      <c r="D1050" s="177" t="s">
        <v>9247</v>
      </c>
      <c r="E1050" s="177">
        <v>260107320991</v>
      </c>
      <c r="F1050" s="177" t="s">
        <v>87</v>
      </c>
      <c r="G1050" s="177" t="s">
        <v>859</v>
      </c>
      <c r="H1050" s="177">
        <v>152</v>
      </c>
      <c r="I1050" s="177">
        <v>206</v>
      </c>
      <c r="J1050" s="378">
        <v>206</v>
      </c>
      <c r="K1050" s="177">
        <v>104</v>
      </c>
      <c r="L1050" s="253">
        <v>1355</v>
      </c>
      <c r="M1050" s="177" t="s">
        <v>153</v>
      </c>
      <c r="N1050" s="177" t="s">
        <v>149</v>
      </c>
      <c r="O1050" s="177" t="s">
        <v>154</v>
      </c>
      <c r="P1050" s="177" t="s">
        <v>151</v>
      </c>
      <c r="Q1050" s="177" t="s">
        <v>155</v>
      </c>
      <c r="R1050" s="177" t="s">
        <v>9248</v>
      </c>
      <c r="S1050" s="177"/>
      <c r="T1050" s="177" t="s">
        <v>3241</v>
      </c>
      <c r="U1050" s="177" t="s">
        <v>152</v>
      </c>
      <c r="V1050" s="177" t="s">
        <v>18</v>
      </c>
    </row>
    <row r="1051" spans="2:22">
      <c r="B1051" s="251">
        <v>46228</v>
      </c>
      <c r="C1051" s="251">
        <v>46228</v>
      </c>
      <c r="D1051" s="177" t="s">
        <v>9249</v>
      </c>
      <c r="E1051" s="177">
        <v>260103420993</v>
      </c>
      <c r="F1051" s="177" t="s">
        <v>87</v>
      </c>
      <c r="G1051" s="177" t="s">
        <v>859</v>
      </c>
      <c r="H1051" s="177">
        <v>152</v>
      </c>
      <c r="I1051" s="177">
        <v>274</v>
      </c>
      <c r="J1051" s="378">
        <v>274</v>
      </c>
      <c r="K1051" s="177">
        <v>104</v>
      </c>
      <c r="L1051" s="253">
        <v>1800</v>
      </c>
      <c r="M1051" s="177" t="s">
        <v>153</v>
      </c>
      <c r="N1051" s="177" t="s">
        <v>149</v>
      </c>
      <c r="O1051" s="177" t="s">
        <v>154</v>
      </c>
      <c r="P1051" s="177" t="s">
        <v>151</v>
      </c>
      <c r="Q1051" s="177" t="s">
        <v>155</v>
      </c>
      <c r="R1051" s="177" t="s">
        <v>9250</v>
      </c>
      <c r="S1051" s="177"/>
      <c r="T1051" s="177" t="s">
        <v>3241</v>
      </c>
      <c r="U1051" s="177" t="s">
        <v>152</v>
      </c>
      <c r="V1051" s="177" t="s">
        <v>18</v>
      </c>
    </row>
    <row r="1052" spans="2:22">
      <c r="B1052" s="251">
        <v>46228</v>
      </c>
      <c r="C1052" s="251">
        <v>46228</v>
      </c>
      <c r="D1052" s="177" t="s">
        <v>9251</v>
      </c>
      <c r="E1052" s="177">
        <v>260100420994</v>
      </c>
      <c r="F1052" s="177" t="s">
        <v>87</v>
      </c>
      <c r="G1052" s="177" t="s">
        <v>7130</v>
      </c>
      <c r="H1052" s="177">
        <v>182</v>
      </c>
      <c r="I1052" s="177">
        <v>357</v>
      </c>
      <c r="J1052" s="378">
        <v>357</v>
      </c>
      <c r="K1052" s="177">
        <v>190</v>
      </c>
      <c r="L1052" s="253">
        <v>530</v>
      </c>
      <c r="M1052" s="177" t="s">
        <v>153</v>
      </c>
      <c r="N1052" s="177" t="s">
        <v>149</v>
      </c>
      <c r="O1052" s="177" t="s">
        <v>154</v>
      </c>
      <c r="P1052" s="177" t="s">
        <v>151</v>
      </c>
      <c r="Q1052" s="177" t="s">
        <v>155</v>
      </c>
      <c r="R1052" s="177" t="s">
        <v>9252</v>
      </c>
      <c r="S1052" s="177"/>
      <c r="T1052" s="177" t="s">
        <v>3241</v>
      </c>
      <c r="U1052" s="177" t="s">
        <v>152</v>
      </c>
      <c r="V1052" s="177" t="s">
        <v>18</v>
      </c>
    </row>
    <row r="1053" spans="2:22">
      <c r="B1053" s="251">
        <v>46228</v>
      </c>
      <c r="C1053" s="251">
        <v>46228</v>
      </c>
      <c r="D1053" s="177" t="s">
        <v>9253</v>
      </c>
      <c r="E1053" s="177">
        <v>260106320640</v>
      </c>
      <c r="F1053" s="177" t="s">
        <v>87</v>
      </c>
      <c r="G1053" s="177" t="s">
        <v>9254</v>
      </c>
      <c r="H1053" s="177" t="s">
        <v>2653</v>
      </c>
      <c r="I1053" s="177">
        <v>548</v>
      </c>
      <c r="J1053" s="378">
        <v>548</v>
      </c>
      <c r="K1053" s="177">
        <v>119</v>
      </c>
      <c r="L1053" s="253">
        <v>4500</v>
      </c>
      <c r="M1053" s="177" t="s">
        <v>153</v>
      </c>
      <c r="N1053" s="177" t="s">
        <v>149</v>
      </c>
      <c r="O1053" s="177" t="s">
        <v>154</v>
      </c>
      <c r="P1053" s="177" t="s">
        <v>151</v>
      </c>
      <c r="Q1053" s="177" t="s">
        <v>156</v>
      </c>
      <c r="R1053" s="177" t="s">
        <v>9255</v>
      </c>
      <c r="S1053" s="177"/>
      <c r="T1053" s="177" t="s">
        <v>3241</v>
      </c>
      <c r="U1053" s="177" t="s">
        <v>152</v>
      </c>
      <c r="V1053" s="177" t="s">
        <v>20</v>
      </c>
    </row>
    <row r="1054" spans="2:22">
      <c r="B1054" s="251">
        <v>46228</v>
      </c>
      <c r="C1054" s="251">
        <v>46228</v>
      </c>
      <c r="D1054" s="177" t="s">
        <v>9256</v>
      </c>
      <c r="E1054" s="177">
        <v>260103820929</v>
      </c>
      <c r="F1054" s="177" t="s">
        <v>87</v>
      </c>
      <c r="G1054" s="177" t="s">
        <v>859</v>
      </c>
      <c r="H1054" s="177">
        <v>182</v>
      </c>
      <c r="I1054" s="177">
        <v>271</v>
      </c>
      <c r="J1054" s="378">
        <v>271</v>
      </c>
      <c r="K1054" s="177">
        <v>104</v>
      </c>
      <c r="L1054" s="253">
        <v>1500</v>
      </c>
      <c r="M1054" s="177" t="s">
        <v>153</v>
      </c>
      <c r="N1054" s="177" t="s">
        <v>149</v>
      </c>
      <c r="O1054" s="177" t="s">
        <v>154</v>
      </c>
      <c r="P1054" s="177" t="s">
        <v>151</v>
      </c>
      <c r="Q1054" s="177" t="s">
        <v>155</v>
      </c>
      <c r="R1054" s="177" t="s">
        <v>9257</v>
      </c>
      <c r="S1054" s="177"/>
      <c r="T1054" s="177" t="s">
        <v>3243</v>
      </c>
      <c r="U1054" s="177" t="s">
        <v>152</v>
      </c>
      <c r="V1054" s="177" t="s">
        <v>18</v>
      </c>
    </row>
    <row r="1055" spans="2:22">
      <c r="B1055" s="251">
        <v>46228</v>
      </c>
      <c r="C1055" s="251">
        <v>46228</v>
      </c>
      <c r="D1055" s="177" t="s">
        <v>9258</v>
      </c>
      <c r="E1055" s="177">
        <v>260103820930</v>
      </c>
      <c r="F1055" s="177" t="s">
        <v>87</v>
      </c>
      <c r="G1055" s="177" t="s">
        <v>859</v>
      </c>
      <c r="H1055" s="177">
        <v>182</v>
      </c>
      <c r="I1055" s="245">
        <v>272</v>
      </c>
      <c r="J1055" s="385">
        <v>272</v>
      </c>
      <c r="K1055" s="177">
        <v>104</v>
      </c>
      <c r="L1055" s="253">
        <v>1500</v>
      </c>
      <c r="M1055" s="177" t="s">
        <v>153</v>
      </c>
      <c r="N1055" s="177" t="s">
        <v>149</v>
      </c>
      <c r="O1055" s="177" t="s">
        <v>154</v>
      </c>
      <c r="P1055" s="177" t="s">
        <v>151</v>
      </c>
      <c r="Q1055" s="177" t="s">
        <v>155</v>
      </c>
      <c r="R1055" s="177" t="s">
        <v>9259</v>
      </c>
      <c r="S1055" s="177"/>
      <c r="T1055" s="177" t="s">
        <v>3243</v>
      </c>
      <c r="U1055" s="177" t="s">
        <v>152</v>
      </c>
      <c r="V1055" s="177" t="s">
        <v>18</v>
      </c>
    </row>
    <row r="1056" spans="2:22">
      <c r="B1056" s="251">
        <v>46228</v>
      </c>
      <c r="C1056" s="251">
        <v>46228</v>
      </c>
      <c r="D1056" s="177" t="s">
        <v>9260</v>
      </c>
      <c r="E1056" s="177">
        <v>260107620945</v>
      </c>
      <c r="F1056" s="177" t="s">
        <v>87</v>
      </c>
      <c r="G1056" s="177" t="s">
        <v>2310</v>
      </c>
      <c r="H1056" s="177">
        <v>125</v>
      </c>
      <c r="I1056" s="177">
        <v>290</v>
      </c>
      <c r="J1056" s="177">
        <v>290</v>
      </c>
      <c r="K1056" s="177">
        <v>87</v>
      </c>
      <c r="L1056" s="253">
        <v>2800</v>
      </c>
      <c r="M1056" s="177" t="s">
        <v>153</v>
      </c>
      <c r="N1056" s="177" t="s">
        <v>149</v>
      </c>
      <c r="O1056" s="177" t="s">
        <v>154</v>
      </c>
      <c r="P1056" s="177" t="s">
        <v>151</v>
      </c>
      <c r="Q1056" s="177" t="s">
        <v>155</v>
      </c>
      <c r="R1056" s="177" t="s">
        <v>9261</v>
      </c>
      <c r="S1056" s="177"/>
      <c r="T1056" s="177" t="s">
        <v>3243</v>
      </c>
      <c r="U1056" s="177" t="s">
        <v>152</v>
      </c>
      <c r="V1056" s="177" t="s">
        <v>18</v>
      </c>
    </row>
    <row r="1057" spans="2:22">
      <c r="B1057" s="251">
        <v>46228</v>
      </c>
      <c r="C1057" s="251">
        <v>46228</v>
      </c>
      <c r="D1057" s="177" t="s">
        <v>9262</v>
      </c>
      <c r="E1057" s="177">
        <v>260106120959</v>
      </c>
      <c r="F1057" s="177" t="s">
        <v>87</v>
      </c>
      <c r="G1057" s="177" t="s">
        <v>2310</v>
      </c>
      <c r="H1057" s="177">
        <v>125</v>
      </c>
      <c r="I1057" s="177">
        <v>214</v>
      </c>
      <c r="J1057" s="177">
        <v>214</v>
      </c>
      <c r="K1057" s="177">
        <v>87</v>
      </c>
      <c r="L1057" s="253">
        <v>2000</v>
      </c>
      <c r="M1057" s="177" t="s">
        <v>153</v>
      </c>
      <c r="N1057" s="177" t="s">
        <v>149</v>
      </c>
      <c r="O1057" s="177" t="s">
        <v>154</v>
      </c>
      <c r="P1057" s="177" t="s">
        <v>151</v>
      </c>
      <c r="Q1057" s="177" t="s">
        <v>155</v>
      </c>
      <c r="R1057" s="177" t="s">
        <v>9263</v>
      </c>
      <c r="S1057" s="177"/>
      <c r="T1057" s="177" t="s">
        <v>3243</v>
      </c>
      <c r="U1057" s="177" t="s">
        <v>152</v>
      </c>
      <c r="V1057" s="177" t="s">
        <v>18</v>
      </c>
    </row>
    <row r="1058" spans="2:22">
      <c r="B1058" s="251">
        <v>46228</v>
      </c>
      <c r="C1058" s="251">
        <v>46228</v>
      </c>
      <c r="D1058" s="177" t="s">
        <v>9264</v>
      </c>
      <c r="E1058" s="177">
        <v>260102620974</v>
      </c>
      <c r="F1058" s="177" t="s">
        <v>87</v>
      </c>
      <c r="G1058" s="177" t="s">
        <v>2554</v>
      </c>
      <c r="H1058" s="177">
        <v>102</v>
      </c>
      <c r="I1058" s="177">
        <v>248</v>
      </c>
      <c r="J1058" s="177">
        <v>248</v>
      </c>
      <c r="K1058" s="177">
        <v>125</v>
      </c>
      <c r="L1058" s="253">
        <v>1000</v>
      </c>
      <c r="M1058" s="177" t="s">
        <v>153</v>
      </c>
      <c r="N1058" s="177" t="s">
        <v>149</v>
      </c>
      <c r="O1058" s="177" t="s">
        <v>154</v>
      </c>
      <c r="P1058" s="177" t="s">
        <v>151</v>
      </c>
      <c r="Q1058" s="177" t="s">
        <v>155</v>
      </c>
      <c r="R1058" s="177" t="s">
        <v>9265</v>
      </c>
      <c r="S1058" s="177"/>
      <c r="T1058" s="177" t="s">
        <v>3243</v>
      </c>
      <c r="U1058" s="177" t="s">
        <v>152</v>
      </c>
      <c r="V1058" s="177" t="s">
        <v>18</v>
      </c>
    </row>
    <row r="1059" spans="2:22">
      <c r="B1059" s="251">
        <v>46228</v>
      </c>
      <c r="C1059" s="251">
        <v>46228</v>
      </c>
      <c r="D1059" s="177" t="s">
        <v>9266</v>
      </c>
      <c r="E1059" s="177">
        <v>260101620975</v>
      </c>
      <c r="F1059" s="177" t="s">
        <v>87</v>
      </c>
      <c r="G1059" s="177" t="s">
        <v>2120</v>
      </c>
      <c r="H1059" s="177">
        <v>112</v>
      </c>
      <c r="I1059" s="177">
        <v>310</v>
      </c>
      <c r="J1059" s="177">
        <v>310</v>
      </c>
      <c r="K1059" s="177">
        <v>180</v>
      </c>
      <c r="L1059" s="253">
        <v>800</v>
      </c>
      <c r="M1059" s="177" t="s">
        <v>153</v>
      </c>
      <c r="N1059" s="177" t="s">
        <v>149</v>
      </c>
      <c r="O1059" s="177" t="s">
        <v>154</v>
      </c>
      <c r="P1059" s="177" t="s">
        <v>151</v>
      </c>
      <c r="Q1059" s="177" t="s">
        <v>155</v>
      </c>
      <c r="R1059" s="177" t="s">
        <v>9267</v>
      </c>
      <c r="S1059" s="177"/>
      <c r="T1059" s="177" t="s">
        <v>3243</v>
      </c>
      <c r="U1059" s="177" t="s">
        <v>152</v>
      </c>
      <c r="V1059" s="177" t="s">
        <v>18</v>
      </c>
    </row>
    <row r="1060" spans="2:22">
      <c r="B1060" s="251">
        <v>46228</v>
      </c>
      <c r="C1060" s="251">
        <v>46228</v>
      </c>
      <c r="D1060" s="177" t="s">
        <v>9268</v>
      </c>
      <c r="E1060" s="177">
        <v>260107820940</v>
      </c>
      <c r="F1060" s="177" t="s">
        <v>87</v>
      </c>
      <c r="G1060" s="177" t="s">
        <v>2425</v>
      </c>
      <c r="H1060" s="177">
        <v>135</v>
      </c>
      <c r="I1060" s="177">
        <v>312</v>
      </c>
      <c r="J1060" s="177">
        <v>312</v>
      </c>
      <c r="K1060" s="177">
        <v>92</v>
      </c>
      <c r="L1060" s="253">
        <v>2600</v>
      </c>
      <c r="M1060" s="177" t="s">
        <v>153</v>
      </c>
      <c r="N1060" s="177" t="s">
        <v>149</v>
      </c>
      <c r="O1060" s="177" t="s">
        <v>154</v>
      </c>
      <c r="P1060" s="177" t="s">
        <v>151</v>
      </c>
      <c r="Q1060" s="177" t="s">
        <v>155</v>
      </c>
      <c r="R1060" s="177" t="s">
        <v>9269</v>
      </c>
      <c r="S1060" s="177"/>
      <c r="T1060" s="177" t="s">
        <v>3243</v>
      </c>
      <c r="U1060" s="177" t="s">
        <v>152</v>
      </c>
      <c r="V1060" s="177" t="s">
        <v>18</v>
      </c>
    </row>
    <row r="1061" spans="2:22">
      <c r="B1061" s="251">
        <v>46228</v>
      </c>
      <c r="C1061" s="251">
        <v>46228</v>
      </c>
      <c r="D1061" s="177" t="s">
        <v>9270</v>
      </c>
      <c r="E1061" s="177">
        <v>260101620952</v>
      </c>
      <c r="F1061" s="177" t="s">
        <v>87</v>
      </c>
      <c r="G1061" s="177" t="s">
        <v>2120</v>
      </c>
      <c r="H1061" s="177">
        <v>112</v>
      </c>
      <c r="I1061" s="177">
        <v>388</v>
      </c>
      <c r="J1061" s="177">
        <v>388</v>
      </c>
      <c r="K1061" s="177">
        <v>180</v>
      </c>
      <c r="L1061" s="253">
        <v>1000</v>
      </c>
      <c r="M1061" s="177" t="s">
        <v>153</v>
      </c>
      <c r="N1061" s="177" t="s">
        <v>149</v>
      </c>
      <c r="O1061" s="177" t="s">
        <v>154</v>
      </c>
      <c r="P1061" s="177" t="s">
        <v>151</v>
      </c>
      <c r="Q1061" s="177" t="s">
        <v>155</v>
      </c>
      <c r="R1061" s="177" t="s">
        <v>9271</v>
      </c>
      <c r="S1061" s="177"/>
      <c r="T1061" s="177" t="s">
        <v>3243</v>
      </c>
      <c r="U1061" s="177" t="s">
        <v>152</v>
      </c>
      <c r="V1061" s="177" t="s">
        <v>18</v>
      </c>
    </row>
    <row r="1062" spans="2:22">
      <c r="B1062" s="251">
        <v>46228</v>
      </c>
      <c r="C1062" s="251">
        <v>46228</v>
      </c>
      <c r="D1062" s="177" t="s">
        <v>9272</v>
      </c>
      <c r="E1062" s="177">
        <v>260104620960</v>
      </c>
      <c r="F1062" s="177" t="s">
        <v>87</v>
      </c>
      <c r="G1062" s="177" t="s">
        <v>859</v>
      </c>
      <c r="H1062" s="177">
        <v>152</v>
      </c>
      <c r="I1062" s="177">
        <v>271</v>
      </c>
      <c r="J1062" s="177">
        <v>271</v>
      </c>
      <c r="K1062" s="177">
        <v>104</v>
      </c>
      <c r="L1062" s="253">
        <v>1800</v>
      </c>
      <c r="M1062" s="177" t="s">
        <v>153</v>
      </c>
      <c r="N1062" s="177" t="s">
        <v>149</v>
      </c>
      <c r="O1062" s="177" t="s">
        <v>154</v>
      </c>
      <c r="P1062" s="177" t="s">
        <v>151</v>
      </c>
      <c r="Q1062" s="177" t="s">
        <v>155</v>
      </c>
      <c r="R1062" s="177" t="s">
        <v>9273</v>
      </c>
      <c r="S1062" s="177"/>
      <c r="T1062" s="177" t="s">
        <v>3243</v>
      </c>
      <c r="U1062" s="177" t="s">
        <v>152</v>
      </c>
      <c r="V1062" s="177" t="s">
        <v>18</v>
      </c>
    </row>
    <row r="1063" spans="2:22">
      <c r="B1063" s="251">
        <v>46228</v>
      </c>
      <c r="C1063" s="251">
        <v>46228</v>
      </c>
      <c r="D1063" s="177" t="s">
        <v>9274</v>
      </c>
      <c r="E1063" s="177">
        <v>260103920970</v>
      </c>
      <c r="F1063" s="177" t="s">
        <v>87</v>
      </c>
      <c r="G1063" s="177" t="s">
        <v>2425</v>
      </c>
      <c r="H1063" s="177">
        <v>135</v>
      </c>
      <c r="I1063" s="177">
        <v>243</v>
      </c>
      <c r="J1063" s="177">
        <v>243</v>
      </c>
      <c r="K1063" s="177">
        <v>92</v>
      </c>
      <c r="L1063" s="253">
        <v>2020</v>
      </c>
      <c r="M1063" s="177" t="s">
        <v>153</v>
      </c>
      <c r="N1063" s="177" t="s">
        <v>149</v>
      </c>
      <c r="O1063" s="177" t="s">
        <v>154</v>
      </c>
      <c r="P1063" s="177" t="s">
        <v>151</v>
      </c>
      <c r="Q1063" s="177" t="s">
        <v>155</v>
      </c>
      <c r="R1063" s="177" t="s">
        <v>9275</v>
      </c>
      <c r="S1063" s="177"/>
      <c r="T1063" s="177" t="s">
        <v>3243</v>
      </c>
      <c r="U1063" s="177" t="s">
        <v>152</v>
      </c>
      <c r="V1063" s="177" t="s">
        <v>18</v>
      </c>
    </row>
    <row r="1064" spans="2:22">
      <c r="B1064" s="251">
        <v>46228</v>
      </c>
      <c r="C1064" s="251">
        <v>46228</v>
      </c>
      <c r="D1064" s="177" t="s">
        <v>9276</v>
      </c>
      <c r="E1064" s="177">
        <v>260103320972</v>
      </c>
      <c r="F1064" s="177" t="s">
        <v>87</v>
      </c>
      <c r="G1064" s="177" t="s">
        <v>2641</v>
      </c>
      <c r="H1064" s="177">
        <v>160</v>
      </c>
      <c r="I1064" s="177">
        <v>346</v>
      </c>
      <c r="J1064" s="177">
        <v>346</v>
      </c>
      <c r="K1064" s="177">
        <v>102</v>
      </c>
      <c r="L1064" s="253">
        <v>2220</v>
      </c>
      <c r="M1064" s="177" t="s">
        <v>153</v>
      </c>
      <c r="N1064" s="177" t="s">
        <v>149</v>
      </c>
      <c r="O1064" s="177" t="s">
        <v>154</v>
      </c>
      <c r="P1064" s="177" t="s">
        <v>151</v>
      </c>
      <c r="Q1064" s="177" t="s">
        <v>155</v>
      </c>
      <c r="R1064" s="177" t="s">
        <v>9277</v>
      </c>
      <c r="S1064" s="177"/>
      <c r="T1064" s="177" t="s">
        <v>3243</v>
      </c>
      <c r="U1064" s="177" t="s">
        <v>152</v>
      </c>
      <c r="V1064" s="177" t="s">
        <v>18</v>
      </c>
    </row>
    <row r="1065" spans="2:22">
      <c r="B1065" s="251">
        <v>46228</v>
      </c>
      <c r="C1065" s="251">
        <v>46228</v>
      </c>
      <c r="D1065" s="177" t="s">
        <v>9278</v>
      </c>
      <c r="E1065" s="177">
        <v>260105020936</v>
      </c>
      <c r="F1065" s="177" t="s">
        <v>87</v>
      </c>
      <c r="G1065" s="177" t="s">
        <v>2641</v>
      </c>
      <c r="H1065" s="177">
        <v>162</v>
      </c>
      <c r="I1065" s="177">
        <v>341</v>
      </c>
      <c r="J1065" s="177">
        <v>341</v>
      </c>
      <c r="K1065" s="177">
        <v>102</v>
      </c>
      <c r="L1065" s="253">
        <v>2160</v>
      </c>
      <c r="M1065" s="177" t="s">
        <v>153</v>
      </c>
      <c r="N1065" s="177" t="s">
        <v>149</v>
      </c>
      <c r="O1065" s="177" t="s">
        <v>154</v>
      </c>
      <c r="P1065" s="177" t="s">
        <v>151</v>
      </c>
      <c r="Q1065" s="177" t="s">
        <v>155</v>
      </c>
      <c r="R1065" s="177" t="s">
        <v>9279</v>
      </c>
      <c r="S1065" s="177"/>
      <c r="T1065" s="177" t="s">
        <v>3243</v>
      </c>
      <c r="U1065" s="177" t="s">
        <v>152</v>
      </c>
      <c r="V1065" s="177" t="s">
        <v>18</v>
      </c>
    </row>
    <row r="1066" spans="2:22">
      <c r="B1066" s="251">
        <v>46228</v>
      </c>
      <c r="C1066" s="251">
        <v>46228</v>
      </c>
      <c r="D1066" s="177" t="s">
        <v>9280</v>
      </c>
      <c r="E1066" s="177">
        <v>260100920951</v>
      </c>
      <c r="F1066" s="177" t="s">
        <v>87</v>
      </c>
      <c r="G1066" s="177" t="s">
        <v>7130</v>
      </c>
      <c r="H1066" s="177">
        <v>182</v>
      </c>
      <c r="I1066" s="177">
        <v>332</v>
      </c>
      <c r="J1066" s="177">
        <v>332</v>
      </c>
      <c r="K1066" s="177">
        <v>190</v>
      </c>
      <c r="L1066" s="253">
        <v>500</v>
      </c>
      <c r="M1066" s="177" t="s">
        <v>153</v>
      </c>
      <c r="N1066" s="177" t="s">
        <v>149</v>
      </c>
      <c r="O1066" s="177" t="s">
        <v>154</v>
      </c>
      <c r="P1066" s="177" t="s">
        <v>151</v>
      </c>
      <c r="Q1066" s="177" t="s">
        <v>155</v>
      </c>
      <c r="R1066" s="177" t="s">
        <v>9281</v>
      </c>
      <c r="S1066" s="177"/>
      <c r="T1066" s="177" t="s">
        <v>3243</v>
      </c>
      <c r="U1066" s="177" t="s">
        <v>152</v>
      </c>
      <c r="V1066" s="177" t="s">
        <v>18</v>
      </c>
    </row>
    <row r="1067" spans="2:22">
      <c r="B1067" s="251">
        <v>46228</v>
      </c>
      <c r="C1067" s="251">
        <v>46228</v>
      </c>
      <c r="D1067" s="177" t="s">
        <v>9282</v>
      </c>
      <c r="E1067" s="177">
        <v>260105820961</v>
      </c>
      <c r="F1067" s="177" t="s">
        <v>87</v>
      </c>
      <c r="G1067" s="177" t="s">
        <v>859</v>
      </c>
      <c r="H1067" s="177">
        <v>152</v>
      </c>
      <c r="I1067" s="177">
        <v>221</v>
      </c>
      <c r="J1067" s="177">
        <v>221</v>
      </c>
      <c r="K1067" s="177">
        <v>104</v>
      </c>
      <c r="L1067" s="253">
        <v>1500</v>
      </c>
      <c r="M1067" s="177" t="s">
        <v>153</v>
      </c>
      <c r="N1067" s="177" t="s">
        <v>149</v>
      </c>
      <c r="O1067" s="177" t="s">
        <v>154</v>
      </c>
      <c r="P1067" s="177" t="s">
        <v>151</v>
      </c>
      <c r="Q1067" s="177" t="s">
        <v>155</v>
      </c>
      <c r="R1067" s="177" t="s">
        <v>9283</v>
      </c>
      <c r="S1067" s="177"/>
      <c r="T1067" s="177" t="s">
        <v>3243</v>
      </c>
      <c r="U1067" s="177" t="s">
        <v>152</v>
      </c>
      <c r="V1067" s="177" t="s">
        <v>18</v>
      </c>
    </row>
    <row r="1068" spans="2:22">
      <c r="B1068" s="251">
        <v>46228</v>
      </c>
      <c r="C1068" s="251">
        <v>46228</v>
      </c>
      <c r="D1068" s="177" t="s">
        <v>9284</v>
      </c>
      <c r="E1068" s="177">
        <v>260103320971</v>
      </c>
      <c r="F1068" s="177" t="s">
        <v>87</v>
      </c>
      <c r="G1068" s="177" t="s">
        <v>2641</v>
      </c>
      <c r="H1068" s="177">
        <v>160</v>
      </c>
      <c r="I1068" s="177">
        <v>348</v>
      </c>
      <c r="J1068" s="177">
        <v>348</v>
      </c>
      <c r="K1068" s="177">
        <v>102</v>
      </c>
      <c r="L1068" s="253">
        <v>2220</v>
      </c>
      <c r="M1068" s="177" t="s">
        <v>153</v>
      </c>
      <c r="N1068" s="177" t="s">
        <v>149</v>
      </c>
      <c r="O1068" s="177" t="s">
        <v>154</v>
      </c>
      <c r="P1068" s="177" t="s">
        <v>151</v>
      </c>
      <c r="Q1068" s="177" t="s">
        <v>155</v>
      </c>
      <c r="R1068" s="177" t="s">
        <v>9285</v>
      </c>
      <c r="S1068" s="177"/>
      <c r="T1068" s="177" t="s">
        <v>3243</v>
      </c>
      <c r="U1068" s="177" t="s">
        <v>152</v>
      </c>
      <c r="V1068" s="177" t="s">
        <v>18</v>
      </c>
    </row>
    <row r="1069" spans="2:22">
      <c r="B1069" s="251">
        <v>46228</v>
      </c>
      <c r="C1069" s="251">
        <v>46228</v>
      </c>
      <c r="D1069" s="177" t="s">
        <v>9286</v>
      </c>
      <c r="E1069" s="177">
        <v>260100520980</v>
      </c>
      <c r="F1069" s="177" t="s">
        <v>87</v>
      </c>
      <c r="G1069" s="177" t="s">
        <v>8900</v>
      </c>
      <c r="H1069" s="177">
        <v>192</v>
      </c>
      <c r="I1069" s="177">
        <v>326</v>
      </c>
      <c r="J1069" s="177">
        <v>326</v>
      </c>
      <c r="K1069" s="177">
        <v>180</v>
      </c>
      <c r="L1069" s="253">
        <v>500</v>
      </c>
      <c r="M1069" s="177" t="s">
        <v>153</v>
      </c>
      <c r="N1069" s="177" t="s">
        <v>149</v>
      </c>
      <c r="O1069" s="177" t="s">
        <v>154</v>
      </c>
      <c r="P1069" s="177" t="s">
        <v>151</v>
      </c>
      <c r="Q1069" s="177" t="s">
        <v>155</v>
      </c>
      <c r="R1069" s="177" t="s">
        <v>9287</v>
      </c>
      <c r="S1069" s="177"/>
      <c r="T1069" s="177" t="s">
        <v>3243</v>
      </c>
      <c r="U1069" s="177" t="s">
        <v>152</v>
      </c>
      <c r="V1069" s="177" t="s">
        <v>18</v>
      </c>
    </row>
    <row r="1070" spans="2:22">
      <c r="B1070" s="251">
        <v>46228</v>
      </c>
      <c r="C1070" s="251">
        <v>46228</v>
      </c>
      <c r="D1070" s="177" t="s">
        <v>9288</v>
      </c>
      <c r="E1070" s="177">
        <v>260100920982</v>
      </c>
      <c r="F1070" s="177" t="s">
        <v>87</v>
      </c>
      <c r="G1070" s="177" t="s">
        <v>7130</v>
      </c>
      <c r="H1070" s="177">
        <v>182</v>
      </c>
      <c r="I1070" s="177">
        <v>367</v>
      </c>
      <c r="J1070" s="177">
        <v>367</v>
      </c>
      <c r="K1070" s="177">
        <v>190</v>
      </c>
      <c r="L1070" s="253">
        <v>550</v>
      </c>
      <c r="M1070" s="177" t="s">
        <v>153</v>
      </c>
      <c r="N1070" s="177" t="s">
        <v>149</v>
      </c>
      <c r="O1070" s="177" t="s">
        <v>154</v>
      </c>
      <c r="P1070" s="177" t="s">
        <v>151</v>
      </c>
      <c r="Q1070" s="177" t="s">
        <v>155</v>
      </c>
      <c r="R1070" s="177" t="s">
        <v>9289</v>
      </c>
      <c r="S1070" s="177"/>
      <c r="T1070" s="177" t="s">
        <v>3243</v>
      </c>
      <c r="U1070" s="177" t="s">
        <v>152</v>
      </c>
      <c r="V1070" s="177" t="s">
        <v>18</v>
      </c>
    </row>
    <row r="1071" spans="2:22">
      <c r="B1071" s="251">
        <v>46228</v>
      </c>
      <c r="C1071" s="251">
        <v>46228</v>
      </c>
      <c r="D1071" s="177" t="s">
        <v>9290</v>
      </c>
      <c r="E1071" s="177">
        <v>260100520921</v>
      </c>
      <c r="F1071" s="177" t="s">
        <v>87</v>
      </c>
      <c r="G1071" s="177" t="s">
        <v>8900</v>
      </c>
      <c r="H1071" s="177">
        <v>192</v>
      </c>
      <c r="I1071" s="177">
        <v>364</v>
      </c>
      <c r="J1071" s="177">
        <v>364</v>
      </c>
      <c r="K1071" s="177">
        <v>180</v>
      </c>
      <c r="L1071" s="253">
        <v>540</v>
      </c>
      <c r="M1071" s="177" t="s">
        <v>153</v>
      </c>
      <c r="N1071" s="177" t="s">
        <v>149</v>
      </c>
      <c r="O1071" s="177" t="s">
        <v>154</v>
      </c>
      <c r="P1071" s="177" t="s">
        <v>151</v>
      </c>
      <c r="Q1071" s="177" t="s">
        <v>155</v>
      </c>
      <c r="R1071" s="177" t="s">
        <v>9291</v>
      </c>
      <c r="S1071" s="177"/>
      <c r="T1071" s="177" t="s">
        <v>3243</v>
      </c>
      <c r="U1071" s="177" t="s">
        <v>152</v>
      </c>
      <c r="V1071" s="177" t="s">
        <v>18</v>
      </c>
    </row>
    <row r="1072" spans="2:22">
      <c r="B1072" s="251">
        <v>46228</v>
      </c>
      <c r="C1072" s="251">
        <v>46228</v>
      </c>
      <c r="D1072" s="177" t="s">
        <v>9292</v>
      </c>
      <c r="E1072" s="177">
        <v>260105320965</v>
      </c>
      <c r="F1072" s="177" t="s">
        <v>87</v>
      </c>
      <c r="G1072" s="177" t="s">
        <v>859</v>
      </c>
      <c r="H1072" s="177">
        <v>152</v>
      </c>
      <c r="I1072" s="177">
        <v>270</v>
      </c>
      <c r="J1072" s="177">
        <v>270</v>
      </c>
      <c r="K1072" s="177">
        <v>104</v>
      </c>
      <c r="L1072" s="253">
        <v>1820</v>
      </c>
      <c r="M1072" s="177" t="s">
        <v>153</v>
      </c>
      <c r="N1072" s="177" t="s">
        <v>149</v>
      </c>
      <c r="O1072" s="177" t="s">
        <v>154</v>
      </c>
      <c r="P1072" s="177" t="s">
        <v>151</v>
      </c>
      <c r="Q1072" s="177" t="s">
        <v>155</v>
      </c>
      <c r="R1072" s="177" t="s">
        <v>9293</v>
      </c>
      <c r="S1072" s="177"/>
      <c r="T1072" s="177" t="s">
        <v>3243</v>
      </c>
      <c r="U1072" s="177" t="s">
        <v>152</v>
      </c>
      <c r="V1072" s="177" t="s">
        <v>18</v>
      </c>
    </row>
    <row r="1073" spans="2:22">
      <c r="B1073" s="251">
        <v>46228</v>
      </c>
      <c r="C1073" s="251">
        <v>46228</v>
      </c>
      <c r="D1073" s="177" t="s">
        <v>9294</v>
      </c>
      <c r="E1073" s="177">
        <v>260100420981</v>
      </c>
      <c r="F1073" s="177" t="s">
        <v>87</v>
      </c>
      <c r="G1073" s="177" t="s">
        <v>7130</v>
      </c>
      <c r="H1073" s="177">
        <v>182</v>
      </c>
      <c r="I1073" s="177">
        <v>426</v>
      </c>
      <c r="J1073" s="177">
        <v>426</v>
      </c>
      <c r="K1073" s="177">
        <v>190</v>
      </c>
      <c r="L1073" s="253">
        <v>645</v>
      </c>
      <c r="M1073" s="177" t="s">
        <v>153</v>
      </c>
      <c r="N1073" s="177" t="s">
        <v>149</v>
      </c>
      <c r="O1073" s="177" t="s">
        <v>154</v>
      </c>
      <c r="P1073" s="177" t="s">
        <v>151</v>
      </c>
      <c r="Q1073" s="177" t="s">
        <v>155</v>
      </c>
      <c r="R1073" s="177" t="s">
        <v>9295</v>
      </c>
      <c r="S1073" s="177"/>
      <c r="T1073" s="177" t="s">
        <v>3243</v>
      </c>
      <c r="U1073" s="177" t="s">
        <v>152</v>
      </c>
      <c r="V1073" s="177" t="s">
        <v>18</v>
      </c>
    </row>
    <row r="1074" spans="2:22">
      <c r="B1074" s="251">
        <v>46228</v>
      </c>
      <c r="C1074" s="251">
        <v>46228</v>
      </c>
      <c r="D1074" s="177" t="s">
        <v>9296</v>
      </c>
      <c r="E1074" s="177">
        <v>260106820949</v>
      </c>
      <c r="F1074" s="177" t="s">
        <v>87</v>
      </c>
      <c r="G1074" s="177" t="s">
        <v>2649</v>
      </c>
      <c r="H1074" s="177">
        <v>125</v>
      </c>
      <c r="I1074" s="177">
        <v>232</v>
      </c>
      <c r="J1074" s="177">
        <v>232</v>
      </c>
      <c r="K1074" s="177">
        <v>92</v>
      </c>
      <c r="L1074" s="253">
        <v>2090</v>
      </c>
      <c r="M1074" s="177" t="s">
        <v>153</v>
      </c>
      <c r="N1074" s="177" t="s">
        <v>149</v>
      </c>
      <c r="O1074" s="177" t="s">
        <v>154</v>
      </c>
      <c r="P1074" s="177" t="s">
        <v>151</v>
      </c>
      <c r="Q1074" s="177" t="s">
        <v>155</v>
      </c>
      <c r="R1074" s="177" t="s">
        <v>9297</v>
      </c>
      <c r="S1074" s="177"/>
      <c r="T1074" s="177" t="s">
        <v>3243</v>
      </c>
      <c r="U1074" s="177" t="s">
        <v>152</v>
      </c>
      <c r="V1074" s="177" t="s">
        <v>18</v>
      </c>
    </row>
    <row r="1075" spans="2:22">
      <c r="B1075" s="251">
        <v>46228</v>
      </c>
      <c r="C1075" s="251">
        <v>46228</v>
      </c>
      <c r="D1075" s="177" t="s">
        <v>9298</v>
      </c>
      <c r="E1075" s="177">
        <v>260101720953</v>
      </c>
      <c r="F1075" s="177" t="s">
        <v>87</v>
      </c>
      <c r="G1075" s="177" t="s">
        <v>2408</v>
      </c>
      <c r="H1075" s="177">
        <v>95</v>
      </c>
      <c r="I1075" s="177">
        <v>271</v>
      </c>
      <c r="J1075" s="177">
        <v>271</v>
      </c>
      <c r="K1075" s="177">
        <v>134</v>
      </c>
      <c r="L1075" s="253">
        <v>1100</v>
      </c>
      <c r="M1075" s="177" t="s">
        <v>153</v>
      </c>
      <c r="N1075" s="177" t="s">
        <v>149</v>
      </c>
      <c r="O1075" s="177" t="s">
        <v>154</v>
      </c>
      <c r="P1075" s="177" t="s">
        <v>151</v>
      </c>
      <c r="Q1075" s="177" t="s">
        <v>155</v>
      </c>
      <c r="R1075" s="177" t="s">
        <v>9299</v>
      </c>
      <c r="S1075" s="177"/>
      <c r="T1075" s="177" t="s">
        <v>3243</v>
      </c>
      <c r="U1075" s="177" t="s">
        <v>152</v>
      </c>
      <c r="V1075" s="177" t="s">
        <v>18</v>
      </c>
    </row>
    <row r="1076" spans="2:22">
      <c r="B1076" s="251">
        <v>46228</v>
      </c>
      <c r="C1076" s="251">
        <v>46228</v>
      </c>
      <c r="D1076" s="177" t="s">
        <v>9300</v>
      </c>
      <c r="E1076" s="177">
        <v>260105420966</v>
      </c>
      <c r="F1076" s="177" t="s">
        <v>87</v>
      </c>
      <c r="G1076" s="177" t="s">
        <v>2310</v>
      </c>
      <c r="H1076" s="177">
        <v>125</v>
      </c>
      <c r="I1076" s="177">
        <v>213</v>
      </c>
      <c r="J1076" s="177">
        <v>213</v>
      </c>
      <c r="K1076" s="177">
        <v>87</v>
      </c>
      <c r="L1076" s="253">
        <v>2040</v>
      </c>
      <c r="M1076" s="177" t="s">
        <v>153</v>
      </c>
      <c r="N1076" s="177" t="s">
        <v>149</v>
      </c>
      <c r="O1076" s="177" t="s">
        <v>154</v>
      </c>
      <c r="P1076" s="177" t="s">
        <v>151</v>
      </c>
      <c r="Q1076" s="177" t="s">
        <v>155</v>
      </c>
      <c r="R1076" s="177" t="s">
        <v>9301</v>
      </c>
      <c r="S1076" s="177"/>
      <c r="T1076" s="177" t="s">
        <v>3243</v>
      </c>
      <c r="U1076" s="177" t="s">
        <v>152</v>
      </c>
      <c r="V1076" s="177" t="s">
        <v>18</v>
      </c>
    </row>
    <row r="1077" spans="2:22">
      <c r="B1077" s="251">
        <v>46228</v>
      </c>
      <c r="C1077" s="251">
        <v>46228</v>
      </c>
      <c r="D1077" s="177" t="s">
        <v>9302</v>
      </c>
      <c r="E1077" s="177">
        <v>260103920969</v>
      </c>
      <c r="F1077" s="177" t="s">
        <v>87</v>
      </c>
      <c r="G1077" s="177" t="s">
        <v>2425</v>
      </c>
      <c r="H1077" s="177">
        <v>135</v>
      </c>
      <c r="I1077" s="177">
        <v>248</v>
      </c>
      <c r="J1077" s="177">
        <v>248</v>
      </c>
      <c r="K1077" s="177">
        <v>92</v>
      </c>
      <c r="L1077" s="253">
        <v>2020</v>
      </c>
      <c r="M1077" s="177" t="s">
        <v>153</v>
      </c>
      <c r="N1077" s="177" t="s">
        <v>149</v>
      </c>
      <c r="O1077" s="177" t="s">
        <v>154</v>
      </c>
      <c r="P1077" s="177" t="s">
        <v>151</v>
      </c>
      <c r="Q1077" s="177" t="s">
        <v>155</v>
      </c>
      <c r="R1077" s="177" t="s">
        <v>9303</v>
      </c>
      <c r="S1077" s="177"/>
      <c r="T1077" s="177" t="s">
        <v>3243</v>
      </c>
      <c r="U1077" s="177" t="s">
        <v>152</v>
      </c>
      <c r="V1077" s="177" t="s">
        <v>18</v>
      </c>
    </row>
    <row r="1078" spans="2:22">
      <c r="B1078" s="251">
        <v>46228</v>
      </c>
      <c r="C1078" s="251">
        <v>46228</v>
      </c>
      <c r="D1078" s="177" t="s">
        <v>9304</v>
      </c>
      <c r="E1078" s="177">
        <v>260100720983</v>
      </c>
      <c r="F1078" s="177" t="s">
        <v>87</v>
      </c>
      <c r="G1078" s="177" t="s">
        <v>2120</v>
      </c>
      <c r="H1078" s="177">
        <v>122</v>
      </c>
      <c r="I1078" s="177">
        <v>97</v>
      </c>
      <c r="J1078" s="177">
        <v>97</v>
      </c>
      <c r="K1078" s="177">
        <v>180</v>
      </c>
      <c r="L1078" s="253">
        <v>225</v>
      </c>
      <c r="M1078" s="177" t="s">
        <v>153</v>
      </c>
      <c r="N1078" s="177" t="s">
        <v>149</v>
      </c>
      <c r="O1078" s="177" t="s">
        <v>154</v>
      </c>
      <c r="P1078" s="177" t="s">
        <v>151</v>
      </c>
      <c r="Q1078" s="177" t="s">
        <v>155</v>
      </c>
      <c r="R1078" s="177" t="s">
        <v>9305</v>
      </c>
      <c r="S1078" s="177"/>
      <c r="T1078" s="177" t="s">
        <v>3243</v>
      </c>
      <c r="U1078" s="177" t="s">
        <v>152</v>
      </c>
      <c r="V1078" s="177" t="s">
        <v>18</v>
      </c>
    </row>
    <row r="1079" spans="2:22">
      <c r="B1079" s="251">
        <v>46228</v>
      </c>
      <c r="C1079" s="251">
        <v>46228</v>
      </c>
      <c r="D1079" s="177" t="s">
        <v>9306</v>
      </c>
      <c r="E1079" s="177">
        <v>260102820928</v>
      </c>
      <c r="F1079" s="177" t="s">
        <v>87</v>
      </c>
      <c r="G1079" s="177" t="s">
        <v>2554</v>
      </c>
      <c r="H1079" s="177">
        <v>102</v>
      </c>
      <c r="I1079" s="177">
        <v>239</v>
      </c>
      <c r="J1079" s="177">
        <v>239</v>
      </c>
      <c r="K1079" s="177">
        <v>125</v>
      </c>
      <c r="L1079" s="253">
        <v>1000</v>
      </c>
      <c r="M1079" s="177" t="s">
        <v>153</v>
      </c>
      <c r="N1079" s="177" t="s">
        <v>149</v>
      </c>
      <c r="O1079" s="177" t="s">
        <v>154</v>
      </c>
      <c r="P1079" s="177" t="s">
        <v>151</v>
      </c>
      <c r="Q1079" s="177" t="s">
        <v>155</v>
      </c>
      <c r="R1079" s="177" t="s">
        <v>9307</v>
      </c>
      <c r="S1079" s="177"/>
      <c r="T1079" s="177" t="s">
        <v>3243</v>
      </c>
      <c r="U1079" s="177" t="s">
        <v>152</v>
      </c>
      <c r="V1079" s="177" t="s">
        <v>18</v>
      </c>
    </row>
    <row r="1080" spans="2:22">
      <c r="B1080" s="251">
        <v>46228</v>
      </c>
      <c r="C1080" s="251">
        <v>46228</v>
      </c>
      <c r="D1080" s="177" t="s">
        <v>9308</v>
      </c>
      <c r="E1080" s="177">
        <v>260105220964</v>
      </c>
      <c r="F1080" s="177" t="s">
        <v>87</v>
      </c>
      <c r="G1080" s="177" t="s">
        <v>8347</v>
      </c>
      <c r="H1080" s="177">
        <v>152</v>
      </c>
      <c r="I1080" s="177">
        <v>264</v>
      </c>
      <c r="J1080" s="177">
        <v>264</v>
      </c>
      <c r="K1080" s="177">
        <v>104</v>
      </c>
      <c r="L1080" s="253">
        <v>1760</v>
      </c>
      <c r="M1080" s="177" t="s">
        <v>153</v>
      </c>
      <c r="N1080" s="177" t="s">
        <v>149</v>
      </c>
      <c r="O1080" s="177" t="s">
        <v>154</v>
      </c>
      <c r="P1080" s="177" t="s">
        <v>151</v>
      </c>
      <c r="Q1080" s="177" t="s">
        <v>155</v>
      </c>
      <c r="R1080" s="177" t="s">
        <v>9309</v>
      </c>
      <c r="S1080" s="177"/>
      <c r="T1080" s="177" t="s">
        <v>3243</v>
      </c>
      <c r="U1080" s="177" t="s">
        <v>152</v>
      </c>
      <c r="V1080" s="177" t="s">
        <v>18</v>
      </c>
    </row>
    <row r="1081" spans="2:22">
      <c r="B1081" s="251">
        <v>46228</v>
      </c>
      <c r="C1081" s="251">
        <v>46228</v>
      </c>
      <c r="D1081" s="177" t="s">
        <v>9310</v>
      </c>
      <c r="E1081" s="177">
        <v>260102720973</v>
      </c>
      <c r="F1081" s="177" t="s">
        <v>87</v>
      </c>
      <c r="G1081" s="177" t="s">
        <v>9311</v>
      </c>
      <c r="H1081" s="177">
        <v>112</v>
      </c>
      <c r="I1081" s="177">
        <v>266</v>
      </c>
      <c r="J1081" s="177">
        <v>266</v>
      </c>
      <c r="K1081" s="177">
        <v>126</v>
      </c>
      <c r="L1081" s="253">
        <v>1000</v>
      </c>
      <c r="M1081" s="177" t="s">
        <v>153</v>
      </c>
      <c r="N1081" s="177" t="s">
        <v>149</v>
      </c>
      <c r="O1081" s="177" t="s">
        <v>154</v>
      </c>
      <c r="P1081" s="177" t="s">
        <v>151</v>
      </c>
      <c r="Q1081" s="177" t="s">
        <v>155</v>
      </c>
      <c r="R1081" s="177" t="s">
        <v>9312</v>
      </c>
      <c r="S1081" s="177"/>
      <c r="T1081" s="177" t="s">
        <v>3243</v>
      </c>
      <c r="U1081" s="177" t="s">
        <v>152</v>
      </c>
      <c r="V1081" s="177" t="s">
        <v>18</v>
      </c>
    </row>
    <row r="1082" spans="2:22">
      <c r="B1082" s="251">
        <v>46228</v>
      </c>
      <c r="C1082" s="251">
        <v>46228</v>
      </c>
      <c r="D1082" s="177" t="s">
        <v>9313</v>
      </c>
      <c r="E1082" s="177">
        <v>260101720976</v>
      </c>
      <c r="F1082" s="177" t="s">
        <v>87</v>
      </c>
      <c r="G1082" s="177" t="s">
        <v>2408</v>
      </c>
      <c r="H1082" s="177">
        <v>95</v>
      </c>
      <c r="I1082" s="177">
        <v>247</v>
      </c>
      <c r="J1082" s="177">
        <v>247</v>
      </c>
      <c r="K1082" s="177">
        <v>134</v>
      </c>
      <c r="L1082" s="253">
        <v>1000</v>
      </c>
      <c r="M1082" s="177" t="s">
        <v>153</v>
      </c>
      <c r="N1082" s="177" t="s">
        <v>149</v>
      </c>
      <c r="O1082" s="177" t="s">
        <v>154</v>
      </c>
      <c r="P1082" s="177" t="s">
        <v>151</v>
      </c>
      <c r="Q1082" s="177" t="s">
        <v>155</v>
      </c>
      <c r="R1082" s="177" t="s">
        <v>9314</v>
      </c>
      <c r="S1082" s="177"/>
      <c r="T1082" s="177" t="s">
        <v>3243</v>
      </c>
      <c r="U1082" s="177" t="s">
        <v>152</v>
      </c>
      <c r="V1082" s="177" t="s">
        <v>18</v>
      </c>
    </row>
    <row r="1083" spans="2:22">
      <c r="B1083" s="251">
        <v>46229</v>
      </c>
      <c r="C1083" s="251">
        <v>46229</v>
      </c>
      <c r="D1083" s="177" t="s">
        <v>9315</v>
      </c>
      <c r="E1083" s="177">
        <v>260107121065</v>
      </c>
      <c r="F1083" s="177" t="s">
        <v>87</v>
      </c>
      <c r="G1083" s="177" t="s">
        <v>9316</v>
      </c>
      <c r="H1083" s="177">
        <v>142</v>
      </c>
      <c r="I1083" s="177">
        <v>187</v>
      </c>
      <c r="J1083" s="177">
        <v>187</v>
      </c>
      <c r="K1083" s="177">
        <v>99</v>
      </c>
      <c r="L1083" s="253">
        <v>1380</v>
      </c>
      <c r="M1083" s="177" t="s">
        <v>153</v>
      </c>
      <c r="N1083" s="177" t="s">
        <v>149</v>
      </c>
      <c r="O1083" s="177" t="s">
        <v>154</v>
      </c>
      <c r="P1083" s="177" t="s">
        <v>151</v>
      </c>
      <c r="Q1083" s="177" t="s">
        <v>155</v>
      </c>
      <c r="R1083" s="177" t="s">
        <v>9317</v>
      </c>
      <c r="S1083" s="177"/>
      <c r="T1083" s="177" t="s">
        <v>3256</v>
      </c>
      <c r="U1083" s="177" t="s">
        <v>152</v>
      </c>
      <c r="V1083" s="177" t="s">
        <v>18</v>
      </c>
    </row>
    <row r="1084" spans="2:22">
      <c r="B1084" s="251">
        <v>46229</v>
      </c>
      <c r="C1084" s="251">
        <v>46229</v>
      </c>
      <c r="D1084" s="177" t="s">
        <v>9318</v>
      </c>
      <c r="E1084" s="177">
        <v>260100421073</v>
      </c>
      <c r="F1084" s="177" t="s">
        <v>87</v>
      </c>
      <c r="G1084" s="177" t="s">
        <v>7130</v>
      </c>
      <c r="H1084" s="177">
        <v>182</v>
      </c>
      <c r="I1084" s="177">
        <v>547</v>
      </c>
      <c r="J1084" s="177">
        <v>547</v>
      </c>
      <c r="K1084" s="177">
        <v>190</v>
      </c>
      <c r="L1084" s="253">
        <v>820</v>
      </c>
      <c r="M1084" s="177" t="s">
        <v>153</v>
      </c>
      <c r="N1084" s="177" t="s">
        <v>149</v>
      </c>
      <c r="O1084" s="177" t="s">
        <v>154</v>
      </c>
      <c r="P1084" s="177" t="s">
        <v>151</v>
      </c>
      <c r="Q1084" s="177" t="s">
        <v>155</v>
      </c>
      <c r="R1084" s="177" t="s">
        <v>9319</v>
      </c>
      <c r="S1084" s="177"/>
      <c r="T1084" s="177" t="s">
        <v>3256</v>
      </c>
      <c r="U1084" s="177" t="s">
        <v>152</v>
      </c>
      <c r="V1084" s="177" t="s">
        <v>18</v>
      </c>
    </row>
    <row r="1085" spans="2:22">
      <c r="B1085" s="251">
        <v>46229</v>
      </c>
      <c r="C1085" s="251">
        <v>46229</v>
      </c>
      <c r="D1085" s="177" t="s">
        <v>9320</v>
      </c>
      <c r="E1085" s="177">
        <v>260104721050</v>
      </c>
      <c r="F1085" s="177" t="s">
        <v>87</v>
      </c>
      <c r="G1085" s="177" t="s">
        <v>9321</v>
      </c>
      <c r="H1085" s="177">
        <v>212</v>
      </c>
      <c r="I1085" s="177">
        <v>197</v>
      </c>
      <c r="J1085" s="177">
        <v>197</v>
      </c>
      <c r="K1085" s="177">
        <v>100</v>
      </c>
      <c r="L1085" s="253">
        <v>940</v>
      </c>
      <c r="M1085" s="177" t="s">
        <v>153</v>
      </c>
      <c r="N1085" s="177" t="s">
        <v>149</v>
      </c>
      <c r="O1085" s="177" t="s">
        <v>154</v>
      </c>
      <c r="P1085" s="177" t="s">
        <v>151</v>
      </c>
      <c r="Q1085" s="177" t="s">
        <v>155</v>
      </c>
      <c r="R1085" s="177" t="s">
        <v>9322</v>
      </c>
      <c r="S1085" s="177"/>
      <c r="T1085" s="177" t="s">
        <v>3256</v>
      </c>
      <c r="U1085" s="177" t="s">
        <v>152</v>
      </c>
      <c r="V1085" s="177" t="s">
        <v>18</v>
      </c>
    </row>
    <row r="1086" spans="2:22">
      <c r="B1086" s="251">
        <v>46229</v>
      </c>
      <c r="C1086" s="251">
        <v>46229</v>
      </c>
      <c r="D1086" s="177" t="s">
        <v>9323</v>
      </c>
      <c r="E1086" s="177">
        <v>260103421074</v>
      </c>
      <c r="F1086" s="177" t="s">
        <v>87</v>
      </c>
      <c r="G1086" s="177" t="s">
        <v>859</v>
      </c>
      <c r="H1086" s="177">
        <v>152</v>
      </c>
      <c r="I1086" s="177">
        <v>246</v>
      </c>
      <c r="J1086" s="177">
        <v>246</v>
      </c>
      <c r="K1086" s="177">
        <v>104</v>
      </c>
      <c r="L1086" s="253">
        <v>1600</v>
      </c>
      <c r="M1086" s="177" t="s">
        <v>153</v>
      </c>
      <c r="N1086" s="177" t="s">
        <v>149</v>
      </c>
      <c r="O1086" s="177" t="s">
        <v>154</v>
      </c>
      <c r="P1086" s="177" t="s">
        <v>151</v>
      </c>
      <c r="Q1086" s="177" t="s">
        <v>155</v>
      </c>
      <c r="R1086" s="177" t="s">
        <v>9324</v>
      </c>
      <c r="S1086" s="177"/>
      <c r="T1086" s="177" t="s">
        <v>3256</v>
      </c>
      <c r="U1086" s="177" t="s">
        <v>152</v>
      </c>
      <c r="V1086" s="177" t="s">
        <v>18</v>
      </c>
    </row>
    <row r="1087" spans="2:22">
      <c r="B1087" s="251">
        <v>46229</v>
      </c>
      <c r="C1087" s="251">
        <v>46229</v>
      </c>
      <c r="D1087" s="177" t="s">
        <v>9325</v>
      </c>
      <c r="E1087" s="177">
        <v>260103421075</v>
      </c>
      <c r="F1087" s="177" t="s">
        <v>87</v>
      </c>
      <c r="G1087" s="177" t="s">
        <v>859</v>
      </c>
      <c r="H1087" s="177">
        <v>152</v>
      </c>
      <c r="I1087" s="177">
        <v>241</v>
      </c>
      <c r="J1087" s="177">
        <v>241</v>
      </c>
      <c r="K1087" s="177">
        <v>104</v>
      </c>
      <c r="L1087" s="253">
        <v>1600</v>
      </c>
      <c r="M1087" s="177" t="s">
        <v>153</v>
      </c>
      <c r="N1087" s="177" t="s">
        <v>149</v>
      </c>
      <c r="O1087" s="177" t="s">
        <v>154</v>
      </c>
      <c r="P1087" s="177" t="s">
        <v>151</v>
      </c>
      <c r="Q1087" s="177" t="s">
        <v>155</v>
      </c>
      <c r="R1087" s="177" t="s">
        <v>9326</v>
      </c>
      <c r="S1087" s="177"/>
      <c r="T1087" s="177" t="s">
        <v>3256</v>
      </c>
      <c r="U1087" s="177" t="s">
        <v>152</v>
      </c>
      <c r="V1087" s="177" t="s">
        <v>18</v>
      </c>
    </row>
    <row r="1088" spans="2:22">
      <c r="B1088" s="251">
        <v>46229</v>
      </c>
      <c r="C1088" s="251">
        <v>46229</v>
      </c>
      <c r="D1088" s="177" t="s">
        <v>9327</v>
      </c>
      <c r="E1088" s="177">
        <v>260101020997</v>
      </c>
      <c r="F1088" s="177" t="s">
        <v>87</v>
      </c>
      <c r="G1088" s="177" t="s">
        <v>2656</v>
      </c>
      <c r="H1088" s="177" t="s">
        <v>2647</v>
      </c>
      <c r="I1088" s="177">
        <v>783</v>
      </c>
      <c r="J1088" s="177">
        <v>783</v>
      </c>
      <c r="K1088" s="177">
        <v>180</v>
      </c>
      <c r="L1088" s="253">
        <v>1480</v>
      </c>
      <c r="M1088" s="177" t="s">
        <v>153</v>
      </c>
      <c r="N1088" s="177" t="s">
        <v>149</v>
      </c>
      <c r="O1088" s="177" t="s">
        <v>154</v>
      </c>
      <c r="P1088" s="177" t="s">
        <v>151</v>
      </c>
      <c r="Q1088" s="177" t="s">
        <v>156</v>
      </c>
      <c r="R1088" s="177" t="s">
        <v>9328</v>
      </c>
      <c r="S1088" s="177"/>
      <c r="T1088" s="177" t="s">
        <v>3256</v>
      </c>
      <c r="U1088" s="177" t="s">
        <v>152</v>
      </c>
      <c r="V1088" s="177" t="s">
        <v>20</v>
      </c>
    </row>
    <row r="1089" spans="2:22">
      <c r="B1089" s="251">
        <v>46229</v>
      </c>
      <c r="C1089" s="251">
        <v>46229</v>
      </c>
      <c r="D1089" s="177" t="s">
        <v>9329</v>
      </c>
      <c r="E1089" s="177">
        <v>260106320937</v>
      </c>
      <c r="F1089" s="177" t="s">
        <v>87</v>
      </c>
      <c r="G1089" s="177" t="s">
        <v>2556</v>
      </c>
      <c r="H1089" s="177" t="s">
        <v>661</v>
      </c>
      <c r="I1089" s="177">
        <v>30</v>
      </c>
      <c r="J1089" s="177">
        <v>30</v>
      </c>
      <c r="K1089" s="177">
        <v>30</v>
      </c>
      <c r="L1089" s="253">
        <v>1000</v>
      </c>
      <c r="M1089" s="177" t="s">
        <v>153</v>
      </c>
      <c r="N1089" s="177" t="s">
        <v>149</v>
      </c>
      <c r="O1089" s="177" t="s">
        <v>154</v>
      </c>
      <c r="P1089" s="177" t="s">
        <v>151</v>
      </c>
      <c r="Q1089" s="177" t="s">
        <v>156</v>
      </c>
      <c r="R1089" s="177" t="s">
        <v>9330</v>
      </c>
      <c r="S1089" s="177"/>
      <c r="T1089" s="177" t="s">
        <v>3256</v>
      </c>
      <c r="U1089" s="177" t="s">
        <v>152</v>
      </c>
      <c r="V1089" s="177" t="s">
        <v>20</v>
      </c>
    </row>
    <row r="1090" spans="2:22">
      <c r="B1090" s="251">
        <v>46229</v>
      </c>
      <c r="C1090" s="251">
        <v>46229</v>
      </c>
      <c r="D1090" s="177" t="s">
        <v>9331</v>
      </c>
      <c r="E1090" s="177">
        <v>260106320937</v>
      </c>
      <c r="F1090" s="177" t="s">
        <v>87</v>
      </c>
      <c r="G1090" s="177" t="s">
        <v>2556</v>
      </c>
      <c r="H1090" s="177" t="s">
        <v>661</v>
      </c>
      <c r="I1090" s="177">
        <v>30</v>
      </c>
      <c r="J1090" s="177">
        <v>30</v>
      </c>
      <c r="K1090" s="177">
        <v>30</v>
      </c>
      <c r="L1090" s="253">
        <v>1000</v>
      </c>
      <c r="M1090" s="177" t="s">
        <v>153</v>
      </c>
      <c r="N1090" s="177" t="s">
        <v>149</v>
      </c>
      <c r="O1090" s="177" t="s">
        <v>154</v>
      </c>
      <c r="P1090" s="177" t="s">
        <v>151</v>
      </c>
      <c r="Q1090" s="177" t="s">
        <v>156</v>
      </c>
      <c r="R1090" s="177" t="s">
        <v>9332</v>
      </c>
      <c r="S1090" s="177"/>
      <c r="T1090" s="177" t="s">
        <v>3256</v>
      </c>
      <c r="U1090" s="177" t="s">
        <v>152</v>
      </c>
      <c r="V1090" s="177" t="s">
        <v>20</v>
      </c>
    </row>
    <row r="1091" spans="2:22">
      <c r="B1091" s="251">
        <v>46229</v>
      </c>
      <c r="C1091" s="251">
        <v>46229</v>
      </c>
      <c r="D1091" s="177" t="s">
        <v>9333</v>
      </c>
      <c r="E1091" s="177">
        <v>260106320937</v>
      </c>
      <c r="F1091" s="177" t="s">
        <v>87</v>
      </c>
      <c r="G1091" s="177" t="s">
        <v>2556</v>
      </c>
      <c r="H1091" s="177" t="s">
        <v>661</v>
      </c>
      <c r="I1091" s="177">
        <v>32</v>
      </c>
      <c r="J1091" s="177">
        <v>32</v>
      </c>
      <c r="K1091" s="177">
        <v>30</v>
      </c>
      <c r="L1091" s="253">
        <v>1030</v>
      </c>
      <c r="M1091" s="177" t="s">
        <v>153</v>
      </c>
      <c r="N1091" s="177" t="s">
        <v>149</v>
      </c>
      <c r="O1091" s="177" t="s">
        <v>154</v>
      </c>
      <c r="P1091" s="177" t="s">
        <v>151</v>
      </c>
      <c r="Q1091" s="177" t="s">
        <v>156</v>
      </c>
      <c r="R1091" s="177" t="s">
        <v>9334</v>
      </c>
      <c r="S1091" s="177"/>
      <c r="T1091" s="177" t="s">
        <v>3256</v>
      </c>
      <c r="U1091" s="177" t="s">
        <v>152</v>
      </c>
      <c r="V1091" s="177" t="s">
        <v>20</v>
      </c>
    </row>
    <row r="1092" spans="2:22">
      <c r="B1092" s="251">
        <v>46229</v>
      </c>
      <c r="C1092" s="251">
        <v>46229</v>
      </c>
      <c r="D1092" s="177" t="s">
        <v>9335</v>
      </c>
      <c r="E1092" s="177">
        <v>260106320937</v>
      </c>
      <c r="F1092" s="177" t="s">
        <v>87</v>
      </c>
      <c r="G1092" s="177" t="s">
        <v>2556</v>
      </c>
      <c r="H1092" s="177" t="s">
        <v>661</v>
      </c>
      <c r="I1092" s="177">
        <v>32</v>
      </c>
      <c r="J1092" s="177">
        <v>32</v>
      </c>
      <c r="K1092" s="177">
        <v>30</v>
      </c>
      <c r="L1092" s="253">
        <v>1030</v>
      </c>
      <c r="M1092" s="177" t="s">
        <v>153</v>
      </c>
      <c r="N1092" s="177" t="s">
        <v>149</v>
      </c>
      <c r="O1092" s="177" t="s">
        <v>154</v>
      </c>
      <c r="P1092" s="177" t="s">
        <v>151</v>
      </c>
      <c r="Q1092" s="177" t="s">
        <v>156</v>
      </c>
      <c r="R1092" s="177" t="s">
        <v>9336</v>
      </c>
      <c r="S1092" s="177"/>
      <c r="T1092" s="177" t="s">
        <v>3256</v>
      </c>
      <c r="U1092" s="177" t="s">
        <v>152</v>
      </c>
      <c r="V1092" s="177" t="s">
        <v>20</v>
      </c>
    </row>
    <row r="1093" spans="2:22">
      <c r="B1093" s="251">
        <v>46229</v>
      </c>
      <c r="C1093" s="251">
        <v>46229</v>
      </c>
      <c r="D1093" s="177" t="s">
        <v>9337</v>
      </c>
      <c r="E1093" s="177">
        <v>260106320937</v>
      </c>
      <c r="F1093" s="177" t="s">
        <v>87</v>
      </c>
      <c r="G1093" s="177" t="s">
        <v>2556</v>
      </c>
      <c r="H1093" s="177" t="s">
        <v>661</v>
      </c>
      <c r="I1093" s="177">
        <v>32</v>
      </c>
      <c r="J1093" s="177">
        <v>32</v>
      </c>
      <c r="K1093" s="177">
        <v>30</v>
      </c>
      <c r="L1093" s="253">
        <v>1030</v>
      </c>
      <c r="M1093" s="177" t="s">
        <v>153</v>
      </c>
      <c r="N1093" s="177" t="s">
        <v>149</v>
      </c>
      <c r="O1093" s="177" t="s">
        <v>154</v>
      </c>
      <c r="P1093" s="177" t="s">
        <v>151</v>
      </c>
      <c r="Q1093" s="177" t="s">
        <v>156</v>
      </c>
      <c r="R1093" s="177" t="s">
        <v>9338</v>
      </c>
      <c r="S1093" s="177"/>
      <c r="T1093" s="177" t="s">
        <v>3256</v>
      </c>
      <c r="U1093" s="177" t="s">
        <v>152</v>
      </c>
      <c r="V1093" s="177" t="s">
        <v>20</v>
      </c>
    </row>
    <row r="1094" spans="2:22">
      <c r="B1094" s="251">
        <v>46229</v>
      </c>
      <c r="C1094" s="251">
        <v>46229</v>
      </c>
      <c r="D1094" s="177" t="s">
        <v>9339</v>
      </c>
      <c r="E1094" s="177">
        <v>260106320937</v>
      </c>
      <c r="F1094" s="177" t="s">
        <v>87</v>
      </c>
      <c r="G1094" s="177" t="s">
        <v>2556</v>
      </c>
      <c r="H1094" s="177" t="s">
        <v>661</v>
      </c>
      <c r="I1094" s="177">
        <v>32</v>
      </c>
      <c r="J1094" s="177">
        <v>32</v>
      </c>
      <c r="K1094" s="177">
        <v>30</v>
      </c>
      <c r="L1094" s="253">
        <v>1030</v>
      </c>
      <c r="M1094" s="177" t="s">
        <v>153</v>
      </c>
      <c r="N1094" s="177" t="s">
        <v>149</v>
      </c>
      <c r="O1094" s="177" t="s">
        <v>154</v>
      </c>
      <c r="P1094" s="177" t="s">
        <v>151</v>
      </c>
      <c r="Q1094" s="177" t="s">
        <v>156</v>
      </c>
      <c r="R1094" s="177" t="s">
        <v>9340</v>
      </c>
      <c r="S1094" s="177"/>
      <c r="T1094" s="177" t="s">
        <v>3256</v>
      </c>
      <c r="U1094" s="177" t="s">
        <v>152</v>
      </c>
      <c r="V1094" s="177" t="s">
        <v>20</v>
      </c>
    </row>
    <row r="1095" spans="2:22">
      <c r="B1095" s="251">
        <v>46229</v>
      </c>
      <c r="C1095" s="251">
        <v>46229</v>
      </c>
      <c r="D1095" s="177" t="s">
        <v>9341</v>
      </c>
      <c r="E1095" s="177">
        <v>260106320937</v>
      </c>
      <c r="F1095" s="177" t="s">
        <v>87</v>
      </c>
      <c r="G1095" s="177" t="s">
        <v>2556</v>
      </c>
      <c r="H1095" s="177" t="s">
        <v>661</v>
      </c>
      <c r="I1095" s="177">
        <v>29</v>
      </c>
      <c r="J1095" s="177">
        <v>29</v>
      </c>
      <c r="K1095" s="177">
        <v>30</v>
      </c>
      <c r="L1095" s="253">
        <v>950</v>
      </c>
      <c r="M1095" s="177" t="s">
        <v>153</v>
      </c>
      <c r="N1095" s="177" t="s">
        <v>149</v>
      </c>
      <c r="O1095" s="177" t="s">
        <v>154</v>
      </c>
      <c r="P1095" s="177" t="s">
        <v>151</v>
      </c>
      <c r="Q1095" s="177" t="s">
        <v>156</v>
      </c>
      <c r="R1095" s="177" t="s">
        <v>9342</v>
      </c>
      <c r="S1095" s="177"/>
      <c r="T1095" s="177" t="s">
        <v>3256</v>
      </c>
      <c r="U1095" s="177" t="s">
        <v>152</v>
      </c>
      <c r="V1095" s="177" t="s">
        <v>20</v>
      </c>
    </row>
    <row r="1096" spans="2:22">
      <c r="B1096" s="251">
        <v>46229</v>
      </c>
      <c r="C1096" s="251">
        <v>46229</v>
      </c>
      <c r="D1096" s="177" t="s">
        <v>9343</v>
      </c>
      <c r="E1096" s="177">
        <v>260106320937</v>
      </c>
      <c r="F1096" s="177" t="s">
        <v>87</v>
      </c>
      <c r="G1096" s="177" t="s">
        <v>2556</v>
      </c>
      <c r="H1096" s="177" t="s">
        <v>661</v>
      </c>
      <c r="I1096" s="177">
        <v>29</v>
      </c>
      <c r="J1096" s="177">
        <v>29</v>
      </c>
      <c r="K1096" s="177">
        <v>30</v>
      </c>
      <c r="L1096" s="253">
        <v>950</v>
      </c>
      <c r="M1096" s="177" t="s">
        <v>153</v>
      </c>
      <c r="N1096" s="177" t="s">
        <v>149</v>
      </c>
      <c r="O1096" s="177" t="s">
        <v>154</v>
      </c>
      <c r="P1096" s="177" t="s">
        <v>151</v>
      </c>
      <c r="Q1096" s="177" t="s">
        <v>156</v>
      </c>
      <c r="R1096" s="177" t="s">
        <v>9344</v>
      </c>
      <c r="S1096" s="177"/>
      <c r="T1096" s="177" t="s">
        <v>3256</v>
      </c>
      <c r="U1096" s="177" t="s">
        <v>152</v>
      </c>
      <c r="V1096" s="177" t="s">
        <v>20</v>
      </c>
    </row>
    <row r="1097" spans="2:22">
      <c r="B1097" s="251">
        <v>46229</v>
      </c>
      <c r="C1097" s="251">
        <v>46229</v>
      </c>
      <c r="D1097" s="177" t="s">
        <v>9345</v>
      </c>
      <c r="E1097" s="177">
        <v>260101020876</v>
      </c>
      <c r="F1097" s="177" t="s">
        <v>87</v>
      </c>
      <c r="G1097" s="177" t="s">
        <v>2656</v>
      </c>
      <c r="H1097" s="177" t="s">
        <v>2647</v>
      </c>
      <c r="I1097" s="177">
        <v>782</v>
      </c>
      <c r="J1097" s="177">
        <v>782</v>
      </c>
      <c r="K1097" s="177">
        <v>180</v>
      </c>
      <c r="L1097" s="253">
        <v>1520</v>
      </c>
      <c r="M1097" s="177" t="s">
        <v>153</v>
      </c>
      <c r="N1097" s="177" t="s">
        <v>149</v>
      </c>
      <c r="O1097" s="177" t="s">
        <v>154</v>
      </c>
      <c r="P1097" s="177" t="s">
        <v>151</v>
      </c>
      <c r="Q1097" s="177" t="s">
        <v>156</v>
      </c>
      <c r="R1097" s="177" t="s">
        <v>9346</v>
      </c>
      <c r="S1097" s="177"/>
      <c r="T1097" s="177" t="s">
        <v>3256</v>
      </c>
      <c r="U1097" s="177" t="s">
        <v>152</v>
      </c>
      <c r="V1097" s="177" t="s">
        <v>20</v>
      </c>
    </row>
    <row r="1098" spans="2:22">
      <c r="B1098" s="251">
        <v>46229</v>
      </c>
      <c r="C1098" s="251">
        <v>46229</v>
      </c>
      <c r="D1098" s="177" t="s">
        <v>9347</v>
      </c>
      <c r="E1098" s="177">
        <v>260101320996</v>
      </c>
      <c r="F1098" s="177" t="s">
        <v>87</v>
      </c>
      <c r="G1098" s="177" t="s">
        <v>2656</v>
      </c>
      <c r="H1098" s="177" t="s">
        <v>2647</v>
      </c>
      <c r="I1098" s="177">
        <v>812</v>
      </c>
      <c r="J1098" s="177">
        <v>812</v>
      </c>
      <c r="K1098" s="177">
        <v>180</v>
      </c>
      <c r="L1098" s="253">
        <v>1600</v>
      </c>
      <c r="M1098" s="177" t="s">
        <v>153</v>
      </c>
      <c r="N1098" s="177" t="s">
        <v>149</v>
      </c>
      <c r="O1098" s="177" t="s">
        <v>154</v>
      </c>
      <c r="P1098" s="177" t="s">
        <v>151</v>
      </c>
      <c r="Q1098" s="177" t="s">
        <v>156</v>
      </c>
      <c r="R1098" s="177" t="s">
        <v>9348</v>
      </c>
      <c r="S1098" s="177"/>
      <c r="T1098" s="177" t="s">
        <v>3256</v>
      </c>
      <c r="U1098" s="177" t="s">
        <v>152</v>
      </c>
      <c r="V1098" s="177" t="s">
        <v>20</v>
      </c>
    </row>
    <row r="1099" spans="2:22">
      <c r="B1099" s="251">
        <v>46229</v>
      </c>
      <c r="C1099" s="251">
        <v>46229</v>
      </c>
      <c r="D1099" s="177" t="s">
        <v>9349</v>
      </c>
      <c r="E1099" s="177">
        <v>260106320937</v>
      </c>
      <c r="F1099" s="177" t="s">
        <v>87</v>
      </c>
      <c r="G1099" s="177" t="s">
        <v>2556</v>
      </c>
      <c r="H1099" s="177" t="s">
        <v>661</v>
      </c>
      <c r="I1099" s="177">
        <v>29</v>
      </c>
      <c r="J1099" s="177">
        <v>29</v>
      </c>
      <c r="K1099" s="177">
        <v>30</v>
      </c>
      <c r="L1099" s="253">
        <v>950</v>
      </c>
      <c r="M1099" s="177" t="s">
        <v>153</v>
      </c>
      <c r="N1099" s="177" t="s">
        <v>149</v>
      </c>
      <c r="O1099" s="177" t="s">
        <v>154</v>
      </c>
      <c r="P1099" s="177" t="s">
        <v>151</v>
      </c>
      <c r="Q1099" s="177" t="s">
        <v>156</v>
      </c>
      <c r="R1099" s="177" t="s">
        <v>9350</v>
      </c>
      <c r="S1099" s="177"/>
      <c r="T1099" s="177" t="s">
        <v>3256</v>
      </c>
      <c r="U1099" s="177" t="s">
        <v>152</v>
      </c>
      <c r="V1099" s="177" t="s">
        <v>20</v>
      </c>
    </row>
    <row r="1100" spans="2:22">
      <c r="B1100" s="251">
        <v>46229</v>
      </c>
      <c r="C1100" s="251">
        <v>46229</v>
      </c>
      <c r="D1100" s="177" t="s">
        <v>9351</v>
      </c>
      <c r="E1100" s="177">
        <v>260106320937</v>
      </c>
      <c r="F1100" s="177" t="s">
        <v>87</v>
      </c>
      <c r="G1100" s="177" t="s">
        <v>2556</v>
      </c>
      <c r="H1100" s="177" t="s">
        <v>661</v>
      </c>
      <c r="I1100" s="177">
        <v>29</v>
      </c>
      <c r="J1100" s="177">
        <v>29</v>
      </c>
      <c r="K1100" s="177">
        <v>30</v>
      </c>
      <c r="L1100" s="253">
        <v>950</v>
      </c>
      <c r="M1100" s="177" t="s">
        <v>153</v>
      </c>
      <c r="N1100" s="177" t="s">
        <v>149</v>
      </c>
      <c r="O1100" s="177" t="s">
        <v>154</v>
      </c>
      <c r="P1100" s="177" t="s">
        <v>151</v>
      </c>
      <c r="Q1100" s="177" t="s">
        <v>156</v>
      </c>
      <c r="R1100" s="177" t="s">
        <v>9352</v>
      </c>
      <c r="S1100" s="177"/>
      <c r="T1100" s="177" t="s">
        <v>3256</v>
      </c>
      <c r="U1100" s="177" t="s">
        <v>152</v>
      </c>
      <c r="V1100" s="177" t="s">
        <v>20</v>
      </c>
    </row>
    <row r="1101" spans="2:22">
      <c r="B1101" s="251">
        <v>46229</v>
      </c>
      <c r="C1101" s="251">
        <v>46229</v>
      </c>
      <c r="D1101" s="177" t="s">
        <v>9353</v>
      </c>
      <c r="E1101" s="177">
        <v>260106320937</v>
      </c>
      <c r="F1101" s="177" t="s">
        <v>87</v>
      </c>
      <c r="G1101" s="177" t="s">
        <v>2556</v>
      </c>
      <c r="H1101" s="177" t="s">
        <v>661</v>
      </c>
      <c r="I1101" s="177">
        <v>29</v>
      </c>
      <c r="J1101" s="177">
        <v>29</v>
      </c>
      <c r="K1101" s="177">
        <v>30</v>
      </c>
      <c r="L1101" s="253">
        <v>950</v>
      </c>
      <c r="M1101" s="177" t="s">
        <v>153</v>
      </c>
      <c r="N1101" s="177" t="s">
        <v>149</v>
      </c>
      <c r="O1101" s="177" t="s">
        <v>154</v>
      </c>
      <c r="P1101" s="177" t="s">
        <v>151</v>
      </c>
      <c r="Q1101" s="177" t="s">
        <v>156</v>
      </c>
      <c r="R1101" s="177" t="s">
        <v>9354</v>
      </c>
      <c r="S1101" s="177"/>
      <c r="T1101" s="177" t="s">
        <v>3256</v>
      </c>
      <c r="U1101" s="177" t="s">
        <v>152</v>
      </c>
      <c r="V1101" s="177" t="s">
        <v>20</v>
      </c>
    </row>
    <row r="1102" spans="2:22">
      <c r="B1102" s="251">
        <v>46229</v>
      </c>
      <c r="C1102" s="251">
        <v>46229</v>
      </c>
      <c r="D1102" s="177" t="s">
        <v>9355</v>
      </c>
      <c r="E1102" s="177">
        <v>260106320937</v>
      </c>
      <c r="F1102" s="177" t="s">
        <v>87</v>
      </c>
      <c r="G1102" s="177" t="s">
        <v>2556</v>
      </c>
      <c r="H1102" s="177" t="s">
        <v>661</v>
      </c>
      <c r="I1102" s="177">
        <v>29</v>
      </c>
      <c r="J1102" s="177">
        <v>29</v>
      </c>
      <c r="K1102" s="177">
        <v>30</v>
      </c>
      <c r="L1102" s="177">
        <v>950</v>
      </c>
      <c r="M1102" s="177" t="s">
        <v>153</v>
      </c>
      <c r="N1102" s="177" t="s">
        <v>149</v>
      </c>
      <c r="O1102" s="177" t="s">
        <v>154</v>
      </c>
      <c r="P1102" s="177" t="s">
        <v>151</v>
      </c>
      <c r="Q1102" s="177" t="s">
        <v>156</v>
      </c>
      <c r="R1102" s="177" t="s">
        <v>9356</v>
      </c>
      <c r="S1102" s="177"/>
      <c r="T1102" s="177" t="s">
        <v>3256</v>
      </c>
      <c r="U1102" s="177" t="s">
        <v>152</v>
      </c>
      <c r="V1102" s="177" t="s">
        <v>20</v>
      </c>
    </row>
    <row r="1103" spans="2:22">
      <c r="B1103" s="251">
        <v>46229</v>
      </c>
      <c r="C1103" s="251">
        <v>46229</v>
      </c>
      <c r="D1103" s="177" t="s">
        <v>9357</v>
      </c>
      <c r="E1103" s="177">
        <v>260106320937</v>
      </c>
      <c r="F1103" s="177" t="s">
        <v>87</v>
      </c>
      <c r="G1103" s="177" t="s">
        <v>2556</v>
      </c>
      <c r="H1103" s="177" t="s">
        <v>661</v>
      </c>
      <c r="I1103" s="177">
        <v>29</v>
      </c>
      <c r="J1103" s="177">
        <v>29</v>
      </c>
      <c r="K1103" s="177">
        <v>30</v>
      </c>
      <c r="L1103" s="253">
        <v>950</v>
      </c>
      <c r="M1103" s="177" t="s">
        <v>153</v>
      </c>
      <c r="N1103" s="177" t="s">
        <v>149</v>
      </c>
      <c r="O1103" s="177" t="s">
        <v>154</v>
      </c>
      <c r="P1103" s="177" t="s">
        <v>151</v>
      </c>
      <c r="Q1103" s="177" t="s">
        <v>156</v>
      </c>
      <c r="R1103" s="177" t="s">
        <v>9358</v>
      </c>
      <c r="S1103" s="177"/>
      <c r="T1103" s="177" t="s">
        <v>3256</v>
      </c>
      <c r="U1103" s="177" t="s">
        <v>152</v>
      </c>
      <c r="V1103" s="177" t="s">
        <v>20</v>
      </c>
    </row>
    <row r="1104" spans="2:22">
      <c r="B1104" s="251">
        <v>46229</v>
      </c>
      <c r="C1104" s="251">
        <v>46229</v>
      </c>
      <c r="D1104" s="177" t="s">
        <v>9359</v>
      </c>
      <c r="E1104" s="177">
        <v>260106320937</v>
      </c>
      <c r="F1104" s="177" t="s">
        <v>87</v>
      </c>
      <c r="G1104" s="177" t="s">
        <v>2556</v>
      </c>
      <c r="H1104" s="177" t="s">
        <v>661</v>
      </c>
      <c r="I1104" s="177">
        <v>31</v>
      </c>
      <c r="J1104" s="177">
        <v>31</v>
      </c>
      <c r="K1104" s="177">
        <v>30</v>
      </c>
      <c r="L1104" s="253">
        <v>1020</v>
      </c>
      <c r="M1104" s="177" t="s">
        <v>153</v>
      </c>
      <c r="N1104" s="177" t="s">
        <v>149</v>
      </c>
      <c r="O1104" s="177" t="s">
        <v>154</v>
      </c>
      <c r="P1104" s="177" t="s">
        <v>151</v>
      </c>
      <c r="Q1104" s="177" t="s">
        <v>156</v>
      </c>
      <c r="R1104" s="177" t="s">
        <v>9360</v>
      </c>
      <c r="S1104" s="177"/>
      <c r="T1104" s="177" t="s">
        <v>3256</v>
      </c>
      <c r="U1104" s="177" t="s">
        <v>152</v>
      </c>
      <c r="V1104" s="177" t="s">
        <v>20</v>
      </c>
    </row>
    <row r="1105" spans="2:22">
      <c r="B1105" s="251">
        <v>46229</v>
      </c>
      <c r="C1105" s="251">
        <v>46229</v>
      </c>
      <c r="D1105" s="177" t="s">
        <v>9361</v>
      </c>
      <c r="E1105" s="177">
        <v>260106320937</v>
      </c>
      <c r="F1105" s="177" t="s">
        <v>87</v>
      </c>
      <c r="G1105" s="177" t="s">
        <v>2556</v>
      </c>
      <c r="H1105" s="177" t="s">
        <v>661</v>
      </c>
      <c r="I1105" s="177">
        <v>31</v>
      </c>
      <c r="J1105" s="177">
        <v>31</v>
      </c>
      <c r="K1105" s="177">
        <v>30</v>
      </c>
      <c r="L1105" s="253">
        <v>1020</v>
      </c>
      <c r="M1105" s="177" t="s">
        <v>153</v>
      </c>
      <c r="N1105" s="177" t="s">
        <v>149</v>
      </c>
      <c r="O1105" s="177" t="s">
        <v>154</v>
      </c>
      <c r="P1105" s="177" t="s">
        <v>151</v>
      </c>
      <c r="Q1105" s="177" t="s">
        <v>156</v>
      </c>
      <c r="R1105" s="177" t="s">
        <v>9362</v>
      </c>
      <c r="S1105" s="177"/>
      <c r="T1105" s="177" t="s">
        <v>3256</v>
      </c>
      <c r="U1105" s="177" t="s">
        <v>152</v>
      </c>
      <c r="V1105" s="177" t="s">
        <v>20</v>
      </c>
    </row>
    <row r="1106" spans="2:22">
      <c r="B1106" s="251">
        <v>46229</v>
      </c>
      <c r="C1106" s="251">
        <v>46229</v>
      </c>
      <c r="D1106" s="177" t="s">
        <v>9363</v>
      </c>
      <c r="E1106" s="177">
        <v>260106320937</v>
      </c>
      <c r="F1106" s="177" t="s">
        <v>87</v>
      </c>
      <c r="G1106" s="177" t="s">
        <v>2556</v>
      </c>
      <c r="H1106" s="177" t="s">
        <v>661</v>
      </c>
      <c r="I1106" s="177">
        <v>31</v>
      </c>
      <c r="J1106" s="177">
        <v>31</v>
      </c>
      <c r="K1106" s="177">
        <v>30</v>
      </c>
      <c r="L1106" s="253">
        <v>1020</v>
      </c>
      <c r="M1106" s="177" t="s">
        <v>153</v>
      </c>
      <c r="N1106" s="177" t="s">
        <v>149</v>
      </c>
      <c r="O1106" s="177" t="s">
        <v>154</v>
      </c>
      <c r="P1106" s="177" t="s">
        <v>151</v>
      </c>
      <c r="Q1106" s="177" t="s">
        <v>156</v>
      </c>
      <c r="R1106" s="177" t="s">
        <v>9364</v>
      </c>
      <c r="S1106" s="177"/>
      <c r="T1106" s="177" t="s">
        <v>3256</v>
      </c>
      <c r="U1106" s="177" t="s">
        <v>152</v>
      </c>
      <c r="V1106" s="177" t="s">
        <v>20</v>
      </c>
    </row>
    <row r="1107" spans="2:22">
      <c r="B1107" s="251">
        <v>46229</v>
      </c>
      <c r="C1107" s="251">
        <v>46229</v>
      </c>
      <c r="D1107" s="177" t="s">
        <v>9365</v>
      </c>
      <c r="E1107" s="177">
        <v>260106320937</v>
      </c>
      <c r="F1107" s="177" t="s">
        <v>87</v>
      </c>
      <c r="G1107" s="177" t="s">
        <v>2556</v>
      </c>
      <c r="H1107" s="177" t="s">
        <v>661</v>
      </c>
      <c r="I1107" s="177">
        <v>31</v>
      </c>
      <c r="J1107" s="177">
        <v>31</v>
      </c>
      <c r="K1107" s="177">
        <v>30</v>
      </c>
      <c r="L1107" s="253">
        <v>1020</v>
      </c>
      <c r="M1107" s="177" t="s">
        <v>153</v>
      </c>
      <c r="N1107" s="177" t="s">
        <v>149</v>
      </c>
      <c r="O1107" s="177" t="s">
        <v>154</v>
      </c>
      <c r="P1107" s="177" t="s">
        <v>151</v>
      </c>
      <c r="Q1107" s="177" t="s">
        <v>156</v>
      </c>
      <c r="R1107" s="177" t="s">
        <v>9366</v>
      </c>
      <c r="S1107" s="177"/>
      <c r="T1107" s="177" t="s">
        <v>3256</v>
      </c>
      <c r="U1107" s="177" t="s">
        <v>152</v>
      </c>
      <c r="V1107" s="177" t="s">
        <v>20</v>
      </c>
    </row>
    <row r="1108" spans="2:22">
      <c r="B1108" s="251">
        <v>46229</v>
      </c>
      <c r="C1108" s="251">
        <v>46229</v>
      </c>
      <c r="D1108" s="177" t="s">
        <v>9367</v>
      </c>
      <c r="E1108" s="177">
        <v>260106320937</v>
      </c>
      <c r="F1108" s="177" t="s">
        <v>87</v>
      </c>
      <c r="G1108" s="177" t="s">
        <v>2556</v>
      </c>
      <c r="H1108" s="177" t="s">
        <v>661</v>
      </c>
      <c r="I1108" s="177">
        <v>30</v>
      </c>
      <c r="J1108" s="177">
        <v>30</v>
      </c>
      <c r="K1108" s="177">
        <v>30</v>
      </c>
      <c r="L1108" s="253">
        <v>1000</v>
      </c>
      <c r="M1108" s="177" t="s">
        <v>153</v>
      </c>
      <c r="N1108" s="177" t="s">
        <v>149</v>
      </c>
      <c r="O1108" s="177" t="s">
        <v>154</v>
      </c>
      <c r="P1108" s="177" t="s">
        <v>151</v>
      </c>
      <c r="Q1108" s="177" t="s">
        <v>156</v>
      </c>
      <c r="R1108" s="177" t="s">
        <v>9368</v>
      </c>
      <c r="S1108" s="177"/>
      <c r="T1108" s="177" t="s">
        <v>3256</v>
      </c>
      <c r="U1108" s="177" t="s">
        <v>152</v>
      </c>
      <c r="V1108" s="177" t="s">
        <v>20</v>
      </c>
    </row>
    <row r="1109" spans="2:22">
      <c r="B1109" s="251">
        <v>46229</v>
      </c>
      <c r="C1109" s="251">
        <v>46229</v>
      </c>
      <c r="D1109" s="177" t="s">
        <v>9369</v>
      </c>
      <c r="E1109" s="177">
        <v>260106320937</v>
      </c>
      <c r="F1109" s="177" t="s">
        <v>87</v>
      </c>
      <c r="G1109" s="177" t="s">
        <v>2556</v>
      </c>
      <c r="H1109" s="177" t="s">
        <v>661</v>
      </c>
      <c r="I1109" s="177">
        <v>30</v>
      </c>
      <c r="J1109" s="177">
        <v>30</v>
      </c>
      <c r="K1109" s="177">
        <v>30</v>
      </c>
      <c r="L1109" s="253">
        <v>1000</v>
      </c>
      <c r="M1109" s="177" t="s">
        <v>153</v>
      </c>
      <c r="N1109" s="177" t="s">
        <v>149</v>
      </c>
      <c r="O1109" s="177" t="s">
        <v>154</v>
      </c>
      <c r="P1109" s="177" t="s">
        <v>151</v>
      </c>
      <c r="Q1109" s="177" t="s">
        <v>156</v>
      </c>
      <c r="R1109" s="177" t="s">
        <v>9370</v>
      </c>
      <c r="S1109" s="177"/>
      <c r="T1109" s="177" t="s">
        <v>3256</v>
      </c>
      <c r="U1109" s="177" t="s">
        <v>152</v>
      </c>
      <c r="V1109" s="177" t="s">
        <v>20</v>
      </c>
    </row>
    <row r="1110" spans="2:22">
      <c r="B1110" s="251">
        <v>46229</v>
      </c>
      <c r="C1110" s="251">
        <v>46229</v>
      </c>
      <c r="D1110" s="177" t="s">
        <v>9371</v>
      </c>
      <c r="E1110" s="177">
        <v>260106320937</v>
      </c>
      <c r="F1110" s="177" t="s">
        <v>87</v>
      </c>
      <c r="G1110" s="177" t="s">
        <v>2556</v>
      </c>
      <c r="H1110" s="177" t="s">
        <v>661</v>
      </c>
      <c r="I1110" s="177">
        <v>29</v>
      </c>
      <c r="J1110" s="177">
        <v>29</v>
      </c>
      <c r="K1110" s="177">
        <v>30</v>
      </c>
      <c r="L1110" s="253">
        <v>950</v>
      </c>
      <c r="M1110" s="177" t="s">
        <v>153</v>
      </c>
      <c r="N1110" s="177" t="s">
        <v>149</v>
      </c>
      <c r="O1110" s="177" t="s">
        <v>154</v>
      </c>
      <c r="P1110" s="177" t="s">
        <v>151</v>
      </c>
      <c r="Q1110" s="177" t="s">
        <v>156</v>
      </c>
      <c r="R1110" s="177" t="s">
        <v>9372</v>
      </c>
      <c r="S1110" s="177"/>
      <c r="T1110" s="177" t="s">
        <v>3256</v>
      </c>
      <c r="U1110" s="177" t="s">
        <v>152</v>
      </c>
      <c r="V1110" s="177" t="s">
        <v>20</v>
      </c>
    </row>
    <row r="1111" spans="2:22">
      <c r="B1111" s="251">
        <v>46229</v>
      </c>
      <c r="C1111" s="251">
        <v>46229</v>
      </c>
      <c r="D1111" s="177" t="s">
        <v>9373</v>
      </c>
      <c r="E1111" s="177">
        <v>260100521028</v>
      </c>
      <c r="F1111" s="177" t="s">
        <v>87</v>
      </c>
      <c r="G1111" s="177" t="s">
        <v>8900</v>
      </c>
      <c r="H1111" s="177">
        <v>192</v>
      </c>
      <c r="I1111" s="177">
        <v>347</v>
      </c>
      <c r="J1111" s="177">
        <v>347</v>
      </c>
      <c r="K1111" s="177">
        <v>180</v>
      </c>
      <c r="L1111" s="177">
        <v>510</v>
      </c>
      <c r="M1111" s="177" t="s">
        <v>153</v>
      </c>
      <c r="N1111" s="177" t="s">
        <v>149</v>
      </c>
      <c r="O1111" s="177" t="s">
        <v>154</v>
      </c>
      <c r="P1111" s="177" t="s">
        <v>151</v>
      </c>
      <c r="Q1111" s="177" t="s">
        <v>155</v>
      </c>
      <c r="R1111" s="177" t="s">
        <v>9374</v>
      </c>
      <c r="S1111" s="177"/>
      <c r="T1111" s="177" t="s">
        <v>3252</v>
      </c>
      <c r="U1111" s="177" t="s">
        <v>152</v>
      </c>
      <c r="V1111" s="177" t="s">
        <v>18</v>
      </c>
    </row>
    <row r="1112" spans="2:22">
      <c r="B1112" s="251">
        <v>46229</v>
      </c>
      <c r="C1112" s="251">
        <v>46229</v>
      </c>
      <c r="D1112" s="177" t="s">
        <v>9375</v>
      </c>
      <c r="E1112" s="177">
        <v>260101621033</v>
      </c>
      <c r="F1112" s="177" t="s">
        <v>87</v>
      </c>
      <c r="G1112" s="177" t="s">
        <v>2120</v>
      </c>
      <c r="H1112" s="177">
        <v>112</v>
      </c>
      <c r="I1112" s="177">
        <v>316</v>
      </c>
      <c r="J1112" s="177">
        <v>316</v>
      </c>
      <c r="K1112" s="177">
        <v>180</v>
      </c>
      <c r="L1112" s="177">
        <v>800</v>
      </c>
      <c r="M1112" s="177" t="s">
        <v>153</v>
      </c>
      <c r="N1112" s="177" t="s">
        <v>149</v>
      </c>
      <c r="O1112" s="177" t="s">
        <v>154</v>
      </c>
      <c r="P1112" s="177" t="s">
        <v>151</v>
      </c>
      <c r="Q1112" s="177" t="s">
        <v>155</v>
      </c>
      <c r="R1112" s="177" t="s">
        <v>9376</v>
      </c>
      <c r="S1112" s="177"/>
      <c r="T1112" s="177" t="s">
        <v>3252</v>
      </c>
      <c r="U1112" s="177" t="s">
        <v>152</v>
      </c>
      <c r="V1112" s="177" t="s">
        <v>18</v>
      </c>
    </row>
    <row r="1113" spans="2:22">
      <c r="B1113" s="251">
        <v>46229</v>
      </c>
      <c r="C1113" s="251">
        <v>46229</v>
      </c>
      <c r="D1113" s="177" t="s">
        <v>9377</v>
      </c>
      <c r="E1113" s="177">
        <v>260101721034</v>
      </c>
      <c r="F1113" s="177" t="s">
        <v>87</v>
      </c>
      <c r="G1113" s="177" t="s">
        <v>2408</v>
      </c>
      <c r="H1113" s="177">
        <v>95</v>
      </c>
      <c r="I1113" s="177">
        <v>248</v>
      </c>
      <c r="J1113" s="177">
        <v>248</v>
      </c>
      <c r="K1113" s="177">
        <v>134</v>
      </c>
      <c r="L1113" s="253">
        <v>1000</v>
      </c>
      <c r="M1113" s="177" t="s">
        <v>153</v>
      </c>
      <c r="N1113" s="177" t="s">
        <v>149</v>
      </c>
      <c r="O1113" s="177" t="s">
        <v>154</v>
      </c>
      <c r="P1113" s="177" t="s">
        <v>151</v>
      </c>
      <c r="Q1113" s="177" t="s">
        <v>155</v>
      </c>
      <c r="R1113" s="177" t="s">
        <v>9378</v>
      </c>
      <c r="S1113" s="177"/>
      <c r="T1113" s="177" t="s">
        <v>3252</v>
      </c>
      <c r="U1113" s="177" t="s">
        <v>152</v>
      </c>
      <c r="V1113" s="177" t="s">
        <v>18</v>
      </c>
    </row>
    <row r="1114" spans="2:22">
      <c r="B1114" s="251">
        <v>46229</v>
      </c>
      <c r="C1114" s="251">
        <v>46229</v>
      </c>
      <c r="D1114" s="177" t="s">
        <v>9379</v>
      </c>
      <c r="E1114" s="177">
        <v>260103921042</v>
      </c>
      <c r="F1114" s="177" t="s">
        <v>87</v>
      </c>
      <c r="G1114" s="177" t="s">
        <v>2425</v>
      </c>
      <c r="H1114" s="177">
        <v>135</v>
      </c>
      <c r="I1114" s="177">
        <v>138</v>
      </c>
      <c r="J1114" s="177">
        <v>138</v>
      </c>
      <c r="K1114" s="177">
        <v>92</v>
      </c>
      <c r="L1114" s="253">
        <v>1150</v>
      </c>
      <c r="M1114" s="177" t="s">
        <v>153</v>
      </c>
      <c r="N1114" s="177" t="s">
        <v>149</v>
      </c>
      <c r="O1114" s="177" t="s">
        <v>154</v>
      </c>
      <c r="P1114" s="177" t="s">
        <v>151</v>
      </c>
      <c r="Q1114" s="177" t="s">
        <v>155</v>
      </c>
      <c r="R1114" s="177" t="s">
        <v>9380</v>
      </c>
      <c r="S1114" s="177"/>
      <c r="T1114" s="177" t="s">
        <v>3252</v>
      </c>
      <c r="U1114" s="177" t="s">
        <v>152</v>
      </c>
      <c r="V1114" s="177" t="s">
        <v>18</v>
      </c>
    </row>
    <row r="1115" spans="2:22">
      <c r="B1115" s="251">
        <v>46229</v>
      </c>
      <c r="C1115" s="251">
        <v>46229</v>
      </c>
      <c r="D1115" s="177" t="s">
        <v>9381</v>
      </c>
      <c r="E1115" s="177">
        <v>260101621018</v>
      </c>
      <c r="F1115" s="177" t="s">
        <v>87</v>
      </c>
      <c r="G1115" s="177" t="s">
        <v>2120</v>
      </c>
      <c r="H1115" s="177">
        <v>112</v>
      </c>
      <c r="I1115" s="177">
        <v>315</v>
      </c>
      <c r="J1115" s="177">
        <v>315</v>
      </c>
      <c r="K1115" s="177">
        <v>180</v>
      </c>
      <c r="L1115" s="253">
        <v>800</v>
      </c>
      <c r="M1115" s="177" t="s">
        <v>153</v>
      </c>
      <c r="N1115" s="177" t="s">
        <v>149</v>
      </c>
      <c r="O1115" s="177" t="s">
        <v>154</v>
      </c>
      <c r="P1115" s="177" t="s">
        <v>151</v>
      </c>
      <c r="Q1115" s="177" t="s">
        <v>155</v>
      </c>
      <c r="R1115" s="177" t="s">
        <v>9382</v>
      </c>
      <c r="S1115" s="177"/>
      <c r="T1115" s="177" t="s">
        <v>3252</v>
      </c>
      <c r="U1115" s="177" t="s">
        <v>152</v>
      </c>
      <c r="V1115" s="177" t="s">
        <v>18</v>
      </c>
    </row>
    <row r="1116" spans="2:22">
      <c r="B1116" s="251">
        <v>46229</v>
      </c>
      <c r="C1116" s="251">
        <v>46229</v>
      </c>
      <c r="D1116" s="177" t="s">
        <v>9383</v>
      </c>
      <c r="E1116" s="177">
        <v>260102021021</v>
      </c>
      <c r="F1116" s="177" t="s">
        <v>87</v>
      </c>
      <c r="G1116" s="177" t="s">
        <v>2563</v>
      </c>
      <c r="H1116" s="177">
        <v>95</v>
      </c>
      <c r="I1116" s="177">
        <v>248</v>
      </c>
      <c r="J1116" s="177">
        <v>248</v>
      </c>
      <c r="K1116" s="177">
        <v>134</v>
      </c>
      <c r="L1116" s="253">
        <v>1030</v>
      </c>
      <c r="M1116" s="177" t="s">
        <v>153</v>
      </c>
      <c r="N1116" s="177" t="s">
        <v>149</v>
      </c>
      <c r="O1116" s="177" t="s">
        <v>154</v>
      </c>
      <c r="P1116" s="177" t="s">
        <v>151</v>
      </c>
      <c r="Q1116" s="177" t="s">
        <v>155</v>
      </c>
      <c r="R1116" s="177" t="s">
        <v>9384</v>
      </c>
      <c r="S1116" s="177"/>
      <c r="T1116" s="177" t="s">
        <v>3252</v>
      </c>
      <c r="U1116" s="177" t="s">
        <v>152</v>
      </c>
      <c r="V1116" s="177" t="s">
        <v>18</v>
      </c>
    </row>
    <row r="1117" spans="2:22">
      <c r="B1117" s="251">
        <v>46229</v>
      </c>
      <c r="C1117" s="251">
        <v>46229</v>
      </c>
      <c r="D1117" s="177" t="s">
        <v>9385</v>
      </c>
      <c r="E1117" s="177">
        <v>260105221057</v>
      </c>
      <c r="F1117" s="177" t="s">
        <v>87</v>
      </c>
      <c r="G1117" s="177" t="s">
        <v>8347</v>
      </c>
      <c r="H1117" s="177">
        <v>152</v>
      </c>
      <c r="I1117" s="177">
        <v>273</v>
      </c>
      <c r="J1117" s="177">
        <v>273</v>
      </c>
      <c r="K1117" s="177">
        <v>104</v>
      </c>
      <c r="L1117" s="253">
        <v>1820</v>
      </c>
      <c r="M1117" s="177" t="s">
        <v>153</v>
      </c>
      <c r="N1117" s="177" t="s">
        <v>149</v>
      </c>
      <c r="O1117" s="177" t="s">
        <v>154</v>
      </c>
      <c r="P1117" s="177" t="s">
        <v>151</v>
      </c>
      <c r="Q1117" s="177" t="s">
        <v>155</v>
      </c>
      <c r="R1117" s="177" t="s">
        <v>9386</v>
      </c>
      <c r="S1117" s="177"/>
      <c r="T1117" s="177" t="s">
        <v>3252</v>
      </c>
      <c r="U1117" s="177" t="s">
        <v>152</v>
      </c>
      <c r="V1117" s="177" t="s">
        <v>18</v>
      </c>
    </row>
    <row r="1118" spans="2:22">
      <c r="B1118" s="251">
        <v>46229</v>
      </c>
      <c r="C1118" s="251">
        <v>46229</v>
      </c>
      <c r="D1118" s="177" t="s">
        <v>9387</v>
      </c>
      <c r="E1118" s="177">
        <v>260105421032</v>
      </c>
      <c r="F1118" s="177" t="s">
        <v>87</v>
      </c>
      <c r="G1118" s="177" t="s">
        <v>2310</v>
      </c>
      <c r="H1118" s="177">
        <v>125</v>
      </c>
      <c r="I1118" s="177">
        <v>74</v>
      </c>
      <c r="J1118" s="177">
        <v>74</v>
      </c>
      <c r="K1118" s="177">
        <v>87</v>
      </c>
      <c r="L1118" s="253">
        <v>700</v>
      </c>
      <c r="M1118" s="177" t="s">
        <v>153</v>
      </c>
      <c r="N1118" s="177" t="s">
        <v>149</v>
      </c>
      <c r="O1118" s="177" t="s">
        <v>154</v>
      </c>
      <c r="P1118" s="177" t="s">
        <v>151</v>
      </c>
      <c r="Q1118" s="177" t="s">
        <v>155</v>
      </c>
      <c r="R1118" s="177" t="s">
        <v>9388</v>
      </c>
      <c r="S1118" s="177"/>
      <c r="T1118" s="177" t="s">
        <v>3252</v>
      </c>
      <c r="U1118" s="177" t="s">
        <v>152</v>
      </c>
      <c r="V1118" s="177" t="s">
        <v>18</v>
      </c>
    </row>
    <row r="1119" spans="2:22">
      <c r="B1119" s="251">
        <v>46229</v>
      </c>
      <c r="C1119" s="251">
        <v>46229</v>
      </c>
      <c r="D1119" s="177" t="s">
        <v>9389</v>
      </c>
      <c r="E1119" s="177">
        <v>260103621048</v>
      </c>
      <c r="F1119" s="177" t="s">
        <v>87</v>
      </c>
      <c r="G1119" s="177" t="s">
        <v>2310</v>
      </c>
      <c r="H1119" s="177">
        <v>125</v>
      </c>
      <c r="I1119" s="177">
        <v>215</v>
      </c>
      <c r="J1119" s="177">
        <v>215</v>
      </c>
      <c r="K1119" s="177">
        <v>87</v>
      </c>
      <c r="L1119" s="253">
        <v>2010</v>
      </c>
      <c r="M1119" s="177" t="s">
        <v>153</v>
      </c>
      <c r="N1119" s="177" t="s">
        <v>149</v>
      </c>
      <c r="O1119" s="177" t="s">
        <v>154</v>
      </c>
      <c r="P1119" s="177" t="s">
        <v>151</v>
      </c>
      <c r="Q1119" s="177" t="s">
        <v>155</v>
      </c>
      <c r="R1119" s="177" t="s">
        <v>9390</v>
      </c>
      <c r="S1119" s="177"/>
      <c r="T1119" s="177" t="s">
        <v>3252</v>
      </c>
      <c r="U1119" s="177" t="s">
        <v>152</v>
      </c>
      <c r="V1119" s="177" t="s">
        <v>18</v>
      </c>
    </row>
    <row r="1120" spans="2:22">
      <c r="B1120" s="251">
        <v>46229</v>
      </c>
      <c r="C1120" s="251">
        <v>46229</v>
      </c>
      <c r="D1120" s="177" t="s">
        <v>9391</v>
      </c>
      <c r="E1120" s="177">
        <v>260105821053</v>
      </c>
      <c r="F1120" s="177" t="s">
        <v>87</v>
      </c>
      <c r="G1120" s="177" t="s">
        <v>859</v>
      </c>
      <c r="H1120" s="177">
        <v>152</v>
      </c>
      <c r="I1120" s="177">
        <v>253</v>
      </c>
      <c r="J1120" s="177">
        <v>253</v>
      </c>
      <c r="K1120" s="177">
        <v>104</v>
      </c>
      <c r="L1120" s="253">
        <v>1660</v>
      </c>
      <c r="M1120" s="177" t="s">
        <v>153</v>
      </c>
      <c r="N1120" s="177" t="s">
        <v>149</v>
      </c>
      <c r="O1120" s="177" t="s">
        <v>154</v>
      </c>
      <c r="P1120" s="177" t="s">
        <v>151</v>
      </c>
      <c r="Q1120" s="177" t="s">
        <v>155</v>
      </c>
      <c r="R1120" s="177" t="s">
        <v>9392</v>
      </c>
      <c r="S1120" s="177"/>
      <c r="T1120" s="177" t="s">
        <v>3252</v>
      </c>
      <c r="U1120" s="177" t="s">
        <v>152</v>
      </c>
      <c r="V1120" s="177" t="s">
        <v>18</v>
      </c>
    </row>
    <row r="1121" spans="2:22">
      <c r="B1121" s="251">
        <v>46229</v>
      </c>
      <c r="C1121" s="251">
        <v>46229</v>
      </c>
      <c r="D1121" s="177" t="s">
        <v>9393</v>
      </c>
      <c r="E1121" s="177">
        <v>260105121026</v>
      </c>
      <c r="F1121" s="177" t="s">
        <v>87</v>
      </c>
      <c r="G1121" s="177" t="s">
        <v>8881</v>
      </c>
      <c r="H1121" s="177">
        <v>162</v>
      </c>
      <c r="I1121" s="177">
        <v>274</v>
      </c>
      <c r="J1121" s="177">
        <v>274</v>
      </c>
      <c r="K1121" s="177">
        <v>102</v>
      </c>
      <c r="L1121" s="253">
        <v>1670</v>
      </c>
      <c r="M1121" s="177" t="s">
        <v>153</v>
      </c>
      <c r="N1121" s="177" t="s">
        <v>149</v>
      </c>
      <c r="O1121" s="177" t="s">
        <v>154</v>
      </c>
      <c r="P1121" s="177" t="s">
        <v>151</v>
      </c>
      <c r="Q1121" s="177" t="s">
        <v>155</v>
      </c>
      <c r="R1121" s="177" t="s">
        <v>9394</v>
      </c>
      <c r="S1121" s="177"/>
      <c r="T1121" s="177" t="s">
        <v>3252</v>
      </c>
      <c r="U1121" s="177" t="s">
        <v>152</v>
      </c>
      <c r="V1121" s="177" t="s">
        <v>18</v>
      </c>
    </row>
    <row r="1122" spans="2:22">
      <c r="B1122" s="251">
        <v>46229</v>
      </c>
      <c r="C1122" s="251">
        <v>46229</v>
      </c>
      <c r="D1122" s="177" t="s">
        <v>9395</v>
      </c>
      <c r="E1122" s="177">
        <v>260100721029</v>
      </c>
      <c r="F1122" s="177" t="s">
        <v>87</v>
      </c>
      <c r="G1122" s="177" t="s">
        <v>2120</v>
      </c>
      <c r="H1122" s="177">
        <v>122</v>
      </c>
      <c r="I1122" s="177">
        <v>204</v>
      </c>
      <c r="J1122" s="177">
        <v>204</v>
      </c>
      <c r="K1122" s="177">
        <v>180</v>
      </c>
      <c r="L1122" s="253">
        <v>480</v>
      </c>
      <c r="M1122" s="177" t="s">
        <v>153</v>
      </c>
      <c r="N1122" s="177" t="s">
        <v>149</v>
      </c>
      <c r="O1122" s="177" t="s">
        <v>154</v>
      </c>
      <c r="P1122" s="177" t="s">
        <v>151</v>
      </c>
      <c r="Q1122" s="177" t="s">
        <v>155</v>
      </c>
      <c r="R1122" s="177" t="s">
        <v>9396</v>
      </c>
      <c r="S1122" s="177"/>
      <c r="T1122" s="177" t="s">
        <v>3252</v>
      </c>
      <c r="U1122" s="177" t="s">
        <v>152</v>
      </c>
      <c r="V1122" s="177" t="s">
        <v>18</v>
      </c>
    </row>
    <row r="1123" spans="2:22">
      <c r="B1123" s="251">
        <v>46229</v>
      </c>
      <c r="C1123" s="251">
        <v>46229</v>
      </c>
      <c r="D1123" s="177" t="s">
        <v>9397</v>
      </c>
      <c r="E1123" s="177">
        <v>260101921038</v>
      </c>
      <c r="F1123" s="177" t="s">
        <v>87</v>
      </c>
      <c r="G1123" s="177" t="s">
        <v>2563</v>
      </c>
      <c r="H1123" s="177">
        <v>95</v>
      </c>
      <c r="I1123" s="177">
        <v>241</v>
      </c>
      <c r="J1123" s="177">
        <v>241</v>
      </c>
      <c r="K1123" s="177">
        <v>134</v>
      </c>
      <c r="L1123" s="253">
        <v>1000</v>
      </c>
      <c r="M1123" s="177" t="s">
        <v>153</v>
      </c>
      <c r="N1123" s="177" t="s">
        <v>149</v>
      </c>
      <c r="O1123" s="177" t="s">
        <v>154</v>
      </c>
      <c r="P1123" s="177" t="s">
        <v>151</v>
      </c>
      <c r="Q1123" s="177" t="s">
        <v>155</v>
      </c>
      <c r="R1123" s="177" t="s">
        <v>9398</v>
      </c>
      <c r="S1123" s="177"/>
      <c r="T1123" s="177" t="s">
        <v>3252</v>
      </c>
      <c r="U1123" s="177" t="s">
        <v>152</v>
      </c>
      <c r="V1123" s="177" t="s">
        <v>18</v>
      </c>
    </row>
    <row r="1124" spans="2:22">
      <c r="B1124" s="251">
        <v>46229</v>
      </c>
      <c r="C1124" s="251">
        <v>46229</v>
      </c>
      <c r="D1124" s="177" t="s">
        <v>9399</v>
      </c>
      <c r="E1124" s="177">
        <v>260103821044</v>
      </c>
      <c r="F1124" s="177" t="s">
        <v>87</v>
      </c>
      <c r="G1124" s="177" t="s">
        <v>859</v>
      </c>
      <c r="H1124" s="177">
        <v>182</v>
      </c>
      <c r="I1124" s="177">
        <v>317</v>
      </c>
      <c r="J1124" s="177">
        <v>317</v>
      </c>
      <c r="K1124" s="177">
        <v>104</v>
      </c>
      <c r="L1124" s="253">
        <v>1750</v>
      </c>
      <c r="M1124" s="177" t="s">
        <v>153</v>
      </c>
      <c r="N1124" s="177" t="s">
        <v>149</v>
      </c>
      <c r="O1124" s="177" t="s">
        <v>154</v>
      </c>
      <c r="P1124" s="177" t="s">
        <v>151</v>
      </c>
      <c r="Q1124" s="177" t="s">
        <v>155</v>
      </c>
      <c r="R1124" s="177" t="s">
        <v>9400</v>
      </c>
      <c r="S1124" s="177"/>
      <c r="T1124" s="177" t="s">
        <v>3252</v>
      </c>
      <c r="U1124" s="177" t="s">
        <v>152</v>
      </c>
      <c r="V1124" s="177" t="s">
        <v>18</v>
      </c>
    </row>
    <row r="1125" spans="2:22">
      <c r="B1125" s="251">
        <v>46229</v>
      </c>
      <c r="C1125" s="251">
        <v>46229</v>
      </c>
      <c r="D1125" s="177" t="s">
        <v>9401</v>
      </c>
      <c r="E1125" s="177">
        <v>260106121052</v>
      </c>
      <c r="F1125" s="177" t="s">
        <v>87</v>
      </c>
      <c r="G1125" s="177" t="s">
        <v>2310</v>
      </c>
      <c r="H1125" s="177">
        <v>125</v>
      </c>
      <c r="I1125" s="177">
        <v>140</v>
      </c>
      <c r="J1125" s="177">
        <v>140</v>
      </c>
      <c r="K1125" s="177">
        <v>87</v>
      </c>
      <c r="L1125" s="253">
        <v>1320</v>
      </c>
      <c r="M1125" s="177" t="s">
        <v>153</v>
      </c>
      <c r="N1125" s="177" t="s">
        <v>149</v>
      </c>
      <c r="O1125" s="177" t="s">
        <v>154</v>
      </c>
      <c r="P1125" s="177" t="s">
        <v>151</v>
      </c>
      <c r="Q1125" s="177" t="s">
        <v>155</v>
      </c>
      <c r="R1125" s="177" t="s">
        <v>9402</v>
      </c>
      <c r="S1125" s="177"/>
      <c r="T1125" s="177" t="s">
        <v>3252</v>
      </c>
      <c r="U1125" s="177" t="s">
        <v>152</v>
      </c>
      <c r="V1125" s="177" t="s">
        <v>18</v>
      </c>
    </row>
    <row r="1126" spans="2:22">
      <c r="B1126" s="251">
        <v>46229</v>
      </c>
      <c r="C1126" s="251">
        <v>46229</v>
      </c>
      <c r="D1126" s="177" t="s">
        <v>9403</v>
      </c>
      <c r="E1126" s="177">
        <v>260105021025</v>
      </c>
      <c r="F1126" s="177" t="s">
        <v>87</v>
      </c>
      <c r="G1126" s="177" t="s">
        <v>2641</v>
      </c>
      <c r="H1126" s="177">
        <v>162</v>
      </c>
      <c r="I1126" s="177">
        <v>270</v>
      </c>
      <c r="J1126" s="177">
        <v>270</v>
      </c>
      <c r="K1126" s="177">
        <v>102</v>
      </c>
      <c r="L1126" s="253">
        <v>1700</v>
      </c>
      <c r="M1126" s="177" t="s">
        <v>153</v>
      </c>
      <c r="N1126" s="177" t="s">
        <v>149</v>
      </c>
      <c r="O1126" s="177" t="s">
        <v>154</v>
      </c>
      <c r="P1126" s="177" t="s">
        <v>151</v>
      </c>
      <c r="Q1126" s="177" t="s">
        <v>155</v>
      </c>
      <c r="R1126" s="177" t="s">
        <v>9404</v>
      </c>
      <c r="S1126" s="177"/>
      <c r="T1126" s="177" t="s">
        <v>3252</v>
      </c>
      <c r="U1126" s="177" t="s">
        <v>152</v>
      </c>
      <c r="V1126" s="177" t="s">
        <v>18</v>
      </c>
    </row>
    <row r="1127" spans="2:22">
      <c r="B1127" s="251">
        <v>46229</v>
      </c>
      <c r="C1127" s="251">
        <v>46229</v>
      </c>
      <c r="D1127" s="177" t="s">
        <v>9405</v>
      </c>
      <c r="E1127" s="177">
        <v>260102721027</v>
      </c>
      <c r="F1127" s="177" t="s">
        <v>87</v>
      </c>
      <c r="G1127" s="177" t="s">
        <v>9311</v>
      </c>
      <c r="H1127" s="177">
        <v>112</v>
      </c>
      <c r="I1127" s="177">
        <v>269</v>
      </c>
      <c r="J1127" s="177">
        <v>269</v>
      </c>
      <c r="K1127" s="177">
        <v>126</v>
      </c>
      <c r="L1127" s="253">
        <v>1000</v>
      </c>
      <c r="M1127" s="177" t="s">
        <v>153</v>
      </c>
      <c r="N1127" s="177" t="s">
        <v>149</v>
      </c>
      <c r="O1127" s="177" t="s">
        <v>154</v>
      </c>
      <c r="P1127" s="177" t="s">
        <v>151</v>
      </c>
      <c r="Q1127" s="177" t="s">
        <v>155</v>
      </c>
      <c r="R1127" s="177" t="s">
        <v>9406</v>
      </c>
      <c r="S1127" s="177"/>
      <c r="T1127" s="177" t="s">
        <v>3252</v>
      </c>
      <c r="U1127" s="177" t="s">
        <v>152</v>
      </c>
      <c r="V1127" s="177" t="s">
        <v>18</v>
      </c>
    </row>
    <row r="1128" spans="2:22">
      <c r="B1128" s="251">
        <v>46229</v>
      </c>
      <c r="C1128" s="251">
        <v>46229</v>
      </c>
      <c r="D1128" s="177" t="s">
        <v>9407</v>
      </c>
      <c r="E1128" s="177">
        <v>260103821045</v>
      </c>
      <c r="F1128" s="177" t="s">
        <v>87</v>
      </c>
      <c r="G1128" s="177" t="s">
        <v>859</v>
      </c>
      <c r="H1128" s="177">
        <v>182</v>
      </c>
      <c r="I1128" s="177">
        <v>321</v>
      </c>
      <c r="J1128" s="177">
        <v>321</v>
      </c>
      <c r="K1128" s="177">
        <v>104</v>
      </c>
      <c r="L1128" s="253">
        <v>1750</v>
      </c>
      <c r="M1128" s="177" t="s">
        <v>153</v>
      </c>
      <c r="N1128" s="177" t="s">
        <v>149</v>
      </c>
      <c r="O1128" s="177" t="s">
        <v>154</v>
      </c>
      <c r="P1128" s="177" t="s">
        <v>151</v>
      </c>
      <c r="Q1128" s="177" t="s">
        <v>155</v>
      </c>
      <c r="R1128" s="177" t="s">
        <v>9408</v>
      </c>
      <c r="S1128" s="177"/>
      <c r="T1128" s="177" t="s">
        <v>3252</v>
      </c>
      <c r="U1128" s="177" t="s">
        <v>152</v>
      </c>
      <c r="V1128" s="177" t="s">
        <v>18</v>
      </c>
    </row>
    <row r="1129" spans="2:22">
      <c r="B1129" s="251">
        <v>46229</v>
      </c>
      <c r="C1129" s="251">
        <v>46229</v>
      </c>
      <c r="D1129" s="177" t="s">
        <v>9409</v>
      </c>
      <c r="E1129" s="177">
        <v>260103621049</v>
      </c>
      <c r="F1129" s="177" t="s">
        <v>87</v>
      </c>
      <c r="G1129" s="177" t="s">
        <v>2310</v>
      </c>
      <c r="H1129" s="177">
        <v>125</v>
      </c>
      <c r="I1129" s="177">
        <v>210</v>
      </c>
      <c r="J1129" s="177">
        <v>210</v>
      </c>
      <c r="K1129" s="177">
        <v>87</v>
      </c>
      <c r="L1129" s="253">
        <v>2010</v>
      </c>
      <c r="M1129" s="177" t="s">
        <v>153</v>
      </c>
      <c r="N1129" s="177" t="s">
        <v>149</v>
      </c>
      <c r="O1129" s="177" t="s">
        <v>154</v>
      </c>
      <c r="P1129" s="177" t="s">
        <v>151</v>
      </c>
      <c r="Q1129" s="177" t="s">
        <v>155</v>
      </c>
      <c r="R1129" s="177" t="s">
        <v>9410</v>
      </c>
      <c r="S1129" s="177"/>
      <c r="T1129" s="177" t="s">
        <v>3252</v>
      </c>
      <c r="U1129" s="177" t="s">
        <v>152</v>
      </c>
      <c r="V1129" s="177" t="s">
        <v>18</v>
      </c>
    </row>
    <row r="1130" spans="2:22">
      <c r="B1130" s="251">
        <v>46229</v>
      </c>
      <c r="C1130" s="251">
        <v>46229</v>
      </c>
      <c r="D1130" s="177" t="s">
        <v>9411</v>
      </c>
      <c r="E1130" s="177">
        <v>260105321058</v>
      </c>
      <c r="F1130" s="177" t="s">
        <v>87</v>
      </c>
      <c r="G1130" s="177" t="s">
        <v>859</v>
      </c>
      <c r="H1130" s="177">
        <v>152</v>
      </c>
      <c r="I1130" s="177">
        <v>284</v>
      </c>
      <c r="J1130" s="177">
        <v>284</v>
      </c>
      <c r="K1130" s="177">
        <v>104</v>
      </c>
      <c r="L1130" s="253">
        <v>1850</v>
      </c>
      <c r="M1130" s="177" t="s">
        <v>153</v>
      </c>
      <c r="N1130" s="177" t="s">
        <v>149</v>
      </c>
      <c r="O1130" s="177" t="s">
        <v>154</v>
      </c>
      <c r="P1130" s="177" t="s">
        <v>151</v>
      </c>
      <c r="Q1130" s="177" t="s">
        <v>155</v>
      </c>
      <c r="R1130" s="177" t="s">
        <v>9412</v>
      </c>
      <c r="S1130" s="177"/>
      <c r="T1130" s="177" t="s">
        <v>3252</v>
      </c>
      <c r="U1130" s="177" t="s">
        <v>152</v>
      </c>
      <c r="V1130" s="177" t="s">
        <v>18</v>
      </c>
    </row>
    <row r="1131" spans="2:22">
      <c r="B1131" s="251">
        <v>46229</v>
      </c>
      <c r="C1131" s="251">
        <v>46229</v>
      </c>
      <c r="D1131" s="177" t="s">
        <v>9413</v>
      </c>
      <c r="E1131" s="177">
        <v>260107821060</v>
      </c>
      <c r="F1131" s="177" t="s">
        <v>87</v>
      </c>
      <c r="G1131" s="177" t="s">
        <v>2425</v>
      </c>
      <c r="H1131" s="177">
        <v>135</v>
      </c>
      <c r="I1131" s="177">
        <v>317</v>
      </c>
      <c r="J1131" s="177">
        <v>317</v>
      </c>
      <c r="K1131" s="177">
        <v>92</v>
      </c>
      <c r="L1131" s="253">
        <v>2620</v>
      </c>
      <c r="M1131" s="177" t="s">
        <v>153</v>
      </c>
      <c r="N1131" s="177" t="s">
        <v>149</v>
      </c>
      <c r="O1131" s="177" t="s">
        <v>154</v>
      </c>
      <c r="P1131" s="177" t="s">
        <v>151</v>
      </c>
      <c r="Q1131" s="177" t="s">
        <v>155</v>
      </c>
      <c r="R1131" s="177" t="s">
        <v>9414</v>
      </c>
      <c r="S1131" s="177"/>
      <c r="T1131" s="177" t="s">
        <v>3252</v>
      </c>
      <c r="U1131" s="177" t="s">
        <v>152</v>
      </c>
      <c r="V1131" s="177" t="s">
        <v>18</v>
      </c>
    </row>
    <row r="1132" spans="2:22">
      <c r="B1132" s="251">
        <v>46229</v>
      </c>
      <c r="C1132" s="251">
        <v>46229</v>
      </c>
      <c r="D1132" s="177" t="s">
        <v>9415</v>
      </c>
      <c r="E1132" s="177">
        <v>260103921043</v>
      </c>
      <c r="F1132" s="177" t="s">
        <v>87</v>
      </c>
      <c r="G1132" s="177" t="s">
        <v>2425</v>
      </c>
      <c r="H1132" s="177">
        <v>135</v>
      </c>
      <c r="I1132" s="177">
        <v>140</v>
      </c>
      <c r="J1132" s="177">
        <v>140</v>
      </c>
      <c r="K1132" s="177">
        <v>92</v>
      </c>
      <c r="L1132" s="253">
        <v>1150</v>
      </c>
      <c r="M1132" s="177" t="s">
        <v>153</v>
      </c>
      <c r="N1132" s="177" t="s">
        <v>149</v>
      </c>
      <c r="O1132" s="177" t="s">
        <v>154</v>
      </c>
      <c r="P1132" s="177" t="s">
        <v>151</v>
      </c>
      <c r="Q1132" s="177" t="s">
        <v>155</v>
      </c>
      <c r="R1132" s="177" t="s">
        <v>9416</v>
      </c>
      <c r="S1132" s="177"/>
      <c r="T1132" s="177" t="s">
        <v>3252</v>
      </c>
      <c r="U1132" s="177" t="s">
        <v>152</v>
      </c>
      <c r="V1132" s="177" t="s">
        <v>18</v>
      </c>
    </row>
    <row r="1133" spans="2:22">
      <c r="B1133" s="251">
        <v>46229</v>
      </c>
      <c r="C1133" s="251">
        <v>46229</v>
      </c>
      <c r="D1133" s="177" t="s">
        <v>9417</v>
      </c>
      <c r="E1133" s="177">
        <v>260100521067</v>
      </c>
      <c r="F1133" s="177" t="s">
        <v>87</v>
      </c>
      <c r="G1133" s="177" t="s">
        <v>8900</v>
      </c>
      <c r="H1133" s="177">
        <v>192</v>
      </c>
      <c r="I1133" s="177">
        <v>378</v>
      </c>
      <c r="J1133" s="177">
        <v>378</v>
      </c>
      <c r="K1133" s="177">
        <v>180</v>
      </c>
      <c r="L1133" s="253">
        <v>570</v>
      </c>
      <c r="M1133" s="177" t="s">
        <v>153</v>
      </c>
      <c r="N1133" s="177" t="s">
        <v>149</v>
      </c>
      <c r="O1133" s="177" t="s">
        <v>154</v>
      </c>
      <c r="P1133" s="177" t="s">
        <v>151</v>
      </c>
      <c r="Q1133" s="177" t="s">
        <v>155</v>
      </c>
      <c r="R1133" s="177" t="s">
        <v>9418</v>
      </c>
      <c r="S1133" s="177"/>
      <c r="T1133" s="177" t="s">
        <v>3252</v>
      </c>
      <c r="U1133" s="177" t="s">
        <v>152</v>
      </c>
      <c r="V1133" s="177" t="s">
        <v>18</v>
      </c>
    </row>
    <row r="1134" spans="2:22">
      <c r="B1134" s="251">
        <v>46229</v>
      </c>
      <c r="C1134" s="251">
        <v>46229</v>
      </c>
      <c r="D1134" s="177" t="s">
        <v>9419</v>
      </c>
      <c r="E1134" s="177">
        <v>260100921068</v>
      </c>
      <c r="F1134" s="177" t="s">
        <v>87</v>
      </c>
      <c r="G1134" s="177" t="s">
        <v>7130</v>
      </c>
      <c r="H1134" s="177">
        <v>182</v>
      </c>
      <c r="I1134" s="177">
        <v>360</v>
      </c>
      <c r="J1134" s="177">
        <v>360</v>
      </c>
      <c r="K1134" s="177">
        <v>190</v>
      </c>
      <c r="L1134" s="253">
        <v>540</v>
      </c>
      <c r="M1134" s="177" t="s">
        <v>153</v>
      </c>
      <c r="N1134" s="177" t="s">
        <v>149</v>
      </c>
      <c r="O1134" s="177" t="s">
        <v>154</v>
      </c>
      <c r="P1134" s="177" t="s">
        <v>151</v>
      </c>
      <c r="Q1134" s="177" t="s">
        <v>155</v>
      </c>
      <c r="R1134" s="177" t="s">
        <v>9420</v>
      </c>
      <c r="S1134" s="177"/>
      <c r="T1134" s="177" t="s">
        <v>3252</v>
      </c>
      <c r="U1134" s="177" t="s">
        <v>152</v>
      </c>
      <c r="V1134" s="177" t="s">
        <v>18</v>
      </c>
    </row>
    <row r="1135" spans="2:22">
      <c r="B1135" s="251">
        <v>46229</v>
      </c>
      <c r="C1135" s="251">
        <v>46229</v>
      </c>
      <c r="D1135" s="177" t="s">
        <v>9421</v>
      </c>
      <c r="E1135" s="177">
        <v>260103321092</v>
      </c>
      <c r="F1135" s="177" t="s">
        <v>87</v>
      </c>
      <c r="G1135" s="177" t="s">
        <v>2641</v>
      </c>
      <c r="H1135" s="177">
        <v>160</v>
      </c>
      <c r="I1135" s="177">
        <v>286</v>
      </c>
      <c r="J1135" s="177">
        <v>286</v>
      </c>
      <c r="K1135" s="177">
        <v>102</v>
      </c>
      <c r="L1135" s="253">
        <v>1800</v>
      </c>
      <c r="M1135" s="177" t="s">
        <v>153</v>
      </c>
      <c r="N1135" s="177" t="s">
        <v>149</v>
      </c>
      <c r="O1135" s="177" t="s">
        <v>154</v>
      </c>
      <c r="P1135" s="177" t="s">
        <v>151</v>
      </c>
      <c r="Q1135" s="177" t="s">
        <v>155</v>
      </c>
      <c r="R1135" s="177" t="s">
        <v>9422</v>
      </c>
      <c r="S1135" s="177"/>
      <c r="T1135" s="177" t="s">
        <v>3254</v>
      </c>
      <c r="U1135" s="177" t="s">
        <v>152</v>
      </c>
      <c r="V1135" s="177" t="s">
        <v>18</v>
      </c>
    </row>
    <row r="1136" spans="2:22">
      <c r="B1136" s="251">
        <v>46229</v>
      </c>
      <c r="C1136" s="251">
        <v>46229</v>
      </c>
      <c r="D1136" s="177" t="s">
        <v>9423</v>
      </c>
      <c r="E1136" s="177">
        <v>260103321093</v>
      </c>
      <c r="F1136" s="177" t="s">
        <v>87</v>
      </c>
      <c r="G1136" s="177" t="s">
        <v>2641</v>
      </c>
      <c r="H1136" s="177">
        <v>160</v>
      </c>
      <c r="I1136" s="177">
        <v>290</v>
      </c>
      <c r="J1136" s="177">
        <v>290</v>
      </c>
      <c r="K1136" s="177">
        <v>102</v>
      </c>
      <c r="L1136" s="253">
        <v>1800</v>
      </c>
      <c r="M1136" s="177" t="s">
        <v>153</v>
      </c>
      <c r="N1136" s="177" t="s">
        <v>149</v>
      </c>
      <c r="O1136" s="177" t="s">
        <v>154</v>
      </c>
      <c r="P1136" s="177" t="s">
        <v>151</v>
      </c>
      <c r="Q1136" s="177" t="s">
        <v>155</v>
      </c>
      <c r="R1136" s="177" t="s">
        <v>9424</v>
      </c>
      <c r="S1136" s="177"/>
      <c r="T1136" s="177" t="s">
        <v>3254</v>
      </c>
      <c r="U1136" s="177" t="s">
        <v>152</v>
      </c>
      <c r="V1136" s="177" t="s">
        <v>18</v>
      </c>
    </row>
    <row r="1137" spans="2:22">
      <c r="B1137" s="251">
        <v>46229</v>
      </c>
      <c r="C1137" s="251">
        <v>46229</v>
      </c>
      <c r="D1137" s="177" t="s">
        <v>9425</v>
      </c>
      <c r="E1137" s="177">
        <v>260105121097</v>
      </c>
      <c r="F1137" s="177" t="s">
        <v>87</v>
      </c>
      <c r="G1137" s="177" t="s">
        <v>8881</v>
      </c>
      <c r="H1137" s="177">
        <v>162</v>
      </c>
      <c r="I1137" s="177">
        <v>292</v>
      </c>
      <c r="J1137" s="177">
        <v>292</v>
      </c>
      <c r="K1137" s="177">
        <v>102</v>
      </c>
      <c r="L1137" s="253">
        <v>1860</v>
      </c>
      <c r="M1137" s="177" t="s">
        <v>153</v>
      </c>
      <c r="N1137" s="177" t="s">
        <v>149</v>
      </c>
      <c r="O1137" s="177" t="s">
        <v>154</v>
      </c>
      <c r="P1137" s="177" t="s">
        <v>151</v>
      </c>
      <c r="Q1137" s="177" t="s">
        <v>155</v>
      </c>
      <c r="R1137" s="177" t="s">
        <v>9426</v>
      </c>
      <c r="S1137" s="177"/>
      <c r="T1137" s="177" t="s">
        <v>3254</v>
      </c>
      <c r="U1137" s="177" t="s">
        <v>152</v>
      </c>
      <c r="V1137" s="177" t="s">
        <v>18</v>
      </c>
    </row>
    <row r="1138" spans="2:22">
      <c r="B1138" s="251">
        <v>46230</v>
      </c>
      <c r="C1138" s="251">
        <v>46230</v>
      </c>
      <c r="D1138" s="177" t="s">
        <v>9427</v>
      </c>
      <c r="E1138" s="177">
        <v>260102921137</v>
      </c>
      <c r="F1138" s="177" t="s">
        <v>87</v>
      </c>
      <c r="G1138" s="177" t="s">
        <v>859</v>
      </c>
      <c r="H1138" s="177">
        <v>152</v>
      </c>
      <c r="I1138" s="177">
        <v>307</v>
      </c>
      <c r="J1138" s="177">
        <v>307</v>
      </c>
      <c r="K1138" s="177">
        <v>104</v>
      </c>
      <c r="L1138" s="253">
        <v>2000</v>
      </c>
      <c r="M1138" s="177" t="s">
        <v>153</v>
      </c>
      <c r="N1138" s="177" t="s">
        <v>149</v>
      </c>
      <c r="O1138" s="177" t="s">
        <v>154</v>
      </c>
      <c r="P1138" s="177" t="s">
        <v>151</v>
      </c>
      <c r="Q1138" s="177" t="s">
        <v>155</v>
      </c>
      <c r="R1138" s="177" t="s">
        <v>9428</v>
      </c>
      <c r="S1138" s="177"/>
      <c r="T1138" s="177" t="s">
        <v>3263</v>
      </c>
      <c r="U1138" s="177" t="s">
        <v>152</v>
      </c>
      <c r="V1138" s="177" t="s">
        <v>18</v>
      </c>
    </row>
    <row r="1139" spans="2:22">
      <c r="B1139" s="251">
        <v>46230</v>
      </c>
      <c r="C1139" s="251">
        <v>46230</v>
      </c>
      <c r="D1139" s="177" t="s">
        <v>9429</v>
      </c>
      <c r="E1139" s="177">
        <v>260102921138</v>
      </c>
      <c r="F1139" s="177" t="s">
        <v>87</v>
      </c>
      <c r="G1139" s="177" t="s">
        <v>859</v>
      </c>
      <c r="H1139" s="177">
        <v>152</v>
      </c>
      <c r="I1139" s="177">
        <v>305</v>
      </c>
      <c r="J1139" s="177">
        <v>305</v>
      </c>
      <c r="K1139" s="177">
        <v>104</v>
      </c>
      <c r="L1139" s="253">
        <v>2000</v>
      </c>
      <c r="M1139" s="177" t="s">
        <v>153</v>
      </c>
      <c r="N1139" s="177" t="s">
        <v>149</v>
      </c>
      <c r="O1139" s="177" t="s">
        <v>154</v>
      </c>
      <c r="P1139" s="177" t="s">
        <v>151</v>
      </c>
      <c r="Q1139" s="177" t="s">
        <v>155</v>
      </c>
      <c r="R1139" s="177" t="s">
        <v>9430</v>
      </c>
      <c r="S1139" s="177"/>
      <c r="T1139" s="177" t="s">
        <v>3263</v>
      </c>
      <c r="U1139" s="177" t="s">
        <v>152</v>
      </c>
      <c r="V1139" s="177" t="s">
        <v>18</v>
      </c>
    </row>
    <row r="1140" spans="2:22">
      <c r="B1140" s="251">
        <v>46230</v>
      </c>
      <c r="C1140" s="251">
        <v>46230</v>
      </c>
      <c r="D1140" s="177" t="s">
        <v>9431</v>
      </c>
      <c r="E1140" s="177">
        <v>260103621144</v>
      </c>
      <c r="F1140" s="177" t="s">
        <v>87</v>
      </c>
      <c r="G1140" s="177" t="s">
        <v>2310</v>
      </c>
      <c r="H1140" s="177">
        <v>125</v>
      </c>
      <c r="I1140" s="177">
        <v>203</v>
      </c>
      <c r="J1140" s="177">
        <v>203</v>
      </c>
      <c r="K1140" s="177">
        <v>87</v>
      </c>
      <c r="L1140" s="253">
        <v>1930</v>
      </c>
      <c r="M1140" s="177" t="s">
        <v>153</v>
      </c>
      <c r="N1140" s="177" t="s">
        <v>149</v>
      </c>
      <c r="O1140" s="177" t="s">
        <v>154</v>
      </c>
      <c r="P1140" s="177" t="s">
        <v>151</v>
      </c>
      <c r="Q1140" s="177" t="s">
        <v>155</v>
      </c>
      <c r="R1140" s="177" t="s">
        <v>9432</v>
      </c>
      <c r="S1140" s="177"/>
      <c r="T1140" s="177" t="s">
        <v>3263</v>
      </c>
      <c r="U1140" s="177" t="s">
        <v>152</v>
      </c>
      <c r="V1140" s="177" t="s">
        <v>18</v>
      </c>
    </row>
    <row r="1141" spans="2:22">
      <c r="B1141" s="251">
        <v>46230</v>
      </c>
      <c r="C1141" s="251">
        <v>46230</v>
      </c>
      <c r="D1141" s="177" t="s">
        <v>9433</v>
      </c>
      <c r="E1141" s="177">
        <v>260107521143</v>
      </c>
      <c r="F1141" s="177" t="s">
        <v>87</v>
      </c>
      <c r="G1141" s="177" t="s">
        <v>2310</v>
      </c>
      <c r="H1141" s="177">
        <v>125</v>
      </c>
      <c r="I1141" s="177">
        <v>201</v>
      </c>
      <c r="J1141" s="177">
        <v>201</v>
      </c>
      <c r="K1141" s="177">
        <v>87</v>
      </c>
      <c r="L1141" s="253">
        <v>1870</v>
      </c>
      <c r="M1141" s="177" t="s">
        <v>153</v>
      </c>
      <c r="N1141" s="177" t="s">
        <v>149</v>
      </c>
      <c r="O1141" s="177" t="s">
        <v>154</v>
      </c>
      <c r="P1141" s="177" t="s">
        <v>151</v>
      </c>
      <c r="Q1141" s="177" t="s">
        <v>155</v>
      </c>
      <c r="R1141" s="177" t="s">
        <v>9434</v>
      </c>
      <c r="S1141" s="177"/>
      <c r="T1141" s="177" t="s">
        <v>3263</v>
      </c>
      <c r="U1141" s="177" t="s">
        <v>152</v>
      </c>
      <c r="V1141" s="177" t="s">
        <v>18</v>
      </c>
    </row>
    <row r="1142" spans="2:22">
      <c r="B1142" s="251">
        <v>46230</v>
      </c>
      <c r="C1142" s="251">
        <v>46230</v>
      </c>
      <c r="D1142" s="177" t="s">
        <v>9435</v>
      </c>
      <c r="E1142" s="177">
        <v>260100421146</v>
      </c>
      <c r="F1142" s="177" t="s">
        <v>87</v>
      </c>
      <c r="G1142" s="177" t="s">
        <v>7130</v>
      </c>
      <c r="H1142" s="177">
        <v>182</v>
      </c>
      <c r="I1142" s="177">
        <v>427</v>
      </c>
      <c r="J1142" s="177">
        <v>427</v>
      </c>
      <c r="K1142" s="177">
        <v>190</v>
      </c>
      <c r="L1142" s="253">
        <v>640</v>
      </c>
      <c r="M1142" s="177" t="s">
        <v>153</v>
      </c>
      <c r="N1142" s="177" t="s">
        <v>149</v>
      </c>
      <c r="O1142" s="177" t="s">
        <v>154</v>
      </c>
      <c r="P1142" s="177" t="s">
        <v>151</v>
      </c>
      <c r="Q1142" s="177" t="s">
        <v>155</v>
      </c>
      <c r="R1142" s="177" t="s">
        <v>9436</v>
      </c>
      <c r="S1142" s="177"/>
      <c r="T1142" s="177" t="s">
        <v>3263</v>
      </c>
      <c r="U1142" s="177" t="s">
        <v>152</v>
      </c>
      <c r="V1142" s="177" t="s">
        <v>18</v>
      </c>
    </row>
    <row r="1143" spans="2:22">
      <c r="B1143" s="251">
        <v>46230</v>
      </c>
      <c r="C1143" s="251">
        <v>46230</v>
      </c>
      <c r="D1143" s="177" t="s">
        <v>9437</v>
      </c>
      <c r="E1143" s="177">
        <v>260103621145</v>
      </c>
      <c r="F1143" s="177" t="s">
        <v>87</v>
      </c>
      <c r="G1143" s="177" t="s">
        <v>2310</v>
      </c>
      <c r="H1143" s="177">
        <v>125</v>
      </c>
      <c r="I1143" s="177">
        <v>202</v>
      </c>
      <c r="J1143" s="177">
        <v>202</v>
      </c>
      <c r="K1143" s="177">
        <v>87</v>
      </c>
      <c r="L1143" s="253">
        <v>1930</v>
      </c>
      <c r="M1143" s="177" t="s">
        <v>153</v>
      </c>
      <c r="N1143" s="177" t="s">
        <v>149</v>
      </c>
      <c r="O1143" s="177" t="s">
        <v>154</v>
      </c>
      <c r="P1143" s="177" t="s">
        <v>151</v>
      </c>
      <c r="Q1143" s="177" t="s">
        <v>155</v>
      </c>
      <c r="R1143" s="177" t="s">
        <v>9438</v>
      </c>
      <c r="S1143" s="177"/>
      <c r="T1143" s="177" t="s">
        <v>3263</v>
      </c>
      <c r="U1143" s="177" t="s">
        <v>152</v>
      </c>
      <c r="V1143" s="177" t="s">
        <v>18</v>
      </c>
    </row>
    <row r="1144" spans="2:22">
      <c r="B1144" s="251">
        <v>46230</v>
      </c>
      <c r="C1144" s="251">
        <v>46230</v>
      </c>
      <c r="D1144" s="177" t="s">
        <v>9439</v>
      </c>
      <c r="E1144" s="177">
        <v>260105221140</v>
      </c>
      <c r="F1144" s="177" t="s">
        <v>87</v>
      </c>
      <c r="G1144" s="177" t="s">
        <v>8347</v>
      </c>
      <c r="H1144" s="177">
        <v>152</v>
      </c>
      <c r="I1144" s="177">
        <v>326</v>
      </c>
      <c r="J1144" s="177">
        <v>326</v>
      </c>
      <c r="K1144" s="177">
        <v>104</v>
      </c>
      <c r="L1144" s="253">
        <v>2110</v>
      </c>
      <c r="M1144" s="177" t="s">
        <v>153</v>
      </c>
      <c r="N1144" s="177" t="s">
        <v>149</v>
      </c>
      <c r="O1144" s="177" t="s">
        <v>154</v>
      </c>
      <c r="P1144" s="177" t="s">
        <v>151</v>
      </c>
      <c r="Q1144" s="177" t="s">
        <v>155</v>
      </c>
      <c r="R1144" s="177" t="s">
        <v>9440</v>
      </c>
      <c r="S1144" s="177"/>
      <c r="T1144" s="177" t="s">
        <v>3263</v>
      </c>
      <c r="U1144" s="177" t="s">
        <v>152</v>
      </c>
      <c r="V1144" s="177" t="s">
        <v>18</v>
      </c>
    </row>
    <row r="1145" spans="2:22">
      <c r="B1145" s="251">
        <v>46230</v>
      </c>
      <c r="C1145" s="251">
        <v>46230</v>
      </c>
      <c r="D1145" s="177" t="s">
        <v>9441</v>
      </c>
      <c r="E1145" s="177">
        <v>260104721096</v>
      </c>
      <c r="F1145" s="177" t="s">
        <v>87</v>
      </c>
      <c r="G1145" s="177" t="s">
        <v>9321</v>
      </c>
      <c r="H1145" s="177">
        <v>212</v>
      </c>
      <c r="I1145" s="177">
        <v>270</v>
      </c>
      <c r="J1145" s="177">
        <v>270</v>
      </c>
      <c r="K1145" s="177">
        <v>100</v>
      </c>
      <c r="L1145" s="253">
        <v>1320</v>
      </c>
      <c r="M1145" s="177" t="s">
        <v>153</v>
      </c>
      <c r="N1145" s="177" t="s">
        <v>149</v>
      </c>
      <c r="O1145" s="177" t="s">
        <v>154</v>
      </c>
      <c r="P1145" s="177" t="s">
        <v>151</v>
      </c>
      <c r="Q1145" s="177" t="s">
        <v>155</v>
      </c>
      <c r="R1145" s="177" t="s">
        <v>9442</v>
      </c>
      <c r="S1145" s="177"/>
      <c r="T1145" s="177" t="s">
        <v>3263</v>
      </c>
      <c r="U1145" s="177" t="s">
        <v>152</v>
      </c>
      <c r="V1145" s="177" t="s">
        <v>18</v>
      </c>
    </row>
    <row r="1146" spans="2:22">
      <c r="B1146" s="251">
        <v>46230</v>
      </c>
      <c r="C1146" s="251">
        <v>46230</v>
      </c>
      <c r="D1146" s="177" t="s">
        <v>9443</v>
      </c>
      <c r="E1146" s="177">
        <v>260107021142</v>
      </c>
      <c r="F1146" s="177" t="s">
        <v>87</v>
      </c>
      <c r="G1146" s="177" t="s">
        <v>2310</v>
      </c>
      <c r="H1146" s="177">
        <v>125</v>
      </c>
      <c r="I1146" s="177">
        <v>192</v>
      </c>
      <c r="J1146" s="177">
        <v>192</v>
      </c>
      <c r="K1146" s="177">
        <v>87</v>
      </c>
      <c r="L1146" s="253">
        <v>1840</v>
      </c>
      <c r="M1146" s="177" t="s">
        <v>153</v>
      </c>
      <c r="N1146" s="177" t="s">
        <v>149</v>
      </c>
      <c r="O1146" s="177" t="s">
        <v>154</v>
      </c>
      <c r="P1146" s="177" t="s">
        <v>151</v>
      </c>
      <c r="Q1146" s="177" t="s">
        <v>155</v>
      </c>
      <c r="R1146" s="177" t="s">
        <v>9444</v>
      </c>
      <c r="S1146" s="177"/>
      <c r="T1146" s="177" t="s">
        <v>3263</v>
      </c>
      <c r="U1146" s="177" t="s">
        <v>152</v>
      </c>
      <c r="V1146" s="177" t="s">
        <v>18</v>
      </c>
    </row>
    <row r="1147" spans="2:22">
      <c r="B1147" s="251">
        <v>46230</v>
      </c>
      <c r="C1147" s="251">
        <v>46230</v>
      </c>
      <c r="D1147" s="177" t="s">
        <v>9445</v>
      </c>
      <c r="E1147" s="177">
        <v>260100921147</v>
      </c>
      <c r="F1147" s="177" t="s">
        <v>87</v>
      </c>
      <c r="G1147" s="177" t="s">
        <v>7130</v>
      </c>
      <c r="H1147" s="177">
        <v>182</v>
      </c>
      <c r="I1147" s="177">
        <v>377</v>
      </c>
      <c r="J1147" s="177">
        <v>377</v>
      </c>
      <c r="K1147" s="177">
        <v>190</v>
      </c>
      <c r="L1147" s="253">
        <v>570</v>
      </c>
      <c r="M1147" s="177" t="s">
        <v>153</v>
      </c>
      <c r="N1147" s="177" t="s">
        <v>149</v>
      </c>
      <c r="O1147" s="177" t="s">
        <v>154</v>
      </c>
      <c r="P1147" s="177" t="s">
        <v>151</v>
      </c>
      <c r="Q1147" s="177" t="s">
        <v>155</v>
      </c>
      <c r="R1147" s="177" t="s">
        <v>9446</v>
      </c>
      <c r="S1147" s="177"/>
      <c r="T1147" s="177" t="s">
        <v>3263</v>
      </c>
      <c r="U1147" s="177" t="s">
        <v>152</v>
      </c>
      <c r="V1147" s="177" t="s">
        <v>18</v>
      </c>
    </row>
    <row r="1148" spans="2:22">
      <c r="B1148" s="251">
        <v>46230</v>
      </c>
      <c r="C1148" s="251">
        <v>46230</v>
      </c>
      <c r="D1148" s="177" t="s">
        <v>9447</v>
      </c>
      <c r="E1148" s="177">
        <v>260105321139</v>
      </c>
      <c r="F1148" s="177" t="s">
        <v>87</v>
      </c>
      <c r="G1148" s="177" t="s">
        <v>859</v>
      </c>
      <c r="H1148" s="177">
        <v>152</v>
      </c>
      <c r="I1148" s="177">
        <v>292</v>
      </c>
      <c r="J1148" s="177">
        <v>292</v>
      </c>
      <c r="K1148" s="177">
        <v>104</v>
      </c>
      <c r="L1148" s="253">
        <v>1920</v>
      </c>
      <c r="M1148" s="177" t="s">
        <v>153</v>
      </c>
      <c r="N1148" s="177" t="s">
        <v>149</v>
      </c>
      <c r="O1148" s="177" t="s">
        <v>154</v>
      </c>
      <c r="P1148" s="177" t="s">
        <v>151</v>
      </c>
      <c r="Q1148" s="177" t="s">
        <v>155</v>
      </c>
      <c r="R1148" s="177" t="s">
        <v>9448</v>
      </c>
      <c r="S1148" s="177"/>
      <c r="T1148" s="177" t="s">
        <v>3263</v>
      </c>
      <c r="U1148" s="177" t="s">
        <v>152</v>
      </c>
      <c r="V1148" s="177" t="s">
        <v>18</v>
      </c>
    </row>
    <row r="1149" spans="2:22">
      <c r="B1149" s="251">
        <v>46230</v>
      </c>
      <c r="C1149" s="251">
        <v>46230</v>
      </c>
      <c r="D1149" s="177" t="s">
        <v>9449</v>
      </c>
      <c r="E1149" s="177" t="s">
        <v>9450</v>
      </c>
      <c r="F1149" s="177" t="s">
        <v>87</v>
      </c>
      <c r="G1149" s="177" t="s">
        <v>9451</v>
      </c>
      <c r="H1149" s="177" t="s">
        <v>661</v>
      </c>
      <c r="I1149" s="177">
        <v>407</v>
      </c>
      <c r="J1149" s="177">
        <v>407</v>
      </c>
      <c r="K1149" s="177">
        <v>122</v>
      </c>
      <c r="L1149" s="253">
        <v>3100</v>
      </c>
      <c r="M1149" s="177" t="s">
        <v>153</v>
      </c>
      <c r="N1149" s="177" t="s">
        <v>149</v>
      </c>
      <c r="O1149" s="177" t="s">
        <v>154</v>
      </c>
      <c r="P1149" s="177" t="s">
        <v>151</v>
      </c>
      <c r="Q1149" s="177" t="s">
        <v>156</v>
      </c>
      <c r="R1149" s="177" t="s">
        <v>9452</v>
      </c>
      <c r="S1149" s="177"/>
      <c r="T1149" s="177" t="s">
        <v>3263</v>
      </c>
      <c r="U1149" s="177" t="s">
        <v>152</v>
      </c>
      <c r="V1149" s="177" t="s">
        <v>20</v>
      </c>
    </row>
    <row r="1150" spans="2:22">
      <c r="B1150" s="251">
        <v>46230</v>
      </c>
      <c r="C1150" s="251">
        <v>46230</v>
      </c>
      <c r="D1150" s="177" t="s">
        <v>9453</v>
      </c>
      <c r="E1150" s="177" t="s">
        <v>9454</v>
      </c>
      <c r="F1150" s="177" t="s">
        <v>87</v>
      </c>
      <c r="G1150" s="177" t="s">
        <v>9451</v>
      </c>
      <c r="H1150" s="177" t="s">
        <v>661</v>
      </c>
      <c r="I1150" s="177">
        <v>386</v>
      </c>
      <c r="J1150" s="177">
        <v>386</v>
      </c>
      <c r="K1150" s="177">
        <v>122</v>
      </c>
      <c r="L1150" s="253">
        <v>2900</v>
      </c>
      <c r="M1150" s="177" t="s">
        <v>153</v>
      </c>
      <c r="N1150" s="177" t="s">
        <v>149</v>
      </c>
      <c r="O1150" s="177" t="s">
        <v>154</v>
      </c>
      <c r="P1150" s="177" t="s">
        <v>151</v>
      </c>
      <c r="Q1150" s="177" t="s">
        <v>156</v>
      </c>
      <c r="R1150" s="177" t="s">
        <v>9455</v>
      </c>
      <c r="S1150" s="177"/>
      <c r="T1150" s="177" t="s">
        <v>3263</v>
      </c>
      <c r="U1150" s="177" t="s">
        <v>152</v>
      </c>
      <c r="V1150" s="177" t="s">
        <v>20</v>
      </c>
    </row>
    <row r="1151" spans="2:22">
      <c r="B1151" s="251">
        <v>46230</v>
      </c>
      <c r="C1151" s="251">
        <v>46230</v>
      </c>
      <c r="D1151" s="177" t="s">
        <v>9456</v>
      </c>
      <c r="E1151" s="177">
        <v>260101021081</v>
      </c>
      <c r="F1151" s="177" t="s">
        <v>87</v>
      </c>
      <c r="G1151" s="177" t="s">
        <v>2656</v>
      </c>
      <c r="H1151" s="177" t="s">
        <v>2647</v>
      </c>
      <c r="I1151" s="177">
        <v>884</v>
      </c>
      <c r="J1151" s="177">
        <v>884</v>
      </c>
      <c r="K1151" s="177">
        <v>180</v>
      </c>
      <c r="L1151" s="253">
        <v>1690</v>
      </c>
      <c r="M1151" s="177" t="s">
        <v>153</v>
      </c>
      <c r="N1151" s="177" t="s">
        <v>149</v>
      </c>
      <c r="O1151" s="177" t="s">
        <v>154</v>
      </c>
      <c r="P1151" s="177" t="s">
        <v>151</v>
      </c>
      <c r="Q1151" s="177" t="s">
        <v>156</v>
      </c>
      <c r="R1151" s="177" t="s">
        <v>9457</v>
      </c>
      <c r="S1151" s="177"/>
      <c r="T1151" s="177" t="s">
        <v>3263</v>
      </c>
      <c r="U1151" s="177" t="s">
        <v>152</v>
      </c>
      <c r="V1151" s="177" t="s">
        <v>20</v>
      </c>
    </row>
    <row r="1152" spans="2:22">
      <c r="B1152" s="251">
        <v>46230</v>
      </c>
      <c r="C1152" s="251">
        <v>46230</v>
      </c>
      <c r="D1152" s="177" t="s">
        <v>9458</v>
      </c>
      <c r="E1152" s="177">
        <v>260101321069</v>
      </c>
      <c r="F1152" s="177" t="s">
        <v>87</v>
      </c>
      <c r="G1152" s="177" t="s">
        <v>2656</v>
      </c>
      <c r="H1152" s="177" t="s">
        <v>2647</v>
      </c>
      <c r="I1152" s="177">
        <v>718</v>
      </c>
      <c r="J1152" s="177">
        <v>718</v>
      </c>
      <c r="K1152" s="177">
        <v>180</v>
      </c>
      <c r="L1152" s="253">
        <v>1400</v>
      </c>
      <c r="M1152" s="177" t="s">
        <v>153</v>
      </c>
      <c r="N1152" s="177" t="s">
        <v>149</v>
      </c>
      <c r="O1152" s="177" t="s">
        <v>154</v>
      </c>
      <c r="P1152" s="177" t="s">
        <v>151</v>
      </c>
      <c r="Q1152" s="177" t="s">
        <v>156</v>
      </c>
      <c r="R1152" s="177" t="s">
        <v>9459</v>
      </c>
      <c r="S1152" s="177"/>
      <c r="T1152" s="177" t="s">
        <v>3263</v>
      </c>
      <c r="U1152" s="177" t="s">
        <v>152</v>
      </c>
      <c r="V1152" s="177" t="s">
        <v>20</v>
      </c>
    </row>
    <row r="1153" spans="2:22">
      <c r="B1153" s="251">
        <v>46230</v>
      </c>
      <c r="C1153" s="251">
        <v>46230</v>
      </c>
      <c r="D1153" s="177" t="s">
        <v>9460</v>
      </c>
      <c r="E1153" s="177">
        <v>260105520867</v>
      </c>
      <c r="F1153" s="177" t="s">
        <v>87</v>
      </c>
      <c r="G1153" s="177" t="s">
        <v>7101</v>
      </c>
      <c r="H1153" s="177" t="s">
        <v>2377</v>
      </c>
      <c r="I1153" s="177">
        <v>467</v>
      </c>
      <c r="J1153" s="177">
        <v>467</v>
      </c>
      <c r="K1153" s="177">
        <v>110</v>
      </c>
      <c r="L1153" s="253">
        <v>2270</v>
      </c>
      <c r="M1153" s="177" t="s">
        <v>153</v>
      </c>
      <c r="N1153" s="177" t="s">
        <v>149</v>
      </c>
      <c r="O1153" s="177" t="s">
        <v>154</v>
      </c>
      <c r="P1153" s="177" t="s">
        <v>151</v>
      </c>
      <c r="Q1153" s="177" t="s">
        <v>156</v>
      </c>
      <c r="R1153" s="177" t="s">
        <v>9461</v>
      </c>
      <c r="S1153" s="177"/>
      <c r="T1153" s="177" t="s">
        <v>3263</v>
      </c>
      <c r="U1153" s="177" t="s">
        <v>152</v>
      </c>
      <c r="V1153" s="177" t="s">
        <v>20</v>
      </c>
    </row>
    <row r="1154" spans="2:22">
      <c r="B1154" s="251">
        <v>46230</v>
      </c>
      <c r="C1154" s="251">
        <v>46230</v>
      </c>
      <c r="D1154" s="177" t="s">
        <v>9462</v>
      </c>
      <c r="E1154" s="177">
        <v>260105520963</v>
      </c>
      <c r="F1154" s="177" t="s">
        <v>87</v>
      </c>
      <c r="G1154" s="177" t="s">
        <v>7101</v>
      </c>
      <c r="H1154" s="177" t="s">
        <v>2377</v>
      </c>
      <c r="I1154" s="177">
        <v>357</v>
      </c>
      <c r="J1154" s="177">
        <v>357</v>
      </c>
      <c r="K1154" s="177">
        <v>110</v>
      </c>
      <c r="L1154" s="253">
        <v>1740</v>
      </c>
      <c r="M1154" s="177" t="s">
        <v>153</v>
      </c>
      <c r="N1154" s="177" t="s">
        <v>149</v>
      </c>
      <c r="O1154" s="177" t="s">
        <v>154</v>
      </c>
      <c r="P1154" s="177" t="s">
        <v>151</v>
      </c>
      <c r="Q1154" s="177" t="s">
        <v>156</v>
      </c>
      <c r="R1154" s="177" t="s">
        <v>9463</v>
      </c>
      <c r="S1154" s="177"/>
      <c r="T1154" s="177" t="s">
        <v>3263</v>
      </c>
      <c r="U1154" s="177" t="s">
        <v>152</v>
      </c>
      <c r="V1154" s="177" t="s">
        <v>20</v>
      </c>
    </row>
    <row r="1155" spans="2:22">
      <c r="B1155" s="251">
        <v>46230</v>
      </c>
      <c r="C1155" s="251">
        <v>46230</v>
      </c>
      <c r="D1155" s="177" t="s">
        <v>9464</v>
      </c>
      <c r="E1155" s="177">
        <v>260105521056</v>
      </c>
      <c r="F1155" s="177" t="s">
        <v>87</v>
      </c>
      <c r="G1155" s="177" t="s">
        <v>7101</v>
      </c>
      <c r="H1155" s="177" t="s">
        <v>2377</v>
      </c>
      <c r="I1155" s="177">
        <v>457</v>
      </c>
      <c r="J1155" s="177">
        <v>457</v>
      </c>
      <c r="K1155" s="177">
        <v>110</v>
      </c>
      <c r="L1155" s="253">
        <v>2200</v>
      </c>
      <c r="M1155" s="177" t="s">
        <v>153</v>
      </c>
      <c r="N1155" s="177" t="s">
        <v>149</v>
      </c>
      <c r="O1155" s="177" t="s">
        <v>154</v>
      </c>
      <c r="P1155" s="177" t="s">
        <v>151</v>
      </c>
      <c r="Q1155" s="177" t="s">
        <v>156</v>
      </c>
      <c r="R1155" s="177" t="s">
        <v>9465</v>
      </c>
      <c r="S1155" s="177"/>
      <c r="T1155" s="177" t="s">
        <v>3263</v>
      </c>
      <c r="U1155" s="177" t="s">
        <v>152</v>
      </c>
      <c r="V1155" s="177" t="s">
        <v>20</v>
      </c>
    </row>
    <row r="1156" spans="2:22">
      <c r="B1156" s="251">
        <v>46230</v>
      </c>
      <c r="C1156" s="251">
        <v>46230</v>
      </c>
      <c r="D1156" s="177" t="s">
        <v>9466</v>
      </c>
      <c r="E1156" s="177">
        <v>260105421099</v>
      </c>
      <c r="F1156" s="177" t="s">
        <v>87</v>
      </c>
      <c r="G1156" s="177" t="s">
        <v>2310</v>
      </c>
      <c r="H1156" s="177">
        <v>125</v>
      </c>
      <c r="I1156" s="177">
        <v>234</v>
      </c>
      <c r="J1156" s="177">
        <v>234</v>
      </c>
      <c r="K1156" s="177">
        <v>87</v>
      </c>
      <c r="L1156" s="253">
        <v>2240</v>
      </c>
      <c r="M1156" s="177" t="s">
        <v>153</v>
      </c>
      <c r="N1156" s="177" t="s">
        <v>149</v>
      </c>
      <c r="O1156" s="177" t="s">
        <v>154</v>
      </c>
      <c r="P1156" s="177" t="s">
        <v>151</v>
      </c>
      <c r="Q1156" s="177" t="s">
        <v>155</v>
      </c>
      <c r="R1156" s="177" t="s">
        <v>9467</v>
      </c>
      <c r="S1156" s="177"/>
      <c r="T1156" s="177" t="s">
        <v>3261</v>
      </c>
      <c r="U1156" s="177" t="s">
        <v>152</v>
      </c>
      <c r="V1156" s="177" t="s">
        <v>18</v>
      </c>
    </row>
    <row r="1157" spans="2:22">
      <c r="B1157" s="251">
        <v>46230</v>
      </c>
      <c r="C1157" s="251">
        <v>46230</v>
      </c>
      <c r="D1157" s="177" t="s">
        <v>9468</v>
      </c>
      <c r="E1157" s="177">
        <v>260107921111</v>
      </c>
      <c r="F1157" s="177" t="s">
        <v>87</v>
      </c>
      <c r="G1157" s="177" t="s">
        <v>2649</v>
      </c>
      <c r="H1157" s="177">
        <v>125</v>
      </c>
      <c r="I1157" s="177">
        <v>273</v>
      </c>
      <c r="J1157" s="177">
        <v>273</v>
      </c>
      <c r="K1157" s="177">
        <v>92</v>
      </c>
      <c r="L1157" s="253">
        <v>2470</v>
      </c>
      <c r="M1157" s="177" t="s">
        <v>153</v>
      </c>
      <c r="N1157" s="177" t="s">
        <v>149</v>
      </c>
      <c r="O1157" s="177" t="s">
        <v>154</v>
      </c>
      <c r="P1157" s="177" t="s">
        <v>151</v>
      </c>
      <c r="Q1157" s="177" t="s">
        <v>155</v>
      </c>
      <c r="R1157" s="177" t="s">
        <v>9469</v>
      </c>
      <c r="S1157" s="177"/>
      <c r="T1157" s="177" t="s">
        <v>3261</v>
      </c>
      <c r="U1157" s="177" t="s">
        <v>152</v>
      </c>
      <c r="V1157" s="177" t="s">
        <v>18</v>
      </c>
    </row>
    <row r="1158" spans="2:22">
      <c r="B1158" s="251">
        <v>46230</v>
      </c>
      <c r="C1158" s="251">
        <v>46230</v>
      </c>
      <c r="D1158" s="177" t="s">
        <v>9470</v>
      </c>
      <c r="E1158" s="177">
        <v>260107621114</v>
      </c>
      <c r="F1158" s="177" t="s">
        <v>87</v>
      </c>
      <c r="G1158" s="177" t="s">
        <v>2310</v>
      </c>
      <c r="H1158" s="177">
        <v>125</v>
      </c>
      <c r="I1158" s="177">
        <v>270</v>
      </c>
      <c r="J1158" s="177">
        <v>270</v>
      </c>
      <c r="K1158" s="177">
        <v>87</v>
      </c>
      <c r="L1158" s="253">
        <v>2570</v>
      </c>
      <c r="M1158" s="177" t="s">
        <v>153</v>
      </c>
      <c r="N1158" s="177" t="s">
        <v>149</v>
      </c>
      <c r="O1158" s="177" t="s">
        <v>154</v>
      </c>
      <c r="P1158" s="177" t="s">
        <v>151</v>
      </c>
      <c r="Q1158" s="177" t="s">
        <v>155</v>
      </c>
      <c r="R1158" s="177" t="s">
        <v>9471</v>
      </c>
      <c r="S1158" s="177"/>
      <c r="T1158" s="177" t="s">
        <v>3261</v>
      </c>
      <c r="U1158" s="177" t="s">
        <v>152</v>
      </c>
      <c r="V1158" s="177" t="s">
        <v>18</v>
      </c>
    </row>
    <row r="1159" spans="2:22">
      <c r="B1159" s="251">
        <v>46230</v>
      </c>
      <c r="C1159" s="251">
        <v>46230</v>
      </c>
      <c r="D1159" s="177" t="s">
        <v>9472</v>
      </c>
      <c r="E1159" s="177">
        <v>260101621127</v>
      </c>
      <c r="F1159" s="177" t="s">
        <v>87</v>
      </c>
      <c r="G1159" s="177" t="s">
        <v>2120</v>
      </c>
      <c r="H1159" s="177">
        <v>112</v>
      </c>
      <c r="I1159" s="177">
        <v>316</v>
      </c>
      <c r="J1159" s="177">
        <v>316</v>
      </c>
      <c r="K1159" s="177">
        <v>180</v>
      </c>
      <c r="L1159" s="253">
        <v>800</v>
      </c>
      <c r="M1159" s="177" t="s">
        <v>153</v>
      </c>
      <c r="N1159" s="177" t="s">
        <v>149</v>
      </c>
      <c r="O1159" s="177" t="s">
        <v>154</v>
      </c>
      <c r="P1159" s="177" t="s">
        <v>151</v>
      </c>
      <c r="Q1159" s="177" t="s">
        <v>155</v>
      </c>
      <c r="R1159" s="177" t="s">
        <v>9473</v>
      </c>
      <c r="S1159" s="177"/>
      <c r="T1159" s="177" t="s">
        <v>3261</v>
      </c>
      <c r="U1159" s="177" t="s">
        <v>152</v>
      </c>
      <c r="V1159" s="177" t="s">
        <v>18</v>
      </c>
    </row>
    <row r="1160" spans="2:22">
      <c r="B1160" s="251">
        <v>46230</v>
      </c>
      <c r="C1160" s="251">
        <v>46230</v>
      </c>
      <c r="D1160" s="177" t="s">
        <v>9474</v>
      </c>
      <c r="E1160" s="177">
        <v>260107821112</v>
      </c>
      <c r="F1160" s="177" t="s">
        <v>87</v>
      </c>
      <c r="G1160" s="177" t="s">
        <v>2425</v>
      </c>
      <c r="H1160" s="177">
        <v>135</v>
      </c>
      <c r="I1160" s="177">
        <v>255</v>
      </c>
      <c r="J1160" s="177">
        <v>255</v>
      </c>
      <c r="K1160" s="177">
        <v>92</v>
      </c>
      <c r="L1160" s="253">
        <v>2140</v>
      </c>
      <c r="M1160" s="177" t="s">
        <v>153</v>
      </c>
      <c r="N1160" s="177" t="s">
        <v>149</v>
      </c>
      <c r="O1160" s="177" t="s">
        <v>154</v>
      </c>
      <c r="P1160" s="177" t="s">
        <v>151</v>
      </c>
      <c r="Q1160" s="177" t="s">
        <v>155</v>
      </c>
      <c r="R1160" s="177" t="s">
        <v>9475</v>
      </c>
      <c r="S1160" s="177"/>
      <c r="T1160" s="177" t="s">
        <v>3261</v>
      </c>
      <c r="U1160" s="177" t="s">
        <v>152</v>
      </c>
      <c r="V1160" s="177" t="s">
        <v>18</v>
      </c>
    </row>
    <row r="1161" spans="2:22">
      <c r="B1161" s="251">
        <v>46230</v>
      </c>
      <c r="C1161" s="251">
        <v>46230</v>
      </c>
      <c r="D1161" s="177" t="s">
        <v>9476</v>
      </c>
      <c r="E1161" s="177">
        <v>260101421125</v>
      </c>
      <c r="F1161" s="177" t="s">
        <v>87</v>
      </c>
      <c r="G1161" s="177" t="s">
        <v>859</v>
      </c>
      <c r="H1161" s="177">
        <v>152</v>
      </c>
      <c r="I1161" s="177">
        <v>233</v>
      </c>
      <c r="J1161" s="177">
        <v>233</v>
      </c>
      <c r="K1161" s="177">
        <v>104</v>
      </c>
      <c r="L1161" s="253">
        <v>1500</v>
      </c>
      <c r="M1161" s="177" t="s">
        <v>153</v>
      </c>
      <c r="N1161" s="177" t="s">
        <v>149</v>
      </c>
      <c r="O1161" s="177" t="s">
        <v>154</v>
      </c>
      <c r="P1161" s="177" t="s">
        <v>151</v>
      </c>
      <c r="Q1161" s="177" t="s">
        <v>155</v>
      </c>
      <c r="R1161" s="177" t="s">
        <v>9477</v>
      </c>
      <c r="S1161" s="177"/>
      <c r="T1161" s="177" t="s">
        <v>3261</v>
      </c>
      <c r="U1161" s="177" t="s">
        <v>152</v>
      </c>
      <c r="V1161" s="177" t="s">
        <v>18</v>
      </c>
    </row>
    <row r="1162" spans="2:22">
      <c r="B1162" s="251">
        <v>46230</v>
      </c>
      <c r="C1162" s="251">
        <v>46230</v>
      </c>
      <c r="D1162" s="177" t="s">
        <v>9478</v>
      </c>
      <c r="E1162" s="177">
        <v>260101421123</v>
      </c>
      <c r="F1162" s="177" t="s">
        <v>87</v>
      </c>
      <c r="G1162" s="177" t="s">
        <v>859</v>
      </c>
      <c r="H1162" s="177">
        <v>152</v>
      </c>
      <c r="I1162" s="177">
        <v>234</v>
      </c>
      <c r="J1162" s="177">
        <v>234</v>
      </c>
      <c r="K1162" s="177">
        <v>104</v>
      </c>
      <c r="L1162" s="253">
        <v>1500</v>
      </c>
      <c r="M1162" s="177" t="s">
        <v>153</v>
      </c>
      <c r="N1162" s="177" t="s">
        <v>149</v>
      </c>
      <c r="O1162" s="177" t="s">
        <v>154</v>
      </c>
      <c r="P1162" s="177" t="s">
        <v>151</v>
      </c>
      <c r="Q1162" s="177" t="s">
        <v>155</v>
      </c>
      <c r="R1162" s="177" t="s">
        <v>9479</v>
      </c>
      <c r="S1162" s="177"/>
      <c r="T1162" s="177" t="s">
        <v>3261</v>
      </c>
      <c r="U1162" s="177" t="s">
        <v>152</v>
      </c>
      <c r="V1162" s="177" t="s">
        <v>18</v>
      </c>
    </row>
    <row r="1163" spans="2:22">
      <c r="B1163" s="251">
        <v>46230</v>
      </c>
      <c r="C1163" s="251">
        <v>46230</v>
      </c>
      <c r="D1163" s="177" t="s">
        <v>9480</v>
      </c>
      <c r="E1163" s="177">
        <v>260101421126</v>
      </c>
      <c r="F1163" s="177" t="s">
        <v>87</v>
      </c>
      <c r="G1163" s="177" t="s">
        <v>859</v>
      </c>
      <c r="H1163" s="177">
        <v>152</v>
      </c>
      <c r="I1163" s="177">
        <v>231</v>
      </c>
      <c r="J1163" s="177">
        <v>231</v>
      </c>
      <c r="K1163" s="177">
        <v>104</v>
      </c>
      <c r="L1163" s="253">
        <v>1500</v>
      </c>
      <c r="M1163" s="177" t="s">
        <v>153</v>
      </c>
      <c r="N1163" s="177" t="s">
        <v>149</v>
      </c>
      <c r="O1163" s="177" t="s">
        <v>154</v>
      </c>
      <c r="P1163" s="177" t="s">
        <v>151</v>
      </c>
      <c r="Q1163" s="177" t="s">
        <v>155</v>
      </c>
      <c r="R1163" s="177" t="s">
        <v>9481</v>
      </c>
      <c r="S1163" s="177"/>
      <c r="T1163" s="177" t="s">
        <v>3261</v>
      </c>
      <c r="U1163" s="177" t="s">
        <v>152</v>
      </c>
      <c r="V1163" s="177" t="s">
        <v>18</v>
      </c>
    </row>
    <row r="1164" spans="2:22">
      <c r="B1164" s="251">
        <v>46230</v>
      </c>
      <c r="C1164" s="251">
        <v>46230</v>
      </c>
      <c r="D1164" s="177" t="s">
        <v>9482</v>
      </c>
      <c r="E1164" s="177">
        <v>260100521085</v>
      </c>
      <c r="F1164" s="177" t="s">
        <v>87</v>
      </c>
      <c r="G1164" s="177" t="s">
        <v>8900</v>
      </c>
      <c r="H1164" s="177">
        <v>192</v>
      </c>
      <c r="I1164" s="177">
        <v>390</v>
      </c>
      <c r="J1164" s="177">
        <v>390</v>
      </c>
      <c r="K1164" s="177">
        <v>180</v>
      </c>
      <c r="L1164" s="177">
        <v>590</v>
      </c>
      <c r="M1164" s="177" t="s">
        <v>153</v>
      </c>
      <c r="N1164" s="177" t="s">
        <v>149</v>
      </c>
      <c r="O1164" s="177" t="s">
        <v>154</v>
      </c>
      <c r="P1164" s="177" t="s">
        <v>151</v>
      </c>
      <c r="Q1164" s="177" t="s">
        <v>155</v>
      </c>
      <c r="R1164" s="177" t="s">
        <v>9483</v>
      </c>
      <c r="S1164" s="177"/>
      <c r="T1164" s="177" t="s">
        <v>3261</v>
      </c>
      <c r="U1164" s="177" t="s">
        <v>152</v>
      </c>
      <c r="V1164" s="177" t="s">
        <v>18</v>
      </c>
    </row>
    <row r="1165" spans="2:22">
      <c r="B1165" s="251">
        <v>46230</v>
      </c>
      <c r="C1165" s="251">
        <v>46230</v>
      </c>
      <c r="D1165" s="177" t="s">
        <v>9484</v>
      </c>
      <c r="E1165" s="177">
        <v>260101921100</v>
      </c>
      <c r="F1165" s="177" t="s">
        <v>87</v>
      </c>
      <c r="G1165" s="177" t="s">
        <v>2563</v>
      </c>
      <c r="H1165" s="177">
        <v>95</v>
      </c>
      <c r="I1165" s="177">
        <v>252</v>
      </c>
      <c r="J1165" s="177">
        <v>252</v>
      </c>
      <c r="K1165" s="177">
        <v>134</v>
      </c>
      <c r="L1165" s="253">
        <v>1000</v>
      </c>
      <c r="M1165" s="177" t="s">
        <v>153</v>
      </c>
      <c r="N1165" s="177" t="s">
        <v>149</v>
      </c>
      <c r="O1165" s="177" t="s">
        <v>154</v>
      </c>
      <c r="P1165" s="177" t="s">
        <v>151</v>
      </c>
      <c r="Q1165" s="177" t="s">
        <v>155</v>
      </c>
      <c r="R1165" s="177" t="s">
        <v>9485</v>
      </c>
      <c r="S1165" s="177"/>
      <c r="T1165" s="177" t="s">
        <v>3261</v>
      </c>
      <c r="U1165" s="177" t="s">
        <v>152</v>
      </c>
      <c r="V1165" s="177" t="s">
        <v>18</v>
      </c>
    </row>
    <row r="1166" spans="2:22">
      <c r="B1166" s="251">
        <v>46230</v>
      </c>
      <c r="C1166" s="251">
        <v>46230</v>
      </c>
      <c r="D1166" s="177" t="s">
        <v>9486</v>
      </c>
      <c r="E1166" s="177">
        <v>260105721109</v>
      </c>
      <c r="F1166" s="177" t="s">
        <v>87</v>
      </c>
      <c r="G1166" s="177" t="s">
        <v>2561</v>
      </c>
      <c r="H1166" s="177">
        <v>142</v>
      </c>
      <c r="I1166" s="177">
        <v>166</v>
      </c>
      <c r="J1166" s="177">
        <v>166</v>
      </c>
      <c r="K1166" s="177">
        <v>67</v>
      </c>
      <c r="L1166" s="253">
        <v>1820</v>
      </c>
      <c r="M1166" s="177" t="s">
        <v>153</v>
      </c>
      <c r="N1166" s="177" t="s">
        <v>149</v>
      </c>
      <c r="O1166" s="177" t="s">
        <v>154</v>
      </c>
      <c r="P1166" s="177" t="s">
        <v>151</v>
      </c>
      <c r="Q1166" s="177" t="s">
        <v>155</v>
      </c>
      <c r="R1166" s="177" t="s">
        <v>9487</v>
      </c>
      <c r="S1166" s="177"/>
      <c r="T1166" s="177" t="s">
        <v>3261</v>
      </c>
      <c r="U1166" s="177" t="s">
        <v>152</v>
      </c>
      <c r="V1166" s="177" t="s">
        <v>18</v>
      </c>
    </row>
    <row r="1167" spans="2:22">
      <c r="B1167" s="251">
        <v>46230</v>
      </c>
      <c r="C1167" s="251">
        <v>46230</v>
      </c>
      <c r="D1167" s="177" t="s">
        <v>9488</v>
      </c>
      <c r="E1167" s="177">
        <v>260100921121</v>
      </c>
      <c r="F1167" s="177" t="s">
        <v>87</v>
      </c>
      <c r="G1167" s="177" t="s">
        <v>7130</v>
      </c>
      <c r="H1167" s="177">
        <v>182</v>
      </c>
      <c r="I1167" s="177">
        <v>344</v>
      </c>
      <c r="J1167" s="177">
        <v>344</v>
      </c>
      <c r="K1167" s="177">
        <v>190</v>
      </c>
      <c r="L1167" s="177">
        <v>500</v>
      </c>
      <c r="M1167" s="177" t="s">
        <v>153</v>
      </c>
      <c r="N1167" s="177" t="s">
        <v>149</v>
      </c>
      <c r="O1167" s="177" t="s">
        <v>154</v>
      </c>
      <c r="P1167" s="177" t="s">
        <v>151</v>
      </c>
      <c r="Q1167" s="177" t="s">
        <v>155</v>
      </c>
      <c r="R1167" s="177" t="s">
        <v>9489</v>
      </c>
      <c r="S1167" s="177"/>
      <c r="T1167" s="177" t="s">
        <v>3261</v>
      </c>
      <c r="U1167" s="177" t="s">
        <v>152</v>
      </c>
      <c r="V1167" s="177" t="s">
        <v>18</v>
      </c>
    </row>
    <row r="1168" spans="2:22">
      <c r="B1168" s="251">
        <v>46230</v>
      </c>
      <c r="C1168" s="251">
        <v>46230</v>
      </c>
      <c r="D1168" s="177" t="s">
        <v>9490</v>
      </c>
      <c r="E1168" s="177">
        <v>260100921086</v>
      </c>
      <c r="F1168" s="177" t="s">
        <v>87</v>
      </c>
      <c r="G1168" s="177" t="s">
        <v>7130</v>
      </c>
      <c r="H1168" s="177">
        <v>182</v>
      </c>
      <c r="I1168" s="177">
        <v>331</v>
      </c>
      <c r="J1168" s="177">
        <v>331</v>
      </c>
      <c r="K1168" s="177">
        <v>190</v>
      </c>
      <c r="L1168" s="253">
        <v>500</v>
      </c>
      <c r="M1168" s="177" t="s">
        <v>153</v>
      </c>
      <c r="N1168" s="177" t="s">
        <v>149</v>
      </c>
      <c r="O1168" s="177" t="s">
        <v>154</v>
      </c>
      <c r="P1168" s="177" t="s">
        <v>151</v>
      </c>
      <c r="Q1168" s="177" t="s">
        <v>155</v>
      </c>
      <c r="R1168" s="177" t="s">
        <v>9491</v>
      </c>
      <c r="S1168" s="177"/>
      <c r="T1168" s="177" t="s">
        <v>3261</v>
      </c>
      <c r="U1168" s="177" t="s">
        <v>152</v>
      </c>
      <c r="V1168" s="177" t="s">
        <v>18</v>
      </c>
    </row>
    <row r="1169" spans="2:22">
      <c r="B1169" s="251">
        <v>46230</v>
      </c>
      <c r="C1169" s="251">
        <v>46230</v>
      </c>
      <c r="D1169" s="177" t="s">
        <v>9492</v>
      </c>
      <c r="E1169" s="177">
        <v>260107121117</v>
      </c>
      <c r="F1169" s="177" t="s">
        <v>87</v>
      </c>
      <c r="G1169" s="177" t="s">
        <v>9316</v>
      </c>
      <c r="H1169" s="177">
        <v>142</v>
      </c>
      <c r="I1169" s="177">
        <v>233</v>
      </c>
      <c r="J1169" s="177">
        <v>233</v>
      </c>
      <c r="K1169" s="177">
        <v>99</v>
      </c>
      <c r="L1169" s="253">
        <v>1730</v>
      </c>
      <c r="M1169" s="177" t="s">
        <v>153</v>
      </c>
      <c r="N1169" s="177" t="s">
        <v>149</v>
      </c>
      <c r="O1169" s="177" t="s">
        <v>154</v>
      </c>
      <c r="P1169" s="177" t="s">
        <v>151</v>
      </c>
      <c r="Q1169" s="177" t="s">
        <v>155</v>
      </c>
      <c r="R1169" s="177" t="s">
        <v>9493</v>
      </c>
      <c r="S1169" s="177"/>
      <c r="T1169" s="177" t="s">
        <v>3261</v>
      </c>
      <c r="U1169" s="177" t="s">
        <v>152</v>
      </c>
      <c r="V1169" s="177" t="s">
        <v>18</v>
      </c>
    </row>
    <row r="1170" spans="2:22">
      <c r="B1170" s="251">
        <v>46230</v>
      </c>
      <c r="C1170" s="251">
        <v>46230</v>
      </c>
      <c r="D1170" s="177" t="s">
        <v>9494</v>
      </c>
      <c r="E1170" s="177">
        <v>260100721119</v>
      </c>
      <c r="F1170" s="177" t="s">
        <v>87</v>
      </c>
      <c r="G1170" s="177" t="s">
        <v>2120</v>
      </c>
      <c r="H1170" s="177">
        <v>122</v>
      </c>
      <c r="I1170" s="177">
        <v>346</v>
      </c>
      <c r="J1170" s="177">
        <v>346</v>
      </c>
      <c r="K1170" s="177">
        <v>180</v>
      </c>
      <c r="L1170" s="253">
        <v>800</v>
      </c>
      <c r="M1170" s="177" t="s">
        <v>153</v>
      </c>
      <c r="N1170" s="177" t="s">
        <v>149</v>
      </c>
      <c r="O1170" s="177" t="s">
        <v>154</v>
      </c>
      <c r="P1170" s="177" t="s">
        <v>151</v>
      </c>
      <c r="Q1170" s="177" t="s">
        <v>155</v>
      </c>
      <c r="R1170" s="177" t="s">
        <v>9495</v>
      </c>
      <c r="S1170" s="177"/>
      <c r="T1170" s="177" t="s">
        <v>3261</v>
      </c>
      <c r="U1170" s="177" t="s">
        <v>152</v>
      </c>
      <c r="V1170" s="177" t="s">
        <v>18</v>
      </c>
    </row>
    <row r="1171" spans="2:22">
      <c r="B1171" s="251">
        <v>46230</v>
      </c>
      <c r="C1171" s="251">
        <v>46230</v>
      </c>
      <c r="D1171" s="177" t="s">
        <v>9496</v>
      </c>
      <c r="E1171" s="177">
        <v>260100421122</v>
      </c>
      <c r="F1171" s="177" t="s">
        <v>87</v>
      </c>
      <c r="G1171" s="177" t="s">
        <v>7130</v>
      </c>
      <c r="H1171" s="177">
        <v>182</v>
      </c>
      <c r="I1171" s="177">
        <v>406</v>
      </c>
      <c r="J1171" s="177">
        <v>406</v>
      </c>
      <c r="K1171" s="177">
        <v>190</v>
      </c>
      <c r="L1171" s="177">
        <v>600</v>
      </c>
      <c r="M1171" s="177" t="s">
        <v>153</v>
      </c>
      <c r="N1171" s="177" t="s">
        <v>149</v>
      </c>
      <c r="O1171" s="177" t="s">
        <v>154</v>
      </c>
      <c r="P1171" s="177" t="s">
        <v>151</v>
      </c>
      <c r="Q1171" s="177" t="s">
        <v>155</v>
      </c>
      <c r="R1171" s="177" t="s">
        <v>9497</v>
      </c>
      <c r="S1171" s="177"/>
      <c r="T1171" s="177" t="s">
        <v>3261</v>
      </c>
      <c r="U1171" s="177" t="s">
        <v>152</v>
      </c>
      <c r="V1171" s="177" t="s">
        <v>18</v>
      </c>
    </row>
    <row r="1172" spans="2:22">
      <c r="B1172" s="251">
        <v>46230</v>
      </c>
      <c r="C1172" s="251">
        <v>46230</v>
      </c>
      <c r="D1172" s="177" t="s">
        <v>9498</v>
      </c>
      <c r="E1172" s="177">
        <v>260102721088</v>
      </c>
      <c r="F1172" s="177" t="s">
        <v>87</v>
      </c>
      <c r="G1172" s="177" t="s">
        <v>9311</v>
      </c>
      <c r="H1172" s="177">
        <v>112</v>
      </c>
      <c r="I1172" s="177">
        <v>273</v>
      </c>
      <c r="J1172" s="177">
        <v>273</v>
      </c>
      <c r="K1172" s="177">
        <v>126</v>
      </c>
      <c r="L1172" s="253">
        <v>1000</v>
      </c>
      <c r="M1172" s="177" t="s">
        <v>153</v>
      </c>
      <c r="N1172" s="177" t="s">
        <v>149</v>
      </c>
      <c r="O1172" s="177" t="s">
        <v>154</v>
      </c>
      <c r="P1172" s="177" t="s">
        <v>151</v>
      </c>
      <c r="Q1172" s="177" t="s">
        <v>155</v>
      </c>
      <c r="R1172" s="177" t="s">
        <v>9499</v>
      </c>
      <c r="S1172" s="177"/>
      <c r="T1172" s="177" t="s">
        <v>3261</v>
      </c>
      <c r="U1172" s="177" t="s">
        <v>152</v>
      </c>
      <c r="V1172" s="177" t="s">
        <v>18</v>
      </c>
    </row>
    <row r="1173" spans="2:22">
      <c r="B1173" s="251">
        <v>46230</v>
      </c>
      <c r="C1173" s="251">
        <v>46230</v>
      </c>
      <c r="D1173" s="177" t="s">
        <v>9500</v>
      </c>
      <c r="E1173" s="177">
        <v>260102021091</v>
      </c>
      <c r="F1173" s="177" t="s">
        <v>87</v>
      </c>
      <c r="G1173" s="177" t="s">
        <v>2563</v>
      </c>
      <c r="H1173" s="177">
        <v>95</v>
      </c>
      <c r="I1173" s="177">
        <v>278</v>
      </c>
      <c r="J1173" s="177">
        <v>278</v>
      </c>
      <c r="K1173" s="177">
        <v>134</v>
      </c>
      <c r="L1173" s="253">
        <v>1140</v>
      </c>
      <c r="M1173" s="177" t="s">
        <v>153</v>
      </c>
      <c r="N1173" s="177" t="s">
        <v>149</v>
      </c>
      <c r="O1173" s="177" t="s">
        <v>154</v>
      </c>
      <c r="P1173" s="177" t="s">
        <v>151</v>
      </c>
      <c r="Q1173" s="177" t="s">
        <v>155</v>
      </c>
      <c r="R1173" s="177" t="s">
        <v>9501</v>
      </c>
      <c r="S1173" s="177"/>
      <c r="T1173" s="177" t="s">
        <v>3261</v>
      </c>
      <c r="U1173" s="177" t="s">
        <v>152</v>
      </c>
      <c r="V1173" s="177" t="s">
        <v>18</v>
      </c>
    </row>
    <row r="1174" spans="2:22">
      <c r="B1174" s="251">
        <v>46230</v>
      </c>
      <c r="C1174" s="251">
        <v>46230</v>
      </c>
      <c r="D1174" s="177" t="s">
        <v>9502</v>
      </c>
      <c r="E1174" s="177">
        <v>260105021098</v>
      </c>
      <c r="F1174" s="177" t="s">
        <v>87</v>
      </c>
      <c r="G1174" s="177" t="s">
        <v>2641</v>
      </c>
      <c r="H1174" s="177">
        <v>162</v>
      </c>
      <c r="I1174" s="177">
        <v>268</v>
      </c>
      <c r="J1174" s="177">
        <v>268</v>
      </c>
      <c r="K1174" s="177">
        <v>102</v>
      </c>
      <c r="L1174" s="253">
        <v>1700</v>
      </c>
      <c r="M1174" s="177" t="s">
        <v>153</v>
      </c>
      <c r="N1174" s="177" t="s">
        <v>149</v>
      </c>
      <c r="O1174" s="177" t="s">
        <v>154</v>
      </c>
      <c r="P1174" s="177" t="s">
        <v>151</v>
      </c>
      <c r="Q1174" s="177" t="s">
        <v>155</v>
      </c>
      <c r="R1174" s="177" t="s">
        <v>9503</v>
      </c>
      <c r="S1174" s="177"/>
      <c r="T1174" s="177" t="s">
        <v>3261</v>
      </c>
      <c r="U1174" s="177" t="s">
        <v>152</v>
      </c>
      <c r="V1174" s="177" t="s">
        <v>18</v>
      </c>
    </row>
    <row r="1175" spans="2:22">
      <c r="B1175" s="251">
        <v>46230</v>
      </c>
      <c r="C1175" s="251">
        <v>46230</v>
      </c>
      <c r="D1175" s="177" t="s">
        <v>9504</v>
      </c>
      <c r="E1175" s="177">
        <v>260106821115</v>
      </c>
      <c r="F1175" s="177" t="s">
        <v>87</v>
      </c>
      <c r="G1175" s="177" t="s">
        <v>2649</v>
      </c>
      <c r="H1175" s="177">
        <v>125</v>
      </c>
      <c r="I1175" s="177">
        <v>248</v>
      </c>
      <c r="J1175" s="177">
        <v>248</v>
      </c>
      <c r="K1175" s="177">
        <v>92</v>
      </c>
      <c r="L1175" s="253">
        <v>2210</v>
      </c>
      <c r="M1175" s="177" t="s">
        <v>153</v>
      </c>
      <c r="N1175" s="177" t="s">
        <v>149</v>
      </c>
      <c r="O1175" s="177" t="s">
        <v>154</v>
      </c>
      <c r="P1175" s="177" t="s">
        <v>151</v>
      </c>
      <c r="Q1175" s="177" t="s">
        <v>155</v>
      </c>
      <c r="R1175" s="177" t="s">
        <v>9505</v>
      </c>
      <c r="S1175" s="177"/>
      <c r="T1175" s="177" t="s">
        <v>3261</v>
      </c>
      <c r="U1175" s="177" t="s">
        <v>152</v>
      </c>
      <c r="V1175" s="177" t="s">
        <v>18</v>
      </c>
    </row>
    <row r="1176" spans="2:22">
      <c r="B1176" s="251">
        <v>46230</v>
      </c>
      <c r="C1176" s="251">
        <v>46230</v>
      </c>
      <c r="D1176" s="177" t="s">
        <v>9506</v>
      </c>
      <c r="E1176" s="177">
        <v>260100521120</v>
      </c>
      <c r="F1176" s="177" t="s">
        <v>87</v>
      </c>
      <c r="G1176" s="177" t="s">
        <v>8900</v>
      </c>
      <c r="H1176" s="177">
        <v>192</v>
      </c>
      <c r="I1176" s="177">
        <v>358</v>
      </c>
      <c r="J1176" s="177">
        <v>358</v>
      </c>
      <c r="K1176" s="177">
        <v>180</v>
      </c>
      <c r="L1176" s="253">
        <v>540</v>
      </c>
      <c r="M1176" s="177" t="s">
        <v>153</v>
      </c>
      <c r="N1176" s="177" t="s">
        <v>149</v>
      </c>
      <c r="O1176" s="177" t="s">
        <v>154</v>
      </c>
      <c r="P1176" s="177" t="s">
        <v>151</v>
      </c>
      <c r="Q1176" s="177" t="s">
        <v>155</v>
      </c>
      <c r="R1176" s="177" t="s">
        <v>9507</v>
      </c>
      <c r="S1176" s="177"/>
      <c r="T1176" s="177" t="s">
        <v>3261</v>
      </c>
      <c r="U1176" s="177" t="s">
        <v>152</v>
      </c>
      <c r="V1176" s="177" t="s">
        <v>18</v>
      </c>
    </row>
    <row r="1177" spans="2:22">
      <c r="B1177" s="251">
        <v>46230</v>
      </c>
      <c r="C1177" s="251">
        <v>46230</v>
      </c>
      <c r="D1177" s="177" t="s">
        <v>9508</v>
      </c>
      <c r="E1177" s="177">
        <v>260100721087</v>
      </c>
      <c r="F1177" s="177" t="s">
        <v>87</v>
      </c>
      <c r="G1177" s="177" t="s">
        <v>2120</v>
      </c>
      <c r="H1177" s="177">
        <v>122</v>
      </c>
      <c r="I1177" s="177">
        <v>333</v>
      </c>
      <c r="J1177" s="177">
        <v>333</v>
      </c>
      <c r="K1177" s="177">
        <v>180</v>
      </c>
      <c r="L1177" s="177">
        <v>750</v>
      </c>
      <c r="M1177" s="177" t="s">
        <v>153</v>
      </c>
      <c r="N1177" s="177" t="s">
        <v>149</v>
      </c>
      <c r="O1177" s="177" t="s">
        <v>154</v>
      </c>
      <c r="P1177" s="177" t="s">
        <v>151</v>
      </c>
      <c r="Q1177" s="177" t="s">
        <v>155</v>
      </c>
      <c r="R1177" s="177" t="s">
        <v>9509</v>
      </c>
      <c r="S1177" s="177"/>
      <c r="T1177" s="177" t="s">
        <v>3261</v>
      </c>
      <c r="U1177" s="177" t="s">
        <v>152</v>
      </c>
      <c r="V1177" s="177" t="s">
        <v>18</v>
      </c>
    </row>
    <row r="1178" spans="2:22">
      <c r="B1178" s="251">
        <v>46230</v>
      </c>
      <c r="C1178" s="251">
        <v>46230</v>
      </c>
      <c r="D1178" s="177" t="s">
        <v>9510</v>
      </c>
      <c r="E1178" s="177">
        <v>260101721090</v>
      </c>
      <c r="F1178" s="177" t="s">
        <v>87</v>
      </c>
      <c r="G1178" s="177" t="s">
        <v>2408</v>
      </c>
      <c r="H1178" s="177">
        <v>95</v>
      </c>
      <c r="I1178" s="177">
        <v>243</v>
      </c>
      <c r="J1178" s="177">
        <v>243</v>
      </c>
      <c r="K1178" s="177">
        <v>134</v>
      </c>
      <c r="L1178" s="253">
        <v>1000</v>
      </c>
      <c r="M1178" s="177" t="s">
        <v>153</v>
      </c>
      <c r="N1178" s="177" t="s">
        <v>149</v>
      </c>
      <c r="O1178" s="177" t="s">
        <v>154</v>
      </c>
      <c r="P1178" s="177" t="s">
        <v>151</v>
      </c>
      <c r="Q1178" s="177" t="s">
        <v>155</v>
      </c>
      <c r="R1178" s="177" t="s">
        <v>9511</v>
      </c>
      <c r="S1178" s="177"/>
      <c r="T1178" s="177" t="s">
        <v>3261</v>
      </c>
      <c r="U1178" s="177" t="s">
        <v>152</v>
      </c>
      <c r="V1178" s="177" t="s">
        <v>18</v>
      </c>
    </row>
    <row r="1179" spans="2:22">
      <c r="B1179" s="251">
        <v>46230</v>
      </c>
      <c r="C1179" s="251">
        <v>46230</v>
      </c>
      <c r="D1179" s="177" t="s">
        <v>9512</v>
      </c>
      <c r="E1179" s="177">
        <v>260101421124</v>
      </c>
      <c r="F1179" s="177" t="s">
        <v>87</v>
      </c>
      <c r="G1179" s="177" t="s">
        <v>859</v>
      </c>
      <c r="H1179" s="177">
        <v>152</v>
      </c>
      <c r="I1179" s="177">
        <v>235</v>
      </c>
      <c r="J1179" s="177">
        <v>235</v>
      </c>
      <c r="K1179" s="177">
        <v>104</v>
      </c>
      <c r="L1179" s="253">
        <v>1500</v>
      </c>
      <c r="M1179" s="177" t="s">
        <v>153</v>
      </c>
      <c r="N1179" s="177" t="s">
        <v>149</v>
      </c>
      <c r="O1179" s="177" t="s">
        <v>154</v>
      </c>
      <c r="P1179" s="177" t="s">
        <v>151</v>
      </c>
      <c r="Q1179" s="177" t="s">
        <v>155</v>
      </c>
      <c r="R1179" s="177" t="s">
        <v>9513</v>
      </c>
      <c r="S1179" s="177"/>
      <c r="T1179" s="177" t="s">
        <v>3261</v>
      </c>
      <c r="U1179" s="177" t="s">
        <v>152</v>
      </c>
      <c r="V1179" s="177" t="s">
        <v>18</v>
      </c>
    </row>
    <row r="1180" spans="2:22">
      <c r="B1180" s="251">
        <v>46231</v>
      </c>
      <c r="C1180" s="251">
        <v>46231</v>
      </c>
      <c r="D1180" s="177" t="s">
        <v>9514</v>
      </c>
      <c r="E1180" s="177">
        <v>260103821165</v>
      </c>
      <c r="F1180" s="177" t="s">
        <v>87</v>
      </c>
      <c r="G1180" s="177" t="s">
        <v>859</v>
      </c>
      <c r="H1180" s="177">
        <v>182</v>
      </c>
      <c r="I1180" s="177">
        <v>340</v>
      </c>
      <c r="J1180" s="177">
        <v>340</v>
      </c>
      <c r="K1180" s="177">
        <v>104</v>
      </c>
      <c r="L1180" s="253">
        <v>1810</v>
      </c>
      <c r="M1180" s="177" t="s">
        <v>153</v>
      </c>
      <c r="N1180" s="177" t="s">
        <v>149</v>
      </c>
      <c r="O1180" s="177" t="s">
        <v>154</v>
      </c>
      <c r="P1180" s="177" t="s">
        <v>151</v>
      </c>
      <c r="Q1180" s="177" t="s">
        <v>155</v>
      </c>
      <c r="R1180" s="177" t="s">
        <v>9515</v>
      </c>
      <c r="S1180" s="177"/>
      <c r="T1180" s="177" t="s">
        <v>3281</v>
      </c>
      <c r="U1180" s="177" t="s">
        <v>152</v>
      </c>
      <c r="V1180" s="177" t="s">
        <v>18</v>
      </c>
    </row>
    <row r="1181" spans="2:22">
      <c r="B1181" s="251">
        <v>46231</v>
      </c>
      <c r="C1181" s="251">
        <v>46231</v>
      </c>
      <c r="D1181" s="177" t="s">
        <v>9516</v>
      </c>
      <c r="E1181" s="177">
        <v>260105021195</v>
      </c>
      <c r="F1181" s="177" t="s">
        <v>87</v>
      </c>
      <c r="G1181" s="177" t="s">
        <v>2641</v>
      </c>
      <c r="H1181" s="177">
        <v>162</v>
      </c>
      <c r="I1181" s="177">
        <v>258</v>
      </c>
      <c r="J1181" s="177">
        <v>258</v>
      </c>
      <c r="K1181" s="177">
        <v>102</v>
      </c>
      <c r="L1181" s="253">
        <v>1650</v>
      </c>
      <c r="M1181" s="177" t="s">
        <v>153</v>
      </c>
      <c r="N1181" s="177" t="s">
        <v>149</v>
      </c>
      <c r="O1181" s="177" t="s">
        <v>154</v>
      </c>
      <c r="P1181" s="177" t="s">
        <v>151</v>
      </c>
      <c r="Q1181" s="177" t="s">
        <v>155</v>
      </c>
      <c r="R1181" s="177" t="s">
        <v>9517</v>
      </c>
      <c r="S1181" s="177"/>
      <c r="T1181" s="177" t="s">
        <v>3281</v>
      </c>
      <c r="U1181" s="177" t="s">
        <v>152</v>
      </c>
      <c r="V1181" s="177" t="s">
        <v>18</v>
      </c>
    </row>
    <row r="1182" spans="2:22">
      <c r="B1182" s="251">
        <v>46231</v>
      </c>
      <c r="C1182" s="251">
        <v>46231</v>
      </c>
      <c r="D1182" s="177" t="s">
        <v>9518</v>
      </c>
      <c r="E1182" s="177">
        <v>260107121204</v>
      </c>
      <c r="F1182" s="177" t="s">
        <v>87</v>
      </c>
      <c r="G1182" s="177" t="s">
        <v>9316</v>
      </c>
      <c r="H1182" s="177">
        <v>142</v>
      </c>
      <c r="I1182" s="177">
        <v>224</v>
      </c>
      <c r="J1182" s="177">
        <v>224</v>
      </c>
      <c r="K1182" s="177">
        <v>99</v>
      </c>
      <c r="L1182" s="253">
        <v>1650</v>
      </c>
      <c r="M1182" s="177" t="s">
        <v>153</v>
      </c>
      <c r="N1182" s="177" t="s">
        <v>149</v>
      </c>
      <c r="O1182" s="177" t="s">
        <v>154</v>
      </c>
      <c r="P1182" s="177" t="s">
        <v>151</v>
      </c>
      <c r="Q1182" s="177" t="s">
        <v>155</v>
      </c>
      <c r="R1182" s="177" t="s">
        <v>9519</v>
      </c>
      <c r="S1182" s="177"/>
      <c r="T1182" s="177" t="s">
        <v>3281</v>
      </c>
      <c r="U1182" s="177" t="s">
        <v>152</v>
      </c>
      <c r="V1182" s="177" t="s">
        <v>18</v>
      </c>
    </row>
    <row r="1183" spans="2:22">
      <c r="B1183" s="251">
        <v>46231</v>
      </c>
      <c r="C1183" s="251">
        <v>46231</v>
      </c>
      <c r="D1183" s="177" t="s">
        <v>9520</v>
      </c>
      <c r="E1183" s="177">
        <v>260104721192</v>
      </c>
      <c r="F1183" s="177" t="s">
        <v>87</v>
      </c>
      <c r="G1183" s="177" t="s">
        <v>9321</v>
      </c>
      <c r="H1183" s="177">
        <v>212</v>
      </c>
      <c r="I1183" s="177">
        <v>363</v>
      </c>
      <c r="J1183" s="177">
        <v>363</v>
      </c>
      <c r="K1183" s="177">
        <v>100</v>
      </c>
      <c r="L1183" s="253">
        <v>1760</v>
      </c>
      <c r="M1183" s="177" t="s">
        <v>153</v>
      </c>
      <c r="N1183" s="177" t="s">
        <v>149</v>
      </c>
      <c r="O1183" s="177" t="s">
        <v>154</v>
      </c>
      <c r="P1183" s="177" t="s">
        <v>151</v>
      </c>
      <c r="Q1183" s="177" t="s">
        <v>155</v>
      </c>
      <c r="R1183" s="177" t="s">
        <v>9521</v>
      </c>
      <c r="S1183" s="177"/>
      <c r="T1183" s="177" t="s">
        <v>3281</v>
      </c>
      <c r="U1183" s="177" t="s">
        <v>152</v>
      </c>
      <c r="V1183" s="177" t="s">
        <v>18</v>
      </c>
    </row>
    <row r="1184" spans="2:22">
      <c r="B1184" s="251">
        <v>46231</v>
      </c>
      <c r="C1184" s="251">
        <v>46231</v>
      </c>
      <c r="D1184" s="177" t="s">
        <v>9522</v>
      </c>
      <c r="E1184" s="177">
        <v>260100521179</v>
      </c>
      <c r="F1184" s="177" t="s">
        <v>87</v>
      </c>
      <c r="G1184" s="177" t="s">
        <v>8900</v>
      </c>
      <c r="H1184" s="177">
        <v>192</v>
      </c>
      <c r="I1184" s="177">
        <v>329</v>
      </c>
      <c r="J1184" s="177">
        <v>329</v>
      </c>
      <c r="K1184" s="177">
        <v>180</v>
      </c>
      <c r="L1184" s="253">
        <v>500</v>
      </c>
      <c r="M1184" s="177" t="s">
        <v>153</v>
      </c>
      <c r="N1184" s="177" t="s">
        <v>149</v>
      </c>
      <c r="O1184" s="177" t="s">
        <v>154</v>
      </c>
      <c r="P1184" s="177" t="s">
        <v>151</v>
      </c>
      <c r="Q1184" s="177" t="s">
        <v>155</v>
      </c>
      <c r="R1184" s="177" t="s">
        <v>9523</v>
      </c>
      <c r="S1184" s="177"/>
      <c r="T1184" s="177" t="s">
        <v>3281</v>
      </c>
      <c r="U1184" s="177" t="s">
        <v>152</v>
      </c>
      <c r="V1184" s="177" t="s">
        <v>18</v>
      </c>
    </row>
    <row r="1185" spans="2:22">
      <c r="B1185" s="251">
        <v>46231</v>
      </c>
      <c r="C1185" s="251">
        <v>46231</v>
      </c>
      <c r="D1185" s="177" t="s">
        <v>9524</v>
      </c>
      <c r="E1185" s="177">
        <v>260101421183</v>
      </c>
      <c r="F1185" s="177" t="s">
        <v>87</v>
      </c>
      <c r="G1185" s="177" t="s">
        <v>859</v>
      </c>
      <c r="H1185" s="177">
        <v>152</v>
      </c>
      <c r="I1185" s="177">
        <v>220</v>
      </c>
      <c r="J1185" s="177">
        <v>220</v>
      </c>
      <c r="K1185" s="177">
        <v>104</v>
      </c>
      <c r="L1185" s="253">
        <v>1500</v>
      </c>
      <c r="M1185" s="177" t="s">
        <v>153</v>
      </c>
      <c r="N1185" s="177" t="s">
        <v>149</v>
      </c>
      <c r="O1185" s="177" t="s">
        <v>154</v>
      </c>
      <c r="P1185" s="177" t="s">
        <v>151</v>
      </c>
      <c r="Q1185" s="177" t="s">
        <v>155</v>
      </c>
      <c r="R1185" s="177" t="s">
        <v>9525</v>
      </c>
      <c r="S1185" s="177"/>
      <c r="T1185" s="177" t="s">
        <v>3281</v>
      </c>
      <c r="U1185" s="177" t="s">
        <v>152</v>
      </c>
      <c r="V1185" s="177" t="s">
        <v>18</v>
      </c>
    </row>
    <row r="1186" spans="2:22">
      <c r="B1186" s="251">
        <v>46231</v>
      </c>
      <c r="C1186" s="251">
        <v>46231</v>
      </c>
      <c r="D1186" s="177" t="s">
        <v>9526</v>
      </c>
      <c r="E1186" s="177">
        <v>260105221198</v>
      </c>
      <c r="F1186" s="177" t="s">
        <v>87</v>
      </c>
      <c r="G1186" s="177" t="s">
        <v>8347</v>
      </c>
      <c r="H1186" s="177">
        <v>152</v>
      </c>
      <c r="I1186" s="177">
        <v>228</v>
      </c>
      <c r="J1186" s="177">
        <v>228</v>
      </c>
      <c r="K1186" s="177">
        <v>104</v>
      </c>
      <c r="L1186" s="253">
        <v>1500</v>
      </c>
      <c r="M1186" s="177" t="s">
        <v>153</v>
      </c>
      <c r="N1186" s="177" t="s">
        <v>149</v>
      </c>
      <c r="O1186" s="177" t="s">
        <v>154</v>
      </c>
      <c r="P1186" s="177" t="s">
        <v>151</v>
      </c>
      <c r="Q1186" s="177" t="s">
        <v>155</v>
      </c>
      <c r="R1186" s="177" t="s">
        <v>9527</v>
      </c>
      <c r="S1186" s="177"/>
      <c r="T1186" s="177" t="s">
        <v>3281</v>
      </c>
      <c r="U1186" s="177" t="s">
        <v>152</v>
      </c>
      <c r="V1186" s="177" t="s">
        <v>18</v>
      </c>
    </row>
    <row r="1187" spans="2:22">
      <c r="B1187" s="251">
        <v>46231</v>
      </c>
      <c r="C1187" s="251">
        <v>46231</v>
      </c>
      <c r="D1187" s="177" t="s">
        <v>9528</v>
      </c>
      <c r="E1187" s="177">
        <v>260105421200</v>
      </c>
      <c r="F1187" s="177" t="s">
        <v>87</v>
      </c>
      <c r="G1187" s="177" t="s">
        <v>2310</v>
      </c>
      <c r="H1187" s="177">
        <v>125</v>
      </c>
      <c r="I1187" s="177">
        <v>186</v>
      </c>
      <c r="J1187" s="177">
        <v>186</v>
      </c>
      <c r="K1187" s="177">
        <v>87</v>
      </c>
      <c r="L1187" s="253">
        <v>1760</v>
      </c>
      <c r="M1187" s="177" t="s">
        <v>153</v>
      </c>
      <c r="N1187" s="177" t="s">
        <v>149</v>
      </c>
      <c r="O1187" s="177" t="s">
        <v>154</v>
      </c>
      <c r="P1187" s="177" t="s">
        <v>151</v>
      </c>
      <c r="Q1187" s="177" t="s">
        <v>155</v>
      </c>
      <c r="R1187" s="177" t="s">
        <v>9529</v>
      </c>
      <c r="S1187" s="177"/>
      <c r="T1187" s="177" t="s">
        <v>3281</v>
      </c>
      <c r="U1187" s="177" t="s">
        <v>152</v>
      </c>
      <c r="V1187" s="177" t="s">
        <v>18</v>
      </c>
    </row>
    <row r="1188" spans="2:22">
      <c r="B1188" s="251">
        <v>46231</v>
      </c>
      <c r="C1188" s="251">
        <v>46231</v>
      </c>
      <c r="D1188" s="177" t="s">
        <v>9530</v>
      </c>
      <c r="E1188" s="177">
        <v>260101621156</v>
      </c>
      <c r="F1188" s="177" t="s">
        <v>87</v>
      </c>
      <c r="G1188" s="177" t="s">
        <v>2120</v>
      </c>
      <c r="H1188" s="177">
        <v>112</v>
      </c>
      <c r="I1188" s="177">
        <v>312</v>
      </c>
      <c r="J1188" s="177">
        <v>312</v>
      </c>
      <c r="K1188" s="177">
        <v>180</v>
      </c>
      <c r="L1188" s="253">
        <v>800</v>
      </c>
      <c r="M1188" s="177" t="s">
        <v>153</v>
      </c>
      <c r="N1188" s="177" t="s">
        <v>149</v>
      </c>
      <c r="O1188" s="177" t="s">
        <v>154</v>
      </c>
      <c r="P1188" s="177" t="s">
        <v>151</v>
      </c>
      <c r="Q1188" s="177" t="s">
        <v>155</v>
      </c>
      <c r="R1188" s="177" t="s">
        <v>9531</v>
      </c>
      <c r="S1188" s="177"/>
      <c r="T1188" s="177" t="s">
        <v>3281</v>
      </c>
      <c r="U1188" s="177" t="s">
        <v>152</v>
      </c>
      <c r="V1188" s="177" t="s">
        <v>18</v>
      </c>
    </row>
    <row r="1189" spans="2:22">
      <c r="B1189" s="251">
        <v>46231</v>
      </c>
      <c r="C1189" s="251">
        <v>46231</v>
      </c>
      <c r="D1189" s="177" t="s">
        <v>9532</v>
      </c>
      <c r="E1189" s="177">
        <v>260101721157</v>
      </c>
      <c r="F1189" s="177" t="s">
        <v>87</v>
      </c>
      <c r="G1189" s="177" t="s">
        <v>2408</v>
      </c>
      <c r="H1189" s="177">
        <v>95</v>
      </c>
      <c r="I1189" s="177">
        <v>263</v>
      </c>
      <c r="J1189" s="177">
        <v>263</v>
      </c>
      <c r="K1189" s="177">
        <v>134</v>
      </c>
      <c r="L1189" s="253">
        <v>1060</v>
      </c>
      <c r="M1189" s="177" t="s">
        <v>153</v>
      </c>
      <c r="N1189" s="177" t="s">
        <v>149</v>
      </c>
      <c r="O1189" s="177" t="s">
        <v>154</v>
      </c>
      <c r="P1189" s="177" t="s">
        <v>151</v>
      </c>
      <c r="Q1189" s="177" t="s">
        <v>155</v>
      </c>
      <c r="R1189" s="177" t="s">
        <v>9533</v>
      </c>
      <c r="S1189" s="177"/>
      <c r="T1189" s="177" t="s">
        <v>3281</v>
      </c>
      <c r="U1189" s="177" t="s">
        <v>152</v>
      </c>
      <c r="V1189" s="177" t="s">
        <v>18</v>
      </c>
    </row>
    <row r="1190" spans="2:22">
      <c r="B1190" s="251">
        <v>46231</v>
      </c>
      <c r="C1190" s="251">
        <v>46231</v>
      </c>
      <c r="D1190" s="177" t="s">
        <v>9534</v>
      </c>
      <c r="E1190" s="177">
        <v>260103321187</v>
      </c>
      <c r="F1190" s="177" t="s">
        <v>87</v>
      </c>
      <c r="G1190" s="177" t="s">
        <v>2641</v>
      </c>
      <c r="H1190" s="177">
        <v>160</v>
      </c>
      <c r="I1190" s="177">
        <v>315</v>
      </c>
      <c r="J1190" s="177">
        <v>315</v>
      </c>
      <c r="K1190" s="177">
        <v>102</v>
      </c>
      <c r="L1190" s="253">
        <v>1990</v>
      </c>
      <c r="M1190" s="177" t="s">
        <v>153</v>
      </c>
      <c r="N1190" s="177" t="s">
        <v>149</v>
      </c>
      <c r="O1190" s="177" t="s">
        <v>154</v>
      </c>
      <c r="P1190" s="177" t="s">
        <v>151</v>
      </c>
      <c r="Q1190" s="177" t="s">
        <v>155</v>
      </c>
      <c r="R1190" s="177" t="s">
        <v>9535</v>
      </c>
      <c r="S1190" s="177"/>
      <c r="T1190" s="177" t="s">
        <v>3281</v>
      </c>
      <c r="U1190" s="177" t="s">
        <v>152</v>
      </c>
      <c r="V1190" s="177" t="s">
        <v>18</v>
      </c>
    </row>
    <row r="1191" spans="2:22">
      <c r="B1191" s="251">
        <v>46231</v>
      </c>
      <c r="C1191" s="251">
        <v>46231</v>
      </c>
      <c r="D1191" s="177" t="s">
        <v>9536</v>
      </c>
      <c r="E1191" s="177">
        <v>260100721180</v>
      </c>
      <c r="F1191" s="177" t="s">
        <v>87</v>
      </c>
      <c r="G1191" s="177" t="s">
        <v>2120</v>
      </c>
      <c r="H1191" s="177">
        <v>122</v>
      </c>
      <c r="I1191" s="177">
        <v>339</v>
      </c>
      <c r="J1191" s="177">
        <v>339</v>
      </c>
      <c r="K1191" s="177">
        <v>180</v>
      </c>
      <c r="L1191" s="253">
        <v>800</v>
      </c>
      <c r="M1191" s="177" t="s">
        <v>153</v>
      </c>
      <c r="N1191" s="177" t="s">
        <v>149</v>
      </c>
      <c r="O1191" s="177" t="s">
        <v>154</v>
      </c>
      <c r="P1191" s="177" t="s">
        <v>151</v>
      </c>
      <c r="Q1191" s="177" t="s">
        <v>155</v>
      </c>
      <c r="R1191" s="177" t="s">
        <v>9537</v>
      </c>
      <c r="S1191" s="177"/>
      <c r="T1191" s="177" t="s">
        <v>3281</v>
      </c>
      <c r="U1191" s="177" t="s">
        <v>152</v>
      </c>
      <c r="V1191" s="177" t="s">
        <v>18</v>
      </c>
    </row>
    <row r="1192" spans="2:22">
      <c r="B1192" s="251">
        <v>46231</v>
      </c>
      <c r="C1192" s="251">
        <v>46231</v>
      </c>
      <c r="D1192" s="177" t="s">
        <v>9538</v>
      </c>
      <c r="E1192" s="177">
        <v>260100921182</v>
      </c>
      <c r="F1192" s="177" t="s">
        <v>87</v>
      </c>
      <c r="G1192" s="177" t="s">
        <v>7130</v>
      </c>
      <c r="H1192" s="177">
        <v>182</v>
      </c>
      <c r="I1192" s="177">
        <v>363</v>
      </c>
      <c r="J1192" s="177">
        <v>363</v>
      </c>
      <c r="K1192" s="177">
        <v>190</v>
      </c>
      <c r="L1192" s="253">
        <v>540</v>
      </c>
      <c r="M1192" s="177" t="s">
        <v>153</v>
      </c>
      <c r="N1192" s="177" t="s">
        <v>149</v>
      </c>
      <c r="O1192" s="177" t="s">
        <v>154</v>
      </c>
      <c r="P1192" s="177" t="s">
        <v>151</v>
      </c>
      <c r="Q1192" s="177" t="s">
        <v>155</v>
      </c>
      <c r="R1192" s="177" t="s">
        <v>9539</v>
      </c>
      <c r="S1192" s="177"/>
      <c r="T1192" s="177" t="s">
        <v>3281</v>
      </c>
      <c r="U1192" s="177" t="s">
        <v>152</v>
      </c>
      <c r="V1192" s="177" t="s">
        <v>18</v>
      </c>
    </row>
    <row r="1193" spans="2:22">
      <c r="B1193" s="251">
        <v>46231</v>
      </c>
      <c r="C1193" s="251">
        <v>46231</v>
      </c>
      <c r="D1193" s="177" t="s">
        <v>9540</v>
      </c>
      <c r="E1193" s="177">
        <v>260101421186</v>
      </c>
      <c r="F1193" s="177" t="s">
        <v>87</v>
      </c>
      <c r="G1193" s="177" t="s">
        <v>859</v>
      </c>
      <c r="H1193" s="177">
        <v>152</v>
      </c>
      <c r="I1193" s="177">
        <v>228</v>
      </c>
      <c r="J1193" s="177">
        <v>228</v>
      </c>
      <c r="K1193" s="177">
        <v>104</v>
      </c>
      <c r="L1193" s="253">
        <v>1500</v>
      </c>
      <c r="M1193" s="177" t="s">
        <v>153</v>
      </c>
      <c r="N1193" s="177" t="s">
        <v>149</v>
      </c>
      <c r="O1193" s="177" t="s">
        <v>154</v>
      </c>
      <c r="P1193" s="177" t="s">
        <v>151</v>
      </c>
      <c r="Q1193" s="177" t="s">
        <v>155</v>
      </c>
      <c r="R1193" s="177" t="s">
        <v>9541</v>
      </c>
      <c r="S1193" s="177"/>
      <c r="T1193" s="177" t="s">
        <v>3281</v>
      </c>
      <c r="U1193" s="177" t="s">
        <v>152</v>
      </c>
      <c r="V1193" s="177" t="s">
        <v>18</v>
      </c>
    </row>
    <row r="1194" spans="2:22">
      <c r="B1194" s="251">
        <v>46231</v>
      </c>
      <c r="C1194" s="251">
        <v>46231</v>
      </c>
      <c r="D1194" s="177" t="s">
        <v>9542</v>
      </c>
      <c r="E1194" s="177">
        <v>260103321188</v>
      </c>
      <c r="F1194" s="177" t="s">
        <v>87</v>
      </c>
      <c r="G1194" s="177" t="s">
        <v>2641</v>
      </c>
      <c r="H1194" s="177">
        <v>160</v>
      </c>
      <c r="I1194" s="177">
        <v>317</v>
      </c>
      <c r="J1194" s="177">
        <v>317</v>
      </c>
      <c r="K1194" s="177">
        <v>102</v>
      </c>
      <c r="L1194" s="253">
        <v>1990</v>
      </c>
      <c r="M1194" s="177" t="s">
        <v>153</v>
      </c>
      <c r="N1194" s="177" t="s">
        <v>149</v>
      </c>
      <c r="O1194" s="177" t="s">
        <v>154</v>
      </c>
      <c r="P1194" s="177" t="s">
        <v>151</v>
      </c>
      <c r="Q1194" s="177" t="s">
        <v>155</v>
      </c>
      <c r="R1194" s="177" t="s">
        <v>9543</v>
      </c>
      <c r="S1194" s="177"/>
      <c r="T1194" s="177" t="s">
        <v>3281</v>
      </c>
      <c r="U1194" s="177" t="s">
        <v>152</v>
      </c>
      <c r="V1194" s="177" t="s">
        <v>18</v>
      </c>
    </row>
    <row r="1195" spans="2:22">
      <c r="B1195" s="251">
        <v>46231</v>
      </c>
      <c r="C1195" s="251">
        <v>46231</v>
      </c>
      <c r="D1195" s="177" t="s">
        <v>9544</v>
      </c>
      <c r="E1195" s="177">
        <v>260100521153</v>
      </c>
      <c r="F1195" s="177" t="s">
        <v>87</v>
      </c>
      <c r="G1195" s="177" t="s">
        <v>8900</v>
      </c>
      <c r="H1195" s="177">
        <v>192</v>
      </c>
      <c r="I1195" s="177">
        <v>330</v>
      </c>
      <c r="J1195" s="177">
        <v>330</v>
      </c>
      <c r="K1195" s="177">
        <v>180</v>
      </c>
      <c r="L1195" s="253">
        <v>500</v>
      </c>
      <c r="M1195" s="177" t="s">
        <v>153</v>
      </c>
      <c r="N1195" s="177" t="s">
        <v>149</v>
      </c>
      <c r="O1195" s="177" t="s">
        <v>154</v>
      </c>
      <c r="P1195" s="177" t="s">
        <v>151</v>
      </c>
      <c r="Q1195" s="177" t="s">
        <v>155</v>
      </c>
      <c r="R1195" s="177" t="s">
        <v>9545</v>
      </c>
      <c r="S1195" s="177"/>
      <c r="T1195" s="177" t="s">
        <v>3281</v>
      </c>
      <c r="U1195" s="177" t="s">
        <v>152</v>
      </c>
      <c r="V1195" s="177" t="s">
        <v>18</v>
      </c>
    </row>
    <row r="1196" spans="2:22">
      <c r="B1196" s="251">
        <v>46231</v>
      </c>
      <c r="C1196" s="251">
        <v>46231</v>
      </c>
      <c r="D1196" s="177" t="s">
        <v>9546</v>
      </c>
      <c r="E1196" s="177">
        <v>260103821166</v>
      </c>
      <c r="F1196" s="177" t="s">
        <v>87</v>
      </c>
      <c r="G1196" s="177" t="s">
        <v>859</v>
      </c>
      <c r="H1196" s="177">
        <v>182</v>
      </c>
      <c r="I1196" s="177">
        <v>339</v>
      </c>
      <c r="J1196" s="177">
        <v>339</v>
      </c>
      <c r="K1196" s="177">
        <v>104</v>
      </c>
      <c r="L1196" s="253">
        <v>1810</v>
      </c>
      <c r="M1196" s="177" t="s">
        <v>153</v>
      </c>
      <c r="N1196" s="177" t="s">
        <v>149</v>
      </c>
      <c r="O1196" s="177" t="s">
        <v>154</v>
      </c>
      <c r="P1196" s="177" t="s">
        <v>151</v>
      </c>
      <c r="Q1196" s="177" t="s">
        <v>155</v>
      </c>
      <c r="R1196" s="177" t="s">
        <v>9547</v>
      </c>
      <c r="S1196" s="177"/>
      <c r="T1196" s="177" t="s">
        <v>3281</v>
      </c>
      <c r="U1196" s="177" t="s">
        <v>152</v>
      </c>
      <c r="V1196" s="177" t="s">
        <v>18</v>
      </c>
    </row>
    <row r="1197" spans="2:22">
      <c r="B1197" s="251">
        <v>46231</v>
      </c>
      <c r="C1197" s="251">
        <v>46231</v>
      </c>
      <c r="D1197" s="177" t="s">
        <v>9548</v>
      </c>
      <c r="E1197" s="177">
        <v>260103421168</v>
      </c>
      <c r="F1197" s="177" t="s">
        <v>87</v>
      </c>
      <c r="G1197" s="177" t="s">
        <v>859</v>
      </c>
      <c r="H1197" s="177">
        <v>152</v>
      </c>
      <c r="I1197" s="177">
        <v>237</v>
      </c>
      <c r="J1197" s="177">
        <v>237</v>
      </c>
      <c r="K1197" s="177">
        <v>104</v>
      </c>
      <c r="L1197" s="253">
        <v>1550</v>
      </c>
      <c r="M1197" s="177" t="s">
        <v>153</v>
      </c>
      <c r="N1197" s="177" t="s">
        <v>149</v>
      </c>
      <c r="O1197" s="177" t="s">
        <v>154</v>
      </c>
      <c r="P1197" s="177" t="s">
        <v>151</v>
      </c>
      <c r="Q1197" s="177" t="s">
        <v>155</v>
      </c>
      <c r="R1197" s="177" t="s">
        <v>9549</v>
      </c>
      <c r="S1197" s="177"/>
      <c r="T1197" s="177" t="s">
        <v>3281</v>
      </c>
      <c r="U1197" s="177" t="s">
        <v>152</v>
      </c>
      <c r="V1197" s="177" t="s">
        <v>18</v>
      </c>
    </row>
    <row r="1198" spans="2:22">
      <c r="B1198" s="251">
        <v>46231</v>
      </c>
      <c r="C1198" s="251">
        <v>46231</v>
      </c>
      <c r="D1198" s="177" t="s">
        <v>9550</v>
      </c>
      <c r="E1198" s="177">
        <v>260101421184</v>
      </c>
      <c r="F1198" s="177" t="s">
        <v>87</v>
      </c>
      <c r="G1198" s="177" t="s">
        <v>859</v>
      </c>
      <c r="H1198" s="177">
        <v>152</v>
      </c>
      <c r="I1198" s="177">
        <v>220</v>
      </c>
      <c r="J1198" s="177">
        <v>220</v>
      </c>
      <c r="K1198" s="177">
        <v>104</v>
      </c>
      <c r="L1198" s="253">
        <v>1500</v>
      </c>
      <c r="M1198" s="177" t="s">
        <v>153</v>
      </c>
      <c r="N1198" s="177" t="s">
        <v>149</v>
      </c>
      <c r="O1198" s="177" t="s">
        <v>154</v>
      </c>
      <c r="P1198" s="177" t="s">
        <v>151</v>
      </c>
      <c r="Q1198" s="177" t="s">
        <v>155</v>
      </c>
      <c r="R1198" s="177" t="s">
        <v>9551</v>
      </c>
      <c r="S1198" s="177"/>
      <c r="T1198" s="177" t="s">
        <v>3281</v>
      </c>
      <c r="U1198" s="177" t="s">
        <v>152</v>
      </c>
      <c r="V1198" s="177" t="s">
        <v>18</v>
      </c>
    </row>
    <row r="1199" spans="2:22">
      <c r="B1199" s="251">
        <v>46231</v>
      </c>
      <c r="C1199" s="251">
        <v>46231</v>
      </c>
      <c r="D1199" s="177" t="s">
        <v>9552</v>
      </c>
      <c r="E1199" s="177">
        <v>260101421185</v>
      </c>
      <c r="F1199" s="177" t="s">
        <v>87</v>
      </c>
      <c r="G1199" s="177" t="s">
        <v>859</v>
      </c>
      <c r="H1199" s="177">
        <v>152</v>
      </c>
      <c r="I1199" s="177">
        <v>223</v>
      </c>
      <c r="J1199" s="177">
        <v>223</v>
      </c>
      <c r="K1199" s="177">
        <v>104</v>
      </c>
      <c r="L1199" s="253">
        <v>1500</v>
      </c>
      <c r="M1199" s="177" t="s">
        <v>153</v>
      </c>
      <c r="N1199" s="177" t="s">
        <v>149</v>
      </c>
      <c r="O1199" s="177" t="s">
        <v>154</v>
      </c>
      <c r="P1199" s="177" t="s">
        <v>151</v>
      </c>
      <c r="Q1199" s="177" t="s">
        <v>155</v>
      </c>
      <c r="R1199" s="177" t="s">
        <v>9553</v>
      </c>
      <c r="S1199" s="177"/>
      <c r="T1199" s="177" t="s">
        <v>3281</v>
      </c>
      <c r="U1199" s="177" t="s">
        <v>152</v>
      </c>
      <c r="V1199" s="177" t="s">
        <v>18</v>
      </c>
    </row>
    <row r="1200" spans="2:22">
      <c r="B1200" s="251">
        <v>46231</v>
      </c>
      <c r="C1200" s="251">
        <v>46231</v>
      </c>
      <c r="D1200" s="177" t="s">
        <v>9554</v>
      </c>
      <c r="E1200" s="177">
        <v>260106121191</v>
      </c>
      <c r="F1200" s="177" t="s">
        <v>87</v>
      </c>
      <c r="G1200" s="177" t="s">
        <v>2310</v>
      </c>
      <c r="H1200" s="177">
        <v>125</v>
      </c>
      <c r="I1200" s="177">
        <v>205</v>
      </c>
      <c r="J1200" s="177">
        <v>205</v>
      </c>
      <c r="K1200" s="177">
        <v>87</v>
      </c>
      <c r="L1200" s="253">
        <v>2000</v>
      </c>
      <c r="M1200" s="177" t="s">
        <v>153</v>
      </c>
      <c r="N1200" s="177" t="s">
        <v>149</v>
      </c>
      <c r="O1200" s="177" t="s">
        <v>154</v>
      </c>
      <c r="P1200" s="177" t="s">
        <v>151</v>
      </c>
      <c r="Q1200" s="177" t="s">
        <v>155</v>
      </c>
      <c r="R1200" s="177" t="s">
        <v>9555</v>
      </c>
      <c r="S1200" s="177"/>
      <c r="T1200" s="177" t="s">
        <v>3281</v>
      </c>
      <c r="U1200" s="177" t="s">
        <v>152</v>
      </c>
      <c r="V1200" s="177" t="s">
        <v>18</v>
      </c>
    </row>
    <row r="1201" spans="2:22">
      <c r="B1201" s="251">
        <v>46231</v>
      </c>
      <c r="C1201" s="251">
        <v>46231</v>
      </c>
      <c r="D1201" s="177" t="s">
        <v>9556</v>
      </c>
      <c r="E1201" s="177">
        <v>260105821193</v>
      </c>
      <c r="F1201" s="177" t="s">
        <v>87</v>
      </c>
      <c r="G1201" s="177" t="s">
        <v>859</v>
      </c>
      <c r="H1201" s="177">
        <v>152</v>
      </c>
      <c r="I1201" s="177">
        <v>268</v>
      </c>
      <c r="J1201" s="177">
        <v>268</v>
      </c>
      <c r="K1201" s="177">
        <v>104</v>
      </c>
      <c r="L1201" s="253">
        <v>1780</v>
      </c>
      <c r="M1201" s="177" t="s">
        <v>153</v>
      </c>
      <c r="N1201" s="177" t="s">
        <v>149</v>
      </c>
      <c r="O1201" s="177" t="s">
        <v>154</v>
      </c>
      <c r="P1201" s="177" t="s">
        <v>151</v>
      </c>
      <c r="Q1201" s="177" t="s">
        <v>155</v>
      </c>
      <c r="R1201" s="177" t="s">
        <v>9557</v>
      </c>
      <c r="S1201" s="177"/>
      <c r="T1201" s="177" t="s">
        <v>3281</v>
      </c>
      <c r="U1201" s="177" t="s">
        <v>152</v>
      </c>
      <c r="V1201" s="177" t="s">
        <v>18</v>
      </c>
    </row>
    <row r="1202" spans="2:22">
      <c r="B1202" s="251">
        <v>46231</v>
      </c>
      <c r="C1202" s="251">
        <v>46231</v>
      </c>
      <c r="D1202" s="177" t="s">
        <v>9558</v>
      </c>
      <c r="E1202" s="177">
        <v>260105321199</v>
      </c>
      <c r="F1202" s="177" t="s">
        <v>87</v>
      </c>
      <c r="G1202" s="177" t="s">
        <v>859</v>
      </c>
      <c r="H1202" s="177">
        <v>152</v>
      </c>
      <c r="I1202" s="177">
        <v>233</v>
      </c>
      <c r="J1202" s="177">
        <v>233</v>
      </c>
      <c r="K1202" s="177">
        <v>104</v>
      </c>
      <c r="L1202" s="253">
        <v>1550</v>
      </c>
      <c r="M1202" s="177" t="s">
        <v>153</v>
      </c>
      <c r="N1202" s="177" t="s">
        <v>149</v>
      </c>
      <c r="O1202" s="177" t="s">
        <v>154</v>
      </c>
      <c r="P1202" s="177" t="s">
        <v>151</v>
      </c>
      <c r="Q1202" s="177" t="s">
        <v>155</v>
      </c>
      <c r="R1202" s="177" t="s">
        <v>9559</v>
      </c>
      <c r="S1202" s="177"/>
      <c r="T1202" s="177" t="s">
        <v>3281</v>
      </c>
      <c r="U1202" s="177" t="s">
        <v>152</v>
      </c>
      <c r="V1202" s="177" t="s">
        <v>18</v>
      </c>
    </row>
    <row r="1203" spans="2:22">
      <c r="B1203" s="251">
        <v>46231</v>
      </c>
      <c r="C1203" s="251">
        <v>46231</v>
      </c>
      <c r="D1203" s="177" t="s">
        <v>9560</v>
      </c>
      <c r="E1203" s="177">
        <v>260101521154</v>
      </c>
      <c r="F1203" s="177" t="s">
        <v>87</v>
      </c>
      <c r="G1203" s="177" t="s">
        <v>2120</v>
      </c>
      <c r="H1203" s="177">
        <v>92</v>
      </c>
      <c r="I1203" s="177">
        <v>176</v>
      </c>
      <c r="J1203" s="177">
        <v>176</v>
      </c>
      <c r="K1203" s="177">
        <v>180</v>
      </c>
      <c r="L1203" s="177">
        <v>530</v>
      </c>
      <c r="M1203" s="177" t="s">
        <v>153</v>
      </c>
      <c r="N1203" s="177" t="s">
        <v>149</v>
      </c>
      <c r="O1203" s="177" t="s">
        <v>154</v>
      </c>
      <c r="P1203" s="177" t="s">
        <v>151</v>
      </c>
      <c r="Q1203" s="177" t="s">
        <v>155</v>
      </c>
      <c r="R1203" s="177" t="s">
        <v>9561</v>
      </c>
      <c r="S1203" s="177"/>
      <c r="T1203" s="177" t="s">
        <v>3281</v>
      </c>
      <c r="U1203" s="177" t="s">
        <v>152</v>
      </c>
      <c r="V1203" s="177" t="s">
        <v>18</v>
      </c>
    </row>
    <row r="1204" spans="2:22">
      <c r="B1204" s="251">
        <v>46231</v>
      </c>
      <c r="C1204" s="251">
        <v>46231</v>
      </c>
      <c r="D1204" s="177" t="s">
        <v>9562</v>
      </c>
      <c r="E1204" s="177">
        <v>260102021171</v>
      </c>
      <c r="F1204" s="177" t="s">
        <v>87</v>
      </c>
      <c r="G1204" s="177" t="s">
        <v>2563</v>
      </c>
      <c r="H1204" s="177">
        <v>95</v>
      </c>
      <c r="I1204" s="177">
        <v>246</v>
      </c>
      <c r="J1204" s="177">
        <v>246</v>
      </c>
      <c r="K1204" s="177">
        <v>134</v>
      </c>
      <c r="L1204" s="253">
        <v>1000</v>
      </c>
      <c r="M1204" s="177" t="s">
        <v>153</v>
      </c>
      <c r="N1204" s="177" t="s">
        <v>149</v>
      </c>
      <c r="O1204" s="177" t="s">
        <v>154</v>
      </c>
      <c r="P1204" s="177" t="s">
        <v>151</v>
      </c>
      <c r="Q1204" s="177" t="s">
        <v>155</v>
      </c>
      <c r="R1204" s="177" t="s">
        <v>9563</v>
      </c>
      <c r="S1204" s="177"/>
      <c r="T1204" s="177" t="s">
        <v>3281</v>
      </c>
      <c r="U1204" s="177" t="s">
        <v>152</v>
      </c>
      <c r="V1204" s="177" t="s">
        <v>18</v>
      </c>
    </row>
    <row r="1205" spans="2:22">
      <c r="B1205" s="251">
        <v>46231</v>
      </c>
      <c r="C1205" s="251">
        <v>46231</v>
      </c>
      <c r="D1205" s="177" t="s">
        <v>9564</v>
      </c>
      <c r="E1205" s="177">
        <v>260101921172</v>
      </c>
      <c r="F1205" s="177" t="s">
        <v>87</v>
      </c>
      <c r="G1205" s="177" t="s">
        <v>2563</v>
      </c>
      <c r="H1205" s="177">
        <v>95</v>
      </c>
      <c r="I1205" s="177">
        <v>231</v>
      </c>
      <c r="J1205" s="177">
        <v>231</v>
      </c>
      <c r="K1205" s="177">
        <v>134</v>
      </c>
      <c r="L1205" s="253">
        <v>950</v>
      </c>
      <c r="M1205" s="177" t="s">
        <v>153</v>
      </c>
      <c r="N1205" s="177" t="s">
        <v>149</v>
      </c>
      <c r="O1205" s="177" t="s">
        <v>154</v>
      </c>
      <c r="P1205" s="177" t="s">
        <v>151</v>
      </c>
      <c r="Q1205" s="177" t="s">
        <v>155</v>
      </c>
      <c r="R1205" s="177" t="s">
        <v>9565</v>
      </c>
      <c r="S1205" s="177"/>
      <c r="T1205" s="177" t="s">
        <v>3281</v>
      </c>
      <c r="U1205" s="177" t="s">
        <v>152</v>
      </c>
      <c r="V1205" s="177" t="s">
        <v>18</v>
      </c>
    </row>
    <row r="1206" spans="2:22">
      <c r="B1206" s="251">
        <v>46231</v>
      </c>
      <c r="C1206" s="251">
        <v>46231</v>
      </c>
      <c r="D1206" s="177" t="s">
        <v>9566</v>
      </c>
      <c r="E1206" s="177">
        <v>260100421181</v>
      </c>
      <c r="F1206" s="177" t="s">
        <v>87</v>
      </c>
      <c r="G1206" s="177" t="s">
        <v>7130</v>
      </c>
      <c r="H1206" s="177">
        <v>182</v>
      </c>
      <c r="I1206" s="177">
        <v>427</v>
      </c>
      <c r="J1206" s="177">
        <v>427</v>
      </c>
      <c r="K1206" s="177">
        <v>190</v>
      </c>
      <c r="L1206" s="253">
        <v>630</v>
      </c>
      <c r="M1206" s="177" t="s">
        <v>153</v>
      </c>
      <c r="N1206" s="177" t="s">
        <v>149</v>
      </c>
      <c r="O1206" s="177" t="s">
        <v>154</v>
      </c>
      <c r="P1206" s="177" t="s">
        <v>151</v>
      </c>
      <c r="Q1206" s="177" t="s">
        <v>155</v>
      </c>
      <c r="R1206" s="177" t="s">
        <v>9567</v>
      </c>
      <c r="S1206" s="177"/>
      <c r="T1206" s="177" t="s">
        <v>3281</v>
      </c>
      <c r="U1206" s="177" t="s">
        <v>152</v>
      </c>
      <c r="V1206" s="177" t="s">
        <v>18</v>
      </c>
    </row>
    <row r="1207" spans="2:22">
      <c r="B1207" s="251">
        <v>46231</v>
      </c>
      <c r="C1207" s="251">
        <v>46231</v>
      </c>
      <c r="D1207" s="177" t="s">
        <v>9568</v>
      </c>
      <c r="E1207" s="177">
        <v>260105721194</v>
      </c>
      <c r="F1207" s="177" t="s">
        <v>87</v>
      </c>
      <c r="G1207" s="177" t="s">
        <v>2561</v>
      </c>
      <c r="H1207" s="177">
        <v>142</v>
      </c>
      <c r="I1207" s="177">
        <v>155</v>
      </c>
      <c r="J1207" s="177">
        <v>155</v>
      </c>
      <c r="K1207" s="177">
        <v>67</v>
      </c>
      <c r="L1207" s="253">
        <v>1650</v>
      </c>
      <c r="M1207" s="177" t="s">
        <v>153</v>
      </c>
      <c r="N1207" s="177" t="s">
        <v>149</v>
      </c>
      <c r="O1207" s="177" t="s">
        <v>154</v>
      </c>
      <c r="P1207" s="177" t="s">
        <v>151</v>
      </c>
      <c r="Q1207" s="177" t="s">
        <v>155</v>
      </c>
      <c r="R1207" s="177" t="s">
        <v>9569</v>
      </c>
      <c r="S1207" s="177"/>
      <c r="T1207" s="177" t="s">
        <v>3281</v>
      </c>
      <c r="U1207" s="177" t="s">
        <v>152</v>
      </c>
      <c r="V1207" s="177" t="s">
        <v>18</v>
      </c>
    </row>
    <row r="1208" spans="2:22">
      <c r="B1208" s="251">
        <v>46231</v>
      </c>
      <c r="C1208" s="251">
        <v>46231</v>
      </c>
      <c r="D1208" s="177" t="s">
        <v>9570</v>
      </c>
      <c r="E1208" s="177">
        <v>260105121196</v>
      </c>
      <c r="F1208" s="177" t="s">
        <v>87</v>
      </c>
      <c r="G1208" s="177" t="s">
        <v>8881</v>
      </c>
      <c r="H1208" s="177">
        <v>162</v>
      </c>
      <c r="I1208" s="177">
        <v>146</v>
      </c>
      <c r="J1208" s="177">
        <v>146</v>
      </c>
      <c r="K1208" s="177">
        <v>102</v>
      </c>
      <c r="L1208" s="177">
        <v>920</v>
      </c>
      <c r="M1208" s="177" t="s">
        <v>153</v>
      </c>
      <c r="N1208" s="177" t="s">
        <v>149</v>
      </c>
      <c r="O1208" s="177" t="s">
        <v>154</v>
      </c>
      <c r="P1208" s="177" t="s">
        <v>151</v>
      </c>
      <c r="Q1208" s="177" t="s">
        <v>155</v>
      </c>
      <c r="R1208" s="177" t="s">
        <v>9571</v>
      </c>
      <c r="S1208" s="177"/>
      <c r="T1208" s="177" t="s">
        <v>3281</v>
      </c>
      <c r="U1208" s="177" t="s">
        <v>152</v>
      </c>
      <c r="V1208" s="177" t="s">
        <v>18</v>
      </c>
    </row>
    <row r="1209" spans="2:22">
      <c r="B1209" s="251">
        <v>46231</v>
      </c>
      <c r="C1209" s="251">
        <v>46231</v>
      </c>
      <c r="D1209" s="177" t="s">
        <v>9572</v>
      </c>
      <c r="E1209" s="177">
        <v>260101621201</v>
      </c>
      <c r="F1209" s="177" t="s">
        <v>87</v>
      </c>
      <c r="G1209" s="177" t="s">
        <v>2120</v>
      </c>
      <c r="H1209" s="177">
        <v>112</v>
      </c>
      <c r="I1209" s="177">
        <v>253</v>
      </c>
      <c r="J1209" s="177">
        <v>253</v>
      </c>
      <c r="K1209" s="177">
        <v>180</v>
      </c>
      <c r="L1209" s="253">
        <v>660</v>
      </c>
      <c r="M1209" s="177" t="s">
        <v>153</v>
      </c>
      <c r="N1209" s="177" t="s">
        <v>149</v>
      </c>
      <c r="O1209" s="177" t="s">
        <v>154</v>
      </c>
      <c r="P1209" s="177" t="s">
        <v>151</v>
      </c>
      <c r="Q1209" s="177" t="s">
        <v>155</v>
      </c>
      <c r="R1209" s="177" t="s">
        <v>9573</v>
      </c>
      <c r="S1209" s="177"/>
      <c r="T1209" s="177" t="s">
        <v>3281</v>
      </c>
      <c r="U1209" s="177" t="s">
        <v>152</v>
      </c>
      <c r="V1209" s="177" t="s">
        <v>18</v>
      </c>
    </row>
    <row r="1210" spans="2:22">
      <c r="B1210" s="251">
        <v>46231</v>
      </c>
      <c r="C1210" s="251">
        <v>46231</v>
      </c>
      <c r="D1210" s="177" t="s">
        <v>9574</v>
      </c>
      <c r="E1210" s="177">
        <v>260101721202</v>
      </c>
      <c r="F1210" s="177" t="s">
        <v>87</v>
      </c>
      <c r="G1210" s="177" t="s">
        <v>2408</v>
      </c>
      <c r="H1210" s="177">
        <v>95</v>
      </c>
      <c r="I1210" s="177">
        <v>245</v>
      </c>
      <c r="J1210" s="177">
        <v>245</v>
      </c>
      <c r="K1210" s="177">
        <v>134</v>
      </c>
      <c r="L1210" s="253">
        <v>1000</v>
      </c>
      <c r="M1210" s="177" t="s">
        <v>153</v>
      </c>
      <c r="N1210" s="177" t="s">
        <v>149</v>
      </c>
      <c r="O1210" s="177" t="s">
        <v>154</v>
      </c>
      <c r="P1210" s="177" t="s">
        <v>151</v>
      </c>
      <c r="Q1210" s="177" t="s">
        <v>155</v>
      </c>
      <c r="R1210" s="177" t="s">
        <v>9575</v>
      </c>
      <c r="S1210" s="177"/>
      <c r="T1210" s="177" t="s">
        <v>3281</v>
      </c>
      <c r="U1210" s="177" t="s">
        <v>152</v>
      </c>
      <c r="V1210" s="177" t="s">
        <v>18</v>
      </c>
    </row>
    <row r="1211" spans="2:22">
      <c r="B1211" s="251">
        <v>46231</v>
      </c>
      <c r="C1211" s="251">
        <v>46231</v>
      </c>
      <c r="D1211" s="177" t="s">
        <v>9576</v>
      </c>
      <c r="E1211" s="177">
        <v>260102721155</v>
      </c>
      <c r="F1211" s="177" t="s">
        <v>87</v>
      </c>
      <c r="G1211" s="177" t="s">
        <v>9311</v>
      </c>
      <c r="H1211" s="177">
        <v>112</v>
      </c>
      <c r="I1211" s="177">
        <v>271</v>
      </c>
      <c r="J1211" s="177">
        <v>271</v>
      </c>
      <c r="K1211" s="177">
        <v>126</v>
      </c>
      <c r="L1211" s="253">
        <v>1000</v>
      </c>
      <c r="M1211" s="177" t="s">
        <v>153</v>
      </c>
      <c r="N1211" s="177" t="s">
        <v>149</v>
      </c>
      <c r="O1211" s="177" t="s">
        <v>154</v>
      </c>
      <c r="P1211" s="177" t="s">
        <v>151</v>
      </c>
      <c r="Q1211" s="177" t="s">
        <v>155</v>
      </c>
      <c r="R1211" s="177" t="s">
        <v>9577</v>
      </c>
      <c r="S1211" s="177"/>
      <c r="T1211" s="177" t="s">
        <v>3281</v>
      </c>
      <c r="U1211" s="177" t="s">
        <v>152</v>
      </c>
      <c r="V1211" s="177" t="s">
        <v>18</v>
      </c>
    </row>
    <row r="1212" spans="2:22">
      <c r="B1212" s="251">
        <v>46231</v>
      </c>
      <c r="C1212" s="251">
        <v>46231</v>
      </c>
      <c r="D1212" s="177" t="s">
        <v>9578</v>
      </c>
      <c r="E1212" s="177" t="s">
        <v>9579</v>
      </c>
      <c r="F1212" s="177" t="s">
        <v>87</v>
      </c>
      <c r="G1212" s="177" t="s">
        <v>2517</v>
      </c>
      <c r="H1212" s="177">
        <v>92</v>
      </c>
      <c r="I1212" s="177">
        <v>97</v>
      </c>
      <c r="J1212" s="177">
        <v>97</v>
      </c>
      <c r="K1212" s="177">
        <v>125</v>
      </c>
      <c r="L1212" s="253">
        <v>451</v>
      </c>
      <c r="M1212" s="177" t="s">
        <v>153</v>
      </c>
      <c r="N1212" s="177" t="s">
        <v>149</v>
      </c>
      <c r="O1212" s="177" t="s">
        <v>154</v>
      </c>
      <c r="P1212" s="177" t="s">
        <v>151</v>
      </c>
      <c r="Q1212" s="177" t="s">
        <v>155</v>
      </c>
      <c r="R1212" s="177" t="s">
        <v>9580</v>
      </c>
      <c r="S1212" s="177"/>
      <c r="T1212" s="177" t="s">
        <v>3283</v>
      </c>
      <c r="U1212" s="177" t="s">
        <v>152</v>
      </c>
      <c r="V1212" s="177" t="s">
        <v>18</v>
      </c>
    </row>
    <row r="1213" spans="2:22">
      <c r="B1213" s="251">
        <v>46231</v>
      </c>
      <c r="C1213" s="251">
        <v>46231</v>
      </c>
      <c r="D1213" s="177" t="s">
        <v>9581</v>
      </c>
      <c r="E1213" s="177" t="s">
        <v>9582</v>
      </c>
      <c r="F1213" s="177" t="s">
        <v>87</v>
      </c>
      <c r="G1213" s="177" t="s">
        <v>9583</v>
      </c>
      <c r="H1213" s="177" t="s">
        <v>2655</v>
      </c>
      <c r="I1213" s="177">
        <v>337</v>
      </c>
      <c r="J1213" s="177">
        <v>337</v>
      </c>
      <c r="K1213" s="177">
        <v>92</v>
      </c>
      <c r="L1213" s="253">
        <v>4600</v>
      </c>
      <c r="M1213" s="177" t="s">
        <v>153</v>
      </c>
      <c r="N1213" s="177" t="s">
        <v>149</v>
      </c>
      <c r="O1213" s="177" t="s">
        <v>154</v>
      </c>
      <c r="P1213" s="177" t="s">
        <v>151</v>
      </c>
      <c r="Q1213" s="177" t="s">
        <v>156</v>
      </c>
      <c r="R1213" s="177" t="s">
        <v>9584</v>
      </c>
      <c r="S1213" s="177"/>
      <c r="T1213" s="177" t="s">
        <v>3285</v>
      </c>
      <c r="U1213" s="177" t="s">
        <v>152</v>
      </c>
      <c r="V1213" s="177" t="s">
        <v>20</v>
      </c>
    </row>
    <row r="1214" spans="2:22">
      <c r="B1214" s="251">
        <v>46231</v>
      </c>
      <c r="C1214" s="251">
        <v>46231</v>
      </c>
      <c r="D1214" s="177" t="s">
        <v>9585</v>
      </c>
      <c r="E1214" s="177" t="s">
        <v>9586</v>
      </c>
      <c r="F1214" s="177" t="s">
        <v>87</v>
      </c>
      <c r="G1214" s="177" t="s">
        <v>9583</v>
      </c>
      <c r="H1214" s="177" t="s">
        <v>2655</v>
      </c>
      <c r="I1214" s="177">
        <v>492</v>
      </c>
      <c r="J1214" s="177">
        <v>492</v>
      </c>
      <c r="K1214" s="177">
        <v>92</v>
      </c>
      <c r="L1214" s="253">
        <v>6600</v>
      </c>
      <c r="M1214" s="177" t="s">
        <v>153</v>
      </c>
      <c r="N1214" s="177" t="s">
        <v>149</v>
      </c>
      <c r="O1214" s="177" t="s">
        <v>154</v>
      </c>
      <c r="P1214" s="177" t="s">
        <v>151</v>
      </c>
      <c r="Q1214" s="177" t="s">
        <v>156</v>
      </c>
      <c r="R1214" s="177" t="s">
        <v>9587</v>
      </c>
      <c r="S1214" s="177"/>
      <c r="T1214" s="177" t="s">
        <v>3285</v>
      </c>
      <c r="U1214" s="177" t="s">
        <v>152</v>
      </c>
      <c r="V1214" s="177" t="s">
        <v>20</v>
      </c>
    </row>
    <row r="1215" spans="2:22">
      <c r="B1215" s="251">
        <v>46231</v>
      </c>
      <c r="C1215" s="251">
        <v>46231</v>
      </c>
      <c r="D1215" s="177" t="s">
        <v>9588</v>
      </c>
      <c r="E1215" s="177">
        <v>260103421216</v>
      </c>
      <c r="F1215" s="177" t="s">
        <v>87</v>
      </c>
      <c r="G1215" s="177" t="s">
        <v>859</v>
      </c>
      <c r="H1215" s="177">
        <v>152</v>
      </c>
      <c r="I1215" s="177">
        <v>227</v>
      </c>
      <c r="J1215" s="177">
        <v>227</v>
      </c>
      <c r="K1215" s="177">
        <v>104</v>
      </c>
      <c r="L1215" s="253">
        <v>1500</v>
      </c>
      <c r="M1215" s="177" t="s">
        <v>153</v>
      </c>
      <c r="N1215" s="177" t="s">
        <v>149</v>
      </c>
      <c r="O1215" s="177" t="s">
        <v>154</v>
      </c>
      <c r="P1215" s="177" t="s">
        <v>151</v>
      </c>
      <c r="Q1215" s="177" t="s">
        <v>155</v>
      </c>
      <c r="R1215" s="177" t="s">
        <v>9589</v>
      </c>
      <c r="S1215" s="177"/>
      <c r="T1215" s="177" t="s">
        <v>3287</v>
      </c>
      <c r="U1215" s="177" t="s">
        <v>152</v>
      </c>
      <c r="V1215" s="177" t="s">
        <v>18</v>
      </c>
    </row>
    <row r="1216" spans="2:22">
      <c r="B1216" s="251">
        <v>46231</v>
      </c>
      <c r="C1216" s="251">
        <v>46231</v>
      </c>
      <c r="D1216" s="177" t="s">
        <v>9590</v>
      </c>
      <c r="E1216" s="177">
        <v>260107321141</v>
      </c>
      <c r="F1216" s="177" t="s">
        <v>87</v>
      </c>
      <c r="G1216" s="177" t="s">
        <v>859</v>
      </c>
      <c r="H1216" s="177">
        <v>152</v>
      </c>
      <c r="I1216" s="177">
        <v>320</v>
      </c>
      <c r="J1216" s="177">
        <v>320</v>
      </c>
      <c r="K1216" s="177">
        <v>104</v>
      </c>
      <c r="L1216" s="253">
        <v>2120</v>
      </c>
      <c r="M1216" s="177" t="s">
        <v>153</v>
      </c>
      <c r="N1216" s="177" t="s">
        <v>149</v>
      </c>
      <c r="O1216" s="177" t="s">
        <v>154</v>
      </c>
      <c r="P1216" s="177" t="s">
        <v>151</v>
      </c>
      <c r="Q1216" s="177" t="s">
        <v>155</v>
      </c>
      <c r="R1216" s="177" t="s">
        <v>9591</v>
      </c>
      <c r="S1216" s="177"/>
      <c r="T1216" s="177" t="s">
        <v>3287</v>
      </c>
      <c r="U1216" s="177" t="s">
        <v>152</v>
      </c>
      <c r="V1216" s="177" t="s">
        <v>18</v>
      </c>
    </row>
    <row r="1217" spans="2:22">
      <c r="B1217" s="251">
        <v>46231</v>
      </c>
      <c r="C1217" s="251">
        <v>46231</v>
      </c>
      <c r="D1217" s="177" t="s">
        <v>9592</v>
      </c>
      <c r="E1217" s="177">
        <v>260102921214</v>
      </c>
      <c r="F1217" s="177" t="s">
        <v>87</v>
      </c>
      <c r="G1217" s="177" t="s">
        <v>859</v>
      </c>
      <c r="H1217" s="177">
        <v>152</v>
      </c>
      <c r="I1217" s="177">
        <v>235</v>
      </c>
      <c r="J1217" s="177">
        <v>235</v>
      </c>
      <c r="K1217" s="177">
        <v>104</v>
      </c>
      <c r="L1217" s="253">
        <v>1500</v>
      </c>
      <c r="M1217" s="177" t="s">
        <v>153</v>
      </c>
      <c r="N1217" s="177" t="s">
        <v>149</v>
      </c>
      <c r="O1217" s="177" t="s">
        <v>154</v>
      </c>
      <c r="P1217" s="177" t="s">
        <v>151</v>
      </c>
      <c r="Q1217" s="177" t="s">
        <v>155</v>
      </c>
      <c r="R1217" s="177" t="s">
        <v>9593</v>
      </c>
      <c r="S1217" s="177"/>
      <c r="T1217" s="177" t="s">
        <v>3287</v>
      </c>
      <c r="U1217" s="177" t="s">
        <v>152</v>
      </c>
      <c r="V1217" s="177" t="s">
        <v>18</v>
      </c>
    </row>
    <row r="1218" spans="2:22">
      <c r="B1218" s="251">
        <v>46231</v>
      </c>
      <c r="C1218" s="251">
        <v>46231</v>
      </c>
      <c r="D1218" s="177" t="s">
        <v>9594</v>
      </c>
      <c r="E1218" s="177">
        <v>260103421215</v>
      </c>
      <c r="F1218" s="177" t="s">
        <v>87</v>
      </c>
      <c r="G1218" s="177" t="s">
        <v>859</v>
      </c>
      <c r="H1218" s="177">
        <v>152</v>
      </c>
      <c r="I1218" s="177">
        <v>231</v>
      </c>
      <c r="J1218" s="177">
        <v>231</v>
      </c>
      <c r="K1218" s="177">
        <v>104</v>
      </c>
      <c r="L1218" s="253">
        <v>1500</v>
      </c>
      <c r="M1218" s="177" t="s">
        <v>153</v>
      </c>
      <c r="N1218" s="177" t="s">
        <v>149</v>
      </c>
      <c r="O1218" s="177" t="s">
        <v>154</v>
      </c>
      <c r="P1218" s="177" t="s">
        <v>151</v>
      </c>
      <c r="Q1218" s="177" t="s">
        <v>155</v>
      </c>
      <c r="R1218" s="177" t="s">
        <v>9595</v>
      </c>
      <c r="S1218" s="177"/>
      <c r="T1218" s="177" t="s">
        <v>3287</v>
      </c>
      <c r="U1218" s="177" t="s">
        <v>152</v>
      </c>
      <c r="V1218" s="177" t="s">
        <v>18</v>
      </c>
    </row>
    <row r="1219" spans="2:22">
      <c r="B1219" s="251">
        <v>46231</v>
      </c>
      <c r="C1219" s="251">
        <v>46231</v>
      </c>
      <c r="D1219" s="177" t="s">
        <v>9596</v>
      </c>
      <c r="E1219" s="177">
        <v>260104621217</v>
      </c>
      <c r="F1219" s="177" t="s">
        <v>87</v>
      </c>
      <c r="G1219" s="177" t="s">
        <v>859</v>
      </c>
      <c r="H1219" s="177">
        <v>152</v>
      </c>
      <c r="I1219" s="177">
        <v>210</v>
      </c>
      <c r="J1219" s="177">
        <v>210</v>
      </c>
      <c r="K1219" s="177">
        <v>104</v>
      </c>
      <c r="L1219" s="253">
        <v>1400</v>
      </c>
      <c r="M1219" s="177" t="s">
        <v>153</v>
      </c>
      <c r="N1219" s="177" t="s">
        <v>149</v>
      </c>
      <c r="O1219" s="177" t="s">
        <v>154</v>
      </c>
      <c r="P1219" s="177" t="s">
        <v>151</v>
      </c>
      <c r="Q1219" s="177" t="s">
        <v>155</v>
      </c>
      <c r="R1219" s="177" t="s">
        <v>9597</v>
      </c>
      <c r="S1219" s="177"/>
      <c r="T1219" s="177" t="s">
        <v>3287</v>
      </c>
      <c r="U1219" s="177" t="s">
        <v>152</v>
      </c>
      <c r="V1219" s="177" t="s">
        <v>18</v>
      </c>
    </row>
    <row r="1220" spans="2:22">
      <c r="B1220" s="251">
        <v>46231</v>
      </c>
      <c r="C1220" s="251">
        <v>46231</v>
      </c>
      <c r="D1220" s="177" t="s">
        <v>9598</v>
      </c>
      <c r="E1220" s="177">
        <v>260103921164</v>
      </c>
      <c r="F1220" s="177" t="s">
        <v>87</v>
      </c>
      <c r="G1220" s="177" t="s">
        <v>2425</v>
      </c>
      <c r="H1220" s="177">
        <v>135</v>
      </c>
      <c r="I1220" s="177">
        <v>270</v>
      </c>
      <c r="J1220" s="177">
        <v>270</v>
      </c>
      <c r="K1220" s="177">
        <v>92</v>
      </c>
      <c r="L1220" s="253">
        <v>2200</v>
      </c>
      <c r="M1220" s="177" t="s">
        <v>153</v>
      </c>
      <c r="N1220" s="177" t="s">
        <v>149</v>
      </c>
      <c r="O1220" s="177" t="s">
        <v>154</v>
      </c>
      <c r="P1220" s="177" t="s">
        <v>151</v>
      </c>
      <c r="Q1220" s="177" t="s">
        <v>155</v>
      </c>
      <c r="R1220" s="177" t="s">
        <v>9599</v>
      </c>
      <c r="S1220" s="177"/>
      <c r="T1220" s="177" t="s">
        <v>3287</v>
      </c>
      <c r="U1220" s="177" t="s">
        <v>152</v>
      </c>
      <c r="V1220" s="177" t="s">
        <v>18</v>
      </c>
    </row>
    <row r="1221" spans="2:22">
      <c r="B1221" s="251">
        <v>46231</v>
      </c>
      <c r="C1221" s="251">
        <v>46231</v>
      </c>
      <c r="D1221" s="177" t="s">
        <v>9600</v>
      </c>
      <c r="E1221" s="177">
        <v>260102921213</v>
      </c>
      <c r="F1221" s="177" t="s">
        <v>87</v>
      </c>
      <c r="G1221" s="177" t="s">
        <v>859</v>
      </c>
      <c r="H1221" s="177">
        <v>152</v>
      </c>
      <c r="I1221" s="177">
        <v>230</v>
      </c>
      <c r="J1221" s="177">
        <v>230</v>
      </c>
      <c r="K1221" s="177">
        <v>104</v>
      </c>
      <c r="L1221" s="253">
        <v>1500</v>
      </c>
      <c r="M1221" s="177" t="s">
        <v>153</v>
      </c>
      <c r="N1221" s="177" t="s">
        <v>149</v>
      </c>
      <c r="O1221" s="177" t="s">
        <v>154</v>
      </c>
      <c r="P1221" s="177" t="s">
        <v>151</v>
      </c>
      <c r="Q1221" s="177" t="s">
        <v>155</v>
      </c>
      <c r="R1221" s="177" t="s">
        <v>9601</v>
      </c>
      <c r="S1221" s="177"/>
      <c r="T1221" s="177" t="s">
        <v>3287</v>
      </c>
      <c r="U1221" s="177" t="s">
        <v>152</v>
      </c>
      <c r="V1221" s="177" t="s">
        <v>18</v>
      </c>
    </row>
    <row r="1222" spans="2:22">
      <c r="B1222" s="251">
        <v>46231</v>
      </c>
      <c r="C1222" s="251">
        <v>46231</v>
      </c>
      <c r="D1222" s="177" t="s">
        <v>9602</v>
      </c>
      <c r="E1222" s="177">
        <v>260103921163</v>
      </c>
      <c r="F1222" s="177" t="s">
        <v>87</v>
      </c>
      <c r="G1222" s="177" t="s">
        <v>2425</v>
      </c>
      <c r="H1222" s="177">
        <v>135</v>
      </c>
      <c r="I1222" s="177">
        <v>265</v>
      </c>
      <c r="J1222" s="177">
        <v>265</v>
      </c>
      <c r="K1222" s="177">
        <v>92</v>
      </c>
      <c r="L1222" s="253">
        <v>2200</v>
      </c>
      <c r="M1222" s="177" t="s">
        <v>153</v>
      </c>
      <c r="N1222" s="177" t="s">
        <v>149</v>
      </c>
      <c r="O1222" s="177" t="s">
        <v>154</v>
      </c>
      <c r="P1222" s="177" t="s">
        <v>151</v>
      </c>
      <c r="Q1222" s="177" t="s">
        <v>155</v>
      </c>
      <c r="R1222" s="177" t="s">
        <v>9603</v>
      </c>
      <c r="S1222" s="177"/>
      <c r="T1222" s="177" t="s">
        <v>3287</v>
      </c>
      <c r="U1222" s="177" t="s">
        <v>152</v>
      </c>
      <c r="V1222" s="177" t="s">
        <v>18</v>
      </c>
    </row>
    <row r="1223" spans="2:22">
      <c r="B1223" s="251">
        <v>46232</v>
      </c>
      <c r="C1223" s="251">
        <v>46232</v>
      </c>
      <c r="D1223" s="177" t="s">
        <v>9604</v>
      </c>
      <c r="E1223" s="177">
        <v>260101421305</v>
      </c>
      <c r="F1223" s="177" t="s">
        <v>87</v>
      </c>
      <c r="G1223" s="177" t="s">
        <v>859</v>
      </c>
      <c r="H1223" s="177">
        <v>152</v>
      </c>
      <c r="I1223" s="177">
        <v>226</v>
      </c>
      <c r="J1223" s="177">
        <v>226</v>
      </c>
      <c r="K1223" s="177">
        <v>104</v>
      </c>
      <c r="L1223" s="253">
        <v>1500</v>
      </c>
      <c r="M1223" s="177" t="s">
        <v>153</v>
      </c>
      <c r="N1223" s="177" t="s">
        <v>149</v>
      </c>
      <c r="O1223" s="177" t="s">
        <v>154</v>
      </c>
      <c r="P1223" s="177" t="s">
        <v>151</v>
      </c>
      <c r="Q1223" s="177" t="s">
        <v>155</v>
      </c>
      <c r="R1223" s="177" t="s">
        <v>9605</v>
      </c>
      <c r="S1223" s="177"/>
      <c r="T1223" s="177" t="s">
        <v>3313</v>
      </c>
      <c r="U1223" s="177" t="s">
        <v>152</v>
      </c>
      <c r="V1223" s="177" t="s">
        <v>18</v>
      </c>
    </row>
    <row r="1224" spans="2:22">
      <c r="B1224" s="251">
        <v>46232</v>
      </c>
      <c r="C1224" s="251">
        <v>46232</v>
      </c>
      <c r="D1224" s="177" t="s">
        <v>9606</v>
      </c>
      <c r="E1224" s="177">
        <v>260101421307</v>
      </c>
      <c r="F1224" s="177" t="s">
        <v>87</v>
      </c>
      <c r="G1224" s="177" t="s">
        <v>859</v>
      </c>
      <c r="H1224" s="177">
        <v>152</v>
      </c>
      <c r="I1224" s="177">
        <v>230</v>
      </c>
      <c r="J1224" s="177">
        <v>230</v>
      </c>
      <c r="K1224" s="177">
        <v>104</v>
      </c>
      <c r="L1224" s="253">
        <v>1500</v>
      </c>
      <c r="M1224" s="177" t="s">
        <v>153</v>
      </c>
      <c r="N1224" s="177" t="s">
        <v>149</v>
      </c>
      <c r="O1224" s="177" t="s">
        <v>154</v>
      </c>
      <c r="P1224" s="177" t="s">
        <v>151</v>
      </c>
      <c r="Q1224" s="177" t="s">
        <v>155</v>
      </c>
      <c r="R1224" s="177" t="s">
        <v>9607</v>
      </c>
      <c r="S1224" s="177"/>
      <c r="T1224" s="177" t="s">
        <v>3313</v>
      </c>
      <c r="U1224" s="177" t="s">
        <v>152</v>
      </c>
      <c r="V1224" s="177" t="s">
        <v>18</v>
      </c>
    </row>
    <row r="1225" spans="2:22">
      <c r="B1225" s="251">
        <v>46232</v>
      </c>
      <c r="C1225" s="251">
        <v>46232</v>
      </c>
      <c r="D1225" s="177" t="s">
        <v>9608</v>
      </c>
      <c r="E1225" s="177">
        <v>260103421309</v>
      </c>
      <c r="F1225" s="177" t="s">
        <v>87</v>
      </c>
      <c r="G1225" s="177" t="s">
        <v>859</v>
      </c>
      <c r="H1225" s="177">
        <v>152</v>
      </c>
      <c r="I1225" s="177">
        <v>241</v>
      </c>
      <c r="J1225" s="177">
        <v>241</v>
      </c>
      <c r="K1225" s="177">
        <v>104</v>
      </c>
      <c r="L1225" s="253">
        <v>1550</v>
      </c>
      <c r="M1225" s="177" t="s">
        <v>153</v>
      </c>
      <c r="N1225" s="177" t="s">
        <v>149</v>
      </c>
      <c r="O1225" s="177" t="s">
        <v>154</v>
      </c>
      <c r="P1225" s="177" t="s">
        <v>151</v>
      </c>
      <c r="Q1225" s="177" t="s">
        <v>155</v>
      </c>
      <c r="R1225" s="177" t="s">
        <v>9609</v>
      </c>
      <c r="S1225" s="177"/>
      <c r="T1225" s="177" t="s">
        <v>3313</v>
      </c>
      <c r="U1225" s="177" t="s">
        <v>152</v>
      </c>
      <c r="V1225" s="177" t="s">
        <v>18</v>
      </c>
    </row>
    <row r="1226" spans="2:22">
      <c r="B1226" s="251">
        <v>46232</v>
      </c>
      <c r="C1226" s="251">
        <v>46232</v>
      </c>
      <c r="D1226" s="177" t="s">
        <v>9610</v>
      </c>
      <c r="E1226" s="177">
        <v>260101421306</v>
      </c>
      <c r="F1226" s="177" t="s">
        <v>87</v>
      </c>
      <c r="G1226" s="177" t="s">
        <v>859</v>
      </c>
      <c r="H1226" s="177">
        <v>152</v>
      </c>
      <c r="I1226" s="177">
        <v>231</v>
      </c>
      <c r="J1226" s="177">
        <v>231</v>
      </c>
      <c r="K1226" s="177">
        <v>104</v>
      </c>
      <c r="L1226" s="253">
        <v>1500</v>
      </c>
      <c r="M1226" s="177" t="s">
        <v>153</v>
      </c>
      <c r="N1226" s="177" t="s">
        <v>149</v>
      </c>
      <c r="O1226" s="177" t="s">
        <v>154</v>
      </c>
      <c r="P1226" s="177" t="s">
        <v>151</v>
      </c>
      <c r="Q1226" s="177" t="s">
        <v>155</v>
      </c>
      <c r="R1226" s="177" t="s">
        <v>9611</v>
      </c>
      <c r="S1226" s="177"/>
      <c r="T1226" s="177" t="s">
        <v>3313</v>
      </c>
      <c r="U1226" s="177" t="s">
        <v>152</v>
      </c>
      <c r="V1226" s="177" t="s">
        <v>18</v>
      </c>
    </row>
    <row r="1227" spans="2:22">
      <c r="B1227" s="251">
        <v>46232</v>
      </c>
      <c r="C1227" s="251">
        <v>46232</v>
      </c>
      <c r="D1227" s="177" t="s">
        <v>9612</v>
      </c>
      <c r="E1227" s="177">
        <v>260103421308</v>
      </c>
      <c r="F1227" s="177" t="s">
        <v>87</v>
      </c>
      <c r="G1227" s="177" t="s">
        <v>859</v>
      </c>
      <c r="H1227" s="177">
        <v>152</v>
      </c>
      <c r="I1227" s="177">
        <v>244</v>
      </c>
      <c r="J1227" s="177">
        <v>244</v>
      </c>
      <c r="K1227" s="177">
        <v>104</v>
      </c>
      <c r="L1227" s="253">
        <v>1550</v>
      </c>
      <c r="M1227" s="177" t="s">
        <v>153</v>
      </c>
      <c r="N1227" s="177" t="s">
        <v>149</v>
      </c>
      <c r="O1227" s="177" t="s">
        <v>154</v>
      </c>
      <c r="P1227" s="177" t="s">
        <v>151</v>
      </c>
      <c r="Q1227" s="177" t="s">
        <v>155</v>
      </c>
      <c r="R1227" s="177" t="s">
        <v>9613</v>
      </c>
      <c r="S1227" s="177"/>
      <c r="T1227" s="177" t="s">
        <v>3313</v>
      </c>
      <c r="U1227" s="177" t="s">
        <v>152</v>
      </c>
      <c r="V1227" s="177" t="s">
        <v>18</v>
      </c>
    </row>
    <row r="1228" spans="2:22">
      <c r="B1228" s="251">
        <v>46232</v>
      </c>
      <c r="C1228" s="251">
        <v>46232</v>
      </c>
      <c r="D1228" s="177" t="s">
        <v>9614</v>
      </c>
      <c r="E1228" s="177">
        <v>260101421304</v>
      </c>
      <c r="F1228" s="177" t="s">
        <v>87</v>
      </c>
      <c r="G1228" s="177" t="s">
        <v>859</v>
      </c>
      <c r="H1228" s="177">
        <v>152</v>
      </c>
      <c r="I1228" s="177">
        <v>228</v>
      </c>
      <c r="J1228" s="177">
        <v>228</v>
      </c>
      <c r="K1228" s="177">
        <v>104</v>
      </c>
      <c r="L1228" s="253">
        <v>1500</v>
      </c>
      <c r="M1228" s="177" t="s">
        <v>153</v>
      </c>
      <c r="N1228" s="177" t="s">
        <v>149</v>
      </c>
      <c r="O1228" s="177" t="s">
        <v>154</v>
      </c>
      <c r="P1228" s="177" t="s">
        <v>151</v>
      </c>
      <c r="Q1228" s="177" t="s">
        <v>155</v>
      </c>
      <c r="R1228" s="177" t="s">
        <v>9615</v>
      </c>
      <c r="S1228" s="177"/>
      <c r="T1228" s="177" t="s">
        <v>3313</v>
      </c>
      <c r="U1228" s="177" t="s">
        <v>152</v>
      </c>
      <c r="V1228" s="177" t="s">
        <v>18</v>
      </c>
    </row>
    <row r="1229" spans="2:22">
      <c r="B1229" s="251">
        <v>46232</v>
      </c>
      <c r="C1229" s="251">
        <v>46232</v>
      </c>
      <c r="D1229" s="177" t="s">
        <v>9616</v>
      </c>
      <c r="E1229" s="177">
        <v>230107621312</v>
      </c>
      <c r="F1229" s="177" t="s">
        <v>87</v>
      </c>
      <c r="G1229" s="177" t="s">
        <v>2310</v>
      </c>
      <c r="H1229" s="177">
        <v>125</v>
      </c>
      <c r="I1229" s="177">
        <v>219</v>
      </c>
      <c r="J1229" s="177">
        <v>219</v>
      </c>
      <c r="K1229" s="177">
        <v>87</v>
      </c>
      <c r="L1229" s="253">
        <v>2050</v>
      </c>
      <c r="M1229" s="177" t="s">
        <v>153</v>
      </c>
      <c r="N1229" s="177" t="s">
        <v>149</v>
      </c>
      <c r="O1229" s="177" t="s">
        <v>154</v>
      </c>
      <c r="P1229" s="177" t="s">
        <v>151</v>
      </c>
      <c r="Q1229" s="177" t="s">
        <v>155</v>
      </c>
      <c r="R1229" s="177" t="s">
        <v>9617</v>
      </c>
      <c r="S1229" s="177"/>
      <c r="T1229" s="177" t="s">
        <v>3315</v>
      </c>
      <c r="U1229" s="177" t="s">
        <v>152</v>
      </c>
      <c r="V1229" s="177" t="s">
        <v>18</v>
      </c>
    </row>
    <row r="1230" spans="2:22">
      <c r="B1230" s="251">
        <v>46232</v>
      </c>
      <c r="C1230" s="251">
        <v>46232</v>
      </c>
      <c r="D1230" s="177" t="s">
        <v>9618</v>
      </c>
      <c r="E1230" s="177">
        <v>260107521311</v>
      </c>
      <c r="F1230" s="177" t="s">
        <v>87</v>
      </c>
      <c r="G1230" s="177" t="s">
        <v>2310</v>
      </c>
      <c r="H1230" s="177">
        <v>125</v>
      </c>
      <c r="I1230" s="177">
        <v>220</v>
      </c>
      <c r="J1230" s="177">
        <v>220</v>
      </c>
      <c r="K1230" s="177">
        <v>87</v>
      </c>
      <c r="L1230" s="253">
        <v>2070</v>
      </c>
      <c r="M1230" s="177" t="s">
        <v>153</v>
      </c>
      <c r="N1230" s="177" t="s">
        <v>149</v>
      </c>
      <c r="O1230" s="177" t="s">
        <v>154</v>
      </c>
      <c r="P1230" s="177" t="s">
        <v>151</v>
      </c>
      <c r="Q1230" s="177" t="s">
        <v>155</v>
      </c>
      <c r="R1230" s="177" t="s">
        <v>9619</v>
      </c>
      <c r="S1230" s="177"/>
      <c r="T1230" s="177" t="s">
        <v>3315</v>
      </c>
      <c r="U1230" s="177" t="s">
        <v>152</v>
      </c>
      <c r="V1230" s="177" t="s">
        <v>18</v>
      </c>
    </row>
    <row r="1231" spans="2:22">
      <c r="B1231" s="251">
        <v>46232</v>
      </c>
      <c r="C1231" s="251">
        <v>46232</v>
      </c>
      <c r="D1231" s="177" t="s">
        <v>9620</v>
      </c>
      <c r="E1231" s="177">
        <v>260105421265</v>
      </c>
      <c r="F1231" s="177" t="s">
        <v>87</v>
      </c>
      <c r="G1231" s="177" t="s">
        <v>2310</v>
      </c>
      <c r="H1231" s="177">
        <v>125</v>
      </c>
      <c r="I1231" s="177">
        <v>205</v>
      </c>
      <c r="J1231" s="177">
        <v>205</v>
      </c>
      <c r="K1231" s="177">
        <v>87</v>
      </c>
      <c r="L1231" s="253">
        <v>1970</v>
      </c>
      <c r="M1231" s="177" t="s">
        <v>153</v>
      </c>
      <c r="N1231" s="177" t="s">
        <v>149</v>
      </c>
      <c r="O1231" s="177" t="s">
        <v>154</v>
      </c>
      <c r="P1231" s="177" t="s">
        <v>151</v>
      </c>
      <c r="Q1231" s="177" t="s">
        <v>155</v>
      </c>
      <c r="R1231" s="177" t="s">
        <v>9621</v>
      </c>
      <c r="S1231" s="177"/>
      <c r="T1231" s="177" t="s">
        <v>3315</v>
      </c>
      <c r="U1231" s="177" t="s">
        <v>152</v>
      </c>
      <c r="V1231" s="177" t="s">
        <v>18</v>
      </c>
    </row>
    <row r="1232" spans="2:22">
      <c r="B1232" s="251">
        <v>46232</v>
      </c>
      <c r="C1232" s="251">
        <v>46232</v>
      </c>
      <c r="D1232" s="177" t="s">
        <v>9622</v>
      </c>
      <c r="E1232" s="177">
        <v>260105221313</v>
      </c>
      <c r="F1232" s="177" t="s">
        <v>87</v>
      </c>
      <c r="G1232" s="177" t="s">
        <v>859</v>
      </c>
      <c r="H1232" s="177">
        <v>152</v>
      </c>
      <c r="I1232" s="177">
        <v>320</v>
      </c>
      <c r="J1232" s="177">
        <v>320</v>
      </c>
      <c r="K1232" s="177">
        <v>104</v>
      </c>
      <c r="L1232" s="253">
        <v>2100</v>
      </c>
      <c r="M1232" s="177" t="s">
        <v>153</v>
      </c>
      <c r="N1232" s="177" t="s">
        <v>149</v>
      </c>
      <c r="O1232" s="177" t="s">
        <v>154</v>
      </c>
      <c r="P1232" s="177" t="s">
        <v>151</v>
      </c>
      <c r="Q1232" s="177" t="s">
        <v>155</v>
      </c>
      <c r="R1232" s="177" t="s">
        <v>9623</v>
      </c>
      <c r="S1232" s="177"/>
      <c r="T1232" s="177" t="s">
        <v>3315</v>
      </c>
      <c r="U1232" s="177" t="s">
        <v>152</v>
      </c>
      <c r="V1232" s="177" t="s">
        <v>18</v>
      </c>
    </row>
    <row r="1233" spans="2:22">
      <c r="B1233" s="251">
        <v>46232</v>
      </c>
      <c r="C1233" s="251">
        <v>46232</v>
      </c>
      <c r="D1233" s="177" t="s">
        <v>9624</v>
      </c>
      <c r="E1233" s="177">
        <v>260106121262</v>
      </c>
      <c r="F1233" s="177" t="s">
        <v>87</v>
      </c>
      <c r="G1233" s="177" t="s">
        <v>2310</v>
      </c>
      <c r="H1233" s="177">
        <v>125</v>
      </c>
      <c r="I1233" s="177">
        <v>211</v>
      </c>
      <c r="J1233" s="177">
        <v>211</v>
      </c>
      <c r="K1233" s="177">
        <v>87</v>
      </c>
      <c r="L1233" s="253">
        <v>2000</v>
      </c>
      <c r="M1233" s="177" t="s">
        <v>153</v>
      </c>
      <c r="N1233" s="177" t="s">
        <v>149</v>
      </c>
      <c r="O1233" s="177" t="s">
        <v>154</v>
      </c>
      <c r="P1233" s="177" t="s">
        <v>151</v>
      </c>
      <c r="Q1233" s="177" t="s">
        <v>155</v>
      </c>
      <c r="R1233" s="177" t="s">
        <v>9625</v>
      </c>
      <c r="S1233" s="177"/>
      <c r="T1233" s="177" t="s">
        <v>3315</v>
      </c>
      <c r="U1233" s="177" t="s">
        <v>152</v>
      </c>
      <c r="V1233" s="177" t="s">
        <v>18</v>
      </c>
    </row>
    <row r="1234" spans="2:22">
      <c r="B1234" s="251">
        <v>46232</v>
      </c>
      <c r="C1234" s="251">
        <v>46232</v>
      </c>
      <c r="D1234" s="177" t="s">
        <v>9626</v>
      </c>
      <c r="E1234" s="177">
        <v>260102721247</v>
      </c>
      <c r="F1234" s="177" t="s">
        <v>87</v>
      </c>
      <c r="G1234" s="177" t="s">
        <v>9311</v>
      </c>
      <c r="H1234" s="177">
        <v>112</v>
      </c>
      <c r="I1234" s="177">
        <v>276</v>
      </c>
      <c r="J1234" s="177">
        <v>276</v>
      </c>
      <c r="K1234" s="177">
        <v>126</v>
      </c>
      <c r="L1234" s="253">
        <v>1000</v>
      </c>
      <c r="M1234" s="177" t="s">
        <v>153</v>
      </c>
      <c r="N1234" s="177" t="s">
        <v>149</v>
      </c>
      <c r="O1234" s="177" t="s">
        <v>154</v>
      </c>
      <c r="P1234" s="177" t="s">
        <v>151</v>
      </c>
      <c r="Q1234" s="177" t="s">
        <v>155</v>
      </c>
      <c r="R1234" s="177" t="s">
        <v>9627</v>
      </c>
      <c r="S1234" s="177"/>
      <c r="T1234" s="177" t="s">
        <v>3319</v>
      </c>
      <c r="U1234" s="177" t="s">
        <v>152</v>
      </c>
      <c r="V1234" s="177" t="s">
        <v>18</v>
      </c>
    </row>
    <row r="1235" spans="2:22">
      <c r="B1235" s="251">
        <v>46232</v>
      </c>
      <c r="C1235" s="251">
        <v>46232</v>
      </c>
      <c r="D1235" s="177" t="s">
        <v>9628</v>
      </c>
      <c r="E1235" s="177">
        <v>260101921253</v>
      </c>
      <c r="F1235" s="177" t="s">
        <v>87</v>
      </c>
      <c r="G1235" s="177" t="s">
        <v>2408</v>
      </c>
      <c r="H1235" s="177">
        <v>92</v>
      </c>
      <c r="I1235" s="177">
        <v>253</v>
      </c>
      <c r="J1235" s="177">
        <v>253</v>
      </c>
      <c r="K1235" s="177">
        <v>134</v>
      </c>
      <c r="L1235" s="253">
        <v>1000</v>
      </c>
      <c r="M1235" s="177" t="s">
        <v>153</v>
      </c>
      <c r="N1235" s="177" t="s">
        <v>149</v>
      </c>
      <c r="O1235" s="177" t="s">
        <v>154</v>
      </c>
      <c r="P1235" s="177" t="s">
        <v>151</v>
      </c>
      <c r="Q1235" s="177" t="s">
        <v>155</v>
      </c>
      <c r="R1235" s="177" t="s">
        <v>9629</v>
      </c>
      <c r="S1235" s="177"/>
      <c r="T1235" s="177" t="s">
        <v>3319</v>
      </c>
      <c r="U1235" s="177" t="s">
        <v>152</v>
      </c>
      <c r="V1235" s="177" t="s">
        <v>18</v>
      </c>
    </row>
    <row r="1236" spans="2:22">
      <c r="B1236" s="251">
        <v>46232</v>
      </c>
      <c r="C1236" s="251">
        <v>46232</v>
      </c>
      <c r="D1236" s="177" t="s">
        <v>9630</v>
      </c>
      <c r="E1236" s="177">
        <v>260101721254</v>
      </c>
      <c r="F1236" s="177" t="s">
        <v>87</v>
      </c>
      <c r="G1236" s="177" t="s">
        <v>2408</v>
      </c>
      <c r="H1236" s="177">
        <v>92</v>
      </c>
      <c r="I1236" s="177">
        <v>123</v>
      </c>
      <c r="J1236" s="177">
        <v>123</v>
      </c>
      <c r="K1236" s="177">
        <v>134</v>
      </c>
      <c r="L1236" s="253">
        <v>500</v>
      </c>
      <c r="M1236" s="177" t="s">
        <v>153</v>
      </c>
      <c r="N1236" s="177" t="s">
        <v>149</v>
      </c>
      <c r="O1236" s="177" t="s">
        <v>154</v>
      </c>
      <c r="P1236" s="177" t="s">
        <v>151</v>
      </c>
      <c r="Q1236" s="177" t="s">
        <v>155</v>
      </c>
      <c r="R1236" s="177" t="s">
        <v>9631</v>
      </c>
      <c r="S1236" s="177"/>
      <c r="T1236" s="177" t="s">
        <v>3319</v>
      </c>
      <c r="U1236" s="177" t="s">
        <v>152</v>
      </c>
      <c r="V1236" s="177" t="s">
        <v>18</v>
      </c>
    </row>
    <row r="1237" spans="2:22">
      <c r="B1237" s="251">
        <v>46232</v>
      </c>
      <c r="C1237" s="251">
        <v>46232</v>
      </c>
      <c r="D1237" s="177" t="s">
        <v>9632</v>
      </c>
      <c r="E1237" s="177">
        <v>260101621246</v>
      </c>
      <c r="F1237" s="177" t="s">
        <v>87</v>
      </c>
      <c r="G1237" s="177" t="s">
        <v>2120</v>
      </c>
      <c r="H1237" s="177">
        <v>112</v>
      </c>
      <c r="I1237" s="177">
        <v>296</v>
      </c>
      <c r="J1237" s="177">
        <v>296</v>
      </c>
      <c r="K1237" s="177">
        <v>180</v>
      </c>
      <c r="L1237" s="253">
        <v>750</v>
      </c>
      <c r="M1237" s="177" t="s">
        <v>153</v>
      </c>
      <c r="N1237" s="177" t="s">
        <v>149</v>
      </c>
      <c r="O1237" s="177" t="s">
        <v>154</v>
      </c>
      <c r="P1237" s="177" t="s">
        <v>151</v>
      </c>
      <c r="Q1237" s="177" t="s">
        <v>155</v>
      </c>
      <c r="R1237" s="177" t="s">
        <v>9633</v>
      </c>
      <c r="S1237" s="177"/>
      <c r="T1237" s="177" t="s">
        <v>3319</v>
      </c>
      <c r="U1237" s="177" t="s">
        <v>152</v>
      </c>
      <c r="V1237" s="177" t="s">
        <v>18</v>
      </c>
    </row>
    <row r="1238" spans="2:22">
      <c r="B1238" s="251">
        <v>46232</v>
      </c>
      <c r="C1238" s="251">
        <v>46232</v>
      </c>
      <c r="D1238" s="177" t="s">
        <v>9634</v>
      </c>
      <c r="E1238" s="177">
        <v>260103821248</v>
      </c>
      <c r="F1238" s="177" t="s">
        <v>87</v>
      </c>
      <c r="G1238" s="177" t="s">
        <v>859</v>
      </c>
      <c r="H1238" s="177">
        <v>182</v>
      </c>
      <c r="I1238" s="177">
        <v>284</v>
      </c>
      <c r="J1238" s="177">
        <v>284</v>
      </c>
      <c r="K1238" s="177">
        <v>104</v>
      </c>
      <c r="L1238" s="253">
        <v>1500</v>
      </c>
      <c r="M1238" s="177" t="s">
        <v>153</v>
      </c>
      <c r="N1238" s="177" t="s">
        <v>149</v>
      </c>
      <c r="O1238" s="177" t="s">
        <v>154</v>
      </c>
      <c r="P1238" s="177" t="s">
        <v>151</v>
      </c>
      <c r="Q1238" s="177" t="s">
        <v>155</v>
      </c>
      <c r="R1238" s="177" t="s">
        <v>9635</v>
      </c>
      <c r="S1238" s="177"/>
      <c r="T1238" s="177" t="s">
        <v>3319</v>
      </c>
      <c r="U1238" s="177" t="s">
        <v>152</v>
      </c>
      <c r="V1238" s="177" t="s">
        <v>18</v>
      </c>
    </row>
    <row r="1239" spans="2:22">
      <c r="B1239" s="251">
        <v>46232</v>
      </c>
      <c r="C1239" s="251">
        <v>46232</v>
      </c>
      <c r="D1239" s="177" t="s">
        <v>9636</v>
      </c>
      <c r="E1239" s="177">
        <v>260102021258</v>
      </c>
      <c r="F1239" s="177" t="s">
        <v>87</v>
      </c>
      <c r="G1239" s="177" t="s">
        <v>2408</v>
      </c>
      <c r="H1239" s="177">
        <v>92</v>
      </c>
      <c r="I1239" s="177">
        <v>237</v>
      </c>
      <c r="J1239" s="177">
        <v>237</v>
      </c>
      <c r="K1239" s="177">
        <v>134</v>
      </c>
      <c r="L1239" s="253">
        <v>1000</v>
      </c>
      <c r="M1239" s="177" t="s">
        <v>153</v>
      </c>
      <c r="N1239" s="177" t="s">
        <v>149</v>
      </c>
      <c r="O1239" s="177" t="s">
        <v>154</v>
      </c>
      <c r="P1239" s="177" t="s">
        <v>151</v>
      </c>
      <c r="Q1239" s="177" t="s">
        <v>155</v>
      </c>
      <c r="R1239" s="177" t="s">
        <v>9637</v>
      </c>
      <c r="S1239" s="177"/>
      <c r="T1239" s="177" t="s">
        <v>3319</v>
      </c>
      <c r="U1239" s="177" t="s">
        <v>152</v>
      </c>
      <c r="V1239" s="177" t="s">
        <v>18</v>
      </c>
    </row>
    <row r="1240" spans="2:22">
      <c r="B1240" s="251">
        <v>46232</v>
      </c>
      <c r="C1240" s="251">
        <v>46232</v>
      </c>
      <c r="D1240" s="177" t="s">
        <v>9638</v>
      </c>
      <c r="E1240" s="177">
        <v>260103821249</v>
      </c>
      <c r="F1240" s="177" t="s">
        <v>87</v>
      </c>
      <c r="G1240" s="177" t="s">
        <v>859</v>
      </c>
      <c r="H1240" s="177">
        <v>182</v>
      </c>
      <c r="I1240" s="177">
        <v>280</v>
      </c>
      <c r="J1240" s="177">
        <v>280</v>
      </c>
      <c r="K1240" s="177">
        <v>104</v>
      </c>
      <c r="L1240" s="253">
        <v>1500</v>
      </c>
      <c r="M1240" s="177" t="s">
        <v>153</v>
      </c>
      <c r="N1240" s="177" t="s">
        <v>149</v>
      </c>
      <c r="O1240" s="177" t="s">
        <v>154</v>
      </c>
      <c r="P1240" s="177" t="s">
        <v>151</v>
      </c>
      <c r="Q1240" s="177" t="s">
        <v>155</v>
      </c>
      <c r="R1240" s="177" t="s">
        <v>9639</v>
      </c>
      <c r="S1240" s="177"/>
      <c r="T1240" s="177" t="s">
        <v>3319</v>
      </c>
      <c r="U1240" s="177" t="s">
        <v>152</v>
      </c>
      <c r="V1240" s="177" t="s">
        <v>18</v>
      </c>
    </row>
    <row r="1241" spans="2:22">
      <c r="B1241" s="251">
        <v>46232</v>
      </c>
      <c r="C1241" s="251">
        <v>46232</v>
      </c>
      <c r="D1241" s="177" t="s">
        <v>9640</v>
      </c>
      <c r="E1241" s="177">
        <v>260100721228</v>
      </c>
      <c r="F1241" s="177" t="s">
        <v>87</v>
      </c>
      <c r="G1241" s="177" t="s">
        <v>2120</v>
      </c>
      <c r="H1241" s="177">
        <v>122</v>
      </c>
      <c r="I1241" s="177">
        <v>287</v>
      </c>
      <c r="J1241" s="177">
        <v>287</v>
      </c>
      <c r="K1241" s="177">
        <v>180</v>
      </c>
      <c r="L1241" s="177">
        <v>670</v>
      </c>
      <c r="M1241" s="177" t="s">
        <v>153</v>
      </c>
      <c r="N1241" s="177" t="s">
        <v>149</v>
      </c>
      <c r="O1241" s="177" t="s">
        <v>154</v>
      </c>
      <c r="P1241" s="177" t="s">
        <v>151</v>
      </c>
      <c r="Q1241" s="177" t="s">
        <v>155</v>
      </c>
      <c r="R1241" s="177" t="s">
        <v>9641</v>
      </c>
      <c r="S1241" s="177"/>
      <c r="T1241" s="177" t="s">
        <v>3319</v>
      </c>
      <c r="U1241" s="177" t="s">
        <v>152</v>
      </c>
      <c r="V1241" s="177" t="s">
        <v>18</v>
      </c>
    </row>
    <row r="1242" spans="2:22">
      <c r="B1242" s="251">
        <v>46232</v>
      </c>
      <c r="C1242" s="251">
        <v>46232</v>
      </c>
      <c r="D1242" s="177" t="s">
        <v>9642</v>
      </c>
      <c r="E1242" s="177">
        <v>260100521241</v>
      </c>
      <c r="F1242" s="177" t="s">
        <v>87</v>
      </c>
      <c r="G1242" s="177" t="s">
        <v>8900</v>
      </c>
      <c r="H1242" s="177">
        <v>192</v>
      </c>
      <c r="I1242" s="177">
        <v>392</v>
      </c>
      <c r="J1242" s="177">
        <v>392</v>
      </c>
      <c r="K1242" s="177">
        <v>180</v>
      </c>
      <c r="L1242" s="253">
        <v>600</v>
      </c>
      <c r="M1242" s="177" t="s">
        <v>153</v>
      </c>
      <c r="N1242" s="177" t="s">
        <v>149</v>
      </c>
      <c r="O1242" s="177" t="s">
        <v>154</v>
      </c>
      <c r="P1242" s="177" t="s">
        <v>151</v>
      </c>
      <c r="Q1242" s="177" t="s">
        <v>155</v>
      </c>
      <c r="R1242" s="177" t="s">
        <v>9643</v>
      </c>
      <c r="S1242" s="177"/>
      <c r="T1242" s="177" t="s">
        <v>3319</v>
      </c>
      <c r="U1242" s="177" t="s">
        <v>152</v>
      </c>
      <c r="V1242" s="177" t="s">
        <v>18</v>
      </c>
    </row>
    <row r="1243" spans="2:22">
      <c r="B1243" s="251">
        <v>46232</v>
      </c>
      <c r="C1243" s="251">
        <v>46232</v>
      </c>
      <c r="D1243" s="177" t="s">
        <v>9644</v>
      </c>
      <c r="E1243" s="177">
        <v>260103621271</v>
      </c>
      <c r="F1243" s="177" t="s">
        <v>87</v>
      </c>
      <c r="G1243" s="177" t="s">
        <v>2310</v>
      </c>
      <c r="H1243" s="177">
        <v>125</v>
      </c>
      <c r="I1243" s="177">
        <v>273</v>
      </c>
      <c r="J1243" s="177">
        <v>273</v>
      </c>
      <c r="K1243" s="177">
        <v>87</v>
      </c>
      <c r="L1243" s="253">
        <v>2600</v>
      </c>
      <c r="M1243" s="177" t="s">
        <v>153</v>
      </c>
      <c r="N1243" s="177" t="s">
        <v>149</v>
      </c>
      <c r="O1243" s="177" t="s">
        <v>154</v>
      </c>
      <c r="P1243" s="177" t="s">
        <v>151</v>
      </c>
      <c r="Q1243" s="177" t="s">
        <v>155</v>
      </c>
      <c r="R1243" s="177" t="s">
        <v>9645</v>
      </c>
      <c r="S1243" s="177"/>
      <c r="T1243" s="177" t="s">
        <v>3319</v>
      </c>
      <c r="U1243" s="177" t="s">
        <v>152</v>
      </c>
      <c r="V1243" s="177" t="s">
        <v>18</v>
      </c>
    </row>
    <row r="1244" spans="2:22">
      <c r="B1244" s="251">
        <v>46232</v>
      </c>
      <c r="C1244" s="251">
        <v>46232</v>
      </c>
      <c r="D1244" s="177" t="s">
        <v>9646</v>
      </c>
      <c r="E1244" s="177">
        <v>260100421226</v>
      </c>
      <c r="F1244" s="177" t="s">
        <v>87</v>
      </c>
      <c r="G1244" s="177" t="s">
        <v>7130</v>
      </c>
      <c r="H1244" s="177">
        <v>182</v>
      </c>
      <c r="I1244" s="177">
        <v>414</v>
      </c>
      <c r="J1244" s="177">
        <v>414</v>
      </c>
      <c r="K1244" s="177">
        <v>190</v>
      </c>
      <c r="L1244" s="253">
        <v>600</v>
      </c>
      <c r="M1244" s="177" t="s">
        <v>153</v>
      </c>
      <c r="N1244" s="177" t="s">
        <v>149</v>
      </c>
      <c r="O1244" s="177" t="s">
        <v>154</v>
      </c>
      <c r="P1244" s="177" t="s">
        <v>151</v>
      </c>
      <c r="Q1244" s="177" t="s">
        <v>155</v>
      </c>
      <c r="R1244" s="177" t="s">
        <v>9647</v>
      </c>
      <c r="S1244" s="177"/>
      <c r="T1244" s="177" t="s">
        <v>3319</v>
      </c>
      <c r="U1244" s="177" t="s">
        <v>152</v>
      </c>
      <c r="V1244" s="177" t="s">
        <v>18</v>
      </c>
    </row>
    <row r="1245" spans="2:22">
      <c r="B1245" s="251">
        <v>46232</v>
      </c>
      <c r="C1245" s="251">
        <v>46232</v>
      </c>
      <c r="D1245" s="177" t="s">
        <v>9648</v>
      </c>
      <c r="E1245" s="177">
        <v>260106921231</v>
      </c>
      <c r="F1245" s="177" t="s">
        <v>87</v>
      </c>
      <c r="G1245" s="177" t="s">
        <v>9649</v>
      </c>
      <c r="H1245" s="177">
        <v>125</v>
      </c>
      <c r="I1245" s="177">
        <v>352</v>
      </c>
      <c r="J1245" s="177">
        <v>352</v>
      </c>
      <c r="K1245" s="177">
        <v>116</v>
      </c>
      <c r="L1245" s="253">
        <v>2500</v>
      </c>
      <c r="M1245" s="177" t="s">
        <v>153</v>
      </c>
      <c r="N1245" s="177" t="s">
        <v>149</v>
      </c>
      <c r="O1245" s="177" t="s">
        <v>154</v>
      </c>
      <c r="P1245" s="177" t="s">
        <v>151</v>
      </c>
      <c r="Q1245" s="177" t="s">
        <v>155</v>
      </c>
      <c r="R1245" s="177" t="s">
        <v>9650</v>
      </c>
      <c r="S1245" s="177"/>
      <c r="T1245" s="177" t="s">
        <v>3319</v>
      </c>
      <c r="U1245" s="177" t="s">
        <v>152</v>
      </c>
      <c r="V1245" s="177" t="s">
        <v>18</v>
      </c>
    </row>
    <row r="1246" spans="2:22">
      <c r="B1246" s="251">
        <v>46232</v>
      </c>
      <c r="C1246" s="251">
        <v>46232</v>
      </c>
      <c r="D1246" s="177" t="s">
        <v>9651</v>
      </c>
      <c r="E1246" s="177">
        <v>260100721255</v>
      </c>
      <c r="F1246" s="177" t="s">
        <v>87</v>
      </c>
      <c r="G1246" s="177" t="s">
        <v>2120</v>
      </c>
      <c r="H1246" s="177">
        <v>122</v>
      </c>
      <c r="I1246" s="177">
        <v>365</v>
      </c>
      <c r="J1246" s="177">
        <v>365</v>
      </c>
      <c r="K1246" s="177">
        <v>180</v>
      </c>
      <c r="L1246" s="253">
        <v>850</v>
      </c>
      <c r="M1246" s="177" t="s">
        <v>153</v>
      </c>
      <c r="N1246" s="177" t="s">
        <v>149</v>
      </c>
      <c r="O1246" s="177" t="s">
        <v>154</v>
      </c>
      <c r="P1246" s="177" t="s">
        <v>151</v>
      </c>
      <c r="Q1246" s="177" t="s">
        <v>155</v>
      </c>
      <c r="R1246" s="177" t="s">
        <v>9652</v>
      </c>
      <c r="S1246" s="177"/>
      <c r="T1246" s="177" t="s">
        <v>3319</v>
      </c>
      <c r="U1246" s="177" t="s">
        <v>152</v>
      </c>
      <c r="V1246" s="177" t="s">
        <v>18</v>
      </c>
    </row>
    <row r="1247" spans="2:22">
      <c r="B1247" s="251">
        <v>46232</v>
      </c>
      <c r="C1247" s="251">
        <v>46232</v>
      </c>
      <c r="D1247" s="177" t="s">
        <v>9653</v>
      </c>
      <c r="E1247" s="177">
        <v>260105021263</v>
      </c>
      <c r="F1247" s="177" t="s">
        <v>87</v>
      </c>
      <c r="G1247" s="177" t="s">
        <v>2641</v>
      </c>
      <c r="H1247" s="177">
        <v>162</v>
      </c>
      <c r="I1247" s="177">
        <v>293</v>
      </c>
      <c r="J1247" s="177">
        <v>293</v>
      </c>
      <c r="K1247" s="177">
        <v>102</v>
      </c>
      <c r="L1247" s="253">
        <v>1840</v>
      </c>
      <c r="M1247" s="177" t="s">
        <v>153</v>
      </c>
      <c r="N1247" s="177" t="s">
        <v>149</v>
      </c>
      <c r="O1247" s="177" t="s">
        <v>154</v>
      </c>
      <c r="P1247" s="177" t="s">
        <v>151</v>
      </c>
      <c r="Q1247" s="177" t="s">
        <v>155</v>
      </c>
      <c r="R1247" s="177" t="s">
        <v>9654</v>
      </c>
      <c r="S1247" s="177"/>
      <c r="T1247" s="177" t="s">
        <v>3319</v>
      </c>
      <c r="U1247" s="177" t="s">
        <v>152</v>
      </c>
      <c r="V1247" s="177" t="s">
        <v>18</v>
      </c>
    </row>
    <row r="1248" spans="2:22">
      <c r="B1248" s="251">
        <v>46232</v>
      </c>
      <c r="C1248" s="251">
        <v>46232</v>
      </c>
      <c r="D1248" s="177" t="s">
        <v>9655</v>
      </c>
      <c r="E1248" s="177">
        <v>260103321266</v>
      </c>
      <c r="F1248" s="177" t="s">
        <v>87</v>
      </c>
      <c r="G1248" s="177" t="s">
        <v>2641</v>
      </c>
      <c r="H1248" s="177">
        <v>160</v>
      </c>
      <c r="I1248" s="177">
        <v>252</v>
      </c>
      <c r="J1248" s="177">
        <v>252</v>
      </c>
      <c r="K1248" s="177">
        <v>102</v>
      </c>
      <c r="L1248" s="253">
        <v>1580</v>
      </c>
      <c r="M1248" s="177" t="s">
        <v>153</v>
      </c>
      <c r="N1248" s="177" t="s">
        <v>149</v>
      </c>
      <c r="O1248" s="177" t="s">
        <v>154</v>
      </c>
      <c r="P1248" s="177" t="s">
        <v>151</v>
      </c>
      <c r="Q1248" s="177" t="s">
        <v>155</v>
      </c>
      <c r="R1248" s="177" t="s">
        <v>9656</v>
      </c>
      <c r="S1248" s="177"/>
      <c r="T1248" s="177" t="s">
        <v>3319</v>
      </c>
      <c r="U1248" s="177" t="s">
        <v>152</v>
      </c>
      <c r="V1248" s="177" t="s">
        <v>18</v>
      </c>
    </row>
    <row r="1249" spans="2:22">
      <c r="B1249" s="251">
        <v>46232</v>
      </c>
      <c r="C1249" s="251">
        <v>46232</v>
      </c>
      <c r="D1249" s="177" t="s">
        <v>9657</v>
      </c>
      <c r="E1249" s="177">
        <v>260102821272</v>
      </c>
      <c r="F1249" s="177" t="s">
        <v>87</v>
      </c>
      <c r="G1249" s="177" t="s">
        <v>2554</v>
      </c>
      <c r="H1249" s="177">
        <v>102</v>
      </c>
      <c r="I1249" s="177">
        <v>241</v>
      </c>
      <c r="J1249" s="177">
        <v>241</v>
      </c>
      <c r="K1249" s="177">
        <v>125</v>
      </c>
      <c r="L1249" s="253">
        <v>1000</v>
      </c>
      <c r="M1249" s="177" t="s">
        <v>153</v>
      </c>
      <c r="N1249" s="177" t="s">
        <v>149</v>
      </c>
      <c r="O1249" s="177" t="s">
        <v>154</v>
      </c>
      <c r="P1249" s="177" t="s">
        <v>151</v>
      </c>
      <c r="Q1249" s="177" t="s">
        <v>155</v>
      </c>
      <c r="R1249" s="177" t="s">
        <v>9658</v>
      </c>
      <c r="S1249" s="177"/>
      <c r="T1249" s="177" t="s">
        <v>3319</v>
      </c>
      <c r="U1249" s="177" t="s">
        <v>152</v>
      </c>
      <c r="V1249" s="177" t="s">
        <v>18</v>
      </c>
    </row>
    <row r="1250" spans="2:22">
      <c r="B1250" s="251">
        <v>46232</v>
      </c>
      <c r="C1250" s="251">
        <v>46232</v>
      </c>
      <c r="D1250" s="177" t="s">
        <v>9659</v>
      </c>
      <c r="E1250" s="177">
        <v>260102021281</v>
      </c>
      <c r="F1250" s="177" t="s">
        <v>87</v>
      </c>
      <c r="G1250" s="177" t="s">
        <v>2408</v>
      </c>
      <c r="H1250" s="177">
        <v>92</v>
      </c>
      <c r="I1250" s="177">
        <v>236</v>
      </c>
      <c r="J1250" s="177">
        <v>236</v>
      </c>
      <c r="K1250" s="177">
        <v>134</v>
      </c>
      <c r="L1250" s="253">
        <v>1000</v>
      </c>
      <c r="M1250" s="177" t="s">
        <v>153</v>
      </c>
      <c r="N1250" s="177" t="s">
        <v>149</v>
      </c>
      <c r="O1250" s="177" t="s">
        <v>154</v>
      </c>
      <c r="P1250" s="177" t="s">
        <v>151</v>
      </c>
      <c r="Q1250" s="177" t="s">
        <v>155</v>
      </c>
      <c r="R1250" s="177" t="s">
        <v>9660</v>
      </c>
      <c r="S1250" s="177"/>
      <c r="T1250" s="177" t="s">
        <v>3319</v>
      </c>
      <c r="U1250" s="177" t="s">
        <v>152</v>
      </c>
      <c r="V1250" s="177" t="s">
        <v>18</v>
      </c>
    </row>
    <row r="1251" spans="2:22">
      <c r="B1251" s="251">
        <v>46232</v>
      </c>
      <c r="C1251" s="251">
        <v>46232</v>
      </c>
      <c r="D1251" s="177" t="s">
        <v>9661</v>
      </c>
      <c r="E1251" s="177">
        <v>260100921285</v>
      </c>
      <c r="F1251" s="177" t="s">
        <v>87</v>
      </c>
      <c r="G1251" s="177" t="s">
        <v>7130</v>
      </c>
      <c r="H1251" s="177">
        <v>182</v>
      </c>
      <c r="I1251" s="177">
        <v>405</v>
      </c>
      <c r="J1251" s="177">
        <v>405</v>
      </c>
      <c r="K1251" s="177">
        <v>190</v>
      </c>
      <c r="L1251" s="253">
        <v>620</v>
      </c>
      <c r="M1251" s="177" t="s">
        <v>153</v>
      </c>
      <c r="N1251" s="177" t="s">
        <v>149</v>
      </c>
      <c r="O1251" s="177" t="s">
        <v>154</v>
      </c>
      <c r="P1251" s="177" t="s">
        <v>151</v>
      </c>
      <c r="Q1251" s="177" t="s">
        <v>155</v>
      </c>
      <c r="R1251" s="177" t="s">
        <v>9662</v>
      </c>
      <c r="S1251" s="177"/>
      <c r="T1251" s="177" t="s">
        <v>3319</v>
      </c>
      <c r="U1251" s="177" t="s">
        <v>152</v>
      </c>
      <c r="V1251" s="177" t="s">
        <v>18</v>
      </c>
    </row>
    <row r="1252" spans="2:22">
      <c r="B1252" s="251">
        <v>46232</v>
      </c>
      <c r="C1252" s="251">
        <v>46232</v>
      </c>
      <c r="D1252" s="177" t="s">
        <v>9663</v>
      </c>
      <c r="E1252" s="177">
        <v>260103921244</v>
      </c>
      <c r="F1252" s="177" t="s">
        <v>87</v>
      </c>
      <c r="G1252" s="177" t="s">
        <v>2425</v>
      </c>
      <c r="H1252" s="177">
        <v>135</v>
      </c>
      <c r="I1252" s="177">
        <v>200</v>
      </c>
      <c r="J1252" s="177">
        <v>200</v>
      </c>
      <c r="K1252" s="177">
        <v>92</v>
      </c>
      <c r="L1252" s="253">
        <v>1660</v>
      </c>
      <c r="M1252" s="177" t="s">
        <v>153</v>
      </c>
      <c r="N1252" s="177" t="s">
        <v>149</v>
      </c>
      <c r="O1252" s="177" t="s">
        <v>154</v>
      </c>
      <c r="P1252" s="177" t="s">
        <v>151</v>
      </c>
      <c r="Q1252" s="177" t="s">
        <v>155</v>
      </c>
      <c r="R1252" s="177" t="s">
        <v>9664</v>
      </c>
      <c r="S1252" s="177"/>
      <c r="T1252" s="177" t="s">
        <v>3319</v>
      </c>
      <c r="U1252" s="177" t="s">
        <v>152</v>
      </c>
      <c r="V1252" s="177" t="s">
        <v>18</v>
      </c>
    </row>
    <row r="1253" spans="2:22">
      <c r="B1253" s="251">
        <v>46232</v>
      </c>
      <c r="C1253" s="251">
        <v>46232</v>
      </c>
      <c r="D1253" s="177" t="s">
        <v>9665</v>
      </c>
      <c r="E1253" s="177">
        <v>260103321267</v>
      </c>
      <c r="F1253" s="177" t="s">
        <v>87</v>
      </c>
      <c r="G1253" s="177" t="s">
        <v>2641</v>
      </c>
      <c r="H1253" s="177">
        <v>160</v>
      </c>
      <c r="I1253" s="177">
        <v>254</v>
      </c>
      <c r="J1253" s="177">
        <v>254</v>
      </c>
      <c r="K1253" s="177">
        <v>102</v>
      </c>
      <c r="L1253" s="253">
        <v>1580</v>
      </c>
      <c r="M1253" s="177" t="s">
        <v>153</v>
      </c>
      <c r="N1253" s="177" t="s">
        <v>149</v>
      </c>
      <c r="O1253" s="177" t="s">
        <v>154</v>
      </c>
      <c r="P1253" s="177" t="s">
        <v>151</v>
      </c>
      <c r="Q1253" s="177" t="s">
        <v>155</v>
      </c>
      <c r="R1253" s="177" t="s">
        <v>9666</v>
      </c>
      <c r="S1253" s="177"/>
      <c r="T1253" s="177" t="s">
        <v>3319</v>
      </c>
      <c r="U1253" s="177" t="s">
        <v>152</v>
      </c>
      <c r="V1253" s="177" t="s">
        <v>18</v>
      </c>
    </row>
    <row r="1254" spans="2:22">
      <c r="B1254" s="251">
        <v>46232</v>
      </c>
      <c r="C1254" s="251">
        <v>46232</v>
      </c>
      <c r="D1254" s="177" t="s">
        <v>9667</v>
      </c>
      <c r="E1254" s="177">
        <v>260103621270</v>
      </c>
      <c r="F1254" s="177" t="s">
        <v>87</v>
      </c>
      <c r="G1254" s="177" t="s">
        <v>2310</v>
      </c>
      <c r="H1254" s="177">
        <v>125</v>
      </c>
      <c r="I1254" s="177">
        <v>277</v>
      </c>
      <c r="J1254" s="177">
        <v>277</v>
      </c>
      <c r="K1254" s="177">
        <v>87</v>
      </c>
      <c r="L1254" s="253">
        <v>2600</v>
      </c>
      <c r="M1254" s="177" t="s">
        <v>153</v>
      </c>
      <c r="N1254" s="177" t="s">
        <v>149</v>
      </c>
      <c r="O1254" s="177" t="s">
        <v>154</v>
      </c>
      <c r="P1254" s="177" t="s">
        <v>151</v>
      </c>
      <c r="Q1254" s="177" t="s">
        <v>155</v>
      </c>
      <c r="R1254" s="177" t="s">
        <v>9668</v>
      </c>
      <c r="S1254" s="177"/>
      <c r="T1254" s="177" t="s">
        <v>3319</v>
      </c>
      <c r="U1254" s="177" t="s">
        <v>152</v>
      </c>
      <c r="V1254" s="177" t="s">
        <v>18</v>
      </c>
    </row>
    <row r="1255" spans="2:22">
      <c r="B1255" s="251">
        <v>46232</v>
      </c>
      <c r="C1255" s="251">
        <v>46232</v>
      </c>
      <c r="D1255" s="177" t="s">
        <v>9669</v>
      </c>
      <c r="E1255" s="177">
        <v>260102721274</v>
      </c>
      <c r="F1255" s="177" t="s">
        <v>87</v>
      </c>
      <c r="G1255" s="177" t="s">
        <v>9311</v>
      </c>
      <c r="H1255" s="177">
        <v>112</v>
      </c>
      <c r="I1255" s="177">
        <v>277</v>
      </c>
      <c r="J1255" s="177">
        <v>277</v>
      </c>
      <c r="K1255" s="177">
        <v>126</v>
      </c>
      <c r="L1255" s="253">
        <v>1000</v>
      </c>
      <c r="M1255" s="177" t="s">
        <v>153</v>
      </c>
      <c r="N1255" s="177" t="s">
        <v>149</v>
      </c>
      <c r="O1255" s="177" t="s">
        <v>154</v>
      </c>
      <c r="P1255" s="177" t="s">
        <v>151</v>
      </c>
      <c r="Q1255" s="177" t="s">
        <v>155</v>
      </c>
      <c r="R1255" s="177" t="s">
        <v>9670</v>
      </c>
      <c r="S1255" s="177"/>
      <c r="T1255" s="177" t="s">
        <v>3319</v>
      </c>
      <c r="U1255" s="177" t="s">
        <v>152</v>
      </c>
      <c r="V1255" s="177" t="s">
        <v>18</v>
      </c>
    </row>
    <row r="1256" spans="2:22">
      <c r="B1256" s="251">
        <v>46232</v>
      </c>
      <c r="C1256" s="251">
        <v>46232</v>
      </c>
      <c r="D1256" s="177" t="s">
        <v>9671</v>
      </c>
      <c r="E1256" s="177">
        <v>260101821279</v>
      </c>
      <c r="F1256" s="177" t="s">
        <v>87</v>
      </c>
      <c r="G1256" s="177" t="s">
        <v>2648</v>
      </c>
      <c r="H1256" s="177">
        <v>142</v>
      </c>
      <c r="I1256" s="177">
        <v>284</v>
      </c>
      <c r="J1256" s="177">
        <v>284</v>
      </c>
      <c r="K1256" s="177">
        <v>140</v>
      </c>
      <c r="L1256" s="253">
        <v>700</v>
      </c>
      <c r="M1256" s="177" t="s">
        <v>153</v>
      </c>
      <c r="N1256" s="177" t="s">
        <v>149</v>
      </c>
      <c r="O1256" s="177" t="s">
        <v>154</v>
      </c>
      <c r="P1256" s="177" t="s">
        <v>151</v>
      </c>
      <c r="Q1256" s="177" t="s">
        <v>155</v>
      </c>
      <c r="R1256" s="177" t="s">
        <v>9672</v>
      </c>
      <c r="S1256" s="177"/>
      <c r="T1256" s="177" t="s">
        <v>3319</v>
      </c>
      <c r="U1256" s="177" t="s">
        <v>152</v>
      </c>
      <c r="V1256" s="177" t="s">
        <v>18</v>
      </c>
    </row>
    <row r="1257" spans="2:22">
      <c r="B1257" s="251">
        <v>46232</v>
      </c>
      <c r="C1257" s="251">
        <v>46232</v>
      </c>
      <c r="D1257" s="177" t="s">
        <v>9673</v>
      </c>
      <c r="E1257" s="177">
        <v>260100521282</v>
      </c>
      <c r="F1257" s="177" t="s">
        <v>87</v>
      </c>
      <c r="G1257" s="177" t="s">
        <v>8900</v>
      </c>
      <c r="H1257" s="177">
        <v>192</v>
      </c>
      <c r="I1257" s="177">
        <v>330</v>
      </c>
      <c r="J1257" s="177">
        <v>330</v>
      </c>
      <c r="K1257" s="177">
        <v>180</v>
      </c>
      <c r="L1257" s="253">
        <v>500</v>
      </c>
      <c r="M1257" s="177" t="s">
        <v>153</v>
      </c>
      <c r="N1257" s="177" t="s">
        <v>149</v>
      </c>
      <c r="O1257" s="177" t="s">
        <v>154</v>
      </c>
      <c r="P1257" s="177" t="s">
        <v>151</v>
      </c>
      <c r="Q1257" s="177" t="s">
        <v>155</v>
      </c>
      <c r="R1257" s="177" t="s">
        <v>9674</v>
      </c>
      <c r="S1257" s="177"/>
      <c r="T1257" s="177" t="s">
        <v>3319</v>
      </c>
      <c r="U1257" s="177" t="s">
        <v>152</v>
      </c>
      <c r="V1257" s="177" t="s">
        <v>18</v>
      </c>
    </row>
    <row r="1258" spans="2:22">
      <c r="B1258" s="251">
        <v>46232</v>
      </c>
      <c r="C1258" s="251">
        <v>46232</v>
      </c>
      <c r="D1258" s="177" t="s">
        <v>9675</v>
      </c>
      <c r="E1258" s="177">
        <v>260100721286</v>
      </c>
      <c r="F1258" s="177" t="s">
        <v>87</v>
      </c>
      <c r="G1258" s="177" t="s">
        <v>2120</v>
      </c>
      <c r="H1258" s="177">
        <v>122</v>
      </c>
      <c r="I1258" s="177">
        <v>349</v>
      </c>
      <c r="J1258" s="177">
        <v>349</v>
      </c>
      <c r="K1258" s="177">
        <v>180</v>
      </c>
      <c r="L1258" s="253">
        <v>800</v>
      </c>
      <c r="M1258" s="177" t="s">
        <v>153</v>
      </c>
      <c r="N1258" s="177" t="s">
        <v>149</v>
      </c>
      <c r="O1258" s="177" t="s">
        <v>154</v>
      </c>
      <c r="P1258" s="177" t="s">
        <v>151</v>
      </c>
      <c r="Q1258" s="177" t="s">
        <v>155</v>
      </c>
      <c r="R1258" s="177" t="s">
        <v>9676</v>
      </c>
      <c r="S1258" s="177"/>
      <c r="T1258" s="177" t="s">
        <v>3319</v>
      </c>
      <c r="U1258" s="177" t="s">
        <v>152</v>
      </c>
      <c r="V1258" s="177" t="s">
        <v>18</v>
      </c>
    </row>
    <row r="1259" spans="2:22">
      <c r="B1259" s="251">
        <v>46232</v>
      </c>
      <c r="C1259" s="251">
        <v>46232</v>
      </c>
      <c r="D1259" s="177" t="s">
        <v>9677</v>
      </c>
      <c r="E1259" s="177">
        <v>260101921280</v>
      </c>
      <c r="F1259" s="177" t="s">
        <v>87</v>
      </c>
      <c r="G1259" s="177" t="s">
        <v>2408</v>
      </c>
      <c r="H1259" s="177">
        <v>92</v>
      </c>
      <c r="I1259" s="177">
        <v>237</v>
      </c>
      <c r="J1259" s="177">
        <v>237</v>
      </c>
      <c r="K1259" s="177">
        <v>134</v>
      </c>
      <c r="L1259" s="253">
        <v>1000</v>
      </c>
      <c r="M1259" s="177" t="s">
        <v>153</v>
      </c>
      <c r="N1259" s="177" t="s">
        <v>149</v>
      </c>
      <c r="O1259" s="177" t="s">
        <v>154</v>
      </c>
      <c r="P1259" s="177" t="s">
        <v>151</v>
      </c>
      <c r="Q1259" s="177" t="s">
        <v>155</v>
      </c>
      <c r="R1259" s="177" t="s">
        <v>9678</v>
      </c>
      <c r="S1259" s="177"/>
      <c r="T1259" s="177" t="s">
        <v>3319</v>
      </c>
      <c r="U1259" s="177" t="s">
        <v>152</v>
      </c>
      <c r="V1259" s="177" t="s">
        <v>18</v>
      </c>
    </row>
    <row r="1260" spans="2:22">
      <c r="B1260" s="251">
        <v>46232</v>
      </c>
      <c r="C1260" s="251">
        <v>46232</v>
      </c>
      <c r="D1260" s="177" t="s">
        <v>9679</v>
      </c>
      <c r="E1260" s="177">
        <v>260100521283</v>
      </c>
      <c r="F1260" s="177" t="s">
        <v>87</v>
      </c>
      <c r="G1260" s="177" t="s">
        <v>8900</v>
      </c>
      <c r="H1260" s="177">
        <v>192</v>
      </c>
      <c r="I1260" s="177">
        <v>365</v>
      </c>
      <c r="J1260" s="177">
        <v>365</v>
      </c>
      <c r="K1260" s="177">
        <v>180</v>
      </c>
      <c r="L1260" s="253">
        <v>550</v>
      </c>
      <c r="M1260" s="177" t="s">
        <v>153</v>
      </c>
      <c r="N1260" s="177" t="s">
        <v>149</v>
      </c>
      <c r="O1260" s="177" t="s">
        <v>154</v>
      </c>
      <c r="P1260" s="177" t="s">
        <v>151</v>
      </c>
      <c r="Q1260" s="177" t="s">
        <v>155</v>
      </c>
      <c r="R1260" s="177" t="s">
        <v>9680</v>
      </c>
      <c r="S1260" s="177"/>
      <c r="T1260" s="177" t="s">
        <v>3319</v>
      </c>
      <c r="U1260" s="177" t="s">
        <v>152</v>
      </c>
      <c r="V1260" s="177" t="s">
        <v>18</v>
      </c>
    </row>
    <row r="1261" spans="2:22">
      <c r="B1261" s="251">
        <v>46232</v>
      </c>
      <c r="C1261" s="251">
        <v>46232</v>
      </c>
      <c r="D1261" s="177" t="s">
        <v>9681</v>
      </c>
      <c r="E1261" s="177">
        <v>260100421284</v>
      </c>
      <c r="F1261" s="177" t="s">
        <v>87</v>
      </c>
      <c r="G1261" s="177" t="s">
        <v>7130</v>
      </c>
      <c r="H1261" s="177">
        <v>182</v>
      </c>
      <c r="I1261" s="177">
        <v>407</v>
      </c>
      <c r="J1261" s="177">
        <v>407</v>
      </c>
      <c r="K1261" s="177">
        <v>190</v>
      </c>
      <c r="L1261" s="253">
        <v>600</v>
      </c>
      <c r="M1261" s="177" t="s">
        <v>153</v>
      </c>
      <c r="N1261" s="177" t="s">
        <v>149</v>
      </c>
      <c r="O1261" s="177" t="s">
        <v>154</v>
      </c>
      <c r="P1261" s="177" t="s">
        <v>151</v>
      </c>
      <c r="Q1261" s="177" t="s">
        <v>155</v>
      </c>
      <c r="R1261" s="177" t="s">
        <v>9682</v>
      </c>
      <c r="S1261" s="177"/>
      <c r="T1261" s="177" t="s">
        <v>3319</v>
      </c>
      <c r="U1261" s="177" t="s">
        <v>152</v>
      </c>
      <c r="V1261" s="177" t="s">
        <v>18</v>
      </c>
    </row>
    <row r="1262" spans="2:22">
      <c r="B1262" s="251">
        <v>46232</v>
      </c>
      <c r="C1262" s="251">
        <v>46232</v>
      </c>
      <c r="D1262" s="177" t="s">
        <v>9683</v>
      </c>
      <c r="E1262" s="177">
        <v>260100921227</v>
      </c>
      <c r="F1262" s="177" t="s">
        <v>87</v>
      </c>
      <c r="G1262" s="177" t="s">
        <v>7130</v>
      </c>
      <c r="H1262" s="177">
        <v>182</v>
      </c>
      <c r="I1262" s="177">
        <v>355</v>
      </c>
      <c r="J1262" s="177">
        <v>355</v>
      </c>
      <c r="K1262" s="177">
        <v>190</v>
      </c>
      <c r="L1262" s="253">
        <v>520</v>
      </c>
      <c r="M1262" s="177" t="s">
        <v>153</v>
      </c>
      <c r="N1262" s="177" t="s">
        <v>149</v>
      </c>
      <c r="O1262" s="177" t="s">
        <v>154</v>
      </c>
      <c r="P1262" s="177" t="s">
        <v>151</v>
      </c>
      <c r="Q1262" s="177" t="s">
        <v>155</v>
      </c>
      <c r="R1262" s="177" t="s">
        <v>9684</v>
      </c>
      <c r="S1262" s="177"/>
      <c r="T1262" s="177" t="s">
        <v>3319</v>
      </c>
      <c r="U1262" s="177" t="s">
        <v>152</v>
      </c>
      <c r="V1262" s="177" t="s">
        <v>18</v>
      </c>
    </row>
    <row r="1263" spans="2:22">
      <c r="B1263" s="251">
        <v>46232</v>
      </c>
      <c r="C1263" s="251">
        <v>46232</v>
      </c>
      <c r="D1263" s="177" t="s">
        <v>9685</v>
      </c>
      <c r="E1263" s="177">
        <v>260101621273</v>
      </c>
      <c r="F1263" s="177" t="s">
        <v>87</v>
      </c>
      <c r="G1263" s="177" t="s">
        <v>2120</v>
      </c>
      <c r="H1263" s="177">
        <v>112</v>
      </c>
      <c r="I1263" s="177">
        <v>320</v>
      </c>
      <c r="J1263" s="177">
        <v>320</v>
      </c>
      <c r="K1263" s="177">
        <v>180</v>
      </c>
      <c r="L1263" s="253">
        <v>820</v>
      </c>
      <c r="M1263" s="177" t="s">
        <v>153</v>
      </c>
      <c r="N1263" s="177" t="s">
        <v>149</v>
      </c>
      <c r="O1263" s="177" t="s">
        <v>154</v>
      </c>
      <c r="P1263" s="177" t="s">
        <v>151</v>
      </c>
      <c r="Q1263" s="177" t="s">
        <v>155</v>
      </c>
      <c r="R1263" s="177" t="s">
        <v>9686</v>
      </c>
      <c r="S1263" s="177"/>
      <c r="T1263" s="177" t="s">
        <v>3319</v>
      </c>
      <c r="U1263" s="177" t="s">
        <v>152</v>
      </c>
      <c r="V1263" s="177" t="s">
        <v>18</v>
      </c>
    </row>
    <row r="1264" spans="2:22">
      <c r="B1264" s="251">
        <v>46232</v>
      </c>
      <c r="C1264" s="251">
        <v>46232</v>
      </c>
      <c r="D1264" s="177" t="s">
        <v>9687</v>
      </c>
      <c r="E1264" s="177">
        <v>260101721278</v>
      </c>
      <c r="F1264" s="177" t="s">
        <v>87</v>
      </c>
      <c r="G1264" s="177" t="s">
        <v>2408</v>
      </c>
      <c r="H1264" s="177">
        <v>92</v>
      </c>
      <c r="I1264" s="177">
        <v>239</v>
      </c>
      <c r="J1264" s="177">
        <v>239</v>
      </c>
      <c r="K1264" s="177">
        <v>134</v>
      </c>
      <c r="L1264" s="253">
        <v>1000</v>
      </c>
      <c r="M1264" s="177" t="s">
        <v>153</v>
      </c>
      <c r="N1264" s="177" t="s">
        <v>149</v>
      </c>
      <c r="O1264" s="177" t="s">
        <v>154</v>
      </c>
      <c r="P1264" s="177" t="s">
        <v>151</v>
      </c>
      <c r="Q1264" s="177" t="s">
        <v>155</v>
      </c>
      <c r="R1264" s="177" t="s">
        <v>9688</v>
      </c>
      <c r="S1264" s="177"/>
      <c r="T1264" s="177" t="s">
        <v>3319</v>
      </c>
      <c r="U1264" s="177" t="s">
        <v>152</v>
      </c>
      <c r="V1264" s="177" t="s">
        <v>18</v>
      </c>
    </row>
    <row r="1265" spans="2:22">
      <c r="B1265" s="251">
        <v>46232</v>
      </c>
      <c r="C1265" s="251">
        <v>46232</v>
      </c>
      <c r="D1265" s="177" t="s">
        <v>9689</v>
      </c>
      <c r="E1265" s="177">
        <v>260107121287</v>
      </c>
      <c r="F1265" s="177" t="s">
        <v>87</v>
      </c>
      <c r="G1265" s="177" t="s">
        <v>9316</v>
      </c>
      <c r="H1265" s="177">
        <v>142</v>
      </c>
      <c r="I1265" s="177">
        <v>211</v>
      </c>
      <c r="J1265" s="177">
        <v>211</v>
      </c>
      <c r="K1265" s="177">
        <v>99</v>
      </c>
      <c r="L1265" s="253">
        <v>1550</v>
      </c>
      <c r="M1265" s="177" t="s">
        <v>153</v>
      </c>
      <c r="N1265" s="177" t="s">
        <v>149</v>
      </c>
      <c r="O1265" s="177" t="s">
        <v>154</v>
      </c>
      <c r="P1265" s="177" t="s">
        <v>151</v>
      </c>
      <c r="Q1265" s="177" t="s">
        <v>155</v>
      </c>
      <c r="R1265" s="177" t="s">
        <v>9690</v>
      </c>
      <c r="S1265" s="177"/>
      <c r="T1265" s="177" t="s">
        <v>3319</v>
      </c>
      <c r="U1265" s="177" t="s">
        <v>152</v>
      </c>
      <c r="V1265" s="177" t="s">
        <v>18</v>
      </c>
    </row>
    <row r="1266" spans="2:22">
      <c r="B1266" s="251">
        <v>46232</v>
      </c>
      <c r="C1266" s="251">
        <v>46232</v>
      </c>
      <c r="D1266" s="177" t="s">
        <v>9691</v>
      </c>
      <c r="E1266" s="177" t="s">
        <v>8475</v>
      </c>
      <c r="F1266" s="177" t="s">
        <v>87</v>
      </c>
      <c r="G1266" s="177" t="s">
        <v>9692</v>
      </c>
      <c r="H1266" s="177" t="s">
        <v>9693</v>
      </c>
      <c r="I1266" s="177">
        <v>213</v>
      </c>
      <c r="J1266" s="177">
        <v>213</v>
      </c>
      <c r="K1266" s="177">
        <v>79</v>
      </c>
      <c r="L1266" s="253">
        <v>3500</v>
      </c>
      <c r="M1266" s="177" t="s">
        <v>153</v>
      </c>
      <c r="N1266" s="177" t="s">
        <v>149</v>
      </c>
      <c r="O1266" s="177" t="s">
        <v>154</v>
      </c>
      <c r="P1266" s="177" t="s">
        <v>151</v>
      </c>
      <c r="Q1266" s="177" t="s">
        <v>156</v>
      </c>
      <c r="R1266" s="177" t="s">
        <v>9694</v>
      </c>
      <c r="S1266" s="177"/>
      <c r="T1266" s="177" t="s">
        <v>3319</v>
      </c>
      <c r="U1266" s="177" t="s">
        <v>152</v>
      </c>
      <c r="V1266" s="177" t="s">
        <v>20</v>
      </c>
    </row>
    <row r="1267" spans="2:22">
      <c r="B1267" s="251">
        <v>46232</v>
      </c>
      <c r="C1267" s="251">
        <v>46232</v>
      </c>
      <c r="D1267" s="177" t="s">
        <v>9695</v>
      </c>
      <c r="E1267" s="177" t="s">
        <v>9696</v>
      </c>
      <c r="F1267" s="177" t="s">
        <v>87</v>
      </c>
      <c r="G1267" s="177" t="s">
        <v>9692</v>
      </c>
      <c r="H1267" s="177" t="s">
        <v>9697</v>
      </c>
      <c r="I1267" s="177">
        <v>312</v>
      </c>
      <c r="J1267" s="177">
        <v>312</v>
      </c>
      <c r="K1267" s="177">
        <v>79</v>
      </c>
      <c r="L1267" s="253">
        <v>5570</v>
      </c>
      <c r="M1267" s="177" t="s">
        <v>153</v>
      </c>
      <c r="N1267" s="177" t="s">
        <v>149</v>
      </c>
      <c r="O1267" s="177" t="s">
        <v>154</v>
      </c>
      <c r="P1267" s="177" t="s">
        <v>151</v>
      </c>
      <c r="Q1267" s="177" t="s">
        <v>156</v>
      </c>
      <c r="R1267" s="177" t="s">
        <v>9698</v>
      </c>
      <c r="S1267" s="177"/>
      <c r="T1267" s="177" t="s">
        <v>3319</v>
      </c>
      <c r="U1267" s="177" t="s">
        <v>152</v>
      </c>
      <c r="V1267" s="177" t="s">
        <v>20</v>
      </c>
    </row>
    <row r="1268" spans="2:22">
      <c r="B1268" s="251">
        <v>46233</v>
      </c>
      <c r="C1268" s="251">
        <v>46233</v>
      </c>
      <c r="D1268" s="177" t="s">
        <v>9699</v>
      </c>
      <c r="E1268" s="177">
        <v>260101721407</v>
      </c>
      <c r="F1268" s="177" t="s">
        <v>87</v>
      </c>
      <c r="G1268" s="177" t="s">
        <v>2408</v>
      </c>
      <c r="H1268" s="177">
        <v>92</v>
      </c>
      <c r="I1268" s="177">
        <v>235</v>
      </c>
      <c r="J1268" s="177">
        <v>235</v>
      </c>
      <c r="K1268" s="177">
        <v>134</v>
      </c>
      <c r="L1268" s="253">
        <v>1000</v>
      </c>
      <c r="M1268" s="177" t="s">
        <v>153</v>
      </c>
      <c r="N1268" s="177" t="s">
        <v>149</v>
      </c>
      <c r="O1268" s="177" t="s">
        <v>154</v>
      </c>
      <c r="P1268" s="177" t="s">
        <v>151</v>
      </c>
      <c r="Q1268" s="177" t="s">
        <v>155</v>
      </c>
      <c r="R1268" s="177" t="s">
        <v>9700</v>
      </c>
      <c r="S1268" s="177"/>
      <c r="T1268" s="177" t="s">
        <v>3345</v>
      </c>
      <c r="U1268" s="177" t="s">
        <v>152</v>
      </c>
      <c r="V1268" s="177" t="s">
        <v>18</v>
      </c>
    </row>
    <row r="1269" spans="2:22">
      <c r="B1269" s="251">
        <v>46233</v>
      </c>
      <c r="C1269" s="251">
        <v>46233</v>
      </c>
      <c r="D1269" s="177" t="s">
        <v>9701</v>
      </c>
      <c r="E1269" s="177">
        <v>260101921408</v>
      </c>
      <c r="F1269" s="177" t="s">
        <v>87</v>
      </c>
      <c r="G1269" s="177" t="s">
        <v>2408</v>
      </c>
      <c r="H1269" s="177">
        <v>92</v>
      </c>
      <c r="I1269" s="177">
        <v>201</v>
      </c>
      <c r="J1269" s="177">
        <v>201</v>
      </c>
      <c r="K1269" s="177">
        <v>134</v>
      </c>
      <c r="L1269" s="253">
        <v>850</v>
      </c>
      <c r="M1269" s="177" t="s">
        <v>153</v>
      </c>
      <c r="N1269" s="177" t="s">
        <v>149</v>
      </c>
      <c r="O1269" s="177" t="s">
        <v>154</v>
      </c>
      <c r="P1269" s="177" t="s">
        <v>151</v>
      </c>
      <c r="Q1269" s="177" t="s">
        <v>155</v>
      </c>
      <c r="R1269" s="177" t="s">
        <v>9702</v>
      </c>
      <c r="S1269" s="177"/>
      <c r="T1269" s="177" t="s">
        <v>3345</v>
      </c>
      <c r="U1269" s="177" t="s">
        <v>152</v>
      </c>
      <c r="V1269" s="177" t="s">
        <v>18</v>
      </c>
    </row>
    <row r="1270" spans="2:22">
      <c r="B1270" s="251">
        <v>46233</v>
      </c>
      <c r="C1270" s="251">
        <v>46233</v>
      </c>
      <c r="D1270" s="177" t="s">
        <v>9703</v>
      </c>
      <c r="E1270" s="177">
        <v>260107821230</v>
      </c>
      <c r="F1270" s="177" t="s">
        <v>87</v>
      </c>
      <c r="G1270" s="177" t="s">
        <v>2425</v>
      </c>
      <c r="H1270" s="177">
        <v>135</v>
      </c>
      <c r="I1270" s="177">
        <v>308</v>
      </c>
      <c r="J1270" s="177">
        <v>308</v>
      </c>
      <c r="K1270" s="177">
        <v>92</v>
      </c>
      <c r="L1270" s="253">
        <v>2560</v>
      </c>
      <c r="M1270" s="177" t="s">
        <v>153</v>
      </c>
      <c r="N1270" s="177" t="s">
        <v>149</v>
      </c>
      <c r="O1270" s="177" t="s">
        <v>154</v>
      </c>
      <c r="P1270" s="177" t="s">
        <v>151</v>
      </c>
      <c r="Q1270" s="177" t="s">
        <v>155</v>
      </c>
      <c r="R1270" s="177" t="s">
        <v>9704</v>
      </c>
      <c r="S1270" s="177"/>
      <c r="T1270" s="177" t="s">
        <v>3345</v>
      </c>
      <c r="U1270" s="177" t="s">
        <v>152</v>
      </c>
      <c r="V1270" s="177" t="s">
        <v>18</v>
      </c>
    </row>
    <row r="1271" spans="2:22">
      <c r="B1271" s="251">
        <v>46233</v>
      </c>
      <c r="C1271" s="251">
        <v>46233</v>
      </c>
      <c r="D1271" s="177" t="s">
        <v>9705</v>
      </c>
      <c r="E1271" s="177">
        <v>260103921245</v>
      </c>
      <c r="F1271" s="177" t="s">
        <v>87</v>
      </c>
      <c r="G1271" s="177" t="s">
        <v>2425</v>
      </c>
      <c r="H1271" s="177">
        <v>135</v>
      </c>
      <c r="I1271" s="177">
        <v>202</v>
      </c>
      <c r="J1271" s="177">
        <v>202</v>
      </c>
      <c r="K1271" s="177">
        <v>92</v>
      </c>
      <c r="L1271" s="253">
        <v>1660</v>
      </c>
      <c r="M1271" s="177" t="s">
        <v>153</v>
      </c>
      <c r="N1271" s="177" t="s">
        <v>149</v>
      </c>
      <c r="O1271" s="177" t="s">
        <v>154</v>
      </c>
      <c r="P1271" s="177" t="s">
        <v>151</v>
      </c>
      <c r="Q1271" s="177" t="s">
        <v>155</v>
      </c>
      <c r="R1271" s="177" t="s">
        <v>9706</v>
      </c>
      <c r="S1271" s="177"/>
      <c r="T1271" s="177" t="s">
        <v>3345</v>
      </c>
      <c r="U1271" s="177" t="s">
        <v>152</v>
      </c>
      <c r="V1271" s="177" t="s">
        <v>18</v>
      </c>
    </row>
    <row r="1272" spans="2:22">
      <c r="B1272" s="251">
        <v>46233</v>
      </c>
      <c r="C1272" s="251">
        <v>46233</v>
      </c>
      <c r="D1272" s="177" t="s">
        <v>9707</v>
      </c>
      <c r="E1272" s="177">
        <v>260102021409</v>
      </c>
      <c r="F1272" s="177" t="s">
        <v>87</v>
      </c>
      <c r="G1272" s="177" t="s">
        <v>2408</v>
      </c>
      <c r="H1272" s="177">
        <v>92</v>
      </c>
      <c r="I1272" s="177">
        <v>246</v>
      </c>
      <c r="J1272" s="177">
        <v>246</v>
      </c>
      <c r="K1272" s="177">
        <v>134</v>
      </c>
      <c r="L1272" s="253">
        <v>1040</v>
      </c>
      <c r="M1272" s="177" t="s">
        <v>153</v>
      </c>
      <c r="N1272" s="177" t="s">
        <v>149</v>
      </c>
      <c r="O1272" s="177" t="s">
        <v>154</v>
      </c>
      <c r="P1272" s="177" t="s">
        <v>151</v>
      </c>
      <c r="Q1272" s="177" t="s">
        <v>155</v>
      </c>
      <c r="R1272" s="177" t="s">
        <v>9708</v>
      </c>
      <c r="S1272" s="177"/>
      <c r="T1272" s="177" t="s">
        <v>3345</v>
      </c>
      <c r="U1272" s="177" t="s">
        <v>152</v>
      </c>
      <c r="V1272" s="177" t="s">
        <v>18</v>
      </c>
    </row>
    <row r="1273" spans="2:22">
      <c r="B1273" s="251">
        <v>46233</v>
      </c>
      <c r="C1273" s="251">
        <v>46233</v>
      </c>
      <c r="D1273" s="177" t="s">
        <v>9709</v>
      </c>
      <c r="E1273" s="177" t="s">
        <v>9710</v>
      </c>
      <c r="F1273" s="177" t="s">
        <v>87</v>
      </c>
      <c r="G1273" s="177" t="s">
        <v>9711</v>
      </c>
      <c r="H1273" s="177" t="s">
        <v>2653</v>
      </c>
      <c r="I1273" s="398">
        <v>347</v>
      </c>
      <c r="J1273" s="398">
        <v>347</v>
      </c>
      <c r="K1273" s="177">
        <v>80</v>
      </c>
      <c r="L1273" s="253">
        <v>3950</v>
      </c>
      <c r="M1273" s="177" t="s">
        <v>153</v>
      </c>
      <c r="N1273" s="177" t="s">
        <v>149</v>
      </c>
      <c r="O1273" s="177" t="s">
        <v>154</v>
      </c>
      <c r="P1273" s="177" t="s">
        <v>151</v>
      </c>
      <c r="Q1273" s="177" t="s">
        <v>156</v>
      </c>
      <c r="R1273" s="177" t="s">
        <v>9712</v>
      </c>
      <c r="S1273" s="177"/>
      <c r="T1273" s="177" t="s">
        <v>3345</v>
      </c>
      <c r="U1273" s="177" t="s">
        <v>152</v>
      </c>
      <c r="V1273" s="177" t="s">
        <v>20</v>
      </c>
    </row>
    <row r="1274" spans="2:22">
      <c r="B1274" s="251">
        <v>46233</v>
      </c>
      <c r="C1274" s="251">
        <v>46233</v>
      </c>
      <c r="D1274" s="177" t="s">
        <v>9713</v>
      </c>
      <c r="E1274" s="177">
        <v>260107821341</v>
      </c>
      <c r="F1274" s="177" t="s">
        <v>87</v>
      </c>
      <c r="G1274" s="177" t="s">
        <v>2425</v>
      </c>
      <c r="H1274" s="177">
        <v>135</v>
      </c>
      <c r="I1274" s="177">
        <v>304</v>
      </c>
      <c r="J1274" s="177">
        <v>304</v>
      </c>
      <c r="K1274" s="177">
        <v>92</v>
      </c>
      <c r="L1274" s="253">
        <v>2530</v>
      </c>
      <c r="M1274" s="177" t="s">
        <v>153</v>
      </c>
      <c r="N1274" s="177" t="s">
        <v>149</v>
      </c>
      <c r="O1274" s="177" t="s">
        <v>154</v>
      </c>
      <c r="P1274" s="177" t="s">
        <v>151</v>
      </c>
      <c r="Q1274" s="177" t="s">
        <v>155</v>
      </c>
      <c r="R1274" s="177" t="s">
        <v>9714</v>
      </c>
      <c r="S1274" s="177"/>
      <c r="T1274" s="177" t="s">
        <v>3347</v>
      </c>
      <c r="U1274" s="177" t="s">
        <v>152</v>
      </c>
      <c r="V1274" s="177" t="s">
        <v>18</v>
      </c>
    </row>
    <row r="1275" spans="2:22">
      <c r="B1275" s="251">
        <v>46233</v>
      </c>
      <c r="C1275" s="251">
        <v>46233</v>
      </c>
      <c r="D1275" s="177" t="s">
        <v>9715</v>
      </c>
      <c r="E1275" s="177">
        <v>260103921359</v>
      </c>
      <c r="F1275" s="177" t="s">
        <v>87</v>
      </c>
      <c r="G1275" s="177" t="s">
        <v>2425</v>
      </c>
      <c r="H1275" s="177">
        <v>135</v>
      </c>
      <c r="I1275" s="177">
        <v>232</v>
      </c>
      <c r="J1275" s="177">
        <v>232</v>
      </c>
      <c r="K1275" s="177">
        <v>92</v>
      </c>
      <c r="L1275" s="253">
        <v>1900</v>
      </c>
      <c r="M1275" s="177" t="s">
        <v>153</v>
      </c>
      <c r="N1275" s="177" t="s">
        <v>149</v>
      </c>
      <c r="O1275" s="177" t="s">
        <v>154</v>
      </c>
      <c r="P1275" s="177" t="s">
        <v>151</v>
      </c>
      <c r="Q1275" s="177" t="s">
        <v>155</v>
      </c>
      <c r="R1275" s="177" t="s">
        <v>9716</v>
      </c>
      <c r="S1275" s="177"/>
      <c r="T1275" s="177" t="s">
        <v>3347</v>
      </c>
      <c r="U1275" s="177" t="s">
        <v>152</v>
      </c>
      <c r="V1275" s="177" t="s">
        <v>18</v>
      </c>
    </row>
    <row r="1276" spans="2:22">
      <c r="B1276" s="251">
        <v>46233</v>
      </c>
      <c r="C1276" s="251">
        <v>46233</v>
      </c>
      <c r="D1276" s="177" t="s">
        <v>9717</v>
      </c>
      <c r="E1276" s="177">
        <v>260100421365</v>
      </c>
      <c r="F1276" s="177" t="s">
        <v>87</v>
      </c>
      <c r="G1276" s="177" t="s">
        <v>7130</v>
      </c>
      <c r="H1276" s="177">
        <v>182</v>
      </c>
      <c r="I1276" s="177">
        <v>398</v>
      </c>
      <c r="J1276" s="177">
        <v>398</v>
      </c>
      <c r="K1276" s="177">
        <v>190</v>
      </c>
      <c r="L1276" s="177">
        <v>600</v>
      </c>
      <c r="M1276" s="177" t="s">
        <v>153</v>
      </c>
      <c r="N1276" s="177" t="s">
        <v>149</v>
      </c>
      <c r="O1276" s="177" t="s">
        <v>154</v>
      </c>
      <c r="P1276" s="177" t="s">
        <v>151</v>
      </c>
      <c r="Q1276" s="177" t="s">
        <v>155</v>
      </c>
      <c r="R1276" s="177" t="s">
        <v>9718</v>
      </c>
      <c r="S1276" s="177"/>
      <c r="T1276" s="177" t="s">
        <v>3347</v>
      </c>
      <c r="U1276" s="177" t="s">
        <v>152</v>
      </c>
      <c r="V1276" s="177" t="s">
        <v>18</v>
      </c>
    </row>
    <row r="1277" spans="2:22">
      <c r="B1277" s="251">
        <v>46233</v>
      </c>
      <c r="C1277" s="251">
        <v>46233</v>
      </c>
      <c r="D1277" s="177" t="s">
        <v>9719</v>
      </c>
      <c r="E1277" s="177">
        <v>260100521366</v>
      </c>
      <c r="F1277" s="177" t="s">
        <v>87</v>
      </c>
      <c r="G1277" s="177" t="s">
        <v>8900</v>
      </c>
      <c r="H1277" s="177">
        <v>192</v>
      </c>
      <c r="I1277" s="177">
        <v>324</v>
      </c>
      <c r="J1277" s="177">
        <v>324</v>
      </c>
      <c r="K1277" s="177">
        <v>180</v>
      </c>
      <c r="L1277" s="177">
        <v>500</v>
      </c>
      <c r="M1277" s="177" t="s">
        <v>153</v>
      </c>
      <c r="N1277" s="177" t="s">
        <v>149</v>
      </c>
      <c r="O1277" s="177" t="s">
        <v>154</v>
      </c>
      <c r="P1277" s="177" t="s">
        <v>151</v>
      </c>
      <c r="Q1277" s="177" t="s">
        <v>155</v>
      </c>
      <c r="R1277" s="177" t="s">
        <v>9720</v>
      </c>
      <c r="S1277" s="177"/>
      <c r="T1277" s="177" t="s">
        <v>3347</v>
      </c>
      <c r="U1277" s="177" t="s">
        <v>152</v>
      </c>
      <c r="V1277" s="177" t="s">
        <v>18</v>
      </c>
    </row>
    <row r="1278" spans="2:22">
      <c r="B1278" s="251">
        <v>46233</v>
      </c>
      <c r="C1278" s="251">
        <v>46233</v>
      </c>
      <c r="D1278" s="177" t="s">
        <v>9721</v>
      </c>
      <c r="E1278" s="177">
        <v>260102021372</v>
      </c>
      <c r="F1278" s="177" t="s">
        <v>87</v>
      </c>
      <c r="G1278" s="177" t="s">
        <v>2408</v>
      </c>
      <c r="H1278" s="177">
        <v>92</v>
      </c>
      <c r="I1278" s="177">
        <v>264</v>
      </c>
      <c r="J1278" s="177">
        <v>264</v>
      </c>
      <c r="K1278" s="177">
        <v>134</v>
      </c>
      <c r="L1278" s="253">
        <v>1110</v>
      </c>
      <c r="M1278" s="177" t="s">
        <v>153</v>
      </c>
      <c r="N1278" s="177" t="s">
        <v>149</v>
      </c>
      <c r="O1278" s="177" t="s">
        <v>154</v>
      </c>
      <c r="P1278" s="177" t="s">
        <v>151</v>
      </c>
      <c r="Q1278" s="177" t="s">
        <v>155</v>
      </c>
      <c r="R1278" s="177" t="s">
        <v>9722</v>
      </c>
      <c r="S1278" s="177"/>
      <c r="T1278" s="177" t="s">
        <v>3347</v>
      </c>
      <c r="U1278" s="177" t="s">
        <v>152</v>
      </c>
      <c r="V1278" s="177" t="s">
        <v>18</v>
      </c>
    </row>
    <row r="1279" spans="2:22">
      <c r="B1279" s="251">
        <v>46233</v>
      </c>
      <c r="C1279" s="251">
        <v>46233</v>
      </c>
      <c r="D1279" s="177" t="s">
        <v>9723</v>
      </c>
      <c r="E1279" s="177">
        <v>260105421330</v>
      </c>
      <c r="F1279" s="177" t="s">
        <v>87</v>
      </c>
      <c r="G1279" s="177" t="s">
        <v>2310</v>
      </c>
      <c r="H1279" s="177">
        <v>125</v>
      </c>
      <c r="I1279" s="177">
        <v>130</v>
      </c>
      <c r="J1279" s="177">
        <v>130</v>
      </c>
      <c r="K1279" s="177">
        <v>87</v>
      </c>
      <c r="L1279" s="253">
        <v>1220</v>
      </c>
      <c r="M1279" s="177" t="s">
        <v>153</v>
      </c>
      <c r="N1279" s="177" t="s">
        <v>149</v>
      </c>
      <c r="O1279" s="177" t="s">
        <v>154</v>
      </c>
      <c r="P1279" s="177" t="s">
        <v>151</v>
      </c>
      <c r="Q1279" s="177" t="s">
        <v>155</v>
      </c>
      <c r="R1279" s="177" t="s">
        <v>9724</v>
      </c>
      <c r="S1279" s="177"/>
      <c r="T1279" s="177" t="s">
        <v>3347</v>
      </c>
      <c r="U1279" s="177" t="s">
        <v>152</v>
      </c>
      <c r="V1279" s="177" t="s">
        <v>18</v>
      </c>
    </row>
    <row r="1280" spans="2:22">
      <c r="B1280" s="251">
        <v>46233</v>
      </c>
      <c r="C1280" s="251">
        <v>46233</v>
      </c>
      <c r="D1280" s="177" t="s">
        <v>9725</v>
      </c>
      <c r="E1280" s="177">
        <v>260103821362</v>
      </c>
      <c r="F1280" s="177" t="s">
        <v>87</v>
      </c>
      <c r="G1280" s="177" t="s">
        <v>859</v>
      </c>
      <c r="H1280" s="177">
        <v>182</v>
      </c>
      <c r="I1280" s="177">
        <v>300</v>
      </c>
      <c r="J1280" s="177">
        <v>300</v>
      </c>
      <c r="K1280" s="177">
        <v>104</v>
      </c>
      <c r="L1280" s="253">
        <v>1570</v>
      </c>
      <c r="M1280" s="177" t="s">
        <v>153</v>
      </c>
      <c r="N1280" s="177" t="s">
        <v>149</v>
      </c>
      <c r="O1280" s="177" t="s">
        <v>154</v>
      </c>
      <c r="P1280" s="177" t="s">
        <v>151</v>
      </c>
      <c r="Q1280" s="177" t="s">
        <v>155</v>
      </c>
      <c r="R1280" s="177" t="s">
        <v>9726</v>
      </c>
      <c r="S1280" s="177"/>
      <c r="T1280" s="177" t="s">
        <v>3347</v>
      </c>
      <c r="U1280" s="177" t="s">
        <v>152</v>
      </c>
      <c r="V1280" s="177" t="s">
        <v>18</v>
      </c>
    </row>
    <row r="1281" spans="2:22">
      <c r="B1281" s="251">
        <v>46233</v>
      </c>
      <c r="C1281" s="251">
        <v>46233</v>
      </c>
      <c r="D1281" s="177" t="s">
        <v>9727</v>
      </c>
      <c r="E1281" s="177">
        <v>260102821325</v>
      </c>
      <c r="F1281" s="177" t="s">
        <v>87</v>
      </c>
      <c r="G1281" s="177" t="s">
        <v>2554</v>
      </c>
      <c r="H1281" s="177">
        <v>102</v>
      </c>
      <c r="I1281" s="177">
        <v>238</v>
      </c>
      <c r="J1281" s="177">
        <v>238</v>
      </c>
      <c r="K1281" s="177">
        <v>125</v>
      </c>
      <c r="L1281" s="253">
        <v>1000</v>
      </c>
      <c r="M1281" s="177" t="s">
        <v>153</v>
      </c>
      <c r="N1281" s="177" t="s">
        <v>149</v>
      </c>
      <c r="O1281" s="177" t="s">
        <v>154</v>
      </c>
      <c r="P1281" s="177" t="s">
        <v>151</v>
      </c>
      <c r="Q1281" s="177" t="s">
        <v>155</v>
      </c>
      <c r="R1281" s="177" t="s">
        <v>9728</v>
      </c>
      <c r="S1281" s="177"/>
      <c r="T1281" s="177" t="s">
        <v>3347</v>
      </c>
      <c r="U1281" s="177" t="s">
        <v>152</v>
      </c>
      <c r="V1281" s="177" t="s">
        <v>18</v>
      </c>
    </row>
    <row r="1282" spans="2:22">
      <c r="B1282" s="251">
        <v>46233</v>
      </c>
      <c r="C1282" s="251">
        <v>46233</v>
      </c>
      <c r="D1282" s="177" t="s">
        <v>9729</v>
      </c>
      <c r="E1282" s="177">
        <v>260107021345</v>
      </c>
      <c r="F1282" s="177" t="s">
        <v>87</v>
      </c>
      <c r="G1282" s="177" t="s">
        <v>2310</v>
      </c>
      <c r="H1282" s="177">
        <v>125</v>
      </c>
      <c r="I1282" s="177">
        <v>260</v>
      </c>
      <c r="J1282" s="177">
        <v>260</v>
      </c>
      <c r="K1282" s="177">
        <v>87</v>
      </c>
      <c r="L1282" s="253">
        <v>2480</v>
      </c>
      <c r="M1282" s="177" t="s">
        <v>153</v>
      </c>
      <c r="N1282" s="177" t="s">
        <v>149</v>
      </c>
      <c r="O1282" s="177" t="s">
        <v>154</v>
      </c>
      <c r="P1282" s="177" t="s">
        <v>151</v>
      </c>
      <c r="Q1282" s="177" t="s">
        <v>155</v>
      </c>
      <c r="R1282" s="177" t="s">
        <v>9730</v>
      </c>
      <c r="S1282" s="177"/>
      <c r="T1282" s="177" t="s">
        <v>3347</v>
      </c>
      <c r="U1282" s="177" t="s">
        <v>152</v>
      </c>
      <c r="V1282" s="177" t="s">
        <v>18</v>
      </c>
    </row>
    <row r="1283" spans="2:22">
      <c r="B1283" s="251">
        <v>46233</v>
      </c>
      <c r="C1283" s="251">
        <v>46233</v>
      </c>
      <c r="D1283" s="177" t="s">
        <v>9731</v>
      </c>
      <c r="E1283" s="177">
        <v>260102921355</v>
      </c>
      <c r="F1283" s="177" t="s">
        <v>87</v>
      </c>
      <c r="G1283" s="177" t="s">
        <v>859</v>
      </c>
      <c r="H1283" s="177">
        <v>152</v>
      </c>
      <c r="I1283" s="177">
        <v>279</v>
      </c>
      <c r="J1283" s="177">
        <v>279</v>
      </c>
      <c r="K1283" s="177">
        <v>104</v>
      </c>
      <c r="L1283" s="253">
        <v>1840</v>
      </c>
      <c r="M1283" s="177" t="s">
        <v>153</v>
      </c>
      <c r="N1283" s="177" t="s">
        <v>149</v>
      </c>
      <c r="O1283" s="177" t="s">
        <v>154</v>
      </c>
      <c r="P1283" s="177" t="s">
        <v>151</v>
      </c>
      <c r="Q1283" s="177" t="s">
        <v>155</v>
      </c>
      <c r="R1283" s="177" t="s">
        <v>9732</v>
      </c>
      <c r="S1283" s="177"/>
      <c r="T1283" s="177" t="s">
        <v>3347</v>
      </c>
      <c r="U1283" s="177" t="s">
        <v>152</v>
      </c>
      <c r="V1283" s="177" t="s">
        <v>18</v>
      </c>
    </row>
    <row r="1284" spans="2:22">
      <c r="B1284" s="251">
        <v>46233</v>
      </c>
      <c r="C1284" s="251">
        <v>46233</v>
      </c>
      <c r="D1284" s="177" t="s">
        <v>9733</v>
      </c>
      <c r="E1284" s="177">
        <v>260103821361</v>
      </c>
      <c r="F1284" s="177" t="s">
        <v>87</v>
      </c>
      <c r="G1284" s="177" t="s">
        <v>859</v>
      </c>
      <c r="H1284" s="177">
        <v>182</v>
      </c>
      <c r="I1284" s="177">
        <v>291</v>
      </c>
      <c r="J1284" s="177">
        <v>291</v>
      </c>
      <c r="K1284" s="177">
        <v>104</v>
      </c>
      <c r="L1284" s="253">
        <v>1570</v>
      </c>
      <c r="M1284" s="177" t="s">
        <v>153</v>
      </c>
      <c r="N1284" s="177" t="s">
        <v>149</v>
      </c>
      <c r="O1284" s="177" t="s">
        <v>154</v>
      </c>
      <c r="P1284" s="177" t="s">
        <v>151</v>
      </c>
      <c r="Q1284" s="177" t="s">
        <v>155</v>
      </c>
      <c r="R1284" s="177" t="s">
        <v>9734</v>
      </c>
      <c r="S1284" s="177"/>
      <c r="T1284" s="177" t="s">
        <v>3347</v>
      </c>
      <c r="U1284" s="177" t="s">
        <v>152</v>
      </c>
      <c r="V1284" s="177" t="s">
        <v>18</v>
      </c>
    </row>
    <row r="1285" spans="2:22">
      <c r="B1285" s="251">
        <v>46233</v>
      </c>
      <c r="C1285" s="251">
        <v>46233</v>
      </c>
      <c r="D1285" s="177" t="s">
        <v>9735</v>
      </c>
      <c r="E1285" s="177">
        <v>260101921371</v>
      </c>
      <c r="F1285" s="177" t="s">
        <v>87</v>
      </c>
      <c r="G1285" s="177" t="s">
        <v>2408</v>
      </c>
      <c r="H1285" s="177">
        <v>92</v>
      </c>
      <c r="I1285" s="177">
        <v>237</v>
      </c>
      <c r="J1285" s="177">
        <v>237</v>
      </c>
      <c r="K1285" s="177">
        <v>134</v>
      </c>
      <c r="L1285" s="253">
        <v>1000</v>
      </c>
      <c r="M1285" s="177" t="s">
        <v>153</v>
      </c>
      <c r="N1285" s="177" t="s">
        <v>149</v>
      </c>
      <c r="O1285" s="177" t="s">
        <v>154</v>
      </c>
      <c r="P1285" s="177" t="s">
        <v>151</v>
      </c>
      <c r="Q1285" s="177" t="s">
        <v>155</v>
      </c>
      <c r="R1285" s="177" t="s">
        <v>9736</v>
      </c>
      <c r="S1285" s="177"/>
      <c r="T1285" s="177" t="s">
        <v>3347</v>
      </c>
      <c r="U1285" s="177" t="s">
        <v>152</v>
      </c>
      <c r="V1285" s="177" t="s">
        <v>18</v>
      </c>
    </row>
    <row r="1286" spans="2:22">
      <c r="B1286" s="251">
        <v>46233</v>
      </c>
      <c r="C1286" s="251">
        <v>46233</v>
      </c>
      <c r="D1286" s="177" t="s">
        <v>9737</v>
      </c>
      <c r="E1286" s="177">
        <v>260102621326</v>
      </c>
      <c r="F1286" s="177" t="s">
        <v>87</v>
      </c>
      <c r="G1286" s="177" t="s">
        <v>2554</v>
      </c>
      <c r="H1286" s="177">
        <v>102</v>
      </c>
      <c r="I1286" s="177">
        <v>245</v>
      </c>
      <c r="J1286" s="177">
        <v>245</v>
      </c>
      <c r="K1286" s="177">
        <v>125</v>
      </c>
      <c r="L1286" s="253">
        <v>1000</v>
      </c>
      <c r="M1286" s="177" t="s">
        <v>153</v>
      </c>
      <c r="N1286" s="177" t="s">
        <v>149</v>
      </c>
      <c r="O1286" s="177" t="s">
        <v>154</v>
      </c>
      <c r="P1286" s="177" t="s">
        <v>151</v>
      </c>
      <c r="Q1286" s="177" t="s">
        <v>155</v>
      </c>
      <c r="R1286" s="177" t="s">
        <v>9738</v>
      </c>
      <c r="S1286" s="177"/>
      <c r="T1286" s="177" t="s">
        <v>3347</v>
      </c>
      <c r="U1286" s="177" t="s">
        <v>152</v>
      </c>
      <c r="V1286" s="177" t="s">
        <v>18</v>
      </c>
    </row>
    <row r="1287" spans="2:22">
      <c r="B1287" s="251">
        <v>46233</v>
      </c>
      <c r="C1287" s="251">
        <v>46233</v>
      </c>
      <c r="D1287" s="177" t="s">
        <v>9739</v>
      </c>
      <c r="E1287" s="177">
        <v>260104721332</v>
      </c>
      <c r="F1287" s="177" t="s">
        <v>87</v>
      </c>
      <c r="G1287" s="177" t="s">
        <v>9321</v>
      </c>
      <c r="H1287" s="177">
        <v>212</v>
      </c>
      <c r="I1287" s="177">
        <v>270</v>
      </c>
      <c r="J1287" s="177">
        <v>270</v>
      </c>
      <c r="K1287" s="177">
        <v>100</v>
      </c>
      <c r="L1287" s="253">
        <v>1315</v>
      </c>
      <c r="M1287" s="177" t="s">
        <v>153</v>
      </c>
      <c r="N1287" s="177" t="s">
        <v>149</v>
      </c>
      <c r="O1287" s="177" t="s">
        <v>154</v>
      </c>
      <c r="P1287" s="177" t="s">
        <v>151</v>
      </c>
      <c r="Q1287" s="177" t="s">
        <v>155</v>
      </c>
      <c r="R1287" s="177" t="s">
        <v>9740</v>
      </c>
      <c r="S1287" s="177"/>
      <c r="T1287" s="177" t="s">
        <v>3347</v>
      </c>
      <c r="U1287" s="177" t="s">
        <v>152</v>
      </c>
      <c r="V1287" s="177" t="s">
        <v>18</v>
      </c>
    </row>
    <row r="1288" spans="2:22">
      <c r="B1288" s="251">
        <v>46233</v>
      </c>
      <c r="C1288" s="251">
        <v>46233</v>
      </c>
      <c r="D1288" s="177" t="s">
        <v>9741</v>
      </c>
      <c r="E1288" s="177">
        <v>260106921343</v>
      </c>
      <c r="F1288" s="177" t="s">
        <v>87</v>
      </c>
      <c r="G1288" s="177" t="s">
        <v>9649</v>
      </c>
      <c r="H1288" s="177">
        <v>125</v>
      </c>
      <c r="I1288" s="177">
        <v>342</v>
      </c>
      <c r="J1288" s="177">
        <v>342</v>
      </c>
      <c r="K1288" s="177">
        <v>116</v>
      </c>
      <c r="L1288" s="253">
        <v>2350</v>
      </c>
      <c r="M1288" s="177" t="s">
        <v>153</v>
      </c>
      <c r="N1288" s="177" t="s">
        <v>149</v>
      </c>
      <c r="O1288" s="177" t="s">
        <v>154</v>
      </c>
      <c r="P1288" s="177" t="s">
        <v>151</v>
      </c>
      <c r="Q1288" s="177" t="s">
        <v>155</v>
      </c>
      <c r="R1288" s="177" t="s">
        <v>9742</v>
      </c>
      <c r="S1288" s="177"/>
      <c r="T1288" s="177" t="s">
        <v>3347</v>
      </c>
      <c r="U1288" s="177" t="s">
        <v>152</v>
      </c>
      <c r="V1288" s="177" t="s">
        <v>18</v>
      </c>
    </row>
    <row r="1289" spans="2:22">
      <c r="B1289" s="251">
        <v>46233</v>
      </c>
      <c r="C1289" s="251">
        <v>46233</v>
      </c>
      <c r="D1289" s="177" t="s">
        <v>9743</v>
      </c>
      <c r="E1289" s="177">
        <v>260100921310</v>
      </c>
      <c r="F1289" s="177" t="s">
        <v>87</v>
      </c>
      <c r="G1289" s="177" t="s">
        <v>7130</v>
      </c>
      <c r="H1289" s="177">
        <v>182</v>
      </c>
      <c r="I1289" s="177">
        <v>353</v>
      </c>
      <c r="J1289" s="177">
        <v>353</v>
      </c>
      <c r="K1289" s="177">
        <v>190</v>
      </c>
      <c r="L1289" s="177">
        <v>530</v>
      </c>
      <c r="M1289" s="177" t="s">
        <v>153</v>
      </c>
      <c r="N1289" s="177" t="s">
        <v>149</v>
      </c>
      <c r="O1289" s="177" t="s">
        <v>154</v>
      </c>
      <c r="P1289" s="177" t="s">
        <v>151</v>
      </c>
      <c r="Q1289" s="177" t="s">
        <v>155</v>
      </c>
      <c r="R1289" s="177" t="s">
        <v>9744</v>
      </c>
      <c r="S1289" s="177"/>
      <c r="T1289" s="177" t="s">
        <v>3347</v>
      </c>
      <c r="U1289" s="177" t="s">
        <v>152</v>
      </c>
      <c r="V1289" s="177" t="s">
        <v>18</v>
      </c>
    </row>
    <row r="1290" spans="2:22">
      <c r="B1290" s="251">
        <v>46233</v>
      </c>
      <c r="C1290" s="251">
        <v>46233</v>
      </c>
      <c r="D1290" s="177" t="s">
        <v>9745</v>
      </c>
      <c r="E1290" s="177">
        <v>260100921363</v>
      </c>
      <c r="F1290" s="177" t="s">
        <v>87</v>
      </c>
      <c r="G1290" s="177" t="s">
        <v>7130</v>
      </c>
      <c r="H1290" s="177">
        <v>182</v>
      </c>
      <c r="I1290" s="177">
        <v>393</v>
      </c>
      <c r="J1290" s="177">
        <v>393</v>
      </c>
      <c r="K1290" s="177">
        <v>190</v>
      </c>
      <c r="L1290" s="177">
        <v>590</v>
      </c>
      <c r="M1290" s="177" t="s">
        <v>153</v>
      </c>
      <c r="N1290" s="177" t="s">
        <v>149</v>
      </c>
      <c r="O1290" s="177" t="s">
        <v>154</v>
      </c>
      <c r="P1290" s="177" t="s">
        <v>151</v>
      </c>
      <c r="Q1290" s="177" t="s">
        <v>155</v>
      </c>
      <c r="R1290" s="177" t="s">
        <v>9746</v>
      </c>
      <c r="S1290" s="177"/>
      <c r="T1290" s="177" t="s">
        <v>3347</v>
      </c>
      <c r="U1290" s="177" t="s">
        <v>152</v>
      </c>
      <c r="V1290" s="177" t="s">
        <v>18</v>
      </c>
    </row>
    <row r="1291" spans="2:22">
      <c r="B1291" s="251">
        <v>46233</v>
      </c>
      <c r="C1291" s="251">
        <v>46233</v>
      </c>
      <c r="D1291" s="177" t="s">
        <v>9747</v>
      </c>
      <c r="E1291" s="177">
        <v>260107321333</v>
      </c>
      <c r="F1291" s="177" t="s">
        <v>87</v>
      </c>
      <c r="G1291" s="177" t="s">
        <v>859</v>
      </c>
      <c r="H1291" s="177">
        <v>152</v>
      </c>
      <c r="I1291" s="177">
        <v>212</v>
      </c>
      <c r="J1291" s="177">
        <v>212</v>
      </c>
      <c r="K1291" s="177">
        <v>104</v>
      </c>
      <c r="L1291" s="253">
        <v>1400</v>
      </c>
      <c r="M1291" s="177" t="s">
        <v>153</v>
      </c>
      <c r="N1291" s="177" t="s">
        <v>149</v>
      </c>
      <c r="O1291" s="177" t="s">
        <v>154</v>
      </c>
      <c r="P1291" s="177" t="s">
        <v>151</v>
      </c>
      <c r="Q1291" s="177" t="s">
        <v>155</v>
      </c>
      <c r="R1291" s="177" t="s">
        <v>9748</v>
      </c>
      <c r="S1291" s="177"/>
      <c r="T1291" s="177" t="s">
        <v>3347</v>
      </c>
      <c r="U1291" s="177" t="s">
        <v>152</v>
      </c>
      <c r="V1291" s="177" t="s">
        <v>18</v>
      </c>
    </row>
    <row r="1292" spans="2:22">
      <c r="B1292" s="251">
        <v>46233</v>
      </c>
      <c r="C1292" s="251">
        <v>46233</v>
      </c>
      <c r="D1292" s="177" t="s">
        <v>9749</v>
      </c>
      <c r="E1292" s="177">
        <v>260103921360</v>
      </c>
      <c r="F1292" s="177" t="s">
        <v>87</v>
      </c>
      <c r="G1292" s="177" t="s">
        <v>2425</v>
      </c>
      <c r="H1292" s="177">
        <v>135</v>
      </c>
      <c r="I1292" s="177">
        <v>234</v>
      </c>
      <c r="J1292" s="177">
        <v>234</v>
      </c>
      <c r="K1292" s="177">
        <v>92</v>
      </c>
      <c r="L1292" s="253">
        <v>1900</v>
      </c>
      <c r="M1292" s="177" t="s">
        <v>153</v>
      </c>
      <c r="N1292" s="177" t="s">
        <v>149</v>
      </c>
      <c r="O1292" s="177" t="s">
        <v>154</v>
      </c>
      <c r="P1292" s="177" t="s">
        <v>151</v>
      </c>
      <c r="Q1292" s="177" t="s">
        <v>155</v>
      </c>
      <c r="R1292" s="177" t="s">
        <v>9750</v>
      </c>
      <c r="S1292" s="177"/>
      <c r="T1292" s="177" t="s">
        <v>3347</v>
      </c>
      <c r="U1292" s="177" t="s">
        <v>152</v>
      </c>
      <c r="V1292" s="177" t="s">
        <v>18</v>
      </c>
    </row>
    <row r="1293" spans="2:22">
      <c r="B1293" s="251">
        <v>46233</v>
      </c>
      <c r="C1293" s="251">
        <v>46233</v>
      </c>
      <c r="D1293" s="177" t="s">
        <v>9751</v>
      </c>
      <c r="E1293" s="177">
        <v>260102721367</v>
      </c>
      <c r="F1293" s="177" t="s">
        <v>87</v>
      </c>
      <c r="G1293" s="177" t="s">
        <v>9311</v>
      </c>
      <c r="H1293" s="177">
        <v>112</v>
      </c>
      <c r="I1293" s="177">
        <v>270</v>
      </c>
      <c r="J1293" s="177">
        <v>270</v>
      </c>
      <c r="K1293" s="177">
        <v>126</v>
      </c>
      <c r="L1293" s="253">
        <v>1000</v>
      </c>
      <c r="M1293" s="177" t="s">
        <v>153</v>
      </c>
      <c r="N1293" s="177" t="s">
        <v>149</v>
      </c>
      <c r="O1293" s="177" t="s">
        <v>154</v>
      </c>
      <c r="P1293" s="177" t="s">
        <v>151</v>
      </c>
      <c r="Q1293" s="177" t="s">
        <v>155</v>
      </c>
      <c r="R1293" s="177" t="s">
        <v>9752</v>
      </c>
      <c r="S1293" s="177"/>
      <c r="T1293" s="177" t="s">
        <v>3347</v>
      </c>
      <c r="U1293" s="177" t="s">
        <v>152</v>
      </c>
      <c r="V1293" s="177" t="s">
        <v>18</v>
      </c>
    </row>
    <row r="1294" spans="2:22">
      <c r="B1294" s="251">
        <v>46233</v>
      </c>
      <c r="C1294" s="251">
        <v>46233</v>
      </c>
      <c r="D1294" s="177" t="s">
        <v>9753</v>
      </c>
      <c r="E1294" s="177">
        <v>260101621368</v>
      </c>
      <c r="F1294" s="177" t="s">
        <v>87</v>
      </c>
      <c r="G1294" s="177" t="s">
        <v>2120</v>
      </c>
      <c r="H1294" s="177">
        <v>112</v>
      </c>
      <c r="I1294" s="177">
        <v>313</v>
      </c>
      <c r="J1294" s="177">
        <v>313</v>
      </c>
      <c r="K1294" s="177">
        <v>180</v>
      </c>
      <c r="L1294" s="177">
        <v>800</v>
      </c>
      <c r="M1294" s="177" t="s">
        <v>153</v>
      </c>
      <c r="N1294" s="177" t="s">
        <v>149</v>
      </c>
      <c r="O1294" s="177" t="s">
        <v>154</v>
      </c>
      <c r="P1294" s="177" t="s">
        <v>151</v>
      </c>
      <c r="Q1294" s="177" t="s">
        <v>155</v>
      </c>
      <c r="R1294" s="177" t="s">
        <v>9754</v>
      </c>
      <c r="S1294" s="177"/>
      <c r="T1294" s="177" t="s">
        <v>3347</v>
      </c>
      <c r="U1294" s="177" t="s">
        <v>152</v>
      </c>
      <c r="V1294" s="177" t="s">
        <v>18</v>
      </c>
    </row>
    <row r="1295" spans="2:22">
      <c r="B1295" s="251">
        <v>46233</v>
      </c>
      <c r="C1295" s="251">
        <v>46233</v>
      </c>
      <c r="D1295" s="177" t="s">
        <v>9755</v>
      </c>
      <c r="E1295" s="177">
        <v>260100521319</v>
      </c>
      <c r="F1295" s="177" t="s">
        <v>87</v>
      </c>
      <c r="G1295" s="177" t="s">
        <v>8900</v>
      </c>
      <c r="H1295" s="177">
        <v>192</v>
      </c>
      <c r="I1295" s="177">
        <v>335</v>
      </c>
      <c r="J1295" s="177">
        <v>335</v>
      </c>
      <c r="K1295" s="177">
        <v>180</v>
      </c>
      <c r="L1295" s="177">
        <v>500</v>
      </c>
      <c r="M1295" s="177" t="s">
        <v>153</v>
      </c>
      <c r="N1295" s="177" t="s">
        <v>149</v>
      </c>
      <c r="O1295" s="177" t="s">
        <v>154</v>
      </c>
      <c r="P1295" s="177" t="s">
        <v>151</v>
      </c>
      <c r="Q1295" s="177" t="s">
        <v>155</v>
      </c>
      <c r="R1295" s="177" t="s">
        <v>9756</v>
      </c>
      <c r="S1295" s="177"/>
      <c r="T1295" s="177" t="s">
        <v>3347</v>
      </c>
      <c r="U1295" s="177" t="s">
        <v>152</v>
      </c>
      <c r="V1295" s="177" t="s">
        <v>18</v>
      </c>
    </row>
    <row r="1296" spans="2:22">
      <c r="B1296" s="251">
        <v>46233</v>
      </c>
      <c r="C1296" s="251">
        <v>46233</v>
      </c>
      <c r="D1296" s="177" t="s">
        <v>9757</v>
      </c>
      <c r="E1296" s="177">
        <v>260106121351</v>
      </c>
      <c r="F1296" s="177" t="s">
        <v>87</v>
      </c>
      <c r="G1296" s="177" t="s">
        <v>2310</v>
      </c>
      <c r="H1296" s="177">
        <v>125</v>
      </c>
      <c r="I1296" s="177">
        <v>222</v>
      </c>
      <c r="J1296" s="177">
        <v>222</v>
      </c>
      <c r="K1296" s="177">
        <v>87</v>
      </c>
      <c r="L1296" s="253">
        <v>2110</v>
      </c>
      <c r="M1296" s="177" t="s">
        <v>153</v>
      </c>
      <c r="N1296" s="177" t="s">
        <v>149</v>
      </c>
      <c r="O1296" s="177" t="s">
        <v>154</v>
      </c>
      <c r="P1296" s="177" t="s">
        <v>151</v>
      </c>
      <c r="Q1296" s="177" t="s">
        <v>155</v>
      </c>
      <c r="R1296" s="177" t="s">
        <v>9758</v>
      </c>
      <c r="S1296" s="177"/>
      <c r="T1296" s="177" t="s">
        <v>3347</v>
      </c>
      <c r="U1296" s="177" t="s">
        <v>152</v>
      </c>
      <c r="V1296" s="177" t="s">
        <v>18</v>
      </c>
    </row>
    <row r="1297" spans="2:22">
      <c r="B1297" s="251">
        <v>46233</v>
      </c>
      <c r="C1297" s="251">
        <v>46233</v>
      </c>
      <c r="D1297" s="177" t="s">
        <v>9759</v>
      </c>
      <c r="E1297" s="177">
        <v>260100721364</v>
      </c>
      <c r="F1297" s="177" t="s">
        <v>87</v>
      </c>
      <c r="G1297" s="177" t="s">
        <v>2120</v>
      </c>
      <c r="H1297" s="177">
        <v>122</v>
      </c>
      <c r="I1297" s="177">
        <v>344</v>
      </c>
      <c r="J1297" s="177">
        <v>344</v>
      </c>
      <c r="K1297" s="177">
        <v>180</v>
      </c>
      <c r="L1297" s="177">
        <v>800</v>
      </c>
      <c r="M1297" s="177" t="s">
        <v>153</v>
      </c>
      <c r="N1297" s="177" t="s">
        <v>149</v>
      </c>
      <c r="O1297" s="177" t="s">
        <v>154</v>
      </c>
      <c r="P1297" s="177" t="s">
        <v>151</v>
      </c>
      <c r="Q1297" s="177" t="s">
        <v>155</v>
      </c>
      <c r="R1297" s="177" t="s">
        <v>9760</v>
      </c>
      <c r="S1297" s="177"/>
      <c r="T1297" s="177" t="s">
        <v>3347</v>
      </c>
      <c r="U1297" s="177" t="s">
        <v>152</v>
      </c>
      <c r="V1297" s="177" t="s">
        <v>18</v>
      </c>
    </row>
    <row r="1298" spans="2:22">
      <c r="B1298" s="251">
        <v>46233</v>
      </c>
      <c r="C1298" s="251">
        <v>46233</v>
      </c>
      <c r="D1298" s="177" t="s">
        <v>9761</v>
      </c>
      <c r="E1298" s="177">
        <v>260101821320</v>
      </c>
      <c r="F1298" s="177" t="s">
        <v>87</v>
      </c>
      <c r="G1298" s="177" t="s">
        <v>2648</v>
      </c>
      <c r="H1298" s="177">
        <v>142</v>
      </c>
      <c r="I1298" s="177">
        <v>278</v>
      </c>
      <c r="J1298" s="177">
        <v>278</v>
      </c>
      <c r="K1298" s="177">
        <v>140</v>
      </c>
      <c r="L1298" s="177">
        <v>700</v>
      </c>
      <c r="M1298" s="177" t="s">
        <v>153</v>
      </c>
      <c r="N1298" s="177" t="s">
        <v>149</v>
      </c>
      <c r="O1298" s="177" t="s">
        <v>154</v>
      </c>
      <c r="P1298" s="177" t="s">
        <v>151</v>
      </c>
      <c r="Q1298" s="177" t="s">
        <v>155</v>
      </c>
      <c r="R1298" s="177" t="s">
        <v>9762</v>
      </c>
      <c r="S1298" s="177"/>
      <c r="T1298" s="177" t="s">
        <v>3347</v>
      </c>
      <c r="U1298" s="177" t="s">
        <v>152</v>
      </c>
      <c r="V1298" s="177" t="s">
        <v>18</v>
      </c>
    </row>
    <row r="1299" spans="2:22">
      <c r="B1299" s="251">
        <v>46233</v>
      </c>
      <c r="C1299" s="251">
        <v>46233</v>
      </c>
      <c r="D1299" s="177" t="s">
        <v>9763</v>
      </c>
      <c r="E1299" s="177">
        <v>260105721327</v>
      </c>
      <c r="F1299" s="177" t="s">
        <v>87</v>
      </c>
      <c r="G1299" s="177" t="s">
        <v>2561</v>
      </c>
      <c r="H1299" s="177">
        <v>142</v>
      </c>
      <c r="I1299" s="177">
        <v>176</v>
      </c>
      <c r="J1299" s="177">
        <v>176</v>
      </c>
      <c r="K1299" s="177">
        <v>67</v>
      </c>
      <c r="L1299" s="253">
        <v>1860</v>
      </c>
      <c r="M1299" s="177" t="s">
        <v>153</v>
      </c>
      <c r="N1299" s="177" t="s">
        <v>149</v>
      </c>
      <c r="O1299" s="177" t="s">
        <v>154</v>
      </c>
      <c r="P1299" s="177" t="s">
        <v>151</v>
      </c>
      <c r="Q1299" s="177" t="s">
        <v>155</v>
      </c>
      <c r="R1299" s="177" t="s">
        <v>9764</v>
      </c>
      <c r="S1299" s="177"/>
      <c r="T1299" s="177" t="s">
        <v>3347</v>
      </c>
      <c r="U1299" s="177" t="s">
        <v>152</v>
      </c>
      <c r="V1299" s="177" t="s">
        <v>18</v>
      </c>
    </row>
    <row r="1300" spans="2:22">
      <c r="B1300" s="251">
        <v>46233</v>
      </c>
      <c r="C1300" s="251">
        <v>46233</v>
      </c>
      <c r="D1300" s="177" t="s">
        <v>9765</v>
      </c>
      <c r="E1300" s="177">
        <v>260101721370</v>
      </c>
      <c r="F1300" s="177" t="s">
        <v>87</v>
      </c>
      <c r="G1300" s="177" t="s">
        <v>2408</v>
      </c>
      <c r="H1300" s="177">
        <v>92</v>
      </c>
      <c r="I1300" s="177">
        <v>246</v>
      </c>
      <c r="J1300" s="177">
        <v>246</v>
      </c>
      <c r="K1300" s="177">
        <v>134</v>
      </c>
      <c r="L1300" s="253">
        <v>1030</v>
      </c>
      <c r="M1300" s="177" t="s">
        <v>153</v>
      </c>
      <c r="N1300" s="177" t="s">
        <v>149</v>
      </c>
      <c r="O1300" s="177" t="s">
        <v>154</v>
      </c>
      <c r="P1300" s="177" t="s">
        <v>151</v>
      </c>
      <c r="Q1300" s="177" t="s">
        <v>155</v>
      </c>
      <c r="R1300" s="177" t="s">
        <v>9766</v>
      </c>
      <c r="S1300" s="177"/>
      <c r="T1300" s="177" t="s">
        <v>3347</v>
      </c>
      <c r="U1300" s="177" t="s">
        <v>152</v>
      </c>
      <c r="V1300" s="177" t="s">
        <v>18</v>
      </c>
    </row>
    <row r="1301" spans="2:22">
      <c r="B1301" s="251">
        <v>46233</v>
      </c>
      <c r="C1301" s="251">
        <v>46233</v>
      </c>
      <c r="D1301" s="177" t="s">
        <v>9767</v>
      </c>
      <c r="E1301" s="177">
        <v>260105021353</v>
      </c>
      <c r="F1301" s="177" t="s">
        <v>87</v>
      </c>
      <c r="G1301" s="177" t="s">
        <v>2641</v>
      </c>
      <c r="H1301" s="177">
        <v>162</v>
      </c>
      <c r="I1301" s="177">
        <v>240</v>
      </c>
      <c r="J1301" s="177">
        <v>240</v>
      </c>
      <c r="K1301" s="177">
        <v>102</v>
      </c>
      <c r="L1301" s="253">
        <v>1500</v>
      </c>
      <c r="M1301" s="177" t="s">
        <v>153</v>
      </c>
      <c r="N1301" s="177" t="s">
        <v>149</v>
      </c>
      <c r="O1301" s="177" t="s">
        <v>154</v>
      </c>
      <c r="P1301" s="177" t="s">
        <v>151</v>
      </c>
      <c r="Q1301" s="177" t="s">
        <v>155</v>
      </c>
      <c r="R1301" s="177" t="s">
        <v>9768</v>
      </c>
      <c r="S1301" s="177"/>
      <c r="T1301" s="177" t="s">
        <v>3347</v>
      </c>
      <c r="U1301" s="177" t="s">
        <v>152</v>
      </c>
      <c r="V1301" s="177" t="s">
        <v>18</v>
      </c>
    </row>
    <row r="1302" spans="2:22">
      <c r="B1302" s="251">
        <v>46233</v>
      </c>
      <c r="C1302" s="251">
        <v>46233</v>
      </c>
      <c r="D1302" s="177" t="s">
        <v>9769</v>
      </c>
      <c r="E1302" s="177" t="s">
        <v>9770</v>
      </c>
      <c r="F1302" s="177" t="s">
        <v>87</v>
      </c>
      <c r="G1302" s="177" t="s">
        <v>2515</v>
      </c>
      <c r="H1302" s="177" t="s">
        <v>661</v>
      </c>
      <c r="I1302" s="177">
        <v>39</v>
      </c>
      <c r="J1302" s="177">
        <v>39</v>
      </c>
      <c r="K1302" s="177">
        <v>30</v>
      </c>
      <c r="L1302" s="253">
        <v>1200</v>
      </c>
      <c r="M1302" s="177" t="s">
        <v>153</v>
      </c>
      <c r="N1302" s="177" t="s">
        <v>149</v>
      </c>
      <c r="O1302" s="177" t="s">
        <v>154</v>
      </c>
      <c r="P1302" s="177" t="s">
        <v>151</v>
      </c>
      <c r="Q1302" s="177" t="s">
        <v>156</v>
      </c>
      <c r="R1302" s="177" t="s">
        <v>9771</v>
      </c>
      <c r="S1302" s="177"/>
      <c r="T1302" s="177" t="s">
        <v>3347</v>
      </c>
      <c r="U1302" s="177" t="s">
        <v>152</v>
      </c>
      <c r="V1302" s="177" t="s">
        <v>20</v>
      </c>
    </row>
    <row r="1303" spans="2:22">
      <c r="B1303" s="251">
        <v>46233</v>
      </c>
      <c r="C1303" s="251">
        <v>46233</v>
      </c>
      <c r="D1303" s="177" t="s">
        <v>9772</v>
      </c>
      <c r="E1303" s="177" t="s">
        <v>9773</v>
      </c>
      <c r="F1303" s="177" t="s">
        <v>87</v>
      </c>
      <c r="G1303" s="177" t="s">
        <v>2515</v>
      </c>
      <c r="H1303" s="177" t="s">
        <v>661</v>
      </c>
      <c r="I1303" s="177">
        <v>31</v>
      </c>
      <c r="J1303" s="177">
        <v>31</v>
      </c>
      <c r="K1303" s="177">
        <v>30</v>
      </c>
      <c r="L1303" s="253">
        <v>1000</v>
      </c>
      <c r="M1303" s="177" t="s">
        <v>153</v>
      </c>
      <c r="N1303" s="177" t="s">
        <v>149</v>
      </c>
      <c r="O1303" s="177" t="s">
        <v>154</v>
      </c>
      <c r="P1303" s="177" t="s">
        <v>151</v>
      </c>
      <c r="Q1303" s="177" t="s">
        <v>156</v>
      </c>
      <c r="R1303" s="177" t="s">
        <v>9774</v>
      </c>
      <c r="S1303" s="177"/>
      <c r="T1303" s="177" t="s">
        <v>3347</v>
      </c>
      <c r="U1303" s="177" t="s">
        <v>152</v>
      </c>
      <c r="V1303" s="177" t="s">
        <v>20</v>
      </c>
    </row>
    <row r="1304" spans="2:22">
      <c r="B1304" s="251">
        <v>46233</v>
      </c>
      <c r="C1304" s="251">
        <v>46233</v>
      </c>
      <c r="D1304" s="177" t="s">
        <v>9775</v>
      </c>
      <c r="E1304" s="177" t="s">
        <v>9776</v>
      </c>
      <c r="F1304" s="177" t="s">
        <v>87</v>
      </c>
      <c r="G1304" s="177" t="s">
        <v>2515</v>
      </c>
      <c r="H1304" s="177" t="s">
        <v>661</v>
      </c>
      <c r="I1304" s="177">
        <v>39</v>
      </c>
      <c r="J1304" s="177">
        <v>39</v>
      </c>
      <c r="K1304" s="177">
        <v>30</v>
      </c>
      <c r="L1304" s="253">
        <v>1200</v>
      </c>
      <c r="M1304" s="177" t="s">
        <v>153</v>
      </c>
      <c r="N1304" s="177" t="s">
        <v>149</v>
      </c>
      <c r="O1304" s="177" t="s">
        <v>154</v>
      </c>
      <c r="P1304" s="177" t="s">
        <v>151</v>
      </c>
      <c r="Q1304" s="177" t="s">
        <v>156</v>
      </c>
      <c r="R1304" s="177" t="s">
        <v>9777</v>
      </c>
      <c r="S1304" s="177"/>
      <c r="T1304" s="177" t="s">
        <v>3347</v>
      </c>
      <c r="U1304" s="177" t="s">
        <v>152</v>
      </c>
      <c r="V1304" s="177" t="s">
        <v>20</v>
      </c>
    </row>
    <row r="1305" spans="2:22">
      <c r="B1305" s="251">
        <v>46233</v>
      </c>
      <c r="C1305" s="251">
        <v>46233</v>
      </c>
      <c r="D1305" s="177" t="s">
        <v>9778</v>
      </c>
      <c r="E1305" s="177" t="s">
        <v>9779</v>
      </c>
      <c r="F1305" s="177" t="s">
        <v>87</v>
      </c>
      <c r="G1305" s="177" t="s">
        <v>2515</v>
      </c>
      <c r="H1305" s="177" t="s">
        <v>661</v>
      </c>
      <c r="I1305" s="177">
        <v>39</v>
      </c>
      <c r="J1305" s="177">
        <v>39</v>
      </c>
      <c r="K1305" s="177">
        <v>30</v>
      </c>
      <c r="L1305" s="253">
        <v>1200</v>
      </c>
      <c r="M1305" s="177" t="s">
        <v>153</v>
      </c>
      <c r="N1305" s="177" t="s">
        <v>149</v>
      </c>
      <c r="O1305" s="177" t="s">
        <v>154</v>
      </c>
      <c r="P1305" s="177" t="s">
        <v>151</v>
      </c>
      <c r="Q1305" s="177" t="s">
        <v>156</v>
      </c>
      <c r="R1305" s="177" t="s">
        <v>9780</v>
      </c>
      <c r="S1305" s="177"/>
      <c r="T1305" s="177" t="s">
        <v>3347</v>
      </c>
      <c r="U1305" s="177" t="s">
        <v>152</v>
      </c>
      <c r="V1305" s="177" t="s">
        <v>20</v>
      </c>
    </row>
    <row r="1306" spans="2:22">
      <c r="B1306" s="251">
        <v>46233</v>
      </c>
      <c r="C1306" s="251">
        <v>46233</v>
      </c>
      <c r="D1306" s="177" t="s">
        <v>9781</v>
      </c>
      <c r="E1306" s="177" t="s">
        <v>9782</v>
      </c>
      <c r="F1306" s="177" t="s">
        <v>87</v>
      </c>
      <c r="G1306" s="177" t="s">
        <v>2515</v>
      </c>
      <c r="H1306" s="177" t="s">
        <v>661</v>
      </c>
      <c r="I1306" s="177">
        <v>39</v>
      </c>
      <c r="J1306" s="177">
        <v>39</v>
      </c>
      <c r="K1306" s="177">
        <v>30</v>
      </c>
      <c r="L1306" s="253">
        <v>1200</v>
      </c>
      <c r="M1306" s="177" t="s">
        <v>153</v>
      </c>
      <c r="N1306" s="177" t="s">
        <v>149</v>
      </c>
      <c r="O1306" s="177" t="s">
        <v>154</v>
      </c>
      <c r="P1306" s="177" t="s">
        <v>151</v>
      </c>
      <c r="Q1306" s="177" t="s">
        <v>156</v>
      </c>
      <c r="R1306" s="177" t="s">
        <v>9783</v>
      </c>
      <c r="S1306" s="177"/>
      <c r="T1306" s="177" t="s">
        <v>3347</v>
      </c>
      <c r="U1306" s="177" t="s">
        <v>152</v>
      </c>
      <c r="V1306" s="177" t="s">
        <v>20</v>
      </c>
    </row>
    <row r="1307" spans="2:22">
      <c r="B1307" s="251">
        <v>46233</v>
      </c>
      <c r="C1307" s="251">
        <v>46233</v>
      </c>
      <c r="D1307" s="177" t="s">
        <v>9784</v>
      </c>
      <c r="E1307" s="177" t="s">
        <v>9785</v>
      </c>
      <c r="F1307" s="177" t="s">
        <v>87</v>
      </c>
      <c r="G1307" s="177" t="s">
        <v>2515</v>
      </c>
      <c r="H1307" s="177" t="s">
        <v>661</v>
      </c>
      <c r="I1307" s="177">
        <v>37</v>
      </c>
      <c r="J1307" s="177">
        <v>37</v>
      </c>
      <c r="K1307" s="177">
        <v>30</v>
      </c>
      <c r="L1307" s="253">
        <v>1120</v>
      </c>
      <c r="M1307" s="177" t="s">
        <v>153</v>
      </c>
      <c r="N1307" s="177" t="s">
        <v>149</v>
      </c>
      <c r="O1307" s="177" t="s">
        <v>154</v>
      </c>
      <c r="P1307" s="177" t="s">
        <v>151</v>
      </c>
      <c r="Q1307" s="177" t="s">
        <v>156</v>
      </c>
      <c r="R1307" s="177" t="s">
        <v>9786</v>
      </c>
      <c r="S1307" s="177"/>
      <c r="T1307" s="177" t="s">
        <v>3347</v>
      </c>
      <c r="U1307" s="177" t="s">
        <v>152</v>
      </c>
      <c r="V1307" s="177" t="s">
        <v>20</v>
      </c>
    </row>
    <row r="1308" spans="2:22">
      <c r="B1308" s="251">
        <v>46233</v>
      </c>
      <c r="C1308" s="251">
        <v>46233</v>
      </c>
      <c r="D1308" s="177" t="s">
        <v>9787</v>
      </c>
      <c r="E1308" s="177" t="s">
        <v>9788</v>
      </c>
      <c r="F1308" s="177" t="s">
        <v>87</v>
      </c>
      <c r="G1308" s="177" t="s">
        <v>2515</v>
      </c>
      <c r="H1308" s="177" t="s">
        <v>661</v>
      </c>
      <c r="I1308" s="177">
        <v>37</v>
      </c>
      <c r="J1308" s="177">
        <v>37</v>
      </c>
      <c r="K1308" s="177">
        <v>30</v>
      </c>
      <c r="L1308" s="253">
        <v>1120</v>
      </c>
      <c r="M1308" s="177" t="s">
        <v>153</v>
      </c>
      <c r="N1308" s="177" t="s">
        <v>149</v>
      </c>
      <c r="O1308" s="177" t="s">
        <v>154</v>
      </c>
      <c r="P1308" s="177" t="s">
        <v>151</v>
      </c>
      <c r="Q1308" s="177" t="s">
        <v>156</v>
      </c>
      <c r="R1308" s="177" t="s">
        <v>9789</v>
      </c>
      <c r="S1308" s="177"/>
      <c r="T1308" s="177" t="s">
        <v>3347</v>
      </c>
      <c r="U1308" s="177" t="s">
        <v>152</v>
      </c>
      <c r="V1308" s="177" t="s">
        <v>20</v>
      </c>
    </row>
    <row r="1309" spans="2:22">
      <c r="B1309" s="251">
        <v>46233</v>
      </c>
      <c r="C1309" s="251">
        <v>46233</v>
      </c>
      <c r="D1309" s="177" t="s">
        <v>9790</v>
      </c>
      <c r="E1309" s="177" t="s">
        <v>9791</v>
      </c>
      <c r="F1309" s="177" t="s">
        <v>87</v>
      </c>
      <c r="G1309" s="177" t="s">
        <v>2515</v>
      </c>
      <c r="H1309" s="177" t="s">
        <v>661</v>
      </c>
      <c r="I1309" s="177">
        <v>31</v>
      </c>
      <c r="J1309" s="177">
        <v>31</v>
      </c>
      <c r="K1309" s="177">
        <v>30</v>
      </c>
      <c r="L1309" s="253">
        <v>1000</v>
      </c>
      <c r="M1309" s="177" t="s">
        <v>153</v>
      </c>
      <c r="N1309" s="177" t="s">
        <v>149</v>
      </c>
      <c r="O1309" s="177" t="s">
        <v>154</v>
      </c>
      <c r="P1309" s="177" t="s">
        <v>151</v>
      </c>
      <c r="Q1309" s="177" t="s">
        <v>156</v>
      </c>
      <c r="R1309" s="177" t="s">
        <v>9792</v>
      </c>
      <c r="S1309" s="177"/>
      <c r="T1309" s="177" t="s">
        <v>3347</v>
      </c>
      <c r="U1309" s="177" t="s">
        <v>152</v>
      </c>
      <c r="V1309" s="177" t="s">
        <v>20</v>
      </c>
    </row>
    <row r="1310" spans="2:22">
      <c r="B1310" s="251">
        <v>46233</v>
      </c>
      <c r="C1310" s="251">
        <v>46233</v>
      </c>
      <c r="D1310" s="177" t="s">
        <v>9793</v>
      </c>
      <c r="E1310" s="177" t="s">
        <v>9794</v>
      </c>
      <c r="F1310" s="177" t="s">
        <v>87</v>
      </c>
      <c r="G1310" s="177" t="s">
        <v>2515</v>
      </c>
      <c r="H1310" s="177" t="s">
        <v>661</v>
      </c>
      <c r="I1310" s="177">
        <v>34</v>
      </c>
      <c r="J1310" s="177">
        <v>34</v>
      </c>
      <c r="K1310" s="177">
        <v>30</v>
      </c>
      <c r="L1310" s="253">
        <v>1100</v>
      </c>
      <c r="M1310" s="177" t="s">
        <v>153</v>
      </c>
      <c r="N1310" s="177" t="s">
        <v>149</v>
      </c>
      <c r="O1310" s="177" t="s">
        <v>154</v>
      </c>
      <c r="P1310" s="177" t="s">
        <v>151</v>
      </c>
      <c r="Q1310" s="177" t="s">
        <v>156</v>
      </c>
      <c r="R1310" s="177" t="s">
        <v>9795</v>
      </c>
      <c r="S1310" s="177"/>
      <c r="T1310" s="177" t="s">
        <v>3347</v>
      </c>
      <c r="U1310" s="177" t="s">
        <v>152</v>
      </c>
      <c r="V1310" s="177" t="s">
        <v>20</v>
      </c>
    </row>
    <row r="1311" spans="2:22">
      <c r="B1311" s="251">
        <v>46233</v>
      </c>
      <c r="C1311" s="251">
        <v>46233</v>
      </c>
      <c r="D1311" s="177" t="s">
        <v>9796</v>
      </c>
      <c r="E1311" s="177" t="s">
        <v>9797</v>
      </c>
      <c r="F1311" s="177" t="s">
        <v>87</v>
      </c>
      <c r="G1311" s="177" t="s">
        <v>2515</v>
      </c>
      <c r="H1311" s="177" t="s">
        <v>661</v>
      </c>
      <c r="I1311" s="177">
        <v>37</v>
      </c>
      <c r="J1311" s="177">
        <v>37</v>
      </c>
      <c r="K1311" s="177">
        <v>30</v>
      </c>
      <c r="L1311" s="253">
        <v>1120</v>
      </c>
      <c r="M1311" s="177" t="s">
        <v>153</v>
      </c>
      <c r="N1311" s="177" t="s">
        <v>149</v>
      </c>
      <c r="O1311" s="177" t="s">
        <v>154</v>
      </c>
      <c r="P1311" s="177" t="s">
        <v>151</v>
      </c>
      <c r="Q1311" s="177" t="s">
        <v>156</v>
      </c>
      <c r="R1311" s="177" t="s">
        <v>9798</v>
      </c>
      <c r="S1311" s="177"/>
      <c r="T1311" s="177" t="s">
        <v>3347</v>
      </c>
      <c r="U1311" s="177" t="s">
        <v>152</v>
      </c>
      <c r="V1311" s="177" t="s">
        <v>20</v>
      </c>
    </row>
    <row r="1312" spans="2:22">
      <c r="B1312" s="251">
        <v>46233</v>
      </c>
      <c r="C1312" s="251">
        <v>46233</v>
      </c>
      <c r="D1312" s="177" t="s">
        <v>9799</v>
      </c>
      <c r="E1312" s="177" t="s">
        <v>9800</v>
      </c>
      <c r="F1312" s="177" t="s">
        <v>87</v>
      </c>
      <c r="G1312" s="177" t="s">
        <v>2515</v>
      </c>
      <c r="H1312" s="177" t="s">
        <v>661</v>
      </c>
      <c r="I1312" s="177">
        <v>31</v>
      </c>
      <c r="J1312" s="177">
        <v>31</v>
      </c>
      <c r="K1312" s="177">
        <v>30</v>
      </c>
      <c r="L1312" s="253">
        <v>1000</v>
      </c>
      <c r="M1312" s="177" t="s">
        <v>153</v>
      </c>
      <c r="N1312" s="177" t="s">
        <v>149</v>
      </c>
      <c r="O1312" s="177" t="s">
        <v>154</v>
      </c>
      <c r="P1312" s="177" t="s">
        <v>151</v>
      </c>
      <c r="Q1312" s="177" t="s">
        <v>156</v>
      </c>
      <c r="R1312" s="177" t="s">
        <v>9801</v>
      </c>
      <c r="S1312" s="177"/>
      <c r="T1312" s="177" t="s">
        <v>3347</v>
      </c>
      <c r="U1312" s="177" t="s">
        <v>152</v>
      </c>
      <c r="V1312" s="177" t="s">
        <v>20</v>
      </c>
    </row>
    <row r="1313" spans="2:22">
      <c r="B1313" s="251">
        <v>46233</v>
      </c>
      <c r="C1313" s="251">
        <v>46233</v>
      </c>
      <c r="D1313" s="177" t="s">
        <v>9802</v>
      </c>
      <c r="E1313" s="177" t="s">
        <v>9803</v>
      </c>
      <c r="F1313" s="177" t="s">
        <v>87</v>
      </c>
      <c r="G1313" s="177" t="s">
        <v>2515</v>
      </c>
      <c r="H1313" s="177" t="s">
        <v>661</v>
      </c>
      <c r="I1313" s="177">
        <v>37</v>
      </c>
      <c r="J1313" s="177">
        <v>37</v>
      </c>
      <c r="K1313" s="177">
        <v>30</v>
      </c>
      <c r="L1313" s="253">
        <v>1120</v>
      </c>
      <c r="M1313" s="177" t="s">
        <v>153</v>
      </c>
      <c r="N1313" s="177" t="s">
        <v>149</v>
      </c>
      <c r="O1313" s="177" t="s">
        <v>154</v>
      </c>
      <c r="P1313" s="177" t="s">
        <v>151</v>
      </c>
      <c r="Q1313" s="177" t="s">
        <v>156</v>
      </c>
      <c r="R1313" s="177" t="s">
        <v>9804</v>
      </c>
      <c r="S1313" s="177"/>
      <c r="T1313" s="177" t="s">
        <v>3347</v>
      </c>
      <c r="U1313" s="177" t="s">
        <v>152</v>
      </c>
      <c r="V1313" s="177" t="s">
        <v>20</v>
      </c>
    </row>
    <row r="1314" spans="2:22">
      <c r="B1314" s="251">
        <v>46233</v>
      </c>
      <c r="C1314" s="251">
        <v>46233</v>
      </c>
      <c r="D1314" s="177" t="s">
        <v>9805</v>
      </c>
      <c r="E1314" s="177" t="s">
        <v>9806</v>
      </c>
      <c r="F1314" s="177" t="s">
        <v>87</v>
      </c>
      <c r="G1314" s="177" t="s">
        <v>2515</v>
      </c>
      <c r="H1314" s="177" t="s">
        <v>661</v>
      </c>
      <c r="I1314" s="177">
        <v>34</v>
      </c>
      <c r="J1314" s="177">
        <v>34</v>
      </c>
      <c r="K1314" s="177">
        <v>30</v>
      </c>
      <c r="L1314" s="253">
        <v>1100</v>
      </c>
      <c r="M1314" s="177" t="s">
        <v>153</v>
      </c>
      <c r="N1314" s="177" t="s">
        <v>149</v>
      </c>
      <c r="O1314" s="177" t="s">
        <v>154</v>
      </c>
      <c r="P1314" s="177" t="s">
        <v>151</v>
      </c>
      <c r="Q1314" s="177" t="s">
        <v>156</v>
      </c>
      <c r="R1314" s="177" t="s">
        <v>9807</v>
      </c>
      <c r="S1314" s="177"/>
      <c r="T1314" s="177" t="s">
        <v>3347</v>
      </c>
      <c r="U1314" s="177" t="s">
        <v>152</v>
      </c>
      <c r="V1314" s="177" t="s">
        <v>20</v>
      </c>
    </row>
    <row r="1315" spans="2:22">
      <c r="B1315" s="251">
        <v>46233</v>
      </c>
      <c r="C1315" s="251">
        <v>46233</v>
      </c>
      <c r="D1315" s="177" t="s">
        <v>9808</v>
      </c>
      <c r="E1315" s="177" t="s">
        <v>9809</v>
      </c>
      <c r="F1315" s="177" t="s">
        <v>87</v>
      </c>
      <c r="G1315" s="177" t="s">
        <v>2515</v>
      </c>
      <c r="H1315" s="177" t="s">
        <v>661</v>
      </c>
      <c r="I1315" s="177">
        <v>34</v>
      </c>
      <c r="J1315" s="177">
        <v>34</v>
      </c>
      <c r="K1315" s="177">
        <v>30</v>
      </c>
      <c r="L1315" s="253">
        <v>1100</v>
      </c>
      <c r="M1315" s="177" t="s">
        <v>153</v>
      </c>
      <c r="N1315" s="177" t="s">
        <v>149</v>
      </c>
      <c r="O1315" s="177" t="s">
        <v>154</v>
      </c>
      <c r="P1315" s="177" t="s">
        <v>151</v>
      </c>
      <c r="Q1315" s="177" t="s">
        <v>156</v>
      </c>
      <c r="R1315" s="177" t="s">
        <v>9810</v>
      </c>
      <c r="S1315" s="177"/>
      <c r="T1315" s="177" t="s">
        <v>3347</v>
      </c>
      <c r="U1315" s="177" t="s">
        <v>152</v>
      </c>
      <c r="V1315" s="177" t="s">
        <v>20</v>
      </c>
    </row>
    <row r="1316" spans="2:22">
      <c r="B1316" s="251">
        <v>46233</v>
      </c>
      <c r="C1316" s="251">
        <v>46233</v>
      </c>
      <c r="D1316" s="177" t="s">
        <v>9811</v>
      </c>
      <c r="E1316" s="177" t="s">
        <v>9812</v>
      </c>
      <c r="F1316" s="177" t="s">
        <v>87</v>
      </c>
      <c r="G1316" s="177" t="s">
        <v>2515</v>
      </c>
      <c r="H1316" s="177" t="s">
        <v>661</v>
      </c>
      <c r="I1316" s="177">
        <v>31</v>
      </c>
      <c r="J1316" s="177">
        <v>31</v>
      </c>
      <c r="K1316" s="177">
        <v>30</v>
      </c>
      <c r="L1316" s="253">
        <v>1000</v>
      </c>
      <c r="M1316" s="177" t="s">
        <v>153</v>
      </c>
      <c r="N1316" s="177" t="s">
        <v>149</v>
      </c>
      <c r="O1316" s="177" t="s">
        <v>154</v>
      </c>
      <c r="P1316" s="177" t="s">
        <v>151</v>
      </c>
      <c r="Q1316" s="177" t="s">
        <v>156</v>
      </c>
      <c r="R1316" s="177" t="s">
        <v>9813</v>
      </c>
      <c r="S1316" s="177"/>
      <c r="T1316" s="177" t="s">
        <v>3347</v>
      </c>
      <c r="U1316" s="177" t="s">
        <v>152</v>
      </c>
      <c r="V1316" s="177" t="s">
        <v>20</v>
      </c>
    </row>
    <row r="1317" spans="2:22">
      <c r="B1317" s="251">
        <v>46233</v>
      </c>
      <c r="C1317" s="251">
        <v>46233</v>
      </c>
      <c r="D1317" s="177" t="s">
        <v>9814</v>
      </c>
      <c r="E1317" s="177" t="s">
        <v>9815</v>
      </c>
      <c r="F1317" s="177" t="s">
        <v>87</v>
      </c>
      <c r="G1317" s="177" t="s">
        <v>2515</v>
      </c>
      <c r="H1317" s="177" t="s">
        <v>661</v>
      </c>
      <c r="I1317" s="177">
        <v>34</v>
      </c>
      <c r="J1317" s="177">
        <v>34</v>
      </c>
      <c r="K1317" s="177">
        <v>30</v>
      </c>
      <c r="L1317" s="253">
        <v>1100</v>
      </c>
      <c r="M1317" s="177" t="s">
        <v>153</v>
      </c>
      <c r="N1317" s="177" t="s">
        <v>149</v>
      </c>
      <c r="O1317" s="177" t="s">
        <v>154</v>
      </c>
      <c r="P1317" s="177" t="s">
        <v>151</v>
      </c>
      <c r="Q1317" s="177" t="s">
        <v>156</v>
      </c>
      <c r="R1317" s="177" t="s">
        <v>9816</v>
      </c>
      <c r="S1317" s="177"/>
      <c r="T1317" s="177" t="s">
        <v>3347</v>
      </c>
      <c r="U1317" s="177" t="s">
        <v>152</v>
      </c>
      <c r="V1317" s="177" t="s">
        <v>20</v>
      </c>
    </row>
    <row r="1318" spans="2:22">
      <c r="B1318" s="251">
        <v>46233</v>
      </c>
      <c r="C1318" s="251">
        <v>46233</v>
      </c>
      <c r="D1318" s="177" t="s">
        <v>9817</v>
      </c>
      <c r="E1318" s="177">
        <v>260105721352</v>
      </c>
      <c r="F1318" s="177" t="s">
        <v>87</v>
      </c>
      <c r="G1318" s="177" t="s">
        <v>2561</v>
      </c>
      <c r="H1318" s="177">
        <v>142</v>
      </c>
      <c r="I1318" s="177">
        <v>136</v>
      </c>
      <c r="J1318" s="177">
        <v>136</v>
      </c>
      <c r="K1318" s="177">
        <v>67</v>
      </c>
      <c r="L1318" s="253">
        <v>1430</v>
      </c>
      <c r="M1318" s="177" t="s">
        <v>153</v>
      </c>
      <c r="N1318" s="177" t="s">
        <v>149</v>
      </c>
      <c r="O1318" s="177" t="s">
        <v>154</v>
      </c>
      <c r="P1318" s="177" t="s">
        <v>151</v>
      </c>
      <c r="Q1318" s="177" t="s">
        <v>155</v>
      </c>
      <c r="R1318" s="177" t="s">
        <v>9818</v>
      </c>
      <c r="S1318" s="177"/>
      <c r="T1318" s="177" t="s">
        <v>3349</v>
      </c>
      <c r="U1318" s="177" t="s">
        <v>152</v>
      </c>
      <c r="V1318" s="177" t="s">
        <v>18</v>
      </c>
    </row>
    <row r="1319" spans="2:22">
      <c r="B1319" s="251">
        <v>46233</v>
      </c>
      <c r="C1319" s="251">
        <v>46233</v>
      </c>
      <c r="D1319" s="177" t="s">
        <v>9819</v>
      </c>
      <c r="E1319" s="177">
        <v>260105321390</v>
      </c>
      <c r="F1319" s="177" t="s">
        <v>87</v>
      </c>
      <c r="G1319" s="177" t="s">
        <v>859</v>
      </c>
      <c r="H1319" s="177">
        <v>152</v>
      </c>
      <c r="I1319" s="177">
        <v>222</v>
      </c>
      <c r="J1319" s="177">
        <v>222</v>
      </c>
      <c r="K1319" s="177">
        <v>104</v>
      </c>
      <c r="L1319" s="253">
        <v>1450</v>
      </c>
      <c r="M1319" s="177" t="s">
        <v>153</v>
      </c>
      <c r="N1319" s="177" t="s">
        <v>149</v>
      </c>
      <c r="O1319" s="177" t="s">
        <v>154</v>
      </c>
      <c r="P1319" s="177" t="s">
        <v>151</v>
      </c>
      <c r="Q1319" s="177" t="s">
        <v>155</v>
      </c>
      <c r="R1319" s="177" t="s">
        <v>9820</v>
      </c>
      <c r="S1319" s="177"/>
      <c r="T1319" s="177" t="s">
        <v>3349</v>
      </c>
      <c r="U1319" s="177" t="s">
        <v>152</v>
      </c>
      <c r="V1319" s="177" t="s">
        <v>18</v>
      </c>
    </row>
    <row r="1320" spans="2:22">
      <c r="B1320" s="251">
        <v>46233</v>
      </c>
      <c r="C1320" s="251">
        <v>46233</v>
      </c>
      <c r="D1320" s="177" t="s">
        <v>9821</v>
      </c>
      <c r="E1320" s="177">
        <v>260101421394</v>
      </c>
      <c r="F1320" s="177" t="s">
        <v>87</v>
      </c>
      <c r="G1320" s="177" t="s">
        <v>859</v>
      </c>
      <c r="H1320" s="177">
        <v>152</v>
      </c>
      <c r="I1320" s="177">
        <v>204</v>
      </c>
      <c r="J1320" s="177">
        <v>204</v>
      </c>
      <c r="K1320" s="177">
        <v>104</v>
      </c>
      <c r="L1320" s="253">
        <v>1330</v>
      </c>
      <c r="M1320" s="177" t="s">
        <v>153</v>
      </c>
      <c r="N1320" s="177" t="s">
        <v>149</v>
      </c>
      <c r="O1320" s="177" t="s">
        <v>154</v>
      </c>
      <c r="P1320" s="177" t="s">
        <v>151</v>
      </c>
      <c r="Q1320" s="177" t="s">
        <v>155</v>
      </c>
      <c r="R1320" s="177" t="s">
        <v>9822</v>
      </c>
      <c r="S1320" s="177"/>
      <c r="T1320" s="177" t="s">
        <v>3349</v>
      </c>
      <c r="U1320" s="177" t="s">
        <v>152</v>
      </c>
      <c r="V1320" s="177" t="s">
        <v>18</v>
      </c>
    </row>
    <row r="1321" spans="2:22">
      <c r="B1321" s="251">
        <v>46233</v>
      </c>
      <c r="C1321" s="251">
        <v>46233</v>
      </c>
      <c r="D1321" s="177" t="s">
        <v>9823</v>
      </c>
      <c r="E1321" s="177">
        <v>260105721237</v>
      </c>
      <c r="F1321" s="177" t="s">
        <v>87</v>
      </c>
      <c r="G1321" s="177" t="s">
        <v>2561</v>
      </c>
      <c r="H1321" s="177">
        <v>142</v>
      </c>
      <c r="I1321" s="177">
        <v>151</v>
      </c>
      <c r="J1321" s="177">
        <v>151</v>
      </c>
      <c r="K1321" s="177">
        <v>67</v>
      </c>
      <c r="L1321" s="253">
        <v>1650</v>
      </c>
      <c r="M1321" s="177" t="s">
        <v>153</v>
      </c>
      <c r="N1321" s="177" t="s">
        <v>149</v>
      </c>
      <c r="O1321" s="177" t="s">
        <v>154</v>
      </c>
      <c r="P1321" s="177" t="s">
        <v>151</v>
      </c>
      <c r="Q1321" s="177" t="s">
        <v>155</v>
      </c>
      <c r="R1321" s="177" t="s">
        <v>9824</v>
      </c>
      <c r="S1321" s="177"/>
      <c r="T1321" s="177" t="s">
        <v>3349</v>
      </c>
      <c r="U1321" s="177" t="s">
        <v>152</v>
      </c>
      <c r="V1321" s="177" t="s">
        <v>18</v>
      </c>
    </row>
    <row r="1322" spans="2:22">
      <c r="B1322" s="251">
        <v>46233</v>
      </c>
      <c r="C1322" s="251">
        <v>46233</v>
      </c>
      <c r="D1322" s="177" t="s">
        <v>9825</v>
      </c>
      <c r="E1322" s="177">
        <v>260102621369</v>
      </c>
      <c r="F1322" s="177" t="s">
        <v>87</v>
      </c>
      <c r="G1322" s="177" t="s">
        <v>2554</v>
      </c>
      <c r="H1322" s="177">
        <v>102</v>
      </c>
      <c r="I1322" s="177">
        <v>260</v>
      </c>
      <c r="J1322" s="177">
        <v>260</v>
      </c>
      <c r="K1322" s="177">
        <v>125</v>
      </c>
      <c r="L1322" s="253">
        <v>1060</v>
      </c>
      <c r="M1322" s="177" t="s">
        <v>153</v>
      </c>
      <c r="N1322" s="177" t="s">
        <v>149</v>
      </c>
      <c r="O1322" s="177" t="s">
        <v>154</v>
      </c>
      <c r="P1322" s="177" t="s">
        <v>151</v>
      </c>
      <c r="Q1322" s="177" t="s">
        <v>155</v>
      </c>
      <c r="R1322" s="177" t="s">
        <v>9826</v>
      </c>
      <c r="S1322" s="177"/>
      <c r="T1322" s="177" t="s">
        <v>3349</v>
      </c>
      <c r="U1322" s="177" t="s">
        <v>152</v>
      </c>
      <c r="V1322" s="177" t="s">
        <v>18</v>
      </c>
    </row>
    <row r="1323" spans="2:22">
      <c r="B1323" s="251">
        <v>46233</v>
      </c>
      <c r="C1323" s="251">
        <v>46233</v>
      </c>
      <c r="D1323" s="177" t="s">
        <v>9827</v>
      </c>
      <c r="E1323" s="177">
        <v>260101421391</v>
      </c>
      <c r="F1323" s="177" t="s">
        <v>87</v>
      </c>
      <c r="G1323" s="177" t="s">
        <v>859</v>
      </c>
      <c r="H1323" s="177">
        <v>152</v>
      </c>
      <c r="I1323" s="177">
        <v>200</v>
      </c>
      <c r="J1323" s="177">
        <v>200</v>
      </c>
      <c r="K1323" s="177">
        <v>104</v>
      </c>
      <c r="L1323" s="253">
        <v>1330</v>
      </c>
      <c r="M1323" s="177" t="s">
        <v>153</v>
      </c>
      <c r="N1323" s="177" t="s">
        <v>149</v>
      </c>
      <c r="O1323" s="177" t="s">
        <v>154</v>
      </c>
      <c r="P1323" s="177" t="s">
        <v>151</v>
      </c>
      <c r="Q1323" s="177" t="s">
        <v>155</v>
      </c>
      <c r="R1323" s="177" t="s">
        <v>9828</v>
      </c>
      <c r="S1323" s="177"/>
      <c r="T1323" s="177" t="s">
        <v>3349</v>
      </c>
      <c r="U1323" s="177" t="s">
        <v>152</v>
      </c>
      <c r="V1323" s="177" t="s">
        <v>18</v>
      </c>
    </row>
    <row r="1324" spans="2:22">
      <c r="B1324" s="251">
        <v>46233</v>
      </c>
      <c r="C1324" s="251">
        <v>46233</v>
      </c>
      <c r="D1324" s="177" t="s">
        <v>9829</v>
      </c>
      <c r="E1324" s="177" t="s">
        <v>9830</v>
      </c>
      <c r="F1324" s="177" t="s">
        <v>87</v>
      </c>
      <c r="G1324" s="177" t="s">
        <v>2560</v>
      </c>
      <c r="H1324" s="177" t="s">
        <v>661</v>
      </c>
      <c r="I1324" s="177">
        <v>34</v>
      </c>
      <c r="J1324" s="177">
        <v>34</v>
      </c>
      <c r="K1324" s="177">
        <v>30</v>
      </c>
      <c r="L1324" s="253">
        <v>1050</v>
      </c>
      <c r="M1324" s="177" t="s">
        <v>153</v>
      </c>
      <c r="N1324" s="177" t="s">
        <v>149</v>
      </c>
      <c r="O1324" s="177" t="s">
        <v>154</v>
      </c>
      <c r="P1324" s="177" t="s">
        <v>151</v>
      </c>
      <c r="Q1324" s="177" t="s">
        <v>156</v>
      </c>
      <c r="R1324" s="177" t="s">
        <v>9831</v>
      </c>
      <c r="S1324" s="177"/>
      <c r="T1324" s="177" t="s">
        <v>3349</v>
      </c>
      <c r="U1324" s="177" t="s">
        <v>152</v>
      </c>
      <c r="V1324" s="177" t="s">
        <v>20</v>
      </c>
    </row>
    <row r="1325" spans="2:22">
      <c r="B1325" s="251">
        <v>46233</v>
      </c>
      <c r="C1325" s="251">
        <v>46233</v>
      </c>
      <c r="D1325" s="177" t="s">
        <v>9832</v>
      </c>
      <c r="E1325" s="177" t="s">
        <v>9833</v>
      </c>
      <c r="F1325" s="177" t="s">
        <v>87</v>
      </c>
      <c r="G1325" s="177" t="s">
        <v>2560</v>
      </c>
      <c r="H1325" s="177" t="s">
        <v>661</v>
      </c>
      <c r="I1325" s="177">
        <v>40</v>
      </c>
      <c r="J1325" s="177">
        <v>40</v>
      </c>
      <c r="K1325" s="177">
        <v>30</v>
      </c>
      <c r="L1325" s="253">
        <v>1220</v>
      </c>
      <c r="M1325" s="177" t="s">
        <v>153</v>
      </c>
      <c r="N1325" s="177" t="s">
        <v>149</v>
      </c>
      <c r="O1325" s="177" t="s">
        <v>154</v>
      </c>
      <c r="P1325" s="177" t="s">
        <v>151</v>
      </c>
      <c r="Q1325" s="177" t="s">
        <v>156</v>
      </c>
      <c r="R1325" s="177" t="s">
        <v>9834</v>
      </c>
      <c r="S1325" s="177"/>
      <c r="T1325" s="177" t="s">
        <v>3349</v>
      </c>
      <c r="U1325" s="177" t="s">
        <v>152</v>
      </c>
      <c r="V1325" s="177" t="s">
        <v>20</v>
      </c>
    </row>
    <row r="1326" spans="2:22">
      <c r="B1326" s="251">
        <v>46233</v>
      </c>
      <c r="C1326" s="251">
        <v>46233</v>
      </c>
      <c r="D1326" s="177" t="s">
        <v>9835</v>
      </c>
      <c r="E1326" s="177" t="s">
        <v>9836</v>
      </c>
      <c r="F1326" s="177" t="s">
        <v>87</v>
      </c>
      <c r="G1326" s="177" t="s">
        <v>2560</v>
      </c>
      <c r="H1326" s="177" t="s">
        <v>661</v>
      </c>
      <c r="I1326" s="177">
        <v>40</v>
      </c>
      <c r="J1326" s="177">
        <v>40</v>
      </c>
      <c r="K1326" s="177">
        <v>30</v>
      </c>
      <c r="L1326" s="253">
        <v>1220</v>
      </c>
      <c r="M1326" s="177" t="s">
        <v>153</v>
      </c>
      <c r="N1326" s="177" t="s">
        <v>149</v>
      </c>
      <c r="O1326" s="177" t="s">
        <v>154</v>
      </c>
      <c r="P1326" s="177" t="s">
        <v>151</v>
      </c>
      <c r="Q1326" s="177" t="s">
        <v>156</v>
      </c>
      <c r="R1326" s="177" t="s">
        <v>9837</v>
      </c>
      <c r="S1326" s="177"/>
      <c r="T1326" s="177" t="s">
        <v>3349</v>
      </c>
      <c r="U1326" s="177" t="s">
        <v>152</v>
      </c>
      <c r="V1326" s="177" t="s">
        <v>20</v>
      </c>
    </row>
    <row r="1327" spans="2:22">
      <c r="B1327" s="251">
        <v>46233</v>
      </c>
      <c r="C1327" s="251">
        <v>46233</v>
      </c>
      <c r="D1327" s="177" t="s">
        <v>9838</v>
      </c>
      <c r="E1327" s="177" t="s">
        <v>9839</v>
      </c>
      <c r="F1327" s="177" t="s">
        <v>87</v>
      </c>
      <c r="G1327" s="177" t="s">
        <v>2560</v>
      </c>
      <c r="H1327" s="177" t="s">
        <v>661</v>
      </c>
      <c r="I1327" s="177">
        <v>49</v>
      </c>
      <c r="J1327" s="177">
        <v>49</v>
      </c>
      <c r="K1327" s="177">
        <v>30</v>
      </c>
      <c r="L1327" s="253">
        <v>1500</v>
      </c>
      <c r="M1327" s="177" t="s">
        <v>153</v>
      </c>
      <c r="N1327" s="177" t="s">
        <v>149</v>
      </c>
      <c r="O1327" s="177" t="s">
        <v>154</v>
      </c>
      <c r="P1327" s="177" t="s">
        <v>151</v>
      </c>
      <c r="Q1327" s="177" t="s">
        <v>156</v>
      </c>
      <c r="R1327" s="177" t="s">
        <v>9840</v>
      </c>
      <c r="S1327" s="177"/>
      <c r="T1327" s="177" t="s">
        <v>3349</v>
      </c>
      <c r="U1327" s="177" t="s">
        <v>152</v>
      </c>
      <c r="V1327" s="177" t="s">
        <v>20</v>
      </c>
    </row>
    <row r="1328" spans="2:22">
      <c r="B1328" s="251">
        <v>46233</v>
      </c>
      <c r="C1328" s="251">
        <v>46233</v>
      </c>
      <c r="D1328" s="177" t="s">
        <v>9841</v>
      </c>
      <c r="E1328" s="177" t="s">
        <v>9842</v>
      </c>
      <c r="F1328" s="177" t="s">
        <v>87</v>
      </c>
      <c r="G1328" s="177" t="s">
        <v>2560</v>
      </c>
      <c r="H1328" s="177" t="s">
        <v>661</v>
      </c>
      <c r="I1328" s="177">
        <v>40</v>
      </c>
      <c r="J1328" s="177">
        <v>40</v>
      </c>
      <c r="K1328" s="177">
        <v>30</v>
      </c>
      <c r="L1328" s="253">
        <v>1220</v>
      </c>
      <c r="M1328" s="177" t="s">
        <v>153</v>
      </c>
      <c r="N1328" s="177" t="s">
        <v>149</v>
      </c>
      <c r="O1328" s="177" t="s">
        <v>154</v>
      </c>
      <c r="P1328" s="177" t="s">
        <v>151</v>
      </c>
      <c r="Q1328" s="177" t="s">
        <v>156</v>
      </c>
      <c r="R1328" s="177" t="s">
        <v>9843</v>
      </c>
      <c r="S1328" s="177"/>
      <c r="T1328" s="177" t="s">
        <v>3349</v>
      </c>
      <c r="U1328" s="177" t="s">
        <v>152</v>
      </c>
      <c r="V1328" s="177" t="s">
        <v>20</v>
      </c>
    </row>
    <row r="1329" spans="2:22">
      <c r="B1329" s="251">
        <v>46233</v>
      </c>
      <c r="C1329" s="251">
        <v>46233</v>
      </c>
      <c r="D1329" s="177" t="s">
        <v>9844</v>
      </c>
      <c r="E1329" s="177" t="s">
        <v>9845</v>
      </c>
      <c r="F1329" s="177" t="s">
        <v>87</v>
      </c>
      <c r="G1329" s="177" t="s">
        <v>2560</v>
      </c>
      <c r="H1329" s="177" t="s">
        <v>661</v>
      </c>
      <c r="I1329" s="177">
        <v>35</v>
      </c>
      <c r="J1329" s="177">
        <v>35</v>
      </c>
      <c r="K1329" s="177">
        <v>30</v>
      </c>
      <c r="L1329" s="253">
        <v>1100</v>
      </c>
      <c r="M1329" s="177" t="s">
        <v>153</v>
      </c>
      <c r="N1329" s="177" t="s">
        <v>149</v>
      </c>
      <c r="O1329" s="177" t="s">
        <v>154</v>
      </c>
      <c r="P1329" s="177" t="s">
        <v>151</v>
      </c>
      <c r="Q1329" s="177" t="s">
        <v>156</v>
      </c>
      <c r="R1329" s="177" t="s">
        <v>9846</v>
      </c>
      <c r="S1329" s="177"/>
      <c r="T1329" s="177" t="s">
        <v>3349</v>
      </c>
      <c r="U1329" s="177" t="s">
        <v>152</v>
      </c>
      <c r="V1329" s="177" t="s">
        <v>20</v>
      </c>
    </row>
    <row r="1330" spans="2:22">
      <c r="B1330" s="251">
        <v>46233</v>
      </c>
      <c r="C1330" s="251">
        <v>46233</v>
      </c>
      <c r="D1330" s="177" t="s">
        <v>9847</v>
      </c>
      <c r="E1330" s="177" t="s">
        <v>8475</v>
      </c>
      <c r="F1330" s="177" t="s">
        <v>87</v>
      </c>
      <c r="G1330" s="177" t="s">
        <v>9848</v>
      </c>
      <c r="H1330" s="177" t="s">
        <v>9693</v>
      </c>
      <c r="I1330" s="177">
        <v>62</v>
      </c>
      <c r="J1330" s="177">
        <v>62</v>
      </c>
      <c r="K1330" s="177">
        <v>23</v>
      </c>
      <c r="L1330" s="253">
        <v>3500</v>
      </c>
      <c r="M1330" s="177" t="s">
        <v>153</v>
      </c>
      <c r="N1330" s="177" t="s">
        <v>149</v>
      </c>
      <c r="O1330" s="177" t="s">
        <v>154</v>
      </c>
      <c r="P1330" s="177" t="s">
        <v>151</v>
      </c>
      <c r="Q1330" s="177" t="s">
        <v>156</v>
      </c>
      <c r="R1330" s="177" t="s">
        <v>9849</v>
      </c>
      <c r="S1330" s="177"/>
      <c r="T1330" s="177" t="s">
        <v>3349</v>
      </c>
      <c r="U1330" s="177" t="s">
        <v>152</v>
      </c>
      <c r="V1330" s="177" t="s">
        <v>20</v>
      </c>
    </row>
    <row r="1331" spans="2:22">
      <c r="B1331" s="251">
        <v>46233</v>
      </c>
      <c r="C1331" s="251">
        <v>46233</v>
      </c>
      <c r="D1331" s="177" t="s">
        <v>9850</v>
      </c>
      <c r="E1331" s="177" t="s">
        <v>9851</v>
      </c>
      <c r="F1331" s="177" t="s">
        <v>87</v>
      </c>
      <c r="G1331" s="177" t="s">
        <v>2560</v>
      </c>
      <c r="H1331" s="177" t="s">
        <v>661</v>
      </c>
      <c r="I1331" s="177">
        <v>34</v>
      </c>
      <c r="J1331" s="177">
        <v>34</v>
      </c>
      <c r="K1331" s="177">
        <v>30</v>
      </c>
      <c r="L1331" s="253">
        <v>1050</v>
      </c>
      <c r="M1331" s="177" t="s">
        <v>153</v>
      </c>
      <c r="N1331" s="177" t="s">
        <v>149</v>
      </c>
      <c r="O1331" s="177" t="s">
        <v>154</v>
      </c>
      <c r="P1331" s="177" t="s">
        <v>151</v>
      </c>
      <c r="Q1331" s="177" t="s">
        <v>156</v>
      </c>
      <c r="R1331" s="177" t="s">
        <v>9852</v>
      </c>
      <c r="S1331" s="177"/>
      <c r="T1331" s="177" t="s">
        <v>3349</v>
      </c>
      <c r="U1331" s="177" t="s">
        <v>152</v>
      </c>
      <c r="V1331" s="177" t="s">
        <v>20</v>
      </c>
    </row>
    <row r="1332" spans="2:22">
      <c r="B1332" s="251">
        <v>46233</v>
      </c>
      <c r="C1332" s="251">
        <v>46233</v>
      </c>
      <c r="D1332" s="177" t="s">
        <v>9853</v>
      </c>
      <c r="E1332" s="177" t="s">
        <v>9854</v>
      </c>
      <c r="F1332" s="177" t="s">
        <v>87</v>
      </c>
      <c r="G1332" s="177" t="s">
        <v>2560</v>
      </c>
      <c r="H1332" s="177" t="s">
        <v>661</v>
      </c>
      <c r="I1332" s="177">
        <v>49</v>
      </c>
      <c r="J1332" s="177">
        <v>49</v>
      </c>
      <c r="K1332" s="177">
        <v>30</v>
      </c>
      <c r="L1332" s="253">
        <v>1500</v>
      </c>
      <c r="M1332" s="177" t="s">
        <v>153</v>
      </c>
      <c r="N1332" s="177" t="s">
        <v>149</v>
      </c>
      <c r="O1332" s="177" t="s">
        <v>154</v>
      </c>
      <c r="P1332" s="177" t="s">
        <v>151</v>
      </c>
      <c r="Q1332" s="177" t="s">
        <v>156</v>
      </c>
      <c r="R1332" s="177" t="s">
        <v>9855</v>
      </c>
      <c r="S1332" s="177"/>
      <c r="T1332" s="177" t="s">
        <v>3349</v>
      </c>
      <c r="U1332" s="177" t="s">
        <v>152</v>
      </c>
      <c r="V1332" s="177" t="s">
        <v>20</v>
      </c>
    </row>
    <row r="1333" spans="2:22">
      <c r="B1333" s="251">
        <v>46233</v>
      </c>
      <c r="C1333" s="251">
        <v>46233</v>
      </c>
      <c r="D1333" s="177" t="s">
        <v>9856</v>
      </c>
      <c r="E1333" s="177" t="s">
        <v>9857</v>
      </c>
      <c r="F1333" s="177" t="s">
        <v>87</v>
      </c>
      <c r="G1333" s="177" t="s">
        <v>2560</v>
      </c>
      <c r="H1333" s="177" t="s">
        <v>661</v>
      </c>
      <c r="I1333" s="177">
        <v>34</v>
      </c>
      <c r="J1333" s="177">
        <v>34</v>
      </c>
      <c r="K1333" s="177">
        <v>30</v>
      </c>
      <c r="L1333" s="253">
        <v>1050</v>
      </c>
      <c r="M1333" s="177" t="s">
        <v>153</v>
      </c>
      <c r="N1333" s="177" t="s">
        <v>149</v>
      </c>
      <c r="O1333" s="177" t="s">
        <v>154</v>
      </c>
      <c r="P1333" s="177" t="s">
        <v>151</v>
      </c>
      <c r="Q1333" s="177" t="s">
        <v>156</v>
      </c>
      <c r="R1333" s="177" t="s">
        <v>9858</v>
      </c>
      <c r="S1333" s="177"/>
      <c r="T1333" s="177" t="s">
        <v>3349</v>
      </c>
      <c r="U1333" s="177" t="s">
        <v>152</v>
      </c>
      <c r="V1333" s="177" t="s">
        <v>20</v>
      </c>
    </row>
    <row r="1334" spans="2:22">
      <c r="B1334" s="251">
        <v>46233</v>
      </c>
      <c r="C1334" s="251">
        <v>46233</v>
      </c>
      <c r="D1334" s="177" t="s">
        <v>9859</v>
      </c>
      <c r="E1334" s="177" t="s">
        <v>9860</v>
      </c>
      <c r="F1334" s="177" t="s">
        <v>87</v>
      </c>
      <c r="G1334" s="177" t="s">
        <v>2560</v>
      </c>
      <c r="H1334" s="177" t="s">
        <v>661</v>
      </c>
      <c r="I1334" s="177">
        <v>35</v>
      </c>
      <c r="J1334" s="177">
        <v>35</v>
      </c>
      <c r="K1334" s="177">
        <v>30</v>
      </c>
      <c r="L1334" s="253">
        <v>1100</v>
      </c>
      <c r="M1334" s="177" t="s">
        <v>153</v>
      </c>
      <c r="N1334" s="177" t="s">
        <v>149</v>
      </c>
      <c r="O1334" s="177" t="s">
        <v>154</v>
      </c>
      <c r="P1334" s="177" t="s">
        <v>151</v>
      </c>
      <c r="Q1334" s="177" t="s">
        <v>156</v>
      </c>
      <c r="R1334" s="177" t="s">
        <v>9861</v>
      </c>
      <c r="S1334" s="177"/>
      <c r="T1334" s="177" t="s">
        <v>3349</v>
      </c>
      <c r="U1334" s="177" t="s">
        <v>152</v>
      </c>
      <c r="V1334" s="177" t="s">
        <v>20</v>
      </c>
    </row>
    <row r="1335" spans="2:22">
      <c r="B1335" s="251">
        <v>46233</v>
      </c>
      <c r="C1335" s="251">
        <v>46233</v>
      </c>
      <c r="D1335" s="177" t="s">
        <v>9862</v>
      </c>
      <c r="E1335" s="177" t="s">
        <v>9863</v>
      </c>
      <c r="F1335" s="177" t="s">
        <v>87</v>
      </c>
      <c r="G1335" s="177" t="s">
        <v>2560</v>
      </c>
      <c r="H1335" s="177" t="s">
        <v>661</v>
      </c>
      <c r="I1335" s="177">
        <v>49</v>
      </c>
      <c r="J1335" s="177">
        <v>49</v>
      </c>
      <c r="K1335" s="177">
        <v>30</v>
      </c>
      <c r="L1335" s="253">
        <v>1500</v>
      </c>
      <c r="M1335" s="177" t="s">
        <v>153</v>
      </c>
      <c r="N1335" s="177" t="s">
        <v>149</v>
      </c>
      <c r="O1335" s="177" t="s">
        <v>154</v>
      </c>
      <c r="P1335" s="177" t="s">
        <v>151</v>
      </c>
      <c r="Q1335" s="177" t="s">
        <v>156</v>
      </c>
      <c r="R1335" s="177" t="s">
        <v>9864</v>
      </c>
      <c r="S1335" s="177"/>
      <c r="T1335" s="177" t="s">
        <v>3349</v>
      </c>
      <c r="U1335" s="177" t="s">
        <v>152</v>
      </c>
      <c r="V1335" s="177" t="s">
        <v>20</v>
      </c>
    </row>
    <row r="1336" spans="2:22">
      <c r="B1336" s="251">
        <v>46233</v>
      </c>
      <c r="C1336" s="251">
        <v>46233</v>
      </c>
      <c r="D1336" s="177" t="s">
        <v>9865</v>
      </c>
      <c r="E1336" s="177" t="s">
        <v>9866</v>
      </c>
      <c r="F1336" s="177" t="s">
        <v>87</v>
      </c>
      <c r="G1336" s="177" t="s">
        <v>2560</v>
      </c>
      <c r="H1336" s="177" t="s">
        <v>661</v>
      </c>
      <c r="I1336" s="177">
        <v>34</v>
      </c>
      <c r="J1336" s="177">
        <v>34</v>
      </c>
      <c r="K1336" s="177">
        <v>30</v>
      </c>
      <c r="L1336" s="253">
        <v>1050</v>
      </c>
      <c r="M1336" s="177" t="s">
        <v>153</v>
      </c>
      <c r="N1336" s="177" t="s">
        <v>149</v>
      </c>
      <c r="O1336" s="177" t="s">
        <v>154</v>
      </c>
      <c r="P1336" s="177" t="s">
        <v>151</v>
      </c>
      <c r="Q1336" s="177" t="s">
        <v>156</v>
      </c>
      <c r="R1336" s="177" t="s">
        <v>9867</v>
      </c>
      <c r="S1336" s="177"/>
      <c r="T1336" s="177" t="s">
        <v>3349</v>
      </c>
      <c r="U1336" s="177" t="s">
        <v>152</v>
      </c>
      <c r="V1336" s="177" t="s">
        <v>20</v>
      </c>
    </row>
    <row r="1337" spans="2:22">
      <c r="B1337" s="251">
        <v>46233</v>
      </c>
      <c r="C1337" s="251">
        <v>46233</v>
      </c>
      <c r="D1337" s="177" t="s">
        <v>9868</v>
      </c>
      <c r="E1337" s="177" t="s">
        <v>9869</v>
      </c>
      <c r="F1337" s="177" t="s">
        <v>87</v>
      </c>
      <c r="G1337" s="177" t="s">
        <v>2560</v>
      </c>
      <c r="H1337" s="177" t="s">
        <v>661</v>
      </c>
      <c r="I1337" s="177">
        <v>49</v>
      </c>
      <c r="J1337" s="177">
        <v>49</v>
      </c>
      <c r="K1337" s="177">
        <v>30</v>
      </c>
      <c r="L1337" s="253">
        <v>1500</v>
      </c>
      <c r="M1337" s="177" t="s">
        <v>153</v>
      </c>
      <c r="N1337" s="177" t="s">
        <v>149</v>
      </c>
      <c r="O1337" s="177" t="s">
        <v>154</v>
      </c>
      <c r="P1337" s="177" t="s">
        <v>151</v>
      </c>
      <c r="Q1337" s="177" t="s">
        <v>156</v>
      </c>
      <c r="R1337" s="177" t="s">
        <v>9870</v>
      </c>
      <c r="S1337" s="177"/>
      <c r="T1337" s="177" t="s">
        <v>3349</v>
      </c>
      <c r="U1337" s="177" t="s">
        <v>152</v>
      </c>
      <c r="V1337" s="177" t="s">
        <v>20</v>
      </c>
    </row>
    <row r="1338" spans="2:22">
      <c r="B1338" s="251">
        <v>46233</v>
      </c>
      <c r="C1338" s="251">
        <v>46233</v>
      </c>
      <c r="D1338" s="177" t="s">
        <v>9871</v>
      </c>
      <c r="E1338" s="177" t="s">
        <v>9872</v>
      </c>
      <c r="F1338" s="177" t="s">
        <v>87</v>
      </c>
      <c r="G1338" s="177" t="s">
        <v>2560</v>
      </c>
      <c r="H1338" s="177" t="s">
        <v>661</v>
      </c>
      <c r="I1338" s="177">
        <v>35</v>
      </c>
      <c r="J1338" s="177">
        <v>35</v>
      </c>
      <c r="K1338" s="177">
        <v>30</v>
      </c>
      <c r="L1338" s="253">
        <v>1100</v>
      </c>
      <c r="M1338" s="177" t="s">
        <v>153</v>
      </c>
      <c r="N1338" s="177" t="s">
        <v>149</v>
      </c>
      <c r="O1338" s="177" t="s">
        <v>154</v>
      </c>
      <c r="P1338" s="177" t="s">
        <v>151</v>
      </c>
      <c r="Q1338" s="177" t="s">
        <v>156</v>
      </c>
      <c r="R1338" s="177" t="s">
        <v>9873</v>
      </c>
      <c r="S1338" s="177"/>
      <c r="T1338" s="177" t="s">
        <v>3349</v>
      </c>
      <c r="U1338" s="177" t="s">
        <v>152</v>
      </c>
      <c r="V1338" s="177" t="s">
        <v>20</v>
      </c>
    </row>
    <row r="1339" spans="2:22">
      <c r="B1339" s="251">
        <v>46233</v>
      </c>
      <c r="C1339" s="251">
        <v>46233</v>
      </c>
      <c r="D1339" s="177" t="s">
        <v>9874</v>
      </c>
      <c r="E1339" s="177" t="s">
        <v>9875</v>
      </c>
      <c r="F1339" s="177" t="s">
        <v>87</v>
      </c>
      <c r="G1339" s="177" t="s">
        <v>2560</v>
      </c>
      <c r="H1339" s="177" t="s">
        <v>661</v>
      </c>
      <c r="I1339" s="177">
        <v>35</v>
      </c>
      <c r="J1339" s="177">
        <v>35</v>
      </c>
      <c r="K1339" s="177">
        <v>30</v>
      </c>
      <c r="L1339" s="253">
        <v>1100</v>
      </c>
      <c r="M1339" s="177" t="s">
        <v>153</v>
      </c>
      <c r="N1339" s="177" t="s">
        <v>149</v>
      </c>
      <c r="O1339" s="177" t="s">
        <v>154</v>
      </c>
      <c r="P1339" s="177" t="s">
        <v>151</v>
      </c>
      <c r="Q1339" s="177" t="s">
        <v>156</v>
      </c>
      <c r="R1339" s="177" t="s">
        <v>9876</v>
      </c>
      <c r="S1339" s="177"/>
      <c r="T1339" s="177" t="s">
        <v>3349</v>
      </c>
      <c r="U1339" s="177" t="s">
        <v>152</v>
      </c>
      <c r="V1339" s="177" t="s">
        <v>20</v>
      </c>
    </row>
    <row r="1340" spans="2:22">
      <c r="B1340" s="251">
        <v>46233</v>
      </c>
      <c r="C1340" s="251">
        <v>46233</v>
      </c>
      <c r="D1340" s="177" t="s">
        <v>9877</v>
      </c>
      <c r="E1340" s="177" t="s">
        <v>9878</v>
      </c>
      <c r="F1340" s="177" t="s">
        <v>87</v>
      </c>
      <c r="G1340" s="177" t="s">
        <v>2560</v>
      </c>
      <c r="H1340" s="177" t="s">
        <v>661</v>
      </c>
      <c r="I1340" s="177">
        <v>40</v>
      </c>
      <c r="J1340" s="177">
        <v>40</v>
      </c>
      <c r="K1340" s="177">
        <v>30</v>
      </c>
      <c r="L1340" s="253">
        <v>1220</v>
      </c>
      <c r="M1340" s="177" t="s">
        <v>153</v>
      </c>
      <c r="N1340" s="177" t="s">
        <v>149</v>
      </c>
      <c r="O1340" s="177" t="s">
        <v>154</v>
      </c>
      <c r="P1340" s="177" t="s">
        <v>151</v>
      </c>
      <c r="Q1340" s="177" t="s">
        <v>156</v>
      </c>
      <c r="R1340" s="177" t="s">
        <v>9879</v>
      </c>
      <c r="S1340" s="177"/>
      <c r="T1340" s="177" t="s">
        <v>3349</v>
      </c>
      <c r="U1340" s="177" t="s">
        <v>152</v>
      </c>
      <c r="V1340" s="177" t="s">
        <v>20</v>
      </c>
    </row>
    <row r="1341" spans="2:22">
      <c r="B1341" s="251">
        <v>46233</v>
      </c>
      <c r="C1341" s="251">
        <v>46233</v>
      </c>
      <c r="D1341" s="177" t="s">
        <v>9880</v>
      </c>
      <c r="E1341" s="177">
        <v>1</v>
      </c>
      <c r="F1341" s="177" t="s">
        <v>94</v>
      </c>
      <c r="G1341" s="177" t="s">
        <v>9881</v>
      </c>
      <c r="H1341" s="177">
        <v>160</v>
      </c>
      <c r="I1341" s="177">
        <v>129</v>
      </c>
      <c r="J1341" s="177">
        <v>129</v>
      </c>
      <c r="K1341" s="177">
        <v>160</v>
      </c>
      <c r="L1341" s="177">
        <v>330</v>
      </c>
      <c r="M1341" s="177" t="s">
        <v>153</v>
      </c>
      <c r="N1341" s="177" t="s">
        <v>149</v>
      </c>
      <c r="O1341" s="177" t="s">
        <v>154</v>
      </c>
      <c r="P1341" s="177" t="s">
        <v>151</v>
      </c>
      <c r="Q1341" s="177" t="s">
        <v>155</v>
      </c>
      <c r="R1341" s="177" t="s">
        <v>9882</v>
      </c>
      <c r="S1341" s="177"/>
      <c r="T1341" s="177" t="s">
        <v>9883</v>
      </c>
      <c r="U1341" s="177" t="s">
        <v>152</v>
      </c>
      <c r="V1341" s="177" t="s">
        <v>18</v>
      </c>
    </row>
    <row r="1342" spans="2:22">
      <c r="B1342" s="251">
        <v>46233</v>
      </c>
      <c r="C1342" s="251">
        <v>46233</v>
      </c>
      <c r="D1342" s="177" t="s">
        <v>9884</v>
      </c>
      <c r="E1342" s="177" t="s">
        <v>9885</v>
      </c>
      <c r="F1342" s="177" t="s">
        <v>94</v>
      </c>
      <c r="G1342" s="177" t="s">
        <v>7036</v>
      </c>
      <c r="H1342" s="177">
        <v>182</v>
      </c>
      <c r="I1342" s="177">
        <v>241.5</v>
      </c>
      <c r="J1342" s="177">
        <v>241.5</v>
      </c>
      <c r="K1342" s="177">
        <v>107</v>
      </c>
      <c r="L1342" s="253">
        <v>1258</v>
      </c>
      <c r="M1342" s="177" t="s">
        <v>153</v>
      </c>
      <c r="N1342" s="177" t="s">
        <v>149</v>
      </c>
      <c r="O1342" s="177" t="s">
        <v>154</v>
      </c>
      <c r="P1342" s="177" t="s">
        <v>151</v>
      </c>
      <c r="Q1342" s="177" t="s">
        <v>155</v>
      </c>
      <c r="R1342" s="177" t="s">
        <v>9885</v>
      </c>
      <c r="S1342" s="177"/>
      <c r="T1342" s="177" t="s">
        <v>9883</v>
      </c>
      <c r="U1342" s="177" t="s">
        <v>152</v>
      </c>
      <c r="V1342" s="177" t="s">
        <v>18</v>
      </c>
    </row>
    <row r="1343" spans="2:22">
      <c r="B1343" s="251">
        <v>46233</v>
      </c>
      <c r="C1343" s="251">
        <v>46233</v>
      </c>
      <c r="D1343" s="177" t="s">
        <v>9886</v>
      </c>
      <c r="E1343" s="177">
        <v>1</v>
      </c>
      <c r="F1343" s="177" t="s">
        <v>94</v>
      </c>
      <c r="G1343" s="177" t="s">
        <v>9887</v>
      </c>
      <c r="H1343" s="177" t="s">
        <v>2653</v>
      </c>
      <c r="I1343" s="177">
        <v>294</v>
      </c>
      <c r="J1343" s="177">
        <v>294</v>
      </c>
      <c r="K1343" s="177">
        <v>78</v>
      </c>
      <c r="L1343" s="253">
        <v>3770</v>
      </c>
      <c r="M1343" s="177" t="s">
        <v>153</v>
      </c>
      <c r="N1343" s="177" t="s">
        <v>149</v>
      </c>
      <c r="O1343" s="177" t="s">
        <v>154</v>
      </c>
      <c r="P1343" s="177" t="s">
        <v>151</v>
      </c>
      <c r="Q1343" s="177" t="s">
        <v>156</v>
      </c>
      <c r="R1343" s="177" t="s">
        <v>9888</v>
      </c>
      <c r="S1343" s="177"/>
      <c r="T1343" s="177" t="s">
        <v>9889</v>
      </c>
      <c r="U1343" s="177" t="s">
        <v>152</v>
      </c>
      <c r="V1343" s="177" t="s">
        <v>20</v>
      </c>
    </row>
    <row r="1344" spans="2:22">
      <c r="B1344" s="251">
        <v>46233</v>
      </c>
      <c r="C1344" s="251">
        <v>46233</v>
      </c>
      <c r="D1344" s="177" t="s">
        <v>9890</v>
      </c>
      <c r="E1344" s="177" t="s">
        <v>9891</v>
      </c>
      <c r="F1344" s="177" t="s">
        <v>94</v>
      </c>
      <c r="G1344" s="177" t="s">
        <v>2559</v>
      </c>
      <c r="H1344" s="177" t="s">
        <v>2653</v>
      </c>
      <c r="I1344" s="177">
        <v>307</v>
      </c>
      <c r="J1344" s="177">
        <v>307</v>
      </c>
      <c r="K1344" s="177">
        <v>82</v>
      </c>
      <c r="L1344" s="253">
        <v>3600</v>
      </c>
      <c r="M1344" s="177" t="s">
        <v>153</v>
      </c>
      <c r="N1344" s="177" t="s">
        <v>149</v>
      </c>
      <c r="O1344" s="177" t="s">
        <v>154</v>
      </c>
      <c r="P1344" s="177" t="s">
        <v>151</v>
      </c>
      <c r="Q1344" s="177" t="s">
        <v>156</v>
      </c>
      <c r="R1344" s="177" t="s">
        <v>9892</v>
      </c>
      <c r="S1344" s="177"/>
      <c r="T1344" s="177" t="s">
        <v>9889</v>
      </c>
      <c r="U1344" s="177" t="s">
        <v>152</v>
      </c>
      <c r="V1344" s="177" t="s">
        <v>20</v>
      </c>
    </row>
    <row r="1345" spans="2:22">
      <c r="B1345" s="251">
        <v>46234</v>
      </c>
      <c r="C1345" s="251">
        <v>46234</v>
      </c>
      <c r="D1345" s="177" t="s">
        <v>9893</v>
      </c>
      <c r="E1345" s="177">
        <v>260101921474</v>
      </c>
      <c r="F1345" s="177" t="s">
        <v>87</v>
      </c>
      <c r="G1345" s="177" t="s">
        <v>2408</v>
      </c>
      <c r="H1345" s="177">
        <v>92</v>
      </c>
      <c r="I1345" s="177">
        <v>216</v>
      </c>
      <c r="J1345" s="177">
        <v>216</v>
      </c>
      <c r="K1345" s="177">
        <v>134</v>
      </c>
      <c r="L1345" s="177">
        <v>920</v>
      </c>
      <c r="M1345" s="177" t="s">
        <v>153</v>
      </c>
      <c r="N1345" s="177" t="s">
        <v>149</v>
      </c>
      <c r="O1345" s="177" t="s">
        <v>154</v>
      </c>
      <c r="P1345" s="177" t="s">
        <v>151</v>
      </c>
      <c r="Q1345" s="177" t="s">
        <v>155</v>
      </c>
      <c r="R1345" s="177" t="s">
        <v>9894</v>
      </c>
      <c r="S1345" s="177"/>
      <c r="T1345" s="177" t="s">
        <v>3357</v>
      </c>
      <c r="U1345" s="177" t="s">
        <v>152</v>
      </c>
      <c r="V1345" s="177" t="s">
        <v>18</v>
      </c>
    </row>
    <row r="1346" spans="2:22">
      <c r="B1346" s="251">
        <v>46234</v>
      </c>
      <c r="C1346" s="251">
        <v>46234</v>
      </c>
      <c r="D1346" s="177" t="s">
        <v>9895</v>
      </c>
      <c r="E1346" s="177">
        <v>260102021475</v>
      </c>
      <c r="F1346" s="177" t="s">
        <v>87</v>
      </c>
      <c r="G1346" s="177" t="s">
        <v>2408</v>
      </c>
      <c r="H1346" s="177">
        <v>92</v>
      </c>
      <c r="I1346" s="177">
        <v>206</v>
      </c>
      <c r="J1346" s="177">
        <v>206</v>
      </c>
      <c r="K1346" s="177">
        <v>134</v>
      </c>
      <c r="L1346" s="177">
        <v>880</v>
      </c>
      <c r="M1346" s="177" t="s">
        <v>153</v>
      </c>
      <c r="N1346" s="177" t="s">
        <v>149</v>
      </c>
      <c r="O1346" s="177" t="s">
        <v>154</v>
      </c>
      <c r="P1346" s="177" t="s">
        <v>151</v>
      </c>
      <c r="Q1346" s="177" t="s">
        <v>155</v>
      </c>
      <c r="R1346" s="177" t="s">
        <v>9896</v>
      </c>
      <c r="S1346" s="177"/>
      <c r="T1346" s="177" t="s">
        <v>3357</v>
      </c>
      <c r="U1346" s="177" t="s">
        <v>152</v>
      </c>
      <c r="V1346" s="177" t="s">
        <v>18</v>
      </c>
    </row>
    <row r="1347" spans="2:22">
      <c r="B1347" s="251">
        <v>46234</v>
      </c>
      <c r="C1347" s="251">
        <v>46234</v>
      </c>
      <c r="D1347" s="177" t="s">
        <v>9897</v>
      </c>
      <c r="E1347" s="177">
        <v>260101821460</v>
      </c>
      <c r="F1347" s="177" t="s">
        <v>87</v>
      </c>
      <c r="G1347" s="177" t="s">
        <v>9898</v>
      </c>
      <c r="H1347" s="177">
        <v>125</v>
      </c>
      <c r="I1347" s="177">
        <v>281</v>
      </c>
      <c r="J1347" s="177">
        <v>281</v>
      </c>
      <c r="K1347" s="177">
        <v>140</v>
      </c>
      <c r="L1347" s="177">
        <v>800</v>
      </c>
      <c r="M1347" s="177" t="s">
        <v>153</v>
      </c>
      <c r="N1347" s="177" t="s">
        <v>149</v>
      </c>
      <c r="O1347" s="177" t="s">
        <v>154</v>
      </c>
      <c r="P1347" s="177" t="s">
        <v>151</v>
      </c>
      <c r="Q1347" s="177" t="s">
        <v>155</v>
      </c>
      <c r="R1347" s="177" t="s">
        <v>9899</v>
      </c>
      <c r="S1347" s="177"/>
      <c r="T1347" s="177" t="s">
        <v>3357</v>
      </c>
      <c r="U1347" s="177" t="s">
        <v>152</v>
      </c>
      <c r="V1347" s="177" t="s">
        <v>18</v>
      </c>
    </row>
    <row r="1348" spans="2:22">
      <c r="B1348" s="251">
        <v>46234</v>
      </c>
      <c r="C1348" s="251">
        <v>46234</v>
      </c>
      <c r="D1348" s="177" t="s">
        <v>9900</v>
      </c>
      <c r="E1348" s="177">
        <v>260101721473</v>
      </c>
      <c r="F1348" s="177" t="s">
        <v>87</v>
      </c>
      <c r="G1348" s="177" t="s">
        <v>2408</v>
      </c>
      <c r="H1348" s="177">
        <v>92</v>
      </c>
      <c r="I1348" s="177">
        <v>241</v>
      </c>
      <c r="J1348" s="177">
        <v>241</v>
      </c>
      <c r="K1348" s="177">
        <v>134</v>
      </c>
      <c r="L1348" s="253">
        <v>1000</v>
      </c>
      <c r="M1348" s="177" t="s">
        <v>153</v>
      </c>
      <c r="N1348" s="177" t="s">
        <v>149</v>
      </c>
      <c r="O1348" s="177" t="s">
        <v>154</v>
      </c>
      <c r="P1348" s="177" t="s">
        <v>151</v>
      </c>
      <c r="Q1348" s="177" t="s">
        <v>155</v>
      </c>
      <c r="R1348" s="177" t="s">
        <v>9901</v>
      </c>
      <c r="S1348" s="177"/>
      <c r="T1348" s="177" t="s">
        <v>3357</v>
      </c>
      <c r="U1348" s="177" t="s">
        <v>152</v>
      </c>
      <c r="V1348" s="177" t="s">
        <v>18</v>
      </c>
    </row>
    <row r="1349" spans="2:22">
      <c r="B1349" s="251">
        <v>46234</v>
      </c>
      <c r="C1349" s="251">
        <v>46234</v>
      </c>
      <c r="D1349" s="177" t="s">
        <v>9902</v>
      </c>
      <c r="E1349" s="177">
        <v>260101821410</v>
      </c>
      <c r="F1349" s="177" t="s">
        <v>87</v>
      </c>
      <c r="G1349" s="177" t="s">
        <v>2648</v>
      </c>
      <c r="H1349" s="177">
        <v>142</v>
      </c>
      <c r="I1349" s="177">
        <v>284</v>
      </c>
      <c r="J1349" s="177">
        <v>284</v>
      </c>
      <c r="K1349" s="177">
        <v>140</v>
      </c>
      <c r="L1349" s="177">
        <v>720</v>
      </c>
      <c r="M1349" s="177" t="s">
        <v>153</v>
      </c>
      <c r="N1349" s="177" t="s">
        <v>149</v>
      </c>
      <c r="O1349" s="177" t="s">
        <v>154</v>
      </c>
      <c r="P1349" s="177" t="s">
        <v>151</v>
      </c>
      <c r="Q1349" s="177" t="s">
        <v>155</v>
      </c>
      <c r="R1349" s="177" t="s">
        <v>9903</v>
      </c>
      <c r="S1349" s="177"/>
      <c r="T1349" s="177" t="s">
        <v>3357</v>
      </c>
      <c r="U1349" s="177" t="s">
        <v>152</v>
      </c>
      <c r="V1349" s="177" t="s">
        <v>18</v>
      </c>
    </row>
    <row r="1350" spans="2:22">
      <c r="B1350" s="251">
        <v>46234</v>
      </c>
      <c r="C1350" s="251">
        <v>46234</v>
      </c>
      <c r="D1350" s="177" t="s">
        <v>9904</v>
      </c>
      <c r="E1350" s="177">
        <v>260105521197</v>
      </c>
      <c r="F1350" s="177" t="s">
        <v>87</v>
      </c>
      <c r="G1350" s="177" t="s">
        <v>7101</v>
      </c>
      <c r="H1350" s="177" t="s">
        <v>2377</v>
      </c>
      <c r="I1350" s="177">
        <v>569</v>
      </c>
      <c r="J1350" s="177">
        <v>569</v>
      </c>
      <c r="K1350" s="177">
        <v>110</v>
      </c>
      <c r="L1350" s="253">
        <v>2950</v>
      </c>
      <c r="M1350" s="177" t="s">
        <v>153</v>
      </c>
      <c r="N1350" s="177" t="s">
        <v>149</v>
      </c>
      <c r="O1350" s="177" t="s">
        <v>154</v>
      </c>
      <c r="P1350" s="177" t="s">
        <v>151</v>
      </c>
      <c r="Q1350" s="177" t="s">
        <v>156</v>
      </c>
      <c r="R1350" s="177" t="s">
        <v>9905</v>
      </c>
      <c r="S1350" s="177"/>
      <c r="T1350" s="177" t="s">
        <v>3357</v>
      </c>
      <c r="U1350" s="177" t="s">
        <v>152</v>
      </c>
      <c r="V1350" s="177" t="s">
        <v>20</v>
      </c>
    </row>
    <row r="1351" spans="2:22">
      <c r="B1351" s="251">
        <v>46234</v>
      </c>
      <c r="C1351" s="251">
        <v>46234</v>
      </c>
      <c r="D1351" s="177" t="s">
        <v>9906</v>
      </c>
      <c r="E1351" s="177">
        <v>260101021385</v>
      </c>
      <c r="F1351" s="177" t="s">
        <v>87</v>
      </c>
      <c r="G1351" s="177" t="s">
        <v>2656</v>
      </c>
      <c r="H1351" s="177" t="s">
        <v>2647</v>
      </c>
      <c r="I1351" s="177">
        <v>792</v>
      </c>
      <c r="J1351" s="177">
        <v>792</v>
      </c>
      <c r="K1351" s="177">
        <v>180</v>
      </c>
      <c r="L1351" s="253">
        <v>1540</v>
      </c>
      <c r="M1351" s="177" t="s">
        <v>153</v>
      </c>
      <c r="N1351" s="177" t="s">
        <v>149</v>
      </c>
      <c r="O1351" s="177" t="s">
        <v>154</v>
      </c>
      <c r="P1351" s="177" t="s">
        <v>151</v>
      </c>
      <c r="Q1351" s="177" t="s">
        <v>156</v>
      </c>
      <c r="R1351" s="177" t="s">
        <v>9907</v>
      </c>
      <c r="S1351" s="177"/>
      <c r="T1351" s="177" t="s">
        <v>3357</v>
      </c>
      <c r="U1351" s="177" t="s">
        <v>152</v>
      </c>
      <c r="V1351" s="177" t="s">
        <v>20</v>
      </c>
    </row>
    <row r="1352" spans="2:22">
      <c r="B1352" s="251">
        <v>46234</v>
      </c>
      <c r="C1352" s="251">
        <v>46234</v>
      </c>
      <c r="D1352" s="177" t="s">
        <v>9908</v>
      </c>
      <c r="E1352" s="177">
        <v>260101021222</v>
      </c>
      <c r="F1352" s="177" t="s">
        <v>87</v>
      </c>
      <c r="G1352" s="177" t="s">
        <v>2656</v>
      </c>
      <c r="H1352" s="177" t="s">
        <v>2647</v>
      </c>
      <c r="I1352" s="177">
        <v>798</v>
      </c>
      <c r="J1352" s="177">
        <v>798</v>
      </c>
      <c r="K1352" s="177">
        <v>180</v>
      </c>
      <c r="L1352" s="253">
        <v>1530</v>
      </c>
      <c r="M1352" s="177" t="s">
        <v>153</v>
      </c>
      <c r="N1352" s="177" t="s">
        <v>149</v>
      </c>
      <c r="O1352" s="177" t="s">
        <v>154</v>
      </c>
      <c r="P1352" s="177" t="s">
        <v>151</v>
      </c>
      <c r="Q1352" s="177" t="s">
        <v>156</v>
      </c>
      <c r="R1352" s="177" t="s">
        <v>9909</v>
      </c>
      <c r="S1352" s="177"/>
      <c r="T1352" s="177" t="s">
        <v>3357</v>
      </c>
      <c r="U1352" s="177" t="s">
        <v>152</v>
      </c>
      <c r="V1352" s="177" t="s">
        <v>20</v>
      </c>
    </row>
    <row r="1353" spans="2:22">
      <c r="B1353" s="251">
        <v>46234</v>
      </c>
      <c r="C1353" s="251">
        <v>46234</v>
      </c>
      <c r="D1353" s="177" t="s">
        <v>9910</v>
      </c>
      <c r="E1353" s="177" t="s">
        <v>9911</v>
      </c>
      <c r="F1353" s="177" t="s">
        <v>87</v>
      </c>
      <c r="G1353" s="177" t="s">
        <v>7237</v>
      </c>
      <c r="H1353" s="177" t="s">
        <v>7238</v>
      </c>
      <c r="I1353" s="177">
        <v>382</v>
      </c>
      <c r="J1353" s="177">
        <v>382</v>
      </c>
      <c r="K1353" s="177">
        <v>80</v>
      </c>
      <c r="L1353" s="253">
        <v>4240</v>
      </c>
      <c r="M1353" s="177" t="s">
        <v>153</v>
      </c>
      <c r="N1353" s="177" t="s">
        <v>149</v>
      </c>
      <c r="O1353" s="177" t="s">
        <v>154</v>
      </c>
      <c r="P1353" s="177" t="s">
        <v>151</v>
      </c>
      <c r="Q1353" s="177" t="s">
        <v>156</v>
      </c>
      <c r="R1353" s="177" t="s">
        <v>9912</v>
      </c>
      <c r="S1353" s="177"/>
      <c r="T1353" s="177" t="s">
        <v>3357</v>
      </c>
      <c r="U1353" s="177" t="s">
        <v>152</v>
      </c>
      <c r="V1353" s="177" t="s">
        <v>20</v>
      </c>
    </row>
    <row r="1354" spans="2:22">
      <c r="B1354" s="251">
        <v>46234</v>
      </c>
      <c r="C1354" s="251">
        <v>46234</v>
      </c>
      <c r="D1354" s="177" t="s">
        <v>9913</v>
      </c>
      <c r="E1354" s="177" t="s">
        <v>9914</v>
      </c>
      <c r="F1354" s="177" t="s">
        <v>87</v>
      </c>
      <c r="G1354" s="177" t="s">
        <v>7237</v>
      </c>
      <c r="H1354" s="177" t="s">
        <v>7238</v>
      </c>
      <c r="I1354" s="177">
        <v>338</v>
      </c>
      <c r="J1354" s="177">
        <v>338</v>
      </c>
      <c r="K1354" s="177">
        <v>80</v>
      </c>
      <c r="L1354" s="253">
        <v>3930</v>
      </c>
      <c r="M1354" s="177" t="s">
        <v>153</v>
      </c>
      <c r="N1354" s="177" t="s">
        <v>149</v>
      </c>
      <c r="O1354" s="177" t="s">
        <v>154</v>
      </c>
      <c r="P1354" s="177" t="s">
        <v>151</v>
      </c>
      <c r="Q1354" s="177" t="s">
        <v>156</v>
      </c>
      <c r="R1354" s="177" t="s">
        <v>9915</v>
      </c>
      <c r="S1354" s="177"/>
      <c r="T1354" s="177" t="s">
        <v>3357</v>
      </c>
      <c r="U1354" s="177" t="s">
        <v>152</v>
      </c>
      <c r="V1354" s="177" t="s">
        <v>20</v>
      </c>
    </row>
    <row r="1355" spans="2:22">
      <c r="B1355" s="251">
        <v>46234</v>
      </c>
      <c r="C1355" s="251">
        <v>46234</v>
      </c>
      <c r="D1355" s="177" t="s">
        <v>9916</v>
      </c>
      <c r="E1355" s="177" t="s">
        <v>9917</v>
      </c>
      <c r="F1355" s="177" t="s">
        <v>87</v>
      </c>
      <c r="G1355" s="177" t="s">
        <v>2645</v>
      </c>
      <c r="H1355" s="177" t="s">
        <v>2653</v>
      </c>
      <c r="I1355" s="177">
        <v>292</v>
      </c>
      <c r="J1355" s="177">
        <v>292</v>
      </c>
      <c r="K1355" s="177">
        <v>102</v>
      </c>
      <c r="L1355" s="253">
        <v>2525</v>
      </c>
      <c r="M1355" s="177" t="s">
        <v>153</v>
      </c>
      <c r="N1355" s="177" t="s">
        <v>149</v>
      </c>
      <c r="O1355" s="177" t="s">
        <v>154</v>
      </c>
      <c r="P1355" s="177" t="s">
        <v>151</v>
      </c>
      <c r="Q1355" s="177" t="s">
        <v>156</v>
      </c>
      <c r="R1355" s="177" t="s">
        <v>9918</v>
      </c>
      <c r="S1355" s="177"/>
      <c r="T1355" s="177" t="s">
        <v>3357</v>
      </c>
      <c r="U1355" s="177" t="s">
        <v>152</v>
      </c>
      <c r="V1355" s="177" t="s">
        <v>20</v>
      </c>
    </row>
    <row r="1356" spans="2:22">
      <c r="B1356" s="251">
        <v>46234</v>
      </c>
      <c r="C1356" s="251">
        <v>46234</v>
      </c>
      <c r="D1356" s="177" t="s">
        <v>9919</v>
      </c>
      <c r="E1356" s="177">
        <v>260105521329</v>
      </c>
      <c r="F1356" s="177" t="s">
        <v>87</v>
      </c>
      <c r="G1356" s="177" t="s">
        <v>7101</v>
      </c>
      <c r="H1356" s="177" t="s">
        <v>2377</v>
      </c>
      <c r="I1356" s="177">
        <v>515</v>
      </c>
      <c r="J1356" s="177">
        <v>515</v>
      </c>
      <c r="K1356" s="177">
        <v>110</v>
      </c>
      <c r="L1356" s="253">
        <v>2550</v>
      </c>
      <c r="M1356" s="177" t="s">
        <v>153</v>
      </c>
      <c r="N1356" s="177" t="s">
        <v>149</v>
      </c>
      <c r="O1356" s="177" t="s">
        <v>154</v>
      </c>
      <c r="P1356" s="177" t="s">
        <v>151</v>
      </c>
      <c r="Q1356" s="177" t="s">
        <v>156</v>
      </c>
      <c r="R1356" s="177" t="s">
        <v>9920</v>
      </c>
      <c r="S1356" s="177"/>
      <c r="T1356" s="177" t="s">
        <v>3357</v>
      </c>
      <c r="U1356" s="177" t="s">
        <v>152</v>
      </c>
      <c r="V1356" s="177" t="s">
        <v>20</v>
      </c>
    </row>
    <row r="1357" spans="2:22">
      <c r="B1357" s="251">
        <v>46234</v>
      </c>
      <c r="C1357" s="251">
        <v>46234</v>
      </c>
      <c r="D1357" s="177" t="s">
        <v>9921</v>
      </c>
      <c r="E1357" s="177">
        <v>260103321416</v>
      </c>
      <c r="F1357" s="177" t="s">
        <v>87</v>
      </c>
      <c r="G1357" s="177" t="s">
        <v>2641</v>
      </c>
      <c r="H1357" s="177">
        <v>160</v>
      </c>
      <c r="I1357" s="177">
        <v>334</v>
      </c>
      <c r="J1357" s="177">
        <v>334</v>
      </c>
      <c r="K1357" s="177">
        <v>102</v>
      </c>
      <c r="L1357" s="253">
        <v>2110</v>
      </c>
      <c r="M1357" s="177" t="s">
        <v>153</v>
      </c>
      <c r="N1357" s="177" t="s">
        <v>149</v>
      </c>
      <c r="O1357" s="177" t="s">
        <v>154</v>
      </c>
      <c r="P1357" s="177" t="s">
        <v>151</v>
      </c>
      <c r="Q1357" s="177" t="s">
        <v>155</v>
      </c>
      <c r="R1357" s="177" t="s">
        <v>9922</v>
      </c>
      <c r="S1357" s="177"/>
      <c r="T1357" s="177" t="s">
        <v>3359</v>
      </c>
      <c r="U1357" s="177" t="s">
        <v>152</v>
      </c>
      <c r="V1357" s="177" t="s">
        <v>18</v>
      </c>
    </row>
    <row r="1358" spans="2:22">
      <c r="B1358" s="251">
        <v>46234</v>
      </c>
      <c r="C1358" s="251">
        <v>46234</v>
      </c>
      <c r="D1358" s="177" t="s">
        <v>9923</v>
      </c>
      <c r="E1358" s="177">
        <v>260103821449</v>
      </c>
      <c r="F1358" s="177" t="s">
        <v>87</v>
      </c>
      <c r="G1358" s="177" t="s">
        <v>859</v>
      </c>
      <c r="H1358" s="177">
        <v>182</v>
      </c>
      <c r="I1358" s="177">
        <v>273</v>
      </c>
      <c r="J1358" s="177">
        <v>273</v>
      </c>
      <c r="K1358" s="177">
        <v>104</v>
      </c>
      <c r="L1358" s="253">
        <v>1500</v>
      </c>
      <c r="M1358" s="177" t="s">
        <v>153</v>
      </c>
      <c r="N1358" s="177" t="s">
        <v>149</v>
      </c>
      <c r="O1358" s="177" t="s">
        <v>154</v>
      </c>
      <c r="P1358" s="177" t="s">
        <v>151</v>
      </c>
      <c r="Q1358" s="177" t="s">
        <v>155</v>
      </c>
      <c r="R1358" s="177" t="s">
        <v>9924</v>
      </c>
      <c r="S1358" s="177"/>
      <c r="T1358" s="177" t="s">
        <v>3359</v>
      </c>
      <c r="U1358" s="177" t="s">
        <v>152</v>
      </c>
      <c r="V1358" s="177" t="s">
        <v>18</v>
      </c>
    </row>
    <row r="1359" spans="2:22">
      <c r="B1359" s="251">
        <v>46234</v>
      </c>
      <c r="C1359" s="251">
        <v>46234</v>
      </c>
      <c r="D1359" s="177" t="s">
        <v>9925</v>
      </c>
      <c r="E1359" s="177">
        <v>260102821450</v>
      </c>
      <c r="F1359" s="177" t="s">
        <v>87</v>
      </c>
      <c r="G1359" s="177" t="s">
        <v>2554</v>
      </c>
      <c r="H1359" s="177">
        <v>102</v>
      </c>
      <c r="I1359" s="177">
        <v>284</v>
      </c>
      <c r="J1359" s="177">
        <v>284</v>
      </c>
      <c r="K1359" s="177">
        <v>125</v>
      </c>
      <c r="L1359" s="253">
        <v>1180</v>
      </c>
      <c r="M1359" s="177" t="s">
        <v>153</v>
      </c>
      <c r="N1359" s="177" t="s">
        <v>149</v>
      </c>
      <c r="O1359" s="177" t="s">
        <v>154</v>
      </c>
      <c r="P1359" s="177" t="s">
        <v>151</v>
      </c>
      <c r="Q1359" s="177" t="s">
        <v>155</v>
      </c>
      <c r="R1359" s="177" t="s">
        <v>9926</v>
      </c>
      <c r="S1359" s="177"/>
      <c r="T1359" s="177" t="s">
        <v>3359</v>
      </c>
      <c r="U1359" s="177" t="s">
        <v>152</v>
      </c>
      <c r="V1359" s="177" t="s">
        <v>18</v>
      </c>
    </row>
    <row r="1360" spans="2:22">
      <c r="B1360" s="251">
        <v>46234</v>
      </c>
      <c r="C1360" s="251">
        <v>46234</v>
      </c>
      <c r="D1360" s="177" t="s">
        <v>9927</v>
      </c>
      <c r="E1360" s="177">
        <v>260103421452</v>
      </c>
      <c r="F1360" s="177" t="s">
        <v>87</v>
      </c>
      <c r="G1360" s="177" t="s">
        <v>859</v>
      </c>
      <c r="H1360" s="177">
        <v>152</v>
      </c>
      <c r="I1360" s="177">
        <v>299</v>
      </c>
      <c r="J1360" s="177">
        <v>299</v>
      </c>
      <c r="K1360" s="177">
        <v>104</v>
      </c>
      <c r="L1360" s="253">
        <v>1960</v>
      </c>
      <c r="M1360" s="177" t="s">
        <v>153</v>
      </c>
      <c r="N1360" s="177" t="s">
        <v>149</v>
      </c>
      <c r="O1360" s="177" t="s">
        <v>154</v>
      </c>
      <c r="P1360" s="177" t="s">
        <v>151</v>
      </c>
      <c r="Q1360" s="177" t="s">
        <v>155</v>
      </c>
      <c r="R1360" s="177" t="s">
        <v>9928</v>
      </c>
      <c r="S1360" s="177"/>
      <c r="T1360" s="177" t="s">
        <v>3359</v>
      </c>
      <c r="U1360" s="177" t="s">
        <v>152</v>
      </c>
      <c r="V1360" s="177" t="s">
        <v>18</v>
      </c>
    </row>
    <row r="1361" spans="2:22">
      <c r="B1361" s="251">
        <v>46234</v>
      </c>
      <c r="C1361" s="251">
        <v>46234</v>
      </c>
      <c r="D1361" s="177" t="s">
        <v>9929</v>
      </c>
      <c r="E1361" s="177">
        <v>260102821414</v>
      </c>
      <c r="F1361" s="177" t="s">
        <v>87</v>
      </c>
      <c r="G1361" s="177" t="s">
        <v>2554</v>
      </c>
      <c r="H1361" s="177">
        <v>102</v>
      </c>
      <c r="I1361" s="177">
        <v>241</v>
      </c>
      <c r="J1361" s="177">
        <v>241</v>
      </c>
      <c r="K1361" s="177">
        <v>125</v>
      </c>
      <c r="L1361" s="253">
        <v>1000</v>
      </c>
      <c r="M1361" s="177" t="s">
        <v>153</v>
      </c>
      <c r="N1361" s="177" t="s">
        <v>149</v>
      </c>
      <c r="O1361" s="177" t="s">
        <v>154</v>
      </c>
      <c r="P1361" s="177" t="s">
        <v>151</v>
      </c>
      <c r="Q1361" s="177" t="s">
        <v>155</v>
      </c>
      <c r="R1361" s="177" t="s">
        <v>9930</v>
      </c>
      <c r="S1361" s="177"/>
      <c r="T1361" s="177" t="s">
        <v>3359</v>
      </c>
      <c r="U1361" s="177" t="s">
        <v>152</v>
      </c>
      <c r="V1361" s="177" t="s">
        <v>18</v>
      </c>
    </row>
    <row r="1362" spans="2:22">
      <c r="B1362" s="251">
        <v>46234</v>
      </c>
      <c r="C1362" s="251">
        <v>46234</v>
      </c>
      <c r="D1362" s="177" t="s">
        <v>9931</v>
      </c>
      <c r="E1362" s="177">
        <v>260103321417</v>
      </c>
      <c r="F1362" s="177" t="s">
        <v>87</v>
      </c>
      <c r="G1362" s="177" t="s">
        <v>2641</v>
      </c>
      <c r="H1362" s="177">
        <v>160</v>
      </c>
      <c r="I1362" s="177">
        <v>329</v>
      </c>
      <c r="J1362" s="177">
        <v>329</v>
      </c>
      <c r="K1362" s="177">
        <v>102</v>
      </c>
      <c r="L1362" s="253">
        <v>2110</v>
      </c>
      <c r="M1362" s="177" t="s">
        <v>153</v>
      </c>
      <c r="N1362" s="177" t="s">
        <v>149</v>
      </c>
      <c r="O1362" s="177" t="s">
        <v>154</v>
      </c>
      <c r="P1362" s="177" t="s">
        <v>151</v>
      </c>
      <c r="Q1362" s="177" t="s">
        <v>155</v>
      </c>
      <c r="R1362" s="177" t="s">
        <v>9932</v>
      </c>
      <c r="S1362" s="177"/>
      <c r="T1362" s="177" t="s">
        <v>3359</v>
      </c>
      <c r="U1362" s="177" t="s">
        <v>152</v>
      </c>
      <c r="V1362" s="177" t="s">
        <v>18</v>
      </c>
    </row>
    <row r="1363" spans="2:22">
      <c r="B1363" s="251">
        <v>46234</v>
      </c>
      <c r="C1363" s="251">
        <v>46234</v>
      </c>
      <c r="D1363" s="177" t="s">
        <v>9933</v>
      </c>
      <c r="E1363" s="177">
        <v>260100421439</v>
      </c>
      <c r="F1363" s="177" t="s">
        <v>87</v>
      </c>
      <c r="G1363" s="177" t="s">
        <v>7130</v>
      </c>
      <c r="H1363" s="177">
        <v>182</v>
      </c>
      <c r="I1363" s="177">
        <v>418</v>
      </c>
      <c r="J1363" s="177">
        <v>418</v>
      </c>
      <c r="K1363" s="177">
        <v>190</v>
      </c>
      <c r="L1363" s="177">
        <v>630</v>
      </c>
      <c r="M1363" s="177" t="s">
        <v>153</v>
      </c>
      <c r="N1363" s="177" t="s">
        <v>149</v>
      </c>
      <c r="O1363" s="177" t="s">
        <v>154</v>
      </c>
      <c r="P1363" s="177" t="s">
        <v>151</v>
      </c>
      <c r="Q1363" s="177" t="s">
        <v>155</v>
      </c>
      <c r="R1363" s="177" t="s">
        <v>9934</v>
      </c>
      <c r="S1363" s="177"/>
      <c r="T1363" s="177" t="s">
        <v>3359</v>
      </c>
      <c r="U1363" s="177" t="s">
        <v>152</v>
      </c>
      <c r="V1363" s="177" t="s">
        <v>18</v>
      </c>
    </row>
    <row r="1364" spans="2:22">
      <c r="B1364" s="251">
        <v>46234</v>
      </c>
      <c r="C1364" s="251">
        <v>46234</v>
      </c>
      <c r="D1364" s="177" t="s">
        <v>9935</v>
      </c>
      <c r="E1364" s="177">
        <v>260103921447</v>
      </c>
      <c r="F1364" s="177" t="s">
        <v>87</v>
      </c>
      <c r="G1364" s="177" t="s">
        <v>2425</v>
      </c>
      <c r="H1364" s="177">
        <v>135</v>
      </c>
      <c r="I1364" s="177">
        <v>248</v>
      </c>
      <c r="J1364" s="177">
        <v>248</v>
      </c>
      <c r="K1364" s="177">
        <v>92</v>
      </c>
      <c r="L1364" s="253">
        <v>2000</v>
      </c>
      <c r="M1364" s="177" t="s">
        <v>153</v>
      </c>
      <c r="N1364" s="177" t="s">
        <v>149</v>
      </c>
      <c r="O1364" s="177" t="s">
        <v>154</v>
      </c>
      <c r="P1364" s="177" t="s">
        <v>151</v>
      </c>
      <c r="Q1364" s="177" t="s">
        <v>155</v>
      </c>
      <c r="R1364" s="177" t="s">
        <v>9936</v>
      </c>
      <c r="S1364" s="177"/>
      <c r="T1364" s="177" t="s">
        <v>3359</v>
      </c>
      <c r="U1364" s="177" t="s">
        <v>152</v>
      </c>
      <c r="V1364" s="177" t="s">
        <v>18</v>
      </c>
    </row>
    <row r="1365" spans="2:22">
      <c r="B1365" s="251">
        <v>46234</v>
      </c>
      <c r="C1365" s="251">
        <v>46234</v>
      </c>
      <c r="D1365" s="177" t="s">
        <v>9937</v>
      </c>
      <c r="E1365" s="177">
        <v>260100921455</v>
      </c>
      <c r="F1365" s="177" t="s">
        <v>87</v>
      </c>
      <c r="G1365" s="177" t="s">
        <v>7130</v>
      </c>
      <c r="H1365" s="177">
        <v>182</v>
      </c>
      <c r="I1365" s="177">
        <v>343</v>
      </c>
      <c r="J1365" s="177">
        <v>343</v>
      </c>
      <c r="K1365" s="177">
        <v>190</v>
      </c>
      <c r="L1365" s="177">
        <v>500</v>
      </c>
      <c r="M1365" s="177" t="s">
        <v>153</v>
      </c>
      <c r="N1365" s="177" t="s">
        <v>149</v>
      </c>
      <c r="O1365" s="177" t="s">
        <v>154</v>
      </c>
      <c r="P1365" s="177" t="s">
        <v>151</v>
      </c>
      <c r="Q1365" s="177" t="s">
        <v>155</v>
      </c>
      <c r="R1365" s="177" t="s">
        <v>9938</v>
      </c>
      <c r="S1365" s="177"/>
      <c r="T1365" s="177" t="s">
        <v>3359</v>
      </c>
      <c r="U1365" s="177" t="s">
        <v>152</v>
      </c>
      <c r="V1365" s="177" t="s">
        <v>18</v>
      </c>
    </row>
    <row r="1366" spans="2:22">
      <c r="B1366" s="251">
        <v>46234</v>
      </c>
      <c r="C1366" s="251">
        <v>46234</v>
      </c>
      <c r="D1366" s="177" t="s">
        <v>9939</v>
      </c>
      <c r="E1366" s="177">
        <v>260107521466</v>
      </c>
      <c r="F1366" s="177" t="s">
        <v>87</v>
      </c>
      <c r="G1366" s="177" t="s">
        <v>2310</v>
      </c>
      <c r="H1366" s="177">
        <v>125</v>
      </c>
      <c r="I1366" s="177">
        <v>278</v>
      </c>
      <c r="J1366" s="177">
        <v>278</v>
      </c>
      <c r="K1366" s="177">
        <v>87</v>
      </c>
      <c r="L1366" s="253">
        <v>2670</v>
      </c>
      <c r="M1366" s="177" t="s">
        <v>153</v>
      </c>
      <c r="N1366" s="177" t="s">
        <v>149</v>
      </c>
      <c r="O1366" s="177" t="s">
        <v>154</v>
      </c>
      <c r="P1366" s="177" t="s">
        <v>151</v>
      </c>
      <c r="Q1366" s="177" t="s">
        <v>155</v>
      </c>
      <c r="R1366" s="177" t="s">
        <v>9940</v>
      </c>
      <c r="S1366" s="177"/>
      <c r="T1366" s="177" t="s">
        <v>3359</v>
      </c>
      <c r="U1366" s="177" t="s">
        <v>152</v>
      </c>
      <c r="V1366" s="177" t="s">
        <v>18</v>
      </c>
    </row>
    <row r="1367" spans="2:22">
      <c r="B1367" s="251">
        <v>46234</v>
      </c>
      <c r="C1367" s="251">
        <v>46234</v>
      </c>
      <c r="D1367" s="177" t="s">
        <v>9941</v>
      </c>
      <c r="E1367" s="177">
        <v>260100421425</v>
      </c>
      <c r="F1367" s="177" t="s">
        <v>87</v>
      </c>
      <c r="G1367" s="177" t="s">
        <v>7130</v>
      </c>
      <c r="H1367" s="177">
        <v>182</v>
      </c>
      <c r="I1367" s="177">
        <v>417</v>
      </c>
      <c r="J1367" s="177">
        <v>417</v>
      </c>
      <c r="K1367" s="177">
        <v>190</v>
      </c>
      <c r="L1367" s="177">
        <v>600</v>
      </c>
      <c r="M1367" s="177" t="s">
        <v>153</v>
      </c>
      <c r="N1367" s="177" t="s">
        <v>149</v>
      </c>
      <c r="O1367" s="177" t="s">
        <v>154</v>
      </c>
      <c r="P1367" s="177" t="s">
        <v>151</v>
      </c>
      <c r="Q1367" s="177" t="s">
        <v>155</v>
      </c>
      <c r="R1367" s="177" t="s">
        <v>9942</v>
      </c>
      <c r="S1367" s="177"/>
      <c r="T1367" s="177" t="s">
        <v>3359</v>
      </c>
      <c r="U1367" s="177" t="s">
        <v>152</v>
      </c>
      <c r="V1367" s="177" t="s">
        <v>18</v>
      </c>
    </row>
    <row r="1368" spans="2:22">
      <c r="B1368" s="251">
        <v>46234</v>
      </c>
      <c r="C1368" s="251">
        <v>46234</v>
      </c>
      <c r="D1368" s="177" t="s">
        <v>9943</v>
      </c>
      <c r="E1368" s="177">
        <v>260100721428</v>
      </c>
      <c r="F1368" s="177" t="s">
        <v>87</v>
      </c>
      <c r="G1368" s="177" t="s">
        <v>2120</v>
      </c>
      <c r="H1368" s="177">
        <v>122</v>
      </c>
      <c r="I1368" s="177">
        <v>436</v>
      </c>
      <c r="J1368" s="177">
        <v>436</v>
      </c>
      <c r="K1368" s="177">
        <v>180</v>
      </c>
      <c r="L1368" s="253">
        <v>1020</v>
      </c>
      <c r="M1368" s="177" t="s">
        <v>153</v>
      </c>
      <c r="N1368" s="177" t="s">
        <v>149</v>
      </c>
      <c r="O1368" s="177" t="s">
        <v>154</v>
      </c>
      <c r="P1368" s="177" t="s">
        <v>151</v>
      </c>
      <c r="Q1368" s="177" t="s">
        <v>155</v>
      </c>
      <c r="R1368" s="177" t="s">
        <v>9944</v>
      </c>
      <c r="S1368" s="177"/>
      <c r="T1368" s="177" t="s">
        <v>3359</v>
      </c>
      <c r="U1368" s="177" t="s">
        <v>152</v>
      </c>
      <c r="V1368" s="177" t="s">
        <v>18</v>
      </c>
    </row>
    <row r="1369" spans="2:22">
      <c r="B1369" s="251">
        <v>46234</v>
      </c>
      <c r="C1369" s="251">
        <v>46234</v>
      </c>
      <c r="D1369" s="177" t="s">
        <v>9945</v>
      </c>
      <c r="E1369" s="177">
        <v>260103921446</v>
      </c>
      <c r="F1369" s="177" t="s">
        <v>87</v>
      </c>
      <c r="G1369" s="177" t="s">
        <v>2425</v>
      </c>
      <c r="H1369" s="177">
        <v>135</v>
      </c>
      <c r="I1369" s="177">
        <v>244</v>
      </c>
      <c r="J1369" s="177">
        <v>244</v>
      </c>
      <c r="K1369" s="177">
        <v>92</v>
      </c>
      <c r="L1369" s="253">
        <v>2000</v>
      </c>
      <c r="M1369" s="177" t="s">
        <v>153</v>
      </c>
      <c r="N1369" s="177" t="s">
        <v>149</v>
      </c>
      <c r="O1369" s="177" t="s">
        <v>154</v>
      </c>
      <c r="P1369" s="177" t="s">
        <v>151</v>
      </c>
      <c r="Q1369" s="177" t="s">
        <v>155</v>
      </c>
      <c r="R1369" s="177" t="s">
        <v>9946</v>
      </c>
      <c r="S1369" s="177"/>
      <c r="T1369" s="177" t="s">
        <v>3359</v>
      </c>
      <c r="U1369" s="177" t="s">
        <v>152</v>
      </c>
      <c r="V1369" s="177" t="s">
        <v>18</v>
      </c>
    </row>
    <row r="1370" spans="2:22">
      <c r="B1370" s="251">
        <v>46234</v>
      </c>
      <c r="C1370" s="251">
        <v>46234</v>
      </c>
      <c r="D1370" s="177" t="s">
        <v>9947</v>
      </c>
      <c r="E1370" s="177">
        <v>260100921426</v>
      </c>
      <c r="F1370" s="177" t="s">
        <v>87</v>
      </c>
      <c r="G1370" s="177" t="s">
        <v>7130</v>
      </c>
      <c r="H1370" s="177">
        <v>182</v>
      </c>
      <c r="I1370" s="177">
        <v>366</v>
      </c>
      <c r="J1370" s="177">
        <v>366</v>
      </c>
      <c r="K1370" s="177">
        <v>190</v>
      </c>
      <c r="L1370" s="177">
        <v>550</v>
      </c>
      <c r="M1370" s="177" t="s">
        <v>153</v>
      </c>
      <c r="N1370" s="177" t="s">
        <v>149</v>
      </c>
      <c r="O1370" s="177" t="s">
        <v>154</v>
      </c>
      <c r="P1370" s="177" t="s">
        <v>151</v>
      </c>
      <c r="Q1370" s="177" t="s">
        <v>155</v>
      </c>
      <c r="R1370" s="177" t="s">
        <v>9948</v>
      </c>
      <c r="S1370" s="177"/>
      <c r="T1370" s="177" t="s">
        <v>3359</v>
      </c>
      <c r="U1370" s="177" t="s">
        <v>152</v>
      </c>
      <c r="V1370" s="177" t="s">
        <v>18</v>
      </c>
    </row>
    <row r="1371" spans="2:22">
      <c r="B1371" s="251">
        <v>46234</v>
      </c>
      <c r="C1371" s="251">
        <v>46234</v>
      </c>
      <c r="D1371" s="177" t="s">
        <v>9949</v>
      </c>
      <c r="E1371" s="177">
        <v>260103421451</v>
      </c>
      <c r="F1371" s="177" t="s">
        <v>87</v>
      </c>
      <c r="G1371" s="177" t="s">
        <v>859</v>
      </c>
      <c r="H1371" s="177">
        <v>152</v>
      </c>
      <c r="I1371" s="177">
        <v>303</v>
      </c>
      <c r="J1371" s="177">
        <v>303</v>
      </c>
      <c r="K1371" s="177">
        <v>104</v>
      </c>
      <c r="L1371" s="253">
        <v>1960</v>
      </c>
      <c r="M1371" s="177" t="s">
        <v>153</v>
      </c>
      <c r="N1371" s="177" t="s">
        <v>149</v>
      </c>
      <c r="O1371" s="177" t="s">
        <v>154</v>
      </c>
      <c r="P1371" s="177" t="s">
        <v>151</v>
      </c>
      <c r="Q1371" s="177" t="s">
        <v>155</v>
      </c>
      <c r="R1371" s="177" t="s">
        <v>9950</v>
      </c>
      <c r="S1371" s="177"/>
      <c r="T1371" s="177" t="s">
        <v>3359</v>
      </c>
      <c r="U1371" s="177" t="s">
        <v>152</v>
      </c>
      <c r="V1371" s="177" t="s">
        <v>18</v>
      </c>
    </row>
    <row r="1372" spans="2:22">
      <c r="B1372" s="251">
        <v>46234</v>
      </c>
      <c r="C1372" s="251">
        <v>46234</v>
      </c>
      <c r="D1372" s="177" t="s">
        <v>9951</v>
      </c>
      <c r="E1372" s="177">
        <v>260101621461</v>
      </c>
      <c r="F1372" s="177" t="s">
        <v>87</v>
      </c>
      <c r="G1372" s="177" t="s">
        <v>2120</v>
      </c>
      <c r="H1372" s="177">
        <v>112</v>
      </c>
      <c r="I1372" s="177">
        <v>378</v>
      </c>
      <c r="J1372" s="177">
        <v>378</v>
      </c>
      <c r="K1372" s="177">
        <v>180</v>
      </c>
      <c r="L1372" s="177">
        <v>950</v>
      </c>
      <c r="M1372" s="177" t="s">
        <v>153</v>
      </c>
      <c r="N1372" s="177" t="s">
        <v>149</v>
      </c>
      <c r="O1372" s="177" t="s">
        <v>154</v>
      </c>
      <c r="P1372" s="177" t="s">
        <v>151</v>
      </c>
      <c r="Q1372" s="177" t="s">
        <v>155</v>
      </c>
      <c r="R1372" s="177" t="s">
        <v>9952</v>
      </c>
      <c r="S1372" s="177"/>
      <c r="T1372" s="177" t="s">
        <v>3359</v>
      </c>
      <c r="U1372" s="177" t="s">
        <v>152</v>
      </c>
      <c r="V1372" s="177" t="s">
        <v>18</v>
      </c>
    </row>
    <row r="1373" spans="2:22">
      <c r="B1373" s="251">
        <v>46234</v>
      </c>
      <c r="C1373" s="251">
        <v>46234</v>
      </c>
      <c r="D1373" s="177" t="s">
        <v>9953</v>
      </c>
      <c r="E1373" s="177">
        <v>260105821437</v>
      </c>
      <c r="F1373" s="177" t="s">
        <v>87</v>
      </c>
      <c r="G1373" s="177" t="s">
        <v>859</v>
      </c>
      <c r="H1373" s="177">
        <v>152</v>
      </c>
      <c r="I1373" s="177">
        <v>258</v>
      </c>
      <c r="J1373" s="177">
        <v>258</v>
      </c>
      <c r="K1373" s="177">
        <v>104</v>
      </c>
      <c r="L1373" s="253">
        <v>1720</v>
      </c>
      <c r="M1373" s="177" t="s">
        <v>153</v>
      </c>
      <c r="N1373" s="177" t="s">
        <v>149</v>
      </c>
      <c r="O1373" s="177" t="s">
        <v>154</v>
      </c>
      <c r="P1373" s="177" t="s">
        <v>151</v>
      </c>
      <c r="Q1373" s="177" t="s">
        <v>155</v>
      </c>
      <c r="R1373" s="177" t="s">
        <v>9954</v>
      </c>
      <c r="S1373" s="177"/>
      <c r="T1373" s="177" t="s">
        <v>3359</v>
      </c>
      <c r="U1373" s="177" t="s">
        <v>152</v>
      </c>
      <c r="V1373" s="177" t="s">
        <v>18</v>
      </c>
    </row>
    <row r="1374" spans="2:22">
      <c r="B1374" s="251">
        <v>46234</v>
      </c>
      <c r="C1374" s="251">
        <v>46234</v>
      </c>
      <c r="D1374" s="177" t="s">
        <v>9955</v>
      </c>
      <c r="E1374" s="177">
        <v>260102621457</v>
      </c>
      <c r="F1374" s="177" t="s">
        <v>87</v>
      </c>
      <c r="G1374" s="177" t="s">
        <v>2554</v>
      </c>
      <c r="H1374" s="177">
        <v>102</v>
      </c>
      <c r="I1374" s="177">
        <v>245</v>
      </c>
      <c r="J1374" s="177">
        <v>245</v>
      </c>
      <c r="K1374" s="177">
        <v>125</v>
      </c>
      <c r="L1374" s="253">
        <v>1000</v>
      </c>
      <c r="M1374" s="177" t="s">
        <v>153</v>
      </c>
      <c r="N1374" s="177" t="s">
        <v>149</v>
      </c>
      <c r="O1374" s="177" t="s">
        <v>154</v>
      </c>
      <c r="P1374" s="177" t="s">
        <v>151</v>
      </c>
      <c r="Q1374" s="177" t="s">
        <v>155</v>
      </c>
      <c r="R1374" s="177" t="s">
        <v>9956</v>
      </c>
      <c r="S1374" s="177"/>
      <c r="T1374" s="177" t="s">
        <v>3359</v>
      </c>
      <c r="U1374" s="177" t="s">
        <v>152</v>
      </c>
      <c r="V1374" s="177" t="s">
        <v>18</v>
      </c>
    </row>
    <row r="1375" spans="2:22">
      <c r="B1375" s="251">
        <v>46234</v>
      </c>
      <c r="C1375" s="251">
        <v>46234</v>
      </c>
      <c r="D1375" s="177" t="s">
        <v>9957</v>
      </c>
      <c r="E1375" s="177">
        <v>260102721458</v>
      </c>
      <c r="F1375" s="177" t="s">
        <v>87</v>
      </c>
      <c r="G1375" s="177" t="s">
        <v>9311</v>
      </c>
      <c r="H1375" s="177">
        <v>112</v>
      </c>
      <c r="I1375" s="177">
        <v>269</v>
      </c>
      <c r="J1375" s="177">
        <v>269</v>
      </c>
      <c r="K1375" s="177">
        <v>126</v>
      </c>
      <c r="L1375" s="253">
        <v>1000</v>
      </c>
      <c r="M1375" s="177" t="s">
        <v>153</v>
      </c>
      <c r="N1375" s="177" t="s">
        <v>149</v>
      </c>
      <c r="O1375" s="177" t="s">
        <v>154</v>
      </c>
      <c r="P1375" s="177" t="s">
        <v>151</v>
      </c>
      <c r="Q1375" s="177" t="s">
        <v>155</v>
      </c>
      <c r="R1375" s="177" t="s">
        <v>9958</v>
      </c>
      <c r="S1375" s="177"/>
      <c r="T1375" s="177" t="s">
        <v>3359</v>
      </c>
      <c r="U1375" s="177" t="s">
        <v>152</v>
      </c>
      <c r="V1375" s="177" t="s">
        <v>18</v>
      </c>
    </row>
    <row r="1376" spans="2:22">
      <c r="B1376" s="251">
        <v>46234</v>
      </c>
      <c r="C1376" s="251">
        <v>46234</v>
      </c>
      <c r="D1376" s="177" t="s">
        <v>9959</v>
      </c>
      <c r="E1376" s="177">
        <v>260100521427</v>
      </c>
      <c r="F1376" s="177" t="s">
        <v>87</v>
      </c>
      <c r="G1376" s="177" t="s">
        <v>8900</v>
      </c>
      <c r="H1376" s="177">
        <v>192</v>
      </c>
      <c r="I1376" s="177">
        <v>385</v>
      </c>
      <c r="J1376" s="177">
        <v>385</v>
      </c>
      <c r="K1376" s="177">
        <v>180</v>
      </c>
      <c r="L1376" s="177">
        <v>580</v>
      </c>
      <c r="M1376" s="177" t="s">
        <v>153</v>
      </c>
      <c r="N1376" s="177" t="s">
        <v>149</v>
      </c>
      <c r="O1376" s="177" t="s">
        <v>154</v>
      </c>
      <c r="P1376" s="177" t="s">
        <v>151</v>
      </c>
      <c r="Q1376" s="177" t="s">
        <v>155</v>
      </c>
      <c r="R1376" s="177" t="s">
        <v>9960</v>
      </c>
      <c r="S1376" s="177"/>
      <c r="T1376" s="177" t="s">
        <v>3359</v>
      </c>
      <c r="U1376" s="177" t="s">
        <v>152</v>
      </c>
      <c r="V1376" s="177" t="s">
        <v>18</v>
      </c>
    </row>
    <row r="1377" spans="2:22">
      <c r="B1377" s="251">
        <v>46234</v>
      </c>
      <c r="C1377" s="251">
        <v>46234</v>
      </c>
      <c r="D1377" s="177" t="s">
        <v>9961</v>
      </c>
      <c r="E1377" s="177">
        <v>260104721436</v>
      </c>
      <c r="F1377" s="177" t="s">
        <v>87</v>
      </c>
      <c r="G1377" s="177" t="s">
        <v>9321</v>
      </c>
      <c r="H1377" s="177">
        <v>212</v>
      </c>
      <c r="I1377" s="177">
        <v>406</v>
      </c>
      <c r="J1377" s="177">
        <v>406</v>
      </c>
      <c r="K1377" s="177">
        <v>100</v>
      </c>
      <c r="L1377" s="253">
        <v>2000</v>
      </c>
      <c r="M1377" s="177" t="s">
        <v>153</v>
      </c>
      <c r="N1377" s="177" t="s">
        <v>149</v>
      </c>
      <c r="O1377" s="177" t="s">
        <v>154</v>
      </c>
      <c r="P1377" s="177" t="s">
        <v>151</v>
      </c>
      <c r="Q1377" s="177" t="s">
        <v>155</v>
      </c>
      <c r="R1377" s="177" t="s">
        <v>9962</v>
      </c>
      <c r="S1377" s="177"/>
      <c r="T1377" s="177" t="s">
        <v>3359</v>
      </c>
      <c r="U1377" s="177" t="s">
        <v>152</v>
      </c>
      <c r="V1377" s="177" t="s">
        <v>18</v>
      </c>
    </row>
    <row r="1378" spans="2:22">
      <c r="B1378" s="251">
        <v>46234</v>
      </c>
      <c r="C1378" s="251">
        <v>46234</v>
      </c>
      <c r="D1378" s="177" t="s">
        <v>9963</v>
      </c>
      <c r="E1378" s="177">
        <v>260105721438</v>
      </c>
      <c r="F1378" s="177" t="s">
        <v>87</v>
      </c>
      <c r="G1378" s="177" t="s">
        <v>2561</v>
      </c>
      <c r="H1378" s="177">
        <v>142</v>
      </c>
      <c r="I1378" s="177">
        <v>141</v>
      </c>
      <c r="J1378" s="177">
        <v>141</v>
      </c>
      <c r="K1378" s="177">
        <v>67</v>
      </c>
      <c r="L1378" s="253">
        <v>1530</v>
      </c>
      <c r="M1378" s="177" t="s">
        <v>153</v>
      </c>
      <c r="N1378" s="177" t="s">
        <v>149</v>
      </c>
      <c r="O1378" s="177" t="s">
        <v>154</v>
      </c>
      <c r="P1378" s="177" t="s">
        <v>151</v>
      </c>
      <c r="Q1378" s="177" t="s">
        <v>155</v>
      </c>
      <c r="R1378" s="177" t="s">
        <v>9964</v>
      </c>
      <c r="S1378" s="177"/>
      <c r="T1378" s="177" t="s">
        <v>3359</v>
      </c>
      <c r="U1378" s="177" t="s">
        <v>152</v>
      </c>
      <c r="V1378" s="177" t="s">
        <v>18</v>
      </c>
    </row>
    <row r="1379" spans="2:22">
      <c r="B1379" s="251">
        <v>46234</v>
      </c>
      <c r="C1379" s="251">
        <v>46234</v>
      </c>
      <c r="D1379" s="177" t="s">
        <v>9965</v>
      </c>
      <c r="E1379" s="177">
        <v>260103821448</v>
      </c>
      <c r="F1379" s="177" t="s">
        <v>87</v>
      </c>
      <c r="G1379" s="177" t="s">
        <v>859</v>
      </c>
      <c r="H1379" s="177">
        <v>182</v>
      </c>
      <c r="I1379" s="177">
        <v>278</v>
      </c>
      <c r="J1379" s="177">
        <v>278</v>
      </c>
      <c r="K1379" s="177">
        <v>104</v>
      </c>
      <c r="L1379" s="253">
        <v>1500</v>
      </c>
      <c r="M1379" s="177" t="s">
        <v>153</v>
      </c>
      <c r="N1379" s="177" t="s">
        <v>149</v>
      </c>
      <c r="O1379" s="177" t="s">
        <v>154</v>
      </c>
      <c r="P1379" s="177" t="s">
        <v>151</v>
      </c>
      <c r="Q1379" s="177" t="s">
        <v>155</v>
      </c>
      <c r="R1379" s="177" t="s">
        <v>9966</v>
      </c>
      <c r="S1379" s="177"/>
      <c r="T1379" s="177" t="s">
        <v>3359</v>
      </c>
      <c r="U1379" s="177" t="s">
        <v>152</v>
      </c>
      <c r="V1379" s="177" t="s">
        <v>18</v>
      </c>
    </row>
    <row r="1380" spans="2:22">
      <c r="B1380" s="251">
        <v>46234</v>
      </c>
      <c r="C1380" s="251">
        <v>46234</v>
      </c>
      <c r="D1380" s="177" t="s">
        <v>9967</v>
      </c>
      <c r="E1380" s="177">
        <v>260107621467</v>
      </c>
      <c r="F1380" s="177" t="s">
        <v>87</v>
      </c>
      <c r="G1380" s="177" t="s">
        <v>2310</v>
      </c>
      <c r="H1380" s="177">
        <v>125</v>
      </c>
      <c r="I1380" s="177">
        <v>245</v>
      </c>
      <c r="J1380" s="177">
        <v>245</v>
      </c>
      <c r="K1380" s="177">
        <v>87</v>
      </c>
      <c r="L1380" s="253">
        <v>2325</v>
      </c>
      <c r="M1380" s="177" t="s">
        <v>153</v>
      </c>
      <c r="N1380" s="177" t="s">
        <v>149</v>
      </c>
      <c r="O1380" s="177" t="s">
        <v>154</v>
      </c>
      <c r="P1380" s="177" t="s">
        <v>151</v>
      </c>
      <c r="Q1380" s="177" t="s">
        <v>155</v>
      </c>
      <c r="R1380" s="177" t="s">
        <v>9968</v>
      </c>
      <c r="S1380" s="177"/>
      <c r="T1380" s="177" t="s">
        <v>3359</v>
      </c>
      <c r="U1380" s="177" t="s">
        <v>152</v>
      </c>
      <c r="V1380" s="177" t="s">
        <v>18</v>
      </c>
    </row>
    <row r="1381" spans="2:22">
      <c r="B1381" s="251">
        <v>46234</v>
      </c>
      <c r="C1381" s="251">
        <v>46234</v>
      </c>
      <c r="D1381" s="177" t="s">
        <v>9969</v>
      </c>
      <c r="E1381" s="177">
        <v>260101621415</v>
      </c>
      <c r="F1381" s="177" t="s">
        <v>87</v>
      </c>
      <c r="G1381" s="177" t="s">
        <v>2120</v>
      </c>
      <c r="H1381" s="177">
        <v>112</v>
      </c>
      <c r="I1381" s="177">
        <v>323</v>
      </c>
      <c r="J1381" s="177">
        <v>323</v>
      </c>
      <c r="K1381" s="177">
        <v>180</v>
      </c>
      <c r="L1381" s="177">
        <v>820</v>
      </c>
      <c r="M1381" s="177" t="s">
        <v>153</v>
      </c>
      <c r="N1381" s="177" t="s">
        <v>149</v>
      </c>
      <c r="O1381" s="177" t="s">
        <v>154</v>
      </c>
      <c r="P1381" s="177" t="s">
        <v>151</v>
      </c>
      <c r="Q1381" s="177" t="s">
        <v>155</v>
      </c>
      <c r="R1381" s="177" t="s">
        <v>9970</v>
      </c>
      <c r="S1381" s="177"/>
      <c r="T1381" s="177" t="s">
        <v>3359</v>
      </c>
      <c r="U1381" s="177" t="s">
        <v>152</v>
      </c>
      <c r="V1381" s="177" t="s">
        <v>18</v>
      </c>
    </row>
    <row r="1382" spans="2:22">
      <c r="B1382" s="251">
        <v>46234</v>
      </c>
      <c r="C1382" s="251">
        <v>46234</v>
      </c>
      <c r="D1382" s="177" t="s">
        <v>9971</v>
      </c>
      <c r="E1382" s="177">
        <v>260100521456</v>
      </c>
      <c r="F1382" s="177" t="s">
        <v>87</v>
      </c>
      <c r="G1382" s="177" t="s">
        <v>8900</v>
      </c>
      <c r="H1382" s="177">
        <v>192</v>
      </c>
      <c r="I1382" s="177">
        <v>321</v>
      </c>
      <c r="J1382" s="177">
        <v>321</v>
      </c>
      <c r="K1382" s="177">
        <v>180</v>
      </c>
      <c r="L1382" s="177">
        <v>500</v>
      </c>
      <c r="M1382" s="177" t="s">
        <v>153</v>
      </c>
      <c r="N1382" s="177" t="s">
        <v>149</v>
      </c>
      <c r="O1382" s="177" t="s">
        <v>154</v>
      </c>
      <c r="P1382" s="177" t="s">
        <v>151</v>
      </c>
      <c r="Q1382" s="177" t="s">
        <v>155</v>
      </c>
      <c r="R1382" s="177" t="s">
        <v>9972</v>
      </c>
      <c r="S1382" s="177"/>
      <c r="T1382" s="177" t="s">
        <v>3359</v>
      </c>
      <c r="U1382" s="177" t="s">
        <v>152</v>
      </c>
      <c r="V1382" s="177" t="s">
        <v>18</v>
      </c>
    </row>
    <row r="1383" spans="2:22">
      <c r="B1383" s="251">
        <v>46234</v>
      </c>
      <c r="C1383" s="251">
        <v>46234</v>
      </c>
      <c r="D1383" s="177" t="s">
        <v>9973</v>
      </c>
      <c r="E1383" s="177">
        <v>260105321479</v>
      </c>
      <c r="F1383" s="177" t="s">
        <v>87</v>
      </c>
      <c r="G1383" s="177" t="s">
        <v>859</v>
      </c>
      <c r="H1383" s="177">
        <v>152</v>
      </c>
      <c r="I1383" s="177">
        <v>281</v>
      </c>
      <c r="J1383" s="177">
        <v>281</v>
      </c>
      <c r="K1383" s="177">
        <v>104</v>
      </c>
      <c r="L1383" s="253">
        <v>1840</v>
      </c>
      <c r="M1383" s="177" t="s">
        <v>153</v>
      </c>
      <c r="N1383" s="177" t="s">
        <v>149</v>
      </c>
      <c r="O1383" s="177" t="s">
        <v>154</v>
      </c>
      <c r="P1383" s="177" t="s">
        <v>151</v>
      </c>
      <c r="Q1383" s="177" t="s">
        <v>155</v>
      </c>
      <c r="R1383" s="177" t="s">
        <v>9974</v>
      </c>
      <c r="S1383" s="177"/>
      <c r="T1383" s="177" t="s">
        <v>3361</v>
      </c>
      <c r="U1383" s="177" t="s">
        <v>152</v>
      </c>
      <c r="V1383" s="177" t="s">
        <v>18</v>
      </c>
    </row>
    <row r="1384" spans="2:22">
      <c r="B1384" s="251">
        <v>46234</v>
      </c>
      <c r="C1384" s="251">
        <v>46234</v>
      </c>
      <c r="D1384" s="177" t="s">
        <v>9975</v>
      </c>
      <c r="E1384" s="177">
        <v>260102921477</v>
      </c>
      <c r="F1384" s="177" t="s">
        <v>87</v>
      </c>
      <c r="G1384" s="177" t="s">
        <v>859</v>
      </c>
      <c r="H1384" s="177">
        <v>152</v>
      </c>
      <c r="I1384" s="177">
        <v>299</v>
      </c>
      <c r="J1384" s="177">
        <v>299</v>
      </c>
      <c r="K1384" s="177">
        <v>104</v>
      </c>
      <c r="L1384" s="253">
        <v>1950</v>
      </c>
      <c r="M1384" s="177" t="s">
        <v>153</v>
      </c>
      <c r="N1384" s="177" t="s">
        <v>149</v>
      </c>
      <c r="O1384" s="177" t="s">
        <v>154</v>
      </c>
      <c r="P1384" s="177" t="s">
        <v>151</v>
      </c>
      <c r="Q1384" s="177" t="s">
        <v>155</v>
      </c>
      <c r="R1384" s="177" t="s">
        <v>9976</v>
      </c>
      <c r="S1384" s="177"/>
      <c r="T1384" s="177" t="s">
        <v>3361</v>
      </c>
      <c r="U1384" s="177" t="s">
        <v>152</v>
      </c>
      <c r="V1384" s="177" t="s">
        <v>18</v>
      </c>
    </row>
    <row r="1385" spans="2:22">
      <c r="B1385" s="251">
        <v>46234</v>
      </c>
      <c r="C1385" s="251">
        <v>46234</v>
      </c>
      <c r="D1385" s="177" t="s">
        <v>9977</v>
      </c>
      <c r="E1385" s="177">
        <v>260103321481</v>
      </c>
      <c r="F1385" s="177" t="s">
        <v>87</v>
      </c>
      <c r="G1385" s="177" t="s">
        <v>2641</v>
      </c>
      <c r="H1385" s="177">
        <v>160</v>
      </c>
      <c r="I1385" s="177">
        <v>207</v>
      </c>
      <c r="J1385" s="177">
        <v>207</v>
      </c>
      <c r="K1385" s="177">
        <v>102</v>
      </c>
      <c r="L1385" s="253">
        <v>1250</v>
      </c>
      <c r="M1385" s="177" t="s">
        <v>153</v>
      </c>
      <c r="N1385" s="177" t="s">
        <v>149</v>
      </c>
      <c r="O1385" s="177" t="s">
        <v>154</v>
      </c>
      <c r="P1385" s="177" t="s">
        <v>151</v>
      </c>
      <c r="Q1385" s="177" t="s">
        <v>155</v>
      </c>
      <c r="R1385" s="177" t="s">
        <v>9978</v>
      </c>
      <c r="S1385" s="177"/>
      <c r="T1385" s="177" t="s">
        <v>3361</v>
      </c>
      <c r="U1385" s="177" t="s">
        <v>152</v>
      </c>
      <c r="V1385" s="177" t="s">
        <v>18</v>
      </c>
    </row>
    <row r="1386" spans="2:22">
      <c r="B1386" s="251">
        <v>46234</v>
      </c>
      <c r="C1386" s="251">
        <v>46234</v>
      </c>
      <c r="D1386" s="177" t="s">
        <v>9979</v>
      </c>
      <c r="E1386" s="177">
        <v>260103321482</v>
      </c>
      <c r="F1386" s="177" t="s">
        <v>87</v>
      </c>
      <c r="G1386" s="177" t="s">
        <v>2641</v>
      </c>
      <c r="H1386" s="177">
        <v>160</v>
      </c>
      <c r="I1386" s="177">
        <v>204</v>
      </c>
      <c r="J1386" s="177">
        <v>204</v>
      </c>
      <c r="K1386" s="177">
        <v>102</v>
      </c>
      <c r="L1386" s="253">
        <v>1250</v>
      </c>
      <c r="M1386" s="177" t="s">
        <v>153</v>
      </c>
      <c r="N1386" s="177" t="s">
        <v>149</v>
      </c>
      <c r="O1386" s="177" t="s">
        <v>154</v>
      </c>
      <c r="P1386" s="177" t="s">
        <v>151</v>
      </c>
      <c r="Q1386" s="177" t="s">
        <v>155</v>
      </c>
      <c r="R1386" s="177" t="s">
        <v>9980</v>
      </c>
      <c r="S1386" s="177"/>
      <c r="T1386" s="177" t="s">
        <v>3361</v>
      </c>
      <c r="U1386" s="177" t="s">
        <v>152</v>
      </c>
      <c r="V1386" s="177" t="s">
        <v>18</v>
      </c>
    </row>
    <row r="1387" spans="2:22">
      <c r="B1387" s="251">
        <v>46234</v>
      </c>
      <c r="C1387" s="251">
        <v>46234</v>
      </c>
      <c r="D1387" s="177" t="s">
        <v>9981</v>
      </c>
      <c r="E1387" s="177">
        <v>260102921476</v>
      </c>
      <c r="F1387" s="177" t="s">
        <v>87</v>
      </c>
      <c r="G1387" s="177" t="s">
        <v>859</v>
      </c>
      <c r="H1387" s="177">
        <v>152</v>
      </c>
      <c r="I1387" s="177">
        <v>298</v>
      </c>
      <c r="J1387" s="177">
        <v>298</v>
      </c>
      <c r="K1387" s="177">
        <v>104</v>
      </c>
      <c r="L1387" s="253">
        <v>1950</v>
      </c>
      <c r="M1387" s="177" t="s">
        <v>153</v>
      </c>
      <c r="N1387" s="177" t="s">
        <v>149</v>
      </c>
      <c r="O1387" s="177" t="s">
        <v>154</v>
      </c>
      <c r="P1387" s="177" t="s">
        <v>151</v>
      </c>
      <c r="Q1387" s="177" t="s">
        <v>155</v>
      </c>
      <c r="R1387" s="177" t="s">
        <v>9982</v>
      </c>
      <c r="S1387" s="177"/>
      <c r="T1387" s="177" t="s">
        <v>3361</v>
      </c>
      <c r="U1387" s="177" t="s">
        <v>152</v>
      </c>
      <c r="V1387" s="177" t="s">
        <v>18</v>
      </c>
    </row>
    <row r="1388" spans="2:22">
      <c r="B1388" s="251">
        <v>46234</v>
      </c>
      <c r="C1388" s="251">
        <v>46234</v>
      </c>
      <c r="D1388" s="177" t="s">
        <v>9983</v>
      </c>
      <c r="E1388" s="177" t="s">
        <v>9984</v>
      </c>
      <c r="F1388" s="177" t="s">
        <v>93</v>
      </c>
      <c r="G1388" s="177" t="s">
        <v>8930</v>
      </c>
      <c r="H1388" s="177">
        <v>182</v>
      </c>
      <c r="I1388" s="177">
        <v>186.2</v>
      </c>
      <c r="J1388" s="177">
        <v>186.2</v>
      </c>
      <c r="K1388" s="177">
        <v>98</v>
      </c>
      <c r="L1388" s="253">
        <v>1050</v>
      </c>
      <c r="M1388" s="177" t="s">
        <v>153</v>
      </c>
      <c r="N1388" s="177" t="s">
        <v>149</v>
      </c>
      <c r="O1388" s="177" t="s">
        <v>154</v>
      </c>
      <c r="P1388" s="177" t="s">
        <v>151</v>
      </c>
      <c r="Q1388" s="177" t="s">
        <v>155</v>
      </c>
      <c r="R1388" s="177" t="s">
        <v>9985</v>
      </c>
      <c r="S1388" s="177"/>
      <c r="T1388" s="177" t="s">
        <v>1583</v>
      </c>
      <c r="U1388" s="177" t="s">
        <v>152</v>
      </c>
      <c r="V1388" s="177" t="s">
        <v>18</v>
      </c>
    </row>
    <row r="1389" spans="2:22">
      <c r="B1389" s="251">
        <v>46234</v>
      </c>
      <c r="C1389" s="251">
        <v>46234</v>
      </c>
      <c r="D1389" s="177" t="s">
        <v>9986</v>
      </c>
      <c r="E1389" s="177" t="s">
        <v>9987</v>
      </c>
      <c r="F1389" s="177" t="s">
        <v>93</v>
      </c>
      <c r="G1389" s="177" t="s">
        <v>8930</v>
      </c>
      <c r="H1389" s="177">
        <v>182</v>
      </c>
      <c r="I1389" s="177">
        <v>185</v>
      </c>
      <c r="J1389" s="177">
        <v>185</v>
      </c>
      <c r="K1389" s="177">
        <v>98</v>
      </c>
      <c r="L1389" s="253">
        <v>1050</v>
      </c>
      <c r="M1389" s="177" t="s">
        <v>153</v>
      </c>
      <c r="N1389" s="177" t="s">
        <v>149</v>
      </c>
      <c r="O1389" s="177" t="s">
        <v>154</v>
      </c>
      <c r="P1389" s="177" t="s">
        <v>151</v>
      </c>
      <c r="Q1389" s="177" t="s">
        <v>155</v>
      </c>
      <c r="R1389" s="177" t="s">
        <v>9988</v>
      </c>
      <c r="S1389" s="177"/>
      <c r="T1389" s="177" t="s">
        <v>1583</v>
      </c>
      <c r="U1389" s="177" t="s">
        <v>152</v>
      </c>
      <c r="V1389" s="177" t="s">
        <v>18</v>
      </c>
    </row>
    <row r="1390" spans="2:22">
      <c r="B1390" s="251">
        <v>46234</v>
      </c>
      <c r="C1390" s="251">
        <v>46234</v>
      </c>
      <c r="D1390" s="177" t="s">
        <v>9989</v>
      </c>
      <c r="E1390" s="177" t="s">
        <v>9990</v>
      </c>
      <c r="F1390" s="177" t="s">
        <v>93</v>
      </c>
      <c r="G1390" s="177" t="s">
        <v>8930</v>
      </c>
      <c r="H1390" s="177">
        <v>182</v>
      </c>
      <c r="I1390" s="177">
        <v>122.6</v>
      </c>
      <c r="J1390" s="177">
        <v>122.6</v>
      </c>
      <c r="K1390" s="177">
        <v>98</v>
      </c>
      <c r="L1390" s="177">
        <v>700</v>
      </c>
      <c r="M1390" s="177" t="s">
        <v>153</v>
      </c>
      <c r="N1390" s="177" t="s">
        <v>149</v>
      </c>
      <c r="O1390" s="177" t="s">
        <v>154</v>
      </c>
      <c r="P1390" s="177" t="s">
        <v>151</v>
      </c>
      <c r="Q1390" s="177" t="s">
        <v>155</v>
      </c>
      <c r="R1390" s="177" t="s">
        <v>9991</v>
      </c>
      <c r="S1390" s="177"/>
      <c r="T1390" s="177" t="s">
        <v>1583</v>
      </c>
      <c r="U1390" s="177" t="s">
        <v>152</v>
      </c>
      <c r="V1390" s="177" t="s">
        <v>18</v>
      </c>
    </row>
    <row r="1391" spans="2:22">
      <c r="B1391" s="251">
        <v>46234</v>
      </c>
      <c r="C1391" s="251">
        <v>46234</v>
      </c>
      <c r="D1391" s="177" t="s">
        <v>9992</v>
      </c>
      <c r="E1391" s="177" t="s">
        <v>9993</v>
      </c>
      <c r="F1391" s="177" t="s">
        <v>93</v>
      </c>
      <c r="G1391" s="177" t="s">
        <v>8930</v>
      </c>
      <c r="H1391" s="177">
        <v>182</v>
      </c>
      <c r="I1391" s="177">
        <v>186</v>
      </c>
      <c r="J1391" s="177">
        <v>186</v>
      </c>
      <c r="K1391" s="177">
        <v>98</v>
      </c>
      <c r="L1391" s="253">
        <v>1050</v>
      </c>
      <c r="M1391" s="177" t="s">
        <v>153</v>
      </c>
      <c r="N1391" s="177" t="s">
        <v>149</v>
      </c>
      <c r="O1391" s="177" t="s">
        <v>154</v>
      </c>
      <c r="P1391" s="177" t="s">
        <v>151</v>
      </c>
      <c r="Q1391" s="177" t="s">
        <v>155</v>
      </c>
      <c r="R1391" s="177" t="s">
        <v>9994</v>
      </c>
      <c r="S1391" s="177"/>
      <c r="T1391" s="177" t="s">
        <v>1583</v>
      </c>
      <c r="U1391" s="177" t="s">
        <v>152</v>
      </c>
      <c r="V1391" s="177" t="s">
        <v>18</v>
      </c>
    </row>
    <row r="1392" spans="2:22">
      <c r="B1392" s="251">
        <v>46234</v>
      </c>
      <c r="C1392" s="251">
        <v>46234</v>
      </c>
      <c r="D1392" s="177" t="s">
        <v>9995</v>
      </c>
      <c r="E1392" s="177" t="s">
        <v>9996</v>
      </c>
      <c r="F1392" s="177" t="s">
        <v>93</v>
      </c>
      <c r="G1392" s="177" t="s">
        <v>8930</v>
      </c>
      <c r="H1392" s="177">
        <v>182</v>
      </c>
      <c r="I1392" s="177">
        <v>123.4</v>
      </c>
      <c r="J1392" s="177">
        <v>123.4</v>
      </c>
      <c r="K1392" s="177">
        <v>98</v>
      </c>
      <c r="L1392" s="177">
        <v>700</v>
      </c>
      <c r="M1392" s="177" t="s">
        <v>153</v>
      </c>
      <c r="N1392" s="177" t="s">
        <v>149</v>
      </c>
      <c r="O1392" s="177" t="s">
        <v>154</v>
      </c>
      <c r="P1392" s="177" t="s">
        <v>151</v>
      </c>
      <c r="Q1392" s="177" t="s">
        <v>155</v>
      </c>
      <c r="R1392" s="177" t="s">
        <v>9997</v>
      </c>
      <c r="S1392" s="177"/>
      <c r="T1392" s="177" t="s">
        <v>1583</v>
      </c>
      <c r="U1392" s="177" t="s">
        <v>152</v>
      </c>
      <c r="V1392" s="177" t="s">
        <v>18</v>
      </c>
    </row>
    <row r="1393" spans="2:22">
      <c r="B1393" s="251">
        <v>46234</v>
      </c>
      <c r="C1393" s="251">
        <v>46234</v>
      </c>
      <c r="D1393" s="177" t="s">
        <v>9998</v>
      </c>
      <c r="E1393" s="177" t="s">
        <v>9999</v>
      </c>
      <c r="F1393" s="177" t="s">
        <v>93</v>
      </c>
      <c r="G1393" s="177" t="s">
        <v>8930</v>
      </c>
      <c r="H1393" s="177">
        <v>182</v>
      </c>
      <c r="I1393" s="177">
        <v>123</v>
      </c>
      <c r="J1393" s="177">
        <v>123</v>
      </c>
      <c r="K1393" s="177">
        <v>98</v>
      </c>
      <c r="L1393" s="177">
        <v>700</v>
      </c>
      <c r="M1393" s="177" t="s">
        <v>153</v>
      </c>
      <c r="N1393" s="177" t="s">
        <v>149</v>
      </c>
      <c r="O1393" s="177" t="s">
        <v>154</v>
      </c>
      <c r="P1393" s="177" t="s">
        <v>151</v>
      </c>
      <c r="Q1393" s="177" t="s">
        <v>155</v>
      </c>
      <c r="R1393" s="177" t="s">
        <v>10000</v>
      </c>
      <c r="S1393" s="177"/>
      <c r="T1393" s="177" t="s">
        <v>1583</v>
      </c>
      <c r="U1393" s="177" t="s">
        <v>152</v>
      </c>
      <c r="V1393" s="177" t="s">
        <v>18</v>
      </c>
    </row>
    <row r="1394" spans="2:22">
      <c r="I1394" s="398" t="s">
        <v>2660</v>
      </c>
      <c r="J1394" s="385">
        <f>SUM(J2:J1393)</f>
        <v>382735.1</v>
      </c>
    </row>
  </sheetData>
  <autoFilter ref="B1:V1394"/>
  <pageMargins left="0.7" right="0.7" top="0.75" bottom="0.75" header="0.3" footer="0.3"/>
  <pageSetup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5:U18"/>
  <sheetViews>
    <sheetView workbookViewId="0">
      <selection activeCell="B22" sqref="B22"/>
    </sheetView>
  </sheetViews>
  <sheetFormatPr defaultRowHeight="15"/>
  <cols>
    <col min="1" max="1" width="15.42578125" customWidth="1"/>
    <col min="2" max="2" width="16.28515625" customWidth="1"/>
    <col min="3" max="6" width="9.5703125" customWidth="1"/>
    <col min="7" max="7" width="9.5703125" bestFit="1" customWidth="1"/>
    <col min="8" max="12" width="9.5703125" customWidth="1"/>
    <col min="13" max="13" width="9.5703125" bestFit="1" customWidth="1"/>
    <col min="14" max="14" width="10.5703125" bestFit="1" customWidth="1"/>
    <col min="15" max="17" width="9.5703125" customWidth="1"/>
    <col min="18" max="18" width="9.5703125" bestFit="1" customWidth="1"/>
    <col min="19" max="20" width="9.5703125" customWidth="1"/>
    <col min="21" max="21" width="11.5703125" bestFit="1" customWidth="1"/>
  </cols>
  <sheetData>
    <row r="5" spans="1:21">
      <c r="A5" s="73" t="s">
        <v>405</v>
      </c>
      <c r="B5" s="73" t="s">
        <v>407</v>
      </c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 t="s">
        <v>408</v>
      </c>
      <c r="O5" s="73"/>
      <c r="P5" s="73"/>
      <c r="Q5" s="73"/>
      <c r="R5" s="73"/>
      <c r="S5" s="73"/>
      <c r="T5" s="73"/>
      <c r="U5" s="73" t="s">
        <v>84</v>
      </c>
    </row>
    <row r="6" spans="1:21">
      <c r="A6" s="73" t="s">
        <v>83</v>
      </c>
      <c r="B6" s="73" t="s">
        <v>393</v>
      </c>
      <c r="C6" s="73" t="s">
        <v>394</v>
      </c>
      <c r="D6" s="73" t="s">
        <v>395</v>
      </c>
      <c r="E6" s="73" t="s">
        <v>396</v>
      </c>
      <c r="F6" s="73" t="s">
        <v>397</v>
      </c>
      <c r="G6" s="73" t="s">
        <v>398</v>
      </c>
      <c r="H6" s="73" t="s">
        <v>399</v>
      </c>
      <c r="I6" s="73" t="s">
        <v>400</v>
      </c>
      <c r="J6" s="73" t="s">
        <v>401</v>
      </c>
      <c r="K6" s="73" t="s">
        <v>402</v>
      </c>
      <c r="L6" s="73" t="s">
        <v>403</v>
      </c>
      <c r="M6" s="73" t="s">
        <v>404</v>
      </c>
      <c r="N6" s="73" t="s">
        <v>393</v>
      </c>
      <c r="O6" s="73" t="s">
        <v>394</v>
      </c>
      <c r="P6" s="73" t="s">
        <v>395</v>
      </c>
      <c r="Q6" s="73" t="s">
        <v>396</v>
      </c>
      <c r="R6" s="73" t="s">
        <v>397</v>
      </c>
      <c r="S6" s="73" t="s">
        <v>398</v>
      </c>
      <c r="T6" s="73" t="s">
        <v>399</v>
      </c>
      <c r="U6" s="73"/>
    </row>
    <row r="7" spans="1:21">
      <c r="A7" s="71" t="s">
        <v>58</v>
      </c>
      <c r="B7" s="25">
        <v>819152.70000000019</v>
      </c>
      <c r="C7" s="25">
        <v>653781.99999999988</v>
      </c>
      <c r="D7" s="25">
        <v>604174.4</v>
      </c>
      <c r="E7" s="25">
        <v>533515.99200000009</v>
      </c>
      <c r="F7" s="25">
        <v>726297.1</v>
      </c>
      <c r="G7" s="25">
        <v>467937.19999999995</v>
      </c>
      <c r="H7" s="25">
        <v>755805.09999999951</v>
      </c>
      <c r="I7" s="25">
        <v>539748.5</v>
      </c>
      <c r="J7" s="25">
        <v>828748.08000000019</v>
      </c>
      <c r="K7" s="25">
        <v>572098.9</v>
      </c>
      <c r="L7" s="25">
        <v>312484.5</v>
      </c>
      <c r="M7" s="25">
        <v>481221.5</v>
      </c>
      <c r="N7" s="25">
        <v>490634.1</v>
      </c>
      <c r="O7" s="25">
        <v>533869.89999999991</v>
      </c>
      <c r="P7" s="25">
        <v>611814.29999999993</v>
      </c>
      <c r="Q7" s="25">
        <v>653862.29999999993</v>
      </c>
      <c r="R7" s="25">
        <v>398649.30000000005</v>
      </c>
      <c r="S7" s="25">
        <v>602089.60000000009</v>
      </c>
      <c r="T7" s="25">
        <v>461756.79999999993</v>
      </c>
      <c r="U7" s="25">
        <v>11047642.272000002</v>
      </c>
    </row>
    <row r="8" spans="1:21">
      <c r="A8" s="71" t="s">
        <v>381</v>
      </c>
      <c r="B8" s="25"/>
      <c r="C8" s="25">
        <v>7797.5</v>
      </c>
      <c r="D8" s="25"/>
      <c r="E8" s="25"/>
      <c r="F8" s="25"/>
      <c r="G8" s="25"/>
      <c r="H8" s="25">
        <v>1531.8</v>
      </c>
      <c r="I8" s="25">
        <v>11668</v>
      </c>
      <c r="J8" s="25">
        <v>43668.2</v>
      </c>
      <c r="K8" s="25"/>
      <c r="L8" s="25">
        <v>5840.5</v>
      </c>
      <c r="M8" s="25"/>
      <c r="N8" s="25"/>
      <c r="O8" s="25"/>
      <c r="P8" s="25"/>
      <c r="Q8" s="25"/>
      <c r="R8" s="25">
        <v>16167.9</v>
      </c>
      <c r="S8" s="25"/>
      <c r="T8" s="25"/>
      <c r="U8" s="25">
        <v>86673.9</v>
      </c>
    </row>
    <row r="9" spans="1:21">
      <c r="A9" s="62" t="s">
        <v>84</v>
      </c>
      <c r="B9" s="63">
        <v>819152.70000000019</v>
      </c>
      <c r="C9" s="63">
        <v>661579.49999999988</v>
      </c>
      <c r="D9" s="63">
        <v>604174.4</v>
      </c>
      <c r="E9" s="63">
        <v>533515.99200000009</v>
      </c>
      <c r="F9" s="63">
        <v>726297.1</v>
      </c>
      <c r="G9" s="63">
        <v>467937.19999999995</v>
      </c>
      <c r="H9" s="63">
        <v>757336.89999999956</v>
      </c>
      <c r="I9" s="63">
        <v>551416.5</v>
      </c>
      <c r="J9" s="63">
        <v>872416.28000000014</v>
      </c>
      <c r="K9" s="63">
        <v>572098.9</v>
      </c>
      <c r="L9" s="63">
        <v>318325</v>
      </c>
      <c r="M9" s="63">
        <v>481221.5</v>
      </c>
      <c r="N9" s="63">
        <v>490634.1</v>
      </c>
      <c r="O9" s="63">
        <v>533869.89999999991</v>
      </c>
      <c r="P9" s="63">
        <v>611814.29999999993</v>
      </c>
      <c r="Q9" s="63">
        <v>653862.29999999993</v>
      </c>
      <c r="R9" s="63">
        <v>414817.20000000007</v>
      </c>
      <c r="S9" s="63">
        <v>602089.60000000009</v>
      </c>
      <c r="T9" s="63">
        <v>461756.79999999993</v>
      </c>
      <c r="U9" s="63">
        <v>11134316.172000002</v>
      </c>
    </row>
    <row r="10" spans="1:21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</row>
    <row r="11" spans="1:21">
      <c r="A11" s="73" t="s">
        <v>406</v>
      </c>
      <c r="B11" s="73" t="s">
        <v>407</v>
      </c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73" t="s">
        <v>408</v>
      </c>
      <c r="O11" s="69"/>
      <c r="P11" s="69"/>
      <c r="Q11" s="69"/>
      <c r="R11" s="69"/>
      <c r="S11" s="69"/>
      <c r="T11" s="69"/>
      <c r="U11" s="73" t="s">
        <v>84</v>
      </c>
    </row>
    <row r="12" spans="1:21" s="68" customFormat="1">
      <c r="A12" s="69" t="s">
        <v>83</v>
      </c>
      <c r="B12" s="24" t="s">
        <v>393</v>
      </c>
      <c r="C12" s="24" t="s">
        <v>394</v>
      </c>
      <c r="D12" s="24" t="s">
        <v>395</v>
      </c>
      <c r="E12" s="24" t="s">
        <v>396</v>
      </c>
      <c r="F12" s="24" t="s">
        <v>397</v>
      </c>
      <c r="G12" s="24" t="s">
        <v>398</v>
      </c>
      <c r="H12" s="24" t="s">
        <v>399</v>
      </c>
      <c r="I12" s="24" t="s">
        <v>400</v>
      </c>
      <c r="J12" s="24" t="s">
        <v>401</v>
      </c>
      <c r="K12" s="24" t="s">
        <v>402</v>
      </c>
      <c r="L12" s="24" t="s">
        <v>403</v>
      </c>
      <c r="M12" s="24" t="s">
        <v>404</v>
      </c>
      <c r="N12" s="24" t="s">
        <v>393</v>
      </c>
      <c r="O12" s="24" t="s">
        <v>394</v>
      </c>
      <c r="P12" s="24" t="s">
        <v>395</v>
      </c>
      <c r="Q12" s="24" t="s">
        <v>396</v>
      </c>
      <c r="R12" s="24" t="s">
        <v>397</v>
      </c>
      <c r="S12" s="24" t="s">
        <v>398</v>
      </c>
      <c r="T12" s="24" t="s">
        <v>399</v>
      </c>
      <c r="U12" s="69"/>
    </row>
    <row r="13" spans="1:21" s="68" customFormat="1">
      <c r="A13" s="71" t="s">
        <v>58</v>
      </c>
      <c r="B13" s="25">
        <v>247344.69999999998</v>
      </c>
      <c r="C13" s="25">
        <v>213984.60000000003</v>
      </c>
      <c r="D13" s="25">
        <v>146523.6</v>
      </c>
      <c r="E13" s="25">
        <v>127909.59999999999</v>
      </c>
      <c r="F13" s="25">
        <v>131818.29999999999</v>
      </c>
      <c r="G13" s="25">
        <v>39430.399999999994</v>
      </c>
      <c r="H13" s="25">
        <v>146245.80000000005</v>
      </c>
      <c r="I13" s="25">
        <v>106416.7</v>
      </c>
      <c r="J13" s="25">
        <v>144404.70000000001</v>
      </c>
      <c r="K13" s="25">
        <v>121399.49999999999</v>
      </c>
      <c r="L13" s="25">
        <v>99882.400000000009</v>
      </c>
      <c r="M13" s="25">
        <v>98367.900000000009</v>
      </c>
      <c r="N13" s="25">
        <v>53702</v>
      </c>
      <c r="O13" s="25">
        <v>160907.5</v>
      </c>
      <c r="P13" s="25">
        <v>228951.3</v>
      </c>
      <c r="Q13" s="25">
        <v>150379.49999999997</v>
      </c>
      <c r="R13" s="25">
        <v>76531.3</v>
      </c>
      <c r="S13" s="25">
        <v>140068.59999999998</v>
      </c>
      <c r="T13" s="25">
        <v>102245.70000000003</v>
      </c>
      <c r="U13" s="25">
        <v>2536514.0999999996</v>
      </c>
    </row>
    <row r="14" spans="1:21" s="68" customFormat="1">
      <c r="A14" s="71" t="s">
        <v>381</v>
      </c>
      <c r="B14" s="25"/>
      <c r="C14" s="25"/>
      <c r="D14" s="25"/>
      <c r="E14" s="25">
        <v>8673</v>
      </c>
      <c r="F14" s="25"/>
      <c r="G14" s="25"/>
      <c r="H14" s="25">
        <v>13199.8</v>
      </c>
      <c r="I14" s="25">
        <v>4017.1</v>
      </c>
      <c r="J14" s="25">
        <v>3882.68</v>
      </c>
      <c r="K14" s="25"/>
      <c r="L14" s="25">
        <v>5840.5</v>
      </c>
      <c r="M14" s="25"/>
      <c r="N14" s="25"/>
      <c r="O14" s="25"/>
      <c r="P14" s="25"/>
      <c r="Q14" s="25"/>
      <c r="R14" s="25">
        <v>16167.9</v>
      </c>
      <c r="S14" s="25"/>
      <c r="T14" s="25"/>
      <c r="U14" s="25">
        <v>51780.98</v>
      </c>
    </row>
    <row r="15" spans="1:21" s="68" customFormat="1">
      <c r="A15" s="71" t="s">
        <v>84</v>
      </c>
      <c r="B15" s="25">
        <v>247344.69999999998</v>
      </c>
      <c r="C15" s="25">
        <v>213984.60000000003</v>
      </c>
      <c r="D15" s="25">
        <v>146523.6</v>
      </c>
      <c r="E15" s="25">
        <v>136582.59999999998</v>
      </c>
      <c r="F15" s="25">
        <v>131818.29999999999</v>
      </c>
      <c r="G15" s="25">
        <v>39430.399999999994</v>
      </c>
      <c r="H15" s="25">
        <v>159445.60000000003</v>
      </c>
      <c r="I15" s="25">
        <v>110433.8</v>
      </c>
      <c r="J15" s="25">
        <v>148287.38</v>
      </c>
      <c r="K15" s="25">
        <v>121399.49999999999</v>
      </c>
      <c r="L15" s="25">
        <v>105722.90000000001</v>
      </c>
      <c r="M15" s="25">
        <v>98367.900000000009</v>
      </c>
      <c r="N15" s="25">
        <v>53702</v>
      </c>
      <c r="O15" s="25">
        <v>160907.5</v>
      </c>
      <c r="P15" s="25">
        <v>228951.3</v>
      </c>
      <c r="Q15" s="25">
        <v>150379.49999999997</v>
      </c>
      <c r="R15" s="25">
        <v>92699.199999999997</v>
      </c>
      <c r="S15" s="25">
        <v>140068.59999999998</v>
      </c>
      <c r="T15" s="25">
        <v>102245.70000000003</v>
      </c>
      <c r="U15" s="25">
        <v>2588295.0799999996</v>
      </c>
    </row>
    <row r="18" spans="1:21">
      <c r="A18" s="74" t="s">
        <v>409</v>
      </c>
      <c r="B18" s="75">
        <f>+B9-B15</f>
        <v>571808.00000000023</v>
      </c>
      <c r="C18" s="75">
        <f t="shared" ref="C18:T18" si="0">+C9-C15</f>
        <v>447594.89999999985</v>
      </c>
      <c r="D18" s="75">
        <f t="shared" si="0"/>
        <v>457650.80000000005</v>
      </c>
      <c r="E18" s="75">
        <f t="shared" si="0"/>
        <v>396933.39200000011</v>
      </c>
      <c r="F18" s="75">
        <f t="shared" si="0"/>
        <v>594478.80000000005</v>
      </c>
      <c r="G18" s="75">
        <f t="shared" si="0"/>
        <v>428506.79999999993</v>
      </c>
      <c r="H18" s="75">
        <f t="shared" si="0"/>
        <v>597891.29999999958</v>
      </c>
      <c r="I18" s="75">
        <f t="shared" si="0"/>
        <v>440982.7</v>
      </c>
      <c r="J18" s="75">
        <f t="shared" si="0"/>
        <v>724128.90000000014</v>
      </c>
      <c r="K18" s="75">
        <f t="shared" si="0"/>
        <v>450699.4</v>
      </c>
      <c r="L18" s="75">
        <f t="shared" si="0"/>
        <v>212602.09999999998</v>
      </c>
      <c r="M18" s="75">
        <f t="shared" si="0"/>
        <v>382853.6</v>
      </c>
      <c r="N18" s="75">
        <f t="shared" si="0"/>
        <v>436932.1</v>
      </c>
      <c r="O18" s="75">
        <f t="shared" si="0"/>
        <v>372962.39999999991</v>
      </c>
      <c r="P18" s="75">
        <f t="shared" si="0"/>
        <v>382862.99999999994</v>
      </c>
      <c r="Q18" s="75">
        <f t="shared" si="0"/>
        <v>503482.79999999993</v>
      </c>
      <c r="R18" s="75">
        <f t="shared" si="0"/>
        <v>322118.00000000006</v>
      </c>
      <c r="S18" s="75">
        <f t="shared" si="0"/>
        <v>462021.00000000012</v>
      </c>
      <c r="T18" s="75">
        <f t="shared" si="0"/>
        <v>359511.09999999992</v>
      </c>
      <c r="U18" s="75">
        <f>+U9-U15</f>
        <v>8546021.092000002</v>
      </c>
    </row>
  </sheetData>
  <pageMargins left="0.7" right="0.7" top="0.75" bottom="0.75" header="0.3" footer="0.3"/>
  <pageSetup scale="56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"/>
  <sheetViews>
    <sheetView topLeftCell="E1" workbookViewId="0">
      <selection activeCell="S23" sqref="S23"/>
    </sheetView>
  </sheetViews>
  <sheetFormatPr defaultRowHeight="12.75"/>
  <cols>
    <col min="1" max="16384" width="9.140625" style="72"/>
  </cols>
  <sheetData/>
  <pageMargins left="0.7" right="0.7" top="0.75" bottom="0.75" header="0.3" footer="0.3"/>
  <pageSetup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G20"/>
  <sheetViews>
    <sheetView workbookViewId="0"/>
  </sheetViews>
  <sheetFormatPr defaultRowHeight="15"/>
  <cols>
    <col min="1" max="1" width="26.42578125" bestFit="1" customWidth="1"/>
    <col min="2" max="2" width="15.85546875" style="114" bestFit="1" customWidth="1"/>
    <col min="3" max="3" width="17.5703125" customWidth="1"/>
    <col min="4" max="4" width="16" customWidth="1"/>
    <col min="5" max="5" width="14.85546875" customWidth="1"/>
    <col min="6" max="6" width="13.7109375" customWidth="1"/>
  </cols>
  <sheetData>
    <row r="1" spans="1:7">
      <c r="A1" s="113" t="s">
        <v>668</v>
      </c>
      <c r="B1" s="119" t="s">
        <v>667</v>
      </c>
      <c r="C1" s="113" t="s">
        <v>217</v>
      </c>
      <c r="D1" s="113" t="s">
        <v>669</v>
      </c>
      <c r="E1" s="113" t="s">
        <v>670</v>
      </c>
      <c r="F1" s="113" t="s">
        <v>220</v>
      </c>
    </row>
    <row r="2" spans="1:7">
      <c r="A2" s="33" t="s">
        <v>410</v>
      </c>
      <c r="B2" s="109" t="s">
        <v>81</v>
      </c>
      <c r="C2" s="33">
        <v>131.5</v>
      </c>
      <c r="D2" s="33">
        <v>0</v>
      </c>
      <c r="E2" s="33">
        <v>0</v>
      </c>
      <c r="F2" s="33">
        <v>131.5</v>
      </c>
    </row>
    <row r="3" spans="1:7">
      <c r="A3" s="121" t="s">
        <v>410</v>
      </c>
      <c r="B3" s="122"/>
      <c r="C3" s="121">
        <v>131.5</v>
      </c>
      <c r="D3" s="121">
        <v>0</v>
      </c>
      <c r="E3" s="121">
        <v>0</v>
      </c>
      <c r="F3" s="121">
        <v>131.5</v>
      </c>
      <c r="G3" t="s">
        <v>673</v>
      </c>
    </row>
    <row r="4" spans="1:7">
      <c r="A4" s="33" t="s">
        <v>78</v>
      </c>
      <c r="B4" s="109" t="s">
        <v>662</v>
      </c>
      <c r="C4" s="33">
        <v>0</v>
      </c>
      <c r="D4" s="33">
        <v>105.4</v>
      </c>
      <c r="E4" s="33">
        <v>0</v>
      </c>
      <c r="F4" s="33">
        <v>105.4</v>
      </c>
    </row>
    <row r="5" spans="1:7">
      <c r="A5" s="33" t="s">
        <v>78</v>
      </c>
      <c r="B5" s="109" t="s">
        <v>76</v>
      </c>
      <c r="C5" s="33">
        <v>0</v>
      </c>
      <c r="D5" s="33">
        <v>830</v>
      </c>
      <c r="E5" s="33">
        <v>830</v>
      </c>
      <c r="F5" s="33">
        <v>0</v>
      </c>
    </row>
    <row r="6" spans="1:7">
      <c r="A6" s="33" t="s">
        <v>78</v>
      </c>
      <c r="B6" s="109" t="s">
        <v>63</v>
      </c>
      <c r="C6" s="33">
        <v>0</v>
      </c>
      <c r="D6" s="33">
        <v>42103.5</v>
      </c>
      <c r="E6" s="33">
        <v>27897.9</v>
      </c>
      <c r="F6" s="33">
        <v>14205.6</v>
      </c>
    </row>
    <row r="7" spans="1:7">
      <c r="A7" s="33" t="s">
        <v>78</v>
      </c>
      <c r="B7" s="109" t="s">
        <v>79</v>
      </c>
      <c r="C7" s="33">
        <v>0</v>
      </c>
      <c r="D7" s="33">
        <v>1100</v>
      </c>
      <c r="E7" s="33">
        <v>0</v>
      </c>
      <c r="F7" s="33">
        <v>1100</v>
      </c>
    </row>
    <row r="8" spans="1:7">
      <c r="A8" s="121" t="s">
        <v>78</v>
      </c>
      <c r="B8" s="122"/>
      <c r="C8" s="121">
        <v>0</v>
      </c>
      <c r="D8" s="121">
        <v>44138.9</v>
      </c>
      <c r="E8" s="121">
        <v>28727.9</v>
      </c>
      <c r="F8" s="121">
        <v>15411</v>
      </c>
      <c r="G8" t="s">
        <v>673</v>
      </c>
    </row>
    <row r="9" spans="1:7">
      <c r="A9" s="33" t="s">
        <v>250</v>
      </c>
      <c r="B9" s="109" t="s">
        <v>81</v>
      </c>
      <c r="C9" s="33">
        <v>245.36</v>
      </c>
      <c r="D9" s="33">
        <v>0</v>
      </c>
      <c r="E9" s="33">
        <v>0</v>
      </c>
      <c r="F9" s="33">
        <v>245.36</v>
      </c>
    </row>
    <row r="10" spans="1:7">
      <c r="A10" s="33" t="s">
        <v>250</v>
      </c>
      <c r="B10" s="109" t="s">
        <v>123</v>
      </c>
      <c r="C10" s="33">
        <v>152.18</v>
      </c>
      <c r="D10" s="33">
        <v>1475.2</v>
      </c>
      <c r="E10" s="33">
        <v>1306.8699999999999</v>
      </c>
      <c r="F10" s="33">
        <v>320.51</v>
      </c>
    </row>
    <row r="11" spans="1:7">
      <c r="A11" s="121" t="s">
        <v>250</v>
      </c>
      <c r="B11" s="122"/>
      <c r="C11" s="121">
        <v>397.54</v>
      </c>
      <c r="D11" s="121">
        <v>1475.2</v>
      </c>
      <c r="E11" s="121">
        <v>1306.8699999999999</v>
      </c>
      <c r="F11" s="121">
        <v>565.87</v>
      </c>
      <c r="G11" s="118" t="s">
        <v>672</v>
      </c>
    </row>
    <row r="12" spans="1:7">
      <c r="A12" s="33" t="s">
        <v>73</v>
      </c>
      <c r="B12" s="109" t="s">
        <v>81</v>
      </c>
      <c r="C12" s="33">
        <v>0</v>
      </c>
      <c r="D12" s="33">
        <v>0</v>
      </c>
      <c r="E12" s="33">
        <v>0</v>
      </c>
      <c r="F12" s="33">
        <v>0</v>
      </c>
    </row>
    <row r="13" spans="1:7">
      <c r="A13" s="33" t="s">
        <v>73</v>
      </c>
      <c r="B13" s="109" t="s">
        <v>76</v>
      </c>
      <c r="C13" s="33">
        <v>1112</v>
      </c>
      <c r="D13" s="33">
        <v>7866</v>
      </c>
      <c r="E13" s="33">
        <v>2224</v>
      </c>
      <c r="F13" s="33">
        <v>6754</v>
      </c>
    </row>
    <row r="14" spans="1:7">
      <c r="A14" s="33" t="s">
        <v>73</v>
      </c>
      <c r="B14" s="109" t="s">
        <v>63</v>
      </c>
      <c r="C14" s="33">
        <v>5700.4</v>
      </c>
      <c r="D14" s="33">
        <v>28870</v>
      </c>
      <c r="E14" s="33">
        <v>8272.7999999999993</v>
      </c>
      <c r="F14" s="33">
        <v>26297.599999999999</v>
      </c>
    </row>
    <row r="15" spans="1:7">
      <c r="A15" s="33" t="s">
        <v>73</v>
      </c>
      <c r="B15" s="109" t="s">
        <v>79</v>
      </c>
      <c r="C15" s="33">
        <v>5449.5</v>
      </c>
      <c r="D15" s="33">
        <v>8645.2000000000007</v>
      </c>
      <c r="E15" s="33">
        <v>2459</v>
      </c>
      <c r="F15" s="33">
        <v>11635.7</v>
      </c>
    </row>
    <row r="16" spans="1:7">
      <c r="A16" s="121" t="s">
        <v>73</v>
      </c>
      <c r="B16" s="122"/>
      <c r="C16" s="121">
        <v>12261.9</v>
      </c>
      <c r="D16" s="121">
        <v>45381.2</v>
      </c>
      <c r="E16" s="121">
        <v>12955.8</v>
      </c>
      <c r="F16" s="121">
        <v>44687.3</v>
      </c>
      <c r="G16" s="118" t="s">
        <v>672</v>
      </c>
    </row>
    <row r="17" spans="1:7">
      <c r="A17" s="33" t="s">
        <v>252</v>
      </c>
      <c r="B17" s="109" t="s">
        <v>81</v>
      </c>
      <c r="C17" s="33">
        <v>15608.385</v>
      </c>
      <c r="D17" s="33">
        <v>305.3</v>
      </c>
      <c r="E17" s="33">
        <v>285.3</v>
      </c>
      <c r="F17" s="33">
        <v>15628.385</v>
      </c>
    </row>
    <row r="18" spans="1:7">
      <c r="A18" s="33" t="s">
        <v>252</v>
      </c>
      <c r="B18" s="109" t="s">
        <v>123</v>
      </c>
      <c r="C18" s="33">
        <v>1348.22</v>
      </c>
      <c r="D18" s="33">
        <v>4619.1499999999996</v>
      </c>
      <c r="E18" s="33">
        <v>4999.3500000000004</v>
      </c>
      <c r="F18" s="33">
        <v>968.02</v>
      </c>
      <c r="G18" s="118"/>
    </row>
    <row r="19" spans="1:7">
      <c r="A19" s="121" t="s">
        <v>252</v>
      </c>
      <c r="B19" s="122"/>
      <c r="C19" s="121">
        <v>16956.605</v>
      </c>
      <c r="D19" s="121">
        <v>4924.45</v>
      </c>
      <c r="E19" s="121">
        <v>5284.65</v>
      </c>
      <c r="F19" s="121">
        <v>16596.404999999999</v>
      </c>
      <c r="G19" t="s">
        <v>672</v>
      </c>
    </row>
    <row r="20" spans="1:7">
      <c r="A20" s="116"/>
      <c r="B20" s="120"/>
      <c r="C20" s="116"/>
      <c r="D20" s="116"/>
      <c r="E20" s="116"/>
      <c r="F20" s="116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 filterMode="1"/>
  <dimension ref="A1:I99"/>
  <sheetViews>
    <sheetView topLeftCell="A78" workbookViewId="0"/>
  </sheetViews>
  <sheetFormatPr defaultRowHeight="15"/>
  <cols>
    <col min="2" max="2" width="26.42578125" bestFit="1" customWidth="1"/>
    <col min="3" max="3" width="15.85546875" bestFit="1" customWidth="1"/>
    <col min="4" max="4" width="8.5703125" bestFit="1" customWidth="1"/>
    <col min="5" max="7" width="8" bestFit="1" customWidth="1"/>
    <col min="8" max="8" width="25" bestFit="1" customWidth="1"/>
    <col min="9" max="9" width="10.28515625" bestFit="1" customWidth="1"/>
  </cols>
  <sheetData>
    <row r="1" spans="1:9">
      <c r="A1" s="30"/>
      <c r="B1" s="113" t="s">
        <v>668</v>
      </c>
      <c r="C1" s="113" t="s">
        <v>667</v>
      </c>
      <c r="D1" s="113" t="s">
        <v>217</v>
      </c>
      <c r="E1" s="113" t="s">
        <v>669</v>
      </c>
      <c r="F1" s="113" t="s">
        <v>670</v>
      </c>
      <c r="G1" s="113" t="s">
        <v>220</v>
      </c>
      <c r="H1" s="113" t="s">
        <v>674</v>
      </c>
      <c r="I1" s="113" t="s">
        <v>247</v>
      </c>
    </row>
    <row r="2" spans="1:9" hidden="1">
      <c r="A2" s="80"/>
      <c r="B2" s="33" t="s">
        <v>73</v>
      </c>
      <c r="C2" s="33" t="s">
        <v>671</v>
      </c>
      <c r="D2" s="33">
        <v>0</v>
      </c>
      <c r="E2" s="33">
        <v>0</v>
      </c>
      <c r="F2" s="33">
        <v>0</v>
      </c>
      <c r="G2" s="33">
        <v>0</v>
      </c>
      <c r="H2" s="33" t="s">
        <v>675</v>
      </c>
      <c r="I2" s="33" t="s">
        <v>676</v>
      </c>
    </row>
    <row r="3" spans="1:9" hidden="1">
      <c r="A3" s="80"/>
      <c r="B3" s="33" t="s">
        <v>73</v>
      </c>
      <c r="C3" s="33" t="s">
        <v>81</v>
      </c>
      <c r="D3" s="33">
        <v>0</v>
      </c>
      <c r="E3" s="33">
        <v>0</v>
      </c>
      <c r="F3" s="33">
        <v>0</v>
      </c>
      <c r="G3" s="33">
        <v>0</v>
      </c>
      <c r="H3" s="33" t="s">
        <v>677</v>
      </c>
      <c r="I3" s="33" t="s">
        <v>160</v>
      </c>
    </row>
    <row r="4" spans="1:9" hidden="1">
      <c r="A4" s="80"/>
      <c r="B4" s="33" t="s">
        <v>73</v>
      </c>
      <c r="C4" s="33" t="s">
        <v>671</v>
      </c>
      <c r="D4" s="33">
        <v>0</v>
      </c>
      <c r="E4" s="33">
        <v>0</v>
      </c>
      <c r="F4" s="33">
        <v>0</v>
      </c>
      <c r="G4" s="33">
        <v>0</v>
      </c>
      <c r="H4" s="33" t="s">
        <v>678</v>
      </c>
      <c r="I4" s="33" t="s">
        <v>676</v>
      </c>
    </row>
    <row r="5" spans="1:9" hidden="1">
      <c r="A5" s="80"/>
      <c r="B5" s="33" t="s">
        <v>73</v>
      </c>
      <c r="C5" s="33" t="s">
        <v>671</v>
      </c>
      <c r="D5" s="33">
        <v>0</v>
      </c>
      <c r="E5" s="33">
        <v>0</v>
      </c>
      <c r="F5" s="33">
        <v>0</v>
      </c>
      <c r="G5" s="33">
        <v>0</v>
      </c>
      <c r="H5" s="33" t="s">
        <v>679</v>
      </c>
      <c r="I5" s="33" t="s">
        <v>676</v>
      </c>
    </row>
    <row r="6" spans="1:9" hidden="1">
      <c r="A6" s="80"/>
      <c r="B6" s="33" t="s">
        <v>73</v>
      </c>
      <c r="C6" s="33" t="s">
        <v>81</v>
      </c>
      <c r="D6" s="33">
        <v>0</v>
      </c>
      <c r="E6" s="33">
        <v>0</v>
      </c>
      <c r="F6" s="33">
        <v>0</v>
      </c>
      <c r="G6" s="33">
        <v>0</v>
      </c>
      <c r="H6" s="33" t="s">
        <v>680</v>
      </c>
      <c r="I6" s="33" t="s">
        <v>160</v>
      </c>
    </row>
    <row r="7" spans="1:9" hidden="1">
      <c r="A7" s="80"/>
      <c r="B7" s="33" t="s">
        <v>73</v>
      </c>
      <c r="C7" s="33" t="s">
        <v>81</v>
      </c>
      <c r="D7" s="33">
        <v>0</v>
      </c>
      <c r="E7" s="33">
        <v>0</v>
      </c>
      <c r="F7" s="33">
        <v>0</v>
      </c>
      <c r="G7" s="33">
        <v>0</v>
      </c>
      <c r="H7" s="33" t="s">
        <v>681</v>
      </c>
      <c r="I7" s="33" t="s">
        <v>160</v>
      </c>
    </row>
    <row r="8" spans="1:9" hidden="1">
      <c r="A8" s="80"/>
      <c r="B8" s="33" t="s">
        <v>73</v>
      </c>
      <c r="C8" s="33" t="s">
        <v>81</v>
      </c>
      <c r="D8" s="33">
        <v>0</v>
      </c>
      <c r="E8" s="33">
        <v>0</v>
      </c>
      <c r="F8" s="33">
        <v>0</v>
      </c>
      <c r="G8" s="33">
        <v>0</v>
      </c>
      <c r="H8" s="33" t="s">
        <v>682</v>
      </c>
      <c r="I8" s="33" t="s">
        <v>160</v>
      </c>
    </row>
    <row r="9" spans="1:9" hidden="1">
      <c r="A9" s="80"/>
      <c r="B9" s="33" t="s">
        <v>73</v>
      </c>
      <c r="C9" s="33" t="s">
        <v>81</v>
      </c>
      <c r="D9" s="33">
        <v>0</v>
      </c>
      <c r="E9" s="33">
        <v>0</v>
      </c>
      <c r="F9" s="33">
        <v>0</v>
      </c>
      <c r="G9" s="33">
        <v>0</v>
      </c>
      <c r="H9" s="33" t="s">
        <v>683</v>
      </c>
      <c r="I9" s="33" t="s">
        <v>160</v>
      </c>
    </row>
    <row r="10" spans="1:9" hidden="1">
      <c r="A10" s="80"/>
      <c r="B10" s="33" t="s">
        <v>73</v>
      </c>
      <c r="C10" s="33" t="s">
        <v>671</v>
      </c>
      <c r="D10" s="33">
        <v>0</v>
      </c>
      <c r="E10" s="33">
        <v>0</v>
      </c>
      <c r="F10" s="33">
        <v>0</v>
      </c>
      <c r="G10" s="33">
        <v>0</v>
      </c>
      <c r="H10" s="33" t="s">
        <v>684</v>
      </c>
      <c r="I10" s="33" t="s">
        <v>676</v>
      </c>
    </row>
    <row r="11" spans="1:9" hidden="1">
      <c r="A11" s="80"/>
      <c r="B11" s="33" t="s">
        <v>73</v>
      </c>
      <c r="C11" s="33" t="s">
        <v>81</v>
      </c>
      <c r="D11" s="33">
        <v>0</v>
      </c>
      <c r="E11" s="33">
        <v>0</v>
      </c>
      <c r="F11" s="33">
        <v>0</v>
      </c>
      <c r="G11" s="33">
        <v>0</v>
      </c>
      <c r="H11" s="33" t="s">
        <v>685</v>
      </c>
      <c r="I11" s="33" t="s">
        <v>160</v>
      </c>
    </row>
    <row r="12" spans="1:9" hidden="1">
      <c r="A12" s="80"/>
      <c r="B12" s="33" t="s">
        <v>73</v>
      </c>
      <c r="C12" s="33" t="s">
        <v>81</v>
      </c>
      <c r="D12" s="33">
        <v>0</v>
      </c>
      <c r="E12" s="33">
        <v>0</v>
      </c>
      <c r="F12" s="33">
        <v>0</v>
      </c>
      <c r="G12" s="33">
        <v>0</v>
      </c>
      <c r="H12" s="33" t="s">
        <v>686</v>
      </c>
      <c r="I12" s="33" t="s">
        <v>160</v>
      </c>
    </row>
    <row r="13" spans="1:9" hidden="1">
      <c r="A13" s="80"/>
      <c r="B13" s="33" t="s">
        <v>73</v>
      </c>
      <c r="C13" s="33" t="s">
        <v>81</v>
      </c>
      <c r="D13" s="33">
        <v>0</v>
      </c>
      <c r="E13" s="33">
        <v>0</v>
      </c>
      <c r="F13" s="33">
        <v>0</v>
      </c>
      <c r="G13" s="33">
        <v>0</v>
      </c>
      <c r="H13" s="33" t="s">
        <v>687</v>
      </c>
      <c r="I13" s="33" t="s">
        <v>160</v>
      </c>
    </row>
    <row r="14" spans="1:9" hidden="1">
      <c r="A14" s="80"/>
      <c r="B14" s="33" t="s">
        <v>73</v>
      </c>
      <c r="C14" s="33" t="s">
        <v>671</v>
      </c>
      <c r="D14" s="33">
        <v>0</v>
      </c>
      <c r="E14" s="33">
        <v>0</v>
      </c>
      <c r="F14" s="33">
        <v>0</v>
      </c>
      <c r="G14" s="33">
        <v>0</v>
      </c>
      <c r="H14" s="33" t="s">
        <v>688</v>
      </c>
      <c r="I14" s="33" t="s">
        <v>676</v>
      </c>
    </row>
    <row r="15" spans="1:9" hidden="1">
      <c r="A15" s="80"/>
      <c r="B15" s="33" t="s">
        <v>73</v>
      </c>
      <c r="C15" s="33" t="s">
        <v>671</v>
      </c>
      <c r="D15" s="33">
        <v>0</v>
      </c>
      <c r="E15" s="33">
        <v>0</v>
      </c>
      <c r="F15" s="33">
        <v>0</v>
      </c>
      <c r="G15" s="33">
        <v>0</v>
      </c>
      <c r="H15" s="33" t="s">
        <v>689</v>
      </c>
      <c r="I15" s="33" t="s">
        <v>676</v>
      </c>
    </row>
    <row r="16" spans="1:9" hidden="1">
      <c r="A16" s="80"/>
      <c r="B16" s="33" t="s">
        <v>73</v>
      </c>
      <c r="C16" s="33" t="s">
        <v>81</v>
      </c>
      <c r="D16" s="33">
        <v>0</v>
      </c>
      <c r="E16" s="33">
        <v>0</v>
      </c>
      <c r="F16" s="33">
        <v>0</v>
      </c>
      <c r="G16" s="33">
        <v>0</v>
      </c>
      <c r="H16" s="33" t="s">
        <v>690</v>
      </c>
      <c r="I16" s="33" t="s">
        <v>160</v>
      </c>
    </row>
    <row r="17" spans="1:9" hidden="1">
      <c r="A17" s="80"/>
      <c r="B17" s="33" t="s">
        <v>73</v>
      </c>
      <c r="C17" s="33" t="s">
        <v>81</v>
      </c>
      <c r="D17" s="33">
        <v>0</v>
      </c>
      <c r="E17" s="33">
        <v>0</v>
      </c>
      <c r="F17" s="33">
        <v>0</v>
      </c>
      <c r="G17" s="33">
        <v>0</v>
      </c>
      <c r="H17" s="33" t="s">
        <v>691</v>
      </c>
      <c r="I17" s="33" t="s">
        <v>160</v>
      </c>
    </row>
    <row r="18" spans="1:9" hidden="1">
      <c r="A18" s="80"/>
      <c r="B18" s="33" t="s">
        <v>73</v>
      </c>
      <c r="C18" s="33" t="s">
        <v>81</v>
      </c>
      <c r="D18" s="33">
        <v>0</v>
      </c>
      <c r="E18" s="33">
        <v>0</v>
      </c>
      <c r="F18" s="33">
        <v>0</v>
      </c>
      <c r="G18" s="33">
        <v>0</v>
      </c>
      <c r="H18" s="33" t="s">
        <v>692</v>
      </c>
      <c r="I18" s="33" t="s">
        <v>160</v>
      </c>
    </row>
    <row r="19" spans="1:9" hidden="1">
      <c r="A19" s="80"/>
      <c r="B19" s="33" t="s">
        <v>73</v>
      </c>
      <c r="C19" s="33" t="s">
        <v>671</v>
      </c>
      <c r="D19" s="33">
        <v>0</v>
      </c>
      <c r="E19" s="33">
        <v>0</v>
      </c>
      <c r="F19" s="33">
        <v>0</v>
      </c>
      <c r="G19" s="33">
        <v>0</v>
      </c>
      <c r="H19" s="33" t="s">
        <v>693</v>
      </c>
      <c r="I19" s="33" t="s">
        <v>676</v>
      </c>
    </row>
    <row r="20" spans="1:9" hidden="1">
      <c r="A20" s="80"/>
      <c r="B20" s="33" t="s">
        <v>73</v>
      </c>
      <c r="C20" s="33" t="s">
        <v>81</v>
      </c>
      <c r="D20" s="33">
        <v>0</v>
      </c>
      <c r="E20" s="33">
        <v>0</v>
      </c>
      <c r="F20" s="33">
        <v>0</v>
      </c>
      <c r="G20" s="33">
        <v>0</v>
      </c>
      <c r="H20" s="33" t="s">
        <v>694</v>
      </c>
      <c r="I20" s="33" t="s">
        <v>160</v>
      </c>
    </row>
    <row r="21" spans="1:9" hidden="1">
      <c r="A21" s="80"/>
      <c r="B21" s="33" t="s">
        <v>73</v>
      </c>
      <c r="C21" s="33" t="s">
        <v>671</v>
      </c>
      <c r="D21" s="33">
        <v>0</v>
      </c>
      <c r="E21" s="33">
        <v>0</v>
      </c>
      <c r="F21" s="33">
        <v>0</v>
      </c>
      <c r="G21" s="33">
        <v>0</v>
      </c>
      <c r="H21" s="33" t="s">
        <v>695</v>
      </c>
      <c r="I21" s="33" t="s">
        <v>676</v>
      </c>
    </row>
    <row r="22" spans="1:9" hidden="1">
      <c r="A22" s="80"/>
      <c r="B22" s="33" t="s">
        <v>73</v>
      </c>
      <c r="C22" s="33" t="s">
        <v>659</v>
      </c>
      <c r="D22" s="33">
        <v>0</v>
      </c>
      <c r="E22" s="33">
        <v>0</v>
      </c>
      <c r="F22" s="33">
        <v>0</v>
      </c>
      <c r="G22" s="33">
        <v>0</v>
      </c>
      <c r="H22" s="33" t="s">
        <v>696</v>
      </c>
      <c r="I22" s="33" t="s">
        <v>697</v>
      </c>
    </row>
    <row r="23" spans="1:9" hidden="1">
      <c r="A23" s="80"/>
      <c r="B23" s="33" t="s">
        <v>73</v>
      </c>
      <c r="C23" s="33" t="s">
        <v>81</v>
      </c>
      <c r="D23" s="33">
        <v>0</v>
      </c>
      <c r="E23" s="33">
        <v>0</v>
      </c>
      <c r="F23" s="33">
        <v>0</v>
      </c>
      <c r="G23" s="33">
        <v>0</v>
      </c>
      <c r="H23" s="33" t="s">
        <v>698</v>
      </c>
      <c r="I23" s="33" t="s">
        <v>160</v>
      </c>
    </row>
    <row r="24" spans="1:9" hidden="1">
      <c r="A24" s="80"/>
      <c r="B24" s="33" t="s">
        <v>73</v>
      </c>
      <c r="C24" s="33" t="s">
        <v>671</v>
      </c>
      <c r="D24" s="33">
        <v>0</v>
      </c>
      <c r="E24" s="33">
        <v>0</v>
      </c>
      <c r="F24" s="33">
        <v>0</v>
      </c>
      <c r="G24" s="33">
        <v>0</v>
      </c>
      <c r="H24" s="33" t="s">
        <v>699</v>
      </c>
      <c r="I24" s="33" t="s">
        <v>676</v>
      </c>
    </row>
    <row r="25" spans="1:9" hidden="1">
      <c r="A25" s="80"/>
      <c r="B25" s="33" t="s">
        <v>73</v>
      </c>
      <c r="C25" s="33" t="s">
        <v>671</v>
      </c>
      <c r="D25" s="33">
        <v>0</v>
      </c>
      <c r="E25" s="33">
        <v>0</v>
      </c>
      <c r="F25" s="33">
        <v>0</v>
      </c>
      <c r="G25" s="33">
        <v>0</v>
      </c>
      <c r="H25" s="33" t="s">
        <v>700</v>
      </c>
      <c r="I25" s="33" t="s">
        <v>676</v>
      </c>
    </row>
    <row r="26" spans="1:9" hidden="1">
      <c r="A26" s="80"/>
      <c r="B26" s="33" t="s">
        <v>73</v>
      </c>
      <c r="C26" s="33" t="s">
        <v>671</v>
      </c>
      <c r="D26" s="33">
        <v>0</v>
      </c>
      <c r="E26" s="33">
        <v>0</v>
      </c>
      <c r="F26" s="33">
        <v>0</v>
      </c>
      <c r="G26" s="33">
        <v>0</v>
      </c>
      <c r="H26" s="33" t="s">
        <v>701</v>
      </c>
      <c r="I26" s="33" t="s">
        <v>676</v>
      </c>
    </row>
    <row r="27" spans="1:9" hidden="1">
      <c r="A27" s="80"/>
      <c r="B27" s="33" t="s">
        <v>73</v>
      </c>
      <c r="C27" s="33" t="s">
        <v>671</v>
      </c>
      <c r="D27" s="33">
        <v>0</v>
      </c>
      <c r="E27" s="33">
        <v>0</v>
      </c>
      <c r="F27" s="33">
        <v>0</v>
      </c>
      <c r="G27" s="33">
        <v>0</v>
      </c>
      <c r="H27" s="33" t="s">
        <v>702</v>
      </c>
      <c r="I27" s="33" t="s">
        <v>676</v>
      </c>
    </row>
    <row r="28" spans="1:9" hidden="1">
      <c r="A28" s="80"/>
      <c r="B28" s="33" t="s">
        <v>73</v>
      </c>
      <c r="C28" s="33" t="s">
        <v>671</v>
      </c>
      <c r="D28" s="33">
        <v>0</v>
      </c>
      <c r="E28" s="33">
        <v>0</v>
      </c>
      <c r="F28" s="33">
        <v>0</v>
      </c>
      <c r="G28" s="33">
        <v>0</v>
      </c>
      <c r="H28" s="33" t="s">
        <v>703</v>
      </c>
      <c r="I28" s="33" t="s">
        <v>676</v>
      </c>
    </row>
    <row r="29" spans="1:9" hidden="1">
      <c r="A29" s="80"/>
      <c r="B29" s="33" t="s">
        <v>73</v>
      </c>
      <c r="C29" s="33" t="s">
        <v>671</v>
      </c>
      <c r="D29" s="33">
        <v>0</v>
      </c>
      <c r="E29" s="33">
        <v>0</v>
      </c>
      <c r="F29" s="33">
        <v>0</v>
      </c>
      <c r="G29" s="33">
        <v>0</v>
      </c>
      <c r="H29" s="33" t="s">
        <v>704</v>
      </c>
      <c r="I29" s="33" t="s">
        <v>676</v>
      </c>
    </row>
    <row r="30" spans="1:9" hidden="1">
      <c r="A30" s="80"/>
      <c r="B30" s="33" t="s">
        <v>73</v>
      </c>
      <c r="C30" s="33" t="s">
        <v>671</v>
      </c>
      <c r="D30" s="33">
        <v>0</v>
      </c>
      <c r="E30" s="33">
        <v>0</v>
      </c>
      <c r="F30" s="33">
        <v>0</v>
      </c>
      <c r="G30" s="33">
        <v>0</v>
      </c>
      <c r="H30" s="33" t="s">
        <v>705</v>
      </c>
      <c r="I30" s="33" t="s">
        <v>676</v>
      </c>
    </row>
    <row r="31" spans="1:9" hidden="1">
      <c r="A31" s="80"/>
      <c r="B31" s="33" t="s">
        <v>73</v>
      </c>
      <c r="C31" s="33" t="s">
        <v>671</v>
      </c>
      <c r="D31" s="33">
        <v>0</v>
      </c>
      <c r="E31" s="33">
        <v>0</v>
      </c>
      <c r="F31" s="33">
        <v>0</v>
      </c>
      <c r="G31" s="33">
        <v>0</v>
      </c>
      <c r="H31" s="33" t="s">
        <v>706</v>
      </c>
      <c r="I31" s="33" t="s">
        <v>676</v>
      </c>
    </row>
    <row r="32" spans="1:9" hidden="1">
      <c r="A32" s="80"/>
      <c r="B32" s="33" t="s">
        <v>73</v>
      </c>
      <c r="C32" s="33" t="s">
        <v>671</v>
      </c>
      <c r="D32" s="33">
        <v>0</v>
      </c>
      <c r="E32" s="33">
        <v>0</v>
      </c>
      <c r="F32" s="33">
        <v>0</v>
      </c>
      <c r="G32" s="33">
        <v>0</v>
      </c>
      <c r="H32" s="33" t="s">
        <v>707</v>
      </c>
      <c r="I32" s="33" t="s">
        <v>676</v>
      </c>
    </row>
    <row r="33" spans="1:9" hidden="1">
      <c r="A33" s="80"/>
      <c r="B33" s="33" t="s">
        <v>73</v>
      </c>
      <c r="C33" s="33" t="s">
        <v>671</v>
      </c>
      <c r="D33" s="33">
        <v>0</v>
      </c>
      <c r="E33" s="33">
        <v>0</v>
      </c>
      <c r="F33" s="33">
        <v>0</v>
      </c>
      <c r="G33" s="33">
        <v>0</v>
      </c>
      <c r="H33" s="33" t="s">
        <v>708</v>
      </c>
      <c r="I33" s="33" t="s">
        <v>676</v>
      </c>
    </row>
    <row r="34" spans="1:9" hidden="1">
      <c r="A34" s="80"/>
      <c r="B34" s="33" t="s">
        <v>73</v>
      </c>
      <c r="C34" s="33" t="s">
        <v>671</v>
      </c>
      <c r="D34" s="33">
        <v>0</v>
      </c>
      <c r="E34" s="33">
        <v>0</v>
      </c>
      <c r="F34" s="33">
        <v>0</v>
      </c>
      <c r="G34" s="33">
        <v>0</v>
      </c>
      <c r="H34" s="33" t="s">
        <v>709</v>
      </c>
      <c r="I34" s="33" t="s">
        <v>676</v>
      </c>
    </row>
    <row r="35" spans="1:9" hidden="1">
      <c r="A35" s="80"/>
      <c r="B35" s="33" t="s">
        <v>73</v>
      </c>
      <c r="C35" s="33" t="s">
        <v>671</v>
      </c>
      <c r="D35" s="33">
        <v>0</v>
      </c>
      <c r="E35" s="33">
        <v>0</v>
      </c>
      <c r="F35" s="33">
        <v>0</v>
      </c>
      <c r="G35" s="33">
        <v>0</v>
      </c>
      <c r="H35" s="33" t="s">
        <v>710</v>
      </c>
      <c r="I35" s="33" t="s">
        <v>676</v>
      </c>
    </row>
    <row r="36" spans="1:9" hidden="1">
      <c r="A36" s="80"/>
      <c r="B36" s="33" t="s">
        <v>73</v>
      </c>
      <c r="C36" s="33" t="s">
        <v>659</v>
      </c>
      <c r="D36" s="33">
        <v>0</v>
      </c>
      <c r="E36" s="33">
        <v>0</v>
      </c>
      <c r="F36" s="33">
        <v>0</v>
      </c>
      <c r="G36" s="33">
        <v>0</v>
      </c>
      <c r="H36" s="33" t="s">
        <v>711</v>
      </c>
      <c r="I36" s="33" t="s">
        <v>712</v>
      </c>
    </row>
    <row r="37" spans="1:9" hidden="1">
      <c r="A37" s="80"/>
      <c r="B37" s="33" t="s">
        <v>73</v>
      </c>
      <c r="C37" s="33" t="s">
        <v>81</v>
      </c>
      <c r="D37" s="33">
        <v>0</v>
      </c>
      <c r="E37" s="33">
        <v>0</v>
      </c>
      <c r="F37" s="33">
        <v>0</v>
      </c>
      <c r="G37" s="33">
        <v>0</v>
      </c>
      <c r="H37" s="33" t="s">
        <v>713</v>
      </c>
      <c r="I37" s="33" t="s">
        <v>160</v>
      </c>
    </row>
    <row r="38" spans="1:9" hidden="1">
      <c r="A38" s="80"/>
      <c r="B38" s="33" t="s">
        <v>73</v>
      </c>
      <c r="C38" s="33" t="s">
        <v>81</v>
      </c>
      <c r="D38" s="33">
        <v>0</v>
      </c>
      <c r="E38" s="33">
        <v>0</v>
      </c>
      <c r="F38" s="33">
        <v>0</v>
      </c>
      <c r="G38" s="33">
        <v>0</v>
      </c>
      <c r="H38" s="33" t="s">
        <v>714</v>
      </c>
      <c r="I38" s="33" t="s">
        <v>160</v>
      </c>
    </row>
    <row r="39" spans="1:9">
      <c r="A39" s="80"/>
      <c r="B39" s="33" t="s">
        <v>73</v>
      </c>
      <c r="C39" s="33" t="s">
        <v>63</v>
      </c>
      <c r="D39" s="33">
        <v>4940.3999999999996</v>
      </c>
      <c r="E39" s="33">
        <v>0</v>
      </c>
      <c r="F39" s="33">
        <v>6752.8</v>
      </c>
      <c r="G39" s="33">
        <v>-1812.4</v>
      </c>
      <c r="H39" s="33" t="s">
        <v>715</v>
      </c>
      <c r="I39" s="33" t="s">
        <v>18</v>
      </c>
    </row>
    <row r="40" spans="1:9">
      <c r="A40" s="80"/>
      <c r="B40" s="33" t="s">
        <v>73</v>
      </c>
      <c r="C40" s="33" t="s">
        <v>79</v>
      </c>
      <c r="D40" s="33">
        <v>1365.3</v>
      </c>
      <c r="E40" s="33">
        <v>0</v>
      </c>
      <c r="F40" s="33">
        <v>2098.1999999999998</v>
      </c>
      <c r="G40" s="33">
        <v>-732.9</v>
      </c>
      <c r="H40" s="33" t="s">
        <v>716</v>
      </c>
      <c r="I40" s="33" t="s">
        <v>23</v>
      </c>
    </row>
    <row r="41" spans="1:9">
      <c r="A41" s="80"/>
      <c r="B41" s="33" t="s">
        <v>73</v>
      </c>
      <c r="C41" s="33" t="s">
        <v>79</v>
      </c>
      <c r="D41" s="33">
        <v>868.6</v>
      </c>
      <c r="E41" s="33">
        <v>0</v>
      </c>
      <c r="F41" s="33">
        <v>0</v>
      </c>
      <c r="G41" s="33">
        <v>868.6</v>
      </c>
      <c r="H41" s="33" t="s">
        <v>717</v>
      </c>
      <c r="I41" s="33" t="s">
        <v>23</v>
      </c>
    </row>
    <row r="42" spans="1:9">
      <c r="A42" s="80"/>
      <c r="B42" s="33" t="s">
        <v>73</v>
      </c>
      <c r="C42" s="33" t="s">
        <v>79</v>
      </c>
      <c r="D42" s="33">
        <v>917.7</v>
      </c>
      <c r="E42" s="33">
        <v>0</v>
      </c>
      <c r="F42" s="33">
        <v>0</v>
      </c>
      <c r="G42" s="33">
        <v>917.7</v>
      </c>
      <c r="H42" s="33" t="s">
        <v>718</v>
      </c>
      <c r="I42" s="33" t="s">
        <v>23</v>
      </c>
    </row>
    <row r="43" spans="1:9">
      <c r="A43" s="80"/>
      <c r="B43" s="33" t="s">
        <v>73</v>
      </c>
      <c r="C43" s="33" t="s">
        <v>79</v>
      </c>
      <c r="D43" s="33">
        <v>2117.5</v>
      </c>
      <c r="E43" s="33">
        <v>0</v>
      </c>
      <c r="F43" s="33">
        <v>0</v>
      </c>
      <c r="G43" s="33">
        <v>2117.5</v>
      </c>
      <c r="H43" s="33" t="s">
        <v>719</v>
      </c>
      <c r="I43" s="33" t="s">
        <v>23</v>
      </c>
    </row>
    <row r="44" spans="1:9">
      <c r="A44" s="80"/>
      <c r="B44" s="33" t="s">
        <v>73</v>
      </c>
      <c r="C44" s="33" t="s">
        <v>79</v>
      </c>
      <c r="D44" s="33">
        <v>0</v>
      </c>
      <c r="E44" s="33">
        <v>1038.5999999999999</v>
      </c>
      <c r="F44" s="33">
        <v>0</v>
      </c>
      <c r="G44" s="33">
        <v>1038.5999999999999</v>
      </c>
      <c r="H44" s="33" t="s">
        <v>720</v>
      </c>
      <c r="I44" s="33" t="s">
        <v>23</v>
      </c>
    </row>
    <row r="45" spans="1:9">
      <c r="A45" s="80"/>
      <c r="B45" s="33" t="s">
        <v>73</v>
      </c>
      <c r="C45" s="33" t="s">
        <v>63</v>
      </c>
      <c r="D45" s="33">
        <v>0</v>
      </c>
      <c r="E45" s="33">
        <v>2522</v>
      </c>
      <c r="F45" s="33">
        <v>0</v>
      </c>
      <c r="G45" s="33">
        <v>2522</v>
      </c>
      <c r="H45" s="33" t="s">
        <v>721</v>
      </c>
      <c r="I45" s="33" t="s">
        <v>18</v>
      </c>
    </row>
    <row r="46" spans="1:9">
      <c r="A46" s="80"/>
      <c r="B46" s="33" t="s">
        <v>73</v>
      </c>
      <c r="C46" s="33" t="s">
        <v>79</v>
      </c>
      <c r="D46" s="33">
        <v>0</v>
      </c>
      <c r="E46" s="33">
        <v>396.2</v>
      </c>
      <c r="F46" s="33">
        <v>0</v>
      </c>
      <c r="G46" s="33">
        <v>396.2</v>
      </c>
      <c r="H46" s="33" t="s">
        <v>722</v>
      </c>
      <c r="I46" s="33" t="s">
        <v>23</v>
      </c>
    </row>
    <row r="47" spans="1:9">
      <c r="A47" s="80"/>
      <c r="B47" s="33" t="s">
        <v>73</v>
      </c>
      <c r="C47" s="33" t="s">
        <v>63</v>
      </c>
      <c r="D47" s="33">
        <v>0</v>
      </c>
      <c r="E47" s="33">
        <v>1405</v>
      </c>
      <c r="F47" s="33">
        <v>0</v>
      </c>
      <c r="G47" s="33">
        <v>1405</v>
      </c>
      <c r="H47" s="33" t="s">
        <v>723</v>
      </c>
      <c r="I47" s="33" t="s">
        <v>18</v>
      </c>
    </row>
    <row r="48" spans="1:9">
      <c r="A48" s="80"/>
      <c r="B48" s="33" t="s">
        <v>73</v>
      </c>
      <c r="C48" s="33" t="s">
        <v>76</v>
      </c>
      <c r="D48" s="33">
        <v>0</v>
      </c>
      <c r="E48" s="33">
        <v>2590</v>
      </c>
      <c r="F48" s="33">
        <v>0</v>
      </c>
      <c r="G48" s="33">
        <v>2590</v>
      </c>
      <c r="H48" s="33" t="s">
        <v>724</v>
      </c>
      <c r="I48" s="33" t="s">
        <v>20</v>
      </c>
    </row>
    <row r="49" spans="1:9">
      <c r="A49" s="80"/>
      <c r="B49" s="33" t="s">
        <v>73</v>
      </c>
      <c r="C49" s="33" t="s">
        <v>79</v>
      </c>
      <c r="D49" s="33">
        <v>0</v>
      </c>
      <c r="E49" s="33">
        <v>941.1</v>
      </c>
      <c r="F49" s="33">
        <v>0</v>
      </c>
      <c r="G49" s="33">
        <v>941.1</v>
      </c>
      <c r="H49" s="33" t="s">
        <v>725</v>
      </c>
      <c r="I49" s="33" t="s">
        <v>23</v>
      </c>
    </row>
    <row r="50" spans="1:9">
      <c r="A50" s="80"/>
      <c r="B50" s="33" t="s">
        <v>73</v>
      </c>
      <c r="C50" s="33" t="s">
        <v>76</v>
      </c>
      <c r="D50" s="33">
        <v>0</v>
      </c>
      <c r="E50" s="33">
        <v>1869</v>
      </c>
      <c r="F50" s="33">
        <v>0</v>
      </c>
      <c r="G50" s="33">
        <v>1869</v>
      </c>
      <c r="H50" s="33" t="s">
        <v>726</v>
      </c>
      <c r="I50" s="33" t="s">
        <v>20</v>
      </c>
    </row>
    <row r="51" spans="1:9">
      <c r="A51" s="80"/>
      <c r="B51" s="33" t="s">
        <v>73</v>
      </c>
      <c r="C51" s="33" t="s">
        <v>63</v>
      </c>
      <c r="D51" s="33">
        <v>0</v>
      </c>
      <c r="E51" s="33">
        <v>500</v>
      </c>
      <c r="F51" s="33">
        <v>0</v>
      </c>
      <c r="G51" s="33">
        <v>500</v>
      </c>
      <c r="H51" s="33" t="s">
        <v>727</v>
      </c>
      <c r="I51" s="33" t="s">
        <v>18</v>
      </c>
    </row>
    <row r="52" spans="1:9">
      <c r="A52" s="80"/>
      <c r="B52" s="33" t="s">
        <v>73</v>
      </c>
      <c r="C52" s="33" t="s">
        <v>79</v>
      </c>
      <c r="D52" s="33">
        <v>0</v>
      </c>
      <c r="E52" s="33">
        <v>106.3</v>
      </c>
      <c r="F52" s="33">
        <v>0</v>
      </c>
      <c r="G52" s="33">
        <v>106.3</v>
      </c>
      <c r="H52" s="33" t="s">
        <v>728</v>
      </c>
      <c r="I52" s="33" t="s">
        <v>23</v>
      </c>
    </row>
    <row r="53" spans="1:9">
      <c r="A53" s="80"/>
      <c r="B53" s="33" t="s">
        <v>73</v>
      </c>
      <c r="C53" s="33" t="s">
        <v>79</v>
      </c>
      <c r="D53" s="33">
        <v>0</v>
      </c>
      <c r="E53" s="33">
        <v>714.1</v>
      </c>
      <c r="F53" s="33">
        <v>0</v>
      </c>
      <c r="G53" s="33">
        <v>714.1</v>
      </c>
      <c r="H53" s="33" t="s">
        <v>729</v>
      </c>
      <c r="I53" s="33" t="s">
        <v>23</v>
      </c>
    </row>
    <row r="54" spans="1:9">
      <c r="A54" s="80"/>
      <c r="B54" s="33" t="s">
        <v>73</v>
      </c>
      <c r="C54" s="33" t="s">
        <v>76</v>
      </c>
      <c r="D54" s="33">
        <v>0</v>
      </c>
      <c r="E54" s="33">
        <v>550</v>
      </c>
      <c r="F54" s="33">
        <v>0</v>
      </c>
      <c r="G54" s="33">
        <v>550</v>
      </c>
      <c r="H54" s="33" t="s">
        <v>730</v>
      </c>
      <c r="I54" s="33" t="s">
        <v>20</v>
      </c>
    </row>
    <row r="55" spans="1:9">
      <c r="A55" s="80"/>
      <c r="B55" s="33" t="s">
        <v>73</v>
      </c>
      <c r="C55" s="33" t="s">
        <v>63</v>
      </c>
      <c r="D55" s="33">
        <v>0</v>
      </c>
      <c r="E55" s="33">
        <v>1299</v>
      </c>
      <c r="F55" s="33">
        <v>0</v>
      </c>
      <c r="G55" s="33">
        <v>1299</v>
      </c>
      <c r="H55" s="33" t="s">
        <v>731</v>
      </c>
      <c r="I55" s="33" t="s">
        <v>18</v>
      </c>
    </row>
    <row r="56" spans="1:9">
      <c r="A56" s="80"/>
      <c r="B56" s="33" t="s">
        <v>73</v>
      </c>
      <c r="C56" s="33" t="s">
        <v>79</v>
      </c>
      <c r="D56" s="33">
        <v>0</v>
      </c>
      <c r="E56" s="33">
        <v>376.6</v>
      </c>
      <c r="F56" s="33">
        <v>0</v>
      </c>
      <c r="G56" s="33">
        <v>376.6</v>
      </c>
      <c r="H56" s="33" t="s">
        <v>732</v>
      </c>
      <c r="I56" s="33" t="s">
        <v>23</v>
      </c>
    </row>
    <row r="57" spans="1:9">
      <c r="A57" s="80"/>
      <c r="B57" s="33" t="s">
        <v>73</v>
      </c>
      <c r="C57" s="33" t="s">
        <v>63</v>
      </c>
      <c r="D57" s="33">
        <v>0</v>
      </c>
      <c r="E57" s="33">
        <v>608</v>
      </c>
      <c r="F57" s="33">
        <v>0</v>
      </c>
      <c r="G57" s="33">
        <v>608</v>
      </c>
      <c r="H57" s="33" t="s">
        <v>733</v>
      </c>
      <c r="I57" s="33" t="s">
        <v>18</v>
      </c>
    </row>
    <row r="58" spans="1:9">
      <c r="A58" s="80"/>
      <c r="B58" s="33" t="s">
        <v>73</v>
      </c>
      <c r="C58" s="33" t="s">
        <v>79</v>
      </c>
      <c r="D58" s="33">
        <v>0</v>
      </c>
      <c r="E58" s="33">
        <v>505</v>
      </c>
      <c r="F58" s="33">
        <v>0</v>
      </c>
      <c r="G58" s="33">
        <v>505</v>
      </c>
      <c r="H58" s="33" t="s">
        <v>734</v>
      </c>
      <c r="I58" s="33" t="s">
        <v>23</v>
      </c>
    </row>
    <row r="59" spans="1:9">
      <c r="A59" s="80"/>
      <c r="B59" s="33" t="s">
        <v>73</v>
      </c>
      <c r="C59" s="33" t="s">
        <v>79</v>
      </c>
      <c r="D59" s="33">
        <v>0</v>
      </c>
      <c r="E59" s="33">
        <v>1247.2</v>
      </c>
      <c r="F59" s="33">
        <v>0</v>
      </c>
      <c r="G59" s="33">
        <v>1247.2</v>
      </c>
      <c r="H59" s="33" t="s">
        <v>735</v>
      </c>
      <c r="I59" s="33" t="s">
        <v>23</v>
      </c>
    </row>
    <row r="60" spans="1:9">
      <c r="A60" s="80"/>
      <c r="B60" s="33" t="s">
        <v>73</v>
      </c>
      <c r="C60" s="33" t="s">
        <v>79</v>
      </c>
      <c r="D60" s="33">
        <v>0</v>
      </c>
      <c r="E60" s="33">
        <v>852.8</v>
      </c>
      <c r="F60" s="33">
        <v>0</v>
      </c>
      <c r="G60" s="33">
        <v>852.8</v>
      </c>
      <c r="H60" s="33" t="s">
        <v>736</v>
      </c>
      <c r="I60" s="33" t="s">
        <v>23</v>
      </c>
    </row>
    <row r="61" spans="1:9">
      <c r="A61" s="80"/>
      <c r="B61" s="33" t="s">
        <v>73</v>
      </c>
      <c r="C61" s="33" t="s">
        <v>63</v>
      </c>
      <c r="D61" s="33">
        <v>0</v>
      </c>
      <c r="E61" s="33">
        <v>573</v>
      </c>
      <c r="F61" s="33">
        <v>0</v>
      </c>
      <c r="G61" s="33">
        <v>573</v>
      </c>
      <c r="H61" s="33" t="s">
        <v>737</v>
      </c>
      <c r="I61" s="33" t="s">
        <v>18</v>
      </c>
    </row>
    <row r="62" spans="1:9">
      <c r="A62" s="80"/>
      <c r="B62" s="33" t="s">
        <v>73</v>
      </c>
      <c r="C62" s="33" t="s">
        <v>76</v>
      </c>
      <c r="D62" s="33">
        <v>0</v>
      </c>
      <c r="E62" s="33">
        <v>726</v>
      </c>
      <c r="F62" s="33">
        <v>0</v>
      </c>
      <c r="G62" s="33">
        <v>726</v>
      </c>
      <c r="H62" s="33" t="s">
        <v>738</v>
      </c>
      <c r="I62" s="33" t="s">
        <v>20</v>
      </c>
    </row>
    <row r="63" spans="1:9">
      <c r="A63" s="80"/>
      <c r="B63" s="33" t="s">
        <v>73</v>
      </c>
      <c r="C63" s="33" t="s">
        <v>79</v>
      </c>
      <c r="D63" s="33">
        <v>0</v>
      </c>
      <c r="E63" s="33">
        <v>99.3</v>
      </c>
      <c r="F63" s="33">
        <v>0</v>
      </c>
      <c r="G63" s="33">
        <v>99.3</v>
      </c>
      <c r="H63" s="33" t="s">
        <v>739</v>
      </c>
      <c r="I63" s="33" t="s">
        <v>23</v>
      </c>
    </row>
    <row r="64" spans="1:9">
      <c r="A64" s="80"/>
      <c r="B64" s="33" t="s">
        <v>73</v>
      </c>
      <c r="C64" s="33" t="s">
        <v>79</v>
      </c>
      <c r="D64" s="33">
        <v>0</v>
      </c>
      <c r="E64" s="33">
        <v>1470.7</v>
      </c>
      <c r="F64" s="33">
        <v>0</v>
      </c>
      <c r="G64" s="33">
        <v>1470.7</v>
      </c>
      <c r="H64" s="33" t="s">
        <v>740</v>
      </c>
      <c r="I64" s="33" t="s">
        <v>23</v>
      </c>
    </row>
    <row r="65" spans="1:9">
      <c r="A65" s="80"/>
      <c r="B65" s="33" t="s">
        <v>73</v>
      </c>
      <c r="C65" s="33" t="s">
        <v>63</v>
      </c>
      <c r="D65" s="33">
        <v>0</v>
      </c>
      <c r="E65" s="33">
        <v>1038</v>
      </c>
      <c r="F65" s="33">
        <v>0</v>
      </c>
      <c r="G65" s="33">
        <v>1038</v>
      </c>
      <c r="H65" s="33" t="s">
        <v>741</v>
      </c>
      <c r="I65" s="33" t="s">
        <v>18</v>
      </c>
    </row>
    <row r="66" spans="1:9">
      <c r="A66" s="80"/>
      <c r="B66" s="33" t="s">
        <v>73</v>
      </c>
      <c r="C66" s="33" t="s">
        <v>76</v>
      </c>
      <c r="D66" s="33">
        <v>0</v>
      </c>
      <c r="E66" s="33">
        <v>542</v>
      </c>
      <c r="F66" s="33">
        <v>0</v>
      </c>
      <c r="G66" s="33">
        <v>542</v>
      </c>
      <c r="H66" s="33" t="s">
        <v>742</v>
      </c>
      <c r="I66" s="33" t="s">
        <v>20</v>
      </c>
    </row>
    <row r="67" spans="1:9">
      <c r="A67" s="80"/>
      <c r="B67" s="33" t="s">
        <v>73</v>
      </c>
      <c r="C67" s="33" t="s">
        <v>63</v>
      </c>
      <c r="D67" s="33">
        <v>0</v>
      </c>
      <c r="E67" s="33">
        <v>1455</v>
      </c>
      <c r="F67" s="33">
        <v>0</v>
      </c>
      <c r="G67" s="33">
        <v>1455</v>
      </c>
      <c r="H67" s="33" t="s">
        <v>743</v>
      </c>
      <c r="I67" s="33" t="s">
        <v>18</v>
      </c>
    </row>
    <row r="68" spans="1:9">
      <c r="A68" s="80"/>
      <c r="B68" s="33" t="s">
        <v>73</v>
      </c>
      <c r="C68" s="33" t="s">
        <v>63</v>
      </c>
      <c r="D68" s="33">
        <v>0</v>
      </c>
      <c r="E68" s="33">
        <v>1988</v>
      </c>
      <c r="F68" s="33">
        <v>0</v>
      </c>
      <c r="G68" s="33">
        <v>1988</v>
      </c>
      <c r="H68" s="33" t="s">
        <v>744</v>
      </c>
      <c r="I68" s="33" t="s">
        <v>18</v>
      </c>
    </row>
    <row r="69" spans="1:9">
      <c r="A69" s="80"/>
      <c r="B69" s="33" t="s">
        <v>73</v>
      </c>
      <c r="C69" s="33" t="s">
        <v>63</v>
      </c>
      <c r="D69" s="33">
        <v>0</v>
      </c>
      <c r="E69" s="33">
        <v>1850</v>
      </c>
      <c r="F69" s="33">
        <v>0</v>
      </c>
      <c r="G69" s="33">
        <v>1850</v>
      </c>
      <c r="H69" s="33" t="s">
        <v>745</v>
      </c>
      <c r="I69" s="33" t="s">
        <v>18</v>
      </c>
    </row>
    <row r="70" spans="1:9">
      <c r="A70" s="80"/>
      <c r="B70" s="33" t="s">
        <v>73</v>
      </c>
      <c r="C70" s="33" t="s">
        <v>79</v>
      </c>
      <c r="D70" s="33">
        <v>0</v>
      </c>
      <c r="E70" s="33">
        <v>243.2</v>
      </c>
      <c r="F70" s="33">
        <v>0</v>
      </c>
      <c r="G70" s="33">
        <v>243.2</v>
      </c>
      <c r="H70" s="33" t="s">
        <v>746</v>
      </c>
      <c r="I70" s="33" t="s">
        <v>23</v>
      </c>
    </row>
    <row r="71" spans="1:9">
      <c r="A71" s="80"/>
      <c r="B71" s="33" t="s">
        <v>73</v>
      </c>
      <c r="C71" s="33" t="s">
        <v>63</v>
      </c>
      <c r="D71" s="33">
        <v>0</v>
      </c>
      <c r="E71" s="33">
        <v>2557</v>
      </c>
      <c r="F71" s="33">
        <v>0</v>
      </c>
      <c r="G71" s="33">
        <v>2557</v>
      </c>
      <c r="H71" s="33" t="s">
        <v>747</v>
      </c>
      <c r="I71" s="33" t="s">
        <v>18</v>
      </c>
    </row>
    <row r="72" spans="1:9">
      <c r="A72" s="80"/>
      <c r="B72" s="33" t="s">
        <v>73</v>
      </c>
      <c r="C72" s="33" t="s">
        <v>63</v>
      </c>
      <c r="D72" s="33">
        <v>0</v>
      </c>
      <c r="E72" s="33">
        <v>1209</v>
      </c>
      <c r="F72" s="33">
        <v>0</v>
      </c>
      <c r="G72" s="33">
        <v>1209</v>
      </c>
      <c r="H72" s="33" t="s">
        <v>748</v>
      </c>
      <c r="I72" s="33" t="s">
        <v>18</v>
      </c>
    </row>
    <row r="73" spans="1:9">
      <c r="A73" s="80"/>
      <c r="B73" s="33" t="s">
        <v>73</v>
      </c>
      <c r="C73" s="33" t="s">
        <v>63</v>
      </c>
      <c r="D73" s="33">
        <v>0</v>
      </c>
      <c r="E73" s="33">
        <v>554</v>
      </c>
      <c r="F73" s="33">
        <v>0</v>
      </c>
      <c r="G73" s="33">
        <v>554</v>
      </c>
      <c r="H73" s="33" t="s">
        <v>749</v>
      </c>
      <c r="I73" s="33" t="s">
        <v>18</v>
      </c>
    </row>
    <row r="74" spans="1:9">
      <c r="A74" s="80"/>
      <c r="B74" s="33" t="s">
        <v>73</v>
      </c>
      <c r="C74" s="33" t="s">
        <v>63</v>
      </c>
      <c r="D74" s="33">
        <v>0</v>
      </c>
      <c r="E74" s="33">
        <v>374</v>
      </c>
      <c r="F74" s="33">
        <v>0</v>
      </c>
      <c r="G74" s="33">
        <v>374</v>
      </c>
      <c r="H74" s="33" t="s">
        <v>750</v>
      </c>
      <c r="I74" s="33" t="s">
        <v>18</v>
      </c>
    </row>
    <row r="75" spans="1:9">
      <c r="A75" s="80"/>
      <c r="B75" s="33" t="s">
        <v>73</v>
      </c>
      <c r="C75" s="33" t="s">
        <v>63</v>
      </c>
      <c r="D75" s="33">
        <v>0</v>
      </c>
      <c r="E75" s="33">
        <v>379</v>
      </c>
      <c r="F75" s="33">
        <v>0</v>
      </c>
      <c r="G75" s="33">
        <v>379</v>
      </c>
      <c r="H75" s="33" t="s">
        <v>751</v>
      </c>
      <c r="I75" s="33" t="s">
        <v>18</v>
      </c>
    </row>
    <row r="76" spans="1:9">
      <c r="A76" s="80"/>
      <c r="B76" s="33" t="s">
        <v>73</v>
      </c>
      <c r="C76" s="33" t="s">
        <v>63</v>
      </c>
      <c r="D76" s="33">
        <v>0</v>
      </c>
      <c r="E76" s="33">
        <v>266</v>
      </c>
      <c r="F76" s="33">
        <v>0</v>
      </c>
      <c r="G76" s="33">
        <v>266</v>
      </c>
      <c r="H76" s="33" t="s">
        <v>752</v>
      </c>
      <c r="I76" s="33" t="s">
        <v>18</v>
      </c>
    </row>
    <row r="77" spans="1:9">
      <c r="A77" s="80"/>
      <c r="B77" s="33" t="s">
        <v>73</v>
      </c>
      <c r="C77" s="33" t="s">
        <v>63</v>
      </c>
      <c r="D77" s="33">
        <v>0</v>
      </c>
      <c r="E77" s="33">
        <v>936</v>
      </c>
      <c r="F77" s="33">
        <v>0</v>
      </c>
      <c r="G77" s="33">
        <v>936</v>
      </c>
      <c r="H77" s="33" t="s">
        <v>753</v>
      </c>
      <c r="I77" s="33" t="s">
        <v>18</v>
      </c>
    </row>
    <row r="78" spans="1:9">
      <c r="A78" s="80"/>
      <c r="B78" s="33" t="s">
        <v>73</v>
      </c>
      <c r="C78" s="33" t="s">
        <v>63</v>
      </c>
      <c r="D78" s="33">
        <v>0</v>
      </c>
      <c r="E78" s="33">
        <v>464</v>
      </c>
      <c r="F78" s="33">
        <v>0</v>
      </c>
      <c r="G78" s="33">
        <v>464</v>
      </c>
      <c r="H78" s="33" t="s">
        <v>754</v>
      </c>
      <c r="I78" s="33" t="s">
        <v>18</v>
      </c>
    </row>
    <row r="79" spans="1:9">
      <c r="A79" s="80"/>
      <c r="B79" s="33" t="s">
        <v>73</v>
      </c>
      <c r="C79" s="33" t="s">
        <v>63</v>
      </c>
      <c r="D79" s="33">
        <v>760</v>
      </c>
      <c r="E79" s="33">
        <v>0</v>
      </c>
      <c r="F79" s="33">
        <v>1520</v>
      </c>
      <c r="G79" s="33">
        <v>-760</v>
      </c>
      <c r="H79" s="33" t="s">
        <v>755</v>
      </c>
      <c r="I79" s="33" t="s">
        <v>18</v>
      </c>
    </row>
    <row r="80" spans="1:9">
      <c r="A80" s="80"/>
      <c r="B80" s="33" t="s">
        <v>73</v>
      </c>
      <c r="C80" s="33" t="s">
        <v>76</v>
      </c>
      <c r="D80" s="33">
        <v>1112</v>
      </c>
      <c r="E80" s="33">
        <v>0</v>
      </c>
      <c r="F80" s="33">
        <v>2224</v>
      </c>
      <c r="G80" s="33">
        <v>-1112</v>
      </c>
      <c r="H80" s="33" t="s">
        <v>756</v>
      </c>
      <c r="I80" s="33" t="s">
        <v>20</v>
      </c>
    </row>
    <row r="81" spans="1:9">
      <c r="A81" s="80"/>
      <c r="B81" s="33" t="s">
        <v>73</v>
      </c>
      <c r="C81" s="33" t="s">
        <v>79</v>
      </c>
      <c r="D81" s="33">
        <v>180.4</v>
      </c>
      <c r="E81" s="33">
        <v>0</v>
      </c>
      <c r="F81" s="33">
        <v>360.8</v>
      </c>
      <c r="G81" s="33">
        <v>-180.4</v>
      </c>
      <c r="H81" s="33" t="s">
        <v>757</v>
      </c>
      <c r="I81" s="33" t="s">
        <v>23</v>
      </c>
    </row>
    <row r="82" spans="1:9">
      <c r="A82" s="80"/>
      <c r="B82" s="33" t="s">
        <v>73</v>
      </c>
      <c r="C82" s="33" t="s">
        <v>63</v>
      </c>
      <c r="D82" s="33">
        <v>0</v>
      </c>
      <c r="E82" s="33">
        <v>1380</v>
      </c>
      <c r="F82" s="33">
        <v>0</v>
      </c>
      <c r="G82" s="33">
        <v>1380</v>
      </c>
      <c r="H82" s="33" t="s">
        <v>758</v>
      </c>
      <c r="I82" s="33" t="s">
        <v>18</v>
      </c>
    </row>
    <row r="83" spans="1:9">
      <c r="A83" s="80"/>
      <c r="B83" s="33" t="s">
        <v>73</v>
      </c>
      <c r="C83" s="33" t="s">
        <v>63</v>
      </c>
      <c r="D83" s="33">
        <v>0</v>
      </c>
      <c r="E83" s="33">
        <v>559</v>
      </c>
      <c r="F83" s="33">
        <v>0</v>
      </c>
      <c r="G83" s="33">
        <v>559</v>
      </c>
      <c r="H83" s="33" t="s">
        <v>759</v>
      </c>
      <c r="I83" s="33" t="s">
        <v>18</v>
      </c>
    </row>
    <row r="84" spans="1:9">
      <c r="A84" s="80"/>
      <c r="B84" s="33" t="s">
        <v>73</v>
      </c>
      <c r="C84" s="33" t="s">
        <v>76</v>
      </c>
      <c r="D84" s="33">
        <v>0</v>
      </c>
      <c r="E84" s="33">
        <v>1388</v>
      </c>
      <c r="F84" s="33">
        <v>0</v>
      </c>
      <c r="G84" s="33">
        <v>1388</v>
      </c>
      <c r="H84" s="33" t="s">
        <v>760</v>
      </c>
      <c r="I84" s="33" t="s">
        <v>20</v>
      </c>
    </row>
    <row r="85" spans="1:9">
      <c r="A85" s="80"/>
      <c r="B85" s="33" t="s">
        <v>73</v>
      </c>
      <c r="C85" s="33" t="s">
        <v>79</v>
      </c>
      <c r="D85" s="33">
        <v>0</v>
      </c>
      <c r="E85" s="33">
        <v>41.4</v>
      </c>
      <c r="F85" s="33">
        <v>0</v>
      </c>
      <c r="G85" s="33">
        <v>41.4</v>
      </c>
      <c r="H85" s="33" t="s">
        <v>761</v>
      </c>
      <c r="I85" s="33" t="s">
        <v>23</v>
      </c>
    </row>
    <row r="86" spans="1:9">
      <c r="A86" s="80"/>
      <c r="B86" s="33" t="s">
        <v>73</v>
      </c>
      <c r="C86" s="33" t="s">
        <v>79</v>
      </c>
      <c r="D86" s="33">
        <v>0</v>
      </c>
      <c r="E86" s="33">
        <v>52.7</v>
      </c>
      <c r="F86" s="33">
        <v>0</v>
      </c>
      <c r="G86" s="33">
        <v>52.7</v>
      </c>
      <c r="H86" s="33" t="s">
        <v>762</v>
      </c>
      <c r="I86" s="33" t="s">
        <v>665</v>
      </c>
    </row>
    <row r="87" spans="1:9">
      <c r="A87" s="80"/>
      <c r="B87" s="33" t="s">
        <v>73</v>
      </c>
      <c r="C87" s="33" t="s">
        <v>63</v>
      </c>
      <c r="D87" s="33">
        <v>0</v>
      </c>
      <c r="E87" s="33">
        <v>222</v>
      </c>
      <c r="F87" s="33">
        <v>0</v>
      </c>
      <c r="G87" s="33">
        <v>222</v>
      </c>
      <c r="H87" s="33" t="s">
        <v>763</v>
      </c>
      <c r="I87" s="33" t="s">
        <v>18</v>
      </c>
    </row>
    <row r="88" spans="1:9">
      <c r="A88" s="80"/>
      <c r="B88" s="33" t="s">
        <v>73</v>
      </c>
      <c r="C88" s="33" t="s">
        <v>63</v>
      </c>
      <c r="D88" s="33">
        <v>0</v>
      </c>
      <c r="E88" s="33">
        <v>622</v>
      </c>
      <c r="F88" s="33">
        <v>0</v>
      </c>
      <c r="G88" s="33">
        <v>622</v>
      </c>
      <c r="H88" s="33" t="s">
        <v>764</v>
      </c>
      <c r="I88" s="33" t="s">
        <v>18</v>
      </c>
    </row>
    <row r="89" spans="1:9">
      <c r="A89" s="80"/>
      <c r="B89" s="33" t="s">
        <v>73</v>
      </c>
      <c r="C89" s="33" t="s">
        <v>76</v>
      </c>
      <c r="D89" s="33">
        <v>0</v>
      </c>
      <c r="E89" s="33">
        <v>201</v>
      </c>
      <c r="F89" s="33">
        <v>0</v>
      </c>
      <c r="G89" s="33">
        <v>201</v>
      </c>
      <c r="H89" s="33" t="s">
        <v>765</v>
      </c>
      <c r="I89" s="33" t="s">
        <v>20</v>
      </c>
    </row>
    <row r="90" spans="1:9">
      <c r="A90" s="80"/>
      <c r="B90" s="33" t="s">
        <v>73</v>
      </c>
      <c r="C90" s="33" t="s">
        <v>79</v>
      </c>
      <c r="D90" s="33">
        <v>0</v>
      </c>
      <c r="E90" s="33">
        <v>170</v>
      </c>
      <c r="F90" s="33">
        <v>0</v>
      </c>
      <c r="G90" s="33">
        <v>170</v>
      </c>
      <c r="H90" s="33" t="s">
        <v>766</v>
      </c>
      <c r="I90" s="33" t="s">
        <v>23</v>
      </c>
    </row>
    <row r="91" spans="1:9">
      <c r="A91" s="80"/>
      <c r="B91" s="33" t="s">
        <v>73</v>
      </c>
      <c r="C91" s="33" t="s">
        <v>63</v>
      </c>
      <c r="D91" s="33">
        <v>0</v>
      </c>
      <c r="E91" s="33">
        <v>489</v>
      </c>
      <c r="F91" s="33">
        <v>0</v>
      </c>
      <c r="G91" s="33">
        <v>489</v>
      </c>
      <c r="H91" s="33" t="s">
        <v>767</v>
      </c>
      <c r="I91" s="33" t="s">
        <v>18</v>
      </c>
    </row>
    <row r="92" spans="1:9">
      <c r="A92" s="80"/>
      <c r="B92" s="33" t="s">
        <v>73</v>
      </c>
      <c r="C92" s="33" t="s">
        <v>63</v>
      </c>
      <c r="D92" s="33">
        <v>0</v>
      </c>
      <c r="E92" s="33">
        <v>1069</v>
      </c>
      <c r="F92" s="33">
        <v>0</v>
      </c>
      <c r="G92" s="33">
        <v>1069</v>
      </c>
      <c r="H92" s="33" t="s">
        <v>768</v>
      </c>
      <c r="I92" s="33" t="s">
        <v>18</v>
      </c>
    </row>
    <row r="93" spans="1:9">
      <c r="A93" s="80"/>
      <c r="B93" s="33" t="s">
        <v>73</v>
      </c>
      <c r="C93" s="33" t="s">
        <v>79</v>
      </c>
      <c r="D93" s="33">
        <v>0</v>
      </c>
      <c r="E93" s="33">
        <v>390</v>
      </c>
      <c r="F93" s="33">
        <v>0</v>
      </c>
      <c r="G93" s="33">
        <v>390</v>
      </c>
      <c r="H93" s="33" t="s">
        <v>769</v>
      </c>
      <c r="I93" s="33" t="s">
        <v>23</v>
      </c>
    </row>
    <row r="94" spans="1:9">
      <c r="A94" s="80"/>
      <c r="B94" s="33" t="s">
        <v>73</v>
      </c>
      <c r="C94" s="33" t="s">
        <v>63</v>
      </c>
      <c r="D94" s="33">
        <v>0</v>
      </c>
      <c r="E94" s="33">
        <v>1464</v>
      </c>
      <c r="F94" s="33">
        <v>0</v>
      </c>
      <c r="G94" s="33">
        <v>1464</v>
      </c>
      <c r="H94" s="33" t="s">
        <v>770</v>
      </c>
      <c r="I94" s="33" t="s">
        <v>18</v>
      </c>
    </row>
    <row r="95" spans="1:9">
      <c r="A95" s="80"/>
      <c r="B95" s="33" t="s">
        <v>73</v>
      </c>
      <c r="C95" s="33" t="s">
        <v>63</v>
      </c>
      <c r="D95" s="33">
        <v>0</v>
      </c>
      <c r="E95" s="33">
        <v>662</v>
      </c>
      <c r="F95" s="33">
        <v>0</v>
      </c>
      <c r="G95" s="33">
        <v>662</v>
      </c>
      <c r="H95" s="33" t="s">
        <v>771</v>
      </c>
      <c r="I95" s="33" t="s">
        <v>18</v>
      </c>
    </row>
    <row r="96" spans="1:9">
      <c r="A96" s="80"/>
      <c r="B96" s="33" t="s">
        <v>73</v>
      </c>
      <c r="C96" s="33" t="s">
        <v>63</v>
      </c>
      <c r="D96" s="33">
        <v>0</v>
      </c>
      <c r="E96" s="33">
        <v>1461</v>
      </c>
      <c r="F96" s="33">
        <v>0</v>
      </c>
      <c r="G96" s="33">
        <v>1461</v>
      </c>
      <c r="H96" s="33" t="s">
        <v>772</v>
      </c>
      <c r="I96" s="33" t="s">
        <v>18</v>
      </c>
    </row>
    <row r="97" spans="1:9">
      <c r="A97" s="80"/>
      <c r="B97" s="33" t="s">
        <v>73</v>
      </c>
      <c r="C97" s="33" t="s">
        <v>63</v>
      </c>
      <c r="D97" s="33">
        <v>0</v>
      </c>
      <c r="E97" s="33">
        <v>965</v>
      </c>
      <c r="F97" s="33">
        <v>0</v>
      </c>
      <c r="G97" s="33">
        <v>965</v>
      </c>
      <c r="H97" s="33" t="s">
        <v>773</v>
      </c>
      <c r="I97" s="33" t="s">
        <v>18</v>
      </c>
    </row>
    <row r="98" spans="1:9">
      <c r="A98" s="80"/>
      <c r="B98" s="33" t="s">
        <v>73</v>
      </c>
      <c r="C98" s="33"/>
      <c r="D98" s="33">
        <v>12261.9</v>
      </c>
      <c r="E98" s="33">
        <v>45381.2</v>
      </c>
      <c r="F98" s="33">
        <v>12955.8</v>
      </c>
      <c r="G98" s="33">
        <v>44687.3</v>
      </c>
      <c r="H98" s="33"/>
      <c r="I98" s="33"/>
    </row>
    <row r="99" spans="1:9">
      <c r="A99" s="80"/>
      <c r="B99" s="116"/>
      <c r="C99" s="116"/>
      <c r="D99" s="116"/>
      <c r="E99" s="116"/>
      <c r="F99" s="116"/>
      <c r="G99" s="116"/>
      <c r="H99" s="116"/>
      <c r="I99" s="116"/>
    </row>
  </sheetData>
  <autoFilter ref="B1:I98">
    <filterColumn colId="1">
      <filters blank="1">
        <filter val="PP Lam Fabric"/>
        <filter val="PP UL Fabric"/>
        <filter val="PP Webbing"/>
      </filters>
    </filterColumn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C1:H1"/>
  <sheetViews>
    <sheetView topLeftCell="C1" workbookViewId="0">
      <selection activeCell="S23" sqref="S23"/>
    </sheetView>
  </sheetViews>
  <sheetFormatPr defaultRowHeight="12"/>
  <cols>
    <col min="1" max="2" width="9.140625" style="20"/>
    <col min="3" max="5" width="9.140625" style="67"/>
    <col min="6" max="7" width="9.140625" style="278"/>
    <col min="8" max="8" width="9.140625" style="67"/>
    <col min="9" max="16384" width="9.140625" style="20"/>
  </cols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P4"/>
  <sheetViews>
    <sheetView workbookViewId="0">
      <selection activeCell="S23" sqref="S23"/>
    </sheetView>
  </sheetViews>
  <sheetFormatPr defaultRowHeight="15"/>
  <cols>
    <col min="2" max="2" width="15.42578125" bestFit="1" customWidth="1"/>
    <col min="9" max="9" width="9.28515625" bestFit="1" customWidth="1"/>
    <col min="15" max="16" width="9.28515625" bestFit="1" customWidth="1"/>
  </cols>
  <sheetData>
    <row r="1" spans="1:16" s="68" customFormat="1" ht="15.75">
      <c r="A1" s="482" t="s">
        <v>411</v>
      </c>
      <c r="B1" s="482"/>
      <c r="C1" s="482"/>
      <c r="D1" s="482"/>
      <c r="E1" s="482"/>
      <c r="F1" s="482"/>
      <c r="G1" s="482"/>
      <c r="H1" s="482"/>
      <c r="I1" s="482"/>
      <c r="J1" s="482"/>
      <c r="K1" s="482"/>
      <c r="L1" s="482"/>
      <c r="M1" s="482"/>
      <c r="N1" s="482"/>
      <c r="O1" s="482"/>
      <c r="P1" s="482"/>
    </row>
    <row r="2" spans="1:16">
      <c r="A2" s="21" t="s">
        <v>177</v>
      </c>
      <c r="B2" s="21" t="s">
        <v>241</v>
      </c>
      <c r="C2" s="21" t="s">
        <v>131</v>
      </c>
      <c r="D2" s="21" t="s">
        <v>242</v>
      </c>
      <c r="E2" s="21" t="s">
        <v>243</v>
      </c>
      <c r="F2" s="21" t="s">
        <v>244</v>
      </c>
      <c r="G2" s="21" t="s">
        <v>0</v>
      </c>
      <c r="H2" s="21" t="s">
        <v>245</v>
      </c>
      <c r="I2" s="21" t="s">
        <v>246</v>
      </c>
      <c r="J2" s="21" t="s">
        <v>162</v>
      </c>
      <c r="K2" s="21" t="s">
        <v>163</v>
      </c>
      <c r="L2" s="21" t="s">
        <v>164</v>
      </c>
      <c r="M2" s="21" t="s">
        <v>247</v>
      </c>
      <c r="N2" s="21" t="s">
        <v>248</v>
      </c>
      <c r="O2" s="21" t="s">
        <v>249</v>
      </c>
      <c r="P2" s="21" t="s">
        <v>172</v>
      </c>
    </row>
    <row r="3" spans="1:16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4" spans="1:16">
      <c r="O4" s="76" t="s">
        <v>253</v>
      </c>
      <c r="P4" s="18">
        <f>SUM(P3:P3)</f>
        <v>0</v>
      </c>
    </row>
  </sheetData>
  <mergeCells count="1">
    <mergeCell ref="A1:P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Q5"/>
  <sheetViews>
    <sheetView topLeftCell="B1" workbookViewId="0">
      <selection activeCell="S23" sqref="S23"/>
    </sheetView>
  </sheetViews>
  <sheetFormatPr defaultRowHeight="15"/>
  <cols>
    <col min="1" max="1" width="9.140625" style="208"/>
    <col min="2" max="2" width="21.85546875" bestFit="1" customWidth="1"/>
    <col min="3" max="3" width="15.42578125" bestFit="1" customWidth="1"/>
    <col min="4" max="4" width="11.28515625" bestFit="1" customWidth="1"/>
    <col min="5" max="5" width="13.140625" bestFit="1" customWidth="1"/>
    <col min="6" max="6" width="15.140625" bestFit="1" customWidth="1"/>
    <col min="7" max="7" width="8" bestFit="1" customWidth="1"/>
    <col min="8" max="8" width="4.28515625" bestFit="1" customWidth="1"/>
    <col min="9" max="9" width="9.85546875" bestFit="1" customWidth="1"/>
    <col min="10" max="10" width="9.42578125" bestFit="1" customWidth="1"/>
    <col min="11" max="11" width="5.5703125" bestFit="1" customWidth="1"/>
    <col min="12" max="12" width="11.140625" bestFit="1" customWidth="1"/>
    <col min="13" max="13" width="13.5703125" bestFit="1" customWidth="1"/>
    <col min="14" max="14" width="9.7109375" bestFit="1" customWidth="1"/>
    <col min="15" max="15" width="13.85546875" bestFit="1" customWidth="1"/>
    <col min="16" max="16" width="7.5703125" bestFit="1" customWidth="1"/>
    <col min="17" max="17" width="10.140625" bestFit="1" customWidth="1"/>
  </cols>
  <sheetData>
    <row r="1" spans="1:17">
      <c r="A1" s="244"/>
      <c r="B1" s="2" t="s">
        <v>177</v>
      </c>
      <c r="C1" s="2" t="s">
        <v>241</v>
      </c>
      <c r="D1" s="2" t="s">
        <v>131</v>
      </c>
      <c r="E1" s="2" t="s">
        <v>242</v>
      </c>
      <c r="F1" s="2" t="s">
        <v>243</v>
      </c>
      <c r="G1" s="2" t="s">
        <v>244</v>
      </c>
      <c r="H1" s="2" t="s">
        <v>0</v>
      </c>
      <c r="I1" s="2" t="s">
        <v>245</v>
      </c>
      <c r="J1" s="2" t="s">
        <v>246</v>
      </c>
      <c r="K1" s="2" t="s">
        <v>162</v>
      </c>
      <c r="L1" s="2" t="s">
        <v>163</v>
      </c>
      <c r="M1" s="2" t="s">
        <v>164</v>
      </c>
      <c r="N1" s="2" t="s">
        <v>247</v>
      </c>
      <c r="O1" s="2" t="s">
        <v>248</v>
      </c>
      <c r="P1" s="2" t="s">
        <v>249</v>
      </c>
      <c r="Q1" s="2" t="s">
        <v>172</v>
      </c>
    </row>
    <row r="2" spans="1:17">
      <c r="A2" s="244"/>
      <c r="B2" s="123" t="s">
        <v>2220</v>
      </c>
      <c r="C2" s="318">
        <v>45756.67291666667</v>
      </c>
      <c r="D2" s="123" t="s">
        <v>252</v>
      </c>
      <c r="E2" s="123" t="s">
        <v>251</v>
      </c>
      <c r="F2" s="123" t="s">
        <v>2121</v>
      </c>
      <c r="G2" s="123" t="s">
        <v>2221</v>
      </c>
      <c r="H2" s="123" t="s">
        <v>2235</v>
      </c>
      <c r="I2" s="123" t="s">
        <v>2237</v>
      </c>
      <c r="J2" s="123">
        <v>39201019</v>
      </c>
      <c r="K2" s="123" t="s">
        <v>13</v>
      </c>
      <c r="L2" s="123" t="s">
        <v>2198</v>
      </c>
      <c r="M2" s="123" t="s">
        <v>123</v>
      </c>
      <c r="N2" s="123" t="s">
        <v>214</v>
      </c>
      <c r="O2" s="123" t="s">
        <v>12</v>
      </c>
      <c r="P2" s="123">
        <v>595.4</v>
      </c>
      <c r="Q2" s="123">
        <v>0</v>
      </c>
    </row>
    <row r="3" spans="1:17">
      <c r="A3" s="244"/>
      <c r="B3" s="123" t="s">
        <v>2222</v>
      </c>
      <c r="C3" s="318">
        <v>45763.568055555559</v>
      </c>
      <c r="D3" s="123" t="s">
        <v>252</v>
      </c>
      <c r="E3" s="123" t="s">
        <v>251</v>
      </c>
      <c r="F3" s="123" t="s">
        <v>2223</v>
      </c>
      <c r="G3" s="123" t="s">
        <v>2224</v>
      </c>
      <c r="H3" s="123" t="s">
        <v>2235</v>
      </c>
      <c r="I3" s="123" t="s">
        <v>2238</v>
      </c>
      <c r="J3" s="123">
        <v>39201019</v>
      </c>
      <c r="K3" s="123" t="s">
        <v>13</v>
      </c>
      <c r="L3" s="123" t="s">
        <v>2198</v>
      </c>
      <c r="M3" s="123" t="s">
        <v>123</v>
      </c>
      <c r="N3" s="123" t="s">
        <v>214</v>
      </c>
      <c r="O3" s="123" t="s">
        <v>12</v>
      </c>
      <c r="P3" s="123">
        <v>816.2</v>
      </c>
      <c r="Q3" s="123">
        <v>597</v>
      </c>
    </row>
    <row r="4" spans="1:17">
      <c r="A4" s="244"/>
      <c r="B4" s="123" t="s">
        <v>2225</v>
      </c>
      <c r="C4" s="318">
        <v>45777.69027777778</v>
      </c>
      <c r="D4" s="123" t="s">
        <v>252</v>
      </c>
      <c r="E4" s="123" t="s">
        <v>251</v>
      </c>
      <c r="F4" s="123" t="s">
        <v>2226</v>
      </c>
      <c r="G4" s="123" t="s">
        <v>1936</v>
      </c>
      <c r="H4" s="123" t="s">
        <v>2235</v>
      </c>
      <c r="I4" s="123" t="s">
        <v>2239</v>
      </c>
      <c r="J4" s="123">
        <v>39201019</v>
      </c>
      <c r="K4" s="123" t="s">
        <v>13</v>
      </c>
      <c r="L4" s="123" t="s">
        <v>2198</v>
      </c>
      <c r="M4" s="123" t="s">
        <v>123</v>
      </c>
      <c r="N4" s="123" t="s">
        <v>214</v>
      </c>
      <c r="O4" s="123" t="s">
        <v>12</v>
      </c>
      <c r="P4" s="123">
        <v>426.8</v>
      </c>
      <c r="Q4" s="23">
        <v>426.8</v>
      </c>
    </row>
    <row r="5" spans="1:17">
      <c r="A5" s="244"/>
      <c r="B5" s="244"/>
      <c r="C5" s="244"/>
      <c r="D5" s="244"/>
      <c r="E5" s="244"/>
      <c r="F5" s="244"/>
      <c r="G5" s="244"/>
      <c r="H5" s="244"/>
      <c r="I5" s="244"/>
      <c r="J5" s="244"/>
      <c r="K5" s="244"/>
      <c r="L5" s="244"/>
      <c r="M5" s="244"/>
      <c r="N5" s="244"/>
      <c r="O5" s="244"/>
      <c r="P5" s="244"/>
      <c r="Q5" s="319">
        <f>SUM(Q2:Q4)</f>
        <v>1023.8</v>
      </c>
    </row>
  </sheetData>
  <pageMargins left="0.7" right="0.7" top="0.75" bottom="0.75" header="0.3" footer="0.3"/>
  <pageSetup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Q2"/>
  <sheetViews>
    <sheetView topLeftCell="I1" workbookViewId="0">
      <selection activeCell="S23" sqref="S23"/>
    </sheetView>
  </sheetViews>
  <sheetFormatPr defaultRowHeight="15"/>
  <cols>
    <col min="1" max="1" width="9.140625" style="174"/>
    <col min="2" max="2" width="24" bestFit="1" customWidth="1"/>
    <col min="3" max="3" width="15.85546875" bestFit="1" customWidth="1"/>
    <col min="4" max="4" width="13.85546875" bestFit="1" customWidth="1"/>
    <col min="5" max="5" width="14.85546875" bestFit="1" customWidth="1"/>
    <col min="6" max="6" width="15.28515625" bestFit="1" customWidth="1"/>
    <col min="7" max="7" width="8.7109375" bestFit="1" customWidth="1"/>
    <col min="8" max="8" width="4.7109375" bestFit="1" customWidth="1"/>
    <col min="9" max="9" width="11.140625" bestFit="1" customWidth="1"/>
    <col min="10" max="10" width="11" bestFit="1" customWidth="1"/>
    <col min="11" max="11" width="6" bestFit="1" customWidth="1"/>
    <col min="12" max="12" width="12.42578125" bestFit="1" customWidth="1"/>
    <col min="13" max="13" width="15.140625" bestFit="1" customWidth="1"/>
    <col min="14" max="14" width="10.28515625" bestFit="1" customWidth="1"/>
    <col min="15" max="15" width="15.7109375" bestFit="1" customWidth="1"/>
    <col min="16" max="16" width="8.28515625" bestFit="1" customWidth="1"/>
    <col min="17" max="17" width="11.42578125" bestFit="1" customWidth="1"/>
  </cols>
  <sheetData>
    <row r="1" spans="2:17">
      <c r="B1" s="2" t="s">
        <v>177</v>
      </c>
      <c r="C1" s="2" t="s">
        <v>241</v>
      </c>
      <c r="D1" s="2" t="s">
        <v>131</v>
      </c>
      <c r="E1" s="2" t="s">
        <v>242</v>
      </c>
      <c r="F1" s="2" t="s">
        <v>243</v>
      </c>
      <c r="G1" s="2" t="s">
        <v>244</v>
      </c>
      <c r="H1" s="2" t="s">
        <v>0</v>
      </c>
      <c r="I1" s="2" t="s">
        <v>245</v>
      </c>
      <c r="J1" s="2" t="s">
        <v>246</v>
      </c>
      <c r="K1" s="2" t="s">
        <v>162</v>
      </c>
      <c r="L1" s="2" t="s">
        <v>163</v>
      </c>
      <c r="M1" s="2" t="s">
        <v>164</v>
      </c>
      <c r="N1" s="2" t="s">
        <v>247</v>
      </c>
      <c r="O1" s="2" t="s">
        <v>248</v>
      </c>
      <c r="P1" s="2" t="s">
        <v>249</v>
      </c>
      <c r="Q1" s="2" t="s">
        <v>172</v>
      </c>
    </row>
    <row r="2" spans="2:17">
      <c r="B2" s="123" t="s">
        <v>2217</v>
      </c>
      <c r="C2" s="318">
        <v>45756.454861111109</v>
      </c>
      <c r="D2" s="123" t="s">
        <v>250</v>
      </c>
      <c r="E2" s="123" t="s">
        <v>251</v>
      </c>
      <c r="F2" s="123" t="s">
        <v>2218</v>
      </c>
      <c r="G2" s="123" t="s">
        <v>2219</v>
      </c>
      <c r="H2" s="123" t="s">
        <v>2235</v>
      </c>
      <c r="I2" s="123" t="s">
        <v>2236</v>
      </c>
      <c r="J2" s="123">
        <v>39201019</v>
      </c>
      <c r="K2" s="123" t="s">
        <v>13</v>
      </c>
      <c r="L2" s="123" t="s">
        <v>2198</v>
      </c>
      <c r="M2" s="123" t="s">
        <v>123</v>
      </c>
      <c r="N2" s="123" t="s">
        <v>214</v>
      </c>
      <c r="O2" s="123" t="s">
        <v>12</v>
      </c>
      <c r="P2" s="123">
        <v>1238.5999999999999</v>
      </c>
      <c r="Q2" s="123">
        <v>1033.79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I399"/>
  <sheetViews>
    <sheetView workbookViewId="0">
      <selection activeCell="I21" sqref="I21"/>
    </sheetView>
  </sheetViews>
  <sheetFormatPr defaultRowHeight="15"/>
  <cols>
    <col min="1" max="1" width="11.28515625" bestFit="1" customWidth="1"/>
    <col min="2" max="2" width="25" bestFit="1" customWidth="1"/>
    <col min="3" max="3" width="26.42578125" bestFit="1" customWidth="1"/>
    <col min="4" max="4" width="10.28515625" bestFit="1" customWidth="1"/>
    <col min="5" max="5" width="15.85546875" bestFit="1" customWidth="1"/>
    <col min="6" max="6" width="9" bestFit="1" customWidth="1"/>
    <col min="7" max="7" width="8" bestFit="1" customWidth="1"/>
    <col min="8" max="9" width="9" bestFit="1" customWidth="1"/>
  </cols>
  <sheetData>
    <row r="1" spans="1:9" s="208" customFormat="1" ht="18.75">
      <c r="A1" s="483" t="s">
        <v>1701</v>
      </c>
      <c r="B1" s="483"/>
      <c r="C1" s="483"/>
      <c r="D1" s="483"/>
      <c r="E1" s="483"/>
      <c r="F1" s="483"/>
      <c r="G1" s="483"/>
      <c r="H1" s="483"/>
      <c r="I1" s="483"/>
    </row>
    <row r="2" spans="1:9" s="208" customFormat="1">
      <c r="A2" s="191" t="s">
        <v>1445</v>
      </c>
      <c r="B2" s="191" t="s">
        <v>1446</v>
      </c>
      <c r="C2" s="191" t="s">
        <v>1443</v>
      </c>
      <c r="D2" s="191" t="s">
        <v>1444</v>
      </c>
      <c r="E2" s="191" t="s">
        <v>1447</v>
      </c>
      <c r="F2" s="191" t="s">
        <v>217</v>
      </c>
      <c r="G2" s="191" t="s">
        <v>669</v>
      </c>
      <c r="H2" s="191" t="s">
        <v>670</v>
      </c>
      <c r="I2" s="191" t="s">
        <v>220</v>
      </c>
    </row>
    <row r="3" spans="1:9">
      <c r="A3" s="219"/>
      <c r="B3" s="69" t="s">
        <v>1715</v>
      </c>
      <c r="C3" s="223" t="s">
        <v>410</v>
      </c>
      <c r="D3" s="69" t="s">
        <v>160</v>
      </c>
      <c r="E3" s="69" t="s">
        <v>81</v>
      </c>
      <c r="F3" s="69">
        <v>0</v>
      </c>
      <c r="G3" s="69">
        <v>0</v>
      </c>
      <c r="H3" s="69">
        <v>0</v>
      </c>
      <c r="I3" s="69">
        <v>0</v>
      </c>
    </row>
    <row r="4" spans="1:9">
      <c r="A4" s="219"/>
      <c r="B4" s="69" t="s">
        <v>1716</v>
      </c>
      <c r="C4" s="69" t="s">
        <v>410</v>
      </c>
      <c r="D4" s="69" t="s">
        <v>160</v>
      </c>
      <c r="E4" s="69" t="s">
        <v>81</v>
      </c>
      <c r="F4" s="69">
        <v>0</v>
      </c>
      <c r="G4" s="69">
        <v>0</v>
      </c>
      <c r="H4" s="69">
        <v>0</v>
      </c>
      <c r="I4" s="69">
        <v>0</v>
      </c>
    </row>
    <row r="5" spans="1:9">
      <c r="A5" s="219"/>
      <c r="B5" s="69" t="s">
        <v>1717</v>
      </c>
      <c r="C5" s="69" t="s">
        <v>410</v>
      </c>
      <c r="D5" s="69" t="s">
        <v>160</v>
      </c>
      <c r="E5" s="69" t="s">
        <v>81</v>
      </c>
      <c r="F5" s="69">
        <v>0</v>
      </c>
      <c r="G5" s="69">
        <v>0</v>
      </c>
      <c r="H5" s="69">
        <v>0</v>
      </c>
      <c r="I5" s="69">
        <v>0</v>
      </c>
    </row>
    <row r="6" spans="1:9">
      <c r="A6" s="219"/>
      <c r="B6" s="69" t="s">
        <v>1718</v>
      </c>
      <c r="C6" s="223" t="s">
        <v>410</v>
      </c>
      <c r="D6" s="69" t="s">
        <v>160</v>
      </c>
      <c r="E6" s="69" t="s">
        <v>81</v>
      </c>
      <c r="F6" s="69">
        <v>131.5</v>
      </c>
      <c r="G6" s="69">
        <v>0</v>
      </c>
      <c r="H6" s="69">
        <v>131.5</v>
      </c>
      <c r="I6" s="69">
        <v>0</v>
      </c>
    </row>
    <row r="7" spans="1:9">
      <c r="A7" s="219"/>
      <c r="B7" s="69"/>
      <c r="C7" s="24" t="s">
        <v>410</v>
      </c>
      <c r="D7" s="24"/>
      <c r="E7" s="24"/>
      <c r="F7" s="24">
        <v>131.5</v>
      </c>
      <c r="G7" s="24">
        <v>0</v>
      </c>
      <c r="H7" s="24">
        <v>131.5</v>
      </c>
      <c r="I7" s="24">
        <v>0</v>
      </c>
    </row>
    <row r="8" spans="1:9">
      <c r="A8" s="219"/>
      <c r="B8" s="69" t="s">
        <v>1719</v>
      </c>
      <c r="C8" s="69" t="s">
        <v>78</v>
      </c>
      <c r="D8" s="69" t="s">
        <v>18</v>
      </c>
      <c r="E8" s="69" t="s">
        <v>63</v>
      </c>
      <c r="F8" s="69">
        <v>0</v>
      </c>
      <c r="G8" s="69">
        <v>0</v>
      </c>
      <c r="H8" s="69">
        <v>0</v>
      </c>
      <c r="I8" s="69">
        <v>0</v>
      </c>
    </row>
    <row r="9" spans="1:9">
      <c r="A9" s="219"/>
      <c r="B9" s="69" t="s">
        <v>1720</v>
      </c>
      <c r="C9" s="69" t="s">
        <v>78</v>
      </c>
      <c r="D9" s="69" t="s">
        <v>18</v>
      </c>
      <c r="E9" s="69" t="s">
        <v>63</v>
      </c>
      <c r="F9" s="69">
        <v>0</v>
      </c>
      <c r="G9" s="69">
        <v>0</v>
      </c>
      <c r="H9" s="69">
        <v>0</v>
      </c>
      <c r="I9" s="69">
        <v>0</v>
      </c>
    </row>
    <row r="10" spans="1:9">
      <c r="A10" s="219"/>
      <c r="B10" s="69" t="s">
        <v>1721</v>
      </c>
      <c r="C10" s="69" t="s">
        <v>78</v>
      </c>
      <c r="D10" s="69" t="s">
        <v>18</v>
      </c>
      <c r="E10" s="69" t="s">
        <v>63</v>
      </c>
      <c r="F10" s="69">
        <v>0</v>
      </c>
      <c r="G10" s="69">
        <v>0</v>
      </c>
      <c r="H10" s="69">
        <v>0</v>
      </c>
      <c r="I10" s="69">
        <v>0</v>
      </c>
    </row>
    <row r="11" spans="1:9">
      <c r="A11" s="219"/>
      <c r="B11" s="69" t="s">
        <v>1722</v>
      </c>
      <c r="C11" s="69" t="s">
        <v>78</v>
      </c>
      <c r="D11" s="69" t="s">
        <v>20</v>
      </c>
      <c r="E11" s="69" t="s">
        <v>76</v>
      </c>
      <c r="F11" s="69">
        <v>0</v>
      </c>
      <c r="G11" s="69">
        <v>0</v>
      </c>
      <c r="H11" s="69">
        <v>0</v>
      </c>
      <c r="I11" s="69">
        <v>0</v>
      </c>
    </row>
    <row r="12" spans="1:9">
      <c r="A12" s="219"/>
      <c r="B12" s="69" t="s">
        <v>1723</v>
      </c>
      <c r="C12" s="69" t="s">
        <v>78</v>
      </c>
      <c r="D12" s="69" t="s">
        <v>20</v>
      </c>
      <c r="E12" s="69" t="s">
        <v>76</v>
      </c>
      <c r="F12" s="69">
        <v>0</v>
      </c>
      <c r="G12" s="69">
        <v>0</v>
      </c>
      <c r="H12" s="69">
        <v>0</v>
      </c>
      <c r="I12" s="69">
        <v>0</v>
      </c>
    </row>
    <row r="13" spans="1:9">
      <c r="A13" s="219"/>
      <c r="B13" s="69" t="s">
        <v>1724</v>
      </c>
      <c r="C13" s="69" t="s">
        <v>78</v>
      </c>
      <c r="D13" s="69" t="s">
        <v>18</v>
      </c>
      <c r="E13" s="69" t="s">
        <v>63</v>
      </c>
      <c r="F13" s="69">
        <v>0</v>
      </c>
      <c r="G13" s="69">
        <v>0</v>
      </c>
      <c r="H13" s="69">
        <v>0</v>
      </c>
      <c r="I13" s="69">
        <v>0</v>
      </c>
    </row>
    <row r="14" spans="1:9">
      <c r="A14" s="219"/>
      <c r="B14" s="69" t="s">
        <v>1725</v>
      </c>
      <c r="C14" s="69" t="s">
        <v>78</v>
      </c>
      <c r="D14" s="69" t="s">
        <v>18</v>
      </c>
      <c r="E14" s="69" t="s">
        <v>63</v>
      </c>
      <c r="F14" s="69">
        <v>0</v>
      </c>
      <c r="G14" s="69">
        <v>0</v>
      </c>
      <c r="H14" s="69">
        <v>0</v>
      </c>
      <c r="I14" s="69">
        <v>0</v>
      </c>
    </row>
    <row r="15" spans="1:9">
      <c r="A15" s="219"/>
      <c r="B15" s="69" t="s">
        <v>1726</v>
      </c>
      <c r="C15" s="69" t="s">
        <v>78</v>
      </c>
      <c r="D15" s="69" t="s">
        <v>18</v>
      </c>
      <c r="E15" s="69" t="s">
        <v>63</v>
      </c>
      <c r="F15" s="69">
        <v>0</v>
      </c>
      <c r="G15" s="69">
        <v>0</v>
      </c>
      <c r="H15" s="69">
        <v>0</v>
      </c>
      <c r="I15" s="69">
        <v>0</v>
      </c>
    </row>
    <row r="16" spans="1:9">
      <c r="A16" s="219"/>
      <c r="B16" s="69" t="s">
        <v>1727</v>
      </c>
      <c r="C16" s="69" t="s">
        <v>78</v>
      </c>
      <c r="D16" s="69" t="s">
        <v>18</v>
      </c>
      <c r="E16" s="69" t="s">
        <v>63</v>
      </c>
      <c r="F16" s="69">
        <v>1032.5999999999999</v>
      </c>
      <c r="G16" s="69">
        <v>0</v>
      </c>
      <c r="H16" s="69">
        <v>1032.5999999999999</v>
      </c>
      <c r="I16" s="69">
        <v>0</v>
      </c>
    </row>
    <row r="17" spans="1:9">
      <c r="A17" s="219"/>
      <c r="B17" s="69" t="s">
        <v>1728</v>
      </c>
      <c r="C17" s="69" t="s">
        <v>78</v>
      </c>
      <c r="D17" s="69" t="s">
        <v>18</v>
      </c>
      <c r="E17" s="69" t="s">
        <v>63</v>
      </c>
      <c r="F17" s="69">
        <v>6186.6</v>
      </c>
      <c r="G17" s="69">
        <v>0</v>
      </c>
      <c r="H17" s="69">
        <v>6186.6</v>
      </c>
      <c r="I17" s="69">
        <v>0</v>
      </c>
    </row>
    <row r="18" spans="1:9">
      <c r="A18" s="219"/>
      <c r="B18" s="69" t="s">
        <v>1729</v>
      </c>
      <c r="C18" s="69" t="s">
        <v>78</v>
      </c>
      <c r="D18" s="69" t="s">
        <v>18</v>
      </c>
      <c r="E18" s="69" t="s">
        <v>63</v>
      </c>
      <c r="F18" s="69">
        <v>83</v>
      </c>
      <c r="G18" s="69">
        <v>0</v>
      </c>
      <c r="H18" s="69">
        <v>83</v>
      </c>
      <c r="I18" s="69">
        <v>0</v>
      </c>
    </row>
    <row r="19" spans="1:9">
      <c r="A19" s="219"/>
      <c r="B19" s="69" t="s">
        <v>1730</v>
      </c>
      <c r="C19" s="69" t="s">
        <v>78</v>
      </c>
      <c r="D19" s="69" t="s">
        <v>18</v>
      </c>
      <c r="E19" s="69" t="s">
        <v>63</v>
      </c>
      <c r="F19" s="69">
        <v>-187.1</v>
      </c>
      <c r="G19" s="69">
        <v>1915</v>
      </c>
      <c r="H19" s="69">
        <v>1727.9</v>
      </c>
      <c r="I19" s="69">
        <v>0</v>
      </c>
    </row>
    <row r="20" spans="1:9">
      <c r="A20" s="219"/>
      <c r="B20" s="69" t="s">
        <v>1731</v>
      </c>
      <c r="C20" s="69" t="s">
        <v>78</v>
      </c>
      <c r="D20" s="69" t="s">
        <v>18</v>
      </c>
      <c r="E20" s="69" t="s">
        <v>63</v>
      </c>
      <c r="F20" s="69">
        <v>-2979</v>
      </c>
      <c r="G20" s="69">
        <v>3062</v>
      </c>
      <c r="H20" s="69">
        <v>83</v>
      </c>
      <c r="I20" s="69">
        <v>0</v>
      </c>
    </row>
    <row r="21" spans="1:9">
      <c r="A21" s="219"/>
      <c r="B21" s="69" t="s">
        <v>1732</v>
      </c>
      <c r="C21" s="69" t="s">
        <v>78</v>
      </c>
      <c r="D21" s="69" t="s">
        <v>23</v>
      </c>
      <c r="E21" s="69" t="s">
        <v>79</v>
      </c>
      <c r="F21" s="69">
        <v>-1017</v>
      </c>
      <c r="G21" s="69">
        <v>1100</v>
      </c>
      <c r="H21" s="69">
        <v>83</v>
      </c>
      <c r="I21" s="69">
        <v>0</v>
      </c>
    </row>
    <row r="22" spans="1:9">
      <c r="A22" s="219"/>
      <c r="B22" s="69" t="s">
        <v>1441</v>
      </c>
      <c r="C22" s="69" t="s">
        <v>78</v>
      </c>
      <c r="D22" s="69" t="s">
        <v>18</v>
      </c>
      <c r="E22" s="69" t="s">
        <v>63</v>
      </c>
      <c r="F22" s="69">
        <v>0</v>
      </c>
      <c r="G22" s="69">
        <v>2280</v>
      </c>
      <c r="H22" s="69">
        <v>1207.0999999999999</v>
      </c>
      <c r="I22" s="69">
        <v>1072.9000000000001</v>
      </c>
    </row>
    <row r="23" spans="1:9">
      <c r="A23" s="219"/>
      <c r="B23" s="69" t="s">
        <v>1442</v>
      </c>
      <c r="C23" s="69" t="s">
        <v>78</v>
      </c>
      <c r="D23" s="69" t="s">
        <v>18</v>
      </c>
      <c r="E23" s="69" t="s">
        <v>63</v>
      </c>
      <c r="F23" s="69">
        <v>0</v>
      </c>
      <c r="G23" s="69">
        <v>376</v>
      </c>
      <c r="H23" s="69">
        <v>376</v>
      </c>
      <c r="I23" s="69">
        <v>0</v>
      </c>
    </row>
    <row r="24" spans="1:9">
      <c r="A24" s="219"/>
      <c r="B24" s="69" t="s">
        <v>1733</v>
      </c>
      <c r="C24" s="69" t="s">
        <v>78</v>
      </c>
      <c r="D24" s="69" t="s">
        <v>18</v>
      </c>
      <c r="E24" s="69" t="s">
        <v>63</v>
      </c>
      <c r="F24" s="69">
        <v>0</v>
      </c>
      <c r="G24" s="69">
        <v>83</v>
      </c>
      <c r="H24" s="69">
        <v>83</v>
      </c>
      <c r="I24" s="69">
        <v>0</v>
      </c>
    </row>
    <row r="25" spans="1:9">
      <c r="A25" s="219"/>
      <c r="B25" s="69" t="s">
        <v>1734</v>
      </c>
      <c r="C25" s="69" t="s">
        <v>78</v>
      </c>
      <c r="D25" s="69" t="s">
        <v>666</v>
      </c>
      <c r="E25" s="69" t="s">
        <v>662</v>
      </c>
      <c r="F25" s="69">
        <v>0</v>
      </c>
      <c r="G25" s="69">
        <v>105.4</v>
      </c>
      <c r="H25" s="69">
        <v>105.4</v>
      </c>
      <c r="I25" s="69">
        <v>0</v>
      </c>
    </row>
    <row r="26" spans="1:9">
      <c r="A26" s="219"/>
      <c r="B26" s="69"/>
      <c r="C26" s="24" t="s">
        <v>78</v>
      </c>
      <c r="D26" s="24"/>
      <c r="E26" s="24"/>
      <c r="F26" s="24">
        <v>3119.1</v>
      </c>
      <c r="G26" s="24">
        <v>8921.4</v>
      </c>
      <c r="H26" s="24">
        <v>10967.6</v>
      </c>
      <c r="I26" s="24">
        <v>1072.9000000000001</v>
      </c>
    </row>
    <row r="27" spans="1:9">
      <c r="A27" s="219"/>
      <c r="B27" s="69" t="s">
        <v>1735</v>
      </c>
      <c r="C27" s="69" t="s">
        <v>250</v>
      </c>
      <c r="D27" s="69" t="s">
        <v>160</v>
      </c>
      <c r="E27" s="69" t="s">
        <v>81</v>
      </c>
      <c r="F27" s="69">
        <v>0</v>
      </c>
      <c r="G27" s="69">
        <v>0</v>
      </c>
      <c r="H27" s="69">
        <v>0</v>
      </c>
      <c r="I27" s="69">
        <v>0</v>
      </c>
    </row>
    <row r="28" spans="1:9">
      <c r="A28" s="219"/>
      <c r="B28" s="69" t="s">
        <v>1736</v>
      </c>
      <c r="C28" s="69" t="s">
        <v>250</v>
      </c>
      <c r="D28" s="69" t="s">
        <v>214</v>
      </c>
      <c r="E28" s="69" t="s">
        <v>123</v>
      </c>
      <c r="F28" s="69">
        <v>152.18</v>
      </c>
      <c r="G28" s="69">
        <v>0</v>
      </c>
      <c r="H28" s="69">
        <v>152.18</v>
      </c>
      <c r="I28" s="69">
        <v>0</v>
      </c>
    </row>
    <row r="29" spans="1:9">
      <c r="A29" s="219"/>
      <c r="B29" s="69" t="s">
        <v>1737</v>
      </c>
      <c r="C29" s="69" t="s">
        <v>250</v>
      </c>
      <c r="D29" s="69" t="s">
        <v>214</v>
      </c>
      <c r="E29" s="69" t="s">
        <v>123</v>
      </c>
      <c r="F29" s="69">
        <v>0</v>
      </c>
      <c r="G29" s="69">
        <v>0</v>
      </c>
      <c r="H29" s="69">
        <v>0</v>
      </c>
      <c r="I29" s="69">
        <v>0</v>
      </c>
    </row>
    <row r="30" spans="1:9">
      <c r="A30" s="219"/>
      <c r="B30" s="69" t="s">
        <v>1738</v>
      </c>
      <c r="C30" s="69" t="s">
        <v>250</v>
      </c>
      <c r="D30" s="69" t="s">
        <v>214</v>
      </c>
      <c r="E30" s="69" t="s">
        <v>123</v>
      </c>
      <c r="F30" s="69">
        <v>0</v>
      </c>
      <c r="G30" s="69">
        <v>0</v>
      </c>
      <c r="H30" s="69">
        <v>0</v>
      </c>
      <c r="I30" s="69">
        <v>0</v>
      </c>
    </row>
    <row r="31" spans="1:9">
      <c r="A31" s="219"/>
      <c r="B31" s="69" t="s">
        <v>1739</v>
      </c>
      <c r="C31" s="69" t="s">
        <v>250</v>
      </c>
      <c r="D31" s="69" t="s">
        <v>214</v>
      </c>
      <c r="E31" s="69" t="s">
        <v>123</v>
      </c>
      <c r="F31" s="69">
        <v>82.87</v>
      </c>
      <c r="G31" s="69">
        <v>0</v>
      </c>
      <c r="H31" s="69">
        <v>82.87</v>
      </c>
      <c r="I31" s="69">
        <v>0</v>
      </c>
    </row>
    <row r="32" spans="1:9">
      <c r="A32" s="219"/>
      <c r="B32" s="69" t="s">
        <v>1740</v>
      </c>
      <c r="C32" s="69" t="s">
        <v>250</v>
      </c>
      <c r="D32" s="69" t="s">
        <v>214</v>
      </c>
      <c r="E32" s="69" t="s">
        <v>123</v>
      </c>
      <c r="F32" s="69">
        <v>0</v>
      </c>
      <c r="G32" s="69">
        <v>0</v>
      </c>
      <c r="H32" s="69">
        <v>0</v>
      </c>
      <c r="I32" s="69">
        <v>0</v>
      </c>
    </row>
    <row r="33" spans="1:9">
      <c r="A33" s="219"/>
      <c r="B33" s="69" t="s">
        <v>1063</v>
      </c>
      <c r="C33" s="69" t="s">
        <v>250</v>
      </c>
      <c r="D33" s="69" t="s">
        <v>214</v>
      </c>
      <c r="E33" s="69" t="s">
        <v>123</v>
      </c>
      <c r="F33" s="69">
        <v>0</v>
      </c>
      <c r="G33" s="69">
        <v>302.2</v>
      </c>
      <c r="H33" s="69">
        <v>120.45</v>
      </c>
      <c r="I33" s="69">
        <v>181.75</v>
      </c>
    </row>
    <row r="34" spans="1:9">
      <c r="A34" s="219"/>
      <c r="B34" s="69" t="s">
        <v>1626</v>
      </c>
      <c r="C34" s="69" t="s">
        <v>250</v>
      </c>
      <c r="D34" s="69" t="s">
        <v>214</v>
      </c>
      <c r="E34" s="69" t="s">
        <v>123</v>
      </c>
      <c r="F34" s="69">
        <v>0</v>
      </c>
      <c r="G34" s="69">
        <v>324</v>
      </c>
      <c r="H34" s="69">
        <v>0</v>
      </c>
      <c r="I34" s="69">
        <v>324</v>
      </c>
    </row>
    <row r="35" spans="1:9">
      <c r="A35" s="219"/>
      <c r="B35" s="69" t="s">
        <v>1741</v>
      </c>
      <c r="C35" s="69" t="s">
        <v>250</v>
      </c>
      <c r="D35" s="69" t="s">
        <v>214</v>
      </c>
      <c r="E35" s="69" t="s">
        <v>123</v>
      </c>
      <c r="F35" s="69">
        <v>-118.72</v>
      </c>
      <c r="G35" s="69">
        <v>311</v>
      </c>
      <c r="H35" s="69">
        <v>192.28</v>
      </c>
      <c r="I35" s="69">
        <v>0</v>
      </c>
    </row>
    <row r="36" spans="1:9">
      <c r="A36" s="219"/>
      <c r="B36" s="69"/>
      <c r="C36" s="24" t="s">
        <v>250</v>
      </c>
      <c r="D36" s="24"/>
      <c r="E36" s="24"/>
      <c r="F36" s="24">
        <v>116.33</v>
      </c>
      <c r="G36" s="24">
        <v>937.2</v>
      </c>
      <c r="H36" s="24">
        <v>547.78</v>
      </c>
      <c r="I36" s="24">
        <v>505.75</v>
      </c>
    </row>
    <row r="37" spans="1:9">
      <c r="A37" s="219"/>
      <c r="B37" s="69" t="s">
        <v>1742</v>
      </c>
      <c r="C37" s="69" t="s">
        <v>73</v>
      </c>
      <c r="D37" s="69" t="s">
        <v>18</v>
      </c>
      <c r="E37" s="69" t="s">
        <v>63</v>
      </c>
      <c r="F37" s="69">
        <v>0</v>
      </c>
      <c r="G37" s="69">
        <v>0</v>
      </c>
      <c r="H37" s="69">
        <v>0</v>
      </c>
      <c r="I37" s="69">
        <v>0</v>
      </c>
    </row>
    <row r="38" spans="1:9">
      <c r="A38" s="219"/>
      <c r="B38" s="69" t="s">
        <v>1743</v>
      </c>
      <c r="C38" s="69" t="s">
        <v>73</v>
      </c>
      <c r="D38" s="69" t="s">
        <v>18</v>
      </c>
      <c r="E38" s="69" t="s">
        <v>63</v>
      </c>
      <c r="F38" s="69">
        <v>0</v>
      </c>
      <c r="G38" s="69">
        <v>0</v>
      </c>
      <c r="H38" s="69">
        <v>0</v>
      </c>
      <c r="I38" s="69">
        <v>0</v>
      </c>
    </row>
    <row r="39" spans="1:9">
      <c r="A39" s="219"/>
      <c r="B39" s="69" t="s">
        <v>1744</v>
      </c>
      <c r="C39" s="69" t="s">
        <v>73</v>
      </c>
      <c r="D39" s="69" t="s">
        <v>18</v>
      </c>
      <c r="E39" s="69" t="s">
        <v>63</v>
      </c>
      <c r="F39" s="69">
        <v>0</v>
      </c>
      <c r="G39" s="69">
        <v>0</v>
      </c>
      <c r="H39" s="69">
        <v>0</v>
      </c>
      <c r="I39" s="69">
        <v>0</v>
      </c>
    </row>
    <row r="40" spans="1:9">
      <c r="A40" s="219"/>
      <c r="B40" s="69" t="s">
        <v>1745</v>
      </c>
      <c r="C40" s="69" t="s">
        <v>73</v>
      </c>
      <c r="D40" s="69" t="s">
        <v>23</v>
      </c>
      <c r="E40" s="69" t="s">
        <v>79</v>
      </c>
      <c r="F40" s="69">
        <v>0</v>
      </c>
      <c r="G40" s="69">
        <v>0</v>
      </c>
      <c r="H40" s="69">
        <v>0</v>
      </c>
      <c r="I40" s="69">
        <v>0</v>
      </c>
    </row>
    <row r="41" spans="1:9">
      <c r="A41" s="219"/>
      <c r="B41" s="69" t="s">
        <v>1746</v>
      </c>
      <c r="C41" s="69" t="s">
        <v>73</v>
      </c>
      <c r="D41" s="69" t="s">
        <v>23</v>
      </c>
      <c r="E41" s="69" t="s">
        <v>79</v>
      </c>
      <c r="F41" s="69">
        <v>0</v>
      </c>
      <c r="G41" s="69">
        <v>0</v>
      </c>
      <c r="H41" s="69">
        <v>0</v>
      </c>
      <c r="I41" s="69">
        <v>0</v>
      </c>
    </row>
    <row r="42" spans="1:9">
      <c r="A42" s="219"/>
      <c r="B42" s="69" t="s">
        <v>1747</v>
      </c>
      <c r="C42" s="69" t="s">
        <v>73</v>
      </c>
      <c r="D42" s="69" t="s">
        <v>18</v>
      </c>
      <c r="E42" s="69" t="s">
        <v>63</v>
      </c>
      <c r="F42" s="69">
        <v>0</v>
      </c>
      <c r="G42" s="69">
        <v>0</v>
      </c>
      <c r="H42" s="69">
        <v>0</v>
      </c>
      <c r="I42" s="69">
        <v>0</v>
      </c>
    </row>
    <row r="43" spans="1:9">
      <c r="A43" s="219"/>
      <c r="B43" s="69" t="s">
        <v>675</v>
      </c>
      <c r="C43" s="69" t="s">
        <v>73</v>
      </c>
      <c r="D43" s="69" t="s">
        <v>676</v>
      </c>
      <c r="E43" s="69" t="s">
        <v>671</v>
      </c>
      <c r="F43" s="69">
        <v>0</v>
      </c>
      <c r="G43" s="69">
        <v>0</v>
      </c>
      <c r="H43" s="69">
        <v>0</v>
      </c>
      <c r="I43" s="69">
        <v>0</v>
      </c>
    </row>
    <row r="44" spans="1:9">
      <c r="A44" s="219"/>
      <c r="B44" s="69" t="s">
        <v>677</v>
      </c>
      <c r="C44" s="69" t="s">
        <v>73</v>
      </c>
      <c r="D44" s="69" t="s">
        <v>160</v>
      </c>
      <c r="E44" s="69" t="s">
        <v>81</v>
      </c>
      <c r="F44" s="69">
        <v>0</v>
      </c>
      <c r="G44" s="69">
        <v>0</v>
      </c>
      <c r="H44" s="69">
        <v>0</v>
      </c>
      <c r="I44" s="69">
        <v>0</v>
      </c>
    </row>
    <row r="45" spans="1:9">
      <c r="A45" s="219"/>
      <c r="B45" s="69" t="s">
        <v>1748</v>
      </c>
      <c r="C45" s="69" t="s">
        <v>73</v>
      </c>
      <c r="D45" s="69" t="s">
        <v>18</v>
      </c>
      <c r="E45" s="69" t="s">
        <v>63</v>
      </c>
      <c r="F45" s="69">
        <v>0</v>
      </c>
      <c r="G45" s="69">
        <v>0</v>
      </c>
      <c r="H45" s="69">
        <v>0</v>
      </c>
      <c r="I45" s="69">
        <v>0</v>
      </c>
    </row>
    <row r="46" spans="1:9">
      <c r="A46" s="219"/>
      <c r="B46" s="69" t="s">
        <v>1749</v>
      </c>
      <c r="C46" s="69" t="s">
        <v>73</v>
      </c>
      <c r="D46" s="69" t="s">
        <v>20</v>
      </c>
      <c r="E46" s="69" t="s">
        <v>76</v>
      </c>
      <c r="F46" s="69">
        <v>0</v>
      </c>
      <c r="G46" s="69">
        <v>0</v>
      </c>
      <c r="H46" s="69">
        <v>0</v>
      </c>
      <c r="I46" s="69">
        <v>0</v>
      </c>
    </row>
    <row r="47" spans="1:9">
      <c r="A47" s="219"/>
      <c r="B47" s="69" t="s">
        <v>1750</v>
      </c>
      <c r="C47" s="69" t="s">
        <v>73</v>
      </c>
      <c r="D47" s="69" t="s">
        <v>23</v>
      </c>
      <c r="E47" s="69" t="s">
        <v>79</v>
      </c>
      <c r="F47" s="69">
        <v>0</v>
      </c>
      <c r="G47" s="69">
        <v>0</v>
      </c>
      <c r="H47" s="69">
        <v>0</v>
      </c>
      <c r="I47" s="69">
        <v>0</v>
      </c>
    </row>
    <row r="48" spans="1:9">
      <c r="A48" s="219"/>
      <c r="B48" s="69" t="s">
        <v>1751</v>
      </c>
      <c r="C48" s="69" t="s">
        <v>73</v>
      </c>
      <c r="D48" s="69" t="s">
        <v>18</v>
      </c>
      <c r="E48" s="69" t="s">
        <v>63</v>
      </c>
      <c r="F48" s="69">
        <v>0</v>
      </c>
      <c r="G48" s="69">
        <v>0</v>
      </c>
      <c r="H48" s="69">
        <v>0</v>
      </c>
      <c r="I48" s="69">
        <v>0</v>
      </c>
    </row>
    <row r="49" spans="1:9">
      <c r="A49" s="219"/>
      <c r="B49" s="69" t="s">
        <v>1752</v>
      </c>
      <c r="C49" s="69" t="s">
        <v>73</v>
      </c>
      <c r="D49" s="69" t="s">
        <v>18</v>
      </c>
      <c r="E49" s="69" t="s">
        <v>63</v>
      </c>
      <c r="F49" s="69">
        <v>0</v>
      </c>
      <c r="G49" s="69">
        <v>0</v>
      </c>
      <c r="H49" s="69">
        <v>0</v>
      </c>
      <c r="I49" s="69">
        <v>0</v>
      </c>
    </row>
    <row r="50" spans="1:9">
      <c r="A50" s="219"/>
      <c r="B50" s="69" t="s">
        <v>1753</v>
      </c>
      <c r="C50" s="69" t="s">
        <v>73</v>
      </c>
      <c r="D50" s="69" t="s">
        <v>18</v>
      </c>
      <c r="E50" s="69" t="s">
        <v>63</v>
      </c>
      <c r="F50" s="69">
        <v>0</v>
      </c>
      <c r="G50" s="69">
        <v>0</v>
      </c>
      <c r="H50" s="69">
        <v>0</v>
      </c>
      <c r="I50" s="69">
        <v>0</v>
      </c>
    </row>
    <row r="51" spans="1:9">
      <c r="A51" s="219"/>
      <c r="B51" s="69" t="s">
        <v>1754</v>
      </c>
      <c r="C51" s="69" t="s">
        <v>73</v>
      </c>
      <c r="D51" s="69" t="s">
        <v>18</v>
      </c>
      <c r="E51" s="69" t="s">
        <v>63</v>
      </c>
      <c r="F51" s="69">
        <v>0</v>
      </c>
      <c r="G51" s="69">
        <v>0</v>
      </c>
      <c r="H51" s="69">
        <v>0</v>
      </c>
      <c r="I51" s="69">
        <v>0</v>
      </c>
    </row>
    <row r="52" spans="1:9">
      <c r="A52" s="219"/>
      <c r="B52" s="69" t="s">
        <v>678</v>
      </c>
      <c r="C52" s="69" t="s">
        <v>73</v>
      </c>
      <c r="D52" s="69" t="s">
        <v>676</v>
      </c>
      <c r="E52" s="69" t="s">
        <v>671</v>
      </c>
      <c r="F52" s="69">
        <v>0</v>
      </c>
      <c r="G52" s="69">
        <v>0</v>
      </c>
      <c r="H52" s="69">
        <v>0</v>
      </c>
      <c r="I52" s="69">
        <v>0</v>
      </c>
    </row>
    <row r="53" spans="1:9">
      <c r="A53" s="219"/>
      <c r="B53" s="69" t="s">
        <v>1755</v>
      </c>
      <c r="C53" s="69" t="s">
        <v>73</v>
      </c>
      <c r="D53" s="69" t="s">
        <v>18</v>
      </c>
      <c r="E53" s="69" t="s">
        <v>63</v>
      </c>
      <c r="F53" s="69">
        <v>0</v>
      </c>
      <c r="G53" s="69">
        <v>0</v>
      </c>
      <c r="H53" s="69">
        <v>0</v>
      </c>
      <c r="I53" s="69">
        <v>0</v>
      </c>
    </row>
    <row r="54" spans="1:9">
      <c r="A54" s="219"/>
      <c r="B54" s="69" t="s">
        <v>679</v>
      </c>
      <c r="C54" s="69" t="s">
        <v>73</v>
      </c>
      <c r="D54" s="69" t="s">
        <v>676</v>
      </c>
      <c r="E54" s="69" t="s">
        <v>671</v>
      </c>
      <c r="F54" s="69">
        <v>0</v>
      </c>
      <c r="G54" s="69">
        <v>0</v>
      </c>
      <c r="H54" s="69">
        <v>0</v>
      </c>
      <c r="I54" s="69">
        <v>0</v>
      </c>
    </row>
    <row r="55" spans="1:9">
      <c r="A55" s="219"/>
      <c r="B55" s="69" t="s">
        <v>680</v>
      </c>
      <c r="C55" s="69" t="s">
        <v>73</v>
      </c>
      <c r="D55" s="69" t="s">
        <v>160</v>
      </c>
      <c r="E55" s="69" t="s">
        <v>81</v>
      </c>
      <c r="F55" s="69">
        <v>0</v>
      </c>
      <c r="G55" s="69">
        <v>0</v>
      </c>
      <c r="H55" s="69">
        <v>0</v>
      </c>
      <c r="I55" s="69">
        <v>0</v>
      </c>
    </row>
    <row r="56" spans="1:9">
      <c r="A56" s="219"/>
      <c r="B56" s="69" t="s">
        <v>681</v>
      </c>
      <c r="C56" s="69" t="s">
        <v>73</v>
      </c>
      <c r="D56" s="69" t="s">
        <v>160</v>
      </c>
      <c r="E56" s="69" t="s">
        <v>81</v>
      </c>
      <c r="F56" s="69">
        <v>0</v>
      </c>
      <c r="G56" s="69">
        <v>0</v>
      </c>
      <c r="H56" s="69">
        <v>0</v>
      </c>
      <c r="I56" s="69">
        <v>0</v>
      </c>
    </row>
    <row r="57" spans="1:9">
      <c r="A57" s="219"/>
      <c r="B57" s="69" t="s">
        <v>1756</v>
      </c>
      <c r="C57" s="69" t="s">
        <v>73</v>
      </c>
      <c r="D57" s="69" t="s">
        <v>18</v>
      </c>
      <c r="E57" s="69" t="s">
        <v>63</v>
      </c>
      <c r="F57" s="69">
        <v>0</v>
      </c>
      <c r="G57" s="69">
        <v>0</v>
      </c>
      <c r="H57" s="69">
        <v>0</v>
      </c>
      <c r="I57" s="69">
        <v>0</v>
      </c>
    </row>
    <row r="58" spans="1:9">
      <c r="A58" s="219"/>
      <c r="B58" s="69" t="s">
        <v>1757</v>
      </c>
      <c r="C58" s="69" t="s">
        <v>73</v>
      </c>
      <c r="D58" s="69" t="s">
        <v>18</v>
      </c>
      <c r="E58" s="69" t="s">
        <v>63</v>
      </c>
      <c r="F58" s="69">
        <v>0</v>
      </c>
      <c r="G58" s="69">
        <v>0</v>
      </c>
      <c r="H58" s="69">
        <v>0</v>
      </c>
      <c r="I58" s="69">
        <v>0</v>
      </c>
    </row>
    <row r="59" spans="1:9">
      <c r="A59" s="219"/>
      <c r="B59" s="69" t="s">
        <v>682</v>
      </c>
      <c r="C59" s="69" t="s">
        <v>73</v>
      </c>
      <c r="D59" s="69" t="s">
        <v>160</v>
      </c>
      <c r="E59" s="69" t="s">
        <v>81</v>
      </c>
      <c r="F59" s="69">
        <v>0</v>
      </c>
      <c r="G59" s="69">
        <v>0</v>
      </c>
      <c r="H59" s="69">
        <v>0</v>
      </c>
      <c r="I59" s="69">
        <v>0</v>
      </c>
    </row>
    <row r="60" spans="1:9">
      <c r="A60" s="219"/>
      <c r="B60" s="69" t="s">
        <v>1758</v>
      </c>
      <c r="C60" s="69" t="s">
        <v>73</v>
      </c>
      <c r="D60" s="69" t="s">
        <v>23</v>
      </c>
      <c r="E60" s="69" t="s">
        <v>79</v>
      </c>
      <c r="F60" s="69">
        <v>0</v>
      </c>
      <c r="G60" s="69">
        <v>0</v>
      </c>
      <c r="H60" s="69">
        <v>0</v>
      </c>
      <c r="I60" s="69">
        <v>0</v>
      </c>
    </row>
    <row r="61" spans="1:9">
      <c r="A61" s="219"/>
      <c r="B61" s="69" t="s">
        <v>683</v>
      </c>
      <c r="C61" s="69" t="s">
        <v>73</v>
      </c>
      <c r="D61" s="69" t="s">
        <v>160</v>
      </c>
      <c r="E61" s="69" t="s">
        <v>81</v>
      </c>
      <c r="F61" s="69">
        <v>0</v>
      </c>
      <c r="G61" s="69">
        <v>0</v>
      </c>
      <c r="H61" s="69">
        <v>0</v>
      </c>
      <c r="I61" s="69">
        <v>0</v>
      </c>
    </row>
    <row r="62" spans="1:9">
      <c r="A62" s="219"/>
      <c r="B62" s="69" t="s">
        <v>684</v>
      </c>
      <c r="C62" s="69" t="s">
        <v>73</v>
      </c>
      <c r="D62" s="69" t="s">
        <v>676</v>
      </c>
      <c r="E62" s="69" t="s">
        <v>671</v>
      </c>
      <c r="F62" s="69">
        <v>0</v>
      </c>
      <c r="G62" s="69">
        <v>0</v>
      </c>
      <c r="H62" s="69">
        <v>0</v>
      </c>
      <c r="I62" s="69">
        <v>0</v>
      </c>
    </row>
    <row r="63" spans="1:9">
      <c r="A63" s="219"/>
      <c r="B63" s="69" t="s">
        <v>1759</v>
      </c>
      <c r="C63" s="69" t="s">
        <v>73</v>
      </c>
      <c r="D63" s="69" t="s">
        <v>23</v>
      </c>
      <c r="E63" s="69" t="s">
        <v>79</v>
      </c>
      <c r="F63" s="69">
        <v>0</v>
      </c>
      <c r="G63" s="69">
        <v>0</v>
      </c>
      <c r="H63" s="69">
        <v>0</v>
      </c>
      <c r="I63" s="69">
        <v>0</v>
      </c>
    </row>
    <row r="64" spans="1:9">
      <c r="A64" s="219"/>
      <c r="B64" s="69" t="s">
        <v>685</v>
      </c>
      <c r="C64" s="69" t="s">
        <v>73</v>
      </c>
      <c r="D64" s="69" t="s">
        <v>160</v>
      </c>
      <c r="E64" s="69" t="s">
        <v>81</v>
      </c>
      <c r="F64" s="69">
        <v>0</v>
      </c>
      <c r="G64" s="69">
        <v>0</v>
      </c>
      <c r="H64" s="69">
        <v>0</v>
      </c>
      <c r="I64" s="69">
        <v>0</v>
      </c>
    </row>
    <row r="65" spans="1:9">
      <c r="A65" s="219"/>
      <c r="B65" s="69" t="s">
        <v>1760</v>
      </c>
      <c r="C65" s="69" t="s">
        <v>73</v>
      </c>
      <c r="D65" s="69" t="s">
        <v>422</v>
      </c>
      <c r="E65" s="69" t="s">
        <v>63</v>
      </c>
      <c r="F65" s="69">
        <v>0</v>
      </c>
      <c r="G65" s="69">
        <v>0</v>
      </c>
      <c r="H65" s="69">
        <v>0</v>
      </c>
      <c r="I65" s="69">
        <v>0</v>
      </c>
    </row>
    <row r="66" spans="1:9">
      <c r="A66" s="219"/>
      <c r="B66" s="69" t="s">
        <v>1761</v>
      </c>
      <c r="C66" s="69" t="s">
        <v>73</v>
      </c>
      <c r="D66" s="69" t="s">
        <v>18</v>
      </c>
      <c r="E66" s="69" t="s">
        <v>63</v>
      </c>
      <c r="F66" s="69">
        <v>0</v>
      </c>
      <c r="G66" s="69">
        <v>0</v>
      </c>
      <c r="H66" s="69">
        <v>0</v>
      </c>
      <c r="I66" s="69">
        <v>0</v>
      </c>
    </row>
    <row r="67" spans="1:9">
      <c r="A67" s="219"/>
      <c r="B67" s="69" t="s">
        <v>1762</v>
      </c>
      <c r="C67" s="69" t="s">
        <v>73</v>
      </c>
      <c r="D67" s="69" t="s">
        <v>20</v>
      </c>
      <c r="E67" s="69" t="s">
        <v>76</v>
      </c>
      <c r="F67" s="69">
        <v>0</v>
      </c>
      <c r="G67" s="69">
        <v>0</v>
      </c>
      <c r="H67" s="69">
        <v>0</v>
      </c>
      <c r="I67" s="69">
        <v>0</v>
      </c>
    </row>
    <row r="68" spans="1:9">
      <c r="A68" s="219"/>
      <c r="B68" s="69" t="s">
        <v>686</v>
      </c>
      <c r="C68" s="69" t="s">
        <v>73</v>
      </c>
      <c r="D68" s="69" t="s">
        <v>160</v>
      </c>
      <c r="E68" s="69" t="s">
        <v>81</v>
      </c>
      <c r="F68" s="69">
        <v>0</v>
      </c>
      <c r="G68" s="69">
        <v>0</v>
      </c>
      <c r="H68" s="69">
        <v>0</v>
      </c>
      <c r="I68" s="69">
        <v>0</v>
      </c>
    </row>
    <row r="69" spans="1:9">
      <c r="A69" s="219"/>
      <c r="B69" s="69" t="s">
        <v>1763</v>
      </c>
      <c r="C69" s="69" t="s">
        <v>73</v>
      </c>
      <c r="D69" s="69" t="s">
        <v>18</v>
      </c>
      <c r="E69" s="69" t="s">
        <v>63</v>
      </c>
      <c r="F69" s="69">
        <v>0</v>
      </c>
      <c r="G69" s="69">
        <v>0</v>
      </c>
      <c r="H69" s="69">
        <v>0</v>
      </c>
      <c r="I69" s="69">
        <v>0</v>
      </c>
    </row>
    <row r="70" spans="1:9">
      <c r="A70" s="219"/>
      <c r="B70" s="69" t="s">
        <v>687</v>
      </c>
      <c r="C70" s="69" t="s">
        <v>73</v>
      </c>
      <c r="D70" s="69" t="s">
        <v>160</v>
      </c>
      <c r="E70" s="69" t="s">
        <v>81</v>
      </c>
      <c r="F70" s="69">
        <v>0</v>
      </c>
      <c r="G70" s="69">
        <v>0</v>
      </c>
      <c r="H70" s="69">
        <v>0</v>
      </c>
      <c r="I70" s="69">
        <v>0</v>
      </c>
    </row>
    <row r="71" spans="1:9">
      <c r="A71" s="219"/>
      <c r="B71" s="69" t="s">
        <v>688</v>
      </c>
      <c r="C71" s="69" t="s">
        <v>73</v>
      </c>
      <c r="D71" s="69" t="s">
        <v>676</v>
      </c>
      <c r="E71" s="69" t="s">
        <v>671</v>
      </c>
      <c r="F71" s="69">
        <v>0</v>
      </c>
      <c r="G71" s="69">
        <v>0</v>
      </c>
      <c r="H71" s="69">
        <v>0</v>
      </c>
      <c r="I71" s="69">
        <v>0</v>
      </c>
    </row>
    <row r="72" spans="1:9">
      <c r="A72" s="219"/>
      <c r="B72" s="69" t="s">
        <v>689</v>
      </c>
      <c r="C72" s="69" t="s">
        <v>73</v>
      </c>
      <c r="D72" s="69" t="s">
        <v>676</v>
      </c>
      <c r="E72" s="69" t="s">
        <v>671</v>
      </c>
      <c r="F72" s="69">
        <v>0</v>
      </c>
      <c r="G72" s="69">
        <v>0</v>
      </c>
      <c r="H72" s="69">
        <v>0</v>
      </c>
      <c r="I72" s="69">
        <v>0</v>
      </c>
    </row>
    <row r="73" spans="1:9">
      <c r="A73" s="219"/>
      <c r="B73" s="69" t="s">
        <v>1764</v>
      </c>
      <c r="C73" s="69" t="s">
        <v>73</v>
      </c>
      <c r="D73" s="69" t="s">
        <v>23</v>
      </c>
      <c r="E73" s="69" t="s">
        <v>79</v>
      </c>
      <c r="F73" s="69">
        <v>0</v>
      </c>
      <c r="G73" s="69">
        <v>0</v>
      </c>
      <c r="H73" s="69">
        <v>0</v>
      </c>
      <c r="I73" s="69">
        <v>0</v>
      </c>
    </row>
    <row r="74" spans="1:9">
      <c r="A74" s="219"/>
      <c r="B74" s="69" t="s">
        <v>1765</v>
      </c>
      <c r="C74" s="69" t="s">
        <v>73</v>
      </c>
      <c r="D74" s="69" t="s">
        <v>20</v>
      </c>
      <c r="E74" s="69" t="s">
        <v>76</v>
      </c>
      <c r="F74" s="69">
        <v>0</v>
      </c>
      <c r="G74" s="69">
        <v>0</v>
      </c>
      <c r="H74" s="69">
        <v>0</v>
      </c>
      <c r="I74" s="69">
        <v>0</v>
      </c>
    </row>
    <row r="75" spans="1:9">
      <c r="A75" s="219"/>
      <c r="B75" s="69" t="s">
        <v>1766</v>
      </c>
      <c r="C75" s="69" t="s">
        <v>73</v>
      </c>
      <c r="D75" s="69" t="s">
        <v>18</v>
      </c>
      <c r="E75" s="69" t="s">
        <v>63</v>
      </c>
      <c r="F75" s="69">
        <v>0</v>
      </c>
      <c r="G75" s="69">
        <v>0</v>
      </c>
      <c r="H75" s="69">
        <v>0</v>
      </c>
      <c r="I75" s="69">
        <v>0</v>
      </c>
    </row>
    <row r="76" spans="1:9">
      <c r="A76" s="219"/>
      <c r="B76" s="69" t="s">
        <v>1767</v>
      </c>
      <c r="C76" s="69" t="s">
        <v>73</v>
      </c>
      <c r="D76" s="69" t="s">
        <v>20</v>
      </c>
      <c r="E76" s="69" t="s">
        <v>76</v>
      </c>
      <c r="F76" s="69">
        <v>0</v>
      </c>
      <c r="G76" s="69">
        <v>0</v>
      </c>
      <c r="H76" s="69">
        <v>0</v>
      </c>
      <c r="I76" s="69">
        <v>0</v>
      </c>
    </row>
    <row r="77" spans="1:9">
      <c r="A77" s="219"/>
      <c r="B77" s="69" t="s">
        <v>1768</v>
      </c>
      <c r="C77" s="69" t="s">
        <v>73</v>
      </c>
      <c r="D77" s="69" t="s">
        <v>18</v>
      </c>
      <c r="E77" s="69" t="s">
        <v>63</v>
      </c>
      <c r="F77" s="69">
        <v>0</v>
      </c>
      <c r="G77" s="69">
        <v>0</v>
      </c>
      <c r="H77" s="69">
        <v>0</v>
      </c>
      <c r="I77" s="69">
        <v>0</v>
      </c>
    </row>
    <row r="78" spans="1:9">
      <c r="A78" s="219"/>
      <c r="B78" s="69" t="s">
        <v>1769</v>
      </c>
      <c r="C78" s="69" t="s">
        <v>73</v>
      </c>
      <c r="D78" s="69" t="s">
        <v>20</v>
      </c>
      <c r="E78" s="69" t="s">
        <v>76</v>
      </c>
      <c r="F78" s="69">
        <v>0</v>
      </c>
      <c r="G78" s="69">
        <v>0</v>
      </c>
      <c r="H78" s="69">
        <v>0</v>
      </c>
      <c r="I78" s="69">
        <v>0</v>
      </c>
    </row>
    <row r="79" spans="1:9">
      <c r="A79" s="219"/>
      <c r="B79" s="69" t="s">
        <v>1770</v>
      </c>
      <c r="C79" s="69" t="s">
        <v>73</v>
      </c>
      <c r="D79" s="69" t="s">
        <v>23</v>
      </c>
      <c r="E79" s="69" t="s">
        <v>79</v>
      </c>
      <c r="F79" s="69">
        <v>0</v>
      </c>
      <c r="G79" s="69">
        <v>0</v>
      </c>
      <c r="H79" s="69">
        <v>0</v>
      </c>
      <c r="I79" s="69">
        <v>0</v>
      </c>
    </row>
    <row r="80" spans="1:9">
      <c r="A80" s="219"/>
      <c r="B80" s="69" t="s">
        <v>1771</v>
      </c>
      <c r="C80" s="69" t="s">
        <v>73</v>
      </c>
      <c r="D80" s="69" t="s">
        <v>23</v>
      </c>
      <c r="E80" s="69" t="s">
        <v>79</v>
      </c>
      <c r="F80" s="69">
        <v>0</v>
      </c>
      <c r="G80" s="69">
        <v>0</v>
      </c>
      <c r="H80" s="69">
        <v>0</v>
      </c>
      <c r="I80" s="69">
        <v>0</v>
      </c>
    </row>
    <row r="81" spans="1:9">
      <c r="A81" s="219"/>
      <c r="B81" s="69" t="s">
        <v>690</v>
      </c>
      <c r="C81" s="69" t="s">
        <v>73</v>
      </c>
      <c r="D81" s="69" t="s">
        <v>160</v>
      </c>
      <c r="E81" s="69" t="s">
        <v>81</v>
      </c>
      <c r="F81" s="69">
        <v>0</v>
      </c>
      <c r="G81" s="69">
        <v>0</v>
      </c>
      <c r="H81" s="69">
        <v>0</v>
      </c>
      <c r="I81" s="69">
        <v>0</v>
      </c>
    </row>
    <row r="82" spans="1:9">
      <c r="A82" s="219"/>
      <c r="B82" s="69" t="s">
        <v>1772</v>
      </c>
      <c r="C82" s="69" t="s">
        <v>73</v>
      </c>
      <c r="D82" s="69" t="s">
        <v>18</v>
      </c>
      <c r="E82" s="69" t="s">
        <v>63</v>
      </c>
      <c r="F82" s="69">
        <v>0</v>
      </c>
      <c r="G82" s="69">
        <v>0</v>
      </c>
      <c r="H82" s="69">
        <v>0</v>
      </c>
      <c r="I82" s="69">
        <v>0</v>
      </c>
    </row>
    <row r="83" spans="1:9">
      <c r="A83" s="219"/>
      <c r="B83" s="69" t="s">
        <v>1773</v>
      </c>
      <c r="C83" s="69" t="s">
        <v>73</v>
      </c>
      <c r="D83" s="69" t="s">
        <v>20</v>
      </c>
      <c r="E83" s="69" t="s">
        <v>76</v>
      </c>
      <c r="F83" s="69">
        <v>0</v>
      </c>
      <c r="G83" s="69">
        <v>0</v>
      </c>
      <c r="H83" s="69">
        <v>0</v>
      </c>
      <c r="I83" s="69">
        <v>0</v>
      </c>
    </row>
    <row r="84" spans="1:9">
      <c r="A84" s="219"/>
      <c r="B84" s="69" t="s">
        <v>1774</v>
      </c>
      <c r="C84" s="69" t="s">
        <v>73</v>
      </c>
      <c r="D84" s="69" t="s">
        <v>20</v>
      </c>
      <c r="E84" s="69" t="s">
        <v>76</v>
      </c>
      <c r="F84" s="69">
        <v>0</v>
      </c>
      <c r="G84" s="69">
        <v>0</v>
      </c>
      <c r="H84" s="69">
        <v>0</v>
      </c>
      <c r="I84" s="69">
        <v>0</v>
      </c>
    </row>
    <row r="85" spans="1:9">
      <c r="A85" s="219"/>
      <c r="B85" s="69" t="s">
        <v>1775</v>
      </c>
      <c r="C85" s="69" t="s">
        <v>73</v>
      </c>
      <c r="D85" s="69" t="s">
        <v>20</v>
      </c>
      <c r="E85" s="69" t="s">
        <v>76</v>
      </c>
      <c r="F85" s="69">
        <v>0</v>
      </c>
      <c r="G85" s="69">
        <v>0</v>
      </c>
      <c r="H85" s="69">
        <v>0</v>
      </c>
      <c r="I85" s="69">
        <v>0</v>
      </c>
    </row>
    <row r="86" spans="1:9">
      <c r="A86" s="219"/>
      <c r="B86" s="69" t="s">
        <v>1776</v>
      </c>
      <c r="C86" s="69" t="s">
        <v>73</v>
      </c>
      <c r="D86" s="69" t="s">
        <v>23</v>
      </c>
      <c r="E86" s="69" t="s">
        <v>79</v>
      </c>
      <c r="F86" s="69">
        <v>0</v>
      </c>
      <c r="G86" s="69">
        <v>0</v>
      </c>
      <c r="H86" s="69">
        <v>0</v>
      </c>
      <c r="I86" s="69">
        <v>0</v>
      </c>
    </row>
    <row r="87" spans="1:9">
      <c r="A87" s="219"/>
      <c r="B87" s="69" t="s">
        <v>1777</v>
      </c>
      <c r="C87" s="69" t="s">
        <v>73</v>
      </c>
      <c r="D87" s="69" t="s">
        <v>23</v>
      </c>
      <c r="E87" s="69" t="s">
        <v>79</v>
      </c>
      <c r="F87" s="69">
        <v>0</v>
      </c>
      <c r="G87" s="69">
        <v>0</v>
      </c>
      <c r="H87" s="69">
        <v>0</v>
      </c>
      <c r="I87" s="69">
        <v>0</v>
      </c>
    </row>
    <row r="88" spans="1:9">
      <c r="A88" s="219"/>
      <c r="B88" s="69" t="s">
        <v>691</v>
      </c>
      <c r="C88" s="69" t="s">
        <v>73</v>
      </c>
      <c r="D88" s="69" t="s">
        <v>160</v>
      </c>
      <c r="E88" s="69" t="s">
        <v>81</v>
      </c>
      <c r="F88" s="69">
        <v>0</v>
      </c>
      <c r="G88" s="69">
        <v>0</v>
      </c>
      <c r="H88" s="69">
        <v>0</v>
      </c>
      <c r="I88" s="69">
        <v>0</v>
      </c>
    </row>
    <row r="89" spans="1:9">
      <c r="A89" s="219"/>
      <c r="B89" s="69" t="s">
        <v>1778</v>
      </c>
      <c r="C89" s="69" t="s">
        <v>73</v>
      </c>
      <c r="D89" s="69" t="s">
        <v>18</v>
      </c>
      <c r="E89" s="69" t="s">
        <v>63</v>
      </c>
      <c r="F89" s="69">
        <v>0</v>
      </c>
      <c r="G89" s="69">
        <v>0</v>
      </c>
      <c r="H89" s="69">
        <v>0</v>
      </c>
      <c r="I89" s="69">
        <v>0</v>
      </c>
    </row>
    <row r="90" spans="1:9">
      <c r="A90" s="219"/>
      <c r="B90" s="69" t="s">
        <v>1779</v>
      </c>
      <c r="C90" s="69" t="s">
        <v>73</v>
      </c>
      <c r="D90" s="69" t="s">
        <v>20</v>
      </c>
      <c r="E90" s="69" t="s">
        <v>76</v>
      </c>
      <c r="F90" s="69">
        <v>0</v>
      </c>
      <c r="G90" s="69">
        <v>0</v>
      </c>
      <c r="H90" s="69">
        <v>0</v>
      </c>
      <c r="I90" s="69">
        <v>0</v>
      </c>
    </row>
    <row r="91" spans="1:9">
      <c r="A91" s="219"/>
      <c r="B91" s="69" t="s">
        <v>692</v>
      </c>
      <c r="C91" s="69" t="s">
        <v>73</v>
      </c>
      <c r="D91" s="69" t="s">
        <v>160</v>
      </c>
      <c r="E91" s="69" t="s">
        <v>81</v>
      </c>
      <c r="F91" s="69">
        <v>0</v>
      </c>
      <c r="G91" s="69">
        <v>0</v>
      </c>
      <c r="H91" s="69">
        <v>0</v>
      </c>
      <c r="I91" s="69">
        <v>0</v>
      </c>
    </row>
    <row r="92" spans="1:9">
      <c r="A92" s="219"/>
      <c r="B92" s="69" t="s">
        <v>1780</v>
      </c>
      <c r="C92" s="69" t="s">
        <v>73</v>
      </c>
      <c r="D92" s="69" t="s">
        <v>1712</v>
      </c>
      <c r="E92" s="69" t="s">
        <v>63</v>
      </c>
      <c r="F92" s="69">
        <v>0</v>
      </c>
      <c r="G92" s="69">
        <v>0</v>
      </c>
      <c r="H92" s="69">
        <v>0</v>
      </c>
      <c r="I92" s="69">
        <v>0</v>
      </c>
    </row>
    <row r="93" spans="1:9">
      <c r="A93" s="219"/>
      <c r="B93" s="69" t="s">
        <v>1781</v>
      </c>
      <c r="C93" s="69" t="s">
        <v>73</v>
      </c>
      <c r="D93" s="69" t="s">
        <v>23</v>
      </c>
      <c r="E93" s="69" t="s">
        <v>79</v>
      </c>
      <c r="F93" s="69">
        <v>0</v>
      </c>
      <c r="G93" s="69">
        <v>0</v>
      </c>
      <c r="H93" s="69">
        <v>0</v>
      </c>
      <c r="I93" s="69">
        <v>0</v>
      </c>
    </row>
    <row r="94" spans="1:9">
      <c r="A94" s="219"/>
      <c r="B94" s="69" t="s">
        <v>1782</v>
      </c>
      <c r="C94" s="223" t="s">
        <v>73</v>
      </c>
      <c r="D94" s="69" t="s">
        <v>1714</v>
      </c>
      <c r="E94" s="69" t="s">
        <v>79</v>
      </c>
      <c r="F94" s="69">
        <v>0</v>
      </c>
      <c r="G94" s="69">
        <v>0</v>
      </c>
      <c r="H94" s="69">
        <v>0</v>
      </c>
      <c r="I94" s="69">
        <v>0</v>
      </c>
    </row>
    <row r="95" spans="1:9">
      <c r="A95" s="219"/>
      <c r="B95" s="69" t="s">
        <v>693</v>
      </c>
      <c r="C95" s="69" t="s">
        <v>73</v>
      </c>
      <c r="D95" s="69" t="s">
        <v>676</v>
      </c>
      <c r="E95" s="69" t="s">
        <v>671</v>
      </c>
      <c r="F95" s="69">
        <v>0</v>
      </c>
      <c r="G95" s="69">
        <v>0</v>
      </c>
      <c r="H95" s="69">
        <v>0</v>
      </c>
      <c r="I95" s="69">
        <v>0</v>
      </c>
    </row>
    <row r="96" spans="1:9">
      <c r="A96" s="219"/>
      <c r="B96" s="69" t="s">
        <v>694</v>
      </c>
      <c r="C96" s="69" t="s">
        <v>73</v>
      </c>
      <c r="D96" s="69" t="s">
        <v>160</v>
      </c>
      <c r="E96" s="69" t="s">
        <v>81</v>
      </c>
      <c r="F96" s="69">
        <v>0</v>
      </c>
      <c r="G96" s="69">
        <v>0</v>
      </c>
      <c r="H96" s="69">
        <v>0</v>
      </c>
      <c r="I96" s="69">
        <v>0</v>
      </c>
    </row>
    <row r="97" spans="1:9">
      <c r="A97" s="219"/>
      <c r="B97" s="69" t="s">
        <v>1783</v>
      </c>
      <c r="C97" s="223" t="s">
        <v>73</v>
      </c>
      <c r="D97" s="69" t="s">
        <v>23</v>
      </c>
      <c r="E97" s="69" t="s">
        <v>79</v>
      </c>
      <c r="F97" s="69">
        <v>0</v>
      </c>
      <c r="G97" s="69">
        <v>0</v>
      </c>
      <c r="H97" s="69">
        <v>0</v>
      </c>
      <c r="I97" s="69">
        <v>0</v>
      </c>
    </row>
    <row r="98" spans="1:9">
      <c r="A98" s="219"/>
      <c r="B98" s="69" t="s">
        <v>695</v>
      </c>
      <c r="C98" s="69" t="s">
        <v>73</v>
      </c>
      <c r="D98" s="69" t="s">
        <v>676</v>
      </c>
      <c r="E98" s="69" t="s">
        <v>671</v>
      </c>
      <c r="F98" s="69">
        <v>0</v>
      </c>
      <c r="G98" s="69">
        <v>0</v>
      </c>
      <c r="H98" s="69">
        <v>0</v>
      </c>
      <c r="I98" s="69">
        <v>0</v>
      </c>
    </row>
    <row r="99" spans="1:9">
      <c r="A99" s="219"/>
      <c r="B99" s="69" t="s">
        <v>696</v>
      </c>
      <c r="C99" s="69" t="s">
        <v>73</v>
      </c>
      <c r="D99" s="69" t="s">
        <v>697</v>
      </c>
      <c r="E99" s="69" t="s">
        <v>659</v>
      </c>
      <c r="F99" s="69">
        <v>0</v>
      </c>
      <c r="G99" s="69">
        <v>0</v>
      </c>
      <c r="H99" s="69">
        <v>0</v>
      </c>
      <c r="I99" s="69">
        <v>0</v>
      </c>
    </row>
    <row r="100" spans="1:9">
      <c r="A100" s="219"/>
      <c r="B100" s="69" t="s">
        <v>1784</v>
      </c>
      <c r="C100" s="69" t="s">
        <v>73</v>
      </c>
      <c r="D100" s="69" t="s">
        <v>20</v>
      </c>
      <c r="E100" s="69" t="s">
        <v>76</v>
      </c>
      <c r="F100" s="69">
        <v>0</v>
      </c>
      <c r="G100" s="69">
        <v>0</v>
      </c>
      <c r="H100" s="69">
        <v>0</v>
      </c>
      <c r="I100" s="69">
        <v>0</v>
      </c>
    </row>
    <row r="101" spans="1:9">
      <c r="A101" s="219"/>
      <c r="B101" s="69" t="s">
        <v>698</v>
      </c>
      <c r="C101" s="69" t="s">
        <v>73</v>
      </c>
      <c r="D101" s="69" t="s">
        <v>160</v>
      </c>
      <c r="E101" s="69" t="s">
        <v>81</v>
      </c>
      <c r="F101" s="69">
        <v>0</v>
      </c>
      <c r="G101" s="69">
        <v>0</v>
      </c>
      <c r="H101" s="69">
        <v>0</v>
      </c>
      <c r="I101" s="69">
        <v>0</v>
      </c>
    </row>
    <row r="102" spans="1:9">
      <c r="A102" s="219"/>
      <c r="B102" s="69" t="s">
        <v>699</v>
      </c>
      <c r="C102" s="69" t="s">
        <v>73</v>
      </c>
      <c r="D102" s="69" t="s">
        <v>676</v>
      </c>
      <c r="E102" s="69" t="s">
        <v>671</v>
      </c>
      <c r="F102" s="69">
        <v>0</v>
      </c>
      <c r="G102" s="69">
        <v>0</v>
      </c>
      <c r="H102" s="69">
        <v>0</v>
      </c>
      <c r="I102" s="69">
        <v>0</v>
      </c>
    </row>
    <row r="103" spans="1:9">
      <c r="A103" s="219"/>
      <c r="B103" s="69" t="s">
        <v>700</v>
      </c>
      <c r="C103" s="69" t="s">
        <v>73</v>
      </c>
      <c r="D103" s="69" t="s">
        <v>676</v>
      </c>
      <c r="E103" s="69" t="s">
        <v>671</v>
      </c>
      <c r="F103" s="69">
        <v>0</v>
      </c>
      <c r="G103" s="69">
        <v>0</v>
      </c>
      <c r="H103" s="69">
        <v>0</v>
      </c>
      <c r="I103" s="69">
        <v>0</v>
      </c>
    </row>
    <row r="104" spans="1:9">
      <c r="A104" s="219"/>
      <c r="B104" s="69" t="s">
        <v>701</v>
      </c>
      <c r="C104" s="69" t="s">
        <v>73</v>
      </c>
      <c r="D104" s="69" t="s">
        <v>676</v>
      </c>
      <c r="E104" s="69" t="s">
        <v>671</v>
      </c>
      <c r="F104" s="69">
        <v>0</v>
      </c>
      <c r="G104" s="69">
        <v>0</v>
      </c>
      <c r="H104" s="69">
        <v>0</v>
      </c>
      <c r="I104" s="69">
        <v>0</v>
      </c>
    </row>
    <row r="105" spans="1:9">
      <c r="A105" s="219"/>
      <c r="B105" s="69" t="s">
        <v>1785</v>
      </c>
      <c r="C105" s="69" t="s">
        <v>73</v>
      </c>
      <c r="D105" s="69" t="s">
        <v>23</v>
      </c>
      <c r="E105" s="69" t="s">
        <v>79</v>
      </c>
      <c r="F105" s="69">
        <v>0</v>
      </c>
      <c r="G105" s="69">
        <v>0</v>
      </c>
      <c r="H105" s="69">
        <v>0</v>
      </c>
      <c r="I105" s="69">
        <v>0</v>
      </c>
    </row>
    <row r="106" spans="1:9">
      <c r="A106" s="219"/>
      <c r="B106" s="69" t="s">
        <v>1786</v>
      </c>
      <c r="C106" s="69" t="s">
        <v>73</v>
      </c>
      <c r="D106" s="69" t="s">
        <v>1714</v>
      </c>
      <c r="E106" s="69" t="s">
        <v>79</v>
      </c>
      <c r="F106" s="69">
        <v>0</v>
      </c>
      <c r="G106" s="69">
        <v>0</v>
      </c>
      <c r="H106" s="69">
        <v>0</v>
      </c>
      <c r="I106" s="69">
        <v>0</v>
      </c>
    </row>
    <row r="107" spans="1:9">
      <c r="A107" s="219"/>
      <c r="B107" s="69" t="s">
        <v>1787</v>
      </c>
      <c r="C107" s="69" t="s">
        <v>73</v>
      </c>
      <c r="D107" s="69" t="s">
        <v>23</v>
      </c>
      <c r="E107" s="69" t="s">
        <v>79</v>
      </c>
      <c r="F107" s="69">
        <v>0</v>
      </c>
      <c r="G107" s="69">
        <v>0</v>
      </c>
      <c r="H107" s="69">
        <v>0</v>
      </c>
      <c r="I107" s="69">
        <v>0</v>
      </c>
    </row>
    <row r="108" spans="1:9">
      <c r="A108" s="219"/>
      <c r="B108" s="69" t="s">
        <v>702</v>
      </c>
      <c r="C108" s="69" t="s">
        <v>73</v>
      </c>
      <c r="D108" s="69" t="s">
        <v>676</v>
      </c>
      <c r="E108" s="69" t="s">
        <v>671</v>
      </c>
      <c r="F108" s="69">
        <v>0</v>
      </c>
      <c r="G108" s="69">
        <v>0</v>
      </c>
      <c r="H108" s="69">
        <v>0</v>
      </c>
      <c r="I108" s="69">
        <v>0</v>
      </c>
    </row>
    <row r="109" spans="1:9">
      <c r="A109" s="219"/>
      <c r="B109" s="69" t="s">
        <v>703</v>
      </c>
      <c r="C109" s="69" t="s">
        <v>73</v>
      </c>
      <c r="D109" s="69" t="s">
        <v>676</v>
      </c>
      <c r="E109" s="69" t="s">
        <v>671</v>
      </c>
      <c r="F109" s="69">
        <v>0</v>
      </c>
      <c r="G109" s="69">
        <v>0</v>
      </c>
      <c r="H109" s="69">
        <v>0</v>
      </c>
      <c r="I109" s="69">
        <v>0</v>
      </c>
    </row>
    <row r="110" spans="1:9">
      <c r="A110" s="219"/>
      <c r="B110" s="69" t="s">
        <v>1788</v>
      </c>
      <c r="C110" s="69" t="s">
        <v>73</v>
      </c>
      <c r="D110" s="69" t="s">
        <v>18</v>
      </c>
      <c r="E110" s="69" t="s">
        <v>63</v>
      </c>
      <c r="F110" s="69">
        <v>0</v>
      </c>
      <c r="G110" s="69">
        <v>0</v>
      </c>
      <c r="H110" s="69">
        <v>0</v>
      </c>
      <c r="I110" s="69">
        <v>0</v>
      </c>
    </row>
    <row r="111" spans="1:9">
      <c r="A111" s="219"/>
      <c r="B111" s="69" t="s">
        <v>1789</v>
      </c>
      <c r="C111" s="69" t="s">
        <v>73</v>
      </c>
      <c r="D111" s="69" t="s">
        <v>18</v>
      </c>
      <c r="E111" s="69" t="s">
        <v>63</v>
      </c>
      <c r="F111" s="69">
        <v>0</v>
      </c>
      <c r="G111" s="69">
        <v>0</v>
      </c>
      <c r="H111" s="69">
        <v>0</v>
      </c>
      <c r="I111" s="69">
        <v>0</v>
      </c>
    </row>
    <row r="112" spans="1:9">
      <c r="A112" s="219"/>
      <c r="B112" s="69" t="s">
        <v>1790</v>
      </c>
      <c r="C112" s="69" t="s">
        <v>73</v>
      </c>
      <c r="D112" s="69" t="s">
        <v>1712</v>
      </c>
      <c r="E112" s="69" t="s">
        <v>63</v>
      </c>
      <c r="F112" s="69">
        <v>0</v>
      </c>
      <c r="G112" s="69">
        <v>0</v>
      </c>
      <c r="H112" s="69">
        <v>0</v>
      </c>
      <c r="I112" s="69">
        <v>0</v>
      </c>
    </row>
    <row r="113" spans="1:9">
      <c r="A113" s="219"/>
      <c r="B113" s="69" t="s">
        <v>704</v>
      </c>
      <c r="C113" s="69" t="s">
        <v>73</v>
      </c>
      <c r="D113" s="69" t="s">
        <v>676</v>
      </c>
      <c r="E113" s="69" t="s">
        <v>671</v>
      </c>
      <c r="F113" s="69">
        <v>0</v>
      </c>
      <c r="G113" s="69">
        <v>0</v>
      </c>
      <c r="H113" s="69">
        <v>0</v>
      </c>
      <c r="I113" s="69">
        <v>0</v>
      </c>
    </row>
    <row r="114" spans="1:9">
      <c r="A114" s="219"/>
      <c r="B114" s="69" t="s">
        <v>1791</v>
      </c>
      <c r="C114" s="69" t="s">
        <v>73</v>
      </c>
      <c r="D114" s="69" t="s">
        <v>20</v>
      </c>
      <c r="E114" s="69" t="s">
        <v>76</v>
      </c>
      <c r="F114" s="69">
        <v>0</v>
      </c>
      <c r="G114" s="69">
        <v>0</v>
      </c>
      <c r="H114" s="69">
        <v>0</v>
      </c>
      <c r="I114" s="69">
        <v>0</v>
      </c>
    </row>
    <row r="115" spans="1:9">
      <c r="A115" s="219"/>
      <c r="B115" s="69" t="s">
        <v>1792</v>
      </c>
      <c r="C115" s="69" t="s">
        <v>73</v>
      </c>
      <c r="D115" s="69" t="s">
        <v>23</v>
      </c>
      <c r="E115" s="69" t="s">
        <v>79</v>
      </c>
      <c r="F115" s="69">
        <v>0</v>
      </c>
      <c r="G115" s="69">
        <v>0</v>
      </c>
      <c r="H115" s="69">
        <v>0</v>
      </c>
      <c r="I115" s="69">
        <v>0</v>
      </c>
    </row>
    <row r="116" spans="1:9">
      <c r="A116" s="219"/>
      <c r="B116" s="69" t="s">
        <v>705</v>
      </c>
      <c r="C116" s="69" t="s">
        <v>73</v>
      </c>
      <c r="D116" s="69" t="s">
        <v>676</v>
      </c>
      <c r="E116" s="69" t="s">
        <v>671</v>
      </c>
      <c r="F116" s="69">
        <v>0</v>
      </c>
      <c r="G116" s="69">
        <v>0</v>
      </c>
      <c r="H116" s="69">
        <v>0</v>
      </c>
      <c r="I116" s="69">
        <v>0</v>
      </c>
    </row>
    <row r="117" spans="1:9">
      <c r="A117" s="219"/>
      <c r="B117" s="69" t="s">
        <v>706</v>
      </c>
      <c r="C117" s="69" t="s">
        <v>73</v>
      </c>
      <c r="D117" s="69" t="s">
        <v>676</v>
      </c>
      <c r="E117" s="69" t="s">
        <v>671</v>
      </c>
      <c r="F117" s="69">
        <v>0</v>
      </c>
      <c r="G117" s="69">
        <v>0</v>
      </c>
      <c r="H117" s="69">
        <v>0</v>
      </c>
      <c r="I117" s="69">
        <v>0</v>
      </c>
    </row>
    <row r="118" spans="1:9">
      <c r="A118" s="219"/>
      <c r="B118" s="69" t="s">
        <v>1793</v>
      </c>
      <c r="C118" s="69" t="s">
        <v>73</v>
      </c>
      <c r="D118" s="69" t="s">
        <v>23</v>
      </c>
      <c r="E118" s="69" t="s">
        <v>79</v>
      </c>
      <c r="F118" s="69">
        <v>0</v>
      </c>
      <c r="G118" s="69">
        <v>0</v>
      </c>
      <c r="H118" s="69">
        <v>0</v>
      </c>
      <c r="I118" s="69">
        <v>0</v>
      </c>
    </row>
    <row r="119" spans="1:9">
      <c r="A119" s="219"/>
      <c r="B119" s="69" t="s">
        <v>1794</v>
      </c>
      <c r="C119" s="69" t="s">
        <v>73</v>
      </c>
      <c r="D119" s="69" t="s">
        <v>23</v>
      </c>
      <c r="E119" s="69" t="s">
        <v>79</v>
      </c>
      <c r="F119" s="69">
        <v>0</v>
      </c>
      <c r="G119" s="69">
        <v>0</v>
      </c>
      <c r="H119" s="69">
        <v>0</v>
      </c>
      <c r="I119" s="69">
        <v>0</v>
      </c>
    </row>
    <row r="120" spans="1:9">
      <c r="A120" s="219"/>
      <c r="B120" s="69" t="s">
        <v>1795</v>
      </c>
      <c r="C120" s="69" t="s">
        <v>73</v>
      </c>
      <c r="D120" s="69" t="s">
        <v>23</v>
      </c>
      <c r="E120" s="69" t="s">
        <v>79</v>
      </c>
      <c r="F120" s="69">
        <v>0</v>
      </c>
      <c r="G120" s="69">
        <v>0</v>
      </c>
      <c r="H120" s="69">
        <v>0</v>
      </c>
      <c r="I120" s="69">
        <v>0</v>
      </c>
    </row>
    <row r="121" spans="1:9">
      <c r="A121" s="219"/>
      <c r="B121" s="69" t="s">
        <v>1796</v>
      </c>
      <c r="C121" s="69" t="s">
        <v>73</v>
      </c>
      <c r="D121" s="69" t="s">
        <v>23</v>
      </c>
      <c r="E121" s="69" t="s">
        <v>79</v>
      </c>
      <c r="F121" s="69">
        <v>0</v>
      </c>
      <c r="G121" s="69">
        <v>0</v>
      </c>
      <c r="H121" s="69">
        <v>0</v>
      </c>
      <c r="I121" s="69">
        <v>0</v>
      </c>
    </row>
    <row r="122" spans="1:9">
      <c r="A122" s="219"/>
      <c r="B122" s="69" t="s">
        <v>1797</v>
      </c>
      <c r="C122" s="69" t="s">
        <v>73</v>
      </c>
      <c r="D122" s="69" t="s">
        <v>23</v>
      </c>
      <c r="E122" s="69" t="s">
        <v>79</v>
      </c>
      <c r="F122" s="69">
        <v>0</v>
      </c>
      <c r="G122" s="69">
        <v>0</v>
      </c>
      <c r="H122" s="69">
        <v>0</v>
      </c>
      <c r="I122" s="69">
        <v>0</v>
      </c>
    </row>
    <row r="123" spans="1:9">
      <c r="A123" s="219"/>
      <c r="B123" s="69" t="s">
        <v>1798</v>
      </c>
      <c r="C123" s="69" t="s">
        <v>73</v>
      </c>
      <c r="D123" s="69" t="s">
        <v>23</v>
      </c>
      <c r="E123" s="69" t="s">
        <v>79</v>
      </c>
      <c r="F123" s="69">
        <v>0</v>
      </c>
      <c r="G123" s="69">
        <v>0</v>
      </c>
      <c r="H123" s="69">
        <v>0</v>
      </c>
      <c r="I123" s="69">
        <v>0</v>
      </c>
    </row>
    <row r="124" spans="1:9">
      <c r="A124" s="219"/>
      <c r="B124" s="69" t="s">
        <v>1799</v>
      </c>
      <c r="C124" s="69" t="s">
        <v>73</v>
      </c>
      <c r="D124" s="69" t="s">
        <v>20</v>
      </c>
      <c r="E124" s="69" t="s">
        <v>76</v>
      </c>
      <c r="F124" s="69">
        <v>0</v>
      </c>
      <c r="G124" s="69">
        <v>0</v>
      </c>
      <c r="H124" s="69">
        <v>0</v>
      </c>
      <c r="I124" s="69">
        <v>0</v>
      </c>
    </row>
    <row r="125" spans="1:9">
      <c r="A125" s="219"/>
      <c r="B125" s="69" t="s">
        <v>1800</v>
      </c>
      <c r="C125" s="69" t="s">
        <v>73</v>
      </c>
      <c r="D125" s="69" t="s">
        <v>18</v>
      </c>
      <c r="E125" s="69" t="s">
        <v>63</v>
      </c>
      <c r="F125" s="69">
        <v>0</v>
      </c>
      <c r="G125" s="69">
        <v>0</v>
      </c>
      <c r="H125" s="69">
        <v>0</v>
      </c>
      <c r="I125" s="69">
        <v>0</v>
      </c>
    </row>
    <row r="126" spans="1:9">
      <c r="A126" s="219"/>
      <c r="B126" s="69" t="s">
        <v>1801</v>
      </c>
      <c r="C126" s="69" t="s">
        <v>73</v>
      </c>
      <c r="D126" s="69" t="s">
        <v>18</v>
      </c>
      <c r="E126" s="69" t="s">
        <v>63</v>
      </c>
      <c r="F126" s="69">
        <v>0</v>
      </c>
      <c r="G126" s="69">
        <v>0</v>
      </c>
      <c r="H126" s="69">
        <v>0</v>
      </c>
      <c r="I126" s="69">
        <v>0</v>
      </c>
    </row>
    <row r="127" spans="1:9">
      <c r="A127" s="219"/>
      <c r="B127" s="69" t="s">
        <v>707</v>
      </c>
      <c r="C127" s="69" t="s">
        <v>73</v>
      </c>
      <c r="D127" s="69" t="s">
        <v>676</v>
      </c>
      <c r="E127" s="69" t="s">
        <v>671</v>
      </c>
      <c r="F127" s="69">
        <v>0</v>
      </c>
      <c r="G127" s="69">
        <v>0</v>
      </c>
      <c r="H127" s="69">
        <v>0</v>
      </c>
      <c r="I127" s="69">
        <v>0</v>
      </c>
    </row>
    <row r="128" spans="1:9">
      <c r="A128" s="219"/>
      <c r="B128" s="69" t="s">
        <v>708</v>
      </c>
      <c r="C128" s="69" t="s">
        <v>73</v>
      </c>
      <c r="D128" s="69" t="s">
        <v>676</v>
      </c>
      <c r="E128" s="69" t="s">
        <v>671</v>
      </c>
      <c r="F128" s="69">
        <v>0</v>
      </c>
      <c r="G128" s="69">
        <v>0</v>
      </c>
      <c r="H128" s="69">
        <v>0</v>
      </c>
      <c r="I128" s="69">
        <v>0</v>
      </c>
    </row>
    <row r="129" spans="1:9">
      <c r="A129" s="219"/>
      <c r="B129" s="69" t="s">
        <v>1802</v>
      </c>
      <c r="C129" s="69" t="s">
        <v>73</v>
      </c>
      <c r="D129" s="69" t="s">
        <v>23</v>
      </c>
      <c r="E129" s="69" t="s">
        <v>79</v>
      </c>
      <c r="F129" s="69">
        <v>0</v>
      </c>
      <c r="G129" s="69">
        <v>0</v>
      </c>
      <c r="H129" s="69">
        <v>0</v>
      </c>
      <c r="I129" s="69">
        <v>0</v>
      </c>
    </row>
    <row r="130" spans="1:9">
      <c r="A130" s="219"/>
      <c r="B130" s="69" t="s">
        <v>1803</v>
      </c>
      <c r="C130" s="69" t="s">
        <v>73</v>
      </c>
      <c r="D130" s="69" t="s">
        <v>18</v>
      </c>
      <c r="E130" s="69" t="s">
        <v>63</v>
      </c>
      <c r="F130" s="69">
        <v>0</v>
      </c>
      <c r="G130" s="69">
        <v>0</v>
      </c>
      <c r="H130" s="69">
        <v>0</v>
      </c>
      <c r="I130" s="69">
        <v>0</v>
      </c>
    </row>
    <row r="131" spans="1:9">
      <c r="A131" s="219"/>
      <c r="B131" s="69" t="s">
        <v>1804</v>
      </c>
      <c r="C131" s="69" t="s">
        <v>73</v>
      </c>
      <c r="D131" s="69" t="s">
        <v>23</v>
      </c>
      <c r="E131" s="69" t="s">
        <v>79</v>
      </c>
      <c r="F131" s="69">
        <v>0</v>
      </c>
      <c r="G131" s="69">
        <v>0</v>
      </c>
      <c r="H131" s="69">
        <v>0</v>
      </c>
      <c r="I131" s="69">
        <v>0</v>
      </c>
    </row>
    <row r="132" spans="1:9">
      <c r="A132" s="219"/>
      <c r="B132" s="69" t="s">
        <v>1805</v>
      </c>
      <c r="C132" s="69" t="s">
        <v>73</v>
      </c>
      <c r="D132" s="69" t="s">
        <v>20</v>
      </c>
      <c r="E132" s="69" t="s">
        <v>76</v>
      </c>
      <c r="F132" s="69">
        <v>0</v>
      </c>
      <c r="G132" s="69">
        <v>0</v>
      </c>
      <c r="H132" s="69">
        <v>0</v>
      </c>
      <c r="I132" s="69">
        <v>0</v>
      </c>
    </row>
    <row r="133" spans="1:9">
      <c r="A133" s="219"/>
      <c r="B133" s="69" t="s">
        <v>1806</v>
      </c>
      <c r="C133" s="69" t="s">
        <v>73</v>
      </c>
      <c r="D133" s="69" t="s">
        <v>20</v>
      </c>
      <c r="E133" s="69" t="s">
        <v>76</v>
      </c>
      <c r="F133" s="69">
        <v>0</v>
      </c>
      <c r="G133" s="69">
        <v>0</v>
      </c>
      <c r="H133" s="69">
        <v>0</v>
      </c>
      <c r="I133" s="69">
        <v>0</v>
      </c>
    </row>
    <row r="134" spans="1:9">
      <c r="A134" s="219"/>
      <c r="B134" s="69" t="s">
        <v>1807</v>
      </c>
      <c r="C134" s="69" t="s">
        <v>73</v>
      </c>
      <c r="D134" s="69" t="s">
        <v>23</v>
      </c>
      <c r="E134" s="69" t="s">
        <v>79</v>
      </c>
      <c r="F134" s="69">
        <v>0</v>
      </c>
      <c r="G134" s="69">
        <v>0</v>
      </c>
      <c r="H134" s="69">
        <v>0</v>
      </c>
      <c r="I134" s="69">
        <v>0</v>
      </c>
    </row>
    <row r="135" spans="1:9">
      <c r="A135" s="219"/>
      <c r="B135" s="69" t="s">
        <v>1808</v>
      </c>
      <c r="C135" s="69" t="s">
        <v>73</v>
      </c>
      <c r="D135" s="69" t="s">
        <v>18</v>
      </c>
      <c r="E135" s="69" t="s">
        <v>63</v>
      </c>
      <c r="F135" s="69">
        <v>0</v>
      </c>
      <c r="G135" s="69">
        <v>0</v>
      </c>
      <c r="H135" s="69">
        <v>0</v>
      </c>
      <c r="I135" s="69">
        <v>0</v>
      </c>
    </row>
    <row r="136" spans="1:9">
      <c r="A136" s="219"/>
      <c r="B136" s="69" t="s">
        <v>1809</v>
      </c>
      <c r="C136" s="69" t="s">
        <v>73</v>
      </c>
      <c r="D136" s="69" t="s">
        <v>20</v>
      </c>
      <c r="E136" s="69" t="s">
        <v>76</v>
      </c>
      <c r="F136" s="69">
        <v>0</v>
      </c>
      <c r="G136" s="69">
        <v>0</v>
      </c>
      <c r="H136" s="69">
        <v>0</v>
      </c>
      <c r="I136" s="69">
        <v>0</v>
      </c>
    </row>
    <row r="137" spans="1:9">
      <c r="A137" s="219"/>
      <c r="B137" s="69" t="s">
        <v>709</v>
      </c>
      <c r="C137" s="69" t="s">
        <v>73</v>
      </c>
      <c r="D137" s="69" t="s">
        <v>676</v>
      </c>
      <c r="E137" s="69" t="s">
        <v>671</v>
      </c>
      <c r="F137" s="69">
        <v>0</v>
      </c>
      <c r="G137" s="69">
        <v>0</v>
      </c>
      <c r="H137" s="69">
        <v>0</v>
      </c>
      <c r="I137" s="69">
        <v>0</v>
      </c>
    </row>
    <row r="138" spans="1:9">
      <c r="A138" s="219"/>
      <c r="B138" s="69" t="s">
        <v>710</v>
      </c>
      <c r="C138" s="69" t="s">
        <v>73</v>
      </c>
      <c r="D138" s="69" t="s">
        <v>676</v>
      </c>
      <c r="E138" s="69" t="s">
        <v>671</v>
      </c>
      <c r="F138" s="69">
        <v>0</v>
      </c>
      <c r="G138" s="69">
        <v>0</v>
      </c>
      <c r="H138" s="69">
        <v>0</v>
      </c>
      <c r="I138" s="69">
        <v>0</v>
      </c>
    </row>
    <row r="139" spans="1:9">
      <c r="A139" s="219"/>
      <c r="B139" s="69" t="s">
        <v>1810</v>
      </c>
      <c r="C139" s="69" t="s">
        <v>73</v>
      </c>
      <c r="D139" s="69" t="s">
        <v>20</v>
      </c>
      <c r="E139" s="69" t="s">
        <v>76</v>
      </c>
      <c r="F139" s="69">
        <v>0</v>
      </c>
      <c r="G139" s="69">
        <v>0</v>
      </c>
      <c r="H139" s="69">
        <v>0</v>
      </c>
      <c r="I139" s="69">
        <v>0</v>
      </c>
    </row>
    <row r="140" spans="1:9">
      <c r="A140" s="219"/>
      <c r="B140" s="69" t="s">
        <v>711</v>
      </c>
      <c r="C140" s="69" t="s">
        <v>73</v>
      </c>
      <c r="D140" s="69" t="s">
        <v>712</v>
      </c>
      <c r="E140" s="69" t="s">
        <v>659</v>
      </c>
      <c r="F140" s="69">
        <v>0</v>
      </c>
      <c r="G140" s="69">
        <v>0</v>
      </c>
      <c r="H140" s="69">
        <v>0</v>
      </c>
      <c r="I140" s="69">
        <v>0</v>
      </c>
    </row>
    <row r="141" spans="1:9">
      <c r="A141" s="219"/>
      <c r="B141" s="69" t="s">
        <v>1811</v>
      </c>
      <c r="C141" s="69" t="s">
        <v>73</v>
      </c>
      <c r="D141" s="69" t="s">
        <v>20</v>
      </c>
      <c r="E141" s="69" t="s">
        <v>76</v>
      </c>
      <c r="F141" s="69">
        <v>0</v>
      </c>
      <c r="G141" s="69">
        <v>0</v>
      </c>
      <c r="H141" s="69">
        <v>0</v>
      </c>
      <c r="I141" s="69">
        <v>0</v>
      </c>
    </row>
    <row r="142" spans="1:9">
      <c r="A142" s="219"/>
      <c r="B142" s="69" t="s">
        <v>1812</v>
      </c>
      <c r="C142" s="69" t="s">
        <v>73</v>
      </c>
      <c r="D142" s="69" t="s">
        <v>20</v>
      </c>
      <c r="E142" s="69" t="s">
        <v>76</v>
      </c>
      <c r="F142" s="69">
        <v>0</v>
      </c>
      <c r="G142" s="69">
        <v>0</v>
      </c>
      <c r="H142" s="69">
        <v>0</v>
      </c>
      <c r="I142" s="69">
        <v>0</v>
      </c>
    </row>
    <row r="143" spans="1:9">
      <c r="A143" s="219"/>
      <c r="B143" s="69" t="s">
        <v>1813</v>
      </c>
      <c r="C143" s="69" t="s">
        <v>73</v>
      </c>
      <c r="D143" s="69" t="s">
        <v>23</v>
      </c>
      <c r="E143" s="69" t="s">
        <v>79</v>
      </c>
      <c r="F143" s="69">
        <v>0</v>
      </c>
      <c r="G143" s="69">
        <v>0</v>
      </c>
      <c r="H143" s="69">
        <v>0</v>
      </c>
      <c r="I143" s="69">
        <v>0</v>
      </c>
    </row>
    <row r="144" spans="1:9">
      <c r="A144" s="219"/>
      <c r="B144" s="69" t="s">
        <v>1814</v>
      </c>
      <c r="C144" s="69" t="s">
        <v>73</v>
      </c>
      <c r="D144" s="69" t="s">
        <v>18</v>
      </c>
      <c r="E144" s="69" t="s">
        <v>63</v>
      </c>
      <c r="F144" s="69">
        <v>0</v>
      </c>
      <c r="G144" s="69">
        <v>0</v>
      </c>
      <c r="H144" s="69">
        <v>0</v>
      </c>
      <c r="I144" s="69">
        <v>0</v>
      </c>
    </row>
    <row r="145" spans="1:9">
      <c r="A145" s="219"/>
      <c r="B145" s="69" t="s">
        <v>1815</v>
      </c>
      <c r="C145" s="69" t="s">
        <v>73</v>
      </c>
      <c r="D145" s="69" t="s">
        <v>18</v>
      </c>
      <c r="E145" s="69" t="s">
        <v>63</v>
      </c>
      <c r="F145" s="69">
        <v>0</v>
      </c>
      <c r="G145" s="69">
        <v>0</v>
      </c>
      <c r="H145" s="69">
        <v>0</v>
      </c>
      <c r="I145" s="69">
        <v>0</v>
      </c>
    </row>
    <row r="146" spans="1:9">
      <c r="A146" s="219"/>
      <c r="B146" s="69" t="s">
        <v>1816</v>
      </c>
      <c r="C146" s="69" t="s">
        <v>73</v>
      </c>
      <c r="D146" s="69" t="s">
        <v>23</v>
      </c>
      <c r="E146" s="69" t="s">
        <v>79</v>
      </c>
      <c r="F146" s="69">
        <v>0</v>
      </c>
      <c r="G146" s="69">
        <v>0</v>
      </c>
      <c r="H146" s="69">
        <v>0</v>
      </c>
      <c r="I146" s="69">
        <v>0</v>
      </c>
    </row>
    <row r="147" spans="1:9">
      <c r="A147" s="219"/>
      <c r="B147" s="69" t="s">
        <v>1817</v>
      </c>
      <c r="C147" s="69" t="s">
        <v>73</v>
      </c>
      <c r="D147" s="69" t="s">
        <v>18</v>
      </c>
      <c r="E147" s="69" t="s">
        <v>63</v>
      </c>
      <c r="F147" s="69">
        <v>0</v>
      </c>
      <c r="G147" s="69">
        <v>0</v>
      </c>
      <c r="H147" s="69">
        <v>0</v>
      </c>
      <c r="I147" s="69">
        <v>0</v>
      </c>
    </row>
    <row r="148" spans="1:9">
      <c r="A148" s="219"/>
      <c r="B148" s="69" t="s">
        <v>1818</v>
      </c>
      <c r="C148" s="69" t="s">
        <v>73</v>
      </c>
      <c r="D148" s="69" t="s">
        <v>20</v>
      </c>
      <c r="E148" s="69" t="s">
        <v>76</v>
      </c>
      <c r="F148" s="69">
        <v>0</v>
      </c>
      <c r="G148" s="69">
        <v>0</v>
      </c>
      <c r="H148" s="69">
        <v>0</v>
      </c>
      <c r="I148" s="69">
        <v>0</v>
      </c>
    </row>
    <row r="149" spans="1:9">
      <c r="A149" s="219"/>
      <c r="B149" s="69" t="s">
        <v>1819</v>
      </c>
      <c r="C149" s="69" t="s">
        <v>73</v>
      </c>
      <c r="D149" s="69" t="s">
        <v>20</v>
      </c>
      <c r="E149" s="69" t="s">
        <v>76</v>
      </c>
      <c r="F149" s="69">
        <v>0</v>
      </c>
      <c r="G149" s="69">
        <v>0</v>
      </c>
      <c r="H149" s="69">
        <v>0</v>
      </c>
      <c r="I149" s="69">
        <v>0</v>
      </c>
    </row>
    <row r="150" spans="1:9">
      <c r="A150" s="219"/>
      <c r="B150" s="69" t="s">
        <v>1820</v>
      </c>
      <c r="C150" s="69" t="s">
        <v>73</v>
      </c>
      <c r="D150" s="69" t="s">
        <v>18</v>
      </c>
      <c r="E150" s="69" t="s">
        <v>63</v>
      </c>
      <c r="F150" s="69">
        <v>0</v>
      </c>
      <c r="G150" s="69">
        <v>0</v>
      </c>
      <c r="H150" s="69">
        <v>0</v>
      </c>
      <c r="I150" s="69">
        <v>0</v>
      </c>
    </row>
    <row r="151" spans="1:9">
      <c r="A151" s="219"/>
      <c r="B151" s="69" t="s">
        <v>713</v>
      </c>
      <c r="C151" s="69" t="s">
        <v>73</v>
      </c>
      <c r="D151" s="69" t="s">
        <v>160</v>
      </c>
      <c r="E151" s="69" t="s">
        <v>81</v>
      </c>
      <c r="F151" s="69">
        <v>0</v>
      </c>
      <c r="G151" s="69">
        <v>0</v>
      </c>
      <c r="H151" s="69">
        <v>0</v>
      </c>
      <c r="I151" s="69">
        <v>0</v>
      </c>
    </row>
    <row r="152" spans="1:9">
      <c r="A152" s="219"/>
      <c r="B152" s="69" t="s">
        <v>1821</v>
      </c>
      <c r="C152" s="69" t="s">
        <v>73</v>
      </c>
      <c r="D152" s="69" t="s">
        <v>1714</v>
      </c>
      <c r="E152" s="69" t="s">
        <v>79</v>
      </c>
      <c r="F152" s="69">
        <v>0</v>
      </c>
      <c r="G152" s="69">
        <v>0</v>
      </c>
      <c r="H152" s="69">
        <v>0</v>
      </c>
      <c r="I152" s="69">
        <v>0</v>
      </c>
    </row>
    <row r="153" spans="1:9">
      <c r="A153" s="219"/>
      <c r="B153" s="69" t="s">
        <v>1822</v>
      </c>
      <c r="C153" s="69" t="s">
        <v>73</v>
      </c>
      <c r="D153" s="69" t="s">
        <v>18</v>
      </c>
      <c r="E153" s="69" t="s">
        <v>63</v>
      </c>
      <c r="F153" s="69">
        <v>0</v>
      </c>
      <c r="G153" s="69">
        <v>0</v>
      </c>
      <c r="H153" s="69">
        <v>0</v>
      </c>
      <c r="I153" s="69">
        <v>0</v>
      </c>
    </row>
    <row r="154" spans="1:9">
      <c r="A154" s="219"/>
      <c r="B154" s="69" t="s">
        <v>1823</v>
      </c>
      <c r="C154" s="69" t="s">
        <v>73</v>
      </c>
      <c r="D154" s="69" t="s">
        <v>20</v>
      </c>
      <c r="E154" s="69" t="s">
        <v>76</v>
      </c>
      <c r="F154" s="69">
        <v>0</v>
      </c>
      <c r="G154" s="69">
        <v>0</v>
      </c>
      <c r="H154" s="69">
        <v>0</v>
      </c>
      <c r="I154" s="69">
        <v>0</v>
      </c>
    </row>
    <row r="155" spans="1:9">
      <c r="A155" s="219"/>
      <c r="B155" s="69" t="s">
        <v>1824</v>
      </c>
      <c r="C155" s="69" t="s">
        <v>73</v>
      </c>
      <c r="D155" s="69" t="s">
        <v>23</v>
      </c>
      <c r="E155" s="69" t="s">
        <v>79</v>
      </c>
      <c r="F155" s="69">
        <v>0</v>
      </c>
      <c r="G155" s="69">
        <v>0</v>
      </c>
      <c r="H155" s="69">
        <v>0</v>
      </c>
      <c r="I155" s="69">
        <v>0</v>
      </c>
    </row>
    <row r="156" spans="1:9">
      <c r="A156" s="219"/>
      <c r="B156" s="69" t="s">
        <v>1825</v>
      </c>
      <c r="C156" s="69" t="s">
        <v>73</v>
      </c>
      <c r="D156" s="69" t="s">
        <v>18</v>
      </c>
      <c r="E156" s="69" t="s">
        <v>63</v>
      </c>
      <c r="F156" s="69">
        <v>0</v>
      </c>
      <c r="G156" s="69">
        <v>0</v>
      </c>
      <c r="H156" s="69">
        <v>0</v>
      </c>
      <c r="I156" s="69">
        <v>0</v>
      </c>
    </row>
    <row r="157" spans="1:9">
      <c r="A157" s="219"/>
      <c r="B157" s="69" t="s">
        <v>1826</v>
      </c>
      <c r="C157" s="69" t="s">
        <v>73</v>
      </c>
      <c r="D157" s="69" t="s">
        <v>18</v>
      </c>
      <c r="E157" s="69" t="s">
        <v>63</v>
      </c>
      <c r="F157" s="69">
        <v>0</v>
      </c>
      <c r="G157" s="69">
        <v>0</v>
      </c>
      <c r="H157" s="69">
        <v>0</v>
      </c>
      <c r="I157" s="69">
        <v>0</v>
      </c>
    </row>
    <row r="158" spans="1:9">
      <c r="A158" s="219"/>
      <c r="B158" s="69" t="s">
        <v>1827</v>
      </c>
      <c r="C158" s="69" t="s">
        <v>73</v>
      </c>
      <c r="D158" s="69" t="s">
        <v>18</v>
      </c>
      <c r="E158" s="69" t="s">
        <v>63</v>
      </c>
      <c r="F158" s="69">
        <v>0</v>
      </c>
      <c r="G158" s="69">
        <v>0</v>
      </c>
      <c r="H158" s="69">
        <v>0</v>
      </c>
      <c r="I158" s="69">
        <v>0</v>
      </c>
    </row>
    <row r="159" spans="1:9">
      <c r="A159" s="219"/>
      <c r="B159" s="69" t="s">
        <v>1828</v>
      </c>
      <c r="C159" s="69" t="s">
        <v>73</v>
      </c>
      <c r="D159" s="69" t="s">
        <v>18</v>
      </c>
      <c r="E159" s="69" t="s">
        <v>63</v>
      </c>
      <c r="F159" s="69">
        <v>0</v>
      </c>
      <c r="G159" s="69">
        <v>0</v>
      </c>
      <c r="H159" s="69">
        <v>0</v>
      </c>
      <c r="I159" s="69">
        <v>0</v>
      </c>
    </row>
    <row r="160" spans="1:9">
      <c r="A160" s="219"/>
      <c r="B160" s="69" t="s">
        <v>1829</v>
      </c>
      <c r="C160" s="69" t="s">
        <v>73</v>
      </c>
      <c r="D160" s="69" t="s">
        <v>18</v>
      </c>
      <c r="E160" s="69" t="s">
        <v>63</v>
      </c>
      <c r="F160" s="69">
        <v>0</v>
      </c>
      <c r="G160" s="69">
        <v>0</v>
      </c>
      <c r="H160" s="69">
        <v>0</v>
      </c>
      <c r="I160" s="69">
        <v>0</v>
      </c>
    </row>
    <row r="161" spans="1:9">
      <c r="A161" s="219"/>
      <c r="B161" s="69" t="s">
        <v>1830</v>
      </c>
      <c r="C161" s="69" t="s">
        <v>73</v>
      </c>
      <c r="D161" s="69" t="s">
        <v>20</v>
      </c>
      <c r="E161" s="69" t="s">
        <v>76</v>
      </c>
      <c r="F161" s="69">
        <v>0</v>
      </c>
      <c r="G161" s="69">
        <v>0</v>
      </c>
      <c r="H161" s="69">
        <v>0</v>
      </c>
      <c r="I161" s="69">
        <v>0</v>
      </c>
    </row>
    <row r="162" spans="1:9">
      <c r="A162" s="219"/>
      <c r="B162" s="69" t="s">
        <v>1831</v>
      </c>
      <c r="C162" s="69" t="s">
        <v>73</v>
      </c>
      <c r="D162" s="69" t="s">
        <v>23</v>
      </c>
      <c r="E162" s="69" t="s">
        <v>79</v>
      </c>
      <c r="F162" s="69">
        <v>0</v>
      </c>
      <c r="G162" s="69">
        <v>0</v>
      </c>
      <c r="H162" s="69">
        <v>0</v>
      </c>
      <c r="I162" s="69">
        <v>0</v>
      </c>
    </row>
    <row r="163" spans="1:9">
      <c r="A163" s="219"/>
      <c r="B163" s="69" t="s">
        <v>1832</v>
      </c>
      <c r="C163" s="69" t="s">
        <v>73</v>
      </c>
      <c r="D163" s="69" t="s">
        <v>23</v>
      </c>
      <c r="E163" s="69" t="s">
        <v>79</v>
      </c>
      <c r="F163" s="69">
        <v>0</v>
      </c>
      <c r="G163" s="69">
        <v>0</v>
      </c>
      <c r="H163" s="69">
        <v>0</v>
      </c>
      <c r="I163" s="69">
        <v>0</v>
      </c>
    </row>
    <row r="164" spans="1:9">
      <c r="A164" s="219"/>
      <c r="B164" s="69" t="s">
        <v>1833</v>
      </c>
      <c r="C164" s="69" t="s">
        <v>73</v>
      </c>
      <c r="D164" s="69" t="s">
        <v>18</v>
      </c>
      <c r="E164" s="69" t="s">
        <v>63</v>
      </c>
      <c r="F164" s="69">
        <v>0</v>
      </c>
      <c r="G164" s="69">
        <v>0</v>
      </c>
      <c r="H164" s="69">
        <v>0</v>
      </c>
      <c r="I164" s="69">
        <v>0</v>
      </c>
    </row>
    <row r="165" spans="1:9">
      <c r="A165" s="219"/>
      <c r="B165" s="69" t="s">
        <v>1834</v>
      </c>
      <c r="C165" s="69" t="s">
        <v>73</v>
      </c>
      <c r="D165" s="69" t="s">
        <v>18</v>
      </c>
      <c r="E165" s="69" t="s">
        <v>63</v>
      </c>
      <c r="F165" s="69">
        <v>0</v>
      </c>
      <c r="G165" s="69">
        <v>0</v>
      </c>
      <c r="H165" s="69">
        <v>0</v>
      </c>
      <c r="I165" s="69">
        <v>0</v>
      </c>
    </row>
    <row r="166" spans="1:9">
      <c r="A166" s="219"/>
      <c r="B166" s="69" t="s">
        <v>714</v>
      </c>
      <c r="C166" s="69" t="s">
        <v>73</v>
      </c>
      <c r="D166" s="69" t="s">
        <v>160</v>
      </c>
      <c r="E166" s="69" t="s">
        <v>81</v>
      </c>
      <c r="F166" s="69">
        <v>0</v>
      </c>
      <c r="G166" s="69">
        <v>0</v>
      </c>
      <c r="H166" s="69">
        <v>0</v>
      </c>
      <c r="I166" s="69">
        <v>0</v>
      </c>
    </row>
    <row r="167" spans="1:9">
      <c r="A167" s="219"/>
      <c r="B167" s="69" t="s">
        <v>1835</v>
      </c>
      <c r="C167" s="69" t="s">
        <v>73</v>
      </c>
      <c r="D167" s="69" t="s">
        <v>1712</v>
      </c>
      <c r="E167" s="69" t="s">
        <v>63</v>
      </c>
      <c r="F167" s="69">
        <v>0</v>
      </c>
      <c r="G167" s="69">
        <v>0</v>
      </c>
      <c r="H167" s="69">
        <v>0</v>
      </c>
      <c r="I167" s="69">
        <v>0</v>
      </c>
    </row>
    <row r="168" spans="1:9">
      <c r="A168" s="219"/>
      <c r="B168" s="69" t="s">
        <v>1836</v>
      </c>
      <c r="C168" s="69" t="s">
        <v>73</v>
      </c>
      <c r="D168" s="69" t="s">
        <v>18</v>
      </c>
      <c r="E168" s="69" t="s">
        <v>63</v>
      </c>
      <c r="F168" s="69">
        <v>0</v>
      </c>
      <c r="G168" s="69">
        <v>0</v>
      </c>
      <c r="H168" s="69">
        <v>0</v>
      </c>
      <c r="I168" s="69">
        <v>0</v>
      </c>
    </row>
    <row r="169" spans="1:9">
      <c r="A169" s="219"/>
      <c r="B169" s="69" t="s">
        <v>715</v>
      </c>
      <c r="C169" s="69" t="s">
        <v>73</v>
      </c>
      <c r="D169" s="69" t="s">
        <v>18</v>
      </c>
      <c r="E169" s="69" t="s">
        <v>63</v>
      </c>
      <c r="F169" s="69">
        <v>1812.4</v>
      </c>
      <c r="G169" s="69">
        <v>0</v>
      </c>
      <c r="H169" s="69">
        <v>1812.4</v>
      </c>
      <c r="I169" s="69">
        <v>0</v>
      </c>
    </row>
    <row r="170" spans="1:9">
      <c r="A170" s="219"/>
      <c r="B170" s="69" t="s">
        <v>716</v>
      </c>
      <c r="C170" s="69" t="s">
        <v>73</v>
      </c>
      <c r="D170" s="69" t="s">
        <v>23</v>
      </c>
      <c r="E170" s="69" t="s">
        <v>79</v>
      </c>
      <c r="F170" s="69">
        <v>1365.3</v>
      </c>
      <c r="G170" s="69">
        <v>0</v>
      </c>
      <c r="H170" s="69">
        <v>1365.3</v>
      </c>
      <c r="I170" s="69">
        <v>0</v>
      </c>
    </row>
    <row r="171" spans="1:9">
      <c r="A171" s="219"/>
      <c r="B171" s="69" t="s">
        <v>717</v>
      </c>
      <c r="C171" s="69" t="s">
        <v>73</v>
      </c>
      <c r="D171" s="69" t="s">
        <v>23</v>
      </c>
      <c r="E171" s="69" t="s">
        <v>79</v>
      </c>
      <c r="F171" s="69">
        <v>868.6</v>
      </c>
      <c r="G171" s="69">
        <v>0</v>
      </c>
      <c r="H171" s="69">
        <v>868.6</v>
      </c>
      <c r="I171" s="69">
        <v>0</v>
      </c>
    </row>
    <row r="172" spans="1:9">
      <c r="A172" s="219"/>
      <c r="B172" s="69" t="s">
        <v>718</v>
      </c>
      <c r="C172" s="69" t="s">
        <v>73</v>
      </c>
      <c r="D172" s="69" t="s">
        <v>23</v>
      </c>
      <c r="E172" s="69" t="s">
        <v>79</v>
      </c>
      <c r="F172" s="69">
        <v>917.7</v>
      </c>
      <c r="G172" s="69">
        <v>0</v>
      </c>
      <c r="H172" s="69">
        <v>917.7</v>
      </c>
      <c r="I172" s="69">
        <v>0</v>
      </c>
    </row>
    <row r="173" spans="1:9">
      <c r="A173" s="219"/>
      <c r="B173" s="69" t="s">
        <v>719</v>
      </c>
      <c r="C173" s="69" t="s">
        <v>73</v>
      </c>
      <c r="D173" s="69" t="s">
        <v>23</v>
      </c>
      <c r="E173" s="69" t="s">
        <v>79</v>
      </c>
      <c r="F173" s="69">
        <v>2117.5</v>
      </c>
      <c r="G173" s="69">
        <v>0</v>
      </c>
      <c r="H173" s="69">
        <v>2117.5</v>
      </c>
      <c r="I173" s="69">
        <v>0</v>
      </c>
    </row>
    <row r="174" spans="1:9">
      <c r="A174" s="219"/>
      <c r="B174" s="69" t="s">
        <v>720</v>
      </c>
      <c r="C174" s="69" t="s">
        <v>73</v>
      </c>
      <c r="D174" s="69" t="s">
        <v>23</v>
      </c>
      <c r="E174" s="69" t="s">
        <v>79</v>
      </c>
      <c r="F174" s="69">
        <v>1038.5999999999999</v>
      </c>
      <c r="G174" s="69">
        <v>0</v>
      </c>
      <c r="H174" s="69">
        <v>1038.5999999999999</v>
      </c>
      <c r="I174" s="69">
        <v>0</v>
      </c>
    </row>
    <row r="175" spans="1:9">
      <c r="A175" s="219"/>
      <c r="B175" s="69" t="s">
        <v>721</v>
      </c>
      <c r="C175" s="69" t="s">
        <v>73</v>
      </c>
      <c r="D175" s="69" t="s">
        <v>18</v>
      </c>
      <c r="E175" s="69" t="s">
        <v>63</v>
      </c>
      <c r="F175" s="69">
        <v>2522</v>
      </c>
      <c r="G175" s="69">
        <v>0</v>
      </c>
      <c r="H175" s="69">
        <v>2522</v>
      </c>
      <c r="I175" s="69">
        <v>0</v>
      </c>
    </row>
    <row r="176" spans="1:9">
      <c r="A176" s="219"/>
      <c r="B176" s="69" t="s">
        <v>722</v>
      </c>
      <c r="C176" s="69" t="s">
        <v>73</v>
      </c>
      <c r="D176" s="69" t="s">
        <v>23</v>
      </c>
      <c r="E176" s="69" t="s">
        <v>79</v>
      </c>
      <c r="F176" s="69">
        <v>396.2</v>
      </c>
      <c r="G176" s="69">
        <v>0</v>
      </c>
      <c r="H176" s="69">
        <v>396.2</v>
      </c>
      <c r="I176" s="69">
        <v>0</v>
      </c>
    </row>
    <row r="177" spans="1:9">
      <c r="A177" s="219"/>
      <c r="B177" s="69" t="s">
        <v>723</v>
      </c>
      <c r="C177" s="69" t="s">
        <v>73</v>
      </c>
      <c r="D177" s="69" t="s">
        <v>18</v>
      </c>
      <c r="E177" s="69" t="s">
        <v>63</v>
      </c>
      <c r="F177" s="69">
        <v>1405</v>
      </c>
      <c r="G177" s="69">
        <v>0</v>
      </c>
      <c r="H177" s="69">
        <v>1405</v>
      </c>
      <c r="I177" s="69">
        <v>0</v>
      </c>
    </row>
    <row r="178" spans="1:9">
      <c r="A178" s="219"/>
      <c r="B178" s="69" t="s">
        <v>724</v>
      </c>
      <c r="C178" s="69" t="s">
        <v>73</v>
      </c>
      <c r="D178" s="69" t="s">
        <v>20</v>
      </c>
      <c r="E178" s="69" t="s">
        <v>76</v>
      </c>
      <c r="F178" s="69">
        <v>2590</v>
      </c>
      <c r="G178" s="69">
        <v>0</v>
      </c>
      <c r="H178" s="69">
        <v>2590</v>
      </c>
      <c r="I178" s="69">
        <v>0</v>
      </c>
    </row>
    <row r="179" spans="1:9">
      <c r="A179" s="219"/>
      <c r="B179" s="69" t="s">
        <v>725</v>
      </c>
      <c r="C179" s="69" t="s">
        <v>73</v>
      </c>
      <c r="D179" s="69" t="s">
        <v>23</v>
      </c>
      <c r="E179" s="69" t="s">
        <v>79</v>
      </c>
      <c r="F179" s="69">
        <v>941.1</v>
      </c>
      <c r="G179" s="69">
        <v>0</v>
      </c>
      <c r="H179" s="69">
        <v>941.1</v>
      </c>
      <c r="I179" s="69">
        <v>0</v>
      </c>
    </row>
    <row r="180" spans="1:9">
      <c r="A180" s="219"/>
      <c r="B180" s="69" t="s">
        <v>726</v>
      </c>
      <c r="C180" s="69" t="s">
        <v>73</v>
      </c>
      <c r="D180" s="69" t="s">
        <v>20</v>
      </c>
      <c r="E180" s="69" t="s">
        <v>76</v>
      </c>
      <c r="F180" s="69">
        <v>1869</v>
      </c>
      <c r="G180" s="69">
        <v>0</v>
      </c>
      <c r="H180" s="69">
        <v>1869</v>
      </c>
      <c r="I180" s="69">
        <v>0</v>
      </c>
    </row>
    <row r="181" spans="1:9">
      <c r="A181" s="219"/>
      <c r="B181" s="69" t="s">
        <v>727</v>
      </c>
      <c r="C181" s="69" t="s">
        <v>73</v>
      </c>
      <c r="D181" s="69" t="s">
        <v>18</v>
      </c>
      <c r="E181" s="69" t="s">
        <v>63</v>
      </c>
      <c r="F181" s="69">
        <v>500</v>
      </c>
      <c r="G181" s="69">
        <v>0</v>
      </c>
      <c r="H181" s="69">
        <v>500</v>
      </c>
      <c r="I181" s="69">
        <v>0</v>
      </c>
    </row>
    <row r="182" spans="1:9">
      <c r="A182" s="219"/>
      <c r="B182" s="69" t="s">
        <v>728</v>
      </c>
      <c r="C182" s="69" t="s">
        <v>73</v>
      </c>
      <c r="D182" s="69" t="s">
        <v>23</v>
      </c>
      <c r="E182" s="69" t="s">
        <v>79</v>
      </c>
      <c r="F182" s="69">
        <v>106.3</v>
      </c>
      <c r="G182" s="69">
        <v>0</v>
      </c>
      <c r="H182" s="69">
        <v>106.3</v>
      </c>
      <c r="I182" s="69">
        <v>0</v>
      </c>
    </row>
    <row r="183" spans="1:9">
      <c r="A183" s="219"/>
      <c r="B183" s="69" t="s">
        <v>729</v>
      </c>
      <c r="C183" s="69" t="s">
        <v>73</v>
      </c>
      <c r="D183" s="69" t="s">
        <v>23</v>
      </c>
      <c r="E183" s="69" t="s">
        <v>79</v>
      </c>
      <c r="F183" s="69">
        <v>714.1</v>
      </c>
      <c r="G183" s="69">
        <v>0</v>
      </c>
      <c r="H183" s="69">
        <v>714.1</v>
      </c>
      <c r="I183" s="69">
        <v>0</v>
      </c>
    </row>
    <row r="184" spans="1:9">
      <c r="A184" s="219"/>
      <c r="B184" s="69" t="s">
        <v>730</v>
      </c>
      <c r="C184" s="69" t="s">
        <v>73</v>
      </c>
      <c r="D184" s="69" t="s">
        <v>20</v>
      </c>
      <c r="E184" s="69" t="s">
        <v>76</v>
      </c>
      <c r="F184" s="69">
        <v>550</v>
      </c>
      <c r="G184" s="69">
        <v>0</v>
      </c>
      <c r="H184" s="69">
        <v>550</v>
      </c>
      <c r="I184" s="69">
        <v>0</v>
      </c>
    </row>
    <row r="185" spans="1:9">
      <c r="A185" s="219"/>
      <c r="B185" s="69" t="s">
        <v>731</v>
      </c>
      <c r="C185" s="69" t="s">
        <v>73</v>
      </c>
      <c r="D185" s="69" t="s">
        <v>18</v>
      </c>
      <c r="E185" s="69" t="s">
        <v>63</v>
      </c>
      <c r="F185" s="69">
        <v>1299</v>
      </c>
      <c r="G185" s="69">
        <v>0</v>
      </c>
      <c r="H185" s="69">
        <v>1299</v>
      </c>
      <c r="I185" s="69">
        <v>0</v>
      </c>
    </row>
    <row r="186" spans="1:9">
      <c r="A186" s="219"/>
      <c r="B186" s="69" t="s">
        <v>732</v>
      </c>
      <c r="C186" s="69" t="s">
        <v>73</v>
      </c>
      <c r="D186" s="69" t="s">
        <v>23</v>
      </c>
      <c r="E186" s="69" t="s">
        <v>79</v>
      </c>
      <c r="F186" s="69">
        <v>376.6</v>
      </c>
      <c r="G186" s="69">
        <v>0</v>
      </c>
      <c r="H186" s="69">
        <v>376.6</v>
      </c>
      <c r="I186" s="69">
        <v>0</v>
      </c>
    </row>
    <row r="187" spans="1:9">
      <c r="A187" s="219"/>
      <c r="B187" s="69" t="s">
        <v>733</v>
      </c>
      <c r="C187" s="69" t="s">
        <v>73</v>
      </c>
      <c r="D187" s="69" t="s">
        <v>18</v>
      </c>
      <c r="E187" s="69" t="s">
        <v>63</v>
      </c>
      <c r="F187" s="69">
        <v>608</v>
      </c>
      <c r="G187" s="69">
        <v>0</v>
      </c>
      <c r="H187" s="69">
        <v>608</v>
      </c>
      <c r="I187" s="69">
        <v>0</v>
      </c>
    </row>
    <row r="188" spans="1:9">
      <c r="A188" s="219"/>
      <c r="B188" s="69" t="s">
        <v>734</v>
      </c>
      <c r="C188" s="69" t="s">
        <v>73</v>
      </c>
      <c r="D188" s="69" t="s">
        <v>23</v>
      </c>
      <c r="E188" s="69" t="s">
        <v>79</v>
      </c>
      <c r="F188" s="69">
        <v>505</v>
      </c>
      <c r="G188" s="69">
        <v>0</v>
      </c>
      <c r="H188" s="69">
        <v>505</v>
      </c>
      <c r="I188" s="69">
        <v>0</v>
      </c>
    </row>
    <row r="189" spans="1:9">
      <c r="A189" s="219"/>
      <c r="B189" s="69" t="s">
        <v>735</v>
      </c>
      <c r="C189" s="69" t="s">
        <v>73</v>
      </c>
      <c r="D189" s="69" t="s">
        <v>23</v>
      </c>
      <c r="E189" s="69" t="s">
        <v>79</v>
      </c>
      <c r="F189" s="69">
        <v>1247.2</v>
      </c>
      <c r="G189" s="69">
        <v>0</v>
      </c>
      <c r="H189" s="69">
        <v>0</v>
      </c>
      <c r="I189" s="69">
        <v>1247.2</v>
      </c>
    </row>
    <row r="190" spans="1:9">
      <c r="A190" s="219"/>
      <c r="B190" s="69" t="s">
        <v>736</v>
      </c>
      <c r="C190" s="69" t="s">
        <v>73</v>
      </c>
      <c r="D190" s="69" t="s">
        <v>23</v>
      </c>
      <c r="E190" s="69" t="s">
        <v>79</v>
      </c>
      <c r="F190" s="69">
        <v>852.8</v>
      </c>
      <c r="G190" s="69">
        <v>0</v>
      </c>
      <c r="H190" s="69">
        <v>300</v>
      </c>
      <c r="I190" s="69">
        <v>552.79999999999995</v>
      </c>
    </row>
    <row r="191" spans="1:9">
      <c r="A191" s="219"/>
      <c r="B191" s="69" t="s">
        <v>737</v>
      </c>
      <c r="C191" s="69" t="s">
        <v>73</v>
      </c>
      <c r="D191" s="69" t="s">
        <v>18</v>
      </c>
      <c r="E191" s="69" t="s">
        <v>63</v>
      </c>
      <c r="F191" s="69">
        <v>573</v>
      </c>
      <c r="G191" s="69">
        <v>0</v>
      </c>
      <c r="H191" s="69">
        <v>573</v>
      </c>
      <c r="I191" s="69">
        <v>0</v>
      </c>
    </row>
    <row r="192" spans="1:9">
      <c r="A192" s="219"/>
      <c r="B192" s="69" t="s">
        <v>738</v>
      </c>
      <c r="C192" s="69" t="s">
        <v>73</v>
      </c>
      <c r="D192" s="69" t="s">
        <v>20</v>
      </c>
      <c r="E192" s="69" t="s">
        <v>76</v>
      </c>
      <c r="F192" s="69">
        <v>726</v>
      </c>
      <c r="G192" s="69">
        <v>0</v>
      </c>
      <c r="H192" s="69">
        <v>726</v>
      </c>
      <c r="I192" s="69">
        <v>0</v>
      </c>
    </row>
    <row r="193" spans="1:9">
      <c r="A193" s="219"/>
      <c r="B193" s="69" t="s">
        <v>739</v>
      </c>
      <c r="C193" s="69" t="s">
        <v>73</v>
      </c>
      <c r="D193" s="69" t="s">
        <v>23</v>
      </c>
      <c r="E193" s="69" t="s">
        <v>79</v>
      </c>
      <c r="F193" s="69">
        <v>99.3</v>
      </c>
      <c r="G193" s="69">
        <v>0</v>
      </c>
      <c r="H193" s="69">
        <v>0</v>
      </c>
      <c r="I193" s="69">
        <v>99.3</v>
      </c>
    </row>
    <row r="194" spans="1:9">
      <c r="A194" s="219"/>
      <c r="B194" s="69" t="s">
        <v>740</v>
      </c>
      <c r="C194" s="69" t="s">
        <v>73</v>
      </c>
      <c r="D194" s="69" t="s">
        <v>23</v>
      </c>
      <c r="E194" s="69" t="s">
        <v>79</v>
      </c>
      <c r="F194" s="69">
        <v>1470.7</v>
      </c>
      <c r="G194" s="69">
        <v>0</v>
      </c>
      <c r="H194" s="69">
        <v>0</v>
      </c>
      <c r="I194" s="69">
        <v>1470.7</v>
      </c>
    </row>
    <row r="195" spans="1:9">
      <c r="A195" s="219"/>
      <c r="B195" s="69" t="s">
        <v>741</v>
      </c>
      <c r="C195" s="69" t="s">
        <v>73</v>
      </c>
      <c r="D195" s="69" t="s">
        <v>18</v>
      </c>
      <c r="E195" s="69" t="s">
        <v>63</v>
      </c>
      <c r="F195" s="69">
        <v>1038</v>
      </c>
      <c r="G195" s="69">
        <v>0</v>
      </c>
      <c r="H195" s="69">
        <v>1038</v>
      </c>
      <c r="I195" s="69">
        <v>0</v>
      </c>
    </row>
    <row r="196" spans="1:9">
      <c r="A196" s="219"/>
      <c r="B196" s="69" t="s">
        <v>742</v>
      </c>
      <c r="C196" s="69" t="s">
        <v>73</v>
      </c>
      <c r="D196" s="69" t="s">
        <v>20</v>
      </c>
      <c r="E196" s="69" t="s">
        <v>76</v>
      </c>
      <c r="F196" s="69">
        <v>542</v>
      </c>
      <c r="G196" s="69">
        <v>0</v>
      </c>
      <c r="H196" s="69">
        <v>542</v>
      </c>
      <c r="I196" s="69">
        <v>0</v>
      </c>
    </row>
    <row r="197" spans="1:9">
      <c r="A197" s="219"/>
      <c r="B197" s="69" t="s">
        <v>743</v>
      </c>
      <c r="C197" s="69" t="s">
        <v>73</v>
      </c>
      <c r="D197" s="69" t="s">
        <v>18</v>
      </c>
      <c r="E197" s="69" t="s">
        <v>63</v>
      </c>
      <c r="F197" s="69">
        <v>1455</v>
      </c>
      <c r="G197" s="69">
        <v>0</v>
      </c>
      <c r="H197" s="69">
        <v>1455</v>
      </c>
      <c r="I197" s="69">
        <v>0</v>
      </c>
    </row>
    <row r="198" spans="1:9">
      <c r="A198" s="219"/>
      <c r="B198" s="69" t="s">
        <v>744</v>
      </c>
      <c r="C198" s="69" t="s">
        <v>73</v>
      </c>
      <c r="D198" s="69" t="s">
        <v>18</v>
      </c>
      <c r="E198" s="69" t="s">
        <v>63</v>
      </c>
      <c r="F198" s="69">
        <v>1988</v>
      </c>
      <c r="G198" s="69">
        <v>0</v>
      </c>
      <c r="H198" s="69">
        <v>1988</v>
      </c>
      <c r="I198" s="69">
        <v>0</v>
      </c>
    </row>
    <row r="199" spans="1:9">
      <c r="A199" s="219"/>
      <c r="B199" s="69" t="s">
        <v>745</v>
      </c>
      <c r="C199" s="69" t="s">
        <v>73</v>
      </c>
      <c r="D199" s="69" t="s">
        <v>18</v>
      </c>
      <c r="E199" s="69" t="s">
        <v>63</v>
      </c>
      <c r="F199" s="69">
        <v>1850</v>
      </c>
      <c r="G199" s="69">
        <v>0</v>
      </c>
      <c r="H199" s="69">
        <v>1850</v>
      </c>
      <c r="I199" s="69">
        <v>0</v>
      </c>
    </row>
    <row r="200" spans="1:9">
      <c r="A200" s="219"/>
      <c r="B200" s="69" t="s">
        <v>746</v>
      </c>
      <c r="C200" s="69" t="s">
        <v>73</v>
      </c>
      <c r="D200" s="69" t="s">
        <v>23</v>
      </c>
      <c r="E200" s="69" t="s">
        <v>79</v>
      </c>
      <c r="F200" s="69">
        <v>243.2</v>
      </c>
      <c r="G200" s="69">
        <v>0</v>
      </c>
      <c r="H200" s="69">
        <v>0</v>
      </c>
      <c r="I200" s="69">
        <v>243.2</v>
      </c>
    </row>
    <row r="201" spans="1:9">
      <c r="A201" s="219"/>
      <c r="B201" s="69" t="s">
        <v>747</v>
      </c>
      <c r="C201" s="69" t="s">
        <v>73</v>
      </c>
      <c r="D201" s="69" t="s">
        <v>18</v>
      </c>
      <c r="E201" s="69" t="s">
        <v>63</v>
      </c>
      <c r="F201" s="69">
        <v>2557</v>
      </c>
      <c r="G201" s="69">
        <v>0</v>
      </c>
      <c r="H201" s="69">
        <v>2557</v>
      </c>
      <c r="I201" s="69">
        <v>0</v>
      </c>
    </row>
    <row r="202" spans="1:9">
      <c r="A202" s="219"/>
      <c r="B202" s="69" t="s">
        <v>748</v>
      </c>
      <c r="C202" s="69" t="s">
        <v>73</v>
      </c>
      <c r="D202" s="69" t="s">
        <v>18</v>
      </c>
      <c r="E202" s="69" t="s">
        <v>63</v>
      </c>
      <c r="F202" s="69">
        <v>1209</v>
      </c>
      <c r="G202" s="69">
        <v>0</v>
      </c>
      <c r="H202" s="69">
        <v>1209</v>
      </c>
      <c r="I202" s="69">
        <v>0</v>
      </c>
    </row>
    <row r="203" spans="1:9">
      <c r="A203" s="219"/>
      <c r="B203" s="69" t="s">
        <v>749</v>
      </c>
      <c r="C203" s="69" t="s">
        <v>73</v>
      </c>
      <c r="D203" s="69" t="s">
        <v>18</v>
      </c>
      <c r="E203" s="69" t="s">
        <v>63</v>
      </c>
      <c r="F203" s="69">
        <v>554</v>
      </c>
      <c r="G203" s="69">
        <v>0</v>
      </c>
      <c r="H203" s="69">
        <v>554</v>
      </c>
      <c r="I203" s="69">
        <v>0</v>
      </c>
    </row>
    <row r="204" spans="1:9">
      <c r="A204" s="219"/>
      <c r="B204" s="69" t="s">
        <v>750</v>
      </c>
      <c r="C204" s="69" t="s">
        <v>73</v>
      </c>
      <c r="D204" s="69" t="s">
        <v>18</v>
      </c>
      <c r="E204" s="69" t="s">
        <v>63</v>
      </c>
      <c r="F204" s="69">
        <v>374</v>
      </c>
      <c r="G204" s="69">
        <v>0</v>
      </c>
      <c r="H204" s="69">
        <v>374</v>
      </c>
      <c r="I204" s="69">
        <v>0</v>
      </c>
    </row>
    <row r="205" spans="1:9">
      <c r="A205" s="219"/>
      <c r="B205" s="69" t="s">
        <v>751</v>
      </c>
      <c r="C205" s="69" t="s">
        <v>73</v>
      </c>
      <c r="D205" s="69" t="s">
        <v>18</v>
      </c>
      <c r="E205" s="69" t="s">
        <v>63</v>
      </c>
      <c r="F205" s="69">
        <v>379</v>
      </c>
      <c r="G205" s="69">
        <v>0</v>
      </c>
      <c r="H205" s="69">
        <v>379</v>
      </c>
      <c r="I205" s="69">
        <v>0</v>
      </c>
    </row>
    <row r="206" spans="1:9">
      <c r="A206" s="219"/>
      <c r="B206" s="69" t="s">
        <v>752</v>
      </c>
      <c r="C206" s="69" t="s">
        <v>73</v>
      </c>
      <c r="D206" s="69" t="s">
        <v>18</v>
      </c>
      <c r="E206" s="69" t="s">
        <v>63</v>
      </c>
      <c r="F206" s="69">
        <v>266</v>
      </c>
      <c r="G206" s="69">
        <v>0</v>
      </c>
      <c r="H206" s="69">
        <v>266</v>
      </c>
      <c r="I206" s="69">
        <v>0</v>
      </c>
    </row>
    <row r="207" spans="1:9">
      <c r="A207" s="219"/>
      <c r="B207" s="69" t="s">
        <v>753</v>
      </c>
      <c r="C207" s="69" t="s">
        <v>73</v>
      </c>
      <c r="D207" s="69" t="s">
        <v>18</v>
      </c>
      <c r="E207" s="69" t="s">
        <v>63</v>
      </c>
      <c r="F207" s="69">
        <v>936</v>
      </c>
      <c r="G207" s="69">
        <v>0</v>
      </c>
      <c r="H207" s="69">
        <v>936</v>
      </c>
      <c r="I207" s="69">
        <v>0</v>
      </c>
    </row>
    <row r="208" spans="1:9">
      <c r="A208" s="219"/>
      <c r="B208" s="69" t="s">
        <v>754</v>
      </c>
      <c r="C208" s="69" t="s">
        <v>73</v>
      </c>
      <c r="D208" s="69" t="s">
        <v>18</v>
      </c>
      <c r="E208" s="69" t="s">
        <v>63</v>
      </c>
      <c r="F208" s="69">
        <v>464</v>
      </c>
      <c r="G208" s="69">
        <v>0</v>
      </c>
      <c r="H208" s="69">
        <v>464</v>
      </c>
      <c r="I208" s="69">
        <v>0</v>
      </c>
    </row>
    <row r="209" spans="1:9">
      <c r="A209" s="219"/>
      <c r="B209" s="69" t="s">
        <v>755</v>
      </c>
      <c r="C209" s="69" t="s">
        <v>73</v>
      </c>
      <c r="D209" s="69" t="s">
        <v>18</v>
      </c>
      <c r="E209" s="69" t="s">
        <v>63</v>
      </c>
      <c r="F209" s="69">
        <v>760</v>
      </c>
      <c r="G209" s="69">
        <v>0</v>
      </c>
      <c r="H209" s="69">
        <v>760</v>
      </c>
      <c r="I209" s="69">
        <v>0</v>
      </c>
    </row>
    <row r="210" spans="1:9">
      <c r="A210" s="219"/>
      <c r="B210" s="69" t="s">
        <v>756</v>
      </c>
      <c r="C210" s="69" t="s">
        <v>73</v>
      </c>
      <c r="D210" s="69" t="s">
        <v>20</v>
      </c>
      <c r="E210" s="69" t="s">
        <v>76</v>
      </c>
      <c r="F210" s="69">
        <v>1112</v>
      </c>
      <c r="G210" s="69">
        <v>0</v>
      </c>
      <c r="H210" s="69">
        <v>1112</v>
      </c>
      <c r="I210" s="69">
        <v>0</v>
      </c>
    </row>
    <row r="211" spans="1:9">
      <c r="A211" s="219"/>
      <c r="B211" s="69" t="s">
        <v>757</v>
      </c>
      <c r="C211" s="69" t="s">
        <v>73</v>
      </c>
      <c r="D211" s="69" t="s">
        <v>23</v>
      </c>
      <c r="E211" s="69" t="s">
        <v>79</v>
      </c>
      <c r="F211" s="69">
        <v>180.4</v>
      </c>
      <c r="G211" s="69">
        <v>0</v>
      </c>
      <c r="H211" s="69">
        <v>180.4</v>
      </c>
      <c r="I211" s="69">
        <v>0</v>
      </c>
    </row>
    <row r="212" spans="1:9">
      <c r="A212" s="219"/>
      <c r="B212" s="69" t="s">
        <v>758</v>
      </c>
      <c r="C212" s="69" t="s">
        <v>73</v>
      </c>
      <c r="D212" s="69" t="s">
        <v>18</v>
      </c>
      <c r="E212" s="69" t="s">
        <v>63</v>
      </c>
      <c r="F212" s="69">
        <v>0</v>
      </c>
      <c r="G212" s="69">
        <v>1380</v>
      </c>
      <c r="H212" s="69">
        <v>1380</v>
      </c>
      <c r="I212" s="69">
        <v>0</v>
      </c>
    </row>
    <row r="213" spans="1:9">
      <c r="A213" s="219"/>
      <c r="B213" s="69" t="s">
        <v>759</v>
      </c>
      <c r="C213" s="69" t="s">
        <v>73</v>
      </c>
      <c r="D213" s="69" t="s">
        <v>18</v>
      </c>
      <c r="E213" s="69" t="s">
        <v>63</v>
      </c>
      <c r="F213" s="69">
        <v>0</v>
      </c>
      <c r="G213" s="69">
        <v>559</v>
      </c>
      <c r="H213" s="69">
        <v>559</v>
      </c>
      <c r="I213" s="69">
        <v>0</v>
      </c>
    </row>
    <row r="214" spans="1:9">
      <c r="A214" s="219"/>
      <c r="B214" s="69" t="s">
        <v>760</v>
      </c>
      <c r="C214" s="69" t="s">
        <v>73</v>
      </c>
      <c r="D214" s="69" t="s">
        <v>20</v>
      </c>
      <c r="E214" s="69" t="s">
        <v>76</v>
      </c>
      <c r="F214" s="69">
        <v>0</v>
      </c>
      <c r="G214" s="69">
        <v>1388</v>
      </c>
      <c r="H214" s="69">
        <v>1388</v>
      </c>
      <c r="I214" s="69">
        <v>0</v>
      </c>
    </row>
    <row r="215" spans="1:9">
      <c r="A215" s="219"/>
      <c r="B215" s="69" t="s">
        <v>761</v>
      </c>
      <c r="C215" s="69" t="s">
        <v>73</v>
      </c>
      <c r="D215" s="69" t="s">
        <v>23</v>
      </c>
      <c r="E215" s="69" t="s">
        <v>79</v>
      </c>
      <c r="F215" s="69">
        <v>0</v>
      </c>
      <c r="G215" s="69">
        <v>41.4</v>
      </c>
      <c r="H215" s="69">
        <v>0</v>
      </c>
      <c r="I215" s="69">
        <v>41.4</v>
      </c>
    </row>
    <row r="216" spans="1:9">
      <c r="A216" s="219"/>
      <c r="B216" s="69" t="s">
        <v>762</v>
      </c>
      <c r="C216" s="69" t="s">
        <v>73</v>
      </c>
      <c r="D216" s="69" t="s">
        <v>665</v>
      </c>
      <c r="E216" s="69" t="s">
        <v>79</v>
      </c>
      <c r="F216" s="69">
        <v>0</v>
      </c>
      <c r="G216" s="69">
        <v>52.7</v>
      </c>
      <c r="H216" s="69">
        <v>0</v>
      </c>
      <c r="I216" s="69">
        <v>52.7</v>
      </c>
    </row>
    <row r="217" spans="1:9">
      <c r="A217" s="219"/>
      <c r="B217" s="69" t="s">
        <v>763</v>
      </c>
      <c r="C217" s="69" t="s">
        <v>73</v>
      </c>
      <c r="D217" s="69" t="s">
        <v>18</v>
      </c>
      <c r="E217" s="69" t="s">
        <v>63</v>
      </c>
      <c r="F217" s="69">
        <v>0</v>
      </c>
      <c r="G217" s="69">
        <v>222</v>
      </c>
      <c r="H217" s="69">
        <v>0</v>
      </c>
      <c r="I217" s="69">
        <v>222</v>
      </c>
    </row>
    <row r="218" spans="1:9">
      <c r="A218" s="219"/>
      <c r="B218" s="69" t="s">
        <v>764</v>
      </c>
      <c r="C218" s="69" t="s">
        <v>73</v>
      </c>
      <c r="D218" s="69" t="s">
        <v>18</v>
      </c>
      <c r="E218" s="69" t="s">
        <v>63</v>
      </c>
      <c r="F218" s="69">
        <v>0</v>
      </c>
      <c r="G218" s="69">
        <v>622</v>
      </c>
      <c r="H218" s="69">
        <v>0</v>
      </c>
      <c r="I218" s="69">
        <v>622</v>
      </c>
    </row>
    <row r="219" spans="1:9">
      <c r="A219" s="219"/>
      <c r="B219" s="69" t="s">
        <v>765</v>
      </c>
      <c r="C219" s="69" t="s">
        <v>73</v>
      </c>
      <c r="D219" s="69" t="s">
        <v>20</v>
      </c>
      <c r="E219" s="69" t="s">
        <v>76</v>
      </c>
      <c r="F219" s="69">
        <v>0</v>
      </c>
      <c r="G219" s="69">
        <v>201</v>
      </c>
      <c r="H219" s="69">
        <v>0</v>
      </c>
      <c r="I219" s="69">
        <v>201</v>
      </c>
    </row>
    <row r="220" spans="1:9">
      <c r="A220" s="219"/>
      <c r="B220" s="69" t="s">
        <v>766</v>
      </c>
      <c r="C220" s="69" t="s">
        <v>73</v>
      </c>
      <c r="D220" s="69" t="s">
        <v>23</v>
      </c>
      <c r="E220" s="69" t="s">
        <v>79</v>
      </c>
      <c r="F220" s="69">
        <v>0</v>
      </c>
      <c r="G220" s="69">
        <v>170</v>
      </c>
      <c r="H220" s="69">
        <v>0</v>
      </c>
      <c r="I220" s="69">
        <v>170</v>
      </c>
    </row>
    <row r="221" spans="1:9">
      <c r="A221" s="219"/>
      <c r="B221" s="69" t="s">
        <v>1026</v>
      </c>
      <c r="C221" s="69" t="s">
        <v>73</v>
      </c>
      <c r="D221" s="69" t="s">
        <v>20</v>
      </c>
      <c r="E221" s="69" t="s">
        <v>76</v>
      </c>
      <c r="F221" s="69">
        <v>0</v>
      </c>
      <c r="G221" s="69">
        <v>349</v>
      </c>
      <c r="H221" s="69">
        <v>0</v>
      </c>
      <c r="I221" s="69">
        <v>349</v>
      </c>
    </row>
    <row r="222" spans="1:9">
      <c r="A222" s="219"/>
      <c r="B222" s="69" t="s">
        <v>1027</v>
      </c>
      <c r="C222" s="69" t="s">
        <v>73</v>
      </c>
      <c r="D222" s="69" t="s">
        <v>18</v>
      </c>
      <c r="E222" s="69" t="s">
        <v>63</v>
      </c>
      <c r="F222" s="69">
        <v>0</v>
      </c>
      <c r="G222" s="69">
        <v>596</v>
      </c>
      <c r="H222" s="69">
        <v>0</v>
      </c>
      <c r="I222" s="69">
        <v>596</v>
      </c>
    </row>
    <row r="223" spans="1:9">
      <c r="A223" s="219"/>
      <c r="B223" s="69" t="s">
        <v>1028</v>
      </c>
      <c r="C223" s="69" t="s">
        <v>73</v>
      </c>
      <c r="D223" s="69" t="s">
        <v>18</v>
      </c>
      <c r="E223" s="69" t="s">
        <v>63</v>
      </c>
      <c r="F223" s="69">
        <v>0</v>
      </c>
      <c r="G223" s="69">
        <v>1850</v>
      </c>
      <c r="H223" s="69">
        <v>0</v>
      </c>
      <c r="I223" s="69">
        <v>1850</v>
      </c>
    </row>
    <row r="224" spans="1:9">
      <c r="A224" s="219"/>
      <c r="B224" s="69" t="s">
        <v>1029</v>
      </c>
      <c r="C224" s="69" t="s">
        <v>73</v>
      </c>
      <c r="D224" s="69" t="s">
        <v>23</v>
      </c>
      <c r="E224" s="69" t="s">
        <v>79</v>
      </c>
      <c r="F224" s="69">
        <v>0</v>
      </c>
      <c r="G224" s="69">
        <v>302.3</v>
      </c>
      <c r="H224" s="69">
        <v>0</v>
      </c>
      <c r="I224" s="69">
        <v>302.3</v>
      </c>
    </row>
    <row r="225" spans="1:9">
      <c r="A225" s="219"/>
      <c r="B225" s="69" t="s">
        <v>1030</v>
      </c>
      <c r="C225" s="69" t="s">
        <v>73</v>
      </c>
      <c r="D225" s="69" t="s">
        <v>18</v>
      </c>
      <c r="E225" s="69" t="s">
        <v>63</v>
      </c>
      <c r="F225" s="69">
        <v>0</v>
      </c>
      <c r="G225" s="69">
        <v>1239.5</v>
      </c>
      <c r="H225" s="69">
        <v>0</v>
      </c>
      <c r="I225" s="69">
        <v>1239.5</v>
      </c>
    </row>
    <row r="226" spans="1:9">
      <c r="A226" s="219"/>
      <c r="B226" s="69" t="s">
        <v>1031</v>
      </c>
      <c r="C226" s="69" t="s">
        <v>73</v>
      </c>
      <c r="D226" s="69" t="s">
        <v>18</v>
      </c>
      <c r="E226" s="69" t="s">
        <v>63</v>
      </c>
      <c r="F226" s="69">
        <v>0</v>
      </c>
      <c r="G226" s="69">
        <v>1205</v>
      </c>
      <c r="H226" s="69">
        <v>0</v>
      </c>
      <c r="I226" s="69">
        <v>1205</v>
      </c>
    </row>
    <row r="227" spans="1:9">
      <c r="A227" s="219"/>
      <c r="B227" s="69" t="s">
        <v>1032</v>
      </c>
      <c r="C227" s="69" t="s">
        <v>73</v>
      </c>
      <c r="D227" s="69" t="s">
        <v>20</v>
      </c>
      <c r="E227" s="69" t="s">
        <v>76</v>
      </c>
      <c r="F227" s="69">
        <v>0</v>
      </c>
      <c r="G227" s="69">
        <v>224</v>
      </c>
      <c r="H227" s="69">
        <v>0</v>
      </c>
      <c r="I227" s="69">
        <v>224</v>
      </c>
    </row>
    <row r="228" spans="1:9">
      <c r="A228" s="219"/>
      <c r="B228" s="69" t="s">
        <v>1033</v>
      </c>
      <c r="C228" s="69" t="s">
        <v>73</v>
      </c>
      <c r="D228" s="69" t="s">
        <v>23</v>
      </c>
      <c r="E228" s="69" t="s">
        <v>79</v>
      </c>
      <c r="F228" s="69">
        <v>0</v>
      </c>
      <c r="G228" s="69">
        <v>1282.7</v>
      </c>
      <c r="H228" s="69">
        <v>0</v>
      </c>
      <c r="I228" s="69">
        <v>1282.7</v>
      </c>
    </row>
    <row r="229" spans="1:9">
      <c r="A229" s="219"/>
      <c r="B229" s="69" t="s">
        <v>1034</v>
      </c>
      <c r="C229" s="69" t="s">
        <v>73</v>
      </c>
      <c r="D229" s="69" t="s">
        <v>23</v>
      </c>
      <c r="E229" s="69" t="s">
        <v>79</v>
      </c>
      <c r="F229" s="69">
        <v>0</v>
      </c>
      <c r="G229" s="69">
        <v>247.3</v>
      </c>
      <c r="H229" s="69">
        <v>0</v>
      </c>
      <c r="I229" s="69">
        <v>247.3</v>
      </c>
    </row>
    <row r="230" spans="1:9">
      <c r="A230" s="219"/>
      <c r="B230" s="69" t="s">
        <v>1035</v>
      </c>
      <c r="C230" s="69" t="s">
        <v>73</v>
      </c>
      <c r="D230" s="69" t="s">
        <v>18</v>
      </c>
      <c r="E230" s="69" t="s">
        <v>63</v>
      </c>
      <c r="F230" s="69">
        <v>0</v>
      </c>
      <c r="G230" s="69">
        <v>583</v>
      </c>
      <c r="H230" s="69">
        <v>0</v>
      </c>
      <c r="I230" s="69">
        <v>583</v>
      </c>
    </row>
    <row r="231" spans="1:9">
      <c r="A231" s="219"/>
      <c r="B231" s="69" t="s">
        <v>1036</v>
      </c>
      <c r="C231" s="69" t="s">
        <v>73</v>
      </c>
      <c r="D231" s="69" t="s">
        <v>23</v>
      </c>
      <c r="E231" s="69" t="s">
        <v>79</v>
      </c>
      <c r="F231" s="69">
        <v>0</v>
      </c>
      <c r="G231" s="69">
        <v>1640</v>
      </c>
      <c r="H231" s="69">
        <v>0</v>
      </c>
      <c r="I231" s="69">
        <v>1640</v>
      </c>
    </row>
    <row r="232" spans="1:9">
      <c r="A232" s="219"/>
      <c r="B232" s="69" t="s">
        <v>767</v>
      </c>
      <c r="C232" s="69" t="s">
        <v>73</v>
      </c>
      <c r="D232" s="69" t="s">
        <v>18</v>
      </c>
      <c r="E232" s="69" t="s">
        <v>63</v>
      </c>
      <c r="F232" s="69">
        <v>0</v>
      </c>
      <c r="G232" s="69">
        <v>489</v>
      </c>
      <c r="H232" s="69">
        <v>138.9</v>
      </c>
      <c r="I232" s="69">
        <v>350.1</v>
      </c>
    </row>
    <row r="233" spans="1:9">
      <c r="A233" s="219"/>
      <c r="B233" s="69" t="s">
        <v>1037</v>
      </c>
      <c r="C233" s="69" t="s">
        <v>73</v>
      </c>
      <c r="D233" s="69" t="s">
        <v>18</v>
      </c>
      <c r="E233" s="69" t="s">
        <v>63</v>
      </c>
      <c r="F233" s="69">
        <v>0</v>
      </c>
      <c r="G233" s="69">
        <v>3609</v>
      </c>
      <c r="H233" s="69">
        <v>0</v>
      </c>
      <c r="I233" s="69">
        <v>3609</v>
      </c>
    </row>
    <row r="234" spans="1:9">
      <c r="A234" s="219"/>
      <c r="B234" s="69" t="s">
        <v>1038</v>
      </c>
      <c r="C234" s="69" t="s">
        <v>73</v>
      </c>
      <c r="D234" s="69" t="s">
        <v>18</v>
      </c>
      <c r="E234" s="69" t="s">
        <v>63</v>
      </c>
      <c r="F234" s="69">
        <v>0</v>
      </c>
      <c r="G234" s="69">
        <v>1834</v>
      </c>
      <c r="H234" s="69">
        <v>0</v>
      </c>
      <c r="I234" s="69">
        <v>1834</v>
      </c>
    </row>
    <row r="235" spans="1:9">
      <c r="A235" s="219"/>
      <c r="B235" s="69" t="s">
        <v>1039</v>
      </c>
      <c r="C235" s="69" t="s">
        <v>73</v>
      </c>
      <c r="D235" s="69" t="s">
        <v>20</v>
      </c>
      <c r="E235" s="69" t="s">
        <v>76</v>
      </c>
      <c r="F235" s="69">
        <v>0</v>
      </c>
      <c r="G235" s="69">
        <v>1105</v>
      </c>
      <c r="H235" s="69">
        <v>0</v>
      </c>
      <c r="I235" s="69">
        <v>1105</v>
      </c>
    </row>
    <row r="236" spans="1:9">
      <c r="A236" s="219"/>
      <c r="B236" s="69" t="s">
        <v>1040</v>
      </c>
      <c r="C236" s="69" t="s">
        <v>73</v>
      </c>
      <c r="D236" s="69" t="s">
        <v>23</v>
      </c>
      <c r="E236" s="69" t="s">
        <v>79</v>
      </c>
      <c r="F236" s="69">
        <v>0</v>
      </c>
      <c r="G236" s="69">
        <v>885.9</v>
      </c>
      <c r="H236" s="69">
        <v>0</v>
      </c>
      <c r="I236" s="69">
        <v>885.9</v>
      </c>
    </row>
    <row r="237" spans="1:9">
      <c r="A237" s="219"/>
      <c r="B237" s="69" t="s">
        <v>1041</v>
      </c>
      <c r="C237" s="69" t="s">
        <v>73</v>
      </c>
      <c r="D237" s="69" t="s">
        <v>23</v>
      </c>
      <c r="E237" s="69" t="s">
        <v>79</v>
      </c>
      <c r="F237" s="69">
        <v>0</v>
      </c>
      <c r="G237" s="69">
        <v>1894.1</v>
      </c>
      <c r="H237" s="69">
        <v>0</v>
      </c>
      <c r="I237" s="69">
        <v>1894.1</v>
      </c>
    </row>
    <row r="238" spans="1:9">
      <c r="A238" s="219"/>
      <c r="B238" s="69" t="s">
        <v>1042</v>
      </c>
      <c r="C238" s="69" t="s">
        <v>73</v>
      </c>
      <c r="D238" s="69" t="s">
        <v>20</v>
      </c>
      <c r="E238" s="69" t="s">
        <v>76</v>
      </c>
      <c r="F238" s="69">
        <v>0</v>
      </c>
      <c r="G238" s="69">
        <v>1910</v>
      </c>
      <c r="H238" s="69">
        <v>0</v>
      </c>
      <c r="I238" s="69">
        <v>1910</v>
      </c>
    </row>
    <row r="239" spans="1:9">
      <c r="A239" s="219"/>
      <c r="B239" s="69" t="s">
        <v>1043</v>
      </c>
      <c r="C239" s="69" t="s">
        <v>73</v>
      </c>
      <c r="D239" s="69" t="s">
        <v>23</v>
      </c>
      <c r="E239" s="69" t="s">
        <v>79</v>
      </c>
      <c r="F239" s="69">
        <v>0</v>
      </c>
      <c r="G239" s="69">
        <v>308.39999999999998</v>
      </c>
      <c r="H239" s="69">
        <v>0</v>
      </c>
      <c r="I239" s="69">
        <v>308.39999999999998</v>
      </c>
    </row>
    <row r="240" spans="1:9">
      <c r="A240" s="219"/>
      <c r="B240" s="69" t="s">
        <v>1044</v>
      </c>
      <c r="C240" s="69" t="s">
        <v>73</v>
      </c>
      <c r="D240" s="69" t="s">
        <v>23</v>
      </c>
      <c r="E240" s="69" t="s">
        <v>79</v>
      </c>
      <c r="F240" s="69">
        <v>0</v>
      </c>
      <c r="G240" s="69">
        <v>844.3</v>
      </c>
      <c r="H240" s="69">
        <v>0</v>
      </c>
      <c r="I240" s="69">
        <v>844.3</v>
      </c>
    </row>
    <row r="241" spans="1:9">
      <c r="A241" s="219"/>
      <c r="B241" s="69" t="s">
        <v>1045</v>
      </c>
      <c r="C241" s="69" t="s">
        <v>73</v>
      </c>
      <c r="D241" s="69" t="s">
        <v>23</v>
      </c>
      <c r="E241" s="69" t="s">
        <v>79</v>
      </c>
      <c r="F241" s="69">
        <v>0</v>
      </c>
      <c r="G241" s="69">
        <v>757.3</v>
      </c>
      <c r="H241" s="69">
        <v>0</v>
      </c>
      <c r="I241" s="69">
        <v>757.3</v>
      </c>
    </row>
    <row r="242" spans="1:9">
      <c r="A242" s="219"/>
      <c r="B242" s="69" t="s">
        <v>1046</v>
      </c>
      <c r="C242" s="69" t="s">
        <v>73</v>
      </c>
      <c r="D242" s="69" t="s">
        <v>18</v>
      </c>
      <c r="E242" s="69" t="s">
        <v>63</v>
      </c>
      <c r="F242" s="69">
        <v>0</v>
      </c>
      <c r="G242" s="69">
        <v>240</v>
      </c>
      <c r="H242" s="69">
        <v>0</v>
      </c>
      <c r="I242" s="69">
        <v>240</v>
      </c>
    </row>
    <row r="243" spans="1:9">
      <c r="A243" s="219"/>
      <c r="B243" s="69" t="s">
        <v>1047</v>
      </c>
      <c r="C243" s="69" t="s">
        <v>73</v>
      </c>
      <c r="D243" s="69" t="s">
        <v>20</v>
      </c>
      <c r="E243" s="69" t="s">
        <v>76</v>
      </c>
      <c r="F243" s="69">
        <v>0</v>
      </c>
      <c r="G243" s="69">
        <v>195</v>
      </c>
      <c r="H243" s="69">
        <v>0</v>
      </c>
      <c r="I243" s="69">
        <v>195</v>
      </c>
    </row>
    <row r="244" spans="1:9">
      <c r="A244" s="219"/>
      <c r="B244" s="69" t="s">
        <v>1048</v>
      </c>
      <c r="C244" s="69" t="s">
        <v>73</v>
      </c>
      <c r="D244" s="69" t="s">
        <v>18</v>
      </c>
      <c r="E244" s="69" t="s">
        <v>63</v>
      </c>
      <c r="F244" s="69">
        <v>0</v>
      </c>
      <c r="G244" s="69">
        <v>1753</v>
      </c>
      <c r="H244" s="69">
        <v>0</v>
      </c>
      <c r="I244" s="69">
        <v>1753</v>
      </c>
    </row>
    <row r="245" spans="1:9">
      <c r="A245" s="219"/>
      <c r="B245" s="69" t="s">
        <v>1049</v>
      </c>
      <c r="C245" s="69" t="s">
        <v>73</v>
      </c>
      <c r="D245" s="69" t="s">
        <v>20</v>
      </c>
      <c r="E245" s="69" t="s">
        <v>76</v>
      </c>
      <c r="F245" s="69">
        <v>0</v>
      </c>
      <c r="G245" s="69">
        <v>694.2</v>
      </c>
      <c r="H245" s="69">
        <v>0</v>
      </c>
      <c r="I245" s="69">
        <v>694.2</v>
      </c>
    </row>
    <row r="246" spans="1:9">
      <c r="A246" s="219"/>
      <c r="B246" s="69" t="s">
        <v>1050</v>
      </c>
      <c r="C246" s="69" t="s">
        <v>73</v>
      </c>
      <c r="D246" s="69" t="s">
        <v>18</v>
      </c>
      <c r="E246" s="69" t="s">
        <v>63</v>
      </c>
      <c r="F246" s="69">
        <v>0</v>
      </c>
      <c r="G246" s="69">
        <v>640</v>
      </c>
      <c r="H246" s="69">
        <v>0</v>
      </c>
      <c r="I246" s="69">
        <v>640</v>
      </c>
    </row>
    <row r="247" spans="1:9">
      <c r="A247" s="219"/>
      <c r="B247" s="69" t="s">
        <v>1051</v>
      </c>
      <c r="C247" s="69" t="s">
        <v>73</v>
      </c>
      <c r="D247" s="69" t="s">
        <v>18</v>
      </c>
      <c r="E247" s="69" t="s">
        <v>63</v>
      </c>
      <c r="F247" s="69">
        <v>0</v>
      </c>
      <c r="G247" s="69">
        <v>1050</v>
      </c>
      <c r="H247" s="69">
        <v>0</v>
      </c>
      <c r="I247" s="69">
        <v>1050</v>
      </c>
    </row>
    <row r="248" spans="1:9">
      <c r="A248" s="219"/>
      <c r="B248" s="69" t="s">
        <v>1052</v>
      </c>
      <c r="C248" s="69" t="s">
        <v>73</v>
      </c>
      <c r="D248" s="69" t="s">
        <v>18</v>
      </c>
      <c r="E248" s="69" t="s">
        <v>63</v>
      </c>
      <c r="F248" s="69">
        <v>0</v>
      </c>
      <c r="G248" s="69">
        <v>620</v>
      </c>
      <c r="H248" s="69">
        <v>0</v>
      </c>
      <c r="I248" s="69">
        <v>620</v>
      </c>
    </row>
    <row r="249" spans="1:9">
      <c r="A249" s="219"/>
      <c r="B249" s="69" t="s">
        <v>1053</v>
      </c>
      <c r="C249" s="69" t="s">
        <v>73</v>
      </c>
      <c r="D249" s="69" t="s">
        <v>20</v>
      </c>
      <c r="E249" s="69" t="s">
        <v>76</v>
      </c>
      <c r="F249" s="69">
        <v>0</v>
      </c>
      <c r="G249" s="69">
        <v>37</v>
      </c>
      <c r="H249" s="69">
        <v>0</v>
      </c>
      <c r="I249" s="69">
        <v>37</v>
      </c>
    </row>
    <row r="250" spans="1:9">
      <c r="A250" s="219"/>
      <c r="B250" s="69" t="s">
        <v>1054</v>
      </c>
      <c r="C250" s="69" t="s">
        <v>73</v>
      </c>
      <c r="D250" s="69" t="s">
        <v>23</v>
      </c>
      <c r="E250" s="69" t="s">
        <v>79</v>
      </c>
      <c r="F250" s="69">
        <v>0</v>
      </c>
      <c r="G250" s="69">
        <v>286.89999999999998</v>
      </c>
      <c r="H250" s="69">
        <v>0</v>
      </c>
      <c r="I250" s="69">
        <v>286.89999999999998</v>
      </c>
    </row>
    <row r="251" spans="1:9">
      <c r="A251" s="219"/>
      <c r="B251" s="69" t="s">
        <v>1055</v>
      </c>
      <c r="C251" s="69" t="s">
        <v>73</v>
      </c>
      <c r="D251" s="69" t="s">
        <v>23</v>
      </c>
      <c r="E251" s="69" t="s">
        <v>79</v>
      </c>
      <c r="F251" s="69">
        <v>0</v>
      </c>
      <c r="G251" s="69">
        <v>389.1</v>
      </c>
      <c r="H251" s="69">
        <v>0</v>
      </c>
      <c r="I251" s="69">
        <v>389.1</v>
      </c>
    </row>
    <row r="252" spans="1:9">
      <c r="A252" s="219"/>
      <c r="B252" s="69" t="s">
        <v>1056</v>
      </c>
      <c r="C252" s="69" t="s">
        <v>73</v>
      </c>
      <c r="D252" s="69" t="s">
        <v>23</v>
      </c>
      <c r="E252" s="69" t="s">
        <v>79</v>
      </c>
      <c r="F252" s="69">
        <v>0</v>
      </c>
      <c r="G252" s="69">
        <v>1047.3</v>
      </c>
      <c r="H252" s="69">
        <v>0</v>
      </c>
      <c r="I252" s="69">
        <v>1047.3</v>
      </c>
    </row>
    <row r="253" spans="1:9">
      <c r="A253" s="219"/>
      <c r="B253" s="69" t="s">
        <v>1057</v>
      </c>
      <c r="C253" s="69" t="s">
        <v>73</v>
      </c>
      <c r="D253" s="69" t="s">
        <v>23</v>
      </c>
      <c r="E253" s="69" t="s">
        <v>79</v>
      </c>
      <c r="F253" s="69">
        <v>0</v>
      </c>
      <c r="G253" s="69">
        <v>208.3</v>
      </c>
      <c r="H253" s="69">
        <v>0</v>
      </c>
      <c r="I253" s="69">
        <v>208.3</v>
      </c>
    </row>
    <row r="254" spans="1:9">
      <c r="A254" s="219"/>
      <c r="B254" s="69" t="s">
        <v>1058</v>
      </c>
      <c r="C254" s="69" t="s">
        <v>73</v>
      </c>
      <c r="D254" s="69" t="s">
        <v>23</v>
      </c>
      <c r="E254" s="69" t="s">
        <v>79</v>
      </c>
      <c r="F254" s="69">
        <v>0</v>
      </c>
      <c r="G254" s="69">
        <v>79.3</v>
      </c>
      <c r="H254" s="69">
        <v>0</v>
      </c>
      <c r="I254" s="69">
        <v>79.3</v>
      </c>
    </row>
    <row r="255" spans="1:9">
      <c r="A255" s="219"/>
      <c r="B255" s="69" t="s">
        <v>1059</v>
      </c>
      <c r="C255" s="69" t="s">
        <v>73</v>
      </c>
      <c r="D255" s="69" t="s">
        <v>23</v>
      </c>
      <c r="E255" s="69" t="s">
        <v>79</v>
      </c>
      <c r="F255" s="69">
        <v>0</v>
      </c>
      <c r="G255" s="69">
        <v>82.6</v>
      </c>
      <c r="H255" s="69">
        <v>0</v>
      </c>
      <c r="I255" s="69">
        <v>82.6</v>
      </c>
    </row>
    <row r="256" spans="1:9">
      <c r="A256" s="219"/>
      <c r="B256" s="69" t="s">
        <v>1060</v>
      </c>
      <c r="C256" s="69" t="s">
        <v>73</v>
      </c>
      <c r="D256" s="69" t="s">
        <v>23</v>
      </c>
      <c r="E256" s="69" t="s">
        <v>79</v>
      </c>
      <c r="F256" s="69">
        <v>0</v>
      </c>
      <c r="G256" s="69">
        <v>76.400000000000006</v>
      </c>
      <c r="H256" s="69">
        <v>0</v>
      </c>
      <c r="I256" s="69">
        <v>76.400000000000006</v>
      </c>
    </row>
    <row r="257" spans="1:9">
      <c r="A257" s="219"/>
      <c r="B257" s="69" t="s">
        <v>1061</v>
      </c>
      <c r="C257" s="69" t="s">
        <v>73</v>
      </c>
      <c r="D257" s="69" t="s">
        <v>20</v>
      </c>
      <c r="E257" s="69" t="s">
        <v>76</v>
      </c>
      <c r="F257" s="69">
        <v>0</v>
      </c>
      <c r="G257" s="69">
        <v>458</v>
      </c>
      <c r="H257" s="69">
        <v>0</v>
      </c>
      <c r="I257" s="69">
        <v>458</v>
      </c>
    </row>
    <row r="258" spans="1:9">
      <c r="A258" s="219"/>
      <c r="B258" s="69" t="s">
        <v>1062</v>
      </c>
      <c r="C258" s="69" t="s">
        <v>73</v>
      </c>
      <c r="D258" s="69" t="s">
        <v>18</v>
      </c>
      <c r="E258" s="69" t="s">
        <v>63</v>
      </c>
      <c r="F258" s="69">
        <v>0</v>
      </c>
      <c r="G258" s="69">
        <v>148</v>
      </c>
      <c r="H258" s="69">
        <v>0</v>
      </c>
      <c r="I258" s="69">
        <v>148</v>
      </c>
    </row>
    <row r="259" spans="1:9">
      <c r="A259" s="219"/>
      <c r="B259" s="69" t="s">
        <v>1433</v>
      </c>
      <c r="C259" s="69" t="s">
        <v>73</v>
      </c>
      <c r="D259" s="69" t="s">
        <v>23</v>
      </c>
      <c r="E259" s="69" t="s">
        <v>79</v>
      </c>
      <c r="F259" s="69">
        <v>0</v>
      </c>
      <c r="G259" s="69">
        <v>290.3</v>
      </c>
      <c r="H259" s="69">
        <v>0</v>
      </c>
      <c r="I259" s="69">
        <v>290.3</v>
      </c>
    </row>
    <row r="260" spans="1:9">
      <c r="A260" s="219"/>
      <c r="B260" s="69" t="s">
        <v>1434</v>
      </c>
      <c r="C260" s="69" t="s">
        <v>73</v>
      </c>
      <c r="D260" s="69" t="s">
        <v>23</v>
      </c>
      <c r="E260" s="69" t="s">
        <v>79</v>
      </c>
      <c r="F260" s="69">
        <v>0</v>
      </c>
      <c r="G260" s="69">
        <v>1293.3</v>
      </c>
      <c r="H260" s="69">
        <v>0</v>
      </c>
      <c r="I260" s="69">
        <v>1293.3</v>
      </c>
    </row>
    <row r="261" spans="1:9">
      <c r="A261" s="219"/>
      <c r="B261" s="69" t="s">
        <v>1435</v>
      </c>
      <c r="C261" s="69" t="s">
        <v>73</v>
      </c>
      <c r="D261" s="69" t="s">
        <v>665</v>
      </c>
      <c r="E261" s="69" t="s">
        <v>79</v>
      </c>
      <c r="F261" s="69">
        <v>0</v>
      </c>
      <c r="G261" s="69">
        <v>61.1</v>
      </c>
      <c r="H261" s="69">
        <v>0</v>
      </c>
      <c r="I261" s="69">
        <v>61.1</v>
      </c>
    </row>
    <row r="262" spans="1:9">
      <c r="A262" s="219"/>
      <c r="B262" s="69" t="s">
        <v>1436</v>
      </c>
      <c r="C262" s="69" t="s">
        <v>73</v>
      </c>
      <c r="D262" s="69" t="s">
        <v>18</v>
      </c>
      <c r="E262" s="69" t="s">
        <v>63</v>
      </c>
      <c r="F262" s="69">
        <v>0</v>
      </c>
      <c r="G262" s="69">
        <v>593</v>
      </c>
      <c r="H262" s="69">
        <v>0</v>
      </c>
      <c r="I262" s="69">
        <v>593</v>
      </c>
    </row>
    <row r="263" spans="1:9">
      <c r="A263" s="219"/>
      <c r="B263" s="69" t="s">
        <v>1437</v>
      </c>
      <c r="C263" s="69" t="s">
        <v>73</v>
      </c>
      <c r="D263" s="69" t="s">
        <v>18</v>
      </c>
      <c r="E263" s="69" t="s">
        <v>63</v>
      </c>
      <c r="F263" s="69">
        <v>0</v>
      </c>
      <c r="G263" s="69">
        <v>270</v>
      </c>
      <c r="H263" s="69">
        <v>0</v>
      </c>
      <c r="I263" s="69">
        <v>270</v>
      </c>
    </row>
    <row r="264" spans="1:9">
      <c r="A264" s="219"/>
      <c r="B264" s="69" t="s">
        <v>1438</v>
      </c>
      <c r="C264" s="69" t="s">
        <v>73</v>
      </c>
      <c r="D264" s="69" t="s">
        <v>18</v>
      </c>
      <c r="E264" s="69" t="s">
        <v>63</v>
      </c>
      <c r="F264" s="69">
        <v>0</v>
      </c>
      <c r="G264" s="69">
        <v>730</v>
      </c>
      <c r="H264" s="69">
        <v>0</v>
      </c>
      <c r="I264" s="69">
        <v>730</v>
      </c>
    </row>
    <row r="265" spans="1:9">
      <c r="A265" s="219"/>
      <c r="B265" s="69" t="s">
        <v>1439</v>
      </c>
      <c r="C265" s="69" t="s">
        <v>73</v>
      </c>
      <c r="D265" s="69" t="s">
        <v>18</v>
      </c>
      <c r="E265" s="69" t="s">
        <v>63</v>
      </c>
      <c r="F265" s="69">
        <v>0</v>
      </c>
      <c r="G265" s="69">
        <v>766</v>
      </c>
      <c r="H265" s="69">
        <v>0</v>
      </c>
      <c r="I265" s="69">
        <v>766</v>
      </c>
    </row>
    <row r="266" spans="1:9">
      <c r="A266" s="219"/>
      <c r="B266" s="69" t="s">
        <v>1440</v>
      </c>
      <c r="C266" s="69" t="s">
        <v>73</v>
      </c>
      <c r="D266" s="69" t="s">
        <v>20</v>
      </c>
      <c r="E266" s="69" t="s">
        <v>76</v>
      </c>
      <c r="F266" s="69">
        <v>0</v>
      </c>
      <c r="G266" s="69">
        <v>691</v>
      </c>
      <c r="H266" s="69">
        <v>0</v>
      </c>
      <c r="I266" s="69">
        <v>691</v>
      </c>
    </row>
    <row r="267" spans="1:9">
      <c r="A267" s="219"/>
      <c r="B267" s="69" t="s">
        <v>1627</v>
      </c>
      <c r="C267" s="69" t="s">
        <v>73</v>
      </c>
      <c r="D267" s="69" t="s">
        <v>18</v>
      </c>
      <c r="E267" s="69" t="s">
        <v>63</v>
      </c>
      <c r="F267" s="69">
        <v>0</v>
      </c>
      <c r="G267" s="69">
        <v>1933</v>
      </c>
      <c r="H267" s="69">
        <v>0</v>
      </c>
      <c r="I267" s="69">
        <v>1933</v>
      </c>
    </row>
    <row r="268" spans="1:9">
      <c r="A268" s="219"/>
      <c r="B268" s="69" t="s">
        <v>1628</v>
      </c>
      <c r="C268" s="69" t="s">
        <v>73</v>
      </c>
      <c r="D268" s="69" t="s">
        <v>18</v>
      </c>
      <c r="E268" s="69" t="s">
        <v>63</v>
      </c>
      <c r="F268" s="69">
        <v>0</v>
      </c>
      <c r="G268" s="69">
        <v>1629</v>
      </c>
      <c r="H268" s="69">
        <v>0</v>
      </c>
      <c r="I268" s="69">
        <v>1629</v>
      </c>
    </row>
    <row r="269" spans="1:9">
      <c r="A269" s="219"/>
      <c r="B269" s="69" t="s">
        <v>768</v>
      </c>
      <c r="C269" s="69" t="s">
        <v>73</v>
      </c>
      <c r="D269" s="69" t="s">
        <v>18</v>
      </c>
      <c r="E269" s="69" t="s">
        <v>63</v>
      </c>
      <c r="F269" s="69">
        <v>0</v>
      </c>
      <c r="G269" s="69">
        <v>1069</v>
      </c>
      <c r="H269" s="69">
        <v>0</v>
      </c>
      <c r="I269" s="69">
        <v>1069</v>
      </c>
    </row>
    <row r="270" spans="1:9">
      <c r="A270" s="219"/>
      <c r="B270" s="69" t="s">
        <v>769</v>
      </c>
      <c r="C270" s="69" t="s">
        <v>73</v>
      </c>
      <c r="D270" s="69" t="s">
        <v>23</v>
      </c>
      <c r="E270" s="69" t="s">
        <v>79</v>
      </c>
      <c r="F270" s="69">
        <v>0</v>
      </c>
      <c r="G270" s="69">
        <v>390</v>
      </c>
      <c r="H270" s="69">
        <v>0</v>
      </c>
      <c r="I270" s="69">
        <v>390</v>
      </c>
    </row>
    <row r="271" spans="1:9">
      <c r="A271" s="219"/>
      <c r="B271" s="69" t="s">
        <v>1629</v>
      </c>
      <c r="C271" s="69" t="s">
        <v>73</v>
      </c>
      <c r="D271" s="69" t="s">
        <v>23</v>
      </c>
      <c r="E271" s="69" t="s">
        <v>79</v>
      </c>
      <c r="F271" s="69">
        <v>0</v>
      </c>
      <c r="G271" s="69">
        <v>1924</v>
      </c>
      <c r="H271" s="69">
        <v>0</v>
      </c>
      <c r="I271" s="69">
        <v>1924</v>
      </c>
    </row>
    <row r="272" spans="1:9">
      <c r="A272" s="219"/>
      <c r="B272" s="69" t="s">
        <v>1630</v>
      </c>
      <c r="C272" s="69" t="s">
        <v>73</v>
      </c>
      <c r="D272" s="69" t="s">
        <v>665</v>
      </c>
      <c r="E272" s="69" t="s">
        <v>79</v>
      </c>
      <c r="F272" s="69">
        <v>0</v>
      </c>
      <c r="G272" s="69">
        <v>97.3</v>
      </c>
      <c r="H272" s="69">
        <v>0</v>
      </c>
      <c r="I272" s="69">
        <v>97.3</v>
      </c>
    </row>
    <row r="273" spans="1:9">
      <c r="A273" s="219"/>
      <c r="B273" s="69" t="s">
        <v>1631</v>
      </c>
      <c r="C273" s="69" t="s">
        <v>73</v>
      </c>
      <c r="D273" s="69" t="s">
        <v>20</v>
      </c>
      <c r="E273" s="69" t="s">
        <v>76</v>
      </c>
      <c r="F273" s="69">
        <v>0</v>
      </c>
      <c r="G273" s="69">
        <v>1191</v>
      </c>
      <c r="H273" s="69">
        <v>0</v>
      </c>
      <c r="I273" s="69">
        <v>1191</v>
      </c>
    </row>
    <row r="274" spans="1:9">
      <c r="A274" s="219"/>
      <c r="B274" s="69" t="s">
        <v>1632</v>
      </c>
      <c r="C274" s="69" t="s">
        <v>73</v>
      </c>
      <c r="D274" s="69" t="s">
        <v>23</v>
      </c>
      <c r="E274" s="69" t="s">
        <v>79</v>
      </c>
      <c r="F274" s="69">
        <v>0</v>
      </c>
      <c r="G274" s="69">
        <v>1211.9000000000001</v>
      </c>
      <c r="H274" s="69">
        <v>0</v>
      </c>
      <c r="I274" s="69">
        <v>1211.9000000000001</v>
      </c>
    </row>
    <row r="275" spans="1:9">
      <c r="A275" s="219"/>
      <c r="B275" s="69" t="s">
        <v>1633</v>
      </c>
      <c r="C275" s="69" t="s">
        <v>73</v>
      </c>
      <c r="D275" s="69" t="s">
        <v>23</v>
      </c>
      <c r="E275" s="69" t="s">
        <v>79</v>
      </c>
      <c r="F275" s="69">
        <v>0</v>
      </c>
      <c r="G275" s="69">
        <v>257.39999999999998</v>
      </c>
      <c r="H275" s="69">
        <v>0</v>
      </c>
      <c r="I275" s="69">
        <v>257.39999999999998</v>
      </c>
    </row>
    <row r="276" spans="1:9">
      <c r="A276" s="219"/>
      <c r="B276" s="69" t="s">
        <v>1634</v>
      </c>
      <c r="C276" s="69" t="s">
        <v>73</v>
      </c>
      <c r="D276" s="69" t="s">
        <v>18</v>
      </c>
      <c r="E276" s="69" t="s">
        <v>63</v>
      </c>
      <c r="F276" s="69">
        <v>0</v>
      </c>
      <c r="G276" s="69">
        <v>865</v>
      </c>
      <c r="H276" s="69">
        <v>0</v>
      </c>
      <c r="I276" s="69">
        <v>865</v>
      </c>
    </row>
    <row r="277" spans="1:9">
      <c r="A277" s="219"/>
      <c r="B277" s="69" t="s">
        <v>1635</v>
      </c>
      <c r="C277" s="69" t="s">
        <v>73</v>
      </c>
      <c r="D277" s="69" t="s">
        <v>20</v>
      </c>
      <c r="E277" s="69" t="s">
        <v>76</v>
      </c>
      <c r="F277" s="69">
        <v>0</v>
      </c>
      <c r="G277" s="69">
        <v>257</v>
      </c>
      <c r="H277" s="69">
        <v>0</v>
      </c>
      <c r="I277" s="69">
        <v>257</v>
      </c>
    </row>
    <row r="278" spans="1:9">
      <c r="A278" s="219"/>
      <c r="B278" s="69" t="s">
        <v>1636</v>
      </c>
      <c r="C278" s="69" t="s">
        <v>73</v>
      </c>
      <c r="D278" s="69" t="s">
        <v>23</v>
      </c>
      <c r="E278" s="69" t="s">
        <v>79</v>
      </c>
      <c r="F278" s="69">
        <v>0</v>
      </c>
      <c r="G278" s="69">
        <v>864.9</v>
      </c>
      <c r="H278" s="69">
        <v>0</v>
      </c>
      <c r="I278" s="69">
        <v>864.9</v>
      </c>
    </row>
    <row r="279" spans="1:9">
      <c r="A279" s="219"/>
      <c r="B279" s="69" t="s">
        <v>1637</v>
      </c>
      <c r="C279" s="69" t="s">
        <v>73</v>
      </c>
      <c r="D279" s="69" t="s">
        <v>23</v>
      </c>
      <c r="E279" s="69" t="s">
        <v>79</v>
      </c>
      <c r="F279" s="69">
        <v>0</v>
      </c>
      <c r="G279" s="69">
        <v>122.4</v>
      </c>
      <c r="H279" s="69">
        <v>0</v>
      </c>
      <c r="I279" s="69">
        <v>122.4</v>
      </c>
    </row>
    <row r="280" spans="1:9">
      <c r="A280" s="219"/>
      <c r="B280" s="69" t="s">
        <v>1638</v>
      </c>
      <c r="C280" s="69" t="s">
        <v>73</v>
      </c>
      <c r="D280" s="69" t="s">
        <v>23</v>
      </c>
      <c r="E280" s="69" t="s">
        <v>79</v>
      </c>
      <c r="F280" s="69">
        <v>0</v>
      </c>
      <c r="G280" s="69">
        <v>368</v>
      </c>
      <c r="H280" s="69">
        <v>0</v>
      </c>
      <c r="I280" s="69">
        <v>368</v>
      </c>
    </row>
    <row r="281" spans="1:9">
      <c r="A281" s="219"/>
      <c r="B281" s="69" t="s">
        <v>1639</v>
      </c>
      <c r="C281" s="69" t="s">
        <v>73</v>
      </c>
      <c r="D281" s="69" t="s">
        <v>23</v>
      </c>
      <c r="E281" s="69" t="s">
        <v>79</v>
      </c>
      <c r="F281" s="69">
        <v>0</v>
      </c>
      <c r="G281" s="69">
        <v>540.1</v>
      </c>
      <c r="H281" s="69">
        <v>0</v>
      </c>
      <c r="I281" s="69">
        <v>540.1</v>
      </c>
    </row>
    <row r="282" spans="1:9">
      <c r="A282" s="219"/>
      <c r="B282" s="69" t="s">
        <v>1640</v>
      </c>
      <c r="C282" s="69" t="s">
        <v>73</v>
      </c>
      <c r="D282" s="69" t="s">
        <v>20</v>
      </c>
      <c r="E282" s="69" t="s">
        <v>76</v>
      </c>
      <c r="F282" s="69">
        <v>0</v>
      </c>
      <c r="G282" s="69">
        <v>1321</v>
      </c>
      <c r="H282" s="69">
        <v>0</v>
      </c>
      <c r="I282" s="69">
        <v>1321</v>
      </c>
    </row>
    <row r="283" spans="1:9">
      <c r="A283" s="219"/>
      <c r="B283" s="69" t="s">
        <v>1704</v>
      </c>
      <c r="C283" s="69" t="s">
        <v>73</v>
      </c>
      <c r="D283" s="69" t="s">
        <v>20</v>
      </c>
      <c r="E283" s="69" t="s">
        <v>76</v>
      </c>
      <c r="F283" s="69">
        <v>0</v>
      </c>
      <c r="G283" s="69">
        <v>79</v>
      </c>
      <c r="H283" s="69">
        <v>0</v>
      </c>
      <c r="I283" s="69">
        <v>79</v>
      </c>
    </row>
    <row r="284" spans="1:9">
      <c r="A284" s="219"/>
      <c r="B284" s="69" t="s">
        <v>1705</v>
      </c>
      <c r="C284" s="69" t="s">
        <v>73</v>
      </c>
      <c r="D284" s="69" t="s">
        <v>20</v>
      </c>
      <c r="E284" s="69" t="s">
        <v>76</v>
      </c>
      <c r="F284" s="69">
        <v>0</v>
      </c>
      <c r="G284" s="69">
        <v>1039</v>
      </c>
      <c r="H284" s="69">
        <v>0</v>
      </c>
      <c r="I284" s="69">
        <v>1039</v>
      </c>
    </row>
    <row r="285" spans="1:9">
      <c r="A285" s="219"/>
      <c r="B285" s="69" t="s">
        <v>1706</v>
      </c>
      <c r="C285" s="69" t="s">
        <v>73</v>
      </c>
      <c r="D285" s="69" t="s">
        <v>18</v>
      </c>
      <c r="E285" s="69" t="s">
        <v>63</v>
      </c>
      <c r="F285" s="69">
        <v>0</v>
      </c>
      <c r="G285" s="69">
        <v>704</v>
      </c>
      <c r="H285" s="69">
        <v>0</v>
      </c>
      <c r="I285" s="69">
        <v>704</v>
      </c>
    </row>
    <row r="286" spans="1:9">
      <c r="A286" s="219"/>
      <c r="B286" s="69" t="s">
        <v>1707</v>
      </c>
      <c r="C286" s="69" t="s">
        <v>73</v>
      </c>
      <c r="D286" s="69" t="s">
        <v>20</v>
      </c>
      <c r="E286" s="69" t="s">
        <v>76</v>
      </c>
      <c r="F286" s="69">
        <v>0</v>
      </c>
      <c r="G286" s="69">
        <v>1037</v>
      </c>
      <c r="H286" s="69">
        <v>0</v>
      </c>
      <c r="I286" s="69">
        <v>1037</v>
      </c>
    </row>
    <row r="287" spans="1:9">
      <c r="A287" s="219"/>
      <c r="B287" s="69" t="s">
        <v>1708</v>
      </c>
      <c r="C287" s="69" t="s">
        <v>73</v>
      </c>
      <c r="D287" s="69" t="s">
        <v>18</v>
      </c>
      <c r="E287" s="69" t="s">
        <v>63</v>
      </c>
      <c r="F287" s="69">
        <v>0</v>
      </c>
      <c r="G287" s="69">
        <v>133</v>
      </c>
      <c r="H287" s="69">
        <v>0</v>
      </c>
      <c r="I287" s="69">
        <v>133</v>
      </c>
    </row>
    <row r="288" spans="1:9">
      <c r="A288" s="219"/>
      <c r="B288" s="69" t="s">
        <v>1709</v>
      </c>
      <c r="C288" s="69" t="s">
        <v>73</v>
      </c>
      <c r="D288" s="69" t="s">
        <v>23</v>
      </c>
      <c r="E288" s="69" t="s">
        <v>79</v>
      </c>
      <c r="F288" s="69">
        <v>0</v>
      </c>
      <c r="G288" s="69">
        <v>130.69999999999999</v>
      </c>
      <c r="H288" s="69">
        <v>0</v>
      </c>
      <c r="I288" s="69">
        <v>130.69999999999999</v>
      </c>
    </row>
    <row r="289" spans="1:9">
      <c r="A289" s="219"/>
      <c r="B289" s="69" t="s">
        <v>1710</v>
      </c>
      <c r="C289" s="69" t="s">
        <v>73</v>
      </c>
      <c r="D289" s="69" t="s">
        <v>23</v>
      </c>
      <c r="E289" s="69" t="s">
        <v>79</v>
      </c>
      <c r="F289" s="69">
        <v>0</v>
      </c>
      <c r="G289" s="69">
        <v>519.6</v>
      </c>
      <c r="H289" s="69">
        <v>0</v>
      </c>
      <c r="I289" s="69">
        <v>519.6</v>
      </c>
    </row>
    <row r="290" spans="1:9">
      <c r="A290" s="219"/>
      <c r="B290" s="69" t="s">
        <v>1711</v>
      </c>
      <c r="C290" s="69" t="s">
        <v>73</v>
      </c>
      <c r="D290" s="69" t="s">
        <v>23</v>
      </c>
      <c r="E290" s="69" t="s">
        <v>79</v>
      </c>
      <c r="F290" s="69">
        <v>0</v>
      </c>
      <c r="G290" s="69">
        <v>308.89999999999998</v>
      </c>
      <c r="H290" s="69">
        <v>0</v>
      </c>
      <c r="I290" s="69">
        <v>308.89999999999998</v>
      </c>
    </row>
    <row r="291" spans="1:9">
      <c r="A291" s="219"/>
      <c r="B291" s="69" t="s">
        <v>1837</v>
      </c>
      <c r="C291" s="69" t="s">
        <v>73</v>
      </c>
      <c r="D291" s="69" t="s">
        <v>18</v>
      </c>
      <c r="E291" s="69" t="s">
        <v>63</v>
      </c>
      <c r="F291" s="69">
        <v>0</v>
      </c>
      <c r="G291" s="69">
        <v>1019</v>
      </c>
      <c r="H291" s="69">
        <v>0</v>
      </c>
      <c r="I291" s="69">
        <v>1019</v>
      </c>
    </row>
    <row r="292" spans="1:9">
      <c r="A292" s="219"/>
      <c r="B292" s="69" t="s">
        <v>1838</v>
      </c>
      <c r="C292" s="69" t="s">
        <v>73</v>
      </c>
      <c r="D292" s="69" t="s">
        <v>20</v>
      </c>
      <c r="E292" s="69" t="s">
        <v>76</v>
      </c>
      <c r="F292" s="69">
        <v>0</v>
      </c>
      <c r="G292" s="69">
        <v>428</v>
      </c>
      <c r="H292" s="69">
        <v>0</v>
      </c>
      <c r="I292" s="69">
        <v>428</v>
      </c>
    </row>
    <row r="293" spans="1:9">
      <c r="A293" s="219"/>
      <c r="B293" s="69" t="s">
        <v>1839</v>
      </c>
      <c r="C293" s="69" t="s">
        <v>73</v>
      </c>
      <c r="D293" s="69" t="s">
        <v>23</v>
      </c>
      <c r="E293" s="69" t="s">
        <v>79</v>
      </c>
      <c r="F293" s="69">
        <v>0</v>
      </c>
      <c r="G293" s="69">
        <v>1050.2</v>
      </c>
      <c r="H293" s="69">
        <v>0</v>
      </c>
      <c r="I293" s="69">
        <v>1050.2</v>
      </c>
    </row>
    <row r="294" spans="1:9">
      <c r="A294" s="219"/>
      <c r="B294" s="69" t="s">
        <v>1840</v>
      </c>
      <c r="C294" s="69" t="s">
        <v>73</v>
      </c>
      <c r="D294" s="69" t="s">
        <v>665</v>
      </c>
      <c r="E294" s="69" t="s">
        <v>79</v>
      </c>
      <c r="F294" s="69">
        <v>0</v>
      </c>
      <c r="G294" s="69">
        <v>62.6</v>
      </c>
      <c r="H294" s="69">
        <v>0</v>
      </c>
      <c r="I294" s="69">
        <v>62.6</v>
      </c>
    </row>
    <row r="295" spans="1:9">
      <c r="A295" s="219"/>
      <c r="B295" s="69" t="s">
        <v>1841</v>
      </c>
      <c r="C295" s="69" t="s">
        <v>73</v>
      </c>
      <c r="D295" s="69" t="s">
        <v>23</v>
      </c>
      <c r="E295" s="69" t="s">
        <v>79</v>
      </c>
      <c r="F295" s="69">
        <v>0</v>
      </c>
      <c r="G295" s="69">
        <v>149.5</v>
      </c>
      <c r="H295" s="69">
        <v>0</v>
      </c>
      <c r="I295" s="69">
        <v>149.5</v>
      </c>
    </row>
    <row r="296" spans="1:9">
      <c r="A296" s="219"/>
      <c r="B296" s="69" t="s">
        <v>1842</v>
      </c>
      <c r="C296" s="69" t="s">
        <v>73</v>
      </c>
      <c r="D296" s="69" t="s">
        <v>23</v>
      </c>
      <c r="E296" s="69" t="s">
        <v>79</v>
      </c>
      <c r="F296" s="69">
        <v>0</v>
      </c>
      <c r="G296" s="69">
        <v>344</v>
      </c>
      <c r="H296" s="69">
        <v>0</v>
      </c>
      <c r="I296" s="69">
        <v>344</v>
      </c>
    </row>
    <row r="297" spans="1:9">
      <c r="A297" s="219"/>
      <c r="B297" s="69" t="s">
        <v>1843</v>
      </c>
      <c r="C297" s="69" t="s">
        <v>73</v>
      </c>
      <c r="D297" s="69" t="s">
        <v>23</v>
      </c>
      <c r="E297" s="69" t="s">
        <v>79</v>
      </c>
      <c r="F297" s="69">
        <v>0</v>
      </c>
      <c r="G297" s="69">
        <v>178.4</v>
      </c>
      <c r="H297" s="69">
        <v>0</v>
      </c>
      <c r="I297" s="69">
        <v>178.4</v>
      </c>
    </row>
    <row r="298" spans="1:9">
      <c r="A298" s="219"/>
      <c r="B298" s="69" t="s">
        <v>1844</v>
      </c>
      <c r="C298" s="69" t="s">
        <v>73</v>
      </c>
      <c r="D298" s="69" t="s">
        <v>23</v>
      </c>
      <c r="E298" s="69" t="s">
        <v>79</v>
      </c>
      <c r="F298" s="69">
        <v>0</v>
      </c>
      <c r="G298" s="69">
        <v>72.099999999999994</v>
      </c>
      <c r="H298" s="69">
        <v>0</v>
      </c>
      <c r="I298" s="69">
        <v>72.099999999999994</v>
      </c>
    </row>
    <row r="299" spans="1:9">
      <c r="A299" s="219"/>
      <c r="B299" s="69" t="s">
        <v>1845</v>
      </c>
      <c r="C299" s="69" t="s">
        <v>73</v>
      </c>
      <c r="D299" s="69" t="s">
        <v>20</v>
      </c>
      <c r="E299" s="69" t="s">
        <v>76</v>
      </c>
      <c r="F299" s="69">
        <v>0</v>
      </c>
      <c r="G299" s="69">
        <v>312</v>
      </c>
      <c r="H299" s="69">
        <v>0</v>
      </c>
      <c r="I299" s="69">
        <v>312</v>
      </c>
    </row>
    <row r="300" spans="1:9">
      <c r="A300" s="219"/>
      <c r="B300" s="69" t="s">
        <v>1846</v>
      </c>
      <c r="C300" s="69" t="s">
        <v>73</v>
      </c>
      <c r="D300" s="69" t="s">
        <v>20</v>
      </c>
      <c r="E300" s="69" t="s">
        <v>76</v>
      </c>
      <c r="F300" s="69">
        <v>0</v>
      </c>
      <c r="G300" s="69">
        <v>370</v>
      </c>
      <c r="H300" s="69">
        <v>0</v>
      </c>
      <c r="I300" s="69">
        <v>370</v>
      </c>
    </row>
    <row r="301" spans="1:9">
      <c r="A301" s="219"/>
      <c r="B301" s="69" t="s">
        <v>1847</v>
      </c>
      <c r="C301" s="69" t="s">
        <v>73</v>
      </c>
      <c r="D301" s="69" t="s">
        <v>18</v>
      </c>
      <c r="E301" s="69" t="s">
        <v>63</v>
      </c>
      <c r="F301" s="69">
        <v>0</v>
      </c>
      <c r="G301" s="69">
        <v>276</v>
      </c>
      <c r="H301" s="69">
        <v>0</v>
      </c>
      <c r="I301" s="69">
        <v>276</v>
      </c>
    </row>
    <row r="302" spans="1:9">
      <c r="A302" s="219"/>
      <c r="B302" s="69" t="s">
        <v>1848</v>
      </c>
      <c r="C302" s="69" t="s">
        <v>73</v>
      </c>
      <c r="D302" s="69" t="s">
        <v>23</v>
      </c>
      <c r="E302" s="69" t="s">
        <v>79</v>
      </c>
      <c r="F302" s="69">
        <v>0</v>
      </c>
      <c r="G302" s="69">
        <v>1841.1</v>
      </c>
      <c r="H302" s="69">
        <v>0</v>
      </c>
      <c r="I302" s="69">
        <v>1841.1</v>
      </c>
    </row>
    <row r="303" spans="1:9">
      <c r="A303" s="219"/>
      <c r="B303" s="69" t="s">
        <v>1849</v>
      </c>
      <c r="C303" s="69" t="s">
        <v>73</v>
      </c>
      <c r="D303" s="69" t="s">
        <v>665</v>
      </c>
      <c r="E303" s="69" t="s">
        <v>79</v>
      </c>
      <c r="F303" s="69">
        <v>0</v>
      </c>
      <c r="G303" s="69">
        <v>209.7</v>
      </c>
      <c r="H303" s="69">
        <v>0</v>
      </c>
      <c r="I303" s="69">
        <v>209.7</v>
      </c>
    </row>
    <row r="304" spans="1:9">
      <c r="A304" s="219"/>
      <c r="B304" s="69" t="s">
        <v>1850</v>
      </c>
      <c r="C304" s="69" t="s">
        <v>73</v>
      </c>
      <c r="D304" s="69" t="s">
        <v>23</v>
      </c>
      <c r="E304" s="69" t="s">
        <v>79</v>
      </c>
      <c r="F304" s="69">
        <v>0</v>
      </c>
      <c r="G304" s="69">
        <v>1024.5999999999999</v>
      </c>
      <c r="H304" s="69">
        <v>0</v>
      </c>
      <c r="I304" s="69">
        <v>1024.5999999999999</v>
      </c>
    </row>
    <row r="305" spans="1:9">
      <c r="A305" s="219"/>
      <c r="B305" s="69" t="s">
        <v>770</v>
      </c>
      <c r="C305" s="69" t="s">
        <v>73</v>
      </c>
      <c r="D305" s="69" t="s">
        <v>18</v>
      </c>
      <c r="E305" s="69" t="s">
        <v>63</v>
      </c>
      <c r="F305" s="69">
        <v>0</v>
      </c>
      <c r="G305" s="69">
        <v>1464</v>
      </c>
      <c r="H305" s="69">
        <v>0</v>
      </c>
      <c r="I305" s="69">
        <v>1464</v>
      </c>
    </row>
    <row r="306" spans="1:9">
      <c r="A306" s="219"/>
      <c r="B306" s="69" t="s">
        <v>771</v>
      </c>
      <c r="C306" s="69" t="s">
        <v>73</v>
      </c>
      <c r="D306" s="69" t="s">
        <v>18</v>
      </c>
      <c r="E306" s="69" t="s">
        <v>63</v>
      </c>
      <c r="F306" s="69">
        <v>0</v>
      </c>
      <c r="G306" s="69">
        <v>662</v>
      </c>
      <c r="H306" s="69">
        <v>0</v>
      </c>
      <c r="I306" s="69">
        <v>662</v>
      </c>
    </row>
    <row r="307" spans="1:9">
      <c r="A307" s="219"/>
      <c r="B307" s="69" t="s">
        <v>772</v>
      </c>
      <c r="C307" s="69" t="s">
        <v>73</v>
      </c>
      <c r="D307" s="69" t="s">
        <v>18</v>
      </c>
      <c r="E307" s="69" t="s">
        <v>63</v>
      </c>
      <c r="F307" s="69">
        <v>0</v>
      </c>
      <c r="G307" s="69">
        <v>1461</v>
      </c>
      <c r="H307" s="69">
        <v>0</v>
      </c>
      <c r="I307" s="69">
        <v>1461</v>
      </c>
    </row>
    <row r="308" spans="1:9">
      <c r="A308" s="219"/>
      <c r="B308" s="69" t="s">
        <v>773</v>
      </c>
      <c r="C308" s="69" t="s">
        <v>73</v>
      </c>
      <c r="D308" s="69" t="s">
        <v>18</v>
      </c>
      <c r="E308" s="69" t="s">
        <v>63</v>
      </c>
      <c r="F308" s="69">
        <v>0</v>
      </c>
      <c r="G308" s="69">
        <v>965</v>
      </c>
      <c r="H308" s="69">
        <v>0</v>
      </c>
      <c r="I308" s="69">
        <v>965</v>
      </c>
    </row>
    <row r="309" spans="1:9">
      <c r="A309" s="219"/>
      <c r="B309" s="69"/>
      <c r="C309" s="148" t="s">
        <v>73</v>
      </c>
      <c r="D309" s="148"/>
      <c r="E309" s="148"/>
      <c r="F309" s="148">
        <v>43379</v>
      </c>
      <c r="G309" s="148">
        <v>70373.100000000006</v>
      </c>
      <c r="H309" s="148">
        <v>43231.7</v>
      </c>
      <c r="I309" s="148">
        <v>70520.399999999994</v>
      </c>
    </row>
    <row r="310" spans="1:9">
      <c r="A310" s="219"/>
      <c r="B310" s="69" t="s">
        <v>1851</v>
      </c>
      <c r="C310" s="69" t="s">
        <v>1025</v>
      </c>
      <c r="D310" s="69" t="s">
        <v>214</v>
      </c>
      <c r="E310" s="69" t="s">
        <v>123</v>
      </c>
      <c r="F310" s="69">
        <v>0</v>
      </c>
      <c r="G310" s="69">
        <v>0</v>
      </c>
      <c r="H310" s="69">
        <v>0</v>
      </c>
      <c r="I310" s="69">
        <v>0</v>
      </c>
    </row>
    <row r="311" spans="1:9">
      <c r="A311" s="219"/>
      <c r="B311" s="69" t="s">
        <v>1852</v>
      </c>
      <c r="C311" s="69" t="s">
        <v>1025</v>
      </c>
      <c r="D311" s="69" t="s">
        <v>160</v>
      </c>
      <c r="E311" s="69" t="s">
        <v>81</v>
      </c>
      <c r="F311" s="69">
        <v>0</v>
      </c>
      <c r="G311" s="69">
        <v>0</v>
      </c>
      <c r="H311" s="69">
        <v>0</v>
      </c>
      <c r="I311" s="69">
        <v>0</v>
      </c>
    </row>
    <row r="312" spans="1:9">
      <c r="A312" s="219"/>
      <c r="B312" s="69" t="s">
        <v>1853</v>
      </c>
      <c r="C312" s="69" t="s">
        <v>1025</v>
      </c>
      <c r="D312" s="69" t="s">
        <v>160</v>
      </c>
      <c r="E312" s="69" t="s">
        <v>81</v>
      </c>
      <c r="F312" s="69">
        <v>0</v>
      </c>
      <c r="G312" s="69">
        <v>0</v>
      </c>
      <c r="H312" s="69">
        <v>0</v>
      </c>
      <c r="I312" s="69">
        <v>0</v>
      </c>
    </row>
    <row r="313" spans="1:9">
      <c r="A313" s="219"/>
      <c r="B313" s="69" t="s">
        <v>1854</v>
      </c>
      <c r="C313" s="69" t="s">
        <v>1025</v>
      </c>
      <c r="D313" s="69" t="s">
        <v>160</v>
      </c>
      <c r="E313" s="69" t="s">
        <v>81</v>
      </c>
      <c r="F313" s="69">
        <v>0</v>
      </c>
      <c r="G313" s="69">
        <v>0</v>
      </c>
      <c r="H313" s="69">
        <v>0</v>
      </c>
      <c r="I313" s="69">
        <v>0</v>
      </c>
    </row>
    <row r="314" spans="1:9">
      <c r="A314" s="219"/>
      <c r="B314" s="69" t="s">
        <v>1855</v>
      </c>
      <c r="C314" s="69" t="s">
        <v>1025</v>
      </c>
      <c r="D314" s="69" t="s">
        <v>160</v>
      </c>
      <c r="E314" s="69" t="s">
        <v>81</v>
      </c>
      <c r="F314" s="69">
        <v>0</v>
      </c>
      <c r="G314" s="69">
        <v>0</v>
      </c>
      <c r="H314" s="69">
        <v>0</v>
      </c>
      <c r="I314" s="69">
        <v>0</v>
      </c>
    </row>
    <row r="315" spans="1:9">
      <c r="A315" s="219"/>
      <c r="B315" s="69" t="s">
        <v>1856</v>
      </c>
      <c r="C315" s="69" t="s">
        <v>1025</v>
      </c>
      <c r="D315" s="69" t="s">
        <v>160</v>
      </c>
      <c r="E315" s="69" t="s">
        <v>81</v>
      </c>
      <c r="F315" s="69">
        <v>0</v>
      </c>
      <c r="G315" s="69">
        <v>0</v>
      </c>
      <c r="H315" s="69">
        <v>0</v>
      </c>
      <c r="I315" s="69">
        <v>0</v>
      </c>
    </row>
    <row r="316" spans="1:9">
      <c r="A316" s="219"/>
      <c r="B316" s="69" t="s">
        <v>1857</v>
      </c>
      <c r="C316" s="69" t="s">
        <v>1025</v>
      </c>
      <c r="D316" s="69" t="s">
        <v>160</v>
      </c>
      <c r="E316" s="69" t="s">
        <v>81</v>
      </c>
      <c r="F316" s="69">
        <v>0</v>
      </c>
      <c r="G316" s="69">
        <v>0</v>
      </c>
      <c r="H316" s="69">
        <v>0</v>
      </c>
      <c r="I316" s="69">
        <v>0</v>
      </c>
    </row>
    <row r="317" spans="1:9">
      <c r="A317" s="219"/>
      <c r="B317" s="69" t="s">
        <v>1858</v>
      </c>
      <c r="C317" s="69" t="s">
        <v>1025</v>
      </c>
      <c r="D317" s="69" t="s">
        <v>160</v>
      </c>
      <c r="E317" s="69" t="s">
        <v>81</v>
      </c>
      <c r="F317" s="69">
        <v>0</v>
      </c>
      <c r="G317" s="69">
        <v>0</v>
      </c>
      <c r="H317" s="69">
        <v>0</v>
      </c>
      <c r="I317" s="69">
        <v>0</v>
      </c>
    </row>
    <row r="318" spans="1:9">
      <c r="A318" s="219"/>
      <c r="B318" s="69" t="s">
        <v>1859</v>
      </c>
      <c r="C318" s="69" t="s">
        <v>1025</v>
      </c>
      <c r="D318" s="69" t="s">
        <v>160</v>
      </c>
      <c r="E318" s="69" t="s">
        <v>81</v>
      </c>
      <c r="F318" s="69">
        <v>0</v>
      </c>
      <c r="G318" s="69">
        <v>0</v>
      </c>
      <c r="H318" s="69">
        <v>0</v>
      </c>
      <c r="I318" s="69">
        <v>0</v>
      </c>
    </row>
    <row r="319" spans="1:9">
      <c r="A319" s="219"/>
      <c r="B319" s="69" t="s">
        <v>1860</v>
      </c>
      <c r="C319" s="69" t="s">
        <v>1025</v>
      </c>
      <c r="D319" s="69" t="s">
        <v>160</v>
      </c>
      <c r="E319" s="69" t="s">
        <v>81</v>
      </c>
      <c r="F319" s="69">
        <v>0</v>
      </c>
      <c r="G319" s="69">
        <v>0</v>
      </c>
      <c r="H319" s="69">
        <v>0</v>
      </c>
      <c r="I319" s="69">
        <v>0</v>
      </c>
    </row>
    <row r="320" spans="1:9">
      <c r="A320" s="219"/>
      <c r="B320" s="69" t="s">
        <v>1861</v>
      </c>
      <c r="C320" s="69" t="s">
        <v>1025</v>
      </c>
      <c r="D320" s="69" t="s">
        <v>160</v>
      </c>
      <c r="E320" s="69" t="s">
        <v>81</v>
      </c>
      <c r="F320" s="69">
        <v>0</v>
      </c>
      <c r="G320" s="69">
        <v>0</v>
      </c>
      <c r="H320" s="69">
        <v>0</v>
      </c>
      <c r="I320" s="69">
        <v>0</v>
      </c>
    </row>
    <row r="321" spans="1:9">
      <c r="A321" s="219"/>
      <c r="B321" s="69" t="s">
        <v>1862</v>
      </c>
      <c r="C321" s="69" t="s">
        <v>1025</v>
      </c>
      <c r="D321" s="69" t="s">
        <v>160</v>
      </c>
      <c r="E321" s="69" t="s">
        <v>81</v>
      </c>
      <c r="F321" s="69">
        <v>0</v>
      </c>
      <c r="G321" s="69">
        <v>0</v>
      </c>
      <c r="H321" s="69">
        <v>0</v>
      </c>
      <c r="I321" s="69">
        <v>0</v>
      </c>
    </row>
    <row r="322" spans="1:9">
      <c r="A322" s="219"/>
      <c r="B322" s="69" t="s">
        <v>1863</v>
      </c>
      <c r="C322" s="69" t="s">
        <v>252</v>
      </c>
      <c r="D322" s="69" t="s">
        <v>160</v>
      </c>
      <c r="E322" s="69" t="s">
        <v>81</v>
      </c>
      <c r="F322" s="69">
        <v>0</v>
      </c>
      <c r="G322" s="69">
        <v>0</v>
      </c>
      <c r="H322" s="69">
        <v>0</v>
      </c>
      <c r="I322" s="69">
        <v>0</v>
      </c>
    </row>
    <row r="323" spans="1:9">
      <c r="A323" s="219"/>
      <c r="B323" s="69" t="s">
        <v>1864</v>
      </c>
      <c r="C323" s="69" t="s">
        <v>252</v>
      </c>
      <c r="D323" s="69" t="s">
        <v>160</v>
      </c>
      <c r="E323" s="69" t="s">
        <v>81</v>
      </c>
      <c r="F323" s="69">
        <v>0</v>
      </c>
      <c r="G323" s="69">
        <v>0</v>
      </c>
      <c r="H323" s="69">
        <v>0</v>
      </c>
      <c r="I323" s="69">
        <v>0</v>
      </c>
    </row>
    <row r="324" spans="1:9">
      <c r="A324" s="219"/>
      <c r="B324" s="69" t="s">
        <v>1865</v>
      </c>
      <c r="C324" s="69" t="s">
        <v>252</v>
      </c>
      <c r="D324" s="69" t="s">
        <v>160</v>
      </c>
      <c r="E324" s="69" t="s">
        <v>81</v>
      </c>
      <c r="F324" s="69">
        <v>0</v>
      </c>
      <c r="G324" s="69">
        <v>0</v>
      </c>
      <c r="H324" s="69">
        <v>0</v>
      </c>
      <c r="I324" s="69">
        <v>0</v>
      </c>
    </row>
    <row r="325" spans="1:9">
      <c r="A325" s="219"/>
      <c r="B325" s="69" t="s">
        <v>1866</v>
      </c>
      <c r="C325" s="69" t="s">
        <v>252</v>
      </c>
      <c r="D325" s="69" t="s">
        <v>160</v>
      </c>
      <c r="E325" s="69" t="s">
        <v>81</v>
      </c>
      <c r="F325" s="69">
        <v>0</v>
      </c>
      <c r="G325" s="69">
        <v>0</v>
      </c>
      <c r="H325" s="69">
        <v>0</v>
      </c>
      <c r="I325" s="69">
        <v>0</v>
      </c>
    </row>
    <row r="326" spans="1:9">
      <c r="A326" s="219"/>
      <c r="B326" s="69" t="s">
        <v>1867</v>
      </c>
      <c r="C326" s="69" t="s">
        <v>252</v>
      </c>
      <c r="D326" s="69" t="s">
        <v>160</v>
      </c>
      <c r="E326" s="69" t="s">
        <v>81</v>
      </c>
      <c r="F326" s="69">
        <v>0</v>
      </c>
      <c r="G326" s="69">
        <v>0</v>
      </c>
      <c r="H326" s="69">
        <v>0</v>
      </c>
      <c r="I326" s="69">
        <v>0</v>
      </c>
    </row>
    <row r="327" spans="1:9">
      <c r="A327" s="219"/>
      <c r="B327" s="69" t="s">
        <v>1868</v>
      </c>
      <c r="C327" s="69" t="s">
        <v>252</v>
      </c>
      <c r="D327" s="69" t="s">
        <v>160</v>
      </c>
      <c r="E327" s="69" t="s">
        <v>81</v>
      </c>
      <c r="F327" s="69">
        <v>0</v>
      </c>
      <c r="G327" s="69">
        <v>0</v>
      </c>
      <c r="H327" s="69">
        <v>0</v>
      </c>
      <c r="I327" s="69">
        <v>0</v>
      </c>
    </row>
    <row r="328" spans="1:9">
      <c r="A328" s="219"/>
      <c r="B328" s="69" t="s">
        <v>1869</v>
      </c>
      <c r="C328" s="69" t="s">
        <v>252</v>
      </c>
      <c r="D328" s="69" t="s">
        <v>160</v>
      </c>
      <c r="E328" s="69" t="s">
        <v>81</v>
      </c>
      <c r="F328" s="69">
        <v>0</v>
      </c>
      <c r="G328" s="69">
        <v>0</v>
      </c>
      <c r="H328" s="69">
        <v>0</v>
      </c>
      <c r="I328" s="69">
        <v>0</v>
      </c>
    </row>
    <row r="329" spans="1:9">
      <c r="A329" s="219"/>
      <c r="B329" s="69" t="s">
        <v>1870</v>
      </c>
      <c r="C329" s="69" t="s">
        <v>252</v>
      </c>
      <c r="D329" s="69" t="s">
        <v>160</v>
      </c>
      <c r="E329" s="69" t="s">
        <v>81</v>
      </c>
      <c r="F329" s="69">
        <v>0</v>
      </c>
      <c r="G329" s="69">
        <v>0</v>
      </c>
      <c r="H329" s="69">
        <v>0</v>
      </c>
      <c r="I329" s="69">
        <v>0</v>
      </c>
    </row>
    <row r="330" spans="1:9">
      <c r="A330" s="219"/>
      <c r="B330" s="69" t="s">
        <v>1871</v>
      </c>
      <c r="C330" s="69" t="s">
        <v>252</v>
      </c>
      <c r="D330" s="69" t="s">
        <v>160</v>
      </c>
      <c r="E330" s="69" t="s">
        <v>81</v>
      </c>
      <c r="F330" s="69">
        <v>0</v>
      </c>
      <c r="G330" s="69">
        <v>0</v>
      </c>
      <c r="H330" s="69">
        <v>0</v>
      </c>
      <c r="I330" s="69">
        <v>0</v>
      </c>
    </row>
    <row r="331" spans="1:9">
      <c r="A331" s="219"/>
      <c r="B331" s="69" t="s">
        <v>1872</v>
      </c>
      <c r="C331" s="69" t="s">
        <v>252</v>
      </c>
      <c r="D331" s="69" t="s">
        <v>160</v>
      </c>
      <c r="E331" s="69" t="s">
        <v>81</v>
      </c>
      <c r="F331" s="69">
        <v>0</v>
      </c>
      <c r="G331" s="69">
        <v>0</v>
      </c>
      <c r="H331" s="69">
        <v>0</v>
      </c>
      <c r="I331" s="69">
        <v>0</v>
      </c>
    </row>
    <row r="332" spans="1:9">
      <c r="A332" s="219"/>
      <c r="B332" s="69" t="s">
        <v>1873</v>
      </c>
      <c r="C332" s="69" t="s">
        <v>252</v>
      </c>
      <c r="D332" s="69" t="s">
        <v>160</v>
      </c>
      <c r="E332" s="69" t="s">
        <v>81</v>
      </c>
      <c r="F332" s="69">
        <v>0</v>
      </c>
      <c r="G332" s="69">
        <v>0</v>
      </c>
      <c r="H332" s="69">
        <v>0</v>
      </c>
      <c r="I332" s="69">
        <v>0</v>
      </c>
    </row>
    <row r="333" spans="1:9">
      <c r="A333" s="219"/>
      <c r="B333" s="69" t="s">
        <v>1874</v>
      </c>
      <c r="C333" s="69" t="s">
        <v>252</v>
      </c>
      <c r="D333" s="69" t="s">
        <v>160</v>
      </c>
      <c r="E333" s="69" t="s">
        <v>81</v>
      </c>
      <c r="F333" s="69">
        <v>0</v>
      </c>
      <c r="G333" s="69">
        <v>0</v>
      </c>
      <c r="H333" s="69">
        <v>0</v>
      </c>
      <c r="I333" s="69">
        <v>0</v>
      </c>
    </row>
    <row r="334" spans="1:9">
      <c r="A334" s="219"/>
      <c r="B334" s="69" t="s">
        <v>1875</v>
      </c>
      <c r="C334" s="69" t="s">
        <v>252</v>
      </c>
      <c r="D334" s="69" t="s">
        <v>160</v>
      </c>
      <c r="E334" s="69" t="s">
        <v>81</v>
      </c>
      <c r="F334" s="69">
        <v>0</v>
      </c>
      <c r="G334" s="69">
        <v>0</v>
      </c>
      <c r="H334" s="69">
        <v>0</v>
      </c>
      <c r="I334" s="69">
        <v>0</v>
      </c>
    </row>
    <row r="335" spans="1:9">
      <c r="A335" s="219"/>
      <c r="B335" s="69" t="s">
        <v>1876</v>
      </c>
      <c r="C335" s="69" t="s">
        <v>252</v>
      </c>
      <c r="D335" s="69" t="s">
        <v>160</v>
      </c>
      <c r="E335" s="69" t="s">
        <v>81</v>
      </c>
      <c r="F335" s="69">
        <v>0</v>
      </c>
      <c r="G335" s="69">
        <v>0</v>
      </c>
      <c r="H335" s="69">
        <v>0</v>
      </c>
      <c r="I335" s="69">
        <v>0</v>
      </c>
    </row>
    <row r="336" spans="1:9">
      <c r="A336" s="219"/>
      <c r="B336" s="69" t="s">
        <v>1877</v>
      </c>
      <c r="C336" s="69" t="s">
        <v>252</v>
      </c>
      <c r="D336" s="69" t="s">
        <v>160</v>
      </c>
      <c r="E336" s="69" t="s">
        <v>81</v>
      </c>
      <c r="F336" s="69">
        <v>0</v>
      </c>
      <c r="G336" s="69">
        <v>0</v>
      </c>
      <c r="H336" s="69">
        <v>0</v>
      </c>
      <c r="I336" s="69">
        <v>0</v>
      </c>
    </row>
    <row r="337" spans="1:9">
      <c r="A337" s="219"/>
      <c r="B337" s="69" t="s">
        <v>1878</v>
      </c>
      <c r="C337" s="69" t="s">
        <v>252</v>
      </c>
      <c r="D337" s="69" t="s">
        <v>160</v>
      </c>
      <c r="E337" s="69" t="s">
        <v>81</v>
      </c>
      <c r="F337" s="69">
        <v>0</v>
      </c>
      <c r="G337" s="69">
        <v>0</v>
      </c>
      <c r="H337" s="69">
        <v>0</v>
      </c>
      <c r="I337" s="69">
        <v>0</v>
      </c>
    </row>
    <row r="338" spans="1:9">
      <c r="A338" s="219"/>
      <c r="B338" s="69" t="s">
        <v>1879</v>
      </c>
      <c r="C338" s="69" t="s">
        <v>252</v>
      </c>
      <c r="D338" s="69" t="s">
        <v>160</v>
      </c>
      <c r="E338" s="69" t="s">
        <v>81</v>
      </c>
      <c r="F338" s="69">
        <v>0</v>
      </c>
      <c r="G338" s="69">
        <v>0</v>
      </c>
      <c r="H338" s="69">
        <v>0</v>
      </c>
      <c r="I338" s="69">
        <v>0</v>
      </c>
    </row>
    <row r="339" spans="1:9">
      <c r="A339" s="219"/>
      <c r="B339" s="69" t="s">
        <v>1880</v>
      </c>
      <c r="C339" s="69" t="s">
        <v>252</v>
      </c>
      <c r="D339" s="69" t="s">
        <v>160</v>
      </c>
      <c r="E339" s="69" t="s">
        <v>81</v>
      </c>
      <c r="F339" s="69">
        <v>0</v>
      </c>
      <c r="G339" s="69">
        <v>0</v>
      </c>
      <c r="H339" s="69">
        <v>0</v>
      </c>
      <c r="I339" s="69">
        <v>0</v>
      </c>
    </row>
    <row r="340" spans="1:9">
      <c r="A340" s="219"/>
      <c r="B340" s="69" t="s">
        <v>1881</v>
      </c>
      <c r="C340" s="69" t="s">
        <v>252</v>
      </c>
      <c r="D340" s="69" t="s">
        <v>160</v>
      </c>
      <c r="E340" s="69" t="s">
        <v>81</v>
      </c>
      <c r="F340" s="69">
        <v>0</v>
      </c>
      <c r="G340" s="69">
        <v>0</v>
      </c>
      <c r="H340" s="69">
        <v>0</v>
      </c>
      <c r="I340" s="69">
        <v>0</v>
      </c>
    </row>
    <row r="341" spans="1:9">
      <c r="A341" s="219"/>
      <c r="B341" s="69" t="s">
        <v>1882</v>
      </c>
      <c r="C341" s="69" t="s">
        <v>252</v>
      </c>
      <c r="D341" s="69" t="s">
        <v>160</v>
      </c>
      <c r="E341" s="69" t="s">
        <v>81</v>
      </c>
      <c r="F341" s="69">
        <v>0</v>
      </c>
      <c r="G341" s="69">
        <v>0</v>
      </c>
      <c r="H341" s="69">
        <v>0</v>
      </c>
      <c r="I341" s="69">
        <v>0</v>
      </c>
    </row>
    <row r="342" spans="1:9">
      <c r="A342" s="219"/>
      <c r="B342" s="69" t="s">
        <v>1883</v>
      </c>
      <c r="C342" s="69" t="s">
        <v>252</v>
      </c>
      <c r="D342" s="69" t="s">
        <v>160</v>
      </c>
      <c r="E342" s="69" t="s">
        <v>81</v>
      </c>
      <c r="F342" s="69">
        <v>0</v>
      </c>
      <c r="G342" s="69">
        <v>0</v>
      </c>
      <c r="H342" s="69">
        <v>0</v>
      </c>
      <c r="I342" s="69">
        <v>0</v>
      </c>
    </row>
    <row r="343" spans="1:9">
      <c r="A343" s="219"/>
      <c r="B343" s="69" t="s">
        <v>1884</v>
      </c>
      <c r="C343" s="69" t="s">
        <v>252</v>
      </c>
      <c r="D343" s="69" t="s">
        <v>160</v>
      </c>
      <c r="E343" s="69" t="s">
        <v>81</v>
      </c>
      <c r="F343" s="69">
        <v>0</v>
      </c>
      <c r="G343" s="69">
        <v>0</v>
      </c>
      <c r="H343" s="69">
        <v>0</v>
      </c>
      <c r="I343" s="69">
        <v>0</v>
      </c>
    </row>
    <row r="344" spans="1:9">
      <c r="A344" s="219"/>
      <c r="B344" s="69" t="s">
        <v>1885</v>
      </c>
      <c r="C344" s="69" t="s">
        <v>252</v>
      </c>
      <c r="D344" s="69" t="s">
        <v>160</v>
      </c>
      <c r="E344" s="69" t="s">
        <v>81</v>
      </c>
      <c r="F344" s="69">
        <v>0</v>
      </c>
      <c r="G344" s="69">
        <v>0</v>
      </c>
      <c r="H344" s="69">
        <v>0</v>
      </c>
      <c r="I344" s="69">
        <v>0</v>
      </c>
    </row>
    <row r="345" spans="1:9">
      <c r="A345" s="219"/>
      <c r="B345" s="69" t="s">
        <v>1886</v>
      </c>
      <c r="C345" s="69" t="s">
        <v>252</v>
      </c>
      <c r="D345" s="69" t="s">
        <v>160</v>
      </c>
      <c r="E345" s="69" t="s">
        <v>81</v>
      </c>
      <c r="F345" s="69">
        <v>0</v>
      </c>
      <c r="G345" s="69">
        <v>0</v>
      </c>
      <c r="H345" s="69">
        <v>0</v>
      </c>
      <c r="I345" s="69">
        <v>0</v>
      </c>
    </row>
    <row r="346" spans="1:9">
      <c r="A346" s="219"/>
      <c r="B346" s="69" t="s">
        <v>1887</v>
      </c>
      <c r="C346" s="69" t="s">
        <v>252</v>
      </c>
      <c r="D346" s="69" t="s">
        <v>160</v>
      </c>
      <c r="E346" s="69" t="s">
        <v>81</v>
      </c>
      <c r="F346" s="69">
        <v>0</v>
      </c>
      <c r="G346" s="69">
        <v>0</v>
      </c>
      <c r="H346" s="69">
        <v>0</v>
      </c>
      <c r="I346" s="69">
        <v>0</v>
      </c>
    </row>
    <row r="347" spans="1:9">
      <c r="A347" s="219"/>
      <c r="B347" s="69" t="s">
        <v>1888</v>
      </c>
      <c r="C347" s="69" t="s">
        <v>252</v>
      </c>
      <c r="D347" s="69" t="s">
        <v>160</v>
      </c>
      <c r="E347" s="69" t="s">
        <v>81</v>
      </c>
      <c r="F347" s="69">
        <v>0</v>
      </c>
      <c r="G347" s="69">
        <v>0</v>
      </c>
      <c r="H347" s="69">
        <v>0</v>
      </c>
      <c r="I347" s="69">
        <v>0</v>
      </c>
    </row>
    <row r="348" spans="1:9">
      <c r="A348" s="219"/>
      <c r="B348" s="69" t="s">
        <v>1889</v>
      </c>
      <c r="C348" s="69" t="s">
        <v>252</v>
      </c>
      <c r="D348" s="69" t="s">
        <v>160</v>
      </c>
      <c r="E348" s="69" t="s">
        <v>81</v>
      </c>
      <c r="F348" s="69">
        <v>0</v>
      </c>
      <c r="G348" s="69">
        <v>0</v>
      </c>
      <c r="H348" s="69">
        <v>0</v>
      </c>
      <c r="I348" s="69">
        <v>0</v>
      </c>
    </row>
    <row r="349" spans="1:9">
      <c r="A349" s="219"/>
      <c r="B349" s="69" t="s">
        <v>1890</v>
      </c>
      <c r="C349" s="69" t="s">
        <v>252</v>
      </c>
      <c r="D349" s="69" t="s">
        <v>160</v>
      </c>
      <c r="E349" s="69" t="s">
        <v>81</v>
      </c>
      <c r="F349" s="69">
        <v>0</v>
      </c>
      <c r="G349" s="69">
        <v>0</v>
      </c>
      <c r="H349" s="69">
        <v>0</v>
      </c>
      <c r="I349" s="69">
        <v>0</v>
      </c>
    </row>
    <row r="350" spans="1:9">
      <c r="A350" s="219"/>
      <c r="B350" s="69" t="s">
        <v>1891</v>
      </c>
      <c r="C350" s="69" t="s">
        <v>252</v>
      </c>
      <c r="D350" s="69" t="s">
        <v>160</v>
      </c>
      <c r="E350" s="69" t="s">
        <v>81</v>
      </c>
      <c r="F350" s="69">
        <v>0</v>
      </c>
      <c r="G350" s="69">
        <v>0</v>
      </c>
      <c r="H350" s="69">
        <v>0</v>
      </c>
      <c r="I350" s="69">
        <v>0</v>
      </c>
    </row>
    <row r="351" spans="1:9">
      <c r="A351" s="219"/>
      <c r="B351" s="69" t="s">
        <v>1892</v>
      </c>
      <c r="C351" s="69" t="s">
        <v>252</v>
      </c>
      <c r="D351" s="69" t="s">
        <v>160</v>
      </c>
      <c r="E351" s="69" t="s">
        <v>81</v>
      </c>
      <c r="F351" s="69">
        <v>0</v>
      </c>
      <c r="G351" s="69">
        <v>0</v>
      </c>
      <c r="H351" s="69">
        <v>0</v>
      </c>
      <c r="I351" s="69">
        <v>0</v>
      </c>
    </row>
    <row r="352" spans="1:9">
      <c r="A352" s="219"/>
      <c r="B352" s="69" t="s">
        <v>1893</v>
      </c>
      <c r="C352" s="69" t="s">
        <v>252</v>
      </c>
      <c r="D352" s="69" t="s">
        <v>160</v>
      </c>
      <c r="E352" s="69" t="s">
        <v>81</v>
      </c>
      <c r="F352" s="69">
        <v>0</v>
      </c>
      <c r="G352" s="69">
        <v>0</v>
      </c>
      <c r="H352" s="69">
        <v>0</v>
      </c>
      <c r="I352" s="69">
        <v>0</v>
      </c>
    </row>
    <row r="353" spans="1:9">
      <c r="A353" s="219"/>
      <c r="B353" s="69" t="s">
        <v>1894</v>
      </c>
      <c r="C353" s="69" t="s">
        <v>252</v>
      </c>
      <c r="D353" s="69" t="s">
        <v>160</v>
      </c>
      <c r="E353" s="69" t="s">
        <v>81</v>
      </c>
      <c r="F353" s="69">
        <v>0</v>
      </c>
      <c r="G353" s="69">
        <v>0</v>
      </c>
      <c r="H353" s="69">
        <v>0</v>
      </c>
      <c r="I353" s="69">
        <v>0</v>
      </c>
    </row>
    <row r="354" spans="1:9">
      <c r="A354" s="219"/>
      <c r="B354" s="69" t="s">
        <v>1895</v>
      </c>
      <c r="C354" s="69" t="s">
        <v>252</v>
      </c>
      <c r="D354" s="69" t="s">
        <v>160</v>
      </c>
      <c r="E354" s="69" t="s">
        <v>81</v>
      </c>
      <c r="F354" s="69">
        <v>0</v>
      </c>
      <c r="G354" s="69">
        <v>0</v>
      </c>
      <c r="H354" s="69">
        <v>0</v>
      </c>
      <c r="I354" s="69">
        <v>0</v>
      </c>
    </row>
    <row r="355" spans="1:9">
      <c r="A355" s="219"/>
      <c r="B355" s="69" t="s">
        <v>1896</v>
      </c>
      <c r="C355" s="69" t="s">
        <v>252</v>
      </c>
      <c r="D355" s="69" t="s">
        <v>160</v>
      </c>
      <c r="E355" s="69" t="s">
        <v>81</v>
      </c>
      <c r="F355" s="69">
        <v>0</v>
      </c>
      <c r="G355" s="69">
        <v>0</v>
      </c>
      <c r="H355" s="69">
        <v>0</v>
      </c>
      <c r="I355" s="69">
        <v>0</v>
      </c>
    </row>
    <row r="356" spans="1:9">
      <c r="A356" s="219"/>
      <c r="B356" s="69" t="s">
        <v>1897</v>
      </c>
      <c r="C356" s="69" t="s">
        <v>252</v>
      </c>
      <c r="D356" s="69" t="s">
        <v>160</v>
      </c>
      <c r="E356" s="69" t="s">
        <v>81</v>
      </c>
      <c r="F356" s="69">
        <v>0</v>
      </c>
      <c r="G356" s="69">
        <v>0</v>
      </c>
      <c r="H356" s="69">
        <v>0</v>
      </c>
      <c r="I356" s="69">
        <v>0</v>
      </c>
    </row>
    <row r="357" spans="1:9">
      <c r="A357" s="219"/>
      <c r="B357" s="69" t="s">
        <v>1898</v>
      </c>
      <c r="C357" s="69" t="s">
        <v>252</v>
      </c>
      <c r="D357" s="69" t="s">
        <v>160</v>
      </c>
      <c r="E357" s="69" t="s">
        <v>81</v>
      </c>
      <c r="F357" s="69">
        <v>0</v>
      </c>
      <c r="G357" s="69">
        <v>0</v>
      </c>
      <c r="H357" s="69">
        <v>0</v>
      </c>
      <c r="I357" s="69">
        <v>0</v>
      </c>
    </row>
    <row r="358" spans="1:9">
      <c r="A358" s="219"/>
      <c r="B358" s="69" t="s">
        <v>1899</v>
      </c>
      <c r="C358" s="69" t="s">
        <v>252</v>
      </c>
      <c r="D358" s="69" t="s">
        <v>160</v>
      </c>
      <c r="E358" s="69" t="s">
        <v>81</v>
      </c>
      <c r="F358" s="69">
        <v>0</v>
      </c>
      <c r="G358" s="69">
        <v>0</v>
      </c>
      <c r="H358" s="69">
        <v>0</v>
      </c>
      <c r="I358" s="69">
        <v>0</v>
      </c>
    </row>
    <row r="359" spans="1:9">
      <c r="A359" s="219"/>
      <c r="B359" s="69" t="s">
        <v>1900</v>
      </c>
      <c r="C359" s="69" t="s">
        <v>252</v>
      </c>
      <c r="D359" s="69" t="s">
        <v>160</v>
      </c>
      <c r="E359" s="69" t="s">
        <v>81</v>
      </c>
      <c r="F359" s="69">
        <v>0</v>
      </c>
      <c r="G359" s="69">
        <v>0</v>
      </c>
      <c r="H359" s="69">
        <v>0</v>
      </c>
      <c r="I359" s="69">
        <v>0</v>
      </c>
    </row>
    <row r="360" spans="1:9">
      <c r="A360" s="219"/>
      <c r="B360" s="69" t="s">
        <v>1901</v>
      </c>
      <c r="C360" s="69" t="s">
        <v>252</v>
      </c>
      <c r="D360" s="69" t="s">
        <v>160</v>
      </c>
      <c r="E360" s="69" t="s">
        <v>81</v>
      </c>
      <c r="F360" s="69">
        <v>0</v>
      </c>
      <c r="G360" s="69">
        <v>0</v>
      </c>
      <c r="H360" s="69">
        <v>0</v>
      </c>
      <c r="I360" s="69">
        <v>0</v>
      </c>
    </row>
    <row r="361" spans="1:9">
      <c r="A361" s="219"/>
      <c r="B361" s="69" t="s">
        <v>1902</v>
      </c>
      <c r="C361" s="69" t="s">
        <v>252</v>
      </c>
      <c r="D361" s="69" t="s">
        <v>160</v>
      </c>
      <c r="E361" s="69" t="s">
        <v>81</v>
      </c>
      <c r="F361" s="69">
        <v>0</v>
      </c>
      <c r="G361" s="69">
        <v>0</v>
      </c>
      <c r="H361" s="69">
        <v>0</v>
      </c>
      <c r="I361" s="69">
        <v>0</v>
      </c>
    </row>
    <row r="362" spans="1:9">
      <c r="A362" s="219"/>
      <c r="B362" s="69" t="s">
        <v>1903</v>
      </c>
      <c r="C362" s="69" t="s">
        <v>252</v>
      </c>
      <c r="D362" s="69" t="s">
        <v>214</v>
      </c>
      <c r="E362" s="69" t="s">
        <v>123</v>
      </c>
      <c r="F362" s="69">
        <v>0</v>
      </c>
      <c r="G362" s="69">
        <v>0</v>
      </c>
      <c r="H362" s="69">
        <v>0</v>
      </c>
      <c r="I362" s="69">
        <v>0</v>
      </c>
    </row>
    <row r="363" spans="1:9">
      <c r="A363" s="219"/>
      <c r="B363" s="69" t="s">
        <v>1904</v>
      </c>
      <c r="C363" s="69" t="s">
        <v>252</v>
      </c>
      <c r="D363" s="69" t="s">
        <v>214</v>
      </c>
      <c r="E363" s="69" t="s">
        <v>123</v>
      </c>
      <c r="F363" s="69">
        <v>0</v>
      </c>
      <c r="G363" s="69">
        <v>0</v>
      </c>
      <c r="H363" s="69">
        <v>0</v>
      </c>
      <c r="I363" s="69">
        <v>0</v>
      </c>
    </row>
    <row r="364" spans="1:9">
      <c r="A364" s="219"/>
      <c r="B364" s="69" t="s">
        <v>1905</v>
      </c>
      <c r="C364" s="69" t="s">
        <v>252</v>
      </c>
      <c r="D364" s="69" t="s">
        <v>214</v>
      </c>
      <c r="E364" s="69" t="s">
        <v>123</v>
      </c>
      <c r="F364" s="69">
        <v>0</v>
      </c>
      <c r="G364" s="69">
        <v>0</v>
      </c>
      <c r="H364" s="69">
        <v>0</v>
      </c>
      <c r="I364" s="69">
        <v>0</v>
      </c>
    </row>
    <row r="365" spans="1:9">
      <c r="A365" s="219"/>
      <c r="B365" s="69" t="s">
        <v>1906</v>
      </c>
      <c r="C365" s="69" t="s">
        <v>252</v>
      </c>
      <c r="D365" s="69" t="s">
        <v>214</v>
      </c>
      <c r="E365" s="69" t="s">
        <v>123</v>
      </c>
      <c r="F365" s="69">
        <v>0</v>
      </c>
      <c r="G365" s="69">
        <v>0</v>
      </c>
      <c r="H365" s="69">
        <v>0</v>
      </c>
      <c r="I365" s="69">
        <v>0</v>
      </c>
    </row>
    <row r="366" spans="1:9">
      <c r="A366" s="219"/>
      <c r="B366" s="69" t="s">
        <v>1907</v>
      </c>
      <c r="C366" s="69" t="s">
        <v>252</v>
      </c>
      <c r="D366" s="69" t="s">
        <v>160</v>
      </c>
      <c r="E366" s="69" t="s">
        <v>81</v>
      </c>
      <c r="F366" s="69">
        <v>0</v>
      </c>
      <c r="G366" s="69">
        <v>0</v>
      </c>
      <c r="H366" s="69">
        <v>0</v>
      </c>
      <c r="I366" s="69">
        <v>0</v>
      </c>
    </row>
    <row r="367" spans="1:9">
      <c r="A367" s="219"/>
      <c r="B367" s="69" t="s">
        <v>1908</v>
      </c>
      <c r="C367" s="69" t="s">
        <v>252</v>
      </c>
      <c r="D367" s="69" t="s">
        <v>160</v>
      </c>
      <c r="E367" s="69" t="s">
        <v>81</v>
      </c>
      <c r="F367" s="69">
        <v>0</v>
      </c>
      <c r="G367" s="69">
        <v>0</v>
      </c>
      <c r="H367" s="69">
        <v>0</v>
      </c>
      <c r="I367" s="69">
        <v>0</v>
      </c>
    </row>
    <row r="368" spans="1:9">
      <c r="A368" s="219"/>
      <c r="B368" s="69" t="s">
        <v>1909</v>
      </c>
      <c r="C368" s="69" t="s">
        <v>252</v>
      </c>
      <c r="D368" s="69" t="s">
        <v>214</v>
      </c>
      <c r="E368" s="69" t="s">
        <v>123</v>
      </c>
      <c r="F368" s="69">
        <v>0</v>
      </c>
      <c r="G368" s="69">
        <v>0</v>
      </c>
      <c r="H368" s="69">
        <v>0</v>
      </c>
      <c r="I368" s="69">
        <v>0</v>
      </c>
    </row>
    <row r="369" spans="1:9">
      <c r="A369" s="219"/>
      <c r="B369" s="69" t="s">
        <v>1910</v>
      </c>
      <c r="C369" s="69" t="s">
        <v>252</v>
      </c>
      <c r="D369" s="69" t="s">
        <v>214</v>
      </c>
      <c r="E369" s="69" t="s">
        <v>123</v>
      </c>
      <c r="F369" s="69">
        <v>0</v>
      </c>
      <c r="G369" s="69">
        <v>0</v>
      </c>
      <c r="H369" s="69">
        <v>0</v>
      </c>
      <c r="I369" s="69">
        <v>0</v>
      </c>
    </row>
    <row r="370" spans="1:9">
      <c r="A370" s="219"/>
      <c r="B370" s="69" t="s">
        <v>1911</v>
      </c>
      <c r="C370" s="69" t="s">
        <v>252</v>
      </c>
      <c r="D370" s="69" t="s">
        <v>214</v>
      </c>
      <c r="E370" s="69" t="s">
        <v>123</v>
      </c>
      <c r="F370" s="69">
        <v>0</v>
      </c>
      <c r="G370" s="69">
        <v>0</v>
      </c>
      <c r="H370" s="69">
        <v>0</v>
      </c>
      <c r="I370" s="69">
        <v>0</v>
      </c>
    </row>
    <row r="371" spans="1:9">
      <c r="A371" s="219"/>
      <c r="B371" s="69" t="s">
        <v>1912</v>
      </c>
      <c r="C371" s="69" t="s">
        <v>252</v>
      </c>
      <c r="D371" s="69" t="s">
        <v>214</v>
      </c>
      <c r="E371" s="69" t="s">
        <v>123</v>
      </c>
      <c r="F371" s="69">
        <v>0</v>
      </c>
      <c r="G371" s="69">
        <v>0</v>
      </c>
      <c r="H371" s="69">
        <v>0</v>
      </c>
      <c r="I371" s="69">
        <v>0</v>
      </c>
    </row>
    <row r="372" spans="1:9">
      <c r="A372" s="219"/>
      <c r="B372" s="69" t="s">
        <v>1913</v>
      </c>
      <c r="C372" s="69" t="s">
        <v>252</v>
      </c>
      <c r="D372" s="69" t="s">
        <v>214</v>
      </c>
      <c r="E372" s="69" t="s">
        <v>123</v>
      </c>
      <c r="F372" s="69">
        <v>0</v>
      </c>
      <c r="G372" s="69">
        <v>0</v>
      </c>
      <c r="H372" s="69">
        <v>0</v>
      </c>
      <c r="I372" s="69">
        <v>0</v>
      </c>
    </row>
    <row r="373" spans="1:9">
      <c r="A373" s="219"/>
      <c r="B373" s="69" t="s">
        <v>1914</v>
      </c>
      <c r="C373" s="69" t="s">
        <v>252</v>
      </c>
      <c r="D373" s="69" t="s">
        <v>214</v>
      </c>
      <c r="E373" s="69" t="s">
        <v>123</v>
      </c>
      <c r="F373" s="69">
        <v>0</v>
      </c>
      <c r="G373" s="69">
        <v>0</v>
      </c>
      <c r="H373" s="69">
        <v>0</v>
      </c>
      <c r="I373" s="69">
        <v>0</v>
      </c>
    </row>
    <row r="374" spans="1:9">
      <c r="A374" s="219"/>
      <c r="B374" s="69" t="s">
        <v>1915</v>
      </c>
      <c r="C374" s="69" t="s">
        <v>252</v>
      </c>
      <c r="D374" s="69" t="s">
        <v>214</v>
      </c>
      <c r="E374" s="69" t="s">
        <v>123</v>
      </c>
      <c r="F374" s="69">
        <v>0</v>
      </c>
      <c r="G374" s="69">
        <v>0</v>
      </c>
      <c r="H374" s="69">
        <v>0</v>
      </c>
      <c r="I374" s="69">
        <v>0</v>
      </c>
    </row>
    <row r="375" spans="1:9">
      <c r="A375" s="219"/>
      <c r="B375" s="69" t="s">
        <v>1916</v>
      </c>
      <c r="C375" s="69" t="s">
        <v>252</v>
      </c>
      <c r="D375" s="69" t="s">
        <v>214</v>
      </c>
      <c r="E375" s="69" t="s">
        <v>123</v>
      </c>
      <c r="F375" s="69">
        <v>98</v>
      </c>
      <c r="G375" s="69">
        <v>0</v>
      </c>
      <c r="H375" s="69">
        <v>98</v>
      </c>
      <c r="I375" s="69">
        <v>0</v>
      </c>
    </row>
    <row r="376" spans="1:9">
      <c r="A376" s="219"/>
      <c r="B376" s="69" t="s">
        <v>1917</v>
      </c>
      <c r="C376" s="69" t="s">
        <v>252</v>
      </c>
      <c r="D376" s="69" t="s">
        <v>214</v>
      </c>
      <c r="E376" s="69" t="s">
        <v>123</v>
      </c>
      <c r="F376" s="69">
        <v>0</v>
      </c>
      <c r="G376" s="69">
        <v>0</v>
      </c>
      <c r="H376" s="69">
        <v>0</v>
      </c>
      <c r="I376" s="69">
        <v>0</v>
      </c>
    </row>
    <row r="377" spans="1:9">
      <c r="A377" s="219"/>
      <c r="B377" s="69" t="s">
        <v>1918</v>
      </c>
      <c r="C377" s="69" t="s">
        <v>252</v>
      </c>
      <c r="D377" s="69" t="s">
        <v>214</v>
      </c>
      <c r="E377" s="69" t="s">
        <v>123</v>
      </c>
      <c r="F377" s="69">
        <v>236.6</v>
      </c>
      <c r="G377" s="69">
        <v>0</v>
      </c>
      <c r="H377" s="69">
        <v>236.6</v>
      </c>
      <c r="I377" s="69">
        <v>0</v>
      </c>
    </row>
    <row r="378" spans="1:9">
      <c r="A378" s="219"/>
      <c r="B378" s="69" t="s">
        <v>1919</v>
      </c>
      <c r="C378" s="69" t="s">
        <v>252</v>
      </c>
      <c r="D378" s="69" t="s">
        <v>214</v>
      </c>
      <c r="E378" s="69" t="s">
        <v>123</v>
      </c>
      <c r="F378" s="69">
        <v>0</v>
      </c>
      <c r="G378" s="69">
        <v>0</v>
      </c>
      <c r="H378" s="69">
        <v>0</v>
      </c>
      <c r="I378" s="69">
        <v>0</v>
      </c>
    </row>
    <row r="379" spans="1:9">
      <c r="A379" s="219"/>
      <c r="B379" s="69" t="s">
        <v>1920</v>
      </c>
      <c r="C379" s="69" t="s">
        <v>252</v>
      </c>
      <c r="D379" s="69" t="s">
        <v>214</v>
      </c>
      <c r="E379" s="69" t="s">
        <v>123</v>
      </c>
      <c r="F379" s="69">
        <v>0</v>
      </c>
      <c r="G379" s="69">
        <v>0</v>
      </c>
      <c r="H379" s="69">
        <v>0</v>
      </c>
      <c r="I379" s="69">
        <v>0</v>
      </c>
    </row>
    <row r="380" spans="1:9">
      <c r="A380" s="219"/>
      <c r="B380" s="69" t="s">
        <v>1921</v>
      </c>
      <c r="C380" s="69" t="s">
        <v>252</v>
      </c>
      <c r="D380" s="69" t="s">
        <v>214</v>
      </c>
      <c r="E380" s="69" t="s">
        <v>123</v>
      </c>
      <c r="F380" s="69">
        <v>0</v>
      </c>
      <c r="G380" s="69">
        <v>0</v>
      </c>
      <c r="H380" s="69">
        <v>0</v>
      </c>
      <c r="I380" s="69">
        <v>0</v>
      </c>
    </row>
    <row r="381" spans="1:9">
      <c r="A381" s="219"/>
      <c r="B381" s="69" t="s">
        <v>1922</v>
      </c>
      <c r="C381" s="69" t="s">
        <v>252</v>
      </c>
      <c r="D381" s="69" t="s">
        <v>214</v>
      </c>
      <c r="E381" s="69" t="s">
        <v>123</v>
      </c>
      <c r="F381" s="69">
        <v>0</v>
      </c>
      <c r="G381" s="69">
        <v>582.9</v>
      </c>
      <c r="H381" s="69">
        <v>582.9</v>
      </c>
      <c r="I381" s="69">
        <v>0</v>
      </c>
    </row>
    <row r="382" spans="1:9">
      <c r="A382" s="219"/>
      <c r="B382" s="69" t="s">
        <v>1923</v>
      </c>
      <c r="C382" s="69" t="s">
        <v>252</v>
      </c>
      <c r="D382" s="69" t="s">
        <v>214</v>
      </c>
      <c r="E382" s="69" t="s">
        <v>123</v>
      </c>
      <c r="F382" s="69">
        <v>0</v>
      </c>
      <c r="G382" s="69">
        <v>877.9</v>
      </c>
      <c r="H382" s="69">
        <v>877.9</v>
      </c>
      <c r="I382" s="69">
        <v>0</v>
      </c>
    </row>
    <row r="383" spans="1:9">
      <c r="A383" s="219"/>
      <c r="B383" s="69" t="s">
        <v>1924</v>
      </c>
      <c r="C383" s="69" t="s">
        <v>252</v>
      </c>
      <c r="D383" s="69" t="s">
        <v>214</v>
      </c>
      <c r="E383" s="69" t="s">
        <v>123</v>
      </c>
      <c r="F383" s="69">
        <v>0</v>
      </c>
      <c r="G383" s="69">
        <v>337.5</v>
      </c>
      <c r="H383" s="69">
        <v>337.5</v>
      </c>
      <c r="I383" s="69">
        <v>0</v>
      </c>
    </row>
    <row r="384" spans="1:9">
      <c r="A384" s="219"/>
      <c r="B384" s="69" t="s">
        <v>1925</v>
      </c>
      <c r="C384" s="69" t="s">
        <v>252</v>
      </c>
      <c r="D384" s="69" t="s">
        <v>214</v>
      </c>
      <c r="E384" s="69" t="s">
        <v>123</v>
      </c>
      <c r="F384" s="69">
        <v>0</v>
      </c>
      <c r="G384" s="69">
        <v>356.1</v>
      </c>
      <c r="H384" s="69">
        <v>356.1</v>
      </c>
      <c r="I384" s="69">
        <v>0</v>
      </c>
    </row>
    <row r="385" spans="1:9">
      <c r="A385" s="219"/>
      <c r="B385" s="69" t="s">
        <v>1926</v>
      </c>
      <c r="C385" s="69" t="s">
        <v>252</v>
      </c>
      <c r="D385" s="69" t="s">
        <v>214</v>
      </c>
      <c r="E385" s="69" t="s">
        <v>123</v>
      </c>
      <c r="F385" s="69">
        <v>0</v>
      </c>
      <c r="G385" s="69">
        <v>166.7</v>
      </c>
      <c r="H385" s="69">
        <v>166.7</v>
      </c>
      <c r="I385" s="69">
        <v>0</v>
      </c>
    </row>
    <row r="386" spans="1:9">
      <c r="A386" s="219"/>
      <c r="B386" s="69" t="s">
        <v>1927</v>
      </c>
      <c r="C386" s="69" t="s">
        <v>252</v>
      </c>
      <c r="D386" s="69" t="s">
        <v>214</v>
      </c>
      <c r="E386" s="69" t="s">
        <v>123</v>
      </c>
      <c r="F386" s="69">
        <v>0</v>
      </c>
      <c r="G386" s="69">
        <v>285.60000000000002</v>
      </c>
      <c r="H386" s="69">
        <v>285.60000000000002</v>
      </c>
      <c r="I386" s="69">
        <v>0</v>
      </c>
    </row>
    <row r="387" spans="1:9">
      <c r="A387" s="219"/>
      <c r="B387" s="69" t="s">
        <v>1928</v>
      </c>
      <c r="C387" s="69" t="s">
        <v>252</v>
      </c>
      <c r="D387" s="69" t="s">
        <v>214</v>
      </c>
      <c r="E387" s="69" t="s">
        <v>123</v>
      </c>
      <c r="F387" s="69">
        <v>0</v>
      </c>
      <c r="G387" s="69">
        <v>353.6</v>
      </c>
      <c r="H387" s="69">
        <v>353.6</v>
      </c>
      <c r="I387" s="69">
        <v>0</v>
      </c>
    </row>
    <row r="388" spans="1:9">
      <c r="A388" s="219"/>
      <c r="B388" s="69" t="s">
        <v>1929</v>
      </c>
      <c r="C388" s="69" t="s">
        <v>252</v>
      </c>
      <c r="D388" s="69" t="s">
        <v>214</v>
      </c>
      <c r="E388" s="69" t="s">
        <v>123</v>
      </c>
      <c r="F388" s="69">
        <v>0</v>
      </c>
      <c r="G388" s="69">
        <v>685</v>
      </c>
      <c r="H388" s="69">
        <v>685</v>
      </c>
      <c r="I388" s="69">
        <v>0</v>
      </c>
    </row>
    <row r="389" spans="1:9">
      <c r="A389" s="219"/>
      <c r="B389" s="69" t="s">
        <v>1930</v>
      </c>
      <c r="C389" s="69" t="s">
        <v>252</v>
      </c>
      <c r="D389" s="69" t="s">
        <v>214</v>
      </c>
      <c r="E389" s="69" t="s">
        <v>123</v>
      </c>
      <c r="F389" s="69">
        <v>0</v>
      </c>
      <c r="G389" s="69">
        <v>335.5</v>
      </c>
      <c r="H389" s="69">
        <v>335.5</v>
      </c>
      <c r="I389" s="69">
        <v>0</v>
      </c>
    </row>
    <row r="390" spans="1:9">
      <c r="A390" s="219"/>
      <c r="B390" s="69" t="s">
        <v>1931</v>
      </c>
      <c r="C390" s="69" t="s">
        <v>252</v>
      </c>
      <c r="D390" s="69" t="s">
        <v>214</v>
      </c>
      <c r="E390" s="69" t="s">
        <v>123</v>
      </c>
      <c r="F390" s="69">
        <v>0</v>
      </c>
      <c r="G390" s="69">
        <v>718</v>
      </c>
      <c r="H390" s="69">
        <v>718</v>
      </c>
      <c r="I390" s="69">
        <v>0</v>
      </c>
    </row>
    <row r="391" spans="1:9">
      <c r="A391" s="219"/>
      <c r="B391" s="69" t="s">
        <v>1702</v>
      </c>
      <c r="C391" s="69" t="s">
        <v>252</v>
      </c>
      <c r="D391" s="69" t="s">
        <v>214</v>
      </c>
      <c r="E391" s="69" t="s">
        <v>123</v>
      </c>
      <c r="F391" s="69">
        <v>0</v>
      </c>
      <c r="G391" s="69">
        <v>853.2</v>
      </c>
      <c r="H391" s="69">
        <v>853.2</v>
      </c>
      <c r="I391" s="69">
        <v>0</v>
      </c>
    </row>
    <row r="392" spans="1:9">
      <c r="A392" s="219"/>
      <c r="B392" s="69" t="s">
        <v>1703</v>
      </c>
      <c r="C392" s="69" t="s">
        <v>252</v>
      </c>
      <c r="D392" s="69" t="s">
        <v>214</v>
      </c>
      <c r="E392" s="69" t="s">
        <v>123</v>
      </c>
      <c r="F392" s="69">
        <v>0</v>
      </c>
      <c r="G392" s="69">
        <v>380.4</v>
      </c>
      <c r="H392" s="69">
        <v>380.4</v>
      </c>
      <c r="I392" s="69">
        <v>0</v>
      </c>
    </row>
    <row r="393" spans="1:9">
      <c r="A393" s="219"/>
      <c r="B393" s="69" t="s">
        <v>1932</v>
      </c>
      <c r="C393" s="69" t="s">
        <v>252</v>
      </c>
      <c r="D393" s="69" t="s">
        <v>214</v>
      </c>
      <c r="E393" s="69" t="s">
        <v>123</v>
      </c>
      <c r="F393" s="69">
        <v>0</v>
      </c>
      <c r="G393" s="69">
        <v>319.5</v>
      </c>
      <c r="H393" s="69">
        <v>78</v>
      </c>
      <c r="I393" s="69">
        <v>241.5</v>
      </c>
    </row>
    <row r="394" spans="1:9">
      <c r="A394" s="219"/>
      <c r="B394" s="69" t="s">
        <v>1933</v>
      </c>
      <c r="C394" s="69" t="s">
        <v>252</v>
      </c>
      <c r="D394" s="69" t="s">
        <v>214</v>
      </c>
      <c r="E394" s="69" t="s">
        <v>123</v>
      </c>
      <c r="F394" s="69">
        <v>0</v>
      </c>
      <c r="G394" s="69">
        <v>566.5</v>
      </c>
      <c r="H394" s="69">
        <v>0</v>
      </c>
      <c r="I394" s="69">
        <v>566.5</v>
      </c>
    </row>
    <row r="395" spans="1:9">
      <c r="A395" s="219"/>
      <c r="B395" s="69" t="s">
        <v>1934</v>
      </c>
      <c r="C395" s="69" t="s">
        <v>252</v>
      </c>
      <c r="D395" s="69" t="s">
        <v>214</v>
      </c>
      <c r="E395" s="69" t="s">
        <v>123</v>
      </c>
      <c r="F395" s="69">
        <v>0</v>
      </c>
      <c r="G395" s="69">
        <v>485.7</v>
      </c>
      <c r="H395" s="69">
        <v>0</v>
      </c>
      <c r="I395" s="69">
        <v>485.7</v>
      </c>
    </row>
    <row r="396" spans="1:9">
      <c r="A396" s="219"/>
      <c r="B396" s="69" t="s">
        <v>1935</v>
      </c>
      <c r="C396" s="69" t="s">
        <v>252</v>
      </c>
      <c r="D396" s="69" t="s">
        <v>214</v>
      </c>
      <c r="E396" s="69" t="s">
        <v>123</v>
      </c>
      <c r="F396" s="69">
        <v>0</v>
      </c>
      <c r="G396" s="69">
        <v>533.70000000000005</v>
      </c>
      <c r="H396" s="69">
        <v>533.70000000000005</v>
      </c>
      <c r="I396" s="69">
        <v>0</v>
      </c>
    </row>
    <row r="397" spans="1:9">
      <c r="A397" s="219"/>
      <c r="B397" s="69"/>
      <c r="C397" s="24" t="s">
        <v>1025</v>
      </c>
      <c r="D397" s="24"/>
      <c r="E397" s="24"/>
      <c r="F397" s="24">
        <v>334.6</v>
      </c>
      <c r="G397" s="24">
        <v>7837.8</v>
      </c>
      <c r="H397" s="24">
        <v>6878.7</v>
      </c>
      <c r="I397" s="24">
        <v>1293.7</v>
      </c>
    </row>
    <row r="398" spans="1:9">
      <c r="A398" s="219"/>
      <c r="B398" s="69"/>
      <c r="C398" s="69"/>
      <c r="D398" s="69"/>
      <c r="E398" s="69"/>
      <c r="F398" s="69">
        <v>47080.53</v>
      </c>
      <c r="G398" s="69">
        <v>88069.5</v>
      </c>
      <c r="H398" s="69">
        <v>61757.279999999999</v>
      </c>
      <c r="I398" s="69">
        <v>73392.75</v>
      </c>
    </row>
    <row r="399" spans="1:9">
      <c r="A399" s="219"/>
      <c r="B399" s="219"/>
      <c r="C399" s="219"/>
      <c r="D399" s="219"/>
      <c r="E399" s="219"/>
      <c r="F399" s="219"/>
      <c r="G399" s="219"/>
      <c r="H399" s="219"/>
      <c r="I399" s="219"/>
    </row>
  </sheetData>
  <mergeCells count="1">
    <mergeCell ref="A1:I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J162"/>
  <sheetViews>
    <sheetView workbookViewId="0">
      <selection activeCell="E19" sqref="E19"/>
    </sheetView>
  </sheetViews>
  <sheetFormatPr defaultRowHeight="15"/>
  <cols>
    <col min="2" max="2" width="29.42578125" bestFit="1" customWidth="1"/>
    <col min="3" max="3" width="33.42578125" customWidth="1"/>
    <col min="4" max="4" width="19" customWidth="1"/>
    <col min="5" max="5" width="17" customWidth="1"/>
    <col min="6" max="6" width="15.7109375" bestFit="1" customWidth="1"/>
    <col min="7" max="7" width="19" customWidth="1"/>
    <col min="8" max="8" width="22.5703125" style="28" customWidth="1"/>
    <col min="9" max="9" width="11.7109375" bestFit="1" customWidth="1"/>
    <col min="10" max="10" width="9.85546875" bestFit="1" customWidth="1"/>
  </cols>
  <sheetData>
    <row r="1" spans="1:8">
      <c r="A1" s="30"/>
      <c r="B1" s="84" t="s">
        <v>157</v>
      </c>
      <c r="C1" s="84" t="s">
        <v>216</v>
      </c>
      <c r="D1" s="84" t="s">
        <v>217</v>
      </c>
      <c r="E1" s="84" t="s">
        <v>218</v>
      </c>
      <c r="F1" s="84" t="s">
        <v>219</v>
      </c>
      <c r="G1" s="84" t="s">
        <v>220</v>
      </c>
    </row>
    <row r="2" spans="1:8">
      <c r="A2" s="80"/>
      <c r="B2" s="33" t="s">
        <v>159</v>
      </c>
      <c r="C2" s="33" t="s">
        <v>87</v>
      </c>
      <c r="D2" s="81" t="s">
        <v>426</v>
      </c>
      <c r="E2" s="86" t="s">
        <v>225</v>
      </c>
      <c r="F2" s="83" t="s">
        <v>427</v>
      </c>
      <c r="G2" s="82">
        <v>1268638681.3699999</v>
      </c>
      <c r="H2" s="31" t="s">
        <v>223</v>
      </c>
    </row>
    <row r="3" spans="1:8">
      <c r="A3" s="80"/>
      <c r="B3" s="33" t="s">
        <v>159</v>
      </c>
      <c r="C3" s="33" t="s">
        <v>61</v>
      </c>
      <c r="D3" s="81" t="s">
        <v>428</v>
      </c>
      <c r="E3" s="86" t="s">
        <v>429</v>
      </c>
      <c r="F3" s="86" t="s">
        <v>225</v>
      </c>
      <c r="G3" s="82">
        <v>379445104.51999998</v>
      </c>
      <c r="H3" s="31" t="s">
        <v>224</v>
      </c>
    </row>
    <row r="4" spans="1:8">
      <c r="D4" s="28"/>
      <c r="E4" s="28"/>
      <c r="F4" s="28"/>
      <c r="G4" s="32">
        <f>+G2-G3</f>
        <v>889193576.8499999</v>
      </c>
    </row>
    <row r="5" spans="1:8">
      <c r="D5" s="28"/>
      <c r="E5" s="28"/>
      <c r="F5" s="28"/>
      <c r="G5" s="28"/>
    </row>
    <row r="6" spans="1:8">
      <c r="D6" s="28"/>
      <c r="E6" s="28"/>
      <c r="F6" s="28"/>
      <c r="G6" s="28"/>
    </row>
    <row r="7" spans="1:8">
      <c r="A7" s="30"/>
      <c r="B7" s="84" t="s">
        <v>157</v>
      </c>
      <c r="C7" s="84" t="s">
        <v>216</v>
      </c>
      <c r="D7" s="84" t="s">
        <v>217</v>
      </c>
      <c r="E7" s="84" t="s">
        <v>218</v>
      </c>
      <c r="F7" s="84" t="s">
        <v>219</v>
      </c>
      <c r="G7" s="84" t="s">
        <v>220</v>
      </c>
    </row>
    <row r="8" spans="1:8">
      <c r="A8" s="80"/>
      <c r="B8" s="33" t="s">
        <v>302</v>
      </c>
      <c r="C8" s="33" t="s">
        <v>221</v>
      </c>
      <c r="D8" s="81" t="s">
        <v>430</v>
      </c>
      <c r="E8" s="86" t="s">
        <v>225</v>
      </c>
      <c r="F8" s="86" t="s">
        <v>431</v>
      </c>
      <c r="G8" s="82">
        <v>485516110.17000002</v>
      </c>
      <c r="H8" s="31" t="s">
        <v>223</v>
      </c>
    </row>
    <row r="9" spans="1:8">
      <c r="A9" s="80"/>
      <c r="B9" s="33" t="s">
        <v>302</v>
      </c>
      <c r="C9" s="33" t="s">
        <v>222</v>
      </c>
      <c r="D9" s="81" t="s">
        <v>432</v>
      </c>
      <c r="E9" s="83" t="s">
        <v>433</v>
      </c>
      <c r="F9" s="86" t="s">
        <v>225</v>
      </c>
      <c r="G9" s="82">
        <v>1374942779.9200001</v>
      </c>
      <c r="H9" s="31" t="s">
        <v>224</v>
      </c>
    </row>
    <row r="10" spans="1:8">
      <c r="D10" s="4">
        <f>1330150595.08-1223846496.54</f>
        <v>106304098.53999996</v>
      </c>
      <c r="F10">
        <f>4608566.14-4374485</f>
        <v>234081.13999999966</v>
      </c>
      <c r="G10">
        <f>+G8-G9</f>
        <v>-889426669.75</v>
      </c>
    </row>
    <row r="11" spans="1:8">
      <c r="D11" s="4">
        <f>481141625.17-374836538.38</f>
        <v>106305086.79000002</v>
      </c>
      <c r="E11" s="484" t="s">
        <v>412</v>
      </c>
      <c r="F11" s="484"/>
      <c r="G11" s="15">
        <f>+G4+G10</f>
        <v>-233092.90000009537</v>
      </c>
      <c r="H11" s="28" t="s">
        <v>228</v>
      </c>
    </row>
    <row r="12" spans="1:8">
      <c r="D12" s="4">
        <f>+D10-D11</f>
        <v>-988.25000005960464</v>
      </c>
      <c r="E12" s="4"/>
      <c r="H12" s="28">
        <f>233092+55872</f>
        <v>288964</v>
      </c>
    </row>
    <row r="14" spans="1:8">
      <c r="A14" s="12"/>
      <c r="B14" s="26" t="s">
        <v>157</v>
      </c>
      <c r="C14" s="26" t="s">
        <v>216</v>
      </c>
      <c r="D14" s="26" t="s">
        <v>217</v>
      </c>
      <c r="E14" s="26" t="s">
        <v>218</v>
      </c>
      <c r="F14" s="26" t="s">
        <v>219</v>
      </c>
      <c r="G14" s="26" t="s">
        <v>220</v>
      </c>
    </row>
    <row r="15" spans="1:8">
      <c r="A15" s="13"/>
      <c r="B15" s="70" t="s">
        <v>159</v>
      </c>
      <c r="C15" s="81" t="s">
        <v>89</v>
      </c>
      <c r="D15" s="70" t="s">
        <v>434</v>
      </c>
      <c r="E15" s="70" t="s">
        <v>225</v>
      </c>
      <c r="F15" s="70" t="s">
        <v>435</v>
      </c>
      <c r="G15" s="61">
        <v>348978163.75999999</v>
      </c>
      <c r="H15" s="35" t="s">
        <v>223</v>
      </c>
    </row>
    <row r="16" spans="1:8">
      <c r="A16" s="13"/>
      <c r="B16" s="70" t="s">
        <v>159</v>
      </c>
      <c r="C16" s="81" t="s">
        <v>226</v>
      </c>
      <c r="D16" s="70" t="s">
        <v>436</v>
      </c>
      <c r="E16" s="70" t="s">
        <v>225</v>
      </c>
      <c r="F16" s="70" t="s">
        <v>225</v>
      </c>
      <c r="G16" s="61">
        <v>58858392.100000001</v>
      </c>
      <c r="H16" s="35" t="s">
        <v>224</v>
      </c>
    </row>
    <row r="17" spans="1:8">
      <c r="G17" s="15">
        <f>+G15-G16</f>
        <v>290119771.65999997</v>
      </c>
    </row>
    <row r="19" spans="1:8">
      <c r="A19" s="12"/>
      <c r="B19" s="26" t="s">
        <v>157</v>
      </c>
      <c r="C19" s="26" t="s">
        <v>216</v>
      </c>
      <c r="D19" s="26" t="s">
        <v>217</v>
      </c>
      <c r="E19" s="26" t="s">
        <v>218</v>
      </c>
      <c r="F19" s="26" t="s">
        <v>219</v>
      </c>
      <c r="G19" s="26" t="s">
        <v>220</v>
      </c>
    </row>
    <row r="20" spans="1:8">
      <c r="A20" s="13"/>
      <c r="B20" s="70" t="s">
        <v>227</v>
      </c>
      <c r="C20" s="70" t="s">
        <v>221</v>
      </c>
      <c r="D20" s="70" t="s">
        <v>437</v>
      </c>
      <c r="E20" s="70" t="s">
        <v>225</v>
      </c>
      <c r="F20" s="70" t="s">
        <v>225</v>
      </c>
      <c r="G20" s="61">
        <v>7704932.1299999999</v>
      </c>
      <c r="H20" s="35" t="s">
        <v>224</v>
      </c>
    </row>
    <row r="21" spans="1:8">
      <c r="A21" s="13"/>
      <c r="B21" s="70" t="s">
        <v>227</v>
      </c>
      <c r="C21" s="70" t="s">
        <v>222</v>
      </c>
      <c r="D21" s="70" t="s">
        <v>438</v>
      </c>
      <c r="E21" s="70" t="s">
        <v>439</v>
      </c>
      <c r="F21" s="70" t="s">
        <v>225</v>
      </c>
      <c r="G21" s="61">
        <v>282414841.50999999</v>
      </c>
      <c r="H21" s="35" t="s">
        <v>224</v>
      </c>
    </row>
    <row r="22" spans="1:8">
      <c r="D22" s="4"/>
      <c r="G22" s="15">
        <f>+G21+G20</f>
        <v>290119773.63999999</v>
      </c>
    </row>
    <row r="23" spans="1:8">
      <c r="G23" s="15">
        <f>+G17-G22</f>
        <v>-1.9800000190734863</v>
      </c>
      <c r="H23" s="28" t="s">
        <v>228</v>
      </c>
    </row>
    <row r="26" spans="1:8">
      <c r="A26" s="30"/>
      <c r="B26" s="84" t="s">
        <v>157</v>
      </c>
      <c r="C26" s="84" t="s">
        <v>216</v>
      </c>
      <c r="D26" s="84" t="s">
        <v>217</v>
      </c>
      <c r="E26" s="84" t="s">
        <v>218</v>
      </c>
      <c r="F26" s="84" t="s">
        <v>219</v>
      </c>
      <c r="G26" s="84" t="s">
        <v>220</v>
      </c>
    </row>
    <row r="27" spans="1:8">
      <c r="A27" s="80"/>
      <c r="B27" s="33" t="s">
        <v>159</v>
      </c>
      <c r="C27" s="33" t="s">
        <v>94</v>
      </c>
      <c r="D27" s="81" t="s">
        <v>391</v>
      </c>
      <c r="E27" s="81" t="s">
        <v>225</v>
      </c>
      <c r="F27" s="81" t="s">
        <v>440</v>
      </c>
      <c r="G27" s="61">
        <v>390981903.16000003</v>
      </c>
      <c r="H27" s="77" t="s">
        <v>223</v>
      </c>
    </row>
    <row r="28" spans="1:8">
      <c r="A28" s="80"/>
      <c r="B28" s="33" t="s">
        <v>159</v>
      </c>
      <c r="C28" s="33" t="s">
        <v>73</v>
      </c>
      <c r="D28" s="81" t="s">
        <v>385</v>
      </c>
      <c r="E28" s="86" t="s">
        <v>441</v>
      </c>
      <c r="F28" s="81" t="s">
        <v>442</v>
      </c>
      <c r="G28" s="61">
        <v>285961213.89999998</v>
      </c>
      <c r="H28" s="77" t="s">
        <v>224</v>
      </c>
    </row>
    <row r="29" spans="1:8">
      <c r="G29" s="15">
        <f>+G27-G28</f>
        <v>105020689.26000005</v>
      </c>
    </row>
    <row r="31" spans="1:8">
      <c r="A31" s="30"/>
      <c r="B31" s="84" t="s">
        <v>157</v>
      </c>
      <c r="C31" s="84" t="s">
        <v>216</v>
      </c>
      <c r="D31" s="84" t="s">
        <v>217</v>
      </c>
      <c r="E31" s="84" t="s">
        <v>218</v>
      </c>
      <c r="F31" s="84" t="s">
        <v>219</v>
      </c>
      <c r="G31" s="84" t="s">
        <v>220</v>
      </c>
    </row>
    <row r="32" spans="1:8">
      <c r="A32" s="80"/>
      <c r="B32" s="33" t="s">
        <v>303</v>
      </c>
      <c r="C32" s="33" t="s">
        <v>221</v>
      </c>
      <c r="D32" s="81" t="s">
        <v>443</v>
      </c>
      <c r="E32" s="86" t="s">
        <v>444</v>
      </c>
      <c r="F32" s="86" t="s">
        <v>445</v>
      </c>
      <c r="G32" s="61">
        <v>290812328.31999999</v>
      </c>
      <c r="H32" s="77" t="s">
        <v>223</v>
      </c>
    </row>
    <row r="33" spans="1:8">
      <c r="A33" s="80"/>
      <c r="B33" s="33" t="s">
        <v>303</v>
      </c>
      <c r="C33" s="33" t="s">
        <v>222</v>
      </c>
      <c r="D33" s="81" t="s">
        <v>446</v>
      </c>
      <c r="E33" s="81" t="s">
        <v>447</v>
      </c>
      <c r="F33" s="81" t="s">
        <v>225</v>
      </c>
      <c r="G33" s="61">
        <v>394155561.94</v>
      </c>
      <c r="H33" s="77" t="s">
        <v>224</v>
      </c>
    </row>
    <row r="34" spans="1:8">
      <c r="E34" t="s">
        <v>231</v>
      </c>
      <c r="G34" s="15">
        <f>+G33-G32</f>
        <v>103343233.62</v>
      </c>
    </row>
    <row r="35" spans="1:8">
      <c r="F35" t="s">
        <v>231</v>
      </c>
      <c r="G35" s="15">
        <f>+G29-G34</f>
        <v>1677455.6400000453</v>
      </c>
    </row>
    <row r="37" spans="1:8">
      <c r="A37" s="12"/>
      <c r="B37" s="26" t="s">
        <v>157</v>
      </c>
      <c r="C37" s="26" t="s">
        <v>216</v>
      </c>
      <c r="D37" s="26" t="s">
        <v>217</v>
      </c>
      <c r="E37" s="26" t="s">
        <v>218</v>
      </c>
      <c r="F37" s="26" t="s">
        <v>219</v>
      </c>
      <c r="G37" s="26" t="s">
        <v>220</v>
      </c>
    </row>
    <row r="38" spans="1:8" ht="30">
      <c r="A38" s="13"/>
      <c r="B38" s="70" t="s">
        <v>159</v>
      </c>
      <c r="C38" s="70" t="s">
        <v>90</v>
      </c>
      <c r="D38" s="70" t="s">
        <v>388</v>
      </c>
      <c r="E38" s="81" t="s">
        <v>225</v>
      </c>
      <c r="F38" s="83" t="s">
        <v>448</v>
      </c>
      <c r="G38" s="82">
        <v>34100165.75</v>
      </c>
      <c r="H38" s="35" t="s">
        <v>223</v>
      </c>
    </row>
    <row r="39" spans="1:8">
      <c r="A39" s="13"/>
      <c r="B39" s="70" t="s">
        <v>159</v>
      </c>
      <c r="C39" s="70" t="s">
        <v>55</v>
      </c>
      <c r="D39" s="70" t="s">
        <v>383</v>
      </c>
      <c r="E39" s="81" t="s">
        <v>225</v>
      </c>
      <c r="F39" s="81" t="s">
        <v>225</v>
      </c>
      <c r="G39" s="82">
        <v>13926708.33</v>
      </c>
      <c r="H39" s="35" t="s">
        <v>224</v>
      </c>
    </row>
    <row r="40" spans="1:8">
      <c r="G40" s="79">
        <f>+G38-G39</f>
        <v>20173457.420000002</v>
      </c>
    </row>
    <row r="41" spans="1:8">
      <c r="D41" t="s">
        <v>231</v>
      </c>
    </row>
    <row r="42" spans="1:8">
      <c r="A42" s="12"/>
      <c r="B42" s="26" t="s">
        <v>157</v>
      </c>
      <c r="C42" s="26" t="s">
        <v>216</v>
      </c>
      <c r="D42" s="26" t="s">
        <v>217</v>
      </c>
      <c r="E42" s="26" t="s">
        <v>218</v>
      </c>
      <c r="F42" s="26" t="s">
        <v>219</v>
      </c>
      <c r="G42" s="26" t="s">
        <v>220</v>
      </c>
    </row>
    <row r="43" spans="1:8" ht="30">
      <c r="A43" s="13"/>
      <c r="B43" s="70" t="s">
        <v>424</v>
      </c>
      <c r="C43" s="70" t="s">
        <v>221</v>
      </c>
      <c r="D43" s="70" t="s">
        <v>449</v>
      </c>
      <c r="E43" s="81" t="s">
        <v>225</v>
      </c>
      <c r="F43" s="81" t="s">
        <v>225</v>
      </c>
      <c r="G43" s="82">
        <v>13926677.300000001</v>
      </c>
      <c r="H43" s="35" t="s">
        <v>223</v>
      </c>
    </row>
    <row r="44" spans="1:8" ht="30">
      <c r="A44" s="13"/>
      <c r="B44" s="70" t="s">
        <v>424</v>
      </c>
      <c r="C44" s="70" t="s">
        <v>222</v>
      </c>
      <c r="D44" s="70" t="s">
        <v>450</v>
      </c>
      <c r="E44" s="83" t="s">
        <v>451</v>
      </c>
      <c r="F44" s="81" t="s">
        <v>225</v>
      </c>
      <c r="G44" s="82">
        <v>34098302.159999996</v>
      </c>
      <c r="H44" s="35" t="s">
        <v>224</v>
      </c>
    </row>
    <row r="45" spans="1:8">
      <c r="G45" s="79">
        <f>+G43-G44</f>
        <v>-20171624.859999996</v>
      </c>
    </row>
    <row r="46" spans="1:8">
      <c r="D46" s="4"/>
      <c r="G46">
        <f>+G45+G40</f>
        <v>1832.5600000061095</v>
      </c>
      <c r="H46" s="28" t="s">
        <v>231</v>
      </c>
    </row>
    <row r="47" spans="1:8">
      <c r="D47" t="s">
        <v>231</v>
      </c>
    </row>
    <row r="48" spans="1:8">
      <c r="A48" s="12"/>
      <c r="B48" s="26" t="s">
        <v>157</v>
      </c>
      <c r="C48" s="26" t="s">
        <v>216</v>
      </c>
      <c r="D48" s="84" t="s">
        <v>217</v>
      </c>
      <c r="E48" s="84" t="s">
        <v>218</v>
      </c>
      <c r="F48" s="84" t="s">
        <v>219</v>
      </c>
      <c r="G48" s="84" t="s">
        <v>220</v>
      </c>
    </row>
    <row r="49" spans="1:10">
      <c r="A49" s="13"/>
      <c r="B49" s="70" t="s">
        <v>159</v>
      </c>
      <c r="C49" s="70" t="s">
        <v>93</v>
      </c>
      <c r="D49" s="70" t="s">
        <v>389</v>
      </c>
      <c r="E49" s="87" t="s">
        <v>452</v>
      </c>
      <c r="F49" s="87" t="s">
        <v>453</v>
      </c>
      <c r="G49" s="61">
        <v>56376748.509999998</v>
      </c>
      <c r="H49" s="28" t="s">
        <v>379</v>
      </c>
    </row>
    <row r="50" spans="1:10">
      <c r="A50" s="13"/>
      <c r="B50" s="70" t="s">
        <v>159</v>
      </c>
      <c r="C50" s="70" t="s">
        <v>78</v>
      </c>
      <c r="D50" s="70" t="s">
        <v>384</v>
      </c>
      <c r="E50" s="85" t="s">
        <v>454</v>
      </c>
      <c r="F50" s="85" t="s">
        <v>455</v>
      </c>
      <c r="G50" s="61">
        <v>17529554.129999999</v>
      </c>
      <c r="H50" s="28" t="s">
        <v>378</v>
      </c>
    </row>
    <row r="51" spans="1:10">
      <c r="B51" s="68"/>
      <c r="C51" s="68"/>
      <c r="G51" s="15">
        <f>+G49-G50</f>
        <v>38847194.379999995</v>
      </c>
    </row>
    <row r="52" spans="1:10">
      <c r="B52" s="68"/>
      <c r="C52" s="68"/>
    </row>
    <row r="53" spans="1:10">
      <c r="A53" s="12"/>
      <c r="B53" s="26" t="s">
        <v>157</v>
      </c>
      <c r="C53" s="26" t="s">
        <v>216</v>
      </c>
      <c r="D53" s="84" t="s">
        <v>217</v>
      </c>
      <c r="E53" s="84" t="s">
        <v>218</v>
      </c>
      <c r="F53" s="84" t="s">
        <v>219</v>
      </c>
      <c r="G53" s="84" t="s">
        <v>220</v>
      </c>
    </row>
    <row r="54" spans="1:10">
      <c r="A54" s="13"/>
      <c r="B54" s="70" t="s">
        <v>304</v>
      </c>
      <c r="C54" s="70" t="s">
        <v>221</v>
      </c>
      <c r="D54" s="70" t="s">
        <v>456</v>
      </c>
      <c r="E54" s="85" t="s">
        <v>457</v>
      </c>
      <c r="F54" s="85" t="s">
        <v>458</v>
      </c>
      <c r="G54" s="61">
        <v>23809422.859999999</v>
      </c>
      <c r="H54" s="28" t="s">
        <v>379</v>
      </c>
    </row>
    <row r="55" spans="1:10">
      <c r="A55" s="13"/>
      <c r="B55" s="70" t="s">
        <v>304</v>
      </c>
      <c r="C55" s="70" t="s">
        <v>222</v>
      </c>
      <c r="D55" s="70" t="s">
        <v>459</v>
      </c>
      <c r="E55" s="87" t="s">
        <v>460</v>
      </c>
      <c r="F55" s="87" t="s">
        <v>461</v>
      </c>
      <c r="G55" s="61">
        <v>56456651.57</v>
      </c>
      <c r="H55" s="28" t="s">
        <v>378</v>
      </c>
    </row>
    <row r="56" spans="1:10">
      <c r="G56" s="15">
        <f>+G54-G55</f>
        <v>-32647228.710000001</v>
      </c>
      <c r="H56" s="28" t="s">
        <v>414</v>
      </c>
    </row>
    <row r="57" spans="1:10">
      <c r="G57">
        <f>+G51+G56</f>
        <v>6199965.6699999943</v>
      </c>
      <c r="H57" s="78">
        <v>6278825.8200000077</v>
      </c>
      <c r="I57">
        <f>+H57-G57</f>
        <v>78860.150000013411</v>
      </c>
      <c r="J57" t="s">
        <v>413</v>
      </c>
    </row>
    <row r="58" spans="1:10">
      <c r="I58">
        <v>78860.050000019372</v>
      </c>
    </row>
    <row r="59" spans="1:10" s="27" customFormat="1">
      <c r="A59" s="30"/>
      <c r="B59" s="84" t="s">
        <v>157</v>
      </c>
      <c r="C59" s="84" t="s">
        <v>216</v>
      </c>
      <c r="D59" s="84" t="s">
        <v>217</v>
      </c>
      <c r="E59" s="84" t="s">
        <v>218</v>
      </c>
      <c r="F59" s="84" t="s">
        <v>219</v>
      </c>
      <c r="G59" s="84" t="s">
        <v>220</v>
      </c>
      <c r="H59" s="28"/>
    </row>
    <row r="60" spans="1:10" s="27" customFormat="1">
      <c r="A60" s="80"/>
      <c r="B60" s="33" t="s">
        <v>159</v>
      </c>
      <c r="C60" s="33" t="s">
        <v>229</v>
      </c>
      <c r="D60" s="81" t="s">
        <v>225</v>
      </c>
      <c r="E60" s="81" t="s">
        <v>225</v>
      </c>
      <c r="F60" s="81" t="s">
        <v>225</v>
      </c>
      <c r="G60" s="81" t="s">
        <v>225</v>
      </c>
      <c r="H60" s="28"/>
    </row>
    <row r="61" spans="1:10" s="27" customFormat="1">
      <c r="A61" s="80"/>
      <c r="B61" s="33" t="s">
        <v>159</v>
      </c>
      <c r="C61" s="33" t="s">
        <v>66</v>
      </c>
      <c r="D61" s="81" t="s">
        <v>462</v>
      </c>
      <c r="E61" s="83" t="s">
        <v>463</v>
      </c>
      <c r="F61" s="81" t="s">
        <v>464</v>
      </c>
      <c r="G61" s="82">
        <v>142405807.03999999</v>
      </c>
      <c r="H61" s="77" t="s">
        <v>224</v>
      </c>
    </row>
    <row r="64" spans="1:10" s="27" customFormat="1">
      <c r="A64" s="30"/>
      <c r="B64" s="84" t="s">
        <v>157</v>
      </c>
      <c r="C64" s="84" t="s">
        <v>216</v>
      </c>
      <c r="D64" s="84" t="s">
        <v>217</v>
      </c>
      <c r="E64" s="84" t="s">
        <v>218</v>
      </c>
      <c r="F64" s="84" t="s">
        <v>219</v>
      </c>
      <c r="G64" s="84" t="s">
        <v>220</v>
      </c>
      <c r="H64" s="28"/>
    </row>
    <row r="65" spans="1:8" s="27" customFormat="1">
      <c r="A65" s="80"/>
      <c r="B65" s="33" t="s">
        <v>230</v>
      </c>
      <c r="C65" s="33" t="s">
        <v>221</v>
      </c>
      <c r="D65" s="81" t="s">
        <v>465</v>
      </c>
      <c r="E65" s="81" t="s">
        <v>466</v>
      </c>
      <c r="F65" s="83" t="s">
        <v>467</v>
      </c>
      <c r="G65" s="82">
        <v>147971577.08000001</v>
      </c>
      <c r="H65" s="77" t="s">
        <v>223</v>
      </c>
    </row>
    <row r="66" spans="1:8" s="27" customFormat="1">
      <c r="A66" s="80"/>
      <c r="B66" s="33" t="s">
        <v>230</v>
      </c>
      <c r="C66" s="33" t="s">
        <v>222</v>
      </c>
      <c r="D66" s="81" t="s">
        <v>225</v>
      </c>
      <c r="E66" s="81" t="s">
        <v>225</v>
      </c>
      <c r="F66" s="81" t="s">
        <v>225</v>
      </c>
      <c r="G66" s="81" t="s">
        <v>225</v>
      </c>
      <c r="H66" s="28"/>
    </row>
    <row r="67" spans="1:8">
      <c r="D67">
        <f>154957274.7-155285813.84</f>
        <v>-328539.1400000155</v>
      </c>
      <c r="E67">
        <f>25851134.81-20612300.49</f>
        <v>5238834.32</v>
      </c>
      <c r="F67">
        <f>13299667.15-13298063.73</f>
        <v>1603.4199999999255</v>
      </c>
    </row>
    <row r="68" spans="1:8">
      <c r="E68">
        <f>+E67+D67</f>
        <v>4910295.1799999848</v>
      </c>
      <c r="G68">
        <f>+G65-G61</f>
        <v>5565770.0400000215</v>
      </c>
      <c r="H68" s="28" t="s">
        <v>338</v>
      </c>
    </row>
    <row r="74" spans="1:8">
      <c r="A74" s="12"/>
      <c r="B74" s="84" t="s">
        <v>157</v>
      </c>
      <c r="C74" s="84" t="s">
        <v>216</v>
      </c>
      <c r="D74" s="84" t="s">
        <v>217</v>
      </c>
      <c r="E74" s="84" t="s">
        <v>218</v>
      </c>
      <c r="F74" s="84" t="s">
        <v>219</v>
      </c>
      <c r="G74" s="84" t="s">
        <v>220</v>
      </c>
    </row>
    <row r="75" spans="1:8">
      <c r="A75" s="13"/>
      <c r="B75" s="33" t="s">
        <v>159</v>
      </c>
      <c r="C75" s="33" t="s">
        <v>95</v>
      </c>
      <c r="D75" s="34" t="s">
        <v>390</v>
      </c>
      <c r="E75" s="34" t="s">
        <v>225</v>
      </c>
      <c r="F75" s="40" t="s">
        <v>468</v>
      </c>
      <c r="G75" s="88">
        <v>84261413.730000004</v>
      </c>
    </row>
    <row r="76" spans="1:8">
      <c r="A76" s="13"/>
      <c r="B76" s="33" t="s">
        <v>159</v>
      </c>
      <c r="C76" s="33" t="s">
        <v>232</v>
      </c>
      <c r="D76" s="34" t="s">
        <v>386</v>
      </c>
      <c r="E76" s="49" t="s">
        <v>225</v>
      </c>
      <c r="F76" s="49" t="s">
        <v>225</v>
      </c>
      <c r="G76" s="88">
        <v>1626039.52</v>
      </c>
    </row>
    <row r="77" spans="1:8">
      <c r="D77">
        <f>82463308.58-1626039.52</f>
        <v>80837269.060000002</v>
      </c>
      <c r="G77" s="79">
        <f>+G75-G76</f>
        <v>82635374.210000008</v>
      </c>
    </row>
    <row r="79" spans="1:8">
      <c r="A79" s="12"/>
      <c r="B79" s="26" t="s">
        <v>157</v>
      </c>
      <c r="C79" s="26" t="s">
        <v>216</v>
      </c>
      <c r="D79" s="26" t="s">
        <v>217</v>
      </c>
      <c r="E79" s="26" t="s">
        <v>218</v>
      </c>
      <c r="F79" s="26" t="s">
        <v>219</v>
      </c>
      <c r="G79" s="26" t="s">
        <v>220</v>
      </c>
    </row>
    <row r="80" spans="1:8">
      <c r="A80" s="13"/>
      <c r="B80" s="70" t="s">
        <v>233</v>
      </c>
      <c r="C80" s="70" t="s">
        <v>221</v>
      </c>
      <c r="D80" s="81" t="s">
        <v>469</v>
      </c>
      <c r="E80" s="50" t="s">
        <v>225</v>
      </c>
      <c r="F80" s="50" t="s">
        <v>225</v>
      </c>
      <c r="G80" s="82">
        <v>48513605.590000004</v>
      </c>
    </row>
    <row r="81" spans="1:10">
      <c r="A81" s="13"/>
      <c r="B81" s="70" t="s">
        <v>233</v>
      </c>
      <c r="C81" s="70" t="s">
        <v>222</v>
      </c>
      <c r="D81" s="81" t="s">
        <v>470</v>
      </c>
      <c r="E81" s="83" t="s">
        <v>425</v>
      </c>
      <c r="F81" s="81" t="s">
        <v>225</v>
      </c>
      <c r="G81" s="89">
        <v>101591764.56</v>
      </c>
      <c r="H81" s="32"/>
    </row>
    <row r="82" spans="1:10">
      <c r="D82">
        <f>48513605.59-99793659.24</f>
        <v>-51280053.649999991</v>
      </c>
      <c r="E82" s="47">
        <f>1798105.15-1798105.32</f>
        <v>-0.17000000015832484</v>
      </c>
      <c r="F82" s="47"/>
      <c r="G82" s="79">
        <f>+G80-G81</f>
        <v>-53078158.969999999</v>
      </c>
    </row>
    <row r="83" spans="1:10">
      <c r="D83">
        <f>+D77+D82</f>
        <v>29557215.410000011</v>
      </c>
      <c r="G83" s="79">
        <f>+G77+G82</f>
        <v>29557215.24000001</v>
      </c>
      <c r="H83" s="28">
        <v>25504642.949999999</v>
      </c>
      <c r="I83" s="79">
        <f>+G83-H83+J92</f>
        <v>4039968.9000000102</v>
      </c>
    </row>
    <row r="85" spans="1:10">
      <c r="B85" s="41"/>
      <c r="C85" s="51" t="s">
        <v>305</v>
      </c>
      <c r="D85" s="51" t="s">
        <v>218</v>
      </c>
      <c r="E85" s="51" t="s">
        <v>219</v>
      </c>
      <c r="F85" s="12"/>
      <c r="G85" s="26" t="s">
        <v>305</v>
      </c>
      <c r="H85" s="51" t="s">
        <v>218</v>
      </c>
      <c r="I85" s="26" t="s">
        <v>219</v>
      </c>
    </row>
    <row r="86" spans="1:10">
      <c r="B86" s="35"/>
      <c r="C86" s="52">
        <v>530130777247</v>
      </c>
      <c r="D86" s="38">
        <v>0</v>
      </c>
      <c r="E86" s="39">
        <v>3851711.51</v>
      </c>
      <c r="F86" s="13"/>
      <c r="G86" s="37" t="s">
        <v>357</v>
      </c>
      <c r="H86" s="39">
        <v>3851711.51</v>
      </c>
      <c r="I86" s="37">
        <v>0</v>
      </c>
    </row>
    <row r="87" spans="1:10">
      <c r="B87" s="35"/>
      <c r="C87" s="52" t="s">
        <v>353</v>
      </c>
      <c r="D87" s="38">
        <v>0</v>
      </c>
      <c r="E87" s="53">
        <v>1756059.04</v>
      </c>
      <c r="F87" s="13"/>
      <c r="G87" s="37" t="s">
        <v>358</v>
      </c>
      <c r="H87" s="39">
        <v>2781179.22</v>
      </c>
      <c r="I87" s="37">
        <v>0</v>
      </c>
    </row>
    <row r="88" spans="1:10">
      <c r="B88" s="35"/>
      <c r="C88" s="52" t="s">
        <v>354</v>
      </c>
      <c r="D88" s="38">
        <v>0</v>
      </c>
      <c r="E88" s="53">
        <v>1690859.84</v>
      </c>
      <c r="F88" s="13"/>
      <c r="G88" s="37" t="s">
        <v>358</v>
      </c>
      <c r="H88" s="39">
        <v>4399293.4800000004</v>
      </c>
      <c r="I88" s="37">
        <v>0</v>
      </c>
    </row>
    <row r="89" spans="1:10">
      <c r="B89" s="35"/>
      <c r="C89" s="52">
        <v>530130813573</v>
      </c>
      <c r="D89" s="38">
        <v>0</v>
      </c>
      <c r="E89" s="39">
        <v>2781179.22</v>
      </c>
      <c r="F89" s="13"/>
      <c r="G89" s="37" t="s">
        <v>359</v>
      </c>
      <c r="H89" s="39">
        <v>1746702.41</v>
      </c>
      <c r="I89" s="37">
        <v>0</v>
      </c>
    </row>
    <row r="90" spans="1:10">
      <c r="B90" s="35"/>
      <c r="C90" s="52">
        <v>530130813573</v>
      </c>
      <c r="D90" s="38">
        <v>0</v>
      </c>
      <c r="E90" s="39">
        <v>4399293.4800000004</v>
      </c>
      <c r="F90" s="13"/>
      <c r="G90" s="37" t="s">
        <v>360</v>
      </c>
      <c r="H90" s="39">
        <v>6664633.4400000004</v>
      </c>
      <c r="I90" s="37">
        <v>0</v>
      </c>
    </row>
    <row r="91" spans="1:10">
      <c r="B91" s="35"/>
      <c r="C91" s="52">
        <v>530130813500</v>
      </c>
      <c r="D91" s="38">
        <v>0</v>
      </c>
      <c r="E91" s="39">
        <v>1746702.12</v>
      </c>
      <c r="F91" s="13"/>
      <c r="G91" s="37" t="s">
        <v>361</v>
      </c>
      <c r="H91" s="38">
        <v>0</v>
      </c>
      <c r="I91" s="56">
        <v>13886.1</v>
      </c>
    </row>
    <row r="92" spans="1:10">
      <c r="B92" s="35"/>
      <c r="C92" s="52" t="s">
        <v>355</v>
      </c>
      <c r="D92" s="38">
        <v>0</v>
      </c>
      <c r="E92" s="53">
        <v>8053477.3200000003</v>
      </c>
      <c r="F92" s="13"/>
      <c r="G92" s="37" t="s">
        <v>362</v>
      </c>
      <c r="H92" s="38">
        <v>0</v>
      </c>
      <c r="I92" s="57">
        <v>74953.97</v>
      </c>
      <c r="J92" s="48">
        <f>+I92-D96</f>
        <v>-12603.39</v>
      </c>
    </row>
    <row r="93" spans="1:10">
      <c r="B93" s="35"/>
      <c r="C93" s="52" t="s">
        <v>355</v>
      </c>
      <c r="D93" s="38">
        <v>0</v>
      </c>
      <c r="E93" s="53">
        <v>3752357.83</v>
      </c>
      <c r="F93" s="13"/>
      <c r="G93" s="37" t="s">
        <v>363</v>
      </c>
      <c r="H93" s="39">
        <v>1643346.4</v>
      </c>
      <c r="I93" s="37">
        <v>0</v>
      </c>
    </row>
    <row r="94" spans="1:10">
      <c r="B94" s="35"/>
      <c r="C94" s="52" t="s">
        <v>355</v>
      </c>
      <c r="D94" s="38">
        <v>0</v>
      </c>
      <c r="E94" s="53">
        <v>2578796.54</v>
      </c>
      <c r="F94" s="13"/>
      <c r="G94" s="37" t="s">
        <v>364</v>
      </c>
      <c r="H94" s="39">
        <v>1375791.58</v>
      </c>
      <c r="I94" s="37">
        <v>0</v>
      </c>
    </row>
    <row r="95" spans="1:10">
      <c r="B95" s="35"/>
      <c r="C95" s="52" t="s">
        <v>355</v>
      </c>
      <c r="D95" s="38">
        <v>0</v>
      </c>
      <c r="E95" s="53">
        <v>1287409.57</v>
      </c>
      <c r="F95" s="13"/>
      <c r="G95" s="37" t="s">
        <v>364</v>
      </c>
      <c r="H95" s="39">
        <v>3570684.22</v>
      </c>
      <c r="I95" s="37">
        <v>0</v>
      </c>
    </row>
    <row r="96" spans="1:10">
      <c r="B96" s="35"/>
      <c r="C96" s="52"/>
      <c r="D96" s="54">
        <v>87557.36</v>
      </c>
      <c r="E96" s="38">
        <v>0</v>
      </c>
    </row>
    <row r="97" spans="1:8">
      <c r="B97" s="35"/>
      <c r="C97" s="52"/>
      <c r="D97" s="55">
        <v>13886.1</v>
      </c>
      <c r="E97" s="38">
        <v>0</v>
      </c>
    </row>
    <row r="98" spans="1:8">
      <c r="B98" s="35"/>
      <c r="C98" s="52">
        <v>530130813582</v>
      </c>
      <c r="D98" s="38">
        <v>0</v>
      </c>
      <c r="E98" s="39">
        <v>6664633.4400000004</v>
      </c>
    </row>
    <row r="99" spans="1:8">
      <c r="B99" s="35"/>
      <c r="C99" s="52">
        <v>530130817962</v>
      </c>
      <c r="D99" s="38">
        <v>0</v>
      </c>
      <c r="E99" s="39">
        <v>1643346.4</v>
      </c>
    </row>
    <row r="100" spans="1:8">
      <c r="B100" s="35"/>
      <c r="C100" s="52" t="s">
        <v>355</v>
      </c>
      <c r="D100" s="38">
        <v>0</v>
      </c>
      <c r="E100" s="53">
        <v>4735532.63</v>
      </c>
    </row>
    <row r="101" spans="1:8">
      <c r="B101" s="35"/>
      <c r="C101" s="52" t="s">
        <v>356</v>
      </c>
      <c r="D101" s="38">
        <v>0</v>
      </c>
      <c r="E101" s="53">
        <v>1650150.18</v>
      </c>
    </row>
    <row r="102" spans="1:8">
      <c r="B102" s="35"/>
      <c r="C102" s="52">
        <v>530130643294</v>
      </c>
      <c r="D102" s="38">
        <v>0</v>
      </c>
      <c r="E102" s="39">
        <v>1375791.58</v>
      </c>
    </row>
    <row r="103" spans="1:8">
      <c r="B103" s="35"/>
      <c r="C103" s="52">
        <v>530130643294</v>
      </c>
      <c r="D103" s="38">
        <v>0</v>
      </c>
      <c r="E103" s="39">
        <v>3570684.22</v>
      </c>
    </row>
    <row r="107" spans="1:8">
      <c r="A107" s="12"/>
      <c r="B107" s="26" t="s">
        <v>157</v>
      </c>
      <c r="C107" s="26" t="s">
        <v>216</v>
      </c>
      <c r="D107" s="26" t="s">
        <v>217</v>
      </c>
      <c r="E107" s="26" t="s">
        <v>218</v>
      </c>
      <c r="F107" s="26" t="s">
        <v>219</v>
      </c>
      <c r="G107" s="26" t="s">
        <v>220</v>
      </c>
    </row>
    <row r="108" spans="1:8">
      <c r="A108" s="13"/>
      <c r="B108" s="70" t="s">
        <v>159</v>
      </c>
      <c r="C108" s="70" t="s">
        <v>273</v>
      </c>
      <c r="D108" s="70" t="s">
        <v>368</v>
      </c>
      <c r="E108" s="70" t="s">
        <v>225</v>
      </c>
      <c r="F108" s="85" t="s">
        <v>225</v>
      </c>
      <c r="G108" s="61">
        <v>2303052.13</v>
      </c>
      <c r="H108" s="28" t="s">
        <v>223</v>
      </c>
    </row>
    <row r="109" spans="1:8">
      <c r="A109" s="13"/>
      <c r="B109" s="70" t="s">
        <v>159</v>
      </c>
      <c r="C109" s="70" t="s">
        <v>259</v>
      </c>
      <c r="D109" s="70" t="s">
        <v>369</v>
      </c>
      <c r="E109" s="70" t="s">
        <v>225</v>
      </c>
      <c r="F109" s="70" t="s">
        <v>225</v>
      </c>
      <c r="G109" s="61">
        <v>296204.88</v>
      </c>
      <c r="H109" s="28" t="s">
        <v>224</v>
      </c>
    </row>
    <row r="110" spans="1:8">
      <c r="A110" s="78"/>
      <c r="B110" s="78" t="s">
        <v>159</v>
      </c>
      <c r="C110" s="78" t="s">
        <v>103</v>
      </c>
      <c r="D110" s="78" t="s">
        <v>484</v>
      </c>
      <c r="E110" s="78" t="s">
        <v>225</v>
      </c>
      <c r="F110" s="78" t="s">
        <v>485</v>
      </c>
      <c r="G110" s="79">
        <v>15672360.32</v>
      </c>
      <c r="H110" s="28" t="s">
        <v>223</v>
      </c>
    </row>
    <row r="111" spans="1:8" ht="30">
      <c r="A111" s="78"/>
      <c r="B111" s="70" t="s">
        <v>159</v>
      </c>
      <c r="C111" s="70" t="s">
        <v>365</v>
      </c>
      <c r="D111" s="70" t="s">
        <v>225</v>
      </c>
      <c r="E111" s="70" t="s">
        <v>225</v>
      </c>
      <c r="F111" s="70" t="s">
        <v>225</v>
      </c>
      <c r="G111" s="61">
        <v>0</v>
      </c>
      <c r="H111" s="28" t="s">
        <v>224</v>
      </c>
    </row>
    <row r="112" spans="1:8">
      <c r="B112" s="70"/>
      <c r="C112" s="70"/>
      <c r="D112" s="70"/>
      <c r="E112" s="70"/>
      <c r="F112" s="70"/>
      <c r="G112" s="61"/>
    </row>
    <row r="113" spans="1:9">
      <c r="G113" s="15">
        <f>+G108-G109+G110</f>
        <v>17679207.57</v>
      </c>
      <c r="H113" s="32"/>
    </row>
    <row r="114" spans="1:9">
      <c r="A114" s="12"/>
      <c r="B114" s="26" t="s">
        <v>157</v>
      </c>
      <c r="C114" s="26" t="s">
        <v>216</v>
      </c>
      <c r="D114" s="26" t="s">
        <v>217</v>
      </c>
      <c r="E114" s="26" t="s">
        <v>218</v>
      </c>
      <c r="F114" s="26" t="s">
        <v>219</v>
      </c>
      <c r="G114" s="26" t="s">
        <v>220</v>
      </c>
    </row>
    <row r="115" spans="1:9" ht="30">
      <c r="A115" s="13"/>
      <c r="B115" s="70" t="s">
        <v>366</v>
      </c>
      <c r="C115" s="70" t="s">
        <v>481</v>
      </c>
      <c r="D115" s="70" t="s">
        <v>225</v>
      </c>
      <c r="E115" s="70" t="s">
        <v>225</v>
      </c>
      <c r="F115" s="70" t="s">
        <v>225</v>
      </c>
      <c r="G115" s="61">
        <v>0</v>
      </c>
      <c r="H115" s="28" t="s">
        <v>223</v>
      </c>
    </row>
    <row r="116" spans="1:9">
      <c r="A116" s="13"/>
      <c r="B116" s="70" t="s">
        <v>366</v>
      </c>
      <c r="C116" s="70" t="s">
        <v>221</v>
      </c>
      <c r="D116" s="70" t="s">
        <v>367</v>
      </c>
      <c r="E116" s="85" t="s">
        <v>225</v>
      </c>
      <c r="F116" s="70" t="s">
        <v>225</v>
      </c>
      <c r="G116" s="61">
        <v>296188.38</v>
      </c>
      <c r="H116" s="28" t="s">
        <v>224</v>
      </c>
    </row>
    <row r="117" spans="1:9">
      <c r="A117" s="78"/>
      <c r="B117" s="69" t="s">
        <v>366</v>
      </c>
      <c r="C117" s="69" t="s">
        <v>222</v>
      </c>
      <c r="D117" s="69" t="s">
        <v>482</v>
      </c>
      <c r="E117" s="69" t="s">
        <v>483</v>
      </c>
      <c r="F117" s="69" t="s">
        <v>225</v>
      </c>
      <c r="G117" s="91">
        <v>17978265.91</v>
      </c>
    </row>
    <row r="118" spans="1:9">
      <c r="G118" s="79">
        <f>+G116+G117</f>
        <v>18274454.289999999</v>
      </c>
      <c r="H118" s="32"/>
      <c r="I118" t="s">
        <v>370</v>
      </c>
    </row>
    <row r="119" spans="1:9">
      <c r="G119" s="79">
        <f>+G118-G113</f>
        <v>595246.71999999881</v>
      </c>
    </row>
    <row r="121" spans="1:9">
      <c r="A121" s="12"/>
      <c r="B121" s="26" t="s">
        <v>157</v>
      </c>
      <c r="C121" s="26" t="s">
        <v>216</v>
      </c>
      <c r="D121" s="26" t="s">
        <v>217</v>
      </c>
      <c r="E121" s="26" t="s">
        <v>218</v>
      </c>
      <c r="F121" s="26" t="s">
        <v>219</v>
      </c>
      <c r="G121" s="26" t="s">
        <v>220</v>
      </c>
    </row>
    <row r="122" spans="1:9">
      <c r="A122" s="13"/>
      <c r="B122" s="70" t="s">
        <v>159</v>
      </c>
      <c r="C122" s="70" t="s">
        <v>268</v>
      </c>
      <c r="D122" s="70" t="s">
        <v>480</v>
      </c>
      <c r="E122" s="70" t="s">
        <v>225</v>
      </c>
      <c r="F122" s="70" t="s">
        <v>225</v>
      </c>
      <c r="G122" s="61">
        <v>32434028.379999999</v>
      </c>
    </row>
    <row r="125" spans="1:9">
      <c r="A125" s="12"/>
      <c r="B125" s="26" t="s">
        <v>157</v>
      </c>
      <c r="C125" s="26" t="s">
        <v>216</v>
      </c>
      <c r="D125" s="26" t="s">
        <v>217</v>
      </c>
      <c r="E125" s="26" t="s">
        <v>218</v>
      </c>
      <c r="F125" s="26" t="s">
        <v>219</v>
      </c>
      <c r="G125" s="26" t="s">
        <v>220</v>
      </c>
    </row>
    <row r="126" spans="1:9">
      <c r="A126" s="13"/>
      <c r="B126" s="70" t="s">
        <v>371</v>
      </c>
      <c r="C126" s="70" t="s">
        <v>222</v>
      </c>
      <c r="D126" s="70" t="s">
        <v>479</v>
      </c>
      <c r="E126" s="70" t="s">
        <v>225</v>
      </c>
      <c r="F126" s="70" t="s">
        <v>225</v>
      </c>
      <c r="G126" s="61">
        <v>36434027.990000002</v>
      </c>
    </row>
    <row r="127" spans="1:9">
      <c r="G127" s="79">
        <f>+G126-G122</f>
        <v>3999999.6100000031</v>
      </c>
    </row>
    <row r="129" spans="1:8">
      <c r="A129" s="12"/>
      <c r="B129" s="26" t="s">
        <v>25</v>
      </c>
      <c r="C129" s="26" t="s">
        <v>339</v>
      </c>
      <c r="D129" s="26" t="s">
        <v>27</v>
      </c>
      <c r="E129" s="26" t="s">
        <v>28</v>
      </c>
      <c r="F129" s="26" t="s">
        <v>305</v>
      </c>
      <c r="G129" s="26" t="s">
        <v>218</v>
      </c>
      <c r="H129" s="60" t="s">
        <v>375</v>
      </c>
    </row>
    <row r="130" spans="1:8" ht="30">
      <c r="A130" s="13"/>
      <c r="B130" s="59">
        <v>44450</v>
      </c>
      <c r="C130" s="37" t="s">
        <v>282</v>
      </c>
      <c r="D130" s="37" t="s">
        <v>372</v>
      </c>
      <c r="E130" s="37">
        <v>1326</v>
      </c>
      <c r="F130" s="37" t="s">
        <v>373</v>
      </c>
      <c r="G130" s="37">
        <v>4000000</v>
      </c>
      <c r="H130" s="58" t="s">
        <v>374</v>
      </c>
    </row>
    <row r="134" spans="1:8">
      <c r="A134" s="12"/>
      <c r="B134" s="26" t="s">
        <v>157</v>
      </c>
      <c r="C134" s="26" t="s">
        <v>216</v>
      </c>
      <c r="D134" s="26" t="s">
        <v>217</v>
      </c>
      <c r="E134" s="26" t="s">
        <v>218</v>
      </c>
      <c r="F134" s="26" t="s">
        <v>219</v>
      </c>
      <c r="G134" s="26" t="s">
        <v>220</v>
      </c>
    </row>
    <row r="135" spans="1:8" ht="30">
      <c r="A135" s="13"/>
      <c r="B135" s="70" t="s">
        <v>159</v>
      </c>
      <c r="C135" s="70" t="s">
        <v>274</v>
      </c>
      <c r="D135" s="70" t="s">
        <v>471</v>
      </c>
      <c r="E135" s="70" t="s">
        <v>225</v>
      </c>
      <c r="F135" s="70" t="s">
        <v>472</v>
      </c>
      <c r="G135" s="61" t="s">
        <v>473</v>
      </c>
      <c r="H135" s="28" t="s">
        <v>379</v>
      </c>
    </row>
    <row r="136" spans="1:8" ht="30">
      <c r="A136" s="13"/>
      <c r="B136" s="70" t="s">
        <v>159</v>
      </c>
      <c r="C136" s="70" t="s">
        <v>376</v>
      </c>
      <c r="D136" s="70" t="s">
        <v>474</v>
      </c>
      <c r="E136" s="70" t="s">
        <v>225</v>
      </c>
      <c r="F136" s="70" t="s">
        <v>225</v>
      </c>
      <c r="G136" s="70" t="s">
        <v>474</v>
      </c>
      <c r="H136" s="28" t="s">
        <v>224</v>
      </c>
    </row>
    <row r="137" spans="1:8">
      <c r="G137">
        <f>6170440.44-983362.56</f>
        <v>5187077.8800000008</v>
      </c>
    </row>
    <row r="140" spans="1:8">
      <c r="A140" s="12"/>
      <c r="B140" s="26" t="s">
        <v>157</v>
      </c>
      <c r="C140" s="26" t="s">
        <v>216</v>
      </c>
      <c r="D140" s="26" t="s">
        <v>217</v>
      </c>
      <c r="E140" s="26" t="s">
        <v>218</v>
      </c>
      <c r="F140" s="26" t="s">
        <v>219</v>
      </c>
      <c r="G140" s="26" t="s">
        <v>220</v>
      </c>
    </row>
    <row r="141" spans="1:8" ht="30">
      <c r="A141" s="13"/>
      <c r="B141" s="70" t="s">
        <v>377</v>
      </c>
      <c r="C141" s="70" t="s">
        <v>221</v>
      </c>
      <c r="D141" s="70" t="s">
        <v>475</v>
      </c>
      <c r="E141" s="70" t="s">
        <v>225</v>
      </c>
      <c r="F141" s="70" t="s">
        <v>225</v>
      </c>
      <c r="G141" s="61" t="s">
        <v>475</v>
      </c>
      <c r="H141" s="28" t="s">
        <v>223</v>
      </c>
    </row>
    <row r="142" spans="1:8">
      <c r="A142" s="78"/>
      <c r="B142" s="69" t="s">
        <v>377</v>
      </c>
      <c r="C142" s="69" t="s">
        <v>222</v>
      </c>
      <c r="D142" s="69" t="s">
        <v>476</v>
      </c>
      <c r="E142" s="69" t="s">
        <v>477</v>
      </c>
      <c r="F142" s="69" t="s">
        <v>225</v>
      </c>
      <c r="G142" s="69" t="s">
        <v>478</v>
      </c>
      <c r="H142" s="28" t="s">
        <v>224</v>
      </c>
    </row>
    <row r="143" spans="1:8">
      <c r="G143">
        <f>983362.56-6170440.44</f>
        <v>-5187077.8800000008</v>
      </c>
    </row>
    <row r="144" spans="1:8">
      <c r="G144">
        <f>+G137+G143</f>
        <v>0</v>
      </c>
      <c r="H144" s="60" t="s">
        <v>380</v>
      </c>
    </row>
    <row r="151" spans="3:6">
      <c r="C151" s="78"/>
      <c r="D151" s="78" t="s">
        <v>219</v>
      </c>
      <c r="E151" s="78"/>
      <c r="F151" s="78" t="s">
        <v>218</v>
      </c>
    </row>
    <row r="152" spans="3:6">
      <c r="C152" s="78"/>
      <c r="D152" s="90">
        <v>1802776.8</v>
      </c>
      <c r="E152" s="78"/>
      <c r="F152" s="90">
        <v>5466104.25</v>
      </c>
    </row>
    <row r="153" spans="3:6">
      <c r="C153" s="78"/>
      <c r="D153" s="90">
        <v>5742007.9400000004</v>
      </c>
      <c r="E153" s="78"/>
      <c r="F153" s="90">
        <v>2165999.54</v>
      </c>
    </row>
    <row r="154" spans="3:6">
      <c r="C154" s="78"/>
      <c r="D154" s="90">
        <v>5466103.5</v>
      </c>
      <c r="E154" s="78"/>
      <c r="F154" s="90">
        <v>3129462.29</v>
      </c>
    </row>
    <row r="155" spans="3:6">
      <c r="C155" s="78"/>
      <c r="D155" s="78">
        <v>1802776.8</v>
      </c>
      <c r="E155" s="78"/>
      <c r="F155" s="90">
        <v>1802776.8</v>
      </c>
    </row>
    <row r="156" spans="3:6">
      <c r="C156" s="78"/>
      <c r="D156" s="78">
        <v>5742007.9400000004</v>
      </c>
      <c r="E156" s="78"/>
      <c r="F156" s="90">
        <v>5742007.9400000004</v>
      </c>
    </row>
    <row r="157" spans="3:6">
      <c r="C157" s="78"/>
      <c r="D157" s="78">
        <v>0</v>
      </c>
      <c r="E157" s="78"/>
      <c r="F157" s="78">
        <v>0</v>
      </c>
    </row>
    <row r="158" spans="3:6">
      <c r="C158" s="78"/>
      <c r="D158" s="90">
        <v>2165999.54</v>
      </c>
      <c r="E158" s="78"/>
      <c r="F158" s="78">
        <v>0</v>
      </c>
    </row>
    <row r="159" spans="3:6">
      <c r="C159" s="78"/>
      <c r="D159" s="90">
        <v>3129462.29</v>
      </c>
      <c r="E159" s="78"/>
      <c r="F159" s="78">
        <v>2305949.6800000002</v>
      </c>
    </row>
    <row r="161" spans="4:6">
      <c r="D161">
        <f>+D155+D156</f>
        <v>7544784.7400000002</v>
      </c>
      <c r="F161">
        <f>+F159</f>
        <v>2305949.6800000002</v>
      </c>
    </row>
    <row r="162" spans="4:6">
      <c r="F162">
        <f>+D161-F161</f>
        <v>5238835.0600000005</v>
      </c>
    </row>
  </sheetData>
  <mergeCells count="1">
    <mergeCell ref="E11:F11"/>
  </mergeCells>
  <pageMargins left="0.7" right="0.7" top="0.75" bottom="0.75" header="0.3" footer="0.3"/>
  <pageSetup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D265"/>
  <sheetViews>
    <sheetView topLeftCell="A22" workbookViewId="0">
      <selection activeCell="G35" sqref="G35"/>
    </sheetView>
  </sheetViews>
  <sheetFormatPr defaultRowHeight="15"/>
  <cols>
    <col min="1" max="1" width="9.140625" style="93"/>
    <col min="2" max="2" width="29.42578125" style="93" bestFit="1" customWidth="1"/>
    <col min="3" max="3" width="33.42578125" style="93" customWidth="1"/>
    <col min="4" max="4" width="19" style="93" customWidth="1"/>
    <col min="5" max="5" width="17" style="93" customWidth="1"/>
    <col min="6" max="6" width="19.5703125" style="93" customWidth="1"/>
    <col min="7" max="7" width="19" style="93" customWidth="1"/>
    <col min="8" max="8" width="22.5703125" style="28" customWidth="1"/>
    <col min="9" max="9" width="11.7109375" style="93" bestFit="1" customWidth="1"/>
    <col min="10" max="10" width="15.28515625" style="93" customWidth="1"/>
    <col min="11" max="13" width="9.140625" style="93"/>
    <col min="14" max="14" width="13.5703125" style="93" customWidth="1"/>
    <col min="15" max="16384" width="9.140625" style="93"/>
  </cols>
  <sheetData>
    <row r="1" spans="1:8">
      <c r="A1" s="30"/>
      <c r="B1" s="92" t="s">
        <v>157</v>
      </c>
      <c r="C1" s="92" t="s">
        <v>216</v>
      </c>
      <c r="D1" s="92" t="s">
        <v>217</v>
      </c>
      <c r="E1" s="92" t="s">
        <v>218</v>
      </c>
      <c r="F1" s="92" t="s">
        <v>219</v>
      </c>
      <c r="G1" s="92" t="s">
        <v>220</v>
      </c>
    </row>
    <row r="2" spans="1:8">
      <c r="A2" s="80"/>
      <c r="B2" s="33" t="s">
        <v>159</v>
      </c>
      <c r="C2" s="33" t="s">
        <v>87</v>
      </c>
      <c r="D2" s="81" t="s">
        <v>499</v>
      </c>
      <c r="E2" s="86" t="s">
        <v>225</v>
      </c>
      <c r="F2" s="83" t="s">
        <v>500</v>
      </c>
      <c r="G2" s="82">
        <v>1293773286.96</v>
      </c>
      <c r="H2" s="31" t="s">
        <v>223</v>
      </c>
    </row>
    <row r="3" spans="1:8">
      <c r="A3" s="80"/>
      <c r="B3" s="33" t="s">
        <v>159</v>
      </c>
      <c r="C3" s="33" t="s">
        <v>61</v>
      </c>
      <c r="D3" s="81" t="s">
        <v>501</v>
      </c>
      <c r="E3" s="86" t="s">
        <v>502</v>
      </c>
      <c r="F3" s="86" t="s">
        <v>225</v>
      </c>
      <c r="G3" s="82">
        <v>384464257.25</v>
      </c>
      <c r="H3" s="31" t="s">
        <v>224</v>
      </c>
    </row>
    <row r="4" spans="1:8">
      <c r="D4" s="28"/>
      <c r="E4" s="28"/>
      <c r="F4" s="28"/>
      <c r="G4" s="32">
        <f>+G2-G3</f>
        <v>909309029.71000004</v>
      </c>
    </row>
    <row r="5" spans="1:8">
      <c r="D5" s="28"/>
      <c r="E5" s="28"/>
      <c r="F5" s="28"/>
      <c r="G5" s="28"/>
    </row>
    <row r="6" spans="1:8">
      <c r="D6" s="28"/>
      <c r="E6" s="28"/>
      <c r="F6" s="28"/>
      <c r="G6" s="28"/>
    </row>
    <row r="7" spans="1:8">
      <c r="A7" s="30"/>
      <c r="B7" s="92" t="s">
        <v>157</v>
      </c>
      <c r="C7" s="92" t="s">
        <v>216</v>
      </c>
      <c r="D7" s="92" t="s">
        <v>217</v>
      </c>
      <c r="E7" s="92" t="s">
        <v>218</v>
      </c>
      <c r="F7" s="92" t="s">
        <v>219</v>
      </c>
      <c r="G7" s="92" t="s">
        <v>220</v>
      </c>
    </row>
    <row r="8" spans="1:8">
      <c r="A8" s="80"/>
      <c r="B8" s="33" t="s">
        <v>302</v>
      </c>
      <c r="C8" s="33" t="s">
        <v>221</v>
      </c>
      <c r="D8" s="81" t="s">
        <v>503</v>
      </c>
      <c r="E8" s="86" t="s">
        <v>225</v>
      </c>
      <c r="F8" s="86" t="s">
        <v>504</v>
      </c>
      <c r="G8" s="82">
        <v>490479392.17000002</v>
      </c>
      <c r="H8" s="31" t="s">
        <v>223</v>
      </c>
    </row>
    <row r="9" spans="1:8">
      <c r="A9" s="80"/>
      <c r="B9" s="33" t="s">
        <v>302</v>
      </c>
      <c r="C9" s="33" t="s">
        <v>222</v>
      </c>
      <c r="D9" s="81" t="s">
        <v>505</v>
      </c>
      <c r="E9" s="83" t="s">
        <v>506</v>
      </c>
      <c r="F9" s="86" t="s">
        <v>225</v>
      </c>
      <c r="G9" s="82">
        <v>1400077385.51</v>
      </c>
      <c r="H9" s="31" t="s">
        <v>224</v>
      </c>
    </row>
    <row r="10" spans="1:8">
      <c r="D10" s="4">
        <f>1330150595.08-1223846496.54</f>
        <v>106304098.53999996</v>
      </c>
      <c r="F10" s="93">
        <f>5019152.73-4963282</f>
        <v>55870.730000000447</v>
      </c>
      <c r="G10" s="79">
        <f>+G9-G8</f>
        <v>909597993.33999991</v>
      </c>
    </row>
    <row r="11" spans="1:8">
      <c r="D11" s="4">
        <f>481141625.17-374836538.38</f>
        <v>106305086.79000002</v>
      </c>
      <c r="F11" s="93" t="s">
        <v>527</v>
      </c>
      <c r="G11" s="79">
        <f>+G10-G4</f>
        <v>288963.62999987602</v>
      </c>
      <c r="H11" s="28" t="s">
        <v>228</v>
      </c>
    </row>
    <row r="12" spans="1:8">
      <c r="D12" s="4">
        <f>+D11-D10</f>
        <v>988.25000005960464</v>
      </c>
      <c r="E12" s="484" t="s">
        <v>412</v>
      </c>
      <c r="F12" s="484"/>
    </row>
    <row r="14" spans="1:8">
      <c r="A14" s="12"/>
      <c r="B14" s="26" t="s">
        <v>157</v>
      </c>
      <c r="C14" s="26" t="s">
        <v>216</v>
      </c>
      <c r="D14" s="26" t="s">
        <v>217</v>
      </c>
      <c r="E14" s="26" t="s">
        <v>218</v>
      </c>
      <c r="F14" s="26" t="s">
        <v>219</v>
      </c>
      <c r="G14" s="26" t="s">
        <v>220</v>
      </c>
    </row>
    <row r="15" spans="1:8">
      <c r="A15" s="13"/>
      <c r="B15" s="70" t="s">
        <v>159</v>
      </c>
      <c r="C15" s="81" t="s">
        <v>89</v>
      </c>
      <c r="D15" s="70" t="s">
        <v>528</v>
      </c>
      <c r="E15" s="70" t="s">
        <v>529</v>
      </c>
      <c r="F15" s="70" t="s">
        <v>530</v>
      </c>
      <c r="G15" s="61">
        <v>347538607.63</v>
      </c>
      <c r="H15" s="35" t="s">
        <v>223</v>
      </c>
    </row>
    <row r="16" spans="1:8">
      <c r="A16" s="13"/>
      <c r="B16" s="70" t="s">
        <v>159</v>
      </c>
      <c r="C16" s="81" t="s">
        <v>226</v>
      </c>
      <c r="D16" s="70" t="s">
        <v>531</v>
      </c>
      <c r="E16" s="70" t="s">
        <v>225</v>
      </c>
      <c r="F16" s="70" t="s">
        <v>225</v>
      </c>
      <c r="G16" s="61">
        <v>58858392.100000001</v>
      </c>
      <c r="H16" s="35" t="s">
        <v>224</v>
      </c>
    </row>
    <row r="17" spans="1:8">
      <c r="G17" s="79">
        <f>+G15-G16</f>
        <v>288680215.52999997</v>
      </c>
    </row>
    <row r="19" spans="1:8">
      <c r="A19" s="12"/>
      <c r="B19" s="26" t="s">
        <v>157</v>
      </c>
      <c r="C19" s="26" t="s">
        <v>216</v>
      </c>
      <c r="D19" s="26" t="s">
        <v>217</v>
      </c>
      <c r="E19" s="26" t="s">
        <v>218</v>
      </c>
      <c r="F19" s="26" t="s">
        <v>219</v>
      </c>
      <c r="G19" s="26" t="s">
        <v>220</v>
      </c>
    </row>
    <row r="20" spans="1:8">
      <c r="A20" s="13"/>
      <c r="B20" s="70" t="s">
        <v>227</v>
      </c>
      <c r="C20" s="70" t="s">
        <v>221</v>
      </c>
      <c r="D20" s="70" t="s">
        <v>532</v>
      </c>
      <c r="E20" s="70" t="s">
        <v>225</v>
      </c>
      <c r="F20" s="70" t="s">
        <v>225</v>
      </c>
      <c r="G20" s="61">
        <v>7704932.1299999999</v>
      </c>
      <c r="H20" s="35" t="s">
        <v>224</v>
      </c>
    </row>
    <row r="21" spans="1:8">
      <c r="A21" s="13"/>
      <c r="B21" s="70" t="s">
        <v>227</v>
      </c>
      <c r="C21" s="70" t="s">
        <v>222</v>
      </c>
      <c r="D21" s="70" t="s">
        <v>533</v>
      </c>
      <c r="E21" s="70" t="s">
        <v>534</v>
      </c>
      <c r="F21" s="70" t="s">
        <v>535</v>
      </c>
      <c r="G21" s="61">
        <v>281030371.38999999</v>
      </c>
      <c r="H21" s="35" t="s">
        <v>224</v>
      </c>
    </row>
    <row r="22" spans="1:8">
      <c r="D22" s="4"/>
      <c r="G22" s="79">
        <f>+G21+G20</f>
        <v>288735303.51999998</v>
      </c>
    </row>
    <row r="23" spans="1:8">
      <c r="D23" s="97" t="s">
        <v>538</v>
      </c>
      <c r="E23" s="100">
        <v>54318</v>
      </c>
      <c r="F23" s="24" t="s">
        <v>536</v>
      </c>
      <c r="G23" s="79">
        <f>+G17-G22</f>
        <v>-55087.990000009537</v>
      </c>
      <c r="H23" s="28" t="s">
        <v>228</v>
      </c>
    </row>
    <row r="24" spans="1:8">
      <c r="D24" s="97" t="s">
        <v>538</v>
      </c>
      <c r="E24" s="24">
        <v>768</v>
      </c>
      <c r="F24" s="24" t="s">
        <v>537</v>
      </c>
    </row>
    <row r="26" spans="1:8">
      <c r="A26" s="30"/>
      <c r="B26" s="92" t="s">
        <v>157</v>
      </c>
      <c r="C26" s="92" t="s">
        <v>216</v>
      </c>
      <c r="D26" s="92" t="s">
        <v>217</v>
      </c>
      <c r="E26" s="92" t="s">
        <v>218</v>
      </c>
      <c r="F26" s="92" t="s">
        <v>219</v>
      </c>
      <c r="G26" s="92" t="s">
        <v>220</v>
      </c>
    </row>
    <row r="27" spans="1:8">
      <c r="A27" s="80"/>
      <c r="B27" s="33" t="s">
        <v>159</v>
      </c>
      <c r="C27" s="33" t="s">
        <v>94</v>
      </c>
      <c r="D27" s="81" t="s">
        <v>539</v>
      </c>
      <c r="E27" s="81" t="s">
        <v>225</v>
      </c>
      <c r="F27" s="83" t="s">
        <v>540</v>
      </c>
      <c r="G27" s="61">
        <v>392348807.22000003</v>
      </c>
      <c r="H27" s="77" t="s">
        <v>223</v>
      </c>
    </row>
    <row r="28" spans="1:8">
      <c r="A28" s="80"/>
      <c r="B28" s="33" t="s">
        <v>159</v>
      </c>
      <c r="C28" s="33" t="s">
        <v>73</v>
      </c>
      <c r="D28" s="81" t="s">
        <v>541</v>
      </c>
      <c r="E28" s="86" t="s">
        <v>542</v>
      </c>
      <c r="F28" s="81" t="s">
        <v>225</v>
      </c>
      <c r="G28" s="61">
        <v>290594910.36000001</v>
      </c>
      <c r="H28" s="77" t="s">
        <v>224</v>
      </c>
    </row>
    <row r="29" spans="1:8">
      <c r="G29" s="79">
        <f>+G27-G28</f>
        <v>101753896.86000001</v>
      </c>
    </row>
    <row r="31" spans="1:8">
      <c r="A31" s="30"/>
      <c r="B31" s="92" t="s">
        <v>157</v>
      </c>
      <c r="C31" s="92" t="s">
        <v>216</v>
      </c>
      <c r="D31" s="92" t="s">
        <v>217</v>
      </c>
      <c r="E31" s="92" t="s">
        <v>218</v>
      </c>
      <c r="F31" s="92" t="s">
        <v>219</v>
      </c>
      <c r="G31" s="92" t="s">
        <v>220</v>
      </c>
    </row>
    <row r="32" spans="1:8">
      <c r="A32" s="80"/>
      <c r="B32" s="33" t="s">
        <v>303</v>
      </c>
      <c r="C32" s="33" t="s">
        <v>221</v>
      </c>
      <c r="D32" s="81" t="s">
        <v>543</v>
      </c>
      <c r="E32" s="86" t="s">
        <v>585</v>
      </c>
      <c r="F32" s="86" t="s">
        <v>544</v>
      </c>
      <c r="G32" s="61">
        <v>295446024.81999999</v>
      </c>
      <c r="H32" s="77" t="s">
        <v>223</v>
      </c>
    </row>
    <row r="33" spans="1:8">
      <c r="A33" s="80"/>
      <c r="B33" s="33" t="s">
        <v>303</v>
      </c>
      <c r="C33" s="33" t="s">
        <v>222</v>
      </c>
      <c r="D33" s="81" t="s">
        <v>545</v>
      </c>
      <c r="E33" s="83" t="s">
        <v>546</v>
      </c>
      <c r="F33" s="81" t="s">
        <v>225</v>
      </c>
      <c r="G33" s="61">
        <v>395522465</v>
      </c>
      <c r="H33" s="77" t="s">
        <v>224</v>
      </c>
    </row>
    <row r="34" spans="1:8">
      <c r="E34" s="93" t="s">
        <v>231</v>
      </c>
      <c r="F34" s="93">
        <f>4666699.5-33003</f>
        <v>4633696.5</v>
      </c>
      <c r="G34" s="79">
        <f>+G33-G32</f>
        <v>100076440.18000001</v>
      </c>
    </row>
    <row r="35" spans="1:8">
      <c r="G35" s="79">
        <f>+G29-G34</f>
        <v>1677456.6800000072</v>
      </c>
    </row>
    <row r="37" spans="1:8">
      <c r="A37" s="12"/>
      <c r="B37" s="26" t="s">
        <v>157</v>
      </c>
      <c r="C37" s="26" t="s">
        <v>216</v>
      </c>
      <c r="D37" s="26" t="s">
        <v>217</v>
      </c>
      <c r="E37" s="26" t="s">
        <v>218</v>
      </c>
      <c r="F37" s="26" t="s">
        <v>219</v>
      </c>
      <c r="G37" s="26" t="s">
        <v>220</v>
      </c>
    </row>
    <row r="38" spans="1:8" ht="30">
      <c r="A38" s="13"/>
      <c r="B38" s="70" t="s">
        <v>159</v>
      </c>
      <c r="C38" s="70" t="s">
        <v>90</v>
      </c>
      <c r="D38" s="70" t="s">
        <v>388</v>
      </c>
      <c r="E38" s="81" t="s">
        <v>225</v>
      </c>
      <c r="F38" s="83" t="s">
        <v>448</v>
      </c>
      <c r="G38" s="82">
        <v>34100165.75</v>
      </c>
      <c r="H38" s="35" t="s">
        <v>223</v>
      </c>
    </row>
    <row r="39" spans="1:8">
      <c r="A39" s="13"/>
      <c r="B39" s="70" t="s">
        <v>159</v>
      </c>
      <c r="C39" s="70" t="s">
        <v>55</v>
      </c>
      <c r="D39" s="70" t="s">
        <v>383</v>
      </c>
      <c r="E39" s="81" t="s">
        <v>225</v>
      </c>
      <c r="F39" s="81" t="s">
        <v>225</v>
      </c>
      <c r="G39" s="82">
        <v>13926708.33</v>
      </c>
      <c r="H39" s="35" t="s">
        <v>224</v>
      </c>
    </row>
    <row r="40" spans="1:8">
      <c r="G40" s="79">
        <f>+G38-G39</f>
        <v>20173457.420000002</v>
      </c>
    </row>
    <row r="41" spans="1:8">
      <c r="D41" s="93" t="s">
        <v>231</v>
      </c>
    </row>
    <row r="42" spans="1:8">
      <c r="A42" s="12"/>
      <c r="B42" s="26" t="s">
        <v>157</v>
      </c>
      <c r="C42" s="26" t="s">
        <v>216</v>
      </c>
      <c r="D42" s="26" t="s">
        <v>217</v>
      </c>
      <c r="E42" s="26" t="s">
        <v>218</v>
      </c>
      <c r="F42" s="26" t="s">
        <v>219</v>
      </c>
      <c r="G42" s="26" t="s">
        <v>220</v>
      </c>
    </row>
    <row r="43" spans="1:8" ht="30">
      <c r="A43" s="13"/>
      <c r="B43" s="70" t="s">
        <v>424</v>
      </c>
      <c r="C43" s="70" t="s">
        <v>221</v>
      </c>
      <c r="D43" s="70" t="s">
        <v>449</v>
      </c>
      <c r="E43" s="81" t="s">
        <v>225</v>
      </c>
      <c r="F43" s="81" t="s">
        <v>225</v>
      </c>
      <c r="G43" s="82">
        <v>13926677.300000001</v>
      </c>
      <c r="H43" s="35" t="s">
        <v>223</v>
      </c>
    </row>
    <row r="44" spans="1:8" ht="30">
      <c r="A44" s="13"/>
      <c r="B44" s="70" t="s">
        <v>424</v>
      </c>
      <c r="C44" s="70" t="s">
        <v>222</v>
      </c>
      <c r="D44" s="70" t="s">
        <v>450</v>
      </c>
      <c r="E44" s="83" t="s">
        <v>451</v>
      </c>
      <c r="F44" s="81" t="s">
        <v>225</v>
      </c>
      <c r="G44" s="82">
        <v>34098302.159999996</v>
      </c>
      <c r="H44" s="35" t="s">
        <v>224</v>
      </c>
    </row>
    <row r="45" spans="1:8">
      <c r="G45" s="79">
        <f>+G43-G44</f>
        <v>-20171624.859999996</v>
      </c>
    </row>
    <row r="46" spans="1:8">
      <c r="D46" s="4"/>
      <c r="G46" s="93">
        <f>+G45+G40</f>
        <v>1832.5600000061095</v>
      </c>
      <c r="H46" s="28" t="s">
        <v>231</v>
      </c>
    </row>
    <row r="47" spans="1:8">
      <c r="D47" s="93" t="s">
        <v>231</v>
      </c>
    </row>
    <row r="48" spans="1:8">
      <c r="A48" s="12"/>
      <c r="B48" s="26" t="s">
        <v>157</v>
      </c>
      <c r="C48" s="26" t="s">
        <v>216</v>
      </c>
      <c r="D48" s="92" t="s">
        <v>217</v>
      </c>
      <c r="E48" s="92" t="s">
        <v>218</v>
      </c>
      <c r="F48" s="92" t="s">
        <v>219</v>
      </c>
      <c r="G48" s="92" t="s">
        <v>220</v>
      </c>
    </row>
    <row r="49" spans="1:10">
      <c r="A49" s="13"/>
      <c r="B49" s="70" t="s">
        <v>159</v>
      </c>
      <c r="C49" s="70" t="s">
        <v>93</v>
      </c>
      <c r="D49" s="70" t="s">
        <v>389</v>
      </c>
      <c r="E49" s="87" t="s">
        <v>452</v>
      </c>
      <c r="F49" s="87" t="s">
        <v>453</v>
      </c>
      <c r="G49" s="61">
        <v>56376748.509999998</v>
      </c>
      <c r="H49" s="28" t="s">
        <v>379</v>
      </c>
    </row>
    <row r="50" spans="1:10">
      <c r="A50" s="13"/>
      <c r="B50" s="70" t="s">
        <v>159</v>
      </c>
      <c r="C50" s="70" t="s">
        <v>78</v>
      </c>
      <c r="D50" s="70" t="s">
        <v>384</v>
      </c>
      <c r="E50" s="85" t="s">
        <v>454</v>
      </c>
      <c r="F50" s="85" t="s">
        <v>455</v>
      </c>
      <c r="G50" s="61">
        <v>17529554.129999999</v>
      </c>
      <c r="H50" s="28" t="s">
        <v>378</v>
      </c>
    </row>
    <row r="51" spans="1:10">
      <c r="G51" s="79">
        <f>+G49-G50</f>
        <v>38847194.379999995</v>
      </c>
    </row>
    <row r="53" spans="1:10">
      <c r="A53" s="12"/>
      <c r="B53" s="26" t="s">
        <v>157</v>
      </c>
      <c r="C53" s="26" t="s">
        <v>216</v>
      </c>
      <c r="D53" s="92" t="s">
        <v>217</v>
      </c>
      <c r="E53" s="92" t="s">
        <v>218</v>
      </c>
      <c r="F53" s="92" t="s">
        <v>219</v>
      </c>
      <c r="G53" s="92" t="s">
        <v>220</v>
      </c>
    </row>
    <row r="54" spans="1:10">
      <c r="A54" s="13"/>
      <c r="B54" s="70" t="s">
        <v>304</v>
      </c>
      <c r="C54" s="70" t="s">
        <v>221</v>
      </c>
      <c r="D54" s="70" t="s">
        <v>456</v>
      </c>
      <c r="E54" s="85" t="s">
        <v>457</v>
      </c>
      <c r="F54" s="85" t="s">
        <v>458</v>
      </c>
      <c r="G54" s="61">
        <v>23809422.859999999</v>
      </c>
      <c r="H54" s="28" t="s">
        <v>379</v>
      </c>
    </row>
    <row r="55" spans="1:10">
      <c r="A55" s="13"/>
      <c r="B55" s="70" t="s">
        <v>304</v>
      </c>
      <c r="C55" s="70" t="s">
        <v>222</v>
      </c>
      <c r="D55" s="70" t="s">
        <v>459</v>
      </c>
      <c r="E55" s="87" t="s">
        <v>460</v>
      </c>
      <c r="F55" s="87" t="s">
        <v>461</v>
      </c>
      <c r="G55" s="61">
        <v>56456651.57</v>
      </c>
      <c r="H55" s="28" t="s">
        <v>378</v>
      </c>
    </row>
    <row r="56" spans="1:10">
      <c r="G56" s="79">
        <f>+G54-G55</f>
        <v>-32647228.710000001</v>
      </c>
      <c r="H56" s="28" t="s">
        <v>414</v>
      </c>
    </row>
    <row r="57" spans="1:10">
      <c r="G57" s="93">
        <f>+G51+G56</f>
        <v>6199965.6699999943</v>
      </c>
      <c r="H57" s="93">
        <v>6278825.8200000077</v>
      </c>
      <c r="I57" s="93">
        <f>+H57-G57</f>
        <v>78860.150000013411</v>
      </c>
      <c r="J57" s="93" t="s">
        <v>413</v>
      </c>
    </row>
    <row r="58" spans="1:10">
      <c r="I58" s="93">
        <v>78860.050000019372</v>
      </c>
    </row>
    <row r="59" spans="1:10" s="27" customFormat="1">
      <c r="A59" s="30"/>
      <c r="B59" s="92" t="s">
        <v>157</v>
      </c>
      <c r="C59" s="92" t="s">
        <v>216</v>
      </c>
      <c r="D59" s="92" t="s">
        <v>217</v>
      </c>
      <c r="E59" s="92" t="s">
        <v>218</v>
      </c>
      <c r="F59" s="92" t="s">
        <v>219</v>
      </c>
      <c r="G59" s="92" t="s">
        <v>220</v>
      </c>
      <c r="H59" s="28"/>
    </row>
    <row r="60" spans="1:10" s="27" customFormat="1">
      <c r="A60" s="80"/>
      <c r="B60" s="33" t="s">
        <v>159</v>
      </c>
      <c r="C60" s="33" t="s">
        <v>229</v>
      </c>
      <c r="D60" s="81" t="s">
        <v>225</v>
      </c>
      <c r="E60" s="81" t="s">
        <v>225</v>
      </c>
      <c r="F60" s="81" t="s">
        <v>225</v>
      </c>
      <c r="G60" s="81" t="s">
        <v>225</v>
      </c>
      <c r="H60" s="28"/>
    </row>
    <row r="61" spans="1:10" s="27" customFormat="1">
      <c r="A61" s="80"/>
      <c r="B61" s="33" t="s">
        <v>159</v>
      </c>
      <c r="C61" s="33" t="s">
        <v>66</v>
      </c>
      <c r="D61" s="81" t="s">
        <v>462</v>
      </c>
      <c r="E61" s="83" t="s">
        <v>463</v>
      </c>
      <c r="F61" s="81" t="s">
        <v>464</v>
      </c>
      <c r="G61" s="82">
        <v>142405807.03999999</v>
      </c>
      <c r="H61" s="77" t="s">
        <v>224</v>
      </c>
    </row>
    <row r="64" spans="1:10" s="27" customFormat="1">
      <c r="A64" s="30"/>
      <c r="B64" s="92" t="s">
        <v>157</v>
      </c>
      <c r="C64" s="92" t="s">
        <v>216</v>
      </c>
      <c r="D64" s="92" t="s">
        <v>217</v>
      </c>
      <c r="E64" s="92" t="s">
        <v>218</v>
      </c>
      <c r="F64" s="92" t="s">
        <v>219</v>
      </c>
      <c r="G64" s="92" t="s">
        <v>220</v>
      </c>
      <c r="H64" s="28"/>
    </row>
    <row r="65" spans="1:8" s="27" customFormat="1">
      <c r="A65" s="80"/>
      <c r="B65" s="33" t="s">
        <v>230</v>
      </c>
      <c r="C65" s="33" t="s">
        <v>221</v>
      </c>
      <c r="D65" s="81" t="s">
        <v>465</v>
      </c>
      <c r="E65" s="81" t="s">
        <v>466</v>
      </c>
      <c r="F65" s="83" t="s">
        <v>467</v>
      </c>
      <c r="G65" s="82">
        <v>147971577.08000001</v>
      </c>
      <c r="H65" s="77" t="s">
        <v>223</v>
      </c>
    </row>
    <row r="66" spans="1:8" s="27" customFormat="1">
      <c r="A66" s="80"/>
      <c r="B66" s="33" t="s">
        <v>230</v>
      </c>
      <c r="C66" s="33" t="s">
        <v>222</v>
      </c>
      <c r="D66" s="81" t="s">
        <v>225</v>
      </c>
      <c r="E66" s="81" t="s">
        <v>225</v>
      </c>
      <c r="F66" s="81" t="s">
        <v>225</v>
      </c>
      <c r="G66" s="81" t="s">
        <v>225</v>
      </c>
      <c r="H66" s="28"/>
    </row>
    <row r="67" spans="1:8">
      <c r="D67" s="93">
        <f>154957274.7-155285813.84</f>
        <v>-328539.1400000155</v>
      </c>
      <c r="E67" s="93">
        <f>25851134.81-20612300.49</f>
        <v>5238834.32</v>
      </c>
      <c r="F67" s="93">
        <f>13299667.15-13298063.73</f>
        <v>1603.4199999999255</v>
      </c>
    </row>
    <row r="68" spans="1:8">
      <c r="E68" s="93">
        <f>+E67+D67</f>
        <v>4910295.1799999848</v>
      </c>
      <c r="G68" s="93">
        <f>+G65-G61</f>
        <v>5565770.0400000215</v>
      </c>
      <c r="H68" s="28" t="s">
        <v>338</v>
      </c>
    </row>
    <row r="74" spans="1:8">
      <c r="A74" s="12"/>
      <c r="B74" s="92" t="s">
        <v>157</v>
      </c>
      <c r="C74" s="92" t="s">
        <v>216</v>
      </c>
      <c r="D74" s="92" t="s">
        <v>217</v>
      </c>
      <c r="E74" s="92" t="s">
        <v>218</v>
      </c>
      <c r="F74" s="92" t="s">
        <v>219</v>
      </c>
      <c r="G74" s="92" t="s">
        <v>220</v>
      </c>
    </row>
    <row r="75" spans="1:8">
      <c r="A75" s="13"/>
      <c r="B75" s="33" t="s">
        <v>159</v>
      </c>
      <c r="C75" s="33" t="s">
        <v>95</v>
      </c>
      <c r="D75" s="34" t="s">
        <v>390</v>
      </c>
      <c r="E75" s="34" t="s">
        <v>225</v>
      </c>
      <c r="F75" s="40" t="s">
        <v>468</v>
      </c>
      <c r="G75" s="88">
        <v>84261413.730000004</v>
      </c>
    </row>
    <row r="76" spans="1:8">
      <c r="A76" s="13"/>
      <c r="B76" s="33" t="s">
        <v>159</v>
      </c>
      <c r="C76" s="33" t="s">
        <v>232</v>
      </c>
      <c r="D76" s="34" t="s">
        <v>386</v>
      </c>
      <c r="E76" s="49" t="s">
        <v>225</v>
      </c>
      <c r="F76" s="49" t="s">
        <v>225</v>
      </c>
      <c r="G76" s="88">
        <v>1626039.52</v>
      </c>
    </row>
    <row r="77" spans="1:8">
      <c r="D77" s="93">
        <f>82463308.58-1626039.52</f>
        <v>80837269.060000002</v>
      </c>
      <c r="G77" s="79">
        <f>+G75-G76</f>
        <v>82635374.210000008</v>
      </c>
    </row>
    <row r="79" spans="1:8">
      <c r="A79" s="12"/>
      <c r="B79" s="26" t="s">
        <v>157</v>
      </c>
      <c r="C79" s="26" t="s">
        <v>216</v>
      </c>
      <c r="D79" s="26" t="s">
        <v>217</v>
      </c>
      <c r="E79" s="26" t="s">
        <v>218</v>
      </c>
      <c r="F79" s="26" t="s">
        <v>219</v>
      </c>
      <c r="G79" s="26" t="s">
        <v>220</v>
      </c>
    </row>
    <row r="80" spans="1:8">
      <c r="A80" s="13"/>
      <c r="B80" s="70" t="s">
        <v>233</v>
      </c>
      <c r="C80" s="70" t="s">
        <v>221</v>
      </c>
      <c r="D80" s="81" t="s">
        <v>469</v>
      </c>
      <c r="E80" s="50" t="s">
        <v>225</v>
      </c>
      <c r="F80" s="50" t="s">
        <v>225</v>
      </c>
      <c r="G80" s="82">
        <v>48513605.590000004</v>
      </c>
    </row>
    <row r="81" spans="1:10">
      <c r="A81" s="13"/>
      <c r="B81" s="70" t="s">
        <v>233</v>
      </c>
      <c r="C81" s="70" t="s">
        <v>222</v>
      </c>
      <c r="D81" s="81" t="s">
        <v>470</v>
      </c>
      <c r="E81" s="83" t="s">
        <v>425</v>
      </c>
      <c r="F81" s="81" t="s">
        <v>225</v>
      </c>
      <c r="G81" s="89">
        <v>101591764.56</v>
      </c>
      <c r="H81" s="32"/>
    </row>
    <row r="82" spans="1:10">
      <c r="D82" s="93">
        <f>48513605.59-99793659.24</f>
        <v>-51280053.649999991</v>
      </c>
      <c r="E82" s="47">
        <f>1798105.15-1798105.32</f>
        <v>-0.17000000015832484</v>
      </c>
      <c r="F82" s="47"/>
      <c r="G82" s="79">
        <f>+G80-G81</f>
        <v>-53078158.969999999</v>
      </c>
    </row>
    <row r="83" spans="1:10">
      <c r="D83" s="93">
        <f>+D77+D82</f>
        <v>29557215.410000011</v>
      </c>
      <c r="G83" s="79">
        <f>+G77+G82</f>
        <v>29557215.24000001</v>
      </c>
      <c r="H83" s="28">
        <v>25504642.949999999</v>
      </c>
      <c r="I83" s="79">
        <f>+G83-H83+J92</f>
        <v>4039968.9000000102</v>
      </c>
    </row>
    <row r="85" spans="1:10">
      <c r="B85" s="41"/>
      <c r="C85" s="51" t="s">
        <v>305</v>
      </c>
      <c r="D85" s="51" t="s">
        <v>218</v>
      </c>
      <c r="E85" s="51" t="s">
        <v>219</v>
      </c>
      <c r="F85" s="12"/>
      <c r="G85" s="26" t="s">
        <v>305</v>
      </c>
      <c r="H85" s="51" t="s">
        <v>218</v>
      </c>
      <c r="I85" s="26" t="s">
        <v>219</v>
      </c>
    </row>
    <row r="86" spans="1:10">
      <c r="B86" s="35"/>
      <c r="C86" s="52">
        <v>530130777247</v>
      </c>
      <c r="D86" s="81">
        <v>0</v>
      </c>
      <c r="E86" s="83">
        <v>3851711.51</v>
      </c>
      <c r="F86" s="13"/>
      <c r="G86" s="70" t="s">
        <v>357</v>
      </c>
      <c r="H86" s="83">
        <v>3851711.51</v>
      </c>
      <c r="I86" s="70">
        <v>0</v>
      </c>
    </row>
    <row r="87" spans="1:10">
      <c r="B87" s="35"/>
      <c r="C87" s="52" t="s">
        <v>353</v>
      </c>
      <c r="D87" s="81">
        <v>0</v>
      </c>
      <c r="E87" s="53">
        <v>1756059.04</v>
      </c>
      <c r="F87" s="13"/>
      <c r="G87" s="70" t="s">
        <v>358</v>
      </c>
      <c r="H87" s="83">
        <v>2781179.22</v>
      </c>
      <c r="I87" s="70">
        <v>0</v>
      </c>
    </row>
    <row r="88" spans="1:10">
      <c r="B88" s="35"/>
      <c r="C88" s="52" t="s">
        <v>354</v>
      </c>
      <c r="D88" s="81">
        <v>0</v>
      </c>
      <c r="E88" s="53">
        <v>1690859.84</v>
      </c>
      <c r="F88" s="13"/>
      <c r="G88" s="70" t="s">
        <v>358</v>
      </c>
      <c r="H88" s="83">
        <v>4399293.4800000004</v>
      </c>
      <c r="I88" s="70">
        <v>0</v>
      </c>
    </row>
    <row r="89" spans="1:10">
      <c r="B89" s="35"/>
      <c r="C89" s="52">
        <v>530130813573</v>
      </c>
      <c r="D89" s="81">
        <v>0</v>
      </c>
      <c r="E89" s="83">
        <v>2781179.22</v>
      </c>
      <c r="F89" s="13"/>
      <c r="G89" s="70" t="s">
        <v>359</v>
      </c>
      <c r="H89" s="83">
        <v>1746702.41</v>
      </c>
      <c r="I89" s="70">
        <v>0</v>
      </c>
    </row>
    <row r="90" spans="1:10">
      <c r="B90" s="35"/>
      <c r="C90" s="52">
        <v>530130813573</v>
      </c>
      <c r="D90" s="81">
        <v>0</v>
      </c>
      <c r="E90" s="83">
        <v>4399293.4800000004</v>
      </c>
      <c r="F90" s="13"/>
      <c r="G90" s="70" t="s">
        <v>360</v>
      </c>
      <c r="H90" s="83">
        <v>6664633.4400000004</v>
      </c>
      <c r="I90" s="70">
        <v>0</v>
      </c>
    </row>
    <row r="91" spans="1:10">
      <c r="B91" s="35"/>
      <c r="C91" s="52">
        <v>530130813500</v>
      </c>
      <c r="D91" s="81">
        <v>0</v>
      </c>
      <c r="E91" s="83">
        <v>1746702.12</v>
      </c>
      <c r="F91" s="13"/>
      <c r="G91" s="70" t="s">
        <v>361</v>
      </c>
      <c r="H91" s="81">
        <v>0</v>
      </c>
      <c r="I91" s="56">
        <v>13886.1</v>
      </c>
    </row>
    <row r="92" spans="1:10">
      <c r="B92" s="35"/>
      <c r="C92" s="52" t="s">
        <v>355</v>
      </c>
      <c r="D92" s="81">
        <v>0</v>
      </c>
      <c r="E92" s="53">
        <v>8053477.3200000003</v>
      </c>
      <c r="F92" s="13"/>
      <c r="G92" s="70" t="s">
        <v>362</v>
      </c>
      <c r="H92" s="81">
        <v>0</v>
      </c>
      <c r="I92" s="57">
        <v>74953.97</v>
      </c>
      <c r="J92" s="48">
        <f>+I92-D96</f>
        <v>-12603.39</v>
      </c>
    </row>
    <row r="93" spans="1:10">
      <c r="B93" s="35"/>
      <c r="C93" s="52" t="s">
        <v>355</v>
      </c>
      <c r="D93" s="81">
        <v>0</v>
      </c>
      <c r="E93" s="53">
        <v>3752357.83</v>
      </c>
      <c r="F93" s="13"/>
      <c r="G93" s="70" t="s">
        <v>363</v>
      </c>
      <c r="H93" s="83">
        <v>1643346.4</v>
      </c>
      <c r="I93" s="70">
        <v>0</v>
      </c>
    </row>
    <row r="94" spans="1:10">
      <c r="B94" s="35"/>
      <c r="C94" s="52" t="s">
        <v>355</v>
      </c>
      <c r="D94" s="81">
        <v>0</v>
      </c>
      <c r="E94" s="53">
        <v>2578796.54</v>
      </c>
      <c r="F94" s="13"/>
      <c r="G94" s="70" t="s">
        <v>364</v>
      </c>
      <c r="H94" s="83">
        <v>1375791.58</v>
      </c>
      <c r="I94" s="70">
        <v>0</v>
      </c>
    </row>
    <row r="95" spans="1:10">
      <c r="B95" s="35"/>
      <c r="C95" s="52" t="s">
        <v>355</v>
      </c>
      <c r="D95" s="81">
        <v>0</v>
      </c>
      <c r="E95" s="53">
        <v>1287409.57</v>
      </c>
      <c r="F95" s="13"/>
      <c r="G95" s="70" t="s">
        <v>364</v>
      </c>
      <c r="H95" s="83">
        <v>3570684.22</v>
      </c>
      <c r="I95" s="70">
        <v>0</v>
      </c>
    </row>
    <row r="96" spans="1:10">
      <c r="B96" s="35"/>
      <c r="C96" s="52"/>
      <c r="D96" s="54">
        <v>87557.36</v>
      </c>
      <c r="E96" s="81">
        <v>0</v>
      </c>
    </row>
    <row r="97" spans="1:8">
      <c r="B97" s="35"/>
      <c r="C97" s="52"/>
      <c r="D97" s="55">
        <v>13886.1</v>
      </c>
      <c r="E97" s="81">
        <v>0</v>
      </c>
    </row>
    <row r="98" spans="1:8">
      <c r="B98" s="35"/>
      <c r="C98" s="52">
        <v>530130813582</v>
      </c>
      <c r="D98" s="81">
        <v>0</v>
      </c>
      <c r="E98" s="83">
        <v>6664633.4400000004</v>
      </c>
    </row>
    <row r="99" spans="1:8">
      <c r="B99" s="35"/>
      <c r="C99" s="52">
        <v>530130817962</v>
      </c>
      <c r="D99" s="81">
        <v>0</v>
      </c>
      <c r="E99" s="83">
        <v>1643346.4</v>
      </c>
    </row>
    <row r="100" spans="1:8">
      <c r="B100" s="35"/>
      <c r="C100" s="52" t="s">
        <v>355</v>
      </c>
      <c r="D100" s="81">
        <v>0</v>
      </c>
      <c r="E100" s="53">
        <v>4735532.63</v>
      </c>
    </row>
    <row r="101" spans="1:8">
      <c r="B101" s="35"/>
      <c r="C101" s="52" t="s">
        <v>356</v>
      </c>
      <c r="D101" s="81">
        <v>0</v>
      </c>
      <c r="E101" s="53">
        <v>1650150.18</v>
      </c>
    </row>
    <row r="102" spans="1:8">
      <c r="B102" s="35"/>
      <c r="C102" s="52">
        <v>530130643294</v>
      </c>
      <c r="D102" s="81">
        <v>0</v>
      </c>
      <c r="E102" s="83">
        <v>1375791.58</v>
      </c>
    </row>
    <row r="103" spans="1:8">
      <c r="B103" s="35"/>
      <c r="C103" s="52">
        <v>530130643294</v>
      </c>
      <c r="D103" s="81">
        <v>0</v>
      </c>
      <c r="E103" s="83">
        <v>3570684.22</v>
      </c>
    </row>
    <row r="107" spans="1:8">
      <c r="A107" s="12"/>
      <c r="B107" s="26" t="s">
        <v>157</v>
      </c>
      <c r="C107" s="26" t="s">
        <v>216</v>
      </c>
      <c r="D107" s="26" t="s">
        <v>217</v>
      </c>
      <c r="E107" s="26" t="s">
        <v>218</v>
      </c>
      <c r="F107" s="26" t="s">
        <v>219</v>
      </c>
      <c r="G107" s="26" t="s">
        <v>220</v>
      </c>
    </row>
    <row r="108" spans="1:8">
      <c r="A108" s="13"/>
      <c r="B108" s="70" t="s">
        <v>159</v>
      </c>
      <c r="C108" s="70" t="s">
        <v>273</v>
      </c>
      <c r="D108" s="70" t="s">
        <v>368</v>
      </c>
      <c r="E108" s="70" t="s">
        <v>225</v>
      </c>
      <c r="F108" s="85" t="s">
        <v>225</v>
      </c>
      <c r="G108" s="61">
        <v>2303052.13</v>
      </c>
      <c r="H108" s="28" t="s">
        <v>223</v>
      </c>
    </row>
    <row r="109" spans="1:8">
      <c r="A109" s="13"/>
      <c r="B109" s="70" t="s">
        <v>159</v>
      </c>
      <c r="C109" s="70" t="s">
        <v>259</v>
      </c>
      <c r="D109" s="70" t="s">
        <v>369</v>
      </c>
      <c r="E109" s="70" t="s">
        <v>225</v>
      </c>
      <c r="F109" s="70" t="s">
        <v>225</v>
      </c>
      <c r="G109" s="61">
        <v>296204.88</v>
      </c>
      <c r="H109" s="28" t="s">
        <v>224</v>
      </c>
    </row>
    <row r="110" spans="1:8">
      <c r="B110" s="93" t="s">
        <v>159</v>
      </c>
      <c r="C110" s="93" t="s">
        <v>103</v>
      </c>
      <c r="D110" s="93" t="s">
        <v>484</v>
      </c>
      <c r="E110" s="93" t="s">
        <v>225</v>
      </c>
      <c r="F110" s="93" t="s">
        <v>485</v>
      </c>
      <c r="G110" s="79">
        <v>15672360.32</v>
      </c>
      <c r="H110" s="28" t="s">
        <v>223</v>
      </c>
    </row>
    <row r="111" spans="1:8" ht="30">
      <c r="B111" s="70" t="s">
        <v>159</v>
      </c>
      <c r="C111" s="70" t="s">
        <v>365</v>
      </c>
      <c r="D111" s="70" t="s">
        <v>225</v>
      </c>
      <c r="E111" s="70" t="s">
        <v>225</v>
      </c>
      <c r="F111" s="70" t="s">
        <v>225</v>
      </c>
      <c r="G111" s="61">
        <v>0</v>
      </c>
      <c r="H111" s="28" t="s">
        <v>224</v>
      </c>
    </row>
    <row r="112" spans="1:8">
      <c r="B112" s="70"/>
      <c r="C112" s="70"/>
      <c r="D112" s="70"/>
      <c r="E112" s="70"/>
      <c r="F112" s="70"/>
      <c r="G112" s="61"/>
    </row>
    <row r="113" spans="1:9">
      <c r="G113" s="79">
        <f>+G108-G109+G110</f>
        <v>17679207.57</v>
      </c>
      <c r="H113" s="32"/>
    </row>
    <row r="114" spans="1:9">
      <c r="A114" s="12"/>
      <c r="B114" s="26" t="s">
        <v>157</v>
      </c>
      <c r="C114" s="26" t="s">
        <v>216</v>
      </c>
      <c r="D114" s="26" t="s">
        <v>217</v>
      </c>
      <c r="E114" s="26" t="s">
        <v>218</v>
      </c>
      <c r="F114" s="26" t="s">
        <v>219</v>
      </c>
      <c r="G114" s="26" t="s">
        <v>220</v>
      </c>
    </row>
    <row r="115" spans="1:9" ht="30">
      <c r="A115" s="13"/>
      <c r="B115" s="70" t="s">
        <v>366</v>
      </c>
      <c r="C115" s="70" t="s">
        <v>481</v>
      </c>
      <c r="D115" s="70" t="s">
        <v>225</v>
      </c>
      <c r="E115" s="70" t="s">
        <v>225</v>
      </c>
      <c r="F115" s="70" t="s">
        <v>225</v>
      </c>
      <c r="G115" s="61">
        <v>0</v>
      </c>
      <c r="H115" s="28" t="s">
        <v>223</v>
      </c>
    </row>
    <row r="116" spans="1:9">
      <c r="A116" s="13"/>
      <c r="B116" s="70" t="s">
        <v>366</v>
      </c>
      <c r="C116" s="70" t="s">
        <v>221</v>
      </c>
      <c r="D116" s="70" t="s">
        <v>367</v>
      </c>
      <c r="E116" s="85" t="s">
        <v>225</v>
      </c>
      <c r="F116" s="70" t="s">
        <v>225</v>
      </c>
      <c r="G116" s="61">
        <v>296188.38</v>
      </c>
      <c r="H116" s="28" t="s">
        <v>224</v>
      </c>
    </row>
    <row r="117" spans="1:9">
      <c r="B117" s="69" t="s">
        <v>366</v>
      </c>
      <c r="C117" s="69" t="s">
        <v>222</v>
      </c>
      <c r="D117" s="69" t="s">
        <v>482</v>
      </c>
      <c r="E117" s="69" t="s">
        <v>483</v>
      </c>
      <c r="F117" s="69" t="s">
        <v>225</v>
      </c>
      <c r="G117" s="91">
        <v>17978265.91</v>
      </c>
    </row>
    <row r="118" spans="1:9">
      <c r="G118" s="79">
        <f>+G116+G117</f>
        <v>18274454.289999999</v>
      </c>
      <c r="H118" s="32"/>
      <c r="I118" s="93" t="s">
        <v>370</v>
      </c>
    </row>
    <row r="119" spans="1:9">
      <c r="G119" s="79">
        <f>+G118-G113</f>
        <v>595246.71999999881</v>
      </c>
    </row>
    <row r="121" spans="1:9">
      <c r="A121" s="12"/>
      <c r="B121" s="26" t="s">
        <v>157</v>
      </c>
      <c r="C121" s="26" t="s">
        <v>216</v>
      </c>
      <c r="D121" s="26" t="s">
        <v>217</v>
      </c>
      <c r="E121" s="26" t="s">
        <v>218</v>
      </c>
      <c r="F121" s="26" t="s">
        <v>219</v>
      </c>
      <c r="G121" s="26" t="s">
        <v>220</v>
      </c>
    </row>
    <row r="122" spans="1:9">
      <c r="A122" s="13"/>
      <c r="B122" s="70" t="s">
        <v>159</v>
      </c>
      <c r="C122" s="70" t="s">
        <v>268</v>
      </c>
      <c r="D122" s="70" t="s">
        <v>480</v>
      </c>
      <c r="E122" s="70" t="s">
        <v>225</v>
      </c>
      <c r="F122" s="70" t="s">
        <v>225</v>
      </c>
      <c r="G122" s="61">
        <v>32434028.379999999</v>
      </c>
    </row>
    <row r="125" spans="1:9">
      <c r="A125" s="12"/>
      <c r="B125" s="26" t="s">
        <v>157</v>
      </c>
      <c r="C125" s="26" t="s">
        <v>216</v>
      </c>
      <c r="D125" s="26" t="s">
        <v>217</v>
      </c>
      <c r="E125" s="26" t="s">
        <v>218</v>
      </c>
      <c r="F125" s="26" t="s">
        <v>219</v>
      </c>
      <c r="G125" s="26" t="s">
        <v>220</v>
      </c>
    </row>
    <row r="126" spans="1:9">
      <c r="A126" s="13"/>
      <c r="B126" s="70" t="s">
        <v>371</v>
      </c>
      <c r="C126" s="70" t="s">
        <v>222</v>
      </c>
      <c r="D126" s="70" t="s">
        <v>479</v>
      </c>
      <c r="E126" s="70" t="s">
        <v>225</v>
      </c>
      <c r="F126" s="70" t="s">
        <v>225</v>
      </c>
      <c r="G126" s="61">
        <v>36434027.990000002</v>
      </c>
    </row>
    <row r="127" spans="1:9">
      <c r="G127" s="79">
        <f>+G126-G122</f>
        <v>3999999.6100000031</v>
      </c>
    </row>
    <row r="129" spans="1:8">
      <c r="A129" s="12"/>
      <c r="B129" s="26" t="s">
        <v>25</v>
      </c>
      <c r="C129" s="26" t="s">
        <v>339</v>
      </c>
      <c r="D129" s="26" t="s">
        <v>27</v>
      </c>
      <c r="E129" s="26" t="s">
        <v>28</v>
      </c>
      <c r="F129" s="26" t="s">
        <v>305</v>
      </c>
      <c r="G129" s="26" t="s">
        <v>218</v>
      </c>
      <c r="H129" s="60" t="s">
        <v>375</v>
      </c>
    </row>
    <row r="130" spans="1:8" ht="30">
      <c r="A130" s="13"/>
      <c r="B130" s="59">
        <v>44450</v>
      </c>
      <c r="C130" s="70" t="s">
        <v>282</v>
      </c>
      <c r="D130" s="70" t="s">
        <v>372</v>
      </c>
      <c r="E130" s="70">
        <v>1326</v>
      </c>
      <c r="F130" s="70" t="s">
        <v>373</v>
      </c>
      <c r="G130" s="70">
        <v>4000000</v>
      </c>
      <c r="H130" s="58" t="s">
        <v>374</v>
      </c>
    </row>
    <row r="134" spans="1:8">
      <c r="A134" s="12"/>
      <c r="B134" s="26" t="s">
        <v>157</v>
      </c>
      <c r="C134" s="26" t="s">
        <v>216</v>
      </c>
      <c r="D134" s="26" t="s">
        <v>217</v>
      </c>
      <c r="E134" s="26" t="s">
        <v>218</v>
      </c>
      <c r="F134" s="26" t="s">
        <v>219</v>
      </c>
      <c r="G134" s="26" t="s">
        <v>220</v>
      </c>
    </row>
    <row r="135" spans="1:8" ht="30">
      <c r="A135" s="13"/>
      <c r="B135" s="70" t="s">
        <v>159</v>
      </c>
      <c r="C135" s="70" t="s">
        <v>274</v>
      </c>
      <c r="D135" s="70" t="s">
        <v>471</v>
      </c>
      <c r="E135" s="70" t="s">
        <v>225</v>
      </c>
      <c r="F135" s="70" t="s">
        <v>472</v>
      </c>
      <c r="G135" s="61" t="s">
        <v>473</v>
      </c>
      <c r="H135" s="28" t="s">
        <v>379</v>
      </c>
    </row>
    <row r="136" spans="1:8" ht="30">
      <c r="A136" s="13"/>
      <c r="B136" s="70" t="s">
        <v>159</v>
      </c>
      <c r="C136" s="70" t="s">
        <v>376</v>
      </c>
      <c r="D136" s="70" t="s">
        <v>474</v>
      </c>
      <c r="E136" s="70" t="s">
        <v>225</v>
      </c>
      <c r="F136" s="70" t="s">
        <v>225</v>
      </c>
      <c r="G136" s="70" t="s">
        <v>474</v>
      </c>
      <c r="H136" s="28" t="s">
        <v>224</v>
      </c>
    </row>
    <row r="137" spans="1:8">
      <c r="G137" s="93">
        <f>6170440.44-983362.56</f>
        <v>5187077.8800000008</v>
      </c>
    </row>
    <row r="140" spans="1:8">
      <c r="A140" s="12"/>
      <c r="B140" s="26" t="s">
        <v>157</v>
      </c>
      <c r="C140" s="26" t="s">
        <v>216</v>
      </c>
      <c r="D140" s="26" t="s">
        <v>217</v>
      </c>
      <c r="E140" s="26" t="s">
        <v>218</v>
      </c>
      <c r="F140" s="26" t="s">
        <v>219</v>
      </c>
      <c r="G140" s="26" t="s">
        <v>220</v>
      </c>
    </row>
    <row r="141" spans="1:8" ht="30">
      <c r="A141" s="13"/>
      <c r="B141" s="70" t="s">
        <v>377</v>
      </c>
      <c r="C141" s="70" t="s">
        <v>221</v>
      </c>
      <c r="D141" s="70" t="s">
        <v>475</v>
      </c>
      <c r="E141" s="70" t="s">
        <v>225</v>
      </c>
      <c r="F141" s="70" t="s">
        <v>225</v>
      </c>
      <c r="G141" s="61" t="s">
        <v>475</v>
      </c>
      <c r="H141" s="28" t="s">
        <v>223</v>
      </c>
    </row>
    <row r="142" spans="1:8">
      <c r="B142" s="69" t="s">
        <v>377</v>
      </c>
      <c r="C142" s="69" t="s">
        <v>222</v>
      </c>
      <c r="D142" s="69" t="s">
        <v>476</v>
      </c>
      <c r="E142" s="69" t="s">
        <v>477</v>
      </c>
      <c r="F142" s="69" t="s">
        <v>225</v>
      </c>
      <c r="G142" s="69" t="s">
        <v>478</v>
      </c>
      <c r="H142" s="28" t="s">
        <v>224</v>
      </c>
    </row>
    <row r="143" spans="1:8">
      <c r="G143" s="93">
        <f>983362.56-6170440.44</f>
        <v>-5187077.8800000008</v>
      </c>
    </row>
    <row r="144" spans="1:8">
      <c r="G144" s="93">
        <f>+G137+G143</f>
        <v>0</v>
      </c>
      <c r="H144" s="60" t="s">
        <v>380</v>
      </c>
    </row>
    <row r="151" spans="4:6">
      <c r="D151" s="93" t="s">
        <v>219</v>
      </c>
      <c r="F151" s="93" t="s">
        <v>218</v>
      </c>
    </row>
    <row r="152" spans="4:6">
      <c r="D152" s="90">
        <v>1802776.8</v>
      </c>
      <c r="F152" s="90">
        <v>5466104.25</v>
      </c>
    </row>
    <row r="153" spans="4:6">
      <c r="D153" s="90">
        <v>5742007.9400000004</v>
      </c>
      <c r="F153" s="90">
        <v>2165999.54</v>
      </c>
    </row>
    <row r="154" spans="4:6">
      <c r="D154" s="90">
        <v>5466103.5</v>
      </c>
      <c r="F154" s="90">
        <v>3129462.29</v>
      </c>
    </row>
    <row r="155" spans="4:6">
      <c r="D155" s="93">
        <v>1802776.8</v>
      </c>
      <c r="F155" s="90">
        <v>1802776.8</v>
      </c>
    </row>
    <row r="156" spans="4:6">
      <c r="D156" s="93">
        <v>5742007.9400000004</v>
      </c>
      <c r="F156" s="90">
        <v>5742007.9400000004</v>
      </c>
    </row>
    <row r="157" spans="4:6">
      <c r="D157" s="93">
        <v>0</v>
      </c>
      <c r="F157" s="93">
        <v>0</v>
      </c>
    </row>
    <row r="158" spans="4:6">
      <c r="D158" s="90">
        <v>2165999.54</v>
      </c>
      <c r="F158" s="93">
        <v>0</v>
      </c>
    </row>
    <row r="159" spans="4:6">
      <c r="D159" s="90">
        <v>3129462.29</v>
      </c>
      <c r="F159" s="93">
        <v>2305949.6800000002</v>
      </c>
    </row>
    <row r="161" spans="1:15">
      <c r="D161" s="93">
        <f>+D155+D156</f>
        <v>7544784.7400000002</v>
      </c>
      <c r="F161" s="93">
        <f>+F159</f>
        <v>2305949.6800000002</v>
      </c>
    </row>
    <row r="162" spans="1:15">
      <c r="F162" s="93">
        <f>+D161-F161</f>
        <v>5238835.0600000005</v>
      </c>
    </row>
    <row r="163" spans="1:15">
      <c r="I163" s="12"/>
      <c r="J163" s="12" t="s">
        <v>218</v>
      </c>
      <c r="K163" s="12" t="s">
        <v>219</v>
      </c>
      <c r="L163" s="12"/>
      <c r="M163" s="12" t="s">
        <v>218</v>
      </c>
      <c r="N163" s="12" t="s">
        <v>219</v>
      </c>
    </row>
    <row r="164" spans="1:15">
      <c r="I164" s="13"/>
      <c r="J164" s="46">
        <v>108858.36</v>
      </c>
      <c r="K164" s="14">
        <v>0</v>
      </c>
      <c r="L164" s="13"/>
      <c r="M164" s="14">
        <v>0</v>
      </c>
      <c r="N164" s="46">
        <v>108858</v>
      </c>
      <c r="O164" s="93">
        <f>+J164-N164</f>
        <v>0.36000000000058208</v>
      </c>
    </row>
    <row r="165" spans="1:15">
      <c r="I165" s="13"/>
      <c r="J165" s="99">
        <v>33360</v>
      </c>
      <c r="K165" s="14">
        <v>0</v>
      </c>
      <c r="L165" s="13"/>
      <c r="M165" s="14">
        <v>0</v>
      </c>
      <c r="N165" s="99">
        <v>33360</v>
      </c>
      <c r="O165" s="93">
        <f>+J165-N165</f>
        <v>0</v>
      </c>
    </row>
    <row r="166" spans="1:15">
      <c r="I166" s="13"/>
      <c r="J166" s="99">
        <v>74400</v>
      </c>
      <c r="K166" s="14">
        <v>0</v>
      </c>
      <c r="L166" s="13"/>
      <c r="M166" s="14">
        <v>0</v>
      </c>
      <c r="N166" s="99">
        <v>74400</v>
      </c>
      <c r="O166" s="93">
        <f>+J166-N166</f>
        <v>0</v>
      </c>
    </row>
    <row r="167" spans="1:15">
      <c r="I167" s="13"/>
      <c r="J167" s="99">
        <v>60420</v>
      </c>
      <c r="K167" s="14">
        <v>0</v>
      </c>
      <c r="L167" s="13"/>
      <c r="M167" s="14">
        <v>0</v>
      </c>
      <c r="N167" s="99">
        <v>60420</v>
      </c>
      <c r="O167" s="93">
        <f>+J167-N167</f>
        <v>0</v>
      </c>
    </row>
    <row r="168" spans="1:15">
      <c r="I168" s="13"/>
      <c r="J168" s="99">
        <v>6397.07</v>
      </c>
      <c r="K168" s="14">
        <v>0</v>
      </c>
      <c r="L168" s="13"/>
      <c r="M168" s="14">
        <v>0</v>
      </c>
      <c r="N168" s="99">
        <v>82608</v>
      </c>
    </row>
    <row r="169" spans="1:15">
      <c r="I169" s="13"/>
      <c r="J169" s="99">
        <v>82608</v>
      </c>
      <c r="K169" s="14">
        <v>0</v>
      </c>
      <c r="L169" s="13"/>
      <c r="M169" s="14">
        <v>0</v>
      </c>
      <c r="N169" s="99">
        <v>26652</v>
      </c>
    </row>
    <row r="170" spans="1:15">
      <c r="I170" s="13"/>
      <c r="J170" s="99">
        <v>26652</v>
      </c>
      <c r="K170" s="14">
        <v>0</v>
      </c>
      <c r="L170" s="13"/>
      <c r="M170" s="14">
        <v>0</v>
      </c>
      <c r="N170" s="99">
        <v>6397</v>
      </c>
    </row>
    <row r="171" spans="1:15">
      <c r="A171" s="12"/>
      <c r="B171" s="12" t="s">
        <v>157</v>
      </c>
      <c r="C171" s="12" t="s">
        <v>216</v>
      </c>
      <c r="D171" s="12" t="s">
        <v>217</v>
      </c>
      <c r="E171" s="12" t="s">
        <v>218</v>
      </c>
      <c r="F171" s="12" t="s">
        <v>219</v>
      </c>
      <c r="G171" s="12" t="s">
        <v>220</v>
      </c>
      <c r="I171" s="13"/>
      <c r="J171" s="99">
        <v>36000</v>
      </c>
      <c r="K171" s="14">
        <v>0</v>
      </c>
      <c r="L171" s="13"/>
      <c r="M171" s="14">
        <v>0</v>
      </c>
      <c r="N171" s="99">
        <v>36000</v>
      </c>
      <c r="O171" s="93">
        <f>+J171-N171</f>
        <v>0</v>
      </c>
    </row>
    <row r="172" spans="1:15">
      <c r="A172" s="13"/>
      <c r="B172" s="14" t="s">
        <v>159</v>
      </c>
      <c r="C172" s="14" t="s">
        <v>87</v>
      </c>
      <c r="D172" s="14" t="s">
        <v>507</v>
      </c>
      <c r="E172" s="46" t="s">
        <v>508</v>
      </c>
      <c r="F172" s="46" t="s">
        <v>509</v>
      </c>
      <c r="G172" s="98">
        <v>1293773286.96</v>
      </c>
      <c r="I172" s="13"/>
      <c r="J172" s="46">
        <v>1233548.68</v>
      </c>
      <c r="K172" s="14">
        <v>0</v>
      </c>
      <c r="L172" s="13"/>
      <c r="M172" s="14">
        <v>0</v>
      </c>
      <c r="N172" s="46">
        <v>1233549</v>
      </c>
      <c r="O172" s="93">
        <f>+J172-N172</f>
        <v>-0.32000000006519258</v>
      </c>
    </row>
    <row r="173" spans="1:15">
      <c r="A173" s="13"/>
      <c r="B173" s="14" t="s">
        <v>159</v>
      </c>
      <c r="C173" s="14" t="s">
        <v>61</v>
      </c>
      <c r="D173" s="14" t="s">
        <v>510</v>
      </c>
      <c r="E173" s="14" t="s">
        <v>511</v>
      </c>
      <c r="F173" s="14" t="s">
        <v>512</v>
      </c>
      <c r="G173" s="98">
        <v>384464257.25</v>
      </c>
      <c r="I173" s="13"/>
      <c r="J173" s="46">
        <v>3216792.14</v>
      </c>
      <c r="K173" s="14">
        <v>0</v>
      </c>
      <c r="L173" s="13"/>
      <c r="M173" s="14">
        <v>0</v>
      </c>
      <c r="N173" s="46">
        <v>3216792</v>
      </c>
      <c r="O173" s="93">
        <f>+J173-N173</f>
        <v>0.14000000013038516</v>
      </c>
    </row>
    <row r="174" spans="1:15">
      <c r="D174" s="93">
        <f>1186716918.26-365461935.55</f>
        <v>821254982.71000004</v>
      </c>
      <c r="G174" s="79">
        <f>+G172-G173</f>
        <v>909309029.71000004</v>
      </c>
      <c r="I174" s="13"/>
      <c r="J174" s="99">
        <v>72000</v>
      </c>
      <c r="K174" s="14">
        <v>0</v>
      </c>
      <c r="L174" s="13"/>
      <c r="M174" s="14">
        <v>0</v>
      </c>
      <c r="N174" s="99">
        <v>72000</v>
      </c>
      <c r="O174" s="93">
        <f>+J174-N174</f>
        <v>0</v>
      </c>
    </row>
    <row r="175" spans="1:15">
      <c r="I175" s="13"/>
      <c r="J175" s="99">
        <v>24780</v>
      </c>
      <c r="K175" s="14">
        <v>0</v>
      </c>
      <c r="L175" s="13"/>
      <c r="M175" s="14">
        <v>0</v>
      </c>
      <c r="N175" s="99">
        <v>24780</v>
      </c>
      <c r="O175" s="93">
        <f>+J175-N175</f>
        <v>0</v>
      </c>
    </row>
    <row r="176" spans="1:15">
      <c r="A176" s="12"/>
      <c r="B176" s="12" t="s">
        <v>157</v>
      </c>
      <c r="C176" s="12" t="s">
        <v>216</v>
      </c>
      <c r="D176" s="12" t="s">
        <v>217</v>
      </c>
      <c r="E176" s="12" t="s">
        <v>218</v>
      </c>
      <c r="F176" s="12" t="s">
        <v>219</v>
      </c>
      <c r="G176" s="12" t="s">
        <v>220</v>
      </c>
      <c r="I176" s="13"/>
      <c r="J176" s="99">
        <v>16248</v>
      </c>
      <c r="K176" s="14">
        <v>0</v>
      </c>
      <c r="L176" s="13"/>
      <c r="M176" s="14">
        <v>0</v>
      </c>
      <c r="N176" s="99">
        <v>47520</v>
      </c>
    </row>
    <row r="177" spans="1:15">
      <c r="A177" s="13"/>
      <c r="B177" s="14" t="s">
        <v>302</v>
      </c>
      <c r="C177" s="14" t="s">
        <v>221</v>
      </c>
      <c r="D177" s="14" t="s">
        <v>513</v>
      </c>
      <c r="E177" s="14" t="s">
        <v>514</v>
      </c>
      <c r="F177" s="14" t="s">
        <v>515</v>
      </c>
      <c r="G177" s="98">
        <v>490479392.17000002</v>
      </c>
      <c r="I177" s="13"/>
      <c r="J177" s="99">
        <v>47520</v>
      </c>
      <c r="K177" s="14">
        <v>0</v>
      </c>
      <c r="L177" s="13"/>
      <c r="M177" s="14">
        <v>0</v>
      </c>
      <c r="N177" s="99">
        <v>16248</v>
      </c>
    </row>
    <row r="178" spans="1:15">
      <c r="A178" s="13"/>
      <c r="B178" s="14" t="s">
        <v>302</v>
      </c>
      <c r="C178" s="14" t="s">
        <v>222</v>
      </c>
      <c r="D178" s="14" t="s">
        <v>516</v>
      </c>
      <c r="E178" s="46" t="s">
        <v>517</v>
      </c>
      <c r="F178" s="46" t="s">
        <v>518</v>
      </c>
      <c r="G178" s="98">
        <v>1400077385.51</v>
      </c>
      <c r="I178" s="13"/>
      <c r="J178" s="46">
        <v>208991.16</v>
      </c>
      <c r="K178" s="14">
        <v>0</v>
      </c>
      <c r="L178" s="13"/>
      <c r="M178" s="14">
        <v>0</v>
      </c>
      <c r="N178" s="46">
        <v>208991</v>
      </c>
      <c r="O178" s="93">
        <f>+J178-N178</f>
        <v>0.16000000000349246</v>
      </c>
    </row>
    <row r="179" spans="1:15">
      <c r="D179" s="93">
        <f>1293021016.82-471766043.17</f>
        <v>821254973.64999986</v>
      </c>
      <c r="E179" s="93">
        <f>719308.1-718328</f>
        <v>980.09999999997672</v>
      </c>
      <c r="F179" s="93">
        <f>19721629.8-19431677</f>
        <v>289952.80000000075</v>
      </c>
      <c r="G179" s="79">
        <f>+G178-G177</f>
        <v>909597993.33999991</v>
      </c>
      <c r="I179" s="13"/>
      <c r="J179" s="46">
        <v>719480.08</v>
      </c>
      <c r="K179" s="14">
        <v>0</v>
      </c>
      <c r="L179" s="13"/>
      <c r="M179" s="99">
        <v>9092</v>
      </c>
      <c r="N179" s="14">
        <v>0</v>
      </c>
    </row>
    <row r="180" spans="1:15">
      <c r="D180" s="93" t="s">
        <v>231</v>
      </c>
      <c r="G180" s="79">
        <f>+G179-G174</f>
        <v>288963.62999987602</v>
      </c>
      <c r="I180" s="13"/>
      <c r="J180" s="99">
        <v>38640</v>
      </c>
      <c r="K180" s="14">
        <v>0</v>
      </c>
      <c r="L180" s="13"/>
      <c r="M180" s="14">
        <v>0</v>
      </c>
      <c r="N180" s="46">
        <v>719480</v>
      </c>
    </row>
    <row r="181" spans="1:15">
      <c r="I181" s="13"/>
      <c r="J181" s="99">
        <v>75792</v>
      </c>
      <c r="K181" s="14">
        <v>0</v>
      </c>
      <c r="L181" s="13"/>
      <c r="M181" s="14">
        <v>0</v>
      </c>
      <c r="N181" s="99">
        <v>38640</v>
      </c>
    </row>
    <row r="182" spans="1:15">
      <c r="A182" s="12"/>
      <c r="B182" s="12" t="s">
        <v>157</v>
      </c>
      <c r="C182" s="12" t="s">
        <v>216</v>
      </c>
      <c r="D182" s="12" t="s">
        <v>217</v>
      </c>
      <c r="E182" s="12" t="s">
        <v>218</v>
      </c>
      <c r="F182" s="12" t="s">
        <v>219</v>
      </c>
      <c r="G182" s="12" t="s">
        <v>220</v>
      </c>
      <c r="I182" s="13"/>
      <c r="J182" s="99">
        <v>36720</v>
      </c>
      <c r="K182" s="14">
        <v>0</v>
      </c>
      <c r="L182" s="13"/>
      <c r="M182" s="14">
        <v>0</v>
      </c>
      <c r="N182" s="99">
        <v>75792</v>
      </c>
    </row>
    <row r="183" spans="1:15">
      <c r="A183" s="13"/>
      <c r="B183" s="14" t="s">
        <v>159</v>
      </c>
      <c r="C183" s="14" t="s">
        <v>87</v>
      </c>
      <c r="D183" s="14" t="s">
        <v>519</v>
      </c>
      <c r="E183" s="14" t="s">
        <v>225</v>
      </c>
      <c r="F183" s="46" t="s">
        <v>520</v>
      </c>
      <c r="G183" s="98">
        <v>1293773286.96</v>
      </c>
      <c r="I183" s="13"/>
      <c r="J183" s="99">
        <v>45184.04</v>
      </c>
      <c r="K183" s="14">
        <v>0</v>
      </c>
      <c r="L183" s="13"/>
      <c r="M183" s="14">
        <v>0</v>
      </c>
      <c r="N183" s="99">
        <v>36720</v>
      </c>
    </row>
    <row r="184" spans="1:15">
      <c r="A184" s="13"/>
      <c r="B184" s="14" t="s">
        <v>159</v>
      </c>
      <c r="C184" s="14" t="s">
        <v>61</v>
      </c>
      <c r="D184" s="14" t="s">
        <v>521</v>
      </c>
      <c r="E184" s="14" t="s">
        <v>522</v>
      </c>
      <c r="F184" s="14" t="s">
        <v>225</v>
      </c>
      <c r="G184" s="98">
        <v>384464257.25</v>
      </c>
      <c r="I184" s="13"/>
      <c r="J184" s="99">
        <v>23772</v>
      </c>
      <c r="K184" s="14">
        <v>0</v>
      </c>
      <c r="L184" s="13"/>
      <c r="M184" s="14">
        <v>0</v>
      </c>
      <c r="N184" s="99">
        <v>45184</v>
      </c>
    </row>
    <row r="185" spans="1:15">
      <c r="D185" s="93">
        <f>1223846496.54-374836538.38</f>
        <v>849009958.15999997</v>
      </c>
      <c r="G185" s="79">
        <f>+G183-G184</f>
        <v>909309029.71000004</v>
      </c>
      <c r="I185" s="13"/>
      <c r="J185" s="14">
        <v>0</v>
      </c>
      <c r="K185" s="99">
        <v>9092</v>
      </c>
      <c r="L185" s="13"/>
      <c r="M185" s="14">
        <v>0</v>
      </c>
      <c r="N185" s="99">
        <v>23772</v>
      </c>
    </row>
    <row r="186" spans="1:15">
      <c r="I186" s="13"/>
      <c r="J186" s="46">
        <v>439685.48</v>
      </c>
      <c r="K186" s="14">
        <v>0</v>
      </c>
      <c r="L186" s="13"/>
      <c r="M186" s="14">
        <v>0</v>
      </c>
      <c r="N186" s="99">
        <v>32304</v>
      </c>
    </row>
    <row r="187" spans="1:15">
      <c r="A187" s="12"/>
      <c r="B187" s="12" t="s">
        <v>157</v>
      </c>
      <c r="C187" s="12" t="s">
        <v>216</v>
      </c>
      <c r="D187" s="12" t="s">
        <v>217</v>
      </c>
      <c r="E187" s="12" t="s">
        <v>218</v>
      </c>
      <c r="F187" s="12" t="s">
        <v>219</v>
      </c>
      <c r="G187" s="12" t="s">
        <v>220</v>
      </c>
      <c r="I187" s="13"/>
      <c r="J187" s="99">
        <v>51940</v>
      </c>
      <c r="K187" s="14">
        <v>0</v>
      </c>
      <c r="L187" s="13"/>
      <c r="M187" s="14">
        <v>0</v>
      </c>
      <c r="N187" s="46">
        <v>439685</v>
      </c>
    </row>
    <row r="188" spans="1:15">
      <c r="A188" s="13"/>
      <c r="B188" s="14" t="s">
        <v>302</v>
      </c>
      <c r="C188" s="14" t="s">
        <v>221</v>
      </c>
      <c r="D188" s="14" t="s">
        <v>523</v>
      </c>
      <c r="E188" s="14" t="s">
        <v>225</v>
      </c>
      <c r="F188" s="14" t="s">
        <v>524</v>
      </c>
      <c r="G188" s="98">
        <v>490479392.17000002</v>
      </c>
      <c r="I188" s="13"/>
      <c r="J188" s="99">
        <v>23700</v>
      </c>
      <c r="K188" s="14">
        <v>0</v>
      </c>
      <c r="L188" s="13"/>
      <c r="M188" s="14">
        <v>0</v>
      </c>
      <c r="N188" s="99">
        <v>51940</v>
      </c>
    </row>
    <row r="189" spans="1:15">
      <c r="A189" s="13"/>
      <c r="B189" s="14" t="s">
        <v>302</v>
      </c>
      <c r="C189" s="14" t="s">
        <v>222</v>
      </c>
      <c r="D189" s="14" t="s">
        <v>525</v>
      </c>
      <c r="E189" s="46" t="s">
        <v>526</v>
      </c>
      <c r="F189" s="14" t="s">
        <v>225</v>
      </c>
      <c r="G189" s="98">
        <v>1400077385.51</v>
      </c>
      <c r="I189" s="13"/>
      <c r="J189" s="99">
        <v>32304</v>
      </c>
      <c r="K189" s="14">
        <v>0</v>
      </c>
      <c r="L189" s="13"/>
      <c r="M189" s="14">
        <v>0</v>
      </c>
      <c r="N189" s="99">
        <v>23700</v>
      </c>
    </row>
    <row r="190" spans="1:15">
      <c r="D190" s="93">
        <f>1330150595.08-481141625.08</f>
        <v>849008970</v>
      </c>
      <c r="G190" s="79">
        <f>+G189-G188</f>
        <v>909597993.33999991</v>
      </c>
      <c r="I190" s="13"/>
      <c r="J190" s="99">
        <v>20460</v>
      </c>
      <c r="K190" s="14">
        <v>0</v>
      </c>
      <c r="L190" s="13"/>
      <c r="M190" s="14">
        <v>0</v>
      </c>
      <c r="N190" s="99">
        <v>57600</v>
      </c>
    </row>
    <row r="191" spans="1:15">
      <c r="D191" s="93">
        <f>+D185-D190</f>
        <v>988.1599999666214</v>
      </c>
      <c r="G191" s="79">
        <f>+G190-G185</f>
        <v>288963.62999987602</v>
      </c>
      <c r="I191" s="13"/>
      <c r="J191" s="99">
        <v>57600</v>
      </c>
      <c r="K191" s="14">
        <v>0</v>
      </c>
      <c r="L191" s="13"/>
      <c r="M191" s="14">
        <v>0</v>
      </c>
      <c r="N191" s="99">
        <v>20460</v>
      </c>
    </row>
    <row r="192" spans="1:15">
      <c r="I192" s="13"/>
      <c r="J192" s="99">
        <v>3846.97</v>
      </c>
      <c r="K192" s="14">
        <v>0</v>
      </c>
      <c r="L192" s="13"/>
      <c r="M192" s="14">
        <v>0</v>
      </c>
      <c r="N192" s="99">
        <v>3847</v>
      </c>
      <c r="O192" s="79">
        <f>+J192-N192</f>
        <v>-3.0000000000200089E-2</v>
      </c>
    </row>
    <row r="193" spans="3:15">
      <c r="I193" s="13"/>
      <c r="J193" s="99">
        <v>12964</v>
      </c>
      <c r="K193" s="14">
        <v>0</v>
      </c>
      <c r="L193" s="13"/>
      <c r="M193" s="14">
        <v>0</v>
      </c>
      <c r="N193" s="99">
        <v>12964</v>
      </c>
      <c r="O193" s="79">
        <f>+J193-N193</f>
        <v>0</v>
      </c>
    </row>
    <row r="194" spans="3:15">
      <c r="I194" s="13"/>
      <c r="J194" s="99">
        <v>3840</v>
      </c>
      <c r="K194" s="14">
        <v>0</v>
      </c>
      <c r="L194" s="13"/>
      <c r="M194" s="14">
        <v>0</v>
      </c>
      <c r="N194" s="99">
        <v>3840</v>
      </c>
      <c r="O194" s="79">
        <f>+J194-N194</f>
        <v>0</v>
      </c>
    </row>
    <row r="195" spans="3:15">
      <c r="I195" s="13"/>
      <c r="J195" s="46">
        <v>3181322.95</v>
      </c>
      <c r="K195" s="14">
        <v>0</v>
      </c>
      <c r="L195" s="13"/>
      <c r="M195" s="14">
        <v>0</v>
      </c>
      <c r="N195" s="99">
        <v>43488</v>
      </c>
    </row>
    <row r="196" spans="3:15">
      <c r="I196" s="13"/>
      <c r="J196" s="99">
        <v>34596</v>
      </c>
      <c r="K196" s="14">
        <v>0</v>
      </c>
      <c r="L196" s="13"/>
      <c r="M196" s="14">
        <v>0</v>
      </c>
      <c r="N196" s="46">
        <v>3181323</v>
      </c>
    </row>
    <row r="197" spans="3:15">
      <c r="I197" s="13"/>
      <c r="J197" s="99">
        <v>43488</v>
      </c>
      <c r="K197" s="14">
        <v>0</v>
      </c>
      <c r="L197" s="13"/>
      <c r="M197" s="14">
        <v>0</v>
      </c>
      <c r="N197" s="99">
        <v>34596</v>
      </c>
    </row>
    <row r="198" spans="3:15">
      <c r="I198" s="13"/>
      <c r="J198" s="99">
        <v>41943.25</v>
      </c>
      <c r="K198" s="14">
        <v>0</v>
      </c>
      <c r="L198" s="13"/>
      <c r="M198" s="14">
        <v>0</v>
      </c>
      <c r="N198" s="99">
        <v>24000</v>
      </c>
    </row>
    <row r="199" spans="3:15">
      <c r="I199" s="13"/>
      <c r="J199" s="99">
        <v>24000</v>
      </c>
      <c r="K199" s="14">
        <v>0</v>
      </c>
      <c r="L199" s="13"/>
      <c r="M199" s="14">
        <v>0</v>
      </c>
      <c r="N199" s="99">
        <v>41943</v>
      </c>
    </row>
    <row r="200" spans="3:15">
      <c r="I200" s="13"/>
      <c r="J200" s="99">
        <v>24036</v>
      </c>
      <c r="K200" s="14">
        <v>0</v>
      </c>
      <c r="L200" s="13"/>
      <c r="M200" s="14">
        <v>0</v>
      </c>
      <c r="N200" s="99">
        <v>24036</v>
      </c>
    </row>
    <row r="201" spans="3:15">
      <c r="I201" s="13"/>
      <c r="J201" s="99">
        <v>19164</v>
      </c>
      <c r="K201" s="14">
        <v>0</v>
      </c>
      <c r="L201" s="13"/>
      <c r="M201" s="14">
        <v>0</v>
      </c>
      <c r="N201" s="99">
        <v>48648</v>
      </c>
    </row>
    <row r="202" spans="3:15">
      <c r="I202" s="13"/>
      <c r="J202" s="99">
        <v>48648</v>
      </c>
      <c r="K202" s="14">
        <v>0</v>
      </c>
      <c r="L202" s="13"/>
      <c r="M202" s="14">
        <v>0</v>
      </c>
      <c r="N202" s="99">
        <v>19164</v>
      </c>
    </row>
    <row r="203" spans="3:15">
      <c r="I203" s="13"/>
      <c r="J203" s="46">
        <v>187200</v>
      </c>
      <c r="K203" s="14">
        <v>0</v>
      </c>
      <c r="L203" s="13"/>
      <c r="M203" s="14">
        <v>0</v>
      </c>
      <c r="N203" s="46">
        <v>187200</v>
      </c>
      <c r="O203" s="93">
        <f>+J203-N203</f>
        <v>0</v>
      </c>
    </row>
    <row r="204" spans="3:15">
      <c r="I204" s="13"/>
      <c r="J204" s="99">
        <v>32520</v>
      </c>
      <c r="K204" s="14">
        <v>0</v>
      </c>
      <c r="L204" s="13"/>
      <c r="M204" s="14">
        <v>0</v>
      </c>
      <c r="N204" s="99">
        <v>32520</v>
      </c>
      <c r="O204" s="93">
        <f t="shared" ref="O204:O211" si="0">+J204-N204</f>
        <v>0</v>
      </c>
    </row>
    <row r="205" spans="3:15">
      <c r="I205" s="13"/>
      <c r="J205" s="99">
        <v>16020</v>
      </c>
      <c r="K205" s="14">
        <v>0</v>
      </c>
      <c r="L205" s="13"/>
      <c r="M205" s="14">
        <v>0</v>
      </c>
      <c r="N205" s="99">
        <v>16020</v>
      </c>
      <c r="O205" s="93">
        <f t="shared" si="0"/>
        <v>0</v>
      </c>
    </row>
    <row r="206" spans="3:15">
      <c r="C206" s="12"/>
      <c r="D206" s="12" t="s">
        <v>305</v>
      </c>
      <c r="E206" s="12" t="s">
        <v>218</v>
      </c>
      <c r="F206" s="12" t="s">
        <v>219</v>
      </c>
      <c r="I206" s="13"/>
      <c r="J206" s="99">
        <v>25980</v>
      </c>
      <c r="K206" s="14">
        <v>0</v>
      </c>
      <c r="L206" s="13"/>
      <c r="M206" s="14">
        <v>0</v>
      </c>
      <c r="N206" s="99">
        <v>25980</v>
      </c>
      <c r="O206" s="93">
        <f t="shared" si="0"/>
        <v>0</v>
      </c>
    </row>
    <row r="207" spans="3:15">
      <c r="C207" s="13"/>
      <c r="D207" s="14" t="s">
        <v>492</v>
      </c>
      <c r="E207" s="14">
        <v>0</v>
      </c>
      <c r="F207" s="101">
        <v>73743.83</v>
      </c>
      <c r="I207" s="13"/>
      <c r="J207" s="99">
        <v>51420</v>
      </c>
      <c r="K207" s="14">
        <v>0</v>
      </c>
      <c r="L207" s="13"/>
      <c r="M207" s="14">
        <v>0</v>
      </c>
      <c r="N207" s="99">
        <v>51420</v>
      </c>
      <c r="O207" s="93">
        <f t="shared" si="0"/>
        <v>0</v>
      </c>
    </row>
    <row r="208" spans="3:15">
      <c r="C208" s="13"/>
      <c r="D208" s="14" t="s">
        <v>493</v>
      </c>
      <c r="E208" s="14">
        <v>0</v>
      </c>
      <c r="F208" s="14">
        <v>373697</v>
      </c>
      <c r="G208" s="93">
        <f>+F208-E209</f>
        <v>373024</v>
      </c>
      <c r="I208" s="13"/>
      <c r="J208" s="46">
        <v>203424</v>
      </c>
      <c r="K208" s="14">
        <v>0</v>
      </c>
      <c r="L208" s="13"/>
      <c r="M208" s="14">
        <v>0</v>
      </c>
      <c r="N208" s="46">
        <v>203424</v>
      </c>
      <c r="O208" s="93">
        <f t="shared" si="0"/>
        <v>0</v>
      </c>
    </row>
    <row r="209" spans="3:15">
      <c r="C209" s="13"/>
      <c r="D209" s="14" t="s">
        <v>493</v>
      </c>
      <c r="E209" s="14">
        <v>673</v>
      </c>
      <c r="F209" s="14">
        <v>0</v>
      </c>
      <c r="I209" s="13"/>
      <c r="J209" s="99">
        <v>23604</v>
      </c>
      <c r="K209" s="14">
        <v>0</v>
      </c>
      <c r="L209" s="13"/>
      <c r="M209" s="14">
        <v>0</v>
      </c>
      <c r="N209" s="99">
        <v>23604</v>
      </c>
      <c r="O209" s="93">
        <f t="shared" si="0"/>
        <v>0</v>
      </c>
    </row>
    <row r="210" spans="3:15">
      <c r="C210" s="13"/>
      <c r="D210" s="14" t="s">
        <v>495</v>
      </c>
      <c r="E210" s="14">
        <v>0</v>
      </c>
      <c r="F210" s="16">
        <v>2704123.17</v>
      </c>
      <c r="I210" s="13"/>
      <c r="J210" s="99">
        <v>20100</v>
      </c>
      <c r="K210" s="14">
        <v>0</v>
      </c>
      <c r="L210" s="13"/>
      <c r="M210" s="14">
        <v>0</v>
      </c>
      <c r="N210" s="99">
        <v>20100</v>
      </c>
      <c r="O210" s="93">
        <f t="shared" si="0"/>
        <v>0</v>
      </c>
    </row>
    <row r="211" spans="3:15">
      <c r="C211" s="13"/>
      <c r="D211" s="14" t="s">
        <v>491</v>
      </c>
      <c r="E211" s="14">
        <v>0</v>
      </c>
      <c r="F211" s="16">
        <v>1474460</v>
      </c>
      <c r="I211" s="13"/>
      <c r="J211" s="46">
        <v>102257.8</v>
      </c>
      <c r="K211" s="14">
        <v>0</v>
      </c>
      <c r="L211" s="13"/>
      <c r="M211" s="14">
        <v>0</v>
      </c>
      <c r="N211" s="46">
        <v>102258</v>
      </c>
      <c r="O211" s="93">
        <f t="shared" si="0"/>
        <v>-0.19999999999708962</v>
      </c>
    </row>
    <row r="212" spans="3:15">
      <c r="C212" s="13"/>
      <c r="D212" s="14" t="s">
        <v>491</v>
      </c>
      <c r="E212" s="101">
        <v>26330</v>
      </c>
      <c r="F212" s="14">
        <v>0</v>
      </c>
      <c r="G212" s="79">
        <f>+F211-E212</f>
        <v>1448130</v>
      </c>
      <c r="I212" s="13"/>
      <c r="J212" s="99">
        <v>26004</v>
      </c>
      <c r="K212" s="14">
        <v>0</v>
      </c>
      <c r="L212" s="13"/>
      <c r="M212" s="14">
        <v>0</v>
      </c>
      <c r="N212" s="99">
        <v>97344</v>
      </c>
    </row>
    <row r="213" spans="3:15">
      <c r="C213" s="13"/>
      <c r="D213" s="14" t="s">
        <v>494</v>
      </c>
      <c r="E213" s="14">
        <v>0</v>
      </c>
      <c r="F213" s="101">
        <v>30182.400000000001</v>
      </c>
      <c r="I213" s="13"/>
      <c r="J213" s="99">
        <v>97344</v>
      </c>
      <c r="K213" s="14">
        <v>0</v>
      </c>
      <c r="L213" s="13"/>
      <c r="M213" s="14">
        <v>0</v>
      </c>
      <c r="N213" s="99">
        <v>26004</v>
      </c>
    </row>
    <row r="214" spans="3:15">
      <c r="C214" s="13"/>
      <c r="D214" s="14" t="s">
        <v>496</v>
      </c>
      <c r="E214" s="14">
        <v>0</v>
      </c>
      <c r="F214" s="101">
        <v>8017.2</v>
      </c>
      <c r="I214" s="13"/>
      <c r="J214" s="46">
        <v>211282.75</v>
      </c>
      <c r="K214" s="14">
        <v>0</v>
      </c>
      <c r="L214" s="13"/>
      <c r="M214" s="14">
        <v>0</v>
      </c>
      <c r="N214" s="46">
        <v>211283</v>
      </c>
      <c r="O214" s="93">
        <f>+J214-N214</f>
        <v>-0.25</v>
      </c>
    </row>
    <row r="215" spans="3:15">
      <c r="C215" s="13"/>
      <c r="D215" s="14" t="s">
        <v>497</v>
      </c>
      <c r="E215" s="14">
        <v>0</v>
      </c>
      <c r="F215" s="101">
        <v>2475.9</v>
      </c>
      <c r="I215" s="13"/>
      <c r="J215" s="99">
        <v>51720</v>
      </c>
      <c r="K215" s="14">
        <v>0</v>
      </c>
      <c r="L215" s="13"/>
      <c r="M215" s="14">
        <v>0</v>
      </c>
      <c r="N215" s="99">
        <v>51720</v>
      </c>
      <c r="O215" s="93">
        <f>+J215-N215</f>
        <v>0</v>
      </c>
    </row>
    <row r="216" spans="3:15">
      <c r="I216" s="13"/>
      <c r="J216" s="46">
        <v>3127664.8</v>
      </c>
      <c r="K216" s="14">
        <v>0</v>
      </c>
      <c r="L216" s="13"/>
      <c r="M216" s="14">
        <v>0</v>
      </c>
      <c r="N216" s="46">
        <v>3127665</v>
      </c>
      <c r="O216" s="93">
        <f>+J216-N216</f>
        <v>-0.20000000018626451</v>
      </c>
    </row>
    <row r="217" spans="3:15">
      <c r="C217" s="12"/>
      <c r="D217" s="12" t="s">
        <v>28</v>
      </c>
      <c r="E217" s="12" t="s">
        <v>305</v>
      </c>
      <c r="F217" s="12" t="s">
        <v>218</v>
      </c>
      <c r="I217" s="13"/>
      <c r="J217" s="99">
        <v>40152</v>
      </c>
      <c r="K217" s="14">
        <v>0</v>
      </c>
      <c r="L217" s="13"/>
      <c r="M217" s="14">
        <v>0</v>
      </c>
      <c r="N217" s="99">
        <v>40152</v>
      </c>
      <c r="O217" s="93">
        <f>+J217-N217</f>
        <v>0</v>
      </c>
    </row>
    <row r="218" spans="3:15">
      <c r="C218" s="13"/>
      <c r="D218" s="14" t="s">
        <v>491</v>
      </c>
      <c r="E218" s="14"/>
      <c r="F218" s="16">
        <v>1448130.09</v>
      </c>
      <c r="I218" s="13"/>
      <c r="J218" s="99">
        <v>10952.02</v>
      </c>
      <c r="K218" s="14">
        <v>0</v>
      </c>
      <c r="L218" s="13"/>
      <c r="M218" s="14">
        <v>0</v>
      </c>
      <c r="N218" s="46">
        <v>223130</v>
      </c>
    </row>
    <row r="219" spans="3:15">
      <c r="C219" s="13"/>
      <c r="D219" s="14">
        <v>104</v>
      </c>
      <c r="E219" s="14"/>
      <c r="F219" s="101">
        <v>73743.83</v>
      </c>
      <c r="I219" s="13"/>
      <c r="J219" s="46">
        <v>223129.52</v>
      </c>
      <c r="K219" s="14">
        <v>0</v>
      </c>
      <c r="L219" s="13"/>
      <c r="M219" s="14">
        <v>0</v>
      </c>
      <c r="N219" s="99">
        <v>10952</v>
      </c>
    </row>
    <row r="220" spans="3:15">
      <c r="C220" s="13"/>
      <c r="D220" s="14" t="s">
        <v>493</v>
      </c>
      <c r="E220" s="14"/>
      <c r="F220" s="14">
        <v>367023.87</v>
      </c>
      <c r="I220" s="13"/>
      <c r="J220" s="46">
        <v>223920</v>
      </c>
      <c r="K220" s="14">
        <v>0</v>
      </c>
      <c r="L220" s="13"/>
      <c r="M220" s="14">
        <v>0</v>
      </c>
      <c r="N220" s="46">
        <v>223920</v>
      </c>
      <c r="O220" s="93">
        <f t="shared" ref="O220:O236" si="1">+J220-N220</f>
        <v>0</v>
      </c>
    </row>
    <row r="221" spans="3:15">
      <c r="C221" s="13"/>
      <c r="D221" s="14">
        <v>110</v>
      </c>
      <c r="E221" s="14"/>
      <c r="F221" s="101">
        <v>30182.400000000001</v>
      </c>
      <c r="I221" s="13"/>
      <c r="J221" s="99">
        <v>41100</v>
      </c>
      <c r="K221" s="14">
        <v>0</v>
      </c>
      <c r="L221" s="13"/>
      <c r="M221" s="14">
        <v>0</v>
      </c>
      <c r="N221" s="99">
        <v>41100</v>
      </c>
      <c r="O221" s="93">
        <f t="shared" si="1"/>
        <v>0</v>
      </c>
    </row>
    <row r="222" spans="3:15">
      <c r="C222" s="13"/>
      <c r="D222" s="14">
        <v>113</v>
      </c>
      <c r="E222" s="14"/>
      <c r="F222" s="16">
        <v>2704123.17</v>
      </c>
      <c r="I222" s="13"/>
      <c r="J222" s="99">
        <v>9288</v>
      </c>
      <c r="K222" s="14">
        <v>0</v>
      </c>
      <c r="L222" s="13"/>
      <c r="M222" s="14">
        <v>0</v>
      </c>
      <c r="N222" s="99">
        <v>9288</v>
      </c>
      <c r="O222" s="93">
        <f t="shared" si="1"/>
        <v>0</v>
      </c>
    </row>
    <row r="223" spans="3:15">
      <c r="C223" s="13"/>
      <c r="D223" s="14">
        <v>117</v>
      </c>
      <c r="E223" s="14"/>
      <c r="F223" s="101">
        <v>2475.9</v>
      </c>
      <c r="I223" s="13"/>
      <c r="J223" s="99">
        <v>64896</v>
      </c>
      <c r="K223" s="14">
        <v>0</v>
      </c>
      <c r="L223" s="13"/>
      <c r="M223" s="14">
        <v>0</v>
      </c>
      <c r="N223" s="99">
        <v>64896</v>
      </c>
      <c r="O223" s="93">
        <f t="shared" si="1"/>
        <v>0</v>
      </c>
    </row>
    <row r="224" spans="3:15">
      <c r="C224" s="13"/>
      <c r="D224" s="14">
        <v>115</v>
      </c>
      <c r="E224" s="14"/>
      <c r="F224" s="101">
        <v>8017.2</v>
      </c>
      <c r="I224" s="13"/>
      <c r="J224" s="99">
        <v>25512</v>
      </c>
      <c r="K224" s="14">
        <v>0</v>
      </c>
      <c r="L224" s="13"/>
      <c r="M224" s="14">
        <v>0</v>
      </c>
      <c r="N224" s="99">
        <v>25512</v>
      </c>
      <c r="O224" s="93">
        <f t="shared" si="1"/>
        <v>0</v>
      </c>
    </row>
    <row r="225" spans="9:15">
      <c r="I225" s="13"/>
      <c r="J225" s="99">
        <v>73807.710000000006</v>
      </c>
      <c r="K225" s="14">
        <v>0</v>
      </c>
      <c r="L225" s="13"/>
      <c r="M225" s="14">
        <v>0</v>
      </c>
      <c r="N225" s="99">
        <v>73808</v>
      </c>
      <c r="O225" s="93">
        <f t="shared" si="1"/>
        <v>-0.28999999999359716</v>
      </c>
    </row>
    <row r="226" spans="9:15">
      <c r="I226" s="13"/>
      <c r="J226" s="99">
        <v>13074.65</v>
      </c>
      <c r="K226" s="14">
        <v>0</v>
      </c>
      <c r="L226" s="13"/>
      <c r="M226" s="14">
        <v>0</v>
      </c>
      <c r="N226" s="99">
        <v>13075</v>
      </c>
      <c r="O226" s="93">
        <f t="shared" si="1"/>
        <v>-0.3500000000003638</v>
      </c>
    </row>
    <row r="227" spans="9:15">
      <c r="I227" s="13"/>
      <c r="J227" s="46">
        <v>379941.89</v>
      </c>
      <c r="K227" s="14">
        <v>0</v>
      </c>
      <c r="L227" s="13"/>
      <c r="M227" s="14">
        <v>0</v>
      </c>
      <c r="N227" s="46">
        <v>379942</v>
      </c>
      <c r="O227" s="93">
        <f t="shared" si="1"/>
        <v>-0.10999999998603016</v>
      </c>
    </row>
    <row r="228" spans="9:15">
      <c r="I228" s="13"/>
      <c r="J228" s="46">
        <v>167437.78</v>
      </c>
      <c r="K228" s="14">
        <v>0</v>
      </c>
      <c r="L228" s="13"/>
      <c r="M228" s="14">
        <v>0</v>
      </c>
      <c r="N228" s="46">
        <v>167438</v>
      </c>
      <c r="O228" s="93">
        <f t="shared" si="1"/>
        <v>-0.22000000000116415</v>
      </c>
    </row>
    <row r="229" spans="9:15">
      <c r="I229" s="13"/>
      <c r="J229" s="99">
        <v>28784.12</v>
      </c>
      <c r="K229" s="14">
        <v>0</v>
      </c>
      <c r="L229" s="13"/>
      <c r="M229" s="14">
        <v>0</v>
      </c>
      <c r="N229" s="99">
        <v>28784</v>
      </c>
      <c r="O229" s="93">
        <f t="shared" si="1"/>
        <v>0.11999999999898137</v>
      </c>
    </row>
    <row r="230" spans="9:15">
      <c r="I230" s="13"/>
      <c r="J230" s="99">
        <v>24816</v>
      </c>
      <c r="K230" s="14">
        <v>0</v>
      </c>
      <c r="L230" s="13"/>
      <c r="M230" s="14">
        <v>0</v>
      </c>
      <c r="N230" s="99">
        <v>24816</v>
      </c>
      <c r="O230" s="93">
        <f t="shared" si="1"/>
        <v>0</v>
      </c>
    </row>
    <row r="231" spans="9:15">
      <c r="I231" s="13"/>
      <c r="J231" s="46">
        <v>2756088.56</v>
      </c>
      <c r="K231" s="14">
        <v>0</v>
      </c>
      <c r="L231" s="13"/>
      <c r="M231" s="14">
        <v>0</v>
      </c>
      <c r="N231" s="46">
        <v>2756089</v>
      </c>
      <c r="O231" s="93">
        <f t="shared" si="1"/>
        <v>-0.43999999994412065</v>
      </c>
    </row>
    <row r="232" spans="9:15">
      <c r="I232" s="13"/>
      <c r="J232" s="46">
        <v>130196.54</v>
      </c>
      <c r="K232" s="14">
        <v>0</v>
      </c>
      <c r="L232" s="13"/>
      <c r="M232" s="14">
        <v>0</v>
      </c>
      <c r="N232" s="46">
        <v>130197</v>
      </c>
      <c r="O232" s="93">
        <f t="shared" si="1"/>
        <v>-0.46000000000640284</v>
      </c>
    </row>
    <row r="233" spans="9:15">
      <c r="I233" s="13"/>
      <c r="J233" s="46">
        <v>169556.64</v>
      </c>
      <c r="K233" s="14">
        <v>0</v>
      </c>
      <c r="L233" s="13"/>
      <c r="M233" s="14">
        <v>0</v>
      </c>
      <c r="N233" s="46">
        <v>169557</v>
      </c>
      <c r="O233" s="93">
        <f t="shared" si="1"/>
        <v>-0.35999999998603016</v>
      </c>
    </row>
    <row r="234" spans="9:15">
      <c r="I234" s="13"/>
      <c r="J234" s="99">
        <v>87456</v>
      </c>
      <c r="K234" s="14">
        <v>0</v>
      </c>
      <c r="L234" s="13"/>
      <c r="M234" s="14">
        <v>0</v>
      </c>
      <c r="N234" s="99">
        <v>87456</v>
      </c>
      <c r="O234" s="93">
        <f t="shared" si="1"/>
        <v>0</v>
      </c>
    </row>
    <row r="235" spans="9:15">
      <c r="I235" s="13"/>
      <c r="J235" s="99">
        <v>31032</v>
      </c>
      <c r="K235" s="14">
        <v>0</v>
      </c>
      <c r="L235" s="13"/>
      <c r="M235" s="14">
        <v>0</v>
      </c>
      <c r="N235" s="99">
        <v>31032</v>
      </c>
      <c r="O235" s="93">
        <f t="shared" si="1"/>
        <v>0</v>
      </c>
    </row>
    <row r="236" spans="9:15">
      <c r="I236" s="13"/>
      <c r="J236" s="99">
        <v>43200</v>
      </c>
      <c r="K236" s="14">
        <v>0</v>
      </c>
      <c r="L236" s="13"/>
      <c r="M236" s="14">
        <v>0</v>
      </c>
      <c r="N236" s="99">
        <v>43200</v>
      </c>
      <c r="O236" s="93">
        <f t="shared" si="1"/>
        <v>0</v>
      </c>
    </row>
    <row r="237" spans="9:15">
      <c r="I237" s="13"/>
      <c r="J237" s="99">
        <v>32724</v>
      </c>
      <c r="K237" s="14">
        <v>0</v>
      </c>
      <c r="L237" s="13"/>
      <c r="M237" s="14">
        <v>0</v>
      </c>
      <c r="N237" s="46">
        <v>283590</v>
      </c>
    </row>
    <row r="238" spans="9:15">
      <c r="I238" s="13"/>
      <c r="J238" s="46">
        <v>283590.40000000002</v>
      </c>
      <c r="K238" s="14">
        <v>0</v>
      </c>
      <c r="L238" s="13"/>
      <c r="M238" s="14">
        <v>0</v>
      </c>
      <c r="N238" s="99">
        <v>32724</v>
      </c>
    </row>
    <row r="239" spans="9:15">
      <c r="I239" s="13"/>
      <c r="J239" s="99">
        <v>30444</v>
      </c>
      <c r="K239" s="14">
        <v>0</v>
      </c>
      <c r="L239" s="13"/>
      <c r="M239" s="14">
        <v>0</v>
      </c>
      <c r="N239" s="99">
        <v>65280</v>
      </c>
    </row>
    <row r="240" spans="9:15">
      <c r="I240" s="13"/>
      <c r="J240" s="99">
        <v>13188</v>
      </c>
      <c r="K240" s="14">
        <v>0</v>
      </c>
      <c r="L240" s="13"/>
      <c r="M240" s="14">
        <v>0</v>
      </c>
      <c r="N240" s="99">
        <v>30444</v>
      </c>
    </row>
    <row r="241" spans="9:15">
      <c r="I241" s="13"/>
      <c r="J241" s="99">
        <v>65280</v>
      </c>
      <c r="K241" s="14">
        <v>0</v>
      </c>
      <c r="L241" s="13"/>
      <c r="M241" s="14">
        <v>0</v>
      </c>
      <c r="N241" s="99">
        <v>13188</v>
      </c>
    </row>
    <row r="242" spans="9:15">
      <c r="I242" s="13"/>
      <c r="J242" s="99">
        <v>16524</v>
      </c>
      <c r="K242" s="14">
        <v>0</v>
      </c>
      <c r="L242" s="13"/>
      <c r="M242" s="14">
        <v>0</v>
      </c>
      <c r="N242" s="99">
        <v>16524</v>
      </c>
    </row>
    <row r="243" spans="9:15">
      <c r="I243" s="13"/>
      <c r="J243" s="99">
        <v>8328</v>
      </c>
      <c r="K243" s="14">
        <v>0</v>
      </c>
      <c r="L243" s="13"/>
      <c r="M243" s="14">
        <v>0</v>
      </c>
      <c r="N243" s="99">
        <v>8328</v>
      </c>
    </row>
    <row r="244" spans="9:15">
      <c r="I244" s="13"/>
      <c r="J244" s="99">
        <v>9012</v>
      </c>
      <c r="K244" s="14">
        <v>0</v>
      </c>
      <c r="L244" s="13"/>
      <c r="M244" s="14">
        <v>0</v>
      </c>
      <c r="N244" s="99">
        <v>9012</v>
      </c>
    </row>
    <row r="245" spans="9:15">
      <c r="I245" s="13"/>
      <c r="J245" s="16">
        <v>289954.44</v>
      </c>
      <c r="K245" s="14">
        <v>0</v>
      </c>
      <c r="L245" s="13"/>
      <c r="M245" s="16">
        <v>709236</v>
      </c>
      <c r="N245" s="14">
        <v>0</v>
      </c>
      <c r="O245" s="93">
        <f>+K246-M245</f>
        <v>980.09999999997672</v>
      </c>
    </row>
    <row r="246" spans="9:15">
      <c r="I246" s="13"/>
      <c r="J246" s="14">
        <v>0</v>
      </c>
      <c r="K246" s="16">
        <v>710216.1</v>
      </c>
    </row>
    <row r="260" spans="2:30">
      <c r="B260" s="24" t="s">
        <v>157</v>
      </c>
      <c r="C260" s="24" t="s">
        <v>547</v>
      </c>
      <c r="D260" s="24" t="s">
        <v>548</v>
      </c>
      <c r="E260" s="24" t="s">
        <v>549</v>
      </c>
      <c r="F260" s="105" t="s">
        <v>158</v>
      </c>
      <c r="G260" s="24" t="s">
        <v>40</v>
      </c>
      <c r="H260" s="24" t="s">
        <v>553</v>
      </c>
      <c r="I260" s="24" t="s">
        <v>561</v>
      </c>
      <c r="J260" s="93" t="s">
        <v>550</v>
      </c>
      <c r="K260" s="93" t="s">
        <v>551</v>
      </c>
      <c r="L260" s="93" t="s">
        <v>552</v>
      </c>
      <c r="O260" s="93" t="s">
        <v>554</v>
      </c>
      <c r="P260" s="93" t="s">
        <v>555</v>
      </c>
      <c r="Q260" s="93" t="s">
        <v>556</v>
      </c>
      <c r="R260" s="93" t="s">
        <v>557</v>
      </c>
      <c r="S260" s="93" t="s">
        <v>558</v>
      </c>
      <c r="T260" s="93" t="s">
        <v>559</v>
      </c>
      <c r="U260" s="93" t="s">
        <v>560</v>
      </c>
      <c r="W260" s="93" t="s">
        <v>562</v>
      </c>
      <c r="X260" s="93" t="s">
        <v>563</v>
      </c>
      <c r="Y260" s="93" t="s">
        <v>564</v>
      </c>
      <c r="Z260" s="93" t="s">
        <v>565</v>
      </c>
      <c r="AA260" s="93" t="s">
        <v>566</v>
      </c>
      <c r="AB260" s="93" t="s">
        <v>567</v>
      </c>
      <c r="AC260" s="93" t="s">
        <v>568</v>
      </c>
      <c r="AD260" s="93" t="s">
        <v>569</v>
      </c>
    </row>
    <row r="261" spans="2:30">
      <c r="B261" s="69" t="s">
        <v>584</v>
      </c>
      <c r="C261" s="69" t="s">
        <v>570</v>
      </c>
      <c r="D261" s="69" t="s">
        <v>420</v>
      </c>
      <c r="E261" s="69" t="s">
        <v>421</v>
      </c>
      <c r="F261" s="103" t="s">
        <v>382</v>
      </c>
      <c r="G261" s="69">
        <v>11682</v>
      </c>
      <c r="H261" s="69">
        <v>11682</v>
      </c>
      <c r="I261" s="69" t="s">
        <v>152</v>
      </c>
      <c r="J261" s="93" t="s">
        <v>419</v>
      </c>
      <c r="K261" s="93">
        <v>36</v>
      </c>
      <c r="L261" s="93" t="s">
        <v>571</v>
      </c>
      <c r="O261" s="93" t="s">
        <v>60</v>
      </c>
      <c r="P261" s="93">
        <v>1</v>
      </c>
      <c r="Q261" s="93">
        <v>0</v>
      </c>
      <c r="R261" s="93">
        <v>0</v>
      </c>
      <c r="S261" s="102">
        <v>44603</v>
      </c>
      <c r="T261" s="93" t="s">
        <v>572</v>
      </c>
      <c r="U261" s="93" t="s">
        <v>573</v>
      </c>
      <c r="W261" s="102">
        <v>44603</v>
      </c>
      <c r="X261" s="93" t="s">
        <v>574</v>
      </c>
      <c r="Z261" s="102">
        <v>44603</v>
      </c>
      <c r="AC261" s="93">
        <v>-32562</v>
      </c>
      <c r="AD261" s="93">
        <v>-11682</v>
      </c>
    </row>
    <row r="262" spans="2:30">
      <c r="B262" s="69" t="s">
        <v>584</v>
      </c>
      <c r="C262" s="69" t="s">
        <v>575</v>
      </c>
      <c r="D262" s="69" t="s">
        <v>420</v>
      </c>
      <c r="E262" s="69" t="s">
        <v>576</v>
      </c>
      <c r="F262" s="103" t="s">
        <v>577</v>
      </c>
      <c r="G262" s="69">
        <v>10620</v>
      </c>
      <c r="H262" s="69">
        <v>10440</v>
      </c>
      <c r="I262" s="69" t="s">
        <v>152</v>
      </c>
      <c r="J262" s="93" t="s">
        <v>486</v>
      </c>
      <c r="K262" s="93">
        <v>16</v>
      </c>
      <c r="L262" s="93" t="s">
        <v>578</v>
      </c>
      <c r="O262" s="93" t="s">
        <v>579</v>
      </c>
      <c r="P262" s="93">
        <v>1</v>
      </c>
      <c r="Q262" s="93">
        <v>180</v>
      </c>
      <c r="R262" s="93">
        <v>0</v>
      </c>
      <c r="S262" s="102">
        <v>44603</v>
      </c>
      <c r="T262" s="93" t="s">
        <v>572</v>
      </c>
      <c r="U262" s="93" t="s">
        <v>573</v>
      </c>
      <c r="W262" s="102">
        <v>44603</v>
      </c>
      <c r="X262" s="93" t="s">
        <v>574</v>
      </c>
      <c r="Z262" s="102">
        <v>44603</v>
      </c>
      <c r="AC262" s="93">
        <v>-32562</v>
      </c>
      <c r="AD262" s="93">
        <v>-10440</v>
      </c>
    </row>
    <row r="263" spans="2:30">
      <c r="B263" s="69" t="s">
        <v>584</v>
      </c>
      <c r="C263" s="69" t="s">
        <v>580</v>
      </c>
      <c r="D263" s="69" t="s">
        <v>420</v>
      </c>
      <c r="E263" s="69" t="s">
        <v>581</v>
      </c>
      <c r="F263" s="104">
        <v>44630</v>
      </c>
      <c r="G263" s="69">
        <v>10620</v>
      </c>
      <c r="H263" s="69">
        <v>10440</v>
      </c>
      <c r="I263" s="69" t="s">
        <v>152</v>
      </c>
      <c r="J263" s="102">
        <v>44630</v>
      </c>
      <c r="K263" s="93">
        <v>31</v>
      </c>
      <c r="L263" s="93" t="s">
        <v>578</v>
      </c>
      <c r="O263" s="93" t="s">
        <v>579</v>
      </c>
      <c r="P263" s="93">
        <v>1</v>
      </c>
      <c r="Q263" s="93">
        <v>180</v>
      </c>
      <c r="R263" s="93">
        <v>0</v>
      </c>
      <c r="S263" s="102">
        <v>44603</v>
      </c>
      <c r="T263" s="93" t="s">
        <v>572</v>
      </c>
      <c r="U263" s="93" t="s">
        <v>573</v>
      </c>
      <c r="W263" s="102">
        <v>44631</v>
      </c>
      <c r="X263" s="93" t="s">
        <v>574</v>
      </c>
      <c r="Z263" s="102">
        <v>44603</v>
      </c>
      <c r="AC263" s="93">
        <v>-32562</v>
      </c>
      <c r="AD263" s="93">
        <v>-10440</v>
      </c>
    </row>
    <row r="264" spans="2:30">
      <c r="B264" s="69" t="s">
        <v>584</v>
      </c>
      <c r="C264" s="69" t="s">
        <v>582</v>
      </c>
      <c r="D264" s="69" t="s">
        <v>498</v>
      </c>
      <c r="E264" s="69">
        <v>414</v>
      </c>
      <c r="F264" s="103" t="s">
        <v>416</v>
      </c>
      <c r="G264" s="69">
        <v>11200</v>
      </c>
      <c r="H264" s="69">
        <v>11200</v>
      </c>
      <c r="I264" s="69" t="s">
        <v>152</v>
      </c>
      <c r="J264" s="102">
        <v>44752</v>
      </c>
      <c r="K264" s="93">
        <v>27</v>
      </c>
      <c r="L264" s="93" t="s">
        <v>571</v>
      </c>
      <c r="O264" s="93" t="s">
        <v>60</v>
      </c>
      <c r="P264" s="93">
        <v>1</v>
      </c>
      <c r="Q264" s="93">
        <v>0</v>
      </c>
      <c r="R264" s="93">
        <v>0</v>
      </c>
      <c r="S264" s="102">
        <v>44603</v>
      </c>
      <c r="T264" s="93" t="s">
        <v>572</v>
      </c>
      <c r="U264" s="93" t="s">
        <v>573</v>
      </c>
      <c r="W264" s="102">
        <v>44631</v>
      </c>
      <c r="X264" s="93" t="s">
        <v>574</v>
      </c>
      <c r="Z264" s="102">
        <v>44603</v>
      </c>
      <c r="AC264" s="93">
        <v>-11200</v>
      </c>
      <c r="AD264" s="93">
        <v>-11200</v>
      </c>
    </row>
    <row r="265" spans="2:30">
      <c r="B265" s="69" t="s">
        <v>584</v>
      </c>
      <c r="C265" s="69" t="s">
        <v>583</v>
      </c>
      <c r="D265" s="69" t="s">
        <v>107</v>
      </c>
      <c r="E265" s="69" t="s">
        <v>490</v>
      </c>
      <c r="F265" s="103" t="s">
        <v>488</v>
      </c>
      <c r="G265" s="69">
        <v>55176</v>
      </c>
      <c r="H265" s="69">
        <v>55176</v>
      </c>
      <c r="I265" s="69" t="s">
        <v>152</v>
      </c>
      <c r="J265" s="93" t="s">
        <v>489</v>
      </c>
      <c r="K265" s="93">
        <v>5</v>
      </c>
      <c r="L265" s="93" t="s">
        <v>578</v>
      </c>
      <c r="O265" s="93" t="s">
        <v>60</v>
      </c>
      <c r="P265" s="93">
        <v>1</v>
      </c>
      <c r="Q265" s="93">
        <v>0</v>
      </c>
      <c r="R265" s="93">
        <v>0</v>
      </c>
      <c r="S265" s="102">
        <v>44603</v>
      </c>
      <c r="T265" s="93" t="s">
        <v>572</v>
      </c>
      <c r="U265" s="93" t="s">
        <v>573</v>
      </c>
      <c r="W265" s="102">
        <v>44631</v>
      </c>
      <c r="X265" s="93" t="s">
        <v>574</v>
      </c>
      <c r="Z265" s="102">
        <v>44631</v>
      </c>
      <c r="AC265" s="93">
        <v>-55176</v>
      </c>
      <c r="AD265" s="93">
        <v>-55176</v>
      </c>
    </row>
  </sheetData>
  <mergeCells count="1">
    <mergeCell ref="E12:F1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L62"/>
  <sheetViews>
    <sheetView workbookViewId="0">
      <selection activeCell="F20" sqref="F20"/>
    </sheetView>
  </sheetViews>
  <sheetFormatPr defaultColWidth="12.7109375" defaultRowHeight="15"/>
  <cols>
    <col min="4" max="4" width="18.42578125" style="28" customWidth="1"/>
    <col min="9" max="9" width="21.7109375" style="28" customWidth="1"/>
    <col min="10" max="10" width="43.7109375" customWidth="1"/>
    <col min="12" max="12" width="33.140625" customWidth="1"/>
  </cols>
  <sheetData>
    <row r="1" spans="1:10">
      <c r="A1" s="12"/>
      <c r="B1" s="12" t="s">
        <v>305</v>
      </c>
      <c r="C1" s="12" t="s">
        <v>218</v>
      </c>
      <c r="D1" s="41" t="s">
        <v>219</v>
      </c>
      <c r="F1" s="12"/>
      <c r="G1" s="12" t="s">
        <v>28</v>
      </c>
      <c r="H1" s="12" t="s">
        <v>305</v>
      </c>
      <c r="I1" s="41" t="s">
        <v>218</v>
      </c>
    </row>
    <row r="2" spans="1:10">
      <c r="A2" s="13"/>
      <c r="B2" s="14" t="s">
        <v>306</v>
      </c>
      <c r="C2" s="14">
        <v>0</v>
      </c>
      <c r="D2" s="42" t="s">
        <v>307</v>
      </c>
      <c r="F2" s="13"/>
      <c r="G2" s="14">
        <v>3</v>
      </c>
      <c r="H2" s="14"/>
      <c r="I2" s="43">
        <v>61429.2</v>
      </c>
    </row>
    <row r="3" spans="1:10">
      <c r="A3" s="13"/>
      <c r="B3" s="14" t="s">
        <v>308</v>
      </c>
      <c r="C3" s="14">
        <v>0</v>
      </c>
      <c r="D3" s="42" t="s">
        <v>309</v>
      </c>
      <c r="F3" s="13"/>
      <c r="G3" s="14">
        <v>4</v>
      </c>
      <c r="H3" s="14"/>
      <c r="I3" s="42" t="s">
        <v>307</v>
      </c>
    </row>
    <row r="4" spans="1:10">
      <c r="A4" s="13"/>
      <c r="B4" s="14" t="s">
        <v>310</v>
      </c>
      <c r="C4" s="14">
        <v>0</v>
      </c>
      <c r="D4" s="43">
        <v>61429.2</v>
      </c>
      <c r="F4" s="13"/>
      <c r="G4" s="14">
        <v>5</v>
      </c>
      <c r="H4" s="14"/>
      <c r="I4" s="42" t="s">
        <v>309</v>
      </c>
    </row>
    <row r="5" spans="1:10">
      <c r="A5" s="13"/>
      <c r="B5" s="14" t="s">
        <v>311</v>
      </c>
      <c r="C5" s="14">
        <v>0</v>
      </c>
      <c r="D5" s="42" t="s">
        <v>312</v>
      </c>
      <c r="F5" s="13"/>
      <c r="G5" s="14">
        <v>12</v>
      </c>
      <c r="H5" s="14"/>
      <c r="I5" s="42" t="s">
        <v>312</v>
      </c>
    </row>
    <row r="6" spans="1:10">
      <c r="A6" s="13"/>
      <c r="B6" s="14" t="s">
        <v>313</v>
      </c>
      <c r="C6" s="14">
        <v>0</v>
      </c>
      <c r="D6" s="43">
        <v>93974.83</v>
      </c>
      <c r="F6" s="13"/>
      <c r="G6" s="14">
        <v>13</v>
      </c>
      <c r="H6" s="14"/>
      <c r="I6" s="43">
        <v>1301.6199999999999</v>
      </c>
    </row>
    <row r="7" spans="1:10">
      <c r="A7" s="13"/>
      <c r="B7" s="14" t="s">
        <v>314</v>
      </c>
      <c r="C7" s="14">
        <v>0</v>
      </c>
      <c r="D7" s="43">
        <v>1301.6199999999999</v>
      </c>
      <c r="F7" s="13"/>
      <c r="G7" s="14">
        <v>14</v>
      </c>
      <c r="H7" s="14"/>
      <c r="I7" s="43">
        <v>93974.83</v>
      </c>
    </row>
    <row r="8" spans="1:10">
      <c r="A8" s="13"/>
      <c r="B8" s="14" t="s">
        <v>315</v>
      </c>
      <c r="C8" s="14">
        <v>0</v>
      </c>
      <c r="D8" s="42" t="s">
        <v>316</v>
      </c>
      <c r="F8" s="13"/>
      <c r="G8" s="14">
        <v>18</v>
      </c>
      <c r="H8" s="14"/>
      <c r="I8" s="42" t="s">
        <v>316</v>
      </c>
    </row>
    <row r="9" spans="1:10">
      <c r="A9" s="13"/>
      <c r="B9" s="14" t="s">
        <v>317</v>
      </c>
      <c r="C9" s="14">
        <v>0</v>
      </c>
      <c r="D9" s="44">
        <v>3945549.56</v>
      </c>
      <c r="F9" s="13"/>
      <c r="G9" s="14">
        <v>19</v>
      </c>
      <c r="H9" s="14"/>
      <c r="I9" s="44">
        <v>3944948.08</v>
      </c>
      <c r="J9">
        <f>+D9-I9</f>
        <v>601.47999999998137</v>
      </c>
    </row>
    <row r="10" spans="1:10">
      <c r="A10" s="13"/>
      <c r="B10" s="14" t="s">
        <v>318</v>
      </c>
      <c r="C10" s="14">
        <v>0</v>
      </c>
      <c r="D10" s="44">
        <v>3912932.35</v>
      </c>
      <c r="F10" s="13"/>
      <c r="G10" s="14">
        <v>20</v>
      </c>
      <c r="H10" s="14"/>
      <c r="I10" s="44">
        <v>3912335.21</v>
      </c>
      <c r="J10">
        <f>+D10-I10</f>
        <v>597.14000000013039</v>
      </c>
    </row>
    <row r="11" spans="1:10">
      <c r="A11" s="13"/>
      <c r="B11" s="14" t="s">
        <v>319</v>
      </c>
      <c r="C11" s="14">
        <v>0</v>
      </c>
      <c r="D11" s="44">
        <v>167764.88</v>
      </c>
      <c r="F11" s="13"/>
      <c r="G11" s="14">
        <v>25</v>
      </c>
      <c r="H11" s="14"/>
      <c r="I11" s="44">
        <v>167739.17000000001</v>
      </c>
      <c r="J11">
        <f>+D11-I11</f>
        <v>25.709999999991851</v>
      </c>
    </row>
    <row r="12" spans="1:10">
      <c r="A12" s="13"/>
      <c r="B12" s="14" t="s">
        <v>320</v>
      </c>
      <c r="C12" s="14">
        <v>0</v>
      </c>
      <c r="D12" s="45">
        <v>24470.97</v>
      </c>
      <c r="F12" s="13"/>
      <c r="G12" s="14">
        <v>26</v>
      </c>
      <c r="H12" s="14"/>
      <c r="I12" s="43">
        <v>1415</v>
      </c>
    </row>
    <row r="13" spans="1:10">
      <c r="A13" s="13"/>
      <c r="B13" s="14" t="s">
        <v>321</v>
      </c>
      <c r="C13" s="14">
        <v>0</v>
      </c>
      <c r="D13" s="43">
        <v>1414.8</v>
      </c>
      <c r="F13" s="13"/>
      <c r="G13" s="14">
        <v>27</v>
      </c>
      <c r="H13" s="14"/>
      <c r="I13" s="45">
        <v>24468.84</v>
      </c>
      <c r="J13" s="15">
        <f>+D12-I13</f>
        <v>2.1300000000010186</v>
      </c>
    </row>
    <row r="14" spans="1:10">
      <c r="A14" s="13"/>
      <c r="B14" s="14" t="s">
        <v>322</v>
      </c>
      <c r="C14" s="14">
        <v>0</v>
      </c>
      <c r="D14" s="44">
        <v>138659.44</v>
      </c>
      <c r="F14" s="13"/>
      <c r="G14" s="14">
        <v>28</v>
      </c>
      <c r="H14" s="14"/>
      <c r="I14" s="44">
        <v>138640.01</v>
      </c>
      <c r="J14">
        <f>+D14-I14</f>
        <v>19.429999999993015</v>
      </c>
    </row>
    <row r="15" spans="1:10">
      <c r="A15" s="13"/>
      <c r="B15" s="14" t="s">
        <v>323</v>
      </c>
      <c r="C15" s="14">
        <v>0</v>
      </c>
      <c r="D15" s="45">
        <v>2263.6799999999998</v>
      </c>
      <c r="F15" s="13"/>
      <c r="G15" s="14">
        <v>29</v>
      </c>
      <c r="H15" s="14"/>
      <c r="I15" s="45">
        <v>2263.6</v>
      </c>
      <c r="J15">
        <f>+D15-I15</f>
        <v>7.999999999992724E-2</v>
      </c>
    </row>
    <row r="16" spans="1:10">
      <c r="A16" s="13"/>
      <c r="B16" s="14" t="s">
        <v>324</v>
      </c>
      <c r="C16" s="14">
        <v>0</v>
      </c>
      <c r="D16" s="42">
        <v>710380.52</v>
      </c>
      <c r="F16" s="13"/>
      <c r="G16" s="14">
        <v>34</v>
      </c>
      <c r="H16" s="14"/>
      <c r="I16" s="42">
        <v>605283.66</v>
      </c>
    </row>
    <row r="17" spans="1:10">
      <c r="A17" s="13"/>
      <c r="B17" s="14" t="s">
        <v>325</v>
      </c>
      <c r="C17" s="14">
        <v>0</v>
      </c>
      <c r="D17" s="42">
        <v>605283.66</v>
      </c>
      <c r="F17" s="13"/>
      <c r="G17" s="14">
        <v>35</v>
      </c>
      <c r="H17" s="14"/>
      <c r="I17" s="42">
        <v>710380.52</v>
      </c>
    </row>
    <row r="18" spans="1:10">
      <c r="A18" s="13"/>
      <c r="B18" s="14" t="s">
        <v>326</v>
      </c>
      <c r="C18" s="14">
        <v>0</v>
      </c>
      <c r="D18" s="42">
        <v>245936.24</v>
      </c>
      <c r="F18" s="13"/>
      <c r="G18" s="14">
        <v>37</v>
      </c>
      <c r="H18" s="14"/>
      <c r="I18" s="42">
        <v>245936.24</v>
      </c>
    </row>
    <row r="19" spans="1:10">
      <c r="A19" s="13"/>
      <c r="B19" s="14" t="s">
        <v>327</v>
      </c>
      <c r="C19" s="14">
        <v>0</v>
      </c>
      <c r="D19" s="42">
        <v>118321.98</v>
      </c>
      <c r="F19" s="13"/>
      <c r="G19" s="14">
        <v>38</v>
      </c>
      <c r="H19" s="14"/>
      <c r="I19" s="42">
        <v>118321.98</v>
      </c>
    </row>
    <row r="20" spans="1:10">
      <c r="A20" s="13"/>
      <c r="B20" s="14" t="s">
        <v>328</v>
      </c>
      <c r="C20" s="14">
        <v>0</v>
      </c>
      <c r="D20" s="43">
        <v>1245.02</v>
      </c>
      <c r="F20" s="13"/>
      <c r="G20" s="14">
        <v>39</v>
      </c>
      <c r="H20" s="14"/>
      <c r="I20" s="43">
        <v>1245.02</v>
      </c>
    </row>
    <row r="21" spans="1:10">
      <c r="A21" s="13"/>
      <c r="B21" s="14" t="s">
        <v>329</v>
      </c>
      <c r="C21" s="14">
        <v>0</v>
      </c>
      <c r="D21" s="43">
        <v>6577.26</v>
      </c>
      <c r="F21" s="13"/>
      <c r="G21" s="14">
        <v>40</v>
      </c>
      <c r="H21" s="14"/>
      <c r="I21" s="43">
        <v>6577.26</v>
      </c>
    </row>
    <row r="22" spans="1:10" ht="30">
      <c r="A22" s="13"/>
      <c r="B22" s="14" t="s">
        <v>330</v>
      </c>
      <c r="C22" s="14" t="s">
        <v>331</v>
      </c>
      <c r="D22" s="35">
        <v>0</v>
      </c>
      <c r="F22" s="13"/>
      <c r="G22" s="14">
        <v>15</v>
      </c>
      <c r="H22" s="14" t="s">
        <v>330</v>
      </c>
      <c r="I22" s="35">
        <v>0</v>
      </c>
    </row>
    <row r="23" spans="1:10" ht="30">
      <c r="A23" s="13"/>
      <c r="B23" s="14" t="s">
        <v>332</v>
      </c>
      <c r="C23" s="14" t="s">
        <v>333</v>
      </c>
      <c r="D23" s="35">
        <v>0</v>
      </c>
      <c r="F23" s="13"/>
      <c r="G23" s="14">
        <v>16</v>
      </c>
      <c r="H23" s="14" t="s">
        <v>332</v>
      </c>
      <c r="I23" s="35">
        <v>0</v>
      </c>
    </row>
    <row r="24" spans="1:10">
      <c r="A24" s="13"/>
      <c r="B24" s="14" t="s">
        <v>334</v>
      </c>
      <c r="C24" s="14">
        <v>0</v>
      </c>
      <c r="D24" s="42">
        <v>3199429.41</v>
      </c>
      <c r="F24" s="13"/>
      <c r="G24" s="14">
        <v>45</v>
      </c>
      <c r="H24" s="14"/>
      <c r="I24" s="42">
        <v>3199429.41</v>
      </c>
      <c r="J24">
        <f>+D24-I24</f>
        <v>0</v>
      </c>
    </row>
    <row r="25" spans="1:10">
      <c r="A25" s="13"/>
      <c r="B25" s="14" t="s">
        <v>335</v>
      </c>
      <c r="C25" s="14">
        <v>0</v>
      </c>
      <c r="D25" s="42">
        <v>979908.16</v>
      </c>
      <c r="F25" s="13"/>
      <c r="G25" s="14">
        <v>46</v>
      </c>
      <c r="H25" s="14"/>
      <c r="I25" s="42">
        <v>979908.16</v>
      </c>
      <c r="J25">
        <f t="shared" ref="J25:J31" si="0">+D25-I25</f>
        <v>0</v>
      </c>
    </row>
    <row r="26" spans="1:10">
      <c r="A26" s="13"/>
      <c r="B26" s="14" t="s">
        <v>336</v>
      </c>
      <c r="C26" s="14">
        <v>0</v>
      </c>
      <c r="D26" s="42">
        <v>282796.53999999998</v>
      </c>
      <c r="F26" s="13"/>
      <c r="G26" s="14">
        <v>57</v>
      </c>
      <c r="H26" s="14"/>
      <c r="I26" s="42">
        <v>282796.53999999998</v>
      </c>
      <c r="J26">
        <f t="shared" si="0"/>
        <v>0</v>
      </c>
    </row>
    <row r="27" spans="1:10">
      <c r="A27" s="13"/>
      <c r="B27" s="14" t="s">
        <v>337</v>
      </c>
      <c r="C27" s="14">
        <v>0</v>
      </c>
      <c r="D27" s="43">
        <v>3395.52</v>
      </c>
      <c r="F27" s="13"/>
      <c r="G27" s="14">
        <v>58</v>
      </c>
      <c r="H27" s="14"/>
      <c r="I27" s="43">
        <v>3395.52</v>
      </c>
      <c r="J27">
        <f t="shared" si="0"/>
        <v>0</v>
      </c>
    </row>
    <row r="28" spans="1:10">
      <c r="A28" s="13"/>
      <c r="B28" s="14" t="s">
        <v>92</v>
      </c>
      <c r="C28" s="14">
        <v>0</v>
      </c>
      <c r="D28" s="42">
        <v>4469977.43</v>
      </c>
      <c r="F28" s="13"/>
      <c r="G28" s="14">
        <v>60</v>
      </c>
      <c r="H28" s="14"/>
      <c r="I28" s="42">
        <v>4469977.43</v>
      </c>
      <c r="J28">
        <f t="shared" si="0"/>
        <v>0</v>
      </c>
    </row>
    <row r="29" spans="1:10">
      <c r="A29" s="13"/>
      <c r="B29" s="14" t="s">
        <v>102</v>
      </c>
      <c r="C29" s="14">
        <v>0</v>
      </c>
      <c r="D29" s="42">
        <v>2927586.12</v>
      </c>
      <c r="F29" s="13"/>
      <c r="G29" s="14">
        <v>65</v>
      </c>
      <c r="H29" s="14"/>
      <c r="I29" s="42">
        <v>2927586.12</v>
      </c>
      <c r="J29">
        <f t="shared" si="0"/>
        <v>0</v>
      </c>
    </row>
    <row r="30" spans="1:10">
      <c r="A30" s="13"/>
      <c r="B30" s="14" t="s">
        <v>118</v>
      </c>
      <c r="C30" s="14">
        <v>0</v>
      </c>
      <c r="D30" s="42">
        <v>1931920.43</v>
      </c>
      <c r="F30" s="13"/>
      <c r="G30" s="14">
        <v>67</v>
      </c>
      <c r="H30" s="14"/>
      <c r="I30" s="42">
        <v>1931920.43</v>
      </c>
      <c r="J30">
        <f t="shared" si="0"/>
        <v>0</v>
      </c>
    </row>
    <row r="31" spans="1:10">
      <c r="A31" s="13"/>
      <c r="B31" s="14" t="s">
        <v>119</v>
      </c>
      <c r="C31" s="14">
        <v>0</v>
      </c>
      <c r="D31" s="42">
        <v>1932527.71</v>
      </c>
      <c r="F31" s="13"/>
      <c r="G31" s="14">
        <v>68</v>
      </c>
      <c r="H31" s="14"/>
      <c r="I31" s="42">
        <v>1932527.71</v>
      </c>
      <c r="J31">
        <f t="shared" si="0"/>
        <v>0</v>
      </c>
    </row>
    <row r="32" spans="1:10">
      <c r="A32" s="13"/>
      <c r="B32" s="14" t="s">
        <v>120</v>
      </c>
      <c r="C32" s="14">
        <v>0</v>
      </c>
      <c r="D32" s="42">
        <v>607721.30000000005</v>
      </c>
      <c r="F32" s="13"/>
      <c r="G32" s="14">
        <v>69</v>
      </c>
      <c r="H32" s="14"/>
      <c r="I32" s="42">
        <v>1052824.8899999999</v>
      </c>
    </row>
    <row r="33" spans="1:12">
      <c r="A33" s="13"/>
      <c r="B33" s="14" t="s">
        <v>121</v>
      </c>
      <c r="C33" s="14">
        <v>0</v>
      </c>
      <c r="D33" s="42">
        <v>1052824.8899999999</v>
      </c>
      <c r="F33" s="13"/>
      <c r="G33" s="14">
        <v>70</v>
      </c>
      <c r="H33" s="14"/>
      <c r="I33" s="42">
        <v>459789.48</v>
      </c>
    </row>
    <row r="34" spans="1:12">
      <c r="A34" s="13"/>
      <c r="B34" s="14" t="s">
        <v>122</v>
      </c>
      <c r="C34" s="14">
        <v>0</v>
      </c>
      <c r="D34" s="42">
        <v>459789.48</v>
      </c>
      <c r="F34" s="13"/>
      <c r="G34" s="14">
        <v>71</v>
      </c>
      <c r="H34" s="14"/>
      <c r="I34" s="42">
        <v>607721.30000000005</v>
      </c>
    </row>
    <row r="35" spans="1:12">
      <c r="A35" s="13"/>
      <c r="B35" s="14" t="s">
        <v>124</v>
      </c>
      <c r="C35" s="14">
        <v>0</v>
      </c>
      <c r="D35" s="42">
        <v>1603671.67</v>
      </c>
      <c r="F35" s="13"/>
      <c r="G35" s="14">
        <v>72</v>
      </c>
      <c r="H35" s="14"/>
      <c r="I35" s="42">
        <v>1603671.67</v>
      </c>
      <c r="J35">
        <f>+D35-I35</f>
        <v>0</v>
      </c>
    </row>
    <row r="36" spans="1:12">
      <c r="A36" s="13"/>
      <c r="B36" s="14" t="s">
        <v>125</v>
      </c>
      <c r="C36" s="14">
        <v>0</v>
      </c>
      <c r="D36" s="42">
        <v>1971862.65</v>
      </c>
      <c r="F36" s="13"/>
      <c r="G36" s="14">
        <v>73</v>
      </c>
      <c r="H36" s="14"/>
      <c r="I36" s="42">
        <v>1971862.65</v>
      </c>
      <c r="J36">
        <f>+D36-I36</f>
        <v>0</v>
      </c>
    </row>
    <row r="37" spans="1:12">
      <c r="A37" s="13"/>
      <c r="B37" s="14" t="s">
        <v>126</v>
      </c>
      <c r="C37" s="14">
        <v>0</v>
      </c>
      <c r="D37" s="42">
        <v>948716.69</v>
      </c>
      <c r="F37" s="13"/>
      <c r="G37" s="14">
        <v>74</v>
      </c>
      <c r="H37" s="14"/>
      <c r="I37" s="42">
        <v>948716.69</v>
      </c>
      <c r="J37">
        <f>+D37-I37</f>
        <v>0</v>
      </c>
    </row>
    <row r="38" spans="1:12">
      <c r="A38" s="13"/>
      <c r="B38" s="14" t="s">
        <v>301</v>
      </c>
      <c r="C38" s="14">
        <v>0</v>
      </c>
      <c r="D38" s="35">
        <v>1945832.08</v>
      </c>
      <c r="F38" s="13"/>
      <c r="G38" s="14">
        <v>86</v>
      </c>
      <c r="H38" s="14"/>
      <c r="I38" s="36">
        <v>7888.95</v>
      </c>
    </row>
    <row r="41" spans="1:12">
      <c r="B41" s="12"/>
      <c r="C41" s="12" t="s">
        <v>219</v>
      </c>
      <c r="D41" s="12"/>
      <c r="E41" s="12" t="s">
        <v>218</v>
      </c>
    </row>
    <row r="42" spans="1:12">
      <c r="B42" s="13"/>
      <c r="C42" s="46">
        <v>329870.05</v>
      </c>
      <c r="D42" s="13"/>
      <c r="E42" s="16">
        <v>922351.26</v>
      </c>
    </row>
    <row r="43" spans="1:12">
      <c r="B43" s="13"/>
      <c r="C43" s="16">
        <v>922351.26</v>
      </c>
      <c r="D43" s="13"/>
      <c r="E43" s="16">
        <v>6640909.5999999996</v>
      </c>
      <c r="I43" s="12"/>
      <c r="J43" s="12" t="s">
        <v>339</v>
      </c>
      <c r="K43" s="12"/>
      <c r="L43" s="12" t="s">
        <v>339</v>
      </c>
    </row>
    <row r="44" spans="1:12" ht="30">
      <c r="B44" s="13"/>
      <c r="C44" s="16">
        <v>6640909.5999999996</v>
      </c>
      <c r="D44" s="13"/>
      <c r="E44" s="16">
        <v>1691613.83</v>
      </c>
      <c r="I44" s="13"/>
      <c r="J44" s="16" t="s">
        <v>340</v>
      </c>
      <c r="K44" s="13"/>
      <c r="L44" s="14" t="s">
        <v>346</v>
      </c>
    </row>
    <row r="45" spans="1:12" ht="30">
      <c r="B45" s="13"/>
      <c r="C45" s="16">
        <v>1691613.83</v>
      </c>
      <c r="D45" s="13"/>
      <c r="E45" s="16">
        <v>1099520.83</v>
      </c>
      <c r="I45" s="13"/>
      <c r="J45" s="16" t="s">
        <v>341</v>
      </c>
      <c r="K45" s="13"/>
      <c r="L45" s="16" t="s">
        <v>347</v>
      </c>
    </row>
    <row r="46" spans="1:12" ht="30">
      <c r="B46" s="13"/>
      <c r="C46" s="16">
        <v>1099520.83</v>
      </c>
      <c r="D46" s="13"/>
      <c r="E46" s="16">
        <v>1862404.78</v>
      </c>
      <c r="I46" s="13"/>
      <c r="J46" s="14" t="s">
        <v>342</v>
      </c>
      <c r="K46" s="13"/>
      <c r="L46" s="16" t="s">
        <v>348</v>
      </c>
    </row>
    <row r="47" spans="1:12" ht="30">
      <c r="B47" s="13"/>
      <c r="C47" s="16">
        <v>1862404.78</v>
      </c>
      <c r="D47" s="13"/>
      <c r="E47" s="16">
        <v>7658328.75</v>
      </c>
      <c r="I47" s="13"/>
      <c r="J47" s="14" t="s">
        <v>343</v>
      </c>
      <c r="K47" s="13"/>
      <c r="L47" s="14" t="s">
        <v>349</v>
      </c>
    </row>
    <row r="48" spans="1:12" ht="30">
      <c r="B48" s="13"/>
      <c r="C48" s="46">
        <v>4349189.42</v>
      </c>
      <c r="D48" s="13"/>
      <c r="E48" s="16">
        <v>1460083.07</v>
      </c>
      <c r="I48" s="13"/>
      <c r="J48" s="16" t="s">
        <v>344</v>
      </c>
      <c r="K48" s="13"/>
      <c r="L48" s="16" t="s">
        <v>350</v>
      </c>
    </row>
    <row r="49" spans="2:12" ht="30">
      <c r="B49" s="13"/>
      <c r="C49" s="46">
        <v>2768461.8</v>
      </c>
      <c r="D49" s="13"/>
      <c r="E49" s="16">
        <v>3418496.04</v>
      </c>
      <c r="I49" s="13"/>
      <c r="J49" s="16" t="s">
        <v>345</v>
      </c>
      <c r="K49" s="13"/>
      <c r="L49" s="16" t="s">
        <v>351</v>
      </c>
    </row>
    <row r="50" spans="2:12">
      <c r="B50" s="13"/>
      <c r="C50" s="16">
        <v>1022128.03</v>
      </c>
      <c r="D50" s="13"/>
      <c r="E50" s="16">
        <v>2575864.36</v>
      </c>
    </row>
    <row r="51" spans="2:12">
      <c r="B51" s="13"/>
      <c r="C51" s="16">
        <v>2123890.5499999998</v>
      </c>
      <c r="D51" s="13"/>
      <c r="E51" s="46">
        <v>4424684.22</v>
      </c>
      <c r="F51" s="485" t="s">
        <v>352</v>
      </c>
    </row>
    <row r="52" spans="2:12">
      <c r="B52" s="13"/>
      <c r="C52" s="16">
        <v>1460083.07</v>
      </c>
      <c r="D52" s="13"/>
      <c r="E52" s="46">
        <v>2694293.26</v>
      </c>
      <c r="F52" s="485"/>
    </row>
    <row r="53" spans="2:12">
      <c r="B53" s="13"/>
      <c r="C53" s="16">
        <v>3418496.04</v>
      </c>
      <c r="D53" s="13"/>
      <c r="E53" s="16">
        <v>1795671.7</v>
      </c>
    </row>
    <row r="54" spans="2:12">
      <c r="B54" s="13"/>
      <c r="C54" s="16">
        <v>2575864.36</v>
      </c>
      <c r="D54" s="13"/>
      <c r="E54" s="16">
        <v>3040905.48</v>
      </c>
    </row>
    <row r="55" spans="2:12">
      <c r="B55" s="13"/>
      <c r="C55" s="16">
        <v>7658328.75</v>
      </c>
      <c r="D55" s="13"/>
      <c r="E55" s="16">
        <v>4591045.22</v>
      </c>
    </row>
    <row r="56" spans="2:12">
      <c r="B56" s="13"/>
      <c r="C56" s="46">
        <v>7658328.75</v>
      </c>
      <c r="D56" s="13"/>
      <c r="E56" s="16">
        <v>1022128.03</v>
      </c>
    </row>
    <row r="57" spans="2:12">
      <c r="B57" s="13"/>
      <c r="C57" s="16">
        <v>1795671.7</v>
      </c>
      <c r="D57" s="13"/>
      <c r="E57" s="16">
        <v>2123890.5499999998</v>
      </c>
    </row>
    <row r="58" spans="2:12">
      <c r="B58" s="13"/>
      <c r="C58" s="16">
        <v>3040905.48</v>
      </c>
      <c r="D58" s="13"/>
      <c r="E58" s="16">
        <v>164296.54</v>
      </c>
    </row>
    <row r="59" spans="2:12">
      <c r="B59" s="13"/>
      <c r="C59" s="16">
        <v>4591045.22</v>
      </c>
      <c r="D59" s="13"/>
      <c r="E59" s="16">
        <v>7470861.4000000004</v>
      </c>
    </row>
    <row r="60" spans="2:12">
      <c r="B60" s="13"/>
      <c r="C60" s="46">
        <v>4001545.83</v>
      </c>
    </row>
    <row r="61" spans="2:12">
      <c r="B61" s="13"/>
      <c r="C61" s="16">
        <v>164296.54</v>
      </c>
    </row>
    <row r="62" spans="2:12">
      <c r="B62" s="13"/>
      <c r="C62" s="16">
        <v>7470861.4000000004</v>
      </c>
    </row>
  </sheetData>
  <mergeCells count="1">
    <mergeCell ref="F51:F5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G43"/>
  <sheetViews>
    <sheetView topLeftCell="A7" workbookViewId="0">
      <selection activeCell="C21" sqref="C21"/>
    </sheetView>
  </sheetViews>
  <sheetFormatPr defaultRowHeight="15"/>
  <cols>
    <col min="1" max="1" width="9.140625" style="93"/>
    <col min="2" max="2" width="29.42578125" style="93" bestFit="1" customWidth="1"/>
    <col min="3" max="3" width="32.5703125" style="93" bestFit="1" customWidth="1"/>
    <col min="4" max="4" width="18.5703125" style="93" bestFit="1" customWidth="1"/>
    <col min="5" max="5" width="15.85546875" style="93" bestFit="1" customWidth="1"/>
    <col min="6" max="6" width="15.7109375" style="93" bestFit="1" customWidth="1"/>
    <col min="7" max="7" width="18.5703125" style="93" bestFit="1" customWidth="1"/>
    <col min="8" max="16384" width="9.140625" style="93"/>
  </cols>
  <sheetData>
    <row r="1" spans="1:7">
      <c r="A1" s="30"/>
      <c r="B1" s="108" t="s">
        <v>157</v>
      </c>
      <c r="C1" s="108" t="s">
        <v>216</v>
      </c>
      <c r="D1" s="110" t="s">
        <v>217</v>
      </c>
      <c r="E1" s="110" t="s">
        <v>218</v>
      </c>
      <c r="F1" s="110" t="s">
        <v>219</v>
      </c>
      <c r="G1" s="110" t="s">
        <v>220</v>
      </c>
    </row>
    <row r="2" spans="1:7">
      <c r="A2" s="80"/>
      <c r="B2" s="109" t="s">
        <v>159</v>
      </c>
      <c r="C2" s="109" t="s">
        <v>87</v>
      </c>
      <c r="D2" s="34" t="s">
        <v>655</v>
      </c>
      <c r="E2" s="34" t="s">
        <v>225</v>
      </c>
      <c r="F2" s="40" t="s">
        <v>654</v>
      </c>
      <c r="G2" s="34" t="s">
        <v>653</v>
      </c>
    </row>
    <row r="3" spans="1:7">
      <c r="A3" s="80"/>
      <c r="B3" s="109" t="s">
        <v>159</v>
      </c>
      <c r="C3" s="109" t="s">
        <v>61</v>
      </c>
      <c r="D3" s="34" t="s">
        <v>652</v>
      </c>
      <c r="E3" s="34" t="s">
        <v>651</v>
      </c>
      <c r="F3" s="34" t="s">
        <v>225</v>
      </c>
      <c r="G3" s="34" t="s">
        <v>650</v>
      </c>
    </row>
    <row r="6" spans="1:7">
      <c r="A6" s="30"/>
      <c r="B6" s="108" t="s">
        <v>157</v>
      </c>
      <c r="C6" s="108" t="s">
        <v>216</v>
      </c>
      <c r="D6" s="110" t="s">
        <v>217</v>
      </c>
      <c r="E6" s="110" t="s">
        <v>218</v>
      </c>
      <c r="F6" s="110" t="s">
        <v>219</v>
      </c>
      <c r="G6" s="110" t="s">
        <v>220</v>
      </c>
    </row>
    <row r="7" spans="1:7">
      <c r="A7" s="80"/>
      <c r="B7" s="109" t="s">
        <v>302</v>
      </c>
      <c r="C7" s="109" t="s">
        <v>221</v>
      </c>
      <c r="D7" s="34" t="s">
        <v>649</v>
      </c>
      <c r="E7" s="34" t="s">
        <v>225</v>
      </c>
      <c r="F7" s="34" t="s">
        <v>648</v>
      </c>
      <c r="G7" s="34" t="s">
        <v>647</v>
      </c>
    </row>
    <row r="8" spans="1:7">
      <c r="A8" s="80"/>
      <c r="B8" s="109" t="s">
        <v>302</v>
      </c>
      <c r="C8" s="109" t="s">
        <v>222</v>
      </c>
      <c r="D8" s="34" t="s">
        <v>646</v>
      </c>
      <c r="E8" s="40" t="s">
        <v>645</v>
      </c>
      <c r="F8" s="34" t="s">
        <v>644</v>
      </c>
      <c r="G8" s="34" t="s">
        <v>643</v>
      </c>
    </row>
    <row r="9" spans="1:7">
      <c r="F9" s="93">
        <f>7221252.74-7215608</f>
        <v>5644.7400000002235</v>
      </c>
    </row>
    <row r="12" spans="1:7">
      <c r="A12" s="12"/>
      <c r="B12" s="107" t="s">
        <v>157</v>
      </c>
      <c r="C12" s="107" t="s">
        <v>216</v>
      </c>
      <c r="D12" s="107" t="s">
        <v>217</v>
      </c>
      <c r="E12" s="107" t="s">
        <v>218</v>
      </c>
      <c r="F12" s="107" t="s">
        <v>219</v>
      </c>
      <c r="G12" s="107" t="s">
        <v>220</v>
      </c>
    </row>
    <row r="13" spans="1:7">
      <c r="A13" s="13"/>
      <c r="B13" s="70" t="s">
        <v>159</v>
      </c>
      <c r="C13" s="70" t="s">
        <v>94</v>
      </c>
      <c r="D13" s="81" t="s">
        <v>642</v>
      </c>
      <c r="E13" s="81" t="s">
        <v>225</v>
      </c>
      <c r="F13" s="81" t="s">
        <v>641</v>
      </c>
      <c r="G13" s="81" t="s">
        <v>640</v>
      </c>
    </row>
    <row r="14" spans="1:7">
      <c r="A14" s="13"/>
      <c r="B14" s="70" t="s">
        <v>159</v>
      </c>
      <c r="C14" s="70" t="s">
        <v>73</v>
      </c>
      <c r="D14" s="81" t="s">
        <v>639</v>
      </c>
      <c r="E14" s="81" t="s">
        <v>638</v>
      </c>
      <c r="F14" s="81" t="s">
        <v>225</v>
      </c>
      <c r="G14" s="81" t="s">
        <v>637</v>
      </c>
    </row>
    <row r="15" spans="1:7">
      <c r="D15" s="28"/>
      <c r="E15" s="28"/>
      <c r="F15" s="28"/>
      <c r="G15" s="28"/>
    </row>
    <row r="16" spans="1:7">
      <c r="D16" s="28"/>
      <c r="E16" s="28"/>
      <c r="F16" s="28"/>
      <c r="G16" s="28"/>
    </row>
    <row r="17" spans="1:7">
      <c r="A17" s="12"/>
      <c r="B17" s="107" t="s">
        <v>157</v>
      </c>
      <c r="C17" s="107" t="s">
        <v>216</v>
      </c>
      <c r="D17" s="51" t="s">
        <v>217</v>
      </c>
      <c r="E17" s="51" t="s">
        <v>218</v>
      </c>
      <c r="F17" s="51" t="s">
        <v>219</v>
      </c>
      <c r="G17" s="51" t="s">
        <v>220</v>
      </c>
    </row>
    <row r="18" spans="1:7">
      <c r="A18" s="13"/>
      <c r="B18" s="70" t="s">
        <v>303</v>
      </c>
      <c r="C18" s="70" t="s">
        <v>221</v>
      </c>
      <c r="D18" s="81" t="s">
        <v>636</v>
      </c>
      <c r="E18" s="81" t="s">
        <v>225</v>
      </c>
      <c r="F18" s="81" t="s">
        <v>635</v>
      </c>
      <c r="G18" s="81" t="s">
        <v>634</v>
      </c>
    </row>
    <row r="19" spans="1:7">
      <c r="A19" s="13"/>
      <c r="B19" s="70" t="s">
        <v>303</v>
      </c>
      <c r="C19" s="70" t="s">
        <v>222</v>
      </c>
      <c r="D19" s="81" t="s">
        <v>633</v>
      </c>
      <c r="E19" s="81" t="s">
        <v>632</v>
      </c>
      <c r="F19" s="81" t="s">
        <v>225</v>
      </c>
      <c r="G19" s="81" t="s">
        <v>631</v>
      </c>
    </row>
    <row r="20" spans="1:7">
      <c r="E20" s="93">
        <f>5172636.02-5167917.84</f>
        <v>4718.179999999702</v>
      </c>
      <c r="F20" s="93">
        <f>4991718.17-4889371.54</f>
        <v>102346.62999999989</v>
      </c>
    </row>
    <row r="21" spans="1:7">
      <c r="E21" s="93">
        <f>5167917.84+5043.23</f>
        <v>5172961.07</v>
      </c>
    </row>
    <row r="23" spans="1:7">
      <c r="A23" s="12"/>
      <c r="B23" s="107" t="s">
        <v>157</v>
      </c>
      <c r="C23" s="107" t="s">
        <v>216</v>
      </c>
      <c r="D23" s="107" t="s">
        <v>217</v>
      </c>
      <c r="E23" s="107" t="s">
        <v>218</v>
      </c>
      <c r="F23" s="107" t="s">
        <v>219</v>
      </c>
      <c r="G23" s="107" t="s">
        <v>220</v>
      </c>
    </row>
    <row r="24" spans="1:7">
      <c r="A24" s="13"/>
      <c r="B24" s="70" t="s">
        <v>159</v>
      </c>
      <c r="C24" s="70" t="s">
        <v>93</v>
      </c>
      <c r="D24" s="81" t="s">
        <v>630</v>
      </c>
      <c r="E24" s="81" t="s">
        <v>629</v>
      </c>
      <c r="F24" s="81" t="s">
        <v>628</v>
      </c>
      <c r="G24" s="81" t="s">
        <v>627</v>
      </c>
    </row>
    <row r="25" spans="1:7">
      <c r="A25" s="13"/>
      <c r="B25" s="70" t="s">
        <v>159</v>
      </c>
      <c r="C25" s="70" t="s">
        <v>78</v>
      </c>
      <c r="D25" s="81" t="s">
        <v>626</v>
      </c>
      <c r="E25" s="81" t="s">
        <v>625</v>
      </c>
      <c r="F25" s="81" t="s">
        <v>225</v>
      </c>
      <c r="G25" s="81" t="s">
        <v>624</v>
      </c>
    </row>
    <row r="28" spans="1:7">
      <c r="A28" s="12"/>
      <c r="B28" s="107" t="s">
        <v>157</v>
      </c>
      <c r="C28" s="107" t="s">
        <v>216</v>
      </c>
      <c r="D28" s="107" t="s">
        <v>217</v>
      </c>
      <c r="E28" s="107" t="s">
        <v>218</v>
      </c>
      <c r="F28" s="107" t="s">
        <v>219</v>
      </c>
      <c r="G28" s="107" t="s">
        <v>220</v>
      </c>
    </row>
    <row r="29" spans="1:7">
      <c r="A29" s="13"/>
      <c r="B29" s="70" t="s">
        <v>304</v>
      </c>
      <c r="C29" s="70" t="s">
        <v>221</v>
      </c>
      <c r="D29" s="81" t="s">
        <v>623</v>
      </c>
      <c r="E29" s="81" t="s">
        <v>225</v>
      </c>
      <c r="F29" s="81" t="s">
        <v>225</v>
      </c>
      <c r="G29" s="81" t="s">
        <v>623</v>
      </c>
    </row>
    <row r="30" spans="1:7">
      <c r="A30" s="13"/>
      <c r="B30" s="70" t="s">
        <v>304</v>
      </c>
      <c r="C30" s="70" t="s">
        <v>222</v>
      </c>
      <c r="D30" s="81" t="s">
        <v>622</v>
      </c>
      <c r="E30" s="81" t="s">
        <v>621</v>
      </c>
      <c r="F30" s="81" t="s">
        <v>620</v>
      </c>
      <c r="G30" s="81" t="s">
        <v>619</v>
      </c>
    </row>
    <row r="31" spans="1:7">
      <c r="E31" s="93">
        <f>11393172.4-11366526.96</f>
        <v>26645.439999999478</v>
      </c>
      <c r="F31" s="93">
        <f>-27856975.15+31886148.42</f>
        <v>4029173.2700000033</v>
      </c>
    </row>
    <row r="32" spans="1:7">
      <c r="F32" s="35"/>
    </row>
    <row r="34" spans="1:7">
      <c r="A34" s="12"/>
      <c r="B34" s="107" t="s">
        <v>157</v>
      </c>
      <c r="C34" s="107" t="s">
        <v>216</v>
      </c>
      <c r="D34" s="107" t="s">
        <v>217</v>
      </c>
      <c r="E34" s="107" t="s">
        <v>218</v>
      </c>
      <c r="F34" s="107" t="s">
        <v>219</v>
      </c>
      <c r="G34" s="107" t="s">
        <v>220</v>
      </c>
    </row>
    <row r="35" spans="1:7" ht="30">
      <c r="A35" s="13"/>
      <c r="B35" s="70" t="s">
        <v>159</v>
      </c>
      <c r="C35" s="70" t="s">
        <v>229</v>
      </c>
      <c r="D35" s="81" t="s">
        <v>225</v>
      </c>
      <c r="E35" s="81" t="s">
        <v>225</v>
      </c>
      <c r="F35" s="81" t="s">
        <v>225</v>
      </c>
      <c r="G35" s="81" t="s">
        <v>225</v>
      </c>
    </row>
    <row r="36" spans="1:7">
      <c r="A36" s="13"/>
      <c r="B36" s="70" t="s">
        <v>159</v>
      </c>
      <c r="C36" s="70" t="s">
        <v>66</v>
      </c>
      <c r="D36" s="81" t="s">
        <v>618</v>
      </c>
      <c r="E36" s="83" t="s">
        <v>617</v>
      </c>
      <c r="F36" s="81" t="s">
        <v>616</v>
      </c>
      <c r="G36" s="81" t="s">
        <v>615</v>
      </c>
    </row>
    <row r="39" spans="1:7">
      <c r="A39" s="12"/>
      <c r="B39" s="107" t="s">
        <v>157</v>
      </c>
      <c r="C39" s="107" t="s">
        <v>216</v>
      </c>
      <c r="D39" s="107" t="s">
        <v>217</v>
      </c>
      <c r="E39" s="107" t="s">
        <v>218</v>
      </c>
      <c r="F39" s="107" t="s">
        <v>219</v>
      </c>
      <c r="G39" s="107" t="s">
        <v>220</v>
      </c>
    </row>
    <row r="40" spans="1:7" ht="30">
      <c r="A40" s="13"/>
      <c r="B40" s="70" t="s">
        <v>230</v>
      </c>
      <c r="C40" s="70" t="s">
        <v>221</v>
      </c>
      <c r="D40" s="81" t="s">
        <v>614</v>
      </c>
      <c r="E40" s="81" t="s">
        <v>613</v>
      </c>
      <c r="F40" s="83" t="s">
        <v>612</v>
      </c>
      <c r="G40" s="81" t="s">
        <v>611</v>
      </c>
    </row>
    <row r="41" spans="1:7" ht="30">
      <c r="A41" s="13"/>
      <c r="B41" s="70" t="s">
        <v>230</v>
      </c>
      <c r="C41" s="70" t="s">
        <v>222</v>
      </c>
      <c r="D41" s="81" t="s">
        <v>225</v>
      </c>
      <c r="E41" s="81" t="s">
        <v>225</v>
      </c>
      <c r="F41" s="81" t="s">
        <v>225</v>
      </c>
      <c r="G41" s="81" t="s">
        <v>225</v>
      </c>
    </row>
    <row r="43" spans="1:7">
      <c r="D43" s="93">
        <f>141499966.56-141085614.74</f>
        <v>414351.81999999285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L83"/>
  <sheetViews>
    <sheetView topLeftCell="A58" workbookViewId="0">
      <selection activeCell="D60" sqref="D60"/>
    </sheetView>
  </sheetViews>
  <sheetFormatPr defaultRowHeight="12.75"/>
  <cols>
    <col min="1" max="1" width="9.140625" style="72"/>
    <col min="2" max="2" width="32" style="10" bestFit="1" customWidth="1"/>
    <col min="3" max="3" width="34.5703125" style="72" bestFit="1" customWidth="1"/>
    <col min="4" max="4" width="17.5703125" style="10" bestFit="1" customWidth="1"/>
    <col min="5" max="5" width="15.140625" style="72" bestFit="1" customWidth="1"/>
    <col min="6" max="6" width="15" style="72" bestFit="1" customWidth="1"/>
    <col min="7" max="7" width="17.5703125" style="72" bestFit="1" customWidth="1"/>
    <col min="8" max="8" width="9.140625" style="10"/>
    <col min="9" max="9" width="9.140625" style="72"/>
    <col min="10" max="10" width="14.42578125" style="72" customWidth="1"/>
    <col min="11" max="11" width="9.140625" style="72"/>
    <col min="12" max="13" width="12.42578125" style="72" customWidth="1"/>
    <col min="14" max="16384" width="9.140625" style="72"/>
  </cols>
  <sheetData>
    <row r="1" spans="1:8">
      <c r="A1" s="486" t="s">
        <v>862</v>
      </c>
      <c r="B1" s="175" t="s">
        <v>157</v>
      </c>
      <c r="C1" s="175" t="s">
        <v>216</v>
      </c>
      <c r="D1" s="175" t="s">
        <v>217</v>
      </c>
      <c r="E1" s="175" t="s">
        <v>218</v>
      </c>
      <c r="F1" s="175" t="s">
        <v>219</v>
      </c>
      <c r="G1" s="175" t="s">
        <v>220</v>
      </c>
    </row>
    <row r="2" spans="1:8">
      <c r="A2" s="486"/>
      <c r="B2" s="176" t="s">
        <v>159</v>
      </c>
      <c r="C2" s="176" t="s">
        <v>87</v>
      </c>
      <c r="D2" s="163" t="s">
        <v>1360</v>
      </c>
      <c r="E2" s="163" t="s">
        <v>225</v>
      </c>
      <c r="F2" s="162" t="s">
        <v>1361</v>
      </c>
      <c r="G2" s="163" t="s">
        <v>1362</v>
      </c>
    </row>
    <row r="3" spans="1:8">
      <c r="A3" s="486"/>
      <c r="B3" s="176" t="s">
        <v>159</v>
      </c>
      <c r="C3" s="176" t="s">
        <v>61</v>
      </c>
      <c r="D3" s="163" t="s">
        <v>1363</v>
      </c>
      <c r="E3" s="163" t="s">
        <v>1364</v>
      </c>
      <c r="F3" s="162" t="s">
        <v>1365</v>
      </c>
      <c r="G3" s="163" t="s">
        <v>1366</v>
      </c>
    </row>
    <row r="4" spans="1:8">
      <c r="A4" s="486"/>
      <c r="B4" s="177"/>
      <c r="C4" s="95"/>
      <c r="D4" s="177"/>
      <c r="E4" s="95"/>
      <c r="F4" s="95">
        <f>51668392.64+25180</f>
        <v>51693572.640000001</v>
      </c>
      <c r="G4" s="95"/>
    </row>
    <row r="5" spans="1:8">
      <c r="A5" s="486"/>
      <c r="F5" s="72">
        <f>+F4-E10</f>
        <v>0</v>
      </c>
    </row>
    <row r="6" spans="1:8">
      <c r="A6" s="486"/>
    </row>
    <row r="7" spans="1:8">
      <c r="A7" s="486"/>
      <c r="B7" s="175" t="s">
        <v>157</v>
      </c>
      <c r="C7" s="175" t="s">
        <v>216</v>
      </c>
      <c r="D7" s="175" t="s">
        <v>217</v>
      </c>
      <c r="E7" s="175" t="s">
        <v>218</v>
      </c>
      <c r="F7" s="175" t="s">
        <v>219</v>
      </c>
      <c r="G7" s="175" t="s">
        <v>220</v>
      </c>
    </row>
    <row r="8" spans="1:8">
      <c r="A8" s="486"/>
      <c r="B8" s="176" t="s">
        <v>302</v>
      </c>
      <c r="C8" s="176" t="s">
        <v>221</v>
      </c>
      <c r="D8" s="163" t="s">
        <v>1367</v>
      </c>
      <c r="E8" s="162" t="s">
        <v>1368</v>
      </c>
      <c r="F8" s="163" t="s">
        <v>1369</v>
      </c>
      <c r="G8" s="163" t="s">
        <v>1370</v>
      </c>
    </row>
    <row r="9" spans="1:8">
      <c r="A9" s="486"/>
      <c r="B9" s="176" t="s">
        <v>302</v>
      </c>
      <c r="C9" s="176" t="s">
        <v>222</v>
      </c>
      <c r="D9" s="163" t="s">
        <v>1371</v>
      </c>
      <c r="E9" s="162" t="s">
        <v>1372</v>
      </c>
      <c r="F9" s="163" t="s">
        <v>225</v>
      </c>
      <c r="G9" s="163" t="s">
        <v>1373</v>
      </c>
    </row>
    <row r="10" spans="1:8">
      <c r="A10" s="486"/>
      <c r="B10" s="177"/>
      <c r="C10" s="95"/>
      <c r="D10" s="177"/>
      <c r="E10" s="95">
        <f>51654519.64+39053</f>
        <v>51693572.640000001</v>
      </c>
      <c r="F10" s="95">
        <f>18985620.97-18552868</f>
        <v>432752.96999999881</v>
      </c>
      <c r="G10" s="95" t="s">
        <v>1357</v>
      </c>
      <c r="H10" s="178" t="s">
        <v>1374</v>
      </c>
    </row>
    <row r="15" spans="1:8">
      <c r="A15" s="486" t="s">
        <v>1375</v>
      </c>
      <c r="B15" s="179" t="s">
        <v>157</v>
      </c>
      <c r="C15" s="180" t="s">
        <v>216</v>
      </c>
      <c r="D15" s="180" t="s">
        <v>217</v>
      </c>
      <c r="E15" s="180" t="s">
        <v>218</v>
      </c>
      <c r="F15" s="180" t="s">
        <v>219</v>
      </c>
      <c r="G15" s="180" t="s">
        <v>220</v>
      </c>
    </row>
    <row r="16" spans="1:8">
      <c r="A16" s="486"/>
      <c r="B16" s="181" t="s">
        <v>159</v>
      </c>
      <c r="C16" s="182" t="s">
        <v>89</v>
      </c>
      <c r="D16" s="183" t="s">
        <v>1008</v>
      </c>
      <c r="E16" s="183" t="s">
        <v>225</v>
      </c>
      <c r="F16" s="183" t="s">
        <v>1376</v>
      </c>
      <c r="G16" s="183" t="s">
        <v>1377</v>
      </c>
    </row>
    <row r="17" spans="1:11">
      <c r="A17" s="486"/>
      <c r="B17" s="181" t="s">
        <v>159</v>
      </c>
      <c r="C17" s="182" t="s">
        <v>226</v>
      </c>
      <c r="D17" s="183" t="s">
        <v>1009</v>
      </c>
      <c r="E17" s="183" t="s">
        <v>225</v>
      </c>
      <c r="F17" s="183" t="s">
        <v>225</v>
      </c>
      <c r="G17" s="183" t="s">
        <v>1009</v>
      </c>
    </row>
    <row r="18" spans="1:11">
      <c r="A18" s="486"/>
    </row>
    <row r="19" spans="1:11">
      <c r="A19" s="486"/>
    </row>
    <row r="20" spans="1:11">
      <c r="A20" s="486"/>
      <c r="B20" s="179" t="s">
        <v>157</v>
      </c>
      <c r="C20" s="180" t="s">
        <v>216</v>
      </c>
      <c r="D20" s="180" t="s">
        <v>217</v>
      </c>
      <c r="E20" s="180" t="s">
        <v>218</v>
      </c>
      <c r="F20" s="180" t="s">
        <v>219</v>
      </c>
      <c r="G20" s="180" t="s">
        <v>220</v>
      </c>
    </row>
    <row r="21" spans="1:11">
      <c r="A21" s="486"/>
      <c r="B21" s="181" t="s">
        <v>227</v>
      </c>
      <c r="C21" s="182" t="s">
        <v>221</v>
      </c>
      <c r="D21" s="183" t="s">
        <v>1010</v>
      </c>
      <c r="E21" s="183" t="s">
        <v>225</v>
      </c>
      <c r="F21" s="183" t="s">
        <v>225</v>
      </c>
      <c r="G21" s="183" t="s">
        <v>1010</v>
      </c>
    </row>
    <row r="22" spans="1:11">
      <c r="A22" s="486"/>
      <c r="B22" s="181" t="s">
        <v>227</v>
      </c>
      <c r="C22" s="182" t="s">
        <v>222</v>
      </c>
      <c r="D22" s="183" t="s">
        <v>1011</v>
      </c>
      <c r="E22" s="183" t="s">
        <v>1378</v>
      </c>
      <c r="F22" s="183" t="s">
        <v>225</v>
      </c>
      <c r="G22" s="183" t="s">
        <v>1379</v>
      </c>
    </row>
    <row r="23" spans="1:11">
      <c r="A23" s="486"/>
      <c r="E23" s="72">
        <f>2451299.9-2341621.85</f>
        <v>109678.04999999981</v>
      </c>
      <c r="F23" s="72" t="s">
        <v>1380</v>
      </c>
      <c r="G23" s="184" t="s">
        <v>1381</v>
      </c>
    </row>
    <row r="26" spans="1:11">
      <c r="A26" s="486" t="s">
        <v>1382</v>
      </c>
      <c r="B26" s="179" t="s">
        <v>157</v>
      </c>
      <c r="C26" s="180" t="s">
        <v>216</v>
      </c>
      <c r="D26" s="180" t="s">
        <v>217</v>
      </c>
      <c r="E26" s="180" t="s">
        <v>218</v>
      </c>
      <c r="F26" s="180" t="s">
        <v>219</v>
      </c>
      <c r="G26" s="180" t="s">
        <v>220</v>
      </c>
    </row>
    <row r="27" spans="1:11">
      <c r="A27" s="486"/>
      <c r="B27" s="181" t="s">
        <v>159</v>
      </c>
      <c r="C27" s="182" t="s">
        <v>94</v>
      </c>
      <c r="D27" s="183" t="s">
        <v>1012</v>
      </c>
      <c r="E27" s="183" t="s">
        <v>1383</v>
      </c>
      <c r="F27" s="183" t="s">
        <v>1384</v>
      </c>
      <c r="G27" s="183" t="s">
        <v>1385</v>
      </c>
    </row>
    <row r="28" spans="1:11">
      <c r="A28" s="486"/>
      <c r="B28" s="181" t="s">
        <v>159</v>
      </c>
      <c r="C28" s="182" t="s">
        <v>73</v>
      </c>
      <c r="D28" s="183" t="s">
        <v>1013</v>
      </c>
      <c r="E28" s="183" t="s">
        <v>1386</v>
      </c>
      <c r="F28" s="183" t="s">
        <v>225</v>
      </c>
      <c r="G28" s="183" t="s">
        <v>1387</v>
      </c>
    </row>
    <row r="29" spans="1:11" ht="30">
      <c r="A29" s="486"/>
      <c r="E29" s="72">
        <f>9170720.19+533</f>
        <v>9171253.1899999995</v>
      </c>
      <c r="F29" s="72">
        <f>2333149.1-2317918.17</f>
        <v>15230.930000000168</v>
      </c>
      <c r="J29" s="81" t="s">
        <v>1461</v>
      </c>
      <c r="K29" s="72">
        <f>428160087.66-428158954.86</f>
        <v>1132.8000000119209</v>
      </c>
    </row>
    <row r="30" spans="1:11" ht="30">
      <c r="A30" s="486"/>
      <c r="E30" s="72">
        <f>+F35-E29</f>
        <v>15243.589999999851</v>
      </c>
      <c r="J30" s="81" t="s">
        <v>1463</v>
      </c>
      <c r="K30" s="72">
        <f>385021414.07-385019819.07</f>
        <v>1595</v>
      </c>
    </row>
    <row r="31" spans="1:11" ht="30">
      <c r="A31" s="486"/>
      <c r="J31" s="81" t="s">
        <v>1389</v>
      </c>
      <c r="K31" s="72">
        <f>431323620.68-431358430.18</f>
        <v>-34809.5</v>
      </c>
    </row>
    <row r="32" spans="1:11" ht="30">
      <c r="A32" s="486"/>
      <c r="B32" s="179" t="s">
        <v>157</v>
      </c>
      <c r="C32" s="180" t="s">
        <v>216</v>
      </c>
      <c r="D32" s="180" t="s">
        <v>217</v>
      </c>
      <c r="E32" s="180" t="s">
        <v>218</v>
      </c>
      <c r="F32" s="180" t="s">
        <v>219</v>
      </c>
      <c r="G32" s="180" t="s">
        <v>220</v>
      </c>
      <c r="J32" s="81" t="s">
        <v>1466</v>
      </c>
    </row>
    <row r="33" spans="1:12">
      <c r="A33" s="486"/>
      <c r="B33" s="181" t="s">
        <v>303</v>
      </c>
      <c r="C33" s="182" t="s">
        <v>221</v>
      </c>
      <c r="D33" s="183" t="s">
        <v>1014</v>
      </c>
      <c r="E33" s="183" t="s">
        <v>225</v>
      </c>
      <c r="F33" s="183" t="s">
        <v>1388</v>
      </c>
      <c r="G33" s="183" t="s">
        <v>1389</v>
      </c>
    </row>
    <row r="34" spans="1:12">
      <c r="A34" s="486"/>
      <c r="B34" s="181" t="s">
        <v>303</v>
      </c>
      <c r="C34" s="182" t="s">
        <v>222</v>
      </c>
      <c r="D34" s="183" t="s">
        <v>1015</v>
      </c>
      <c r="E34" s="183" t="s">
        <v>1390</v>
      </c>
      <c r="F34" s="183" t="s">
        <v>1391</v>
      </c>
      <c r="G34" s="183" t="s">
        <v>1392</v>
      </c>
    </row>
    <row r="35" spans="1:12">
      <c r="A35" s="486"/>
      <c r="F35" s="72">
        <f>9161280.18+25216.6</f>
        <v>9186496.7799999993</v>
      </c>
      <c r="G35" s="72">
        <f>+E30-F29</f>
        <v>12.65999999968335</v>
      </c>
      <c r="H35" s="184" t="s">
        <v>298</v>
      </c>
    </row>
    <row r="38" spans="1:12" ht="15">
      <c r="A38" s="486" t="s">
        <v>1393</v>
      </c>
      <c r="B38" s="179" t="s">
        <v>157</v>
      </c>
      <c r="C38" s="180" t="s">
        <v>216</v>
      </c>
      <c r="D38" s="180" t="s">
        <v>217</v>
      </c>
      <c r="E38" s="180" t="s">
        <v>218</v>
      </c>
      <c r="F38" s="180" t="s">
        <v>219</v>
      </c>
      <c r="G38" s="180" t="s">
        <v>220</v>
      </c>
      <c r="J38" s="31" t="s">
        <v>1395</v>
      </c>
    </row>
    <row r="39" spans="1:12" ht="15">
      <c r="A39" s="486"/>
      <c r="B39" s="181" t="s">
        <v>159</v>
      </c>
      <c r="C39" s="182" t="s">
        <v>93</v>
      </c>
      <c r="D39" s="183" t="s">
        <v>1016</v>
      </c>
      <c r="E39" s="183" t="s">
        <v>225</v>
      </c>
      <c r="F39" s="183" t="s">
        <v>1394</v>
      </c>
      <c r="G39" s="183" t="s">
        <v>1395</v>
      </c>
      <c r="J39" s="31" t="s">
        <v>1398</v>
      </c>
    </row>
    <row r="40" spans="1:12" ht="15">
      <c r="A40" s="486"/>
      <c r="B40" s="181" t="s">
        <v>159</v>
      </c>
      <c r="C40" s="182" t="s">
        <v>78</v>
      </c>
      <c r="D40" s="183" t="s">
        <v>1017</v>
      </c>
      <c r="E40" s="185" t="s">
        <v>1396</v>
      </c>
      <c r="F40" s="185" t="s">
        <v>1397</v>
      </c>
      <c r="G40" s="183" t="s">
        <v>1398</v>
      </c>
      <c r="J40" s="31" t="s">
        <v>1401</v>
      </c>
    </row>
    <row r="41" spans="1:12" ht="15">
      <c r="A41" s="486"/>
      <c r="J41" s="31" t="s">
        <v>1579</v>
      </c>
    </row>
    <row r="42" spans="1:12">
      <c r="A42" s="486"/>
    </row>
    <row r="43" spans="1:12">
      <c r="A43" s="486"/>
    </row>
    <row r="44" spans="1:12">
      <c r="A44" s="486"/>
      <c r="B44" s="179" t="s">
        <v>157</v>
      </c>
      <c r="C44" s="180" t="s">
        <v>216</v>
      </c>
      <c r="D44" s="180" t="s">
        <v>217</v>
      </c>
      <c r="E44" s="180" t="s">
        <v>218</v>
      </c>
      <c r="F44" s="180" t="s">
        <v>219</v>
      </c>
      <c r="G44" s="180" t="s">
        <v>220</v>
      </c>
    </row>
    <row r="45" spans="1:12">
      <c r="A45" s="486"/>
      <c r="B45" s="181" t="s">
        <v>304</v>
      </c>
      <c r="C45" s="182" t="s">
        <v>221</v>
      </c>
      <c r="D45" s="183" t="s">
        <v>1018</v>
      </c>
      <c r="E45" s="185" t="s">
        <v>1399</v>
      </c>
      <c r="F45" s="185" t="s">
        <v>1400</v>
      </c>
      <c r="G45" s="183" t="s">
        <v>1401</v>
      </c>
    </row>
    <row r="46" spans="1:12" ht="15">
      <c r="A46" s="486"/>
      <c r="B46" s="181" t="s">
        <v>304</v>
      </c>
      <c r="C46" s="182" t="s">
        <v>222</v>
      </c>
      <c r="D46" s="183" t="s">
        <v>1019</v>
      </c>
      <c r="E46" s="183" t="s">
        <v>1402</v>
      </c>
      <c r="F46" s="183" t="s">
        <v>225</v>
      </c>
      <c r="G46" s="183" t="s">
        <v>1403</v>
      </c>
      <c r="I46" s="12"/>
      <c r="J46" s="12"/>
      <c r="K46" s="12"/>
      <c r="L46" s="12"/>
    </row>
    <row r="47" spans="1:12" ht="15">
      <c r="A47" s="486"/>
      <c r="E47" s="72">
        <f>6957293.15-6956665.63</f>
        <v>627.52000000048429</v>
      </c>
      <c r="F47" s="184" t="s">
        <v>1449</v>
      </c>
      <c r="I47" s="13"/>
      <c r="J47" s="14"/>
      <c r="K47" s="13"/>
      <c r="L47" s="14"/>
    </row>
    <row r="48" spans="1:12" ht="15">
      <c r="I48" s="13"/>
      <c r="J48" s="14"/>
      <c r="K48" s="13"/>
      <c r="L48" s="14"/>
    </row>
    <row r="49" spans="1:12" ht="15">
      <c r="I49" s="13"/>
      <c r="J49" s="14"/>
      <c r="K49" s="13"/>
      <c r="L49" s="14"/>
    </row>
    <row r="50" spans="1:12" ht="15">
      <c r="I50" s="13"/>
      <c r="J50" s="14"/>
      <c r="K50" s="13"/>
      <c r="L50" s="14"/>
    </row>
    <row r="51" spans="1:12" ht="15">
      <c r="A51" s="486" t="s">
        <v>1404</v>
      </c>
      <c r="B51" s="173" t="s">
        <v>157</v>
      </c>
      <c r="C51" s="175" t="s">
        <v>216</v>
      </c>
      <c r="D51" s="175" t="s">
        <v>217</v>
      </c>
      <c r="E51" s="175" t="s">
        <v>218</v>
      </c>
      <c r="F51" s="175" t="s">
        <v>219</v>
      </c>
      <c r="G51" s="175" t="s">
        <v>220</v>
      </c>
      <c r="I51" s="13"/>
      <c r="J51" s="14"/>
      <c r="K51" s="13"/>
      <c r="L51" s="14"/>
    </row>
    <row r="52" spans="1:12" ht="15">
      <c r="A52" s="486"/>
      <c r="B52" s="186" t="s">
        <v>159</v>
      </c>
      <c r="C52" s="176" t="s">
        <v>229</v>
      </c>
      <c r="D52" s="163" t="s">
        <v>225</v>
      </c>
      <c r="E52" s="163" t="s">
        <v>225</v>
      </c>
      <c r="F52" s="163" t="s">
        <v>225</v>
      </c>
      <c r="G52" s="163" t="s">
        <v>225</v>
      </c>
      <c r="I52" s="13"/>
      <c r="J52" s="14"/>
      <c r="K52" s="13"/>
      <c r="L52" s="14"/>
    </row>
    <row r="53" spans="1:12" ht="15">
      <c r="A53" s="486"/>
      <c r="B53" s="186" t="s">
        <v>159</v>
      </c>
      <c r="C53" s="176" t="s">
        <v>66</v>
      </c>
      <c r="D53" s="163" t="s">
        <v>1405</v>
      </c>
      <c r="E53" s="163" t="s">
        <v>1448</v>
      </c>
      <c r="F53" s="162" t="s">
        <v>1406</v>
      </c>
      <c r="G53" s="163" t="s">
        <v>1407</v>
      </c>
      <c r="I53" s="13"/>
      <c r="J53" s="14"/>
      <c r="K53" s="13"/>
      <c r="L53" s="14"/>
    </row>
    <row r="54" spans="1:12" ht="15">
      <c r="A54" s="486"/>
      <c r="I54" s="13"/>
      <c r="J54" s="98"/>
      <c r="K54" s="13"/>
      <c r="L54" s="98"/>
    </row>
    <row r="55" spans="1:12">
      <c r="A55" s="486"/>
    </row>
    <row r="56" spans="1:12">
      <c r="A56" s="486"/>
      <c r="B56" s="173" t="s">
        <v>157</v>
      </c>
      <c r="C56" s="175" t="s">
        <v>216</v>
      </c>
      <c r="D56" s="175" t="s">
        <v>217</v>
      </c>
      <c r="E56" s="175" t="s">
        <v>218</v>
      </c>
      <c r="F56" s="175" t="s">
        <v>219</v>
      </c>
      <c r="G56" s="175" t="s">
        <v>220</v>
      </c>
    </row>
    <row r="57" spans="1:12">
      <c r="A57" s="486"/>
      <c r="B57" s="186" t="s">
        <v>230</v>
      </c>
      <c r="C57" s="176" t="s">
        <v>221</v>
      </c>
      <c r="D57" s="163" t="s">
        <v>1020</v>
      </c>
      <c r="E57" s="162" t="s">
        <v>1408</v>
      </c>
      <c r="F57" s="163" t="s">
        <v>1409</v>
      </c>
      <c r="G57" s="163" t="s">
        <v>1410</v>
      </c>
    </row>
    <row r="58" spans="1:12">
      <c r="A58" s="486"/>
      <c r="B58" s="186" t="s">
        <v>230</v>
      </c>
      <c r="C58" s="176" t="s">
        <v>222</v>
      </c>
      <c r="D58" s="163" t="s">
        <v>225</v>
      </c>
      <c r="E58" s="163" t="s">
        <v>225</v>
      </c>
      <c r="F58" s="163" t="s">
        <v>225</v>
      </c>
      <c r="G58" s="163" t="s">
        <v>225</v>
      </c>
    </row>
    <row r="59" spans="1:12">
      <c r="A59" s="486"/>
      <c r="F59" s="72">
        <f>6443088.83-6443089.14</f>
        <v>-0.30999999959021807</v>
      </c>
      <c r="G59" s="184" t="s">
        <v>298</v>
      </c>
    </row>
    <row r="63" spans="1:12">
      <c r="A63" s="486" t="s">
        <v>1411</v>
      </c>
      <c r="B63" s="173" t="s">
        <v>157</v>
      </c>
      <c r="C63" s="175" t="s">
        <v>216</v>
      </c>
      <c r="D63" s="175" t="s">
        <v>217</v>
      </c>
      <c r="E63" s="175" t="s">
        <v>218</v>
      </c>
      <c r="F63" s="175" t="s">
        <v>219</v>
      </c>
      <c r="G63" s="175" t="s">
        <v>220</v>
      </c>
    </row>
    <row r="64" spans="1:12">
      <c r="A64" s="486"/>
      <c r="B64" s="186" t="s">
        <v>159</v>
      </c>
      <c r="C64" s="176" t="s">
        <v>95</v>
      </c>
      <c r="D64" s="163" t="s">
        <v>1412</v>
      </c>
      <c r="E64" s="163" t="s">
        <v>225</v>
      </c>
      <c r="F64" s="162" t="s">
        <v>1413</v>
      </c>
      <c r="G64" s="163" t="s">
        <v>1414</v>
      </c>
    </row>
    <row r="65" spans="1:7">
      <c r="A65" s="486"/>
      <c r="B65" s="186" t="s">
        <v>159</v>
      </c>
      <c r="C65" s="176" t="s">
        <v>232</v>
      </c>
      <c r="D65" s="163" t="s">
        <v>1415</v>
      </c>
      <c r="E65" s="162" t="s">
        <v>1416</v>
      </c>
      <c r="F65" s="163" t="s">
        <v>225</v>
      </c>
      <c r="G65" s="163" t="s">
        <v>1417</v>
      </c>
    </row>
    <row r="66" spans="1:7">
      <c r="A66" s="486"/>
    </row>
    <row r="67" spans="1:7">
      <c r="A67" s="486"/>
    </row>
    <row r="68" spans="1:7">
      <c r="A68" s="486"/>
      <c r="B68" s="179" t="s">
        <v>157</v>
      </c>
      <c r="C68" s="180" t="s">
        <v>216</v>
      </c>
      <c r="D68" s="180" t="s">
        <v>217</v>
      </c>
      <c r="E68" s="180" t="s">
        <v>218</v>
      </c>
      <c r="F68" s="180" t="s">
        <v>219</v>
      </c>
      <c r="G68" s="180" t="s">
        <v>220</v>
      </c>
    </row>
    <row r="69" spans="1:7">
      <c r="A69" s="486"/>
      <c r="B69" s="181" t="s">
        <v>233</v>
      </c>
      <c r="C69" s="182" t="s">
        <v>221</v>
      </c>
      <c r="D69" s="183" t="s">
        <v>1418</v>
      </c>
      <c r="E69" s="183" t="s">
        <v>225</v>
      </c>
      <c r="F69" s="185" t="s">
        <v>1419</v>
      </c>
      <c r="G69" s="183" t="s">
        <v>1420</v>
      </c>
    </row>
    <row r="70" spans="1:7">
      <c r="A70" s="486"/>
      <c r="B70" s="181" t="s">
        <v>233</v>
      </c>
      <c r="C70" s="182" t="s">
        <v>222</v>
      </c>
      <c r="D70" s="183" t="s">
        <v>1421</v>
      </c>
      <c r="E70" s="185" t="s">
        <v>1422</v>
      </c>
      <c r="F70" s="183" t="s">
        <v>225</v>
      </c>
      <c r="G70" s="183" t="s">
        <v>1423</v>
      </c>
    </row>
    <row r="71" spans="1:7">
      <c r="A71" s="486"/>
    </row>
    <row r="75" spans="1:7">
      <c r="A75" s="486" t="s">
        <v>1424</v>
      </c>
      <c r="B75" s="173" t="s">
        <v>157</v>
      </c>
      <c r="C75" s="175" t="s">
        <v>216</v>
      </c>
      <c r="D75" s="175" t="s">
        <v>217</v>
      </c>
      <c r="E75" s="175" t="s">
        <v>218</v>
      </c>
      <c r="F75" s="175" t="s">
        <v>219</v>
      </c>
      <c r="G75" s="175" t="s">
        <v>220</v>
      </c>
    </row>
    <row r="76" spans="1:7">
      <c r="A76" s="486"/>
      <c r="B76" s="186" t="s">
        <v>159</v>
      </c>
      <c r="C76" s="176" t="s">
        <v>103</v>
      </c>
      <c r="D76" s="163" t="s">
        <v>1021</v>
      </c>
      <c r="E76" s="163" t="s">
        <v>225</v>
      </c>
      <c r="F76" s="163" t="s">
        <v>1425</v>
      </c>
      <c r="G76" s="163" t="s">
        <v>1426</v>
      </c>
    </row>
    <row r="77" spans="1:7">
      <c r="A77" s="486"/>
      <c r="B77" s="186" t="s">
        <v>159</v>
      </c>
      <c r="C77" s="176" t="s">
        <v>365</v>
      </c>
      <c r="D77" s="163" t="s">
        <v>1022</v>
      </c>
      <c r="E77" s="163" t="s">
        <v>1427</v>
      </c>
      <c r="F77" s="163" t="s">
        <v>225</v>
      </c>
      <c r="G77" s="163" t="s">
        <v>1428</v>
      </c>
    </row>
    <row r="78" spans="1:7">
      <c r="A78" s="486"/>
    </row>
    <row r="79" spans="1:7">
      <c r="A79" s="486"/>
    </row>
    <row r="80" spans="1:7">
      <c r="A80" s="486"/>
      <c r="B80" s="179" t="s">
        <v>157</v>
      </c>
      <c r="C80" s="180" t="s">
        <v>216</v>
      </c>
      <c r="D80" s="180" t="s">
        <v>217</v>
      </c>
      <c r="E80" s="180" t="s">
        <v>218</v>
      </c>
      <c r="F80" s="180" t="s">
        <v>219</v>
      </c>
      <c r="G80" s="180" t="s">
        <v>220</v>
      </c>
    </row>
    <row r="81" spans="1:7">
      <c r="A81" s="486"/>
      <c r="B81" s="181" t="s">
        <v>366</v>
      </c>
      <c r="C81" s="182" t="s">
        <v>221</v>
      </c>
      <c r="D81" s="183" t="s">
        <v>1023</v>
      </c>
      <c r="E81" s="183" t="s">
        <v>225</v>
      </c>
      <c r="F81" s="183" t="s">
        <v>225</v>
      </c>
      <c r="G81" s="183" t="s">
        <v>1023</v>
      </c>
    </row>
    <row r="82" spans="1:7">
      <c r="A82" s="486"/>
      <c r="B82" s="181" t="s">
        <v>366</v>
      </c>
      <c r="C82" s="182" t="s">
        <v>222</v>
      </c>
      <c r="D82" s="183" t="s">
        <v>1024</v>
      </c>
      <c r="E82" s="183" t="s">
        <v>1429</v>
      </c>
      <c r="F82" s="183" t="s">
        <v>225</v>
      </c>
      <c r="G82" s="183" t="s">
        <v>1430</v>
      </c>
    </row>
    <row r="83" spans="1:7">
      <c r="A83" s="486"/>
      <c r="F83" s="72">
        <v>585776.89</v>
      </c>
      <c r="G83" s="184" t="s">
        <v>1431</v>
      </c>
    </row>
  </sheetData>
  <mergeCells count="7">
    <mergeCell ref="A51:A59"/>
    <mergeCell ref="A63:A71"/>
    <mergeCell ref="A75:A83"/>
    <mergeCell ref="A1:A10"/>
    <mergeCell ref="A15:A23"/>
    <mergeCell ref="A26:A35"/>
    <mergeCell ref="A38:A4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S125"/>
  <sheetViews>
    <sheetView topLeftCell="B62" workbookViewId="0">
      <selection activeCell="K76" sqref="K76"/>
    </sheetView>
  </sheetViews>
  <sheetFormatPr defaultRowHeight="15"/>
  <cols>
    <col min="2" max="2" width="10.5703125" bestFit="1" customWidth="1"/>
    <col min="3" max="3" width="7.85546875" bestFit="1" customWidth="1"/>
    <col min="4" max="4" width="11.28515625" bestFit="1" customWidth="1"/>
    <col min="7" max="7" width="14.5703125" bestFit="1" customWidth="1"/>
    <col min="8" max="8" width="10.5703125" bestFit="1" customWidth="1"/>
    <col min="9" max="9" width="11.28515625" bestFit="1" customWidth="1"/>
    <col min="14" max="14" width="12.7109375" bestFit="1" customWidth="1"/>
    <col min="19" max="19" width="12.7109375" bestFit="1" customWidth="1"/>
  </cols>
  <sheetData>
    <row r="1" spans="1:19">
      <c r="A1" s="5"/>
      <c r="B1" s="5" t="s">
        <v>305</v>
      </c>
      <c r="C1" s="5" t="s">
        <v>218</v>
      </c>
      <c r="D1" s="5" t="s">
        <v>219</v>
      </c>
      <c r="F1" s="5"/>
      <c r="G1" s="5" t="s">
        <v>28</v>
      </c>
      <c r="H1" s="5" t="s">
        <v>305</v>
      </c>
      <c r="I1" s="5" t="s">
        <v>218</v>
      </c>
      <c r="K1" s="12"/>
      <c r="L1" s="30" t="s">
        <v>305</v>
      </c>
      <c r="M1" s="30" t="s">
        <v>218</v>
      </c>
      <c r="N1" s="30" t="s">
        <v>219</v>
      </c>
      <c r="O1" s="27"/>
      <c r="P1" s="30"/>
      <c r="Q1" s="30" t="s">
        <v>28</v>
      </c>
      <c r="R1" s="30" t="s">
        <v>305</v>
      </c>
      <c r="S1" s="30" t="s">
        <v>218</v>
      </c>
    </row>
    <row r="2" spans="1:19">
      <c r="A2" s="6"/>
      <c r="B2" s="8" t="s">
        <v>1470</v>
      </c>
      <c r="C2" s="8">
        <v>0</v>
      </c>
      <c r="D2" s="157">
        <v>679555.46</v>
      </c>
      <c r="F2" s="6"/>
      <c r="G2" s="8">
        <v>2</v>
      </c>
      <c r="H2" s="8"/>
      <c r="I2" s="157">
        <v>679555.46</v>
      </c>
      <c r="K2" s="13"/>
      <c r="L2" s="116" t="s">
        <v>1260</v>
      </c>
      <c r="M2" s="116">
        <v>0</v>
      </c>
      <c r="N2" s="196">
        <v>3492.8</v>
      </c>
      <c r="O2" s="27"/>
      <c r="P2" s="198">
        <f>+N2-S5</f>
        <v>2.9600000000000364</v>
      </c>
      <c r="Q2" s="116">
        <v>34</v>
      </c>
      <c r="R2" s="116"/>
      <c r="S2" s="197">
        <v>270509.90000000002</v>
      </c>
    </row>
    <row r="3" spans="1:19">
      <c r="A3" s="6"/>
      <c r="B3" s="8" t="s">
        <v>1471</v>
      </c>
      <c r="C3" s="8">
        <v>0</v>
      </c>
      <c r="D3" s="160">
        <v>8601.98</v>
      </c>
      <c r="F3" s="6"/>
      <c r="G3" s="8">
        <v>3</v>
      </c>
      <c r="H3" s="8"/>
      <c r="I3" s="160">
        <v>8601.98</v>
      </c>
      <c r="K3" s="13"/>
      <c r="L3" s="116" t="s">
        <v>1261</v>
      </c>
      <c r="M3" s="116">
        <v>0</v>
      </c>
      <c r="N3" s="197">
        <v>3809788.29</v>
      </c>
      <c r="O3" s="27"/>
      <c r="P3" s="80">
        <f>+N3-S6</f>
        <v>0</v>
      </c>
      <c r="Q3" s="116">
        <v>35</v>
      </c>
      <c r="R3" s="116"/>
      <c r="S3" s="197">
        <v>209262.18</v>
      </c>
    </row>
    <row r="4" spans="1:19">
      <c r="A4" s="6"/>
      <c r="B4" s="8" t="s">
        <v>1472</v>
      </c>
      <c r="C4" s="8">
        <v>0</v>
      </c>
      <c r="D4" s="157">
        <v>708908.23</v>
      </c>
      <c r="F4" s="6"/>
      <c r="G4" s="8">
        <v>7</v>
      </c>
      <c r="H4" s="8"/>
      <c r="I4" s="160">
        <v>60907.14</v>
      </c>
      <c r="K4" s="13"/>
      <c r="L4" s="116" t="s">
        <v>1262</v>
      </c>
      <c r="M4" s="116">
        <v>0</v>
      </c>
      <c r="N4" s="197">
        <v>3543551.52</v>
      </c>
      <c r="O4" s="27"/>
      <c r="P4" s="80">
        <f>+N4-S7</f>
        <v>0</v>
      </c>
      <c r="Q4" s="116">
        <v>36</v>
      </c>
      <c r="R4" s="116"/>
      <c r="S4" s="197">
        <v>614802.96</v>
      </c>
    </row>
    <row r="5" spans="1:19">
      <c r="A5" s="6"/>
      <c r="B5" s="8" t="s">
        <v>1473</v>
      </c>
      <c r="C5" s="8">
        <v>0</v>
      </c>
      <c r="D5" s="160">
        <v>60907.14</v>
      </c>
      <c r="F5" s="6"/>
      <c r="G5" s="8">
        <v>9</v>
      </c>
      <c r="H5" s="8"/>
      <c r="I5" s="157">
        <v>708908.23</v>
      </c>
      <c r="K5" s="13"/>
      <c r="L5" s="116" t="s">
        <v>1263</v>
      </c>
      <c r="M5" s="116">
        <v>0</v>
      </c>
      <c r="N5" s="196">
        <v>27250.79</v>
      </c>
      <c r="O5" s="27"/>
      <c r="P5" s="198">
        <f>+N5-S9</f>
        <v>23.100000000002183</v>
      </c>
      <c r="Q5" s="116">
        <v>1</v>
      </c>
      <c r="R5" s="116"/>
      <c r="S5" s="196">
        <v>3489.84</v>
      </c>
    </row>
    <row r="6" spans="1:19">
      <c r="A6" s="6"/>
      <c r="B6" s="8" t="s">
        <v>1474</v>
      </c>
      <c r="C6" s="8">
        <v>0</v>
      </c>
      <c r="D6" s="157">
        <v>104218.5</v>
      </c>
      <c r="F6" s="6"/>
      <c r="G6" s="8">
        <v>15</v>
      </c>
      <c r="H6" s="8"/>
      <c r="I6" s="157">
        <v>104218.5</v>
      </c>
      <c r="K6" s="13"/>
      <c r="L6" s="116" t="s">
        <v>1264</v>
      </c>
      <c r="M6" s="116">
        <v>0</v>
      </c>
      <c r="N6" s="197">
        <v>206143.87</v>
      </c>
      <c r="O6" s="27"/>
      <c r="P6" s="80">
        <f>+N6-S8</f>
        <v>174.69999999998254</v>
      </c>
      <c r="Q6" s="116">
        <v>2</v>
      </c>
      <c r="R6" s="116"/>
      <c r="S6" s="197">
        <v>3809788.29</v>
      </c>
    </row>
    <row r="7" spans="1:19">
      <c r="A7" s="6"/>
      <c r="B7" s="8" t="s">
        <v>1475</v>
      </c>
      <c r="C7" s="8">
        <v>0</v>
      </c>
      <c r="D7" s="157">
        <v>374936.55</v>
      </c>
      <c r="F7" s="6"/>
      <c r="G7" s="8">
        <v>19</v>
      </c>
      <c r="H7" s="8"/>
      <c r="I7" s="157">
        <v>374936.55</v>
      </c>
      <c r="K7" s="13"/>
      <c r="L7" s="116" t="s">
        <v>1265</v>
      </c>
      <c r="M7" s="116">
        <v>0</v>
      </c>
      <c r="N7" s="197">
        <v>3661842.31</v>
      </c>
      <c r="O7" s="27"/>
      <c r="P7" s="80">
        <f>+N7-S10</f>
        <v>0</v>
      </c>
      <c r="Q7" s="116">
        <v>3</v>
      </c>
      <c r="R7" s="116"/>
      <c r="S7" s="197">
        <v>3543551.52</v>
      </c>
    </row>
    <row r="8" spans="1:19">
      <c r="A8" s="6"/>
      <c r="B8" s="8" t="s">
        <v>1476</v>
      </c>
      <c r="C8" s="8">
        <v>0</v>
      </c>
      <c r="D8" s="157">
        <v>805933.77</v>
      </c>
      <c r="F8" s="6"/>
      <c r="G8" s="8">
        <v>24</v>
      </c>
      <c r="H8" s="8"/>
      <c r="I8" s="157">
        <v>805933.75</v>
      </c>
      <c r="K8" s="13"/>
      <c r="L8" s="116" t="s">
        <v>1266</v>
      </c>
      <c r="M8" s="116">
        <v>0</v>
      </c>
      <c r="N8" s="196">
        <v>6478.81</v>
      </c>
      <c r="O8" s="27"/>
      <c r="P8" s="198">
        <f>+N8-S11</f>
        <v>-9.999999999308784E-3</v>
      </c>
      <c r="Q8" s="116">
        <v>4</v>
      </c>
      <c r="R8" s="116"/>
      <c r="S8" s="197">
        <v>205969.17</v>
      </c>
    </row>
    <row r="9" spans="1:19">
      <c r="A9" s="6"/>
      <c r="B9" s="8" t="s">
        <v>1477</v>
      </c>
      <c r="C9" s="8">
        <v>0</v>
      </c>
      <c r="D9" s="160">
        <v>18109.439999999999</v>
      </c>
      <c r="F9" s="6"/>
      <c r="G9" s="8">
        <v>25</v>
      </c>
      <c r="H9" s="8"/>
      <c r="I9" s="160">
        <v>18109.439999999999</v>
      </c>
      <c r="K9" s="13"/>
      <c r="L9" s="116" t="s">
        <v>1267</v>
      </c>
      <c r="M9" s="116">
        <v>0</v>
      </c>
      <c r="N9" s="197">
        <v>3676457.84</v>
      </c>
      <c r="O9" s="27"/>
      <c r="P9" s="80">
        <f>+N9-S12</f>
        <v>0</v>
      </c>
      <c r="Q9" s="116">
        <v>5</v>
      </c>
      <c r="R9" s="116"/>
      <c r="S9" s="196">
        <v>27227.69</v>
      </c>
    </row>
    <row r="10" spans="1:19">
      <c r="A10" s="6"/>
      <c r="B10" s="8" t="s">
        <v>1478</v>
      </c>
      <c r="C10" s="8">
        <v>0</v>
      </c>
      <c r="D10" s="160">
        <v>5236.51</v>
      </c>
      <c r="F10" s="6"/>
      <c r="G10" s="8">
        <v>28</v>
      </c>
      <c r="H10" s="8"/>
      <c r="I10" s="160">
        <v>5236.51</v>
      </c>
      <c r="K10" s="13"/>
      <c r="L10" s="116" t="s">
        <v>1268</v>
      </c>
      <c r="M10" s="116">
        <v>0</v>
      </c>
      <c r="N10" s="197">
        <v>654700.34</v>
      </c>
      <c r="O10" s="27"/>
      <c r="P10" s="80">
        <f>+N10-S13</f>
        <v>0</v>
      </c>
      <c r="Q10" s="116">
        <v>6</v>
      </c>
      <c r="R10" s="116"/>
      <c r="S10" s="197">
        <v>3661842.31</v>
      </c>
    </row>
    <row r="11" spans="1:19">
      <c r="A11" s="6"/>
      <c r="B11" s="8" t="s">
        <v>1479</v>
      </c>
      <c r="C11" s="8">
        <v>0</v>
      </c>
      <c r="D11" s="160">
        <v>50863.839999999997</v>
      </c>
      <c r="F11" s="6"/>
      <c r="G11" s="8">
        <v>35</v>
      </c>
      <c r="H11" s="8"/>
      <c r="I11" s="160">
        <v>50863.839999999997</v>
      </c>
      <c r="K11" s="13"/>
      <c r="L11" s="116" t="s">
        <v>1258</v>
      </c>
      <c r="M11" s="116">
        <v>0</v>
      </c>
      <c r="N11" s="197">
        <v>285115</v>
      </c>
      <c r="O11" s="27"/>
      <c r="P11" s="80">
        <f>+N11-S14</f>
        <v>5091.0300000000279</v>
      </c>
      <c r="Q11" s="116">
        <v>7</v>
      </c>
      <c r="R11" s="116"/>
      <c r="S11" s="196">
        <v>6478.82</v>
      </c>
    </row>
    <row r="12" spans="1:19">
      <c r="A12" s="6"/>
      <c r="B12" s="8" t="s">
        <v>1480</v>
      </c>
      <c r="C12" s="8">
        <v>0</v>
      </c>
      <c r="D12" s="157">
        <v>113916.5</v>
      </c>
      <c r="F12" s="6"/>
      <c r="G12" s="8" t="s">
        <v>1562</v>
      </c>
      <c r="H12" s="8"/>
      <c r="I12" s="157">
        <v>162212.76999999999</v>
      </c>
      <c r="K12" s="13"/>
      <c r="L12" s="116" t="s">
        <v>1269</v>
      </c>
      <c r="M12" s="116">
        <v>0</v>
      </c>
      <c r="N12" s="197">
        <v>3588400.71</v>
      </c>
      <c r="O12" s="27"/>
      <c r="P12" s="80"/>
      <c r="Q12" s="116">
        <v>11</v>
      </c>
      <c r="R12" s="116"/>
      <c r="S12" s="197">
        <v>3676457.84</v>
      </c>
    </row>
    <row r="13" spans="1:19">
      <c r="A13" s="6"/>
      <c r="B13" s="8" t="s">
        <v>1481</v>
      </c>
      <c r="C13" s="8">
        <v>0</v>
      </c>
      <c r="D13" s="160">
        <v>3138.02</v>
      </c>
      <c r="F13" s="6"/>
      <c r="G13" s="8">
        <v>49</v>
      </c>
      <c r="H13" s="8"/>
      <c r="I13" s="160">
        <v>3138.02</v>
      </c>
      <c r="K13" s="13"/>
      <c r="L13" s="116" t="s">
        <v>1270</v>
      </c>
      <c r="M13" s="116">
        <v>0</v>
      </c>
      <c r="N13" s="197">
        <v>4324134.17</v>
      </c>
      <c r="O13" s="27"/>
      <c r="P13" s="80"/>
      <c r="Q13" s="116">
        <v>12</v>
      </c>
      <c r="R13" s="116"/>
      <c r="S13" s="197">
        <v>654700.34</v>
      </c>
    </row>
    <row r="14" spans="1:19">
      <c r="A14" s="6"/>
      <c r="B14" s="8" t="s">
        <v>1482</v>
      </c>
      <c r="C14" s="8">
        <v>0</v>
      </c>
      <c r="D14" s="160">
        <v>47744.17</v>
      </c>
      <c r="F14" s="6"/>
      <c r="G14" s="8">
        <v>50</v>
      </c>
      <c r="H14" s="8"/>
      <c r="I14" s="157">
        <v>113916.5</v>
      </c>
      <c r="K14" s="13"/>
      <c r="L14" s="116" t="s">
        <v>1271</v>
      </c>
      <c r="M14" s="116">
        <v>0</v>
      </c>
      <c r="N14" s="197">
        <v>4351783.4800000004</v>
      </c>
      <c r="O14" s="27"/>
      <c r="P14" s="80"/>
      <c r="Q14" s="116" t="s">
        <v>1258</v>
      </c>
      <c r="R14" s="116"/>
      <c r="S14" s="197">
        <v>280023.96999999997</v>
      </c>
    </row>
    <row r="15" spans="1:19">
      <c r="A15" s="6"/>
      <c r="B15" s="8" t="s">
        <v>1483</v>
      </c>
      <c r="C15" s="8">
        <v>0</v>
      </c>
      <c r="D15" s="157">
        <v>426318.7</v>
      </c>
      <c r="F15" s="6"/>
      <c r="G15" s="8">
        <v>53</v>
      </c>
      <c r="H15" s="8"/>
      <c r="I15" s="157">
        <v>452.74</v>
      </c>
      <c r="K15" s="13"/>
      <c r="L15" s="116" t="s">
        <v>1272</v>
      </c>
      <c r="M15" s="116">
        <v>0</v>
      </c>
      <c r="N15" s="196">
        <v>3489.84</v>
      </c>
      <c r="O15" s="27"/>
      <c r="P15" s="80"/>
      <c r="Q15" s="116">
        <v>14</v>
      </c>
      <c r="R15" s="116"/>
      <c r="S15" s="197">
        <v>3588400.71</v>
      </c>
    </row>
    <row r="16" spans="1:19">
      <c r="A16" s="6"/>
      <c r="B16" s="8" t="s">
        <v>1484</v>
      </c>
      <c r="C16" s="8">
        <v>0</v>
      </c>
      <c r="D16" s="157">
        <v>452.74</v>
      </c>
      <c r="F16" s="6"/>
      <c r="G16" s="8">
        <v>55</v>
      </c>
      <c r="H16" s="8"/>
      <c r="I16" s="160">
        <v>47744.17</v>
      </c>
      <c r="K16" s="13"/>
      <c r="L16" s="116" t="s">
        <v>1273</v>
      </c>
      <c r="M16" s="116">
        <v>0</v>
      </c>
      <c r="N16" s="196">
        <v>14724.04</v>
      </c>
      <c r="O16" s="27"/>
      <c r="P16" s="80"/>
      <c r="Q16" s="116">
        <v>15</v>
      </c>
      <c r="R16" s="116"/>
      <c r="S16" s="197">
        <v>4324134.17</v>
      </c>
    </row>
    <row r="17" spans="1:19">
      <c r="A17" s="6"/>
      <c r="B17" s="8" t="s">
        <v>1485</v>
      </c>
      <c r="C17" s="8">
        <v>0</v>
      </c>
      <c r="D17" s="160">
        <v>14351.22</v>
      </c>
      <c r="F17" s="6"/>
      <c r="G17" s="8">
        <v>56</v>
      </c>
      <c r="H17" s="8"/>
      <c r="I17" s="157">
        <v>426318.7</v>
      </c>
      <c r="K17" s="13"/>
      <c r="L17" s="116" t="s">
        <v>1274</v>
      </c>
      <c r="M17" s="116">
        <v>0</v>
      </c>
      <c r="N17" s="197">
        <v>3824112.22</v>
      </c>
      <c r="O17" s="27"/>
      <c r="P17" s="80"/>
      <c r="Q17" s="116">
        <v>16</v>
      </c>
      <c r="R17" s="116"/>
      <c r="S17" s="197">
        <v>4351783.4800000004</v>
      </c>
    </row>
    <row r="18" spans="1:19">
      <c r="A18" s="6"/>
      <c r="B18" s="8" t="s">
        <v>1486</v>
      </c>
      <c r="C18" s="8">
        <v>0</v>
      </c>
      <c r="D18" s="157">
        <v>494286.76</v>
      </c>
      <c r="F18" s="6"/>
      <c r="G18" s="8">
        <v>69</v>
      </c>
      <c r="H18" s="8"/>
      <c r="I18" s="160">
        <v>8253</v>
      </c>
      <c r="K18" s="13"/>
      <c r="L18" s="116" t="s">
        <v>1275</v>
      </c>
      <c r="M18" s="116">
        <v>0</v>
      </c>
      <c r="N18" s="197">
        <v>1675497.93</v>
      </c>
      <c r="O18" s="27"/>
      <c r="P18" s="80"/>
      <c r="Q18" s="116">
        <v>17</v>
      </c>
      <c r="R18" s="116"/>
      <c r="S18" s="196">
        <v>3489.84</v>
      </c>
    </row>
    <row r="19" spans="1:19">
      <c r="A19" s="6"/>
      <c r="B19" s="8" t="s">
        <v>1487</v>
      </c>
      <c r="C19" s="8">
        <v>0</v>
      </c>
      <c r="D19" s="160">
        <v>72853.41</v>
      </c>
      <c r="F19" s="6"/>
      <c r="G19" s="8">
        <v>70</v>
      </c>
      <c r="H19" s="8"/>
      <c r="I19" s="160">
        <v>21045.15</v>
      </c>
      <c r="K19" s="13"/>
      <c r="L19" s="116" t="s">
        <v>1276</v>
      </c>
      <c r="M19" s="116">
        <v>0</v>
      </c>
      <c r="N19" s="197">
        <v>1437782.75</v>
      </c>
      <c r="O19" s="27"/>
      <c r="P19" s="80"/>
      <c r="Q19" s="116">
        <v>149</v>
      </c>
      <c r="R19" s="116" t="s">
        <v>1259</v>
      </c>
      <c r="S19" s="196">
        <v>14724.04</v>
      </c>
    </row>
    <row r="20" spans="1:19">
      <c r="A20" s="6"/>
      <c r="B20" s="8" t="s">
        <v>1488</v>
      </c>
      <c r="C20" s="8">
        <v>0</v>
      </c>
      <c r="D20" s="157">
        <v>792.29</v>
      </c>
      <c r="F20" s="6"/>
      <c r="G20" s="8">
        <v>78</v>
      </c>
      <c r="H20" s="8"/>
      <c r="I20" s="157">
        <v>150014.38</v>
      </c>
      <c r="K20" s="13"/>
      <c r="L20" s="116" t="s">
        <v>1277</v>
      </c>
      <c r="M20" s="116">
        <v>0</v>
      </c>
      <c r="N20" s="196">
        <v>10194.09</v>
      </c>
      <c r="O20" s="27"/>
      <c r="P20" s="80"/>
      <c r="Q20" s="116">
        <v>19</v>
      </c>
      <c r="R20" s="116"/>
      <c r="S20" s="197">
        <v>3824112.22</v>
      </c>
    </row>
    <row r="21" spans="1:19">
      <c r="A21" s="6"/>
      <c r="B21" s="8" t="s">
        <v>1489</v>
      </c>
      <c r="C21" s="8">
        <v>0</v>
      </c>
      <c r="D21" s="160">
        <v>34505.910000000003</v>
      </c>
      <c r="F21" s="6"/>
      <c r="G21" s="8">
        <v>80</v>
      </c>
      <c r="H21" s="8"/>
      <c r="I21" s="157">
        <v>138.76</v>
      </c>
      <c r="K21" s="13"/>
      <c r="L21" s="116" t="s">
        <v>779</v>
      </c>
      <c r="M21" s="116">
        <v>0</v>
      </c>
      <c r="N21" s="197">
        <v>1726900.78</v>
      </c>
      <c r="O21" s="27"/>
      <c r="P21" s="80"/>
      <c r="Q21" s="116">
        <v>20</v>
      </c>
      <c r="R21" s="116"/>
      <c r="S21" s="197">
        <v>1675497.93</v>
      </c>
    </row>
    <row r="22" spans="1:19">
      <c r="A22" s="6"/>
      <c r="B22" s="8" t="s">
        <v>1490</v>
      </c>
      <c r="C22" s="8">
        <v>0</v>
      </c>
      <c r="D22" s="160">
        <v>41099.94</v>
      </c>
      <c r="F22" s="6"/>
      <c r="G22" s="8">
        <v>82</v>
      </c>
      <c r="H22" s="8"/>
      <c r="I22" s="157">
        <v>334036.64</v>
      </c>
      <c r="K22" s="13"/>
      <c r="L22" s="116" t="s">
        <v>777</v>
      </c>
      <c r="M22" s="116">
        <v>0</v>
      </c>
      <c r="N22" s="196">
        <v>37853.54</v>
      </c>
      <c r="O22" s="27"/>
      <c r="P22" s="80"/>
      <c r="Q22" s="116">
        <v>21</v>
      </c>
      <c r="R22" s="116"/>
      <c r="S22" s="197">
        <v>1437782.75</v>
      </c>
    </row>
    <row r="23" spans="1:19">
      <c r="A23" s="6"/>
      <c r="B23" s="8" t="s">
        <v>1491</v>
      </c>
      <c r="C23" s="8">
        <v>0</v>
      </c>
      <c r="D23" s="160">
        <v>8370.9</v>
      </c>
      <c r="F23" s="6"/>
      <c r="G23" s="8">
        <v>88</v>
      </c>
      <c r="H23" s="8"/>
      <c r="I23" s="160">
        <v>63135.45</v>
      </c>
      <c r="K23" s="13"/>
      <c r="L23" s="116" t="s">
        <v>780</v>
      </c>
      <c r="M23" s="116">
        <v>0</v>
      </c>
      <c r="N23" s="196">
        <v>33764.69</v>
      </c>
      <c r="O23" s="27"/>
      <c r="P23" s="80"/>
      <c r="Q23" s="116">
        <v>22</v>
      </c>
      <c r="R23" s="116"/>
      <c r="S23" s="196">
        <v>10194.09</v>
      </c>
    </row>
    <row r="24" spans="1:19">
      <c r="A24" s="6"/>
      <c r="B24" s="8" t="s">
        <v>1492</v>
      </c>
      <c r="C24" s="8">
        <v>0</v>
      </c>
      <c r="D24" s="160">
        <v>78398.55</v>
      </c>
      <c r="F24" s="6"/>
      <c r="G24" s="8">
        <v>89</v>
      </c>
      <c r="H24" s="8"/>
      <c r="I24" s="160">
        <v>12827.52</v>
      </c>
      <c r="K24" s="13"/>
      <c r="L24" s="116" t="s">
        <v>781</v>
      </c>
      <c r="M24" s="116">
        <v>0</v>
      </c>
      <c r="N24" s="196">
        <v>6979.68</v>
      </c>
      <c r="O24" s="27"/>
      <c r="P24" s="80"/>
      <c r="Q24" s="116">
        <v>25</v>
      </c>
      <c r="R24" s="116"/>
      <c r="S24" s="196">
        <v>37853.550000000003</v>
      </c>
    </row>
    <row r="25" spans="1:19">
      <c r="A25" s="6"/>
      <c r="B25" s="8" t="s">
        <v>1493</v>
      </c>
      <c r="C25" s="8">
        <v>0</v>
      </c>
      <c r="D25" s="160">
        <v>1188.43</v>
      </c>
      <c r="F25" s="6"/>
      <c r="G25" s="8">
        <v>90</v>
      </c>
      <c r="H25" s="8"/>
      <c r="I25" s="157">
        <v>535878.51</v>
      </c>
      <c r="K25" s="13"/>
      <c r="L25" s="116" t="s">
        <v>782</v>
      </c>
      <c r="M25" s="116">
        <v>0</v>
      </c>
      <c r="N25" s="196">
        <v>87921.58</v>
      </c>
      <c r="O25" s="27"/>
      <c r="P25" s="80"/>
      <c r="Q25" s="116">
        <v>26</v>
      </c>
      <c r="R25" s="116"/>
      <c r="S25" s="197">
        <v>1726900.78</v>
      </c>
    </row>
    <row r="26" spans="1:19">
      <c r="A26" s="6"/>
      <c r="B26" s="8" t="s">
        <v>1494</v>
      </c>
      <c r="C26" s="8">
        <v>0</v>
      </c>
      <c r="D26" s="160">
        <v>46187.8</v>
      </c>
      <c r="F26" s="6"/>
      <c r="G26" s="8">
        <v>98</v>
      </c>
      <c r="H26" s="8"/>
      <c r="I26" s="160">
        <v>9452.2900000000009</v>
      </c>
      <c r="K26" s="13"/>
      <c r="L26" s="116" t="s">
        <v>783</v>
      </c>
      <c r="M26" s="116">
        <v>0</v>
      </c>
      <c r="N26" s="197">
        <v>983</v>
      </c>
      <c r="O26" s="27"/>
      <c r="P26" s="80"/>
      <c r="Q26" s="116">
        <v>27</v>
      </c>
      <c r="R26" s="116"/>
      <c r="S26" s="196">
        <v>33764.69</v>
      </c>
    </row>
    <row r="27" spans="1:19">
      <c r="A27" s="6"/>
      <c r="B27" s="8" t="s">
        <v>1495</v>
      </c>
      <c r="C27" s="8">
        <v>0</v>
      </c>
      <c r="D27" s="157">
        <v>452.74</v>
      </c>
      <c r="F27" s="6"/>
      <c r="G27" s="8">
        <v>99</v>
      </c>
      <c r="H27" s="8"/>
      <c r="I27" s="160">
        <v>2122.1999999999998</v>
      </c>
      <c r="K27" s="13"/>
      <c r="L27" s="116" t="s">
        <v>784</v>
      </c>
      <c r="M27" s="116">
        <v>0</v>
      </c>
      <c r="N27" s="197">
        <v>1501042.1</v>
      </c>
      <c r="O27" s="27"/>
      <c r="P27" s="80"/>
      <c r="Q27" s="116">
        <v>28</v>
      </c>
      <c r="R27" s="116"/>
      <c r="S27" s="196">
        <v>6979.68</v>
      </c>
    </row>
    <row r="28" spans="1:19">
      <c r="A28" s="6"/>
      <c r="B28" s="8" t="s">
        <v>1496</v>
      </c>
      <c r="C28" s="8">
        <v>0</v>
      </c>
      <c r="D28" s="160">
        <v>74128.88</v>
      </c>
      <c r="F28" s="6"/>
      <c r="G28" s="8">
        <v>104</v>
      </c>
      <c r="H28" s="8"/>
      <c r="I28" s="157">
        <v>951669.07</v>
      </c>
      <c r="K28" s="13"/>
      <c r="L28" s="116" t="s">
        <v>785</v>
      </c>
      <c r="M28" s="116">
        <v>0</v>
      </c>
      <c r="N28" s="196">
        <v>16751.23</v>
      </c>
      <c r="O28" s="27"/>
      <c r="P28" s="80"/>
      <c r="Q28" s="116">
        <v>29</v>
      </c>
      <c r="R28" s="116"/>
      <c r="S28" s="196">
        <v>87921.58</v>
      </c>
    </row>
    <row r="29" spans="1:19">
      <c r="A29" s="6"/>
      <c r="B29" s="8" t="s">
        <v>1497</v>
      </c>
      <c r="C29" s="8">
        <v>0</v>
      </c>
      <c r="D29" s="160">
        <v>1358.21</v>
      </c>
      <c r="F29" s="6"/>
      <c r="G29" s="8">
        <v>106</v>
      </c>
      <c r="H29" s="8"/>
      <c r="I29" s="160">
        <v>4187.8100000000004</v>
      </c>
      <c r="K29" s="13"/>
      <c r="L29" s="116" t="s">
        <v>993</v>
      </c>
      <c r="M29" s="116">
        <v>0</v>
      </c>
      <c r="N29" s="197">
        <v>270509.90000000002</v>
      </c>
      <c r="O29" s="27"/>
      <c r="P29" s="80"/>
      <c r="Q29" s="116">
        <v>30</v>
      </c>
      <c r="R29" s="116"/>
      <c r="S29" s="197">
        <v>983</v>
      </c>
    </row>
    <row r="30" spans="1:19">
      <c r="A30" s="6"/>
      <c r="B30" s="8" t="s">
        <v>1498</v>
      </c>
      <c r="C30" s="8">
        <v>0</v>
      </c>
      <c r="D30" s="157">
        <v>105241.16</v>
      </c>
      <c r="F30" s="6"/>
      <c r="G30" s="8">
        <v>123</v>
      </c>
      <c r="H30" s="8"/>
      <c r="I30" s="157">
        <v>494286.76</v>
      </c>
      <c r="K30" s="13"/>
      <c r="L30" s="116" t="s">
        <v>786</v>
      </c>
      <c r="M30" s="116">
        <v>0</v>
      </c>
      <c r="N30" s="196">
        <v>46161.33</v>
      </c>
      <c r="O30" s="27"/>
      <c r="P30" s="80"/>
      <c r="Q30" s="116">
        <v>31</v>
      </c>
      <c r="R30" s="116"/>
      <c r="S30" s="197">
        <v>1501042.09</v>
      </c>
    </row>
    <row r="31" spans="1:19">
      <c r="A31" s="6"/>
      <c r="B31" s="8" t="s">
        <v>1499</v>
      </c>
      <c r="C31" s="8">
        <v>0</v>
      </c>
      <c r="D31" s="157">
        <v>304528.26</v>
      </c>
      <c r="F31" s="6"/>
      <c r="G31" s="8">
        <v>124</v>
      </c>
      <c r="H31" s="8"/>
      <c r="I31" s="160">
        <v>14351.22</v>
      </c>
      <c r="K31" s="13"/>
      <c r="L31" s="116" t="s">
        <v>994</v>
      </c>
      <c r="M31" s="116">
        <v>0</v>
      </c>
      <c r="N31" s="197">
        <v>209262.18</v>
      </c>
      <c r="O31" s="27"/>
      <c r="P31" s="80"/>
      <c r="Q31" s="116">
        <v>32</v>
      </c>
      <c r="R31" s="116"/>
      <c r="S31" s="196">
        <v>16751.23</v>
      </c>
    </row>
    <row r="32" spans="1:19">
      <c r="A32" s="6"/>
      <c r="B32" s="8" t="s">
        <v>1500</v>
      </c>
      <c r="C32" s="8">
        <v>0</v>
      </c>
      <c r="D32" s="160">
        <v>1924.13</v>
      </c>
      <c r="F32" s="6"/>
      <c r="G32" s="8">
        <v>126</v>
      </c>
      <c r="H32" s="8"/>
      <c r="I32" s="160">
        <v>72853.41</v>
      </c>
      <c r="K32" s="13"/>
      <c r="L32" s="116" t="s">
        <v>858</v>
      </c>
      <c r="M32" s="116">
        <v>0</v>
      </c>
      <c r="N32" s="197">
        <v>614802.96</v>
      </c>
      <c r="O32" s="27"/>
      <c r="P32" s="80"/>
      <c r="Q32" s="116">
        <v>33</v>
      </c>
      <c r="R32" s="116"/>
      <c r="S32" s="196">
        <v>46161.32</v>
      </c>
    </row>
    <row r="33" spans="1:19">
      <c r="A33" s="6"/>
      <c r="B33" s="8" t="s">
        <v>1501</v>
      </c>
      <c r="C33" s="8">
        <v>0</v>
      </c>
      <c r="D33" s="157">
        <v>707.4</v>
      </c>
      <c r="F33" s="6"/>
      <c r="G33" s="8">
        <v>127</v>
      </c>
      <c r="H33" s="8"/>
      <c r="I33" s="157">
        <v>792.29</v>
      </c>
      <c r="K33" s="13"/>
      <c r="L33" s="116" t="s">
        <v>995</v>
      </c>
      <c r="M33" s="116">
        <v>0</v>
      </c>
      <c r="N33" s="196">
        <v>9620.64</v>
      </c>
      <c r="O33" s="27"/>
      <c r="P33" s="80">
        <f t="shared" ref="P33:P38" si="0">+N33-S33</f>
        <v>0</v>
      </c>
      <c r="Q33" s="116">
        <v>37</v>
      </c>
      <c r="R33" s="116"/>
      <c r="S33" s="196">
        <v>9620.64</v>
      </c>
    </row>
    <row r="34" spans="1:19">
      <c r="A34" s="6"/>
      <c r="B34" s="8" t="s">
        <v>1502</v>
      </c>
      <c r="C34" s="8">
        <v>0</v>
      </c>
      <c r="D34" s="160">
        <v>90664.44</v>
      </c>
      <c r="F34" s="6"/>
      <c r="G34" s="8">
        <v>134</v>
      </c>
      <c r="H34" s="8"/>
      <c r="I34" s="160">
        <v>8370.9</v>
      </c>
      <c r="K34" s="13"/>
      <c r="L34" s="116" t="s">
        <v>996</v>
      </c>
      <c r="M34" s="116">
        <v>0</v>
      </c>
      <c r="N34" s="196">
        <v>57775.45</v>
      </c>
      <c r="O34" s="27"/>
      <c r="P34" s="80">
        <f t="shared" si="0"/>
        <v>0</v>
      </c>
      <c r="Q34" s="116">
        <v>38</v>
      </c>
      <c r="R34" s="116"/>
      <c r="S34" s="196">
        <v>57775.45</v>
      </c>
    </row>
    <row r="35" spans="1:19">
      <c r="A35" s="6"/>
      <c r="B35" s="8" t="s">
        <v>1503</v>
      </c>
      <c r="C35" s="8">
        <v>0</v>
      </c>
      <c r="D35" s="157">
        <v>905.47</v>
      </c>
      <c r="F35" s="6"/>
      <c r="G35" s="8">
        <v>135</v>
      </c>
      <c r="H35" s="8"/>
      <c r="I35" s="160">
        <v>41099.94</v>
      </c>
      <c r="K35" s="13"/>
      <c r="L35" s="116" t="s">
        <v>997</v>
      </c>
      <c r="M35" s="116">
        <v>0</v>
      </c>
      <c r="N35" s="197">
        <v>396.14</v>
      </c>
      <c r="O35" s="27"/>
      <c r="P35" s="80">
        <f t="shared" si="0"/>
        <v>0</v>
      </c>
      <c r="Q35" s="116">
        <v>39</v>
      </c>
      <c r="R35" s="116"/>
      <c r="S35" s="197">
        <v>396.14</v>
      </c>
    </row>
    <row r="36" spans="1:19">
      <c r="A36" s="6"/>
      <c r="B36" s="8" t="s">
        <v>1504</v>
      </c>
      <c r="C36" s="8">
        <v>0</v>
      </c>
      <c r="D36" s="157">
        <v>127448.65</v>
      </c>
      <c r="F36" s="6"/>
      <c r="G36" s="8">
        <v>136</v>
      </c>
      <c r="H36" s="8"/>
      <c r="I36" s="160">
        <v>34505.910000000003</v>
      </c>
      <c r="K36" s="13"/>
      <c r="L36" s="116" t="s">
        <v>998</v>
      </c>
      <c r="M36" s="116">
        <v>0</v>
      </c>
      <c r="N36" s="196">
        <v>7928.78</v>
      </c>
      <c r="O36" s="27"/>
      <c r="P36" s="80">
        <f t="shared" si="0"/>
        <v>0</v>
      </c>
      <c r="Q36" s="116">
        <v>40</v>
      </c>
      <c r="R36" s="116"/>
      <c r="S36" s="196">
        <v>7928.78</v>
      </c>
    </row>
    <row r="37" spans="1:19">
      <c r="A37" s="6"/>
      <c r="B37" s="8" t="s">
        <v>1505</v>
      </c>
      <c r="C37" s="8">
        <v>0</v>
      </c>
      <c r="D37" s="157">
        <v>905.47</v>
      </c>
      <c r="F37" s="6"/>
      <c r="G37" s="8">
        <v>143</v>
      </c>
      <c r="H37" s="8"/>
      <c r="I37" s="160">
        <v>78398.55</v>
      </c>
      <c r="K37" s="13"/>
      <c r="L37" s="116" t="s">
        <v>999</v>
      </c>
      <c r="M37" s="116">
        <v>0</v>
      </c>
      <c r="N37" s="197">
        <v>218560.63</v>
      </c>
      <c r="O37" s="27"/>
      <c r="P37" s="80">
        <f t="shared" si="0"/>
        <v>1.0000000009313226E-2</v>
      </c>
      <c r="Q37" s="116">
        <v>41</v>
      </c>
      <c r="R37" s="116"/>
      <c r="S37" s="197">
        <v>218560.62</v>
      </c>
    </row>
    <row r="38" spans="1:19">
      <c r="A38" s="6"/>
      <c r="B38" s="8" t="s">
        <v>1506</v>
      </c>
      <c r="C38" s="8">
        <v>0</v>
      </c>
      <c r="D38" s="160">
        <v>79228.800000000003</v>
      </c>
      <c r="F38" s="6"/>
      <c r="G38" s="8">
        <v>144</v>
      </c>
      <c r="H38" s="8"/>
      <c r="I38" s="160">
        <v>1188.43</v>
      </c>
      <c r="K38" s="13"/>
      <c r="L38" s="116" t="s">
        <v>1000</v>
      </c>
      <c r="M38" s="116">
        <v>0</v>
      </c>
      <c r="N38" s="197">
        <v>216852.5</v>
      </c>
      <c r="O38" s="27"/>
      <c r="P38" s="80">
        <f t="shared" si="0"/>
        <v>0</v>
      </c>
      <c r="Q38" s="116">
        <v>42</v>
      </c>
      <c r="R38" s="116"/>
      <c r="S38" s="197">
        <v>216852.5</v>
      </c>
    </row>
    <row r="39" spans="1:19">
      <c r="A39" s="6"/>
      <c r="B39" s="8" t="s">
        <v>1507</v>
      </c>
      <c r="C39" s="8">
        <v>0</v>
      </c>
      <c r="D39" s="160">
        <v>52362.64</v>
      </c>
      <c r="F39" s="6"/>
      <c r="G39" s="8">
        <v>146</v>
      </c>
      <c r="H39" s="8"/>
      <c r="I39" s="160">
        <v>46187.8</v>
      </c>
      <c r="K39" s="13"/>
      <c r="L39" s="116" t="s">
        <v>1002</v>
      </c>
      <c r="M39" s="116">
        <v>0</v>
      </c>
      <c r="N39" s="196">
        <v>7172.66</v>
      </c>
      <c r="O39" s="27"/>
      <c r="P39" s="80"/>
      <c r="Q39" s="116">
        <v>43</v>
      </c>
      <c r="R39" s="116"/>
      <c r="S39" s="196">
        <v>3055.97</v>
      </c>
    </row>
    <row r="40" spans="1:19">
      <c r="A40" s="6"/>
      <c r="B40" s="8" t="s">
        <v>1508</v>
      </c>
      <c r="C40" s="8">
        <v>0</v>
      </c>
      <c r="D40" s="157">
        <v>679.1</v>
      </c>
      <c r="F40" s="6"/>
      <c r="G40" s="8">
        <v>147</v>
      </c>
      <c r="H40" s="8"/>
      <c r="I40" s="157">
        <v>452.74</v>
      </c>
      <c r="K40" s="13"/>
      <c r="L40" s="116" t="s">
        <v>1003</v>
      </c>
      <c r="M40" s="116">
        <v>0</v>
      </c>
      <c r="N40" s="197">
        <v>265.87</v>
      </c>
      <c r="O40" s="27"/>
      <c r="P40" s="80"/>
      <c r="Q40" s="116">
        <v>44</v>
      </c>
      <c r="R40" s="116"/>
      <c r="S40" s="196">
        <v>7172.66</v>
      </c>
    </row>
    <row r="41" spans="1:19">
      <c r="A41" s="6"/>
      <c r="B41" s="8" t="s">
        <v>1509</v>
      </c>
      <c r="C41" s="8">
        <v>0</v>
      </c>
      <c r="D41" s="160">
        <v>16836.12</v>
      </c>
      <c r="F41" s="6"/>
      <c r="G41" s="8">
        <v>164</v>
      </c>
      <c r="H41" s="8"/>
      <c r="I41" s="160">
        <v>74191.75</v>
      </c>
      <c r="K41" s="13"/>
      <c r="L41" s="116" t="s">
        <v>1001</v>
      </c>
      <c r="M41" s="116">
        <v>0</v>
      </c>
      <c r="N41" s="196">
        <v>3055.97</v>
      </c>
      <c r="O41" s="27"/>
      <c r="P41" s="80"/>
      <c r="Q41" s="116">
        <v>45</v>
      </c>
      <c r="R41" s="116"/>
      <c r="S41" s="197">
        <v>265.87</v>
      </c>
    </row>
    <row r="42" spans="1:19">
      <c r="A42" s="6"/>
      <c r="B42" s="8" t="s">
        <v>1510</v>
      </c>
      <c r="C42" s="8">
        <v>0</v>
      </c>
      <c r="D42" s="157">
        <v>136057.4</v>
      </c>
      <c r="F42" s="6"/>
      <c r="G42" s="8">
        <v>165</v>
      </c>
      <c r="H42" s="8"/>
      <c r="I42" s="160">
        <v>1358.21</v>
      </c>
      <c r="K42" s="13"/>
      <c r="L42" s="116" t="s">
        <v>1004</v>
      </c>
      <c r="M42" s="116">
        <v>0</v>
      </c>
      <c r="N42" s="197">
        <v>722442.97</v>
      </c>
      <c r="O42" s="27"/>
      <c r="P42" s="80"/>
      <c r="Q42" s="116">
        <v>47</v>
      </c>
      <c r="R42" s="116"/>
      <c r="S42" s="196">
        <v>1699.46</v>
      </c>
    </row>
    <row r="43" spans="1:19">
      <c r="A43" s="6"/>
      <c r="B43" s="8" t="s">
        <v>1511</v>
      </c>
      <c r="C43" s="8">
        <v>0</v>
      </c>
      <c r="D43" s="157">
        <v>292737.09000000003</v>
      </c>
      <c r="F43" s="6"/>
      <c r="G43" s="8">
        <v>171</v>
      </c>
      <c r="H43" s="8"/>
      <c r="I43" s="157">
        <v>707.4</v>
      </c>
      <c r="K43" s="13"/>
      <c r="L43" s="116" t="s">
        <v>1278</v>
      </c>
      <c r="M43" s="116">
        <v>0</v>
      </c>
      <c r="N43" s="196">
        <v>1699.46</v>
      </c>
      <c r="O43" s="27"/>
      <c r="P43" s="80"/>
      <c r="Q43" s="116">
        <v>48</v>
      </c>
      <c r="R43" s="116"/>
      <c r="S43" s="197">
        <v>722442.97</v>
      </c>
    </row>
    <row r="44" spans="1:19">
      <c r="A44" s="6"/>
      <c r="B44" s="8" t="s">
        <v>1512</v>
      </c>
      <c r="C44" s="8">
        <v>0</v>
      </c>
      <c r="D44" s="160">
        <v>11884.32</v>
      </c>
      <c r="F44" s="6"/>
      <c r="G44" s="8">
        <v>172</v>
      </c>
      <c r="H44" s="8"/>
      <c r="I44" s="157">
        <v>105241.16</v>
      </c>
      <c r="K44" s="13"/>
      <c r="L44" s="116" t="s">
        <v>1005</v>
      </c>
      <c r="M44" s="116">
        <v>0</v>
      </c>
      <c r="N44" s="196">
        <v>53040.6</v>
      </c>
      <c r="O44" s="27"/>
      <c r="P44" s="80">
        <f t="shared" ref="P44:P56" si="1">+N44-S44</f>
        <v>0</v>
      </c>
      <c r="Q44" s="116">
        <v>49</v>
      </c>
      <c r="R44" s="116"/>
      <c r="S44" s="196">
        <v>53040.6</v>
      </c>
    </row>
    <row r="45" spans="1:19">
      <c r="A45" s="6"/>
      <c r="B45" s="8" t="s">
        <v>1513</v>
      </c>
      <c r="C45" s="8">
        <v>0</v>
      </c>
      <c r="D45" s="160">
        <v>28502.81</v>
      </c>
      <c r="F45" s="6"/>
      <c r="G45" s="8">
        <v>173</v>
      </c>
      <c r="H45" s="8"/>
      <c r="I45" s="160">
        <v>1924.13</v>
      </c>
      <c r="K45" s="13"/>
      <c r="L45" s="116" t="s">
        <v>1332</v>
      </c>
      <c r="M45" s="116">
        <v>0</v>
      </c>
      <c r="N45" s="197">
        <v>1055724.06</v>
      </c>
      <c r="O45" s="27"/>
      <c r="P45" s="80">
        <f t="shared" si="1"/>
        <v>0</v>
      </c>
      <c r="Q45" s="116">
        <v>52</v>
      </c>
      <c r="R45" s="116"/>
      <c r="S45" s="197">
        <v>1055724.06</v>
      </c>
    </row>
    <row r="46" spans="1:19">
      <c r="A46" s="6"/>
      <c r="B46" s="8" t="s">
        <v>1514</v>
      </c>
      <c r="C46" s="8">
        <v>0</v>
      </c>
      <c r="D46" s="160">
        <v>69408.94</v>
      </c>
      <c r="F46" s="6"/>
      <c r="G46" s="8">
        <v>174</v>
      </c>
      <c r="H46" s="8"/>
      <c r="I46" s="157">
        <v>304528.26</v>
      </c>
      <c r="K46" s="13"/>
      <c r="L46" s="116" t="s">
        <v>1334</v>
      </c>
      <c r="M46" s="116">
        <v>0</v>
      </c>
      <c r="N46" s="196">
        <v>16207.93</v>
      </c>
      <c r="O46" s="27"/>
      <c r="P46" s="80"/>
      <c r="Q46" s="116">
        <v>54</v>
      </c>
      <c r="R46" s="116"/>
      <c r="S46" s="196">
        <v>1744.92</v>
      </c>
    </row>
    <row r="47" spans="1:19">
      <c r="A47" s="6"/>
      <c r="B47" s="8" t="s">
        <v>1515</v>
      </c>
      <c r="C47" s="8">
        <v>0</v>
      </c>
      <c r="D47" s="157">
        <v>565.91999999999996</v>
      </c>
      <c r="F47" s="6"/>
      <c r="G47" s="8">
        <v>549</v>
      </c>
      <c r="H47" s="8">
        <v>164</v>
      </c>
      <c r="I47" s="8">
        <v>62.87</v>
      </c>
      <c r="K47" s="13"/>
      <c r="L47" s="116" t="s">
        <v>1333</v>
      </c>
      <c r="M47" s="116">
        <v>0</v>
      </c>
      <c r="N47" s="196">
        <v>1744.92</v>
      </c>
      <c r="O47" s="27"/>
      <c r="P47" s="198">
        <f>+N47-S46</f>
        <v>0</v>
      </c>
      <c r="Q47" s="116">
        <v>55</v>
      </c>
      <c r="R47" s="116"/>
      <c r="S47" s="196">
        <v>16207.93</v>
      </c>
    </row>
    <row r="48" spans="1:19">
      <c r="A48" s="6"/>
      <c r="B48" s="8" t="s">
        <v>1516</v>
      </c>
      <c r="C48" s="8">
        <v>0</v>
      </c>
      <c r="D48" s="160">
        <v>16211.25</v>
      </c>
      <c r="F48" s="6"/>
      <c r="G48" s="8">
        <v>180</v>
      </c>
      <c r="H48" s="8"/>
      <c r="I48" s="160">
        <v>90664.44</v>
      </c>
      <c r="K48" s="13"/>
      <c r="L48" s="116" t="s">
        <v>1335</v>
      </c>
      <c r="M48" s="116">
        <v>0</v>
      </c>
      <c r="N48" s="197">
        <v>1098408.2</v>
      </c>
      <c r="O48" s="27"/>
      <c r="P48" s="80">
        <f t="shared" si="1"/>
        <v>0</v>
      </c>
      <c r="Q48" s="116">
        <v>56</v>
      </c>
      <c r="R48" s="116"/>
      <c r="S48" s="197">
        <v>1098408.2</v>
      </c>
    </row>
    <row r="49" spans="1:19">
      <c r="A49" s="6"/>
      <c r="B49" s="8" t="s">
        <v>1517</v>
      </c>
      <c r="C49" s="8">
        <v>0</v>
      </c>
      <c r="D49" s="157">
        <v>1045273.6</v>
      </c>
      <c r="F49" s="6"/>
      <c r="G49" s="8">
        <v>181</v>
      </c>
      <c r="H49" s="8"/>
      <c r="I49" s="157">
        <v>905.47</v>
      </c>
      <c r="K49" s="13"/>
      <c r="L49" s="116" t="s">
        <v>1336</v>
      </c>
      <c r="M49" s="116">
        <v>0</v>
      </c>
      <c r="N49" s="196">
        <v>17939.66</v>
      </c>
      <c r="O49" s="27"/>
      <c r="P49" s="80">
        <f t="shared" si="1"/>
        <v>0</v>
      </c>
      <c r="Q49" s="116">
        <v>57</v>
      </c>
      <c r="R49" s="116"/>
      <c r="S49" s="196">
        <v>17939.66</v>
      </c>
    </row>
    <row r="50" spans="1:19">
      <c r="A50" s="6"/>
      <c r="B50" s="8" t="s">
        <v>1518</v>
      </c>
      <c r="C50" s="8">
        <v>0</v>
      </c>
      <c r="D50" s="157">
        <v>226193.08</v>
      </c>
      <c r="F50" s="6"/>
      <c r="G50" s="8">
        <v>190</v>
      </c>
      <c r="H50" s="8"/>
      <c r="I50" s="157">
        <v>127448.65</v>
      </c>
      <c r="K50" s="13"/>
      <c r="L50" s="116" t="s">
        <v>1337</v>
      </c>
      <c r="M50" s="116">
        <v>0</v>
      </c>
      <c r="N50" s="196">
        <v>3489.84</v>
      </c>
      <c r="O50" s="27"/>
      <c r="P50" s="80">
        <f t="shared" si="1"/>
        <v>0</v>
      </c>
      <c r="Q50" s="116">
        <v>58</v>
      </c>
      <c r="R50" s="116"/>
      <c r="S50" s="196">
        <v>3489.84</v>
      </c>
    </row>
    <row r="51" spans="1:19">
      <c r="A51" s="6"/>
      <c r="B51" s="8" t="s">
        <v>1519</v>
      </c>
      <c r="C51" s="8">
        <v>0</v>
      </c>
      <c r="D51" s="160">
        <v>1414.8</v>
      </c>
      <c r="F51" s="6"/>
      <c r="G51" s="8">
        <v>191</v>
      </c>
      <c r="H51" s="8"/>
      <c r="I51" s="157">
        <v>905.47</v>
      </c>
      <c r="K51" s="13"/>
      <c r="L51" s="116" t="s">
        <v>1338</v>
      </c>
      <c r="M51" s="116">
        <v>0</v>
      </c>
      <c r="N51" s="196">
        <v>3989.69</v>
      </c>
      <c r="O51" s="27"/>
      <c r="P51" s="80">
        <f t="shared" si="1"/>
        <v>0</v>
      </c>
      <c r="Q51" s="116">
        <v>59</v>
      </c>
      <c r="R51" s="116"/>
      <c r="S51" s="196">
        <v>3989.69</v>
      </c>
    </row>
    <row r="52" spans="1:19">
      <c r="A52" s="6"/>
      <c r="B52" s="8" t="s">
        <v>1520</v>
      </c>
      <c r="C52" s="8">
        <v>0</v>
      </c>
      <c r="D52" s="157">
        <v>1165344.74</v>
      </c>
      <c r="F52" s="6"/>
      <c r="G52" s="8">
        <v>192</v>
      </c>
      <c r="H52" s="8"/>
      <c r="I52" s="160">
        <v>16836.12</v>
      </c>
      <c r="K52" s="13"/>
      <c r="L52" s="116" t="s">
        <v>1339</v>
      </c>
      <c r="M52" s="116">
        <v>0</v>
      </c>
      <c r="N52" s="197">
        <v>678267.57</v>
      </c>
      <c r="O52" s="27"/>
      <c r="P52" s="80">
        <f t="shared" si="1"/>
        <v>0</v>
      </c>
      <c r="Q52" s="116">
        <v>60</v>
      </c>
      <c r="R52" s="116"/>
      <c r="S52" s="197">
        <v>678267.57</v>
      </c>
    </row>
    <row r="53" spans="1:19">
      <c r="A53" s="6"/>
      <c r="B53" s="8" t="s">
        <v>1521</v>
      </c>
      <c r="C53" s="8">
        <v>0</v>
      </c>
      <c r="D53" s="157">
        <v>220683.43</v>
      </c>
      <c r="F53" s="6"/>
      <c r="G53" s="8">
        <v>193</v>
      </c>
      <c r="H53" s="8"/>
      <c r="I53" s="160">
        <v>79228.800000000003</v>
      </c>
      <c r="K53" s="13"/>
      <c r="L53" s="116" t="s">
        <v>1342</v>
      </c>
      <c r="M53" s="116">
        <v>0</v>
      </c>
      <c r="N53" s="197">
        <v>650933.26</v>
      </c>
      <c r="O53" s="27"/>
      <c r="P53" s="80">
        <f>+N53-S55</f>
        <v>0</v>
      </c>
      <c r="Q53" s="116">
        <v>61</v>
      </c>
      <c r="R53" s="116"/>
      <c r="S53" s="196">
        <v>10129.969999999999</v>
      </c>
    </row>
    <row r="54" spans="1:19">
      <c r="A54" s="6"/>
      <c r="B54" s="8" t="s">
        <v>1522</v>
      </c>
      <c r="C54" s="8">
        <v>0</v>
      </c>
      <c r="D54" s="160">
        <v>2150.5</v>
      </c>
      <c r="F54" s="6"/>
      <c r="G54" s="8">
        <v>199</v>
      </c>
      <c r="H54" s="8"/>
      <c r="I54" s="160">
        <v>52362.64</v>
      </c>
      <c r="K54" s="13"/>
      <c r="L54" s="116" t="s">
        <v>1341</v>
      </c>
      <c r="M54" s="116">
        <v>0</v>
      </c>
      <c r="N54" s="196">
        <v>10664.06</v>
      </c>
      <c r="O54" s="27"/>
      <c r="P54" s="80">
        <f t="shared" si="1"/>
        <v>0</v>
      </c>
      <c r="Q54" s="116">
        <v>62</v>
      </c>
      <c r="R54" s="116"/>
      <c r="S54" s="196">
        <v>10664.06</v>
      </c>
    </row>
    <row r="55" spans="1:19">
      <c r="A55" s="6"/>
      <c r="B55" s="8" t="s">
        <v>1523</v>
      </c>
      <c r="C55" s="8">
        <v>0</v>
      </c>
      <c r="D55" s="160">
        <v>80481.2</v>
      </c>
      <c r="F55" s="6"/>
      <c r="G55" s="8">
        <v>205</v>
      </c>
      <c r="H55" s="8"/>
      <c r="I55" s="160">
        <v>28502.81</v>
      </c>
      <c r="K55" s="13"/>
      <c r="L55" s="116" t="s">
        <v>1340</v>
      </c>
      <c r="M55" s="116">
        <v>0</v>
      </c>
      <c r="N55" s="196">
        <v>10129.969999999999</v>
      </c>
      <c r="O55" s="27"/>
      <c r="P55" s="198">
        <f>+N55-S53</f>
        <v>0</v>
      </c>
      <c r="Q55" s="116">
        <v>63</v>
      </c>
      <c r="R55" s="116"/>
      <c r="S55" s="197">
        <v>650933.26</v>
      </c>
    </row>
    <row r="56" spans="1:19">
      <c r="A56" s="6"/>
      <c r="B56" s="8" t="s">
        <v>1524</v>
      </c>
      <c r="C56" s="8">
        <v>0</v>
      </c>
      <c r="D56" s="160">
        <v>87713.13</v>
      </c>
      <c r="F56" s="6"/>
      <c r="G56" s="8">
        <v>206</v>
      </c>
      <c r="H56" s="8"/>
      <c r="I56" s="157">
        <v>679.1</v>
      </c>
      <c r="K56" s="13"/>
      <c r="L56" s="116" t="s">
        <v>1343</v>
      </c>
      <c r="M56" s="116">
        <v>0</v>
      </c>
      <c r="N56" s="196">
        <v>96346.23</v>
      </c>
      <c r="O56" s="27"/>
      <c r="P56" s="80">
        <f t="shared" si="1"/>
        <v>0</v>
      </c>
      <c r="Q56" s="116">
        <v>66</v>
      </c>
      <c r="R56" s="116"/>
      <c r="S56" s="196">
        <v>96346.23</v>
      </c>
    </row>
    <row r="57" spans="1:19">
      <c r="A57" s="6"/>
      <c r="B57" s="8" t="s">
        <v>1525</v>
      </c>
      <c r="C57" s="8">
        <v>0</v>
      </c>
      <c r="D57" s="157">
        <v>962.06</v>
      </c>
      <c r="F57" s="6"/>
      <c r="G57" s="8" t="s">
        <v>1563</v>
      </c>
      <c r="H57" s="8"/>
      <c r="I57" s="157">
        <v>182144.74</v>
      </c>
      <c r="K57" s="13"/>
      <c r="L57" s="116" t="s">
        <v>1346</v>
      </c>
      <c r="M57" s="116">
        <v>0</v>
      </c>
      <c r="N57" s="197">
        <v>964110.22</v>
      </c>
      <c r="O57" s="27"/>
      <c r="P57" s="80">
        <f>+N57-S59</f>
        <v>0</v>
      </c>
      <c r="Q57" s="116">
        <v>67</v>
      </c>
      <c r="R57" s="116"/>
      <c r="S57" s="196">
        <v>3055.97</v>
      </c>
    </row>
    <row r="58" spans="1:19">
      <c r="A58" s="6"/>
      <c r="B58" s="8" t="s">
        <v>1526</v>
      </c>
      <c r="C58" s="8">
        <v>0</v>
      </c>
      <c r="D58" s="157">
        <v>160189.04999999999</v>
      </c>
      <c r="F58" s="6"/>
      <c r="G58" s="8" t="s">
        <v>1564</v>
      </c>
      <c r="H58" s="8"/>
      <c r="I58" s="157">
        <v>191053.31</v>
      </c>
      <c r="K58" s="13"/>
      <c r="L58" s="116" t="s">
        <v>1348</v>
      </c>
      <c r="M58" s="116">
        <v>0</v>
      </c>
      <c r="N58" s="196">
        <v>61164.04</v>
      </c>
      <c r="O58" s="27"/>
      <c r="P58" s="198">
        <f>+N58-S61</f>
        <v>0</v>
      </c>
      <c r="Q58" s="116">
        <v>68</v>
      </c>
      <c r="R58" s="116"/>
      <c r="S58" s="196">
        <v>13654.29</v>
      </c>
    </row>
    <row r="59" spans="1:19">
      <c r="A59" s="6"/>
      <c r="B59" s="8" t="s">
        <v>1527</v>
      </c>
      <c r="C59" s="8">
        <v>0</v>
      </c>
      <c r="D59" s="160">
        <v>3961.44</v>
      </c>
      <c r="F59" s="6"/>
      <c r="G59" s="8">
        <v>209</v>
      </c>
      <c r="H59" s="8"/>
      <c r="I59" s="157">
        <v>136057.4</v>
      </c>
      <c r="K59" s="13"/>
      <c r="L59" s="116" t="s">
        <v>1349</v>
      </c>
      <c r="M59" s="116">
        <v>0</v>
      </c>
      <c r="N59" s="197">
        <v>1128674.5</v>
      </c>
      <c r="O59" s="27"/>
      <c r="P59" s="80">
        <f>+N59-S62</f>
        <v>1.0000000009313226E-2</v>
      </c>
      <c r="Q59" s="116">
        <v>69</v>
      </c>
      <c r="R59" s="116"/>
      <c r="S59" s="197">
        <v>964110.22</v>
      </c>
    </row>
    <row r="60" spans="1:19">
      <c r="A60" s="6"/>
      <c r="B60" s="8" t="s">
        <v>1304</v>
      </c>
      <c r="C60" s="8">
        <v>0</v>
      </c>
      <c r="D60" s="160">
        <v>3560.58</v>
      </c>
      <c r="F60" s="6"/>
      <c r="G60" s="8">
        <v>210</v>
      </c>
      <c r="H60" s="8"/>
      <c r="I60" s="157">
        <v>292737.09000000003</v>
      </c>
      <c r="K60" s="13"/>
      <c r="L60" s="116" t="s">
        <v>1345</v>
      </c>
      <c r="M60" s="116">
        <v>0</v>
      </c>
      <c r="N60" s="196">
        <v>13654.29</v>
      </c>
      <c r="O60" s="27"/>
      <c r="P60" s="198">
        <f>+N60-S58</f>
        <v>0</v>
      </c>
      <c r="Q60" s="116">
        <v>70</v>
      </c>
      <c r="R60" s="116"/>
      <c r="S60" s="196">
        <v>19184.689999999999</v>
      </c>
    </row>
    <row r="61" spans="1:19">
      <c r="A61" s="6"/>
      <c r="B61" s="8" t="s">
        <v>1306</v>
      </c>
      <c r="C61" s="8">
        <v>0</v>
      </c>
      <c r="D61" s="157">
        <v>330518.96999999997</v>
      </c>
      <c r="F61" s="6"/>
      <c r="G61" s="8">
        <v>211</v>
      </c>
      <c r="H61" s="8"/>
      <c r="I61" s="160">
        <v>11884.32</v>
      </c>
      <c r="K61" s="13"/>
      <c r="L61" s="116" t="s">
        <v>1344</v>
      </c>
      <c r="M61" s="116">
        <v>0</v>
      </c>
      <c r="N61" s="196">
        <v>3055.97</v>
      </c>
      <c r="O61" s="27"/>
      <c r="P61" s="198">
        <f>+N61-S57</f>
        <v>0</v>
      </c>
      <c r="Q61" s="116">
        <v>71</v>
      </c>
      <c r="R61" s="116"/>
      <c r="S61" s="196">
        <v>61164.04</v>
      </c>
    </row>
    <row r="62" spans="1:19">
      <c r="A62" s="6"/>
      <c r="B62" s="8" t="s">
        <v>1305</v>
      </c>
      <c r="C62" s="8">
        <v>0</v>
      </c>
      <c r="D62" s="160">
        <v>4131.22</v>
      </c>
      <c r="F62" s="6"/>
      <c r="G62" s="8" t="s">
        <v>1565</v>
      </c>
      <c r="H62" s="8"/>
      <c r="I62" s="157">
        <v>102952.92</v>
      </c>
      <c r="K62" s="13"/>
      <c r="L62" s="116" t="s">
        <v>1347</v>
      </c>
      <c r="M62" s="116">
        <v>0</v>
      </c>
      <c r="N62" s="196">
        <v>19184.689999999999</v>
      </c>
      <c r="O62" s="27"/>
      <c r="P62" s="198">
        <f>+N62-S60</f>
        <v>0</v>
      </c>
      <c r="Q62" s="116">
        <v>72</v>
      </c>
      <c r="R62" s="116"/>
      <c r="S62" s="197">
        <v>1128674.49</v>
      </c>
    </row>
    <row r="63" spans="1:19">
      <c r="A63" s="6"/>
      <c r="B63" s="8" t="s">
        <v>1309</v>
      </c>
      <c r="C63" s="8">
        <v>0</v>
      </c>
      <c r="D63" s="160">
        <v>3584.16</v>
      </c>
      <c r="F63" s="6"/>
      <c r="G63" s="8">
        <v>238</v>
      </c>
      <c r="H63" s="8"/>
      <c r="I63" s="160">
        <v>69408.94</v>
      </c>
      <c r="K63" s="13"/>
      <c r="L63" s="116" t="s">
        <v>1350</v>
      </c>
      <c r="M63" s="116">
        <v>0</v>
      </c>
      <c r="N63" s="196">
        <v>11544.77</v>
      </c>
      <c r="O63" s="27"/>
      <c r="P63" s="80">
        <f t="shared" ref="P63:P68" si="2">+N63-S63</f>
        <v>0</v>
      </c>
      <c r="Q63" s="116">
        <v>73</v>
      </c>
      <c r="R63" s="116"/>
      <c r="S63" s="196">
        <v>11544.77</v>
      </c>
    </row>
    <row r="64" spans="1:19">
      <c r="A64" s="6"/>
      <c r="B64" s="8" t="s">
        <v>1307</v>
      </c>
      <c r="C64" s="8">
        <v>0</v>
      </c>
      <c r="D64" s="160">
        <v>80694.539999999994</v>
      </c>
      <c r="F64" s="6"/>
      <c r="G64" s="8">
        <v>239</v>
      </c>
      <c r="H64" s="8"/>
      <c r="I64" s="157">
        <v>565.91999999999996</v>
      </c>
      <c r="K64" s="13"/>
      <c r="L64" s="116" t="s">
        <v>1351</v>
      </c>
      <c r="M64" s="116">
        <v>0</v>
      </c>
      <c r="N64" s="196">
        <v>1248.55</v>
      </c>
      <c r="O64" s="27"/>
      <c r="P64" s="80">
        <f t="shared" si="2"/>
        <v>0</v>
      </c>
      <c r="Q64" s="116">
        <v>74</v>
      </c>
      <c r="R64" s="116"/>
      <c r="S64" s="196">
        <v>1248.55</v>
      </c>
    </row>
    <row r="65" spans="1:19">
      <c r="A65" s="6"/>
      <c r="B65" s="8" t="s">
        <v>1308</v>
      </c>
      <c r="C65" s="8">
        <v>0</v>
      </c>
      <c r="D65" s="160">
        <v>41536.17</v>
      </c>
      <c r="F65" s="6"/>
      <c r="G65" s="8">
        <v>246</v>
      </c>
      <c r="H65" s="8"/>
      <c r="I65" s="160">
        <v>16211.25</v>
      </c>
      <c r="K65" s="13"/>
      <c r="L65" s="116" t="s">
        <v>1352</v>
      </c>
      <c r="M65" s="116">
        <v>0</v>
      </c>
      <c r="N65" s="196">
        <v>41917.01</v>
      </c>
      <c r="O65" s="27"/>
      <c r="P65" s="80">
        <f t="shared" si="2"/>
        <v>0</v>
      </c>
      <c r="Q65" s="116">
        <v>75</v>
      </c>
      <c r="R65" s="116"/>
      <c r="S65" s="196">
        <v>41917.01</v>
      </c>
    </row>
    <row r="66" spans="1:19">
      <c r="A66" s="6"/>
      <c r="B66" s="8" t="s">
        <v>1313</v>
      </c>
      <c r="C66" s="8">
        <v>0</v>
      </c>
      <c r="D66" s="160">
        <v>47157.68</v>
      </c>
      <c r="F66" s="6"/>
      <c r="G66" s="8">
        <v>248</v>
      </c>
      <c r="H66" s="8"/>
      <c r="I66" s="157">
        <v>1045273.6</v>
      </c>
      <c r="K66" s="13"/>
      <c r="L66" s="116" t="s">
        <v>1353</v>
      </c>
      <c r="M66" s="116">
        <v>0</v>
      </c>
      <c r="N66" s="196">
        <v>40514.15</v>
      </c>
      <c r="O66" s="27"/>
      <c r="P66" s="80">
        <f t="shared" si="2"/>
        <v>-1.0000000002037268E-2</v>
      </c>
      <c r="Q66" s="116">
        <v>76</v>
      </c>
      <c r="R66" s="116"/>
      <c r="S66" s="196">
        <v>40514.160000000003</v>
      </c>
    </row>
    <row r="67" spans="1:19">
      <c r="A67" s="6"/>
      <c r="B67" s="8" t="s">
        <v>1312</v>
      </c>
      <c r="C67" s="8">
        <v>0</v>
      </c>
      <c r="D67" s="157">
        <v>679.1</v>
      </c>
      <c r="F67" s="6"/>
      <c r="G67" s="8">
        <v>249</v>
      </c>
      <c r="H67" s="8"/>
      <c r="I67" s="157">
        <v>226193.08</v>
      </c>
      <c r="K67" s="13"/>
      <c r="L67" s="116" t="s">
        <v>1354</v>
      </c>
      <c r="M67" s="116">
        <v>0</v>
      </c>
      <c r="N67" s="197">
        <v>409820.63</v>
      </c>
      <c r="O67" s="27"/>
      <c r="P67" s="80">
        <f t="shared" si="2"/>
        <v>-1.0000000009313226E-2</v>
      </c>
      <c r="Q67" s="116">
        <v>77</v>
      </c>
      <c r="R67" s="116"/>
      <c r="S67" s="197">
        <v>409820.64</v>
      </c>
    </row>
    <row r="68" spans="1:19">
      <c r="A68" s="6"/>
      <c r="B68" s="8" t="s">
        <v>1315</v>
      </c>
      <c r="C68" s="8">
        <v>0</v>
      </c>
      <c r="D68" s="157">
        <v>513887.16</v>
      </c>
      <c r="F68" s="6"/>
      <c r="G68" s="8">
        <v>250</v>
      </c>
      <c r="H68" s="8"/>
      <c r="I68" s="160">
        <v>1414.8</v>
      </c>
      <c r="K68" s="13"/>
      <c r="L68" s="116" t="s">
        <v>1355</v>
      </c>
      <c r="M68" s="116">
        <v>0</v>
      </c>
      <c r="N68" s="196">
        <v>3112.56</v>
      </c>
      <c r="O68" s="27"/>
      <c r="P68" s="80">
        <f t="shared" si="2"/>
        <v>0</v>
      </c>
      <c r="Q68" s="116">
        <v>78</v>
      </c>
      <c r="R68" s="116"/>
      <c r="S68" s="196">
        <v>3112.56</v>
      </c>
    </row>
    <row r="69" spans="1:19">
      <c r="A69" s="6"/>
      <c r="B69" s="8" t="s">
        <v>1314</v>
      </c>
      <c r="C69" s="8">
        <v>0</v>
      </c>
      <c r="D69" s="160">
        <v>5093.28</v>
      </c>
      <c r="F69" s="6"/>
      <c r="G69" s="8">
        <v>260</v>
      </c>
      <c r="H69" s="8"/>
      <c r="I69" s="157">
        <v>1386028.17</v>
      </c>
      <c r="K69" s="13"/>
      <c r="L69" s="116" t="s">
        <v>1356</v>
      </c>
      <c r="M69" s="116">
        <v>0</v>
      </c>
      <c r="N69" s="197">
        <v>2044980</v>
      </c>
      <c r="O69" s="27"/>
      <c r="P69" s="80">
        <f t="shared" ref="P69:P76" si="3">+N69-S69</f>
        <v>0</v>
      </c>
      <c r="Q69" s="116">
        <v>79</v>
      </c>
      <c r="R69" s="116"/>
      <c r="S69" s="197">
        <v>2044980</v>
      </c>
    </row>
    <row r="70" spans="1:19">
      <c r="A70" s="6"/>
      <c r="B70" s="8" t="s">
        <v>1318</v>
      </c>
      <c r="C70" s="8">
        <v>0</v>
      </c>
      <c r="D70" s="160">
        <v>37632.01</v>
      </c>
      <c r="F70" s="6"/>
      <c r="G70" s="8">
        <v>261</v>
      </c>
      <c r="H70" s="8"/>
      <c r="I70" s="160">
        <v>2150.5</v>
      </c>
      <c r="K70" s="13"/>
      <c r="L70" s="116" t="s">
        <v>1358</v>
      </c>
      <c r="M70" s="116">
        <v>0</v>
      </c>
      <c r="N70" s="197">
        <v>774453.41</v>
      </c>
      <c r="O70" s="27"/>
      <c r="P70" s="80">
        <f t="shared" si="3"/>
        <v>0</v>
      </c>
      <c r="Q70" s="116">
        <v>81</v>
      </c>
      <c r="R70" s="116"/>
      <c r="S70" s="197">
        <v>774453.41</v>
      </c>
    </row>
    <row r="71" spans="1:19">
      <c r="A71" s="6"/>
      <c r="B71" s="8" t="s">
        <v>1317</v>
      </c>
      <c r="C71" s="8">
        <v>0</v>
      </c>
      <c r="D71" s="157">
        <v>622.51</v>
      </c>
      <c r="F71" s="6"/>
      <c r="G71" s="8">
        <v>263</v>
      </c>
      <c r="H71" s="8"/>
      <c r="I71" s="160">
        <v>80481.2</v>
      </c>
      <c r="K71" s="13"/>
      <c r="L71" s="116" t="s">
        <v>1571</v>
      </c>
      <c r="M71" s="116">
        <v>0</v>
      </c>
      <c r="N71" s="196">
        <v>40237.93</v>
      </c>
      <c r="O71" s="27"/>
      <c r="P71" s="198">
        <f t="shared" si="3"/>
        <v>0</v>
      </c>
      <c r="Q71" s="116">
        <v>82</v>
      </c>
      <c r="R71" s="116"/>
      <c r="S71" s="196">
        <v>40237.93</v>
      </c>
    </row>
    <row r="72" spans="1:19">
      <c r="A72" s="6"/>
      <c r="B72" s="8" t="s">
        <v>1321</v>
      </c>
      <c r="C72" s="8">
        <v>0</v>
      </c>
      <c r="D72" s="160">
        <v>91970.79</v>
      </c>
      <c r="F72" s="6"/>
      <c r="G72" s="8">
        <v>269</v>
      </c>
      <c r="H72" s="8"/>
      <c r="I72" s="157">
        <v>962.06</v>
      </c>
      <c r="K72" s="13"/>
      <c r="L72" s="116" t="s">
        <v>1572</v>
      </c>
      <c r="M72" s="116">
        <v>0</v>
      </c>
      <c r="N72" s="196">
        <v>54536.31</v>
      </c>
      <c r="O72" s="27"/>
      <c r="P72" s="198">
        <f t="shared" si="3"/>
        <v>0</v>
      </c>
      <c r="Q72" s="116">
        <v>83</v>
      </c>
      <c r="R72" s="116"/>
      <c r="S72" s="196">
        <v>54536.31</v>
      </c>
    </row>
    <row r="73" spans="1:19">
      <c r="A73" s="6"/>
      <c r="B73" s="8" t="s">
        <v>1320</v>
      </c>
      <c r="C73" s="8">
        <v>0</v>
      </c>
      <c r="D73" s="157">
        <v>565.91999999999996</v>
      </c>
      <c r="F73" s="6"/>
      <c r="G73" s="8">
        <v>270</v>
      </c>
      <c r="H73" s="8"/>
      <c r="I73" s="160">
        <v>87713.13</v>
      </c>
      <c r="K73" s="13"/>
      <c r="L73" s="116" t="s">
        <v>1573</v>
      </c>
      <c r="M73" s="116">
        <v>0</v>
      </c>
      <c r="N73" s="196">
        <v>19357.080000000002</v>
      </c>
      <c r="O73" s="27"/>
      <c r="P73" s="198">
        <f t="shared" si="3"/>
        <v>0</v>
      </c>
      <c r="Q73" s="116">
        <v>84</v>
      </c>
      <c r="R73" s="116"/>
      <c r="S73" s="196">
        <v>19357.080000000002</v>
      </c>
    </row>
    <row r="74" spans="1:19">
      <c r="A74" s="6"/>
      <c r="B74" s="8" t="s">
        <v>1322</v>
      </c>
      <c r="C74" s="8">
        <v>0</v>
      </c>
      <c r="D74" s="160">
        <v>39658.620000000003</v>
      </c>
      <c r="F74" s="6"/>
      <c r="G74" s="8">
        <v>273</v>
      </c>
      <c r="H74" s="8"/>
      <c r="I74" s="157">
        <v>160189.04999999999</v>
      </c>
      <c r="K74" s="13"/>
      <c r="L74" s="116" t="s">
        <v>1574</v>
      </c>
      <c r="M74" s="116">
        <v>0</v>
      </c>
      <c r="N74" s="197">
        <v>332533.67</v>
      </c>
      <c r="O74" s="27"/>
      <c r="P74" s="80">
        <f t="shared" si="3"/>
        <v>0</v>
      </c>
      <c r="Q74" s="116">
        <v>85</v>
      </c>
      <c r="R74" s="116"/>
      <c r="S74" s="197">
        <v>332533.67</v>
      </c>
    </row>
    <row r="75" spans="1:19">
      <c r="A75" s="6"/>
      <c r="B75" s="8" t="s">
        <v>1324</v>
      </c>
      <c r="C75" s="8">
        <v>0</v>
      </c>
      <c r="D75" s="160">
        <v>12846.38</v>
      </c>
      <c r="F75" s="6"/>
      <c r="G75" s="8">
        <v>274</v>
      </c>
      <c r="H75" s="8"/>
      <c r="I75" s="160">
        <v>3961.44</v>
      </c>
      <c r="K75" s="13"/>
      <c r="L75" s="116" t="s">
        <v>1575</v>
      </c>
      <c r="M75" s="116">
        <v>0</v>
      </c>
      <c r="N75" s="196">
        <v>15127.87</v>
      </c>
      <c r="O75" s="27"/>
      <c r="P75" s="198">
        <f t="shared" si="3"/>
        <v>0</v>
      </c>
      <c r="Q75" s="14">
        <v>87</v>
      </c>
      <c r="R75" s="14"/>
      <c r="S75" s="101">
        <v>15127.87</v>
      </c>
    </row>
    <row r="76" spans="1:19">
      <c r="A76" s="6"/>
      <c r="B76" s="8" t="s">
        <v>1328</v>
      </c>
      <c r="C76" s="8">
        <v>0</v>
      </c>
      <c r="D76" s="157">
        <v>726989.39</v>
      </c>
      <c r="F76" s="6"/>
      <c r="G76" s="8" t="s">
        <v>1566</v>
      </c>
      <c r="H76" s="8"/>
      <c r="I76" s="157">
        <v>168461.07</v>
      </c>
      <c r="K76" s="13"/>
      <c r="L76" s="116" t="s">
        <v>1576</v>
      </c>
      <c r="M76" s="116">
        <v>0</v>
      </c>
      <c r="N76" s="197">
        <v>305788.96000000002</v>
      </c>
      <c r="O76" s="27"/>
      <c r="P76" s="80">
        <f t="shared" si="3"/>
        <v>0</v>
      </c>
      <c r="Q76" s="14">
        <v>88</v>
      </c>
      <c r="R76" s="14"/>
      <c r="S76" s="16">
        <v>305788.96000000002</v>
      </c>
    </row>
    <row r="77" spans="1:19">
      <c r="A77" s="6"/>
      <c r="B77" s="8" t="s">
        <v>1326</v>
      </c>
      <c r="C77" s="8">
        <v>0</v>
      </c>
      <c r="D77" s="160">
        <v>3489.84</v>
      </c>
      <c r="F77" s="6"/>
      <c r="G77" s="8">
        <v>280</v>
      </c>
      <c r="H77" s="8"/>
      <c r="I77" s="160">
        <v>3560.58</v>
      </c>
      <c r="P77" s="199">
        <f>SUM(P2:P76)</f>
        <v>5291.7800000000207</v>
      </c>
      <c r="Q77" s="116" t="s">
        <v>1577</v>
      </c>
      <c r="R77" s="116"/>
      <c r="S77" s="195">
        <v>9440</v>
      </c>
    </row>
    <row r="78" spans="1:19">
      <c r="A78" s="6"/>
      <c r="B78" s="8" t="s">
        <v>1327</v>
      </c>
      <c r="C78" s="8">
        <v>0</v>
      </c>
      <c r="D78" s="160">
        <v>1915.88</v>
      </c>
      <c r="F78" s="6"/>
      <c r="G78" s="8">
        <v>282</v>
      </c>
      <c r="H78" s="8"/>
      <c r="I78" s="157">
        <v>330518.96999999997</v>
      </c>
      <c r="N78" s="79">
        <f>SUM(N2:N77)</f>
        <v>50885547.43999999</v>
      </c>
      <c r="P78" s="13"/>
    </row>
    <row r="79" spans="1:19">
      <c r="A79" s="6"/>
      <c r="B79" s="8" t="s">
        <v>1329</v>
      </c>
      <c r="C79" s="8">
        <v>0</v>
      </c>
      <c r="D79" s="157">
        <v>901.94</v>
      </c>
      <c r="F79" s="6"/>
      <c r="G79" s="8">
        <v>283</v>
      </c>
      <c r="H79" s="8"/>
      <c r="I79" s="160">
        <v>4131.22</v>
      </c>
      <c r="S79" s="79">
        <f>SUM(S2:S77)</f>
        <v>50889695.649999984</v>
      </c>
    </row>
    <row r="80" spans="1:19">
      <c r="A80" s="6"/>
      <c r="B80" s="8" t="s">
        <v>1330</v>
      </c>
      <c r="C80" s="8">
        <v>0</v>
      </c>
      <c r="D80" s="160">
        <v>7300.37</v>
      </c>
      <c r="F80" s="6"/>
      <c r="G80" s="8">
        <v>290</v>
      </c>
      <c r="H80" s="8"/>
      <c r="I80" s="160">
        <v>3584.16</v>
      </c>
      <c r="S80" s="79">
        <f>+S79-N78</f>
        <v>4148.2099999934435</v>
      </c>
    </row>
    <row r="81" spans="1:9">
      <c r="A81" s="6"/>
      <c r="B81" s="8" t="s">
        <v>1331</v>
      </c>
      <c r="C81" s="8">
        <v>0</v>
      </c>
      <c r="D81" s="157">
        <v>333360.65999999997</v>
      </c>
      <c r="F81" s="6"/>
      <c r="G81" s="8">
        <v>291</v>
      </c>
      <c r="H81" s="8"/>
      <c r="I81" s="160">
        <v>80694.539999999994</v>
      </c>
    </row>
    <row r="82" spans="1:9">
      <c r="A82" s="6"/>
      <c r="B82" s="8" t="s">
        <v>1528</v>
      </c>
      <c r="C82" s="8">
        <v>0</v>
      </c>
      <c r="D82" s="160">
        <v>75267.360000000001</v>
      </c>
      <c r="F82" s="6"/>
      <c r="G82" s="8">
        <v>292</v>
      </c>
      <c r="H82" s="8"/>
      <c r="I82" s="160">
        <v>41536.17</v>
      </c>
    </row>
    <row r="83" spans="1:9">
      <c r="A83" s="6"/>
      <c r="B83" s="8" t="s">
        <v>1529</v>
      </c>
      <c r="C83" s="8">
        <v>0</v>
      </c>
      <c r="D83" s="160">
        <v>46098.9</v>
      </c>
      <c r="F83" s="6"/>
      <c r="G83" s="8">
        <v>298</v>
      </c>
      <c r="H83" s="8"/>
      <c r="I83" s="160">
        <v>47157.68</v>
      </c>
    </row>
    <row r="84" spans="1:9">
      <c r="A84" s="6"/>
      <c r="B84" s="8" t="s">
        <v>1530</v>
      </c>
      <c r="C84" s="8">
        <v>0</v>
      </c>
      <c r="D84" s="160">
        <v>28251.78</v>
      </c>
      <c r="F84" s="6"/>
      <c r="G84" s="8">
        <v>299</v>
      </c>
      <c r="H84" s="8"/>
      <c r="I84" s="157">
        <v>679.1</v>
      </c>
    </row>
    <row r="85" spans="1:9">
      <c r="A85" s="6"/>
      <c r="B85" s="8" t="s">
        <v>1531</v>
      </c>
      <c r="C85" s="8">
        <v>0</v>
      </c>
      <c r="D85" s="160">
        <v>1028.73</v>
      </c>
      <c r="F85" s="6"/>
      <c r="G85" s="8">
        <v>305</v>
      </c>
      <c r="H85" s="8"/>
      <c r="I85" s="157">
        <v>513887.16</v>
      </c>
    </row>
    <row r="86" spans="1:9">
      <c r="A86" s="6"/>
      <c r="B86" s="8" t="s">
        <v>1532</v>
      </c>
      <c r="C86" s="8">
        <v>0</v>
      </c>
      <c r="D86" s="157">
        <v>103308.32</v>
      </c>
      <c r="F86" s="6"/>
      <c r="G86" s="8">
        <v>306</v>
      </c>
      <c r="H86" s="8"/>
      <c r="I86" s="160">
        <v>5093.28</v>
      </c>
    </row>
    <row r="87" spans="1:9">
      <c r="A87" s="6"/>
      <c r="B87" s="8" t="s">
        <v>1533</v>
      </c>
      <c r="C87" s="8">
        <v>0</v>
      </c>
      <c r="D87" s="157">
        <v>206839.52</v>
      </c>
      <c r="F87" s="6"/>
      <c r="G87" s="8">
        <v>313</v>
      </c>
      <c r="H87" s="8"/>
      <c r="I87" s="160">
        <v>37632.01</v>
      </c>
    </row>
    <row r="88" spans="1:9">
      <c r="A88" s="6"/>
      <c r="B88" s="8" t="s">
        <v>1534</v>
      </c>
      <c r="C88" s="8">
        <v>0</v>
      </c>
      <c r="D88" s="160">
        <v>2433.46</v>
      </c>
      <c r="F88" s="6"/>
      <c r="G88" s="8">
        <v>314</v>
      </c>
      <c r="H88" s="8"/>
      <c r="I88" s="157">
        <v>622.51</v>
      </c>
    </row>
    <row r="89" spans="1:9">
      <c r="A89" s="6"/>
      <c r="B89" s="8" t="s">
        <v>1535</v>
      </c>
      <c r="C89" s="8">
        <v>0</v>
      </c>
      <c r="D89" s="157">
        <v>291536.11</v>
      </c>
      <c r="F89" s="6"/>
      <c r="G89" s="8">
        <v>319</v>
      </c>
      <c r="H89" s="8"/>
      <c r="I89" s="160">
        <v>91970.85</v>
      </c>
    </row>
    <row r="90" spans="1:9">
      <c r="A90" s="6"/>
      <c r="B90" s="8" t="s">
        <v>1536</v>
      </c>
      <c r="C90" s="8">
        <v>0</v>
      </c>
      <c r="D90" s="160">
        <v>2659.82</v>
      </c>
      <c r="F90" s="6"/>
      <c r="G90" s="8">
        <v>320</v>
      </c>
      <c r="H90" s="8"/>
      <c r="I90" s="157">
        <v>565.91999999999996</v>
      </c>
    </row>
    <row r="91" spans="1:9">
      <c r="A91" s="6"/>
      <c r="B91" s="8" t="s">
        <v>1537</v>
      </c>
      <c r="C91" s="8">
        <v>0</v>
      </c>
      <c r="D91" s="160">
        <v>60164.37</v>
      </c>
      <c r="F91" s="6"/>
      <c r="G91" s="8" t="s">
        <v>1567</v>
      </c>
      <c r="H91" s="8"/>
      <c r="I91" s="160">
        <v>29288.639999999999</v>
      </c>
    </row>
    <row r="92" spans="1:9">
      <c r="A92" s="6"/>
      <c r="B92" s="8" t="s">
        <v>1538</v>
      </c>
      <c r="C92" s="8">
        <v>0</v>
      </c>
      <c r="D92" s="157">
        <v>213217.23</v>
      </c>
      <c r="F92" s="6"/>
      <c r="G92" s="8">
        <v>329</v>
      </c>
      <c r="H92" s="8"/>
      <c r="I92" s="160">
        <v>39658.620000000003</v>
      </c>
    </row>
    <row r="93" spans="1:9">
      <c r="A93" s="6"/>
      <c r="B93" s="8" t="s">
        <v>1539</v>
      </c>
      <c r="C93" s="8">
        <v>0</v>
      </c>
      <c r="D93" s="160">
        <v>1358.21</v>
      </c>
      <c r="F93" s="6"/>
      <c r="G93" s="8">
        <v>345</v>
      </c>
      <c r="H93" s="8"/>
      <c r="I93" s="157">
        <v>726989.39</v>
      </c>
    </row>
    <row r="94" spans="1:9">
      <c r="A94" s="6"/>
      <c r="B94" s="8" t="s">
        <v>1540</v>
      </c>
      <c r="C94" s="8">
        <v>0</v>
      </c>
      <c r="D94" s="157">
        <v>111598.28</v>
      </c>
      <c r="F94" s="6"/>
      <c r="G94" s="8">
        <v>346</v>
      </c>
      <c r="H94" s="8"/>
      <c r="I94" s="160">
        <v>12846.38</v>
      </c>
    </row>
    <row r="95" spans="1:9">
      <c r="A95" s="6"/>
      <c r="B95" s="8" t="s">
        <v>1541</v>
      </c>
      <c r="C95" s="8">
        <v>0</v>
      </c>
      <c r="D95" s="160">
        <v>8890.24</v>
      </c>
      <c r="F95" s="6"/>
      <c r="G95" s="8">
        <v>351</v>
      </c>
      <c r="H95" s="8"/>
      <c r="I95" s="160">
        <v>1915.88</v>
      </c>
    </row>
    <row r="96" spans="1:9">
      <c r="A96" s="6"/>
      <c r="B96" s="8" t="s">
        <v>1542</v>
      </c>
      <c r="C96" s="8">
        <v>0</v>
      </c>
      <c r="D96" s="157">
        <v>165162</v>
      </c>
      <c r="F96" s="6"/>
      <c r="G96" s="8">
        <v>352</v>
      </c>
      <c r="H96" s="8"/>
      <c r="I96" s="160">
        <v>3489.84</v>
      </c>
    </row>
    <row r="97" spans="1:9">
      <c r="A97" s="6"/>
      <c r="B97" s="8" t="s">
        <v>1542</v>
      </c>
      <c r="C97" s="160">
        <v>2949</v>
      </c>
      <c r="D97" s="8">
        <v>0</v>
      </c>
      <c r="F97" s="6"/>
      <c r="G97" s="8">
        <v>357</v>
      </c>
      <c r="H97" s="8"/>
      <c r="I97" s="157">
        <v>901.94</v>
      </c>
    </row>
    <row r="98" spans="1:9">
      <c r="A98" s="6"/>
      <c r="B98" s="8" t="s">
        <v>1543</v>
      </c>
      <c r="C98" s="8">
        <v>0</v>
      </c>
      <c r="D98" s="160">
        <v>21045.15</v>
      </c>
      <c r="F98" s="6"/>
      <c r="G98" s="8" t="s">
        <v>1568</v>
      </c>
      <c r="H98" s="8"/>
      <c r="I98" s="8">
        <v>0</v>
      </c>
    </row>
    <row r="99" spans="1:9">
      <c r="A99" s="6"/>
      <c r="B99" s="8" t="s">
        <v>1544</v>
      </c>
      <c r="C99" s="8">
        <v>0</v>
      </c>
      <c r="D99" s="160">
        <v>8253</v>
      </c>
      <c r="F99" s="6"/>
      <c r="G99" s="8">
        <v>360</v>
      </c>
      <c r="H99" s="8"/>
      <c r="I99" s="157">
        <v>333360.65999999997</v>
      </c>
    </row>
    <row r="100" spans="1:9">
      <c r="A100" s="6"/>
      <c r="B100" s="8" t="s">
        <v>1545</v>
      </c>
      <c r="C100" s="8">
        <v>0</v>
      </c>
      <c r="D100" s="157">
        <v>150014.38</v>
      </c>
      <c r="F100" s="6"/>
      <c r="G100" s="8">
        <v>361</v>
      </c>
      <c r="H100" s="8"/>
      <c r="I100" s="160">
        <v>7300.37</v>
      </c>
    </row>
    <row r="101" spans="1:9">
      <c r="A101" s="6"/>
      <c r="B101" s="8" t="s">
        <v>1546</v>
      </c>
      <c r="C101" s="8">
        <v>0</v>
      </c>
      <c r="D101" s="157">
        <v>138.76</v>
      </c>
      <c r="F101" s="6"/>
      <c r="G101" s="8">
        <v>365</v>
      </c>
      <c r="H101" s="8"/>
      <c r="I101" s="160">
        <v>75267.360000000001</v>
      </c>
    </row>
    <row r="102" spans="1:9">
      <c r="A102" s="6"/>
      <c r="B102" s="8" t="s">
        <v>1547</v>
      </c>
      <c r="C102" s="8">
        <v>0</v>
      </c>
      <c r="D102" s="157">
        <v>334036.64</v>
      </c>
      <c r="F102" s="6"/>
      <c r="G102" s="8">
        <v>366</v>
      </c>
      <c r="H102" s="8"/>
      <c r="I102" s="160">
        <v>46098.9</v>
      </c>
    </row>
    <row r="103" spans="1:9">
      <c r="A103" s="6"/>
      <c r="B103" s="8" t="s">
        <v>1548</v>
      </c>
      <c r="C103" s="8">
        <v>0</v>
      </c>
      <c r="D103" s="157">
        <v>535878.51</v>
      </c>
      <c r="F103" s="6"/>
      <c r="G103" s="8">
        <v>374</v>
      </c>
      <c r="H103" s="8"/>
      <c r="I103" s="160">
        <v>28251.78</v>
      </c>
    </row>
    <row r="104" spans="1:9">
      <c r="A104" s="6"/>
      <c r="B104" s="8" t="s">
        <v>1549</v>
      </c>
      <c r="C104" s="8">
        <v>0</v>
      </c>
      <c r="D104" s="160">
        <v>63135.45</v>
      </c>
      <c r="F104" s="6"/>
      <c r="G104" s="8" t="s">
        <v>1569</v>
      </c>
      <c r="H104" s="8"/>
      <c r="I104" s="157">
        <v>122553.62</v>
      </c>
    </row>
    <row r="105" spans="1:9">
      <c r="A105" s="6"/>
      <c r="B105" s="8" t="s">
        <v>1550</v>
      </c>
      <c r="C105" s="8">
        <v>0</v>
      </c>
      <c r="D105" s="160">
        <v>12827.52</v>
      </c>
      <c r="F105" s="6"/>
      <c r="G105" s="8">
        <v>384</v>
      </c>
      <c r="H105" s="8"/>
      <c r="I105" s="160">
        <v>1028.73</v>
      </c>
    </row>
    <row r="106" spans="1:9">
      <c r="A106" s="6"/>
      <c r="B106" s="8" t="s">
        <v>1551</v>
      </c>
      <c r="C106" s="8">
        <v>0</v>
      </c>
      <c r="D106" s="160">
        <v>9452.2900000000009</v>
      </c>
      <c r="F106" s="6"/>
      <c r="G106" s="8">
        <v>396</v>
      </c>
      <c r="H106" s="8"/>
      <c r="I106" s="157">
        <v>103308.32</v>
      </c>
    </row>
    <row r="107" spans="1:9">
      <c r="A107" s="6"/>
      <c r="B107" s="8" t="s">
        <v>1552</v>
      </c>
      <c r="C107" s="8">
        <v>0</v>
      </c>
      <c r="D107" s="160">
        <v>2122.1999999999998</v>
      </c>
      <c r="F107" s="6"/>
      <c r="G107" s="8" t="s">
        <v>1570</v>
      </c>
      <c r="H107" s="8"/>
      <c r="I107" s="157">
        <v>218975.64</v>
      </c>
    </row>
    <row r="108" spans="1:9">
      <c r="A108" s="6"/>
      <c r="B108" s="8" t="s">
        <v>1553</v>
      </c>
      <c r="C108" s="8">
        <v>0</v>
      </c>
      <c r="D108" s="157">
        <v>951669.07</v>
      </c>
      <c r="F108" s="6"/>
      <c r="G108" s="8">
        <v>402</v>
      </c>
      <c r="H108" s="8"/>
      <c r="I108" s="157">
        <v>206839.52</v>
      </c>
    </row>
    <row r="109" spans="1:9">
      <c r="A109" s="6"/>
      <c r="B109" s="8" t="s">
        <v>1554</v>
      </c>
      <c r="C109" s="8">
        <v>0</v>
      </c>
      <c r="D109" s="160">
        <v>4187.8100000000004</v>
      </c>
      <c r="F109" s="6"/>
      <c r="G109" s="8">
        <v>403</v>
      </c>
      <c r="H109" s="8"/>
      <c r="I109" s="160">
        <v>2433.46</v>
      </c>
    </row>
    <row r="110" spans="1:9">
      <c r="A110" s="6"/>
      <c r="B110" s="8" t="s">
        <v>1555</v>
      </c>
      <c r="C110" s="8">
        <v>0</v>
      </c>
      <c r="D110" s="157">
        <v>185456</v>
      </c>
      <c r="F110" s="6"/>
      <c r="G110" s="8">
        <v>415</v>
      </c>
      <c r="H110" s="8"/>
      <c r="I110" s="157">
        <v>291536.11</v>
      </c>
    </row>
    <row r="111" spans="1:9">
      <c r="A111" s="6"/>
      <c r="B111" s="8" t="s">
        <v>1555</v>
      </c>
      <c r="C111" s="160">
        <v>3312</v>
      </c>
      <c r="D111" s="8">
        <v>0</v>
      </c>
      <c r="F111" s="6"/>
      <c r="G111" s="8">
        <v>416</v>
      </c>
      <c r="H111" s="8"/>
      <c r="I111" s="160">
        <v>2662.08</v>
      </c>
    </row>
    <row r="112" spans="1:9">
      <c r="A112" s="6"/>
      <c r="B112" s="8" t="s">
        <v>1556</v>
      </c>
      <c r="C112" s="8">
        <v>0</v>
      </c>
      <c r="D112" s="157">
        <v>194527</v>
      </c>
      <c r="F112" s="6"/>
      <c r="G112" s="8">
        <v>426</v>
      </c>
      <c r="H112" s="8"/>
      <c r="I112" s="160">
        <v>60164.37</v>
      </c>
    </row>
    <row r="113" spans="1:9">
      <c r="A113" s="6"/>
      <c r="B113" s="8" t="s">
        <v>1556</v>
      </c>
      <c r="C113" s="160">
        <v>3474</v>
      </c>
      <c r="D113" s="8">
        <v>0</v>
      </c>
      <c r="F113" s="6"/>
      <c r="G113" s="8">
        <v>427</v>
      </c>
      <c r="H113" s="8"/>
      <c r="I113" s="157">
        <v>213217.23</v>
      </c>
    </row>
    <row r="114" spans="1:9">
      <c r="A114" s="6"/>
      <c r="B114" s="8" t="s">
        <v>1557</v>
      </c>
      <c r="C114" s="8">
        <v>0</v>
      </c>
      <c r="D114" s="157">
        <v>104825</v>
      </c>
      <c r="F114" s="6"/>
      <c r="G114" s="8">
        <v>428</v>
      </c>
      <c r="H114" s="8"/>
      <c r="I114" s="160">
        <v>1358.21</v>
      </c>
    </row>
    <row r="115" spans="1:9">
      <c r="A115" s="6"/>
      <c r="B115" s="8" t="s">
        <v>1557</v>
      </c>
      <c r="C115" s="160">
        <v>1872</v>
      </c>
      <c r="D115" s="8">
        <v>0</v>
      </c>
      <c r="F115" s="6"/>
      <c r="G115" s="8">
        <v>429</v>
      </c>
      <c r="H115" s="8"/>
      <c r="I115" s="160">
        <v>8890.24</v>
      </c>
    </row>
    <row r="116" spans="1:9">
      <c r="A116" s="6"/>
      <c r="B116" s="8" t="s">
        <v>1558</v>
      </c>
      <c r="C116" s="8">
        <v>0</v>
      </c>
      <c r="D116" s="157">
        <v>171524</v>
      </c>
      <c r="F116" s="6"/>
      <c r="G116" s="8">
        <v>432</v>
      </c>
      <c r="H116" s="8"/>
      <c r="I116" s="157">
        <v>111598.28</v>
      </c>
    </row>
    <row r="117" spans="1:9">
      <c r="A117" s="6"/>
      <c r="B117" s="8" t="s">
        <v>1558</v>
      </c>
      <c r="C117" s="160">
        <v>3063</v>
      </c>
      <c r="D117" s="8">
        <v>0</v>
      </c>
    </row>
    <row r="118" spans="1:9">
      <c r="A118" s="6"/>
      <c r="B118" s="8" t="s">
        <v>1559</v>
      </c>
      <c r="C118" s="157">
        <v>0</v>
      </c>
      <c r="D118" s="160">
        <v>29821</v>
      </c>
    </row>
    <row r="119" spans="1:9">
      <c r="A119" s="6"/>
      <c r="B119" s="8" t="s">
        <v>1559</v>
      </c>
      <c r="C119" s="157">
        <v>533</v>
      </c>
      <c r="D119" s="157">
        <v>0</v>
      </c>
    </row>
    <row r="120" spans="1:9">
      <c r="A120" s="6"/>
      <c r="B120" s="8" t="s">
        <v>1560</v>
      </c>
      <c r="C120" s="8">
        <v>0</v>
      </c>
      <c r="D120" s="157">
        <v>124782</v>
      </c>
    </row>
    <row r="121" spans="1:9">
      <c r="A121" s="6"/>
      <c r="B121" s="8" t="s">
        <v>1560</v>
      </c>
      <c r="C121" s="160">
        <v>2228</v>
      </c>
      <c r="D121" s="8">
        <v>0</v>
      </c>
    </row>
    <row r="122" spans="1:9">
      <c r="A122" s="6"/>
      <c r="B122" s="8" t="s">
        <v>1561</v>
      </c>
      <c r="C122" s="8">
        <v>0</v>
      </c>
      <c r="D122" s="157">
        <v>222957</v>
      </c>
    </row>
    <row r="123" spans="1:9">
      <c r="A123" s="6"/>
      <c r="B123" s="8" t="s">
        <v>1561</v>
      </c>
      <c r="C123" s="160">
        <v>3981</v>
      </c>
      <c r="D123" s="8">
        <v>0</v>
      </c>
    </row>
    <row r="124" spans="1:9">
      <c r="C124" s="174">
        <f>SUM(C2:C123)</f>
        <v>21412</v>
      </c>
      <c r="D124">
        <f>SUM(D2:D123)</f>
        <v>15340547.27</v>
      </c>
      <c r="I124" s="174">
        <f>SUM(I2:I123)</f>
        <v>15319264.020000001</v>
      </c>
    </row>
    <row r="125" spans="1:9">
      <c r="D125">
        <f>+D124-C124</f>
        <v>15319135.27</v>
      </c>
      <c r="I125">
        <f>+D125-I124</f>
        <v>-128.75000000186265</v>
      </c>
    </row>
  </sheetData>
  <pageMargins left="0.7" right="0.7" top="0.75" bottom="0.75" header="0.3" footer="0.3"/>
  <pageSetup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H118"/>
  <sheetViews>
    <sheetView workbookViewId="0">
      <selection activeCell="K76" sqref="K76"/>
    </sheetView>
  </sheetViews>
  <sheetFormatPr defaultRowHeight="15"/>
  <cols>
    <col min="1" max="1" width="9.140625" style="27"/>
    <col min="2" max="2" width="12.28515625" style="11" customWidth="1"/>
    <col min="3" max="3" width="34.42578125" style="27" bestFit="1" customWidth="1"/>
    <col min="4" max="4" width="18.5703125" style="27" bestFit="1" customWidth="1"/>
    <col min="5" max="5" width="15.85546875" style="27" bestFit="1" customWidth="1"/>
    <col min="6" max="6" width="15.7109375" style="27" bestFit="1" customWidth="1"/>
    <col min="7" max="7" width="16.85546875" style="27" bestFit="1" customWidth="1"/>
    <col min="8" max="8" width="12.85546875" style="27" customWidth="1"/>
    <col min="9" max="9" width="20" style="27" customWidth="1"/>
    <col min="10" max="16384" width="9.140625" style="27"/>
  </cols>
  <sheetData>
    <row r="1" spans="1:8" ht="30">
      <c r="A1" s="30"/>
      <c r="B1" s="146" t="s">
        <v>157</v>
      </c>
      <c r="C1" s="188" t="s">
        <v>216</v>
      </c>
      <c r="D1" s="188" t="s">
        <v>217</v>
      </c>
      <c r="E1" s="188" t="s">
        <v>218</v>
      </c>
      <c r="F1" s="188" t="s">
        <v>219</v>
      </c>
      <c r="G1" s="188" t="s">
        <v>220</v>
      </c>
    </row>
    <row r="2" spans="1:8">
      <c r="A2" s="80"/>
      <c r="B2" s="190" t="s">
        <v>584</v>
      </c>
      <c r="C2" s="33" t="s">
        <v>1451</v>
      </c>
      <c r="D2" s="34" t="s">
        <v>1641</v>
      </c>
      <c r="E2" s="34" t="s">
        <v>225</v>
      </c>
      <c r="F2" s="40" t="s">
        <v>1642</v>
      </c>
      <c r="G2" s="88">
        <v>1730247222.0599999</v>
      </c>
      <c r="H2" s="193" t="s">
        <v>223</v>
      </c>
    </row>
    <row r="3" spans="1:8">
      <c r="A3" s="80"/>
      <c r="B3" s="190" t="s">
        <v>584</v>
      </c>
      <c r="C3" s="33" t="s">
        <v>1452</v>
      </c>
      <c r="D3" s="34" t="s">
        <v>1643</v>
      </c>
      <c r="E3" s="34" t="s">
        <v>1644</v>
      </c>
      <c r="F3" s="40" t="s">
        <v>225</v>
      </c>
      <c r="G3" s="88">
        <v>519170650.63</v>
      </c>
      <c r="H3" s="193" t="s">
        <v>224</v>
      </c>
    </row>
    <row r="4" spans="1:8">
      <c r="D4" s="28"/>
      <c r="E4" s="28"/>
      <c r="F4" s="28"/>
      <c r="G4" s="31">
        <f>+G2-G3</f>
        <v>1211076571.4299998</v>
      </c>
    </row>
    <row r="5" spans="1:8">
      <c r="D5" s="28"/>
      <c r="E5" s="28"/>
      <c r="F5" s="28"/>
      <c r="G5" s="31"/>
    </row>
    <row r="6" spans="1:8">
      <c r="D6" s="28"/>
      <c r="E6" s="28"/>
      <c r="F6" s="28"/>
      <c r="G6" s="31"/>
    </row>
    <row r="7" spans="1:8" ht="30">
      <c r="A7" s="30"/>
      <c r="B7" s="146" t="s">
        <v>157</v>
      </c>
      <c r="C7" s="188" t="s">
        <v>216</v>
      </c>
      <c r="D7" s="188" t="s">
        <v>217</v>
      </c>
      <c r="E7" s="188" t="s">
        <v>218</v>
      </c>
      <c r="F7" s="188" t="s">
        <v>219</v>
      </c>
      <c r="G7" s="189" t="s">
        <v>220</v>
      </c>
    </row>
    <row r="8" spans="1:8">
      <c r="A8" s="80"/>
      <c r="B8" s="190" t="s">
        <v>860</v>
      </c>
      <c r="C8" s="33" t="s">
        <v>1453</v>
      </c>
      <c r="D8" s="34" t="s">
        <v>1645</v>
      </c>
      <c r="E8" s="40" t="s">
        <v>225</v>
      </c>
      <c r="F8" s="34" t="s">
        <v>1646</v>
      </c>
      <c r="G8" s="88">
        <v>625198781.52999997</v>
      </c>
      <c r="H8" s="193" t="s">
        <v>223</v>
      </c>
    </row>
    <row r="9" spans="1:8">
      <c r="A9" s="80"/>
      <c r="B9" s="190" t="s">
        <v>860</v>
      </c>
      <c r="C9" s="33" t="s">
        <v>1454</v>
      </c>
      <c r="D9" s="34" t="s">
        <v>1647</v>
      </c>
      <c r="E9" s="40" t="s">
        <v>1648</v>
      </c>
      <c r="F9" s="34" t="s">
        <v>225</v>
      </c>
      <c r="G9" s="88">
        <v>1836275345.4400001</v>
      </c>
      <c r="H9" s="193" t="s">
        <v>224</v>
      </c>
    </row>
    <row r="10" spans="1:8">
      <c r="G10" s="125">
        <f>+G8-G9</f>
        <v>-1211076563.9100001</v>
      </c>
    </row>
    <row r="11" spans="1:8">
      <c r="G11" s="125">
        <f>+G4+G10</f>
        <v>7.5199997425079346</v>
      </c>
      <c r="H11" s="27" t="s">
        <v>1455</v>
      </c>
    </row>
    <row r="15" spans="1:8">
      <c r="D15" s="12"/>
    </row>
    <row r="16" spans="1:8" ht="30">
      <c r="A16" s="12"/>
      <c r="B16" s="146" t="s">
        <v>157</v>
      </c>
      <c r="C16" s="146" t="s">
        <v>216</v>
      </c>
      <c r="D16" s="146" t="s">
        <v>217</v>
      </c>
      <c r="E16" s="146" t="s">
        <v>218</v>
      </c>
      <c r="F16" s="146" t="s">
        <v>219</v>
      </c>
      <c r="G16" s="146" t="s">
        <v>220</v>
      </c>
    </row>
    <row r="17" spans="1:7">
      <c r="A17" s="13"/>
      <c r="B17" s="190" t="s">
        <v>584</v>
      </c>
      <c r="C17" s="33" t="s">
        <v>1459</v>
      </c>
      <c r="D17" s="81" t="s">
        <v>1456</v>
      </c>
      <c r="E17" s="81" t="s">
        <v>225</v>
      </c>
      <c r="F17" s="81" t="s">
        <v>1649</v>
      </c>
      <c r="G17" s="81" t="s">
        <v>1650</v>
      </c>
    </row>
    <row r="18" spans="1:7">
      <c r="A18" s="13"/>
      <c r="B18" s="190" t="s">
        <v>584</v>
      </c>
      <c r="C18" s="33" t="s">
        <v>1460</v>
      </c>
      <c r="D18" s="81" t="s">
        <v>1651</v>
      </c>
      <c r="E18" s="81" t="s">
        <v>225</v>
      </c>
      <c r="F18" s="81" t="s">
        <v>225</v>
      </c>
      <c r="G18" s="81" t="s">
        <v>1651</v>
      </c>
    </row>
    <row r="19" spans="1:7">
      <c r="G19" s="27">
        <f>377030370-62397247.87</f>
        <v>314633122.13</v>
      </c>
    </row>
    <row r="22" spans="1:7" ht="30">
      <c r="A22" s="12"/>
      <c r="B22" s="146" t="s">
        <v>157</v>
      </c>
      <c r="C22" s="146" t="s">
        <v>216</v>
      </c>
      <c r="D22" s="146" t="s">
        <v>217</v>
      </c>
      <c r="E22" s="146" t="s">
        <v>218</v>
      </c>
      <c r="F22" s="146" t="s">
        <v>219</v>
      </c>
      <c r="G22" s="146" t="s">
        <v>220</v>
      </c>
    </row>
    <row r="23" spans="1:7">
      <c r="A23" s="13"/>
      <c r="B23" s="190" t="s">
        <v>1458</v>
      </c>
      <c r="C23" s="33" t="s">
        <v>1453</v>
      </c>
      <c r="D23" s="81" t="s">
        <v>1652</v>
      </c>
      <c r="E23" s="81" t="s">
        <v>225</v>
      </c>
      <c r="F23" s="81" t="s">
        <v>225</v>
      </c>
      <c r="G23" s="81" t="s">
        <v>1652</v>
      </c>
    </row>
    <row r="24" spans="1:7">
      <c r="A24" s="13"/>
      <c r="B24" s="190" t="s">
        <v>1458</v>
      </c>
      <c r="C24" s="33" t="s">
        <v>1454</v>
      </c>
      <c r="D24" s="81" t="s">
        <v>1457</v>
      </c>
      <c r="E24" s="81" t="s">
        <v>1653</v>
      </c>
      <c r="F24" s="81" t="s">
        <v>225</v>
      </c>
      <c r="G24" s="81" t="s">
        <v>1654</v>
      </c>
    </row>
    <row r="25" spans="1:7">
      <c r="G25" s="27">
        <f>4166076.38+310461674.89</f>
        <v>314627751.26999998</v>
      </c>
    </row>
    <row r="26" spans="1:7">
      <c r="G26" s="27">
        <f>+G19-G25</f>
        <v>5370.8600000143051</v>
      </c>
    </row>
    <row r="30" spans="1:7" ht="30">
      <c r="A30" s="12"/>
      <c r="B30" s="146" t="s">
        <v>157</v>
      </c>
      <c r="C30" s="146" t="s">
        <v>216</v>
      </c>
      <c r="D30" s="146" t="s">
        <v>217</v>
      </c>
      <c r="E30" s="146" t="s">
        <v>218</v>
      </c>
      <c r="F30" s="146" t="s">
        <v>219</v>
      </c>
      <c r="G30" s="146" t="s">
        <v>220</v>
      </c>
    </row>
    <row r="31" spans="1:7">
      <c r="A31" s="13"/>
      <c r="B31" s="190" t="s">
        <v>584</v>
      </c>
      <c r="C31" s="70" t="s">
        <v>1468</v>
      </c>
      <c r="D31" s="81" t="s">
        <v>1462</v>
      </c>
      <c r="E31" s="83" t="s">
        <v>1655</v>
      </c>
      <c r="F31" s="83" t="s">
        <v>1656</v>
      </c>
      <c r="G31" s="81" t="s">
        <v>1657</v>
      </c>
    </row>
    <row r="32" spans="1:7">
      <c r="A32" s="13"/>
      <c r="B32" s="190" t="s">
        <v>584</v>
      </c>
      <c r="C32" s="70" t="s">
        <v>1469</v>
      </c>
      <c r="D32" s="81" t="s">
        <v>1464</v>
      </c>
      <c r="E32" s="83" t="s">
        <v>1658</v>
      </c>
      <c r="F32" s="81" t="s">
        <v>225</v>
      </c>
      <c r="G32" s="81" t="s">
        <v>1659</v>
      </c>
    </row>
    <row r="33" spans="1:8">
      <c r="D33" s="27">
        <f>428160087.66-385019819.07</f>
        <v>43140268.590000033</v>
      </c>
      <c r="G33" s="27">
        <f>432744579.14-389373727.88</f>
        <v>43370851.25999999</v>
      </c>
    </row>
    <row r="36" spans="1:8" ht="30">
      <c r="A36" s="12"/>
      <c r="B36" s="146" t="s">
        <v>157</v>
      </c>
      <c r="C36" s="146" t="s">
        <v>216</v>
      </c>
      <c r="D36" s="146" t="s">
        <v>217</v>
      </c>
      <c r="E36" s="146" t="s">
        <v>218</v>
      </c>
      <c r="F36" s="146" t="s">
        <v>219</v>
      </c>
      <c r="G36" s="146" t="s">
        <v>220</v>
      </c>
    </row>
    <row r="37" spans="1:8">
      <c r="A37" s="13"/>
      <c r="B37" s="190" t="s">
        <v>588</v>
      </c>
      <c r="C37" s="33" t="s">
        <v>1453</v>
      </c>
      <c r="D37" s="81" t="s">
        <v>1465</v>
      </c>
      <c r="E37" s="81" t="s">
        <v>225</v>
      </c>
      <c r="F37" s="83" t="s">
        <v>1660</v>
      </c>
      <c r="G37" s="81" t="s">
        <v>1661</v>
      </c>
    </row>
    <row r="38" spans="1:8">
      <c r="A38" s="13"/>
      <c r="B38" s="190" t="s">
        <v>588</v>
      </c>
      <c r="C38" s="33" t="s">
        <v>1454</v>
      </c>
      <c r="D38" s="81" t="s">
        <v>1467</v>
      </c>
      <c r="E38" s="83" t="s">
        <v>1662</v>
      </c>
      <c r="F38" s="81" t="s">
        <v>1663</v>
      </c>
      <c r="G38" s="81" t="s">
        <v>1664</v>
      </c>
    </row>
    <row r="39" spans="1:8">
      <c r="D39" s="27">
        <f>389866796.89-431323620.68</f>
        <v>-41456823.790000021</v>
      </c>
      <c r="G39" s="27">
        <f>394220705.7-435908113.33</f>
        <v>-41687407.629999995</v>
      </c>
    </row>
    <row r="40" spans="1:8">
      <c r="D40" s="27">
        <f>+D33+D39</f>
        <v>1683444.8000000119</v>
      </c>
      <c r="G40" s="27">
        <f>+G33+G39</f>
        <v>1683443.6299999952</v>
      </c>
      <c r="H40" s="27" t="s">
        <v>1578</v>
      </c>
    </row>
    <row r="43" spans="1:8" ht="30">
      <c r="A43" s="12"/>
      <c r="B43" s="146" t="s">
        <v>157</v>
      </c>
      <c r="C43" s="188" t="s">
        <v>216</v>
      </c>
      <c r="D43" s="188" t="s">
        <v>217</v>
      </c>
      <c r="E43" s="188" t="s">
        <v>218</v>
      </c>
      <c r="F43" s="188" t="s">
        <v>219</v>
      </c>
      <c r="G43" s="188" t="s">
        <v>220</v>
      </c>
    </row>
    <row r="44" spans="1:8">
      <c r="A44" s="13"/>
      <c r="B44" s="190" t="s">
        <v>584</v>
      </c>
      <c r="C44" s="33" t="s">
        <v>93</v>
      </c>
      <c r="D44" s="34" t="s">
        <v>1665</v>
      </c>
      <c r="E44" s="34" t="s">
        <v>1592</v>
      </c>
      <c r="F44" s="34" t="s">
        <v>1666</v>
      </c>
      <c r="G44" s="34" t="s">
        <v>1667</v>
      </c>
    </row>
    <row r="45" spans="1:8">
      <c r="A45" s="13"/>
      <c r="B45" s="190" t="s">
        <v>584</v>
      </c>
      <c r="C45" s="33" t="s">
        <v>78</v>
      </c>
      <c r="D45" s="34" t="s">
        <v>1668</v>
      </c>
      <c r="E45" s="34" t="s">
        <v>1594</v>
      </c>
      <c r="F45" s="34" t="s">
        <v>1397</v>
      </c>
      <c r="G45" s="34" t="s">
        <v>1398</v>
      </c>
    </row>
    <row r="46" spans="1:8">
      <c r="D46" s="27">
        <f>101836476.69-23582595.91</f>
        <v>78253880.780000001</v>
      </c>
      <c r="F46" s="27">
        <f>7018920.23-1725</f>
        <v>7017195.2300000004</v>
      </c>
      <c r="G46" s="27">
        <f>119766207.2-23582595.91</f>
        <v>96183611.290000007</v>
      </c>
    </row>
    <row r="48" spans="1:8" ht="30">
      <c r="A48" s="12"/>
      <c r="B48" s="146" t="s">
        <v>157</v>
      </c>
      <c r="C48" s="188" t="s">
        <v>216</v>
      </c>
      <c r="D48" s="188" t="s">
        <v>217</v>
      </c>
      <c r="E48" s="188" t="s">
        <v>218</v>
      </c>
      <c r="F48" s="188" t="s">
        <v>219</v>
      </c>
      <c r="G48" s="188" t="s">
        <v>220</v>
      </c>
    </row>
    <row r="49" spans="1:8">
      <c r="A49" s="13"/>
      <c r="B49" s="190" t="s">
        <v>1612</v>
      </c>
      <c r="C49" s="33" t="s">
        <v>221</v>
      </c>
      <c r="D49" s="34" t="s">
        <v>1669</v>
      </c>
      <c r="E49" s="34" t="s">
        <v>1399</v>
      </c>
      <c r="F49" s="34" t="s">
        <v>1595</v>
      </c>
      <c r="G49" s="34" t="s">
        <v>1401</v>
      </c>
    </row>
    <row r="50" spans="1:8">
      <c r="A50" s="13"/>
      <c r="B50" s="190" t="s">
        <v>1612</v>
      </c>
      <c r="C50" s="33" t="s">
        <v>222</v>
      </c>
      <c r="D50" s="34" t="s">
        <v>1670</v>
      </c>
      <c r="E50" s="34" t="s">
        <v>1671</v>
      </c>
      <c r="F50" s="34" t="s">
        <v>1580</v>
      </c>
      <c r="G50" s="34" t="s">
        <v>1672</v>
      </c>
    </row>
    <row r="51" spans="1:8">
      <c r="D51" s="27">
        <f>29862464.63-93853952.98</f>
        <v>-63991488.350000009</v>
      </c>
      <c r="G51" s="27">
        <f>111704823.52-29862464.63</f>
        <v>81842358.890000001</v>
      </c>
    </row>
    <row r="52" spans="1:8">
      <c r="D52" s="27">
        <f>+D46+D51</f>
        <v>14262392.429999992</v>
      </c>
      <c r="E52" s="27">
        <f>+G52-D52</f>
        <v>78859.970000013709</v>
      </c>
      <c r="G52" s="27">
        <f>+G46-G51</f>
        <v>14341252.400000006</v>
      </c>
      <c r="H52" s="27" t="s">
        <v>1673</v>
      </c>
    </row>
    <row r="55" spans="1:8">
      <c r="B55" s="12"/>
      <c r="C55" s="12"/>
      <c r="D55" s="12"/>
      <c r="E55" s="12"/>
    </row>
    <row r="56" spans="1:8">
      <c r="B56" s="13"/>
      <c r="C56" s="98"/>
      <c r="D56" s="13"/>
      <c r="E56" s="98"/>
    </row>
    <row r="57" spans="1:8" ht="30">
      <c r="A57" s="12"/>
      <c r="B57" s="146" t="s">
        <v>157</v>
      </c>
      <c r="C57" s="146" t="s">
        <v>216</v>
      </c>
      <c r="D57" s="146" t="s">
        <v>217</v>
      </c>
      <c r="E57" s="146" t="s">
        <v>218</v>
      </c>
      <c r="F57" s="146" t="s">
        <v>219</v>
      </c>
      <c r="G57" s="146" t="s">
        <v>220</v>
      </c>
    </row>
    <row r="58" spans="1:8">
      <c r="A58" s="13"/>
      <c r="B58" s="194" t="s">
        <v>584</v>
      </c>
      <c r="C58" s="70" t="s">
        <v>93</v>
      </c>
      <c r="D58" s="81">
        <v>56293603.439999998</v>
      </c>
      <c r="E58" s="81" t="s">
        <v>1592</v>
      </c>
      <c r="F58" s="81" t="s">
        <v>1593</v>
      </c>
      <c r="G58" s="82">
        <v>108853671.92</v>
      </c>
    </row>
    <row r="59" spans="1:8">
      <c r="A59" s="13"/>
      <c r="B59" s="194" t="s">
        <v>584</v>
      </c>
      <c r="C59" s="70" t="s">
        <v>78</v>
      </c>
      <c r="D59" s="81">
        <v>5910732.3499999996</v>
      </c>
      <c r="E59" s="83" t="s">
        <v>1594</v>
      </c>
      <c r="F59" s="83" t="s">
        <v>1397</v>
      </c>
      <c r="G59" s="82">
        <v>23582595.91</v>
      </c>
    </row>
    <row r="60" spans="1:8">
      <c r="D60" s="27">
        <f>+D58-D59</f>
        <v>50382871.089999996</v>
      </c>
      <c r="G60" s="27">
        <f>+G58-G59</f>
        <v>85271076.010000005</v>
      </c>
    </row>
    <row r="62" spans="1:8" ht="30">
      <c r="A62" s="12"/>
      <c r="B62" s="146" t="s">
        <v>157</v>
      </c>
      <c r="C62" s="146" t="s">
        <v>216</v>
      </c>
      <c r="D62" s="146" t="s">
        <v>217</v>
      </c>
      <c r="E62" s="146" t="s">
        <v>218</v>
      </c>
      <c r="F62" s="146" t="s">
        <v>219</v>
      </c>
      <c r="G62" s="146" t="s">
        <v>220</v>
      </c>
    </row>
    <row r="63" spans="1:8">
      <c r="A63" s="13"/>
      <c r="B63" s="194" t="s">
        <v>1611</v>
      </c>
      <c r="C63" s="70" t="s">
        <v>221</v>
      </c>
      <c r="D63" s="81">
        <v>12190601.08</v>
      </c>
      <c r="E63" s="83" t="s">
        <v>1399</v>
      </c>
      <c r="F63" s="83" t="s">
        <v>1595</v>
      </c>
      <c r="G63" s="82">
        <v>29862464.629999999</v>
      </c>
    </row>
    <row r="64" spans="1:8">
      <c r="A64" s="13"/>
      <c r="B64" s="194" t="s">
        <v>1611</v>
      </c>
      <c r="C64" s="70" t="s">
        <v>222</v>
      </c>
      <c r="D64" s="81">
        <v>49811070.770000003</v>
      </c>
      <c r="E64" s="81" t="s">
        <v>1596</v>
      </c>
      <c r="F64" s="81" t="s">
        <v>1580</v>
      </c>
      <c r="G64" s="82">
        <v>100792288.23999999</v>
      </c>
    </row>
    <row r="65" spans="1:8">
      <c r="D65" s="27">
        <f>+D63-D64</f>
        <v>-37620469.690000005</v>
      </c>
      <c r="G65" s="27">
        <f>+G63-G64</f>
        <v>-70929823.609999999</v>
      </c>
    </row>
    <row r="66" spans="1:8">
      <c r="D66" s="27">
        <f>+D60+D65</f>
        <v>12762401.399999991</v>
      </c>
      <c r="G66" s="27">
        <f>+G60+G65</f>
        <v>14341252.400000006</v>
      </c>
    </row>
    <row r="67" spans="1:8">
      <c r="E67" s="27">
        <f>+G66-D66</f>
        <v>1578851.0000000149</v>
      </c>
    </row>
    <row r="71" spans="1:8" ht="30">
      <c r="A71" s="12"/>
      <c r="B71" s="146" t="s">
        <v>157</v>
      </c>
      <c r="C71" s="146" t="s">
        <v>216</v>
      </c>
      <c r="D71" s="146" t="s">
        <v>217</v>
      </c>
      <c r="E71" s="146" t="s">
        <v>218</v>
      </c>
      <c r="F71" s="146" t="s">
        <v>219</v>
      </c>
      <c r="G71" s="146" t="s">
        <v>220</v>
      </c>
    </row>
    <row r="72" spans="1:8">
      <c r="A72" s="13"/>
      <c r="B72" s="194" t="s">
        <v>584</v>
      </c>
      <c r="C72" s="70" t="s">
        <v>229</v>
      </c>
      <c r="D72" s="81" t="s">
        <v>225</v>
      </c>
      <c r="E72" s="81" t="s">
        <v>225</v>
      </c>
      <c r="F72" s="81" t="s">
        <v>225</v>
      </c>
      <c r="G72" s="81" t="s">
        <v>225</v>
      </c>
    </row>
    <row r="73" spans="1:8">
      <c r="A73" s="13"/>
      <c r="B73" s="194" t="s">
        <v>584</v>
      </c>
      <c r="C73" s="70" t="s">
        <v>66</v>
      </c>
      <c r="D73" s="81" t="s">
        <v>1597</v>
      </c>
      <c r="E73" s="83" t="s">
        <v>1598</v>
      </c>
      <c r="F73" s="83" t="s">
        <v>1599</v>
      </c>
      <c r="G73" s="81" t="s">
        <v>1600</v>
      </c>
    </row>
    <row r="76" spans="1:8" ht="30">
      <c r="A76" s="12"/>
      <c r="B76" s="146" t="s">
        <v>157</v>
      </c>
      <c r="C76" s="146" t="s">
        <v>216</v>
      </c>
      <c r="D76" s="146" t="s">
        <v>217</v>
      </c>
      <c r="E76" s="146" t="s">
        <v>218</v>
      </c>
      <c r="F76" s="146" t="s">
        <v>219</v>
      </c>
      <c r="G76" s="146" t="s">
        <v>220</v>
      </c>
    </row>
    <row r="77" spans="1:8">
      <c r="A77" s="13"/>
      <c r="B77" s="194" t="s">
        <v>1610</v>
      </c>
      <c r="C77" s="70" t="s">
        <v>221</v>
      </c>
      <c r="D77" s="81" t="s">
        <v>1410</v>
      </c>
      <c r="E77" s="83" t="s">
        <v>1601</v>
      </c>
      <c r="F77" s="83" t="s">
        <v>1602</v>
      </c>
      <c r="G77" s="81" t="s">
        <v>1603</v>
      </c>
    </row>
    <row r="78" spans="1:8">
      <c r="A78" s="13"/>
      <c r="B78" s="194" t="s">
        <v>1610</v>
      </c>
      <c r="C78" s="70" t="s">
        <v>222</v>
      </c>
      <c r="D78" s="81" t="s">
        <v>225</v>
      </c>
      <c r="E78" s="81" t="s">
        <v>225</v>
      </c>
      <c r="F78" s="81" t="s">
        <v>225</v>
      </c>
      <c r="G78" s="81" t="s">
        <v>225</v>
      </c>
    </row>
    <row r="79" spans="1:8">
      <c r="G79" s="27">
        <f>105334637.02-105332836.26</f>
        <v>1800.7599999904633</v>
      </c>
      <c r="H79" s="27" t="s">
        <v>1604</v>
      </c>
    </row>
    <row r="83" spans="1:8" ht="30">
      <c r="A83" s="12"/>
      <c r="B83" s="146" t="s">
        <v>157</v>
      </c>
      <c r="C83" s="146" t="s">
        <v>216</v>
      </c>
      <c r="D83" s="146" t="s">
        <v>217</v>
      </c>
      <c r="E83" s="146" t="s">
        <v>218</v>
      </c>
      <c r="F83" s="146" t="s">
        <v>219</v>
      </c>
      <c r="G83" s="146" t="s">
        <v>220</v>
      </c>
    </row>
    <row r="84" spans="1:8">
      <c r="A84" s="13"/>
      <c r="B84" s="194" t="s">
        <v>584</v>
      </c>
      <c r="C84" s="70" t="s">
        <v>95</v>
      </c>
      <c r="D84" s="81" t="s">
        <v>1605</v>
      </c>
      <c r="E84" s="81" t="s">
        <v>1601</v>
      </c>
      <c r="F84" s="83" t="s">
        <v>1674</v>
      </c>
      <c r="G84" s="81" t="s">
        <v>1675</v>
      </c>
    </row>
    <row r="85" spans="1:8">
      <c r="A85" s="13"/>
      <c r="B85" s="194" t="s">
        <v>584</v>
      </c>
      <c r="C85" s="70" t="s">
        <v>232</v>
      </c>
      <c r="D85" s="81" t="s">
        <v>1606</v>
      </c>
      <c r="E85" s="83" t="s">
        <v>1676</v>
      </c>
      <c r="F85" s="81" t="s">
        <v>225</v>
      </c>
      <c r="G85" s="81" t="s">
        <v>1677</v>
      </c>
    </row>
    <row r="86" spans="1:8">
      <c r="D86" s="27">
        <f>99985129.22-1810265.33</f>
        <v>98174863.890000001</v>
      </c>
      <c r="G86" s="27">
        <f>132939681.86-1917839.88</f>
        <v>131021841.98</v>
      </c>
    </row>
    <row r="89" spans="1:8" ht="30">
      <c r="A89" s="12"/>
      <c r="B89" s="146" t="s">
        <v>157</v>
      </c>
      <c r="C89" s="146" t="s">
        <v>216</v>
      </c>
      <c r="D89" s="146" t="s">
        <v>217</v>
      </c>
      <c r="E89" s="146" t="s">
        <v>218</v>
      </c>
      <c r="F89" s="146" t="s">
        <v>219</v>
      </c>
      <c r="G89" s="146" t="s">
        <v>220</v>
      </c>
    </row>
    <row r="90" spans="1:8">
      <c r="A90" s="13"/>
      <c r="B90" s="194" t="s">
        <v>861</v>
      </c>
      <c r="C90" s="70" t="s">
        <v>221</v>
      </c>
      <c r="D90" s="81" t="s">
        <v>1607</v>
      </c>
      <c r="E90" s="81" t="s">
        <v>225</v>
      </c>
      <c r="F90" s="83" t="s">
        <v>1678</v>
      </c>
      <c r="G90" s="81" t="s">
        <v>1679</v>
      </c>
    </row>
    <row r="91" spans="1:8">
      <c r="A91" s="13"/>
      <c r="B91" s="194" t="s">
        <v>861</v>
      </c>
      <c r="C91" s="70" t="s">
        <v>222</v>
      </c>
      <c r="D91" s="81" t="s">
        <v>1608</v>
      </c>
      <c r="E91" s="83" t="s">
        <v>1680</v>
      </c>
      <c r="F91" s="81" t="s">
        <v>1609</v>
      </c>
      <c r="G91" s="81" t="s">
        <v>1681</v>
      </c>
    </row>
    <row r="92" spans="1:8">
      <c r="D92" s="27">
        <f>23193247.19-116980816.75</f>
        <v>-93787569.560000002</v>
      </c>
      <c r="F92" s="27">
        <f>4365326.24-330318.24</f>
        <v>4035008</v>
      </c>
      <c r="G92" s="27">
        <f>23300841.47-145900368.66</f>
        <v>-122599527.19</v>
      </c>
    </row>
    <row r="93" spans="1:8">
      <c r="D93" s="27">
        <f>+D86+D92</f>
        <v>4387294.3299999982</v>
      </c>
      <c r="G93" s="27">
        <f>+G86+G92</f>
        <v>8422314.7900000066</v>
      </c>
      <c r="H93" s="27" t="s">
        <v>1682</v>
      </c>
    </row>
    <row r="94" spans="1:8">
      <c r="E94" s="27">
        <f>+G93-D93</f>
        <v>4035020.4600000083</v>
      </c>
    </row>
    <row r="96" spans="1:8" ht="30">
      <c r="A96" s="30"/>
      <c r="B96" s="146" t="s">
        <v>157</v>
      </c>
      <c r="C96" s="188" t="s">
        <v>216</v>
      </c>
      <c r="D96" s="188" t="s">
        <v>217</v>
      </c>
      <c r="E96" s="188" t="s">
        <v>218</v>
      </c>
      <c r="F96" s="188" t="s">
        <v>219</v>
      </c>
      <c r="G96" s="188" t="s">
        <v>220</v>
      </c>
    </row>
    <row r="97" spans="1:8">
      <c r="A97" s="80"/>
      <c r="B97" s="190" t="s">
        <v>584</v>
      </c>
      <c r="C97" s="33" t="s">
        <v>103</v>
      </c>
      <c r="D97" s="40" t="s">
        <v>1683</v>
      </c>
      <c r="E97" s="34" t="s">
        <v>225</v>
      </c>
      <c r="F97" s="40" t="s">
        <v>1684</v>
      </c>
      <c r="G97" s="88">
        <v>3631815.6</v>
      </c>
      <c r="H97" s="27" t="s">
        <v>223</v>
      </c>
    </row>
    <row r="98" spans="1:8">
      <c r="A98" s="80"/>
      <c r="B98" s="190" t="s">
        <v>584</v>
      </c>
      <c r="C98" s="33" t="s">
        <v>365</v>
      </c>
      <c r="D98" s="34" t="s">
        <v>225</v>
      </c>
      <c r="E98" s="40" t="s">
        <v>1685</v>
      </c>
      <c r="F98" s="34" t="s">
        <v>1686</v>
      </c>
      <c r="G98" s="88">
        <v>1280570.83</v>
      </c>
      <c r="H98" s="193" t="s">
        <v>224</v>
      </c>
    </row>
    <row r="99" spans="1:8">
      <c r="G99" s="125">
        <f>+G97-G98</f>
        <v>2351244.77</v>
      </c>
    </row>
    <row r="102" spans="1:8" ht="30">
      <c r="A102" s="30"/>
      <c r="B102" s="146" t="s">
        <v>157</v>
      </c>
      <c r="C102" s="188" t="s">
        <v>216</v>
      </c>
      <c r="D102" s="188" t="s">
        <v>217</v>
      </c>
      <c r="E102" s="188" t="s">
        <v>218</v>
      </c>
      <c r="F102" s="188" t="s">
        <v>219</v>
      </c>
      <c r="G102" s="188" t="s">
        <v>220</v>
      </c>
    </row>
    <row r="103" spans="1:8">
      <c r="A103" s="80"/>
      <c r="B103" s="190" t="s">
        <v>1613</v>
      </c>
      <c r="C103" s="33" t="s">
        <v>221</v>
      </c>
      <c r="D103" s="34" t="s">
        <v>225</v>
      </c>
      <c r="E103" s="34" t="s">
        <v>1687</v>
      </c>
      <c r="F103" s="40" t="s">
        <v>1688</v>
      </c>
      <c r="G103" s="88">
        <v>1280570.83</v>
      </c>
      <c r="H103" s="193" t="s">
        <v>223</v>
      </c>
    </row>
    <row r="104" spans="1:8">
      <c r="A104" s="80"/>
      <c r="B104" s="190" t="s">
        <v>1613</v>
      </c>
      <c r="C104" s="33" t="s">
        <v>222</v>
      </c>
      <c r="D104" s="40" t="s">
        <v>1689</v>
      </c>
      <c r="E104" s="40" t="s">
        <v>1690</v>
      </c>
      <c r="F104" s="34" t="s">
        <v>225</v>
      </c>
      <c r="G104" s="88">
        <v>3631816.86</v>
      </c>
      <c r="H104" s="27" t="s">
        <v>224</v>
      </c>
    </row>
    <row r="105" spans="1:8">
      <c r="G105" s="125">
        <f>+G103-G104</f>
        <v>-2351246.0299999998</v>
      </c>
    </row>
    <row r="106" spans="1:8">
      <c r="G106" s="27">
        <f>+G99+G105</f>
        <v>-1.2599999997764826</v>
      </c>
      <c r="H106" s="27" t="s">
        <v>1691</v>
      </c>
    </row>
    <row r="109" spans="1:8" ht="30">
      <c r="A109" s="12"/>
      <c r="B109" s="146" t="s">
        <v>157</v>
      </c>
      <c r="C109" s="188" t="s">
        <v>216</v>
      </c>
      <c r="D109" s="188" t="s">
        <v>217</v>
      </c>
      <c r="E109" s="188" t="s">
        <v>218</v>
      </c>
      <c r="F109" s="188" t="s">
        <v>219</v>
      </c>
      <c r="G109" s="188" t="s">
        <v>220</v>
      </c>
    </row>
    <row r="110" spans="1:8">
      <c r="A110" s="13"/>
      <c r="B110" s="190" t="s">
        <v>584</v>
      </c>
      <c r="C110" s="33" t="s">
        <v>274</v>
      </c>
      <c r="D110" s="34" t="s">
        <v>1692</v>
      </c>
      <c r="E110" s="34" t="s">
        <v>225</v>
      </c>
      <c r="F110" s="40" t="s">
        <v>1693</v>
      </c>
      <c r="G110" s="88">
        <v>19319139.329999998</v>
      </c>
      <c r="H110" s="193" t="s">
        <v>223</v>
      </c>
    </row>
    <row r="111" spans="1:8">
      <c r="A111" s="13"/>
      <c r="B111" s="190" t="s">
        <v>584</v>
      </c>
      <c r="C111" s="33" t="s">
        <v>376</v>
      </c>
      <c r="D111" s="34" t="s">
        <v>1614</v>
      </c>
      <c r="E111" s="34" t="s">
        <v>225</v>
      </c>
      <c r="F111" s="34" t="s">
        <v>225</v>
      </c>
      <c r="G111" s="88">
        <v>11072243.17</v>
      </c>
      <c r="H111" s="193" t="s">
        <v>224</v>
      </c>
    </row>
    <row r="112" spans="1:8">
      <c r="G112" s="125">
        <f>+G110-G111</f>
        <v>8246896.1599999983</v>
      </c>
    </row>
    <row r="114" spans="1:8" ht="30">
      <c r="A114" s="12"/>
      <c r="B114" s="146" t="s">
        <v>157</v>
      </c>
      <c r="C114" s="188" t="s">
        <v>216</v>
      </c>
      <c r="D114" s="188" t="s">
        <v>217</v>
      </c>
      <c r="E114" s="188" t="s">
        <v>218</v>
      </c>
      <c r="F114" s="188" t="s">
        <v>219</v>
      </c>
      <c r="G114" s="188" t="s">
        <v>220</v>
      </c>
    </row>
    <row r="115" spans="1:8">
      <c r="A115" s="13"/>
      <c r="B115" s="190" t="s">
        <v>1616</v>
      </c>
      <c r="C115" s="33" t="s">
        <v>221</v>
      </c>
      <c r="D115" s="34" t="s">
        <v>1615</v>
      </c>
      <c r="E115" s="34" t="s">
        <v>225</v>
      </c>
      <c r="F115" s="34" t="s">
        <v>225</v>
      </c>
      <c r="G115" s="88">
        <v>11072243.189999999</v>
      </c>
      <c r="H115" s="193" t="s">
        <v>223</v>
      </c>
    </row>
    <row r="116" spans="1:8">
      <c r="A116" s="13"/>
      <c r="B116" s="190" t="s">
        <v>1616</v>
      </c>
      <c r="C116" s="33" t="s">
        <v>222</v>
      </c>
      <c r="D116" s="34" t="s">
        <v>1694</v>
      </c>
      <c r="E116" s="34" t="s">
        <v>1695</v>
      </c>
      <c r="F116" s="34" t="s">
        <v>225</v>
      </c>
      <c r="G116" s="88">
        <v>19319530.039999999</v>
      </c>
      <c r="H116" s="193" t="s">
        <v>224</v>
      </c>
    </row>
    <row r="117" spans="1:8">
      <c r="G117" s="213">
        <f>+G115-G116</f>
        <v>-8247286.8499999996</v>
      </c>
    </row>
    <row r="118" spans="1:8">
      <c r="G118" s="125">
        <f>+G112+G117</f>
        <v>-390.6900000013411</v>
      </c>
      <c r="H118" s="214" t="s">
        <v>1696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I59"/>
  <sheetViews>
    <sheetView workbookViewId="0">
      <selection activeCell="K76" sqref="K76"/>
    </sheetView>
  </sheetViews>
  <sheetFormatPr defaultRowHeight="15"/>
  <cols>
    <col min="1" max="1" width="9.140625" style="27"/>
    <col min="2" max="2" width="11.85546875" style="27" bestFit="1" customWidth="1"/>
    <col min="3" max="3" width="9.140625" style="27"/>
    <col min="4" max="4" width="11.7109375" style="27" bestFit="1" customWidth="1"/>
    <col min="5" max="6" width="9.140625" style="27"/>
    <col min="7" max="7" width="16.28515625" style="27" bestFit="1" customWidth="1"/>
    <col min="8" max="8" width="11.85546875" style="27" bestFit="1" customWidth="1"/>
    <col min="9" max="9" width="11.7109375" style="27" bestFit="1" customWidth="1"/>
    <col min="10" max="16384" width="9.140625" style="27"/>
  </cols>
  <sheetData>
    <row r="1" spans="1:9">
      <c r="A1" s="30"/>
      <c r="B1" s="30" t="s">
        <v>305</v>
      </c>
      <c r="C1" s="30" t="s">
        <v>218</v>
      </c>
      <c r="D1" s="30" t="s">
        <v>219</v>
      </c>
      <c r="F1" s="30"/>
      <c r="G1" s="30" t="s">
        <v>28</v>
      </c>
      <c r="H1" s="30" t="s">
        <v>305</v>
      </c>
      <c r="I1" s="30" t="s">
        <v>218</v>
      </c>
    </row>
    <row r="2" spans="1:9">
      <c r="A2" s="80"/>
      <c r="B2" s="116" t="s">
        <v>1282</v>
      </c>
      <c r="C2" s="116">
        <v>0</v>
      </c>
      <c r="D2" s="116">
        <v>1506215.88</v>
      </c>
      <c r="F2" s="80"/>
      <c r="G2" s="116">
        <v>10</v>
      </c>
      <c r="H2" s="116"/>
      <c r="I2" s="197">
        <v>1231683.8899999999</v>
      </c>
    </row>
    <row r="3" spans="1:9">
      <c r="A3" s="80"/>
      <c r="B3" s="116" t="s">
        <v>1283</v>
      </c>
      <c r="C3" s="116">
        <v>0</v>
      </c>
      <c r="D3" s="197">
        <v>1231683.8899999999</v>
      </c>
      <c r="F3" s="80"/>
      <c r="G3" s="116">
        <v>21</v>
      </c>
      <c r="H3" s="116"/>
      <c r="I3" s="197">
        <v>3391418.6</v>
      </c>
    </row>
    <row r="4" spans="1:9">
      <c r="A4" s="80"/>
      <c r="B4" s="116" t="s">
        <v>1284</v>
      </c>
      <c r="C4" s="116">
        <v>0</v>
      </c>
      <c r="D4" s="197">
        <v>3391418.6</v>
      </c>
      <c r="F4" s="80"/>
      <c r="G4" s="116">
        <v>31</v>
      </c>
      <c r="H4" s="116"/>
      <c r="I4" s="197">
        <v>1388686.87</v>
      </c>
    </row>
    <row r="5" spans="1:9">
      <c r="A5" s="80"/>
      <c r="B5" s="116" t="s">
        <v>1285</v>
      </c>
      <c r="C5" s="116">
        <v>0</v>
      </c>
      <c r="D5" s="197">
        <v>1388686.87</v>
      </c>
      <c r="F5" s="80"/>
      <c r="G5" s="116">
        <v>36</v>
      </c>
      <c r="H5" s="116"/>
      <c r="I5" s="197">
        <v>560714.59</v>
      </c>
    </row>
    <row r="6" spans="1:9">
      <c r="A6" s="80"/>
      <c r="B6" s="116" t="s">
        <v>1286</v>
      </c>
      <c r="C6" s="116">
        <v>0</v>
      </c>
      <c r="D6" s="197">
        <v>560714.59</v>
      </c>
      <c r="F6" s="80"/>
      <c r="G6" s="116">
        <v>38</v>
      </c>
      <c r="H6" s="116"/>
      <c r="I6" s="197">
        <v>102913.69</v>
      </c>
    </row>
    <row r="7" spans="1:9">
      <c r="A7" s="80"/>
      <c r="B7" s="116" t="s">
        <v>1287</v>
      </c>
      <c r="C7" s="116">
        <v>0</v>
      </c>
      <c r="D7" s="197">
        <v>102913.69</v>
      </c>
      <c r="F7" s="80"/>
      <c r="G7" s="116">
        <v>52</v>
      </c>
      <c r="H7" s="116"/>
      <c r="I7" s="197">
        <v>1111376.6100000001</v>
      </c>
    </row>
    <row r="8" spans="1:9">
      <c r="A8" s="80"/>
      <c r="B8" s="116" t="s">
        <v>1288</v>
      </c>
      <c r="C8" s="116">
        <v>0</v>
      </c>
      <c r="D8" s="197">
        <v>1111376.6100000001</v>
      </c>
      <c r="F8" s="80"/>
      <c r="G8" s="116">
        <v>61</v>
      </c>
      <c r="H8" s="116"/>
      <c r="I8" s="197">
        <v>1623164.69</v>
      </c>
    </row>
    <row r="9" spans="1:9">
      <c r="A9" s="80"/>
      <c r="B9" s="116" t="s">
        <v>1289</v>
      </c>
      <c r="C9" s="116">
        <v>0</v>
      </c>
      <c r="D9" s="197">
        <v>1623164.69</v>
      </c>
      <c r="F9" s="80"/>
      <c r="G9" s="116">
        <v>92</v>
      </c>
      <c r="H9" s="116"/>
      <c r="I9" s="197">
        <v>1519518.67</v>
      </c>
    </row>
    <row r="10" spans="1:9">
      <c r="A10" s="80"/>
      <c r="B10" s="116" t="s">
        <v>1290</v>
      </c>
      <c r="C10" s="116">
        <v>0</v>
      </c>
      <c r="D10" s="197">
        <v>1293833.49</v>
      </c>
      <c r="F10" s="80"/>
      <c r="G10" s="116" t="s">
        <v>1279</v>
      </c>
      <c r="H10" s="116"/>
      <c r="I10" s="197">
        <v>356151.06</v>
      </c>
    </row>
    <row r="11" spans="1:9">
      <c r="A11" s="80"/>
      <c r="B11" s="116" t="s">
        <v>789</v>
      </c>
      <c r="C11" s="116">
        <v>0</v>
      </c>
      <c r="D11" s="197">
        <v>409829.92</v>
      </c>
      <c r="F11" s="80"/>
      <c r="G11" s="116">
        <v>117</v>
      </c>
      <c r="H11" s="116"/>
      <c r="I11" s="197">
        <v>3943335.99</v>
      </c>
    </row>
    <row r="12" spans="1:9">
      <c r="A12" s="80"/>
      <c r="B12" s="116" t="s">
        <v>796</v>
      </c>
      <c r="C12" s="116">
        <v>0</v>
      </c>
      <c r="D12" s="197">
        <v>1656714.65</v>
      </c>
      <c r="F12" s="80"/>
      <c r="G12" s="116">
        <v>123</v>
      </c>
      <c r="H12" s="116"/>
      <c r="I12" s="197">
        <v>2192217.21</v>
      </c>
    </row>
    <row r="13" spans="1:9">
      <c r="A13" s="80"/>
      <c r="B13" s="116" t="s">
        <v>812</v>
      </c>
      <c r="C13" s="116">
        <v>0</v>
      </c>
      <c r="D13" s="197">
        <v>1812624.09</v>
      </c>
      <c r="F13" s="80"/>
      <c r="G13" s="116">
        <v>141</v>
      </c>
      <c r="H13" s="116"/>
      <c r="I13" s="196">
        <v>86919.58</v>
      </c>
    </row>
    <row r="14" spans="1:9">
      <c r="A14" s="80"/>
      <c r="B14" s="116" t="s">
        <v>825</v>
      </c>
      <c r="C14" s="116">
        <v>0</v>
      </c>
      <c r="D14" s="197">
        <v>1397974.33</v>
      </c>
      <c r="F14" s="80"/>
      <c r="G14" s="116">
        <v>144</v>
      </c>
      <c r="H14" s="116"/>
      <c r="I14" s="197">
        <v>1518619.43</v>
      </c>
    </row>
    <row r="15" spans="1:9">
      <c r="A15" s="80"/>
      <c r="B15" s="116" t="s">
        <v>830</v>
      </c>
      <c r="C15" s="116">
        <v>0</v>
      </c>
      <c r="D15" s="197">
        <v>1591072.38</v>
      </c>
      <c r="F15" s="80"/>
      <c r="G15" s="116">
        <v>149</v>
      </c>
      <c r="H15" s="116"/>
      <c r="I15" s="196">
        <v>48393.39</v>
      </c>
    </row>
    <row r="16" spans="1:9">
      <c r="A16" s="80"/>
      <c r="B16" s="116" t="s">
        <v>835</v>
      </c>
      <c r="C16" s="116">
        <v>0</v>
      </c>
      <c r="D16" s="197">
        <v>189888.08</v>
      </c>
      <c r="F16" s="80"/>
      <c r="G16" s="116">
        <v>150</v>
      </c>
      <c r="H16" s="116"/>
      <c r="I16" s="196">
        <v>1131.8399999999999</v>
      </c>
    </row>
    <row r="17" spans="1:9">
      <c r="A17" s="80"/>
      <c r="B17" s="116" t="s">
        <v>883</v>
      </c>
      <c r="C17" s="116">
        <v>0</v>
      </c>
      <c r="D17" s="197">
        <v>154474.16</v>
      </c>
      <c r="F17" s="80"/>
      <c r="G17" s="116">
        <v>151</v>
      </c>
      <c r="H17" s="116"/>
      <c r="I17" s="196">
        <v>24923.62</v>
      </c>
    </row>
    <row r="18" spans="1:9">
      <c r="A18" s="80"/>
      <c r="B18" s="116" t="s">
        <v>898</v>
      </c>
      <c r="C18" s="116">
        <v>0</v>
      </c>
      <c r="D18" s="197">
        <v>616996.21</v>
      </c>
      <c r="F18" s="80"/>
      <c r="G18" s="116">
        <v>154</v>
      </c>
      <c r="H18" s="116"/>
      <c r="I18" s="197">
        <v>1051595.04</v>
      </c>
    </row>
    <row r="19" spans="1:9">
      <c r="A19" s="80"/>
      <c r="B19" s="116" t="s">
        <v>959</v>
      </c>
      <c r="C19" s="116">
        <v>0</v>
      </c>
      <c r="D19" s="196">
        <v>6225.12</v>
      </c>
      <c r="F19" s="80"/>
      <c r="G19" s="116">
        <v>169</v>
      </c>
      <c r="H19" s="116"/>
      <c r="I19" s="197">
        <v>1293833.49</v>
      </c>
    </row>
    <row r="20" spans="1:9">
      <c r="A20" s="80"/>
      <c r="B20" s="116" t="s">
        <v>960</v>
      </c>
      <c r="C20" s="116">
        <v>0</v>
      </c>
      <c r="D20" s="196">
        <v>16223.04</v>
      </c>
      <c r="F20" s="80"/>
      <c r="G20" s="116">
        <v>173</v>
      </c>
      <c r="H20" s="116"/>
      <c r="I20" s="197">
        <v>409829.92</v>
      </c>
    </row>
    <row r="21" spans="1:9">
      <c r="A21" s="80"/>
      <c r="B21" s="116" t="s">
        <v>958</v>
      </c>
      <c r="C21" s="195">
        <v>6225.12</v>
      </c>
      <c r="D21" s="116">
        <v>0</v>
      </c>
      <c r="F21" s="80"/>
      <c r="G21" s="116">
        <v>180</v>
      </c>
      <c r="H21" s="116"/>
      <c r="I21" s="197">
        <v>1656714.65</v>
      </c>
    </row>
    <row r="22" spans="1:9">
      <c r="A22" s="80"/>
      <c r="B22" s="116" t="s">
        <v>904</v>
      </c>
      <c r="C22" s="116">
        <v>0</v>
      </c>
      <c r="D22" s="197">
        <v>973169.41</v>
      </c>
      <c r="F22" s="80"/>
      <c r="G22" s="116">
        <v>196</v>
      </c>
      <c r="H22" s="116"/>
      <c r="I22" s="197">
        <v>1812624.09</v>
      </c>
    </row>
    <row r="23" spans="1:9">
      <c r="A23" s="80"/>
      <c r="B23" s="116" t="s">
        <v>927</v>
      </c>
      <c r="C23" s="116">
        <v>0</v>
      </c>
      <c r="D23" s="197">
        <v>1034600.11</v>
      </c>
      <c r="F23" s="80"/>
      <c r="G23" s="116">
        <v>213</v>
      </c>
      <c r="H23" s="116"/>
      <c r="I23" s="197">
        <v>1397974.33</v>
      </c>
    </row>
    <row r="24" spans="1:9">
      <c r="A24" s="80"/>
      <c r="B24" s="116" t="s">
        <v>932</v>
      </c>
      <c r="C24" s="116">
        <v>0</v>
      </c>
      <c r="D24" s="197">
        <v>738745.3</v>
      </c>
      <c r="F24" s="80"/>
      <c r="G24" s="116">
        <v>225</v>
      </c>
      <c r="H24" s="116"/>
      <c r="I24" s="197">
        <v>1591072.38</v>
      </c>
    </row>
    <row r="25" spans="1:9">
      <c r="A25" s="80"/>
      <c r="B25" s="116" t="s">
        <v>934</v>
      </c>
      <c r="C25" s="116">
        <v>0</v>
      </c>
      <c r="D25" s="197">
        <v>1493200.09</v>
      </c>
      <c r="F25" s="80"/>
      <c r="G25" s="116">
        <v>233</v>
      </c>
      <c r="H25" s="116"/>
      <c r="I25" s="197">
        <v>189888.08</v>
      </c>
    </row>
    <row r="26" spans="1:9">
      <c r="A26" s="80"/>
      <c r="B26" s="116" t="s">
        <v>936</v>
      </c>
      <c r="C26" s="116">
        <v>0</v>
      </c>
      <c r="D26" s="197">
        <v>1203171.6499999999</v>
      </c>
      <c r="F26" s="80"/>
      <c r="G26" s="116">
        <v>246</v>
      </c>
      <c r="H26" s="116"/>
      <c r="I26" s="197">
        <v>154474.16</v>
      </c>
    </row>
    <row r="27" spans="1:9">
      <c r="A27" s="80"/>
      <c r="B27" s="116" t="s">
        <v>941</v>
      </c>
      <c r="C27" s="116">
        <v>0</v>
      </c>
      <c r="D27" s="197">
        <v>108180.35</v>
      </c>
      <c r="F27" s="80"/>
      <c r="G27" s="116">
        <v>263</v>
      </c>
      <c r="H27" s="116"/>
      <c r="I27" s="196">
        <v>6225.12</v>
      </c>
    </row>
    <row r="28" spans="1:9">
      <c r="A28" s="80"/>
      <c r="B28" s="116" t="s">
        <v>942</v>
      </c>
      <c r="C28" s="116">
        <v>0</v>
      </c>
      <c r="D28" s="197">
        <v>1348527.77</v>
      </c>
      <c r="F28" s="80"/>
      <c r="G28" s="116">
        <v>275</v>
      </c>
      <c r="H28" s="116"/>
      <c r="I28" s="197">
        <v>616996.21</v>
      </c>
    </row>
    <row r="29" spans="1:9">
      <c r="A29" s="80"/>
      <c r="B29" s="116" t="s">
        <v>1302</v>
      </c>
      <c r="C29" s="116">
        <v>0</v>
      </c>
      <c r="D29" s="197">
        <v>454236.24</v>
      </c>
      <c r="F29" s="80"/>
      <c r="G29" s="116">
        <v>281</v>
      </c>
      <c r="H29" s="116"/>
      <c r="I29" s="196">
        <v>16223.04</v>
      </c>
    </row>
    <row r="30" spans="1:9">
      <c r="A30" s="80"/>
      <c r="B30" s="116" t="s">
        <v>1310</v>
      </c>
      <c r="C30" s="116">
        <v>0</v>
      </c>
      <c r="D30" s="197">
        <v>447617.02</v>
      </c>
      <c r="F30" s="80"/>
      <c r="G30" s="116">
        <v>286</v>
      </c>
      <c r="H30" s="116"/>
      <c r="I30" s="197">
        <v>973169.41</v>
      </c>
    </row>
    <row r="31" spans="1:9">
      <c r="A31" s="80"/>
      <c r="B31" s="116" t="s">
        <v>1311</v>
      </c>
      <c r="C31" s="116">
        <v>0</v>
      </c>
      <c r="D31" s="197">
        <v>739845.02</v>
      </c>
      <c r="F31" s="80"/>
      <c r="G31" s="116">
        <v>330</v>
      </c>
      <c r="H31" s="116"/>
      <c r="I31" s="197">
        <v>1034600.11</v>
      </c>
    </row>
    <row r="32" spans="1:9">
      <c r="A32" s="80"/>
      <c r="B32" s="116" t="s">
        <v>1316</v>
      </c>
      <c r="C32" s="116">
        <v>0</v>
      </c>
      <c r="D32" s="197">
        <v>889477.93</v>
      </c>
      <c r="F32" s="80"/>
      <c r="G32" s="116">
        <v>342</v>
      </c>
      <c r="H32" s="116"/>
      <c r="I32" s="197">
        <v>738745.3</v>
      </c>
    </row>
    <row r="33" spans="1:9">
      <c r="A33" s="80"/>
      <c r="B33" s="116" t="s">
        <v>1319</v>
      </c>
      <c r="C33" s="116">
        <v>0</v>
      </c>
      <c r="D33" s="197">
        <v>1197682.47</v>
      </c>
      <c r="F33" s="80"/>
      <c r="G33" s="116">
        <v>346</v>
      </c>
      <c r="H33" s="116"/>
      <c r="I33" s="197">
        <v>1493200.09</v>
      </c>
    </row>
    <row r="34" spans="1:9">
      <c r="A34" s="80"/>
      <c r="B34" s="116" t="s">
        <v>1323</v>
      </c>
      <c r="C34" s="116">
        <v>0</v>
      </c>
      <c r="D34" s="197">
        <v>1434963.13</v>
      </c>
      <c r="F34" s="80"/>
      <c r="G34" s="116">
        <v>351</v>
      </c>
      <c r="H34" s="116"/>
      <c r="I34" s="197">
        <v>108180.35</v>
      </c>
    </row>
    <row r="35" spans="1:9">
      <c r="A35" s="80"/>
      <c r="B35" s="116" t="s">
        <v>1325</v>
      </c>
      <c r="C35" s="116">
        <v>0</v>
      </c>
      <c r="D35" s="197">
        <v>1792843.82</v>
      </c>
      <c r="F35" s="80"/>
      <c r="G35" s="116">
        <v>358</v>
      </c>
      <c r="H35" s="116"/>
      <c r="I35" s="197">
        <v>1203171.6499999999</v>
      </c>
    </row>
    <row r="36" spans="1:9">
      <c r="A36" s="80"/>
      <c r="B36" s="116" t="s">
        <v>1581</v>
      </c>
      <c r="C36" s="116">
        <v>0</v>
      </c>
      <c r="D36" s="197">
        <v>710281.94</v>
      </c>
      <c r="F36" s="80"/>
      <c r="G36" s="116">
        <v>364</v>
      </c>
      <c r="H36" s="116"/>
      <c r="I36" s="197">
        <v>1348527.77</v>
      </c>
    </row>
    <row r="37" spans="1:9">
      <c r="A37" s="80"/>
      <c r="B37" s="116" t="s">
        <v>1582</v>
      </c>
      <c r="C37" s="116">
        <v>0</v>
      </c>
      <c r="D37" s="197">
        <v>1656485.65</v>
      </c>
      <c r="F37" s="80"/>
      <c r="G37" s="116">
        <v>370</v>
      </c>
      <c r="H37" s="116"/>
      <c r="I37" s="197">
        <v>454236.24</v>
      </c>
    </row>
    <row r="38" spans="1:9">
      <c r="A38" s="80"/>
      <c r="B38" s="116" t="s">
        <v>1583</v>
      </c>
      <c r="C38" s="116">
        <v>0</v>
      </c>
      <c r="D38" s="197">
        <v>1708492.15</v>
      </c>
      <c r="F38" s="80"/>
      <c r="G38" s="116">
        <v>392</v>
      </c>
      <c r="H38" s="116"/>
      <c r="I38" s="197">
        <v>447617.02</v>
      </c>
    </row>
    <row r="39" spans="1:9">
      <c r="A39" s="80"/>
      <c r="B39" s="116" t="s">
        <v>1584</v>
      </c>
      <c r="C39" s="116">
        <v>0</v>
      </c>
      <c r="D39" s="197">
        <v>773729.01</v>
      </c>
      <c r="F39" s="80"/>
      <c r="G39" s="116">
        <v>397</v>
      </c>
      <c r="H39" s="116"/>
      <c r="I39" s="197">
        <v>739845.02</v>
      </c>
    </row>
    <row r="40" spans="1:9">
      <c r="A40" s="80"/>
      <c r="B40" s="116" t="s">
        <v>1585</v>
      </c>
      <c r="C40" s="116">
        <v>0</v>
      </c>
      <c r="D40" s="197">
        <v>133130.1</v>
      </c>
      <c r="F40" s="80"/>
      <c r="G40" s="116">
        <v>419</v>
      </c>
      <c r="H40" s="116"/>
      <c r="I40" s="197">
        <v>889477.93</v>
      </c>
    </row>
    <row r="41" spans="1:9">
      <c r="A41" s="80"/>
      <c r="B41" s="116" t="s">
        <v>1586</v>
      </c>
      <c r="C41" s="116">
        <v>0</v>
      </c>
      <c r="D41" s="196">
        <v>73776.52</v>
      </c>
      <c r="F41" s="80"/>
      <c r="G41" s="116">
        <v>425</v>
      </c>
      <c r="H41" s="116"/>
      <c r="I41" s="197">
        <v>1197682.47</v>
      </c>
    </row>
    <row r="42" spans="1:9">
      <c r="A42" s="80"/>
      <c r="B42" s="116" t="s">
        <v>1587</v>
      </c>
      <c r="C42" s="116">
        <v>0</v>
      </c>
      <c r="D42" s="197">
        <v>1866425.86</v>
      </c>
      <c r="F42" s="80"/>
      <c r="G42" s="116">
        <v>452</v>
      </c>
      <c r="H42" s="116"/>
      <c r="I42" s="197">
        <v>1434963.13</v>
      </c>
    </row>
    <row r="43" spans="1:9">
      <c r="A43" s="80"/>
      <c r="B43" s="116" t="s">
        <v>1291</v>
      </c>
      <c r="C43" s="116">
        <v>0</v>
      </c>
      <c r="D43" s="197">
        <v>1519518.67</v>
      </c>
      <c r="F43" s="80"/>
      <c r="G43" s="116">
        <v>460</v>
      </c>
      <c r="H43" s="116"/>
      <c r="I43" s="197">
        <v>1792843.82</v>
      </c>
    </row>
    <row r="44" spans="1:9">
      <c r="A44" s="80"/>
      <c r="B44" s="116" t="s">
        <v>1292</v>
      </c>
      <c r="C44" s="116">
        <v>0</v>
      </c>
      <c r="D44" s="197">
        <v>362627</v>
      </c>
      <c r="F44" s="80"/>
      <c r="G44" s="116" t="s">
        <v>1589</v>
      </c>
      <c r="H44" s="116"/>
      <c r="I44" s="116">
        <v>0</v>
      </c>
    </row>
    <row r="45" spans="1:9">
      <c r="A45" s="80"/>
      <c r="B45" s="116" t="s">
        <v>1292</v>
      </c>
      <c r="C45" s="196">
        <v>6475</v>
      </c>
      <c r="D45" s="116">
        <v>0</v>
      </c>
      <c r="F45" s="80"/>
      <c r="G45" s="116" t="s">
        <v>1590</v>
      </c>
      <c r="H45" s="116"/>
      <c r="I45" s="116">
        <v>0</v>
      </c>
    </row>
    <row r="46" spans="1:9">
      <c r="A46" s="80"/>
      <c r="B46" s="116" t="s">
        <v>1293</v>
      </c>
      <c r="C46" s="116">
        <v>0</v>
      </c>
      <c r="D46" s="197">
        <v>3943335.99</v>
      </c>
      <c r="F46" s="80"/>
      <c r="G46" s="116">
        <v>499</v>
      </c>
      <c r="H46" s="116"/>
      <c r="I46" s="197">
        <v>710281.94</v>
      </c>
    </row>
    <row r="47" spans="1:9">
      <c r="A47" s="80"/>
      <c r="B47" s="116" t="s">
        <v>1294</v>
      </c>
      <c r="C47" s="116">
        <v>0</v>
      </c>
      <c r="D47" s="197">
        <v>2192217.21</v>
      </c>
      <c r="F47" s="80"/>
      <c r="G47" s="116">
        <v>501</v>
      </c>
      <c r="H47" s="116"/>
      <c r="I47" s="197">
        <v>1656485.65</v>
      </c>
    </row>
    <row r="48" spans="1:9">
      <c r="A48" s="80"/>
      <c r="B48" s="116" t="s">
        <v>1295</v>
      </c>
      <c r="C48" s="116">
        <v>0</v>
      </c>
      <c r="D48" s="197">
        <v>298468</v>
      </c>
      <c r="F48" s="80"/>
      <c r="G48" s="116">
        <v>528</v>
      </c>
      <c r="H48" s="116"/>
      <c r="I48" s="197">
        <v>1708492.15</v>
      </c>
    </row>
    <row r="49" spans="1:9">
      <c r="A49" s="80"/>
      <c r="B49" s="116" t="s">
        <v>1295</v>
      </c>
      <c r="C49" s="196">
        <v>5330</v>
      </c>
      <c r="D49" s="116">
        <v>0</v>
      </c>
      <c r="F49" s="80"/>
      <c r="G49" s="116">
        <v>535</v>
      </c>
      <c r="H49" s="116"/>
      <c r="I49" s="197">
        <v>773729.01</v>
      </c>
    </row>
    <row r="50" spans="1:9">
      <c r="A50" s="80"/>
      <c r="B50" s="116" t="s">
        <v>1295</v>
      </c>
      <c r="C50" s="116">
        <v>0</v>
      </c>
      <c r="D50" s="197">
        <v>605679</v>
      </c>
      <c r="F50" s="80"/>
      <c r="G50" s="116">
        <v>537</v>
      </c>
      <c r="H50" s="116"/>
      <c r="I50" s="197">
        <v>133130.1</v>
      </c>
    </row>
    <row r="51" spans="1:9">
      <c r="A51" s="80"/>
      <c r="B51" s="116" t="s">
        <v>1295</v>
      </c>
      <c r="C51" s="196">
        <v>10816</v>
      </c>
      <c r="D51" s="116">
        <v>0</v>
      </c>
      <c r="F51" s="80"/>
      <c r="G51" s="116" t="s">
        <v>1591</v>
      </c>
      <c r="H51" s="116"/>
      <c r="I51" s="196">
        <v>94874.09</v>
      </c>
    </row>
    <row r="52" spans="1:9">
      <c r="A52" s="80"/>
      <c r="B52" s="116" t="s">
        <v>1296</v>
      </c>
      <c r="C52" s="116">
        <v>0</v>
      </c>
      <c r="D52" s="197">
        <v>1518619.43</v>
      </c>
      <c r="F52" s="80"/>
      <c r="G52" s="116">
        <v>577</v>
      </c>
      <c r="H52" s="116"/>
      <c r="I52" s="196">
        <v>73776.52</v>
      </c>
    </row>
    <row r="53" spans="1:9">
      <c r="A53" s="80"/>
      <c r="B53" s="116" t="s">
        <v>1297</v>
      </c>
      <c r="C53" s="116">
        <v>0</v>
      </c>
      <c r="D53" s="196">
        <v>86919.58</v>
      </c>
      <c r="F53" s="80"/>
      <c r="G53" s="116">
        <v>605</v>
      </c>
      <c r="H53" s="116"/>
      <c r="I53" s="197">
        <v>1866425.86</v>
      </c>
    </row>
    <row r="54" spans="1:9">
      <c r="A54" s="80"/>
      <c r="B54" s="116" t="s">
        <v>1298</v>
      </c>
      <c r="C54" s="116">
        <v>0</v>
      </c>
      <c r="D54" s="196">
        <v>48393.39</v>
      </c>
      <c r="F54" s="80"/>
      <c r="G54" s="116" t="s">
        <v>1280</v>
      </c>
      <c r="H54" s="116"/>
      <c r="I54" s="197">
        <v>293138.21999999997</v>
      </c>
    </row>
    <row r="55" spans="1:9">
      <c r="A55" s="80"/>
      <c r="B55" s="116" t="s">
        <v>1299</v>
      </c>
      <c r="C55" s="116">
        <v>0</v>
      </c>
      <c r="D55" s="196">
        <v>24923.62</v>
      </c>
      <c r="F55" s="80"/>
      <c r="G55" s="116" t="s">
        <v>1281</v>
      </c>
      <c r="H55" s="116"/>
      <c r="I55" s="197">
        <v>594863.43999999994</v>
      </c>
    </row>
    <row r="56" spans="1:9">
      <c r="A56" s="80"/>
      <c r="B56" s="116" t="s">
        <v>1300</v>
      </c>
      <c r="C56" s="116">
        <v>0</v>
      </c>
      <c r="D56" s="196">
        <v>1131.8399999999999</v>
      </c>
    </row>
    <row r="57" spans="1:9">
      <c r="A57" s="80"/>
      <c r="B57" s="116" t="s">
        <v>1301</v>
      </c>
      <c r="C57" s="116">
        <v>0</v>
      </c>
      <c r="D57" s="197">
        <v>1051595.04</v>
      </c>
    </row>
    <row r="58" spans="1:9">
      <c r="A58" s="80"/>
      <c r="B58" s="116" t="s">
        <v>1588</v>
      </c>
      <c r="C58" s="116">
        <v>0</v>
      </c>
      <c r="D58" s="196">
        <v>96599</v>
      </c>
    </row>
    <row r="59" spans="1:9">
      <c r="A59" s="80"/>
      <c r="B59" s="116" t="s">
        <v>1588</v>
      </c>
      <c r="C59" s="196">
        <v>1725</v>
      </c>
      <c r="D59" s="116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S318"/>
  <sheetViews>
    <sheetView topLeftCell="E274" workbookViewId="0">
      <selection activeCell="O315" sqref="O315"/>
    </sheetView>
  </sheetViews>
  <sheetFormatPr defaultRowHeight="15"/>
  <cols>
    <col min="1" max="1" width="9.140625" style="27"/>
    <col min="2" max="2" width="10.85546875" style="27" bestFit="1" customWidth="1"/>
    <col min="3" max="3" width="10.5703125" style="27" bestFit="1" customWidth="1"/>
    <col min="4" max="4" width="11" style="28" bestFit="1" customWidth="1"/>
    <col min="5" max="5" width="9.140625" style="27"/>
    <col min="6" max="6" width="13.85546875" style="27" bestFit="1" customWidth="1"/>
    <col min="7" max="7" width="5.28515625" style="27" bestFit="1" customWidth="1"/>
    <col min="8" max="8" width="11" style="27" bestFit="1" customWidth="1"/>
    <col min="9" max="9" width="7" style="27" bestFit="1" customWidth="1"/>
    <col min="10" max="10" width="3.42578125" style="27" customWidth="1"/>
    <col min="11" max="11" width="26" style="27" bestFit="1" customWidth="1"/>
    <col min="12" max="12" width="18.42578125" style="27" bestFit="1" customWidth="1"/>
    <col min="13" max="13" width="10.42578125" style="27" customWidth="1"/>
    <col min="14" max="14" width="16.140625" style="27" bestFit="1" customWidth="1"/>
    <col min="15" max="15" width="15" style="27" bestFit="1" customWidth="1"/>
    <col min="16" max="16" width="17.7109375" style="27" bestFit="1" customWidth="1"/>
    <col min="17" max="17" width="16.140625" style="27" bestFit="1" customWidth="1"/>
    <col min="18" max="16384" width="9.140625" style="27"/>
  </cols>
  <sheetData>
    <row r="1" spans="1:8">
      <c r="A1" s="5"/>
      <c r="B1" s="5" t="s">
        <v>28</v>
      </c>
      <c r="C1" s="5" t="s">
        <v>305</v>
      </c>
      <c r="D1" s="154" t="s">
        <v>218</v>
      </c>
      <c r="F1" s="5" t="s">
        <v>305</v>
      </c>
      <c r="G1" s="5" t="s">
        <v>218</v>
      </c>
      <c r="H1" s="5" t="s">
        <v>219</v>
      </c>
    </row>
    <row r="2" spans="1:8">
      <c r="A2" s="6"/>
      <c r="B2" s="8" t="s">
        <v>1064</v>
      </c>
      <c r="C2" s="8"/>
      <c r="D2" s="158">
        <v>831683.19</v>
      </c>
      <c r="F2" s="8" t="s">
        <v>1066</v>
      </c>
      <c r="G2" s="8">
        <v>0</v>
      </c>
      <c r="H2" s="160">
        <v>8160</v>
      </c>
    </row>
    <row r="3" spans="1:8">
      <c r="A3" s="6"/>
      <c r="B3" s="8" t="s">
        <v>1065</v>
      </c>
      <c r="C3" s="8"/>
      <c r="D3" s="158">
        <v>513555.33</v>
      </c>
      <c r="F3" s="8" t="s">
        <v>1064</v>
      </c>
      <c r="G3" s="8">
        <v>0</v>
      </c>
      <c r="H3" s="157">
        <v>831683.19</v>
      </c>
    </row>
    <row r="4" spans="1:8">
      <c r="A4" s="6"/>
      <c r="B4" s="8" t="s">
        <v>1066</v>
      </c>
      <c r="C4" s="8"/>
      <c r="D4" s="159">
        <v>8160</v>
      </c>
      <c r="F4" s="8" t="s">
        <v>1065</v>
      </c>
      <c r="G4" s="8">
        <v>0</v>
      </c>
      <c r="H4" s="157">
        <v>513555.33</v>
      </c>
    </row>
    <row r="5" spans="1:8">
      <c r="A5" s="6"/>
      <c r="B5" s="8" t="s">
        <v>1067</v>
      </c>
      <c r="C5" s="8"/>
      <c r="D5" s="158">
        <v>1230045.33</v>
      </c>
      <c r="F5" s="8" t="s">
        <v>1068</v>
      </c>
      <c r="G5" s="8">
        <v>0</v>
      </c>
      <c r="H5" s="160">
        <v>12336</v>
      </c>
    </row>
    <row r="6" spans="1:8">
      <c r="A6" s="6"/>
      <c r="B6" s="8" t="s">
        <v>1068</v>
      </c>
      <c r="C6" s="8"/>
      <c r="D6" s="159">
        <v>12336</v>
      </c>
      <c r="F6" s="8" t="s">
        <v>1067</v>
      </c>
      <c r="G6" s="8">
        <v>0</v>
      </c>
      <c r="H6" s="157">
        <v>1230045.33</v>
      </c>
    </row>
    <row r="7" spans="1:8">
      <c r="A7" s="6"/>
      <c r="B7" s="8" t="s">
        <v>1069</v>
      </c>
      <c r="C7" s="8"/>
      <c r="D7" s="158">
        <v>575101.98</v>
      </c>
      <c r="F7" s="8" t="s">
        <v>1070</v>
      </c>
      <c r="G7" s="8">
        <v>0</v>
      </c>
      <c r="H7" s="160">
        <v>8256</v>
      </c>
    </row>
    <row r="8" spans="1:8">
      <c r="A8" s="6"/>
      <c r="B8" s="8" t="s">
        <v>1070</v>
      </c>
      <c r="C8" s="8"/>
      <c r="D8" s="159">
        <v>8256</v>
      </c>
      <c r="F8" s="8" t="s">
        <v>1069</v>
      </c>
      <c r="G8" s="8">
        <v>0</v>
      </c>
      <c r="H8" s="157">
        <v>575101.98</v>
      </c>
    </row>
    <row r="9" spans="1:8">
      <c r="A9" s="6"/>
      <c r="B9" s="8" t="s">
        <v>1071</v>
      </c>
      <c r="C9" s="8"/>
      <c r="D9" s="158">
        <v>1313008.06</v>
      </c>
      <c r="F9" s="8" t="s">
        <v>1072</v>
      </c>
      <c r="G9" s="8">
        <v>0</v>
      </c>
      <c r="H9" s="160">
        <v>17088</v>
      </c>
    </row>
    <row r="10" spans="1:8">
      <c r="A10" s="6"/>
      <c r="B10" s="8" t="s">
        <v>1072</v>
      </c>
      <c r="C10" s="8"/>
      <c r="D10" s="159">
        <v>17088</v>
      </c>
      <c r="F10" s="8" t="s">
        <v>1071</v>
      </c>
      <c r="G10" s="8">
        <v>0</v>
      </c>
      <c r="H10" s="157">
        <v>1313008.06</v>
      </c>
    </row>
    <row r="11" spans="1:8">
      <c r="A11" s="6"/>
      <c r="B11" s="8" t="s">
        <v>1073</v>
      </c>
      <c r="C11" s="8"/>
      <c r="D11" s="158">
        <v>1275668.25</v>
      </c>
      <c r="F11" s="8" t="s">
        <v>1074</v>
      </c>
      <c r="G11" s="8">
        <v>0</v>
      </c>
      <c r="H11" s="160">
        <v>14016</v>
      </c>
    </row>
    <row r="12" spans="1:8">
      <c r="A12" s="6"/>
      <c r="B12" s="8" t="s">
        <v>1074</v>
      </c>
      <c r="C12" s="8"/>
      <c r="D12" s="159">
        <v>14016</v>
      </c>
      <c r="F12" s="8" t="s">
        <v>1073</v>
      </c>
      <c r="G12" s="8">
        <v>0</v>
      </c>
      <c r="H12" s="157">
        <v>1275668.24</v>
      </c>
    </row>
    <row r="13" spans="1:8">
      <c r="A13" s="6"/>
      <c r="B13" s="8" t="s">
        <v>1075</v>
      </c>
      <c r="C13" s="8"/>
      <c r="D13" s="158">
        <v>1281023</v>
      </c>
      <c r="F13" s="8" t="s">
        <v>1076</v>
      </c>
      <c r="G13" s="8">
        <v>0</v>
      </c>
      <c r="H13" s="160">
        <v>5040</v>
      </c>
    </row>
    <row r="14" spans="1:8">
      <c r="A14" s="6"/>
      <c r="B14" s="8" t="s">
        <v>1076</v>
      </c>
      <c r="C14" s="8"/>
      <c r="D14" s="159">
        <v>5040</v>
      </c>
      <c r="F14" s="8" t="s">
        <v>1075</v>
      </c>
      <c r="G14" s="8">
        <v>0</v>
      </c>
      <c r="H14" s="157">
        <v>1281023</v>
      </c>
    </row>
    <row r="15" spans="1:8">
      <c r="A15" s="6"/>
      <c r="B15" s="8" t="s">
        <v>1077</v>
      </c>
      <c r="C15" s="8"/>
      <c r="D15" s="158">
        <v>966320.66</v>
      </c>
      <c r="F15" s="8" t="s">
        <v>1080</v>
      </c>
      <c r="G15" s="8">
        <v>0</v>
      </c>
      <c r="H15" s="160">
        <v>5568</v>
      </c>
    </row>
    <row r="16" spans="1:8">
      <c r="A16" s="6"/>
      <c r="B16" s="8" t="s">
        <v>1078</v>
      </c>
      <c r="C16" s="8"/>
      <c r="D16" s="159">
        <v>18336</v>
      </c>
      <c r="F16" s="8" t="s">
        <v>1082</v>
      </c>
      <c r="G16" s="8">
        <v>0</v>
      </c>
      <c r="H16" s="160">
        <v>7392</v>
      </c>
    </row>
    <row r="17" spans="1:8">
      <c r="A17" s="6"/>
      <c r="B17" s="8" t="s">
        <v>1079</v>
      </c>
      <c r="C17" s="8"/>
      <c r="D17" s="158">
        <v>397520.51</v>
      </c>
      <c r="F17" s="8" t="s">
        <v>1078</v>
      </c>
      <c r="G17" s="8">
        <v>0</v>
      </c>
      <c r="H17" s="160">
        <v>18336</v>
      </c>
    </row>
    <row r="18" spans="1:8">
      <c r="A18" s="6"/>
      <c r="B18" s="8" t="s">
        <v>1080</v>
      </c>
      <c r="C18" s="8"/>
      <c r="D18" s="159">
        <v>5568</v>
      </c>
      <c r="F18" s="8" t="s">
        <v>1077</v>
      </c>
      <c r="G18" s="8">
        <v>0</v>
      </c>
      <c r="H18" s="157">
        <v>966320.66</v>
      </c>
    </row>
    <row r="19" spans="1:8">
      <c r="A19" s="6"/>
      <c r="B19" s="8" t="s">
        <v>1081</v>
      </c>
      <c r="C19" s="8"/>
      <c r="D19" s="158">
        <v>995398.58</v>
      </c>
      <c r="F19" s="8" t="s">
        <v>1079</v>
      </c>
      <c r="G19" s="8">
        <v>0</v>
      </c>
      <c r="H19" s="157">
        <v>397520.51</v>
      </c>
    </row>
    <row r="20" spans="1:8">
      <c r="A20" s="6"/>
      <c r="B20" s="8" t="s">
        <v>1082</v>
      </c>
      <c r="C20" s="8"/>
      <c r="D20" s="159">
        <v>7392</v>
      </c>
      <c r="F20" s="8" t="s">
        <v>1081</v>
      </c>
      <c r="G20" s="8">
        <v>0</v>
      </c>
      <c r="H20" s="157">
        <v>995398.58</v>
      </c>
    </row>
    <row r="21" spans="1:8">
      <c r="A21" s="6"/>
      <c r="B21" s="8" t="s">
        <v>1083</v>
      </c>
      <c r="C21" s="8"/>
      <c r="D21" s="158">
        <v>1201169.72</v>
      </c>
      <c r="F21" s="8" t="s">
        <v>1084</v>
      </c>
      <c r="G21" s="8">
        <v>0</v>
      </c>
      <c r="H21" s="160">
        <v>17904</v>
      </c>
    </row>
    <row r="22" spans="1:8">
      <c r="A22" s="6"/>
      <c r="B22" s="8" t="s">
        <v>1084</v>
      </c>
      <c r="C22" s="8"/>
      <c r="D22" s="159">
        <v>17904</v>
      </c>
      <c r="F22" s="8" t="s">
        <v>1087</v>
      </c>
      <c r="G22" s="8">
        <v>0</v>
      </c>
      <c r="H22" s="160">
        <v>20448</v>
      </c>
    </row>
    <row r="23" spans="1:8">
      <c r="A23" s="6"/>
      <c r="B23" s="8" t="s">
        <v>1085</v>
      </c>
      <c r="C23" s="8"/>
      <c r="D23" s="158">
        <v>385066.6</v>
      </c>
      <c r="F23" s="8" t="s">
        <v>1083</v>
      </c>
      <c r="G23" s="8">
        <v>0</v>
      </c>
      <c r="H23" s="157">
        <v>1201169.72</v>
      </c>
    </row>
    <row r="24" spans="1:8">
      <c r="A24" s="6"/>
      <c r="B24" s="8" t="s">
        <v>1086</v>
      </c>
      <c r="C24" s="8"/>
      <c r="D24" s="158">
        <v>1251390.67</v>
      </c>
      <c r="F24" s="8" t="s">
        <v>1085</v>
      </c>
      <c r="G24" s="8">
        <v>0</v>
      </c>
      <c r="H24" s="157">
        <v>385066.6</v>
      </c>
    </row>
    <row r="25" spans="1:8">
      <c r="A25" s="6"/>
      <c r="B25" s="8" t="s">
        <v>1087</v>
      </c>
      <c r="C25" s="8"/>
      <c r="D25" s="159">
        <v>20448</v>
      </c>
      <c r="F25" s="8" t="s">
        <v>1086</v>
      </c>
      <c r="G25" s="8">
        <v>0</v>
      </c>
      <c r="H25" s="157">
        <v>1251390.67</v>
      </c>
    </row>
    <row r="26" spans="1:8">
      <c r="A26" s="6"/>
      <c r="B26" s="8" t="s">
        <v>1088</v>
      </c>
      <c r="C26" s="8"/>
      <c r="D26" s="158">
        <v>893272.02</v>
      </c>
      <c r="F26" s="8" t="s">
        <v>1089</v>
      </c>
      <c r="G26" s="8">
        <v>0</v>
      </c>
      <c r="H26" s="160">
        <v>12240</v>
      </c>
    </row>
    <row r="27" spans="1:8">
      <c r="A27" s="6"/>
      <c r="B27" s="8" t="s">
        <v>1089</v>
      </c>
      <c r="C27" s="8"/>
      <c r="D27" s="159">
        <v>12240</v>
      </c>
      <c r="F27" s="8" t="s">
        <v>1088</v>
      </c>
      <c r="G27" s="8">
        <v>0</v>
      </c>
      <c r="H27" s="157">
        <v>893272.02</v>
      </c>
    </row>
    <row r="28" spans="1:8">
      <c r="A28" s="6"/>
      <c r="B28" s="8" t="s">
        <v>1090</v>
      </c>
      <c r="C28" s="8"/>
      <c r="D28" s="159">
        <v>80172.490000000005</v>
      </c>
      <c r="F28" s="8" t="s">
        <v>1090</v>
      </c>
      <c r="G28" s="8">
        <v>0</v>
      </c>
      <c r="H28" s="160">
        <v>80172.490000000005</v>
      </c>
    </row>
    <row r="29" spans="1:8">
      <c r="A29" s="6"/>
      <c r="B29" s="8" t="s">
        <v>1091</v>
      </c>
      <c r="C29" s="8"/>
      <c r="D29" s="158">
        <v>623947.11</v>
      </c>
      <c r="F29" s="8" t="s">
        <v>1092</v>
      </c>
      <c r="G29" s="8">
        <v>0</v>
      </c>
      <c r="H29" s="160">
        <v>9552</v>
      </c>
    </row>
    <row r="30" spans="1:8">
      <c r="A30" s="6"/>
      <c r="B30" s="8" t="s">
        <v>1092</v>
      </c>
      <c r="C30" s="8"/>
      <c r="D30" s="159">
        <v>9552</v>
      </c>
      <c r="F30" s="8" t="s">
        <v>1091</v>
      </c>
      <c r="G30" s="8">
        <v>0</v>
      </c>
      <c r="H30" s="157">
        <v>623947.11</v>
      </c>
    </row>
    <row r="31" spans="1:8">
      <c r="A31" s="6"/>
      <c r="B31" s="8" t="s">
        <v>1093</v>
      </c>
      <c r="C31" s="8"/>
      <c r="D31" s="158">
        <v>603661.68000000005</v>
      </c>
      <c r="F31" s="8" t="s">
        <v>1094</v>
      </c>
      <c r="G31" s="8">
        <v>0</v>
      </c>
      <c r="H31" s="160">
        <v>8304</v>
      </c>
    </row>
    <row r="32" spans="1:8">
      <c r="A32" s="6"/>
      <c r="B32" s="8" t="s">
        <v>1094</v>
      </c>
      <c r="C32" s="8"/>
      <c r="D32" s="159">
        <v>8304</v>
      </c>
      <c r="F32" s="8" t="s">
        <v>1093</v>
      </c>
      <c r="G32" s="8">
        <v>0</v>
      </c>
      <c r="H32" s="157">
        <v>603661.68000000005</v>
      </c>
    </row>
    <row r="33" spans="1:8">
      <c r="A33" s="6"/>
      <c r="B33" s="8" t="s">
        <v>1095</v>
      </c>
      <c r="C33" s="8"/>
      <c r="D33" s="158">
        <v>699929.33</v>
      </c>
      <c r="F33" s="8" t="s">
        <v>1095</v>
      </c>
      <c r="G33" s="8">
        <v>0</v>
      </c>
      <c r="H33" s="157">
        <v>699929.33</v>
      </c>
    </row>
    <row r="34" spans="1:8">
      <c r="A34" s="6"/>
      <c r="B34" s="8" t="s">
        <v>1096</v>
      </c>
      <c r="C34" s="8"/>
      <c r="D34" s="159">
        <v>9456</v>
      </c>
      <c r="F34" s="8" t="s">
        <v>1096</v>
      </c>
      <c r="G34" s="8">
        <v>0</v>
      </c>
      <c r="H34" s="160">
        <v>9456</v>
      </c>
    </row>
    <row r="35" spans="1:8">
      <c r="A35" s="6"/>
      <c r="B35" s="8" t="s">
        <v>1097</v>
      </c>
      <c r="C35" s="8"/>
      <c r="D35" s="158">
        <v>1262732.8400000001</v>
      </c>
      <c r="F35" s="8" t="s">
        <v>1097</v>
      </c>
      <c r="G35" s="8">
        <v>0</v>
      </c>
      <c r="H35" s="157">
        <v>1262732.8400000001</v>
      </c>
    </row>
    <row r="36" spans="1:8">
      <c r="A36" s="6"/>
      <c r="B36" s="8" t="s">
        <v>1098</v>
      </c>
      <c r="C36" s="8"/>
      <c r="D36" s="158">
        <v>974452.89</v>
      </c>
      <c r="F36" s="8" t="s">
        <v>1099</v>
      </c>
      <c r="G36" s="8">
        <v>0</v>
      </c>
      <c r="H36" s="160">
        <v>10512</v>
      </c>
    </row>
    <row r="37" spans="1:8">
      <c r="A37" s="6"/>
      <c r="B37" s="8" t="s">
        <v>1099</v>
      </c>
      <c r="C37" s="8"/>
      <c r="D37" s="159">
        <v>10512</v>
      </c>
      <c r="F37" s="8" t="s">
        <v>1098</v>
      </c>
      <c r="G37" s="8">
        <v>0</v>
      </c>
      <c r="H37" s="157">
        <v>974452.89</v>
      </c>
    </row>
    <row r="38" spans="1:8">
      <c r="A38" s="6"/>
      <c r="B38" s="8" t="s">
        <v>1100</v>
      </c>
      <c r="C38" s="8"/>
      <c r="D38" s="158">
        <v>708951.4</v>
      </c>
      <c r="F38" s="8" t="s">
        <v>1101</v>
      </c>
      <c r="G38" s="8">
        <v>0</v>
      </c>
      <c r="H38" s="160">
        <v>6912</v>
      </c>
    </row>
    <row r="39" spans="1:8">
      <c r="A39" s="6"/>
      <c r="B39" s="8" t="s">
        <v>1101</v>
      </c>
      <c r="C39" s="8"/>
      <c r="D39" s="159">
        <v>6912</v>
      </c>
      <c r="F39" s="8" t="s">
        <v>1100</v>
      </c>
      <c r="G39" s="8">
        <v>0</v>
      </c>
      <c r="H39" s="157">
        <v>708951.4</v>
      </c>
    </row>
    <row r="40" spans="1:8">
      <c r="A40" s="6"/>
      <c r="B40" s="8" t="s">
        <v>1102</v>
      </c>
      <c r="C40" s="8"/>
      <c r="D40" s="158">
        <v>859069.3</v>
      </c>
      <c r="F40" s="8" t="s">
        <v>1103</v>
      </c>
      <c r="G40" s="8">
        <v>0</v>
      </c>
      <c r="H40" s="160">
        <v>7776</v>
      </c>
    </row>
    <row r="41" spans="1:8">
      <c r="A41" s="6"/>
      <c r="B41" s="8" t="s">
        <v>1103</v>
      </c>
      <c r="C41" s="8"/>
      <c r="D41" s="159">
        <v>7776</v>
      </c>
      <c r="F41" s="8" t="s">
        <v>1102</v>
      </c>
      <c r="G41" s="8">
        <v>0</v>
      </c>
      <c r="H41" s="157">
        <v>859069.3</v>
      </c>
    </row>
    <row r="42" spans="1:8">
      <c r="A42" s="6"/>
      <c r="B42" s="8" t="s">
        <v>1104</v>
      </c>
      <c r="C42" s="8"/>
      <c r="D42" s="158">
        <v>919097.58</v>
      </c>
      <c r="F42" s="8" t="s">
        <v>1105</v>
      </c>
      <c r="G42" s="8">
        <v>0</v>
      </c>
      <c r="H42" s="160">
        <v>11136</v>
      </c>
    </row>
    <row r="43" spans="1:8">
      <c r="A43" s="6"/>
      <c r="B43" s="8" t="s">
        <v>1105</v>
      </c>
      <c r="C43" s="8"/>
      <c r="D43" s="159">
        <v>11136</v>
      </c>
      <c r="F43" s="8" t="s">
        <v>1104</v>
      </c>
      <c r="G43" s="8">
        <v>0</v>
      </c>
      <c r="H43" s="157">
        <v>919097.58</v>
      </c>
    </row>
    <row r="44" spans="1:8">
      <c r="A44" s="6"/>
      <c r="B44" s="8" t="s">
        <v>1106</v>
      </c>
      <c r="C44" s="8"/>
      <c r="D44" s="158">
        <v>597289.97</v>
      </c>
      <c r="F44" s="8" t="s">
        <v>1106</v>
      </c>
      <c r="G44" s="8">
        <v>0</v>
      </c>
      <c r="H44" s="157">
        <v>597289.97</v>
      </c>
    </row>
    <row r="45" spans="1:8">
      <c r="A45" s="6"/>
      <c r="B45" s="8" t="s">
        <v>1107</v>
      </c>
      <c r="C45" s="8"/>
      <c r="D45" s="158">
        <v>510173.97</v>
      </c>
      <c r="F45" s="8" t="s">
        <v>1109</v>
      </c>
      <c r="G45" s="8">
        <v>0</v>
      </c>
      <c r="H45" s="160">
        <v>9504</v>
      </c>
    </row>
    <row r="46" spans="1:8">
      <c r="A46" s="6"/>
      <c r="B46" s="8" t="s">
        <v>1108</v>
      </c>
      <c r="C46" s="8"/>
      <c r="D46" s="158">
        <v>879341.39</v>
      </c>
      <c r="F46" s="8" t="s">
        <v>1108</v>
      </c>
      <c r="G46" s="8">
        <v>0</v>
      </c>
      <c r="H46" s="157">
        <v>879341.39</v>
      </c>
    </row>
    <row r="47" spans="1:8">
      <c r="A47" s="6"/>
      <c r="B47" s="8" t="s">
        <v>1109</v>
      </c>
      <c r="C47" s="8"/>
      <c r="D47" s="159">
        <v>9504</v>
      </c>
      <c r="F47" s="8" t="s">
        <v>1107</v>
      </c>
      <c r="G47" s="8">
        <v>0</v>
      </c>
      <c r="H47" s="157">
        <v>510173.97</v>
      </c>
    </row>
    <row r="48" spans="1:8">
      <c r="A48" s="6"/>
      <c r="B48" s="8" t="s">
        <v>1110</v>
      </c>
      <c r="C48" s="8"/>
      <c r="D48" s="158">
        <v>1467172.43</v>
      </c>
      <c r="F48" s="8" t="s">
        <v>1111</v>
      </c>
      <c r="G48" s="8">
        <v>0</v>
      </c>
      <c r="H48" s="160">
        <v>9024</v>
      </c>
    </row>
    <row r="49" spans="1:8">
      <c r="A49" s="6"/>
      <c r="B49" s="8" t="s">
        <v>1111</v>
      </c>
      <c r="C49" s="8"/>
      <c r="D49" s="159">
        <v>9024</v>
      </c>
      <c r="F49" s="8" t="s">
        <v>1110</v>
      </c>
      <c r="G49" s="8">
        <v>0</v>
      </c>
      <c r="H49" s="157">
        <v>1467172.43</v>
      </c>
    </row>
    <row r="50" spans="1:8">
      <c r="A50" s="6"/>
      <c r="B50" s="8" t="s">
        <v>1112</v>
      </c>
      <c r="C50" s="8"/>
      <c r="D50" s="158">
        <v>1173028.8500000001</v>
      </c>
      <c r="F50" s="8" t="s">
        <v>1113</v>
      </c>
      <c r="G50" s="8">
        <v>0</v>
      </c>
      <c r="H50" s="160">
        <v>8880</v>
      </c>
    </row>
    <row r="51" spans="1:8">
      <c r="A51" s="6"/>
      <c r="B51" s="8" t="s">
        <v>1113</v>
      </c>
      <c r="C51" s="8"/>
      <c r="D51" s="159">
        <v>8880</v>
      </c>
      <c r="F51" s="8" t="s">
        <v>1114</v>
      </c>
      <c r="G51" s="8">
        <v>0</v>
      </c>
      <c r="H51" s="157">
        <v>136935.81</v>
      </c>
    </row>
    <row r="52" spans="1:8">
      <c r="A52" s="6"/>
      <c r="B52" s="8" t="s">
        <v>1114</v>
      </c>
      <c r="C52" s="8"/>
      <c r="D52" s="158">
        <v>136935.81</v>
      </c>
      <c r="F52" s="8" t="s">
        <v>1112</v>
      </c>
      <c r="G52" s="8">
        <v>0</v>
      </c>
      <c r="H52" s="157">
        <v>1173028.8500000001</v>
      </c>
    </row>
    <row r="53" spans="1:8">
      <c r="A53" s="6"/>
      <c r="B53" s="8" t="s">
        <v>1115</v>
      </c>
      <c r="C53" s="8"/>
      <c r="D53" s="158">
        <v>1308808.6000000001</v>
      </c>
      <c r="F53" s="8" t="s">
        <v>1116</v>
      </c>
      <c r="G53" s="8">
        <v>0</v>
      </c>
      <c r="H53" s="160">
        <v>10128</v>
      </c>
    </row>
    <row r="54" spans="1:8">
      <c r="A54" s="6"/>
      <c r="B54" s="8" t="s">
        <v>1116</v>
      </c>
      <c r="C54" s="8"/>
      <c r="D54" s="159">
        <v>10128</v>
      </c>
      <c r="F54" s="8" t="s">
        <v>1117</v>
      </c>
      <c r="G54" s="8">
        <v>0</v>
      </c>
      <c r="H54" s="160">
        <v>17965.740000000002</v>
      </c>
    </row>
    <row r="55" spans="1:8">
      <c r="A55" s="6"/>
      <c r="B55" s="8" t="s">
        <v>1117</v>
      </c>
      <c r="C55" s="8"/>
      <c r="D55" s="159">
        <v>17965.740000000002</v>
      </c>
      <c r="F55" s="8" t="s">
        <v>1115</v>
      </c>
      <c r="G55" s="8">
        <v>0</v>
      </c>
      <c r="H55" s="157">
        <v>1308808.6000000001</v>
      </c>
    </row>
    <row r="56" spans="1:8">
      <c r="A56" s="6"/>
      <c r="B56" s="8" t="s">
        <v>1118</v>
      </c>
      <c r="C56" s="8"/>
      <c r="D56" s="158">
        <v>1198339.3400000001</v>
      </c>
      <c r="F56" s="8" t="s">
        <v>1119</v>
      </c>
      <c r="G56" s="8">
        <v>0</v>
      </c>
      <c r="H56" s="160">
        <v>7632</v>
      </c>
    </row>
    <row r="57" spans="1:8">
      <c r="A57" s="6"/>
      <c r="B57" s="8" t="s">
        <v>1119</v>
      </c>
      <c r="C57" s="8"/>
      <c r="D57" s="159">
        <v>7632</v>
      </c>
      <c r="F57" s="8" t="s">
        <v>1224</v>
      </c>
      <c r="G57" s="8">
        <v>0</v>
      </c>
      <c r="H57" s="157">
        <v>1198339.3400000001</v>
      </c>
    </row>
    <row r="58" spans="1:8">
      <c r="A58" s="6"/>
      <c r="B58" s="8" t="s">
        <v>1120</v>
      </c>
      <c r="C58" s="8"/>
      <c r="D58" s="158">
        <v>876101.19</v>
      </c>
      <c r="F58" s="8" t="s">
        <v>1121</v>
      </c>
      <c r="G58" s="8">
        <v>0</v>
      </c>
      <c r="H58" s="160">
        <v>10992</v>
      </c>
    </row>
    <row r="59" spans="1:8">
      <c r="A59" s="6"/>
      <c r="B59" s="8" t="s">
        <v>1121</v>
      </c>
      <c r="C59" s="8"/>
      <c r="D59" s="159">
        <v>10992</v>
      </c>
      <c r="F59" s="8" t="s">
        <v>1120</v>
      </c>
      <c r="G59" s="8">
        <v>0</v>
      </c>
      <c r="H59" s="157">
        <v>876101.19</v>
      </c>
    </row>
    <row r="60" spans="1:8">
      <c r="A60" s="6"/>
      <c r="B60" s="8" t="s">
        <v>1122</v>
      </c>
      <c r="C60" s="8"/>
      <c r="D60" s="158">
        <v>137834.45000000001</v>
      </c>
      <c r="F60" s="8" t="s">
        <v>1122</v>
      </c>
      <c r="G60" s="8">
        <v>0</v>
      </c>
      <c r="H60" s="157">
        <v>137834.45000000001</v>
      </c>
    </row>
    <row r="61" spans="1:8">
      <c r="A61" s="6"/>
      <c r="B61" s="8" t="s">
        <v>1123</v>
      </c>
      <c r="C61" s="8"/>
      <c r="D61" s="158">
        <v>841339.98</v>
      </c>
      <c r="F61" s="8" t="s">
        <v>1124</v>
      </c>
      <c r="G61" s="8">
        <v>0</v>
      </c>
      <c r="H61" s="160">
        <v>10224</v>
      </c>
    </row>
    <row r="62" spans="1:8">
      <c r="A62" s="6"/>
      <c r="B62" s="8" t="s">
        <v>1124</v>
      </c>
      <c r="C62" s="8"/>
      <c r="D62" s="159">
        <v>10224</v>
      </c>
      <c r="F62" s="8" t="s">
        <v>1123</v>
      </c>
      <c r="G62" s="8">
        <v>0</v>
      </c>
      <c r="H62" s="157">
        <v>841339.98</v>
      </c>
    </row>
    <row r="63" spans="1:8">
      <c r="A63" s="6"/>
      <c r="B63" s="8" t="s">
        <v>1125</v>
      </c>
      <c r="C63" s="8"/>
      <c r="D63" s="158">
        <v>407738.24</v>
      </c>
      <c r="F63" s="8" t="s">
        <v>1125</v>
      </c>
      <c r="G63" s="8">
        <v>0</v>
      </c>
      <c r="H63" s="157">
        <v>407738.24</v>
      </c>
    </row>
    <row r="64" spans="1:8">
      <c r="A64" s="6"/>
      <c r="B64" s="8" t="s">
        <v>1126</v>
      </c>
      <c r="C64" s="8"/>
      <c r="D64" s="158">
        <v>1099708.69</v>
      </c>
      <c r="F64" s="8" t="s">
        <v>1126</v>
      </c>
      <c r="G64" s="8">
        <v>0</v>
      </c>
      <c r="H64" s="157">
        <v>1099708.69</v>
      </c>
    </row>
    <row r="65" spans="1:8">
      <c r="A65" s="6"/>
      <c r="B65" s="8" t="s">
        <v>1127</v>
      </c>
      <c r="C65" s="8"/>
      <c r="D65" s="158">
        <v>759662.48</v>
      </c>
      <c r="F65" s="8" t="s">
        <v>1128</v>
      </c>
      <c r="G65" s="8">
        <v>0</v>
      </c>
      <c r="H65" s="160">
        <v>11808</v>
      </c>
    </row>
    <row r="66" spans="1:8">
      <c r="A66" s="6"/>
      <c r="B66" s="8" t="s">
        <v>1128</v>
      </c>
      <c r="C66" s="8"/>
      <c r="D66" s="159">
        <v>11808</v>
      </c>
      <c r="F66" s="8" t="s">
        <v>1129</v>
      </c>
      <c r="G66" s="8">
        <v>0</v>
      </c>
      <c r="H66" s="157">
        <v>294744.01</v>
      </c>
    </row>
    <row r="67" spans="1:8">
      <c r="A67" s="6"/>
      <c r="B67" s="8" t="s">
        <v>1129</v>
      </c>
      <c r="C67" s="8"/>
      <c r="D67" s="158">
        <v>294744.01</v>
      </c>
      <c r="F67" s="8" t="s">
        <v>1127</v>
      </c>
      <c r="G67" s="8">
        <v>0</v>
      </c>
      <c r="H67" s="157">
        <v>759662.48</v>
      </c>
    </row>
    <row r="68" spans="1:8">
      <c r="A68" s="6"/>
      <c r="B68" s="8" t="s">
        <v>1130</v>
      </c>
      <c r="C68" s="8"/>
      <c r="D68" s="158">
        <v>1413629.9</v>
      </c>
      <c r="F68" s="8" t="s">
        <v>1131</v>
      </c>
      <c r="G68" s="8">
        <v>0</v>
      </c>
      <c r="H68" s="160">
        <v>15696</v>
      </c>
    </row>
    <row r="69" spans="1:8">
      <c r="A69" s="6"/>
      <c r="B69" s="8" t="s">
        <v>1131</v>
      </c>
      <c r="C69" s="8"/>
      <c r="D69" s="159">
        <v>15696</v>
      </c>
      <c r="F69" s="8" t="s">
        <v>1130</v>
      </c>
      <c r="G69" s="8">
        <v>0</v>
      </c>
      <c r="H69" s="157">
        <v>1413629.9</v>
      </c>
    </row>
    <row r="70" spans="1:8">
      <c r="A70" s="6"/>
      <c r="B70" s="8" t="s">
        <v>1132</v>
      </c>
      <c r="C70" s="8"/>
      <c r="D70" s="158">
        <v>1048203.94</v>
      </c>
      <c r="F70" s="8" t="s">
        <v>1133</v>
      </c>
      <c r="G70" s="8">
        <v>0</v>
      </c>
      <c r="H70" s="160">
        <v>13056</v>
      </c>
    </row>
    <row r="71" spans="1:8">
      <c r="A71" s="6"/>
      <c r="B71" s="8" t="s">
        <v>1133</v>
      </c>
      <c r="C71" s="8"/>
      <c r="D71" s="159">
        <v>13056</v>
      </c>
      <c r="F71" s="8" t="s">
        <v>1132</v>
      </c>
      <c r="G71" s="8">
        <v>0</v>
      </c>
      <c r="H71" s="157">
        <v>1048203.94</v>
      </c>
    </row>
    <row r="72" spans="1:8">
      <c r="A72" s="6"/>
      <c r="B72" s="8" t="s">
        <v>1134</v>
      </c>
      <c r="C72" s="8"/>
      <c r="D72" s="158">
        <v>1371166.01</v>
      </c>
      <c r="F72" s="8" t="s">
        <v>1135</v>
      </c>
      <c r="G72" s="8">
        <v>0</v>
      </c>
      <c r="H72" s="160">
        <v>12384</v>
      </c>
    </row>
    <row r="73" spans="1:8">
      <c r="A73" s="6"/>
      <c r="B73" s="8" t="s">
        <v>1135</v>
      </c>
      <c r="C73" s="8"/>
      <c r="D73" s="159">
        <v>12384</v>
      </c>
      <c r="F73" s="8" t="s">
        <v>1134</v>
      </c>
      <c r="G73" s="8">
        <v>0</v>
      </c>
      <c r="H73" s="157">
        <v>1371166</v>
      </c>
    </row>
    <row r="74" spans="1:8">
      <c r="A74" s="6"/>
      <c r="B74" s="8" t="s">
        <v>1136</v>
      </c>
      <c r="C74" s="8"/>
      <c r="D74" s="158">
        <v>984918.3</v>
      </c>
      <c r="F74" s="8" t="s">
        <v>1137</v>
      </c>
      <c r="G74" s="8">
        <v>0</v>
      </c>
      <c r="H74" s="160">
        <v>12336</v>
      </c>
    </row>
    <row r="75" spans="1:8">
      <c r="A75" s="6"/>
      <c r="B75" s="8" t="s">
        <v>1137</v>
      </c>
      <c r="C75" s="8"/>
      <c r="D75" s="159">
        <v>12336</v>
      </c>
      <c r="F75" s="8" t="s">
        <v>1136</v>
      </c>
      <c r="G75" s="8">
        <v>0</v>
      </c>
      <c r="H75" s="157">
        <v>984918.3</v>
      </c>
    </row>
    <row r="76" spans="1:8">
      <c r="A76" s="6"/>
      <c r="B76" s="8" t="s">
        <v>1138</v>
      </c>
      <c r="C76" s="8"/>
      <c r="D76" s="158">
        <v>452008.77</v>
      </c>
      <c r="F76" s="8" t="s">
        <v>1138</v>
      </c>
      <c r="G76" s="8">
        <v>0</v>
      </c>
      <c r="H76" s="157">
        <v>452008.77</v>
      </c>
    </row>
    <row r="77" spans="1:8">
      <c r="A77" s="6"/>
      <c r="B77" s="8" t="s">
        <v>1139</v>
      </c>
      <c r="C77" s="8"/>
      <c r="D77" s="158">
        <v>169394.01</v>
      </c>
      <c r="F77" s="8" t="s">
        <v>1141</v>
      </c>
      <c r="G77" s="8">
        <v>0</v>
      </c>
      <c r="H77" s="160">
        <v>10464</v>
      </c>
    </row>
    <row r="78" spans="1:8">
      <c r="A78" s="6"/>
      <c r="B78" s="8" t="s">
        <v>1140</v>
      </c>
      <c r="C78" s="8"/>
      <c r="D78" s="158">
        <v>916299.15</v>
      </c>
      <c r="F78" s="8" t="s">
        <v>1143</v>
      </c>
      <c r="G78" s="8">
        <v>0</v>
      </c>
      <c r="H78" s="160">
        <v>12451.2</v>
      </c>
    </row>
    <row r="79" spans="1:8">
      <c r="A79" s="6"/>
      <c r="B79" s="8" t="s">
        <v>1141</v>
      </c>
      <c r="C79" s="8"/>
      <c r="D79" s="159">
        <v>10464</v>
      </c>
      <c r="F79" s="8" t="s">
        <v>1140</v>
      </c>
      <c r="G79" s="8">
        <v>0</v>
      </c>
      <c r="H79" s="157">
        <v>916299.15</v>
      </c>
    </row>
    <row r="80" spans="1:8">
      <c r="A80" s="6"/>
      <c r="B80" s="8" t="s">
        <v>1142</v>
      </c>
      <c r="C80" s="8"/>
      <c r="D80" s="158">
        <v>944497.37</v>
      </c>
      <c r="F80" s="8" t="s">
        <v>1139</v>
      </c>
      <c r="G80" s="8">
        <v>0</v>
      </c>
      <c r="H80" s="157">
        <v>169394.01</v>
      </c>
    </row>
    <row r="81" spans="1:8">
      <c r="A81" s="6"/>
      <c r="B81" s="8" t="s">
        <v>1143</v>
      </c>
      <c r="C81" s="8"/>
      <c r="D81" s="159">
        <v>12451.2</v>
      </c>
      <c r="F81" s="8" t="s">
        <v>1142</v>
      </c>
      <c r="G81" s="8">
        <v>0</v>
      </c>
      <c r="H81" s="157">
        <v>944497.37</v>
      </c>
    </row>
    <row r="82" spans="1:8">
      <c r="A82" s="6"/>
      <c r="B82" s="8" t="s">
        <v>1144</v>
      </c>
      <c r="C82" s="8"/>
      <c r="D82" s="158">
        <v>1100640.8899999999</v>
      </c>
      <c r="F82" s="8" t="s">
        <v>1145</v>
      </c>
      <c r="G82" s="8">
        <v>0</v>
      </c>
      <c r="H82" s="160">
        <v>13920</v>
      </c>
    </row>
    <row r="83" spans="1:8">
      <c r="A83" s="6"/>
      <c r="B83" s="8" t="s">
        <v>1145</v>
      </c>
      <c r="C83" s="8"/>
      <c r="D83" s="159">
        <v>13920</v>
      </c>
      <c r="F83" s="8" t="s">
        <v>1144</v>
      </c>
      <c r="G83" s="8">
        <v>0</v>
      </c>
      <c r="H83" s="157">
        <v>1100640.8899999999</v>
      </c>
    </row>
    <row r="84" spans="1:8">
      <c r="A84" s="6"/>
      <c r="B84" s="8" t="s">
        <v>1146</v>
      </c>
      <c r="C84" s="8"/>
      <c r="D84" s="158">
        <v>943558.62</v>
      </c>
      <c r="F84" s="8" t="s">
        <v>1147</v>
      </c>
      <c r="G84" s="8">
        <v>0</v>
      </c>
      <c r="H84" s="160">
        <v>10128</v>
      </c>
    </row>
    <row r="85" spans="1:8">
      <c r="A85" s="6"/>
      <c r="B85" s="8" t="s">
        <v>1147</v>
      </c>
      <c r="C85" s="8"/>
      <c r="D85" s="159">
        <v>10128</v>
      </c>
      <c r="F85" s="8" t="s">
        <v>1146</v>
      </c>
      <c r="G85" s="8">
        <v>0</v>
      </c>
      <c r="H85" s="157">
        <v>943558.62</v>
      </c>
    </row>
    <row r="86" spans="1:8">
      <c r="A86" s="6"/>
      <c r="B86" s="8" t="s">
        <v>1148</v>
      </c>
      <c r="C86" s="8"/>
      <c r="D86" s="158">
        <v>1192860.54</v>
      </c>
      <c r="F86" s="8" t="s">
        <v>1149</v>
      </c>
      <c r="G86" s="8">
        <v>0</v>
      </c>
      <c r="H86" s="160">
        <v>6528</v>
      </c>
    </row>
    <row r="87" spans="1:8">
      <c r="A87" s="6"/>
      <c r="B87" s="8" t="s">
        <v>1149</v>
      </c>
      <c r="C87" s="8"/>
      <c r="D87" s="159">
        <v>6528</v>
      </c>
      <c r="F87" s="8" t="s">
        <v>1148</v>
      </c>
      <c r="G87" s="8">
        <v>0</v>
      </c>
      <c r="H87" s="157">
        <v>1192860.54</v>
      </c>
    </row>
    <row r="88" spans="1:8">
      <c r="A88" s="6"/>
      <c r="B88" s="8" t="s">
        <v>1150</v>
      </c>
      <c r="C88" s="8"/>
      <c r="D88" s="158">
        <v>701974.4</v>
      </c>
      <c r="F88" s="8" t="s">
        <v>1151</v>
      </c>
      <c r="G88" s="8">
        <v>0</v>
      </c>
      <c r="H88" s="160">
        <v>7392</v>
      </c>
    </row>
    <row r="89" spans="1:8">
      <c r="A89" s="6"/>
      <c r="B89" s="8" t="s">
        <v>1151</v>
      </c>
      <c r="C89" s="8"/>
      <c r="D89" s="159">
        <v>7392</v>
      </c>
      <c r="F89" s="8" t="s">
        <v>1150</v>
      </c>
      <c r="G89" s="8">
        <v>0</v>
      </c>
      <c r="H89" s="157">
        <v>701974.4</v>
      </c>
    </row>
    <row r="90" spans="1:8">
      <c r="A90" s="6"/>
      <c r="B90" s="8" t="s">
        <v>1152</v>
      </c>
      <c r="C90" s="8"/>
      <c r="D90" s="158">
        <v>1218856.01</v>
      </c>
      <c r="F90" s="8" t="s">
        <v>1153</v>
      </c>
      <c r="G90" s="8">
        <v>0</v>
      </c>
      <c r="H90" s="160">
        <v>10608</v>
      </c>
    </row>
    <row r="91" spans="1:8">
      <c r="A91" s="6"/>
      <c r="B91" s="8" t="s">
        <v>1153</v>
      </c>
      <c r="C91" s="8"/>
      <c r="D91" s="159">
        <v>10608</v>
      </c>
      <c r="F91" s="8" t="s">
        <v>1152</v>
      </c>
      <c r="G91" s="8">
        <v>0</v>
      </c>
      <c r="H91" s="157">
        <v>1218856.01</v>
      </c>
    </row>
    <row r="92" spans="1:8">
      <c r="A92" s="6"/>
      <c r="B92" s="8" t="s">
        <v>1154</v>
      </c>
      <c r="C92" s="8"/>
      <c r="D92" s="158">
        <v>785694.43</v>
      </c>
      <c r="F92" s="8" t="s">
        <v>1155</v>
      </c>
      <c r="G92" s="8">
        <v>0</v>
      </c>
      <c r="H92" s="160">
        <v>9168</v>
      </c>
    </row>
    <row r="93" spans="1:8">
      <c r="A93" s="6"/>
      <c r="B93" s="8" t="s">
        <v>1155</v>
      </c>
      <c r="C93" s="8"/>
      <c r="D93" s="159">
        <v>9168</v>
      </c>
      <c r="F93" s="8" t="s">
        <v>1154</v>
      </c>
      <c r="G93" s="8">
        <v>0</v>
      </c>
      <c r="H93" s="157">
        <v>785694.43</v>
      </c>
    </row>
    <row r="94" spans="1:8">
      <c r="A94" s="6"/>
      <c r="B94" s="8" t="s">
        <v>1156</v>
      </c>
      <c r="C94" s="8"/>
      <c r="D94" s="158">
        <v>474614.73</v>
      </c>
      <c r="F94" s="8" t="s">
        <v>1156</v>
      </c>
      <c r="G94" s="8">
        <v>0</v>
      </c>
      <c r="H94" s="157">
        <v>474614.73</v>
      </c>
    </row>
    <row r="95" spans="1:8">
      <c r="A95" s="6"/>
      <c r="B95" s="8" t="s">
        <v>1157</v>
      </c>
      <c r="C95" s="8"/>
      <c r="D95" s="158">
        <v>1449026.42</v>
      </c>
      <c r="F95" s="8" t="s">
        <v>1158</v>
      </c>
      <c r="G95" s="8">
        <v>0</v>
      </c>
      <c r="H95" s="160">
        <v>14448</v>
      </c>
    </row>
    <row r="96" spans="1:8">
      <c r="A96" s="6"/>
      <c r="B96" s="8" t="s">
        <v>1158</v>
      </c>
      <c r="C96" s="8"/>
      <c r="D96" s="159">
        <v>14448</v>
      </c>
      <c r="F96" s="8" t="s">
        <v>1157</v>
      </c>
      <c r="G96" s="8">
        <v>0</v>
      </c>
      <c r="H96" s="157">
        <v>1449026.42</v>
      </c>
    </row>
    <row r="97" spans="1:8">
      <c r="A97" s="6"/>
      <c r="B97" s="8" t="s">
        <v>1159</v>
      </c>
      <c r="C97" s="8"/>
      <c r="D97" s="158">
        <v>1370726.3</v>
      </c>
      <c r="F97" s="8" t="s">
        <v>1160</v>
      </c>
      <c r="G97" s="8">
        <v>0</v>
      </c>
      <c r="H97" s="160">
        <v>11520</v>
      </c>
    </row>
    <row r="98" spans="1:8">
      <c r="A98" s="6"/>
      <c r="B98" s="8" t="s">
        <v>1160</v>
      </c>
      <c r="C98" s="8"/>
      <c r="D98" s="159">
        <v>11520</v>
      </c>
      <c r="F98" s="8" t="s">
        <v>1159</v>
      </c>
      <c r="G98" s="8">
        <v>0</v>
      </c>
      <c r="H98" s="157">
        <v>1370726.3</v>
      </c>
    </row>
    <row r="99" spans="1:8">
      <c r="A99" s="6"/>
      <c r="B99" s="8" t="s">
        <v>1161</v>
      </c>
      <c r="C99" s="8"/>
      <c r="D99" s="158">
        <v>921031.59</v>
      </c>
      <c r="F99" s="8" t="s">
        <v>1162</v>
      </c>
      <c r="G99" s="8">
        <v>0</v>
      </c>
      <c r="H99" s="160">
        <v>10032</v>
      </c>
    </row>
    <row r="100" spans="1:8">
      <c r="A100" s="6"/>
      <c r="B100" s="8" t="s">
        <v>1162</v>
      </c>
      <c r="C100" s="8"/>
      <c r="D100" s="159">
        <v>10032</v>
      </c>
      <c r="F100" s="8" t="s">
        <v>1161</v>
      </c>
      <c r="G100" s="8">
        <v>0</v>
      </c>
      <c r="H100" s="157">
        <v>921031.59</v>
      </c>
    </row>
    <row r="101" spans="1:8">
      <c r="A101" s="6"/>
      <c r="B101" s="8" t="s">
        <v>1163</v>
      </c>
      <c r="C101" s="8"/>
      <c r="D101" s="158">
        <v>899.17</v>
      </c>
      <c r="F101" s="8" t="s">
        <v>1165</v>
      </c>
      <c r="G101" s="8">
        <v>0</v>
      </c>
      <c r="H101" s="160">
        <v>13440</v>
      </c>
    </row>
    <row r="102" spans="1:8">
      <c r="A102" s="6"/>
      <c r="B102" s="8" t="s">
        <v>1164</v>
      </c>
      <c r="C102" s="8"/>
      <c r="D102" s="158">
        <v>1279627.7</v>
      </c>
      <c r="F102" s="8" t="s">
        <v>1163</v>
      </c>
      <c r="G102" s="8">
        <v>0</v>
      </c>
      <c r="H102" s="157">
        <v>899.17</v>
      </c>
    </row>
    <row r="103" spans="1:8">
      <c r="A103" s="6"/>
      <c r="B103" s="8" t="s">
        <v>1165</v>
      </c>
      <c r="C103" s="8"/>
      <c r="D103" s="159">
        <v>13440</v>
      </c>
      <c r="F103" s="8" t="s">
        <v>1164</v>
      </c>
      <c r="G103" s="8">
        <v>0</v>
      </c>
      <c r="H103" s="157">
        <v>1279627.7</v>
      </c>
    </row>
    <row r="104" spans="1:8">
      <c r="A104" s="6"/>
      <c r="B104" s="8" t="s">
        <v>1166</v>
      </c>
      <c r="C104" s="8"/>
      <c r="D104" s="158">
        <v>1495085.98</v>
      </c>
      <c r="F104" s="8" t="s">
        <v>1167</v>
      </c>
      <c r="G104" s="8">
        <v>0</v>
      </c>
      <c r="H104" s="160">
        <v>13344</v>
      </c>
    </row>
    <row r="105" spans="1:8">
      <c r="A105" s="6"/>
      <c r="B105" s="8" t="s">
        <v>1167</v>
      </c>
      <c r="C105" s="8"/>
      <c r="D105" s="159">
        <v>13344</v>
      </c>
      <c r="F105" s="8" t="s">
        <v>1166</v>
      </c>
      <c r="G105" s="8">
        <v>0</v>
      </c>
      <c r="H105" s="157">
        <v>1495085.98</v>
      </c>
    </row>
    <row r="106" spans="1:8">
      <c r="A106" s="6"/>
      <c r="B106" s="8" t="s">
        <v>1168</v>
      </c>
      <c r="C106" s="8"/>
      <c r="D106" s="158">
        <v>1260506.3799999999</v>
      </c>
      <c r="F106" s="8" t="s">
        <v>1169</v>
      </c>
      <c r="G106" s="8">
        <v>0</v>
      </c>
      <c r="H106" s="160">
        <v>14016</v>
      </c>
    </row>
    <row r="107" spans="1:8">
      <c r="A107" s="6"/>
      <c r="B107" s="8" t="s">
        <v>1169</v>
      </c>
      <c r="C107" s="8"/>
      <c r="D107" s="159">
        <v>14016</v>
      </c>
      <c r="F107" s="8" t="s">
        <v>1168</v>
      </c>
      <c r="G107" s="8">
        <v>0</v>
      </c>
      <c r="H107" s="157">
        <v>1260506.3799999999</v>
      </c>
    </row>
    <row r="108" spans="1:8">
      <c r="A108" s="6"/>
      <c r="B108" s="8" t="s">
        <v>1170</v>
      </c>
      <c r="C108" s="8"/>
      <c r="D108" s="158">
        <v>965581.83</v>
      </c>
      <c r="F108" s="8" t="s">
        <v>1171</v>
      </c>
      <c r="G108" s="8">
        <v>0</v>
      </c>
      <c r="H108" s="160">
        <v>10608</v>
      </c>
    </row>
    <row r="109" spans="1:8">
      <c r="A109" s="6"/>
      <c r="B109" s="8" t="s">
        <v>1171</v>
      </c>
      <c r="C109" s="8"/>
      <c r="D109" s="159">
        <v>10608</v>
      </c>
      <c r="F109" s="8" t="s">
        <v>1170</v>
      </c>
      <c r="G109" s="8">
        <v>0</v>
      </c>
      <c r="H109" s="157">
        <v>965581.83</v>
      </c>
    </row>
    <row r="110" spans="1:8">
      <c r="A110" s="6"/>
      <c r="B110" s="8" t="s">
        <v>1172</v>
      </c>
      <c r="C110" s="8"/>
      <c r="D110" s="158">
        <v>571017.74</v>
      </c>
      <c r="F110" s="8" t="s">
        <v>1174</v>
      </c>
      <c r="G110" s="8">
        <v>0</v>
      </c>
      <c r="H110" s="160">
        <v>18576</v>
      </c>
    </row>
    <row r="111" spans="1:8">
      <c r="A111" s="6"/>
      <c r="B111" s="8" t="s">
        <v>1173</v>
      </c>
      <c r="C111" s="8"/>
      <c r="D111" s="158">
        <v>1245712.99</v>
      </c>
      <c r="F111" s="8" t="s">
        <v>1172</v>
      </c>
      <c r="G111" s="8">
        <v>0</v>
      </c>
      <c r="H111" s="157">
        <v>571017.74</v>
      </c>
    </row>
    <row r="112" spans="1:8">
      <c r="A112" s="6"/>
      <c r="B112" s="8" t="s">
        <v>1174</v>
      </c>
      <c r="C112" s="8"/>
      <c r="D112" s="159">
        <v>18576</v>
      </c>
      <c r="F112" s="8" t="s">
        <v>1173</v>
      </c>
      <c r="G112" s="8">
        <v>0</v>
      </c>
      <c r="H112" s="157">
        <v>1245712.99</v>
      </c>
    </row>
    <row r="113" spans="1:8">
      <c r="A113" s="6"/>
      <c r="B113" s="8" t="s">
        <v>1175</v>
      </c>
      <c r="C113" s="8"/>
      <c r="D113" s="158">
        <v>913301.11</v>
      </c>
      <c r="F113" s="8" t="s">
        <v>1176</v>
      </c>
      <c r="G113" s="8">
        <v>0</v>
      </c>
      <c r="H113" s="160">
        <v>13632</v>
      </c>
    </row>
    <row r="114" spans="1:8">
      <c r="A114" s="6"/>
      <c r="B114" s="8" t="s">
        <v>1176</v>
      </c>
      <c r="C114" s="8"/>
      <c r="D114" s="159">
        <v>13632</v>
      </c>
      <c r="F114" s="8" t="s">
        <v>1175</v>
      </c>
      <c r="G114" s="8">
        <v>0</v>
      </c>
      <c r="H114" s="157">
        <v>913301.11</v>
      </c>
    </row>
    <row r="115" spans="1:8">
      <c r="A115" s="6"/>
      <c r="B115" s="8" t="s">
        <v>1177</v>
      </c>
      <c r="C115" s="8"/>
      <c r="D115" s="158">
        <v>1319317.08</v>
      </c>
      <c r="F115" s="8" t="s">
        <v>1178</v>
      </c>
      <c r="G115" s="8">
        <v>0</v>
      </c>
      <c r="H115" s="160">
        <v>13824</v>
      </c>
    </row>
    <row r="116" spans="1:8">
      <c r="A116" s="6"/>
      <c r="B116" s="8" t="s">
        <v>1178</v>
      </c>
      <c r="C116" s="8"/>
      <c r="D116" s="159">
        <v>13824</v>
      </c>
      <c r="F116" s="8" t="s">
        <v>1177</v>
      </c>
      <c r="G116" s="8">
        <v>0</v>
      </c>
      <c r="H116" s="157">
        <v>1319317.08</v>
      </c>
    </row>
    <row r="117" spans="1:8">
      <c r="A117" s="6"/>
      <c r="B117" s="8" t="s">
        <v>1179</v>
      </c>
      <c r="C117" s="8"/>
      <c r="D117" s="158">
        <v>1359856.67</v>
      </c>
      <c r="F117" s="8" t="s">
        <v>1180</v>
      </c>
      <c r="G117" s="8">
        <v>0</v>
      </c>
      <c r="H117" s="160">
        <v>15264</v>
      </c>
    </row>
    <row r="118" spans="1:8">
      <c r="A118" s="6"/>
      <c r="B118" s="8" t="s">
        <v>1180</v>
      </c>
      <c r="C118" s="8"/>
      <c r="D118" s="159">
        <v>15264</v>
      </c>
      <c r="F118" s="8" t="s">
        <v>1179</v>
      </c>
      <c r="G118" s="8">
        <v>0</v>
      </c>
      <c r="H118" s="157">
        <v>1359856.67</v>
      </c>
    </row>
    <row r="119" spans="1:8">
      <c r="A119" s="6"/>
      <c r="B119" s="8" t="s">
        <v>1181</v>
      </c>
      <c r="C119" s="8"/>
      <c r="D119" s="158">
        <v>1057290.19</v>
      </c>
      <c r="F119" s="8" t="s">
        <v>1182</v>
      </c>
      <c r="G119" s="8">
        <v>0</v>
      </c>
      <c r="H119" s="160">
        <v>17712</v>
      </c>
    </row>
    <row r="120" spans="1:8">
      <c r="A120" s="6"/>
      <c r="B120" s="8" t="s">
        <v>1182</v>
      </c>
      <c r="C120" s="8"/>
      <c r="D120" s="159">
        <v>17712</v>
      </c>
      <c r="F120" s="8" t="s">
        <v>1184</v>
      </c>
      <c r="G120" s="8">
        <v>0</v>
      </c>
      <c r="H120" s="160">
        <v>2928</v>
      </c>
    </row>
    <row r="121" spans="1:8">
      <c r="A121" s="6"/>
      <c r="B121" s="8" t="s">
        <v>1183</v>
      </c>
      <c r="C121" s="8"/>
      <c r="D121" s="158">
        <v>1301483.3700000001</v>
      </c>
      <c r="F121" s="8" t="s">
        <v>1181</v>
      </c>
      <c r="G121" s="8">
        <v>0</v>
      </c>
      <c r="H121" s="157">
        <v>1057290.19</v>
      </c>
    </row>
    <row r="122" spans="1:8">
      <c r="A122" s="6"/>
      <c r="B122" s="8" t="s">
        <v>1184</v>
      </c>
      <c r="C122" s="8"/>
      <c r="D122" s="159">
        <v>2928</v>
      </c>
      <c r="F122" s="8" t="s">
        <v>1183</v>
      </c>
      <c r="G122" s="8">
        <v>0</v>
      </c>
      <c r="H122" s="157">
        <v>1301483.3700000001</v>
      </c>
    </row>
    <row r="123" spans="1:8">
      <c r="A123" s="6"/>
      <c r="B123" s="8" t="s">
        <v>1185</v>
      </c>
      <c r="C123" s="8"/>
      <c r="D123" s="158">
        <v>1269459.5900000001</v>
      </c>
      <c r="F123" s="8" t="s">
        <v>1186</v>
      </c>
      <c r="G123" s="8">
        <v>0</v>
      </c>
      <c r="H123" s="160">
        <v>12384</v>
      </c>
    </row>
    <row r="124" spans="1:8">
      <c r="A124" s="6"/>
      <c r="B124" s="8" t="s">
        <v>1186</v>
      </c>
      <c r="C124" s="8"/>
      <c r="D124" s="159">
        <v>12384</v>
      </c>
      <c r="F124" s="8" t="s">
        <v>1185</v>
      </c>
      <c r="G124" s="8">
        <v>0</v>
      </c>
      <c r="H124" s="157">
        <v>1269459.5900000001</v>
      </c>
    </row>
    <row r="125" spans="1:8">
      <c r="A125" s="6"/>
      <c r="B125" s="8" t="s">
        <v>1187</v>
      </c>
      <c r="C125" s="8"/>
      <c r="D125" s="158">
        <v>177399.96</v>
      </c>
      <c r="F125" s="8" t="s">
        <v>1188</v>
      </c>
      <c r="G125" s="8">
        <v>0</v>
      </c>
      <c r="H125" s="160">
        <v>1728</v>
      </c>
    </row>
    <row r="126" spans="1:8">
      <c r="A126" s="6"/>
      <c r="B126" s="8" t="s">
        <v>1188</v>
      </c>
      <c r="C126" s="8"/>
      <c r="D126" s="159">
        <v>1728</v>
      </c>
      <c r="F126" s="8" t="s">
        <v>1190</v>
      </c>
      <c r="G126" s="8">
        <v>0</v>
      </c>
      <c r="H126" s="160">
        <v>12240</v>
      </c>
    </row>
    <row r="127" spans="1:8">
      <c r="A127" s="6"/>
      <c r="B127" s="8" t="s">
        <v>1189</v>
      </c>
      <c r="C127" s="8"/>
      <c r="D127" s="158">
        <v>928744.95999999996</v>
      </c>
      <c r="F127" s="8" t="s">
        <v>1187</v>
      </c>
      <c r="G127" s="8">
        <v>0</v>
      </c>
      <c r="H127" s="157">
        <v>177399.96</v>
      </c>
    </row>
    <row r="128" spans="1:8">
      <c r="A128" s="6"/>
      <c r="B128" s="8" t="s">
        <v>1190</v>
      </c>
      <c r="C128" s="8"/>
      <c r="D128" s="159">
        <v>12240</v>
      </c>
      <c r="F128" s="8" t="s">
        <v>1189</v>
      </c>
      <c r="G128" s="8">
        <v>0</v>
      </c>
      <c r="H128" s="157">
        <v>928744.95999999996</v>
      </c>
    </row>
    <row r="129" spans="1:8">
      <c r="A129" s="6"/>
      <c r="B129" s="8" t="s">
        <v>1191</v>
      </c>
      <c r="C129" s="8"/>
      <c r="D129" s="158">
        <v>1091137.04</v>
      </c>
      <c r="F129" s="8" t="s">
        <v>1192</v>
      </c>
      <c r="G129" s="8">
        <v>0</v>
      </c>
      <c r="H129" s="160">
        <v>18720</v>
      </c>
    </row>
    <row r="130" spans="1:8">
      <c r="A130" s="6"/>
      <c r="B130" s="8" t="s">
        <v>1192</v>
      </c>
      <c r="C130" s="8"/>
      <c r="D130" s="159">
        <v>18720</v>
      </c>
      <c r="F130" s="8" t="s">
        <v>1194</v>
      </c>
      <c r="G130" s="8">
        <v>0</v>
      </c>
      <c r="H130" s="157">
        <v>480</v>
      </c>
    </row>
    <row r="131" spans="1:8">
      <c r="A131" s="6"/>
      <c r="B131" s="8" t="s">
        <v>1193</v>
      </c>
      <c r="C131" s="8"/>
      <c r="D131" s="158">
        <v>221842.8</v>
      </c>
      <c r="F131" s="8" t="s">
        <v>1191</v>
      </c>
      <c r="G131" s="8">
        <v>0</v>
      </c>
      <c r="H131" s="157">
        <v>1091137.04</v>
      </c>
    </row>
    <row r="132" spans="1:8">
      <c r="A132" s="6"/>
      <c r="B132" s="8" t="s">
        <v>1194</v>
      </c>
      <c r="C132" s="8"/>
      <c r="D132" s="158">
        <v>480</v>
      </c>
      <c r="F132" s="8" t="s">
        <v>1193</v>
      </c>
      <c r="G132" s="8">
        <v>0</v>
      </c>
      <c r="H132" s="157">
        <v>221842.8</v>
      </c>
    </row>
    <row r="133" spans="1:8">
      <c r="A133" s="6"/>
      <c r="B133" s="8" t="s">
        <v>1195</v>
      </c>
      <c r="C133" s="8"/>
      <c r="D133" s="158">
        <v>581074.05000000005</v>
      </c>
      <c r="F133" s="8" t="s">
        <v>1197</v>
      </c>
      <c r="G133" s="8">
        <v>0</v>
      </c>
      <c r="H133" s="160">
        <v>15504</v>
      </c>
    </row>
    <row r="134" spans="1:8">
      <c r="A134" s="6"/>
      <c r="B134" s="8" t="s">
        <v>1196</v>
      </c>
      <c r="C134" s="8"/>
      <c r="D134" s="158">
        <v>975088.09</v>
      </c>
      <c r="F134" s="8" t="s">
        <v>1195</v>
      </c>
      <c r="G134" s="8">
        <v>0</v>
      </c>
      <c r="H134" s="157">
        <v>581074.05000000005</v>
      </c>
    </row>
    <row r="135" spans="1:8">
      <c r="A135" s="6"/>
      <c r="B135" s="8" t="s">
        <v>1197</v>
      </c>
      <c r="C135" s="8"/>
      <c r="D135" s="159">
        <v>15504</v>
      </c>
      <c r="F135" s="8" t="s">
        <v>1196</v>
      </c>
      <c r="G135" s="8">
        <v>0</v>
      </c>
      <c r="H135" s="157">
        <v>975088.08</v>
      </c>
    </row>
    <row r="136" spans="1:8">
      <c r="A136" s="6"/>
      <c r="B136" s="8" t="s">
        <v>1198</v>
      </c>
      <c r="C136" s="8"/>
      <c r="D136" s="158">
        <v>858991.9</v>
      </c>
      <c r="F136" s="8" t="s">
        <v>1199</v>
      </c>
      <c r="G136" s="8">
        <v>0</v>
      </c>
      <c r="H136" s="160">
        <v>14544</v>
      </c>
    </row>
    <row r="137" spans="1:8">
      <c r="A137" s="6"/>
      <c r="B137" s="8" t="s">
        <v>1199</v>
      </c>
      <c r="C137" s="8"/>
      <c r="D137" s="159">
        <v>14544</v>
      </c>
      <c r="F137" s="8" t="s">
        <v>1201</v>
      </c>
      <c r="G137" s="8">
        <v>0</v>
      </c>
      <c r="H137" s="157">
        <v>672</v>
      </c>
    </row>
    <row r="138" spans="1:8">
      <c r="A138" s="6"/>
      <c r="B138" s="8" t="s">
        <v>1200</v>
      </c>
      <c r="C138" s="8"/>
      <c r="D138" s="158">
        <v>292437.89</v>
      </c>
      <c r="F138" s="8" t="s">
        <v>1198</v>
      </c>
      <c r="G138" s="8">
        <v>0</v>
      </c>
      <c r="H138" s="157">
        <v>858991.9</v>
      </c>
    </row>
    <row r="139" spans="1:8">
      <c r="A139" s="6"/>
      <c r="B139" s="8" t="s">
        <v>1201</v>
      </c>
      <c r="C139" s="8"/>
      <c r="D139" s="158">
        <v>672</v>
      </c>
      <c r="F139" s="8" t="s">
        <v>1200</v>
      </c>
      <c r="G139" s="8">
        <v>0</v>
      </c>
      <c r="H139" s="157">
        <v>292437.89</v>
      </c>
    </row>
    <row r="140" spans="1:8">
      <c r="A140" s="6"/>
      <c r="B140" s="8" t="s">
        <v>1202</v>
      </c>
      <c r="C140" s="8"/>
      <c r="D140" s="158">
        <v>1014545.83</v>
      </c>
      <c r="F140" s="8" t="s">
        <v>1203</v>
      </c>
      <c r="G140" s="8">
        <v>0</v>
      </c>
      <c r="H140" s="160">
        <v>17184</v>
      </c>
    </row>
    <row r="141" spans="1:8">
      <c r="A141" s="6"/>
      <c r="B141" s="8" t="s">
        <v>1203</v>
      </c>
      <c r="C141" s="8"/>
      <c r="D141" s="159">
        <v>17184</v>
      </c>
      <c r="F141" s="8" t="s">
        <v>1202</v>
      </c>
      <c r="G141" s="8">
        <v>0</v>
      </c>
      <c r="H141" s="157">
        <v>1014545.83</v>
      </c>
    </row>
    <row r="142" spans="1:8">
      <c r="A142" s="6"/>
      <c r="B142" s="8" t="s">
        <v>1204</v>
      </c>
      <c r="C142" s="8"/>
      <c r="D142" s="158">
        <v>1180317.93</v>
      </c>
      <c r="F142" s="8" t="s">
        <v>1205</v>
      </c>
      <c r="G142" s="8">
        <v>0</v>
      </c>
      <c r="H142" s="160">
        <v>15840</v>
      </c>
    </row>
    <row r="143" spans="1:8">
      <c r="A143" s="6"/>
      <c r="B143" s="8" t="s">
        <v>1205</v>
      </c>
      <c r="C143" s="8"/>
      <c r="D143" s="159">
        <v>15840</v>
      </c>
      <c r="F143" s="8" t="s">
        <v>1204</v>
      </c>
      <c r="G143" s="8">
        <v>0</v>
      </c>
      <c r="H143" s="157">
        <v>1180317.93</v>
      </c>
    </row>
    <row r="144" spans="1:8">
      <c r="A144" s="6"/>
      <c r="B144" s="8" t="s">
        <v>1206</v>
      </c>
      <c r="C144" s="8"/>
      <c r="D144" s="158">
        <v>1209444.4099999999</v>
      </c>
      <c r="F144" s="8" t="s">
        <v>1207</v>
      </c>
      <c r="G144" s="8">
        <v>0</v>
      </c>
      <c r="H144" s="160">
        <v>17232</v>
      </c>
    </row>
    <row r="145" spans="1:8">
      <c r="A145" s="6"/>
      <c r="B145" s="8" t="s">
        <v>1207</v>
      </c>
      <c r="C145" s="8"/>
      <c r="D145" s="159">
        <v>17232</v>
      </c>
      <c r="F145" s="8" t="s">
        <v>1206</v>
      </c>
      <c r="G145" s="8">
        <v>0</v>
      </c>
      <c r="H145" s="157">
        <v>1209444.4099999999</v>
      </c>
    </row>
    <row r="146" spans="1:8">
      <c r="A146" s="6"/>
      <c r="B146" s="8" t="s">
        <v>1208</v>
      </c>
      <c r="C146" s="8"/>
      <c r="D146" s="159">
        <v>6700</v>
      </c>
      <c r="F146" s="8" t="s">
        <v>1208</v>
      </c>
      <c r="G146" s="8">
        <v>0</v>
      </c>
      <c r="H146" s="160">
        <v>6700</v>
      </c>
    </row>
    <row r="147" spans="1:8">
      <c r="A147" s="6"/>
      <c r="B147" s="8" t="s">
        <v>1209</v>
      </c>
      <c r="C147" s="8"/>
      <c r="D147" s="158">
        <v>938452.6</v>
      </c>
      <c r="F147" s="8" t="s">
        <v>1210</v>
      </c>
      <c r="G147" s="8">
        <v>0</v>
      </c>
      <c r="H147" s="160">
        <v>15043.2</v>
      </c>
    </row>
    <row r="148" spans="1:8">
      <c r="A148" s="6"/>
      <c r="B148" s="8" t="s">
        <v>1210</v>
      </c>
      <c r="C148" s="8"/>
      <c r="D148" s="159">
        <v>15043.2</v>
      </c>
      <c r="F148" s="8" t="s">
        <v>1209</v>
      </c>
      <c r="G148" s="8">
        <v>0</v>
      </c>
      <c r="H148" s="157">
        <v>938452.6</v>
      </c>
    </row>
    <row r="149" spans="1:8">
      <c r="A149" s="6"/>
      <c r="B149" s="8" t="s">
        <v>1211</v>
      </c>
      <c r="C149" s="8"/>
      <c r="D149" s="158">
        <v>906785.95</v>
      </c>
      <c r="F149" s="8" t="s">
        <v>1212</v>
      </c>
      <c r="G149" s="8">
        <v>0</v>
      </c>
      <c r="H149" s="160">
        <v>14880</v>
      </c>
    </row>
    <row r="150" spans="1:8">
      <c r="A150" s="6"/>
      <c r="B150" s="8" t="s">
        <v>1212</v>
      </c>
      <c r="C150" s="8"/>
      <c r="D150" s="159">
        <v>14880</v>
      </c>
      <c r="F150" s="8" t="s">
        <v>1211</v>
      </c>
      <c r="G150" s="8">
        <v>0</v>
      </c>
      <c r="H150" s="157">
        <v>906785.95</v>
      </c>
    </row>
    <row r="151" spans="1:8">
      <c r="A151" s="6"/>
      <c r="B151" s="8" t="s">
        <v>1213</v>
      </c>
      <c r="C151" s="8"/>
      <c r="D151" s="158">
        <v>850744.55</v>
      </c>
      <c r="F151" s="8" t="s">
        <v>1214</v>
      </c>
      <c r="G151" s="8">
        <v>0</v>
      </c>
      <c r="H151" s="160">
        <v>11184</v>
      </c>
    </row>
    <row r="152" spans="1:8">
      <c r="A152" s="6"/>
      <c r="B152" s="8" t="s">
        <v>1214</v>
      </c>
      <c r="C152" s="8"/>
      <c r="D152" s="159">
        <v>11184</v>
      </c>
      <c r="F152" s="8" t="s">
        <v>1213</v>
      </c>
      <c r="G152" s="8">
        <v>0</v>
      </c>
      <c r="H152" s="157">
        <v>850744.55</v>
      </c>
    </row>
    <row r="153" spans="1:8">
      <c r="A153" s="6"/>
      <c r="B153" s="8" t="s">
        <v>1215</v>
      </c>
      <c r="C153" s="8"/>
      <c r="D153" s="158">
        <v>212084.45</v>
      </c>
      <c r="F153" s="8" t="s">
        <v>1217</v>
      </c>
      <c r="G153" s="8">
        <v>0</v>
      </c>
      <c r="H153" s="160">
        <v>17280</v>
      </c>
    </row>
    <row r="154" spans="1:8">
      <c r="A154" s="6"/>
      <c r="B154" s="8" t="s">
        <v>1216</v>
      </c>
      <c r="C154" s="8"/>
      <c r="D154" s="158">
        <v>354952.14</v>
      </c>
      <c r="F154" s="8" t="s">
        <v>1215</v>
      </c>
      <c r="G154" s="8">
        <v>0</v>
      </c>
      <c r="H154" s="157">
        <v>212084.45</v>
      </c>
    </row>
    <row r="155" spans="1:8">
      <c r="A155" s="6"/>
      <c r="B155" s="8" t="s">
        <v>1217</v>
      </c>
      <c r="C155" s="8"/>
      <c r="D155" s="159">
        <v>17280</v>
      </c>
      <c r="F155" s="8" t="s">
        <v>1216</v>
      </c>
      <c r="G155" s="8">
        <v>0</v>
      </c>
      <c r="H155" s="157">
        <v>354952.14</v>
      </c>
    </row>
    <row r="156" spans="1:8">
      <c r="A156" s="6"/>
      <c r="B156" s="8" t="s">
        <v>1218</v>
      </c>
      <c r="C156" s="8"/>
      <c r="D156" s="158">
        <v>1205735.76</v>
      </c>
      <c r="F156" s="8" t="s">
        <v>1218</v>
      </c>
      <c r="G156" s="8">
        <v>0</v>
      </c>
      <c r="H156" s="157">
        <v>1205735.76</v>
      </c>
    </row>
    <row r="157" spans="1:8">
      <c r="A157" s="6"/>
      <c r="B157" s="8" t="s">
        <v>1219</v>
      </c>
      <c r="C157" s="8"/>
      <c r="D157" s="158">
        <v>876817.87</v>
      </c>
      <c r="F157" s="8" t="s">
        <v>1220</v>
      </c>
      <c r="G157" s="8">
        <v>0</v>
      </c>
      <c r="H157" s="160">
        <v>14976</v>
      </c>
    </row>
    <row r="158" spans="1:8">
      <c r="A158" s="6"/>
      <c r="B158" s="8" t="s">
        <v>1220</v>
      </c>
      <c r="C158" s="8"/>
      <c r="D158" s="159">
        <v>14976</v>
      </c>
      <c r="F158" s="8" t="s">
        <v>1219</v>
      </c>
      <c r="G158" s="8">
        <v>0</v>
      </c>
      <c r="H158" s="157">
        <v>876817.87</v>
      </c>
    </row>
    <row r="159" spans="1:8">
      <c r="A159" s="6"/>
      <c r="B159" s="8">
        <v>795</v>
      </c>
      <c r="C159" s="8"/>
      <c r="D159" s="156">
        <v>62852.32</v>
      </c>
      <c r="F159" s="8" t="s">
        <v>787</v>
      </c>
      <c r="G159" s="8">
        <v>0</v>
      </c>
      <c r="H159" s="160">
        <v>14016</v>
      </c>
    </row>
    <row r="160" spans="1:8">
      <c r="A160" s="6"/>
      <c r="B160" s="8" t="s">
        <v>788</v>
      </c>
      <c r="C160" s="8"/>
      <c r="D160" s="158">
        <v>1051235.42</v>
      </c>
      <c r="F160" s="8" t="s">
        <v>788</v>
      </c>
      <c r="G160" s="8">
        <v>0</v>
      </c>
      <c r="H160" s="157">
        <v>1051235.42</v>
      </c>
    </row>
    <row r="161" spans="1:16">
      <c r="A161" s="6"/>
      <c r="B161" s="8" t="s">
        <v>787</v>
      </c>
      <c r="C161" s="8"/>
      <c r="D161" s="159">
        <v>14016</v>
      </c>
      <c r="F161" s="8" t="s">
        <v>790</v>
      </c>
      <c r="G161" s="8">
        <v>0</v>
      </c>
      <c r="H161" s="160">
        <v>11472</v>
      </c>
    </row>
    <row r="162" spans="1:16">
      <c r="A162" s="6"/>
      <c r="B162" s="8" t="s">
        <v>791</v>
      </c>
      <c r="C162" s="8"/>
      <c r="D162" s="158">
        <v>804753.87</v>
      </c>
      <c r="F162" s="8" t="s">
        <v>791</v>
      </c>
      <c r="G162" s="8">
        <v>0</v>
      </c>
      <c r="H162" s="157">
        <v>804753.87</v>
      </c>
    </row>
    <row r="163" spans="1:16">
      <c r="A163" s="6"/>
      <c r="B163" s="8" t="s">
        <v>790</v>
      </c>
      <c r="C163" s="8"/>
      <c r="D163" s="159">
        <v>11472</v>
      </c>
      <c r="F163" s="8" t="s">
        <v>792</v>
      </c>
      <c r="G163" s="8">
        <v>0</v>
      </c>
      <c r="H163" s="160">
        <v>12528</v>
      </c>
      <c r="J163" s="30"/>
      <c r="K163" s="5" t="s">
        <v>157</v>
      </c>
      <c r="L163" s="5" t="s">
        <v>216</v>
      </c>
      <c r="M163" s="5" t="s">
        <v>217</v>
      </c>
      <c r="N163" s="5" t="s">
        <v>218</v>
      </c>
      <c r="O163" s="5" t="s">
        <v>219</v>
      </c>
      <c r="P163" s="5" t="s">
        <v>220</v>
      </c>
    </row>
    <row r="164" spans="1:16">
      <c r="A164" s="6"/>
      <c r="B164" s="8" t="s">
        <v>793</v>
      </c>
      <c r="C164" s="8"/>
      <c r="D164" s="158">
        <v>1128633.1599999999</v>
      </c>
      <c r="F164" s="8" t="s">
        <v>793</v>
      </c>
      <c r="G164" s="8">
        <v>0</v>
      </c>
      <c r="H164" s="157">
        <v>1128633.1599999999</v>
      </c>
      <c r="J164" s="80"/>
      <c r="K164" s="8" t="s">
        <v>1226</v>
      </c>
      <c r="L164" s="8" t="s">
        <v>87</v>
      </c>
      <c r="M164" s="156">
        <v>1551375811.45</v>
      </c>
      <c r="N164" s="155" t="s">
        <v>225</v>
      </c>
      <c r="O164" s="156">
        <v>43959869.420000002</v>
      </c>
      <c r="P164" s="156">
        <v>1595335680.8699999</v>
      </c>
    </row>
    <row r="165" spans="1:16">
      <c r="A165" s="6"/>
      <c r="B165" s="8" t="s">
        <v>792</v>
      </c>
      <c r="C165" s="8"/>
      <c r="D165" s="159">
        <v>12528</v>
      </c>
      <c r="F165" s="8" t="s">
        <v>794</v>
      </c>
      <c r="G165" s="8">
        <v>0</v>
      </c>
      <c r="H165" s="160">
        <v>10896</v>
      </c>
      <c r="J165" s="80"/>
      <c r="K165" s="8" t="s">
        <v>1226</v>
      </c>
      <c r="L165" s="8" t="s">
        <v>61</v>
      </c>
      <c r="M165" s="156">
        <v>454151849.54000002</v>
      </c>
      <c r="N165" s="158" t="s">
        <v>1006</v>
      </c>
      <c r="O165" s="155" t="s">
        <v>225</v>
      </c>
      <c r="P165" s="155">
        <v>470340886.88999999</v>
      </c>
    </row>
    <row r="166" spans="1:16">
      <c r="A166" s="6"/>
      <c r="B166" s="8" t="s">
        <v>795</v>
      </c>
      <c r="C166" s="8"/>
      <c r="D166" s="158">
        <v>788846.87</v>
      </c>
      <c r="F166" s="8" t="s">
        <v>795</v>
      </c>
      <c r="G166" s="8">
        <v>0</v>
      </c>
      <c r="H166" s="157">
        <v>788846.87</v>
      </c>
      <c r="M166" s="125">
        <f>+M164-M165</f>
        <v>1097223961.9100001</v>
      </c>
      <c r="P166" s="125">
        <f>+P164-P165</f>
        <v>1124994793.98</v>
      </c>
    </row>
    <row r="167" spans="1:16">
      <c r="A167" s="6"/>
      <c r="B167" s="8" t="s">
        <v>794</v>
      </c>
      <c r="C167" s="8"/>
      <c r="D167" s="159">
        <v>10896</v>
      </c>
      <c r="F167" s="8" t="s">
        <v>797</v>
      </c>
      <c r="G167" s="8">
        <v>0</v>
      </c>
      <c r="H167" s="160">
        <v>12048</v>
      </c>
    </row>
    <row r="168" spans="1:16">
      <c r="A168" s="6"/>
      <c r="B168" s="8" t="s">
        <v>798</v>
      </c>
      <c r="C168" s="8"/>
      <c r="D168" s="158">
        <v>178231.96</v>
      </c>
      <c r="F168" s="8" t="s">
        <v>798</v>
      </c>
      <c r="G168" s="8">
        <v>0</v>
      </c>
      <c r="H168" s="157">
        <v>178231.96</v>
      </c>
    </row>
    <row r="169" spans="1:16">
      <c r="A169" s="6"/>
      <c r="B169" s="8" t="s">
        <v>799</v>
      </c>
      <c r="C169" s="8"/>
      <c r="D169" s="158">
        <v>813554.06</v>
      </c>
      <c r="F169" s="8" t="s">
        <v>799</v>
      </c>
      <c r="G169" s="8">
        <v>0</v>
      </c>
      <c r="H169" s="157">
        <v>813554.06</v>
      </c>
      <c r="K169" s="5" t="s">
        <v>157</v>
      </c>
      <c r="L169" s="5" t="s">
        <v>216</v>
      </c>
      <c r="M169" s="5" t="s">
        <v>217</v>
      </c>
      <c r="N169" s="5" t="s">
        <v>218</v>
      </c>
      <c r="O169" s="5" t="s">
        <v>219</v>
      </c>
      <c r="P169" s="5" t="s">
        <v>220</v>
      </c>
    </row>
    <row r="170" spans="1:16">
      <c r="A170" s="6"/>
      <c r="B170" s="8" t="s">
        <v>797</v>
      </c>
      <c r="C170" s="8"/>
      <c r="D170" s="159">
        <v>12048</v>
      </c>
      <c r="F170" s="8" t="s">
        <v>802</v>
      </c>
      <c r="G170" s="8">
        <v>0</v>
      </c>
      <c r="H170" s="160">
        <v>12528</v>
      </c>
      <c r="K170" s="8" t="s">
        <v>302</v>
      </c>
      <c r="L170" s="8" t="s">
        <v>221</v>
      </c>
      <c r="M170" s="156">
        <v>560308465.34000003</v>
      </c>
      <c r="N170" s="156">
        <v>114608</v>
      </c>
      <c r="O170" s="158" t="s">
        <v>1007</v>
      </c>
      <c r="P170" s="155">
        <v>576382892.34000003</v>
      </c>
    </row>
    <row r="171" spans="1:16">
      <c r="A171" s="6"/>
      <c r="B171" s="8" t="s">
        <v>803</v>
      </c>
      <c r="C171" s="8"/>
      <c r="D171" s="158">
        <v>1169653.76</v>
      </c>
      <c r="F171" s="8" t="s">
        <v>803</v>
      </c>
      <c r="G171" s="8">
        <v>0</v>
      </c>
      <c r="H171" s="157">
        <v>1169653.76</v>
      </c>
      <c r="K171" s="8" t="s">
        <v>302</v>
      </c>
      <c r="L171" s="8" t="s">
        <v>222</v>
      </c>
      <c r="M171" s="156">
        <v>1657533183.79</v>
      </c>
      <c r="N171" s="156">
        <v>43844493.460000001</v>
      </c>
      <c r="O171" s="155" t="s">
        <v>225</v>
      </c>
      <c r="P171" s="156">
        <v>1701377677.25</v>
      </c>
    </row>
    <row r="172" spans="1:16">
      <c r="A172" s="6"/>
      <c r="B172" s="8" t="s">
        <v>802</v>
      </c>
      <c r="C172" s="8"/>
      <c r="D172" s="159">
        <v>12528</v>
      </c>
      <c r="F172" s="8" t="s">
        <v>804</v>
      </c>
      <c r="G172" s="8">
        <v>0</v>
      </c>
      <c r="H172" s="160">
        <v>12624</v>
      </c>
      <c r="M172" s="125">
        <f>+M171-M170</f>
        <v>1097224718.4499998</v>
      </c>
      <c r="N172" s="125">
        <f>+N171+N170</f>
        <v>43959101.460000001</v>
      </c>
      <c r="P172" s="125">
        <f>+P171-P170</f>
        <v>1124994784.9099998</v>
      </c>
    </row>
    <row r="173" spans="1:16">
      <c r="A173" s="6"/>
      <c r="B173" s="8" t="s">
        <v>805</v>
      </c>
      <c r="C173" s="8"/>
      <c r="D173" s="158">
        <v>1267964.67</v>
      </c>
      <c r="F173" s="8" t="s">
        <v>805</v>
      </c>
      <c r="G173" s="8">
        <v>0</v>
      </c>
      <c r="H173" s="157">
        <v>1267964.67</v>
      </c>
      <c r="M173" s="125">
        <f>+M172-M166</f>
        <v>756.53999972343445</v>
      </c>
      <c r="N173" s="125">
        <f>+O164-N172</f>
        <v>767.96000000089407</v>
      </c>
      <c r="O173" s="27">
        <f>43959869.42-43959101.46</f>
        <v>767.96000000089407</v>
      </c>
      <c r="P173" s="161">
        <f>+P166-P172</f>
        <v>9.070000171661377</v>
      </c>
    </row>
    <row r="174" spans="1:16">
      <c r="A174" s="6"/>
      <c r="B174" s="8" t="s">
        <v>804</v>
      </c>
      <c r="C174" s="8"/>
      <c r="D174" s="159">
        <v>12624</v>
      </c>
      <c r="F174" s="8" t="s">
        <v>806</v>
      </c>
      <c r="G174" s="8">
        <v>0</v>
      </c>
      <c r="H174" s="160">
        <v>10128</v>
      </c>
    </row>
    <row r="175" spans="1:16">
      <c r="A175" s="6"/>
      <c r="B175" s="8" t="s">
        <v>807</v>
      </c>
      <c r="C175" s="8"/>
      <c r="D175" s="158">
        <v>1007418.66</v>
      </c>
      <c r="F175" s="8" t="s">
        <v>807</v>
      </c>
      <c r="G175" s="8">
        <v>0</v>
      </c>
      <c r="H175" s="157">
        <v>1007418.66</v>
      </c>
    </row>
    <row r="176" spans="1:16">
      <c r="A176" s="6"/>
      <c r="B176" s="8" t="s">
        <v>806</v>
      </c>
      <c r="C176" s="8"/>
      <c r="D176" s="159">
        <v>10128</v>
      </c>
      <c r="F176" s="8" t="s">
        <v>809</v>
      </c>
      <c r="G176" s="8">
        <v>0</v>
      </c>
      <c r="H176" s="160">
        <v>9120</v>
      </c>
    </row>
    <row r="177" spans="1:16">
      <c r="A177" s="6"/>
      <c r="B177" s="8" t="s">
        <v>810</v>
      </c>
      <c r="C177" s="8"/>
      <c r="D177" s="159">
        <v>26968.799999999999</v>
      </c>
      <c r="F177" s="8" t="s">
        <v>810</v>
      </c>
      <c r="G177" s="8">
        <v>0</v>
      </c>
      <c r="H177" s="160">
        <v>26968.799999999999</v>
      </c>
      <c r="J177" s="12"/>
      <c r="K177" s="5" t="s">
        <v>157</v>
      </c>
      <c r="L177" s="5" t="s">
        <v>216</v>
      </c>
      <c r="M177" s="5" t="s">
        <v>217</v>
      </c>
      <c r="N177" s="5" t="s">
        <v>218</v>
      </c>
      <c r="O177" s="5" t="s">
        <v>219</v>
      </c>
      <c r="P177" s="5" t="s">
        <v>220</v>
      </c>
    </row>
    <row r="178" spans="1:16">
      <c r="A178" s="6"/>
      <c r="B178" s="8" t="s">
        <v>811</v>
      </c>
      <c r="C178" s="8"/>
      <c r="D178" s="158">
        <v>858309.74</v>
      </c>
      <c r="F178" s="8" t="s">
        <v>811</v>
      </c>
      <c r="G178" s="8">
        <v>0</v>
      </c>
      <c r="H178" s="157">
        <v>858309.74</v>
      </c>
      <c r="J178" s="13"/>
      <c r="K178" s="8" t="s">
        <v>227</v>
      </c>
      <c r="L178" s="8" t="s">
        <v>221</v>
      </c>
      <c r="M178" s="155" t="s">
        <v>1232</v>
      </c>
      <c r="N178" s="155" t="s">
        <v>225</v>
      </c>
      <c r="O178" s="158" t="s">
        <v>1233</v>
      </c>
      <c r="P178" s="155" t="s">
        <v>1010</v>
      </c>
    </row>
    <row r="179" spans="1:16">
      <c r="A179" s="6"/>
      <c r="B179" s="8" t="s">
        <v>809</v>
      </c>
      <c r="C179" s="8"/>
      <c r="D179" s="159">
        <v>9120</v>
      </c>
      <c r="F179" s="8" t="s">
        <v>813</v>
      </c>
      <c r="G179" s="8">
        <v>0</v>
      </c>
      <c r="H179" s="160">
        <v>10608</v>
      </c>
      <c r="J179" s="13"/>
      <c r="K179" s="8" t="s">
        <v>227</v>
      </c>
      <c r="L179" s="8" t="s">
        <v>222</v>
      </c>
      <c r="M179" s="155" t="s">
        <v>1234</v>
      </c>
      <c r="N179" s="158" t="s">
        <v>1235</v>
      </c>
      <c r="O179" s="155" t="s">
        <v>1236</v>
      </c>
      <c r="P179" s="155" t="s">
        <v>1011</v>
      </c>
    </row>
    <row r="180" spans="1:16">
      <c r="A180" s="6"/>
      <c r="B180" s="8" t="s">
        <v>815</v>
      </c>
      <c r="C180" s="8"/>
      <c r="D180" s="158">
        <v>691815.63</v>
      </c>
      <c r="F180" s="8" t="s">
        <v>814</v>
      </c>
      <c r="G180" s="8">
        <v>0</v>
      </c>
      <c r="H180" s="160">
        <v>8736</v>
      </c>
      <c r="K180" s="72"/>
      <c r="L180" s="72"/>
      <c r="M180" s="72">
        <f>286910983.82+7560119.3</f>
        <v>294471103.12</v>
      </c>
      <c r="N180" s="72"/>
      <c r="O180" s="72"/>
      <c r="P180" s="72"/>
    </row>
    <row r="181" spans="1:16">
      <c r="A181" s="6"/>
      <c r="B181" s="8" t="s">
        <v>813</v>
      </c>
      <c r="C181" s="8"/>
      <c r="D181" s="159">
        <v>10608</v>
      </c>
      <c r="F181" s="8" t="s">
        <v>815</v>
      </c>
      <c r="G181" s="8">
        <v>0</v>
      </c>
      <c r="H181" s="157">
        <v>691815.63</v>
      </c>
      <c r="K181" s="72"/>
      <c r="L181" s="72"/>
      <c r="M181" s="72"/>
      <c r="N181" s="72"/>
      <c r="O181" s="72"/>
      <c r="P181" s="72"/>
    </row>
    <row r="182" spans="1:16">
      <c r="A182" s="6"/>
      <c r="B182" s="8" t="s">
        <v>816</v>
      </c>
      <c r="C182" s="8"/>
      <c r="D182" s="158">
        <v>542041.49</v>
      </c>
      <c r="F182" s="8" t="s">
        <v>816</v>
      </c>
      <c r="G182" s="8">
        <v>0</v>
      </c>
      <c r="H182" s="157">
        <v>542041.49</v>
      </c>
      <c r="J182" s="12"/>
      <c r="K182" s="5" t="s">
        <v>157</v>
      </c>
      <c r="L182" s="5" t="s">
        <v>216</v>
      </c>
      <c r="M182" s="5" t="s">
        <v>217</v>
      </c>
      <c r="N182" s="5" t="s">
        <v>218</v>
      </c>
      <c r="O182" s="5" t="s">
        <v>219</v>
      </c>
      <c r="P182" s="5" t="s">
        <v>220</v>
      </c>
    </row>
    <row r="183" spans="1:16">
      <c r="A183" s="6"/>
      <c r="B183" s="8" t="s">
        <v>817</v>
      </c>
      <c r="C183" s="8"/>
      <c r="D183" s="158">
        <v>674477.3</v>
      </c>
      <c r="F183" s="8" t="s">
        <v>817</v>
      </c>
      <c r="G183" s="8">
        <v>0</v>
      </c>
      <c r="H183" s="157">
        <v>674477.3</v>
      </c>
      <c r="J183" s="13"/>
      <c r="K183" s="8" t="s">
        <v>159</v>
      </c>
      <c r="L183" s="8" t="s">
        <v>89</v>
      </c>
      <c r="M183" s="155" t="s">
        <v>1227</v>
      </c>
      <c r="N183" s="155" t="s">
        <v>1228</v>
      </c>
      <c r="O183" s="158" t="s">
        <v>1229</v>
      </c>
      <c r="P183" s="155" t="s">
        <v>1008</v>
      </c>
    </row>
    <row r="184" spans="1:16">
      <c r="A184" s="6"/>
      <c r="B184" s="8" t="s">
        <v>814</v>
      </c>
      <c r="C184" s="8"/>
      <c r="D184" s="159">
        <v>8736</v>
      </c>
      <c r="F184" s="8" t="s">
        <v>818</v>
      </c>
      <c r="G184" s="8">
        <v>0</v>
      </c>
      <c r="H184" s="160">
        <v>9888</v>
      </c>
      <c r="J184" s="13"/>
      <c r="K184" s="8" t="s">
        <v>159</v>
      </c>
      <c r="L184" s="8" t="s">
        <v>226</v>
      </c>
      <c r="M184" s="155" t="s">
        <v>1230</v>
      </c>
      <c r="N184" s="158" t="s">
        <v>1231</v>
      </c>
      <c r="O184" s="155" t="s">
        <v>225</v>
      </c>
      <c r="P184" s="155" t="s">
        <v>1009</v>
      </c>
    </row>
    <row r="185" spans="1:16">
      <c r="A185" s="6"/>
      <c r="B185" s="8" t="s">
        <v>819</v>
      </c>
      <c r="C185" s="8"/>
      <c r="D185" s="158">
        <v>721283.94</v>
      </c>
      <c r="F185" s="8" t="s">
        <v>819</v>
      </c>
      <c r="G185" s="8">
        <v>0</v>
      </c>
      <c r="H185" s="157">
        <v>721283.94</v>
      </c>
      <c r="K185" s="72"/>
      <c r="L185" s="72"/>
      <c r="M185" s="72">
        <f>353474306.07-59003205.11</f>
        <v>294471100.95999998</v>
      </c>
      <c r="N185" s="72"/>
      <c r="O185" s="72">
        <f>3843202.51-3180622.95</f>
        <v>662579.55999999959</v>
      </c>
      <c r="P185" s="72"/>
    </row>
    <row r="186" spans="1:16">
      <c r="A186" s="6"/>
      <c r="B186" s="8" t="s">
        <v>818</v>
      </c>
      <c r="C186" s="8"/>
      <c r="D186" s="159">
        <v>9888</v>
      </c>
      <c r="F186" s="8" t="s">
        <v>820</v>
      </c>
      <c r="G186" s="8">
        <v>0</v>
      </c>
      <c r="H186" s="160">
        <v>11136</v>
      </c>
      <c r="K186" s="72"/>
      <c r="L186" s="72"/>
      <c r="M186" s="164">
        <f>+M180-M185</f>
        <v>2.1600000262260437</v>
      </c>
      <c r="N186" s="72">
        <f>2025281-2019908.13</f>
        <v>5372.8700000001118</v>
      </c>
      <c r="O186" s="72"/>
      <c r="P186" s="72"/>
    </row>
    <row r="187" spans="1:16">
      <c r="A187" s="6"/>
      <c r="B187" s="8" t="s">
        <v>821</v>
      </c>
      <c r="C187" s="8"/>
      <c r="D187" s="158">
        <v>896538.07</v>
      </c>
      <c r="F187" s="8" t="s">
        <v>821</v>
      </c>
      <c r="G187" s="8">
        <v>0</v>
      </c>
      <c r="H187" s="157">
        <v>896538.07</v>
      </c>
    </row>
    <row r="188" spans="1:16">
      <c r="A188" s="6"/>
      <c r="B188" s="8" t="s">
        <v>820</v>
      </c>
      <c r="C188" s="8"/>
      <c r="D188" s="159">
        <v>11136</v>
      </c>
      <c r="F188" s="8" t="s">
        <v>822</v>
      </c>
      <c r="G188" s="8">
        <v>0</v>
      </c>
      <c r="H188" s="160">
        <v>6168</v>
      </c>
    </row>
    <row r="189" spans="1:16">
      <c r="A189" s="6"/>
      <c r="B189" s="8" t="s">
        <v>824</v>
      </c>
      <c r="C189" s="8"/>
      <c r="D189" s="158">
        <v>260758.52</v>
      </c>
      <c r="F189" s="8" t="s">
        <v>823</v>
      </c>
      <c r="G189" s="8">
        <v>0</v>
      </c>
      <c r="H189" s="157">
        <v>179779.6</v>
      </c>
    </row>
    <row r="190" spans="1:16">
      <c r="A190" s="6"/>
      <c r="B190" s="8" t="s">
        <v>822</v>
      </c>
      <c r="C190" s="8"/>
      <c r="D190" s="159">
        <v>6168</v>
      </c>
      <c r="F190" s="8" t="s">
        <v>824</v>
      </c>
      <c r="G190" s="8">
        <v>0</v>
      </c>
      <c r="H190" s="157">
        <v>260758.52</v>
      </c>
    </row>
    <row r="191" spans="1:16">
      <c r="A191" s="6"/>
      <c r="B191" s="8" t="s">
        <v>823</v>
      </c>
      <c r="C191" s="8"/>
      <c r="D191" s="158">
        <v>179779.6</v>
      </c>
      <c r="F191" s="8" t="s">
        <v>826</v>
      </c>
      <c r="G191" s="8">
        <v>0</v>
      </c>
      <c r="H191" s="160">
        <v>10752</v>
      </c>
    </row>
    <row r="192" spans="1:16">
      <c r="A192" s="6"/>
      <c r="B192" s="8" t="s">
        <v>827</v>
      </c>
      <c r="C192" s="8"/>
      <c r="D192" s="158">
        <v>800687.47</v>
      </c>
      <c r="F192" s="8" t="s">
        <v>827</v>
      </c>
      <c r="G192" s="8">
        <v>0</v>
      </c>
      <c r="H192" s="157">
        <v>800687.47</v>
      </c>
    </row>
    <row r="193" spans="1:8">
      <c r="A193" s="6"/>
      <c r="B193" s="8" t="s">
        <v>826</v>
      </c>
      <c r="C193" s="8"/>
      <c r="D193" s="159">
        <v>10752</v>
      </c>
      <c r="F193" s="8" t="s">
        <v>828</v>
      </c>
      <c r="G193" s="8">
        <v>0</v>
      </c>
      <c r="H193" s="160">
        <v>3120</v>
      </c>
    </row>
    <row r="194" spans="1:8">
      <c r="A194" s="6"/>
      <c r="B194" s="8" t="s">
        <v>829</v>
      </c>
      <c r="C194" s="8"/>
      <c r="D194" s="158">
        <v>200660.48000000001</v>
      </c>
      <c r="F194" s="8" t="s">
        <v>829</v>
      </c>
      <c r="G194" s="8">
        <v>0</v>
      </c>
      <c r="H194" s="157">
        <v>200660.48000000001</v>
      </c>
    </row>
    <row r="195" spans="1:8">
      <c r="A195" s="6"/>
      <c r="B195" s="8" t="s">
        <v>828</v>
      </c>
      <c r="C195" s="8"/>
      <c r="D195" s="159">
        <v>3120</v>
      </c>
      <c r="F195" s="8" t="s">
        <v>831</v>
      </c>
      <c r="G195" s="8">
        <v>0</v>
      </c>
      <c r="H195" s="160">
        <v>8304</v>
      </c>
    </row>
    <row r="196" spans="1:8">
      <c r="A196" s="6"/>
      <c r="B196" s="8" t="s">
        <v>832</v>
      </c>
      <c r="C196" s="8"/>
      <c r="D196" s="158">
        <v>543446.07999999996</v>
      </c>
      <c r="F196" s="8" t="s">
        <v>832</v>
      </c>
      <c r="G196" s="8">
        <v>0</v>
      </c>
      <c r="H196" s="157">
        <v>543446.07999999996</v>
      </c>
    </row>
    <row r="197" spans="1:8">
      <c r="A197" s="6"/>
      <c r="B197" s="8" t="s">
        <v>831</v>
      </c>
      <c r="C197" s="8"/>
      <c r="D197" s="159">
        <v>8304</v>
      </c>
      <c r="F197" s="8" t="s">
        <v>833</v>
      </c>
      <c r="G197" s="8">
        <v>0</v>
      </c>
      <c r="H197" s="160">
        <v>15096</v>
      </c>
    </row>
    <row r="198" spans="1:8">
      <c r="A198" s="6"/>
      <c r="B198" s="8" t="s">
        <v>945</v>
      </c>
      <c r="C198" s="8"/>
      <c r="D198" s="158">
        <v>768</v>
      </c>
      <c r="F198" s="8" t="s">
        <v>834</v>
      </c>
      <c r="G198" s="8">
        <v>0</v>
      </c>
      <c r="H198" s="157">
        <v>860436.61</v>
      </c>
    </row>
    <row r="199" spans="1:8">
      <c r="A199" s="6"/>
      <c r="B199" s="8" t="s">
        <v>834</v>
      </c>
      <c r="C199" s="8"/>
      <c r="D199" s="158">
        <v>860436.61</v>
      </c>
      <c r="F199" s="8" t="s">
        <v>836</v>
      </c>
      <c r="G199" s="8">
        <v>0</v>
      </c>
      <c r="H199" s="160">
        <v>14448</v>
      </c>
    </row>
    <row r="200" spans="1:8">
      <c r="A200" s="6"/>
      <c r="B200" s="8" t="s">
        <v>833</v>
      </c>
      <c r="C200" s="8"/>
      <c r="D200" s="159">
        <v>15096</v>
      </c>
      <c r="F200" s="8" t="s">
        <v>837</v>
      </c>
      <c r="G200" s="8">
        <v>0</v>
      </c>
      <c r="H200" s="157">
        <v>1408186.63</v>
      </c>
    </row>
    <row r="201" spans="1:8">
      <c r="A201" s="6"/>
      <c r="B201" s="8" t="s">
        <v>837</v>
      </c>
      <c r="C201" s="8"/>
      <c r="D201" s="158">
        <v>1408186.63</v>
      </c>
      <c r="F201" s="8" t="s">
        <v>838</v>
      </c>
      <c r="G201" s="8">
        <v>0</v>
      </c>
      <c r="H201" s="160">
        <v>13248</v>
      </c>
    </row>
    <row r="202" spans="1:8">
      <c r="A202" s="6"/>
      <c r="B202" s="8" t="s">
        <v>836</v>
      </c>
      <c r="C202" s="8"/>
      <c r="D202" s="159">
        <v>14448</v>
      </c>
      <c r="F202" s="8" t="s">
        <v>839</v>
      </c>
      <c r="G202" s="8">
        <v>0</v>
      </c>
      <c r="H202" s="157">
        <v>854146.57</v>
      </c>
    </row>
    <row r="203" spans="1:8">
      <c r="A203" s="6"/>
      <c r="B203" s="8" t="s">
        <v>840</v>
      </c>
      <c r="C203" s="8"/>
      <c r="D203" s="158">
        <v>1211172.6599999999</v>
      </c>
      <c r="F203" s="8" t="s">
        <v>840</v>
      </c>
      <c r="G203" s="8">
        <v>0</v>
      </c>
      <c r="H203" s="157">
        <v>1211172.6599999999</v>
      </c>
    </row>
    <row r="204" spans="1:8">
      <c r="A204" s="6"/>
      <c r="B204" s="8" t="s">
        <v>839</v>
      </c>
      <c r="C204" s="8"/>
      <c r="D204" s="158">
        <v>854146.57</v>
      </c>
      <c r="F204" s="8" t="s">
        <v>841</v>
      </c>
      <c r="G204" s="8">
        <v>0</v>
      </c>
      <c r="H204" s="160">
        <v>19824</v>
      </c>
    </row>
    <row r="205" spans="1:8">
      <c r="A205" s="6"/>
      <c r="B205" s="8" t="s">
        <v>838</v>
      </c>
      <c r="C205" s="8"/>
      <c r="D205" s="159">
        <v>13248</v>
      </c>
      <c r="F205" s="8" t="s">
        <v>842</v>
      </c>
      <c r="G205" s="8">
        <v>0</v>
      </c>
      <c r="H205" s="157">
        <v>1165472.51</v>
      </c>
    </row>
    <row r="206" spans="1:8">
      <c r="A206" s="6"/>
      <c r="B206" s="8" t="s">
        <v>842</v>
      </c>
      <c r="C206" s="8"/>
      <c r="D206" s="158">
        <v>1165472.51</v>
      </c>
      <c r="F206" s="8" t="s">
        <v>843</v>
      </c>
      <c r="G206" s="8">
        <v>0</v>
      </c>
      <c r="H206" s="160">
        <v>17088</v>
      </c>
    </row>
    <row r="207" spans="1:8">
      <c r="A207" s="6"/>
      <c r="B207" s="8" t="s">
        <v>841</v>
      </c>
      <c r="C207" s="8"/>
      <c r="D207" s="159">
        <v>19824</v>
      </c>
      <c r="F207" s="8" t="s">
        <v>844</v>
      </c>
      <c r="G207" s="8">
        <v>0</v>
      </c>
      <c r="H207" s="157">
        <v>624</v>
      </c>
    </row>
    <row r="208" spans="1:8">
      <c r="A208" s="6"/>
      <c r="B208" s="8" t="s">
        <v>845</v>
      </c>
      <c r="C208" s="8"/>
      <c r="D208" s="158">
        <v>849327.81</v>
      </c>
      <c r="F208" s="8" t="s">
        <v>845</v>
      </c>
      <c r="G208" s="8">
        <v>0</v>
      </c>
      <c r="H208" s="157">
        <v>849327.81</v>
      </c>
    </row>
    <row r="209" spans="1:18">
      <c r="A209" s="6"/>
      <c r="B209" s="8" t="s">
        <v>843</v>
      </c>
      <c r="C209" s="8"/>
      <c r="D209" s="159">
        <v>17088</v>
      </c>
      <c r="F209" s="8" t="s">
        <v>846</v>
      </c>
      <c r="G209" s="8">
        <v>0</v>
      </c>
      <c r="H209" s="160">
        <v>37608.54</v>
      </c>
    </row>
    <row r="210" spans="1:18">
      <c r="A210" s="6"/>
      <c r="B210" s="8" t="s">
        <v>846</v>
      </c>
      <c r="C210" s="8"/>
      <c r="D210" s="159">
        <v>37608.54</v>
      </c>
      <c r="F210" s="8" t="s">
        <v>847</v>
      </c>
      <c r="G210" s="8">
        <v>0</v>
      </c>
      <c r="H210" s="157">
        <v>764003.63</v>
      </c>
    </row>
    <row r="211" spans="1:18">
      <c r="A211" s="6"/>
      <c r="B211" s="8" t="s">
        <v>844</v>
      </c>
      <c r="C211" s="8"/>
      <c r="D211" s="158">
        <v>624</v>
      </c>
      <c r="F211" s="8" t="s">
        <v>848</v>
      </c>
      <c r="G211" s="8">
        <v>0</v>
      </c>
      <c r="H211" s="160">
        <v>1152</v>
      </c>
      <c r="K211" s="5"/>
      <c r="L211" s="5" t="s">
        <v>157</v>
      </c>
      <c r="M211" s="5" t="s">
        <v>216</v>
      </c>
      <c r="N211" s="5" t="s">
        <v>217</v>
      </c>
      <c r="O211" s="5" t="s">
        <v>218</v>
      </c>
      <c r="P211" s="5" t="s">
        <v>219</v>
      </c>
      <c r="Q211" s="5" t="s">
        <v>220</v>
      </c>
    </row>
    <row r="212" spans="1:18">
      <c r="A212" s="6"/>
      <c r="B212" s="8" t="s">
        <v>847</v>
      </c>
      <c r="C212" s="8"/>
      <c r="D212" s="158">
        <v>764003.63</v>
      </c>
      <c r="F212" s="8" t="s">
        <v>849</v>
      </c>
      <c r="G212" s="8">
        <v>0</v>
      </c>
      <c r="H212" s="160">
        <v>3168</v>
      </c>
      <c r="K212" s="6"/>
      <c r="L212" s="8" t="s">
        <v>303</v>
      </c>
      <c r="M212" s="8" t="s">
        <v>221</v>
      </c>
      <c r="N212" s="155" t="s">
        <v>1237</v>
      </c>
      <c r="O212" s="155" t="s">
        <v>225</v>
      </c>
      <c r="P212" s="155" t="s">
        <v>1238</v>
      </c>
      <c r="Q212" s="155" t="s">
        <v>1014</v>
      </c>
    </row>
    <row r="213" spans="1:18">
      <c r="A213" s="6"/>
      <c r="B213" s="8" t="s">
        <v>851</v>
      </c>
      <c r="C213" s="8"/>
      <c r="D213" s="159">
        <v>70654.95</v>
      </c>
      <c r="F213" s="8" t="s">
        <v>850</v>
      </c>
      <c r="G213" s="8">
        <v>0</v>
      </c>
      <c r="H213" s="160">
        <v>15360</v>
      </c>
      <c r="K213" s="6"/>
      <c r="L213" s="8" t="s">
        <v>303</v>
      </c>
      <c r="M213" s="8" t="s">
        <v>222</v>
      </c>
      <c r="N213" s="155" t="s">
        <v>1239</v>
      </c>
      <c r="O213" s="155" t="s">
        <v>1240</v>
      </c>
      <c r="P213" s="155" t="s">
        <v>225</v>
      </c>
      <c r="Q213" s="155" t="s">
        <v>1015</v>
      </c>
    </row>
    <row r="214" spans="1:18">
      <c r="A214" s="6"/>
      <c r="B214" s="8" t="s">
        <v>848</v>
      </c>
      <c r="C214" s="8"/>
      <c r="D214" s="159">
        <v>1152</v>
      </c>
      <c r="F214" s="8" t="s">
        <v>851</v>
      </c>
      <c r="G214" s="8">
        <v>0</v>
      </c>
      <c r="H214" s="160">
        <v>70654.95</v>
      </c>
      <c r="N214" s="27">
        <f>417542803.38-339748831.27</f>
        <v>77793972.110000014</v>
      </c>
    </row>
    <row r="215" spans="1:18">
      <c r="A215" s="6"/>
      <c r="B215" s="8" t="s">
        <v>852</v>
      </c>
      <c r="C215" s="8"/>
      <c r="D215" s="158">
        <v>313794.73</v>
      </c>
      <c r="F215" s="8" t="s">
        <v>852</v>
      </c>
      <c r="G215" s="8">
        <v>0</v>
      </c>
      <c r="H215" s="157">
        <v>313794.73</v>
      </c>
    </row>
    <row r="216" spans="1:18">
      <c r="A216" s="6"/>
      <c r="B216" s="8" t="s">
        <v>849</v>
      </c>
      <c r="C216" s="8"/>
      <c r="D216" s="159">
        <v>3168</v>
      </c>
      <c r="F216" s="8" t="s">
        <v>853</v>
      </c>
      <c r="G216" s="8">
        <v>0</v>
      </c>
      <c r="H216" s="157">
        <v>752145.37</v>
      </c>
    </row>
    <row r="217" spans="1:18">
      <c r="A217" s="6"/>
      <c r="B217" s="8" t="s">
        <v>853</v>
      </c>
      <c r="C217" s="8"/>
      <c r="D217" s="158">
        <v>752145.37</v>
      </c>
      <c r="F217" s="8" t="s">
        <v>945</v>
      </c>
      <c r="G217" s="8">
        <v>0</v>
      </c>
      <c r="H217" s="157">
        <v>768</v>
      </c>
      <c r="K217" s="5"/>
      <c r="L217" s="5" t="s">
        <v>157</v>
      </c>
      <c r="M217" s="5" t="s">
        <v>216</v>
      </c>
      <c r="N217" s="5" t="s">
        <v>217</v>
      </c>
      <c r="O217" s="5" t="s">
        <v>218</v>
      </c>
      <c r="P217" s="5" t="s">
        <v>219</v>
      </c>
      <c r="Q217" s="5" t="s">
        <v>220</v>
      </c>
    </row>
    <row r="218" spans="1:18">
      <c r="A218" s="6"/>
      <c r="B218" s="8" t="s">
        <v>850</v>
      </c>
      <c r="C218" s="8"/>
      <c r="D218" s="159">
        <v>15360</v>
      </c>
      <c r="F218" s="8" t="s">
        <v>946</v>
      </c>
      <c r="G218" s="8">
        <v>0</v>
      </c>
      <c r="H218" s="160">
        <v>14256</v>
      </c>
      <c r="K218" s="6"/>
      <c r="L218" s="8" t="s">
        <v>159</v>
      </c>
      <c r="M218" s="8" t="s">
        <v>94</v>
      </c>
      <c r="N218" s="155" t="s">
        <v>1241</v>
      </c>
      <c r="O218" s="155" t="s">
        <v>1242</v>
      </c>
      <c r="P218" s="155" t="s">
        <v>1243</v>
      </c>
      <c r="Q218" s="155" t="s">
        <v>1012</v>
      </c>
    </row>
    <row r="219" spans="1:18">
      <c r="A219" s="6"/>
      <c r="B219" s="8" t="s">
        <v>884</v>
      </c>
      <c r="C219" s="8"/>
      <c r="D219" s="158">
        <v>1122336.6399999999</v>
      </c>
      <c r="F219" s="8" t="s">
        <v>884</v>
      </c>
      <c r="G219" s="8">
        <v>0</v>
      </c>
      <c r="H219" s="157">
        <v>1122336.6399999999</v>
      </c>
      <c r="K219" s="6"/>
      <c r="L219" s="8" t="s">
        <v>159</v>
      </c>
      <c r="M219" s="8" t="s">
        <v>73</v>
      </c>
      <c r="N219" s="155" t="s">
        <v>1244</v>
      </c>
      <c r="O219" s="155" t="s">
        <v>1245</v>
      </c>
      <c r="P219" s="155" t="s">
        <v>1246</v>
      </c>
      <c r="Q219" s="155" t="s">
        <v>1013</v>
      </c>
    </row>
    <row r="220" spans="1:18">
      <c r="A220" s="6"/>
      <c r="B220" s="8" t="s">
        <v>946</v>
      </c>
      <c r="C220" s="8"/>
      <c r="D220" s="159">
        <v>14256</v>
      </c>
      <c r="F220" s="8" t="s">
        <v>885</v>
      </c>
      <c r="G220" s="8">
        <v>0</v>
      </c>
      <c r="H220" s="157">
        <v>219563.44</v>
      </c>
      <c r="N220" s="27">
        <f>414334001.92-334899312.72</f>
        <v>79434689.199999988</v>
      </c>
      <c r="O220" s="27">
        <f>40956685.44-40951393.64</f>
        <v>5291.7999999970198</v>
      </c>
      <c r="P220" s="27">
        <f>11522237.77-14670</f>
        <v>11507567.77</v>
      </c>
    </row>
    <row r="221" spans="1:18">
      <c r="A221" s="6"/>
      <c r="B221" s="8" t="s">
        <v>885</v>
      </c>
      <c r="C221" s="8"/>
      <c r="D221" s="158">
        <v>219563.44</v>
      </c>
      <c r="F221" s="8" t="s">
        <v>886</v>
      </c>
      <c r="G221" s="8">
        <v>0</v>
      </c>
      <c r="H221" s="160">
        <v>21550.09</v>
      </c>
      <c r="N221" s="27">
        <f>+N220-N214</f>
        <v>1640717.0899999738</v>
      </c>
      <c r="P221" s="27">
        <f>11507694.3-11522237.77+14670</f>
        <v>126.53000000119209</v>
      </c>
    </row>
    <row r="222" spans="1:18">
      <c r="A222" s="6"/>
      <c r="B222" s="8" t="s">
        <v>886</v>
      </c>
      <c r="C222" s="8"/>
      <c r="D222" s="159">
        <v>21550.09</v>
      </c>
      <c r="F222" s="8" t="s">
        <v>947</v>
      </c>
      <c r="G222" s="8">
        <v>0</v>
      </c>
      <c r="H222" s="160">
        <v>14400</v>
      </c>
      <c r="N222" s="27">
        <f>+N221+O220-P221</f>
        <v>1645882.3599999696</v>
      </c>
    </row>
    <row r="223" spans="1:18">
      <c r="A223" s="6"/>
      <c r="B223" s="8" t="s">
        <v>887</v>
      </c>
      <c r="C223" s="8"/>
      <c r="D223" s="158">
        <v>833292.88</v>
      </c>
      <c r="F223" s="8" t="s">
        <v>887</v>
      </c>
      <c r="G223" s="8">
        <v>0</v>
      </c>
      <c r="H223" s="157">
        <v>833292.87</v>
      </c>
    </row>
    <row r="224" spans="1:18" ht="25.5">
      <c r="A224" s="6"/>
      <c r="B224" s="8" t="s">
        <v>947</v>
      </c>
      <c r="C224" s="8"/>
      <c r="D224" s="159">
        <v>14400</v>
      </c>
      <c r="F224" s="8" t="s">
        <v>948</v>
      </c>
      <c r="G224" s="8">
        <v>0</v>
      </c>
      <c r="H224" s="160">
        <v>18144</v>
      </c>
      <c r="K224" s="12"/>
      <c r="L224" s="152" t="s">
        <v>28</v>
      </c>
      <c r="M224" s="152" t="s">
        <v>305</v>
      </c>
      <c r="N224" s="152" t="s">
        <v>218</v>
      </c>
      <c r="O224" s="5"/>
      <c r="P224" s="5" t="s">
        <v>305</v>
      </c>
      <c r="Q224" s="5" t="s">
        <v>218</v>
      </c>
      <c r="R224" s="5" t="s">
        <v>219</v>
      </c>
    </row>
    <row r="225" spans="1:19">
      <c r="A225" s="6"/>
      <c r="B225" s="8" t="s">
        <v>888</v>
      </c>
      <c r="C225" s="8"/>
      <c r="D225" s="158">
        <v>998001.87</v>
      </c>
      <c r="F225" s="8" t="s">
        <v>888</v>
      </c>
      <c r="G225" s="8">
        <v>0</v>
      </c>
      <c r="H225" s="157">
        <v>998001.87</v>
      </c>
      <c r="K225" s="13"/>
      <c r="L225" s="153">
        <v>34</v>
      </c>
      <c r="M225" s="153"/>
      <c r="N225" s="172">
        <v>270509.90000000002</v>
      </c>
      <c r="O225" s="6"/>
      <c r="P225" s="8" t="s">
        <v>1260</v>
      </c>
      <c r="Q225" s="8">
        <v>0</v>
      </c>
      <c r="R225" s="160">
        <v>3492.8</v>
      </c>
      <c r="S225" s="125">
        <f>+R225-N228</f>
        <v>2.9600000000000364</v>
      </c>
    </row>
    <row r="226" spans="1:19">
      <c r="A226" s="6"/>
      <c r="B226" s="8" t="s">
        <v>948</v>
      </c>
      <c r="C226" s="8"/>
      <c r="D226" s="159">
        <v>18144</v>
      </c>
      <c r="F226" s="8" t="s">
        <v>949</v>
      </c>
      <c r="G226" s="8">
        <v>0</v>
      </c>
      <c r="H226" s="160">
        <v>16704</v>
      </c>
      <c r="K226" s="13"/>
      <c r="L226" s="153">
        <v>35</v>
      </c>
      <c r="M226" s="153"/>
      <c r="N226" s="172">
        <v>209262.18</v>
      </c>
      <c r="O226" s="6"/>
      <c r="P226" s="8" t="s">
        <v>1261</v>
      </c>
      <c r="Q226" s="8">
        <v>0</v>
      </c>
      <c r="R226" s="157">
        <v>3809788.29</v>
      </c>
      <c r="S226" s="27">
        <f>+R226-N229</f>
        <v>0</v>
      </c>
    </row>
    <row r="227" spans="1:19">
      <c r="A227" s="6"/>
      <c r="B227" s="8" t="s">
        <v>889</v>
      </c>
      <c r="C227" s="8"/>
      <c r="D227" s="158">
        <v>934967.64</v>
      </c>
      <c r="F227" s="8" t="s">
        <v>889</v>
      </c>
      <c r="G227" s="8">
        <v>0</v>
      </c>
      <c r="H227" s="157">
        <v>934967.64</v>
      </c>
      <c r="K227" s="13"/>
      <c r="L227" s="153">
        <v>36</v>
      </c>
      <c r="M227" s="153"/>
      <c r="N227" s="172">
        <v>614802.96</v>
      </c>
      <c r="O227" s="6"/>
      <c r="P227" s="8" t="s">
        <v>1262</v>
      </c>
      <c r="Q227" s="8">
        <v>0</v>
      </c>
      <c r="R227" s="157">
        <v>3543551.52</v>
      </c>
      <c r="S227" s="27">
        <f>+N230-R227</f>
        <v>0</v>
      </c>
    </row>
    <row r="228" spans="1:19">
      <c r="A228" s="6"/>
      <c r="B228" s="8" t="s">
        <v>949</v>
      </c>
      <c r="C228" s="8"/>
      <c r="D228" s="159">
        <v>16704</v>
      </c>
      <c r="F228" s="8" t="s">
        <v>950</v>
      </c>
      <c r="G228" s="8">
        <v>0</v>
      </c>
      <c r="H228" s="160">
        <v>19392</v>
      </c>
      <c r="K228" s="13"/>
      <c r="L228" s="153">
        <v>1</v>
      </c>
      <c r="M228" s="153"/>
      <c r="N228" s="171">
        <v>3489.84</v>
      </c>
      <c r="O228" s="6"/>
      <c r="P228" s="8" t="s">
        <v>1263</v>
      </c>
      <c r="Q228" s="8">
        <v>0</v>
      </c>
      <c r="R228" s="160">
        <v>27250.79</v>
      </c>
      <c r="S228" s="125">
        <f>+R228-N232</f>
        <v>23.100000000002183</v>
      </c>
    </row>
    <row r="229" spans="1:19">
      <c r="A229" s="6"/>
      <c r="B229" s="8" t="s">
        <v>890</v>
      </c>
      <c r="C229" s="8"/>
      <c r="D229" s="158">
        <v>1227938.04</v>
      </c>
      <c r="F229" s="8" t="s">
        <v>890</v>
      </c>
      <c r="G229" s="8">
        <v>0</v>
      </c>
      <c r="H229" s="157">
        <v>1227938.04</v>
      </c>
      <c r="K229" s="13"/>
      <c r="L229" s="153">
        <v>2</v>
      </c>
      <c r="M229" s="153"/>
      <c r="N229" s="172">
        <v>3809788.29</v>
      </c>
      <c r="O229" s="6"/>
      <c r="P229" s="8" t="s">
        <v>1264</v>
      </c>
      <c r="Q229" s="8">
        <v>0</v>
      </c>
      <c r="R229" s="157">
        <v>206143.87</v>
      </c>
      <c r="S229" s="27">
        <f>+R229-N231</f>
        <v>174.69999999998254</v>
      </c>
    </row>
    <row r="230" spans="1:19">
      <c r="A230" s="6"/>
      <c r="B230" s="8" t="s">
        <v>950</v>
      </c>
      <c r="C230" s="8"/>
      <c r="D230" s="159">
        <v>19392</v>
      </c>
      <c r="F230" s="8" t="s">
        <v>951</v>
      </c>
      <c r="G230" s="8">
        <v>0</v>
      </c>
      <c r="H230" s="160">
        <v>6768</v>
      </c>
      <c r="K230" s="13"/>
      <c r="L230" s="153">
        <v>3</v>
      </c>
      <c r="M230" s="153"/>
      <c r="N230" s="172">
        <v>3543551.52</v>
      </c>
      <c r="O230" s="6"/>
      <c r="P230" s="8" t="s">
        <v>1265</v>
      </c>
      <c r="Q230" s="8">
        <v>0</v>
      </c>
      <c r="R230" s="157">
        <v>3661842.31</v>
      </c>
      <c r="S230" s="27">
        <f>+R230-N233</f>
        <v>0</v>
      </c>
    </row>
    <row r="231" spans="1:19">
      <c r="A231" s="6"/>
      <c r="B231" s="8" t="s">
        <v>891</v>
      </c>
      <c r="C231" s="8"/>
      <c r="D231" s="158">
        <v>354509.33</v>
      </c>
      <c r="F231" s="8" t="s">
        <v>952</v>
      </c>
      <c r="G231" s="8">
        <v>0</v>
      </c>
      <c r="H231" s="160">
        <v>9312</v>
      </c>
      <c r="K231" s="13"/>
      <c r="L231" s="153">
        <v>4</v>
      </c>
      <c r="M231" s="153"/>
      <c r="N231" s="172">
        <v>205969.17</v>
      </c>
      <c r="O231" s="6"/>
      <c r="P231" s="8" t="s">
        <v>1266</v>
      </c>
      <c r="Q231" s="8">
        <v>0</v>
      </c>
      <c r="R231" s="160">
        <v>6478.81</v>
      </c>
      <c r="S231" s="125">
        <f>+R231-N234</f>
        <v>-9.999999999308784E-3</v>
      </c>
    </row>
    <row r="232" spans="1:19">
      <c r="A232" s="6"/>
      <c r="B232" s="8" t="s">
        <v>951</v>
      </c>
      <c r="C232" s="8"/>
      <c r="D232" s="159">
        <v>6768</v>
      </c>
      <c r="F232" s="8" t="s">
        <v>891</v>
      </c>
      <c r="G232" s="8">
        <v>0</v>
      </c>
      <c r="H232" s="157">
        <v>354509.33</v>
      </c>
      <c r="K232" s="13"/>
      <c r="L232" s="153">
        <v>5</v>
      </c>
      <c r="M232" s="153"/>
      <c r="N232" s="171">
        <v>27227.69</v>
      </c>
      <c r="O232" s="6"/>
      <c r="P232" s="8" t="s">
        <v>1267</v>
      </c>
      <c r="Q232" s="8">
        <v>0</v>
      </c>
      <c r="R232" s="157">
        <v>3676457.84</v>
      </c>
      <c r="S232" s="27">
        <f>+R232-N235</f>
        <v>0</v>
      </c>
    </row>
    <row r="233" spans="1:19">
      <c r="A233" s="6"/>
      <c r="B233" s="8" t="s">
        <v>892</v>
      </c>
      <c r="C233" s="8"/>
      <c r="D233" s="158">
        <v>553152.99</v>
      </c>
      <c r="F233" s="8" t="s">
        <v>892</v>
      </c>
      <c r="G233" s="8">
        <v>0</v>
      </c>
      <c r="H233" s="157">
        <v>553152.99</v>
      </c>
      <c r="K233" s="13"/>
      <c r="L233" s="153">
        <v>6</v>
      </c>
      <c r="M233" s="153"/>
      <c r="N233" s="172">
        <v>3661842.31</v>
      </c>
      <c r="O233" s="6"/>
      <c r="P233" s="8" t="s">
        <v>1268</v>
      </c>
      <c r="Q233" s="8">
        <v>0</v>
      </c>
      <c r="R233" s="157">
        <v>654700.34</v>
      </c>
      <c r="S233" s="27">
        <f>+R233-N236</f>
        <v>0</v>
      </c>
    </row>
    <row r="234" spans="1:19">
      <c r="A234" s="6"/>
      <c r="B234" s="8" t="s">
        <v>952</v>
      </c>
      <c r="C234" s="8"/>
      <c r="D234" s="159">
        <v>9312</v>
      </c>
      <c r="F234" s="8" t="s">
        <v>953</v>
      </c>
      <c r="G234" s="8">
        <v>0</v>
      </c>
      <c r="H234" s="160">
        <v>15600</v>
      </c>
      <c r="K234" s="13"/>
      <c r="L234" s="153">
        <v>7</v>
      </c>
      <c r="M234" s="153"/>
      <c r="N234" s="171">
        <v>6478.82</v>
      </c>
      <c r="O234" s="6"/>
      <c r="P234" s="8" t="s">
        <v>1258</v>
      </c>
      <c r="Q234" s="8">
        <v>0</v>
      </c>
      <c r="R234" s="157">
        <v>285115</v>
      </c>
      <c r="S234" s="27">
        <f>+R234-N237</f>
        <v>5091.0300000000279</v>
      </c>
    </row>
    <row r="235" spans="1:19">
      <c r="A235" s="6"/>
      <c r="B235" s="8" t="s">
        <v>893</v>
      </c>
      <c r="C235" s="8"/>
      <c r="D235" s="158">
        <v>896036.94</v>
      </c>
      <c r="F235" s="8" t="s">
        <v>893</v>
      </c>
      <c r="G235" s="8">
        <v>0</v>
      </c>
      <c r="H235" s="157">
        <v>896036.94</v>
      </c>
      <c r="K235" s="13"/>
      <c r="L235" s="153">
        <v>11</v>
      </c>
      <c r="M235" s="153"/>
      <c r="N235" s="172">
        <v>3676457.84</v>
      </c>
      <c r="O235" s="6"/>
      <c r="P235" s="8" t="s">
        <v>1269</v>
      </c>
      <c r="Q235" s="8">
        <v>0</v>
      </c>
      <c r="R235" s="157">
        <v>3588400.71</v>
      </c>
    </row>
    <row r="236" spans="1:19">
      <c r="A236" s="6"/>
      <c r="B236" s="8" t="s">
        <v>953</v>
      </c>
      <c r="C236" s="8"/>
      <c r="D236" s="159">
        <v>15600</v>
      </c>
      <c r="F236" s="8" t="s">
        <v>954</v>
      </c>
      <c r="G236" s="8">
        <v>0</v>
      </c>
      <c r="H236" s="160">
        <v>19344</v>
      </c>
      <c r="K236" s="13"/>
      <c r="L236" s="153">
        <v>12</v>
      </c>
      <c r="M236" s="153"/>
      <c r="N236" s="172">
        <v>654700.34</v>
      </c>
      <c r="O236" s="6"/>
      <c r="P236" s="8" t="s">
        <v>1270</v>
      </c>
      <c r="Q236" s="8">
        <v>0</v>
      </c>
      <c r="R236" s="157">
        <v>4324134.17</v>
      </c>
    </row>
    <row r="237" spans="1:19">
      <c r="A237" s="6"/>
      <c r="B237" s="8" t="s">
        <v>894</v>
      </c>
      <c r="C237" s="8"/>
      <c r="D237" s="158">
        <v>1039210.87</v>
      </c>
      <c r="F237" s="8" t="s">
        <v>955</v>
      </c>
      <c r="G237" s="8">
        <v>0</v>
      </c>
      <c r="H237" s="160">
        <v>8016</v>
      </c>
      <c r="K237" s="13"/>
      <c r="L237" s="153" t="s">
        <v>1258</v>
      </c>
      <c r="M237" s="153"/>
      <c r="N237" s="172">
        <v>280023.96999999997</v>
      </c>
      <c r="O237" s="6"/>
      <c r="P237" s="8" t="s">
        <v>1271</v>
      </c>
      <c r="Q237" s="8">
        <v>0</v>
      </c>
      <c r="R237" s="157">
        <v>4351783.4800000004</v>
      </c>
    </row>
    <row r="238" spans="1:19">
      <c r="A238" s="6"/>
      <c r="B238" s="8" t="s">
        <v>954</v>
      </c>
      <c r="C238" s="8"/>
      <c r="D238" s="159">
        <v>19344</v>
      </c>
      <c r="F238" s="8" t="s">
        <v>894</v>
      </c>
      <c r="G238" s="8">
        <v>0</v>
      </c>
      <c r="H238" s="157">
        <v>1039210.87</v>
      </c>
      <c r="K238" s="13"/>
      <c r="L238" s="153">
        <v>14</v>
      </c>
      <c r="M238" s="153"/>
      <c r="N238" s="172">
        <v>3588400.71</v>
      </c>
      <c r="O238" s="6"/>
      <c r="P238" s="8" t="s">
        <v>1272</v>
      </c>
      <c r="Q238" s="8">
        <v>0</v>
      </c>
      <c r="R238" s="160">
        <v>3489.84</v>
      </c>
    </row>
    <row r="239" spans="1:19">
      <c r="A239" s="6"/>
      <c r="B239" s="8" t="s">
        <v>895</v>
      </c>
      <c r="C239" s="8"/>
      <c r="D239" s="158">
        <v>539308.06999999995</v>
      </c>
      <c r="F239" s="8" t="s">
        <v>895</v>
      </c>
      <c r="G239" s="8">
        <v>0</v>
      </c>
      <c r="H239" s="157">
        <v>539308.06999999995</v>
      </c>
      <c r="K239" s="13"/>
      <c r="L239" s="153">
        <v>15</v>
      </c>
      <c r="M239" s="153"/>
      <c r="N239" s="172">
        <v>4324134.17</v>
      </c>
      <c r="O239" s="6"/>
      <c r="P239" s="8" t="s">
        <v>1273</v>
      </c>
      <c r="Q239" s="8">
        <v>0</v>
      </c>
      <c r="R239" s="160">
        <v>14724.04</v>
      </c>
    </row>
    <row r="240" spans="1:19">
      <c r="A240" s="6"/>
      <c r="B240" s="8" t="s">
        <v>955</v>
      </c>
      <c r="C240" s="8"/>
      <c r="D240" s="159">
        <v>8016</v>
      </c>
      <c r="F240" s="8" t="s">
        <v>956</v>
      </c>
      <c r="G240" s="8">
        <v>0</v>
      </c>
      <c r="H240" s="160">
        <v>14688</v>
      </c>
      <c r="K240" s="13"/>
      <c r="L240" s="153">
        <v>16</v>
      </c>
      <c r="M240" s="153"/>
      <c r="N240" s="172">
        <v>4351783.4800000004</v>
      </c>
      <c r="O240" s="6"/>
      <c r="P240" s="8" t="s">
        <v>1274</v>
      </c>
      <c r="Q240" s="8">
        <v>0</v>
      </c>
      <c r="R240" s="157">
        <v>3824112.22</v>
      </c>
    </row>
    <row r="241" spans="1:18">
      <c r="A241" s="6"/>
      <c r="B241" s="8" t="s">
        <v>896</v>
      </c>
      <c r="C241" s="8"/>
      <c r="D241" s="158">
        <v>1076885.3600000001</v>
      </c>
      <c r="F241" s="8" t="s">
        <v>957</v>
      </c>
      <c r="G241" s="8">
        <v>0</v>
      </c>
      <c r="H241" s="160">
        <v>11040</v>
      </c>
      <c r="K241" s="13"/>
      <c r="L241" s="153">
        <v>17</v>
      </c>
      <c r="M241" s="153"/>
      <c r="N241" s="171">
        <v>3489.84</v>
      </c>
      <c r="O241" s="6"/>
      <c r="P241" s="8" t="s">
        <v>1275</v>
      </c>
      <c r="Q241" s="8">
        <v>0</v>
      </c>
      <c r="R241" s="157">
        <v>1675497.93</v>
      </c>
    </row>
    <row r="242" spans="1:18">
      <c r="A242" s="6"/>
      <c r="B242" s="8" t="s">
        <v>956</v>
      </c>
      <c r="C242" s="8"/>
      <c r="D242" s="159">
        <v>14688</v>
      </c>
      <c r="F242" s="8" t="s">
        <v>896</v>
      </c>
      <c r="G242" s="8">
        <v>0</v>
      </c>
      <c r="H242" s="157">
        <v>1076885.3600000001</v>
      </c>
      <c r="K242" s="13"/>
      <c r="L242" s="153">
        <v>149</v>
      </c>
      <c r="M242" s="153" t="s">
        <v>1259</v>
      </c>
      <c r="N242" s="153">
        <v>0</v>
      </c>
      <c r="O242" s="6"/>
      <c r="P242" s="8" t="s">
        <v>1276</v>
      </c>
      <c r="Q242" s="8">
        <v>0</v>
      </c>
      <c r="R242" s="157">
        <v>1437782.75</v>
      </c>
    </row>
    <row r="243" spans="1:18">
      <c r="A243" s="6"/>
      <c r="B243" s="8" t="s">
        <v>897</v>
      </c>
      <c r="C243" s="8"/>
      <c r="D243" s="158">
        <v>487916.42</v>
      </c>
      <c r="F243" s="8" t="s">
        <v>897</v>
      </c>
      <c r="G243" s="8">
        <v>0</v>
      </c>
      <c r="H243" s="157">
        <v>487916.42</v>
      </c>
      <c r="K243" s="13"/>
      <c r="L243" s="153">
        <v>149</v>
      </c>
      <c r="M243" s="153" t="s">
        <v>1259</v>
      </c>
      <c r="N243" s="171">
        <v>14724.04</v>
      </c>
      <c r="O243" s="6"/>
      <c r="P243" s="8" t="s">
        <v>1277</v>
      </c>
      <c r="Q243" s="8">
        <v>0</v>
      </c>
      <c r="R243" s="160">
        <v>10194.09</v>
      </c>
    </row>
    <row r="244" spans="1:18">
      <c r="A244" s="6"/>
      <c r="B244" s="8" t="s">
        <v>957</v>
      </c>
      <c r="C244" s="8"/>
      <c r="D244" s="159">
        <v>11040</v>
      </c>
      <c r="F244" s="8" t="s">
        <v>961</v>
      </c>
      <c r="G244" s="8">
        <v>0</v>
      </c>
      <c r="H244" s="160">
        <v>10464</v>
      </c>
      <c r="K244" s="13"/>
      <c r="L244" s="153">
        <v>19</v>
      </c>
      <c r="M244" s="153"/>
      <c r="N244" s="172">
        <v>3824112.22</v>
      </c>
      <c r="O244" s="6"/>
      <c r="P244" s="8" t="s">
        <v>779</v>
      </c>
      <c r="Q244" s="8">
        <v>0</v>
      </c>
      <c r="R244" s="157">
        <v>1726900.78</v>
      </c>
    </row>
    <row r="245" spans="1:18">
      <c r="A245" s="6"/>
      <c r="B245" s="8" t="s">
        <v>899</v>
      </c>
      <c r="C245" s="8"/>
      <c r="D245" s="158">
        <v>1094224.55</v>
      </c>
      <c r="F245" s="8" t="s">
        <v>899</v>
      </c>
      <c r="G245" s="8">
        <v>0</v>
      </c>
      <c r="H245" s="157">
        <v>1094224.55</v>
      </c>
      <c r="K245" s="13"/>
      <c r="L245" s="153">
        <v>20</v>
      </c>
      <c r="M245" s="153"/>
      <c r="N245" s="172">
        <v>1675497.93</v>
      </c>
      <c r="O245" s="6"/>
      <c r="P245" s="8" t="s">
        <v>777</v>
      </c>
      <c r="Q245" s="8">
        <v>0</v>
      </c>
      <c r="R245" s="160">
        <v>37853.54</v>
      </c>
    </row>
    <row r="246" spans="1:18">
      <c r="A246" s="6"/>
      <c r="B246" s="8" t="s">
        <v>961</v>
      </c>
      <c r="C246" s="8"/>
      <c r="D246" s="159">
        <v>10464</v>
      </c>
      <c r="F246" s="8" t="s">
        <v>1221</v>
      </c>
      <c r="G246" s="8">
        <v>0</v>
      </c>
      <c r="H246" s="160">
        <v>15408</v>
      </c>
      <c r="K246" s="13"/>
      <c r="L246" s="153">
        <v>21</v>
      </c>
      <c r="M246" s="153"/>
      <c r="N246" s="172">
        <v>1437782.75</v>
      </c>
      <c r="O246" s="6"/>
      <c r="P246" s="8" t="s">
        <v>780</v>
      </c>
      <c r="Q246" s="8">
        <v>0</v>
      </c>
      <c r="R246" s="160">
        <v>33764.69</v>
      </c>
    </row>
    <row r="247" spans="1:18">
      <c r="A247" s="6"/>
      <c r="B247" s="8" t="s">
        <v>900</v>
      </c>
      <c r="C247" s="8"/>
      <c r="D247" s="158">
        <v>663309.48</v>
      </c>
      <c r="F247" s="8" t="s">
        <v>962</v>
      </c>
      <c r="G247" s="8">
        <v>0</v>
      </c>
      <c r="H247" s="160">
        <v>10272</v>
      </c>
      <c r="K247" s="13"/>
      <c r="L247" s="153">
        <v>22</v>
      </c>
      <c r="M247" s="153"/>
      <c r="N247" s="171">
        <v>10194.09</v>
      </c>
      <c r="O247" s="6"/>
      <c r="P247" s="8" t="s">
        <v>781</v>
      </c>
      <c r="Q247" s="8">
        <v>0</v>
      </c>
      <c r="R247" s="160">
        <v>6979.68</v>
      </c>
    </row>
    <row r="248" spans="1:18">
      <c r="A248" s="6"/>
      <c r="B248" s="8" t="s">
        <v>1221</v>
      </c>
      <c r="C248" s="8"/>
      <c r="D248" s="159">
        <v>15408</v>
      </c>
      <c r="F248" s="8" t="s">
        <v>900</v>
      </c>
      <c r="G248" s="8">
        <v>0</v>
      </c>
      <c r="H248" s="157">
        <v>663309.48</v>
      </c>
      <c r="K248" s="13"/>
      <c r="L248" s="153">
        <v>25</v>
      </c>
      <c r="M248" s="153"/>
      <c r="N248" s="171">
        <v>37853.550000000003</v>
      </c>
      <c r="O248" s="6"/>
      <c r="P248" s="8" t="s">
        <v>782</v>
      </c>
      <c r="Q248" s="8">
        <v>0</v>
      </c>
      <c r="R248" s="160">
        <v>87921.58</v>
      </c>
    </row>
    <row r="249" spans="1:18">
      <c r="A249" s="6"/>
      <c r="B249" s="8" t="s">
        <v>901</v>
      </c>
      <c r="C249" s="8"/>
      <c r="D249" s="158">
        <v>1419405.15</v>
      </c>
      <c r="F249" s="8" t="s">
        <v>901</v>
      </c>
      <c r="G249" s="8">
        <v>0</v>
      </c>
      <c r="H249" s="157">
        <v>1419405.15</v>
      </c>
      <c r="K249" s="13"/>
      <c r="L249" s="153">
        <v>26</v>
      </c>
      <c r="M249" s="153"/>
      <c r="N249" s="172">
        <v>1726900.78</v>
      </c>
      <c r="O249" s="6"/>
      <c r="P249" s="8" t="s">
        <v>783</v>
      </c>
      <c r="Q249" s="8">
        <v>0</v>
      </c>
      <c r="R249" s="157">
        <v>983</v>
      </c>
    </row>
    <row r="250" spans="1:18">
      <c r="A250" s="6"/>
      <c r="B250" s="8" t="s">
        <v>962</v>
      </c>
      <c r="C250" s="8"/>
      <c r="D250" s="159">
        <v>10272</v>
      </c>
      <c r="F250" s="8" t="s">
        <v>963</v>
      </c>
      <c r="G250" s="8">
        <v>0</v>
      </c>
      <c r="H250" s="160">
        <v>13872</v>
      </c>
      <c r="K250" s="13"/>
      <c r="L250" s="153">
        <v>27</v>
      </c>
      <c r="M250" s="153"/>
      <c r="N250" s="171">
        <v>33764.69</v>
      </c>
      <c r="O250" s="6"/>
      <c r="P250" s="8" t="s">
        <v>784</v>
      </c>
      <c r="Q250" s="8">
        <v>0</v>
      </c>
      <c r="R250" s="157">
        <v>1501042.1</v>
      </c>
    </row>
    <row r="251" spans="1:18">
      <c r="A251" s="6"/>
      <c r="B251" s="8" t="s">
        <v>902</v>
      </c>
      <c r="C251" s="8"/>
      <c r="D251" s="158">
        <v>914440.69</v>
      </c>
      <c r="F251" s="8" t="s">
        <v>964</v>
      </c>
      <c r="G251" s="8">
        <v>0</v>
      </c>
      <c r="H251" s="160">
        <v>7008</v>
      </c>
      <c r="K251" s="13"/>
      <c r="L251" s="153">
        <v>28</v>
      </c>
      <c r="M251" s="153"/>
      <c r="N251" s="171">
        <v>6979.68</v>
      </c>
      <c r="O251" s="6"/>
      <c r="P251" s="8" t="s">
        <v>785</v>
      </c>
      <c r="Q251" s="8">
        <v>0</v>
      </c>
      <c r="R251" s="160">
        <v>16751.23</v>
      </c>
    </row>
    <row r="252" spans="1:18">
      <c r="A252" s="6"/>
      <c r="B252" s="8" t="s">
        <v>963</v>
      </c>
      <c r="C252" s="8"/>
      <c r="D252" s="159">
        <v>13872</v>
      </c>
      <c r="F252" s="8" t="s">
        <v>902</v>
      </c>
      <c r="G252" s="8">
        <v>0</v>
      </c>
      <c r="H252" s="157">
        <v>914440.69</v>
      </c>
      <c r="K252" s="13"/>
      <c r="L252" s="153">
        <v>29</v>
      </c>
      <c r="M252" s="153"/>
      <c r="N252" s="171">
        <v>87921.58</v>
      </c>
      <c r="O252" s="6"/>
      <c r="P252" s="8" t="s">
        <v>993</v>
      </c>
      <c r="Q252" s="8">
        <v>0</v>
      </c>
      <c r="R252" s="157">
        <v>270509.90000000002</v>
      </c>
    </row>
    <row r="253" spans="1:18">
      <c r="A253" s="6"/>
      <c r="B253" s="8" t="s">
        <v>903</v>
      </c>
      <c r="C253" s="8"/>
      <c r="D253" s="158">
        <v>1093188.1000000001</v>
      </c>
      <c r="F253" s="8" t="s">
        <v>903</v>
      </c>
      <c r="G253" s="8">
        <v>0</v>
      </c>
      <c r="H253" s="157">
        <v>1093188.1000000001</v>
      </c>
      <c r="K253" s="13"/>
      <c r="L253" s="153">
        <v>30</v>
      </c>
      <c r="M253" s="153"/>
      <c r="N253" s="172">
        <v>983</v>
      </c>
      <c r="O253" s="6"/>
      <c r="P253" s="8" t="s">
        <v>786</v>
      </c>
      <c r="Q253" s="8">
        <v>0</v>
      </c>
      <c r="R253" s="160">
        <v>46161.33</v>
      </c>
    </row>
    <row r="254" spans="1:18">
      <c r="A254" s="6"/>
      <c r="B254" s="8" t="s">
        <v>964</v>
      </c>
      <c r="C254" s="8"/>
      <c r="D254" s="159">
        <v>7008</v>
      </c>
      <c r="F254" s="8" t="s">
        <v>965</v>
      </c>
      <c r="G254" s="8">
        <v>0</v>
      </c>
      <c r="H254" s="160">
        <v>16512</v>
      </c>
      <c r="K254" s="13"/>
      <c r="L254" s="153">
        <v>31</v>
      </c>
      <c r="M254" s="153"/>
      <c r="N254" s="172">
        <v>1501042.09</v>
      </c>
      <c r="O254" s="6"/>
      <c r="P254" s="8" t="s">
        <v>994</v>
      </c>
      <c r="Q254" s="8">
        <v>0</v>
      </c>
      <c r="R254" s="157">
        <v>209262.18</v>
      </c>
    </row>
    <row r="255" spans="1:18">
      <c r="A255" s="6"/>
      <c r="B255" s="8" t="s">
        <v>905</v>
      </c>
      <c r="C255" s="8"/>
      <c r="D255" s="158">
        <v>1048110.29</v>
      </c>
      <c r="F255" s="8" t="s">
        <v>905</v>
      </c>
      <c r="G255" s="8">
        <v>0</v>
      </c>
      <c r="H255" s="157">
        <v>1048110.29</v>
      </c>
      <c r="K255" s="13"/>
      <c r="L255" s="153">
        <v>32</v>
      </c>
      <c r="M255" s="153"/>
      <c r="N255" s="171">
        <v>16751.23</v>
      </c>
      <c r="O255" s="6"/>
      <c r="P255" s="8" t="s">
        <v>858</v>
      </c>
      <c r="Q255" s="8">
        <v>0</v>
      </c>
      <c r="R255" s="157">
        <v>614802.96</v>
      </c>
    </row>
    <row r="256" spans="1:18">
      <c r="A256" s="6"/>
      <c r="B256" s="8" t="s">
        <v>965</v>
      </c>
      <c r="C256" s="8"/>
      <c r="D256" s="159">
        <v>16512</v>
      </c>
      <c r="F256" s="8" t="s">
        <v>966</v>
      </c>
      <c r="G256" s="8">
        <v>0</v>
      </c>
      <c r="H256" s="160">
        <v>14544</v>
      </c>
      <c r="K256" s="13"/>
      <c r="L256" s="153">
        <v>33</v>
      </c>
      <c r="M256" s="153"/>
      <c r="N256" s="171">
        <v>46161.32</v>
      </c>
      <c r="O256" s="6"/>
      <c r="P256" s="8" t="s">
        <v>995</v>
      </c>
      <c r="Q256" s="8">
        <v>0</v>
      </c>
      <c r="R256" s="160">
        <v>9620.64</v>
      </c>
    </row>
    <row r="257" spans="1:18">
      <c r="A257" s="6"/>
      <c r="B257" s="8" t="s">
        <v>906</v>
      </c>
      <c r="C257" s="8"/>
      <c r="D257" s="158">
        <v>1221452.51</v>
      </c>
      <c r="F257" s="8" t="s">
        <v>906</v>
      </c>
      <c r="G257" s="8">
        <v>0</v>
      </c>
      <c r="H257" s="157">
        <v>1221452.51</v>
      </c>
      <c r="K257" s="13"/>
      <c r="L257" s="153">
        <v>37</v>
      </c>
      <c r="M257" s="153"/>
      <c r="N257" s="171">
        <v>9620.64</v>
      </c>
      <c r="O257" s="6"/>
      <c r="P257" s="8" t="s">
        <v>996</v>
      </c>
      <c r="Q257" s="8">
        <v>0</v>
      </c>
      <c r="R257" s="160">
        <v>57775.45</v>
      </c>
    </row>
    <row r="258" spans="1:18">
      <c r="A258" s="6"/>
      <c r="B258" s="8" t="s">
        <v>966</v>
      </c>
      <c r="C258" s="8"/>
      <c r="D258" s="159">
        <v>14544</v>
      </c>
      <c r="F258" s="8" t="s">
        <v>1222</v>
      </c>
      <c r="G258" s="8">
        <v>0</v>
      </c>
      <c r="H258" s="160">
        <v>18624</v>
      </c>
      <c r="K258" s="13"/>
      <c r="L258" s="153">
        <v>38</v>
      </c>
      <c r="M258" s="153"/>
      <c r="N258" s="171">
        <v>57775.45</v>
      </c>
      <c r="O258" s="6"/>
      <c r="P258" s="8" t="s">
        <v>997</v>
      </c>
      <c r="Q258" s="8">
        <v>0</v>
      </c>
      <c r="R258" s="157">
        <v>396.14</v>
      </c>
    </row>
    <row r="259" spans="1:18">
      <c r="A259" s="6"/>
      <c r="B259" s="8" t="s">
        <v>908</v>
      </c>
      <c r="C259" s="8"/>
      <c r="D259" s="158">
        <v>498983.57</v>
      </c>
      <c r="F259" s="8" t="s">
        <v>967</v>
      </c>
      <c r="G259" s="8">
        <v>0</v>
      </c>
      <c r="H259" s="160">
        <v>8976</v>
      </c>
      <c r="K259" s="13"/>
      <c r="L259" s="153">
        <v>39</v>
      </c>
      <c r="M259" s="153"/>
      <c r="N259" s="172">
        <v>396.14</v>
      </c>
      <c r="O259" s="6"/>
      <c r="P259" s="8" t="s">
        <v>998</v>
      </c>
      <c r="Q259" s="8">
        <v>0</v>
      </c>
      <c r="R259" s="160">
        <v>7928.78</v>
      </c>
    </row>
    <row r="260" spans="1:18">
      <c r="A260" s="6"/>
      <c r="B260" s="8" t="s">
        <v>967</v>
      </c>
      <c r="C260" s="8"/>
      <c r="D260" s="159">
        <v>8976</v>
      </c>
      <c r="F260" s="8" t="s">
        <v>907</v>
      </c>
      <c r="G260" s="8">
        <v>0</v>
      </c>
      <c r="H260" s="157">
        <v>886100.7</v>
      </c>
      <c r="K260" s="13"/>
      <c r="L260" s="153">
        <v>40</v>
      </c>
      <c r="M260" s="153"/>
      <c r="N260" s="171">
        <v>7928.78</v>
      </c>
      <c r="O260" s="6"/>
      <c r="P260" s="8" t="s">
        <v>999</v>
      </c>
      <c r="Q260" s="8">
        <v>0</v>
      </c>
      <c r="R260" s="157">
        <v>218560.63</v>
      </c>
    </row>
    <row r="261" spans="1:18">
      <c r="A261" s="6"/>
      <c r="B261" s="8" t="s">
        <v>907</v>
      </c>
      <c r="C261" s="8"/>
      <c r="D261" s="158">
        <v>886100.7</v>
      </c>
      <c r="F261" s="8" t="s">
        <v>908</v>
      </c>
      <c r="G261" s="8">
        <v>0</v>
      </c>
      <c r="H261" s="157">
        <v>498983.57</v>
      </c>
      <c r="K261" s="13"/>
      <c r="L261" s="153">
        <v>41</v>
      </c>
      <c r="M261" s="153"/>
      <c r="N261" s="172">
        <v>218560.62</v>
      </c>
      <c r="O261" s="6"/>
      <c r="P261" s="8" t="s">
        <v>1000</v>
      </c>
      <c r="Q261" s="8">
        <v>0</v>
      </c>
      <c r="R261" s="157">
        <v>216852.5</v>
      </c>
    </row>
    <row r="262" spans="1:18">
      <c r="A262" s="6"/>
      <c r="B262" s="8" t="s">
        <v>1222</v>
      </c>
      <c r="C262" s="8"/>
      <c r="D262" s="159">
        <v>18624</v>
      </c>
      <c r="F262" s="8" t="s">
        <v>909</v>
      </c>
      <c r="G262" s="8">
        <v>0</v>
      </c>
      <c r="H262" s="157">
        <v>254360.21</v>
      </c>
      <c r="K262" s="13"/>
      <c r="L262" s="153">
        <v>42</v>
      </c>
      <c r="M262" s="153"/>
      <c r="N262" s="172">
        <v>216852.5</v>
      </c>
      <c r="O262" s="6"/>
      <c r="P262" s="8" t="s">
        <v>1002</v>
      </c>
      <c r="Q262" s="8">
        <v>0</v>
      </c>
      <c r="R262" s="160">
        <v>7172.66</v>
      </c>
    </row>
    <row r="263" spans="1:18">
      <c r="A263" s="6"/>
      <c r="B263" s="8" t="s">
        <v>909</v>
      </c>
      <c r="C263" s="8"/>
      <c r="D263" s="158">
        <v>254360.21</v>
      </c>
      <c r="F263" s="8" t="s">
        <v>910</v>
      </c>
      <c r="G263" s="8">
        <v>0</v>
      </c>
      <c r="H263" s="157">
        <v>210724.34</v>
      </c>
      <c r="K263" s="13"/>
      <c r="L263" s="153">
        <v>43</v>
      </c>
      <c r="M263" s="153"/>
      <c r="N263" s="171">
        <v>3055.97</v>
      </c>
      <c r="O263" s="6"/>
      <c r="P263" s="8" t="s">
        <v>1003</v>
      </c>
      <c r="Q263" s="8">
        <v>0</v>
      </c>
      <c r="R263" s="157">
        <v>265.87</v>
      </c>
    </row>
    <row r="264" spans="1:18">
      <c r="A264" s="6"/>
      <c r="B264" s="8" t="s">
        <v>910</v>
      </c>
      <c r="C264" s="8"/>
      <c r="D264" s="158">
        <v>210724.34</v>
      </c>
      <c r="F264" s="8" t="s">
        <v>968</v>
      </c>
      <c r="G264" s="8">
        <v>0</v>
      </c>
      <c r="H264" s="160">
        <v>19728</v>
      </c>
      <c r="K264" s="13"/>
      <c r="L264" s="153">
        <v>44</v>
      </c>
      <c r="M264" s="153"/>
      <c r="N264" s="171">
        <v>7172.66</v>
      </c>
      <c r="O264" s="6"/>
      <c r="P264" s="8" t="s">
        <v>1001</v>
      </c>
      <c r="Q264" s="8">
        <v>0</v>
      </c>
      <c r="R264" s="160">
        <v>3055.97</v>
      </c>
    </row>
    <row r="265" spans="1:18">
      <c r="A265" s="6"/>
      <c r="B265" s="8" t="s">
        <v>911</v>
      </c>
      <c r="C265" s="8"/>
      <c r="D265" s="158">
        <v>1120575.6100000001</v>
      </c>
      <c r="F265" s="8" t="s">
        <v>969</v>
      </c>
      <c r="G265" s="8">
        <v>0</v>
      </c>
      <c r="H265" s="160">
        <v>1632</v>
      </c>
      <c r="K265" s="13"/>
      <c r="L265" s="153">
        <v>45</v>
      </c>
      <c r="M265" s="153"/>
      <c r="N265" s="172">
        <v>265.87</v>
      </c>
      <c r="O265" s="6"/>
      <c r="P265" s="8" t="s">
        <v>1004</v>
      </c>
      <c r="Q265" s="8">
        <v>0</v>
      </c>
      <c r="R265" s="157">
        <v>722442.97</v>
      </c>
    </row>
    <row r="266" spans="1:18">
      <c r="A266" s="6"/>
      <c r="B266" s="8" t="s">
        <v>968</v>
      </c>
      <c r="C266" s="8"/>
      <c r="D266" s="159">
        <v>19728</v>
      </c>
      <c r="F266" s="8" t="s">
        <v>911</v>
      </c>
      <c r="G266" s="8">
        <v>0</v>
      </c>
      <c r="H266" s="157">
        <v>1120575.6100000001</v>
      </c>
      <c r="K266" s="13"/>
      <c r="L266" s="153">
        <v>47</v>
      </c>
      <c r="M266" s="153"/>
      <c r="N266" s="171">
        <v>1699.46</v>
      </c>
      <c r="O266" s="6"/>
      <c r="P266" s="8" t="s">
        <v>1278</v>
      </c>
      <c r="Q266" s="8">
        <v>0</v>
      </c>
      <c r="R266" s="160">
        <v>1699.46</v>
      </c>
    </row>
    <row r="267" spans="1:18">
      <c r="A267" s="6"/>
      <c r="B267" s="8" t="s">
        <v>912</v>
      </c>
      <c r="C267" s="8"/>
      <c r="D267" s="158">
        <v>721688.1</v>
      </c>
      <c r="F267" s="8" t="s">
        <v>912</v>
      </c>
      <c r="G267" s="8">
        <v>0</v>
      </c>
      <c r="H267" s="157">
        <v>721688.1</v>
      </c>
      <c r="K267" s="13"/>
      <c r="L267" s="153">
        <v>48</v>
      </c>
      <c r="M267" s="153"/>
      <c r="N267" s="172">
        <v>722442.97</v>
      </c>
      <c r="O267" s="6"/>
      <c r="P267" s="8" t="s">
        <v>1005</v>
      </c>
      <c r="Q267" s="8">
        <v>0</v>
      </c>
      <c r="R267" s="160">
        <v>53040.6</v>
      </c>
    </row>
    <row r="268" spans="1:18">
      <c r="A268" s="6"/>
      <c r="B268" s="8" t="s">
        <v>969</v>
      </c>
      <c r="C268" s="8"/>
      <c r="D268" s="159">
        <v>1632</v>
      </c>
      <c r="F268" s="8" t="s">
        <v>913</v>
      </c>
      <c r="G268" s="8">
        <v>0</v>
      </c>
      <c r="H268" s="157">
        <v>333947.78999999998</v>
      </c>
      <c r="K268" s="13"/>
      <c r="L268" s="153">
        <v>49</v>
      </c>
      <c r="M268" s="153"/>
      <c r="N268" s="171">
        <v>53040.6</v>
      </c>
    </row>
    <row r="269" spans="1:18">
      <c r="A269" s="6"/>
      <c r="B269" s="8" t="s">
        <v>913</v>
      </c>
      <c r="C269" s="8"/>
      <c r="D269" s="158">
        <v>333947.78999999998</v>
      </c>
      <c r="F269" s="8" t="s">
        <v>914</v>
      </c>
      <c r="G269" s="8">
        <v>0</v>
      </c>
      <c r="H269" s="157">
        <v>339740.49</v>
      </c>
    </row>
    <row r="270" spans="1:18">
      <c r="A270" s="6"/>
      <c r="B270" s="8" t="s">
        <v>914</v>
      </c>
      <c r="C270" s="8"/>
      <c r="D270" s="158">
        <v>339740.49</v>
      </c>
      <c r="F270" s="8" t="s">
        <v>970</v>
      </c>
      <c r="G270" s="8">
        <v>0</v>
      </c>
      <c r="H270" s="160">
        <v>10512</v>
      </c>
      <c r="K270" s="12"/>
      <c r="L270" s="5" t="s">
        <v>28</v>
      </c>
      <c r="M270" s="5" t="s">
        <v>305</v>
      </c>
      <c r="N270" s="5" t="s">
        <v>218</v>
      </c>
      <c r="O270" s="5"/>
      <c r="P270" s="5" t="s">
        <v>305</v>
      </c>
      <c r="Q270" s="5" t="s">
        <v>218</v>
      </c>
      <c r="R270" s="5" t="s">
        <v>219</v>
      </c>
    </row>
    <row r="271" spans="1:18">
      <c r="A271" s="6"/>
      <c r="B271" s="8" t="s">
        <v>915</v>
      </c>
      <c r="C271" s="8"/>
      <c r="D271" s="158">
        <v>989641.91</v>
      </c>
      <c r="F271" s="8" t="s">
        <v>971</v>
      </c>
      <c r="G271" s="8">
        <v>0</v>
      </c>
      <c r="H271" s="160">
        <v>2304</v>
      </c>
      <c r="K271" s="13"/>
      <c r="L271" s="8">
        <v>10</v>
      </c>
      <c r="M271" s="8"/>
      <c r="N271" s="157">
        <v>1231683.8899999999</v>
      </c>
      <c r="O271" s="6"/>
      <c r="P271" s="8" t="s">
        <v>1282</v>
      </c>
      <c r="Q271" s="8">
        <v>0</v>
      </c>
      <c r="R271" s="8">
        <v>1506215.88</v>
      </c>
    </row>
    <row r="272" spans="1:18">
      <c r="A272" s="6"/>
      <c r="B272" s="8" t="s">
        <v>970</v>
      </c>
      <c r="C272" s="8"/>
      <c r="D272" s="159">
        <v>10512</v>
      </c>
      <c r="F272" s="8" t="s">
        <v>915</v>
      </c>
      <c r="G272" s="8">
        <v>0</v>
      </c>
      <c r="H272" s="157">
        <v>989641.91</v>
      </c>
      <c r="K272" s="13"/>
      <c r="L272" s="8">
        <v>21</v>
      </c>
      <c r="M272" s="8"/>
      <c r="N272" s="157">
        <v>3391418.6</v>
      </c>
      <c r="O272" s="6"/>
      <c r="P272" s="8" t="s">
        <v>1283</v>
      </c>
      <c r="Q272" s="8">
        <v>0</v>
      </c>
      <c r="R272" s="157">
        <v>1231683.8899999999</v>
      </c>
    </row>
    <row r="273" spans="1:18">
      <c r="A273" s="6"/>
      <c r="B273" s="8" t="s">
        <v>916</v>
      </c>
      <c r="C273" s="8"/>
      <c r="D273" s="158">
        <v>671842.93</v>
      </c>
      <c r="F273" s="8" t="s">
        <v>916</v>
      </c>
      <c r="G273" s="8">
        <v>0</v>
      </c>
      <c r="H273" s="157">
        <v>671842.93</v>
      </c>
      <c r="K273" s="13"/>
      <c r="L273" s="8">
        <v>31</v>
      </c>
      <c r="M273" s="8"/>
      <c r="N273" s="157">
        <v>1388686.87</v>
      </c>
      <c r="O273" s="6"/>
      <c r="P273" s="8" t="s">
        <v>1284</v>
      </c>
      <c r="Q273" s="8">
        <v>0</v>
      </c>
      <c r="R273" s="157">
        <v>3391418.6</v>
      </c>
    </row>
    <row r="274" spans="1:18">
      <c r="A274" s="6"/>
      <c r="B274" s="8" t="s">
        <v>971</v>
      </c>
      <c r="C274" s="8"/>
      <c r="D274" s="159">
        <v>2304</v>
      </c>
      <c r="F274" s="8" t="s">
        <v>972</v>
      </c>
      <c r="G274" s="8">
        <v>0</v>
      </c>
      <c r="H274" s="160">
        <v>19152</v>
      </c>
      <c r="K274" s="13"/>
      <c r="L274" s="8">
        <v>36</v>
      </c>
      <c r="M274" s="8"/>
      <c r="N274" s="157">
        <v>560714.59</v>
      </c>
      <c r="O274" s="6"/>
      <c r="P274" s="8" t="s">
        <v>1285</v>
      </c>
      <c r="Q274" s="8">
        <v>0</v>
      </c>
      <c r="R274" s="157">
        <v>1388686.87</v>
      </c>
    </row>
    <row r="275" spans="1:18">
      <c r="A275" s="6"/>
      <c r="B275" s="8" t="s">
        <v>917</v>
      </c>
      <c r="C275" s="8"/>
      <c r="D275" s="158">
        <v>950277.5</v>
      </c>
      <c r="F275" s="8" t="s">
        <v>973</v>
      </c>
      <c r="G275" s="8">
        <v>0</v>
      </c>
      <c r="H275" s="160">
        <v>6816</v>
      </c>
      <c r="K275" s="13"/>
      <c r="L275" s="8">
        <v>38</v>
      </c>
      <c r="M275" s="8"/>
      <c r="N275" s="157">
        <v>102913.69</v>
      </c>
      <c r="O275" s="6"/>
      <c r="P275" s="8" t="s">
        <v>1286</v>
      </c>
      <c r="Q275" s="8">
        <v>0</v>
      </c>
      <c r="R275" s="157">
        <v>560714.59</v>
      </c>
    </row>
    <row r="276" spans="1:18">
      <c r="A276" s="6"/>
      <c r="B276" s="8" t="s">
        <v>972</v>
      </c>
      <c r="C276" s="8"/>
      <c r="D276" s="159">
        <v>19152</v>
      </c>
      <c r="F276" s="8" t="s">
        <v>917</v>
      </c>
      <c r="G276" s="8">
        <v>0</v>
      </c>
      <c r="H276" s="157">
        <v>950277.5</v>
      </c>
      <c r="K276" s="13"/>
      <c r="L276" s="8">
        <v>52</v>
      </c>
      <c r="M276" s="8"/>
      <c r="N276" s="157">
        <v>1111376.6100000001</v>
      </c>
      <c r="O276" s="6"/>
      <c r="P276" s="8" t="s">
        <v>1287</v>
      </c>
      <c r="Q276" s="8">
        <v>0</v>
      </c>
      <c r="R276" s="157">
        <v>102913.69</v>
      </c>
    </row>
    <row r="277" spans="1:18">
      <c r="A277" s="6"/>
      <c r="B277" s="8" t="s">
        <v>918</v>
      </c>
      <c r="C277" s="8"/>
      <c r="D277" s="158">
        <v>986018.15</v>
      </c>
      <c r="F277" s="8" t="s">
        <v>918</v>
      </c>
      <c r="G277" s="8">
        <v>0</v>
      </c>
      <c r="H277" s="157">
        <v>986018.15</v>
      </c>
      <c r="K277" s="13"/>
      <c r="L277" s="8">
        <v>61</v>
      </c>
      <c r="M277" s="8"/>
      <c r="N277" s="157">
        <v>1623164.69</v>
      </c>
      <c r="O277" s="6"/>
      <c r="P277" s="8" t="s">
        <v>1288</v>
      </c>
      <c r="Q277" s="8">
        <v>0</v>
      </c>
      <c r="R277" s="157">
        <v>1111376.6100000001</v>
      </c>
    </row>
    <row r="278" spans="1:18">
      <c r="A278" s="6"/>
      <c r="B278" s="8" t="s">
        <v>973</v>
      </c>
      <c r="C278" s="8"/>
      <c r="D278" s="159">
        <v>6816</v>
      </c>
      <c r="F278" s="8" t="s">
        <v>974</v>
      </c>
      <c r="G278" s="8">
        <v>0</v>
      </c>
      <c r="H278" s="160">
        <v>8832</v>
      </c>
      <c r="K278" s="13"/>
      <c r="L278" s="8">
        <v>92</v>
      </c>
      <c r="M278" s="8"/>
      <c r="N278" s="157">
        <v>1519518.67</v>
      </c>
      <c r="O278" s="6"/>
      <c r="P278" s="8" t="s">
        <v>1289</v>
      </c>
      <c r="Q278" s="8">
        <v>0</v>
      </c>
      <c r="R278" s="157">
        <v>1623164.69</v>
      </c>
    </row>
    <row r="279" spans="1:18">
      <c r="A279" s="6"/>
      <c r="B279" s="8" t="s">
        <v>919</v>
      </c>
      <c r="C279" s="8"/>
      <c r="D279" s="158">
        <v>520789.83</v>
      </c>
      <c r="F279" s="8" t="s">
        <v>975</v>
      </c>
      <c r="G279" s="8">
        <v>0</v>
      </c>
      <c r="H279" s="160">
        <v>3648</v>
      </c>
      <c r="K279" s="13"/>
      <c r="L279" s="8" t="s">
        <v>1279</v>
      </c>
      <c r="M279" s="8"/>
      <c r="N279" s="157">
        <v>356151.06</v>
      </c>
      <c r="O279" s="6"/>
      <c r="P279" s="8" t="s">
        <v>1290</v>
      </c>
      <c r="Q279" s="8">
        <v>0</v>
      </c>
      <c r="R279" s="157">
        <v>1293833.49</v>
      </c>
    </row>
    <row r="280" spans="1:18">
      <c r="A280" s="6"/>
      <c r="B280" s="8" t="s">
        <v>974</v>
      </c>
      <c r="C280" s="8"/>
      <c r="D280" s="159">
        <v>8832</v>
      </c>
      <c r="F280" s="8" t="s">
        <v>919</v>
      </c>
      <c r="G280" s="8">
        <v>0</v>
      </c>
      <c r="H280" s="157">
        <v>520789.83</v>
      </c>
      <c r="K280" s="13"/>
      <c r="L280" s="8">
        <v>117</v>
      </c>
      <c r="M280" s="8"/>
      <c r="N280" s="157">
        <v>3943335.99</v>
      </c>
      <c r="O280" s="6"/>
      <c r="P280" s="8" t="s">
        <v>789</v>
      </c>
      <c r="Q280" s="8">
        <v>0</v>
      </c>
      <c r="R280" s="157">
        <v>409829.92</v>
      </c>
    </row>
    <row r="281" spans="1:18">
      <c r="A281" s="6"/>
      <c r="B281" s="8" t="s">
        <v>920</v>
      </c>
      <c r="C281" s="8"/>
      <c r="D281" s="158">
        <v>453886.83</v>
      </c>
      <c r="F281" s="8" t="s">
        <v>920</v>
      </c>
      <c r="G281" s="8">
        <v>0</v>
      </c>
      <c r="H281" s="157">
        <v>453886.83</v>
      </c>
      <c r="K281" s="13"/>
      <c r="L281" s="8">
        <v>123</v>
      </c>
      <c r="M281" s="8"/>
      <c r="N281" s="157">
        <v>2192217.21</v>
      </c>
      <c r="O281" s="6"/>
      <c r="P281" s="8" t="s">
        <v>796</v>
      </c>
      <c r="Q281" s="8">
        <v>0</v>
      </c>
      <c r="R281" s="157">
        <v>1656714.65</v>
      </c>
    </row>
    <row r="282" spans="1:18">
      <c r="A282" s="6"/>
      <c r="B282" s="8" t="s">
        <v>975</v>
      </c>
      <c r="C282" s="8"/>
      <c r="D282" s="159">
        <v>3648</v>
      </c>
      <c r="F282" s="8" t="s">
        <v>976</v>
      </c>
      <c r="G282" s="8">
        <v>0</v>
      </c>
      <c r="H282" s="160">
        <v>7344</v>
      </c>
      <c r="K282" s="13"/>
      <c r="L282" s="8">
        <v>141</v>
      </c>
      <c r="M282" s="8"/>
      <c r="N282" s="160">
        <v>86919.58</v>
      </c>
      <c r="O282" s="6"/>
      <c r="P282" s="8" t="s">
        <v>812</v>
      </c>
      <c r="Q282" s="8">
        <v>0</v>
      </c>
      <c r="R282" s="157">
        <v>1812624.09</v>
      </c>
    </row>
    <row r="283" spans="1:18">
      <c r="A283" s="6"/>
      <c r="B283" s="8" t="s">
        <v>921</v>
      </c>
      <c r="C283" s="8"/>
      <c r="D283" s="158">
        <v>433311.72</v>
      </c>
      <c r="F283" s="8" t="s">
        <v>977</v>
      </c>
      <c r="G283" s="8">
        <v>0</v>
      </c>
      <c r="H283" s="160">
        <v>12720</v>
      </c>
      <c r="K283" s="13"/>
      <c r="L283" s="8">
        <v>144</v>
      </c>
      <c r="M283" s="8"/>
      <c r="N283" s="157">
        <v>1518619.43</v>
      </c>
      <c r="O283" s="6"/>
      <c r="P283" s="8" t="s">
        <v>825</v>
      </c>
      <c r="Q283" s="8">
        <v>0</v>
      </c>
      <c r="R283" s="157">
        <v>1397974.33</v>
      </c>
    </row>
    <row r="284" spans="1:18">
      <c r="A284" s="6"/>
      <c r="B284" s="8" t="s">
        <v>976</v>
      </c>
      <c r="C284" s="8"/>
      <c r="D284" s="159">
        <v>7344</v>
      </c>
      <c r="F284" s="8" t="s">
        <v>978</v>
      </c>
      <c r="G284" s="8">
        <v>0</v>
      </c>
      <c r="H284" s="157">
        <v>960</v>
      </c>
      <c r="K284" s="13"/>
      <c r="L284" s="8">
        <v>149</v>
      </c>
      <c r="M284" s="8"/>
      <c r="N284" s="160">
        <v>48393.39</v>
      </c>
      <c r="O284" s="6"/>
      <c r="P284" s="8" t="s">
        <v>830</v>
      </c>
      <c r="Q284" s="8">
        <v>0</v>
      </c>
      <c r="R284" s="157">
        <v>1591072.38</v>
      </c>
    </row>
    <row r="285" spans="1:18">
      <c r="A285" s="6"/>
      <c r="B285" s="8" t="s">
        <v>922</v>
      </c>
      <c r="C285" s="8"/>
      <c r="D285" s="158">
        <v>965940.64</v>
      </c>
      <c r="F285" s="8" t="s">
        <v>921</v>
      </c>
      <c r="G285" s="8">
        <v>0</v>
      </c>
      <c r="H285" s="157">
        <v>433311.72</v>
      </c>
      <c r="K285" s="13"/>
      <c r="L285" s="8">
        <v>150</v>
      </c>
      <c r="M285" s="8"/>
      <c r="N285" s="160">
        <v>1131.8399999999999</v>
      </c>
      <c r="O285" s="6"/>
      <c r="P285" s="8" t="s">
        <v>835</v>
      </c>
      <c r="Q285" s="8">
        <v>0</v>
      </c>
      <c r="R285" s="157">
        <v>189888.08</v>
      </c>
    </row>
    <row r="286" spans="1:18">
      <c r="A286" s="6"/>
      <c r="B286" s="8" t="s">
        <v>977</v>
      </c>
      <c r="C286" s="8"/>
      <c r="D286" s="159">
        <v>12720</v>
      </c>
      <c r="F286" s="8" t="s">
        <v>922</v>
      </c>
      <c r="G286" s="8">
        <v>0</v>
      </c>
      <c r="H286" s="157">
        <v>965940.64</v>
      </c>
      <c r="K286" s="13"/>
      <c r="L286" s="8">
        <v>154</v>
      </c>
      <c r="M286" s="8"/>
      <c r="N286" s="157">
        <v>1051595.04</v>
      </c>
      <c r="O286" s="6"/>
      <c r="P286" s="8" t="s">
        <v>883</v>
      </c>
      <c r="Q286" s="8">
        <v>0</v>
      </c>
      <c r="R286" s="157">
        <v>154474.16</v>
      </c>
    </row>
    <row r="287" spans="1:18">
      <c r="A287" s="6"/>
      <c r="B287" s="8" t="s">
        <v>978</v>
      </c>
      <c r="C287" s="8"/>
      <c r="D287" s="158">
        <v>960</v>
      </c>
      <c r="F287" s="8" t="s">
        <v>979</v>
      </c>
      <c r="G287" s="8">
        <v>0</v>
      </c>
      <c r="H287" s="160">
        <v>18960</v>
      </c>
      <c r="K287" s="13"/>
      <c r="L287" s="8">
        <v>169</v>
      </c>
      <c r="M287" s="8"/>
      <c r="N287" s="157">
        <v>1293833.49</v>
      </c>
      <c r="O287" s="6"/>
      <c r="P287" s="8" t="s">
        <v>898</v>
      </c>
      <c r="Q287" s="8">
        <v>0</v>
      </c>
      <c r="R287" s="157">
        <v>616996.21</v>
      </c>
    </row>
    <row r="288" spans="1:18">
      <c r="A288" s="6"/>
      <c r="B288" s="8" t="s">
        <v>923</v>
      </c>
      <c r="C288" s="8"/>
      <c r="D288" s="158">
        <v>1292862.25</v>
      </c>
      <c r="F288" s="8" t="s">
        <v>923</v>
      </c>
      <c r="G288" s="8">
        <v>0</v>
      </c>
      <c r="H288" s="157">
        <v>1292862.23</v>
      </c>
      <c r="K288" s="13"/>
      <c r="L288" s="8">
        <v>173</v>
      </c>
      <c r="M288" s="8"/>
      <c r="N288" s="157">
        <v>409829.92</v>
      </c>
      <c r="O288" s="6"/>
      <c r="P288" s="8" t="s">
        <v>959</v>
      </c>
      <c r="Q288" s="8">
        <v>0</v>
      </c>
      <c r="R288" s="160">
        <v>6225.12</v>
      </c>
    </row>
    <row r="289" spans="1:18">
      <c r="A289" s="6"/>
      <c r="B289" s="8" t="s">
        <v>979</v>
      </c>
      <c r="C289" s="8"/>
      <c r="D289" s="159">
        <v>18960</v>
      </c>
      <c r="F289" s="8" t="s">
        <v>980</v>
      </c>
      <c r="G289" s="8">
        <v>0</v>
      </c>
      <c r="H289" s="160">
        <v>4464</v>
      </c>
      <c r="K289" s="13"/>
      <c r="L289" s="8">
        <v>180</v>
      </c>
      <c r="M289" s="8"/>
      <c r="N289" s="157">
        <v>1656714.65</v>
      </c>
      <c r="O289" s="6"/>
      <c r="P289" s="8" t="s">
        <v>960</v>
      </c>
      <c r="Q289" s="8">
        <v>0</v>
      </c>
      <c r="R289" s="160">
        <v>16223.04</v>
      </c>
    </row>
    <row r="290" spans="1:18">
      <c r="A290" s="6"/>
      <c r="B290" s="8" t="s">
        <v>924</v>
      </c>
      <c r="C290" s="8"/>
      <c r="D290" s="158">
        <v>278370.95</v>
      </c>
      <c r="F290" s="8" t="s">
        <v>981</v>
      </c>
      <c r="G290" s="8">
        <v>0</v>
      </c>
      <c r="H290" s="160">
        <v>9456</v>
      </c>
      <c r="K290" s="13"/>
      <c r="L290" s="8">
        <v>196</v>
      </c>
      <c r="M290" s="8"/>
      <c r="N290" s="157">
        <v>1812624.09</v>
      </c>
      <c r="O290" s="6"/>
      <c r="P290" s="8" t="s">
        <v>958</v>
      </c>
      <c r="Q290" s="9">
        <v>6225.12</v>
      </c>
      <c r="R290" s="8">
        <v>0</v>
      </c>
    </row>
    <row r="291" spans="1:18">
      <c r="A291" s="6"/>
      <c r="B291" s="8" t="s">
        <v>980</v>
      </c>
      <c r="C291" s="8"/>
      <c r="D291" s="159">
        <v>4464</v>
      </c>
      <c r="F291" s="8" t="s">
        <v>924</v>
      </c>
      <c r="G291" s="8">
        <v>0</v>
      </c>
      <c r="H291" s="157">
        <v>278370.95</v>
      </c>
      <c r="K291" s="13"/>
      <c r="L291" s="8">
        <v>213</v>
      </c>
      <c r="M291" s="8"/>
      <c r="N291" s="157">
        <v>1397974.33</v>
      </c>
      <c r="O291" s="6"/>
      <c r="P291" s="8" t="s">
        <v>904</v>
      </c>
      <c r="Q291" s="8">
        <v>0</v>
      </c>
      <c r="R291" s="157">
        <v>973169.41</v>
      </c>
    </row>
    <row r="292" spans="1:18">
      <c r="A292" s="6"/>
      <c r="B292" s="8" t="s">
        <v>925</v>
      </c>
      <c r="C292" s="8"/>
      <c r="D292" s="158">
        <v>809901.9</v>
      </c>
      <c r="F292" s="8" t="s">
        <v>925</v>
      </c>
      <c r="G292" s="8">
        <v>0</v>
      </c>
      <c r="H292" s="157">
        <v>809901.9</v>
      </c>
      <c r="K292" s="13"/>
      <c r="L292" s="8">
        <v>225</v>
      </c>
      <c r="M292" s="8"/>
      <c r="N292" s="157">
        <v>1591072.38</v>
      </c>
      <c r="O292" s="6"/>
      <c r="P292" s="8" t="s">
        <v>927</v>
      </c>
      <c r="Q292" s="8">
        <v>0</v>
      </c>
      <c r="R292" s="157">
        <v>1034600.11</v>
      </c>
    </row>
    <row r="293" spans="1:18">
      <c r="A293" s="6"/>
      <c r="B293" s="8" t="s">
        <v>981</v>
      </c>
      <c r="C293" s="8"/>
      <c r="D293" s="159">
        <v>9456</v>
      </c>
      <c r="F293" s="8" t="s">
        <v>982</v>
      </c>
      <c r="G293" s="8">
        <v>0</v>
      </c>
      <c r="H293" s="160">
        <v>13872</v>
      </c>
      <c r="K293" s="13"/>
      <c r="L293" s="8">
        <v>233</v>
      </c>
      <c r="M293" s="8"/>
      <c r="N293" s="157">
        <v>189888.08</v>
      </c>
      <c r="O293" s="6"/>
      <c r="P293" s="8" t="s">
        <v>932</v>
      </c>
      <c r="Q293" s="8">
        <v>0</v>
      </c>
      <c r="R293" s="157">
        <v>738745.3</v>
      </c>
    </row>
    <row r="294" spans="1:18">
      <c r="A294" s="6"/>
      <c r="B294" s="8" t="s">
        <v>926</v>
      </c>
      <c r="C294" s="8"/>
      <c r="D294" s="158">
        <v>1115988.26</v>
      </c>
      <c r="F294" s="8" t="s">
        <v>926</v>
      </c>
      <c r="G294" s="8">
        <v>0</v>
      </c>
      <c r="H294" s="157">
        <v>1115988.26</v>
      </c>
      <c r="K294" s="13"/>
      <c r="L294" s="8">
        <v>246</v>
      </c>
      <c r="M294" s="8"/>
      <c r="N294" s="157">
        <v>154474.16</v>
      </c>
      <c r="O294" s="6"/>
      <c r="P294" s="8" t="s">
        <v>934</v>
      </c>
      <c r="Q294" s="8">
        <v>0</v>
      </c>
      <c r="R294" s="157">
        <v>1493200.09</v>
      </c>
    </row>
    <row r="295" spans="1:18">
      <c r="A295" s="6"/>
      <c r="B295" s="8" t="s">
        <v>982</v>
      </c>
      <c r="C295" s="8"/>
      <c r="D295" s="159">
        <v>13872</v>
      </c>
      <c r="F295" s="8" t="s">
        <v>983</v>
      </c>
      <c r="G295" s="8">
        <v>0</v>
      </c>
      <c r="H295" s="160">
        <v>15216</v>
      </c>
      <c r="K295" s="13"/>
      <c r="L295" s="8">
        <v>263</v>
      </c>
      <c r="M295" s="8"/>
      <c r="N295" s="160">
        <v>6225.12</v>
      </c>
      <c r="O295" s="6"/>
      <c r="P295" s="8" t="s">
        <v>936</v>
      </c>
      <c r="Q295" s="8">
        <v>0</v>
      </c>
      <c r="R295" s="157">
        <v>1203171.6499999999</v>
      </c>
    </row>
    <row r="296" spans="1:18">
      <c r="A296" s="6"/>
      <c r="B296" s="8" t="s">
        <v>928</v>
      </c>
      <c r="C296" s="8"/>
      <c r="D296" s="158">
        <v>1015401.31</v>
      </c>
      <c r="F296" s="8" t="s">
        <v>928</v>
      </c>
      <c r="G296" s="8">
        <v>0</v>
      </c>
      <c r="H296" s="157">
        <v>1015401.31</v>
      </c>
      <c r="K296" s="13"/>
      <c r="L296" s="8">
        <v>275</v>
      </c>
      <c r="M296" s="8"/>
      <c r="N296" s="157">
        <v>616996.21</v>
      </c>
      <c r="O296" s="6"/>
      <c r="P296" s="8" t="s">
        <v>941</v>
      </c>
      <c r="Q296" s="8">
        <v>0</v>
      </c>
      <c r="R296" s="157">
        <v>108180.35</v>
      </c>
    </row>
    <row r="297" spans="1:18">
      <c r="A297" s="6"/>
      <c r="B297" s="8" t="s">
        <v>983</v>
      </c>
      <c r="C297" s="8"/>
      <c r="D297" s="159">
        <v>15216</v>
      </c>
      <c r="F297" s="8" t="s">
        <v>984</v>
      </c>
      <c r="G297" s="8">
        <v>0</v>
      </c>
      <c r="H297" s="160">
        <v>17136</v>
      </c>
      <c r="K297" s="13"/>
      <c r="L297" s="8">
        <v>281</v>
      </c>
      <c r="M297" s="8"/>
      <c r="N297" s="160">
        <v>16223.04</v>
      </c>
      <c r="O297" s="6"/>
      <c r="P297" s="8" t="s">
        <v>942</v>
      </c>
      <c r="Q297" s="8">
        <v>0</v>
      </c>
      <c r="R297" s="157">
        <v>1348527.77</v>
      </c>
    </row>
    <row r="298" spans="1:18">
      <c r="A298" s="6"/>
      <c r="B298" s="8" t="s">
        <v>929</v>
      </c>
      <c r="C298" s="8"/>
      <c r="D298" s="158">
        <v>1036860.11</v>
      </c>
      <c r="F298" s="8" t="s">
        <v>929</v>
      </c>
      <c r="G298" s="8">
        <v>0</v>
      </c>
      <c r="H298" s="157">
        <v>1036860.11</v>
      </c>
      <c r="K298" s="13"/>
      <c r="L298" s="8">
        <v>286</v>
      </c>
      <c r="M298" s="8"/>
      <c r="N298" s="157">
        <v>973169.41</v>
      </c>
      <c r="O298" s="6"/>
      <c r="P298" s="8" t="s">
        <v>1291</v>
      </c>
      <c r="Q298" s="8">
        <v>0</v>
      </c>
      <c r="R298" s="157">
        <v>1519518.67</v>
      </c>
    </row>
    <row r="299" spans="1:18">
      <c r="A299" s="6"/>
      <c r="B299" s="8" t="s">
        <v>984</v>
      </c>
      <c r="C299" s="8"/>
      <c r="D299" s="159">
        <v>17136</v>
      </c>
      <c r="F299" s="8" t="s">
        <v>985</v>
      </c>
      <c r="G299" s="8">
        <v>0</v>
      </c>
      <c r="H299" s="160">
        <v>4384</v>
      </c>
      <c r="K299" s="13"/>
      <c r="L299" s="8">
        <v>330</v>
      </c>
      <c r="M299" s="8"/>
      <c r="N299" s="157">
        <v>1034600.11</v>
      </c>
      <c r="O299" s="6"/>
      <c r="P299" s="8" t="s">
        <v>1292</v>
      </c>
      <c r="Q299" s="8">
        <v>0</v>
      </c>
      <c r="R299" s="157">
        <v>362627</v>
      </c>
    </row>
    <row r="300" spans="1:18">
      <c r="A300" s="6"/>
      <c r="B300" s="8" t="s">
        <v>985</v>
      </c>
      <c r="C300" s="8"/>
      <c r="D300" s="159">
        <v>4384</v>
      </c>
      <c r="F300" s="8" t="s">
        <v>1223</v>
      </c>
      <c r="G300" s="8">
        <v>0</v>
      </c>
      <c r="H300" s="160">
        <v>18768</v>
      </c>
      <c r="K300" s="13"/>
      <c r="L300" s="8">
        <v>342</v>
      </c>
      <c r="M300" s="8"/>
      <c r="N300" s="157">
        <v>738745.3</v>
      </c>
      <c r="O300" s="6"/>
      <c r="P300" s="8" t="s">
        <v>1292</v>
      </c>
      <c r="Q300" s="160">
        <v>6475</v>
      </c>
      <c r="R300" s="8">
        <v>0</v>
      </c>
    </row>
    <row r="301" spans="1:18">
      <c r="A301" s="6"/>
      <c r="B301" s="8" t="s">
        <v>930</v>
      </c>
      <c r="C301" s="8"/>
      <c r="D301" s="158">
        <v>1020155</v>
      </c>
      <c r="F301" s="8" t="s">
        <v>930</v>
      </c>
      <c r="G301" s="8">
        <v>0</v>
      </c>
      <c r="H301" s="157">
        <v>1020155</v>
      </c>
      <c r="K301" s="13"/>
      <c r="L301" s="8">
        <v>346</v>
      </c>
      <c r="M301" s="8"/>
      <c r="N301" s="157">
        <v>1493200.09</v>
      </c>
      <c r="O301" s="6"/>
      <c r="P301" s="8" t="s">
        <v>1293</v>
      </c>
      <c r="Q301" s="8">
        <v>0</v>
      </c>
      <c r="R301" s="157">
        <v>3943335.99</v>
      </c>
    </row>
    <row r="302" spans="1:18">
      <c r="A302" s="6"/>
      <c r="B302" s="8" t="s">
        <v>1223</v>
      </c>
      <c r="C302" s="8"/>
      <c r="D302" s="159">
        <v>18768</v>
      </c>
      <c r="F302" s="8" t="s">
        <v>931</v>
      </c>
      <c r="G302" s="8">
        <v>0</v>
      </c>
      <c r="H302" s="157">
        <v>851911.78</v>
      </c>
      <c r="K302" s="13"/>
      <c r="L302" s="8">
        <v>351</v>
      </c>
      <c r="M302" s="8"/>
      <c r="N302" s="157">
        <v>108180.35</v>
      </c>
      <c r="O302" s="6"/>
      <c r="P302" s="8" t="s">
        <v>1294</v>
      </c>
      <c r="Q302" s="8">
        <v>0</v>
      </c>
      <c r="R302" s="157">
        <v>2192217.21</v>
      </c>
    </row>
    <row r="303" spans="1:18">
      <c r="A303" s="6"/>
      <c r="B303" s="8" t="s">
        <v>931</v>
      </c>
      <c r="C303" s="8"/>
      <c r="D303" s="158">
        <v>851911.78</v>
      </c>
      <c r="F303" s="8" t="s">
        <v>986</v>
      </c>
      <c r="G303" s="8">
        <v>0</v>
      </c>
      <c r="H303" s="160">
        <v>17784</v>
      </c>
      <c r="K303" s="13"/>
      <c r="L303" s="8">
        <v>358</v>
      </c>
      <c r="M303" s="8"/>
      <c r="N303" s="157">
        <v>1203171.6499999999</v>
      </c>
      <c r="O303" s="6"/>
      <c r="P303" s="8" t="s">
        <v>1295</v>
      </c>
      <c r="Q303" s="8">
        <v>0</v>
      </c>
      <c r="R303" s="157">
        <v>298468</v>
      </c>
    </row>
    <row r="304" spans="1:18">
      <c r="A304" s="6"/>
      <c r="B304" s="8" t="s">
        <v>933</v>
      </c>
      <c r="C304" s="8"/>
      <c r="D304" s="158">
        <v>1333061.94</v>
      </c>
      <c r="F304" s="8" t="s">
        <v>933</v>
      </c>
      <c r="G304" s="8">
        <v>0</v>
      </c>
      <c r="H304" s="157">
        <v>1333061.94</v>
      </c>
      <c r="K304" s="13"/>
      <c r="L304" s="8">
        <v>364</v>
      </c>
      <c r="M304" s="8"/>
      <c r="N304" s="157">
        <v>1348527.77</v>
      </c>
      <c r="O304" s="6"/>
      <c r="P304" s="8" t="s">
        <v>1295</v>
      </c>
      <c r="Q304" s="160">
        <v>5330</v>
      </c>
      <c r="R304" s="8">
        <v>0</v>
      </c>
    </row>
    <row r="305" spans="1:18">
      <c r="A305" s="6"/>
      <c r="B305" s="8" t="s">
        <v>986</v>
      </c>
      <c r="C305" s="8"/>
      <c r="D305" s="159">
        <v>17784</v>
      </c>
      <c r="F305" s="8" t="s">
        <v>987</v>
      </c>
      <c r="G305" s="8">
        <v>0</v>
      </c>
      <c r="H305" s="160">
        <v>17736</v>
      </c>
      <c r="K305" s="13"/>
      <c r="L305" s="8" t="s">
        <v>1280</v>
      </c>
      <c r="M305" s="8"/>
      <c r="N305" s="157">
        <v>293138.21999999997</v>
      </c>
      <c r="O305" s="6"/>
      <c r="P305" s="8" t="s">
        <v>1295</v>
      </c>
      <c r="Q305" s="8">
        <v>0</v>
      </c>
      <c r="R305" s="157">
        <v>605679</v>
      </c>
    </row>
    <row r="306" spans="1:18">
      <c r="A306" s="6"/>
      <c r="B306" s="8" t="s">
        <v>935</v>
      </c>
      <c r="C306" s="8"/>
      <c r="D306" s="158">
        <v>1318549.19</v>
      </c>
      <c r="F306" s="8" t="s">
        <v>935</v>
      </c>
      <c r="G306" s="8">
        <v>0</v>
      </c>
      <c r="H306" s="157">
        <v>1318549.19</v>
      </c>
      <c r="K306" s="13"/>
      <c r="L306" s="8" t="s">
        <v>1281</v>
      </c>
      <c r="M306" s="8"/>
      <c r="N306" s="157">
        <v>594863.43999999994</v>
      </c>
      <c r="O306" s="6"/>
      <c r="P306" s="8" t="s">
        <v>1295</v>
      </c>
      <c r="Q306" s="160">
        <v>10816</v>
      </c>
      <c r="R306" s="8">
        <v>0</v>
      </c>
    </row>
    <row r="307" spans="1:18">
      <c r="A307" s="6"/>
      <c r="B307" s="8" t="s">
        <v>987</v>
      </c>
      <c r="C307" s="8"/>
      <c r="D307" s="159">
        <v>17736</v>
      </c>
      <c r="F307" s="8" t="s">
        <v>988</v>
      </c>
      <c r="G307" s="8">
        <v>0</v>
      </c>
      <c r="H307" s="160">
        <v>15840</v>
      </c>
      <c r="K307" s="13"/>
      <c r="L307" s="8">
        <v>151</v>
      </c>
      <c r="M307" s="8"/>
      <c r="N307" s="160">
        <v>24923.62</v>
      </c>
      <c r="O307" s="6"/>
      <c r="P307" s="8" t="s">
        <v>1296</v>
      </c>
      <c r="Q307" s="8">
        <v>0</v>
      </c>
      <c r="R307" s="157">
        <v>1518619.43</v>
      </c>
    </row>
    <row r="308" spans="1:18">
      <c r="A308" s="6"/>
      <c r="B308" s="8" t="s">
        <v>937</v>
      </c>
      <c r="C308" s="8"/>
      <c r="D308" s="158">
        <v>779538.88</v>
      </c>
      <c r="F308" s="8" t="s">
        <v>989</v>
      </c>
      <c r="G308" s="8">
        <v>0</v>
      </c>
      <c r="H308" s="160">
        <v>4464</v>
      </c>
      <c r="O308" s="13"/>
      <c r="P308" s="14" t="s">
        <v>1297</v>
      </c>
      <c r="Q308" s="14">
        <v>0</v>
      </c>
      <c r="R308" s="101">
        <v>86919.58</v>
      </c>
    </row>
    <row r="309" spans="1:18">
      <c r="A309" s="6"/>
      <c r="B309" s="8" t="s">
        <v>988</v>
      </c>
      <c r="C309" s="8"/>
      <c r="D309" s="159">
        <v>15840</v>
      </c>
      <c r="F309" s="8" t="s">
        <v>937</v>
      </c>
      <c r="G309" s="8">
        <v>0</v>
      </c>
      <c r="H309" s="157">
        <v>779538.88</v>
      </c>
      <c r="O309" s="13"/>
      <c r="P309" s="14" t="s">
        <v>1298</v>
      </c>
      <c r="Q309" s="14">
        <v>0</v>
      </c>
      <c r="R309" s="101">
        <v>48393.39</v>
      </c>
    </row>
    <row r="310" spans="1:18">
      <c r="A310" s="6"/>
      <c r="B310" s="8" t="s">
        <v>938</v>
      </c>
      <c r="C310" s="8"/>
      <c r="D310" s="158">
        <v>770998.18</v>
      </c>
      <c r="F310" s="8" t="s">
        <v>938</v>
      </c>
      <c r="G310" s="8">
        <v>0</v>
      </c>
      <c r="H310" s="157">
        <v>770998.18</v>
      </c>
      <c r="O310" s="13"/>
      <c r="P310" s="14" t="s">
        <v>1299</v>
      </c>
      <c r="Q310" s="14">
        <v>0</v>
      </c>
      <c r="R310" s="101">
        <v>24923.62</v>
      </c>
    </row>
    <row r="311" spans="1:18">
      <c r="A311" s="6"/>
      <c r="B311" s="8" t="s">
        <v>989</v>
      </c>
      <c r="C311" s="8"/>
      <c r="D311" s="159">
        <v>4464</v>
      </c>
      <c r="F311" s="8" t="s">
        <v>990</v>
      </c>
      <c r="G311" s="8">
        <v>0</v>
      </c>
      <c r="H311" s="160">
        <v>3984</v>
      </c>
      <c r="O311" s="13"/>
      <c r="P311" s="14" t="s">
        <v>1300</v>
      </c>
      <c r="Q311" s="14">
        <v>0</v>
      </c>
      <c r="R311" s="101">
        <v>1131.8399999999999</v>
      </c>
    </row>
    <row r="312" spans="1:18">
      <c r="A312" s="6"/>
      <c r="B312" s="8" t="s">
        <v>940</v>
      </c>
      <c r="C312" s="8"/>
      <c r="D312" s="158">
        <v>713005.2</v>
      </c>
      <c r="F312" s="8" t="s">
        <v>991</v>
      </c>
      <c r="G312" s="8">
        <v>0</v>
      </c>
      <c r="H312" s="160">
        <v>13488</v>
      </c>
      <c r="O312" s="13"/>
      <c r="P312" s="14" t="s">
        <v>1301</v>
      </c>
      <c r="Q312" s="14">
        <v>0</v>
      </c>
      <c r="R312" s="16">
        <v>1051595.04</v>
      </c>
    </row>
    <row r="313" spans="1:18">
      <c r="A313" s="6"/>
      <c r="B313" s="8" t="s">
        <v>991</v>
      </c>
      <c r="C313" s="8"/>
      <c r="D313" s="159">
        <v>13488</v>
      </c>
      <c r="F313" s="8" t="s">
        <v>939</v>
      </c>
      <c r="G313" s="8">
        <v>0</v>
      </c>
      <c r="H313" s="157">
        <v>966041.41</v>
      </c>
    </row>
    <row r="314" spans="1:18">
      <c r="A314" s="6"/>
      <c r="B314" s="8" t="s">
        <v>939</v>
      </c>
      <c r="C314" s="8"/>
      <c r="D314" s="158">
        <v>966041.41</v>
      </c>
      <c r="F314" s="8" t="s">
        <v>940</v>
      </c>
      <c r="G314" s="8">
        <v>0</v>
      </c>
      <c r="H314" s="157">
        <v>713005.2</v>
      </c>
    </row>
    <row r="315" spans="1:18">
      <c r="A315" s="6"/>
      <c r="B315" s="8" t="s">
        <v>990</v>
      </c>
      <c r="C315" s="8"/>
      <c r="D315" s="159">
        <v>3984</v>
      </c>
      <c r="F315" s="8" t="s">
        <v>1225</v>
      </c>
      <c r="G315" s="8">
        <v>0</v>
      </c>
      <c r="H315" s="157">
        <v>0</v>
      </c>
      <c r="I315" s="8">
        <v>114608</v>
      </c>
    </row>
    <row r="316" spans="1:18">
      <c r="A316" s="6"/>
      <c r="B316" s="8" t="s">
        <v>943</v>
      </c>
      <c r="C316" s="8"/>
      <c r="D316" s="158">
        <v>1055873.57</v>
      </c>
      <c r="F316" s="8" t="s">
        <v>992</v>
      </c>
      <c r="G316" s="8">
        <v>0</v>
      </c>
      <c r="H316" s="160">
        <v>20016</v>
      </c>
    </row>
    <row r="317" spans="1:18">
      <c r="A317" s="6"/>
      <c r="B317" s="8" t="s">
        <v>992</v>
      </c>
      <c r="C317" s="8"/>
      <c r="D317" s="159">
        <v>20016</v>
      </c>
      <c r="F317" s="8" t="s">
        <v>943</v>
      </c>
      <c r="G317" s="8">
        <v>0</v>
      </c>
      <c r="H317" s="157">
        <v>1055873.56</v>
      </c>
    </row>
    <row r="318" spans="1:18">
      <c r="A318" s="6"/>
      <c r="B318" s="8" t="s">
        <v>944</v>
      </c>
      <c r="C318" s="8"/>
      <c r="D318" s="158">
        <v>816781.86</v>
      </c>
      <c r="F318" s="8" t="s">
        <v>944</v>
      </c>
      <c r="G318" s="8">
        <v>0</v>
      </c>
      <c r="H318" s="157">
        <v>816781.86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M138"/>
  <sheetViews>
    <sheetView workbookViewId="0">
      <selection activeCell="B125" sqref="B125"/>
    </sheetView>
  </sheetViews>
  <sheetFormatPr defaultRowHeight="12.75"/>
  <cols>
    <col min="1" max="1" width="9.140625" style="244"/>
    <col min="2" max="2" width="31.5703125" style="244" customWidth="1"/>
    <col min="3" max="3" width="35.42578125" style="244" customWidth="1"/>
    <col min="4" max="4" width="17.5703125" style="244" bestFit="1" customWidth="1"/>
    <col min="5" max="5" width="13.7109375" style="244" bestFit="1" customWidth="1"/>
    <col min="6" max="6" width="15" style="244" bestFit="1" customWidth="1"/>
    <col min="7" max="7" width="17.5703125" style="244" bestFit="1" customWidth="1"/>
    <col min="8" max="8" width="9.140625" style="244"/>
    <col min="9" max="9" width="19.7109375" style="244" customWidth="1"/>
    <col min="10" max="10" width="9.140625" style="244"/>
    <col min="11" max="11" width="13" style="244" customWidth="1"/>
    <col min="12" max="12" width="15.85546875" style="244" customWidth="1"/>
    <col min="13" max="13" width="10.28515625" style="244" customWidth="1"/>
    <col min="14" max="16384" width="9.140625" style="244"/>
  </cols>
  <sheetData>
    <row r="1" spans="1:8">
      <c r="A1" s="5"/>
      <c r="B1" s="243" t="s">
        <v>157</v>
      </c>
      <c r="C1" s="243" t="s">
        <v>216</v>
      </c>
      <c r="D1" s="243" t="s">
        <v>217</v>
      </c>
      <c r="E1" s="243" t="s">
        <v>218</v>
      </c>
      <c r="F1" s="243" t="s">
        <v>219</v>
      </c>
      <c r="G1" s="243" t="s">
        <v>220</v>
      </c>
    </row>
    <row r="2" spans="1:8">
      <c r="A2" s="6"/>
      <c r="B2" s="176" t="s">
        <v>159</v>
      </c>
      <c r="C2" s="176" t="s">
        <v>87</v>
      </c>
      <c r="D2" s="176">
        <v>1854990879.4000001</v>
      </c>
      <c r="E2" s="176" t="s">
        <v>225</v>
      </c>
      <c r="F2" s="176" t="s">
        <v>2002</v>
      </c>
      <c r="G2" s="176">
        <v>1895781340.05</v>
      </c>
      <c r="H2" s="244" t="s">
        <v>379</v>
      </c>
    </row>
    <row r="3" spans="1:8">
      <c r="A3" s="6"/>
      <c r="B3" s="176" t="s">
        <v>159</v>
      </c>
      <c r="C3" s="176" t="s">
        <v>61</v>
      </c>
      <c r="D3" s="176">
        <v>554115384.01999998</v>
      </c>
      <c r="E3" s="176" t="s">
        <v>2003</v>
      </c>
      <c r="F3" s="176" t="s">
        <v>225</v>
      </c>
      <c r="G3" s="176">
        <v>562709992.38</v>
      </c>
      <c r="H3" s="244" t="s">
        <v>378</v>
      </c>
    </row>
    <row r="4" spans="1:8">
      <c r="D4" s="244">
        <f>+D2-D3</f>
        <v>1300875495.3800001</v>
      </c>
      <c r="G4" s="244">
        <f>+G2-G3</f>
        <v>1333071347.6700001</v>
      </c>
    </row>
    <row r="6" spans="1:8">
      <c r="B6" s="2" t="s">
        <v>157</v>
      </c>
      <c r="C6" s="2" t="s">
        <v>216</v>
      </c>
      <c r="D6" s="2" t="s">
        <v>217</v>
      </c>
      <c r="E6" s="2" t="s">
        <v>218</v>
      </c>
      <c r="F6" s="2" t="s">
        <v>219</v>
      </c>
      <c r="G6" s="245" t="s">
        <v>220</v>
      </c>
    </row>
    <row r="7" spans="1:8">
      <c r="B7" s="123" t="s">
        <v>302</v>
      </c>
      <c r="C7" s="123" t="s">
        <v>221</v>
      </c>
      <c r="D7" s="123">
        <v>659936589.39999998</v>
      </c>
      <c r="E7" s="123" t="s">
        <v>225</v>
      </c>
      <c r="F7" s="123" t="s">
        <v>2004</v>
      </c>
      <c r="G7" s="123">
        <v>668738122.39999998</v>
      </c>
      <c r="H7" s="244" t="s">
        <v>379</v>
      </c>
    </row>
    <row r="8" spans="1:8">
      <c r="B8" s="123" t="s">
        <v>302</v>
      </c>
      <c r="C8" s="123" t="s">
        <v>222</v>
      </c>
      <c r="D8" s="123">
        <v>1961019002.8</v>
      </c>
      <c r="E8" s="123" t="s">
        <v>2005</v>
      </c>
      <c r="F8" s="123" t="s">
        <v>225</v>
      </c>
      <c r="G8" s="123">
        <v>2001697059.46</v>
      </c>
      <c r="H8" s="244" t="s">
        <v>378</v>
      </c>
    </row>
    <row r="9" spans="1:8">
      <c r="D9" s="244">
        <f>+D7-D8</f>
        <v>-1301082413.4000001</v>
      </c>
      <c r="E9" s="244">
        <f>40790460.65-40678056.66</f>
        <v>112403.99000000209</v>
      </c>
      <c r="F9" s="244">
        <f>8801533-8594608.36</f>
        <v>206924.6400000006</v>
      </c>
      <c r="G9" s="244">
        <f>+G7-G8</f>
        <v>-1332958937.0599999</v>
      </c>
    </row>
    <row r="10" spans="1:8">
      <c r="D10" s="244">
        <f>+D4+D9</f>
        <v>-206918.01999998093</v>
      </c>
      <c r="F10" s="244">
        <f>+F9-E9</f>
        <v>94520.64999999851</v>
      </c>
      <c r="G10" s="244">
        <f>+G4+G9</f>
        <v>112410.61000013351</v>
      </c>
    </row>
    <row r="12" spans="1:8">
      <c r="B12" s="123" t="s">
        <v>157</v>
      </c>
      <c r="C12" s="123" t="s">
        <v>216</v>
      </c>
      <c r="D12" s="123" t="s">
        <v>217</v>
      </c>
      <c r="E12" s="123" t="s">
        <v>218</v>
      </c>
      <c r="F12" s="123" t="s">
        <v>219</v>
      </c>
      <c r="G12" s="123" t="s">
        <v>220</v>
      </c>
    </row>
    <row r="13" spans="1:8">
      <c r="B13" s="123" t="s">
        <v>159</v>
      </c>
      <c r="C13" s="123" t="s">
        <v>89</v>
      </c>
      <c r="D13" s="123" t="s">
        <v>1941</v>
      </c>
      <c r="E13" s="246" t="s">
        <v>2006</v>
      </c>
      <c r="F13" s="246" t="s">
        <v>2007</v>
      </c>
      <c r="G13" s="123">
        <v>383248545.19</v>
      </c>
      <c r="H13" s="244" t="s">
        <v>379</v>
      </c>
    </row>
    <row r="14" spans="1:8">
      <c r="B14" s="123" t="s">
        <v>159</v>
      </c>
      <c r="C14" s="123" t="s">
        <v>226</v>
      </c>
      <c r="D14" s="123" t="s">
        <v>1942</v>
      </c>
      <c r="E14" s="246" t="s">
        <v>2008</v>
      </c>
      <c r="F14" s="123" t="s">
        <v>225</v>
      </c>
      <c r="G14" s="123">
        <v>60979518.060000002</v>
      </c>
      <c r="H14" s="244" t="s">
        <v>378</v>
      </c>
    </row>
    <row r="15" spans="1:8">
      <c r="B15" s="123"/>
      <c r="C15" s="123"/>
      <c r="D15" s="123"/>
      <c r="E15" s="123"/>
      <c r="F15" s="123"/>
      <c r="G15" s="123">
        <f>+G13-G14</f>
        <v>322269027.13</v>
      </c>
    </row>
    <row r="16" spans="1:8">
      <c r="B16" s="123" t="s">
        <v>157</v>
      </c>
      <c r="C16" s="123" t="s">
        <v>216</v>
      </c>
      <c r="D16" s="123" t="s">
        <v>217</v>
      </c>
      <c r="E16" s="123" t="s">
        <v>218</v>
      </c>
      <c r="F16" s="123" t="s">
        <v>219</v>
      </c>
      <c r="G16" s="123" t="s">
        <v>220</v>
      </c>
    </row>
    <row r="17" spans="2:13">
      <c r="B17" s="123" t="s">
        <v>227</v>
      </c>
      <c r="C17" s="123" t="s">
        <v>221</v>
      </c>
      <c r="D17" s="123" t="s">
        <v>1943</v>
      </c>
      <c r="E17" s="123" t="s">
        <v>225</v>
      </c>
      <c r="F17" s="246" t="s">
        <v>2009</v>
      </c>
      <c r="G17" s="123">
        <v>5583806.8799999999</v>
      </c>
      <c r="H17" s="244" t="s">
        <v>378</v>
      </c>
    </row>
    <row r="18" spans="2:13">
      <c r="B18" s="123" t="s">
        <v>227</v>
      </c>
      <c r="C18" s="123" t="s">
        <v>222</v>
      </c>
      <c r="D18" s="123" t="s">
        <v>1944</v>
      </c>
      <c r="E18" s="246" t="s">
        <v>2010</v>
      </c>
      <c r="F18" s="246" t="s">
        <v>2011</v>
      </c>
      <c r="G18" s="123">
        <v>316685222.94</v>
      </c>
      <c r="H18" s="244" t="s">
        <v>378</v>
      </c>
    </row>
    <row r="19" spans="2:13">
      <c r="G19" s="244">
        <f>+G17+G18</f>
        <v>322269029.81999999</v>
      </c>
    </row>
    <row r="20" spans="2:13">
      <c r="G20" s="124">
        <f>+G15-G19</f>
        <v>-2.6899999976158142</v>
      </c>
    </row>
    <row r="23" spans="2:13" ht="15">
      <c r="J23" s="12"/>
      <c r="K23" s="12"/>
      <c r="L23" s="12"/>
      <c r="M23" s="12"/>
    </row>
    <row r="24" spans="2:13" ht="15">
      <c r="B24" s="123" t="s">
        <v>157</v>
      </c>
      <c r="C24" s="123" t="s">
        <v>216</v>
      </c>
      <c r="D24" s="123" t="s">
        <v>217</v>
      </c>
      <c r="E24" s="123" t="s">
        <v>218</v>
      </c>
      <c r="F24" s="123" t="s">
        <v>219</v>
      </c>
      <c r="G24" s="123" t="s">
        <v>220</v>
      </c>
      <c r="J24" s="13"/>
      <c r="K24" s="14"/>
      <c r="L24" s="13"/>
      <c r="M24" s="14"/>
    </row>
    <row r="25" spans="2:13" ht="15">
      <c r="B25" s="123" t="s">
        <v>159</v>
      </c>
      <c r="C25" s="123" t="s">
        <v>94</v>
      </c>
      <c r="D25" s="123" t="s">
        <v>1945</v>
      </c>
      <c r="E25" s="246" t="s">
        <v>2012</v>
      </c>
      <c r="F25" s="246" t="s">
        <v>2013</v>
      </c>
      <c r="G25" s="123">
        <v>447073391.41000003</v>
      </c>
      <c r="H25" s="244" t="s">
        <v>379</v>
      </c>
      <c r="J25" s="13"/>
      <c r="K25" s="12"/>
      <c r="L25" s="12" t="s">
        <v>217</v>
      </c>
      <c r="M25" s="14"/>
    </row>
    <row r="26" spans="2:13" ht="15">
      <c r="B26" s="123" t="s">
        <v>159</v>
      </c>
      <c r="C26" s="123" t="s">
        <v>73</v>
      </c>
      <c r="D26" s="123" t="s">
        <v>1946</v>
      </c>
      <c r="E26" s="246" t="s">
        <v>2014</v>
      </c>
      <c r="F26" s="123" t="s">
        <v>225</v>
      </c>
      <c r="G26" s="123">
        <v>400403494.56</v>
      </c>
      <c r="H26" s="244" t="s">
        <v>378</v>
      </c>
      <c r="J26" s="13"/>
      <c r="K26" s="13"/>
      <c r="L26" s="14">
        <v>112595463.73</v>
      </c>
      <c r="M26" s="14"/>
    </row>
    <row r="27" spans="2:13" ht="15">
      <c r="B27" s="123"/>
      <c r="C27" s="123"/>
      <c r="D27" s="123">
        <f>441686148.4-398384827.2</f>
        <v>43301321.199999988</v>
      </c>
      <c r="E27" s="123"/>
      <c r="F27" s="123"/>
      <c r="G27" s="123">
        <f>+G25-G26</f>
        <v>46669896.850000024</v>
      </c>
      <c r="J27" s="13"/>
      <c r="K27" s="14"/>
      <c r="L27" s="13"/>
      <c r="M27" s="14"/>
    </row>
    <row r="28" spans="2:13" ht="15">
      <c r="B28" s="123" t="s">
        <v>157</v>
      </c>
      <c r="C28" s="123" t="s">
        <v>216</v>
      </c>
      <c r="D28" s="123" t="s">
        <v>217</v>
      </c>
      <c r="E28" s="123" t="s">
        <v>218</v>
      </c>
      <c r="F28" s="123" t="s">
        <v>219</v>
      </c>
      <c r="G28" s="123" t="s">
        <v>220</v>
      </c>
      <c r="J28" s="13"/>
      <c r="K28" s="12"/>
      <c r="L28" s="12" t="s">
        <v>217</v>
      </c>
      <c r="M28" s="14"/>
    </row>
    <row r="29" spans="2:13" ht="15">
      <c r="B29" s="123" t="s">
        <v>303</v>
      </c>
      <c r="C29" s="123" t="s">
        <v>221</v>
      </c>
      <c r="D29" s="123" t="s">
        <v>1947</v>
      </c>
      <c r="E29" s="123" t="s">
        <v>225</v>
      </c>
      <c r="F29" s="246" t="s">
        <v>2015</v>
      </c>
      <c r="G29" s="123">
        <v>405250472.38999999</v>
      </c>
      <c r="H29" s="244" t="s">
        <v>379</v>
      </c>
      <c r="J29" s="13"/>
      <c r="K29" s="13"/>
      <c r="L29" s="14">
        <v>112597263.38</v>
      </c>
      <c r="M29" s="14"/>
    </row>
    <row r="30" spans="2:13" ht="15">
      <c r="B30" s="123" t="s">
        <v>303</v>
      </c>
      <c r="C30" s="123" t="s">
        <v>222</v>
      </c>
      <c r="D30" s="123" t="s">
        <v>1948</v>
      </c>
      <c r="E30" s="246" t="s">
        <v>2016</v>
      </c>
      <c r="F30" s="123" t="s">
        <v>225</v>
      </c>
      <c r="G30" s="123">
        <v>450236926.41000003</v>
      </c>
      <c r="H30" s="244" t="s">
        <v>378</v>
      </c>
      <c r="J30" s="13"/>
      <c r="K30" s="14"/>
      <c r="L30" s="13">
        <f>+L26-L29</f>
        <v>-1799.6499999910593</v>
      </c>
      <c r="M30" s="14"/>
    </row>
    <row r="31" spans="2:13" ht="15">
      <c r="D31" s="244">
        <f>403231805.03-444849684.47</f>
        <v>-41617879.440000057</v>
      </c>
      <c r="G31" s="244">
        <f>+G29-G30</f>
        <v>-44986454.020000041</v>
      </c>
      <c r="J31" s="13"/>
      <c r="K31" s="14"/>
      <c r="L31" s="13"/>
      <c r="M31" s="14"/>
    </row>
    <row r="32" spans="2:13" ht="15">
      <c r="D32" s="244">
        <f>+D27+D31</f>
        <v>1683441.7599999309</v>
      </c>
      <c r="G32" s="244">
        <f>+G27+G31</f>
        <v>1683442.8299999833</v>
      </c>
      <c r="H32" s="244" t="s">
        <v>1959</v>
      </c>
      <c r="J32" s="13"/>
      <c r="K32" s="14"/>
      <c r="L32" s="13"/>
      <c r="M32" s="14"/>
    </row>
    <row r="33" spans="2:13" ht="15">
      <c r="J33" s="13"/>
      <c r="K33" s="98"/>
      <c r="L33" s="13"/>
      <c r="M33" s="98"/>
    </row>
    <row r="34" spans="2:13" ht="15">
      <c r="B34" s="2" t="s">
        <v>157</v>
      </c>
      <c r="C34" s="2" t="s">
        <v>216</v>
      </c>
      <c r="D34" s="2" t="s">
        <v>217</v>
      </c>
      <c r="E34" s="2" t="s">
        <v>218</v>
      </c>
      <c r="F34" s="2" t="s">
        <v>219</v>
      </c>
      <c r="G34" s="245" t="s">
        <v>220</v>
      </c>
      <c r="J34" s="13"/>
      <c r="K34" s="98"/>
      <c r="L34" s="13"/>
      <c r="M34" s="98"/>
    </row>
    <row r="35" spans="2:13" ht="15">
      <c r="B35" s="123" t="s">
        <v>159</v>
      </c>
      <c r="C35" s="123" t="s">
        <v>229</v>
      </c>
      <c r="D35" s="123" t="s">
        <v>225</v>
      </c>
      <c r="E35" s="123" t="s">
        <v>225</v>
      </c>
      <c r="F35" s="123" t="s">
        <v>225</v>
      </c>
      <c r="G35" s="123" t="s">
        <v>225</v>
      </c>
      <c r="J35" s="13"/>
      <c r="K35" s="14"/>
      <c r="L35" s="13"/>
      <c r="M35" s="14"/>
    </row>
    <row r="36" spans="2:13" ht="15">
      <c r="B36" s="123" t="s">
        <v>159</v>
      </c>
      <c r="C36" s="123" t="s">
        <v>66</v>
      </c>
      <c r="D36" s="123" t="s">
        <v>1953</v>
      </c>
      <c r="E36" s="246" t="s">
        <v>2017</v>
      </c>
      <c r="F36" s="123" t="s">
        <v>225</v>
      </c>
      <c r="G36" s="215" t="s">
        <v>2018</v>
      </c>
      <c r="J36" s="13"/>
      <c r="K36" s="14"/>
      <c r="L36" s="13"/>
      <c r="M36" s="14"/>
    </row>
    <row r="37" spans="2:13" ht="15">
      <c r="J37" s="13"/>
      <c r="K37" s="98"/>
      <c r="L37" s="13"/>
      <c r="M37" s="98"/>
    </row>
    <row r="38" spans="2:13" ht="15">
      <c r="B38" s="2" t="s">
        <v>157</v>
      </c>
      <c r="C38" s="2" t="s">
        <v>216</v>
      </c>
      <c r="D38" s="2" t="s">
        <v>217</v>
      </c>
      <c r="E38" s="2" t="s">
        <v>218</v>
      </c>
      <c r="F38" s="2" t="s">
        <v>219</v>
      </c>
      <c r="G38" s="245" t="s">
        <v>220</v>
      </c>
      <c r="J38" s="13"/>
      <c r="K38" s="14"/>
      <c r="L38" s="13"/>
      <c r="M38" s="14"/>
    </row>
    <row r="39" spans="2:13">
      <c r="B39" s="123" t="s">
        <v>230</v>
      </c>
      <c r="C39" s="123" t="s">
        <v>221</v>
      </c>
      <c r="D39" s="123" t="s">
        <v>1954</v>
      </c>
      <c r="E39" s="123" t="s">
        <v>225</v>
      </c>
      <c r="F39" s="246" t="s">
        <v>2019</v>
      </c>
      <c r="G39" s="215" t="s">
        <v>2020</v>
      </c>
    </row>
    <row r="40" spans="2:13">
      <c r="B40" s="123" t="s">
        <v>230</v>
      </c>
      <c r="C40" s="123" t="s">
        <v>222</v>
      </c>
      <c r="D40" s="123" t="s">
        <v>225</v>
      </c>
      <c r="E40" s="123" t="s">
        <v>225</v>
      </c>
      <c r="F40" s="123" t="s">
        <v>225</v>
      </c>
      <c r="G40" s="177" t="s">
        <v>225</v>
      </c>
    </row>
    <row r="41" spans="2:13">
      <c r="D41" s="244">
        <f>118035601.03-118033798.97</f>
        <v>1802.0600000023842</v>
      </c>
      <c r="G41" s="244">
        <f>118035601.03-118033798.97</f>
        <v>1802.0600000023842</v>
      </c>
      <c r="H41" s="244" t="s">
        <v>1959</v>
      </c>
    </row>
    <row r="46" spans="2:13">
      <c r="B46" s="2" t="s">
        <v>157</v>
      </c>
      <c r="C46" s="2" t="s">
        <v>216</v>
      </c>
      <c r="D46" s="2" t="s">
        <v>217</v>
      </c>
      <c r="E46" s="2" t="s">
        <v>218</v>
      </c>
      <c r="F46" s="2" t="s">
        <v>219</v>
      </c>
      <c r="G46" s="2" t="s">
        <v>220</v>
      </c>
    </row>
    <row r="47" spans="2:13">
      <c r="B47" s="123" t="s">
        <v>159</v>
      </c>
      <c r="C47" s="123" t="s">
        <v>93</v>
      </c>
      <c r="D47" s="215" t="s">
        <v>1951</v>
      </c>
      <c r="E47" s="247" t="s">
        <v>2021</v>
      </c>
      <c r="F47" s="247" t="s">
        <v>2022</v>
      </c>
      <c r="G47" s="215" t="s">
        <v>2023</v>
      </c>
    </row>
    <row r="48" spans="2:13">
      <c r="B48" s="123" t="s">
        <v>159</v>
      </c>
      <c r="C48" s="123" t="s">
        <v>78</v>
      </c>
      <c r="D48" s="215" t="s">
        <v>1952</v>
      </c>
      <c r="E48" s="247" t="s">
        <v>2024</v>
      </c>
      <c r="F48" s="215" t="s">
        <v>225</v>
      </c>
      <c r="G48" s="215" t="s">
        <v>2025</v>
      </c>
    </row>
    <row r="49" spans="2:7">
      <c r="D49" s="244">
        <f>164803066.39-44880167.11</f>
        <v>119922899.27999999</v>
      </c>
      <c r="F49" s="244">
        <f>5401458.68-9919</f>
        <v>5391539.6799999997</v>
      </c>
    </row>
    <row r="50" spans="2:7">
      <c r="B50" s="2" t="s">
        <v>157</v>
      </c>
      <c r="C50" s="2" t="s">
        <v>216</v>
      </c>
      <c r="D50" s="2" t="s">
        <v>217</v>
      </c>
      <c r="E50" s="2" t="s">
        <v>218</v>
      </c>
      <c r="F50" s="2" t="s">
        <v>219</v>
      </c>
      <c r="G50" s="2" t="s">
        <v>220</v>
      </c>
    </row>
    <row r="51" spans="2:7">
      <c r="B51" s="123" t="s">
        <v>304</v>
      </c>
      <c r="C51" s="123" t="s">
        <v>221</v>
      </c>
      <c r="D51" s="215" t="s">
        <v>1949</v>
      </c>
      <c r="E51" s="215" t="s">
        <v>225</v>
      </c>
      <c r="F51" s="247" t="s">
        <v>2026</v>
      </c>
      <c r="G51" s="215" t="s">
        <v>2027</v>
      </c>
    </row>
    <row r="52" spans="2:7">
      <c r="B52" s="123" t="s">
        <v>304</v>
      </c>
      <c r="C52" s="123" t="s">
        <v>222</v>
      </c>
      <c r="D52" s="215" t="s">
        <v>1950</v>
      </c>
      <c r="E52" s="247" t="s">
        <v>2028</v>
      </c>
      <c r="F52" s="215" t="s">
        <v>2029</v>
      </c>
      <c r="G52" s="215" t="s">
        <v>2030</v>
      </c>
    </row>
    <row r="53" spans="2:7">
      <c r="D53" s="244">
        <f>51160035.83-156741683.13</f>
        <v>-105581647.3</v>
      </c>
    </row>
    <row r="54" spans="2:7">
      <c r="D54" s="244">
        <f>+D49+D53</f>
        <v>14341251.979999989</v>
      </c>
    </row>
    <row r="56" spans="2:7">
      <c r="B56" s="123" t="s">
        <v>157</v>
      </c>
      <c r="C56" s="123" t="s">
        <v>216</v>
      </c>
      <c r="D56" s="123" t="s">
        <v>217</v>
      </c>
      <c r="E56" s="123" t="s">
        <v>218</v>
      </c>
      <c r="F56" s="123" t="s">
        <v>219</v>
      </c>
      <c r="G56" s="177" t="s">
        <v>220</v>
      </c>
    </row>
    <row r="57" spans="2:7">
      <c r="B57" s="123" t="s">
        <v>159</v>
      </c>
      <c r="C57" s="123" t="s">
        <v>95</v>
      </c>
      <c r="D57" s="123" t="s">
        <v>1955</v>
      </c>
      <c r="E57" s="123" t="s">
        <v>225</v>
      </c>
      <c r="F57" s="123" t="s">
        <v>2031</v>
      </c>
      <c r="G57" s="215" t="s">
        <v>2032</v>
      </c>
    </row>
    <row r="58" spans="2:7">
      <c r="B58" s="123" t="s">
        <v>159</v>
      </c>
      <c r="C58" s="123" t="s">
        <v>232</v>
      </c>
      <c r="D58" s="123" t="s">
        <v>1956</v>
      </c>
      <c r="E58" s="123" t="s">
        <v>225</v>
      </c>
      <c r="F58" s="123" t="s">
        <v>225</v>
      </c>
      <c r="G58" s="215" t="s">
        <v>1956</v>
      </c>
    </row>
    <row r="59" spans="2:7">
      <c r="D59" s="244">
        <f>149203989.05-1935023.07</f>
        <v>147268965.98000002</v>
      </c>
    </row>
    <row r="62" spans="2:7">
      <c r="B62" s="123" t="s">
        <v>157</v>
      </c>
      <c r="C62" s="123" t="s">
        <v>216</v>
      </c>
      <c r="D62" s="123" t="s">
        <v>217</v>
      </c>
      <c r="E62" s="123" t="s">
        <v>218</v>
      </c>
      <c r="F62" s="123" t="s">
        <v>219</v>
      </c>
      <c r="G62" s="177" t="s">
        <v>220</v>
      </c>
    </row>
    <row r="63" spans="2:7">
      <c r="B63" s="123" t="s">
        <v>233</v>
      </c>
      <c r="C63" s="123" t="s">
        <v>221</v>
      </c>
      <c r="D63" s="123" t="s">
        <v>1957</v>
      </c>
      <c r="E63" s="123" t="s">
        <v>225</v>
      </c>
      <c r="F63" s="123" t="s">
        <v>225</v>
      </c>
      <c r="G63" s="215" t="s">
        <v>1957</v>
      </c>
    </row>
    <row r="64" spans="2:7">
      <c r="B64" s="123" t="s">
        <v>233</v>
      </c>
      <c r="C64" s="123" t="s">
        <v>222</v>
      </c>
      <c r="D64" s="123" t="s">
        <v>1958</v>
      </c>
      <c r="E64" s="123" t="s">
        <v>2033</v>
      </c>
      <c r="F64" s="123" t="s">
        <v>225</v>
      </c>
      <c r="G64" s="215" t="s">
        <v>2034</v>
      </c>
    </row>
    <row r="65" spans="2:8">
      <c r="D65" s="244">
        <f>23289543.27-166196145.62</f>
        <v>-142906602.34999999</v>
      </c>
      <c r="E65" s="244">
        <f>3837152.14-3815412.76</f>
        <v>21739.380000000354</v>
      </c>
      <c r="F65" s="244" t="s">
        <v>2035</v>
      </c>
    </row>
    <row r="66" spans="2:8">
      <c r="C66" s="244" t="s">
        <v>1959</v>
      </c>
      <c r="D66" s="244">
        <f>+D59+D65</f>
        <v>4362363.630000025</v>
      </c>
    </row>
    <row r="70" spans="2:8">
      <c r="B70" s="123" t="s">
        <v>157</v>
      </c>
      <c r="C70" s="123" t="s">
        <v>216</v>
      </c>
      <c r="D70" s="123" t="s">
        <v>217</v>
      </c>
      <c r="E70" s="123" t="s">
        <v>218</v>
      </c>
      <c r="F70" s="123" t="s">
        <v>219</v>
      </c>
      <c r="G70" s="123" t="s">
        <v>220</v>
      </c>
    </row>
    <row r="71" spans="2:8">
      <c r="B71" s="123" t="s">
        <v>159</v>
      </c>
      <c r="C71" s="123" t="s">
        <v>103</v>
      </c>
      <c r="D71" s="123" t="s">
        <v>1960</v>
      </c>
      <c r="E71" s="123" t="s">
        <v>225</v>
      </c>
      <c r="F71" s="123" t="s">
        <v>2036</v>
      </c>
      <c r="G71" s="123">
        <v>63914699.939999998</v>
      </c>
      <c r="H71" s="244" t="s">
        <v>379</v>
      </c>
    </row>
    <row r="72" spans="2:8">
      <c r="B72" s="123" t="s">
        <v>159</v>
      </c>
      <c r="C72" s="123" t="s">
        <v>365</v>
      </c>
      <c r="D72" s="123" t="s">
        <v>1699</v>
      </c>
      <c r="E72" s="246" t="s">
        <v>1614</v>
      </c>
      <c r="F72" s="123" t="s">
        <v>225</v>
      </c>
      <c r="G72" s="123">
        <v>12352814</v>
      </c>
      <c r="H72" s="244" t="s">
        <v>378</v>
      </c>
    </row>
    <row r="73" spans="2:8">
      <c r="B73" s="123"/>
      <c r="C73" s="123"/>
      <c r="D73" s="123"/>
      <c r="E73" s="123"/>
      <c r="F73" s="123"/>
      <c r="G73" s="123">
        <f>+G71-G72</f>
        <v>51561885.939999998</v>
      </c>
    </row>
    <row r="76" spans="2:8">
      <c r="B76" s="123" t="s">
        <v>157</v>
      </c>
      <c r="C76" s="123" t="s">
        <v>216</v>
      </c>
      <c r="D76" s="123" t="s">
        <v>217</v>
      </c>
      <c r="E76" s="123" t="s">
        <v>218</v>
      </c>
      <c r="F76" s="123" t="s">
        <v>219</v>
      </c>
      <c r="G76" s="123" t="s">
        <v>220</v>
      </c>
    </row>
    <row r="77" spans="2:8">
      <c r="B77" s="123" t="s">
        <v>366</v>
      </c>
      <c r="C77" s="123" t="s">
        <v>221</v>
      </c>
      <c r="D77" s="123" t="s">
        <v>1700</v>
      </c>
      <c r="E77" s="123" t="s">
        <v>225</v>
      </c>
      <c r="F77" s="246" t="s">
        <v>1615</v>
      </c>
      <c r="G77" s="123">
        <v>12352814.02</v>
      </c>
      <c r="H77" s="244" t="s">
        <v>379</v>
      </c>
    </row>
    <row r="78" spans="2:8">
      <c r="B78" s="123" t="s">
        <v>366</v>
      </c>
      <c r="C78" s="123" t="s">
        <v>222</v>
      </c>
      <c r="D78" s="123" t="s">
        <v>1961</v>
      </c>
      <c r="E78" s="123" t="s">
        <v>2037</v>
      </c>
      <c r="F78" s="123" t="s">
        <v>225</v>
      </c>
      <c r="G78" s="123">
        <v>63914844.579999998</v>
      </c>
      <c r="H78" s="244" t="s">
        <v>378</v>
      </c>
    </row>
    <row r="79" spans="2:8">
      <c r="E79" s="248">
        <f>24821196.74-24821053.35</f>
        <v>143.38999999687076</v>
      </c>
      <c r="F79" s="249" t="s">
        <v>2038</v>
      </c>
      <c r="G79" s="244">
        <f>+G78-G77</f>
        <v>51562030.560000002</v>
      </c>
    </row>
    <row r="80" spans="2:8">
      <c r="G80" s="244">
        <f>+G79-G73</f>
        <v>144.62000000476837</v>
      </c>
      <c r="H80" s="244" t="s">
        <v>2039</v>
      </c>
    </row>
    <row r="84" spans="2:8">
      <c r="B84" s="2" t="s">
        <v>157</v>
      </c>
      <c r="C84" s="2" t="s">
        <v>216</v>
      </c>
      <c r="D84" s="2" t="s">
        <v>217</v>
      </c>
      <c r="E84" s="2" t="s">
        <v>218</v>
      </c>
      <c r="F84" s="2" t="s">
        <v>219</v>
      </c>
      <c r="G84" s="2" t="s">
        <v>220</v>
      </c>
    </row>
    <row r="85" spans="2:8">
      <c r="B85" s="123" t="s">
        <v>159</v>
      </c>
      <c r="C85" s="123" t="s">
        <v>256</v>
      </c>
      <c r="D85" s="215" t="s">
        <v>2040</v>
      </c>
      <c r="E85" s="177" t="s">
        <v>225</v>
      </c>
      <c r="F85" s="177" t="s">
        <v>225</v>
      </c>
      <c r="G85" s="123">
        <v>98207343.060000002</v>
      </c>
      <c r="H85" s="244" t="s">
        <v>378</v>
      </c>
    </row>
    <row r="86" spans="2:8">
      <c r="B86" s="123" t="s">
        <v>159</v>
      </c>
      <c r="C86" s="123" t="s">
        <v>283</v>
      </c>
      <c r="D86" s="215" t="s">
        <v>1962</v>
      </c>
      <c r="E86" s="177" t="s">
        <v>225</v>
      </c>
      <c r="F86" s="177" t="s">
        <v>225</v>
      </c>
      <c r="G86" s="123">
        <v>7381529.9100000001</v>
      </c>
      <c r="H86" s="244" t="s">
        <v>379</v>
      </c>
    </row>
    <row r="87" spans="2:8">
      <c r="B87" s="123" t="s">
        <v>159</v>
      </c>
      <c r="C87" s="123" t="s">
        <v>260</v>
      </c>
      <c r="D87" s="215" t="s">
        <v>1963</v>
      </c>
      <c r="E87" s="177" t="s">
        <v>225</v>
      </c>
      <c r="F87" s="177" t="s">
        <v>225</v>
      </c>
      <c r="G87" s="123">
        <v>4008377.9</v>
      </c>
      <c r="H87" s="244" t="s">
        <v>378</v>
      </c>
    </row>
    <row r="88" spans="2:8">
      <c r="G88" s="244">
        <f>+G85-G86+G87</f>
        <v>94834191.050000012</v>
      </c>
    </row>
    <row r="90" spans="2:8">
      <c r="B90" s="2" t="s">
        <v>157</v>
      </c>
      <c r="C90" s="2" t="s">
        <v>216</v>
      </c>
      <c r="D90" s="2" t="s">
        <v>217</v>
      </c>
      <c r="E90" s="2" t="s">
        <v>218</v>
      </c>
      <c r="F90" s="2" t="s">
        <v>219</v>
      </c>
      <c r="G90" s="2" t="s">
        <v>220</v>
      </c>
    </row>
    <row r="91" spans="2:8">
      <c r="B91" s="123" t="s">
        <v>1964</v>
      </c>
      <c r="C91" s="123" t="s">
        <v>481</v>
      </c>
      <c r="D91" s="215" t="s">
        <v>2041</v>
      </c>
      <c r="E91" s="177" t="s">
        <v>225</v>
      </c>
      <c r="F91" s="177" t="s">
        <v>225</v>
      </c>
      <c r="G91" s="123">
        <v>98207342.780000001</v>
      </c>
      <c r="H91" s="244" t="s">
        <v>379</v>
      </c>
    </row>
    <row r="92" spans="2:8">
      <c r="B92" s="123" t="s">
        <v>1964</v>
      </c>
      <c r="C92" s="123" t="s">
        <v>221</v>
      </c>
      <c r="D92" s="215" t="s">
        <v>1965</v>
      </c>
      <c r="E92" s="177" t="s">
        <v>225</v>
      </c>
      <c r="F92" s="177" t="s">
        <v>225</v>
      </c>
      <c r="G92" s="123">
        <v>3373155.86</v>
      </c>
      <c r="H92" s="244" t="s">
        <v>378</v>
      </c>
    </row>
    <row r="93" spans="2:8">
      <c r="G93" s="244">
        <f>+G91-G92</f>
        <v>94834186.920000002</v>
      </c>
    </row>
    <row r="94" spans="2:8">
      <c r="G94" s="124">
        <f>+G88-G93</f>
        <v>4.1300000101327896</v>
      </c>
    </row>
    <row r="98" spans="1:9">
      <c r="B98" s="123" t="s">
        <v>157</v>
      </c>
      <c r="C98" s="123" t="s">
        <v>216</v>
      </c>
      <c r="D98" s="123" t="s">
        <v>217</v>
      </c>
      <c r="E98" s="123" t="s">
        <v>218</v>
      </c>
      <c r="F98" s="123" t="s">
        <v>219</v>
      </c>
      <c r="G98" s="177" t="s">
        <v>220</v>
      </c>
    </row>
    <row r="99" spans="1:9">
      <c r="B99" s="123" t="s">
        <v>159</v>
      </c>
      <c r="C99" s="123" t="s">
        <v>274</v>
      </c>
      <c r="D99" s="123" t="s">
        <v>1937</v>
      </c>
      <c r="E99" s="246" t="s">
        <v>2042</v>
      </c>
      <c r="F99" s="246" t="s">
        <v>2043</v>
      </c>
      <c r="G99" s="215" t="s">
        <v>225</v>
      </c>
    </row>
    <row r="100" spans="1:9">
      <c r="B100" s="123" t="s">
        <v>159</v>
      </c>
      <c r="C100" s="123" t="s">
        <v>376</v>
      </c>
      <c r="D100" s="123" t="s">
        <v>1614</v>
      </c>
      <c r="E100" s="247" t="s">
        <v>225</v>
      </c>
      <c r="F100" s="246" t="s">
        <v>2044</v>
      </c>
      <c r="G100" s="215" t="s">
        <v>225</v>
      </c>
    </row>
    <row r="101" spans="1:9">
      <c r="G101" s="29"/>
    </row>
    <row r="102" spans="1:9">
      <c r="B102" s="123" t="s">
        <v>157</v>
      </c>
      <c r="C102" s="123" t="s">
        <v>216</v>
      </c>
      <c r="D102" s="123" t="s">
        <v>217</v>
      </c>
      <c r="E102" s="123" t="s">
        <v>218</v>
      </c>
      <c r="F102" s="123" t="s">
        <v>219</v>
      </c>
      <c r="G102" s="177" t="s">
        <v>220</v>
      </c>
    </row>
    <row r="103" spans="1:9">
      <c r="B103" s="123" t="s">
        <v>377</v>
      </c>
      <c r="C103" s="123" t="s">
        <v>221</v>
      </c>
      <c r="D103" s="123" t="s">
        <v>1615</v>
      </c>
      <c r="E103" s="246" t="s">
        <v>2045</v>
      </c>
      <c r="F103" s="247" t="s">
        <v>225</v>
      </c>
      <c r="G103" s="215" t="s">
        <v>225</v>
      </c>
    </row>
    <row r="104" spans="1:9" ht="33" customHeight="1">
      <c r="B104" s="123" t="s">
        <v>377</v>
      </c>
      <c r="C104" s="123" t="s">
        <v>222</v>
      </c>
      <c r="D104" s="123" t="s">
        <v>1938</v>
      </c>
      <c r="E104" s="246" t="s">
        <v>2046</v>
      </c>
      <c r="F104" s="246" t="s">
        <v>2047</v>
      </c>
      <c r="G104" s="215" t="s">
        <v>225</v>
      </c>
    </row>
    <row r="105" spans="1:9" ht="45.75" customHeight="1"/>
    <row r="106" spans="1:9" ht="32.25" customHeight="1">
      <c r="A106" s="244" t="s">
        <v>231</v>
      </c>
      <c r="I106" s="250"/>
    </row>
    <row r="108" spans="1:9">
      <c r="B108" s="123" t="s">
        <v>157</v>
      </c>
      <c r="C108" s="123" t="s">
        <v>216</v>
      </c>
      <c r="D108" s="123" t="s">
        <v>217</v>
      </c>
      <c r="E108" s="123" t="s">
        <v>218</v>
      </c>
      <c r="F108" s="123" t="s">
        <v>219</v>
      </c>
      <c r="G108" s="123" t="s">
        <v>220</v>
      </c>
    </row>
    <row r="109" spans="1:9">
      <c r="B109" s="123" t="s">
        <v>159</v>
      </c>
      <c r="C109" s="123" t="s">
        <v>660</v>
      </c>
      <c r="D109" s="123" t="s">
        <v>2048</v>
      </c>
      <c r="E109" s="123" t="s">
        <v>225</v>
      </c>
      <c r="F109" s="123" t="s">
        <v>225</v>
      </c>
      <c r="G109" s="215" t="s">
        <v>2048</v>
      </c>
    </row>
    <row r="110" spans="1:9" ht="43.5" customHeight="1">
      <c r="B110" s="123" t="s">
        <v>159</v>
      </c>
      <c r="C110" s="123" t="s">
        <v>90</v>
      </c>
      <c r="D110" s="123" t="s">
        <v>1966</v>
      </c>
      <c r="E110" s="123" t="s">
        <v>225</v>
      </c>
      <c r="F110" s="123" t="s">
        <v>225</v>
      </c>
      <c r="G110" s="215" t="s">
        <v>1966</v>
      </c>
    </row>
    <row r="111" spans="1:9" ht="36.75" customHeight="1">
      <c r="B111" s="123" t="s">
        <v>159</v>
      </c>
      <c r="C111" s="123" t="s">
        <v>55</v>
      </c>
      <c r="D111" s="123" t="s">
        <v>1967</v>
      </c>
      <c r="E111" s="123" t="s">
        <v>225</v>
      </c>
      <c r="F111" s="123" t="s">
        <v>225</v>
      </c>
      <c r="G111" s="215" t="s">
        <v>1967</v>
      </c>
    </row>
    <row r="112" spans="1:9" ht="38.25" customHeight="1">
      <c r="G112" s="244">
        <f>14934.39+13926708.33-34104292.25</f>
        <v>-20162649.530000001</v>
      </c>
    </row>
    <row r="116" spans="2:8" ht="42.75" customHeight="1">
      <c r="B116" s="123" t="s">
        <v>157</v>
      </c>
      <c r="C116" s="123" t="s">
        <v>216</v>
      </c>
      <c r="D116" s="123" t="s">
        <v>217</v>
      </c>
      <c r="E116" s="123" t="s">
        <v>218</v>
      </c>
      <c r="F116" s="123" t="s">
        <v>219</v>
      </c>
      <c r="G116" s="123" t="s">
        <v>220</v>
      </c>
    </row>
    <row r="117" spans="2:8" ht="38.25" customHeight="1">
      <c r="B117" s="123" t="s">
        <v>1968</v>
      </c>
      <c r="C117" s="123" t="s">
        <v>221</v>
      </c>
      <c r="D117" s="123" t="s">
        <v>1969</v>
      </c>
      <c r="E117" s="123" t="s">
        <v>225</v>
      </c>
      <c r="F117" s="123" t="s">
        <v>225</v>
      </c>
      <c r="G117" s="215" t="s">
        <v>1969</v>
      </c>
    </row>
    <row r="118" spans="2:8">
      <c r="B118" s="123" t="s">
        <v>424</v>
      </c>
      <c r="C118" s="123" t="s">
        <v>221</v>
      </c>
      <c r="D118" s="123" t="s">
        <v>225</v>
      </c>
      <c r="E118" s="123" t="s">
        <v>225</v>
      </c>
      <c r="F118" s="123" t="s">
        <v>225</v>
      </c>
      <c r="G118" s="215" t="s">
        <v>225</v>
      </c>
    </row>
    <row r="119" spans="2:8">
      <c r="B119" s="123" t="s">
        <v>1968</v>
      </c>
      <c r="C119" s="123" t="s">
        <v>222</v>
      </c>
      <c r="D119" s="123" t="s">
        <v>1970</v>
      </c>
      <c r="E119" s="123" t="s">
        <v>225</v>
      </c>
      <c r="F119" s="123" t="s">
        <v>225</v>
      </c>
      <c r="G119" s="215" t="s">
        <v>1970</v>
      </c>
    </row>
    <row r="120" spans="2:8">
      <c r="B120" s="123" t="s">
        <v>424</v>
      </c>
      <c r="C120" s="123" t="s">
        <v>222</v>
      </c>
      <c r="D120" s="123" t="s">
        <v>225</v>
      </c>
      <c r="E120" s="123" t="s">
        <v>225</v>
      </c>
      <c r="F120" s="123" t="s">
        <v>225</v>
      </c>
      <c r="G120" s="215" t="s">
        <v>225</v>
      </c>
    </row>
    <row r="121" spans="2:8" ht="30.75" customHeight="1">
      <c r="G121" s="244">
        <f>13973233.59-34102428.66</f>
        <v>-20129195.069999997</v>
      </c>
    </row>
    <row r="122" spans="2:8" ht="33" customHeight="1">
      <c r="G122" s="244">
        <f>+G112-G121</f>
        <v>-33454.460000004619</v>
      </c>
      <c r="H122" s="244" t="s">
        <v>2049</v>
      </c>
    </row>
    <row r="126" spans="2:8">
      <c r="B126" s="123" t="s">
        <v>157</v>
      </c>
      <c r="C126" s="123" t="s">
        <v>216</v>
      </c>
      <c r="D126" s="123" t="s">
        <v>217</v>
      </c>
      <c r="E126" s="123" t="s">
        <v>218</v>
      </c>
      <c r="F126" s="123" t="s">
        <v>219</v>
      </c>
      <c r="G126" s="123" t="s">
        <v>220</v>
      </c>
    </row>
    <row r="127" spans="2:8">
      <c r="B127" s="123" t="s">
        <v>159</v>
      </c>
      <c r="C127" s="123" t="s">
        <v>660</v>
      </c>
      <c r="D127" s="123" t="s">
        <v>2050</v>
      </c>
      <c r="E127" s="123" t="s">
        <v>2051</v>
      </c>
      <c r="F127" s="123" t="s">
        <v>225</v>
      </c>
      <c r="G127" s="215" t="s">
        <v>2048</v>
      </c>
    </row>
    <row r="128" spans="2:8">
      <c r="B128" s="123" t="s">
        <v>159</v>
      </c>
      <c r="C128" s="123" t="s">
        <v>90</v>
      </c>
      <c r="D128" s="123" t="s">
        <v>1966</v>
      </c>
      <c r="E128" s="123" t="s">
        <v>225</v>
      </c>
      <c r="F128" s="123" t="s">
        <v>225</v>
      </c>
      <c r="G128" s="215" t="s">
        <v>1966</v>
      </c>
    </row>
    <row r="129" spans="2:8">
      <c r="B129" s="123" t="s">
        <v>159</v>
      </c>
      <c r="C129" s="123" t="s">
        <v>55</v>
      </c>
      <c r="D129" s="123" t="s">
        <v>1967</v>
      </c>
      <c r="E129" s="123" t="s">
        <v>225</v>
      </c>
      <c r="F129" s="123" t="s">
        <v>225</v>
      </c>
      <c r="G129" s="215" t="s">
        <v>1967</v>
      </c>
    </row>
    <row r="130" spans="2:8">
      <c r="D130" s="244">
        <f>34104292.25-2240.1</f>
        <v>34102052.149999999</v>
      </c>
    </row>
    <row r="132" spans="2:8">
      <c r="B132" s="123" t="s">
        <v>157</v>
      </c>
      <c r="C132" s="123" t="s">
        <v>216</v>
      </c>
      <c r="D132" s="123" t="s">
        <v>217</v>
      </c>
      <c r="E132" s="123" t="s">
        <v>218</v>
      </c>
      <c r="F132" s="123" t="s">
        <v>219</v>
      </c>
      <c r="G132" s="123" t="s">
        <v>220</v>
      </c>
    </row>
    <row r="133" spans="2:8">
      <c r="B133" s="123" t="s">
        <v>1968</v>
      </c>
      <c r="C133" s="123" t="s">
        <v>221</v>
      </c>
      <c r="D133" s="123" t="s">
        <v>2052</v>
      </c>
      <c r="E133" s="123" t="s">
        <v>225</v>
      </c>
      <c r="F133" s="123" t="s">
        <v>2053</v>
      </c>
      <c r="G133" s="215" t="s">
        <v>1969</v>
      </c>
    </row>
    <row r="134" spans="2:8">
      <c r="B134" s="123" t="s">
        <v>424</v>
      </c>
      <c r="C134" s="123" t="s">
        <v>221</v>
      </c>
      <c r="D134" s="123" t="s">
        <v>2052</v>
      </c>
      <c r="E134" s="123" t="s">
        <v>2054</v>
      </c>
      <c r="F134" s="123" t="s">
        <v>225</v>
      </c>
      <c r="G134" s="215" t="s">
        <v>225</v>
      </c>
    </row>
    <row r="135" spans="2:8">
      <c r="B135" s="123" t="s">
        <v>1968</v>
      </c>
      <c r="C135" s="123" t="s">
        <v>222</v>
      </c>
      <c r="D135" s="123" t="s">
        <v>1970</v>
      </c>
      <c r="E135" s="123" t="s">
        <v>225</v>
      </c>
      <c r="F135" s="123" t="s">
        <v>225</v>
      </c>
      <c r="G135" s="215" t="s">
        <v>1970</v>
      </c>
    </row>
    <row r="136" spans="2:8">
      <c r="B136" s="123" t="s">
        <v>424</v>
      </c>
      <c r="C136" s="123" t="s">
        <v>222</v>
      </c>
      <c r="D136" s="123" t="s">
        <v>1970</v>
      </c>
      <c r="E136" s="123" t="s">
        <v>225</v>
      </c>
      <c r="F136" s="123" t="s">
        <v>2055</v>
      </c>
      <c r="G136" s="215" t="s">
        <v>225</v>
      </c>
    </row>
    <row r="137" spans="2:8">
      <c r="E137" s="244">
        <f>13926708.33-13958297.3</f>
        <v>-31588.970000000671</v>
      </c>
      <c r="F137" s="244">
        <f>34102428.66-34102052.15</f>
        <v>376.50999999791384</v>
      </c>
    </row>
    <row r="138" spans="2:8">
      <c r="F138" s="244">
        <f>14936.29-12694.29</f>
        <v>2242</v>
      </c>
      <c r="G138" s="244">
        <f>+E137-F138+F137</f>
        <v>-33454.460000002757</v>
      </c>
      <c r="H138" s="244" t="s">
        <v>2049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G84"/>
  <sheetViews>
    <sheetView workbookViewId="0">
      <selection activeCell="F60" sqref="F60"/>
    </sheetView>
  </sheetViews>
  <sheetFormatPr defaultRowHeight="15"/>
  <cols>
    <col min="1" max="1" width="9.140625" style="272"/>
    <col min="2" max="2" width="29.42578125" style="272" bestFit="1" customWidth="1"/>
    <col min="3" max="3" width="32.5703125" style="272" bestFit="1" customWidth="1"/>
    <col min="4" max="4" width="18.42578125" style="272" bestFit="1" customWidth="1"/>
    <col min="5" max="5" width="15.85546875" style="272" customWidth="1"/>
    <col min="6" max="6" width="15.7109375" style="272" bestFit="1" customWidth="1"/>
    <col min="7" max="7" width="18.42578125" style="272" bestFit="1" customWidth="1"/>
    <col min="8" max="16384" width="9.140625" style="272"/>
  </cols>
  <sheetData>
    <row r="1" spans="1:7">
      <c r="A1" s="30"/>
      <c r="B1" s="270" t="s">
        <v>157</v>
      </c>
      <c r="C1" s="270" t="s">
        <v>216</v>
      </c>
      <c r="D1" s="270" t="s">
        <v>217</v>
      </c>
      <c r="E1" s="270" t="s">
        <v>218</v>
      </c>
      <c r="F1" s="270" t="s">
        <v>219</v>
      </c>
      <c r="G1" s="270" t="s">
        <v>220</v>
      </c>
    </row>
    <row r="2" spans="1:7">
      <c r="A2" s="80"/>
      <c r="B2" s="33" t="s">
        <v>159</v>
      </c>
      <c r="C2" s="33" t="s">
        <v>87</v>
      </c>
      <c r="D2" s="34" t="s">
        <v>2070</v>
      </c>
      <c r="E2" s="40" t="s">
        <v>225</v>
      </c>
      <c r="F2" s="40" t="s">
        <v>2122</v>
      </c>
      <c r="G2" s="34" t="s">
        <v>2123</v>
      </c>
    </row>
    <row r="3" spans="1:7">
      <c r="A3" s="80"/>
      <c r="B3" s="33" t="s">
        <v>159</v>
      </c>
      <c r="C3" s="33" t="s">
        <v>61</v>
      </c>
      <c r="D3" s="34" t="s">
        <v>2071</v>
      </c>
      <c r="E3" s="40" t="s">
        <v>2124</v>
      </c>
      <c r="F3" s="34" t="s">
        <v>225</v>
      </c>
      <c r="G3" s="34" t="s">
        <v>2125</v>
      </c>
    </row>
    <row r="8" spans="1:7">
      <c r="B8" s="268" t="s">
        <v>157</v>
      </c>
      <c r="C8" s="268" t="s">
        <v>216</v>
      </c>
      <c r="D8" s="268" t="s">
        <v>217</v>
      </c>
      <c r="E8" s="268" t="s">
        <v>218</v>
      </c>
      <c r="F8" s="268" t="s">
        <v>219</v>
      </c>
      <c r="G8" s="268" t="s">
        <v>220</v>
      </c>
    </row>
    <row r="9" spans="1:7">
      <c r="B9" s="69" t="s">
        <v>302</v>
      </c>
      <c r="C9" s="69" t="s">
        <v>221</v>
      </c>
      <c r="D9" s="103" t="s">
        <v>2126</v>
      </c>
      <c r="E9" s="103" t="s">
        <v>225</v>
      </c>
      <c r="F9" s="273" t="s">
        <v>2127</v>
      </c>
      <c r="G9" s="103" t="s">
        <v>2128</v>
      </c>
    </row>
    <row r="10" spans="1:7">
      <c r="B10" s="69" t="s">
        <v>302</v>
      </c>
      <c r="C10" s="69" t="s">
        <v>222</v>
      </c>
      <c r="D10" s="103" t="s">
        <v>2073</v>
      </c>
      <c r="E10" s="273" t="s">
        <v>2129</v>
      </c>
      <c r="F10" s="273" t="s">
        <v>225</v>
      </c>
      <c r="G10" s="103" t="s">
        <v>2130</v>
      </c>
    </row>
    <row r="11" spans="1:7">
      <c r="E11" s="272">
        <f>55685117.09-55632053.49</f>
        <v>53063.60000000149</v>
      </c>
      <c r="F11" s="272">
        <f>5824186-5712402.27</f>
        <v>111783.73000000045</v>
      </c>
    </row>
    <row r="14" spans="1:7">
      <c r="A14" s="12"/>
      <c r="B14" s="269" t="s">
        <v>157</v>
      </c>
      <c r="C14" s="269" t="s">
        <v>216</v>
      </c>
      <c r="D14" s="269" t="s">
        <v>217</v>
      </c>
      <c r="E14" s="269" t="s">
        <v>218</v>
      </c>
      <c r="F14" s="269" t="s">
        <v>219</v>
      </c>
      <c r="G14" s="269" t="s">
        <v>220</v>
      </c>
    </row>
    <row r="15" spans="1:7" ht="30">
      <c r="A15" s="13"/>
      <c r="B15" s="70" t="s">
        <v>159</v>
      </c>
      <c r="C15" s="70" t="s">
        <v>87</v>
      </c>
      <c r="D15" s="70" t="s">
        <v>2074</v>
      </c>
      <c r="E15" s="83" t="s">
        <v>2075</v>
      </c>
      <c r="F15" s="83" t="s">
        <v>2076</v>
      </c>
      <c r="G15" s="70" t="s">
        <v>2070</v>
      </c>
    </row>
    <row r="16" spans="1:7">
      <c r="A16" s="13"/>
      <c r="B16" s="70" t="s">
        <v>159</v>
      </c>
      <c r="C16" s="70" t="s">
        <v>61</v>
      </c>
      <c r="D16" s="70" t="s">
        <v>2077</v>
      </c>
      <c r="E16" s="83" t="s">
        <v>2078</v>
      </c>
      <c r="F16" s="83" t="s">
        <v>2079</v>
      </c>
      <c r="G16" s="70" t="s">
        <v>2071</v>
      </c>
    </row>
    <row r="19" spans="1:7">
      <c r="A19" s="12"/>
      <c r="B19" s="269" t="s">
        <v>157</v>
      </c>
      <c r="C19" s="269" t="s">
        <v>216</v>
      </c>
      <c r="D19" s="269" t="s">
        <v>217</v>
      </c>
      <c r="E19" s="269" t="s">
        <v>218</v>
      </c>
      <c r="F19" s="269" t="s">
        <v>219</v>
      </c>
      <c r="G19" s="269" t="s">
        <v>220</v>
      </c>
    </row>
    <row r="20" spans="1:7">
      <c r="A20" s="13"/>
      <c r="B20" s="70" t="s">
        <v>302</v>
      </c>
      <c r="C20" s="70" t="s">
        <v>221</v>
      </c>
      <c r="D20" s="70" t="s">
        <v>2080</v>
      </c>
      <c r="E20" s="83" t="s">
        <v>2081</v>
      </c>
      <c r="F20" s="83" t="s">
        <v>2082</v>
      </c>
      <c r="G20" s="70" t="s">
        <v>2072</v>
      </c>
    </row>
    <row r="21" spans="1:7" ht="30">
      <c r="A21" s="13"/>
      <c r="B21" s="70" t="s">
        <v>302</v>
      </c>
      <c r="C21" s="70" t="s">
        <v>222</v>
      </c>
      <c r="D21" s="70" t="s">
        <v>2083</v>
      </c>
      <c r="E21" s="83" t="s">
        <v>2084</v>
      </c>
      <c r="F21" s="83" t="s">
        <v>2085</v>
      </c>
      <c r="G21" s="70" t="s">
        <v>2073</v>
      </c>
    </row>
    <row r="22" spans="1:7">
      <c r="E22" s="272">
        <f>133704604.44-133704604.43</f>
        <v>9.9999904632568359E-3</v>
      </c>
      <c r="F22" s="272">
        <f>8255189.53-8255168.45</f>
        <v>21.080000000074506</v>
      </c>
    </row>
    <row r="23" spans="1:7">
      <c r="E23" s="272">
        <f>21978659.63-21978657.76</f>
        <v>1.869999997317791</v>
      </c>
      <c r="F23" s="272">
        <f>228281.24-228281.24</f>
        <v>0</v>
      </c>
    </row>
    <row r="28" spans="1:7">
      <c r="A28" s="12"/>
      <c r="B28" s="12" t="s">
        <v>157</v>
      </c>
      <c r="C28" s="12" t="s">
        <v>216</v>
      </c>
      <c r="D28" s="12" t="s">
        <v>217</v>
      </c>
      <c r="E28" s="12" t="s">
        <v>218</v>
      </c>
      <c r="F28" s="12" t="s">
        <v>219</v>
      </c>
      <c r="G28" s="12" t="s">
        <v>220</v>
      </c>
    </row>
    <row r="29" spans="1:7">
      <c r="A29" s="13"/>
      <c r="B29" s="14" t="s">
        <v>159</v>
      </c>
      <c r="C29" s="14" t="s">
        <v>89</v>
      </c>
      <c r="D29" s="35" t="s">
        <v>2086</v>
      </c>
      <c r="E29" s="42" t="s">
        <v>225</v>
      </c>
      <c r="F29" s="42" t="s">
        <v>2131</v>
      </c>
      <c r="G29" s="35" t="s">
        <v>2132</v>
      </c>
    </row>
    <row r="30" spans="1:7">
      <c r="A30" s="13"/>
      <c r="B30" s="14" t="s">
        <v>159</v>
      </c>
      <c r="C30" s="14" t="s">
        <v>226</v>
      </c>
      <c r="D30" s="35" t="s">
        <v>2087</v>
      </c>
      <c r="E30" s="42" t="s">
        <v>2133</v>
      </c>
      <c r="F30" s="42" t="s">
        <v>225</v>
      </c>
      <c r="G30" s="35" t="s">
        <v>2134</v>
      </c>
    </row>
    <row r="34" spans="1:7">
      <c r="A34" s="12"/>
      <c r="B34" s="12" t="s">
        <v>157</v>
      </c>
      <c r="C34" s="12" t="s">
        <v>216</v>
      </c>
      <c r="D34" s="12" t="s">
        <v>217</v>
      </c>
      <c r="E34" s="12" t="s">
        <v>218</v>
      </c>
      <c r="F34" s="12" t="s">
        <v>219</v>
      </c>
      <c r="G34" s="12" t="s">
        <v>220</v>
      </c>
    </row>
    <row r="35" spans="1:7">
      <c r="A35" s="13"/>
      <c r="B35" s="14" t="s">
        <v>227</v>
      </c>
      <c r="C35" s="14" t="s">
        <v>221</v>
      </c>
      <c r="D35" s="35" t="s">
        <v>2088</v>
      </c>
      <c r="E35" s="42" t="s">
        <v>225</v>
      </c>
      <c r="F35" s="42" t="s">
        <v>2135</v>
      </c>
      <c r="G35" s="35" t="s">
        <v>2136</v>
      </c>
    </row>
    <row r="36" spans="1:7">
      <c r="A36" s="13"/>
      <c r="B36" s="14" t="s">
        <v>227</v>
      </c>
      <c r="C36" s="14" t="s">
        <v>222</v>
      </c>
      <c r="D36" s="35" t="s">
        <v>2089</v>
      </c>
      <c r="E36" s="42" t="s">
        <v>2137</v>
      </c>
      <c r="F36" s="42" t="s">
        <v>225</v>
      </c>
      <c r="G36" s="35" t="s">
        <v>2138</v>
      </c>
    </row>
    <row r="40" spans="1:7">
      <c r="A40" s="12"/>
      <c r="B40" s="12" t="s">
        <v>157</v>
      </c>
      <c r="C40" s="12" t="s">
        <v>216</v>
      </c>
      <c r="D40" s="12" t="s">
        <v>217</v>
      </c>
      <c r="E40" s="12" t="s">
        <v>218</v>
      </c>
      <c r="F40" s="12" t="s">
        <v>219</v>
      </c>
      <c r="G40" s="12" t="s">
        <v>220</v>
      </c>
    </row>
    <row r="41" spans="1:7">
      <c r="A41" s="13"/>
      <c r="B41" s="14" t="s">
        <v>159</v>
      </c>
      <c r="C41" s="14" t="s">
        <v>94</v>
      </c>
      <c r="D41" s="35" t="s">
        <v>2090</v>
      </c>
      <c r="E41" s="42" t="s">
        <v>2139</v>
      </c>
      <c r="F41" s="42" t="s">
        <v>2140</v>
      </c>
      <c r="G41" s="35" t="s">
        <v>2141</v>
      </c>
    </row>
    <row r="42" spans="1:7">
      <c r="A42" s="13"/>
      <c r="B42" s="14" t="s">
        <v>159</v>
      </c>
      <c r="C42" s="14" t="s">
        <v>73</v>
      </c>
      <c r="D42" s="35" t="s">
        <v>2091</v>
      </c>
      <c r="E42" s="42" t="s">
        <v>2142</v>
      </c>
      <c r="F42" s="42" t="s">
        <v>225</v>
      </c>
      <c r="G42" s="35" t="s">
        <v>2143</v>
      </c>
    </row>
    <row r="43" spans="1:7">
      <c r="F43" s="90">
        <f>2714626.48-9185</f>
        <v>2705441.48</v>
      </c>
    </row>
    <row r="45" spans="1:7">
      <c r="A45" s="12"/>
      <c r="B45" s="12" t="s">
        <v>157</v>
      </c>
      <c r="C45" s="12" t="s">
        <v>216</v>
      </c>
      <c r="D45" s="12" t="s">
        <v>217</v>
      </c>
      <c r="E45" s="12" t="s">
        <v>218</v>
      </c>
      <c r="F45" s="12" t="s">
        <v>219</v>
      </c>
      <c r="G45" s="12" t="s">
        <v>220</v>
      </c>
    </row>
    <row r="46" spans="1:7">
      <c r="A46" s="13"/>
      <c r="B46" s="14" t="s">
        <v>303</v>
      </c>
      <c r="C46" s="14" t="s">
        <v>221</v>
      </c>
      <c r="D46" s="35" t="s">
        <v>2092</v>
      </c>
      <c r="E46" s="42" t="s">
        <v>225</v>
      </c>
      <c r="F46" s="42" t="s">
        <v>2144</v>
      </c>
      <c r="G46" s="35" t="s">
        <v>2145</v>
      </c>
    </row>
    <row r="47" spans="1:7">
      <c r="A47" s="13"/>
      <c r="B47" s="14" t="s">
        <v>303</v>
      </c>
      <c r="C47" s="14" t="s">
        <v>222</v>
      </c>
      <c r="D47" s="35" t="s">
        <v>2093</v>
      </c>
      <c r="E47" s="42" t="s">
        <v>2146</v>
      </c>
      <c r="F47" s="35" t="s">
        <v>225</v>
      </c>
      <c r="G47" s="35" t="s">
        <v>2147</v>
      </c>
    </row>
    <row r="52" spans="1:7">
      <c r="A52" s="12"/>
      <c r="B52" s="12" t="s">
        <v>157</v>
      </c>
      <c r="C52" s="12" t="s">
        <v>216</v>
      </c>
      <c r="D52" s="12" t="s">
        <v>217</v>
      </c>
      <c r="E52" s="12" t="s">
        <v>218</v>
      </c>
      <c r="F52" s="12" t="s">
        <v>219</v>
      </c>
      <c r="G52" s="12" t="s">
        <v>220</v>
      </c>
    </row>
    <row r="53" spans="1:7">
      <c r="A53" s="13"/>
      <c r="B53" s="14" t="s">
        <v>159</v>
      </c>
      <c r="C53" s="14" t="s">
        <v>93</v>
      </c>
      <c r="D53" s="14" t="s">
        <v>2094</v>
      </c>
      <c r="E53" s="16" t="s">
        <v>2152</v>
      </c>
      <c r="F53" s="16" t="s">
        <v>2153</v>
      </c>
      <c r="G53" s="14" t="s">
        <v>2154</v>
      </c>
    </row>
    <row r="54" spans="1:7">
      <c r="A54" s="13"/>
      <c r="B54" s="14" t="s">
        <v>159</v>
      </c>
      <c r="C54" s="14" t="s">
        <v>78</v>
      </c>
      <c r="D54" s="14" t="s">
        <v>2095</v>
      </c>
      <c r="E54" s="16" t="s">
        <v>2155</v>
      </c>
      <c r="F54" s="16" t="s">
        <v>225</v>
      </c>
      <c r="G54" s="14" t="s">
        <v>2156</v>
      </c>
    </row>
    <row r="55" spans="1:7">
      <c r="F55" s="272">
        <f>17180934.8-15982</f>
        <v>17164952.800000001</v>
      </c>
    </row>
    <row r="57" spans="1:7">
      <c r="A57" s="12"/>
      <c r="B57" s="12" t="s">
        <v>157</v>
      </c>
      <c r="C57" s="12" t="s">
        <v>216</v>
      </c>
      <c r="D57" s="12" t="s">
        <v>217</v>
      </c>
      <c r="E57" s="12" t="s">
        <v>218</v>
      </c>
      <c r="F57" s="12" t="s">
        <v>219</v>
      </c>
      <c r="G57" s="12" t="s">
        <v>220</v>
      </c>
    </row>
    <row r="58" spans="1:7">
      <c r="A58" s="13"/>
      <c r="B58" s="14" t="s">
        <v>304</v>
      </c>
      <c r="C58" s="14" t="s">
        <v>221</v>
      </c>
      <c r="D58" s="14" t="s">
        <v>2096</v>
      </c>
      <c r="E58" s="16" t="s">
        <v>225</v>
      </c>
      <c r="F58" s="16" t="s">
        <v>2148</v>
      </c>
      <c r="G58" s="14" t="s">
        <v>2149</v>
      </c>
    </row>
    <row r="59" spans="1:7">
      <c r="A59" s="13"/>
      <c r="B59" s="14" t="s">
        <v>304</v>
      </c>
      <c r="C59" s="14" t="s">
        <v>222</v>
      </c>
      <c r="D59" s="14" t="s">
        <v>2097</v>
      </c>
      <c r="E59" s="16" t="s">
        <v>2150</v>
      </c>
      <c r="F59" s="14" t="s">
        <v>225</v>
      </c>
      <c r="G59" s="14" t="s">
        <v>2151</v>
      </c>
    </row>
    <row r="60" spans="1:7">
      <c r="E60" s="79"/>
    </row>
    <row r="64" spans="1:7">
      <c r="A64" s="12"/>
      <c r="B64" s="12" t="s">
        <v>157</v>
      </c>
      <c r="C64" s="12" t="s">
        <v>216</v>
      </c>
      <c r="D64" s="12" t="s">
        <v>217</v>
      </c>
      <c r="E64" s="12" t="s">
        <v>218</v>
      </c>
      <c r="F64" s="12" t="s">
        <v>219</v>
      </c>
      <c r="G64" s="12" t="s">
        <v>220</v>
      </c>
    </row>
    <row r="65" spans="1:7" ht="30">
      <c r="A65" s="13"/>
      <c r="B65" s="14" t="s">
        <v>159</v>
      </c>
      <c r="C65" s="14" t="s">
        <v>229</v>
      </c>
      <c r="D65" s="35" t="s">
        <v>225</v>
      </c>
      <c r="E65" s="35" t="s">
        <v>225</v>
      </c>
      <c r="F65" s="35" t="s">
        <v>225</v>
      </c>
      <c r="G65" s="35" t="s">
        <v>225</v>
      </c>
    </row>
    <row r="66" spans="1:7">
      <c r="A66" s="13"/>
      <c r="B66" s="14" t="s">
        <v>159</v>
      </c>
      <c r="C66" s="14" t="s">
        <v>66</v>
      </c>
      <c r="D66" s="35" t="s">
        <v>2098</v>
      </c>
      <c r="E66" s="35" t="s">
        <v>2099</v>
      </c>
      <c r="F66" s="35" t="s">
        <v>2100</v>
      </c>
      <c r="G66" s="35" t="s">
        <v>2101</v>
      </c>
    </row>
    <row r="69" spans="1:7">
      <c r="A69" s="12"/>
      <c r="B69" s="12" t="s">
        <v>157</v>
      </c>
      <c r="C69" s="12" t="s">
        <v>216</v>
      </c>
      <c r="D69" s="12" t="s">
        <v>217</v>
      </c>
      <c r="E69" s="12" t="s">
        <v>218</v>
      </c>
      <c r="F69" s="12" t="s">
        <v>219</v>
      </c>
      <c r="G69" s="12" t="s">
        <v>220</v>
      </c>
    </row>
    <row r="70" spans="1:7" ht="30">
      <c r="A70" s="13"/>
      <c r="B70" s="14" t="s">
        <v>230</v>
      </c>
      <c r="C70" s="14" t="s">
        <v>221</v>
      </c>
      <c r="D70" s="35" t="s">
        <v>2102</v>
      </c>
      <c r="E70" s="35" t="s">
        <v>2103</v>
      </c>
      <c r="F70" s="35" t="s">
        <v>2104</v>
      </c>
      <c r="G70" s="35" t="s">
        <v>2105</v>
      </c>
    </row>
    <row r="71" spans="1:7" ht="30">
      <c r="A71" s="13"/>
      <c r="B71" s="14" t="s">
        <v>230</v>
      </c>
      <c r="C71" s="14" t="s">
        <v>222</v>
      </c>
      <c r="D71" s="35" t="s">
        <v>225</v>
      </c>
      <c r="E71" s="35" t="s">
        <v>225</v>
      </c>
      <c r="F71" s="35" t="s">
        <v>225</v>
      </c>
      <c r="G71" s="35" t="s">
        <v>225</v>
      </c>
    </row>
    <row r="72" spans="1:7">
      <c r="E72" s="272">
        <f>16280000-16289167.32</f>
        <v>-9167.320000000298</v>
      </c>
      <c r="F72" s="272">
        <f>39211521.81-39220692.47</f>
        <v>-9170.6599999964237</v>
      </c>
      <c r="G72" s="4">
        <f>+E72-F72</f>
        <v>3.3399999961256981</v>
      </c>
    </row>
    <row r="76" spans="1:7">
      <c r="A76" s="12"/>
      <c r="B76" s="12" t="s">
        <v>157</v>
      </c>
      <c r="C76" s="12" t="s">
        <v>216</v>
      </c>
      <c r="D76" s="12" t="s">
        <v>217</v>
      </c>
      <c r="E76" s="12" t="s">
        <v>218</v>
      </c>
      <c r="F76" s="12" t="s">
        <v>219</v>
      </c>
      <c r="G76" s="12" t="s">
        <v>220</v>
      </c>
    </row>
    <row r="77" spans="1:7" ht="30">
      <c r="A77" s="13"/>
      <c r="B77" s="14" t="s">
        <v>159</v>
      </c>
      <c r="C77" s="14" t="s">
        <v>95</v>
      </c>
      <c r="D77" s="35" t="s">
        <v>2032</v>
      </c>
      <c r="E77" s="35" t="s">
        <v>2106</v>
      </c>
      <c r="F77" s="35" t="s">
        <v>2107</v>
      </c>
      <c r="G77" s="35" t="s">
        <v>2108</v>
      </c>
    </row>
    <row r="78" spans="1:7">
      <c r="A78" s="13"/>
      <c r="B78" s="14" t="s">
        <v>159</v>
      </c>
      <c r="C78" s="14" t="s">
        <v>232</v>
      </c>
      <c r="D78" s="35" t="s">
        <v>1956</v>
      </c>
      <c r="E78" s="35" t="s">
        <v>2109</v>
      </c>
      <c r="F78" s="35" t="s">
        <v>225</v>
      </c>
      <c r="G78" s="35" t="s">
        <v>2110</v>
      </c>
    </row>
    <row r="81" spans="1:7">
      <c r="A81" s="12"/>
      <c r="B81" s="12" t="s">
        <v>157</v>
      </c>
      <c r="C81" s="12" t="s">
        <v>216</v>
      </c>
      <c r="D81" s="12" t="s">
        <v>217</v>
      </c>
      <c r="E81" s="12" t="s">
        <v>218</v>
      </c>
      <c r="F81" s="12" t="s">
        <v>219</v>
      </c>
      <c r="G81" s="12" t="s">
        <v>220</v>
      </c>
    </row>
    <row r="82" spans="1:7">
      <c r="A82" s="13"/>
      <c r="B82" s="14" t="s">
        <v>233</v>
      </c>
      <c r="C82" s="14" t="s">
        <v>221</v>
      </c>
      <c r="D82" s="35" t="s">
        <v>1957</v>
      </c>
      <c r="E82" s="35" t="s">
        <v>225</v>
      </c>
      <c r="F82" s="35" t="s">
        <v>2111</v>
      </c>
      <c r="G82" s="35" t="s">
        <v>2112</v>
      </c>
    </row>
    <row r="83" spans="1:7">
      <c r="A83" s="13"/>
      <c r="B83" s="14" t="s">
        <v>233</v>
      </c>
      <c r="C83" s="14" t="s">
        <v>222</v>
      </c>
      <c r="D83" s="35" t="s">
        <v>2113</v>
      </c>
      <c r="E83" s="35" t="s">
        <v>2114</v>
      </c>
      <c r="F83" s="35" t="s">
        <v>225</v>
      </c>
      <c r="G83" s="35" t="s">
        <v>2115</v>
      </c>
    </row>
    <row r="84" spans="1:7">
      <c r="E84" s="272">
        <f>15721832.78-15720400.35-1431.95</f>
        <v>0.4799999997019313</v>
      </c>
      <c r="F84" s="272">
        <f>9030.96-9040</f>
        <v>-9.0400000000008731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J5"/>
  <sheetViews>
    <sheetView workbookViewId="0">
      <selection activeCell="E3" sqref="E3"/>
    </sheetView>
  </sheetViews>
  <sheetFormatPr defaultRowHeight="15"/>
  <cols>
    <col min="1" max="1" width="9.140625" style="27"/>
    <col min="2" max="2" width="29.42578125" style="255" customWidth="1"/>
    <col min="3" max="3" width="12.28515625" style="255" customWidth="1"/>
    <col min="4" max="4" width="16.85546875" style="255" customWidth="1"/>
    <col min="5" max="5" width="13.5703125" style="255" customWidth="1"/>
    <col min="6" max="6" width="12.42578125" style="255" customWidth="1"/>
    <col min="7" max="8" width="9.140625" style="255"/>
    <col min="9" max="9" width="13.85546875" style="255" bestFit="1" customWidth="1"/>
    <col min="10" max="10" width="7.5703125" style="27" bestFit="1" customWidth="1"/>
    <col min="11" max="16384" width="9.140625" style="27"/>
  </cols>
  <sheetData>
    <row r="1" spans="1:10" ht="21.75" customHeight="1">
      <c r="A1" s="30"/>
      <c r="B1" s="191" t="s">
        <v>668</v>
      </c>
      <c r="C1" s="191" t="s">
        <v>217</v>
      </c>
      <c r="D1" s="191" t="s">
        <v>669</v>
      </c>
      <c r="E1" s="191" t="s">
        <v>670</v>
      </c>
      <c r="F1" s="191" t="s">
        <v>220</v>
      </c>
    </row>
    <row r="2" spans="1:10">
      <c r="A2" s="80"/>
      <c r="B2" s="304" t="s">
        <v>250</v>
      </c>
      <c r="C2" s="324">
        <v>162.33999999999997</v>
      </c>
      <c r="D2" s="324">
        <v>0</v>
      </c>
      <c r="E2" s="324">
        <v>162.34</v>
      </c>
      <c r="F2" s="324">
        <f>+C2+D2-E2</f>
        <v>0</v>
      </c>
      <c r="I2" s="255" t="s">
        <v>252</v>
      </c>
      <c r="J2" s="161">
        <f>+F2</f>
        <v>0</v>
      </c>
    </row>
    <row r="3" spans="1:10">
      <c r="A3" s="80"/>
      <c r="B3" s="304" t="s">
        <v>252</v>
      </c>
      <c r="C3" s="324">
        <v>1103.3000000000002</v>
      </c>
      <c r="D3" s="324">
        <v>0</v>
      </c>
      <c r="E3" s="324">
        <v>848.3</v>
      </c>
      <c r="F3" s="324">
        <f>+C3+D3-E3</f>
        <v>255.00000000000023</v>
      </c>
      <c r="I3" s="255" t="s">
        <v>250</v>
      </c>
      <c r="J3" s="161">
        <f>+F3</f>
        <v>255.00000000000023</v>
      </c>
    </row>
    <row r="4" spans="1:10">
      <c r="A4" s="80"/>
      <c r="B4" s="33"/>
      <c r="C4" s="325">
        <f>SUM(C2:C3)</f>
        <v>1265.6400000000001</v>
      </c>
      <c r="D4" s="325">
        <f>SUM(D2:D3)</f>
        <v>0</v>
      </c>
      <c r="E4" s="325">
        <f>SUM(E2:E3)</f>
        <v>1010.64</v>
      </c>
      <c r="F4" s="325">
        <f t="shared" ref="F4" si="0">+C4+D4-E4</f>
        <v>255.00000000000011</v>
      </c>
    </row>
    <row r="5" spans="1:10">
      <c r="A5" s="80"/>
      <c r="B5" s="116"/>
      <c r="C5" s="116"/>
      <c r="D5" s="116"/>
      <c r="E5" s="116"/>
      <c r="F5" s="116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0"/>
  <sheetViews>
    <sheetView workbookViewId="0">
      <selection activeCell="K84" sqref="K84"/>
    </sheetView>
  </sheetViews>
  <sheetFormatPr defaultRowHeight="15"/>
  <cols>
    <col min="1" max="1" width="9.140625" style="27"/>
    <col min="2" max="2" width="30.140625" style="27" bestFit="1" customWidth="1"/>
    <col min="3" max="3" width="38" style="27" bestFit="1" customWidth="1"/>
    <col min="4" max="5" width="15.140625" style="27" bestFit="1" customWidth="1"/>
    <col min="6" max="6" width="15" style="27" bestFit="1" customWidth="1"/>
    <col min="7" max="7" width="17.5703125" style="27" bestFit="1" customWidth="1"/>
    <col min="8" max="16384" width="9.140625" style="27"/>
  </cols>
  <sheetData>
    <row r="1" spans="1:8">
      <c r="A1" s="30"/>
      <c r="B1" s="328" t="s">
        <v>157</v>
      </c>
      <c r="C1" s="328" t="s">
        <v>216</v>
      </c>
      <c r="D1" s="328" t="s">
        <v>217</v>
      </c>
      <c r="E1" s="328" t="s">
        <v>218</v>
      </c>
      <c r="F1" s="328" t="s">
        <v>219</v>
      </c>
      <c r="G1" s="328" t="s">
        <v>220</v>
      </c>
    </row>
    <row r="2" spans="1:8">
      <c r="A2" s="80"/>
      <c r="B2" s="176" t="s">
        <v>302</v>
      </c>
      <c r="C2" s="176" t="s">
        <v>2288</v>
      </c>
      <c r="D2" s="330" t="s">
        <v>2322</v>
      </c>
      <c r="E2" s="163" t="s">
        <v>2323</v>
      </c>
      <c r="F2" s="163" t="s">
        <v>2324</v>
      </c>
      <c r="G2" s="163" t="s">
        <v>2325</v>
      </c>
    </row>
    <row r="3" spans="1:8">
      <c r="A3" s="80"/>
      <c r="B3" s="176" t="s">
        <v>302</v>
      </c>
      <c r="C3" s="176" t="s">
        <v>2289</v>
      </c>
      <c r="D3" s="330" t="s">
        <v>2326</v>
      </c>
      <c r="E3" s="163" t="s">
        <v>2327</v>
      </c>
      <c r="F3" s="163" t="s">
        <v>2328</v>
      </c>
      <c r="G3" s="163" t="s">
        <v>2329</v>
      </c>
    </row>
    <row r="6" spans="1:8">
      <c r="A6" s="30"/>
      <c r="B6" s="328" t="s">
        <v>157</v>
      </c>
      <c r="C6" s="328" t="s">
        <v>216</v>
      </c>
      <c r="D6" s="328" t="s">
        <v>217</v>
      </c>
      <c r="E6" s="328" t="s">
        <v>218</v>
      </c>
      <c r="F6" s="328" t="s">
        <v>219</v>
      </c>
      <c r="G6" s="328" t="s">
        <v>220</v>
      </c>
    </row>
    <row r="7" spans="1:8">
      <c r="A7" s="80"/>
      <c r="B7" s="176" t="s">
        <v>2216</v>
      </c>
      <c r="C7" s="176" t="s">
        <v>87</v>
      </c>
      <c r="D7" s="330" t="s">
        <v>2286</v>
      </c>
      <c r="E7" s="163" t="s">
        <v>225</v>
      </c>
      <c r="F7" s="163" t="s">
        <v>2330</v>
      </c>
      <c r="G7" s="163" t="s">
        <v>2331</v>
      </c>
    </row>
    <row r="8" spans="1:8">
      <c r="A8" s="80"/>
      <c r="B8" s="176" t="s">
        <v>2216</v>
      </c>
      <c r="C8" s="176" t="s">
        <v>61</v>
      </c>
      <c r="D8" s="330" t="s">
        <v>2287</v>
      </c>
      <c r="E8" s="163" t="s">
        <v>2332</v>
      </c>
      <c r="F8" s="163" t="s">
        <v>225</v>
      </c>
      <c r="G8" s="163" t="s">
        <v>2333</v>
      </c>
    </row>
    <row r="9" spans="1:8">
      <c r="B9" s="95"/>
      <c r="C9" s="95"/>
      <c r="D9" s="95"/>
      <c r="E9" s="95">
        <f>39971408.61-39528683.79</f>
        <v>442724.8200000003</v>
      </c>
      <c r="F9" s="95">
        <f>72414341.4-72366880.17</f>
        <v>47461.230000004172</v>
      </c>
      <c r="G9" s="487" t="s">
        <v>2334</v>
      </c>
      <c r="H9" s="488"/>
    </row>
    <row r="14" spans="1:8">
      <c r="A14" s="12"/>
      <c r="B14" s="328" t="s">
        <v>157</v>
      </c>
      <c r="C14" s="328" t="s">
        <v>216</v>
      </c>
      <c r="D14" s="328" t="s">
        <v>217</v>
      </c>
      <c r="E14" s="328" t="s">
        <v>218</v>
      </c>
      <c r="F14" s="328" t="s">
        <v>219</v>
      </c>
      <c r="G14" s="328" t="s">
        <v>220</v>
      </c>
    </row>
    <row r="15" spans="1:8">
      <c r="A15" s="13"/>
      <c r="B15" s="176" t="s">
        <v>2216</v>
      </c>
      <c r="C15" s="176" t="s">
        <v>94</v>
      </c>
      <c r="D15" s="162" t="s">
        <v>2296</v>
      </c>
      <c r="E15" s="163" t="s">
        <v>225</v>
      </c>
      <c r="F15" s="162" t="s">
        <v>2335</v>
      </c>
      <c r="G15" s="163" t="s">
        <v>2336</v>
      </c>
    </row>
    <row r="16" spans="1:8">
      <c r="A16" s="13"/>
      <c r="B16" s="176" t="s">
        <v>2216</v>
      </c>
      <c r="C16" s="176" t="s">
        <v>73</v>
      </c>
      <c r="D16" s="331" t="s">
        <v>2297</v>
      </c>
      <c r="E16" s="331" t="s">
        <v>2337</v>
      </c>
      <c r="F16" s="163" t="s">
        <v>225</v>
      </c>
      <c r="G16" s="163" t="s">
        <v>2338</v>
      </c>
    </row>
    <row r="17" spans="1:8">
      <c r="B17" s="72"/>
      <c r="C17" s="72"/>
      <c r="D17" s="72"/>
      <c r="E17" s="72"/>
      <c r="F17" s="72"/>
      <c r="G17" s="72"/>
    </row>
    <row r="18" spans="1:8">
      <c r="A18" s="12"/>
      <c r="B18" s="328" t="s">
        <v>157</v>
      </c>
      <c r="C18" s="328" t="s">
        <v>216</v>
      </c>
      <c r="D18" s="328" t="s">
        <v>217</v>
      </c>
      <c r="E18" s="328" t="s">
        <v>218</v>
      </c>
      <c r="F18" s="328" t="s">
        <v>219</v>
      </c>
      <c r="G18" s="328" t="s">
        <v>220</v>
      </c>
    </row>
    <row r="19" spans="1:8">
      <c r="A19" s="13"/>
      <c r="B19" s="176" t="s">
        <v>303</v>
      </c>
      <c r="C19" s="176" t="s">
        <v>2288</v>
      </c>
      <c r="D19" s="162" t="s">
        <v>2298</v>
      </c>
      <c r="E19" s="162" t="s">
        <v>2339</v>
      </c>
      <c r="F19" s="163" t="s">
        <v>225</v>
      </c>
      <c r="G19" s="163" t="s">
        <v>2340</v>
      </c>
    </row>
    <row r="20" spans="1:8">
      <c r="A20" s="13"/>
      <c r="B20" s="176" t="s">
        <v>303</v>
      </c>
      <c r="C20" s="176" t="s">
        <v>2289</v>
      </c>
      <c r="D20" s="331" t="s">
        <v>2299</v>
      </c>
      <c r="E20" s="163" t="s">
        <v>225</v>
      </c>
      <c r="F20" s="331" t="s">
        <v>2341</v>
      </c>
      <c r="G20" s="163" t="s">
        <v>2342</v>
      </c>
    </row>
    <row r="21" spans="1:8">
      <c r="D21" s="332">
        <f>7297858.61-7298621.27</f>
        <v>-762.65999999921769</v>
      </c>
      <c r="F21" s="332">
        <f>1359616.42-1358853.76</f>
        <v>762.65999999991618</v>
      </c>
      <c r="G21" s="161">
        <f>+D21+F21</f>
        <v>6.9849193096160889E-10</v>
      </c>
    </row>
    <row r="24" spans="1:8">
      <c r="A24" s="5"/>
      <c r="B24" s="328" t="s">
        <v>157</v>
      </c>
      <c r="C24" s="328" t="s">
        <v>216</v>
      </c>
      <c r="D24" s="328" t="s">
        <v>217</v>
      </c>
      <c r="E24" s="328" t="s">
        <v>218</v>
      </c>
      <c r="F24" s="328" t="s">
        <v>219</v>
      </c>
      <c r="G24" s="328" t="s">
        <v>220</v>
      </c>
    </row>
    <row r="25" spans="1:8">
      <c r="A25" s="6"/>
      <c r="B25" s="176" t="s">
        <v>2216</v>
      </c>
      <c r="C25" s="176" t="s">
        <v>93</v>
      </c>
      <c r="D25" s="163" t="s">
        <v>2292</v>
      </c>
      <c r="E25" s="163" t="s">
        <v>225</v>
      </c>
      <c r="F25" s="163" t="s">
        <v>2343</v>
      </c>
      <c r="G25" s="333">
        <v>14282219.210000001</v>
      </c>
      <c r="H25" s="334" t="s">
        <v>2344</v>
      </c>
    </row>
    <row r="26" spans="1:8">
      <c r="A26" s="6"/>
      <c r="B26" s="176" t="s">
        <v>2216</v>
      </c>
      <c r="C26" s="176" t="s">
        <v>78</v>
      </c>
      <c r="D26" s="162" t="s">
        <v>2293</v>
      </c>
      <c r="E26" s="162" t="s">
        <v>2345</v>
      </c>
      <c r="F26" s="163" t="s">
        <v>225</v>
      </c>
      <c r="G26" s="335">
        <v>49374166.640000001</v>
      </c>
      <c r="H26" s="336" t="s">
        <v>2346</v>
      </c>
    </row>
    <row r="27" spans="1:8">
      <c r="D27" s="27">
        <f>10278714.43-10220488.52</f>
        <v>58225.910000000149</v>
      </c>
      <c r="G27" s="125">
        <f>+G25+G26</f>
        <v>63656385.850000001</v>
      </c>
    </row>
    <row r="30" spans="1:8">
      <c r="A30" s="72"/>
      <c r="B30" s="95" t="s">
        <v>157</v>
      </c>
      <c r="C30" s="95" t="s">
        <v>216</v>
      </c>
      <c r="D30" s="95" t="s">
        <v>217</v>
      </c>
      <c r="E30" s="95" t="s">
        <v>218</v>
      </c>
      <c r="F30" s="95" t="s">
        <v>219</v>
      </c>
      <c r="G30" s="95" t="s">
        <v>220</v>
      </c>
    </row>
    <row r="31" spans="1:8">
      <c r="A31" s="72"/>
      <c r="B31" s="95" t="s">
        <v>304</v>
      </c>
      <c r="C31" s="95" t="s">
        <v>2288</v>
      </c>
      <c r="D31" s="215" t="s">
        <v>2347</v>
      </c>
      <c r="E31" s="215" t="s">
        <v>2348</v>
      </c>
      <c r="F31" s="215" t="s">
        <v>2349</v>
      </c>
      <c r="G31" s="337">
        <v>14282220.18</v>
      </c>
      <c r="H31" s="338" t="s">
        <v>2346</v>
      </c>
    </row>
    <row r="32" spans="1:8">
      <c r="A32" s="72"/>
      <c r="B32" s="95" t="s">
        <v>304</v>
      </c>
      <c r="C32" s="95" t="s">
        <v>2289</v>
      </c>
      <c r="D32" s="247" t="s">
        <v>2350</v>
      </c>
      <c r="E32" s="215" t="s">
        <v>225</v>
      </c>
      <c r="F32" s="247" t="s">
        <v>2351</v>
      </c>
      <c r="G32" s="339">
        <v>49374167.039999999</v>
      </c>
      <c r="H32" s="340" t="s">
        <v>2344</v>
      </c>
    </row>
    <row r="33" spans="1:8">
      <c r="G33" s="161">
        <f>+G31+G32</f>
        <v>63656387.219999999</v>
      </c>
    </row>
    <row r="34" spans="1:8">
      <c r="G34" s="161">
        <f>+G27-G33</f>
        <v>-1.369999997317791</v>
      </c>
      <c r="H34" s="27" t="s">
        <v>2352</v>
      </c>
    </row>
    <row r="36" spans="1:8" s="72" customFormat="1" ht="12.75">
      <c r="A36" s="5"/>
      <c r="B36" s="328" t="s">
        <v>157</v>
      </c>
      <c r="C36" s="328" t="s">
        <v>216</v>
      </c>
      <c r="D36" s="328" t="s">
        <v>217</v>
      </c>
      <c r="E36" s="328" t="s">
        <v>218</v>
      </c>
      <c r="F36" s="328" t="s">
        <v>219</v>
      </c>
      <c r="G36" s="328" t="s">
        <v>220</v>
      </c>
    </row>
    <row r="37" spans="1:8" s="72" customFormat="1" ht="12.75">
      <c r="A37" s="6"/>
      <c r="B37" s="176" t="s">
        <v>2216</v>
      </c>
      <c r="C37" s="176" t="s">
        <v>103</v>
      </c>
      <c r="D37" s="162" t="s">
        <v>2300</v>
      </c>
      <c r="E37" s="163" t="s">
        <v>225</v>
      </c>
      <c r="F37" s="162" t="s">
        <v>2353</v>
      </c>
      <c r="G37" s="162" t="s">
        <v>2354</v>
      </c>
    </row>
    <row r="38" spans="1:8" s="72" customFormat="1" ht="12.75">
      <c r="A38" s="6"/>
      <c r="B38" s="176" t="s">
        <v>2216</v>
      </c>
      <c r="C38" s="176" t="s">
        <v>365</v>
      </c>
      <c r="D38" s="162" t="s">
        <v>2301</v>
      </c>
      <c r="E38" s="162" t="s">
        <v>2355</v>
      </c>
      <c r="F38" s="163" t="s">
        <v>225</v>
      </c>
      <c r="G38" s="162" t="s">
        <v>2356</v>
      </c>
    </row>
    <row r="42" spans="1:8" s="72" customFormat="1" ht="12.75">
      <c r="A42" s="5"/>
      <c r="B42" s="328" t="s">
        <v>157</v>
      </c>
      <c r="C42" s="328" t="s">
        <v>216</v>
      </c>
      <c r="D42" s="328" t="s">
        <v>217</v>
      </c>
      <c r="E42" s="328" t="s">
        <v>218</v>
      </c>
      <c r="F42" s="328" t="s">
        <v>219</v>
      </c>
      <c r="G42" s="328" t="s">
        <v>220</v>
      </c>
    </row>
    <row r="43" spans="1:8" s="72" customFormat="1" ht="12.75">
      <c r="A43" s="6"/>
      <c r="B43" s="176" t="s">
        <v>366</v>
      </c>
      <c r="C43" s="176" t="s">
        <v>2288</v>
      </c>
      <c r="D43" s="162" t="s">
        <v>2302</v>
      </c>
      <c r="E43" s="162" t="s">
        <v>2357</v>
      </c>
      <c r="F43" s="163" t="s">
        <v>225</v>
      </c>
      <c r="G43" s="162" t="s">
        <v>2358</v>
      </c>
    </row>
    <row r="44" spans="1:8" s="72" customFormat="1" ht="12.75">
      <c r="A44" s="6"/>
      <c r="B44" s="176" t="s">
        <v>366</v>
      </c>
      <c r="C44" s="176" t="s">
        <v>2289</v>
      </c>
      <c r="D44" s="162" t="s">
        <v>2303</v>
      </c>
      <c r="E44" s="163" t="s">
        <v>225</v>
      </c>
      <c r="F44" s="162" t="s">
        <v>2359</v>
      </c>
      <c r="G44" s="162" t="s">
        <v>2360</v>
      </c>
    </row>
    <row r="48" spans="1:8">
      <c r="A48" s="12"/>
      <c r="B48" s="328" t="s">
        <v>157</v>
      </c>
      <c r="C48" s="328" t="s">
        <v>216</v>
      </c>
      <c r="D48" s="328" t="s">
        <v>217</v>
      </c>
      <c r="E48" s="328" t="s">
        <v>218</v>
      </c>
      <c r="F48" s="328" t="s">
        <v>219</v>
      </c>
      <c r="G48" s="328" t="s">
        <v>220</v>
      </c>
    </row>
    <row r="49" spans="1:7">
      <c r="A49" s="13"/>
      <c r="B49" s="176" t="s">
        <v>2216</v>
      </c>
      <c r="C49" s="176" t="s">
        <v>229</v>
      </c>
      <c r="D49" s="163" t="s">
        <v>225</v>
      </c>
      <c r="E49" s="163" t="s">
        <v>225</v>
      </c>
      <c r="F49" s="163" t="s">
        <v>225</v>
      </c>
      <c r="G49" s="163" t="s">
        <v>225</v>
      </c>
    </row>
    <row r="50" spans="1:7">
      <c r="A50" s="13"/>
      <c r="B50" s="176" t="s">
        <v>2216</v>
      </c>
      <c r="C50" s="176" t="s">
        <v>66</v>
      </c>
      <c r="D50" s="162" t="s">
        <v>2294</v>
      </c>
      <c r="E50" s="162" t="s">
        <v>2361</v>
      </c>
      <c r="F50" s="163" t="s">
        <v>225</v>
      </c>
      <c r="G50" s="162" t="s">
        <v>2362</v>
      </c>
    </row>
    <row r="54" spans="1:7">
      <c r="A54" s="12"/>
      <c r="B54" s="328" t="s">
        <v>157</v>
      </c>
      <c r="C54" s="328" t="s">
        <v>216</v>
      </c>
      <c r="D54" s="328" t="s">
        <v>217</v>
      </c>
      <c r="E54" s="328" t="s">
        <v>218</v>
      </c>
      <c r="F54" s="328" t="s">
        <v>219</v>
      </c>
      <c r="G54" s="328" t="s">
        <v>220</v>
      </c>
    </row>
    <row r="55" spans="1:7">
      <c r="A55" s="13"/>
      <c r="B55" s="176" t="s">
        <v>230</v>
      </c>
      <c r="C55" s="176" t="s">
        <v>2288</v>
      </c>
      <c r="D55" s="163" t="s">
        <v>225</v>
      </c>
      <c r="E55" s="163" t="s">
        <v>225</v>
      </c>
      <c r="F55" s="163" t="s">
        <v>225</v>
      </c>
      <c r="G55" s="163" t="s">
        <v>225</v>
      </c>
    </row>
    <row r="56" spans="1:7">
      <c r="A56" s="13"/>
      <c r="B56" s="176" t="s">
        <v>230</v>
      </c>
      <c r="C56" s="176" t="s">
        <v>2289</v>
      </c>
      <c r="D56" s="162" t="s">
        <v>2295</v>
      </c>
      <c r="E56" s="163" t="s">
        <v>225</v>
      </c>
      <c r="F56" s="162" t="s">
        <v>2363</v>
      </c>
      <c r="G56" s="162" t="s">
        <v>2364</v>
      </c>
    </row>
    <row r="60" spans="1:7">
      <c r="A60" s="12"/>
      <c r="B60" s="328" t="s">
        <v>157</v>
      </c>
      <c r="C60" s="328" t="s">
        <v>216</v>
      </c>
      <c r="D60" s="328" t="s">
        <v>217</v>
      </c>
      <c r="E60" s="328" t="s">
        <v>218</v>
      </c>
      <c r="F60" s="328" t="s">
        <v>219</v>
      </c>
      <c r="G60" s="328" t="s">
        <v>220</v>
      </c>
    </row>
    <row r="61" spans="1:7">
      <c r="A61" s="13"/>
      <c r="B61" s="176" t="s">
        <v>2216</v>
      </c>
      <c r="C61" s="176" t="s">
        <v>89</v>
      </c>
      <c r="D61" s="162" t="s">
        <v>2290</v>
      </c>
      <c r="E61" s="163" t="s">
        <v>225</v>
      </c>
      <c r="F61" s="162" t="s">
        <v>2365</v>
      </c>
      <c r="G61" s="162" t="s">
        <v>2366</v>
      </c>
    </row>
    <row r="62" spans="1:7">
      <c r="A62" s="13"/>
      <c r="B62" s="176" t="s">
        <v>2216</v>
      </c>
      <c r="C62" s="176" t="s">
        <v>226</v>
      </c>
      <c r="D62" s="162" t="s">
        <v>2291</v>
      </c>
      <c r="E62" s="163" t="s">
        <v>225</v>
      </c>
      <c r="F62" s="163" t="s">
        <v>225</v>
      </c>
      <c r="G62" s="162" t="s">
        <v>2291</v>
      </c>
    </row>
    <row r="64" spans="1:7">
      <c r="A64" s="12"/>
      <c r="B64" s="328" t="s">
        <v>157</v>
      </c>
      <c r="C64" s="328" t="s">
        <v>216</v>
      </c>
      <c r="D64" s="328" t="s">
        <v>217</v>
      </c>
      <c r="E64" s="328" t="s">
        <v>218</v>
      </c>
      <c r="F64" s="328" t="s">
        <v>219</v>
      </c>
      <c r="G64" s="328" t="s">
        <v>220</v>
      </c>
    </row>
    <row r="65" spans="1:7">
      <c r="A65" s="13"/>
      <c r="B65" s="176" t="s">
        <v>227</v>
      </c>
      <c r="C65" s="176" t="s">
        <v>2288</v>
      </c>
      <c r="D65" s="162" t="s">
        <v>2367</v>
      </c>
      <c r="E65" s="162" t="s">
        <v>2368</v>
      </c>
      <c r="F65" s="163" t="s">
        <v>225</v>
      </c>
      <c r="G65" s="162" t="s">
        <v>2369</v>
      </c>
    </row>
    <row r="66" spans="1:7">
      <c r="A66" s="13"/>
      <c r="B66" s="176" t="s">
        <v>227</v>
      </c>
      <c r="C66" s="176" t="s">
        <v>2289</v>
      </c>
      <c r="D66" s="162" t="s">
        <v>2370</v>
      </c>
      <c r="E66" s="163" t="s">
        <v>225</v>
      </c>
      <c r="F66" s="163" t="s">
        <v>225</v>
      </c>
      <c r="G66" s="162" t="s">
        <v>2370</v>
      </c>
    </row>
    <row r="69" spans="1:7">
      <c r="A69" s="5"/>
      <c r="B69" s="5" t="s">
        <v>157</v>
      </c>
      <c r="C69" s="5" t="s">
        <v>216</v>
      </c>
      <c r="D69" s="5" t="s">
        <v>217</v>
      </c>
      <c r="E69" s="5" t="s">
        <v>218</v>
      </c>
      <c r="F69" s="5" t="s">
        <v>219</v>
      </c>
      <c r="G69" s="5" t="s">
        <v>220</v>
      </c>
    </row>
    <row r="70" spans="1:7">
      <c r="A70" s="6"/>
      <c r="B70" s="8" t="s">
        <v>2216</v>
      </c>
      <c r="C70" s="8" t="s">
        <v>87</v>
      </c>
      <c r="D70" s="155">
        <v>130856125.98999999</v>
      </c>
      <c r="E70" s="155" t="s">
        <v>225</v>
      </c>
      <c r="F70" s="155" t="s">
        <v>2385</v>
      </c>
      <c r="G70" s="155">
        <v>201121956.24000001</v>
      </c>
    </row>
    <row r="71" spans="1:7">
      <c r="A71" s="6"/>
      <c r="B71" s="8" t="s">
        <v>2216</v>
      </c>
      <c r="C71" s="8" t="s">
        <v>61</v>
      </c>
      <c r="D71" s="155">
        <v>50254307.350000001</v>
      </c>
      <c r="E71" s="155" t="s">
        <v>2386</v>
      </c>
      <c r="F71" s="155" t="s">
        <v>225</v>
      </c>
      <c r="G71" s="155">
        <v>94717376.840000004</v>
      </c>
    </row>
    <row r="72" spans="1:7">
      <c r="A72" s="72"/>
      <c r="B72" s="72"/>
      <c r="C72" s="72"/>
      <c r="D72" s="72">
        <f>+D70-D71</f>
        <v>80601818.639999986</v>
      </c>
      <c r="E72" s="72"/>
      <c r="F72" s="72"/>
      <c r="G72" s="72">
        <f>+G70-G71</f>
        <v>106404579.40000001</v>
      </c>
    </row>
    <row r="73" spans="1:7">
      <c r="A73" s="72"/>
      <c r="B73" s="72"/>
      <c r="C73" s="72"/>
      <c r="D73" s="72"/>
      <c r="E73" s="72"/>
      <c r="F73" s="72"/>
      <c r="G73" s="72"/>
    </row>
    <row r="74" spans="1:7">
      <c r="A74" s="5"/>
      <c r="B74" s="5" t="s">
        <v>157</v>
      </c>
      <c r="C74" s="5" t="s">
        <v>216</v>
      </c>
      <c r="D74" s="5" t="s">
        <v>217</v>
      </c>
      <c r="E74" s="5" t="s">
        <v>218</v>
      </c>
      <c r="F74" s="5" t="s">
        <v>219</v>
      </c>
      <c r="G74" s="5" t="s">
        <v>220</v>
      </c>
    </row>
    <row r="75" spans="1:7">
      <c r="A75" s="6"/>
      <c r="B75" s="8" t="s">
        <v>302</v>
      </c>
      <c r="C75" s="8" t="s">
        <v>2288</v>
      </c>
      <c r="D75" s="155">
        <v>129241342.64</v>
      </c>
      <c r="E75" s="155" t="s">
        <v>2387</v>
      </c>
      <c r="F75" s="155" t="s">
        <v>225</v>
      </c>
      <c r="G75" s="155">
        <v>199459700.40000001</v>
      </c>
    </row>
    <row r="76" spans="1:7">
      <c r="A76" s="6"/>
      <c r="B76" s="8" t="s">
        <v>302</v>
      </c>
      <c r="C76" s="8" t="s">
        <v>2289</v>
      </c>
      <c r="D76" s="155">
        <v>48149342.530000001</v>
      </c>
      <c r="E76" s="155" t="s">
        <v>225</v>
      </c>
      <c r="F76" s="155" t="s">
        <v>2388</v>
      </c>
      <c r="G76" s="155">
        <v>92995544.239999995</v>
      </c>
    </row>
    <row r="77" spans="1:7">
      <c r="D77" s="27">
        <f>+D75-D76</f>
        <v>81092000.109999999</v>
      </c>
      <c r="G77" s="27">
        <f>+G75-G76</f>
        <v>106464156.16000001</v>
      </c>
    </row>
    <row r="78" spans="1:7">
      <c r="D78" s="27">
        <f>+D72-D77</f>
        <v>-490181.47000001371</v>
      </c>
      <c r="G78" s="27">
        <f>+G72-G77</f>
        <v>-59576.760000005364</v>
      </c>
    </row>
    <row r="79" spans="1:7">
      <c r="G79" s="27">
        <v>-59591.38</v>
      </c>
    </row>
    <row r="80" spans="1:7">
      <c r="G80" s="161">
        <f>+G78-G79</f>
        <v>14.619999994632963</v>
      </c>
    </row>
  </sheetData>
  <mergeCells count="1">
    <mergeCell ref="G9:H9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4"/>
  <sheetViews>
    <sheetView topLeftCell="A73" workbookViewId="0">
      <selection activeCell="D82" sqref="D82"/>
    </sheetView>
  </sheetViews>
  <sheetFormatPr defaultRowHeight="12.75"/>
  <cols>
    <col min="1" max="1" width="9.140625" style="72"/>
    <col min="2" max="2" width="34" style="72" bestFit="1" customWidth="1"/>
    <col min="3" max="3" width="42.42578125" style="72" bestFit="1" customWidth="1"/>
    <col min="4" max="4" width="16.7109375" style="72" customWidth="1"/>
    <col min="5" max="5" width="16.85546875" style="72" bestFit="1" customWidth="1"/>
    <col min="6" max="6" width="16.7109375" style="72" bestFit="1" customWidth="1"/>
    <col min="7" max="7" width="16.85546875" style="72" bestFit="1" customWidth="1"/>
    <col min="8" max="16384" width="9.140625" style="72"/>
  </cols>
  <sheetData>
    <row r="1" spans="1:8">
      <c r="A1" s="5"/>
      <c r="B1" s="5" t="s">
        <v>157</v>
      </c>
      <c r="C1" s="5" t="s">
        <v>216</v>
      </c>
      <c r="D1" s="5" t="s">
        <v>217</v>
      </c>
      <c r="E1" s="5" t="s">
        <v>218</v>
      </c>
      <c r="F1" s="5" t="s">
        <v>2753</v>
      </c>
      <c r="G1" s="5" t="s">
        <v>220</v>
      </c>
    </row>
    <row r="2" spans="1:8">
      <c r="A2" s="6"/>
      <c r="B2" s="8" t="s">
        <v>2216</v>
      </c>
      <c r="C2" s="8" t="s">
        <v>87</v>
      </c>
      <c r="D2" s="157">
        <v>4381072.96</v>
      </c>
      <c r="E2" s="8" t="s">
        <v>2721</v>
      </c>
      <c r="F2" s="8">
        <v>361701822.48000002</v>
      </c>
      <c r="G2" s="8">
        <v>343243615.16000003</v>
      </c>
    </row>
    <row r="3" spans="1:8">
      <c r="A3" s="6"/>
      <c r="B3" s="8" t="s">
        <v>2216</v>
      </c>
      <c r="C3" s="8" t="s">
        <v>61</v>
      </c>
      <c r="D3" s="8">
        <v>167941025.12</v>
      </c>
      <c r="E3" s="8" t="s">
        <v>2722</v>
      </c>
      <c r="F3" s="8">
        <v>22875710.550000001</v>
      </c>
      <c r="G3" s="8">
        <v>84.78</v>
      </c>
    </row>
    <row r="4" spans="1:8">
      <c r="G4" s="72">
        <f>343243615.16+84.78</f>
        <v>343243699.94</v>
      </c>
    </row>
    <row r="6" spans="1:8">
      <c r="A6" s="5"/>
      <c r="B6" s="5" t="s">
        <v>157</v>
      </c>
      <c r="C6" s="5" t="s">
        <v>216</v>
      </c>
      <c r="D6" s="5" t="s">
        <v>217</v>
      </c>
      <c r="E6" s="5" t="s">
        <v>218</v>
      </c>
      <c r="F6" s="5" t="s">
        <v>2753</v>
      </c>
      <c r="G6" s="5" t="s">
        <v>220</v>
      </c>
    </row>
    <row r="7" spans="1:8">
      <c r="A7" s="6"/>
      <c r="B7" s="8" t="s">
        <v>302</v>
      </c>
      <c r="C7" s="8" t="s">
        <v>2288</v>
      </c>
      <c r="D7" s="157" t="s">
        <v>2723</v>
      </c>
      <c r="E7" s="8" t="s">
        <v>2724</v>
      </c>
      <c r="F7" s="8" t="s">
        <v>225</v>
      </c>
      <c r="G7" s="8" t="s">
        <v>2725</v>
      </c>
    </row>
    <row r="8" spans="1:8">
      <c r="A8" s="6"/>
      <c r="B8" s="8" t="s">
        <v>302</v>
      </c>
      <c r="C8" s="8" t="s">
        <v>2289</v>
      </c>
      <c r="D8" s="8" t="s">
        <v>2726</v>
      </c>
      <c r="E8" s="8" t="s">
        <v>2718</v>
      </c>
      <c r="F8" s="8">
        <v>72896135.319999993</v>
      </c>
      <c r="G8" s="8" t="s">
        <v>2727</v>
      </c>
    </row>
    <row r="9" spans="1:8">
      <c r="D9" s="72">
        <f>167967563.04-167941025.12</f>
        <v>26537.919999986887</v>
      </c>
      <c r="G9" s="72">
        <f>248172009.04+95071666.27</f>
        <v>343243675.31</v>
      </c>
    </row>
    <row r="10" spans="1:8">
      <c r="G10" s="72">
        <f>+G4-G9</f>
        <v>24.629999995231628</v>
      </c>
      <c r="H10" s="72" t="s">
        <v>2719</v>
      </c>
    </row>
    <row r="12" spans="1:8">
      <c r="A12" s="152"/>
      <c r="B12" s="152" t="s">
        <v>157</v>
      </c>
      <c r="C12" s="152" t="s">
        <v>216</v>
      </c>
      <c r="D12" s="152" t="s">
        <v>217</v>
      </c>
      <c r="E12" s="152" t="s">
        <v>218</v>
      </c>
      <c r="F12" s="152" t="s">
        <v>2753</v>
      </c>
      <c r="G12" s="152" t="s">
        <v>220</v>
      </c>
    </row>
    <row r="13" spans="1:8">
      <c r="A13" s="412"/>
      <c r="B13" s="153" t="s">
        <v>2216</v>
      </c>
      <c r="C13" s="153" t="s">
        <v>89</v>
      </c>
      <c r="D13" s="172">
        <v>18614228.219999999</v>
      </c>
      <c r="E13" s="153" t="s">
        <v>2728</v>
      </c>
      <c r="F13" s="172">
        <v>15365901.75</v>
      </c>
      <c r="G13" s="153">
        <v>23990738.77</v>
      </c>
    </row>
    <row r="14" spans="1:8">
      <c r="A14" s="412"/>
      <c r="B14" s="153" t="s">
        <v>2216</v>
      </c>
      <c r="C14" s="153" t="s">
        <v>226</v>
      </c>
      <c r="D14" s="172" t="s">
        <v>2729</v>
      </c>
      <c r="E14" s="153" t="s">
        <v>2730</v>
      </c>
      <c r="F14" s="153">
        <v>9991043.3399999999</v>
      </c>
      <c r="G14" s="153" t="s">
        <v>225</v>
      </c>
    </row>
    <row r="15" spans="1:8">
      <c r="E15" s="413">
        <f>1949524.44-1947871.86</f>
        <v>1652.5799999998417</v>
      </c>
      <c r="F15" s="413">
        <f>9991043.34-9989391.2</f>
        <v>1652.140000000596</v>
      </c>
    </row>
    <row r="16" spans="1:8">
      <c r="A16" s="152"/>
      <c r="B16" s="152" t="s">
        <v>157</v>
      </c>
      <c r="C16" s="152" t="s">
        <v>216</v>
      </c>
      <c r="D16" s="152" t="s">
        <v>217</v>
      </c>
      <c r="E16" s="152" t="s">
        <v>218</v>
      </c>
      <c r="F16" s="152" t="s">
        <v>2753</v>
      </c>
      <c r="G16" s="152" t="s">
        <v>220</v>
      </c>
    </row>
    <row r="17" spans="1:9">
      <c r="A17" s="412"/>
      <c r="B17" s="153" t="s">
        <v>227</v>
      </c>
      <c r="C17" s="153" t="s">
        <v>2288</v>
      </c>
      <c r="D17" s="172" t="s">
        <v>2731</v>
      </c>
      <c r="E17" s="172" t="s">
        <v>2732</v>
      </c>
      <c r="F17" s="153">
        <v>32795919</v>
      </c>
      <c r="G17" s="153" t="s">
        <v>2733</v>
      </c>
    </row>
    <row r="18" spans="1:9">
      <c r="A18" s="412"/>
      <c r="B18" s="153" t="s">
        <v>227</v>
      </c>
      <c r="C18" s="153" t="s">
        <v>2289</v>
      </c>
      <c r="D18" s="172">
        <v>8041519.5300000003</v>
      </c>
      <c r="E18" s="153" t="s">
        <v>225</v>
      </c>
      <c r="F18" s="153">
        <v>1947871.86</v>
      </c>
      <c r="G18" s="153">
        <v>9989391.3900000006</v>
      </c>
    </row>
    <row r="19" spans="1:9">
      <c r="C19" s="414">
        <v>46085</v>
      </c>
      <c r="D19" s="72" t="s">
        <v>1698</v>
      </c>
      <c r="E19" s="72" t="s">
        <v>56</v>
      </c>
      <c r="F19" s="72">
        <v>5</v>
      </c>
      <c r="G19" s="72">
        <f>15365901.75-15365495.92</f>
        <v>405.83000000007451</v>
      </c>
      <c r="H19" s="72">
        <v>475531.68</v>
      </c>
      <c r="I19" s="184" t="s">
        <v>2720</v>
      </c>
    </row>
    <row r="24" spans="1:9" ht="15">
      <c r="A24" s="12"/>
      <c r="B24" s="152" t="s">
        <v>157</v>
      </c>
      <c r="C24" s="152" t="s">
        <v>216</v>
      </c>
      <c r="D24" s="152" t="s">
        <v>217</v>
      </c>
      <c r="E24" s="152" t="s">
        <v>218</v>
      </c>
      <c r="F24" s="152" t="s">
        <v>2753</v>
      </c>
      <c r="G24" s="152" t="s">
        <v>220</v>
      </c>
    </row>
    <row r="25" spans="1:9" ht="15">
      <c r="A25" s="13"/>
      <c r="B25" s="153" t="s">
        <v>2216</v>
      </c>
      <c r="C25" s="153" t="s">
        <v>94</v>
      </c>
      <c r="D25" s="153">
        <v>1040041.84</v>
      </c>
      <c r="E25" s="153" t="s">
        <v>225</v>
      </c>
      <c r="F25" s="172">
        <v>14219029.59</v>
      </c>
      <c r="G25" s="153">
        <v>15259071.43</v>
      </c>
    </row>
    <row r="26" spans="1:9" ht="15">
      <c r="A26" s="13"/>
      <c r="B26" s="153" t="s">
        <v>2216</v>
      </c>
      <c r="C26" s="153" t="s">
        <v>73</v>
      </c>
      <c r="D26" s="153" t="s">
        <v>2734</v>
      </c>
      <c r="E26" s="153" t="s">
        <v>2735</v>
      </c>
      <c r="F26" s="153">
        <v>2872.39</v>
      </c>
      <c r="G26" s="153" t="s">
        <v>2736</v>
      </c>
    </row>
    <row r="27" spans="1:9">
      <c r="E27" s="72">
        <f>3441802.97-2872.39</f>
        <v>3438930.58</v>
      </c>
    </row>
    <row r="28" spans="1:9" ht="15">
      <c r="A28" s="12"/>
      <c r="B28" s="152" t="s">
        <v>157</v>
      </c>
      <c r="C28" s="152" t="s">
        <v>216</v>
      </c>
      <c r="D28" s="152" t="s">
        <v>217</v>
      </c>
      <c r="E28" s="152" t="s">
        <v>218</v>
      </c>
      <c r="F28" s="152" t="s">
        <v>2753</v>
      </c>
      <c r="G28" s="152" t="s">
        <v>220</v>
      </c>
    </row>
    <row r="29" spans="1:9" ht="15">
      <c r="A29" s="13"/>
      <c r="B29" s="153" t="s">
        <v>303</v>
      </c>
      <c r="C29" s="153" t="s">
        <v>2288</v>
      </c>
      <c r="D29" s="153" t="s">
        <v>2737</v>
      </c>
      <c r="E29" s="172" t="s">
        <v>2738</v>
      </c>
      <c r="F29" s="153">
        <v>108245.42</v>
      </c>
      <c r="G29" s="153" t="s">
        <v>2739</v>
      </c>
    </row>
    <row r="30" spans="1:9" ht="15">
      <c r="A30" s="13"/>
      <c r="B30" s="153" t="s">
        <v>303</v>
      </c>
      <c r="C30" s="153" t="s">
        <v>2289</v>
      </c>
      <c r="D30" s="153">
        <v>46344618.340000004</v>
      </c>
      <c r="E30" s="153" t="s">
        <v>225</v>
      </c>
      <c r="F30" s="153">
        <v>3386548.04</v>
      </c>
      <c r="G30" s="153">
        <v>49731166.380000003</v>
      </c>
    </row>
    <row r="31" spans="1:9">
      <c r="D31" s="72">
        <f>1148287.34-1040041.84</f>
        <v>108245.50000000012</v>
      </c>
      <c r="F31" s="72">
        <f>+E27-3386548.04</f>
        <v>52382.540000000037</v>
      </c>
    </row>
    <row r="34" spans="1:7" ht="15">
      <c r="A34" s="12"/>
      <c r="B34" s="152" t="s">
        <v>157</v>
      </c>
      <c r="C34" s="152" t="s">
        <v>216</v>
      </c>
      <c r="D34" s="152" t="s">
        <v>217</v>
      </c>
      <c r="E34" s="152" t="s">
        <v>218</v>
      </c>
      <c r="F34" s="152" t="s">
        <v>2753</v>
      </c>
      <c r="G34" s="152" t="s">
        <v>220</v>
      </c>
    </row>
    <row r="35" spans="1:7" ht="15">
      <c r="A35" s="13"/>
      <c r="B35" s="153" t="s">
        <v>2216</v>
      </c>
      <c r="C35" s="153" t="s">
        <v>93</v>
      </c>
      <c r="D35" s="172" t="s">
        <v>2740</v>
      </c>
      <c r="E35" s="172" t="s">
        <v>225</v>
      </c>
      <c r="F35" s="153">
        <v>1279459.82</v>
      </c>
      <c r="G35" s="153" t="s">
        <v>2741</v>
      </c>
    </row>
    <row r="36" spans="1:7" ht="15">
      <c r="A36" s="13"/>
      <c r="B36" s="153" t="s">
        <v>2216</v>
      </c>
      <c r="C36" s="153" t="s">
        <v>78</v>
      </c>
      <c r="D36" s="172" t="s">
        <v>2742</v>
      </c>
      <c r="E36" s="153" t="s">
        <v>2743</v>
      </c>
      <c r="F36" s="153">
        <v>14623101.449999999</v>
      </c>
      <c r="G36" s="153" t="s">
        <v>2744</v>
      </c>
    </row>
    <row r="38" spans="1:7" ht="15">
      <c r="A38" s="12"/>
      <c r="B38" s="152" t="s">
        <v>157</v>
      </c>
      <c r="C38" s="152" t="s">
        <v>216</v>
      </c>
      <c r="D38" s="152" t="s">
        <v>217</v>
      </c>
      <c r="E38" s="152" t="s">
        <v>218</v>
      </c>
      <c r="F38" s="152" t="s">
        <v>2753</v>
      </c>
      <c r="G38" s="152" t="s">
        <v>220</v>
      </c>
    </row>
    <row r="39" spans="1:7" ht="15">
      <c r="A39" s="13"/>
      <c r="B39" s="153" t="s">
        <v>304</v>
      </c>
      <c r="C39" s="153" t="s">
        <v>2288</v>
      </c>
      <c r="D39" s="172">
        <v>6977160</v>
      </c>
      <c r="E39" s="153" t="s">
        <v>2745</v>
      </c>
      <c r="F39" s="172" t="s">
        <v>225</v>
      </c>
      <c r="G39" s="153">
        <v>5698266.2400000002</v>
      </c>
    </row>
    <row r="40" spans="1:7" ht="15">
      <c r="A40" s="13"/>
      <c r="B40" s="153" t="s">
        <v>304</v>
      </c>
      <c r="C40" s="153" t="s">
        <v>2289</v>
      </c>
      <c r="D40" s="172">
        <v>113701170.09</v>
      </c>
      <c r="E40" s="153" t="s">
        <v>225</v>
      </c>
      <c r="F40" s="153">
        <v>27557474.66</v>
      </c>
      <c r="G40" s="153">
        <v>141258644.75</v>
      </c>
    </row>
    <row r="41" spans="1:7">
      <c r="E41" s="72">
        <f>1279459.82-1278893.76</f>
        <v>566.06000000005588</v>
      </c>
    </row>
    <row r="42" spans="1:7">
      <c r="E42" s="72">
        <f>297.65+268.4</f>
        <v>566.04999999999995</v>
      </c>
    </row>
    <row r="44" spans="1:7" ht="15">
      <c r="A44" s="12"/>
      <c r="B44" s="152" t="s">
        <v>157</v>
      </c>
      <c r="C44" s="152" t="s">
        <v>216</v>
      </c>
      <c r="D44" s="152" t="s">
        <v>217</v>
      </c>
      <c r="E44" s="152" t="s">
        <v>218</v>
      </c>
      <c r="F44" s="152" t="s">
        <v>2753</v>
      </c>
      <c r="G44" s="152" t="s">
        <v>220</v>
      </c>
    </row>
    <row r="45" spans="1:7" ht="15">
      <c r="A45" s="13"/>
      <c r="B45" s="153" t="s">
        <v>2216</v>
      </c>
      <c r="C45" s="153" t="s">
        <v>103</v>
      </c>
      <c r="D45" s="172" t="s">
        <v>2746</v>
      </c>
      <c r="E45" s="153" t="s">
        <v>225</v>
      </c>
      <c r="F45" s="153">
        <v>2100132.12</v>
      </c>
      <c r="G45" s="153" t="s">
        <v>2747</v>
      </c>
    </row>
    <row r="46" spans="1:7" ht="15">
      <c r="A46" s="13"/>
      <c r="B46" s="153" t="s">
        <v>2216</v>
      </c>
      <c r="C46" s="153" t="s">
        <v>365</v>
      </c>
      <c r="D46" s="172" t="s">
        <v>2748</v>
      </c>
      <c r="E46" s="153" t="s">
        <v>2749</v>
      </c>
      <c r="F46" s="153" t="s">
        <v>225</v>
      </c>
      <c r="G46" s="153" t="s">
        <v>2750</v>
      </c>
    </row>
    <row r="47" spans="1:7">
      <c r="G47" s="72">
        <f>2588640.9+83403850.75</f>
        <v>85992491.650000006</v>
      </c>
    </row>
    <row r="48" spans="1:7" ht="15">
      <c r="A48" s="12"/>
      <c r="B48" s="152" t="s">
        <v>157</v>
      </c>
      <c r="C48" s="152" t="s">
        <v>216</v>
      </c>
      <c r="D48" s="152" t="s">
        <v>217</v>
      </c>
      <c r="E48" s="152" t="s">
        <v>218</v>
      </c>
      <c r="F48" s="152" t="s">
        <v>2753</v>
      </c>
      <c r="G48" s="152" t="s">
        <v>220</v>
      </c>
    </row>
    <row r="49" spans="1:7" ht="15">
      <c r="A49" s="13"/>
      <c r="B49" s="153" t="s">
        <v>366</v>
      </c>
      <c r="C49" s="153" t="s">
        <v>2288</v>
      </c>
      <c r="D49" s="172">
        <v>4688773.03</v>
      </c>
      <c r="E49" s="153" t="s">
        <v>2751</v>
      </c>
      <c r="F49" s="153" t="s">
        <v>225</v>
      </c>
      <c r="G49" s="153" t="s">
        <v>225</v>
      </c>
    </row>
    <row r="50" spans="1:7" ht="15">
      <c r="A50" s="13"/>
      <c r="B50" s="153" t="s">
        <v>366</v>
      </c>
      <c r="C50" s="153" t="s">
        <v>2289</v>
      </c>
      <c r="D50" s="172">
        <v>83383115.590000004</v>
      </c>
      <c r="E50" s="153" t="s">
        <v>225</v>
      </c>
      <c r="F50" s="153">
        <v>2409160.21</v>
      </c>
      <c r="G50" s="153">
        <v>85792275.799999997</v>
      </c>
    </row>
    <row r="51" spans="1:7">
      <c r="G51" s="72">
        <f>+G47-85792275.8</f>
        <v>200215.85000000894</v>
      </c>
    </row>
    <row r="54" spans="1:7" ht="15">
      <c r="A54" s="12"/>
      <c r="B54" s="12" t="s">
        <v>157</v>
      </c>
      <c r="C54" s="12" t="s">
        <v>216</v>
      </c>
      <c r="D54" s="12" t="s">
        <v>217</v>
      </c>
      <c r="E54" s="12" t="s">
        <v>218</v>
      </c>
      <c r="F54" s="12" t="s">
        <v>2753</v>
      </c>
      <c r="G54" s="12" t="s">
        <v>220</v>
      </c>
    </row>
    <row r="55" spans="1:7" ht="15">
      <c r="A55" s="13"/>
      <c r="B55" s="14" t="s">
        <v>227</v>
      </c>
      <c r="C55" s="14" t="s">
        <v>2288</v>
      </c>
      <c r="D55" s="14">
        <v>18614228.199999999</v>
      </c>
      <c r="E55" s="101">
        <v>15365495.92</v>
      </c>
      <c r="F55" s="16">
        <v>32795919</v>
      </c>
      <c r="G55" s="14" t="s">
        <v>2733</v>
      </c>
    </row>
    <row r="56" spans="1:7" ht="15">
      <c r="A56" s="13"/>
      <c r="B56" s="14" t="s">
        <v>227</v>
      </c>
      <c r="C56" s="14" t="s">
        <v>2289</v>
      </c>
      <c r="D56" s="14">
        <v>8041519.5300000003</v>
      </c>
      <c r="E56" s="14" t="s">
        <v>225</v>
      </c>
      <c r="F56" s="16">
        <v>1947871.86</v>
      </c>
      <c r="G56" s="14">
        <v>9989391.3900000006</v>
      </c>
    </row>
    <row r="57" spans="1:7">
      <c r="D57" s="72">
        <f>+D55+D56</f>
        <v>26655747.73</v>
      </c>
      <c r="E57" s="415" t="s">
        <v>231</v>
      </c>
      <c r="G57" s="72">
        <f>9989391-1183805</f>
        <v>8805586</v>
      </c>
    </row>
    <row r="58" spans="1:7" ht="15">
      <c r="A58" s="12"/>
      <c r="B58" s="12" t="s">
        <v>157</v>
      </c>
      <c r="C58" s="12" t="s">
        <v>216</v>
      </c>
      <c r="D58" s="12" t="s">
        <v>217</v>
      </c>
      <c r="E58" s="12" t="s">
        <v>218</v>
      </c>
      <c r="F58" s="12" t="s">
        <v>2753</v>
      </c>
      <c r="G58" s="12" t="s">
        <v>220</v>
      </c>
    </row>
    <row r="59" spans="1:7" ht="15">
      <c r="A59" s="13"/>
      <c r="B59" s="14" t="s">
        <v>2216</v>
      </c>
      <c r="C59" s="14" t="s">
        <v>89</v>
      </c>
      <c r="D59" s="14">
        <v>18614228.219999999</v>
      </c>
      <c r="E59" s="101">
        <v>32795919</v>
      </c>
      <c r="F59" s="101">
        <v>15365901.75</v>
      </c>
      <c r="G59" s="98">
        <v>-1184210.97</v>
      </c>
    </row>
    <row r="60" spans="1:7" ht="15">
      <c r="A60" s="13"/>
      <c r="B60" s="14" t="s">
        <v>2216</v>
      </c>
      <c r="C60" s="14" t="s">
        <v>226</v>
      </c>
      <c r="D60" s="14">
        <v>8041518.9000000004</v>
      </c>
      <c r="E60" s="16">
        <v>1949524.44</v>
      </c>
      <c r="F60" s="16">
        <v>1652.14</v>
      </c>
      <c r="G60" s="98">
        <v>9989391.1999999993</v>
      </c>
    </row>
    <row r="61" spans="1:7">
      <c r="D61" s="72">
        <f>+D59+D60</f>
        <v>26655747.119999997</v>
      </c>
      <c r="E61" s="415">
        <f>+E60-F60</f>
        <v>1947872.3</v>
      </c>
      <c r="F61" s="72">
        <f>+F60-1652.14</f>
        <v>0</v>
      </c>
      <c r="G61" s="415">
        <f>SUM(G59:G60)</f>
        <v>8805180.2299999986</v>
      </c>
    </row>
    <row r="62" spans="1:7">
      <c r="C62" s="184" t="s">
        <v>2752</v>
      </c>
      <c r="D62" s="392">
        <f>+D57-D61</f>
        <v>0.61000000312924385</v>
      </c>
      <c r="E62" s="416">
        <f>+E61-F56</f>
        <v>0.43999999994412065</v>
      </c>
      <c r="G62" s="415">
        <f>+G57-G61</f>
        <v>405.77000000141561</v>
      </c>
    </row>
    <row r="63" spans="1:7">
      <c r="E63" s="415"/>
    </row>
    <row r="64" spans="1:7" ht="15">
      <c r="A64" s="12"/>
      <c r="B64" s="152" t="s">
        <v>157</v>
      </c>
      <c r="C64" s="152" t="s">
        <v>216</v>
      </c>
      <c r="D64" s="152" t="s">
        <v>217</v>
      </c>
      <c r="E64" s="152" t="s">
        <v>218</v>
      </c>
      <c r="F64" s="152" t="s">
        <v>2753</v>
      </c>
      <c r="G64" s="152" t="s">
        <v>220</v>
      </c>
    </row>
    <row r="65" spans="1:7" ht="15">
      <c r="A65" s="13"/>
      <c r="B65" s="153" t="s">
        <v>2216</v>
      </c>
      <c r="C65" s="153" t="s">
        <v>94</v>
      </c>
      <c r="D65" s="153">
        <v>1040041.84</v>
      </c>
      <c r="E65" s="153" t="s">
        <v>225</v>
      </c>
      <c r="F65" s="172">
        <v>14219029.59</v>
      </c>
      <c r="G65" s="417">
        <v>15259071.43</v>
      </c>
    </row>
    <row r="66" spans="1:7" ht="15">
      <c r="A66" s="13"/>
      <c r="B66" s="153" t="s">
        <v>2216</v>
      </c>
      <c r="C66" s="153" t="s">
        <v>73</v>
      </c>
      <c r="D66" s="153" t="s">
        <v>2734</v>
      </c>
      <c r="E66" s="153" t="s">
        <v>2735</v>
      </c>
      <c r="F66" s="419">
        <v>2872.39</v>
      </c>
      <c r="G66" s="153" t="s">
        <v>2736</v>
      </c>
    </row>
    <row r="68" spans="1:7" ht="15">
      <c r="A68" s="12"/>
      <c r="B68" s="152" t="s">
        <v>157</v>
      </c>
      <c r="C68" s="152" t="s">
        <v>216</v>
      </c>
      <c r="D68" s="152" t="s">
        <v>217</v>
      </c>
      <c r="E68" s="152" t="s">
        <v>218</v>
      </c>
      <c r="F68" s="152" t="s">
        <v>2753</v>
      </c>
      <c r="G68" s="152" t="s">
        <v>220</v>
      </c>
    </row>
    <row r="69" spans="1:7" ht="15">
      <c r="A69" s="13"/>
      <c r="B69" s="153" t="s">
        <v>303</v>
      </c>
      <c r="C69" s="153" t="s">
        <v>2288</v>
      </c>
      <c r="D69" s="153" t="s">
        <v>2737</v>
      </c>
      <c r="E69" s="172" t="s">
        <v>2738</v>
      </c>
      <c r="F69" s="153">
        <v>108245.42</v>
      </c>
      <c r="G69" s="417" t="s">
        <v>2739</v>
      </c>
    </row>
    <row r="70" spans="1:7" ht="15">
      <c r="A70" s="13"/>
      <c r="B70" s="153" t="s">
        <v>303</v>
      </c>
      <c r="C70" s="153" t="s">
        <v>2289</v>
      </c>
      <c r="D70" s="153">
        <v>46344618.340000004</v>
      </c>
      <c r="E70" s="153" t="s">
        <v>225</v>
      </c>
      <c r="F70" s="153">
        <v>3386548.04</v>
      </c>
      <c r="G70" s="153">
        <v>49731166.380000003</v>
      </c>
    </row>
    <row r="71" spans="1:7">
      <c r="G71" s="72">
        <f>49783548.92-49731166.38</f>
        <v>52382.539999999106</v>
      </c>
    </row>
    <row r="72" spans="1:7">
      <c r="E72" s="72" t="s">
        <v>28</v>
      </c>
      <c r="F72" s="72" t="s">
        <v>305</v>
      </c>
      <c r="G72" s="72" t="s">
        <v>218</v>
      </c>
    </row>
    <row r="73" spans="1:7">
      <c r="E73" s="72">
        <v>106</v>
      </c>
      <c r="G73" s="415">
        <v>18448.990000000002</v>
      </c>
    </row>
    <row r="74" spans="1:7">
      <c r="E74" s="72">
        <v>134</v>
      </c>
      <c r="G74" s="415">
        <v>33933.56</v>
      </c>
    </row>
    <row r="76" spans="1:7" ht="15">
      <c r="A76" s="12"/>
      <c r="B76" s="12" t="s">
        <v>157</v>
      </c>
      <c r="C76" s="12" t="s">
        <v>216</v>
      </c>
      <c r="D76" s="12" t="s">
        <v>217</v>
      </c>
      <c r="E76" s="12" t="s">
        <v>218</v>
      </c>
      <c r="F76" s="12" t="s">
        <v>2753</v>
      </c>
      <c r="G76" s="12" t="s">
        <v>220</v>
      </c>
    </row>
    <row r="77" spans="1:7" ht="15">
      <c r="A77" s="13"/>
      <c r="B77" s="14" t="s">
        <v>2216</v>
      </c>
      <c r="C77" s="14" t="s">
        <v>103</v>
      </c>
      <c r="D77" s="14" t="s">
        <v>2746</v>
      </c>
      <c r="E77" s="14" t="s">
        <v>225</v>
      </c>
      <c r="F77" s="14">
        <v>2100132.12</v>
      </c>
      <c r="G77" s="14" t="s">
        <v>2747</v>
      </c>
    </row>
    <row r="78" spans="1:7" ht="15">
      <c r="A78" s="13"/>
      <c r="B78" s="14" t="s">
        <v>2216</v>
      </c>
      <c r="C78" s="14" t="s">
        <v>365</v>
      </c>
      <c r="D78" s="14" t="s">
        <v>2748</v>
      </c>
      <c r="E78" s="14" t="s">
        <v>2749</v>
      </c>
      <c r="F78" s="16">
        <v>425795.74</v>
      </c>
      <c r="G78" s="14" t="s">
        <v>2754</v>
      </c>
    </row>
    <row r="79" spans="1:7">
      <c r="G79" s="72">
        <f>2588640.9+82978055</f>
        <v>85566695.900000006</v>
      </c>
    </row>
    <row r="80" spans="1:7" ht="15">
      <c r="A80" s="12"/>
      <c r="B80" s="12" t="s">
        <v>157</v>
      </c>
      <c r="C80" s="12" t="s">
        <v>216</v>
      </c>
      <c r="D80" s="12" t="s">
        <v>217</v>
      </c>
      <c r="E80" s="12" t="s">
        <v>218</v>
      </c>
      <c r="F80" s="12" t="s">
        <v>2753</v>
      </c>
      <c r="G80" s="12" t="s">
        <v>220</v>
      </c>
    </row>
    <row r="81" spans="1:7" ht="15">
      <c r="A81" s="13"/>
      <c r="B81" s="14" t="s">
        <v>366</v>
      </c>
      <c r="C81" s="14" t="s">
        <v>2288</v>
      </c>
      <c r="D81" s="14">
        <v>4688773.03</v>
      </c>
      <c r="E81" s="13" t="s">
        <v>2751</v>
      </c>
      <c r="F81" s="13" t="s">
        <v>225</v>
      </c>
      <c r="G81" s="13" t="s">
        <v>225</v>
      </c>
    </row>
    <row r="82" spans="1:7" ht="15">
      <c r="A82" s="13"/>
      <c r="B82" s="14" t="s">
        <v>366</v>
      </c>
      <c r="C82" s="14" t="s">
        <v>2289</v>
      </c>
      <c r="D82" s="14">
        <v>83383115.590000004</v>
      </c>
      <c r="E82" s="418" t="s">
        <v>2755</v>
      </c>
      <c r="F82" s="13">
        <v>2409160.21</v>
      </c>
      <c r="G82" s="13">
        <v>85366480.060000002</v>
      </c>
    </row>
    <row r="83" spans="1:7">
      <c r="G83" s="72">
        <f>+G79-G82</f>
        <v>200215.84000000358</v>
      </c>
    </row>
    <row r="86" spans="1:7" ht="15">
      <c r="A86" s="12"/>
      <c r="B86" s="12" t="s">
        <v>157</v>
      </c>
      <c r="C86" s="12" t="s">
        <v>216</v>
      </c>
      <c r="D86" s="12" t="s">
        <v>217</v>
      </c>
      <c r="E86" s="12" t="s">
        <v>218</v>
      </c>
      <c r="F86" s="12" t="s">
        <v>2753</v>
      </c>
      <c r="G86" s="12" t="s">
        <v>220</v>
      </c>
    </row>
    <row r="87" spans="1:7" ht="15">
      <c r="A87" s="13"/>
      <c r="B87" s="14" t="s">
        <v>2216</v>
      </c>
      <c r="C87" s="14" t="s">
        <v>87</v>
      </c>
      <c r="D87" s="14">
        <v>4381072.96</v>
      </c>
      <c r="E87" s="14" t="s">
        <v>2756</v>
      </c>
      <c r="F87" s="14" t="s">
        <v>2717</v>
      </c>
      <c r="G87" s="14">
        <v>343243675.31</v>
      </c>
    </row>
    <row r="88" spans="1:7" ht="15">
      <c r="A88" s="13"/>
      <c r="B88" s="14" t="s">
        <v>2216</v>
      </c>
      <c r="C88" s="14" t="s">
        <v>61</v>
      </c>
      <c r="D88" s="14">
        <v>167941025.12</v>
      </c>
      <c r="E88" s="14" t="s">
        <v>2722</v>
      </c>
      <c r="F88" s="14">
        <v>22875625.77</v>
      </c>
      <c r="G88" s="14" t="s">
        <v>225</v>
      </c>
    </row>
    <row r="90" spans="1:7" ht="15">
      <c r="A90" s="12"/>
      <c r="B90" s="30" t="s">
        <v>157</v>
      </c>
      <c r="C90" s="30" t="s">
        <v>216</v>
      </c>
      <c r="D90" s="30" t="s">
        <v>217</v>
      </c>
      <c r="E90" s="30" t="s">
        <v>218</v>
      </c>
      <c r="F90" s="30" t="s">
        <v>2753</v>
      </c>
      <c r="G90" s="30" t="s">
        <v>220</v>
      </c>
    </row>
    <row r="91" spans="1:7" ht="15">
      <c r="A91" s="13"/>
      <c r="B91" s="116" t="s">
        <v>302</v>
      </c>
      <c r="C91" s="116" t="s">
        <v>2288</v>
      </c>
      <c r="D91" s="116" t="s">
        <v>2723</v>
      </c>
      <c r="E91" s="116" t="s">
        <v>2724</v>
      </c>
      <c r="F91" s="116" t="s">
        <v>225</v>
      </c>
      <c r="G91" s="116">
        <v>248172009.03999999</v>
      </c>
    </row>
    <row r="92" spans="1:7" ht="15">
      <c r="A92" s="13"/>
      <c r="B92" s="116" t="s">
        <v>302</v>
      </c>
      <c r="C92" s="116" t="s">
        <v>2289</v>
      </c>
      <c r="D92" s="116" t="s">
        <v>2726</v>
      </c>
      <c r="E92" s="116" t="s">
        <v>2718</v>
      </c>
      <c r="F92" s="116">
        <v>72896135.319999993</v>
      </c>
      <c r="G92" s="116">
        <v>95071666.269999996</v>
      </c>
    </row>
    <row r="93" spans="1:7">
      <c r="G93" s="164">
        <f>SUM(G91:G92)</f>
        <v>343243675.31</v>
      </c>
    </row>
    <row r="94" spans="1:7">
      <c r="G94" s="72">
        <f>+G87-G93</f>
        <v>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JOB OUT</vt:lpstr>
      <vt:lpstr>JOB-IN</vt:lpstr>
      <vt:lpstr>Provision &amp; Prepaid Exp</vt:lpstr>
      <vt:lpstr>Sheet7</vt:lpstr>
      <vt:lpstr>Rate Diference</vt:lpstr>
      <vt:lpstr>Purchase Register</vt:lpstr>
      <vt:lpstr>Sales Register</vt:lpstr>
      <vt:lpstr>Trail Balance-JULY26</vt:lpstr>
      <vt:lpstr>Inward Summary</vt:lpstr>
      <vt:lpstr>Inward Register</vt:lpstr>
      <vt:lpstr>Inward-Webbing</vt:lpstr>
      <vt:lpstr>Inward-Lam-Unlam-Fabric</vt:lpstr>
      <vt:lpstr>Sheet8</vt:lpstr>
      <vt:lpstr>Job Stk Bal May25-KPW</vt:lpstr>
      <vt:lpstr>Sheet5</vt:lpstr>
      <vt:lpstr>Sheet6</vt:lpstr>
      <vt:lpstr>Job Stk Bal May25-PPL</vt:lpstr>
      <vt:lpstr>Job Stk Bal May25-Aaradhya</vt:lpstr>
      <vt:lpstr>Job Stk Bal May25-Saru</vt:lpstr>
      <vt:lpstr>Job Stk Bal Apr25-Parsva </vt:lpstr>
      <vt:lpstr>JOB STOCK-Jan24</vt:lpstr>
      <vt:lpstr>Reco.</vt:lpstr>
      <vt:lpstr>Sheet1</vt:lpstr>
      <vt:lpstr>Sheet3</vt:lpstr>
      <vt:lpstr>Sheet1 (2)</vt:lpstr>
      <vt:lpstr>RECO..</vt:lpstr>
      <vt:lpstr>Sheet4</vt:lpstr>
      <vt:lpstr>Sheet2</vt:lpstr>
      <vt:lpstr>Sheet9</vt:lpstr>
      <vt:lpstr>Sheet12</vt:lpstr>
      <vt:lpstr>Reco.Apr24</vt:lpstr>
      <vt:lpstr>RECO JULY-24</vt:lpstr>
      <vt:lpstr>JOB Work Summary</vt:lpstr>
      <vt:lpstr>Sheet15</vt:lpstr>
      <vt:lpstr>Sheet1 (3)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Audit</dc:creator>
  <cp:lastModifiedBy>Negi</cp:lastModifiedBy>
  <cp:lastPrinted>2024-03-06T06:46:47Z</cp:lastPrinted>
  <dcterms:created xsi:type="dcterms:W3CDTF">2022-06-25T11:51:44Z</dcterms:created>
  <dcterms:modified xsi:type="dcterms:W3CDTF">2026-08-08T06:28:28Z</dcterms:modified>
</cp:coreProperties>
</file>